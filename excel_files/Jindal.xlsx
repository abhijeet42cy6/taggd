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aljeet.singh\AppData\Local\Microsoft\Windows\INetCache\Content.Outlook\7JO0JH7H\"/>
    </mc:Choice>
  </mc:AlternateContent>
  <xr:revisionPtr revIDLastSave="0" documentId="13_ncr:1_{9728EC7E-A1A9-42C0-B6EB-261A0216F77A}" xr6:coauthVersionLast="47" xr6:coauthVersionMax="47" xr10:uidLastSave="{00000000-0000-0000-0000-000000000000}"/>
  <bookViews>
    <workbookView xWindow="-110" yWindow="-110" windowWidth="19420" windowHeight="11500" firstSheet="1" activeTab="4" xr2:uid="{00000000-000D-0000-FFFF-FFFF00000000}"/>
  </bookViews>
  <sheets>
    <sheet name="Position Tracker" sheetId="1" r:id="rId1"/>
    <sheet name="Candidate Tracker" sheetId="2" r:id="rId2"/>
    <sheet name="Dashboard" sheetId="3" state="hidden" r:id="rId3"/>
    <sheet name="HELPER(Dont Delete)" sheetId="4" state="hidden" r:id="rId4"/>
    <sheet name="Contract" sheetId="6" r:id="rId5"/>
    <sheet name="Sheet1" sheetId="5" state="hidden" r:id="rId6"/>
  </sheets>
  <definedNames>
    <definedName name="_xlnm._FilterDatabase" localSheetId="1" hidden="1">'Candidate Tracker'!$A$1:$AJF$466</definedName>
    <definedName name="_xlnm._FilterDatabase" localSheetId="2" hidden="1">Dashboard!$A$1:$L$43</definedName>
    <definedName name="_xlnm._FilterDatabase" localSheetId="0" hidden="1">'Position Tracker'!$A$1:$AL$45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D44" i="1" s="1"/>
  <c r="C45" i="1"/>
  <c r="D45" i="1" s="1"/>
  <c r="D40" i="1"/>
  <c r="D34" i="1"/>
  <c r="D32" i="1"/>
  <c r="C43" i="1"/>
  <c r="D43" i="1" s="1"/>
  <c r="S42" i="1"/>
  <c r="S41" i="1"/>
  <c r="V43" i="1"/>
  <c r="V40" i="1"/>
  <c r="U43" i="1"/>
  <c r="U40" i="1"/>
  <c r="S43" i="1"/>
  <c r="S40" i="1"/>
  <c r="L42" i="3"/>
  <c r="K42" i="3"/>
  <c r="L41" i="3"/>
  <c r="K41" i="3"/>
  <c r="L40" i="3"/>
  <c r="K40" i="3"/>
  <c r="L39" i="3"/>
  <c r="K39" i="3"/>
  <c r="L38" i="3"/>
  <c r="K38" i="3"/>
  <c r="L37" i="3"/>
  <c r="K37" i="3"/>
  <c r="L36" i="3"/>
  <c r="K36" i="3"/>
  <c r="L35" i="3"/>
  <c r="K35" i="3"/>
  <c r="L34" i="3"/>
  <c r="K34" i="3"/>
  <c r="L33" i="3"/>
  <c r="K33" i="3"/>
  <c r="K32" i="3"/>
  <c r="L31" i="3"/>
  <c r="K31" i="3"/>
  <c r="L30" i="3"/>
  <c r="K30" i="3"/>
  <c r="L29" i="3"/>
  <c r="K29" i="3"/>
  <c r="L28" i="3"/>
  <c r="K28" i="3"/>
  <c r="L27" i="3"/>
  <c r="K27" i="3"/>
  <c r="L26" i="3"/>
  <c r="K26" i="3"/>
  <c r="L25" i="3"/>
  <c r="K25" i="3"/>
  <c r="L24" i="3"/>
  <c r="K24" i="3"/>
  <c r="L23" i="3"/>
  <c r="K23" i="3"/>
  <c r="L22" i="3"/>
  <c r="K22" i="3"/>
  <c r="L21" i="3"/>
  <c r="K21" i="3"/>
  <c r="L20" i="3"/>
  <c r="K20" i="3"/>
  <c r="L19" i="3"/>
  <c r="K19" i="3"/>
  <c r="L18" i="3"/>
  <c r="K18" i="3"/>
  <c r="L17" i="3"/>
  <c r="K17" i="3"/>
  <c r="L16" i="3"/>
  <c r="K16" i="3"/>
  <c r="L15" i="3"/>
  <c r="K15" i="3"/>
  <c r="L14" i="3"/>
  <c r="K14" i="3"/>
  <c r="L13" i="3"/>
  <c r="K13" i="3"/>
  <c r="L12" i="3"/>
  <c r="K12" i="3"/>
  <c r="L11" i="3"/>
  <c r="K11" i="3"/>
  <c r="L10" i="3"/>
  <c r="K10" i="3"/>
  <c r="L9" i="3"/>
  <c r="K9" i="3"/>
  <c r="L8" i="3"/>
  <c r="K8" i="3"/>
  <c r="L7" i="3"/>
  <c r="K7" i="3"/>
  <c r="L6" i="3"/>
  <c r="K6" i="3"/>
  <c r="L5" i="3"/>
  <c r="K5" i="3"/>
  <c r="L4" i="3"/>
  <c r="K4" i="3"/>
  <c r="L3" i="3"/>
  <c r="K3" i="3"/>
  <c r="L2" i="3"/>
  <c r="K2" i="3"/>
  <c r="D42" i="3"/>
  <c r="A42" i="3"/>
  <c r="D41" i="3"/>
  <c r="A41" i="3"/>
  <c r="C41" i="3" s="1"/>
  <c r="D40" i="3"/>
  <c r="A40" i="3"/>
  <c r="C40" i="3" s="1"/>
  <c r="D39" i="3"/>
  <c r="A39" i="3"/>
  <c r="C39" i="3" s="1"/>
  <c r="D38" i="3"/>
  <c r="A38" i="3"/>
  <c r="D37" i="3"/>
  <c r="A37" i="3"/>
  <c r="C37" i="3" s="1"/>
  <c r="D36" i="3"/>
  <c r="A36" i="3"/>
  <c r="C36" i="3" s="1"/>
  <c r="D35" i="3"/>
  <c r="A35" i="3"/>
  <c r="C35" i="3" s="1"/>
  <c r="D34" i="3"/>
  <c r="A34" i="3"/>
  <c r="C34" i="3" s="1"/>
  <c r="D33" i="3"/>
  <c r="A33" i="3"/>
  <c r="C33" i="3" s="1"/>
  <c r="D32" i="3"/>
  <c r="A32" i="3"/>
  <c r="D31" i="3"/>
  <c r="A31" i="3"/>
  <c r="D30" i="3"/>
  <c r="A30" i="3"/>
  <c r="C30" i="3" s="1"/>
  <c r="D29" i="3"/>
  <c r="A29" i="3"/>
  <c r="C29" i="3" s="1"/>
  <c r="D28" i="3"/>
  <c r="A28" i="3"/>
  <c r="C28" i="3" s="1"/>
  <c r="D27" i="3"/>
  <c r="A27" i="3"/>
  <c r="D26" i="3"/>
  <c r="A26" i="3"/>
  <c r="D25" i="3"/>
  <c r="A25" i="3"/>
  <c r="F24" i="3"/>
  <c r="D24" i="3"/>
  <c r="A24" i="3"/>
  <c r="F23" i="3"/>
  <c r="D23" i="3"/>
  <c r="A23" i="3"/>
  <c r="D22" i="3"/>
  <c r="A22" i="3"/>
  <c r="D21" i="3"/>
  <c r="A21" i="3"/>
  <c r="D20" i="3"/>
  <c r="A20" i="3"/>
  <c r="D19" i="3"/>
  <c r="A19" i="3"/>
  <c r="D18" i="3"/>
  <c r="A18" i="3"/>
  <c r="D17" i="3"/>
  <c r="A17" i="3"/>
  <c r="D16" i="3"/>
  <c r="A16" i="3"/>
  <c r="D15" i="3"/>
  <c r="A15" i="3"/>
  <c r="D14" i="3"/>
  <c r="A14" i="3"/>
  <c r="D13" i="3"/>
  <c r="A13" i="3"/>
  <c r="D12" i="3"/>
  <c r="A12" i="3"/>
  <c r="D11" i="3"/>
  <c r="A11" i="3"/>
  <c r="D10" i="3"/>
  <c r="A10" i="3"/>
  <c r="D9" i="3"/>
  <c r="A9" i="3"/>
  <c r="D8" i="3"/>
  <c r="A8" i="3"/>
  <c r="D7" i="3"/>
  <c r="A7" i="3"/>
  <c r="D6" i="3"/>
  <c r="A6" i="3"/>
  <c r="D5" i="3"/>
  <c r="A5" i="3"/>
  <c r="D4" i="3"/>
  <c r="A4" i="3"/>
  <c r="D3" i="3"/>
  <c r="A3" i="3"/>
  <c r="D2" i="3"/>
  <c r="A2" i="3"/>
  <c r="U42" i="1"/>
  <c r="V42" i="1"/>
  <c r="J41" i="3"/>
  <c r="J42" i="3"/>
  <c r="I41" i="3"/>
  <c r="I42" i="3"/>
  <c r="H41" i="3"/>
  <c r="H42" i="3"/>
  <c r="G41" i="3"/>
  <c r="G42" i="3"/>
  <c r="E41" i="3"/>
  <c r="E42" i="3"/>
  <c r="C42" i="3"/>
  <c r="C42" i="1"/>
  <c r="D42" i="1" s="1"/>
  <c r="V41" i="1"/>
  <c r="V38" i="1"/>
  <c r="U41" i="1"/>
  <c r="U38" i="1"/>
  <c r="D39" i="1"/>
  <c r="C41" i="1"/>
  <c r="D41" i="1" s="1"/>
  <c r="H39" i="3"/>
  <c r="H40" i="3"/>
  <c r="I39" i="3"/>
  <c r="I40" i="3"/>
  <c r="J39" i="3"/>
  <c r="J40" i="3"/>
  <c r="G39" i="3"/>
  <c r="G40" i="3"/>
  <c r="E39" i="3"/>
  <c r="E40" i="3"/>
  <c r="C40" i="1"/>
  <c r="D29" i="1"/>
  <c r="D30" i="1"/>
  <c r="D31" i="1"/>
  <c r="S38" i="1"/>
  <c r="C38" i="1"/>
  <c r="D38" i="1" s="1"/>
  <c r="V37" i="1"/>
  <c r="J31" i="3"/>
  <c r="J32" i="3"/>
  <c r="J33" i="3"/>
  <c r="J34" i="3"/>
  <c r="J35" i="3"/>
  <c r="J36" i="3"/>
  <c r="J37" i="3"/>
  <c r="J38" i="3"/>
  <c r="V36" i="1"/>
  <c r="V34" i="1"/>
  <c r="V35" i="1"/>
  <c r="V33" i="1"/>
  <c r="V32" i="1"/>
  <c r="V31" i="1"/>
  <c r="V28" i="1"/>
  <c r="U37" i="1"/>
  <c r="U36" i="1"/>
  <c r="U34" i="1"/>
  <c r="U35" i="1"/>
  <c r="U33" i="1"/>
  <c r="U32" i="1"/>
  <c r="U31" i="1"/>
  <c r="U28" i="1"/>
  <c r="S37" i="1"/>
  <c r="S36" i="1"/>
  <c r="S34" i="1"/>
  <c r="S35" i="1"/>
  <c r="S33" i="1"/>
  <c r="S32" i="1"/>
  <c r="S31" i="1"/>
  <c r="S28" i="1"/>
  <c r="S39" i="1"/>
  <c r="I31" i="3"/>
  <c r="I32" i="3"/>
  <c r="I33" i="3"/>
  <c r="I34" i="3"/>
  <c r="I35" i="3"/>
  <c r="I36" i="3"/>
  <c r="I37" i="3"/>
  <c r="I38" i="3"/>
  <c r="H38" i="3"/>
  <c r="H31" i="3"/>
  <c r="H32" i="3"/>
  <c r="H33" i="3"/>
  <c r="H34" i="3"/>
  <c r="H35" i="3"/>
  <c r="H36" i="3"/>
  <c r="H37" i="3"/>
  <c r="G31" i="3"/>
  <c r="G32" i="3"/>
  <c r="G33" i="3"/>
  <c r="G34" i="3"/>
  <c r="G35" i="3"/>
  <c r="G36" i="3"/>
  <c r="G37" i="3"/>
  <c r="G38" i="3"/>
  <c r="E31" i="3"/>
  <c r="E32" i="3"/>
  <c r="E33" i="3"/>
  <c r="E34" i="3"/>
  <c r="E35" i="3"/>
  <c r="E36" i="3"/>
  <c r="E37" i="3"/>
  <c r="E38" i="3"/>
  <c r="C31" i="3"/>
  <c r="C32" i="3"/>
  <c r="C38" i="3"/>
  <c r="C30" i="1"/>
  <c r="C28" i="1"/>
  <c r="D28" i="1" s="1"/>
  <c r="C31" i="1"/>
  <c r="C32" i="1"/>
  <c r="C33" i="1"/>
  <c r="D33" i="1" s="1"/>
  <c r="C35" i="1"/>
  <c r="D35" i="1" s="1"/>
  <c r="C34" i="1"/>
  <c r="C36" i="1"/>
  <c r="D36" i="1" s="1"/>
  <c r="C37" i="1"/>
  <c r="D37" i="1" s="1"/>
  <c r="AQ242" i="2"/>
  <c r="AQ241" i="2"/>
  <c r="AQ205" i="2"/>
  <c r="AQ204" i="2"/>
  <c r="AP242" i="2"/>
  <c r="AP241" i="2"/>
  <c r="AP205" i="2"/>
  <c r="AP204" i="2"/>
  <c r="AR326" i="2"/>
  <c r="AR325" i="2"/>
  <c r="AR314" i="2"/>
  <c r="AR313" i="2"/>
  <c r="AR312" i="2"/>
  <c r="AR275" i="2"/>
  <c r="AR274" i="2"/>
  <c r="AR273" i="2"/>
  <c r="AR252" i="2"/>
  <c r="AQ326" i="2"/>
  <c r="AQ325" i="2"/>
  <c r="AQ314" i="2"/>
  <c r="AQ313" i="2"/>
  <c r="AQ312" i="2"/>
  <c r="AQ275" i="2"/>
  <c r="AQ274" i="2"/>
  <c r="AQ273" i="2"/>
  <c r="AQ252" i="2"/>
  <c r="AP326" i="2"/>
  <c r="AP325" i="2"/>
  <c r="AP314" i="2"/>
  <c r="AP313" i="2"/>
  <c r="AP312" i="2"/>
  <c r="AP275" i="2"/>
  <c r="AP274" i="2"/>
  <c r="AP273" i="2"/>
  <c r="AP252" i="2"/>
  <c r="AP311" i="2"/>
  <c r="AP285" i="2"/>
  <c r="AP250" i="2"/>
  <c r="AP249" i="2"/>
  <c r="AP261" i="2"/>
  <c r="AP260" i="2"/>
  <c r="AR296" i="2"/>
  <c r="AR295" i="2"/>
  <c r="AR294" i="2"/>
  <c r="AR293" i="2"/>
  <c r="AR221" i="2"/>
  <c r="AR220" i="2"/>
  <c r="AR210" i="2"/>
  <c r="AQ296" i="2"/>
  <c r="AQ295" i="2"/>
  <c r="AQ294" i="2"/>
  <c r="AQ293" i="2"/>
  <c r="AQ221" i="2"/>
  <c r="AQ220" i="2"/>
  <c r="AQ210" i="2"/>
  <c r="AP296" i="2"/>
  <c r="AP295" i="2"/>
  <c r="AP294" i="2"/>
  <c r="AP293" i="2"/>
  <c r="AP221" i="2"/>
  <c r="AP220" i="2"/>
  <c r="AP210" i="2"/>
  <c r="AR322" i="2"/>
  <c r="AR321" i="2"/>
  <c r="AR287" i="2"/>
  <c r="AR286" i="2"/>
  <c r="AR281" i="2"/>
  <c r="AR280" i="2"/>
  <c r="AR263" i="2"/>
  <c r="AR262" i="2"/>
  <c r="AR234" i="2"/>
  <c r="AR233" i="2"/>
  <c r="AR232" i="2"/>
  <c r="AR208" i="2"/>
  <c r="AR207" i="2"/>
  <c r="AQ322" i="2"/>
  <c r="AQ321" i="2"/>
  <c r="AQ287" i="2"/>
  <c r="AQ286" i="2"/>
  <c r="AQ281" i="2"/>
  <c r="AQ280" i="2"/>
  <c r="AQ263" i="2"/>
  <c r="AQ262" i="2"/>
  <c r="AQ234" i="2"/>
  <c r="AQ233" i="2"/>
  <c r="AQ232" i="2"/>
  <c r="AQ208" i="2"/>
  <c r="AQ207" i="2"/>
  <c r="AP322" i="2"/>
  <c r="AP321" i="2"/>
  <c r="AP287" i="2"/>
  <c r="AP286" i="2"/>
  <c r="AP281" i="2"/>
  <c r="AP280" i="2"/>
  <c r="AP263" i="2"/>
  <c r="AP262" i="2"/>
  <c r="AP234" i="2"/>
  <c r="AP233" i="2"/>
  <c r="AP232" i="2"/>
  <c r="AP208" i="2"/>
  <c r="AP207" i="2"/>
  <c r="AR328" i="2"/>
  <c r="AR327" i="2"/>
  <c r="AR324" i="2"/>
  <c r="AR323" i="2"/>
  <c r="AR320" i="2"/>
  <c r="AR319" i="2"/>
  <c r="AR308" i="2"/>
  <c r="AR304" i="2"/>
  <c r="AR289" i="2"/>
  <c r="AR288" i="2"/>
  <c r="AR268" i="2"/>
  <c r="AR267" i="2"/>
  <c r="AR266" i="2"/>
  <c r="AQ328" i="2"/>
  <c r="AQ327" i="2"/>
  <c r="AQ324" i="2"/>
  <c r="AQ323" i="2"/>
  <c r="AQ320" i="2"/>
  <c r="AQ319" i="2"/>
  <c r="AQ308" i="2"/>
  <c r="AQ304" i="2"/>
  <c r="AQ289" i="2"/>
  <c r="AQ288" i="2"/>
  <c r="AQ268" i="2"/>
  <c r="AQ267" i="2"/>
  <c r="AQ266" i="2"/>
  <c r="AP328" i="2"/>
  <c r="AP327" i="2"/>
  <c r="AP324" i="2"/>
  <c r="AP323" i="2"/>
  <c r="AP320" i="2"/>
  <c r="AP319" i="2"/>
  <c r="AP308" i="2"/>
  <c r="AP304" i="2"/>
  <c r="AP289" i="2"/>
  <c r="AP288" i="2"/>
  <c r="AP268" i="2"/>
  <c r="AP267" i="2"/>
  <c r="AP266" i="2"/>
  <c r="AR247" i="2"/>
  <c r="AR248" i="2"/>
  <c r="AQ247" i="2"/>
  <c r="AQ248" i="2"/>
  <c r="AP247" i="2"/>
  <c r="AP248" i="2"/>
  <c r="AQ238" i="2"/>
  <c r="AQ237" i="2"/>
  <c r="AQ228" i="2"/>
  <c r="AQ227" i="2"/>
  <c r="AQ197" i="2"/>
  <c r="AQ194" i="2"/>
  <c r="AQ193" i="2"/>
  <c r="AQ192" i="2"/>
  <c r="AP238" i="2"/>
  <c r="AP237" i="2"/>
  <c r="AP228" i="2"/>
  <c r="AP227" i="2"/>
  <c r="AP197" i="2"/>
  <c r="AP194" i="2"/>
  <c r="AP193" i="2"/>
  <c r="AP192" i="2"/>
  <c r="AR303" i="2"/>
  <c r="AR302" i="2"/>
  <c r="AR265" i="2"/>
  <c r="AR264" i="2"/>
  <c r="AR231" i="2"/>
  <c r="AR230" i="2"/>
  <c r="AQ303" i="2"/>
  <c r="AQ302" i="2"/>
  <c r="AQ265" i="2"/>
  <c r="AQ264" i="2"/>
  <c r="AQ231" i="2"/>
  <c r="AQ230" i="2"/>
  <c r="AP303" i="2"/>
  <c r="AP302" i="2"/>
  <c r="AP265" i="2"/>
  <c r="AP264" i="2"/>
  <c r="AP231" i="2"/>
  <c r="AP230" i="2"/>
  <c r="AR307" i="2"/>
  <c r="AR306" i="2"/>
  <c r="AR305" i="2"/>
  <c r="AR315" i="2"/>
  <c r="AR310" i="2"/>
  <c r="AR309" i="2"/>
  <c r="AR297" i="2"/>
  <c r="AR277" i="2"/>
  <c r="AR276" i="2"/>
  <c r="AR272" i="2"/>
  <c r="AR271" i="2"/>
  <c r="AR270" i="2"/>
  <c r="AR269" i="2"/>
  <c r="AR236" i="2"/>
  <c r="AR235" i="2"/>
  <c r="AR226" i="2"/>
  <c r="AR225" i="2"/>
  <c r="AR198" i="2"/>
  <c r="AR196" i="2"/>
  <c r="AR195" i="2"/>
  <c r="AR181" i="2"/>
  <c r="AR180" i="2"/>
  <c r="AQ307" i="2"/>
  <c r="AQ306" i="2"/>
  <c r="AQ305" i="2"/>
  <c r="AQ315" i="2"/>
  <c r="AQ310" i="2"/>
  <c r="AQ309" i="2"/>
  <c r="AQ297" i="2"/>
  <c r="AQ277" i="2"/>
  <c r="AQ276" i="2"/>
  <c r="AQ272" i="2"/>
  <c r="AQ271" i="2"/>
  <c r="AQ270" i="2"/>
  <c r="AQ269" i="2"/>
  <c r="AQ236" i="2"/>
  <c r="AQ235" i="2"/>
  <c r="AQ226" i="2"/>
  <c r="AQ225" i="2"/>
  <c r="AQ198" i="2"/>
  <c r="AQ196" i="2"/>
  <c r="AQ195" i="2"/>
  <c r="AQ181" i="2"/>
  <c r="AQ180" i="2"/>
  <c r="AP307" i="2"/>
  <c r="AP306" i="2"/>
  <c r="AP305" i="2"/>
  <c r="AP315" i="2"/>
  <c r="AP310" i="2"/>
  <c r="AP309" i="2"/>
  <c r="AP297" i="2"/>
  <c r="AP277" i="2"/>
  <c r="AP276" i="2"/>
  <c r="AP272" i="2"/>
  <c r="AP271" i="2"/>
  <c r="AP270" i="2"/>
  <c r="AP269" i="2"/>
  <c r="AP236" i="2"/>
  <c r="AP235" i="2"/>
  <c r="AP226" i="2"/>
  <c r="AP225" i="2"/>
  <c r="AP198" i="2"/>
  <c r="AP196" i="2"/>
  <c r="AP195" i="2"/>
  <c r="AP181" i="2"/>
  <c r="AP180" i="2"/>
  <c r="AR301" i="2"/>
  <c r="AR300" i="2"/>
  <c r="AR292" i="2"/>
  <c r="AR291" i="2"/>
  <c r="AR290" i="2"/>
  <c r="AR284" i="2"/>
  <c r="AR283" i="2"/>
  <c r="AR282" i="2"/>
  <c r="AR279" i="2"/>
  <c r="AR278" i="2"/>
  <c r="AR179" i="2"/>
  <c r="AR190" i="2"/>
  <c r="AR189" i="2"/>
  <c r="AR188" i="2"/>
  <c r="AQ301" i="2"/>
  <c r="AQ300" i="2"/>
  <c r="AQ292" i="2"/>
  <c r="AQ291" i="2"/>
  <c r="AQ290" i="2"/>
  <c r="AQ284" i="2"/>
  <c r="AQ283" i="2"/>
  <c r="AQ282" i="2"/>
  <c r="AQ279" i="2"/>
  <c r="AQ278" i="2"/>
  <c r="AQ179" i="2"/>
  <c r="AQ190" i="2"/>
  <c r="AQ189" i="2"/>
  <c r="AQ188" i="2"/>
  <c r="AP301" i="2"/>
  <c r="AP300" i="2"/>
  <c r="AP292" i="2"/>
  <c r="AP291" i="2"/>
  <c r="AP290" i="2"/>
  <c r="AP284" i="2"/>
  <c r="AP283" i="2"/>
  <c r="AP282" i="2"/>
  <c r="AP279" i="2"/>
  <c r="AP278" i="2"/>
  <c r="AP179" i="2"/>
  <c r="AP190" i="2"/>
  <c r="AQ206" i="2"/>
  <c r="AR258" i="2"/>
  <c r="AR257" i="2"/>
  <c r="AQ258" i="2"/>
  <c r="AQ177" i="2"/>
  <c r="AL17" i="1"/>
  <c r="J23" i="3"/>
  <c r="J24" i="3"/>
  <c r="J25" i="3"/>
  <c r="J26" i="3"/>
  <c r="I23" i="3"/>
  <c r="I24" i="3"/>
  <c r="I25" i="3"/>
  <c r="I26" i="3"/>
  <c r="H24" i="3"/>
  <c r="H25" i="3"/>
  <c r="H26" i="3"/>
  <c r="G25" i="3"/>
  <c r="G26" i="3"/>
  <c r="AR2" i="2"/>
  <c r="AR3" i="2"/>
  <c r="AR4" i="2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79" i="2"/>
  <c r="AR80" i="2"/>
  <c r="AR81" i="2"/>
  <c r="AR82" i="2"/>
  <c r="AR83" i="2"/>
  <c r="AR84" i="2"/>
  <c r="AR85" i="2"/>
  <c r="AR86" i="2"/>
  <c r="AR87" i="2"/>
  <c r="AR88" i="2"/>
  <c r="AR89" i="2"/>
  <c r="AR90" i="2"/>
  <c r="AR91" i="2"/>
  <c r="AR92" i="2"/>
  <c r="AR93" i="2"/>
  <c r="AR94" i="2"/>
  <c r="AR95" i="2"/>
  <c r="AR96" i="2"/>
  <c r="AR97" i="2"/>
  <c r="AR98" i="2"/>
  <c r="AR99" i="2"/>
  <c r="AR100" i="2"/>
  <c r="AR101" i="2"/>
  <c r="AR102" i="2"/>
  <c r="AR103" i="2"/>
  <c r="AR104" i="2"/>
  <c r="AR105" i="2"/>
  <c r="AR106" i="2"/>
  <c r="AR107" i="2"/>
  <c r="AR108" i="2"/>
  <c r="AR109" i="2"/>
  <c r="AR110" i="2"/>
  <c r="AR111" i="2"/>
  <c r="AR112" i="2"/>
  <c r="AR113" i="2"/>
  <c r="AR114" i="2"/>
  <c r="AR115" i="2"/>
  <c r="AR116" i="2"/>
  <c r="AR117" i="2"/>
  <c r="AR118" i="2"/>
  <c r="AR119" i="2"/>
  <c r="AR120" i="2"/>
  <c r="AR121" i="2"/>
  <c r="AR122" i="2"/>
  <c r="AR123" i="2"/>
  <c r="AR124" i="2"/>
  <c r="AR125" i="2"/>
  <c r="AR126" i="2"/>
  <c r="AR127" i="2"/>
  <c r="AR128" i="2"/>
  <c r="AR129" i="2"/>
  <c r="AR130" i="2"/>
  <c r="AR131" i="2"/>
  <c r="AR132" i="2"/>
  <c r="AR133" i="2"/>
  <c r="AR134" i="2"/>
  <c r="AR135" i="2"/>
  <c r="AR136" i="2"/>
  <c r="AR137" i="2"/>
  <c r="AR138" i="2"/>
  <c r="AR139" i="2"/>
  <c r="AR140" i="2"/>
  <c r="AR141" i="2"/>
  <c r="AR142" i="2"/>
  <c r="AR143" i="2"/>
  <c r="AR144" i="2"/>
  <c r="AR145" i="2"/>
  <c r="AR146" i="2"/>
  <c r="AR147" i="2"/>
  <c r="AR148" i="2"/>
  <c r="AR149" i="2"/>
  <c r="AR150" i="2"/>
  <c r="AR151" i="2"/>
  <c r="AR152" i="2"/>
  <c r="AR153" i="2"/>
  <c r="AR154" i="2"/>
  <c r="AR155" i="2"/>
  <c r="AR156" i="2"/>
  <c r="AR157" i="2"/>
  <c r="AR158" i="2"/>
  <c r="AR159" i="2"/>
  <c r="AR160" i="2"/>
  <c r="AR161" i="2"/>
  <c r="AR162" i="2"/>
  <c r="AR163" i="2"/>
  <c r="AR164" i="2"/>
  <c r="AR165" i="2"/>
  <c r="AR166" i="2"/>
  <c r="AR167" i="2"/>
  <c r="AR168" i="2"/>
  <c r="AR169" i="2"/>
  <c r="AR170" i="2"/>
  <c r="AR171" i="2"/>
  <c r="AR172" i="2"/>
  <c r="AR173" i="2"/>
  <c r="AR174" i="2"/>
  <c r="AR175" i="2"/>
  <c r="AR185" i="2"/>
  <c r="AR186" i="2"/>
  <c r="AR187" i="2"/>
  <c r="AR178" i="2"/>
  <c r="AR191" i="2"/>
  <c r="AR192" i="2"/>
  <c r="AR193" i="2"/>
  <c r="AR194" i="2"/>
  <c r="AR177" i="2"/>
  <c r="AR197" i="2"/>
  <c r="AR199" i="2"/>
  <c r="AR200" i="2"/>
  <c r="AR201" i="2"/>
  <c r="AR202" i="2"/>
  <c r="AR206" i="2"/>
  <c r="AR203" i="2"/>
  <c r="AR204" i="2"/>
  <c r="AR205" i="2"/>
  <c r="AR209" i="2"/>
  <c r="AR211" i="2"/>
  <c r="AR212" i="2"/>
  <c r="AR213" i="2"/>
  <c r="AR214" i="2"/>
  <c r="AR215" i="2"/>
  <c r="AR216" i="2"/>
  <c r="AR222" i="2"/>
  <c r="AR223" i="2"/>
  <c r="AR224" i="2"/>
  <c r="AR227" i="2"/>
  <c r="AR228" i="2"/>
  <c r="AR229" i="2"/>
  <c r="AR237" i="2"/>
  <c r="AR238" i="2"/>
  <c r="AR239" i="2"/>
  <c r="AR240" i="2"/>
  <c r="AR241" i="2"/>
  <c r="AR242" i="2"/>
  <c r="AR251" i="2"/>
  <c r="AR243" i="2"/>
  <c r="AR244" i="2"/>
  <c r="AR245" i="2"/>
  <c r="AR253" i="2"/>
  <c r="AR254" i="2"/>
  <c r="AR255" i="2"/>
  <c r="AR256" i="2"/>
  <c r="AR217" i="2"/>
  <c r="AR218" i="2"/>
  <c r="AR219" i="2"/>
  <c r="AR182" i="2"/>
  <c r="AR183" i="2"/>
  <c r="AR184" i="2"/>
  <c r="AR246" i="2"/>
  <c r="AQ2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08" i="2"/>
  <c r="AQ109" i="2"/>
  <c r="AQ110" i="2"/>
  <c r="AQ111" i="2"/>
  <c r="AQ112" i="2"/>
  <c r="AQ113" i="2"/>
  <c r="AQ114" i="2"/>
  <c r="AQ115" i="2"/>
  <c r="AQ116" i="2"/>
  <c r="AQ117" i="2"/>
  <c r="AQ118" i="2"/>
  <c r="AQ119" i="2"/>
  <c r="AQ120" i="2"/>
  <c r="AQ121" i="2"/>
  <c r="AQ122" i="2"/>
  <c r="AQ123" i="2"/>
  <c r="AQ124" i="2"/>
  <c r="AQ125" i="2"/>
  <c r="AQ126" i="2"/>
  <c r="AQ127" i="2"/>
  <c r="AQ128" i="2"/>
  <c r="AQ129" i="2"/>
  <c r="AQ130" i="2"/>
  <c r="AQ131" i="2"/>
  <c r="AQ132" i="2"/>
  <c r="AQ133" i="2"/>
  <c r="AQ134" i="2"/>
  <c r="AQ135" i="2"/>
  <c r="AQ136" i="2"/>
  <c r="AQ137" i="2"/>
  <c r="AQ138" i="2"/>
  <c r="AQ139" i="2"/>
  <c r="AQ140" i="2"/>
  <c r="AQ141" i="2"/>
  <c r="AQ142" i="2"/>
  <c r="AQ143" i="2"/>
  <c r="AQ144" i="2"/>
  <c r="AQ145" i="2"/>
  <c r="AQ146" i="2"/>
  <c r="AQ147" i="2"/>
  <c r="AQ148" i="2"/>
  <c r="AQ149" i="2"/>
  <c r="AQ150" i="2"/>
  <c r="AQ151" i="2"/>
  <c r="AQ152" i="2"/>
  <c r="AQ153" i="2"/>
  <c r="AQ154" i="2"/>
  <c r="AQ155" i="2"/>
  <c r="AQ156" i="2"/>
  <c r="AQ157" i="2"/>
  <c r="AQ158" i="2"/>
  <c r="AQ159" i="2"/>
  <c r="AQ160" i="2"/>
  <c r="AQ161" i="2"/>
  <c r="AQ162" i="2"/>
  <c r="AQ163" i="2"/>
  <c r="AQ164" i="2"/>
  <c r="AQ165" i="2"/>
  <c r="AQ166" i="2"/>
  <c r="AQ167" i="2"/>
  <c r="AQ168" i="2"/>
  <c r="AQ169" i="2"/>
  <c r="AQ170" i="2"/>
  <c r="AQ171" i="2"/>
  <c r="AQ172" i="2"/>
  <c r="AQ173" i="2"/>
  <c r="AQ174" i="2"/>
  <c r="AQ175" i="2"/>
  <c r="AQ185" i="2"/>
  <c r="AQ186" i="2"/>
  <c r="AQ187" i="2"/>
  <c r="AQ178" i="2"/>
  <c r="AQ191" i="2"/>
  <c r="AQ199" i="2"/>
  <c r="AQ200" i="2"/>
  <c r="AQ201" i="2"/>
  <c r="AQ202" i="2"/>
  <c r="AQ203" i="2"/>
  <c r="AQ209" i="2"/>
  <c r="AQ211" i="2"/>
  <c r="AQ212" i="2"/>
  <c r="AQ213" i="2"/>
  <c r="AQ214" i="2"/>
  <c r="AQ215" i="2"/>
  <c r="AQ216" i="2"/>
  <c r="AQ222" i="2"/>
  <c r="AQ223" i="2"/>
  <c r="AQ224" i="2"/>
  <c r="AQ229" i="2"/>
  <c r="AQ239" i="2"/>
  <c r="AQ240" i="2"/>
  <c r="AQ251" i="2"/>
  <c r="AQ243" i="2"/>
  <c r="AQ244" i="2"/>
  <c r="AQ245" i="2"/>
  <c r="AQ253" i="2"/>
  <c r="AQ254" i="2"/>
  <c r="AQ255" i="2"/>
  <c r="AQ256" i="2"/>
  <c r="AQ257" i="2"/>
  <c r="AQ217" i="2"/>
  <c r="AQ218" i="2"/>
  <c r="AQ219" i="2"/>
  <c r="AQ182" i="2"/>
  <c r="AQ183" i="2"/>
  <c r="AQ184" i="2"/>
  <c r="AQ246" i="2"/>
  <c r="AP251" i="2"/>
  <c r="AP243" i="2"/>
  <c r="AP244" i="2"/>
  <c r="AP245" i="2"/>
  <c r="AP253" i="2"/>
  <c r="AP254" i="2"/>
  <c r="AP255" i="2"/>
  <c r="AP256" i="2"/>
  <c r="AP257" i="2"/>
  <c r="AP258" i="2"/>
  <c r="AP217" i="2"/>
  <c r="AP218" i="2"/>
  <c r="AP219" i="2"/>
  <c r="AP182" i="2"/>
  <c r="AP183" i="2"/>
  <c r="AP184" i="2"/>
  <c r="AP246" i="2"/>
  <c r="AP259" i="2"/>
  <c r="AP2" i="2"/>
  <c r="AP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P95" i="2"/>
  <c r="AP96" i="2"/>
  <c r="AP97" i="2"/>
  <c r="AP98" i="2"/>
  <c r="AP99" i="2"/>
  <c r="AP100" i="2"/>
  <c r="AP101" i="2"/>
  <c r="AP102" i="2"/>
  <c r="AP103" i="2"/>
  <c r="AP104" i="2"/>
  <c r="AP105" i="2"/>
  <c r="AP106" i="2"/>
  <c r="AP107" i="2"/>
  <c r="AP108" i="2"/>
  <c r="AP109" i="2"/>
  <c r="AP110" i="2"/>
  <c r="AP111" i="2"/>
  <c r="AP112" i="2"/>
  <c r="AP113" i="2"/>
  <c r="AP114" i="2"/>
  <c r="AP115" i="2"/>
  <c r="AP116" i="2"/>
  <c r="AP117" i="2"/>
  <c r="AP118" i="2"/>
  <c r="AP119" i="2"/>
  <c r="AP120" i="2"/>
  <c r="AP121" i="2"/>
  <c r="AP122" i="2"/>
  <c r="AP123" i="2"/>
  <c r="AP124" i="2"/>
  <c r="AP125" i="2"/>
  <c r="AP126" i="2"/>
  <c r="AP127" i="2"/>
  <c r="AP128" i="2"/>
  <c r="AP129" i="2"/>
  <c r="AP130" i="2"/>
  <c r="AP131" i="2"/>
  <c r="AP132" i="2"/>
  <c r="AP133" i="2"/>
  <c r="AP134" i="2"/>
  <c r="AP135" i="2"/>
  <c r="AP136" i="2"/>
  <c r="AP137" i="2"/>
  <c r="AP138" i="2"/>
  <c r="AP139" i="2"/>
  <c r="AP140" i="2"/>
  <c r="AP141" i="2"/>
  <c r="AP142" i="2"/>
  <c r="AP143" i="2"/>
  <c r="AP144" i="2"/>
  <c r="AP145" i="2"/>
  <c r="AP146" i="2"/>
  <c r="AP147" i="2"/>
  <c r="AP148" i="2"/>
  <c r="AP149" i="2"/>
  <c r="AP150" i="2"/>
  <c r="AP151" i="2"/>
  <c r="AP152" i="2"/>
  <c r="AP153" i="2"/>
  <c r="AP154" i="2"/>
  <c r="AP155" i="2"/>
  <c r="AP156" i="2"/>
  <c r="AP157" i="2"/>
  <c r="AP158" i="2"/>
  <c r="AP159" i="2"/>
  <c r="AP160" i="2"/>
  <c r="AP161" i="2"/>
  <c r="AP162" i="2"/>
  <c r="AP163" i="2"/>
  <c r="AP164" i="2"/>
  <c r="AP165" i="2"/>
  <c r="AP166" i="2"/>
  <c r="AP167" i="2"/>
  <c r="AP168" i="2"/>
  <c r="AP169" i="2"/>
  <c r="AP170" i="2"/>
  <c r="AP171" i="2"/>
  <c r="AP172" i="2"/>
  <c r="AP173" i="2"/>
  <c r="AP174" i="2"/>
  <c r="AP175" i="2"/>
  <c r="AP185" i="2"/>
  <c r="AP186" i="2"/>
  <c r="AP187" i="2"/>
  <c r="AP178" i="2"/>
  <c r="AP188" i="2"/>
  <c r="AP189" i="2"/>
  <c r="AP191" i="2"/>
  <c r="AP177" i="2"/>
  <c r="AP199" i="2"/>
  <c r="AP200" i="2"/>
  <c r="AP201" i="2"/>
  <c r="AP202" i="2"/>
  <c r="AP206" i="2"/>
  <c r="AP203" i="2"/>
  <c r="AP209" i="2"/>
  <c r="AP211" i="2"/>
  <c r="AP212" i="2"/>
  <c r="AP213" i="2"/>
  <c r="AP214" i="2"/>
  <c r="AP215" i="2"/>
  <c r="AP216" i="2"/>
  <c r="AP222" i="2"/>
  <c r="AP223" i="2"/>
  <c r="AP224" i="2"/>
  <c r="AP229" i="2"/>
  <c r="AP239" i="2"/>
  <c r="AP240" i="2"/>
  <c r="E25" i="3"/>
  <c r="C25" i="3"/>
  <c r="J28" i="3"/>
  <c r="J29" i="3"/>
  <c r="J30" i="3"/>
  <c r="I28" i="3"/>
  <c r="I29" i="3"/>
  <c r="I30" i="3"/>
  <c r="H28" i="3"/>
  <c r="H29" i="3"/>
  <c r="H30" i="3"/>
  <c r="G28" i="3"/>
  <c r="G29" i="3"/>
  <c r="G30" i="3"/>
  <c r="E28" i="3"/>
  <c r="E29" i="3"/>
  <c r="E30" i="3"/>
  <c r="V39" i="1"/>
  <c r="V29" i="1"/>
  <c r="V30" i="1"/>
  <c r="U39" i="1"/>
  <c r="U29" i="1"/>
  <c r="U30" i="1"/>
  <c r="S29" i="1"/>
  <c r="S30" i="1"/>
  <c r="C29" i="1"/>
  <c r="C39" i="1"/>
  <c r="X40" i="1" l="1"/>
  <c r="W40" i="1"/>
  <c r="W43" i="1"/>
  <c r="X43" i="1" s="1"/>
  <c r="W42" i="1"/>
  <c r="X42" i="1" s="1"/>
  <c r="F42" i="3" s="1"/>
  <c r="W37" i="1"/>
  <c r="X37" i="1" s="1"/>
  <c r="F38" i="3" s="1"/>
  <c r="W38" i="1"/>
  <c r="X38" i="1" s="1"/>
  <c r="F39" i="3" s="1"/>
  <c r="W41" i="1"/>
  <c r="X41" i="1" s="1"/>
  <c r="F41" i="3" s="1"/>
  <c r="F40" i="3"/>
  <c r="W28" i="1"/>
  <c r="X28" i="1" s="1"/>
  <c r="F31" i="3" s="1"/>
  <c r="W31" i="1"/>
  <c r="X31" i="1" s="1"/>
  <c r="F32" i="3" s="1"/>
  <c r="W32" i="1"/>
  <c r="X32" i="1" s="1"/>
  <c r="F33" i="3" s="1"/>
  <c r="W33" i="1"/>
  <c r="X33" i="1" s="1"/>
  <c r="F34" i="3" s="1"/>
  <c r="W35" i="1"/>
  <c r="X35" i="1" s="1"/>
  <c r="F35" i="3" s="1"/>
  <c r="W34" i="1"/>
  <c r="X34" i="1" s="1"/>
  <c r="F36" i="3" s="1"/>
  <c r="W36" i="1"/>
  <c r="X36" i="1" s="1"/>
  <c r="F37" i="3" s="1"/>
  <c r="X30" i="1"/>
  <c r="F30" i="3" s="1"/>
  <c r="W30" i="1"/>
  <c r="W29" i="1"/>
  <c r="X29" i="1" s="1"/>
  <c r="F29" i="3" s="1"/>
  <c r="W39" i="1"/>
  <c r="J21" i="3"/>
  <c r="J22" i="3"/>
  <c r="J27" i="3"/>
  <c r="I21" i="3"/>
  <c r="I22" i="3"/>
  <c r="I27" i="3"/>
  <c r="H21" i="3"/>
  <c r="H22" i="3"/>
  <c r="H23" i="3"/>
  <c r="H27" i="3"/>
  <c r="G21" i="3"/>
  <c r="G22" i="3"/>
  <c r="G23" i="3"/>
  <c r="G24" i="3"/>
  <c r="G27" i="3"/>
  <c r="E21" i="3"/>
  <c r="E22" i="3"/>
  <c r="E23" i="3"/>
  <c r="E24" i="3"/>
  <c r="E26" i="3"/>
  <c r="E27" i="3"/>
  <c r="C21" i="3"/>
  <c r="C22" i="3"/>
  <c r="C23" i="3"/>
  <c r="C24" i="3"/>
  <c r="C26" i="3"/>
  <c r="C27" i="3"/>
  <c r="V18" i="1"/>
  <c r="V19" i="1"/>
  <c r="V20" i="1"/>
  <c r="V21" i="1"/>
  <c r="V22" i="1"/>
  <c r="V23" i="1"/>
  <c r="V24" i="1"/>
  <c r="V25" i="1"/>
  <c r="V26" i="1"/>
  <c r="V27" i="1"/>
  <c r="U18" i="1"/>
  <c r="U19" i="1"/>
  <c r="U20" i="1"/>
  <c r="U21" i="1"/>
  <c r="U22" i="1"/>
  <c r="U23" i="1"/>
  <c r="U24" i="1"/>
  <c r="U25" i="1"/>
  <c r="U26" i="1"/>
  <c r="U27" i="1"/>
  <c r="S27" i="1"/>
  <c r="S18" i="1"/>
  <c r="S19" i="1"/>
  <c r="S20" i="1"/>
  <c r="S21" i="1"/>
  <c r="S22" i="1"/>
  <c r="S23" i="1"/>
  <c r="S24" i="1"/>
  <c r="S25" i="1"/>
  <c r="S26" i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J18" i="3"/>
  <c r="J19" i="3"/>
  <c r="J20" i="3"/>
  <c r="I18" i="3"/>
  <c r="I19" i="3"/>
  <c r="I20" i="3"/>
  <c r="H18" i="3"/>
  <c r="H19" i="3"/>
  <c r="H20" i="3"/>
  <c r="G18" i="3"/>
  <c r="G19" i="3"/>
  <c r="G20" i="3"/>
  <c r="E18" i="3"/>
  <c r="E19" i="3"/>
  <c r="E20" i="3"/>
  <c r="C18" i="3"/>
  <c r="C19" i="3"/>
  <c r="C20" i="3"/>
  <c r="C19" i="1"/>
  <c r="D19" i="1" s="1"/>
  <c r="C20" i="1"/>
  <c r="D20" i="1" s="1"/>
  <c r="C21" i="1"/>
  <c r="D21" i="1" s="1"/>
  <c r="D3" i="1"/>
  <c r="D4" i="1"/>
  <c r="D5" i="1"/>
  <c r="D6" i="1"/>
  <c r="D7" i="1"/>
  <c r="D8" i="1"/>
  <c r="D9" i="1"/>
  <c r="D10" i="1"/>
  <c r="D11" i="1"/>
  <c r="D12" i="1"/>
  <c r="D13" i="1"/>
  <c r="D14" i="1"/>
  <c r="D16" i="1"/>
  <c r="C18" i="1"/>
  <c r="D18" i="1" s="1"/>
  <c r="J17" i="3"/>
  <c r="I17" i="3"/>
  <c r="H17" i="3"/>
  <c r="G17" i="3"/>
  <c r="E17" i="3"/>
  <c r="C17" i="3"/>
  <c r="V17" i="1"/>
  <c r="U17" i="1"/>
  <c r="S14" i="1"/>
  <c r="S15" i="1"/>
  <c r="S16" i="1"/>
  <c r="S17" i="1"/>
  <c r="C17" i="1"/>
  <c r="D17" i="1" s="1"/>
  <c r="U3" i="1"/>
  <c r="V3" i="1"/>
  <c r="U4" i="1"/>
  <c r="V4" i="1"/>
  <c r="U5" i="1"/>
  <c r="V5" i="1"/>
  <c r="U6" i="1"/>
  <c r="V6" i="1"/>
  <c r="U7" i="1"/>
  <c r="V7" i="1"/>
  <c r="U8" i="1"/>
  <c r="V8" i="1"/>
  <c r="U9" i="1"/>
  <c r="V9" i="1"/>
  <c r="U10" i="1"/>
  <c r="V10" i="1"/>
  <c r="U11" i="1"/>
  <c r="V11" i="1"/>
  <c r="U12" i="1"/>
  <c r="V12" i="1"/>
  <c r="U13" i="1"/>
  <c r="V13" i="1"/>
  <c r="U14" i="1"/>
  <c r="V14" i="1"/>
  <c r="U15" i="1"/>
  <c r="V15" i="1"/>
  <c r="U16" i="1"/>
  <c r="V16" i="1"/>
  <c r="E14" i="3"/>
  <c r="G14" i="3"/>
  <c r="H14" i="3"/>
  <c r="I14" i="3"/>
  <c r="J14" i="3"/>
  <c r="E15" i="3"/>
  <c r="G15" i="3"/>
  <c r="H15" i="3"/>
  <c r="I15" i="3"/>
  <c r="J15" i="3"/>
  <c r="E16" i="3"/>
  <c r="G16" i="3"/>
  <c r="H16" i="3"/>
  <c r="I16" i="3"/>
  <c r="J16" i="3"/>
  <c r="C15" i="3"/>
  <c r="C16" i="3"/>
  <c r="C16" i="1"/>
  <c r="C15" i="1"/>
  <c r="D15" i="1" s="1"/>
  <c r="C14" i="3"/>
  <c r="C14" i="1"/>
  <c r="C10" i="3"/>
  <c r="C11" i="3"/>
  <c r="C12" i="3"/>
  <c r="C13" i="3"/>
  <c r="S3" i="1"/>
  <c r="S4" i="1"/>
  <c r="S5" i="1"/>
  <c r="S6" i="1"/>
  <c r="S7" i="1"/>
  <c r="S8" i="1"/>
  <c r="S9" i="1"/>
  <c r="S10" i="1"/>
  <c r="S11" i="1"/>
  <c r="S12" i="1"/>
  <c r="S13" i="1"/>
  <c r="E12" i="3"/>
  <c r="G12" i="3"/>
  <c r="H12" i="3"/>
  <c r="I12" i="3"/>
  <c r="J12" i="3"/>
  <c r="E13" i="3"/>
  <c r="G13" i="3"/>
  <c r="H13" i="3"/>
  <c r="I13" i="3"/>
  <c r="J13" i="3"/>
  <c r="C13" i="1"/>
  <c r="C12" i="1"/>
  <c r="C8" i="1"/>
  <c r="E11" i="3"/>
  <c r="G11" i="3"/>
  <c r="H11" i="3"/>
  <c r="I11" i="3"/>
  <c r="J11" i="3"/>
  <c r="E10" i="3"/>
  <c r="G10" i="3"/>
  <c r="H10" i="3"/>
  <c r="I10" i="3"/>
  <c r="J10" i="3"/>
  <c r="AF11" i="1"/>
  <c r="AG11" i="1"/>
  <c r="C11" i="1"/>
  <c r="AF10" i="1"/>
  <c r="AG10" i="1"/>
  <c r="C10" i="1"/>
  <c r="N50" i="3"/>
  <c r="M50" i="3"/>
  <c r="N49" i="3"/>
  <c r="M49" i="3"/>
  <c r="X39" i="1" l="1"/>
  <c r="F28" i="3" s="1"/>
  <c r="W27" i="1"/>
  <c r="X27" i="1" s="1"/>
  <c r="F27" i="3" s="1"/>
  <c r="W21" i="1"/>
  <c r="X21" i="1" s="1"/>
  <c r="F19" i="3" s="1"/>
  <c r="W18" i="1"/>
  <c r="X18" i="1" s="1"/>
  <c r="F20" i="3" s="1"/>
  <c r="W26" i="1"/>
  <c r="X26" i="1" s="1"/>
  <c r="F26" i="3" s="1"/>
  <c r="W23" i="1"/>
  <c r="X23" i="1" s="1"/>
  <c r="F22" i="3" s="1"/>
  <c r="W20" i="1"/>
  <c r="X20" i="1" s="1"/>
  <c r="F18" i="3" s="1"/>
  <c r="W25" i="1"/>
  <c r="X25" i="1" s="1"/>
  <c r="W22" i="1"/>
  <c r="X22" i="1" s="1"/>
  <c r="F21" i="3" s="1"/>
  <c r="W19" i="1"/>
  <c r="X19" i="1" s="1"/>
  <c r="F25" i="3" s="1"/>
  <c r="W24" i="1"/>
  <c r="X24" i="1" s="1"/>
  <c r="W17" i="1"/>
  <c r="X17" i="1" s="1"/>
  <c r="F17" i="3" s="1"/>
  <c r="W15" i="1"/>
  <c r="X15" i="1" s="1"/>
  <c r="F15" i="3" s="1"/>
  <c r="W11" i="1"/>
  <c r="X11" i="1" s="1"/>
  <c r="F11" i="3" s="1"/>
  <c r="W7" i="1"/>
  <c r="X7" i="1" s="1"/>
  <c r="F7" i="3" s="1"/>
  <c r="W3" i="1"/>
  <c r="X3" i="1" s="1"/>
  <c r="F3" i="3" s="1"/>
  <c r="W13" i="1"/>
  <c r="X13" i="1" s="1"/>
  <c r="F13" i="3" s="1"/>
  <c r="W9" i="1"/>
  <c r="X9" i="1" s="1"/>
  <c r="F9" i="3" s="1"/>
  <c r="W5" i="1"/>
  <c r="X5" i="1" s="1"/>
  <c r="F5" i="3" s="1"/>
  <c r="W16" i="1"/>
  <c r="X16" i="1" s="1"/>
  <c r="F16" i="3" s="1"/>
  <c r="W12" i="1"/>
  <c r="X12" i="1" s="1"/>
  <c r="F12" i="3" s="1"/>
  <c r="W8" i="1"/>
  <c r="X8" i="1" s="1"/>
  <c r="F8" i="3" s="1"/>
  <c r="W4" i="1"/>
  <c r="X4" i="1" s="1"/>
  <c r="F4" i="3" s="1"/>
  <c r="W14" i="1"/>
  <c r="X14" i="1" s="1"/>
  <c r="F14" i="3" s="1"/>
  <c r="W10" i="1"/>
  <c r="W6" i="1"/>
  <c r="X10" i="1"/>
  <c r="F10" i="3" s="1"/>
  <c r="X6" i="1"/>
  <c r="F6" i="3" s="1"/>
  <c r="M51" i="3"/>
  <c r="M52" i="3" s="1"/>
  <c r="N51" i="3"/>
  <c r="N52" i="3" s="1"/>
  <c r="C9" i="3"/>
  <c r="S2" i="1"/>
  <c r="J9" i="3"/>
  <c r="I9" i="3"/>
  <c r="H9" i="3"/>
  <c r="G9" i="3"/>
  <c r="E9" i="3"/>
  <c r="J3" i="3"/>
  <c r="J4" i="3"/>
  <c r="J5" i="3"/>
  <c r="J6" i="3"/>
  <c r="J7" i="3"/>
  <c r="J8" i="3"/>
  <c r="J2" i="3"/>
  <c r="I3" i="3"/>
  <c r="I4" i="3"/>
  <c r="I5" i="3"/>
  <c r="I6" i="3"/>
  <c r="I7" i="3"/>
  <c r="I8" i="3"/>
  <c r="I2" i="3"/>
  <c r="H3" i="3"/>
  <c r="H4" i="3"/>
  <c r="H5" i="3"/>
  <c r="H6" i="3"/>
  <c r="H7" i="3"/>
  <c r="H8" i="3"/>
  <c r="H2" i="3"/>
  <c r="G3" i="3"/>
  <c r="G4" i="3"/>
  <c r="G5" i="3"/>
  <c r="G6" i="3"/>
  <c r="G7" i="3"/>
  <c r="G8" i="3"/>
  <c r="G2" i="3"/>
  <c r="E3" i="3"/>
  <c r="E4" i="3"/>
  <c r="E5" i="3"/>
  <c r="E6" i="3"/>
  <c r="E7" i="3"/>
  <c r="E8" i="3"/>
  <c r="E2" i="3"/>
  <c r="C3" i="3"/>
  <c r="C4" i="3"/>
  <c r="C5" i="3"/>
  <c r="C6" i="3"/>
  <c r="C7" i="3"/>
  <c r="C8" i="3"/>
  <c r="C2" i="3"/>
  <c r="AF5" i="1"/>
  <c r="AF6" i="1"/>
  <c r="AG5" i="1"/>
  <c r="AG6" i="1"/>
  <c r="C3" i="1"/>
  <c r="C4" i="1"/>
  <c r="C5" i="1"/>
  <c r="C6" i="1"/>
  <c r="C7" i="1"/>
  <c r="C9" i="1"/>
  <c r="C2" i="1"/>
  <c r="AG3" i="1"/>
  <c r="AG4" i="1"/>
  <c r="AG7" i="1"/>
  <c r="AG8" i="1"/>
  <c r="AG9" i="1"/>
  <c r="AG2" i="1"/>
  <c r="AF3" i="1"/>
  <c r="AF4" i="1"/>
  <c r="AF7" i="1"/>
  <c r="AF8" i="1"/>
  <c r="AF9" i="1"/>
  <c r="AF2" i="1"/>
  <c r="D2" i="1"/>
  <c r="V2" i="1"/>
  <c r="U2" i="1"/>
  <c r="AR1" i="2"/>
  <c r="AQ1" i="2"/>
  <c r="AP1" i="2"/>
  <c r="B50" i="3"/>
  <c r="B49" i="3"/>
  <c r="B48" i="3"/>
  <c r="L50" i="3"/>
  <c r="K50" i="3"/>
  <c r="J50" i="3"/>
  <c r="I50" i="3"/>
  <c r="H50" i="3"/>
  <c r="G50" i="3"/>
  <c r="F50" i="3"/>
  <c r="L49" i="3"/>
  <c r="K49" i="3"/>
  <c r="J49" i="3"/>
  <c r="I49" i="3"/>
  <c r="H49" i="3"/>
  <c r="G49" i="3"/>
  <c r="F49" i="3"/>
  <c r="B61" i="3" l="1"/>
  <c r="B60" i="3"/>
  <c r="B59" i="3"/>
  <c r="B58" i="3"/>
  <c r="B57" i="3"/>
  <c r="B56" i="3"/>
  <c r="B55" i="3"/>
  <c r="B54" i="3"/>
  <c r="D43" i="3"/>
  <c r="C43" i="3"/>
  <c r="J43" i="3"/>
  <c r="E43" i="3"/>
  <c r="I43" i="3"/>
  <c r="H43" i="3"/>
  <c r="G43" i="3"/>
  <c r="C49" i="3"/>
  <c r="C50" i="3"/>
  <c r="C48" i="3"/>
  <c r="X2" i="1"/>
  <c r="F2" i="3" s="1"/>
  <c r="W2" i="1"/>
  <c r="K51" i="3"/>
  <c r="K52" i="3" s="1"/>
  <c r="J51" i="3"/>
  <c r="J52" i="3" s="1"/>
  <c r="H51" i="3"/>
  <c r="H52" i="3" s="1"/>
  <c r="G51" i="3"/>
  <c r="G52" i="3" s="1"/>
  <c r="F51" i="3"/>
  <c r="F52" i="3" s="1"/>
  <c r="I51" i="3"/>
  <c r="I52" i="3" s="1"/>
  <c r="L51" i="3"/>
  <c r="L52" i="3" s="1"/>
  <c r="F43" i="3" l="1"/>
</calcChain>
</file>

<file path=xl/sharedStrings.xml><?xml version="1.0" encoding="utf-8"?>
<sst xmlns="http://schemas.openxmlformats.org/spreadsheetml/2006/main" count="7788" uniqueCount="2832">
  <si>
    <t>S.No</t>
  </si>
  <si>
    <t>Requisition Date</t>
  </si>
  <si>
    <t>Aging</t>
  </si>
  <si>
    <t xml:space="preserve">Bucket </t>
  </si>
  <si>
    <t>Role</t>
  </si>
  <si>
    <t>No of Openings</t>
  </si>
  <si>
    <t xml:space="preserve">Diversity </t>
  </si>
  <si>
    <t>Hiring Manager</t>
  </si>
  <si>
    <t>HR Spoc</t>
  </si>
  <si>
    <t>Status</t>
  </si>
  <si>
    <t>Grade</t>
  </si>
  <si>
    <t>Experience</t>
  </si>
  <si>
    <t>Min Budget</t>
  </si>
  <si>
    <t>Max Budget</t>
  </si>
  <si>
    <t>Variable %</t>
  </si>
  <si>
    <t>Education</t>
  </si>
  <si>
    <t>Location</t>
  </si>
  <si>
    <t>Mandatory CTQ</t>
  </si>
  <si>
    <t>Roll Id</t>
  </si>
  <si>
    <t>Total Shotlisted</t>
  </si>
  <si>
    <t xml:space="preserve">Reject count </t>
  </si>
  <si>
    <t>MINUS</t>
  </si>
  <si>
    <t>FTR%</t>
  </si>
  <si>
    <t>Level</t>
  </si>
  <si>
    <t>Date</t>
  </si>
  <si>
    <t>Intake Date</t>
  </si>
  <si>
    <t>Hold Date</t>
  </si>
  <si>
    <t>Offer Date</t>
  </si>
  <si>
    <t>Join Date</t>
  </si>
  <si>
    <t>TTO</t>
  </si>
  <si>
    <t>TTF</t>
  </si>
  <si>
    <t>Fabrication</t>
  </si>
  <si>
    <t>No</t>
  </si>
  <si>
    <t>SK Goel</t>
  </si>
  <si>
    <t>Ujjwal</t>
  </si>
  <si>
    <t>Hold</t>
  </si>
  <si>
    <t>DGM/GM</t>
  </si>
  <si>
    <t>8-12 years</t>
  </si>
  <si>
    <t>35 LPA/40 LPA</t>
  </si>
  <si>
    <t>40 LPA/45 LPA</t>
  </si>
  <si>
    <t>10%/30%</t>
  </si>
  <si>
    <t>B.tech</t>
  </si>
  <si>
    <t>Mumbai</t>
  </si>
  <si>
    <t>RL3</t>
  </si>
  <si>
    <t>KAM (Mumbai)</t>
  </si>
  <si>
    <t>Aman</t>
  </si>
  <si>
    <t>Scap</t>
  </si>
  <si>
    <t xml:space="preserve">Executive </t>
  </si>
  <si>
    <t>2-4 years</t>
  </si>
  <si>
    <t>7.5 LPA</t>
  </si>
  <si>
    <t>B.tech/ B.tech + MBA/ MBA</t>
  </si>
  <si>
    <t>RL1</t>
  </si>
  <si>
    <t>Logistics - Manager/Sr Manager</t>
  </si>
  <si>
    <t>DB Singh</t>
  </si>
  <si>
    <t>Joined</t>
  </si>
  <si>
    <t xml:space="preserve">Manager/Senior Manager </t>
  </si>
  <si>
    <t>7-10 years</t>
  </si>
  <si>
    <t>20 LPA</t>
  </si>
  <si>
    <t>Gurugram</t>
  </si>
  <si>
    <t>Logistics, Transportation, Trucks, Railways. Domestic transportation</t>
  </si>
  <si>
    <t>RL2</t>
  </si>
  <si>
    <t>KAM (Kolkata)</t>
  </si>
  <si>
    <t>Manager</t>
  </si>
  <si>
    <t>3-8 years</t>
  </si>
  <si>
    <t>Kolkata</t>
  </si>
  <si>
    <t>KAM (Ahmedabad)</t>
  </si>
  <si>
    <t>Ahmedabad</t>
  </si>
  <si>
    <t>KAM (Gurgaon)</t>
  </si>
  <si>
    <t>Gurgaon</t>
  </si>
  <si>
    <t xml:space="preserve">KAM_ Steel (Mumbai) </t>
  </si>
  <si>
    <t>8 LPA</t>
  </si>
  <si>
    <t>Position on hold at 16 Sep, position reopen at 24 Sep</t>
  </si>
  <si>
    <t>KAM - AM</t>
  </si>
  <si>
    <t>AM</t>
  </si>
  <si>
    <t>3-8 Years</t>
  </si>
  <si>
    <t>11 LPA</t>
  </si>
  <si>
    <t>Vadodara</t>
  </si>
  <si>
    <t xml:space="preserve">KAM_ Steel (Hyderabad) </t>
  </si>
  <si>
    <t>9 LPA</t>
  </si>
  <si>
    <t>Hyderabad</t>
  </si>
  <si>
    <t xml:space="preserve">Supply Chain Manager </t>
  </si>
  <si>
    <t>5-10 years</t>
  </si>
  <si>
    <t>19 LPA</t>
  </si>
  <si>
    <t>B.tech / MBA</t>
  </si>
  <si>
    <t>Plant Head</t>
  </si>
  <si>
    <t>AGM/DGM</t>
  </si>
  <si>
    <t>20-25 Years</t>
  </si>
  <si>
    <t>60 LPA</t>
  </si>
  <si>
    <t>Fabrication, steel, Remarks (2 Jan put on hold )</t>
  </si>
  <si>
    <t xml:space="preserve">Electrical Manager Maintenance </t>
  </si>
  <si>
    <t>10-12 Years</t>
  </si>
  <si>
    <t>Internally Closed on 1 NOV, reopen at 3 Dec</t>
  </si>
  <si>
    <t xml:space="preserve">KAM_ Steel (Chennai) </t>
  </si>
  <si>
    <t>3-9 Years</t>
  </si>
  <si>
    <t>5 LPA</t>
  </si>
  <si>
    <t>Chennai</t>
  </si>
  <si>
    <t>Design Executive</t>
  </si>
  <si>
    <t xml:space="preserve">Neeraj </t>
  </si>
  <si>
    <t xml:space="preserve">3-5 Years </t>
  </si>
  <si>
    <t xml:space="preserve">7 LPA </t>
  </si>
  <si>
    <t xml:space="preserve">Position closed on 29 jan </t>
  </si>
  <si>
    <t>2Jan2025 - New req created|2076</t>
  </si>
  <si>
    <t>Mechanical Maintenance</t>
  </si>
  <si>
    <t xml:space="preserve">Nilesh </t>
  </si>
  <si>
    <t xml:space="preserve">6-10 Years </t>
  </si>
  <si>
    <t>10 LPA</t>
  </si>
  <si>
    <t>12 LPA</t>
  </si>
  <si>
    <t>Electrical Maintenance AM</t>
  </si>
  <si>
    <t>Hem Patel, Nilesh Faldu</t>
  </si>
  <si>
    <t>1/28/2025- Req date (Electrical Maintenance AM) Req 2131</t>
  </si>
  <si>
    <t>Manager Design</t>
  </si>
  <si>
    <t xml:space="preserve">No </t>
  </si>
  <si>
    <t>Suresh P</t>
  </si>
  <si>
    <t>6-15 Years</t>
  </si>
  <si>
    <t>Manager QA</t>
  </si>
  <si>
    <t>Nilesh, P Suresh</t>
  </si>
  <si>
    <t>10-15 Years</t>
  </si>
  <si>
    <t>15 - 16LPA</t>
  </si>
  <si>
    <t>AM Purchase</t>
  </si>
  <si>
    <t>Shiv</t>
  </si>
  <si>
    <t>10LPA</t>
  </si>
  <si>
    <t>11LPA</t>
  </si>
  <si>
    <t>Manager mechanical Maintenance</t>
  </si>
  <si>
    <t>Nilesh</t>
  </si>
  <si>
    <t>15-16 LPA</t>
  </si>
  <si>
    <t>AGM Finance</t>
  </si>
  <si>
    <t>Internally Closed</t>
  </si>
  <si>
    <t>AGM</t>
  </si>
  <si>
    <t>35-40</t>
  </si>
  <si>
    <t>DGM Sales</t>
  </si>
  <si>
    <t>Madhur Gupta</t>
  </si>
  <si>
    <t>DGM</t>
  </si>
  <si>
    <t>40-45</t>
  </si>
  <si>
    <t>Project head (reopened as lead)</t>
  </si>
  <si>
    <t>Venka Shivakrishna, Suresh p</t>
  </si>
  <si>
    <t>Sr Mgr</t>
  </si>
  <si>
    <t>12-18 Years</t>
  </si>
  <si>
    <t>20LPA</t>
  </si>
  <si>
    <t>25 LPA</t>
  </si>
  <si>
    <t>3/31/2025 - Requirement is changed</t>
  </si>
  <si>
    <t>Project Manager (reopned as cordinator)</t>
  </si>
  <si>
    <t>Manager Purchase</t>
  </si>
  <si>
    <t>SK Sharma</t>
  </si>
  <si>
    <t xml:space="preserve">Offer Stage </t>
  </si>
  <si>
    <t>Manager / SM</t>
  </si>
  <si>
    <t>15 LPA</t>
  </si>
  <si>
    <t>21LPA</t>
  </si>
  <si>
    <t>Manager PPC</t>
  </si>
  <si>
    <t>15 - 16</t>
  </si>
  <si>
    <t>17 - 22</t>
  </si>
  <si>
    <t>Quality Assurance (QA) Coordinator</t>
  </si>
  <si>
    <t>Manoj Bhutani &amp; P Suresh</t>
  </si>
  <si>
    <t>Engineer/ Assistant Engineer</t>
  </si>
  <si>
    <t>1-3 Years</t>
  </si>
  <si>
    <t>5.5 LPA</t>
  </si>
  <si>
    <t>7.6 LPA</t>
  </si>
  <si>
    <t>Diploma / B.Tech in Mechanical / Industrial / Production / Metallurgy Engineering</t>
  </si>
  <si>
    <t xml:space="preserve">Executive- Design </t>
  </si>
  <si>
    <t>Executive</t>
  </si>
  <si>
    <t>3-5 Years</t>
  </si>
  <si>
    <t>Quality Engineer</t>
  </si>
  <si>
    <t>8LPA</t>
  </si>
  <si>
    <t>2208, 2348</t>
  </si>
  <si>
    <t>Quality Assurance (QA) Lead</t>
  </si>
  <si>
    <t>Offer Stage</t>
  </si>
  <si>
    <t>Manager/ Associate Manager</t>
  </si>
  <si>
    <t>8+ Years</t>
  </si>
  <si>
    <t>18.4 LPA</t>
  </si>
  <si>
    <t>Quality Control (QC) Coordinator</t>
  </si>
  <si>
    <t>1-4 Years</t>
  </si>
  <si>
    <t>Diploma or B.Tech in Mechanical / Welding / Fabrication Engineering</t>
  </si>
  <si>
    <t>Machining &amp; Beam Welding</t>
  </si>
  <si>
    <t xml:space="preserve">P Suresh &amp; Navin Lalwani </t>
  </si>
  <si>
    <t>1Hold/2joined</t>
  </si>
  <si>
    <t>Associate Manager/ Executive/ Engineer</t>
  </si>
  <si>
    <t>5+ Years</t>
  </si>
  <si>
    <t>Diploma or B.Tech in Mechanical, Production, or Fabrication Engineering</t>
  </si>
  <si>
    <t>10July2025 - Req date chenged coz of bridge fabrication exp</t>
  </si>
  <si>
    <t>Shot Blasting &amp; Painting</t>
  </si>
  <si>
    <t>Offer stage</t>
  </si>
  <si>
    <t>ITI Painter or Diploma in Mechanical, Fabrication, or Paint Technology</t>
  </si>
  <si>
    <t>2478/2791</t>
  </si>
  <si>
    <t>Manual Welding</t>
  </si>
  <si>
    <t>6+ Years</t>
  </si>
  <si>
    <t>Diploma in Welding, Mechanical, or Fabrication Engineering (B.Tech. preferred)</t>
  </si>
  <si>
    <t>Detailer</t>
  </si>
  <si>
    <t>Navin Lalwani &amp; Niraj Yadav</t>
  </si>
  <si>
    <t>3-7 Years</t>
  </si>
  <si>
    <t>Diploma or B.Tech. in Mechanical/ Civil/ Structural/ Production Engineering</t>
  </si>
  <si>
    <t>Welding Expert</t>
  </si>
  <si>
    <t>Senior Manager/ Manager</t>
  </si>
  <si>
    <t>12+ Years</t>
  </si>
  <si>
    <t>24 LPA</t>
  </si>
  <si>
    <t>B.Tech / M.Tech in Metallurgy or Mechanical Engineering</t>
  </si>
  <si>
    <t>Plant Project Lead</t>
  </si>
  <si>
    <t>Cancelled</t>
  </si>
  <si>
    <t>15-25 Years</t>
  </si>
  <si>
    <t>24LPA</t>
  </si>
  <si>
    <t>33LPA</t>
  </si>
  <si>
    <t>Plant Head (New)</t>
  </si>
  <si>
    <t>SK Goyal</t>
  </si>
  <si>
    <t>Sales (new)</t>
  </si>
  <si>
    <t>Aman Vashishtha</t>
  </si>
  <si>
    <t>15-20 Years</t>
  </si>
  <si>
    <t>45 LPA</t>
  </si>
  <si>
    <t>B.Tech &amp; MBA</t>
  </si>
  <si>
    <t>Electrical Manager</t>
  </si>
  <si>
    <t>GP Gupta Mr. Nilesh Ratilal Faladu, Suresh P</t>
  </si>
  <si>
    <t>Btech</t>
  </si>
  <si>
    <t>Plant Project Incharge</t>
  </si>
  <si>
    <t>Suresh p</t>
  </si>
  <si>
    <t>Exe/AM HR</t>
  </si>
  <si>
    <t>Open</t>
  </si>
  <si>
    <t>Executive/AM</t>
  </si>
  <si>
    <t>7+ Years</t>
  </si>
  <si>
    <t>MBA/PGDM</t>
  </si>
  <si>
    <t>Costing Head</t>
  </si>
  <si>
    <t>Production Head</t>
  </si>
  <si>
    <t>KAM</t>
  </si>
  <si>
    <t>Steelway</t>
  </si>
  <si>
    <t>Ujjwal Singh</t>
  </si>
  <si>
    <t>Parsi Sainaresh Gupta</t>
  </si>
  <si>
    <t>parsisainaresh700@gmail.com</t>
  </si>
  <si>
    <t>Key Account Manager</t>
  </si>
  <si>
    <t>Mjunction Services limited</t>
  </si>
  <si>
    <t>LWD: 7/12/2023</t>
  </si>
  <si>
    <t>As per market</t>
  </si>
  <si>
    <t>B.Tech</t>
  </si>
  <si>
    <t>Pune</t>
  </si>
  <si>
    <t>Steel Industries Exp</t>
  </si>
  <si>
    <t>Preeti Koli</t>
  </si>
  <si>
    <t>L1 Reject</t>
  </si>
  <si>
    <t>Reject</t>
  </si>
  <si>
    <t>Kumaran S</t>
  </si>
  <si>
    <t>skumaran106@gmail.com</t>
  </si>
  <si>
    <t>Saint-Gobain India Private Limited</t>
  </si>
  <si>
    <t>Immediate</t>
  </si>
  <si>
    <t>B.E Mechanical</t>
  </si>
  <si>
    <t>Prakash Mishra</t>
  </si>
  <si>
    <t>Candidate Backout</t>
  </si>
  <si>
    <t>Abhijot Mittal</t>
  </si>
  <si>
    <t>abhijotmittal@gmail.com</t>
  </si>
  <si>
    <t>Steel Strips Wheels Limited</t>
  </si>
  <si>
    <t>25% Hike</t>
  </si>
  <si>
    <t xml:space="preserve">Kabilan Ramdoss </t>
  </si>
  <si>
    <t xml:space="preserve">kapilan15@gmail.com </t>
  </si>
  <si>
    <t>Baliga Lighting Equipments</t>
  </si>
  <si>
    <t>B.E.(Mechanical)</t>
  </si>
  <si>
    <t>Product sales, Key account management, handling Export and domestic sales</t>
  </si>
  <si>
    <t>Trupti Harichandan</t>
  </si>
  <si>
    <t>ARYAN BHARDWAJ</t>
  </si>
  <si>
    <t>aryan.sharma230@gmail.com</t>
  </si>
  <si>
    <t>9 yrs exp in logistic</t>
  </si>
  <si>
    <t>TATA Steel </t>
  </si>
  <si>
    <t>B.Tech +Mba</t>
  </si>
  <si>
    <t>New delhi</t>
  </si>
  <si>
    <t>PURUSOTTAM BEHERA</t>
  </si>
  <si>
    <t>purushottam.behera1986@gmail.com</t>
  </si>
  <si>
    <t>15 yrs exp in logistic</t>
  </si>
  <si>
    <t>Tata Steel Downstream Products Ltd</t>
  </si>
  <si>
    <t>LWD: 14-Feb-23</t>
  </si>
  <si>
    <t>A.P-Tada</t>
  </si>
  <si>
    <t>Amit Chaudhari</t>
  </si>
  <si>
    <t>amitaustown@gmail.com</t>
  </si>
  <si>
    <t>11 yrs in Lugistic, Supply chain</t>
  </si>
  <si>
    <t>Nippon Express India Pvt. Ltd.</t>
  </si>
  <si>
    <t>B.Com + MBA</t>
  </si>
  <si>
    <t>Niteen kumar Belkoniker</t>
  </si>
  <si>
    <t>niteen.b17@gmail.com</t>
  </si>
  <si>
    <t>Tata Projects</t>
  </si>
  <si>
    <t xml:space="preserve">30% Hike </t>
  </si>
  <si>
    <t>Ajay Singh</t>
  </si>
  <si>
    <t>Karthikeyan Dhanpal</t>
  </si>
  <si>
    <t>dhanpalkarthikeyan@gmail.com</t>
  </si>
  <si>
    <t>8 yrs exp in sales, industry- metal</t>
  </si>
  <si>
    <t>Samrat Irons</t>
  </si>
  <si>
    <t>30% Hike</t>
  </si>
  <si>
    <t>B.Sc</t>
  </si>
  <si>
    <t>Telengana</t>
  </si>
  <si>
    <t>Position on Hold</t>
  </si>
  <si>
    <t>Praveen Arokiaraj</t>
  </si>
  <si>
    <t>praveenarokiaraj1610@gmail.com</t>
  </si>
  <si>
    <t>8 yrs exp in sales, 6 yrs in steel industry</t>
  </si>
  <si>
    <t>Tata BlueScope Steel Private Ltd</t>
  </si>
  <si>
    <t>30% Hike | Negotiable</t>
  </si>
  <si>
    <t>Chandra Shekhar Vishwakarma</t>
  </si>
  <si>
    <t>chandrashekharvishwakarma@yahoo.co.in</t>
  </si>
  <si>
    <t>14 yrs exp in Logistic, inventory management, transportation, </t>
  </si>
  <si>
    <t>Derwiser India</t>
  </si>
  <si>
    <t>B.Sc + MBA</t>
  </si>
  <si>
    <t>Noida</t>
  </si>
  <si>
    <t>Screen Reject</t>
  </si>
  <si>
    <t>Gaurav Gupta</t>
  </si>
  <si>
    <t>gaurav.guptascm@gmail.com</t>
  </si>
  <si>
    <t>15 Yrs exp in logistic, inventory management,transportion, shipments</t>
  </si>
  <si>
    <t>Stylam Industries</t>
  </si>
  <si>
    <t>Chandigarh</t>
  </si>
  <si>
    <t>Keshav Kaushik</t>
  </si>
  <si>
    <t>Nippon Steel Pipe India</t>
  </si>
  <si>
    <t>Faridabad</t>
  </si>
  <si>
    <t>Prashant Sharma</t>
  </si>
  <si>
    <t>prashantjims@gmail.co</t>
  </si>
  <si>
    <t>Nippon Steel Pipes</t>
  </si>
  <si>
    <t>M.Sc+ PGDM</t>
  </si>
  <si>
    <t>Bhawana</t>
  </si>
  <si>
    <t>sbhawna376@gmail.com</t>
  </si>
  <si>
    <t>Maharashtra Seamless Limited</t>
  </si>
  <si>
    <t>B.tech + MBA</t>
  </si>
  <si>
    <t>Pravesh Kumar Sahu</t>
  </si>
  <si>
    <t>praveshsahu269@gmail.com</t>
  </si>
  <si>
    <t>Ambica Steels</t>
  </si>
  <si>
    <t>30 Days</t>
  </si>
  <si>
    <t>4.3 LPA</t>
  </si>
  <si>
    <t>6 .5 LPA</t>
  </si>
  <si>
    <t>B.Tech Mechanical</t>
  </si>
  <si>
    <t>New Delhi</t>
  </si>
  <si>
    <t>Rahul Khurana</t>
  </si>
  <si>
    <t>rahulrkkhurana001@gmail.com</t>
  </si>
  <si>
    <t>60 Days</t>
  </si>
  <si>
    <t>16 LPA</t>
  </si>
  <si>
    <t>22 LPA</t>
  </si>
  <si>
    <t>B.Tech (Mechanical &amp; Automation)</t>
  </si>
  <si>
    <t xml:space="preserve">Mohit Tyagi </t>
  </si>
  <si>
    <t>mohitmtl.tyagi@gmail.com</t>
  </si>
  <si>
    <t>KAM- BD- Pipes</t>
  </si>
  <si>
    <t xml:space="preserve">12.00 Years </t>
  </si>
  <si>
    <t xml:space="preserve">Apl Apollo Pipes </t>
  </si>
  <si>
    <t xml:space="preserve">25% hike on fixed </t>
  </si>
  <si>
    <t>MBA</t>
  </si>
  <si>
    <t xml:space="preserve">Ghaziabad </t>
  </si>
  <si>
    <t>Nikitha Agarwal</t>
  </si>
  <si>
    <t>Duplicate</t>
  </si>
  <si>
    <t xml:space="preserve">Kushgra Wardhan </t>
  </si>
  <si>
    <t>kushagra.wardhan94@gmail.com</t>
  </si>
  <si>
    <t xml:space="preserve">2.10 Years </t>
  </si>
  <si>
    <t xml:space="preserve">Shyam Steel manufacture </t>
  </si>
  <si>
    <t xml:space="preserve">30% hike on 6.47 LPA </t>
  </si>
  <si>
    <t>PGDM- full time</t>
  </si>
  <si>
    <t xml:space="preserve">Kolkata </t>
  </si>
  <si>
    <t>Final Select</t>
  </si>
  <si>
    <t>Select</t>
  </si>
  <si>
    <t xml:space="preserve">Siddarth Birla </t>
  </si>
  <si>
    <t>siddharth.birla1@gmail.com</t>
  </si>
  <si>
    <t xml:space="preserve">5.00 Years </t>
  </si>
  <si>
    <t xml:space="preserve">2.00 Years </t>
  </si>
  <si>
    <t>DBS Building Products</t>
  </si>
  <si>
    <t xml:space="preserve">25% on hike fixed </t>
  </si>
  <si>
    <t xml:space="preserve">Btech, PDGM - full time </t>
  </si>
  <si>
    <t>Tinu Anand</t>
  </si>
  <si>
    <t>tinuanand29@gmail.com</t>
  </si>
  <si>
    <t>logistics, transportation management,</t>
  </si>
  <si>
    <t>Adani Logistics Ltd,Multi-modal logistics parks</t>
  </si>
  <si>
    <t>30% hike</t>
  </si>
  <si>
    <t>Shilpa H</t>
  </si>
  <si>
    <t>Sudhanshu Tripathi</t>
  </si>
  <si>
    <t xml:space="preserve">7218435695, 9834595866   </t>
  </si>
  <si>
    <t xml:space="preserve">  tripathi5690@gmail.com</t>
  </si>
  <si>
    <t>Reliance retail Limited</t>
  </si>
  <si>
    <t>25% hike</t>
  </si>
  <si>
    <t>Jajjar</t>
  </si>
  <si>
    <t>Amit Gupta</t>
  </si>
  <si>
    <t>amit85ei@gmail.com</t>
  </si>
  <si>
    <t>Sales, BD, KAM, Customer Acquisition, Customer Retention, B2B, Market Mapping</t>
  </si>
  <si>
    <t>14+</t>
  </si>
  <si>
    <t>Surya Roshni</t>
  </si>
  <si>
    <t>25-30% hike</t>
  </si>
  <si>
    <t>BE + MBA</t>
  </si>
  <si>
    <t>Delhi</t>
  </si>
  <si>
    <t>14 + yrs of exp in sales and marketing</t>
  </si>
  <si>
    <t>Vinay Kumar</t>
  </si>
  <si>
    <t>Gaurav Singh</t>
  </si>
  <si>
    <t>grvsingh2009@gmail.com</t>
  </si>
  <si>
    <t>APL Apollo Tubes</t>
  </si>
  <si>
    <t>7 to 8 LPA</t>
  </si>
  <si>
    <t>Indore</t>
  </si>
  <si>
    <t>8.9 yrs of exp in sales and marketing</t>
  </si>
  <si>
    <t>Ajay Kumar Singh</t>
  </si>
  <si>
    <t>ajay20580@gmail.com</t>
  </si>
  <si>
    <t>8.9 LPA</t>
  </si>
  <si>
    <t>Bhubaneshwar</t>
  </si>
  <si>
    <t>14 yrs of exp in sales and marketing</t>
  </si>
  <si>
    <t>Deepanshu Katiyar</t>
  </si>
  <si>
    <t>dkatiyarmae@gmail.com</t>
  </si>
  <si>
    <t>Uttam Strips</t>
  </si>
  <si>
    <t>9.7 LPA</t>
  </si>
  <si>
    <t>B Tech+ MBA</t>
  </si>
  <si>
    <t>11 yrs of exp in sales and marketing</t>
  </si>
  <si>
    <t>Kuldeep Jain</t>
  </si>
  <si>
    <t>kuldeep_jain01@yahoo.co.in</t>
  </si>
  <si>
    <t>8.5 LPA</t>
  </si>
  <si>
    <t>Jabalpur</t>
  </si>
  <si>
    <t>Shakti Kundu</t>
  </si>
  <si>
    <t>shaktikundu466@gmail.com</t>
  </si>
  <si>
    <t>-</t>
  </si>
  <si>
    <t>Mukand Sumi Special Steel Ltd</t>
  </si>
  <si>
    <t>B.Tech/B.E.,Mechanical</t>
  </si>
  <si>
    <t xml:space="preserve">Rutali </t>
  </si>
  <si>
    <t>Mankeshwar Kumar Mishra</t>
  </si>
  <si>
    <t>mishramk372@gmail.com</t>
  </si>
  <si>
    <t>KAM, BD, Sales &amp; Marketing, Tubes/Pipes/Long products</t>
  </si>
  <si>
    <t>3.6 LPA</t>
  </si>
  <si>
    <t>25 to 30% hike</t>
  </si>
  <si>
    <t>B Tech (ME)</t>
  </si>
  <si>
    <t>1 year of exp in sales and marketing</t>
  </si>
  <si>
    <t>Ravi Awasthi</t>
  </si>
  <si>
    <t>awasthiravi305@gmail.com</t>
  </si>
  <si>
    <t>Shyam Steels</t>
  </si>
  <si>
    <t>40 K/month</t>
  </si>
  <si>
    <t>55-60 K/month</t>
  </si>
  <si>
    <t>B.Com</t>
  </si>
  <si>
    <t xml:space="preserve">Mayank Singh </t>
  </si>
  <si>
    <t xml:space="preserve">6394952048, 8533041362  </t>
  </si>
  <si>
    <t>Mayanksingh4409@gmail.com</t>
  </si>
  <si>
    <t>APL Apollo Tubes Limited</t>
  </si>
  <si>
    <t>45 K/month</t>
  </si>
  <si>
    <t>Haryana</t>
  </si>
  <si>
    <t>Anup Kumar Vishwakarma</t>
  </si>
  <si>
    <t>8423251160, 9453199247</t>
  </si>
  <si>
    <t>akvishwakarma073@gmail.com</t>
  </si>
  <si>
    <t>7.82 LPA F+ variable</t>
  </si>
  <si>
    <t>10 LPA, Can discuss</t>
  </si>
  <si>
    <t xml:space="preserve">handling Utakhand and UP </t>
  </si>
  <si>
    <t>Hritik Shishodia</t>
  </si>
  <si>
    <t>hritikshishodia@gmail.com</t>
  </si>
  <si>
    <t>Goodluck INDIA LTD</t>
  </si>
  <si>
    <t>30 days</t>
  </si>
  <si>
    <t>30 K/ Month</t>
  </si>
  <si>
    <t>40 K/ Month</t>
  </si>
  <si>
    <t>Kerala</t>
  </si>
  <si>
    <t>Reason for job change-Job Security</t>
  </si>
  <si>
    <t>Ashish Tiwari</t>
  </si>
  <si>
    <t>ashishtiwari8440@gmail.com</t>
  </si>
  <si>
    <t xml:space="preserve">Surya Roshni Limited </t>
  </si>
  <si>
    <t>34 K/ hand</t>
  </si>
  <si>
    <t>Uttarakhand</t>
  </si>
  <si>
    <t>Sachin Kumar</t>
  </si>
  <si>
    <t>8789182355, 7561907526</t>
  </si>
  <si>
    <t>sachinkumararwal@gmail.com</t>
  </si>
  <si>
    <t>Shyam Steel manufacturing ltd</t>
  </si>
  <si>
    <t>4.5 LPA F</t>
  </si>
  <si>
    <t>6 LPA</t>
  </si>
  <si>
    <t>Bihar</t>
  </si>
  <si>
    <t xml:space="preserve">Somesh Gupta </t>
  </si>
  <si>
    <t>somugupta0494@gmail.com</t>
  </si>
  <si>
    <t xml:space="preserve">Logistics &amp; transportation </t>
  </si>
  <si>
    <t xml:space="preserve">6.00 Years </t>
  </si>
  <si>
    <t>Ultratech Cement</t>
  </si>
  <si>
    <t>12.25 LPA Total , + 36k</t>
  </si>
  <si>
    <t xml:space="preserve">Bcom, MBA - PGDM </t>
  </si>
  <si>
    <t xml:space="preserve">Noida </t>
  </si>
  <si>
    <t>Prabin Goswami</t>
  </si>
  <si>
    <t>prabingoswami@gmail.com</t>
  </si>
  <si>
    <t xml:space="preserve">10.00 Years </t>
  </si>
  <si>
    <t xml:space="preserve">Dalmia Cement </t>
  </si>
  <si>
    <t xml:space="preserve">15.50 LPA fixed </t>
  </si>
  <si>
    <t xml:space="preserve">40% Hike </t>
  </si>
  <si>
    <t>BE</t>
  </si>
  <si>
    <t xml:space="preserve">Guwahati </t>
  </si>
  <si>
    <t>Shaik Mohammed Haneef</t>
  </si>
  <si>
    <t>haneefmohammed011@gmail.com</t>
  </si>
  <si>
    <t>Domestic Logistics</t>
  </si>
  <si>
    <t xml:space="preserve">Ultratech Cement Ltd </t>
  </si>
  <si>
    <t>90 days</t>
  </si>
  <si>
    <t>10.6 LPA (13% variable included)</t>
  </si>
  <si>
    <t>40%, negotiable upto 30%</t>
  </si>
  <si>
    <t>AP</t>
  </si>
  <si>
    <t>Akshay Panchal</t>
  </si>
  <si>
    <t>akspanchal33@gmail.com</t>
  </si>
  <si>
    <t>sales and marketing, business development</t>
  </si>
  <si>
    <t>POSCO</t>
  </si>
  <si>
    <t>7.5 to 8 LPA</t>
  </si>
  <si>
    <t>5 years of exp in sales and marketing</t>
  </si>
  <si>
    <t xml:space="preserve">Vivek Singh </t>
  </si>
  <si>
    <t>vivekkumarsingh5223@gmail.com</t>
  </si>
  <si>
    <t xml:space="preserve">Shyam steel </t>
  </si>
  <si>
    <t xml:space="preserve">40k in hand </t>
  </si>
  <si>
    <t xml:space="preserve">MBA </t>
  </si>
  <si>
    <t xml:space="preserve">Ghazipur </t>
  </si>
  <si>
    <t xml:space="preserve">Anuj Kumar </t>
  </si>
  <si>
    <t>anuj05262@gmail.com</t>
  </si>
  <si>
    <t xml:space="preserve">APL Apollo pipes </t>
  </si>
  <si>
    <t xml:space="preserve">50k in hand </t>
  </si>
  <si>
    <t xml:space="preserve">Dehradhun </t>
  </si>
  <si>
    <t>Rakesh Roy</t>
  </si>
  <si>
    <t>Royrakesh1993@gmail.com</t>
  </si>
  <si>
    <t>Domestics Logistics</t>
  </si>
  <si>
    <t>Adani Logistics Limited (ALL)</t>
  </si>
  <si>
    <t>11.6 +1.4</t>
  </si>
  <si>
    <t>25-30%</t>
  </si>
  <si>
    <t>Product: Paints, Cement, multiple products</t>
  </si>
  <si>
    <t>Y2J</t>
  </si>
  <si>
    <t>Devansh Khandelwal</t>
  </si>
  <si>
    <t>devansh12khandelwal@gmail.com</t>
  </si>
  <si>
    <t xml:space="preserve">Transport Corporation of India Pvt. Ltd. </t>
  </si>
  <si>
    <t>9.5 Fixed</t>
  </si>
  <si>
    <t>30-35%</t>
  </si>
  <si>
    <t>25 K/month bikes, 1500/month cars</t>
  </si>
  <si>
    <t>Ravi Yelappa Golar</t>
  </si>
  <si>
    <t xml:space="preserve">7069005477, 8369813245 </t>
  </si>
  <si>
    <t>rgolar92@gmail.com</t>
  </si>
  <si>
    <t>Reliance Industries Limited</t>
  </si>
  <si>
    <t>11.06 + 1.60</t>
  </si>
  <si>
    <t>Rewari</t>
  </si>
  <si>
    <t>Product: Oil, Gas, Petrolium</t>
  </si>
  <si>
    <t>Manish Kumar</t>
  </si>
  <si>
    <t>krmanish28@rediffmail.com</t>
  </si>
  <si>
    <t>ULTRATECH Cement Ltd</t>
  </si>
  <si>
    <t>9.40 LPA Fixed</t>
  </si>
  <si>
    <t>Ratnagiri</t>
  </si>
  <si>
    <t>Backup Profiles</t>
  </si>
  <si>
    <t>Abhishek Kumar</t>
  </si>
  <si>
    <t>abhishekkmr12@gmail.com</t>
  </si>
  <si>
    <t>logistic operation, domestic transporation, truck, railway</t>
  </si>
  <si>
    <t>YAMAHA Motors Pvt Ltd</t>
  </si>
  <si>
    <t>Vishav Vibhu</t>
  </si>
  <si>
    <t>vishav58@gmail.com</t>
  </si>
  <si>
    <t>Honda Motorcycle &amp; Scooters India Pvt Ltd</t>
  </si>
  <si>
    <t>16.20 LPA</t>
  </si>
  <si>
    <t>Vimal Kumar</t>
  </si>
  <si>
    <t xml:space="preserve">vimalkkr25@gmail.com </t>
  </si>
  <si>
    <t>Shyam Steel</t>
  </si>
  <si>
    <t>6 LPA F+ Variable</t>
  </si>
  <si>
    <t>BA</t>
  </si>
  <si>
    <t>TMT Rebar</t>
  </si>
  <si>
    <t>Punit Kumar</t>
  </si>
  <si>
    <t>punitsngh98@gmail.com</t>
  </si>
  <si>
    <t>Shyaam Steel</t>
  </si>
  <si>
    <t>6.5 LPA F+Variable</t>
  </si>
  <si>
    <t>8.5 LPA (offer- Bihar-8.5 LPA)</t>
  </si>
  <si>
    <t>Parth Patel</t>
  </si>
  <si>
    <t>9727043207)</t>
  </si>
  <si>
    <t>parth18993@gmail.com</t>
  </si>
  <si>
    <t>BD, SALES, Steel</t>
  </si>
  <si>
    <t>Ratnaflex Engineering Pvt. Ltd</t>
  </si>
  <si>
    <t>45 days</t>
  </si>
  <si>
    <t xml:space="preserve">Vishal Singh </t>
  </si>
  <si>
    <t>vishal.singh17994@gmail.com</t>
  </si>
  <si>
    <t xml:space="preserve">30 Days </t>
  </si>
  <si>
    <t>4.77 LPA LPA</t>
  </si>
  <si>
    <t xml:space="preserve">MBA  - Marketing </t>
  </si>
  <si>
    <t xml:space="preserve">Ranchi </t>
  </si>
  <si>
    <t xml:space="preserve">Ashutosh kumar </t>
  </si>
  <si>
    <t>at559033@gmail.com</t>
  </si>
  <si>
    <t xml:space="preserve">Khamdenu </t>
  </si>
  <si>
    <t xml:space="preserve">4.70 LPA Fixed </t>
  </si>
  <si>
    <t>7.00 LPA</t>
  </si>
  <si>
    <t xml:space="preserve">Kanpur </t>
  </si>
  <si>
    <t xml:space="preserve">Dharmendra Dubey </t>
  </si>
  <si>
    <t>dharmendradubey33@gmail.com</t>
  </si>
  <si>
    <t xml:space="preserve">Vishal Pipes </t>
  </si>
  <si>
    <t xml:space="preserve">6.72 LPA Fixed </t>
  </si>
  <si>
    <t>40% hike</t>
  </si>
  <si>
    <t>Nair Suraj Unnikrishnan</t>
  </si>
  <si>
    <t>surajnair1810@gmail.com</t>
  </si>
  <si>
    <t>Ratnamani Metals &amp; Tubes</t>
  </si>
  <si>
    <t>90 days, Buyout available</t>
  </si>
  <si>
    <t xml:space="preserve">3.84 LPA   </t>
  </si>
  <si>
    <t>5.4 LPA</t>
  </si>
  <si>
    <t>BE (ME)</t>
  </si>
  <si>
    <t>2 years of exp in sales and marketing</t>
  </si>
  <si>
    <t xml:space="preserve">
Himanshu Sukhralia</t>
  </si>
  <si>
    <t>er.himanshu.roorkee@gmail.com</t>
  </si>
  <si>
    <t>Zetwerk Manufacturing</t>
  </si>
  <si>
    <t>B.Tech/MBA</t>
  </si>
  <si>
    <t>Nagpur</t>
  </si>
  <si>
    <t>18 yrs in Fabrication, SAP exp</t>
  </si>
  <si>
    <t xml:space="preserve">Nitin Sawant </t>
  </si>
  <si>
    <t>nitin_2359@rediffmail.com</t>
  </si>
  <si>
    <t>Heavy Engineering Corporation</t>
  </si>
  <si>
    <t>M.Tech</t>
  </si>
  <si>
    <t>Rachi</t>
  </si>
  <si>
    <t>Sachin Shambharkar</t>
  </si>
  <si>
    <t>sachin.shambharkar@rediffmail.com</t>
  </si>
  <si>
    <t>8 Yrs exp in fabrications</t>
  </si>
  <si>
    <t>Indiana Gratings</t>
  </si>
  <si>
    <t>BE-Machenical</t>
  </si>
  <si>
    <t>Ganesh Kumar</t>
  </si>
  <si>
    <t>ganesh4ong@gmail.com</t>
  </si>
  <si>
    <t>Plant Commissioning &amp; Running, equipments, EXIM, Operation</t>
  </si>
  <si>
    <t>Supersmelter</t>
  </si>
  <si>
    <t>32 LPA</t>
  </si>
  <si>
    <t>As per market standard</t>
  </si>
  <si>
    <t>M.tech</t>
  </si>
  <si>
    <t>Durgapur</t>
  </si>
  <si>
    <t>17 years of exp in fabrication, plant commissioning, operation, equipments, EXIM</t>
  </si>
  <si>
    <t>Shahnawaz Siddiqui</t>
  </si>
  <si>
    <t>siddiqui.shahnawaz77@gmail.com</t>
  </si>
  <si>
    <t>Mecon Ltd</t>
  </si>
  <si>
    <t>18 LPA</t>
  </si>
  <si>
    <t>26 LPA</t>
  </si>
  <si>
    <t>Nasik</t>
  </si>
  <si>
    <t>22 years of exp in fabrication,plant commissioning, operation, equipments, EXIM</t>
  </si>
  <si>
    <t>Ratnesh Katiyar</t>
  </si>
  <si>
    <t>ratneshkatiyar1993@gmail.com</t>
  </si>
  <si>
    <t>sales, BD</t>
  </si>
  <si>
    <t>6 years</t>
  </si>
  <si>
    <r>
      <t>SURYA ROSHNI</t>
    </r>
    <r>
      <rPr>
        <sz val="12.75"/>
        <rFont val="WQLGQD+TimesNewRomanPS-BoldMT"/>
        <charset val="1"/>
      </rPr>
      <t> </t>
    </r>
    <r>
      <rPr>
        <sz val="11.85"/>
        <rFont val="WQLGQD+TimesNewRomanPS-BoldMT"/>
        <charset val="1"/>
      </rPr>
      <t>LIMITED</t>
    </r>
  </si>
  <si>
    <t>3,40 LPA</t>
  </si>
  <si>
    <t>Kanpur</t>
  </si>
  <si>
    <t>L2 Reject</t>
  </si>
  <si>
    <t>Pending</t>
  </si>
  <si>
    <t>Ziaur Rahman Molla</t>
  </si>
  <si>
    <t>z.rahman63@gmail.com</t>
  </si>
  <si>
    <t>Shyam Steel Industries Ltd</t>
  </si>
  <si>
    <t>2.77 LPA F+Variable</t>
  </si>
  <si>
    <t>4-5 LPA</t>
  </si>
  <si>
    <t>West Bengal</t>
  </si>
  <si>
    <t>TMT Rebar. Govt and private project</t>
  </si>
  <si>
    <t>Soumitra Chakraborty</t>
  </si>
  <si>
    <t>soumitrancp13@gmail.com</t>
  </si>
  <si>
    <t>4.20 LPA F+ variable</t>
  </si>
  <si>
    <t xml:space="preserve">6 LPA </t>
  </si>
  <si>
    <t>TMT Bar</t>
  </si>
  <si>
    <t>Feedback Pending</t>
  </si>
  <si>
    <t>Pavan Kumar Pandey</t>
  </si>
  <si>
    <t>pandeypavan52@gmail.com</t>
  </si>
  <si>
    <t>5.2 LPA (including variable)</t>
  </si>
  <si>
    <t>7 LPA</t>
  </si>
  <si>
    <t>Sales and Marketing</t>
  </si>
  <si>
    <t>Siddharth Singh</t>
  </si>
  <si>
    <t>8527247095, 8004809794</t>
  </si>
  <si>
    <t>sid800480@gmail.com</t>
  </si>
  <si>
    <t>Tata Steel</t>
  </si>
  <si>
    <t>11.75 LPA</t>
  </si>
  <si>
    <t>16LPA</t>
  </si>
  <si>
    <t>Aman Jain</t>
  </si>
  <si>
    <t> 6395706426;    9068176660</t>
  </si>
  <si>
    <t>aman.jain02111@gmail.com</t>
  </si>
  <si>
    <t>Nayara Energy</t>
  </si>
  <si>
    <t>13.20 LPA</t>
  </si>
  <si>
    <t>18LPA</t>
  </si>
  <si>
    <t>Jamnagar</t>
  </si>
  <si>
    <t>Aditya Rawat</t>
  </si>
  <si>
    <t>aditya.kool11@gmail.com</t>
  </si>
  <si>
    <t>UltraTech Cement</t>
  </si>
  <si>
    <t>13 LPA</t>
  </si>
  <si>
    <t>20-30% Hike</t>
  </si>
  <si>
    <t>Monika</t>
  </si>
  <si>
    <t>Sharique Ali</t>
  </si>
  <si>
    <t>ali.sharique05@gmail.com</t>
  </si>
  <si>
    <t>6.5 LPA F+Incentive</t>
  </si>
  <si>
    <t>can discuss</t>
  </si>
  <si>
    <t>5 yrs into steel industry</t>
  </si>
  <si>
    <t>Mukund Ranjan Ojha</t>
  </si>
  <si>
    <t xml:space="preserve">8226912467, 8826058628 </t>
  </si>
  <si>
    <t xml:space="preserve">mukundojha125@gmail.com </t>
  </si>
  <si>
    <t xml:space="preserve">Dina Iron &amp; Steel Ltd </t>
  </si>
  <si>
    <t>5 LPA (including variable)</t>
  </si>
  <si>
    <t>9 years into steel industry and product : TMT Rebar</t>
  </si>
  <si>
    <t>Deepak Ojha</t>
  </si>
  <si>
    <t>ojha.deepak1991@gmail.com</t>
  </si>
  <si>
    <t>7.5 LPA F</t>
  </si>
  <si>
    <t>9 LPA, can negotiate-depend on interview</t>
  </si>
  <si>
    <t>B.sc</t>
  </si>
  <si>
    <t>Indore, MP</t>
  </si>
  <si>
    <t>6 years into Steel industry</t>
  </si>
  <si>
    <t>Ambica Steels Limited</t>
  </si>
  <si>
    <t>4.7 CTC( 35K In Hand)Increment due</t>
  </si>
  <si>
    <t>25- 30 % Hike</t>
  </si>
  <si>
    <t>Kanika Goyal</t>
  </si>
  <si>
    <t>Akhand Pratap Singh</t>
  </si>
  <si>
    <t>coolakhandsingh21@gmail.com</t>
  </si>
  <si>
    <t>APL Apollo Tubes Ltd </t>
  </si>
  <si>
    <t xml:space="preserve">30% hike </t>
  </si>
  <si>
    <t>Raipur</t>
  </si>
  <si>
    <t>Somesh Gupta</t>
  </si>
  <si>
    <t xml:space="preserve">someshgupta0494@gmail.com </t>
  </si>
  <si>
    <t>Logistic TrNorth Zone</t>
  </si>
  <si>
    <t>UltraTech Cement</t>
  </si>
  <si>
    <t>11.5LPA + 2LPA</t>
  </si>
  <si>
    <t>PGDM, B.Com</t>
  </si>
  <si>
    <t>Vaishali</t>
  </si>
  <si>
    <t>Raman Singh</t>
  </si>
  <si>
    <t>raman26695@gmail.com</t>
  </si>
  <si>
    <t xml:space="preserve">Neemrana Steel Service Center India </t>
  </si>
  <si>
    <t>3.36LPA</t>
  </si>
  <si>
    <t>5LPA</t>
  </si>
  <si>
    <t>Rajasthan</t>
  </si>
  <si>
    <t>Chetan Singh</t>
  </si>
  <si>
    <t>chetans0692@gmail.com</t>
  </si>
  <si>
    <t>6 Years</t>
  </si>
  <si>
    <t>SRJ Tubes</t>
  </si>
  <si>
    <t>30Days</t>
  </si>
  <si>
    <t>Aurangabad</t>
  </si>
  <si>
    <t>Goutam Roy</t>
  </si>
  <si>
    <t>goutam1405@gmail.com</t>
  </si>
  <si>
    <t>2.5 Years</t>
  </si>
  <si>
    <t>Shyam Steel industries Ltd</t>
  </si>
  <si>
    <t>Sourabh Saxena</t>
  </si>
  <si>
    <t>sourabh.saxena7898@gmail.com</t>
  </si>
  <si>
    <t>4.5 Years</t>
  </si>
  <si>
    <t>2 Years</t>
  </si>
  <si>
    <t>Astral Pipes</t>
  </si>
  <si>
    <t>Bhopal</t>
  </si>
  <si>
    <t>Vineet Kubal</t>
  </si>
  <si>
    <t>vineet.kubal55@gmail.com</t>
  </si>
  <si>
    <t>3Yrs</t>
  </si>
  <si>
    <t>1.5Yrs</t>
  </si>
  <si>
    <t>Nevatia Steel &amp; Alloys pvt ltd</t>
  </si>
  <si>
    <t>30days</t>
  </si>
  <si>
    <t>3.96LPA + 1.5LPA</t>
  </si>
  <si>
    <t>MBA, BE</t>
  </si>
  <si>
    <t>Dahanu</t>
  </si>
  <si>
    <t>Kanika</t>
  </si>
  <si>
    <t>Candidate Drop</t>
  </si>
  <si>
    <t>Pratik Khandke</t>
  </si>
  <si>
    <t>pratik.khandke15@gmail.com</t>
  </si>
  <si>
    <t xml:space="preserve">KAM, Sales, BD, steel </t>
  </si>
  <si>
    <t>Blue Ocean Steels</t>
  </si>
  <si>
    <t>4.1LPA fixed</t>
  </si>
  <si>
    <t>steel round rod</t>
  </si>
  <si>
    <t>Dhruv J Darji</t>
  </si>
  <si>
    <t>darjidhruv17101999@gmail.com</t>
  </si>
  <si>
    <t>Harsha Engineers International Ltd</t>
  </si>
  <si>
    <t>4LPA fixed + .5V</t>
  </si>
  <si>
    <t>8 LPA(Nego)</t>
  </si>
  <si>
    <t>steel stamping product</t>
  </si>
  <si>
    <t>Dushyant Nehar</t>
  </si>
  <si>
    <t>dushyantnehar@gmail.com</t>
  </si>
  <si>
    <t>Tata Precisión Industries (India) Ltd.</t>
  </si>
  <si>
    <t xml:space="preserve">6.5 LPA fixed </t>
  </si>
  <si>
    <t>9 to 10 LPA</t>
  </si>
  <si>
    <t>BE+MBA</t>
  </si>
  <si>
    <t>Tanmay Rathi</t>
  </si>
  <si>
    <t>infotanmayrathi@gmail.com</t>
  </si>
  <si>
    <t>Metalbook</t>
  </si>
  <si>
    <t>7 LPA fixed + 25 PMV</t>
  </si>
  <si>
    <t>10 LPA fixed</t>
  </si>
  <si>
    <t>Romio Ranjan Mallick</t>
  </si>
  <si>
    <t>romioranjanmallick@gmail.com</t>
  </si>
  <si>
    <t>Aarti Steels Limited</t>
  </si>
  <si>
    <t>B.Tech+MBA</t>
  </si>
  <si>
    <t>Odisha</t>
  </si>
  <si>
    <t>Hardik Vekariya</t>
  </si>
  <si>
    <t>hardikvekariya74@gmail.com</t>
  </si>
  <si>
    <t>Toyota Tsusho India Pvt. Ltd</t>
  </si>
  <si>
    <t>manish.kumar2@amns.in</t>
  </si>
  <si>
    <t>AMNS</t>
  </si>
  <si>
    <t>8 + 1 LPA</t>
  </si>
  <si>
    <t>Okay for same as well</t>
  </si>
  <si>
    <t>Gandhidham</t>
  </si>
  <si>
    <t>L1 Stage</t>
  </si>
  <si>
    <t>Sagar Shashikant Bhosale</t>
  </si>
  <si>
    <t>sagarbhosle91@gmail.com</t>
  </si>
  <si>
    <t>8 Years</t>
  </si>
  <si>
    <t>3.5 Years</t>
  </si>
  <si>
    <t>Nathasha Fin Tubes Private Limited</t>
  </si>
  <si>
    <t>BE Mech</t>
  </si>
  <si>
    <t>Shashank Jadhav</t>
  </si>
  <si>
    <t>Shash.jdv@gmail.com</t>
  </si>
  <si>
    <t>Ratnamani Metals &amp; Tubes Ltd</t>
  </si>
  <si>
    <t>5.5 CTC (All Fixed)</t>
  </si>
  <si>
    <t>30-35 % Hike</t>
  </si>
  <si>
    <t>Chetan Golwalkar</t>
  </si>
  <si>
    <t>chetangolwalkar@gmail.com</t>
  </si>
  <si>
    <t>Innovative Clad Solutions</t>
  </si>
  <si>
    <t>90 days, buy out available</t>
  </si>
  <si>
    <t xml:space="preserve">BE </t>
  </si>
  <si>
    <t>L1 to be scheduled</t>
  </si>
  <si>
    <t>Kaushik Vamza</t>
  </si>
  <si>
    <t>vamzakaushik21@gmail.com</t>
  </si>
  <si>
    <t>ASR Multi Metals</t>
  </si>
  <si>
    <t>Rajkot</t>
  </si>
  <si>
    <t>Mohit Jaiswal</t>
  </si>
  <si>
    <t>mohitjaiswal3281@gmail.com</t>
  </si>
  <si>
    <t>Jaideep Ispat &amp; Alloys</t>
  </si>
  <si>
    <t>Ashish Kumar</t>
  </si>
  <si>
    <t>ashishkum950@gmail.com</t>
  </si>
  <si>
    <t>Synergy Steel Ltd</t>
  </si>
  <si>
    <t>4 LPA (34000 in hand)</t>
  </si>
  <si>
    <t>25% to 30% hike</t>
  </si>
  <si>
    <t>Darshit Bhakhar</t>
  </si>
  <si>
    <t>darshitp113@gmail.com</t>
  </si>
  <si>
    <t>5+</t>
  </si>
  <si>
    <t>Baosteel India</t>
  </si>
  <si>
    <t>27000 in hand</t>
  </si>
  <si>
    <t xml:space="preserve">L1 Reject </t>
  </si>
  <si>
    <t>Aniket Rajendra Mane</t>
  </si>
  <si>
    <t xml:space="preserve">maneaniket027@gmail.com </t>
  </si>
  <si>
    <t>7 Years</t>
  </si>
  <si>
    <t>3 Years</t>
  </si>
  <si>
    <t>Swastik Industrial Works</t>
  </si>
  <si>
    <t xml:space="preserve">PGDM </t>
  </si>
  <si>
    <t xml:space="preserve">Screen Reject </t>
  </si>
  <si>
    <t>Rishi Kesh Jha</t>
  </si>
  <si>
    <t>rishikeshjha92@gmail.com</t>
  </si>
  <si>
    <t>10 Years</t>
  </si>
  <si>
    <t>Univteck Pvt Ltd</t>
  </si>
  <si>
    <t xml:space="preserve">KAM- AM </t>
  </si>
  <si>
    <t>Arvind Kumar</t>
  </si>
  <si>
    <t>arvindpassion2008@gmail.com</t>
  </si>
  <si>
    <t>Varalka Engineers Pvt Ltd</t>
  </si>
  <si>
    <t>Abhimanyu Kumar</t>
  </si>
  <si>
    <t>abhimanyukumar804@gmail.com</t>
  </si>
  <si>
    <t>5 Years</t>
  </si>
  <si>
    <t xml:space="preserve">Rajasthan </t>
  </si>
  <si>
    <t>Anjani Shukla</t>
  </si>
  <si>
    <t xml:space="preserve">anjanishu42@gmail.com       </t>
  </si>
  <si>
    <t>9 Years</t>
  </si>
  <si>
    <t xml:space="preserve">SKA steel power Ltd </t>
  </si>
  <si>
    <t xml:space="preserve">Raipur </t>
  </si>
  <si>
    <t xml:space="preserve">ashishkum950@gmail.com </t>
  </si>
  <si>
    <t>1.7 Years</t>
  </si>
  <si>
    <t xml:space="preserve">Delhi </t>
  </si>
  <si>
    <t>Tanmay</t>
  </si>
  <si>
    <t>5.3 Years</t>
  </si>
  <si>
    <t xml:space="preserve">BE  </t>
  </si>
  <si>
    <t>15 Days</t>
  </si>
  <si>
    <t>Screening Pending</t>
  </si>
  <si>
    <t>Screening stage</t>
  </si>
  <si>
    <t>Rishabh Kumar</t>
  </si>
  <si>
    <t xml:space="preserve"> vijrishabh016@gmail.com</t>
  </si>
  <si>
    <t>4 Years</t>
  </si>
  <si>
    <t xml:space="preserve">Shri Durga Steel </t>
  </si>
  <si>
    <t xml:space="preserve">B.SC </t>
  </si>
  <si>
    <t>Mukesh Kumar Ram</t>
  </si>
  <si>
    <t>mk27655@gmail.com</t>
  </si>
  <si>
    <t>4.6 Years</t>
  </si>
  <si>
    <t>IFB Industries Ltd Steel</t>
  </si>
  <si>
    <t>B. Tech</t>
  </si>
  <si>
    <t>Srinivas Miduli</t>
  </si>
  <si>
    <t>Srinumet1234@gmail.com</t>
  </si>
  <si>
    <t xml:space="preserve">Supply Chain </t>
  </si>
  <si>
    <t>11 Years</t>
  </si>
  <si>
    <t>Tata nipon steel</t>
  </si>
  <si>
    <t xml:space="preserve">90 Days </t>
  </si>
  <si>
    <t>8.87 LPA</t>
  </si>
  <si>
    <t>20 -25 %</t>
  </si>
  <si>
    <t>Jamshedpur</t>
  </si>
  <si>
    <t>Soniya</t>
  </si>
  <si>
    <t>Thirumurukan Raju</t>
  </si>
  <si>
    <t>thirumurukan.r@gmail.com</t>
  </si>
  <si>
    <t>16 Years</t>
  </si>
  <si>
    <t xml:space="preserve">Bosch </t>
  </si>
  <si>
    <t>12.5 CTC (10 Fixed)</t>
  </si>
  <si>
    <t xml:space="preserve">14-15 CTC </t>
  </si>
  <si>
    <t>B.E</t>
  </si>
  <si>
    <t>Bangalore</t>
  </si>
  <si>
    <t>Dheeraj Saraswat</t>
  </si>
  <si>
    <t>dheerajswt@gmail.com</t>
  </si>
  <si>
    <t xml:space="preserve">Orient Electric Ltd </t>
  </si>
  <si>
    <t>13.5 CTC (5% Variable included)</t>
  </si>
  <si>
    <t xml:space="preserve">APCN </t>
  </si>
  <si>
    <t>Bhawani Singh Kachhawa</t>
  </si>
  <si>
    <t>bhawani.rymec@gmail.com</t>
  </si>
  <si>
    <t>TSDPL</t>
  </si>
  <si>
    <t xml:space="preserve">60 Days </t>
  </si>
  <si>
    <t>9.5  CTC (1.2 Variable included)</t>
  </si>
  <si>
    <t xml:space="preserve">12 CTC </t>
  </si>
  <si>
    <t>Ashish Sharma</t>
  </si>
  <si>
    <t>ashish0703sanvi@gmail.com</t>
  </si>
  <si>
    <t>9.6 Years</t>
  </si>
  <si>
    <t>ArcelorMittal Nippon Steel India</t>
  </si>
  <si>
    <t>Immedidate</t>
  </si>
  <si>
    <t xml:space="preserve">9.6 CTC </t>
  </si>
  <si>
    <t>15 CTC (20-25% Hike)</t>
  </si>
  <si>
    <t xml:space="preserve">B.Tech </t>
  </si>
  <si>
    <t>Bahadurgarh</t>
  </si>
  <si>
    <t>Saubhagya Sahoo</t>
  </si>
  <si>
    <t>saubhagyasahoo201 0@gmail.com</t>
  </si>
  <si>
    <t>13 Years</t>
  </si>
  <si>
    <t>Volvo Eicher</t>
  </si>
  <si>
    <t>6.80 LPA</t>
  </si>
  <si>
    <t>B.Sc Phy &amp; MBA M &amp;F</t>
  </si>
  <si>
    <t>Cuttack</t>
  </si>
  <si>
    <t>Shanki Shekhar</t>
  </si>
  <si>
    <t>shekharsh136@gmail.com</t>
  </si>
  <si>
    <t>SKM Steels Ltd</t>
  </si>
  <si>
    <t>6 CTC (40 k in hand)</t>
  </si>
  <si>
    <t xml:space="preserve">8 CTC </t>
  </si>
  <si>
    <t>Rahul Thakur</t>
  </si>
  <si>
    <t>rahultalwar83@gmail.com</t>
  </si>
  <si>
    <t>12 Years</t>
  </si>
  <si>
    <t>Body Cupid Pvt. Ltd</t>
  </si>
  <si>
    <t>11 CTC Fixed</t>
  </si>
  <si>
    <t xml:space="preserve">30 % Hike </t>
  </si>
  <si>
    <t xml:space="preserve">Punjab </t>
  </si>
  <si>
    <t>Ashwani Ticku</t>
  </si>
  <si>
    <t>tickuashwani@gmail.com</t>
  </si>
  <si>
    <t>Sequel Logistics</t>
  </si>
  <si>
    <t>10 Days</t>
  </si>
  <si>
    <t>12 CTC Fixed</t>
  </si>
  <si>
    <t xml:space="preserve">14 CTC </t>
  </si>
  <si>
    <t>PG</t>
  </si>
  <si>
    <t>Kamal Pandey</t>
  </si>
  <si>
    <t>kamalpandey11285@gmail.com</t>
  </si>
  <si>
    <t>Avanos Medical</t>
  </si>
  <si>
    <t xml:space="preserve">19.75 CTC </t>
  </si>
  <si>
    <t xml:space="preserve">16 CTC </t>
  </si>
  <si>
    <t>Bhadoriya Sumit</t>
  </si>
  <si>
    <t>bhadoriyasumit97@gmail.com</t>
  </si>
  <si>
    <t>Mahindra Steel Service Centre Ltd</t>
  </si>
  <si>
    <t>45 Days</t>
  </si>
  <si>
    <t>4 CTC (32 k in hand )</t>
  </si>
  <si>
    <t>Prabodh Vinay Dongre</t>
  </si>
  <si>
    <t>prabodhdongre.1707@gmail.com</t>
  </si>
  <si>
    <t> Tube Investment of India limited</t>
  </si>
  <si>
    <t>6 CTC Fixed</t>
  </si>
  <si>
    <t>30-40% Hike</t>
  </si>
  <si>
    <t>Shubham R Maheshwari</t>
  </si>
  <si>
    <t>maheshwsris387@gmail.com</t>
  </si>
  <si>
    <t>Tata Business Hub</t>
  </si>
  <si>
    <t>11 LPA (9 LPA Fixed, 65000 in hand)</t>
  </si>
  <si>
    <t xml:space="preserve">9 CTC </t>
  </si>
  <si>
    <t>Pravin Laxman Khandagale</t>
  </si>
  <si>
    <t>pravinkhandagale20@gmail.com</t>
  </si>
  <si>
    <t>Ispat Steel Syndicate</t>
  </si>
  <si>
    <t>7 LPA (60000 in hand)</t>
  </si>
  <si>
    <t>B Sc (Chem)</t>
  </si>
  <si>
    <t>Chakan (Pune)</t>
  </si>
  <si>
    <t>Ram Singh Sawner</t>
  </si>
  <si>
    <t>ram.sawner@gmail.com</t>
  </si>
  <si>
    <t>Ozone Overseas Pvt Ltd</t>
  </si>
  <si>
    <t>Navnit Gupta</t>
  </si>
  <si>
    <t>Navneet.14gupta@gmail.com</t>
  </si>
  <si>
    <t>Masterchow Foods Pvt Ltd</t>
  </si>
  <si>
    <t xml:space="preserve">Gurgaon </t>
  </si>
  <si>
    <t>Deepak Sonkar</t>
  </si>
  <si>
    <t>sonkardeepak1@gmail.com</t>
  </si>
  <si>
    <t>Tata Steel Limited</t>
  </si>
  <si>
    <t>12 CTC (10 Fixed)</t>
  </si>
  <si>
    <t xml:space="preserve">15-16 CTC </t>
  </si>
  <si>
    <t>Akshay Vishnoi</t>
  </si>
  <si>
    <t>vishnoi.akshay92@gmail.com</t>
  </si>
  <si>
    <t>Rostfrei Steels Pvt</t>
  </si>
  <si>
    <t>Merugu Balakrishna</t>
  </si>
  <si>
    <t>balakrishna033@gmail.com</t>
  </si>
  <si>
    <t>90 Days (neg 60 Days)</t>
  </si>
  <si>
    <t>Himanshu Sharma</t>
  </si>
  <si>
    <t>himanshusharmaeee@gmail.com</t>
  </si>
  <si>
    <t>Electrical Maintenance, Structural Steel Fabrication, PLC, VFD, high voltage equipment</t>
  </si>
  <si>
    <t>Maa Mahamaya Ispat &amp; Alloys</t>
  </si>
  <si>
    <t>B Tech (Electrical &amp; Electronics)</t>
  </si>
  <si>
    <t>Banaras</t>
  </si>
  <si>
    <t>Kasa Mohanan Manikanta</t>
  </si>
  <si>
    <t>kasa.mani234@gmail.com</t>
  </si>
  <si>
    <t>Maruichi Steel Tubes</t>
  </si>
  <si>
    <t>B Tech (Electrical)</t>
  </si>
  <si>
    <t>Parth Vashi</t>
  </si>
  <si>
    <t>parth.vashi100@gmail.com</t>
  </si>
  <si>
    <t xml:space="preserve">7 Years </t>
  </si>
  <si>
    <t>Theis Precision Steel India Pvt Lt</t>
  </si>
  <si>
    <t>7.5 CTC (6 Fixed)</t>
  </si>
  <si>
    <t xml:space="preserve">10 CTC </t>
  </si>
  <si>
    <t xml:space="preserve">B.E </t>
  </si>
  <si>
    <t>Gujarat</t>
  </si>
  <si>
    <t>Uday Pratap Singh</t>
  </si>
  <si>
    <t>udayera87@gmail.com</t>
  </si>
  <si>
    <t>Fabrication, RDSO</t>
  </si>
  <si>
    <t>15 Years</t>
  </si>
  <si>
    <t>M/S Bridge Track &amp; Tower Pvt Ltd</t>
  </si>
  <si>
    <t>19.4 CTC (17.52 Fixed)</t>
  </si>
  <si>
    <t>25 CTC</t>
  </si>
  <si>
    <t>Hemant Ashok Patil</t>
  </si>
  <si>
    <t>mdhemant.patil@gmail.com</t>
  </si>
  <si>
    <t>25.6 Years</t>
  </si>
  <si>
    <t>Starshine Mfg. Co. Pvt. Ltd</t>
  </si>
  <si>
    <t>40 CTC (37 Fixed)</t>
  </si>
  <si>
    <t>15-20% Hike</t>
  </si>
  <si>
    <t>BE+ MBA</t>
  </si>
  <si>
    <t xml:space="preserve">Mumbai </t>
  </si>
  <si>
    <t>Aswini Kumar Patro</t>
  </si>
  <si>
    <t>apatro13@gmail.com</t>
  </si>
  <si>
    <t xml:space="preserve">24 Years </t>
  </si>
  <si>
    <t xml:space="preserve">12 Years </t>
  </si>
  <si>
    <t>Freelancer (Ex-Bharat Forge Ltd.)</t>
  </si>
  <si>
    <t xml:space="preserve">Pune </t>
  </si>
  <si>
    <t>D N GAIKWAD</t>
  </si>
  <si>
    <t>dngaikwad123@gmail.com</t>
  </si>
  <si>
    <t>25 Years</t>
  </si>
  <si>
    <t>Jay Fe Cylinders Ltd.</t>
  </si>
  <si>
    <t>Diploma in Mechanical + Degree in Electronics Engineering</t>
  </si>
  <si>
    <t>Gandhidham (Gujarat)</t>
  </si>
  <si>
    <t>Vipin Dhiman</t>
  </si>
  <si>
    <t>Vipin_dhiman@rediffmail.com</t>
  </si>
  <si>
    <t>23 Years</t>
  </si>
  <si>
    <t xml:space="preserve">Usha International </t>
  </si>
  <si>
    <t xml:space="preserve">B.E Mehanical </t>
  </si>
  <si>
    <t xml:space="preserve">Ludhaina </t>
  </si>
  <si>
    <t>Ravi Nadar</t>
  </si>
  <si>
    <t>rnadar@rediffmail.com</t>
  </si>
  <si>
    <t xml:space="preserve">27 Years </t>
  </si>
  <si>
    <t>S G Heavy Engineering</t>
  </si>
  <si>
    <t xml:space="preserve">25.5 Fixed CTC </t>
  </si>
  <si>
    <t xml:space="preserve">40 CTC </t>
  </si>
  <si>
    <t xml:space="preserve">M.Tech </t>
  </si>
  <si>
    <t>Deepak Rawat</t>
  </si>
  <si>
    <t>dev.mnu.1@gmail.com</t>
  </si>
  <si>
    <t xml:space="preserve">18 Years </t>
  </si>
  <si>
    <t xml:space="preserve">Konart Steel Buildings Pvt Ltd  </t>
  </si>
  <si>
    <t xml:space="preserve">18 Fixed </t>
  </si>
  <si>
    <t xml:space="preserve">25-30% Hike </t>
  </si>
  <si>
    <t>Diploma in Mechanical Engineering + B.tech</t>
  </si>
  <si>
    <t>Ahemdabad</t>
  </si>
  <si>
    <t>Anikeit Rohtagi</t>
  </si>
  <si>
    <t>niceanikeit@hotmail.com</t>
  </si>
  <si>
    <t>Starwire India</t>
  </si>
  <si>
    <t>14 LPA (12 LPA Fixed), 70000 in hand</t>
  </si>
  <si>
    <t>18 to 19 LPA</t>
  </si>
  <si>
    <t>B Tech (Electronics &amp; Communication)</t>
  </si>
  <si>
    <t>Nikhil Bari</t>
  </si>
  <si>
    <t>nikhilbari05@gmail.com</t>
  </si>
  <si>
    <t>Paharpur Cooling Tower</t>
  </si>
  <si>
    <t>60 days, buy out available</t>
  </si>
  <si>
    <t>11.5 LPA (66000 in hand)</t>
  </si>
  <si>
    <t>B Tech (Mechanical)</t>
  </si>
  <si>
    <t>Nilesh  Patne</t>
  </si>
  <si>
    <t xml:space="preserve"> patnenilesh@gmail.com</t>
  </si>
  <si>
    <t>15 years</t>
  </si>
  <si>
    <t>5 years</t>
  </si>
  <si>
    <t>Stairway Ingress Pvt Ltd,</t>
  </si>
  <si>
    <t xml:space="preserve">L1 Hold </t>
  </si>
  <si>
    <t>Vijay Kumar</t>
  </si>
  <si>
    <t>kumarvijayshukla03@gmail.com</t>
  </si>
  <si>
    <t xml:space="preserve">5 Years </t>
  </si>
  <si>
    <t>Mukand Ltd.</t>
  </si>
  <si>
    <t>90 (30 Days)</t>
  </si>
  <si>
    <t>7.5 CTC (7 Fixed)</t>
  </si>
  <si>
    <t>Mohanraj A</t>
  </si>
  <si>
    <t>mohanraja@outlook.in</t>
  </si>
  <si>
    <t>6.5 Years</t>
  </si>
  <si>
    <t>Tata Business Hub Limited</t>
  </si>
  <si>
    <t>9.2 CTC (including 20% Variable)</t>
  </si>
  <si>
    <t>10.5 to 11 CTC</t>
  </si>
  <si>
    <t>Mohammed Sabir Shaikh</t>
  </si>
  <si>
    <t>shaikh.ft@gmail.com</t>
  </si>
  <si>
    <t>21 Years</t>
  </si>
  <si>
    <t>TITAGARH RAIL SYSTEMS LIMITED</t>
  </si>
  <si>
    <t xml:space="preserve">90 Days( 60 Days) </t>
  </si>
  <si>
    <t>31 CTC (4.5 Variable inclued)</t>
  </si>
  <si>
    <t>10% Hike</t>
  </si>
  <si>
    <t>Bharatpur</t>
  </si>
  <si>
    <t xml:space="preserve">V. Balaji </t>
  </si>
  <si>
    <t>balajivarathan94@gmail.com</t>
  </si>
  <si>
    <t>Bharathwire</t>
  </si>
  <si>
    <t>Tirunelveli</t>
  </si>
  <si>
    <t>Ajit Ruikar</t>
  </si>
  <si>
    <t>ajitruikar91@gmail.com</t>
  </si>
  <si>
    <t> Metaroll Ispat Pvt. Ltd.</t>
  </si>
  <si>
    <t xml:space="preserve">15 Days </t>
  </si>
  <si>
    <t xml:space="preserve">M.SC  </t>
  </si>
  <si>
    <t>Monu Kumar</t>
  </si>
  <si>
    <t>monukumar224@gmail.com</t>
  </si>
  <si>
    <t xml:space="preserve">7.8 Years </t>
  </si>
  <si>
    <t>PSPL Steel</t>
  </si>
  <si>
    <t>8.5 Fixed +1.5 Variable</t>
  </si>
  <si>
    <t xml:space="preserve">10-11 CTC </t>
  </si>
  <si>
    <t>B.Tech + MBA</t>
  </si>
  <si>
    <t xml:space="preserve">Nagpur </t>
  </si>
  <si>
    <t>Saurabh Srivas</t>
  </si>
  <si>
    <t>sourabhshrivas1999@gmail.com</t>
  </si>
  <si>
    <t>2.3 Years</t>
  </si>
  <si>
    <t>Arora Iron &amp; Steel Rolling Mill Pvt. Ltd.</t>
  </si>
  <si>
    <t>5 CTC Fixed</t>
  </si>
  <si>
    <t xml:space="preserve">7-7.5 CTC </t>
  </si>
  <si>
    <t>Ludhaina</t>
  </si>
  <si>
    <t>Vikram Jadhav</t>
  </si>
  <si>
    <t>vikramjadhav10.1@gmail</t>
  </si>
  <si>
    <t>Godrej Enterprise Group</t>
  </si>
  <si>
    <t>90 Days</t>
  </si>
  <si>
    <t>11 LPA ( 9 LPA Fixed), 70000 in hand</t>
  </si>
  <si>
    <t>BE (Electronics &amp; Communications)</t>
  </si>
  <si>
    <t>Suraj R Motghare</t>
  </si>
  <si>
    <t>motghare.suraj@gmail.com</t>
  </si>
  <si>
    <t>Aisin Automotive Haryana Pvt Ltd</t>
  </si>
  <si>
    <t>13.7 LPA Fixed (83000 in hand)</t>
  </si>
  <si>
    <t>BE (Electronics Engineering)</t>
  </si>
  <si>
    <t>Mehsana</t>
  </si>
  <si>
    <t xml:space="preserve">Candidate Drop </t>
  </si>
  <si>
    <t>Rajveer Kumawat</t>
  </si>
  <si>
    <t>rajveer.kumawat1@gmail.com</t>
  </si>
  <si>
    <t>13.6 Years</t>
  </si>
  <si>
    <t>Dara Engineering &amp; Infrastructure</t>
  </si>
  <si>
    <t>18 LPA (132000 in hand)</t>
  </si>
  <si>
    <t>B Tech (Electronics &amp; Instrumentation)</t>
  </si>
  <si>
    <t>Jaipur</t>
  </si>
  <si>
    <t>Kundan Kumar</t>
  </si>
  <si>
    <t>kundanlucky5@gmail.com</t>
  </si>
  <si>
    <t>Kirby Building Systems &amp; Structures</t>
  </si>
  <si>
    <t>11 LPA (9.4 LPA Fixed, 76000 in hand)</t>
  </si>
  <si>
    <t xml:space="preserve">20-25% Hike </t>
  </si>
  <si>
    <t>B Tech (Electrical Engg)</t>
  </si>
  <si>
    <t>Jeddah (Saudi Arabia)</t>
  </si>
  <si>
    <t>Offer Drop</t>
  </si>
  <si>
    <t xml:space="preserve">Select </t>
  </si>
  <si>
    <t>Hem Kumar Patel</t>
  </si>
  <si>
    <t>hem.patel488@gmail.com</t>
  </si>
  <si>
    <t>Electrical maintenance, Steel fabrication, PLD, VFD, high voltage equipments, welding</t>
  </si>
  <si>
    <t>14 Years</t>
  </si>
  <si>
    <t>Kalpataru Projects International Limited</t>
  </si>
  <si>
    <t>10 CTC Fixed (appraisal)</t>
  </si>
  <si>
    <t xml:space="preserve">Hemant Kumar  </t>
  </si>
  <si>
    <t>hemantku6996@gmail.com</t>
  </si>
  <si>
    <t xml:space="preserve">design, detail, structural steel fabrication, Tekla, auto CAD, </t>
  </si>
  <si>
    <t>Not Working (Last Comp- Infosys, Client GE Vernova)</t>
  </si>
  <si>
    <t>B Tech (Civil)</t>
  </si>
  <si>
    <t>Peeyush Raghav</t>
  </si>
  <si>
    <t>peeyushraghav15@gmail.com</t>
  </si>
  <si>
    <t>E PACK Polymer</t>
  </si>
  <si>
    <t>38000 in hand</t>
  </si>
  <si>
    <t>Mohammad Aamir Raza</t>
  </si>
  <si>
    <t>aamirraza3578@gmail.com</t>
  </si>
  <si>
    <t>RDA Civil Engineer System</t>
  </si>
  <si>
    <t>45000 in hand</t>
  </si>
  <si>
    <t>Himanshu Verma</t>
  </si>
  <si>
    <t>Akshay Malviya</t>
  </si>
  <si>
    <t>malaviya009@gmail.com</t>
  </si>
  <si>
    <t>mechanical maintenance, hydraulics, pneumatics, SAP, pumps, compressors, conveyors, cranes</t>
  </si>
  <si>
    <t>Adani Ports</t>
  </si>
  <si>
    <t>8.5 LPA (61000 in hand)</t>
  </si>
  <si>
    <t>Mundra</t>
  </si>
  <si>
    <t>Tushar Sane</t>
  </si>
  <si>
    <t>tusharsane387@gmail.com</t>
  </si>
  <si>
    <t>Viraj Profiles</t>
  </si>
  <si>
    <t>5.8 LPA</t>
  </si>
  <si>
    <t>Boisar</t>
  </si>
  <si>
    <t xml:space="preserve">Arun Dixit </t>
  </si>
  <si>
    <t>arundixit.in@gmail.com</t>
  </si>
  <si>
    <t>Goodluck Metalics</t>
  </si>
  <si>
    <t>10 LPA (80000 in hand)</t>
  </si>
  <si>
    <t>Bhuj</t>
  </si>
  <si>
    <t xml:space="preserve">Banbari </t>
  </si>
  <si>
    <t>Rajkumar Patel</t>
  </si>
  <si>
    <t>rajkumarpatel173@gmail.com</t>
  </si>
  <si>
    <t>Deccan (Client John Deere)</t>
  </si>
  <si>
    <t>5 LPA (35000 in hand)</t>
  </si>
  <si>
    <t>Dewas (MP)</t>
  </si>
  <si>
    <t>Suraj P Ukidave</t>
  </si>
  <si>
    <t>surajukidave@gmail.com</t>
  </si>
  <si>
    <t>7.5 LPA (36000 in hand)</t>
  </si>
  <si>
    <t>Khopoli</t>
  </si>
  <si>
    <t>Abhishek Verma</t>
  </si>
  <si>
    <t>abhishek0689@gmail.com</t>
  </si>
  <si>
    <t>design, detail, structural steel fabrication, Tekla, auto CAD,</t>
  </si>
  <si>
    <t>Sanrachna Solutions</t>
  </si>
  <si>
    <t>6 LPA (45000 in hand)</t>
  </si>
  <si>
    <t>Selection Drop</t>
  </si>
  <si>
    <t>Manish Prasad</t>
  </si>
  <si>
    <t>manishprasad73@gmail.com</t>
  </si>
  <si>
    <t>Shri Vileparle Kelvani Mandal</t>
  </si>
  <si>
    <t>7 LPA (54500 in hand)</t>
  </si>
  <si>
    <t>11 Months</t>
  </si>
  <si>
    <t>Santosh Nanasaheb Shinde</t>
  </si>
  <si>
    <t>santoshn2007@rediffmail.com</t>
  </si>
  <si>
    <t>JCB</t>
  </si>
  <si>
    <t>6.1 LPA</t>
  </si>
  <si>
    <t>BE (Electrical, Electronics &amp;Power Engineering)</t>
  </si>
  <si>
    <t>screen reject</t>
  </si>
  <si>
    <t>Rahul Kumar Mourya</t>
  </si>
  <si>
    <t>rahuljnp2013@gmail.com</t>
  </si>
  <si>
    <t>B Tech (Electrical Engineering)</t>
  </si>
  <si>
    <t>Rohit Sharma</t>
  </si>
  <si>
    <t>rohitsharma98939@gmail.com</t>
  </si>
  <si>
    <t xml:space="preserve">Electrical Maintenance, </t>
  </si>
  <si>
    <t>EVONITH METALLICS LTD</t>
  </si>
  <si>
    <t>60days</t>
  </si>
  <si>
    <t>6.7LPA</t>
  </si>
  <si>
    <t>9-9.5(INCREMENT IS DUE 12%)</t>
  </si>
  <si>
    <t>wardha</t>
  </si>
  <si>
    <t>Pravin Sunilrao Dandale</t>
  </si>
  <si>
    <t>dandalepravin7@gmail.com</t>
  </si>
  <si>
    <t>ELECTRICAL Maintenance</t>
  </si>
  <si>
    <t>RSA INDUSTRIES PVT LTD</t>
  </si>
  <si>
    <t>6LPA</t>
  </si>
  <si>
    <t>7.5LPA</t>
  </si>
  <si>
    <t>9Month</t>
  </si>
  <si>
    <t>Candidate Hold</t>
  </si>
  <si>
    <t>Shaikh Amjat Janimiyan</t>
  </si>
  <si>
    <t>anjatshaikh1999@gmail.com</t>
  </si>
  <si>
    <t>design, detail, structural steel fabrication, Tekla, auto CAD, </t>
  </si>
  <si>
    <t>4+</t>
  </si>
  <si>
    <t>Telge Project</t>
  </si>
  <si>
    <t>5.13 LPA (35000 in hand)</t>
  </si>
  <si>
    <t>B Tech (Civil), M Tech (Structures)</t>
  </si>
  <si>
    <t>Latur</t>
  </si>
  <si>
    <t>Vinay</t>
  </si>
  <si>
    <t>Harshad Thawari</t>
  </si>
  <si>
    <t>harshad.thawari19@gmail.com</t>
  </si>
  <si>
    <t>Taal Tech Pvt Ltd</t>
  </si>
  <si>
    <t>5 LPA (38000 in hand)</t>
  </si>
  <si>
    <t>7 LPA to 7.5 LPA</t>
  </si>
  <si>
    <t>BE (Civil)</t>
  </si>
  <si>
    <t>Khan Asim</t>
  </si>
  <si>
    <t>khanasim6010@gmail.com</t>
  </si>
  <si>
    <t>Design</t>
  </si>
  <si>
    <t>Qubatic Engineers</t>
  </si>
  <si>
    <t>Riyash. R</t>
  </si>
  <si>
    <t>riyashriaz2000@gmail.com</t>
  </si>
  <si>
    <t>Topsides Engineering</t>
  </si>
  <si>
    <t>kanyakumari</t>
  </si>
  <si>
    <t>PRITHVISH K V</t>
  </si>
  <si>
    <t>prithvishkv27@gmail.com</t>
  </si>
  <si>
    <t>Amerigo</t>
  </si>
  <si>
    <t>Rakesh Raghunath Bari</t>
  </si>
  <si>
    <t>Rakeshbari1996@gmail.com</t>
  </si>
  <si>
    <t>RA Tech Engineering</t>
  </si>
  <si>
    <t>BE (Mech)</t>
  </si>
  <si>
    <t>Jalgoan</t>
  </si>
  <si>
    <t>Himanshu Nashte</t>
  </si>
  <si>
    <t>Himanshunashte23@gmail.com</t>
  </si>
  <si>
    <t>Dynamic Consultant</t>
  </si>
  <si>
    <t>Navi Mumbai</t>
  </si>
  <si>
    <t>ADITHYAN M</t>
  </si>
  <si>
    <t>adithyanmahesan@gmail.com</t>
  </si>
  <si>
    <t> Ksr Infracon </t>
  </si>
  <si>
    <t>Ajay</t>
  </si>
  <si>
    <t>Janhavi Prashant warkari</t>
  </si>
  <si>
    <t>janhaviwarkari2122@gmail.com</t>
  </si>
  <si>
    <t>Structural Engg, Cranes, Tekla</t>
  </si>
  <si>
    <t>Konecranes &amp; Demag Pvt. Ltd</t>
  </si>
  <si>
    <t>Lwd: 3 June</t>
  </si>
  <si>
    <t>4.5LPA</t>
  </si>
  <si>
    <t>7LPA (Offer- 6lpa)</t>
  </si>
  <si>
    <t>Mtech, Btech</t>
  </si>
  <si>
    <t>Rahul Vijay Attarde</t>
  </si>
  <si>
    <t>ra.attarde@gmail.com</t>
  </si>
  <si>
    <t xml:space="preserve">design, fabriction, </t>
  </si>
  <si>
    <t xml:space="preserve">Pan Gulf Technologies Pvt. Ltd. </t>
  </si>
  <si>
    <t>60 days</t>
  </si>
  <si>
    <t>7-7.5LPA</t>
  </si>
  <si>
    <t>Himanshu</t>
  </si>
  <si>
    <t>himanshukhandelwal271@gmail.com</t>
  </si>
  <si>
    <t>Fabrication,</t>
  </si>
  <si>
    <t>Worley India Private Limited</t>
  </si>
  <si>
    <t>LWD: 30APRIL</t>
  </si>
  <si>
    <t>6.5LPA</t>
  </si>
  <si>
    <t> </t>
  </si>
  <si>
    <t>Role Name</t>
  </si>
  <si>
    <t>BU</t>
  </si>
  <si>
    <t>Client Spoc</t>
  </si>
  <si>
    <t>Candidate Name</t>
  </si>
  <si>
    <t>Number</t>
  </si>
  <si>
    <t>Email ID</t>
  </si>
  <si>
    <t>Skills</t>
  </si>
  <si>
    <t>Total Exp</t>
  </si>
  <si>
    <t>R Exp</t>
  </si>
  <si>
    <t>Current Company</t>
  </si>
  <si>
    <t>Notice period</t>
  </si>
  <si>
    <t>Current CTC</t>
  </si>
  <si>
    <t>Exp CTC</t>
  </si>
  <si>
    <t>Highest Education</t>
  </si>
  <si>
    <t>Current Location</t>
  </si>
  <si>
    <t>Interested Work Location</t>
  </si>
  <si>
    <t>Tenure in Previous Organization</t>
  </si>
  <si>
    <t>Sourcer</t>
  </si>
  <si>
    <t>Final  Status</t>
  </si>
  <si>
    <t xml:space="preserve">Stage </t>
  </si>
  <si>
    <t>Shortlisting Date</t>
  </si>
  <si>
    <t>L1 Date</t>
  </si>
  <si>
    <t>L1 Status</t>
  </si>
  <si>
    <t>L2 Date</t>
  </si>
  <si>
    <t>L2 Status</t>
  </si>
  <si>
    <t>HR Date</t>
  </si>
  <si>
    <t>HR Status</t>
  </si>
  <si>
    <t>Final Selection Date</t>
  </si>
  <si>
    <t>LOI Date</t>
  </si>
  <si>
    <t>Offer Release Date</t>
  </si>
  <si>
    <t>Joining Date</t>
  </si>
  <si>
    <t>Offer CTC</t>
  </si>
  <si>
    <t>Screening Stage</t>
  </si>
  <si>
    <t>L2 Stage</t>
  </si>
  <si>
    <t>Screening</t>
  </si>
  <si>
    <t>L2 stage</t>
  </si>
  <si>
    <t>FTR</t>
  </si>
  <si>
    <t>STS</t>
  </si>
  <si>
    <t>L1 count</t>
  </si>
  <si>
    <t>L2 count</t>
  </si>
  <si>
    <t>Mandar Haresh Mukane</t>
  </si>
  <si>
    <t>madylam6239@gmail.com</t>
  </si>
  <si>
    <t>Structural , telka, Bridge</t>
  </si>
  <si>
    <t>Poyo Engineering</t>
  </si>
  <si>
    <t>10.5LPA</t>
  </si>
  <si>
    <t>M.tech, Btech</t>
  </si>
  <si>
    <t>G Shiva Prasad</t>
  </si>
  <si>
    <t>siva7gsp@gmail.com</t>
  </si>
  <si>
    <t>electrical maintenance, plant maintenance, utilities, fabrication</t>
  </si>
  <si>
    <t>Nobel Hygiene Pvt Ltd</t>
  </si>
  <si>
    <t>BS (Electronics), MS (Electronics)</t>
  </si>
  <si>
    <t>Halol (Guj)</t>
  </si>
  <si>
    <t>Screen reject</t>
  </si>
  <si>
    <t>Swapnil Raj</t>
  </si>
  <si>
    <t>sraj3108@gmail.com</t>
  </si>
  <si>
    <t xml:space="preserve">Electrical Maintenance, steel plant , </t>
  </si>
  <si>
    <t>Shyam Metallics</t>
  </si>
  <si>
    <t>Anansol, west Bengal</t>
  </si>
  <si>
    <t>AKSHAY SARAF</t>
  </si>
  <si>
    <t>akshsarafst@gmail.com</t>
  </si>
  <si>
    <t>Structural design, Steel bridge, STAAD Pro, Auto Cad</t>
  </si>
  <si>
    <t>MARUTI STEEL FA</t>
  </si>
  <si>
    <t>60days (Nego)</t>
  </si>
  <si>
    <t>8.6LPA</t>
  </si>
  <si>
    <t>Jithesh Gopan</t>
  </si>
  <si>
    <t>jithu.g01@gmail.com</t>
  </si>
  <si>
    <t>Structural Design, Tekla</t>
  </si>
  <si>
    <t>AYASA STRUCTURES PRIVATE LIMITED</t>
  </si>
  <si>
    <t>8.64LPA</t>
  </si>
  <si>
    <t>Santosh Tandale</t>
  </si>
  <si>
    <t>sstandale01@gmail.com</t>
  </si>
  <si>
    <t>33 LPA</t>
  </si>
  <si>
    <t>45 LPA (Increment due)</t>
  </si>
  <si>
    <t>Hazira</t>
  </si>
  <si>
    <t>Akshat</t>
  </si>
  <si>
    <t>L1 to be Scheduled</t>
  </si>
  <si>
    <t>Deepak Munjal</t>
  </si>
  <si>
    <t>deepakmunjal0811@gmail.com</t>
  </si>
  <si>
    <t>Uno Minda</t>
  </si>
  <si>
    <t>36 LPA (All Fixed)</t>
  </si>
  <si>
    <t>Same</t>
  </si>
  <si>
    <t>Mandate Changed</t>
  </si>
  <si>
    <t>Puru Sethi</t>
  </si>
  <si>
    <t>puru.sethi@gmail.com</t>
  </si>
  <si>
    <t>Munjal Showa</t>
  </si>
  <si>
    <t>36 LPA (34+2) + Car</t>
  </si>
  <si>
    <t>Manjunath Khavekar</t>
  </si>
  <si>
    <t>khavekarmanjunath@gmail.com</t>
  </si>
  <si>
    <t>Neil Soft Ltd</t>
  </si>
  <si>
    <t>4 LPA</t>
  </si>
  <si>
    <t>6 to 6.5 LPA</t>
  </si>
  <si>
    <t>Ashutosh Vitthal Waghmare</t>
  </si>
  <si>
    <t>waghmareashutosh1999@gmail.com</t>
  </si>
  <si>
    <t>Treknocom Engineering</t>
  </si>
  <si>
    <t>LWD-25 April 2025</t>
  </si>
  <si>
    <t>5.8 LPA (40000 in hand)</t>
  </si>
  <si>
    <t>7.5 LPA to 8 LPA</t>
  </si>
  <si>
    <t>Nikhil Chatap</t>
  </si>
  <si>
    <t>nikhilchatap345@gmail.com</t>
  </si>
  <si>
    <t>Blue Ladder EPC Solutions</t>
  </si>
  <si>
    <t>5 LPA (40000 in hand)</t>
  </si>
  <si>
    <t>55000 to 60000 in hand</t>
  </si>
  <si>
    <t>Mohd Amaan Khan</t>
  </si>
  <si>
    <t>khanamaan1100@gmail.com</t>
  </si>
  <si>
    <t>electrical maintenance, steel fabrication</t>
  </si>
  <si>
    <t>Vedanta Aluminium</t>
  </si>
  <si>
    <t>9 LPA Fixed</t>
  </si>
  <si>
    <t>B Tech (EE), M Tech (Power System &amp; Drives)</t>
  </si>
  <si>
    <t>Jharsuguda</t>
  </si>
  <si>
    <t>Digant M Pathak</t>
  </si>
  <si>
    <t>digantpathak10@gmail.com</t>
  </si>
  <si>
    <t>Axtel Industrial</t>
  </si>
  <si>
    <t>8 LPA Fixed</t>
  </si>
  <si>
    <t>BE (EE)</t>
  </si>
  <si>
    <t>Raja Kumar</t>
  </si>
  <si>
    <t>raja.er55@gmail.com</t>
  </si>
  <si>
    <t>Hoerbiger India Pvt Ltd</t>
  </si>
  <si>
    <t>7.6 LPA (51000 in hand)</t>
  </si>
  <si>
    <t>B Tech (EE)</t>
  </si>
  <si>
    <t>Amit Saraf</t>
  </si>
  <si>
    <t>amitsaraf1509@gmail.com</t>
  </si>
  <si>
    <t>Tata magna</t>
  </si>
  <si>
    <t>8.0 LPA</t>
  </si>
  <si>
    <t xml:space="preserve">Subrat </t>
  </si>
  <si>
    <t>sandip swapan roy</t>
  </si>
  <si>
    <t> sandyroy0410@gmail.com </t>
  </si>
  <si>
    <t>Lloyds Metal And Energy Ltd Ghugus (Chandrapur)</t>
  </si>
  <si>
    <t>60 Days (30 Days N)</t>
  </si>
  <si>
    <t>5.5 LPA (F) + 3 LPA (V)</t>
  </si>
  <si>
    <t>25 - 30%</t>
  </si>
  <si>
    <t>Btech-Mechanical-2012-full</t>
  </si>
  <si>
    <t>Shailesh Shukla</t>
  </si>
  <si>
    <t>shukla05394@gmail.com</t>
  </si>
  <si>
    <t>M/s Arya Iron &amp; Steel Co. Pvt. Ltd.</t>
  </si>
  <si>
    <t>MAHESH SHINDE </t>
  </si>
  <si>
    <t>8655690117/9326932893</t>
  </si>
  <si>
    <t>mshinde868@gmail.com</t>
  </si>
  <si>
    <t>Concast (India) PVt. Ltd Mumba</t>
  </si>
  <si>
    <t>7.5 LPA + 1.5 LPA (V)</t>
  </si>
  <si>
    <t>25 - 30 %</t>
  </si>
  <si>
    <t>BE - 2011, Mtech - 2014</t>
  </si>
  <si>
    <t>Palghar</t>
  </si>
  <si>
    <t>Shridhar Panigrahi</t>
  </si>
  <si>
    <t>kpshridhar99@gmail.com</t>
  </si>
  <si>
    <t>bridge design, steel structure</t>
  </si>
  <si>
    <t>Assystem India Ltd</t>
  </si>
  <si>
    <t>14 LPA</t>
  </si>
  <si>
    <t>BE (Civil), ME (Structural Engg)</t>
  </si>
  <si>
    <t>Vaibhav Jaysing Bhore</t>
  </si>
  <si>
    <t>vaibhavbhore989@gmail.com</t>
  </si>
  <si>
    <t>Afcons Infrastructure Ltd</t>
  </si>
  <si>
    <t>AKSHAY R RAUT.</t>
  </si>
  <si>
    <t>rautakshay141@gmail.com </t>
  </si>
  <si>
    <t>Tech Mahindra</t>
  </si>
  <si>
    <t>7.5 LPA + (50K , V)</t>
  </si>
  <si>
    <t>B.E.Mechanical, 05/2013 </t>
  </si>
  <si>
    <t>Mohammad Umair</t>
  </si>
  <si>
    <t>umair.sheru@gmail.com</t>
  </si>
  <si>
    <t>Wasi Steel Industries</t>
  </si>
  <si>
    <t>12LPA</t>
  </si>
  <si>
    <t xml:space="preserve">Saudi Arabia </t>
  </si>
  <si>
    <t>Shubham Pandey</t>
  </si>
  <si>
    <t>impandeyshubham@gmail.com</t>
  </si>
  <si>
    <t>Assistant Manager</t>
  </si>
  <si>
    <t>7 years</t>
  </si>
  <si>
    <t>L&amp; T </t>
  </si>
  <si>
    <t>30 days </t>
  </si>
  <si>
    <t>8.8 LPA</t>
  </si>
  <si>
    <t>25-30 %(N)</t>
  </si>
  <si>
    <t>B.E Mech 2018</t>
  </si>
  <si>
    <t>Navi Mumbai </t>
  </si>
  <si>
    <t>Ashish Ranjan</t>
  </si>
  <si>
    <t>meashishranjan02@gmail.com</t>
  </si>
  <si>
    <t>Senior Officer</t>
  </si>
  <si>
    <t>8 years</t>
  </si>
  <si>
    <t>TATA Steel</t>
  </si>
  <si>
    <t>90 days </t>
  </si>
  <si>
    <t>7.15 LPA </t>
  </si>
  <si>
    <t>20-25 %</t>
  </si>
  <si>
    <t>B.E Mech 2016</t>
  </si>
  <si>
    <t>Atish Kumar Singh</t>
  </si>
  <si>
    <t>atishsingh110396@gmail.com</t>
  </si>
  <si>
    <t>Sr. site Engineer</t>
  </si>
  <si>
    <t>7.20 LPA +accommodation</t>
  </si>
  <si>
    <t>8Months</t>
  </si>
  <si>
    <t>Ravi Kumar Gupta</t>
  </si>
  <si>
    <t>rgravigupta07@gmail.com</t>
  </si>
  <si>
    <t>Site Incharge</t>
  </si>
  <si>
    <t>11 years</t>
  </si>
  <si>
    <t>KJ Thomas Erection &amp; Fabrication</t>
  </si>
  <si>
    <t>7.5 LPA +Accomodation</t>
  </si>
  <si>
    <t>10 LPA </t>
  </si>
  <si>
    <t>B.Tech Mech 2014</t>
  </si>
  <si>
    <t>Vellore</t>
  </si>
  <si>
    <t>Project Coordinator</t>
  </si>
  <si>
    <t>Aniket Tendulkar</t>
  </si>
  <si>
    <t>ten.aniket@gmail.com</t>
  </si>
  <si>
    <t>PMP</t>
  </si>
  <si>
    <t>Godrej &amp; Boyce Mfg. Co. Ltd</t>
  </si>
  <si>
    <t>90days</t>
  </si>
  <si>
    <t>8.3 lpa + 1.4pla</t>
  </si>
  <si>
    <t xml:space="preserve">Vaishali </t>
  </si>
  <si>
    <t>Mohit Dhiman</t>
  </si>
  <si>
    <t>mohitdhiman24@gmail.com</t>
  </si>
  <si>
    <t xml:space="preserve">Project epc, fabrication, </t>
  </si>
  <si>
    <t>Airef Engineers</t>
  </si>
  <si>
    <t>30days (nego)</t>
  </si>
  <si>
    <t>6.60lpa</t>
  </si>
  <si>
    <t>gurgaon, mumbai</t>
  </si>
  <si>
    <t>Akshay Hanumant Kolekar</t>
  </si>
  <si>
    <t>akshaykolekar1k47@gmail.com</t>
  </si>
  <si>
    <t xml:space="preserve">Structural Steel Fabrication, </t>
  </si>
  <si>
    <t>INSTEEL ENGINEERS PVT. LTD</t>
  </si>
  <si>
    <t>5lpa +1.5lpa</t>
  </si>
  <si>
    <t>Ritesh Jain</t>
  </si>
  <si>
    <t>7611806666/7206265211</t>
  </si>
  <si>
    <t>ritesh.zen@gmail.com</t>
  </si>
  <si>
    <t>purchare, SCM, Steel Industry, SAP</t>
  </si>
  <si>
    <t>12.5 LPA (100000 in hand)</t>
  </si>
  <si>
    <t>15 to 16 LPA</t>
  </si>
  <si>
    <t xml:space="preserve">Vinay </t>
  </si>
  <si>
    <t>Pradeep Kumar Singh</t>
  </si>
  <si>
    <t>singhpradeep16@gmail.com</t>
  </si>
  <si>
    <t>15+</t>
  </si>
  <si>
    <t>9.9 LPA (74000 in hand)</t>
  </si>
  <si>
    <t>13 to 14 LPA</t>
  </si>
  <si>
    <t>BBA, MBA (Sales &amp; Marketing)</t>
  </si>
  <si>
    <t>L1 Hold</t>
  </si>
  <si>
    <t>Kunal Kumar</t>
  </si>
  <si>
    <t>8789655510/7605098420</t>
  </si>
  <si>
    <t>kunalkumar2601@gmail.com</t>
  </si>
  <si>
    <t>Shyam Sel &amp; Power Ltd</t>
  </si>
  <si>
    <t>12 LPA (86000 in hand)</t>
  </si>
  <si>
    <t>B Tech (EC)</t>
  </si>
  <si>
    <t>Asansol</t>
  </si>
  <si>
    <t>Prakash Sidhappa Kamble</t>
  </si>
  <si>
    <t>9767969801, 7738100000</t>
  </si>
  <si>
    <t>jayhanumaan786@gmail.com</t>
  </si>
  <si>
    <t>PPC</t>
  </si>
  <si>
    <t>Mansons International Pvt Ltd</t>
  </si>
  <si>
    <r>
      <t>Diploma in Automobile Engineering</t>
    </r>
    <r>
      <rPr>
        <b/>
        <sz val="10.5"/>
        <color rgb="FF46464E"/>
        <rFont val="Arial"/>
        <family val="2"/>
      </rPr>
      <t xml:space="preserve"> </t>
    </r>
  </si>
  <si>
    <t>Sagar Babu Kadam</t>
  </si>
  <si>
    <t>kadam.sagar26@gmail.com</t>
  </si>
  <si>
    <t>PPC, Sap</t>
  </si>
  <si>
    <t>CEAT Ltd</t>
  </si>
  <si>
    <t>9LPA</t>
  </si>
  <si>
    <t>Anshul Yadav</t>
  </si>
  <si>
    <t>anshulyadav1202@gmail.com</t>
  </si>
  <si>
    <t>Altis Industries</t>
  </si>
  <si>
    <t>60 days, 45 days negotiable </t>
  </si>
  <si>
    <t>5 LPA (34000 in hand)</t>
  </si>
  <si>
    <t>7 to 7.5 LPA</t>
  </si>
  <si>
    <t>Abhishek</t>
  </si>
  <si>
    <t>abh050607@gmail.com</t>
  </si>
  <si>
    <t>ASAP Prefab</t>
  </si>
  <si>
    <t>4.2 LPA (33000 in hand)</t>
  </si>
  <si>
    <t>5.5 to 6 LPA</t>
  </si>
  <si>
    <t>Shubham Shanataram Mahajan</t>
  </si>
  <si>
    <t>shubh15041997@gmail.com</t>
  </si>
  <si>
    <t>Neilsoft Pvt Ltd</t>
  </si>
  <si>
    <t>5.5 LPA (41000 in hand)</t>
  </si>
  <si>
    <t>Project Head</t>
  </si>
  <si>
    <t>Omkar Singh</t>
  </si>
  <si>
    <t>Singh.omkaar@gmail.com</t>
  </si>
  <si>
    <t>Ashoka Buildcon Ltd.</t>
  </si>
  <si>
    <t>27 LPA (63k is variable)</t>
  </si>
  <si>
    <t>35% hike (Increment due)</t>
  </si>
  <si>
    <t>B.sc + BE</t>
  </si>
  <si>
    <t>Backup Select</t>
  </si>
  <si>
    <t>Tushar Mukund Baviskar</t>
  </si>
  <si>
    <t>t.baviskar@gmail.com</t>
  </si>
  <si>
    <t>Thakur Infraprojects Pvt Ltd.</t>
  </si>
  <si>
    <t>30 LPA</t>
  </si>
  <si>
    <t>Diploma + BE</t>
  </si>
  <si>
    <t>Rajiv Kumar</t>
  </si>
  <si>
    <t>8691037757, 9152300000</t>
  </si>
  <si>
    <t>rajiv4mech@gmail.com</t>
  </si>
  <si>
    <t>25 LPA (22+3)</t>
  </si>
  <si>
    <t>Increment due (20% hike on this)</t>
  </si>
  <si>
    <t>Kumar Ambarish</t>
  </si>
  <si>
    <t>ambarishjsl@gmail.com</t>
  </si>
  <si>
    <t>Gravita India</t>
  </si>
  <si>
    <t>30 LPA (26+4)</t>
  </si>
  <si>
    <t>40 fixed</t>
  </si>
  <si>
    <t>Sudipta Dutta</t>
  </si>
  <si>
    <t>atpidus4u@gmail.com</t>
  </si>
  <si>
    <t>Mjunction</t>
  </si>
  <si>
    <t>27+2 LPA</t>
  </si>
  <si>
    <t>35 LPA</t>
  </si>
  <si>
    <t>Saurabh Bhatnagar</t>
  </si>
  <si>
    <t>saurabh.02@rediffmail.com</t>
  </si>
  <si>
    <t>APL Apollo tubes</t>
  </si>
  <si>
    <t>25 + 2 LPA</t>
  </si>
  <si>
    <t>abhishek.rsbglobal@gmail.com</t>
  </si>
  <si>
    <t>PPC, SAP, lean manufacturing, SCM, Inventory control</t>
  </si>
  <si>
    <t>Bharat Wire Ropes</t>
  </si>
  <si>
    <t>11.4 LPA</t>
  </si>
  <si>
    <t>Chalisgao</t>
  </si>
  <si>
    <t>Vishal Rai</t>
  </si>
  <si>
    <t>vishalme.smit@gmail.com</t>
  </si>
  <si>
    <t>9.5 LPA</t>
  </si>
  <si>
    <t>Jajpur</t>
  </si>
  <si>
    <t>L2 Scheduled</t>
  </si>
  <si>
    <t>Khushal Mukesh Sangrame</t>
  </si>
  <si>
    <t>ksangrame98@gmail.com</t>
  </si>
  <si>
    <t>bridges, design, detailing, ROB, FOB</t>
  </si>
  <si>
    <t>SD Engineering</t>
  </si>
  <si>
    <t>Mangesh Pimpalkar</t>
  </si>
  <si>
    <t>mangeshpimpalkar03@gmail.com</t>
  </si>
  <si>
    <t>Renuka Eqipments Pvt Ltd</t>
  </si>
  <si>
    <t>6.5 LPA</t>
  </si>
  <si>
    <t>Kartikey Pandey</t>
  </si>
  <si>
    <t>kartikeypandey975@gmail.com</t>
  </si>
  <si>
    <t>DRA</t>
  </si>
  <si>
    <t>8 to 8.5 LPA</t>
  </si>
  <si>
    <t>Vivek Malani</t>
  </si>
  <si>
    <t>vivekmalani2507@gmail.com</t>
  </si>
  <si>
    <t>Fabrication, steel brigde</t>
  </si>
  <si>
    <t>SPECTRUM Techno Consultant Pvt. Ltd.</t>
  </si>
  <si>
    <t>BE, M.tech</t>
  </si>
  <si>
    <t>Arun Mandal</t>
  </si>
  <si>
    <t>mandalarun9210@gmail.com</t>
  </si>
  <si>
    <t>Larson &amp; Toubro</t>
  </si>
  <si>
    <t xml:space="preserve">15LPA </t>
  </si>
  <si>
    <t>Bharuch</t>
  </si>
  <si>
    <t>Rakesh Ramesh Gaikar</t>
  </si>
  <si>
    <t>rakeshgaikar91@gmail.com</t>
  </si>
  <si>
    <t>5.5 Years</t>
  </si>
  <si>
    <t>SB Formwork System (India) Pvt Ltd</t>
  </si>
  <si>
    <t>25 Days</t>
  </si>
  <si>
    <t>7.44 LPA</t>
  </si>
  <si>
    <t>20-25 % Hike</t>
  </si>
  <si>
    <t>B.E . Mechanical Engineering</t>
  </si>
  <si>
    <t>9month</t>
  </si>
  <si>
    <t>Subrat</t>
  </si>
  <si>
    <t>Akash D.Dhane</t>
  </si>
  <si>
    <t>akashdhane@gmail.com</t>
  </si>
  <si>
    <t>Bharat Forge Limited</t>
  </si>
  <si>
    <t>25 - 30 % Hike</t>
  </si>
  <si>
    <t>Suhas Harale</t>
  </si>
  <si>
    <t>haralesuhas@gmail.com</t>
  </si>
  <si>
    <t>Tata projects ltd</t>
  </si>
  <si>
    <t>Mintu Prasad</t>
  </si>
  <si>
    <t>mprasad.0713@gmail.com</t>
  </si>
  <si>
    <t xml:space="preserve">Quality, welding Std, </t>
  </si>
  <si>
    <t>Shiva Infra Solutions</t>
  </si>
  <si>
    <t>7.92LPA + 60K</t>
  </si>
  <si>
    <t>(Offer: 12lpa, Gujarat)</t>
  </si>
  <si>
    <t>Ritu Raj kumar</t>
  </si>
  <si>
    <t>ritu.raj401@gmail.com</t>
  </si>
  <si>
    <t>Quality Manager, Fabrication, raw material</t>
  </si>
  <si>
    <t>Aarvee Associates</t>
  </si>
  <si>
    <t xml:space="preserve">90 days </t>
  </si>
  <si>
    <t>11LPA + 1.4LPA</t>
  </si>
  <si>
    <t>15LPA</t>
  </si>
  <si>
    <t>Navsari</t>
  </si>
  <si>
    <t>Anil sainiwal</t>
  </si>
  <si>
    <t>anil.sainiwal@gmail.com</t>
  </si>
  <si>
    <t>Sr.Manager</t>
  </si>
  <si>
    <t>10 years</t>
  </si>
  <si>
    <t>Rostfrie steel</t>
  </si>
  <si>
    <t>11.5 LPA</t>
  </si>
  <si>
    <t>B.Tech Mech 2015/ MBA 2024</t>
  </si>
  <si>
    <t>Mohan Ku. Mishra</t>
  </si>
  <si>
    <t>mohanltk21@hotmail.com</t>
  </si>
  <si>
    <t>Bengal Energy </t>
  </si>
  <si>
    <t>B.COM 2006 / MBA 2011/Dip. Mech 2016</t>
  </si>
  <si>
    <t>kolkata</t>
  </si>
  <si>
    <t>Shivam Soni</t>
  </si>
  <si>
    <t>ssoni4275@gmail.com</t>
  </si>
  <si>
    <t>Welspun Corp Ltd</t>
  </si>
  <si>
    <t>12 LPA Fixed (90000 in hand)</t>
  </si>
  <si>
    <t>Mahesh Manohar Solapure</t>
  </si>
  <si>
    <t>msolapure5@gmail.com</t>
  </si>
  <si>
    <t>TCE</t>
  </si>
  <si>
    <t>13.85 LPA</t>
  </si>
  <si>
    <t>19 LPA to 20 LPA</t>
  </si>
  <si>
    <t>BE (Civil), M Tech (Structures)</t>
  </si>
  <si>
    <t>Rahul K Kabade</t>
  </si>
  <si>
    <t>kabaderahul72@gmail.com</t>
  </si>
  <si>
    <t>8+</t>
  </si>
  <si>
    <t>Rodic Consultants</t>
  </si>
  <si>
    <t>Dhirendra Kumar Yadav</t>
  </si>
  <si>
    <t>dhirendrakumar11197@gmail.com</t>
  </si>
  <si>
    <t>5.6 Years</t>
  </si>
  <si>
    <t>Sigma Slotting Corporation Pvt. Ltd.</t>
  </si>
  <si>
    <t>30 Days </t>
  </si>
  <si>
    <t>Sourav Jyoti Sahoo</t>
  </si>
  <si>
    <t>souravjyoti1996@gmail.com</t>
  </si>
  <si>
    <t>Rashmi Metaliks Limited</t>
  </si>
  <si>
    <t>6.2 LPA</t>
  </si>
  <si>
    <t>B. Tech - Mechanical Engineering</t>
  </si>
  <si>
    <t>East Medinipur</t>
  </si>
  <si>
    <t>Backup select</t>
  </si>
  <si>
    <t>Backup</t>
  </si>
  <si>
    <t>Mohammad Alam</t>
  </si>
  <si>
    <t>smohammadalam@gmail.com</t>
  </si>
  <si>
    <t>Reliance Industries</t>
  </si>
  <si>
    <t>18 + 2 LPA</t>
  </si>
  <si>
    <t>Patalganga</t>
  </si>
  <si>
    <t>Chittaranjan Das</t>
  </si>
  <si>
    <t>dash.chittaranjan01@gmail.com</t>
  </si>
  <si>
    <t>23.5 LPA</t>
  </si>
  <si>
    <t>B.tech + PGD</t>
  </si>
  <si>
    <t>Aditya Kumar</t>
  </si>
  <si>
    <t>aditya00143@gmail.com</t>
  </si>
  <si>
    <t xml:space="preserve">Fabrication, </t>
  </si>
  <si>
    <t>Jubilant Ingrevia Ltd</t>
  </si>
  <si>
    <t>7.5lpa</t>
  </si>
  <si>
    <t>Bharush</t>
  </si>
  <si>
    <t>Sagar S Shete</t>
  </si>
  <si>
    <t>6351496608, 7447574941</t>
  </si>
  <si>
    <t>sagarshete111@gmail.com</t>
  </si>
  <si>
    <t>L&amp;T Construction Ltd</t>
  </si>
  <si>
    <t>90 days (nego)</t>
  </si>
  <si>
    <t>Saroj Kumar Dhurua</t>
  </si>
  <si>
    <t>saroj2k1@gmail.com</t>
  </si>
  <si>
    <r>
      <t>Tata Steel Downstream Products</t>
    </r>
    <r>
      <rPr>
        <sz val="10"/>
        <color rgb="FF000000"/>
        <rFont val="Aptos Narrow"/>
        <family val="2"/>
        <charset val="1"/>
      </rPr>
      <t> </t>
    </r>
  </si>
  <si>
    <t>Tada</t>
  </si>
  <si>
    <t>Numan Ijajahmed Sayyad</t>
  </si>
  <si>
    <t>nihalnuman@gmail.com</t>
  </si>
  <si>
    <t>Kirloskar Ferrous</t>
  </si>
  <si>
    <t>B.E, Mech</t>
  </si>
  <si>
    <t>Ahmednagar</t>
  </si>
  <si>
    <t>Arun Bhardwaj</t>
  </si>
  <si>
    <t>arunbhardwaj47@gmail.com</t>
  </si>
  <si>
    <t>L&amp;T Hydrocarbon</t>
  </si>
  <si>
    <t>B Tech</t>
  </si>
  <si>
    <t>Vizag</t>
  </si>
  <si>
    <t>CA Puneet Wadhwa</t>
  </si>
  <si>
    <t>ca.puneetwadhwa@gmail.com</t>
  </si>
  <si>
    <t>Krishna Maruti</t>
  </si>
  <si>
    <t>31 LPA</t>
  </si>
  <si>
    <t>CA</t>
  </si>
  <si>
    <t>CA Man Mohan Kalita</t>
  </si>
  <si>
    <t>camanmohankalita@yahoo.com</t>
  </si>
  <si>
    <t>Hindware</t>
  </si>
  <si>
    <t>40-42 LPA</t>
  </si>
  <si>
    <t>CA Praveen Srivastava</t>
  </si>
  <si>
    <t>ca.praveensrivastav@gmail.com</t>
  </si>
  <si>
    <t>Grasim Industries Ltd</t>
  </si>
  <si>
    <t>33 LPA (30+3)</t>
  </si>
  <si>
    <t>Ludhiana</t>
  </si>
  <si>
    <t>Umesh Prasad</t>
  </si>
  <si>
    <t>umesh112006@gmail.com</t>
  </si>
  <si>
    <t>Asian Cargo Craft</t>
  </si>
  <si>
    <t>26.50 LPA</t>
  </si>
  <si>
    <t>Industry standards</t>
  </si>
  <si>
    <t>Suresh pujeri</t>
  </si>
  <si>
    <t>sureshp403@gmail.com</t>
  </si>
  <si>
    <t>Rishikesh structural solutions LLP</t>
  </si>
  <si>
    <t>26.80 LPA (18 + Variable)</t>
  </si>
  <si>
    <t>30 Fixed</t>
  </si>
  <si>
    <t>Baroda</t>
  </si>
  <si>
    <t>Annu Dubey</t>
  </si>
  <si>
    <t>toannudwivedi@gmail.com</t>
  </si>
  <si>
    <t>2 years of exp in ROB, 6 months in PEB Structures</t>
  </si>
  <si>
    <t>LKT Engineering Consultants</t>
  </si>
  <si>
    <t>Kalyan (Mumbai)</t>
  </si>
  <si>
    <t>Rijwan Khan</t>
  </si>
  <si>
    <t>eng.rijwankhan@gmail.com</t>
  </si>
  <si>
    <t>2.5 years of exp in bridge design</t>
  </si>
  <si>
    <t>A One Infra Consultants</t>
  </si>
  <si>
    <t>Aligarh</t>
  </si>
  <si>
    <t>Sankara Rao Vicharapu</t>
  </si>
  <si>
    <t>vicharapusankar@gmail.com</t>
  </si>
  <si>
    <t>Kirby Building Systems</t>
  </si>
  <si>
    <t>21 LPA + Allowances</t>
  </si>
  <si>
    <t>Sidarth Kansal</t>
  </si>
  <si>
    <t>sidarthkansal@gmail.com</t>
  </si>
  <si>
    <t>BNAL Prefabs Pvt Ltd</t>
  </si>
  <si>
    <t>18 LPA (17+1) + 20% increment</t>
  </si>
  <si>
    <t>27 LPA</t>
  </si>
  <si>
    <t>Gurgaon + Mumbai</t>
  </si>
  <si>
    <t>Saurabh Shaha</t>
  </si>
  <si>
    <t>9766896543 / 7720082089 </t>
  </si>
  <si>
    <t>saurabhshaha99@gmail.com</t>
  </si>
  <si>
    <t>Zamil Steel India Pvt Ltd </t>
  </si>
  <si>
    <t>21 LPA + Appraisal</t>
  </si>
  <si>
    <t>BE + PG in Project Management</t>
  </si>
  <si>
    <t>Project Manager</t>
  </si>
  <si>
    <t>Anupam Kumar  </t>
  </si>
  <si>
    <t>9752287460, 9131149651  </t>
  </si>
  <si>
    <t>anupamrajput1031@gmail.com</t>
  </si>
  <si>
    <t>Peb, Projects manager</t>
  </si>
  <si>
    <t xml:space="preserve">Zamil steel buildinds india pvt ltd </t>
  </si>
  <si>
    <t>90days ( buyout)</t>
  </si>
  <si>
    <t>8.7lpa</t>
  </si>
  <si>
    <t>Gurgaon, mumbai</t>
  </si>
  <si>
    <t>Akshay Kumar Singh</t>
  </si>
  <si>
    <t xml:space="preserve"> rishuakshaysingh@gmail.com</t>
  </si>
  <si>
    <t xml:space="preserve">9.2lpa </t>
  </si>
  <si>
    <t>btech</t>
  </si>
  <si>
    <t>Neemrana</t>
  </si>
  <si>
    <t>Abhijit Halder</t>
  </si>
  <si>
    <t>7024981282  </t>
  </si>
  <si>
    <t>abyehalder@gmail.com</t>
  </si>
  <si>
    <t>Braithwaite &amp; Company Ltd</t>
  </si>
  <si>
    <t>30 DAYS</t>
  </si>
  <si>
    <t>8.4LPA</t>
  </si>
  <si>
    <t>Dewang Pandya</t>
  </si>
  <si>
    <t>dewang.pandya007@gmail.com</t>
  </si>
  <si>
    <t>Smith Structures</t>
  </si>
  <si>
    <t>49 LPA (44+5)</t>
  </si>
  <si>
    <t>70 LPA (Negotiable)</t>
  </si>
  <si>
    <t>Ravi Malik</t>
  </si>
  <si>
    <t>er_ravimalik@rediffmail.com</t>
  </si>
  <si>
    <t>Epack Polymers</t>
  </si>
  <si>
    <t>B.tech + M.tech</t>
  </si>
  <si>
    <t>Hissar</t>
  </si>
  <si>
    <t>MohanKumar K</t>
  </si>
  <si>
    <t>kmkanburich@gmail.com</t>
  </si>
  <si>
    <t>AlHajiry Mechanical Engg .</t>
  </si>
  <si>
    <t>36 LPA</t>
  </si>
  <si>
    <t>Company Norms</t>
  </si>
  <si>
    <t>Oman</t>
  </si>
  <si>
    <t>Akhilesh Mishra</t>
  </si>
  <si>
    <t>mishraakhil018@gmail.com</t>
  </si>
  <si>
    <t>Purchase, SAP, Procurement, store fuction, Store Accounting</t>
  </si>
  <si>
    <t>Shree Mahaveer Ferro Alloys Pvt Ltd</t>
  </si>
  <si>
    <t>60 days, negotiable upto 30 days</t>
  </si>
  <si>
    <t>16 LPA to 17 LPA</t>
  </si>
  <si>
    <t>BA, MBA (Correspondance)</t>
  </si>
  <si>
    <t>Rourkela</t>
  </si>
  <si>
    <t>Bhagirathi Badhai</t>
  </si>
  <si>
    <t>princebadhai@gmail.com</t>
  </si>
  <si>
    <t>18+</t>
  </si>
  <si>
    <t>Nova Iron &amp; Steel</t>
  </si>
  <si>
    <t>90000 in hand + 20000 cash</t>
  </si>
  <si>
    <t>15 LPA to 16 LPA</t>
  </si>
  <si>
    <t>B Com, MBA (Correspondance)</t>
  </si>
  <si>
    <t>Bilaspur</t>
  </si>
  <si>
    <t>Amit Shah</t>
  </si>
  <si>
    <t>amitshah16092@gmail.com</t>
  </si>
  <si>
    <t>Fob, rob railway, ndt level 2, painting, qualtiy inspection</t>
  </si>
  <si>
    <t>Konkan Railway Corporation Limited</t>
  </si>
  <si>
    <t>10LPA + 1.5LPA</t>
  </si>
  <si>
    <t>30%- 35%</t>
  </si>
  <si>
    <t>BE (Mechanical)</t>
  </si>
  <si>
    <t>For AM</t>
  </si>
  <si>
    <t>Himanshu Meena</t>
  </si>
  <si>
    <t>hm13111990@gmail.com</t>
  </si>
  <si>
    <t>Bridges, fabrication Quality, railway, ndt level 2</t>
  </si>
  <si>
    <t>Shubham</t>
  </si>
  <si>
    <t>shubham.n.kitturkar@gmail.com</t>
  </si>
  <si>
    <t>Project - contact</t>
  </si>
  <si>
    <t>Zamil Steel Buildings</t>
  </si>
  <si>
    <t>LWD: 10Jun</t>
  </si>
  <si>
    <t>11lpa(OFFER: 9.5LPA, Pune)</t>
  </si>
  <si>
    <t xml:space="preserve">Nitish Kumar Raushan </t>
  </si>
  <si>
    <t>kumarraushannitish@gmail.com</t>
  </si>
  <si>
    <t>planning, Erp, sap, Micro</t>
  </si>
  <si>
    <t>Epack Prefab Technologies</t>
  </si>
  <si>
    <t>8.7LPA</t>
  </si>
  <si>
    <t>10LPA (Nego)</t>
  </si>
  <si>
    <t>Greater Noida</t>
  </si>
  <si>
    <t>Ajeet kumar choudhary</t>
  </si>
  <si>
    <t>choudharyajeet49@gmail.com</t>
  </si>
  <si>
    <t>Panning</t>
  </si>
  <si>
    <t>Interarch building products pvt Ltd.</t>
  </si>
  <si>
    <t>8.5lpa</t>
  </si>
  <si>
    <t>Pilibhit</t>
  </si>
  <si>
    <t>Rahul Kaurav</t>
  </si>
  <si>
    <t>rahul92kaurav@gmail.com</t>
  </si>
  <si>
    <t>10+</t>
  </si>
  <si>
    <t>18.2 LPA</t>
  </si>
  <si>
    <t>Surat</t>
  </si>
  <si>
    <t>Gaurav Kasar</t>
  </si>
  <si>
    <t>gauravkasar2010@rediffmail.com</t>
  </si>
  <si>
    <t>JFE Engineering Corporate</t>
  </si>
  <si>
    <t>Shubham Chaurasiya</t>
  </si>
  <si>
    <t>shubhamroy702@gmail.com</t>
  </si>
  <si>
    <t>Last Company-Dilip Buildcon</t>
  </si>
  <si>
    <t>Immediate, LWD- 1 March, 2025</t>
  </si>
  <si>
    <t>Last CTC- 10.85 LPA</t>
  </si>
  <si>
    <t>25% to 30% hike, holding an offer of 11.52 LPA</t>
  </si>
  <si>
    <t>L2 to be scheduled</t>
  </si>
  <si>
    <t>Prosenjit Hait</t>
  </si>
  <si>
    <t>prsnjthait@gmail.com</t>
  </si>
  <si>
    <t xml:space="preserve">Design drawing, </t>
  </si>
  <si>
    <t>Bridge and Roof Co.</t>
  </si>
  <si>
    <t>18lpa</t>
  </si>
  <si>
    <t xml:space="preserve">btech </t>
  </si>
  <si>
    <t>Panipat</t>
  </si>
  <si>
    <t>Ketan Ghanshyam Patil</t>
  </si>
  <si>
    <t>ketangpatil96@gmail.com</t>
  </si>
  <si>
    <t>Syneteca Engineering Solutions</t>
  </si>
  <si>
    <t>Navi</t>
  </si>
  <si>
    <t>Dudekula SirajUddin</t>
  </si>
  <si>
    <t xml:space="preserve"> sirajdudekula2001@gmail.com</t>
  </si>
  <si>
    <t>Fob, Autocad, Tekla</t>
  </si>
  <si>
    <t>NRE Industries llp</t>
  </si>
  <si>
    <t>6lpa</t>
  </si>
  <si>
    <t>8-8.5lpa</t>
  </si>
  <si>
    <t>Manish Singh</t>
  </si>
  <si>
    <t>manishdarj@yahoo.in</t>
  </si>
  <si>
    <t>Auto cad</t>
  </si>
  <si>
    <t>TPF Engineering Pvt. Ltd</t>
  </si>
  <si>
    <t>Navi mumbai</t>
  </si>
  <si>
    <t>Merajuddin Ansari</t>
  </si>
  <si>
    <t>designer.meraj@gmail.com</t>
  </si>
  <si>
    <t>InterContinental Consultant and Technocrats</t>
  </si>
  <si>
    <t>16.2lpa</t>
  </si>
  <si>
    <t>SHANTANU KANDAR</t>
  </si>
  <si>
    <t>84203 74765</t>
  </si>
  <si>
    <t>shantanu.02.09.08@gmail.com</t>
  </si>
  <si>
    <t>J HAJHA RIA N IR MAN LTD</t>
  </si>
  <si>
    <t>17.4lpa</t>
  </si>
  <si>
    <t>Company norms</t>
  </si>
  <si>
    <t>BSc</t>
  </si>
  <si>
    <t>Chetan Saindane</t>
  </si>
  <si>
    <t>valandchetan50@gmail.com</t>
  </si>
  <si>
    <t>Isgec Hitachi Zosen Ltd</t>
  </si>
  <si>
    <t>LWD-12 July, 2025</t>
  </si>
  <si>
    <t>10 LPA (Having an offer of 8.8 LPA)</t>
  </si>
  <si>
    <t>Dahej (Guj)</t>
  </si>
  <si>
    <t>Satish Laxman Sahejrao</t>
  </si>
  <si>
    <t>iam_sahejrao@yahoo.com</t>
  </si>
  <si>
    <t>Nirmal Industrial Control</t>
  </si>
  <si>
    <t>8.35 LPA</t>
  </si>
  <si>
    <t>Naveen Kumar Soni</t>
  </si>
  <si>
    <t>career.soni@gmail.com</t>
  </si>
  <si>
    <t>Purchase, store</t>
  </si>
  <si>
    <t xml:space="preserve">Last: Aarize infrastructure </t>
  </si>
  <si>
    <t>14LPA</t>
  </si>
  <si>
    <t>Prashant Saxena</t>
  </si>
  <si>
    <t>prashantsaxena1@gmail.com</t>
  </si>
  <si>
    <t>Procurement, Store Mgmt, Purchase</t>
  </si>
  <si>
    <t>Everest Industry ltd</t>
  </si>
  <si>
    <t>Mba, Bsc</t>
  </si>
  <si>
    <t>Katani</t>
  </si>
  <si>
    <t>Sidram Madyal</t>
  </si>
  <si>
    <t>sidrammadyal@gmail.com</t>
  </si>
  <si>
    <t>Jyoti Solutions Works Pvt Ltd</t>
  </si>
  <si>
    <t>5.6 LPA</t>
  </si>
  <si>
    <t>BE (Electrical)</t>
  </si>
  <si>
    <t>Jalindar Walunj</t>
  </si>
  <si>
    <t>jalindarwalunj619@gmail.com</t>
  </si>
  <si>
    <t>Gestamp Pune Automotive Pvt Ltd</t>
  </si>
  <si>
    <t>Sonawane Shubham Daulatrao</t>
  </si>
  <si>
    <t>shubhamsonawane019@gmail.com</t>
  </si>
  <si>
    <t>Datsons Engineering Works</t>
  </si>
  <si>
    <t>Anwar Khan</t>
  </si>
  <si>
    <t xml:space="preserve">anwar07860@yahoo.co.in
</t>
  </si>
  <si>
    <t>Everest Industries</t>
  </si>
  <si>
    <t>41 LPA (20% Variable)</t>
  </si>
  <si>
    <t>Roorkee</t>
  </si>
  <si>
    <t>Prahlad Jakhar</t>
  </si>
  <si>
    <t>prahladjakhar01@gmail.com</t>
  </si>
  <si>
    <t>Purachase, store, SaP</t>
  </si>
  <si>
    <t>Roop Automotive Ltd.</t>
  </si>
  <si>
    <t>8.5LPA</t>
  </si>
  <si>
    <t>Bsc</t>
  </si>
  <si>
    <t>Dharuhera </t>
  </si>
  <si>
    <t>L2 Hold</t>
  </si>
  <si>
    <t>Vikram Singh</t>
  </si>
  <si>
    <t>vikram.singh064@gmail.com</t>
  </si>
  <si>
    <t>Purchase , store, sap</t>
  </si>
  <si>
    <t>Polyplastics Industries India Pvt. Ltd</t>
  </si>
  <si>
    <t>LWD: 21May, 2025</t>
  </si>
  <si>
    <t>14.5LPA</t>
  </si>
  <si>
    <t>15-16lpa (Offer: 15LPA, Faridabad)</t>
  </si>
  <si>
    <t>BCA, Diploma in mechanical</t>
  </si>
  <si>
    <t>Yamuna Nagar, Haryana</t>
  </si>
  <si>
    <t>Shakti Singh Sisodia</t>
  </si>
  <si>
    <t>shaktisingh463@gmail.com</t>
  </si>
  <si>
    <t>Afcons Infrastructure</t>
  </si>
  <si>
    <t>9.8 LPA</t>
  </si>
  <si>
    <t>Anurag Kumar Singh</t>
  </si>
  <si>
    <t>anurag9408@gmail.com</t>
  </si>
  <si>
    <t>Epack Prefab Technology</t>
  </si>
  <si>
    <t>12 LPA (Negotiable)</t>
  </si>
  <si>
    <t>Prashant Kumar Sonar</t>
  </si>
  <si>
    <t>sonarprashants@gmail.com</t>
  </si>
  <si>
    <t>Cosmos Impex Pvt Ltd</t>
  </si>
  <si>
    <t>5.8 LPA </t>
  </si>
  <si>
    <t>Pradeep Kumar</t>
  </si>
  <si>
    <t>pradeepkumaraitd15@gmail.com</t>
  </si>
  <si>
    <t>Ram Ratna Infrastructure</t>
  </si>
  <si>
    <t>4.32 LPA </t>
  </si>
  <si>
    <t>Gaurav T Sarve</t>
  </si>
  <si>
    <t>gtsarve@gmail.com</t>
  </si>
  <si>
    <t>Tata Steel Ltd</t>
  </si>
  <si>
    <t>6.75 LPA </t>
  </si>
  <si>
    <t>B Tech (Electrical &amp; Power)</t>
  </si>
  <si>
    <t>Dheeraj kumar</t>
  </si>
  <si>
    <t>dheerajthakker0189@gmail.com</t>
  </si>
  <si>
    <t>PPC, logistic, dispatch</t>
  </si>
  <si>
    <t xml:space="preserve"> jay switches india pvt ltd</t>
  </si>
  <si>
    <t>9.3lpa</t>
  </si>
  <si>
    <t>8month</t>
  </si>
  <si>
    <t>Prakash Kamble</t>
  </si>
  <si>
    <t>7738139430 </t>
  </si>
  <si>
    <t>Mansons International</t>
  </si>
  <si>
    <t>Diploma</t>
  </si>
  <si>
    <t>Dharani Dhar Tiwari</t>
  </si>
  <si>
    <t>9833703215 / 9044467778</t>
  </si>
  <si>
    <t>ddtiwariengg@gmail.com</t>
  </si>
  <si>
    <t>PPC, PP</t>
  </si>
  <si>
    <t>Gandhi Automation Pvt. Ltd</t>
  </si>
  <si>
    <t>90 days (Nego 60days)</t>
  </si>
  <si>
    <t>9.6LPA</t>
  </si>
  <si>
    <t>13LPA (Appraisal is due)</t>
  </si>
  <si>
    <t>mumbai (kalyan)</t>
  </si>
  <si>
    <t>Ashwin Wankhede</t>
  </si>
  <si>
    <t>ashwinw84@gmail.com</t>
  </si>
  <si>
    <t>PPC, production planning</t>
  </si>
  <si>
    <t>Resitex Pvt ltd</t>
  </si>
  <si>
    <t>9.5LPA</t>
  </si>
  <si>
    <t>13LPA</t>
  </si>
  <si>
    <t>Pranshul Shukla</t>
  </si>
  <si>
    <t>pranshul.india@gmail.com</t>
  </si>
  <si>
    <t>Steel Bridges, ROB, FOB, Design</t>
  </si>
  <si>
    <t>L&amp;T</t>
  </si>
  <si>
    <t>18.5LPA + 3LPA</t>
  </si>
  <si>
    <t>20 -25% (Appraisal Is due )</t>
  </si>
  <si>
    <t>Btech, MBA</t>
  </si>
  <si>
    <t>Arindam Chakraborty</t>
  </si>
  <si>
    <t>arindamrules89@gmail.com</t>
  </si>
  <si>
    <t>Adani Infra</t>
  </si>
  <si>
    <t>18.26 LPA</t>
  </si>
  <si>
    <t>30% hike (Negotiable)</t>
  </si>
  <si>
    <t>Vijay Kumar Harkude</t>
  </si>
  <si>
    <t>vijaybasava123@gmail.com</t>
  </si>
  <si>
    <t>20 LPA + Accommodation + Education (Total - 24 LPA)</t>
  </si>
  <si>
    <t>Avinash Sampat Sathe</t>
  </si>
  <si>
    <t>avinashsathe1071994@gmail.com</t>
  </si>
  <si>
    <t>Freshtop Fruits</t>
  </si>
  <si>
    <t>Rahul Prabhakar Gite</t>
  </si>
  <si>
    <t>giterahulp@gmail.com</t>
  </si>
  <si>
    <t>Dhumal Metals</t>
  </si>
  <si>
    <t>5.25 LPA</t>
  </si>
  <si>
    <t>BE (E&amp;TC)</t>
  </si>
  <si>
    <t>Swapnil Bhikaji Sail</t>
  </si>
  <si>
    <t>swapnil.sail2909@gmail.com</t>
  </si>
  <si>
    <t>John Cockerill India Ltd</t>
  </si>
  <si>
    <t>90 days (Nego 30days)</t>
  </si>
  <si>
    <t>12lpa</t>
  </si>
  <si>
    <t>Taloja</t>
  </si>
  <si>
    <t>Akash Tiwari</t>
  </si>
  <si>
    <t>rcktiwari25@gmail.com</t>
  </si>
  <si>
    <t xml:space="preserve">Weilder 3.1, Ndt 2level, </t>
  </si>
  <si>
    <t>LARSEN &amp; TOUBRO LIMITED</t>
  </si>
  <si>
    <t>90 days (Nego 45days)</t>
  </si>
  <si>
    <t>25-30% (appraisal is due)</t>
  </si>
  <si>
    <t>Bhilai</t>
  </si>
  <si>
    <t>M Palanivel</t>
  </si>
  <si>
    <t>palani6565.v@gmail.com</t>
  </si>
  <si>
    <t>MAS Construction</t>
  </si>
  <si>
    <t>8.82 LPA</t>
  </si>
  <si>
    <t>10.5 LPA</t>
  </si>
  <si>
    <t>Tamil Nadu</t>
  </si>
  <si>
    <t>Gowrisankar Arjunan</t>
  </si>
  <si>
    <t>saluks2003@gmail.com     </t>
  </si>
  <si>
    <t>Last: Phenix Construction Technologies</t>
  </si>
  <si>
    <t>15 days</t>
  </si>
  <si>
    <t>Vilas N. Gajbhiye</t>
  </si>
  <si>
    <t>vilas_g_1982@yahoo.com</t>
  </si>
  <si>
    <t>Soilmec Foundation Equipment Pvt. Ltd</t>
  </si>
  <si>
    <t>Anant Chandrakant Wani</t>
  </si>
  <si>
    <t>anant.wani@rediffmail.com</t>
  </si>
  <si>
    <t>Pan Gulf Technologies</t>
  </si>
  <si>
    <t>Snatak Shaw</t>
  </si>
  <si>
    <t>snatakshaw@gmail.com</t>
  </si>
  <si>
    <t>8.3 LPA + Transport + Accommodation</t>
  </si>
  <si>
    <t>35% on 8.3 LPA</t>
  </si>
  <si>
    <t>Diploma + B.tech</t>
  </si>
  <si>
    <t>Krishna Kumar Jha</t>
  </si>
  <si>
    <t>krishnakant89nncs@gmail.com</t>
  </si>
  <si>
    <t>drawing Review</t>
  </si>
  <si>
    <t>15lpa</t>
  </si>
  <si>
    <t>Mtech, BE</t>
  </si>
  <si>
    <t xml:space="preserve">Vivek Ananda Maity </t>
  </si>
  <si>
    <t>maityananda91@gmail.com</t>
  </si>
  <si>
    <t>Steel, design overal</t>
  </si>
  <si>
    <t>Megha Engineering</t>
  </si>
  <si>
    <t>16.6lpa</t>
  </si>
  <si>
    <t>18-19lpa</t>
  </si>
  <si>
    <t>3month</t>
  </si>
  <si>
    <t>Ravee Kumar</t>
  </si>
  <si>
    <t>raveekumaar70@gmail.com</t>
  </si>
  <si>
    <t>MSS INfrastructure</t>
  </si>
  <si>
    <t>35 LPA + Vechile + Cook (Appox 40 LPA)</t>
  </si>
  <si>
    <t>Sudhir Kumar</t>
  </si>
  <si>
    <t>Aviral Rastogi</t>
  </si>
  <si>
    <t>rastogiaviral8@gmail.com</t>
  </si>
  <si>
    <t>design, detail, structural steel fabrication, Tekla, auto CAD, Staad Pro, Revit</t>
  </si>
  <si>
    <t>MMBP Engineers</t>
  </si>
  <si>
    <t>4.8 LPA</t>
  </si>
  <si>
    <t>Dharmendra Kumar Patel</t>
  </si>
  <si>
    <t>patel7dharmendra@gmail.com</t>
  </si>
  <si>
    <t>Kaka Ji auto &amp; Agro Pvt Ltd</t>
  </si>
  <si>
    <t>5.52 LPA</t>
  </si>
  <si>
    <t>Rahul Shekhar khare</t>
  </si>
  <si>
    <t>rahulkhare4202@gmail.com</t>
  </si>
  <si>
    <t>D23</t>
  </si>
  <si>
    <t>Immediate, LWD- 31 May, 2025</t>
  </si>
  <si>
    <t>5.82 LPA Fixed (48500 in hand)</t>
  </si>
  <si>
    <t>65000 in hand</t>
  </si>
  <si>
    <t>6Month</t>
  </si>
  <si>
    <t>L2 to be Scheduled</t>
  </si>
  <si>
    <t>Sangram Keshari Beja</t>
  </si>
  <si>
    <t>sbeja673@gmail.com</t>
  </si>
  <si>
    <t>12.3 LPA</t>
  </si>
  <si>
    <t>M Tech (Structures)</t>
  </si>
  <si>
    <t>select</t>
  </si>
  <si>
    <t>Gunjan Virinder Kanda</t>
  </si>
  <si>
    <t>gunjankanda@yahoo.in</t>
  </si>
  <si>
    <t>Zamil Steel</t>
  </si>
  <si>
    <t>22 LPA + 15%</t>
  </si>
  <si>
    <t>Sachin Shivdas Shambharkar</t>
  </si>
  <si>
    <t>8788507744, 9730839238</t>
  </si>
  <si>
    <t>End to end project management</t>
  </si>
  <si>
    <t>INDIANA GRATINGS PRIVATE LIMITED</t>
  </si>
  <si>
    <t>16.3LPA + 30K</t>
  </si>
  <si>
    <t>22lpa</t>
  </si>
  <si>
    <t>Priyank Joshi</t>
  </si>
  <si>
    <t>4ever.priyank@gmail.com</t>
  </si>
  <si>
    <t>project Management, stake holder, epc, heavy steel fabrication, pmp certified</t>
  </si>
  <si>
    <t>Bridge &amp; Roof Co. </t>
  </si>
  <si>
    <t>24lpa</t>
  </si>
  <si>
    <t>30lpa</t>
  </si>
  <si>
    <t>Pranjal Singh</t>
  </si>
  <si>
    <t>spranjal95@gmail.com</t>
  </si>
  <si>
    <t>CbS Technologies Pvt. Ltd</t>
  </si>
  <si>
    <t>7LPA + 1LPA</t>
  </si>
  <si>
    <t>Gurgaon, Mumbai</t>
  </si>
  <si>
    <t>Subhankar Mahapatra</t>
  </si>
  <si>
    <t>suvapatra94@gmail.com</t>
  </si>
  <si>
    <t>Project Management</t>
  </si>
  <si>
    <t>Orbittal Electromech Engineering Project Private Lim</t>
  </si>
  <si>
    <t>8.16LPA</t>
  </si>
  <si>
    <t>Gujrata</t>
  </si>
  <si>
    <t>Nishant Kumar</t>
  </si>
  <si>
    <t>nishant.kumar442@gmail.com</t>
  </si>
  <si>
    <t>Balaji Action Buildwell Pvt Ltd</t>
  </si>
  <si>
    <t>Anil Saniwal</t>
  </si>
  <si>
    <t>Rostfrei Steel</t>
  </si>
  <si>
    <t>Biman Kuila</t>
  </si>
  <si>
    <t>bimankuila@gmail.com</t>
  </si>
  <si>
    <t>project management, steel fabrication</t>
  </si>
  <si>
    <t>Zamil</t>
  </si>
  <si>
    <t>B Tech, M Tech, MBA (Correspondence)</t>
  </si>
  <si>
    <t>Naveen Kumar</t>
  </si>
  <si>
    <t>9304575832/8757313181</t>
  </si>
  <si>
    <t>naveenrkdf325@gmail.com</t>
  </si>
  <si>
    <t>Rahee Infratech</t>
  </si>
  <si>
    <t>7.7 LPA</t>
  </si>
  <si>
    <t>Firdosh Naseem</t>
  </si>
  <si>
    <t>fncivil22@gmail.com</t>
  </si>
  <si>
    <t>RSPS Sipra</t>
  </si>
  <si>
    <t>same ctc</t>
  </si>
  <si>
    <t>Kanhaiya Kumar</t>
  </si>
  <si>
    <t>kanhaiyacivil2020@gmail.com</t>
  </si>
  <si>
    <t>Rishabh Pol</t>
  </si>
  <si>
    <t>polrishabh@gmail.com</t>
  </si>
  <si>
    <t xml:space="preserve">Project Manager, </t>
  </si>
  <si>
    <t> Infinity fabtech pvt ltd</t>
  </si>
  <si>
    <t>7.4LPA</t>
  </si>
  <si>
    <t>Ajit Rangrao Pimpale</t>
  </si>
  <si>
    <t>ajitpimple3465@gmail.com</t>
  </si>
  <si>
    <t>Kirby Building System  </t>
  </si>
  <si>
    <t>7.2 LPA</t>
  </si>
  <si>
    <t>Saikat Pratihar</t>
  </si>
  <si>
    <t>saikatpratihar71@gmail.com</t>
  </si>
  <si>
    <t>9lpa</t>
  </si>
  <si>
    <t>Diploma in Mechanical Engineering</t>
  </si>
  <si>
    <t>Odissa</t>
  </si>
  <si>
    <t>Rishabh Sangre</t>
  </si>
  <si>
    <t>7987383234 / 9970767328</t>
  </si>
  <si>
    <t>sangrerishabh@gmail.com</t>
  </si>
  <si>
    <t>INDIANA GRATING PVT. LTD.</t>
  </si>
  <si>
    <t>Vishal Deepak Suryawanshi</t>
  </si>
  <si>
    <t>vishalsurya117@gmail.com</t>
  </si>
  <si>
    <t>7.8LPA</t>
  </si>
  <si>
    <t xml:space="preserve">Navi Mumbai </t>
  </si>
  <si>
    <t>Final Status</t>
  </si>
  <si>
    <t>Amit Kumar Dubey</t>
  </si>
  <si>
    <t>amit003dubey@gmail.com</t>
  </si>
  <si>
    <t>5.7 LPA</t>
  </si>
  <si>
    <t>Aditya Goyal</t>
  </si>
  <si>
    <t>adityagoyal603@gmail.com</t>
  </si>
  <si>
    <t>HMM Infra</t>
  </si>
  <si>
    <t>Ambala</t>
  </si>
  <si>
    <t>L1 Scheduled</t>
  </si>
  <si>
    <t>NR</t>
  </si>
  <si>
    <t>Tushar Ghorai</t>
  </si>
  <si>
    <t>tushar.ghorai@outlook.com</t>
  </si>
  <si>
    <t>Shapoorji Pallonji &amp; Company</t>
  </si>
  <si>
    <t>8.4 LPA</t>
  </si>
  <si>
    <t>Patna</t>
  </si>
  <si>
    <t>Pankaj Suresh Raut</t>
  </si>
  <si>
    <t>pankajsraut2016@gmail.com</t>
  </si>
  <si>
    <t>PFAB Structure</t>
  </si>
  <si>
    <t>as per company norms</t>
  </si>
  <si>
    <t>BE (ME), M Tech (Heat &amp; Power)</t>
  </si>
  <si>
    <t xml:space="preserve">Vivek Kumar  </t>
  </si>
  <si>
    <t>kumarvivek2436@gmail.com</t>
  </si>
  <si>
    <t>7.3 LPA</t>
  </si>
  <si>
    <t>Neeraj Kumar Singh</t>
  </si>
  <si>
    <t>neerajsingh301848@gmail.com</t>
  </si>
  <si>
    <t>Llyod Metal Energy</t>
  </si>
  <si>
    <t>15% to 20% hike</t>
  </si>
  <si>
    <t>Dip (ME)</t>
  </si>
  <si>
    <t>Garhchiroli</t>
  </si>
  <si>
    <t>Vijay Mane</t>
  </si>
  <si>
    <t>vijaymane5794@gmail.com</t>
  </si>
  <si>
    <t>Radiant Heat Exchanger</t>
  </si>
  <si>
    <t>90 days, negotiable up to 45 to 60 days, buy out available</t>
  </si>
  <si>
    <t>Anurag Meena</t>
  </si>
  <si>
    <t>anuragastral@gmail.com</t>
  </si>
  <si>
    <t>KHD Humboldt Wedge</t>
  </si>
  <si>
    <t>60 days, negotiable up to 45 days</t>
  </si>
  <si>
    <t>Yogesh Sopan</t>
  </si>
  <si>
    <t>91ysshinde@gmail.com</t>
  </si>
  <si>
    <t>Suraj Kumar</t>
  </si>
  <si>
    <t>mr.surajprakash2001@gmail.com</t>
  </si>
  <si>
    <t xml:space="preserve">4.5LPA </t>
  </si>
  <si>
    <t>BE - Mech -2027</t>
  </si>
  <si>
    <t>Gujrat</t>
  </si>
  <si>
    <t>Shilpa</t>
  </si>
  <si>
    <t>Gowtham Gappanna</t>
  </si>
  <si>
    <t>mohanmedappaavaremadanda@gmail.com</t>
  </si>
  <si>
    <t>JHY TECHSERVE PVT LTD</t>
  </si>
  <si>
    <t>19200 in hand</t>
  </si>
  <si>
    <t>25KPM in hand</t>
  </si>
  <si>
    <t>BE - Mech -2023</t>
  </si>
  <si>
    <t>Kolar</t>
  </si>
  <si>
    <t>Raghvendra Singh</t>
  </si>
  <si>
    <t>raghavendrasingh1806@gmail.com</t>
  </si>
  <si>
    <t>Haier Appliances (India) Pvt Ltd</t>
  </si>
  <si>
    <t>45KPM in hand</t>
  </si>
  <si>
    <t>55 to 60KPM</t>
  </si>
  <si>
    <t>BE - Mech -2020</t>
  </si>
  <si>
    <t>Venkatasai Kaparathi</t>
  </si>
  <si>
    <r>
      <t>9573602437</t>
    </r>
    <r>
      <rPr>
        <sz val="6.3"/>
        <color rgb="FF666666"/>
        <rFont val="QVQEVA+Times New Roman"/>
        <charset val="1"/>
      </rPr>
      <t> </t>
    </r>
  </si>
  <si>
    <t>venkatasai.kap@gmail.com</t>
  </si>
  <si>
    <r>
      <t>Propel</t>
    </r>
    <r>
      <rPr>
        <sz val="9.25"/>
        <color rgb="FF666666"/>
        <rFont val="LQTFKV+Times New Roman,Bold"/>
        <charset val="1"/>
      </rPr>
      <t> </t>
    </r>
    <r>
      <rPr>
        <sz val="10.1"/>
        <color rgb="FF666666"/>
        <rFont val="LQTFKV+Times New Roman,Bold"/>
        <charset val="1"/>
      </rPr>
      <t>Industries pvt ltd,</t>
    </r>
    <r>
      <rPr>
        <sz val="9.25"/>
        <color rgb="FF666666"/>
        <rFont val="LQTFKV+Times New Roman,Bold"/>
        <charset val="1"/>
      </rPr>
      <t> </t>
    </r>
  </si>
  <si>
    <t>5LPA fixed</t>
  </si>
  <si>
    <t>6LPA fixed</t>
  </si>
  <si>
    <t>BE - Mech -2028</t>
  </si>
  <si>
    <t>Gourav Sarkar</t>
  </si>
  <si>
    <t>gouravsarkar29@gmail.com</t>
  </si>
  <si>
    <t>kalpataru projects international limited</t>
  </si>
  <si>
    <t>9.5LPA fixed</t>
  </si>
  <si>
    <t>BE - Mech -2024</t>
  </si>
  <si>
    <t>Krushnagovind Shriram Chandrakar</t>
  </si>
  <si>
    <t>krushnagovindsc@gmail.com</t>
  </si>
  <si>
    <t>Kirby Building Systems &amp; Structures Pvt. Ltd</t>
  </si>
  <si>
    <t>30 to 40% hike</t>
  </si>
  <si>
    <t>BE - Mech -2025</t>
  </si>
  <si>
    <t xml:space="preserve">Candidate Backout </t>
  </si>
  <si>
    <t>Amjad Julfekar Ali</t>
  </si>
  <si>
    <t>7325056846, 7350693354.</t>
  </si>
  <si>
    <t>amjadfdk@gmail.com</t>
  </si>
  <si>
    <t>M/s Mungi Group</t>
  </si>
  <si>
    <t>90 days(30 days mego)</t>
  </si>
  <si>
    <t>BE - Mech -2021</t>
  </si>
  <si>
    <t>Chakan, Pune</t>
  </si>
  <si>
    <t>Hemant Kumar Sahu</t>
  </si>
  <si>
    <t>hemantsahu.mech@gmail.com</t>
  </si>
  <si>
    <t>Doosan Power Systems India Private Limited</t>
  </si>
  <si>
    <t>60 days (nego)</t>
  </si>
  <si>
    <t>15 to 16 LPA (nego)</t>
  </si>
  <si>
    <t>BE - Mech -2022</t>
  </si>
  <si>
    <t>Obra, UP</t>
  </si>
  <si>
    <t>Suvndu Satpathy</t>
  </si>
  <si>
    <t>suvenducet198@gmail.com</t>
  </si>
  <si>
    <t>Thermax Babcock &amp; Wilcox Energy Solutions Pvt. Ltd</t>
  </si>
  <si>
    <t>12 LPA  fixed</t>
  </si>
  <si>
    <t>18 to 20LPA (nego)</t>
  </si>
  <si>
    <t>Sushil Bhagwat</t>
  </si>
  <si>
    <t>sbhagwat68@gmail.com</t>
  </si>
  <si>
    <t>Fab Industries</t>
  </si>
  <si>
    <t>13.5LPA</t>
  </si>
  <si>
    <t>16.5LPA</t>
  </si>
  <si>
    <t>BE - Mech -2026</t>
  </si>
  <si>
    <t>Chandra Shekhar Rawat</t>
  </si>
  <si>
    <t>shekharrawat01@gmail.com</t>
  </si>
  <si>
    <t>Nagarjuna Construction company</t>
  </si>
  <si>
    <t>30 days (non nego)</t>
  </si>
  <si>
    <t>12.5LPA</t>
  </si>
  <si>
    <t>B tech Mech</t>
  </si>
  <si>
    <t>Vishakha</t>
  </si>
  <si>
    <t>M. Faraz Khatri</t>
  </si>
  <si>
    <t>farazkhatriofficial42@gmail.com</t>
  </si>
  <si>
    <t>Suyash Global</t>
  </si>
  <si>
    <t>30 days (Nego)</t>
  </si>
  <si>
    <t>3.8LPA</t>
  </si>
  <si>
    <t>Thane, Mumbai</t>
  </si>
  <si>
    <t>Amol Digambar Khope</t>
  </si>
  <si>
    <t>8956239868/9168916870</t>
  </si>
  <si>
    <t>Amolkhope7@gmail.Com</t>
  </si>
  <si>
    <t>Borgwarner Emmission Pvt Ltd</t>
  </si>
  <si>
    <t>3.6LPA</t>
  </si>
  <si>
    <t>Diploma Mech</t>
  </si>
  <si>
    <t>Kalpesh Nimba Patel</t>
  </si>
  <si>
    <t>kalpeshp0155@gmail.com</t>
  </si>
  <si>
    <t>Atlas Copco India Ltd.</t>
  </si>
  <si>
    <t>5.5LPA</t>
  </si>
  <si>
    <t xml:space="preserve">Ajay Kumar Balwant </t>
  </si>
  <si>
    <t>ajaykumarbalwant786@gmail.com</t>
  </si>
  <si>
    <t xml:space="preserve">INDIAN IOL CORPORATION LIMITED </t>
  </si>
  <si>
    <t>15 to 20 Days</t>
  </si>
  <si>
    <t>32KPM in hand</t>
  </si>
  <si>
    <t>36 to 38 KPM in hand</t>
  </si>
  <si>
    <t>Diploma - Mech - 2018</t>
  </si>
  <si>
    <t>BAngalore</t>
  </si>
  <si>
    <t>Suvam Gupta</t>
  </si>
  <si>
    <t>suvamgupta93@gmail.com</t>
  </si>
  <si>
    <t>G cube Engineering Pvt Ltd</t>
  </si>
  <si>
    <t>4.7 LPA</t>
  </si>
  <si>
    <t>BE - Mech -2029</t>
  </si>
  <si>
    <t>Ashok Kumar A</t>
  </si>
  <si>
    <t>ashok04111996@gmail.com</t>
  </si>
  <si>
    <t>Arudar Engineers</t>
  </si>
  <si>
    <t>10 days</t>
  </si>
  <si>
    <t>5.4LPA</t>
  </si>
  <si>
    <t>5.88LPA</t>
  </si>
  <si>
    <t>Akash Temkar</t>
  </si>
  <si>
    <t>akashtemkar9@gmail.com</t>
  </si>
  <si>
    <t>Atomberg Technology</t>
  </si>
  <si>
    <t>60 days (nego 45days)</t>
  </si>
  <si>
    <t>4.4 LPA</t>
  </si>
  <si>
    <t>Dip (Automobile)</t>
  </si>
  <si>
    <t>Abhaya Kumar</t>
  </si>
  <si>
    <t>kumarabhaya520@gmail.com</t>
  </si>
  <si>
    <t>Steel Strip Wheels</t>
  </si>
  <si>
    <t>90 days (nego 45 days)</t>
  </si>
  <si>
    <t>Deepak Kumar</t>
  </si>
  <si>
    <t>deepak.gautam637.dg@gmail.com</t>
  </si>
  <si>
    <t>8.6 LPA</t>
  </si>
  <si>
    <t>11 LPA to 11.5 LPA</t>
  </si>
  <si>
    <t>Ganesh Suryakant Pawar</t>
  </si>
  <si>
    <t>ganeshpawar7789@gmail.com</t>
  </si>
  <si>
    <t>Matchwell Engineers</t>
  </si>
  <si>
    <t xml:space="preserve">Dip </t>
  </si>
  <si>
    <t>Sumit Singh</t>
  </si>
  <si>
    <t>sheoransumit162@gmail.com</t>
  </si>
  <si>
    <t>ROSTFREI STEELS PVT. LTD</t>
  </si>
  <si>
    <t>5.40LPA</t>
  </si>
  <si>
    <t xml:space="preserve">Diploma </t>
  </si>
  <si>
    <t>Palval</t>
  </si>
  <si>
    <t>Md. Gulam Quadir</t>
  </si>
  <si>
    <t>qmdgulam@gmail.com</t>
  </si>
  <si>
    <t>Kirby</t>
  </si>
  <si>
    <t>Vapi</t>
  </si>
  <si>
    <t>Chetan Adhikar Patil</t>
  </si>
  <si>
    <t>patilchetanviks@gmail.com</t>
  </si>
  <si>
    <t>7LPA</t>
  </si>
  <si>
    <t>Mohammed Arshad</t>
  </si>
  <si>
    <t>arshadkevar63@gmail.com</t>
  </si>
  <si>
    <t>Telka, Auto cad , steel detailer</t>
  </si>
  <si>
    <t>SATEC ENVIR ENGINEERING</t>
  </si>
  <si>
    <t>4lpa</t>
  </si>
  <si>
    <t>ITI</t>
  </si>
  <si>
    <t>Kameswararao Guntrothu</t>
  </si>
  <si>
    <t>kameshguntrothu@gmail.com</t>
  </si>
  <si>
    <t>QA, Welding, CSWIP 3.1/3.2, AWS CWI, NDT Level 2, WPS/PQR/WPQ, IRS, ASME, AWS D 1.6 and EN ISO 15614</t>
  </si>
  <si>
    <t>Indiana Grating</t>
  </si>
  <si>
    <t>16.8 LPA</t>
  </si>
  <si>
    <t>Balram Mohanta</t>
  </si>
  <si>
    <t>8319684897/9913506700</t>
  </si>
  <si>
    <t>balram.mohanta@rediffmail.com</t>
  </si>
  <si>
    <t>17+</t>
  </si>
  <si>
    <t>MTAR Technologies</t>
  </si>
  <si>
    <t>15.5 LPA</t>
  </si>
  <si>
    <t>Antony Leo Joseph</t>
  </si>
  <si>
    <t>er.antonyleo@gmail.com</t>
  </si>
  <si>
    <t>L&amp;T Mineral &amp; Metals</t>
  </si>
  <si>
    <t>18.5 LPA </t>
  </si>
  <si>
    <t>Dolvi</t>
  </si>
  <si>
    <t>Sanjeev Chaturvedi</t>
  </si>
  <si>
    <t>sanjeevrchaturvedi@gmail.com</t>
  </si>
  <si>
    <t>import, purchase, Sap</t>
  </si>
  <si>
    <t>Sainik Industries Pvt Ltd- Getsun Power</t>
  </si>
  <si>
    <t>60 days (Nego)</t>
  </si>
  <si>
    <t>10.5lpa (Increment done 10%)</t>
  </si>
  <si>
    <t>14LPA (offer:13LPA + Accomodation)</t>
  </si>
  <si>
    <t>PGDM, B.com</t>
  </si>
  <si>
    <t>Pramod Kumar Pal</t>
  </si>
  <si>
    <t>pkumar1983@hotmail.com</t>
  </si>
  <si>
    <t xml:space="preserve">store, import , SAP, </t>
  </si>
  <si>
    <t> Machino Plastics Ltd</t>
  </si>
  <si>
    <t>MBA, BSC</t>
  </si>
  <si>
    <t>Maneswar</t>
  </si>
  <si>
    <t>Yogesh Chaubey</t>
  </si>
  <si>
    <t>yogeshchaubey26@gmail.com</t>
  </si>
  <si>
    <t>machining &amp; beam welding, production</t>
  </si>
  <si>
    <t>Sadashiva Infrasteel Pvt Ltd</t>
  </si>
  <si>
    <t>BE (ME), M Tech (Production) Correspondence</t>
  </si>
  <si>
    <t>Final select</t>
  </si>
  <si>
    <t>Manas Rajan Malla</t>
  </si>
  <si>
    <t>manas24222@gmail.com</t>
  </si>
  <si>
    <t>Smith Structure</t>
  </si>
  <si>
    <t>5.3 LPA</t>
  </si>
  <si>
    <t>Kheda (Gujarat)</t>
  </si>
  <si>
    <t>1 month</t>
  </si>
  <si>
    <t>Jitendra</t>
  </si>
  <si>
    <t>jitendra.k1602@gmail.com</t>
  </si>
  <si>
    <t>7+</t>
  </si>
  <si>
    <t>3 years</t>
  </si>
  <si>
    <t>Ram Pratap Bharti</t>
  </si>
  <si>
    <t>rampratapbh78@gmail.com</t>
  </si>
  <si>
    <t>Manual welding, production</t>
  </si>
  <si>
    <t>6+</t>
  </si>
  <si>
    <t>Tuaman Engineering</t>
  </si>
  <si>
    <t>4.56 LPA</t>
  </si>
  <si>
    <t>Damanjodi (Odissa)</t>
  </si>
  <si>
    <t>Ajay S Kakade</t>
  </si>
  <si>
    <t>ajaykakade2608@gmail.com</t>
  </si>
  <si>
    <t>Bharat Forge</t>
  </si>
  <si>
    <t>90 days, negotiable up to 30 to 45 days</t>
  </si>
  <si>
    <t>Satara</t>
  </si>
  <si>
    <t>Bittu Gupta</t>
  </si>
  <si>
    <t>bittugupta968@gmail.com</t>
  </si>
  <si>
    <t>QC Coordinator, Steel Fabrication</t>
  </si>
  <si>
    <t>Arvee Associate</t>
  </si>
  <si>
    <t>Rihant Darwade</t>
  </si>
  <si>
    <t>rihant.golu@gmail.com</t>
  </si>
  <si>
    <t>3.5 LPA</t>
  </si>
  <si>
    <t>Katni (MP)</t>
  </si>
  <si>
    <t>Ajay Kumar</t>
  </si>
  <si>
    <t>akmaurya281@gmail.com</t>
  </si>
  <si>
    <t>Dee Development Engineering Ltd</t>
  </si>
  <si>
    <t>Md Sehwan Ahmad</t>
  </si>
  <si>
    <t>7992367315/9931770274</t>
  </si>
  <si>
    <t>mdsehwanahmadme1634@gmail.com</t>
  </si>
  <si>
    <t>JPC Infratech</t>
  </si>
  <si>
    <t>4.26 LPA</t>
  </si>
  <si>
    <t>Panvel</t>
  </si>
  <si>
    <t>Sonu Kumar Singh</t>
  </si>
  <si>
    <t>rathor.kumarsingh0@gmail.com</t>
  </si>
  <si>
    <t>GPT Infraprojects</t>
  </si>
  <si>
    <t>4.5 LPA</t>
  </si>
  <si>
    <t>Daman</t>
  </si>
  <si>
    <t>Suraj Sharma</t>
  </si>
  <si>
    <t>surajsharma4605@gmail.com</t>
  </si>
  <si>
    <t>L&amp;T Energy Hydrocarbon</t>
  </si>
  <si>
    <t>Kota</t>
  </si>
  <si>
    <t>Sagar Uttam Mahale</t>
  </si>
  <si>
    <t>mahalesagar03@gmail.com</t>
  </si>
  <si>
    <t>QA Coordinator, Steel Fabrication</t>
  </si>
  <si>
    <t>Reliable Autotech Pvt Ltd</t>
  </si>
  <si>
    <t>5.1 LPA</t>
  </si>
  <si>
    <t>Mohit Kumar</t>
  </si>
  <si>
    <t>9675855200/8077151454</t>
  </si>
  <si>
    <t>mohit601010@gmail.com</t>
  </si>
  <si>
    <t>TPS Infrastructure Ltd</t>
  </si>
  <si>
    <t>B Tech (ME), M Tech (Machin Design)</t>
  </si>
  <si>
    <t>Bhiwadi</t>
  </si>
  <si>
    <t>Buddhadev Bairi</t>
  </si>
  <si>
    <t>buddhadevxyz@gmail.com</t>
  </si>
  <si>
    <t>Sri Aurobindo Technical Service</t>
  </si>
  <si>
    <t>Mahaveer</t>
  </si>
  <si>
    <t xml:space="preserve">mahaveer_72@rediffmail.com
</t>
  </si>
  <si>
    <t>TPS Infra</t>
  </si>
  <si>
    <t>40 LPA</t>
  </si>
  <si>
    <t>48 LPA</t>
  </si>
  <si>
    <t>Position On Hold</t>
  </si>
  <si>
    <t>VEERAMUTHU.P</t>
  </si>
  <si>
    <t xml:space="preserve">veeramthu2000@yahoo.com
</t>
  </si>
  <si>
    <t>37 LPA</t>
  </si>
  <si>
    <t>50 LPA</t>
  </si>
  <si>
    <t>Rahul Mishra</t>
  </si>
  <si>
    <t>rahulmishra9020@gmail.com</t>
  </si>
  <si>
    <t>Unitop Aquacare Ltd</t>
  </si>
  <si>
    <t>60 days, negotiable up to 30 days</t>
  </si>
  <si>
    <t>6.4 LPA</t>
  </si>
  <si>
    <t>Tarini Prasad Panigrahi</t>
  </si>
  <si>
    <t>6370213921/9178301583</t>
  </si>
  <si>
    <t>tariniprasad300@gmail.com</t>
  </si>
  <si>
    <t>Dip (Metallurgy), B Tech (ME) Correspondence</t>
  </si>
  <si>
    <t>Chandan Kumar Senapati</t>
  </si>
  <si>
    <t>chandansenapati886@gmail.com</t>
  </si>
  <si>
    <t>Aarvi Encon Ltd</t>
  </si>
  <si>
    <t>Vikash Kumar</t>
  </si>
  <si>
    <t>vikash.k.samastipur@gmail.com</t>
  </si>
  <si>
    <t>Techno India Manufacturing &amp; Engineering</t>
  </si>
  <si>
    <t>3 LPA</t>
  </si>
  <si>
    <t>Godda (Jharkhand)</t>
  </si>
  <si>
    <t>Chandan Kumar Padhi</t>
  </si>
  <si>
    <t>9981693608/6371074928</t>
  </si>
  <si>
    <t>chandankumarpadhi608@gmail.com</t>
  </si>
  <si>
    <t>L&amp;T (Payroll- Right Advisors)</t>
  </si>
  <si>
    <t>Asad Sharif</t>
  </si>
  <si>
    <t>asadsharifns@gmail.com</t>
  </si>
  <si>
    <t>Pennar Industries</t>
  </si>
  <si>
    <t>Yash Waghulkar</t>
  </si>
  <si>
    <t>yashwaghulkar81@gmail.com</t>
  </si>
  <si>
    <t xml:space="preserve">Riddhim Siddhim Steel </t>
  </si>
  <si>
    <t>3.5LPA</t>
  </si>
  <si>
    <t>Khalapur</t>
  </si>
  <si>
    <t xml:space="preserve">Navi mumbai </t>
  </si>
  <si>
    <t>For trainee</t>
  </si>
  <si>
    <t>Nehal Ahamad</t>
  </si>
  <si>
    <t>nehalahmad374@gmail.com</t>
  </si>
  <si>
    <t>Fabtech Consulting Engineers</t>
  </si>
  <si>
    <t>6.24 LPA</t>
  </si>
  <si>
    <t>Aminuddin Ansari</t>
  </si>
  <si>
    <t>dreamindia0049@gmail.com</t>
  </si>
  <si>
    <t>Raina Engineers</t>
  </si>
  <si>
    <t>4.89 LPA</t>
  </si>
  <si>
    <t>Raigad</t>
  </si>
  <si>
    <t>Umakant Prasad</t>
  </si>
  <si>
    <t>umakant.prasad171992@gmail.com</t>
  </si>
  <si>
    <t>Machinemaze Integration Services Pvt Ltd</t>
  </si>
  <si>
    <t>6.48 LPA</t>
  </si>
  <si>
    <t>B Tech (ME), MBA Pursuing</t>
  </si>
  <si>
    <t>Dhananjay Mali</t>
  </si>
  <si>
    <t>dhananjaymali1920@gmail.com</t>
  </si>
  <si>
    <t>Last: L&amp;T AM Naik Heavy engineering</t>
  </si>
  <si>
    <t>20KPM in hand</t>
  </si>
  <si>
    <t>Chalisgaon</t>
  </si>
  <si>
    <t>Durgesh Anil Birari</t>
  </si>
  <si>
    <t>biraridurgesh2001@gmail.com</t>
  </si>
  <si>
    <t>Sanjyot Group</t>
  </si>
  <si>
    <t>30 to 35KPM in hand</t>
  </si>
  <si>
    <t>Nashik</t>
  </si>
  <si>
    <t>Angad Yadav</t>
  </si>
  <si>
    <t>angad12yadu@gmail.com</t>
  </si>
  <si>
    <t>SNLKO Energy Pvt Ltd</t>
  </si>
  <si>
    <t>4.04 LPA</t>
  </si>
  <si>
    <t>Suresh Kumar V</t>
  </si>
  <si>
    <t>vsureshkumarmech95@gmail.com</t>
  </si>
  <si>
    <t>Stainless steel - 8, welding Cswip -3.1, ndp 2level</t>
  </si>
  <si>
    <t>Godrej</t>
  </si>
  <si>
    <t>11lpa+(2.5lpa + accomodation)</t>
  </si>
  <si>
    <t>Dip (me)</t>
  </si>
  <si>
    <t>S.Balakrishnan</t>
  </si>
  <si>
    <t>sbkay333@gmail.com</t>
  </si>
  <si>
    <t>Welding &amp; quality</t>
  </si>
  <si>
    <t xml:space="preserve">Verli India </t>
  </si>
  <si>
    <t>20lpa</t>
  </si>
  <si>
    <t>navi mumbai</t>
  </si>
  <si>
    <t>Saday Kumar Sharma</t>
  </si>
  <si>
    <t>saday.chas98@gmail.com</t>
  </si>
  <si>
    <t>shot blasting and painting, production</t>
  </si>
  <si>
    <t>Fab Tool Industries</t>
  </si>
  <si>
    <t>LWD- 10/8/25</t>
  </si>
  <si>
    <t>3.24 LPA</t>
  </si>
  <si>
    <t>Holding an offer of 4.44 LPA, expecting 40K in hand</t>
  </si>
  <si>
    <t>Dip(Manufacturing Technology), BA (Geography)</t>
  </si>
  <si>
    <t>Himanshu Saksena</t>
  </si>
  <si>
    <t>himanshusaksena06@gmail.com</t>
  </si>
  <si>
    <t>Kinetic Engineering Ltd</t>
  </si>
  <si>
    <t>Dip (Painting Technology)</t>
  </si>
  <si>
    <t>Ahmadnagar</t>
  </si>
  <si>
    <t>Atul Bhalchandra Deo</t>
  </si>
  <si>
    <t>8605897461/9172245848</t>
  </si>
  <si>
    <t>atuldeo121@gmail.com</t>
  </si>
  <si>
    <t>Ultra Corpotech Pvt Ltd</t>
  </si>
  <si>
    <t>Dip (ME), Certificate-Paint Manufacturing &amp; Application</t>
  </si>
  <si>
    <t>Bharat M Mahanor</t>
  </si>
  <si>
    <t>mahanorbharat6@gmail.com</t>
  </si>
  <si>
    <t>Cu Built Engineers</t>
  </si>
  <si>
    <t>Subrata Bhunia</t>
  </si>
  <si>
    <t>bhuniasubrata98@gmail.com</t>
  </si>
  <si>
    <t>Indstaal Infra Pvt Ltd</t>
  </si>
  <si>
    <t>5.16 LPA</t>
  </si>
  <si>
    <t>Dip (ME) Distance</t>
  </si>
  <si>
    <t>Jitendra B Nikam</t>
  </si>
  <si>
    <t>jndpat369@gmail.com</t>
  </si>
  <si>
    <t>60 days, negotiable up to 30 to 45 days</t>
  </si>
  <si>
    <t>10.5 LPA </t>
  </si>
  <si>
    <t>Dip (Paint Application Technology) </t>
  </si>
  <si>
    <t>Asangaon</t>
  </si>
  <si>
    <t>Kalpesh Veerpal Singh</t>
  </si>
  <si>
    <t>9033306312/8469725380</t>
  </si>
  <si>
    <t>kalpesh.21singh@gmail.com</t>
  </si>
  <si>
    <t>AAA Services (Client-L&amp;T)</t>
  </si>
  <si>
    <t>7.11 LPA</t>
  </si>
  <si>
    <t>Dip (ME), B Tech (ME) </t>
  </si>
  <si>
    <t>Dhirendra Kumar Singh</t>
  </si>
  <si>
    <t>gagan88.singh@yahoo.com</t>
  </si>
  <si>
    <t>opex, raw material, SAP</t>
  </si>
  <si>
    <t>Apollo Pipes ltd</t>
  </si>
  <si>
    <t>25- 30%</t>
  </si>
  <si>
    <t>MBA, B.Com</t>
  </si>
  <si>
    <t>Chander Jeet Sharma</t>
  </si>
  <si>
    <t>sharmachanderjeet@gmail.com</t>
  </si>
  <si>
    <t>Store, sap, purchase</t>
  </si>
  <si>
    <t> Golcha Group </t>
  </si>
  <si>
    <t>18.5lpa + accomodation + 2lpa</t>
  </si>
  <si>
    <t>Mba, b.com</t>
  </si>
  <si>
    <t>Sharuk Jakir Shaikh</t>
  </si>
  <si>
    <t>sharuk1610@gmail.com</t>
  </si>
  <si>
    <t>ASR Industries</t>
  </si>
  <si>
    <t>3.12 LPA</t>
  </si>
  <si>
    <t xml:space="preserve">Neeraj Kumar  </t>
  </si>
  <si>
    <t>neerajkumarkn2321@gmail.com</t>
  </si>
  <si>
    <t>Atlas Metal Pvt Ltd</t>
  </si>
  <si>
    <t>3.2 LPA</t>
  </si>
  <si>
    <t>Saifali I Khan</t>
  </si>
  <si>
    <t>saifali2109k@gmail.com</t>
  </si>
  <si>
    <t>Gazebo Industries</t>
  </si>
  <si>
    <t xml:space="preserve">90 days, negotiable up to 45 to 60 days  </t>
  </si>
  <si>
    <t>Kalyan</t>
  </si>
  <si>
    <t>Shramik Gangurde</t>
  </si>
  <si>
    <t>shramikg123@gmail.com</t>
  </si>
  <si>
    <t xml:space="preserve">Fabtech  </t>
  </si>
  <si>
    <t>Injmam Ali</t>
  </si>
  <si>
    <t>injmamali9939@gmail.com</t>
  </si>
  <si>
    <t>Last Comp-HPL Haldiya Petrochemicals (Payroll- Radiant Hitech Engineering Pvt Ltd)</t>
  </si>
  <si>
    <t>Immediate; LWD-July 16, 2025</t>
  </si>
  <si>
    <t>Gopalganj</t>
  </si>
  <si>
    <t>Sanjeet Paswan</t>
  </si>
  <si>
    <t>sanjeetp5399@gmail.com</t>
  </si>
  <si>
    <t>3.7 LPA</t>
  </si>
  <si>
    <t>Vivek Vekhande</t>
  </si>
  <si>
    <t>vekhandeviki5151@gmail.com</t>
  </si>
  <si>
    <t>Pipes, steel, new project</t>
  </si>
  <si>
    <t>Last: om techno engineer</t>
  </si>
  <si>
    <t>Immediadte</t>
  </si>
  <si>
    <t>2.88lpa</t>
  </si>
  <si>
    <t>Mumbau</t>
  </si>
  <si>
    <t>Raghavendra Singh</t>
  </si>
  <si>
    <t>singhraghavendra2022@gmail.com</t>
  </si>
  <si>
    <t>60 days, negos</t>
  </si>
  <si>
    <t>11 to 12 LPA</t>
  </si>
  <si>
    <t>Satendra Kumar </t>
  </si>
  <si>
    <t>ind6193@gmail.com</t>
  </si>
  <si>
    <t>9.6 LPA</t>
  </si>
  <si>
    <t>Dip (ME), BE (ME) Correspondence</t>
  </si>
  <si>
    <t>6month</t>
  </si>
  <si>
    <t>Pankaj Kumar</t>
  </si>
  <si>
    <t>pankajmeche@gmail.com</t>
  </si>
  <si>
    <t>Barbrik Project Ltd</t>
  </si>
  <si>
    <t>4.8 LPA + Accomodation</t>
  </si>
  <si>
    <t>Ambikapur (CG)</t>
  </si>
  <si>
    <t>7month</t>
  </si>
  <si>
    <t>SANTOSH KUMAR</t>
  </si>
  <si>
    <t>ABHAY7RAY@GMAIL.COM</t>
  </si>
  <si>
    <t xml:space="preserve">shot </t>
  </si>
  <si>
    <t>Eco PEB Turnkey Solutions Pvt. Ltd.</t>
  </si>
  <si>
    <t>7.9LPA + 70K</t>
  </si>
  <si>
    <t>Paval</t>
  </si>
  <si>
    <t>Kapil Chauhan</t>
  </si>
  <si>
    <t>kc1574649@gmail.com</t>
  </si>
  <si>
    <t>4.44 LPA</t>
  </si>
  <si>
    <t>BE (ME) Correspondence</t>
  </si>
  <si>
    <t>Ritesh Yadav</t>
  </si>
  <si>
    <t>riteshbhai556@gmail.com</t>
  </si>
  <si>
    <t>Royal Infraconstu</t>
  </si>
  <si>
    <t>5.2 LPA</t>
  </si>
  <si>
    <t>Advance walls global</t>
  </si>
  <si>
    <t>9LPA + 1LPA</t>
  </si>
  <si>
    <t xml:space="preserve">Kirby Building System   </t>
  </si>
  <si>
    <t>Vivek Vijayrao Jawalekar</t>
  </si>
  <si>
    <t>vivekproarc@gmail.com</t>
  </si>
  <si>
    <t>Mega Pipes &amp; Tubes</t>
  </si>
  <si>
    <t>60 days, negotiable up to 30 days, buy out available</t>
  </si>
  <si>
    <t>6.96 LPA</t>
  </si>
  <si>
    <t>Shailendra Kumar</t>
  </si>
  <si>
    <t>shailendra88singh@gmail.com</t>
  </si>
  <si>
    <t>60 days, buy out available, negotiable up to 30 to 45 days</t>
  </si>
  <si>
    <t>B Tech (EEE)</t>
  </si>
  <si>
    <t>Vivek Ahire</t>
  </si>
  <si>
    <t>vvk.ahire@gmail.com</t>
  </si>
  <si>
    <t>WAM India Pvt Ltd</t>
  </si>
  <si>
    <t>BE (EE), M Tech (Power Systems)</t>
  </si>
  <si>
    <t>Thane</t>
  </si>
  <si>
    <t>Project Lead</t>
  </si>
  <si>
    <t>Dinesh Kumar Tiwari</t>
  </si>
  <si>
    <t>8505865179/8507984493</t>
  </si>
  <si>
    <t>dinesh1694kumar@gmail.com</t>
  </si>
  <si>
    <t>12 years</t>
  </si>
  <si>
    <t>Tata Projects Limited</t>
  </si>
  <si>
    <t>17 LPA fixed</t>
  </si>
  <si>
    <t>22.10 LPA</t>
  </si>
  <si>
    <t>Be MEch 2013</t>
  </si>
  <si>
    <t>Delhi NCR</t>
  </si>
  <si>
    <t>BHASHIDH SHAIK</t>
  </si>
  <si>
    <t>bhashidh.shaik@gmail.com</t>
  </si>
  <si>
    <t>16 years</t>
  </si>
  <si>
    <t>Pennar Industries Limited</t>
  </si>
  <si>
    <t>18.2LPA - 15%v</t>
  </si>
  <si>
    <t>24LPA (nego)</t>
  </si>
  <si>
    <t>Diploma civil 2009</t>
  </si>
  <si>
    <t>vishakapatnam</t>
  </si>
  <si>
    <t>Fahad Abdul Hamid Fodkar</t>
  </si>
  <si>
    <t>fodkarfahad110@gmail.com</t>
  </si>
  <si>
    <t>Chemtron Science Laboratory Pvt Ltd</t>
  </si>
  <si>
    <t>4.9 LPA</t>
  </si>
  <si>
    <t>Dip (ME), B Tech (Waiting for Degree) Correspondence</t>
  </si>
  <si>
    <t>Pankaj Balwant Patil</t>
  </si>
  <si>
    <t>patilpankaj4141@gmail.com</t>
  </si>
  <si>
    <t>Datta Enterprises</t>
  </si>
  <si>
    <t>Kolhapur</t>
  </si>
  <si>
    <t>Shreyansh Kumar Jain</t>
  </si>
  <si>
    <t>shreyansh75@gmail.com</t>
  </si>
  <si>
    <t>Ray Engineers</t>
  </si>
  <si>
    <t>4.2 LPA + Accomodation  </t>
  </si>
  <si>
    <t>Murbad</t>
  </si>
  <si>
    <t>Mohammad Saqlain</t>
  </si>
  <si>
    <t>saqlainkhan4111@gmail.com</t>
  </si>
  <si>
    <t>Megha Engineering Infrastructure</t>
  </si>
  <si>
    <t>6.72 LPA</t>
  </si>
  <si>
    <t>Dip (ME), B Tech (ME) Correspondance</t>
  </si>
  <si>
    <t>Badmer</t>
  </si>
  <si>
    <t>brijesh sharma</t>
  </si>
  <si>
    <t>1234brijeshsharma01@gmail.com</t>
  </si>
  <si>
    <t>Eco turnkey solutions Pvt Ltd</t>
  </si>
  <si>
    <t>Amiya Kumar Behera</t>
  </si>
  <si>
    <t>kumaramiya95@gmail.com</t>
  </si>
  <si>
    <t>TQ Cert Services Pvt Ltd</t>
  </si>
  <si>
    <t>Angul</t>
  </si>
  <si>
    <t>Soumyakanta Biswal</t>
  </si>
  <si>
    <t>soumyakanta.bdk@gmail.com</t>
  </si>
  <si>
    <t>Pilot Industries Ltd</t>
  </si>
  <si>
    <t>10Month</t>
  </si>
  <si>
    <t>Arvind Tiwari</t>
  </si>
  <si>
    <t>arvindtiwari5598@gmail.com</t>
  </si>
  <si>
    <t>Arcedges Building India Pvt Ltd</t>
  </si>
  <si>
    <t>Dip (ME), B Tech (ME) Correspondence</t>
  </si>
  <si>
    <t>Tanweer Zafar</t>
  </si>
  <si>
    <t>tanweerzafar8@gmail.com</t>
  </si>
  <si>
    <t>9+</t>
  </si>
  <si>
    <t>Blast Clean System Ltd</t>
  </si>
  <si>
    <t>Gaurav Kumar</t>
  </si>
  <si>
    <t>gauravarunkumarlal@gmail.com</t>
  </si>
  <si>
    <t>steel fabrication, project execution</t>
  </si>
  <si>
    <t>PSP Projects Ltd</t>
  </si>
  <si>
    <t>60 days, negitiable up to 30 days</t>
  </si>
  <si>
    <t>7.15 LPA+ Accomodation</t>
  </si>
  <si>
    <t>Pramod Kumar Yadav</t>
  </si>
  <si>
    <t>pramod.tcs96@gmail.com</t>
  </si>
  <si>
    <t>AB Infrabuild</t>
  </si>
  <si>
    <t>7 LPA + Accomodation</t>
  </si>
  <si>
    <t>Hindalco Industries</t>
  </si>
  <si>
    <t>90days (Nego)</t>
  </si>
  <si>
    <t>Sambalpur</t>
  </si>
  <si>
    <t>18th Sep, 23rd sept</t>
  </si>
  <si>
    <t>Puneet Kumar</t>
  </si>
  <si>
    <t>8860230863 / 9136001522</t>
  </si>
  <si>
    <t xml:space="preserve">puneetkmr475@gmail.com </t>
  </si>
  <si>
    <t xml:space="preserve">sap, </t>
  </si>
  <si>
    <t>Biltech Building Elements Ltd</t>
  </si>
  <si>
    <t>12LPA + 1LPA</t>
  </si>
  <si>
    <t>delhi</t>
  </si>
  <si>
    <t>Vikas Rathore</t>
  </si>
  <si>
    <t>vikasrathore2009@gmail.com</t>
  </si>
  <si>
    <t>BirlaNu Limited</t>
  </si>
  <si>
    <t>15LPA - 10%V</t>
  </si>
  <si>
    <t>30 to 35% hike</t>
  </si>
  <si>
    <t>MBA - marketing - 2009</t>
  </si>
  <si>
    <t>AKHILESH MISHRA</t>
  </si>
  <si>
    <t>14+ years</t>
  </si>
  <si>
    <t>14 years</t>
  </si>
  <si>
    <t>Shri Mahavir Ferro Alloys Pvt. Ltd,</t>
  </si>
  <si>
    <t>17LPA fixed</t>
  </si>
  <si>
    <t>BA 2011, MBA finance 2014(distance)</t>
  </si>
  <si>
    <t>rourkela</t>
  </si>
  <si>
    <t>AJAY KUMAR</t>
  </si>
  <si>
    <t>ajaybijarniya@gmail.com</t>
  </si>
  <si>
    <t>Misumi India Ltd</t>
  </si>
  <si>
    <t>15LPA - 1.50LV</t>
  </si>
  <si>
    <t>35%hike</t>
  </si>
  <si>
    <t>B.Tech - MEch - 2010, MBA - operations &amp; Supply chain - 2013(corresponding)</t>
  </si>
  <si>
    <t>Mohammad Shahbaz</t>
  </si>
  <si>
    <t>mdshahbaz.er@gmail.com</t>
  </si>
  <si>
    <t>Ram Kripal Singh Construction Pvt Ltd</t>
  </si>
  <si>
    <t>Ranchi</t>
  </si>
  <si>
    <t>11 months</t>
  </si>
  <si>
    <t>Chandeshwar Verma</t>
  </si>
  <si>
    <t>chandu1164@gmail.com</t>
  </si>
  <si>
    <t>Steel Works &amp; Innovation</t>
  </si>
  <si>
    <t>55000 in hand + Accomodation</t>
  </si>
  <si>
    <t>1 year 2 months</t>
  </si>
  <si>
    <t>Dipanshu Vishwakarma</t>
  </si>
  <si>
    <t>vishwadeep456@gmail.com</t>
  </si>
  <si>
    <t>JCL Infra</t>
  </si>
  <si>
    <t>Meerut</t>
  </si>
  <si>
    <t>2 years 7 months</t>
  </si>
  <si>
    <t>Raju Kumar Das</t>
  </si>
  <si>
    <t>rkdas5112327@gmail.com</t>
  </si>
  <si>
    <t>Jhajhari Nirman Ltd</t>
  </si>
  <si>
    <t>Prayagraj</t>
  </si>
  <si>
    <t>4 years 3 months</t>
  </si>
  <si>
    <t>Mukul Sontakke</t>
  </si>
  <si>
    <t>mukulsontakke7@gmail.com</t>
  </si>
  <si>
    <t>Amazon Seller Private Ltd</t>
  </si>
  <si>
    <t>7.02LPA + 1-2LPA</t>
  </si>
  <si>
    <t>10-11LPA</t>
  </si>
  <si>
    <t>MBA, BMS</t>
  </si>
  <si>
    <t>Pravat Kumar Jha</t>
  </si>
  <si>
    <t>jha.pravat09@gmail.com</t>
  </si>
  <si>
    <t>Varun Beverages Ltd </t>
  </si>
  <si>
    <t>8.75LPA</t>
  </si>
  <si>
    <t>MBA, BCA, Diploma in Labour Law</t>
  </si>
  <si>
    <t>Siddharth Bansode</t>
  </si>
  <si>
    <t>9920 905 955</t>
  </si>
  <si>
    <t>hr.siddharthb@gmail.com</t>
  </si>
  <si>
    <t>ss print to pack pvt ltd</t>
  </si>
  <si>
    <t>6.6LPA(15 to 20%hike hike awaited)</t>
  </si>
  <si>
    <t>on apprisal 20% hike</t>
  </si>
  <si>
    <t>MBA 2014 - HR</t>
  </si>
  <si>
    <t>ALOK KUMAR MISHRA</t>
  </si>
  <si>
    <t>9930240341 | 9004784090</t>
  </si>
  <si>
    <t>alok7044@gmail.com</t>
  </si>
  <si>
    <t>Sonepar India Private Limited</t>
  </si>
  <si>
    <t>9LPA - 1.20LV</t>
  </si>
  <si>
    <t>12LPA (nego)</t>
  </si>
  <si>
    <t>MBA 2017 to 19(evening class)</t>
  </si>
  <si>
    <t>thane west</t>
  </si>
  <si>
    <t>Dipesh Narhar Indasrao</t>
  </si>
  <si>
    <t>deepeshindasrao@rediffmail.com</t>
  </si>
  <si>
    <t>MBA, Diploma in ME, BA</t>
  </si>
  <si>
    <t>Mohan Kumar</t>
  </si>
  <si>
    <t>mohangsd1988@gmail.com</t>
  </si>
  <si>
    <t>Kasliwal Projects Ltd</t>
  </si>
  <si>
    <t>8.10lpa</t>
  </si>
  <si>
    <t>MBA, BSc</t>
  </si>
  <si>
    <t>Vasai</t>
  </si>
  <si>
    <t>Jagan Das</t>
  </si>
  <si>
    <t>jdas2691@gmail.com</t>
  </si>
  <si>
    <t>Afcons</t>
  </si>
  <si>
    <t>9.6lpa</t>
  </si>
  <si>
    <t>MBA, Btech</t>
  </si>
  <si>
    <t>Anderi</t>
  </si>
  <si>
    <t>Mahesh Digambar Wagh</t>
  </si>
  <si>
    <t>mdwagh1998@gmail.com</t>
  </si>
  <si>
    <t>Britannia Industries Limited</t>
  </si>
  <si>
    <t>5.6lpa</t>
  </si>
  <si>
    <t>MSW, BSc</t>
  </si>
  <si>
    <t>GANESH CHIMALE</t>
  </si>
  <si>
    <t>chimalegaesh6@gmail.com</t>
  </si>
  <si>
    <t>MSW, BSW</t>
  </si>
  <si>
    <t>SULTAN SAINI</t>
  </si>
  <si>
    <t>9166966433 / 9315038820</t>
  </si>
  <si>
    <t>sultansaini1993@gmail.com</t>
  </si>
  <si>
    <t>9+ years</t>
  </si>
  <si>
    <t>Greenpanel Industries Limited</t>
  </si>
  <si>
    <t>20LPA fixed</t>
  </si>
  <si>
    <t>CMA 2015</t>
  </si>
  <si>
    <t>Vikas ShaRMA</t>
  </si>
  <si>
    <t>cmavikassharma660@gmail.com</t>
  </si>
  <si>
    <t>Hero Motors Ltd</t>
  </si>
  <si>
    <t>17LPA - 50KV</t>
  </si>
  <si>
    <t>CMA 2014</t>
  </si>
  <si>
    <t>Harshvardhan S Torane</t>
  </si>
  <si>
    <t>harshvardhan102133@gmail.com</t>
  </si>
  <si>
    <t>JaisinghInnovations LLP</t>
  </si>
  <si>
    <t>90days (nego)</t>
  </si>
  <si>
    <t>9.15lpa + Variable</t>
  </si>
  <si>
    <t>11lpa</t>
  </si>
  <si>
    <t>LLM, MBA, Master in  IR, B.Sc</t>
  </si>
  <si>
    <t>Pawan Kumar Tiwari</t>
  </si>
  <si>
    <t>pawankumartiwaribui@gmail.com</t>
  </si>
  <si>
    <t>Sansu Aquatek India</t>
  </si>
  <si>
    <t>5.5lpa</t>
  </si>
  <si>
    <t>MBA, MSc, Bsc</t>
  </si>
  <si>
    <t>REQ. DATE</t>
  </si>
  <si>
    <t>Position Count</t>
  </si>
  <si>
    <t>Total CV Shared</t>
  </si>
  <si>
    <t>GRAND TOTAL</t>
  </si>
  <si>
    <t>Stages</t>
  </si>
  <si>
    <t>Total CV</t>
  </si>
  <si>
    <t>Avg Time(Days)</t>
  </si>
  <si>
    <t>OVERALL FTR%</t>
  </si>
  <si>
    <t>Upto Dec</t>
  </si>
  <si>
    <t>Jan</t>
  </si>
  <si>
    <t>feb</t>
  </si>
  <si>
    <t>March</t>
  </si>
  <si>
    <t>April</t>
  </si>
  <si>
    <t>May</t>
  </si>
  <si>
    <t>June</t>
  </si>
  <si>
    <t>July</t>
  </si>
  <si>
    <t>August</t>
  </si>
  <si>
    <t>Minus</t>
  </si>
  <si>
    <t>Aging Bucket</t>
  </si>
  <si>
    <t>Count</t>
  </si>
  <si>
    <t>0-30</t>
  </si>
  <si>
    <t>31-45</t>
  </si>
  <si>
    <t>46-60</t>
  </si>
  <si>
    <t>61-75</t>
  </si>
  <si>
    <t>76-90</t>
  </si>
  <si>
    <t>91-105</t>
  </si>
  <si>
    <t>106-120</t>
  </si>
  <si>
    <t>120+</t>
  </si>
  <si>
    <t>Funnel</t>
  </si>
  <si>
    <t>Funnel to be added</t>
  </si>
  <si>
    <t>Meeting with HM pending</t>
  </si>
  <si>
    <t>NA</t>
  </si>
  <si>
    <t>CV Shared Date</t>
  </si>
  <si>
    <t>Replacement/New</t>
  </si>
  <si>
    <t>Replacement of (Name)</t>
  </si>
  <si>
    <t>Remarks</t>
  </si>
  <si>
    <r>
      <rPr>
        <sz val="10"/>
        <color rgb="FF000000"/>
        <rFont val="Calibri"/>
        <family val="2"/>
        <scheme val="minor"/>
      </rPr>
      <t>B.Tech / Diploma in Mechanical / Production  / Metallurgy / Materials</t>
    </r>
    <r>
      <rPr>
        <u/>
        <sz val="10"/>
        <color rgb="FF008080"/>
        <rFont val="Calibri"/>
        <family val="2"/>
        <scheme val="minor"/>
      </rPr>
      <t xml:space="preserve"> </t>
    </r>
    <r>
      <rPr>
        <sz val="10"/>
        <color rgb="FF000000"/>
        <rFont val="Calibri"/>
        <family val="2"/>
        <scheme val="minor"/>
      </rPr>
      <t>Engineering</t>
    </r>
  </si>
  <si>
    <t>CTC Range</t>
  </si>
  <si>
    <t>800000 To 1200000</t>
  </si>
  <si>
    <t>1200000 To 1800000</t>
  </si>
  <si>
    <t>1800000 To 3000000</t>
  </si>
  <si>
    <t>3000000 To 5000000</t>
  </si>
  <si>
    <t>5000000 To 6000000</t>
  </si>
  <si>
    <t>Opening Fee</t>
  </si>
  <si>
    <t>Closing Fee (Taggd Source)</t>
  </si>
  <si>
    <t>4.85% Of Total CTC less than 27000</t>
  </si>
  <si>
    <t>6.50% Of Total CTC less than 27000</t>
  </si>
  <si>
    <t>7% Of Total CTC less than 27000</t>
  </si>
  <si>
    <t>Other Source</t>
  </si>
  <si>
    <t>6000000 T0 8000000</t>
  </si>
  <si>
    <t>8000000 T0 10000000</t>
  </si>
  <si>
    <t>13% Of Total CTC</t>
  </si>
  <si>
    <t>10.50% Of Total 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</si>
</sst>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[$-409]dd\-mmm\-yy;@"/>
    <numFmt numFmtId="165" formatCode="[$-F800]dddd\,\ mmmm\ dd\,\ yyyy"/>
    <numFmt numFmtId="166" formatCode="[$-409]d\-mmm\-yy;@"/>
    <numFmt numFmtId="167" formatCode="dd/mmmm/yyyy"/>
    <numFmt numFmtId="168" formatCode="[$-14009]dd/mm/yyyy;@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charset val="1"/>
      <scheme val="minor"/>
    </font>
    <font>
      <sz val="12.75"/>
      <name val="WQLGQD+TimesNewRomanPS-BoldMT"/>
      <charset val="1"/>
    </font>
    <font>
      <sz val="11.85"/>
      <name val="WQLGQD+TimesNewRomanPS-BoldMT"/>
      <charset val="1"/>
    </font>
    <font>
      <sz val="11"/>
      <name val="Calibri"/>
      <family val="2"/>
    </font>
    <font>
      <sz val="11"/>
      <name val="Times New Roman"/>
      <family val="1"/>
    </font>
    <font>
      <sz val="11"/>
      <name val="Aptos Narrow"/>
      <family val="2"/>
    </font>
    <font>
      <u/>
      <sz val="11"/>
      <name val="Aptos Narrow"/>
      <family val="2"/>
    </font>
    <font>
      <b/>
      <sz val="11"/>
      <color theme="0"/>
      <name val="Arial Black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3C4043"/>
      <name val="Roboto"/>
    </font>
    <font>
      <sz val="12"/>
      <color rgb="FF000000"/>
      <name val="Aptos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rgb="FF1D2228"/>
      <name val="Trebuchet MS"/>
      <family val="2"/>
    </font>
    <font>
      <sz val="12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Calibri"/>
      <family val="2"/>
      <charset val="1"/>
    </font>
    <font>
      <u/>
      <sz val="11"/>
      <color rgb="FF467886"/>
      <name val="Aptos Narrow"/>
      <family val="2"/>
    </font>
    <font>
      <b/>
      <sz val="10.5"/>
      <color rgb="FF46464E"/>
      <name val="Arial"/>
      <family val="2"/>
    </font>
    <font>
      <sz val="10"/>
      <color rgb="FF000000"/>
      <name val="Aptos Narrow"/>
      <family val="2"/>
      <charset val="1"/>
    </font>
    <font>
      <u/>
      <sz val="11"/>
      <color rgb="FF467886"/>
      <name val="Calibri"/>
      <family val="2"/>
    </font>
    <font>
      <sz val="11"/>
      <color rgb="FF000000"/>
      <name val="Calibri"/>
      <family val="2"/>
    </font>
    <font>
      <sz val="6.3"/>
      <color rgb="FF666666"/>
      <name val="QVQEVA+Times New Roman"/>
      <charset val="1"/>
    </font>
    <font>
      <sz val="9.25"/>
      <color rgb="FF666666"/>
      <name val="LQTFKV+Times New Roman,Bold"/>
      <charset val="1"/>
    </font>
    <font>
      <sz val="10.1"/>
      <color rgb="FF666666"/>
      <name val="LQTFKV+Times New Roman,Bold"/>
      <charset val="1"/>
    </font>
    <font>
      <sz val="12"/>
      <color rgb="FF000000"/>
      <name val="Aptos"/>
      <family val="2"/>
      <charset val="1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rgb="FF00808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C000"/>
      </left>
      <right style="thin">
        <color rgb="FFFFC000"/>
      </right>
      <top style="medium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medium">
        <color rgb="FFFFC000"/>
      </top>
      <bottom style="thin">
        <color rgb="FFFFC000"/>
      </bottom>
      <diagonal/>
    </border>
    <border>
      <left style="thin">
        <color rgb="FFFFC000"/>
      </left>
      <right style="medium">
        <color rgb="FFFFC000"/>
      </right>
      <top style="medium">
        <color rgb="FFFFC000"/>
      </top>
      <bottom style="thin">
        <color rgb="FFFFC000"/>
      </bottom>
      <diagonal/>
    </border>
    <border>
      <left style="medium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medium">
        <color rgb="FFFFC000"/>
      </right>
      <top style="thin">
        <color rgb="FFFFC000"/>
      </top>
      <bottom style="thin">
        <color rgb="FFFFC000"/>
      </bottom>
      <diagonal/>
    </border>
    <border>
      <left style="medium">
        <color rgb="FFFFC000"/>
      </left>
      <right style="thin">
        <color rgb="FFFFC000"/>
      </right>
      <top style="thin">
        <color rgb="FFFFC000"/>
      </top>
      <bottom style="medium">
        <color rgb="FFFFC000"/>
      </bottom>
      <diagonal/>
    </border>
    <border>
      <left style="thin">
        <color rgb="FFFFC000"/>
      </left>
      <right style="thin">
        <color rgb="FFFFC000"/>
      </right>
      <top/>
      <bottom style="medium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medium">
        <color rgb="FFFFC000"/>
      </bottom>
      <diagonal/>
    </border>
    <border>
      <left style="thin">
        <color rgb="FFFFC000"/>
      </left>
      <right style="medium">
        <color rgb="FFFFC000"/>
      </right>
      <top style="thin">
        <color rgb="FFFFC000"/>
      </top>
      <bottom style="medium">
        <color rgb="FFFFC000"/>
      </bottom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/>
      <top/>
      <bottom style="medium">
        <color rgb="FFFFC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2">
    <xf numFmtId="0" fontId="0" fillId="0" borderId="0" xfId="0"/>
    <xf numFmtId="0" fontId="0" fillId="0" borderId="3" xfId="0" applyBorder="1" applyAlignment="1">
      <alignment horizontal="left"/>
    </xf>
    <xf numFmtId="0" fontId="0" fillId="6" borderId="0" xfId="0" applyFill="1"/>
    <xf numFmtId="0" fontId="14" fillId="7" borderId="5" xfId="0" applyFont="1" applyFill="1" applyBorder="1" applyAlignment="1" applyProtection="1">
      <alignment horizontal="center" vertical="center"/>
      <protection locked="0"/>
    </xf>
    <xf numFmtId="0" fontId="14" fillId="7" borderId="6" xfId="0" applyFont="1" applyFill="1" applyBorder="1" applyAlignment="1" applyProtection="1">
      <alignment horizontal="center" vertical="center"/>
      <protection locked="0"/>
    </xf>
    <xf numFmtId="9" fontId="14" fillId="7" borderId="6" xfId="1" applyFont="1" applyFill="1" applyBorder="1" applyAlignment="1" applyProtection="1">
      <alignment horizontal="center" vertical="center"/>
      <protection locked="0"/>
    </xf>
    <xf numFmtId="0" fontId="14" fillId="7" borderId="7" xfId="0" applyFont="1" applyFill="1" applyBorder="1" applyAlignment="1" applyProtection="1">
      <alignment horizontal="center" vertical="center"/>
      <protection locked="0"/>
    </xf>
    <xf numFmtId="167" fontId="3" fillId="8" borderId="8" xfId="0" applyNumberFormat="1" applyFont="1" applyFill="1" applyBorder="1" applyAlignment="1" applyProtection="1">
      <alignment horizontal="left" vertical="top"/>
      <protection locked="0"/>
    </xf>
    <xf numFmtId="0" fontId="3" fillId="8" borderId="9" xfId="0" applyFont="1" applyFill="1" applyBorder="1" applyAlignment="1" applyProtection="1">
      <alignment horizontal="center" vertical="top"/>
      <protection locked="0"/>
    </xf>
    <xf numFmtId="9" fontId="3" fillId="8" borderId="9" xfId="1" applyFont="1" applyFill="1" applyBorder="1" applyAlignment="1" applyProtection="1">
      <alignment horizontal="center" vertical="top"/>
      <protection locked="0"/>
    </xf>
    <xf numFmtId="0" fontId="0" fillId="8" borderId="9" xfId="0" applyFill="1" applyBorder="1" applyProtection="1">
      <protection locked="0"/>
    </xf>
    <xf numFmtId="0" fontId="3" fillId="8" borderId="10" xfId="0" applyFont="1" applyFill="1" applyBorder="1" applyAlignment="1" applyProtection="1">
      <alignment horizontal="center" vertical="center"/>
      <protection locked="0"/>
    </xf>
    <xf numFmtId="0" fontId="3" fillId="6" borderId="9" xfId="0" applyFont="1" applyFill="1" applyBorder="1" applyAlignment="1" applyProtection="1">
      <alignment horizontal="center" vertical="top"/>
      <protection locked="0"/>
    </xf>
    <xf numFmtId="0" fontId="0" fillId="6" borderId="9" xfId="0" applyFill="1" applyBorder="1" applyProtection="1">
      <protection locked="0"/>
    </xf>
    <xf numFmtId="0" fontId="3" fillId="6" borderId="10" xfId="0" applyFont="1" applyFill="1" applyBorder="1" applyAlignment="1" applyProtection="1">
      <alignment horizontal="center" vertical="center"/>
      <protection locked="0"/>
    </xf>
    <xf numFmtId="167" fontId="15" fillId="9" borderId="11" xfId="0" applyNumberFormat="1" applyFont="1" applyFill="1" applyBorder="1" applyAlignment="1" applyProtection="1">
      <alignment horizontal="left" vertical="top"/>
      <protection locked="0"/>
    </xf>
    <xf numFmtId="0" fontId="15" fillId="9" borderId="12" xfId="0" applyFont="1" applyFill="1" applyBorder="1" applyAlignment="1" applyProtection="1">
      <alignment horizontal="left" vertical="top"/>
      <protection locked="0"/>
    </xf>
    <xf numFmtId="0" fontId="15" fillId="9" borderId="13" xfId="0" applyFont="1" applyFill="1" applyBorder="1" applyAlignment="1" applyProtection="1">
      <alignment horizontal="center" vertical="top"/>
      <protection locked="0"/>
    </xf>
    <xf numFmtId="9" fontId="15" fillId="9" borderId="13" xfId="1" applyFont="1" applyFill="1" applyBorder="1" applyAlignment="1" applyProtection="1">
      <alignment horizontal="center" vertical="top"/>
      <protection locked="0"/>
    </xf>
    <xf numFmtId="167" fontId="15" fillId="9" borderId="13" xfId="0" applyNumberFormat="1" applyFont="1" applyFill="1" applyBorder="1" applyAlignment="1" applyProtection="1">
      <alignment horizontal="left" vertical="top"/>
      <protection locked="0"/>
    </xf>
    <xf numFmtId="167" fontId="15" fillId="9" borderId="14" xfId="0" applyNumberFormat="1" applyFont="1" applyFill="1" applyBorder="1" applyAlignment="1" applyProtection="1">
      <alignment horizontal="left" vertical="top"/>
      <protection locked="0"/>
    </xf>
    <xf numFmtId="0" fontId="14" fillId="7" borderId="9" xfId="0" applyFont="1" applyFill="1" applyBorder="1" applyAlignment="1" applyProtection="1">
      <alignment horizontal="center"/>
      <protection locked="0"/>
    </xf>
    <xf numFmtId="167" fontId="3" fillId="10" borderId="9" xfId="0" applyNumberFormat="1" applyFont="1" applyFill="1" applyBorder="1" applyAlignment="1" applyProtection="1">
      <alignment horizontal="center"/>
      <protection locked="0"/>
    </xf>
    <xf numFmtId="0" fontId="3" fillId="10" borderId="9" xfId="0" applyFont="1" applyFill="1" applyBorder="1" applyAlignment="1" applyProtection="1">
      <alignment horizontal="center"/>
      <protection locked="0"/>
    </xf>
    <xf numFmtId="1" fontId="3" fillId="10" borderId="9" xfId="0" applyNumberFormat="1" applyFont="1" applyFill="1" applyBorder="1" applyAlignment="1" applyProtection="1">
      <alignment horizontal="center"/>
      <protection locked="0"/>
    </xf>
    <xf numFmtId="0" fontId="14" fillId="7" borderId="5" xfId="0" applyFont="1" applyFill="1" applyBorder="1" applyAlignment="1" applyProtection="1">
      <alignment horizontal="center"/>
      <protection locked="0"/>
    </xf>
    <xf numFmtId="0" fontId="14" fillId="7" borderId="6" xfId="0" applyFont="1" applyFill="1" applyBorder="1" applyAlignment="1" applyProtection="1">
      <alignment horizontal="center"/>
      <protection locked="0"/>
    </xf>
    <xf numFmtId="0" fontId="14" fillId="7" borderId="7" xfId="0" applyFont="1" applyFill="1" applyBorder="1" applyAlignment="1" applyProtection="1">
      <alignment horizontal="center"/>
      <protection locked="0"/>
    </xf>
    <xf numFmtId="167" fontId="3" fillId="6" borderId="9" xfId="0" applyNumberFormat="1" applyFont="1" applyFill="1" applyBorder="1" applyAlignment="1" applyProtection="1">
      <alignment horizontal="center"/>
      <protection locked="0"/>
    </xf>
    <xf numFmtId="0" fontId="3" fillId="6" borderId="9" xfId="0" applyFont="1" applyFill="1" applyBorder="1" applyAlignment="1" applyProtection="1">
      <alignment horizontal="center"/>
      <protection locked="0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6" borderId="10" xfId="0" applyFill="1" applyBorder="1" applyAlignment="1" applyProtection="1">
      <alignment horizontal="center" vertical="center"/>
      <protection locked="0"/>
    </xf>
    <xf numFmtId="0" fontId="0" fillId="6" borderId="0" xfId="0" applyFill="1" applyAlignment="1" applyProtection="1">
      <alignment horizontal="center" vertical="center"/>
      <protection locked="0"/>
    </xf>
    <xf numFmtId="0" fontId="15" fillId="9" borderId="11" xfId="0" applyFont="1" applyFill="1" applyBorder="1" applyAlignment="1" applyProtection="1">
      <alignment horizontal="center"/>
      <protection locked="0"/>
    </xf>
    <xf numFmtId="9" fontId="15" fillId="9" borderId="13" xfId="1" applyFont="1" applyFill="1" applyBorder="1" applyAlignment="1" applyProtection="1">
      <alignment horizontal="center"/>
      <protection locked="0"/>
    </xf>
    <xf numFmtId="0" fontId="3" fillId="6" borderId="8" xfId="0" applyFont="1" applyFill="1" applyBorder="1" applyAlignment="1" applyProtection="1">
      <alignment horizontal="center" vertical="center"/>
      <protection locked="0"/>
    </xf>
    <xf numFmtId="167" fontId="3" fillId="10" borderId="8" xfId="0" applyNumberFormat="1" applyFont="1" applyFill="1" applyBorder="1" applyAlignment="1" applyProtection="1">
      <alignment horizontal="center" vertical="center"/>
      <protection locked="0"/>
    </xf>
    <xf numFmtId="0" fontId="3" fillId="10" borderId="8" xfId="0" applyFont="1" applyFill="1" applyBorder="1" applyAlignment="1" applyProtection="1">
      <alignment horizontal="center" vertical="center"/>
      <protection locked="0"/>
    </xf>
    <xf numFmtId="168" fontId="0" fillId="0" borderId="0" xfId="0" applyNumberFormat="1" applyAlignment="1">
      <alignment horizontal="left" vertical="top"/>
    </xf>
    <xf numFmtId="0" fontId="0" fillId="6" borderId="9" xfId="0" applyFill="1" applyBorder="1" applyAlignment="1">
      <alignment horizontal="center" vertical="center"/>
    </xf>
    <xf numFmtId="167" fontId="3" fillId="6" borderId="8" xfId="0" applyNumberFormat="1" applyFont="1" applyFill="1" applyBorder="1" applyAlignment="1" applyProtection="1">
      <alignment horizontal="left" vertical="top"/>
      <protection locked="0"/>
    </xf>
    <xf numFmtId="9" fontId="3" fillId="6" borderId="9" xfId="1" applyFont="1" applyFill="1" applyBorder="1" applyAlignment="1" applyProtection="1">
      <alignment horizontal="center" vertical="top"/>
      <protection locked="0"/>
    </xf>
    <xf numFmtId="1" fontId="3" fillId="6" borderId="9" xfId="0" applyNumberFormat="1" applyFont="1" applyFill="1" applyBorder="1" applyAlignment="1" applyProtection="1">
      <alignment horizontal="center"/>
      <protection locked="0"/>
    </xf>
    <xf numFmtId="0" fontId="16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166" fontId="2" fillId="3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/>
    </xf>
    <xf numFmtId="166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/>
    </xf>
    <xf numFmtId="9" fontId="3" fillId="0" borderId="3" xfId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14" fontId="3" fillId="4" borderId="3" xfId="0" applyNumberFormat="1" applyFont="1" applyFill="1" applyBorder="1" applyAlignment="1">
      <alignment horizontal="center" vertical="center"/>
    </xf>
    <xf numFmtId="15" fontId="3" fillId="4" borderId="3" xfId="0" applyNumberFormat="1" applyFont="1" applyFill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15" fontId="3" fillId="0" borderId="3" xfId="0" applyNumberFormat="1" applyFont="1" applyBorder="1" applyAlignment="1">
      <alignment horizontal="center"/>
    </xf>
    <xf numFmtId="0" fontId="3" fillId="0" borderId="3" xfId="2" applyFont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5" fillId="0" borderId="3" xfId="2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/>
    </xf>
    <xf numFmtId="166" fontId="3" fillId="0" borderId="18" xfId="0" applyNumberFormat="1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165" fontId="3" fillId="0" borderId="18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6" fillId="11" borderId="18" xfId="0" applyFont="1" applyFill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4" fillId="0" borderId="18" xfId="2" applyFill="1" applyBorder="1" applyAlignment="1">
      <alignment horizontal="center"/>
    </xf>
    <xf numFmtId="0" fontId="17" fillId="0" borderId="18" xfId="0" applyFont="1" applyBorder="1" applyAlignment="1">
      <alignment horizontal="center"/>
    </xf>
    <xf numFmtId="166" fontId="3" fillId="0" borderId="20" xfId="0" applyNumberFormat="1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4" fillId="0" borderId="20" xfId="2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16" fillId="11" borderId="20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16" fillId="11" borderId="3" xfId="0" applyFont="1" applyFill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4" fillId="0" borderId="3" xfId="2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5" fontId="0" fillId="0" borderId="3" xfId="0" applyNumberFormat="1" applyBorder="1" applyAlignment="1">
      <alignment horizontal="center"/>
    </xf>
    <xf numFmtId="0" fontId="4" fillId="0" borderId="3" xfId="2" applyBorder="1" applyAlignment="1">
      <alignment horizontal="center"/>
    </xf>
    <xf numFmtId="0" fontId="4" fillId="0" borderId="3" xfId="2" applyBorder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0" fontId="19" fillId="0" borderId="3" xfId="0" applyFont="1" applyBorder="1" applyAlignment="1">
      <alignment horizontal="center" vertical="center"/>
    </xf>
    <xf numFmtId="9" fontId="0" fillId="0" borderId="3" xfId="0" applyNumberForma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2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17" fillId="0" borderId="3" xfId="0" applyFont="1" applyBorder="1" applyAlignment="1">
      <alignment horizontal="center" vertical="center"/>
    </xf>
    <xf numFmtId="9" fontId="17" fillId="0" borderId="3" xfId="0" applyNumberFormat="1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164" fontId="0" fillId="12" borderId="3" xfId="0" applyNumberForma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164" fontId="0" fillId="6" borderId="3" xfId="0" applyNumberFormat="1" applyFill="1" applyBorder="1" applyAlignment="1">
      <alignment horizontal="center"/>
    </xf>
    <xf numFmtId="15" fontId="0" fillId="6" borderId="3" xfId="0" applyNumberForma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16" fillId="6" borderId="3" xfId="0" applyFont="1" applyFill="1" applyBorder="1" applyAlignment="1">
      <alignment horizontal="center" vertical="center"/>
    </xf>
    <xf numFmtId="0" fontId="4" fillId="6" borderId="3" xfId="2" applyFill="1" applyBorder="1" applyAlignment="1">
      <alignment horizontal="center" vertical="center"/>
    </xf>
    <xf numFmtId="0" fontId="27" fillId="0" borderId="3" xfId="0" applyFon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5" fontId="0" fillId="6" borderId="18" xfId="0" applyNumberFormat="1" applyFill="1" applyBorder="1" applyAlignment="1">
      <alignment horizontal="center"/>
    </xf>
    <xf numFmtId="0" fontId="27" fillId="0" borderId="18" xfId="0" applyFont="1" applyBorder="1" applyAlignment="1">
      <alignment horizontal="center"/>
    </xf>
    <xf numFmtId="0" fontId="4" fillId="0" borderId="18" xfId="2" applyBorder="1" applyAlignment="1">
      <alignment horizontal="center"/>
    </xf>
    <xf numFmtId="0" fontId="3" fillId="4" borderId="18" xfId="0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/>
    </xf>
    <xf numFmtId="0" fontId="16" fillId="0" borderId="18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5" fontId="0" fillId="6" borderId="1" xfId="0" applyNumberFormat="1" applyFill="1" applyBorder="1" applyAlignment="1">
      <alignment horizontal="center"/>
    </xf>
    <xf numFmtId="0" fontId="16" fillId="0" borderId="1" xfId="0" applyFont="1" applyBorder="1" applyAlignment="1">
      <alignment vertical="center"/>
    </xf>
    <xf numFmtId="0" fontId="3" fillId="6" borderId="1" xfId="0" applyFont="1" applyFill="1" applyBorder="1" applyAlignment="1">
      <alignment horizontal="center"/>
    </xf>
    <xf numFmtId="164" fontId="0" fillId="12" borderId="1" xfId="0" applyNumberFormat="1" applyFill="1" applyBorder="1" applyAlignment="1">
      <alignment horizontal="center"/>
    </xf>
    <xf numFmtId="0" fontId="16" fillId="6" borderId="3" xfId="0" applyFont="1" applyFill="1" applyBorder="1" applyAlignment="1">
      <alignment vertical="center"/>
    </xf>
    <xf numFmtId="0" fontId="4" fillId="6" borderId="3" xfId="2" applyFill="1" applyBorder="1"/>
    <xf numFmtId="0" fontId="20" fillId="6" borderId="3" xfId="0" applyFont="1" applyFill="1" applyBorder="1"/>
    <xf numFmtId="0" fontId="21" fillId="6" borderId="3" xfId="0" applyFont="1" applyFill="1" applyBorder="1" applyAlignment="1">
      <alignment horizontal="center" vertical="center"/>
    </xf>
    <xf numFmtId="0" fontId="4" fillId="6" borderId="3" xfId="2" applyFill="1" applyBorder="1" applyAlignment="1">
      <alignment horizontal="center"/>
    </xf>
    <xf numFmtId="16" fontId="0" fillId="6" borderId="3" xfId="0" applyNumberFormat="1" applyFill="1" applyBorder="1" applyAlignment="1">
      <alignment horizontal="center"/>
    </xf>
    <xf numFmtId="0" fontId="0" fillId="6" borderId="3" xfId="0" applyFill="1" applyBorder="1" applyAlignment="1">
      <alignment horizontal="center" wrapText="1"/>
    </xf>
    <xf numFmtId="0" fontId="3" fillId="6" borderId="18" xfId="0" applyFont="1" applyFill="1" applyBorder="1" applyAlignment="1">
      <alignment horizontal="center"/>
    </xf>
    <xf numFmtId="164" fontId="0" fillId="6" borderId="18" xfId="0" applyNumberFormat="1" applyFill="1" applyBorder="1" applyAlignment="1">
      <alignment horizontal="center"/>
    </xf>
    <xf numFmtId="0" fontId="16" fillId="6" borderId="18" xfId="0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4" fillId="6" borderId="18" xfId="2" applyFill="1" applyBorder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 wrapText="1"/>
    </xf>
    <xf numFmtId="0" fontId="4" fillId="6" borderId="0" xfId="2" applyFill="1" applyBorder="1" applyAlignment="1">
      <alignment horizontal="center" vertical="center"/>
    </xf>
    <xf numFmtId="16" fontId="0" fillId="0" borderId="18" xfId="0" applyNumberFormat="1" applyBorder="1" applyAlignment="1">
      <alignment horizontal="center"/>
    </xf>
    <xf numFmtId="15" fontId="0" fillId="0" borderId="18" xfId="0" applyNumberFormat="1" applyBorder="1" applyAlignment="1">
      <alignment horizontal="center"/>
    </xf>
    <xf numFmtId="0" fontId="17" fillId="0" borderId="17" xfId="0" applyFont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28" fillId="0" borderId="17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4" fillId="0" borderId="25" xfId="2" applyFill="1" applyBorder="1" applyAlignment="1">
      <alignment horizontal="center"/>
    </xf>
    <xf numFmtId="9" fontId="17" fillId="0" borderId="25" xfId="0" applyNumberFormat="1" applyFont="1" applyBorder="1" applyAlignment="1">
      <alignment horizontal="center"/>
    </xf>
    <xf numFmtId="0" fontId="0" fillId="12" borderId="18" xfId="0" applyFill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8" fillId="0" borderId="18" xfId="0" applyFont="1" applyBorder="1" applyAlignment="1">
      <alignment horizontal="center"/>
    </xf>
    <xf numFmtId="0" fontId="0" fillId="0" borderId="17" xfId="0" applyBorder="1" applyAlignment="1">
      <alignment horizontal="center"/>
    </xf>
    <xf numFmtId="9" fontId="17" fillId="0" borderId="18" xfId="0" applyNumberFormat="1" applyFont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wrapText="1"/>
    </xf>
    <xf numFmtId="164" fontId="0" fillId="6" borderId="1" xfId="0" applyNumberFormat="1" applyFill="1" applyBorder="1" applyAlignment="1">
      <alignment horizontal="center"/>
    </xf>
    <xf numFmtId="0" fontId="20" fillId="0" borderId="20" xfId="0" applyFont="1" applyBorder="1" applyAlignment="1">
      <alignment horizontal="center"/>
    </xf>
    <xf numFmtId="15" fontId="0" fillId="0" borderId="20" xfId="0" applyNumberFormat="1" applyBorder="1" applyAlignment="1">
      <alignment horizontal="center"/>
    </xf>
    <xf numFmtId="0" fontId="16" fillId="0" borderId="20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7" fontId="3" fillId="0" borderId="8" xfId="0" applyNumberFormat="1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center" vertical="top"/>
      <protection locked="0"/>
    </xf>
    <xf numFmtId="9" fontId="3" fillId="0" borderId="9" xfId="1" applyFont="1" applyFill="1" applyBorder="1" applyAlignment="1" applyProtection="1">
      <alignment horizontal="center" vertical="top"/>
      <protection locked="0"/>
    </xf>
    <xf numFmtId="0" fontId="0" fillId="0" borderId="9" xfId="0" applyBorder="1" applyProtection="1"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6" borderId="22" xfId="0" applyFont="1" applyFill="1" applyBorder="1" applyAlignment="1">
      <alignment horizontal="center"/>
    </xf>
    <xf numFmtId="164" fontId="0" fillId="6" borderId="20" xfId="0" applyNumberFormat="1" applyFill="1" applyBorder="1" applyAlignment="1">
      <alignment horizontal="center"/>
    </xf>
    <xf numFmtId="164" fontId="0" fillId="6" borderId="22" xfId="0" applyNumberFormat="1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16" fillId="6" borderId="2" xfId="0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6" borderId="23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16" fillId="6" borderId="17" xfId="0" applyFont="1" applyFill="1" applyBorder="1" applyAlignment="1">
      <alignment horizontal="center" vertical="center"/>
    </xf>
    <xf numFmtId="0" fontId="4" fillId="6" borderId="23" xfId="2" applyFill="1" applyBorder="1" applyAlignment="1">
      <alignment horizontal="center" vertical="center"/>
    </xf>
    <xf numFmtId="0" fontId="4" fillId="6" borderId="22" xfId="2" applyFill="1" applyBorder="1" applyAlignment="1">
      <alignment horizontal="center" vertical="center"/>
    </xf>
    <xf numFmtId="0" fontId="31" fillId="0" borderId="18" xfId="0" applyFont="1" applyBorder="1" applyAlignment="1">
      <alignment horizontal="center"/>
    </xf>
    <xf numFmtId="0" fontId="4" fillId="0" borderId="20" xfId="2" applyBorder="1" applyAlignment="1">
      <alignment horizontal="center"/>
    </xf>
    <xf numFmtId="0" fontId="4" fillId="6" borderId="17" xfId="2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32" fillId="0" borderId="3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17" fillId="0" borderId="18" xfId="0" applyFont="1" applyBorder="1"/>
    <xf numFmtId="0" fontId="0" fillId="6" borderId="17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9" fontId="0" fillId="0" borderId="25" xfId="0" applyNumberFormat="1" applyBorder="1" applyAlignment="1">
      <alignment horizontal="center"/>
    </xf>
    <xf numFmtId="9" fontId="0" fillId="0" borderId="20" xfId="0" applyNumberFormat="1" applyBorder="1" applyAlignment="1">
      <alignment horizontal="center"/>
    </xf>
    <xf numFmtId="0" fontId="0" fillId="6" borderId="22" xfId="0" applyFill="1" applyBorder="1" applyAlignment="1">
      <alignment horizontal="center" wrapText="1"/>
    </xf>
    <xf numFmtId="0" fontId="3" fillId="6" borderId="20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6" borderId="0" xfId="0" applyNumberFormat="1" applyFill="1" applyAlignment="1">
      <alignment horizontal="center"/>
    </xf>
    <xf numFmtId="0" fontId="3" fillId="0" borderId="0" xfId="0" applyFont="1" applyAlignment="1">
      <alignment horizontal="center"/>
    </xf>
    <xf numFmtId="0" fontId="3" fillId="6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5" fontId="0" fillId="0" borderId="0" xfId="0" applyNumberFormat="1" applyAlignment="1">
      <alignment horizontal="center"/>
    </xf>
    <xf numFmtId="0" fontId="31" fillId="0" borderId="0" xfId="0" applyFont="1" applyAlignment="1">
      <alignment horizontal="center"/>
    </xf>
    <xf numFmtId="0" fontId="0" fillId="13" borderId="3" xfId="0" applyFill="1" applyBorder="1" applyAlignment="1">
      <alignment horizontal="left"/>
    </xf>
    <xf numFmtId="0" fontId="0" fillId="14" borderId="3" xfId="0" applyFill="1" applyBorder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36" fillId="0" borderId="0" xfId="0" applyFont="1"/>
    <xf numFmtId="0" fontId="0" fillId="6" borderId="0" xfId="0" applyFill="1" applyAlignment="1">
      <alignment horizontal="center" wrapText="1"/>
    </xf>
    <xf numFmtId="0" fontId="37" fillId="2" borderId="3" xfId="0" applyFont="1" applyFill="1" applyBorder="1" applyAlignment="1">
      <alignment horizontal="left" vertical="center"/>
    </xf>
    <xf numFmtId="164" fontId="37" fillId="2" borderId="3" xfId="0" applyNumberFormat="1" applyFont="1" applyFill="1" applyBorder="1" applyAlignment="1">
      <alignment horizontal="left" vertical="center"/>
    </xf>
    <xf numFmtId="9" fontId="37" fillId="2" borderId="3" xfId="1" applyFont="1" applyFill="1" applyBorder="1" applyAlignment="1">
      <alignment horizontal="left" vertical="center"/>
    </xf>
    <xf numFmtId="165" fontId="37" fillId="2" borderId="3" xfId="0" applyNumberFormat="1" applyFont="1" applyFill="1" applyBorder="1" applyAlignment="1">
      <alignment horizontal="left" vertical="center"/>
    </xf>
    <xf numFmtId="165" fontId="38" fillId="2" borderId="3" xfId="0" applyNumberFormat="1" applyFont="1" applyFill="1" applyBorder="1" applyAlignment="1">
      <alignment horizontal="left" vertical="center"/>
    </xf>
    <xf numFmtId="0" fontId="38" fillId="2" borderId="3" xfId="0" applyFont="1" applyFill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3" xfId="0" applyFont="1" applyBorder="1" applyAlignment="1">
      <alignment horizontal="left" vertical="center"/>
    </xf>
    <xf numFmtId="164" fontId="39" fillId="0" borderId="3" xfId="0" applyNumberFormat="1" applyFont="1" applyBorder="1" applyAlignment="1">
      <alignment horizontal="left" vertical="center"/>
    </xf>
    <xf numFmtId="9" fontId="39" fillId="0" borderId="3" xfId="1" applyFont="1" applyBorder="1" applyAlignment="1">
      <alignment horizontal="left" vertical="center"/>
    </xf>
    <xf numFmtId="165" fontId="39" fillId="0" borderId="3" xfId="0" applyNumberFormat="1" applyFont="1" applyBorder="1" applyAlignment="1">
      <alignment horizontal="left" vertical="center"/>
    </xf>
    <xf numFmtId="16" fontId="39" fillId="0" borderId="3" xfId="0" applyNumberFormat="1" applyFont="1" applyBorder="1" applyAlignment="1">
      <alignment horizontal="left" vertical="center"/>
    </xf>
    <xf numFmtId="15" fontId="39" fillId="0" borderId="3" xfId="0" applyNumberFormat="1" applyFont="1" applyBorder="1" applyAlignment="1">
      <alignment horizontal="left" vertical="center"/>
    </xf>
    <xf numFmtId="15" fontId="39" fillId="0" borderId="0" xfId="0" applyNumberFormat="1" applyFont="1" applyAlignment="1">
      <alignment horizontal="left" vertical="center"/>
    </xf>
    <xf numFmtId="0" fontId="39" fillId="12" borderId="3" xfId="0" applyFont="1" applyFill="1" applyBorder="1" applyAlignment="1">
      <alignment horizontal="left" vertical="center"/>
    </xf>
    <xf numFmtId="0" fontId="39" fillId="0" borderId="3" xfId="0" applyFont="1" applyBorder="1" applyAlignment="1">
      <alignment horizontal="left" vertical="center" wrapText="1"/>
    </xf>
    <xf numFmtId="164" fontId="39" fillId="0" borderId="3" xfId="0" applyNumberFormat="1" applyFont="1" applyBorder="1" applyAlignment="1">
      <alignment horizontal="left" vertical="center" wrapText="1"/>
    </xf>
    <xf numFmtId="0" fontId="39" fillId="13" borderId="3" xfId="0" applyFont="1" applyFill="1" applyBorder="1" applyAlignment="1">
      <alignment horizontal="left" vertical="center"/>
    </xf>
    <xf numFmtId="0" fontId="39" fillId="14" borderId="3" xfId="0" applyFont="1" applyFill="1" applyBorder="1" applyAlignment="1">
      <alignment horizontal="left" vertical="center"/>
    </xf>
    <xf numFmtId="9" fontId="39" fillId="0" borderId="0" xfId="1" applyFont="1" applyBorder="1" applyAlignment="1">
      <alignment horizontal="left" vertical="center"/>
    </xf>
    <xf numFmtId="164" fontId="39" fillId="0" borderId="0" xfId="0" applyNumberFormat="1" applyFont="1" applyAlignment="1">
      <alignment horizontal="left" vertical="center"/>
    </xf>
    <xf numFmtId="0" fontId="14" fillId="7" borderId="15" xfId="0" applyFont="1" applyFill="1" applyBorder="1" applyAlignment="1" applyProtection="1">
      <alignment horizontal="center"/>
      <protection locked="0"/>
    </xf>
    <xf numFmtId="0" fontId="14" fillId="7" borderId="16" xfId="0" applyFont="1" applyFill="1" applyBorder="1" applyAlignment="1" applyProtection="1">
      <alignment horizontal="center"/>
      <protection locked="0"/>
    </xf>
    <xf numFmtId="1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692B06E2-6368-4956-8E8C-D6DAA8801D7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ssoni4275@gmail.com" TargetMode="External"/><Relationship Id="rId299" Type="http://schemas.openxmlformats.org/officeDocument/2006/relationships/hyperlink" Target="mailto:soumyakanta.bdk@gmail.com" TargetMode="External"/><Relationship Id="rId21" Type="http://schemas.openxmlformats.org/officeDocument/2006/relationships/hyperlink" Target="mailto:ashishkum950@gmail.com" TargetMode="External"/><Relationship Id="rId63" Type="http://schemas.openxmlformats.org/officeDocument/2006/relationships/hyperlink" Target="mailto:rajkumarpatel173@gmail.com" TargetMode="External"/><Relationship Id="rId159" Type="http://schemas.openxmlformats.org/officeDocument/2006/relationships/hyperlink" Target="mailto:valandchetan50@gmail.com" TargetMode="External"/><Relationship Id="rId170" Type="http://schemas.openxmlformats.org/officeDocument/2006/relationships/hyperlink" Target="mailto:ddtiwariengg@gmail.com" TargetMode="External"/><Relationship Id="rId226" Type="http://schemas.openxmlformats.org/officeDocument/2006/relationships/hyperlink" Target="mailto:vijaymane5794@gmail.com" TargetMode="External"/><Relationship Id="rId268" Type="http://schemas.openxmlformats.org/officeDocument/2006/relationships/hyperlink" Target="mailto:kalpesh.21singh@gmail.com" TargetMode="External"/><Relationship Id="rId32" Type="http://schemas.openxmlformats.org/officeDocument/2006/relationships/hyperlink" Target="mailto:parth.vashi100@gmail.com" TargetMode="External"/><Relationship Id="rId74" Type="http://schemas.openxmlformats.org/officeDocument/2006/relationships/hyperlink" Target="mailto:janhaviwarkari2122@gmail.com" TargetMode="External"/><Relationship Id="rId128" Type="http://schemas.openxmlformats.org/officeDocument/2006/relationships/hyperlink" Target="mailto:vishalme.smit@gmail.com" TargetMode="External"/><Relationship Id="rId5" Type="http://schemas.openxmlformats.org/officeDocument/2006/relationships/hyperlink" Target="mailto:romioranjanmallick@gmail.com" TargetMode="External"/><Relationship Id="rId181" Type="http://schemas.openxmlformats.org/officeDocument/2006/relationships/hyperlink" Target="mailto:krishnakant89nncs@gmail.com" TargetMode="External"/><Relationship Id="rId237" Type="http://schemas.openxmlformats.org/officeDocument/2006/relationships/hyperlink" Target="mailto:manas24222@gmail.com" TargetMode="External"/><Relationship Id="rId279" Type="http://schemas.openxmlformats.org/officeDocument/2006/relationships/hyperlink" Target="mailto:riteshbhai556@gmail.com" TargetMode="External"/><Relationship Id="rId43" Type="http://schemas.openxmlformats.org/officeDocument/2006/relationships/hyperlink" Target="mailto:ajitruikar91@gmail.com" TargetMode="External"/><Relationship Id="rId139" Type="http://schemas.openxmlformats.org/officeDocument/2006/relationships/hyperlink" Target="mailto:sstandale01@gmail.com" TargetMode="External"/><Relationship Id="rId290" Type="http://schemas.openxmlformats.org/officeDocument/2006/relationships/hyperlink" Target="mailto:fodkarfahad110@gmail.com" TargetMode="External"/><Relationship Id="rId304" Type="http://schemas.openxmlformats.org/officeDocument/2006/relationships/hyperlink" Target="mailto:mdshahbaz.er@gmail.com" TargetMode="External"/><Relationship Id="rId85" Type="http://schemas.openxmlformats.org/officeDocument/2006/relationships/hyperlink" Target="mailto:shukla05394@gmail.com" TargetMode="External"/><Relationship Id="rId150" Type="http://schemas.openxmlformats.org/officeDocument/2006/relationships/hyperlink" Target="mailto:kmkanburich@gmail.com" TargetMode="External"/><Relationship Id="rId192" Type="http://schemas.openxmlformats.org/officeDocument/2006/relationships/hyperlink" Target="mailto:raveekumaar70@gmail.com" TargetMode="External"/><Relationship Id="rId206" Type="http://schemas.openxmlformats.org/officeDocument/2006/relationships/hyperlink" Target="mailto:raghavendrasingh1806@gmail.com" TargetMode="External"/><Relationship Id="rId248" Type="http://schemas.openxmlformats.org/officeDocument/2006/relationships/hyperlink" Target="mailto:tariniprasad300@gmail.com" TargetMode="External"/><Relationship Id="rId12" Type="http://schemas.openxmlformats.org/officeDocument/2006/relationships/hyperlink" Target="mailto:darshitp113@gmail.com" TargetMode="External"/><Relationship Id="rId108" Type="http://schemas.openxmlformats.org/officeDocument/2006/relationships/hyperlink" Target="mailto:rakeshgaikar91@gmail.com" TargetMode="External"/><Relationship Id="rId315" Type="http://schemas.openxmlformats.org/officeDocument/2006/relationships/hyperlink" Target="mailto:mohangsd1988@gmail.com" TargetMode="External"/><Relationship Id="rId54" Type="http://schemas.openxmlformats.org/officeDocument/2006/relationships/hyperlink" Target="mailto:hemantku6996@gmail.com" TargetMode="External"/><Relationship Id="rId96" Type="http://schemas.openxmlformats.org/officeDocument/2006/relationships/hyperlink" Target="mailto:Singh.omkaar@gmail.com" TargetMode="External"/><Relationship Id="rId161" Type="http://schemas.openxmlformats.org/officeDocument/2006/relationships/hyperlink" Target="mailto:sidrammadyal@gmail.com" TargetMode="External"/><Relationship Id="rId217" Type="http://schemas.openxmlformats.org/officeDocument/2006/relationships/hyperlink" Target="mailto:tushar.ghorai@outlook.com" TargetMode="External"/><Relationship Id="rId259" Type="http://schemas.openxmlformats.org/officeDocument/2006/relationships/hyperlink" Target="mailto:dhananjaymali1920@gmail.com" TargetMode="External"/><Relationship Id="rId23" Type="http://schemas.openxmlformats.org/officeDocument/2006/relationships/hyperlink" Target="mailto:ashish0703sanvi@gmail.com" TargetMode="External"/><Relationship Id="rId119" Type="http://schemas.openxmlformats.org/officeDocument/2006/relationships/hyperlink" Target="mailto:dash.chittaranjan01@gmail.com" TargetMode="External"/><Relationship Id="rId270" Type="http://schemas.openxmlformats.org/officeDocument/2006/relationships/hyperlink" Target="mailto:neerajkumarkn2321@gmail.com" TargetMode="External"/><Relationship Id="rId65" Type="http://schemas.openxmlformats.org/officeDocument/2006/relationships/hyperlink" Target="mailto:rahuljnp2013@gmail.com" TargetMode="External"/><Relationship Id="rId130" Type="http://schemas.openxmlformats.org/officeDocument/2006/relationships/hyperlink" Target="mailto:sidarthkansal@gmail.com" TargetMode="External"/><Relationship Id="rId172" Type="http://schemas.openxmlformats.org/officeDocument/2006/relationships/hyperlink" Target="mailto:arindamrules89@gmail.com" TargetMode="External"/><Relationship Id="rId228" Type="http://schemas.openxmlformats.org/officeDocument/2006/relationships/hyperlink" Target="mailto:meashishranjan02@gmail.com" TargetMode="External"/><Relationship Id="rId13" Type="http://schemas.openxmlformats.org/officeDocument/2006/relationships/hyperlink" Target="mailto:maneaniket027@gmail.com" TargetMode="External"/><Relationship Id="rId109" Type="http://schemas.openxmlformats.org/officeDocument/2006/relationships/hyperlink" Target="mailto:akashdhane@gmail.com" TargetMode="External"/><Relationship Id="rId260" Type="http://schemas.openxmlformats.org/officeDocument/2006/relationships/hyperlink" Target="mailto:biraridurgesh2001@gmail.com" TargetMode="External"/><Relationship Id="rId281" Type="http://schemas.openxmlformats.org/officeDocument/2006/relationships/hyperlink" Target="mailto:vsureshkumarmech95@gmail.com" TargetMode="External"/><Relationship Id="rId316" Type="http://schemas.openxmlformats.org/officeDocument/2006/relationships/hyperlink" Target="mailto:jdas2691@gmail.com" TargetMode="External"/><Relationship Id="rId34" Type="http://schemas.openxmlformats.org/officeDocument/2006/relationships/hyperlink" Target="mailto:Vipin_dhiman@rediffmail.com" TargetMode="External"/><Relationship Id="rId55" Type="http://schemas.openxmlformats.org/officeDocument/2006/relationships/hyperlink" Target="mailto:peeyushraghav15@gmail.com" TargetMode="External"/><Relationship Id="rId76" Type="http://schemas.openxmlformats.org/officeDocument/2006/relationships/hyperlink" Target="mailto:khavekarmanjunath@gmail.com" TargetMode="External"/><Relationship Id="rId97" Type="http://schemas.openxmlformats.org/officeDocument/2006/relationships/hyperlink" Target="mailto:t.baviskar@gmail.com" TargetMode="External"/><Relationship Id="rId120" Type="http://schemas.openxmlformats.org/officeDocument/2006/relationships/hyperlink" Target="mailto:rbose215@gmail.com" TargetMode="External"/><Relationship Id="rId141" Type="http://schemas.openxmlformats.org/officeDocument/2006/relationships/hyperlink" Target="mailto:puru.sethi@gmail.com" TargetMode="External"/><Relationship Id="rId7" Type="http://schemas.openxmlformats.org/officeDocument/2006/relationships/hyperlink" Target="mailto:sagarbhosle91@gmail.com" TargetMode="External"/><Relationship Id="rId162" Type="http://schemas.openxmlformats.org/officeDocument/2006/relationships/hyperlink" Target="mailto:jalindarwalunj619@gmail.com" TargetMode="External"/><Relationship Id="rId183" Type="http://schemas.openxmlformats.org/officeDocument/2006/relationships/hyperlink" Target="mailto:sbeja673@gmail.com" TargetMode="External"/><Relationship Id="rId218" Type="http://schemas.openxmlformats.org/officeDocument/2006/relationships/hyperlink" Target="mailto:pankajsraut2016@gmail.com" TargetMode="External"/><Relationship Id="rId239" Type="http://schemas.openxmlformats.org/officeDocument/2006/relationships/hyperlink" Target="mailto:rampratapbh78@gmail.com" TargetMode="External"/><Relationship Id="rId250" Type="http://schemas.openxmlformats.org/officeDocument/2006/relationships/hyperlink" Target="mailto:vikash.k.samastipur@gmail.com" TargetMode="External"/><Relationship Id="rId271" Type="http://schemas.openxmlformats.org/officeDocument/2006/relationships/hyperlink" Target="mailto:saifali2109k@gmail.com" TargetMode="External"/><Relationship Id="rId292" Type="http://schemas.openxmlformats.org/officeDocument/2006/relationships/hyperlink" Target="mailto:shreyansh75@gmail.com" TargetMode="External"/><Relationship Id="rId306" Type="http://schemas.openxmlformats.org/officeDocument/2006/relationships/hyperlink" Target="mailto:vishwadeep456@gmail.com" TargetMode="External"/><Relationship Id="rId24" Type="http://schemas.openxmlformats.org/officeDocument/2006/relationships/hyperlink" Target="mailto:0@gmail.com" TargetMode="External"/><Relationship Id="rId45" Type="http://schemas.openxmlformats.org/officeDocument/2006/relationships/hyperlink" Target="mailto:sourabhshrivas1999@gmail.com" TargetMode="External"/><Relationship Id="rId66" Type="http://schemas.openxmlformats.org/officeDocument/2006/relationships/hyperlink" Target="mailto:anjatshaikh1999@gmail.com" TargetMode="External"/><Relationship Id="rId87" Type="http://schemas.openxmlformats.org/officeDocument/2006/relationships/hyperlink" Target="mailto:rohitsharma98939@gmail.com" TargetMode="External"/><Relationship Id="rId110" Type="http://schemas.openxmlformats.org/officeDocument/2006/relationships/hyperlink" Target="mailto:msolapure5@gmail.com" TargetMode="External"/><Relationship Id="rId131" Type="http://schemas.openxmlformats.org/officeDocument/2006/relationships/hyperlink" Target="mailto:saurabhshaha99@gmail.com" TargetMode="External"/><Relationship Id="rId152" Type="http://schemas.openxmlformats.org/officeDocument/2006/relationships/hyperlink" Target="mailto:sureshp403@gmail.com" TargetMode="External"/><Relationship Id="rId173" Type="http://schemas.openxmlformats.org/officeDocument/2006/relationships/hyperlink" Target="mailto:vijaybasava123@gmail.com" TargetMode="External"/><Relationship Id="rId194" Type="http://schemas.openxmlformats.org/officeDocument/2006/relationships/hyperlink" Target="mailto:kanhaiyacivil2020@gmail.com" TargetMode="External"/><Relationship Id="rId208" Type="http://schemas.openxmlformats.org/officeDocument/2006/relationships/hyperlink" Target="mailto:shekharrawat01@gmail.com" TargetMode="External"/><Relationship Id="rId229" Type="http://schemas.openxmlformats.org/officeDocument/2006/relationships/hyperlink" Target="mailto:arshadkevar63@gmail.com" TargetMode="External"/><Relationship Id="rId240" Type="http://schemas.openxmlformats.org/officeDocument/2006/relationships/hyperlink" Target="mailto:ajaykakade2608@gmail.com" TargetMode="External"/><Relationship Id="rId261" Type="http://schemas.openxmlformats.org/officeDocument/2006/relationships/hyperlink" Target="mailto:angad12yadu@gmail.com" TargetMode="External"/><Relationship Id="rId14" Type="http://schemas.openxmlformats.org/officeDocument/2006/relationships/hyperlink" Target="mailto:arvindpassion2008@gmail.com" TargetMode="External"/><Relationship Id="rId35" Type="http://schemas.openxmlformats.org/officeDocument/2006/relationships/hyperlink" Target="mailto:rnadar@rediffmail.com" TargetMode="External"/><Relationship Id="rId56" Type="http://schemas.openxmlformats.org/officeDocument/2006/relationships/hyperlink" Target="mailto:aamirraza3578@gmail.com" TargetMode="External"/><Relationship Id="rId77" Type="http://schemas.openxmlformats.org/officeDocument/2006/relationships/hyperlink" Target="mailto:waghmareashutosh1999@gmail.com" TargetMode="External"/><Relationship Id="rId100" Type="http://schemas.openxmlformats.org/officeDocument/2006/relationships/hyperlink" Target="mailto:meashishranjan02@gmail.com" TargetMode="External"/><Relationship Id="rId282" Type="http://schemas.openxmlformats.org/officeDocument/2006/relationships/hyperlink" Target="mailto:vekhandeviki5151@gmail.com" TargetMode="External"/><Relationship Id="rId317" Type="http://schemas.openxmlformats.org/officeDocument/2006/relationships/hyperlink" Target="mailto:mdwagh1998@gmail.com" TargetMode="External"/><Relationship Id="rId8" Type="http://schemas.openxmlformats.org/officeDocument/2006/relationships/hyperlink" Target="mailto:chetangolwalkar@gmail.com" TargetMode="External"/><Relationship Id="rId98" Type="http://schemas.openxmlformats.org/officeDocument/2006/relationships/hyperlink" Target="mailto:rajiv4mech@gmail.com" TargetMode="External"/><Relationship Id="rId121" Type="http://schemas.openxmlformats.org/officeDocument/2006/relationships/hyperlink" Target="mailto:sagarshete111@gmail.com" TargetMode="External"/><Relationship Id="rId142" Type="http://schemas.openxmlformats.org/officeDocument/2006/relationships/hyperlink" Target="mailto:ca.puneetwadhwa@gmail.com" TargetMode="External"/><Relationship Id="rId163" Type="http://schemas.openxmlformats.org/officeDocument/2006/relationships/hyperlink" Target="mailto:shubhamsonawane019@gmail.com" TargetMode="External"/><Relationship Id="rId184" Type="http://schemas.openxmlformats.org/officeDocument/2006/relationships/hyperlink" Target="mailto:4ever.priyank@gmail.com" TargetMode="External"/><Relationship Id="rId219" Type="http://schemas.openxmlformats.org/officeDocument/2006/relationships/hyperlink" Target="mailto:kumarvivek2436@gmail.com" TargetMode="External"/><Relationship Id="rId230" Type="http://schemas.openxmlformats.org/officeDocument/2006/relationships/hyperlink" Target="mailto:toannudwivedi@gmail.com" TargetMode="External"/><Relationship Id="rId251" Type="http://schemas.openxmlformats.org/officeDocument/2006/relationships/hyperlink" Target="mailto:chandankumarpadhi608@gmail.com" TargetMode="External"/><Relationship Id="rId25" Type="http://schemas.openxmlformats.org/officeDocument/2006/relationships/hyperlink" Target="mailto:bhadoriyasumit97@gmail.com" TargetMode="External"/><Relationship Id="rId46" Type="http://schemas.openxmlformats.org/officeDocument/2006/relationships/hyperlink" Target="mailto:balajivarathan94@gmail.com" TargetMode="External"/><Relationship Id="rId67" Type="http://schemas.openxmlformats.org/officeDocument/2006/relationships/hyperlink" Target="mailto:harshad.thawari19@gmail.com" TargetMode="External"/><Relationship Id="rId272" Type="http://schemas.openxmlformats.org/officeDocument/2006/relationships/hyperlink" Target="mailto:shramikg123@gmail.com" TargetMode="External"/><Relationship Id="rId293" Type="http://schemas.openxmlformats.org/officeDocument/2006/relationships/hyperlink" Target="mailto:saqlainkhan4111@gmail.com" TargetMode="External"/><Relationship Id="rId307" Type="http://schemas.openxmlformats.org/officeDocument/2006/relationships/hyperlink" Target="mailto:rkdas5112327@gmail.com" TargetMode="External"/><Relationship Id="rId88" Type="http://schemas.openxmlformats.org/officeDocument/2006/relationships/hyperlink" Target="mailto:sandyroy0410@gmail.com" TargetMode="External"/><Relationship Id="rId111" Type="http://schemas.openxmlformats.org/officeDocument/2006/relationships/hyperlink" Target="mailto:kabaderahul72@gmail.com" TargetMode="External"/><Relationship Id="rId132" Type="http://schemas.openxmlformats.org/officeDocument/2006/relationships/hyperlink" Target="mailto:anupamrajput1031@gmail.com" TargetMode="External"/><Relationship Id="rId153" Type="http://schemas.openxmlformats.org/officeDocument/2006/relationships/hyperlink" Target="mailto:designer.meraj@gmail.com" TargetMode="External"/><Relationship Id="rId174" Type="http://schemas.openxmlformats.org/officeDocument/2006/relationships/hyperlink" Target="mailto:avinashsathe1071994@gmail.com" TargetMode="External"/><Relationship Id="rId195" Type="http://schemas.openxmlformats.org/officeDocument/2006/relationships/hyperlink" Target="mailto:saluks2003@gmail.com" TargetMode="External"/><Relationship Id="rId209" Type="http://schemas.openxmlformats.org/officeDocument/2006/relationships/hyperlink" Target="mailto:amjadfdk@gmail.com" TargetMode="External"/><Relationship Id="rId220" Type="http://schemas.openxmlformats.org/officeDocument/2006/relationships/hyperlink" Target="mailto:akashtemkar9@gmail.com" TargetMode="External"/><Relationship Id="rId241" Type="http://schemas.openxmlformats.org/officeDocument/2006/relationships/hyperlink" Target="mailto:bittugupta968@gmail.com" TargetMode="External"/><Relationship Id="rId15" Type="http://schemas.openxmlformats.org/officeDocument/2006/relationships/hyperlink" Target="mailto:abhimanyukumar804@gmail.com" TargetMode="External"/><Relationship Id="rId36" Type="http://schemas.openxmlformats.org/officeDocument/2006/relationships/hyperlink" Target="mailto:dev.mnu.1@gmail.com" TargetMode="External"/><Relationship Id="rId57" Type="http://schemas.openxmlformats.org/officeDocument/2006/relationships/hyperlink" Target="mailto:arundixit.in@gmail.com" TargetMode="External"/><Relationship Id="rId262" Type="http://schemas.openxmlformats.org/officeDocument/2006/relationships/hyperlink" Target="mailto:saday.chas98@gmail.com" TargetMode="External"/><Relationship Id="rId283" Type="http://schemas.openxmlformats.org/officeDocument/2006/relationships/hyperlink" Target="mailto:spranjal95@gmail.com" TargetMode="External"/><Relationship Id="rId318" Type="http://schemas.openxmlformats.org/officeDocument/2006/relationships/hyperlink" Target="mailto:chimalegaesh6@gmail.com" TargetMode="External"/><Relationship Id="rId78" Type="http://schemas.openxmlformats.org/officeDocument/2006/relationships/hyperlink" Target="mailto:nikhilchatap345@gmail.com" TargetMode="External"/><Relationship Id="rId99" Type="http://schemas.openxmlformats.org/officeDocument/2006/relationships/hyperlink" Target="mailto:impandeyshubham@gmail.com" TargetMode="External"/><Relationship Id="rId101" Type="http://schemas.openxmlformats.org/officeDocument/2006/relationships/hyperlink" Target="mailto:atishsingh110396@gmail.com" TargetMode="External"/><Relationship Id="rId122" Type="http://schemas.openxmlformats.org/officeDocument/2006/relationships/hyperlink" Target="mailto:toannudwivedi@gmail.com" TargetMode="External"/><Relationship Id="rId143" Type="http://schemas.openxmlformats.org/officeDocument/2006/relationships/hyperlink" Target="mailto:camanmohankalita@yahoo.com" TargetMode="External"/><Relationship Id="rId164" Type="http://schemas.openxmlformats.org/officeDocument/2006/relationships/hyperlink" Target="mailto:sonarprashants@gmail.com" TargetMode="External"/><Relationship Id="rId185" Type="http://schemas.openxmlformats.org/officeDocument/2006/relationships/hyperlink" Target="mailto:palani6565.v@gmail.com" TargetMode="External"/><Relationship Id="rId9" Type="http://schemas.openxmlformats.org/officeDocument/2006/relationships/hyperlink" Target="mailto:vamzakaushik21@gmail.com" TargetMode="External"/><Relationship Id="rId210" Type="http://schemas.openxmlformats.org/officeDocument/2006/relationships/hyperlink" Target="mailto:hemantsahu.mech@gmail.com" TargetMode="External"/><Relationship Id="rId26" Type="http://schemas.openxmlformats.org/officeDocument/2006/relationships/hyperlink" Target="mailto:prabodhdongre.1707@gmail.com" TargetMode="External"/><Relationship Id="rId231" Type="http://schemas.openxmlformats.org/officeDocument/2006/relationships/hyperlink" Target="mailto:eng.rijwankhan@gmail.com" TargetMode="External"/><Relationship Id="rId252" Type="http://schemas.openxmlformats.org/officeDocument/2006/relationships/hyperlink" Target="mailto:mohit601010@gmail.com" TargetMode="External"/><Relationship Id="rId273" Type="http://schemas.openxmlformats.org/officeDocument/2006/relationships/hyperlink" Target="mailto:injmamali9939@gmail.com" TargetMode="External"/><Relationship Id="rId294" Type="http://schemas.openxmlformats.org/officeDocument/2006/relationships/hyperlink" Target="mailto:pramod.tcs96@gmail.com" TargetMode="External"/><Relationship Id="rId308" Type="http://schemas.openxmlformats.org/officeDocument/2006/relationships/hyperlink" Target="mailto:hr.siddharthb@gmail.com" TargetMode="External"/><Relationship Id="rId47" Type="http://schemas.openxmlformats.org/officeDocument/2006/relationships/hyperlink" Target="mailto:vikramjadhav10.1@gmail" TargetMode="External"/><Relationship Id="rId68" Type="http://schemas.openxmlformats.org/officeDocument/2006/relationships/hyperlink" Target="mailto:khanasim6010@gmail.com" TargetMode="External"/><Relationship Id="rId89" Type="http://schemas.openxmlformats.org/officeDocument/2006/relationships/hyperlink" Target="mailto:rautakshay141@gmail.com" TargetMode="External"/><Relationship Id="rId112" Type="http://schemas.openxmlformats.org/officeDocument/2006/relationships/hyperlink" Target="mailto:dhirendrakumar11197@gmail.com" TargetMode="External"/><Relationship Id="rId133" Type="http://schemas.openxmlformats.org/officeDocument/2006/relationships/hyperlink" Target="mailto:abyehalder@gmail.com" TargetMode="External"/><Relationship Id="rId154" Type="http://schemas.openxmlformats.org/officeDocument/2006/relationships/hyperlink" Target="mailto:shantanu.02.09.08@gmail.com" TargetMode="External"/><Relationship Id="rId175" Type="http://schemas.openxmlformats.org/officeDocument/2006/relationships/hyperlink" Target="mailto:giterahulp@gmail.com" TargetMode="External"/><Relationship Id="rId196" Type="http://schemas.openxmlformats.org/officeDocument/2006/relationships/hyperlink" Target="mailto:vilas_g_1982@yahoo.com" TargetMode="External"/><Relationship Id="rId200" Type="http://schemas.openxmlformats.org/officeDocument/2006/relationships/hyperlink" Target="mailto:Amolkhope7@gmail.Com" TargetMode="External"/><Relationship Id="rId16" Type="http://schemas.openxmlformats.org/officeDocument/2006/relationships/hyperlink" Target="mailto:anjanishu42@gmail.com" TargetMode="External"/><Relationship Id="rId221" Type="http://schemas.openxmlformats.org/officeDocument/2006/relationships/hyperlink" Target="mailto:kumarabhaya520@gmail.com" TargetMode="External"/><Relationship Id="rId242" Type="http://schemas.openxmlformats.org/officeDocument/2006/relationships/hyperlink" Target="mailto:rihant.golu@gmail.com" TargetMode="External"/><Relationship Id="rId263" Type="http://schemas.openxmlformats.org/officeDocument/2006/relationships/hyperlink" Target="mailto:himanshusaksena06@gmail.com" TargetMode="External"/><Relationship Id="rId284" Type="http://schemas.openxmlformats.org/officeDocument/2006/relationships/hyperlink" Target="mailto:ajitpimple3465@gmail.com" TargetMode="External"/><Relationship Id="rId319" Type="http://schemas.openxmlformats.org/officeDocument/2006/relationships/hyperlink" Target="mailto:sultansaini1993@gmail.com" TargetMode="External"/><Relationship Id="rId37" Type="http://schemas.openxmlformats.org/officeDocument/2006/relationships/hyperlink" Target="mailto:nikhilbari05@gmail.com" TargetMode="External"/><Relationship Id="rId58" Type="http://schemas.openxmlformats.org/officeDocument/2006/relationships/hyperlink" Target="mailto:malaviya009@gmail.com" TargetMode="External"/><Relationship Id="rId79" Type="http://schemas.openxmlformats.org/officeDocument/2006/relationships/hyperlink" Target="mailto:siva7gsp@gmail.com" TargetMode="External"/><Relationship Id="rId102" Type="http://schemas.openxmlformats.org/officeDocument/2006/relationships/hyperlink" Target="mailto:rgravigupta07@gmail.com" TargetMode="External"/><Relationship Id="rId123" Type="http://schemas.openxmlformats.org/officeDocument/2006/relationships/hyperlink" Target="mailto:eng.rijwankhan@gmail.com" TargetMode="External"/><Relationship Id="rId144" Type="http://schemas.openxmlformats.org/officeDocument/2006/relationships/hyperlink" Target="mailto:ca.praveensrivastav@gmail.com" TargetMode="External"/><Relationship Id="rId90" Type="http://schemas.openxmlformats.org/officeDocument/2006/relationships/hyperlink" Target="mailto:mshinde868@gmail.com" TargetMode="External"/><Relationship Id="rId165" Type="http://schemas.openxmlformats.org/officeDocument/2006/relationships/hyperlink" Target="mailto:pradeepkumaraitd15@gmail.com" TargetMode="External"/><Relationship Id="rId186" Type="http://schemas.openxmlformats.org/officeDocument/2006/relationships/hyperlink" Target="mailto:snatakshaw@gmail.com" TargetMode="External"/><Relationship Id="rId211" Type="http://schemas.openxmlformats.org/officeDocument/2006/relationships/hyperlink" Target="mailto:suvenducet198@gmail.com" TargetMode="External"/><Relationship Id="rId232" Type="http://schemas.openxmlformats.org/officeDocument/2006/relationships/hyperlink" Target="mailto:kameshguntrothu@gmail.com" TargetMode="External"/><Relationship Id="rId253" Type="http://schemas.openxmlformats.org/officeDocument/2006/relationships/hyperlink" Target="mailto:buddhadevxyz@gmail.com" TargetMode="External"/><Relationship Id="rId274" Type="http://schemas.openxmlformats.org/officeDocument/2006/relationships/hyperlink" Target="mailto:sanjeetp5399@gmail.com" TargetMode="External"/><Relationship Id="rId295" Type="http://schemas.openxmlformats.org/officeDocument/2006/relationships/hyperlink" Target="mailto:gauravarunkumarlal@gmail.com" TargetMode="External"/><Relationship Id="rId309" Type="http://schemas.openxmlformats.org/officeDocument/2006/relationships/hyperlink" Target="mailto:alok7044@gmail.com" TargetMode="External"/><Relationship Id="rId27" Type="http://schemas.openxmlformats.org/officeDocument/2006/relationships/hyperlink" Target="mailto:maheshwsris387@gmail.com" TargetMode="External"/><Relationship Id="rId48" Type="http://schemas.openxmlformats.org/officeDocument/2006/relationships/hyperlink" Target="mailto:motghare.suraj@gmail.com" TargetMode="External"/><Relationship Id="rId69" Type="http://schemas.openxmlformats.org/officeDocument/2006/relationships/hyperlink" Target="mailto:riyashriaz2000@gmail.com" TargetMode="External"/><Relationship Id="rId113" Type="http://schemas.openxmlformats.org/officeDocument/2006/relationships/hyperlink" Target="mailto:souravjyoti1996@gmail.com" TargetMode="External"/><Relationship Id="rId134" Type="http://schemas.openxmlformats.org/officeDocument/2006/relationships/hyperlink" Target="mailto:mishraakhil018@gmail.com" TargetMode="External"/><Relationship Id="rId320" Type="http://schemas.openxmlformats.org/officeDocument/2006/relationships/hyperlink" Target="mailto:cmavikassharma660@gmail.com" TargetMode="External"/><Relationship Id="rId80" Type="http://schemas.openxmlformats.org/officeDocument/2006/relationships/hyperlink" Target="mailto:khanamaan1100@gmail.com" TargetMode="External"/><Relationship Id="rId155" Type="http://schemas.openxmlformats.org/officeDocument/2006/relationships/hyperlink" Target="mailto:prsnjthait@gmail.com" TargetMode="External"/><Relationship Id="rId176" Type="http://schemas.openxmlformats.org/officeDocument/2006/relationships/hyperlink" Target="mailto:rastogiaviral8@gmail.com" TargetMode="External"/><Relationship Id="rId197" Type="http://schemas.openxmlformats.org/officeDocument/2006/relationships/hyperlink" Target="mailto:anant.wani@rediffmail.com" TargetMode="External"/><Relationship Id="rId201" Type="http://schemas.openxmlformats.org/officeDocument/2006/relationships/hyperlink" Target="mailto:farazkhatriofficial42@gmail.com" TargetMode="External"/><Relationship Id="rId222" Type="http://schemas.openxmlformats.org/officeDocument/2006/relationships/hyperlink" Target="mailto:deepak.gautam637.dg@gmail.com" TargetMode="External"/><Relationship Id="rId243" Type="http://schemas.openxmlformats.org/officeDocument/2006/relationships/hyperlink" Target="mailto:akmaurya281@gmail.com" TargetMode="External"/><Relationship Id="rId264" Type="http://schemas.openxmlformats.org/officeDocument/2006/relationships/hyperlink" Target="mailto:atuldeo121@gmail.com" TargetMode="External"/><Relationship Id="rId285" Type="http://schemas.openxmlformats.org/officeDocument/2006/relationships/hyperlink" Target="mailto:vivekproarc@gmail.com" TargetMode="External"/><Relationship Id="rId17" Type="http://schemas.openxmlformats.org/officeDocument/2006/relationships/hyperlink" Target="mailto:ashishkum950@gmail.com" TargetMode="External"/><Relationship Id="rId38" Type="http://schemas.openxmlformats.org/officeDocument/2006/relationships/hyperlink" Target="mailto:niceanikeit@hotmail.com" TargetMode="External"/><Relationship Id="rId59" Type="http://schemas.openxmlformats.org/officeDocument/2006/relationships/hyperlink" Target="mailto:tusharsane387@gmail.com" TargetMode="External"/><Relationship Id="rId103" Type="http://schemas.openxmlformats.org/officeDocument/2006/relationships/hyperlink" Target="mailto:ksangrame98@gmail.com" TargetMode="External"/><Relationship Id="rId124" Type="http://schemas.openxmlformats.org/officeDocument/2006/relationships/hyperlink" Target="mailto:saroj2k1@gmail.com" TargetMode="External"/><Relationship Id="rId310" Type="http://schemas.openxmlformats.org/officeDocument/2006/relationships/hyperlink" Target="mailto:mukulsontakke7@gmail.com" TargetMode="External"/><Relationship Id="rId70" Type="http://schemas.openxmlformats.org/officeDocument/2006/relationships/hyperlink" Target="mailto:prithvishkv27@gmail.com" TargetMode="External"/><Relationship Id="rId91" Type="http://schemas.openxmlformats.org/officeDocument/2006/relationships/hyperlink" Target="mailto:ritesh.zen@gmail.com" TargetMode="External"/><Relationship Id="rId145" Type="http://schemas.openxmlformats.org/officeDocument/2006/relationships/hyperlink" Target="mailto:ketangpatil96@gmail.com" TargetMode="External"/><Relationship Id="rId166" Type="http://schemas.openxmlformats.org/officeDocument/2006/relationships/hyperlink" Target="mailto:gtsarve@gmail.com" TargetMode="External"/><Relationship Id="rId187" Type="http://schemas.openxmlformats.org/officeDocument/2006/relationships/hyperlink" Target="mailto:spranjal95@gmail.com" TargetMode="External"/><Relationship Id="rId1" Type="http://schemas.openxmlformats.org/officeDocument/2006/relationships/hyperlink" Target="mailto:pratik.khandke15@gmail.com" TargetMode="External"/><Relationship Id="rId212" Type="http://schemas.openxmlformats.org/officeDocument/2006/relationships/hyperlink" Target="mailto:gouravsarkar29@gmail.com" TargetMode="External"/><Relationship Id="rId233" Type="http://schemas.openxmlformats.org/officeDocument/2006/relationships/hyperlink" Target="mailto:balram.mohanta@rediffmail.com" TargetMode="External"/><Relationship Id="rId254" Type="http://schemas.openxmlformats.org/officeDocument/2006/relationships/hyperlink" Target="mailto:asadsharifns@gmail.com" TargetMode="External"/><Relationship Id="rId28" Type="http://schemas.openxmlformats.org/officeDocument/2006/relationships/hyperlink" Target="mailto:pravinkhandagale20@gmail.com" TargetMode="External"/><Relationship Id="rId49" Type="http://schemas.openxmlformats.org/officeDocument/2006/relationships/hyperlink" Target="mailto:rajveer.kumawat1@gmail.com" TargetMode="External"/><Relationship Id="rId114" Type="http://schemas.openxmlformats.org/officeDocument/2006/relationships/hyperlink" Target="mailto:kunalkumar2601@gmail.com" TargetMode="External"/><Relationship Id="rId275" Type="http://schemas.openxmlformats.org/officeDocument/2006/relationships/hyperlink" Target="mailto:singhraghavendra2022@gmail.com" TargetMode="External"/><Relationship Id="rId296" Type="http://schemas.openxmlformats.org/officeDocument/2006/relationships/hyperlink" Target="mailto:arvindtiwari5598@gmail.com" TargetMode="External"/><Relationship Id="rId300" Type="http://schemas.openxmlformats.org/officeDocument/2006/relationships/hyperlink" Target="mailto:puneetkmr475@gmail.com" TargetMode="External"/><Relationship Id="rId60" Type="http://schemas.openxmlformats.org/officeDocument/2006/relationships/hyperlink" Target="mailto:abhishek0689@gmail.com" TargetMode="External"/><Relationship Id="rId81" Type="http://schemas.openxmlformats.org/officeDocument/2006/relationships/hyperlink" Target="mailto:digantpathak10@gmail.com" TargetMode="External"/><Relationship Id="rId135" Type="http://schemas.openxmlformats.org/officeDocument/2006/relationships/hyperlink" Target="mailto:princebadhai@gmail.com" TargetMode="External"/><Relationship Id="rId156" Type="http://schemas.openxmlformats.org/officeDocument/2006/relationships/hyperlink" Target="mailto:gauravkasar2010@rediffmail.com" TargetMode="External"/><Relationship Id="rId177" Type="http://schemas.openxmlformats.org/officeDocument/2006/relationships/hyperlink" Target="mailto:patel7dharmendra@gmail.com" TargetMode="External"/><Relationship Id="rId198" Type="http://schemas.openxmlformats.org/officeDocument/2006/relationships/hyperlink" Target="mailto:polrishabh@gmail.com" TargetMode="External"/><Relationship Id="rId202" Type="http://schemas.openxmlformats.org/officeDocument/2006/relationships/hyperlink" Target="mailto:kalpeshp0155@gmail.com" TargetMode="External"/><Relationship Id="rId223" Type="http://schemas.openxmlformats.org/officeDocument/2006/relationships/hyperlink" Target="mailto:ganeshpawar7789@gmail.com" TargetMode="External"/><Relationship Id="rId244" Type="http://schemas.openxmlformats.org/officeDocument/2006/relationships/hyperlink" Target="mailto:mdsehwanahmadme1634@gmail.com" TargetMode="External"/><Relationship Id="rId18" Type="http://schemas.openxmlformats.org/officeDocument/2006/relationships/hyperlink" Target="mailto:Srinumet1234@gmail.com" TargetMode="External"/><Relationship Id="rId39" Type="http://schemas.openxmlformats.org/officeDocument/2006/relationships/hyperlink" Target="mailto:patnenilesh@gmail.com" TargetMode="External"/><Relationship Id="rId265" Type="http://schemas.openxmlformats.org/officeDocument/2006/relationships/hyperlink" Target="mailto:mahanorbharat6@gmail.com" TargetMode="External"/><Relationship Id="rId286" Type="http://schemas.openxmlformats.org/officeDocument/2006/relationships/hyperlink" Target="mailto:shailendra88singh@gmail.com" TargetMode="External"/><Relationship Id="rId50" Type="http://schemas.openxmlformats.org/officeDocument/2006/relationships/hyperlink" Target="mailto:kundanlucky5@gmail.com" TargetMode="External"/><Relationship Id="rId104" Type="http://schemas.openxmlformats.org/officeDocument/2006/relationships/hyperlink" Target="mailto:mangeshpimpalkar03@gmail.com" TargetMode="External"/><Relationship Id="rId125" Type="http://schemas.openxmlformats.org/officeDocument/2006/relationships/hyperlink" Target="mailto:nihalnuman@gmail.com" TargetMode="External"/><Relationship Id="rId146" Type="http://schemas.openxmlformats.org/officeDocument/2006/relationships/hyperlink" Target="mailto:manishdarj@yahoo.in" TargetMode="External"/><Relationship Id="rId167" Type="http://schemas.openxmlformats.org/officeDocument/2006/relationships/hyperlink" Target="mailto:prashantsaxena1@gmail.com" TargetMode="External"/><Relationship Id="rId188" Type="http://schemas.openxmlformats.org/officeDocument/2006/relationships/hyperlink" Target="mailto:nishant.kumar442@gmail.com" TargetMode="External"/><Relationship Id="rId311" Type="http://schemas.openxmlformats.org/officeDocument/2006/relationships/hyperlink" Target="mailto:jha.pravat09@gmail.com" TargetMode="External"/><Relationship Id="rId71" Type="http://schemas.openxmlformats.org/officeDocument/2006/relationships/hyperlink" Target="mailto:Rakeshbari1996@gmail.com" TargetMode="External"/><Relationship Id="rId92" Type="http://schemas.openxmlformats.org/officeDocument/2006/relationships/hyperlink" Target="mailto:singhpradeep16@gmail.com" TargetMode="External"/><Relationship Id="rId213" Type="http://schemas.openxmlformats.org/officeDocument/2006/relationships/hyperlink" Target="mailto:krushnagovindsc@gmail.com" TargetMode="External"/><Relationship Id="rId234" Type="http://schemas.openxmlformats.org/officeDocument/2006/relationships/hyperlink" Target="mailto:er.antonyleo@gmail.com" TargetMode="External"/><Relationship Id="rId2" Type="http://schemas.openxmlformats.org/officeDocument/2006/relationships/hyperlink" Target="mailto:darjidhruv17101999@gmail.com" TargetMode="External"/><Relationship Id="rId29" Type="http://schemas.openxmlformats.org/officeDocument/2006/relationships/hyperlink" Target="mailto:Navneet.14gupta@gmail.com" TargetMode="External"/><Relationship Id="rId255" Type="http://schemas.openxmlformats.org/officeDocument/2006/relationships/hyperlink" Target="mailto:yashwaghulkar81@gmail.com" TargetMode="External"/><Relationship Id="rId276" Type="http://schemas.openxmlformats.org/officeDocument/2006/relationships/hyperlink" Target="mailto:ind6193@gmail.com" TargetMode="External"/><Relationship Id="rId297" Type="http://schemas.openxmlformats.org/officeDocument/2006/relationships/hyperlink" Target="mailto:tanweerzafar8@gmail.com" TargetMode="External"/><Relationship Id="rId40" Type="http://schemas.openxmlformats.org/officeDocument/2006/relationships/hyperlink" Target="mailto:kumarvijayshukla03@gmail.com" TargetMode="External"/><Relationship Id="rId115" Type="http://schemas.openxmlformats.org/officeDocument/2006/relationships/hyperlink" Target="mailto:anil.sainiwal@gmail.com" TargetMode="External"/><Relationship Id="rId136" Type="http://schemas.openxmlformats.org/officeDocument/2006/relationships/hyperlink" Target="mailto:ambarishjsl@gmail.com" TargetMode="External"/><Relationship Id="rId157" Type="http://schemas.openxmlformats.org/officeDocument/2006/relationships/hyperlink" Target="mailto:shubhamroy702@gmail.com" TargetMode="External"/><Relationship Id="rId178" Type="http://schemas.openxmlformats.org/officeDocument/2006/relationships/hyperlink" Target="mailto:rahulkhare4202@gmail.com" TargetMode="External"/><Relationship Id="rId301" Type="http://schemas.openxmlformats.org/officeDocument/2006/relationships/hyperlink" Target="mailto:vikasrathore2009@gmail.com" TargetMode="External"/><Relationship Id="rId61" Type="http://schemas.openxmlformats.org/officeDocument/2006/relationships/hyperlink" Target="mailto:surajukidave@gmail.com" TargetMode="External"/><Relationship Id="rId82" Type="http://schemas.openxmlformats.org/officeDocument/2006/relationships/hyperlink" Target="mailto:raja.er55@gmail.com" TargetMode="External"/><Relationship Id="rId199" Type="http://schemas.openxmlformats.org/officeDocument/2006/relationships/hyperlink" Target="mailto:ajitpimple3465@gmail.com" TargetMode="External"/><Relationship Id="rId203" Type="http://schemas.openxmlformats.org/officeDocument/2006/relationships/hyperlink" Target="mailto:ashok04111996@gmail.com" TargetMode="External"/><Relationship Id="rId19" Type="http://schemas.openxmlformats.org/officeDocument/2006/relationships/hyperlink" Target="mailto:abhimanyukumar804@gmail.com" TargetMode="External"/><Relationship Id="rId224" Type="http://schemas.openxmlformats.org/officeDocument/2006/relationships/hyperlink" Target="mailto:sheoransumit162@gmail.com" TargetMode="External"/><Relationship Id="rId245" Type="http://schemas.openxmlformats.org/officeDocument/2006/relationships/hyperlink" Target="mailto:rathor.kumarsingh0@gmail.com" TargetMode="External"/><Relationship Id="rId266" Type="http://schemas.openxmlformats.org/officeDocument/2006/relationships/hyperlink" Target="mailto:bhuniasubrata98@gmail.com" TargetMode="External"/><Relationship Id="rId287" Type="http://schemas.openxmlformats.org/officeDocument/2006/relationships/hyperlink" Target="mailto:vvk.ahire@gmail.com" TargetMode="External"/><Relationship Id="rId30" Type="http://schemas.openxmlformats.org/officeDocument/2006/relationships/hyperlink" Target="mailto:himanshusharmaeee@gmail.com" TargetMode="External"/><Relationship Id="rId105" Type="http://schemas.openxmlformats.org/officeDocument/2006/relationships/hyperlink" Target="mailto:kartikeypandey975@gmail.com" TargetMode="External"/><Relationship Id="rId126" Type="http://schemas.openxmlformats.org/officeDocument/2006/relationships/hyperlink" Target="mailto:arunbhardwaj47@gmail.com" TargetMode="External"/><Relationship Id="rId147" Type="http://schemas.openxmlformats.org/officeDocument/2006/relationships/hyperlink" Target="mailto:shubham.n.kitturkar@gmail.com" TargetMode="External"/><Relationship Id="rId168" Type="http://schemas.openxmlformats.org/officeDocument/2006/relationships/hyperlink" Target="mailto:shaktisingh463@gmail.com" TargetMode="External"/><Relationship Id="rId312" Type="http://schemas.openxmlformats.org/officeDocument/2006/relationships/hyperlink" Target="mailto:harshvardhan102133@gmail.com" TargetMode="External"/><Relationship Id="rId51" Type="http://schemas.openxmlformats.org/officeDocument/2006/relationships/hyperlink" Target="mailto:rajveer.kumawat1@gmail.com" TargetMode="External"/><Relationship Id="rId72" Type="http://schemas.openxmlformats.org/officeDocument/2006/relationships/hyperlink" Target="mailto:Himanshunashte23@gmail.com" TargetMode="External"/><Relationship Id="rId93" Type="http://schemas.openxmlformats.org/officeDocument/2006/relationships/hyperlink" Target="mailto:anshulyadav1202@gmail.com" TargetMode="External"/><Relationship Id="rId189" Type="http://schemas.openxmlformats.org/officeDocument/2006/relationships/hyperlink" Target="mailto:anil.sainiwal@gmail.com" TargetMode="External"/><Relationship Id="rId3" Type="http://schemas.openxmlformats.org/officeDocument/2006/relationships/hyperlink" Target="mailto:dushyantnehar@gmail.com" TargetMode="External"/><Relationship Id="rId214" Type="http://schemas.openxmlformats.org/officeDocument/2006/relationships/hyperlink" Target="mailto:sbhagwat68@gmail.com" TargetMode="External"/><Relationship Id="rId235" Type="http://schemas.openxmlformats.org/officeDocument/2006/relationships/hyperlink" Target="mailto:mahalesagar03@gmail.com" TargetMode="External"/><Relationship Id="rId256" Type="http://schemas.openxmlformats.org/officeDocument/2006/relationships/hyperlink" Target="mailto:nehalahmad374@gmail.com" TargetMode="External"/><Relationship Id="rId277" Type="http://schemas.openxmlformats.org/officeDocument/2006/relationships/hyperlink" Target="mailto:pankajmeche@gmail.com" TargetMode="External"/><Relationship Id="rId298" Type="http://schemas.openxmlformats.org/officeDocument/2006/relationships/hyperlink" Target="mailto:kumaramiya95@gmail.com" TargetMode="External"/><Relationship Id="rId116" Type="http://schemas.openxmlformats.org/officeDocument/2006/relationships/hyperlink" Target="mailto:mohanltk21@hotmail.com" TargetMode="External"/><Relationship Id="rId137" Type="http://schemas.openxmlformats.org/officeDocument/2006/relationships/hyperlink" Target="mailto:atpidus4u@gmail.com" TargetMode="External"/><Relationship Id="rId158" Type="http://schemas.openxmlformats.org/officeDocument/2006/relationships/hyperlink" Target="mailto:rahul92kaurav@gmail.com" TargetMode="External"/><Relationship Id="rId302" Type="http://schemas.openxmlformats.org/officeDocument/2006/relationships/hyperlink" Target="mailto:mishraakhil018@gmail.com" TargetMode="External"/><Relationship Id="rId20" Type="http://schemas.openxmlformats.org/officeDocument/2006/relationships/hyperlink" Target="mailto:anjanishu42@gmail.com" TargetMode="External"/><Relationship Id="rId41" Type="http://schemas.openxmlformats.org/officeDocument/2006/relationships/hyperlink" Target="mailto:mohanraja@outlook.in" TargetMode="External"/><Relationship Id="rId62" Type="http://schemas.openxmlformats.org/officeDocument/2006/relationships/hyperlink" Target="mailto:manishprasad73@gmail.com" TargetMode="External"/><Relationship Id="rId83" Type="http://schemas.openxmlformats.org/officeDocument/2006/relationships/hyperlink" Target="mailto:vaibhavbhore989@gmail.com" TargetMode="External"/><Relationship Id="rId179" Type="http://schemas.openxmlformats.org/officeDocument/2006/relationships/hyperlink" Target="mailto:swapnil.sail2909@gmail.com" TargetMode="External"/><Relationship Id="rId190" Type="http://schemas.openxmlformats.org/officeDocument/2006/relationships/hyperlink" Target="mailto:bimankuila@gmail.com" TargetMode="External"/><Relationship Id="rId204" Type="http://schemas.openxmlformats.org/officeDocument/2006/relationships/hyperlink" Target="mailto:ajaykumarbalwant786@gmail.com" TargetMode="External"/><Relationship Id="rId225" Type="http://schemas.openxmlformats.org/officeDocument/2006/relationships/hyperlink" Target="mailto:neerajsingh301848@gmail.com" TargetMode="External"/><Relationship Id="rId246" Type="http://schemas.openxmlformats.org/officeDocument/2006/relationships/hyperlink" Target="mailto:surajsharma4605@gmail.com" TargetMode="External"/><Relationship Id="rId267" Type="http://schemas.openxmlformats.org/officeDocument/2006/relationships/hyperlink" Target="mailto:jndpat369@gmail.com" TargetMode="External"/><Relationship Id="rId288" Type="http://schemas.openxmlformats.org/officeDocument/2006/relationships/hyperlink" Target="mailto:dinesh1694kumar@gmail.com" TargetMode="External"/><Relationship Id="rId106" Type="http://schemas.openxmlformats.org/officeDocument/2006/relationships/hyperlink" Target="mailto:vivekmalani2507@gmail.com" TargetMode="External"/><Relationship Id="rId127" Type="http://schemas.openxmlformats.org/officeDocument/2006/relationships/hyperlink" Target="mailto:abhishek.rsbglobal@gmail.com" TargetMode="External"/><Relationship Id="rId313" Type="http://schemas.openxmlformats.org/officeDocument/2006/relationships/hyperlink" Target="mailto:pawankumartiwaribui@gmail.com" TargetMode="External"/><Relationship Id="rId10" Type="http://schemas.openxmlformats.org/officeDocument/2006/relationships/hyperlink" Target="mailto:mohitjaiswal3281@gmail.com" TargetMode="External"/><Relationship Id="rId31" Type="http://schemas.openxmlformats.org/officeDocument/2006/relationships/hyperlink" Target="mailto:kasa.mani234@gmail.com" TargetMode="External"/><Relationship Id="rId52" Type="http://schemas.openxmlformats.org/officeDocument/2006/relationships/hyperlink" Target="mailto:rajveer.kumawat1@gmail.com" TargetMode="External"/><Relationship Id="rId73" Type="http://schemas.openxmlformats.org/officeDocument/2006/relationships/hyperlink" Target="mailto:adithyanmahesan@gmail.com" TargetMode="External"/><Relationship Id="rId94" Type="http://schemas.openxmlformats.org/officeDocument/2006/relationships/hyperlink" Target="mailto:abh050607@gmail.com" TargetMode="External"/><Relationship Id="rId148" Type="http://schemas.openxmlformats.org/officeDocument/2006/relationships/hyperlink" Target="mailto:dewang.pandya007@gmail.com" TargetMode="External"/><Relationship Id="rId169" Type="http://schemas.openxmlformats.org/officeDocument/2006/relationships/hyperlink" Target="mailto:anurag9408@gmail.com" TargetMode="External"/><Relationship Id="rId4" Type="http://schemas.openxmlformats.org/officeDocument/2006/relationships/hyperlink" Target="mailto:infotanmayrathi@gmail.com" TargetMode="External"/><Relationship Id="rId180" Type="http://schemas.openxmlformats.org/officeDocument/2006/relationships/hyperlink" Target="mailto:rcktiwari25@gmail.com" TargetMode="External"/><Relationship Id="rId215" Type="http://schemas.openxmlformats.org/officeDocument/2006/relationships/hyperlink" Target="mailto:amit003dubey@gmail.com" TargetMode="External"/><Relationship Id="rId236" Type="http://schemas.openxmlformats.org/officeDocument/2006/relationships/hyperlink" Target="mailto:yogeshchaubey26@gmail.com" TargetMode="External"/><Relationship Id="rId257" Type="http://schemas.openxmlformats.org/officeDocument/2006/relationships/hyperlink" Target="mailto:dreamindia0049@gmail.com" TargetMode="External"/><Relationship Id="rId278" Type="http://schemas.openxmlformats.org/officeDocument/2006/relationships/hyperlink" Target="mailto:kc1574649@gmail.com" TargetMode="External"/><Relationship Id="rId303" Type="http://schemas.openxmlformats.org/officeDocument/2006/relationships/hyperlink" Target="mailto:ajaybijarniya@gmail.com" TargetMode="External"/><Relationship Id="rId42" Type="http://schemas.openxmlformats.org/officeDocument/2006/relationships/hyperlink" Target="mailto:shaikh.ft@gmail.com" TargetMode="External"/><Relationship Id="rId84" Type="http://schemas.openxmlformats.org/officeDocument/2006/relationships/hyperlink" Target="mailto:kpshridhar99@gmail.com" TargetMode="External"/><Relationship Id="rId138" Type="http://schemas.openxmlformats.org/officeDocument/2006/relationships/hyperlink" Target="mailto:saurabh.02@rediffmail.com" TargetMode="External"/><Relationship Id="rId191" Type="http://schemas.openxmlformats.org/officeDocument/2006/relationships/hyperlink" Target="mailto:naveenrkdf325@gmail.com" TargetMode="External"/><Relationship Id="rId205" Type="http://schemas.openxmlformats.org/officeDocument/2006/relationships/hyperlink" Target="mailto:mohanmedappaavaremadanda@gmail.com" TargetMode="External"/><Relationship Id="rId247" Type="http://schemas.openxmlformats.org/officeDocument/2006/relationships/hyperlink" Target="mailto:rahulmishra9020@gmail.com" TargetMode="External"/><Relationship Id="rId107" Type="http://schemas.openxmlformats.org/officeDocument/2006/relationships/hyperlink" Target="mailto:mandalarun9210@gmail.com" TargetMode="External"/><Relationship Id="rId289" Type="http://schemas.openxmlformats.org/officeDocument/2006/relationships/hyperlink" Target="mailto:bhashidh.shaik@gmail.com" TargetMode="External"/><Relationship Id="rId11" Type="http://schemas.openxmlformats.org/officeDocument/2006/relationships/hyperlink" Target="mailto:ashishkum950@gmail.com" TargetMode="External"/><Relationship Id="rId53" Type="http://schemas.openxmlformats.org/officeDocument/2006/relationships/hyperlink" Target="mailto:hem.patel488@gmail.com" TargetMode="External"/><Relationship Id="rId149" Type="http://schemas.openxmlformats.org/officeDocument/2006/relationships/hyperlink" Target="mailto:er_ravimalik@rediffmail.com" TargetMode="External"/><Relationship Id="rId314" Type="http://schemas.openxmlformats.org/officeDocument/2006/relationships/hyperlink" Target="mailto:deepeshindasrao@rediffmail.com" TargetMode="External"/><Relationship Id="rId95" Type="http://schemas.openxmlformats.org/officeDocument/2006/relationships/hyperlink" Target="mailto:shubh15041997@gmail.com" TargetMode="External"/><Relationship Id="rId160" Type="http://schemas.openxmlformats.org/officeDocument/2006/relationships/hyperlink" Target="mailto:iam_sahejrao@yahoo.com" TargetMode="External"/><Relationship Id="rId216" Type="http://schemas.openxmlformats.org/officeDocument/2006/relationships/hyperlink" Target="mailto:adityagoyal603@gmail.com" TargetMode="External"/><Relationship Id="rId258" Type="http://schemas.openxmlformats.org/officeDocument/2006/relationships/hyperlink" Target="mailto:umakant.prasad171992@gmail.com" TargetMode="External"/><Relationship Id="rId22" Type="http://schemas.openxmlformats.org/officeDocument/2006/relationships/hyperlink" Target="mailto:vijrishabh016@gmail.com" TargetMode="External"/><Relationship Id="rId64" Type="http://schemas.openxmlformats.org/officeDocument/2006/relationships/hyperlink" Target="mailto:santoshn2007@rediffmail.com" TargetMode="External"/><Relationship Id="rId118" Type="http://schemas.openxmlformats.org/officeDocument/2006/relationships/hyperlink" Target="mailto:smohammadalam@gmail.com" TargetMode="External"/><Relationship Id="rId171" Type="http://schemas.openxmlformats.org/officeDocument/2006/relationships/hyperlink" Target="mailto:pranshul.india@gmail.com" TargetMode="External"/><Relationship Id="rId227" Type="http://schemas.openxmlformats.org/officeDocument/2006/relationships/hyperlink" Target="mailto:anuragastral@gmail.com" TargetMode="External"/><Relationship Id="rId269" Type="http://schemas.openxmlformats.org/officeDocument/2006/relationships/hyperlink" Target="mailto:sharuk1610@gmail.com" TargetMode="External"/><Relationship Id="rId33" Type="http://schemas.openxmlformats.org/officeDocument/2006/relationships/hyperlink" Target="mailto:mdhemant.patil@gmail.com" TargetMode="External"/><Relationship Id="rId129" Type="http://schemas.openxmlformats.org/officeDocument/2006/relationships/hyperlink" Target="mailto:vicharapusankar@gmail.com" TargetMode="External"/><Relationship Id="rId280" Type="http://schemas.openxmlformats.org/officeDocument/2006/relationships/hyperlink" Target="mailto:sbkay333@gmail.com" TargetMode="External"/><Relationship Id="rId75" Type="http://schemas.openxmlformats.org/officeDocument/2006/relationships/hyperlink" Target="mailto:ra.attarde@gmail.com" TargetMode="External"/><Relationship Id="rId140" Type="http://schemas.openxmlformats.org/officeDocument/2006/relationships/hyperlink" Target="mailto:deepakmunjal0811@gmail.com" TargetMode="External"/><Relationship Id="rId182" Type="http://schemas.openxmlformats.org/officeDocument/2006/relationships/hyperlink" Target="mailto:maityananda91@gmail.com" TargetMode="External"/><Relationship Id="rId6" Type="http://schemas.openxmlformats.org/officeDocument/2006/relationships/hyperlink" Target="mailto:hardikvekariya74@gmail.com" TargetMode="External"/><Relationship Id="rId238" Type="http://schemas.openxmlformats.org/officeDocument/2006/relationships/hyperlink" Target="mailto:jitendra.k1602@gmail.com" TargetMode="External"/><Relationship Id="rId291" Type="http://schemas.openxmlformats.org/officeDocument/2006/relationships/hyperlink" Target="mailto:patilpankaj4141@gmail.com" TargetMode="External"/><Relationship Id="rId305" Type="http://schemas.openxmlformats.org/officeDocument/2006/relationships/hyperlink" Target="mailto:chandu1164@gmail.com" TargetMode="External"/><Relationship Id="rId44" Type="http://schemas.openxmlformats.org/officeDocument/2006/relationships/hyperlink" Target="mailto:monukumar224@gmail.com" TargetMode="External"/><Relationship Id="rId86" Type="http://schemas.openxmlformats.org/officeDocument/2006/relationships/hyperlink" Target="mailto:amitsaraf1509@gmail.com" TargetMode="External"/><Relationship Id="rId151" Type="http://schemas.openxmlformats.org/officeDocument/2006/relationships/hyperlink" Target="mailto:umesh112006@gmail.com" TargetMode="External"/><Relationship Id="rId193" Type="http://schemas.openxmlformats.org/officeDocument/2006/relationships/hyperlink" Target="mailto:fncivil22@gmail.com" TargetMode="External"/><Relationship Id="rId207" Type="http://schemas.openxmlformats.org/officeDocument/2006/relationships/hyperlink" Target="mailto:venkatasai.kap@gmail.com" TargetMode="External"/><Relationship Id="rId249" Type="http://schemas.openxmlformats.org/officeDocument/2006/relationships/hyperlink" Target="mailto:chandansenapati88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"/>
  <sheetViews>
    <sheetView topLeftCell="K1" workbookViewId="0">
      <pane ySplit="1" topLeftCell="A2" activePane="bottomLeft" state="frozen"/>
      <selection pane="bottomLeft" activeCell="L1" sqref="L1"/>
    </sheetView>
  </sheetViews>
  <sheetFormatPr defaultColWidth="9.1796875" defaultRowHeight="13"/>
  <cols>
    <col min="1" max="1" width="6.81640625" style="244" bestFit="1" customWidth="1"/>
    <col min="2" max="2" width="16.26953125" style="244" bestFit="1" customWidth="1"/>
    <col min="3" max="3" width="7.54296875" style="244" bestFit="1" customWidth="1"/>
    <col min="4" max="4" width="9" style="244" bestFit="1" customWidth="1"/>
    <col min="5" max="5" width="34" style="244" bestFit="1" customWidth="1"/>
    <col min="6" max="6" width="15.453125" style="244" bestFit="1" customWidth="1"/>
    <col min="7" max="7" width="10.54296875" style="244" bestFit="1" customWidth="1"/>
    <col min="8" max="8" width="36.81640625" style="244" bestFit="1" customWidth="1"/>
    <col min="9" max="9" width="9.453125" style="244" bestFit="1" customWidth="1"/>
    <col min="10" max="10" width="14.54296875" style="244" bestFit="1" customWidth="1"/>
    <col min="11" max="11" width="33" style="244" bestFit="1" customWidth="1"/>
    <col min="12" max="12" width="11.81640625" style="244" bestFit="1" customWidth="1"/>
    <col min="13" max="13" width="12.26953125" style="244" bestFit="1" customWidth="1"/>
    <col min="14" max="14" width="12.54296875" style="244" bestFit="1" customWidth="1"/>
    <col min="15" max="15" width="11.453125" style="244" bestFit="1" customWidth="1"/>
    <col min="16" max="16" width="67.7265625" style="244" bestFit="1" customWidth="1"/>
    <col min="17" max="17" width="10.26953125" style="244" bestFit="1" customWidth="1"/>
    <col min="18" max="18" width="56.26953125" style="244" bestFit="1" customWidth="1"/>
    <col min="19" max="19" width="16.26953125" style="244" bestFit="1" customWidth="1"/>
    <col min="20" max="20" width="9.81640625" style="244" bestFit="1" customWidth="1"/>
    <col min="21" max="21" width="15.54296875" style="244" bestFit="1" customWidth="1"/>
    <col min="22" max="22" width="13.453125" style="244" bestFit="1" customWidth="1"/>
    <col min="23" max="23" width="8.54296875" style="244" bestFit="1" customWidth="1"/>
    <col min="24" max="24" width="7.26953125" style="244" bestFit="1" customWidth="1"/>
    <col min="25" max="25" width="7.453125" style="244" bestFit="1" customWidth="1"/>
    <col min="26" max="26" width="6.81640625" style="244" bestFit="1" customWidth="1"/>
    <col min="27" max="27" width="8.1796875" style="244" bestFit="1" customWidth="1"/>
    <col min="28" max="28" width="12.26953125" style="244" bestFit="1" customWidth="1"/>
    <col min="29" max="29" width="11" style="244" bestFit="1" customWidth="1"/>
    <col min="30" max="30" width="13.1796875" style="244" bestFit="1" customWidth="1"/>
    <col min="31" max="31" width="11.7265625" style="244" bestFit="1" customWidth="1"/>
    <col min="32" max="32" width="6.26953125" style="244" bestFit="1" customWidth="1"/>
    <col min="33" max="33" width="5.81640625" style="244" bestFit="1" customWidth="1"/>
    <col min="34" max="34" width="49.1796875" style="244" bestFit="1" customWidth="1"/>
    <col min="35" max="35" width="16" style="244" bestFit="1" customWidth="1"/>
    <col min="36" max="36" width="19.81640625" style="244" bestFit="1" customWidth="1"/>
    <col min="37" max="37" width="9.54296875" style="244" bestFit="1" customWidth="1"/>
    <col min="38" max="38" width="4" style="244" bestFit="1" customWidth="1"/>
    <col min="39" max="16384" width="9.1796875" style="244"/>
  </cols>
  <sheetData>
    <row r="1" spans="1:36">
      <c r="A1" s="238" t="s">
        <v>0</v>
      </c>
      <c r="B1" s="239" t="s">
        <v>1</v>
      </c>
      <c r="C1" s="238" t="s">
        <v>2</v>
      </c>
      <c r="D1" s="238" t="s">
        <v>3</v>
      </c>
      <c r="E1" s="238" t="s">
        <v>4</v>
      </c>
      <c r="F1" s="238" t="s">
        <v>5</v>
      </c>
      <c r="G1" s="238" t="s">
        <v>6</v>
      </c>
      <c r="H1" s="238" t="s">
        <v>7</v>
      </c>
      <c r="I1" s="238" t="s">
        <v>8</v>
      </c>
      <c r="J1" s="238" t="s">
        <v>9</v>
      </c>
      <c r="K1" s="238" t="s">
        <v>10</v>
      </c>
      <c r="L1" s="238" t="s">
        <v>11</v>
      </c>
      <c r="M1" s="238" t="s">
        <v>12</v>
      </c>
      <c r="N1" s="238" t="s">
        <v>13</v>
      </c>
      <c r="O1" s="240" t="s">
        <v>14</v>
      </c>
      <c r="P1" s="238" t="s">
        <v>15</v>
      </c>
      <c r="Q1" s="238" t="s">
        <v>16</v>
      </c>
      <c r="R1" s="238" t="s">
        <v>17</v>
      </c>
      <c r="S1" s="241" t="s">
        <v>1</v>
      </c>
      <c r="T1" s="241" t="s">
        <v>18</v>
      </c>
      <c r="U1" s="241" t="s">
        <v>19</v>
      </c>
      <c r="V1" s="241" t="s">
        <v>20</v>
      </c>
      <c r="W1" s="241" t="s">
        <v>21</v>
      </c>
      <c r="X1" s="240" t="s">
        <v>22</v>
      </c>
      <c r="Y1" s="238" t="s">
        <v>23</v>
      </c>
      <c r="Z1" s="242" t="s">
        <v>24</v>
      </c>
      <c r="AA1" s="243" t="s">
        <v>9</v>
      </c>
      <c r="AB1" s="238" t="s">
        <v>25</v>
      </c>
      <c r="AC1" s="238" t="s">
        <v>26</v>
      </c>
      <c r="AD1" s="241" t="s">
        <v>27</v>
      </c>
      <c r="AE1" s="241" t="s">
        <v>28</v>
      </c>
      <c r="AF1" s="238" t="s">
        <v>29</v>
      </c>
      <c r="AG1" s="238" t="s">
        <v>30</v>
      </c>
      <c r="AH1" s="238" t="s">
        <v>2814</v>
      </c>
      <c r="AI1" s="238" t="s">
        <v>2812</v>
      </c>
      <c r="AJ1" s="238" t="s">
        <v>2813</v>
      </c>
    </row>
    <row r="2" spans="1:36">
      <c r="A2" s="245">
        <v>1</v>
      </c>
      <c r="B2" s="246">
        <v>45401</v>
      </c>
      <c r="C2" s="245">
        <f ca="1">IF(B2="","",NETWORKDAYS.INTL(B2,TODAY(),1,'HELPER(Dont Delete)'!A:A))</f>
        <v>419</v>
      </c>
      <c r="D2" s="245" t="str">
        <f t="shared" ref="D2:D25" si="0">IF(J2="Open",
    IF(AND(C2&gt;=0, C2&lt;=30), "0-30",
    IF(AND(C2&gt;=31, C2&lt;=45), "31-45",
    IF(AND(C2&gt;=46, C2&lt;=60), "46-60",
    IF(AND(C2&gt;=61, C2&lt;=75), "61-75",
    IF(AND(C2&gt;=76, C2&lt;=90), "76-90",
    IF(AND(C2&gt;=91, C2&lt;=105), "91-105",
    IF(AND(C2&gt;=106, C2&lt;=120), "106-120",
    IF(C2&gt;120, "120+", "")))))))),"")</f>
        <v/>
      </c>
      <c r="E2" s="245" t="s">
        <v>31</v>
      </c>
      <c r="F2" s="245">
        <v>1</v>
      </c>
      <c r="G2" s="245" t="s">
        <v>32</v>
      </c>
      <c r="H2" s="245" t="s">
        <v>33</v>
      </c>
      <c r="I2" s="245" t="s">
        <v>34</v>
      </c>
      <c r="J2" s="245" t="s">
        <v>35</v>
      </c>
      <c r="K2" s="245" t="s">
        <v>36</v>
      </c>
      <c r="L2" s="245" t="s">
        <v>37</v>
      </c>
      <c r="M2" s="245" t="s">
        <v>38</v>
      </c>
      <c r="N2" s="245" t="s">
        <v>39</v>
      </c>
      <c r="O2" s="247" t="s">
        <v>40</v>
      </c>
      <c r="P2" s="245" t="s">
        <v>41</v>
      </c>
      <c r="Q2" s="245" t="s">
        <v>42</v>
      </c>
      <c r="R2" s="245"/>
      <c r="S2" s="248">
        <f t="shared" ref="S2" si="1">B2</f>
        <v>45401</v>
      </c>
      <c r="T2" s="245"/>
      <c r="U2" s="245">
        <f>COUNTIFS('Candidate Tracker'!D:D,'Position Tracker'!E2,'Candidate Tracker'!V:V, "&lt;&gt;Screening Pending")</f>
        <v>6</v>
      </c>
      <c r="V2" s="245">
        <f>COUNTIFS('Candidate Tracker'!D:D,'Position Tracker'!E2,'Candidate Tracker'!V:V, "Screen Reject")</f>
        <v>0</v>
      </c>
      <c r="W2" s="245">
        <f t="shared" ref="W2:W14" si="2">U2-V2</f>
        <v>6</v>
      </c>
      <c r="X2" s="247" t="str">
        <f t="shared" ref="X2:X14" si="3">IFERROR(IF(U2=0,0,IF(V2=0,"100%",W2/U2)),"")</f>
        <v>100%</v>
      </c>
      <c r="Y2" s="245" t="s">
        <v>43</v>
      </c>
      <c r="Z2" s="248"/>
      <c r="AA2" s="245"/>
      <c r="AB2" s="245"/>
      <c r="AC2" s="245"/>
      <c r="AD2" s="245"/>
      <c r="AE2" s="245"/>
      <c r="AF2" s="245" t="str">
        <f>IF(OR(AD2="",B2=""),"",NETWORKDAYS.INTL(B2,AD2,1,'HELPER(Dont Delete)'!A:A))</f>
        <v/>
      </c>
      <c r="AG2" s="245" t="str">
        <f>IF(OR(AD2="",B2=""),"",NETWORKDAYS.INTL(B2,AE2,1,'HELPER(Dont Delete)'!A:A))</f>
        <v/>
      </c>
      <c r="AH2" s="245"/>
    </row>
    <row r="3" spans="1:36">
      <c r="A3" s="245">
        <v>2</v>
      </c>
      <c r="B3" s="246">
        <v>45356</v>
      </c>
      <c r="C3" s="245">
        <f ca="1">IF(B3="","",NETWORKDAYS.INTL(B3,TODAY(),1,'HELPER(Dont Delete)'!A:A))</f>
        <v>444</v>
      </c>
      <c r="D3" s="245" t="str">
        <f t="shared" si="0"/>
        <v/>
      </c>
      <c r="E3" s="245" t="s">
        <v>44</v>
      </c>
      <c r="F3" s="245">
        <v>1</v>
      </c>
      <c r="G3" s="245" t="s">
        <v>32</v>
      </c>
      <c r="H3" s="245" t="s">
        <v>45</v>
      </c>
      <c r="I3" s="245" t="s">
        <v>34</v>
      </c>
      <c r="J3" s="245" t="s">
        <v>46</v>
      </c>
      <c r="K3" s="245" t="s">
        <v>47</v>
      </c>
      <c r="L3" s="245" t="s">
        <v>48</v>
      </c>
      <c r="M3" s="245"/>
      <c r="N3" s="245" t="s">
        <v>49</v>
      </c>
      <c r="O3" s="247">
        <v>0.1</v>
      </c>
      <c r="P3" s="245" t="s">
        <v>50</v>
      </c>
      <c r="Q3" s="245" t="s">
        <v>42</v>
      </c>
      <c r="R3" s="245"/>
      <c r="S3" s="248">
        <f t="shared" ref="S3:S14" si="4">B3</f>
        <v>45356</v>
      </c>
      <c r="T3" s="245"/>
      <c r="U3" s="245">
        <f>COUNTIFS('Candidate Tracker'!D:D,'Position Tracker'!E3,'Candidate Tracker'!V:V, "&lt;&gt;Screening Pending")</f>
        <v>5</v>
      </c>
      <c r="V3" s="245">
        <f>COUNTIFS('Candidate Tracker'!D:D,'Position Tracker'!E3,'Candidate Tracker'!V:V, "Screen Reject")</f>
        <v>1</v>
      </c>
      <c r="W3" s="245">
        <f t="shared" si="2"/>
        <v>4</v>
      </c>
      <c r="X3" s="247">
        <f t="shared" si="3"/>
        <v>0.8</v>
      </c>
      <c r="Y3" s="245" t="s">
        <v>51</v>
      </c>
      <c r="Z3" s="248"/>
      <c r="AA3" s="245"/>
      <c r="AB3" s="245"/>
      <c r="AC3" s="245"/>
      <c r="AD3" s="245"/>
      <c r="AE3" s="245"/>
      <c r="AF3" s="245" t="str">
        <f>IF(OR(AD3="",B3=""),"",NETWORKDAYS.INTL(B3,AD3,1,'HELPER(Dont Delete)'!A:A))</f>
        <v/>
      </c>
      <c r="AG3" s="245" t="str">
        <f>IF(OR(AD3="",B3=""),"",NETWORKDAYS.INTL(B3,AE3,1,'HELPER(Dont Delete)'!A:A))</f>
        <v/>
      </c>
      <c r="AH3" s="245"/>
    </row>
    <row r="4" spans="1:36">
      <c r="A4" s="245">
        <v>3</v>
      </c>
      <c r="B4" s="246">
        <v>45299</v>
      </c>
      <c r="C4" s="245">
        <f ca="1">IF(B4="","",NETWORKDAYS.INTL(B4,TODAY(),1,'HELPER(Dont Delete)'!A:A))</f>
        <v>479</v>
      </c>
      <c r="D4" s="245" t="str">
        <f t="shared" si="0"/>
        <v/>
      </c>
      <c r="E4" s="245" t="s">
        <v>52</v>
      </c>
      <c r="F4" s="245">
        <v>1</v>
      </c>
      <c r="G4" s="245" t="s">
        <v>32</v>
      </c>
      <c r="H4" s="245" t="s">
        <v>53</v>
      </c>
      <c r="I4" s="245" t="s">
        <v>34</v>
      </c>
      <c r="J4" s="245" t="s">
        <v>54</v>
      </c>
      <c r="K4" s="245" t="s">
        <v>55</v>
      </c>
      <c r="L4" s="245" t="s">
        <v>56</v>
      </c>
      <c r="M4" s="245"/>
      <c r="N4" s="245" t="s">
        <v>57</v>
      </c>
      <c r="O4" s="247">
        <v>0.1</v>
      </c>
      <c r="P4" s="245" t="s">
        <v>41</v>
      </c>
      <c r="Q4" s="245" t="s">
        <v>58</v>
      </c>
      <c r="R4" s="245" t="s">
        <v>59</v>
      </c>
      <c r="S4" s="248">
        <f t="shared" si="4"/>
        <v>45299</v>
      </c>
      <c r="T4" s="245"/>
      <c r="U4" s="245">
        <f>COUNTIFS('Candidate Tracker'!D:D,'Position Tracker'!E4,'Candidate Tracker'!V:V, "&lt;&gt;Screening Pending")</f>
        <v>11</v>
      </c>
      <c r="V4" s="245">
        <f>COUNTIFS('Candidate Tracker'!D:D,'Position Tracker'!E4,'Candidate Tracker'!V:V, "Screen Reject")</f>
        <v>2</v>
      </c>
      <c r="W4" s="245">
        <f t="shared" si="2"/>
        <v>9</v>
      </c>
      <c r="X4" s="247">
        <f t="shared" si="3"/>
        <v>0.81818181818181823</v>
      </c>
      <c r="Y4" s="245" t="s">
        <v>60</v>
      </c>
      <c r="Z4" s="248"/>
      <c r="AA4" s="245"/>
      <c r="AB4" s="245"/>
      <c r="AC4" s="245"/>
      <c r="AD4" s="248">
        <v>45425</v>
      </c>
      <c r="AE4" s="248">
        <v>45481</v>
      </c>
      <c r="AF4" s="245">
        <f>IF(OR(AD4="",B4=""),"",NETWORKDAYS.INTL(B4,AD4,1,'HELPER(Dont Delete)'!A:A))</f>
        <v>76</v>
      </c>
      <c r="AG4" s="245">
        <f>IF(OR(AD4="",B4=""),"",NETWORKDAYS.INTL(B4,AE4,1,'HELPER(Dont Delete)'!A:A))</f>
        <v>114</v>
      </c>
      <c r="AH4" s="245"/>
    </row>
    <row r="5" spans="1:36">
      <c r="A5" s="245">
        <v>4</v>
      </c>
      <c r="B5" s="246">
        <v>45327</v>
      </c>
      <c r="C5" s="245">
        <f ca="1">IF(B5="","",NETWORKDAYS.INTL(B5,TODAY(),1,'HELPER(Dont Delete)'!A:A))</f>
        <v>463</v>
      </c>
      <c r="D5" s="245" t="str">
        <f t="shared" si="0"/>
        <v/>
      </c>
      <c r="E5" s="245" t="s">
        <v>61</v>
      </c>
      <c r="F5" s="245">
        <v>1</v>
      </c>
      <c r="G5" s="245" t="s">
        <v>32</v>
      </c>
      <c r="H5" s="245" t="s">
        <v>45</v>
      </c>
      <c r="I5" s="245" t="s">
        <v>34</v>
      </c>
      <c r="J5" s="245" t="s">
        <v>54</v>
      </c>
      <c r="K5" s="245" t="s">
        <v>62</v>
      </c>
      <c r="L5" s="245" t="s">
        <v>63</v>
      </c>
      <c r="M5" s="245"/>
      <c r="N5" s="245" t="s">
        <v>49</v>
      </c>
      <c r="O5" s="247">
        <v>0.1</v>
      </c>
      <c r="P5" s="245" t="s">
        <v>50</v>
      </c>
      <c r="Q5" s="245" t="s">
        <v>64</v>
      </c>
      <c r="R5" s="245"/>
      <c r="S5" s="248">
        <f t="shared" si="4"/>
        <v>45327</v>
      </c>
      <c r="T5" s="245"/>
      <c r="U5" s="245">
        <f>COUNTIFS('Candidate Tracker'!D:D,'Position Tracker'!E5,'Candidate Tracker'!V:V, "&lt;&gt;Screening Pending")</f>
        <v>25</v>
      </c>
      <c r="V5" s="245">
        <f>COUNTIFS('Candidate Tracker'!D:D,'Position Tracker'!E5,'Candidate Tracker'!V:V, "Screen Reject")</f>
        <v>7</v>
      </c>
      <c r="W5" s="245">
        <f t="shared" si="2"/>
        <v>18</v>
      </c>
      <c r="X5" s="247">
        <f t="shared" si="3"/>
        <v>0.72</v>
      </c>
      <c r="Y5" s="245" t="s">
        <v>60</v>
      </c>
      <c r="Z5" s="248"/>
      <c r="AA5" s="245"/>
      <c r="AB5" s="245"/>
      <c r="AC5" s="245"/>
      <c r="AD5" s="248">
        <v>45369</v>
      </c>
      <c r="AE5" s="248">
        <v>45390</v>
      </c>
      <c r="AF5" s="245">
        <f>IF(OR(AD5="",B5=""),"",NETWORKDAYS.INTL(B5,AD5,1,'HELPER(Dont Delete)'!A:A))</f>
        <v>27</v>
      </c>
      <c r="AG5" s="245">
        <f>IF(OR(AD5="",B5=""),"",NETWORKDAYS.INTL(B5,AE5,1,'HELPER(Dont Delete)'!A:A))</f>
        <v>39</v>
      </c>
      <c r="AH5" s="245"/>
    </row>
    <row r="6" spans="1:36">
      <c r="A6" s="245">
        <v>5</v>
      </c>
      <c r="B6" s="246">
        <v>45356</v>
      </c>
      <c r="C6" s="245">
        <f ca="1">IF(B6="","",NETWORKDAYS.INTL(B6,TODAY(),1,'HELPER(Dont Delete)'!A:A))</f>
        <v>444</v>
      </c>
      <c r="D6" s="245" t="str">
        <f t="shared" si="0"/>
        <v/>
      </c>
      <c r="E6" s="245" t="s">
        <v>65</v>
      </c>
      <c r="F6" s="245">
        <v>1</v>
      </c>
      <c r="G6" s="245" t="s">
        <v>32</v>
      </c>
      <c r="H6" s="245" t="s">
        <v>45</v>
      </c>
      <c r="I6" s="245" t="s">
        <v>34</v>
      </c>
      <c r="J6" s="245" t="s">
        <v>54</v>
      </c>
      <c r="K6" s="245" t="s">
        <v>47</v>
      </c>
      <c r="L6" s="245" t="s">
        <v>48</v>
      </c>
      <c r="M6" s="245"/>
      <c r="N6" s="245" t="s">
        <v>49</v>
      </c>
      <c r="O6" s="247">
        <v>0.1</v>
      </c>
      <c r="P6" s="245" t="s">
        <v>50</v>
      </c>
      <c r="Q6" s="245" t="s">
        <v>66</v>
      </c>
      <c r="R6" s="245"/>
      <c r="S6" s="248">
        <f t="shared" si="4"/>
        <v>45356</v>
      </c>
      <c r="T6" s="245"/>
      <c r="U6" s="245">
        <f>COUNTIFS('Candidate Tracker'!D:D,'Position Tracker'!E6,'Candidate Tracker'!V:V, "&lt;&gt;Screening Pending")</f>
        <v>0</v>
      </c>
      <c r="V6" s="245">
        <f>COUNTIFS('Candidate Tracker'!D:D,'Position Tracker'!E6,'Candidate Tracker'!V:V, "Screen Reject")</f>
        <v>0</v>
      </c>
      <c r="W6" s="245">
        <f t="shared" si="2"/>
        <v>0</v>
      </c>
      <c r="X6" s="247">
        <f t="shared" si="3"/>
        <v>0</v>
      </c>
      <c r="Y6" s="245" t="s">
        <v>51</v>
      </c>
      <c r="Z6" s="248"/>
      <c r="AA6" s="245"/>
      <c r="AB6" s="245"/>
      <c r="AC6" s="245"/>
      <c r="AD6" s="248">
        <v>45397</v>
      </c>
      <c r="AE6" s="248">
        <v>45432</v>
      </c>
      <c r="AF6" s="245">
        <f>IF(OR(AD6="",B6=""),"",NETWORKDAYS.INTL(B6,AD6,1,'HELPER(Dont Delete)'!A:A))</f>
        <v>23</v>
      </c>
      <c r="AG6" s="245">
        <f>IF(OR(AD6="",B6=""),"",NETWORKDAYS.INTL(B6,AE6,1,'HELPER(Dont Delete)'!A:A))</f>
        <v>46</v>
      </c>
      <c r="AH6" s="245"/>
    </row>
    <row r="7" spans="1:36">
      <c r="A7" s="245">
        <v>6</v>
      </c>
      <c r="B7" s="246">
        <v>45356</v>
      </c>
      <c r="C7" s="245">
        <f ca="1">IF(B7="","",NETWORKDAYS.INTL(B7,TODAY(),1,'HELPER(Dont Delete)'!A:A))</f>
        <v>444</v>
      </c>
      <c r="D7" s="245" t="str">
        <f t="shared" si="0"/>
        <v/>
      </c>
      <c r="E7" s="245" t="s">
        <v>67</v>
      </c>
      <c r="F7" s="245">
        <v>1</v>
      </c>
      <c r="G7" s="245" t="s">
        <v>32</v>
      </c>
      <c r="H7" s="245" t="s">
        <v>45</v>
      </c>
      <c r="I7" s="245" t="s">
        <v>34</v>
      </c>
      <c r="J7" s="245" t="s">
        <v>35</v>
      </c>
      <c r="K7" s="245" t="s">
        <v>47</v>
      </c>
      <c r="L7" s="245" t="s">
        <v>48</v>
      </c>
      <c r="M7" s="245"/>
      <c r="N7" s="245" t="s">
        <v>49</v>
      </c>
      <c r="O7" s="247">
        <v>0.1</v>
      </c>
      <c r="P7" s="245" t="s">
        <v>50</v>
      </c>
      <c r="Q7" s="245" t="s">
        <v>68</v>
      </c>
      <c r="R7" s="245"/>
      <c r="S7" s="248">
        <f t="shared" si="4"/>
        <v>45356</v>
      </c>
      <c r="T7" s="245"/>
      <c r="U7" s="245">
        <f>COUNTIFS('Candidate Tracker'!D:D,'Position Tracker'!E7,'Candidate Tracker'!V:V, "&lt;&gt;Screening Pending")</f>
        <v>24</v>
      </c>
      <c r="V7" s="245">
        <f>COUNTIFS('Candidate Tracker'!D:D,'Position Tracker'!E7,'Candidate Tracker'!V:V, "Screen Reject")</f>
        <v>4</v>
      </c>
      <c r="W7" s="245">
        <f t="shared" si="2"/>
        <v>20</v>
      </c>
      <c r="X7" s="247">
        <f t="shared" si="3"/>
        <v>0.83333333333333337</v>
      </c>
      <c r="Y7" s="245" t="s">
        <v>51</v>
      </c>
      <c r="Z7" s="248"/>
      <c r="AA7" s="245"/>
      <c r="AB7" s="245"/>
      <c r="AC7" s="245"/>
      <c r="AD7" s="245"/>
      <c r="AE7" s="245"/>
      <c r="AF7" s="245" t="str">
        <f>IF(OR(AD7="",B7=""),"",NETWORKDAYS.INTL(B7,AD7,1,'HELPER(Dont Delete)'!A:A))</f>
        <v/>
      </c>
      <c r="AG7" s="245" t="str">
        <f>IF(OR(AD7="",B7=""),"",NETWORKDAYS.INTL(B7,AE7,1,'HELPER(Dont Delete)'!A:A))</f>
        <v/>
      </c>
      <c r="AH7" s="245"/>
    </row>
    <row r="8" spans="1:36">
      <c r="A8" s="245">
        <v>7</v>
      </c>
      <c r="B8" s="246">
        <v>45476</v>
      </c>
      <c r="C8" s="245">
        <f ca="1">IF(B8="","",NETWORKDAYS.INTL(B8,TODAY(),1,'HELPER(Dont Delete)'!A:A))-9</f>
        <v>360</v>
      </c>
      <c r="D8" s="245" t="str">
        <f t="shared" si="0"/>
        <v/>
      </c>
      <c r="E8" s="245" t="s">
        <v>69</v>
      </c>
      <c r="F8" s="245">
        <v>1</v>
      </c>
      <c r="G8" s="245" t="s">
        <v>32</v>
      </c>
      <c r="H8" s="245" t="s">
        <v>45</v>
      </c>
      <c r="I8" s="245" t="s">
        <v>34</v>
      </c>
      <c r="J8" s="245" t="s">
        <v>54</v>
      </c>
      <c r="K8" s="245" t="s">
        <v>47</v>
      </c>
      <c r="L8" s="245" t="s">
        <v>48</v>
      </c>
      <c r="M8" s="245"/>
      <c r="N8" s="245" t="s">
        <v>70</v>
      </c>
      <c r="O8" s="247">
        <v>0.1</v>
      </c>
      <c r="P8" s="245" t="s">
        <v>41</v>
      </c>
      <c r="Q8" s="245" t="s">
        <v>42</v>
      </c>
      <c r="R8" s="245" t="s">
        <v>71</v>
      </c>
      <c r="S8" s="248">
        <f t="shared" si="4"/>
        <v>45476</v>
      </c>
      <c r="T8" s="245"/>
      <c r="U8" s="245">
        <f>COUNTIFS('Candidate Tracker'!D:D,'Position Tracker'!E8,'Candidate Tracker'!V:V, "&lt;&gt;Screening Pending")</f>
        <v>20</v>
      </c>
      <c r="V8" s="245">
        <f>COUNTIFS('Candidate Tracker'!D:D,'Position Tracker'!E8,'Candidate Tracker'!V:V, "Screen Reject")</f>
        <v>3</v>
      </c>
      <c r="W8" s="245">
        <f t="shared" si="2"/>
        <v>17</v>
      </c>
      <c r="X8" s="247">
        <f t="shared" si="3"/>
        <v>0.85</v>
      </c>
      <c r="Y8" s="245" t="s">
        <v>51</v>
      </c>
      <c r="Z8" s="248"/>
      <c r="AA8" s="245"/>
      <c r="AB8" s="245"/>
      <c r="AC8" s="245"/>
      <c r="AD8" s="245"/>
      <c r="AE8" s="245"/>
      <c r="AF8" s="245" t="str">
        <f>IF(OR(AD8="",B8=""),"",NETWORKDAYS.INTL(B8,AD8,1,'HELPER(Dont Delete)'!A:A))</f>
        <v/>
      </c>
      <c r="AG8" s="245" t="str">
        <f>IF(OR(AD8="",B8=""),"",NETWORKDAYS.INTL(B8,AE8,1,'HELPER(Dont Delete)'!A:A))</f>
        <v/>
      </c>
      <c r="AH8" s="245"/>
    </row>
    <row r="9" spans="1:36">
      <c r="A9" s="245">
        <v>8</v>
      </c>
      <c r="B9" s="246">
        <v>45476</v>
      </c>
      <c r="C9" s="245">
        <f ca="1">IF(B9="","",NETWORKDAYS.INTL(B9,TODAY(),1,'HELPER(Dont Delete)'!A:A))</f>
        <v>369</v>
      </c>
      <c r="D9" s="245" t="str">
        <f t="shared" si="0"/>
        <v/>
      </c>
      <c r="E9" s="245" t="s">
        <v>72</v>
      </c>
      <c r="F9" s="245">
        <v>1</v>
      </c>
      <c r="G9" s="245" t="s">
        <v>32</v>
      </c>
      <c r="H9" s="245" t="s">
        <v>45</v>
      </c>
      <c r="I9" s="245" t="s">
        <v>34</v>
      </c>
      <c r="J9" s="245" t="s">
        <v>35</v>
      </c>
      <c r="K9" s="245" t="s">
        <v>73</v>
      </c>
      <c r="L9" s="245" t="s">
        <v>74</v>
      </c>
      <c r="M9" s="245"/>
      <c r="N9" s="245" t="s">
        <v>75</v>
      </c>
      <c r="O9" s="247">
        <v>0.1</v>
      </c>
      <c r="P9" s="245" t="s">
        <v>41</v>
      </c>
      <c r="Q9" s="245" t="s">
        <v>76</v>
      </c>
      <c r="R9" s="245"/>
      <c r="S9" s="248">
        <f t="shared" si="4"/>
        <v>45476</v>
      </c>
      <c r="T9" s="245"/>
      <c r="U9" s="245">
        <f>COUNTIFS('Candidate Tracker'!D:D,'Position Tracker'!E9,'Candidate Tracker'!V:V, "&lt;&gt;Screening Pending")</f>
        <v>8</v>
      </c>
      <c r="V9" s="245">
        <f>COUNTIFS('Candidate Tracker'!D:D,'Position Tracker'!E9,'Candidate Tracker'!V:V, "Screen Reject")</f>
        <v>1</v>
      </c>
      <c r="W9" s="245">
        <f t="shared" si="2"/>
        <v>7</v>
      </c>
      <c r="X9" s="247">
        <f t="shared" si="3"/>
        <v>0.875</v>
      </c>
      <c r="Y9" s="245" t="s">
        <v>51</v>
      </c>
      <c r="Z9" s="248"/>
      <c r="AA9" s="245"/>
      <c r="AB9" s="245"/>
      <c r="AC9" s="245"/>
      <c r="AD9" s="245"/>
      <c r="AE9" s="245"/>
      <c r="AF9" s="245" t="str">
        <f>IF(OR(AD9="",B9=""),"",NETWORKDAYS.INTL(B9,AD9,1,'HELPER(Dont Delete)'!A:A))</f>
        <v/>
      </c>
      <c r="AG9" s="245" t="str">
        <f>IF(OR(AD9="",B9=""),"",NETWORKDAYS.INTL(B9,AE9,1,'HELPER(Dont Delete)'!A:A))</f>
        <v/>
      </c>
      <c r="AH9" s="245"/>
    </row>
    <row r="10" spans="1:36">
      <c r="A10" s="245">
        <v>9</v>
      </c>
      <c r="B10" s="246">
        <v>45548</v>
      </c>
      <c r="C10" s="245">
        <f ca="1">IF(B10="","",NETWORKDAYS.INTL(B10,TODAY(),1,'HELPER(Dont Delete)'!A:A))</f>
        <v>321</v>
      </c>
      <c r="D10" s="245" t="str">
        <f t="shared" si="0"/>
        <v/>
      </c>
      <c r="E10" s="245" t="s">
        <v>77</v>
      </c>
      <c r="F10" s="245">
        <v>1</v>
      </c>
      <c r="G10" s="245" t="s">
        <v>32</v>
      </c>
      <c r="H10" s="245" t="s">
        <v>45</v>
      </c>
      <c r="I10" s="245" t="s">
        <v>34</v>
      </c>
      <c r="J10" s="245" t="s">
        <v>54</v>
      </c>
      <c r="K10" s="245" t="s">
        <v>47</v>
      </c>
      <c r="L10" s="245" t="s">
        <v>48</v>
      </c>
      <c r="M10" s="245"/>
      <c r="N10" s="245" t="s">
        <v>78</v>
      </c>
      <c r="O10" s="247">
        <v>0.1</v>
      </c>
      <c r="P10" s="245" t="s">
        <v>41</v>
      </c>
      <c r="Q10" s="245" t="s">
        <v>79</v>
      </c>
      <c r="R10" s="245"/>
      <c r="S10" s="248">
        <f t="shared" si="4"/>
        <v>45548</v>
      </c>
      <c r="T10" s="245"/>
      <c r="U10" s="245">
        <f>COUNTIFS('Candidate Tracker'!D:D,'Position Tracker'!E10,'Candidate Tracker'!V:V, "&lt;&gt;Screening Pending")</f>
        <v>4</v>
      </c>
      <c r="V10" s="245">
        <f>COUNTIFS('Candidate Tracker'!D:D,'Position Tracker'!E10,'Candidate Tracker'!V:V, "Screen Reject")</f>
        <v>0</v>
      </c>
      <c r="W10" s="245">
        <f t="shared" si="2"/>
        <v>4</v>
      </c>
      <c r="X10" s="247" t="str">
        <f t="shared" si="3"/>
        <v>100%</v>
      </c>
      <c r="Y10" s="245" t="s">
        <v>51</v>
      </c>
      <c r="Z10" s="248"/>
      <c r="AA10" s="245"/>
      <c r="AB10" s="245"/>
      <c r="AC10" s="245"/>
      <c r="AD10" s="245"/>
      <c r="AE10" s="245"/>
      <c r="AF10" s="245" t="str">
        <f>IF(OR(AD10="",B10=""),"",NETWORKDAYS.INTL(B10,AD10,1,'HELPER(Dont Delete)'!A:A))</f>
        <v/>
      </c>
      <c r="AG10" s="245" t="str">
        <f>IF(OR(AD10="",B10=""),"",NETWORKDAYS.INTL(B10,AE10,1,'HELPER(Dont Delete)'!A:A))</f>
        <v/>
      </c>
      <c r="AH10" s="245"/>
    </row>
    <row r="11" spans="1:36">
      <c r="A11" s="245">
        <v>10</v>
      </c>
      <c r="B11" s="246">
        <v>45551</v>
      </c>
      <c r="C11" s="245">
        <f ca="1">IF(B11="","",NETWORKDAYS.INTL(B11,TODAY(),1,'HELPER(Dont Delete)'!A:A))</f>
        <v>320</v>
      </c>
      <c r="D11" s="245" t="str">
        <f t="shared" si="0"/>
        <v/>
      </c>
      <c r="E11" s="245" t="s">
        <v>80</v>
      </c>
      <c r="F11" s="245">
        <v>1</v>
      </c>
      <c r="G11" s="245" t="s">
        <v>32</v>
      </c>
      <c r="H11" s="245" t="s">
        <v>45</v>
      </c>
      <c r="I11" s="245" t="s">
        <v>34</v>
      </c>
      <c r="J11" s="245" t="s">
        <v>54</v>
      </c>
      <c r="K11" s="245" t="s">
        <v>62</v>
      </c>
      <c r="L11" s="245" t="s">
        <v>81</v>
      </c>
      <c r="M11" s="245"/>
      <c r="N11" s="245" t="s">
        <v>82</v>
      </c>
      <c r="O11" s="247">
        <v>0.1</v>
      </c>
      <c r="P11" s="245" t="s">
        <v>83</v>
      </c>
      <c r="Q11" s="245" t="s">
        <v>68</v>
      </c>
      <c r="R11" s="245"/>
      <c r="S11" s="248">
        <f t="shared" si="4"/>
        <v>45551</v>
      </c>
      <c r="T11" s="245"/>
      <c r="U11" s="245">
        <f>COUNTIFS('Candidate Tracker'!D:D,'Position Tracker'!E11,'Candidate Tracker'!V:V, "&lt;&gt;Screening Pending")</f>
        <v>14</v>
      </c>
      <c r="V11" s="245">
        <f>COUNTIFS('Candidate Tracker'!D:D,'Position Tracker'!E11,'Candidate Tracker'!V:V, "Screen Reject")</f>
        <v>3</v>
      </c>
      <c r="W11" s="245">
        <f t="shared" si="2"/>
        <v>11</v>
      </c>
      <c r="X11" s="247">
        <f t="shared" si="3"/>
        <v>0.7857142857142857</v>
      </c>
      <c r="Y11" s="245" t="s">
        <v>60</v>
      </c>
      <c r="Z11" s="248"/>
      <c r="AA11" s="245"/>
      <c r="AB11" s="245"/>
      <c r="AC11" s="245"/>
      <c r="AD11" s="245"/>
      <c r="AE11" s="245"/>
      <c r="AF11" s="245" t="str">
        <f>IF(OR(AD11="",B11=""),"",NETWORKDAYS.INTL(B11,AD11,1,'HELPER(Dont Delete)'!A:A))</f>
        <v/>
      </c>
      <c r="AG11" s="245" t="str">
        <f>IF(OR(AD11="",B11=""),"",NETWORKDAYS.INTL(B11,AE11,1,'HELPER(Dont Delete)'!A:A))</f>
        <v/>
      </c>
      <c r="AH11" s="245"/>
    </row>
    <row r="12" spans="1:36">
      <c r="A12" s="245">
        <v>11</v>
      </c>
      <c r="B12" s="246">
        <v>45593</v>
      </c>
      <c r="C12" s="245">
        <f ca="1">IF(B12="","",NETWORKDAYS.INTL(B12,TODAY(),1,'HELPER(Dont Delete)'!A:A))</f>
        <v>295</v>
      </c>
      <c r="D12" s="245" t="str">
        <f t="shared" si="0"/>
        <v/>
      </c>
      <c r="E12" s="245" t="s">
        <v>84</v>
      </c>
      <c r="F12" s="245">
        <v>1</v>
      </c>
      <c r="G12" s="245" t="s">
        <v>32</v>
      </c>
      <c r="H12" s="245" t="s">
        <v>45</v>
      </c>
      <c r="I12" s="245" t="s">
        <v>34</v>
      </c>
      <c r="J12" s="245" t="s">
        <v>35</v>
      </c>
      <c r="K12" s="245" t="s">
        <v>85</v>
      </c>
      <c r="L12" s="245" t="s">
        <v>86</v>
      </c>
      <c r="M12" s="245"/>
      <c r="N12" s="245" t="s">
        <v>87</v>
      </c>
      <c r="O12" s="247">
        <v>0.2</v>
      </c>
      <c r="P12" s="245" t="s">
        <v>41</v>
      </c>
      <c r="Q12" s="245" t="s">
        <v>42</v>
      </c>
      <c r="R12" s="245" t="s">
        <v>88</v>
      </c>
      <c r="S12" s="248">
        <f t="shared" si="4"/>
        <v>45593</v>
      </c>
      <c r="T12" s="245"/>
      <c r="U12" s="245">
        <f>COUNTIFS('Candidate Tracker'!D:D,'Position Tracker'!E12,'Candidate Tracker'!V:V, "&lt;&gt;Screening Pending")</f>
        <v>8</v>
      </c>
      <c r="V12" s="245">
        <f>COUNTIFS('Candidate Tracker'!D:D,'Position Tracker'!E12,'Candidate Tracker'!V:V, "Screen Reject")</f>
        <v>1</v>
      </c>
      <c r="W12" s="245">
        <f t="shared" si="2"/>
        <v>7</v>
      </c>
      <c r="X12" s="247">
        <f t="shared" si="3"/>
        <v>0.875</v>
      </c>
      <c r="Y12" s="245" t="s">
        <v>43</v>
      </c>
      <c r="Z12" s="245"/>
      <c r="AA12" s="245"/>
      <c r="AB12" s="245"/>
      <c r="AC12" s="245"/>
      <c r="AD12" s="245"/>
      <c r="AE12" s="245"/>
      <c r="AF12" s="245"/>
      <c r="AG12" s="245"/>
      <c r="AH12" s="245"/>
    </row>
    <row r="13" spans="1:36">
      <c r="A13" s="245">
        <v>12</v>
      </c>
      <c r="B13" s="246">
        <v>45629</v>
      </c>
      <c r="C13" s="245">
        <f ca="1">IF(B13="","",NETWORKDAYS.INTL(B13,TODAY(),1,'HELPER(Dont Delete)'!A:A))</f>
        <v>272</v>
      </c>
      <c r="D13" s="245" t="str">
        <f t="shared" si="0"/>
        <v/>
      </c>
      <c r="E13" s="245" t="s">
        <v>89</v>
      </c>
      <c r="F13" s="245">
        <v>1</v>
      </c>
      <c r="G13" s="245" t="s">
        <v>32</v>
      </c>
      <c r="H13" s="245" t="s">
        <v>45</v>
      </c>
      <c r="I13" s="245" t="s">
        <v>34</v>
      </c>
      <c r="J13" s="245" t="s">
        <v>54</v>
      </c>
      <c r="K13" s="245" t="s">
        <v>62</v>
      </c>
      <c r="L13" s="245" t="s">
        <v>90</v>
      </c>
      <c r="M13" s="245"/>
      <c r="N13" s="245" t="s">
        <v>82</v>
      </c>
      <c r="O13" s="247">
        <v>0.1</v>
      </c>
      <c r="P13" s="245" t="s">
        <v>41</v>
      </c>
      <c r="Q13" s="245" t="s">
        <v>42</v>
      </c>
      <c r="R13" s="245" t="s">
        <v>91</v>
      </c>
      <c r="S13" s="248">
        <f t="shared" si="4"/>
        <v>45629</v>
      </c>
      <c r="T13" s="245">
        <v>2032</v>
      </c>
      <c r="U13" s="245">
        <f>COUNTIFS('Candidate Tracker'!D:D,'Position Tracker'!E13,'Candidate Tracker'!V:V, "&lt;&gt;Screening Pending")</f>
        <v>8</v>
      </c>
      <c r="V13" s="245">
        <f>COUNTIFS('Candidate Tracker'!D:D,'Position Tracker'!E13,'Candidate Tracker'!V:V, "Screen Reject")</f>
        <v>1</v>
      </c>
      <c r="W13" s="245">
        <f t="shared" si="2"/>
        <v>7</v>
      </c>
      <c r="X13" s="247">
        <f t="shared" si="3"/>
        <v>0.875</v>
      </c>
      <c r="Y13" s="245" t="s">
        <v>60</v>
      </c>
      <c r="Z13" s="245"/>
      <c r="AA13" s="245"/>
      <c r="AB13" s="245"/>
      <c r="AC13" s="245"/>
      <c r="AD13" s="245"/>
      <c r="AE13" s="245"/>
      <c r="AF13" s="245"/>
      <c r="AG13" s="245"/>
      <c r="AH13" s="245"/>
    </row>
    <row r="14" spans="1:36">
      <c r="A14" s="245">
        <v>13</v>
      </c>
      <c r="B14" s="246">
        <v>45628</v>
      </c>
      <c r="C14" s="245">
        <f ca="1">IF(B14="","",NETWORKDAYS.INTL(B14,TODAY(),1,'HELPER(Dont Delete)'!A:A))</f>
        <v>273</v>
      </c>
      <c r="D14" s="245" t="str">
        <f t="shared" si="0"/>
        <v/>
      </c>
      <c r="E14" s="245" t="s">
        <v>92</v>
      </c>
      <c r="F14" s="245">
        <v>1</v>
      </c>
      <c r="G14" s="245" t="s">
        <v>32</v>
      </c>
      <c r="H14" s="245" t="s">
        <v>45</v>
      </c>
      <c r="I14" s="245" t="s">
        <v>34</v>
      </c>
      <c r="J14" s="245" t="s">
        <v>54</v>
      </c>
      <c r="K14" s="245" t="s">
        <v>73</v>
      </c>
      <c r="L14" s="249" t="s">
        <v>93</v>
      </c>
      <c r="M14" s="245" t="s">
        <v>94</v>
      </c>
      <c r="N14" s="245" t="s">
        <v>75</v>
      </c>
      <c r="O14" s="247">
        <v>0.1</v>
      </c>
      <c r="P14" s="245" t="s">
        <v>41</v>
      </c>
      <c r="Q14" s="245" t="s">
        <v>95</v>
      </c>
      <c r="R14" s="245"/>
      <c r="S14" s="248">
        <f t="shared" si="4"/>
        <v>45628</v>
      </c>
      <c r="T14" s="245">
        <v>2031</v>
      </c>
      <c r="U14" s="245">
        <f>COUNTIFS('Candidate Tracker'!D:D,'Position Tracker'!E14,'Candidate Tracker'!V:V, "&lt;&gt;Screening Pending")</f>
        <v>4</v>
      </c>
      <c r="V14" s="245">
        <f>COUNTIFS('Candidate Tracker'!D:D,'Position Tracker'!E14,'Candidate Tracker'!V:V, "Screen Reject")</f>
        <v>1</v>
      </c>
      <c r="W14" s="245">
        <f t="shared" si="2"/>
        <v>3</v>
      </c>
      <c r="X14" s="247">
        <f t="shared" si="3"/>
        <v>0.75</v>
      </c>
      <c r="Y14" s="245" t="s">
        <v>51</v>
      </c>
      <c r="Z14" s="245"/>
      <c r="AA14" s="245"/>
      <c r="AB14" s="245"/>
      <c r="AC14" s="245"/>
      <c r="AD14" s="245"/>
      <c r="AE14" s="245"/>
      <c r="AF14" s="245"/>
      <c r="AG14" s="245"/>
      <c r="AH14" s="245"/>
    </row>
    <row r="15" spans="1:36">
      <c r="A15" s="245">
        <v>14</v>
      </c>
      <c r="B15" s="246">
        <v>45750</v>
      </c>
      <c r="C15" s="245">
        <f ca="1">IF(B15="","",NETWORKDAYS.INTL(B15,TODAY(),1,'HELPER(Dont Delete)'!A:A))</f>
        <v>187</v>
      </c>
      <c r="D15" s="245" t="str">
        <f t="shared" si="0"/>
        <v/>
      </c>
      <c r="E15" s="245" t="s">
        <v>96</v>
      </c>
      <c r="F15" s="245">
        <v>3</v>
      </c>
      <c r="G15" s="245" t="s">
        <v>32</v>
      </c>
      <c r="H15" s="245" t="s">
        <v>97</v>
      </c>
      <c r="I15" s="245" t="s">
        <v>34</v>
      </c>
      <c r="J15" s="245" t="s">
        <v>35</v>
      </c>
      <c r="K15" s="245" t="s">
        <v>47</v>
      </c>
      <c r="L15" s="245" t="s">
        <v>98</v>
      </c>
      <c r="M15" s="245" t="s">
        <v>94</v>
      </c>
      <c r="N15" s="245" t="s">
        <v>99</v>
      </c>
      <c r="O15" s="247">
        <v>0.1</v>
      </c>
      <c r="P15" s="245" t="s">
        <v>41</v>
      </c>
      <c r="Q15" s="245" t="s">
        <v>68</v>
      </c>
      <c r="R15" s="245" t="s">
        <v>100</v>
      </c>
      <c r="S15" s="248">
        <f t="shared" ref="S15:S17" si="5">B15</f>
        <v>45750</v>
      </c>
      <c r="T15" s="245">
        <v>2321</v>
      </c>
      <c r="U15" s="245">
        <f>COUNTIFS('Candidate Tracker'!D:D,'Position Tracker'!E15,'Candidate Tracker'!V:V, "&lt;&gt;Screening Pending")</f>
        <v>25</v>
      </c>
      <c r="V15" s="245">
        <f>COUNTIFS('Candidate Tracker'!D:D,'Position Tracker'!E15,'Candidate Tracker'!V:V, "Screen Reject")</f>
        <v>13</v>
      </c>
      <c r="W15" s="245">
        <f t="shared" ref="W15:W17" si="6">U15-V15</f>
        <v>12</v>
      </c>
      <c r="X15" s="247">
        <f t="shared" ref="X15:X17" si="7">IFERROR(IF(U15=0,0,IF(V15=0,"100%",W15/U15)),"")</f>
        <v>0.48</v>
      </c>
      <c r="Y15" s="245" t="s">
        <v>51</v>
      </c>
      <c r="Z15" s="245"/>
      <c r="AA15" s="245"/>
      <c r="AB15" s="245"/>
      <c r="AC15" s="250">
        <v>45771</v>
      </c>
      <c r="AD15" s="245"/>
      <c r="AE15" s="245"/>
      <c r="AF15" s="245"/>
      <c r="AG15" s="245"/>
      <c r="AH15" s="245" t="s">
        <v>101</v>
      </c>
    </row>
    <row r="16" spans="1:36">
      <c r="A16" s="245">
        <v>15</v>
      </c>
      <c r="B16" s="246">
        <v>45659</v>
      </c>
      <c r="C16" s="245">
        <f ca="1">IF(B16="","",NETWORKDAYS.INTL(B16,TODAY(),1,'HELPER(Dont Delete)'!A:A))</f>
        <v>252</v>
      </c>
      <c r="D16" s="245" t="str">
        <f t="shared" si="0"/>
        <v/>
      </c>
      <c r="E16" s="245" t="s">
        <v>102</v>
      </c>
      <c r="F16" s="245">
        <v>1</v>
      </c>
      <c r="G16" s="245" t="s">
        <v>32</v>
      </c>
      <c r="H16" s="245" t="s">
        <v>103</v>
      </c>
      <c r="I16" s="245" t="s">
        <v>34</v>
      </c>
      <c r="J16" s="245" t="s">
        <v>54</v>
      </c>
      <c r="K16" s="245" t="s">
        <v>73</v>
      </c>
      <c r="L16" s="245" t="s">
        <v>104</v>
      </c>
      <c r="M16" s="245" t="s">
        <v>105</v>
      </c>
      <c r="N16" s="245" t="s">
        <v>106</v>
      </c>
      <c r="O16" s="247">
        <v>0.1</v>
      </c>
      <c r="P16" s="245" t="s">
        <v>41</v>
      </c>
      <c r="Q16" s="245" t="s">
        <v>42</v>
      </c>
      <c r="R16" s="245"/>
      <c r="S16" s="248">
        <f t="shared" si="5"/>
        <v>45659</v>
      </c>
      <c r="T16" s="245">
        <v>2074</v>
      </c>
      <c r="U16" s="245">
        <f>COUNTIFS('Candidate Tracker'!D:D,'Position Tracker'!E16,'Candidate Tracker'!V:V, "&lt;&gt;Screening Pending")</f>
        <v>7</v>
      </c>
      <c r="V16" s="245">
        <f>COUNTIFS('Candidate Tracker'!D:D,'Position Tracker'!E16,'Candidate Tracker'!V:V, "Screen Reject")</f>
        <v>1</v>
      </c>
      <c r="W16" s="245">
        <f t="shared" si="6"/>
        <v>6</v>
      </c>
      <c r="X16" s="247">
        <f t="shared" si="7"/>
        <v>0.8571428571428571</v>
      </c>
      <c r="Y16" s="245" t="s">
        <v>51</v>
      </c>
      <c r="Z16" s="245"/>
      <c r="AA16" s="245"/>
      <c r="AB16" s="245"/>
      <c r="AC16" s="245"/>
      <c r="AD16" s="245"/>
      <c r="AE16" s="245"/>
      <c r="AF16" s="245"/>
      <c r="AG16" s="245"/>
      <c r="AH16" s="245"/>
    </row>
    <row r="17" spans="1:38">
      <c r="A17" s="245">
        <v>16</v>
      </c>
      <c r="B17" s="246">
        <v>45685</v>
      </c>
      <c r="C17" s="245">
        <f ca="1">IF(B17="","",NETWORKDAYS.INTL(B17,TODAY(),1,'HELPER(Dont Delete)'!A:A))</f>
        <v>234</v>
      </c>
      <c r="D17" s="245" t="str">
        <f t="shared" si="0"/>
        <v/>
      </c>
      <c r="E17" s="245" t="s">
        <v>107</v>
      </c>
      <c r="F17" s="245">
        <v>1</v>
      </c>
      <c r="G17" s="245" t="s">
        <v>32</v>
      </c>
      <c r="H17" s="245" t="s">
        <v>108</v>
      </c>
      <c r="I17" s="245" t="s">
        <v>34</v>
      </c>
      <c r="J17" s="245" t="s">
        <v>54</v>
      </c>
      <c r="K17" s="245" t="s">
        <v>73</v>
      </c>
      <c r="L17" s="245" t="s">
        <v>104</v>
      </c>
      <c r="M17" s="245" t="s">
        <v>105</v>
      </c>
      <c r="N17" s="245" t="s">
        <v>75</v>
      </c>
      <c r="O17" s="247">
        <v>0.1</v>
      </c>
      <c r="P17" s="245" t="s">
        <v>41</v>
      </c>
      <c r="Q17" s="245" t="s">
        <v>42</v>
      </c>
      <c r="R17" s="245"/>
      <c r="S17" s="248">
        <f t="shared" si="5"/>
        <v>45685</v>
      </c>
      <c r="T17" s="245">
        <v>2131</v>
      </c>
      <c r="U17" s="245">
        <f>COUNTIFS('Candidate Tracker'!D:D,'Position Tracker'!E17,'Candidate Tracker'!V:V, "&lt;&gt;Screening Pending")</f>
        <v>20</v>
      </c>
      <c r="V17" s="245">
        <f>COUNTIFS('Candidate Tracker'!D:D,'Position Tracker'!E17,'Candidate Tracker'!V:V, "Screen Reject")</f>
        <v>5</v>
      </c>
      <c r="W17" s="245">
        <f t="shared" si="6"/>
        <v>15</v>
      </c>
      <c r="X17" s="247">
        <f t="shared" si="7"/>
        <v>0.75</v>
      </c>
      <c r="Y17" s="245" t="s">
        <v>51</v>
      </c>
      <c r="Z17" s="245"/>
      <c r="AA17" s="245"/>
      <c r="AB17" s="245"/>
      <c r="AC17" s="245"/>
      <c r="AD17" s="245"/>
      <c r="AE17" s="245"/>
      <c r="AF17" s="245"/>
      <c r="AG17" s="245"/>
      <c r="AH17" s="245" t="s">
        <v>109</v>
      </c>
      <c r="AK17" s="251">
        <v>45792</v>
      </c>
      <c r="AL17" s="244">
        <f>AK17-B17</f>
        <v>107</v>
      </c>
    </row>
    <row r="18" spans="1:38">
      <c r="A18" s="245">
        <v>17</v>
      </c>
      <c r="B18" s="246">
        <v>45742</v>
      </c>
      <c r="C18" s="245">
        <f ca="1">IF(B18="","",NETWORKDAYS.INTL(B18,TODAY(),1,'HELPER(Dont Delete)'!A:A))</f>
        <v>193</v>
      </c>
      <c r="D18" s="245" t="str">
        <f t="shared" si="0"/>
        <v/>
      </c>
      <c r="E18" s="245" t="s">
        <v>110</v>
      </c>
      <c r="F18" s="245">
        <v>1</v>
      </c>
      <c r="G18" s="245" t="s">
        <v>111</v>
      </c>
      <c r="H18" s="245" t="s">
        <v>112</v>
      </c>
      <c r="I18" s="245" t="s">
        <v>34</v>
      </c>
      <c r="J18" s="245" t="s">
        <v>54</v>
      </c>
      <c r="K18" s="245" t="s">
        <v>62</v>
      </c>
      <c r="L18" s="245" t="s">
        <v>113</v>
      </c>
      <c r="M18" s="245"/>
      <c r="N18" s="245" t="s">
        <v>57</v>
      </c>
      <c r="O18" s="247">
        <v>0.1</v>
      </c>
      <c r="P18" s="245" t="s">
        <v>41</v>
      </c>
      <c r="Q18" s="245" t="s">
        <v>42</v>
      </c>
      <c r="R18" s="245"/>
      <c r="S18" s="248">
        <f t="shared" ref="S18:S25" si="8">B18</f>
        <v>45742</v>
      </c>
      <c r="T18" s="245">
        <v>2289</v>
      </c>
      <c r="U18" s="245">
        <f>COUNTIFS('Candidate Tracker'!D:D,'Position Tracker'!E18,'Candidate Tracker'!V:V, "&lt;&gt;Screening Pending")</f>
        <v>21</v>
      </c>
      <c r="V18" s="245">
        <f>COUNTIFS('Candidate Tracker'!D:D,'Position Tracker'!E18,'Candidate Tracker'!V:V, "Screen Reject")</f>
        <v>2</v>
      </c>
      <c r="W18" s="245">
        <f t="shared" ref="W18:W25" si="9">U18-V18</f>
        <v>19</v>
      </c>
      <c r="X18" s="247">
        <f t="shared" ref="X18:X25" si="10">IFERROR(IF(U18=0,0,IF(V18=0,"100%",W18/U18)),"")</f>
        <v>0.90476190476190477</v>
      </c>
      <c r="Y18" s="245" t="s">
        <v>51</v>
      </c>
      <c r="Z18" s="245"/>
      <c r="AA18" s="245"/>
      <c r="AB18" s="245"/>
      <c r="AC18" s="245"/>
      <c r="AD18" s="245"/>
      <c r="AE18" s="245"/>
      <c r="AF18" s="245"/>
      <c r="AG18" s="245"/>
      <c r="AH18" s="245"/>
    </row>
    <row r="19" spans="1:38" ht="15.75" customHeight="1">
      <c r="A19" s="245">
        <v>18</v>
      </c>
      <c r="B19" s="246">
        <v>45743</v>
      </c>
      <c r="C19" s="245">
        <f ca="1">IF(B19="","",NETWORKDAYS.INTL(B19,TODAY(),1,'HELPER(Dont Delete)'!A:A))</f>
        <v>192</v>
      </c>
      <c r="D19" s="245" t="str">
        <f t="shared" si="0"/>
        <v/>
      </c>
      <c r="E19" s="245" t="s">
        <v>114</v>
      </c>
      <c r="F19" s="245">
        <v>1</v>
      </c>
      <c r="G19" s="245" t="s">
        <v>111</v>
      </c>
      <c r="H19" s="245" t="s">
        <v>115</v>
      </c>
      <c r="I19" s="245" t="s">
        <v>34</v>
      </c>
      <c r="J19" s="245" t="s">
        <v>54</v>
      </c>
      <c r="K19" s="245" t="s">
        <v>62</v>
      </c>
      <c r="L19" s="245" t="s">
        <v>116</v>
      </c>
      <c r="M19" s="245"/>
      <c r="N19" s="245" t="s">
        <v>117</v>
      </c>
      <c r="O19" s="247">
        <v>0.1</v>
      </c>
      <c r="P19" s="245" t="s">
        <v>41</v>
      </c>
      <c r="Q19" s="245" t="s">
        <v>42</v>
      </c>
      <c r="R19" s="245"/>
      <c r="S19" s="248">
        <f t="shared" si="8"/>
        <v>45743</v>
      </c>
      <c r="T19" s="245">
        <v>2297</v>
      </c>
      <c r="U19" s="245">
        <f>COUNTIFS('Candidate Tracker'!D:D,'Position Tracker'!E19,'Candidate Tracker'!V:V, "&lt;&gt;Screening Pending")</f>
        <v>7</v>
      </c>
      <c r="V19" s="245">
        <f>COUNTIFS('Candidate Tracker'!D:D,'Position Tracker'!E19,'Candidate Tracker'!V:V, "Screen Reject")</f>
        <v>2</v>
      </c>
      <c r="W19" s="245">
        <f t="shared" si="9"/>
        <v>5</v>
      </c>
      <c r="X19" s="247">
        <f t="shared" si="10"/>
        <v>0.7142857142857143</v>
      </c>
      <c r="Y19" s="245" t="s">
        <v>51</v>
      </c>
      <c r="Z19" s="245"/>
      <c r="AA19" s="245"/>
      <c r="AB19" s="245"/>
      <c r="AC19" s="245"/>
      <c r="AD19" s="245"/>
      <c r="AE19" s="245"/>
      <c r="AF19" s="245"/>
      <c r="AG19" s="245"/>
      <c r="AH19" s="245"/>
    </row>
    <row r="20" spans="1:38">
      <c r="A20" s="245">
        <v>19</v>
      </c>
      <c r="B20" s="246">
        <v>45743</v>
      </c>
      <c r="C20" s="245">
        <f ca="1">IF(B20="","",NETWORKDAYS.INTL(B20,TODAY(),1,'HELPER(Dont Delete)'!A:A))</f>
        <v>192</v>
      </c>
      <c r="D20" s="245" t="str">
        <f t="shared" si="0"/>
        <v/>
      </c>
      <c r="E20" s="245" t="s">
        <v>118</v>
      </c>
      <c r="F20" s="245">
        <v>1</v>
      </c>
      <c r="G20" s="245" t="s">
        <v>111</v>
      </c>
      <c r="H20" s="245" t="s">
        <v>119</v>
      </c>
      <c r="I20" s="245" t="s">
        <v>34</v>
      </c>
      <c r="J20" s="245" t="s">
        <v>54</v>
      </c>
      <c r="K20" s="245" t="s">
        <v>73</v>
      </c>
      <c r="L20" s="245" t="s">
        <v>104</v>
      </c>
      <c r="M20" s="245" t="s">
        <v>120</v>
      </c>
      <c r="N20" s="245" t="s">
        <v>121</v>
      </c>
      <c r="O20" s="247">
        <v>0.1</v>
      </c>
      <c r="P20" s="245" t="s">
        <v>41</v>
      </c>
      <c r="Q20" s="245" t="s">
        <v>42</v>
      </c>
      <c r="R20" s="245"/>
      <c r="S20" s="248">
        <f t="shared" si="8"/>
        <v>45743</v>
      </c>
      <c r="T20" s="245">
        <v>2295</v>
      </c>
      <c r="U20" s="245">
        <f>COUNTIFS('Candidate Tracker'!D:D,'Position Tracker'!E20,'Candidate Tracker'!V:V, "&lt;&gt;Screening Pending")</f>
        <v>9</v>
      </c>
      <c r="V20" s="245">
        <f>COUNTIFS('Candidate Tracker'!D:D,'Position Tracker'!E20,'Candidate Tracker'!V:V, "Screen Reject")</f>
        <v>1</v>
      </c>
      <c r="W20" s="245">
        <f t="shared" si="9"/>
        <v>8</v>
      </c>
      <c r="X20" s="247">
        <f t="shared" si="10"/>
        <v>0.88888888888888884</v>
      </c>
      <c r="Y20" s="245" t="s">
        <v>51</v>
      </c>
      <c r="Z20" s="245"/>
      <c r="AA20" s="245"/>
      <c r="AB20" s="245"/>
      <c r="AC20" s="245"/>
      <c r="AD20" s="245"/>
      <c r="AE20" s="245"/>
      <c r="AF20" s="245"/>
      <c r="AG20" s="245"/>
      <c r="AH20" s="245"/>
    </row>
    <row r="21" spans="1:38">
      <c r="A21" s="245">
        <v>20</v>
      </c>
      <c r="B21" s="246">
        <v>45743</v>
      </c>
      <c r="C21" s="245">
        <f ca="1">IF(B21="","",NETWORKDAYS.INTL(B21,TODAY(),1,'HELPER(Dont Delete)'!A:A))</f>
        <v>192</v>
      </c>
      <c r="D21" s="245" t="str">
        <f t="shared" si="0"/>
        <v/>
      </c>
      <c r="E21" s="245" t="s">
        <v>122</v>
      </c>
      <c r="F21" s="245">
        <v>1</v>
      </c>
      <c r="G21" s="245" t="s">
        <v>111</v>
      </c>
      <c r="H21" s="245" t="s">
        <v>123</v>
      </c>
      <c r="I21" s="245" t="s">
        <v>34</v>
      </c>
      <c r="J21" s="245" t="s">
        <v>35</v>
      </c>
      <c r="K21" s="245" t="s">
        <v>62</v>
      </c>
      <c r="L21" s="245" t="s">
        <v>116</v>
      </c>
      <c r="M21" s="245"/>
      <c r="N21" s="245" t="s">
        <v>124</v>
      </c>
      <c r="O21" s="247">
        <v>0.1</v>
      </c>
      <c r="P21" s="245" t="s">
        <v>41</v>
      </c>
      <c r="Q21" s="245" t="s">
        <v>42</v>
      </c>
      <c r="R21" s="245"/>
      <c r="S21" s="248">
        <f t="shared" si="8"/>
        <v>45743</v>
      </c>
      <c r="T21" s="245">
        <v>2296</v>
      </c>
      <c r="U21" s="245">
        <f>COUNTIFS('Candidate Tracker'!D:D,'Position Tracker'!E21,'Candidate Tracker'!V:V, "&lt;&gt;Screening Pending")</f>
        <v>7</v>
      </c>
      <c r="V21" s="245">
        <f>COUNTIFS('Candidate Tracker'!D:D,'Position Tracker'!E21,'Candidate Tracker'!V:V, "Screen Reject")</f>
        <v>6</v>
      </c>
      <c r="W21" s="245">
        <f t="shared" si="9"/>
        <v>1</v>
      </c>
      <c r="X21" s="247">
        <f t="shared" si="10"/>
        <v>0.14285714285714285</v>
      </c>
      <c r="Y21" s="245" t="s">
        <v>51</v>
      </c>
      <c r="Z21" s="245"/>
      <c r="AA21" s="245"/>
      <c r="AB21" s="245"/>
      <c r="AC21" s="250">
        <v>45771</v>
      </c>
      <c r="AD21" s="245"/>
      <c r="AE21" s="245"/>
      <c r="AF21" s="245"/>
      <c r="AG21" s="245"/>
      <c r="AH21" s="245"/>
    </row>
    <row r="22" spans="1:38">
      <c r="A22" s="245">
        <v>21</v>
      </c>
      <c r="B22" s="246">
        <v>45743</v>
      </c>
      <c r="C22" s="245">
        <f ca="1">IF(B22="","",NETWORKDAYS.INTL(B22,TODAY(),1,'HELPER(Dont Delete)'!A:A))</f>
        <v>192</v>
      </c>
      <c r="D22" s="245" t="str">
        <f t="shared" si="0"/>
        <v/>
      </c>
      <c r="E22" s="245" t="s">
        <v>125</v>
      </c>
      <c r="F22" s="245">
        <v>1</v>
      </c>
      <c r="G22" s="245" t="s">
        <v>111</v>
      </c>
      <c r="H22" s="245" t="s">
        <v>53</v>
      </c>
      <c r="I22" s="245" t="s">
        <v>34</v>
      </c>
      <c r="J22" s="245" t="s">
        <v>126</v>
      </c>
      <c r="K22" s="245" t="s">
        <v>127</v>
      </c>
      <c r="L22" s="245"/>
      <c r="M22" s="245"/>
      <c r="N22" s="245" t="s">
        <v>128</v>
      </c>
      <c r="O22" s="247">
        <v>0.1</v>
      </c>
      <c r="P22" s="245" t="s">
        <v>41</v>
      </c>
      <c r="Q22" s="245" t="s">
        <v>58</v>
      </c>
      <c r="R22" s="245"/>
      <c r="S22" s="248">
        <f t="shared" si="8"/>
        <v>45743</v>
      </c>
      <c r="T22" s="245">
        <v>2470</v>
      </c>
      <c r="U22" s="245">
        <f>COUNTIFS('Candidate Tracker'!D:D,'Position Tracker'!E22,'Candidate Tracker'!V:V, "&lt;&gt;Screening Pending")</f>
        <v>3</v>
      </c>
      <c r="V22" s="245">
        <f>COUNTIFS('Candidate Tracker'!D:D,'Position Tracker'!E22,'Candidate Tracker'!V:V, "Screen Reject")</f>
        <v>1</v>
      </c>
      <c r="W22" s="245">
        <f t="shared" si="9"/>
        <v>2</v>
      </c>
      <c r="X22" s="247">
        <f t="shared" si="10"/>
        <v>0.66666666666666663</v>
      </c>
      <c r="Y22" s="245" t="s">
        <v>43</v>
      </c>
      <c r="Z22" s="245"/>
      <c r="AA22" s="245"/>
      <c r="AB22" s="245"/>
      <c r="AC22" s="250">
        <v>45833</v>
      </c>
      <c r="AD22" s="245"/>
      <c r="AE22" s="245"/>
      <c r="AF22" s="245"/>
      <c r="AG22" s="245"/>
      <c r="AH22" s="245"/>
    </row>
    <row r="23" spans="1:38">
      <c r="A23" s="245">
        <v>22</v>
      </c>
      <c r="B23" s="246">
        <v>45743</v>
      </c>
      <c r="C23" s="245">
        <f ca="1">IF(B23="","",NETWORKDAYS.INTL(B23,TODAY(),1,'HELPER(Dont Delete)'!A:A))</f>
        <v>192</v>
      </c>
      <c r="D23" s="245" t="str">
        <f t="shared" si="0"/>
        <v/>
      </c>
      <c r="E23" s="252" t="s">
        <v>129</v>
      </c>
      <c r="F23" s="245">
        <v>1</v>
      </c>
      <c r="G23" s="245" t="s">
        <v>111</v>
      </c>
      <c r="H23" s="245" t="s">
        <v>130</v>
      </c>
      <c r="I23" s="245" t="s">
        <v>34</v>
      </c>
      <c r="J23" s="245" t="s">
        <v>35</v>
      </c>
      <c r="K23" s="245" t="s">
        <v>131</v>
      </c>
      <c r="L23" s="245"/>
      <c r="M23" s="245"/>
      <c r="N23" s="245" t="s">
        <v>132</v>
      </c>
      <c r="O23" s="247">
        <v>0.1</v>
      </c>
      <c r="P23" s="245" t="s">
        <v>41</v>
      </c>
      <c r="Q23" s="245" t="s">
        <v>58</v>
      </c>
      <c r="R23" s="245"/>
      <c r="S23" s="248">
        <f t="shared" si="8"/>
        <v>45743</v>
      </c>
      <c r="T23" s="245"/>
      <c r="U23" s="245">
        <f>COUNTIFS('Candidate Tracker'!D:D,'Position Tracker'!E23,'Candidate Tracker'!V:V, "&lt;&gt;Screening Pending")</f>
        <v>6</v>
      </c>
      <c r="V23" s="245">
        <f>COUNTIFS('Candidate Tracker'!D:D,'Position Tracker'!E23,'Candidate Tracker'!V:V, "Screen Reject")</f>
        <v>4</v>
      </c>
      <c r="W23" s="245">
        <f t="shared" si="9"/>
        <v>2</v>
      </c>
      <c r="X23" s="247">
        <f t="shared" si="10"/>
        <v>0.33333333333333331</v>
      </c>
      <c r="Y23" s="245" t="s">
        <v>43</v>
      </c>
      <c r="Z23" s="245"/>
      <c r="AA23" s="245"/>
      <c r="AB23" s="245"/>
      <c r="AC23" s="250">
        <v>45828</v>
      </c>
      <c r="AD23" s="245"/>
      <c r="AE23" s="245"/>
      <c r="AF23" s="245"/>
      <c r="AG23" s="245"/>
      <c r="AH23" s="245"/>
    </row>
    <row r="24" spans="1:38">
      <c r="A24" s="245">
        <v>23</v>
      </c>
      <c r="B24" s="246">
        <v>45747</v>
      </c>
      <c r="C24" s="245">
        <f ca="1">IF(B24="","",NETWORKDAYS.INTL(B24,TODAY(),1,'HELPER(Dont Delete)'!A:A))</f>
        <v>190</v>
      </c>
      <c r="D24" s="245" t="str">
        <f t="shared" si="0"/>
        <v/>
      </c>
      <c r="E24" s="252" t="s">
        <v>133</v>
      </c>
      <c r="F24" s="245">
        <v>1</v>
      </c>
      <c r="G24" s="245" t="s">
        <v>111</v>
      </c>
      <c r="H24" s="245" t="s">
        <v>134</v>
      </c>
      <c r="I24" s="245" t="s">
        <v>34</v>
      </c>
      <c r="J24" s="245" t="s">
        <v>35</v>
      </c>
      <c r="K24" s="245" t="s">
        <v>135</v>
      </c>
      <c r="L24" s="253" t="s">
        <v>136</v>
      </c>
      <c r="M24" s="245" t="s">
        <v>137</v>
      </c>
      <c r="N24" s="245" t="s">
        <v>138</v>
      </c>
      <c r="O24" s="247">
        <v>0.1</v>
      </c>
      <c r="P24" s="245" t="s">
        <v>41</v>
      </c>
      <c r="Q24" s="245" t="s">
        <v>42</v>
      </c>
      <c r="R24" s="245"/>
      <c r="S24" s="248">
        <f t="shared" si="8"/>
        <v>45747</v>
      </c>
      <c r="T24" s="245">
        <v>2317</v>
      </c>
      <c r="U24" s="245">
        <f>COUNTIFS('Candidate Tracker'!D:D,'Position Tracker'!E24,'Candidate Tracker'!V:V, "&lt;&gt;Screening Pending")</f>
        <v>0</v>
      </c>
      <c r="V24" s="245">
        <f>COUNTIFS('Candidate Tracker'!D:D,'Position Tracker'!E24,'Candidate Tracker'!V:V, "Screen Reject")</f>
        <v>0</v>
      </c>
      <c r="W24" s="245">
        <f t="shared" si="9"/>
        <v>0</v>
      </c>
      <c r="X24" s="247">
        <f t="shared" si="10"/>
        <v>0</v>
      </c>
      <c r="Y24" s="245" t="s">
        <v>43</v>
      </c>
      <c r="Z24" s="245"/>
      <c r="AA24" s="245"/>
      <c r="AB24" s="245"/>
      <c r="AC24" s="250">
        <v>45825</v>
      </c>
      <c r="AD24" s="245"/>
      <c r="AE24" s="245"/>
      <c r="AF24" s="245"/>
      <c r="AG24" s="245"/>
      <c r="AH24" s="246" t="s">
        <v>139</v>
      </c>
    </row>
    <row r="25" spans="1:38">
      <c r="A25" s="245">
        <v>24</v>
      </c>
      <c r="B25" s="246">
        <v>45747</v>
      </c>
      <c r="C25" s="245">
        <f ca="1">IF(B25="","",NETWORKDAYS.INTL(B25,TODAY(),1,'HELPER(Dont Delete)'!A:A))</f>
        <v>190</v>
      </c>
      <c r="D25" s="245" t="str">
        <f t="shared" si="0"/>
        <v/>
      </c>
      <c r="E25" s="245" t="s">
        <v>140</v>
      </c>
      <c r="F25" s="245">
        <v>1</v>
      </c>
      <c r="G25" s="245" t="s">
        <v>111</v>
      </c>
      <c r="H25" s="245" t="s">
        <v>134</v>
      </c>
      <c r="I25" s="245" t="s">
        <v>34</v>
      </c>
      <c r="J25" s="245" t="s">
        <v>35</v>
      </c>
      <c r="K25" s="245" t="s">
        <v>73</v>
      </c>
      <c r="L25" s="245" t="s">
        <v>104</v>
      </c>
      <c r="M25" s="245"/>
      <c r="N25" s="245" t="s">
        <v>75</v>
      </c>
      <c r="O25" s="247">
        <v>0.1</v>
      </c>
      <c r="P25" s="245" t="s">
        <v>41</v>
      </c>
      <c r="Q25" s="245" t="s">
        <v>42</v>
      </c>
      <c r="R25" s="245"/>
      <c r="S25" s="248">
        <f t="shared" si="8"/>
        <v>45747</v>
      </c>
      <c r="T25" s="245">
        <v>2318</v>
      </c>
      <c r="U25" s="245">
        <f>COUNTIFS('Candidate Tracker'!D:D,'Position Tracker'!E25,'Candidate Tracker'!V:V, "&lt;&gt;Screening Pending")</f>
        <v>0</v>
      </c>
      <c r="V25" s="245">
        <f>COUNTIFS('Candidate Tracker'!D:D,'Position Tracker'!E25,'Candidate Tracker'!V:V, "Screen Reject")</f>
        <v>0</v>
      </c>
      <c r="W25" s="245">
        <f t="shared" si="9"/>
        <v>0</v>
      </c>
      <c r="X25" s="247">
        <f t="shared" si="10"/>
        <v>0</v>
      </c>
      <c r="Y25" s="245" t="s">
        <v>51</v>
      </c>
      <c r="Z25" s="245"/>
      <c r="AA25" s="245"/>
      <c r="AB25" s="245"/>
      <c r="AC25" s="250">
        <v>45860</v>
      </c>
      <c r="AD25" s="245"/>
      <c r="AE25" s="245"/>
      <c r="AF25" s="245"/>
      <c r="AG25" s="245"/>
      <c r="AH25" s="246" t="s">
        <v>139</v>
      </c>
    </row>
    <row r="26" spans="1:38">
      <c r="A26" s="245">
        <v>25</v>
      </c>
      <c r="B26" s="246">
        <v>45747</v>
      </c>
      <c r="C26" s="245">
        <f ca="1">IF(B26="","",NETWORKDAYS.INTL(B26,TODAY(),1,'HELPER(Dont Delete)'!A:A))</f>
        <v>190</v>
      </c>
      <c r="D26" s="245" t="str">
        <f t="shared" ref="D26:D42" si="11">IF(J26="Open",
    IF(AND(C26&gt;=0, C26&lt;=30), "0-30",
    IF(AND(C26&gt;=31, C26&lt;=45), "31-45",
    IF(AND(C26&gt;=46, C26&lt;=60), "46-60",
    IF(AND(C26&gt;=61, C26&lt;=75), "61-75",
    IF(AND(C26&gt;=76, C26&lt;=90), "76-90",
    IF(AND(C26&gt;=91, C26&lt;=105), "91-105",
    IF(AND(C26&gt;=106, C26&lt;=120), "106-120",
    IF(C26&gt;120, "120+", "")))))))),"")</f>
        <v/>
      </c>
      <c r="E26" s="245" t="s">
        <v>141</v>
      </c>
      <c r="F26" s="245">
        <v>1</v>
      </c>
      <c r="G26" s="245" t="s">
        <v>111</v>
      </c>
      <c r="H26" s="245" t="s">
        <v>142</v>
      </c>
      <c r="I26" s="245" t="s">
        <v>34</v>
      </c>
      <c r="J26" s="253" t="s">
        <v>143</v>
      </c>
      <c r="K26" s="245" t="s">
        <v>144</v>
      </c>
      <c r="L26" s="245" t="s">
        <v>116</v>
      </c>
      <c r="M26" s="253" t="s">
        <v>145</v>
      </c>
      <c r="N26" s="245" t="s">
        <v>146</v>
      </c>
      <c r="O26" s="247">
        <v>0.1</v>
      </c>
      <c r="P26" s="245" t="s">
        <v>41</v>
      </c>
      <c r="Q26" s="245" t="s">
        <v>58</v>
      </c>
      <c r="R26" s="245"/>
      <c r="S26" s="248">
        <f t="shared" ref="S26:S40" si="12">B26</f>
        <v>45747</v>
      </c>
      <c r="T26" s="245">
        <v>2303</v>
      </c>
      <c r="U26" s="245">
        <f>COUNTIFS('Candidate Tracker'!D:D,'Position Tracker'!E26,'Candidate Tracker'!V:V, "&lt;&gt;Screening Pending")</f>
        <v>23</v>
      </c>
      <c r="V26" s="245">
        <f>COUNTIFS('Candidate Tracker'!D:D,'Position Tracker'!E26,'Candidate Tracker'!V:V, "Screen Reject")</f>
        <v>3</v>
      </c>
      <c r="W26" s="245">
        <f t="shared" ref="W26:W43" si="13">U26-V26</f>
        <v>20</v>
      </c>
      <c r="X26" s="247">
        <f t="shared" ref="X26:X43" si="14">IFERROR(IF(U26=0,0,IF(V26=0,"100%",W26/U26)),"")</f>
        <v>0.86956521739130432</v>
      </c>
      <c r="Y26" s="245" t="s">
        <v>51</v>
      </c>
      <c r="Z26" s="245"/>
      <c r="AA26" s="245"/>
      <c r="AB26" s="245"/>
      <c r="AC26" s="245"/>
      <c r="AD26" s="245"/>
      <c r="AE26" s="245"/>
      <c r="AF26" s="245"/>
      <c r="AG26" s="245"/>
      <c r="AH26" s="245"/>
    </row>
    <row r="27" spans="1:38">
      <c r="A27" s="245">
        <v>26</v>
      </c>
      <c r="B27" s="246">
        <v>45747</v>
      </c>
      <c r="C27" s="245">
        <f ca="1">IF(B27="","",NETWORKDAYS.INTL(B27,TODAY(),1,'HELPER(Dont Delete)'!A:A))</f>
        <v>190</v>
      </c>
      <c r="D27" s="245" t="str">
        <f t="shared" si="11"/>
        <v/>
      </c>
      <c r="E27" s="245" t="s">
        <v>147</v>
      </c>
      <c r="F27" s="245">
        <v>1</v>
      </c>
      <c r="G27" s="245" t="s">
        <v>111</v>
      </c>
      <c r="H27" s="245" t="s">
        <v>115</v>
      </c>
      <c r="I27" s="245" t="s">
        <v>34</v>
      </c>
      <c r="J27" s="245" t="s">
        <v>54</v>
      </c>
      <c r="K27" s="245" t="s">
        <v>62</v>
      </c>
      <c r="L27" s="245" t="s">
        <v>116</v>
      </c>
      <c r="M27" s="245" t="s">
        <v>148</v>
      </c>
      <c r="N27" s="245" t="s">
        <v>149</v>
      </c>
      <c r="O27" s="247">
        <v>0.1</v>
      </c>
      <c r="P27" s="245" t="s">
        <v>41</v>
      </c>
      <c r="Q27" s="245" t="s">
        <v>42</v>
      </c>
      <c r="R27" s="245"/>
      <c r="S27" s="248">
        <f t="shared" si="12"/>
        <v>45747</v>
      </c>
      <c r="T27" s="245">
        <v>2643</v>
      </c>
      <c r="U27" s="245">
        <f>COUNTIFS('Candidate Tracker'!D:D,'Position Tracker'!E27,'Candidate Tracker'!V:V, "&lt;&gt;Screening Pending")</f>
        <v>8</v>
      </c>
      <c r="V27" s="245">
        <f>COUNTIFS('Candidate Tracker'!D:D,'Position Tracker'!E27,'Candidate Tracker'!V:V, "Screen Reject")</f>
        <v>2</v>
      </c>
      <c r="W27" s="245">
        <f t="shared" si="13"/>
        <v>6</v>
      </c>
      <c r="X27" s="247">
        <f t="shared" si="14"/>
        <v>0.75</v>
      </c>
      <c r="Y27" s="245" t="s">
        <v>51</v>
      </c>
      <c r="Z27" s="245"/>
      <c r="AA27" s="245"/>
      <c r="AB27" s="245"/>
      <c r="AC27" s="245"/>
      <c r="AD27" s="245"/>
      <c r="AE27" s="245"/>
      <c r="AF27" s="245"/>
      <c r="AG27" s="245"/>
      <c r="AH27" s="245">
        <v>2316</v>
      </c>
    </row>
    <row r="28" spans="1:38">
      <c r="A28" s="245">
        <v>31</v>
      </c>
      <c r="B28" s="246">
        <v>45848</v>
      </c>
      <c r="C28" s="245">
        <f ca="1">IF(B28="","",NETWORKDAYS.INTL(B28,TODAY(),1,'HELPER(Dont Delete)'!A:A))</f>
        <v>117</v>
      </c>
      <c r="D28" s="245" t="str">
        <f t="shared" si="11"/>
        <v/>
      </c>
      <c r="E28" s="245" t="s">
        <v>150</v>
      </c>
      <c r="F28" s="245">
        <v>1</v>
      </c>
      <c r="G28" s="245" t="s">
        <v>111</v>
      </c>
      <c r="H28" s="245" t="s">
        <v>151</v>
      </c>
      <c r="I28" s="245" t="s">
        <v>34</v>
      </c>
      <c r="J28" s="245" t="s">
        <v>35</v>
      </c>
      <c r="K28" s="245" t="s">
        <v>152</v>
      </c>
      <c r="L28" s="245" t="s">
        <v>153</v>
      </c>
      <c r="M28" s="245" t="s">
        <v>154</v>
      </c>
      <c r="N28" s="245" t="s">
        <v>155</v>
      </c>
      <c r="O28" s="247">
        <v>0.1</v>
      </c>
      <c r="P28" s="245" t="s">
        <v>156</v>
      </c>
      <c r="Q28" s="245" t="s">
        <v>42</v>
      </c>
      <c r="R28" s="245"/>
      <c r="S28" s="248">
        <f t="shared" si="12"/>
        <v>45848</v>
      </c>
      <c r="T28" s="245">
        <v>2663</v>
      </c>
      <c r="U28" s="245">
        <f>COUNTIFS('Candidate Tracker'!D:D,'Position Tracker'!E32,'Candidate Tracker'!V:V, "&lt;&gt;Screening Pending")</f>
        <v>27</v>
      </c>
      <c r="V28" s="245">
        <f>COUNTIFS('Candidate Tracker'!D:D,'Position Tracker'!E32,'Candidate Tracker'!V:V, "Screen Reject")</f>
        <v>7</v>
      </c>
      <c r="W28" s="245">
        <f t="shared" si="13"/>
        <v>20</v>
      </c>
      <c r="X28" s="247">
        <f t="shared" si="14"/>
        <v>0.7407407407407407</v>
      </c>
      <c r="Y28" s="245" t="s">
        <v>51</v>
      </c>
      <c r="Z28" s="245"/>
      <c r="AA28" s="245"/>
      <c r="AB28" s="245"/>
      <c r="AC28" s="250">
        <v>45898</v>
      </c>
      <c r="AD28" s="245"/>
      <c r="AE28" s="245"/>
      <c r="AF28" s="245"/>
      <c r="AG28" s="245"/>
      <c r="AH28" s="246"/>
    </row>
    <row r="29" spans="1:38">
      <c r="A29" s="245">
        <v>28</v>
      </c>
      <c r="B29" s="246">
        <v>45750</v>
      </c>
      <c r="C29" s="245">
        <f ca="1">IF(B29="","",NETWORKDAYS.INTL(B29,TODAY(),1,'HELPER(Dont Delete)'!A:A))</f>
        <v>187</v>
      </c>
      <c r="D29" s="245" t="str">
        <f t="shared" si="11"/>
        <v/>
      </c>
      <c r="E29" s="245" t="s">
        <v>157</v>
      </c>
      <c r="F29" s="245">
        <v>1</v>
      </c>
      <c r="G29" s="245" t="s">
        <v>111</v>
      </c>
      <c r="H29" s="245" t="s">
        <v>97</v>
      </c>
      <c r="I29" s="245" t="s">
        <v>34</v>
      </c>
      <c r="J29" s="245" t="s">
        <v>54</v>
      </c>
      <c r="K29" s="245" t="s">
        <v>158</v>
      </c>
      <c r="L29" s="249" t="s">
        <v>159</v>
      </c>
      <c r="M29" s="245"/>
      <c r="N29" s="245">
        <v>8.5</v>
      </c>
      <c r="O29" s="247">
        <v>0.1</v>
      </c>
      <c r="P29" s="245" t="s">
        <v>41</v>
      </c>
      <c r="Q29" s="245" t="s">
        <v>42</v>
      </c>
      <c r="R29" s="245"/>
      <c r="S29" s="248">
        <f t="shared" si="12"/>
        <v>45750</v>
      </c>
      <c r="T29" s="245">
        <v>2321</v>
      </c>
      <c r="U29" s="245">
        <f>COUNTIFS('Candidate Tracker'!D:D,'Position Tracker'!E29,'Candidate Tracker'!V:V, "&lt;&gt;Screening Pending")</f>
        <v>12</v>
      </c>
      <c r="V29" s="245">
        <f>COUNTIFS('Candidate Tracker'!D:D,'Position Tracker'!E29,'Candidate Tracker'!V:V, "Screen Reject")</f>
        <v>1</v>
      </c>
      <c r="W29" s="245">
        <f t="shared" si="13"/>
        <v>11</v>
      </c>
      <c r="X29" s="247">
        <f t="shared" si="14"/>
        <v>0.91666666666666663</v>
      </c>
      <c r="Y29" s="245" t="s">
        <v>51</v>
      </c>
      <c r="Z29" s="245"/>
      <c r="AA29" s="245"/>
      <c r="AB29" s="245"/>
      <c r="AC29" s="245"/>
      <c r="AD29" s="245"/>
      <c r="AE29" s="245"/>
      <c r="AF29" s="245"/>
      <c r="AG29" s="245"/>
      <c r="AH29" s="246"/>
    </row>
    <row r="30" spans="1:38">
      <c r="A30" s="245">
        <v>29</v>
      </c>
      <c r="B30" s="246">
        <v>45762</v>
      </c>
      <c r="C30" s="245">
        <f ca="1">IF(B30="","",NETWORKDAYS.INTL(B30,TODAY(),1,'HELPER(Dont Delete)'!A:A))</f>
        <v>179</v>
      </c>
      <c r="D30" s="245" t="str">
        <f t="shared" si="11"/>
        <v/>
      </c>
      <c r="E30" s="245" t="s">
        <v>160</v>
      </c>
      <c r="F30" s="245">
        <v>2</v>
      </c>
      <c r="G30" s="245" t="s">
        <v>111</v>
      </c>
      <c r="H30" s="245" t="s">
        <v>112</v>
      </c>
      <c r="I30" s="245" t="s">
        <v>34</v>
      </c>
      <c r="J30" s="245" t="s">
        <v>54</v>
      </c>
      <c r="K30" s="245" t="s">
        <v>47</v>
      </c>
      <c r="L30" s="249" t="s">
        <v>159</v>
      </c>
      <c r="M30" s="245"/>
      <c r="N30" s="245" t="s">
        <v>161</v>
      </c>
      <c r="O30" s="247">
        <v>0.1</v>
      </c>
      <c r="P30" s="245" t="s">
        <v>41</v>
      </c>
      <c r="Q30" s="245" t="s">
        <v>42</v>
      </c>
      <c r="R30" s="245"/>
      <c r="S30" s="248">
        <f t="shared" si="12"/>
        <v>45762</v>
      </c>
      <c r="T30" s="245" t="s">
        <v>162</v>
      </c>
      <c r="U30" s="245">
        <f>COUNTIFS('Candidate Tracker'!D:D,'Position Tracker'!E30,'Candidate Tracker'!V:V, "&lt;&gt;Screening Pending")</f>
        <v>0</v>
      </c>
      <c r="V30" s="245">
        <f>COUNTIFS('Candidate Tracker'!D:D,'Position Tracker'!E30,'Candidate Tracker'!V:V, "Screen Reject")</f>
        <v>0</v>
      </c>
      <c r="W30" s="245">
        <f t="shared" si="13"/>
        <v>0</v>
      </c>
      <c r="X30" s="247">
        <f t="shared" si="14"/>
        <v>0</v>
      </c>
      <c r="Y30" s="245" t="s">
        <v>51</v>
      </c>
      <c r="Z30" s="245"/>
      <c r="AA30" s="245"/>
      <c r="AB30" s="245"/>
      <c r="AC30" s="245"/>
      <c r="AD30" s="245"/>
      <c r="AE30" s="245"/>
      <c r="AF30" s="245"/>
      <c r="AG30" s="245"/>
      <c r="AH30" s="246"/>
    </row>
    <row r="31" spans="1:38">
      <c r="A31" s="245">
        <v>30</v>
      </c>
      <c r="B31" s="246">
        <v>45848</v>
      </c>
      <c r="C31" s="245">
        <f ca="1">IF(B31="","",NETWORKDAYS.INTL(B31,TODAY(),1,'HELPER(Dont Delete)'!A:A))</f>
        <v>117</v>
      </c>
      <c r="D31" s="245" t="str">
        <f t="shared" si="11"/>
        <v/>
      </c>
      <c r="E31" s="245" t="s">
        <v>163</v>
      </c>
      <c r="F31" s="245">
        <v>1</v>
      </c>
      <c r="G31" s="245" t="s">
        <v>111</v>
      </c>
      <c r="H31" s="245" t="s">
        <v>151</v>
      </c>
      <c r="I31" s="245" t="s">
        <v>34</v>
      </c>
      <c r="J31" s="245" t="s">
        <v>164</v>
      </c>
      <c r="K31" s="245" t="s">
        <v>165</v>
      </c>
      <c r="L31" s="245" t="s">
        <v>166</v>
      </c>
      <c r="M31" s="245" t="s">
        <v>106</v>
      </c>
      <c r="N31" s="245" t="s">
        <v>167</v>
      </c>
      <c r="O31" s="247">
        <v>0.1</v>
      </c>
      <c r="P31" s="245" t="s">
        <v>2815</v>
      </c>
      <c r="Q31" s="245" t="s">
        <v>42</v>
      </c>
      <c r="R31" s="245"/>
      <c r="S31" s="248">
        <f t="shared" si="12"/>
        <v>45848</v>
      </c>
      <c r="T31" s="245">
        <v>2664</v>
      </c>
      <c r="U31" s="245">
        <f>COUNTIFS('Candidate Tracker'!D:D,'Position Tracker'!E31,'Candidate Tracker'!V:V, "&lt;&gt;Screening Pending")</f>
        <v>7</v>
      </c>
      <c r="V31" s="245">
        <f>COUNTIFS('Candidate Tracker'!D:D,'Position Tracker'!E31,'Candidate Tracker'!V:V, "Screen Reject")</f>
        <v>3</v>
      </c>
      <c r="W31" s="245">
        <f t="shared" si="13"/>
        <v>4</v>
      </c>
      <c r="X31" s="247">
        <f t="shared" si="14"/>
        <v>0.5714285714285714</v>
      </c>
      <c r="Y31" s="245" t="s">
        <v>51</v>
      </c>
      <c r="Z31" s="245"/>
      <c r="AA31" s="245"/>
      <c r="AB31" s="245"/>
      <c r="AC31" s="245"/>
      <c r="AD31" s="245"/>
      <c r="AE31" s="245"/>
      <c r="AF31" s="245"/>
      <c r="AG31" s="245"/>
      <c r="AH31" s="246"/>
    </row>
    <row r="32" spans="1:38">
      <c r="A32" s="245">
        <v>32</v>
      </c>
      <c r="B32" s="246">
        <v>45848</v>
      </c>
      <c r="C32" s="245">
        <f ca="1">IF(B32="","",NETWORKDAYS.INTL(B32,TODAY(),1,'HELPER(Dont Delete)'!A:A))</f>
        <v>117</v>
      </c>
      <c r="D32" s="245" t="str">
        <f t="shared" si="11"/>
        <v/>
      </c>
      <c r="E32" s="245" t="s">
        <v>168</v>
      </c>
      <c r="F32" s="245">
        <v>6</v>
      </c>
      <c r="G32" s="245" t="s">
        <v>111</v>
      </c>
      <c r="H32" s="245" t="s">
        <v>151</v>
      </c>
      <c r="I32" s="245" t="s">
        <v>34</v>
      </c>
      <c r="J32" s="245" t="s">
        <v>164</v>
      </c>
      <c r="K32" s="245" t="s">
        <v>152</v>
      </c>
      <c r="L32" s="245" t="s">
        <v>169</v>
      </c>
      <c r="M32" s="245" t="s">
        <v>154</v>
      </c>
      <c r="N32" s="245" t="s">
        <v>155</v>
      </c>
      <c r="O32" s="247">
        <v>0.1</v>
      </c>
      <c r="P32" s="245" t="s">
        <v>170</v>
      </c>
      <c r="Q32" s="245" t="s">
        <v>42</v>
      </c>
      <c r="R32" s="245"/>
      <c r="S32" s="248">
        <f t="shared" si="12"/>
        <v>45848</v>
      </c>
      <c r="T32" s="245">
        <v>2689</v>
      </c>
      <c r="U32" s="245">
        <f>COUNTIFS('Candidate Tracker'!D:D,'Position Tracker'!E33,'Candidate Tracker'!V:V, "&lt;&gt;Screening Pending")</f>
        <v>18</v>
      </c>
      <c r="V32" s="245">
        <f>COUNTIFS('Candidate Tracker'!D:D,'Position Tracker'!E33,'Candidate Tracker'!V:V, "Screen Reject")</f>
        <v>5</v>
      </c>
      <c r="W32" s="245">
        <f t="shared" si="13"/>
        <v>13</v>
      </c>
      <c r="X32" s="247">
        <f t="shared" si="14"/>
        <v>0.72222222222222221</v>
      </c>
      <c r="Y32" s="245" t="s">
        <v>51</v>
      </c>
      <c r="Z32" s="245"/>
      <c r="AA32" s="245"/>
      <c r="AB32" s="245"/>
      <c r="AC32" s="245"/>
      <c r="AD32" s="245"/>
      <c r="AE32" s="245"/>
      <c r="AF32" s="245"/>
      <c r="AG32" s="245"/>
      <c r="AH32" s="246"/>
    </row>
    <row r="33" spans="1:50">
      <c r="A33" s="245">
        <v>33</v>
      </c>
      <c r="B33" s="246">
        <v>45910</v>
      </c>
      <c r="C33" s="245">
        <f ca="1">IF(B33="","",NETWORKDAYS.INTL(B33,TODAY(),1,'HELPER(Dont Delete)'!A:A))</f>
        <v>73</v>
      </c>
      <c r="D33" s="245" t="str">
        <f t="shared" si="11"/>
        <v/>
      </c>
      <c r="E33" s="245" t="s">
        <v>171</v>
      </c>
      <c r="F33" s="245">
        <v>3</v>
      </c>
      <c r="G33" s="245" t="s">
        <v>111</v>
      </c>
      <c r="H33" s="245" t="s">
        <v>172</v>
      </c>
      <c r="I33" s="245" t="s">
        <v>34</v>
      </c>
      <c r="J33" s="253" t="s">
        <v>173</v>
      </c>
      <c r="K33" s="245" t="s">
        <v>174</v>
      </c>
      <c r="L33" s="245" t="s">
        <v>175</v>
      </c>
      <c r="M33" s="245" t="s">
        <v>155</v>
      </c>
      <c r="N33" s="245" t="s">
        <v>106</v>
      </c>
      <c r="O33" s="247">
        <v>0.1</v>
      </c>
      <c r="P33" s="245" t="s">
        <v>176</v>
      </c>
      <c r="Q33" s="245" t="s">
        <v>42</v>
      </c>
      <c r="R33" s="245"/>
      <c r="S33" s="248">
        <f t="shared" si="12"/>
        <v>45910</v>
      </c>
      <c r="T33" s="245">
        <v>2661</v>
      </c>
      <c r="U33" s="245">
        <f>COUNTIFS('Candidate Tracker'!D:D,'Position Tracker'!E34,'Candidate Tracker'!V:V, "&lt;&gt;Screening Pending")</f>
        <v>18</v>
      </c>
      <c r="V33" s="245">
        <f>COUNTIFS('Candidate Tracker'!D:D,'Position Tracker'!E34,'Candidate Tracker'!V:V, "Screen Reject")</f>
        <v>5</v>
      </c>
      <c r="W33" s="245">
        <f t="shared" si="13"/>
        <v>13</v>
      </c>
      <c r="X33" s="247">
        <f t="shared" si="14"/>
        <v>0.72222222222222221</v>
      </c>
      <c r="Y33" s="245" t="s">
        <v>51</v>
      </c>
      <c r="Z33" s="245"/>
      <c r="AA33" s="245"/>
      <c r="AB33" s="245"/>
      <c r="AC33" s="250">
        <v>45923</v>
      </c>
      <c r="AD33" s="245"/>
      <c r="AE33" s="245"/>
      <c r="AF33" s="245"/>
      <c r="AG33" s="245"/>
      <c r="AH33" s="254" t="s">
        <v>177</v>
      </c>
    </row>
    <row r="34" spans="1:50">
      <c r="A34" s="245">
        <v>35</v>
      </c>
      <c r="B34" s="246">
        <v>45848</v>
      </c>
      <c r="C34" s="245">
        <f ca="1">IF(B34="","",NETWORKDAYS.INTL(B34,TODAY(),1,'HELPER(Dont Delete)'!A:A))</f>
        <v>117</v>
      </c>
      <c r="D34" s="245" t="str">
        <f t="shared" si="11"/>
        <v/>
      </c>
      <c r="E34" s="255" t="s">
        <v>178</v>
      </c>
      <c r="F34" s="245">
        <v>3</v>
      </c>
      <c r="G34" s="245" t="s">
        <v>111</v>
      </c>
      <c r="H34" s="245" t="s">
        <v>172</v>
      </c>
      <c r="I34" s="245" t="s">
        <v>34</v>
      </c>
      <c r="J34" s="245" t="s">
        <v>179</v>
      </c>
      <c r="K34" s="245" t="s">
        <v>174</v>
      </c>
      <c r="L34" s="245" t="s">
        <v>175</v>
      </c>
      <c r="M34" s="245" t="s">
        <v>155</v>
      </c>
      <c r="N34" s="245" t="s">
        <v>106</v>
      </c>
      <c r="O34" s="247">
        <v>0.1</v>
      </c>
      <c r="P34" s="245" t="s">
        <v>180</v>
      </c>
      <c r="Q34" s="245" t="s">
        <v>42</v>
      </c>
      <c r="R34" s="245"/>
      <c r="S34" s="248">
        <f t="shared" si="12"/>
        <v>45848</v>
      </c>
      <c r="T34" s="245" t="s">
        <v>181</v>
      </c>
      <c r="U34" s="245">
        <f>COUNTIFS('Candidate Tracker'!D:D,'Position Tracker'!E36,'Candidate Tracker'!V:V, "&lt;&gt;Screening Pending")</f>
        <v>1</v>
      </c>
      <c r="V34" s="245">
        <f>COUNTIFS('Candidate Tracker'!D:D,'Position Tracker'!E36,'Candidate Tracker'!V:V, "Screen Reject")</f>
        <v>0</v>
      </c>
      <c r="W34" s="245">
        <f t="shared" si="13"/>
        <v>1</v>
      </c>
      <c r="X34" s="247" t="str">
        <f t="shared" si="14"/>
        <v>100%</v>
      </c>
      <c r="Y34" s="245" t="s">
        <v>51</v>
      </c>
      <c r="Z34" s="245"/>
      <c r="AA34" s="245"/>
      <c r="AB34" s="245"/>
      <c r="AC34" s="245"/>
      <c r="AD34" s="245"/>
      <c r="AE34" s="245"/>
      <c r="AF34" s="245"/>
      <c r="AG34" s="245"/>
      <c r="AH34" s="246"/>
    </row>
    <row r="35" spans="1:50">
      <c r="A35" s="245">
        <v>34</v>
      </c>
      <c r="B35" s="246">
        <v>45848</v>
      </c>
      <c r="C35" s="245">
        <f ca="1">IF(B35="","",NETWORKDAYS.INTL(B35,TODAY(),1,'HELPER(Dont Delete)'!A:A))</f>
        <v>117</v>
      </c>
      <c r="D35" s="245" t="str">
        <f t="shared" si="11"/>
        <v/>
      </c>
      <c r="E35" s="245" t="s">
        <v>182</v>
      </c>
      <c r="F35" s="245">
        <v>3</v>
      </c>
      <c r="G35" s="245" t="s">
        <v>111</v>
      </c>
      <c r="H35" s="245" t="s">
        <v>172</v>
      </c>
      <c r="I35" s="245" t="s">
        <v>34</v>
      </c>
      <c r="J35" s="253" t="s">
        <v>173</v>
      </c>
      <c r="K35" s="245" t="s">
        <v>174</v>
      </c>
      <c r="L35" s="245" t="s">
        <v>183</v>
      </c>
      <c r="M35" s="245" t="s">
        <v>155</v>
      </c>
      <c r="N35" s="245" t="s">
        <v>106</v>
      </c>
      <c r="O35" s="247">
        <v>0.1</v>
      </c>
      <c r="P35" s="245" t="s">
        <v>184</v>
      </c>
      <c r="Q35" s="245" t="s">
        <v>42</v>
      </c>
      <c r="R35" s="245"/>
      <c r="S35" s="248">
        <f t="shared" si="12"/>
        <v>45848</v>
      </c>
      <c r="T35" s="245">
        <v>2662</v>
      </c>
      <c r="U35" s="245">
        <f>COUNTIFS('Candidate Tracker'!D:D,'Position Tracker'!E35,'Candidate Tracker'!V:V, "&lt;&gt;Screening Pending")</f>
        <v>8</v>
      </c>
      <c r="V35" s="245">
        <f>COUNTIFS('Candidate Tracker'!D:D,'Position Tracker'!E35,'Candidate Tracker'!V:V, "Screen Reject")</f>
        <v>2</v>
      </c>
      <c r="W35" s="245">
        <f t="shared" si="13"/>
        <v>6</v>
      </c>
      <c r="X35" s="247">
        <f t="shared" si="14"/>
        <v>0.75</v>
      </c>
      <c r="Y35" s="245" t="s">
        <v>51</v>
      </c>
      <c r="Z35" s="245"/>
      <c r="AA35" s="245"/>
      <c r="AB35" s="245"/>
      <c r="AC35" s="250">
        <v>45923</v>
      </c>
      <c r="AD35" s="245"/>
      <c r="AE35" s="245"/>
      <c r="AF35" s="245"/>
      <c r="AG35" s="245"/>
      <c r="AH35" s="246"/>
    </row>
    <row r="36" spans="1:50">
      <c r="A36" s="245">
        <v>36</v>
      </c>
      <c r="B36" s="246">
        <v>45848</v>
      </c>
      <c r="C36" s="245">
        <f ca="1">IF(B36="","",NETWORKDAYS.INTL(B36,TODAY(),1,'HELPER(Dont Delete)'!A:A))</f>
        <v>117</v>
      </c>
      <c r="D36" s="245" t="str">
        <f t="shared" si="11"/>
        <v/>
      </c>
      <c r="E36" s="256" t="s">
        <v>185</v>
      </c>
      <c r="F36" s="245">
        <v>1</v>
      </c>
      <c r="G36" s="245" t="s">
        <v>111</v>
      </c>
      <c r="H36" s="245" t="s">
        <v>186</v>
      </c>
      <c r="I36" s="245" t="s">
        <v>34</v>
      </c>
      <c r="J36" s="245" t="s">
        <v>126</v>
      </c>
      <c r="K36" s="245" t="s">
        <v>152</v>
      </c>
      <c r="L36" s="245" t="s">
        <v>187</v>
      </c>
      <c r="M36" s="245" t="s">
        <v>154</v>
      </c>
      <c r="N36" s="245" t="s">
        <v>155</v>
      </c>
      <c r="O36" s="247">
        <v>0.1</v>
      </c>
      <c r="P36" s="245" t="s">
        <v>188</v>
      </c>
      <c r="Q36" s="245" t="s">
        <v>42</v>
      </c>
      <c r="R36" s="245"/>
      <c r="S36" s="248">
        <f t="shared" si="12"/>
        <v>45848</v>
      </c>
      <c r="T36" s="245">
        <v>2686</v>
      </c>
      <c r="U36" s="245">
        <f>COUNTIFS('Candidate Tracker'!D:D,'Position Tracker'!E37,'Candidate Tracker'!V:V, "&lt;&gt;Screening Pending")</f>
        <v>5</v>
      </c>
      <c r="V36" s="245">
        <f>COUNTIFS('Candidate Tracker'!D:D,'Position Tracker'!E37,'Candidate Tracker'!V:V, "Screen Reject")</f>
        <v>1</v>
      </c>
      <c r="W36" s="245">
        <f t="shared" si="13"/>
        <v>4</v>
      </c>
      <c r="X36" s="247">
        <f t="shared" si="14"/>
        <v>0.8</v>
      </c>
      <c r="Y36" s="245" t="s">
        <v>51</v>
      </c>
      <c r="Z36" s="245"/>
      <c r="AA36" s="245"/>
      <c r="AB36" s="245"/>
      <c r="AC36" s="250">
        <v>45881</v>
      </c>
      <c r="AD36" s="245"/>
      <c r="AE36" s="245"/>
      <c r="AF36" s="245"/>
      <c r="AG36" s="245"/>
      <c r="AH36" s="246"/>
    </row>
    <row r="37" spans="1:50">
      <c r="A37" s="245">
        <v>37</v>
      </c>
      <c r="B37" s="246">
        <v>45848</v>
      </c>
      <c r="C37" s="245">
        <f ca="1">IF(B37="","",NETWORKDAYS.INTL(B37,TODAY(),1,'HELPER(Dont Delete)'!A:A))</f>
        <v>117</v>
      </c>
      <c r="D37" s="245" t="str">
        <f t="shared" si="11"/>
        <v/>
      </c>
      <c r="E37" s="245" t="s">
        <v>189</v>
      </c>
      <c r="F37" s="245">
        <v>1</v>
      </c>
      <c r="G37" s="245" t="s">
        <v>111</v>
      </c>
      <c r="H37" s="245" t="s">
        <v>172</v>
      </c>
      <c r="I37" s="245" t="s">
        <v>34</v>
      </c>
      <c r="J37" s="245" t="s">
        <v>35</v>
      </c>
      <c r="K37" s="245" t="s">
        <v>190</v>
      </c>
      <c r="L37" s="245" t="s">
        <v>191</v>
      </c>
      <c r="M37" s="245" t="s">
        <v>167</v>
      </c>
      <c r="N37" s="245" t="s">
        <v>192</v>
      </c>
      <c r="O37" s="247">
        <v>0.1</v>
      </c>
      <c r="P37" s="245" t="s">
        <v>193</v>
      </c>
      <c r="Q37" s="245" t="s">
        <v>42</v>
      </c>
      <c r="R37" s="245"/>
      <c r="S37" s="248">
        <f t="shared" si="12"/>
        <v>45848</v>
      </c>
      <c r="T37" s="245">
        <v>2666</v>
      </c>
      <c r="U37" s="245">
        <f>COUNTIFS('Candidate Tracker'!D:D,'Position Tracker'!E38,'Candidate Tracker'!V:V, "&lt;&gt;Screening Pending")</f>
        <v>0</v>
      </c>
      <c r="V37" s="245">
        <f>COUNTIFS('Candidate Tracker'!D:D,'Position Tracker'!E38,'Candidate Tracker'!V:V, "Screen Reject")</f>
        <v>0</v>
      </c>
      <c r="W37" s="245">
        <f t="shared" si="13"/>
        <v>0</v>
      </c>
      <c r="X37" s="247">
        <f t="shared" si="14"/>
        <v>0</v>
      </c>
      <c r="Y37" s="245" t="s">
        <v>60</v>
      </c>
      <c r="Z37" s="245"/>
      <c r="AA37" s="245"/>
      <c r="AB37" s="245"/>
      <c r="AC37" s="250">
        <v>45880</v>
      </c>
      <c r="AD37" s="245"/>
      <c r="AE37" s="245"/>
      <c r="AF37" s="245"/>
      <c r="AG37" s="245"/>
      <c r="AH37" s="246"/>
    </row>
    <row r="38" spans="1:50">
      <c r="A38" s="245">
        <v>38</v>
      </c>
      <c r="B38" s="246">
        <v>45859</v>
      </c>
      <c r="C38" s="245">
        <f ca="1">IF(B38="","",NETWORKDAYS.INTL(B38,TODAY(),1,'HELPER(Dont Delete)'!A:A))</f>
        <v>110</v>
      </c>
      <c r="D38" s="245" t="str">
        <f t="shared" si="11"/>
        <v/>
      </c>
      <c r="E38" s="245" t="s">
        <v>194</v>
      </c>
      <c r="F38" s="245">
        <v>1</v>
      </c>
      <c r="G38" s="245" t="s">
        <v>111</v>
      </c>
      <c r="H38" s="245" t="s">
        <v>172</v>
      </c>
      <c r="I38" s="245" t="s">
        <v>34</v>
      </c>
      <c r="J38" s="245" t="s">
        <v>195</v>
      </c>
      <c r="K38" s="245" t="s">
        <v>144</v>
      </c>
      <c r="L38" s="253" t="s">
        <v>196</v>
      </c>
      <c r="M38" s="245" t="s">
        <v>197</v>
      </c>
      <c r="N38" s="245" t="s">
        <v>198</v>
      </c>
      <c r="O38" s="247">
        <v>0.1</v>
      </c>
      <c r="P38" s="245" t="s">
        <v>41</v>
      </c>
      <c r="Q38" s="245" t="s">
        <v>42</v>
      </c>
      <c r="R38" s="245"/>
      <c r="S38" s="248">
        <f t="shared" si="12"/>
        <v>45859</v>
      </c>
      <c r="T38" s="245"/>
      <c r="U38" s="245">
        <f>COUNTIFS('Candidate Tracker'!D:D,'Position Tracker'!E39,'Candidate Tracker'!V:V, "&lt;&gt;Screening Pending")</f>
        <v>9</v>
      </c>
      <c r="V38" s="245">
        <f>COUNTIFS('Candidate Tracker'!D:D,'Position Tracker'!E39,'Candidate Tracker'!V:V, "Screen Reject")</f>
        <v>4</v>
      </c>
      <c r="W38" s="245">
        <f t="shared" si="13"/>
        <v>5</v>
      </c>
      <c r="X38" s="247">
        <f t="shared" si="14"/>
        <v>0.55555555555555558</v>
      </c>
      <c r="Y38" s="245" t="s">
        <v>60</v>
      </c>
      <c r="Z38" s="245"/>
      <c r="AA38" s="245"/>
      <c r="AB38" s="245"/>
      <c r="AC38" s="249">
        <v>45908</v>
      </c>
      <c r="AD38" s="245"/>
      <c r="AE38" s="245"/>
      <c r="AF38" s="245"/>
      <c r="AG38" s="245"/>
      <c r="AH38" s="246"/>
    </row>
    <row r="39" spans="1:50">
      <c r="A39" s="245">
        <v>39</v>
      </c>
      <c r="B39" s="246">
        <v>45758</v>
      </c>
      <c r="C39" s="245">
        <f ca="1">IF(B39="","",NETWORKDAYS.INTL(B39,TODAY(),1,'HELPER(Dont Delete)'!A:A))</f>
        <v>181</v>
      </c>
      <c r="D39" s="245" t="str">
        <f t="shared" si="11"/>
        <v/>
      </c>
      <c r="E39" s="245" t="s">
        <v>199</v>
      </c>
      <c r="F39" s="245">
        <v>1</v>
      </c>
      <c r="G39" s="245" t="s">
        <v>111</v>
      </c>
      <c r="H39" s="245" t="s">
        <v>200</v>
      </c>
      <c r="I39" s="245" t="s">
        <v>34</v>
      </c>
      <c r="J39" s="245" t="s">
        <v>126</v>
      </c>
      <c r="K39" s="245" t="s">
        <v>131</v>
      </c>
      <c r="L39" s="245"/>
      <c r="M39" s="245"/>
      <c r="N39" s="245"/>
      <c r="O39" s="247">
        <v>0.1</v>
      </c>
      <c r="P39" s="245" t="s">
        <v>41</v>
      </c>
      <c r="Q39" s="245" t="s">
        <v>42</v>
      </c>
      <c r="R39" s="245"/>
      <c r="S39" s="248">
        <f t="shared" si="12"/>
        <v>45758</v>
      </c>
      <c r="T39" s="245"/>
      <c r="U39" s="245">
        <f>COUNTIFS('Candidate Tracker'!D:D,'Position Tracker'!E28,'Candidate Tracker'!V:V, "&lt;&gt;Screening Pending")</f>
        <v>15</v>
      </c>
      <c r="V39" s="245">
        <f>COUNTIFS('Candidate Tracker'!D:D,'Position Tracker'!E28,'Candidate Tracker'!V:V, "Screen Reject")</f>
        <v>5</v>
      </c>
      <c r="W39" s="245">
        <f t="shared" si="13"/>
        <v>10</v>
      </c>
      <c r="X39" s="247">
        <f t="shared" si="14"/>
        <v>0.66666666666666663</v>
      </c>
      <c r="Y39" s="245" t="s">
        <v>43</v>
      </c>
      <c r="Z39" s="245"/>
      <c r="AA39" s="245"/>
      <c r="AB39" s="245"/>
      <c r="AC39" s="250">
        <v>45871</v>
      </c>
      <c r="AD39" s="245"/>
      <c r="AE39" s="245"/>
      <c r="AF39" s="245"/>
      <c r="AG39" s="245"/>
      <c r="AH39" s="246"/>
    </row>
    <row r="40" spans="1:50">
      <c r="A40" s="245">
        <v>40</v>
      </c>
      <c r="B40" s="246">
        <v>45860</v>
      </c>
      <c r="C40" s="245">
        <f ca="1">IF(B40="","",NETWORKDAYS.INTL(B40,TODAY(),1,'HELPER(Dont Delete)'!A:A))</f>
        <v>109</v>
      </c>
      <c r="D40" s="245" t="str">
        <f t="shared" si="11"/>
        <v/>
      </c>
      <c r="E40" s="245" t="s">
        <v>201</v>
      </c>
      <c r="F40" s="245">
        <v>1</v>
      </c>
      <c r="G40" s="245" t="s">
        <v>111</v>
      </c>
      <c r="H40" s="245" t="s">
        <v>202</v>
      </c>
      <c r="I40" s="245" t="s">
        <v>34</v>
      </c>
      <c r="J40" s="245" t="s">
        <v>35</v>
      </c>
      <c r="K40" s="245" t="s">
        <v>131</v>
      </c>
      <c r="L40" s="253" t="s">
        <v>203</v>
      </c>
      <c r="M40" s="245"/>
      <c r="N40" s="245" t="s">
        <v>204</v>
      </c>
      <c r="O40" s="247">
        <v>0.1</v>
      </c>
      <c r="P40" s="245" t="s">
        <v>205</v>
      </c>
      <c r="Q40" s="245" t="s">
        <v>58</v>
      </c>
      <c r="R40" s="245"/>
      <c r="S40" s="248">
        <f t="shared" si="12"/>
        <v>45860</v>
      </c>
      <c r="T40" s="245"/>
      <c r="U40" s="245">
        <f>COUNTIFS('Candidate Tracker'!D:D,'Position Tracker'!E40,'Candidate Tracker'!V:V, "&lt;&gt;Screening Pending")</f>
        <v>0</v>
      </c>
      <c r="V40" s="245">
        <f>COUNTIFS('Candidate Tracker'!D:D,'Position Tracker'!E40,'Candidate Tracker'!V:V, "Screen Reject")</f>
        <v>0</v>
      </c>
      <c r="W40" s="245">
        <f t="shared" si="13"/>
        <v>0</v>
      </c>
      <c r="X40" s="247">
        <f t="shared" si="14"/>
        <v>0</v>
      </c>
      <c r="Y40" s="246" t="s">
        <v>43</v>
      </c>
      <c r="Z40" s="245"/>
      <c r="AA40" s="246"/>
      <c r="AB40" s="245"/>
      <c r="AC40" s="245"/>
      <c r="AD40" s="245"/>
      <c r="AE40" s="245"/>
      <c r="AF40" s="245"/>
      <c r="AG40" s="245"/>
      <c r="AH40" s="245"/>
      <c r="AN40" s="257"/>
      <c r="AX40" s="258"/>
    </row>
    <row r="41" spans="1:50">
      <c r="A41" s="245">
        <v>41</v>
      </c>
      <c r="B41" s="246">
        <v>45873</v>
      </c>
      <c r="C41" s="245">
        <f ca="1">IF(B41="","",NETWORKDAYS.INTL(B41,TODAY(),1,'HELPER(Dont Delete)'!A:A))</f>
        <v>100</v>
      </c>
      <c r="D41" s="245" t="str">
        <f t="shared" si="11"/>
        <v/>
      </c>
      <c r="E41" s="245" t="s">
        <v>206</v>
      </c>
      <c r="F41" s="245">
        <v>1</v>
      </c>
      <c r="G41" s="245" t="s">
        <v>111</v>
      </c>
      <c r="H41" s="245" t="s">
        <v>207</v>
      </c>
      <c r="I41" s="245" t="s">
        <v>34</v>
      </c>
      <c r="J41" s="245" t="s">
        <v>35</v>
      </c>
      <c r="K41" s="245" t="s">
        <v>62</v>
      </c>
      <c r="L41" s="253" t="s">
        <v>90</v>
      </c>
      <c r="M41" s="245"/>
      <c r="N41" s="245" t="s">
        <v>82</v>
      </c>
      <c r="O41" s="247">
        <v>0.1</v>
      </c>
      <c r="P41" s="245" t="s">
        <v>208</v>
      </c>
      <c r="Q41" s="245" t="s">
        <v>42</v>
      </c>
      <c r="R41" s="245"/>
      <c r="S41" s="248">
        <f t="shared" ref="S41:S42" si="15">B41</f>
        <v>45873</v>
      </c>
      <c r="T41" s="245"/>
      <c r="U41" s="245">
        <f>COUNTIFS('Candidate Tracker'!D:D,'Position Tracker'!E42,'Candidate Tracker'!V:V, "&lt;&gt;Screening Pending")</f>
        <v>4</v>
      </c>
      <c r="V41" s="245">
        <f>COUNTIFS('Candidate Tracker'!D:D,'Position Tracker'!E42,'Candidate Tracker'!V:V, "Screen Reject")</f>
        <v>2</v>
      </c>
      <c r="W41" s="245">
        <f t="shared" si="13"/>
        <v>2</v>
      </c>
      <c r="X41" s="247">
        <f t="shared" si="14"/>
        <v>0.5</v>
      </c>
      <c r="Y41" s="246" t="s">
        <v>51</v>
      </c>
      <c r="Z41" s="245"/>
      <c r="AA41" s="246"/>
      <c r="AB41" s="245"/>
      <c r="AC41" s="250">
        <v>45898</v>
      </c>
      <c r="AD41" s="245"/>
      <c r="AE41" s="245"/>
      <c r="AF41" s="245"/>
      <c r="AG41" s="245"/>
      <c r="AH41" s="245"/>
      <c r="AN41" s="257"/>
      <c r="AX41" s="258"/>
    </row>
    <row r="42" spans="1:50">
      <c r="A42" s="245">
        <v>42</v>
      </c>
      <c r="B42" s="246">
        <v>45881</v>
      </c>
      <c r="C42" s="245">
        <f ca="1">IF(B42="","",NETWORKDAYS.INTL(B42,TODAY(),1,'HELPER(Dont Delete)'!A:A))</f>
        <v>94</v>
      </c>
      <c r="D42" s="245" t="str">
        <f t="shared" si="11"/>
        <v/>
      </c>
      <c r="E42" s="245" t="s">
        <v>209</v>
      </c>
      <c r="F42" s="245">
        <v>1</v>
      </c>
      <c r="G42" s="245" t="s">
        <v>111</v>
      </c>
      <c r="H42" s="245" t="s">
        <v>210</v>
      </c>
      <c r="I42" s="245" t="s">
        <v>34</v>
      </c>
      <c r="J42" s="245" t="s">
        <v>35</v>
      </c>
      <c r="K42" s="245" t="s">
        <v>73</v>
      </c>
      <c r="L42" s="245" t="s">
        <v>104</v>
      </c>
      <c r="M42" s="245"/>
      <c r="N42" s="245" t="s">
        <v>75</v>
      </c>
      <c r="O42" s="247">
        <v>0.1</v>
      </c>
      <c r="P42" s="245" t="s">
        <v>41</v>
      </c>
      <c r="Q42" s="245" t="s">
        <v>42</v>
      </c>
      <c r="R42" s="245"/>
      <c r="S42" s="248">
        <f t="shared" si="15"/>
        <v>45881</v>
      </c>
      <c r="T42" s="245">
        <v>2318</v>
      </c>
      <c r="U42" s="245">
        <f>COUNTIFS('Candidate Tracker'!D:D,'Position Tracker'!E43,'Candidate Tracker'!V:V, "&lt;&gt;Screening Pending")</f>
        <v>9</v>
      </c>
      <c r="V42" s="245">
        <f>COUNTIFS('Candidate Tracker'!D:D,'Position Tracker'!E43,'Candidate Tracker'!V:V, "Screen Reject")</f>
        <v>4</v>
      </c>
      <c r="W42" s="245">
        <f t="shared" si="13"/>
        <v>5</v>
      </c>
      <c r="X42" s="247">
        <f t="shared" si="14"/>
        <v>0.55555555555555558</v>
      </c>
      <c r="Y42" s="245" t="s">
        <v>51</v>
      </c>
      <c r="Z42" s="245"/>
      <c r="AA42" s="245"/>
      <c r="AB42" s="245"/>
      <c r="AC42" s="250">
        <v>45922</v>
      </c>
      <c r="AD42" s="245"/>
      <c r="AE42" s="245"/>
      <c r="AF42" s="245"/>
      <c r="AG42" s="245"/>
      <c r="AH42" s="246"/>
    </row>
    <row r="43" spans="1:50">
      <c r="A43" s="245"/>
      <c r="B43" s="246">
        <v>45923</v>
      </c>
      <c r="C43" s="245">
        <f ca="1">IF(B43="","",NETWORKDAYS.INTL(B43,TODAY(),1,'HELPER(Dont Delete)'!A:A))</f>
        <v>64</v>
      </c>
      <c r="D43" s="245" t="str">
        <f t="shared" ref="D43:D45" ca="1" si="16">IF(J43="Open",
    IF(AND(C43&gt;=0, C43&lt;=30), "0-30",
    IF(AND(C43&gt;=31, C43&lt;=45), "31-45",
    IF(AND(C43&gt;=46, C43&lt;=60), "46-60",
    IF(AND(C43&gt;=61, C43&lt;=75), "61-75",
    IF(AND(C43&gt;=76, C43&lt;=90), "76-90",
    IF(AND(C43&gt;=91, C43&lt;=105), "91-105",
    IF(AND(C43&gt;=106, C43&lt;=120), "106-120",
    IF(C43&gt;120, "120+", "")))))))),"")</f>
        <v>61-75</v>
      </c>
      <c r="E43" s="245" t="s">
        <v>211</v>
      </c>
      <c r="F43" s="245">
        <v>1</v>
      </c>
      <c r="G43" s="245" t="s">
        <v>111</v>
      </c>
      <c r="H43" s="245" t="s">
        <v>34</v>
      </c>
      <c r="I43" s="245" t="s">
        <v>34</v>
      </c>
      <c r="J43" s="245" t="s">
        <v>212</v>
      </c>
      <c r="K43" s="245" t="s">
        <v>213</v>
      </c>
      <c r="L43" s="253" t="s">
        <v>214</v>
      </c>
      <c r="M43" s="245" t="s">
        <v>155</v>
      </c>
      <c r="N43" s="245" t="s">
        <v>106</v>
      </c>
      <c r="O43" s="247">
        <v>0.1</v>
      </c>
      <c r="P43" s="245" t="s">
        <v>215</v>
      </c>
      <c r="Q43" s="245" t="s">
        <v>42</v>
      </c>
      <c r="R43" s="245"/>
      <c r="S43" s="248">
        <f>B43</f>
        <v>45923</v>
      </c>
      <c r="T43" s="245"/>
      <c r="U43" s="245">
        <f>COUNTIFS('Candidate Tracker'!D:D,'Position Tracker'!E43,'Candidate Tracker'!V:V, "&lt;&gt;Screening Pending")</f>
        <v>9</v>
      </c>
      <c r="V43" s="245">
        <f>COUNTIFS('Candidate Tracker'!D:D,'Position Tracker'!E43,'Candidate Tracker'!V:V, "Screen Reject")</f>
        <v>4</v>
      </c>
      <c r="W43" s="245">
        <f t="shared" si="13"/>
        <v>5</v>
      </c>
      <c r="X43" s="247">
        <f t="shared" si="14"/>
        <v>0.55555555555555558</v>
      </c>
      <c r="Y43" s="246" t="s">
        <v>51</v>
      </c>
      <c r="Z43" s="245"/>
      <c r="AA43" s="246"/>
      <c r="AB43" s="245"/>
      <c r="AC43" s="245"/>
      <c r="AD43" s="245"/>
      <c r="AE43" s="245"/>
      <c r="AF43" s="245"/>
      <c r="AG43" s="245"/>
      <c r="AH43" s="245"/>
      <c r="AN43" s="257"/>
      <c r="AX43" s="258"/>
    </row>
    <row r="44" spans="1:50">
      <c r="A44" s="245"/>
      <c r="B44" s="246">
        <v>45940</v>
      </c>
      <c r="C44" s="245">
        <f ca="1">IF(B44="","",NETWORKDAYS.INTL(B44,TODAY(),1,'HELPER(Dont Delete)'!A:A))</f>
        <v>51</v>
      </c>
      <c r="D44" s="245" t="str">
        <f t="shared" ca="1" si="16"/>
        <v>46-60</v>
      </c>
      <c r="E44" s="245" t="s">
        <v>216</v>
      </c>
      <c r="F44" s="245">
        <v>1</v>
      </c>
      <c r="G44" s="245"/>
      <c r="H44" s="245"/>
      <c r="I44" s="245"/>
      <c r="J44" s="245" t="s">
        <v>212</v>
      </c>
      <c r="K44" s="245"/>
      <c r="L44" s="245"/>
      <c r="M44" s="245"/>
      <c r="N44" s="245"/>
      <c r="O44" s="245"/>
      <c r="P44" s="245"/>
      <c r="Q44" s="245"/>
      <c r="R44" s="245">
        <v>3126</v>
      </c>
      <c r="S44" s="245"/>
      <c r="T44" s="245"/>
      <c r="U44" s="245"/>
      <c r="V44" s="245"/>
      <c r="W44" s="245"/>
      <c r="X44" s="245"/>
      <c r="Y44" s="245" t="s">
        <v>60</v>
      </c>
      <c r="Z44" s="245"/>
      <c r="AA44" s="245"/>
      <c r="AB44" s="245"/>
      <c r="AC44" s="245"/>
      <c r="AD44" s="245"/>
      <c r="AE44" s="245"/>
      <c r="AF44" s="245"/>
      <c r="AG44" s="245"/>
      <c r="AH44" s="245"/>
    </row>
    <row r="45" spans="1:50">
      <c r="A45" s="245"/>
      <c r="B45" s="246">
        <v>45940</v>
      </c>
      <c r="C45" s="245">
        <f ca="1">IF(B45="","",NETWORKDAYS.INTL(B45,TODAY(),1,'HELPER(Dont Delete)'!A:A))</f>
        <v>51</v>
      </c>
      <c r="D45" s="245" t="str">
        <f t="shared" ca="1" si="16"/>
        <v>46-60</v>
      </c>
      <c r="E45" s="245" t="s">
        <v>217</v>
      </c>
      <c r="F45" s="245">
        <v>1</v>
      </c>
      <c r="G45" s="245"/>
      <c r="H45" s="245"/>
      <c r="I45" s="245"/>
      <c r="J45" s="245" t="s">
        <v>212</v>
      </c>
      <c r="K45" s="245"/>
      <c r="L45" s="245"/>
      <c r="M45" s="245"/>
      <c r="N45" s="245"/>
      <c r="O45" s="245"/>
      <c r="P45" s="245"/>
      <c r="Q45" s="245"/>
      <c r="R45" s="245">
        <v>3125</v>
      </c>
      <c r="S45" s="245"/>
      <c r="T45" s="245"/>
      <c r="U45" s="245"/>
      <c r="V45" s="245"/>
      <c r="W45" s="245"/>
      <c r="X45" s="245"/>
      <c r="Y45" s="245" t="s">
        <v>60</v>
      </c>
      <c r="Z45" s="245"/>
      <c r="AA45" s="245"/>
      <c r="AB45" s="245"/>
      <c r="AC45" s="245"/>
      <c r="AD45" s="245"/>
      <c r="AE45" s="245"/>
      <c r="AF45" s="245"/>
      <c r="AG45" s="245"/>
      <c r="AH45" s="2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C3AF8-E310-4F8C-85F7-AD0E28EB9683}">
  <dimension ref="A1:AJF466"/>
  <sheetViews>
    <sheetView zoomScaleNormal="100" workbookViewId="0">
      <pane ySplit="176" topLeftCell="A177" activePane="bottomLeft" state="frozen"/>
      <selection pane="bottomLeft" sqref="A1:XFD1048576"/>
    </sheetView>
  </sheetViews>
  <sheetFormatPr defaultColWidth="9.1796875" defaultRowHeight="14.5"/>
  <cols>
    <col min="1" max="1" width="7.1796875" style="53" customWidth="1"/>
    <col min="2" max="2" width="13.54296875" style="53" customWidth="1"/>
    <col min="3" max="3" width="14.54296875" style="53" customWidth="1"/>
    <col min="4" max="4" width="32.7265625" style="53" customWidth="1"/>
    <col min="5" max="5" width="8.7265625" style="53" customWidth="1"/>
    <col min="6" max="6" width="11.54296875" style="53" customWidth="1"/>
    <col min="7" max="7" width="34" style="53" bestFit="1" customWidth="1"/>
    <col min="8" max="8" width="25.54296875" style="53" customWidth="1"/>
    <col min="9" max="9" width="38.26953125" style="53" customWidth="1"/>
    <col min="10" max="10" width="8.54296875" style="53" customWidth="1"/>
    <col min="11" max="12" width="11.453125" style="53" customWidth="1"/>
    <col min="13" max="13" width="28.1796875" style="53" customWidth="1"/>
    <col min="14" max="14" width="29.453125" style="53" customWidth="1"/>
    <col min="15" max="20" width="28.54296875" style="53" customWidth="1"/>
    <col min="21" max="21" width="9.1796875" style="53" customWidth="1"/>
    <col min="22" max="22" width="28.54296875" style="53" customWidth="1"/>
    <col min="23" max="23" width="18.81640625" style="53" customWidth="1"/>
    <col min="24" max="28" width="28.54296875" style="53" customWidth="1"/>
    <col min="29" max="29" width="9.1796875" style="53" customWidth="1"/>
    <col min="30" max="36" width="9.1796875" style="53"/>
    <col min="37" max="37" width="9.1796875" style="53" bestFit="1" customWidth="1"/>
    <col min="38" max="16384" width="9.1796875" style="53"/>
  </cols>
  <sheetData>
    <row r="1" spans="1:49">
      <c r="A1" s="54">
        <v>1</v>
      </c>
      <c r="B1" s="55">
        <v>45219</v>
      </c>
      <c r="C1" s="55">
        <v>45219</v>
      </c>
      <c r="D1" s="56" t="s">
        <v>218</v>
      </c>
      <c r="E1" s="56" t="s">
        <v>219</v>
      </c>
      <c r="F1" s="56" t="s">
        <v>220</v>
      </c>
      <c r="G1" s="56" t="s">
        <v>221</v>
      </c>
      <c r="H1" s="56">
        <v>7004306497</v>
      </c>
      <c r="I1" s="56" t="s">
        <v>222</v>
      </c>
      <c r="J1" s="56" t="s">
        <v>223</v>
      </c>
      <c r="K1" s="56">
        <v>5</v>
      </c>
      <c r="L1" s="56">
        <v>3</v>
      </c>
      <c r="M1" s="56" t="s">
        <v>224</v>
      </c>
      <c r="N1" s="56" t="s">
        <v>225</v>
      </c>
      <c r="O1" s="56">
        <v>8.5</v>
      </c>
      <c r="P1" s="56" t="s">
        <v>226</v>
      </c>
      <c r="Q1" s="56" t="s">
        <v>227</v>
      </c>
      <c r="R1" s="56" t="s">
        <v>228</v>
      </c>
      <c r="S1" s="56"/>
      <c r="T1" s="54" t="s">
        <v>229</v>
      </c>
      <c r="U1" s="54" t="s">
        <v>230</v>
      </c>
      <c r="V1" s="54" t="s">
        <v>231</v>
      </c>
      <c r="W1" s="54"/>
      <c r="X1" s="57">
        <v>45295</v>
      </c>
      <c r="Y1" s="57">
        <v>45296</v>
      </c>
      <c r="Z1" s="54" t="s">
        <v>232</v>
      </c>
      <c r="AA1" s="57"/>
      <c r="AB1" s="54"/>
      <c r="AC1" s="57"/>
      <c r="AD1" s="54"/>
      <c r="AE1" s="57"/>
      <c r="AF1" s="57"/>
      <c r="AG1" s="57"/>
      <c r="AH1" s="57"/>
      <c r="AI1" s="54"/>
      <c r="AJ1" s="54"/>
      <c r="AK1" s="54"/>
      <c r="AL1" s="54"/>
      <c r="AM1" s="54"/>
      <c r="AN1" s="54"/>
      <c r="AO1" s="54"/>
      <c r="AP1" s="54">
        <f>IF(OR(X1="",C1=""),"",NETWORKDAYS.INTL(C1,X1,1,'HELPER(Dont Delete)'!A:A))</f>
        <v>51</v>
      </c>
      <c r="AQ1" s="54">
        <f>IF(OR(X1="",Y1=""),"",NETWORKDAYS.INTL(X1,Y1,1,'HELPER(Dont Delete)'!A:A))</f>
        <v>2</v>
      </c>
      <c r="AR1" s="54" t="str">
        <f>IF(OR(Y1="",AA1=""),"",NETWORKDAYS.INTL(Y1,AA1,1,'HELPER(Dont Delete)'!A:A))</f>
        <v/>
      </c>
      <c r="AS1" s="58"/>
      <c r="AT1" s="54"/>
      <c r="AU1" s="54"/>
      <c r="AV1" s="59"/>
      <c r="AW1" s="59"/>
    </row>
    <row r="2" spans="1:49">
      <c r="A2" s="54">
        <v>2</v>
      </c>
      <c r="B2" s="55">
        <v>45219</v>
      </c>
      <c r="C2" s="55">
        <v>45229</v>
      </c>
      <c r="D2" s="56" t="s">
        <v>218</v>
      </c>
      <c r="E2" s="56" t="s">
        <v>219</v>
      </c>
      <c r="F2" s="56" t="s">
        <v>220</v>
      </c>
      <c r="G2" s="56" t="s">
        <v>233</v>
      </c>
      <c r="H2" s="56">
        <v>9600624431</v>
      </c>
      <c r="I2" s="56" t="s">
        <v>234</v>
      </c>
      <c r="J2" s="56"/>
      <c r="K2" s="56">
        <v>8</v>
      </c>
      <c r="L2" s="56">
        <v>8</v>
      </c>
      <c r="M2" s="56" t="s">
        <v>235</v>
      </c>
      <c r="N2" s="56" t="s">
        <v>236</v>
      </c>
      <c r="O2" s="56">
        <v>10.85</v>
      </c>
      <c r="P2" s="56">
        <v>12.5</v>
      </c>
      <c r="Q2" s="56" t="s">
        <v>237</v>
      </c>
      <c r="R2" s="56" t="s">
        <v>95</v>
      </c>
      <c r="S2" s="56"/>
      <c r="T2" s="54"/>
      <c r="U2" s="54" t="s">
        <v>238</v>
      </c>
      <c r="V2" s="54" t="s">
        <v>239</v>
      </c>
      <c r="W2" s="54"/>
      <c r="X2" s="57">
        <v>45295</v>
      </c>
      <c r="Y2" s="57"/>
      <c r="Z2" s="54"/>
      <c r="AA2" s="57"/>
      <c r="AB2" s="54"/>
      <c r="AC2" s="57"/>
      <c r="AD2" s="54"/>
      <c r="AE2" s="57"/>
      <c r="AF2" s="57"/>
      <c r="AG2" s="57"/>
      <c r="AH2" s="57"/>
      <c r="AI2" s="54"/>
      <c r="AJ2" s="54"/>
      <c r="AK2" s="54"/>
      <c r="AL2" s="54"/>
      <c r="AM2" s="54"/>
      <c r="AN2" s="54"/>
      <c r="AO2" s="54"/>
      <c r="AP2" s="54">
        <f>IF(OR(X2="",C2=""),"",NETWORKDAYS.INTL(C2,X2,1,'HELPER(Dont Delete)'!A:A))</f>
        <v>46</v>
      </c>
      <c r="AQ2" s="54" t="str">
        <f>IF(OR(X2="",Y2=""),"",NETWORKDAYS.INTL(X2,Y2,1,'HELPER(Dont Delete)'!A:A))</f>
        <v/>
      </c>
      <c r="AR2" s="54" t="str">
        <f>IF(OR(Y2="",AA2=""),"",NETWORKDAYS.INTL(Y2,AA2,1,'HELPER(Dont Delete)'!A:A))</f>
        <v/>
      </c>
      <c r="AS2" s="58"/>
      <c r="AT2" s="54"/>
      <c r="AU2" s="54"/>
      <c r="AV2" s="59"/>
      <c r="AW2" s="59"/>
    </row>
    <row r="3" spans="1:49">
      <c r="A3" s="54">
        <v>3</v>
      </c>
      <c r="B3" s="55">
        <v>45219</v>
      </c>
      <c r="C3" s="55">
        <v>45229</v>
      </c>
      <c r="D3" s="56" t="s">
        <v>218</v>
      </c>
      <c r="E3" s="56" t="s">
        <v>219</v>
      </c>
      <c r="F3" s="56" t="s">
        <v>220</v>
      </c>
      <c r="G3" s="56" t="s">
        <v>240</v>
      </c>
      <c r="H3" s="56">
        <v>9501614374</v>
      </c>
      <c r="I3" s="56" t="s">
        <v>241</v>
      </c>
      <c r="J3" s="56"/>
      <c r="K3" s="56">
        <v>5</v>
      </c>
      <c r="L3" s="56">
        <v>5</v>
      </c>
      <c r="M3" s="56" t="s">
        <v>242</v>
      </c>
      <c r="N3" s="56">
        <v>60</v>
      </c>
      <c r="O3" s="56">
        <v>15</v>
      </c>
      <c r="P3" s="56" t="s">
        <v>243</v>
      </c>
      <c r="Q3" s="56" t="s">
        <v>227</v>
      </c>
      <c r="R3" s="56" t="s">
        <v>228</v>
      </c>
      <c r="S3" s="56"/>
      <c r="T3" s="54"/>
      <c r="U3" s="54" t="s">
        <v>238</v>
      </c>
      <c r="V3" s="54" t="s">
        <v>239</v>
      </c>
      <c r="W3" s="54"/>
      <c r="X3" s="57">
        <v>45295</v>
      </c>
      <c r="Y3" s="57"/>
      <c r="Z3" s="54"/>
      <c r="AA3" s="57"/>
      <c r="AB3" s="54"/>
      <c r="AC3" s="57"/>
      <c r="AD3" s="54"/>
      <c r="AE3" s="57"/>
      <c r="AF3" s="57"/>
      <c r="AG3" s="57"/>
      <c r="AH3" s="57"/>
      <c r="AI3" s="54"/>
      <c r="AJ3" s="54"/>
      <c r="AK3" s="54"/>
      <c r="AL3" s="54"/>
      <c r="AM3" s="54"/>
      <c r="AN3" s="54"/>
      <c r="AO3" s="54"/>
      <c r="AP3" s="54">
        <f>IF(OR(X3="",C3=""),"",NETWORKDAYS.INTL(C3,X3,1,'HELPER(Dont Delete)'!A:A))</f>
        <v>46</v>
      </c>
      <c r="AQ3" s="54" t="str">
        <f>IF(OR(X3="",Y3=""),"",NETWORKDAYS.INTL(X3,Y3,1,'HELPER(Dont Delete)'!A:A))</f>
        <v/>
      </c>
      <c r="AR3" s="54" t="str">
        <f>IF(OR(Y3="",AA3=""),"",NETWORKDAYS.INTL(Y3,AA3,1,'HELPER(Dont Delete)'!A:A))</f>
        <v/>
      </c>
      <c r="AS3" s="58"/>
      <c r="AT3" s="54"/>
      <c r="AU3" s="54"/>
      <c r="AV3" s="59"/>
      <c r="AW3" s="59"/>
    </row>
    <row r="4" spans="1:49">
      <c r="A4" s="54">
        <v>4</v>
      </c>
      <c r="B4" s="55">
        <v>45219</v>
      </c>
      <c r="C4" s="55">
        <v>45236</v>
      </c>
      <c r="D4" s="56" t="s">
        <v>218</v>
      </c>
      <c r="E4" s="56" t="s">
        <v>219</v>
      </c>
      <c r="F4" s="56" t="s">
        <v>220</v>
      </c>
      <c r="G4" s="56" t="s">
        <v>244</v>
      </c>
      <c r="H4" s="56">
        <v>9600097730</v>
      </c>
      <c r="I4" s="56" t="s">
        <v>245</v>
      </c>
      <c r="J4" s="56" t="s">
        <v>218</v>
      </c>
      <c r="K4" s="56">
        <v>6</v>
      </c>
      <c r="L4" s="56">
        <v>5</v>
      </c>
      <c r="M4" s="56" t="s">
        <v>246</v>
      </c>
      <c r="N4" s="56">
        <v>60</v>
      </c>
      <c r="O4" s="56">
        <v>6.5</v>
      </c>
      <c r="P4" s="56">
        <v>8</v>
      </c>
      <c r="Q4" s="56" t="s">
        <v>247</v>
      </c>
      <c r="R4" s="56" t="s">
        <v>95</v>
      </c>
      <c r="S4" s="56"/>
      <c r="T4" s="54" t="s">
        <v>248</v>
      </c>
      <c r="U4" s="54" t="s">
        <v>249</v>
      </c>
      <c r="V4" s="54" t="s">
        <v>231</v>
      </c>
      <c r="W4" s="54"/>
      <c r="X4" s="57">
        <v>45295</v>
      </c>
      <c r="Y4" s="57">
        <v>45296</v>
      </c>
      <c r="Z4" s="54" t="s">
        <v>232</v>
      </c>
      <c r="AA4" s="57"/>
      <c r="AB4" s="54"/>
      <c r="AC4" s="57"/>
      <c r="AD4" s="54"/>
      <c r="AE4" s="57"/>
      <c r="AF4" s="57"/>
      <c r="AG4" s="57"/>
      <c r="AH4" s="57"/>
      <c r="AI4" s="54"/>
      <c r="AJ4" s="54"/>
      <c r="AK4" s="54"/>
      <c r="AL4" s="54"/>
      <c r="AM4" s="54"/>
      <c r="AN4" s="54"/>
      <c r="AO4" s="54"/>
      <c r="AP4" s="54">
        <f>IF(OR(X4="",C4=""),"",NETWORKDAYS.INTL(C4,X4,1,'HELPER(Dont Delete)'!A:A))</f>
        <v>41</v>
      </c>
      <c r="AQ4" s="54">
        <f>IF(OR(X4="",Y4=""),"",NETWORKDAYS.INTL(X4,Y4,1,'HELPER(Dont Delete)'!A:A))</f>
        <v>2</v>
      </c>
      <c r="AR4" s="54" t="str">
        <f>IF(OR(Y4="",AA4=""),"",NETWORKDAYS.INTL(Y4,AA4,1,'HELPER(Dont Delete)'!A:A))</f>
        <v/>
      </c>
      <c r="AS4" s="58"/>
      <c r="AT4" s="54"/>
      <c r="AU4" s="54"/>
      <c r="AV4" s="59"/>
      <c r="AW4" s="59"/>
    </row>
    <row r="5" spans="1:49">
      <c r="A5" s="54">
        <v>5</v>
      </c>
      <c r="B5" s="55">
        <v>45275</v>
      </c>
      <c r="C5" s="55">
        <v>45276</v>
      </c>
      <c r="D5" s="56" t="s">
        <v>52</v>
      </c>
      <c r="E5" s="56" t="s">
        <v>219</v>
      </c>
      <c r="F5" s="56" t="s">
        <v>220</v>
      </c>
      <c r="G5" s="56" t="s">
        <v>250</v>
      </c>
      <c r="H5" s="56">
        <v>9711477470</v>
      </c>
      <c r="I5" s="56" t="s">
        <v>251</v>
      </c>
      <c r="J5" s="56" t="s">
        <v>252</v>
      </c>
      <c r="K5" s="56">
        <v>9</v>
      </c>
      <c r="L5" s="56">
        <v>9</v>
      </c>
      <c r="M5" s="56" t="s">
        <v>253</v>
      </c>
      <c r="N5" s="56">
        <v>90</v>
      </c>
      <c r="O5" s="56">
        <v>14</v>
      </c>
      <c r="P5" s="56">
        <v>20</v>
      </c>
      <c r="Q5" s="56" t="s">
        <v>254</v>
      </c>
      <c r="R5" s="56" t="s">
        <v>255</v>
      </c>
      <c r="S5" s="56"/>
      <c r="T5" s="54"/>
      <c r="U5" s="54" t="s">
        <v>230</v>
      </c>
      <c r="V5" s="54" t="s">
        <v>231</v>
      </c>
      <c r="W5" s="54"/>
      <c r="X5" s="57">
        <v>45294</v>
      </c>
      <c r="Y5" s="57">
        <v>45307</v>
      </c>
      <c r="Z5" s="54" t="s">
        <v>232</v>
      </c>
      <c r="AA5" s="57"/>
      <c r="AB5" s="54"/>
      <c r="AC5" s="57"/>
      <c r="AD5" s="54"/>
      <c r="AE5" s="57"/>
      <c r="AF5" s="57"/>
      <c r="AG5" s="57"/>
      <c r="AH5" s="57"/>
      <c r="AI5" s="54"/>
      <c r="AJ5" s="54"/>
      <c r="AK5" s="54"/>
      <c r="AL5" s="54"/>
      <c r="AM5" s="54"/>
      <c r="AN5" s="54"/>
      <c r="AO5" s="54"/>
      <c r="AP5" s="54">
        <f>IF(OR(X5="",C5=""),"",NETWORKDAYS.INTL(C5,X5,1,'HELPER(Dont Delete)'!A:A))</f>
        <v>11</v>
      </c>
      <c r="AQ5" s="54">
        <f>IF(OR(X5="",Y5=""),"",NETWORKDAYS.INTL(X5,Y5,1,'HELPER(Dont Delete)'!A:A))</f>
        <v>9</v>
      </c>
      <c r="AR5" s="54" t="str">
        <f>IF(OR(Y5="",AA5=""),"",NETWORKDAYS.INTL(Y5,AA5,1,'HELPER(Dont Delete)'!A:A))</f>
        <v/>
      </c>
      <c r="AS5" s="58"/>
      <c r="AT5" s="54"/>
      <c r="AU5" s="54"/>
      <c r="AV5" s="59"/>
      <c r="AW5" s="59"/>
    </row>
    <row r="6" spans="1:49">
      <c r="A6" s="54">
        <v>6</v>
      </c>
      <c r="B6" s="55">
        <v>45275</v>
      </c>
      <c r="C6" s="55">
        <v>45276</v>
      </c>
      <c r="D6" s="56" t="s">
        <v>52</v>
      </c>
      <c r="E6" s="56" t="s">
        <v>219</v>
      </c>
      <c r="F6" s="56" t="s">
        <v>220</v>
      </c>
      <c r="G6" s="56" t="s">
        <v>256</v>
      </c>
      <c r="H6" s="56">
        <v>8126580486</v>
      </c>
      <c r="I6" s="56" t="s">
        <v>257</v>
      </c>
      <c r="J6" s="56" t="s">
        <v>258</v>
      </c>
      <c r="K6" s="56">
        <v>15</v>
      </c>
      <c r="L6" s="56">
        <v>15</v>
      </c>
      <c r="M6" s="56" t="s">
        <v>259</v>
      </c>
      <c r="N6" s="56" t="s">
        <v>260</v>
      </c>
      <c r="O6" s="56">
        <v>9.5</v>
      </c>
      <c r="P6" s="56" t="s">
        <v>243</v>
      </c>
      <c r="Q6" s="56" t="s">
        <v>227</v>
      </c>
      <c r="R6" s="56" t="s">
        <v>261</v>
      </c>
      <c r="S6" s="56"/>
      <c r="T6" s="54"/>
      <c r="U6" s="54" t="s">
        <v>230</v>
      </c>
      <c r="V6" s="54" t="s">
        <v>231</v>
      </c>
      <c r="W6" s="54"/>
      <c r="X6" s="57">
        <v>45294</v>
      </c>
      <c r="Y6" s="57">
        <v>45295</v>
      </c>
      <c r="Z6" s="54" t="s">
        <v>232</v>
      </c>
      <c r="AA6" s="57"/>
      <c r="AB6" s="54"/>
      <c r="AC6" s="57"/>
      <c r="AD6" s="54"/>
      <c r="AE6" s="57"/>
      <c r="AF6" s="57"/>
      <c r="AG6" s="57"/>
      <c r="AH6" s="57"/>
      <c r="AI6" s="54"/>
      <c r="AJ6" s="54"/>
      <c r="AK6" s="54"/>
      <c r="AL6" s="54"/>
      <c r="AM6" s="54"/>
      <c r="AN6" s="54"/>
      <c r="AO6" s="54"/>
      <c r="AP6" s="54">
        <f>IF(OR(X6="",C6=""),"",NETWORKDAYS.INTL(C6,X6,1,'HELPER(Dont Delete)'!A:A))</f>
        <v>11</v>
      </c>
      <c r="AQ6" s="54">
        <f>IF(OR(X6="",Y6=""),"",NETWORKDAYS.INTL(X6,Y6,1,'HELPER(Dont Delete)'!A:A))</f>
        <v>2</v>
      </c>
      <c r="AR6" s="54" t="str">
        <f>IF(OR(Y6="",AA6=""),"",NETWORKDAYS.INTL(Y6,AA6,1,'HELPER(Dont Delete)'!A:A))</f>
        <v/>
      </c>
      <c r="AS6" s="58"/>
      <c r="AT6" s="54"/>
      <c r="AU6" s="54"/>
      <c r="AV6" s="59"/>
      <c r="AW6" s="59"/>
    </row>
    <row r="7" spans="1:49">
      <c r="A7" s="54">
        <v>7</v>
      </c>
      <c r="B7" s="55">
        <v>45275</v>
      </c>
      <c r="C7" s="55">
        <v>45276</v>
      </c>
      <c r="D7" s="56" t="s">
        <v>52</v>
      </c>
      <c r="E7" s="56" t="s">
        <v>219</v>
      </c>
      <c r="F7" s="56" t="s">
        <v>220</v>
      </c>
      <c r="G7" s="56" t="s">
        <v>262</v>
      </c>
      <c r="H7" s="56">
        <v>9891020260</v>
      </c>
      <c r="I7" s="56" t="s">
        <v>263</v>
      </c>
      <c r="J7" s="56" t="s">
        <v>264</v>
      </c>
      <c r="K7" s="56">
        <v>11</v>
      </c>
      <c r="L7" s="56">
        <v>11</v>
      </c>
      <c r="M7" s="56" t="s">
        <v>265</v>
      </c>
      <c r="N7" s="56">
        <v>60</v>
      </c>
      <c r="O7" s="56">
        <v>11</v>
      </c>
      <c r="P7" s="56" t="s">
        <v>243</v>
      </c>
      <c r="Q7" s="56" t="s">
        <v>266</v>
      </c>
      <c r="R7" s="56" t="s">
        <v>68</v>
      </c>
      <c r="S7" s="56"/>
      <c r="T7" s="54"/>
      <c r="U7" s="54" t="s">
        <v>230</v>
      </c>
      <c r="V7" s="54" t="s">
        <v>231</v>
      </c>
      <c r="W7" s="54"/>
      <c r="X7" s="57">
        <v>45294</v>
      </c>
      <c r="Y7" s="57">
        <v>45307</v>
      </c>
      <c r="Z7" s="54" t="s">
        <v>232</v>
      </c>
      <c r="AA7" s="57"/>
      <c r="AB7" s="54"/>
      <c r="AC7" s="57"/>
      <c r="AD7" s="54"/>
      <c r="AE7" s="57"/>
      <c r="AF7" s="57"/>
      <c r="AG7" s="57"/>
      <c r="AH7" s="57"/>
      <c r="AI7" s="54"/>
      <c r="AJ7" s="54"/>
      <c r="AK7" s="54"/>
      <c r="AL7" s="54"/>
      <c r="AM7" s="54"/>
      <c r="AN7" s="54"/>
      <c r="AO7" s="54"/>
      <c r="AP7" s="54">
        <f>IF(OR(X7="",C7=""),"",NETWORKDAYS.INTL(C7,X7,1,'HELPER(Dont Delete)'!A:A))</f>
        <v>11</v>
      </c>
      <c r="AQ7" s="54">
        <f>IF(OR(X7="",Y7=""),"",NETWORKDAYS.INTL(X7,Y7,1,'HELPER(Dont Delete)'!A:A))</f>
        <v>9</v>
      </c>
      <c r="AR7" s="54" t="str">
        <f>IF(OR(Y7="",AA7=""),"",NETWORKDAYS.INTL(Y7,AA7,1,'HELPER(Dont Delete)'!A:A))</f>
        <v/>
      </c>
      <c r="AS7" s="58"/>
      <c r="AT7" s="54"/>
      <c r="AU7" s="54"/>
      <c r="AV7" s="59"/>
      <c r="AW7" s="59"/>
    </row>
    <row r="8" spans="1:49">
      <c r="A8" s="54">
        <v>8</v>
      </c>
      <c r="B8" s="55">
        <v>45189</v>
      </c>
      <c r="C8" s="55">
        <v>45276</v>
      </c>
      <c r="D8" s="56" t="s">
        <v>31</v>
      </c>
      <c r="E8" s="56" t="s">
        <v>219</v>
      </c>
      <c r="F8" s="56" t="s">
        <v>220</v>
      </c>
      <c r="G8" s="56" t="s">
        <v>267</v>
      </c>
      <c r="H8" s="56">
        <v>9036897409</v>
      </c>
      <c r="I8" s="56" t="s">
        <v>268</v>
      </c>
      <c r="J8" s="56"/>
      <c r="K8" s="56">
        <v>18</v>
      </c>
      <c r="L8" s="56">
        <v>18</v>
      </c>
      <c r="M8" s="56" t="s">
        <v>269</v>
      </c>
      <c r="N8" s="56">
        <v>60</v>
      </c>
      <c r="O8" s="56">
        <v>17.5</v>
      </c>
      <c r="P8" s="56" t="s">
        <v>270</v>
      </c>
      <c r="Q8" s="56" t="s">
        <v>41</v>
      </c>
      <c r="R8" s="56" t="s">
        <v>42</v>
      </c>
      <c r="S8" s="56"/>
      <c r="T8" s="54"/>
      <c r="U8" s="54" t="s">
        <v>271</v>
      </c>
      <c r="V8" s="54" t="s">
        <v>231</v>
      </c>
      <c r="W8" s="54"/>
      <c r="X8" s="57">
        <v>45405</v>
      </c>
      <c r="Y8" s="57">
        <v>45406</v>
      </c>
      <c r="Z8" s="54" t="s">
        <v>232</v>
      </c>
      <c r="AA8" s="57"/>
      <c r="AB8" s="54"/>
      <c r="AC8" s="57"/>
      <c r="AD8" s="54"/>
      <c r="AE8" s="57"/>
      <c r="AF8" s="57"/>
      <c r="AG8" s="57"/>
      <c r="AH8" s="57"/>
      <c r="AI8" s="54"/>
      <c r="AJ8" s="54"/>
      <c r="AK8" s="54"/>
      <c r="AL8" s="54"/>
      <c r="AM8" s="54"/>
      <c r="AN8" s="54"/>
      <c r="AO8" s="54"/>
      <c r="AP8" s="54">
        <f>IF(OR(X8="",C8=""),"",NETWORKDAYS.INTL(C8,X8,1,'HELPER(Dont Delete)'!A:A))</f>
        <v>76</v>
      </c>
      <c r="AQ8" s="54">
        <f>IF(OR(X8="",Y8=""),"",NETWORKDAYS.INTL(X8,Y8,1,'HELPER(Dont Delete)'!A:A))</f>
        <v>2</v>
      </c>
      <c r="AR8" s="54" t="str">
        <f>IF(OR(Y8="",AA8=""),"",NETWORKDAYS.INTL(Y8,AA8,1,'HELPER(Dont Delete)'!A:A))</f>
        <v/>
      </c>
      <c r="AS8" s="58"/>
      <c r="AT8" s="54"/>
      <c r="AU8" s="54"/>
      <c r="AV8" s="59"/>
      <c r="AW8" s="59"/>
    </row>
    <row r="9" spans="1:49">
      <c r="A9" s="54">
        <v>9</v>
      </c>
      <c r="B9" s="55">
        <v>45219</v>
      </c>
      <c r="C9" s="55">
        <v>45301</v>
      </c>
      <c r="D9" s="56" t="s">
        <v>218</v>
      </c>
      <c r="E9" s="56" t="s">
        <v>219</v>
      </c>
      <c r="F9" s="56" t="s">
        <v>220</v>
      </c>
      <c r="G9" s="56" t="s">
        <v>272</v>
      </c>
      <c r="H9" s="56">
        <v>7306467140</v>
      </c>
      <c r="I9" s="56" t="s">
        <v>273</v>
      </c>
      <c r="J9" s="56" t="s">
        <v>274</v>
      </c>
      <c r="K9" s="56">
        <v>10</v>
      </c>
      <c r="L9" s="56">
        <v>8</v>
      </c>
      <c r="M9" s="56" t="s">
        <v>275</v>
      </c>
      <c r="N9" s="56">
        <v>30</v>
      </c>
      <c r="O9" s="56">
        <v>7</v>
      </c>
      <c r="P9" s="56" t="s">
        <v>276</v>
      </c>
      <c r="Q9" s="56" t="s">
        <v>277</v>
      </c>
      <c r="R9" s="56" t="s">
        <v>278</v>
      </c>
      <c r="S9" s="56"/>
      <c r="T9" s="54"/>
      <c r="U9" s="54" t="s">
        <v>230</v>
      </c>
      <c r="V9" s="54" t="s">
        <v>279</v>
      </c>
      <c r="W9" s="54"/>
      <c r="X9" s="57"/>
      <c r="Y9" s="57"/>
      <c r="Z9" s="54"/>
      <c r="AA9" s="57"/>
      <c r="AB9" s="54"/>
      <c r="AC9" s="57"/>
      <c r="AD9" s="54"/>
      <c r="AE9" s="57"/>
      <c r="AF9" s="57"/>
      <c r="AG9" s="57"/>
      <c r="AH9" s="57"/>
      <c r="AI9" s="54"/>
      <c r="AJ9" s="54"/>
      <c r="AK9" s="54"/>
      <c r="AL9" s="54"/>
      <c r="AM9" s="54"/>
      <c r="AN9" s="54"/>
      <c r="AO9" s="54"/>
      <c r="AP9" s="54" t="str">
        <f>IF(OR(X9="",C9=""),"",NETWORKDAYS.INTL(C9,X9,1,'HELPER(Dont Delete)'!A:A))</f>
        <v/>
      </c>
      <c r="AQ9" s="54" t="str">
        <f>IF(OR(X9="",Y9=""),"",NETWORKDAYS.INTL(X9,Y9,1,'HELPER(Dont Delete)'!A:A))</f>
        <v/>
      </c>
      <c r="AR9" s="54" t="str">
        <f>IF(OR(Y9="",AA9=""),"",NETWORKDAYS.INTL(Y9,AA9,1,'HELPER(Dont Delete)'!A:A))</f>
        <v/>
      </c>
      <c r="AS9" s="58"/>
      <c r="AT9" s="54"/>
      <c r="AU9" s="54"/>
      <c r="AV9" s="59"/>
      <c r="AW9" s="59"/>
    </row>
    <row r="10" spans="1:49">
      <c r="A10" s="54">
        <v>10</v>
      </c>
      <c r="B10" s="55">
        <v>45219</v>
      </c>
      <c r="C10" s="55">
        <v>45301</v>
      </c>
      <c r="D10" s="56" t="s">
        <v>218</v>
      </c>
      <c r="E10" s="56" t="s">
        <v>219</v>
      </c>
      <c r="F10" s="56" t="s">
        <v>220</v>
      </c>
      <c r="G10" s="56" t="s">
        <v>280</v>
      </c>
      <c r="H10" s="56">
        <v>9600696769</v>
      </c>
      <c r="I10" s="56" t="s">
        <v>281</v>
      </c>
      <c r="J10" s="56" t="s">
        <v>282</v>
      </c>
      <c r="K10" s="56">
        <v>8</v>
      </c>
      <c r="L10" s="56">
        <v>8</v>
      </c>
      <c r="M10" s="56" t="s">
        <v>283</v>
      </c>
      <c r="N10" s="56">
        <v>45</v>
      </c>
      <c r="O10" s="56">
        <v>8.5</v>
      </c>
      <c r="P10" s="56" t="s">
        <v>284</v>
      </c>
      <c r="Q10" s="56" t="s">
        <v>227</v>
      </c>
      <c r="R10" s="56" t="s">
        <v>95</v>
      </c>
      <c r="S10" s="56"/>
      <c r="T10" s="54"/>
      <c r="U10" s="54" t="s">
        <v>230</v>
      </c>
      <c r="V10" s="54" t="s">
        <v>279</v>
      </c>
      <c r="W10" s="54"/>
      <c r="X10" s="57"/>
      <c r="Y10" s="57"/>
      <c r="Z10" s="54"/>
      <c r="AA10" s="57"/>
      <c r="AB10" s="54"/>
      <c r="AC10" s="57"/>
      <c r="AD10" s="54"/>
      <c r="AE10" s="57"/>
      <c r="AF10" s="57"/>
      <c r="AG10" s="57"/>
      <c r="AH10" s="57"/>
      <c r="AI10" s="54"/>
      <c r="AJ10" s="54"/>
      <c r="AK10" s="54"/>
      <c r="AL10" s="54"/>
      <c r="AM10" s="54"/>
      <c r="AN10" s="54"/>
      <c r="AO10" s="54"/>
      <c r="AP10" s="54" t="str">
        <f>IF(OR(X10="",C10=""),"",NETWORKDAYS.INTL(C10,X10,1,'HELPER(Dont Delete)'!A:A))</f>
        <v/>
      </c>
      <c r="AQ10" s="54" t="str">
        <f>IF(OR(X10="",Y10=""),"",NETWORKDAYS.INTL(X10,Y10,1,'HELPER(Dont Delete)'!A:A))</f>
        <v/>
      </c>
      <c r="AR10" s="54" t="str">
        <f>IF(OR(Y10="",AA10=""),"",NETWORKDAYS.INTL(Y10,AA10,1,'HELPER(Dont Delete)'!A:A))</f>
        <v/>
      </c>
      <c r="AS10" s="58"/>
      <c r="AT10" s="54"/>
      <c r="AU10" s="54"/>
      <c r="AV10" s="59"/>
      <c r="AW10" s="59"/>
    </row>
    <row r="11" spans="1:49">
      <c r="A11" s="54">
        <v>11</v>
      </c>
      <c r="B11" s="55">
        <v>45275</v>
      </c>
      <c r="C11" s="55">
        <v>45310</v>
      </c>
      <c r="D11" s="56" t="s">
        <v>52</v>
      </c>
      <c r="E11" s="56" t="s">
        <v>219</v>
      </c>
      <c r="F11" s="56" t="s">
        <v>220</v>
      </c>
      <c r="G11" s="56" t="s">
        <v>285</v>
      </c>
      <c r="H11" s="56">
        <v>9968231511</v>
      </c>
      <c r="I11" s="54" t="s">
        <v>286</v>
      </c>
      <c r="J11" s="56" t="s">
        <v>287</v>
      </c>
      <c r="K11" s="56">
        <v>14</v>
      </c>
      <c r="L11" s="56">
        <v>14</v>
      </c>
      <c r="M11" s="56" t="s">
        <v>288</v>
      </c>
      <c r="N11" s="56">
        <v>30</v>
      </c>
      <c r="O11" s="56">
        <v>11.7</v>
      </c>
      <c r="P11" s="56" t="s">
        <v>243</v>
      </c>
      <c r="Q11" s="56" t="s">
        <v>289</v>
      </c>
      <c r="R11" s="56" t="s">
        <v>290</v>
      </c>
      <c r="S11" s="56"/>
      <c r="T11" s="54"/>
      <c r="U11" s="54" t="s">
        <v>230</v>
      </c>
      <c r="V11" s="54" t="s">
        <v>291</v>
      </c>
      <c r="W11" s="54"/>
      <c r="X11" s="57">
        <v>45316</v>
      </c>
      <c r="Y11" s="57"/>
      <c r="Z11" s="54"/>
      <c r="AA11" s="57"/>
      <c r="AB11" s="54"/>
      <c r="AC11" s="57"/>
      <c r="AD11" s="54"/>
      <c r="AE11" s="57"/>
      <c r="AF11" s="57"/>
      <c r="AG11" s="57"/>
      <c r="AH11" s="57"/>
      <c r="AI11" s="54"/>
      <c r="AJ11" s="54"/>
      <c r="AK11" s="54"/>
      <c r="AL11" s="54"/>
      <c r="AM11" s="54"/>
      <c r="AN11" s="54"/>
      <c r="AO11" s="54"/>
      <c r="AP11" s="54">
        <f>IF(OR(X11="",C11=""),"",NETWORKDAYS.INTL(C11,X11,1,'HELPER(Dont Delete)'!A:A))</f>
        <v>4</v>
      </c>
      <c r="AQ11" s="54" t="str">
        <f>IF(OR(X11="",Y11=""),"",NETWORKDAYS.INTL(X11,Y11,1,'HELPER(Dont Delete)'!A:A))</f>
        <v/>
      </c>
      <c r="AR11" s="54" t="str">
        <f>IF(OR(Y11="",AA11=""),"",NETWORKDAYS.INTL(Y11,AA11,1,'HELPER(Dont Delete)'!A:A))</f>
        <v/>
      </c>
      <c r="AS11" s="58"/>
      <c r="AT11" s="54"/>
      <c r="AU11" s="54"/>
      <c r="AV11" s="59"/>
      <c r="AW11" s="59"/>
    </row>
    <row r="12" spans="1:49">
      <c r="A12" s="54">
        <v>12</v>
      </c>
      <c r="B12" s="55">
        <v>45275</v>
      </c>
      <c r="C12" s="55">
        <v>45310</v>
      </c>
      <c r="D12" s="56" t="s">
        <v>52</v>
      </c>
      <c r="E12" s="56" t="s">
        <v>219</v>
      </c>
      <c r="F12" s="56" t="s">
        <v>220</v>
      </c>
      <c r="G12" s="56" t="s">
        <v>292</v>
      </c>
      <c r="H12" s="56">
        <v>8427060151</v>
      </c>
      <c r="I12" s="54" t="s">
        <v>293</v>
      </c>
      <c r="J12" s="56" t="s">
        <v>294</v>
      </c>
      <c r="K12" s="56">
        <v>15</v>
      </c>
      <c r="L12" s="56">
        <v>15</v>
      </c>
      <c r="M12" s="56" t="s">
        <v>295</v>
      </c>
      <c r="N12" s="56">
        <v>60</v>
      </c>
      <c r="O12" s="56">
        <v>15</v>
      </c>
      <c r="P12" s="56">
        <v>18</v>
      </c>
      <c r="Q12" s="56" t="s">
        <v>289</v>
      </c>
      <c r="R12" s="56" t="s">
        <v>296</v>
      </c>
      <c r="S12" s="56"/>
      <c r="T12" s="54"/>
      <c r="U12" s="54" t="s">
        <v>230</v>
      </c>
      <c r="V12" s="54" t="s">
        <v>231</v>
      </c>
      <c r="W12" s="54"/>
      <c r="X12" s="57">
        <v>45316</v>
      </c>
      <c r="Y12" s="57"/>
      <c r="Z12" s="54"/>
      <c r="AA12" s="57"/>
      <c r="AB12" s="54"/>
      <c r="AC12" s="57"/>
      <c r="AD12" s="54"/>
      <c r="AE12" s="57"/>
      <c r="AF12" s="57"/>
      <c r="AG12" s="57"/>
      <c r="AH12" s="57"/>
      <c r="AI12" s="54"/>
      <c r="AJ12" s="54"/>
      <c r="AK12" s="54"/>
      <c r="AL12" s="54"/>
      <c r="AM12" s="54"/>
      <c r="AN12" s="54"/>
      <c r="AO12" s="54"/>
      <c r="AP12" s="54">
        <f>IF(OR(X12="",C12=""),"",NETWORKDAYS.INTL(C12,X12,1,'HELPER(Dont Delete)'!A:A))</f>
        <v>4</v>
      </c>
      <c r="AQ12" s="54" t="str">
        <f>IF(OR(X12="",Y12=""),"",NETWORKDAYS.INTL(X12,Y12,1,'HELPER(Dont Delete)'!A:A))</f>
        <v/>
      </c>
      <c r="AR12" s="54" t="str">
        <f>IF(OR(Y12="",AA12=""),"",NETWORKDAYS.INTL(Y12,AA12,1,'HELPER(Dont Delete)'!A:A))</f>
        <v/>
      </c>
      <c r="AS12" s="58"/>
      <c r="AT12" s="54"/>
      <c r="AU12" s="54"/>
      <c r="AV12" s="59"/>
      <c r="AW12" s="59"/>
    </row>
    <row r="13" spans="1:49">
      <c r="A13" s="54">
        <v>13</v>
      </c>
      <c r="B13" s="55">
        <v>45324</v>
      </c>
      <c r="C13" s="55">
        <v>45327</v>
      </c>
      <c r="D13" s="60" t="s">
        <v>67</v>
      </c>
      <c r="E13" s="56" t="s">
        <v>219</v>
      </c>
      <c r="F13" s="56" t="s">
        <v>220</v>
      </c>
      <c r="G13" s="56" t="s">
        <v>297</v>
      </c>
      <c r="H13" s="56">
        <v>9999254190</v>
      </c>
      <c r="I13" s="56"/>
      <c r="J13" s="56"/>
      <c r="K13" s="56">
        <v>8</v>
      </c>
      <c r="L13" s="56">
        <v>5</v>
      </c>
      <c r="M13" s="56" t="s">
        <v>298</v>
      </c>
      <c r="N13" s="56">
        <v>60</v>
      </c>
      <c r="O13" s="56"/>
      <c r="P13" s="56"/>
      <c r="Q13" s="56" t="s">
        <v>227</v>
      </c>
      <c r="R13" s="56" t="s">
        <v>299</v>
      </c>
      <c r="S13" s="56"/>
      <c r="T13" s="54"/>
      <c r="U13" s="54" t="s">
        <v>230</v>
      </c>
      <c r="V13" s="54" t="s">
        <v>239</v>
      </c>
      <c r="W13" s="54"/>
      <c r="X13" s="57">
        <v>45330</v>
      </c>
      <c r="Y13" s="57"/>
      <c r="Z13" s="57">
        <v>45342</v>
      </c>
      <c r="AA13" s="57"/>
      <c r="AB13" s="54"/>
      <c r="AC13" s="57"/>
      <c r="AD13" s="54"/>
      <c r="AE13" s="57"/>
      <c r="AF13" s="57"/>
      <c r="AG13" s="57"/>
      <c r="AH13" s="57"/>
      <c r="AI13" s="54"/>
      <c r="AJ13" s="54"/>
      <c r="AK13" s="54"/>
      <c r="AL13" s="54"/>
      <c r="AM13" s="54"/>
      <c r="AN13" s="54"/>
      <c r="AO13" s="54"/>
      <c r="AP13" s="54">
        <f>IF(OR(X13="",C13=""),"",NETWORKDAYS.INTL(C13,X13,1,'HELPER(Dont Delete)'!A:A))</f>
        <v>4</v>
      </c>
      <c r="AQ13" s="54" t="str">
        <f>IF(OR(X13="",Y13=""),"",NETWORKDAYS.INTL(X13,Y13,1,'HELPER(Dont Delete)'!A:A))</f>
        <v/>
      </c>
      <c r="AR13" s="54" t="str">
        <f>IF(OR(Y13="",AA13=""),"",NETWORKDAYS.INTL(Y13,AA13,1,'HELPER(Dont Delete)'!A:A))</f>
        <v/>
      </c>
      <c r="AS13" s="58"/>
      <c r="AT13" s="54"/>
      <c r="AU13" s="54"/>
      <c r="AV13" s="59"/>
      <c r="AW13" s="59"/>
    </row>
    <row r="14" spans="1:49">
      <c r="A14" s="54">
        <v>14</v>
      </c>
      <c r="B14" s="55">
        <v>45324</v>
      </c>
      <c r="C14" s="55">
        <v>45327</v>
      </c>
      <c r="D14" s="60" t="s">
        <v>67</v>
      </c>
      <c r="E14" s="56" t="s">
        <v>219</v>
      </c>
      <c r="F14" s="56" t="s">
        <v>220</v>
      </c>
      <c r="G14" s="56" t="s">
        <v>300</v>
      </c>
      <c r="H14" s="56">
        <v>8741855547</v>
      </c>
      <c r="I14" s="54" t="s">
        <v>301</v>
      </c>
      <c r="J14" s="56"/>
      <c r="K14" s="56">
        <v>12</v>
      </c>
      <c r="L14" s="56">
        <v>8.5</v>
      </c>
      <c r="M14" s="56" t="s">
        <v>302</v>
      </c>
      <c r="N14" s="56">
        <v>30</v>
      </c>
      <c r="O14" s="56"/>
      <c r="P14" s="56"/>
      <c r="Q14" s="56" t="s">
        <v>303</v>
      </c>
      <c r="R14" s="56" t="s">
        <v>68</v>
      </c>
      <c r="S14" s="56"/>
      <c r="T14" s="54"/>
      <c r="U14" s="54" t="s">
        <v>230</v>
      </c>
      <c r="V14" s="54" t="s">
        <v>239</v>
      </c>
      <c r="W14" s="54"/>
      <c r="X14" s="57">
        <v>45330</v>
      </c>
      <c r="Y14" s="57"/>
      <c r="Z14" s="57">
        <v>45342</v>
      </c>
      <c r="AA14" s="57"/>
      <c r="AB14" s="54"/>
      <c r="AC14" s="57"/>
      <c r="AD14" s="54"/>
      <c r="AE14" s="57"/>
      <c r="AF14" s="57"/>
      <c r="AG14" s="57"/>
      <c r="AH14" s="57"/>
      <c r="AI14" s="54"/>
      <c r="AJ14" s="54"/>
      <c r="AK14" s="54"/>
      <c r="AL14" s="54"/>
      <c r="AM14" s="54"/>
      <c r="AN14" s="54"/>
      <c r="AO14" s="54"/>
      <c r="AP14" s="54">
        <f>IF(OR(X14="",C14=""),"",NETWORKDAYS.INTL(C14,X14,1,'HELPER(Dont Delete)'!A:A))</f>
        <v>4</v>
      </c>
      <c r="AQ14" s="54" t="str">
        <f>IF(OR(X14="",Y14=""),"",NETWORKDAYS.INTL(X14,Y14,1,'HELPER(Dont Delete)'!A:A))</f>
        <v/>
      </c>
      <c r="AR14" s="54" t="str">
        <f>IF(OR(Y14="",AA14=""),"",NETWORKDAYS.INTL(Y14,AA14,1,'HELPER(Dont Delete)'!A:A))</f>
        <v/>
      </c>
      <c r="AS14" s="58"/>
      <c r="AT14" s="54"/>
      <c r="AU14" s="54"/>
      <c r="AV14" s="59"/>
      <c r="AW14" s="59"/>
    </row>
    <row r="15" spans="1:49">
      <c r="A15" s="54">
        <v>15</v>
      </c>
      <c r="B15" s="55">
        <v>45324</v>
      </c>
      <c r="C15" s="55">
        <v>45327</v>
      </c>
      <c r="D15" s="60" t="s">
        <v>67</v>
      </c>
      <c r="E15" s="56" t="s">
        <v>219</v>
      </c>
      <c r="F15" s="56" t="s">
        <v>220</v>
      </c>
      <c r="G15" s="56" t="s">
        <v>304</v>
      </c>
      <c r="H15" s="56">
        <v>8742967460</v>
      </c>
      <c r="I15" s="54" t="s">
        <v>305</v>
      </c>
      <c r="J15" s="56"/>
      <c r="K15" s="56">
        <v>7</v>
      </c>
      <c r="L15" s="56">
        <v>5</v>
      </c>
      <c r="M15" s="56" t="s">
        <v>306</v>
      </c>
      <c r="N15" s="56">
        <v>60</v>
      </c>
      <c r="O15" s="56"/>
      <c r="P15" s="56"/>
      <c r="Q15" s="56" t="s">
        <v>307</v>
      </c>
      <c r="R15" s="56" t="s">
        <v>68</v>
      </c>
      <c r="S15" s="56"/>
      <c r="T15" s="54"/>
      <c r="U15" s="54" t="s">
        <v>230</v>
      </c>
      <c r="V15" s="54" t="s">
        <v>239</v>
      </c>
      <c r="W15" s="54"/>
      <c r="X15" s="57">
        <v>45330</v>
      </c>
      <c r="Y15" s="57"/>
      <c r="Z15" s="57"/>
      <c r="AA15" s="57"/>
      <c r="AB15" s="54"/>
      <c r="AC15" s="57"/>
      <c r="AD15" s="54"/>
      <c r="AE15" s="57"/>
      <c r="AF15" s="57"/>
      <c r="AG15" s="57"/>
      <c r="AH15" s="57"/>
      <c r="AI15" s="54"/>
      <c r="AJ15" s="54"/>
      <c r="AK15" s="54"/>
      <c r="AL15" s="54"/>
      <c r="AM15" s="54"/>
      <c r="AN15" s="54"/>
      <c r="AO15" s="54"/>
      <c r="AP15" s="54">
        <f>IF(OR(X15="",C15=""),"",NETWORKDAYS.INTL(C15,X15,1,'HELPER(Dont Delete)'!A:A))</f>
        <v>4</v>
      </c>
      <c r="AQ15" s="54" t="str">
        <f>IF(OR(X15="",Y15=""),"",NETWORKDAYS.INTL(X15,Y15,1,'HELPER(Dont Delete)'!A:A))</f>
        <v/>
      </c>
      <c r="AR15" s="54" t="str">
        <f>IF(OR(Y15="",AA15=""),"",NETWORKDAYS.INTL(Y15,AA15,1,'HELPER(Dont Delete)'!A:A))</f>
        <v/>
      </c>
      <c r="AS15" s="58"/>
      <c r="AT15" s="54"/>
      <c r="AU15" s="54"/>
      <c r="AV15" s="59"/>
      <c r="AW15" s="59"/>
    </row>
    <row r="16" spans="1:49">
      <c r="A16" s="54">
        <v>16</v>
      </c>
      <c r="B16" s="55">
        <v>45324</v>
      </c>
      <c r="C16" s="55">
        <v>45337</v>
      </c>
      <c r="D16" s="60" t="s">
        <v>67</v>
      </c>
      <c r="E16" s="56" t="s">
        <v>219</v>
      </c>
      <c r="F16" s="56" t="s">
        <v>220</v>
      </c>
      <c r="G16" s="56" t="s">
        <v>308</v>
      </c>
      <c r="H16" s="56">
        <v>7060796556</v>
      </c>
      <c r="I16" s="54" t="s">
        <v>309</v>
      </c>
      <c r="J16" s="56"/>
      <c r="K16" s="56">
        <v>4.5</v>
      </c>
      <c r="L16" s="56">
        <v>4.5</v>
      </c>
      <c r="M16" s="56" t="s">
        <v>310</v>
      </c>
      <c r="N16" s="56" t="s">
        <v>311</v>
      </c>
      <c r="O16" s="56" t="s">
        <v>312</v>
      </c>
      <c r="P16" s="56" t="s">
        <v>313</v>
      </c>
      <c r="Q16" s="56" t="s">
        <v>314</v>
      </c>
      <c r="R16" s="56" t="s">
        <v>315</v>
      </c>
      <c r="S16" s="56"/>
      <c r="T16" s="54"/>
      <c r="U16" s="54" t="s">
        <v>238</v>
      </c>
      <c r="V16" s="54" t="s">
        <v>239</v>
      </c>
      <c r="W16" s="54"/>
      <c r="X16" s="57">
        <v>45343</v>
      </c>
      <c r="Y16" s="57"/>
      <c r="Z16" s="57">
        <v>45344</v>
      </c>
      <c r="AA16" s="57"/>
      <c r="AB16" s="54"/>
      <c r="AC16" s="57"/>
      <c r="AD16" s="54"/>
      <c r="AE16" s="57"/>
      <c r="AF16" s="57"/>
      <c r="AG16" s="57"/>
      <c r="AH16" s="57"/>
      <c r="AI16" s="54"/>
      <c r="AJ16" s="54"/>
      <c r="AK16" s="54"/>
      <c r="AL16" s="54"/>
      <c r="AM16" s="54"/>
      <c r="AN16" s="54"/>
      <c r="AO16" s="54"/>
      <c r="AP16" s="54">
        <f>IF(OR(X16="",C16=""),"",NETWORKDAYS.INTL(C16,X16,1,'HELPER(Dont Delete)'!A:A))</f>
        <v>4</v>
      </c>
      <c r="AQ16" s="54" t="str">
        <f>IF(OR(X16="",Y16=""),"",NETWORKDAYS.INTL(X16,Y16,1,'HELPER(Dont Delete)'!A:A))</f>
        <v/>
      </c>
      <c r="AR16" s="54" t="str">
        <f>IF(OR(Y16="",AA16=""),"",NETWORKDAYS.INTL(Y16,AA16,1,'HELPER(Dont Delete)'!A:A))</f>
        <v/>
      </c>
      <c r="AS16" s="58"/>
      <c r="AT16" s="54"/>
      <c r="AU16" s="54"/>
      <c r="AV16" s="59"/>
      <c r="AW16" s="59"/>
    </row>
    <row r="17" spans="1:49">
      <c r="A17" s="54">
        <v>17</v>
      </c>
      <c r="B17" s="55">
        <v>45324</v>
      </c>
      <c r="C17" s="55">
        <v>45337</v>
      </c>
      <c r="D17" s="60" t="s">
        <v>67</v>
      </c>
      <c r="E17" s="56" t="s">
        <v>219</v>
      </c>
      <c r="F17" s="56" t="s">
        <v>220</v>
      </c>
      <c r="G17" s="56" t="s">
        <v>316</v>
      </c>
      <c r="H17" s="56">
        <v>9871631046</v>
      </c>
      <c r="I17" s="54" t="s">
        <v>317</v>
      </c>
      <c r="J17" s="56"/>
      <c r="K17" s="56">
        <v>8.5</v>
      </c>
      <c r="L17" s="56">
        <v>8.5</v>
      </c>
      <c r="M17" s="56" t="s">
        <v>310</v>
      </c>
      <c r="N17" s="56" t="s">
        <v>318</v>
      </c>
      <c r="O17" s="56" t="s">
        <v>319</v>
      </c>
      <c r="P17" s="56" t="s">
        <v>320</v>
      </c>
      <c r="Q17" s="56" t="s">
        <v>321</v>
      </c>
      <c r="R17" s="56" t="s">
        <v>315</v>
      </c>
      <c r="S17" s="56"/>
      <c r="T17" s="54"/>
      <c r="U17" s="54" t="s">
        <v>238</v>
      </c>
      <c r="V17" s="54" t="s">
        <v>231</v>
      </c>
      <c r="W17" s="54"/>
      <c r="X17" s="57">
        <v>45343</v>
      </c>
      <c r="Y17" s="57"/>
      <c r="Z17" s="57">
        <v>45344</v>
      </c>
      <c r="AA17" s="57"/>
      <c r="AB17" s="54"/>
      <c r="AC17" s="57"/>
      <c r="AD17" s="54"/>
      <c r="AE17" s="57"/>
      <c r="AF17" s="57"/>
      <c r="AG17" s="57"/>
      <c r="AH17" s="57"/>
      <c r="AI17" s="54"/>
      <c r="AJ17" s="54"/>
      <c r="AK17" s="54"/>
      <c r="AL17" s="54"/>
      <c r="AM17" s="54"/>
      <c r="AN17" s="54"/>
      <c r="AO17" s="54"/>
      <c r="AP17" s="54">
        <f>IF(OR(X17="",C17=""),"",NETWORKDAYS.INTL(C17,X17,1,'HELPER(Dont Delete)'!A:A))</f>
        <v>4</v>
      </c>
      <c r="AQ17" s="54" t="str">
        <f>IF(OR(X17="",Y17=""),"",NETWORKDAYS.INTL(X17,Y17,1,'HELPER(Dont Delete)'!A:A))</f>
        <v/>
      </c>
      <c r="AR17" s="54" t="str">
        <f>IF(OR(Y17="",AA17=""),"",NETWORKDAYS.INTL(Y17,AA17,1,'HELPER(Dont Delete)'!A:A))</f>
        <v/>
      </c>
      <c r="AS17" s="58"/>
      <c r="AT17" s="54"/>
      <c r="AU17" s="54"/>
      <c r="AV17" s="59"/>
      <c r="AW17" s="59"/>
    </row>
    <row r="18" spans="1:49">
      <c r="A18" s="54">
        <v>18</v>
      </c>
      <c r="B18" s="55">
        <v>45324</v>
      </c>
      <c r="C18" s="55">
        <v>45351</v>
      </c>
      <c r="D18" s="60" t="s">
        <v>67</v>
      </c>
      <c r="E18" s="56" t="s">
        <v>219</v>
      </c>
      <c r="F18" s="56" t="s">
        <v>220</v>
      </c>
      <c r="G18" s="56" t="s">
        <v>322</v>
      </c>
      <c r="H18" s="56">
        <v>8800334384</v>
      </c>
      <c r="I18" s="54" t="s">
        <v>323</v>
      </c>
      <c r="J18" s="56" t="s">
        <v>324</v>
      </c>
      <c r="K18" s="56">
        <v>12</v>
      </c>
      <c r="L18" s="56" t="s">
        <v>325</v>
      </c>
      <c r="M18" s="56" t="s">
        <v>326</v>
      </c>
      <c r="N18" s="56">
        <v>30</v>
      </c>
      <c r="O18" s="56">
        <v>7</v>
      </c>
      <c r="P18" s="56" t="s">
        <v>327</v>
      </c>
      <c r="Q18" s="56" t="s">
        <v>328</v>
      </c>
      <c r="R18" s="56" t="s">
        <v>329</v>
      </c>
      <c r="S18" s="56"/>
      <c r="T18" s="54"/>
      <c r="U18" s="54" t="s">
        <v>330</v>
      </c>
      <c r="V18" s="54" t="s">
        <v>331</v>
      </c>
      <c r="W18" s="54"/>
      <c r="X18" s="57">
        <v>45352</v>
      </c>
      <c r="Y18" s="57"/>
      <c r="Z18" s="54"/>
      <c r="AA18" s="57"/>
      <c r="AB18" s="54"/>
      <c r="AC18" s="57"/>
      <c r="AD18" s="54"/>
      <c r="AE18" s="57"/>
      <c r="AF18" s="57"/>
      <c r="AG18" s="57"/>
      <c r="AH18" s="57"/>
      <c r="AI18" s="54"/>
      <c r="AJ18" s="54"/>
      <c r="AK18" s="54"/>
      <c r="AL18" s="54"/>
      <c r="AM18" s="54"/>
      <c r="AN18" s="54"/>
      <c r="AO18" s="54"/>
      <c r="AP18" s="54">
        <f>IF(OR(X18="",C18=""),"",NETWORKDAYS.INTL(C18,X18,1,'HELPER(Dont Delete)'!A:A))</f>
        <v>2</v>
      </c>
      <c r="AQ18" s="54" t="str">
        <f>IF(OR(X18="",Y18=""),"",NETWORKDAYS.INTL(X18,Y18,1,'HELPER(Dont Delete)'!A:A))</f>
        <v/>
      </c>
      <c r="AR18" s="54" t="str">
        <f>IF(OR(Y18="",AA18=""),"",NETWORKDAYS.INTL(Y18,AA18,1,'HELPER(Dont Delete)'!A:A))</f>
        <v/>
      </c>
      <c r="AS18" s="58"/>
      <c r="AT18" s="54"/>
      <c r="AU18" s="54"/>
      <c r="AV18" s="59"/>
      <c r="AW18" s="59"/>
    </row>
    <row r="19" spans="1:49">
      <c r="A19" s="54">
        <v>19</v>
      </c>
      <c r="B19" s="55">
        <v>45324</v>
      </c>
      <c r="C19" s="55">
        <v>45351</v>
      </c>
      <c r="D19" s="60" t="s">
        <v>61</v>
      </c>
      <c r="E19" s="56" t="s">
        <v>219</v>
      </c>
      <c r="F19" s="56" t="s">
        <v>220</v>
      </c>
      <c r="G19" s="56" t="s">
        <v>332</v>
      </c>
      <c r="H19" s="56">
        <v>8210445564</v>
      </c>
      <c r="I19" s="54" t="s">
        <v>333</v>
      </c>
      <c r="J19" s="56" t="s">
        <v>324</v>
      </c>
      <c r="K19" s="61">
        <v>30</v>
      </c>
      <c r="L19" s="56" t="s">
        <v>334</v>
      </c>
      <c r="M19" s="56" t="s">
        <v>335</v>
      </c>
      <c r="N19" s="56">
        <v>60</v>
      </c>
      <c r="O19" s="56">
        <v>7</v>
      </c>
      <c r="P19" s="56" t="s">
        <v>336</v>
      </c>
      <c r="Q19" s="56" t="s">
        <v>337</v>
      </c>
      <c r="R19" s="56" t="s">
        <v>338</v>
      </c>
      <c r="S19" s="56"/>
      <c r="T19" s="54"/>
      <c r="U19" s="54" t="s">
        <v>330</v>
      </c>
      <c r="V19" s="54" t="s">
        <v>339</v>
      </c>
      <c r="W19" s="54" t="s">
        <v>54</v>
      </c>
      <c r="X19" s="57">
        <v>45352</v>
      </c>
      <c r="Y19" s="57">
        <v>45355</v>
      </c>
      <c r="Z19" s="54" t="s">
        <v>340</v>
      </c>
      <c r="AA19" s="57"/>
      <c r="AB19" s="54"/>
      <c r="AC19" s="57"/>
      <c r="AD19" s="54"/>
      <c r="AE19" s="57"/>
      <c r="AF19" s="57"/>
      <c r="AG19" s="57">
        <v>45369</v>
      </c>
      <c r="AH19" s="57"/>
      <c r="AI19" s="54"/>
      <c r="AJ19" s="54"/>
      <c r="AK19" s="54"/>
      <c r="AL19" s="54"/>
      <c r="AM19" s="54"/>
      <c r="AN19" s="54"/>
      <c r="AO19" s="54"/>
      <c r="AP19" s="54">
        <f>IF(OR(X19="",C19=""),"",NETWORKDAYS.INTL(C19,X19,1,'HELPER(Dont Delete)'!A:A))</f>
        <v>2</v>
      </c>
      <c r="AQ19" s="54">
        <f>IF(OR(X19="",Y19=""),"",NETWORKDAYS.INTL(X19,Y19,1,'HELPER(Dont Delete)'!A:A))</f>
        <v>2</v>
      </c>
      <c r="AR19" s="54" t="str">
        <f>IF(OR(Y19="",AA19=""),"",NETWORKDAYS.INTL(Y19,AA19,1,'HELPER(Dont Delete)'!A:A))</f>
        <v/>
      </c>
      <c r="AS19" s="58"/>
      <c r="AT19" s="54"/>
      <c r="AU19" s="54"/>
      <c r="AV19" s="59"/>
      <c r="AW19" s="59"/>
    </row>
    <row r="20" spans="1:49">
      <c r="A20" s="54">
        <v>20</v>
      </c>
      <c r="B20" s="55">
        <v>45324</v>
      </c>
      <c r="C20" s="55">
        <v>45351</v>
      </c>
      <c r="D20" s="60" t="s">
        <v>67</v>
      </c>
      <c r="E20" s="56" t="s">
        <v>219</v>
      </c>
      <c r="F20" s="56" t="s">
        <v>220</v>
      </c>
      <c r="G20" s="56" t="s">
        <v>341</v>
      </c>
      <c r="H20" s="56">
        <v>8373994823</v>
      </c>
      <c r="I20" s="54" t="s">
        <v>342</v>
      </c>
      <c r="J20" s="56" t="s">
        <v>324</v>
      </c>
      <c r="K20" s="56" t="s">
        <v>343</v>
      </c>
      <c r="L20" s="56" t="s">
        <v>344</v>
      </c>
      <c r="M20" s="56" t="s">
        <v>345</v>
      </c>
      <c r="N20" s="56">
        <v>30</v>
      </c>
      <c r="O20" s="56">
        <v>10.199999999999999</v>
      </c>
      <c r="P20" s="56" t="s">
        <v>346</v>
      </c>
      <c r="Q20" s="56" t="s">
        <v>347</v>
      </c>
      <c r="R20" s="56" t="s">
        <v>329</v>
      </c>
      <c r="S20" s="56"/>
      <c r="T20" s="54"/>
      <c r="U20" s="54" t="s">
        <v>330</v>
      </c>
      <c r="V20" s="54" t="s">
        <v>239</v>
      </c>
      <c r="W20" s="54"/>
      <c r="X20" s="57">
        <v>45352</v>
      </c>
      <c r="Y20" s="57"/>
      <c r="Z20" s="54"/>
      <c r="AA20" s="57"/>
      <c r="AB20" s="54"/>
      <c r="AC20" s="57"/>
      <c r="AD20" s="54"/>
      <c r="AE20" s="57"/>
      <c r="AF20" s="57"/>
      <c r="AG20" s="57"/>
      <c r="AH20" s="57"/>
      <c r="AI20" s="54"/>
      <c r="AJ20" s="54"/>
      <c r="AK20" s="54"/>
      <c r="AL20" s="54"/>
      <c r="AM20" s="54"/>
      <c r="AN20" s="54"/>
      <c r="AO20" s="54"/>
      <c r="AP20" s="54">
        <f>IF(OR(X20="",C20=""),"",NETWORKDAYS.INTL(C20,X20,1,'HELPER(Dont Delete)'!A:A))</f>
        <v>2</v>
      </c>
      <c r="AQ20" s="54" t="str">
        <f>IF(OR(X20="",Y20=""),"",NETWORKDAYS.INTL(X20,Y20,1,'HELPER(Dont Delete)'!A:A))</f>
        <v/>
      </c>
      <c r="AR20" s="54" t="str">
        <f>IF(OR(Y20="",AA20=""),"",NETWORKDAYS.INTL(Y20,AA20,1,'HELPER(Dont Delete)'!A:A))</f>
        <v/>
      </c>
      <c r="AS20" s="58"/>
      <c r="AT20" s="54"/>
      <c r="AU20" s="54"/>
      <c r="AV20" s="59"/>
      <c r="AW20" s="59"/>
    </row>
    <row r="21" spans="1:49">
      <c r="A21" s="54">
        <v>21</v>
      </c>
      <c r="B21" s="55">
        <v>45275</v>
      </c>
      <c r="C21" s="55">
        <v>45352</v>
      </c>
      <c r="D21" s="56" t="s">
        <v>52</v>
      </c>
      <c r="E21" s="56" t="s">
        <v>219</v>
      </c>
      <c r="F21" s="56" t="s">
        <v>220</v>
      </c>
      <c r="G21" s="56" t="s">
        <v>348</v>
      </c>
      <c r="H21" s="56">
        <v>8908416288</v>
      </c>
      <c r="I21" s="54" t="s">
        <v>349</v>
      </c>
      <c r="J21" s="56" t="s">
        <v>350</v>
      </c>
      <c r="K21" s="56">
        <v>11</v>
      </c>
      <c r="L21" s="56">
        <v>9</v>
      </c>
      <c r="M21" s="56" t="s">
        <v>351</v>
      </c>
      <c r="N21" s="56">
        <v>60</v>
      </c>
      <c r="O21" s="56">
        <v>14.5</v>
      </c>
      <c r="P21" s="56" t="s">
        <v>352</v>
      </c>
      <c r="Q21" s="56" t="s">
        <v>328</v>
      </c>
      <c r="R21" s="56" t="s">
        <v>68</v>
      </c>
      <c r="S21" s="56"/>
      <c r="T21" s="54"/>
      <c r="U21" s="54" t="s">
        <v>353</v>
      </c>
      <c r="V21" s="54" t="s">
        <v>231</v>
      </c>
      <c r="W21" s="54"/>
      <c r="X21" s="57">
        <v>45357</v>
      </c>
      <c r="Y21" s="57">
        <v>45357</v>
      </c>
      <c r="Z21" s="54" t="s">
        <v>232</v>
      </c>
      <c r="AA21" s="57"/>
      <c r="AB21" s="54"/>
      <c r="AC21" s="57"/>
      <c r="AD21" s="54"/>
      <c r="AE21" s="57"/>
      <c r="AF21" s="57"/>
      <c r="AG21" s="57"/>
      <c r="AH21" s="57"/>
      <c r="AI21" s="54"/>
      <c r="AJ21" s="54"/>
      <c r="AK21" s="54"/>
      <c r="AL21" s="54"/>
      <c r="AM21" s="54"/>
      <c r="AN21" s="54"/>
      <c r="AO21" s="54"/>
      <c r="AP21" s="54">
        <f>IF(OR(X21="",C21=""),"",NETWORKDAYS.INTL(C21,X21,1,'HELPER(Dont Delete)'!A:A))</f>
        <v>3</v>
      </c>
      <c r="AQ21" s="54">
        <f>IF(OR(X21="",Y21=""),"",NETWORKDAYS.INTL(X21,Y21,1,'HELPER(Dont Delete)'!A:A))</f>
        <v>0</v>
      </c>
      <c r="AR21" s="54" t="str">
        <f>IF(OR(Y21="",AA21=""),"",NETWORKDAYS.INTL(Y21,AA21,1,'HELPER(Dont Delete)'!A:A))</f>
        <v/>
      </c>
      <c r="AS21" s="58"/>
      <c r="AT21" s="54"/>
      <c r="AU21" s="54"/>
      <c r="AV21" s="59"/>
      <c r="AW21" s="59"/>
    </row>
    <row r="22" spans="1:49">
      <c r="A22" s="54">
        <v>22</v>
      </c>
      <c r="B22" s="55">
        <v>45275</v>
      </c>
      <c r="C22" s="55">
        <v>45352</v>
      </c>
      <c r="D22" s="56" t="s">
        <v>52</v>
      </c>
      <c r="E22" s="56" t="s">
        <v>219</v>
      </c>
      <c r="F22" s="56" t="s">
        <v>220</v>
      </c>
      <c r="G22" s="56" t="s">
        <v>354</v>
      </c>
      <c r="H22" s="56" t="s">
        <v>355</v>
      </c>
      <c r="I22" s="54" t="s">
        <v>356</v>
      </c>
      <c r="J22" s="56"/>
      <c r="K22" s="56">
        <v>10</v>
      </c>
      <c r="L22" s="56">
        <v>8.5</v>
      </c>
      <c r="M22" s="56" t="s">
        <v>357</v>
      </c>
      <c r="N22" s="56">
        <v>60</v>
      </c>
      <c r="O22" s="56">
        <v>12</v>
      </c>
      <c r="P22" s="56" t="s">
        <v>358</v>
      </c>
      <c r="Q22" s="56" t="s">
        <v>266</v>
      </c>
      <c r="R22" s="56" t="s">
        <v>359</v>
      </c>
      <c r="S22" s="56"/>
      <c r="T22" s="54"/>
      <c r="U22" s="54" t="s">
        <v>230</v>
      </c>
      <c r="V22" s="54" t="s">
        <v>291</v>
      </c>
      <c r="W22" s="54"/>
      <c r="X22" s="57">
        <v>45357</v>
      </c>
      <c r="Y22" s="57"/>
      <c r="Z22" s="54"/>
      <c r="AA22" s="57"/>
      <c r="AB22" s="54"/>
      <c r="AC22" s="57"/>
      <c r="AD22" s="54"/>
      <c r="AE22" s="57"/>
      <c r="AF22" s="57"/>
      <c r="AG22" s="57"/>
      <c r="AH22" s="57"/>
      <c r="AI22" s="54"/>
      <c r="AJ22" s="54"/>
      <c r="AK22" s="54"/>
      <c r="AL22" s="54"/>
      <c r="AM22" s="54"/>
      <c r="AN22" s="54"/>
      <c r="AO22" s="54"/>
      <c r="AP22" s="54">
        <f>IF(OR(X22="",C22=""),"",NETWORKDAYS.INTL(C22,X22,1,'HELPER(Dont Delete)'!A:A))</f>
        <v>3</v>
      </c>
      <c r="AQ22" s="54" t="str">
        <f>IF(OR(X22="",Y22=""),"",NETWORKDAYS.INTL(X22,Y22,1,'HELPER(Dont Delete)'!A:A))</f>
        <v/>
      </c>
      <c r="AR22" s="54" t="str">
        <f>IF(OR(Y22="",AA22=""),"",NETWORKDAYS.INTL(Y22,AA22,1,'HELPER(Dont Delete)'!A:A))</f>
        <v/>
      </c>
      <c r="AS22" s="58"/>
      <c r="AT22" s="54"/>
      <c r="AU22" s="54"/>
      <c r="AV22" s="59"/>
      <c r="AW22" s="59"/>
    </row>
    <row r="23" spans="1:49">
      <c r="A23" s="54">
        <v>23</v>
      </c>
      <c r="B23" s="55">
        <v>45327</v>
      </c>
      <c r="C23" s="55">
        <v>45355</v>
      </c>
      <c r="D23" s="60" t="s">
        <v>67</v>
      </c>
      <c r="E23" s="56" t="s">
        <v>219</v>
      </c>
      <c r="F23" s="56" t="s">
        <v>220</v>
      </c>
      <c r="G23" s="56" t="s">
        <v>360</v>
      </c>
      <c r="H23" s="56">
        <v>7042904888</v>
      </c>
      <c r="I23" s="54" t="s">
        <v>361</v>
      </c>
      <c r="J23" s="56" t="s">
        <v>362</v>
      </c>
      <c r="K23" s="56" t="s">
        <v>363</v>
      </c>
      <c r="L23" s="56" t="s">
        <v>363</v>
      </c>
      <c r="M23" s="56" t="s">
        <v>364</v>
      </c>
      <c r="N23" s="56">
        <v>30</v>
      </c>
      <c r="O23" s="56" t="s">
        <v>145</v>
      </c>
      <c r="P23" s="56" t="s">
        <v>365</v>
      </c>
      <c r="Q23" s="56" t="s">
        <v>366</v>
      </c>
      <c r="R23" s="56" t="s">
        <v>367</v>
      </c>
      <c r="S23" s="56"/>
      <c r="T23" s="54" t="s">
        <v>368</v>
      </c>
      <c r="U23" s="54" t="s">
        <v>369</v>
      </c>
      <c r="V23" s="54" t="s">
        <v>231</v>
      </c>
      <c r="W23" s="54"/>
      <c r="X23" s="57">
        <v>45359</v>
      </c>
      <c r="Y23" s="57">
        <v>45362</v>
      </c>
      <c r="Z23" s="54" t="s">
        <v>232</v>
      </c>
      <c r="AA23" s="57"/>
      <c r="AB23" s="54"/>
      <c r="AC23" s="57"/>
      <c r="AD23" s="54"/>
      <c r="AE23" s="57"/>
      <c r="AF23" s="57"/>
      <c r="AG23" s="57"/>
      <c r="AH23" s="57"/>
      <c r="AI23" s="54"/>
      <c r="AJ23" s="54"/>
      <c r="AK23" s="54"/>
      <c r="AL23" s="54"/>
      <c r="AM23" s="54"/>
      <c r="AN23" s="54"/>
      <c r="AO23" s="54"/>
      <c r="AP23" s="54">
        <f>IF(OR(X23="",C23=""),"",NETWORKDAYS.INTL(C23,X23,1,'HELPER(Dont Delete)'!A:A))</f>
        <v>3</v>
      </c>
      <c r="AQ23" s="54">
        <f>IF(OR(X23="",Y23=""),"",NETWORKDAYS.INTL(X23,Y23,1,'HELPER(Dont Delete)'!A:A))</f>
        <v>1</v>
      </c>
      <c r="AR23" s="54" t="str">
        <f>IF(OR(Y23="",AA23=""),"",NETWORKDAYS.INTL(Y23,AA23,1,'HELPER(Dont Delete)'!A:A))</f>
        <v/>
      </c>
      <c r="AS23" s="58"/>
      <c r="AT23" s="54"/>
      <c r="AU23" s="54"/>
      <c r="AV23" s="59"/>
      <c r="AW23" s="59"/>
    </row>
    <row r="24" spans="1:49">
      <c r="A24" s="54">
        <v>24</v>
      </c>
      <c r="B24" s="55">
        <v>45327</v>
      </c>
      <c r="C24" s="55">
        <v>45355</v>
      </c>
      <c r="D24" s="60" t="s">
        <v>67</v>
      </c>
      <c r="E24" s="56" t="s">
        <v>219</v>
      </c>
      <c r="F24" s="56" t="s">
        <v>220</v>
      </c>
      <c r="G24" s="56" t="s">
        <v>370</v>
      </c>
      <c r="H24" s="56">
        <v>9713478007</v>
      </c>
      <c r="I24" s="54" t="s">
        <v>371</v>
      </c>
      <c r="J24" s="56" t="s">
        <v>362</v>
      </c>
      <c r="K24" s="56">
        <v>8.9</v>
      </c>
      <c r="L24" s="56">
        <v>8.9</v>
      </c>
      <c r="M24" s="56" t="s">
        <v>372</v>
      </c>
      <c r="N24" s="56">
        <v>30</v>
      </c>
      <c r="O24" s="56" t="s">
        <v>94</v>
      </c>
      <c r="P24" s="56" t="s">
        <v>373</v>
      </c>
      <c r="Q24" s="56" t="s">
        <v>366</v>
      </c>
      <c r="R24" s="56" t="s">
        <v>374</v>
      </c>
      <c r="S24" s="56"/>
      <c r="T24" s="54" t="s">
        <v>375</v>
      </c>
      <c r="U24" s="54" t="s">
        <v>369</v>
      </c>
      <c r="V24" s="54" t="s">
        <v>231</v>
      </c>
      <c r="W24" s="54"/>
      <c r="X24" s="57">
        <v>45359</v>
      </c>
      <c r="Y24" s="57">
        <v>45366</v>
      </c>
      <c r="Z24" s="54" t="s">
        <v>232</v>
      </c>
      <c r="AA24" s="57"/>
      <c r="AB24" s="54"/>
      <c r="AC24" s="57"/>
      <c r="AD24" s="54"/>
      <c r="AE24" s="57"/>
      <c r="AF24" s="57"/>
      <c r="AG24" s="57"/>
      <c r="AH24" s="57"/>
      <c r="AI24" s="54"/>
      <c r="AJ24" s="54"/>
      <c r="AK24" s="54"/>
      <c r="AL24" s="54"/>
      <c r="AM24" s="54"/>
      <c r="AN24" s="54"/>
      <c r="AO24" s="54"/>
      <c r="AP24" s="54">
        <f>IF(OR(X24="",C24=""),"",NETWORKDAYS.INTL(C24,X24,1,'HELPER(Dont Delete)'!A:A))</f>
        <v>3</v>
      </c>
      <c r="AQ24" s="54">
        <f>IF(OR(X24="",Y24=""),"",NETWORKDAYS.INTL(X24,Y24,1,'HELPER(Dont Delete)'!A:A))</f>
        <v>5</v>
      </c>
      <c r="AR24" s="54" t="str">
        <f>IF(OR(Y24="",AA24=""),"",NETWORKDAYS.INTL(Y24,AA24,1,'HELPER(Dont Delete)'!A:A))</f>
        <v/>
      </c>
      <c r="AS24" s="58"/>
      <c r="AT24" s="54"/>
      <c r="AU24" s="54"/>
      <c r="AV24" s="59"/>
      <c r="AW24" s="59"/>
    </row>
    <row r="25" spans="1:49">
      <c r="A25" s="54">
        <v>25</v>
      </c>
      <c r="B25" s="55">
        <v>45327</v>
      </c>
      <c r="C25" s="55">
        <v>45355</v>
      </c>
      <c r="D25" s="60" t="s">
        <v>67</v>
      </c>
      <c r="E25" s="56" t="s">
        <v>219</v>
      </c>
      <c r="F25" s="56" t="s">
        <v>220</v>
      </c>
      <c r="G25" s="56" t="s">
        <v>376</v>
      </c>
      <c r="H25" s="56">
        <v>9056272236</v>
      </c>
      <c r="I25" s="54" t="s">
        <v>377</v>
      </c>
      <c r="J25" s="56" t="s">
        <v>362</v>
      </c>
      <c r="K25" s="56">
        <v>14</v>
      </c>
      <c r="L25" s="56">
        <v>14</v>
      </c>
      <c r="M25" s="56" t="s">
        <v>372</v>
      </c>
      <c r="N25" s="56">
        <v>30</v>
      </c>
      <c r="O25" s="56" t="s">
        <v>378</v>
      </c>
      <c r="P25" s="56" t="s">
        <v>106</v>
      </c>
      <c r="Q25" s="56" t="s">
        <v>328</v>
      </c>
      <c r="R25" s="56" t="s">
        <v>379</v>
      </c>
      <c r="S25" s="56"/>
      <c r="T25" s="54" t="s">
        <v>380</v>
      </c>
      <c r="U25" s="54" t="s">
        <v>369</v>
      </c>
      <c r="V25" s="54" t="s">
        <v>231</v>
      </c>
      <c r="W25" s="54"/>
      <c r="X25" s="57">
        <v>45359</v>
      </c>
      <c r="Y25" s="57">
        <v>45366</v>
      </c>
      <c r="Z25" s="54" t="s">
        <v>232</v>
      </c>
      <c r="AA25" s="57"/>
      <c r="AB25" s="54"/>
      <c r="AC25" s="57"/>
      <c r="AD25" s="54"/>
      <c r="AE25" s="57"/>
      <c r="AF25" s="57"/>
      <c r="AG25" s="57"/>
      <c r="AH25" s="57"/>
      <c r="AI25" s="54"/>
      <c r="AJ25" s="54"/>
      <c r="AK25" s="54"/>
      <c r="AL25" s="54"/>
      <c r="AM25" s="54"/>
      <c r="AN25" s="54"/>
      <c r="AO25" s="54"/>
      <c r="AP25" s="54">
        <f>IF(OR(X25="",C25=""),"",NETWORKDAYS.INTL(C25,X25,1,'HELPER(Dont Delete)'!A:A))</f>
        <v>3</v>
      </c>
      <c r="AQ25" s="54">
        <f>IF(OR(X25="",Y25=""),"",NETWORKDAYS.INTL(X25,Y25,1,'HELPER(Dont Delete)'!A:A))</f>
        <v>5</v>
      </c>
      <c r="AR25" s="54" t="str">
        <f>IF(OR(Y25="",AA25=""),"",NETWORKDAYS.INTL(Y25,AA25,1,'HELPER(Dont Delete)'!A:A))</f>
        <v/>
      </c>
      <c r="AS25" s="58"/>
      <c r="AT25" s="54"/>
      <c r="AU25" s="54"/>
      <c r="AV25" s="59"/>
      <c r="AW25" s="59"/>
    </row>
    <row r="26" spans="1:49">
      <c r="A26" s="54">
        <v>26</v>
      </c>
      <c r="B26" s="55">
        <v>45327</v>
      </c>
      <c r="C26" s="55">
        <v>45355</v>
      </c>
      <c r="D26" s="60" t="s">
        <v>67</v>
      </c>
      <c r="E26" s="56" t="s">
        <v>219</v>
      </c>
      <c r="F26" s="56" t="s">
        <v>220</v>
      </c>
      <c r="G26" s="56" t="s">
        <v>381</v>
      </c>
      <c r="H26" s="56">
        <v>7982783407</v>
      </c>
      <c r="I26" s="54" t="s">
        <v>382</v>
      </c>
      <c r="J26" s="56" t="s">
        <v>362</v>
      </c>
      <c r="K26" s="56">
        <v>11</v>
      </c>
      <c r="L26" s="56">
        <v>11</v>
      </c>
      <c r="M26" s="56" t="s">
        <v>383</v>
      </c>
      <c r="N26" s="56">
        <v>30</v>
      </c>
      <c r="O26" s="56" t="s">
        <v>384</v>
      </c>
      <c r="P26" s="56" t="s">
        <v>365</v>
      </c>
      <c r="Q26" s="56" t="s">
        <v>385</v>
      </c>
      <c r="R26" s="56" t="s">
        <v>299</v>
      </c>
      <c r="S26" s="56"/>
      <c r="T26" s="54" t="s">
        <v>386</v>
      </c>
      <c r="U26" s="54" t="s">
        <v>369</v>
      </c>
      <c r="V26" s="54" t="s">
        <v>231</v>
      </c>
      <c r="W26" s="54"/>
      <c r="X26" s="57">
        <v>45359</v>
      </c>
      <c r="Y26" s="57">
        <v>45366</v>
      </c>
      <c r="Z26" s="54" t="s">
        <v>232</v>
      </c>
      <c r="AA26" s="57"/>
      <c r="AB26" s="54"/>
      <c r="AC26" s="57"/>
      <c r="AD26" s="54"/>
      <c r="AE26" s="57"/>
      <c r="AF26" s="57"/>
      <c r="AG26" s="57"/>
      <c r="AH26" s="57"/>
      <c r="AI26" s="54"/>
      <c r="AJ26" s="54"/>
      <c r="AK26" s="54"/>
      <c r="AL26" s="54"/>
      <c r="AM26" s="54"/>
      <c r="AN26" s="54"/>
      <c r="AO26" s="54"/>
      <c r="AP26" s="54">
        <f>IF(OR(X26="",C26=""),"",NETWORKDAYS.INTL(C26,X26,1,'HELPER(Dont Delete)'!A:A))</f>
        <v>3</v>
      </c>
      <c r="AQ26" s="54">
        <f>IF(OR(X26="",Y26=""),"",NETWORKDAYS.INTL(X26,Y26,1,'HELPER(Dont Delete)'!A:A))</f>
        <v>5</v>
      </c>
      <c r="AR26" s="54" t="str">
        <f>IF(OR(Y26="",AA26=""),"",NETWORKDAYS.INTL(Y26,AA26,1,'HELPER(Dont Delete)'!A:A))</f>
        <v/>
      </c>
      <c r="AS26" s="58"/>
      <c r="AT26" s="54"/>
      <c r="AU26" s="54"/>
      <c r="AV26" s="59"/>
      <c r="AW26" s="59"/>
    </row>
    <row r="27" spans="1:49">
      <c r="A27" s="54">
        <v>27</v>
      </c>
      <c r="B27" s="55">
        <v>45327</v>
      </c>
      <c r="C27" s="55">
        <v>45355</v>
      </c>
      <c r="D27" s="60" t="s">
        <v>61</v>
      </c>
      <c r="E27" s="56" t="s">
        <v>219</v>
      </c>
      <c r="F27" s="56" t="s">
        <v>220</v>
      </c>
      <c r="G27" s="56" t="s">
        <v>387</v>
      </c>
      <c r="H27" s="56">
        <v>9981145050</v>
      </c>
      <c r="I27" s="54" t="s">
        <v>388</v>
      </c>
      <c r="J27" s="56" t="s">
        <v>362</v>
      </c>
      <c r="K27" s="56">
        <v>14</v>
      </c>
      <c r="L27" s="56">
        <v>14</v>
      </c>
      <c r="M27" s="56" t="s">
        <v>372</v>
      </c>
      <c r="N27" s="56">
        <v>45</v>
      </c>
      <c r="O27" s="56" t="s">
        <v>389</v>
      </c>
      <c r="P27" s="56" t="s">
        <v>365</v>
      </c>
      <c r="Q27" s="56" t="s">
        <v>328</v>
      </c>
      <c r="R27" s="56" t="s">
        <v>390</v>
      </c>
      <c r="S27" s="56"/>
      <c r="T27" s="54" t="s">
        <v>380</v>
      </c>
      <c r="U27" s="54" t="s">
        <v>369</v>
      </c>
      <c r="V27" s="54" t="s">
        <v>339</v>
      </c>
      <c r="W27" s="54" t="s">
        <v>54</v>
      </c>
      <c r="X27" s="57">
        <v>45359</v>
      </c>
      <c r="Y27" s="57">
        <v>45362</v>
      </c>
      <c r="Z27" s="54" t="s">
        <v>340</v>
      </c>
      <c r="AA27" s="57"/>
      <c r="AB27" s="54"/>
      <c r="AC27" s="57"/>
      <c r="AD27" s="54"/>
      <c r="AE27" s="57"/>
      <c r="AF27" s="57"/>
      <c r="AG27" s="57"/>
      <c r="AH27" s="57"/>
      <c r="AI27" s="54"/>
      <c r="AJ27" s="54"/>
      <c r="AK27" s="54"/>
      <c r="AL27" s="54"/>
      <c r="AM27" s="54"/>
      <c r="AN27" s="54"/>
      <c r="AO27" s="54"/>
      <c r="AP27" s="54">
        <f>IF(OR(X27="",C27=""),"",NETWORKDAYS.INTL(C27,X27,1,'HELPER(Dont Delete)'!A:A))</f>
        <v>3</v>
      </c>
      <c r="AQ27" s="54">
        <f>IF(OR(X27="",Y27=""),"",NETWORKDAYS.INTL(X27,Y27,1,'HELPER(Dont Delete)'!A:A))</f>
        <v>1</v>
      </c>
      <c r="AR27" s="54" t="str">
        <f>IF(OR(Y27="",AA27=""),"",NETWORKDAYS.INTL(Y27,AA27,1,'HELPER(Dont Delete)'!A:A))</f>
        <v/>
      </c>
      <c r="AS27" s="58"/>
      <c r="AT27" s="54"/>
      <c r="AU27" s="54"/>
      <c r="AV27" s="59"/>
      <c r="AW27" s="59"/>
    </row>
    <row r="28" spans="1:49">
      <c r="A28" s="54">
        <v>28</v>
      </c>
      <c r="B28" s="55">
        <v>45327</v>
      </c>
      <c r="C28" s="55">
        <v>45355</v>
      </c>
      <c r="D28" s="60" t="s">
        <v>61</v>
      </c>
      <c r="E28" s="56" t="s">
        <v>219</v>
      </c>
      <c r="F28" s="56" t="s">
        <v>220</v>
      </c>
      <c r="G28" s="56" t="s">
        <v>391</v>
      </c>
      <c r="H28" s="56">
        <v>9811169004</v>
      </c>
      <c r="I28" s="56" t="s">
        <v>392</v>
      </c>
      <c r="J28" s="56" t="s">
        <v>393</v>
      </c>
      <c r="K28" s="56">
        <v>10</v>
      </c>
      <c r="L28" s="56">
        <v>8</v>
      </c>
      <c r="M28" s="56" t="s">
        <v>394</v>
      </c>
      <c r="N28" s="56">
        <v>90</v>
      </c>
      <c r="O28" s="56" t="s">
        <v>105</v>
      </c>
      <c r="P28" s="56" t="s">
        <v>319</v>
      </c>
      <c r="Q28" s="56" t="s">
        <v>395</v>
      </c>
      <c r="R28" s="56" t="s">
        <v>68</v>
      </c>
      <c r="S28" s="56"/>
      <c r="T28" s="54" t="s">
        <v>393</v>
      </c>
      <c r="U28" s="54" t="s">
        <v>396</v>
      </c>
      <c r="V28" s="54" t="s">
        <v>239</v>
      </c>
      <c r="W28" s="54"/>
      <c r="X28" s="57">
        <v>45359</v>
      </c>
      <c r="Y28" s="57"/>
      <c r="Z28" s="54"/>
      <c r="AA28" s="57"/>
      <c r="AB28" s="54"/>
      <c r="AC28" s="57"/>
      <c r="AD28" s="54"/>
      <c r="AE28" s="57"/>
      <c r="AF28" s="57"/>
      <c r="AG28" s="57"/>
      <c r="AH28" s="57"/>
      <c r="AI28" s="54"/>
      <c r="AJ28" s="54"/>
      <c r="AK28" s="54"/>
      <c r="AL28" s="54"/>
      <c r="AM28" s="54"/>
      <c r="AN28" s="54"/>
      <c r="AO28" s="54"/>
      <c r="AP28" s="54">
        <f>IF(OR(X28="",C28=""),"",NETWORKDAYS.INTL(C28,X28,1,'HELPER(Dont Delete)'!A:A))</f>
        <v>3</v>
      </c>
      <c r="AQ28" s="54" t="str">
        <f>IF(OR(X28="",Y28=""),"",NETWORKDAYS.INTL(X28,Y28,1,'HELPER(Dont Delete)'!A:A))</f>
        <v/>
      </c>
      <c r="AR28" s="54" t="str">
        <f>IF(OR(Y28="",AA28=""),"",NETWORKDAYS.INTL(Y28,AA28,1,'HELPER(Dont Delete)'!A:A))</f>
        <v/>
      </c>
      <c r="AS28" s="58"/>
      <c r="AT28" s="54"/>
      <c r="AU28" s="54"/>
      <c r="AV28" s="59"/>
      <c r="AW28" s="59"/>
    </row>
    <row r="29" spans="1:49">
      <c r="A29" s="54">
        <v>29</v>
      </c>
      <c r="B29" s="55">
        <v>45327</v>
      </c>
      <c r="C29" s="55">
        <v>45364</v>
      </c>
      <c r="D29" s="60" t="s">
        <v>61</v>
      </c>
      <c r="E29" s="56" t="s">
        <v>219</v>
      </c>
      <c r="F29" s="56" t="s">
        <v>220</v>
      </c>
      <c r="G29" s="56" t="s">
        <v>397</v>
      </c>
      <c r="H29" s="56">
        <v>7236006626</v>
      </c>
      <c r="I29" s="54" t="s">
        <v>398</v>
      </c>
      <c r="J29" s="56" t="s">
        <v>399</v>
      </c>
      <c r="K29" s="56">
        <v>3</v>
      </c>
      <c r="L29" s="56">
        <v>3</v>
      </c>
      <c r="M29" s="56" t="s">
        <v>372</v>
      </c>
      <c r="N29" s="56">
        <v>30</v>
      </c>
      <c r="O29" s="56" t="s">
        <v>400</v>
      </c>
      <c r="P29" s="56" t="s">
        <v>401</v>
      </c>
      <c r="Q29" s="56" t="s">
        <v>402</v>
      </c>
      <c r="R29" s="56" t="s">
        <v>58</v>
      </c>
      <c r="S29" s="56"/>
      <c r="T29" s="54" t="s">
        <v>403</v>
      </c>
      <c r="U29" s="54" t="s">
        <v>369</v>
      </c>
      <c r="V29" s="54" t="s">
        <v>231</v>
      </c>
      <c r="W29" s="54"/>
      <c r="X29" s="57">
        <v>45365</v>
      </c>
      <c r="Y29" s="57">
        <v>45366</v>
      </c>
      <c r="Z29" s="54" t="s">
        <v>232</v>
      </c>
      <c r="AA29" s="57"/>
      <c r="AB29" s="54"/>
      <c r="AC29" s="57"/>
      <c r="AD29" s="54"/>
      <c r="AE29" s="57"/>
      <c r="AF29" s="57"/>
      <c r="AG29" s="57"/>
      <c r="AH29" s="57"/>
      <c r="AI29" s="54"/>
      <c r="AJ29" s="54"/>
      <c r="AK29" s="54"/>
      <c r="AL29" s="54"/>
      <c r="AM29" s="54"/>
      <c r="AN29" s="54"/>
      <c r="AO29" s="54"/>
      <c r="AP29" s="54">
        <f>IF(OR(X29="",C29=""),"",NETWORKDAYS.INTL(C29,X29,1,'HELPER(Dont Delete)'!A:A))</f>
        <v>2</v>
      </c>
      <c r="AQ29" s="54">
        <f>IF(OR(X29="",Y29=""),"",NETWORKDAYS.INTL(X29,Y29,1,'HELPER(Dont Delete)'!A:A))</f>
        <v>2</v>
      </c>
      <c r="AR29" s="54" t="str">
        <f>IF(OR(Y29="",AA29=""),"",NETWORKDAYS.INTL(Y29,AA29,1,'HELPER(Dont Delete)'!A:A))</f>
        <v/>
      </c>
      <c r="AS29" s="58"/>
      <c r="AT29" s="54"/>
      <c r="AU29" s="54"/>
      <c r="AV29" s="59"/>
      <c r="AW29" s="59"/>
    </row>
    <row r="30" spans="1:49">
      <c r="A30" s="54">
        <v>30</v>
      </c>
      <c r="B30" s="55">
        <v>45327</v>
      </c>
      <c r="C30" s="55">
        <v>45364</v>
      </c>
      <c r="D30" s="60" t="s">
        <v>61</v>
      </c>
      <c r="E30" s="56" t="s">
        <v>219</v>
      </c>
      <c r="F30" s="56" t="s">
        <v>220</v>
      </c>
      <c r="G30" s="56" t="s">
        <v>404</v>
      </c>
      <c r="H30" s="56">
        <v>7980188746</v>
      </c>
      <c r="I30" s="54" t="s">
        <v>405</v>
      </c>
      <c r="J30" s="56" t="s">
        <v>218</v>
      </c>
      <c r="K30" s="56">
        <v>2</v>
      </c>
      <c r="L30" s="56">
        <v>2</v>
      </c>
      <c r="M30" s="56" t="s">
        <v>406</v>
      </c>
      <c r="N30" s="56">
        <v>90</v>
      </c>
      <c r="O30" s="56" t="s">
        <v>407</v>
      </c>
      <c r="P30" s="56" t="s">
        <v>408</v>
      </c>
      <c r="Q30" s="56" t="s">
        <v>409</v>
      </c>
      <c r="R30" s="56" t="s">
        <v>64</v>
      </c>
      <c r="S30" s="56"/>
      <c r="T30" s="54"/>
      <c r="U30" s="54" t="s">
        <v>249</v>
      </c>
      <c r="V30" s="54" t="s">
        <v>231</v>
      </c>
      <c r="W30" s="54"/>
      <c r="X30" s="57">
        <v>45365</v>
      </c>
      <c r="Y30" s="57">
        <v>45366</v>
      </c>
      <c r="Z30" s="54" t="s">
        <v>232</v>
      </c>
      <c r="AA30" s="57"/>
      <c r="AB30" s="54"/>
      <c r="AC30" s="57"/>
      <c r="AD30" s="54"/>
      <c r="AE30" s="57"/>
      <c r="AF30" s="57"/>
      <c r="AG30" s="57"/>
      <c r="AH30" s="57"/>
      <c r="AI30" s="54"/>
      <c r="AJ30" s="54"/>
      <c r="AK30" s="54"/>
      <c r="AL30" s="54"/>
      <c r="AM30" s="54"/>
      <c r="AN30" s="54"/>
      <c r="AO30" s="54"/>
      <c r="AP30" s="54">
        <f>IF(OR(X30="",C30=""),"",NETWORKDAYS.INTL(C30,X30,1,'HELPER(Dont Delete)'!A:A))</f>
        <v>2</v>
      </c>
      <c r="AQ30" s="54">
        <f>IF(OR(X30="",Y30=""),"",NETWORKDAYS.INTL(X30,Y30,1,'HELPER(Dont Delete)'!A:A))</f>
        <v>2</v>
      </c>
      <c r="AR30" s="54" t="str">
        <f>IF(OR(Y30="",AA30=""),"",NETWORKDAYS.INTL(Y30,AA30,1,'HELPER(Dont Delete)'!A:A))</f>
        <v/>
      </c>
      <c r="AS30" s="58"/>
      <c r="AT30" s="54"/>
      <c r="AU30" s="54"/>
      <c r="AV30" s="59"/>
      <c r="AW30" s="59"/>
    </row>
    <row r="31" spans="1:49">
      <c r="A31" s="54">
        <v>31</v>
      </c>
      <c r="B31" s="55">
        <v>45327</v>
      </c>
      <c r="C31" s="55">
        <v>45364</v>
      </c>
      <c r="D31" s="60" t="s">
        <v>61</v>
      </c>
      <c r="E31" s="56" t="s">
        <v>219</v>
      </c>
      <c r="F31" s="56" t="s">
        <v>220</v>
      </c>
      <c r="G31" s="56" t="s">
        <v>410</v>
      </c>
      <c r="H31" s="56" t="s">
        <v>411</v>
      </c>
      <c r="I31" s="54" t="s">
        <v>412</v>
      </c>
      <c r="J31" s="56" t="s">
        <v>218</v>
      </c>
      <c r="K31" s="56">
        <v>4.7</v>
      </c>
      <c r="L31" s="56">
        <v>4.7</v>
      </c>
      <c r="M31" s="56" t="s">
        <v>413</v>
      </c>
      <c r="N31" s="56">
        <v>30</v>
      </c>
      <c r="O31" s="56" t="s">
        <v>414</v>
      </c>
      <c r="P31" s="56">
        <v>0.3</v>
      </c>
      <c r="Q31" s="56" t="s">
        <v>227</v>
      </c>
      <c r="R31" s="56" t="s">
        <v>415</v>
      </c>
      <c r="S31" s="56"/>
      <c r="T31" s="54"/>
      <c r="U31" s="54" t="s">
        <v>249</v>
      </c>
      <c r="V31" s="54" t="s">
        <v>239</v>
      </c>
      <c r="W31" s="54"/>
      <c r="X31" s="57">
        <v>45365</v>
      </c>
      <c r="Y31" s="57"/>
      <c r="Z31" s="54"/>
      <c r="AA31" s="57"/>
      <c r="AB31" s="54"/>
      <c r="AC31" s="57"/>
      <c r="AD31" s="54"/>
      <c r="AE31" s="57"/>
      <c r="AF31" s="57"/>
      <c r="AG31" s="57"/>
      <c r="AH31" s="57"/>
      <c r="AI31" s="54"/>
      <c r="AJ31" s="54"/>
      <c r="AK31" s="54"/>
      <c r="AL31" s="54"/>
      <c r="AM31" s="54"/>
      <c r="AN31" s="54"/>
      <c r="AO31" s="54"/>
      <c r="AP31" s="54">
        <f>IF(OR(X31="",C31=""),"",NETWORKDAYS.INTL(C31,X31,1,'HELPER(Dont Delete)'!A:A))</f>
        <v>2</v>
      </c>
      <c r="AQ31" s="54" t="str">
        <f>IF(OR(X31="",Y31=""),"",NETWORKDAYS.INTL(X31,Y31,1,'HELPER(Dont Delete)'!A:A))</f>
        <v/>
      </c>
      <c r="AR31" s="54" t="str">
        <f>IF(OR(Y31="",AA31=""),"",NETWORKDAYS.INTL(Y31,AA31,1,'HELPER(Dont Delete)'!A:A))</f>
        <v/>
      </c>
      <c r="AS31" s="58"/>
      <c r="AT31" s="54"/>
      <c r="AU31" s="54"/>
      <c r="AV31" s="59"/>
      <c r="AW31" s="59"/>
    </row>
    <row r="32" spans="1:49">
      <c r="A32" s="54">
        <v>32</v>
      </c>
      <c r="B32" s="55">
        <v>45327</v>
      </c>
      <c r="C32" s="55">
        <v>45364</v>
      </c>
      <c r="D32" s="60" t="s">
        <v>61</v>
      </c>
      <c r="E32" s="56" t="s">
        <v>219</v>
      </c>
      <c r="F32" s="56" t="s">
        <v>220</v>
      </c>
      <c r="G32" s="56" t="s">
        <v>416</v>
      </c>
      <c r="H32" s="56" t="s">
        <v>417</v>
      </c>
      <c r="I32" s="54" t="s">
        <v>418</v>
      </c>
      <c r="J32" s="56" t="s">
        <v>218</v>
      </c>
      <c r="K32" s="56">
        <v>5.8</v>
      </c>
      <c r="L32" s="56">
        <v>5.8</v>
      </c>
      <c r="M32" s="56" t="s">
        <v>406</v>
      </c>
      <c r="N32" s="56">
        <v>60</v>
      </c>
      <c r="O32" s="56" t="s">
        <v>419</v>
      </c>
      <c r="P32" s="56" t="s">
        <v>420</v>
      </c>
      <c r="Q32" s="56" t="s">
        <v>227</v>
      </c>
      <c r="R32" s="56" t="s">
        <v>367</v>
      </c>
      <c r="S32" s="56"/>
      <c r="T32" s="54" t="s">
        <v>421</v>
      </c>
      <c r="U32" s="54" t="s">
        <v>249</v>
      </c>
      <c r="V32" s="54" t="s">
        <v>231</v>
      </c>
      <c r="W32" s="54"/>
      <c r="X32" s="57">
        <v>45365</v>
      </c>
      <c r="Y32" s="57">
        <v>45365</v>
      </c>
      <c r="Z32" s="57" t="s">
        <v>232</v>
      </c>
      <c r="AA32" s="57"/>
      <c r="AB32" s="54"/>
      <c r="AC32" s="57"/>
      <c r="AD32" s="54"/>
      <c r="AE32" s="57"/>
      <c r="AF32" s="57"/>
      <c r="AG32" s="57"/>
      <c r="AH32" s="57"/>
      <c r="AI32" s="54"/>
      <c r="AJ32" s="54"/>
      <c r="AK32" s="54"/>
      <c r="AL32" s="54"/>
      <c r="AM32" s="54"/>
      <c r="AN32" s="54"/>
      <c r="AO32" s="54"/>
      <c r="AP32" s="54">
        <f>IF(OR(X32="",C32=""),"",NETWORKDAYS.INTL(C32,X32,1,'HELPER(Dont Delete)'!A:A))</f>
        <v>2</v>
      </c>
      <c r="AQ32" s="54">
        <f>IF(OR(X32="",Y32=""),"",NETWORKDAYS.INTL(X32,Y32,1,'HELPER(Dont Delete)'!A:A))</f>
        <v>1</v>
      </c>
      <c r="AR32" s="54" t="str">
        <f>IF(OR(Y32="",AA32=""),"",NETWORKDAYS.INTL(Y32,AA32,1,'HELPER(Dont Delete)'!A:A))</f>
        <v/>
      </c>
      <c r="AS32" s="58"/>
      <c r="AT32" s="54"/>
      <c r="AU32" s="54"/>
      <c r="AV32" s="59"/>
      <c r="AW32" s="59"/>
    </row>
    <row r="33" spans="1:49">
      <c r="A33" s="54">
        <v>33</v>
      </c>
      <c r="B33" s="55">
        <v>45327</v>
      </c>
      <c r="C33" s="55">
        <v>45364</v>
      </c>
      <c r="D33" s="60" t="s">
        <v>61</v>
      </c>
      <c r="E33" s="56" t="s">
        <v>219</v>
      </c>
      <c r="F33" s="56" t="s">
        <v>220</v>
      </c>
      <c r="G33" s="56" t="s">
        <v>422</v>
      </c>
      <c r="H33" s="56">
        <v>8810651176</v>
      </c>
      <c r="I33" s="54" t="s">
        <v>423</v>
      </c>
      <c r="J33" s="56" t="s">
        <v>218</v>
      </c>
      <c r="K33" s="56">
        <v>3.4</v>
      </c>
      <c r="L33" s="56">
        <v>3.4</v>
      </c>
      <c r="M33" s="56" t="s">
        <v>424</v>
      </c>
      <c r="N33" s="56" t="s">
        <v>425</v>
      </c>
      <c r="O33" s="56" t="s">
        <v>426</v>
      </c>
      <c r="P33" s="56" t="s">
        <v>427</v>
      </c>
      <c r="Q33" s="56" t="s">
        <v>227</v>
      </c>
      <c r="R33" s="56" t="s">
        <v>428</v>
      </c>
      <c r="S33" s="56"/>
      <c r="T33" s="54" t="s">
        <v>429</v>
      </c>
      <c r="U33" s="54" t="s">
        <v>249</v>
      </c>
      <c r="V33" s="54" t="s">
        <v>231</v>
      </c>
      <c r="W33" s="54"/>
      <c r="X33" s="57">
        <v>45365</v>
      </c>
      <c r="Y33" s="57">
        <v>45366</v>
      </c>
      <c r="Z33" s="54" t="s">
        <v>232</v>
      </c>
      <c r="AA33" s="57"/>
      <c r="AB33" s="54"/>
      <c r="AC33" s="57"/>
      <c r="AD33" s="54"/>
      <c r="AE33" s="57"/>
      <c r="AF33" s="57"/>
      <c r="AG33" s="57"/>
      <c r="AH33" s="57"/>
      <c r="AI33" s="54"/>
      <c r="AJ33" s="54"/>
      <c r="AK33" s="54"/>
      <c r="AL33" s="54"/>
      <c r="AM33" s="54"/>
      <c r="AN33" s="54"/>
      <c r="AO33" s="54"/>
      <c r="AP33" s="54">
        <f>IF(OR(X33="",C33=""),"",NETWORKDAYS.INTL(C33,X33,1,'HELPER(Dont Delete)'!A:A))</f>
        <v>2</v>
      </c>
      <c r="AQ33" s="54">
        <f>IF(OR(X33="",Y33=""),"",NETWORKDAYS.INTL(X33,Y33,1,'HELPER(Dont Delete)'!A:A))</f>
        <v>2</v>
      </c>
      <c r="AR33" s="54" t="str">
        <f>IF(OR(Y33="",AA33=""),"",NETWORKDAYS.INTL(Y33,AA33,1,'HELPER(Dont Delete)'!A:A))</f>
        <v/>
      </c>
      <c r="AS33" s="58"/>
      <c r="AT33" s="54"/>
      <c r="AU33" s="54"/>
      <c r="AV33" s="59"/>
      <c r="AW33" s="59"/>
    </row>
    <row r="34" spans="1:49">
      <c r="A34" s="54">
        <v>34</v>
      </c>
      <c r="B34" s="55">
        <v>45327</v>
      </c>
      <c r="C34" s="55">
        <v>45364</v>
      </c>
      <c r="D34" s="60" t="s">
        <v>61</v>
      </c>
      <c r="E34" s="56" t="s">
        <v>219</v>
      </c>
      <c r="F34" s="56" t="s">
        <v>220</v>
      </c>
      <c r="G34" s="56" t="s">
        <v>430</v>
      </c>
      <c r="H34" s="56">
        <v>7500974204</v>
      </c>
      <c r="I34" s="54" t="s">
        <v>431</v>
      </c>
      <c r="J34" s="56" t="s">
        <v>218</v>
      </c>
      <c r="K34" s="56">
        <v>6</v>
      </c>
      <c r="L34" s="56">
        <v>6</v>
      </c>
      <c r="M34" s="56" t="s">
        <v>432</v>
      </c>
      <c r="N34" s="56" t="s">
        <v>425</v>
      </c>
      <c r="O34" s="56" t="s">
        <v>433</v>
      </c>
      <c r="P34" s="56">
        <v>0.3</v>
      </c>
      <c r="Q34" s="56" t="s">
        <v>277</v>
      </c>
      <c r="R34" s="56" t="s">
        <v>434</v>
      </c>
      <c r="S34" s="56"/>
      <c r="T34" s="54"/>
      <c r="U34" s="54" t="s">
        <v>249</v>
      </c>
      <c r="V34" s="54" t="s">
        <v>239</v>
      </c>
      <c r="W34" s="54"/>
      <c r="X34" s="57">
        <v>45365</v>
      </c>
      <c r="Y34" s="57"/>
      <c r="Z34" s="54"/>
      <c r="AA34" s="57"/>
      <c r="AB34" s="54"/>
      <c r="AC34" s="57"/>
      <c r="AD34" s="54"/>
      <c r="AE34" s="57"/>
      <c r="AF34" s="57"/>
      <c r="AG34" s="57"/>
      <c r="AH34" s="57"/>
      <c r="AI34" s="54"/>
      <c r="AJ34" s="54"/>
      <c r="AK34" s="54"/>
      <c r="AL34" s="54"/>
      <c r="AM34" s="54"/>
      <c r="AN34" s="54"/>
      <c r="AO34" s="54"/>
      <c r="AP34" s="54">
        <f>IF(OR(X34="",C34=""),"",NETWORKDAYS.INTL(C34,X34,1,'HELPER(Dont Delete)'!A:A))</f>
        <v>2</v>
      </c>
      <c r="AQ34" s="54" t="str">
        <f>IF(OR(X34="",Y34=""),"",NETWORKDAYS.INTL(X34,Y34,1,'HELPER(Dont Delete)'!A:A))</f>
        <v/>
      </c>
      <c r="AR34" s="54" t="str">
        <f>IF(OR(Y34="",AA34=""),"",NETWORKDAYS.INTL(Y34,AA34,1,'HELPER(Dont Delete)'!A:A))</f>
        <v/>
      </c>
      <c r="AS34" s="58"/>
      <c r="AT34" s="54"/>
      <c r="AU34" s="54"/>
      <c r="AV34" s="59"/>
      <c r="AW34" s="59"/>
    </row>
    <row r="35" spans="1:49">
      <c r="A35" s="54">
        <v>35</v>
      </c>
      <c r="B35" s="55">
        <v>45327</v>
      </c>
      <c r="C35" s="55">
        <v>45364</v>
      </c>
      <c r="D35" s="60" t="s">
        <v>61</v>
      </c>
      <c r="E35" s="56" t="s">
        <v>219</v>
      </c>
      <c r="F35" s="56" t="s">
        <v>220</v>
      </c>
      <c r="G35" s="56" t="s">
        <v>435</v>
      </c>
      <c r="H35" s="56" t="s">
        <v>436</v>
      </c>
      <c r="I35" s="54" t="s">
        <v>437</v>
      </c>
      <c r="J35" s="56" t="s">
        <v>218</v>
      </c>
      <c r="K35" s="56">
        <v>6.6</v>
      </c>
      <c r="L35" s="56">
        <v>6.6</v>
      </c>
      <c r="M35" s="56" t="s">
        <v>438</v>
      </c>
      <c r="N35" s="56" t="s">
        <v>425</v>
      </c>
      <c r="O35" s="56" t="s">
        <v>439</v>
      </c>
      <c r="P35" s="56" t="s">
        <v>440</v>
      </c>
      <c r="Q35" s="56" t="s">
        <v>227</v>
      </c>
      <c r="R35" s="56" t="s">
        <v>441</v>
      </c>
      <c r="S35" s="56"/>
      <c r="T35" s="54"/>
      <c r="U35" s="54" t="s">
        <v>249</v>
      </c>
      <c r="V35" s="54" t="s">
        <v>231</v>
      </c>
      <c r="W35" s="54"/>
      <c r="X35" s="57">
        <v>45365</v>
      </c>
      <c r="Y35" s="57">
        <v>45366</v>
      </c>
      <c r="Z35" s="54" t="s">
        <v>232</v>
      </c>
      <c r="AA35" s="57"/>
      <c r="AB35" s="54"/>
      <c r="AC35" s="57"/>
      <c r="AD35" s="54"/>
      <c r="AE35" s="57"/>
      <c r="AF35" s="57"/>
      <c r="AG35" s="57"/>
      <c r="AH35" s="57"/>
      <c r="AI35" s="54"/>
      <c r="AJ35" s="54"/>
      <c r="AK35" s="54"/>
      <c r="AL35" s="54"/>
      <c r="AM35" s="54"/>
      <c r="AN35" s="54"/>
      <c r="AO35" s="54"/>
      <c r="AP35" s="54">
        <f>IF(OR(X35="",C35=""),"",NETWORKDAYS.INTL(C35,X35,1,'HELPER(Dont Delete)'!A:A))</f>
        <v>2</v>
      </c>
      <c r="AQ35" s="54">
        <f>IF(OR(X35="",Y35=""),"",NETWORKDAYS.INTL(X35,Y35,1,'HELPER(Dont Delete)'!A:A))</f>
        <v>2</v>
      </c>
      <c r="AR35" s="54" t="str">
        <f>IF(OR(Y35="",AA35=""),"",NETWORKDAYS.INTL(Y35,AA35,1,'HELPER(Dont Delete)'!A:A))</f>
        <v/>
      </c>
      <c r="AS35" s="58"/>
      <c r="AT35" s="54"/>
      <c r="AU35" s="54"/>
      <c r="AV35" s="59"/>
      <c r="AW35" s="59"/>
    </row>
    <row r="36" spans="1:49">
      <c r="A36" s="54">
        <v>36</v>
      </c>
      <c r="B36" s="55">
        <v>45275</v>
      </c>
      <c r="C36" s="55">
        <v>45364</v>
      </c>
      <c r="D36" s="60" t="s">
        <v>61</v>
      </c>
      <c r="E36" s="56" t="s">
        <v>219</v>
      </c>
      <c r="F36" s="56" t="s">
        <v>220</v>
      </c>
      <c r="G36" s="56" t="s">
        <v>442</v>
      </c>
      <c r="H36" s="56">
        <v>9968883423</v>
      </c>
      <c r="I36" s="54" t="s">
        <v>443</v>
      </c>
      <c r="J36" s="56" t="s">
        <v>444</v>
      </c>
      <c r="K36" s="56" t="s">
        <v>445</v>
      </c>
      <c r="L36" s="56" t="s">
        <v>445</v>
      </c>
      <c r="M36" s="56" t="s">
        <v>446</v>
      </c>
      <c r="N36" s="56">
        <v>90</v>
      </c>
      <c r="O36" s="56" t="s">
        <v>447</v>
      </c>
      <c r="P36" s="56" t="s">
        <v>270</v>
      </c>
      <c r="Q36" s="56" t="s">
        <v>448</v>
      </c>
      <c r="R36" s="56" t="s">
        <v>449</v>
      </c>
      <c r="S36" s="56"/>
      <c r="T36" s="54"/>
      <c r="U36" s="54" t="s">
        <v>330</v>
      </c>
      <c r="V36" s="54" t="s">
        <v>231</v>
      </c>
      <c r="W36" s="54"/>
      <c r="X36" s="57">
        <v>45364</v>
      </c>
      <c r="Y36" s="57"/>
      <c r="Z36" s="54"/>
      <c r="AA36" s="57"/>
      <c r="AB36" s="54"/>
      <c r="AC36" s="57"/>
      <c r="AD36" s="54"/>
      <c r="AE36" s="57"/>
      <c r="AF36" s="57"/>
      <c r="AG36" s="57"/>
      <c r="AH36" s="57"/>
      <c r="AI36" s="54"/>
      <c r="AJ36" s="54"/>
      <c r="AK36" s="54"/>
      <c r="AL36" s="54"/>
      <c r="AM36" s="54"/>
      <c r="AN36" s="54"/>
      <c r="AO36" s="54"/>
      <c r="AP36" s="54">
        <f>IF(OR(X36="",C36=""),"",NETWORKDAYS.INTL(C36,X36,1,'HELPER(Dont Delete)'!A:A))</f>
        <v>1</v>
      </c>
      <c r="AQ36" s="54" t="str">
        <f>IF(OR(X36="",Y36=""),"",NETWORKDAYS.INTL(X36,Y36,1,'HELPER(Dont Delete)'!A:A))</f>
        <v/>
      </c>
      <c r="AR36" s="54" t="str">
        <f>IF(OR(Y36="",AA36=""),"",NETWORKDAYS.INTL(Y36,AA36,1,'HELPER(Dont Delete)'!A:A))</f>
        <v/>
      </c>
      <c r="AS36" s="58"/>
      <c r="AT36" s="54"/>
      <c r="AU36" s="54"/>
      <c r="AV36" s="59"/>
      <c r="AW36" s="59"/>
    </row>
    <row r="37" spans="1:49">
      <c r="A37" s="54">
        <v>37</v>
      </c>
      <c r="B37" s="55">
        <v>45275</v>
      </c>
      <c r="C37" s="55">
        <v>45364</v>
      </c>
      <c r="D37" s="60" t="s">
        <v>61</v>
      </c>
      <c r="E37" s="56" t="s">
        <v>219</v>
      </c>
      <c r="F37" s="56" t="s">
        <v>220</v>
      </c>
      <c r="G37" s="56" t="s">
        <v>450</v>
      </c>
      <c r="H37" s="56">
        <v>7827572093</v>
      </c>
      <c r="I37" s="54" t="s">
        <v>451</v>
      </c>
      <c r="J37" s="56" t="s">
        <v>444</v>
      </c>
      <c r="K37" s="56" t="s">
        <v>452</v>
      </c>
      <c r="L37" s="56" t="s">
        <v>452</v>
      </c>
      <c r="M37" s="56" t="s">
        <v>453</v>
      </c>
      <c r="N37" s="56">
        <v>90</v>
      </c>
      <c r="O37" s="56" t="s">
        <v>454</v>
      </c>
      <c r="P37" s="56" t="s">
        <v>455</v>
      </c>
      <c r="Q37" s="56" t="s">
        <v>456</v>
      </c>
      <c r="R37" s="56" t="s">
        <v>457</v>
      </c>
      <c r="S37" s="56"/>
      <c r="T37" s="54"/>
      <c r="U37" s="54" t="s">
        <v>330</v>
      </c>
      <c r="V37" s="54" t="s">
        <v>291</v>
      </c>
      <c r="W37" s="54"/>
      <c r="X37" s="57">
        <v>45364</v>
      </c>
      <c r="Y37" s="57"/>
      <c r="Z37" s="54"/>
      <c r="AA37" s="57"/>
      <c r="AB37" s="54"/>
      <c r="AC37" s="57"/>
      <c r="AD37" s="54"/>
      <c r="AE37" s="57"/>
      <c r="AF37" s="57"/>
      <c r="AG37" s="57"/>
      <c r="AH37" s="57"/>
      <c r="AI37" s="54"/>
      <c r="AJ37" s="54"/>
      <c r="AK37" s="54"/>
      <c r="AL37" s="54"/>
      <c r="AM37" s="54"/>
      <c r="AN37" s="54"/>
      <c r="AO37" s="54"/>
      <c r="AP37" s="54">
        <f>IF(OR(X37="",C37=""),"",NETWORKDAYS.INTL(C37,X37,1,'HELPER(Dont Delete)'!A:A))</f>
        <v>1</v>
      </c>
      <c r="AQ37" s="54" t="str">
        <f>IF(OR(X37="",Y37=""),"",NETWORKDAYS.INTL(X37,Y37,1,'HELPER(Dont Delete)'!A:A))</f>
        <v/>
      </c>
      <c r="AR37" s="54" t="str">
        <f>IF(OR(Y37="",AA37=""),"",NETWORKDAYS.INTL(Y37,AA37,1,'HELPER(Dont Delete)'!A:A))</f>
        <v/>
      </c>
      <c r="AS37" s="58"/>
      <c r="AT37" s="54"/>
      <c r="AU37" s="54"/>
      <c r="AV37" s="59"/>
      <c r="AW37" s="59"/>
    </row>
    <row r="38" spans="1:49">
      <c r="A38" s="54">
        <v>38</v>
      </c>
      <c r="B38" s="55">
        <v>45299</v>
      </c>
      <c r="C38" s="55">
        <v>45377</v>
      </c>
      <c r="D38" s="60" t="s">
        <v>61</v>
      </c>
      <c r="E38" s="56" t="s">
        <v>219</v>
      </c>
      <c r="F38" s="56" t="s">
        <v>220</v>
      </c>
      <c r="G38" s="56" t="s">
        <v>458</v>
      </c>
      <c r="H38" s="56">
        <v>9502394088</v>
      </c>
      <c r="I38" s="54" t="s">
        <v>459</v>
      </c>
      <c r="J38" s="56" t="s">
        <v>460</v>
      </c>
      <c r="K38" s="61">
        <v>10.9</v>
      </c>
      <c r="L38" s="61">
        <v>10.9</v>
      </c>
      <c r="M38" s="61" t="s">
        <v>461</v>
      </c>
      <c r="N38" s="61" t="s">
        <v>462</v>
      </c>
      <c r="O38" s="61" t="s">
        <v>463</v>
      </c>
      <c r="P38" s="61" t="s">
        <v>464</v>
      </c>
      <c r="Q38" s="62" t="s">
        <v>227</v>
      </c>
      <c r="R38" s="62" t="s">
        <v>465</v>
      </c>
      <c r="S38" s="62"/>
      <c r="T38" s="61"/>
      <c r="U38" s="61" t="s">
        <v>249</v>
      </c>
      <c r="V38" s="54" t="s">
        <v>291</v>
      </c>
      <c r="W38" s="54"/>
      <c r="X38" s="57">
        <v>45386</v>
      </c>
      <c r="Y38" s="63"/>
      <c r="Z38" s="54"/>
      <c r="AA38" s="57"/>
      <c r="AB38" s="54"/>
      <c r="AC38" s="57"/>
      <c r="AD38" s="54"/>
      <c r="AE38" s="57"/>
      <c r="AF38" s="57"/>
      <c r="AG38" s="57"/>
      <c r="AH38" s="57"/>
      <c r="AI38" s="54"/>
      <c r="AJ38" s="54"/>
      <c r="AK38" s="54"/>
      <c r="AL38" s="54"/>
      <c r="AM38" s="54"/>
      <c r="AN38" s="54"/>
      <c r="AO38" s="54"/>
      <c r="AP38" s="54">
        <f>IF(OR(X38="",C38=""),"",NETWORKDAYS.INTL(C38,X38,1,'HELPER(Dont Delete)'!A:A))</f>
        <v>7</v>
      </c>
      <c r="AQ38" s="54" t="str">
        <f>IF(OR(X38="",Y38=""),"",NETWORKDAYS.INTL(X38,Y38,1,'HELPER(Dont Delete)'!A:A))</f>
        <v/>
      </c>
      <c r="AR38" s="54" t="str">
        <f>IF(OR(Y38="",AA38=""),"",NETWORKDAYS.INTL(Y38,AA38,1,'HELPER(Dont Delete)'!A:A))</f>
        <v/>
      </c>
      <c r="AS38" s="58"/>
      <c r="AT38" s="54"/>
      <c r="AU38" s="54"/>
      <c r="AV38" s="59"/>
      <c r="AW38" s="59"/>
    </row>
    <row r="39" spans="1:49">
      <c r="A39" s="54">
        <v>39</v>
      </c>
      <c r="B39" s="55">
        <v>45327</v>
      </c>
      <c r="C39" s="55">
        <v>45380</v>
      </c>
      <c r="D39" s="60" t="s">
        <v>61</v>
      </c>
      <c r="E39" s="56" t="s">
        <v>219</v>
      </c>
      <c r="F39" s="56" t="s">
        <v>220</v>
      </c>
      <c r="G39" s="56" t="s">
        <v>466</v>
      </c>
      <c r="H39" s="56">
        <v>8128538003</v>
      </c>
      <c r="I39" s="54" t="s">
        <v>467</v>
      </c>
      <c r="J39" s="56" t="s">
        <v>468</v>
      </c>
      <c r="K39" s="61">
        <v>5</v>
      </c>
      <c r="L39" s="61">
        <v>5</v>
      </c>
      <c r="M39" s="61" t="s">
        <v>469</v>
      </c>
      <c r="N39" s="61">
        <v>30</v>
      </c>
      <c r="O39" s="61">
        <v>6</v>
      </c>
      <c r="P39" s="61" t="s">
        <v>470</v>
      </c>
      <c r="Q39" s="62" t="s">
        <v>227</v>
      </c>
      <c r="R39" s="62" t="s">
        <v>66</v>
      </c>
      <c r="S39" s="62"/>
      <c r="T39" s="61" t="s">
        <v>471</v>
      </c>
      <c r="U39" s="61" t="s">
        <v>369</v>
      </c>
      <c r="V39" s="61" t="s">
        <v>239</v>
      </c>
      <c r="W39" s="61"/>
      <c r="X39" s="64">
        <v>45380</v>
      </c>
      <c r="Y39" s="57"/>
      <c r="Z39" s="54"/>
      <c r="AA39" s="57"/>
      <c r="AB39" s="54"/>
      <c r="AC39" s="57"/>
      <c r="AD39" s="54"/>
      <c r="AE39" s="57"/>
      <c r="AF39" s="57"/>
      <c r="AG39" s="57"/>
      <c r="AH39" s="57"/>
      <c r="AI39" s="54"/>
      <c r="AJ39" s="54"/>
      <c r="AK39" s="54"/>
      <c r="AL39" s="54"/>
      <c r="AM39" s="54"/>
      <c r="AN39" s="54"/>
      <c r="AO39" s="54"/>
      <c r="AP39" s="54">
        <f>IF(OR(X39="",C39=""),"",NETWORKDAYS.INTL(C39,X39,1,'HELPER(Dont Delete)'!A:A))</f>
        <v>0</v>
      </c>
      <c r="AQ39" s="54" t="str">
        <f>IF(OR(X39="",Y39=""),"",NETWORKDAYS.INTL(X39,Y39,1,'HELPER(Dont Delete)'!A:A))</f>
        <v/>
      </c>
      <c r="AR39" s="54" t="str">
        <f>IF(OR(Y39="",AA39=""),"",NETWORKDAYS.INTL(Y39,AA39,1,'HELPER(Dont Delete)'!A:A))</f>
        <v/>
      </c>
      <c r="AS39" s="58"/>
      <c r="AT39" s="54"/>
      <c r="AU39" s="54"/>
      <c r="AV39" s="59"/>
      <c r="AW39" s="59"/>
    </row>
    <row r="40" spans="1:49">
      <c r="A40" s="54">
        <v>40</v>
      </c>
      <c r="B40" s="55">
        <v>45327</v>
      </c>
      <c r="C40" s="55">
        <v>45380</v>
      </c>
      <c r="D40" s="60" t="s">
        <v>61</v>
      </c>
      <c r="E40" s="56" t="s">
        <v>219</v>
      </c>
      <c r="F40" s="56" t="s">
        <v>220</v>
      </c>
      <c r="G40" s="56" t="s">
        <v>472</v>
      </c>
      <c r="H40" s="56">
        <v>7991783481</v>
      </c>
      <c r="I40" s="65" t="s">
        <v>473</v>
      </c>
      <c r="J40" s="56" t="s">
        <v>324</v>
      </c>
      <c r="K40" s="61">
        <v>2</v>
      </c>
      <c r="L40" s="61">
        <v>2</v>
      </c>
      <c r="M40" s="61" t="s">
        <v>474</v>
      </c>
      <c r="N40" s="61">
        <v>15</v>
      </c>
      <c r="O40" s="61">
        <v>4.38</v>
      </c>
      <c r="P40" s="61" t="s">
        <v>475</v>
      </c>
      <c r="Q40" s="62" t="s">
        <v>476</v>
      </c>
      <c r="R40" s="62" t="s">
        <v>477</v>
      </c>
      <c r="S40" s="62"/>
      <c r="T40" s="61"/>
      <c r="U40" s="61" t="s">
        <v>330</v>
      </c>
      <c r="V40" s="61" t="s">
        <v>231</v>
      </c>
      <c r="W40" s="61"/>
      <c r="X40" s="64">
        <v>45380</v>
      </c>
      <c r="Y40" s="57">
        <v>45383</v>
      </c>
      <c r="Z40" s="54" t="s">
        <v>232</v>
      </c>
      <c r="AA40" s="57"/>
      <c r="AB40" s="54"/>
      <c r="AC40" s="57"/>
      <c r="AD40" s="54"/>
      <c r="AE40" s="57"/>
      <c r="AF40" s="57"/>
      <c r="AG40" s="57"/>
      <c r="AH40" s="57"/>
      <c r="AI40" s="54"/>
      <c r="AJ40" s="54"/>
      <c r="AK40" s="54"/>
      <c r="AL40" s="54"/>
      <c r="AM40" s="54"/>
      <c r="AN40" s="54"/>
      <c r="AO40" s="54"/>
      <c r="AP40" s="54">
        <f>IF(OR(X40="",C40=""),"",NETWORKDAYS.INTL(C40,X40,1,'HELPER(Dont Delete)'!A:A))</f>
        <v>0</v>
      </c>
      <c r="AQ40" s="54">
        <f>IF(OR(X40="",Y40=""),"",NETWORKDAYS.INTL(X40,Y40,1,'HELPER(Dont Delete)'!A:A))</f>
        <v>1</v>
      </c>
      <c r="AR40" s="54" t="str">
        <f>IF(OR(Y40="",AA40=""),"",NETWORKDAYS.INTL(Y40,AA40,1,'HELPER(Dont Delete)'!A:A))</f>
        <v/>
      </c>
      <c r="AS40" s="58"/>
      <c r="AT40" s="54"/>
      <c r="AU40" s="54"/>
      <c r="AV40" s="59"/>
      <c r="AW40" s="59"/>
    </row>
    <row r="41" spans="1:49">
      <c r="A41" s="54">
        <v>41</v>
      </c>
      <c r="B41" s="55">
        <v>45327</v>
      </c>
      <c r="C41" s="55">
        <v>45380</v>
      </c>
      <c r="D41" s="60" t="s">
        <v>61</v>
      </c>
      <c r="E41" s="56" t="s">
        <v>219</v>
      </c>
      <c r="F41" s="56" t="s">
        <v>220</v>
      </c>
      <c r="G41" s="56" t="s">
        <v>478</v>
      </c>
      <c r="H41" s="56">
        <v>9919992234</v>
      </c>
      <c r="I41" s="65" t="s">
        <v>479</v>
      </c>
      <c r="J41" s="56" t="s">
        <v>324</v>
      </c>
      <c r="K41" s="61">
        <v>8</v>
      </c>
      <c r="L41" s="61">
        <v>8</v>
      </c>
      <c r="M41" s="61" t="s">
        <v>480</v>
      </c>
      <c r="N41" s="61">
        <v>30</v>
      </c>
      <c r="O41" s="61">
        <v>5.4</v>
      </c>
      <c r="P41" s="61" t="s">
        <v>481</v>
      </c>
      <c r="Q41" s="62" t="s">
        <v>328</v>
      </c>
      <c r="R41" s="62" t="s">
        <v>482</v>
      </c>
      <c r="S41" s="62"/>
      <c r="T41" s="61"/>
      <c r="U41" s="61" t="s">
        <v>330</v>
      </c>
      <c r="V41" s="61" t="s">
        <v>231</v>
      </c>
      <c r="W41" s="61"/>
      <c r="X41" s="64">
        <v>45380</v>
      </c>
      <c r="Y41" s="57">
        <v>45383</v>
      </c>
      <c r="Z41" s="54" t="s">
        <v>232</v>
      </c>
      <c r="AA41" s="57"/>
      <c r="AB41" s="54"/>
      <c r="AC41" s="57"/>
      <c r="AD41" s="54"/>
      <c r="AE41" s="57"/>
      <c r="AF41" s="57"/>
      <c r="AG41" s="57"/>
      <c r="AH41" s="57"/>
      <c r="AI41" s="54"/>
      <c r="AJ41" s="54"/>
      <c r="AK41" s="54"/>
      <c r="AL41" s="54"/>
      <c r="AM41" s="54"/>
      <c r="AN41" s="54"/>
      <c r="AO41" s="54"/>
      <c r="AP41" s="54">
        <f>IF(OR(X41="",C41=""),"",NETWORKDAYS.INTL(C41,X41,1,'HELPER(Dont Delete)'!A:A))</f>
        <v>0</v>
      </c>
      <c r="AQ41" s="54">
        <f>IF(OR(X41="",Y41=""),"",NETWORKDAYS.INTL(X41,Y41,1,'HELPER(Dont Delete)'!A:A))</f>
        <v>1</v>
      </c>
      <c r="AR41" s="54" t="str">
        <f>IF(OR(Y41="",AA41=""),"",NETWORKDAYS.INTL(Y41,AA41,1,'HELPER(Dont Delete)'!A:A))</f>
        <v/>
      </c>
      <c r="AS41" s="58"/>
      <c r="AT41" s="54"/>
      <c r="AU41" s="54"/>
      <c r="AV41" s="59"/>
      <c r="AW41" s="59"/>
    </row>
    <row r="42" spans="1:49">
      <c r="A42" s="54">
        <v>42</v>
      </c>
      <c r="B42" s="55">
        <v>45299</v>
      </c>
      <c r="C42" s="55">
        <v>45383</v>
      </c>
      <c r="D42" s="60" t="s">
        <v>61</v>
      </c>
      <c r="E42" s="56" t="s">
        <v>219</v>
      </c>
      <c r="F42" s="56" t="s">
        <v>220</v>
      </c>
      <c r="G42" s="56" t="s">
        <v>483</v>
      </c>
      <c r="H42" s="56">
        <v>9654808798</v>
      </c>
      <c r="I42" s="54" t="s">
        <v>484</v>
      </c>
      <c r="J42" s="56" t="s">
        <v>485</v>
      </c>
      <c r="K42" s="61">
        <v>8.8000000000000007</v>
      </c>
      <c r="L42" s="61">
        <v>8.8000000000000007</v>
      </c>
      <c r="M42" s="61" t="s">
        <v>486</v>
      </c>
      <c r="N42" s="61" t="s">
        <v>462</v>
      </c>
      <c r="O42" s="61" t="s">
        <v>487</v>
      </c>
      <c r="P42" s="61" t="s">
        <v>488</v>
      </c>
      <c r="Q42" s="62" t="s">
        <v>328</v>
      </c>
      <c r="R42" s="62" t="s">
        <v>68</v>
      </c>
      <c r="S42" s="62"/>
      <c r="T42" s="61" t="s">
        <v>489</v>
      </c>
      <c r="U42" s="61" t="s">
        <v>249</v>
      </c>
      <c r="V42" s="61" t="s">
        <v>339</v>
      </c>
      <c r="W42" s="54" t="s">
        <v>490</v>
      </c>
      <c r="X42" s="57">
        <v>45386</v>
      </c>
      <c r="Y42" s="63">
        <v>45394</v>
      </c>
      <c r="Z42" s="54" t="s">
        <v>340</v>
      </c>
      <c r="AA42" s="57">
        <v>45408</v>
      </c>
      <c r="AB42" s="54" t="s">
        <v>340</v>
      </c>
      <c r="AC42" s="57"/>
      <c r="AD42" s="54"/>
      <c r="AE42" s="57"/>
      <c r="AF42" s="57"/>
      <c r="AG42" s="57"/>
      <c r="AH42" s="57"/>
      <c r="AI42" s="54"/>
      <c r="AJ42" s="54"/>
      <c r="AK42" s="54"/>
      <c r="AL42" s="54"/>
      <c r="AM42" s="54"/>
      <c r="AN42" s="54"/>
      <c r="AO42" s="54"/>
      <c r="AP42" s="54">
        <f>IF(OR(X42="",C42=""),"",NETWORKDAYS.INTL(C42,X42,1,'HELPER(Dont Delete)'!A:A))</f>
        <v>4</v>
      </c>
      <c r="AQ42" s="54">
        <f>IF(OR(X42="",Y42=""),"",NETWORKDAYS.INTL(X42,Y42,1,'HELPER(Dont Delete)'!A:A))</f>
        <v>4</v>
      </c>
      <c r="AR42" s="54">
        <f>IF(OR(Y42="",AA42=""),"",NETWORKDAYS.INTL(Y42,AA42,1,'HELPER(Dont Delete)'!A:A))</f>
        <v>10</v>
      </c>
      <c r="AS42" s="58"/>
      <c r="AT42" s="54"/>
      <c r="AU42" s="54"/>
      <c r="AV42" s="59"/>
      <c r="AW42" s="59"/>
    </row>
    <row r="43" spans="1:49">
      <c r="A43" s="54">
        <v>43</v>
      </c>
      <c r="B43" s="55">
        <v>45299</v>
      </c>
      <c r="C43" s="55">
        <v>45383</v>
      </c>
      <c r="D43" s="60" t="s">
        <v>61</v>
      </c>
      <c r="E43" s="56" t="s">
        <v>219</v>
      </c>
      <c r="F43" s="56" t="s">
        <v>220</v>
      </c>
      <c r="G43" s="56" t="s">
        <v>491</v>
      </c>
      <c r="H43" s="56">
        <v>9754820437</v>
      </c>
      <c r="I43" s="54" t="s">
        <v>492</v>
      </c>
      <c r="J43" s="56" t="s">
        <v>485</v>
      </c>
      <c r="K43" s="61">
        <v>8.8000000000000007</v>
      </c>
      <c r="L43" s="61">
        <v>8.8000000000000007</v>
      </c>
      <c r="M43" s="61" t="s">
        <v>493</v>
      </c>
      <c r="N43" s="61">
        <v>60</v>
      </c>
      <c r="O43" s="61" t="s">
        <v>494</v>
      </c>
      <c r="P43" s="61" t="s">
        <v>495</v>
      </c>
      <c r="Q43" s="62" t="s">
        <v>227</v>
      </c>
      <c r="R43" s="62" t="s">
        <v>68</v>
      </c>
      <c r="S43" s="62"/>
      <c r="T43" s="61" t="s">
        <v>496</v>
      </c>
      <c r="U43" s="61" t="s">
        <v>249</v>
      </c>
      <c r="V43" s="61" t="s">
        <v>231</v>
      </c>
      <c r="W43" s="54"/>
      <c r="X43" s="57">
        <v>45386</v>
      </c>
      <c r="Y43" s="63">
        <v>45394</v>
      </c>
      <c r="Z43" s="54" t="s">
        <v>232</v>
      </c>
      <c r="AA43" s="57"/>
      <c r="AB43" s="54"/>
      <c r="AC43" s="57"/>
      <c r="AD43" s="54"/>
      <c r="AE43" s="57"/>
      <c r="AF43" s="57"/>
      <c r="AG43" s="57"/>
      <c r="AH43" s="57"/>
      <c r="AI43" s="54"/>
      <c r="AJ43" s="54"/>
      <c r="AK43" s="54"/>
      <c r="AL43" s="54"/>
      <c r="AM43" s="54"/>
      <c r="AN43" s="54"/>
      <c r="AO43" s="54"/>
      <c r="AP43" s="54">
        <f>IF(OR(X43="",C43=""),"",NETWORKDAYS.INTL(C43,X43,1,'HELPER(Dont Delete)'!A:A))</f>
        <v>4</v>
      </c>
      <c r="AQ43" s="54">
        <f>IF(OR(X43="",Y43=""),"",NETWORKDAYS.INTL(X43,Y43,1,'HELPER(Dont Delete)'!A:A))</f>
        <v>4</v>
      </c>
      <c r="AR43" s="54" t="str">
        <f>IF(OR(Y43="",AA43=""),"",NETWORKDAYS.INTL(Y43,AA43,1,'HELPER(Dont Delete)'!A:A))</f>
        <v/>
      </c>
      <c r="AS43" s="58"/>
      <c r="AT43" s="54"/>
      <c r="AU43" s="54"/>
      <c r="AV43" s="59"/>
      <c r="AW43" s="59"/>
    </row>
    <row r="44" spans="1:49">
      <c r="A44" s="54">
        <v>44</v>
      </c>
      <c r="B44" s="55">
        <v>45299</v>
      </c>
      <c r="C44" s="55">
        <v>45383</v>
      </c>
      <c r="D44" s="60" t="s">
        <v>61</v>
      </c>
      <c r="E44" s="56" t="s">
        <v>219</v>
      </c>
      <c r="F44" s="56" t="s">
        <v>220</v>
      </c>
      <c r="G44" s="56" t="s">
        <v>497</v>
      </c>
      <c r="H44" s="56" t="s">
        <v>498</v>
      </c>
      <c r="I44" s="54" t="s">
        <v>499</v>
      </c>
      <c r="J44" s="56" t="s">
        <v>485</v>
      </c>
      <c r="K44" s="61">
        <v>8</v>
      </c>
      <c r="L44" s="61">
        <v>8</v>
      </c>
      <c r="M44" s="61" t="s">
        <v>500</v>
      </c>
      <c r="N44" s="61">
        <v>90</v>
      </c>
      <c r="O44" s="61" t="s">
        <v>501</v>
      </c>
      <c r="P44" s="61">
        <v>0.3</v>
      </c>
      <c r="Q44" s="62" t="s">
        <v>456</v>
      </c>
      <c r="R44" s="62" t="s">
        <v>502</v>
      </c>
      <c r="S44" s="62"/>
      <c r="T44" s="61" t="s">
        <v>503</v>
      </c>
      <c r="U44" s="61" t="s">
        <v>249</v>
      </c>
      <c r="V44" s="54" t="s">
        <v>291</v>
      </c>
      <c r="W44" s="54"/>
      <c r="X44" s="57">
        <v>45386</v>
      </c>
      <c r="Y44" s="63"/>
      <c r="Z44" s="54"/>
      <c r="AA44" s="57"/>
      <c r="AB44" s="54"/>
      <c r="AC44" s="57"/>
      <c r="AD44" s="54"/>
      <c r="AE44" s="57"/>
      <c r="AF44" s="57"/>
      <c r="AG44" s="57"/>
      <c r="AH44" s="57"/>
      <c r="AI44" s="54"/>
      <c r="AJ44" s="54"/>
      <c r="AK44" s="54"/>
      <c r="AL44" s="54"/>
      <c r="AM44" s="54"/>
      <c r="AN44" s="54"/>
      <c r="AO44" s="54"/>
      <c r="AP44" s="54">
        <f>IF(OR(X44="",C44=""),"",NETWORKDAYS.INTL(C44,X44,1,'HELPER(Dont Delete)'!A:A))</f>
        <v>4</v>
      </c>
      <c r="AQ44" s="54" t="str">
        <f>IF(OR(X44="",Y44=""),"",NETWORKDAYS.INTL(X44,Y44,1,'HELPER(Dont Delete)'!A:A))</f>
        <v/>
      </c>
      <c r="AR44" s="54" t="str">
        <f>IF(OR(Y44="",AA44=""),"",NETWORKDAYS.INTL(Y44,AA44,1,'HELPER(Dont Delete)'!A:A))</f>
        <v/>
      </c>
      <c r="AS44" s="58"/>
      <c r="AT44" s="54"/>
      <c r="AU44" s="54"/>
      <c r="AV44" s="59"/>
      <c r="AW44" s="59"/>
    </row>
    <row r="45" spans="1:49">
      <c r="A45" s="54">
        <v>45</v>
      </c>
      <c r="B45" s="55">
        <v>45299</v>
      </c>
      <c r="C45" s="55">
        <v>45383</v>
      </c>
      <c r="D45" s="60" t="s">
        <v>61</v>
      </c>
      <c r="E45" s="56" t="s">
        <v>219</v>
      </c>
      <c r="F45" s="56" t="s">
        <v>220</v>
      </c>
      <c r="G45" s="56" t="s">
        <v>504</v>
      </c>
      <c r="H45" s="56">
        <v>7739776538</v>
      </c>
      <c r="I45" s="54" t="s">
        <v>505</v>
      </c>
      <c r="J45" s="56" t="s">
        <v>485</v>
      </c>
      <c r="K45" s="61">
        <v>10</v>
      </c>
      <c r="L45" s="61">
        <v>10</v>
      </c>
      <c r="M45" s="61" t="s">
        <v>506</v>
      </c>
      <c r="N45" s="61">
        <v>90</v>
      </c>
      <c r="O45" s="61" t="s">
        <v>507</v>
      </c>
      <c r="P45" s="61">
        <v>0.4</v>
      </c>
      <c r="Q45" s="62" t="s">
        <v>328</v>
      </c>
      <c r="R45" s="62" t="s">
        <v>508</v>
      </c>
      <c r="S45" s="62"/>
      <c r="T45" s="61"/>
      <c r="U45" s="61" t="s">
        <v>249</v>
      </c>
      <c r="V45" s="61" t="s">
        <v>509</v>
      </c>
      <c r="W45" s="54"/>
      <c r="X45" s="57">
        <v>45386</v>
      </c>
      <c r="Y45" s="63">
        <v>45394</v>
      </c>
      <c r="Z45" s="54" t="s">
        <v>340</v>
      </c>
      <c r="AA45" s="57"/>
      <c r="AB45" s="54"/>
      <c r="AC45" s="57"/>
      <c r="AD45" s="54"/>
      <c r="AE45" s="57"/>
      <c r="AF45" s="57"/>
      <c r="AG45" s="57"/>
      <c r="AH45" s="57"/>
      <c r="AI45" s="54"/>
      <c r="AJ45" s="54"/>
      <c r="AK45" s="54"/>
      <c r="AL45" s="54"/>
      <c r="AM45" s="54"/>
      <c r="AN45" s="54"/>
      <c r="AO45" s="54"/>
      <c r="AP45" s="54">
        <f>IF(OR(X45="",C45=""),"",NETWORKDAYS.INTL(C45,X45,1,'HELPER(Dont Delete)'!A:A))</f>
        <v>4</v>
      </c>
      <c r="AQ45" s="54">
        <f>IF(OR(X45="",Y45=""),"",NETWORKDAYS.INTL(X45,Y45,1,'HELPER(Dont Delete)'!A:A))</f>
        <v>4</v>
      </c>
      <c r="AR45" s="54" t="str">
        <f>IF(OR(Y45="",AA45=""),"",NETWORKDAYS.INTL(Y45,AA45,1,'HELPER(Dont Delete)'!A:A))</f>
        <v/>
      </c>
      <c r="AS45" s="58"/>
      <c r="AT45" s="54"/>
      <c r="AU45" s="54"/>
      <c r="AV45" s="59"/>
      <c r="AW45" s="59"/>
    </row>
    <row r="46" spans="1:49">
      <c r="A46" s="54">
        <v>46</v>
      </c>
      <c r="B46" s="55">
        <v>45299</v>
      </c>
      <c r="C46" s="55">
        <v>45383</v>
      </c>
      <c r="D46" s="60" t="s">
        <v>61</v>
      </c>
      <c r="E46" s="56" t="s">
        <v>219</v>
      </c>
      <c r="F46" s="56" t="s">
        <v>220</v>
      </c>
      <c r="G46" s="56" t="s">
        <v>510</v>
      </c>
      <c r="H46" s="56">
        <v>9711105636</v>
      </c>
      <c r="I46" s="54" t="s">
        <v>511</v>
      </c>
      <c r="J46" s="56" t="s">
        <v>512</v>
      </c>
      <c r="K46" s="61">
        <v>10</v>
      </c>
      <c r="L46" s="61">
        <v>10</v>
      </c>
      <c r="M46" s="61" t="s">
        <v>513</v>
      </c>
      <c r="N46" s="61">
        <v>30</v>
      </c>
      <c r="O46" s="61" t="s">
        <v>319</v>
      </c>
      <c r="P46" s="61" t="s">
        <v>82</v>
      </c>
      <c r="Q46" s="62" t="s">
        <v>328</v>
      </c>
      <c r="R46" s="62" t="s">
        <v>290</v>
      </c>
      <c r="S46" s="62"/>
      <c r="T46" s="61"/>
      <c r="U46" s="61" t="s">
        <v>353</v>
      </c>
      <c r="V46" s="61" t="s">
        <v>231</v>
      </c>
      <c r="W46" s="54"/>
      <c r="X46" s="57">
        <v>45386</v>
      </c>
      <c r="Y46" s="63">
        <v>45394</v>
      </c>
      <c r="Z46" s="54" t="s">
        <v>232</v>
      </c>
      <c r="AA46" s="57"/>
      <c r="AB46" s="54"/>
      <c r="AC46" s="57"/>
      <c r="AD46" s="54"/>
      <c r="AE46" s="57"/>
      <c r="AF46" s="57"/>
      <c r="AG46" s="57"/>
      <c r="AH46" s="57"/>
      <c r="AI46" s="54"/>
      <c r="AJ46" s="54"/>
      <c r="AK46" s="54"/>
      <c r="AL46" s="54"/>
      <c r="AM46" s="54"/>
      <c r="AN46" s="54"/>
      <c r="AO46" s="54"/>
      <c r="AP46" s="54">
        <f>IF(OR(X46="",C46=""),"",NETWORKDAYS.INTL(C46,X46,1,'HELPER(Dont Delete)'!A:A))</f>
        <v>4</v>
      </c>
      <c r="AQ46" s="54">
        <f>IF(OR(X46="",Y46=""),"",NETWORKDAYS.INTL(X46,Y46,1,'HELPER(Dont Delete)'!A:A))</f>
        <v>4</v>
      </c>
      <c r="AR46" s="54" t="str">
        <f>IF(OR(Y46="",AA46=""),"",NETWORKDAYS.INTL(Y46,AA46,1,'HELPER(Dont Delete)'!A:A))</f>
        <v/>
      </c>
      <c r="AS46" s="58"/>
      <c r="AT46" s="54"/>
      <c r="AU46" s="54"/>
      <c r="AV46" s="59"/>
      <c r="AW46" s="59"/>
    </row>
    <row r="47" spans="1:49">
      <c r="A47" s="54">
        <v>47</v>
      </c>
      <c r="B47" s="55">
        <v>45299</v>
      </c>
      <c r="C47" s="55">
        <v>45383</v>
      </c>
      <c r="D47" s="60" t="s">
        <v>61</v>
      </c>
      <c r="E47" s="56" t="s">
        <v>219</v>
      </c>
      <c r="F47" s="56" t="s">
        <v>220</v>
      </c>
      <c r="G47" s="56" t="s">
        <v>514</v>
      </c>
      <c r="H47" s="56">
        <v>9690272734</v>
      </c>
      <c r="I47" s="54" t="s">
        <v>515</v>
      </c>
      <c r="J47" s="56" t="s">
        <v>512</v>
      </c>
      <c r="K47" s="61">
        <v>10</v>
      </c>
      <c r="L47" s="61">
        <v>10</v>
      </c>
      <c r="M47" s="61" t="s">
        <v>516</v>
      </c>
      <c r="N47" s="61">
        <v>90</v>
      </c>
      <c r="O47" s="61" t="s">
        <v>517</v>
      </c>
      <c r="P47" s="61" t="s">
        <v>352</v>
      </c>
      <c r="Q47" s="62" t="s">
        <v>328</v>
      </c>
      <c r="R47" s="62" t="s">
        <v>68</v>
      </c>
      <c r="S47" s="62"/>
      <c r="T47" s="61"/>
      <c r="U47" s="61" t="s">
        <v>353</v>
      </c>
      <c r="V47" s="54" t="s">
        <v>291</v>
      </c>
      <c r="W47" s="54"/>
      <c r="X47" s="57">
        <v>45386</v>
      </c>
      <c r="Y47" s="63"/>
      <c r="Z47" s="54"/>
      <c r="AA47" s="57"/>
      <c r="AB47" s="54"/>
      <c r="AC47" s="57"/>
      <c r="AD47" s="54"/>
      <c r="AE47" s="57"/>
      <c r="AF47" s="57"/>
      <c r="AG47" s="57"/>
      <c r="AH47" s="57"/>
      <c r="AI47" s="54"/>
      <c r="AJ47" s="54"/>
      <c r="AK47" s="54"/>
      <c r="AL47" s="54"/>
      <c r="AM47" s="54"/>
      <c r="AN47" s="54"/>
      <c r="AO47" s="54"/>
      <c r="AP47" s="54">
        <f>IF(OR(X47="",C47=""),"",NETWORKDAYS.INTL(C47,X47,1,'HELPER(Dont Delete)'!A:A))</f>
        <v>4</v>
      </c>
      <c r="AQ47" s="54" t="str">
        <f>IF(OR(X47="",Y47=""),"",NETWORKDAYS.INTL(X47,Y47,1,'HELPER(Dont Delete)'!A:A))</f>
        <v/>
      </c>
      <c r="AR47" s="54" t="str">
        <f>IF(OR(Y47="",AA47=""),"",NETWORKDAYS.INTL(Y47,AA47,1,'HELPER(Dont Delete)'!A:A))</f>
        <v/>
      </c>
      <c r="AS47" s="58"/>
      <c r="AT47" s="54"/>
      <c r="AU47" s="54"/>
      <c r="AV47" s="59"/>
      <c r="AW47" s="59"/>
    </row>
    <row r="48" spans="1:49">
      <c r="A48" s="54">
        <v>48</v>
      </c>
      <c r="B48" s="55">
        <v>45327</v>
      </c>
      <c r="C48" s="55">
        <v>45387</v>
      </c>
      <c r="D48" s="60" t="s">
        <v>61</v>
      </c>
      <c r="E48" s="56" t="s">
        <v>219</v>
      </c>
      <c r="F48" s="56" t="s">
        <v>220</v>
      </c>
      <c r="G48" s="61" t="s">
        <v>518</v>
      </c>
      <c r="H48" s="61">
        <v>8802111955</v>
      </c>
      <c r="I48" s="54" t="s">
        <v>519</v>
      </c>
      <c r="J48" s="61" t="s">
        <v>218</v>
      </c>
      <c r="K48" s="61">
        <v>8.6999999999999993</v>
      </c>
      <c r="L48" s="61">
        <v>3.3</v>
      </c>
      <c r="M48" s="62" t="s">
        <v>520</v>
      </c>
      <c r="N48" s="62" t="s">
        <v>462</v>
      </c>
      <c r="O48" s="61" t="s">
        <v>521</v>
      </c>
      <c r="P48" s="62" t="s">
        <v>358</v>
      </c>
      <c r="Q48" s="61" t="s">
        <v>522</v>
      </c>
      <c r="R48" s="61" t="s">
        <v>367</v>
      </c>
      <c r="S48" s="61"/>
      <c r="T48" s="57" t="s">
        <v>523</v>
      </c>
      <c r="U48" s="63" t="s">
        <v>249</v>
      </c>
      <c r="V48" s="54" t="s">
        <v>291</v>
      </c>
      <c r="W48" s="57"/>
      <c r="X48" s="66">
        <v>45400</v>
      </c>
      <c r="Y48" s="57"/>
      <c r="Z48" s="54"/>
      <c r="AA48" s="57"/>
      <c r="AB48" s="57"/>
      <c r="AC48" s="57"/>
      <c r="AD48" s="57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>
        <f>IF(OR(X48="",C48=""),"",NETWORKDAYS.INTL(C48,X48,1,'HELPER(Dont Delete)'!A:A))</f>
        <v>6</v>
      </c>
      <c r="AQ48" s="54" t="str">
        <f>IF(OR(X48="",Y48=""),"",NETWORKDAYS.INTL(X48,Y48,1,'HELPER(Dont Delete)'!A:A))</f>
        <v/>
      </c>
      <c r="AR48" s="54" t="str">
        <f>IF(OR(Y48="",AA48=""),"",NETWORKDAYS.INTL(Y48,AA48,1,'HELPER(Dont Delete)'!A:A))</f>
        <v/>
      </c>
      <c r="AS48" s="58"/>
      <c r="AT48" s="54"/>
      <c r="AU48" s="54"/>
      <c r="AV48" s="59"/>
      <c r="AW48" s="59"/>
    </row>
    <row r="49" spans="1:49">
      <c r="A49" s="54">
        <v>49</v>
      </c>
      <c r="B49" s="55">
        <v>45327</v>
      </c>
      <c r="C49" s="55">
        <v>45387</v>
      </c>
      <c r="D49" s="60" t="s">
        <v>61</v>
      </c>
      <c r="E49" s="56" t="s">
        <v>219</v>
      </c>
      <c r="F49" s="56" t="s">
        <v>220</v>
      </c>
      <c r="G49" s="61" t="s">
        <v>524</v>
      </c>
      <c r="H49" s="61">
        <v>9801560800</v>
      </c>
      <c r="I49" s="54" t="s">
        <v>525</v>
      </c>
      <c r="J49" s="61" t="s">
        <v>218</v>
      </c>
      <c r="K49" s="61">
        <v>8.6</v>
      </c>
      <c r="L49" s="61">
        <v>8.6</v>
      </c>
      <c r="M49" s="62" t="s">
        <v>526</v>
      </c>
      <c r="N49" s="62" t="s">
        <v>425</v>
      </c>
      <c r="O49" s="61" t="s">
        <v>527</v>
      </c>
      <c r="P49" s="62" t="s">
        <v>528</v>
      </c>
      <c r="Q49" s="61" t="s">
        <v>328</v>
      </c>
      <c r="R49" s="61" t="s">
        <v>290</v>
      </c>
      <c r="S49" s="61"/>
      <c r="T49" s="57" t="s">
        <v>523</v>
      </c>
      <c r="U49" s="63" t="s">
        <v>249</v>
      </c>
      <c r="V49" s="54" t="s">
        <v>291</v>
      </c>
      <c r="W49" s="57"/>
      <c r="X49" s="66">
        <v>45400</v>
      </c>
      <c r="Y49" s="57"/>
      <c r="Z49" s="54"/>
      <c r="AA49" s="57"/>
      <c r="AB49" s="57"/>
      <c r="AC49" s="57"/>
      <c r="AD49" s="57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>
        <f>IF(OR(X49="",C49=""),"",NETWORKDAYS.INTL(C49,X49,1,'HELPER(Dont Delete)'!A:A))</f>
        <v>6</v>
      </c>
      <c r="AQ49" s="54" t="str">
        <f>IF(OR(X49="",Y49=""),"",NETWORKDAYS.INTL(X49,Y49,1,'HELPER(Dont Delete)'!A:A))</f>
        <v/>
      </c>
      <c r="AR49" s="54" t="str">
        <f>IF(OR(Y49="",AA49=""),"",NETWORKDAYS.INTL(Y49,AA49,1,'HELPER(Dont Delete)'!A:A))</f>
        <v/>
      </c>
      <c r="AS49" s="58"/>
      <c r="AT49" s="54"/>
      <c r="AU49" s="54"/>
      <c r="AV49" s="59"/>
      <c r="AW49" s="59"/>
    </row>
    <row r="50" spans="1:49">
      <c r="A50" s="54">
        <v>50</v>
      </c>
      <c r="B50" s="55">
        <v>45327</v>
      </c>
      <c r="C50" s="55">
        <v>45387</v>
      </c>
      <c r="D50" s="60" t="s">
        <v>61</v>
      </c>
      <c r="E50" s="56" t="s">
        <v>219</v>
      </c>
      <c r="F50" s="56" t="s">
        <v>220</v>
      </c>
      <c r="G50" s="61" t="s">
        <v>529</v>
      </c>
      <c r="H50" s="61" t="s">
        <v>530</v>
      </c>
      <c r="I50" s="54" t="s">
        <v>531</v>
      </c>
      <c r="J50" s="61" t="s">
        <v>532</v>
      </c>
      <c r="K50" s="61">
        <v>8</v>
      </c>
      <c r="L50" s="61">
        <v>4</v>
      </c>
      <c r="M50" s="62" t="s">
        <v>533</v>
      </c>
      <c r="N50" s="62" t="s">
        <v>534</v>
      </c>
      <c r="O50" s="61" t="s">
        <v>440</v>
      </c>
      <c r="P50" s="62" t="s">
        <v>70</v>
      </c>
      <c r="Q50" s="61" t="s">
        <v>227</v>
      </c>
      <c r="R50" s="61" t="s">
        <v>66</v>
      </c>
      <c r="S50" s="61"/>
      <c r="T50" s="57"/>
      <c r="U50" s="63" t="s">
        <v>353</v>
      </c>
      <c r="V50" s="54" t="s">
        <v>291</v>
      </c>
      <c r="W50" s="57"/>
      <c r="X50" s="66">
        <v>45400</v>
      </c>
      <c r="Y50" s="57"/>
      <c r="Z50" s="54"/>
      <c r="AA50" s="57"/>
      <c r="AB50" s="57"/>
      <c r="AC50" s="57"/>
      <c r="AD50" s="57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>
        <f>IF(OR(X50="",C50=""),"",NETWORKDAYS.INTL(C50,X50,1,'HELPER(Dont Delete)'!A:A))</f>
        <v>6</v>
      </c>
      <c r="AQ50" s="54" t="str">
        <f>IF(OR(X50="",Y50=""),"",NETWORKDAYS.INTL(X50,Y50,1,'HELPER(Dont Delete)'!A:A))</f>
        <v/>
      </c>
      <c r="AR50" s="54" t="str">
        <f>IF(OR(Y50="",AA50=""),"",NETWORKDAYS.INTL(Y50,AA50,1,'HELPER(Dont Delete)'!A:A))</f>
        <v/>
      </c>
      <c r="AS50" s="58"/>
      <c r="AT50" s="54"/>
      <c r="AU50" s="54"/>
      <c r="AV50" s="59"/>
      <c r="AW50" s="59"/>
    </row>
    <row r="51" spans="1:49">
      <c r="A51" s="54">
        <v>51</v>
      </c>
      <c r="B51" s="55">
        <v>45327</v>
      </c>
      <c r="C51" s="55">
        <v>45387</v>
      </c>
      <c r="D51" s="60" t="s">
        <v>67</v>
      </c>
      <c r="E51" s="56" t="s">
        <v>219</v>
      </c>
      <c r="F51" s="56" t="s">
        <v>220</v>
      </c>
      <c r="G51" s="61" t="s">
        <v>535</v>
      </c>
      <c r="H51" s="61">
        <v>9031358980</v>
      </c>
      <c r="I51" s="61" t="s">
        <v>536</v>
      </c>
      <c r="J51" s="61" t="s">
        <v>324</v>
      </c>
      <c r="K51" s="61">
        <v>4</v>
      </c>
      <c r="L51" s="61">
        <v>4</v>
      </c>
      <c r="M51" s="62" t="s">
        <v>520</v>
      </c>
      <c r="N51" s="62" t="s">
        <v>537</v>
      </c>
      <c r="O51" s="61" t="s">
        <v>538</v>
      </c>
      <c r="P51" s="62" t="s">
        <v>270</v>
      </c>
      <c r="Q51" s="61" t="s">
        <v>539</v>
      </c>
      <c r="R51" s="61" t="s">
        <v>540</v>
      </c>
      <c r="S51" s="61"/>
      <c r="T51" s="57"/>
      <c r="U51" s="63" t="s">
        <v>330</v>
      </c>
      <c r="V51" s="54" t="s">
        <v>231</v>
      </c>
      <c r="W51" s="57"/>
      <c r="X51" s="66">
        <v>45400</v>
      </c>
      <c r="Y51" s="57">
        <v>45404</v>
      </c>
      <c r="Z51" s="54" t="s">
        <v>232</v>
      </c>
      <c r="AA51" s="57"/>
      <c r="AB51" s="57"/>
      <c r="AC51" s="57"/>
      <c r="AD51" s="57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>
        <f>IF(OR(X51="",C51=""),"",NETWORKDAYS.INTL(C51,X51,1,'HELPER(Dont Delete)'!A:A))</f>
        <v>6</v>
      </c>
      <c r="AQ51" s="54">
        <f>IF(OR(X51="",Y51=""),"",NETWORKDAYS.INTL(X51,Y51,1,'HELPER(Dont Delete)'!A:A))</f>
        <v>3</v>
      </c>
      <c r="AR51" s="54" t="str">
        <f>IF(OR(Y51="",AA51=""),"",NETWORKDAYS.INTL(Y51,AA51,1,'HELPER(Dont Delete)'!A:A))</f>
        <v/>
      </c>
      <c r="AS51" s="58"/>
      <c r="AT51" s="54"/>
      <c r="AU51" s="54"/>
      <c r="AV51" s="59"/>
      <c r="AW51" s="59"/>
    </row>
    <row r="52" spans="1:49">
      <c r="A52" s="54">
        <v>52</v>
      </c>
      <c r="B52" s="55">
        <v>45327</v>
      </c>
      <c r="C52" s="55">
        <v>45387</v>
      </c>
      <c r="D52" s="60" t="s">
        <v>67</v>
      </c>
      <c r="E52" s="56" t="s">
        <v>219</v>
      </c>
      <c r="F52" s="56" t="s">
        <v>220</v>
      </c>
      <c r="G52" s="61" t="s">
        <v>541</v>
      </c>
      <c r="H52" s="61">
        <v>8318062087</v>
      </c>
      <c r="I52" s="61" t="s">
        <v>542</v>
      </c>
      <c r="J52" s="61" t="s">
        <v>324</v>
      </c>
      <c r="K52" s="61">
        <v>4</v>
      </c>
      <c r="L52" s="61">
        <v>4</v>
      </c>
      <c r="M52" s="62" t="s">
        <v>543</v>
      </c>
      <c r="N52" s="62" t="s">
        <v>537</v>
      </c>
      <c r="O52" s="61" t="s">
        <v>544</v>
      </c>
      <c r="P52" s="62" t="s">
        <v>545</v>
      </c>
      <c r="Q52" s="61" t="s">
        <v>539</v>
      </c>
      <c r="R52" s="61" t="s">
        <v>546</v>
      </c>
      <c r="S52" s="61"/>
      <c r="T52" s="57"/>
      <c r="U52" s="63" t="s">
        <v>330</v>
      </c>
      <c r="V52" s="54" t="s">
        <v>291</v>
      </c>
      <c r="W52" s="57"/>
      <c r="X52" s="66">
        <v>45400</v>
      </c>
      <c r="Y52" s="57"/>
      <c r="Z52" s="54"/>
      <c r="AA52" s="57"/>
      <c r="AB52" s="57"/>
      <c r="AC52" s="57"/>
      <c r="AD52" s="57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>
        <f>IF(OR(X52="",C52=""),"",NETWORKDAYS.INTL(C52,X52,1,'HELPER(Dont Delete)'!A:A))</f>
        <v>6</v>
      </c>
      <c r="AQ52" s="54" t="str">
        <f>IF(OR(X52="",Y52=""),"",NETWORKDAYS.INTL(X52,Y52,1,'HELPER(Dont Delete)'!A:A))</f>
        <v/>
      </c>
      <c r="AR52" s="54" t="str">
        <f>IF(OR(Y52="",AA52=""),"",NETWORKDAYS.INTL(Y52,AA52,1,'HELPER(Dont Delete)'!A:A))</f>
        <v/>
      </c>
      <c r="AS52" s="58"/>
      <c r="AT52" s="54"/>
      <c r="AU52" s="54"/>
      <c r="AV52" s="59"/>
      <c r="AW52" s="59"/>
    </row>
    <row r="53" spans="1:49">
      <c r="A53" s="54">
        <v>53</v>
      </c>
      <c r="B53" s="55">
        <v>45327</v>
      </c>
      <c r="C53" s="55">
        <v>45387</v>
      </c>
      <c r="D53" s="60" t="s">
        <v>67</v>
      </c>
      <c r="E53" s="56" t="s">
        <v>219</v>
      </c>
      <c r="F53" s="56" t="s">
        <v>220</v>
      </c>
      <c r="G53" s="61" t="s">
        <v>547</v>
      </c>
      <c r="H53" s="61">
        <v>9988975217</v>
      </c>
      <c r="I53" s="61" t="s">
        <v>548</v>
      </c>
      <c r="J53" s="61" t="s">
        <v>324</v>
      </c>
      <c r="K53" s="61">
        <v>10</v>
      </c>
      <c r="L53" s="61">
        <v>10</v>
      </c>
      <c r="M53" s="62" t="s">
        <v>549</v>
      </c>
      <c r="N53" s="62" t="s">
        <v>537</v>
      </c>
      <c r="O53" s="61" t="s">
        <v>550</v>
      </c>
      <c r="P53" s="62" t="s">
        <v>551</v>
      </c>
      <c r="Q53" s="61" t="s">
        <v>539</v>
      </c>
      <c r="R53" s="61" t="s">
        <v>329</v>
      </c>
      <c r="S53" s="61"/>
      <c r="T53" s="57"/>
      <c r="U53" s="63" t="s">
        <v>330</v>
      </c>
      <c r="V53" s="54" t="s">
        <v>291</v>
      </c>
      <c r="W53" s="57"/>
      <c r="X53" s="66">
        <v>45400</v>
      </c>
      <c r="Y53" s="57"/>
      <c r="Z53" s="54"/>
      <c r="AA53" s="57"/>
      <c r="AB53" s="57"/>
      <c r="AC53" s="57"/>
      <c r="AD53" s="57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>
        <f>IF(OR(X53="",C53=""),"",NETWORKDAYS.INTL(C53,X53,1,'HELPER(Dont Delete)'!A:A))</f>
        <v>6</v>
      </c>
      <c r="AQ53" s="54" t="str">
        <f>IF(OR(X53="",Y53=""),"",NETWORKDAYS.INTL(X53,Y53,1,'HELPER(Dont Delete)'!A:A))</f>
        <v/>
      </c>
      <c r="AR53" s="54" t="str">
        <f>IF(OR(Y53="",AA53=""),"",NETWORKDAYS.INTL(Y53,AA53,1,'HELPER(Dont Delete)'!A:A))</f>
        <v/>
      </c>
      <c r="AS53" s="58"/>
      <c r="AT53" s="54"/>
      <c r="AU53" s="54"/>
      <c r="AV53" s="59"/>
      <c r="AW53" s="59"/>
    </row>
    <row r="54" spans="1:49">
      <c r="A54" s="54">
        <v>54</v>
      </c>
      <c r="B54" s="55">
        <v>45327</v>
      </c>
      <c r="C54" s="55">
        <v>45400</v>
      </c>
      <c r="D54" s="60" t="s">
        <v>44</v>
      </c>
      <c r="E54" s="56" t="s">
        <v>219</v>
      </c>
      <c r="F54" s="56" t="s">
        <v>220</v>
      </c>
      <c r="G54" s="56" t="s">
        <v>552</v>
      </c>
      <c r="H54" s="56">
        <v>7387717709</v>
      </c>
      <c r="I54" s="54" t="s">
        <v>553</v>
      </c>
      <c r="J54" s="56" t="s">
        <v>468</v>
      </c>
      <c r="K54" s="61">
        <v>2</v>
      </c>
      <c r="L54" s="61">
        <v>2</v>
      </c>
      <c r="M54" s="61" t="s">
        <v>554</v>
      </c>
      <c r="N54" s="61" t="s">
        <v>555</v>
      </c>
      <c r="O54" s="61" t="s">
        <v>556</v>
      </c>
      <c r="P54" s="61" t="s">
        <v>557</v>
      </c>
      <c r="Q54" s="62" t="s">
        <v>558</v>
      </c>
      <c r="R54" s="62" t="s">
        <v>42</v>
      </c>
      <c r="S54" s="62"/>
      <c r="T54" s="61" t="s">
        <v>559</v>
      </c>
      <c r="U54" s="61" t="s">
        <v>369</v>
      </c>
      <c r="V54" s="54" t="s">
        <v>231</v>
      </c>
      <c r="W54" s="57"/>
      <c r="X54" s="66">
        <v>45400</v>
      </c>
      <c r="Y54" s="63"/>
      <c r="Z54" s="54"/>
      <c r="AA54" s="57"/>
      <c r="AB54" s="54"/>
      <c r="AC54" s="57"/>
      <c r="AD54" s="54"/>
      <c r="AE54" s="57"/>
      <c r="AF54" s="57"/>
      <c r="AG54" s="57"/>
      <c r="AH54" s="57"/>
      <c r="AI54" s="54"/>
      <c r="AJ54" s="54"/>
      <c r="AK54" s="54"/>
      <c r="AL54" s="54"/>
      <c r="AM54" s="54"/>
      <c r="AN54" s="54"/>
      <c r="AO54" s="54"/>
      <c r="AP54" s="54">
        <f>IF(OR(X54="",C54=""),"",NETWORKDAYS.INTL(C54,X54,1,'HELPER(Dont Delete)'!A:A))</f>
        <v>1</v>
      </c>
      <c r="AQ54" s="54" t="str">
        <f>IF(OR(X54="",Y54=""),"",NETWORKDAYS.INTL(X54,Y54,1,'HELPER(Dont Delete)'!A:A))</f>
        <v/>
      </c>
      <c r="AR54" s="54" t="str">
        <f>IF(OR(Y54="",AA54=""),"",NETWORKDAYS.INTL(Y54,AA54,1,'HELPER(Dont Delete)'!A:A))</f>
        <v/>
      </c>
      <c r="AS54" s="58"/>
      <c r="AT54" s="54"/>
      <c r="AU54" s="54"/>
      <c r="AV54" s="59"/>
      <c r="AW54" s="59"/>
    </row>
    <row r="55" spans="1:49">
      <c r="A55" s="54">
        <v>55</v>
      </c>
      <c r="B55" s="55">
        <v>45401</v>
      </c>
      <c r="C55" s="55">
        <v>45402</v>
      </c>
      <c r="D55" s="56" t="s">
        <v>31</v>
      </c>
      <c r="E55" s="56" t="s">
        <v>219</v>
      </c>
      <c r="F55" s="56" t="s">
        <v>220</v>
      </c>
      <c r="G55" s="56" t="s">
        <v>560</v>
      </c>
      <c r="H55" s="56">
        <v>8827478208</v>
      </c>
      <c r="I55" s="56" t="s">
        <v>561</v>
      </c>
      <c r="J55" s="56" t="s">
        <v>31</v>
      </c>
      <c r="K55" s="56">
        <v>18</v>
      </c>
      <c r="L55" s="56">
        <v>18</v>
      </c>
      <c r="M55" s="56" t="s">
        <v>562</v>
      </c>
      <c r="N55" s="56">
        <v>45</v>
      </c>
      <c r="O55" s="56">
        <v>27</v>
      </c>
      <c r="P55" s="56">
        <v>35</v>
      </c>
      <c r="Q55" s="56" t="s">
        <v>563</v>
      </c>
      <c r="R55" s="56" t="s">
        <v>564</v>
      </c>
      <c r="S55" s="56"/>
      <c r="T55" s="54" t="s">
        <v>565</v>
      </c>
      <c r="U55" s="54" t="s">
        <v>249</v>
      </c>
      <c r="V55" s="54" t="s">
        <v>279</v>
      </c>
      <c r="W55" s="54"/>
      <c r="X55" s="57">
        <v>45404</v>
      </c>
      <c r="Y55" s="57"/>
      <c r="Z55" s="54"/>
      <c r="AA55" s="57"/>
      <c r="AB55" s="54"/>
      <c r="AC55" s="57"/>
      <c r="AD55" s="54"/>
      <c r="AE55" s="57"/>
      <c r="AF55" s="57"/>
      <c r="AG55" s="57"/>
      <c r="AH55" s="57"/>
      <c r="AI55" s="54"/>
      <c r="AJ55" s="54"/>
      <c r="AK55" s="54"/>
      <c r="AL55" s="54"/>
      <c r="AM55" s="54"/>
      <c r="AN55" s="54"/>
      <c r="AO55" s="54"/>
      <c r="AP55" s="54">
        <f>IF(OR(X55="",C55=""),"",NETWORKDAYS.INTL(C55,X55,1,'HELPER(Dont Delete)'!A:A))</f>
        <v>1</v>
      </c>
      <c r="AQ55" s="54" t="str">
        <f>IF(OR(X55="",Y55=""),"",NETWORKDAYS.INTL(X55,Y55,1,'HELPER(Dont Delete)'!A:A))</f>
        <v/>
      </c>
      <c r="AR55" s="54" t="str">
        <f>IF(OR(Y55="",AA55=""),"",NETWORKDAYS.INTL(Y55,AA55,1,'HELPER(Dont Delete)'!A:A))</f>
        <v/>
      </c>
      <c r="AS55" s="58"/>
      <c r="AT55" s="54"/>
      <c r="AU55" s="54"/>
      <c r="AV55" s="59"/>
      <c r="AW55" s="59"/>
    </row>
    <row r="56" spans="1:49">
      <c r="A56" s="54">
        <v>56</v>
      </c>
      <c r="B56" s="55">
        <v>45401</v>
      </c>
      <c r="C56" s="55">
        <v>45402</v>
      </c>
      <c r="D56" s="56" t="s">
        <v>31</v>
      </c>
      <c r="E56" s="56" t="s">
        <v>219</v>
      </c>
      <c r="F56" s="56" t="s">
        <v>220</v>
      </c>
      <c r="G56" s="56" t="s">
        <v>566</v>
      </c>
      <c r="H56" s="56">
        <v>9110129369</v>
      </c>
      <c r="I56" s="56" t="s">
        <v>567</v>
      </c>
      <c r="J56" s="56" t="s">
        <v>31</v>
      </c>
      <c r="K56" s="56">
        <v>18</v>
      </c>
      <c r="L56" s="56">
        <v>18</v>
      </c>
      <c r="M56" s="56" t="s">
        <v>568</v>
      </c>
      <c r="N56" s="56">
        <v>90</v>
      </c>
      <c r="O56" s="56">
        <v>18</v>
      </c>
      <c r="P56" s="56">
        <v>24</v>
      </c>
      <c r="Q56" s="56" t="s">
        <v>569</v>
      </c>
      <c r="R56" s="56" t="s">
        <v>570</v>
      </c>
      <c r="S56" s="56"/>
      <c r="T56" s="54" t="s">
        <v>565</v>
      </c>
      <c r="U56" s="54" t="s">
        <v>271</v>
      </c>
      <c r="V56" s="54" t="s">
        <v>239</v>
      </c>
      <c r="W56" s="54"/>
      <c r="X56" s="57">
        <v>45404</v>
      </c>
      <c r="Y56" s="57"/>
      <c r="Z56" s="54"/>
      <c r="AA56" s="57"/>
      <c r="AB56" s="54"/>
      <c r="AC56" s="57"/>
      <c r="AD56" s="54"/>
      <c r="AE56" s="57"/>
      <c r="AF56" s="57"/>
      <c r="AG56" s="57"/>
      <c r="AH56" s="57"/>
      <c r="AI56" s="54"/>
      <c r="AJ56" s="54"/>
      <c r="AK56" s="54"/>
      <c r="AL56" s="54"/>
      <c r="AM56" s="54"/>
      <c r="AN56" s="54"/>
      <c r="AO56" s="54"/>
      <c r="AP56" s="54">
        <f>IF(OR(X56="",C56=""),"",NETWORKDAYS.INTL(C56,X56,1,'HELPER(Dont Delete)'!A:A))</f>
        <v>1</v>
      </c>
      <c r="AQ56" s="54" t="str">
        <f>IF(OR(X56="",Y56=""),"",NETWORKDAYS.INTL(X56,Y56,1,'HELPER(Dont Delete)'!A:A))</f>
        <v/>
      </c>
      <c r="AR56" s="54" t="str">
        <f>IF(OR(Y56="",AA56=""),"",NETWORKDAYS.INTL(Y56,AA56,1,'HELPER(Dont Delete)'!A:A))</f>
        <v/>
      </c>
      <c r="AS56" s="58"/>
      <c r="AT56" s="54"/>
      <c r="AU56" s="54"/>
      <c r="AV56" s="59"/>
      <c r="AW56" s="59"/>
    </row>
    <row r="57" spans="1:49">
      <c r="A57" s="54">
        <v>57</v>
      </c>
      <c r="B57" s="55">
        <v>45401</v>
      </c>
      <c r="C57" s="55">
        <v>45402</v>
      </c>
      <c r="D57" s="56" t="s">
        <v>31</v>
      </c>
      <c r="E57" s="56" t="s">
        <v>219</v>
      </c>
      <c r="F57" s="56" t="s">
        <v>220</v>
      </c>
      <c r="G57" s="56" t="s">
        <v>571</v>
      </c>
      <c r="H57" s="56">
        <v>8788507744</v>
      </c>
      <c r="I57" s="56" t="s">
        <v>572</v>
      </c>
      <c r="J57" s="56" t="s">
        <v>573</v>
      </c>
      <c r="K57" s="56">
        <v>15</v>
      </c>
      <c r="L57" s="56">
        <v>8</v>
      </c>
      <c r="M57" s="56" t="s">
        <v>574</v>
      </c>
      <c r="N57" s="56">
        <v>15</v>
      </c>
      <c r="O57" s="56">
        <v>15.2</v>
      </c>
      <c r="P57" s="56">
        <v>19</v>
      </c>
      <c r="Q57" s="56" t="s">
        <v>575</v>
      </c>
      <c r="R57" s="56" t="s">
        <v>564</v>
      </c>
      <c r="S57" s="56"/>
      <c r="T57" s="54"/>
      <c r="U57" s="54" t="s">
        <v>271</v>
      </c>
      <c r="V57" s="54" t="s">
        <v>231</v>
      </c>
      <c r="W57" s="54"/>
      <c r="X57" s="57">
        <v>45404</v>
      </c>
      <c r="Y57" s="57">
        <v>45406</v>
      </c>
      <c r="Z57" s="54" t="s">
        <v>232</v>
      </c>
      <c r="AA57" s="57"/>
      <c r="AB57" s="54"/>
      <c r="AC57" s="57"/>
      <c r="AD57" s="54"/>
      <c r="AE57" s="57"/>
      <c r="AF57" s="57"/>
      <c r="AG57" s="57"/>
      <c r="AH57" s="57"/>
      <c r="AI57" s="54"/>
      <c r="AJ57" s="54"/>
      <c r="AK57" s="54"/>
      <c r="AL57" s="54"/>
      <c r="AM57" s="54"/>
      <c r="AN57" s="54"/>
      <c r="AO57" s="54"/>
      <c r="AP57" s="54">
        <f>IF(OR(X57="",C57=""),"",NETWORKDAYS.INTL(C57,X57,1,'HELPER(Dont Delete)'!A:A))</f>
        <v>1</v>
      </c>
      <c r="AQ57" s="54">
        <f>IF(OR(X57="",Y57=""),"",NETWORKDAYS.INTL(X57,Y57,1,'HELPER(Dont Delete)'!A:A))</f>
        <v>3</v>
      </c>
      <c r="AR57" s="54" t="str">
        <f>IF(OR(Y57="",AA57=""),"",NETWORKDAYS.INTL(Y57,AA57,1,'HELPER(Dont Delete)'!A:A))</f>
        <v/>
      </c>
      <c r="AS57" s="58"/>
      <c r="AT57" s="54"/>
      <c r="AU57" s="54"/>
      <c r="AV57" s="59"/>
      <c r="AW57" s="59"/>
    </row>
    <row r="58" spans="1:49">
      <c r="A58" s="54">
        <v>58</v>
      </c>
      <c r="B58" s="55">
        <v>45401</v>
      </c>
      <c r="C58" s="55">
        <v>45404</v>
      </c>
      <c r="D58" s="56" t="s">
        <v>31</v>
      </c>
      <c r="E58" s="56" t="s">
        <v>219</v>
      </c>
      <c r="F58" s="56" t="s">
        <v>220</v>
      </c>
      <c r="G58" s="67" t="s">
        <v>576</v>
      </c>
      <c r="H58" s="56">
        <v>7908401549</v>
      </c>
      <c r="I58" s="54" t="s">
        <v>577</v>
      </c>
      <c r="J58" s="61" t="s">
        <v>578</v>
      </c>
      <c r="K58" s="61">
        <v>17</v>
      </c>
      <c r="L58" s="61">
        <v>17</v>
      </c>
      <c r="M58" s="61" t="s">
        <v>579</v>
      </c>
      <c r="N58" s="61">
        <v>60</v>
      </c>
      <c r="O58" s="62" t="s">
        <v>580</v>
      </c>
      <c r="P58" s="62" t="s">
        <v>581</v>
      </c>
      <c r="Q58" s="61" t="s">
        <v>582</v>
      </c>
      <c r="R58" s="61" t="s">
        <v>583</v>
      </c>
      <c r="S58" s="61"/>
      <c r="T58" s="54" t="s">
        <v>584</v>
      </c>
      <c r="U58" s="61" t="s">
        <v>369</v>
      </c>
      <c r="V58" s="61" t="s">
        <v>279</v>
      </c>
      <c r="W58" s="61"/>
      <c r="X58" s="64"/>
      <c r="Y58" s="57"/>
      <c r="Z58" s="54"/>
      <c r="AA58" s="57"/>
      <c r="AB58" s="54"/>
      <c r="AC58" s="57"/>
      <c r="AD58" s="57"/>
      <c r="AE58" s="57"/>
      <c r="AF58" s="57"/>
      <c r="AG58" s="54"/>
      <c r="AH58" s="54"/>
      <c r="AI58" s="54"/>
      <c r="AJ58" s="54"/>
      <c r="AK58" s="54"/>
      <c r="AL58" s="54"/>
      <c r="AM58" s="54"/>
      <c r="AN58" s="54"/>
      <c r="AO58" s="54"/>
      <c r="AP58" s="54" t="str">
        <f>IF(OR(X58="",C58=""),"",NETWORKDAYS.INTL(C58,X58,1,'HELPER(Dont Delete)'!A:A))</f>
        <v/>
      </c>
      <c r="AQ58" s="54" t="str">
        <f>IF(OR(X58="",Y58=""),"",NETWORKDAYS.INTL(X58,Y58,1,'HELPER(Dont Delete)'!A:A))</f>
        <v/>
      </c>
      <c r="AR58" s="54" t="str">
        <f>IF(OR(Y58="",AA58=""),"",NETWORKDAYS.INTL(Y58,AA58,1,'HELPER(Dont Delete)'!A:A))</f>
        <v/>
      </c>
      <c r="AS58" s="58"/>
      <c r="AT58" s="54"/>
      <c r="AU58" s="54"/>
      <c r="AV58" s="59"/>
      <c r="AW58" s="59"/>
    </row>
    <row r="59" spans="1:49">
      <c r="A59" s="54">
        <v>59</v>
      </c>
      <c r="B59" s="55">
        <v>45401</v>
      </c>
      <c r="C59" s="55">
        <v>45404</v>
      </c>
      <c r="D59" s="56" t="s">
        <v>31</v>
      </c>
      <c r="E59" s="56" t="s">
        <v>219</v>
      </c>
      <c r="F59" s="56" t="s">
        <v>220</v>
      </c>
      <c r="G59" s="67" t="s">
        <v>585</v>
      </c>
      <c r="H59" s="56">
        <v>6397410135</v>
      </c>
      <c r="I59" s="54" t="s">
        <v>586</v>
      </c>
      <c r="J59" s="61" t="s">
        <v>578</v>
      </c>
      <c r="K59" s="61">
        <v>22</v>
      </c>
      <c r="L59" s="61">
        <v>22</v>
      </c>
      <c r="M59" s="61" t="s">
        <v>587</v>
      </c>
      <c r="N59" s="61">
        <v>30</v>
      </c>
      <c r="O59" s="62" t="s">
        <v>588</v>
      </c>
      <c r="P59" s="62" t="s">
        <v>589</v>
      </c>
      <c r="Q59" s="61" t="s">
        <v>456</v>
      </c>
      <c r="R59" s="61" t="s">
        <v>590</v>
      </c>
      <c r="S59" s="61"/>
      <c r="T59" s="54" t="s">
        <v>591</v>
      </c>
      <c r="U59" s="61" t="s">
        <v>369</v>
      </c>
      <c r="V59" s="61" t="s">
        <v>279</v>
      </c>
      <c r="W59" s="61"/>
      <c r="X59" s="64"/>
      <c r="Y59" s="57"/>
      <c r="Z59" s="54"/>
      <c r="AA59" s="57"/>
      <c r="AB59" s="54"/>
      <c r="AC59" s="57"/>
      <c r="AD59" s="57"/>
      <c r="AE59" s="57"/>
      <c r="AF59" s="57"/>
      <c r="AG59" s="54"/>
      <c r="AH59" s="54"/>
      <c r="AI59" s="54"/>
      <c r="AJ59" s="54"/>
      <c r="AK59" s="54"/>
      <c r="AL59" s="54"/>
      <c r="AM59" s="54"/>
      <c r="AN59" s="54"/>
      <c r="AO59" s="54"/>
      <c r="AP59" s="54" t="str">
        <f>IF(OR(X59="",C59=""),"",NETWORKDAYS.INTL(C59,X59,1,'HELPER(Dont Delete)'!A:A))</f>
        <v/>
      </c>
      <c r="AQ59" s="54" t="str">
        <f>IF(OR(X59="",Y59=""),"",NETWORKDAYS.INTL(X59,Y59,1,'HELPER(Dont Delete)'!A:A))</f>
        <v/>
      </c>
      <c r="AR59" s="54" t="str">
        <f>IF(OR(Y59="",AA59=""),"",NETWORKDAYS.INTL(Y59,AA59,1,'HELPER(Dont Delete)'!A:A))</f>
        <v/>
      </c>
      <c r="AS59" s="58"/>
      <c r="AT59" s="54"/>
      <c r="AU59" s="54"/>
      <c r="AV59" s="59"/>
      <c r="AW59" s="59"/>
    </row>
    <row r="60" spans="1:49" ht="16.5">
      <c r="A60" s="54">
        <v>60</v>
      </c>
      <c r="B60" s="55">
        <v>45327</v>
      </c>
      <c r="C60" s="55">
        <v>45411</v>
      </c>
      <c r="D60" s="60" t="s">
        <v>67</v>
      </c>
      <c r="E60" s="56" t="s">
        <v>219</v>
      </c>
      <c r="F60" s="56" t="s">
        <v>220</v>
      </c>
      <c r="G60" s="67" t="s">
        <v>592</v>
      </c>
      <c r="H60" s="56">
        <v>9919286167</v>
      </c>
      <c r="I60" s="54" t="s">
        <v>593</v>
      </c>
      <c r="J60" s="61" t="s">
        <v>594</v>
      </c>
      <c r="K60" s="61" t="s">
        <v>595</v>
      </c>
      <c r="L60" s="61" t="s">
        <v>595</v>
      </c>
      <c r="M60" s="61" t="s">
        <v>596</v>
      </c>
      <c r="N60" s="61">
        <v>15</v>
      </c>
      <c r="O60" s="62" t="s">
        <v>597</v>
      </c>
      <c r="P60" s="62" t="s">
        <v>440</v>
      </c>
      <c r="Q60" s="61" t="s">
        <v>328</v>
      </c>
      <c r="R60" s="61" t="s">
        <v>598</v>
      </c>
      <c r="S60" s="61"/>
      <c r="T60" s="54"/>
      <c r="U60" s="61" t="s">
        <v>353</v>
      </c>
      <c r="V60" s="61" t="s">
        <v>599</v>
      </c>
      <c r="W60" s="61"/>
      <c r="X60" s="64">
        <v>45422</v>
      </c>
      <c r="Y60" s="57">
        <v>45425</v>
      </c>
      <c r="Z60" s="54" t="s">
        <v>600</v>
      </c>
      <c r="AA60" s="57">
        <v>45453</v>
      </c>
      <c r="AB60" s="54"/>
      <c r="AC60" s="57"/>
      <c r="AD60" s="57"/>
      <c r="AE60" s="57"/>
      <c r="AF60" s="57"/>
      <c r="AG60" s="54"/>
      <c r="AH60" s="54"/>
      <c r="AI60" s="54"/>
      <c r="AJ60" s="54"/>
      <c r="AK60" s="54"/>
      <c r="AL60" s="54"/>
      <c r="AM60" s="54"/>
      <c r="AN60" s="54"/>
      <c r="AO60" s="54"/>
      <c r="AP60" s="54">
        <f>IF(OR(X60="",C60=""),"",NETWORKDAYS.INTL(C60,X60,1,'HELPER(Dont Delete)'!A:A))</f>
        <v>9</v>
      </c>
      <c r="AQ60" s="54">
        <f>IF(OR(X60="",Y60=""),"",NETWORKDAYS.INTL(X60,Y60,1,'HELPER(Dont Delete)'!A:A))</f>
        <v>2</v>
      </c>
      <c r="AR60" s="54">
        <f>IF(OR(Y60="",AA60=""),"",NETWORKDAYS.INTL(Y60,AA60,1,'HELPER(Dont Delete)'!A:A))</f>
        <v>20</v>
      </c>
      <c r="AS60" s="58"/>
      <c r="AT60" s="54"/>
      <c r="AU60" s="54"/>
      <c r="AV60" s="59"/>
      <c r="AW60" s="59"/>
    </row>
    <row r="61" spans="1:49">
      <c r="A61" s="54">
        <v>61</v>
      </c>
      <c r="B61" s="55">
        <v>45327</v>
      </c>
      <c r="C61" s="55">
        <v>45411</v>
      </c>
      <c r="D61" s="60" t="s">
        <v>44</v>
      </c>
      <c r="E61" s="56" t="s">
        <v>219</v>
      </c>
      <c r="F61" s="56" t="s">
        <v>220</v>
      </c>
      <c r="G61" s="67" t="s">
        <v>601</v>
      </c>
      <c r="H61" s="56">
        <v>9475212252</v>
      </c>
      <c r="I61" s="54" t="s">
        <v>602</v>
      </c>
      <c r="J61" s="61" t="s">
        <v>218</v>
      </c>
      <c r="K61" s="61">
        <v>9.6999999999999993</v>
      </c>
      <c r="L61" s="61">
        <v>4.5</v>
      </c>
      <c r="M61" s="61" t="s">
        <v>603</v>
      </c>
      <c r="N61" s="61">
        <v>30</v>
      </c>
      <c r="O61" s="62" t="s">
        <v>604</v>
      </c>
      <c r="P61" s="62" t="s">
        <v>605</v>
      </c>
      <c r="Q61" s="61" t="s">
        <v>456</v>
      </c>
      <c r="R61" s="61" t="s">
        <v>606</v>
      </c>
      <c r="S61" s="61"/>
      <c r="T61" s="54" t="s">
        <v>607</v>
      </c>
      <c r="U61" s="61" t="s">
        <v>249</v>
      </c>
      <c r="V61" s="61" t="s">
        <v>239</v>
      </c>
      <c r="W61" s="61"/>
      <c r="X61" s="64">
        <v>45422</v>
      </c>
      <c r="Y61" s="57"/>
      <c r="Z61" s="54"/>
      <c r="AA61" s="57"/>
      <c r="AB61" s="54"/>
      <c r="AC61" s="57"/>
      <c r="AD61" s="57"/>
      <c r="AE61" s="57"/>
      <c r="AF61" s="57"/>
      <c r="AG61" s="54"/>
      <c r="AH61" s="54"/>
      <c r="AI61" s="54"/>
      <c r="AJ61" s="54"/>
      <c r="AK61" s="54"/>
      <c r="AL61" s="54"/>
      <c r="AM61" s="54"/>
      <c r="AN61" s="54"/>
      <c r="AO61" s="54"/>
      <c r="AP61" s="54">
        <f>IF(OR(X61="",C61=""),"",NETWORKDAYS.INTL(C61,X61,1,'HELPER(Dont Delete)'!A:A))</f>
        <v>9</v>
      </c>
      <c r="AQ61" s="54" t="str">
        <f>IF(OR(X61="",Y61=""),"",NETWORKDAYS.INTL(X61,Y61,1,'HELPER(Dont Delete)'!A:A))</f>
        <v/>
      </c>
      <c r="AR61" s="54" t="str">
        <f>IF(OR(Y61="",AA61=""),"",NETWORKDAYS.INTL(Y61,AA61,1,'HELPER(Dont Delete)'!A:A))</f>
        <v/>
      </c>
      <c r="AS61" s="58"/>
      <c r="AT61" s="54"/>
      <c r="AU61" s="54"/>
      <c r="AV61" s="59"/>
      <c r="AW61" s="59"/>
    </row>
    <row r="62" spans="1:49">
      <c r="A62" s="54">
        <v>62</v>
      </c>
      <c r="B62" s="55">
        <v>45327</v>
      </c>
      <c r="C62" s="55">
        <v>45411</v>
      </c>
      <c r="D62" s="60" t="s">
        <v>44</v>
      </c>
      <c r="E62" s="56" t="s">
        <v>219</v>
      </c>
      <c r="F62" s="56" t="s">
        <v>220</v>
      </c>
      <c r="G62" s="67" t="s">
        <v>608</v>
      </c>
      <c r="H62" s="56">
        <v>7797527376</v>
      </c>
      <c r="I62" s="54" t="s">
        <v>609</v>
      </c>
      <c r="J62" s="61" t="s">
        <v>218</v>
      </c>
      <c r="K62" s="61">
        <v>9.3000000000000007</v>
      </c>
      <c r="L62" s="61">
        <v>2.8</v>
      </c>
      <c r="M62" s="61" t="s">
        <v>603</v>
      </c>
      <c r="N62" s="61">
        <v>30</v>
      </c>
      <c r="O62" s="62" t="s">
        <v>610</v>
      </c>
      <c r="P62" s="62" t="s">
        <v>611</v>
      </c>
      <c r="Q62" s="61" t="s">
        <v>227</v>
      </c>
      <c r="R62" s="61" t="s">
        <v>606</v>
      </c>
      <c r="S62" s="61"/>
      <c r="T62" s="54" t="s">
        <v>612</v>
      </c>
      <c r="U62" s="61" t="s">
        <v>249</v>
      </c>
      <c r="V62" s="61" t="s">
        <v>231</v>
      </c>
      <c r="W62" s="61"/>
      <c r="X62" s="64">
        <v>45422</v>
      </c>
      <c r="Y62" s="57">
        <v>45425</v>
      </c>
      <c r="Z62" s="54" t="s">
        <v>613</v>
      </c>
      <c r="AA62" s="57">
        <v>45439</v>
      </c>
      <c r="AB62" s="54"/>
      <c r="AC62" s="57"/>
      <c r="AD62" s="57"/>
      <c r="AE62" s="57"/>
      <c r="AF62" s="57"/>
      <c r="AG62" s="54"/>
      <c r="AH62" s="54"/>
      <c r="AI62" s="54"/>
      <c r="AJ62" s="54"/>
      <c r="AK62" s="54"/>
      <c r="AL62" s="54"/>
      <c r="AM62" s="54"/>
      <c r="AN62" s="54"/>
      <c r="AO62" s="54"/>
      <c r="AP62" s="54">
        <f>IF(OR(X62="",C62=""),"",NETWORKDAYS.INTL(C62,X62,1,'HELPER(Dont Delete)'!A:A))</f>
        <v>9</v>
      </c>
      <c r="AQ62" s="54">
        <f>IF(OR(X62="",Y62=""),"",NETWORKDAYS.INTL(X62,Y62,1,'HELPER(Dont Delete)'!A:A))</f>
        <v>2</v>
      </c>
      <c r="AR62" s="54">
        <f>IF(OR(Y62="",AA62=""),"",NETWORKDAYS.INTL(Y62,AA62,1,'HELPER(Dont Delete)'!A:A))</f>
        <v>10</v>
      </c>
      <c r="AS62" s="58"/>
      <c r="AT62" s="54"/>
      <c r="AU62" s="54"/>
      <c r="AV62" s="59"/>
      <c r="AW62" s="59"/>
    </row>
    <row r="63" spans="1:49">
      <c r="A63" s="54">
        <v>63</v>
      </c>
      <c r="B63" s="55">
        <v>45327</v>
      </c>
      <c r="C63" s="55">
        <v>45411</v>
      </c>
      <c r="D63" s="60" t="s">
        <v>67</v>
      </c>
      <c r="E63" s="56" t="s">
        <v>219</v>
      </c>
      <c r="F63" s="56" t="s">
        <v>220</v>
      </c>
      <c r="G63" s="67" t="s">
        <v>614</v>
      </c>
      <c r="H63" s="56">
        <v>7566019731</v>
      </c>
      <c r="I63" s="54" t="s">
        <v>615</v>
      </c>
      <c r="J63" s="61" t="s">
        <v>218</v>
      </c>
      <c r="K63" s="61">
        <v>3</v>
      </c>
      <c r="L63" s="61">
        <v>2</v>
      </c>
      <c r="M63" s="61" t="s">
        <v>603</v>
      </c>
      <c r="N63" s="61">
        <v>30</v>
      </c>
      <c r="O63" s="62" t="s">
        <v>616</v>
      </c>
      <c r="P63" s="62" t="s">
        <v>617</v>
      </c>
      <c r="Q63" s="61" t="s">
        <v>328</v>
      </c>
      <c r="R63" s="61" t="s">
        <v>367</v>
      </c>
      <c r="S63" s="61"/>
      <c r="T63" s="54" t="s">
        <v>618</v>
      </c>
      <c r="U63" s="61" t="s">
        <v>249</v>
      </c>
      <c r="V63" s="61" t="s">
        <v>231</v>
      </c>
      <c r="W63" s="61"/>
      <c r="X63" s="64">
        <v>45422</v>
      </c>
      <c r="Y63" s="57">
        <v>45425</v>
      </c>
      <c r="Z63" s="54"/>
      <c r="AA63" s="57">
        <v>45460</v>
      </c>
      <c r="AB63" s="54"/>
      <c r="AC63" s="57"/>
      <c r="AD63" s="57"/>
      <c r="AE63" s="57"/>
      <c r="AF63" s="57"/>
      <c r="AG63" s="54"/>
      <c r="AH63" s="54"/>
      <c r="AI63" s="54"/>
      <c r="AJ63" s="54"/>
      <c r="AK63" s="54"/>
      <c r="AL63" s="54"/>
      <c r="AM63" s="54"/>
      <c r="AN63" s="54"/>
      <c r="AO63" s="54"/>
      <c r="AP63" s="54">
        <f>IF(OR(X63="",C63=""),"",NETWORKDAYS.INTL(C63,X63,1,'HELPER(Dont Delete)'!A:A))</f>
        <v>9</v>
      </c>
      <c r="AQ63" s="54">
        <f>IF(OR(X63="",Y63=""),"",NETWORKDAYS.INTL(X63,Y63,1,'HELPER(Dont Delete)'!A:A))</f>
        <v>2</v>
      </c>
      <c r="AR63" s="54">
        <f>IF(OR(Y63="",AA63=""),"",NETWORKDAYS.INTL(Y63,AA63,1,'HELPER(Dont Delete)'!A:A))</f>
        <v>24</v>
      </c>
      <c r="AS63" s="58"/>
      <c r="AT63" s="54"/>
      <c r="AU63" s="54"/>
      <c r="AV63" s="59"/>
      <c r="AW63" s="59"/>
    </row>
    <row r="64" spans="1:49">
      <c r="A64" s="54">
        <v>64</v>
      </c>
      <c r="B64" s="55">
        <v>45299</v>
      </c>
      <c r="C64" s="55">
        <v>45411</v>
      </c>
      <c r="D64" s="56" t="s">
        <v>52</v>
      </c>
      <c r="E64" s="56" t="s">
        <v>219</v>
      </c>
      <c r="F64" s="56" t="s">
        <v>220</v>
      </c>
      <c r="G64" s="67" t="s">
        <v>619</v>
      </c>
      <c r="H64" s="56" t="s">
        <v>620</v>
      </c>
      <c r="I64" s="61" t="s">
        <v>621</v>
      </c>
      <c r="J64" s="61" t="s">
        <v>512</v>
      </c>
      <c r="K64" s="61">
        <v>8</v>
      </c>
      <c r="L64" s="61">
        <v>8</v>
      </c>
      <c r="M64" s="61" t="s">
        <v>622</v>
      </c>
      <c r="N64" s="61">
        <v>90</v>
      </c>
      <c r="O64" s="62" t="s">
        <v>623</v>
      </c>
      <c r="P64" s="62" t="s">
        <v>624</v>
      </c>
      <c r="Q64" s="61" t="s">
        <v>328</v>
      </c>
      <c r="R64" s="61" t="s">
        <v>64</v>
      </c>
      <c r="S64" s="61"/>
      <c r="T64" s="54" t="s">
        <v>460</v>
      </c>
      <c r="U64" s="61" t="s">
        <v>353</v>
      </c>
      <c r="V64" s="61" t="s">
        <v>509</v>
      </c>
      <c r="W64" s="61"/>
      <c r="X64" s="64"/>
      <c r="Y64" s="57"/>
      <c r="Z64" s="54"/>
      <c r="AA64" s="57"/>
      <c r="AB64" s="54"/>
      <c r="AC64" s="57"/>
      <c r="AD64" s="57"/>
      <c r="AE64" s="57"/>
      <c r="AF64" s="57"/>
      <c r="AG64" s="54"/>
      <c r="AH64" s="54"/>
      <c r="AI64" s="54"/>
      <c r="AJ64" s="54"/>
      <c r="AK64" s="54"/>
      <c r="AL64" s="54"/>
      <c r="AM64" s="54"/>
      <c r="AN64" s="54"/>
      <c r="AO64" s="54"/>
      <c r="AP64" s="54" t="str">
        <f>IF(OR(X64="",C64=""),"",NETWORKDAYS.INTL(C64,X64,1,'HELPER(Dont Delete)'!A:A))</f>
        <v/>
      </c>
      <c r="AQ64" s="54" t="str">
        <f>IF(OR(X64="",Y64=""),"",NETWORKDAYS.INTL(X64,Y64,1,'HELPER(Dont Delete)'!A:A))</f>
        <v/>
      </c>
      <c r="AR64" s="54" t="str">
        <f>IF(OR(Y64="",AA64=""),"",NETWORKDAYS.INTL(Y64,AA64,1,'HELPER(Dont Delete)'!A:A))</f>
        <v/>
      </c>
      <c r="AS64" s="58"/>
      <c r="AT64" s="54"/>
      <c r="AU64" s="54"/>
      <c r="AV64" s="59"/>
      <c r="AW64" s="59"/>
    </row>
    <row r="65" spans="1:49">
      <c r="A65" s="54">
        <v>65</v>
      </c>
      <c r="B65" s="55">
        <v>45299</v>
      </c>
      <c r="C65" s="55">
        <v>45411</v>
      </c>
      <c r="D65" s="56" t="s">
        <v>52</v>
      </c>
      <c r="E65" s="56" t="s">
        <v>219</v>
      </c>
      <c r="F65" s="56" t="s">
        <v>220</v>
      </c>
      <c r="G65" s="67" t="s">
        <v>625</v>
      </c>
      <c r="H65" s="56" t="s">
        <v>626</v>
      </c>
      <c r="I65" s="54" t="s">
        <v>627</v>
      </c>
      <c r="J65" s="61" t="s">
        <v>512</v>
      </c>
      <c r="K65" s="61">
        <v>7</v>
      </c>
      <c r="L65" s="61">
        <v>7</v>
      </c>
      <c r="M65" s="61" t="s">
        <v>628</v>
      </c>
      <c r="N65" s="61">
        <v>90</v>
      </c>
      <c r="O65" s="62" t="s">
        <v>629</v>
      </c>
      <c r="P65" s="62" t="s">
        <v>630</v>
      </c>
      <c r="Q65" s="61" t="s">
        <v>328</v>
      </c>
      <c r="R65" s="61" t="s">
        <v>631</v>
      </c>
      <c r="S65" s="61"/>
      <c r="T65" s="54" t="s">
        <v>460</v>
      </c>
      <c r="U65" s="61" t="s">
        <v>353</v>
      </c>
      <c r="V65" s="61" t="s">
        <v>509</v>
      </c>
      <c r="W65" s="54"/>
      <c r="X65" s="57">
        <v>45386</v>
      </c>
      <c r="Y65" s="57">
        <v>45460</v>
      </c>
      <c r="Z65" s="54" t="s">
        <v>340</v>
      </c>
      <c r="AA65" s="57"/>
      <c r="AB65" s="54"/>
      <c r="AC65" s="57"/>
      <c r="AD65" s="57"/>
      <c r="AE65" s="57"/>
      <c r="AF65" s="57"/>
      <c r="AG65" s="54"/>
      <c r="AH65" s="54"/>
      <c r="AI65" s="54"/>
      <c r="AJ65" s="54"/>
      <c r="AK65" s="54"/>
      <c r="AL65" s="54"/>
      <c r="AM65" s="54"/>
      <c r="AN65" s="54"/>
      <c r="AO65" s="54"/>
      <c r="AP65" s="54">
        <f>IF(OR(X65="",C65=""),"",NETWORKDAYS.INTL(C65,X65,1,'HELPER(Dont Delete)'!A:A))</f>
        <v>-14</v>
      </c>
      <c r="AQ65" s="54">
        <f>IF(OR(X65="",Y65=""),"",NETWORKDAYS.INTL(X65,Y65,1,'HELPER(Dont Delete)'!A:A))</f>
        <v>46</v>
      </c>
      <c r="AR65" s="54" t="str">
        <f>IF(OR(Y65="",AA65=""),"",NETWORKDAYS.INTL(Y65,AA65,1,'HELPER(Dont Delete)'!A:A))</f>
        <v/>
      </c>
      <c r="AS65" s="58"/>
      <c r="AT65" s="54"/>
      <c r="AU65" s="54"/>
      <c r="AV65" s="59"/>
      <c r="AW65" s="59"/>
    </row>
    <row r="66" spans="1:49">
      <c r="A66" s="54">
        <v>66</v>
      </c>
      <c r="B66" s="55">
        <v>45299</v>
      </c>
      <c r="C66" s="55">
        <v>45411</v>
      </c>
      <c r="D66" s="56" t="s">
        <v>52</v>
      </c>
      <c r="E66" s="56" t="s">
        <v>219</v>
      </c>
      <c r="F66" s="56" t="s">
        <v>220</v>
      </c>
      <c r="G66" s="67" t="s">
        <v>632</v>
      </c>
      <c r="H66" s="56">
        <v>9536257955</v>
      </c>
      <c r="I66" s="61" t="s">
        <v>633</v>
      </c>
      <c r="J66" s="61" t="s">
        <v>512</v>
      </c>
      <c r="K66" s="61">
        <v>8</v>
      </c>
      <c r="L66" s="61">
        <v>8</v>
      </c>
      <c r="M66" s="61" t="s">
        <v>634</v>
      </c>
      <c r="N66" s="61">
        <v>90</v>
      </c>
      <c r="O66" s="62" t="s">
        <v>635</v>
      </c>
      <c r="P66" s="62" t="s">
        <v>636</v>
      </c>
      <c r="Q66" s="61" t="s">
        <v>328</v>
      </c>
      <c r="R66" s="61" t="s">
        <v>290</v>
      </c>
      <c r="S66" s="61"/>
      <c r="T66" s="54"/>
      <c r="U66" s="61" t="s">
        <v>637</v>
      </c>
      <c r="V66" s="61" t="s">
        <v>509</v>
      </c>
      <c r="W66" s="61"/>
      <c r="X66" s="64"/>
      <c r="Y66" s="57"/>
      <c r="Z66" s="54"/>
      <c r="AA66" s="57"/>
      <c r="AB66" s="54"/>
      <c r="AC66" s="57"/>
      <c r="AD66" s="57"/>
      <c r="AE66" s="57"/>
      <c r="AF66" s="57"/>
      <c r="AG66" s="54"/>
      <c r="AH66" s="54"/>
      <c r="AI66" s="54"/>
      <c r="AJ66" s="54"/>
      <c r="AK66" s="54"/>
      <c r="AL66" s="54"/>
      <c r="AM66" s="54"/>
      <c r="AN66" s="54"/>
      <c r="AO66" s="54"/>
      <c r="AP66" s="54" t="str">
        <f>IF(OR(X66="",C66=""),"",NETWORKDAYS.INTL(C66,X66,1,'HELPER(Dont Delete)'!A:A))</f>
        <v/>
      </c>
      <c r="AQ66" s="54" t="str">
        <f>IF(OR(X66="",Y66=""),"",NETWORKDAYS.INTL(X66,Y66,1,'HELPER(Dont Delete)'!A:A))</f>
        <v/>
      </c>
      <c r="AR66" s="54" t="str">
        <f>IF(OR(Y66="",AA66=""),"",NETWORKDAYS.INTL(Y66,AA66,1,'HELPER(Dont Delete)'!A:A))</f>
        <v/>
      </c>
      <c r="AS66" s="58"/>
      <c r="AT66" s="54"/>
      <c r="AU66" s="54"/>
      <c r="AV66" s="59"/>
      <c r="AW66" s="59"/>
    </row>
    <row r="67" spans="1:49">
      <c r="A67" s="54">
        <v>67</v>
      </c>
      <c r="B67" s="55">
        <v>45327</v>
      </c>
      <c r="C67" s="55">
        <v>45436</v>
      </c>
      <c r="D67" s="60" t="s">
        <v>67</v>
      </c>
      <c r="E67" s="56" t="s">
        <v>219</v>
      </c>
      <c r="F67" s="56" t="s">
        <v>220</v>
      </c>
      <c r="G67" s="54" t="s">
        <v>638</v>
      </c>
      <c r="H67" s="54">
        <v>7503800712</v>
      </c>
      <c r="I67" s="54" t="s">
        <v>639</v>
      </c>
      <c r="J67" s="61" t="s">
        <v>218</v>
      </c>
      <c r="K67" s="54">
        <v>8.6</v>
      </c>
      <c r="L67" s="54">
        <v>8.6</v>
      </c>
      <c r="M67" s="54" t="s">
        <v>603</v>
      </c>
      <c r="N67" s="54">
        <v>60</v>
      </c>
      <c r="O67" s="54" t="s">
        <v>640</v>
      </c>
      <c r="P67" s="54" t="s">
        <v>641</v>
      </c>
      <c r="Q67" s="54" t="s">
        <v>227</v>
      </c>
      <c r="R67" s="54" t="s">
        <v>367</v>
      </c>
      <c r="S67" s="54"/>
      <c r="T67" s="54" t="s">
        <v>642</v>
      </c>
      <c r="U67" s="61" t="s">
        <v>249</v>
      </c>
      <c r="V67" s="54" t="s">
        <v>291</v>
      </c>
      <c r="W67" s="61"/>
      <c r="X67" s="55"/>
      <c r="Y67" s="57"/>
      <c r="Z67" s="54"/>
      <c r="AA67" s="57"/>
      <c r="AB67" s="54"/>
      <c r="AC67" s="57"/>
      <c r="AD67" s="54"/>
      <c r="AE67" s="57"/>
      <c r="AF67" s="57"/>
      <c r="AG67" s="57"/>
      <c r="AH67" s="57"/>
      <c r="AI67" s="54"/>
      <c r="AJ67" s="54"/>
      <c r="AK67" s="54"/>
      <c r="AL67" s="54"/>
      <c r="AM67" s="54"/>
      <c r="AN67" s="54"/>
      <c r="AO67" s="54"/>
      <c r="AP67" s="54" t="str">
        <f>IF(OR(X67="",C67=""),"",NETWORKDAYS.INTL(C67,X67,1,'HELPER(Dont Delete)'!A:A))</f>
        <v/>
      </c>
      <c r="AQ67" s="54" t="str">
        <f>IF(OR(X67="",Y67=""),"",NETWORKDAYS.INTL(X67,Y67,1,'HELPER(Dont Delete)'!A:A))</f>
        <v/>
      </c>
      <c r="AR67" s="54" t="str">
        <f>IF(OR(Y67="",AA67=""),"",NETWORKDAYS.INTL(Y67,AA67,1,'HELPER(Dont Delete)'!A:A))</f>
        <v/>
      </c>
      <c r="AS67" s="58"/>
      <c r="AT67" s="54"/>
      <c r="AU67" s="54"/>
      <c r="AV67" s="59"/>
      <c r="AW67" s="59"/>
    </row>
    <row r="68" spans="1:49">
      <c r="A68" s="54">
        <v>68</v>
      </c>
      <c r="B68" s="55">
        <v>45327</v>
      </c>
      <c r="C68" s="55">
        <v>45436</v>
      </c>
      <c r="D68" s="60" t="s">
        <v>67</v>
      </c>
      <c r="E68" s="56" t="s">
        <v>219</v>
      </c>
      <c r="F68" s="56" t="s">
        <v>220</v>
      </c>
      <c r="G68" s="54" t="s">
        <v>643</v>
      </c>
      <c r="H68" s="54" t="s">
        <v>644</v>
      </c>
      <c r="I68" s="54" t="s">
        <v>645</v>
      </c>
      <c r="J68" s="61" t="s">
        <v>218</v>
      </c>
      <c r="K68" s="54">
        <v>9</v>
      </c>
      <c r="L68" s="54">
        <v>9</v>
      </c>
      <c r="M68" s="54" t="s">
        <v>646</v>
      </c>
      <c r="N68" s="54">
        <v>15</v>
      </c>
      <c r="O68" s="54" t="s">
        <v>647</v>
      </c>
      <c r="P68" s="54">
        <v>0.25</v>
      </c>
      <c r="Q68" s="54" t="s">
        <v>522</v>
      </c>
      <c r="R68" s="54" t="s">
        <v>367</v>
      </c>
      <c r="S68" s="54"/>
      <c r="T68" s="54" t="s">
        <v>648</v>
      </c>
      <c r="U68" s="61" t="s">
        <v>249</v>
      </c>
      <c r="V68" s="54" t="s">
        <v>291</v>
      </c>
      <c r="W68" s="61"/>
      <c r="X68" s="55"/>
      <c r="Y68" s="57"/>
      <c r="Z68" s="54"/>
      <c r="AA68" s="57"/>
      <c r="AB68" s="54"/>
      <c r="AC68" s="57"/>
      <c r="AD68" s="54"/>
      <c r="AE68" s="57"/>
      <c r="AF68" s="57"/>
      <c r="AG68" s="57"/>
      <c r="AH68" s="57"/>
      <c r="AI68" s="54"/>
      <c r="AJ68" s="54"/>
      <c r="AK68" s="54"/>
      <c r="AL68" s="54"/>
      <c r="AM68" s="54"/>
      <c r="AN68" s="54"/>
      <c r="AO68" s="54"/>
      <c r="AP68" s="54" t="str">
        <f>IF(OR(X68="",C68=""),"",NETWORKDAYS.INTL(C68,X68,1,'HELPER(Dont Delete)'!A:A))</f>
        <v/>
      </c>
      <c r="AQ68" s="54" t="str">
        <f>IF(OR(X68="",Y68=""),"",NETWORKDAYS.INTL(X68,Y68,1,'HELPER(Dont Delete)'!A:A))</f>
        <v/>
      </c>
      <c r="AR68" s="54" t="str">
        <f>IF(OR(Y68="",AA68=""),"",NETWORKDAYS.INTL(Y68,AA68,1,'HELPER(Dont Delete)'!A:A))</f>
        <v/>
      </c>
      <c r="AS68" s="58"/>
      <c r="AT68" s="54"/>
      <c r="AU68" s="54"/>
      <c r="AV68" s="59"/>
      <c r="AW68" s="59"/>
    </row>
    <row r="69" spans="1:49">
      <c r="A69" s="54">
        <v>69</v>
      </c>
      <c r="B69" s="55">
        <v>45327</v>
      </c>
      <c r="C69" s="55">
        <v>45436</v>
      </c>
      <c r="D69" s="60" t="s">
        <v>44</v>
      </c>
      <c r="E69" s="56" t="s">
        <v>219</v>
      </c>
      <c r="F69" s="56" t="s">
        <v>220</v>
      </c>
      <c r="G69" s="54" t="s">
        <v>649</v>
      </c>
      <c r="H69" s="54">
        <v>9589437257</v>
      </c>
      <c r="I69" s="54" t="s">
        <v>650</v>
      </c>
      <c r="J69" s="61" t="s">
        <v>218</v>
      </c>
      <c r="K69" s="54">
        <v>10.6</v>
      </c>
      <c r="L69" s="54">
        <v>10.6</v>
      </c>
      <c r="M69" s="54" t="s">
        <v>372</v>
      </c>
      <c r="N69" s="54">
        <v>30</v>
      </c>
      <c r="O69" s="54" t="s">
        <v>651</v>
      </c>
      <c r="P69" s="54" t="s">
        <v>652</v>
      </c>
      <c r="Q69" s="54" t="s">
        <v>653</v>
      </c>
      <c r="R69" s="54" t="s">
        <v>654</v>
      </c>
      <c r="S69" s="54"/>
      <c r="T69" s="54" t="s">
        <v>655</v>
      </c>
      <c r="U69" s="61" t="s">
        <v>249</v>
      </c>
      <c r="V69" s="54" t="s">
        <v>291</v>
      </c>
      <c r="W69" s="61"/>
      <c r="X69" s="55"/>
      <c r="Y69" s="57"/>
      <c r="Z69" s="54"/>
      <c r="AA69" s="57"/>
      <c r="AB69" s="54"/>
      <c r="AC69" s="57"/>
      <c r="AD69" s="54"/>
      <c r="AE69" s="57"/>
      <c r="AF69" s="57"/>
      <c r="AG69" s="57"/>
      <c r="AH69" s="57"/>
      <c r="AI69" s="54"/>
      <c r="AJ69" s="54"/>
      <c r="AK69" s="54"/>
      <c r="AL69" s="54"/>
      <c r="AM69" s="54"/>
      <c r="AN69" s="54"/>
      <c r="AO69" s="54"/>
      <c r="AP69" s="54" t="str">
        <f>IF(OR(X69="",C69=""),"",NETWORKDAYS.INTL(C69,X69,1,'HELPER(Dont Delete)'!A:A))</f>
        <v/>
      </c>
      <c r="AQ69" s="54" t="str">
        <f>IF(OR(X69="",Y69=""),"",NETWORKDAYS.INTL(X69,Y69,1,'HELPER(Dont Delete)'!A:A))</f>
        <v/>
      </c>
      <c r="AR69" s="54" t="str">
        <f>IF(OR(Y69="",AA69=""),"",NETWORKDAYS.INTL(Y69,AA69,1,'HELPER(Dont Delete)'!A:A))</f>
        <v/>
      </c>
      <c r="AS69" s="58"/>
      <c r="AT69" s="54"/>
      <c r="AU69" s="54"/>
      <c r="AV69" s="59"/>
      <c r="AW69" s="59"/>
    </row>
    <row r="70" spans="1:49">
      <c r="A70" s="54">
        <v>70</v>
      </c>
      <c r="B70" s="55">
        <v>45327</v>
      </c>
      <c r="C70" s="55">
        <v>45456</v>
      </c>
      <c r="D70" s="60" t="s">
        <v>67</v>
      </c>
      <c r="E70" s="56" t="s">
        <v>219</v>
      </c>
      <c r="F70" s="56" t="s">
        <v>220</v>
      </c>
      <c r="G70" s="68" t="s">
        <v>308</v>
      </c>
      <c r="H70" s="69">
        <v>7060796556</v>
      </c>
      <c r="I70" s="54" t="s">
        <v>309</v>
      </c>
      <c r="J70" s="61" t="s">
        <v>218</v>
      </c>
      <c r="K70" s="69">
        <v>4.9000000000000004</v>
      </c>
      <c r="L70" s="69">
        <v>4.9000000000000004</v>
      </c>
      <c r="M70" s="69" t="s">
        <v>656</v>
      </c>
      <c r="N70" s="54">
        <v>30</v>
      </c>
      <c r="O70" s="54" t="s">
        <v>657</v>
      </c>
      <c r="P70" s="54" t="s">
        <v>658</v>
      </c>
      <c r="Q70" s="69" t="s">
        <v>227</v>
      </c>
      <c r="R70" s="69" t="s">
        <v>367</v>
      </c>
      <c r="S70" s="69"/>
      <c r="T70" s="54"/>
      <c r="U70" s="54" t="s">
        <v>659</v>
      </c>
      <c r="V70" s="61" t="s">
        <v>231</v>
      </c>
      <c r="W70" s="61"/>
      <c r="X70" s="64">
        <v>45457</v>
      </c>
      <c r="Y70" s="57"/>
      <c r="Z70" s="54"/>
      <c r="AA70" s="57"/>
      <c r="AB70" s="54"/>
      <c r="AC70" s="57"/>
      <c r="AD70" s="54"/>
      <c r="AE70" s="57"/>
      <c r="AF70" s="57"/>
      <c r="AG70" s="57"/>
      <c r="AH70" s="57"/>
      <c r="AI70" s="54"/>
      <c r="AJ70" s="54"/>
      <c r="AK70" s="54"/>
      <c r="AL70" s="54"/>
      <c r="AM70" s="54"/>
      <c r="AN70" s="54"/>
      <c r="AO70" s="54"/>
      <c r="AP70" s="54">
        <f>IF(OR(X70="",C70=""),"",NETWORKDAYS.INTL(C70,X70,1,'HELPER(Dont Delete)'!A:A))</f>
        <v>2</v>
      </c>
      <c r="AQ70" s="54" t="str">
        <f>IF(OR(X70="",Y70=""),"",NETWORKDAYS.INTL(X70,Y70,1,'HELPER(Dont Delete)'!A:A))</f>
        <v/>
      </c>
      <c r="AR70" s="54" t="str">
        <f>IF(OR(Y70="",AA70=""),"",NETWORKDAYS.INTL(Y70,AA70,1,'HELPER(Dont Delete)'!A:A))</f>
        <v/>
      </c>
      <c r="AS70" s="58"/>
      <c r="AT70" s="54"/>
      <c r="AU70" s="54"/>
      <c r="AV70" s="59"/>
      <c r="AW70" s="59"/>
    </row>
    <row r="71" spans="1:49">
      <c r="A71" s="54">
        <v>71</v>
      </c>
      <c r="B71" s="55">
        <v>45327</v>
      </c>
      <c r="C71" s="55">
        <v>45456</v>
      </c>
      <c r="D71" s="60" t="s">
        <v>67</v>
      </c>
      <c r="E71" s="56" t="s">
        <v>219</v>
      </c>
      <c r="F71" s="56" t="s">
        <v>220</v>
      </c>
      <c r="G71" s="68" t="s">
        <v>660</v>
      </c>
      <c r="H71" s="69">
        <v>8077083571</v>
      </c>
      <c r="I71" s="54" t="s">
        <v>661</v>
      </c>
      <c r="J71" s="61" t="s">
        <v>218</v>
      </c>
      <c r="K71" s="69">
        <v>3</v>
      </c>
      <c r="L71" s="69">
        <v>3</v>
      </c>
      <c r="M71" s="69" t="s">
        <v>662</v>
      </c>
      <c r="N71" s="54">
        <v>30</v>
      </c>
      <c r="O71" s="70" t="s">
        <v>440</v>
      </c>
      <c r="P71" s="70" t="s">
        <v>663</v>
      </c>
      <c r="Q71" s="69" t="s">
        <v>328</v>
      </c>
      <c r="R71" s="69" t="s">
        <v>664</v>
      </c>
      <c r="S71" s="69"/>
      <c r="T71" s="54"/>
      <c r="U71" s="54" t="s">
        <v>353</v>
      </c>
      <c r="V71" s="61" t="s">
        <v>231</v>
      </c>
      <c r="W71" s="61"/>
      <c r="X71" s="64">
        <v>45457</v>
      </c>
      <c r="Y71" s="55">
        <v>45460</v>
      </c>
      <c r="Z71" s="54"/>
      <c r="AA71" s="57"/>
      <c r="AB71" s="54"/>
      <c r="AC71" s="57"/>
      <c r="AD71" s="54"/>
      <c r="AE71" s="57"/>
      <c r="AF71" s="57"/>
      <c r="AG71" s="57"/>
      <c r="AH71" s="57"/>
      <c r="AI71" s="54"/>
      <c r="AJ71" s="54"/>
      <c r="AK71" s="54"/>
      <c r="AL71" s="54"/>
      <c r="AM71" s="54"/>
      <c r="AN71" s="54"/>
      <c r="AO71" s="54"/>
      <c r="AP71" s="54">
        <f>IF(OR(X71="",C71=""),"",NETWORKDAYS.INTL(C71,X71,1,'HELPER(Dont Delete)'!A:A))</f>
        <v>2</v>
      </c>
      <c r="AQ71" s="54">
        <f>IF(OR(X71="",Y71=""),"",NETWORKDAYS.INTL(X71,Y71,1,'HELPER(Dont Delete)'!A:A))</f>
        <v>1</v>
      </c>
      <c r="AR71" s="54" t="str">
        <f>IF(OR(Y71="",AA71=""),"",NETWORKDAYS.INTL(Y71,AA71,1,'HELPER(Dont Delete)'!A:A))</f>
        <v/>
      </c>
      <c r="AS71" s="58"/>
      <c r="AT71" s="54"/>
      <c r="AU71" s="54"/>
      <c r="AV71" s="59"/>
      <c r="AW71" s="59"/>
    </row>
    <row r="72" spans="1:49">
      <c r="A72" s="54">
        <v>72</v>
      </c>
      <c r="B72" s="55">
        <v>45299</v>
      </c>
      <c r="C72" s="55">
        <v>45456</v>
      </c>
      <c r="D72" s="54" t="s">
        <v>52</v>
      </c>
      <c r="E72" s="56" t="s">
        <v>219</v>
      </c>
      <c r="F72" s="56" t="s">
        <v>220</v>
      </c>
      <c r="G72" s="54" t="s">
        <v>665</v>
      </c>
      <c r="H72" s="54">
        <v>9968883423</v>
      </c>
      <c r="I72" s="71" t="s">
        <v>666</v>
      </c>
      <c r="J72" s="56" t="s">
        <v>667</v>
      </c>
      <c r="K72" s="54">
        <v>6.5</v>
      </c>
      <c r="L72" s="54">
        <v>6.5</v>
      </c>
      <c r="M72" s="54" t="s">
        <v>668</v>
      </c>
      <c r="N72" s="54">
        <v>90</v>
      </c>
      <c r="O72" s="54" t="s">
        <v>669</v>
      </c>
      <c r="P72" s="54">
        <v>0.3</v>
      </c>
      <c r="Q72" s="54" t="s">
        <v>670</v>
      </c>
      <c r="R72" s="54" t="s">
        <v>290</v>
      </c>
      <c r="S72" s="54"/>
      <c r="T72" s="54"/>
      <c r="U72" s="54" t="s">
        <v>671</v>
      </c>
      <c r="V72" s="54" t="s">
        <v>231</v>
      </c>
      <c r="W72" s="54"/>
      <c r="X72" s="55">
        <v>45457</v>
      </c>
      <c r="Y72" s="57">
        <v>45460</v>
      </c>
      <c r="Z72" s="54" t="s">
        <v>232</v>
      </c>
      <c r="AA72" s="57"/>
      <c r="AB72" s="54"/>
      <c r="AC72" s="57"/>
      <c r="AD72" s="54"/>
      <c r="AE72" s="57"/>
      <c r="AF72" s="57"/>
      <c r="AG72" s="57"/>
      <c r="AH72" s="57"/>
      <c r="AI72" s="54"/>
      <c r="AJ72" s="54"/>
      <c r="AK72" s="54"/>
      <c r="AL72" s="54"/>
      <c r="AM72" s="54"/>
      <c r="AN72" s="54"/>
      <c r="AO72" s="54"/>
      <c r="AP72" s="54">
        <f>IF(OR(X72="",C72=""),"",NETWORKDAYS.INTL(C72,X72,1,'HELPER(Dont Delete)'!A:A))</f>
        <v>2</v>
      </c>
      <c r="AQ72" s="54">
        <f>IF(OR(X72="",Y72=""),"",NETWORKDAYS.INTL(X72,Y72,1,'HELPER(Dont Delete)'!A:A))</f>
        <v>1</v>
      </c>
      <c r="AR72" s="54" t="str">
        <f>IF(OR(Y72="",AA72=""),"",NETWORKDAYS.INTL(Y72,AA72,1,'HELPER(Dont Delete)'!A:A))</f>
        <v/>
      </c>
      <c r="AS72" s="58"/>
      <c r="AT72" s="54"/>
      <c r="AU72" s="54"/>
      <c r="AV72" s="59"/>
      <c r="AW72" s="59"/>
    </row>
    <row r="73" spans="1:49">
      <c r="A73" s="54">
        <v>73</v>
      </c>
      <c r="B73" s="55">
        <v>45327</v>
      </c>
      <c r="C73" s="55">
        <v>45464</v>
      </c>
      <c r="D73" s="60" t="s">
        <v>67</v>
      </c>
      <c r="E73" s="56" t="s">
        <v>219</v>
      </c>
      <c r="F73" s="56" t="s">
        <v>220</v>
      </c>
      <c r="G73" s="72" t="s">
        <v>672</v>
      </c>
      <c r="H73" s="72">
        <v>9805171912</v>
      </c>
      <c r="I73" s="54" t="s">
        <v>673</v>
      </c>
      <c r="J73" s="54" t="s">
        <v>218</v>
      </c>
      <c r="K73" s="72">
        <v>2.6</v>
      </c>
      <c r="L73" s="72">
        <v>2.6</v>
      </c>
      <c r="M73" s="72" t="s">
        <v>674</v>
      </c>
      <c r="N73" s="54">
        <v>30</v>
      </c>
      <c r="O73" s="72" t="s">
        <v>675</v>
      </c>
      <c r="P73" s="72" t="s">
        <v>676</v>
      </c>
      <c r="Q73" s="54" t="s">
        <v>328</v>
      </c>
      <c r="R73" s="72" t="s">
        <v>677</v>
      </c>
      <c r="S73" s="72"/>
      <c r="T73" s="54"/>
      <c r="U73" s="54" t="s">
        <v>671</v>
      </c>
      <c r="V73" s="61" t="s">
        <v>231</v>
      </c>
      <c r="W73" s="61"/>
      <c r="X73" s="55">
        <v>45464</v>
      </c>
      <c r="Y73" s="55">
        <v>45468</v>
      </c>
      <c r="Z73" s="54"/>
      <c r="AA73" s="57"/>
      <c r="AB73" s="54"/>
      <c r="AC73" s="57"/>
      <c r="AD73" s="54"/>
      <c r="AE73" s="57"/>
      <c r="AF73" s="57"/>
      <c r="AG73" s="57"/>
      <c r="AH73" s="57"/>
      <c r="AI73" s="54"/>
      <c r="AJ73" s="54"/>
      <c r="AK73" s="54"/>
      <c r="AL73" s="54"/>
      <c r="AM73" s="54"/>
      <c r="AN73" s="54"/>
      <c r="AO73" s="54"/>
      <c r="AP73" s="54">
        <f>IF(OR(X73="",C73=""),"",NETWORKDAYS.INTL(C73,X73,1,'HELPER(Dont Delete)'!A:A))</f>
        <v>1</v>
      </c>
      <c r="AQ73" s="54">
        <f>IF(OR(X73="",Y73=""),"",NETWORKDAYS.INTL(X73,Y73,1,'HELPER(Dont Delete)'!A:A))</f>
        <v>3</v>
      </c>
      <c r="AR73" s="54" t="str">
        <f>IF(OR(Y73="",AA73=""),"",NETWORKDAYS.INTL(Y73,AA73,1,'HELPER(Dont Delete)'!A:A))</f>
        <v/>
      </c>
      <c r="AS73" s="58"/>
      <c r="AT73" s="54"/>
      <c r="AU73" s="54"/>
      <c r="AV73" s="59"/>
      <c r="AW73" s="59"/>
    </row>
    <row r="74" spans="1:49">
      <c r="A74" s="54">
        <v>74</v>
      </c>
      <c r="B74" s="55">
        <v>45327</v>
      </c>
      <c r="C74" s="55">
        <v>45471</v>
      </c>
      <c r="D74" s="60" t="s">
        <v>67</v>
      </c>
      <c r="E74" s="56" t="s">
        <v>219</v>
      </c>
      <c r="F74" s="56" t="s">
        <v>220</v>
      </c>
      <c r="G74" s="54" t="s">
        <v>678</v>
      </c>
      <c r="H74" s="54">
        <v>8700764322</v>
      </c>
      <c r="I74" s="54" t="s">
        <v>679</v>
      </c>
      <c r="J74" s="54"/>
      <c r="K74" s="73" t="s">
        <v>680</v>
      </c>
      <c r="L74" s="73" t="s">
        <v>680</v>
      </c>
      <c r="M74" s="54" t="s">
        <v>681</v>
      </c>
      <c r="N74" s="73" t="s">
        <v>682</v>
      </c>
      <c r="O74" s="54"/>
      <c r="P74" s="54"/>
      <c r="Q74" s="54" t="s">
        <v>328</v>
      </c>
      <c r="R74" s="54" t="s">
        <v>683</v>
      </c>
      <c r="S74" s="54"/>
      <c r="T74" s="54"/>
      <c r="U74" s="54" t="s">
        <v>659</v>
      </c>
      <c r="V74" s="61" t="s">
        <v>509</v>
      </c>
      <c r="W74" s="61"/>
      <c r="X74" s="55"/>
      <c r="Y74" s="57"/>
      <c r="Z74" s="54"/>
      <c r="AA74" s="57"/>
      <c r="AB74" s="54"/>
      <c r="AC74" s="57"/>
      <c r="AD74" s="54"/>
      <c r="AE74" s="57"/>
      <c r="AF74" s="57"/>
      <c r="AG74" s="57"/>
      <c r="AH74" s="57"/>
      <c r="AI74" s="54"/>
      <c r="AJ74" s="54"/>
      <c r="AK74" s="54"/>
      <c r="AL74" s="54"/>
      <c r="AM74" s="54"/>
      <c r="AN74" s="54"/>
      <c r="AO74" s="54"/>
      <c r="AP74" s="54" t="str">
        <f>IF(OR(X74="",C74=""),"",NETWORKDAYS.INTL(C74,X74,1,'HELPER(Dont Delete)'!A:A))</f>
        <v/>
      </c>
      <c r="AQ74" s="54" t="str">
        <f>IF(OR(X74="",Y74=""),"",NETWORKDAYS.INTL(X74,Y74,1,'HELPER(Dont Delete)'!A:A))</f>
        <v/>
      </c>
      <c r="AR74" s="54" t="str">
        <f>IF(OR(Y74="",AA74=""),"",NETWORKDAYS.INTL(Y74,AA74,1,'HELPER(Dont Delete)'!A:A))</f>
        <v/>
      </c>
      <c r="AS74" s="58"/>
      <c r="AT74" s="54"/>
      <c r="AU74" s="54"/>
      <c r="AV74" s="59"/>
      <c r="AW74" s="59"/>
    </row>
    <row r="75" spans="1:49">
      <c r="A75" s="54">
        <v>75</v>
      </c>
      <c r="B75" s="55">
        <v>45327</v>
      </c>
      <c r="C75" s="55">
        <v>45471</v>
      </c>
      <c r="D75" s="60" t="s">
        <v>67</v>
      </c>
      <c r="E75" s="56" t="s">
        <v>219</v>
      </c>
      <c r="F75" s="56" t="s">
        <v>220</v>
      </c>
      <c r="G75" s="54" t="s">
        <v>684</v>
      </c>
      <c r="H75" s="54">
        <v>8016057633</v>
      </c>
      <c r="I75" s="54" t="s">
        <v>685</v>
      </c>
      <c r="J75" s="54"/>
      <c r="K75" s="54" t="s">
        <v>680</v>
      </c>
      <c r="L75" s="54" t="s">
        <v>686</v>
      </c>
      <c r="M75" s="54" t="s">
        <v>687</v>
      </c>
      <c r="N75" s="73" t="s">
        <v>682</v>
      </c>
      <c r="O75" s="54"/>
      <c r="P75" s="54"/>
      <c r="Q75" s="54" t="s">
        <v>227</v>
      </c>
      <c r="R75" s="54" t="s">
        <v>64</v>
      </c>
      <c r="S75" s="54"/>
      <c r="T75" s="54"/>
      <c r="U75" s="54" t="s">
        <v>659</v>
      </c>
      <c r="V75" s="61" t="s">
        <v>509</v>
      </c>
      <c r="W75" s="61"/>
      <c r="X75" s="55"/>
      <c r="Y75" s="57"/>
      <c r="Z75" s="54"/>
      <c r="AA75" s="57"/>
      <c r="AB75" s="54"/>
      <c r="AC75" s="57"/>
      <c r="AD75" s="54"/>
      <c r="AE75" s="57"/>
      <c r="AF75" s="57"/>
      <c r="AG75" s="57"/>
      <c r="AH75" s="57"/>
      <c r="AI75" s="54"/>
      <c r="AJ75" s="54"/>
      <c r="AK75" s="54"/>
      <c r="AL75" s="54"/>
      <c r="AM75" s="54"/>
      <c r="AN75" s="54"/>
      <c r="AO75" s="54"/>
      <c r="AP75" s="54" t="str">
        <f>IF(OR(X75="",C75=""),"",NETWORKDAYS.INTL(C75,X75,1,'HELPER(Dont Delete)'!A:A))</f>
        <v/>
      </c>
      <c r="AQ75" s="54" t="str">
        <f>IF(OR(X75="",Y75=""),"",NETWORKDAYS.INTL(X75,Y75,1,'HELPER(Dont Delete)'!A:A))</f>
        <v/>
      </c>
      <c r="AR75" s="54" t="str">
        <f>IF(OR(Y75="",AA75=""),"",NETWORKDAYS.INTL(Y75,AA75,1,'HELPER(Dont Delete)'!A:A))</f>
        <v/>
      </c>
      <c r="AS75" s="58"/>
      <c r="AT75" s="54"/>
      <c r="AU75" s="54"/>
      <c r="AV75" s="59"/>
      <c r="AW75" s="59"/>
    </row>
    <row r="76" spans="1:49">
      <c r="A76" s="54">
        <v>76</v>
      </c>
      <c r="B76" s="55">
        <v>45327</v>
      </c>
      <c r="C76" s="55">
        <v>45471</v>
      </c>
      <c r="D76" s="60" t="s">
        <v>67</v>
      </c>
      <c r="E76" s="56" t="s">
        <v>219</v>
      </c>
      <c r="F76" s="56" t="s">
        <v>220</v>
      </c>
      <c r="G76" s="72" t="s">
        <v>688</v>
      </c>
      <c r="H76" s="54">
        <v>7000083686</v>
      </c>
      <c r="I76" s="74" t="s">
        <v>689</v>
      </c>
      <c r="J76" s="54"/>
      <c r="K76" s="72" t="s">
        <v>690</v>
      </c>
      <c r="L76" s="72" t="s">
        <v>691</v>
      </c>
      <c r="M76" s="72" t="s">
        <v>692</v>
      </c>
      <c r="N76" s="72" t="s">
        <v>682</v>
      </c>
      <c r="O76" s="54"/>
      <c r="P76" s="54"/>
      <c r="Q76" s="72" t="s">
        <v>328</v>
      </c>
      <c r="R76" s="72" t="s">
        <v>693</v>
      </c>
      <c r="S76" s="72"/>
      <c r="T76" s="54"/>
      <c r="U76" s="54" t="s">
        <v>659</v>
      </c>
      <c r="V76" s="61" t="s">
        <v>509</v>
      </c>
      <c r="W76" s="61"/>
      <c r="X76" s="55"/>
      <c r="Y76" s="57"/>
      <c r="Z76" s="54"/>
      <c r="AA76" s="57"/>
      <c r="AB76" s="54"/>
      <c r="AC76" s="57"/>
      <c r="AD76" s="54"/>
      <c r="AE76" s="57"/>
      <c r="AF76" s="57"/>
      <c r="AG76" s="57"/>
      <c r="AH76" s="57"/>
      <c r="AI76" s="54"/>
      <c r="AJ76" s="54"/>
      <c r="AK76" s="54"/>
      <c r="AL76" s="54"/>
      <c r="AM76" s="54"/>
      <c r="AN76" s="54"/>
      <c r="AO76" s="54"/>
      <c r="AP76" s="54" t="str">
        <f>IF(OR(X76="",C76=""),"",NETWORKDAYS.INTL(C76,X76,1,'HELPER(Dont Delete)'!A:A))</f>
        <v/>
      </c>
      <c r="AQ76" s="54" t="str">
        <f>IF(OR(X76="",Y76=""),"",NETWORKDAYS.INTL(X76,Y76,1,'HELPER(Dont Delete)'!A:A))</f>
        <v/>
      </c>
      <c r="AR76" s="54" t="str">
        <f>IF(OR(Y76="",AA76=""),"",NETWORKDAYS.INTL(Y76,AA76,1,'HELPER(Dont Delete)'!A:A))</f>
        <v/>
      </c>
      <c r="AS76" s="58"/>
      <c r="AT76" s="54"/>
      <c r="AU76" s="54"/>
      <c r="AV76" s="59"/>
      <c r="AW76" s="59"/>
    </row>
    <row r="77" spans="1:49">
      <c r="A77" s="54">
        <v>77</v>
      </c>
      <c r="B77" s="55">
        <v>45476</v>
      </c>
      <c r="C77" s="55">
        <v>45481</v>
      </c>
      <c r="D77" s="60" t="s">
        <v>44</v>
      </c>
      <c r="E77" s="56" t="s">
        <v>219</v>
      </c>
      <c r="F77" s="56" t="s">
        <v>220</v>
      </c>
      <c r="G77" s="54" t="s">
        <v>694</v>
      </c>
      <c r="H77" s="54">
        <v>9156763848</v>
      </c>
      <c r="I77" s="54" t="s">
        <v>695</v>
      </c>
      <c r="J77" s="61"/>
      <c r="K77" s="54" t="s">
        <v>696</v>
      </c>
      <c r="L77" s="54" t="s">
        <v>697</v>
      </c>
      <c r="M77" s="54" t="s">
        <v>698</v>
      </c>
      <c r="N77" s="54" t="s">
        <v>699</v>
      </c>
      <c r="O77" s="54" t="s">
        <v>700</v>
      </c>
      <c r="P77" s="54">
        <v>0.3</v>
      </c>
      <c r="Q77" s="54" t="s">
        <v>701</v>
      </c>
      <c r="R77" s="54" t="s">
        <v>702</v>
      </c>
      <c r="S77" s="54"/>
      <c r="T77" s="54"/>
      <c r="U77" s="61" t="s">
        <v>703</v>
      </c>
      <c r="V77" s="61" t="s">
        <v>704</v>
      </c>
      <c r="W77" s="61"/>
      <c r="X77" s="55"/>
      <c r="Y77" s="57"/>
      <c r="Z77" s="54"/>
      <c r="AA77" s="57"/>
      <c r="AB77" s="54"/>
      <c r="AC77" s="57"/>
      <c r="AD77" s="54"/>
      <c r="AE77" s="57"/>
      <c r="AF77" s="57"/>
      <c r="AG77" s="57"/>
      <c r="AH77" s="57"/>
      <c r="AI77" s="54"/>
      <c r="AJ77" s="54"/>
      <c r="AK77" s="54"/>
      <c r="AL77" s="54"/>
      <c r="AM77" s="54"/>
      <c r="AN77" s="54"/>
      <c r="AO77" s="54"/>
      <c r="AP77" s="54" t="str">
        <f>IF(OR(X77="",C77=""),"",NETWORKDAYS.INTL(C77,X77,1,'HELPER(Dont Delete)'!A:A))</f>
        <v/>
      </c>
      <c r="AQ77" s="54" t="str">
        <f>IF(OR(X77="",Y77=""),"",NETWORKDAYS.INTL(X77,Y77,1,'HELPER(Dont Delete)'!A:A))</f>
        <v/>
      </c>
      <c r="AR77" s="54" t="str">
        <f>IF(OR(Y77="",AA77=""),"",NETWORKDAYS.INTL(Y77,AA77,1,'HELPER(Dont Delete)'!A:A))</f>
        <v/>
      </c>
      <c r="AS77" s="58"/>
      <c r="AT77" s="54"/>
      <c r="AU77" s="54"/>
      <c r="AV77" s="59"/>
      <c r="AW77" s="59"/>
    </row>
    <row r="78" spans="1:49">
      <c r="A78" s="54">
        <v>78</v>
      </c>
      <c r="B78" s="55">
        <v>45476</v>
      </c>
      <c r="C78" s="55">
        <v>45482</v>
      </c>
      <c r="D78" s="60" t="s">
        <v>69</v>
      </c>
      <c r="E78" s="56" t="s">
        <v>219</v>
      </c>
      <c r="F78" s="56" t="s">
        <v>220</v>
      </c>
      <c r="G78" s="75" t="s">
        <v>705</v>
      </c>
      <c r="H78" s="54">
        <v>7770072909</v>
      </c>
      <c r="I78" s="54" t="s">
        <v>706</v>
      </c>
      <c r="J78" s="61" t="s">
        <v>707</v>
      </c>
      <c r="K78" s="54">
        <v>3.5</v>
      </c>
      <c r="L78" s="54">
        <v>2</v>
      </c>
      <c r="M78" s="54" t="s">
        <v>708</v>
      </c>
      <c r="N78" s="54">
        <v>30</v>
      </c>
      <c r="O78" s="54" t="s">
        <v>709</v>
      </c>
      <c r="P78" s="54" t="s">
        <v>352</v>
      </c>
      <c r="Q78" s="54" t="s">
        <v>227</v>
      </c>
      <c r="R78" s="54" t="s">
        <v>228</v>
      </c>
      <c r="S78" s="54"/>
      <c r="T78" s="54" t="s">
        <v>710</v>
      </c>
      <c r="U78" s="61" t="s">
        <v>353</v>
      </c>
      <c r="V78" s="61" t="s">
        <v>704</v>
      </c>
      <c r="W78" s="61"/>
      <c r="X78" s="55"/>
      <c r="Y78" s="57"/>
      <c r="Z78" s="54"/>
      <c r="AA78" s="57"/>
      <c r="AB78" s="54"/>
      <c r="AC78" s="57"/>
      <c r="AD78" s="54"/>
      <c r="AE78" s="57"/>
      <c r="AF78" s="57"/>
      <c r="AG78" s="57"/>
      <c r="AH78" s="57"/>
      <c r="AI78" s="54"/>
      <c r="AJ78" s="54"/>
      <c r="AK78" s="54"/>
      <c r="AL78" s="54"/>
      <c r="AM78" s="54"/>
      <c r="AN78" s="54"/>
      <c r="AO78" s="54"/>
      <c r="AP78" s="54" t="str">
        <f>IF(OR(X78="",C78=""),"",NETWORKDAYS.INTL(C78,X78,1,'HELPER(Dont Delete)'!A:A))</f>
        <v/>
      </c>
      <c r="AQ78" s="54" t="str">
        <f>IF(OR(X78="",Y78=""),"",NETWORKDAYS.INTL(X78,Y78,1,'HELPER(Dont Delete)'!A:A))</f>
        <v/>
      </c>
      <c r="AR78" s="54" t="str">
        <f>IF(OR(Y78="",AA78=""),"",NETWORKDAYS.INTL(Y78,AA78,1,'HELPER(Dont Delete)'!A:A))</f>
        <v/>
      </c>
      <c r="AS78" s="58"/>
      <c r="AT78" s="54"/>
      <c r="AU78" s="54"/>
      <c r="AV78" s="59"/>
      <c r="AW78" s="59"/>
    </row>
    <row r="79" spans="1:49">
      <c r="A79" s="54">
        <v>79</v>
      </c>
      <c r="B79" s="55">
        <v>45476</v>
      </c>
      <c r="C79" s="55">
        <v>45482</v>
      </c>
      <c r="D79" s="60" t="s">
        <v>69</v>
      </c>
      <c r="E79" s="56" t="s">
        <v>219</v>
      </c>
      <c r="F79" s="56" t="s">
        <v>220</v>
      </c>
      <c r="G79" s="75" t="s">
        <v>711</v>
      </c>
      <c r="H79" s="54">
        <v>9173718552</v>
      </c>
      <c r="I79" s="54" t="s">
        <v>712</v>
      </c>
      <c r="J79" s="61" t="s">
        <v>707</v>
      </c>
      <c r="K79" s="54">
        <v>3</v>
      </c>
      <c r="L79" s="54">
        <v>2</v>
      </c>
      <c r="M79" s="54" t="s">
        <v>713</v>
      </c>
      <c r="N79" s="54">
        <v>60</v>
      </c>
      <c r="O79" s="54" t="s">
        <v>714</v>
      </c>
      <c r="P79" s="54" t="s">
        <v>715</v>
      </c>
      <c r="Q79" s="54" t="s">
        <v>227</v>
      </c>
      <c r="R79" s="54" t="s">
        <v>66</v>
      </c>
      <c r="S79" s="54"/>
      <c r="T79" s="54" t="s">
        <v>716</v>
      </c>
      <c r="U79" s="61" t="s">
        <v>353</v>
      </c>
      <c r="V79" s="61" t="s">
        <v>704</v>
      </c>
      <c r="W79" s="61"/>
      <c r="X79" s="55"/>
      <c r="Y79" s="57"/>
      <c r="Z79" s="54"/>
      <c r="AA79" s="57"/>
      <c r="AB79" s="54"/>
      <c r="AC79" s="57"/>
      <c r="AD79" s="54"/>
      <c r="AE79" s="57"/>
      <c r="AF79" s="57"/>
      <c r="AG79" s="57"/>
      <c r="AH79" s="57"/>
      <c r="AI79" s="54"/>
      <c r="AJ79" s="54"/>
      <c r="AK79" s="54"/>
      <c r="AL79" s="54"/>
      <c r="AM79" s="54"/>
      <c r="AN79" s="54"/>
      <c r="AO79" s="54"/>
      <c r="AP79" s="54" t="str">
        <f>IF(OR(X79="",C79=""),"",NETWORKDAYS.INTL(C79,X79,1,'HELPER(Dont Delete)'!A:A))</f>
        <v/>
      </c>
      <c r="AQ79" s="54" t="str">
        <f>IF(OR(X79="",Y79=""),"",NETWORKDAYS.INTL(X79,Y79,1,'HELPER(Dont Delete)'!A:A))</f>
        <v/>
      </c>
      <c r="AR79" s="54" t="str">
        <f>IF(OR(Y79="",AA79=""),"",NETWORKDAYS.INTL(Y79,AA79,1,'HELPER(Dont Delete)'!A:A))</f>
        <v/>
      </c>
      <c r="AS79" s="58"/>
      <c r="AT79" s="54"/>
      <c r="AU79" s="54"/>
      <c r="AV79" s="59"/>
      <c r="AW79" s="59"/>
    </row>
    <row r="80" spans="1:49">
      <c r="A80" s="54">
        <v>80</v>
      </c>
      <c r="B80" s="55">
        <v>45476</v>
      </c>
      <c r="C80" s="55">
        <v>45484</v>
      </c>
      <c r="D80" s="60" t="s">
        <v>72</v>
      </c>
      <c r="E80" s="56" t="s">
        <v>219</v>
      </c>
      <c r="F80" s="56" t="s">
        <v>220</v>
      </c>
      <c r="G80" s="54" t="s">
        <v>717</v>
      </c>
      <c r="H80" s="54">
        <v>7879261915</v>
      </c>
      <c r="I80" s="54" t="s">
        <v>718</v>
      </c>
      <c r="J80" s="61" t="s">
        <v>707</v>
      </c>
      <c r="K80" s="54">
        <v>7</v>
      </c>
      <c r="L80" s="54">
        <v>7</v>
      </c>
      <c r="M80" s="54" t="s">
        <v>719</v>
      </c>
      <c r="N80" s="54">
        <v>30</v>
      </c>
      <c r="O80" s="54" t="s">
        <v>720</v>
      </c>
      <c r="P80" s="54" t="s">
        <v>721</v>
      </c>
      <c r="Q80" s="54" t="s">
        <v>722</v>
      </c>
      <c r="R80" s="54" t="s">
        <v>374</v>
      </c>
      <c r="S80" s="54"/>
      <c r="T80" s="54"/>
      <c r="U80" s="61" t="s">
        <v>353</v>
      </c>
      <c r="V80" s="61" t="s">
        <v>231</v>
      </c>
      <c r="W80" s="61"/>
      <c r="X80" s="55">
        <v>45497</v>
      </c>
      <c r="Y80" s="57">
        <v>45503</v>
      </c>
      <c r="Z80" s="54"/>
      <c r="AA80" s="57"/>
      <c r="AB80" s="54"/>
      <c r="AC80" s="57"/>
      <c r="AD80" s="54"/>
      <c r="AE80" s="57"/>
      <c r="AF80" s="57"/>
      <c r="AG80" s="57"/>
      <c r="AH80" s="57"/>
      <c r="AI80" s="54"/>
      <c r="AJ80" s="54"/>
      <c r="AK80" s="54"/>
      <c r="AL80" s="54"/>
      <c r="AM80" s="54"/>
      <c r="AN80" s="54"/>
      <c r="AO80" s="54"/>
      <c r="AP80" s="54">
        <f>IF(OR(X80="",C80=""),"",NETWORKDAYS.INTL(C80,X80,1,'HELPER(Dont Delete)'!A:A))</f>
        <v>9</v>
      </c>
      <c r="AQ80" s="54">
        <f>IF(OR(X80="",Y80=""),"",NETWORKDAYS.INTL(X80,Y80,1,'HELPER(Dont Delete)'!A:A))</f>
        <v>5</v>
      </c>
      <c r="AR80" s="54" t="str">
        <f>IF(OR(Y80="",AA80=""),"",NETWORKDAYS.INTL(Y80,AA80,1,'HELPER(Dont Delete)'!A:A))</f>
        <v/>
      </c>
      <c r="AS80" s="58"/>
      <c r="AT80" s="54"/>
      <c r="AU80" s="54"/>
      <c r="AV80" s="59"/>
      <c r="AW80" s="59"/>
    </row>
    <row r="81" spans="1:49">
      <c r="A81" s="54">
        <v>81</v>
      </c>
      <c r="B81" s="55">
        <v>45476</v>
      </c>
      <c r="C81" s="55">
        <v>45484</v>
      </c>
      <c r="D81" s="60" t="s">
        <v>72</v>
      </c>
      <c r="E81" s="56" t="s">
        <v>219</v>
      </c>
      <c r="F81" s="56" t="s">
        <v>220</v>
      </c>
      <c r="G81" s="75" t="s">
        <v>723</v>
      </c>
      <c r="H81" s="54">
        <v>9175745520</v>
      </c>
      <c r="I81" s="54" t="s">
        <v>724</v>
      </c>
      <c r="J81" s="61" t="s">
        <v>707</v>
      </c>
      <c r="K81" s="54">
        <v>4.5</v>
      </c>
      <c r="L81" s="54">
        <v>4.5</v>
      </c>
      <c r="M81" s="54" t="s">
        <v>725</v>
      </c>
      <c r="N81" s="54">
        <v>45</v>
      </c>
      <c r="O81" s="54" t="s">
        <v>726</v>
      </c>
      <c r="P81" s="54" t="s">
        <v>727</v>
      </c>
      <c r="Q81" s="54" t="s">
        <v>227</v>
      </c>
      <c r="R81" s="54" t="s">
        <v>228</v>
      </c>
      <c r="S81" s="54"/>
      <c r="T81" s="54"/>
      <c r="U81" s="61" t="s">
        <v>353</v>
      </c>
      <c r="V81" s="54" t="s">
        <v>704</v>
      </c>
      <c r="W81" s="61"/>
      <c r="X81" s="55"/>
      <c r="Y81" s="57"/>
      <c r="Z81" s="54"/>
      <c r="AA81" s="57"/>
      <c r="AB81" s="54"/>
      <c r="AC81" s="57"/>
      <c r="AD81" s="54"/>
      <c r="AE81" s="57"/>
      <c r="AF81" s="57"/>
      <c r="AG81" s="57"/>
      <c r="AH81" s="57"/>
      <c r="AI81" s="54"/>
      <c r="AJ81" s="54"/>
      <c r="AK81" s="54"/>
      <c r="AL81" s="54"/>
      <c r="AM81" s="54"/>
      <c r="AN81" s="54"/>
      <c r="AO81" s="54"/>
      <c r="AP81" s="54" t="str">
        <f>IF(OR(X81="",C81=""),"",NETWORKDAYS.INTL(C81,X81,1,'HELPER(Dont Delete)'!A:A))</f>
        <v/>
      </c>
      <c r="AQ81" s="54" t="str">
        <f>IF(OR(X81="",Y81=""),"",NETWORKDAYS.INTL(X81,Y81,1,'HELPER(Dont Delete)'!A:A))</f>
        <v/>
      </c>
      <c r="AR81" s="54" t="str">
        <f>IF(OR(Y81="",AA81=""),"",NETWORKDAYS.INTL(Y81,AA81,1,'HELPER(Dont Delete)'!A:A))</f>
        <v/>
      </c>
      <c r="AS81" s="58"/>
      <c r="AT81" s="54"/>
      <c r="AU81" s="54"/>
      <c r="AV81" s="59"/>
      <c r="AW81" s="59"/>
    </row>
    <row r="82" spans="1:49">
      <c r="A82" s="54">
        <v>82</v>
      </c>
      <c r="B82" s="55">
        <v>45476</v>
      </c>
      <c r="C82" s="55">
        <v>45484</v>
      </c>
      <c r="D82" s="60" t="s">
        <v>72</v>
      </c>
      <c r="E82" s="56" t="s">
        <v>219</v>
      </c>
      <c r="F82" s="56" t="s">
        <v>220</v>
      </c>
      <c r="G82" s="75" t="s">
        <v>728</v>
      </c>
      <c r="H82" s="54">
        <v>8763105087</v>
      </c>
      <c r="I82" s="54" t="s">
        <v>729</v>
      </c>
      <c r="J82" s="61" t="s">
        <v>707</v>
      </c>
      <c r="K82" s="54">
        <v>7.2</v>
      </c>
      <c r="L82" s="54">
        <v>7.2</v>
      </c>
      <c r="M82" s="54" t="s">
        <v>730</v>
      </c>
      <c r="N82" s="54">
        <v>90</v>
      </c>
      <c r="O82" s="54" t="s">
        <v>727</v>
      </c>
      <c r="P82" s="54" t="s">
        <v>106</v>
      </c>
      <c r="Q82" s="54" t="s">
        <v>731</v>
      </c>
      <c r="R82" s="54" t="s">
        <v>732</v>
      </c>
      <c r="S82" s="54"/>
      <c r="T82" s="54"/>
      <c r="U82" s="61" t="s">
        <v>353</v>
      </c>
      <c r="V82" s="54" t="s">
        <v>704</v>
      </c>
      <c r="W82" s="61"/>
      <c r="X82" s="55"/>
      <c r="Y82" s="57"/>
      <c r="Z82" s="54"/>
      <c r="AA82" s="57"/>
      <c r="AB82" s="54"/>
      <c r="AC82" s="57"/>
      <c r="AD82" s="54"/>
      <c r="AE82" s="57"/>
      <c r="AF82" s="57"/>
      <c r="AG82" s="57"/>
      <c r="AH82" s="57"/>
      <c r="AI82" s="54"/>
      <c r="AJ82" s="54"/>
      <c r="AK82" s="54"/>
      <c r="AL82" s="54"/>
      <c r="AM82" s="54"/>
      <c r="AN82" s="54"/>
      <c r="AO82" s="54"/>
      <c r="AP82" s="54" t="str">
        <f>IF(OR(X82="",C82=""),"",NETWORKDAYS.INTL(C82,X82,1,'HELPER(Dont Delete)'!A:A))</f>
        <v/>
      </c>
      <c r="AQ82" s="54" t="str">
        <f>IF(OR(X82="",Y82=""),"",NETWORKDAYS.INTL(X82,Y82,1,'HELPER(Dont Delete)'!A:A))</f>
        <v/>
      </c>
      <c r="AR82" s="54" t="str">
        <f>IF(OR(Y82="",AA82=""),"",NETWORKDAYS.INTL(Y82,AA82,1,'HELPER(Dont Delete)'!A:A))</f>
        <v/>
      </c>
      <c r="AS82" s="58"/>
      <c r="AT82" s="54"/>
      <c r="AU82" s="54"/>
      <c r="AV82" s="59"/>
      <c r="AW82" s="59"/>
    </row>
    <row r="83" spans="1:49">
      <c r="A83" s="54">
        <v>83</v>
      </c>
      <c r="B83" s="76">
        <v>45476</v>
      </c>
      <c r="C83" s="76">
        <v>45484</v>
      </c>
      <c r="D83" s="60" t="s">
        <v>72</v>
      </c>
      <c r="E83" s="77" t="s">
        <v>219</v>
      </c>
      <c r="F83" s="77" t="s">
        <v>220</v>
      </c>
      <c r="G83" s="78" t="s">
        <v>733</v>
      </c>
      <c r="H83" s="78">
        <v>9099676570</v>
      </c>
      <c r="I83" s="78" t="s">
        <v>734</v>
      </c>
      <c r="J83" s="79" t="s">
        <v>707</v>
      </c>
      <c r="K83" s="78">
        <v>7</v>
      </c>
      <c r="L83" s="78">
        <v>5</v>
      </c>
      <c r="M83" s="78" t="s">
        <v>735</v>
      </c>
      <c r="N83" s="78">
        <v>60</v>
      </c>
      <c r="O83" s="78" t="s">
        <v>70</v>
      </c>
      <c r="P83" s="78" t="s">
        <v>75</v>
      </c>
      <c r="Q83" s="78" t="s">
        <v>227</v>
      </c>
      <c r="R83" s="78" t="s">
        <v>66</v>
      </c>
      <c r="S83" s="78"/>
      <c r="T83" s="78"/>
      <c r="U83" s="79" t="s">
        <v>353</v>
      </c>
      <c r="V83" s="79" t="s">
        <v>231</v>
      </c>
      <c r="W83" s="79"/>
      <c r="X83" s="76">
        <v>45497</v>
      </c>
      <c r="Y83" s="80">
        <v>45504</v>
      </c>
      <c r="Z83" s="78"/>
      <c r="AA83" s="80"/>
      <c r="AB83" s="78"/>
      <c r="AC83" s="80"/>
      <c r="AD83" s="78"/>
      <c r="AE83" s="80"/>
      <c r="AF83" s="80"/>
      <c r="AG83" s="80"/>
      <c r="AH83" s="80"/>
      <c r="AI83" s="78"/>
      <c r="AJ83" s="78"/>
      <c r="AK83" s="78"/>
      <c r="AL83" s="54"/>
      <c r="AM83" s="54"/>
      <c r="AN83" s="54"/>
      <c r="AO83" s="54"/>
      <c r="AP83" s="54">
        <f>IF(OR(X83="",C83=""),"",NETWORKDAYS.INTL(C83,X83,1,'HELPER(Dont Delete)'!A:A))</f>
        <v>9</v>
      </c>
      <c r="AQ83" s="54">
        <f>IF(OR(X83="",Y83=""),"",NETWORKDAYS.INTL(X83,Y83,1,'HELPER(Dont Delete)'!A:A))</f>
        <v>6</v>
      </c>
      <c r="AR83" s="54" t="str">
        <f>IF(OR(Y83="",AA83=""),"",NETWORKDAYS.INTL(Y83,AA83,1,'HELPER(Dont Delete)'!A:A))</f>
        <v/>
      </c>
      <c r="AS83" s="58"/>
      <c r="AT83" s="54"/>
      <c r="AU83" s="54"/>
      <c r="AV83" s="59"/>
      <c r="AW83" s="59"/>
    </row>
    <row r="84" spans="1:49">
      <c r="A84" s="54">
        <v>84</v>
      </c>
      <c r="B84" s="81">
        <v>45476</v>
      </c>
      <c r="C84" s="81">
        <v>45484</v>
      </c>
      <c r="D84" s="60" t="s">
        <v>72</v>
      </c>
      <c r="E84" s="82" t="s">
        <v>219</v>
      </c>
      <c r="F84" s="82" t="s">
        <v>220</v>
      </c>
      <c r="G84" s="82" t="s">
        <v>504</v>
      </c>
      <c r="H84" s="82">
        <v>8457936306</v>
      </c>
      <c r="I84" s="83" t="s">
        <v>736</v>
      </c>
      <c r="J84" s="84" t="s">
        <v>707</v>
      </c>
      <c r="K84" s="82">
        <v>6</v>
      </c>
      <c r="L84" s="82">
        <v>6</v>
      </c>
      <c r="M84" s="82" t="s">
        <v>737</v>
      </c>
      <c r="N84" s="82">
        <v>60</v>
      </c>
      <c r="O84" s="82" t="s">
        <v>738</v>
      </c>
      <c r="P84" s="82" t="s">
        <v>739</v>
      </c>
      <c r="Q84" s="82" t="s">
        <v>227</v>
      </c>
      <c r="R84" s="82" t="s">
        <v>740</v>
      </c>
      <c r="S84" s="82"/>
      <c r="T84" s="82"/>
      <c r="U84" s="84" t="s">
        <v>353</v>
      </c>
      <c r="V84" s="61" t="s">
        <v>231</v>
      </c>
      <c r="W84" s="84" t="s">
        <v>741</v>
      </c>
      <c r="X84" s="81">
        <v>45497</v>
      </c>
      <c r="Y84" s="85">
        <v>45498</v>
      </c>
      <c r="Z84" s="82"/>
      <c r="AA84" s="85"/>
      <c r="AB84" s="82"/>
      <c r="AC84" s="85"/>
      <c r="AD84" s="82"/>
      <c r="AE84" s="85"/>
      <c r="AF84" s="85"/>
      <c r="AG84" s="85"/>
      <c r="AH84" s="85"/>
      <c r="AI84" s="82"/>
      <c r="AJ84" s="82"/>
      <c r="AK84" s="82"/>
      <c r="AL84" s="86"/>
      <c r="AM84" s="54"/>
      <c r="AN84" s="54"/>
      <c r="AO84" s="54"/>
      <c r="AP84" s="54">
        <f>IF(OR(X84="",C84=""),"",NETWORKDAYS.INTL(C84,X84,1,'HELPER(Dont Delete)'!A:A))</f>
        <v>9</v>
      </c>
      <c r="AQ84" s="54">
        <f>IF(OR(X84="",Y84=""),"",NETWORKDAYS.INTL(X84,Y84,1,'HELPER(Dont Delete)'!A:A))</f>
        <v>2</v>
      </c>
      <c r="AR84" s="54" t="str">
        <f>IF(OR(Y84="",AA84=""),"",NETWORKDAYS.INTL(Y84,AA84,1,'HELPER(Dont Delete)'!A:A))</f>
        <v/>
      </c>
      <c r="AS84" s="58"/>
      <c r="AT84" s="54"/>
      <c r="AU84" s="54"/>
      <c r="AV84" s="59"/>
      <c r="AW84" s="59"/>
    </row>
    <row r="85" spans="1:49">
      <c r="A85" s="54">
        <v>85</v>
      </c>
      <c r="B85" s="81">
        <v>45327</v>
      </c>
      <c r="C85" s="81">
        <v>45492</v>
      </c>
      <c r="D85" s="87" t="s">
        <v>69</v>
      </c>
      <c r="E85" s="82" t="s">
        <v>219</v>
      </c>
      <c r="F85" s="82" t="s">
        <v>220</v>
      </c>
      <c r="G85" s="88" t="s">
        <v>742</v>
      </c>
      <c r="H85" s="89">
        <v>9096864858</v>
      </c>
      <c r="I85" s="90" t="s">
        <v>743</v>
      </c>
      <c r="J85" s="84" t="s">
        <v>707</v>
      </c>
      <c r="K85" s="89" t="s">
        <v>744</v>
      </c>
      <c r="L85" s="89" t="s">
        <v>745</v>
      </c>
      <c r="M85" s="89" t="s">
        <v>746</v>
      </c>
      <c r="N85" s="87">
        <v>30</v>
      </c>
      <c r="O85" s="87"/>
      <c r="P85" s="87"/>
      <c r="Q85" s="91" t="s">
        <v>747</v>
      </c>
      <c r="R85" s="91" t="s">
        <v>228</v>
      </c>
      <c r="S85" s="91"/>
      <c r="T85" s="87"/>
      <c r="U85" s="84" t="s">
        <v>353</v>
      </c>
      <c r="V85" s="54" t="s">
        <v>291</v>
      </c>
      <c r="W85" s="84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P85" s="54" t="str">
        <f>IF(OR(X85="",C85=""),"",NETWORKDAYS.INTL(C85,X85,1,'HELPER(Dont Delete)'!A:A))</f>
        <v/>
      </c>
      <c r="AQ85" s="54" t="str">
        <f>IF(OR(X85="",Y85=""),"",NETWORKDAYS.INTL(X85,Y85,1,'HELPER(Dont Delete)'!A:A))</f>
        <v/>
      </c>
      <c r="AR85" s="54" t="str">
        <f>IF(OR(Y85="",AA85=""),"",NETWORKDAYS.INTL(Y85,AA85,1,'HELPER(Dont Delete)'!A:A))</f>
        <v/>
      </c>
    </row>
    <row r="86" spans="1:49">
      <c r="A86" s="54">
        <v>86</v>
      </c>
      <c r="B86" s="81">
        <v>45327</v>
      </c>
      <c r="C86" s="81">
        <v>45499</v>
      </c>
      <c r="D86" s="87" t="s">
        <v>69</v>
      </c>
      <c r="E86" s="82" t="s">
        <v>219</v>
      </c>
      <c r="F86" s="82" t="s">
        <v>220</v>
      </c>
      <c r="G86" s="88" t="s">
        <v>748</v>
      </c>
      <c r="H86" s="89">
        <v>9869301790</v>
      </c>
      <c r="I86" s="89" t="s">
        <v>749</v>
      </c>
      <c r="J86" s="84" t="s">
        <v>707</v>
      </c>
      <c r="K86" s="87">
        <v>10</v>
      </c>
      <c r="L86" s="87">
        <v>7</v>
      </c>
      <c r="M86" s="89" t="s">
        <v>750</v>
      </c>
      <c r="N86" s="87">
        <v>60</v>
      </c>
      <c r="O86" s="89" t="s">
        <v>751</v>
      </c>
      <c r="P86" s="89" t="s">
        <v>752</v>
      </c>
      <c r="Q86" s="91" t="s">
        <v>747</v>
      </c>
      <c r="R86" s="91" t="s">
        <v>42</v>
      </c>
      <c r="S86" s="91"/>
      <c r="T86" s="87"/>
      <c r="U86" s="87" t="s">
        <v>659</v>
      </c>
      <c r="V86" s="54" t="s">
        <v>291</v>
      </c>
      <c r="W86" s="84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P86" s="54" t="str">
        <f>IF(OR(X86="",C86=""),"",NETWORKDAYS.INTL(C86,X86,1,'HELPER(Dont Delete)'!A:A))</f>
        <v/>
      </c>
      <c r="AQ86" s="54" t="str">
        <f>IF(OR(X86="",Y86=""),"",NETWORKDAYS.INTL(X86,Y86,1,'HELPER(Dont Delete)'!A:A))</f>
        <v/>
      </c>
      <c r="AR86" s="54" t="str">
        <f>IF(OR(Y86="",AA86=""),"",NETWORKDAYS.INTL(Y86,AA86,1,'HELPER(Dont Delete)'!A:A))</f>
        <v/>
      </c>
    </row>
    <row r="87" spans="1:49">
      <c r="A87" s="54">
        <v>87</v>
      </c>
      <c r="B87" s="92">
        <v>45476</v>
      </c>
      <c r="C87" s="92">
        <v>45505</v>
      </c>
      <c r="D87" s="60" t="s">
        <v>72</v>
      </c>
      <c r="E87" s="93" t="s">
        <v>219</v>
      </c>
      <c r="F87" s="93" t="s">
        <v>220</v>
      </c>
      <c r="G87" s="94" t="s">
        <v>753</v>
      </c>
      <c r="H87" s="94">
        <v>9644921497</v>
      </c>
      <c r="I87" s="95" t="s">
        <v>754</v>
      </c>
      <c r="J87" s="96" t="s">
        <v>707</v>
      </c>
      <c r="K87" s="94">
        <v>13</v>
      </c>
      <c r="L87" s="94">
        <v>13</v>
      </c>
      <c r="M87" s="94" t="s">
        <v>755</v>
      </c>
      <c r="N87" s="94" t="s">
        <v>756</v>
      </c>
      <c r="O87" s="97"/>
      <c r="P87" s="97"/>
      <c r="Q87" s="94" t="s">
        <v>757</v>
      </c>
      <c r="R87" s="94" t="s">
        <v>374</v>
      </c>
      <c r="S87" s="94"/>
      <c r="T87" s="97"/>
      <c r="U87" s="96" t="s">
        <v>353</v>
      </c>
      <c r="V87" s="96" t="s">
        <v>758</v>
      </c>
      <c r="W87" s="96" t="s">
        <v>741</v>
      </c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87"/>
      <c r="AJ87" s="87"/>
      <c r="AK87" s="87"/>
      <c r="AP87" s="54" t="str">
        <f>IF(OR(X87="",C87=""),"",NETWORKDAYS.INTL(C87,X87,1,'HELPER(Dont Delete)'!A:A))</f>
        <v/>
      </c>
      <c r="AQ87" s="54" t="str">
        <f>IF(OR(X87="",Y87=""),"",NETWORKDAYS.INTL(X87,Y87,1,'HELPER(Dont Delete)'!A:A))</f>
        <v/>
      </c>
      <c r="AR87" s="54" t="str">
        <f>IF(OR(Y87="",AA87=""),"",NETWORKDAYS.INTL(Y87,AA87,1,'HELPER(Dont Delete)'!A:A))</f>
        <v/>
      </c>
    </row>
    <row r="88" spans="1:49">
      <c r="A88" s="54">
        <v>88</v>
      </c>
      <c r="B88" s="81">
        <v>45476</v>
      </c>
      <c r="C88" s="81">
        <v>45505</v>
      </c>
      <c r="D88" s="60" t="s">
        <v>72</v>
      </c>
      <c r="E88" s="82" t="s">
        <v>219</v>
      </c>
      <c r="F88" s="82" t="s">
        <v>220</v>
      </c>
      <c r="G88" s="88" t="s">
        <v>759</v>
      </c>
      <c r="H88" s="89">
        <v>9601165062</v>
      </c>
      <c r="I88" s="90" t="s">
        <v>760</v>
      </c>
      <c r="J88" s="84" t="s">
        <v>707</v>
      </c>
      <c r="K88" s="89">
        <v>8</v>
      </c>
      <c r="L88" s="89">
        <v>8</v>
      </c>
      <c r="M88" s="89" t="s">
        <v>761</v>
      </c>
      <c r="N88" s="87">
        <v>30</v>
      </c>
      <c r="O88" s="87"/>
      <c r="P88" s="87"/>
      <c r="Q88" s="89" t="s">
        <v>456</v>
      </c>
      <c r="R88" s="89" t="s">
        <v>762</v>
      </c>
      <c r="S88" s="89"/>
      <c r="T88" s="87"/>
      <c r="U88" s="84" t="s">
        <v>353</v>
      </c>
      <c r="V88" s="54" t="s">
        <v>291</v>
      </c>
      <c r="W88" s="84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98"/>
      <c r="AJ88" s="87"/>
      <c r="AK88" s="87"/>
      <c r="AP88" s="54" t="str">
        <f>IF(OR(X88="",C88=""),"",NETWORKDAYS.INTL(C88,X88,1,'HELPER(Dont Delete)'!A:A))</f>
        <v/>
      </c>
      <c r="AQ88" s="54" t="str">
        <f>IF(OR(X88="",Y88=""),"",NETWORKDAYS.INTL(X88,Y88,1,'HELPER(Dont Delete)'!A:A))</f>
        <v/>
      </c>
      <c r="AR88" s="54" t="str">
        <f>IF(OR(Y88="",AA88=""),"",NETWORKDAYS.INTL(Y88,AA88,1,'HELPER(Dont Delete)'!A:A))</f>
        <v/>
      </c>
    </row>
    <row r="89" spans="1:49">
      <c r="A89" s="54">
        <v>89</v>
      </c>
      <c r="B89" s="92">
        <v>45476</v>
      </c>
      <c r="C89" s="92">
        <v>45505</v>
      </c>
      <c r="D89" s="97" t="s">
        <v>69</v>
      </c>
      <c r="E89" s="93" t="s">
        <v>219</v>
      </c>
      <c r="F89" s="93" t="s">
        <v>220</v>
      </c>
      <c r="G89" s="99" t="s">
        <v>763</v>
      </c>
      <c r="H89" s="94">
        <v>9770097620</v>
      </c>
      <c r="I89" s="95" t="s">
        <v>764</v>
      </c>
      <c r="J89" s="96" t="s">
        <v>707</v>
      </c>
      <c r="K89" s="94">
        <v>4.5999999999999996</v>
      </c>
      <c r="L89" s="94">
        <v>4.5999999999999996</v>
      </c>
      <c r="M89" s="94" t="s">
        <v>765</v>
      </c>
      <c r="N89" s="97">
        <v>30</v>
      </c>
      <c r="O89" s="97"/>
      <c r="P89" s="97"/>
      <c r="Q89" s="94" t="s">
        <v>757</v>
      </c>
      <c r="R89" s="94" t="s">
        <v>374</v>
      </c>
      <c r="S89" s="94"/>
      <c r="T89" s="97"/>
      <c r="U89" s="96" t="s">
        <v>353</v>
      </c>
      <c r="V89" s="78" t="s">
        <v>704</v>
      </c>
      <c r="W89" s="96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100"/>
      <c r="AJ89" s="97"/>
      <c r="AK89" s="97"/>
      <c r="AP89" s="54" t="str">
        <f>IF(OR(X89="",C89=""),"",NETWORKDAYS.INTL(C89,X89,1,'HELPER(Dont Delete)'!A:A))</f>
        <v/>
      </c>
      <c r="AQ89" s="54" t="str">
        <f>IF(OR(X89="",Y89=""),"",NETWORKDAYS.INTL(X89,Y89,1,'HELPER(Dont Delete)'!A:A))</f>
        <v/>
      </c>
      <c r="AR89" s="54" t="str">
        <f>IF(OR(Y89="",AA89=""),"",NETWORKDAYS.INTL(Y89,AA89,1,'HELPER(Dont Delete)'!A:A))</f>
        <v/>
      </c>
    </row>
    <row r="90" spans="1:49">
      <c r="A90" s="54">
        <v>90</v>
      </c>
      <c r="B90" s="55">
        <v>45476</v>
      </c>
      <c r="C90" s="55">
        <v>45512</v>
      </c>
      <c r="D90" s="60" t="s">
        <v>69</v>
      </c>
      <c r="E90" s="54" t="s">
        <v>219</v>
      </c>
      <c r="F90" s="54" t="s">
        <v>220</v>
      </c>
      <c r="G90" s="101" t="s">
        <v>766</v>
      </c>
      <c r="H90" s="102">
        <v>9504342598</v>
      </c>
      <c r="I90" s="103" t="s">
        <v>767</v>
      </c>
      <c r="J90" s="104" t="s">
        <v>707</v>
      </c>
      <c r="K90" s="102">
        <v>1.5</v>
      </c>
      <c r="L90" s="102">
        <v>1.5</v>
      </c>
      <c r="M90" s="102" t="s">
        <v>768</v>
      </c>
      <c r="N90" s="60">
        <v>30</v>
      </c>
      <c r="O90" s="102" t="s">
        <v>769</v>
      </c>
      <c r="P90" s="102" t="s">
        <v>770</v>
      </c>
      <c r="Q90" s="102" t="s">
        <v>328</v>
      </c>
      <c r="R90" s="102" t="s">
        <v>367</v>
      </c>
      <c r="S90" s="102"/>
      <c r="T90" s="60"/>
      <c r="U90" s="60" t="s">
        <v>369</v>
      </c>
      <c r="V90" s="54" t="s">
        <v>704</v>
      </c>
      <c r="W90" s="61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54" t="str">
        <f>IF(OR(X90="",C90=""),"",NETWORKDAYS.INTL(C90,X90,1,'HELPER(Dont Delete)'!A:A))</f>
        <v/>
      </c>
      <c r="AQ90" s="54" t="str">
        <f>IF(OR(X90="",Y90=""),"",NETWORKDAYS.INTL(X90,Y90,1,'HELPER(Dont Delete)'!A:A))</f>
        <v/>
      </c>
      <c r="AR90" s="54" t="str">
        <f>IF(OR(Y90="",AA90=""),"",NETWORKDAYS.INTL(Y90,AA90,1,'HELPER(Dont Delete)'!A:A))</f>
        <v/>
      </c>
      <c r="AS90" s="60"/>
      <c r="AT90" s="60"/>
      <c r="AU90" s="60"/>
      <c r="AV90" s="60"/>
      <c r="AW90" s="60"/>
    </row>
    <row r="91" spans="1:49">
      <c r="A91" s="54">
        <v>91</v>
      </c>
      <c r="B91" s="55">
        <v>45476</v>
      </c>
      <c r="C91" s="55">
        <v>45512</v>
      </c>
      <c r="D91" s="60" t="s">
        <v>72</v>
      </c>
      <c r="E91" s="54" t="s">
        <v>219</v>
      </c>
      <c r="F91" s="54" t="s">
        <v>220</v>
      </c>
      <c r="G91" s="102" t="s">
        <v>771</v>
      </c>
      <c r="H91" s="102">
        <v>9033896018</v>
      </c>
      <c r="I91" s="103" t="s">
        <v>772</v>
      </c>
      <c r="J91" s="104" t="s">
        <v>707</v>
      </c>
      <c r="K91" s="102" t="s">
        <v>773</v>
      </c>
      <c r="L91" s="102" t="s">
        <v>773</v>
      </c>
      <c r="M91" s="102" t="s">
        <v>774</v>
      </c>
      <c r="N91" s="60">
        <v>30</v>
      </c>
      <c r="O91" s="102" t="s">
        <v>775</v>
      </c>
      <c r="P91" s="102" t="s">
        <v>770</v>
      </c>
      <c r="Q91" s="102" t="s">
        <v>558</v>
      </c>
      <c r="R91" s="102" t="s">
        <v>66</v>
      </c>
      <c r="S91" s="102"/>
      <c r="T91" s="60"/>
      <c r="U91" s="60" t="s">
        <v>369</v>
      </c>
      <c r="V91" s="104" t="s">
        <v>776</v>
      </c>
      <c r="W91" s="61"/>
      <c r="X91" s="60"/>
      <c r="Y91" s="105">
        <v>45517</v>
      </c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54" t="str">
        <f>IF(OR(X91="",C91=""),"",NETWORKDAYS.INTL(C91,X91,1,'HELPER(Dont Delete)'!A:A))</f>
        <v/>
      </c>
      <c r="AQ91" s="54" t="str">
        <f>IF(OR(X91="",Y91=""),"",NETWORKDAYS.INTL(X91,Y91,1,'HELPER(Dont Delete)'!A:A))</f>
        <v/>
      </c>
      <c r="AR91" s="54" t="str">
        <f>IF(OR(Y91="",AA91=""),"",NETWORKDAYS.INTL(Y91,AA91,1,'HELPER(Dont Delete)'!A:A))</f>
        <v/>
      </c>
      <c r="AS91" s="60"/>
      <c r="AT91" s="60"/>
      <c r="AU91" s="60"/>
      <c r="AV91" s="60"/>
      <c r="AW91" s="60"/>
    </row>
    <row r="92" spans="1:49">
      <c r="A92" s="54">
        <v>92</v>
      </c>
      <c r="B92" s="55">
        <v>45476</v>
      </c>
      <c r="C92" s="55">
        <v>45524</v>
      </c>
      <c r="D92" s="60" t="s">
        <v>69</v>
      </c>
      <c r="E92" s="54" t="s">
        <v>219</v>
      </c>
      <c r="F92" s="54" t="s">
        <v>220</v>
      </c>
      <c r="G92" s="46" t="s">
        <v>777</v>
      </c>
      <c r="H92" s="60">
        <v>9987801040</v>
      </c>
      <c r="I92" s="106" t="s">
        <v>778</v>
      </c>
      <c r="J92" s="104" t="s">
        <v>707</v>
      </c>
      <c r="K92" s="60" t="s">
        <v>779</v>
      </c>
      <c r="L92" s="60" t="s">
        <v>780</v>
      </c>
      <c r="M92" s="60" t="s">
        <v>781</v>
      </c>
      <c r="N92" s="46">
        <v>60</v>
      </c>
      <c r="O92" s="60"/>
      <c r="P92" s="60"/>
      <c r="Q92" s="46" t="s">
        <v>782</v>
      </c>
      <c r="R92" s="46" t="s">
        <v>42</v>
      </c>
      <c r="S92" s="46"/>
      <c r="T92" s="60"/>
      <c r="U92" s="60" t="s">
        <v>369</v>
      </c>
      <c r="V92" s="60" t="s">
        <v>783</v>
      </c>
      <c r="W92" s="61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54" t="str">
        <f>IF(OR(X92="",C92=""),"",NETWORKDAYS.INTL(C92,X92,1,'HELPER(Dont Delete)'!A:A))</f>
        <v/>
      </c>
      <c r="AQ92" s="54" t="str">
        <f>IF(OR(X92="",Y92=""),"",NETWORKDAYS.INTL(X92,Y92,1,'HELPER(Dont Delete)'!A:A))</f>
        <v/>
      </c>
      <c r="AR92" s="54" t="str">
        <f>IF(OR(Y92="",AA92=""),"",NETWORKDAYS.INTL(Y92,AA92,1,'HELPER(Dont Delete)'!A:A))</f>
        <v/>
      </c>
      <c r="AS92" s="60"/>
      <c r="AT92" s="60"/>
      <c r="AU92" s="60"/>
      <c r="AV92" s="60"/>
      <c r="AW92" s="60"/>
    </row>
    <row r="93" spans="1:49">
      <c r="A93" s="54">
        <v>93</v>
      </c>
      <c r="B93" s="55">
        <v>45476</v>
      </c>
      <c r="C93" s="55">
        <v>45524</v>
      </c>
      <c r="D93" s="60" t="s">
        <v>69</v>
      </c>
      <c r="E93" s="54" t="s">
        <v>219</v>
      </c>
      <c r="F93" s="54" t="s">
        <v>220</v>
      </c>
      <c r="G93" s="60" t="s">
        <v>784</v>
      </c>
      <c r="H93" s="60">
        <v>9425756237</v>
      </c>
      <c r="I93" s="60" t="s">
        <v>785</v>
      </c>
      <c r="J93" s="104" t="s">
        <v>707</v>
      </c>
      <c r="K93" s="60" t="s">
        <v>786</v>
      </c>
      <c r="L93" s="60" t="s">
        <v>786</v>
      </c>
      <c r="M93" s="60" t="s">
        <v>787</v>
      </c>
      <c r="N93" s="46">
        <v>15</v>
      </c>
      <c r="O93" s="60"/>
      <c r="P93" s="60"/>
      <c r="Q93" s="46" t="s">
        <v>328</v>
      </c>
      <c r="R93" s="46" t="s">
        <v>290</v>
      </c>
      <c r="S93" s="46"/>
      <c r="T93" s="60"/>
      <c r="U93" s="60" t="s">
        <v>703</v>
      </c>
      <c r="V93" s="60" t="s">
        <v>783</v>
      </c>
      <c r="W93" s="61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54" t="str">
        <f>IF(OR(X93="",C93=""),"",NETWORKDAYS.INTL(C93,X93,1,'HELPER(Dont Delete)'!A:A))</f>
        <v/>
      </c>
      <c r="AQ93" s="54" t="str">
        <f>IF(OR(X93="",Y93=""),"",NETWORKDAYS.INTL(X93,Y93,1,'HELPER(Dont Delete)'!A:A))</f>
        <v/>
      </c>
      <c r="AR93" s="54" t="str">
        <f>IF(OR(Y93="",AA93=""),"",NETWORKDAYS.INTL(Y93,AA93,1,'HELPER(Dont Delete)'!A:A))</f>
        <v/>
      </c>
      <c r="AS93" s="60"/>
      <c r="AT93" s="60"/>
      <c r="AU93" s="60"/>
      <c r="AV93" s="60"/>
      <c r="AW93" s="60"/>
    </row>
    <row r="94" spans="1:49">
      <c r="A94" s="54">
        <v>94</v>
      </c>
      <c r="B94" s="55">
        <v>45476</v>
      </c>
      <c r="C94" s="55">
        <v>45524</v>
      </c>
      <c r="D94" s="46" t="s">
        <v>788</v>
      </c>
      <c r="E94" s="54" t="s">
        <v>219</v>
      </c>
      <c r="F94" s="54" t="s">
        <v>220</v>
      </c>
      <c r="G94" s="46" t="s">
        <v>789</v>
      </c>
      <c r="H94" s="46">
        <v>9714891908</v>
      </c>
      <c r="I94" s="107" t="s">
        <v>790</v>
      </c>
      <c r="J94" s="104" t="s">
        <v>707</v>
      </c>
      <c r="K94" s="46" t="s">
        <v>786</v>
      </c>
      <c r="L94" s="46" t="s">
        <v>786</v>
      </c>
      <c r="M94" s="46" t="s">
        <v>791</v>
      </c>
      <c r="N94" s="46">
        <v>30</v>
      </c>
      <c r="O94" s="60"/>
      <c r="P94" s="60"/>
      <c r="Q94" s="46" t="s">
        <v>328</v>
      </c>
      <c r="R94" s="46" t="s">
        <v>76</v>
      </c>
      <c r="S94" s="46"/>
      <c r="T94" s="60"/>
      <c r="U94" s="60" t="s">
        <v>369</v>
      </c>
      <c r="V94" s="104" t="s">
        <v>776</v>
      </c>
      <c r="W94" s="61"/>
      <c r="X94" s="60"/>
      <c r="Y94" s="105">
        <v>45545</v>
      </c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54" t="str">
        <f>IF(OR(X94="",C94=""),"",NETWORKDAYS.INTL(C94,X94,1,'HELPER(Dont Delete)'!A:A))</f>
        <v/>
      </c>
      <c r="AQ94" s="54" t="str">
        <f>IF(OR(X94="",Y94=""),"",NETWORKDAYS.INTL(X94,Y94,1,'HELPER(Dont Delete)'!A:A))</f>
        <v/>
      </c>
      <c r="AR94" s="54" t="str">
        <f>IF(OR(Y94="",AA94=""),"",NETWORKDAYS.INTL(Y94,AA94,1,'HELPER(Dont Delete)'!A:A))</f>
        <v/>
      </c>
      <c r="AS94" s="60"/>
      <c r="AT94" s="60"/>
      <c r="AU94" s="60"/>
      <c r="AV94" s="60"/>
      <c r="AW94" s="60"/>
    </row>
    <row r="95" spans="1:49">
      <c r="A95" s="54">
        <v>95</v>
      </c>
      <c r="B95" s="55">
        <v>45476</v>
      </c>
      <c r="C95" s="55">
        <v>45534</v>
      </c>
      <c r="D95" s="60" t="s">
        <v>69</v>
      </c>
      <c r="E95" s="54" t="s">
        <v>219</v>
      </c>
      <c r="F95" s="54" t="s">
        <v>220</v>
      </c>
      <c r="G95" s="46" t="s">
        <v>792</v>
      </c>
      <c r="H95" s="46">
        <v>9694624866</v>
      </c>
      <c r="I95" s="107" t="s">
        <v>793</v>
      </c>
      <c r="J95" s="104" t="s">
        <v>707</v>
      </c>
      <c r="K95" s="46" t="s">
        <v>794</v>
      </c>
      <c r="L95" s="46" t="s">
        <v>794</v>
      </c>
      <c r="M95" s="46" t="s">
        <v>687</v>
      </c>
      <c r="N95" s="60">
        <v>15</v>
      </c>
      <c r="O95" s="60"/>
      <c r="P95" s="60"/>
      <c r="Q95" s="46" t="s">
        <v>328</v>
      </c>
      <c r="R95" s="46" t="s">
        <v>795</v>
      </c>
      <c r="S95" s="46"/>
      <c r="T95" s="60"/>
      <c r="U95" s="60" t="s">
        <v>703</v>
      </c>
      <c r="V95" s="54" t="s">
        <v>704</v>
      </c>
      <c r="W95" s="61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54" t="str">
        <f>IF(OR(X95="",C95=""),"",NETWORKDAYS.INTL(C95,X95,1,'HELPER(Dont Delete)'!A:A))</f>
        <v/>
      </c>
      <c r="AQ95" s="54" t="str">
        <f>IF(OR(X95="",Y95=""),"",NETWORKDAYS.INTL(X95,Y95,1,'HELPER(Dont Delete)'!A:A))</f>
        <v/>
      </c>
      <c r="AR95" s="54" t="str">
        <f>IF(OR(Y95="",AA95=""),"",NETWORKDAYS.INTL(Y95,AA95,1,'HELPER(Dont Delete)'!A:A))</f>
        <v/>
      </c>
      <c r="AS95" s="60"/>
      <c r="AT95" s="60"/>
      <c r="AU95" s="60"/>
      <c r="AV95" s="60"/>
      <c r="AW95" s="60"/>
    </row>
    <row r="96" spans="1:49">
      <c r="A96" s="54">
        <v>96</v>
      </c>
      <c r="B96" s="55">
        <v>45476</v>
      </c>
      <c r="C96" s="55">
        <v>45534</v>
      </c>
      <c r="D96" s="60" t="s">
        <v>69</v>
      </c>
      <c r="E96" s="54" t="s">
        <v>219</v>
      </c>
      <c r="F96" s="54" t="s">
        <v>220</v>
      </c>
      <c r="G96" s="46" t="s">
        <v>796</v>
      </c>
      <c r="H96" s="46">
        <v>9300604095</v>
      </c>
      <c r="I96" s="107" t="s">
        <v>797</v>
      </c>
      <c r="J96" s="104" t="s">
        <v>707</v>
      </c>
      <c r="K96" s="46" t="s">
        <v>798</v>
      </c>
      <c r="L96" s="46" t="s">
        <v>680</v>
      </c>
      <c r="M96" s="46" t="s">
        <v>799</v>
      </c>
      <c r="N96" s="46">
        <v>30</v>
      </c>
      <c r="O96" s="60"/>
      <c r="P96" s="60"/>
      <c r="Q96" s="46" t="s">
        <v>328</v>
      </c>
      <c r="R96" s="46" t="s">
        <v>800</v>
      </c>
      <c r="S96" s="46"/>
      <c r="T96" s="60"/>
      <c r="U96" s="60" t="s">
        <v>703</v>
      </c>
      <c r="V96" s="54" t="s">
        <v>704</v>
      </c>
      <c r="W96" s="61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54" t="str">
        <f>IF(OR(X96="",C96=""),"",NETWORKDAYS.INTL(C96,X96,1,'HELPER(Dont Delete)'!A:A))</f>
        <v/>
      </c>
      <c r="AQ96" s="54" t="str">
        <f>IF(OR(X96="",Y96=""),"",NETWORKDAYS.INTL(X96,Y96,1,'HELPER(Dont Delete)'!A:A))</f>
        <v/>
      </c>
      <c r="AR96" s="54" t="str">
        <f>IF(OR(Y96="",AA96=""),"",NETWORKDAYS.INTL(Y96,AA96,1,'HELPER(Dont Delete)'!A:A))</f>
        <v/>
      </c>
      <c r="AS96" s="60"/>
      <c r="AT96" s="60"/>
      <c r="AU96" s="60"/>
      <c r="AV96" s="60"/>
      <c r="AW96" s="60"/>
    </row>
    <row r="97" spans="1:49">
      <c r="A97" s="54">
        <v>97</v>
      </c>
      <c r="B97" s="55">
        <v>45476</v>
      </c>
      <c r="C97" s="55">
        <v>45534</v>
      </c>
      <c r="D97" s="60" t="s">
        <v>69</v>
      </c>
      <c r="E97" s="54" t="s">
        <v>219</v>
      </c>
      <c r="F97" s="54" t="s">
        <v>220</v>
      </c>
      <c r="G97" s="46" t="s">
        <v>766</v>
      </c>
      <c r="H97" s="46">
        <v>9504342598</v>
      </c>
      <c r="I97" s="107" t="s">
        <v>801</v>
      </c>
      <c r="J97" s="104" t="s">
        <v>707</v>
      </c>
      <c r="K97" s="46" t="s">
        <v>802</v>
      </c>
      <c r="L97" s="46" t="s">
        <v>802</v>
      </c>
      <c r="M97" s="46" t="s">
        <v>768</v>
      </c>
      <c r="N97" s="46">
        <v>30</v>
      </c>
      <c r="O97" s="60"/>
      <c r="P97" s="60"/>
      <c r="Q97" s="46" t="s">
        <v>328</v>
      </c>
      <c r="R97" s="46" t="s">
        <v>803</v>
      </c>
      <c r="S97" s="46"/>
      <c r="T97" s="60"/>
      <c r="U97" s="60" t="s">
        <v>369</v>
      </c>
      <c r="V97" s="54" t="s">
        <v>704</v>
      </c>
      <c r="W97" s="61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54" t="str">
        <f>IF(OR(X97="",C97=""),"",NETWORKDAYS.INTL(C97,X97,1,'HELPER(Dont Delete)'!A:A))</f>
        <v/>
      </c>
      <c r="AQ97" s="54" t="str">
        <f>IF(OR(X97="",Y97=""),"",NETWORKDAYS.INTL(X97,Y97,1,'HELPER(Dont Delete)'!A:A))</f>
        <v/>
      </c>
      <c r="AR97" s="54" t="str">
        <f>IF(OR(Y97="",AA97=""),"",NETWORKDAYS.INTL(Y97,AA97,1,'HELPER(Dont Delete)'!A:A))</f>
        <v/>
      </c>
      <c r="AS97" s="60"/>
      <c r="AT97" s="60"/>
      <c r="AU97" s="60"/>
      <c r="AV97" s="60"/>
      <c r="AW97" s="60"/>
    </row>
    <row r="98" spans="1:49">
      <c r="A98" s="54">
        <v>98</v>
      </c>
      <c r="B98" s="55">
        <v>45476</v>
      </c>
      <c r="C98" s="55">
        <v>45547</v>
      </c>
      <c r="D98" s="60" t="s">
        <v>69</v>
      </c>
      <c r="E98" s="54" t="s">
        <v>219</v>
      </c>
      <c r="F98" s="54" t="s">
        <v>220</v>
      </c>
      <c r="G98" s="60" t="s">
        <v>804</v>
      </c>
      <c r="H98" s="60">
        <v>9175745520</v>
      </c>
      <c r="I98" s="60" t="s">
        <v>724</v>
      </c>
      <c r="J98" s="104" t="s">
        <v>707</v>
      </c>
      <c r="K98" s="60" t="s">
        <v>805</v>
      </c>
      <c r="L98" s="60" t="s">
        <v>690</v>
      </c>
      <c r="M98" s="102" t="s">
        <v>725</v>
      </c>
      <c r="N98" s="46">
        <v>30</v>
      </c>
      <c r="O98" s="60"/>
      <c r="P98" s="60"/>
      <c r="Q98" s="102" t="s">
        <v>806</v>
      </c>
      <c r="R98" s="102" t="s">
        <v>228</v>
      </c>
      <c r="S98" s="102"/>
      <c r="T98" s="60"/>
      <c r="U98" s="60" t="s">
        <v>703</v>
      </c>
      <c r="V98" s="54" t="s">
        <v>704</v>
      </c>
      <c r="W98" s="61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54" t="str">
        <f>IF(OR(X98="",C98=""),"",NETWORKDAYS.INTL(C98,X98,1,'HELPER(Dont Delete)'!A:A))</f>
        <v/>
      </c>
      <c r="AQ98" s="54" t="str">
        <f>IF(OR(X98="",Y98=""),"",NETWORKDAYS.INTL(X98,Y98,1,'HELPER(Dont Delete)'!A:A))</f>
        <v/>
      </c>
      <c r="AR98" s="54" t="str">
        <f>IF(OR(Y98="",AA98=""),"",NETWORKDAYS.INTL(Y98,AA98,1,'HELPER(Dont Delete)'!A:A))</f>
        <v/>
      </c>
      <c r="AS98" s="60"/>
      <c r="AT98" s="60"/>
      <c r="AU98" s="60"/>
      <c r="AV98" s="60"/>
      <c r="AW98" s="60"/>
    </row>
    <row r="99" spans="1:49">
      <c r="A99" s="54">
        <v>99</v>
      </c>
      <c r="B99" s="108">
        <v>45548</v>
      </c>
      <c r="C99" s="108">
        <v>45551</v>
      </c>
      <c r="D99" s="60" t="s">
        <v>77</v>
      </c>
      <c r="E99" s="54" t="s">
        <v>219</v>
      </c>
      <c r="F99" s="54" t="s">
        <v>220</v>
      </c>
      <c r="G99" s="46" t="s">
        <v>792</v>
      </c>
      <c r="H99" s="46">
        <v>9694624866</v>
      </c>
      <c r="I99" s="107" t="s">
        <v>793</v>
      </c>
      <c r="J99" s="104" t="s">
        <v>707</v>
      </c>
      <c r="K99" s="46" t="s">
        <v>794</v>
      </c>
      <c r="L99" s="46" t="s">
        <v>794</v>
      </c>
      <c r="M99" s="46" t="s">
        <v>687</v>
      </c>
      <c r="N99" s="46" t="s">
        <v>807</v>
      </c>
      <c r="O99" s="60"/>
      <c r="P99" s="60"/>
      <c r="Q99" s="46" t="s">
        <v>328</v>
      </c>
      <c r="R99" s="46" t="s">
        <v>795</v>
      </c>
      <c r="S99" s="46"/>
      <c r="T99" s="60"/>
      <c r="U99" s="60" t="s">
        <v>703</v>
      </c>
      <c r="V99" s="61" t="s">
        <v>704</v>
      </c>
      <c r="W99" s="61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54" t="str">
        <f>IF(OR(X99="",C99=""),"",NETWORKDAYS.INTL(C99,X99,1,'HELPER(Dont Delete)'!A:A))</f>
        <v/>
      </c>
      <c r="AQ99" s="54" t="str">
        <f>IF(OR(X99="",Y99=""),"",NETWORKDAYS.INTL(X99,Y99,1,'HELPER(Dont Delete)'!A:A))</f>
        <v/>
      </c>
      <c r="AR99" s="54" t="str">
        <f>IF(OR(Y99="",AA99=""),"",NETWORKDAYS.INTL(Y99,AA99,1,'HELPER(Dont Delete)'!A:A))</f>
        <v/>
      </c>
      <c r="AS99" s="60"/>
      <c r="AT99" s="60"/>
      <c r="AU99" s="60"/>
      <c r="AV99" s="60"/>
      <c r="AW99" s="60"/>
    </row>
    <row r="100" spans="1:49">
      <c r="A100" s="54">
        <v>100</v>
      </c>
      <c r="B100" s="108">
        <v>45548</v>
      </c>
      <c r="C100" s="108">
        <v>45551</v>
      </c>
      <c r="D100" s="60" t="s">
        <v>77</v>
      </c>
      <c r="E100" s="54" t="s">
        <v>219</v>
      </c>
      <c r="F100" s="54" t="s">
        <v>220</v>
      </c>
      <c r="G100" s="46" t="s">
        <v>796</v>
      </c>
      <c r="H100" s="46">
        <v>9300604095</v>
      </c>
      <c r="I100" s="107" t="s">
        <v>797</v>
      </c>
      <c r="J100" s="104" t="s">
        <v>707</v>
      </c>
      <c r="K100" s="46" t="s">
        <v>798</v>
      </c>
      <c r="L100" s="46" t="s">
        <v>680</v>
      </c>
      <c r="M100" s="46" t="s">
        <v>799</v>
      </c>
      <c r="N100" s="46" t="s">
        <v>311</v>
      </c>
      <c r="O100" s="60"/>
      <c r="P100" s="60"/>
      <c r="Q100" s="46" t="s">
        <v>328</v>
      </c>
      <c r="R100" s="46" t="s">
        <v>800</v>
      </c>
      <c r="S100" s="46"/>
      <c r="T100" s="60"/>
      <c r="U100" s="60" t="s">
        <v>703</v>
      </c>
      <c r="V100" s="61" t="s">
        <v>808</v>
      </c>
      <c r="W100" s="61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54" t="str">
        <f>IF(OR(X100="",C100=""),"",NETWORKDAYS.INTL(C100,X100,1,'HELPER(Dont Delete)'!A:A))</f>
        <v/>
      </c>
      <c r="AQ100" s="54" t="str">
        <f>IF(OR(X100="",Y100=""),"",NETWORKDAYS.INTL(X100,Y100,1,'HELPER(Dont Delete)'!A:A))</f>
        <v/>
      </c>
      <c r="AR100" s="54" t="str">
        <f>IF(OR(Y100="",AA100=""),"",NETWORKDAYS.INTL(Y100,AA100,1,'HELPER(Dont Delete)'!A:A))</f>
        <v/>
      </c>
      <c r="AS100" s="60"/>
      <c r="AT100" s="60"/>
      <c r="AU100" s="60"/>
      <c r="AV100" s="60"/>
      <c r="AW100" s="60"/>
    </row>
    <row r="101" spans="1:49">
      <c r="A101" s="54">
        <v>101</v>
      </c>
      <c r="B101" s="108">
        <v>45548</v>
      </c>
      <c r="C101" s="108">
        <v>45551</v>
      </c>
      <c r="D101" s="60" t="s">
        <v>77</v>
      </c>
      <c r="E101" s="54" t="s">
        <v>219</v>
      </c>
      <c r="F101" s="54" t="s">
        <v>220</v>
      </c>
      <c r="G101" s="46" t="s">
        <v>766</v>
      </c>
      <c r="H101" s="46">
        <v>9504342598</v>
      </c>
      <c r="I101" s="107" t="s">
        <v>801</v>
      </c>
      <c r="J101" s="104" t="s">
        <v>707</v>
      </c>
      <c r="K101" s="46" t="s">
        <v>802</v>
      </c>
      <c r="L101" s="46" t="s">
        <v>802</v>
      </c>
      <c r="M101" s="46" t="s">
        <v>768</v>
      </c>
      <c r="N101" s="46" t="s">
        <v>311</v>
      </c>
      <c r="O101" s="60"/>
      <c r="P101" s="60"/>
      <c r="Q101" s="46" t="s">
        <v>328</v>
      </c>
      <c r="R101" s="46" t="s">
        <v>803</v>
      </c>
      <c r="S101" s="46"/>
      <c r="T101" s="60"/>
      <c r="U101" s="60" t="s">
        <v>703</v>
      </c>
      <c r="V101" s="61" t="s">
        <v>704</v>
      </c>
      <c r="W101" s="61" t="s">
        <v>809</v>
      </c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54" t="str">
        <f>IF(OR(X101="",C101=""),"",NETWORKDAYS.INTL(C101,X101,1,'HELPER(Dont Delete)'!A:A))</f>
        <v/>
      </c>
      <c r="AQ101" s="54" t="str">
        <f>IF(OR(X101="",Y101=""),"",NETWORKDAYS.INTL(X101,Y101,1,'HELPER(Dont Delete)'!A:A))</f>
        <v/>
      </c>
      <c r="AR101" s="54" t="str">
        <f>IF(OR(Y101="",AA101=""),"",NETWORKDAYS.INTL(Y101,AA101,1,'HELPER(Dont Delete)'!A:A))</f>
        <v/>
      </c>
      <c r="AS101" s="60"/>
      <c r="AT101" s="60"/>
      <c r="AU101" s="60"/>
      <c r="AV101" s="60"/>
      <c r="AW101" s="60"/>
    </row>
    <row r="102" spans="1:49">
      <c r="A102" s="54">
        <v>102</v>
      </c>
      <c r="B102" s="108">
        <v>45548</v>
      </c>
      <c r="C102" s="108">
        <v>45551</v>
      </c>
      <c r="D102" s="60" t="s">
        <v>77</v>
      </c>
      <c r="E102" s="54" t="s">
        <v>219</v>
      </c>
      <c r="F102" s="54" t="s">
        <v>220</v>
      </c>
      <c r="G102" s="60" t="s">
        <v>804</v>
      </c>
      <c r="H102" s="60">
        <v>9175745520</v>
      </c>
      <c r="I102" s="60" t="s">
        <v>724</v>
      </c>
      <c r="J102" s="104" t="s">
        <v>707</v>
      </c>
      <c r="K102" s="60" t="s">
        <v>805</v>
      </c>
      <c r="L102" s="60" t="s">
        <v>690</v>
      </c>
      <c r="M102" s="102" t="s">
        <v>725</v>
      </c>
      <c r="N102" s="60" t="s">
        <v>311</v>
      </c>
      <c r="O102" s="54" t="s">
        <v>726</v>
      </c>
      <c r="P102" s="54" t="s">
        <v>727</v>
      </c>
      <c r="Q102" s="102" t="s">
        <v>806</v>
      </c>
      <c r="R102" s="102" t="s">
        <v>228</v>
      </c>
      <c r="S102" s="102"/>
      <c r="T102" s="60"/>
      <c r="U102" s="60" t="s">
        <v>703</v>
      </c>
      <c r="V102" s="104" t="s">
        <v>339</v>
      </c>
      <c r="W102" s="104"/>
      <c r="X102" s="60"/>
      <c r="Y102" s="105">
        <v>45555</v>
      </c>
      <c r="Z102" s="60"/>
      <c r="AA102" s="60"/>
      <c r="AB102" s="60"/>
      <c r="AC102" s="113"/>
      <c r="AD102" s="60"/>
      <c r="AF102" s="60"/>
      <c r="AG102" s="113">
        <v>45565</v>
      </c>
      <c r="AH102" s="60"/>
      <c r="AI102" s="60"/>
      <c r="AJ102" s="60"/>
      <c r="AK102" s="60"/>
      <c r="AL102" s="60"/>
      <c r="AM102" s="60"/>
      <c r="AN102" s="60"/>
      <c r="AO102" s="60"/>
      <c r="AP102" s="54" t="str">
        <f>IF(OR(X102="",C102=""),"",NETWORKDAYS.INTL(C102,X102,1,'HELPER(Dont Delete)'!A:A))</f>
        <v/>
      </c>
      <c r="AQ102" s="54" t="str">
        <f>IF(OR(X102="",Y102=""),"",NETWORKDAYS.INTL(X102,Y102,1,'HELPER(Dont Delete)'!A:A))</f>
        <v/>
      </c>
      <c r="AR102" s="54" t="str">
        <f>IF(OR(Y102="",AA102=""),"",NETWORKDAYS.INTL(Y102,AA102,1,'HELPER(Dont Delete)'!A:A))</f>
        <v/>
      </c>
      <c r="AS102" s="60"/>
      <c r="AT102" s="60"/>
      <c r="AU102" s="60"/>
      <c r="AV102" s="60"/>
      <c r="AW102" s="60"/>
    </row>
    <row r="103" spans="1:49">
      <c r="A103" s="54">
        <v>103</v>
      </c>
      <c r="B103" s="108">
        <v>45548</v>
      </c>
      <c r="C103" s="108">
        <v>45551</v>
      </c>
      <c r="D103" s="60" t="s">
        <v>77</v>
      </c>
      <c r="E103" s="54" t="s">
        <v>219</v>
      </c>
      <c r="F103" s="54" t="s">
        <v>220</v>
      </c>
      <c r="G103" s="60" t="s">
        <v>810</v>
      </c>
      <c r="H103" s="60">
        <v>9651653768</v>
      </c>
      <c r="I103" s="106" t="s">
        <v>811</v>
      </c>
      <c r="J103" s="104" t="s">
        <v>707</v>
      </c>
      <c r="K103" s="60" t="s">
        <v>812</v>
      </c>
      <c r="L103" s="60" t="s">
        <v>812</v>
      </c>
      <c r="M103" s="102" t="s">
        <v>813</v>
      </c>
      <c r="N103" s="60" t="s">
        <v>311</v>
      </c>
      <c r="O103" s="60"/>
      <c r="P103" s="60"/>
      <c r="Q103" s="60" t="s">
        <v>814</v>
      </c>
      <c r="R103" s="60" t="s">
        <v>546</v>
      </c>
      <c r="S103" s="60"/>
      <c r="T103" s="60"/>
      <c r="U103" s="60" t="s">
        <v>703</v>
      </c>
      <c r="V103" s="61" t="s">
        <v>808</v>
      </c>
      <c r="W103" s="61" t="s">
        <v>809</v>
      </c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54" t="str">
        <f>IF(OR(X103="",C103=""),"",NETWORKDAYS.INTL(C103,X103,1,'HELPER(Dont Delete)'!A:A))</f>
        <v/>
      </c>
      <c r="AQ103" s="54" t="str">
        <f>IF(OR(X103="",Y103=""),"",NETWORKDAYS.INTL(X103,Y103,1,'HELPER(Dont Delete)'!A:A))</f>
        <v/>
      </c>
      <c r="AR103" s="54" t="str">
        <f>IF(OR(Y103="",AA103=""),"",NETWORKDAYS.INTL(Y103,AA103,1,'HELPER(Dont Delete)'!A:A))</f>
        <v/>
      </c>
      <c r="AS103" s="60"/>
      <c r="AT103" s="60"/>
      <c r="AU103" s="60"/>
      <c r="AV103" s="60"/>
      <c r="AW103" s="60"/>
    </row>
    <row r="104" spans="1:49">
      <c r="A104" s="54">
        <v>104</v>
      </c>
      <c r="B104" s="108">
        <v>45548</v>
      </c>
      <c r="C104" s="108">
        <v>45551</v>
      </c>
      <c r="D104" s="60" t="s">
        <v>77</v>
      </c>
      <c r="E104" s="54" t="s">
        <v>219</v>
      </c>
      <c r="F104" s="54" t="s">
        <v>220</v>
      </c>
      <c r="G104" s="60" t="s">
        <v>815</v>
      </c>
      <c r="H104" s="60">
        <v>6289557741</v>
      </c>
      <c r="I104" s="60" t="s">
        <v>816</v>
      </c>
      <c r="J104" s="104" t="s">
        <v>707</v>
      </c>
      <c r="K104" s="60" t="s">
        <v>817</v>
      </c>
      <c r="L104" s="60" t="s">
        <v>817</v>
      </c>
      <c r="M104" s="60" t="s">
        <v>818</v>
      </c>
      <c r="N104" s="60" t="s">
        <v>311</v>
      </c>
      <c r="O104" s="60"/>
      <c r="P104" s="60"/>
      <c r="Q104" s="60" t="s">
        <v>819</v>
      </c>
      <c r="R104" s="60" t="s">
        <v>606</v>
      </c>
      <c r="S104" s="60"/>
      <c r="T104" s="60"/>
      <c r="U104" s="60" t="s">
        <v>703</v>
      </c>
      <c r="V104" s="104" t="s">
        <v>758</v>
      </c>
      <c r="W104" s="104" t="s">
        <v>741</v>
      </c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54" t="str">
        <f>IF(OR(X104="",C104=""),"",NETWORKDAYS.INTL(C104,X104,1,'HELPER(Dont Delete)'!A:A))</f>
        <v/>
      </c>
      <c r="AQ104" s="54" t="str">
        <f>IF(OR(X104="",Y104=""),"",NETWORKDAYS.INTL(X104,Y104,1,'HELPER(Dont Delete)'!A:A))</f>
        <v/>
      </c>
      <c r="AR104" s="54" t="str">
        <f>IF(OR(Y104="",AA104=""),"",NETWORKDAYS.INTL(Y104,AA104,1,'HELPER(Dont Delete)'!A:A))</f>
        <v/>
      </c>
      <c r="AS104" s="60"/>
      <c r="AT104" s="60"/>
      <c r="AU104" s="60"/>
      <c r="AV104" s="60"/>
      <c r="AW104" s="60"/>
    </row>
    <row r="105" spans="1:49" ht="16">
      <c r="A105" s="54">
        <v>105</v>
      </c>
      <c r="B105" s="108">
        <v>45551</v>
      </c>
      <c r="C105" s="108">
        <v>45553</v>
      </c>
      <c r="D105" s="60" t="s">
        <v>80</v>
      </c>
      <c r="E105" s="54" t="s">
        <v>219</v>
      </c>
      <c r="F105" s="54" t="s">
        <v>220</v>
      </c>
      <c r="G105" s="60" t="s">
        <v>820</v>
      </c>
      <c r="H105" s="60">
        <v>8151069596</v>
      </c>
      <c r="I105" s="107" t="s">
        <v>821</v>
      </c>
      <c r="J105" s="60" t="s">
        <v>822</v>
      </c>
      <c r="K105" s="60" t="s">
        <v>823</v>
      </c>
      <c r="L105" s="60" t="s">
        <v>823</v>
      </c>
      <c r="M105" s="60" t="s">
        <v>824</v>
      </c>
      <c r="N105" s="60" t="s">
        <v>825</v>
      </c>
      <c r="O105" s="109" t="s">
        <v>826</v>
      </c>
      <c r="P105" s="109" t="s">
        <v>827</v>
      </c>
      <c r="Q105" s="60" t="s">
        <v>819</v>
      </c>
      <c r="R105" s="60" t="s">
        <v>828</v>
      </c>
      <c r="S105" s="60"/>
      <c r="T105" s="60"/>
      <c r="U105" s="60" t="s">
        <v>829</v>
      </c>
      <c r="V105" s="61" t="s">
        <v>704</v>
      </c>
      <c r="W105" s="61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54" t="str">
        <f>IF(OR(X105="",C105=""),"",NETWORKDAYS.INTL(C105,X105,1,'HELPER(Dont Delete)'!A:A))</f>
        <v/>
      </c>
      <c r="AQ105" s="54" t="str">
        <f>IF(OR(X105="",Y105=""),"",NETWORKDAYS.INTL(X105,Y105,1,'HELPER(Dont Delete)'!A:A))</f>
        <v/>
      </c>
      <c r="AR105" s="54" t="str">
        <f>IF(OR(Y105="",AA105=""),"",NETWORKDAYS.INTL(Y105,AA105,1,'HELPER(Dont Delete)'!A:A))</f>
        <v/>
      </c>
      <c r="AS105" s="60"/>
      <c r="AT105" s="60"/>
      <c r="AU105" s="60"/>
      <c r="AV105" s="60"/>
      <c r="AW105" s="60"/>
    </row>
    <row r="106" spans="1:49">
      <c r="A106" s="54">
        <v>106</v>
      </c>
      <c r="B106" s="108">
        <v>45551</v>
      </c>
      <c r="C106" s="108">
        <v>45558</v>
      </c>
      <c r="D106" s="60" t="s">
        <v>80</v>
      </c>
      <c r="E106" s="54" t="s">
        <v>219</v>
      </c>
      <c r="F106" s="54" t="s">
        <v>220</v>
      </c>
      <c r="G106" s="60" t="s">
        <v>830</v>
      </c>
      <c r="H106" s="60">
        <v>8056740567</v>
      </c>
      <c r="I106" s="60" t="s">
        <v>831</v>
      </c>
      <c r="J106" s="60" t="s">
        <v>822</v>
      </c>
      <c r="K106" s="60" t="s">
        <v>832</v>
      </c>
      <c r="L106" s="60" t="s">
        <v>832</v>
      </c>
      <c r="M106" s="60" t="s">
        <v>833</v>
      </c>
      <c r="N106" s="60" t="s">
        <v>311</v>
      </c>
      <c r="O106" s="60" t="s">
        <v>834</v>
      </c>
      <c r="P106" s="60" t="s">
        <v>835</v>
      </c>
      <c r="Q106" s="60" t="s">
        <v>836</v>
      </c>
      <c r="R106" s="60" t="s">
        <v>837</v>
      </c>
      <c r="S106" s="60"/>
      <c r="T106" s="60"/>
      <c r="U106" s="60" t="s">
        <v>703</v>
      </c>
      <c r="V106" s="61" t="s">
        <v>291</v>
      </c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54" t="str">
        <f>IF(OR(X106="",C106=""),"",NETWORKDAYS.INTL(C106,X106,1,'HELPER(Dont Delete)'!A:A))</f>
        <v/>
      </c>
      <c r="AQ106" s="54" t="str">
        <f>IF(OR(X106="",Y106=""),"",NETWORKDAYS.INTL(X106,Y106,1,'HELPER(Dont Delete)'!A:A))</f>
        <v/>
      </c>
      <c r="AR106" s="54" t="str">
        <f>IF(OR(Y106="",AA106=""),"",NETWORKDAYS.INTL(Y106,AA106,1,'HELPER(Dont Delete)'!A:A))</f>
        <v/>
      </c>
      <c r="AS106" s="60"/>
      <c r="AT106" s="60"/>
      <c r="AU106" s="60"/>
      <c r="AV106" s="60"/>
      <c r="AW106" s="60"/>
    </row>
    <row r="107" spans="1:49">
      <c r="A107" s="54">
        <v>107</v>
      </c>
      <c r="B107" s="108">
        <v>45551</v>
      </c>
      <c r="C107" s="108">
        <v>45558</v>
      </c>
      <c r="D107" s="60" t="s">
        <v>80</v>
      </c>
      <c r="E107" s="54" t="s">
        <v>219</v>
      </c>
      <c r="F107" s="54" t="s">
        <v>220</v>
      </c>
      <c r="G107" s="112" t="s">
        <v>838</v>
      </c>
      <c r="H107" s="60">
        <v>7838940949</v>
      </c>
      <c r="I107" s="60" t="s">
        <v>839</v>
      </c>
      <c r="J107" s="60" t="s">
        <v>822</v>
      </c>
      <c r="K107" s="60" t="s">
        <v>786</v>
      </c>
      <c r="L107" s="60" t="s">
        <v>786</v>
      </c>
      <c r="M107" s="60" t="s">
        <v>840</v>
      </c>
      <c r="N107" s="60" t="s">
        <v>318</v>
      </c>
      <c r="O107" s="60" t="s">
        <v>841</v>
      </c>
      <c r="P107" s="60" t="s">
        <v>842</v>
      </c>
      <c r="Q107" s="60" t="s">
        <v>819</v>
      </c>
      <c r="R107" s="60" t="s">
        <v>299</v>
      </c>
      <c r="S107" s="60"/>
      <c r="T107" s="60"/>
      <c r="U107" s="60" t="s">
        <v>703</v>
      </c>
      <c r="V107" s="104" t="s">
        <v>339</v>
      </c>
      <c r="W107" s="104"/>
      <c r="X107" s="60"/>
      <c r="Y107" s="105">
        <v>45560</v>
      </c>
      <c r="Z107" s="60"/>
      <c r="AA107" s="105">
        <v>45601</v>
      </c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54" t="str">
        <f>IF(OR(X107="",C107=""),"",NETWORKDAYS.INTL(C107,X107,1,'HELPER(Dont Delete)'!A:A))</f>
        <v/>
      </c>
      <c r="AQ107" s="54" t="str">
        <f>IF(OR(X107="",Y107=""),"",NETWORKDAYS.INTL(X107,Y107,1,'HELPER(Dont Delete)'!A:A))</f>
        <v/>
      </c>
      <c r="AR107" s="54">
        <f>IF(OR(Y107="",AA107=""),"",NETWORKDAYS.INTL(Y107,AA107,1,'HELPER(Dont Delete)'!A:A))</f>
        <v>25</v>
      </c>
      <c r="AS107" s="60"/>
      <c r="AT107" s="60"/>
      <c r="AU107" s="60"/>
      <c r="AV107" s="60"/>
      <c r="AW107" s="60"/>
    </row>
    <row r="108" spans="1:49">
      <c r="A108" s="54">
        <v>108</v>
      </c>
      <c r="B108" s="108">
        <v>45551</v>
      </c>
      <c r="C108" s="108">
        <v>45560</v>
      </c>
      <c r="D108" s="60" t="s">
        <v>80</v>
      </c>
      <c r="E108" s="54" t="s">
        <v>219</v>
      </c>
      <c r="F108" s="54" t="s">
        <v>220</v>
      </c>
      <c r="G108" s="60" t="s">
        <v>843</v>
      </c>
      <c r="H108" s="60">
        <v>8050437281</v>
      </c>
      <c r="I108" s="60" t="s">
        <v>844</v>
      </c>
      <c r="J108" s="60" t="s">
        <v>822</v>
      </c>
      <c r="K108" s="60" t="s">
        <v>798</v>
      </c>
      <c r="L108" s="60" t="s">
        <v>798</v>
      </c>
      <c r="M108" s="60" t="s">
        <v>845</v>
      </c>
      <c r="N108" s="60" t="s">
        <v>846</v>
      </c>
      <c r="O108" s="60" t="s">
        <v>847</v>
      </c>
      <c r="P108" s="60" t="s">
        <v>848</v>
      </c>
      <c r="Q108" s="60" t="s">
        <v>836</v>
      </c>
      <c r="R108" s="60" t="s">
        <v>299</v>
      </c>
      <c r="S108" s="60"/>
      <c r="T108" s="60"/>
      <c r="U108" s="60" t="s">
        <v>703</v>
      </c>
      <c r="V108" s="104" t="s">
        <v>231</v>
      </c>
      <c r="W108" s="104"/>
      <c r="X108" s="60"/>
      <c r="Y108" s="105">
        <v>45564</v>
      </c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54" t="str">
        <f>IF(OR(X108="",C108=""),"",NETWORKDAYS.INTL(C108,X108,1,'HELPER(Dont Delete)'!A:A))</f>
        <v/>
      </c>
      <c r="AQ108" s="54" t="str">
        <f>IF(OR(X108="",Y108=""),"",NETWORKDAYS.INTL(X108,Y108,1,'HELPER(Dont Delete)'!A:A))</f>
        <v/>
      </c>
      <c r="AR108" s="54" t="str">
        <f>IF(OR(Y108="",AA108=""),"",NETWORKDAYS.INTL(Y108,AA108,1,'HELPER(Dont Delete)'!A:A))</f>
        <v/>
      </c>
      <c r="AS108" s="60"/>
      <c r="AT108" s="60"/>
      <c r="AU108" s="60"/>
      <c r="AV108" s="60"/>
      <c r="AW108" s="60"/>
    </row>
    <row r="109" spans="1:49">
      <c r="A109" s="54">
        <v>109</v>
      </c>
      <c r="B109" s="108">
        <v>45551</v>
      </c>
      <c r="C109" s="108">
        <v>45560</v>
      </c>
      <c r="D109" s="60" t="s">
        <v>80</v>
      </c>
      <c r="E109" s="54" t="s">
        <v>219</v>
      </c>
      <c r="F109" s="54" t="s">
        <v>220</v>
      </c>
      <c r="G109" s="60" t="s">
        <v>849</v>
      </c>
      <c r="H109" s="60">
        <v>9602247288</v>
      </c>
      <c r="I109" s="106" t="s">
        <v>850</v>
      </c>
      <c r="J109" s="60" t="s">
        <v>822</v>
      </c>
      <c r="K109" s="60" t="s">
        <v>851</v>
      </c>
      <c r="L109" s="60" t="s">
        <v>851</v>
      </c>
      <c r="M109" s="60" t="s">
        <v>852</v>
      </c>
      <c r="N109" s="60" t="s">
        <v>853</v>
      </c>
      <c r="O109" s="60" t="s">
        <v>854</v>
      </c>
      <c r="P109" s="60" t="s">
        <v>855</v>
      </c>
      <c r="Q109" s="60" t="s">
        <v>856</v>
      </c>
      <c r="R109" s="60" t="s">
        <v>857</v>
      </c>
      <c r="S109" s="60"/>
      <c r="T109" s="60"/>
      <c r="U109" s="60" t="s">
        <v>703</v>
      </c>
      <c r="V109" s="104" t="s">
        <v>231</v>
      </c>
      <c r="W109" s="104"/>
      <c r="X109" s="60"/>
      <c r="Y109" s="105">
        <v>45564</v>
      </c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54" t="str">
        <f>IF(OR(X109="",C109=""),"",NETWORKDAYS.INTL(C109,X109,1,'HELPER(Dont Delete)'!A:A))</f>
        <v/>
      </c>
      <c r="AQ109" s="54" t="str">
        <f>IF(OR(X109="",Y109=""),"",NETWORKDAYS.INTL(X109,Y109,1,'HELPER(Dont Delete)'!A:A))</f>
        <v/>
      </c>
      <c r="AR109" s="54" t="str">
        <f>IF(OR(Y109="",AA109=""),"",NETWORKDAYS.INTL(Y109,AA109,1,'HELPER(Dont Delete)'!A:A))</f>
        <v/>
      </c>
      <c r="AS109" s="60"/>
      <c r="AT109" s="60"/>
      <c r="AU109" s="60"/>
      <c r="AV109" s="60"/>
      <c r="AW109" s="60"/>
    </row>
    <row r="110" spans="1:49">
      <c r="A110" s="54">
        <v>110</v>
      </c>
      <c r="B110" s="108">
        <v>45551</v>
      </c>
      <c r="C110" s="108">
        <v>45560</v>
      </c>
      <c r="D110" s="60" t="s">
        <v>80</v>
      </c>
      <c r="E110" s="54" t="s">
        <v>219</v>
      </c>
      <c r="F110" s="54" t="s">
        <v>220</v>
      </c>
      <c r="G110" s="60" t="s">
        <v>858</v>
      </c>
      <c r="H110" s="60">
        <v>7377692313</v>
      </c>
      <c r="I110" s="106" t="s">
        <v>859</v>
      </c>
      <c r="J110" s="60" t="s">
        <v>822</v>
      </c>
      <c r="K110" s="60" t="s">
        <v>860</v>
      </c>
      <c r="L110" s="60" t="s">
        <v>744</v>
      </c>
      <c r="M110" s="60" t="s">
        <v>861</v>
      </c>
      <c r="N110" s="60" t="s">
        <v>311</v>
      </c>
      <c r="O110" s="60" t="s">
        <v>862</v>
      </c>
      <c r="P110" s="110">
        <v>0.25</v>
      </c>
      <c r="Q110" s="60" t="s">
        <v>863</v>
      </c>
      <c r="R110" s="60" t="s">
        <v>864</v>
      </c>
      <c r="S110" s="60"/>
      <c r="T110" s="60"/>
      <c r="U110" s="60" t="s">
        <v>829</v>
      </c>
      <c r="V110" s="104" t="s">
        <v>231</v>
      </c>
      <c r="W110" s="104"/>
      <c r="X110" s="60"/>
      <c r="Y110" s="105">
        <v>45569</v>
      </c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54" t="str">
        <f>IF(OR(X110="",C110=""),"",NETWORKDAYS.INTL(C110,X110,1,'HELPER(Dont Delete)'!A:A))</f>
        <v/>
      </c>
      <c r="AQ110" s="54" t="str">
        <f>IF(OR(X110="",Y110=""),"",NETWORKDAYS.INTL(X110,Y110,1,'HELPER(Dont Delete)'!A:A))</f>
        <v/>
      </c>
      <c r="AR110" s="54" t="str">
        <f>IF(OR(Y110="",AA110=""),"",NETWORKDAYS.INTL(Y110,AA110,1,'HELPER(Dont Delete)'!A:A))</f>
        <v/>
      </c>
      <c r="AS110" s="60"/>
      <c r="AT110" s="60"/>
      <c r="AU110" s="60"/>
      <c r="AV110" s="60"/>
      <c r="AW110" s="60"/>
    </row>
    <row r="111" spans="1:49">
      <c r="A111" s="54">
        <v>111</v>
      </c>
      <c r="B111" s="108">
        <v>45551</v>
      </c>
      <c r="C111" s="108">
        <v>45560</v>
      </c>
      <c r="D111" s="60" t="s">
        <v>69</v>
      </c>
      <c r="E111" s="54" t="s">
        <v>219</v>
      </c>
      <c r="F111" s="54" t="s">
        <v>220</v>
      </c>
      <c r="G111" s="60" t="s">
        <v>865</v>
      </c>
      <c r="H111" s="60">
        <v>6202694909</v>
      </c>
      <c r="I111" s="60" t="s">
        <v>866</v>
      </c>
      <c r="J111" s="104" t="s">
        <v>707</v>
      </c>
      <c r="K111" s="60" t="s">
        <v>680</v>
      </c>
      <c r="L111" s="60" t="s">
        <v>680</v>
      </c>
      <c r="M111" s="60" t="s">
        <v>867</v>
      </c>
      <c r="N111" s="60" t="s">
        <v>311</v>
      </c>
      <c r="O111" s="60" t="s">
        <v>868</v>
      </c>
      <c r="P111" s="60" t="s">
        <v>869</v>
      </c>
      <c r="Q111" s="60" t="s">
        <v>836</v>
      </c>
      <c r="R111" s="60" t="s">
        <v>42</v>
      </c>
      <c r="S111" s="60"/>
      <c r="T111" s="60"/>
      <c r="U111" s="60" t="s">
        <v>703</v>
      </c>
      <c r="V111" s="104" t="s">
        <v>231</v>
      </c>
      <c r="W111" s="104"/>
      <c r="X111" s="60"/>
      <c r="Y111" s="105">
        <v>45564</v>
      </c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54" t="str">
        <f>IF(OR(X111="",C111=""),"",NETWORKDAYS.INTL(C111,X111,1,'HELPER(Dont Delete)'!A:A))</f>
        <v/>
      </c>
      <c r="AQ111" s="54" t="str">
        <f>IF(OR(X111="",Y111=""),"",NETWORKDAYS.INTL(X111,Y111,1,'HELPER(Dont Delete)'!A:A))</f>
        <v/>
      </c>
      <c r="AR111" s="54" t="str">
        <f>IF(OR(Y111="",AA111=""),"",NETWORKDAYS.INTL(Y111,AA111,1,'HELPER(Dont Delete)'!A:A))</f>
        <v/>
      </c>
      <c r="AS111" s="60"/>
      <c r="AT111" s="60"/>
      <c r="AU111" s="60"/>
      <c r="AV111" s="60"/>
      <c r="AW111" s="60"/>
    </row>
    <row r="112" spans="1:49">
      <c r="A112" s="54">
        <v>112</v>
      </c>
      <c r="B112" s="108">
        <v>45551</v>
      </c>
      <c r="C112" s="108">
        <v>45570</v>
      </c>
      <c r="D112" s="60" t="s">
        <v>80</v>
      </c>
      <c r="E112" s="54" t="s">
        <v>219</v>
      </c>
      <c r="F112" s="54" t="s">
        <v>220</v>
      </c>
      <c r="G112" s="60" t="s">
        <v>870</v>
      </c>
      <c r="H112" s="60">
        <v>7837229979</v>
      </c>
      <c r="I112" s="60" t="s">
        <v>871</v>
      </c>
      <c r="J112" s="60" t="s">
        <v>822</v>
      </c>
      <c r="K112" s="60" t="s">
        <v>872</v>
      </c>
      <c r="L112" s="60" t="s">
        <v>872</v>
      </c>
      <c r="M112" s="60" t="s">
        <v>873</v>
      </c>
      <c r="N112" s="46" t="s">
        <v>311</v>
      </c>
      <c r="O112" s="60" t="s">
        <v>874</v>
      </c>
      <c r="P112" s="60" t="s">
        <v>875</v>
      </c>
      <c r="Q112" s="46" t="s">
        <v>328</v>
      </c>
      <c r="R112" s="60" t="s">
        <v>876</v>
      </c>
      <c r="S112" s="60"/>
      <c r="T112" s="60"/>
      <c r="U112" s="60" t="s">
        <v>703</v>
      </c>
      <c r="V112" s="104" t="s">
        <v>231</v>
      </c>
      <c r="W112" s="60"/>
      <c r="X112" s="60"/>
      <c r="Y112" s="105">
        <v>45573</v>
      </c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54" t="str">
        <f>IF(OR(X112="",C112=""),"",NETWORKDAYS.INTL(C112,X112,1,'HELPER(Dont Delete)'!A:A))</f>
        <v/>
      </c>
      <c r="AQ112" s="54" t="str">
        <f>IF(OR(X112="",Y112=""),"",NETWORKDAYS.INTL(X112,Y112,1,'HELPER(Dont Delete)'!A:A))</f>
        <v/>
      </c>
      <c r="AR112" s="54" t="str">
        <f>IF(OR(Y112="",AA112=""),"",NETWORKDAYS.INTL(Y112,AA112,1,'HELPER(Dont Delete)'!A:A))</f>
        <v/>
      </c>
      <c r="AS112" s="60"/>
      <c r="AT112" s="60"/>
      <c r="AU112" s="60"/>
      <c r="AV112" s="60"/>
      <c r="AW112" s="60"/>
    </row>
    <row r="113" spans="1:49">
      <c r="A113" s="54">
        <v>113</v>
      </c>
      <c r="B113" s="108">
        <v>45551</v>
      </c>
      <c r="C113" s="108">
        <v>45570</v>
      </c>
      <c r="D113" s="60" t="s">
        <v>80</v>
      </c>
      <c r="E113" s="54" t="s">
        <v>219</v>
      </c>
      <c r="F113" s="54" t="s">
        <v>220</v>
      </c>
      <c r="G113" s="60" t="s">
        <v>877</v>
      </c>
      <c r="H113" s="60">
        <v>9810826433</v>
      </c>
      <c r="I113" s="60" t="s">
        <v>878</v>
      </c>
      <c r="J113" s="60" t="s">
        <v>822</v>
      </c>
      <c r="K113" s="60" t="s">
        <v>872</v>
      </c>
      <c r="L113" s="60" t="s">
        <v>872</v>
      </c>
      <c r="M113" s="60" t="s">
        <v>879</v>
      </c>
      <c r="N113" s="46" t="s">
        <v>880</v>
      </c>
      <c r="O113" s="60" t="s">
        <v>881</v>
      </c>
      <c r="P113" s="60" t="s">
        <v>882</v>
      </c>
      <c r="Q113" s="46" t="s">
        <v>883</v>
      </c>
      <c r="R113" s="60" t="s">
        <v>367</v>
      </c>
      <c r="S113" s="60"/>
      <c r="T113" s="60"/>
      <c r="U113" s="60" t="s">
        <v>703</v>
      </c>
      <c r="V113" s="104" t="s">
        <v>231</v>
      </c>
      <c r="W113" s="60"/>
      <c r="X113" s="60"/>
      <c r="Y113" s="105">
        <v>45573</v>
      </c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54" t="str">
        <f>IF(OR(X113="",C113=""),"",NETWORKDAYS.INTL(C113,X113,1,'HELPER(Dont Delete)'!A:A))</f>
        <v/>
      </c>
      <c r="AQ113" s="54" t="str">
        <f>IF(OR(X113="",Y113=""),"",NETWORKDAYS.INTL(X113,Y113,1,'HELPER(Dont Delete)'!A:A))</f>
        <v/>
      </c>
      <c r="AR113" s="54" t="str">
        <f>IF(OR(Y113="",AA113=""),"",NETWORKDAYS.INTL(Y113,AA113,1,'HELPER(Dont Delete)'!A:A))</f>
        <v/>
      </c>
      <c r="AS113" s="60"/>
      <c r="AT113" s="60"/>
      <c r="AU113" s="60"/>
      <c r="AV113" s="60"/>
      <c r="AW113" s="60"/>
    </row>
    <row r="114" spans="1:49">
      <c r="A114" s="54">
        <v>114</v>
      </c>
      <c r="B114" s="108">
        <v>45551</v>
      </c>
      <c r="C114" s="108">
        <v>45570</v>
      </c>
      <c r="D114" s="60" t="s">
        <v>80</v>
      </c>
      <c r="E114" s="54" t="s">
        <v>219</v>
      </c>
      <c r="F114" s="54" t="s">
        <v>220</v>
      </c>
      <c r="G114" s="60" t="s">
        <v>884</v>
      </c>
      <c r="H114" s="60">
        <v>9911462552</v>
      </c>
      <c r="I114" s="60" t="s">
        <v>885</v>
      </c>
      <c r="J114" s="60" t="s">
        <v>822</v>
      </c>
      <c r="K114" s="60" t="s">
        <v>832</v>
      </c>
      <c r="L114" s="60" t="s">
        <v>832</v>
      </c>
      <c r="M114" s="60" t="s">
        <v>886</v>
      </c>
      <c r="N114" s="46" t="s">
        <v>880</v>
      </c>
      <c r="O114" s="60" t="s">
        <v>887</v>
      </c>
      <c r="P114" s="60" t="s">
        <v>888</v>
      </c>
      <c r="Q114" s="46" t="s">
        <v>328</v>
      </c>
      <c r="R114" s="46" t="s">
        <v>367</v>
      </c>
      <c r="S114" s="46"/>
      <c r="T114" s="60"/>
      <c r="U114" s="60" t="s">
        <v>703</v>
      </c>
      <c r="V114" s="104" t="s">
        <v>231</v>
      </c>
      <c r="W114" s="104"/>
      <c r="X114" s="60"/>
      <c r="Y114" s="105">
        <v>45572</v>
      </c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54" t="str">
        <f>IF(OR(X114="",C114=""),"",NETWORKDAYS.INTL(C114,X114,1,'HELPER(Dont Delete)'!A:A))</f>
        <v/>
      </c>
      <c r="AQ114" s="54" t="str">
        <f>IF(OR(X114="",Y114=""),"",NETWORKDAYS.INTL(X114,Y114,1,'HELPER(Dont Delete)'!A:A))</f>
        <v/>
      </c>
      <c r="AR114" s="54" t="str">
        <f>IF(OR(Y114="",AA114=""),"",NETWORKDAYS.INTL(Y114,AA114,1,'HELPER(Dont Delete)'!A:A))</f>
        <v/>
      </c>
      <c r="AS114" s="60"/>
      <c r="AT114" s="60"/>
      <c r="AU114" s="60"/>
      <c r="AV114" s="60"/>
      <c r="AW114" s="60"/>
    </row>
    <row r="115" spans="1:49">
      <c r="A115" s="54">
        <v>115</v>
      </c>
      <c r="B115" s="108">
        <v>45476</v>
      </c>
      <c r="C115" s="108">
        <v>45580</v>
      </c>
      <c r="D115" s="60" t="s">
        <v>69</v>
      </c>
      <c r="E115" s="54" t="s">
        <v>219</v>
      </c>
      <c r="F115" s="54" t="s">
        <v>220</v>
      </c>
      <c r="G115" s="60" t="s">
        <v>889</v>
      </c>
      <c r="H115" s="60">
        <v>7040428749</v>
      </c>
      <c r="I115" s="60" t="s">
        <v>890</v>
      </c>
      <c r="J115" s="104" t="s">
        <v>707</v>
      </c>
      <c r="K115" s="60" t="s">
        <v>780</v>
      </c>
      <c r="L115" s="60" t="s">
        <v>691</v>
      </c>
      <c r="M115" s="60" t="s">
        <v>891</v>
      </c>
      <c r="N115" s="46" t="s">
        <v>892</v>
      </c>
      <c r="O115" s="60" t="s">
        <v>893</v>
      </c>
      <c r="P115" s="60" t="s">
        <v>842</v>
      </c>
      <c r="Q115" s="46" t="s">
        <v>227</v>
      </c>
      <c r="R115" s="46" t="s">
        <v>228</v>
      </c>
      <c r="S115" s="46"/>
      <c r="T115" s="60"/>
      <c r="U115" s="60" t="s">
        <v>703</v>
      </c>
      <c r="V115" s="104" t="s">
        <v>231</v>
      </c>
      <c r="W115" s="104"/>
      <c r="X115" s="60"/>
      <c r="Y115" s="105">
        <v>45586</v>
      </c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54" t="str">
        <f>IF(OR(X115="",C115=""),"",NETWORKDAYS.INTL(C115,X115,1,'HELPER(Dont Delete)'!A:A))</f>
        <v/>
      </c>
      <c r="AQ115" s="54" t="str">
        <f>IF(OR(X115="",Y115=""),"",NETWORKDAYS.INTL(X115,Y115,1,'HELPER(Dont Delete)'!A:A))</f>
        <v/>
      </c>
      <c r="AR115" s="54" t="str">
        <f>IF(OR(Y115="",AA115=""),"",NETWORKDAYS.INTL(Y115,AA115,1,'HELPER(Dont Delete)'!A:A))</f>
        <v/>
      </c>
      <c r="AS115" s="60"/>
      <c r="AT115" s="60"/>
      <c r="AU115" s="60"/>
      <c r="AV115" s="60"/>
      <c r="AW115" s="60"/>
    </row>
    <row r="116" spans="1:49">
      <c r="A116" s="54">
        <v>116</v>
      </c>
      <c r="B116" s="108">
        <v>45476</v>
      </c>
      <c r="C116" s="108">
        <v>45580</v>
      </c>
      <c r="D116" s="60" t="s">
        <v>69</v>
      </c>
      <c r="E116" s="54" t="s">
        <v>219</v>
      </c>
      <c r="F116" s="54" t="s">
        <v>220</v>
      </c>
      <c r="G116" s="60" t="s">
        <v>894</v>
      </c>
      <c r="H116" s="60">
        <v>8087049703</v>
      </c>
      <c r="I116" s="60" t="s">
        <v>895</v>
      </c>
      <c r="J116" s="104" t="s">
        <v>707</v>
      </c>
      <c r="K116" s="60" t="s">
        <v>691</v>
      </c>
      <c r="L116" s="60" t="s">
        <v>691</v>
      </c>
      <c r="M116" s="111" t="s">
        <v>896</v>
      </c>
      <c r="N116" s="60" t="s">
        <v>311</v>
      </c>
      <c r="O116" s="60" t="s">
        <v>897</v>
      </c>
      <c r="P116" s="60" t="s">
        <v>898</v>
      </c>
      <c r="Q116" s="60" t="s">
        <v>569</v>
      </c>
      <c r="R116" s="60" t="s">
        <v>95</v>
      </c>
      <c r="S116" s="60"/>
      <c r="T116" s="60"/>
      <c r="U116" s="60" t="s">
        <v>703</v>
      </c>
      <c r="V116" s="104" t="s">
        <v>231</v>
      </c>
      <c r="W116" s="104"/>
      <c r="X116" s="60"/>
      <c r="Y116" s="105">
        <v>45582</v>
      </c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54" t="str">
        <f>IF(OR(X116="",C116=""),"",NETWORKDAYS.INTL(C116,X116,1,'HELPER(Dont Delete)'!A:A))</f>
        <v/>
      </c>
      <c r="AQ116" s="54" t="str">
        <f>IF(OR(X116="",Y116=""),"",NETWORKDAYS.INTL(X116,Y116,1,'HELPER(Dont Delete)'!A:A))</f>
        <v/>
      </c>
      <c r="AR116" s="54" t="str">
        <f>IF(OR(Y116="",AA116=""),"",NETWORKDAYS.INTL(Y116,AA116,1,'HELPER(Dont Delete)'!A:A))</f>
        <v/>
      </c>
      <c r="AS116" s="60"/>
      <c r="AT116" s="60"/>
      <c r="AU116" s="60"/>
      <c r="AV116" s="60"/>
      <c r="AW116" s="60"/>
    </row>
    <row r="117" spans="1:49">
      <c r="A117" s="54">
        <v>117</v>
      </c>
      <c r="B117" s="108">
        <v>45476</v>
      </c>
      <c r="C117" s="108">
        <v>45580</v>
      </c>
      <c r="D117" s="60" t="s">
        <v>69</v>
      </c>
      <c r="E117" s="54" t="s">
        <v>219</v>
      </c>
      <c r="F117" s="54" t="s">
        <v>220</v>
      </c>
      <c r="G117" s="116" t="s">
        <v>899</v>
      </c>
      <c r="H117" s="116">
        <v>9823513446</v>
      </c>
      <c r="I117" s="107" t="s">
        <v>900</v>
      </c>
      <c r="J117" s="104" t="s">
        <v>707</v>
      </c>
      <c r="K117" s="60" t="s">
        <v>779</v>
      </c>
      <c r="L117" s="60" t="s">
        <v>812</v>
      </c>
      <c r="M117" s="46" t="s">
        <v>901</v>
      </c>
      <c r="N117" s="60" t="s">
        <v>807</v>
      </c>
      <c r="O117" s="46" t="s">
        <v>902</v>
      </c>
      <c r="P117" s="60" t="s">
        <v>903</v>
      </c>
      <c r="Q117" s="60" t="s">
        <v>836</v>
      </c>
      <c r="R117" s="46" t="s">
        <v>42</v>
      </c>
      <c r="S117" s="46"/>
      <c r="T117" s="60"/>
      <c r="U117" s="60" t="s">
        <v>369</v>
      </c>
      <c r="V117" s="104" t="s">
        <v>339</v>
      </c>
      <c r="W117" s="104"/>
      <c r="X117" s="60"/>
      <c r="Y117" s="105">
        <v>45582</v>
      </c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54" t="str">
        <f>IF(OR(X117="",C117=""),"",NETWORKDAYS.INTL(C117,X117,1,'HELPER(Dont Delete)'!A:A))</f>
        <v/>
      </c>
      <c r="AQ117" s="54" t="str">
        <f>IF(OR(X117="",Y117=""),"",NETWORKDAYS.INTL(X117,Y117,1,'HELPER(Dont Delete)'!A:A))</f>
        <v/>
      </c>
      <c r="AR117" s="54" t="str">
        <f>IF(OR(Y117="",AA117=""),"",NETWORKDAYS.INTL(Y117,AA117,1,'HELPER(Dont Delete)'!A:A))</f>
        <v/>
      </c>
      <c r="AS117" s="60"/>
      <c r="AT117" s="60"/>
      <c r="AU117" s="60"/>
      <c r="AV117" s="60"/>
      <c r="AW117" s="60"/>
    </row>
    <row r="118" spans="1:49">
      <c r="A118" s="54">
        <v>118</v>
      </c>
      <c r="B118" s="108">
        <v>45476</v>
      </c>
      <c r="C118" s="108">
        <v>45588</v>
      </c>
      <c r="D118" s="60" t="s">
        <v>69</v>
      </c>
      <c r="E118" s="54" t="s">
        <v>219</v>
      </c>
      <c r="F118" s="54" t="s">
        <v>220</v>
      </c>
      <c r="G118" s="46" t="s">
        <v>904</v>
      </c>
      <c r="H118" s="46">
        <v>7709609065</v>
      </c>
      <c r="I118" s="107" t="s">
        <v>905</v>
      </c>
      <c r="J118" s="104" t="s">
        <v>707</v>
      </c>
      <c r="K118" s="60" t="s">
        <v>794</v>
      </c>
      <c r="L118" s="60" t="s">
        <v>794</v>
      </c>
      <c r="M118" s="46" t="s">
        <v>906</v>
      </c>
      <c r="N118" s="60" t="s">
        <v>311</v>
      </c>
      <c r="O118" s="46" t="s">
        <v>907</v>
      </c>
      <c r="P118" s="46" t="s">
        <v>842</v>
      </c>
      <c r="Q118" s="46" t="s">
        <v>908</v>
      </c>
      <c r="R118" s="46" t="s">
        <v>909</v>
      </c>
      <c r="S118" s="46"/>
      <c r="T118" s="60"/>
      <c r="U118" s="60" t="s">
        <v>369</v>
      </c>
      <c r="V118" s="54" t="s">
        <v>704</v>
      </c>
      <c r="W118" s="61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54" t="str">
        <f>IF(OR(X118="",C118=""),"",NETWORKDAYS.INTL(C118,X118,1,'HELPER(Dont Delete)'!A:A))</f>
        <v/>
      </c>
      <c r="AQ118" s="54" t="str">
        <f>IF(OR(X118="",Y118=""),"",NETWORKDAYS.INTL(X118,Y118,1,'HELPER(Dont Delete)'!A:A))</f>
        <v/>
      </c>
      <c r="AR118" s="54" t="str">
        <f>IF(OR(Y118="",AA118=""),"",NETWORKDAYS.INTL(Y118,AA118,1,'HELPER(Dont Delete)'!A:A))</f>
        <v/>
      </c>
      <c r="AS118" s="60"/>
      <c r="AT118" s="60"/>
      <c r="AU118" s="60"/>
      <c r="AV118" s="60"/>
      <c r="AW118" s="60"/>
    </row>
    <row r="119" spans="1:49">
      <c r="A119" s="54">
        <v>119</v>
      </c>
      <c r="B119" s="108">
        <v>45551</v>
      </c>
      <c r="C119" s="108">
        <v>45588</v>
      </c>
      <c r="D119" s="60" t="s">
        <v>80</v>
      </c>
      <c r="E119" s="54" t="s">
        <v>219</v>
      </c>
      <c r="F119" s="54" t="s">
        <v>220</v>
      </c>
      <c r="G119" s="60" t="s">
        <v>910</v>
      </c>
      <c r="H119" s="60">
        <v>8295122667</v>
      </c>
      <c r="I119" s="60" t="s">
        <v>911</v>
      </c>
      <c r="J119" s="60" t="s">
        <v>822</v>
      </c>
      <c r="K119" s="60" t="s">
        <v>832</v>
      </c>
      <c r="L119" s="60" t="s">
        <v>832</v>
      </c>
      <c r="M119" s="60" t="s">
        <v>912</v>
      </c>
      <c r="N119" s="46" t="s">
        <v>892</v>
      </c>
      <c r="O119" s="60"/>
      <c r="P119" s="60"/>
      <c r="Q119" s="46" t="s">
        <v>409</v>
      </c>
      <c r="R119" s="46" t="s">
        <v>367</v>
      </c>
      <c r="S119" s="46"/>
      <c r="T119" s="60"/>
      <c r="U119" s="60" t="s">
        <v>703</v>
      </c>
      <c r="V119" s="61" t="s">
        <v>291</v>
      </c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54" t="str">
        <f>IF(OR(X119="",C119=""),"",NETWORKDAYS.INTL(C119,X119,1,'HELPER(Dont Delete)'!A:A))</f>
        <v/>
      </c>
      <c r="AQ119" s="54" t="str">
        <f>IF(OR(X119="",Y119=""),"",NETWORKDAYS.INTL(X119,Y119,1,'HELPER(Dont Delete)'!A:A))</f>
        <v/>
      </c>
      <c r="AR119" s="54" t="str">
        <f>IF(OR(Y119="",AA119=""),"",NETWORKDAYS.INTL(Y119,AA119,1,'HELPER(Dont Delete)'!A:A))</f>
        <v/>
      </c>
      <c r="AS119" s="60"/>
      <c r="AT119" s="60"/>
      <c r="AU119" s="60"/>
      <c r="AV119" s="60"/>
      <c r="AW119" s="60"/>
    </row>
    <row r="120" spans="1:49">
      <c r="A120" s="54">
        <v>120</v>
      </c>
      <c r="B120" s="108">
        <v>45551</v>
      </c>
      <c r="C120" s="108">
        <v>45588</v>
      </c>
      <c r="D120" s="60" t="s">
        <v>80</v>
      </c>
      <c r="E120" s="54" t="s">
        <v>219</v>
      </c>
      <c r="F120" s="54" t="s">
        <v>220</v>
      </c>
      <c r="G120" s="60" t="s">
        <v>913</v>
      </c>
      <c r="H120" s="60">
        <v>7417777860</v>
      </c>
      <c r="I120" s="106" t="s">
        <v>914</v>
      </c>
      <c r="J120" s="60" t="s">
        <v>822</v>
      </c>
      <c r="K120" s="60" t="s">
        <v>680</v>
      </c>
      <c r="L120" s="60" t="s">
        <v>680</v>
      </c>
      <c r="M120" s="60" t="s">
        <v>915</v>
      </c>
      <c r="N120" s="46" t="s">
        <v>311</v>
      </c>
      <c r="O120" s="60"/>
      <c r="P120" s="60"/>
      <c r="Q120" s="60" t="s">
        <v>328</v>
      </c>
      <c r="R120" s="60" t="s">
        <v>916</v>
      </c>
      <c r="S120" s="60"/>
      <c r="T120" s="60"/>
      <c r="U120" s="60" t="s">
        <v>703</v>
      </c>
      <c r="V120" s="61" t="s">
        <v>291</v>
      </c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54" t="str">
        <f>IF(OR(X120="",C120=""),"",NETWORKDAYS.INTL(C120,X120,1,'HELPER(Dont Delete)'!A:A))</f>
        <v/>
      </c>
      <c r="AQ120" s="54" t="str">
        <f>IF(OR(X120="",Y120=""),"",NETWORKDAYS.INTL(X120,Y120,1,'HELPER(Dont Delete)'!A:A))</f>
        <v/>
      </c>
      <c r="AR120" s="54" t="str">
        <f>IF(OR(Y120="",AA120=""),"",NETWORKDAYS.INTL(Y120,AA120,1,'HELPER(Dont Delete)'!A:A))</f>
        <v/>
      </c>
      <c r="AS120" s="60"/>
      <c r="AT120" s="60"/>
      <c r="AU120" s="60"/>
      <c r="AV120" s="60"/>
      <c r="AW120" s="60"/>
    </row>
    <row r="121" spans="1:49">
      <c r="A121" s="54">
        <v>121</v>
      </c>
      <c r="B121" s="108">
        <v>45551</v>
      </c>
      <c r="C121" s="108">
        <v>45589</v>
      </c>
      <c r="D121" s="60" t="s">
        <v>80</v>
      </c>
      <c r="E121" s="54" t="s">
        <v>219</v>
      </c>
      <c r="F121" s="54" t="s">
        <v>220</v>
      </c>
      <c r="G121" s="60" t="s">
        <v>917</v>
      </c>
      <c r="H121" s="60">
        <v>8604930564</v>
      </c>
      <c r="I121" s="60" t="s">
        <v>918</v>
      </c>
      <c r="J121" s="60" t="s">
        <v>822</v>
      </c>
      <c r="K121" s="60" t="s">
        <v>794</v>
      </c>
      <c r="L121" s="60" t="s">
        <v>794</v>
      </c>
      <c r="M121" s="60" t="s">
        <v>919</v>
      </c>
      <c r="N121" s="46" t="s">
        <v>311</v>
      </c>
      <c r="O121" s="115" t="s">
        <v>920</v>
      </c>
      <c r="P121" s="60" t="s">
        <v>921</v>
      </c>
      <c r="Q121" s="60" t="s">
        <v>856</v>
      </c>
      <c r="R121" s="60" t="s">
        <v>299</v>
      </c>
      <c r="S121" s="60"/>
      <c r="T121" s="60"/>
      <c r="U121" s="60" t="s">
        <v>703</v>
      </c>
      <c r="V121" s="104" t="s">
        <v>599</v>
      </c>
      <c r="W121" s="104"/>
      <c r="X121" s="105">
        <v>45589</v>
      </c>
      <c r="Y121" s="105">
        <v>45593</v>
      </c>
      <c r="Z121" s="60"/>
      <c r="AA121" s="105">
        <v>45601</v>
      </c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54">
        <f>IF(OR(X121="",C121=""),"",NETWORKDAYS.INTL(C121,X121,1,'HELPER(Dont Delete)'!A:A))</f>
        <v>1</v>
      </c>
      <c r="AQ121" s="54">
        <f>IF(OR(X121="",Y121=""),"",NETWORKDAYS.INTL(X121,Y121,1,'HELPER(Dont Delete)'!A:A))</f>
        <v>3</v>
      </c>
      <c r="AR121" s="54">
        <f>IF(OR(Y121="",AA121=""),"",NETWORKDAYS.INTL(Y121,AA121,1,'HELPER(Dont Delete)'!A:A))</f>
        <v>6</v>
      </c>
      <c r="AS121" s="60"/>
      <c r="AT121" s="60"/>
      <c r="AU121" s="60"/>
      <c r="AV121" s="60"/>
      <c r="AW121" s="60"/>
    </row>
    <row r="122" spans="1:49">
      <c r="A122" s="54">
        <v>122</v>
      </c>
      <c r="B122" s="108">
        <v>45551</v>
      </c>
      <c r="C122" s="108">
        <v>45590</v>
      </c>
      <c r="D122" s="60" t="s">
        <v>80</v>
      </c>
      <c r="E122" s="54" t="s">
        <v>219</v>
      </c>
      <c r="F122" s="54" t="s">
        <v>220</v>
      </c>
      <c r="G122" s="60" t="s">
        <v>922</v>
      </c>
      <c r="H122" s="60">
        <v>8077924319</v>
      </c>
      <c r="I122" s="107" t="s">
        <v>923</v>
      </c>
      <c r="J122" s="60" t="s">
        <v>822</v>
      </c>
      <c r="K122" s="60" t="s">
        <v>798</v>
      </c>
      <c r="L122" s="60" t="s">
        <v>798</v>
      </c>
      <c r="M122" s="60" t="s">
        <v>924</v>
      </c>
      <c r="N122" s="60" t="s">
        <v>537</v>
      </c>
      <c r="O122" s="60"/>
      <c r="P122" s="60"/>
      <c r="Q122" s="60" t="s">
        <v>856</v>
      </c>
      <c r="R122" s="60" t="s">
        <v>449</v>
      </c>
      <c r="S122" s="60"/>
      <c r="T122" s="60"/>
      <c r="U122" s="60" t="s">
        <v>703</v>
      </c>
      <c r="V122" s="104" t="s">
        <v>231</v>
      </c>
      <c r="W122" s="104"/>
      <c r="X122" s="105">
        <v>45590</v>
      </c>
      <c r="Y122" s="105">
        <v>45593</v>
      </c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54">
        <f>IF(OR(X122="",C122=""),"",NETWORKDAYS.INTL(C122,X122,1,'HELPER(Dont Delete)'!A:A))</f>
        <v>1</v>
      </c>
      <c r="AQ122" s="54">
        <f>IF(OR(X122="",Y122=""),"",NETWORKDAYS.INTL(X122,Y122,1,'HELPER(Dont Delete)'!A:A))</f>
        <v>2</v>
      </c>
      <c r="AR122" s="54" t="str">
        <f>IF(OR(Y122="",AA122=""),"",NETWORKDAYS.INTL(Y122,AA122,1,'HELPER(Dont Delete)'!A:A))</f>
        <v/>
      </c>
      <c r="AS122" s="60"/>
      <c r="AT122" s="60"/>
      <c r="AU122" s="60"/>
      <c r="AV122" s="60"/>
      <c r="AW122" s="60"/>
    </row>
    <row r="123" spans="1:49">
      <c r="A123" s="54">
        <v>123</v>
      </c>
      <c r="B123" s="108">
        <v>45551</v>
      </c>
      <c r="C123" s="108">
        <v>45590</v>
      </c>
      <c r="D123" s="60" t="s">
        <v>80</v>
      </c>
      <c r="E123" s="54" t="s">
        <v>219</v>
      </c>
      <c r="F123" s="54" t="s">
        <v>220</v>
      </c>
      <c r="G123" s="60" t="s">
        <v>925</v>
      </c>
      <c r="H123" s="60">
        <v>7893778077</v>
      </c>
      <c r="I123" s="60" t="s">
        <v>926</v>
      </c>
      <c r="J123" s="60" t="s">
        <v>822</v>
      </c>
      <c r="K123" s="60" t="s">
        <v>798</v>
      </c>
      <c r="L123" s="60" t="s">
        <v>798</v>
      </c>
      <c r="M123" s="60" t="s">
        <v>919</v>
      </c>
      <c r="N123" s="60" t="s">
        <v>927</v>
      </c>
      <c r="O123" s="60"/>
      <c r="P123" s="60"/>
      <c r="Q123" s="60" t="s">
        <v>856</v>
      </c>
      <c r="R123" s="60" t="s">
        <v>64</v>
      </c>
      <c r="S123" s="60"/>
      <c r="T123" s="60"/>
      <c r="U123" s="60" t="s">
        <v>703</v>
      </c>
      <c r="V123" s="104" t="s">
        <v>231</v>
      </c>
      <c r="W123" s="104"/>
      <c r="X123" s="105">
        <v>45590</v>
      </c>
      <c r="Y123" s="105">
        <v>45593</v>
      </c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54">
        <f>IF(OR(X123="",C123=""),"",NETWORKDAYS.INTL(C123,X123,1,'HELPER(Dont Delete)'!A:A))</f>
        <v>1</v>
      </c>
      <c r="AQ123" s="54">
        <f>IF(OR(X123="",Y123=""),"",NETWORKDAYS.INTL(X123,Y123,1,'HELPER(Dont Delete)'!A:A))</f>
        <v>2</v>
      </c>
      <c r="AR123" s="54" t="str">
        <f>IF(OR(Y123="",AA123=""),"",NETWORKDAYS.INTL(Y123,AA123,1,'HELPER(Dont Delete)'!A:A))</f>
        <v/>
      </c>
      <c r="AS123" s="60"/>
      <c r="AT123" s="60"/>
      <c r="AU123" s="60"/>
      <c r="AV123" s="60"/>
      <c r="AW123" s="60"/>
    </row>
    <row r="124" spans="1:49" ht="15.5">
      <c r="A124" s="54">
        <v>124</v>
      </c>
      <c r="B124" s="108">
        <v>45593</v>
      </c>
      <c r="C124" s="108">
        <v>45595</v>
      </c>
      <c r="D124" s="60" t="s">
        <v>89</v>
      </c>
      <c r="E124" s="54" t="s">
        <v>219</v>
      </c>
      <c r="F124" s="54" t="s">
        <v>220</v>
      </c>
      <c r="G124" s="114" t="s">
        <v>928</v>
      </c>
      <c r="H124" s="114">
        <v>9645694191</v>
      </c>
      <c r="I124" s="107" t="s">
        <v>929</v>
      </c>
      <c r="J124" s="114" t="s">
        <v>930</v>
      </c>
      <c r="K124" s="114">
        <v>10</v>
      </c>
      <c r="L124" s="114">
        <v>10</v>
      </c>
      <c r="M124" s="114" t="s">
        <v>931</v>
      </c>
      <c r="N124" s="114" t="s">
        <v>311</v>
      </c>
      <c r="O124" s="60"/>
      <c r="P124" s="60"/>
      <c r="Q124" s="114" t="s">
        <v>932</v>
      </c>
      <c r="R124" s="114" t="s">
        <v>933</v>
      </c>
      <c r="S124" s="114"/>
      <c r="T124" s="60"/>
      <c r="U124" s="60" t="s">
        <v>369</v>
      </c>
      <c r="V124" s="104" t="s">
        <v>231</v>
      </c>
      <c r="W124" s="104"/>
      <c r="X124" s="105">
        <v>45600</v>
      </c>
      <c r="Y124" s="119">
        <v>45622</v>
      </c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54">
        <f>IF(OR(X124="",C124=""),"",NETWORKDAYS.INTL(C124,X124,1,'HELPER(Dont Delete)'!A:A))</f>
        <v>3</v>
      </c>
      <c r="AQ124" s="54">
        <f>IF(OR(X124="",Y124=""),"",NETWORKDAYS.INTL(X124,Y124,1,'HELPER(Dont Delete)'!A:A))</f>
        <v>15</v>
      </c>
      <c r="AR124" s="54" t="str">
        <f>IF(OR(Y124="",AA124=""),"",NETWORKDAYS.INTL(Y124,AA124,1,'HELPER(Dont Delete)'!A:A))</f>
        <v/>
      </c>
      <c r="AS124" s="60"/>
      <c r="AT124" s="60"/>
      <c r="AU124" s="60"/>
      <c r="AV124" s="60"/>
      <c r="AW124" s="60"/>
    </row>
    <row r="125" spans="1:49" ht="15.5">
      <c r="A125" s="54">
        <v>125</v>
      </c>
      <c r="B125" s="108">
        <v>45593</v>
      </c>
      <c r="C125" s="108">
        <v>45595</v>
      </c>
      <c r="D125" s="60" t="s">
        <v>89</v>
      </c>
      <c r="E125" s="54" t="s">
        <v>219</v>
      </c>
      <c r="F125" s="54" t="s">
        <v>220</v>
      </c>
      <c r="G125" s="114" t="s">
        <v>934</v>
      </c>
      <c r="H125" s="114">
        <v>9502940898</v>
      </c>
      <c r="I125" s="107" t="s">
        <v>935</v>
      </c>
      <c r="J125" s="114" t="s">
        <v>930</v>
      </c>
      <c r="K125" s="114">
        <v>13</v>
      </c>
      <c r="L125" s="114">
        <v>13</v>
      </c>
      <c r="M125" s="114" t="s">
        <v>936</v>
      </c>
      <c r="N125" s="114" t="s">
        <v>311</v>
      </c>
      <c r="O125" s="60"/>
      <c r="P125" s="60"/>
      <c r="Q125" s="114" t="s">
        <v>937</v>
      </c>
      <c r="R125" s="114" t="s">
        <v>837</v>
      </c>
      <c r="S125" s="114"/>
      <c r="T125" s="60"/>
      <c r="U125" s="60" t="s">
        <v>369</v>
      </c>
      <c r="V125" s="104" t="s">
        <v>231</v>
      </c>
      <c r="W125" s="104"/>
      <c r="X125" s="105">
        <v>45600</v>
      </c>
      <c r="Y125" s="119">
        <v>45622</v>
      </c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54">
        <f>IF(OR(X125="",C125=""),"",NETWORKDAYS.INTL(C125,X125,1,'HELPER(Dont Delete)'!A:A))</f>
        <v>3</v>
      </c>
      <c r="AQ125" s="54">
        <f>IF(OR(X125="",Y125=""),"",NETWORKDAYS.INTL(X125,Y125,1,'HELPER(Dont Delete)'!A:A))</f>
        <v>15</v>
      </c>
      <c r="AR125" s="54" t="str">
        <f>IF(OR(Y125="",AA125=""),"",NETWORKDAYS.INTL(Y125,AA125,1,'HELPER(Dont Delete)'!A:A))</f>
        <v/>
      </c>
      <c r="AS125" s="60"/>
      <c r="AT125" s="60"/>
      <c r="AU125" s="60"/>
      <c r="AV125" s="60"/>
      <c r="AW125" s="60"/>
    </row>
    <row r="126" spans="1:49" ht="15.5">
      <c r="A126" s="54">
        <v>126</v>
      </c>
      <c r="B126" s="108">
        <v>45476</v>
      </c>
      <c r="C126" s="108">
        <v>45603</v>
      </c>
      <c r="D126" s="60" t="s">
        <v>69</v>
      </c>
      <c r="E126" s="54" t="s">
        <v>219</v>
      </c>
      <c r="F126" s="54" t="s">
        <v>220</v>
      </c>
      <c r="G126" s="60" t="s">
        <v>938</v>
      </c>
      <c r="H126" s="60">
        <v>9624001006</v>
      </c>
      <c r="I126" s="106" t="s">
        <v>939</v>
      </c>
      <c r="J126" s="114" t="s">
        <v>930</v>
      </c>
      <c r="K126" s="60" t="s">
        <v>940</v>
      </c>
      <c r="L126" s="60" t="s">
        <v>812</v>
      </c>
      <c r="M126" s="60" t="s">
        <v>941</v>
      </c>
      <c r="N126" s="114" t="s">
        <v>311</v>
      </c>
      <c r="O126" s="60" t="s">
        <v>942</v>
      </c>
      <c r="P126" s="60" t="s">
        <v>943</v>
      </c>
      <c r="Q126" s="60" t="s">
        <v>944</v>
      </c>
      <c r="R126" s="60" t="s">
        <v>945</v>
      </c>
      <c r="S126" s="60"/>
      <c r="T126" s="60"/>
      <c r="U126" s="60" t="s">
        <v>703</v>
      </c>
      <c r="V126" s="104" t="s">
        <v>339</v>
      </c>
      <c r="W126" s="104"/>
      <c r="X126" s="108">
        <v>45603</v>
      </c>
      <c r="Y126" s="108">
        <v>45607</v>
      </c>
      <c r="Z126" s="60"/>
      <c r="AA126" s="60"/>
      <c r="AB126" s="60"/>
      <c r="AC126" s="60"/>
      <c r="AD126" s="60"/>
      <c r="AE126" s="105">
        <v>45610</v>
      </c>
      <c r="AF126" s="60"/>
      <c r="AG126" s="60" t="s">
        <v>704</v>
      </c>
      <c r="AH126" s="60"/>
      <c r="AI126" s="60"/>
      <c r="AJ126" s="60"/>
      <c r="AK126" s="60"/>
      <c r="AL126" s="60"/>
      <c r="AM126" s="60"/>
      <c r="AN126" s="60"/>
      <c r="AO126" s="60"/>
      <c r="AP126" s="54">
        <f>IF(OR(X126="",C126=""),"",NETWORKDAYS.INTL(C126,X126,1,'HELPER(Dont Delete)'!A:A))</f>
        <v>0</v>
      </c>
      <c r="AQ126" s="54">
        <f>IF(OR(X126="",Y126=""),"",NETWORKDAYS.INTL(X126,Y126,1,'HELPER(Dont Delete)'!A:A))</f>
        <v>2</v>
      </c>
      <c r="AR126" s="54" t="str">
        <f>IF(OR(Y126="",AA126=""),"",NETWORKDAYS.INTL(Y126,AA126,1,'HELPER(Dont Delete)'!A:A))</f>
        <v/>
      </c>
      <c r="AS126" s="60"/>
      <c r="AT126" s="60"/>
      <c r="AU126" s="60"/>
      <c r="AV126" s="60"/>
      <c r="AW126" s="60"/>
    </row>
    <row r="127" spans="1:49" ht="15.5">
      <c r="A127" s="54">
        <v>127</v>
      </c>
      <c r="B127" s="108">
        <v>45593</v>
      </c>
      <c r="C127" s="108">
        <v>45604</v>
      </c>
      <c r="D127" s="60" t="s">
        <v>84</v>
      </c>
      <c r="E127" s="54" t="s">
        <v>219</v>
      </c>
      <c r="F127" s="54" t="s">
        <v>220</v>
      </c>
      <c r="G127" s="60" t="s">
        <v>946</v>
      </c>
      <c r="H127" s="60">
        <v>8954344140</v>
      </c>
      <c r="I127" s="60" t="s">
        <v>947</v>
      </c>
      <c r="J127" s="60" t="s">
        <v>948</v>
      </c>
      <c r="K127" s="60" t="s">
        <v>949</v>
      </c>
      <c r="L127" s="60" t="s">
        <v>949</v>
      </c>
      <c r="M127" s="60" t="s">
        <v>950</v>
      </c>
      <c r="N127" s="114" t="s">
        <v>311</v>
      </c>
      <c r="O127" s="60" t="s">
        <v>951</v>
      </c>
      <c r="P127" s="60" t="s">
        <v>952</v>
      </c>
      <c r="Q127" s="60" t="s">
        <v>856</v>
      </c>
      <c r="R127" s="60" t="s">
        <v>664</v>
      </c>
      <c r="S127" s="60"/>
      <c r="T127" s="60"/>
      <c r="U127" s="60" t="s">
        <v>703</v>
      </c>
      <c r="V127" s="104" t="s">
        <v>291</v>
      </c>
      <c r="W127" s="104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54" t="str">
        <f>IF(OR(X127="",C127=""),"",NETWORKDAYS.INTL(C127,X127,1,'HELPER(Dont Delete)'!A:A))</f>
        <v/>
      </c>
      <c r="AQ127" s="54" t="str">
        <f>IF(OR(X127="",Y127=""),"",NETWORKDAYS.INTL(X127,Y127,1,'HELPER(Dont Delete)'!A:A))</f>
        <v/>
      </c>
      <c r="AR127" s="54" t="str">
        <f>IF(OR(Y127="",AA127=""),"",NETWORKDAYS.INTL(Y127,AA127,1,'HELPER(Dont Delete)'!A:A))</f>
        <v/>
      </c>
      <c r="AS127" s="60"/>
      <c r="AT127" s="60"/>
      <c r="AU127" s="60"/>
      <c r="AV127" s="60"/>
      <c r="AW127" s="60"/>
    </row>
    <row r="128" spans="1:49" ht="15.5">
      <c r="A128" s="54">
        <v>128</v>
      </c>
      <c r="B128" s="108">
        <v>45593</v>
      </c>
      <c r="C128" s="108">
        <v>45604</v>
      </c>
      <c r="D128" s="60" t="s">
        <v>84</v>
      </c>
      <c r="E128" s="54" t="s">
        <v>219</v>
      </c>
      <c r="F128" s="54" t="s">
        <v>220</v>
      </c>
      <c r="G128" s="60" t="s">
        <v>953</v>
      </c>
      <c r="H128" s="60">
        <v>8007777096</v>
      </c>
      <c r="I128" s="60" t="s">
        <v>954</v>
      </c>
      <c r="J128" s="60" t="s">
        <v>948</v>
      </c>
      <c r="K128" s="60" t="s">
        <v>955</v>
      </c>
      <c r="L128" s="60" t="s">
        <v>955</v>
      </c>
      <c r="M128" s="60" t="s">
        <v>956</v>
      </c>
      <c r="N128" s="114" t="s">
        <v>311</v>
      </c>
      <c r="O128" s="60" t="s">
        <v>957</v>
      </c>
      <c r="P128" s="60" t="s">
        <v>958</v>
      </c>
      <c r="Q128" s="60" t="s">
        <v>959</v>
      </c>
      <c r="R128" s="60" t="s">
        <v>960</v>
      </c>
      <c r="S128" s="60"/>
      <c r="T128" s="60"/>
      <c r="U128" s="60" t="s">
        <v>703</v>
      </c>
      <c r="V128" s="104" t="s">
        <v>758</v>
      </c>
      <c r="W128" s="104" t="s">
        <v>741</v>
      </c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54" t="str">
        <f>IF(OR(X128="",C128=""),"",NETWORKDAYS.INTL(C128,X128,1,'HELPER(Dont Delete)'!A:A))</f>
        <v/>
      </c>
      <c r="AQ128" s="54" t="str">
        <f>IF(OR(X128="",Y128=""),"",NETWORKDAYS.INTL(X128,Y128,1,'HELPER(Dont Delete)'!A:A))</f>
        <v/>
      </c>
      <c r="AR128" s="54" t="str">
        <f>IF(OR(Y128="",AA128=""),"",NETWORKDAYS.INTL(Y128,AA128,1,'HELPER(Dont Delete)'!A:A))</f>
        <v/>
      </c>
      <c r="AS128" s="60"/>
      <c r="AT128" s="60"/>
      <c r="AU128" s="60"/>
      <c r="AV128" s="60"/>
      <c r="AW128" s="60"/>
    </row>
    <row r="129" spans="1:49">
      <c r="A129" s="54">
        <v>129</v>
      </c>
      <c r="B129" s="108">
        <v>45593</v>
      </c>
      <c r="C129" s="108">
        <v>45615</v>
      </c>
      <c r="D129" s="60" t="s">
        <v>84</v>
      </c>
      <c r="E129" s="54" t="s">
        <v>219</v>
      </c>
      <c r="F129" s="54" t="s">
        <v>220</v>
      </c>
      <c r="G129" s="60" t="s">
        <v>961</v>
      </c>
      <c r="H129" s="60">
        <v>9527137230</v>
      </c>
      <c r="I129" s="60" t="s">
        <v>962</v>
      </c>
      <c r="J129" s="60" t="s">
        <v>948</v>
      </c>
      <c r="K129" s="60" t="s">
        <v>963</v>
      </c>
      <c r="L129" s="60" t="s">
        <v>964</v>
      </c>
      <c r="M129" s="60" t="s">
        <v>965</v>
      </c>
      <c r="N129" s="60" t="s">
        <v>807</v>
      </c>
      <c r="O129" s="60"/>
      <c r="P129" s="60"/>
      <c r="Q129" s="60" t="s">
        <v>856</v>
      </c>
      <c r="R129" s="60" t="s">
        <v>966</v>
      </c>
      <c r="S129" s="60"/>
      <c r="T129" s="60"/>
      <c r="U129" s="60" t="s">
        <v>703</v>
      </c>
      <c r="V129" s="104" t="s">
        <v>704</v>
      </c>
      <c r="W129" s="61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54" t="str">
        <f>IF(OR(X129="",C129=""),"",NETWORKDAYS.INTL(C129,X129,1,'HELPER(Dont Delete)'!A:A))</f>
        <v/>
      </c>
      <c r="AQ129" s="54" t="str">
        <f>IF(OR(X129="",Y129=""),"",NETWORKDAYS.INTL(X129,Y129,1,'HELPER(Dont Delete)'!A:A))</f>
        <v/>
      </c>
      <c r="AR129" s="54" t="str">
        <f>IF(OR(Y129="",AA129=""),"",NETWORKDAYS.INTL(Y129,AA129,1,'HELPER(Dont Delete)'!A:A))</f>
        <v/>
      </c>
      <c r="AS129" s="60"/>
      <c r="AT129" s="60"/>
      <c r="AU129" s="60"/>
      <c r="AV129" s="60"/>
      <c r="AW129" s="60"/>
    </row>
    <row r="130" spans="1:49">
      <c r="A130" s="54">
        <v>130</v>
      </c>
      <c r="B130" s="108">
        <v>45593</v>
      </c>
      <c r="C130" s="108">
        <v>45615</v>
      </c>
      <c r="D130" s="60" t="s">
        <v>84</v>
      </c>
      <c r="E130" s="54" t="s">
        <v>219</v>
      </c>
      <c r="F130" s="54" t="s">
        <v>220</v>
      </c>
      <c r="G130" s="60" t="s">
        <v>967</v>
      </c>
      <c r="H130" s="60">
        <v>9604500444</v>
      </c>
      <c r="I130" s="60" t="s">
        <v>968</v>
      </c>
      <c r="J130" s="60" t="s">
        <v>948</v>
      </c>
      <c r="K130" s="60" t="s">
        <v>969</v>
      </c>
      <c r="L130" s="60" t="s">
        <v>969</v>
      </c>
      <c r="M130" s="60" t="s">
        <v>970</v>
      </c>
      <c r="N130" s="60"/>
      <c r="O130" s="60"/>
      <c r="P130" s="60"/>
      <c r="Q130" s="60" t="s">
        <v>971</v>
      </c>
      <c r="R130" s="60" t="s">
        <v>972</v>
      </c>
      <c r="S130" s="60"/>
      <c r="T130" s="60"/>
      <c r="U130" s="60" t="s">
        <v>703</v>
      </c>
      <c r="V130" s="104" t="s">
        <v>758</v>
      </c>
      <c r="W130" s="104" t="s">
        <v>741</v>
      </c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54" t="str">
        <f>IF(OR(X130="",C130=""),"",NETWORKDAYS.INTL(C130,X130,1,'HELPER(Dont Delete)'!A:A))</f>
        <v/>
      </c>
      <c r="AQ130" s="54" t="str">
        <f>IF(OR(X130="",Y130=""),"",NETWORKDAYS.INTL(X130,Y130,1,'HELPER(Dont Delete)'!A:A))</f>
        <v/>
      </c>
      <c r="AR130" s="54" t="str">
        <f>IF(OR(Y130="",AA130=""),"",NETWORKDAYS.INTL(Y130,AA130,1,'HELPER(Dont Delete)'!A:A))</f>
        <v/>
      </c>
      <c r="AS130" s="60"/>
      <c r="AT130" s="60"/>
      <c r="AU130" s="60"/>
      <c r="AV130" s="60"/>
      <c r="AW130" s="60"/>
    </row>
    <row r="131" spans="1:49">
      <c r="A131" s="60">
        <v>131</v>
      </c>
      <c r="B131" s="108">
        <v>45593</v>
      </c>
      <c r="C131" s="108">
        <v>45615</v>
      </c>
      <c r="D131" s="60" t="s">
        <v>84</v>
      </c>
      <c r="E131" s="54" t="s">
        <v>219</v>
      </c>
      <c r="F131" s="54" t="s">
        <v>220</v>
      </c>
      <c r="G131" s="60" t="s">
        <v>973</v>
      </c>
      <c r="H131" s="60">
        <v>9318579096</v>
      </c>
      <c r="I131" s="107" t="s">
        <v>974</v>
      </c>
      <c r="J131" s="60" t="s">
        <v>948</v>
      </c>
      <c r="K131" s="60" t="s">
        <v>975</v>
      </c>
      <c r="L131" s="60" t="s">
        <v>975</v>
      </c>
      <c r="M131" s="60" t="s">
        <v>976</v>
      </c>
      <c r="N131" s="60" t="s">
        <v>825</v>
      </c>
      <c r="O131" s="60"/>
      <c r="P131" s="60"/>
      <c r="Q131" s="60" t="s">
        <v>977</v>
      </c>
      <c r="R131" s="60" t="s">
        <v>978</v>
      </c>
      <c r="S131" s="60"/>
      <c r="T131" s="60"/>
      <c r="U131" s="60" t="s">
        <v>703</v>
      </c>
      <c r="V131" s="61" t="s">
        <v>704</v>
      </c>
      <c r="W131" s="61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54" t="str">
        <f>IF(OR(X131="",C131=""),"",NETWORKDAYS.INTL(C131,X131,1,'HELPER(Dont Delete)'!A:A))</f>
        <v/>
      </c>
      <c r="AQ131" s="54" t="str">
        <f>IF(OR(X131="",Y131=""),"",NETWORKDAYS.INTL(X131,Y131,1,'HELPER(Dont Delete)'!A:A))</f>
        <v/>
      </c>
      <c r="AR131" s="54" t="str">
        <f>IF(OR(Y131="",AA131=""),"",NETWORKDAYS.INTL(Y131,AA131,1,'HELPER(Dont Delete)'!A:A))</f>
        <v/>
      </c>
      <c r="AS131" s="60"/>
      <c r="AT131" s="60"/>
      <c r="AU131" s="60"/>
      <c r="AV131" s="60"/>
      <c r="AW131" s="60"/>
    </row>
    <row r="132" spans="1:49" ht="15.5">
      <c r="A132" s="54">
        <v>132</v>
      </c>
      <c r="B132" s="108">
        <v>45593</v>
      </c>
      <c r="C132" s="108">
        <v>45629</v>
      </c>
      <c r="D132" s="60" t="s">
        <v>84</v>
      </c>
      <c r="E132" s="54" t="s">
        <v>219</v>
      </c>
      <c r="F132" s="54" t="s">
        <v>220</v>
      </c>
      <c r="G132" s="60" t="s">
        <v>979</v>
      </c>
      <c r="H132" s="117">
        <v>9821690105</v>
      </c>
      <c r="I132" s="106" t="s">
        <v>980</v>
      </c>
      <c r="J132" s="60" t="s">
        <v>948</v>
      </c>
      <c r="K132" s="60" t="s">
        <v>981</v>
      </c>
      <c r="L132" s="60" t="s">
        <v>981</v>
      </c>
      <c r="M132" s="117" t="s">
        <v>982</v>
      </c>
      <c r="N132" s="60" t="s">
        <v>537</v>
      </c>
      <c r="O132" s="60" t="s">
        <v>983</v>
      </c>
      <c r="P132" s="60" t="s">
        <v>984</v>
      </c>
      <c r="Q132" s="60" t="s">
        <v>985</v>
      </c>
      <c r="R132" s="60" t="s">
        <v>960</v>
      </c>
      <c r="S132" s="60"/>
      <c r="T132" s="60"/>
      <c r="U132" s="60" t="s">
        <v>703</v>
      </c>
      <c r="V132" s="104" t="s">
        <v>783</v>
      </c>
      <c r="W132" s="104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54" t="str">
        <f>IF(OR(X132="",C132=""),"",NETWORKDAYS.INTL(C132,X132,1,'HELPER(Dont Delete)'!A:A))</f>
        <v/>
      </c>
      <c r="AQ132" s="54" t="str">
        <f>IF(OR(X132="",Y132=""),"",NETWORKDAYS.INTL(X132,Y132,1,'HELPER(Dont Delete)'!A:A))</f>
        <v/>
      </c>
      <c r="AR132" s="54" t="str">
        <f>IF(OR(Y132="",AA132=""),"",NETWORKDAYS.INTL(Y132,AA132,1,'HELPER(Dont Delete)'!A:A))</f>
        <v/>
      </c>
      <c r="AS132" s="60"/>
      <c r="AT132" s="60"/>
      <c r="AU132" s="60"/>
      <c r="AV132" s="60"/>
      <c r="AW132" s="60"/>
    </row>
    <row r="133" spans="1:49">
      <c r="A133" s="60">
        <v>133</v>
      </c>
      <c r="B133" s="108">
        <v>45593</v>
      </c>
      <c r="C133" s="108">
        <v>45629</v>
      </c>
      <c r="D133" s="60" t="s">
        <v>84</v>
      </c>
      <c r="E133" s="54" t="s">
        <v>219</v>
      </c>
      <c r="F133" s="54" t="s">
        <v>220</v>
      </c>
      <c r="G133" s="60" t="s">
        <v>986</v>
      </c>
      <c r="H133" s="60">
        <v>9012767543</v>
      </c>
      <c r="I133" s="106" t="s">
        <v>987</v>
      </c>
      <c r="J133" s="60" t="s">
        <v>948</v>
      </c>
      <c r="K133" s="60" t="s">
        <v>988</v>
      </c>
      <c r="L133" s="60" t="s">
        <v>988</v>
      </c>
      <c r="M133" s="118" t="s">
        <v>989</v>
      </c>
      <c r="N133" s="60" t="s">
        <v>892</v>
      </c>
      <c r="O133" s="60" t="s">
        <v>990</v>
      </c>
      <c r="P133" s="60" t="s">
        <v>991</v>
      </c>
      <c r="Q133" s="60" t="s">
        <v>992</v>
      </c>
      <c r="R133" s="60" t="s">
        <v>993</v>
      </c>
      <c r="S133" s="60"/>
      <c r="T133" s="60"/>
      <c r="U133" s="60" t="s">
        <v>703</v>
      </c>
      <c r="V133" s="104" t="s">
        <v>758</v>
      </c>
      <c r="W133" s="104" t="s">
        <v>741</v>
      </c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54" t="str">
        <f>IF(OR(X133="",C133=""),"",NETWORKDAYS.INTL(C133,X133,1,'HELPER(Dont Delete)'!A:A))</f>
        <v/>
      </c>
      <c r="AQ133" s="54" t="str">
        <f>IF(OR(X133="",Y133=""),"",NETWORKDAYS.INTL(X133,Y133,1,'HELPER(Dont Delete)'!A:A))</f>
        <v/>
      </c>
      <c r="AR133" s="54" t="str">
        <f>IF(OR(Y133="",AA133=""),"",NETWORKDAYS.INTL(Y133,AA133,1,'HELPER(Dont Delete)'!A:A))</f>
        <v/>
      </c>
      <c r="AS133" s="60"/>
      <c r="AT133" s="60"/>
      <c r="AU133" s="60"/>
      <c r="AV133" s="60"/>
      <c r="AW133" s="60"/>
    </row>
    <row r="134" spans="1:49" ht="15.5">
      <c r="A134" s="54">
        <v>134</v>
      </c>
      <c r="B134" s="108">
        <v>45629</v>
      </c>
      <c r="C134" s="108">
        <v>45630</v>
      </c>
      <c r="D134" s="60" t="s">
        <v>89</v>
      </c>
      <c r="E134" s="54" t="s">
        <v>219</v>
      </c>
      <c r="F134" s="54" t="s">
        <v>220</v>
      </c>
      <c r="G134" s="46" t="s">
        <v>994</v>
      </c>
      <c r="H134" s="46">
        <v>9871338673</v>
      </c>
      <c r="I134" s="107" t="s">
        <v>995</v>
      </c>
      <c r="J134" s="114" t="s">
        <v>930</v>
      </c>
      <c r="K134" s="60" t="s">
        <v>964</v>
      </c>
      <c r="L134" s="60" t="s">
        <v>964</v>
      </c>
      <c r="M134" s="46" t="s">
        <v>996</v>
      </c>
      <c r="N134" s="46" t="s">
        <v>756</v>
      </c>
      <c r="O134" s="46" t="s">
        <v>997</v>
      </c>
      <c r="P134" s="46" t="s">
        <v>998</v>
      </c>
      <c r="Q134" s="46" t="s">
        <v>999</v>
      </c>
      <c r="R134" s="46" t="s">
        <v>299</v>
      </c>
      <c r="S134" s="46"/>
      <c r="T134" s="60"/>
      <c r="U134" s="60" t="s">
        <v>369</v>
      </c>
      <c r="V134" s="104" t="s">
        <v>231</v>
      </c>
      <c r="W134" s="104"/>
      <c r="X134" s="60"/>
      <c r="Y134" s="108">
        <v>45657</v>
      </c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54" t="str">
        <f>IF(OR(X134="",C134=""),"",NETWORKDAYS.INTL(C134,X134,1,'HELPER(Dont Delete)'!A:A))</f>
        <v/>
      </c>
      <c r="AQ134" s="54" t="str">
        <f>IF(OR(X134="",Y134=""),"",NETWORKDAYS.INTL(X134,Y134,1,'HELPER(Dont Delete)'!A:A))</f>
        <v/>
      </c>
      <c r="AR134" s="54" t="str">
        <f>IF(OR(Y134="",AA134=""),"",NETWORKDAYS.INTL(Y134,AA134,1,'HELPER(Dont Delete)'!A:A))</f>
        <v/>
      </c>
      <c r="AS134" s="60"/>
      <c r="AT134" s="60"/>
      <c r="AU134" s="60"/>
      <c r="AV134" s="60"/>
      <c r="AW134" s="60"/>
    </row>
    <row r="135" spans="1:49" ht="15.5">
      <c r="A135" s="54">
        <v>135</v>
      </c>
      <c r="B135" s="108">
        <v>45629</v>
      </c>
      <c r="C135" s="108">
        <v>45630</v>
      </c>
      <c r="D135" s="60" t="s">
        <v>89</v>
      </c>
      <c r="E135" s="54" t="s">
        <v>219</v>
      </c>
      <c r="F135" s="54" t="s">
        <v>220</v>
      </c>
      <c r="G135" s="46" t="s">
        <v>1000</v>
      </c>
      <c r="H135" s="46">
        <v>9987602689</v>
      </c>
      <c r="I135" s="107" t="s">
        <v>1001</v>
      </c>
      <c r="J135" s="114" t="s">
        <v>930</v>
      </c>
      <c r="K135" s="60" t="s">
        <v>823</v>
      </c>
      <c r="L135" s="60" t="s">
        <v>823</v>
      </c>
      <c r="M135" s="46" t="s">
        <v>1002</v>
      </c>
      <c r="N135" s="46" t="s">
        <v>1003</v>
      </c>
      <c r="O135" s="46" t="s">
        <v>1004</v>
      </c>
      <c r="P135" s="46" t="s">
        <v>365</v>
      </c>
      <c r="Q135" s="46" t="s">
        <v>1005</v>
      </c>
      <c r="R135" s="46" t="s">
        <v>76</v>
      </c>
      <c r="S135" s="46"/>
      <c r="T135" s="60"/>
      <c r="U135" s="60" t="s">
        <v>369</v>
      </c>
      <c r="V135" s="61" t="s">
        <v>291</v>
      </c>
      <c r="W135" s="61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54" t="str">
        <f>IF(OR(X135="",C135=""),"",NETWORKDAYS.INTL(C135,X135,1,'HELPER(Dont Delete)'!A:A))</f>
        <v/>
      </c>
      <c r="AQ135" s="54" t="str">
        <f>IF(OR(X135="",Y135=""),"",NETWORKDAYS.INTL(X135,Y135,1,'HELPER(Dont Delete)'!A:A))</f>
        <v/>
      </c>
      <c r="AR135" s="54" t="str">
        <f>IF(OR(Y135="",AA135=""),"",NETWORKDAYS.INTL(Y135,AA135,1,'HELPER(Dont Delete)'!A:A))</f>
        <v/>
      </c>
      <c r="AS135" s="60"/>
      <c r="AT135" s="60"/>
      <c r="AU135" s="60"/>
      <c r="AV135" s="60"/>
      <c r="AW135" s="60"/>
    </row>
    <row r="136" spans="1:49" ht="15.5">
      <c r="A136" s="60">
        <v>136</v>
      </c>
      <c r="B136" s="108">
        <v>45476</v>
      </c>
      <c r="C136" s="108">
        <v>45630</v>
      </c>
      <c r="D136" s="60" t="s">
        <v>69</v>
      </c>
      <c r="E136" s="54" t="s">
        <v>219</v>
      </c>
      <c r="F136" s="54" t="s">
        <v>220</v>
      </c>
      <c r="G136" s="60" t="s">
        <v>1006</v>
      </c>
      <c r="H136" s="46">
        <v>9503835300</v>
      </c>
      <c r="I136" s="106" t="s">
        <v>1007</v>
      </c>
      <c r="J136" s="114" t="s">
        <v>930</v>
      </c>
      <c r="K136" s="120" t="s">
        <v>1008</v>
      </c>
      <c r="L136" s="120" t="s">
        <v>1009</v>
      </c>
      <c r="M136" s="120" t="s">
        <v>1010</v>
      </c>
      <c r="N136" s="60" t="s">
        <v>537</v>
      </c>
      <c r="O136" s="120" t="s">
        <v>70</v>
      </c>
      <c r="P136" s="120" t="s">
        <v>75</v>
      </c>
      <c r="Q136" s="60" t="s">
        <v>731</v>
      </c>
      <c r="R136" s="60" t="s">
        <v>564</v>
      </c>
      <c r="S136" s="60"/>
      <c r="T136" s="60"/>
      <c r="U136" s="60" t="s">
        <v>353</v>
      </c>
      <c r="V136" s="61" t="s">
        <v>1011</v>
      </c>
      <c r="W136" s="61" t="s">
        <v>741</v>
      </c>
      <c r="X136" s="60"/>
      <c r="Y136" s="108">
        <v>45636</v>
      </c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54" t="str">
        <f>IF(OR(X136="",C136=""),"",NETWORKDAYS.INTL(C136,X136,1,'HELPER(Dont Delete)'!A:A))</f>
        <v/>
      </c>
      <c r="AQ136" s="54" t="str">
        <f>IF(OR(X136="",Y136=""),"",NETWORKDAYS.INTL(X136,Y136,1,'HELPER(Dont Delete)'!A:A))</f>
        <v/>
      </c>
      <c r="AR136" s="54" t="str">
        <f>IF(OR(Y136="",AA136=""),"",NETWORKDAYS.INTL(Y136,AA136,1,'HELPER(Dont Delete)'!A:A))</f>
        <v/>
      </c>
      <c r="AS136" s="60"/>
      <c r="AT136" s="60"/>
      <c r="AU136" s="60"/>
      <c r="AV136" s="60"/>
      <c r="AW136" s="60"/>
    </row>
    <row r="137" spans="1:49" ht="15.5">
      <c r="A137" s="54">
        <v>137</v>
      </c>
      <c r="B137" s="108">
        <v>45476</v>
      </c>
      <c r="C137" s="108">
        <v>45630</v>
      </c>
      <c r="D137" s="60" t="s">
        <v>69</v>
      </c>
      <c r="E137" s="54" t="s">
        <v>219</v>
      </c>
      <c r="F137" s="54" t="s">
        <v>220</v>
      </c>
      <c r="G137" s="60" t="s">
        <v>1012</v>
      </c>
      <c r="H137" s="60">
        <v>8574389998</v>
      </c>
      <c r="I137" s="106" t="s">
        <v>1013</v>
      </c>
      <c r="J137" s="114" t="s">
        <v>930</v>
      </c>
      <c r="K137" s="60" t="s">
        <v>1014</v>
      </c>
      <c r="L137" s="60" t="s">
        <v>1014</v>
      </c>
      <c r="M137" s="60" t="s">
        <v>1015</v>
      </c>
      <c r="N137" s="60" t="s">
        <v>1016</v>
      </c>
      <c r="O137" s="60" t="s">
        <v>1017</v>
      </c>
      <c r="P137" s="60" t="s">
        <v>991</v>
      </c>
      <c r="Q137" s="60" t="s">
        <v>856</v>
      </c>
      <c r="R137" s="60" t="s">
        <v>960</v>
      </c>
      <c r="S137" s="60"/>
      <c r="T137" s="60"/>
      <c r="U137" s="60" t="s">
        <v>703</v>
      </c>
      <c r="V137" s="61" t="s">
        <v>808</v>
      </c>
      <c r="W137" s="61" t="s">
        <v>809</v>
      </c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54" t="str">
        <f>IF(OR(X137="",C137=""),"",NETWORKDAYS.INTL(C137,X137,1,'HELPER(Dont Delete)'!A:A))</f>
        <v/>
      </c>
      <c r="AQ137" s="54" t="str">
        <f>IF(OR(X137="",Y137=""),"",NETWORKDAYS.INTL(X137,Y137,1,'HELPER(Dont Delete)'!A:A))</f>
        <v/>
      </c>
      <c r="AR137" s="54" t="str">
        <f>IF(OR(Y137="",AA137=""),"",NETWORKDAYS.INTL(Y137,AA137,1,'HELPER(Dont Delete)'!A:A))</f>
        <v/>
      </c>
      <c r="AS137" s="60"/>
      <c r="AT137" s="60"/>
      <c r="AU137" s="60"/>
      <c r="AV137" s="60"/>
      <c r="AW137" s="60"/>
    </row>
    <row r="138" spans="1:49" ht="15.5">
      <c r="A138" s="60">
        <v>138</v>
      </c>
      <c r="B138" s="108">
        <v>45628</v>
      </c>
      <c r="C138" s="108">
        <v>45630</v>
      </c>
      <c r="D138" s="60" t="s">
        <v>92</v>
      </c>
      <c r="E138" s="54" t="s">
        <v>219</v>
      </c>
      <c r="F138" s="54" t="s">
        <v>220</v>
      </c>
      <c r="G138" s="121" t="s">
        <v>1018</v>
      </c>
      <c r="H138" s="121">
        <v>8667656502</v>
      </c>
      <c r="I138" s="107" t="s">
        <v>1019</v>
      </c>
      <c r="J138" s="114" t="s">
        <v>930</v>
      </c>
      <c r="K138" s="121" t="s">
        <v>1020</v>
      </c>
      <c r="L138" s="121" t="s">
        <v>686</v>
      </c>
      <c r="M138" s="46" t="s">
        <v>1021</v>
      </c>
      <c r="N138" s="124" t="s">
        <v>1022</v>
      </c>
      <c r="O138" s="122" t="s">
        <v>1023</v>
      </c>
      <c r="P138" s="122" t="s">
        <v>1023</v>
      </c>
      <c r="Q138" s="121" t="s">
        <v>366</v>
      </c>
      <c r="R138" s="121" t="s">
        <v>95</v>
      </c>
      <c r="S138" s="121"/>
      <c r="T138" s="60"/>
      <c r="U138" s="60" t="s">
        <v>671</v>
      </c>
      <c r="V138" s="61" t="s">
        <v>339</v>
      </c>
      <c r="W138" s="61" t="s">
        <v>54</v>
      </c>
      <c r="X138" s="60"/>
      <c r="Y138" s="108">
        <v>45637</v>
      </c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54" t="str">
        <f>IF(OR(X138="",C138=""),"",NETWORKDAYS.INTL(C138,X138,1,'HELPER(Dont Delete)'!A:A))</f>
        <v/>
      </c>
      <c r="AQ138" s="54" t="str">
        <f>IF(OR(X138="",Y138=""),"",NETWORKDAYS.INTL(X138,Y138,1,'HELPER(Dont Delete)'!A:A))</f>
        <v/>
      </c>
      <c r="AR138" s="54" t="str">
        <f>IF(OR(Y138="",AA138=""),"",NETWORKDAYS.INTL(Y138,AA138,1,'HELPER(Dont Delete)'!A:A))</f>
        <v/>
      </c>
      <c r="AS138" s="60"/>
      <c r="AT138" s="60"/>
      <c r="AU138" s="60"/>
      <c r="AV138" s="60"/>
      <c r="AW138" s="60"/>
    </row>
    <row r="139" spans="1:49" ht="15.5">
      <c r="A139" s="54">
        <v>139</v>
      </c>
      <c r="B139" s="108">
        <v>45593</v>
      </c>
      <c r="C139" s="108">
        <v>45630</v>
      </c>
      <c r="D139" s="60" t="s">
        <v>84</v>
      </c>
      <c r="E139" s="54" t="s">
        <v>219</v>
      </c>
      <c r="F139" s="54" t="s">
        <v>220</v>
      </c>
      <c r="G139" s="60" t="s">
        <v>1024</v>
      </c>
      <c r="H139" s="60">
        <v>8879462119</v>
      </c>
      <c r="I139" s="106" t="s">
        <v>1025</v>
      </c>
      <c r="J139" s="60" t="s">
        <v>948</v>
      </c>
      <c r="K139" s="60" t="s">
        <v>1026</v>
      </c>
      <c r="L139" s="60" t="s">
        <v>1026</v>
      </c>
      <c r="M139" s="123" t="s">
        <v>1027</v>
      </c>
      <c r="N139" s="60" t="s">
        <v>1028</v>
      </c>
      <c r="O139" s="60" t="s">
        <v>1029</v>
      </c>
      <c r="P139" s="60" t="s">
        <v>1030</v>
      </c>
      <c r="Q139" s="60" t="s">
        <v>944</v>
      </c>
      <c r="R139" s="60" t="s">
        <v>1031</v>
      </c>
      <c r="S139" s="60"/>
      <c r="T139" s="60"/>
      <c r="U139" s="60" t="s">
        <v>703</v>
      </c>
      <c r="V139" s="104" t="s">
        <v>758</v>
      </c>
      <c r="W139" s="104" t="s">
        <v>741</v>
      </c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54" t="str">
        <f>IF(OR(X139="",C139=""),"",NETWORKDAYS.INTL(C139,X139,1,'HELPER(Dont Delete)'!A:A))</f>
        <v/>
      </c>
      <c r="AQ139" s="54" t="str">
        <f>IF(OR(X139="",Y139=""),"",NETWORKDAYS.INTL(X139,Y139,1,'HELPER(Dont Delete)'!A:A))</f>
        <v/>
      </c>
      <c r="AR139" s="54" t="str">
        <f>IF(OR(Y139="",AA139=""),"",NETWORKDAYS.INTL(Y139,AA139,1,'HELPER(Dont Delete)'!A:A))</f>
        <v/>
      </c>
      <c r="AS139" s="60"/>
      <c r="AT139" s="60"/>
      <c r="AU139" s="60"/>
      <c r="AV139" s="60"/>
      <c r="AW139" s="60"/>
    </row>
    <row r="140" spans="1:49" ht="15.5">
      <c r="A140" s="54">
        <v>140</v>
      </c>
      <c r="B140" s="108">
        <v>45628</v>
      </c>
      <c r="C140" s="108">
        <v>45631</v>
      </c>
      <c r="D140" s="60" t="s">
        <v>92</v>
      </c>
      <c r="E140" s="54" t="s">
        <v>219</v>
      </c>
      <c r="F140" s="54" t="s">
        <v>220</v>
      </c>
      <c r="G140" s="121" t="s">
        <v>1032</v>
      </c>
      <c r="H140" s="121">
        <v>9677018497</v>
      </c>
      <c r="I140" s="107" t="s">
        <v>1033</v>
      </c>
      <c r="J140" s="114" t="s">
        <v>930</v>
      </c>
      <c r="K140" s="121" t="s">
        <v>744</v>
      </c>
      <c r="L140" s="121" t="s">
        <v>680</v>
      </c>
      <c r="M140" s="46" t="s">
        <v>1034</v>
      </c>
      <c r="N140" s="60" t="s">
        <v>537</v>
      </c>
      <c r="O140" s="60"/>
      <c r="P140" s="60"/>
      <c r="Q140" s="121" t="s">
        <v>456</v>
      </c>
      <c r="R140" s="121" t="s">
        <v>1035</v>
      </c>
      <c r="S140" s="121"/>
      <c r="T140" s="60"/>
      <c r="U140" s="60" t="s">
        <v>671</v>
      </c>
      <c r="V140" s="61" t="s">
        <v>291</v>
      </c>
      <c r="W140" s="61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54" t="str">
        <f>IF(OR(X140="",C140=""),"",NETWORKDAYS.INTL(C140,X140,1,'HELPER(Dont Delete)'!A:A))</f>
        <v/>
      </c>
      <c r="AQ140" s="54" t="str">
        <f>IF(OR(X140="",Y140=""),"",NETWORKDAYS.INTL(X140,Y140,1,'HELPER(Dont Delete)'!A:A))</f>
        <v/>
      </c>
      <c r="AR140" s="54" t="str">
        <f>IF(OR(Y140="",AA140=""),"",NETWORKDAYS.INTL(Y140,AA140,1,'HELPER(Dont Delete)'!A:A))</f>
        <v/>
      </c>
      <c r="AS140" s="60"/>
      <c r="AT140" s="60"/>
      <c r="AU140" s="60"/>
      <c r="AV140" s="60"/>
      <c r="AW140" s="60"/>
    </row>
    <row r="141" spans="1:49" ht="15.5">
      <c r="A141" s="60">
        <v>141</v>
      </c>
      <c r="B141" s="108">
        <v>45476</v>
      </c>
      <c r="C141" s="108">
        <v>45631</v>
      </c>
      <c r="D141" s="60" t="s">
        <v>69</v>
      </c>
      <c r="E141" s="54" t="s">
        <v>219</v>
      </c>
      <c r="F141" s="54" t="s">
        <v>220</v>
      </c>
      <c r="G141" s="60" t="s">
        <v>1036</v>
      </c>
      <c r="H141" s="60">
        <v>8668776428</v>
      </c>
      <c r="I141" s="106" t="s">
        <v>1037</v>
      </c>
      <c r="J141" s="114" t="s">
        <v>930</v>
      </c>
      <c r="K141" s="60" t="s">
        <v>940</v>
      </c>
      <c r="L141" s="60" t="s">
        <v>940</v>
      </c>
      <c r="M141" s="60" t="s">
        <v>1038</v>
      </c>
      <c r="N141" s="60" t="s">
        <v>1039</v>
      </c>
      <c r="O141" s="60"/>
      <c r="P141" s="60"/>
      <c r="Q141" s="60" t="s">
        <v>1040</v>
      </c>
      <c r="R141" s="60" t="s">
        <v>228</v>
      </c>
      <c r="S141" s="60"/>
      <c r="T141" s="60"/>
      <c r="U141" s="60" t="s">
        <v>703</v>
      </c>
      <c r="V141" s="61" t="s">
        <v>291</v>
      </c>
      <c r="W141" s="61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54" t="str">
        <f>IF(OR(X141="",C141=""),"",NETWORKDAYS.INTL(C141,X141,1,'HELPER(Dont Delete)'!A:A))</f>
        <v/>
      </c>
      <c r="AQ141" s="54" t="str">
        <f>IF(OR(X141="",Y141=""),"",NETWORKDAYS.INTL(X141,Y141,1,'HELPER(Dont Delete)'!A:A))</f>
        <v/>
      </c>
      <c r="AR141" s="54" t="str">
        <f>IF(OR(Y141="",AA141=""),"",NETWORKDAYS.INTL(Y141,AA141,1,'HELPER(Dont Delete)'!A:A))</f>
        <v/>
      </c>
      <c r="AS141" s="60"/>
      <c r="AT141" s="60"/>
      <c r="AU141" s="60"/>
      <c r="AV141" s="60"/>
      <c r="AW141" s="60"/>
    </row>
    <row r="142" spans="1:49" ht="15.5">
      <c r="A142" s="54">
        <v>142</v>
      </c>
      <c r="B142" s="108">
        <v>45628</v>
      </c>
      <c r="C142" s="108">
        <v>45638</v>
      </c>
      <c r="D142" s="60" t="s">
        <v>92</v>
      </c>
      <c r="E142" s="54" t="s">
        <v>219</v>
      </c>
      <c r="F142" s="54" t="s">
        <v>220</v>
      </c>
      <c r="G142" s="60" t="s">
        <v>1041</v>
      </c>
      <c r="H142" s="60">
        <v>8006295051</v>
      </c>
      <c r="I142" s="106" t="s">
        <v>1042</v>
      </c>
      <c r="J142" s="114" t="s">
        <v>930</v>
      </c>
      <c r="K142" s="60" t="s">
        <v>1043</v>
      </c>
      <c r="L142" s="60" t="s">
        <v>1043</v>
      </c>
      <c r="M142" s="60" t="s">
        <v>1044</v>
      </c>
      <c r="N142" s="60" t="s">
        <v>537</v>
      </c>
      <c r="O142" s="60" t="s">
        <v>1045</v>
      </c>
      <c r="P142" s="60" t="s">
        <v>1046</v>
      </c>
      <c r="Q142" s="60" t="s">
        <v>1047</v>
      </c>
      <c r="R142" s="60" t="s">
        <v>1048</v>
      </c>
      <c r="S142" s="60"/>
      <c r="T142" s="60"/>
      <c r="U142" s="60" t="s">
        <v>703</v>
      </c>
      <c r="V142" s="104" t="s">
        <v>758</v>
      </c>
      <c r="W142" s="104" t="s">
        <v>741</v>
      </c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54" t="str">
        <f>IF(OR(X142="",C142=""),"",NETWORKDAYS.INTL(C142,X142,1,'HELPER(Dont Delete)'!A:A))</f>
        <v/>
      </c>
      <c r="AQ142" s="54" t="str">
        <f>IF(OR(X142="",Y142=""),"",NETWORKDAYS.INTL(X142,Y142,1,'HELPER(Dont Delete)'!A:A))</f>
        <v/>
      </c>
      <c r="AR142" s="54" t="str">
        <f>IF(OR(Y142="",AA142=""),"",NETWORKDAYS.INTL(Y142,AA142,1,'HELPER(Dont Delete)'!A:A))</f>
        <v/>
      </c>
      <c r="AS142" s="60"/>
      <c r="AT142" s="60"/>
      <c r="AU142" s="60"/>
      <c r="AV142" s="60"/>
      <c r="AW142" s="60"/>
    </row>
    <row r="143" spans="1:49" s="131" customFormat="1" ht="15.5">
      <c r="A143" s="129">
        <v>143</v>
      </c>
      <c r="B143" s="127">
        <v>45628</v>
      </c>
      <c r="C143" s="127">
        <v>45639</v>
      </c>
      <c r="D143" s="129" t="s">
        <v>92</v>
      </c>
      <c r="E143" s="126" t="s">
        <v>219</v>
      </c>
      <c r="F143" s="126" t="s">
        <v>220</v>
      </c>
      <c r="G143" s="129" t="s">
        <v>1049</v>
      </c>
      <c r="H143" s="129">
        <v>6267350768</v>
      </c>
      <c r="I143" s="151" t="s">
        <v>1050</v>
      </c>
      <c r="J143" s="150" t="s">
        <v>930</v>
      </c>
      <c r="K143" s="129" t="s">
        <v>1051</v>
      </c>
      <c r="L143" s="129" t="s">
        <v>1051</v>
      </c>
      <c r="M143" s="129" t="s">
        <v>1052</v>
      </c>
      <c r="N143" s="129" t="s">
        <v>537</v>
      </c>
      <c r="O143" s="129" t="s">
        <v>1053</v>
      </c>
      <c r="P143" s="129" t="s">
        <v>1054</v>
      </c>
      <c r="Q143" s="129" t="s">
        <v>227</v>
      </c>
      <c r="R143" s="129" t="s">
        <v>1055</v>
      </c>
      <c r="S143" s="129"/>
      <c r="T143" s="129"/>
      <c r="U143" s="129" t="s">
        <v>703</v>
      </c>
      <c r="V143" s="126" t="s">
        <v>599</v>
      </c>
      <c r="W143" s="126"/>
      <c r="X143" s="127">
        <v>45639</v>
      </c>
      <c r="Y143" s="127">
        <v>45639</v>
      </c>
      <c r="Z143" s="129"/>
      <c r="AA143" s="127">
        <v>45687</v>
      </c>
      <c r="AB143" s="129" t="s">
        <v>232</v>
      </c>
      <c r="AC143" s="129"/>
      <c r="AD143" s="129"/>
      <c r="AE143" s="129"/>
      <c r="AF143" s="129"/>
      <c r="AG143" s="129"/>
      <c r="AH143" s="129"/>
      <c r="AI143" s="129"/>
      <c r="AJ143" s="129"/>
      <c r="AK143" s="129"/>
      <c r="AL143" s="129"/>
      <c r="AM143" s="129"/>
      <c r="AN143" s="129"/>
      <c r="AO143" s="129"/>
      <c r="AP143" s="54">
        <f>IF(OR(X143="",C143=""),"",NETWORKDAYS.INTL(C143,X143,1,'HELPER(Dont Delete)'!A:A))</f>
        <v>1</v>
      </c>
      <c r="AQ143" s="54">
        <f>IF(OR(X143="",Y143=""),"",NETWORKDAYS.INTL(X143,Y143,1,'HELPER(Dont Delete)'!A:A))</f>
        <v>1</v>
      </c>
      <c r="AR143" s="54">
        <f>IF(OR(Y143="",AA143=""),"",NETWORKDAYS.INTL(Y143,AA143,1,'HELPER(Dont Delete)'!A:A))</f>
        <v>33</v>
      </c>
      <c r="AS143" s="129"/>
      <c r="AT143" s="129"/>
      <c r="AU143" s="129"/>
      <c r="AV143" s="129"/>
      <c r="AW143" s="129"/>
    </row>
    <row r="144" spans="1:49" ht="15.5">
      <c r="A144" s="54">
        <v>144</v>
      </c>
      <c r="B144" s="108">
        <v>45629</v>
      </c>
      <c r="C144" s="108">
        <v>45639</v>
      </c>
      <c r="D144" s="60" t="s">
        <v>89</v>
      </c>
      <c r="E144" s="54" t="s">
        <v>219</v>
      </c>
      <c r="F144" s="54" t="s">
        <v>220</v>
      </c>
      <c r="G144" s="46" t="s">
        <v>1056</v>
      </c>
      <c r="H144" s="46">
        <v>9527789976</v>
      </c>
      <c r="I144" s="107" t="s">
        <v>1057</v>
      </c>
      <c r="J144" s="114" t="s">
        <v>930</v>
      </c>
      <c r="K144" s="46" t="s">
        <v>940</v>
      </c>
      <c r="L144" s="46" t="s">
        <v>940</v>
      </c>
      <c r="M144" s="111" t="s">
        <v>1058</v>
      </c>
      <c r="N144" s="60" t="s">
        <v>1059</v>
      </c>
      <c r="O144" s="111" t="s">
        <v>1060</v>
      </c>
      <c r="P144" s="60" t="s">
        <v>991</v>
      </c>
      <c r="Q144" s="111" t="s">
        <v>1061</v>
      </c>
      <c r="R144" s="60" t="s">
        <v>960</v>
      </c>
      <c r="S144" s="60"/>
      <c r="T144" s="60"/>
      <c r="U144" s="60" t="s">
        <v>369</v>
      </c>
      <c r="V144" s="104" t="s">
        <v>776</v>
      </c>
      <c r="W144" s="104"/>
      <c r="X144" s="60"/>
      <c r="Y144" s="108">
        <v>45640</v>
      </c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54" t="str">
        <f>IF(OR(X144="",C144=""),"",NETWORKDAYS.INTL(C144,X144,1,'HELPER(Dont Delete)'!A:A))</f>
        <v/>
      </c>
      <c r="AQ144" s="54" t="str">
        <f>IF(OR(X144="",Y144=""),"",NETWORKDAYS.INTL(X144,Y144,1,'HELPER(Dont Delete)'!A:A))</f>
        <v/>
      </c>
      <c r="AR144" s="54" t="str">
        <f>IF(OR(Y144="",AA144=""),"",NETWORKDAYS.INTL(Y144,AA144,1,'HELPER(Dont Delete)'!A:A))</f>
        <v/>
      </c>
      <c r="AS144" s="60"/>
      <c r="AT144" s="60"/>
      <c r="AU144" s="60"/>
      <c r="AV144" s="60"/>
      <c r="AW144" s="60"/>
    </row>
    <row r="145" spans="1:49" ht="15.5">
      <c r="A145" s="54">
        <v>145</v>
      </c>
      <c r="B145" s="108">
        <v>45629</v>
      </c>
      <c r="C145" s="108">
        <v>45639</v>
      </c>
      <c r="D145" s="60" t="s">
        <v>89</v>
      </c>
      <c r="E145" s="54" t="s">
        <v>219</v>
      </c>
      <c r="F145" s="54" t="s">
        <v>220</v>
      </c>
      <c r="G145" s="46" t="s">
        <v>1062</v>
      </c>
      <c r="H145" s="46">
        <v>9096240868</v>
      </c>
      <c r="I145" s="107" t="s">
        <v>1063</v>
      </c>
      <c r="J145" s="114" t="s">
        <v>930</v>
      </c>
      <c r="K145" s="46" t="s">
        <v>860</v>
      </c>
      <c r="L145" s="46" t="s">
        <v>860</v>
      </c>
      <c r="M145" s="111" t="s">
        <v>1064</v>
      </c>
      <c r="N145" s="60" t="s">
        <v>318</v>
      </c>
      <c r="O145" s="111" t="s">
        <v>1065</v>
      </c>
      <c r="P145" s="111" t="s">
        <v>770</v>
      </c>
      <c r="Q145" s="111" t="s">
        <v>1066</v>
      </c>
      <c r="R145" s="111" t="s">
        <v>1067</v>
      </c>
      <c r="S145" s="111"/>
      <c r="T145" s="60"/>
      <c r="U145" s="60" t="s">
        <v>369</v>
      </c>
      <c r="V145" s="104" t="s">
        <v>1068</v>
      </c>
      <c r="W145" s="104"/>
      <c r="X145" s="108">
        <v>45640</v>
      </c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54">
        <f>IF(OR(X145="",C145=""),"",NETWORKDAYS.INTL(C145,X145,1,'HELPER(Dont Delete)'!A:A))</f>
        <v>1</v>
      </c>
      <c r="AQ145" s="54" t="str">
        <f>IF(OR(X145="",Y145=""),"",NETWORKDAYS.INTL(X145,Y145,1,'HELPER(Dont Delete)'!A:A))</f>
        <v/>
      </c>
      <c r="AR145" s="54" t="str">
        <f>IF(OR(Y145="",AA145=""),"",NETWORKDAYS.INTL(Y145,AA145,1,'HELPER(Dont Delete)'!A:A))</f>
        <v/>
      </c>
      <c r="AS145" s="60"/>
      <c r="AT145" s="60"/>
      <c r="AU145" s="60"/>
      <c r="AV145" s="60"/>
      <c r="AW145" s="60"/>
    </row>
    <row r="146" spans="1:49" ht="15.5">
      <c r="A146" s="60">
        <v>146</v>
      </c>
      <c r="B146" s="108">
        <v>45629</v>
      </c>
      <c r="C146" s="108">
        <v>45646</v>
      </c>
      <c r="D146" s="60" t="s">
        <v>89</v>
      </c>
      <c r="E146" s="54" t="s">
        <v>219</v>
      </c>
      <c r="F146" s="54" t="s">
        <v>220</v>
      </c>
      <c r="G146" s="46" t="s">
        <v>1069</v>
      </c>
      <c r="H146" s="46">
        <v>7742207642</v>
      </c>
      <c r="I146" s="107" t="s">
        <v>1070</v>
      </c>
      <c r="J146" s="114" t="s">
        <v>930</v>
      </c>
      <c r="K146" s="107" t="s">
        <v>1071</v>
      </c>
      <c r="L146" s="107" t="s">
        <v>1071</v>
      </c>
      <c r="M146" s="46" t="s">
        <v>1072</v>
      </c>
      <c r="N146" s="46" t="s">
        <v>311</v>
      </c>
      <c r="O146" s="111" t="s">
        <v>1073</v>
      </c>
      <c r="P146" s="46" t="s">
        <v>57</v>
      </c>
      <c r="Q146" s="46" t="s">
        <v>1074</v>
      </c>
      <c r="R146" s="46" t="s">
        <v>1075</v>
      </c>
      <c r="S146" s="46"/>
      <c r="T146" s="60"/>
      <c r="U146" s="60" t="s">
        <v>369</v>
      </c>
      <c r="V146" s="104" t="s">
        <v>231</v>
      </c>
      <c r="W146" s="104"/>
      <c r="X146" s="60"/>
      <c r="Y146" s="108">
        <v>45657</v>
      </c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54" t="str">
        <f>IF(OR(X146="",C146=""),"",NETWORKDAYS.INTL(C146,X146,1,'HELPER(Dont Delete)'!A:A))</f>
        <v/>
      </c>
      <c r="AQ146" s="54" t="str">
        <f>IF(OR(X146="",Y146=""),"",NETWORKDAYS.INTL(X146,Y146,1,'HELPER(Dont Delete)'!A:A))</f>
        <v/>
      </c>
      <c r="AR146" s="54" t="str">
        <f>IF(OR(Y146="",AA146=""),"",NETWORKDAYS.INTL(Y146,AA146,1,'HELPER(Dont Delete)'!A:A))</f>
        <v/>
      </c>
      <c r="AS146" s="60"/>
      <c r="AT146" s="60"/>
      <c r="AU146" s="60"/>
      <c r="AV146" s="60"/>
      <c r="AW146" s="60"/>
    </row>
    <row r="147" spans="1:49" s="131" customFormat="1" ht="15.5">
      <c r="A147" s="126">
        <v>147</v>
      </c>
      <c r="B147" s="127">
        <v>45629</v>
      </c>
      <c r="C147" s="127">
        <v>45646</v>
      </c>
      <c r="D147" s="129" t="s">
        <v>107</v>
      </c>
      <c r="E147" s="126" t="s">
        <v>219</v>
      </c>
      <c r="F147" s="126" t="s">
        <v>220</v>
      </c>
      <c r="G147" s="132" t="s">
        <v>1076</v>
      </c>
      <c r="H147" s="132">
        <v>8239544607</v>
      </c>
      <c r="I147" s="133" t="s">
        <v>1077</v>
      </c>
      <c r="J147" s="150" t="s">
        <v>930</v>
      </c>
      <c r="K147" s="132" t="s">
        <v>744</v>
      </c>
      <c r="L147" s="132" t="s">
        <v>744</v>
      </c>
      <c r="M147" s="132" t="s">
        <v>1078</v>
      </c>
      <c r="N147" s="132" t="s">
        <v>311</v>
      </c>
      <c r="O147" s="132" t="s">
        <v>1079</v>
      </c>
      <c r="P147" s="129" t="s">
        <v>1080</v>
      </c>
      <c r="Q147" s="132" t="s">
        <v>1081</v>
      </c>
      <c r="R147" s="132" t="s">
        <v>1082</v>
      </c>
      <c r="S147" s="132"/>
      <c r="T147" s="129"/>
      <c r="U147" s="129" t="s">
        <v>369</v>
      </c>
      <c r="V147" s="126" t="s">
        <v>1083</v>
      </c>
      <c r="W147" s="126"/>
      <c r="X147" s="129"/>
      <c r="Y147" s="127">
        <v>45657</v>
      </c>
      <c r="Z147" s="129" t="s">
        <v>340</v>
      </c>
      <c r="AA147" s="127">
        <v>45663</v>
      </c>
      <c r="AB147" s="129" t="s">
        <v>1084</v>
      </c>
      <c r="AC147" s="129"/>
      <c r="AD147" s="129"/>
      <c r="AE147" s="129"/>
      <c r="AF147" s="129"/>
      <c r="AG147" s="129"/>
      <c r="AH147" s="129"/>
      <c r="AI147" s="129"/>
      <c r="AJ147" s="129"/>
      <c r="AK147" s="129"/>
      <c r="AL147" s="129"/>
      <c r="AM147" s="129"/>
      <c r="AN147" s="129"/>
      <c r="AO147" s="129"/>
      <c r="AP147" s="54" t="str">
        <f>IF(OR(X147="",C147=""),"",NETWORKDAYS.INTL(C147,X147,1,'HELPER(Dont Delete)'!A:A))</f>
        <v/>
      </c>
      <c r="AQ147" s="54" t="str">
        <f>IF(OR(X147="",Y147=""),"",NETWORKDAYS.INTL(X147,Y147,1,'HELPER(Dont Delete)'!A:A))</f>
        <v/>
      </c>
      <c r="AR147" s="54">
        <f>IF(OR(Y147="",AA147=""),"",NETWORKDAYS.INTL(Y147,AA147,1,'HELPER(Dont Delete)'!A:A))</f>
        <v>5</v>
      </c>
      <c r="AS147" s="129"/>
      <c r="AT147" s="129"/>
      <c r="AU147" s="129"/>
      <c r="AV147" s="129"/>
      <c r="AW147" s="129"/>
    </row>
    <row r="148" spans="1:49" s="131" customFormat="1">
      <c r="A148" s="129">
        <v>148</v>
      </c>
      <c r="B148" s="127">
        <v>45629</v>
      </c>
      <c r="C148" s="127">
        <v>45660</v>
      </c>
      <c r="D148" s="129" t="s">
        <v>89</v>
      </c>
      <c r="E148" s="126" t="s">
        <v>219</v>
      </c>
      <c r="F148" s="126" t="s">
        <v>220</v>
      </c>
      <c r="G148" s="129" t="s">
        <v>1085</v>
      </c>
      <c r="H148" s="129">
        <v>9827966144</v>
      </c>
      <c r="I148" s="151" t="s">
        <v>1086</v>
      </c>
      <c r="J148" s="132" t="s">
        <v>1087</v>
      </c>
      <c r="K148" s="129" t="s">
        <v>1088</v>
      </c>
      <c r="L148" s="129" t="s">
        <v>1088</v>
      </c>
      <c r="M148" s="129" t="s">
        <v>1089</v>
      </c>
      <c r="N148" s="129" t="s">
        <v>1059</v>
      </c>
      <c r="O148" s="129" t="s">
        <v>1090</v>
      </c>
      <c r="P148" s="129" t="s">
        <v>882</v>
      </c>
      <c r="Q148" s="129" t="s">
        <v>856</v>
      </c>
      <c r="R148" s="129" t="s">
        <v>664</v>
      </c>
      <c r="S148" s="129"/>
      <c r="T148" s="129"/>
      <c r="U148" s="129" t="s">
        <v>703</v>
      </c>
      <c r="V148" s="126" t="s">
        <v>339</v>
      </c>
      <c r="W148" s="126" t="s">
        <v>54</v>
      </c>
      <c r="X148" s="129"/>
      <c r="Y148" s="127">
        <v>45663</v>
      </c>
      <c r="Z148" s="129" t="s">
        <v>1084</v>
      </c>
      <c r="AA148" s="127">
        <v>45663</v>
      </c>
      <c r="AB148" s="129" t="s">
        <v>1084</v>
      </c>
      <c r="AC148" s="129"/>
      <c r="AD148" s="129"/>
      <c r="AE148" s="129"/>
      <c r="AF148" s="129"/>
      <c r="AG148" s="129"/>
      <c r="AH148" s="129"/>
      <c r="AI148" s="129"/>
      <c r="AJ148" s="129"/>
      <c r="AK148" s="129"/>
      <c r="AL148" s="129"/>
      <c r="AM148" s="129"/>
      <c r="AN148" s="129"/>
      <c r="AO148" s="129"/>
      <c r="AP148" s="54" t="str">
        <f>IF(OR(X148="",C148=""),"",NETWORKDAYS.INTL(C148,X148,1,'HELPER(Dont Delete)'!A:A))</f>
        <v/>
      </c>
      <c r="AQ148" s="54" t="str">
        <f>IF(OR(X148="",Y148=""),"",NETWORKDAYS.INTL(X148,Y148,1,'HELPER(Dont Delete)'!A:A))</f>
        <v/>
      </c>
      <c r="AR148" s="54">
        <f>IF(OR(Y148="",AA148=""),"",NETWORKDAYS.INTL(Y148,AA148,1,'HELPER(Dont Delete)'!A:A))</f>
        <v>1</v>
      </c>
      <c r="AS148" s="129"/>
      <c r="AT148" s="129"/>
      <c r="AU148" s="129"/>
      <c r="AV148" s="129"/>
      <c r="AW148" s="129"/>
    </row>
    <row r="149" spans="1:49" s="131" customFormat="1">
      <c r="A149" s="126">
        <v>149</v>
      </c>
      <c r="B149" s="127">
        <v>45659</v>
      </c>
      <c r="C149" s="128">
        <v>45667</v>
      </c>
      <c r="D149" s="129" t="s">
        <v>96</v>
      </c>
      <c r="E149" s="126" t="s">
        <v>219</v>
      </c>
      <c r="F149" s="126" t="s">
        <v>220</v>
      </c>
      <c r="G149" s="130" t="s">
        <v>1091</v>
      </c>
      <c r="H149" s="132">
        <v>7477077097</v>
      </c>
      <c r="I149" s="133" t="s">
        <v>1092</v>
      </c>
      <c r="J149" s="132" t="s">
        <v>1093</v>
      </c>
      <c r="K149" s="132">
        <v>4</v>
      </c>
      <c r="L149" s="132">
        <v>4</v>
      </c>
      <c r="M149" s="132" t="s">
        <v>1094</v>
      </c>
      <c r="N149" s="132" t="s">
        <v>236</v>
      </c>
      <c r="O149" s="132" t="s">
        <v>154</v>
      </c>
      <c r="P149" s="132" t="s">
        <v>617</v>
      </c>
      <c r="Q149" s="132" t="s">
        <v>1095</v>
      </c>
      <c r="R149" s="132" t="s">
        <v>290</v>
      </c>
      <c r="S149" s="132"/>
      <c r="T149" s="129"/>
      <c r="U149" s="129" t="s">
        <v>369</v>
      </c>
      <c r="V149" s="126" t="s">
        <v>231</v>
      </c>
      <c r="W149" s="129"/>
      <c r="X149" s="129"/>
      <c r="Y149" s="127">
        <v>45680</v>
      </c>
      <c r="Z149" s="129"/>
      <c r="AA149" s="129"/>
      <c r="AB149" s="129"/>
      <c r="AC149" s="129"/>
      <c r="AD149" s="129"/>
      <c r="AE149" s="129"/>
      <c r="AF149" s="129"/>
      <c r="AG149" s="129"/>
      <c r="AH149" s="129"/>
      <c r="AI149" s="129"/>
      <c r="AJ149" s="129"/>
      <c r="AK149" s="129"/>
      <c r="AL149" s="129"/>
      <c r="AM149" s="129"/>
      <c r="AN149" s="129"/>
      <c r="AO149" s="129"/>
      <c r="AP149" s="54" t="str">
        <f>IF(OR(X149="",C149=""),"",NETWORKDAYS.INTL(C149,X149,1,'HELPER(Dont Delete)'!A:A))</f>
        <v/>
      </c>
      <c r="AQ149" s="54" t="str">
        <f>IF(OR(X149="",Y149=""),"",NETWORKDAYS.INTL(X149,Y149,1,'HELPER(Dont Delete)'!A:A))</f>
        <v/>
      </c>
      <c r="AR149" s="54" t="str">
        <f>IF(OR(Y149="",AA149=""),"",NETWORKDAYS.INTL(Y149,AA149,1,'HELPER(Dont Delete)'!A:A))</f>
        <v/>
      </c>
      <c r="AS149" s="129"/>
      <c r="AT149" s="129"/>
      <c r="AU149" s="129"/>
      <c r="AV149" s="129"/>
      <c r="AW149" s="129"/>
    </row>
    <row r="150" spans="1:49" s="131" customFormat="1">
      <c r="A150" s="126">
        <v>150</v>
      </c>
      <c r="B150" s="127">
        <v>45659</v>
      </c>
      <c r="C150" s="128">
        <v>45667</v>
      </c>
      <c r="D150" s="129" t="s">
        <v>96</v>
      </c>
      <c r="E150" s="126" t="s">
        <v>219</v>
      </c>
      <c r="F150" s="126" t="s">
        <v>220</v>
      </c>
      <c r="G150" s="130" t="s">
        <v>1096</v>
      </c>
      <c r="H150" s="132">
        <v>8077342956</v>
      </c>
      <c r="I150" s="133" t="s">
        <v>1097</v>
      </c>
      <c r="J150" s="132" t="s">
        <v>1093</v>
      </c>
      <c r="K150" s="132">
        <v>3.9</v>
      </c>
      <c r="L150" s="132">
        <v>3.9</v>
      </c>
      <c r="M150" s="132" t="s">
        <v>1098</v>
      </c>
      <c r="N150" s="132" t="s">
        <v>537</v>
      </c>
      <c r="O150" s="132" t="s">
        <v>1099</v>
      </c>
      <c r="P150" s="132" t="s">
        <v>770</v>
      </c>
      <c r="Q150" s="132" t="s">
        <v>1095</v>
      </c>
      <c r="R150" s="132" t="s">
        <v>290</v>
      </c>
      <c r="S150" s="132"/>
      <c r="T150" s="129"/>
      <c r="U150" s="129" t="s">
        <v>369</v>
      </c>
      <c r="V150" s="126" t="s">
        <v>1083</v>
      </c>
      <c r="W150" s="126"/>
      <c r="X150" s="129"/>
      <c r="Y150" s="127">
        <v>45680</v>
      </c>
      <c r="Z150" s="129" t="s">
        <v>1084</v>
      </c>
      <c r="AA150" s="128">
        <v>45684</v>
      </c>
      <c r="AB150" s="129" t="s">
        <v>1084</v>
      </c>
      <c r="AC150" s="128">
        <v>45686</v>
      </c>
      <c r="AD150" s="129"/>
      <c r="AE150" s="129"/>
      <c r="AF150" s="129"/>
      <c r="AG150" s="129"/>
      <c r="AH150" s="129"/>
      <c r="AI150" s="129"/>
      <c r="AJ150" s="129"/>
      <c r="AK150" s="129"/>
      <c r="AL150" s="129"/>
      <c r="AM150" s="129"/>
      <c r="AN150" s="129"/>
      <c r="AO150" s="129"/>
      <c r="AP150" s="54" t="str">
        <f>IF(OR(X150="",C150=""),"",NETWORKDAYS.INTL(C150,X150,1,'HELPER(Dont Delete)'!A:A))</f>
        <v/>
      </c>
      <c r="AQ150" s="54" t="str">
        <f>IF(OR(X150="",Y150=""),"",NETWORKDAYS.INTL(X150,Y150,1,'HELPER(Dont Delete)'!A:A))</f>
        <v/>
      </c>
      <c r="AR150" s="54">
        <f>IF(OR(Y150="",AA150=""),"",NETWORKDAYS.INTL(Y150,AA150,1,'HELPER(Dont Delete)'!A:A))</f>
        <v>3</v>
      </c>
      <c r="AS150" s="129"/>
      <c r="AT150" s="129"/>
      <c r="AU150" s="129"/>
      <c r="AV150" s="129"/>
      <c r="AW150" s="129"/>
    </row>
    <row r="151" spans="1:49" s="131" customFormat="1">
      <c r="A151" s="129">
        <v>151</v>
      </c>
      <c r="B151" s="127">
        <v>45659</v>
      </c>
      <c r="C151" s="128">
        <v>45667</v>
      </c>
      <c r="D151" s="129" t="s">
        <v>96</v>
      </c>
      <c r="E151" s="126" t="s">
        <v>219</v>
      </c>
      <c r="F151" s="126" t="s">
        <v>220</v>
      </c>
      <c r="G151" s="130" t="s">
        <v>1100</v>
      </c>
      <c r="H151" s="132">
        <v>9690878298</v>
      </c>
      <c r="I151" s="133" t="s">
        <v>1101</v>
      </c>
      <c r="J151" s="132" t="s">
        <v>1093</v>
      </c>
      <c r="K151" s="132">
        <v>4</v>
      </c>
      <c r="L151" s="132">
        <v>4</v>
      </c>
      <c r="M151" s="132" t="s">
        <v>1102</v>
      </c>
      <c r="N151" s="132" t="s">
        <v>1003</v>
      </c>
      <c r="O151" s="132" t="s">
        <v>1103</v>
      </c>
      <c r="P151" s="132" t="s">
        <v>770</v>
      </c>
      <c r="Q151" s="132" t="s">
        <v>1095</v>
      </c>
      <c r="R151" s="132" t="s">
        <v>367</v>
      </c>
      <c r="S151" s="132"/>
      <c r="T151" s="129"/>
      <c r="U151" s="129" t="s">
        <v>369</v>
      </c>
      <c r="V151" s="126" t="s">
        <v>231</v>
      </c>
      <c r="W151" s="126"/>
      <c r="X151" s="129"/>
      <c r="Y151" s="127">
        <v>45699</v>
      </c>
      <c r="Z151" s="129" t="s">
        <v>232</v>
      </c>
      <c r="AA151" s="129"/>
      <c r="AB151" s="129"/>
      <c r="AC151" s="129"/>
      <c r="AD151" s="129"/>
      <c r="AE151" s="129"/>
      <c r="AF151" s="129"/>
      <c r="AG151" s="129"/>
      <c r="AH151" s="129"/>
      <c r="AI151" s="129"/>
      <c r="AJ151" s="129"/>
      <c r="AK151" s="129"/>
      <c r="AL151" s="129"/>
      <c r="AM151" s="129"/>
      <c r="AN151" s="129"/>
      <c r="AO151" s="129"/>
      <c r="AP151" s="54" t="str">
        <f>IF(OR(X151="",C151=""),"",NETWORKDAYS.INTL(C151,X151,1,'HELPER(Dont Delete)'!A:A))</f>
        <v/>
      </c>
      <c r="AQ151" s="54" t="str">
        <f>IF(OR(X151="",Y151=""),"",NETWORKDAYS.INTL(X151,Y151,1,'HELPER(Dont Delete)'!A:A))</f>
        <v/>
      </c>
      <c r="AR151" s="54" t="str">
        <f>IF(OR(Y151="",AA151=""),"",NETWORKDAYS.INTL(Y151,AA151,1,'HELPER(Dont Delete)'!A:A))</f>
        <v/>
      </c>
      <c r="AS151" s="129"/>
      <c r="AT151" s="129"/>
      <c r="AU151" s="129"/>
      <c r="AV151" s="129"/>
      <c r="AW151" s="129"/>
    </row>
    <row r="152" spans="1:49">
      <c r="A152" s="54">
        <v>152</v>
      </c>
      <c r="B152" s="108">
        <v>45659</v>
      </c>
      <c r="C152" s="128">
        <v>45667</v>
      </c>
      <c r="D152" s="60" t="s">
        <v>96</v>
      </c>
      <c r="E152" s="54" t="s">
        <v>219</v>
      </c>
      <c r="F152" s="54" t="s">
        <v>220</v>
      </c>
      <c r="G152" s="111" t="s">
        <v>1104</v>
      </c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 t="s">
        <v>369</v>
      </c>
      <c r="V152" s="104" t="s">
        <v>231</v>
      </c>
      <c r="W152" s="60"/>
      <c r="X152" s="60"/>
      <c r="Y152" s="108">
        <v>45680</v>
      </c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54" t="str">
        <f>IF(OR(X152="",C152=""),"",NETWORKDAYS.INTL(C152,X152,1,'HELPER(Dont Delete)'!A:A))</f>
        <v/>
      </c>
      <c r="AQ152" s="54" t="str">
        <f>IF(OR(X152="",Y152=""),"",NETWORKDAYS.INTL(X152,Y152,1,'HELPER(Dont Delete)'!A:A))</f>
        <v/>
      </c>
      <c r="AR152" s="54" t="str">
        <f>IF(OR(Y152="",AA152=""),"",NETWORKDAYS.INTL(Y152,AA152,1,'HELPER(Dont Delete)'!A:A))</f>
        <v/>
      </c>
      <c r="AS152" s="60"/>
      <c r="AT152" s="60"/>
      <c r="AU152" s="60"/>
      <c r="AV152" s="60"/>
      <c r="AW152" s="60"/>
    </row>
    <row r="153" spans="1:49" s="131" customFormat="1">
      <c r="A153" s="129">
        <v>153</v>
      </c>
      <c r="B153" s="127">
        <v>45659</v>
      </c>
      <c r="C153" s="128">
        <v>45666</v>
      </c>
      <c r="D153" s="129" t="s">
        <v>102</v>
      </c>
      <c r="E153" s="126" t="s">
        <v>219</v>
      </c>
      <c r="F153" s="126" t="s">
        <v>220</v>
      </c>
      <c r="G153" s="130" t="s">
        <v>1105</v>
      </c>
      <c r="H153" s="147">
        <v>9909068836</v>
      </c>
      <c r="I153" s="148" t="s">
        <v>1106</v>
      </c>
      <c r="J153" s="147" t="s">
        <v>1107</v>
      </c>
      <c r="K153" s="129">
        <v>9</v>
      </c>
      <c r="L153" s="129">
        <v>9</v>
      </c>
      <c r="M153" s="149" t="s">
        <v>1108</v>
      </c>
      <c r="N153" s="129" t="s">
        <v>846</v>
      </c>
      <c r="O153" s="147" t="s">
        <v>1109</v>
      </c>
      <c r="P153" s="132" t="s">
        <v>770</v>
      </c>
      <c r="Q153" s="147" t="s">
        <v>558</v>
      </c>
      <c r="R153" s="149" t="s">
        <v>1110</v>
      </c>
      <c r="S153" s="149"/>
      <c r="T153" s="129"/>
      <c r="U153" s="129" t="s">
        <v>369</v>
      </c>
      <c r="V153" s="126" t="s">
        <v>339</v>
      </c>
      <c r="W153" s="126" t="s">
        <v>54</v>
      </c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54" t="str">
        <f>IF(OR(X153="",C153=""),"",NETWORKDAYS.INTL(C153,X153,1,'HELPER(Dont Delete)'!A:A))</f>
        <v/>
      </c>
      <c r="AQ153" s="54" t="str">
        <f>IF(OR(X153="",Y153=""),"",NETWORKDAYS.INTL(X153,Y153,1,'HELPER(Dont Delete)'!A:A))</f>
        <v/>
      </c>
      <c r="AR153" s="54" t="str">
        <f>IF(OR(Y153="",AA153=""),"",NETWORKDAYS.INTL(Y153,AA153,1,'HELPER(Dont Delete)'!A:A))</f>
        <v/>
      </c>
      <c r="AS153" s="129"/>
      <c r="AT153" s="129"/>
      <c r="AU153" s="129"/>
      <c r="AV153" s="129"/>
      <c r="AW153" s="129"/>
    </row>
    <row r="154" spans="1:49" ht="15.75" customHeight="1">
      <c r="A154" s="54">
        <v>154</v>
      </c>
      <c r="B154" s="108">
        <v>45659</v>
      </c>
      <c r="C154" s="128">
        <v>45665</v>
      </c>
      <c r="D154" s="60" t="s">
        <v>102</v>
      </c>
      <c r="E154" s="54" t="s">
        <v>219</v>
      </c>
      <c r="F154" s="54" t="s">
        <v>220</v>
      </c>
      <c r="G154" s="111" t="s">
        <v>1111</v>
      </c>
      <c r="H154" s="46">
        <v>8007488472</v>
      </c>
      <c r="I154" s="107" t="s">
        <v>1112</v>
      </c>
      <c r="J154" s="46" t="s">
        <v>1107</v>
      </c>
      <c r="K154" s="46">
        <v>8</v>
      </c>
      <c r="L154" s="46">
        <v>8</v>
      </c>
      <c r="M154" s="46" t="s">
        <v>1113</v>
      </c>
      <c r="N154" s="60" t="s">
        <v>537</v>
      </c>
      <c r="O154" s="46" t="s">
        <v>1114</v>
      </c>
      <c r="P154" s="46" t="s">
        <v>770</v>
      </c>
      <c r="Q154" s="46" t="s">
        <v>558</v>
      </c>
      <c r="R154" s="46" t="s">
        <v>1115</v>
      </c>
      <c r="S154" s="46"/>
      <c r="T154" s="60"/>
      <c r="U154" s="60" t="s">
        <v>369</v>
      </c>
      <c r="V154" s="104" t="s">
        <v>231</v>
      </c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54" t="str">
        <f>IF(OR(X154="",C154=""),"",NETWORKDAYS.INTL(C154,X154,1,'HELPER(Dont Delete)'!A:A))</f>
        <v/>
      </c>
      <c r="AQ154" s="54" t="str">
        <f>IF(OR(X154="",Y154=""),"",NETWORKDAYS.INTL(X154,Y154,1,'HELPER(Dont Delete)'!A:A))</f>
        <v/>
      </c>
      <c r="AR154" s="54" t="str">
        <f>IF(OR(Y154="",AA154=""),"",NETWORKDAYS.INTL(Y154,AA154,1,'HELPER(Dont Delete)'!A:A))</f>
        <v/>
      </c>
      <c r="AS154" s="60"/>
      <c r="AT154" s="60"/>
      <c r="AU154" s="60"/>
      <c r="AV154" s="60"/>
      <c r="AW154" s="60"/>
    </row>
    <row r="155" spans="1:49">
      <c r="A155" s="54">
        <v>155</v>
      </c>
      <c r="B155" s="108">
        <v>45659</v>
      </c>
      <c r="C155" s="128">
        <v>45665</v>
      </c>
      <c r="D155" s="60" t="s">
        <v>102</v>
      </c>
      <c r="E155" s="54" t="s">
        <v>219</v>
      </c>
      <c r="F155" s="54" t="s">
        <v>220</v>
      </c>
      <c r="G155" s="60" t="s">
        <v>1116</v>
      </c>
      <c r="H155" s="134">
        <v>9310968098</v>
      </c>
      <c r="I155" s="106" t="s">
        <v>1117</v>
      </c>
      <c r="J155" s="46" t="s">
        <v>1107</v>
      </c>
      <c r="K155" s="111">
        <v>12</v>
      </c>
      <c r="L155" s="60">
        <v>12</v>
      </c>
      <c r="M155" s="60" t="s">
        <v>1118</v>
      </c>
      <c r="N155" s="60" t="s">
        <v>537</v>
      </c>
      <c r="O155" s="111" t="s">
        <v>1119</v>
      </c>
      <c r="P155" s="132" t="s">
        <v>770</v>
      </c>
      <c r="Q155" s="111" t="s">
        <v>402</v>
      </c>
      <c r="R155" s="46" t="s">
        <v>1120</v>
      </c>
      <c r="S155" s="46"/>
      <c r="T155" s="60"/>
      <c r="U155" s="60" t="s">
        <v>369</v>
      </c>
      <c r="V155" s="126" t="s">
        <v>339</v>
      </c>
      <c r="W155" s="126" t="s">
        <v>164</v>
      </c>
      <c r="X155" s="60"/>
      <c r="Y155" s="125">
        <v>45687</v>
      </c>
      <c r="Z155" s="60" t="s">
        <v>1084</v>
      </c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54" t="str">
        <f>IF(OR(X155="",C155=""),"",NETWORKDAYS.INTL(C155,X155,1,'HELPER(Dont Delete)'!A:A))</f>
        <v/>
      </c>
      <c r="AQ155" s="54" t="str">
        <f>IF(OR(X155="",Y155=""),"",NETWORKDAYS.INTL(X155,Y155,1,'HELPER(Dont Delete)'!A:A))</f>
        <v/>
      </c>
      <c r="AR155" s="54" t="str">
        <f>IF(OR(Y155="",AA155=""),"",NETWORKDAYS.INTL(Y155,AA155,1,'HELPER(Dont Delete)'!A:A))</f>
        <v/>
      </c>
      <c r="AS155" s="60"/>
      <c r="AT155" s="60"/>
      <c r="AU155" s="60"/>
      <c r="AV155" s="115"/>
      <c r="AW155" s="115"/>
    </row>
    <row r="156" spans="1:49">
      <c r="A156" s="115">
        <v>156</v>
      </c>
      <c r="B156" s="142">
        <v>45659</v>
      </c>
      <c r="C156" s="143">
        <v>45667</v>
      </c>
      <c r="D156" s="115" t="s">
        <v>102</v>
      </c>
      <c r="E156" s="78" t="s">
        <v>219</v>
      </c>
      <c r="F156" s="78" t="s">
        <v>220</v>
      </c>
      <c r="G156" s="115" t="s">
        <v>1121</v>
      </c>
      <c r="H156" s="115"/>
      <c r="I156" s="115"/>
      <c r="J156" s="144" t="s">
        <v>1107</v>
      </c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 t="s">
        <v>369</v>
      </c>
      <c r="V156" s="145" t="s">
        <v>776</v>
      </c>
      <c r="W156" s="145"/>
      <c r="X156" s="115"/>
      <c r="Y156" s="146">
        <v>45687</v>
      </c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54" t="str">
        <f>IF(OR(X156="",C156=""),"",NETWORKDAYS.INTL(C156,X156,1,'HELPER(Dont Delete)'!A:A))</f>
        <v/>
      </c>
      <c r="AQ156" s="54" t="str">
        <f>IF(OR(X156="",Y156=""),"",NETWORKDAYS.INTL(X156,Y156,1,'HELPER(Dont Delete)'!A:A))</f>
        <v/>
      </c>
      <c r="AR156" s="54" t="str">
        <f>IF(OR(Y156="",AA156=""),"",NETWORKDAYS.INTL(Y156,AA156,1,'HELPER(Dont Delete)'!A:A))</f>
        <v/>
      </c>
      <c r="AS156" s="115"/>
      <c r="AT156" s="115"/>
      <c r="AU156" s="115"/>
      <c r="AV156" s="115"/>
      <c r="AW156" s="115"/>
    </row>
    <row r="157" spans="1:49" s="87" customFormat="1">
      <c r="A157" s="87">
        <v>157</v>
      </c>
      <c r="B157" s="135">
        <v>45659</v>
      </c>
      <c r="C157" s="136">
        <v>45683</v>
      </c>
      <c r="D157" s="87" t="s">
        <v>102</v>
      </c>
      <c r="E157" s="82" t="s">
        <v>219</v>
      </c>
      <c r="F157" s="82" t="s">
        <v>220</v>
      </c>
      <c r="G157" s="87" t="s">
        <v>1122</v>
      </c>
      <c r="H157" s="137">
        <v>9617955107</v>
      </c>
      <c r="I157" s="138" t="s">
        <v>1123</v>
      </c>
      <c r="J157" s="137" t="s">
        <v>1107</v>
      </c>
      <c r="K157" s="137">
        <v>11</v>
      </c>
      <c r="L157" s="137">
        <v>11</v>
      </c>
      <c r="M157" s="137" t="s">
        <v>1124</v>
      </c>
      <c r="N157" s="137" t="s">
        <v>425</v>
      </c>
      <c r="O157" s="137" t="s">
        <v>1125</v>
      </c>
      <c r="P157" s="137" t="s">
        <v>770</v>
      </c>
      <c r="Q157" s="137" t="s">
        <v>558</v>
      </c>
      <c r="R157" s="137" t="s">
        <v>1126</v>
      </c>
      <c r="S157" s="137"/>
      <c r="T157" s="87">
        <v>6.6</v>
      </c>
      <c r="U157" s="87" t="s">
        <v>369</v>
      </c>
      <c r="V157" s="87" t="s">
        <v>339</v>
      </c>
      <c r="W157" s="126" t="s">
        <v>164</v>
      </c>
      <c r="Y157" s="108"/>
      <c r="AP157" s="54" t="str">
        <f>IF(OR(X157="",C157=""),"",NETWORKDAYS.INTL(C157,X157,1,'HELPER(Dont Delete)'!A:A))</f>
        <v/>
      </c>
      <c r="AQ157" s="54" t="str">
        <f>IF(OR(X157="",Y157=""),"",NETWORKDAYS.INTL(X157,Y157,1,'HELPER(Dont Delete)'!A:A))</f>
        <v/>
      </c>
      <c r="AR157" s="54" t="str">
        <f>IF(OR(Y157="",AA157=""),"",NETWORKDAYS.INTL(Y157,AA157,1,'HELPER(Dont Delete)'!A:A))</f>
        <v/>
      </c>
    </row>
    <row r="158" spans="1:49" s="87" customFormat="1">
      <c r="A158" s="87">
        <v>158</v>
      </c>
      <c r="B158" s="135">
        <v>45659</v>
      </c>
      <c r="C158" s="136">
        <v>45683</v>
      </c>
      <c r="D158" s="87" t="s">
        <v>102</v>
      </c>
      <c r="E158" s="82" t="s">
        <v>219</v>
      </c>
      <c r="F158" s="82" t="s">
        <v>220</v>
      </c>
      <c r="G158" s="140" t="s">
        <v>1127</v>
      </c>
      <c r="H158" s="137">
        <v>7709948632</v>
      </c>
      <c r="I158" s="138" t="s">
        <v>1128</v>
      </c>
      <c r="J158" s="137" t="s">
        <v>1107</v>
      </c>
      <c r="K158" s="137">
        <v>7.6</v>
      </c>
      <c r="L158" s="137">
        <v>7.6</v>
      </c>
      <c r="M158" s="137" t="s">
        <v>622</v>
      </c>
      <c r="N158" s="137" t="s">
        <v>1003</v>
      </c>
      <c r="O158" s="137" t="s">
        <v>1129</v>
      </c>
      <c r="P158" s="137" t="s">
        <v>770</v>
      </c>
      <c r="Q158" s="137" t="s">
        <v>558</v>
      </c>
      <c r="R158" s="137" t="s">
        <v>1130</v>
      </c>
      <c r="S158" s="137"/>
      <c r="T158" s="87">
        <v>1.5</v>
      </c>
      <c r="U158" s="87" t="s">
        <v>369</v>
      </c>
      <c r="V158" s="126" t="s">
        <v>758</v>
      </c>
      <c r="W158" s="126" t="s">
        <v>741</v>
      </c>
      <c r="X158" s="127">
        <v>45695</v>
      </c>
      <c r="Y158" s="108">
        <v>45700</v>
      </c>
      <c r="Z158" s="87" t="s">
        <v>35</v>
      </c>
      <c r="AP158" s="54">
        <f>IF(OR(X158="",C158=""),"",NETWORKDAYS.INTL(C158,X158,1,'HELPER(Dont Delete)'!A:A))</f>
        <v>10</v>
      </c>
      <c r="AQ158" s="54">
        <f>IF(OR(X158="",Y158=""),"",NETWORKDAYS.INTL(X158,Y158,1,'HELPER(Dont Delete)'!A:A))</f>
        <v>4</v>
      </c>
      <c r="AR158" s="54" t="str">
        <f>IF(OR(Y158="",AA158=""),"",NETWORKDAYS.INTL(Y158,AA158,1,'HELPER(Dont Delete)'!A:A))</f>
        <v/>
      </c>
    </row>
    <row r="159" spans="1:49" s="87" customFormat="1">
      <c r="A159" s="87">
        <v>159</v>
      </c>
      <c r="B159" s="135">
        <v>45659</v>
      </c>
      <c r="C159" s="136">
        <v>45683</v>
      </c>
      <c r="D159" s="87" t="s">
        <v>96</v>
      </c>
      <c r="E159" s="82" t="s">
        <v>219</v>
      </c>
      <c r="F159" s="82" t="s">
        <v>220</v>
      </c>
      <c r="G159" s="140" t="s">
        <v>1131</v>
      </c>
      <c r="H159" s="87">
        <v>8920081168</v>
      </c>
      <c r="I159" s="87" t="s">
        <v>1132</v>
      </c>
      <c r="J159" s="141" t="s">
        <v>1133</v>
      </c>
      <c r="K159" s="87">
        <v>7</v>
      </c>
      <c r="L159" s="87">
        <v>7</v>
      </c>
      <c r="M159" s="87" t="s">
        <v>1134</v>
      </c>
      <c r="N159" s="87" t="s">
        <v>425</v>
      </c>
      <c r="O159" s="87" t="s">
        <v>1135</v>
      </c>
      <c r="P159" s="87" t="s">
        <v>617</v>
      </c>
      <c r="Q159" s="87" t="s">
        <v>1095</v>
      </c>
      <c r="R159" s="87" t="s">
        <v>367</v>
      </c>
      <c r="U159" s="87" t="s">
        <v>369</v>
      </c>
      <c r="V159" s="126" t="s">
        <v>1136</v>
      </c>
      <c r="W159" s="126"/>
      <c r="X159" s="108">
        <v>45698</v>
      </c>
      <c r="Y159" s="108">
        <v>45699</v>
      </c>
      <c r="Z159" s="87" t="s">
        <v>340</v>
      </c>
      <c r="AP159" s="54">
        <f>IF(OR(X159="",C159=""),"",NETWORKDAYS.INTL(C159,X159,1,'HELPER(Dont Delete)'!A:A))</f>
        <v>11</v>
      </c>
      <c r="AQ159" s="54">
        <f>IF(OR(X159="",Y159=""),"",NETWORKDAYS.INTL(X159,Y159,1,'HELPER(Dont Delete)'!A:A))</f>
        <v>2</v>
      </c>
      <c r="AR159" s="54" t="str">
        <f>IF(OR(Y159="",AA159=""),"",NETWORKDAYS.INTL(Y159,AA159,1,'HELPER(Dont Delete)'!A:A))</f>
        <v/>
      </c>
    </row>
    <row r="160" spans="1:49" s="87" customFormat="1">
      <c r="A160" s="87">
        <v>157</v>
      </c>
      <c r="B160" s="135">
        <v>45659</v>
      </c>
      <c r="C160" s="136">
        <v>45683</v>
      </c>
      <c r="D160" s="87" t="s">
        <v>102</v>
      </c>
      <c r="E160" s="82" t="s">
        <v>219</v>
      </c>
      <c r="F160" s="82" t="s">
        <v>220</v>
      </c>
      <c r="G160" s="137" t="s">
        <v>1137</v>
      </c>
      <c r="H160" s="137">
        <v>9769806993</v>
      </c>
      <c r="I160" s="138" t="s">
        <v>1138</v>
      </c>
      <c r="J160" s="137" t="s">
        <v>1107</v>
      </c>
      <c r="K160" s="137">
        <v>9.5</v>
      </c>
      <c r="L160" s="137">
        <v>6</v>
      </c>
      <c r="M160" s="137" t="s">
        <v>1139</v>
      </c>
      <c r="N160" s="137" t="s">
        <v>425</v>
      </c>
      <c r="O160" s="137" t="s">
        <v>1140</v>
      </c>
      <c r="P160" s="137" t="s">
        <v>770</v>
      </c>
      <c r="Q160" s="137" t="s">
        <v>558</v>
      </c>
      <c r="R160" s="137" t="s">
        <v>42</v>
      </c>
      <c r="S160" s="137"/>
      <c r="T160" s="87" t="s">
        <v>1141</v>
      </c>
      <c r="U160" s="87" t="s">
        <v>369</v>
      </c>
      <c r="V160" s="61" t="s">
        <v>291</v>
      </c>
      <c r="W160" s="61"/>
      <c r="X160" s="127">
        <v>45695</v>
      </c>
      <c r="AP160" s="54">
        <f>IF(OR(X160="",C160=""),"",NETWORKDAYS.INTL(C160,X160,1,'HELPER(Dont Delete)'!A:A))</f>
        <v>10</v>
      </c>
      <c r="AQ160" s="54" t="str">
        <f>IF(OR(X160="",Y160=""),"",NETWORKDAYS.INTL(X160,Y160,1,'HELPER(Dont Delete)'!A:A))</f>
        <v/>
      </c>
      <c r="AR160" s="54" t="str">
        <f>IF(OR(Y160="",AA160=""),"",NETWORKDAYS.INTL(Y160,AA160,1,'HELPER(Dont Delete)'!A:A))</f>
        <v/>
      </c>
    </row>
    <row r="161" spans="1:49" ht="15.5">
      <c r="A161" s="126">
        <v>161</v>
      </c>
      <c r="B161" s="127">
        <v>45685</v>
      </c>
      <c r="C161" s="127">
        <v>45720</v>
      </c>
      <c r="D161" s="129" t="s">
        <v>107</v>
      </c>
      <c r="E161" s="126" t="s">
        <v>219</v>
      </c>
      <c r="F161" s="126" t="s">
        <v>220</v>
      </c>
      <c r="G161" s="132" t="s">
        <v>1142</v>
      </c>
      <c r="H161" s="132">
        <v>9960376540</v>
      </c>
      <c r="I161" s="133" t="s">
        <v>1143</v>
      </c>
      <c r="J161" s="150" t="s">
        <v>1087</v>
      </c>
      <c r="K161" s="132">
        <v>12</v>
      </c>
      <c r="L161" s="132">
        <v>12</v>
      </c>
      <c r="M161" s="132" t="s">
        <v>1144</v>
      </c>
      <c r="N161" s="132" t="s">
        <v>425</v>
      </c>
      <c r="O161" s="132" t="s">
        <v>1145</v>
      </c>
      <c r="P161" s="129" t="s">
        <v>770</v>
      </c>
      <c r="Q161" s="132" t="s">
        <v>1146</v>
      </c>
      <c r="R161" s="132" t="s">
        <v>228</v>
      </c>
      <c r="S161" s="132"/>
      <c r="T161" s="129">
        <v>4.2</v>
      </c>
      <c r="U161" s="129" t="s">
        <v>369</v>
      </c>
      <c r="V161" s="87" t="s">
        <v>1147</v>
      </c>
      <c r="W161" s="139"/>
      <c r="X161" s="108">
        <v>45762</v>
      </c>
      <c r="Y161" s="127"/>
      <c r="Z161" s="129"/>
      <c r="AA161" s="127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29"/>
      <c r="AL161" s="129"/>
      <c r="AM161" s="129"/>
      <c r="AN161" s="129"/>
      <c r="AO161" s="129"/>
      <c r="AP161" s="54">
        <f>IF(OR(X161="",C161=""),"",NETWORKDAYS.INTL(C161,X161,1,'HELPER(Dont Delete)'!A:A))</f>
        <v>31</v>
      </c>
      <c r="AQ161" s="54" t="str">
        <f>IF(OR(X161="",Y161=""),"",NETWORKDAYS.INTL(X161,Y161,1,'HELPER(Dont Delete)'!A:A))</f>
        <v/>
      </c>
      <c r="AR161" s="54" t="str">
        <f>IF(OR(Y161="",AA161=""),"",NETWORKDAYS.INTL(Y161,AA161,1,'HELPER(Dont Delete)'!A:A))</f>
        <v/>
      </c>
      <c r="AS161" s="129"/>
      <c r="AT161" s="129"/>
      <c r="AU161" s="129"/>
      <c r="AV161" s="129"/>
      <c r="AW161" s="129"/>
    </row>
    <row r="162" spans="1:49" ht="15.5">
      <c r="A162" s="126">
        <v>162</v>
      </c>
      <c r="B162" s="127">
        <v>45685</v>
      </c>
      <c r="C162" s="127">
        <v>45720</v>
      </c>
      <c r="D162" s="129" t="s">
        <v>107</v>
      </c>
      <c r="E162" s="126" t="s">
        <v>219</v>
      </c>
      <c r="F162" s="126" t="s">
        <v>220</v>
      </c>
      <c r="G162" s="132" t="s">
        <v>1148</v>
      </c>
      <c r="H162" s="132">
        <v>8856879590</v>
      </c>
      <c r="I162" s="133" t="s">
        <v>1149</v>
      </c>
      <c r="J162" s="150" t="s">
        <v>1087</v>
      </c>
      <c r="K162" s="132">
        <v>9</v>
      </c>
      <c r="L162" s="132">
        <v>9</v>
      </c>
      <c r="M162" s="132" t="s">
        <v>1113</v>
      </c>
      <c r="N162" s="132" t="s">
        <v>425</v>
      </c>
      <c r="O162" s="132" t="s">
        <v>49</v>
      </c>
      <c r="P162" s="129" t="s">
        <v>770</v>
      </c>
      <c r="Q162" s="132" t="s">
        <v>1150</v>
      </c>
      <c r="R162" s="132" t="s">
        <v>1115</v>
      </c>
      <c r="S162" s="132"/>
      <c r="T162" s="129">
        <v>2</v>
      </c>
      <c r="U162" s="129" t="s">
        <v>369</v>
      </c>
      <c r="V162" s="87" t="s">
        <v>231</v>
      </c>
      <c r="W162" s="139"/>
      <c r="X162" s="152">
        <v>45726</v>
      </c>
      <c r="Y162" s="127">
        <v>45735</v>
      </c>
      <c r="Z162" s="129" t="s">
        <v>232</v>
      </c>
      <c r="AA162" s="127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54">
        <f>IF(OR(X162="",C162=""),"",NETWORKDAYS.INTL(C162,X162,1,'HELPER(Dont Delete)'!A:A))</f>
        <v>5</v>
      </c>
      <c r="AQ162" s="54">
        <f>IF(OR(X162="",Y162=""),"",NETWORKDAYS.INTL(X162,Y162,1,'HELPER(Dont Delete)'!A:A))</f>
        <v>8</v>
      </c>
      <c r="AR162" s="54" t="str">
        <f>IF(OR(Y162="",AA162=""),"",NETWORKDAYS.INTL(Y162,AA162,1,'HELPER(Dont Delete)'!A:A))</f>
        <v/>
      </c>
      <c r="AS162" s="129"/>
      <c r="AT162" s="129"/>
      <c r="AU162" s="129"/>
      <c r="AV162" s="129"/>
      <c r="AW162" s="129"/>
    </row>
    <row r="163" spans="1:49" ht="15.5">
      <c r="A163" s="126"/>
      <c r="B163" s="127">
        <v>45685</v>
      </c>
      <c r="C163" s="127">
        <v>45734</v>
      </c>
      <c r="D163" s="129" t="s">
        <v>107</v>
      </c>
      <c r="E163" s="126" t="s">
        <v>219</v>
      </c>
      <c r="F163" s="126" t="s">
        <v>220</v>
      </c>
      <c r="G163" s="132" t="s">
        <v>1151</v>
      </c>
      <c r="H163" s="132">
        <v>9303863910</v>
      </c>
      <c r="I163" s="133" t="s">
        <v>1152</v>
      </c>
      <c r="J163" s="150" t="s">
        <v>1153</v>
      </c>
      <c r="K163" s="132">
        <v>6.5</v>
      </c>
      <c r="L163" s="132">
        <v>6.5</v>
      </c>
      <c r="M163" s="132" t="s">
        <v>1154</v>
      </c>
      <c r="N163" s="132" t="s">
        <v>1155</v>
      </c>
      <c r="O163" s="132" t="s">
        <v>1156</v>
      </c>
      <c r="P163" s="129" t="s">
        <v>1157</v>
      </c>
      <c r="Q163" s="132" t="s">
        <v>456</v>
      </c>
      <c r="R163" s="132" t="s">
        <v>1158</v>
      </c>
      <c r="S163" s="132"/>
      <c r="T163" s="129">
        <v>1.8</v>
      </c>
      <c r="U163" s="129" t="s">
        <v>671</v>
      </c>
      <c r="V163" s="87" t="s">
        <v>599</v>
      </c>
      <c r="W163" s="139"/>
      <c r="X163" s="127">
        <v>45735</v>
      </c>
      <c r="Y163" s="127">
        <v>45771</v>
      </c>
      <c r="Z163" s="129" t="s">
        <v>340</v>
      </c>
      <c r="AA163" s="127">
        <v>45772</v>
      </c>
      <c r="AB163" s="129" t="s">
        <v>232</v>
      </c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54">
        <f>IF(OR(X163="",C163=""),"",NETWORKDAYS.INTL(C163,X163,1,'HELPER(Dont Delete)'!A:A))</f>
        <v>2</v>
      </c>
      <c r="AQ163" s="54">
        <f>IF(OR(X163="",Y163=""),"",NETWORKDAYS.INTL(X163,Y163,1,'HELPER(Dont Delete)'!A:A))</f>
        <v>27</v>
      </c>
      <c r="AR163" s="54">
        <f>IF(OR(Y163="",AA163=""),"",NETWORKDAYS.INTL(Y163,AA163,1,'HELPER(Dont Delete)'!A:A))</f>
        <v>2</v>
      </c>
      <c r="AS163" s="129"/>
      <c r="AT163" s="129"/>
      <c r="AU163" s="129"/>
      <c r="AV163" s="129"/>
      <c r="AW163" s="129"/>
    </row>
    <row r="164" spans="1:49" ht="15.5">
      <c r="A164" s="126"/>
      <c r="B164" s="127">
        <v>45685</v>
      </c>
      <c r="C164" s="127">
        <v>45734</v>
      </c>
      <c r="D164" s="129" t="s">
        <v>107</v>
      </c>
      <c r="E164" s="126" t="s">
        <v>219</v>
      </c>
      <c r="F164" s="126" t="s">
        <v>220</v>
      </c>
      <c r="G164" s="132" t="s">
        <v>1159</v>
      </c>
      <c r="H164" s="132">
        <v>9096081428</v>
      </c>
      <c r="I164" s="133" t="s">
        <v>1160</v>
      </c>
      <c r="J164" s="150" t="s">
        <v>1161</v>
      </c>
      <c r="K164" s="132">
        <v>10</v>
      </c>
      <c r="L164" s="132">
        <v>10</v>
      </c>
      <c r="M164" s="132" t="s">
        <v>1162</v>
      </c>
      <c r="N164" s="132" t="s">
        <v>1155</v>
      </c>
      <c r="O164" s="132" t="s">
        <v>1163</v>
      </c>
      <c r="P164" s="129" t="s">
        <v>1164</v>
      </c>
      <c r="Q164" s="132" t="s">
        <v>456</v>
      </c>
      <c r="R164" s="132" t="s">
        <v>564</v>
      </c>
      <c r="S164" s="132"/>
      <c r="T164" s="129" t="s">
        <v>1165</v>
      </c>
      <c r="U164" s="129" t="s">
        <v>671</v>
      </c>
      <c r="V164" s="87" t="s">
        <v>1166</v>
      </c>
      <c r="W164" s="139"/>
      <c r="X164" s="127">
        <v>45735</v>
      </c>
      <c r="Y164" s="127"/>
      <c r="Z164" s="129"/>
      <c r="AA164" s="127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54">
        <f>IF(OR(X164="",C164=""),"",NETWORKDAYS.INTL(C164,X164,1,'HELPER(Dont Delete)'!A:A))</f>
        <v>2</v>
      </c>
      <c r="AQ164" s="54" t="str">
        <f>IF(OR(X164="",Y164=""),"",NETWORKDAYS.INTL(X164,Y164,1,'HELPER(Dont Delete)'!A:A))</f>
        <v/>
      </c>
      <c r="AR164" s="54" t="str">
        <f>IF(OR(Y164="",AA164=""),"",NETWORKDAYS.INTL(Y164,AA164,1,'HELPER(Dont Delete)'!A:A))</f>
        <v/>
      </c>
      <c r="AS164" s="129"/>
      <c r="AT164" s="129"/>
      <c r="AU164" s="129"/>
      <c r="AV164" s="129"/>
      <c r="AW164" s="129"/>
    </row>
    <row r="165" spans="1:49">
      <c r="A165" s="87"/>
      <c r="B165" s="135">
        <v>45659</v>
      </c>
      <c r="C165" s="136">
        <v>45740</v>
      </c>
      <c r="D165" s="87" t="s">
        <v>96</v>
      </c>
      <c r="E165" s="82" t="s">
        <v>219</v>
      </c>
      <c r="F165" s="82" t="s">
        <v>220</v>
      </c>
      <c r="G165" s="140" t="s">
        <v>1167</v>
      </c>
      <c r="H165" s="87">
        <v>9834008800</v>
      </c>
      <c r="I165" s="87" t="s">
        <v>1168</v>
      </c>
      <c r="J165" s="141" t="s">
        <v>1169</v>
      </c>
      <c r="K165" s="87" t="s">
        <v>1170</v>
      </c>
      <c r="L165" s="87" t="s">
        <v>1170</v>
      </c>
      <c r="M165" s="87" t="s">
        <v>1171</v>
      </c>
      <c r="N165" s="87" t="s">
        <v>1003</v>
      </c>
      <c r="O165" s="87" t="s">
        <v>1172</v>
      </c>
      <c r="P165" s="87" t="s">
        <v>70</v>
      </c>
      <c r="Q165" s="87" t="s">
        <v>1173</v>
      </c>
      <c r="R165" s="87" t="s">
        <v>1174</v>
      </c>
      <c r="S165" s="87"/>
      <c r="T165" s="87">
        <v>3.8</v>
      </c>
      <c r="U165" s="87" t="s">
        <v>1175</v>
      </c>
      <c r="V165" s="126" t="s">
        <v>231</v>
      </c>
      <c r="W165" s="126"/>
      <c r="X165" s="108">
        <v>45741</v>
      </c>
      <c r="Y165" s="108">
        <v>45742</v>
      </c>
      <c r="Z165" s="87" t="s">
        <v>232</v>
      </c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  <c r="AN165" s="87"/>
      <c r="AO165" s="87"/>
      <c r="AP165" s="54">
        <f>IF(OR(X165="",C165=""),"",NETWORKDAYS.INTL(C165,X165,1,'HELPER(Dont Delete)'!A:A))</f>
        <v>2</v>
      </c>
      <c r="AQ165" s="54">
        <f>IF(OR(X165="",Y165=""),"",NETWORKDAYS.INTL(X165,Y165,1,'HELPER(Dont Delete)'!A:A))</f>
        <v>2</v>
      </c>
      <c r="AR165" s="54" t="str">
        <f>IF(OR(Y165="",AA165=""),"",NETWORKDAYS.INTL(Y165,AA165,1,'HELPER(Dont Delete)'!A:A))</f>
        <v/>
      </c>
      <c r="AS165" s="87"/>
      <c r="AT165" s="87"/>
      <c r="AU165" s="87"/>
      <c r="AV165" s="87"/>
      <c r="AW165" s="87"/>
    </row>
    <row r="166" spans="1:49">
      <c r="A166" s="87"/>
      <c r="B166" s="135">
        <v>45659</v>
      </c>
      <c r="C166" s="136">
        <v>45740</v>
      </c>
      <c r="D166" s="87" t="s">
        <v>96</v>
      </c>
      <c r="E166" s="82" t="s">
        <v>219</v>
      </c>
      <c r="F166" s="82" t="s">
        <v>220</v>
      </c>
      <c r="G166" s="140" t="s">
        <v>1176</v>
      </c>
      <c r="H166" s="87">
        <v>7387943822</v>
      </c>
      <c r="I166" s="87" t="s">
        <v>1177</v>
      </c>
      <c r="J166" s="141" t="s">
        <v>1169</v>
      </c>
      <c r="K166" s="87">
        <v>5.5</v>
      </c>
      <c r="L166" s="87">
        <v>5.5</v>
      </c>
      <c r="M166" s="87" t="s">
        <v>1178</v>
      </c>
      <c r="N166" s="87" t="s">
        <v>756</v>
      </c>
      <c r="O166" s="87" t="s">
        <v>1179</v>
      </c>
      <c r="P166" s="87" t="s">
        <v>1180</v>
      </c>
      <c r="Q166" s="87" t="s">
        <v>1181</v>
      </c>
      <c r="R166" s="87" t="s">
        <v>837</v>
      </c>
      <c r="S166" s="87"/>
      <c r="T166" s="87">
        <v>1.7</v>
      </c>
      <c r="U166" s="87" t="s">
        <v>1175</v>
      </c>
      <c r="V166" s="126" t="s">
        <v>231</v>
      </c>
      <c r="W166" s="126"/>
      <c r="X166" s="108">
        <v>45741</v>
      </c>
      <c r="Y166" s="108">
        <v>45742</v>
      </c>
      <c r="Z166" s="87" t="s">
        <v>232</v>
      </c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  <c r="AN166" s="87"/>
      <c r="AO166" s="87"/>
      <c r="AP166" s="54">
        <f>IF(OR(X166="",C166=""),"",NETWORKDAYS.INTL(C166,X166,1,'HELPER(Dont Delete)'!A:A))</f>
        <v>2</v>
      </c>
      <c r="AQ166" s="54">
        <f>IF(OR(X166="",Y166=""),"",NETWORKDAYS.INTL(X166,Y166,1,'HELPER(Dont Delete)'!A:A))</f>
        <v>2</v>
      </c>
      <c r="AR166" s="54" t="str">
        <f>IF(OR(Y166="",AA166=""),"",NETWORKDAYS.INTL(Y166,AA166,1,'HELPER(Dont Delete)'!A:A))</f>
        <v/>
      </c>
      <c r="AS166" s="87"/>
      <c r="AT166" s="87"/>
      <c r="AU166" s="87"/>
      <c r="AV166" s="87"/>
      <c r="AW166" s="87"/>
    </row>
    <row r="167" spans="1:49">
      <c r="A167" s="87"/>
      <c r="B167" s="135">
        <v>45659</v>
      </c>
      <c r="C167" s="136">
        <v>45744</v>
      </c>
      <c r="D167" s="87" t="s">
        <v>96</v>
      </c>
      <c r="E167" s="82" t="s">
        <v>219</v>
      </c>
      <c r="F167" s="82" t="s">
        <v>220</v>
      </c>
      <c r="G167" s="140" t="s">
        <v>1182</v>
      </c>
      <c r="H167" s="87">
        <v>8888129986</v>
      </c>
      <c r="I167" s="87" t="s">
        <v>1183</v>
      </c>
      <c r="J167" s="141" t="s">
        <v>1184</v>
      </c>
      <c r="K167" s="87">
        <v>4</v>
      </c>
      <c r="L167" s="87">
        <v>4</v>
      </c>
      <c r="M167" s="87" t="s">
        <v>1185</v>
      </c>
      <c r="N167" s="87">
        <v>60</v>
      </c>
      <c r="O167" s="87"/>
      <c r="P167" s="87"/>
      <c r="Q167" s="87" t="s">
        <v>227</v>
      </c>
      <c r="R167" s="87" t="s">
        <v>683</v>
      </c>
      <c r="S167" s="87"/>
      <c r="T167" s="87"/>
      <c r="U167" s="87"/>
      <c r="V167" s="126" t="s">
        <v>291</v>
      </c>
      <c r="W167" s="126"/>
      <c r="X167" s="108">
        <v>45747</v>
      </c>
      <c r="Y167" s="108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  <c r="AN167" s="87"/>
      <c r="AO167" s="87"/>
      <c r="AP167" s="54">
        <f>IF(OR(X167="",C167=""),"",NETWORKDAYS.INTL(C167,X167,1,'HELPER(Dont Delete)'!A:A))</f>
        <v>2</v>
      </c>
      <c r="AQ167" s="54" t="str">
        <f>IF(OR(X167="",Y167=""),"",NETWORKDAYS.INTL(X167,Y167,1,'HELPER(Dont Delete)'!A:A))</f>
        <v/>
      </c>
      <c r="AR167" s="54" t="str">
        <f>IF(OR(Y167="",AA167=""),"",NETWORKDAYS.INTL(Y167,AA167,1,'HELPER(Dont Delete)'!A:A))</f>
        <v/>
      </c>
      <c r="AS167" s="87"/>
      <c r="AT167" s="87"/>
      <c r="AU167" s="87"/>
      <c r="AV167" s="87"/>
      <c r="AW167" s="87"/>
    </row>
    <row r="168" spans="1:49">
      <c r="A168" s="87"/>
      <c r="B168" s="135">
        <v>45659</v>
      </c>
      <c r="C168" s="136">
        <v>45744</v>
      </c>
      <c r="D168" s="87" t="s">
        <v>96</v>
      </c>
      <c r="E168" s="82" t="s">
        <v>219</v>
      </c>
      <c r="F168" s="82" t="s">
        <v>220</v>
      </c>
      <c r="G168" s="140" t="s">
        <v>1186</v>
      </c>
      <c r="H168" s="87">
        <v>6369023169</v>
      </c>
      <c r="I168" s="87" t="s">
        <v>1187</v>
      </c>
      <c r="J168" s="141" t="s">
        <v>1184</v>
      </c>
      <c r="K168" s="87">
        <v>3.5</v>
      </c>
      <c r="L168" s="87">
        <v>3.5</v>
      </c>
      <c r="M168" s="87" t="s">
        <v>1188</v>
      </c>
      <c r="N168" s="87">
        <v>30</v>
      </c>
      <c r="O168" s="87"/>
      <c r="P168" s="87"/>
      <c r="Q168" s="87" t="s">
        <v>227</v>
      </c>
      <c r="R168" s="87" t="s">
        <v>1189</v>
      </c>
      <c r="S168" s="87"/>
      <c r="T168" s="87"/>
      <c r="U168" s="87"/>
      <c r="V168" s="126" t="s">
        <v>291</v>
      </c>
      <c r="W168" s="126"/>
      <c r="X168" s="108">
        <v>45747</v>
      </c>
      <c r="Y168" s="108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  <c r="AN168" s="87"/>
      <c r="AO168" s="87"/>
      <c r="AP168" s="54">
        <f>IF(OR(X168="",C168=""),"",NETWORKDAYS.INTL(C168,X168,1,'HELPER(Dont Delete)'!A:A))</f>
        <v>2</v>
      </c>
      <c r="AQ168" s="54" t="str">
        <f>IF(OR(X168="",Y168=""),"",NETWORKDAYS.INTL(X168,Y168,1,'HELPER(Dont Delete)'!A:A))</f>
        <v/>
      </c>
      <c r="AR168" s="54" t="str">
        <f>IF(OR(Y168="",AA168=""),"",NETWORKDAYS.INTL(Y168,AA168,1,'HELPER(Dont Delete)'!A:A))</f>
        <v/>
      </c>
      <c r="AS168" s="87"/>
      <c r="AT168" s="87"/>
      <c r="AU168" s="87"/>
      <c r="AV168" s="87"/>
      <c r="AW168" s="87"/>
    </row>
    <row r="169" spans="1:49">
      <c r="A169" s="87"/>
      <c r="B169" s="135">
        <v>45659</v>
      </c>
      <c r="C169" s="136">
        <v>45744</v>
      </c>
      <c r="D169" s="87" t="s">
        <v>96</v>
      </c>
      <c r="E169" s="82" t="s">
        <v>219</v>
      </c>
      <c r="F169" s="82" t="s">
        <v>220</v>
      </c>
      <c r="G169" s="140" t="s">
        <v>1190</v>
      </c>
      <c r="H169" s="87">
        <v>9048526350</v>
      </c>
      <c r="I169" s="87" t="s">
        <v>1191</v>
      </c>
      <c r="J169" s="141" t="s">
        <v>1184</v>
      </c>
      <c r="K169" s="87">
        <v>3.7</v>
      </c>
      <c r="L169" s="87">
        <v>3.7</v>
      </c>
      <c r="M169" s="87" t="s">
        <v>1192</v>
      </c>
      <c r="N169" s="87">
        <v>30</v>
      </c>
      <c r="O169" s="87"/>
      <c r="P169" s="87"/>
      <c r="Q169" s="87" t="s">
        <v>227</v>
      </c>
      <c r="R169" s="87" t="s">
        <v>837</v>
      </c>
      <c r="S169" s="87"/>
      <c r="T169" s="87"/>
      <c r="U169" s="87"/>
      <c r="V169" s="126" t="s">
        <v>291</v>
      </c>
      <c r="W169" s="126"/>
      <c r="X169" s="108">
        <v>45747</v>
      </c>
      <c r="Y169" s="108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  <c r="AM169" s="87"/>
      <c r="AN169" s="87"/>
      <c r="AO169" s="87"/>
      <c r="AP169" s="54">
        <f>IF(OR(X169="",C169=""),"",NETWORKDAYS.INTL(C169,X169,1,'HELPER(Dont Delete)'!A:A))</f>
        <v>2</v>
      </c>
      <c r="AQ169" s="54" t="str">
        <f>IF(OR(X169="",Y169=""),"",NETWORKDAYS.INTL(X169,Y169,1,'HELPER(Dont Delete)'!A:A))</f>
        <v/>
      </c>
      <c r="AR169" s="54" t="str">
        <f>IF(OR(Y169="",AA169=""),"",NETWORKDAYS.INTL(Y169,AA169,1,'HELPER(Dont Delete)'!A:A))</f>
        <v/>
      </c>
      <c r="AS169" s="87"/>
      <c r="AT169" s="87"/>
      <c r="AU169" s="87"/>
      <c r="AV169" s="87"/>
      <c r="AW169" s="87"/>
    </row>
    <row r="170" spans="1:49">
      <c r="A170" s="87"/>
      <c r="B170" s="135">
        <v>45659</v>
      </c>
      <c r="C170" s="136">
        <v>45744</v>
      </c>
      <c r="D170" s="87" t="s">
        <v>96</v>
      </c>
      <c r="E170" s="82" t="s">
        <v>219</v>
      </c>
      <c r="F170" s="82" t="s">
        <v>220</v>
      </c>
      <c r="G170" s="140" t="s">
        <v>1193</v>
      </c>
      <c r="H170" s="87">
        <v>9370728138</v>
      </c>
      <c r="I170" s="87" t="s">
        <v>1194</v>
      </c>
      <c r="J170" s="141" t="s">
        <v>1184</v>
      </c>
      <c r="K170" s="87">
        <v>4</v>
      </c>
      <c r="L170" s="87">
        <v>4</v>
      </c>
      <c r="M170" s="87" t="s">
        <v>1195</v>
      </c>
      <c r="N170" s="87">
        <v>30</v>
      </c>
      <c r="O170" s="87"/>
      <c r="P170" s="87"/>
      <c r="Q170" s="87" t="s">
        <v>1196</v>
      </c>
      <c r="R170" s="87" t="s">
        <v>1197</v>
      </c>
      <c r="S170" s="87"/>
      <c r="T170" s="87"/>
      <c r="U170" s="87" t="s">
        <v>369</v>
      </c>
      <c r="V170" s="126" t="s">
        <v>231</v>
      </c>
      <c r="W170" s="126" t="s">
        <v>741</v>
      </c>
      <c r="X170" s="108">
        <v>45747</v>
      </c>
      <c r="Y170" s="108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  <c r="AN170" s="87"/>
      <c r="AO170" s="87"/>
      <c r="AP170" s="54">
        <f>IF(OR(X170="",C170=""),"",NETWORKDAYS.INTL(C170,X170,1,'HELPER(Dont Delete)'!A:A))</f>
        <v>2</v>
      </c>
      <c r="AQ170" s="54" t="str">
        <f>IF(OR(X170="",Y170=""),"",NETWORKDAYS.INTL(X170,Y170,1,'HELPER(Dont Delete)'!A:A))</f>
        <v/>
      </c>
      <c r="AR170" s="54" t="str">
        <f>IF(OR(Y170="",AA170=""),"",NETWORKDAYS.INTL(Y170,AA170,1,'HELPER(Dont Delete)'!A:A))</f>
        <v/>
      </c>
      <c r="AS170" s="87"/>
      <c r="AT170" s="87"/>
      <c r="AU170" s="87"/>
      <c r="AV170" s="87"/>
      <c r="AW170" s="87"/>
    </row>
    <row r="171" spans="1:49">
      <c r="A171" s="87"/>
      <c r="B171" s="135">
        <v>45659</v>
      </c>
      <c r="C171" s="136">
        <v>45744</v>
      </c>
      <c r="D171" s="87" t="s">
        <v>96</v>
      </c>
      <c r="E171" s="82" t="s">
        <v>219</v>
      </c>
      <c r="F171" s="82" t="s">
        <v>220</v>
      </c>
      <c r="G171" s="140" t="s">
        <v>1198</v>
      </c>
      <c r="H171" s="87">
        <v>9518395587</v>
      </c>
      <c r="I171" s="87" t="s">
        <v>1199</v>
      </c>
      <c r="J171" s="141" t="s">
        <v>1184</v>
      </c>
      <c r="K171" s="87">
        <v>2.5</v>
      </c>
      <c r="L171" s="87">
        <v>2.5</v>
      </c>
      <c r="M171" s="87" t="s">
        <v>1200</v>
      </c>
      <c r="N171" s="87" t="s">
        <v>807</v>
      </c>
      <c r="O171" s="87"/>
      <c r="P171" s="87"/>
      <c r="Q171" s="87" t="s">
        <v>1181</v>
      </c>
      <c r="R171" s="87" t="s">
        <v>228</v>
      </c>
      <c r="S171" s="87" t="s">
        <v>1201</v>
      </c>
      <c r="T171" s="87"/>
      <c r="U171" s="87"/>
      <c r="V171" s="126" t="s">
        <v>291</v>
      </c>
      <c r="W171" s="126"/>
      <c r="X171" s="108">
        <v>45747</v>
      </c>
      <c r="Y171" s="108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  <c r="AN171" s="87"/>
      <c r="AO171" s="87"/>
      <c r="AP171" s="54">
        <f>IF(OR(X171="",C171=""),"",NETWORKDAYS.INTL(C171,X171,1,'HELPER(Dont Delete)'!A:A))</f>
        <v>2</v>
      </c>
      <c r="AQ171" s="54" t="str">
        <f>IF(OR(X171="",Y171=""),"",NETWORKDAYS.INTL(X171,Y171,1,'HELPER(Dont Delete)'!A:A))</f>
        <v/>
      </c>
      <c r="AR171" s="54" t="str">
        <f>IF(OR(Y171="",AA171=""),"",NETWORKDAYS.INTL(Y171,AA171,1,'HELPER(Dont Delete)'!A:A))</f>
        <v/>
      </c>
      <c r="AS171" s="87"/>
      <c r="AT171" s="87"/>
      <c r="AU171" s="87"/>
      <c r="AV171" s="87"/>
      <c r="AW171" s="87"/>
    </row>
    <row r="172" spans="1:49">
      <c r="A172" s="87"/>
      <c r="B172" s="135">
        <v>45659</v>
      </c>
      <c r="C172" s="136">
        <v>45744</v>
      </c>
      <c r="D172" s="87" t="s">
        <v>96</v>
      </c>
      <c r="E172" s="82" t="s">
        <v>219</v>
      </c>
      <c r="F172" s="82" t="s">
        <v>220</v>
      </c>
      <c r="G172" s="140" t="s">
        <v>1202</v>
      </c>
      <c r="H172" s="87">
        <v>8893281444</v>
      </c>
      <c r="I172" s="87" t="s">
        <v>1203</v>
      </c>
      <c r="J172" s="141" t="s">
        <v>1184</v>
      </c>
      <c r="K172" s="87">
        <v>3.1</v>
      </c>
      <c r="L172" s="87">
        <v>1.2</v>
      </c>
      <c r="M172" s="87" t="s">
        <v>1204</v>
      </c>
      <c r="N172" s="87">
        <v>30</v>
      </c>
      <c r="O172" s="87"/>
      <c r="P172" s="87"/>
      <c r="Q172" s="87" t="s">
        <v>227</v>
      </c>
      <c r="R172" s="87" t="s">
        <v>95</v>
      </c>
      <c r="S172" s="87" t="s">
        <v>1201</v>
      </c>
      <c r="T172" s="87"/>
      <c r="U172" s="87" t="s">
        <v>1205</v>
      </c>
      <c r="V172" s="126" t="s">
        <v>291</v>
      </c>
      <c r="W172" s="126"/>
      <c r="X172" s="108">
        <v>45747</v>
      </c>
      <c r="Y172" s="108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  <c r="AN172" s="87"/>
      <c r="AO172" s="87"/>
      <c r="AP172" s="54">
        <f>IF(OR(X172="",C172=""),"",NETWORKDAYS.INTL(C172,X172,1,'HELPER(Dont Delete)'!A:A))</f>
        <v>2</v>
      </c>
      <c r="AQ172" s="54" t="str">
        <f>IF(OR(X172="",Y172=""),"",NETWORKDAYS.INTL(X172,Y172,1,'HELPER(Dont Delete)'!A:A))</f>
        <v/>
      </c>
      <c r="AR172" s="54" t="str">
        <f>IF(OR(Y172="",AA172=""),"",NETWORKDAYS.INTL(Y172,AA172,1,'HELPER(Dont Delete)'!A:A))</f>
        <v/>
      </c>
      <c r="AS172" s="87"/>
      <c r="AT172" s="87"/>
      <c r="AU172" s="87"/>
      <c r="AV172" s="87"/>
      <c r="AW172" s="87"/>
    </row>
    <row r="173" spans="1:49">
      <c r="A173" s="87"/>
      <c r="B173" s="135">
        <v>45659</v>
      </c>
      <c r="C173" s="136">
        <v>45745</v>
      </c>
      <c r="D173" s="87" t="s">
        <v>96</v>
      </c>
      <c r="E173" s="82" t="s">
        <v>219</v>
      </c>
      <c r="F173" s="82" t="s">
        <v>220</v>
      </c>
      <c r="G173" s="140" t="s">
        <v>1206</v>
      </c>
      <c r="H173" s="87">
        <v>9552251854</v>
      </c>
      <c r="I173" s="87" t="s">
        <v>1207</v>
      </c>
      <c r="J173" s="141" t="s">
        <v>1208</v>
      </c>
      <c r="K173" s="87">
        <v>4</v>
      </c>
      <c r="L173" s="87">
        <v>4</v>
      </c>
      <c r="M173" s="87" t="s">
        <v>1209</v>
      </c>
      <c r="N173" s="87" t="s">
        <v>1210</v>
      </c>
      <c r="O173" s="87" t="s">
        <v>1211</v>
      </c>
      <c r="P173" s="87" t="s">
        <v>1212</v>
      </c>
      <c r="Q173" s="87" t="s">
        <v>1213</v>
      </c>
      <c r="R173" s="87" t="s">
        <v>228</v>
      </c>
      <c r="S173" s="87" t="s">
        <v>1201</v>
      </c>
      <c r="T173" s="87"/>
      <c r="U173" s="87" t="s">
        <v>671</v>
      </c>
      <c r="V173" s="126" t="s">
        <v>291</v>
      </c>
      <c r="W173" s="126"/>
      <c r="X173" s="108">
        <v>45747</v>
      </c>
      <c r="Y173" s="108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  <c r="AN173" s="87"/>
      <c r="AO173" s="87"/>
      <c r="AP173" s="54">
        <f>IF(OR(X173="",C173=""),"",NETWORKDAYS.INTL(C173,X173,1,'HELPER(Dont Delete)'!A:A))</f>
        <v>1</v>
      </c>
      <c r="AQ173" s="54" t="str">
        <f>IF(OR(X173="",Y173=""),"",NETWORKDAYS.INTL(X173,Y173,1,'HELPER(Dont Delete)'!A:A))</f>
        <v/>
      </c>
      <c r="AR173" s="54" t="str">
        <f>IF(OR(Y173="",AA173=""),"",NETWORKDAYS.INTL(Y173,AA173,1,'HELPER(Dont Delete)'!A:A))</f>
        <v/>
      </c>
      <c r="AS173" s="87"/>
      <c r="AT173" s="87"/>
      <c r="AU173" s="87"/>
      <c r="AV173" s="87"/>
      <c r="AW173" s="87"/>
    </row>
    <row r="174" spans="1:49">
      <c r="A174" s="87"/>
      <c r="B174" s="135">
        <v>45659</v>
      </c>
      <c r="C174" s="136">
        <v>45745</v>
      </c>
      <c r="D174" s="87" t="s">
        <v>96</v>
      </c>
      <c r="E174" s="82" t="s">
        <v>219</v>
      </c>
      <c r="F174" s="82" t="s">
        <v>220</v>
      </c>
      <c r="G174" s="140" t="s">
        <v>1214</v>
      </c>
      <c r="H174" s="87">
        <v>9833661421</v>
      </c>
      <c r="I174" s="87" t="s">
        <v>1215</v>
      </c>
      <c r="J174" s="141" t="s">
        <v>1216</v>
      </c>
      <c r="K174" s="87">
        <v>8</v>
      </c>
      <c r="L174" s="87">
        <v>6</v>
      </c>
      <c r="M174" s="87" t="s">
        <v>1217</v>
      </c>
      <c r="N174" s="87" t="s">
        <v>1218</v>
      </c>
      <c r="O174" s="87">
        <v>5.64</v>
      </c>
      <c r="P174" s="87" t="s">
        <v>1219</v>
      </c>
      <c r="Q174" s="87" t="s">
        <v>456</v>
      </c>
      <c r="R174" s="87" t="s">
        <v>42</v>
      </c>
      <c r="S174" s="87" t="s">
        <v>1201</v>
      </c>
      <c r="T174" s="87"/>
      <c r="U174" s="87" t="s">
        <v>671</v>
      </c>
      <c r="V174" s="126" t="s">
        <v>291</v>
      </c>
      <c r="W174" s="126"/>
      <c r="X174" s="108">
        <v>45747</v>
      </c>
      <c r="Y174" s="108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  <c r="AN174" s="87"/>
      <c r="AO174" s="87"/>
      <c r="AP174" s="54">
        <f>IF(OR(X174="",C174=""),"",NETWORKDAYS.INTL(C174,X174,1,'HELPER(Dont Delete)'!A:A))</f>
        <v>1</v>
      </c>
      <c r="AQ174" s="54" t="str">
        <f>IF(OR(X174="",Y174=""),"",NETWORKDAYS.INTL(X174,Y174,1,'HELPER(Dont Delete)'!A:A))</f>
        <v/>
      </c>
      <c r="AR174" s="54" t="str">
        <f>IF(OR(Y174="",AA174=""),"",NETWORKDAYS.INTL(Y174,AA174,1,'HELPER(Dont Delete)'!A:A))</f>
        <v/>
      </c>
      <c r="AS174" s="87"/>
      <c r="AT174" s="87"/>
      <c r="AU174" s="87"/>
      <c r="AV174" s="87"/>
      <c r="AW174" s="87"/>
    </row>
    <row r="175" spans="1:49">
      <c r="A175" s="87"/>
      <c r="B175" s="135">
        <v>45659</v>
      </c>
      <c r="C175" s="136">
        <v>45745</v>
      </c>
      <c r="D175" s="87" t="s">
        <v>96</v>
      </c>
      <c r="E175" s="82" t="s">
        <v>219</v>
      </c>
      <c r="F175" s="82" t="s">
        <v>220</v>
      </c>
      <c r="G175" s="140" t="s">
        <v>1220</v>
      </c>
      <c r="H175" s="87">
        <v>9833269458</v>
      </c>
      <c r="I175" s="87" t="s">
        <v>1221</v>
      </c>
      <c r="J175" s="141" t="s">
        <v>1222</v>
      </c>
      <c r="K175" s="87">
        <v>3</v>
      </c>
      <c r="L175" s="87">
        <v>2</v>
      </c>
      <c r="M175" s="87" t="s">
        <v>1223</v>
      </c>
      <c r="N175" s="87" t="s">
        <v>1224</v>
      </c>
      <c r="O175" s="87" t="s">
        <v>1225</v>
      </c>
      <c r="P175" s="87" t="s">
        <v>1226</v>
      </c>
      <c r="Q175" s="87" t="s">
        <v>456</v>
      </c>
      <c r="R175" s="87" t="s">
        <v>42</v>
      </c>
      <c r="S175" s="87" t="s">
        <v>1201</v>
      </c>
      <c r="T175" s="87"/>
      <c r="U175" s="87" t="s">
        <v>671</v>
      </c>
      <c r="V175" s="126" t="s">
        <v>291</v>
      </c>
      <c r="W175" s="126"/>
      <c r="X175" s="108">
        <v>45747</v>
      </c>
      <c r="Y175" s="108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  <c r="AM175" s="87"/>
      <c r="AN175" s="87"/>
      <c r="AO175" s="87"/>
      <c r="AP175" s="54">
        <f>IF(OR(X175="",C175=""),"",NETWORKDAYS.INTL(C175,X175,1,'HELPER(Dont Delete)'!A:A))</f>
        <v>1</v>
      </c>
      <c r="AQ175" s="54" t="str">
        <f>IF(OR(X175="",Y175=""),"",NETWORKDAYS.INTL(X175,Y175,1,'HELPER(Dont Delete)'!A:A))</f>
        <v/>
      </c>
      <c r="AR175" s="54" t="str">
        <f>IF(OR(Y175="",AA175=""),"",NETWORKDAYS.INTL(Y175,AA175,1,'HELPER(Dont Delete)'!A:A))</f>
        <v/>
      </c>
      <c r="AS175" s="87"/>
      <c r="AT175" s="87"/>
      <c r="AU175" s="87"/>
      <c r="AV175" s="87"/>
      <c r="AW175" s="87"/>
    </row>
    <row r="176" spans="1:49">
      <c r="A176" s="47" t="s">
        <v>0</v>
      </c>
      <c r="B176" s="48" t="s">
        <v>1</v>
      </c>
      <c r="C176" s="48" t="s">
        <v>2811</v>
      </c>
      <c r="D176" s="49" t="s">
        <v>1227</v>
      </c>
      <c r="E176" s="49" t="s">
        <v>1228</v>
      </c>
      <c r="F176" s="49" t="s">
        <v>1229</v>
      </c>
      <c r="G176" s="49" t="s">
        <v>1230</v>
      </c>
      <c r="H176" s="49" t="s">
        <v>1231</v>
      </c>
      <c r="I176" s="49" t="s">
        <v>1232</v>
      </c>
      <c r="J176" s="49" t="s">
        <v>1233</v>
      </c>
      <c r="K176" s="49" t="s">
        <v>1234</v>
      </c>
      <c r="L176" s="49" t="s">
        <v>1235</v>
      </c>
      <c r="M176" s="49" t="s">
        <v>1236</v>
      </c>
      <c r="N176" s="49" t="s">
        <v>1237</v>
      </c>
      <c r="O176" s="49" t="s">
        <v>1238</v>
      </c>
      <c r="P176" s="49" t="s">
        <v>1239</v>
      </c>
      <c r="Q176" s="49" t="s">
        <v>1240</v>
      </c>
      <c r="R176" s="49" t="s">
        <v>1241</v>
      </c>
      <c r="S176" s="49" t="s">
        <v>1242</v>
      </c>
      <c r="T176" s="47" t="s">
        <v>1243</v>
      </c>
      <c r="U176" s="47" t="s">
        <v>1244</v>
      </c>
      <c r="V176" s="47" t="s">
        <v>1245</v>
      </c>
      <c r="W176" s="47" t="s">
        <v>1246</v>
      </c>
      <c r="X176" s="48" t="s">
        <v>1247</v>
      </c>
      <c r="Y176" s="50" t="s">
        <v>1248</v>
      </c>
      <c r="Z176" s="47" t="s">
        <v>1249</v>
      </c>
      <c r="AA176" s="50" t="s">
        <v>1250</v>
      </c>
      <c r="AB176" s="47" t="s">
        <v>1251</v>
      </c>
      <c r="AC176" s="50" t="s">
        <v>1252</v>
      </c>
      <c r="AD176" s="47" t="s">
        <v>1253</v>
      </c>
      <c r="AE176" s="50" t="s">
        <v>1254</v>
      </c>
      <c r="AF176" s="50" t="s">
        <v>1255</v>
      </c>
      <c r="AG176" s="50" t="s">
        <v>1256</v>
      </c>
      <c r="AH176" s="50" t="s">
        <v>1257</v>
      </c>
      <c r="AI176" s="47" t="s">
        <v>1258</v>
      </c>
      <c r="AJ176" s="50" t="s">
        <v>18</v>
      </c>
      <c r="AK176" s="50" t="s">
        <v>1259</v>
      </c>
      <c r="AL176" s="50" t="s">
        <v>741</v>
      </c>
      <c r="AM176" s="50" t="s">
        <v>1260</v>
      </c>
      <c r="AN176" s="50" t="s">
        <v>29</v>
      </c>
      <c r="AO176" s="50" t="s">
        <v>30</v>
      </c>
      <c r="AP176" s="50" t="s">
        <v>1261</v>
      </c>
      <c r="AQ176" s="50" t="s">
        <v>741</v>
      </c>
      <c r="AR176" s="51" t="s">
        <v>1262</v>
      </c>
      <c r="AS176" s="47" t="s">
        <v>1263</v>
      </c>
      <c r="AT176" s="52" t="s">
        <v>1264</v>
      </c>
      <c r="AU176" s="52" t="s">
        <v>1265</v>
      </c>
      <c r="AV176" s="52" t="s">
        <v>1266</v>
      </c>
      <c r="AW176" s="52" t="s">
        <v>339</v>
      </c>
    </row>
    <row r="177" spans="1:49">
      <c r="A177" s="154"/>
      <c r="B177" s="135">
        <v>45742</v>
      </c>
      <c r="C177" s="155">
        <v>45744</v>
      </c>
      <c r="D177" s="87" t="s">
        <v>110</v>
      </c>
      <c r="E177" s="82" t="s">
        <v>219</v>
      </c>
      <c r="F177" s="82" t="s">
        <v>220</v>
      </c>
      <c r="G177" s="91" t="s">
        <v>1267</v>
      </c>
      <c r="H177" s="91">
        <v>9960064742</v>
      </c>
      <c r="I177" s="180" t="s">
        <v>1268</v>
      </c>
      <c r="J177" s="91" t="s">
        <v>1269</v>
      </c>
      <c r="K177" s="91">
        <v>6</v>
      </c>
      <c r="L177" s="91">
        <v>6</v>
      </c>
      <c r="M177" s="91" t="s">
        <v>1270</v>
      </c>
      <c r="N177" s="91" t="s">
        <v>1155</v>
      </c>
      <c r="O177" s="91" t="s">
        <v>1271</v>
      </c>
      <c r="P177" s="182">
        <v>0.3</v>
      </c>
      <c r="Q177" s="91" t="s">
        <v>1272</v>
      </c>
      <c r="R177" s="91" t="s">
        <v>42</v>
      </c>
      <c r="S177" s="87" t="s">
        <v>1201</v>
      </c>
      <c r="T177" s="157">
        <v>2</v>
      </c>
      <c r="U177" s="164" t="s">
        <v>671</v>
      </c>
      <c r="V177" s="61" t="s">
        <v>239</v>
      </c>
      <c r="W177" s="61"/>
      <c r="X177" s="127">
        <v>45744</v>
      </c>
      <c r="Y177" s="127"/>
      <c r="Z177" s="157"/>
      <c r="AA177" s="155"/>
      <c r="AB177" s="157"/>
      <c r="AC177" s="157"/>
      <c r="AD177" s="157"/>
      <c r="AE177" s="157"/>
      <c r="AF177" s="157"/>
      <c r="AG177" s="157"/>
      <c r="AH177" s="157"/>
      <c r="AI177" s="157"/>
      <c r="AJ177" s="157"/>
      <c r="AK177" s="54"/>
      <c r="AL177" s="129"/>
      <c r="AM177" s="157"/>
      <c r="AN177" s="157"/>
      <c r="AO177" s="157"/>
      <c r="AP177" s="54">
        <f>IF(OR(X177="",C177=""),"",NETWORKDAYS.INTL(C177,X177,1,'HELPER(Dont Delete)'!A:A))</f>
        <v>1</v>
      </c>
      <c r="AQ177" s="54" t="str">
        <f>IF(OR(X177="",Y177=""),"",NETWORKDAYS.INTL(X177,Y177,1,'HELPER(Dont Delete)'!A:A))</f>
        <v/>
      </c>
      <c r="AR177" s="54" t="str">
        <f>IF(OR(Y177="",AA177=""),"",NETWORKDAYS.INTL(Y177,AA177,1,'HELPER(Dont Delete)'!A:A))</f>
        <v/>
      </c>
      <c r="AS177" s="157"/>
      <c r="AT177" s="157"/>
      <c r="AU177" s="157"/>
      <c r="AV177" s="157"/>
      <c r="AW177" s="157"/>
    </row>
    <row r="178" spans="1:49">
      <c r="A178" s="87"/>
      <c r="B178" s="135">
        <v>45685</v>
      </c>
      <c r="C178" s="136">
        <v>45744</v>
      </c>
      <c r="D178" s="87" t="s">
        <v>107</v>
      </c>
      <c r="E178" s="82" t="s">
        <v>219</v>
      </c>
      <c r="F178" s="82" t="s">
        <v>220</v>
      </c>
      <c r="G178" s="140" t="s">
        <v>1273</v>
      </c>
      <c r="H178" s="87">
        <v>8466810970</v>
      </c>
      <c r="I178" s="87" t="s">
        <v>1274</v>
      </c>
      <c r="J178" s="141" t="s">
        <v>1275</v>
      </c>
      <c r="K178" s="87">
        <v>14</v>
      </c>
      <c r="L178" s="87">
        <v>14</v>
      </c>
      <c r="M178" s="87" t="s">
        <v>1276</v>
      </c>
      <c r="N178" s="87" t="s">
        <v>1003</v>
      </c>
      <c r="O178" s="87" t="s">
        <v>1277</v>
      </c>
      <c r="P178" s="87" t="s">
        <v>1278</v>
      </c>
      <c r="Q178" s="87" t="s">
        <v>1201</v>
      </c>
      <c r="R178" s="87"/>
      <c r="S178" s="87" t="s">
        <v>1201</v>
      </c>
      <c r="T178" s="87"/>
      <c r="U178" s="157" t="s">
        <v>369</v>
      </c>
      <c r="V178" s="126" t="s">
        <v>1279</v>
      </c>
      <c r="W178" s="126"/>
      <c r="X178" s="108">
        <v>45762</v>
      </c>
      <c r="Y178" s="108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  <c r="AN178" s="87"/>
      <c r="AO178" s="87"/>
      <c r="AP178" s="54">
        <f>IF(OR(X178="",C178=""),"",NETWORKDAYS.INTL(C178,X178,1,'HELPER(Dont Delete)'!A:A))</f>
        <v>13</v>
      </c>
      <c r="AQ178" s="54" t="str">
        <f>IF(OR(X178="",Y178=""),"",NETWORKDAYS.INTL(X178,Y178,1,'HELPER(Dont Delete)'!A:A))</f>
        <v/>
      </c>
      <c r="AR178" s="54" t="str">
        <f>IF(OR(Y178="",AA178=""),"",NETWORKDAYS.INTL(Y178,AA178,1,'HELPER(Dont Delete)'!A:A))</f>
        <v/>
      </c>
      <c r="AS178" s="87"/>
      <c r="AT178" s="87"/>
      <c r="AU178" s="87"/>
      <c r="AV178" s="87"/>
      <c r="AW178" s="87"/>
    </row>
    <row r="179" spans="1:49" ht="15.5">
      <c r="A179" s="154"/>
      <c r="B179" s="155">
        <v>45685</v>
      </c>
      <c r="C179" s="155">
        <v>45744</v>
      </c>
      <c r="D179" s="157" t="s">
        <v>107</v>
      </c>
      <c r="E179" s="154" t="s">
        <v>219</v>
      </c>
      <c r="F179" s="154" t="s">
        <v>220</v>
      </c>
      <c r="G179" s="156" t="s">
        <v>1280</v>
      </c>
      <c r="H179" s="156">
        <v>9431379289</v>
      </c>
      <c r="I179" s="162" t="s">
        <v>1281</v>
      </c>
      <c r="J179" s="163" t="s">
        <v>1282</v>
      </c>
      <c r="K179" s="156">
        <v>10</v>
      </c>
      <c r="L179" s="156">
        <v>10</v>
      </c>
      <c r="M179" s="156" t="s">
        <v>1283</v>
      </c>
      <c r="N179" s="156" t="s">
        <v>534</v>
      </c>
      <c r="O179" s="156" t="s">
        <v>1163</v>
      </c>
      <c r="P179" s="157" t="s">
        <v>1226</v>
      </c>
      <c r="Q179" s="156" t="s">
        <v>456</v>
      </c>
      <c r="R179" s="156" t="s">
        <v>1284</v>
      </c>
      <c r="S179" s="87" t="s">
        <v>1201</v>
      </c>
      <c r="T179" s="157">
        <v>2</v>
      </c>
      <c r="U179" s="157" t="s">
        <v>671</v>
      </c>
      <c r="V179" s="126" t="s">
        <v>1279</v>
      </c>
      <c r="W179" s="126"/>
      <c r="X179" s="108">
        <v>45762</v>
      </c>
      <c r="Y179" s="127"/>
      <c r="Z179" s="157"/>
      <c r="AA179" s="155"/>
      <c r="AB179" s="157"/>
      <c r="AC179" s="157"/>
      <c r="AD179" s="157"/>
      <c r="AE179" s="157"/>
      <c r="AF179" s="157"/>
      <c r="AG179" s="157"/>
      <c r="AH179" s="157"/>
      <c r="AI179" s="157"/>
      <c r="AJ179" s="157"/>
      <c r="AK179" s="157"/>
      <c r="AL179" s="157"/>
      <c r="AM179" s="157"/>
      <c r="AN179" s="157"/>
      <c r="AO179" s="157"/>
      <c r="AP179" s="54">
        <f>IF(OR(X179="",C179=""),"",NETWORKDAYS.INTL(C179,X179,1,'HELPER(Dont Delete)'!A:A))</f>
        <v>13</v>
      </c>
      <c r="AQ179" s="54" t="str">
        <f>IF(OR(X179="",Y179=""),"",NETWORKDAYS.INTL(X179,Y179,1,'HELPER(Dont Delete)'!A:A))</f>
        <v/>
      </c>
      <c r="AR179" s="54" t="str">
        <f>IF(OR(Y179="",AA179=""),"",NETWORKDAYS.INTL(Y179,AA179,1,'HELPER(Dont Delete)'!A:A))</f>
        <v/>
      </c>
      <c r="AS179" s="157"/>
      <c r="AT179" s="157"/>
      <c r="AU179" s="157"/>
      <c r="AV179" s="157"/>
      <c r="AW179" s="157"/>
    </row>
    <row r="180" spans="1:49">
      <c r="A180" s="154"/>
      <c r="B180" s="135">
        <v>45742</v>
      </c>
      <c r="C180" s="155">
        <v>45744</v>
      </c>
      <c r="D180" s="87" t="s">
        <v>110</v>
      </c>
      <c r="E180" s="82" t="s">
        <v>219</v>
      </c>
      <c r="F180" s="82" t="s">
        <v>220</v>
      </c>
      <c r="G180" s="156" t="s">
        <v>1285</v>
      </c>
      <c r="H180" s="87">
        <v>6352384920</v>
      </c>
      <c r="I180" s="87" t="s">
        <v>1286</v>
      </c>
      <c r="J180" s="91" t="s">
        <v>1287</v>
      </c>
      <c r="K180" s="91">
        <v>7</v>
      </c>
      <c r="L180" s="91">
        <v>7</v>
      </c>
      <c r="M180" s="91" t="s">
        <v>1288</v>
      </c>
      <c r="N180" s="91" t="s">
        <v>1289</v>
      </c>
      <c r="O180" s="91" t="s">
        <v>1290</v>
      </c>
      <c r="P180" s="182">
        <v>0.3</v>
      </c>
      <c r="Q180" s="91" t="s">
        <v>456</v>
      </c>
      <c r="R180" s="91" t="s">
        <v>228</v>
      </c>
      <c r="S180" s="87" t="s">
        <v>1201</v>
      </c>
      <c r="T180" s="157">
        <v>2</v>
      </c>
      <c r="U180" s="157" t="s">
        <v>671</v>
      </c>
      <c r="V180" s="126" t="s">
        <v>339</v>
      </c>
      <c r="W180" s="61" t="s">
        <v>1136</v>
      </c>
      <c r="X180" s="127">
        <v>45744</v>
      </c>
      <c r="Y180" s="127">
        <v>45749</v>
      </c>
      <c r="Z180" s="157" t="s">
        <v>35</v>
      </c>
      <c r="AA180" s="155"/>
      <c r="AB180" s="157"/>
      <c r="AC180" s="157"/>
      <c r="AD180" s="157"/>
      <c r="AE180" s="157"/>
      <c r="AF180" s="157"/>
      <c r="AG180" s="157"/>
      <c r="AH180" s="157"/>
      <c r="AI180" s="157"/>
      <c r="AJ180" s="157"/>
      <c r="AK180" s="157"/>
      <c r="AL180" s="157"/>
      <c r="AM180" s="157"/>
      <c r="AN180" s="157"/>
      <c r="AO180" s="157"/>
      <c r="AP180" s="54">
        <f>IF(OR(X180="",C180=""),"",NETWORKDAYS.INTL(C180,X180,1,'HELPER(Dont Delete)'!A:A))</f>
        <v>1</v>
      </c>
      <c r="AQ180" s="54">
        <f>IF(OR(X180="",Y180=""),"",NETWORKDAYS.INTL(X180,Y180,1,'HELPER(Dont Delete)'!A:A))</f>
        <v>4</v>
      </c>
      <c r="AR180" s="54" t="str">
        <f>IF(OR(Y180="",AA180=""),"",NETWORKDAYS.INTL(Y180,AA180,1,'HELPER(Dont Delete)'!A:A))</f>
        <v/>
      </c>
      <c r="AS180" s="157"/>
      <c r="AT180" s="157"/>
      <c r="AU180" s="157"/>
      <c r="AV180" s="157"/>
      <c r="AW180" s="157"/>
    </row>
    <row r="181" spans="1:49">
      <c r="A181" s="154"/>
      <c r="B181" s="135">
        <v>45742</v>
      </c>
      <c r="C181" s="155">
        <v>45744</v>
      </c>
      <c r="D181" s="60" t="s">
        <v>110</v>
      </c>
      <c r="E181" s="82" t="s">
        <v>219</v>
      </c>
      <c r="F181" s="82" t="s">
        <v>220</v>
      </c>
      <c r="G181" s="91" t="s">
        <v>1291</v>
      </c>
      <c r="H181" s="91">
        <v>9809979514</v>
      </c>
      <c r="I181" s="180" t="s">
        <v>1292</v>
      </c>
      <c r="J181" s="91" t="s">
        <v>1293</v>
      </c>
      <c r="K181" s="91">
        <v>8</v>
      </c>
      <c r="L181" s="91" t="s">
        <v>1226</v>
      </c>
      <c r="M181" s="91" t="s">
        <v>1294</v>
      </c>
      <c r="N181" s="91" t="s">
        <v>699</v>
      </c>
      <c r="O181" s="91" t="s">
        <v>1295</v>
      </c>
      <c r="P181" s="91" t="s">
        <v>488</v>
      </c>
      <c r="Q181" s="91" t="s">
        <v>41</v>
      </c>
      <c r="R181" s="91" t="s">
        <v>42</v>
      </c>
      <c r="S181" s="87" t="s">
        <v>1201</v>
      </c>
      <c r="T181" s="157">
        <v>2.5</v>
      </c>
      <c r="U181" s="153" t="s">
        <v>671</v>
      </c>
      <c r="V181" s="60" t="s">
        <v>231</v>
      </c>
      <c r="W181" s="61"/>
      <c r="X181" s="127">
        <v>45744</v>
      </c>
      <c r="Y181" s="127">
        <v>45749</v>
      </c>
      <c r="Z181" s="157" t="s">
        <v>232</v>
      </c>
      <c r="AA181" s="155"/>
      <c r="AB181" s="157"/>
      <c r="AC181" s="157"/>
      <c r="AD181" s="157"/>
      <c r="AE181" s="157"/>
      <c r="AF181" s="157"/>
      <c r="AG181" s="157"/>
      <c r="AH181" s="157"/>
      <c r="AI181" s="157"/>
      <c r="AJ181" s="157"/>
      <c r="AK181" s="82"/>
      <c r="AL181" s="82"/>
      <c r="AM181" s="157"/>
      <c r="AN181" s="157"/>
      <c r="AO181" s="157"/>
      <c r="AP181" s="54">
        <f>IF(OR(X181="",C181=""),"",NETWORKDAYS.INTL(C181,X181,1,'HELPER(Dont Delete)'!A:A))</f>
        <v>1</v>
      </c>
      <c r="AQ181" s="54">
        <f>IF(OR(X181="",Y181=""),"",NETWORKDAYS.INTL(X181,Y181,1,'HELPER(Dont Delete)'!A:A))</f>
        <v>4</v>
      </c>
      <c r="AR181" s="54" t="str">
        <f>IF(OR(Y181="",AA181=""),"",NETWORKDAYS.INTL(Y181,AA181,1,'HELPER(Dont Delete)'!A:A))</f>
        <v/>
      </c>
      <c r="AS181" s="157"/>
      <c r="AT181" s="157"/>
      <c r="AU181" s="157"/>
      <c r="AV181" s="157"/>
      <c r="AW181" s="157"/>
    </row>
    <row r="182" spans="1:49">
      <c r="A182" s="87"/>
      <c r="B182" s="135">
        <v>45743</v>
      </c>
      <c r="C182" s="155">
        <v>45744</v>
      </c>
      <c r="D182" s="60" t="s">
        <v>129</v>
      </c>
      <c r="E182" s="82" t="s">
        <v>219</v>
      </c>
      <c r="F182" s="82" t="s">
        <v>220</v>
      </c>
      <c r="G182" s="140" t="s">
        <v>1296</v>
      </c>
      <c r="H182" s="87">
        <v>9881009973</v>
      </c>
      <c r="I182" s="87" t="s">
        <v>1297</v>
      </c>
      <c r="J182" s="141"/>
      <c r="K182" s="87">
        <v>17</v>
      </c>
      <c r="L182" s="87">
        <v>17</v>
      </c>
      <c r="M182" s="87" t="s">
        <v>737</v>
      </c>
      <c r="N182" s="87" t="s">
        <v>1218</v>
      </c>
      <c r="O182" s="87" t="s">
        <v>1298</v>
      </c>
      <c r="P182" s="87" t="s">
        <v>1299</v>
      </c>
      <c r="Q182" s="87" t="s">
        <v>266</v>
      </c>
      <c r="R182" s="87" t="s">
        <v>1300</v>
      </c>
      <c r="S182" s="87" t="s">
        <v>68</v>
      </c>
      <c r="T182" s="87"/>
      <c r="U182" s="60" t="s">
        <v>1301</v>
      </c>
      <c r="V182" s="126" t="s">
        <v>1302</v>
      </c>
      <c r="W182" s="127" t="s">
        <v>1260</v>
      </c>
      <c r="X182" s="108">
        <v>45749</v>
      </c>
      <c r="Y182" s="108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  <c r="AN182" s="87"/>
      <c r="AO182" s="87"/>
      <c r="AP182" s="54">
        <f>IF(OR(X182="",C182=""),"",NETWORKDAYS.INTL(C182,X182,1,'HELPER(Dont Delete)'!A:A))</f>
        <v>4</v>
      </c>
      <c r="AQ182" s="54" t="str">
        <f>IF(OR(X182="",Y182=""),"",NETWORKDAYS.INTL(X182,Y182,1,'HELPER(Dont Delete)'!A:A))</f>
        <v/>
      </c>
      <c r="AR182" s="54" t="str">
        <f>IF(OR(Y182="",AA182=""),"",NETWORKDAYS.INTL(Y182,AA182,1,'HELPER(Dont Delete)'!A:A))</f>
        <v/>
      </c>
      <c r="AS182" s="87"/>
      <c r="AT182" s="87"/>
      <c r="AU182" s="87"/>
      <c r="AV182" s="87"/>
      <c r="AW182" s="87"/>
    </row>
    <row r="183" spans="1:49">
      <c r="A183" s="87"/>
      <c r="B183" s="135">
        <v>45743</v>
      </c>
      <c r="C183" s="155">
        <v>45744</v>
      </c>
      <c r="D183" s="60" t="s">
        <v>129</v>
      </c>
      <c r="E183" s="82" t="s">
        <v>219</v>
      </c>
      <c r="F183" s="82" t="s">
        <v>220</v>
      </c>
      <c r="G183" s="140" t="s">
        <v>1303</v>
      </c>
      <c r="H183" s="87">
        <v>9711112071</v>
      </c>
      <c r="I183" s="87" t="s">
        <v>1304</v>
      </c>
      <c r="J183" s="141"/>
      <c r="K183" s="87">
        <v>17</v>
      </c>
      <c r="L183" s="87">
        <v>17</v>
      </c>
      <c r="M183" s="87" t="s">
        <v>1305</v>
      </c>
      <c r="N183" s="87" t="s">
        <v>462</v>
      </c>
      <c r="O183" s="87" t="s">
        <v>1306</v>
      </c>
      <c r="P183" s="87" t="s">
        <v>1307</v>
      </c>
      <c r="Q183" s="87" t="s">
        <v>307</v>
      </c>
      <c r="R183" s="87" t="s">
        <v>299</v>
      </c>
      <c r="S183" s="87" t="s">
        <v>68</v>
      </c>
      <c r="T183" s="87"/>
      <c r="U183" s="60" t="s">
        <v>1301</v>
      </c>
      <c r="V183" s="154" t="s">
        <v>1308</v>
      </c>
      <c r="W183" s="155" t="s">
        <v>1260</v>
      </c>
      <c r="X183" s="108">
        <v>45749</v>
      </c>
      <c r="Y183" s="108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  <c r="AN183" s="87"/>
      <c r="AO183" s="87"/>
      <c r="AP183" s="54">
        <f>IF(OR(X183="",C183=""),"",NETWORKDAYS.INTL(C183,X183,1,'HELPER(Dont Delete)'!A:A))</f>
        <v>4</v>
      </c>
      <c r="AQ183" s="54" t="str">
        <f>IF(OR(X183="",Y183=""),"",NETWORKDAYS.INTL(X183,Y183,1,'HELPER(Dont Delete)'!A:A))</f>
        <v/>
      </c>
      <c r="AR183" s="54" t="str">
        <f>IF(OR(Y183="",AA183=""),"",NETWORKDAYS.INTL(Y183,AA183,1,'HELPER(Dont Delete)'!A:A))</f>
        <v/>
      </c>
      <c r="AS183" s="87"/>
      <c r="AT183" s="87"/>
      <c r="AU183" s="87"/>
      <c r="AV183" s="87"/>
      <c r="AW183" s="87"/>
    </row>
    <row r="184" spans="1:49">
      <c r="A184" s="87"/>
      <c r="B184" s="135">
        <v>45743</v>
      </c>
      <c r="C184" s="155">
        <v>45744</v>
      </c>
      <c r="D184" s="60" t="s">
        <v>129</v>
      </c>
      <c r="E184" s="82" t="s">
        <v>219</v>
      </c>
      <c r="F184" s="82" t="s">
        <v>220</v>
      </c>
      <c r="G184" s="140" t="s">
        <v>1309</v>
      </c>
      <c r="H184" s="87">
        <v>9650322100</v>
      </c>
      <c r="I184" s="87" t="s">
        <v>1310</v>
      </c>
      <c r="J184" s="141"/>
      <c r="K184" s="87">
        <v>19</v>
      </c>
      <c r="L184" s="87">
        <v>19</v>
      </c>
      <c r="M184" s="87" t="s">
        <v>1311</v>
      </c>
      <c r="N184" s="87" t="s">
        <v>462</v>
      </c>
      <c r="O184" s="87" t="s">
        <v>1312</v>
      </c>
      <c r="P184" s="87" t="s">
        <v>488</v>
      </c>
      <c r="Q184" s="87" t="s">
        <v>41</v>
      </c>
      <c r="R184" s="87" t="s">
        <v>68</v>
      </c>
      <c r="S184" s="87" t="s">
        <v>68</v>
      </c>
      <c r="T184" s="87"/>
      <c r="U184" s="60" t="s">
        <v>1301</v>
      </c>
      <c r="V184" s="154" t="s">
        <v>291</v>
      </c>
      <c r="W184" s="155" t="s">
        <v>1260</v>
      </c>
      <c r="X184" s="108">
        <v>45749</v>
      </c>
      <c r="Y184" s="108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  <c r="AN184" s="87"/>
      <c r="AO184" s="87"/>
      <c r="AP184" s="54">
        <f>IF(OR(X184="",C184=""),"",NETWORKDAYS.INTL(C184,X184,1,'HELPER(Dont Delete)'!A:A))</f>
        <v>4</v>
      </c>
      <c r="AQ184" s="54" t="str">
        <f>IF(OR(X184="",Y184=""),"",NETWORKDAYS.INTL(X184,Y184,1,'HELPER(Dont Delete)'!A:A))</f>
        <v/>
      </c>
      <c r="AR184" s="54" t="str">
        <f>IF(OR(Y184="",AA184=""),"",NETWORKDAYS.INTL(Y184,AA184,1,'HELPER(Dont Delete)'!A:A))</f>
        <v/>
      </c>
      <c r="AS184" s="87"/>
      <c r="AT184" s="87"/>
      <c r="AU184" s="87"/>
      <c r="AV184" s="87"/>
      <c r="AW184" s="87"/>
    </row>
    <row r="185" spans="1:49">
      <c r="A185" s="60"/>
      <c r="B185" s="108">
        <v>45659</v>
      </c>
      <c r="C185" s="128">
        <v>45745</v>
      </c>
      <c r="D185" s="60" t="s">
        <v>96</v>
      </c>
      <c r="E185" s="54" t="s">
        <v>219</v>
      </c>
      <c r="F185" s="54" t="s">
        <v>220</v>
      </c>
      <c r="G185" s="111" t="s">
        <v>1313</v>
      </c>
      <c r="H185" s="60">
        <v>8310298956</v>
      </c>
      <c r="I185" s="60" t="s">
        <v>1314</v>
      </c>
      <c r="J185" s="46" t="s">
        <v>1169</v>
      </c>
      <c r="K185" s="60">
        <v>3</v>
      </c>
      <c r="L185" s="60">
        <v>3</v>
      </c>
      <c r="M185" s="60" t="s">
        <v>1315</v>
      </c>
      <c r="N185" s="60" t="s">
        <v>1218</v>
      </c>
      <c r="O185" s="60" t="s">
        <v>1316</v>
      </c>
      <c r="P185" s="60" t="s">
        <v>1317</v>
      </c>
      <c r="Q185" s="60" t="s">
        <v>1181</v>
      </c>
      <c r="R185" s="60" t="s">
        <v>228</v>
      </c>
      <c r="S185" s="87" t="s">
        <v>1201</v>
      </c>
      <c r="T185" s="60">
        <v>2.2999999999999998</v>
      </c>
      <c r="U185" s="60" t="s">
        <v>369</v>
      </c>
      <c r="V185" s="126" t="s">
        <v>291</v>
      </c>
      <c r="W185" s="126"/>
      <c r="X185" s="108">
        <v>45747</v>
      </c>
      <c r="Y185" s="108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54">
        <f>IF(OR(X185="",C185=""),"",NETWORKDAYS.INTL(C185,X185,1,'HELPER(Dont Delete)'!A:A))</f>
        <v>1</v>
      </c>
      <c r="AQ185" s="54" t="str">
        <f>IF(OR(X185="",Y185=""),"",NETWORKDAYS.INTL(X185,Y185,1,'HELPER(Dont Delete)'!A:A))</f>
        <v/>
      </c>
      <c r="AR185" s="54" t="str">
        <f>IF(OR(Y185="",AA185=""),"",NETWORKDAYS.INTL(Y185,AA185,1,'HELPER(Dont Delete)'!A:A))</f>
        <v/>
      </c>
      <c r="AS185" s="60"/>
      <c r="AT185" s="60"/>
      <c r="AU185" s="60"/>
      <c r="AV185" s="60"/>
      <c r="AW185" s="60"/>
    </row>
    <row r="186" spans="1:49">
      <c r="A186" s="87"/>
      <c r="B186" s="135">
        <v>45659</v>
      </c>
      <c r="C186" s="136">
        <v>45745</v>
      </c>
      <c r="D186" s="60" t="s">
        <v>96</v>
      </c>
      <c r="E186" s="82" t="s">
        <v>219</v>
      </c>
      <c r="F186" s="82" t="s">
        <v>220</v>
      </c>
      <c r="G186" s="140" t="s">
        <v>1318</v>
      </c>
      <c r="H186" s="87">
        <v>7385058558</v>
      </c>
      <c r="I186" s="87" t="s">
        <v>1319</v>
      </c>
      <c r="J186" s="141" t="s">
        <v>1169</v>
      </c>
      <c r="K186" s="87">
        <v>3</v>
      </c>
      <c r="L186" s="87">
        <v>3</v>
      </c>
      <c r="M186" s="87" t="s">
        <v>1320</v>
      </c>
      <c r="N186" s="87" t="s">
        <v>1321</v>
      </c>
      <c r="O186" s="87" t="s">
        <v>1322</v>
      </c>
      <c r="P186" s="87" t="s">
        <v>1323</v>
      </c>
      <c r="Q186" s="87" t="s">
        <v>1095</v>
      </c>
      <c r="R186" s="87" t="s">
        <v>228</v>
      </c>
      <c r="S186" s="87" t="s">
        <v>1201</v>
      </c>
      <c r="T186" s="87">
        <v>3.4</v>
      </c>
      <c r="U186" s="87" t="s">
        <v>369</v>
      </c>
      <c r="V186" s="154" t="s">
        <v>291</v>
      </c>
      <c r="W186" s="154"/>
      <c r="X186" s="108">
        <v>45747</v>
      </c>
      <c r="Y186" s="108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  <c r="AO186" s="87"/>
      <c r="AP186" s="54">
        <f>IF(OR(X186="",C186=""),"",NETWORKDAYS.INTL(C186,X186,1,'HELPER(Dont Delete)'!A:A))</f>
        <v>1</v>
      </c>
      <c r="AQ186" s="54" t="str">
        <f>IF(OR(X186="",Y186=""),"",NETWORKDAYS.INTL(X186,Y186,1,'HELPER(Dont Delete)'!A:A))</f>
        <v/>
      </c>
      <c r="AR186" s="54" t="str">
        <f>IF(OR(Y186="",AA186=""),"",NETWORKDAYS.INTL(Y186,AA186,1,'HELPER(Dont Delete)'!A:A))</f>
        <v/>
      </c>
      <c r="AS186" s="87"/>
      <c r="AT186" s="87"/>
      <c r="AU186" s="87"/>
      <c r="AV186" s="87"/>
      <c r="AW186" s="87"/>
    </row>
    <row r="187" spans="1:49">
      <c r="A187" s="87"/>
      <c r="B187" s="135">
        <v>45659</v>
      </c>
      <c r="C187" s="136">
        <v>45745</v>
      </c>
      <c r="D187" s="60" t="s">
        <v>96</v>
      </c>
      <c r="E187" s="82" t="s">
        <v>219</v>
      </c>
      <c r="F187" s="82" t="s">
        <v>220</v>
      </c>
      <c r="G187" s="140" t="s">
        <v>1324</v>
      </c>
      <c r="H187" s="87">
        <v>9561274797</v>
      </c>
      <c r="I187" s="87" t="s">
        <v>1325</v>
      </c>
      <c r="J187" s="141" t="s">
        <v>1169</v>
      </c>
      <c r="K187" s="87">
        <v>6.5</v>
      </c>
      <c r="L187" s="87">
        <v>6.5</v>
      </c>
      <c r="M187" s="87" t="s">
        <v>1326</v>
      </c>
      <c r="N187" s="87" t="s">
        <v>425</v>
      </c>
      <c r="O187" s="87" t="s">
        <v>1327</v>
      </c>
      <c r="P187" s="87" t="s">
        <v>1328</v>
      </c>
      <c r="Q187" s="87" t="s">
        <v>558</v>
      </c>
      <c r="R187" s="87" t="s">
        <v>564</v>
      </c>
      <c r="S187" s="87" t="s">
        <v>1201</v>
      </c>
      <c r="T187" s="87">
        <v>2</v>
      </c>
      <c r="U187" s="87" t="s">
        <v>369</v>
      </c>
      <c r="V187" s="126" t="s">
        <v>291</v>
      </c>
      <c r="W187" s="126"/>
      <c r="X187" s="108">
        <v>45747</v>
      </c>
      <c r="Y187" s="108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  <c r="AN187" s="87"/>
      <c r="AO187" s="87"/>
      <c r="AP187" s="54">
        <f>IF(OR(X187="",C187=""),"",NETWORKDAYS.INTL(C187,X187,1,'HELPER(Dont Delete)'!A:A))</f>
        <v>1</v>
      </c>
      <c r="AQ187" s="54" t="str">
        <f>IF(OR(X187="",Y187=""),"",NETWORKDAYS.INTL(X187,Y187,1,'HELPER(Dont Delete)'!A:A))</f>
        <v/>
      </c>
      <c r="AR187" s="54" t="str">
        <f>IF(OR(Y187="",AA187=""),"",NETWORKDAYS.INTL(Y187,AA187,1,'HELPER(Dont Delete)'!A:A))</f>
        <v/>
      </c>
      <c r="AS187" s="87"/>
      <c r="AT187" s="87"/>
      <c r="AU187" s="87"/>
      <c r="AV187" s="87"/>
      <c r="AW187" s="87"/>
    </row>
    <row r="188" spans="1:49">
      <c r="A188" s="60"/>
      <c r="B188" s="108">
        <v>45685</v>
      </c>
      <c r="C188" s="128">
        <v>45745</v>
      </c>
      <c r="D188" s="60" t="s">
        <v>107</v>
      </c>
      <c r="E188" s="82" t="s">
        <v>219</v>
      </c>
      <c r="F188" s="82" t="s">
        <v>220</v>
      </c>
      <c r="G188" s="111" t="s">
        <v>1329</v>
      </c>
      <c r="H188" s="60">
        <v>7309465766</v>
      </c>
      <c r="I188" s="60" t="s">
        <v>1330</v>
      </c>
      <c r="J188" s="46" t="s">
        <v>1331</v>
      </c>
      <c r="K188" s="60">
        <v>8</v>
      </c>
      <c r="L188" s="60">
        <v>8</v>
      </c>
      <c r="M188" s="60" t="s">
        <v>1332</v>
      </c>
      <c r="N188" s="60" t="s">
        <v>425</v>
      </c>
      <c r="O188" s="60" t="s">
        <v>1333</v>
      </c>
      <c r="P188" s="60" t="s">
        <v>75</v>
      </c>
      <c r="Q188" s="60" t="s">
        <v>1334</v>
      </c>
      <c r="R188" s="60" t="s">
        <v>1335</v>
      </c>
      <c r="S188" s="87" t="s">
        <v>1201</v>
      </c>
      <c r="T188" s="60"/>
      <c r="U188" s="129" t="s">
        <v>369</v>
      </c>
      <c r="V188" s="126" t="s">
        <v>1279</v>
      </c>
      <c r="W188" s="126"/>
      <c r="X188" s="108">
        <v>45762</v>
      </c>
      <c r="Y188" s="108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54">
        <f>IF(OR(X188="",C188=""),"",NETWORKDAYS.INTL(C188,X188,1,'HELPER(Dont Delete)'!A:A))</f>
        <v>12</v>
      </c>
      <c r="AQ188" s="54" t="str">
        <f>IF(OR(X188="",Y188=""),"",NETWORKDAYS.INTL(X188,Y188,1,'HELPER(Dont Delete)'!A:A))</f>
        <v/>
      </c>
      <c r="AR188" s="54" t="str">
        <f>IF(OR(Y188="",AA188=""),"",NETWORKDAYS.INTL(Y188,AA188,1,'HELPER(Dont Delete)'!A:A))</f>
        <v/>
      </c>
      <c r="AS188" s="60"/>
      <c r="AT188" s="60"/>
      <c r="AU188" s="60"/>
      <c r="AV188" s="60"/>
      <c r="AW188" s="60"/>
    </row>
    <row r="189" spans="1:49">
      <c r="A189" s="60"/>
      <c r="B189" s="108">
        <v>45685</v>
      </c>
      <c r="C189" s="128">
        <v>45745</v>
      </c>
      <c r="D189" s="60" t="s">
        <v>107</v>
      </c>
      <c r="E189" s="82" t="s">
        <v>219</v>
      </c>
      <c r="F189" s="82" t="s">
        <v>220</v>
      </c>
      <c r="G189" s="111" t="s">
        <v>1336</v>
      </c>
      <c r="H189" s="60">
        <v>9409233892</v>
      </c>
      <c r="I189" s="60" t="s">
        <v>1337</v>
      </c>
      <c r="J189" s="46" t="s">
        <v>1331</v>
      </c>
      <c r="K189" s="60">
        <v>10</v>
      </c>
      <c r="L189" s="60">
        <v>10</v>
      </c>
      <c r="M189" s="60" t="s">
        <v>1338</v>
      </c>
      <c r="N189" s="60" t="s">
        <v>1003</v>
      </c>
      <c r="O189" s="60" t="s">
        <v>1339</v>
      </c>
      <c r="P189" s="60" t="s">
        <v>75</v>
      </c>
      <c r="Q189" s="60" t="s">
        <v>1340</v>
      </c>
      <c r="R189" s="60" t="s">
        <v>1278</v>
      </c>
      <c r="S189" s="87" t="s">
        <v>1201</v>
      </c>
      <c r="T189" s="60"/>
      <c r="U189" s="129" t="s">
        <v>369</v>
      </c>
      <c r="V189" s="60" t="s">
        <v>231</v>
      </c>
      <c r="W189" s="61"/>
      <c r="X189" s="108">
        <v>45762</v>
      </c>
      <c r="Y189" s="108">
        <v>45771</v>
      </c>
      <c r="Z189" s="60" t="s">
        <v>232</v>
      </c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54">
        <f>IF(OR(X189="",C189=""),"",NETWORKDAYS.INTL(C189,X189,1,'HELPER(Dont Delete)'!A:A))</f>
        <v>12</v>
      </c>
      <c r="AQ189" s="54">
        <f>IF(OR(X189="",Y189=""),"",NETWORKDAYS.INTL(X189,Y189,1,'HELPER(Dont Delete)'!A:A))</f>
        <v>8</v>
      </c>
      <c r="AR189" s="54" t="str">
        <f>IF(OR(Y189="",AA189=""),"",NETWORKDAYS.INTL(Y189,AA189,1,'HELPER(Dont Delete)'!A:A))</f>
        <v/>
      </c>
      <c r="AS189" s="60"/>
      <c r="AT189" s="60"/>
      <c r="AU189" s="60"/>
      <c r="AV189" s="60"/>
      <c r="AW189" s="60"/>
    </row>
    <row r="190" spans="1:49">
      <c r="A190" s="60"/>
      <c r="B190" s="135">
        <v>45685</v>
      </c>
      <c r="C190" s="128">
        <v>45745</v>
      </c>
      <c r="D190" s="60" t="s">
        <v>107</v>
      </c>
      <c r="E190" s="82" t="s">
        <v>219</v>
      </c>
      <c r="F190" s="82" t="s">
        <v>220</v>
      </c>
      <c r="G190" s="111" t="s">
        <v>1341</v>
      </c>
      <c r="H190" s="181">
        <v>7978361867</v>
      </c>
      <c r="I190" s="181" t="s">
        <v>1342</v>
      </c>
      <c r="J190" s="211" t="s">
        <v>1331</v>
      </c>
      <c r="K190" s="181">
        <v>9</v>
      </c>
      <c r="L190" s="181">
        <v>9</v>
      </c>
      <c r="M190" s="181" t="s">
        <v>1343</v>
      </c>
      <c r="N190" s="181" t="s">
        <v>756</v>
      </c>
      <c r="O190" s="181" t="s">
        <v>1344</v>
      </c>
      <c r="P190" s="181" t="s">
        <v>105</v>
      </c>
      <c r="Q190" s="181" t="s">
        <v>1345</v>
      </c>
      <c r="R190" s="181" t="s">
        <v>228</v>
      </c>
      <c r="S190" s="87" t="s">
        <v>1201</v>
      </c>
      <c r="T190" s="60"/>
      <c r="U190" s="129" t="s">
        <v>369</v>
      </c>
      <c r="V190" s="87" t="s">
        <v>1136</v>
      </c>
      <c r="W190" s="139"/>
      <c r="X190" s="108">
        <v>45762</v>
      </c>
      <c r="Y190" s="108">
        <v>45771</v>
      </c>
      <c r="Z190" s="60" t="s">
        <v>340</v>
      </c>
      <c r="AA190" s="113">
        <v>45772</v>
      </c>
      <c r="AB190" s="60" t="s">
        <v>340</v>
      </c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54">
        <f>IF(OR(X190="",C190=""),"",NETWORKDAYS.INTL(C190,X190,1,'HELPER(Dont Delete)'!A:A))</f>
        <v>12</v>
      </c>
      <c r="AQ190" s="54">
        <f>IF(OR(X190="",Y190=""),"",NETWORKDAYS.INTL(X190,Y190,1,'HELPER(Dont Delete)'!A:A))</f>
        <v>8</v>
      </c>
      <c r="AR190" s="54">
        <f>IF(OR(Y190="",AA190=""),"",NETWORKDAYS.INTL(Y190,AA190,1,'HELPER(Dont Delete)'!A:A))</f>
        <v>2</v>
      </c>
      <c r="AS190" s="60"/>
      <c r="AT190" s="60"/>
      <c r="AU190" s="60"/>
      <c r="AV190" s="60"/>
      <c r="AW190" s="60"/>
    </row>
    <row r="191" spans="1:49" ht="15.5">
      <c r="A191" s="145"/>
      <c r="B191" s="197">
        <v>45743</v>
      </c>
      <c r="C191" s="127">
        <v>45745</v>
      </c>
      <c r="D191" s="184" t="s">
        <v>118</v>
      </c>
      <c r="E191" s="93" t="s">
        <v>219</v>
      </c>
      <c r="F191" s="93" t="s">
        <v>220</v>
      </c>
      <c r="G191" s="200" t="s">
        <v>1346</v>
      </c>
      <c r="H191" s="202">
        <v>9503585778</v>
      </c>
      <c r="I191" s="205" t="s">
        <v>1347</v>
      </c>
      <c r="J191" s="210"/>
      <c r="K191" s="202" t="s">
        <v>744</v>
      </c>
      <c r="L191" s="202" t="s">
        <v>744</v>
      </c>
      <c r="M191" s="202" t="s">
        <v>1348</v>
      </c>
      <c r="N191" s="202" t="s">
        <v>1349</v>
      </c>
      <c r="O191" s="202" t="s">
        <v>75</v>
      </c>
      <c r="P191" s="219" t="s">
        <v>1059</v>
      </c>
      <c r="Q191" s="202" t="s">
        <v>228</v>
      </c>
      <c r="R191" s="202" t="s">
        <v>42</v>
      </c>
      <c r="S191" s="87" t="s">
        <v>1201</v>
      </c>
      <c r="T191" s="184"/>
      <c r="U191" s="185" t="s">
        <v>1350</v>
      </c>
      <c r="V191" s="223" t="s">
        <v>239</v>
      </c>
      <c r="W191" s="223"/>
      <c r="X191" s="127">
        <v>45751</v>
      </c>
      <c r="Y191" s="155"/>
      <c r="Z191" s="184"/>
      <c r="AA191" s="186"/>
      <c r="AB191" s="184"/>
      <c r="AC191" s="184"/>
      <c r="AD191" s="184"/>
      <c r="AE191" s="184"/>
      <c r="AF191" s="184"/>
      <c r="AG191" s="184"/>
      <c r="AH191" s="184"/>
      <c r="AI191" s="184"/>
      <c r="AJ191" s="184"/>
      <c r="AK191" s="129"/>
      <c r="AL191" s="129"/>
      <c r="AM191" s="184"/>
      <c r="AN191" s="184"/>
      <c r="AO191" s="184"/>
      <c r="AP191" s="54">
        <f>IF(OR(X191="",C191=""),"",NETWORKDAYS.INTL(C191,X191,1,'HELPER(Dont Delete)'!A:A))</f>
        <v>5</v>
      </c>
      <c r="AQ191" s="54" t="str">
        <f>IF(OR(X191="",Y191=""),"",NETWORKDAYS.INTL(X191,Y191,1,'HELPER(Dont Delete)'!A:A))</f>
        <v/>
      </c>
      <c r="AR191" s="54" t="str">
        <f>IF(OR(Y191="",AA191=""),"",NETWORKDAYS.INTL(Y191,AA191,1,'HELPER(Dont Delete)'!A:A))</f>
        <v/>
      </c>
      <c r="AS191" s="184"/>
      <c r="AT191" s="184"/>
      <c r="AU191" s="184"/>
      <c r="AV191" s="184"/>
      <c r="AW191" s="184"/>
    </row>
    <row r="192" spans="1:49" s="87" customFormat="1" ht="15.5">
      <c r="A192" s="154"/>
      <c r="B192" s="155">
        <v>45743</v>
      </c>
      <c r="C192" s="127">
        <v>45745</v>
      </c>
      <c r="D192" s="157" t="s">
        <v>118</v>
      </c>
      <c r="E192" s="82" t="s">
        <v>219</v>
      </c>
      <c r="F192" s="82" t="s">
        <v>220</v>
      </c>
      <c r="G192" s="156" t="s">
        <v>1351</v>
      </c>
      <c r="H192" s="156">
        <v>8275874906</v>
      </c>
      <c r="I192" s="162" t="s">
        <v>1352</v>
      </c>
      <c r="J192" s="163"/>
      <c r="K192" s="156" t="s">
        <v>779</v>
      </c>
      <c r="L192" s="156" t="s">
        <v>779</v>
      </c>
      <c r="M192" s="156" t="s">
        <v>1353</v>
      </c>
      <c r="N192" s="156" t="s">
        <v>1354</v>
      </c>
      <c r="O192" s="156" t="s">
        <v>1355</v>
      </c>
      <c r="P192" s="157" t="s">
        <v>1356</v>
      </c>
      <c r="Q192" s="156" t="s">
        <v>1357</v>
      </c>
      <c r="R192" s="156" t="s">
        <v>564</v>
      </c>
      <c r="S192" s="157" t="s">
        <v>42</v>
      </c>
      <c r="T192" s="129"/>
      <c r="U192" s="164" t="s">
        <v>1350</v>
      </c>
      <c r="V192" s="126" t="s">
        <v>231</v>
      </c>
      <c r="W192" s="154"/>
      <c r="X192" s="127">
        <v>45751</v>
      </c>
      <c r="Y192" s="155">
        <v>45754</v>
      </c>
      <c r="Z192" s="157" t="s">
        <v>232</v>
      </c>
      <c r="AA192" s="155"/>
      <c r="AB192" s="157"/>
      <c r="AC192" s="157"/>
      <c r="AD192" s="157"/>
      <c r="AE192" s="157"/>
      <c r="AF192" s="157"/>
      <c r="AG192" s="157"/>
      <c r="AH192" s="157"/>
      <c r="AI192" s="157"/>
      <c r="AJ192" s="157"/>
      <c r="AK192" s="129"/>
      <c r="AL192" s="129"/>
      <c r="AM192" s="157"/>
      <c r="AN192" s="157"/>
      <c r="AO192" s="157"/>
      <c r="AP192" s="54">
        <f>IF(OR(X192="",C192=""),"",NETWORKDAYS.INTL(C192,X192,1,'HELPER(Dont Delete)'!A:A))</f>
        <v>5</v>
      </c>
      <c r="AQ192" s="54">
        <f>IF(OR(X192="",Y192=""),"",NETWORKDAYS.INTL(X192,Y192,1,'HELPER(Dont Delete)'!A:A))</f>
        <v>2</v>
      </c>
      <c r="AR192" s="54" t="str">
        <f>IF(OR(Y192="",AA192=""),"",NETWORKDAYS.INTL(Y192,AA192,1,'HELPER(Dont Delete)'!A:A))</f>
        <v/>
      </c>
      <c r="AS192" s="157"/>
      <c r="AT192" s="157"/>
      <c r="AU192" s="157"/>
      <c r="AV192" s="157"/>
      <c r="AW192" s="157"/>
    </row>
    <row r="193" spans="1:96" ht="15.5">
      <c r="A193" s="196"/>
      <c r="B193" s="198">
        <v>45743</v>
      </c>
      <c r="C193" s="198">
        <v>45745</v>
      </c>
      <c r="D193" s="199" t="s">
        <v>118</v>
      </c>
      <c r="E193" s="159" t="s">
        <v>219</v>
      </c>
      <c r="F193" s="159" t="s">
        <v>220</v>
      </c>
      <c r="G193" s="201" t="s">
        <v>1358</v>
      </c>
      <c r="H193" s="201">
        <v>9892419603</v>
      </c>
      <c r="I193" s="206" t="s">
        <v>1359</v>
      </c>
      <c r="J193" s="212"/>
      <c r="K193" s="201" t="s">
        <v>744</v>
      </c>
      <c r="L193" s="201">
        <v>7</v>
      </c>
      <c r="M193" s="201" t="s">
        <v>1360</v>
      </c>
      <c r="N193" s="201" t="s">
        <v>49</v>
      </c>
      <c r="O193" s="201">
        <v>0.3</v>
      </c>
      <c r="P193" s="199" t="s">
        <v>318</v>
      </c>
      <c r="Q193" s="201" t="s">
        <v>42</v>
      </c>
      <c r="R193" s="201" t="s">
        <v>42</v>
      </c>
      <c r="S193" s="160" t="s">
        <v>1201</v>
      </c>
      <c r="T193" s="129"/>
      <c r="U193" s="222" t="s">
        <v>1350</v>
      </c>
      <c r="V193" s="126" t="s">
        <v>239</v>
      </c>
      <c r="W193" s="126"/>
      <c r="X193" s="127">
        <v>45751</v>
      </c>
      <c r="Y193" s="198"/>
      <c r="Z193" s="199"/>
      <c r="AA193" s="198"/>
      <c r="AB193" s="199"/>
      <c r="AC193" s="199"/>
      <c r="AD193" s="199"/>
      <c r="AE193" s="199"/>
      <c r="AF193" s="199"/>
      <c r="AG193" s="199"/>
      <c r="AH193" s="199"/>
      <c r="AI193" s="199"/>
      <c r="AJ193" s="199"/>
      <c r="AK193" s="129"/>
      <c r="AL193" s="199"/>
      <c r="AM193" s="199"/>
      <c r="AN193" s="199"/>
      <c r="AO193" s="199"/>
      <c r="AP193" s="54">
        <f>IF(OR(X193="",C193=""),"",NETWORKDAYS.INTL(C193,X193,1,'HELPER(Dont Delete)'!A:A))</f>
        <v>5</v>
      </c>
      <c r="AQ193" s="54" t="str">
        <f>IF(OR(X193="",Y193=""),"",NETWORKDAYS.INTL(X193,Y193,1,'HELPER(Dont Delete)'!A:A))</f>
        <v/>
      </c>
      <c r="AR193" s="54" t="str">
        <f>IF(OR(Y193="",AA193=""),"",NETWORKDAYS.INTL(Y193,AA193,1,'HELPER(Dont Delete)'!A:A))</f>
        <v/>
      </c>
      <c r="AS193" s="199"/>
      <c r="AT193" s="199"/>
      <c r="AU193" s="199"/>
      <c r="AV193" s="199"/>
      <c r="AW193" s="199"/>
    </row>
    <row r="194" spans="1:96" ht="15.5">
      <c r="A194" s="126"/>
      <c r="B194" s="127">
        <v>45743</v>
      </c>
      <c r="C194" s="127">
        <v>45745</v>
      </c>
      <c r="D194" s="129" t="s">
        <v>118</v>
      </c>
      <c r="E194" s="82" t="s">
        <v>219</v>
      </c>
      <c r="F194" s="82" t="s">
        <v>220</v>
      </c>
      <c r="G194" s="132" t="s">
        <v>1361</v>
      </c>
      <c r="H194" s="132" t="s">
        <v>1362</v>
      </c>
      <c r="I194" s="133" t="s">
        <v>1363</v>
      </c>
      <c r="J194" s="150"/>
      <c r="K194" s="132" t="s">
        <v>786</v>
      </c>
      <c r="L194" s="132" t="s">
        <v>779</v>
      </c>
      <c r="M194" s="132" t="s">
        <v>1364</v>
      </c>
      <c r="N194" s="132" t="s">
        <v>318</v>
      </c>
      <c r="O194" s="132" t="s">
        <v>1365</v>
      </c>
      <c r="P194" s="129" t="s">
        <v>1366</v>
      </c>
      <c r="Q194" s="132" t="s">
        <v>1367</v>
      </c>
      <c r="R194" s="132" t="s">
        <v>1368</v>
      </c>
      <c r="S194" s="129" t="s">
        <v>42</v>
      </c>
      <c r="T194" s="129"/>
      <c r="U194" s="153" t="s">
        <v>1350</v>
      </c>
      <c r="V194" s="126" t="s">
        <v>231</v>
      </c>
      <c r="W194" s="126"/>
      <c r="X194" s="127">
        <v>45751</v>
      </c>
      <c r="Y194" s="127">
        <v>45754</v>
      </c>
      <c r="Z194" s="129" t="s">
        <v>232</v>
      </c>
      <c r="AA194" s="127"/>
      <c r="AB194" s="129"/>
      <c r="AC194" s="129"/>
      <c r="AD194" s="129"/>
      <c r="AE194" s="129"/>
      <c r="AF194" s="129"/>
      <c r="AG194" s="129"/>
      <c r="AH194" s="129"/>
      <c r="AI194" s="129"/>
      <c r="AJ194" s="129"/>
      <c r="AK194" s="129"/>
      <c r="AL194" s="129"/>
      <c r="AM194" s="129"/>
      <c r="AN194" s="129"/>
      <c r="AO194" s="129"/>
      <c r="AP194" s="54">
        <f>IF(OR(X194="",C194=""),"",NETWORKDAYS.INTL(C194,X194,1,'HELPER(Dont Delete)'!A:A))</f>
        <v>5</v>
      </c>
      <c r="AQ194" s="54">
        <f>IF(OR(X194="",Y194=""),"",NETWORKDAYS.INTL(X194,Y194,1,'HELPER(Dont Delete)'!A:A))</f>
        <v>2</v>
      </c>
      <c r="AR194" s="54" t="str">
        <f>IF(OR(Y194="",AA194=""),"",NETWORKDAYS.INTL(Y194,AA194,1,'HELPER(Dont Delete)'!A:A))</f>
        <v/>
      </c>
      <c r="AS194" s="129"/>
      <c r="AT194" s="129"/>
      <c r="AU194" s="129"/>
      <c r="AV194" s="129"/>
      <c r="AW194" s="129"/>
    </row>
    <row r="195" spans="1:96">
      <c r="A195" s="60"/>
      <c r="B195" s="108">
        <v>45742</v>
      </c>
      <c r="C195" s="128">
        <v>45745</v>
      </c>
      <c r="D195" s="60" t="s">
        <v>110</v>
      </c>
      <c r="E195" s="82" t="s">
        <v>219</v>
      </c>
      <c r="F195" s="82" t="s">
        <v>220</v>
      </c>
      <c r="G195" s="111" t="s">
        <v>1369</v>
      </c>
      <c r="H195" s="60">
        <v>9967621053</v>
      </c>
      <c r="I195" s="60" t="s">
        <v>1370</v>
      </c>
      <c r="J195" s="46" t="s">
        <v>1371</v>
      </c>
      <c r="K195" s="60">
        <v>8.5</v>
      </c>
      <c r="L195" s="60">
        <v>8.5</v>
      </c>
      <c r="M195" s="60" t="s">
        <v>1372</v>
      </c>
      <c r="N195" s="60" t="s">
        <v>462</v>
      </c>
      <c r="O195" s="60" t="s">
        <v>1373</v>
      </c>
      <c r="P195" s="60" t="s">
        <v>352</v>
      </c>
      <c r="Q195" s="60" t="s">
        <v>1374</v>
      </c>
      <c r="R195" s="60" t="s">
        <v>1201</v>
      </c>
      <c r="S195" s="160" t="s">
        <v>1201</v>
      </c>
      <c r="T195" s="60">
        <v>1</v>
      </c>
      <c r="U195" s="60" t="s">
        <v>1175</v>
      </c>
      <c r="V195" s="139" t="s">
        <v>239</v>
      </c>
      <c r="W195" s="126"/>
      <c r="X195" s="127">
        <v>45747</v>
      </c>
      <c r="Y195" s="108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54"/>
      <c r="AL195" s="54"/>
      <c r="AM195" s="60"/>
      <c r="AN195" s="60"/>
      <c r="AO195" s="60"/>
      <c r="AP195" s="54">
        <f>IF(OR(X195="",C195=""),"",NETWORKDAYS.INTL(C195,X195,1,'HELPER(Dont Delete)'!A:A))</f>
        <v>1</v>
      </c>
      <c r="AQ195" s="54" t="str">
        <f>IF(OR(X195="",Y195=""),"",NETWORKDAYS.INTL(X195,Y195,1,'HELPER(Dont Delete)'!A:A))</f>
        <v/>
      </c>
      <c r="AR195" s="54" t="str">
        <f>IF(OR(Y195="",AA195=""),"",NETWORKDAYS.INTL(Y195,AA195,1,'HELPER(Dont Delete)'!A:A))</f>
        <v/>
      </c>
      <c r="AS195" s="60"/>
      <c r="AT195" s="60"/>
      <c r="AU195" s="60"/>
      <c r="AV195" s="60"/>
      <c r="AW195" s="60"/>
    </row>
    <row r="196" spans="1:96">
      <c r="A196" s="60"/>
      <c r="B196" s="108">
        <v>45742</v>
      </c>
      <c r="C196" s="128">
        <v>45745</v>
      </c>
      <c r="D196" s="60" t="s">
        <v>110</v>
      </c>
      <c r="E196" s="82" t="s">
        <v>219</v>
      </c>
      <c r="F196" s="82" t="s">
        <v>220</v>
      </c>
      <c r="G196" s="111" t="s">
        <v>1375</v>
      </c>
      <c r="H196" s="60">
        <v>8108971191</v>
      </c>
      <c r="I196" s="60" t="s">
        <v>1376</v>
      </c>
      <c r="J196" s="46" t="s">
        <v>1371</v>
      </c>
      <c r="K196" s="60">
        <v>9.6999999999999993</v>
      </c>
      <c r="L196" s="60">
        <v>9.6999999999999993</v>
      </c>
      <c r="M196" s="60" t="s">
        <v>1377</v>
      </c>
      <c r="N196" s="60" t="s">
        <v>425</v>
      </c>
      <c r="O196" s="60" t="s">
        <v>588</v>
      </c>
      <c r="P196" s="60" t="s">
        <v>57</v>
      </c>
      <c r="Q196" s="60" t="s">
        <v>1095</v>
      </c>
      <c r="R196" s="60" t="s">
        <v>42</v>
      </c>
      <c r="S196" s="60" t="s">
        <v>1201</v>
      </c>
      <c r="T196" s="60">
        <v>1.9</v>
      </c>
      <c r="U196" s="60" t="s">
        <v>1175</v>
      </c>
      <c r="V196" s="60" t="s">
        <v>231</v>
      </c>
      <c r="W196" s="61"/>
      <c r="X196" s="127">
        <v>45747</v>
      </c>
      <c r="Y196" s="108">
        <v>45751</v>
      </c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54"/>
      <c r="AL196" s="54"/>
      <c r="AM196" s="60"/>
      <c r="AN196" s="60"/>
      <c r="AO196" s="60"/>
      <c r="AP196" s="54">
        <f>IF(OR(X196="",C196=""),"",NETWORKDAYS.INTL(C196,X196,1,'HELPER(Dont Delete)'!A:A))</f>
        <v>1</v>
      </c>
      <c r="AQ196" s="54">
        <f>IF(OR(X196="",Y196=""),"",NETWORKDAYS.INTL(X196,Y196,1,'HELPER(Dont Delete)'!A:A))</f>
        <v>5</v>
      </c>
      <c r="AR196" s="54" t="str">
        <f>IF(OR(Y196="",AA196=""),"",NETWORKDAYS.INTL(Y196,AA196,1,'HELPER(Dont Delete)'!A:A))</f>
        <v/>
      </c>
      <c r="AS196" s="60"/>
      <c r="AT196" s="60"/>
      <c r="AU196" s="60"/>
      <c r="AV196" s="60"/>
      <c r="AW196" s="60"/>
      <c r="AX196" s="60"/>
      <c r="AY196" s="60"/>
      <c r="AZ196" s="60"/>
      <c r="BA196" s="87"/>
      <c r="BB196" s="87"/>
      <c r="BC196" s="60"/>
      <c r="BD196" s="60"/>
      <c r="BE196" s="60"/>
      <c r="BF196" s="60"/>
      <c r="BG196" s="60"/>
      <c r="BH196" s="60"/>
      <c r="BI196" s="60"/>
      <c r="BJ196" s="60"/>
      <c r="BK196" s="60"/>
      <c r="BL196" s="60"/>
      <c r="BM196" s="60"/>
      <c r="BN196" s="60"/>
      <c r="BO196" s="60"/>
      <c r="BP196" s="60"/>
      <c r="BQ196" s="60"/>
      <c r="BR196" s="60"/>
      <c r="BS196" s="60"/>
      <c r="BT196" s="60"/>
      <c r="BU196" s="60"/>
      <c r="BV196" s="60"/>
      <c r="BW196" s="60"/>
      <c r="BX196" s="60"/>
      <c r="BY196" s="60"/>
      <c r="BZ196" s="60"/>
      <c r="CA196" s="60"/>
      <c r="CB196" s="60"/>
      <c r="CC196" s="60"/>
      <c r="CD196" s="60"/>
      <c r="CE196" s="60"/>
      <c r="CF196" s="60"/>
      <c r="CG196" s="60"/>
      <c r="CH196" s="60"/>
      <c r="CI196" s="60"/>
      <c r="CJ196" s="60"/>
      <c r="CK196" s="60"/>
      <c r="CL196" s="60"/>
      <c r="CM196" s="60"/>
      <c r="CN196" s="60"/>
      <c r="CO196" s="60"/>
      <c r="CP196" s="60"/>
      <c r="CQ196" s="60"/>
      <c r="CR196" s="60"/>
    </row>
    <row r="197" spans="1:96" ht="15.5">
      <c r="A197" s="126"/>
      <c r="B197" s="127">
        <v>45743</v>
      </c>
      <c r="C197" s="127">
        <v>45745</v>
      </c>
      <c r="D197" s="129" t="s">
        <v>118</v>
      </c>
      <c r="E197" s="82" t="s">
        <v>219</v>
      </c>
      <c r="F197" s="82" t="s">
        <v>220</v>
      </c>
      <c r="G197" s="132" t="s">
        <v>1378</v>
      </c>
      <c r="H197" s="132">
        <v>7875113973</v>
      </c>
      <c r="I197" s="133" t="s">
        <v>1379</v>
      </c>
      <c r="J197" s="150"/>
      <c r="K197" s="132" t="s">
        <v>786</v>
      </c>
      <c r="L197" s="132" t="s">
        <v>798</v>
      </c>
      <c r="M197" s="132" t="s">
        <v>1380</v>
      </c>
      <c r="N197" s="132" t="s">
        <v>318</v>
      </c>
      <c r="O197" s="132" t="s">
        <v>1381</v>
      </c>
      <c r="P197" s="129" t="s">
        <v>1366</v>
      </c>
      <c r="Q197" s="132" t="s">
        <v>1382</v>
      </c>
      <c r="R197" s="132" t="s">
        <v>228</v>
      </c>
      <c r="S197" s="129" t="s">
        <v>42</v>
      </c>
      <c r="T197" s="129"/>
      <c r="U197" s="153" t="s">
        <v>1350</v>
      </c>
      <c r="V197" s="126" t="s">
        <v>291</v>
      </c>
      <c r="W197" s="126"/>
      <c r="X197" s="127">
        <v>45751</v>
      </c>
      <c r="Y197" s="127"/>
      <c r="Z197" s="129"/>
      <c r="AA197" s="127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54">
        <f>IF(OR(X197="",C197=""),"",NETWORKDAYS.INTL(C197,X197,1,'HELPER(Dont Delete)'!A:A))</f>
        <v>5</v>
      </c>
      <c r="AQ197" s="54" t="str">
        <f>IF(OR(X197="",Y197=""),"",NETWORKDAYS.INTL(X197,Y197,1,'HELPER(Dont Delete)'!A:A))</f>
        <v/>
      </c>
      <c r="AR197" s="54" t="str">
        <f>IF(OR(Y197="",AA197=""),"",NETWORKDAYS.INTL(Y197,AA197,1,'HELPER(Dont Delete)'!A:A))</f>
        <v/>
      </c>
      <c r="AS197" s="129"/>
      <c r="AT197" s="129"/>
      <c r="AU197" s="129"/>
      <c r="AV197" s="129"/>
      <c r="AW197" s="129"/>
      <c r="AX197" s="60"/>
      <c r="AY197" s="60"/>
      <c r="AZ197" s="60"/>
      <c r="BA197" s="87"/>
      <c r="BB197" s="87"/>
      <c r="BC197" s="60"/>
      <c r="BD197" s="60"/>
      <c r="BE197" s="60"/>
      <c r="BF197" s="60"/>
      <c r="BG197" s="60"/>
      <c r="BH197" s="60"/>
      <c r="BI197" s="60"/>
      <c r="BJ197" s="60"/>
      <c r="BK197" s="60"/>
      <c r="BL197" s="60"/>
      <c r="BM197" s="60"/>
      <c r="BN197" s="60"/>
      <c r="BO197" s="60"/>
      <c r="BP197" s="60"/>
      <c r="BQ197" s="60"/>
      <c r="BR197" s="60"/>
      <c r="BS197" s="60"/>
      <c r="BT197" s="60"/>
      <c r="BU197" s="60"/>
      <c r="BV197" s="60"/>
      <c r="BW197" s="60"/>
      <c r="BX197" s="60"/>
      <c r="BY197" s="60"/>
      <c r="BZ197" s="60"/>
      <c r="CA197" s="60"/>
      <c r="CB197" s="60"/>
      <c r="CC197" s="60"/>
      <c r="CD197" s="60"/>
      <c r="CE197" s="60"/>
      <c r="CF197" s="60"/>
      <c r="CG197" s="60"/>
      <c r="CH197" s="60"/>
      <c r="CI197" s="60"/>
      <c r="CJ197" s="60"/>
      <c r="CK197" s="60"/>
      <c r="CL197" s="60"/>
      <c r="CM197" s="60"/>
      <c r="CN197" s="60"/>
      <c r="CO197" s="60"/>
      <c r="CP197" s="60"/>
      <c r="CQ197" s="60"/>
      <c r="CR197" s="60"/>
    </row>
    <row r="198" spans="1:96">
      <c r="A198" s="60"/>
      <c r="B198" s="108">
        <v>45742</v>
      </c>
      <c r="C198" s="128">
        <v>45745</v>
      </c>
      <c r="D198" s="60" t="s">
        <v>110</v>
      </c>
      <c r="E198" s="82" t="s">
        <v>219</v>
      </c>
      <c r="F198" s="82" t="s">
        <v>220</v>
      </c>
      <c r="G198" s="111" t="s">
        <v>1383</v>
      </c>
      <c r="H198" s="60">
        <v>8095025486</v>
      </c>
      <c r="I198" s="60" t="s">
        <v>1384</v>
      </c>
      <c r="J198" s="46" t="s">
        <v>1184</v>
      </c>
      <c r="K198" s="60">
        <v>7</v>
      </c>
      <c r="L198" s="60">
        <v>7</v>
      </c>
      <c r="M198" s="60" t="s">
        <v>1385</v>
      </c>
      <c r="N198" s="60" t="s">
        <v>1218</v>
      </c>
      <c r="O198" s="60" t="s">
        <v>1386</v>
      </c>
      <c r="P198" s="60">
        <v>0.25</v>
      </c>
      <c r="Q198" s="60" t="s">
        <v>1213</v>
      </c>
      <c r="R198" s="60" t="s">
        <v>1387</v>
      </c>
      <c r="S198" s="60" t="s">
        <v>1201</v>
      </c>
      <c r="T198" s="60">
        <v>1.5</v>
      </c>
      <c r="U198" s="60" t="s">
        <v>671</v>
      </c>
      <c r="V198" s="126" t="s">
        <v>291</v>
      </c>
      <c r="W198" s="126"/>
      <c r="X198" s="108">
        <v>45747</v>
      </c>
      <c r="Y198" s="108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54"/>
      <c r="AL198" s="54"/>
      <c r="AM198" s="60"/>
      <c r="AN198" s="60"/>
      <c r="AO198" s="60"/>
      <c r="AP198" s="54">
        <f>IF(OR(X198="",C198=""),"",NETWORKDAYS.INTL(C198,X198,1,'HELPER(Dont Delete)'!A:A))</f>
        <v>1</v>
      </c>
      <c r="AQ198" s="54" t="str">
        <f>IF(OR(X198="",Y198=""),"",NETWORKDAYS.INTL(X198,Y198,1,'HELPER(Dont Delete)'!A:A))</f>
        <v/>
      </c>
      <c r="AR198" s="54" t="str">
        <f>IF(OR(Y198="",AA198=""),"",NETWORKDAYS.INTL(Y198,AA198,1,'HELPER(Dont Delete)'!A:A))</f>
        <v/>
      </c>
      <c r="AS198" s="60"/>
      <c r="AT198" s="60"/>
      <c r="AU198" s="60"/>
      <c r="AV198" s="60"/>
      <c r="AW198" s="60"/>
      <c r="AX198" s="60"/>
      <c r="AY198" s="60"/>
      <c r="AZ198" s="60"/>
      <c r="BA198" s="87"/>
      <c r="BB198" s="87"/>
      <c r="BC198" s="60"/>
      <c r="BD198" s="60"/>
      <c r="BE198" s="60"/>
      <c r="BF198" s="60"/>
      <c r="BG198" s="60"/>
      <c r="BH198" s="60"/>
      <c r="BI198" s="60"/>
      <c r="BJ198" s="60"/>
      <c r="BK198" s="60"/>
      <c r="BL198" s="60"/>
      <c r="BM198" s="60"/>
      <c r="BN198" s="60"/>
      <c r="BO198" s="60"/>
      <c r="BP198" s="60"/>
      <c r="BQ198" s="60"/>
      <c r="BR198" s="60"/>
      <c r="BS198" s="60"/>
      <c r="BT198" s="60"/>
      <c r="BU198" s="60"/>
      <c r="BV198" s="60"/>
      <c r="BW198" s="60"/>
      <c r="BX198" s="60"/>
      <c r="BY198" s="60"/>
      <c r="BZ198" s="60"/>
      <c r="CA198" s="60"/>
      <c r="CB198" s="60"/>
      <c r="CC198" s="60"/>
      <c r="CD198" s="60"/>
      <c r="CE198" s="60"/>
      <c r="CF198" s="60"/>
      <c r="CG198" s="60"/>
      <c r="CH198" s="60"/>
      <c r="CI198" s="60"/>
      <c r="CJ198" s="60"/>
      <c r="CK198" s="60"/>
      <c r="CL198" s="60"/>
      <c r="CM198" s="60"/>
      <c r="CN198" s="60"/>
      <c r="CO198" s="60"/>
      <c r="CP198" s="60"/>
      <c r="CQ198" s="60"/>
      <c r="CR198" s="60"/>
    </row>
    <row r="199" spans="1:96">
      <c r="A199" s="126"/>
      <c r="B199" s="127">
        <v>45743</v>
      </c>
      <c r="C199" s="127">
        <v>45747</v>
      </c>
      <c r="D199" s="129" t="s">
        <v>122</v>
      </c>
      <c r="E199" s="82" t="s">
        <v>219</v>
      </c>
      <c r="F199" s="82" t="s">
        <v>220</v>
      </c>
      <c r="G199" s="132" t="s">
        <v>1388</v>
      </c>
      <c r="H199" s="132">
        <v>8169475064</v>
      </c>
      <c r="I199" s="133" t="s">
        <v>1389</v>
      </c>
      <c r="J199" s="132" t="s">
        <v>1390</v>
      </c>
      <c r="K199" s="132" t="s">
        <v>1391</v>
      </c>
      <c r="L199" s="132" t="s">
        <v>1391</v>
      </c>
      <c r="M199" s="132" t="s">
        <v>1392</v>
      </c>
      <c r="N199" s="132" t="s">
        <v>1393</v>
      </c>
      <c r="O199" s="129" t="s">
        <v>1394</v>
      </c>
      <c r="P199" s="132" t="s">
        <v>1395</v>
      </c>
      <c r="Q199" s="132" t="s">
        <v>1396</v>
      </c>
      <c r="R199" s="129" t="s">
        <v>864</v>
      </c>
      <c r="S199" s="129" t="s">
        <v>1397</v>
      </c>
      <c r="T199" s="153">
        <v>5</v>
      </c>
      <c r="U199" s="126" t="s">
        <v>829</v>
      </c>
      <c r="V199" s="126" t="s">
        <v>291</v>
      </c>
      <c r="W199" s="127"/>
      <c r="X199" s="127">
        <v>45762</v>
      </c>
      <c r="Y199" s="129"/>
      <c r="Z199" s="127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29"/>
      <c r="AL199" s="129"/>
      <c r="AM199" s="129"/>
      <c r="AN199" s="129"/>
      <c r="AO199" s="129"/>
      <c r="AP199" s="54">
        <f>IF(OR(X199="",C199=""),"",NETWORKDAYS.INTL(C199,X199,1,'HELPER(Dont Delete)'!A:A))</f>
        <v>12</v>
      </c>
      <c r="AQ199" s="54" t="str">
        <f>IF(OR(X199="",Y199=""),"",NETWORKDAYS.INTL(X199,Y199,1,'HELPER(Dont Delete)'!A:A))</f>
        <v/>
      </c>
      <c r="AR199" s="54" t="str">
        <f>IF(OR(Y199="",AA199=""),"",NETWORKDAYS.INTL(Y199,AA199,1,'HELPER(Dont Delete)'!A:A))</f>
        <v/>
      </c>
      <c r="AS199" s="129"/>
      <c r="AT199" s="129"/>
      <c r="AU199" s="129"/>
      <c r="AV199" s="129"/>
      <c r="AW199" s="126"/>
      <c r="AX199" s="127"/>
      <c r="AY199" s="127"/>
      <c r="AZ199" s="129"/>
      <c r="BA199" s="82"/>
      <c r="BB199" s="82"/>
      <c r="BC199" s="132"/>
      <c r="BD199" s="132"/>
      <c r="BE199" s="133"/>
      <c r="BF199" s="132"/>
      <c r="BG199" s="132"/>
      <c r="BH199" s="132"/>
      <c r="BI199" s="132"/>
      <c r="BJ199" s="132"/>
      <c r="BK199" s="129"/>
      <c r="BL199" s="132"/>
      <c r="BM199" s="132"/>
      <c r="BN199" s="129"/>
      <c r="BO199" s="129"/>
      <c r="BP199" s="153"/>
      <c r="BQ199" s="126"/>
      <c r="BR199" s="126"/>
      <c r="BS199" s="127"/>
      <c r="BT199" s="127"/>
      <c r="BU199" s="129"/>
      <c r="BV199" s="127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</row>
    <row r="200" spans="1:96">
      <c r="A200" s="126"/>
      <c r="B200" s="127">
        <v>45743</v>
      </c>
      <c r="C200" s="127">
        <v>45747</v>
      </c>
      <c r="D200" s="129" t="s">
        <v>122</v>
      </c>
      <c r="E200" s="82" t="s">
        <v>219</v>
      </c>
      <c r="F200" s="82" t="s">
        <v>220</v>
      </c>
      <c r="G200" s="132" t="s">
        <v>1398</v>
      </c>
      <c r="H200" s="132">
        <v>9754753045</v>
      </c>
      <c r="I200" s="133" t="s">
        <v>1399</v>
      </c>
      <c r="J200" s="132" t="s">
        <v>1400</v>
      </c>
      <c r="K200" s="132" t="s">
        <v>1401</v>
      </c>
      <c r="L200" s="132" t="s">
        <v>1401</v>
      </c>
      <c r="M200" s="132" t="s">
        <v>1402</v>
      </c>
      <c r="N200" s="132" t="s">
        <v>1403</v>
      </c>
      <c r="O200" s="129" t="s">
        <v>1404</v>
      </c>
      <c r="P200" s="132" t="s">
        <v>1405</v>
      </c>
      <c r="Q200" s="132" t="s">
        <v>1406</v>
      </c>
      <c r="R200" s="129" t="s">
        <v>828</v>
      </c>
      <c r="S200" s="129" t="s">
        <v>1397</v>
      </c>
      <c r="T200" s="153">
        <v>1</v>
      </c>
      <c r="U200" s="126" t="s">
        <v>829</v>
      </c>
      <c r="V200" s="126" t="s">
        <v>291</v>
      </c>
      <c r="W200" s="127"/>
      <c r="X200" s="127">
        <v>45762</v>
      </c>
      <c r="Y200" s="129"/>
      <c r="Z200" s="127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54">
        <f>IF(OR(X200="",C200=""),"",NETWORKDAYS.INTL(C200,X200,1,'HELPER(Dont Delete)'!A:A))</f>
        <v>12</v>
      </c>
      <c r="AQ200" s="54" t="str">
        <f>IF(OR(X200="",Y200=""),"",NETWORKDAYS.INTL(X200,Y200,1,'HELPER(Dont Delete)'!A:A))</f>
        <v/>
      </c>
      <c r="AR200" s="54" t="str">
        <f>IF(OR(Y200="",AA200=""),"",NETWORKDAYS.INTL(Y200,AA200,1,'HELPER(Dont Delete)'!A:A))</f>
        <v/>
      </c>
      <c r="AS200" s="129"/>
      <c r="AT200" s="129"/>
      <c r="AU200" s="129"/>
      <c r="AV200" s="129"/>
      <c r="AW200" s="126"/>
      <c r="AX200" s="127"/>
      <c r="AY200" s="127"/>
      <c r="AZ200" s="129"/>
      <c r="BA200" s="82"/>
      <c r="BB200" s="82"/>
      <c r="BC200" s="132"/>
      <c r="BD200" s="132"/>
      <c r="BE200" s="133"/>
      <c r="BF200" s="132"/>
      <c r="BG200" s="132"/>
      <c r="BH200" s="132"/>
      <c r="BI200" s="132"/>
      <c r="BJ200" s="132"/>
      <c r="BK200" s="129"/>
      <c r="BL200" s="132"/>
      <c r="BM200" s="132"/>
      <c r="BN200" s="129"/>
      <c r="BO200" s="129"/>
      <c r="BP200" s="153"/>
      <c r="BQ200" s="126"/>
      <c r="BR200" s="126"/>
      <c r="BS200" s="127"/>
      <c r="BT200" s="127"/>
      <c r="BU200" s="129"/>
      <c r="BV200" s="127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</row>
    <row r="201" spans="1:96">
      <c r="A201" s="126"/>
      <c r="B201" s="127">
        <v>45743</v>
      </c>
      <c r="C201" s="127">
        <v>45747</v>
      </c>
      <c r="D201" s="129" t="s">
        <v>122</v>
      </c>
      <c r="E201" s="82" t="s">
        <v>219</v>
      </c>
      <c r="F201" s="82" t="s">
        <v>220</v>
      </c>
      <c r="G201" s="132" t="s">
        <v>1407</v>
      </c>
      <c r="H201" s="132">
        <v>9998813086</v>
      </c>
      <c r="I201" s="133" t="s">
        <v>1408</v>
      </c>
      <c r="J201" s="132" t="s">
        <v>1409</v>
      </c>
      <c r="K201" s="132" t="s">
        <v>1391</v>
      </c>
      <c r="L201" s="132" t="s">
        <v>1391</v>
      </c>
      <c r="M201" s="132" t="s">
        <v>737</v>
      </c>
      <c r="N201" s="132" t="s">
        <v>1218</v>
      </c>
      <c r="O201" s="129" t="s">
        <v>1410</v>
      </c>
      <c r="P201" s="132" t="s">
        <v>105</v>
      </c>
      <c r="Q201" s="132" t="s">
        <v>1396</v>
      </c>
      <c r="R201" s="129" t="s">
        <v>1300</v>
      </c>
      <c r="S201" s="129" t="s">
        <v>1397</v>
      </c>
      <c r="T201" s="153" t="s">
        <v>1411</v>
      </c>
      <c r="U201" s="126" t="s">
        <v>829</v>
      </c>
      <c r="V201" s="126" t="s">
        <v>291</v>
      </c>
      <c r="W201" s="127"/>
      <c r="X201" s="127">
        <v>45762</v>
      </c>
      <c r="Y201" s="129"/>
      <c r="Z201" s="127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54">
        <f>IF(OR(X201="",C201=""),"",NETWORKDAYS.INTL(C201,X201,1,'HELPER(Dont Delete)'!A:A))</f>
        <v>12</v>
      </c>
      <c r="AQ201" s="54" t="str">
        <f>IF(OR(X201="",Y201=""),"",NETWORKDAYS.INTL(X201,Y201,1,'HELPER(Dont Delete)'!A:A))</f>
        <v/>
      </c>
      <c r="AR201" s="54" t="str">
        <f>IF(OR(Y201="",AA201=""),"",NETWORKDAYS.INTL(Y201,AA201,1,'HELPER(Dont Delete)'!A:A))</f>
        <v/>
      </c>
      <c r="AS201" s="129"/>
      <c r="AT201" s="129"/>
      <c r="AU201" s="129"/>
      <c r="AV201" s="129"/>
      <c r="AW201" s="126"/>
      <c r="AX201" s="127"/>
      <c r="AY201" s="127"/>
      <c r="AZ201" s="129"/>
      <c r="BA201" s="82"/>
      <c r="BB201" s="82"/>
      <c r="BC201" s="132"/>
      <c r="BD201" s="132"/>
      <c r="BE201" s="133"/>
      <c r="BF201" s="132"/>
      <c r="BG201" s="132"/>
      <c r="BH201" s="132"/>
      <c r="BI201" s="132"/>
      <c r="BJ201" s="132"/>
      <c r="BK201" s="129"/>
      <c r="BL201" s="132"/>
      <c r="BM201" s="132"/>
      <c r="BN201" s="129"/>
      <c r="BO201" s="129"/>
      <c r="BP201" s="153"/>
      <c r="BQ201" s="126"/>
      <c r="BR201" s="126"/>
      <c r="BS201" s="127"/>
      <c r="BT201" s="127"/>
      <c r="BU201" s="129"/>
      <c r="BV201" s="127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</row>
    <row r="202" spans="1:96">
      <c r="A202" s="126"/>
      <c r="B202" s="127">
        <v>45743</v>
      </c>
      <c r="C202" s="127">
        <v>45748</v>
      </c>
      <c r="D202" s="129" t="s">
        <v>122</v>
      </c>
      <c r="E202" s="82" t="s">
        <v>219</v>
      </c>
      <c r="F202" s="82" t="s">
        <v>220</v>
      </c>
      <c r="G202" s="132" t="s">
        <v>1412</v>
      </c>
      <c r="H202" s="132">
        <v>9949747735</v>
      </c>
      <c r="I202" s="133" t="s">
        <v>1413</v>
      </c>
      <c r="J202" s="132" t="s">
        <v>1414</v>
      </c>
      <c r="K202" s="132" t="s">
        <v>1415</v>
      </c>
      <c r="L202" s="132" t="s">
        <v>1415</v>
      </c>
      <c r="M202" s="132" t="s">
        <v>1416</v>
      </c>
      <c r="N202" s="132" t="s">
        <v>1393</v>
      </c>
      <c r="O202" s="129" t="s">
        <v>1417</v>
      </c>
      <c r="P202" s="132" t="s">
        <v>1418</v>
      </c>
      <c r="Q202" s="132" t="s">
        <v>1419</v>
      </c>
      <c r="R202" s="129" t="s">
        <v>1420</v>
      </c>
      <c r="S202" s="129" t="s">
        <v>1397</v>
      </c>
      <c r="T202" s="153">
        <v>11</v>
      </c>
      <c r="U202" s="126" t="s">
        <v>829</v>
      </c>
      <c r="V202" s="126" t="s">
        <v>291</v>
      </c>
      <c r="W202" s="127"/>
      <c r="X202" s="127">
        <v>45762</v>
      </c>
      <c r="Y202" s="129"/>
      <c r="Z202" s="127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54">
        <f>IF(OR(X202="",C202=""),"",NETWORKDAYS.INTL(C202,X202,1,'HELPER(Dont Delete)'!A:A))</f>
        <v>11</v>
      </c>
      <c r="AQ202" s="54" t="str">
        <f>IF(OR(X202="",Y202=""),"",NETWORKDAYS.INTL(X202,Y202,1,'HELPER(Dont Delete)'!A:A))</f>
        <v/>
      </c>
      <c r="AR202" s="54" t="str">
        <f>IF(OR(Y202="",AA202=""),"",NETWORKDAYS.INTL(Y202,AA202,1,'HELPER(Dont Delete)'!A:A))</f>
        <v/>
      </c>
      <c r="AS202" s="129"/>
      <c r="AT202" s="129"/>
      <c r="AU202" s="129"/>
      <c r="AV202" s="129"/>
      <c r="AW202" s="126"/>
      <c r="AX202" s="127"/>
      <c r="AY202" s="127"/>
      <c r="AZ202" s="129"/>
      <c r="BA202" s="82"/>
      <c r="BB202" s="82"/>
      <c r="BC202" s="132"/>
      <c r="BD202" s="132"/>
      <c r="BE202" s="133"/>
      <c r="BF202" s="132"/>
      <c r="BG202" s="132"/>
      <c r="BH202" s="132"/>
      <c r="BI202" s="132"/>
      <c r="BJ202" s="132"/>
      <c r="BK202" s="129"/>
      <c r="BL202" s="132"/>
      <c r="BM202" s="132"/>
      <c r="BN202" s="129"/>
      <c r="BO202" s="129"/>
      <c r="BP202" s="153"/>
      <c r="BQ202" s="126"/>
      <c r="BR202" s="126"/>
      <c r="BS202" s="127"/>
      <c r="BT202" s="127"/>
      <c r="BU202" s="129"/>
      <c r="BV202" s="127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</row>
    <row r="203" spans="1:96">
      <c r="A203" s="126"/>
      <c r="B203" s="127">
        <v>45747</v>
      </c>
      <c r="C203" s="127">
        <v>45749</v>
      </c>
      <c r="D203" s="129" t="s">
        <v>1421</v>
      </c>
      <c r="E203" s="82" t="s">
        <v>219</v>
      </c>
      <c r="F203" s="82" t="s">
        <v>220</v>
      </c>
      <c r="G203" s="132" t="s">
        <v>1422</v>
      </c>
      <c r="H203" s="132">
        <v>7208422652</v>
      </c>
      <c r="I203" s="133" t="s">
        <v>1423</v>
      </c>
      <c r="J203" s="132" t="s">
        <v>1424</v>
      </c>
      <c r="K203" s="132">
        <v>6</v>
      </c>
      <c r="L203" s="132">
        <v>6</v>
      </c>
      <c r="M203" s="132" t="s">
        <v>1425</v>
      </c>
      <c r="N203" s="132" t="s">
        <v>1426</v>
      </c>
      <c r="O203" s="129" t="s">
        <v>1427</v>
      </c>
      <c r="P203" s="132">
        <v>0.3</v>
      </c>
      <c r="Q203" s="132" t="s">
        <v>456</v>
      </c>
      <c r="R203" s="129" t="s">
        <v>42</v>
      </c>
      <c r="S203" s="129" t="s">
        <v>42</v>
      </c>
      <c r="T203" s="153">
        <v>3</v>
      </c>
      <c r="U203" s="126" t="s">
        <v>1428</v>
      </c>
      <c r="V203" s="126" t="s">
        <v>291</v>
      </c>
      <c r="W203" s="127"/>
      <c r="X203" s="127">
        <v>45750</v>
      </c>
      <c r="Y203" s="127">
        <v>45754</v>
      </c>
      <c r="Z203" s="127" t="s">
        <v>340</v>
      </c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54">
        <f>IF(OR(X203="",C203=""),"",NETWORKDAYS.INTL(C203,X203,1,'HELPER(Dont Delete)'!A:A))</f>
        <v>2</v>
      </c>
      <c r="AQ203" s="54">
        <f>IF(OR(X203="",Y203=""),"",NETWORKDAYS.INTL(X203,Y203,1,'HELPER(Dont Delete)'!A:A))</f>
        <v>3</v>
      </c>
      <c r="AR203" s="54" t="str">
        <f>IF(OR(Y203="",AA203=""),"",NETWORKDAYS.INTL(Y203,AA203,1,'HELPER(Dont Delete)'!A:A))</f>
        <v/>
      </c>
      <c r="AS203" s="129"/>
      <c r="AT203" s="129"/>
      <c r="AU203" s="129"/>
      <c r="AV203" s="129"/>
      <c r="AW203" s="126"/>
      <c r="AX203" s="225"/>
      <c r="AY203" s="225"/>
      <c r="AZ203" s="131"/>
      <c r="BA203" s="226"/>
      <c r="BB203" s="226"/>
      <c r="BC203" s="235"/>
      <c r="BD203" s="235"/>
      <c r="BE203" s="165"/>
      <c r="BF203" s="235"/>
      <c r="BG203" s="235"/>
      <c r="BH203" s="235"/>
      <c r="BI203" s="235"/>
      <c r="BJ203" s="235"/>
      <c r="BK203" s="131"/>
      <c r="BL203" s="235"/>
      <c r="BM203" s="235"/>
      <c r="BN203" s="131"/>
      <c r="BO203" s="131"/>
      <c r="BP203" s="237"/>
      <c r="BQ203" s="227"/>
      <c r="BR203" s="227"/>
      <c r="BS203" s="225"/>
      <c r="BT203" s="225"/>
      <c r="BU203" s="131"/>
      <c r="BV203" s="225"/>
      <c r="BW203" s="131"/>
      <c r="BX203" s="131"/>
      <c r="BY203" s="131"/>
      <c r="BZ203" s="131"/>
      <c r="CA203" s="131"/>
      <c r="CB203" s="131"/>
      <c r="CC203" s="131"/>
      <c r="CD203" s="131"/>
      <c r="CE203" s="131"/>
      <c r="CF203" s="131"/>
      <c r="CG203" s="131"/>
      <c r="CH203" s="131"/>
      <c r="CI203" s="131"/>
      <c r="CJ203" s="131"/>
      <c r="CK203" s="131"/>
      <c r="CL203" s="131"/>
      <c r="CM203" s="131"/>
      <c r="CN203" s="131"/>
      <c r="CO203" s="131"/>
      <c r="CP203" s="131"/>
      <c r="CQ203" s="131"/>
      <c r="CR203" s="131"/>
    </row>
    <row r="204" spans="1:96">
      <c r="A204" s="126"/>
      <c r="B204" s="127">
        <v>45747</v>
      </c>
      <c r="C204" s="127">
        <v>45749</v>
      </c>
      <c r="D204" s="129" t="s">
        <v>1421</v>
      </c>
      <c r="E204" s="82" t="s">
        <v>219</v>
      </c>
      <c r="F204" s="82" t="s">
        <v>220</v>
      </c>
      <c r="G204" s="132" t="s">
        <v>1429</v>
      </c>
      <c r="H204" s="132">
        <v>7404543589</v>
      </c>
      <c r="I204" s="133" t="s">
        <v>1430</v>
      </c>
      <c r="J204" s="132" t="s">
        <v>1431</v>
      </c>
      <c r="K204" s="132">
        <v>6</v>
      </c>
      <c r="L204" s="132">
        <v>5</v>
      </c>
      <c r="M204" s="132" t="s">
        <v>1432</v>
      </c>
      <c r="N204" s="132" t="s">
        <v>1433</v>
      </c>
      <c r="O204" s="129" t="s">
        <v>1434</v>
      </c>
      <c r="P204" s="132">
        <v>0.3</v>
      </c>
      <c r="Q204" s="132" t="s">
        <v>208</v>
      </c>
      <c r="R204" s="129" t="s">
        <v>68</v>
      </c>
      <c r="S204" s="129" t="s">
        <v>1435</v>
      </c>
      <c r="T204" s="153">
        <v>5</v>
      </c>
      <c r="U204" s="126" t="s">
        <v>1428</v>
      </c>
      <c r="V204" s="126" t="s">
        <v>339</v>
      </c>
      <c r="W204" s="127" t="s">
        <v>54</v>
      </c>
      <c r="X204" s="127">
        <v>45750</v>
      </c>
      <c r="Y204" s="127">
        <v>45754</v>
      </c>
      <c r="Z204" s="127" t="s">
        <v>340</v>
      </c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54">
        <f>IF(OR(X204="",C204=""),"",NETWORKDAYS.INTL(C204,X204,1,'HELPER(Dont Delete)'!A:A))</f>
        <v>2</v>
      </c>
      <c r="AQ204" s="54">
        <f>IF(OR(X204="",Y204=""),"",NETWORKDAYS.INTL(X204,Y204,1,'HELPER(Dont Delete)'!A:A))</f>
        <v>3</v>
      </c>
      <c r="AR204" s="54" t="str">
        <f>IF(OR(Y204="",AA204=""),"",NETWORKDAYS.INTL(Y204,AA204,1,'HELPER(Dont Delete)'!A:A))</f>
        <v/>
      </c>
      <c r="AS204" s="129"/>
      <c r="AT204" s="129"/>
      <c r="AU204" s="129"/>
      <c r="AV204" s="129"/>
      <c r="AW204" s="126"/>
      <c r="AX204" s="127"/>
      <c r="AY204" s="127"/>
      <c r="AZ204" s="129"/>
      <c r="BA204" s="82"/>
      <c r="BB204" s="82"/>
      <c r="BC204" s="132"/>
      <c r="BD204" s="132"/>
      <c r="BE204" s="133"/>
      <c r="BF204" s="132"/>
      <c r="BG204" s="132"/>
      <c r="BH204" s="132"/>
      <c r="BI204" s="132"/>
      <c r="BJ204" s="132"/>
      <c r="BK204" s="129"/>
      <c r="BL204" s="132"/>
      <c r="BM204" s="132"/>
      <c r="BN204" s="129"/>
      <c r="BO204" s="129"/>
      <c r="BP204" s="153"/>
      <c r="BQ204" s="126"/>
      <c r="BR204" s="126"/>
      <c r="BS204" s="127"/>
      <c r="BT204" s="127"/>
      <c r="BU204" s="129"/>
      <c r="BV204" s="127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</row>
    <row r="205" spans="1:96">
      <c r="A205" s="126"/>
      <c r="B205" s="127">
        <v>45747</v>
      </c>
      <c r="C205" s="127">
        <v>45749</v>
      </c>
      <c r="D205" s="129" t="s">
        <v>1421</v>
      </c>
      <c r="E205" s="82" t="s">
        <v>219</v>
      </c>
      <c r="F205" s="82" t="s">
        <v>220</v>
      </c>
      <c r="G205" s="132" t="s">
        <v>1436</v>
      </c>
      <c r="H205" s="132">
        <v>9326081538</v>
      </c>
      <c r="I205" s="133" t="s">
        <v>1437</v>
      </c>
      <c r="J205" s="132" t="s">
        <v>1438</v>
      </c>
      <c r="K205" s="132">
        <v>6.5</v>
      </c>
      <c r="L205" s="132">
        <v>6</v>
      </c>
      <c r="M205" s="132" t="s">
        <v>1439</v>
      </c>
      <c r="N205" s="132" t="s">
        <v>699</v>
      </c>
      <c r="O205" s="129" t="s">
        <v>1440</v>
      </c>
      <c r="P205" s="132" t="s">
        <v>488</v>
      </c>
      <c r="Q205" s="132" t="s">
        <v>456</v>
      </c>
      <c r="R205" s="129" t="s">
        <v>42</v>
      </c>
      <c r="S205" s="129" t="s">
        <v>42</v>
      </c>
      <c r="T205" s="153">
        <v>4</v>
      </c>
      <c r="U205" s="126" t="s">
        <v>1428</v>
      </c>
      <c r="V205" s="126" t="s">
        <v>339</v>
      </c>
      <c r="W205" s="127" t="s">
        <v>54</v>
      </c>
      <c r="X205" s="127">
        <v>45750</v>
      </c>
      <c r="Y205" s="127">
        <v>45755</v>
      </c>
      <c r="Z205" s="127" t="s">
        <v>340</v>
      </c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54">
        <f>IF(OR(X205="",C205=""),"",NETWORKDAYS.INTL(C205,X205,1,'HELPER(Dont Delete)'!A:A))</f>
        <v>2</v>
      </c>
      <c r="AQ205" s="54">
        <f>IF(OR(X205="",Y205=""),"",NETWORKDAYS.INTL(X205,Y205,1,'HELPER(Dont Delete)'!A:A))</f>
        <v>4</v>
      </c>
      <c r="AR205" s="54" t="str">
        <f>IF(OR(Y205="",AA205=""),"",NETWORKDAYS.INTL(Y205,AA205,1,'HELPER(Dont Delete)'!A:A))</f>
        <v/>
      </c>
      <c r="AS205" s="129"/>
      <c r="AT205" s="129"/>
      <c r="AU205" s="129"/>
      <c r="AV205" s="129"/>
      <c r="AW205" s="126"/>
      <c r="AX205" s="127"/>
      <c r="AY205" s="127"/>
      <c r="AZ205" s="129"/>
      <c r="BA205" s="82"/>
      <c r="BB205" s="82"/>
      <c r="BC205" s="132"/>
      <c r="BD205" s="132"/>
      <c r="BE205" s="133"/>
      <c r="BF205" s="132"/>
      <c r="BG205" s="132"/>
      <c r="BH205" s="132"/>
      <c r="BI205" s="132"/>
      <c r="BJ205" s="132"/>
      <c r="BK205" s="129"/>
      <c r="BL205" s="132"/>
      <c r="BM205" s="132"/>
      <c r="BN205" s="129"/>
      <c r="BO205" s="129"/>
      <c r="BP205" s="153"/>
      <c r="BQ205" s="126"/>
      <c r="BR205" s="126"/>
      <c r="BS205" s="127"/>
      <c r="BT205" s="127"/>
      <c r="BU205" s="129"/>
      <c r="BV205" s="127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</row>
    <row r="206" spans="1:96" ht="15.5">
      <c r="A206" s="126"/>
      <c r="B206" s="127">
        <v>45747</v>
      </c>
      <c r="C206" s="127">
        <v>45750</v>
      </c>
      <c r="D206" s="129" t="s">
        <v>141</v>
      </c>
      <c r="E206" s="82" t="s">
        <v>219</v>
      </c>
      <c r="F206" s="82" t="s">
        <v>220</v>
      </c>
      <c r="G206" s="132" t="s">
        <v>1441</v>
      </c>
      <c r="H206" s="132" t="s">
        <v>1442</v>
      </c>
      <c r="I206" s="133" t="s">
        <v>1443</v>
      </c>
      <c r="J206" s="150" t="s">
        <v>1444</v>
      </c>
      <c r="K206" s="132">
        <v>14</v>
      </c>
      <c r="L206" s="132">
        <v>14</v>
      </c>
      <c r="M206" s="132" t="s">
        <v>1113</v>
      </c>
      <c r="N206" s="132" t="s">
        <v>756</v>
      </c>
      <c r="O206" s="132" t="s">
        <v>1445</v>
      </c>
      <c r="P206" s="129" t="s">
        <v>1446</v>
      </c>
      <c r="Q206" s="132" t="s">
        <v>402</v>
      </c>
      <c r="R206" s="132" t="s">
        <v>1115</v>
      </c>
      <c r="S206" s="129" t="s">
        <v>58</v>
      </c>
      <c r="T206" s="129"/>
      <c r="U206" s="153" t="s">
        <v>1447</v>
      </c>
      <c r="V206" s="61" t="s">
        <v>239</v>
      </c>
      <c r="W206" s="126"/>
      <c r="X206" s="127">
        <v>45751</v>
      </c>
      <c r="Y206" s="152"/>
      <c r="Z206" s="129"/>
      <c r="AA206" s="127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54">
        <f>IF(OR(X206="",C206=""),"",NETWORKDAYS.INTL(C206,X206,1,'HELPER(Dont Delete)'!A:A))</f>
        <v>2</v>
      </c>
      <c r="AQ206" s="54" t="str">
        <f>IF(OR(X206="",Y206=""),"",NETWORKDAYS.INTL(X206,Y206,1,'HELPER(Dont Delete)'!A:A))</f>
        <v/>
      </c>
      <c r="AR206" s="54" t="str">
        <f>IF(OR(Y206="",AA206=""),"",NETWORKDAYS.INTL(Y206,AA206,1,'HELPER(Dont Delete)'!A:A))</f>
        <v/>
      </c>
      <c r="AS206" s="129"/>
      <c r="AT206" s="129"/>
      <c r="AU206" s="129"/>
      <c r="AV206" s="129"/>
      <c r="AW206" s="129"/>
      <c r="AX206" s="60"/>
      <c r="AY206" s="60"/>
      <c r="AZ206" s="60"/>
      <c r="BA206" s="87"/>
      <c r="BB206" s="87"/>
      <c r="BC206" s="60"/>
      <c r="BD206" s="60"/>
      <c r="BE206" s="60"/>
      <c r="BF206" s="60"/>
      <c r="BG206" s="60"/>
      <c r="BH206" s="60"/>
      <c r="BI206" s="60"/>
      <c r="BJ206" s="60"/>
      <c r="BK206" s="60"/>
      <c r="BL206" s="60"/>
      <c r="BM206" s="60"/>
      <c r="BN206" s="60"/>
      <c r="BO206" s="60"/>
      <c r="BP206" s="60"/>
      <c r="BQ206" s="60"/>
      <c r="BR206" s="60"/>
      <c r="BS206" s="60"/>
      <c r="BT206" s="60"/>
      <c r="BU206" s="60"/>
      <c r="BV206" s="60"/>
      <c r="BW206" s="60"/>
      <c r="BX206" s="60"/>
      <c r="BY206" s="60"/>
      <c r="BZ206" s="60"/>
      <c r="CA206" s="60"/>
      <c r="CB206" s="60"/>
      <c r="CC206" s="60"/>
      <c r="CD206" s="60"/>
      <c r="CE206" s="60"/>
      <c r="CF206" s="60"/>
      <c r="CG206" s="60"/>
      <c r="CH206" s="60"/>
      <c r="CI206" s="60"/>
      <c r="CJ206" s="60"/>
      <c r="CK206" s="60"/>
      <c r="CL206" s="60"/>
      <c r="CM206" s="60"/>
      <c r="CN206" s="60"/>
      <c r="CO206" s="60"/>
      <c r="CP206" s="60"/>
      <c r="CQ206" s="60"/>
      <c r="CR206" s="60"/>
    </row>
    <row r="207" spans="1:96">
      <c r="A207" s="126"/>
      <c r="B207" s="127">
        <v>45747</v>
      </c>
      <c r="C207" s="127">
        <v>45750</v>
      </c>
      <c r="D207" s="129" t="s">
        <v>141</v>
      </c>
      <c r="E207" s="82" t="s">
        <v>219</v>
      </c>
      <c r="F207" s="82" t="s">
        <v>220</v>
      </c>
      <c r="G207" s="132" t="s">
        <v>1448</v>
      </c>
      <c r="H207" s="132">
        <v>7381008165</v>
      </c>
      <c r="I207" s="133" t="s">
        <v>1449</v>
      </c>
      <c r="J207" s="132" t="s">
        <v>1444</v>
      </c>
      <c r="K207" s="132" t="s">
        <v>1450</v>
      </c>
      <c r="L207" s="132" t="s">
        <v>1450</v>
      </c>
      <c r="M207" s="132" t="s">
        <v>737</v>
      </c>
      <c r="N207" s="132" t="s">
        <v>1218</v>
      </c>
      <c r="O207" s="129" t="s">
        <v>1451</v>
      </c>
      <c r="P207" s="132" t="s">
        <v>1452</v>
      </c>
      <c r="Q207" s="132" t="s">
        <v>1453</v>
      </c>
      <c r="R207" s="129" t="s">
        <v>374</v>
      </c>
      <c r="S207" s="129" t="s">
        <v>58</v>
      </c>
      <c r="T207" s="153"/>
      <c r="U207" s="126" t="s">
        <v>1175</v>
      </c>
      <c r="V207" s="126" t="s">
        <v>1454</v>
      </c>
      <c r="W207" s="127"/>
      <c r="X207" s="127">
        <v>45751</v>
      </c>
      <c r="Y207" s="135">
        <v>45757</v>
      </c>
      <c r="Z207" s="127" t="s">
        <v>35</v>
      </c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54">
        <f>IF(OR(X207="",C207=""),"",NETWORKDAYS.INTL(C207,X207,1,'HELPER(Dont Delete)'!A:A))</f>
        <v>2</v>
      </c>
      <c r="AQ207" s="54">
        <f>IF(OR(X207="",Y207=""),"",NETWORKDAYS.INTL(X207,Y207,1,'HELPER(Dont Delete)'!A:A))</f>
        <v>5</v>
      </c>
      <c r="AR207" s="54" t="str">
        <f>IF(OR(Y207="",AA207=""),"",NETWORKDAYS.INTL(Y207,AA207,1,'HELPER(Dont Delete)'!A:A))</f>
        <v/>
      </c>
      <c r="AS207" s="129"/>
      <c r="AT207" s="129"/>
      <c r="AU207" s="129"/>
      <c r="AV207" s="129"/>
      <c r="AW207" s="126"/>
      <c r="AX207" s="127"/>
      <c r="AY207" s="127"/>
      <c r="AZ207" s="129"/>
      <c r="BA207" s="82"/>
      <c r="BB207" s="82"/>
      <c r="BC207" s="132"/>
      <c r="BD207" s="132"/>
      <c r="BE207" s="133"/>
      <c r="BF207" s="132"/>
      <c r="BG207" s="132"/>
      <c r="BH207" s="132"/>
      <c r="BI207" s="132"/>
      <c r="BJ207" s="132"/>
      <c r="BK207" s="129"/>
      <c r="BL207" s="132"/>
      <c r="BM207" s="132"/>
      <c r="BN207" s="129"/>
      <c r="BO207" s="129"/>
      <c r="BP207" s="153"/>
      <c r="BQ207" s="126"/>
      <c r="BR207" s="126"/>
      <c r="BS207" s="127"/>
      <c r="BT207" s="127"/>
      <c r="BU207" s="129"/>
      <c r="BV207" s="127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</row>
    <row r="208" spans="1:96">
      <c r="A208" s="126"/>
      <c r="B208" s="127">
        <v>45747</v>
      </c>
      <c r="C208" s="127">
        <v>45750</v>
      </c>
      <c r="D208" s="129" t="s">
        <v>141</v>
      </c>
      <c r="E208" s="82" t="s">
        <v>219</v>
      </c>
      <c r="F208" s="82" t="s">
        <v>220</v>
      </c>
      <c r="G208" s="132" t="s">
        <v>1455</v>
      </c>
      <c r="H208" s="132" t="s">
        <v>1456</v>
      </c>
      <c r="I208" s="133" t="s">
        <v>1457</v>
      </c>
      <c r="J208" s="132" t="s">
        <v>1444</v>
      </c>
      <c r="K208" s="132">
        <v>14.11</v>
      </c>
      <c r="L208" s="132">
        <v>14.11</v>
      </c>
      <c r="M208" s="132" t="s">
        <v>1458</v>
      </c>
      <c r="N208" s="132" t="s">
        <v>534</v>
      </c>
      <c r="O208" s="129" t="s">
        <v>1459</v>
      </c>
      <c r="P208" s="132" t="s">
        <v>1446</v>
      </c>
      <c r="Q208" s="132" t="s">
        <v>1460</v>
      </c>
      <c r="R208" s="129" t="s">
        <v>1461</v>
      </c>
      <c r="S208" s="129" t="s">
        <v>58</v>
      </c>
      <c r="T208" s="153"/>
      <c r="U208" s="126" t="s">
        <v>1175</v>
      </c>
      <c r="V208" s="126" t="s">
        <v>1166</v>
      </c>
      <c r="W208" s="127"/>
      <c r="X208" s="127">
        <v>45751</v>
      </c>
      <c r="Y208" s="129"/>
      <c r="Z208" s="127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54">
        <f>IF(OR(X208="",C208=""),"",NETWORKDAYS.INTL(C208,X208,1,'HELPER(Dont Delete)'!A:A))</f>
        <v>2</v>
      </c>
      <c r="AQ208" s="54" t="str">
        <f>IF(OR(X208="",Y208=""),"",NETWORKDAYS.INTL(X208,Y208,1,'HELPER(Dont Delete)'!A:A))</f>
        <v/>
      </c>
      <c r="AR208" s="54" t="str">
        <f>IF(OR(Y208="",AA208=""),"",NETWORKDAYS.INTL(Y208,AA208,1,'HELPER(Dont Delete)'!A:A))</f>
        <v/>
      </c>
      <c r="AS208" s="129"/>
      <c r="AT208" s="129"/>
      <c r="AU208" s="129"/>
      <c r="AV208" s="129"/>
      <c r="AW208" s="126"/>
      <c r="AX208" s="127"/>
      <c r="AY208" s="127"/>
      <c r="AZ208" s="129"/>
      <c r="BA208" s="82"/>
      <c r="BB208" s="82"/>
      <c r="BC208" s="132"/>
      <c r="BD208" s="132"/>
      <c r="BE208" s="133"/>
      <c r="BF208" s="132"/>
      <c r="BG208" s="132"/>
      <c r="BH208" s="132"/>
      <c r="BI208" s="132"/>
      <c r="BJ208" s="132"/>
      <c r="BK208" s="129"/>
      <c r="BL208" s="132"/>
      <c r="BM208" s="132"/>
      <c r="BN208" s="129"/>
      <c r="BO208" s="129"/>
      <c r="BP208" s="153"/>
      <c r="BQ208" s="126"/>
      <c r="BR208" s="126"/>
      <c r="BS208" s="127"/>
      <c r="BT208" s="127"/>
      <c r="BU208" s="129"/>
      <c r="BV208" s="127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</row>
    <row r="209" spans="1:96">
      <c r="A209" s="126"/>
      <c r="B209" s="127">
        <v>45747</v>
      </c>
      <c r="C209" s="127">
        <v>45750</v>
      </c>
      <c r="D209" s="129" t="s">
        <v>147</v>
      </c>
      <c r="E209" s="82" t="s">
        <v>219</v>
      </c>
      <c r="F209" s="82" t="s">
        <v>220</v>
      </c>
      <c r="G209" s="132" t="s">
        <v>1462</v>
      </c>
      <c r="H209" s="132" t="s">
        <v>1463</v>
      </c>
      <c r="I209" s="133" t="s">
        <v>1464</v>
      </c>
      <c r="J209" s="132" t="s">
        <v>1465</v>
      </c>
      <c r="K209" s="132">
        <v>14</v>
      </c>
      <c r="L209" s="132">
        <v>14</v>
      </c>
      <c r="M209" s="132" t="s">
        <v>1466</v>
      </c>
      <c r="N209" s="132" t="s">
        <v>462</v>
      </c>
      <c r="O209" s="129" t="s">
        <v>120</v>
      </c>
      <c r="P209" s="132">
        <v>0.3</v>
      </c>
      <c r="Q209" s="132" t="s">
        <v>1467</v>
      </c>
      <c r="R209" s="129" t="s">
        <v>1201</v>
      </c>
      <c r="S209" s="129" t="s">
        <v>1201</v>
      </c>
      <c r="T209" s="153">
        <v>3</v>
      </c>
      <c r="U209" s="126" t="s">
        <v>1428</v>
      </c>
      <c r="V209" s="126" t="s">
        <v>1308</v>
      </c>
      <c r="W209" s="127"/>
      <c r="X209" s="127"/>
      <c r="Y209" s="129"/>
      <c r="Z209" s="127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54" t="str">
        <f>IF(OR(X209="",C209=""),"",NETWORKDAYS.INTL(C209,X209,1,'HELPER(Dont Delete)'!A:A))</f>
        <v/>
      </c>
      <c r="AQ209" s="54" t="str">
        <f>IF(OR(X209="",Y209=""),"",NETWORKDAYS.INTL(X209,Y209,1,'HELPER(Dont Delete)'!A:A))</f>
        <v/>
      </c>
      <c r="AR209" s="54" t="str">
        <f>IF(OR(Y209="",AA209=""),"",NETWORKDAYS.INTL(Y209,AA209,1,'HELPER(Dont Delete)'!A:A))</f>
        <v/>
      </c>
      <c r="AS209" s="129"/>
      <c r="AT209" s="129"/>
      <c r="AU209" s="129"/>
      <c r="AV209" s="129"/>
      <c r="AW209" s="126"/>
      <c r="AX209" s="127"/>
      <c r="AY209" s="127"/>
      <c r="AZ209" s="129"/>
      <c r="BA209" s="82"/>
      <c r="BB209" s="82"/>
      <c r="BC209" s="132"/>
      <c r="BD209" s="132"/>
      <c r="BE209" s="133"/>
      <c r="BF209" s="132"/>
      <c r="BG209" s="132"/>
      <c r="BH209" s="132"/>
      <c r="BI209" s="132"/>
      <c r="BJ209" s="132"/>
      <c r="BK209" s="129"/>
      <c r="BL209" s="132"/>
      <c r="BM209" s="132"/>
      <c r="BN209" s="129"/>
      <c r="BO209" s="129"/>
      <c r="BP209" s="153"/>
      <c r="BQ209" s="126"/>
      <c r="BR209" s="126"/>
      <c r="BS209" s="127"/>
      <c r="BT209" s="127"/>
      <c r="BU209" s="129"/>
      <c r="BV209" s="127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</row>
    <row r="210" spans="1:96">
      <c r="A210" s="126"/>
      <c r="B210" s="127">
        <v>45747</v>
      </c>
      <c r="C210" s="127">
        <v>45750</v>
      </c>
      <c r="D210" s="129" t="s">
        <v>147</v>
      </c>
      <c r="E210" s="82" t="s">
        <v>219</v>
      </c>
      <c r="F210" s="82" t="s">
        <v>220</v>
      </c>
      <c r="G210" s="132" t="s">
        <v>1468</v>
      </c>
      <c r="H210" s="132">
        <v>8657241491</v>
      </c>
      <c r="I210" s="133" t="s">
        <v>1469</v>
      </c>
      <c r="J210" s="132" t="s">
        <v>1470</v>
      </c>
      <c r="K210" s="132">
        <v>12</v>
      </c>
      <c r="L210" s="132">
        <v>12</v>
      </c>
      <c r="M210" s="132" t="s">
        <v>1471</v>
      </c>
      <c r="N210" s="132" t="s">
        <v>1218</v>
      </c>
      <c r="O210" s="129" t="s">
        <v>1472</v>
      </c>
      <c r="P210" s="132">
        <v>0.3</v>
      </c>
      <c r="Q210" s="132" t="s">
        <v>409</v>
      </c>
      <c r="R210" s="129" t="s">
        <v>42</v>
      </c>
      <c r="S210" s="129" t="s">
        <v>1201</v>
      </c>
      <c r="T210" s="153">
        <v>12</v>
      </c>
      <c r="U210" s="126" t="s">
        <v>671</v>
      </c>
      <c r="V210" s="126" t="s">
        <v>1308</v>
      </c>
      <c r="W210" s="127"/>
      <c r="X210" s="127"/>
      <c r="Y210" s="129"/>
      <c r="Z210" s="127"/>
      <c r="AA210" s="129"/>
      <c r="AB210" s="129"/>
      <c r="AC210" s="129"/>
      <c r="AD210" s="129"/>
      <c r="AE210" s="129"/>
      <c r="AF210" s="129"/>
      <c r="AG210" s="129"/>
      <c r="AH210" s="129"/>
      <c r="AI210" s="129"/>
      <c r="AJ210" s="129"/>
      <c r="AK210" s="129"/>
      <c r="AL210" s="129"/>
      <c r="AM210" s="129"/>
      <c r="AN210" s="129"/>
      <c r="AO210" s="129"/>
      <c r="AP210" s="54" t="str">
        <f>IF(OR(X210="",C210=""),"",NETWORKDAYS.INTL(C210,X210,1,'HELPER(Dont Delete)'!A:A))</f>
        <v/>
      </c>
      <c r="AQ210" s="54" t="str">
        <f>IF(OR(X210="",Y210=""),"",NETWORKDAYS.INTL(X210,Y210,1,'HELPER(Dont Delete)'!A:A))</f>
        <v/>
      </c>
      <c r="AR210" s="54" t="str">
        <f>IF(OR(Y210="",AA210=""),"",NETWORKDAYS.INTL(Y210,AA210,1,'HELPER(Dont Delete)'!A:A))</f>
        <v/>
      </c>
      <c r="AS210" s="129"/>
      <c r="AT210" s="129"/>
      <c r="AU210" s="129"/>
      <c r="AV210" s="129"/>
      <c r="AW210" s="126"/>
      <c r="AX210" s="127"/>
      <c r="AY210" s="127"/>
      <c r="AZ210" s="129"/>
      <c r="BA210" s="82"/>
      <c r="BB210" s="82"/>
      <c r="BC210" s="132"/>
      <c r="BD210" s="132"/>
      <c r="BE210" s="133"/>
      <c r="BF210" s="132"/>
      <c r="BG210" s="132"/>
      <c r="BH210" s="132"/>
      <c r="BI210" s="132"/>
      <c r="BJ210" s="132"/>
      <c r="BK210" s="129"/>
      <c r="BL210" s="132"/>
      <c r="BM210" s="132"/>
      <c r="BN210" s="129"/>
      <c r="BO210" s="129"/>
      <c r="BP210" s="153"/>
      <c r="BQ210" s="126"/>
      <c r="BR210" s="126"/>
      <c r="BS210" s="127"/>
      <c r="BT210" s="127"/>
      <c r="BU210" s="129"/>
      <c r="BV210" s="127"/>
      <c r="BW210" s="129"/>
      <c r="BX210" s="129"/>
      <c r="BY210" s="129"/>
      <c r="BZ210" s="129"/>
      <c r="CA210" s="129"/>
      <c r="CB210" s="129"/>
      <c r="CC210" s="129"/>
      <c r="CD210" s="129"/>
      <c r="CE210" s="129"/>
      <c r="CF210" s="129"/>
      <c r="CG210" s="129"/>
      <c r="CH210" s="129"/>
      <c r="CI210" s="129"/>
      <c r="CJ210" s="129"/>
      <c r="CK210" s="129"/>
      <c r="CL210" s="129"/>
      <c r="CM210" s="129"/>
      <c r="CN210" s="129"/>
      <c r="CO210" s="129"/>
      <c r="CP210" s="129"/>
      <c r="CQ210" s="129"/>
      <c r="CR210" s="129"/>
    </row>
    <row r="211" spans="1:96">
      <c r="A211" s="126"/>
      <c r="B211" s="127">
        <v>45750</v>
      </c>
      <c r="C211" s="127">
        <v>45750</v>
      </c>
      <c r="D211" s="129" t="s">
        <v>96</v>
      </c>
      <c r="E211" s="82" t="s">
        <v>219</v>
      </c>
      <c r="F211" s="82" t="s">
        <v>220</v>
      </c>
      <c r="G211" s="132" t="s">
        <v>1473</v>
      </c>
      <c r="H211" s="132">
        <v>7415305722</v>
      </c>
      <c r="I211" s="133" t="s">
        <v>1474</v>
      </c>
      <c r="J211" s="132" t="s">
        <v>1169</v>
      </c>
      <c r="K211" s="132">
        <v>5</v>
      </c>
      <c r="L211" s="132">
        <v>5</v>
      </c>
      <c r="M211" s="132" t="s">
        <v>1475</v>
      </c>
      <c r="N211" s="132" t="s">
        <v>1476</v>
      </c>
      <c r="O211" s="129" t="s">
        <v>1477</v>
      </c>
      <c r="P211" s="132" t="s">
        <v>1478</v>
      </c>
      <c r="Q211" s="132" t="s">
        <v>558</v>
      </c>
      <c r="R211" s="129" t="s">
        <v>374</v>
      </c>
      <c r="S211" s="129" t="s">
        <v>1201</v>
      </c>
      <c r="T211" s="153">
        <v>2</v>
      </c>
      <c r="U211" s="126" t="s">
        <v>1175</v>
      </c>
      <c r="V211" s="126" t="s">
        <v>231</v>
      </c>
      <c r="W211" s="126" t="s">
        <v>741</v>
      </c>
      <c r="X211" s="127">
        <v>45751</v>
      </c>
      <c r="Y211" s="152">
        <v>45754</v>
      </c>
      <c r="Z211" s="129" t="s">
        <v>232</v>
      </c>
      <c r="AA211" s="129"/>
      <c r="AB211" s="129"/>
      <c r="AC211" s="129"/>
      <c r="AD211" s="129"/>
      <c r="AE211" s="129"/>
      <c r="AF211" s="129"/>
      <c r="AG211" s="129"/>
      <c r="AH211" s="129"/>
      <c r="AI211" s="129"/>
      <c r="AJ211" s="129"/>
      <c r="AK211" s="129"/>
      <c r="AL211" s="129"/>
      <c r="AM211" s="129"/>
      <c r="AN211" s="129"/>
      <c r="AO211" s="129"/>
      <c r="AP211" s="54">
        <f>IF(OR(X211="",C211=""),"",NETWORKDAYS.INTL(C211,X211,1,'HELPER(Dont Delete)'!A:A))</f>
        <v>2</v>
      </c>
      <c r="AQ211" s="54">
        <f>IF(OR(X211="",Y211=""),"",NETWORKDAYS.INTL(X211,Y211,1,'HELPER(Dont Delete)'!A:A))</f>
        <v>2</v>
      </c>
      <c r="AR211" s="54" t="str">
        <f>IF(OR(Y211="",AA211=""),"",NETWORKDAYS.INTL(Y211,AA211,1,'HELPER(Dont Delete)'!A:A))</f>
        <v/>
      </c>
      <c r="AS211" s="129"/>
      <c r="AT211" s="129"/>
      <c r="AU211" s="129"/>
      <c r="AV211" s="129"/>
      <c r="AW211" s="126"/>
      <c r="AX211" s="127"/>
      <c r="AY211" s="127"/>
      <c r="AZ211" s="129"/>
      <c r="BA211" s="82"/>
      <c r="BB211" s="82"/>
      <c r="BC211" s="132"/>
      <c r="BD211" s="132"/>
      <c r="BE211" s="133"/>
      <c r="BF211" s="132"/>
      <c r="BG211" s="132"/>
      <c r="BH211" s="132"/>
      <c r="BI211" s="132"/>
      <c r="BJ211" s="132"/>
      <c r="BK211" s="129"/>
      <c r="BL211" s="132"/>
      <c r="BM211" s="132"/>
      <c r="BN211" s="129"/>
      <c r="BO211" s="129"/>
      <c r="BP211" s="153"/>
      <c r="BQ211" s="126"/>
      <c r="BR211" s="126"/>
      <c r="BS211" s="127"/>
      <c r="BT211" s="127"/>
      <c r="BU211" s="129"/>
      <c r="BV211" s="127"/>
      <c r="BW211" s="129"/>
      <c r="BX211" s="129"/>
      <c r="BY211" s="129"/>
      <c r="BZ211" s="129"/>
      <c r="CA211" s="129"/>
      <c r="CB211" s="129"/>
      <c r="CC211" s="129"/>
      <c r="CD211" s="129"/>
      <c r="CE211" s="129"/>
      <c r="CF211" s="129"/>
      <c r="CG211" s="129"/>
      <c r="CH211" s="129"/>
      <c r="CI211" s="129"/>
      <c r="CJ211" s="129"/>
      <c r="CK211" s="129"/>
      <c r="CL211" s="129"/>
      <c r="CM211" s="129"/>
      <c r="CN211" s="129"/>
      <c r="CO211" s="129"/>
      <c r="CP211" s="129"/>
      <c r="CQ211" s="129"/>
      <c r="CR211" s="129"/>
    </row>
    <row r="212" spans="1:96">
      <c r="A212" s="126"/>
      <c r="B212" s="127">
        <v>45750</v>
      </c>
      <c r="C212" s="127">
        <v>45750</v>
      </c>
      <c r="D212" s="129" t="s">
        <v>96</v>
      </c>
      <c r="E212" s="82" t="s">
        <v>219</v>
      </c>
      <c r="F212" s="82" t="s">
        <v>220</v>
      </c>
      <c r="G212" s="132" t="s">
        <v>1479</v>
      </c>
      <c r="H212" s="132">
        <v>9721374749</v>
      </c>
      <c r="I212" s="133" t="s">
        <v>1480</v>
      </c>
      <c r="J212" s="132" t="s">
        <v>1169</v>
      </c>
      <c r="K212" s="132">
        <v>3</v>
      </c>
      <c r="L212" s="132">
        <v>3</v>
      </c>
      <c r="M212" s="132" t="s">
        <v>1481</v>
      </c>
      <c r="N212" s="132" t="s">
        <v>425</v>
      </c>
      <c r="O212" s="129" t="s">
        <v>1482</v>
      </c>
      <c r="P212" s="132" t="s">
        <v>1483</v>
      </c>
      <c r="Q212" s="132" t="s">
        <v>1095</v>
      </c>
      <c r="R212" s="129" t="s">
        <v>58</v>
      </c>
      <c r="S212" s="129" t="s">
        <v>1201</v>
      </c>
      <c r="T212" s="153">
        <v>1.3</v>
      </c>
      <c r="U212" s="126" t="s">
        <v>1175</v>
      </c>
      <c r="V212" s="126" t="s">
        <v>239</v>
      </c>
      <c r="W212" s="127" t="s">
        <v>741</v>
      </c>
      <c r="X212" s="127">
        <v>45751</v>
      </c>
      <c r="Y212" s="152">
        <v>45754</v>
      </c>
      <c r="Z212" s="129" t="s">
        <v>232</v>
      </c>
      <c r="AA212" s="129"/>
      <c r="AB212" s="129"/>
      <c r="AC212" s="129"/>
      <c r="AD212" s="129"/>
      <c r="AE212" s="129"/>
      <c r="AF212" s="129"/>
      <c r="AG212" s="129"/>
      <c r="AH212" s="129"/>
      <c r="AI212" s="129"/>
      <c r="AJ212" s="129"/>
      <c r="AK212" s="129"/>
      <c r="AL212" s="129"/>
      <c r="AM212" s="129"/>
      <c r="AN212" s="129"/>
      <c r="AO212" s="129"/>
      <c r="AP212" s="54">
        <f>IF(OR(X212="",C212=""),"",NETWORKDAYS.INTL(C212,X212,1,'HELPER(Dont Delete)'!A:A))</f>
        <v>2</v>
      </c>
      <c r="AQ212" s="54">
        <f>IF(OR(X212="",Y212=""),"",NETWORKDAYS.INTL(X212,Y212,1,'HELPER(Dont Delete)'!A:A))</f>
        <v>2</v>
      </c>
      <c r="AR212" s="54" t="str">
        <f>IF(OR(Y212="",AA212=""),"",NETWORKDAYS.INTL(Y212,AA212,1,'HELPER(Dont Delete)'!A:A))</f>
        <v/>
      </c>
      <c r="AS212" s="129"/>
      <c r="AT212" s="129"/>
      <c r="AU212" s="129"/>
      <c r="AV212" s="129"/>
      <c r="AW212" s="126"/>
      <c r="AX212" s="127"/>
      <c r="AY212" s="127"/>
      <c r="AZ212" s="129"/>
      <c r="BA212" s="82"/>
      <c r="BB212" s="82"/>
      <c r="BC212" s="132"/>
      <c r="BD212" s="132"/>
      <c r="BE212" s="133"/>
      <c r="BF212" s="132"/>
      <c r="BG212" s="132"/>
      <c r="BH212" s="132"/>
      <c r="BI212" s="132"/>
      <c r="BJ212" s="132"/>
      <c r="BK212" s="129"/>
      <c r="BL212" s="132"/>
      <c r="BM212" s="132"/>
      <c r="BN212" s="129"/>
      <c r="BO212" s="129"/>
      <c r="BP212" s="153"/>
      <c r="BQ212" s="126"/>
      <c r="BR212" s="126"/>
      <c r="BS212" s="127"/>
      <c r="BT212" s="127"/>
      <c r="BU212" s="129"/>
      <c r="BV212" s="127"/>
      <c r="BW212" s="129"/>
      <c r="BX212" s="129"/>
      <c r="BY212" s="129"/>
      <c r="BZ212" s="129"/>
      <c r="CA212" s="129"/>
      <c r="CB212" s="129"/>
      <c r="CC212" s="129"/>
      <c r="CD212" s="129"/>
      <c r="CE212" s="129"/>
      <c r="CF212" s="129"/>
      <c r="CG212" s="129"/>
      <c r="CH212" s="129"/>
      <c r="CI212" s="129"/>
      <c r="CJ212" s="129"/>
      <c r="CK212" s="129"/>
      <c r="CL212" s="129"/>
      <c r="CM212" s="129"/>
      <c r="CN212" s="129"/>
      <c r="CO212" s="129"/>
      <c r="CP212" s="129"/>
      <c r="CQ212" s="129"/>
      <c r="CR212" s="129"/>
    </row>
    <row r="213" spans="1:96">
      <c r="A213" s="126"/>
      <c r="B213" s="127">
        <v>45750</v>
      </c>
      <c r="C213" s="127">
        <v>45750</v>
      </c>
      <c r="D213" s="129" t="s">
        <v>96</v>
      </c>
      <c r="E213" s="82" t="s">
        <v>219</v>
      </c>
      <c r="F213" s="82" t="s">
        <v>220</v>
      </c>
      <c r="G213" s="132" t="s">
        <v>1484</v>
      </c>
      <c r="H213" s="132">
        <v>8605583670</v>
      </c>
      <c r="I213" s="133" t="s">
        <v>1485</v>
      </c>
      <c r="J213" s="132" t="s">
        <v>1169</v>
      </c>
      <c r="K213" s="132">
        <v>3</v>
      </c>
      <c r="L213" s="132">
        <v>3</v>
      </c>
      <c r="M213" s="132" t="s">
        <v>1486</v>
      </c>
      <c r="N213" s="132" t="s">
        <v>1218</v>
      </c>
      <c r="O213" s="129" t="s">
        <v>1487</v>
      </c>
      <c r="P213" s="132" t="s">
        <v>373</v>
      </c>
      <c r="Q213" s="132" t="s">
        <v>1181</v>
      </c>
      <c r="R213" s="129" t="s">
        <v>228</v>
      </c>
      <c r="S213" s="129" t="s">
        <v>1201</v>
      </c>
      <c r="T213" s="153">
        <v>1.3</v>
      </c>
      <c r="U213" s="126" t="s">
        <v>1175</v>
      </c>
      <c r="V213" s="126" t="s">
        <v>291</v>
      </c>
      <c r="W213" s="127"/>
      <c r="X213" s="127">
        <v>45751</v>
      </c>
      <c r="Y213" s="129"/>
      <c r="Z213" s="129"/>
      <c r="AA213" s="129"/>
      <c r="AB213" s="129"/>
      <c r="AC213" s="129"/>
      <c r="AD213" s="129"/>
      <c r="AE213" s="129"/>
      <c r="AF213" s="129"/>
      <c r="AG213" s="129"/>
      <c r="AH213" s="129"/>
      <c r="AI213" s="129"/>
      <c r="AJ213" s="129"/>
      <c r="AK213" s="129"/>
      <c r="AL213" s="129"/>
      <c r="AM213" s="129"/>
      <c r="AN213" s="129"/>
      <c r="AO213" s="129"/>
      <c r="AP213" s="54">
        <f>IF(OR(X213="",C213=""),"",NETWORKDAYS.INTL(C213,X213,1,'HELPER(Dont Delete)'!A:A))</f>
        <v>2</v>
      </c>
      <c r="AQ213" s="54" t="str">
        <f>IF(OR(X213="",Y213=""),"",NETWORKDAYS.INTL(X213,Y213,1,'HELPER(Dont Delete)'!A:A))</f>
        <v/>
      </c>
      <c r="AR213" s="54" t="str">
        <f>IF(OR(Y213="",AA213=""),"",NETWORKDAYS.INTL(Y213,AA213,1,'HELPER(Dont Delete)'!A:A))</f>
        <v/>
      </c>
      <c r="AS213" s="129"/>
      <c r="AT213" s="129"/>
      <c r="AU213" s="129"/>
      <c r="AV213" s="129"/>
      <c r="AW213" s="126"/>
      <c r="AX213" s="127"/>
      <c r="AY213" s="127"/>
      <c r="AZ213" s="129"/>
      <c r="BA213" s="82"/>
      <c r="BB213" s="82"/>
      <c r="BC213" s="132"/>
      <c r="BD213" s="132"/>
      <c r="BE213" s="133"/>
      <c r="BF213" s="132"/>
      <c r="BG213" s="132"/>
      <c r="BH213" s="132"/>
      <c r="BI213" s="132"/>
      <c r="BJ213" s="132"/>
      <c r="BK213" s="129"/>
      <c r="BL213" s="132"/>
      <c r="BM213" s="132"/>
      <c r="BN213" s="129"/>
      <c r="BO213" s="129"/>
      <c r="BP213" s="153"/>
      <c r="BQ213" s="126"/>
      <c r="BR213" s="126"/>
      <c r="BS213" s="127"/>
      <c r="BT213" s="127"/>
      <c r="BU213" s="129"/>
      <c r="BV213" s="127"/>
      <c r="BW213" s="129"/>
      <c r="BX213" s="129"/>
      <c r="BY213" s="129"/>
      <c r="BZ213" s="129"/>
      <c r="CA213" s="129"/>
      <c r="CB213" s="129"/>
      <c r="CC213" s="129"/>
      <c r="CD213" s="129"/>
      <c r="CE213" s="129"/>
      <c r="CF213" s="129"/>
      <c r="CG213" s="129"/>
      <c r="CH213" s="129"/>
      <c r="CI213" s="129"/>
      <c r="CJ213" s="129"/>
      <c r="CK213" s="129"/>
      <c r="CL213" s="129"/>
      <c r="CM213" s="129"/>
      <c r="CN213" s="129"/>
      <c r="CO213" s="129"/>
      <c r="CP213" s="129"/>
      <c r="CQ213" s="129"/>
      <c r="CR213" s="129"/>
    </row>
    <row r="214" spans="1:96">
      <c r="A214" s="126"/>
      <c r="B214" s="127">
        <v>45747</v>
      </c>
      <c r="C214" s="127">
        <v>45750</v>
      </c>
      <c r="D214" s="129" t="s">
        <v>1488</v>
      </c>
      <c r="E214" s="82" t="s">
        <v>219</v>
      </c>
      <c r="F214" s="82" t="s">
        <v>220</v>
      </c>
      <c r="G214" s="132" t="s">
        <v>1489</v>
      </c>
      <c r="H214" s="132">
        <v>7522002304</v>
      </c>
      <c r="I214" s="133" t="s">
        <v>1490</v>
      </c>
      <c r="J214" s="132">
        <v>16</v>
      </c>
      <c r="K214" s="132">
        <v>16</v>
      </c>
      <c r="L214" s="132">
        <v>16</v>
      </c>
      <c r="M214" s="132" t="s">
        <v>1491</v>
      </c>
      <c r="N214" s="132" t="s">
        <v>425</v>
      </c>
      <c r="O214" s="129" t="s">
        <v>1492</v>
      </c>
      <c r="P214" s="132" t="s">
        <v>1493</v>
      </c>
      <c r="Q214" s="132" t="s">
        <v>1494</v>
      </c>
      <c r="R214" s="129" t="s">
        <v>1201</v>
      </c>
      <c r="S214" s="129" t="s">
        <v>42</v>
      </c>
      <c r="T214" s="153"/>
      <c r="U214" s="126" t="s">
        <v>1301</v>
      </c>
      <c r="V214" s="126" t="s">
        <v>339</v>
      </c>
      <c r="W214" s="126" t="s">
        <v>1495</v>
      </c>
      <c r="X214" s="127">
        <v>45751</v>
      </c>
      <c r="Y214" s="225">
        <v>45756</v>
      </c>
      <c r="Z214" s="127" t="s">
        <v>232</v>
      </c>
      <c r="AA214" s="127">
        <v>45778</v>
      </c>
      <c r="AB214" s="129" t="s">
        <v>340</v>
      </c>
      <c r="AC214" s="129"/>
      <c r="AD214" s="129"/>
      <c r="AE214" s="129"/>
      <c r="AF214" s="129"/>
      <c r="AG214" s="129"/>
      <c r="AH214" s="129"/>
      <c r="AI214" s="129"/>
      <c r="AJ214" s="129"/>
      <c r="AK214" s="129"/>
      <c r="AL214" s="129"/>
      <c r="AM214" s="129"/>
      <c r="AN214" s="129"/>
      <c r="AO214" s="129"/>
      <c r="AP214" s="54">
        <f>IF(OR(X214="",C214=""),"",NETWORKDAYS.INTL(C214,X214,1,'HELPER(Dont Delete)'!A:A))</f>
        <v>2</v>
      </c>
      <c r="AQ214" s="54">
        <f>IF(OR(X214="",Y214=""),"",NETWORKDAYS.INTL(X214,Y214,1,'HELPER(Dont Delete)'!A:A))</f>
        <v>4</v>
      </c>
      <c r="AR214" s="54">
        <f>IF(OR(Y214="",AA214=""),"",NETWORKDAYS.INTL(Y214,AA214,1,'HELPER(Dont Delete)'!A:A))</f>
        <v>17</v>
      </c>
      <c r="AS214" s="129"/>
      <c r="AT214" s="129"/>
      <c r="AU214" s="129"/>
      <c r="AV214" s="129"/>
      <c r="AW214" s="126"/>
      <c r="AX214" s="127"/>
      <c r="AY214" s="127"/>
      <c r="AZ214" s="129"/>
      <c r="BA214" s="82"/>
      <c r="BB214" s="82"/>
      <c r="BC214" s="132"/>
      <c r="BD214" s="132"/>
      <c r="BE214" s="133"/>
      <c r="BF214" s="132"/>
      <c r="BG214" s="132"/>
      <c r="BH214" s="132"/>
      <c r="BI214" s="132"/>
      <c r="BJ214" s="132"/>
      <c r="BK214" s="129"/>
      <c r="BL214" s="132"/>
      <c r="BM214" s="132"/>
      <c r="BN214" s="129"/>
      <c r="BO214" s="129"/>
      <c r="BP214" s="153"/>
      <c r="BQ214" s="126"/>
      <c r="BR214" s="126"/>
      <c r="BS214" s="127"/>
      <c r="BT214" s="127"/>
      <c r="BU214" s="129"/>
      <c r="BV214" s="127"/>
      <c r="BW214" s="129"/>
      <c r="BX214" s="129"/>
      <c r="BY214" s="129"/>
      <c r="BZ214" s="129"/>
      <c r="CA214" s="129"/>
      <c r="CB214" s="129"/>
      <c r="CC214" s="129"/>
      <c r="CD214" s="129"/>
      <c r="CE214" s="129"/>
      <c r="CF214" s="129"/>
      <c r="CG214" s="129"/>
      <c r="CH214" s="129"/>
      <c r="CI214" s="129"/>
      <c r="CJ214" s="129"/>
      <c r="CK214" s="129"/>
      <c r="CL214" s="129"/>
      <c r="CM214" s="129"/>
      <c r="CN214" s="129"/>
      <c r="CO214" s="129"/>
      <c r="CP214" s="129"/>
      <c r="CQ214" s="129"/>
      <c r="CR214" s="129"/>
    </row>
    <row r="215" spans="1:96">
      <c r="A215" s="126"/>
      <c r="B215" s="127">
        <v>45747</v>
      </c>
      <c r="C215" s="127">
        <v>45750</v>
      </c>
      <c r="D215" s="129" t="s">
        <v>1488</v>
      </c>
      <c r="E215" s="82" t="s">
        <v>219</v>
      </c>
      <c r="F215" s="82" t="s">
        <v>220</v>
      </c>
      <c r="G215" s="132" t="s">
        <v>1496</v>
      </c>
      <c r="H215" s="132">
        <v>9223531009</v>
      </c>
      <c r="I215" s="133" t="s">
        <v>1497</v>
      </c>
      <c r="J215" s="132">
        <v>19</v>
      </c>
      <c r="K215" s="132">
        <v>19</v>
      </c>
      <c r="L215" s="132">
        <v>19</v>
      </c>
      <c r="M215" s="132" t="s">
        <v>1498</v>
      </c>
      <c r="N215" s="132" t="s">
        <v>425</v>
      </c>
      <c r="O215" s="129" t="s">
        <v>192</v>
      </c>
      <c r="P215" s="132" t="s">
        <v>1499</v>
      </c>
      <c r="Q215" s="132" t="s">
        <v>1500</v>
      </c>
      <c r="R215" s="129" t="s">
        <v>42</v>
      </c>
      <c r="S215" s="129" t="s">
        <v>42</v>
      </c>
      <c r="T215" s="153"/>
      <c r="U215" s="126" t="s">
        <v>1301</v>
      </c>
      <c r="V215" s="126" t="s">
        <v>231</v>
      </c>
      <c r="W215" s="127"/>
      <c r="X215" s="127">
        <v>45751</v>
      </c>
      <c r="Y215" s="225">
        <v>45755</v>
      </c>
      <c r="Z215" s="127" t="s">
        <v>232</v>
      </c>
      <c r="AA215" s="129"/>
      <c r="AB215" s="129"/>
      <c r="AC215" s="129"/>
      <c r="AD215" s="129"/>
      <c r="AE215" s="129"/>
      <c r="AF215" s="129"/>
      <c r="AG215" s="129"/>
      <c r="AH215" s="129"/>
      <c r="AI215" s="129"/>
      <c r="AJ215" s="129"/>
      <c r="AK215" s="129"/>
      <c r="AL215" s="129"/>
      <c r="AM215" s="129"/>
      <c r="AN215" s="129"/>
      <c r="AO215" s="129"/>
      <c r="AP215" s="54">
        <f>IF(OR(X215="",C215=""),"",NETWORKDAYS.INTL(C215,X215,1,'HELPER(Dont Delete)'!A:A))</f>
        <v>2</v>
      </c>
      <c r="AQ215" s="54">
        <f>IF(OR(X215="",Y215=""),"",NETWORKDAYS.INTL(X215,Y215,1,'HELPER(Dont Delete)'!A:A))</f>
        <v>3</v>
      </c>
      <c r="AR215" s="54" t="str">
        <f>IF(OR(Y215="",AA215=""),"",NETWORKDAYS.INTL(Y215,AA215,1,'HELPER(Dont Delete)'!A:A))</f>
        <v/>
      </c>
      <c r="AS215" s="129"/>
      <c r="AT215" s="129"/>
      <c r="AU215" s="129"/>
      <c r="AV215" s="129"/>
      <c r="AW215" s="126"/>
      <c r="AX215" s="127"/>
      <c r="AY215" s="127"/>
      <c r="AZ215" s="129"/>
      <c r="BA215" s="82"/>
      <c r="BB215" s="82"/>
      <c r="BC215" s="132"/>
      <c r="BD215" s="132"/>
      <c r="BE215" s="133"/>
      <c r="BF215" s="132"/>
      <c r="BG215" s="132"/>
      <c r="BH215" s="132"/>
      <c r="BI215" s="132"/>
      <c r="BJ215" s="132"/>
      <c r="BK215" s="129"/>
      <c r="BL215" s="132"/>
      <c r="BM215" s="132"/>
      <c r="BN215" s="129"/>
      <c r="BO215" s="129"/>
      <c r="BP215" s="153"/>
      <c r="BQ215" s="126"/>
      <c r="BR215" s="126"/>
      <c r="BS215" s="127"/>
      <c r="BT215" s="127"/>
      <c r="BU215" s="129"/>
      <c r="BV215" s="127"/>
      <c r="BW215" s="129"/>
      <c r="BX215" s="129"/>
      <c r="BY215" s="129"/>
      <c r="BZ215" s="129"/>
      <c r="CA215" s="129"/>
      <c r="CB215" s="129"/>
      <c r="CC215" s="129"/>
      <c r="CD215" s="129"/>
      <c r="CE215" s="129"/>
      <c r="CF215" s="129"/>
      <c r="CG215" s="129"/>
      <c r="CH215" s="129"/>
      <c r="CI215" s="129"/>
      <c r="CJ215" s="129"/>
      <c r="CK215" s="129"/>
      <c r="CL215" s="129"/>
      <c r="CM215" s="129"/>
      <c r="CN215" s="129"/>
      <c r="CO215" s="129"/>
      <c r="CP215" s="129"/>
      <c r="CQ215" s="129"/>
      <c r="CR215" s="129"/>
    </row>
    <row r="216" spans="1:96">
      <c r="A216" s="126"/>
      <c r="B216" s="127">
        <v>45747</v>
      </c>
      <c r="C216" s="127">
        <v>45750</v>
      </c>
      <c r="D216" s="129" t="s">
        <v>1488</v>
      </c>
      <c r="E216" s="82" t="s">
        <v>219</v>
      </c>
      <c r="F216" s="82" t="s">
        <v>220</v>
      </c>
      <c r="G216" s="132" t="s">
        <v>1501</v>
      </c>
      <c r="H216" s="132" t="s">
        <v>1502</v>
      </c>
      <c r="I216" s="133" t="s">
        <v>1503</v>
      </c>
      <c r="J216" s="132">
        <v>18</v>
      </c>
      <c r="K216" s="132">
        <v>18</v>
      </c>
      <c r="L216" s="132">
        <v>18</v>
      </c>
      <c r="M216" s="132" t="s">
        <v>737</v>
      </c>
      <c r="N216" s="132" t="s">
        <v>1218</v>
      </c>
      <c r="O216" s="129" t="s">
        <v>1504</v>
      </c>
      <c r="P216" s="132" t="s">
        <v>1505</v>
      </c>
      <c r="Q216" s="132" t="s">
        <v>456</v>
      </c>
      <c r="R216" s="129" t="s">
        <v>1300</v>
      </c>
      <c r="S216" s="129" t="s">
        <v>42</v>
      </c>
      <c r="T216" s="153"/>
      <c r="U216" s="126" t="s">
        <v>1301</v>
      </c>
      <c r="V216" s="126" t="s">
        <v>1308</v>
      </c>
      <c r="W216" s="127"/>
      <c r="X216" s="127">
        <v>45751</v>
      </c>
      <c r="Y216" s="225"/>
      <c r="Z216" s="127"/>
      <c r="AA216" s="129"/>
      <c r="AB216" s="129"/>
      <c r="AC216" s="129"/>
      <c r="AD216" s="129"/>
      <c r="AE216" s="129"/>
      <c r="AF216" s="129"/>
      <c r="AG216" s="129"/>
      <c r="AH216" s="129"/>
      <c r="AI216" s="129"/>
      <c r="AJ216" s="129"/>
      <c r="AK216" s="129"/>
      <c r="AL216" s="129"/>
      <c r="AM216" s="129"/>
      <c r="AN216" s="129"/>
      <c r="AO216" s="129"/>
      <c r="AP216" s="54">
        <f>IF(OR(X216="",C216=""),"",NETWORKDAYS.INTL(C216,X216,1,'HELPER(Dont Delete)'!A:A))</f>
        <v>2</v>
      </c>
      <c r="AQ216" s="54" t="str">
        <f>IF(OR(X216="",Y216=""),"",NETWORKDAYS.INTL(X216,Y216,1,'HELPER(Dont Delete)'!A:A))</f>
        <v/>
      </c>
      <c r="AR216" s="54" t="str">
        <f>IF(OR(Y216="",AA216=""),"",NETWORKDAYS.INTL(Y216,AA216,1,'HELPER(Dont Delete)'!A:A))</f>
        <v/>
      </c>
      <c r="AS216" s="129"/>
      <c r="AT216" s="129"/>
      <c r="AU216" s="129"/>
      <c r="AV216" s="129"/>
      <c r="AW216" s="126"/>
      <c r="AX216" s="127"/>
      <c r="AY216" s="127"/>
      <c r="AZ216" s="129"/>
      <c r="BA216" s="82"/>
      <c r="BB216" s="82"/>
      <c r="BC216" s="132"/>
      <c r="BD216" s="132"/>
      <c r="BE216" s="133"/>
      <c r="BF216" s="132"/>
      <c r="BG216" s="132"/>
      <c r="BH216" s="132"/>
      <c r="BI216" s="132"/>
      <c r="BJ216" s="132"/>
      <c r="BK216" s="129"/>
      <c r="BL216" s="132"/>
      <c r="BM216" s="132"/>
      <c r="BN216" s="129"/>
      <c r="BO216" s="129"/>
      <c r="BP216" s="153"/>
      <c r="BQ216" s="126"/>
      <c r="BR216" s="126"/>
      <c r="BS216" s="127"/>
      <c r="BT216" s="127"/>
      <c r="BU216" s="129"/>
      <c r="BV216" s="127"/>
      <c r="BW216" s="129"/>
      <c r="BX216" s="129"/>
      <c r="BY216" s="129"/>
      <c r="BZ216" s="129"/>
      <c r="CA216" s="129"/>
      <c r="CB216" s="129"/>
      <c r="CC216" s="129"/>
      <c r="CD216" s="129"/>
      <c r="CE216" s="129"/>
      <c r="CF216" s="129"/>
      <c r="CG216" s="129"/>
      <c r="CH216" s="129"/>
      <c r="CI216" s="129"/>
      <c r="CJ216" s="129"/>
      <c r="CK216" s="129"/>
      <c r="CL216" s="129"/>
      <c r="CM216" s="129"/>
      <c r="CN216" s="129"/>
      <c r="CO216" s="129"/>
      <c r="CP216" s="129"/>
      <c r="CQ216" s="129"/>
      <c r="CR216" s="129"/>
    </row>
    <row r="217" spans="1:96">
      <c r="A217" s="87"/>
      <c r="B217" s="135">
        <v>45743</v>
      </c>
      <c r="C217" s="127">
        <v>45754</v>
      </c>
      <c r="D217" s="87" t="s">
        <v>129</v>
      </c>
      <c r="E217" s="82" t="s">
        <v>219</v>
      </c>
      <c r="F217" s="82" t="s">
        <v>220</v>
      </c>
      <c r="G217" s="140" t="s">
        <v>1506</v>
      </c>
      <c r="H217" s="87">
        <v>9004777588</v>
      </c>
      <c r="I217" s="87" t="s">
        <v>1507</v>
      </c>
      <c r="J217" s="141"/>
      <c r="K217" s="87">
        <v>17</v>
      </c>
      <c r="L217" s="87">
        <v>17</v>
      </c>
      <c r="M217" s="87" t="s">
        <v>1508</v>
      </c>
      <c r="N217" s="87" t="s">
        <v>462</v>
      </c>
      <c r="O217" s="87" t="s">
        <v>1509</v>
      </c>
      <c r="P217" s="87" t="s">
        <v>1510</v>
      </c>
      <c r="Q217" s="87" t="s">
        <v>307</v>
      </c>
      <c r="R217" s="87" t="s">
        <v>1075</v>
      </c>
      <c r="S217" s="87" t="s">
        <v>68</v>
      </c>
      <c r="T217" s="60"/>
      <c r="U217" s="87" t="s">
        <v>1301</v>
      </c>
      <c r="V217" s="154" t="s">
        <v>291</v>
      </c>
      <c r="W217" s="155"/>
      <c r="X217" s="108">
        <v>45758</v>
      </c>
      <c r="Y217" s="135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  <c r="AN217" s="87"/>
      <c r="AO217" s="87"/>
      <c r="AP217" s="54">
        <f>IF(OR(X217="",C217=""),"",NETWORKDAYS.INTL(C217,X217,1,'HELPER(Dont Delete)'!A:A))</f>
        <v>5</v>
      </c>
      <c r="AQ217" s="54" t="str">
        <f>IF(OR(X217="",Y217=""),"",NETWORKDAYS.INTL(X217,Y217,1,'HELPER(Dont Delete)'!A:A))</f>
        <v/>
      </c>
      <c r="AR217" s="54" t="str">
        <f>IF(OR(Y217="",AA217=""),"",NETWORKDAYS.INTL(Y217,AA217,1,'HELPER(Dont Delete)'!A:A))</f>
        <v/>
      </c>
      <c r="AS217" s="87"/>
      <c r="AT217" s="87"/>
      <c r="AU217" s="87"/>
      <c r="AV217" s="87"/>
      <c r="AW217" s="87"/>
      <c r="AX217" s="87"/>
      <c r="AY217" s="87"/>
      <c r="AZ217" s="87"/>
      <c r="BA217" s="87"/>
      <c r="BB217" s="87"/>
      <c r="BC217" s="87"/>
      <c r="BD217" s="87"/>
      <c r="BE217" s="87"/>
      <c r="BF217" s="87"/>
      <c r="BG217" s="87"/>
      <c r="BH217" s="87"/>
      <c r="BI217" s="87"/>
      <c r="BJ217" s="87"/>
      <c r="BK217" s="87"/>
      <c r="BL217" s="87"/>
      <c r="BM217" s="87"/>
      <c r="BN217" s="87"/>
      <c r="BO217" s="87"/>
      <c r="BP217" s="87"/>
      <c r="BQ217" s="87"/>
      <c r="BR217" s="87"/>
      <c r="BS217" s="87"/>
      <c r="BT217" s="87"/>
      <c r="BU217" s="87"/>
      <c r="BV217" s="87"/>
      <c r="BW217" s="87"/>
      <c r="BX217" s="87"/>
      <c r="BY217" s="87"/>
      <c r="BZ217" s="87"/>
      <c r="CA217" s="87"/>
      <c r="CB217" s="87"/>
      <c r="CC217" s="87"/>
      <c r="CD217" s="87"/>
      <c r="CE217" s="87"/>
      <c r="CF217" s="87"/>
      <c r="CG217" s="87"/>
      <c r="CH217" s="87"/>
      <c r="CI217" s="87"/>
      <c r="CJ217" s="87"/>
      <c r="CK217" s="87"/>
      <c r="CL217" s="87"/>
      <c r="CM217" s="87"/>
      <c r="CN217" s="87"/>
      <c r="CO217" s="87"/>
      <c r="CP217" s="87"/>
      <c r="CQ217" s="87"/>
      <c r="CR217" s="87"/>
    </row>
    <row r="218" spans="1:96">
      <c r="A218" s="87"/>
      <c r="B218" s="135">
        <v>45743</v>
      </c>
      <c r="C218" s="127">
        <v>45754</v>
      </c>
      <c r="D218" s="87" t="s">
        <v>129</v>
      </c>
      <c r="E218" s="82" t="s">
        <v>219</v>
      </c>
      <c r="F218" s="82" t="s">
        <v>220</v>
      </c>
      <c r="G218" s="140" t="s">
        <v>1511</v>
      </c>
      <c r="H218" s="87">
        <v>9830687783</v>
      </c>
      <c r="I218" s="87" t="s">
        <v>1512</v>
      </c>
      <c r="J218" s="141"/>
      <c r="K218" s="87">
        <v>19</v>
      </c>
      <c r="L218" s="87">
        <v>19</v>
      </c>
      <c r="M218" s="87" t="s">
        <v>1513</v>
      </c>
      <c r="N218" s="87" t="s">
        <v>1218</v>
      </c>
      <c r="O218" s="87" t="s">
        <v>1514</v>
      </c>
      <c r="P218" s="87" t="s">
        <v>1515</v>
      </c>
      <c r="Q218" s="87" t="s">
        <v>366</v>
      </c>
      <c r="R218" s="87" t="s">
        <v>64</v>
      </c>
      <c r="S218" s="87" t="s">
        <v>68</v>
      </c>
      <c r="T218" s="60"/>
      <c r="U218" s="87" t="s">
        <v>1301</v>
      </c>
      <c r="V218" s="154" t="s">
        <v>291</v>
      </c>
      <c r="W218" s="155"/>
      <c r="X218" s="108">
        <v>45758</v>
      </c>
      <c r="Y218" s="135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  <c r="AN218" s="87"/>
      <c r="AO218" s="87"/>
      <c r="AP218" s="54">
        <f>IF(OR(X218="",C218=""),"",NETWORKDAYS.INTL(C218,X218,1,'HELPER(Dont Delete)'!A:A))</f>
        <v>5</v>
      </c>
      <c r="AQ218" s="54" t="str">
        <f>IF(OR(X218="",Y218=""),"",NETWORKDAYS.INTL(X218,Y218,1,'HELPER(Dont Delete)'!A:A))</f>
        <v/>
      </c>
      <c r="AR218" s="54" t="str">
        <f>IF(OR(Y218="",AA218=""),"",NETWORKDAYS.INTL(Y218,AA218,1,'HELPER(Dont Delete)'!A:A))</f>
        <v/>
      </c>
      <c r="AS218" s="87"/>
      <c r="AT218" s="87"/>
      <c r="AU218" s="87"/>
      <c r="AV218" s="87"/>
      <c r="AW218" s="87"/>
      <c r="AX218" s="87"/>
      <c r="AY218" s="87"/>
      <c r="AZ218" s="87"/>
      <c r="BA218" s="87"/>
      <c r="BB218" s="87"/>
      <c r="BC218" s="87"/>
      <c r="BD218" s="87"/>
      <c r="BE218" s="87"/>
      <c r="BF218" s="87"/>
      <c r="BG218" s="87"/>
      <c r="BH218" s="87"/>
      <c r="BI218" s="87"/>
      <c r="BJ218" s="87"/>
      <c r="BK218" s="87"/>
      <c r="BL218" s="87"/>
      <c r="BM218" s="87"/>
      <c r="BN218" s="87"/>
      <c r="BO218" s="87"/>
      <c r="BP218" s="87"/>
      <c r="BQ218" s="87"/>
      <c r="BR218" s="87"/>
      <c r="BS218" s="87"/>
      <c r="BT218" s="87"/>
      <c r="BU218" s="87"/>
      <c r="BV218" s="87"/>
      <c r="BW218" s="87"/>
      <c r="BX218" s="87"/>
      <c r="BY218" s="87"/>
      <c r="BZ218" s="87"/>
      <c r="CA218" s="87"/>
      <c r="CB218" s="87"/>
      <c r="CC218" s="87"/>
      <c r="CD218" s="87"/>
      <c r="CE218" s="87"/>
      <c r="CF218" s="87"/>
      <c r="CG218" s="87"/>
      <c r="CH218" s="87"/>
      <c r="CI218" s="87"/>
      <c r="CJ218" s="87"/>
      <c r="CK218" s="87"/>
      <c r="CL218" s="87"/>
      <c r="CM218" s="87"/>
      <c r="CN218" s="87"/>
      <c r="CO218" s="87"/>
      <c r="CP218" s="87"/>
      <c r="CQ218" s="87"/>
      <c r="CR218" s="87"/>
    </row>
    <row r="219" spans="1:96">
      <c r="A219" s="87"/>
      <c r="B219" s="135">
        <v>45743</v>
      </c>
      <c r="C219" s="127">
        <v>45754</v>
      </c>
      <c r="D219" s="87" t="s">
        <v>129</v>
      </c>
      <c r="E219" s="82" t="s">
        <v>219</v>
      </c>
      <c r="F219" s="82" t="s">
        <v>220</v>
      </c>
      <c r="G219" s="140" t="s">
        <v>1516</v>
      </c>
      <c r="H219" s="87">
        <v>8329524507</v>
      </c>
      <c r="I219" s="87" t="s">
        <v>1517</v>
      </c>
      <c r="J219" s="141"/>
      <c r="K219" s="87">
        <v>19</v>
      </c>
      <c r="L219" s="87">
        <v>19</v>
      </c>
      <c r="M219" s="87" t="s">
        <v>1518</v>
      </c>
      <c r="N219" s="87" t="s">
        <v>1218</v>
      </c>
      <c r="O219" s="87" t="s">
        <v>1519</v>
      </c>
      <c r="P219" s="87" t="s">
        <v>352</v>
      </c>
      <c r="Q219" s="87" t="s">
        <v>366</v>
      </c>
      <c r="R219" s="87" t="s">
        <v>290</v>
      </c>
      <c r="S219" s="87" t="s">
        <v>68</v>
      </c>
      <c r="T219" s="60"/>
      <c r="U219" s="87" t="s">
        <v>1301</v>
      </c>
      <c r="V219" s="126" t="s">
        <v>291</v>
      </c>
      <c r="W219" s="127"/>
      <c r="X219" s="108">
        <v>45758</v>
      </c>
      <c r="Y219" s="135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  <c r="AO219" s="87"/>
      <c r="AP219" s="54">
        <f>IF(OR(X219="",C219=""),"",NETWORKDAYS.INTL(C219,X219,1,'HELPER(Dont Delete)'!A:A))</f>
        <v>5</v>
      </c>
      <c r="AQ219" s="54" t="str">
        <f>IF(OR(X219="",Y219=""),"",NETWORKDAYS.INTL(X219,Y219,1,'HELPER(Dont Delete)'!A:A))</f>
        <v/>
      </c>
      <c r="AR219" s="54" t="str">
        <f>IF(OR(Y219="",AA219=""),"",NETWORKDAYS.INTL(Y219,AA219,1,'HELPER(Dont Delete)'!A:A))</f>
        <v/>
      </c>
      <c r="AS219" s="87"/>
      <c r="AT219" s="87"/>
      <c r="AU219" s="87"/>
      <c r="AV219" s="87"/>
      <c r="AW219" s="87"/>
      <c r="AX219" s="87"/>
      <c r="AY219" s="87"/>
      <c r="AZ219" s="87"/>
      <c r="BA219" s="87"/>
      <c r="BB219" s="87"/>
      <c r="BC219" s="87"/>
      <c r="BD219" s="87"/>
      <c r="BE219" s="87"/>
      <c r="BF219" s="87"/>
      <c r="BG219" s="87"/>
      <c r="BH219" s="87"/>
      <c r="BI219" s="87"/>
      <c r="BJ219" s="87"/>
      <c r="BK219" s="87"/>
      <c r="BL219" s="87"/>
      <c r="BM219" s="87"/>
      <c r="BN219" s="87"/>
      <c r="BO219" s="87"/>
      <c r="BP219" s="87"/>
      <c r="BQ219" s="87"/>
      <c r="BR219" s="87"/>
      <c r="BS219" s="87"/>
      <c r="BT219" s="87"/>
      <c r="BU219" s="87"/>
      <c r="BV219" s="87"/>
      <c r="BW219" s="87"/>
      <c r="BX219" s="87"/>
      <c r="BY219" s="87"/>
      <c r="BZ219" s="87"/>
      <c r="CA219" s="87"/>
      <c r="CB219" s="87"/>
      <c r="CC219" s="87"/>
      <c r="CD219" s="87"/>
      <c r="CE219" s="87"/>
      <c r="CF219" s="87"/>
      <c r="CG219" s="87"/>
      <c r="CH219" s="87"/>
      <c r="CI219" s="87"/>
      <c r="CJ219" s="87"/>
      <c r="CK219" s="87"/>
      <c r="CL219" s="87"/>
      <c r="CM219" s="87"/>
      <c r="CN219" s="87"/>
      <c r="CO219" s="87"/>
      <c r="CP219" s="87"/>
      <c r="CQ219" s="87"/>
      <c r="CR219" s="87"/>
    </row>
    <row r="220" spans="1:96">
      <c r="A220" s="154"/>
      <c r="B220" s="155">
        <v>45747</v>
      </c>
      <c r="C220" s="127">
        <v>45755</v>
      </c>
      <c r="D220" s="157" t="s">
        <v>147</v>
      </c>
      <c r="E220" s="82" t="s">
        <v>219</v>
      </c>
      <c r="F220" s="82" t="s">
        <v>220</v>
      </c>
      <c r="G220" s="156" t="s">
        <v>510</v>
      </c>
      <c r="H220" s="156">
        <v>7979848752</v>
      </c>
      <c r="I220" s="162" t="s">
        <v>1520</v>
      </c>
      <c r="J220" s="156" t="s">
        <v>1521</v>
      </c>
      <c r="K220" s="156">
        <v>14</v>
      </c>
      <c r="L220" s="156">
        <v>14</v>
      </c>
      <c r="M220" s="156" t="s">
        <v>1522</v>
      </c>
      <c r="N220" s="156" t="s">
        <v>1003</v>
      </c>
      <c r="O220" s="157" t="s">
        <v>1523</v>
      </c>
      <c r="P220" s="156" t="s">
        <v>770</v>
      </c>
      <c r="Q220" s="156" t="s">
        <v>402</v>
      </c>
      <c r="R220" s="157" t="s">
        <v>1524</v>
      </c>
      <c r="S220" s="157" t="s">
        <v>1201</v>
      </c>
      <c r="T220" s="153">
        <v>1.1000000000000001</v>
      </c>
      <c r="U220" s="154" t="s">
        <v>1175</v>
      </c>
      <c r="V220" s="126" t="s">
        <v>339</v>
      </c>
      <c r="W220" s="127" t="s">
        <v>164</v>
      </c>
      <c r="X220" s="127">
        <v>45756</v>
      </c>
      <c r="Y220" s="155">
        <v>45761</v>
      </c>
      <c r="Z220" s="155" t="s">
        <v>340</v>
      </c>
      <c r="AA220" s="155">
        <v>45772</v>
      </c>
      <c r="AB220" s="157" t="s">
        <v>340</v>
      </c>
      <c r="AC220" s="157"/>
      <c r="AD220" s="157"/>
      <c r="AE220" s="157"/>
      <c r="AF220" s="157"/>
      <c r="AG220" s="157"/>
      <c r="AH220" s="157"/>
      <c r="AI220" s="157"/>
      <c r="AJ220" s="157"/>
      <c r="AK220" s="157"/>
      <c r="AL220" s="157"/>
      <c r="AM220" s="157"/>
      <c r="AN220" s="157"/>
      <c r="AO220" s="157"/>
      <c r="AP220" s="54">
        <f>IF(OR(X220="",C220=""),"",NETWORKDAYS.INTL(C220,X220,1,'HELPER(Dont Delete)'!A:A))</f>
        <v>2</v>
      </c>
      <c r="AQ220" s="54">
        <f>IF(OR(X220="",Y220=""),"",NETWORKDAYS.INTL(X220,Y220,1,'HELPER(Dont Delete)'!A:A))</f>
        <v>4</v>
      </c>
      <c r="AR220" s="54">
        <f>IF(OR(Y220="",AA220=""),"",NETWORKDAYS.INTL(Y220,AA220,1,'HELPER(Dont Delete)'!A:A))</f>
        <v>10</v>
      </c>
      <c r="AS220" s="157"/>
      <c r="AT220" s="157"/>
      <c r="AU220" s="157"/>
      <c r="AV220" s="157"/>
      <c r="AW220" s="154"/>
      <c r="AX220" s="155"/>
      <c r="AY220" s="155"/>
      <c r="AZ220" s="157"/>
      <c r="BA220" s="82"/>
      <c r="BB220" s="82"/>
      <c r="BC220" s="156"/>
      <c r="BD220" s="156"/>
      <c r="BE220" s="162"/>
      <c r="BF220" s="156"/>
      <c r="BG220" s="156"/>
      <c r="BH220" s="156"/>
      <c r="BI220" s="156"/>
      <c r="BJ220" s="156"/>
      <c r="BK220" s="157"/>
      <c r="BL220" s="156"/>
      <c r="BM220" s="156"/>
      <c r="BN220" s="157"/>
      <c r="BO220" s="157"/>
      <c r="BP220" s="164"/>
      <c r="BQ220" s="154"/>
      <c r="BR220" s="154"/>
      <c r="BS220" s="155"/>
      <c r="BT220" s="155"/>
      <c r="BU220" s="157"/>
      <c r="BV220" s="155"/>
      <c r="BW220" s="157"/>
      <c r="BX220" s="157"/>
      <c r="BY220" s="157"/>
      <c r="BZ220" s="157"/>
      <c r="CA220" s="157"/>
      <c r="CB220" s="157"/>
      <c r="CC220" s="157"/>
      <c r="CD220" s="157"/>
      <c r="CE220" s="157"/>
      <c r="CF220" s="157"/>
      <c r="CG220" s="157"/>
      <c r="CH220" s="157"/>
      <c r="CI220" s="157"/>
      <c r="CJ220" s="157"/>
      <c r="CK220" s="157"/>
      <c r="CL220" s="157"/>
      <c r="CM220" s="157"/>
      <c r="CN220" s="157"/>
      <c r="CO220" s="157"/>
      <c r="CP220" s="157"/>
      <c r="CQ220" s="157"/>
      <c r="CR220" s="157"/>
    </row>
    <row r="221" spans="1:96">
      <c r="A221" s="154"/>
      <c r="B221" s="155">
        <v>45747</v>
      </c>
      <c r="C221" s="127">
        <v>45755</v>
      </c>
      <c r="D221" s="157" t="s">
        <v>147</v>
      </c>
      <c r="E221" s="82" t="s">
        <v>219</v>
      </c>
      <c r="F221" s="82" t="s">
        <v>220</v>
      </c>
      <c r="G221" s="156" t="s">
        <v>1525</v>
      </c>
      <c r="H221" s="156">
        <v>7077754751</v>
      </c>
      <c r="I221" s="162" t="s">
        <v>1526</v>
      </c>
      <c r="J221" s="156" t="s">
        <v>1521</v>
      </c>
      <c r="K221" s="156">
        <v>12.3</v>
      </c>
      <c r="L221" s="156">
        <v>12.3</v>
      </c>
      <c r="M221" s="156" t="s">
        <v>622</v>
      </c>
      <c r="N221" s="156" t="s">
        <v>756</v>
      </c>
      <c r="O221" s="157" t="s">
        <v>1527</v>
      </c>
      <c r="P221" s="156" t="s">
        <v>770</v>
      </c>
      <c r="Q221" s="156" t="s">
        <v>402</v>
      </c>
      <c r="R221" s="157" t="s">
        <v>1528</v>
      </c>
      <c r="S221" s="157" t="s">
        <v>1201</v>
      </c>
      <c r="T221" s="153">
        <v>2.7</v>
      </c>
      <c r="U221" s="154" t="s">
        <v>1175</v>
      </c>
      <c r="V221" s="154" t="s">
        <v>1529</v>
      </c>
      <c r="W221" s="155" t="s">
        <v>1260</v>
      </c>
      <c r="X221" s="127">
        <v>45756</v>
      </c>
      <c r="Y221" s="155">
        <v>45761</v>
      </c>
      <c r="Z221" s="155" t="s">
        <v>340</v>
      </c>
      <c r="AA221" s="155">
        <v>45772</v>
      </c>
      <c r="AB221" s="157"/>
      <c r="AC221" s="157"/>
      <c r="AD221" s="157"/>
      <c r="AE221" s="157"/>
      <c r="AF221" s="157"/>
      <c r="AG221" s="157"/>
      <c r="AH221" s="157"/>
      <c r="AI221" s="157"/>
      <c r="AJ221" s="157"/>
      <c r="AK221" s="157"/>
      <c r="AL221" s="157"/>
      <c r="AM221" s="157"/>
      <c r="AN221" s="157"/>
      <c r="AO221" s="157"/>
      <c r="AP221" s="54">
        <f>IF(OR(X221="",C221=""),"",NETWORKDAYS.INTL(C221,X221,1,'HELPER(Dont Delete)'!A:A))</f>
        <v>2</v>
      </c>
      <c r="AQ221" s="54">
        <f>IF(OR(X221="",Y221=""),"",NETWORKDAYS.INTL(X221,Y221,1,'HELPER(Dont Delete)'!A:A))</f>
        <v>4</v>
      </c>
      <c r="AR221" s="54">
        <f>IF(OR(Y221="",AA221=""),"",NETWORKDAYS.INTL(Y221,AA221,1,'HELPER(Dont Delete)'!A:A))</f>
        <v>10</v>
      </c>
      <c r="AS221" s="157"/>
      <c r="AT221" s="157"/>
      <c r="AU221" s="157"/>
      <c r="AV221" s="157"/>
      <c r="AW221" s="154"/>
      <c r="AX221" s="155"/>
      <c r="AY221" s="155"/>
      <c r="AZ221" s="157"/>
      <c r="BA221" s="82"/>
      <c r="BB221" s="82"/>
      <c r="BC221" s="156"/>
      <c r="BD221" s="156"/>
      <c r="BE221" s="162"/>
      <c r="BF221" s="156"/>
      <c r="BG221" s="156"/>
      <c r="BH221" s="156"/>
      <c r="BI221" s="156"/>
      <c r="BJ221" s="156"/>
      <c r="BK221" s="157"/>
      <c r="BL221" s="156"/>
      <c r="BM221" s="156"/>
      <c r="BN221" s="157"/>
      <c r="BO221" s="157"/>
      <c r="BP221" s="164"/>
      <c r="BQ221" s="154"/>
      <c r="BR221" s="154"/>
      <c r="BS221" s="155"/>
      <c r="BT221" s="155"/>
      <c r="BU221" s="157"/>
      <c r="BV221" s="155"/>
      <c r="BW221" s="157"/>
      <c r="BX221" s="157"/>
      <c r="BY221" s="157"/>
      <c r="BZ221" s="157"/>
      <c r="CA221" s="157"/>
      <c r="CB221" s="157"/>
      <c r="CC221" s="157"/>
      <c r="CD221" s="157"/>
      <c r="CE221" s="157"/>
      <c r="CF221" s="157"/>
      <c r="CG221" s="157"/>
      <c r="CH221" s="157"/>
      <c r="CI221" s="157"/>
      <c r="CJ221" s="157"/>
      <c r="CK221" s="157"/>
      <c r="CL221" s="157"/>
      <c r="CM221" s="157"/>
      <c r="CN221" s="157"/>
      <c r="CO221" s="157"/>
      <c r="CP221" s="157"/>
      <c r="CQ221" s="157"/>
      <c r="CR221" s="157"/>
    </row>
    <row r="222" spans="1:96">
      <c r="A222" s="154"/>
      <c r="B222" s="155">
        <v>45750</v>
      </c>
      <c r="C222" s="127">
        <v>45756</v>
      </c>
      <c r="D222" s="157" t="s">
        <v>96</v>
      </c>
      <c r="E222" s="82" t="s">
        <v>219</v>
      </c>
      <c r="F222" s="82" t="s">
        <v>220</v>
      </c>
      <c r="G222" s="156" t="s">
        <v>1530</v>
      </c>
      <c r="H222" s="156">
        <v>9850707308</v>
      </c>
      <c r="I222" s="162" t="s">
        <v>1531</v>
      </c>
      <c r="J222" s="156" t="s">
        <v>1532</v>
      </c>
      <c r="K222" s="156">
        <v>3.2</v>
      </c>
      <c r="L222" s="156">
        <v>3.2</v>
      </c>
      <c r="M222" s="156" t="s">
        <v>1533</v>
      </c>
      <c r="N222" s="156" t="s">
        <v>425</v>
      </c>
      <c r="O222" s="157" t="s">
        <v>94</v>
      </c>
      <c r="P222" s="156" t="s">
        <v>770</v>
      </c>
      <c r="Q222" s="156" t="s">
        <v>1181</v>
      </c>
      <c r="R222" s="157" t="s">
        <v>564</v>
      </c>
      <c r="S222" s="157" t="s">
        <v>1201</v>
      </c>
      <c r="T222" s="153">
        <v>2</v>
      </c>
      <c r="U222" s="154" t="s">
        <v>1175</v>
      </c>
      <c r="V222" s="154" t="s">
        <v>231</v>
      </c>
      <c r="W222" s="154" t="s">
        <v>741</v>
      </c>
      <c r="X222" s="127">
        <v>45756</v>
      </c>
      <c r="Y222" s="166">
        <v>45757</v>
      </c>
      <c r="Z222" s="155" t="s">
        <v>232</v>
      </c>
      <c r="AA222" s="157"/>
      <c r="AB222" s="157"/>
      <c r="AC222" s="157"/>
      <c r="AD222" s="157"/>
      <c r="AE222" s="157"/>
      <c r="AF222" s="157"/>
      <c r="AG222" s="157"/>
      <c r="AH222" s="157"/>
      <c r="AI222" s="157"/>
      <c r="AJ222" s="157"/>
      <c r="AK222" s="157"/>
      <c r="AL222" s="157"/>
      <c r="AM222" s="157"/>
      <c r="AN222" s="157"/>
      <c r="AO222" s="157"/>
      <c r="AP222" s="54">
        <f>IF(OR(X222="",C222=""),"",NETWORKDAYS.INTL(C222,X222,1,'HELPER(Dont Delete)'!A:A))</f>
        <v>1</v>
      </c>
      <c r="AQ222" s="54">
        <f>IF(OR(X222="",Y222=""),"",NETWORKDAYS.INTL(X222,Y222,1,'HELPER(Dont Delete)'!A:A))</f>
        <v>2</v>
      </c>
      <c r="AR222" s="54" t="str">
        <f>IF(OR(Y222="",AA222=""),"",NETWORKDAYS.INTL(Y222,AA222,1,'HELPER(Dont Delete)'!A:A))</f>
        <v/>
      </c>
      <c r="AS222" s="157"/>
      <c r="AT222" s="157"/>
      <c r="AU222" s="157"/>
      <c r="AV222" s="157"/>
      <c r="AW222" s="154"/>
      <c r="AX222" s="155"/>
      <c r="AY222" s="155"/>
      <c r="AZ222" s="157"/>
      <c r="BA222" s="82"/>
      <c r="BB222" s="82"/>
      <c r="BC222" s="156"/>
      <c r="BD222" s="156"/>
      <c r="BE222" s="162"/>
      <c r="BF222" s="156"/>
      <c r="BG222" s="156"/>
      <c r="BH222" s="156"/>
      <c r="BI222" s="156"/>
      <c r="BJ222" s="156"/>
      <c r="BK222" s="157"/>
      <c r="BL222" s="156"/>
      <c r="BM222" s="156"/>
      <c r="BN222" s="157"/>
      <c r="BO222" s="157"/>
      <c r="BP222" s="164"/>
      <c r="BQ222" s="154"/>
      <c r="BR222" s="154"/>
      <c r="BS222" s="155"/>
      <c r="BT222" s="155"/>
      <c r="BU222" s="157"/>
      <c r="BV222" s="155"/>
      <c r="BW222" s="157"/>
      <c r="BX222" s="157"/>
      <c r="BY222" s="157"/>
      <c r="BZ222" s="157"/>
      <c r="CA222" s="157"/>
      <c r="CB222" s="157"/>
      <c r="CC222" s="157"/>
      <c r="CD222" s="157"/>
      <c r="CE222" s="157"/>
      <c r="CF222" s="157"/>
      <c r="CG222" s="157"/>
      <c r="CH222" s="157"/>
      <c r="CI222" s="157"/>
      <c r="CJ222" s="157"/>
      <c r="CK222" s="157"/>
      <c r="CL222" s="157"/>
      <c r="CM222" s="157"/>
      <c r="CN222" s="157"/>
      <c r="CO222" s="157"/>
      <c r="CP222" s="157"/>
      <c r="CQ222" s="157"/>
      <c r="CR222" s="157"/>
    </row>
    <row r="223" spans="1:96">
      <c r="A223" s="154"/>
      <c r="B223" s="155">
        <v>45750</v>
      </c>
      <c r="C223" s="127">
        <v>45756</v>
      </c>
      <c r="D223" s="157" t="s">
        <v>96</v>
      </c>
      <c r="E223" s="82" t="s">
        <v>219</v>
      </c>
      <c r="F223" s="82" t="s">
        <v>220</v>
      </c>
      <c r="G223" s="156" t="s">
        <v>1534</v>
      </c>
      <c r="H223" s="156">
        <v>9011426209</v>
      </c>
      <c r="I223" s="162" t="s">
        <v>1535</v>
      </c>
      <c r="J223" s="156" t="s">
        <v>1532</v>
      </c>
      <c r="K223" s="156">
        <v>5.9</v>
      </c>
      <c r="L223" s="156">
        <v>5.9</v>
      </c>
      <c r="M223" s="156" t="s">
        <v>1536</v>
      </c>
      <c r="N223" s="156" t="s">
        <v>425</v>
      </c>
      <c r="O223" s="157" t="s">
        <v>1537</v>
      </c>
      <c r="P223" s="156" t="s">
        <v>770</v>
      </c>
      <c r="Q223" s="156" t="s">
        <v>558</v>
      </c>
      <c r="R223" s="157" t="s">
        <v>564</v>
      </c>
      <c r="S223" s="157" t="s">
        <v>1201</v>
      </c>
      <c r="T223" s="153">
        <v>1</v>
      </c>
      <c r="U223" s="154" t="s">
        <v>1175</v>
      </c>
      <c r="V223" s="126" t="s">
        <v>291</v>
      </c>
      <c r="W223" s="127"/>
      <c r="X223" s="127">
        <v>45756</v>
      </c>
      <c r="Y223" s="166"/>
      <c r="Z223" s="155"/>
      <c r="AA223" s="157"/>
      <c r="AB223" s="157"/>
      <c r="AC223" s="157"/>
      <c r="AD223" s="157"/>
      <c r="AE223" s="157"/>
      <c r="AF223" s="157"/>
      <c r="AG223" s="157"/>
      <c r="AH223" s="157"/>
      <c r="AI223" s="157"/>
      <c r="AJ223" s="157"/>
      <c r="AK223" s="157"/>
      <c r="AL223" s="157"/>
      <c r="AM223" s="157"/>
      <c r="AN223" s="157"/>
      <c r="AO223" s="157"/>
      <c r="AP223" s="54">
        <f>IF(OR(X223="",C223=""),"",NETWORKDAYS.INTL(C223,X223,1,'HELPER(Dont Delete)'!A:A))</f>
        <v>1</v>
      </c>
      <c r="AQ223" s="54" t="str">
        <f>IF(OR(X223="",Y223=""),"",NETWORKDAYS.INTL(X223,Y223,1,'HELPER(Dont Delete)'!A:A))</f>
        <v/>
      </c>
      <c r="AR223" s="54" t="str">
        <f>IF(OR(Y223="",AA223=""),"",NETWORKDAYS.INTL(Y223,AA223,1,'HELPER(Dont Delete)'!A:A))</f>
        <v/>
      </c>
      <c r="AS223" s="157"/>
      <c r="AT223" s="157"/>
      <c r="AU223" s="157"/>
      <c r="AV223" s="157"/>
      <c r="AW223" s="154"/>
      <c r="AX223" s="155"/>
      <c r="AY223" s="155"/>
      <c r="AZ223" s="157"/>
      <c r="BA223" s="82"/>
      <c r="BB223" s="82"/>
      <c r="BC223" s="156"/>
      <c r="BD223" s="156"/>
      <c r="BE223" s="162"/>
      <c r="BF223" s="156"/>
      <c r="BG223" s="156"/>
      <c r="BH223" s="156"/>
      <c r="BI223" s="156"/>
      <c r="BJ223" s="156"/>
      <c r="BK223" s="157"/>
      <c r="BL223" s="156"/>
      <c r="BM223" s="156"/>
      <c r="BN223" s="157"/>
      <c r="BO223" s="157"/>
      <c r="BP223" s="164"/>
      <c r="BQ223" s="154"/>
      <c r="BR223" s="154"/>
      <c r="BS223" s="155"/>
      <c r="BT223" s="155"/>
      <c r="BU223" s="157"/>
      <c r="BV223" s="155"/>
      <c r="BW223" s="157"/>
      <c r="BX223" s="157"/>
      <c r="BY223" s="157"/>
      <c r="BZ223" s="157"/>
      <c r="CA223" s="157"/>
      <c r="CB223" s="157"/>
      <c r="CC223" s="157"/>
      <c r="CD223" s="157"/>
      <c r="CE223" s="157"/>
      <c r="CF223" s="157"/>
      <c r="CG223" s="157"/>
      <c r="CH223" s="157"/>
      <c r="CI223" s="157"/>
      <c r="CJ223" s="157"/>
      <c r="CK223" s="157"/>
      <c r="CL223" s="157"/>
      <c r="CM223" s="157"/>
      <c r="CN223" s="157"/>
      <c r="CO223" s="157"/>
      <c r="CP223" s="157"/>
      <c r="CQ223" s="157"/>
      <c r="CR223" s="157"/>
    </row>
    <row r="224" spans="1:96">
      <c r="A224" s="154"/>
      <c r="B224" s="155">
        <v>45750</v>
      </c>
      <c r="C224" s="127">
        <v>45756</v>
      </c>
      <c r="D224" s="157" t="s">
        <v>96</v>
      </c>
      <c r="E224" s="82" t="s">
        <v>219</v>
      </c>
      <c r="F224" s="82" t="s">
        <v>220</v>
      </c>
      <c r="G224" s="156" t="s">
        <v>1538</v>
      </c>
      <c r="H224" s="156">
        <v>8299073975</v>
      </c>
      <c r="I224" s="162" t="s">
        <v>1539</v>
      </c>
      <c r="J224" s="156" t="s">
        <v>1532</v>
      </c>
      <c r="K224" s="156">
        <v>4</v>
      </c>
      <c r="L224" s="156">
        <v>4</v>
      </c>
      <c r="M224" s="156" t="s">
        <v>1540</v>
      </c>
      <c r="N224" s="156" t="s">
        <v>534</v>
      </c>
      <c r="O224" s="157" t="s">
        <v>1537</v>
      </c>
      <c r="P224" s="156" t="s">
        <v>1541</v>
      </c>
      <c r="Q224" s="156" t="s">
        <v>1095</v>
      </c>
      <c r="R224" s="157" t="s">
        <v>66</v>
      </c>
      <c r="S224" s="157" t="s">
        <v>1201</v>
      </c>
      <c r="T224" s="153">
        <v>1</v>
      </c>
      <c r="U224" s="154" t="s">
        <v>1175</v>
      </c>
      <c r="V224" s="126" t="s">
        <v>231</v>
      </c>
      <c r="W224" s="126" t="s">
        <v>741</v>
      </c>
      <c r="X224" s="127">
        <v>45756</v>
      </c>
      <c r="Y224" s="166">
        <v>45757</v>
      </c>
      <c r="Z224" s="155" t="s">
        <v>232</v>
      </c>
      <c r="AA224" s="157"/>
      <c r="AB224" s="157"/>
      <c r="AC224" s="157"/>
      <c r="AD224" s="157"/>
      <c r="AE224" s="157"/>
      <c r="AF224" s="157"/>
      <c r="AG224" s="157"/>
      <c r="AH224" s="157"/>
      <c r="AI224" s="157"/>
      <c r="AJ224" s="157"/>
      <c r="AK224" s="157"/>
      <c r="AL224" s="157"/>
      <c r="AM224" s="157"/>
      <c r="AN224" s="157"/>
      <c r="AO224" s="157"/>
      <c r="AP224" s="54">
        <f>IF(OR(X224="",C224=""),"",NETWORKDAYS.INTL(C224,X224,1,'HELPER(Dont Delete)'!A:A))</f>
        <v>1</v>
      </c>
      <c r="AQ224" s="54">
        <f>IF(OR(X224="",Y224=""),"",NETWORKDAYS.INTL(X224,Y224,1,'HELPER(Dont Delete)'!A:A))</f>
        <v>2</v>
      </c>
      <c r="AR224" s="54" t="str">
        <f>IF(OR(Y224="",AA224=""),"",NETWORKDAYS.INTL(Y224,AA224,1,'HELPER(Dont Delete)'!A:A))</f>
        <v/>
      </c>
      <c r="AS224" s="157"/>
      <c r="AT224" s="157"/>
      <c r="AU224" s="157"/>
      <c r="AV224" s="157"/>
      <c r="AW224" s="154"/>
      <c r="AX224" s="155"/>
      <c r="AY224" s="155"/>
      <c r="AZ224" s="157"/>
      <c r="BA224" s="82"/>
      <c r="BB224" s="82"/>
      <c r="BC224" s="156"/>
      <c r="BD224" s="156"/>
      <c r="BE224" s="162"/>
      <c r="BF224" s="156"/>
      <c r="BG224" s="156"/>
      <c r="BH224" s="156"/>
      <c r="BI224" s="156"/>
      <c r="BJ224" s="156"/>
      <c r="BK224" s="157"/>
      <c r="BL224" s="156"/>
      <c r="BM224" s="156"/>
      <c r="BN224" s="157"/>
      <c r="BO224" s="157"/>
      <c r="BP224" s="164"/>
      <c r="BQ224" s="154"/>
      <c r="BR224" s="154"/>
      <c r="BS224" s="155"/>
      <c r="BT224" s="155"/>
      <c r="BU224" s="157"/>
      <c r="BV224" s="155"/>
      <c r="BW224" s="157"/>
      <c r="BX224" s="157"/>
      <c r="BY224" s="157"/>
      <c r="BZ224" s="157"/>
      <c r="CA224" s="157"/>
      <c r="CB224" s="157"/>
      <c r="CC224" s="157"/>
      <c r="CD224" s="157"/>
      <c r="CE224" s="157"/>
      <c r="CF224" s="157"/>
      <c r="CG224" s="157"/>
      <c r="CH224" s="157"/>
      <c r="CI224" s="157"/>
      <c r="CJ224" s="157"/>
      <c r="CK224" s="157"/>
      <c r="CL224" s="157"/>
      <c r="CM224" s="157"/>
      <c r="CN224" s="157"/>
      <c r="CO224" s="157"/>
      <c r="CP224" s="157"/>
      <c r="CQ224" s="157"/>
      <c r="CR224" s="157"/>
    </row>
    <row r="225" spans="1:96">
      <c r="A225" s="87"/>
      <c r="B225" s="135">
        <v>45742</v>
      </c>
      <c r="C225" s="128">
        <v>45757</v>
      </c>
      <c r="D225" s="87" t="s">
        <v>110</v>
      </c>
      <c r="E225" s="82" t="s">
        <v>219</v>
      </c>
      <c r="F225" s="82" t="s">
        <v>220</v>
      </c>
      <c r="G225" s="140" t="s">
        <v>1542</v>
      </c>
      <c r="H225" s="87">
        <v>9429009234</v>
      </c>
      <c r="I225" s="87" t="s">
        <v>1543</v>
      </c>
      <c r="J225" s="141" t="s">
        <v>1544</v>
      </c>
      <c r="K225" s="87">
        <v>9.3000000000000007</v>
      </c>
      <c r="L225" s="87">
        <v>9</v>
      </c>
      <c r="M225" s="87" t="s">
        <v>1545</v>
      </c>
      <c r="N225" s="87" t="s">
        <v>425</v>
      </c>
      <c r="O225" s="87" t="s">
        <v>624</v>
      </c>
      <c r="P225" s="87">
        <v>0.25</v>
      </c>
      <c r="Q225" s="87" t="s">
        <v>1546</v>
      </c>
      <c r="R225" s="87" t="s">
        <v>1201</v>
      </c>
      <c r="S225" s="87" t="s">
        <v>1201</v>
      </c>
      <c r="T225" s="60"/>
      <c r="U225" s="87" t="s">
        <v>671</v>
      </c>
      <c r="V225" s="154" t="s">
        <v>231</v>
      </c>
      <c r="W225" s="154"/>
      <c r="X225" s="108">
        <v>45757</v>
      </c>
      <c r="Y225" s="135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  <c r="AN225" s="87"/>
      <c r="AO225" s="87"/>
      <c r="AP225" s="54">
        <f>IF(OR(X225="",C225=""),"",NETWORKDAYS.INTL(C225,X225,1,'HELPER(Dont Delete)'!A:A))</f>
        <v>1</v>
      </c>
      <c r="AQ225" s="54" t="str">
        <f>IF(OR(X225="",Y225=""),"",NETWORKDAYS.INTL(X225,Y225,1,'HELPER(Dont Delete)'!A:A))</f>
        <v/>
      </c>
      <c r="AR225" s="54" t="str">
        <f>IF(OR(Y225="",AA225=""),"",NETWORKDAYS.INTL(Y225,AA225,1,'HELPER(Dont Delete)'!A:A))</f>
        <v/>
      </c>
      <c r="AS225" s="87"/>
      <c r="AT225" s="87"/>
      <c r="AU225" s="87"/>
      <c r="AV225" s="87"/>
      <c r="AW225" s="87"/>
      <c r="AX225" s="87"/>
      <c r="AY225" s="87"/>
      <c r="AZ225" s="87"/>
      <c r="BA225" s="87"/>
      <c r="BB225" s="87"/>
      <c r="BC225" s="87"/>
      <c r="BD225" s="87"/>
      <c r="BE225" s="87"/>
      <c r="BF225" s="87"/>
      <c r="BG225" s="87"/>
      <c r="BH225" s="87"/>
      <c r="BI225" s="87"/>
      <c r="BJ225" s="87"/>
      <c r="BK225" s="87"/>
      <c r="BL225" s="87"/>
      <c r="BM225" s="87"/>
      <c r="BN225" s="87"/>
      <c r="BO225" s="87"/>
      <c r="BP225" s="87"/>
      <c r="BQ225" s="87"/>
      <c r="BR225" s="87"/>
      <c r="BS225" s="87"/>
      <c r="BT225" s="87"/>
      <c r="BU225" s="87"/>
      <c r="BV225" s="87"/>
      <c r="BW225" s="87"/>
      <c r="BX225" s="87"/>
      <c r="BY225" s="87"/>
      <c r="BZ225" s="87"/>
      <c r="CA225" s="87"/>
      <c r="CB225" s="87"/>
      <c r="CC225" s="87"/>
      <c r="CD225" s="87"/>
      <c r="CE225" s="87"/>
      <c r="CF225" s="87"/>
      <c r="CG225" s="87"/>
      <c r="CH225" s="87"/>
      <c r="CI225" s="87"/>
      <c r="CJ225" s="87"/>
      <c r="CK225" s="87"/>
      <c r="CL225" s="87"/>
      <c r="CM225" s="87"/>
      <c r="CN225" s="87"/>
      <c r="CO225" s="87"/>
      <c r="CP225" s="87"/>
      <c r="CQ225" s="87"/>
      <c r="CR225" s="87"/>
    </row>
    <row r="226" spans="1:96">
      <c r="A226" s="87"/>
      <c r="B226" s="135">
        <v>45742</v>
      </c>
      <c r="C226" s="128">
        <v>45757</v>
      </c>
      <c r="D226" s="87" t="s">
        <v>110</v>
      </c>
      <c r="E226" s="82" t="s">
        <v>219</v>
      </c>
      <c r="F226" s="82" t="s">
        <v>220</v>
      </c>
      <c r="G226" s="140" t="s">
        <v>1547</v>
      </c>
      <c r="H226" s="87">
        <v>8076745681</v>
      </c>
      <c r="I226" s="87" t="s">
        <v>1548</v>
      </c>
      <c r="J226" s="141" t="s">
        <v>1544</v>
      </c>
      <c r="K226" s="87">
        <v>12.6</v>
      </c>
      <c r="L226" s="87">
        <v>12.6</v>
      </c>
      <c r="M226" s="87" t="s">
        <v>1549</v>
      </c>
      <c r="N226" s="87" t="s">
        <v>462</v>
      </c>
      <c r="O226" s="87" t="s">
        <v>1550</v>
      </c>
      <c r="P226" s="87">
        <v>0.3</v>
      </c>
      <c r="Q226" s="87" t="s">
        <v>208</v>
      </c>
      <c r="R226" s="87" t="s">
        <v>1551</v>
      </c>
      <c r="S226" s="87" t="s">
        <v>1201</v>
      </c>
      <c r="T226" s="60"/>
      <c r="U226" s="87" t="s">
        <v>671</v>
      </c>
      <c r="V226" s="126" t="s">
        <v>291</v>
      </c>
      <c r="W226" s="126"/>
      <c r="X226" s="108">
        <v>45757</v>
      </c>
      <c r="Y226" s="135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  <c r="AN226" s="87"/>
      <c r="AO226" s="87"/>
      <c r="AP226" s="54">
        <f>IF(OR(X226="",C226=""),"",NETWORKDAYS.INTL(C226,X226,1,'HELPER(Dont Delete)'!A:A))</f>
        <v>1</v>
      </c>
      <c r="AQ226" s="54" t="str">
        <f>IF(OR(X226="",Y226=""),"",NETWORKDAYS.INTL(X226,Y226,1,'HELPER(Dont Delete)'!A:A))</f>
        <v/>
      </c>
      <c r="AR226" s="54" t="str">
        <f>IF(OR(Y226="",AA226=""),"",NETWORKDAYS.INTL(Y226,AA226,1,'HELPER(Dont Delete)'!A:A))</f>
        <v/>
      </c>
      <c r="AS226" s="87"/>
      <c r="AT226" s="87"/>
      <c r="AU226" s="87"/>
      <c r="AV226" s="87"/>
      <c r="AW226" s="87"/>
      <c r="AX226" s="87"/>
      <c r="AY226" s="87"/>
      <c r="AZ226" s="87"/>
      <c r="BA226" s="87"/>
      <c r="BB226" s="87"/>
      <c r="BC226" s="87"/>
      <c r="BD226" s="87"/>
      <c r="BE226" s="87"/>
      <c r="BF226" s="87"/>
      <c r="BG226" s="87"/>
      <c r="BH226" s="87"/>
      <c r="BI226" s="87"/>
      <c r="BJ226" s="87"/>
      <c r="BK226" s="87"/>
      <c r="BL226" s="87"/>
      <c r="BM226" s="87"/>
      <c r="BN226" s="87"/>
      <c r="BO226" s="87"/>
      <c r="BP226" s="87"/>
      <c r="BQ226" s="87"/>
      <c r="BR226" s="87"/>
      <c r="BS226" s="87"/>
      <c r="BT226" s="87"/>
      <c r="BU226" s="87"/>
      <c r="BV226" s="87"/>
      <c r="BW226" s="87"/>
      <c r="BX226" s="87"/>
      <c r="BY226" s="87"/>
      <c r="BZ226" s="87"/>
      <c r="CA226" s="87"/>
      <c r="CB226" s="87"/>
      <c r="CC226" s="87"/>
      <c r="CD226" s="87"/>
      <c r="CE226" s="87"/>
      <c r="CF226" s="87"/>
      <c r="CG226" s="87"/>
      <c r="CH226" s="87"/>
      <c r="CI226" s="87"/>
      <c r="CJ226" s="87"/>
      <c r="CK226" s="87"/>
      <c r="CL226" s="87"/>
      <c r="CM226" s="87"/>
      <c r="CN226" s="87"/>
      <c r="CO226" s="87"/>
      <c r="CP226" s="87"/>
      <c r="CQ226" s="87"/>
      <c r="CR226" s="87"/>
    </row>
    <row r="227" spans="1:96">
      <c r="A227" s="87"/>
      <c r="B227" s="135">
        <v>45743</v>
      </c>
      <c r="C227" s="128">
        <v>45757</v>
      </c>
      <c r="D227" s="87" t="s">
        <v>118</v>
      </c>
      <c r="E227" s="82" t="s">
        <v>219</v>
      </c>
      <c r="F227" s="82" t="s">
        <v>220</v>
      </c>
      <c r="G227" s="140" t="s">
        <v>1552</v>
      </c>
      <c r="H227" s="87">
        <v>8793806200</v>
      </c>
      <c r="I227" s="87" t="s">
        <v>1553</v>
      </c>
      <c r="J227" s="141"/>
      <c r="K227" s="87" t="s">
        <v>1554</v>
      </c>
      <c r="L227" s="87" t="s">
        <v>1554</v>
      </c>
      <c r="M227" s="87" t="s">
        <v>1555</v>
      </c>
      <c r="N227" s="87" t="s">
        <v>1556</v>
      </c>
      <c r="O227" s="87" t="s">
        <v>1557</v>
      </c>
      <c r="P227" s="87" t="s">
        <v>1558</v>
      </c>
      <c r="Q227" s="87" t="s">
        <v>1559</v>
      </c>
      <c r="R227" s="87" t="s">
        <v>1130</v>
      </c>
      <c r="S227" s="87" t="s">
        <v>42</v>
      </c>
      <c r="T227" s="60" t="s">
        <v>1560</v>
      </c>
      <c r="U227" s="87" t="s">
        <v>1561</v>
      </c>
      <c r="V227" s="126" t="s">
        <v>1245</v>
      </c>
      <c r="W227" s="126" t="s">
        <v>54</v>
      </c>
      <c r="X227" s="108">
        <v>45763</v>
      </c>
      <c r="Y227" s="135">
        <v>45765</v>
      </c>
      <c r="Z227" s="87" t="s">
        <v>340</v>
      </c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  <c r="AN227" s="87"/>
      <c r="AO227" s="87"/>
      <c r="AP227" s="54">
        <f>IF(OR(X227="",C227=""),"",NETWORKDAYS.INTL(C227,X227,1,'HELPER(Dont Delete)'!A:A))</f>
        <v>5</v>
      </c>
      <c r="AQ227" s="54">
        <f>IF(OR(X227="",Y227=""),"",NETWORKDAYS.INTL(X227,Y227,1,'HELPER(Dont Delete)'!A:A))</f>
        <v>3</v>
      </c>
      <c r="AR227" s="54" t="str">
        <f>IF(OR(Y227="",AA227=""),"",NETWORKDAYS.INTL(Y227,AA227,1,'HELPER(Dont Delete)'!A:A))</f>
        <v/>
      </c>
      <c r="AS227" s="87"/>
      <c r="AT227" s="87"/>
      <c r="AU227" s="87"/>
      <c r="AV227" s="87"/>
      <c r="AW227" s="87"/>
      <c r="AX227" s="87"/>
      <c r="AY227" s="87"/>
      <c r="AZ227" s="87"/>
      <c r="BA227" s="87"/>
      <c r="BB227" s="87"/>
      <c r="BC227" s="87"/>
      <c r="BD227" s="87"/>
      <c r="BE227" s="87"/>
      <c r="BF227" s="87"/>
      <c r="BG227" s="87"/>
      <c r="BH227" s="87"/>
      <c r="BI227" s="87"/>
      <c r="BJ227" s="87"/>
      <c r="BK227" s="87"/>
      <c r="BL227" s="87"/>
      <c r="BM227" s="87"/>
      <c r="BN227" s="87"/>
      <c r="BO227" s="87"/>
      <c r="BP227" s="87"/>
      <c r="BQ227" s="87"/>
      <c r="BR227" s="87"/>
      <c r="BS227" s="87"/>
      <c r="BT227" s="87"/>
      <c r="BU227" s="87"/>
      <c r="BV227" s="87"/>
      <c r="BW227" s="87"/>
      <c r="BX227" s="87"/>
      <c r="BY227" s="87"/>
      <c r="BZ227" s="87"/>
      <c r="CA227" s="87"/>
      <c r="CB227" s="87"/>
      <c r="CC227" s="87"/>
      <c r="CD227" s="87"/>
      <c r="CE227" s="87"/>
      <c r="CF227" s="87"/>
      <c r="CG227" s="87"/>
      <c r="CH227" s="87"/>
      <c r="CI227" s="87"/>
      <c r="CJ227" s="87"/>
      <c r="CK227" s="87"/>
      <c r="CL227" s="87"/>
      <c r="CM227" s="87"/>
      <c r="CN227" s="87"/>
      <c r="CO227" s="87"/>
      <c r="CP227" s="87"/>
      <c r="CQ227" s="87"/>
      <c r="CR227" s="87"/>
    </row>
    <row r="228" spans="1:96">
      <c r="A228" s="87"/>
      <c r="B228" s="135">
        <v>45743</v>
      </c>
      <c r="C228" s="128">
        <v>45757</v>
      </c>
      <c r="D228" s="87" t="s">
        <v>118</v>
      </c>
      <c r="E228" s="82" t="s">
        <v>219</v>
      </c>
      <c r="F228" s="82" t="s">
        <v>220</v>
      </c>
      <c r="G228" s="140" t="s">
        <v>1562</v>
      </c>
      <c r="H228" s="87">
        <v>8888438804</v>
      </c>
      <c r="I228" s="87" t="s">
        <v>1563</v>
      </c>
      <c r="J228" s="141"/>
      <c r="K228" s="87" t="s">
        <v>779</v>
      </c>
      <c r="L228" s="87" t="s">
        <v>779</v>
      </c>
      <c r="M228" s="87" t="s">
        <v>1564</v>
      </c>
      <c r="N228" s="87" t="s">
        <v>1059</v>
      </c>
      <c r="O228" s="87" t="s">
        <v>440</v>
      </c>
      <c r="P228" s="87" t="s">
        <v>1565</v>
      </c>
      <c r="Q228" s="87" t="s">
        <v>1559</v>
      </c>
      <c r="R228" s="87" t="s">
        <v>228</v>
      </c>
      <c r="S228" s="87" t="s">
        <v>42</v>
      </c>
      <c r="T228" s="60">
        <v>1.1000000000000001</v>
      </c>
      <c r="U228" s="87" t="s">
        <v>1561</v>
      </c>
      <c r="V228" s="126" t="s">
        <v>758</v>
      </c>
      <c r="W228" s="126"/>
      <c r="X228" s="108">
        <v>45757</v>
      </c>
      <c r="Y228" s="135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  <c r="AN228" s="87"/>
      <c r="AO228" s="87"/>
      <c r="AP228" s="54">
        <f>IF(OR(X228="",C228=""),"",NETWORKDAYS.INTL(C228,X228,1,'HELPER(Dont Delete)'!A:A))</f>
        <v>1</v>
      </c>
      <c r="AQ228" s="54" t="str">
        <f>IF(OR(X228="",Y228=""),"",NETWORKDAYS.INTL(X228,Y228,1,'HELPER(Dont Delete)'!A:A))</f>
        <v/>
      </c>
      <c r="AR228" s="54" t="str">
        <f>IF(OR(Y228="",AA228=""),"",NETWORKDAYS.INTL(Y228,AA228,1,'HELPER(Dont Delete)'!A:A))</f>
        <v/>
      </c>
      <c r="AS228" s="87"/>
      <c r="AT228" s="87"/>
      <c r="AU228" s="87"/>
      <c r="AV228" s="87"/>
      <c r="AW228" s="87"/>
      <c r="AX228" s="87"/>
      <c r="AY228" s="87"/>
      <c r="AZ228" s="87"/>
      <c r="BA228" s="87"/>
      <c r="BB228" s="87"/>
      <c r="BC228" s="87"/>
      <c r="BD228" s="87"/>
      <c r="BE228" s="87"/>
      <c r="BF228" s="87"/>
      <c r="BG228" s="87"/>
      <c r="BH228" s="87"/>
      <c r="BI228" s="87"/>
      <c r="BJ228" s="87"/>
      <c r="BK228" s="87"/>
      <c r="BL228" s="87"/>
      <c r="BM228" s="87"/>
      <c r="BN228" s="87"/>
      <c r="BO228" s="87"/>
      <c r="BP228" s="87"/>
      <c r="BQ228" s="87"/>
      <c r="BR228" s="87"/>
      <c r="BS228" s="87"/>
      <c r="BT228" s="87"/>
      <c r="BU228" s="87"/>
      <c r="BV228" s="87"/>
      <c r="BW228" s="87"/>
      <c r="BX228" s="87"/>
      <c r="BY228" s="87"/>
      <c r="BZ228" s="87"/>
      <c r="CA228" s="87"/>
      <c r="CB228" s="87"/>
      <c r="CC228" s="87"/>
      <c r="CD228" s="87"/>
      <c r="CE228" s="87"/>
      <c r="CF228" s="87"/>
      <c r="CG228" s="87"/>
      <c r="CH228" s="87"/>
      <c r="CI228" s="87"/>
      <c r="CJ228" s="87"/>
      <c r="CK228" s="87"/>
      <c r="CL228" s="87"/>
      <c r="CM228" s="87"/>
      <c r="CN228" s="87"/>
      <c r="CO228" s="87"/>
      <c r="CP228" s="87"/>
      <c r="CQ228" s="87"/>
      <c r="CR228" s="87"/>
    </row>
    <row r="229" spans="1:96">
      <c r="A229" s="87"/>
      <c r="B229" s="135">
        <v>45743</v>
      </c>
      <c r="C229" s="127">
        <v>45759</v>
      </c>
      <c r="D229" s="87" t="s">
        <v>114</v>
      </c>
      <c r="E229" s="82" t="s">
        <v>219</v>
      </c>
      <c r="F229" s="82" t="s">
        <v>220</v>
      </c>
      <c r="G229" s="140" t="s">
        <v>1566</v>
      </c>
      <c r="H229" s="87">
        <v>9967463042</v>
      </c>
      <c r="I229" s="87" t="s">
        <v>1567</v>
      </c>
      <c r="J229" s="141" t="s">
        <v>1226</v>
      </c>
      <c r="K229" s="87">
        <v>15</v>
      </c>
      <c r="L229" s="87" t="s">
        <v>1226</v>
      </c>
      <c r="M229" s="87" t="s">
        <v>1568</v>
      </c>
      <c r="N229" s="87" t="s">
        <v>682</v>
      </c>
      <c r="O229" s="87" t="s">
        <v>1472</v>
      </c>
      <c r="P229" s="87">
        <v>0.3</v>
      </c>
      <c r="Q229" s="87" t="s">
        <v>456</v>
      </c>
      <c r="R229" s="87" t="s">
        <v>42</v>
      </c>
      <c r="S229" s="87" t="s">
        <v>42</v>
      </c>
      <c r="T229" s="60">
        <v>3</v>
      </c>
      <c r="U229" s="87" t="s">
        <v>671</v>
      </c>
      <c r="V229" s="126" t="s">
        <v>291</v>
      </c>
      <c r="W229" s="127"/>
      <c r="X229" s="108">
        <v>45765</v>
      </c>
      <c r="Y229" s="135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  <c r="AN229" s="87"/>
      <c r="AO229" s="87"/>
      <c r="AP229" s="54">
        <f>IF(OR(X229="",C229=""),"",NETWORKDAYS.INTL(C229,X229,1,'HELPER(Dont Delete)'!A:A))</f>
        <v>5</v>
      </c>
      <c r="AQ229" s="54" t="str">
        <f>IF(OR(X229="",Y229=""),"",NETWORKDAYS.INTL(X229,Y229,1,'HELPER(Dont Delete)'!A:A))</f>
        <v/>
      </c>
      <c r="AR229" s="54" t="str">
        <f>IF(OR(Y229="",AA229=""),"",NETWORKDAYS.INTL(Y229,AA229,1,'HELPER(Dont Delete)'!A:A))</f>
        <v/>
      </c>
      <c r="AS229" s="87"/>
      <c r="AT229" s="87"/>
      <c r="AU229" s="87"/>
      <c r="AV229" s="87"/>
      <c r="AW229" s="87"/>
      <c r="AX229" s="87"/>
      <c r="AY229" s="87"/>
      <c r="AZ229" s="87"/>
      <c r="BA229" s="87"/>
      <c r="BB229" s="87"/>
      <c r="BC229" s="87"/>
      <c r="BD229" s="87"/>
      <c r="BE229" s="87"/>
      <c r="BF229" s="87"/>
      <c r="BG229" s="87"/>
      <c r="BH229" s="87"/>
      <c r="BI229" s="87"/>
      <c r="BJ229" s="87"/>
      <c r="BK229" s="87"/>
      <c r="BL229" s="87"/>
      <c r="BM229" s="87"/>
      <c r="BN229" s="87"/>
      <c r="BO229" s="87"/>
      <c r="BP229" s="87"/>
      <c r="BQ229" s="87"/>
      <c r="BR229" s="87"/>
      <c r="BS229" s="87"/>
      <c r="BT229" s="87"/>
      <c r="BU229" s="87"/>
      <c r="BV229" s="87"/>
      <c r="BW229" s="87"/>
      <c r="BX229" s="87"/>
      <c r="BY229" s="87"/>
      <c r="BZ229" s="87"/>
      <c r="CA229" s="87"/>
      <c r="CB229" s="87"/>
      <c r="CC229" s="87"/>
      <c r="CD229" s="87"/>
      <c r="CE229" s="87"/>
      <c r="CF229" s="87"/>
      <c r="CG229" s="87"/>
      <c r="CH229" s="87"/>
      <c r="CI229" s="87"/>
      <c r="CJ229" s="87"/>
      <c r="CK229" s="87"/>
      <c r="CL229" s="87"/>
      <c r="CM229" s="87"/>
      <c r="CN229" s="87"/>
      <c r="CO229" s="87"/>
      <c r="CP229" s="87"/>
      <c r="CQ229" s="87"/>
      <c r="CR229" s="87"/>
    </row>
    <row r="230" spans="1:96">
      <c r="A230" s="87"/>
      <c r="B230" s="135">
        <v>45743</v>
      </c>
      <c r="C230" s="127">
        <v>45759</v>
      </c>
      <c r="D230" s="87" t="s">
        <v>114</v>
      </c>
      <c r="E230" s="82" t="s">
        <v>219</v>
      </c>
      <c r="F230" s="82" t="s">
        <v>220</v>
      </c>
      <c r="G230" s="140" t="s">
        <v>1569</v>
      </c>
      <c r="H230" s="87">
        <v>9131127641</v>
      </c>
      <c r="I230" s="87" t="s">
        <v>1570</v>
      </c>
      <c r="J230" s="141" t="s">
        <v>1571</v>
      </c>
      <c r="K230" s="87">
        <v>11</v>
      </c>
      <c r="L230" s="87">
        <v>11</v>
      </c>
      <c r="M230" s="87" t="s">
        <v>1572</v>
      </c>
      <c r="N230" s="87" t="s">
        <v>425</v>
      </c>
      <c r="O230" s="87" t="s">
        <v>1573</v>
      </c>
      <c r="P230" s="87" t="s">
        <v>1574</v>
      </c>
      <c r="Q230" s="87" t="s">
        <v>456</v>
      </c>
      <c r="R230" s="87" t="s">
        <v>502</v>
      </c>
      <c r="S230" s="87" t="s">
        <v>1201</v>
      </c>
      <c r="T230" s="60">
        <v>2.6</v>
      </c>
      <c r="U230" s="87" t="s">
        <v>671</v>
      </c>
      <c r="V230" s="126" t="s">
        <v>231</v>
      </c>
      <c r="W230" s="127"/>
      <c r="X230" s="108">
        <v>45765</v>
      </c>
      <c r="Y230" s="135">
        <v>45766</v>
      </c>
      <c r="Z230" s="87" t="s">
        <v>232</v>
      </c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  <c r="AN230" s="87"/>
      <c r="AO230" s="87"/>
      <c r="AP230" s="54">
        <f>IF(OR(X230="",C230=""),"",NETWORKDAYS.INTL(C230,X230,1,'HELPER(Dont Delete)'!A:A))</f>
        <v>5</v>
      </c>
      <c r="AQ230" s="54">
        <f>IF(OR(X230="",Y230=""),"",NETWORKDAYS.INTL(X230,Y230,1,'HELPER(Dont Delete)'!A:A))</f>
        <v>1</v>
      </c>
      <c r="AR230" s="54" t="str">
        <f>IF(OR(Y230="",AA230=""),"",NETWORKDAYS.INTL(Y230,AA230,1,'HELPER(Dont Delete)'!A:A))</f>
        <v/>
      </c>
      <c r="AS230" s="87"/>
      <c r="AT230" s="87"/>
      <c r="AU230" s="87"/>
      <c r="AV230" s="87"/>
      <c r="AW230" s="87"/>
      <c r="AX230" s="87"/>
      <c r="AY230" s="87"/>
      <c r="AZ230" s="87"/>
      <c r="BA230" s="87"/>
      <c r="BB230" s="87"/>
      <c r="BC230" s="87"/>
      <c r="BD230" s="87"/>
      <c r="BE230" s="87"/>
      <c r="BF230" s="87"/>
      <c r="BG230" s="87"/>
      <c r="BH230" s="87"/>
      <c r="BI230" s="87"/>
      <c r="BJ230" s="87"/>
      <c r="BK230" s="87"/>
      <c r="BL230" s="87"/>
      <c r="BM230" s="87"/>
      <c r="BN230" s="87"/>
      <c r="BO230" s="87"/>
      <c r="BP230" s="87"/>
      <c r="BQ230" s="87"/>
      <c r="BR230" s="87"/>
      <c r="BS230" s="87"/>
      <c r="BT230" s="87"/>
      <c r="BU230" s="87"/>
      <c r="BV230" s="87"/>
      <c r="BW230" s="87"/>
      <c r="BX230" s="87"/>
      <c r="BY230" s="87"/>
      <c r="BZ230" s="87"/>
      <c r="CA230" s="87"/>
      <c r="CB230" s="87"/>
      <c r="CC230" s="87"/>
      <c r="CD230" s="87"/>
      <c r="CE230" s="87"/>
      <c r="CF230" s="87"/>
      <c r="CG230" s="87"/>
      <c r="CH230" s="87"/>
      <c r="CI230" s="87"/>
      <c r="CJ230" s="87"/>
      <c r="CK230" s="87"/>
      <c r="CL230" s="87"/>
      <c r="CM230" s="87"/>
      <c r="CN230" s="87"/>
      <c r="CO230" s="87"/>
      <c r="CP230" s="87"/>
      <c r="CQ230" s="87"/>
      <c r="CR230" s="87"/>
    </row>
    <row r="231" spans="1:96">
      <c r="A231" s="87"/>
      <c r="B231" s="135">
        <v>45743</v>
      </c>
      <c r="C231" s="127">
        <v>45759</v>
      </c>
      <c r="D231" s="87" t="s">
        <v>114</v>
      </c>
      <c r="E231" s="82" t="s">
        <v>219</v>
      </c>
      <c r="F231" s="82" t="s">
        <v>220</v>
      </c>
      <c r="G231" s="140" t="s">
        <v>1575</v>
      </c>
      <c r="H231" s="87">
        <v>6353973066</v>
      </c>
      <c r="I231" s="87" t="s">
        <v>1576</v>
      </c>
      <c r="J231" s="141" t="s">
        <v>1577</v>
      </c>
      <c r="K231" s="87">
        <v>13</v>
      </c>
      <c r="L231" s="87">
        <v>10</v>
      </c>
      <c r="M231" s="87" t="s">
        <v>1578</v>
      </c>
      <c r="N231" s="87" t="s">
        <v>1579</v>
      </c>
      <c r="O231" s="87" t="s">
        <v>1580</v>
      </c>
      <c r="P231" s="87" t="s">
        <v>1581</v>
      </c>
      <c r="Q231" s="87" t="s">
        <v>456</v>
      </c>
      <c r="R231" s="87" t="s">
        <v>1582</v>
      </c>
      <c r="S231" s="87" t="s">
        <v>1201</v>
      </c>
      <c r="T231" s="60">
        <v>3</v>
      </c>
      <c r="U231" s="87" t="s">
        <v>671</v>
      </c>
      <c r="V231" s="126" t="s">
        <v>339</v>
      </c>
      <c r="W231" s="126" t="s">
        <v>164</v>
      </c>
      <c r="X231" s="108">
        <v>45765</v>
      </c>
      <c r="Y231" s="135">
        <v>45768</v>
      </c>
      <c r="Z231" s="87" t="s">
        <v>340</v>
      </c>
      <c r="AA231" s="167">
        <v>45793</v>
      </c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  <c r="AN231" s="87"/>
      <c r="AO231" s="87"/>
      <c r="AP231" s="54">
        <f>IF(OR(X231="",C231=""),"",NETWORKDAYS.INTL(C231,X231,1,'HELPER(Dont Delete)'!A:A))</f>
        <v>5</v>
      </c>
      <c r="AQ231" s="54">
        <f>IF(OR(X231="",Y231=""),"",NETWORKDAYS.INTL(X231,Y231,1,'HELPER(Dont Delete)'!A:A))</f>
        <v>2</v>
      </c>
      <c r="AR231" s="54">
        <f>IF(OR(Y231="",AA231=""),"",NETWORKDAYS.INTL(Y231,AA231,1,'HELPER(Dont Delete)'!A:A))</f>
        <v>20</v>
      </c>
      <c r="AS231" s="87"/>
      <c r="AT231" s="87"/>
      <c r="AU231" s="87"/>
      <c r="AV231" s="87"/>
      <c r="AW231" s="87"/>
      <c r="AX231" s="87"/>
      <c r="AY231" s="87"/>
      <c r="AZ231" s="87"/>
      <c r="BA231" s="87"/>
      <c r="BB231" s="87"/>
      <c r="BC231" s="87"/>
      <c r="BD231" s="87"/>
      <c r="BE231" s="87"/>
      <c r="BF231" s="87"/>
      <c r="BG231" s="87"/>
      <c r="BH231" s="87"/>
      <c r="BI231" s="87"/>
      <c r="BJ231" s="87"/>
      <c r="BK231" s="87"/>
      <c r="BL231" s="87"/>
      <c r="BM231" s="87"/>
      <c r="BN231" s="87"/>
      <c r="BO231" s="87"/>
      <c r="BP231" s="87"/>
      <c r="BQ231" s="87"/>
      <c r="BR231" s="87"/>
      <c r="BS231" s="87"/>
      <c r="BT231" s="87"/>
      <c r="BU231" s="87"/>
      <c r="BV231" s="87"/>
      <c r="BW231" s="87"/>
      <c r="BX231" s="87"/>
      <c r="BY231" s="87"/>
      <c r="BZ231" s="87"/>
      <c r="CA231" s="87"/>
      <c r="CB231" s="87"/>
      <c r="CC231" s="87"/>
      <c r="CD231" s="87"/>
      <c r="CE231" s="87"/>
      <c r="CF231" s="87"/>
      <c r="CG231" s="87"/>
      <c r="CH231" s="87"/>
      <c r="CI231" s="87"/>
      <c r="CJ231" s="87"/>
      <c r="CK231" s="87"/>
      <c r="CL231" s="87"/>
      <c r="CM231" s="87"/>
      <c r="CN231" s="87"/>
      <c r="CO231" s="87"/>
      <c r="CP231" s="87"/>
      <c r="CQ231" s="87"/>
      <c r="CR231" s="87"/>
    </row>
    <row r="232" spans="1:96">
      <c r="A232" s="87"/>
      <c r="B232" s="135">
        <v>45747</v>
      </c>
      <c r="C232" s="128">
        <v>45759</v>
      </c>
      <c r="D232" s="87" t="s">
        <v>141</v>
      </c>
      <c r="E232" s="82" t="s">
        <v>219</v>
      </c>
      <c r="F232" s="82" t="s">
        <v>220</v>
      </c>
      <c r="G232" s="140" t="s">
        <v>1583</v>
      </c>
      <c r="H232" s="87">
        <v>9910856847</v>
      </c>
      <c r="I232" s="87" t="s">
        <v>1584</v>
      </c>
      <c r="J232" s="141" t="s">
        <v>1585</v>
      </c>
      <c r="K232" s="87" t="s">
        <v>1586</v>
      </c>
      <c r="L232" s="87" t="s">
        <v>1586</v>
      </c>
      <c r="M232" s="87" t="s">
        <v>1587</v>
      </c>
      <c r="N232" s="87" t="s">
        <v>1393</v>
      </c>
      <c r="O232" s="87" t="s">
        <v>1588</v>
      </c>
      <c r="P232" s="87" t="s">
        <v>1405</v>
      </c>
      <c r="Q232" s="87" t="s">
        <v>1589</v>
      </c>
      <c r="R232" s="87" t="s">
        <v>290</v>
      </c>
      <c r="S232" s="87" t="s">
        <v>68</v>
      </c>
      <c r="T232" s="60">
        <v>2.2999999999999998</v>
      </c>
      <c r="U232" s="87" t="s">
        <v>829</v>
      </c>
      <c r="V232" s="126" t="s">
        <v>231</v>
      </c>
      <c r="W232" s="127"/>
      <c r="X232" s="108">
        <v>45763</v>
      </c>
      <c r="Y232" s="135">
        <v>45764</v>
      </c>
      <c r="Z232" s="87" t="s">
        <v>232</v>
      </c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  <c r="AN232" s="87"/>
      <c r="AO232" s="87"/>
      <c r="AP232" s="54">
        <f>IF(OR(X232="",C232=""),"",NETWORKDAYS.INTL(C232,X232,1,'HELPER(Dont Delete)'!A:A))</f>
        <v>3</v>
      </c>
      <c r="AQ232" s="54">
        <f>IF(OR(X232="",Y232=""),"",NETWORKDAYS.INTL(X232,Y232,1,'HELPER(Dont Delete)'!A:A))</f>
        <v>2</v>
      </c>
      <c r="AR232" s="54" t="str">
        <f>IF(OR(Y232="",AA232=""),"",NETWORKDAYS.INTL(Y232,AA232,1,'HELPER(Dont Delete)'!A:A))</f>
        <v/>
      </c>
      <c r="AS232" s="87"/>
      <c r="AT232" s="87"/>
      <c r="AU232" s="87"/>
      <c r="AV232" s="87"/>
      <c r="AW232" s="87"/>
      <c r="AX232" s="87"/>
      <c r="AY232" s="87"/>
      <c r="AZ232" s="87"/>
      <c r="BA232" s="87"/>
      <c r="BB232" s="87"/>
      <c r="BC232" s="87"/>
      <c r="BD232" s="87"/>
      <c r="BE232" s="87"/>
      <c r="BF232" s="87"/>
      <c r="BG232" s="87"/>
      <c r="BH232" s="87"/>
      <c r="BI232" s="87"/>
      <c r="BJ232" s="87"/>
      <c r="BK232" s="87"/>
      <c r="BL232" s="87"/>
      <c r="BM232" s="87"/>
      <c r="BN232" s="87"/>
      <c r="BO232" s="87"/>
      <c r="BP232" s="87"/>
      <c r="BQ232" s="87"/>
      <c r="BR232" s="87"/>
      <c r="BS232" s="87"/>
      <c r="BT232" s="87"/>
      <c r="BU232" s="87"/>
      <c r="BV232" s="87"/>
      <c r="BW232" s="87"/>
      <c r="BX232" s="87"/>
      <c r="BY232" s="87"/>
      <c r="BZ232" s="87"/>
      <c r="CA232" s="87"/>
      <c r="CB232" s="87"/>
      <c r="CC232" s="87"/>
      <c r="CD232" s="87"/>
      <c r="CE232" s="87"/>
      <c r="CF232" s="87"/>
      <c r="CG232" s="87"/>
      <c r="CH232" s="87"/>
      <c r="CI232" s="87"/>
      <c r="CJ232" s="87"/>
      <c r="CK232" s="87"/>
      <c r="CL232" s="87"/>
      <c r="CM232" s="87"/>
      <c r="CN232" s="87"/>
      <c r="CO232" s="87"/>
      <c r="CP232" s="87"/>
      <c r="CQ232" s="87"/>
      <c r="CR232" s="87"/>
    </row>
    <row r="233" spans="1:96">
      <c r="A233" s="87"/>
      <c r="B233" s="135">
        <v>45747</v>
      </c>
      <c r="C233" s="128">
        <v>45759</v>
      </c>
      <c r="D233" s="87" t="s">
        <v>141</v>
      </c>
      <c r="E233" s="82" t="s">
        <v>219</v>
      </c>
      <c r="F233" s="82" t="s">
        <v>220</v>
      </c>
      <c r="G233" s="140" t="s">
        <v>1590</v>
      </c>
      <c r="H233" s="87">
        <v>7003297403</v>
      </c>
      <c r="I233" s="87" t="s">
        <v>1591</v>
      </c>
      <c r="J233" s="141" t="s">
        <v>1585</v>
      </c>
      <c r="K233" s="87" t="s">
        <v>949</v>
      </c>
      <c r="L233" s="87" t="s">
        <v>949</v>
      </c>
      <c r="M233" s="87" t="s">
        <v>1592</v>
      </c>
      <c r="N233" s="87" t="s">
        <v>534</v>
      </c>
      <c r="O233" s="87" t="s">
        <v>75</v>
      </c>
      <c r="P233" s="87" t="s">
        <v>488</v>
      </c>
      <c r="Q233" s="87" t="s">
        <v>1593</v>
      </c>
      <c r="R233" s="87" t="s">
        <v>1594</v>
      </c>
      <c r="S233" s="87" t="s">
        <v>68</v>
      </c>
      <c r="T233" s="60">
        <v>2.5</v>
      </c>
      <c r="U233" s="87" t="s">
        <v>829</v>
      </c>
      <c r="V233" s="126" t="s">
        <v>1454</v>
      </c>
      <c r="W233" s="127"/>
      <c r="X233" s="108">
        <v>45763</v>
      </c>
      <c r="Y233" s="135">
        <v>45764</v>
      </c>
      <c r="Z233" s="87" t="s">
        <v>35</v>
      </c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  <c r="AN233" s="87"/>
      <c r="AO233" s="87"/>
      <c r="AP233" s="54">
        <f>IF(OR(X233="",C233=""),"",NETWORKDAYS.INTL(C233,X233,1,'HELPER(Dont Delete)'!A:A))</f>
        <v>3</v>
      </c>
      <c r="AQ233" s="54">
        <f>IF(OR(X233="",Y233=""),"",NETWORKDAYS.INTL(X233,Y233,1,'HELPER(Dont Delete)'!A:A))</f>
        <v>2</v>
      </c>
      <c r="AR233" s="54" t="str">
        <f>IF(OR(Y233="",AA233=""),"",NETWORKDAYS.INTL(Y233,AA233,1,'HELPER(Dont Delete)'!A:A))</f>
        <v/>
      </c>
      <c r="AS233" s="87"/>
      <c r="AT233" s="87"/>
      <c r="AU233" s="87"/>
      <c r="AV233" s="87"/>
      <c r="AW233" s="87"/>
      <c r="AX233" s="87"/>
      <c r="AY233" s="87"/>
      <c r="AZ233" s="87"/>
      <c r="BA233" s="87"/>
      <c r="BB233" s="87"/>
      <c r="BC233" s="87"/>
      <c r="BD233" s="87"/>
      <c r="BE233" s="87"/>
      <c r="BF233" s="87"/>
      <c r="BG233" s="87"/>
      <c r="BH233" s="87"/>
      <c r="BI233" s="87"/>
      <c r="BJ233" s="87"/>
      <c r="BK233" s="87"/>
      <c r="BL233" s="87"/>
      <c r="BM233" s="87"/>
      <c r="BN233" s="87"/>
      <c r="BO233" s="87"/>
      <c r="BP233" s="87"/>
      <c r="BQ233" s="87"/>
      <c r="BR233" s="87"/>
      <c r="BS233" s="87"/>
      <c r="BT233" s="87"/>
      <c r="BU233" s="87"/>
      <c r="BV233" s="87"/>
      <c r="BW233" s="87"/>
      <c r="BX233" s="87"/>
      <c r="BY233" s="87"/>
      <c r="BZ233" s="87"/>
      <c r="CA233" s="87"/>
      <c r="CB233" s="87"/>
      <c r="CC233" s="87"/>
      <c r="CD233" s="87"/>
      <c r="CE233" s="87"/>
      <c r="CF233" s="87"/>
      <c r="CG233" s="87"/>
      <c r="CH233" s="87"/>
      <c r="CI233" s="87"/>
      <c r="CJ233" s="87"/>
      <c r="CK233" s="87"/>
      <c r="CL233" s="87"/>
      <c r="CM233" s="87"/>
      <c r="CN233" s="87"/>
      <c r="CO233" s="87"/>
      <c r="CP233" s="87"/>
      <c r="CQ233" s="87"/>
      <c r="CR233" s="87"/>
    </row>
    <row r="234" spans="1:96">
      <c r="A234" s="87"/>
      <c r="B234" s="135">
        <v>45747</v>
      </c>
      <c r="C234" s="128">
        <v>45759</v>
      </c>
      <c r="D234" s="87" t="s">
        <v>141</v>
      </c>
      <c r="E234" s="82" t="s">
        <v>219</v>
      </c>
      <c r="F234" s="82" t="s">
        <v>220</v>
      </c>
      <c r="G234" s="140" t="s">
        <v>1595</v>
      </c>
      <c r="H234" s="87">
        <v>7987401575</v>
      </c>
      <c r="I234" s="87" t="s">
        <v>1596</v>
      </c>
      <c r="J234" s="141" t="s">
        <v>1444</v>
      </c>
      <c r="K234" s="87">
        <v>11</v>
      </c>
      <c r="L234" s="87">
        <v>11</v>
      </c>
      <c r="M234" s="87" t="s">
        <v>1597</v>
      </c>
      <c r="N234" s="87" t="s">
        <v>756</v>
      </c>
      <c r="O234" s="87" t="s">
        <v>1598</v>
      </c>
      <c r="P234" s="87" t="s">
        <v>770</v>
      </c>
      <c r="Q234" s="87" t="s">
        <v>402</v>
      </c>
      <c r="R234" s="87" t="s">
        <v>42</v>
      </c>
      <c r="S234" s="87" t="s">
        <v>58</v>
      </c>
      <c r="T234" s="60">
        <v>1.4</v>
      </c>
      <c r="U234" s="87" t="s">
        <v>1447</v>
      </c>
      <c r="V234" s="126" t="s">
        <v>1166</v>
      </c>
      <c r="W234" s="127"/>
      <c r="X234" s="108">
        <v>45763</v>
      </c>
      <c r="Y234" s="135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  <c r="AN234" s="87"/>
      <c r="AO234" s="87"/>
      <c r="AP234" s="54">
        <f>IF(OR(X234="",C234=""),"",NETWORKDAYS.INTL(C234,X234,1,'HELPER(Dont Delete)'!A:A))</f>
        <v>3</v>
      </c>
      <c r="AQ234" s="54" t="str">
        <f>IF(OR(X234="",Y234=""),"",NETWORKDAYS.INTL(X234,Y234,1,'HELPER(Dont Delete)'!A:A))</f>
        <v/>
      </c>
      <c r="AR234" s="54" t="str">
        <f>IF(OR(Y234="",AA234=""),"",NETWORKDAYS.INTL(Y234,AA234,1,'HELPER(Dont Delete)'!A:A))</f>
        <v/>
      </c>
      <c r="AS234" s="87"/>
      <c r="AT234" s="87"/>
      <c r="AU234" s="87"/>
      <c r="AV234" s="87"/>
      <c r="AW234" s="87"/>
      <c r="AX234" s="87"/>
      <c r="AY234" s="87"/>
      <c r="AZ234" s="87"/>
      <c r="BA234" s="87"/>
      <c r="BB234" s="87"/>
      <c r="BC234" s="87"/>
      <c r="BD234" s="87"/>
      <c r="BE234" s="87"/>
      <c r="BF234" s="87"/>
      <c r="BG234" s="87"/>
      <c r="BH234" s="87"/>
      <c r="BI234" s="87"/>
      <c r="BJ234" s="87"/>
      <c r="BK234" s="87"/>
      <c r="BL234" s="87"/>
      <c r="BM234" s="87"/>
      <c r="BN234" s="87"/>
      <c r="BO234" s="87"/>
      <c r="BP234" s="87"/>
      <c r="BQ234" s="87"/>
      <c r="BR234" s="87"/>
      <c r="BS234" s="87"/>
      <c r="BT234" s="87"/>
      <c r="BU234" s="87"/>
      <c r="BV234" s="87"/>
      <c r="BW234" s="87"/>
      <c r="BX234" s="87"/>
      <c r="BY234" s="87"/>
      <c r="BZ234" s="87"/>
      <c r="CA234" s="87"/>
      <c r="CB234" s="87"/>
      <c r="CC234" s="87"/>
      <c r="CD234" s="87"/>
      <c r="CE234" s="87"/>
      <c r="CF234" s="87"/>
      <c r="CG234" s="87"/>
      <c r="CH234" s="87"/>
      <c r="CI234" s="87"/>
      <c r="CJ234" s="87"/>
      <c r="CK234" s="87"/>
      <c r="CL234" s="87"/>
      <c r="CM234" s="87"/>
      <c r="CN234" s="87"/>
      <c r="CO234" s="87"/>
      <c r="CP234" s="87"/>
      <c r="CQ234" s="87"/>
      <c r="CR234" s="87"/>
    </row>
    <row r="235" spans="1:96">
      <c r="A235" s="60"/>
      <c r="B235" s="108">
        <v>45742</v>
      </c>
      <c r="C235" s="128">
        <v>45762</v>
      </c>
      <c r="D235" s="60" t="s">
        <v>110</v>
      </c>
      <c r="E235" s="82" t="s">
        <v>219</v>
      </c>
      <c r="F235" s="82" t="s">
        <v>220</v>
      </c>
      <c r="G235" s="111" t="s">
        <v>1599</v>
      </c>
      <c r="H235" s="60">
        <v>8898603537</v>
      </c>
      <c r="I235" s="60" t="s">
        <v>1600</v>
      </c>
      <c r="J235" s="46" t="s">
        <v>1532</v>
      </c>
      <c r="K235" s="60">
        <v>9.5</v>
      </c>
      <c r="L235" s="60">
        <v>9.5</v>
      </c>
      <c r="M235" s="60" t="s">
        <v>1601</v>
      </c>
      <c r="N235" s="60" t="s">
        <v>425</v>
      </c>
      <c r="O235" s="60" t="s">
        <v>1602</v>
      </c>
      <c r="P235" s="60" t="s">
        <v>1603</v>
      </c>
      <c r="Q235" s="60" t="s">
        <v>1604</v>
      </c>
      <c r="R235" s="60" t="s">
        <v>1201</v>
      </c>
      <c r="S235" s="60" t="s">
        <v>1201</v>
      </c>
      <c r="T235" s="60">
        <v>2.8</v>
      </c>
      <c r="U235" s="60" t="s">
        <v>1175</v>
      </c>
      <c r="V235" s="126" t="s">
        <v>231</v>
      </c>
      <c r="W235" s="126"/>
      <c r="X235" s="108">
        <v>45764</v>
      </c>
      <c r="Y235" s="224">
        <v>45765</v>
      </c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54">
        <f>IF(OR(X235="",C235=""),"",NETWORKDAYS.INTL(C235,X235,1,'HELPER(Dont Delete)'!A:A))</f>
        <v>3</v>
      </c>
      <c r="AQ235" s="54">
        <f>IF(OR(X235="",Y235=""),"",NETWORKDAYS.INTL(X235,Y235,1,'HELPER(Dont Delete)'!A:A))</f>
        <v>2</v>
      </c>
      <c r="AR235" s="54" t="str">
        <f>IF(OR(Y235="",AA235=""),"",NETWORKDAYS.INTL(Y235,AA235,1,'HELPER(Dont Delete)'!A:A))</f>
        <v/>
      </c>
      <c r="AS235" s="60"/>
      <c r="AT235" s="60"/>
      <c r="AU235" s="60"/>
      <c r="AV235" s="60"/>
      <c r="AW235" s="60"/>
      <c r="AX235" s="60"/>
      <c r="AY235" s="60"/>
      <c r="AZ235" s="60"/>
      <c r="BA235" s="87"/>
      <c r="BB235" s="87"/>
      <c r="BC235" s="60"/>
      <c r="BD235" s="60"/>
      <c r="BE235" s="60"/>
      <c r="BF235" s="60"/>
      <c r="BG235" s="60"/>
      <c r="BH235" s="60"/>
      <c r="BI235" s="60"/>
      <c r="BJ235" s="60"/>
      <c r="BK235" s="60"/>
      <c r="BL235" s="60"/>
      <c r="BM235" s="60"/>
      <c r="BN235" s="60"/>
      <c r="BO235" s="60"/>
      <c r="BP235" s="60"/>
      <c r="BQ235" s="60"/>
      <c r="BR235" s="60"/>
      <c r="BS235" s="60"/>
      <c r="BT235" s="60"/>
      <c r="BU235" s="60"/>
      <c r="BV235" s="60"/>
      <c r="BW235" s="60"/>
      <c r="BX235" s="60"/>
      <c r="BY235" s="60"/>
      <c r="BZ235" s="60"/>
      <c r="CA235" s="60"/>
      <c r="CB235" s="60"/>
      <c r="CC235" s="60"/>
      <c r="CD235" s="60"/>
      <c r="CE235" s="60"/>
      <c r="CF235" s="60"/>
      <c r="CG235" s="60"/>
      <c r="CH235" s="60"/>
      <c r="CI235" s="60"/>
      <c r="CJ235" s="60"/>
      <c r="CK235" s="60"/>
      <c r="CL235" s="60"/>
      <c r="CM235" s="60"/>
      <c r="CN235" s="60"/>
      <c r="CO235" s="60"/>
      <c r="CP235" s="60"/>
      <c r="CQ235" s="60"/>
      <c r="CR235" s="60"/>
    </row>
    <row r="236" spans="1:96">
      <c r="A236" s="60"/>
      <c r="B236" s="108">
        <v>45742</v>
      </c>
      <c r="C236" s="128">
        <v>45762</v>
      </c>
      <c r="D236" s="60" t="s">
        <v>110</v>
      </c>
      <c r="E236" s="82" t="s">
        <v>219</v>
      </c>
      <c r="F236" s="82" t="s">
        <v>220</v>
      </c>
      <c r="G236" s="111" t="s">
        <v>1605</v>
      </c>
      <c r="H236" s="60">
        <v>8087539421</v>
      </c>
      <c r="I236" s="60" t="s">
        <v>1606</v>
      </c>
      <c r="J236" s="46" t="s">
        <v>1532</v>
      </c>
      <c r="K236" s="60" t="s">
        <v>1607</v>
      </c>
      <c r="L236" s="60" t="s">
        <v>1607</v>
      </c>
      <c r="M236" s="60" t="s">
        <v>1608</v>
      </c>
      <c r="N236" s="60" t="s">
        <v>425</v>
      </c>
      <c r="O236" s="60" t="s">
        <v>635</v>
      </c>
      <c r="P236" s="60" t="s">
        <v>352</v>
      </c>
      <c r="Q236" s="60" t="s">
        <v>1604</v>
      </c>
      <c r="R236" s="60" t="s">
        <v>228</v>
      </c>
      <c r="S236" s="60" t="s">
        <v>1201</v>
      </c>
      <c r="T236" s="60">
        <v>4.2</v>
      </c>
      <c r="U236" s="60" t="s">
        <v>1175</v>
      </c>
      <c r="V236" s="126" t="s">
        <v>231</v>
      </c>
      <c r="W236" s="126"/>
      <c r="X236" s="108">
        <v>45764</v>
      </c>
      <c r="Y236" s="135">
        <v>45770</v>
      </c>
      <c r="Z236" s="60" t="s">
        <v>232</v>
      </c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54">
        <f>IF(OR(X236="",C236=""),"",NETWORKDAYS.INTL(C236,X236,1,'HELPER(Dont Delete)'!A:A))</f>
        <v>3</v>
      </c>
      <c r="AQ236" s="54">
        <f>IF(OR(X236="",Y236=""),"",NETWORKDAYS.INTL(X236,Y236,1,'HELPER(Dont Delete)'!A:A))</f>
        <v>5</v>
      </c>
      <c r="AR236" s="54" t="str">
        <f>IF(OR(Y236="",AA236=""),"",NETWORKDAYS.INTL(Y236,AA236,1,'HELPER(Dont Delete)'!A:A))</f>
        <v/>
      </c>
      <c r="AS236" s="60"/>
      <c r="AT236" s="60"/>
      <c r="AU236" s="60"/>
      <c r="AV236" s="60"/>
      <c r="AW236" s="60"/>
      <c r="AX236" s="60"/>
      <c r="AY236" s="60"/>
      <c r="AZ236" s="60"/>
      <c r="BA236" s="87"/>
      <c r="BB236" s="87"/>
      <c r="BC236" s="60"/>
      <c r="BD236" s="60"/>
      <c r="BE236" s="60"/>
      <c r="BF236" s="60"/>
      <c r="BG236" s="60"/>
      <c r="BH236" s="60"/>
      <c r="BI236" s="60"/>
      <c r="BJ236" s="60"/>
      <c r="BK236" s="60"/>
      <c r="BL236" s="60"/>
      <c r="BM236" s="60"/>
      <c r="BN236" s="60"/>
      <c r="BO236" s="60"/>
      <c r="BP236" s="60"/>
      <c r="BQ236" s="60"/>
      <c r="BR236" s="60"/>
      <c r="BS236" s="60"/>
      <c r="BT236" s="60"/>
      <c r="BU236" s="60"/>
      <c r="BV236" s="60"/>
      <c r="BW236" s="60"/>
      <c r="BX236" s="60"/>
      <c r="BY236" s="60"/>
      <c r="BZ236" s="60"/>
      <c r="CA236" s="60"/>
      <c r="CB236" s="60"/>
      <c r="CC236" s="60"/>
      <c r="CD236" s="60"/>
      <c r="CE236" s="60"/>
      <c r="CF236" s="60"/>
      <c r="CG236" s="60"/>
      <c r="CH236" s="60"/>
      <c r="CI236" s="60"/>
      <c r="CJ236" s="60"/>
      <c r="CK236" s="60"/>
      <c r="CL236" s="60"/>
      <c r="CM236" s="60"/>
      <c r="CN236" s="60"/>
      <c r="CO236" s="60"/>
      <c r="CP236" s="60"/>
      <c r="CQ236" s="60"/>
      <c r="CR236" s="60"/>
    </row>
    <row r="237" spans="1:96">
      <c r="A237" s="60"/>
      <c r="B237" s="108">
        <v>45743</v>
      </c>
      <c r="C237" s="128">
        <v>45762</v>
      </c>
      <c r="D237" s="60" t="s">
        <v>118</v>
      </c>
      <c r="E237" s="82" t="s">
        <v>219</v>
      </c>
      <c r="F237" s="82" t="s">
        <v>220</v>
      </c>
      <c r="G237" s="111" t="s">
        <v>1609</v>
      </c>
      <c r="H237" s="60">
        <v>8004789256</v>
      </c>
      <c r="I237" s="60" t="s">
        <v>1610</v>
      </c>
      <c r="J237" s="46"/>
      <c r="K237" s="60" t="s">
        <v>1611</v>
      </c>
      <c r="L237" s="60" t="s">
        <v>1611</v>
      </c>
      <c r="M237" s="60" t="s">
        <v>1612</v>
      </c>
      <c r="N237" s="60" t="s">
        <v>1613</v>
      </c>
      <c r="O237" s="60" t="s">
        <v>1537</v>
      </c>
      <c r="P237" s="60" t="s">
        <v>1565</v>
      </c>
      <c r="Q237" s="60" t="s">
        <v>1559</v>
      </c>
      <c r="R237" s="60" t="s">
        <v>598</v>
      </c>
      <c r="S237" s="60" t="s">
        <v>42</v>
      </c>
      <c r="T237" s="60"/>
      <c r="U237" s="60" t="s">
        <v>1561</v>
      </c>
      <c r="V237" s="126" t="s">
        <v>231</v>
      </c>
      <c r="W237" s="126"/>
      <c r="X237" s="108">
        <v>45763</v>
      </c>
      <c r="Y237" s="108">
        <v>45765</v>
      </c>
      <c r="Z237" s="60" t="s">
        <v>232</v>
      </c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54">
        <f>IF(OR(X237="",C237=""),"",NETWORKDAYS.INTL(C237,X237,1,'HELPER(Dont Delete)'!A:A))</f>
        <v>2</v>
      </c>
      <c r="AQ237" s="54">
        <f>IF(OR(X237="",Y237=""),"",NETWORKDAYS.INTL(X237,Y237,1,'HELPER(Dont Delete)'!A:A))</f>
        <v>3</v>
      </c>
      <c r="AR237" s="54" t="str">
        <f>IF(OR(Y237="",AA237=""),"",NETWORKDAYS.INTL(Y237,AA237,1,'HELPER(Dont Delete)'!A:A))</f>
        <v/>
      </c>
      <c r="AS237" s="60"/>
      <c r="AT237" s="60"/>
      <c r="AU237" s="60"/>
      <c r="AV237" s="60"/>
      <c r="AW237" s="60"/>
      <c r="AX237" s="60"/>
      <c r="AY237" s="60"/>
      <c r="AZ237" s="60"/>
      <c r="BA237" s="87"/>
      <c r="BB237" s="87"/>
      <c r="BC237" s="60"/>
      <c r="BD237" s="60"/>
      <c r="BE237" s="60"/>
      <c r="BF237" s="60"/>
      <c r="BG237" s="60"/>
      <c r="BH237" s="60"/>
      <c r="BI237" s="60"/>
      <c r="BJ237" s="60"/>
      <c r="BK237" s="60"/>
      <c r="BL237" s="60"/>
      <c r="BM237" s="60"/>
      <c r="BN237" s="60"/>
      <c r="BO237" s="60"/>
      <c r="BP237" s="60"/>
      <c r="BQ237" s="60"/>
      <c r="BR237" s="60"/>
      <c r="BS237" s="60"/>
      <c r="BT237" s="60"/>
      <c r="BU237" s="60"/>
      <c r="BV237" s="60"/>
      <c r="BW237" s="60"/>
      <c r="BX237" s="60"/>
      <c r="BY237" s="60"/>
      <c r="BZ237" s="60"/>
      <c r="CA237" s="60"/>
      <c r="CB237" s="60"/>
      <c r="CC237" s="60"/>
      <c r="CD237" s="60"/>
      <c r="CE237" s="60"/>
      <c r="CF237" s="60"/>
      <c r="CG237" s="60"/>
      <c r="CH237" s="60"/>
      <c r="CI237" s="60"/>
      <c r="CJ237" s="60"/>
      <c r="CK237" s="60"/>
      <c r="CL237" s="60"/>
      <c r="CM237" s="60"/>
      <c r="CN237" s="60"/>
      <c r="CO237" s="60"/>
      <c r="CP237" s="60"/>
      <c r="CQ237" s="60"/>
      <c r="CR237" s="60"/>
    </row>
    <row r="238" spans="1:96">
      <c r="A238" s="60"/>
      <c r="B238" s="108">
        <v>45743</v>
      </c>
      <c r="C238" s="128">
        <v>45762</v>
      </c>
      <c r="D238" s="60" t="s">
        <v>118</v>
      </c>
      <c r="E238" s="82" t="s">
        <v>219</v>
      </c>
      <c r="F238" s="82" t="s">
        <v>220</v>
      </c>
      <c r="G238" s="111" t="s">
        <v>1614</v>
      </c>
      <c r="H238" s="60">
        <v>9679974116</v>
      </c>
      <c r="I238" s="60" t="s">
        <v>1615</v>
      </c>
      <c r="J238" s="46"/>
      <c r="K238" s="60" t="s">
        <v>794</v>
      </c>
      <c r="L238" s="60" t="s">
        <v>794</v>
      </c>
      <c r="M238" s="60" t="s">
        <v>1616</v>
      </c>
      <c r="N238" s="60" t="s">
        <v>1613</v>
      </c>
      <c r="O238" s="60" t="s">
        <v>1617</v>
      </c>
      <c r="P238" s="60" t="s">
        <v>1565</v>
      </c>
      <c r="Q238" s="60" t="s">
        <v>1618</v>
      </c>
      <c r="R238" s="60" t="s">
        <v>1619</v>
      </c>
      <c r="S238" s="60" t="s">
        <v>42</v>
      </c>
      <c r="T238" s="60"/>
      <c r="U238" s="60" t="s">
        <v>1561</v>
      </c>
      <c r="V238" s="126" t="s">
        <v>1620</v>
      </c>
      <c r="W238" s="126" t="s">
        <v>741</v>
      </c>
      <c r="X238" s="108">
        <v>45763</v>
      </c>
      <c r="Y238" s="108">
        <v>45765</v>
      </c>
      <c r="Z238" s="60" t="s">
        <v>1621</v>
      </c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54">
        <f>IF(OR(X238="",C238=""),"",NETWORKDAYS.INTL(C238,X238,1,'HELPER(Dont Delete)'!A:A))</f>
        <v>2</v>
      </c>
      <c r="AQ238" s="54">
        <f>IF(OR(X238="",Y238=""),"",NETWORKDAYS.INTL(X238,Y238,1,'HELPER(Dont Delete)'!A:A))</f>
        <v>3</v>
      </c>
      <c r="AR238" s="54" t="str">
        <f>IF(OR(Y238="",AA238=""),"",NETWORKDAYS.INTL(Y238,AA238,1,'HELPER(Dont Delete)'!A:A))</f>
        <v/>
      </c>
      <c r="AS238" s="60"/>
      <c r="AT238" s="60"/>
      <c r="AU238" s="60"/>
      <c r="AV238" s="60"/>
      <c r="AW238" s="60"/>
      <c r="AX238" s="60"/>
      <c r="AY238" s="60"/>
      <c r="AZ238" s="60"/>
      <c r="BA238" s="87"/>
      <c r="BB238" s="87"/>
      <c r="BC238" s="60"/>
      <c r="BD238" s="60"/>
      <c r="BE238" s="60"/>
      <c r="BF238" s="60"/>
      <c r="BG238" s="60"/>
      <c r="BH238" s="60"/>
      <c r="BI238" s="60"/>
      <c r="BJ238" s="60"/>
      <c r="BK238" s="60"/>
      <c r="BL238" s="60"/>
      <c r="BM238" s="60"/>
      <c r="BN238" s="60"/>
      <c r="BO238" s="60"/>
      <c r="BP238" s="60"/>
      <c r="BQ238" s="60"/>
      <c r="BR238" s="60"/>
      <c r="BS238" s="60"/>
      <c r="BT238" s="60"/>
      <c r="BU238" s="60"/>
      <c r="BV238" s="60"/>
      <c r="BW238" s="60"/>
      <c r="BX238" s="60"/>
      <c r="BY238" s="60"/>
      <c r="BZ238" s="60"/>
      <c r="CA238" s="60"/>
      <c r="CB238" s="60"/>
      <c r="CC238" s="60"/>
      <c r="CD238" s="60"/>
      <c r="CE238" s="60"/>
      <c r="CF238" s="60"/>
      <c r="CG238" s="60"/>
      <c r="CH238" s="60"/>
      <c r="CI238" s="60"/>
      <c r="CJ238" s="60"/>
      <c r="CK238" s="60"/>
      <c r="CL238" s="60"/>
      <c r="CM238" s="60"/>
      <c r="CN238" s="60"/>
      <c r="CO238" s="60"/>
      <c r="CP238" s="60"/>
      <c r="CQ238" s="60"/>
      <c r="CR238" s="60"/>
    </row>
    <row r="239" spans="1:96">
      <c r="A239" s="60"/>
      <c r="B239" s="108">
        <v>45747</v>
      </c>
      <c r="C239" s="128">
        <v>45762</v>
      </c>
      <c r="D239" s="60" t="s">
        <v>1488</v>
      </c>
      <c r="E239" s="82" t="s">
        <v>219</v>
      </c>
      <c r="F239" s="82" t="s">
        <v>220</v>
      </c>
      <c r="G239" s="111" t="s">
        <v>1622</v>
      </c>
      <c r="H239" s="60">
        <v>8000532922</v>
      </c>
      <c r="I239" s="60" t="s">
        <v>1623</v>
      </c>
      <c r="J239" s="46"/>
      <c r="K239" s="60">
        <v>17</v>
      </c>
      <c r="L239" s="60">
        <v>17</v>
      </c>
      <c r="M239" s="60" t="s">
        <v>1624</v>
      </c>
      <c r="N239" s="60" t="s">
        <v>425</v>
      </c>
      <c r="O239" s="60" t="s">
        <v>1625</v>
      </c>
      <c r="P239" s="60" t="s">
        <v>352</v>
      </c>
      <c r="Q239" s="60" t="s">
        <v>41</v>
      </c>
      <c r="R239" s="60" t="s">
        <v>631</v>
      </c>
      <c r="S239" s="60" t="s">
        <v>1626</v>
      </c>
      <c r="T239" s="60"/>
      <c r="U239" s="60" t="s">
        <v>1301</v>
      </c>
      <c r="V239" s="126" t="s">
        <v>1308</v>
      </c>
      <c r="W239" s="127"/>
      <c r="X239" s="108">
        <v>45763</v>
      </c>
      <c r="Y239" s="108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54">
        <f>IF(OR(X239="",C239=""),"",NETWORKDAYS.INTL(C239,X239,1,'HELPER(Dont Delete)'!A:A))</f>
        <v>2</v>
      </c>
      <c r="AQ239" s="54" t="str">
        <f>IF(OR(X239="",Y239=""),"",NETWORKDAYS.INTL(X239,Y239,1,'HELPER(Dont Delete)'!A:A))</f>
        <v/>
      </c>
      <c r="AR239" s="54" t="str">
        <f>IF(OR(Y239="",AA239=""),"",NETWORKDAYS.INTL(Y239,AA239,1,'HELPER(Dont Delete)'!A:A))</f>
        <v/>
      </c>
      <c r="AS239" s="60"/>
      <c r="AT239" s="60"/>
      <c r="AU239" s="60"/>
      <c r="AV239" s="60"/>
      <c r="AW239" s="60"/>
      <c r="AX239" s="60"/>
      <c r="AY239" s="60"/>
      <c r="AZ239" s="60"/>
      <c r="BA239" s="87"/>
      <c r="BB239" s="87"/>
      <c r="BC239" s="60"/>
      <c r="BD239" s="60"/>
      <c r="BE239" s="60"/>
      <c r="BF239" s="60"/>
      <c r="BG239" s="60"/>
      <c r="BH239" s="60"/>
      <c r="BI239" s="60"/>
      <c r="BJ239" s="60"/>
      <c r="BK239" s="60"/>
      <c r="BL239" s="60"/>
      <c r="BM239" s="60"/>
      <c r="BN239" s="60"/>
      <c r="BO239" s="60"/>
      <c r="BP239" s="60"/>
      <c r="BQ239" s="60"/>
      <c r="BR239" s="60"/>
      <c r="BS239" s="60"/>
      <c r="BT239" s="60"/>
      <c r="BU239" s="60"/>
      <c r="BV239" s="60"/>
      <c r="BW239" s="60"/>
      <c r="BX239" s="60"/>
      <c r="BY239" s="60"/>
      <c r="BZ239" s="60"/>
      <c r="CA239" s="60"/>
      <c r="CB239" s="60"/>
      <c r="CC239" s="60"/>
      <c r="CD239" s="60"/>
      <c r="CE239" s="60"/>
      <c r="CF239" s="60"/>
      <c r="CG239" s="60"/>
      <c r="CH239" s="60"/>
      <c r="CI239" s="60"/>
      <c r="CJ239" s="60"/>
      <c r="CK239" s="60"/>
      <c r="CL239" s="60"/>
      <c r="CM239" s="60"/>
      <c r="CN239" s="60"/>
      <c r="CO239" s="60"/>
      <c r="CP239" s="60"/>
      <c r="CQ239" s="60"/>
      <c r="CR239" s="60"/>
    </row>
    <row r="240" spans="1:96">
      <c r="A240" s="60"/>
      <c r="B240" s="108">
        <v>45747</v>
      </c>
      <c r="C240" s="128">
        <v>45762</v>
      </c>
      <c r="D240" s="60" t="s">
        <v>1488</v>
      </c>
      <c r="E240" s="82" t="s">
        <v>219</v>
      </c>
      <c r="F240" s="82" t="s">
        <v>220</v>
      </c>
      <c r="G240" s="111" t="s">
        <v>1627</v>
      </c>
      <c r="H240" s="60">
        <v>7016204361</v>
      </c>
      <c r="I240" s="60" t="s">
        <v>1628</v>
      </c>
      <c r="J240" s="46"/>
      <c r="K240" s="60">
        <v>17</v>
      </c>
      <c r="L240" s="60">
        <v>17</v>
      </c>
      <c r="M240" s="60" t="s">
        <v>1624</v>
      </c>
      <c r="N240" s="60" t="s">
        <v>425</v>
      </c>
      <c r="O240" s="60" t="s">
        <v>1629</v>
      </c>
      <c r="P240" s="60" t="s">
        <v>1499</v>
      </c>
      <c r="Q240" s="60" t="s">
        <v>1630</v>
      </c>
      <c r="R240" s="60" t="s">
        <v>1551</v>
      </c>
      <c r="S240" s="60" t="s">
        <v>1626</v>
      </c>
      <c r="T240" s="60"/>
      <c r="U240" s="60" t="s">
        <v>1301</v>
      </c>
      <c r="V240" s="126" t="s">
        <v>1308</v>
      </c>
      <c r="W240" s="127"/>
      <c r="X240" s="108">
        <v>45763</v>
      </c>
      <c r="Y240" s="108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54">
        <f>IF(OR(X240="",C240=""),"",NETWORKDAYS.INTL(C240,X240,1,'HELPER(Dont Delete)'!A:A))</f>
        <v>2</v>
      </c>
      <c r="AQ240" s="54" t="str">
        <f>IF(OR(X240="",Y240=""),"",NETWORKDAYS.INTL(X240,Y240,1,'HELPER(Dont Delete)'!A:A))</f>
        <v/>
      </c>
      <c r="AR240" s="54" t="str">
        <f>IF(OR(Y240="",AA240=""),"",NETWORKDAYS.INTL(Y240,AA240,1,'HELPER(Dont Delete)'!A:A))</f>
        <v/>
      </c>
      <c r="AS240" s="60"/>
      <c r="AT240" s="60"/>
      <c r="AU240" s="60"/>
      <c r="AV240" s="60"/>
      <c r="AW240" s="60"/>
      <c r="AX240" s="60"/>
      <c r="AY240" s="60"/>
      <c r="AZ240" s="60"/>
      <c r="BA240" s="87"/>
      <c r="BB240" s="87"/>
      <c r="BC240" s="60"/>
      <c r="BD240" s="60"/>
      <c r="BE240" s="60"/>
      <c r="BF240" s="60"/>
      <c r="BG240" s="60"/>
      <c r="BH240" s="60"/>
      <c r="BI240" s="60"/>
      <c r="BJ240" s="60"/>
      <c r="BK240" s="60"/>
      <c r="BL240" s="60"/>
      <c r="BM240" s="60"/>
      <c r="BN240" s="60"/>
      <c r="BO240" s="60"/>
      <c r="BP240" s="60"/>
      <c r="BQ240" s="60"/>
      <c r="BR240" s="60"/>
      <c r="BS240" s="60"/>
      <c r="BT240" s="60"/>
      <c r="BU240" s="60"/>
      <c r="BV240" s="60"/>
      <c r="BW240" s="60"/>
      <c r="BX240" s="60"/>
      <c r="BY240" s="60"/>
      <c r="BZ240" s="60"/>
      <c r="CA240" s="60"/>
      <c r="CB240" s="60"/>
      <c r="CC240" s="60"/>
      <c r="CD240" s="60"/>
      <c r="CE240" s="60"/>
      <c r="CF240" s="60"/>
      <c r="CG240" s="60"/>
      <c r="CH240" s="60"/>
      <c r="CI240" s="60"/>
      <c r="CJ240" s="60"/>
      <c r="CK240" s="60"/>
      <c r="CL240" s="60"/>
      <c r="CM240" s="60"/>
      <c r="CN240" s="60"/>
      <c r="CO240" s="60"/>
      <c r="CP240" s="60"/>
      <c r="CQ240" s="60"/>
      <c r="CR240" s="60"/>
    </row>
    <row r="241" spans="1:96">
      <c r="A241" s="60"/>
      <c r="B241" s="108">
        <v>45747</v>
      </c>
      <c r="C241" s="128">
        <v>45762</v>
      </c>
      <c r="D241" s="60" t="s">
        <v>1421</v>
      </c>
      <c r="E241" s="82" t="s">
        <v>219</v>
      </c>
      <c r="F241" s="82" t="s">
        <v>220</v>
      </c>
      <c r="G241" s="111" t="s">
        <v>1631</v>
      </c>
      <c r="H241" s="60">
        <v>9444389281</v>
      </c>
      <c r="I241" s="60" t="s">
        <v>1632</v>
      </c>
      <c r="J241" s="46" t="s">
        <v>1633</v>
      </c>
      <c r="K241" s="60">
        <v>9</v>
      </c>
      <c r="L241" s="60">
        <v>7</v>
      </c>
      <c r="M241" s="60" t="s">
        <v>1634</v>
      </c>
      <c r="N241" s="60" t="s">
        <v>425</v>
      </c>
      <c r="O241" s="60" t="s">
        <v>1635</v>
      </c>
      <c r="P241" s="60">
        <v>0.3</v>
      </c>
      <c r="Q241" s="60" t="s">
        <v>208</v>
      </c>
      <c r="R241" s="60" t="s">
        <v>1636</v>
      </c>
      <c r="S241" s="60" t="s">
        <v>1201</v>
      </c>
      <c r="T241" s="60">
        <v>3</v>
      </c>
      <c r="U241" s="60" t="s">
        <v>1428</v>
      </c>
      <c r="V241" s="126" t="s">
        <v>1308</v>
      </c>
      <c r="W241" s="127"/>
      <c r="X241" s="108">
        <v>45763</v>
      </c>
      <c r="Y241" s="108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54">
        <f>IF(OR(X241="",C241=""),"",NETWORKDAYS.INTL(C241,X241,1,'HELPER(Dont Delete)'!A:A))</f>
        <v>2</v>
      </c>
      <c r="AQ241" s="54" t="str">
        <f>IF(OR(X241="",Y241=""),"",NETWORKDAYS.INTL(X241,Y241,1,'HELPER(Dont Delete)'!A:A))</f>
        <v/>
      </c>
      <c r="AR241" s="54" t="str">
        <f>IF(OR(Y241="",AA241=""),"",NETWORKDAYS.INTL(Y241,AA241,1,'HELPER(Dont Delete)'!A:A))</f>
        <v/>
      </c>
      <c r="AS241" s="60"/>
      <c r="AT241" s="60"/>
      <c r="AU241" s="60"/>
      <c r="AV241" s="60"/>
      <c r="AW241" s="60"/>
      <c r="AX241" s="60"/>
      <c r="AY241" s="60"/>
      <c r="AZ241" s="60"/>
      <c r="BA241" s="87"/>
      <c r="BB241" s="87"/>
      <c r="BC241" s="60"/>
      <c r="BD241" s="60"/>
      <c r="BE241" s="60"/>
      <c r="BF241" s="60"/>
      <c r="BG241" s="60"/>
      <c r="BH241" s="60"/>
      <c r="BI241" s="60"/>
      <c r="BJ241" s="60"/>
      <c r="BK241" s="60"/>
      <c r="BL241" s="60"/>
      <c r="BM241" s="60"/>
      <c r="BN241" s="60"/>
      <c r="BO241" s="60"/>
      <c r="BP241" s="60"/>
      <c r="BQ241" s="60"/>
      <c r="BR241" s="60"/>
      <c r="BS241" s="60"/>
      <c r="BT241" s="60"/>
      <c r="BU241" s="60"/>
      <c r="BV241" s="60"/>
      <c r="BW241" s="60"/>
      <c r="BX241" s="60"/>
      <c r="BY241" s="60"/>
      <c r="BZ241" s="60"/>
      <c r="CA241" s="60"/>
      <c r="CB241" s="60"/>
      <c r="CC241" s="60"/>
      <c r="CD241" s="60"/>
      <c r="CE241" s="60"/>
      <c r="CF241" s="60"/>
      <c r="CG241" s="60"/>
      <c r="CH241" s="60"/>
      <c r="CI241" s="60"/>
      <c r="CJ241" s="60"/>
      <c r="CK241" s="60"/>
      <c r="CL241" s="60"/>
      <c r="CM241" s="60"/>
      <c r="CN241" s="60"/>
      <c r="CO241" s="60"/>
      <c r="CP241" s="60"/>
      <c r="CQ241" s="60"/>
      <c r="CR241" s="60"/>
    </row>
    <row r="242" spans="1:96">
      <c r="A242" s="60"/>
      <c r="B242" s="108">
        <v>45747</v>
      </c>
      <c r="C242" s="128">
        <v>45762</v>
      </c>
      <c r="D242" s="60" t="s">
        <v>1421</v>
      </c>
      <c r="E242" s="82" t="s">
        <v>219</v>
      </c>
      <c r="F242" s="82" t="s">
        <v>220</v>
      </c>
      <c r="G242" s="111" t="s">
        <v>1637</v>
      </c>
      <c r="H242" s="60" t="s">
        <v>1638</v>
      </c>
      <c r="I242" s="60" t="s">
        <v>1639</v>
      </c>
      <c r="J242" s="46" t="s">
        <v>1544</v>
      </c>
      <c r="K242" s="60">
        <v>6</v>
      </c>
      <c r="L242" s="60">
        <v>8</v>
      </c>
      <c r="M242" s="60" t="s">
        <v>1640</v>
      </c>
      <c r="N242" s="60" t="s">
        <v>1641</v>
      </c>
      <c r="O242" s="60" t="s">
        <v>1163</v>
      </c>
      <c r="P242" s="60">
        <v>0.3</v>
      </c>
      <c r="Q242" s="60" t="s">
        <v>208</v>
      </c>
      <c r="R242" s="60" t="s">
        <v>631</v>
      </c>
      <c r="S242" s="60" t="s">
        <v>1201</v>
      </c>
      <c r="T242" s="60">
        <v>4.5</v>
      </c>
      <c r="U242" s="87" t="s">
        <v>1428</v>
      </c>
      <c r="V242" s="126" t="s">
        <v>1308</v>
      </c>
      <c r="W242" s="127"/>
      <c r="X242" s="108">
        <v>45763</v>
      </c>
      <c r="Y242" s="108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54">
        <f>IF(OR(X242="",C242=""),"",NETWORKDAYS.INTL(C242,X242,1,'HELPER(Dont Delete)'!A:A))</f>
        <v>2</v>
      </c>
      <c r="AQ242" s="54" t="str">
        <f>IF(OR(X242="",Y242=""),"",NETWORKDAYS.INTL(X242,Y242,1,'HELPER(Dont Delete)'!A:A))</f>
        <v/>
      </c>
      <c r="AR242" s="54" t="str">
        <f>IF(OR(Y242="",AA242=""),"",NETWORKDAYS.INTL(Y242,AA242,1,'HELPER(Dont Delete)'!A:A))</f>
        <v/>
      </c>
      <c r="AS242" s="60"/>
      <c r="AT242" s="60"/>
      <c r="AU242" s="60"/>
      <c r="AV242" s="60"/>
      <c r="AW242" s="60"/>
      <c r="AX242" s="60"/>
      <c r="AY242" s="60"/>
      <c r="AZ242" s="60"/>
      <c r="BA242" s="87"/>
      <c r="BB242" s="87"/>
      <c r="BC242" s="60"/>
      <c r="BD242" s="60"/>
      <c r="BE242" s="60"/>
      <c r="BF242" s="60"/>
      <c r="BG242" s="60"/>
      <c r="BH242" s="60"/>
      <c r="BI242" s="60"/>
      <c r="BJ242" s="60"/>
      <c r="BK242" s="60"/>
      <c r="BL242" s="60"/>
      <c r="BM242" s="60"/>
      <c r="BN242" s="60"/>
      <c r="BO242" s="60"/>
      <c r="BP242" s="60"/>
      <c r="BQ242" s="60"/>
      <c r="BR242" s="60"/>
      <c r="BS242" s="60"/>
      <c r="BT242" s="60"/>
      <c r="BU242" s="60"/>
      <c r="BV242" s="60"/>
      <c r="BW242" s="60"/>
      <c r="BX242" s="60"/>
      <c r="BY242" s="60"/>
      <c r="BZ242" s="60"/>
      <c r="CA242" s="60"/>
      <c r="CB242" s="60"/>
      <c r="CC242" s="60"/>
      <c r="CD242" s="60"/>
      <c r="CE242" s="60"/>
      <c r="CF242" s="60"/>
      <c r="CG242" s="60"/>
      <c r="CH242" s="60"/>
      <c r="CI242" s="60"/>
      <c r="CJ242" s="60"/>
      <c r="CK242" s="60"/>
      <c r="CL242" s="60"/>
      <c r="CM242" s="60"/>
      <c r="CN242" s="60"/>
      <c r="CO242" s="60"/>
      <c r="CP242" s="60"/>
      <c r="CQ242" s="60"/>
      <c r="CR242" s="60"/>
    </row>
    <row r="243" spans="1:96">
      <c r="A243" s="126"/>
      <c r="B243" s="127">
        <v>45743</v>
      </c>
      <c r="C243" s="127">
        <v>45762</v>
      </c>
      <c r="D243" s="129" t="s">
        <v>122</v>
      </c>
      <c r="E243" s="82" t="s">
        <v>219</v>
      </c>
      <c r="F243" s="82" t="s">
        <v>220</v>
      </c>
      <c r="G243" s="132" t="s">
        <v>1642</v>
      </c>
      <c r="H243" s="132">
        <v>7735291137</v>
      </c>
      <c r="I243" s="133" t="s">
        <v>1643</v>
      </c>
      <c r="J243" s="132"/>
      <c r="K243" s="132">
        <v>9.3000000000000007</v>
      </c>
      <c r="L243" s="132">
        <v>9.3000000000000007</v>
      </c>
      <c r="M243" s="132" t="s">
        <v>1644</v>
      </c>
      <c r="N243" s="132" t="s">
        <v>1403</v>
      </c>
      <c r="O243" s="129"/>
      <c r="P243" s="132"/>
      <c r="Q243" s="132" t="s">
        <v>227</v>
      </c>
      <c r="R243" s="129" t="s">
        <v>1645</v>
      </c>
      <c r="S243" s="129" t="s">
        <v>1201</v>
      </c>
      <c r="T243" s="153"/>
      <c r="U243" s="154"/>
      <c r="V243" s="126" t="s">
        <v>758</v>
      </c>
      <c r="W243" s="127" t="s">
        <v>741</v>
      </c>
      <c r="X243" s="127">
        <v>45762</v>
      </c>
      <c r="Y243" s="129"/>
      <c r="Z243" s="127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54">
        <f>IF(OR(X243="",C243=""),"",NETWORKDAYS.INTL(C243,X243,1,'HELPER(Dont Delete)'!A:A))</f>
        <v>1</v>
      </c>
      <c r="AQ243" s="54" t="str">
        <f>IF(OR(X243="",Y243=""),"",NETWORKDAYS.INTL(X243,Y243,1,'HELPER(Dont Delete)'!A:A))</f>
        <v/>
      </c>
      <c r="AR243" s="54" t="str">
        <f>IF(OR(Y243="",AA243=""),"",NETWORKDAYS.INTL(Y243,AA243,1,'HELPER(Dont Delete)'!A:A))</f>
        <v/>
      </c>
      <c r="AS243" s="129"/>
      <c r="AT243" s="129"/>
      <c r="AU243" s="129"/>
      <c r="AV243" s="129"/>
      <c r="AW243" s="126"/>
      <c r="AX243" s="127"/>
      <c r="AY243" s="127"/>
      <c r="AZ243" s="129"/>
      <c r="BA243" s="82"/>
      <c r="BB243" s="82"/>
      <c r="BC243" s="132"/>
      <c r="BD243" s="132"/>
      <c r="BE243" s="133"/>
      <c r="BF243" s="132"/>
      <c r="BG243" s="132"/>
      <c r="BH243" s="132"/>
      <c r="BI243" s="132"/>
      <c r="BJ243" s="132"/>
      <c r="BK243" s="129"/>
      <c r="BL243" s="132"/>
      <c r="BM243" s="132"/>
      <c r="BN243" s="129"/>
      <c r="BO243" s="129"/>
      <c r="BP243" s="153"/>
      <c r="BQ243" s="126"/>
      <c r="BR243" s="126"/>
      <c r="BS243" s="127"/>
      <c r="BT243" s="127"/>
      <c r="BU243" s="129"/>
      <c r="BV243" s="127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</row>
    <row r="244" spans="1:96">
      <c r="A244" s="126"/>
      <c r="B244" s="127">
        <v>45743</v>
      </c>
      <c r="C244" s="127">
        <v>45762</v>
      </c>
      <c r="D244" s="129" t="s">
        <v>122</v>
      </c>
      <c r="E244" s="82" t="s">
        <v>219</v>
      </c>
      <c r="F244" s="82" t="s">
        <v>220</v>
      </c>
      <c r="G244" s="132" t="s">
        <v>1646</v>
      </c>
      <c r="H244" s="132">
        <v>9834255988</v>
      </c>
      <c r="I244" s="133" t="s">
        <v>1647</v>
      </c>
      <c r="J244" s="132"/>
      <c r="K244" s="132">
        <v>7</v>
      </c>
      <c r="L244" s="132">
        <v>7</v>
      </c>
      <c r="M244" s="132" t="s">
        <v>1648</v>
      </c>
      <c r="N244" s="132" t="s">
        <v>462</v>
      </c>
      <c r="O244" s="129"/>
      <c r="P244" s="132"/>
      <c r="Q244" s="132" t="s">
        <v>1649</v>
      </c>
      <c r="R244" s="129" t="s">
        <v>1650</v>
      </c>
      <c r="S244" s="129" t="s">
        <v>1201</v>
      </c>
      <c r="T244" s="153"/>
      <c r="U244" s="154"/>
      <c r="V244" s="126" t="s">
        <v>291</v>
      </c>
      <c r="W244" s="127"/>
      <c r="X244" s="127">
        <v>45762</v>
      </c>
      <c r="Y244" s="129"/>
      <c r="Z244" s="127"/>
      <c r="AA244" s="157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54">
        <f>IF(OR(X244="",C244=""),"",NETWORKDAYS.INTL(C244,X244,1,'HELPER(Dont Delete)'!A:A))</f>
        <v>1</v>
      </c>
      <c r="AQ244" s="54" t="str">
        <f>IF(OR(X244="",Y244=""),"",NETWORKDAYS.INTL(X244,Y244,1,'HELPER(Dont Delete)'!A:A))</f>
        <v/>
      </c>
      <c r="AR244" s="54" t="str">
        <f>IF(OR(Y244="",AA244=""),"",NETWORKDAYS.INTL(Y244,AA244,1,'HELPER(Dont Delete)'!A:A))</f>
        <v/>
      </c>
      <c r="AS244" s="129"/>
      <c r="AT244" s="129"/>
      <c r="AU244" s="129"/>
      <c r="AV244" s="129"/>
      <c r="AW244" s="126"/>
      <c r="AX244" s="127"/>
      <c r="AY244" s="127"/>
      <c r="AZ244" s="129"/>
      <c r="BA244" s="82"/>
      <c r="BB244" s="82"/>
      <c r="BC244" s="132"/>
      <c r="BD244" s="132"/>
      <c r="BE244" s="133"/>
      <c r="BF244" s="132"/>
      <c r="BG244" s="132"/>
      <c r="BH244" s="132"/>
      <c r="BI244" s="132"/>
      <c r="BJ244" s="132"/>
      <c r="BK244" s="129"/>
      <c r="BL244" s="132"/>
      <c r="BM244" s="132"/>
      <c r="BN244" s="129"/>
      <c r="BO244" s="129"/>
      <c r="BP244" s="153"/>
      <c r="BQ244" s="126"/>
      <c r="BR244" s="126"/>
      <c r="BS244" s="127"/>
      <c r="BT244" s="127"/>
      <c r="BU244" s="129"/>
      <c r="BV244" s="127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</row>
    <row r="245" spans="1:96">
      <c r="A245" s="126"/>
      <c r="B245" s="127">
        <v>45743</v>
      </c>
      <c r="C245" s="127">
        <v>45762</v>
      </c>
      <c r="D245" s="129" t="s">
        <v>122</v>
      </c>
      <c r="E245" s="82" t="s">
        <v>219</v>
      </c>
      <c r="F245" s="82" t="s">
        <v>220</v>
      </c>
      <c r="G245" s="132" t="s">
        <v>1651</v>
      </c>
      <c r="H245" s="132">
        <v>9510041598</v>
      </c>
      <c r="I245" s="133" t="s">
        <v>1652</v>
      </c>
      <c r="J245" s="132"/>
      <c r="K245" s="132">
        <v>9</v>
      </c>
      <c r="L245" s="132">
        <v>9</v>
      </c>
      <c r="M245" s="132" t="s">
        <v>1653</v>
      </c>
      <c r="N245" s="132" t="s">
        <v>756</v>
      </c>
      <c r="O245" s="129"/>
      <c r="P245" s="132"/>
      <c r="Q245" s="132" t="s">
        <v>1654</v>
      </c>
      <c r="R245" s="129" t="s">
        <v>1655</v>
      </c>
      <c r="S245" s="129" t="s">
        <v>1201</v>
      </c>
      <c r="T245" s="153"/>
      <c r="U245" s="154"/>
      <c r="V245" s="126" t="s">
        <v>291</v>
      </c>
      <c r="W245" s="127"/>
      <c r="X245" s="127">
        <v>45762</v>
      </c>
      <c r="Y245" s="129"/>
      <c r="Z245" s="127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54">
        <f>IF(OR(X245="",C245=""),"",NETWORKDAYS.INTL(C245,X245,1,'HELPER(Dont Delete)'!A:A))</f>
        <v>1</v>
      </c>
      <c r="AQ245" s="54" t="str">
        <f>IF(OR(X245="",Y245=""),"",NETWORKDAYS.INTL(X245,Y245,1,'HELPER(Dont Delete)'!A:A))</f>
        <v/>
      </c>
      <c r="AR245" s="54" t="str">
        <f>IF(OR(Y245="",AA245=""),"",NETWORKDAYS.INTL(Y245,AA245,1,'HELPER(Dont Delete)'!A:A))</f>
        <v/>
      </c>
      <c r="AS245" s="129"/>
      <c r="AT245" s="129"/>
      <c r="AU245" s="129"/>
      <c r="AV245" s="129"/>
      <c r="AW245" s="126"/>
      <c r="AX245" s="127"/>
      <c r="AY245" s="127"/>
      <c r="AZ245" s="129"/>
      <c r="BA245" s="82"/>
      <c r="BB245" s="82"/>
      <c r="BC245" s="132"/>
      <c r="BD245" s="132"/>
      <c r="BE245" s="133"/>
      <c r="BF245" s="132"/>
      <c r="BG245" s="132"/>
      <c r="BH245" s="132"/>
      <c r="BI245" s="132"/>
      <c r="BJ245" s="132"/>
      <c r="BK245" s="129"/>
      <c r="BL245" s="132"/>
      <c r="BM245" s="132"/>
      <c r="BN245" s="129"/>
      <c r="BO245" s="129"/>
      <c r="BP245" s="153"/>
      <c r="BQ245" s="126"/>
      <c r="BR245" s="126"/>
      <c r="BS245" s="127"/>
      <c r="BT245" s="127"/>
      <c r="BU245" s="129"/>
      <c r="BV245" s="127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</row>
    <row r="246" spans="1:96">
      <c r="A246" s="60"/>
      <c r="B246" s="108">
        <v>45743</v>
      </c>
      <c r="C246" s="127">
        <v>45763</v>
      </c>
      <c r="D246" s="60" t="s">
        <v>125</v>
      </c>
      <c r="E246" s="82" t="s">
        <v>219</v>
      </c>
      <c r="F246" s="82" t="s">
        <v>220</v>
      </c>
      <c r="G246" s="111" t="s">
        <v>1656</v>
      </c>
      <c r="H246" s="60">
        <v>9911883626</v>
      </c>
      <c r="I246" s="60" t="s">
        <v>1657</v>
      </c>
      <c r="J246" s="46"/>
      <c r="K246" s="60">
        <v>16</v>
      </c>
      <c r="L246" s="60">
        <v>16</v>
      </c>
      <c r="M246" s="60" t="s">
        <v>1658</v>
      </c>
      <c r="N246" s="60" t="s">
        <v>462</v>
      </c>
      <c r="O246" s="60" t="s">
        <v>1659</v>
      </c>
      <c r="P246" s="60" t="s">
        <v>352</v>
      </c>
      <c r="Q246" s="60" t="s">
        <v>1660</v>
      </c>
      <c r="R246" s="60" t="s">
        <v>68</v>
      </c>
      <c r="S246" s="60" t="s">
        <v>68</v>
      </c>
      <c r="T246" s="60"/>
      <c r="U246" s="87" t="s">
        <v>1301</v>
      </c>
      <c r="V246" s="126" t="s">
        <v>291</v>
      </c>
      <c r="W246" s="127" t="s">
        <v>1260</v>
      </c>
      <c r="X246" s="108">
        <v>45768</v>
      </c>
      <c r="Y246" s="108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54">
        <f>IF(OR(X246="",C246=""),"",NETWORKDAYS.INTL(C246,X246,1,'HELPER(Dont Delete)'!A:A))</f>
        <v>4</v>
      </c>
      <c r="AQ246" s="54" t="str">
        <f>IF(OR(X246="",Y246=""),"",NETWORKDAYS.INTL(X246,Y246,1,'HELPER(Dont Delete)'!A:A))</f>
        <v/>
      </c>
      <c r="AR246" s="54" t="str">
        <f>IF(OR(Y246="",AA246=""),"",NETWORKDAYS.INTL(Y246,AA246,1,'HELPER(Dont Delete)'!A:A))</f>
        <v/>
      </c>
      <c r="AS246" s="60"/>
      <c r="AT246" s="60"/>
      <c r="AU246" s="60"/>
      <c r="AV246" s="60"/>
      <c r="AW246" s="60"/>
      <c r="AX246" s="60"/>
      <c r="AY246" s="60"/>
      <c r="AZ246" s="60"/>
      <c r="BA246" s="87"/>
      <c r="BB246" s="87"/>
      <c r="BC246" s="60"/>
      <c r="BD246" s="60"/>
      <c r="BE246" s="60"/>
      <c r="BF246" s="60"/>
      <c r="BG246" s="60"/>
      <c r="BH246" s="60"/>
      <c r="BI246" s="60"/>
      <c r="BJ246" s="60"/>
      <c r="BK246" s="60"/>
      <c r="BL246" s="60"/>
      <c r="BM246" s="60"/>
      <c r="BN246" s="60"/>
      <c r="BO246" s="60"/>
      <c r="BP246" s="60"/>
      <c r="BQ246" s="60"/>
      <c r="BR246" s="60"/>
      <c r="BS246" s="60"/>
      <c r="BT246" s="60"/>
      <c r="BU246" s="60"/>
      <c r="BV246" s="60"/>
      <c r="BW246" s="60"/>
      <c r="BX246" s="60"/>
      <c r="BY246" s="60"/>
      <c r="BZ246" s="60"/>
      <c r="CA246" s="60"/>
      <c r="CB246" s="60"/>
      <c r="CC246" s="60"/>
      <c r="CD246" s="60"/>
      <c r="CE246" s="60"/>
      <c r="CF246" s="60"/>
      <c r="CG246" s="60"/>
      <c r="CH246" s="60"/>
      <c r="CI246" s="60"/>
      <c r="CJ246" s="60"/>
      <c r="CK246" s="60"/>
      <c r="CL246" s="60"/>
      <c r="CM246" s="60"/>
      <c r="CN246" s="60"/>
      <c r="CO246" s="60"/>
      <c r="CP246" s="60"/>
      <c r="CQ246" s="60"/>
      <c r="CR246" s="60"/>
    </row>
    <row r="247" spans="1:96">
      <c r="A247" s="60"/>
      <c r="B247" s="108">
        <v>45743</v>
      </c>
      <c r="C247" s="127">
        <v>45763</v>
      </c>
      <c r="D247" s="60" t="s">
        <v>125</v>
      </c>
      <c r="E247" s="82" t="s">
        <v>219</v>
      </c>
      <c r="F247" s="82" t="s">
        <v>220</v>
      </c>
      <c r="G247" s="111" t="s">
        <v>1661</v>
      </c>
      <c r="H247" s="60">
        <v>8860725457</v>
      </c>
      <c r="I247" s="60" t="s">
        <v>1662</v>
      </c>
      <c r="J247" s="46"/>
      <c r="K247" s="60">
        <v>13</v>
      </c>
      <c r="L247" s="60">
        <v>13</v>
      </c>
      <c r="M247" s="60" t="s">
        <v>1663</v>
      </c>
      <c r="N247" s="60" t="s">
        <v>1218</v>
      </c>
      <c r="O247" s="60" t="s">
        <v>580</v>
      </c>
      <c r="P247" s="60" t="s">
        <v>1664</v>
      </c>
      <c r="Q247" s="60" t="s">
        <v>1660</v>
      </c>
      <c r="R247" s="60" t="s">
        <v>68</v>
      </c>
      <c r="S247" s="60" t="s">
        <v>68</v>
      </c>
      <c r="T247" s="60"/>
      <c r="U247" s="87" t="s">
        <v>1301</v>
      </c>
      <c r="V247" s="126" t="s">
        <v>339</v>
      </c>
      <c r="W247" s="127" t="s">
        <v>1260</v>
      </c>
      <c r="X247" s="108">
        <v>45768</v>
      </c>
      <c r="Y247" s="108">
        <v>45772</v>
      </c>
      <c r="Z247" s="60" t="s">
        <v>340</v>
      </c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54">
        <f>IF(OR(X247="",C247=""),"",NETWORKDAYS.INTL(C247,X247,1,'HELPER(Dont Delete)'!A:A))</f>
        <v>4</v>
      </c>
      <c r="AQ247" s="54">
        <f>IF(OR(X247="",Y247=""),"",NETWORKDAYS.INTL(X247,Y247,1,'HELPER(Dont Delete)'!A:A))</f>
        <v>5</v>
      </c>
      <c r="AR247" s="54" t="str">
        <f>IF(OR(Y247="",AA247=""),"",NETWORKDAYS.INTL(Y247,AA247,1,'HELPER(Dont Delete)'!A:A))</f>
        <v/>
      </c>
      <c r="AS247" s="60"/>
      <c r="AT247" s="60"/>
      <c r="AU247" s="60"/>
      <c r="AV247" s="60"/>
      <c r="AW247" s="60"/>
      <c r="AX247" s="60"/>
      <c r="AY247" s="60"/>
      <c r="AZ247" s="60"/>
      <c r="BA247" s="87"/>
      <c r="BB247" s="87"/>
      <c r="BC247" s="60"/>
      <c r="BD247" s="60"/>
      <c r="BE247" s="60"/>
      <c r="BF247" s="60"/>
      <c r="BG247" s="60"/>
      <c r="BH247" s="60"/>
      <c r="BI247" s="60"/>
      <c r="BJ247" s="60"/>
      <c r="BK247" s="60"/>
      <c r="BL247" s="60"/>
      <c r="BM247" s="60"/>
      <c r="BN247" s="60"/>
      <c r="BO247" s="60"/>
      <c r="BP247" s="60"/>
      <c r="BQ247" s="60"/>
      <c r="BR247" s="60"/>
      <c r="BS247" s="60"/>
      <c r="BT247" s="60"/>
      <c r="BU247" s="60"/>
      <c r="BV247" s="60"/>
      <c r="BW247" s="60"/>
      <c r="BX247" s="60"/>
      <c r="BY247" s="60"/>
      <c r="BZ247" s="60"/>
      <c r="CA247" s="60"/>
      <c r="CB247" s="60"/>
      <c r="CC247" s="60"/>
      <c r="CD247" s="60"/>
      <c r="CE247" s="60"/>
      <c r="CF247" s="60"/>
      <c r="CG247" s="60"/>
      <c r="CH247" s="60"/>
      <c r="CI247" s="60"/>
      <c r="CJ247" s="60"/>
      <c r="CK247" s="60"/>
      <c r="CL247" s="60"/>
      <c r="CM247" s="60"/>
      <c r="CN247" s="60"/>
      <c r="CO247" s="60"/>
      <c r="CP247" s="60"/>
      <c r="CQ247" s="60"/>
      <c r="CR247" s="60"/>
    </row>
    <row r="248" spans="1:96">
      <c r="A248" s="87"/>
      <c r="B248" s="135">
        <v>45743</v>
      </c>
      <c r="C248" s="127">
        <v>45763</v>
      </c>
      <c r="D248" s="87" t="s">
        <v>125</v>
      </c>
      <c r="E248" s="82" t="s">
        <v>219</v>
      </c>
      <c r="F248" s="82" t="s">
        <v>220</v>
      </c>
      <c r="G248" s="140" t="s">
        <v>1665</v>
      </c>
      <c r="H248" s="87">
        <v>8347001188</v>
      </c>
      <c r="I248" s="87" t="s">
        <v>1666</v>
      </c>
      <c r="J248" s="141"/>
      <c r="K248" s="87">
        <v>12</v>
      </c>
      <c r="L248" s="87">
        <v>12</v>
      </c>
      <c r="M248" s="87" t="s">
        <v>1667</v>
      </c>
      <c r="N248" s="87" t="s">
        <v>462</v>
      </c>
      <c r="O248" s="87" t="s">
        <v>1668</v>
      </c>
      <c r="P248" s="87" t="s">
        <v>352</v>
      </c>
      <c r="Q248" s="87" t="s">
        <v>1660</v>
      </c>
      <c r="R248" s="87" t="s">
        <v>1669</v>
      </c>
      <c r="S248" s="87" t="s">
        <v>68</v>
      </c>
      <c r="T248" s="60"/>
      <c r="U248" s="87" t="s">
        <v>1301</v>
      </c>
      <c r="V248" s="126" t="s">
        <v>1529</v>
      </c>
      <c r="W248" s="127" t="s">
        <v>1260</v>
      </c>
      <c r="X248" s="108">
        <v>45768</v>
      </c>
      <c r="Y248" s="135">
        <v>45771</v>
      </c>
      <c r="Z248" s="87" t="s">
        <v>340</v>
      </c>
      <c r="AA248" s="167">
        <v>45776</v>
      </c>
      <c r="AB248" s="87" t="s">
        <v>600</v>
      </c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  <c r="AN248" s="87"/>
      <c r="AO248" s="87"/>
      <c r="AP248" s="54">
        <f>IF(OR(X248="",C248=""),"",NETWORKDAYS.INTL(C248,X248,1,'HELPER(Dont Delete)'!A:A))</f>
        <v>4</v>
      </c>
      <c r="AQ248" s="54">
        <f>IF(OR(X248="",Y248=""),"",NETWORKDAYS.INTL(X248,Y248,1,'HELPER(Dont Delete)'!A:A))</f>
        <v>4</v>
      </c>
      <c r="AR248" s="54">
        <f>IF(OR(Y248="",AA248=""),"",NETWORKDAYS.INTL(Y248,AA248,1,'HELPER(Dont Delete)'!A:A))</f>
        <v>4</v>
      </c>
      <c r="AS248" s="87"/>
      <c r="AT248" s="87"/>
      <c r="AU248" s="87"/>
      <c r="AV248" s="87"/>
      <c r="AW248" s="87"/>
      <c r="AX248" s="87"/>
      <c r="AY248" s="87"/>
      <c r="AZ248" s="87"/>
      <c r="BA248" s="87"/>
      <c r="BB248" s="87"/>
      <c r="BC248" s="87"/>
      <c r="BD248" s="87"/>
      <c r="BE248" s="87"/>
      <c r="BF248" s="87"/>
      <c r="BG248" s="87"/>
      <c r="BH248" s="87"/>
      <c r="BI248" s="87"/>
      <c r="BJ248" s="87"/>
      <c r="BK248" s="87"/>
      <c r="BL248" s="87"/>
      <c r="BM248" s="87"/>
      <c r="BN248" s="87"/>
      <c r="BO248" s="87"/>
      <c r="BP248" s="87"/>
      <c r="BQ248" s="87"/>
      <c r="BR248" s="87"/>
      <c r="BS248" s="87"/>
      <c r="BT248" s="87"/>
      <c r="BU248" s="87"/>
      <c r="BV248" s="87"/>
      <c r="BW248" s="87"/>
      <c r="BX248" s="87"/>
      <c r="BY248" s="87"/>
      <c r="BZ248" s="87"/>
      <c r="CA248" s="87"/>
      <c r="CB248" s="87"/>
      <c r="CC248" s="87"/>
      <c r="CD248" s="87"/>
      <c r="CE248" s="87"/>
      <c r="CF248" s="87"/>
      <c r="CG248" s="87"/>
      <c r="CH248" s="87"/>
      <c r="CI248" s="87"/>
      <c r="CJ248" s="87"/>
      <c r="CK248" s="87"/>
      <c r="CL248" s="87"/>
      <c r="CM248" s="87"/>
      <c r="CN248" s="87"/>
      <c r="CO248" s="87"/>
      <c r="CP248" s="87"/>
      <c r="CQ248" s="87"/>
      <c r="CR248" s="87"/>
    </row>
    <row r="249" spans="1:96">
      <c r="A249" s="87"/>
      <c r="B249" s="135">
        <v>45758</v>
      </c>
      <c r="C249" s="127">
        <v>45763</v>
      </c>
      <c r="D249" s="87" t="s">
        <v>199</v>
      </c>
      <c r="E249" s="82" t="s">
        <v>219</v>
      </c>
      <c r="F249" s="82" t="s">
        <v>220</v>
      </c>
      <c r="G249" s="140" t="s">
        <v>1670</v>
      </c>
      <c r="H249" s="87">
        <v>8709192607</v>
      </c>
      <c r="I249" s="87" t="s">
        <v>1671</v>
      </c>
      <c r="J249" s="141"/>
      <c r="K249" s="87">
        <v>25</v>
      </c>
      <c r="L249" s="87">
        <v>25</v>
      </c>
      <c r="M249" s="87" t="s">
        <v>1672</v>
      </c>
      <c r="N249" s="87" t="s">
        <v>236</v>
      </c>
      <c r="O249" s="87" t="s">
        <v>1673</v>
      </c>
      <c r="P249" s="87" t="s">
        <v>1674</v>
      </c>
      <c r="Q249" s="87" t="s">
        <v>41</v>
      </c>
      <c r="R249" s="87" t="s">
        <v>299</v>
      </c>
      <c r="S249" s="87" t="s">
        <v>1626</v>
      </c>
      <c r="T249" s="60"/>
      <c r="U249" s="87" t="s">
        <v>1301</v>
      </c>
      <c r="V249" s="126" t="s">
        <v>291</v>
      </c>
      <c r="W249" s="127"/>
      <c r="X249" s="108">
        <v>45776</v>
      </c>
      <c r="Y249" s="135"/>
      <c r="Z249" s="87"/>
      <c r="AA249" s="16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  <c r="AN249" s="87"/>
      <c r="AO249" s="87"/>
      <c r="AP249" s="54">
        <f>IF(OR(X249="",C249=""),"",NETWORKDAYS.INTL(C249,X249,1,'HELPER(Dont Delete)'!A:A))</f>
        <v>10</v>
      </c>
      <c r="AQ249" s="54"/>
      <c r="AR249" s="54"/>
      <c r="AS249" s="87"/>
      <c r="AT249" s="87"/>
      <c r="AU249" s="87"/>
      <c r="AV249" s="87"/>
      <c r="AW249" s="87"/>
      <c r="AX249" s="87"/>
      <c r="AY249" s="87"/>
      <c r="AZ249" s="87"/>
      <c r="BA249" s="87"/>
      <c r="BB249" s="87"/>
      <c r="BC249" s="87"/>
      <c r="BD249" s="87"/>
      <c r="BE249" s="87"/>
      <c r="BF249" s="87"/>
      <c r="BG249" s="87"/>
      <c r="BH249" s="87"/>
      <c r="BI249" s="87"/>
      <c r="BJ249" s="87"/>
      <c r="BK249" s="87"/>
      <c r="BL249" s="87"/>
      <c r="BM249" s="87"/>
      <c r="BN249" s="87"/>
      <c r="BO249" s="87"/>
      <c r="BP249" s="87"/>
      <c r="BQ249" s="87"/>
      <c r="BR249" s="87"/>
      <c r="BS249" s="87"/>
      <c r="BT249" s="87"/>
      <c r="BU249" s="87"/>
      <c r="BV249" s="87"/>
      <c r="BW249" s="87"/>
      <c r="BX249" s="87"/>
      <c r="BY249" s="87"/>
      <c r="BZ249" s="87"/>
      <c r="CA249" s="87"/>
      <c r="CB249" s="87"/>
      <c r="CC249" s="87"/>
      <c r="CD249" s="87"/>
      <c r="CE249" s="87"/>
      <c r="CF249" s="87"/>
      <c r="CG249" s="87"/>
      <c r="CH249" s="87"/>
      <c r="CI249" s="87"/>
      <c r="CJ249" s="87"/>
      <c r="CK249" s="87"/>
      <c r="CL249" s="87"/>
      <c r="CM249" s="87"/>
      <c r="CN249" s="87"/>
      <c r="CO249" s="87"/>
      <c r="CP249" s="87"/>
      <c r="CQ249" s="87"/>
      <c r="CR249" s="87"/>
    </row>
    <row r="250" spans="1:96">
      <c r="A250" s="87"/>
      <c r="B250" s="135">
        <v>45758</v>
      </c>
      <c r="C250" s="127">
        <v>45763</v>
      </c>
      <c r="D250" s="87" t="s">
        <v>199</v>
      </c>
      <c r="E250" s="82" t="s">
        <v>219</v>
      </c>
      <c r="F250" s="82" t="s">
        <v>220</v>
      </c>
      <c r="G250" s="140" t="s">
        <v>1675</v>
      </c>
      <c r="H250" s="87">
        <v>8378846109</v>
      </c>
      <c r="I250" s="87" t="s">
        <v>1676</v>
      </c>
      <c r="J250" s="141"/>
      <c r="K250" s="87">
        <v>18</v>
      </c>
      <c r="L250" s="87">
        <v>18</v>
      </c>
      <c r="M250" s="87" t="s">
        <v>1677</v>
      </c>
      <c r="N250" s="87" t="s">
        <v>1218</v>
      </c>
      <c r="O250" s="87" t="s">
        <v>1678</v>
      </c>
      <c r="P250" s="87" t="s">
        <v>1679</v>
      </c>
      <c r="Q250" s="87" t="s">
        <v>41</v>
      </c>
      <c r="R250" s="87" t="s">
        <v>1680</v>
      </c>
      <c r="S250" s="87" t="s">
        <v>1626</v>
      </c>
      <c r="T250" s="60"/>
      <c r="U250" s="87" t="s">
        <v>1301</v>
      </c>
      <c r="V250" s="126" t="s">
        <v>291</v>
      </c>
      <c r="W250" s="127"/>
      <c r="X250" s="108">
        <v>45776</v>
      </c>
      <c r="Y250" s="135"/>
      <c r="Z250" s="87"/>
      <c r="AA250" s="16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  <c r="AN250" s="87"/>
      <c r="AO250" s="87"/>
      <c r="AP250" s="54">
        <f>IF(OR(X250="",C250=""),"",NETWORKDAYS.INTL(C250,X250,1,'HELPER(Dont Delete)'!A:A))</f>
        <v>10</v>
      </c>
      <c r="AQ250" s="54"/>
      <c r="AR250" s="54"/>
      <c r="AS250" s="87"/>
      <c r="AT250" s="87"/>
      <c r="AU250" s="87"/>
      <c r="AV250" s="87"/>
      <c r="AW250" s="87"/>
      <c r="AX250" s="87"/>
      <c r="AY250" s="87"/>
      <c r="AZ250" s="87"/>
      <c r="BA250" s="87"/>
      <c r="BB250" s="87"/>
      <c r="BC250" s="87"/>
      <c r="BD250" s="87"/>
      <c r="BE250" s="87"/>
      <c r="BF250" s="87"/>
      <c r="BG250" s="87"/>
      <c r="BH250" s="87"/>
      <c r="BI250" s="87"/>
      <c r="BJ250" s="87"/>
      <c r="BK250" s="87"/>
      <c r="BL250" s="87"/>
      <c r="BM250" s="87"/>
      <c r="BN250" s="87"/>
      <c r="BO250" s="87"/>
      <c r="BP250" s="87"/>
      <c r="BQ250" s="87"/>
      <c r="BR250" s="87"/>
      <c r="BS250" s="87"/>
      <c r="BT250" s="87"/>
      <c r="BU250" s="87"/>
      <c r="BV250" s="87"/>
      <c r="BW250" s="87"/>
      <c r="BX250" s="87"/>
      <c r="BY250" s="87"/>
      <c r="BZ250" s="87"/>
      <c r="CA250" s="87"/>
      <c r="CB250" s="87"/>
      <c r="CC250" s="87"/>
      <c r="CD250" s="87"/>
      <c r="CE250" s="87"/>
      <c r="CF250" s="87"/>
      <c r="CG250" s="87"/>
      <c r="CH250" s="87"/>
      <c r="CI250" s="87"/>
      <c r="CJ250" s="87"/>
      <c r="CK250" s="87"/>
      <c r="CL250" s="87"/>
      <c r="CM250" s="87"/>
      <c r="CN250" s="87"/>
      <c r="CO250" s="87"/>
      <c r="CP250" s="87"/>
      <c r="CQ250" s="87"/>
      <c r="CR250" s="87"/>
    </row>
    <row r="251" spans="1:96" ht="18" customHeight="1">
      <c r="A251" s="154"/>
      <c r="B251" s="155">
        <v>45750</v>
      </c>
      <c r="C251" s="127">
        <v>45764</v>
      </c>
      <c r="D251" s="87" t="s">
        <v>157</v>
      </c>
      <c r="E251" s="82" t="s">
        <v>219</v>
      </c>
      <c r="F251" s="82" t="s">
        <v>220</v>
      </c>
      <c r="G251" s="156" t="s">
        <v>1681</v>
      </c>
      <c r="H251" s="156">
        <v>8287208542</v>
      </c>
      <c r="I251" s="162" t="s">
        <v>1682</v>
      </c>
      <c r="J251" s="156" t="s">
        <v>1683</v>
      </c>
      <c r="K251" s="156">
        <v>3</v>
      </c>
      <c r="L251" s="156">
        <v>3</v>
      </c>
      <c r="M251" s="156" t="s">
        <v>1684</v>
      </c>
      <c r="N251" s="156" t="s">
        <v>425</v>
      </c>
      <c r="O251" s="157"/>
      <c r="P251" s="156"/>
      <c r="Q251" s="156" t="s">
        <v>1173</v>
      </c>
      <c r="R251" s="157" t="s">
        <v>1685</v>
      </c>
      <c r="S251" s="157" t="s">
        <v>1201</v>
      </c>
      <c r="T251" s="153"/>
      <c r="U251" s="154" t="s">
        <v>1175</v>
      </c>
      <c r="V251" s="126" t="s">
        <v>231</v>
      </c>
      <c r="W251" s="127"/>
      <c r="X251" s="127">
        <v>45778</v>
      </c>
      <c r="Y251" s="166">
        <v>45779</v>
      </c>
      <c r="Z251" s="155" t="s">
        <v>232</v>
      </c>
      <c r="AA251" s="157"/>
      <c r="AB251" s="157"/>
      <c r="AC251" s="157"/>
      <c r="AD251" s="157"/>
      <c r="AE251" s="157"/>
      <c r="AF251" s="157"/>
      <c r="AG251" s="157"/>
      <c r="AH251" s="157"/>
      <c r="AI251" s="157"/>
      <c r="AJ251" s="157"/>
      <c r="AK251" s="157"/>
      <c r="AL251" s="157"/>
      <c r="AM251" s="157"/>
      <c r="AN251" s="157"/>
      <c r="AO251" s="157"/>
      <c r="AP251" s="54">
        <f>IF(OR(X251="",C251=""),"",NETWORKDAYS.INTL(C251,X251,1,'HELPER(Dont Delete)'!A:A))</f>
        <v>11</v>
      </c>
      <c r="AQ251" s="54">
        <f>IF(OR(X251="",Y251=""),"",NETWORKDAYS.INTL(X251,Y251,1,'HELPER(Dont Delete)'!A:A))</f>
        <v>2</v>
      </c>
      <c r="AR251" s="54" t="str">
        <f>IF(OR(Y251="",AA251=""),"",NETWORKDAYS.INTL(Y251,AA251,1,'HELPER(Dont Delete)'!A:A))</f>
        <v/>
      </c>
      <c r="AS251" s="157"/>
      <c r="AT251" s="157"/>
      <c r="AU251" s="157"/>
      <c r="AV251" s="157"/>
      <c r="AW251" s="154"/>
      <c r="AX251" s="155"/>
      <c r="AY251" s="155"/>
      <c r="AZ251" s="157"/>
      <c r="BA251" s="82"/>
      <c r="BB251" s="82"/>
      <c r="BC251" s="156"/>
      <c r="BD251" s="156"/>
      <c r="BE251" s="162"/>
      <c r="BF251" s="156"/>
      <c r="BG251" s="156"/>
      <c r="BH251" s="156"/>
      <c r="BI251" s="156"/>
      <c r="BJ251" s="156"/>
      <c r="BK251" s="157"/>
      <c r="BL251" s="156"/>
      <c r="BM251" s="156"/>
      <c r="BN251" s="157"/>
      <c r="BO251" s="157"/>
      <c r="BP251" s="164"/>
      <c r="BQ251" s="154"/>
      <c r="BR251" s="154"/>
      <c r="BS251" s="155"/>
      <c r="BT251" s="155"/>
      <c r="BU251" s="157"/>
      <c r="BV251" s="155"/>
      <c r="BW251" s="157"/>
      <c r="BX251" s="157"/>
      <c r="BY251" s="157"/>
      <c r="BZ251" s="157"/>
      <c r="CA251" s="157"/>
      <c r="CB251" s="157"/>
      <c r="CC251" s="157"/>
      <c r="CD251" s="157"/>
      <c r="CE251" s="157"/>
      <c r="CF251" s="157"/>
      <c r="CG251" s="157"/>
      <c r="CH251" s="157"/>
      <c r="CI251" s="157"/>
      <c r="CJ251" s="157"/>
      <c r="CK251" s="157"/>
      <c r="CL251" s="157"/>
      <c r="CM251" s="157"/>
      <c r="CN251" s="157"/>
      <c r="CO251" s="157"/>
      <c r="CP251" s="157"/>
      <c r="CQ251" s="157"/>
      <c r="CR251" s="157"/>
    </row>
    <row r="252" spans="1:96">
      <c r="A252" s="154"/>
      <c r="B252" s="155">
        <v>45750</v>
      </c>
      <c r="C252" s="127">
        <v>45764</v>
      </c>
      <c r="D252" s="87" t="s">
        <v>157</v>
      </c>
      <c r="E252" s="82" t="s">
        <v>219</v>
      </c>
      <c r="F252" s="82" t="s">
        <v>220</v>
      </c>
      <c r="G252" s="156" t="s">
        <v>1686</v>
      </c>
      <c r="H252" s="156">
        <v>9012627953</v>
      </c>
      <c r="I252" s="162" t="s">
        <v>1687</v>
      </c>
      <c r="J252" s="156" t="s">
        <v>1688</v>
      </c>
      <c r="K252" s="156">
        <v>2.5</v>
      </c>
      <c r="L252" s="156">
        <v>2.5</v>
      </c>
      <c r="M252" s="156" t="s">
        <v>1689</v>
      </c>
      <c r="N252" s="156" t="s">
        <v>425</v>
      </c>
      <c r="O252" s="157"/>
      <c r="P252" s="156"/>
      <c r="Q252" s="156" t="s">
        <v>1095</v>
      </c>
      <c r="R252" s="157" t="s">
        <v>1690</v>
      </c>
      <c r="S252" s="157" t="s">
        <v>1201</v>
      </c>
      <c r="T252" s="153"/>
      <c r="U252" s="154" t="s">
        <v>1175</v>
      </c>
      <c r="V252" s="126" t="s">
        <v>231</v>
      </c>
      <c r="W252" s="127"/>
      <c r="X252" s="127">
        <v>45778</v>
      </c>
      <c r="Y252" s="167">
        <v>45779</v>
      </c>
      <c r="Z252" s="155" t="s">
        <v>232</v>
      </c>
      <c r="AA252" s="157"/>
      <c r="AB252" s="157"/>
      <c r="AC252" s="157"/>
      <c r="AD252" s="157"/>
      <c r="AE252" s="157"/>
      <c r="AF252" s="157"/>
      <c r="AG252" s="157"/>
      <c r="AH252" s="157"/>
      <c r="AI252" s="157"/>
      <c r="AJ252" s="157"/>
      <c r="AK252" s="157"/>
      <c r="AL252" s="157"/>
      <c r="AM252" s="157"/>
      <c r="AN252" s="157"/>
      <c r="AO252" s="157"/>
      <c r="AP252" s="54">
        <f>IF(OR(X252="",C252=""),"",NETWORKDAYS.INTL(C252,X252,1,'HELPER(Dont Delete)'!A:A))</f>
        <v>11</v>
      </c>
      <c r="AQ252" s="54">
        <f>IF(OR(X252="",Y252=""),"",NETWORKDAYS.INTL(X252,Y252,1,'HELPER(Dont Delete)'!A:A))</f>
        <v>2</v>
      </c>
      <c r="AR252" s="54" t="str">
        <f>IF(OR(Y252="",AA252=""),"",NETWORKDAYS.INTL(Y252,AA252,1,'HELPER(Dont Delete)'!A:A))</f>
        <v/>
      </c>
      <c r="AS252" s="157"/>
      <c r="AT252" s="157"/>
      <c r="AU252" s="157"/>
      <c r="AV252" s="157"/>
      <c r="AW252" s="154"/>
      <c r="AX252" s="155"/>
      <c r="AY252" s="155"/>
      <c r="AZ252" s="157"/>
      <c r="BA252" s="82"/>
      <c r="BB252" s="82"/>
      <c r="BC252" s="156"/>
      <c r="BD252" s="156"/>
      <c r="BE252" s="162"/>
      <c r="BF252" s="156"/>
      <c r="BG252" s="156"/>
      <c r="BH252" s="156"/>
      <c r="BI252" s="156"/>
      <c r="BJ252" s="156"/>
      <c r="BK252" s="157"/>
      <c r="BL252" s="156"/>
      <c r="BM252" s="156"/>
      <c r="BN252" s="157"/>
      <c r="BO252" s="157"/>
      <c r="BP252" s="164"/>
      <c r="BQ252" s="154"/>
      <c r="BR252" s="154"/>
      <c r="BS252" s="155"/>
      <c r="BT252" s="155"/>
      <c r="BU252" s="157"/>
      <c r="BV252" s="155"/>
      <c r="BW252" s="157"/>
      <c r="BX252" s="157"/>
      <c r="BY252" s="157"/>
      <c r="BZ252" s="157"/>
      <c r="CA252" s="157"/>
      <c r="CB252" s="157"/>
      <c r="CC252" s="157"/>
      <c r="CD252" s="157"/>
      <c r="CE252" s="157"/>
      <c r="CF252" s="157"/>
      <c r="CG252" s="157"/>
      <c r="CH252" s="157"/>
      <c r="CI252" s="157"/>
      <c r="CJ252" s="157"/>
      <c r="CK252" s="157"/>
      <c r="CL252" s="157"/>
      <c r="CM252" s="157"/>
      <c r="CN252" s="157"/>
      <c r="CO252" s="157"/>
      <c r="CP252" s="157"/>
      <c r="CQ252" s="157"/>
      <c r="CR252" s="157"/>
    </row>
    <row r="253" spans="1:96">
      <c r="A253" s="154"/>
      <c r="B253" s="155">
        <v>45747</v>
      </c>
      <c r="C253" s="127">
        <v>45764</v>
      </c>
      <c r="D253" s="157" t="s">
        <v>1488</v>
      </c>
      <c r="E253" s="82" t="s">
        <v>219</v>
      </c>
      <c r="F253" s="82" t="s">
        <v>220</v>
      </c>
      <c r="G253" s="156" t="s">
        <v>1691</v>
      </c>
      <c r="H253" s="156">
        <v>8125341810</v>
      </c>
      <c r="I253" s="162" t="s">
        <v>1692</v>
      </c>
      <c r="J253" s="156"/>
      <c r="K253" s="156">
        <v>18</v>
      </c>
      <c r="L253" s="156">
        <v>18</v>
      </c>
      <c r="M253" s="156" t="s">
        <v>1693</v>
      </c>
      <c r="N253" s="156" t="s">
        <v>462</v>
      </c>
      <c r="O253" s="157" t="s">
        <v>1694</v>
      </c>
      <c r="P253" s="156" t="s">
        <v>365</v>
      </c>
      <c r="Q253" s="156" t="s">
        <v>307</v>
      </c>
      <c r="R253" s="157" t="s">
        <v>79</v>
      </c>
      <c r="S253" s="157" t="s">
        <v>42</v>
      </c>
      <c r="T253" s="153"/>
      <c r="U253" s="87" t="s">
        <v>1301</v>
      </c>
      <c r="V253" s="126" t="s">
        <v>1279</v>
      </c>
      <c r="W253" s="127"/>
      <c r="X253" s="127">
        <v>45765</v>
      </c>
      <c r="Y253" s="155"/>
      <c r="Z253" s="155"/>
      <c r="AA253" s="155"/>
      <c r="AB253" s="157"/>
      <c r="AC253" s="157"/>
      <c r="AD253" s="157"/>
      <c r="AE253" s="157"/>
      <c r="AF253" s="157"/>
      <c r="AG253" s="157"/>
      <c r="AH253" s="157"/>
      <c r="AI253" s="157"/>
      <c r="AJ253" s="157"/>
      <c r="AK253" s="157"/>
      <c r="AL253" s="157"/>
      <c r="AM253" s="157"/>
      <c r="AN253" s="157"/>
      <c r="AO253" s="157"/>
      <c r="AP253" s="54">
        <f>IF(OR(X253="",C253=""),"",NETWORKDAYS.INTL(C253,X253,1,'HELPER(Dont Delete)'!A:A))</f>
        <v>2</v>
      </c>
      <c r="AQ253" s="54" t="str">
        <f>IF(OR(X253="",Y253=""),"",NETWORKDAYS.INTL(X253,Y253,1,'HELPER(Dont Delete)'!A:A))</f>
        <v/>
      </c>
      <c r="AR253" s="54" t="str">
        <f>IF(OR(Y253="",AA253=""),"",NETWORKDAYS.INTL(Y253,AA253,1,'HELPER(Dont Delete)'!A:A))</f>
        <v/>
      </c>
      <c r="AS253" s="157"/>
      <c r="AT253" s="157"/>
      <c r="AU253" s="157"/>
      <c r="AV253" s="157"/>
      <c r="AW253" s="154"/>
      <c r="AX253" s="155"/>
      <c r="AY253" s="155"/>
      <c r="AZ253" s="157"/>
      <c r="BA253" s="82"/>
      <c r="BB253" s="82"/>
      <c r="BC253" s="156"/>
      <c r="BD253" s="156"/>
      <c r="BE253" s="162"/>
      <c r="BF253" s="156"/>
      <c r="BG253" s="156"/>
      <c r="BH253" s="156"/>
      <c r="BI253" s="156"/>
      <c r="BJ253" s="156"/>
      <c r="BK253" s="157"/>
      <c r="BL253" s="156"/>
      <c r="BM253" s="156"/>
      <c r="BN253" s="157"/>
      <c r="BO253" s="157"/>
      <c r="BP253" s="164"/>
      <c r="BQ253" s="154"/>
      <c r="BR253" s="154"/>
      <c r="BS253" s="155"/>
      <c r="BT253" s="155"/>
      <c r="BU253" s="157"/>
      <c r="BV253" s="155"/>
      <c r="BW253" s="157"/>
      <c r="BX253" s="157"/>
      <c r="BY253" s="157"/>
      <c r="BZ253" s="157"/>
      <c r="CA253" s="157"/>
      <c r="CB253" s="157"/>
      <c r="CC253" s="157"/>
      <c r="CD253" s="157"/>
      <c r="CE253" s="157"/>
      <c r="CF253" s="157"/>
      <c r="CG253" s="157"/>
      <c r="CH253" s="157"/>
      <c r="CI253" s="157"/>
      <c r="CJ253" s="157"/>
      <c r="CK253" s="157"/>
      <c r="CL253" s="157"/>
      <c r="CM253" s="157"/>
      <c r="CN253" s="157"/>
      <c r="CO253" s="157"/>
      <c r="CP253" s="157"/>
      <c r="CQ253" s="157"/>
      <c r="CR253" s="157"/>
    </row>
    <row r="254" spans="1:96">
      <c r="A254" s="154"/>
      <c r="B254" s="155">
        <v>45747</v>
      </c>
      <c r="C254" s="127">
        <v>45764</v>
      </c>
      <c r="D254" s="157" t="s">
        <v>1488</v>
      </c>
      <c r="E254" s="82" t="s">
        <v>219</v>
      </c>
      <c r="F254" s="82" t="s">
        <v>220</v>
      </c>
      <c r="G254" s="156" t="s">
        <v>1695</v>
      </c>
      <c r="H254" s="156">
        <v>7838856476</v>
      </c>
      <c r="I254" s="162" t="s">
        <v>1696</v>
      </c>
      <c r="J254" s="156"/>
      <c r="K254" s="156">
        <v>20</v>
      </c>
      <c r="L254" s="156">
        <v>20</v>
      </c>
      <c r="M254" s="156" t="s">
        <v>1697</v>
      </c>
      <c r="N254" s="156" t="s">
        <v>425</v>
      </c>
      <c r="O254" s="157" t="s">
        <v>1698</v>
      </c>
      <c r="P254" s="156" t="s">
        <v>1699</v>
      </c>
      <c r="Q254" s="156" t="s">
        <v>307</v>
      </c>
      <c r="R254" s="157" t="s">
        <v>290</v>
      </c>
      <c r="S254" s="157" t="s">
        <v>1700</v>
      </c>
      <c r="T254" s="153"/>
      <c r="U254" s="87" t="s">
        <v>1301</v>
      </c>
      <c r="V254" s="126" t="s">
        <v>758</v>
      </c>
      <c r="W254" s="127" t="s">
        <v>741</v>
      </c>
      <c r="X254" s="127">
        <v>45765</v>
      </c>
      <c r="Y254" s="155"/>
      <c r="Z254" s="155"/>
      <c r="AA254" s="155"/>
      <c r="AB254" s="157"/>
      <c r="AC254" s="157"/>
      <c r="AD254" s="157"/>
      <c r="AE254" s="157"/>
      <c r="AF254" s="157"/>
      <c r="AG254" s="157"/>
      <c r="AH254" s="157"/>
      <c r="AI254" s="157"/>
      <c r="AJ254" s="157"/>
      <c r="AK254" s="157"/>
      <c r="AL254" s="157"/>
      <c r="AM254" s="157"/>
      <c r="AN254" s="157"/>
      <c r="AO254" s="157"/>
      <c r="AP254" s="54">
        <f>IF(OR(X254="",C254=""),"",NETWORKDAYS.INTL(C254,X254,1,'HELPER(Dont Delete)'!A:A))</f>
        <v>2</v>
      </c>
      <c r="AQ254" s="54" t="str">
        <f>IF(OR(X254="",Y254=""),"",NETWORKDAYS.INTL(X254,Y254,1,'HELPER(Dont Delete)'!A:A))</f>
        <v/>
      </c>
      <c r="AR254" s="54" t="str">
        <f>IF(OR(Y254="",AA254=""),"",NETWORKDAYS.INTL(Y254,AA254,1,'HELPER(Dont Delete)'!A:A))</f>
        <v/>
      </c>
      <c r="AS254" s="157"/>
      <c r="AT254" s="157"/>
      <c r="AU254" s="157"/>
      <c r="AV254" s="157"/>
      <c r="AW254" s="154"/>
      <c r="AX254" s="155"/>
      <c r="AY254" s="155"/>
      <c r="AZ254" s="157"/>
      <c r="BA254" s="82"/>
      <c r="BB254" s="82"/>
      <c r="BC254" s="156"/>
      <c r="BD254" s="156"/>
      <c r="BE254" s="162"/>
      <c r="BF254" s="156"/>
      <c r="BG254" s="156"/>
      <c r="BH254" s="156"/>
      <c r="BI254" s="156"/>
      <c r="BJ254" s="156"/>
      <c r="BK254" s="157"/>
      <c r="BL254" s="156"/>
      <c r="BM254" s="156"/>
      <c r="BN254" s="157"/>
      <c r="BO254" s="157"/>
      <c r="BP254" s="164"/>
      <c r="BQ254" s="154"/>
      <c r="BR254" s="154"/>
      <c r="BS254" s="155"/>
      <c r="BT254" s="155"/>
      <c r="BU254" s="157"/>
      <c r="BV254" s="155"/>
      <c r="BW254" s="157"/>
      <c r="BX254" s="157"/>
      <c r="BY254" s="157"/>
      <c r="BZ254" s="157"/>
      <c r="CA254" s="157"/>
      <c r="CB254" s="157"/>
      <c r="CC254" s="157"/>
      <c r="CD254" s="157"/>
      <c r="CE254" s="157"/>
      <c r="CF254" s="157"/>
      <c r="CG254" s="157"/>
      <c r="CH254" s="157"/>
      <c r="CI254" s="157"/>
      <c r="CJ254" s="157"/>
      <c r="CK254" s="157"/>
      <c r="CL254" s="157"/>
      <c r="CM254" s="157"/>
      <c r="CN254" s="157"/>
      <c r="CO254" s="157"/>
      <c r="CP254" s="157"/>
      <c r="CQ254" s="157"/>
      <c r="CR254" s="157"/>
    </row>
    <row r="255" spans="1:96">
      <c r="A255" s="154"/>
      <c r="B255" s="155">
        <v>45747</v>
      </c>
      <c r="C255" s="127">
        <v>45764</v>
      </c>
      <c r="D255" s="157" t="s">
        <v>1488</v>
      </c>
      <c r="E255" s="82" t="s">
        <v>219</v>
      </c>
      <c r="F255" s="82" t="s">
        <v>220</v>
      </c>
      <c r="G255" s="156" t="s">
        <v>1701</v>
      </c>
      <c r="H255" s="156" t="s">
        <v>1702</v>
      </c>
      <c r="I255" s="162" t="s">
        <v>1703</v>
      </c>
      <c r="J255" s="156"/>
      <c r="K255" s="156">
        <v>12</v>
      </c>
      <c r="L255" s="156">
        <v>12</v>
      </c>
      <c r="M255" s="156" t="s">
        <v>1704</v>
      </c>
      <c r="N255" s="156" t="s">
        <v>462</v>
      </c>
      <c r="O255" s="157" t="s">
        <v>1705</v>
      </c>
      <c r="P255" s="156" t="s">
        <v>1674</v>
      </c>
      <c r="Q255" s="156" t="s">
        <v>1706</v>
      </c>
      <c r="R255" s="157" t="s">
        <v>228</v>
      </c>
      <c r="S255" s="157" t="s">
        <v>42</v>
      </c>
      <c r="T255" s="153"/>
      <c r="U255" s="87" t="s">
        <v>1301</v>
      </c>
      <c r="V255" s="126" t="s">
        <v>339</v>
      </c>
      <c r="W255" s="127" t="s">
        <v>1136</v>
      </c>
      <c r="X255" s="127">
        <v>45765</v>
      </c>
      <c r="Y255" s="155">
        <v>45770</v>
      </c>
      <c r="Z255" s="155" t="s">
        <v>340</v>
      </c>
      <c r="AA255" s="167">
        <v>45778</v>
      </c>
      <c r="AB255" s="157" t="s">
        <v>340</v>
      </c>
      <c r="AC255" s="157"/>
      <c r="AD255" s="157"/>
      <c r="AE255" s="157"/>
      <c r="AF255" s="157"/>
      <c r="AG255" s="157"/>
      <c r="AH255" s="157"/>
      <c r="AI255" s="157"/>
      <c r="AJ255" s="157"/>
      <c r="AK255" s="157"/>
      <c r="AL255" s="157"/>
      <c r="AM255" s="157"/>
      <c r="AN255" s="157"/>
      <c r="AO255" s="157"/>
      <c r="AP255" s="54">
        <f>IF(OR(X255="",C255=""),"",NETWORKDAYS.INTL(C255,X255,1,'HELPER(Dont Delete)'!A:A))</f>
        <v>2</v>
      </c>
      <c r="AQ255" s="54">
        <f>IF(OR(X255="",Y255=""),"",NETWORKDAYS.INTL(X255,Y255,1,'HELPER(Dont Delete)'!A:A))</f>
        <v>4</v>
      </c>
      <c r="AR255" s="54">
        <f>IF(OR(Y255="",AA255=""),"",NETWORKDAYS.INTL(Y255,AA255,1,'HELPER(Dont Delete)'!A:A))</f>
        <v>7</v>
      </c>
      <c r="AS255" s="157"/>
      <c r="AT255" s="157"/>
      <c r="AU255" s="157"/>
      <c r="AV255" s="157"/>
      <c r="AW255" s="154"/>
      <c r="AX255" s="155"/>
      <c r="AY255" s="155"/>
      <c r="AZ255" s="157"/>
      <c r="BA255" s="82"/>
      <c r="BB255" s="82"/>
      <c r="BC255" s="156"/>
      <c r="BD255" s="156"/>
      <c r="BE255" s="162"/>
      <c r="BF255" s="156"/>
      <c r="BG255" s="156"/>
      <c r="BH255" s="156"/>
      <c r="BI255" s="156"/>
      <c r="BJ255" s="156"/>
      <c r="BK255" s="157"/>
      <c r="BL255" s="156"/>
      <c r="BM255" s="156"/>
      <c r="BN255" s="157"/>
      <c r="BO255" s="157"/>
      <c r="BP255" s="164"/>
      <c r="BQ255" s="154"/>
      <c r="BR255" s="154"/>
      <c r="BS255" s="155"/>
      <c r="BT255" s="155"/>
      <c r="BU255" s="157"/>
      <c r="BV255" s="155"/>
      <c r="BW255" s="157"/>
      <c r="BX255" s="157"/>
      <c r="BY255" s="157"/>
      <c r="BZ255" s="157"/>
      <c r="CA255" s="157"/>
      <c r="CB255" s="157"/>
      <c r="CC255" s="157"/>
      <c r="CD255" s="157"/>
      <c r="CE255" s="157"/>
      <c r="CF255" s="157"/>
      <c r="CG255" s="157"/>
      <c r="CH255" s="157"/>
      <c r="CI255" s="157"/>
      <c r="CJ255" s="157"/>
      <c r="CK255" s="157"/>
      <c r="CL255" s="157"/>
      <c r="CM255" s="157"/>
      <c r="CN255" s="157"/>
      <c r="CO255" s="157"/>
      <c r="CP255" s="157"/>
      <c r="CQ255" s="157"/>
      <c r="CR255" s="157"/>
    </row>
    <row r="256" spans="1:96">
      <c r="A256" s="154"/>
      <c r="B256" s="155">
        <v>45747</v>
      </c>
      <c r="C256" s="127">
        <v>45765</v>
      </c>
      <c r="D256" s="157" t="s">
        <v>1707</v>
      </c>
      <c r="E256" s="82" t="s">
        <v>219</v>
      </c>
      <c r="F256" s="82" t="s">
        <v>220</v>
      </c>
      <c r="G256" s="156" t="s">
        <v>1708</v>
      </c>
      <c r="H256" s="156" t="s">
        <v>1709</v>
      </c>
      <c r="I256" s="162" t="s">
        <v>1710</v>
      </c>
      <c r="J256" s="156" t="s">
        <v>1711</v>
      </c>
      <c r="K256" s="156">
        <v>6</v>
      </c>
      <c r="L256" s="156">
        <v>6</v>
      </c>
      <c r="M256" s="156" t="s">
        <v>1712</v>
      </c>
      <c r="N256" s="156" t="s">
        <v>1713</v>
      </c>
      <c r="O256" s="157" t="s">
        <v>1714</v>
      </c>
      <c r="P256" s="156">
        <v>0.3</v>
      </c>
      <c r="Q256" s="156" t="s">
        <v>456</v>
      </c>
      <c r="R256" s="157" t="s">
        <v>228</v>
      </c>
      <c r="S256" s="157" t="s">
        <v>1715</v>
      </c>
      <c r="T256" s="153">
        <v>1</v>
      </c>
      <c r="U256" s="87" t="s">
        <v>1428</v>
      </c>
      <c r="V256" s="126" t="s">
        <v>599</v>
      </c>
      <c r="W256" s="127"/>
      <c r="X256" s="127">
        <v>45766</v>
      </c>
      <c r="Y256" s="155">
        <v>45770</v>
      </c>
      <c r="Z256" s="155" t="s">
        <v>340</v>
      </c>
      <c r="AA256" s="155">
        <v>45784</v>
      </c>
      <c r="AB256" s="157" t="s">
        <v>232</v>
      </c>
      <c r="AC256" s="157"/>
      <c r="AD256" s="157"/>
      <c r="AE256" s="157"/>
      <c r="AF256" s="157"/>
      <c r="AG256" s="157"/>
      <c r="AH256" s="157"/>
      <c r="AI256" s="157"/>
      <c r="AJ256" s="157"/>
      <c r="AK256" s="157"/>
      <c r="AL256" s="157"/>
      <c r="AM256" s="157"/>
      <c r="AN256" s="157"/>
      <c r="AO256" s="157"/>
      <c r="AP256" s="54">
        <f>IF(OR(X256="",C256=""),"",NETWORKDAYS.INTL(C256,X256,1,'HELPER(Dont Delete)'!A:A))</f>
        <v>1</v>
      </c>
      <c r="AQ256" s="54">
        <f>IF(OR(X256="",Y256=""),"",NETWORKDAYS.INTL(X256,Y256,1,'HELPER(Dont Delete)'!A:A))</f>
        <v>3</v>
      </c>
      <c r="AR256" s="54">
        <f>IF(OR(Y256="",AA256=""),"",NETWORKDAYS.INTL(Y256,AA256,1,'HELPER(Dont Delete)'!A:A))</f>
        <v>11</v>
      </c>
      <c r="AS256" s="157"/>
      <c r="AT256" s="157"/>
      <c r="AU256" s="157"/>
      <c r="AV256" s="157"/>
      <c r="AW256" s="154"/>
      <c r="AX256" s="155"/>
      <c r="AY256" s="155"/>
      <c r="AZ256" s="157"/>
      <c r="BA256" s="82"/>
      <c r="BB256" s="82"/>
      <c r="BC256" s="156"/>
      <c r="BD256" s="156"/>
      <c r="BE256" s="162"/>
      <c r="BF256" s="156"/>
      <c r="BG256" s="156"/>
      <c r="BH256" s="156"/>
      <c r="BI256" s="156"/>
      <c r="BJ256" s="156"/>
      <c r="BK256" s="157"/>
      <c r="BL256" s="156"/>
      <c r="BM256" s="156"/>
      <c r="BN256" s="157"/>
      <c r="BO256" s="157"/>
      <c r="BP256" s="164"/>
      <c r="BQ256" s="154"/>
      <c r="BR256" s="154"/>
      <c r="BS256" s="155"/>
      <c r="BT256" s="155"/>
      <c r="BU256" s="157"/>
      <c r="BV256" s="155"/>
      <c r="BW256" s="157"/>
      <c r="BX256" s="157"/>
      <c r="BY256" s="157"/>
      <c r="BZ256" s="157"/>
      <c r="CA256" s="157"/>
      <c r="CB256" s="157"/>
      <c r="CC256" s="157"/>
      <c r="CD256" s="157"/>
      <c r="CE256" s="157"/>
      <c r="CF256" s="157"/>
      <c r="CG256" s="157"/>
      <c r="CH256" s="157"/>
      <c r="CI256" s="157"/>
      <c r="CJ256" s="157"/>
      <c r="CK256" s="157"/>
      <c r="CL256" s="157"/>
      <c r="CM256" s="157"/>
      <c r="CN256" s="157"/>
      <c r="CO256" s="157"/>
      <c r="CP256" s="157"/>
      <c r="CQ256" s="157"/>
      <c r="CR256" s="157"/>
    </row>
    <row r="257" spans="1:96">
      <c r="A257" s="154"/>
      <c r="B257" s="155">
        <v>45747</v>
      </c>
      <c r="C257" s="127">
        <v>45765</v>
      </c>
      <c r="D257" s="157" t="s">
        <v>1707</v>
      </c>
      <c r="E257" s="82" t="s">
        <v>219</v>
      </c>
      <c r="F257" s="82" t="s">
        <v>220</v>
      </c>
      <c r="G257" s="156" t="s">
        <v>1716</v>
      </c>
      <c r="H257" s="156">
        <v>7784828241</v>
      </c>
      <c r="I257" s="162" t="s">
        <v>1717</v>
      </c>
      <c r="J257" s="156" t="s">
        <v>1226</v>
      </c>
      <c r="K257" s="156">
        <v>6</v>
      </c>
      <c r="L257" s="156">
        <v>6</v>
      </c>
      <c r="M257" s="156" t="s">
        <v>269</v>
      </c>
      <c r="N257" s="156" t="s">
        <v>1218</v>
      </c>
      <c r="O257" s="157" t="s">
        <v>1718</v>
      </c>
      <c r="P257" s="156">
        <v>0.3</v>
      </c>
      <c r="Q257" s="156" t="s">
        <v>1719</v>
      </c>
      <c r="R257" s="157" t="s">
        <v>1720</v>
      </c>
      <c r="S257" s="157" t="s">
        <v>1715</v>
      </c>
      <c r="T257" s="153">
        <v>2</v>
      </c>
      <c r="U257" s="87" t="s">
        <v>1428</v>
      </c>
      <c r="V257" s="126" t="s">
        <v>231</v>
      </c>
      <c r="W257" s="127"/>
      <c r="X257" s="127">
        <v>45766</v>
      </c>
      <c r="Y257" s="155">
        <v>45769</v>
      </c>
      <c r="Z257" s="155" t="s">
        <v>232</v>
      </c>
      <c r="AA257" s="155"/>
      <c r="AB257" s="157"/>
      <c r="AC257" s="157"/>
      <c r="AD257" s="157"/>
      <c r="AE257" s="157"/>
      <c r="AF257" s="157"/>
      <c r="AG257" s="157"/>
      <c r="AH257" s="157"/>
      <c r="AI257" s="157"/>
      <c r="AJ257" s="157"/>
      <c r="AK257" s="157"/>
      <c r="AL257" s="157"/>
      <c r="AM257" s="157"/>
      <c r="AN257" s="157"/>
      <c r="AO257" s="157"/>
      <c r="AP257" s="54">
        <f>IF(OR(X257="",C257=""),"",NETWORKDAYS.INTL(C257,X257,1,'HELPER(Dont Delete)'!A:A))</f>
        <v>1</v>
      </c>
      <c r="AQ257" s="54">
        <f>IF(OR(X257="",Y257=""),"",NETWORKDAYS.INTL(X257,Y257,1,'HELPER(Dont Delete)'!A:A))</f>
        <v>2</v>
      </c>
      <c r="AR257" s="54" t="str">
        <f>IF(OR(Y257="",AA257=""),"",NETWORKDAYS.INTL(Y257,AA257,1,'HELPER(Dont Delete)'!A:A))</f>
        <v/>
      </c>
      <c r="AS257" s="157"/>
      <c r="AT257" s="157"/>
      <c r="AU257" s="157"/>
      <c r="AV257" s="157"/>
      <c r="AW257" s="154"/>
      <c r="AX257" s="155"/>
      <c r="AY257" s="155"/>
      <c r="AZ257" s="157"/>
      <c r="BA257" s="82"/>
      <c r="BB257" s="82"/>
      <c r="BC257" s="156"/>
      <c r="BD257" s="156"/>
      <c r="BE257" s="162"/>
      <c r="BF257" s="156"/>
      <c r="BG257" s="156"/>
      <c r="BH257" s="156"/>
      <c r="BI257" s="156"/>
      <c r="BJ257" s="156"/>
      <c r="BK257" s="157"/>
      <c r="BL257" s="156"/>
      <c r="BM257" s="156"/>
      <c r="BN257" s="157"/>
      <c r="BO257" s="157"/>
      <c r="BP257" s="164"/>
      <c r="BQ257" s="154"/>
      <c r="BR257" s="154"/>
      <c r="BS257" s="155"/>
      <c r="BT257" s="155"/>
      <c r="BU257" s="157"/>
      <c r="BV257" s="155"/>
      <c r="BW257" s="157"/>
      <c r="BX257" s="157"/>
      <c r="BY257" s="157"/>
      <c r="BZ257" s="157"/>
      <c r="CA257" s="157"/>
      <c r="CB257" s="157"/>
      <c r="CC257" s="157"/>
      <c r="CD257" s="157"/>
      <c r="CE257" s="157"/>
      <c r="CF257" s="157"/>
      <c r="CG257" s="157"/>
      <c r="CH257" s="157"/>
      <c r="CI257" s="157"/>
      <c r="CJ257" s="157"/>
      <c r="CK257" s="157"/>
      <c r="CL257" s="157"/>
      <c r="CM257" s="157"/>
      <c r="CN257" s="157"/>
      <c r="CO257" s="157"/>
      <c r="CP257" s="157"/>
      <c r="CQ257" s="157"/>
      <c r="CR257" s="157"/>
    </row>
    <row r="258" spans="1:96">
      <c r="A258" s="154"/>
      <c r="B258" s="155">
        <v>45747</v>
      </c>
      <c r="C258" s="127">
        <v>45765</v>
      </c>
      <c r="D258" s="157" t="s">
        <v>1707</v>
      </c>
      <c r="E258" s="82" t="s">
        <v>219</v>
      </c>
      <c r="F258" s="82" t="s">
        <v>220</v>
      </c>
      <c r="G258" s="156" t="s">
        <v>1721</v>
      </c>
      <c r="H258" s="156" t="s">
        <v>1722</v>
      </c>
      <c r="I258" s="162" t="s">
        <v>1723</v>
      </c>
      <c r="J258" s="156" t="s">
        <v>1226</v>
      </c>
      <c r="K258" s="156">
        <v>10</v>
      </c>
      <c r="L258" s="156">
        <v>4</v>
      </c>
      <c r="M258" s="156" t="s">
        <v>1724</v>
      </c>
      <c r="N258" s="156" t="s">
        <v>1725</v>
      </c>
      <c r="O258" s="157" t="s">
        <v>1726</v>
      </c>
      <c r="P258" s="156">
        <v>0.2</v>
      </c>
      <c r="Q258" s="156" t="s">
        <v>208</v>
      </c>
      <c r="R258" s="157" t="s">
        <v>64</v>
      </c>
      <c r="S258" s="157" t="s">
        <v>1715</v>
      </c>
      <c r="T258" s="153">
        <v>2.5</v>
      </c>
      <c r="U258" s="87" t="s">
        <v>1428</v>
      </c>
      <c r="V258" s="126" t="s">
        <v>291</v>
      </c>
      <c r="W258" s="127"/>
      <c r="X258" s="127">
        <v>45766</v>
      </c>
      <c r="Y258" s="155"/>
      <c r="Z258" s="155"/>
      <c r="AA258" s="155"/>
      <c r="AB258" s="157"/>
      <c r="AC258" s="157"/>
      <c r="AD258" s="157"/>
      <c r="AE258" s="157"/>
      <c r="AF258" s="157"/>
      <c r="AG258" s="157"/>
      <c r="AH258" s="157"/>
      <c r="AI258" s="157"/>
      <c r="AJ258" s="157"/>
      <c r="AK258" s="157"/>
      <c r="AL258" s="157"/>
      <c r="AM258" s="157"/>
      <c r="AN258" s="157"/>
      <c r="AO258" s="157"/>
      <c r="AP258" s="54">
        <f>IF(OR(X258="",C258=""),"",NETWORKDAYS.INTL(C258,X258,1,'HELPER(Dont Delete)'!A:A))</f>
        <v>1</v>
      </c>
      <c r="AQ258" s="54" t="str">
        <f>IF(OR(X258="",Y258=""),"",NETWORKDAYS.INTL(X258,Y258,1,'HELPER(Dont Delete)'!A:A))</f>
        <v/>
      </c>
      <c r="AR258" s="54" t="str">
        <f>IF(OR(Y258="",AA258=""),"",NETWORKDAYS.INTL(Y258,AA258,1,'HELPER(Dont Delete)'!A:A))</f>
        <v/>
      </c>
      <c r="AS258" s="157"/>
      <c r="AT258" s="157"/>
      <c r="AU258" s="157"/>
      <c r="AV258" s="157"/>
      <c r="AW258" s="154"/>
      <c r="AX258" s="155"/>
      <c r="AY258" s="155"/>
      <c r="AZ258" s="157"/>
      <c r="BA258" s="82"/>
      <c r="BB258" s="82"/>
      <c r="BC258" s="156"/>
      <c r="BD258" s="156"/>
      <c r="BE258" s="162"/>
      <c r="BF258" s="156"/>
      <c r="BG258" s="156"/>
      <c r="BH258" s="156"/>
      <c r="BI258" s="156"/>
      <c r="BJ258" s="156"/>
      <c r="BK258" s="157"/>
      <c r="BL258" s="156"/>
      <c r="BM258" s="156"/>
      <c r="BN258" s="157"/>
      <c r="BO258" s="157"/>
      <c r="BP258" s="164"/>
      <c r="BQ258" s="154"/>
      <c r="BR258" s="154"/>
      <c r="BS258" s="155"/>
      <c r="BT258" s="155"/>
      <c r="BU258" s="157"/>
      <c r="BV258" s="155"/>
      <c r="BW258" s="157"/>
      <c r="BX258" s="157"/>
      <c r="BY258" s="157"/>
      <c r="BZ258" s="157"/>
      <c r="CA258" s="157"/>
      <c r="CB258" s="157"/>
      <c r="CC258" s="157"/>
      <c r="CD258" s="157"/>
      <c r="CE258" s="157"/>
      <c r="CF258" s="157"/>
      <c r="CG258" s="157"/>
      <c r="CH258" s="157"/>
      <c r="CI258" s="157"/>
      <c r="CJ258" s="157"/>
      <c r="CK258" s="157"/>
      <c r="CL258" s="157"/>
      <c r="CM258" s="157"/>
      <c r="CN258" s="157"/>
      <c r="CO258" s="157"/>
      <c r="CP258" s="157"/>
      <c r="CQ258" s="157"/>
      <c r="CR258" s="157"/>
    </row>
    <row r="259" spans="1:96">
      <c r="A259" s="87"/>
      <c r="B259" s="135">
        <v>45758</v>
      </c>
      <c r="C259" s="127">
        <v>45766</v>
      </c>
      <c r="D259" s="87" t="s">
        <v>199</v>
      </c>
      <c r="E259" s="82" t="s">
        <v>219</v>
      </c>
      <c r="F259" s="82" t="s">
        <v>220</v>
      </c>
      <c r="G259" s="140" t="s">
        <v>1727</v>
      </c>
      <c r="H259" s="87">
        <v>9427688639</v>
      </c>
      <c r="I259" s="87" t="s">
        <v>1728</v>
      </c>
      <c r="J259" s="141"/>
      <c r="K259" s="87">
        <v>22</v>
      </c>
      <c r="L259" s="87">
        <v>22</v>
      </c>
      <c r="M259" s="87" t="s">
        <v>1729</v>
      </c>
      <c r="N259" s="87" t="s">
        <v>462</v>
      </c>
      <c r="O259" s="87" t="s">
        <v>1730</v>
      </c>
      <c r="P259" s="87" t="s">
        <v>1731</v>
      </c>
      <c r="Q259" s="87" t="s">
        <v>456</v>
      </c>
      <c r="R259" s="87" t="s">
        <v>1680</v>
      </c>
      <c r="S259" s="87" t="s">
        <v>42</v>
      </c>
      <c r="T259" s="60"/>
      <c r="U259" s="87" t="s">
        <v>271</v>
      </c>
      <c r="V259" s="126" t="s">
        <v>758</v>
      </c>
      <c r="W259" s="127" t="s">
        <v>1454</v>
      </c>
      <c r="X259" s="108">
        <v>45777</v>
      </c>
      <c r="Y259" s="135">
        <v>45786</v>
      </c>
      <c r="Z259" s="87" t="s">
        <v>1454</v>
      </c>
      <c r="AA259" s="16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  <c r="AO259" s="87"/>
      <c r="AP259" s="54">
        <f>IF(OR(X259="",C259=""),"",NETWORKDAYS.INTL(C259,X259,1,'HELPER(Dont Delete)'!A:A))</f>
        <v>8</v>
      </c>
      <c r="AQ259" s="54"/>
      <c r="AR259" s="54"/>
      <c r="AS259" s="87"/>
      <c r="AT259" s="87"/>
      <c r="AU259" s="87"/>
      <c r="AV259" s="87"/>
      <c r="AW259" s="87"/>
      <c r="AX259" s="87"/>
      <c r="AY259" s="87"/>
      <c r="AZ259" s="87"/>
      <c r="BA259" s="87"/>
      <c r="BB259" s="87"/>
      <c r="BC259" s="87"/>
      <c r="BD259" s="87"/>
      <c r="BE259" s="87"/>
      <c r="BF259" s="87"/>
      <c r="BG259" s="87"/>
      <c r="BH259" s="87"/>
      <c r="BI259" s="87"/>
      <c r="BJ259" s="87"/>
      <c r="BK259" s="87"/>
      <c r="BL259" s="87"/>
      <c r="BM259" s="87"/>
      <c r="BN259" s="87"/>
      <c r="BO259" s="87"/>
      <c r="BP259" s="87"/>
      <c r="BQ259" s="87"/>
      <c r="BR259" s="87"/>
      <c r="BS259" s="87"/>
      <c r="BT259" s="87"/>
      <c r="BU259" s="87"/>
      <c r="BV259" s="87"/>
      <c r="BW259" s="87"/>
      <c r="BX259" s="87"/>
      <c r="BY259" s="87"/>
      <c r="BZ259" s="87"/>
      <c r="CA259" s="87"/>
      <c r="CB259" s="87"/>
      <c r="CC259" s="87"/>
      <c r="CD259" s="87"/>
      <c r="CE259" s="87"/>
      <c r="CF259" s="87"/>
      <c r="CG259" s="87"/>
      <c r="CH259" s="87"/>
      <c r="CI259" s="87"/>
      <c r="CJ259" s="87"/>
      <c r="CK259" s="87"/>
      <c r="CL259" s="87"/>
      <c r="CM259" s="87"/>
      <c r="CN259" s="87"/>
      <c r="CO259" s="87"/>
      <c r="CP259" s="87"/>
      <c r="CQ259" s="87"/>
      <c r="CR259" s="87"/>
    </row>
    <row r="260" spans="1:96">
      <c r="A260" s="87"/>
      <c r="B260" s="135">
        <v>45758</v>
      </c>
      <c r="C260" s="127">
        <v>45766</v>
      </c>
      <c r="D260" s="87" t="s">
        <v>199</v>
      </c>
      <c r="E260" s="82" t="s">
        <v>219</v>
      </c>
      <c r="F260" s="82" t="s">
        <v>220</v>
      </c>
      <c r="G260" s="140" t="s">
        <v>1732</v>
      </c>
      <c r="H260" s="87">
        <v>9992929006</v>
      </c>
      <c r="I260" s="87" t="s">
        <v>1733</v>
      </c>
      <c r="J260" s="141"/>
      <c r="K260" s="87">
        <v>19</v>
      </c>
      <c r="L260" s="87">
        <v>19</v>
      </c>
      <c r="M260" s="87" t="s">
        <v>1734</v>
      </c>
      <c r="N260" s="87" t="s">
        <v>1218</v>
      </c>
      <c r="O260" s="87" t="s">
        <v>192</v>
      </c>
      <c r="P260" s="87" t="s">
        <v>1499</v>
      </c>
      <c r="Q260" s="87" t="s">
        <v>1735</v>
      </c>
      <c r="R260" s="87" t="s">
        <v>1736</v>
      </c>
      <c r="S260" s="87" t="s">
        <v>42</v>
      </c>
      <c r="T260" s="60"/>
      <c r="U260" s="87" t="s">
        <v>1301</v>
      </c>
      <c r="V260" s="126" t="s">
        <v>1308</v>
      </c>
      <c r="W260" s="127"/>
      <c r="X260" s="108">
        <v>45777</v>
      </c>
      <c r="Y260" s="135"/>
      <c r="Z260" s="87"/>
      <c r="AA260" s="16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  <c r="AN260" s="87"/>
      <c r="AO260" s="87"/>
      <c r="AP260" s="54">
        <f>IF(OR(X260="",C260=""),"",NETWORKDAYS.INTL(C260,X260,1,'HELPER(Dont Delete)'!A:A))</f>
        <v>8</v>
      </c>
      <c r="AQ260" s="54"/>
      <c r="AR260" s="54"/>
      <c r="AS260" s="87"/>
      <c r="AT260" s="87"/>
      <c r="AU260" s="87"/>
      <c r="AV260" s="87"/>
      <c r="AW260" s="87"/>
      <c r="AX260" s="87"/>
      <c r="AY260" s="87"/>
      <c r="AZ260" s="87"/>
      <c r="BA260" s="87"/>
      <c r="BB260" s="87"/>
      <c r="BC260" s="87"/>
      <c r="BD260" s="87"/>
      <c r="BE260" s="87"/>
      <c r="BF260" s="87"/>
      <c r="BG260" s="87"/>
      <c r="BH260" s="87"/>
      <c r="BI260" s="87"/>
      <c r="BJ260" s="87"/>
      <c r="BK260" s="87"/>
      <c r="BL260" s="87"/>
      <c r="BM260" s="87"/>
      <c r="BN260" s="87"/>
      <c r="BO260" s="87"/>
      <c r="BP260" s="87"/>
      <c r="BQ260" s="87"/>
      <c r="BR260" s="87"/>
      <c r="BS260" s="87"/>
      <c r="BT260" s="87"/>
      <c r="BU260" s="87"/>
      <c r="BV260" s="87"/>
      <c r="BW260" s="87"/>
      <c r="BX260" s="87"/>
      <c r="BY260" s="87"/>
      <c r="BZ260" s="87"/>
      <c r="CA260" s="87"/>
      <c r="CB260" s="87"/>
      <c r="CC260" s="87"/>
      <c r="CD260" s="87"/>
      <c r="CE260" s="87"/>
      <c r="CF260" s="87"/>
      <c r="CG260" s="87"/>
      <c r="CH260" s="87"/>
      <c r="CI260" s="87"/>
      <c r="CJ260" s="87"/>
      <c r="CK260" s="87"/>
      <c r="CL260" s="87"/>
      <c r="CM260" s="87"/>
      <c r="CN260" s="87"/>
      <c r="CO260" s="87"/>
      <c r="CP260" s="87"/>
      <c r="CQ260" s="87"/>
      <c r="CR260" s="87"/>
    </row>
    <row r="261" spans="1:96">
      <c r="A261" s="87"/>
      <c r="B261" s="108">
        <v>45758</v>
      </c>
      <c r="C261" s="127">
        <v>45766</v>
      </c>
      <c r="D261" s="60" t="s">
        <v>199</v>
      </c>
      <c r="E261" s="82" t="s">
        <v>219</v>
      </c>
      <c r="F261" s="82" t="s">
        <v>220</v>
      </c>
      <c r="G261" s="111" t="s">
        <v>1737</v>
      </c>
      <c r="H261" s="181">
        <v>8610867239</v>
      </c>
      <c r="I261" s="53" t="s">
        <v>1738</v>
      </c>
      <c r="J261" s="46"/>
      <c r="K261" s="181">
        <v>23</v>
      </c>
      <c r="L261" s="181">
        <v>23</v>
      </c>
      <c r="M261" s="181" t="s">
        <v>1739</v>
      </c>
      <c r="N261" s="181" t="s">
        <v>462</v>
      </c>
      <c r="O261" s="181" t="s">
        <v>1740</v>
      </c>
      <c r="P261" s="181" t="s">
        <v>1741</v>
      </c>
      <c r="Q261" s="181" t="s">
        <v>41</v>
      </c>
      <c r="R261" s="181" t="s">
        <v>1742</v>
      </c>
      <c r="S261" s="181" t="s">
        <v>42</v>
      </c>
      <c r="T261" s="60"/>
      <c r="U261" s="87" t="s">
        <v>1301</v>
      </c>
      <c r="V261" s="126" t="s">
        <v>291</v>
      </c>
      <c r="W261" s="127"/>
      <c r="X261" s="108">
        <v>45777</v>
      </c>
      <c r="Y261" s="135"/>
      <c r="Z261" s="87"/>
      <c r="AA261" s="16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  <c r="AN261" s="87"/>
      <c r="AO261" s="87"/>
      <c r="AP261" s="54">
        <f>IF(OR(X261="",C261=""),"",NETWORKDAYS.INTL(C261,X261,1,'HELPER(Dont Delete)'!A:A))</f>
        <v>8</v>
      </c>
      <c r="AQ261" s="54"/>
      <c r="AR261" s="54"/>
      <c r="AS261" s="87"/>
      <c r="AT261" s="87"/>
      <c r="AU261" s="87"/>
      <c r="AV261" s="87"/>
      <c r="AW261" s="87"/>
      <c r="AX261" s="87"/>
      <c r="AY261" s="87"/>
      <c r="AZ261" s="87"/>
      <c r="BA261" s="87"/>
      <c r="BB261" s="87"/>
      <c r="BC261" s="87"/>
      <c r="BD261" s="87"/>
      <c r="BE261" s="87"/>
      <c r="BF261" s="87"/>
      <c r="BG261" s="87"/>
      <c r="BH261" s="87"/>
      <c r="BI261" s="87"/>
      <c r="BJ261" s="87"/>
      <c r="BK261" s="87"/>
      <c r="BL261" s="87"/>
      <c r="BM261" s="87"/>
      <c r="BN261" s="87"/>
      <c r="BO261" s="87"/>
      <c r="BP261" s="87"/>
      <c r="BQ261" s="87"/>
      <c r="BR261" s="87"/>
      <c r="BS261" s="87"/>
      <c r="BT261" s="87"/>
      <c r="BU261" s="87"/>
      <c r="BV261" s="87"/>
      <c r="BW261" s="87"/>
      <c r="BX261" s="87"/>
      <c r="BY261" s="87"/>
      <c r="BZ261" s="87"/>
      <c r="CA261" s="87"/>
      <c r="CB261" s="87"/>
      <c r="CC261" s="87"/>
      <c r="CD261" s="87"/>
      <c r="CE261" s="87"/>
      <c r="CF261" s="87"/>
      <c r="CG261" s="87"/>
      <c r="CH261" s="87"/>
      <c r="CI261" s="87"/>
      <c r="CJ261" s="87"/>
      <c r="CK261" s="87"/>
      <c r="CL261" s="87"/>
      <c r="CM261" s="87"/>
      <c r="CN261" s="87"/>
      <c r="CO261" s="87"/>
      <c r="CP261" s="87"/>
      <c r="CQ261" s="87"/>
      <c r="CR261" s="87"/>
    </row>
    <row r="262" spans="1:96">
      <c r="A262" s="87"/>
      <c r="B262" s="135">
        <v>45747</v>
      </c>
      <c r="C262" s="128">
        <v>45770</v>
      </c>
      <c r="D262" s="60" t="s">
        <v>141</v>
      </c>
      <c r="E262" s="82" t="s">
        <v>219</v>
      </c>
      <c r="F262" s="82" t="s">
        <v>220</v>
      </c>
      <c r="G262" s="140" t="s">
        <v>1743</v>
      </c>
      <c r="H262" s="87">
        <v>8318726257</v>
      </c>
      <c r="I262" s="87" t="s">
        <v>1744</v>
      </c>
      <c r="J262" s="141" t="s">
        <v>1745</v>
      </c>
      <c r="K262" s="87" t="s">
        <v>363</v>
      </c>
      <c r="L262" s="87">
        <v>12</v>
      </c>
      <c r="M262" s="87" t="s">
        <v>1746</v>
      </c>
      <c r="N262" s="87" t="s">
        <v>1747</v>
      </c>
      <c r="O262" s="87" t="s">
        <v>1373</v>
      </c>
      <c r="P262" s="87" t="s">
        <v>1748</v>
      </c>
      <c r="Q262" s="87" t="s">
        <v>1749</v>
      </c>
      <c r="R262" s="87" t="s">
        <v>1750</v>
      </c>
      <c r="S262" s="87" t="s">
        <v>58</v>
      </c>
      <c r="T262" s="60">
        <v>1.1000000000000001</v>
      </c>
      <c r="U262" s="87" t="s">
        <v>1447</v>
      </c>
      <c r="V262" s="126" t="s">
        <v>291</v>
      </c>
      <c r="W262" s="127"/>
      <c r="X262" s="108">
        <v>45772</v>
      </c>
      <c r="Y262" s="135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  <c r="AO262" s="87"/>
      <c r="AP262" s="54">
        <f>IF(OR(X262="",C262=""),"",NETWORKDAYS.INTL(C262,X262,1,'HELPER(Dont Delete)'!A:A))</f>
        <v>3</v>
      </c>
      <c r="AQ262" s="54" t="str">
        <f>IF(OR(X262="",Y262=""),"",NETWORKDAYS.INTL(X262,Y262,1,'HELPER(Dont Delete)'!A:A))</f>
        <v/>
      </c>
      <c r="AR262" s="54" t="str">
        <f>IF(OR(Y262="",AA262=""),"",NETWORKDAYS.INTL(Y262,AA262,1,'HELPER(Dont Delete)'!A:A))</f>
        <v/>
      </c>
      <c r="AS262" s="87"/>
      <c r="AT262" s="87"/>
      <c r="AU262" s="87"/>
      <c r="AV262" s="87"/>
      <c r="AW262" s="87"/>
      <c r="AX262" s="87"/>
      <c r="AY262" s="87"/>
      <c r="AZ262" s="87"/>
      <c r="BA262" s="87"/>
      <c r="BB262" s="87"/>
      <c r="BC262" s="87"/>
      <c r="BD262" s="87"/>
      <c r="BE262" s="87"/>
      <c r="BF262" s="87"/>
      <c r="BG262" s="87"/>
      <c r="BH262" s="87"/>
      <c r="BI262" s="87"/>
      <c r="BJ262" s="87"/>
      <c r="BK262" s="87"/>
      <c r="BL262" s="87"/>
      <c r="BM262" s="87"/>
      <c r="BN262" s="87"/>
      <c r="BO262" s="87"/>
      <c r="BP262" s="87"/>
      <c r="BQ262" s="87"/>
      <c r="BR262" s="87"/>
      <c r="BS262" s="87"/>
      <c r="BT262" s="87"/>
      <c r="BU262" s="87"/>
      <c r="BV262" s="87"/>
      <c r="BW262" s="87"/>
      <c r="BX262" s="87"/>
      <c r="BY262" s="87"/>
      <c r="BZ262" s="87"/>
      <c r="CA262" s="87"/>
      <c r="CB262" s="87"/>
      <c r="CC262" s="87"/>
      <c r="CD262" s="87"/>
      <c r="CE262" s="87"/>
      <c r="CF262" s="87"/>
      <c r="CG262" s="87"/>
      <c r="CH262" s="87"/>
      <c r="CI262" s="87"/>
      <c r="CJ262" s="87"/>
      <c r="CK262" s="87"/>
      <c r="CL262" s="87"/>
      <c r="CM262" s="87"/>
      <c r="CN262" s="87"/>
      <c r="CO262" s="87"/>
      <c r="CP262" s="87"/>
      <c r="CQ262" s="87"/>
      <c r="CR262" s="87"/>
    </row>
    <row r="263" spans="1:96">
      <c r="A263" s="87"/>
      <c r="B263" s="135">
        <v>45747</v>
      </c>
      <c r="C263" s="128">
        <v>45770</v>
      </c>
      <c r="D263" s="60" t="s">
        <v>141</v>
      </c>
      <c r="E263" s="82" t="s">
        <v>219</v>
      </c>
      <c r="F263" s="82" t="s">
        <v>220</v>
      </c>
      <c r="G263" s="140" t="s">
        <v>1751</v>
      </c>
      <c r="H263" s="87">
        <v>7978952953</v>
      </c>
      <c r="I263" s="87" t="s">
        <v>1752</v>
      </c>
      <c r="J263" s="141" t="s">
        <v>1745</v>
      </c>
      <c r="K263" s="87" t="s">
        <v>1753</v>
      </c>
      <c r="L263" s="87" t="s">
        <v>1450</v>
      </c>
      <c r="M263" s="87" t="s">
        <v>1754</v>
      </c>
      <c r="N263" s="87" t="s">
        <v>425</v>
      </c>
      <c r="O263" s="87" t="s">
        <v>1755</v>
      </c>
      <c r="P263" s="87" t="s">
        <v>1756</v>
      </c>
      <c r="Q263" s="87" t="s">
        <v>1757</v>
      </c>
      <c r="R263" s="87" t="s">
        <v>1758</v>
      </c>
      <c r="S263" s="87" t="s">
        <v>58</v>
      </c>
      <c r="T263" s="60">
        <v>2</v>
      </c>
      <c r="U263" s="87" t="s">
        <v>1447</v>
      </c>
      <c r="V263" s="126" t="s">
        <v>1308</v>
      </c>
      <c r="W263" s="127"/>
      <c r="X263" s="108">
        <v>45772</v>
      </c>
      <c r="Y263" s="135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  <c r="AN263" s="87"/>
      <c r="AO263" s="87"/>
      <c r="AP263" s="54">
        <f>IF(OR(X263="",C263=""),"",NETWORKDAYS.INTL(C263,X263,1,'HELPER(Dont Delete)'!A:A))</f>
        <v>3</v>
      </c>
      <c r="AQ263" s="54" t="str">
        <f>IF(OR(X263="",Y263=""),"",NETWORKDAYS.INTL(X263,Y263,1,'HELPER(Dont Delete)'!A:A))</f>
        <v/>
      </c>
      <c r="AR263" s="54" t="str">
        <f>IF(OR(Y263="",AA263=""),"",NETWORKDAYS.INTL(Y263,AA263,1,'HELPER(Dont Delete)'!A:A))</f>
        <v/>
      </c>
      <c r="AS263" s="87"/>
      <c r="AT263" s="87"/>
      <c r="AU263" s="87"/>
      <c r="AV263" s="87"/>
      <c r="AW263" s="87"/>
      <c r="AX263" s="87"/>
      <c r="AY263" s="87"/>
      <c r="AZ263" s="87"/>
      <c r="BA263" s="87"/>
      <c r="BB263" s="87"/>
      <c r="BC263" s="87"/>
      <c r="BD263" s="87"/>
      <c r="BE263" s="87"/>
      <c r="BF263" s="87"/>
      <c r="BG263" s="87"/>
      <c r="BH263" s="87"/>
      <c r="BI263" s="87"/>
      <c r="BJ263" s="87"/>
      <c r="BK263" s="87"/>
      <c r="BL263" s="87"/>
      <c r="BM263" s="87"/>
      <c r="BN263" s="87"/>
      <c r="BO263" s="87"/>
      <c r="BP263" s="87"/>
      <c r="BQ263" s="87"/>
      <c r="BR263" s="87"/>
      <c r="BS263" s="87"/>
      <c r="BT263" s="87"/>
      <c r="BU263" s="87"/>
      <c r="BV263" s="87"/>
      <c r="BW263" s="87"/>
      <c r="BX263" s="87"/>
      <c r="BY263" s="87"/>
      <c r="BZ263" s="87"/>
      <c r="CA263" s="87"/>
      <c r="CB263" s="87"/>
      <c r="CC263" s="87"/>
      <c r="CD263" s="87"/>
      <c r="CE263" s="87"/>
      <c r="CF263" s="87"/>
      <c r="CG263" s="87"/>
      <c r="CH263" s="87"/>
      <c r="CI263" s="87"/>
      <c r="CJ263" s="87"/>
      <c r="CK263" s="87"/>
      <c r="CL263" s="87"/>
      <c r="CM263" s="87"/>
      <c r="CN263" s="87"/>
      <c r="CO263" s="87"/>
      <c r="CP263" s="87"/>
      <c r="CQ263" s="87"/>
      <c r="CR263" s="87"/>
    </row>
    <row r="264" spans="1:96">
      <c r="A264" s="87"/>
      <c r="B264" s="135">
        <v>45743</v>
      </c>
      <c r="C264" s="127">
        <v>45771</v>
      </c>
      <c r="D264" s="87" t="s">
        <v>114</v>
      </c>
      <c r="E264" s="82" t="s">
        <v>219</v>
      </c>
      <c r="F264" s="82" t="s">
        <v>220</v>
      </c>
      <c r="G264" s="140" t="s">
        <v>1759</v>
      </c>
      <c r="H264" s="87">
        <v>9594444820</v>
      </c>
      <c r="I264" s="87" t="s">
        <v>1760</v>
      </c>
      <c r="J264" s="141" t="s">
        <v>1761</v>
      </c>
      <c r="K264" s="87">
        <v>9</v>
      </c>
      <c r="L264" s="87">
        <v>9</v>
      </c>
      <c r="M264" s="87" t="s">
        <v>1762</v>
      </c>
      <c r="N264" s="87" t="s">
        <v>425</v>
      </c>
      <c r="O264" s="87" t="s">
        <v>1763</v>
      </c>
      <c r="P264" s="87" t="s">
        <v>1764</v>
      </c>
      <c r="Q264" s="87" t="s">
        <v>1765</v>
      </c>
      <c r="R264" s="87" t="s">
        <v>42</v>
      </c>
      <c r="S264" s="87" t="s">
        <v>1201</v>
      </c>
      <c r="T264" s="60">
        <v>9</v>
      </c>
      <c r="U264" s="87" t="s">
        <v>671</v>
      </c>
      <c r="V264" s="126" t="s">
        <v>1166</v>
      </c>
      <c r="W264" s="127"/>
      <c r="X264" s="108">
        <v>45772</v>
      </c>
      <c r="Y264" s="135">
        <v>45773</v>
      </c>
      <c r="Z264" s="87" t="s">
        <v>340</v>
      </c>
      <c r="AA264" s="167">
        <v>45778</v>
      </c>
      <c r="AB264" s="87" t="s">
        <v>1766</v>
      </c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  <c r="AN264" s="87"/>
      <c r="AO264" s="87"/>
      <c r="AP264" s="54">
        <f>IF(OR(X264="",C264=""),"",NETWORKDAYS.INTL(C264,X264,1,'HELPER(Dont Delete)'!A:A))</f>
        <v>2</v>
      </c>
      <c r="AQ264" s="54">
        <f>IF(OR(X264="",Y264=""),"",NETWORKDAYS.INTL(X264,Y264,1,'HELPER(Dont Delete)'!A:A))</f>
        <v>1</v>
      </c>
      <c r="AR264" s="54">
        <f>IF(OR(Y264="",AA264=""),"",NETWORKDAYS.INTL(Y264,AA264,1,'HELPER(Dont Delete)'!A:A))</f>
        <v>4</v>
      </c>
      <c r="AS264" s="87"/>
      <c r="AT264" s="87"/>
      <c r="AU264" s="87"/>
      <c r="AV264" s="87"/>
      <c r="AW264" s="87"/>
      <c r="AX264" s="87"/>
      <c r="AY264" s="87"/>
      <c r="AZ264" s="87"/>
      <c r="BA264" s="87"/>
      <c r="BB264" s="87"/>
      <c r="BC264" s="87"/>
      <c r="BD264" s="87"/>
      <c r="BE264" s="87"/>
      <c r="BF264" s="87"/>
      <c r="BG264" s="87"/>
      <c r="BH264" s="87"/>
      <c r="BI264" s="87"/>
      <c r="BJ264" s="87"/>
      <c r="BK264" s="87"/>
      <c r="BL264" s="87"/>
      <c r="BM264" s="87"/>
      <c r="BN264" s="87"/>
      <c r="BO264" s="87"/>
      <c r="BP264" s="87"/>
      <c r="BQ264" s="87"/>
      <c r="BR264" s="87"/>
      <c r="BS264" s="87"/>
      <c r="BT264" s="87"/>
      <c r="BU264" s="87"/>
      <c r="BV264" s="87"/>
      <c r="BW264" s="87"/>
      <c r="BX264" s="87"/>
      <c r="BY264" s="87"/>
      <c r="BZ264" s="87"/>
      <c r="CA264" s="87"/>
      <c r="CB264" s="87"/>
      <c r="CC264" s="87"/>
      <c r="CD264" s="87"/>
      <c r="CE264" s="87"/>
      <c r="CF264" s="87"/>
      <c r="CG264" s="87"/>
      <c r="CH264" s="87"/>
      <c r="CI264" s="87"/>
      <c r="CJ264" s="87"/>
      <c r="CK264" s="87"/>
      <c r="CL264" s="87"/>
      <c r="CM264" s="87"/>
      <c r="CN264" s="87"/>
      <c r="CO264" s="87"/>
      <c r="CP264" s="87"/>
      <c r="CQ264" s="87"/>
      <c r="CR264" s="87"/>
    </row>
    <row r="265" spans="1:96">
      <c r="A265" s="87"/>
      <c r="B265" s="135">
        <v>45743</v>
      </c>
      <c r="C265" s="127">
        <v>45771</v>
      </c>
      <c r="D265" s="87" t="s">
        <v>114</v>
      </c>
      <c r="E265" s="82" t="s">
        <v>219</v>
      </c>
      <c r="F265" s="82" t="s">
        <v>220</v>
      </c>
      <c r="G265" s="140" t="s">
        <v>1767</v>
      </c>
      <c r="H265" s="87">
        <v>9179844662</v>
      </c>
      <c r="I265" s="87" t="s">
        <v>1768</v>
      </c>
      <c r="J265" s="141" t="s">
        <v>1769</v>
      </c>
      <c r="K265" s="87">
        <v>12</v>
      </c>
      <c r="L265" s="87">
        <v>8</v>
      </c>
      <c r="M265" s="87" t="s">
        <v>1640</v>
      </c>
      <c r="N265" s="87" t="s">
        <v>1218</v>
      </c>
      <c r="O265" s="87" t="s">
        <v>1386</v>
      </c>
      <c r="P265" s="87" t="s">
        <v>1764</v>
      </c>
      <c r="Q265" s="87" t="s">
        <v>1765</v>
      </c>
      <c r="R265" s="87" t="s">
        <v>664</v>
      </c>
      <c r="S265" s="87" t="s">
        <v>1201</v>
      </c>
      <c r="T265" s="60">
        <v>3</v>
      </c>
      <c r="U265" s="87" t="s">
        <v>671</v>
      </c>
      <c r="V265" s="126" t="s">
        <v>1529</v>
      </c>
      <c r="W265" s="127" t="s">
        <v>1260</v>
      </c>
      <c r="X265" s="108">
        <v>45772</v>
      </c>
      <c r="Y265" s="135">
        <v>45773</v>
      </c>
      <c r="Z265" s="87" t="s">
        <v>340</v>
      </c>
      <c r="AA265" s="167">
        <v>45793</v>
      </c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  <c r="AN265" s="87"/>
      <c r="AO265" s="87"/>
      <c r="AP265" s="54">
        <f>IF(OR(X265="",C265=""),"",NETWORKDAYS.INTL(C265,X265,1,'HELPER(Dont Delete)'!A:A))</f>
        <v>2</v>
      </c>
      <c r="AQ265" s="54">
        <f>IF(OR(X265="",Y265=""),"",NETWORKDAYS.INTL(X265,Y265,1,'HELPER(Dont Delete)'!A:A))</f>
        <v>1</v>
      </c>
      <c r="AR265" s="54">
        <f>IF(OR(Y265="",AA265=""),"",NETWORKDAYS.INTL(Y265,AA265,1,'HELPER(Dont Delete)'!A:A))</f>
        <v>15</v>
      </c>
      <c r="AS265" s="87"/>
      <c r="AT265" s="87"/>
      <c r="AU265" s="87"/>
      <c r="AV265" s="87"/>
      <c r="AW265" s="87"/>
      <c r="AX265" s="87"/>
      <c r="AY265" s="87"/>
      <c r="AZ265" s="87"/>
      <c r="BA265" s="87"/>
      <c r="BB265" s="87"/>
      <c r="BC265" s="87"/>
      <c r="BD265" s="87"/>
      <c r="BE265" s="87"/>
      <c r="BF265" s="87"/>
      <c r="BG265" s="87"/>
      <c r="BH265" s="87"/>
      <c r="BI265" s="87"/>
      <c r="BJ265" s="87"/>
      <c r="BK265" s="87"/>
      <c r="BL265" s="87"/>
      <c r="BM265" s="87"/>
      <c r="BN265" s="87"/>
      <c r="BO265" s="87"/>
      <c r="BP265" s="87"/>
      <c r="BQ265" s="87"/>
      <c r="BR265" s="87"/>
      <c r="BS265" s="87"/>
      <c r="BT265" s="87"/>
      <c r="BU265" s="87"/>
      <c r="BV265" s="87"/>
      <c r="BW265" s="87"/>
      <c r="BX265" s="87"/>
      <c r="BY265" s="87"/>
      <c r="BZ265" s="87"/>
      <c r="CA265" s="87"/>
      <c r="CB265" s="87"/>
      <c r="CC265" s="87"/>
      <c r="CD265" s="87"/>
      <c r="CE265" s="87"/>
      <c r="CF265" s="87"/>
      <c r="CG265" s="87"/>
      <c r="CH265" s="87"/>
      <c r="CI265" s="87"/>
      <c r="CJ265" s="87"/>
      <c r="CK265" s="87"/>
      <c r="CL265" s="87"/>
      <c r="CM265" s="87"/>
      <c r="CN265" s="87"/>
      <c r="CO265" s="87"/>
      <c r="CP265" s="87"/>
      <c r="CQ265" s="87"/>
      <c r="CR265" s="87"/>
    </row>
    <row r="266" spans="1:96">
      <c r="A266" s="87"/>
      <c r="B266" s="135">
        <v>45747</v>
      </c>
      <c r="C266" s="127">
        <v>45772</v>
      </c>
      <c r="D266" s="87" t="s">
        <v>1707</v>
      </c>
      <c r="E266" s="82" t="s">
        <v>219</v>
      </c>
      <c r="F266" s="82" t="s">
        <v>220</v>
      </c>
      <c r="G266" s="140" t="s">
        <v>1770</v>
      </c>
      <c r="H266" s="87">
        <v>8970080587</v>
      </c>
      <c r="I266" s="87" t="s">
        <v>1771</v>
      </c>
      <c r="J266" s="141" t="s">
        <v>1772</v>
      </c>
      <c r="K266" s="87">
        <v>7.5</v>
      </c>
      <c r="L266" s="87">
        <v>5</v>
      </c>
      <c r="M266" s="87" t="s">
        <v>1773</v>
      </c>
      <c r="N266" s="87" t="s">
        <v>1774</v>
      </c>
      <c r="O266" s="87" t="s">
        <v>1163</v>
      </c>
      <c r="P266" s="87" t="s">
        <v>1775</v>
      </c>
      <c r="Q266" s="87" t="s">
        <v>456</v>
      </c>
      <c r="R266" s="87" t="s">
        <v>228</v>
      </c>
      <c r="S266" s="87" t="s">
        <v>1201</v>
      </c>
      <c r="T266" s="60"/>
      <c r="U266" s="87" t="s">
        <v>671</v>
      </c>
      <c r="V266" s="126" t="s">
        <v>599</v>
      </c>
      <c r="W266" s="127"/>
      <c r="X266" s="108">
        <v>45777</v>
      </c>
      <c r="Y266" s="167">
        <v>45778</v>
      </c>
      <c r="Z266" s="87" t="s">
        <v>340</v>
      </c>
      <c r="AA266" s="167">
        <v>45784</v>
      </c>
      <c r="AB266" s="87" t="s">
        <v>232</v>
      </c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  <c r="AN266" s="87"/>
      <c r="AO266" s="87"/>
      <c r="AP266" s="54">
        <f>IF(OR(X266="",C266=""),"",NETWORKDAYS.INTL(C266,X266,1,'HELPER(Dont Delete)'!A:A))</f>
        <v>4</v>
      </c>
      <c r="AQ266" s="54">
        <f>IF(OR(X266="",Y266=""),"",NETWORKDAYS.INTL(X266,Y266,1,'HELPER(Dont Delete)'!A:A))</f>
        <v>2</v>
      </c>
      <c r="AR266" s="54">
        <f>IF(OR(Y266="",AA266=""),"",NETWORKDAYS.INTL(Y266,AA266,1,'HELPER(Dont Delete)'!A:A))</f>
        <v>5</v>
      </c>
      <c r="AS266" s="87"/>
      <c r="AT266" s="87"/>
      <c r="AU266" s="87"/>
      <c r="AV266" s="87"/>
      <c r="AW266" s="87"/>
      <c r="AX266" s="87"/>
      <c r="AY266" s="87"/>
      <c r="AZ266" s="87"/>
      <c r="BA266" s="87"/>
      <c r="BB266" s="87"/>
      <c r="BC266" s="87"/>
      <c r="BD266" s="87"/>
      <c r="BE266" s="87"/>
      <c r="BF266" s="87"/>
      <c r="BG266" s="87"/>
      <c r="BH266" s="87"/>
      <c r="BI266" s="87"/>
      <c r="BJ266" s="87"/>
      <c r="BK266" s="87"/>
      <c r="BL266" s="87"/>
      <c r="BM266" s="87"/>
      <c r="BN266" s="87"/>
      <c r="BO266" s="87"/>
      <c r="BP266" s="87"/>
      <c r="BQ266" s="87"/>
      <c r="BR266" s="87"/>
      <c r="BS266" s="87"/>
      <c r="BT266" s="87"/>
      <c r="BU266" s="87"/>
      <c r="BV266" s="87"/>
      <c r="BW266" s="87"/>
      <c r="BX266" s="87"/>
      <c r="BY266" s="87"/>
      <c r="BZ266" s="87"/>
      <c r="CA266" s="87"/>
      <c r="CB266" s="87"/>
      <c r="CC266" s="87"/>
      <c r="CD266" s="87"/>
      <c r="CE266" s="87"/>
      <c r="CF266" s="87"/>
      <c r="CG266" s="87"/>
      <c r="CH266" s="87"/>
      <c r="CI266" s="87"/>
      <c r="CJ266" s="87"/>
      <c r="CK266" s="87"/>
      <c r="CL266" s="87"/>
      <c r="CM266" s="87"/>
      <c r="CN266" s="87"/>
      <c r="CO266" s="87"/>
      <c r="CP266" s="87"/>
      <c r="CQ266" s="87"/>
      <c r="CR266" s="87"/>
    </row>
    <row r="267" spans="1:96">
      <c r="A267" s="87"/>
      <c r="B267" s="135">
        <v>45747</v>
      </c>
      <c r="C267" s="127">
        <v>45772</v>
      </c>
      <c r="D267" s="87" t="s">
        <v>1707</v>
      </c>
      <c r="E267" s="82" t="s">
        <v>219</v>
      </c>
      <c r="F267" s="82" t="s">
        <v>220</v>
      </c>
      <c r="G267" s="140" t="s">
        <v>1776</v>
      </c>
      <c r="H267" s="87">
        <v>9818624609</v>
      </c>
      <c r="I267" s="87" t="s">
        <v>1777</v>
      </c>
      <c r="J267" s="141" t="s">
        <v>1778</v>
      </c>
      <c r="K267" s="87">
        <v>6</v>
      </c>
      <c r="L267" s="87">
        <v>6</v>
      </c>
      <c r="M267" s="87" t="s">
        <v>1779</v>
      </c>
      <c r="N267" s="87" t="s">
        <v>425</v>
      </c>
      <c r="O267" s="87" t="s">
        <v>1780</v>
      </c>
      <c r="P267" s="87" t="s">
        <v>1781</v>
      </c>
      <c r="Q267" s="87" t="s">
        <v>208</v>
      </c>
      <c r="R267" s="87" t="s">
        <v>1782</v>
      </c>
      <c r="S267" s="87" t="s">
        <v>1715</v>
      </c>
      <c r="T267" s="60"/>
      <c r="U267" s="87" t="s">
        <v>671</v>
      </c>
      <c r="V267" s="126" t="s">
        <v>231</v>
      </c>
      <c r="W267" s="127"/>
      <c r="X267" s="108">
        <v>45777</v>
      </c>
      <c r="Y267" s="167">
        <v>45782</v>
      </c>
      <c r="Z267" s="87" t="s">
        <v>232</v>
      </c>
      <c r="AA267" s="16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  <c r="AO267" s="87"/>
      <c r="AP267" s="54">
        <f>IF(OR(X267="",C267=""),"",NETWORKDAYS.INTL(C267,X267,1,'HELPER(Dont Delete)'!A:A))</f>
        <v>4</v>
      </c>
      <c r="AQ267" s="54">
        <f>IF(OR(X267="",Y267=""),"",NETWORKDAYS.INTL(X267,Y267,1,'HELPER(Dont Delete)'!A:A))</f>
        <v>4</v>
      </c>
      <c r="AR267" s="54" t="str">
        <f>IF(OR(Y267="",AA267=""),"",NETWORKDAYS.INTL(Y267,AA267,1,'HELPER(Dont Delete)'!A:A))</f>
        <v/>
      </c>
      <c r="AS267" s="87"/>
      <c r="AT267" s="87"/>
      <c r="AU267" s="87"/>
      <c r="AV267" s="87"/>
      <c r="AW267" s="87"/>
      <c r="AX267" s="87"/>
      <c r="AY267" s="87"/>
      <c r="AZ267" s="87"/>
      <c r="BA267" s="87"/>
      <c r="BB267" s="87"/>
      <c r="BC267" s="87"/>
      <c r="BD267" s="87"/>
      <c r="BE267" s="87"/>
      <c r="BF267" s="87"/>
      <c r="BG267" s="87"/>
      <c r="BH267" s="87"/>
      <c r="BI267" s="87"/>
      <c r="BJ267" s="87"/>
      <c r="BK267" s="87"/>
      <c r="BL267" s="87"/>
      <c r="BM267" s="87"/>
      <c r="BN267" s="87"/>
      <c r="BO267" s="87"/>
      <c r="BP267" s="87"/>
      <c r="BQ267" s="87"/>
      <c r="BR267" s="87"/>
      <c r="BS267" s="87"/>
      <c r="BT267" s="87"/>
      <c r="BU267" s="87"/>
      <c r="BV267" s="87"/>
      <c r="BW267" s="87"/>
      <c r="BX267" s="87"/>
      <c r="BY267" s="87"/>
      <c r="BZ267" s="87"/>
      <c r="CA267" s="87"/>
      <c r="CB267" s="87"/>
      <c r="CC267" s="87"/>
      <c r="CD267" s="87"/>
      <c r="CE267" s="87"/>
      <c r="CF267" s="87"/>
      <c r="CG267" s="87"/>
      <c r="CH267" s="87"/>
      <c r="CI267" s="87"/>
      <c r="CJ267" s="87"/>
      <c r="CK267" s="87"/>
      <c r="CL267" s="87"/>
      <c r="CM267" s="87"/>
      <c r="CN267" s="87"/>
      <c r="CO267" s="87"/>
      <c r="CP267" s="87"/>
      <c r="CQ267" s="87"/>
      <c r="CR267" s="87"/>
    </row>
    <row r="268" spans="1:96">
      <c r="A268" s="87"/>
      <c r="B268" s="135">
        <v>45747</v>
      </c>
      <c r="C268" s="127">
        <v>45772</v>
      </c>
      <c r="D268" s="87" t="s">
        <v>1707</v>
      </c>
      <c r="E268" s="82" t="s">
        <v>219</v>
      </c>
      <c r="F268" s="82" t="s">
        <v>220</v>
      </c>
      <c r="G268" s="140" t="s">
        <v>1783</v>
      </c>
      <c r="H268" s="87">
        <v>8279205282</v>
      </c>
      <c r="I268" s="87" t="s">
        <v>1784</v>
      </c>
      <c r="J268" s="141" t="s">
        <v>1785</v>
      </c>
      <c r="K268" s="87">
        <v>6.6</v>
      </c>
      <c r="L268" s="87">
        <v>6</v>
      </c>
      <c r="M268" s="87" t="s">
        <v>1786</v>
      </c>
      <c r="N268" s="87" t="s">
        <v>1426</v>
      </c>
      <c r="O268" s="87" t="s">
        <v>1787</v>
      </c>
      <c r="P268" s="87">
        <v>0.3</v>
      </c>
      <c r="Q268" s="87" t="s">
        <v>208</v>
      </c>
      <c r="R268" s="87" t="s">
        <v>1788</v>
      </c>
      <c r="S268" s="87" t="s">
        <v>1715</v>
      </c>
      <c r="T268" s="60"/>
      <c r="U268" s="87" t="s">
        <v>671</v>
      </c>
      <c r="V268" s="126" t="s">
        <v>291</v>
      </c>
      <c r="W268" s="127"/>
      <c r="X268" s="108">
        <v>45777</v>
      </c>
      <c r="Y268" s="135"/>
      <c r="Z268" s="87"/>
      <c r="AA268" s="16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  <c r="AO268" s="87"/>
      <c r="AP268" s="54">
        <f>IF(OR(X268="",C268=""),"",NETWORKDAYS.INTL(C268,X268,1,'HELPER(Dont Delete)'!A:A))</f>
        <v>4</v>
      </c>
      <c r="AQ268" s="54" t="str">
        <f>IF(OR(X268="",Y268=""),"",NETWORKDAYS.INTL(X268,Y268,1,'HELPER(Dont Delete)'!A:A))</f>
        <v/>
      </c>
      <c r="AR268" s="54" t="str">
        <f>IF(OR(Y268="",AA268=""),"",NETWORKDAYS.INTL(Y268,AA268,1,'HELPER(Dont Delete)'!A:A))</f>
        <v/>
      </c>
      <c r="AS268" s="87"/>
      <c r="AT268" s="87"/>
      <c r="AU268" s="87"/>
      <c r="AV268" s="87"/>
      <c r="AW268" s="87"/>
      <c r="AX268" s="87"/>
      <c r="AY268" s="87"/>
      <c r="AZ268" s="87"/>
      <c r="BA268" s="87"/>
      <c r="BB268" s="87"/>
      <c r="BC268" s="87"/>
      <c r="BD268" s="87"/>
      <c r="BE268" s="87"/>
      <c r="BF268" s="87"/>
      <c r="BG268" s="87"/>
      <c r="BH268" s="87"/>
      <c r="BI268" s="87"/>
      <c r="BJ268" s="87"/>
      <c r="BK268" s="87"/>
      <c r="BL268" s="87"/>
      <c r="BM268" s="87"/>
      <c r="BN268" s="87"/>
      <c r="BO268" s="87"/>
      <c r="BP268" s="87"/>
      <c r="BQ268" s="87"/>
      <c r="BR268" s="87"/>
      <c r="BS268" s="87"/>
      <c r="BT268" s="87"/>
      <c r="BU268" s="87"/>
      <c r="BV268" s="87"/>
      <c r="BW268" s="87"/>
      <c r="BX268" s="87"/>
      <c r="BY268" s="87"/>
      <c r="BZ268" s="87"/>
      <c r="CA268" s="87"/>
      <c r="CB268" s="87"/>
      <c r="CC268" s="87"/>
      <c r="CD268" s="87"/>
      <c r="CE268" s="87"/>
      <c r="CF268" s="87"/>
      <c r="CG268" s="87"/>
      <c r="CH268" s="87"/>
      <c r="CI268" s="87"/>
      <c r="CJ268" s="87"/>
      <c r="CK268" s="87"/>
      <c r="CL268" s="87"/>
      <c r="CM268" s="87"/>
      <c r="CN268" s="87"/>
      <c r="CO268" s="87"/>
      <c r="CP268" s="87"/>
      <c r="CQ268" s="87"/>
      <c r="CR268" s="87"/>
    </row>
    <row r="269" spans="1:96">
      <c r="A269" s="87"/>
      <c r="B269" s="135">
        <v>45742</v>
      </c>
      <c r="C269" s="127">
        <v>45776</v>
      </c>
      <c r="D269" s="87" t="s">
        <v>110</v>
      </c>
      <c r="E269" s="82" t="s">
        <v>219</v>
      </c>
      <c r="F269" s="82" t="s">
        <v>220</v>
      </c>
      <c r="G269" s="140" t="s">
        <v>1789</v>
      </c>
      <c r="H269" s="87">
        <v>9893755579</v>
      </c>
      <c r="I269" s="138" t="s">
        <v>1790</v>
      </c>
      <c r="J269" s="141" t="s">
        <v>1532</v>
      </c>
      <c r="K269" s="87" t="s">
        <v>1791</v>
      </c>
      <c r="L269" s="87" t="s">
        <v>1791</v>
      </c>
      <c r="M269" s="87" t="s">
        <v>1601</v>
      </c>
      <c r="N269" s="87" t="s">
        <v>1218</v>
      </c>
      <c r="O269" s="87" t="s">
        <v>1792</v>
      </c>
      <c r="P269" s="169" t="s">
        <v>770</v>
      </c>
      <c r="Q269" s="87" t="s">
        <v>1173</v>
      </c>
      <c r="R269" s="87" t="s">
        <v>1793</v>
      </c>
      <c r="S269" s="87" t="s">
        <v>1201</v>
      </c>
      <c r="T269" s="60"/>
      <c r="U269" s="87" t="s">
        <v>1175</v>
      </c>
      <c r="V269" s="126" t="s">
        <v>339</v>
      </c>
      <c r="W269" s="127" t="s">
        <v>1136</v>
      </c>
      <c r="X269" s="108">
        <v>45777</v>
      </c>
      <c r="Y269" s="135">
        <v>45792</v>
      </c>
      <c r="Z269" s="87" t="s">
        <v>340</v>
      </c>
      <c r="AA269" s="16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  <c r="AN269" s="87"/>
      <c r="AO269" s="87"/>
      <c r="AP269" s="54">
        <f>IF(OR(X269="",C269=""),"",NETWORKDAYS.INTL(C269,X269,1,'HELPER(Dont Delete)'!A:A))</f>
        <v>2</v>
      </c>
      <c r="AQ269" s="54">
        <f>IF(OR(X269="",Y269=""),"",NETWORKDAYS.INTL(X269,Y269,1,'HELPER(Dont Delete)'!A:A))</f>
        <v>12</v>
      </c>
      <c r="AR269" s="54" t="str">
        <f>IF(OR(Y269="",AA269=""),"",NETWORKDAYS.INTL(Y269,AA269,1,'HELPER(Dont Delete)'!A:A))</f>
        <v/>
      </c>
      <c r="AS269" s="87"/>
      <c r="AT269" s="87"/>
      <c r="AU269" s="87"/>
      <c r="AV269" s="87"/>
      <c r="AW269" s="87"/>
      <c r="AX269" s="87"/>
      <c r="AY269" s="87"/>
      <c r="AZ269" s="87"/>
      <c r="BA269" s="87"/>
      <c r="BB269" s="87"/>
      <c r="BC269" s="87"/>
      <c r="BD269" s="87"/>
      <c r="BE269" s="87"/>
      <c r="BF269" s="87"/>
      <c r="BG269" s="87"/>
      <c r="BH269" s="87"/>
      <c r="BI269" s="87"/>
      <c r="BJ269" s="87"/>
      <c r="BK269" s="87"/>
      <c r="BL269" s="87"/>
      <c r="BM269" s="87"/>
      <c r="BN269" s="87"/>
      <c r="BO269" s="87"/>
      <c r="BP269" s="87"/>
      <c r="BQ269" s="87"/>
      <c r="BR269" s="87"/>
      <c r="BS269" s="87"/>
      <c r="BT269" s="87"/>
      <c r="BU269" s="87"/>
      <c r="BV269" s="87"/>
      <c r="BW269" s="87"/>
      <c r="BX269" s="87"/>
      <c r="BY269" s="87"/>
      <c r="BZ269" s="87"/>
      <c r="CA269" s="87"/>
      <c r="CB269" s="87"/>
      <c r="CC269" s="87"/>
      <c r="CD269" s="87"/>
      <c r="CE269" s="87"/>
      <c r="CF269" s="87"/>
      <c r="CG269" s="87"/>
      <c r="CH269" s="87"/>
      <c r="CI269" s="87"/>
      <c r="CJ269" s="87"/>
      <c r="CK269" s="87"/>
      <c r="CL269" s="87"/>
      <c r="CM269" s="87"/>
      <c r="CN269" s="87"/>
      <c r="CO269" s="87"/>
      <c r="CP269" s="87"/>
      <c r="CQ269" s="87"/>
      <c r="CR269" s="87"/>
    </row>
    <row r="270" spans="1:96">
      <c r="A270" s="87"/>
      <c r="B270" s="135">
        <v>45742</v>
      </c>
      <c r="C270" s="127">
        <v>45776</v>
      </c>
      <c r="D270" s="87" t="s">
        <v>110</v>
      </c>
      <c r="E270" s="82" t="s">
        <v>219</v>
      </c>
      <c r="F270" s="82" t="s">
        <v>220</v>
      </c>
      <c r="G270" s="140" t="s">
        <v>1794</v>
      </c>
      <c r="H270" s="87">
        <v>8956773073</v>
      </c>
      <c r="I270" s="87" t="s">
        <v>1795</v>
      </c>
      <c r="J270" s="141" t="s">
        <v>1532</v>
      </c>
      <c r="K270" s="87">
        <v>10</v>
      </c>
      <c r="L270" s="87">
        <v>10</v>
      </c>
      <c r="M270" s="87" t="s">
        <v>1796</v>
      </c>
      <c r="N270" s="87" t="s">
        <v>756</v>
      </c>
      <c r="O270" s="87" t="s">
        <v>588</v>
      </c>
      <c r="P270" s="169" t="s">
        <v>770</v>
      </c>
      <c r="Q270" s="87" t="s">
        <v>1765</v>
      </c>
      <c r="R270" s="87" t="s">
        <v>228</v>
      </c>
      <c r="S270" s="87" t="s">
        <v>1201</v>
      </c>
      <c r="T270" s="60"/>
      <c r="U270" s="87" t="s">
        <v>1175</v>
      </c>
      <c r="V270" s="126" t="s">
        <v>231</v>
      </c>
      <c r="W270" s="127" t="s">
        <v>1260</v>
      </c>
      <c r="X270" s="108">
        <v>45777</v>
      </c>
      <c r="Y270" s="135">
        <v>45777</v>
      </c>
      <c r="Z270" s="87" t="s">
        <v>232</v>
      </c>
      <c r="AA270" s="16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  <c r="AO270" s="87"/>
      <c r="AP270" s="54">
        <f>IF(OR(X270="",C270=""),"",NETWORKDAYS.INTL(C270,X270,1,'HELPER(Dont Delete)'!A:A))</f>
        <v>2</v>
      </c>
      <c r="AQ270" s="54">
        <f>IF(OR(X270="",Y270=""),"",NETWORKDAYS.INTL(X270,Y270,1,'HELPER(Dont Delete)'!A:A))</f>
        <v>1</v>
      </c>
      <c r="AR270" s="54" t="str">
        <f>IF(OR(Y270="",AA270=""),"",NETWORKDAYS.INTL(Y270,AA270,1,'HELPER(Dont Delete)'!A:A))</f>
        <v/>
      </c>
      <c r="AS270" s="87"/>
      <c r="AT270" s="87"/>
      <c r="AU270" s="87"/>
      <c r="AV270" s="87"/>
      <c r="AW270" s="87"/>
      <c r="AX270" s="87"/>
      <c r="AY270" s="87"/>
      <c r="AZ270" s="87"/>
      <c r="BA270" s="87"/>
      <c r="BB270" s="87"/>
      <c r="BC270" s="87"/>
      <c r="BD270" s="87"/>
      <c r="BE270" s="87"/>
      <c r="BF270" s="87"/>
      <c r="BG270" s="87"/>
      <c r="BH270" s="87"/>
      <c r="BI270" s="87"/>
      <c r="BJ270" s="87"/>
      <c r="BK270" s="87"/>
      <c r="BL270" s="87"/>
      <c r="BM270" s="87"/>
      <c r="BN270" s="87"/>
      <c r="BO270" s="87"/>
      <c r="BP270" s="87"/>
      <c r="BQ270" s="87"/>
      <c r="BR270" s="87"/>
      <c r="BS270" s="87"/>
      <c r="BT270" s="87"/>
      <c r="BU270" s="87"/>
      <c r="BV270" s="87"/>
      <c r="BW270" s="87"/>
      <c r="BX270" s="87"/>
      <c r="BY270" s="87"/>
      <c r="BZ270" s="87"/>
      <c r="CA270" s="87"/>
      <c r="CB270" s="87"/>
      <c r="CC270" s="87"/>
      <c r="CD270" s="87"/>
      <c r="CE270" s="87"/>
      <c r="CF270" s="87"/>
      <c r="CG270" s="87"/>
      <c r="CH270" s="87"/>
      <c r="CI270" s="87"/>
      <c r="CJ270" s="87"/>
      <c r="CK270" s="87"/>
      <c r="CL270" s="87"/>
      <c r="CM270" s="87"/>
      <c r="CN270" s="87"/>
      <c r="CO270" s="87"/>
      <c r="CP270" s="87"/>
      <c r="CQ270" s="87"/>
      <c r="CR270" s="87"/>
    </row>
    <row r="271" spans="1:96">
      <c r="A271" s="87"/>
      <c r="B271" s="135">
        <v>45742</v>
      </c>
      <c r="C271" s="127">
        <v>45776</v>
      </c>
      <c r="D271" s="87" t="s">
        <v>110</v>
      </c>
      <c r="E271" s="82" t="s">
        <v>219</v>
      </c>
      <c r="F271" s="82" t="s">
        <v>220</v>
      </c>
      <c r="G271" s="140" t="s">
        <v>1797</v>
      </c>
      <c r="H271" s="87">
        <v>8319709354</v>
      </c>
      <c r="I271" s="87" t="s">
        <v>1798</v>
      </c>
      <c r="J271" s="141" t="s">
        <v>1532</v>
      </c>
      <c r="K271" s="87" t="s">
        <v>1791</v>
      </c>
      <c r="L271" s="87">
        <v>10</v>
      </c>
      <c r="M271" s="87" t="s">
        <v>1799</v>
      </c>
      <c r="N271" s="87" t="s">
        <v>1800</v>
      </c>
      <c r="O271" s="87" t="s">
        <v>1801</v>
      </c>
      <c r="P271" s="169" t="s">
        <v>1802</v>
      </c>
      <c r="Q271" s="87" t="s">
        <v>1173</v>
      </c>
      <c r="R271" s="87" t="s">
        <v>693</v>
      </c>
      <c r="S271" s="87" t="s">
        <v>1201</v>
      </c>
      <c r="T271" s="60"/>
      <c r="U271" s="87" t="s">
        <v>1175</v>
      </c>
      <c r="V271" s="126" t="s">
        <v>1803</v>
      </c>
      <c r="W271" s="127" t="s">
        <v>1260</v>
      </c>
      <c r="X271" s="108">
        <v>45777</v>
      </c>
      <c r="Y271" s="135">
        <v>45810</v>
      </c>
      <c r="Z271" s="87" t="s">
        <v>340</v>
      </c>
      <c r="AA271" s="16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  <c r="AN271" s="87"/>
      <c r="AO271" s="87"/>
      <c r="AP271" s="54">
        <f>IF(OR(X271="",C271=""),"",NETWORKDAYS.INTL(C271,X271,1,'HELPER(Dont Delete)'!A:A))</f>
        <v>2</v>
      </c>
      <c r="AQ271" s="54">
        <f>IF(OR(X271="",Y271=""),"",NETWORKDAYS.INTL(X271,Y271,1,'HELPER(Dont Delete)'!A:A))</f>
        <v>24</v>
      </c>
      <c r="AR271" s="54" t="str">
        <f>IF(OR(Y271="",AA271=""),"",NETWORKDAYS.INTL(Y271,AA271,1,'HELPER(Dont Delete)'!A:A))</f>
        <v/>
      </c>
      <c r="AS271" s="87"/>
      <c r="AT271" s="87"/>
      <c r="AU271" s="87"/>
      <c r="AV271" s="87"/>
      <c r="AW271" s="87"/>
      <c r="AX271" s="87"/>
      <c r="AY271" s="87"/>
      <c r="AZ271" s="87"/>
      <c r="BA271" s="87"/>
      <c r="BB271" s="87"/>
      <c r="BC271" s="87"/>
      <c r="BD271" s="87"/>
      <c r="BE271" s="87"/>
      <c r="BF271" s="87"/>
      <c r="BG271" s="87"/>
      <c r="BH271" s="87"/>
      <c r="BI271" s="87"/>
      <c r="BJ271" s="87"/>
      <c r="BK271" s="87"/>
      <c r="BL271" s="87"/>
      <c r="BM271" s="87"/>
      <c r="BN271" s="87"/>
      <c r="BO271" s="87"/>
      <c r="BP271" s="87"/>
      <c r="BQ271" s="87"/>
      <c r="BR271" s="87"/>
      <c r="BS271" s="87"/>
      <c r="BT271" s="87"/>
      <c r="BU271" s="87"/>
      <c r="BV271" s="87"/>
      <c r="BW271" s="87"/>
      <c r="BX271" s="87"/>
      <c r="BY271" s="87"/>
      <c r="BZ271" s="87"/>
      <c r="CA271" s="87"/>
      <c r="CB271" s="87"/>
      <c r="CC271" s="87"/>
      <c r="CD271" s="87"/>
      <c r="CE271" s="87"/>
      <c r="CF271" s="87"/>
      <c r="CG271" s="87"/>
      <c r="CH271" s="87"/>
      <c r="CI271" s="87"/>
      <c r="CJ271" s="87"/>
      <c r="CK271" s="87"/>
      <c r="CL271" s="87"/>
      <c r="CM271" s="87"/>
      <c r="CN271" s="87"/>
      <c r="CO271" s="87"/>
      <c r="CP271" s="87"/>
      <c r="CQ271" s="87"/>
      <c r="CR271" s="87"/>
    </row>
    <row r="272" spans="1:96">
      <c r="A272" s="87"/>
      <c r="B272" s="135">
        <v>45742</v>
      </c>
      <c r="C272" s="127">
        <v>45777</v>
      </c>
      <c r="D272" s="87" t="s">
        <v>110</v>
      </c>
      <c r="E272" s="82" t="s">
        <v>219</v>
      </c>
      <c r="F272" s="82" t="s">
        <v>220</v>
      </c>
      <c r="G272" s="140" t="s">
        <v>1804</v>
      </c>
      <c r="H272" s="87">
        <v>9830089246</v>
      </c>
      <c r="I272" s="87" t="s">
        <v>1805</v>
      </c>
      <c r="J272" s="141" t="s">
        <v>1806</v>
      </c>
      <c r="K272" s="87">
        <v>18</v>
      </c>
      <c r="L272" s="87">
        <v>18</v>
      </c>
      <c r="M272" s="87" t="s">
        <v>1807</v>
      </c>
      <c r="N272" s="87" t="s">
        <v>462</v>
      </c>
      <c r="O272" s="87" t="s">
        <v>1808</v>
      </c>
      <c r="P272" s="169">
        <v>0.3</v>
      </c>
      <c r="Q272" s="87" t="s">
        <v>1809</v>
      </c>
      <c r="R272" s="87" t="s">
        <v>1810</v>
      </c>
      <c r="S272" s="87" t="s">
        <v>1201</v>
      </c>
      <c r="T272" s="60">
        <v>18</v>
      </c>
      <c r="U272" s="87" t="s">
        <v>671</v>
      </c>
      <c r="V272" s="126" t="s">
        <v>239</v>
      </c>
      <c r="W272" s="127"/>
      <c r="X272" s="108">
        <v>45783</v>
      </c>
      <c r="Y272" s="135"/>
      <c r="Z272" s="87"/>
      <c r="AA272" s="16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  <c r="AN272" s="87"/>
      <c r="AO272" s="87"/>
      <c r="AP272" s="54">
        <f>IF(OR(X272="",C272=""),"",NETWORKDAYS.INTL(C272,X272,1,'HELPER(Dont Delete)'!A:A))</f>
        <v>5</v>
      </c>
      <c r="AQ272" s="54" t="str">
        <f>IF(OR(X272="",Y272=""),"",NETWORKDAYS.INTL(X272,Y272,1,'HELPER(Dont Delete)'!A:A))</f>
        <v/>
      </c>
      <c r="AR272" s="54" t="str">
        <f>IF(OR(Y272="",AA272=""),"",NETWORKDAYS.INTL(Y272,AA272,1,'HELPER(Dont Delete)'!A:A))</f>
        <v/>
      </c>
      <c r="AS272" s="87"/>
      <c r="AT272" s="87"/>
      <c r="AU272" s="87"/>
      <c r="AV272" s="87"/>
      <c r="AW272" s="87"/>
      <c r="AX272" s="87"/>
      <c r="AY272" s="87"/>
      <c r="AZ272" s="87"/>
      <c r="BA272" s="87"/>
      <c r="BB272" s="87"/>
      <c r="BC272" s="87"/>
      <c r="BD272" s="87"/>
      <c r="BE272" s="87"/>
      <c r="BF272" s="87"/>
      <c r="BG272" s="87"/>
      <c r="BH272" s="87"/>
      <c r="BI272" s="87"/>
      <c r="BJ272" s="87"/>
      <c r="BK272" s="87"/>
      <c r="BL272" s="87"/>
      <c r="BM272" s="87"/>
      <c r="BN272" s="87"/>
      <c r="BO272" s="87"/>
      <c r="BP272" s="87"/>
      <c r="BQ272" s="87"/>
      <c r="BR272" s="87"/>
      <c r="BS272" s="87"/>
      <c r="BT272" s="87"/>
      <c r="BU272" s="87"/>
      <c r="BV272" s="87"/>
      <c r="BW272" s="87"/>
      <c r="BX272" s="87"/>
      <c r="BY272" s="87"/>
      <c r="BZ272" s="87"/>
      <c r="CA272" s="87"/>
      <c r="CB272" s="87"/>
      <c r="CC272" s="87"/>
      <c r="CD272" s="87"/>
      <c r="CE272" s="87"/>
      <c r="CF272" s="87"/>
      <c r="CG272" s="87"/>
      <c r="CH272" s="87"/>
      <c r="CI272" s="87"/>
      <c r="CJ272" s="87"/>
      <c r="CK272" s="87"/>
      <c r="CL272" s="87"/>
      <c r="CM272" s="87"/>
      <c r="CN272" s="87"/>
      <c r="CO272" s="87"/>
      <c r="CP272" s="87"/>
      <c r="CQ272" s="87"/>
      <c r="CR272" s="87"/>
    </row>
    <row r="273" spans="1:96">
      <c r="A273" s="87"/>
      <c r="B273" s="155">
        <v>45750</v>
      </c>
      <c r="C273" s="127">
        <v>45777</v>
      </c>
      <c r="D273" s="87" t="s">
        <v>157</v>
      </c>
      <c r="E273" s="82" t="s">
        <v>219</v>
      </c>
      <c r="F273" s="82" t="s">
        <v>220</v>
      </c>
      <c r="G273" s="91" t="s">
        <v>1811</v>
      </c>
      <c r="H273" s="91">
        <v>9766162944</v>
      </c>
      <c r="I273" s="90" t="s">
        <v>1812</v>
      </c>
      <c r="J273" s="91" t="s">
        <v>1226</v>
      </c>
      <c r="K273" s="91">
        <v>7</v>
      </c>
      <c r="L273" s="91">
        <v>3</v>
      </c>
      <c r="M273" s="91" t="s">
        <v>1813</v>
      </c>
      <c r="N273" s="91" t="s">
        <v>1155</v>
      </c>
      <c r="O273" s="91" t="s">
        <v>1163</v>
      </c>
      <c r="P273" s="91" t="s">
        <v>488</v>
      </c>
      <c r="Q273" s="91" t="s">
        <v>456</v>
      </c>
      <c r="R273" s="91" t="s">
        <v>228</v>
      </c>
      <c r="S273" s="91" t="s">
        <v>1814</v>
      </c>
      <c r="T273" s="60"/>
      <c r="U273" s="87" t="s">
        <v>671</v>
      </c>
      <c r="V273" s="126" t="s">
        <v>239</v>
      </c>
      <c r="W273" s="127"/>
      <c r="X273" s="108">
        <v>45778</v>
      </c>
      <c r="Y273" s="135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  <c r="AO273" s="87"/>
      <c r="AP273" s="54">
        <f>IF(OR(X273="",C273=""),"",NETWORKDAYS.INTL(C273,X273,1,'HELPER(Dont Delete)'!A:A))</f>
        <v>2</v>
      </c>
      <c r="AQ273" s="54" t="str">
        <f>IF(OR(X273="",Y273=""),"",NETWORKDAYS.INTL(X273,Y273,1,'HELPER(Dont Delete)'!A:A))</f>
        <v/>
      </c>
      <c r="AR273" s="54" t="str">
        <f>IF(OR(Y273="",AA273=""),"",NETWORKDAYS.INTL(Y273,AA273,1,'HELPER(Dont Delete)'!A:A))</f>
        <v/>
      </c>
      <c r="AS273" s="87"/>
      <c r="AT273" s="87"/>
      <c r="AU273" s="87"/>
      <c r="AV273" s="87"/>
      <c r="AW273" s="87"/>
      <c r="AX273" s="87"/>
      <c r="AY273" s="87"/>
      <c r="AZ273" s="87"/>
      <c r="BA273" s="87"/>
      <c r="BB273" s="87"/>
      <c r="BC273" s="87"/>
      <c r="BD273" s="87"/>
      <c r="BE273" s="87"/>
      <c r="BF273" s="87"/>
      <c r="BG273" s="87"/>
      <c r="BH273" s="87"/>
      <c r="BI273" s="87"/>
      <c r="BJ273" s="87"/>
      <c r="BK273" s="87"/>
      <c r="BL273" s="87"/>
      <c r="BM273" s="87"/>
      <c r="BN273" s="87"/>
      <c r="BO273" s="87"/>
      <c r="BP273" s="87"/>
      <c r="BQ273" s="87"/>
      <c r="BR273" s="87"/>
      <c r="BS273" s="87"/>
      <c r="BT273" s="87"/>
      <c r="BU273" s="87"/>
      <c r="BV273" s="87"/>
      <c r="BW273" s="87"/>
      <c r="BX273" s="87"/>
      <c r="BY273" s="87"/>
      <c r="BZ273" s="87"/>
      <c r="CA273" s="87"/>
      <c r="CB273" s="87"/>
      <c r="CC273" s="87"/>
      <c r="CD273" s="87"/>
      <c r="CE273" s="87"/>
      <c r="CF273" s="87"/>
      <c r="CG273" s="87"/>
      <c r="CH273" s="87"/>
      <c r="CI273" s="87"/>
      <c r="CJ273" s="87"/>
      <c r="CK273" s="87"/>
      <c r="CL273" s="87"/>
      <c r="CM273" s="87"/>
      <c r="CN273" s="87"/>
      <c r="CO273" s="87"/>
      <c r="CP273" s="87"/>
      <c r="CQ273" s="87"/>
      <c r="CR273" s="87"/>
    </row>
    <row r="274" spans="1:96">
      <c r="A274" s="87"/>
      <c r="B274" s="135">
        <v>45750</v>
      </c>
      <c r="C274" s="127">
        <v>45777</v>
      </c>
      <c r="D274" s="87" t="s">
        <v>157</v>
      </c>
      <c r="E274" s="82" t="s">
        <v>219</v>
      </c>
      <c r="F274" s="82" t="s">
        <v>220</v>
      </c>
      <c r="G274" s="140" t="s">
        <v>1815</v>
      </c>
      <c r="H274" s="87">
        <v>6300057891</v>
      </c>
      <c r="I274" s="87" t="s">
        <v>1816</v>
      </c>
      <c r="J274" s="141" t="s">
        <v>1817</v>
      </c>
      <c r="K274" s="87">
        <v>3</v>
      </c>
      <c r="L274" s="87">
        <v>3</v>
      </c>
      <c r="M274" s="87" t="s">
        <v>1818</v>
      </c>
      <c r="N274" s="87" t="s">
        <v>699</v>
      </c>
      <c r="O274" s="87" t="s">
        <v>1819</v>
      </c>
      <c r="P274" s="87" t="s">
        <v>1820</v>
      </c>
      <c r="Q274" s="87" t="s">
        <v>456</v>
      </c>
      <c r="R274" s="87" t="s">
        <v>79</v>
      </c>
      <c r="S274" s="87" t="s">
        <v>1201</v>
      </c>
      <c r="T274" s="60"/>
      <c r="U274" s="87" t="s">
        <v>671</v>
      </c>
      <c r="V274" s="126" t="s">
        <v>291</v>
      </c>
      <c r="W274" s="127"/>
      <c r="X274" s="108">
        <v>45778</v>
      </c>
      <c r="Y274" s="135"/>
      <c r="Z274" s="87"/>
      <c r="AA274" s="16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  <c r="AN274" s="87"/>
      <c r="AO274" s="87"/>
      <c r="AP274" s="54">
        <f>IF(OR(X274="",C274=""),"",NETWORKDAYS.INTL(C274,X274,1,'HELPER(Dont Delete)'!A:A))</f>
        <v>2</v>
      </c>
      <c r="AQ274" s="54" t="str">
        <f>IF(OR(X274="",Y274=""),"",NETWORKDAYS.INTL(X274,Y274,1,'HELPER(Dont Delete)'!A:A))</f>
        <v/>
      </c>
      <c r="AR274" s="54" t="str">
        <f>IF(OR(Y274="",AA274=""),"",NETWORKDAYS.INTL(Y274,AA274,1,'HELPER(Dont Delete)'!A:A))</f>
        <v/>
      </c>
      <c r="AS274" s="87"/>
      <c r="AT274" s="87"/>
      <c r="AU274" s="87"/>
      <c r="AV274" s="87"/>
      <c r="AW274" s="87"/>
      <c r="AX274" s="87"/>
      <c r="AY274" s="87"/>
      <c r="AZ274" s="87"/>
      <c r="BA274" s="87"/>
      <c r="BB274" s="87"/>
      <c r="BC274" s="87"/>
      <c r="BD274" s="87"/>
      <c r="BE274" s="87"/>
      <c r="BF274" s="87"/>
      <c r="BG274" s="87"/>
      <c r="BH274" s="87"/>
      <c r="BI274" s="87"/>
      <c r="BJ274" s="87"/>
      <c r="BK274" s="87"/>
      <c r="BL274" s="87"/>
      <c r="BM274" s="87"/>
      <c r="BN274" s="87"/>
      <c r="BO274" s="87"/>
      <c r="BP274" s="87"/>
      <c r="BQ274" s="87"/>
      <c r="BR274" s="87"/>
      <c r="BS274" s="87"/>
      <c r="BT274" s="87"/>
      <c r="BU274" s="87"/>
      <c r="BV274" s="87"/>
      <c r="BW274" s="87"/>
      <c r="BX274" s="87"/>
      <c r="BY274" s="87"/>
      <c r="BZ274" s="87"/>
      <c r="CA274" s="87"/>
      <c r="CB274" s="87"/>
      <c r="CC274" s="87"/>
      <c r="CD274" s="87"/>
      <c r="CE274" s="87"/>
      <c r="CF274" s="87"/>
      <c r="CG274" s="87"/>
      <c r="CH274" s="87"/>
      <c r="CI274" s="87"/>
      <c r="CJ274" s="87"/>
      <c r="CK274" s="87"/>
      <c r="CL274" s="87"/>
      <c r="CM274" s="87"/>
      <c r="CN274" s="87"/>
      <c r="CO274" s="87"/>
      <c r="CP274" s="87"/>
      <c r="CQ274" s="87"/>
      <c r="CR274" s="87"/>
    </row>
    <row r="275" spans="1:96">
      <c r="A275" s="87"/>
      <c r="B275" s="135">
        <v>45750</v>
      </c>
      <c r="C275" s="127">
        <v>45777</v>
      </c>
      <c r="D275" s="87" t="s">
        <v>157</v>
      </c>
      <c r="E275" s="82" t="s">
        <v>219</v>
      </c>
      <c r="F275" s="82" t="s">
        <v>220</v>
      </c>
      <c r="G275" s="140" t="s">
        <v>1821</v>
      </c>
      <c r="H275" s="87">
        <v>8073617740</v>
      </c>
      <c r="I275" s="87" t="s">
        <v>1822</v>
      </c>
      <c r="J275" s="141" t="s">
        <v>1823</v>
      </c>
      <c r="K275" s="87">
        <v>3.5</v>
      </c>
      <c r="L275" s="87">
        <v>3.5</v>
      </c>
      <c r="M275" s="87" t="s">
        <v>1824</v>
      </c>
      <c r="N275" s="87" t="s">
        <v>1641</v>
      </c>
      <c r="O275" s="87" t="s">
        <v>1164</v>
      </c>
      <c r="P275" s="87" t="s">
        <v>488</v>
      </c>
      <c r="Q275" s="87" t="s">
        <v>41</v>
      </c>
      <c r="R275" s="87" t="s">
        <v>1825</v>
      </c>
      <c r="S275" s="87" t="s">
        <v>1201</v>
      </c>
      <c r="T275" s="60"/>
      <c r="U275" s="87" t="s">
        <v>671</v>
      </c>
      <c r="V275" s="126" t="s">
        <v>339</v>
      </c>
      <c r="W275" s="127" t="s">
        <v>1136</v>
      </c>
      <c r="X275" s="108">
        <v>45778</v>
      </c>
      <c r="Y275" s="135">
        <v>45780</v>
      </c>
      <c r="Z275" s="87"/>
      <c r="AA275" s="16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  <c r="AN275" s="87"/>
      <c r="AO275" s="87"/>
      <c r="AP275" s="54">
        <f>IF(OR(X275="",C275=""),"",NETWORKDAYS.INTL(C275,X275,1,'HELPER(Dont Delete)'!A:A))</f>
        <v>2</v>
      </c>
      <c r="AQ275" s="54">
        <f>IF(OR(X275="",Y275=""),"",NETWORKDAYS.INTL(X275,Y275,1,'HELPER(Dont Delete)'!A:A))</f>
        <v>2</v>
      </c>
      <c r="AR275" s="54" t="str">
        <f>IF(OR(Y275="",AA275=""),"",NETWORKDAYS.INTL(Y275,AA275,1,'HELPER(Dont Delete)'!A:A))</f>
        <v/>
      </c>
      <c r="AS275" s="87"/>
      <c r="AT275" s="87"/>
      <c r="AU275" s="87"/>
      <c r="AV275" s="87"/>
      <c r="AW275" s="87"/>
      <c r="AX275" s="87"/>
      <c r="AY275" s="87"/>
      <c r="AZ275" s="87"/>
      <c r="BA275" s="87"/>
      <c r="BB275" s="87"/>
      <c r="BC275" s="87"/>
      <c r="BD275" s="87"/>
      <c r="BE275" s="87"/>
      <c r="BF275" s="87"/>
      <c r="BG275" s="87"/>
      <c r="BH275" s="87"/>
      <c r="BI275" s="87"/>
      <c r="BJ275" s="87"/>
      <c r="BK275" s="87"/>
      <c r="BL275" s="87"/>
      <c r="BM275" s="87"/>
      <c r="BN275" s="87"/>
      <c r="BO275" s="87"/>
      <c r="BP275" s="87"/>
      <c r="BQ275" s="87"/>
      <c r="BR275" s="87"/>
      <c r="BS275" s="87"/>
      <c r="BT275" s="87"/>
      <c r="BU275" s="87"/>
      <c r="BV275" s="87"/>
      <c r="BW275" s="87"/>
      <c r="BX275" s="87"/>
      <c r="BY275" s="87"/>
      <c r="BZ275" s="87"/>
      <c r="CA275" s="87"/>
      <c r="CB275" s="87"/>
      <c r="CC275" s="87"/>
      <c r="CD275" s="87"/>
      <c r="CE275" s="87"/>
      <c r="CF275" s="87"/>
      <c r="CG275" s="87"/>
      <c r="CH275" s="87"/>
      <c r="CI275" s="87"/>
      <c r="CJ275" s="87"/>
      <c r="CK275" s="87"/>
      <c r="CL275" s="87"/>
      <c r="CM275" s="87"/>
      <c r="CN275" s="87"/>
      <c r="CO275" s="87"/>
      <c r="CP275" s="87"/>
      <c r="CQ275" s="87"/>
      <c r="CR275" s="87"/>
    </row>
    <row r="276" spans="1:96">
      <c r="A276" s="87"/>
      <c r="B276" s="135">
        <v>45742</v>
      </c>
      <c r="C276" s="127">
        <v>45778</v>
      </c>
      <c r="D276" s="87" t="s">
        <v>110</v>
      </c>
      <c r="E276" s="82" t="s">
        <v>219</v>
      </c>
      <c r="F276" s="82" t="s">
        <v>220</v>
      </c>
      <c r="G276" s="140" t="s">
        <v>1826</v>
      </c>
      <c r="H276" s="87">
        <v>7042158183</v>
      </c>
      <c r="I276" s="87" t="s">
        <v>1827</v>
      </c>
      <c r="J276" s="141" t="s">
        <v>1226</v>
      </c>
      <c r="K276" s="87">
        <v>10</v>
      </c>
      <c r="L276" s="87">
        <v>10</v>
      </c>
      <c r="M276" s="87" t="s">
        <v>1828</v>
      </c>
      <c r="N276" s="87" t="s">
        <v>699</v>
      </c>
      <c r="O276" s="87" t="s">
        <v>1829</v>
      </c>
      <c r="P276" s="169">
        <v>0.3</v>
      </c>
      <c r="Q276" s="87" t="s">
        <v>1213</v>
      </c>
      <c r="R276" s="87" t="s">
        <v>315</v>
      </c>
      <c r="S276" s="87" t="s">
        <v>1201</v>
      </c>
      <c r="T276" s="60">
        <v>2</v>
      </c>
      <c r="U276" s="87" t="s">
        <v>671</v>
      </c>
      <c r="V276" s="126" t="s">
        <v>231</v>
      </c>
      <c r="W276" s="127" t="s">
        <v>1260</v>
      </c>
      <c r="X276" s="108">
        <v>45779</v>
      </c>
      <c r="Y276" s="135">
        <v>45784</v>
      </c>
      <c r="Z276" s="87" t="s">
        <v>232</v>
      </c>
      <c r="AA276" s="16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  <c r="AN276" s="87"/>
      <c r="AO276" s="87"/>
      <c r="AP276" s="54">
        <f>IF(OR(X276="",C276=""),"",NETWORKDAYS.INTL(C276,X276,1,'HELPER(Dont Delete)'!A:A))</f>
        <v>2</v>
      </c>
      <c r="AQ276" s="54">
        <f>IF(OR(X276="",Y276=""),"",NETWORKDAYS.INTL(X276,Y276,1,'HELPER(Dont Delete)'!A:A))</f>
        <v>4</v>
      </c>
      <c r="AR276" s="54" t="str">
        <f>IF(OR(Y276="",AA276=""),"",NETWORKDAYS.INTL(Y276,AA276,1,'HELPER(Dont Delete)'!A:A))</f>
        <v/>
      </c>
      <c r="AS276" s="87"/>
      <c r="AT276" s="87"/>
      <c r="AU276" s="87"/>
      <c r="AV276" s="87"/>
      <c r="AW276" s="87"/>
      <c r="AX276" s="87"/>
      <c r="AY276" s="87"/>
      <c r="AZ276" s="87"/>
      <c r="BA276" s="87"/>
      <c r="BB276" s="87"/>
      <c r="BC276" s="87"/>
      <c r="BD276" s="87"/>
      <c r="BE276" s="87"/>
      <c r="BF276" s="87"/>
      <c r="BG276" s="87"/>
      <c r="BH276" s="87"/>
      <c r="BI276" s="87"/>
      <c r="BJ276" s="87"/>
      <c r="BK276" s="87"/>
      <c r="BL276" s="87"/>
      <c r="BM276" s="87"/>
      <c r="BN276" s="87"/>
      <c r="BO276" s="87"/>
      <c r="BP276" s="87"/>
      <c r="BQ276" s="87"/>
      <c r="BR276" s="87"/>
      <c r="BS276" s="87"/>
      <c r="BT276" s="87"/>
      <c r="BU276" s="87"/>
      <c r="BV276" s="87"/>
      <c r="BW276" s="87"/>
      <c r="BX276" s="87"/>
      <c r="BY276" s="87"/>
      <c r="BZ276" s="87"/>
      <c r="CA276" s="87"/>
      <c r="CB276" s="87"/>
      <c r="CC276" s="87"/>
      <c r="CD276" s="87"/>
      <c r="CE276" s="87"/>
      <c r="CF276" s="87"/>
      <c r="CG276" s="87"/>
      <c r="CH276" s="87"/>
      <c r="CI276" s="87"/>
      <c r="CJ276" s="87"/>
      <c r="CK276" s="87"/>
      <c r="CL276" s="87"/>
      <c r="CM276" s="87"/>
      <c r="CN276" s="87"/>
      <c r="CO276" s="87"/>
      <c r="CP276" s="87"/>
      <c r="CQ276" s="87"/>
      <c r="CR276" s="87"/>
    </row>
    <row r="277" spans="1:96">
      <c r="A277" s="87"/>
      <c r="B277" s="135">
        <v>45742</v>
      </c>
      <c r="C277" s="127">
        <v>45778</v>
      </c>
      <c r="D277" s="87" t="s">
        <v>110</v>
      </c>
      <c r="E277" s="82" t="s">
        <v>219</v>
      </c>
      <c r="F277" s="82" t="s">
        <v>220</v>
      </c>
      <c r="G277" s="140" t="s">
        <v>1830</v>
      </c>
      <c r="H277" s="87" t="s">
        <v>1831</v>
      </c>
      <c r="I277" s="87" t="s">
        <v>1832</v>
      </c>
      <c r="J277" s="141" t="s">
        <v>1226</v>
      </c>
      <c r="K277" s="87">
        <v>18</v>
      </c>
      <c r="L277" s="87">
        <v>8</v>
      </c>
      <c r="M277" s="87" t="s">
        <v>1833</v>
      </c>
      <c r="N277" s="87" t="s">
        <v>236</v>
      </c>
      <c r="O277" s="87" t="s">
        <v>1834</v>
      </c>
      <c r="P277" s="87" t="s">
        <v>1835</v>
      </c>
      <c r="Q277" s="87" t="s">
        <v>1836</v>
      </c>
      <c r="R277" s="87" t="s">
        <v>64</v>
      </c>
      <c r="S277" s="87" t="s">
        <v>1201</v>
      </c>
      <c r="T277" s="60">
        <v>3</v>
      </c>
      <c r="U277" s="87" t="s">
        <v>671</v>
      </c>
      <c r="V277" s="126" t="s">
        <v>231</v>
      </c>
      <c r="W277" s="127" t="s">
        <v>1260</v>
      </c>
      <c r="X277" s="108">
        <v>45779</v>
      </c>
      <c r="Y277" s="135">
        <v>45784</v>
      </c>
      <c r="Z277" s="87" t="s">
        <v>232</v>
      </c>
      <c r="AA277" s="16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  <c r="AN277" s="87"/>
      <c r="AO277" s="87"/>
      <c r="AP277" s="54">
        <f>IF(OR(X277="",C277=""),"",NETWORKDAYS.INTL(C277,X277,1,'HELPER(Dont Delete)'!A:A))</f>
        <v>2</v>
      </c>
      <c r="AQ277" s="54">
        <f>IF(OR(X277="",Y277=""),"",NETWORKDAYS.INTL(X277,Y277,1,'HELPER(Dont Delete)'!A:A))</f>
        <v>4</v>
      </c>
      <c r="AR277" s="54" t="str">
        <f>IF(OR(Y277="",AA277=""),"",NETWORKDAYS.INTL(Y277,AA277,1,'HELPER(Dont Delete)'!A:A))</f>
        <v/>
      </c>
      <c r="AS277" s="87"/>
      <c r="AT277" s="87"/>
      <c r="AU277" s="87"/>
      <c r="AV277" s="87"/>
      <c r="AW277" s="87"/>
      <c r="AX277" s="87"/>
      <c r="AY277" s="87"/>
      <c r="AZ277" s="87"/>
      <c r="BA277" s="87"/>
      <c r="BB277" s="87"/>
      <c r="BC277" s="87"/>
      <c r="BD277" s="87"/>
      <c r="BE277" s="87"/>
      <c r="BF277" s="87"/>
      <c r="BG277" s="87"/>
      <c r="BH277" s="87"/>
      <c r="BI277" s="87"/>
      <c r="BJ277" s="87"/>
      <c r="BK277" s="87"/>
      <c r="BL277" s="87"/>
      <c r="BM277" s="87"/>
      <c r="BN277" s="87"/>
      <c r="BO277" s="87"/>
      <c r="BP277" s="87"/>
      <c r="BQ277" s="87"/>
      <c r="BR277" s="87"/>
      <c r="BS277" s="87"/>
      <c r="BT277" s="87"/>
      <c r="BU277" s="87"/>
      <c r="BV277" s="87"/>
      <c r="BW277" s="87"/>
      <c r="BX277" s="87"/>
      <c r="BY277" s="87"/>
      <c r="BZ277" s="87"/>
      <c r="CA277" s="87"/>
      <c r="CB277" s="87"/>
      <c r="CC277" s="87"/>
      <c r="CD277" s="87"/>
      <c r="CE277" s="87"/>
      <c r="CF277" s="87"/>
      <c r="CG277" s="87"/>
      <c r="CH277" s="87"/>
      <c r="CI277" s="87"/>
      <c r="CJ277" s="87"/>
      <c r="CK277" s="87"/>
      <c r="CL277" s="87"/>
      <c r="CM277" s="87"/>
      <c r="CN277" s="87"/>
      <c r="CO277" s="87"/>
      <c r="CP277" s="87"/>
      <c r="CQ277" s="87"/>
      <c r="CR277" s="87"/>
    </row>
    <row r="278" spans="1:96">
      <c r="A278" s="87"/>
      <c r="B278" s="135">
        <v>45685</v>
      </c>
      <c r="C278" s="127">
        <v>45782</v>
      </c>
      <c r="D278" s="87" t="s">
        <v>107</v>
      </c>
      <c r="E278" s="82" t="s">
        <v>219</v>
      </c>
      <c r="F278" s="82" t="s">
        <v>220</v>
      </c>
      <c r="G278" s="111" t="s">
        <v>1837</v>
      </c>
      <c r="H278" s="181">
        <v>9016167197</v>
      </c>
      <c r="I278" s="181" t="s">
        <v>1838</v>
      </c>
      <c r="J278" s="211" t="s">
        <v>1331</v>
      </c>
      <c r="K278" s="181">
        <v>7</v>
      </c>
      <c r="L278" s="181">
        <v>7</v>
      </c>
      <c r="M278" s="181" t="s">
        <v>1839</v>
      </c>
      <c r="N278" s="181" t="s">
        <v>1840</v>
      </c>
      <c r="O278" s="181" t="s">
        <v>70</v>
      </c>
      <c r="P278" s="183" t="s">
        <v>1841</v>
      </c>
      <c r="Q278" s="181" t="s">
        <v>1340</v>
      </c>
      <c r="R278" s="181" t="s">
        <v>1842</v>
      </c>
      <c r="S278" s="181" t="s">
        <v>1201</v>
      </c>
      <c r="T278" s="60"/>
      <c r="U278" s="157" t="s">
        <v>369</v>
      </c>
      <c r="V278" s="126" t="s">
        <v>239</v>
      </c>
      <c r="W278" s="127"/>
      <c r="X278" s="108">
        <v>45783</v>
      </c>
      <c r="Y278" s="135"/>
      <c r="Z278" s="87"/>
      <c r="AA278" s="16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  <c r="AN278" s="87"/>
      <c r="AO278" s="87"/>
      <c r="AP278" s="54">
        <f>IF(OR(X278="",C278=""),"",NETWORKDAYS.INTL(C278,X278,1,'HELPER(Dont Delete)'!A:A))</f>
        <v>2</v>
      </c>
      <c r="AQ278" s="54" t="str">
        <f>IF(OR(X278="",Y278=""),"",NETWORKDAYS.INTL(X278,Y278,1,'HELPER(Dont Delete)'!A:A))</f>
        <v/>
      </c>
      <c r="AR278" s="54" t="str">
        <f>IF(OR(Y278="",AA278=""),"",NETWORKDAYS.INTL(Y278,AA278,1,'HELPER(Dont Delete)'!A:A))</f>
        <v/>
      </c>
      <c r="AS278" s="87"/>
      <c r="AT278" s="87"/>
      <c r="AU278" s="87"/>
      <c r="AV278" s="87"/>
      <c r="AW278" s="87"/>
      <c r="AX278" s="87"/>
      <c r="AY278" s="87"/>
      <c r="AZ278" s="87"/>
      <c r="BA278" s="87"/>
      <c r="BB278" s="87"/>
      <c r="BC278" s="87"/>
      <c r="BD278" s="87"/>
      <c r="BE278" s="87"/>
      <c r="BF278" s="87"/>
      <c r="BG278" s="87"/>
      <c r="BH278" s="87"/>
      <c r="BI278" s="87"/>
      <c r="BJ278" s="87"/>
      <c r="BK278" s="87"/>
      <c r="BL278" s="87"/>
      <c r="BM278" s="87"/>
      <c r="BN278" s="87"/>
      <c r="BO278" s="87"/>
      <c r="BP278" s="87"/>
      <c r="BQ278" s="87"/>
      <c r="BR278" s="87"/>
      <c r="BS278" s="87"/>
      <c r="BT278" s="87"/>
      <c r="BU278" s="87"/>
      <c r="BV278" s="87"/>
      <c r="BW278" s="87"/>
      <c r="BX278" s="87"/>
      <c r="BY278" s="87"/>
      <c r="BZ278" s="87"/>
      <c r="CA278" s="87"/>
      <c r="CB278" s="87"/>
      <c r="CC278" s="87"/>
      <c r="CD278" s="87"/>
      <c r="CE278" s="87"/>
      <c r="CF278" s="87"/>
      <c r="CG278" s="87"/>
      <c r="CH278" s="87"/>
      <c r="CI278" s="87"/>
      <c r="CJ278" s="87"/>
      <c r="CK278" s="87"/>
      <c r="CL278" s="87"/>
      <c r="CM278" s="87"/>
      <c r="CN278" s="87"/>
      <c r="CO278" s="87"/>
      <c r="CP278" s="87"/>
      <c r="CQ278" s="87"/>
      <c r="CR278" s="87"/>
    </row>
    <row r="279" spans="1:96">
      <c r="A279" s="87"/>
      <c r="B279" s="135">
        <v>45685</v>
      </c>
      <c r="C279" s="127">
        <v>45782</v>
      </c>
      <c r="D279" s="87" t="s">
        <v>107</v>
      </c>
      <c r="E279" s="82" t="s">
        <v>219</v>
      </c>
      <c r="F279" s="82" t="s">
        <v>220</v>
      </c>
      <c r="G279" s="179" t="s">
        <v>1843</v>
      </c>
      <c r="H279" s="203">
        <v>8208578271</v>
      </c>
      <c r="I279" s="203" t="s">
        <v>1844</v>
      </c>
      <c r="J279" s="213" t="s">
        <v>1331</v>
      </c>
      <c r="K279" s="203">
        <v>9</v>
      </c>
      <c r="L279" s="203">
        <v>9</v>
      </c>
      <c r="M279" s="203" t="s">
        <v>1845</v>
      </c>
      <c r="N279" s="203" t="s">
        <v>425</v>
      </c>
      <c r="O279" s="203" t="s">
        <v>1846</v>
      </c>
      <c r="P279" s="220" t="s">
        <v>770</v>
      </c>
      <c r="Q279" s="203" t="s">
        <v>1340</v>
      </c>
      <c r="R279" s="203" t="s">
        <v>42</v>
      </c>
      <c r="S279" s="203" t="s">
        <v>1201</v>
      </c>
      <c r="T279" s="60"/>
      <c r="U279" s="157" t="s">
        <v>369</v>
      </c>
      <c r="V279" s="126" t="s">
        <v>291</v>
      </c>
      <c r="W279" s="127"/>
      <c r="X279" s="108">
        <v>45783</v>
      </c>
      <c r="Y279" s="135"/>
      <c r="Z279" s="87"/>
      <c r="AA279" s="16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  <c r="AO279" s="87"/>
      <c r="AP279" s="54">
        <f>IF(OR(X279="",C279=""),"",NETWORKDAYS.INTL(C279,X279,1,'HELPER(Dont Delete)'!A:A))</f>
        <v>2</v>
      </c>
      <c r="AQ279" s="54" t="str">
        <f>IF(OR(X279="",Y279=""),"",NETWORKDAYS.INTL(X279,Y279,1,'HELPER(Dont Delete)'!A:A))</f>
        <v/>
      </c>
      <c r="AR279" s="54" t="str">
        <f>IF(OR(Y279="",AA279=""),"",NETWORKDAYS.INTL(Y279,AA279,1,'HELPER(Dont Delete)'!A:A))</f>
        <v/>
      </c>
      <c r="AS279" s="87"/>
      <c r="AT279" s="87"/>
      <c r="AU279" s="87"/>
      <c r="AV279" s="87"/>
      <c r="AW279" s="87"/>
      <c r="AX279" s="87"/>
      <c r="AY279" s="87"/>
      <c r="AZ279" s="87"/>
      <c r="BA279" s="87"/>
      <c r="BB279" s="87"/>
      <c r="BC279" s="87"/>
      <c r="BD279" s="87"/>
      <c r="BE279" s="87"/>
      <c r="BF279" s="87"/>
      <c r="BG279" s="87"/>
      <c r="BH279" s="87"/>
      <c r="BI279" s="87"/>
      <c r="BJ279" s="87"/>
      <c r="BK279" s="87"/>
      <c r="BL279" s="87"/>
      <c r="BM279" s="87"/>
      <c r="BN279" s="87"/>
      <c r="BO279" s="87"/>
      <c r="BP279" s="87"/>
      <c r="BQ279" s="87"/>
      <c r="BR279" s="87"/>
      <c r="BS279" s="87"/>
      <c r="BT279" s="87"/>
      <c r="BU279" s="87"/>
      <c r="BV279" s="87"/>
      <c r="BW279" s="87"/>
      <c r="BX279" s="87"/>
      <c r="BY279" s="87"/>
      <c r="BZ279" s="87"/>
      <c r="CA279" s="87"/>
      <c r="CB279" s="87"/>
      <c r="CC279" s="87"/>
      <c r="CD279" s="87"/>
      <c r="CE279" s="87"/>
      <c r="CF279" s="87"/>
      <c r="CG279" s="87"/>
      <c r="CH279" s="87"/>
      <c r="CI279" s="87"/>
      <c r="CJ279" s="87"/>
      <c r="CK279" s="87"/>
      <c r="CL279" s="87"/>
      <c r="CM279" s="87"/>
      <c r="CN279" s="87"/>
      <c r="CO279" s="87"/>
      <c r="CP279" s="87"/>
      <c r="CQ279" s="87"/>
      <c r="CR279" s="87"/>
    </row>
    <row r="280" spans="1:96">
      <c r="A280" s="87"/>
      <c r="B280" s="135">
        <v>45747</v>
      </c>
      <c r="C280" s="127">
        <v>45783</v>
      </c>
      <c r="D280" s="87" t="s">
        <v>141</v>
      </c>
      <c r="E280" s="82" t="s">
        <v>219</v>
      </c>
      <c r="F280" s="82" t="s">
        <v>220</v>
      </c>
      <c r="G280" s="124" t="s">
        <v>1847</v>
      </c>
      <c r="H280" s="168">
        <v>9643594481</v>
      </c>
      <c r="I280" s="174" t="s">
        <v>1848</v>
      </c>
      <c r="J280" s="168" t="s">
        <v>1849</v>
      </c>
      <c r="K280" s="168">
        <v>14</v>
      </c>
      <c r="L280" s="168">
        <v>8</v>
      </c>
      <c r="M280" s="168" t="s">
        <v>1850</v>
      </c>
      <c r="N280" s="168" t="s">
        <v>236</v>
      </c>
      <c r="O280" s="168" t="s">
        <v>1386</v>
      </c>
      <c r="P280" s="168" t="s">
        <v>1851</v>
      </c>
      <c r="Q280" s="168" t="s">
        <v>409</v>
      </c>
      <c r="R280" s="168" t="s">
        <v>68</v>
      </c>
      <c r="S280" s="168" t="s">
        <v>68</v>
      </c>
      <c r="T280" s="60"/>
      <c r="U280" s="87" t="s">
        <v>671</v>
      </c>
      <c r="V280" s="126" t="s">
        <v>291</v>
      </c>
      <c r="W280" s="127"/>
      <c r="X280" s="108">
        <v>45784</v>
      </c>
      <c r="Y280" s="135"/>
      <c r="Z280" s="87"/>
      <c r="AA280" s="16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  <c r="AN280" s="87"/>
      <c r="AO280" s="87"/>
      <c r="AP280" s="54">
        <f>IF(OR(X280="",C280=""),"",NETWORKDAYS.INTL(C280,X280,1,'HELPER(Dont Delete)'!A:A))</f>
        <v>2</v>
      </c>
      <c r="AQ280" s="54" t="str">
        <f>IF(OR(X280="",Y280=""),"",NETWORKDAYS.INTL(X280,Y280,1,'HELPER(Dont Delete)'!A:A))</f>
        <v/>
      </c>
      <c r="AR280" s="54" t="str">
        <f>IF(OR(Y280="",AA280=""),"",NETWORKDAYS.INTL(Y280,AA280,1,'HELPER(Dont Delete)'!A:A))</f>
        <v/>
      </c>
      <c r="AS280" s="87"/>
      <c r="AT280" s="87"/>
      <c r="AU280" s="87"/>
      <c r="AV280" s="87"/>
      <c r="AW280" s="87"/>
      <c r="AX280" s="87"/>
      <c r="AY280" s="87"/>
      <c r="AZ280" s="87"/>
      <c r="BA280" s="87"/>
      <c r="BB280" s="87"/>
      <c r="BC280" s="87"/>
      <c r="BD280" s="87"/>
      <c r="BE280" s="87"/>
      <c r="BF280" s="87"/>
      <c r="BG280" s="87"/>
      <c r="BH280" s="87"/>
      <c r="BI280" s="87"/>
      <c r="BJ280" s="87"/>
      <c r="BK280" s="87"/>
      <c r="BL280" s="87"/>
      <c r="BM280" s="87"/>
      <c r="BN280" s="87"/>
      <c r="BO280" s="87"/>
      <c r="BP280" s="87"/>
      <c r="BQ280" s="87"/>
      <c r="BR280" s="87"/>
      <c r="BS280" s="87"/>
      <c r="BT280" s="87"/>
      <c r="BU280" s="87"/>
      <c r="BV280" s="87"/>
      <c r="BW280" s="87"/>
      <c r="BX280" s="87"/>
      <c r="BY280" s="87"/>
      <c r="BZ280" s="87"/>
      <c r="CA280" s="87"/>
      <c r="CB280" s="87"/>
      <c r="CC280" s="87"/>
      <c r="CD280" s="87"/>
      <c r="CE280" s="87"/>
      <c r="CF280" s="87"/>
      <c r="CG280" s="87"/>
      <c r="CH280" s="87"/>
      <c r="CI280" s="87"/>
      <c r="CJ280" s="87"/>
      <c r="CK280" s="87"/>
      <c r="CL280" s="87"/>
      <c r="CM280" s="87"/>
      <c r="CN280" s="87"/>
      <c r="CO280" s="87"/>
      <c r="CP280" s="87"/>
      <c r="CQ280" s="87"/>
      <c r="CR280" s="87"/>
    </row>
    <row r="281" spans="1:96">
      <c r="A281" s="87"/>
      <c r="B281" s="135">
        <v>45747</v>
      </c>
      <c r="C281" s="127">
        <v>45783</v>
      </c>
      <c r="D281" s="87" t="s">
        <v>141</v>
      </c>
      <c r="E281" s="82" t="s">
        <v>219</v>
      </c>
      <c r="F281" s="82" t="s">
        <v>220</v>
      </c>
      <c r="G281" s="161" t="s">
        <v>1852</v>
      </c>
      <c r="H281" s="175">
        <v>9636124948</v>
      </c>
      <c r="I281" s="176" t="s">
        <v>1853</v>
      </c>
      <c r="J281" s="175" t="s">
        <v>1854</v>
      </c>
      <c r="K281" s="175">
        <v>18</v>
      </c>
      <c r="L281" s="175">
        <v>18</v>
      </c>
      <c r="M281" s="175" t="s">
        <v>1855</v>
      </c>
      <c r="N281" s="175" t="s">
        <v>462</v>
      </c>
      <c r="O281" s="175" t="s">
        <v>1386</v>
      </c>
      <c r="P281" s="177">
        <v>0.3</v>
      </c>
      <c r="Q281" s="175" t="s">
        <v>1856</v>
      </c>
      <c r="R281" s="175" t="s">
        <v>1857</v>
      </c>
      <c r="S281" s="175" t="s">
        <v>68</v>
      </c>
      <c r="T281" s="60"/>
      <c r="U281" s="87" t="s">
        <v>671</v>
      </c>
      <c r="V281" s="126" t="s">
        <v>599</v>
      </c>
      <c r="W281" s="127"/>
      <c r="X281" s="108">
        <v>45784</v>
      </c>
      <c r="Y281" s="135">
        <v>45791</v>
      </c>
      <c r="Z281" s="87" t="s">
        <v>340</v>
      </c>
      <c r="AA281" s="167">
        <v>45806</v>
      </c>
      <c r="AB281" s="87" t="s">
        <v>232</v>
      </c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  <c r="AN281" s="87"/>
      <c r="AO281" s="87"/>
      <c r="AP281" s="54">
        <f>IF(OR(X281="",C281=""),"",NETWORKDAYS.INTL(C281,X281,1,'HELPER(Dont Delete)'!A:A))</f>
        <v>2</v>
      </c>
      <c r="AQ281" s="54">
        <f>IF(OR(X281="",Y281=""),"",NETWORKDAYS.INTL(X281,Y281,1,'HELPER(Dont Delete)'!A:A))</f>
        <v>6</v>
      </c>
      <c r="AR281" s="54">
        <f>IF(OR(Y281="",AA281=""),"",NETWORKDAYS.INTL(Y281,AA281,1,'HELPER(Dont Delete)'!A:A))</f>
        <v>12</v>
      </c>
      <c r="AS281" s="87"/>
      <c r="AT281" s="87"/>
      <c r="AU281" s="87"/>
      <c r="AV281" s="87"/>
      <c r="AW281" s="87"/>
      <c r="AX281" s="87"/>
      <c r="AY281" s="87"/>
      <c r="AZ281" s="87"/>
      <c r="BA281" s="87"/>
      <c r="BB281" s="87"/>
      <c r="BC281" s="87"/>
      <c r="BD281" s="87"/>
      <c r="BE281" s="87"/>
      <c r="BF281" s="87"/>
      <c r="BG281" s="87"/>
      <c r="BH281" s="87"/>
      <c r="BI281" s="87"/>
      <c r="BJ281" s="87"/>
      <c r="BK281" s="87"/>
      <c r="BL281" s="87"/>
      <c r="BM281" s="87"/>
      <c r="BN281" s="87"/>
      <c r="BO281" s="87"/>
      <c r="BP281" s="87"/>
      <c r="BQ281" s="87"/>
      <c r="BR281" s="87"/>
      <c r="BS281" s="87"/>
      <c r="BT281" s="87"/>
      <c r="BU281" s="87"/>
      <c r="BV281" s="87"/>
      <c r="BW281" s="87"/>
      <c r="BX281" s="87"/>
      <c r="BY281" s="87"/>
      <c r="BZ281" s="87"/>
      <c r="CA281" s="87"/>
      <c r="CB281" s="87"/>
      <c r="CC281" s="87"/>
      <c r="CD281" s="87"/>
      <c r="CE281" s="87"/>
      <c r="CF281" s="87"/>
      <c r="CG281" s="87"/>
      <c r="CH281" s="87"/>
      <c r="CI281" s="87"/>
      <c r="CJ281" s="87"/>
      <c r="CK281" s="87"/>
      <c r="CL281" s="87"/>
      <c r="CM281" s="87"/>
      <c r="CN281" s="87"/>
      <c r="CO281" s="87"/>
      <c r="CP281" s="87"/>
      <c r="CQ281" s="87"/>
      <c r="CR281" s="87"/>
    </row>
    <row r="282" spans="1:96">
      <c r="A282" s="87"/>
      <c r="B282" s="135">
        <v>45685</v>
      </c>
      <c r="C282" s="127">
        <v>45785</v>
      </c>
      <c r="D282" s="87" t="s">
        <v>107</v>
      </c>
      <c r="E282" s="82" t="s">
        <v>219</v>
      </c>
      <c r="F282" s="82" t="s">
        <v>220</v>
      </c>
      <c r="G282" s="140" t="s">
        <v>1858</v>
      </c>
      <c r="H282" s="87">
        <v>9730441995</v>
      </c>
      <c r="I282" s="87" t="s">
        <v>1859</v>
      </c>
      <c r="J282" s="141" t="s">
        <v>1331</v>
      </c>
      <c r="K282" s="87">
        <v>7</v>
      </c>
      <c r="L282" s="87">
        <v>7</v>
      </c>
      <c r="M282" s="87" t="s">
        <v>1860</v>
      </c>
      <c r="N282" s="87" t="s">
        <v>425</v>
      </c>
      <c r="O282" s="87" t="s">
        <v>1861</v>
      </c>
      <c r="P282" s="169" t="s">
        <v>770</v>
      </c>
      <c r="Q282" s="87" t="s">
        <v>1862</v>
      </c>
      <c r="R282" s="87" t="s">
        <v>228</v>
      </c>
      <c r="S282" s="87" t="s">
        <v>1201</v>
      </c>
      <c r="T282" s="60"/>
      <c r="U282" s="129" t="s">
        <v>369</v>
      </c>
      <c r="V282" s="126" t="s">
        <v>339</v>
      </c>
      <c r="W282" s="127" t="s">
        <v>164</v>
      </c>
      <c r="X282" s="108">
        <v>45786</v>
      </c>
      <c r="Y282" s="135">
        <v>45787</v>
      </c>
      <c r="Z282" s="87" t="s">
        <v>340</v>
      </c>
      <c r="AA282" s="167">
        <v>45794</v>
      </c>
      <c r="AB282" s="87" t="s">
        <v>340</v>
      </c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  <c r="AN282" s="87"/>
      <c r="AO282" s="87"/>
      <c r="AP282" s="54">
        <f>IF(OR(X282="",C282=""),"",NETWORKDAYS.INTL(C282,X282,1,'HELPER(Dont Delete)'!A:A))</f>
        <v>2</v>
      </c>
      <c r="AQ282" s="54">
        <f>IF(OR(X282="",Y282=""),"",NETWORKDAYS.INTL(X282,Y282,1,'HELPER(Dont Delete)'!A:A))</f>
        <v>1</v>
      </c>
      <c r="AR282" s="54">
        <f>IF(OR(Y282="",AA282=""),"",NETWORKDAYS.INTL(Y282,AA282,1,'HELPER(Dont Delete)'!A:A))</f>
        <v>5</v>
      </c>
      <c r="AS282" s="87"/>
      <c r="AT282" s="87"/>
      <c r="AU282" s="87"/>
      <c r="AV282" s="87"/>
      <c r="AW282" s="87"/>
      <c r="AX282" s="87"/>
      <c r="AY282" s="87"/>
      <c r="AZ282" s="87"/>
      <c r="BA282" s="87"/>
      <c r="BB282" s="87"/>
      <c r="BC282" s="87"/>
      <c r="BD282" s="87"/>
      <c r="BE282" s="87"/>
      <c r="BF282" s="87"/>
      <c r="BG282" s="87"/>
      <c r="BH282" s="87"/>
      <c r="BI282" s="87"/>
      <c r="BJ282" s="87"/>
      <c r="BK282" s="87"/>
      <c r="BL282" s="87"/>
      <c r="BM282" s="87"/>
      <c r="BN282" s="87"/>
      <c r="BO282" s="87"/>
      <c r="BP282" s="87"/>
      <c r="BQ282" s="87"/>
      <c r="BR282" s="87"/>
      <c r="BS282" s="87"/>
      <c r="BT282" s="87"/>
      <c r="BU282" s="87"/>
      <c r="BV282" s="87"/>
      <c r="BW282" s="87"/>
      <c r="BX282" s="87"/>
      <c r="BY282" s="87"/>
      <c r="BZ282" s="87"/>
      <c r="CA282" s="87"/>
      <c r="CB282" s="87"/>
      <c r="CC282" s="87"/>
      <c r="CD282" s="87"/>
      <c r="CE282" s="87"/>
      <c r="CF282" s="87"/>
      <c r="CG282" s="87"/>
      <c r="CH282" s="87"/>
      <c r="CI282" s="87"/>
      <c r="CJ282" s="87"/>
      <c r="CK282" s="87"/>
      <c r="CL282" s="87"/>
      <c r="CM282" s="87"/>
      <c r="CN282" s="87"/>
      <c r="CO282" s="87"/>
      <c r="CP282" s="87"/>
      <c r="CQ282" s="87"/>
      <c r="CR282" s="87"/>
    </row>
    <row r="283" spans="1:96">
      <c r="A283" s="87"/>
      <c r="B283" s="135">
        <v>45685</v>
      </c>
      <c r="C283" s="127">
        <v>45785</v>
      </c>
      <c r="D283" s="87" t="s">
        <v>107</v>
      </c>
      <c r="E283" s="82" t="s">
        <v>219</v>
      </c>
      <c r="F283" s="82" t="s">
        <v>220</v>
      </c>
      <c r="G283" s="140" t="s">
        <v>1863</v>
      </c>
      <c r="H283" s="87">
        <v>8551820442</v>
      </c>
      <c r="I283" s="87" t="s">
        <v>1864</v>
      </c>
      <c r="J283" s="141" t="s">
        <v>1331</v>
      </c>
      <c r="K283" s="87">
        <v>6.5</v>
      </c>
      <c r="L283" s="87">
        <v>6.5</v>
      </c>
      <c r="M283" s="87" t="s">
        <v>1865</v>
      </c>
      <c r="N283" s="87" t="s">
        <v>756</v>
      </c>
      <c r="O283" s="87" t="s">
        <v>1537</v>
      </c>
      <c r="P283" s="169" t="s">
        <v>770</v>
      </c>
      <c r="Q283" s="87" t="s">
        <v>1862</v>
      </c>
      <c r="R283" s="87" t="s">
        <v>228</v>
      </c>
      <c r="S283" s="87" t="s">
        <v>1201</v>
      </c>
      <c r="T283" s="60"/>
      <c r="U283" s="129" t="s">
        <v>369</v>
      </c>
      <c r="V283" s="126" t="s">
        <v>231</v>
      </c>
      <c r="W283" s="127"/>
      <c r="X283" s="108">
        <v>45786</v>
      </c>
      <c r="Y283" s="135">
        <v>45787</v>
      </c>
      <c r="Z283" s="87" t="s">
        <v>232</v>
      </c>
      <c r="AA283" s="16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  <c r="AN283" s="87"/>
      <c r="AO283" s="87"/>
      <c r="AP283" s="54">
        <f>IF(OR(X283="",C283=""),"",NETWORKDAYS.INTL(C283,X283,1,'HELPER(Dont Delete)'!A:A))</f>
        <v>2</v>
      </c>
      <c r="AQ283" s="54">
        <f>IF(OR(X283="",Y283=""),"",NETWORKDAYS.INTL(X283,Y283,1,'HELPER(Dont Delete)'!A:A))</f>
        <v>1</v>
      </c>
      <c r="AR283" s="54" t="str">
        <f>IF(OR(Y283="",AA283=""),"",NETWORKDAYS.INTL(Y283,AA283,1,'HELPER(Dont Delete)'!A:A))</f>
        <v/>
      </c>
      <c r="AS283" s="87"/>
      <c r="AT283" s="87"/>
      <c r="AU283" s="87"/>
      <c r="AV283" s="87"/>
      <c r="AW283" s="87"/>
      <c r="AX283" s="87"/>
      <c r="AY283" s="87"/>
      <c r="AZ283" s="87"/>
      <c r="BA283" s="87"/>
      <c r="BB283" s="87"/>
      <c r="BC283" s="87"/>
      <c r="BD283" s="87"/>
      <c r="BE283" s="87"/>
      <c r="BF283" s="87"/>
      <c r="BG283" s="87"/>
      <c r="BH283" s="87"/>
      <c r="BI283" s="87"/>
      <c r="BJ283" s="87"/>
      <c r="BK283" s="87"/>
      <c r="BL283" s="87"/>
      <c r="BM283" s="87"/>
      <c r="BN283" s="87"/>
      <c r="BO283" s="87"/>
      <c r="BP283" s="87"/>
      <c r="BQ283" s="87"/>
      <c r="BR283" s="87"/>
      <c r="BS283" s="87"/>
      <c r="BT283" s="87"/>
      <c r="BU283" s="87"/>
      <c r="BV283" s="87"/>
      <c r="BW283" s="87"/>
      <c r="BX283" s="87"/>
      <c r="BY283" s="87"/>
      <c r="BZ283" s="87"/>
      <c r="CA283" s="87"/>
      <c r="CB283" s="87"/>
      <c r="CC283" s="87"/>
      <c r="CD283" s="87"/>
      <c r="CE283" s="87"/>
      <c r="CF283" s="87"/>
      <c r="CG283" s="87"/>
      <c r="CH283" s="87"/>
      <c r="CI283" s="87"/>
      <c r="CJ283" s="87"/>
      <c r="CK283" s="87"/>
      <c r="CL283" s="87"/>
      <c r="CM283" s="87"/>
      <c r="CN283" s="87"/>
      <c r="CO283" s="87"/>
      <c r="CP283" s="87"/>
      <c r="CQ283" s="87"/>
      <c r="CR283" s="87"/>
    </row>
    <row r="284" spans="1:96">
      <c r="A284" s="87"/>
      <c r="B284" s="135">
        <v>45685</v>
      </c>
      <c r="C284" s="127">
        <v>45785</v>
      </c>
      <c r="D284" s="87" t="s">
        <v>107</v>
      </c>
      <c r="E284" s="82" t="s">
        <v>219</v>
      </c>
      <c r="F284" s="82" t="s">
        <v>220</v>
      </c>
      <c r="G284" s="140" t="s">
        <v>1866</v>
      </c>
      <c r="H284" s="87">
        <v>9657262445</v>
      </c>
      <c r="I284" s="87" t="s">
        <v>1867</v>
      </c>
      <c r="J284" s="141" t="s">
        <v>1331</v>
      </c>
      <c r="K284" s="87">
        <v>7</v>
      </c>
      <c r="L284" s="87">
        <v>7</v>
      </c>
      <c r="M284" s="87" t="s">
        <v>1868</v>
      </c>
      <c r="N284" s="87" t="s">
        <v>756</v>
      </c>
      <c r="O284" s="87" t="s">
        <v>440</v>
      </c>
      <c r="P284" s="169" t="s">
        <v>770</v>
      </c>
      <c r="Q284" s="87" t="s">
        <v>1862</v>
      </c>
      <c r="R284" s="87" t="s">
        <v>228</v>
      </c>
      <c r="S284" s="87" t="s">
        <v>1201</v>
      </c>
      <c r="T284" s="60"/>
      <c r="U284" s="129" t="s">
        <v>369</v>
      </c>
      <c r="V284" s="126" t="s">
        <v>231</v>
      </c>
      <c r="W284" s="127"/>
      <c r="X284" s="108">
        <v>45786</v>
      </c>
      <c r="Y284" s="135">
        <v>45787</v>
      </c>
      <c r="Z284" s="87" t="s">
        <v>232</v>
      </c>
      <c r="AA284" s="16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  <c r="AM284" s="87"/>
      <c r="AN284" s="87"/>
      <c r="AO284" s="87"/>
      <c r="AP284" s="54">
        <f>IF(OR(X284="",C284=""),"",NETWORKDAYS.INTL(C284,X284,1,'HELPER(Dont Delete)'!A:A))</f>
        <v>2</v>
      </c>
      <c r="AQ284" s="54">
        <f>IF(OR(X284="",Y284=""),"",NETWORKDAYS.INTL(X284,Y284,1,'HELPER(Dont Delete)'!A:A))</f>
        <v>1</v>
      </c>
      <c r="AR284" s="54" t="str">
        <f>IF(OR(Y284="",AA284=""),"",NETWORKDAYS.INTL(Y284,AA284,1,'HELPER(Dont Delete)'!A:A))</f>
        <v/>
      </c>
      <c r="AS284" s="87"/>
      <c r="AT284" s="87"/>
      <c r="AU284" s="87"/>
      <c r="AV284" s="87"/>
      <c r="AW284" s="87"/>
      <c r="AX284" s="87"/>
      <c r="AY284" s="87"/>
      <c r="AZ284" s="87"/>
      <c r="BA284" s="87"/>
      <c r="BB284" s="87"/>
      <c r="BC284" s="87"/>
      <c r="BD284" s="87"/>
      <c r="BE284" s="87"/>
      <c r="BF284" s="87"/>
      <c r="BG284" s="87"/>
      <c r="BH284" s="87"/>
      <c r="BI284" s="87"/>
      <c r="BJ284" s="87"/>
      <c r="BK284" s="87"/>
      <c r="BL284" s="87"/>
      <c r="BM284" s="87"/>
      <c r="BN284" s="87"/>
      <c r="BO284" s="87"/>
      <c r="BP284" s="87"/>
      <c r="BQ284" s="87"/>
      <c r="BR284" s="87"/>
      <c r="BS284" s="87"/>
      <c r="BT284" s="87"/>
      <c r="BU284" s="87"/>
      <c r="BV284" s="87"/>
      <c r="BW284" s="87"/>
      <c r="BX284" s="87"/>
      <c r="BY284" s="87"/>
      <c r="BZ284" s="87"/>
      <c r="CA284" s="87"/>
      <c r="CB284" s="87"/>
      <c r="CC284" s="87"/>
      <c r="CD284" s="87"/>
      <c r="CE284" s="87"/>
      <c r="CF284" s="87"/>
      <c r="CG284" s="87"/>
      <c r="CH284" s="87"/>
      <c r="CI284" s="87"/>
      <c r="CJ284" s="87"/>
      <c r="CK284" s="87"/>
      <c r="CL284" s="87"/>
      <c r="CM284" s="87"/>
      <c r="CN284" s="87"/>
      <c r="CO284" s="87"/>
      <c r="CP284" s="87"/>
      <c r="CQ284" s="87"/>
      <c r="CR284" s="87"/>
    </row>
    <row r="285" spans="1:96">
      <c r="A285" s="87"/>
      <c r="B285" s="135">
        <v>45758</v>
      </c>
      <c r="C285" s="127">
        <v>45785</v>
      </c>
      <c r="D285" s="87" t="s">
        <v>199</v>
      </c>
      <c r="E285" s="82" t="s">
        <v>219</v>
      </c>
      <c r="F285" s="82" t="s">
        <v>220</v>
      </c>
      <c r="G285" s="140" t="s">
        <v>1869</v>
      </c>
      <c r="H285" s="87">
        <v>9373170660</v>
      </c>
      <c r="I285" s="87" t="s">
        <v>1870</v>
      </c>
      <c r="J285" s="190"/>
      <c r="K285" s="87">
        <v>23</v>
      </c>
      <c r="L285" s="87">
        <v>23</v>
      </c>
      <c r="M285" s="87" t="s">
        <v>1871</v>
      </c>
      <c r="N285" s="87" t="s">
        <v>462</v>
      </c>
      <c r="O285" s="87" t="s">
        <v>1872</v>
      </c>
      <c r="P285" s="87">
        <v>0.2</v>
      </c>
      <c r="Q285" s="87" t="s">
        <v>456</v>
      </c>
      <c r="R285" s="87" t="s">
        <v>1873</v>
      </c>
      <c r="S285" s="87" t="s">
        <v>42</v>
      </c>
      <c r="T285" s="60"/>
      <c r="U285" s="60" t="s">
        <v>1301</v>
      </c>
      <c r="V285" s="126" t="s">
        <v>331</v>
      </c>
      <c r="W285" s="127"/>
      <c r="X285" s="108"/>
      <c r="Y285" s="135"/>
      <c r="Z285" s="87"/>
      <c r="AA285" s="16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  <c r="AN285" s="87"/>
      <c r="AO285" s="87"/>
      <c r="AP285" s="54" t="str">
        <f>IF(OR(X285="",C285=""),"",NETWORKDAYS.INTL(C285,X285,1,'HELPER(Dont Delete)'!A:A))</f>
        <v/>
      </c>
      <c r="AQ285" s="54"/>
      <c r="AR285" s="54"/>
      <c r="AS285" s="87"/>
      <c r="AT285" s="87"/>
      <c r="AU285" s="87"/>
      <c r="AV285" s="87"/>
      <c r="AW285" s="87"/>
      <c r="AX285" s="87"/>
      <c r="AY285" s="87"/>
      <c r="AZ285" s="87"/>
      <c r="BA285" s="87"/>
      <c r="BB285" s="87"/>
      <c r="BC285" s="87"/>
      <c r="BD285" s="87"/>
      <c r="BE285" s="87"/>
      <c r="BF285" s="87"/>
      <c r="BG285" s="87"/>
      <c r="BH285" s="87"/>
      <c r="BI285" s="87"/>
      <c r="BJ285" s="87"/>
      <c r="BK285" s="87"/>
      <c r="BL285" s="87"/>
      <c r="BM285" s="87"/>
      <c r="BN285" s="87"/>
      <c r="BO285" s="87"/>
      <c r="BP285" s="87"/>
      <c r="BQ285" s="87"/>
      <c r="BR285" s="87"/>
      <c r="BS285" s="87"/>
      <c r="BT285" s="87"/>
      <c r="BU285" s="87"/>
      <c r="BV285" s="87"/>
      <c r="BW285" s="87"/>
      <c r="BX285" s="87"/>
      <c r="BY285" s="87"/>
      <c r="BZ285" s="87"/>
      <c r="CA285" s="87"/>
      <c r="CB285" s="87"/>
      <c r="CC285" s="87"/>
      <c r="CD285" s="87"/>
      <c r="CE285" s="87"/>
      <c r="CF285" s="87"/>
      <c r="CG285" s="87"/>
      <c r="CH285" s="87"/>
      <c r="CI285" s="87"/>
      <c r="CJ285" s="87"/>
      <c r="CK285" s="87"/>
      <c r="CL285" s="87"/>
      <c r="CM285" s="87"/>
      <c r="CN285" s="87"/>
      <c r="CO285" s="87"/>
      <c r="CP285" s="87"/>
      <c r="CQ285" s="87"/>
      <c r="CR285" s="87"/>
    </row>
    <row r="286" spans="1:96">
      <c r="A286" s="87"/>
      <c r="B286" s="135">
        <v>45747</v>
      </c>
      <c r="C286" s="127">
        <v>45787</v>
      </c>
      <c r="D286" s="87" t="s">
        <v>141</v>
      </c>
      <c r="E286" s="82" t="s">
        <v>219</v>
      </c>
      <c r="F286" s="82" t="s">
        <v>220</v>
      </c>
      <c r="G286" s="89" t="s">
        <v>1874</v>
      </c>
      <c r="H286" s="89">
        <v>9555705850</v>
      </c>
      <c r="I286" s="207" t="s">
        <v>1875</v>
      </c>
      <c r="J286" s="89" t="s">
        <v>1876</v>
      </c>
      <c r="K286" s="89">
        <v>13</v>
      </c>
      <c r="L286" s="89">
        <v>13</v>
      </c>
      <c r="M286" s="89" t="s">
        <v>1877</v>
      </c>
      <c r="N286" s="89" t="s">
        <v>425</v>
      </c>
      <c r="O286" s="89" t="s">
        <v>1878</v>
      </c>
      <c r="P286" s="89" t="s">
        <v>488</v>
      </c>
      <c r="Q286" s="89" t="s">
        <v>1879</v>
      </c>
      <c r="R286" s="89" t="s">
        <v>1880</v>
      </c>
      <c r="S286" s="89" t="s">
        <v>68</v>
      </c>
      <c r="T286" s="60"/>
      <c r="U286" s="60" t="s">
        <v>671</v>
      </c>
      <c r="V286" s="126" t="s">
        <v>1881</v>
      </c>
      <c r="W286" s="127"/>
      <c r="X286" s="108">
        <v>45790</v>
      </c>
      <c r="Y286" s="135">
        <v>45791</v>
      </c>
      <c r="Z286" s="87" t="s">
        <v>340</v>
      </c>
      <c r="AA286" s="167">
        <v>45806</v>
      </c>
      <c r="AB286" s="87" t="s">
        <v>35</v>
      </c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  <c r="AM286" s="87"/>
      <c r="AN286" s="87"/>
      <c r="AO286" s="87"/>
      <c r="AP286" s="54">
        <f>IF(OR(X286="",C286=""),"",NETWORKDAYS.INTL(C286,X286,1,'HELPER(Dont Delete)'!A:A))</f>
        <v>2</v>
      </c>
      <c r="AQ286" s="54">
        <f>IF(OR(X286="",Y286=""),"",NETWORKDAYS.INTL(X286,Y286,1,'HELPER(Dont Delete)'!A:A))</f>
        <v>2</v>
      </c>
      <c r="AR286" s="54">
        <f>IF(OR(Y286="",AA286=""),"",NETWORKDAYS.INTL(Y286,AA286,1,'HELPER(Dont Delete)'!A:A))</f>
        <v>12</v>
      </c>
      <c r="AS286" s="87"/>
      <c r="AT286" s="87"/>
      <c r="AU286" s="87"/>
      <c r="AV286" s="87"/>
      <c r="AW286" s="87"/>
      <c r="AX286" s="87"/>
      <c r="AY286" s="87"/>
      <c r="AZ286" s="87"/>
      <c r="BA286" s="87"/>
      <c r="BB286" s="87"/>
      <c r="BC286" s="87"/>
      <c r="BD286" s="87"/>
      <c r="BE286" s="87"/>
      <c r="BF286" s="87"/>
      <c r="BG286" s="87"/>
      <c r="BH286" s="87"/>
      <c r="BI286" s="87"/>
      <c r="BJ286" s="87"/>
      <c r="BK286" s="87"/>
      <c r="BL286" s="87"/>
      <c r="BM286" s="87"/>
      <c r="BN286" s="87"/>
      <c r="BO286" s="87"/>
      <c r="BP286" s="87"/>
      <c r="BQ286" s="87"/>
      <c r="BR286" s="87"/>
      <c r="BS286" s="87"/>
      <c r="BT286" s="87"/>
      <c r="BU286" s="87"/>
      <c r="BV286" s="87"/>
      <c r="BW286" s="87"/>
      <c r="BX286" s="87"/>
      <c r="BY286" s="87"/>
      <c r="BZ286" s="87"/>
      <c r="CA286" s="87"/>
      <c r="CB286" s="87"/>
      <c r="CC286" s="87"/>
      <c r="CD286" s="87"/>
      <c r="CE286" s="87"/>
      <c r="CF286" s="87"/>
      <c r="CG286" s="87"/>
      <c r="CH286" s="87"/>
      <c r="CI286" s="87"/>
      <c r="CJ286" s="87"/>
      <c r="CK286" s="87"/>
      <c r="CL286" s="87"/>
      <c r="CM286" s="87"/>
      <c r="CN286" s="87"/>
      <c r="CO286" s="87"/>
      <c r="CP286" s="87"/>
      <c r="CQ286" s="87"/>
      <c r="CR286" s="87"/>
    </row>
    <row r="287" spans="1:96">
      <c r="A287" s="87"/>
      <c r="B287" s="135">
        <v>45747</v>
      </c>
      <c r="C287" s="127">
        <v>45787</v>
      </c>
      <c r="D287" s="87" t="s">
        <v>141</v>
      </c>
      <c r="E287" s="82" t="s">
        <v>219</v>
      </c>
      <c r="F287" s="82" t="s">
        <v>220</v>
      </c>
      <c r="G287" s="89" t="s">
        <v>1882</v>
      </c>
      <c r="H287" s="89">
        <v>9996668861</v>
      </c>
      <c r="I287" s="207" t="s">
        <v>1883</v>
      </c>
      <c r="J287" s="214" t="s">
        <v>1884</v>
      </c>
      <c r="K287" s="89">
        <v>15</v>
      </c>
      <c r="L287" s="89">
        <v>15</v>
      </c>
      <c r="M287" s="89" t="s">
        <v>1885</v>
      </c>
      <c r="N287" s="89" t="s">
        <v>1886</v>
      </c>
      <c r="O287" s="89" t="s">
        <v>1887</v>
      </c>
      <c r="P287" s="89" t="s">
        <v>1888</v>
      </c>
      <c r="Q287" s="89" t="s">
        <v>1889</v>
      </c>
      <c r="R287" s="89" t="s">
        <v>1890</v>
      </c>
      <c r="S287" s="89" t="s">
        <v>68</v>
      </c>
      <c r="T287" s="60"/>
      <c r="U287" s="60" t="s">
        <v>671</v>
      </c>
      <c r="V287" s="126" t="s">
        <v>239</v>
      </c>
      <c r="W287" s="127"/>
      <c r="X287" s="108">
        <v>45790</v>
      </c>
      <c r="Y287" s="135">
        <v>45791</v>
      </c>
      <c r="Z287" s="87" t="s">
        <v>340</v>
      </c>
      <c r="AA287" s="16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  <c r="AM287" s="87"/>
      <c r="AN287" s="87"/>
      <c r="AO287" s="87"/>
      <c r="AP287" s="54">
        <f>IF(OR(X287="",C287=""),"",NETWORKDAYS.INTL(C287,X287,1,'HELPER(Dont Delete)'!A:A))</f>
        <v>2</v>
      </c>
      <c r="AQ287" s="54">
        <f>IF(OR(X287="",Y287=""),"",NETWORKDAYS.INTL(X287,Y287,1,'HELPER(Dont Delete)'!A:A))</f>
        <v>2</v>
      </c>
      <c r="AR287" s="54" t="str">
        <f>IF(OR(Y287="",AA287=""),"",NETWORKDAYS.INTL(Y287,AA287,1,'HELPER(Dont Delete)'!A:A))</f>
        <v/>
      </c>
      <c r="AS287" s="87"/>
      <c r="AT287" s="87"/>
      <c r="AU287" s="87"/>
      <c r="AV287" s="87"/>
      <c r="AW287" s="87"/>
      <c r="AX287" s="87"/>
      <c r="AY287" s="87"/>
      <c r="AZ287" s="87"/>
      <c r="BA287" s="87"/>
      <c r="BB287" s="87"/>
      <c r="BC287" s="87"/>
      <c r="BD287" s="87"/>
      <c r="BE287" s="87"/>
      <c r="BF287" s="87"/>
      <c r="BG287" s="87"/>
      <c r="BH287" s="87"/>
      <c r="BI287" s="87"/>
      <c r="BJ287" s="87"/>
      <c r="BK287" s="87"/>
      <c r="BL287" s="87"/>
      <c r="BM287" s="87"/>
      <c r="BN287" s="87"/>
      <c r="BO287" s="87"/>
      <c r="BP287" s="87"/>
      <c r="BQ287" s="87"/>
      <c r="BR287" s="87"/>
      <c r="BS287" s="87"/>
      <c r="BT287" s="87"/>
      <c r="BU287" s="87"/>
      <c r="BV287" s="87"/>
      <c r="BW287" s="87"/>
      <c r="BX287" s="87"/>
      <c r="BY287" s="87"/>
      <c r="BZ287" s="87"/>
      <c r="CA287" s="87"/>
      <c r="CB287" s="87"/>
      <c r="CC287" s="87"/>
      <c r="CD287" s="87"/>
      <c r="CE287" s="87"/>
      <c r="CF287" s="87"/>
      <c r="CG287" s="87"/>
      <c r="CH287" s="87"/>
      <c r="CI287" s="87"/>
      <c r="CJ287" s="87"/>
      <c r="CK287" s="87"/>
      <c r="CL287" s="87"/>
      <c r="CM287" s="87"/>
      <c r="CN287" s="87"/>
      <c r="CO287" s="87"/>
      <c r="CP287" s="87"/>
      <c r="CQ287" s="87"/>
      <c r="CR287" s="87"/>
    </row>
    <row r="288" spans="1:96">
      <c r="A288" s="87"/>
      <c r="B288" s="135">
        <v>45747</v>
      </c>
      <c r="C288" s="127">
        <v>45787</v>
      </c>
      <c r="D288" s="87" t="s">
        <v>1707</v>
      </c>
      <c r="E288" s="82" t="s">
        <v>219</v>
      </c>
      <c r="F288" s="82" t="s">
        <v>220</v>
      </c>
      <c r="G288" s="140" t="s">
        <v>1891</v>
      </c>
      <c r="H288" s="87">
        <v>9784300758</v>
      </c>
      <c r="I288" s="87" t="s">
        <v>1892</v>
      </c>
      <c r="J288" s="234"/>
      <c r="K288" s="87">
        <v>7</v>
      </c>
      <c r="L288" s="87">
        <v>7</v>
      </c>
      <c r="M288" s="87" t="s">
        <v>1893</v>
      </c>
      <c r="N288" s="87" t="s">
        <v>425</v>
      </c>
      <c r="O288" s="87" t="s">
        <v>1894</v>
      </c>
      <c r="P288" s="87" t="s">
        <v>365</v>
      </c>
      <c r="Q288" s="87" t="s">
        <v>41</v>
      </c>
      <c r="R288" s="87" t="s">
        <v>1201</v>
      </c>
      <c r="S288" s="87" t="s">
        <v>42</v>
      </c>
      <c r="T288" s="60"/>
      <c r="U288" s="60" t="s">
        <v>1301</v>
      </c>
      <c r="V288" s="126" t="s">
        <v>291</v>
      </c>
      <c r="W288" s="127"/>
      <c r="X288" s="108"/>
      <c r="Y288" s="135"/>
      <c r="Z288" s="87"/>
      <c r="AA288" s="16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  <c r="AM288" s="87"/>
      <c r="AN288" s="87"/>
      <c r="AO288" s="87"/>
      <c r="AP288" s="54" t="str">
        <f>IF(OR(X288="",C288=""),"",NETWORKDAYS.INTL(C288,X288,1,'HELPER(Dont Delete)'!A:A))</f>
        <v/>
      </c>
      <c r="AQ288" s="54" t="str">
        <f>IF(OR(X288="",Y288=""),"",NETWORKDAYS.INTL(X288,Y288,1,'HELPER(Dont Delete)'!A:A))</f>
        <v/>
      </c>
      <c r="AR288" s="54" t="str">
        <f>IF(OR(Y288="",AA288=""),"",NETWORKDAYS.INTL(Y288,AA288,1,'HELPER(Dont Delete)'!A:A))</f>
        <v/>
      </c>
      <c r="AS288" s="87"/>
      <c r="AT288" s="87"/>
      <c r="AU288" s="87"/>
      <c r="AV288" s="87"/>
      <c r="AW288" s="87"/>
      <c r="AX288" s="87"/>
      <c r="AY288" s="87"/>
      <c r="AZ288" s="87"/>
      <c r="BA288" s="87"/>
      <c r="BB288" s="87"/>
      <c r="BC288" s="87"/>
      <c r="BD288" s="87"/>
      <c r="BE288" s="87"/>
      <c r="BF288" s="87"/>
      <c r="BG288" s="87"/>
      <c r="BH288" s="87"/>
      <c r="BI288" s="87"/>
      <c r="BJ288" s="87"/>
      <c r="BK288" s="87"/>
      <c r="BL288" s="87"/>
      <c r="BM288" s="87"/>
      <c r="BN288" s="87"/>
      <c r="BO288" s="87"/>
      <c r="BP288" s="87"/>
      <c r="BQ288" s="87"/>
      <c r="BR288" s="87"/>
      <c r="BS288" s="87"/>
      <c r="BT288" s="87"/>
      <c r="BU288" s="87"/>
      <c r="BV288" s="87"/>
      <c r="BW288" s="87"/>
      <c r="BX288" s="87"/>
      <c r="BY288" s="87"/>
      <c r="BZ288" s="87"/>
      <c r="CA288" s="87"/>
      <c r="CB288" s="87"/>
      <c r="CC288" s="87"/>
      <c r="CD288" s="87"/>
      <c r="CE288" s="87"/>
      <c r="CF288" s="87"/>
      <c r="CG288" s="87"/>
      <c r="CH288" s="87"/>
      <c r="CI288" s="87"/>
      <c r="CJ288" s="87"/>
      <c r="CK288" s="87"/>
      <c r="CL288" s="87"/>
      <c r="CM288" s="87"/>
      <c r="CN288" s="87"/>
      <c r="CO288" s="87"/>
      <c r="CP288" s="87"/>
      <c r="CQ288" s="87"/>
      <c r="CR288" s="87"/>
    </row>
    <row r="289" spans="1:96">
      <c r="A289" s="87"/>
      <c r="B289" s="135">
        <v>45747</v>
      </c>
      <c r="C289" s="127">
        <v>45787</v>
      </c>
      <c r="D289" s="87" t="s">
        <v>1707</v>
      </c>
      <c r="E289" s="82" t="s">
        <v>219</v>
      </c>
      <c r="F289" s="82" t="s">
        <v>220</v>
      </c>
      <c r="G289" s="140" t="s">
        <v>1895</v>
      </c>
      <c r="H289" s="87">
        <v>8982601110</v>
      </c>
      <c r="I289" s="87" t="s">
        <v>1896</v>
      </c>
      <c r="J289" s="234"/>
      <c r="K289" s="87">
        <v>8</v>
      </c>
      <c r="L289" s="87">
        <v>8</v>
      </c>
      <c r="M289" s="87" t="s">
        <v>1897</v>
      </c>
      <c r="N289" s="87" t="s">
        <v>425</v>
      </c>
      <c r="O289" s="87" t="s">
        <v>70</v>
      </c>
      <c r="P289" s="87" t="s">
        <v>1898</v>
      </c>
      <c r="Q289" s="87" t="s">
        <v>456</v>
      </c>
      <c r="R289" s="87" t="s">
        <v>290</v>
      </c>
      <c r="S289" s="87" t="s">
        <v>42</v>
      </c>
      <c r="T289" s="60"/>
      <c r="U289" s="60" t="s">
        <v>1301</v>
      </c>
      <c r="V289" s="126" t="s">
        <v>291</v>
      </c>
      <c r="W289" s="127"/>
      <c r="X289" s="108"/>
      <c r="Y289" s="135"/>
      <c r="Z289" s="87"/>
      <c r="AA289" s="16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87"/>
      <c r="AN289" s="87"/>
      <c r="AO289" s="87"/>
      <c r="AP289" s="54" t="str">
        <f>IF(OR(X289="",C289=""),"",NETWORKDAYS.INTL(C289,X289,1,'HELPER(Dont Delete)'!A:A))</f>
        <v/>
      </c>
      <c r="AQ289" s="54" t="str">
        <f>IF(OR(X289="",Y289=""),"",NETWORKDAYS.INTL(X289,Y289,1,'HELPER(Dont Delete)'!A:A))</f>
        <v/>
      </c>
      <c r="AR289" s="54" t="str">
        <f>IF(OR(Y289="",AA289=""),"",NETWORKDAYS.INTL(Y289,AA289,1,'HELPER(Dont Delete)'!A:A))</f>
        <v/>
      </c>
      <c r="AS289" s="87"/>
      <c r="AT289" s="87"/>
      <c r="AU289" s="87"/>
      <c r="AV289" s="87"/>
      <c r="AW289" s="87"/>
      <c r="AX289" s="87"/>
      <c r="AY289" s="87"/>
      <c r="AZ289" s="87"/>
      <c r="BA289" s="87"/>
      <c r="BB289" s="87"/>
      <c r="BC289" s="87"/>
      <c r="BD289" s="87"/>
      <c r="BE289" s="87"/>
      <c r="BF289" s="87"/>
      <c r="BG289" s="87"/>
      <c r="BH289" s="87"/>
      <c r="BI289" s="87"/>
      <c r="BJ289" s="87"/>
      <c r="BK289" s="87"/>
      <c r="BL289" s="87"/>
      <c r="BM289" s="87"/>
      <c r="BN289" s="87"/>
      <c r="BO289" s="87"/>
      <c r="BP289" s="87"/>
      <c r="BQ289" s="87"/>
      <c r="BR289" s="87"/>
      <c r="BS289" s="87"/>
      <c r="BT289" s="87"/>
      <c r="BU289" s="87"/>
      <c r="BV289" s="87"/>
      <c r="BW289" s="87"/>
      <c r="BX289" s="87"/>
      <c r="BY289" s="87"/>
      <c r="BZ289" s="87"/>
      <c r="CA289" s="87"/>
      <c r="CB289" s="87"/>
      <c r="CC289" s="87"/>
      <c r="CD289" s="87"/>
      <c r="CE289" s="87"/>
      <c r="CF289" s="87"/>
      <c r="CG289" s="87"/>
      <c r="CH289" s="87"/>
      <c r="CI289" s="87"/>
      <c r="CJ289" s="87"/>
      <c r="CK289" s="87"/>
      <c r="CL289" s="87"/>
      <c r="CM289" s="87"/>
      <c r="CN289" s="87"/>
      <c r="CO289" s="87"/>
      <c r="CP289" s="87"/>
      <c r="CQ289" s="87"/>
      <c r="CR289" s="87"/>
    </row>
    <row r="290" spans="1:96">
      <c r="A290" s="87"/>
      <c r="B290" s="135">
        <v>45685</v>
      </c>
      <c r="C290" s="127">
        <v>45791</v>
      </c>
      <c r="D290" s="87" t="s">
        <v>107</v>
      </c>
      <c r="E290" s="82" t="s">
        <v>219</v>
      </c>
      <c r="F290" s="82" t="s">
        <v>220</v>
      </c>
      <c r="G290" s="140" t="s">
        <v>1899</v>
      </c>
      <c r="H290" s="87">
        <v>9923016201</v>
      </c>
      <c r="I290" s="87" t="s">
        <v>1900</v>
      </c>
      <c r="J290" s="87"/>
      <c r="K290" s="141">
        <v>7.5</v>
      </c>
      <c r="L290" s="87">
        <v>7.5</v>
      </c>
      <c r="M290" s="87" t="s">
        <v>1901</v>
      </c>
      <c r="N290" s="87" t="s">
        <v>1218</v>
      </c>
      <c r="O290" s="87" t="s">
        <v>1902</v>
      </c>
      <c r="P290" s="169" t="s">
        <v>770</v>
      </c>
      <c r="Q290" s="87" t="s">
        <v>1862</v>
      </c>
      <c r="R290" s="87" t="s">
        <v>76</v>
      </c>
      <c r="S290" s="169" t="s">
        <v>1201</v>
      </c>
      <c r="T290" s="60"/>
      <c r="U290" s="157" t="s">
        <v>369</v>
      </c>
      <c r="V290" s="126" t="s">
        <v>239</v>
      </c>
      <c r="W290" s="127"/>
      <c r="X290" s="108">
        <v>45793</v>
      </c>
      <c r="Y290" s="135"/>
      <c r="Z290" s="87"/>
      <c r="AA290" s="16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  <c r="AM290" s="87"/>
      <c r="AN290" s="87"/>
      <c r="AO290" s="87"/>
      <c r="AP290" s="54">
        <f>IF(OR(X290="",C290=""),"",NETWORKDAYS.INTL(C290,X290,1,'HELPER(Dont Delete)'!A:A))</f>
        <v>3</v>
      </c>
      <c r="AQ290" s="54" t="str">
        <f>IF(OR(X290="",Y290=""),"",NETWORKDAYS.INTL(X290,Y290,1,'HELPER(Dont Delete)'!A:A))</f>
        <v/>
      </c>
      <c r="AR290" s="54" t="str">
        <f>IF(OR(Y290="",AA290=""),"",NETWORKDAYS.INTL(Y290,AA290,1,'HELPER(Dont Delete)'!A:A))</f>
        <v/>
      </c>
      <c r="AS290" s="87"/>
      <c r="AT290" s="87"/>
      <c r="AU290" s="87"/>
      <c r="AV290" s="87"/>
      <c r="AW290" s="87"/>
      <c r="AX290" s="87"/>
      <c r="AY290" s="87"/>
      <c r="AZ290" s="87"/>
      <c r="BA290" s="87"/>
      <c r="BB290" s="87"/>
      <c r="BC290" s="87"/>
      <c r="BD290" s="87"/>
      <c r="BE290" s="87"/>
      <c r="BF290" s="87"/>
      <c r="BG290" s="87"/>
      <c r="BH290" s="87"/>
      <c r="BI290" s="87"/>
      <c r="BJ290" s="87"/>
      <c r="BK290" s="87"/>
      <c r="BL290" s="87"/>
      <c r="BM290" s="87"/>
      <c r="BN290" s="87"/>
      <c r="BO290" s="87"/>
      <c r="BP290" s="87"/>
      <c r="BQ290" s="87"/>
      <c r="BR290" s="87"/>
      <c r="BS290" s="87"/>
      <c r="BT290" s="87"/>
      <c r="BU290" s="87"/>
      <c r="BV290" s="87"/>
      <c r="BW290" s="87"/>
      <c r="BX290" s="87"/>
      <c r="BY290" s="87"/>
      <c r="BZ290" s="87"/>
      <c r="CA290" s="87"/>
      <c r="CB290" s="87"/>
      <c r="CC290" s="87"/>
      <c r="CD290" s="87"/>
      <c r="CE290" s="87"/>
      <c r="CF290" s="87"/>
      <c r="CG290" s="87"/>
      <c r="CH290" s="87"/>
      <c r="CI290" s="87"/>
      <c r="CJ290" s="87"/>
      <c r="CK290" s="87"/>
      <c r="CL290" s="87"/>
      <c r="CM290" s="87"/>
      <c r="CN290" s="87"/>
      <c r="CO290" s="87"/>
      <c r="CP290" s="87"/>
      <c r="CQ290" s="87"/>
      <c r="CR290" s="87"/>
    </row>
    <row r="291" spans="1:96">
      <c r="A291" s="87"/>
      <c r="B291" s="135">
        <v>45685</v>
      </c>
      <c r="C291" s="127">
        <v>45791</v>
      </c>
      <c r="D291" s="87" t="s">
        <v>107</v>
      </c>
      <c r="E291" s="82" t="s">
        <v>219</v>
      </c>
      <c r="F291" s="82" t="s">
        <v>220</v>
      </c>
      <c r="G291" s="140" t="s">
        <v>1903</v>
      </c>
      <c r="H291" s="87">
        <v>7739806404</v>
      </c>
      <c r="I291" s="87" t="s">
        <v>1904</v>
      </c>
      <c r="J291" s="87"/>
      <c r="K291" s="141">
        <v>5</v>
      </c>
      <c r="L291" s="87">
        <v>5</v>
      </c>
      <c r="M291" s="87" t="s">
        <v>1905</v>
      </c>
      <c r="N291" s="87" t="s">
        <v>1218</v>
      </c>
      <c r="O291" s="87" t="s">
        <v>1906</v>
      </c>
      <c r="P291" s="169" t="s">
        <v>770</v>
      </c>
      <c r="Q291" s="87" t="s">
        <v>937</v>
      </c>
      <c r="R291" s="87" t="s">
        <v>1130</v>
      </c>
      <c r="S291" s="169" t="s">
        <v>1201</v>
      </c>
      <c r="T291" s="60"/>
      <c r="U291" s="157" t="s">
        <v>369</v>
      </c>
      <c r="V291" s="126" t="s">
        <v>231</v>
      </c>
      <c r="W291" s="127"/>
      <c r="X291" s="108">
        <v>45793</v>
      </c>
      <c r="Y291" s="135">
        <v>45794</v>
      </c>
      <c r="Z291" s="87" t="s">
        <v>232</v>
      </c>
      <c r="AA291" s="16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  <c r="AM291" s="87"/>
      <c r="AN291" s="87"/>
      <c r="AO291" s="87"/>
      <c r="AP291" s="54">
        <f>IF(OR(X291="",C291=""),"",NETWORKDAYS.INTL(C291,X291,1,'HELPER(Dont Delete)'!A:A))</f>
        <v>3</v>
      </c>
      <c r="AQ291" s="54">
        <f>IF(OR(X291="",Y291=""),"",NETWORKDAYS.INTL(X291,Y291,1,'HELPER(Dont Delete)'!A:A))</f>
        <v>1</v>
      </c>
      <c r="AR291" s="54" t="str">
        <f>IF(OR(Y291="",AA291=""),"",NETWORKDAYS.INTL(Y291,AA291,1,'HELPER(Dont Delete)'!A:A))</f>
        <v/>
      </c>
      <c r="AS291" s="87"/>
      <c r="AT291" s="87"/>
      <c r="AU291" s="87"/>
      <c r="AV291" s="87"/>
      <c r="AW291" s="87"/>
      <c r="AX291" s="87"/>
      <c r="AY291" s="87"/>
      <c r="AZ291" s="87"/>
      <c r="BA291" s="87"/>
      <c r="BB291" s="87"/>
      <c r="BC291" s="87"/>
      <c r="BD291" s="87"/>
      <c r="BE291" s="87"/>
      <c r="BF291" s="87"/>
      <c r="BG291" s="87"/>
      <c r="BH291" s="87"/>
      <c r="BI291" s="87"/>
      <c r="BJ291" s="87"/>
      <c r="BK291" s="87"/>
      <c r="BL291" s="87"/>
      <c r="BM291" s="87"/>
      <c r="BN291" s="87"/>
      <c r="BO291" s="87"/>
      <c r="BP291" s="87"/>
      <c r="BQ291" s="87"/>
      <c r="BR291" s="87"/>
      <c r="BS291" s="87"/>
      <c r="BT291" s="87"/>
      <c r="BU291" s="87"/>
      <c r="BV291" s="87"/>
      <c r="BW291" s="87"/>
      <c r="BX291" s="87"/>
      <c r="BY291" s="87"/>
      <c r="BZ291" s="87"/>
      <c r="CA291" s="87"/>
      <c r="CB291" s="87"/>
      <c r="CC291" s="87"/>
      <c r="CD291" s="87"/>
      <c r="CE291" s="87"/>
      <c r="CF291" s="87"/>
      <c r="CG291" s="87"/>
      <c r="CH291" s="87"/>
      <c r="CI291" s="87"/>
      <c r="CJ291" s="87"/>
      <c r="CK291" s="87"/>
      <c r="CL291" s="87"/>
      <c r="CM291" s="87"/>
      <c r="CN291" s="87"/>
      <c r="CO291" s="87"/>
      <c r="CP291" s="87"/>
      <c r="CQ291" s="87"/>
      <c r="CR291" s="87"/>
    </row>
    <row r="292" spans="1:96">
      <c r="A292" s="60"/>
      <c r="B292" s="108">
        <v>45685</v>
      </c>
      <c r="C292" s="127">
        <v>45791</v>
      </c>
      <c r="D292" s="60" t="s">
        <v>107</v>
      </c>
      <c r="E292" s="82" t="s">
        <v>219</v>
      </c>
      <c r="F292" s="82" t="s">
        <v>220</v>
      </c>
      <c r="G292" s="111" t="s">
        <v>1907</v>
      </c>
      <c r="H292" s="60">
        <v>9422937101</v>
      </c>
      <c r="I292" s="60" t="s">
        <v>1908</v>
      </c>
      <c r="J292" s="60"/>
      <c r="K292" s="46">
        <v>8</v>
      </c>
      <c r="L292" s="60">
        <v>8</v>
      </c>
      <c r="M292" s="60" t="s">
        <v>1909</v>
      </c>
      <c r="N292" s="60" t="s">
        <v>425</v>
      </c>
      <c r="O292" s="60" t="s">
        <v>1910</v>
      </c>
      <c r="P292" s="110" t="s">
        <v>770</v>
      </c>
      <c r="Q292" s="60" t="s">
        <v>1911</v>
      </c>
      <c r="R292" s="60" t="s">
        <v>1130</v>
      </c>
      <c r="S292" s="110" t="s">
        <v>1201</v>
      </c>
      <c r="T292" s="60"/>
      <c r="U292" s="129" t="s">
        <v>369</v>
      </c>
      <c r="V292" s="126" t="s">
        <v>1495</v>
      </c>
      <c r="W292" s="127"/>
      <c r="X292" s="108">
        <v>45793</v>
      </c>
      <c r="Y292" s="108">
        <v>45799</v>
      </c>
      <c r="Z292" s="60" t="s">
        <v>340</v>
      </c>
      <c r="AA292" s="105">
        <v>45804</v>
      </c>
      <c r="AB292" s="60" t="s">
        <v>340</v>
      </c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54">
        <f>IF(OR(X292="",C292=""),"",NETWORKDAYS.INTL(C292,X292,1,'HELPER(Dont Delete)'!A:A))</f>
        <v>3</v>
      </c>
      <c r="AQ292" s="54">
        <f>IF(OR(X292="",Y292=""),"",NETWORKDAYS.INTL(X292,Y292,1,'HELPER(Dont Delete)'!A:A))</f>
        <v>5</v>
      </c>
      <c r="AR292" s="54">
        <f>IF(OR(Y292="",AA292=""),"",NETWORKDAYS.INTL(Y292,AA292,1,'HELPER(Dont Delete)'!A:A))</f>
        <v>4</v>
      </c>
      <c r="AS292" s="60"/>
      <c r="AT292" s="60"/>
      <c r="AU292" s="60"/>
      <c r="AV292" s="60"/>
      <c r="AW292" s="60"/>
      <c r="AX292" s="60"/>
      <c r="AY292" s="60"/>
      <c r="AZ292" s="60"/>
      <c r="BA292" s="87"/>
      <c r="BB292" s="87"/>
      <c r="BC292" s="60"/>
      <c r="BD292" s="60"/>
      <c r="BE292" s="60"/>
      <c r="BF292" s="60"/>
      <c r="BG292" s="60"/>
      <c r="BH292" s="60"/>
      <c r="BI292" s="60"/>
      <c r="BJ292" s="60"/>
      <c r="BK292" s="60"/>
      <c r="BL292" s="60"/>
      <c r="BM292" s="60"/>
      <c r="BN292" s="60"/>
      <c r="BO292" s="60"/>
      <c r="BP292" s="60"/>
      <c r="BQ292" s="60"/>
      <c r="BR292" s="60"/>
      <c r="BS292" s="60"/>
      <c r="BT292" s="60"/>
      <c r="BU292" s="60"/>
      <c r="BV292" s="60"/>
      <c r="BW292" s="60"/>
      <c r="BX292" s="60"/>
      <c r="BY292" s="60"/>
      <c r="BZ292" s="60"/>
      <c r="CA292" s="60"/>
      <c r="CB292" s="60"/>
      <c r="CC292" s="60"/>
      <c r="CD292" s="60"/>
      <c r="CE292" s="60"/>
      <c r="CF292" s="60"/>
      <c r="CG292" s="60"/>
      <c r="CH292" s="60"/>
      <c r="CI292" s="60"/>
      <c r="CJ292" s="60"/>
      <c r="CK292" s="60"/>
      <c r="CL292" s="60"/>
      <c r="CM292" s="60"/>
      <c r="CN292" s="60"/>
      <c r="CO292" s="60"/>
      <c r="CP292" s="60"/>
      <c r="CQ292" s="60"/>
      <c r="CR292" s="60"/>
    </row>
    <row r="293" spans="1:96">
      <c r="A293" s="126"/>
      <c r="B293" s="127">
        <v>45747</v>
      </c>
      <c r="C293" s="127">
        <v>45791</v>
      </c>
      <c r="D293" s="129" t="s">
        <v>147</v>
      </c>
      <c r="E293" s="82" t="s">
        <v>219</v>
      </c>
      <c r="F293" s="82" t="s">
        <v>220</v>
      </c>
      <c r="G293" s="132" t="s">
        <v>1912</v>
      </c>
      <c r="H293" s="132">
        <v>7210416940</v>
      </c>
      <c r="I293" s="133" t="s">
        <v>1913</v>
      </c>
      <c r="J293" s="132" t="s">
        <v>1914</v>
      </c>
      <c r="K293" s="132">
        <v>14</v>
      </c>
      <c r="L293" s="132">
        <v>14</v>
      </c>
      <c r="M293" s="132" t="s">
        <v>1915</v>
      </c>
      <c r="N293" s="132" t="s">
        <v>1218</v>
      </c>
      <c r="O293" s="129" t="s">
        <v>1916</v>
      </c>
      <c r="P293" s="132" t="s">
        <v>1835</v>
      </c>
      <c r="Q293" s="132" t="s">
        <v>1719</v>
      </c>
      <c r="R293" s="129" t="s">
        <v>68</v>
      </c>
      <c r="S293" s="129" t="s">
        <v>1201</v>
      </c>
      <c r="T293" s="172" t="s">
        <v>1917</v>
      </c>
      <c r="U293" s="126" t="s">
        <v>671</v>
      </c>
      <c r="V293" s="126" t="s">
        <v>599</v>
      </c>
      <c r="W293" s="127"/>
      <c r="X293" s="127">
        <v>45792</v>
      </c>
      <c r="Y293" s="127">
        <v>45797</v>
      </c>
      <c r="Z293" s="127"/>
      <c r="AA293" s="127">
        <v>45813</v>
      </c>
      <c r="AB293" s="129" t="s">
        <v>232</v>
      </c>
      <c r="AC293" s="129"/>
      <c r="AD293" s="129"/>
      <c r="AE293" s="129"/>
      <c r="AF293" s="129"/>
      <c r="AG293" s="129"/>
      <c r="AH293" s="129"/>
      <c r="AI293" s="129"/>
      <c r="AJ293" s="129"/>
      <c r="AK293" s="129"/>
      <c r="AL293" s="129"/>
      <c r="AM293" s="129"/>
      <c r="AN293" s="129"/>
      <c r="AO293" s="129"/>
      <c r="AP293" s="54">
        <f>IF(OR(X293="",C293=""),"",NETWORKDAYS.INTL(C293,X293,1,'HELPER(Dont Delete)'!A:A))</f>
        <v>2</v>
      </c>
      <c r="AQ293" s="54">
        <f>IF(OR(X293="",Y293=""),"",NETWORKDAYS.INTL(X293,Y293,1,'HELPER(Dont Delete)'!A:A))</f>
        <v>4</v>
      </c>
      <c r="AR293" s="54">
        <f>IF(OR(Y293="",AA293=""),"",NETWORKDAYS.INTL(Y293,AA293,1,'HELPER(Dont Delete)'!A:A))</f>
        <v>13</v>
      </c>
      <c r="AS293" s="129"/>
      <c r="AT293" s="129"/>
      <c r="AU293" s="129"/>
      <c r="AV293" s="129"/>
      <c r="AW293" s="126"/>
      <c r="AX293" s="127"/>
      <c r="AY293" s="127"/>
      <c r="AZ293" s="129"/>
      <c r="BA293" s="82"/>
      <c r="BB293" s="82"/>
      <c r="BC293" s="132"/>
      <c r="BD293" s="132"/>
      <c r="BE293" s="133"/>
      <c r="BF293" s="132"/>
      <c r="BG293" s="132"/>
      <c r="BH293" s="132"/>
      <c r="BI293" s="132"/>
      <c r="BJ293" s="132"/>
      <c r="BK293" s="129"/>
      <c r="BL293" s="132"/>
      <c r="BM293" s="132"/>
      <c r="BN293" s="129"/>
      <c r="BO293" s="129"/>
      <c r="BP293" s="153"/>
      <c r="BQ293" s="126"/>
      <c r="BR293" s="126"/>
      <c r="BS293" s="127"/>
      <c r="BT293" s="127"/>
      <c r="BU293" s="129"/>
      <c r="BV293" s="127"/>
      <c r="BW293" s="129"/>
      <c r="BX293" s="129"/>
      <c r="BY293" s="129"/>
      <c r="BZ293" s="129"/>
      <c r="CA293" s="129"/>
      <c r="CB293" s="129"/>
      <c r="CC293" s="129"/>
      <c r="CD293" s="129"/>
      <c r="CE293" s="129"/>
      <c r="CF293" s="129"/>
      <c r="CG293" s="129"/>
      <c r="CH293" s="129"/>
      <c r="CI293" s="129"/>
      <c r="CJ293" s="129"/>
      <c r="CK293" s="129"/>
      <c r="CL293" s="129"/>
      <c r="CM293" s="129"/>
      <c r="CN293" s="129"/>
      <c r="CO293" s="129"/>
      <c r="CP293" s="129"/>
      <c r="CQ293" s="129"/>
      <c r="CR293" s="129"/>
    </row>
    <row r="294" spans="1:96">
      <c r="A294" s="126"/>
      <c r="B294" s="127">
        <v>45747</v>
      </c>
      <c r="C294" s="127">
        <v>45791</v>
      </c>
      <c r="D294" s="129" t="s">
        <v>147</v>
      </c>
      <c r="E294" s="82" t="s">
        <v>219</v>
      </c>
      <c r="F294" s="82" t="s">
        <v>220</v>
      </c>
      <c r="G294" s="132" t="s">
        <v>1918</v>
      </c>
      <c r="H294" s="132" t="s">
        <v>1919</v>
      </c>
      <c r="I294" s="133" t="s">
        <v>1464</v>
      </c>
      <c r="J294" s="132" t="s">
        <v>1226</v>
      </c>
      <c r="K294" s="132">
        <v>14</v>
      </c>
      <c r="L294" s="132">
        <v>14</v>
      </c>
      <c r="M294" s="132" t="s">
        <v>1920</v>
      </c>
      <c r="N294" s="132" t="s">
        <v>462</v>
      </c>
      <c r="O294" s="129" t="s">
        <v>120</v>
      </c>
      <c r="P294" s="132" t="s">
        <v>488</v>
      </c>
      <c r="Q294" s="132" t="s">
        <v>1921</v>
      </c>
      <c r="R294" s="129" t="s">
        <v>1201</v>
      </c>
      <c r="S294" s="129" t="s">
        <v>1201</v>
      </c>
      <c r="T294" s="172" t="s">
        <v>1226</v>
      </c>
      <c r="U294" s="126" t="s">
        <v>671</v>
      </c>
      <c r="V294" s="126" t="s">
        <v>291</v>
      </c>
      <c r="W294" s="127" t="s">
        <v>1260</v>
      </c>
      <c r="X294" s="127">
        <v>45792</v>
      </c>
      <c r="Y294" s="127"/>
      <c r="Z294" s="127"/>
      <c r="AA294" s="127"/>
      <c r="AB294" s="129"/>
      <c r="AC294" s="129"/>
      <c r="AD294" s="129"/>
      <c r="AE294" s="129"/>
      <c r="AF294" s="129"/>
      <c r="AG294" s="129"/>
      <c r="AH294" s="129"/>
      <c r="AI294" s="129"/>
      <c r="AJ294" s="129"/>
      <c r="AK294" s="129"/>
      <c r="AL294" s="129"/>
      <c r="AM294" s="129"/>
      <c r="AN294" s="129"/>
      <c r="AO294" s="129"/>
      <c r="AP294" s="54">
        <f>IF(OR(X294="",C294=""),"",NETWORKDAYS.INTL(C294,X294,1,'HELPER(Dont Delete)'!A:A))</f>
        <v>2</v>
      </c>
      <c r="AQ294" s="54" t="str">
        <f>IF(OR(X294="",Y294=""),"",NETWORKDAYS.INTL(X294,Y294,1,'HELPER(Dont Delete)'!A:A))</f>
        <v/>
      </c>
      <c r="AR294" s="54" t="str">
        <f>IF(OR(Y294="",AA294=""),"",NETWORKDAYS.INTL(Y294,AA294,1,'HELPER(Dont Delete)'!A:A))</f>
        <v/>
      </c>
      <c r="AS294" s="129"/>
      <c r="AT294" s="129"/>
      <c r="AU294" s="129"/>
      <c r="AV294" s="129"/>
      <c r="AW294" s="126"/>
      <c r="AX294" s="127"/>
      <c r="AY294" s="127"/>
      <c r="AZ294" s="129"/>
      <c r="BA294" s="82"/>
      <c r="BB294" s="82"/>
      <c r="BC294" s="132"/>
      <c r="BD294" s="132"/>
      <c r="BE294" s="133"/>
      <c r="BF294" s="132"/>
      <c r="BG294" s="132"/>
      <c r="BH294" s="132"/>
      <c r="BI294" s="132"/>
      <c r="BJ294" s="132"/>
      <c r="BK294" s="129"/>
      <c r="BL294" s="132"/>
      <c r="BM294" s="132"/>
      <c r="BN294" s="129"/>
      <c r="BO294" s="129"/>
      <c r="BP294" s="153"/>
      <c r="BQ294" s="126"/>
      <c r="BR294" s="126"/>
      <c r="BS294" s="127"/>
      <c r="BT294" s="127"/>
      <c r="BU294" s="129"/>
      <c r="BV294" s="127"/>
      <c r="BW294" s="129"/>
      <c r="BX294" s="129"/>
      <c r="BY294" s="129"/>
      <c r="BZ294" s="129"/>
      <c r="CA294" s="129"/>
      <c r="CB294" s="129"/>
      <c r="CC294" s="129"/>
      <c r="CD294" s="129"/>
      <c r="CE294" s="129"/>
      <c r="CF294" s="129"/>
      <c r="CG294" s="129"/>
      <c r="CH294" s="129"/>
      <c r="CI294" s="129"/>
      <c r="CJ294" s="129"/>
      <c r="CK294" s="129"/>
      <c r="CL294" s="129"/>
      <c r="CM294" s="129"/>
      <c r="CN294" s="129"/>
      <c r="CO294" s="129"/>
      <c r="CP294" s="129"/>
      <c r="CQ294" s="129"/>
      <c r="CR294" s="129"/>
    </row>
    <row r="295" spans="1:96">
      <c r="A295" s="126"/>
      <c r="B295" s="127">
        <v>45747</v>
      </c>
      <c r="C295" s="127">
        <v>45791</v>
      </c>
      <c r="D295" s="129" t="s">
        <v>147</v>
      </c>
      <c r="E295" s="82" t="s">
        <v>219</v>
      </c>
      <c r="F295" s="82" t="s">
        <v>220</v>
      </c>
      <c r="G295" s="132" t="s">
        <v>1922</v>
      </c>
      <c r="H295" s="132" t="s">
        <v>1923</v>
      </c>
      <c r="I295" s="133" t="s">
        <v>1924</v>
      </c>
      <c r="J295" s="132" t="s">
        <v>1925</v>
      </c>
      <c r="K295" s="132">
        <v>13</v>
      </c>
      <c r="L295" s="132">
        <v>13</v>
      </c>
      <c r="M295" s="132" t="s">
        <v>1926</v>
      </c>
      <c r="N295" s="132" t="s">
        <v>1927</v>
      </c>
      <c r="O295" s="129" t="s">
        <v>1928</v>
      </c>
      <c r="P295" s="132" t="s">
        <v>1929</v>
      </c>
      <c r="Q295" s="132" t="s">
        <v>208</v>
      </c>
      <c r="R295" s="129" t="s">
        <v>1930</v>
      </c>
      <c r="S295" s="129" t="s">
        <v>1201</v>
      </c>
      <c r="T295" s="172">
        <v>2</v>
      </c>
      <c r="U295" s="126" t="s">
        <v>671</v>
      </c>
      <c r="V295" s="126" t="s">
        <v>339</v>
      </c>
      <c r="W295" s="127" t="s">
        <v>1495</v>
      </c>
      <c r="X295" s="127">
        <v>45792</v>
      </c>
      <c r="Y295" s="127">
        <v>45797</v>
      </c>
      <c r="Z295" s="127"/>
      <c r="AA295" s="127">
        <v>45814</v>
      </c>
      <c r="AB295" s="129" t="s">
        <v>340</v>
      </c>
      <c r="AC295" s="129"/>
      <c r="AD295" s="129"/>
      <c r="AE295" s="129"/>
      <c r="AF295" s="129"/>
      <c r="AG295" s="129"/>
      <c r="AH295" s="129"/>
      <c r="AI295" s="129"/>
      <c r="AJ295" s="129"/>
      <c r="AK295" s="129"/>
      <c r="AL295" s="129"/>
      <c r="AM295" s="129"/>
      <c r="AN295" s="129"/>
      <c r="AO295" s="129"/>
      <c r="AP295" s="54">
        <f>IF(OR(X295="",C295=""),"",NETWORKDAYS.INTL(C295,X295,1,'HELPER(Dont Delete)'!A:A))</f>
        <v>2</v>
      </c>
      <c r="AQ295" s="54">
        <f>IF(OR(X295="",Y295=""),"",NETWORKDAYS.INTL(X295,Y295,1,'HELPER(Dont Delete)'!A:A))</f>
        <v>4</v>
      </c>
      <c r="AR295" s="54">
        <f>IF(OR(Y295="",AA295=""),"",NETWORKDAYS.INTL(Y295,AA295,1,'HELPER(Dont Delete)'!A:A))</f>
        <v>14</v>
      </c>
      <c r="AS295" s="129"/>
      <c r="AT295" s="129"/>
      <c r="AU295" s="129"/>
      <c r="AV295" s="129"/>
      <c r="AW295" s="126"/>
      <c r="AX295" s="127"/>
      <c r="AY295" s="127"/>
      <c r="AZ295" s="129"/>
      <c r="BA295" s="82"/>
      <c r="BB295" s="82"/>
      <c r="BC295" s="132"/>
      <c r="BD295" s="132"/>
      <c r="BE295" s="133"/>
      <c r="BF295" s="132"/>
      <c r="BG295" s="132"/>
      <c r="BH295" s="132"/>
      <c r="BI295" s="132"/>
      <c r="BJ295" s="132"/>
      <c r="BK295" s="129"/>
      <c r="BL295" s="132"/>
      <c r="BM295" s="132"/>
      <c r="BN295" s="129"/>
      <c r="BO295" s="129"/>
      <c r="BP295" s="153"/>
      <c r="BQ295" s="126"/>
      <c r="BR295" s="126"/>
      <c r="BS295" s="127"/>
      <c r="BT295" s="127"/>
      <c r="BU295" s="129"/>
      <c r="BV295" s="127"/>
      <c r="BW295" s="129"/>
      <c r="BX295" s="129"/>
      <c r="BY295" s="129"/>
      <c r="BZ295" s="129"/>
      <c r="CA295" s="129"/>
      <c r="CB295" s="129"/>
      <c r="CC295" s="129"/>
      <c r="CD295" s="129"/>
      <c r="CE295" s="129"/>
      <c r="CF295" s="129"/>
      <c r="CG295" s="129"/>
      <c r="CH295" s="129"/>
      <c r="CI295" s="129"/>
      <c r="CJ295" s="129"/>
      <c r="CK295" s="129"/>
      <c r="CL295" s="129"/>
      <c r="CM295" s="129"/>
      <c r="CN295" s="129"/>
      <c r="CO295" s="129"/>
      <c r="CP295" s="129"/>
      <c r="CQ295" s="129"/>
      <c r="CR295" s="129"/>
    </row>
    <row r="296" spans="1:96">
      <c r="A296" s="154"/>
      <c r="B296" s="155">
        <v>45747</v>
      </c>
      <c r="C296" s="127">
        <v>45791</v>
      </c>
      <c r="D296" s="157" t="s">
        <v>147</v>
      </c>
      <c r="E296" s="82" t="s">
        <v>219</v>
      </c>
      <c r="F296" s="82" t="s">
        <v>220</v>
      </c>
      <c r="G296" s="156" t="s">
        <v>1931</v>
      </c>
      <c r="H296" s="156">
        <v>9920668195</v>
      </c>
      <c r="I296" s="162" t="s">
        <v>1932</v>
      </c>
      <c r="J296" s="156" t="s">
        <v>1933</v>
      </c>
      <c r="K296" s="156">
        <v>11</v>
      </c>
      <c r="L296" s="156" t="s">
        <v>1226</v>
      </c>
      <c r="M296" s="156" t="s">
        <v>1934</v>
      </c>
      <c r="N296" s="156" t="s">
        <v>699</v>
      </c>
      <c r="O296" s="157" t="s">
        <v>1935</v>
      </c>
      <c r="P296" s="156" t="s">
        <v>1936</v>
      </c>
      <c r="Q296" s="156" t="s">
        <v>1921</v>
      </c>
      <c r="R296" s="157" t="s">
        <v>42</v>
      </c>
      <c r="S296" s="157" t="s">
        <v>1201</v>
      </c>
      <c r="T296" s="102" t="s">
        <v>1226</v>
      </c>
      <c r="U296" s="154" t="s">
        <v>671</v>
      </c>
      <c r="V296" s="126" t="s">
        <v>291</v>
      </c>
      <c r="W296" s="127" t="s">
        <v>1260</v>
      </c>
      <c r="X296" s="127">
        <v>45792</v>
      </c>
      <c r="Y296" s="155"/>
      <c r="Z296" s="155"/>
      <c r="AA296" s="155"/>
      <c r="AB296" s="157"/>
      <c r="AC296" s="157"/>
      <c r="AD296" s="157"/>
      <c r="AE296" s="157"/>
      <c r="AF296" s="157"/>
      <c r="AG296" s="157"/>
      <c r="AH296" s="157"/>
      <c r="AI296" s="157"/>
      <c r="AJ296" s="157"/>
      <c r="AK296" s="157"/>
      <c r="AL296" s="157"/>
      <c r="AM296" s="157"/>
      <c r="AN296" s="157"/>
      <c r="AO296" s="157"/>
      <c r="AP296" s="54">
        <f>IF(OR(X296="",C296=""),"",NETWORKDAYS.INTL(C296,X296,1,'HELPER(Dont Delete)'!A:A))</f>
        <v>2</v>
      </c>
      <c r="AQ296" s="54" t="str">
        <f>IF(OR(X296="",Y296=""),"",NETWORKDAYS.INTL(X296,Y296,1,'HELPER(Dont Delete)'!A:A))</f>
        <v/>
      </c>
      <c r="AR296" s="54" t="str">
        <f>IF(OR(Y296="",AA296=""),"",NETWORKDAYS.INTL(Y296,AA296,1,'HELPER(Dont Delete)'!A:A))</f>
        <v/>
      </c>
      <c r="AS296" s="157"/>
      <c r="AT296" s="157"/>
      <c r="AU296" s="157"/>
      <c r="AV296" s="157"/>
      <c r="AW296" s="154"/>
      <c r="AX296" s="155"/>
      <c r="AY296" s="155"/>
      <c r="AZ296" s="157"/>
      <c r="BA296" s="82"/>
      <c r="BB296" s="82"/>
      <c r="BC296" s="156"/>
      <c r="BD296" s="156"/>
      <c r="BE296" s="162"/>
      <c r="BF296" s="156"/>
      <c r="BG296" s="156"/>
      <c r="BH296" s="156"/>
      <c r="BI296" s="156"/>
      <c r="BJ296" s="156"/>
      <c r="BK296" s="157"/>
      <c r="BL296" s="156"/>
      <c r="BM296" s="156"/>
      <c r="BN296" s="157"/>
      <c r="BO296" s="157"/>
      <c r="BP296" s="164"/>
      <c r="BQ296" s="154"/>
      <c r="BR296" s="154"/>
      <c r="BS296" s="155"/>
      <c r="BT296" s="155"/>
      <c r="BU296" s="157"/>
      <c r="BV296" s="155"/>
      <c r="BW296" s="157"/>
      <c r="BX296" s="157"/>
      <c r="BY296" s="157"/>
      <c r="BZ296" s="157"/>
      <c r="CA296" s="157"/>
      <c r="CB296" s="157"/>
      <c r="CC296" s="157"/>
      <c r="CD296" s="157"/>
      <c r="CE296" s="157"/>
      <c r="CF296" s="157"/>
      <c r="CG296" s="157"/>
      <c r="CH296" s="157"/>
      <c r="CI296" s="157"/>
      <c r="CJ296" s="157"/>
      <c r="CK296" s="157"/>
      <c r="CL296" s="157"/>
      <c r="CM296" s="157"/>
      <c r="CN296" s="157"/>
      <c r="CO296" s="157"/>
      <c r="CP296" s="157"/>
      <c r="CQ296" s="157"/>
      <c r="CR296" s="157"/>
    </row>
    <row r="297" spans="1:96">
      <c r="A297" s="60"/>
      <c r="B297" s="108">
        <v>45742</v>
      </c>
      <c r="C297" s="127">
        <v>45794</v>
      </c>
      <c r="D297" s="60" t="s">
        <v>110</v>
      </c>
      <c r="E297" s="82" t="s">
        <v>219</v>
      </c>
      <c r="F297" s="82" t="s">
        <v>220</v>
      </c>
      <c r="G297" s="111" t="s">
        <v>1937</v>
      </c>
      <c r="H297" s="60">
        <v>8754140068</v>
      </c>
      <c r="I297" s="60" t="s">
        <v>1938</v>
      </c>
      <c r="J297" s="46" t="s">
        <v>1939</v>
      </c>
      <c r="K297" s="60">
        <v>14</v>
      </c>
      <c r="L297" s="60">
        <v>14</v>
      </c>
      <c r="M297" s="60" t="s">
        <v>1940</v>
      </c>
      <c r="N297" s="60" t="s">
        <v>462</v>
      </c>
      <c r="O297" s="60" t="s">
        <v>1941</v>
      </c>
      <c r="P297" s="110" t="s">
        <v>1942</v>
      </c>
      <c r="Q297" s="60" t="s">
        <v>1943</v>
      </c>
      <c r="R297" s="60" t="s">
        <v>42</v>
      </c>
      <c r="S297" s="60" t="s">
        <v>1201</v>
      </c>
      <c r="T297" s="60">
        <v>1.5</v>
      </c>
      <c r="U297" s="87" t="s">
        <v>671</v>
      </c>
      <c r="V297" s="126" t="s">
        <v>1166</v>
      </c>
      <c r="W297" s="127"/>
      <c r="X297" s="108"/>
      <c r="Y297" s="108"/>
      <c r="Z297" s="60"/>
      <c r="AA297" s="105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54" t="str">
        <f>IF(OR(X297="",C297=""),"",NETWORKDAYS.INTL(C297,X297,1,'HELPER(Dont Delete)'!A:A))</f>
        <v/>
      </c>
      <c r="AQ297" s="54" t="str">
        <f>IF(OR(X297="",Y297=""),"",NETWORKDAYS.INTL(X297,Y297,1,'HELPER(Dont Delete)'!A:A))</f>
        <v/>
      </c>
      <c r="AR297" s="54" t="str">
        <f>IF(OR(Y297="",AA297=""),"",NETWORKDAYS.INTL(Y297,AA297,1,'HELPER(Dont Delete)'!A:A))</f>
        <v/>
      </c>
      <c r="AS297" s="60"/>
      <c r="AT297" s="60"/>
      <c r="AU297" s="60"/>
      <c r="AV297" s="60"/>
      <c r="AW297" s="60"/>
      <c r="AX297" s="60"/>
      <c r="AY297" s="60"/>
      <c r="AZ297" s="60"/>
      <c r="BA297" s="87"/>
      <c r="BB297" s="87"/>
      <c r="BC297" s="60"/>
      <c r="BD297" s="60"/>
      <c r="BE297" s="60"/>
      <c r="BF297" s="60"/>
      <c r="BG297" s="60"/>
      <c r="BH297" s="60"/>
      <c r="BI297" s="60"/>
      <c r="BJ297" s="60"/>
      <c r="BK297" s="60"/>
      <c r="BL297" s="60"/>
      <c r="BM297" s="60"/>
      <c r="BN297" s="60"/>
      <c r="BO297" s="60"/>
      <c r="BP297" s="60"/>
      <c r="BQ297" s="60"/>
      <c r="BR297" s="60"/>
      <c r="BS297" s="60"/>
      <c r="BT297" s="60"/>
      <c r="BU297" s="60"/>
      <c r="BV297" s="60"/>
      <c r="BW297" s="60"/>
      <c r="BX297" s="60"/>
      <c r="BY297" s="60"/>
      <c r="BZ297" s="60"/>
      <c r="CA297" s="60"/>
      <c r="CB297" s="60"/>
      <c r="CC297" s="60"/>
      <c r="CD297" s="60"/>
      <c r="CE297" s="60"/>
      <c r="CF297" s="60"/>
      <c r="CG297" s="60"/>
      <c r="CH297" s="60"/>
      <c r="CI297" s="60"/>
      <c r="CJ297" s="60"/>
      <c r="CK297" s="60"/>
      <c r="CL297" s="60"/>
      <c r="CM297" s="60"/>
      <c r="CN297" s="60"/>
      <c r="CO297" s="60"/>
      <c r="CP297" s="60"/>
      <c r="CQ297" s="60"/>
      <c r="CR297" s="60"/>
    </row>
    <row r="298" spans="1:96">
      <c r="A298" s="126"/>
      <c r="B298" s="127">
        <v>45747</v>
      </c>
      <c r="C298" s="127">
        <v>45796</v>
      </c>
      <c r="D298" s="129" t="s">
        <v>1488</v>
      </c>
      <c r="E298" s="82" t="s">
        <v>219</v>
      </c>
      <c r="F298" s="82" t="s">
        <v>220</v>
      </c>
      <c r="G298" s="132" t="s">
        <v>1944</v>
      </c>
      <c r="H298" s="132">
        <v>7420907347</v>
      </c>
      <c r="I298" s="133" t="s">
        <v>1945</v>
      </c>
      <c r="J298" s="132"/>
      <c r="K298" s="132">
        <v>14</v>
      </c>
      <c r="L298" s="132">
        <v>14</v>
      </c>
      <c r="M298" s="132" t="s">
        <v>1946</v>
      </c>
      <c r="N298" s="132" t="s">
        <v>1218</v>
      </c>
      <c r="O298" s="129" t="s">
        <v>1947</v>
      </c>
      <c r="P298" s="132" t="s">
        <v>1948</v>
      </c>
      <c r="Q298" s="132" t="s">
        <v>1735</v>
      </c>
      <c r="R298" s="129" t="s">
        <v>1110</v>
      </c>
      <c r="S298" s="129" t="s">
        <v>42</v>
      </c>
      <c r="T298" s="153"/>
      <c r="U298" s="87" t="s">
        <v>1301</v>
      </c>
      <c r="V298" s="126" t="s">
        <v>758</v>
      </c>
      <c r="W298" s="127" t="s">
        <v>741</v>
      </c>
      <c r="X298" s="127"/>
      <c r="Y298" s="127"/>
      <c r="Z298" s="127"/>
      <c r="AA298" s="127"/>
      <c r="AB298" s="129"/>
      <c r="AC298" s="129"/>
      <c r="AD298" s="129"/>
      <c r="AE298" s="129"/>
      <c r="AF298" s="129"/>
      <c r="AG298" s="129"/>
      <c r="AH298" s="129"/>
      <c r="AI298" s="129"/>
      <c r="AJ298" s="129"/>
      <c r="AK298" s="129"/>
      <c r="AL298" s="129"/>
      <c r="AM298" s="129"/>
      <c r="AN298" s="129"/>
      <c r="AO298" s="129"/>
      <c r="AP298" s="54"/>
      <c r="AQ298" s="54"/>
      <c r="AR298" s="54"/>
      <c r="AS298" s="129"/>
      <c r="AT298" s="129"/>
      <c r="AU298" s="129"/>
      <c r="AV298" s="129"/>
      <c r="AW298" s="126"/>
      <c r="AX298" s="127"/>
      <c r="AY298" s="127"/>
      <c r="AZ298" s="129"/>
      <c r="BA298" s="82"/>
      <c r="BB298" s="82"/>
      <c r="BC298" s="132"/>
      <c r="BD298" s="132"/>
      <c r="BE298" s="133"/>
      <c r="BF298" s="132"/>
      <c r="BG298" s="132"/>
      <c r="BH298" s="132"/>
      <c r="BI298" s="132"/>
      <c r="BJ298" s="132"/>
      <c r="BK298" s="129"/>
      <c r="BL298" s="132"/>
      <c r="BM298" s="132"/>
      <c r="BN298" s="129"/>
      <c r="BO298" s="129"/>
      <c r="BP298" s="153"/>
      <c r="BQ298" s="126"/>
      <c r="BR298" s="126"/>
      <c r="BS298" s="127"/>
      <c r="BT298" s="127"/>
      <c r="BU298" s="129"/>
      <c r="BV298" s="127"/>
      <c r="BW298" s="129"/>
      <c r="BX298" s="129"/>
      <c r="BY298" s="129"/>
      <c r="BZ298" s="129"/>
      <c r="CA298" s="129"/>
      <c r="CB298" s="129"/>
      <c r="CC298" s="129"/>
      <c r="CD298" s="129"/>
      <c r="CE298" s="129"/>
      <c r="CF298" s="129"/>
      <c r="CG298" s="129"/>
      <c r="CH298" s="129"/>
      <c r="CI298" s="129"/>
      <c r="CJ298" s="129"/>
      <c r="CK298" s="129"/>
      <c r="CL298" s="129"/>
      <c r="CM298" s="129"/>
      <c r="CN298" s="129"/>
      <c r="CO298" s="129"/>
      <c r="CP298" s="129"/>
      <c r="CQ298" s="129"/>
      <c r="CR298" s="129"/>
    </row>
    <row r="299" spans="1:96">
      <c r="A299" s="154"/>
      <c r="B299" s="155">
        <v>45747</v>
      </c>
      <c r="C299" s="127">
        <v>45796</v>
      </c>
      <c r="D299" s="157" t="s">
        <v>1488</v>
      </c>
      <c r="E299" s="82" t="s">
        <v>219</v>
      </c>
      <c r="F299" s="82" t="s">
        <v>220</v>
      </c>
      <c r="G299" s="156" t="s">
        <v>1949</v>
      </c>
      <c r="H299" s="156">
        <v>9924423806</v>
      </c>
      <c r="I299" s="162" t="s">
        <v>1950</v>
      </c>
      <c r="J299" s="156"/>
      <c r="K299" s="156">
        <v>21</v>
      </c>
      <c r="L299" s="156">
        <v>21</v>
      </c>
      <c r="M299" s="156" t="s">
        <v>1624</v>
      </c>
      <c r="N299" s="156" t="s">
        <v>462</v>
      </c>
      <c r="O299" s="157" t="s">
        <v>1951</v>
      </c>
      <c r="P299" s="156" t="s">
        <v>352</v>
      </c>
      <c r="Q299" s="156" t="s">
        <v>456</v>
      </c>
      <c r="R299" s="157" t="s">
        <v>631</v>
      </c>
      <c r="S299" s="157" t="s">
        <v>42</v>
      </c>
      <c r="T299" s="153"/>
      <c r="U299" s="60" t="s">
        <v>1301</v>
      </c>
      <c r="V299" s="126" t="s">
        <v>231</v>
      </c>
      <c r="W299" s="127"/>
      <c r="X299" s="127"/>
      <c r="Y299" s="155">
        <v>45807</v>
      </c>
      <c r="Z299" s="155" t="s">
        <v>232</v>
      </c>
      <c r="AA299" s="155"/>
      <c r="AB299" s="157"/>
      <c r="AC299" s="157"/>
      <c r="AD299" s="157"/>
      <c r="AE299" s="157"/>
      <c r="AF299" s="157"/>
      <c r="AG299" s="157"/>
      <c r="AH299" s="157"/>
      <c r="AI299" s="157"/>
      <c r="AJ299" s="157"/>
      <c r="AK299" s="157"/>
      <c r="AL299" s="157"/>
      <c r="AM299" s="157"/>
      <c r="AN299" s="157"/>
      <c r="AO299" s="157"/>
      <c r="AP299" s="54"/>
      <c r="AQ299" s="54"/>
      <c r="AR299" s="54"/>
      <c r="AS299" s="157"/>
      <c r="AT299" s="157"/>
      <c r="AU299" s="157"/>
      <c r="AV299" s="157"/>
      <c r="AW299" s="154"/>
      <c r="AX299" s="155"/>
      <c r="AY299" s="155"/>
      <c r="AZ299" s="157"/>
      <c r="BA299" s="82"/>
      <c r="BB299" s="82"/>
      <c r="BC299" s="156"/>
      <c r="BD299" s="156"/>
      <c r="BE299" s="162"/>
      <c r="BF299" s="156"/>
      <c r="BG299" s="156"/>
      <c r="BH299" s="156"/>
      <c r="BI299" s="156"/>
      <c r="BJ299" s="156"/>
      <c r="BK299" s="157"/>
      <c r="BL299" s="156"/>
      <c r="BM299" s="156"/>
      <c r="BN299" s="157"/>
      <c r="BO299" s="157"/>
      <c r="BP299" s="164"/>
      <c r="BQ299" s="154"/>
      <c r="BR299" s="154"/>
      <c r="BS299" s="155"/>
      <c r="BT299" s="155"/>
      <c r="BU299" s="157"/>
      <c r="BV299" s="155"/>
      <c r="BW299" s="157"/>
      <c r="BX299" s="157"/>
      <c r="BY299" s="157"/>
      <c r="BZ299" s="157"/>
      <c r="CA299" s="157"/>
      <c r="CB299" s="157"/>
      <c r="CC299" s="157"/>
      <c r="CD299" s="157"/>
      <c r="CE299" s="157"/>
      <c r="CF299" s="157"/>
      <c r="CG299" s="157"/>
      <c r="CH299" s="157"/>
      <c r="CI299" s="157"/>
      <c r="CJ299" s="157"/>
      <c r="CK299" s="157"/>
      <c r="CL299" s="157"/>
      <c r="CM299" s="157"/>
      <c r="CN299" s="157"/>
      <c r="CO299" s="157"/>
      <c r="CP299" s="157"/>
      <c r="CQ299" s="157"/>
      <c r="CR299" s="157"/>
    </row>
    <row r="300" spans="1:96">
      <c r="A300" s="87"/>
      <c r="B300" s="135">
        <v>45685</v>
      </c>
      <c r="C300" s="127">
        <v>45797</v>
      </c>
      <c r="D300" s="87" t="s">
        <v>107</v>
      </c>
      <c r="E300" s="82" t="s">
        <v>219</v>
      </c>
      <c r="F300" s="82" t="s">
        <v>220</v>
      </c>
      <c r="G300" s="140" t="s">
        <v>1952</v>
      </c>
      <c r="H300" s="87">
        <v>9834218211</v>
      </c>
      <c r="I300" s="87" t="s">
        <v>1953</v>
      </c>
      <c r="J300" s="141" t="s">
        <v>1331</v>
      </c>
      <c r="K300" s="87">
        <v>7</v>
      </c>
      <c r="L300" s="87">
        <v>7</v>
      </c>
      <c r="M300" s="87" t="s">
        <v>1954</v>
      </c>
      <c r="N300" s="87" t="s">
        <v>425</v>
      </c>
      <c r="O300" s="87" t="s">
        <v>440</v>
      </c>
      <c r="P300" s="169" t="s">
        <v>770</v>
      </c>
      <c r="Q300" s="87" t="s">
        <v>1862</v>
      </c>
      <c r="R300" s="87" t="s">
        <v>590</v>
      </c>
      <c r="S300" s="169" t="s">
        <v>1201</v>
      </c>
      <c r="T300" s="60"/>
      <c r="U300" s="129" t="s">
        <v>369</v>
      </c>
      <c r="V300" s="126" t="s">
        <v>231</v>
      </c>
      <c r="W300" s="127"/>
      <c r="X300" s="108">
        <v>45798</v>
      </c>
      <c r="Y300" s="135">
        <v>45804</v>
      </c>
      <c r="Z300" s="87" t="s">
        <v>232</v>
      </c>
      <c r="AA300" s="16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  <c r="AM300" s="87"/>
      <c r="AN300" s="87"/>
      <c r="AO300" s="87"/>
      <c r="AP300" s="54">
        <f>IF(OR(X300="",C300=""),"",NETWORKDAYS.INTL(C300,X300,1,'HELPER(Dont Delete)'!A:A))</f>
        <v>2</v>
      </c>
      <c r="AQ300" s="54">
        <f>IF(OR(X300="",Y300=""),"",NETWORKDAYS.INTL(X300,Y300,1,'HELPER(Dont Delete)'!A:A))</f>
        <v>5</v>
      </c>
      <c r="AR300" s="54" t="str">
        <f>IF(OR(Y300="",AA300=""),"",NETWORKDAYS.INTL(Y300,AA300,1,'HELPER(Dont Delete)'!A:A))</f>
        <v/>
      </c>
      <c r="AS300" s="87"/>
      <c r="AT300" s="87"/>
      <c r="AU300" s="87"/>
      <c r="AV300" s="87"/>
      <c r="AW300" s="87"/>
      <c r="AX300" s="87"/>
      <c r="AY300" s="87"/>
      <c r="AZ300" s="87"/>
      <c r="BA300" s="87"/>
      <c r="BB300" s="87"/>
      <c r="BC300" s="87"/>
      <c r="BD300" s="87"/>
      <c r="BE300" s="87"/>
      <c r="BF300" s="87"/>
      <c r="BG300" s="87"/>
      <c r="BH300" s="87"/>
      <c r="BI300" s="87"/>
      <c r="BJ300" s="87"/>
      <c r="BK300" s="87"/>
      <c r="BL300" s="87"/>
      <c r="BM300" s="87"/>
      <c r="BN300" s="87"/>
      <c r="BO300" s="87"/>
      <c r="BP300" s="87"/>
      <c r="BQ300" s="87"/>
      <c r="BR300" s="87"/>
      <c r="BS300" s="87"/>
      <c r="BT300" s="87"/>
      <c r="BU300" s="87"/>
      <c r="BV300" s="87"/>
      <c r="BW300" s="87"/>
      <c r="BX300" s="87"/>
      <c r="BY300" s="87"/>
      <c r="BZ300" s="87"/>
      <c r="CA300" s="87"/>
      <c r="CB300" s="87"/>
      <c r="CC300" s="87"/>
      <c r="CD300" s="87"/>
      <c r="CE300" s="87"/>
      <c r="CF300" s="87"/>
      <c r="CG300" s="87"/>
      <c r="CH300" s="87"/>
      <c r="CI300" s="87"/>
      <c r="CJ300" s="87"/>
      <c r="CK300" s="87"/>
      <c r="CL300" s="87"/>
      <c r="CM300" s="87"/>
      <c r="CN300" s="87"/>
      <c r="CO300" s="87"/>
      <c r="CP300" s="87"/>
      <c r="CQ300" s="87"/>
      <c r="CR300" s="87"/>
    </row>
    <row r="301" spans="1:96">
      <c r="A301" s="87"/>
      <c r="B301" s="135">
        <v>45685</v>
      </c>
      <c r="C301" s="127">
        <v>45797</v>
      </c>
      <c r="D301" s="60" t="s">
        <v>107</v>
      </c>
      <c r="E301" s="82" t="s">
        <v>219</v>
      </c>
      <c r="F301" s="82" t="s">
        <v>220</v>
      </c>
      <c r="G301" s="140" t="s">
        <v>1955</v>
      </c>
      <c r="H301" s="87">
        <v>8329295622</v>
      </c>
      <c r="I301" s="87" t="s">
        <v>1956</v>
      </c>
      <c r="J301" s="141" t="s">
        <v>1331</v>
      </c>
      <c r="K301" s="87">
        <v>11</v>
      </c>
      <c r="L301" s="87">
        <v>11</v>
      </c>
      <c r="M301" s="87" t="s">
        <v>1957</v>
      </c>
      <c r="N301" s="87" t="s">
        <v>425</v>
      </c>
      <c r="O301" s="87" t="s">
        <v>1958</v>
      </c>
      <c r="P301" s="169" t="s">
        <v>770</v>
      </c>
      <c r="Q301" s="87" t="s">
        <v>1959</v>
      </c>
      <c r="R301" s="87" t="s">
        <v>590</v>
      </c>
      <c r="S301" s="169" t="s">
        <v>1201</v>
      </c>
      <c r="T301" s="60"/>
      <c r="U301" s="157" t="s">
        <v>369</v>
      </c>
      <c r="V301" s="126" t="s">
        <v>231</v>
      </c>
      <c r="W301" s="127"/>
      <c r="X301" s="108">
        <v>45798</v>
      </c>
      <c r="Y301" s="135">
        <v>45801</v>
      </c>
      <c r="Z301" s="87" t="s">
        <v>232</v>
      </c>
      <c r="AA301" s="16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  <c r="AM301" s="87"/>
      <c r="AN301" s="87"/>
      <c r="AO301" s="87"/>
      <c r="AP301" s="54">
        <f>IF(OR(X301="",C301=""),"",NETWORKDAYS.INTL(C301,X301,1,'HELPER(Dont Delete)'!A:A))</f>
        <v>2</v>
      </c>
      <c r="AQ301" s="54">
        <f>IF(OR(X301="",Y301=""),"",NETWORKDAYS.INTL(X301,Y301,1,'HELPER(Dont Delete)'!A:A))</f>
        <v>3</v>
      </c>
      <c r="AR301" s="54" t="str">
        <f>IF(OR(Y301="",AA301=""),"",NETWORKDAYS.INTL(Y301,AA301,1,'HELPER(Dont Delete)'!A:A))</f>
        <v/>
      </c>
      <c r="AS301" s="87"/>
      <c r="AT301" s="87"/>
      <c r="AU301" s="87"/>
      <c r="AV301" s="87"/>
      <c r="AW301" s="87"/>
      <c r="AX301" s="87"/>
      <c r="AY301" s="87"/>
      <c r="AZ301" s="87"/>
      <c r="BA301" s="87"/>
      <c r="BB301" s="87"/>
      <c r="BC301" s="87"/>
      <c r="BD301" s="87"/>
      <c r="BE301" s="87"/>
      <c r="BF301" s="87"/>
      <c r="BG301" s="87"/>
      <c r="BH301" s="87"/>
      <c r="BI301" s="87"/>
      <c r="BJ301" s="87"/>
      <c r="BK301" s="87"/>
      <c r="BL301" s="87"/>
      <c r="BM301" s="87"/>
      <c r="BN301" s="87"/>
      <c r="BO301" s="87"/>
      <c r="BP301" s="87"/>
      <c r="BQ301" s="87"/>
      <c r="BR301" s="87"/>
      <c r="BS301" s="87"/>
      <c r="BT301" s="87"/>
      <c r="BU301" s="87"/>
      <c r="BV301" s="87"/>
      <c r="BW301" s="87"/>
      <c r="BX301" s="87"/>
      <c r="BY301" s="87"/>
      <c r="BZ301" s="87"/>
      <c r="CA301" s="87"/>
      <c r="CB301" s="87"/>
      <c r="CC301" s="87"/>
      <c r="CD301" s="87"/>
      <c r="CE301" s="87"/>
      <c r="CF301" s="87"/>
      <c r="CG301" s="87"/>
      <c r="CH301" s="87"/>
      <c r="CI301" s="87"/>
      <c r="CJ301" s="87"/>
      <c r="CK301" s="87"/>
      <c r="CL301" s="87"/>
      <c r="CM301" s="87"/>
      <c r="CN301" s="87"/>
      <c r="CO301" s="87"/>
      <c r="CP301" s="87"/>
      <c r="CQ301" s="87"/>
      <c r="CR301" s="87"/>
    </row>
    <row r="302" spans="1:96">
      <c r="A302" s="87"/>
      <c r="B302" s="135">
        <v>45743</v>
      </c>
      <c r="C302" s="127">
        <v>45798</v>
      </c>
      <c r="D302" s="60" t="s">
        <v>114</v>
      </c>
      <c r="E302" s="82" t="s">
        <v>219</v>
      </c>
      <c r="F302" s="82" t="s">
        <v>220</v>
      </c>
      <c r="G302" s="140" t="s">
        <v>1960</v>
      </c>
      <c r="H302" s="87">
        <v>9920693186</v>
      </c>
      <c r="I302" s="87" t="s">
        <v>1961</v>
      </c>
      <c r="J302" s="141" t="s">
        <v>1633</v>
      </c>
      <c r="K302" s="87">
        <v>16</v>
      </c>
      <c r="L302" s="87">
        <v>16</v>
      </c>
      <c r="M302" s="87" t="s">
        <v>1962</v>
      </c>
      <c r="N302" s="87" t="s">
        <v>1963</v>
      </c>
      <c r="O302" s="217" t="s">
        <v>1472</v>
      </c>
      <c r="P302" s="217" t="s">
        <v>1964</v>
      </c>
      <c r="Q302" s="87" t="s">
        <v>208</v>
      </c>
      <c r="R302" s="87" t="s">
        <v>1965</v>
      </c>
      <c r="S302" s="87" t="s">
        <v>1201</v>
      </c>
      <c r="T302" s="60">
        <v>1.5</v>
      </c>
      <c r="U302" s="87" t="s">
        <v>671</v>
      </c>
      <c r="V302" s="126" t="s">
        <v>339</v>
      </c>
      <c r="W302" s="127" t="s">
        <v>1495</v>
      </c>
      <c r="X302" s="108">
        <v>45798</v>
      </c>
      <c r="Y302" s="135">
        <v>45799</v>
      </c>
      <c r="Z302" s="87" t="s">
        <v>340</v>
      </c>
      <c r="AA302" s="167">
        <v>45812</v>
      </c>
      <c r="AB302" s="87" t="s">
        <v>340</v>
      </c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  <c r="AM302" s="87"/>
      <c r="AN302" s="87"/>
      <c r="AO302" s="87"/>
      <c r="AP302" s="54">
        <f>IF(OR(X302="",C302=""),"",NETWORKDAYS.INTL(C302,X302,1,'HELPER(Dont Delete)'!A:A))</f>
        <v>1</v>
      </c>
      <c r="AQ302" s="54">
        <f>IF(OR(X302="",Y302=""),"",NETWORKDAYS.INTL(X302,Y302,1,'HELPER(Dont Delete)'!A:A))</f>
        <v>2</v>
      </c>
      <c r="AR302" s="54">
        <f>IF(OR(Y302="",AA302=""),"",NETWORKDAYS.INTL(Y302,AA302,1,'HELPER(Dont Delete)'!A:A))</f>
        <v>10</v>
      </c>
      <c r="AS302" s="87"/>
      <c r="AT302" s="87"/>
      <c r="AU302" s="87"/>
      <c r="AV302" s="87"/>
      <c r="AW302" s="87"/>
      <c r="AX302" s="87"/>
      <c r="AY302" s="87"/>
      <c r="AZ302" s="87"/>
      <c r="BA302" s="87"/>
      <c r="BB302" s="87"/>
      <c r="BC302" s="87"/>
      <c r="BD302" s="87"/>
      <c r="BE302" s="87"/>
      <c r="BF302" s="87"/>
      <c r="BG302" s="87"/>
      <c r="BH302" s="87"/>
      <c r="BI302" s="87"/>
      <c r="BJ302" s="87"/>
      <c r="BK302" s="87"/>
      <c r="BL302" s="87"/>
      <c r="BM302" s="87"/>
      <c r="BN302" s="87"/>
      <c r="BO302" s="87"/>
      <c r="BP302" s="87"/>
      <c r="BQ302" s="87"/>
      <c r="BR302" s="87"/>
      <c r="BS302" s="87"/>
      <c r="BT302" s="87"/>
      <c r="BU302" s="87"/>
      <c r="BV302" s="87"/>
      <c r="BW302" s="87"/>
      <c r="BX302" s="87"/>
      <c r="BY302" s="87"/>
      <c r="BZ302" s="87"/>
      <c r="CA302" s="87"/>
      <c r="CB302" s="87"/>
      <c r="CC302" s="87"/>
      <c r="CD302" s="87"/>
      <c r="CE302" s="87"/>
      <c r="CF302" s="87"/>
      <c r="CG302" s="87"/>
      <c r="CH302" s="87"/>
      <c r="CI302" s="87"/>
      <c r="CJ302" s="87"/>
      <c r="CK302" s="87"/>
      <c r="CL302" s="87"/>
      <c r="CM302" s="87"/>
      <c r="CN302" s="87"/>
      <c r="CO302" s="87"/>
      <c r="CP302" s="87"/>
      <c r="CQ302" s="87"/>
      <c r="CR302" s="87"/>
    </row>
    <row r="303" spans="1:96">
      <c r="A303" s="87"/>
      <c r="B303" s="135">
        <v>45743</v>
      </c>
      <c r="C303" s="127">
        <v>45798</v>
      </c>
      <c r="D303" s="60" t="s">
        <v>114</v>
      </c>
      <c r="E303" s="82" t="s">
        <v>219</v>
      </c>
      <c r="F303" s="82" t="s">
        <v>220</v>
      </c>
      <c r="G303" s="140" t="s">
        <v>1966</v>
      </c>
      <c r="H303" s="87">
        <v>9806048842</v>
      </c>
      <c r="I303" s="87" t="s">
        <v>1967</v>
      </c>
      <c r="J303" s="141" t="s">
        <v>1968</v>
      </c>
      <c r="K303" s="87">
        <v>9</v>
      </c>
      <c r="L303" s="87">
        <v>9</v>
      </c>
      <c r="M303" s="87" t="s">
        <v>1969</v>
      </c>
      <c r="N303" s="87" t="s">
        <v>1970</v>
      </c>
      <c r="O303" s="217" t="s">
        <v>1588</v>
      </c>
      <c r="P303" s="217" t="s">
        <v>1971</v>
      </c>
      <c r="Q303" s="87" t="s">
        <v>208</v>
      </c>
      <c r="R303" s="87" t="s">
        <v>1972</v>
      </c>
      <c r="S303" s="87" t="s">
        <v>1201</v>
      </c>
      <c r="T303" s="60">
        <v>2</v>
      </c>
      <c r="U303" s="87" t="s">
        <v>671</v>
      </c>
      <c r="V303" s="126" t="s">
        <v>291</v>
      </c>
      <c r="W303" s="127"/>
      <c r="X303" s="108">
        <v>45798</v>
      </c>
      <c r="Y303" s="135"/>
      <c r="Z303" s="87"/>
      <c r="AA303" s="16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  <c r="AM303" s="87"/>
      <c r="AN303" s="87"/>
      <c r="AO303" s="87"/>
      <c r="AP303" s="54">
        <f>IF(OR(X303="",C303=""),"",NETWORKDAYS.INTL(C303,X303,1,'HELPER(Dont Delete)'!A:A))</f>
        <v>1</v>
      </c>
      <c r="AQ303" s="54" t="str">
        <f>IF(OR(X303="",Y303=""),"",NETWORKDAYS.INTL(X303,Y303,1,'HELPER(Dont Delete)'!A:A))</f>
        <v/>
      </c>
      <c r="AR303" s="54" t="str">
        <f>IF(OR(Y303="",AA303=""),"",NETWORKDAYS.INTL(Y303,AA303,1,'HELPER(Dont Delete)'!A:A))</f>
        <v/>
      </c>
      <c r="AS303" s="87"/>
      <c r="AT303" s="87"/>
      <c r="AU303" s="87"/>
      <c r="AV303" s="87"/>
      <c r="AW303" s="87"/>
      <c r="AX303" s="87"/>
      <c r="AY303" s="87"/>
      <c r="AZ303" s="87"/>
      <c r="BA303" s="87"/>
      <c r="BB303" s="87"/>
      <c r="BC303" s="87"/>
      <c r="BD303" s="87"/>
      <c r="BE303" s="87"/>
      <c r="BF303" s="87"/>
      <c r="BG303" s="87"/>
      <c r="BH303" s="87"/>
      <c r="BI303" s="87"/>
      <c r="BJ303" s="87"/>
      <c r="BK303" s="87"/>
      <c r="BL303" s="87"/>
      <c r="BM303" s="87"/>
      <c r="BN303" s="87"/>
      <c r="BO303" s="87"/>
      <c r="BP303" s="87"/>
      <c r="BQ303" s="87"/>
      <c r="BR303" s="87"/>
      <c r="BS303" s="87"/>
      <c r="BT303" s="87"/>
      <c r="BU303" s="87"/>
      <c r="BV303" s="87"/>
      <c r="BW303" s="87"/>
      <c r="BX303" s="87"/>
      <c r="BY303" s="87"/>
      <c r="BZ303" s="87"/>
      <c r="CA303" s="87"/>
      <c r="CB303" s="87"/>
      <c r="CC303" s="87"/>
      <c r="CD303" s="87"/>
      <c r="CE303" s="87"/>
      <c r="CF303" s="87"/>
      <c r="CG303" s="87"/>
      <c r="CH303" s="87"/>
      <c r="CI303" s="87"/>
      <c r="CJ303" s="87"/>
      <c r="CK303" s="87"/>
      <c r="CL303" s="87"/>
      <c r="CM303" s="87"/>
      <c r="CN303" s="87"/>
      <c r="CO303" s="87"/>
      <c r="CP303" s="87"/>
      <c r="CQ303" s="87"/>
      <c r="CR303" s="87"/>
    </row>
    <row r="304" spans="1:96">
      <c r="A304" s="87"/>
      <c r="B304" s="135">
        <v>45747</v>
      </c>
      <c r="C304" s="127">
        <v>45798</v>
      </c>
      <c r="D304" s="87" t="s">
        <v>1707</v>
      </c>
      <c r="E304" s="82" t="s">
        <v>219</v>
      </c>
      <c r="F304" s="82" t="s">
        <v>220</v>
      </c>
      <c r="G304" s="140" t="s">
        <v>1973</v>
      </c>
      <c r="H304" s="87">
        <v>8122409699</v>
      </c>
      <c r="I304" s="87" t="s">
        <v>1974</v>
      </c>
      <c r="J304" s="141"/>
      <c r="K304" s="87">
        <v>10</v>
      </c>
      <c r="L304" s="87">
        <v>10</v>
      </c>
      <c r="M304" s="87" t="s">
        <v>1975</v>
      </c>
      <c r="N304" s="87" t="s">
        <v>534</v>
      </c>
      <c r="O304" s="60" t="s">
        <v>1976</v>
      </c>
      <c r="P304" s="181" t="s">
        <v>1977</v>
      </c>
      <c r="Q304" s="87" t="s">
        <v>456</v>
      </c>
      <c r="R304" s="87" t="s">
        <v>1978</v>
      </c>
      <c r="S304" s="87" t="s">
        <v>42</v>
      </c>
      <c r="T304" s="60"/>
      <c r="U304" s="87" t="s">
        <v>1301</v>
      </c>
      <c r="V304" s="126" t="s">
        <v>291</v>
      </c>
      <c r="W304" s="127"/>
      <c r="X304" s="108">
        <v>45804</v>
      </c>
      <c r="Y304" s="135"/>
      <c r="Z304" s="87"/>
      <c r="AA304" s="16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  <c r="AN304" s="87"/>
      <c r="AO304" s="87"/>
      <c r="AP304" s="54">
        <f>IF(OR(X304="",C304=""),"",NETWORKDAYS.INTL(C304,X304,1,'HELPER(Dont Delete)'!A:A))</f>
        <v>5</v>
      </c>
      <c r="AQ304" s="54" t="str">
        <f>IF(OR(X304="",Y304=""),"",NETWORKDAYS.INTL(X304,Y304,1,'HELPER(Dont Delete)'!A:A))</f>
        <v/>
      </c>
      <c r="AR304" s="54" t="str">
        <f>IF(OR(Y304="",AA304=""),"",NETWORKDAYS.INTL(Y304,AA304,1,'HELPER(Dont Delete)'!A:A))</f>
        <v/>
      </c>
      <c r="AS304" s="87"/>
      <c r="AT304" s="87"/>
      <c r="AU304" s="87"/>
      <c r="AV304" s="87"/>
      <c r="AW304" s="87"/>
      <c r="AX304" s="87"/>
      <c r="AY304" s="87"/>
      <c r="AZ304" s="87"/>
      <c r="BA304" s="87"/>
      <c r="BB304" s="87"/>
      <c r="BC304" s="87"/>
      <c r="BD304" s="87"/>
      <c r="BE304" s="87"/>
      <c r="BF304" s="87"/>
      <c r="BG304" s="87"/>
      <c r="BH304" s="87"/>
      <c r="BI304" s="87"/>
      <c r="BJ304" s="87"/>
      <c r="BK304" s="87"/>
      <c r="BL304" s="87"/>
      <c r="BM304" s="87"/>
      <c r="BN304" s="87"/>
      <c r="BO304" s="87"/>
      <c r="BP304" s="87"/>
      <c r="BQ304" s="87"/>
      <c r="BR304" s="87"/>
      <c r="BS304" s="87"/>
      <c r="BT304" s="87"/>
      <c r="BU304" s="87"/>
      <c r="BV304" s="87"/>
      <c r="BW304" s="87"/>
      <c r="BX304" s="87"/>
      <c r="BY304" s="87"/>
      <c r="BZ304" s="87"/>
      <c r="CA304" s="87"/>
      <c r="CB304" s="87"/>
      <c r="CC304" s="87"/>
      <c r="CD304" s="87"/>
      <c r="CE304" s="87"/>
      <c r="CF304" s="87"/>
      <c r="CG304" s="87"/>
      <c r="CH304" s="87"/>
      <c r="CI304" s="87"/>
      <c r="CJ304" s="87"/>
      <c r="CK304" s="87"/>
      <c r="CL304" s="87"/>
      <c r="CM304" s="87"/>
      <c r="CN304" s="87"/>
      <c r="CO304" s="87"/>
      <c r="CP304" s="87"/>
      <c r="CQ304" s="87"/>
      <c r="CR304" s="87"/>
    </row>
    <row r="305" spans="1:96">
      <c r="A305" s="87"/>
      <c r="B305" s="135">
        <v>45742</v>
      </c>
      <c r="C305" s="127">
        <v>45798</v>
      </c>
      <c r="D305" s="87" t="s">
        <v>110</v>
      </c>
      <c r="E305" s="82" t="s">
        <v>219</v>
      </c>
      <c r="F305" s="82" t="s">
        <v>220</v>
      </c>
      <c r="G305" s="140" t="s">
        <v>1979</v>
      </c>
      <c r="H305" s="87">
        <v>9284321951</v>
      </c>
      <c r="I305" s="87" t="s">
        <v>1980</v>
      </c>
      <c r="J305" s="141"/>
      <c r="K305" s="87">
        <v>20</v>
      </c>
      <c r="L305" s="87">
        <v>20</v>
      </c>
      <c r="M305" s="87" t="s">
        <v>1981</v>
      </c>
      <c r="N305" s="87" t="s">
        <v>1982</v>
      </c>
      <c r="O305" s="160" t="s">
        <v>630</v>
      </c>
      <c r="P305" s="173" t="s">
        <v>770</v>
      </c>
      <c r="Q305" s="87" t="s">
        <v>456</v>
      </c>
      <c r="R305" s="87" t="s">
        <v>95</v>
      </c>
      <c r="S305" s="87" t="s">
        <v>1201</v>
      </c>
      <c r="T305" s="60"/>
      <c r="U305" s="87" t="s">
        <v>1561</v>
      </c>
      <c r="V305" s="126" t="s">
        <v>339</v>
      </c>
      <c r="W305" s="127" t="s">
        <v>1495</v>
      </c>
      <c r="X305" s="108">
        <v>45834</v>
      </c>
      <c r="Y305" s="135">
        <v>45838</v>
      </c>
      <c r="Z305" s="87"/>
      <c r="AA305" s="166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  <c r="AN305" s="87"/>
      <c r="AO305" s="87"/>
      <c r="AP305" s="54">
        <f>IF(OR(X305="",C305=""),"",NETWORKDAYS.INTL(C305,X305,1,'HELPER(Dont Delete)'!A:A))</f>
        <v>27</v>
      </c>
      <c r="AQ305" s="54">
        <f>IF(OR(X305="",Y305=""),"",NETWORKDAYS.INTL(X305,Y305,1,'HELPER(Dont Delete)'!A:A))</f>
        <v>3</v>
      </c>
      <c r="AR305" s="54" t="str">
        <f>IF(OR(Y305="",AA305=""),"",NETWORKDAYS.INTL(Y305,AA305,1,'HELPER(Dont Delete)'!A:A))</f>
        <v/>
      </c>
      <c r="AS305" s="87"/>
      <c r="AT305" s="87"/>
      <c r="AU305" s="87"/>
      <c r="AV305" s="87"/>
      <c r="AW305" s="87"/>
      <c r="AX305" s="87"/>
      <c r="AY305" s="87"/>
      <c r="AZ305" s="87"/>
      <c r="BA305" s="87"/>
      <c r="BB305" s="87"/>
      <c r="BC305" s="87"/>
      <c r="BD305" s="87"/>
      <c r="BE305" s="87"/>
      <c r="BF305" s="87"/>
      <c r="BG305" s="87"/>
      <c r="BH305" s="87"/>
      <c r="BI305" s="87"/>
      <c r="BJ305" s="87"/>
      <c r="BK305" s="87"/>
      <c r="BL305" s="87"/>
      <c r="BM305" s="87"/>
      <c r="BN305" s="87"/>
      <c r="BO305" s="87"/>
      <c r="BP305" s="87"/>
      <c r="BQ305" s="87"/>
      <c r="BR305" s="87"/>
      <c r="BS305" s="87"/>
      <c r="BT305" s="87"/>
      <c r="BU305" s="87"/>
      <c r="BV305" s="87"/>
      <c r="BW305" s="87"/>
      <c r="BX305" s="87"/>
      <c r="BY305" s="87"/>
      <c r="BZ305" s="87"/>
      <c r="CA305" s="87"/>
      <c r="CB305" s="87"/>
      <c r="CC305" s="87"/>
      <c r="CD305" s="87"/>
      <c r="CE305" s="87"/>
      <c r="CF305" s="87"/>
      <c r="CG305" s="87"/>
      <c r="CH305" s="87"/>
      <c r="CI305" s="87"/>
      <c r="CJ305" s="87"/>
      <c r="CK305" s="87"/>
      <c r="CL305" s="87"/>
      <c r="CM305" s="87"/>
      <c r="CN305" s="87"/>
      <c r="CO305" s="87"/>
      <c r="CP305" s="87"/>
      <c r="CQ305" s="87"/>
      <c r="CR305" s="87"/>
    </row>
    <row r="306" spans="1:96">
      <c r="A306" s="87"/>
      <c r="B306" s="135">
        <v>45742</v>
      </c>
      <c r="C306" s="127">
        <v>45798</v>
      </c>
      <c r="D306" s="87" t="s">
        <v>110</v>
      </c>
      <c r="E306" s="82" t="s">
        <v>219</v>
      </c>
      <c r="F306" s="82" t="s">
        <v>220</v>
      </c>
      <c r="G306" s="140" t="s">
        <v>1983</v>
      </c>
      <c r="H306" s="87">
        <v>9920588831</v>
      </c>
      <c r="I306" s="87" t="s">
        <v>1984</v>
      </c>
      <c r="J306" s="141"/>
      <c r="K306" s="87">
        <v>17</v>
      </c>
      <c r="L306" s="87">
        <v>17</v>
      </c>
      <c r="M306" s="87" t="s">
        <v>1985</v>
      </c>
      <c r="N306" s="87" t="s">
        <v>425</v>
      </c>
      <c r="O306" s="87" t="s">
        <v>1887</v>
      </c>
      <c r="P306" s="87" t="s">
        <v>770</v>
      </c>
      <c r="Q306" s="87" t="s">
        <v>456</v>
      </c>
      <c r="R306" s="87" t="s">
        <v>42</v>
      </c>
      <c r="S306" s="87" t="s">
        <v>1201</v>
      </c>
      <c r="T306" s="60"/>
      <c r="U306" s="87" t="s">
        <v>1428</v>
      </c>
      <c r="V306" s="126" t="s">
        <v>808</v>
      </c>
      <c r="W306" s="127"/>
      <c r="X306" s="108">
        <v>45834</v>
      </c>
      <c r="Y306" s="135"/>
      <c r="Z306" s="87"/>
      <c r="AA306" s="166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  <c r="AM306" s="87"/>
      <c r="AN306" s="87"/>
      <c r="AO306" s="87"/>
      <c r="AP306" s="54">
        <f>IF(OR(X306="",C306=""),"",NETWORKDAYS.INTL(C306,X306,1,'HELPER(Dont Delete)'!A:A))</f>
        <v>27</v>
      </c>
      <c r="AQ306" s="54" t="str">
        <f>IF(OR(X306="",Y306=""),"",NETWORKDAYS.INTL(X306,Y306,1,'HELPER(Dont Delete)'!A:A))</f>
        <v/>
      </c>
      <c r="AR306" s="54" t="str">
        <f>IF(OR(Y306="",AA306=""),"",NETWORKDAYS.INTL(Y306,AA306,1,'HELPER(Dont Delete)'!A:A))</f>
        <v/>
      </c>
      <c r="AS306" s="87"/>
      <c r="AT306" s="87"/>
      <c r="AU306" s="87"/>
      <c r="AV306" s="87"/>
      <c r="AW306" s="87"/>
      <c r="AX306" s="87"/>
      <c r="AY306" s="87"/>
      <c r="AZ306" s="87"/>
      <c r="BA306" s="87"/>
      <c r="BB306" s="87"/>
      <c r="BC306" s="87"/>
      <c r="BD306" s="87"/>
      <c r="BE306" s="87"/>
      <c r="BF306" s="87"/>
      <c r="BG306" s="87"/>
      <c r="BH306" s="87"/>
      <c r="BI306" s="87"/>
      <c r="BJ306" s="87"/>
      <c r="BK306" s="87"/>
      <c r="BL306" s="87"/>
      <c r="BM306" s="87"/>
      <c r="BN306" s="87"/>
      <c r="BO306" s="87"/>
      <c r="BP306" s="87"/>
      <c r="BQ306" s="87"/>
      <c r="BR306" s="87"/>
      <c r="BS306" s="87"/>
      <c r="BT306" s="87"/>
      <c r="BU306" s="87"/>
      <c r="BV306" s="87"/>
      <c r="BW306" s="87"/>
      <c r="BX306" s="87"/>
      <c r="BY306" s="87"/>
      <c r="BZ306" s="87"/>
      <c r="CA306" s="87"/>
      <c r="CB306" s="87"/>
      <c r="CC306" s="87"/>
      <c r="CD306" s="87"/>
      <c r="CE306" s="87"/>
      <c r="CF306" s="87"/>
      <c r="CG306" s="87"/>
      <c r="CH306" s="87"/>
      <c r="CI306" s="87"/>
      <c r="CJ306" s="87"/>
      <c r="CK306" s="87"/>
      <c r="CL306" s="87"/>
      <c r="CM306" s="87"/>
      <c r="CN306" s="87"/>
      <c r="CO306" s="87"/>
      <c r="CP306" s="87"/>
      <c r="CQ306" s="87"/>
      <c r="CR306" s="87"/>
    </row>
    <row r="307" spans="1:96">
      <c r="A307" s="87"/>
      <c r="B307" s="135">
        <v>45742</v>
      </c>
      <c r="C307" s="127">
        <v>45798</v>
      </c>
      <c r="D307" s="87" t="s">
        <v>110</v>
      </c>
      <c r="E307" s="82" t="s">
        <v>219</v>
      </c>
      <c r="F307" s="82" t="s">
        <v>220</v>
      </c>
      <c r="G307" s="140" t="s">
        <v>1986</v>
      </c>
      <c r="H307" s="87">
        <v>8087499783</v>
      </c>
      <c r="I307" s="87" t="s">
        <v>1987</v>
      </c>
      <c r="J307" s="141"/>
      <c r="K307" s="87">
        <v>10</v>
      </c>
      <c r="L307" s="87">
        <v>10</v>
      </c>
      <c r="M307" s="87" t="s">
        <v>1988</v>
      </c>
      <c r="N307" s="87" t="s">
        <v>462</v>
      </c>
      <c r="O307" s="87" t="s">
        <v>121</v>
      </c>
      <c r="P307" s="87" t="s">
        <v>770</v>
      </c>
      <c r="Q307" s="87" t="s">
        <v>456</v>
      </c>
      <c r="R307" s="87" t="s">
        <v>228</v>
      </c>
      <c r="S307" s="87" t="s">
        <v>1201</v>
      </c>
      <c r="T307" s="60"/>
      <c r="U307" s="87" t="s">
        <v>671</v>
      </c>
      <c r="V307" s="126" t="s">
        <v>808</v>
      </c>
      <c r="W307" s="127"/>
      <c r="X307" s="108">
        <v>45834</v>
      </c>
      <c r="Y307" s="135"/>
      <c r="Z307" s="87"/>
      <c r="AA307" s="166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87"/>
      <c r="AM307" s="87"/>
      <c r="AN307" s="87"/>
      <c r="AO307" s="87"/>
      <c r="AP307" s="54">
        <f>IF(OR(X307="",C307=""),"",NETWORKDAYS.INTL(C307,X307,1,'HELPER(Dont Delete)'!A:A))</f>
        <v>27</v>
      </c>
      <c r="AQ307" s="54" t="str">
        <f>IF(OR(X307="",Y307=""),"",NETWORKDAYS.INTL(X307,Y307,1,'HELPER(Dont Delete)'!A:A))</f>
        <v/>
      </c>
      <c r="AR307" s="54" t="str">
        <f>IF(OR(Y307="",AA307=""),"",NETWORKDAYS.INTL(Y307,AA307,1,'HELPER(Dont Delete)'!A:A))</f>
        <v/>
      </c>
      <c r="AS307" s="87"/>
      <c r="AT307" s="87"/>
      <c r="AU307" s="87"/>
      <c r="AV307" s="87"/>
      <c r="AW307" s="87"/>
      <c r="AX307" s="87"/>
      <c r="AY307" s="87"/>
      <c r="AZ307" s="87"/>
      <c r="BA307" s="87"/>
      <c r="BB307" s="87"/>
      <c r="BC307" s="87"/>
      <c r="BD307" s="87"/>
      <c r="BE307" s="87"/>
      <c r="BF307" s="87"/>
      <c r="BG307" s="87"/>
      <c r="BH307" s="87"/>
      <c r="BI307" s="87"/>
      <c r="BJ307" s="87"/>
      <c r="BK307" s="87"/>
      <c r="BL307" s="87"/>
      <c r="BM307" s="87"/>
      <c r="BN307" s="87"/>
      <c r="BO307" s="87"/>
      <c r="BP307" s="87"/>
      <c r="BQ307" s="87"/>
      <c r="BR307" s="87"/>
      <c r="BS307" s="87"/>
      <c r="BT307" s="87"/>
      <c r="BU307" s="87"/>
      <c r="BV307" s="87"/>
      <c r="BW307" s="87"/>
      <c r="BX307" s="87"/>
      <c r="BY307" s="87"/>
      <c r="BZ307" s="87"/>
      <c r="CA307" s="87"/>
      <c r="CB307" s="87"/>
      <c r="CC307" s="87"/>
      <c r="CD307" s="87"/>
      <c r="CE307" s="87"/>
      <c r="CF307" s="87"/>
      <c r="CG307" s="87"/>
      <c r="CH307" s="87"/>
      <c r="CI307" s="87"/>
      <c r="CJ307" s="87"/>
      <c r="CK307" s="87"/>
      <c r="CL307" s="87"/>
      <c r="CM307" s="87"/>
      <c r="CN307" s="87"/>
      <c r="CO307" s="87"/>
      <c r="CP307" s="87"/>
      <c r="CQ307" s="87"/>
      <c r="CR307" s="87"/>
    </row>
    <row r="308" spans="1:96">
      <c r="A308" s="87"/>
      <c r="B308" s="135">
        <v>45747</v>
      </c>
      <c r="C308" s="127">
        <v>45803</v>
      </c>
      <c r="D308" s="87" t="s">
        <v>1707</v>
      </c>
      <c r="E308" s="82" t="s">
        <v>219</v>
      </c>
      <c r="F308" s="82" t="s">
        <v>220</v>
      </c>
      <c r="G308" s="140" t="s">
        <v>1989</v>
      </c>
      <c r="H308" s="87">
        <v>8777402829</v>
      </c>
      <c r="I308" s="87" t="s">
        <v>1990</v>
      </c>
      <c r="J308" s="141"/>
      <c r="K308" s="87">
        <v>7</v>
      </c>
      <c r="L308" s="87">
        <v>7</v>
      </c>
      <c r="M308" s="87" t="s">
        <v>1940</v>
      </c>
      <c r="N308" s="87" t="s">
        <v>462</v>
      </c>
      <c r="O308" s="87" t="s">
        <v>1991</v>
      </c>
      <c r="P308" s="87" t="s">
        <v>1992</v>
      </c>
      <c r="Q308" s="87" t="s">
        <v>1993</v>
      </c>
      <c r="R308" s="87" t="s">
        <v>42</v>
      </c>
      <c r="S308" s="87" t="s">
        <v>42</v>
      </c>
      <c r="T308" s="60"/>
      <c r="U308" s="87" t="s">
        <v>1301</v>
      </c>
      <c r="V308" s="126" t="s">
        <v>291</v>
      </c>
      <c r="W308" s="127"/>
      <c r="X308" s="108">
        <v>45804</v>
      </c>
      <c r="Y308" s="135"/>
      <c r="Z308" s="87"/>
      <c r="AA308" s="16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87"/>
      <c r="AM308" s="87"/>
      <c r="AN308" s="87"/>
      <c r="AO308" s="87"/>
      <c r="AP308" s="54">
        <f>IF(OR(X308="",C308=""),"",NETWORKDAYS.INTL(C308,X308,1,'HELPER(Dont Delete)'!A:A))</f>
        <v>2</v>
      </c>
      <c r="AQ308" s="54" t="str">
        <f>IF(OR(X308="",Y308=""),"",NETWORKDAYS.INTL(X308,Y308,1,'HELPER(Dont Delete)'!A:A))</f>
        <v/>
      </c>
      <c r="AR308" s="54" t="str">
        <f>IF(OR(Y308="",AA308=""),"",NETWORKDAYS.INTL(Y308,AA308,1,'HELPER(Dont Delete)'!A:A))</f>
        <v/>
      </c>
      <c r="AS308" s="87"/>
      <c r="AT308" s="87"/>
      <c r="AU308" s="87"/>
      <c r="AV308" s="87"/>
      <c r="AW308" s="87"/>
      <c r="AX308" s="87"/>
      <c r="AY308" s="87"/>
      <c r="AZ308" s="87"/>
      <c r="BA308" s="87"/>
      <c r="BB308" s="87"/>
      <c r="BC308" s="87"/>
      <c r="BD308" s="87"/>
      <c r="BE308" s="87"/>
      <c r="BF308" s="87"/>
      <c r="BG308" s="87"/>
      <c r="BH308" s="87"/>
      <c r="BI308" s="87"/>
      <c r="BJ308" s="87"/>
      <c r="BK308" s="87"/>
      <c r="BL308" s="87"/>
      <c r="BM308" s="87"/>
      <c r="BN308" s="87"/>
      <c r="BO308" s="87"/>
      <c r="BP308" s="87"/>
      <c r="BQ308" s="87"/>
      <c r="BR308" s="87"/>
      <c r="BS308" s="87"/>
      <c r="BT308" s="87"/>
      <c r="BU308" s="87"/>
      <c r="BV308" s="87"/>
      <c r="BW308" s="87"/>
      <c r="BX308" s="87"/>
      <c r="BY308" s="87"/>
      <c r="BZ308" s="87"/>
      <c r="CA308" s="87"/>
      <c r="CB308" s="87"/>
      <c r="CC308" s="87"/>
      <c r="CD308" s="87"/>
      <c r="CE308" s="87"/>
      <c r="CF308" s="87"/>
      <c r="CG308" s="87"/>
      <c r="CH308" s="87"/>
      <c r="CI308" s="87"/>
      <c r="CJ308" s="87"/>
      <c r="CK308" s="87"/>
      <c r="CL308" s="87"/>
      <c r="CM308" s="87"/>
      <c r="CN308" s="87"/>
      <c r="CO308" s="87"/>
      <c r="CP308" s="87"/>
      <c r="CQ308" s="87"/>
      <c r="CR308" s="87"/>
    </row>
    <row r="309" spans="1:96">
      <c r="A309" s="60"/>
      <c r="B309" s="108">
        <v>45742</v>
      </c>
      <c r="C309" s="127">
        <v>45804</v>
      </c>
      <c r="D309" s="60" t="s">
        <v>110</v>
      </c>
      <c r="E309" s="82" t="s">
        <v>219</v>
      </c>
      <c r="F309" s="82" t="s">
        <v>220</v>
      </c>
      <c r="G309" s="111" t="s">
        <v>1994</v>
      </c>
      <c r="H309" s="60">
        <v>9907617816</v>
      </c>
      <c r="I309" s="106" t="s">
        <v>1995</v>
      </c>
      <c r="J309" s="46" t="s">
        <v>1996</v>
      </c>
      <c r="K309" s="60">
        <v>13</v>
      </c>
      <c r="L309" s="60" t="s">
        <v>1226</v>
      </c>
      <c r="M309" s="60" t="s">
        <v>1601</v>
      </c>
      <c r="N309" s="60" t="s">
        <v>1218</v>
      </c>
      <c r="O309" s="60" t="s">
        <v>1997</v>
      </c>
      <c r="P309" s="110" t="s">
        <v>146</v>
      </c>
      <c r="Q309" s="60" t="s">
        <v>1998</v>
      </c>
      <c r="R309" s="60" t="s">
        <v>1793</v>
      </c>
      <c r="S309" s="60" t="s">
        <v>1201</v>
      </c>
      <c r="T309" s="60"/>
      <c r="U309" s="87" t="s">
        <v>671</v>
      </c>
      <c r="V309" s="126" t="s">
        <v>239</v>
      </c>
      <c r="W309" s="127"/>
      <c r="X309" s="108">
        <v>45808</v>
      </c>
      <c r="Y309" s="108"/>
      <c r="Z309" s="60"/>
      <c r="AA309" s="105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54">
        <f>IF(OR(X309="",C309=""),"",NETWORKDAYS.INTL(C309,X309,1,'HELPER(Dont Delete)'!A:A))</f>
        <v>4</v>
      </c>
      <c r="AQ309" s="54" t="str">
        <f>IF(OR(X309="",Y309=""),"",NETWORKDAYS.INTL(X309,Y309,1,'HELPER(Dont Delete)'!A:A))</f>
        <v/>
      </c>
      <c r="AR309" s="54" t="str">
        <f>IF(OR(Y309="",AA309=""),"",NETWORKDAYS.INTL(Y309,AA309,1,'HELPER(Dont Delete)'!A:A))</f>
        <v/>
      </c>
      <c r="AS309" s="60"/>
      <c r="AT309" s="60"/>
      <c r="AU309" s="60"/>
      <c r="AV309" s="60"/>
      <c r="AW309" s="60"/>
      <c r="AX309" s="60"/>
      <c r="AY309" s="60"/>
      <c r="AZ309" s="60"/>
      <c r="BA309" s="87"/>
      <c r="BB309" s="87"/>
      <c r="BC309" s="60"/>
      <c r="BD309" s="60"/>
      <c r="BE309" s="60"/>
      <c r="BF309" s="60"/>
      <c r="BG309" s="60"/>
      <c r="BH309" s="60"/>
      <c r="BI309" s="60"/>
      <c r="BJ309" s="60"/>
      <c r="BK309" s="60"/>
      <c r="BL309" s="60"/>
      <c r="BM309" s="60"/>
      <c r="BN309" s="60"/>
      <c r="BO309" s="60"/>
      <c r="BP309" s="60"/>
      <c r="BQ309" s="60"/>
      <c r="BR309" s="60"/>
      <c r="BS309" s="60"/>
      <c r="BT309" s="60"/>
      <c r="BU309" s="60"/>
      <c r="BV309" s="60"/>
      <c r="BW309" s="60"/>
      <c r="BX309" s="60"/>
      <c r="BY309" s="60"/>
      <c r="BZ309" s="60"/>
      <c r="CA309" s="60"/>
      <c r="CB309" s="60"/>
      <c r="CC309" s="60"/>
      <c r="CD309" s="60"/>
      <c r="CE309" s="60"/>
      <c r="CF309" s="60"/>
      <c r="CG309" s="60"/>
      <c r="CH309" s="60"/>
      <c r="CI309" s="60"/>
      <c r="CJ309" s="60"/>
      <c r="CK309" s="60"/>
      <c r="CL309" s="60"/>
      <c r="CM309" s="60"/>
      <c r="CN309" s="60"/>
      <c r="CO309" s="60"/>
      <c r="CP309" s="60"/>
      <c r="CQ309" s="60"/>
      <c r="CR309" s="60"/>
    </row>
    <row r="310" spans="1:96">
      <c r="A310" s="60"/>
      <c r="B310" s="108">
        <v>45742</v>
      </c>
      <c r="C310" s="127">
        <v>45804</v>
      </c>
      <c r="D310" s="60" t="s">
        <v>110</v>
      </c>
      <c r="E310" s="82" t="s">
        <v>219</v>
      </c>
      <c r="F310" s="82" t="s">
        <v>220</v>
      </c>
      <c r="G310" s="111" t="s">
        <v>1999</v>
      </c>
      <c r="H310" s="60">
        <v>7858098910</v>
      </c>
      <c r="I310" s="106" t="s">
        <v>2000</v>
      </c>
      <c r="J310" s="46" t="s">
        <v>2001</v>
      </c>
      <c r="K310" s="60">
        <v>14</v>
      </c>
      <c r="L310" s="60" t="s">
        <v>1226</v>
      </c>
      <c r="M310" s="60" t="s">
        <v>2002</v>
      </c>
      <c r="N310" s="60" t="s">
        <v>462</v>
      </c>
      <c r="O310" s="60" t="s">
        <v>2003</v>
      </c>
      <c r="P310" s="110" t="s">
        <v>2004</v>
      </c>
      <c r="Q310" s="60" t="s">
        <v>208</v>
      </c>
      <c r="R310" s="60" t="s">
        <v>42</v>
      </c>
      <c r="S310" s="60" t="s">
        <v>1201</v>
      </c>
      <c r="T310" s="60" t="s">
        <v>2005</v>
      </c>
      <c r="U310" s="87" t="s">
        <v>671</v>
      </c>
      <c r="V310" s="126" t="s">
        <v>339</v>
      </c>
      <c r="W310" s="127" t="s">
        <v>164</v>
      </c>
      <c r="X310" s="108">
        <v>45808</v>
      </c>
      <c r="Y310" s="108">
        <v>45825</v>
      </c>
      <c r="Z310" s="60" t="s">
        <v>340</v>
      </c>
      <c r="AA310" s="105">
        <v>45826</v>
      </c>
      <c r="AB310" s="60" t="s">
        <v>340</v>
      </c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54">
        <f>IF(OR(X310="",C310=""),"",NETWORKDAYS.INTL(C310,X310,1,'HELPER(Dont Delete)'!A:A))</f>
        <v>4</v>
      </c>
      <c r="AQ310" s="54">
        <f>IF(OR(X310="",Y310=""),"",NETWORKDAYS.INTL(X310,Y310,1,'HELPER(Dont Delete)'!A:A))</f>
        <v>12</v>
      </c>
      <c r="AR310" s="54">
        <f>IF(OR(Y310="",AA310=""),"",NETWORKDAYS.INTL(Y310,AA310,1,'HELPER(Dont Delete)'!A:A))</f>
        <v>2</v>
      </c>
      <c r="AS310" s="60"/>
      <c r="AT310" s="60"/>
      <c r="AU310" s="60"/>
      <c r="AV310" s="60"/>
      <c r="AW310" s="60"/>
      <c r="AX310" s="60"/>
      <c r="AY310" s="60"/>
      <c r="AZ310" s="60"/>
      <c r="BA310" s="87"/>
      <c r="BB310" s="87"/>
      <c r="BC310" s="60"/>
      <c r="BD310" s="60"/>
      <c r="BE310" s="60"/>
      <c r="BF310" s="60"/>
      <c r="BG310" s="60"/>
      <c r="BH310" s="60"/>
      <c r="BI310" s="60"/>
      <c r="BJ310" s="60"/>
      <c r="BK310" s="60"/>
      <c r="BL310" s="60"/>
      <c r="BM310" s="60"/>
      <c r="BN310" s="60"/>
      <c r="BO310" s="60"/>
      <c r="BP310" s="60"/>
      <c r="BQ310" s="60"/>
      <c r="BR310" s="60"/>
      <c r="BS310" s="60"/>
      <c r="BT310" s="60"/>
      <c r="BU310" s="60"/>
      <c r="BV310" s="60"/>
      <c r="BW310" s="60"/>
      <c r="BX310" s="60"/>
      <c r="BY310" s="60"/>
      <c r="BZ310" s="60"/>
      <c r="CA310" s="60"/>
      <c r="CB310" s="60"/>
      <c r="CC310" s="60"/>
      <c r="CD310" s="60"/>
      <c r="CE310" s="60"/>
      <c r="CF310" s="60"/>
      <c r="CG310" s="60"/>
      <c r="CH310" s="60"/>
      <c r="CI310" s="60"/>
      <c r="CJ310" s="60"/>
      <c r="CK310" s="60"/>
      <c r="CL310" s="60"/>
      <c r="CM310" s="60"/>
      <c r="CN310" s="60"/>
      <c r="CO310" s="60"/>
      <c r="CP310" s="60"/>
      <c r="CQ310" s="60"/>
      <c r="CR310" s="60"/>
    </row>
    <row r="311" spans="1:96">
      <c r="A311" s="60"/>
      <c r="B311" s="108">
        <v>45758</v>
      </c>
      <c r="C311" s="127">
        <v>45804</v>
      </c>
      <c r="D311" s="60" t="s">
        <v>199</v>
      </c>
      <c r="E311" s="82" t="s">
        <v>219</v>
      </c>
      <c r="F311" s="82" t="s">
        <v>220</v>
      </c>
      <c r="G311" s="111" t="s">
        <v>2006</v>
      </c>
      <c r="H311" s="60">
        <v>8826334389</v>
      </c>
      <c r="I311" s="60" t="s">
        <v>2007</v>
      </c>
      <c r="J311" s="215"/>
      <c r="K311" s="60">
        <v>27</v>
      </c>
      <c r="L311" s="60">
        <v>27</v>
      </c>
      <c r="M311" s="60" t="s">
        <v>2008</v>
      </c>
      <c r="N311" s="60" t="s">
        <v>425</v>
      </c>
      <c r="O311" s="60" t="s">
        <v>2009</v>
      </c>
      <c r="P311" s="60">
        <v>0.3</v>
      </c>
      <c r="Q311" s="60" t="s">
        <v>1735</v>
      </c>
      <c r="R311" s="60" t="s">
        <v>367</v>
      </c>
      <c r="S311" s="60" t="s">
        <v>42</v>
      </c>
      <c r="T311" s="60"/>
      <c r="U311" s="87" t="s">
        <v>2010</v>
      </c>
      <c r="V311" s="126" t="s">
        <v>291</v>
      </c>
      <c r="W311" s="127"/>
      <c r="X311" s="108"/>
      <c r="Y311" s="108"/>
      <c r="Z311" s="60"/>
      <c r="AA311" s="105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54" t="str">
        <f>IF(OR(X311="",C311=""),"",NETWORKDAYS.INTL(C311,X311,1,'HELPER(Dont Delete)'!A:A))</f>
        <v/>
      </c>
      <c r="AQ311" s="54"/>
      <c r="AR311" s="54"/>
      <c r="AS311" s="60"/>
      <c r="AT311" s="60"/>
      <c r="AU311" s="60"/>
      <c r="AV311" s="60"/>
      <c r="AW311" s="60"/>
      <c r="AX311" s="60"/>
      <c r="AY311" s="60"/>
      <c r="AZ311" s="60"/>
      <c r="BA311" s="87"/>
      <c r="BB311" s="87"/>
      <c r="BC311" s="60"/>
      <c r="BD311" s="60"/>
      <c r="BE311" s="60"/>
      <c r="BF311" s="60"/>
      <c r="BG311" s="60"/>
      <c r="BH311" s="60"/>
      <c r="BI311" s="60"/>
      <c r="BJ311" s="60"/>
      <c r="BK311" s="60"/>
      <c r="BL311" s="60"/>
      <c r="BM311" s="60"/>
      <c r="BN311" s="60"/>
      <c r="BO311" s="60"/>
      <c r="BP311" s="60"/>
      <c r="BQ311" s="60"/>
      <c r="BR311" s="60"/>
      <c r="BS311" s="60"/>
      <c r="BT311" s="60"/>
      <c r="BU311" s="60"/>
      <c r="BV311" s="60"/>
      <c r="BW311" s="60"/>
      <c r="BX311" s="60"/>
      <c r="BY311" s="60"/>
      <c r="BZ311" s="60"/>
      <c r="CA311" s="60"/>
      <c r="CB311" s="60"/>
      <c r="CC311" s="60"/>
      <c r="CD311" s="60"/>
      <c r="CE311" s="60"/>
      <c r="CF311" s="60"/>
      <c r="CG311" s="60"/>
      <c r="CH311" s="60"/>
      <c r="CI311" s="60"/>
      <c r="CJ311" s="60"/>
      <c r="CK311" s="60"/>
      <c r="CL311" s="60"/>
      <c r="CM311" s="60"/>
      <c r="CN311" s="60"/>
      <c r="CO311" s="60"/>
      <c r="CP311" s="60"/>
      <c r="CQ311" s="60"/>
      <c r="CR311" s="60"/>
    </row>
    <row r="312" spans="1:96">
      <c r="A312" s="87"/>
      <c r="B312" s="135">
        <v>45750</v>
      </c>
      <c r="C312" s="127">
        <v>45807</v>
      </c>
      <c r="D312" s="87" t="s">
        <v>157</v>
      </c>
      <c r="E312" s="82" t="s">
        <v>219</v>
      </c>
      <c r="F312" s="82" t="s">
        <v>220</v>
      </c>
      <c r="G312" s="140" t="s">
        <v>2011</v>
      </c>
      <c r="H312" s="87">
        <v>8009030554</v>
      </c>
      <c r="I312" s="87" t="s">
        <v>2012</v>
      </c>
      <c r="J312" s="141" t="s">
        <v>2013</v>
      </c>
      <c r="K312" s="87">
        <v>4</v>
      </c>
      <c r="L312" s="87">
        <v>4</v>
      </c>
      <c r="M312" s="87" t="s">
        <v>2014</v>
      </c>
      <c r="N312" s="87" t="s">
        <v>425</v>
      </c>
      <c r="O312" s="87" t="s">
        <v>2015</v>
      </c>
      <c r="P312" s="87" t="s">
        <v>770</v>
      </c>
      <c r="Q312" s="87" t="s">
        <v>1095</v>
      </c>
      <c r="R312" s="87" t="s">
        <v>290</v>
      </c>
      <c r="S312" s="87" t="s">
        <v>1201</v>
      </c>
      <c r="T312" s="60">
        <v>1.1000000000000001</v>
      </c>
      <c r="U312" s="87" t="s">
        <v>1175</v>
      </c>
      <c r="V312" s="126" t="s">
        <v>1302</v>
      </c>
      <c r="W312" s="127" t="s">
        <v>1260</v>
      </c>
      <c r="X312" s="108">
        <v>45808</v>
      </c>
      <c r="Y312" s="135">
        <v>45810</v>
      </c>
      <c r="Z312" s="87" t="s">
        <v>35</v>
      </c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  <c r="AN312" s="87"/>
      <c r="AO312" s="87"/>
      <c r="AP312" s="54">
        <f>IF(OR(X312="",C312=""),"",NETWORKDAYS.INTL(C312,X312,1,'HELPER(Dont Delete)'!A:A))</f>
        <v>1</v>
      </c>
      <c r="AQ312" s="54">
        <f>IF(OR(X312="",Y312=""),"",NETWORKDAYS.INTL(X312,Y312,1,'HELPER(Dont Delete)'!A:A))</f>
        <v>1</v>
      </c>
      <c r="AR312" s="54" t="str">
        <f>IF(OR(Y312="",AA312=""),"",NETWORKDAYS.INTL(Y312,AA312,1,'HELPER(Dont Delete)'!A:A))</f>
        <v/>
      </c>
      <c r="AS312" s="87"/>
      <c r="AT312" s="87"/>
      <c r="AU312" s="87"/>
      <c r="AV312" s="87"/>
      <c r="AW312" s="87"/>
      <c r="AX312" s="87"/>
      <c r="AY312" s="87"/>
      <c r="AZ312" s="87"/>
      <c r="BA312" s="87"/>
      <c r="BB312" s="87"/>
      <c r="BC312" s="87"/>
      <c r="BD312" s="87"/>
      <c r="BE312" s="87"/>
      <c r="BF312" s="87"/>
      <c r="BG312" s="87"/>
      <c r="BH312" s="87"/>
      <c r="BI312" s="87"/>
      <c r="BJ312" s="87"/>
      <c r="BK312" s="87"/>
      <c r="BL312" s="87"/>
      <c r="BM312" s="87"/>
      <c r="BN312" s="87"/>
      <c r="BO312" s="87"/>
      <c r="BP312" s="87"/>
      <c r="BQ312" s="87"/>
      <c r="BR312" s="87"/>
      <c r="BS312" s="87"/>
      <c r="BT312" s="87"/>
      <c r="BU312" s="87"/>
      <c r="BV312" s="87"/>
      <c r="BW312" s="87"/>
      <c r="BX312" s="87"/>
      <c r="BY312" s="87"/>
      <c r="BZ312" s="87"/>
      <c r="CA312" s="87"/>
      <c r="CB312" s="87"/>
      <c r="CC312" s="87"/>
      <c r="CD312" s="87"/>
      <c r="CE312" s="87"/>
      <c r="CF312" s="87"/>
      <c r="CG312" s="87"/>
      <c r="CH312" s="87"/>
      <c r="CI312" s="87"/>
      <c r="CJ312" s="87"/>
      <c r="CK312" s="87"/>
      <c r="CL312" s="87"/>
      <c r="CM312" s="87"/>
      <c r="CN312" s="87"/>
      <c r="CO312" s="87"/>
      <c r="CP312" s="87"/>
      <c r="CQ312" s="87"/>
      <c r="CR312" s="87"/>
    </row>
    <row r="313" spans="1:96">
      <c r="A313" s="87"/>
      <c r="B313" s="135">
        <v>45750</v>
      </c>
      <c r="C313" s="127">
        <v>45807</v>
      </c>
      <c r="D313" s="87" t="s">
        <v>157</v>
      </c>
      <c r="E313" s="82" t="s">
        <v>219</v>
      </c>
      <c r="F313" s="82" t="s">
        <v>220</v>
      </c>
      <c r="G313" s="140" t="s">
        <v>2016</v>
      </c>
      <c r="H313" s="87">
        <v>8821910412</v>
      </c>
      <c r="I313" s="87" t="s">
        <v>2017</v>
      </c>
      <c r="J313" s="141" t="s">
        <v>2013</v>
      </c>
      <c r="K313" s="87">
        <v>3.8</v>
      </c>
      <c r="L313" s="87">
        <v>3.8</v>
      </c>
      <c r="M313" s="87" t="s">
        <v>2018</v>
      </c>
      <c r="N313" s="87" t="s">
        <v>425</v>
      </c>
      <c r="O313" s="87" t="s">
        <v>2019</v>
      </c>
      <c r="P313" s="87" t="s">
        <v>770</v>
      </c>
      <c r="Q313" s="87" t="s">
        <v>1181</v>
      </c>
      <c r="R313" s="87" t="s">
        <v>374</v>
      </c>
      <c r="S313" s="87" t="s">
        <v>1201</v>
      </c>
      <c r="T313" s="60">
        <v>1.4</v>
      </c>
      <c r="U313" s="87" t="s">
        <v>1175</v>
      </c>
      <c r="V313" s="126" t="s">
        <v>599</v>
      </c>
      <c r="W313" s="127" t="s">
        <v>1260</v>
      </c>
      <c r="X313" s="108">
        <v>45808</v>
      </c>
      <c r="Y313" s="135">
        <v>45810</v>
      </c>
      <c r="Z313" s="87" t="s">
        <v>340</v>
      </c>
      <c r="AA313" s="166">
        <v>45813</v>
      </c>
      <c r="AB313" s="87" t="s">
        <v>232</v>
      </c>
      <c r="AC313" s="87"/>
      <c r="AD313" s="87"/>
      <c r="AE313" s="87"/>
      <c r="AF313" s="87"/>
      <c r="AG313" s="87"/>
      <c r="AH313" s="87"/>
      <c r="AI313" s="87"/>
      <c r="AJ313" s="87"/>
      <c r="AK313" s="87"/>
      <c r="AL313" s="87"/>
      <c r="AM313" s="87"/>
      <c r="AN313" s="87"/>
      <c r="AO313" s="87"/>
      <c r="AP313" s="54">
        <f>IF(OR(X313="",C313=""),"",NETWORKDAYS.INTL(C313,X313,1,'HELPER(Dont Delete)'!A:A))</f>
        <v>1</v>
      </c>
      <c r="AQ313" s="54">
        <f>IF(OR(X313="",Y313=""),"",NETWORKDAYS.INTL(X313,Y313,1,'HELPER(Dont Delete)'!A:A))</f>
        <v>1</v>
      </c>
      <c r="AR313" s="54">
        <f>IF(OR(Y313="",AA313=""),"",NETWORKDAYS.INTL(Y313,AA313,1,'HELPER(Dont Delete)'!A:A))</f>
        <v>4</v>
      </c>
      <c r="AS313" s="87"/>
      <c r="AT313" s="87"/>
      <c r="AU313" s="87"/>
      <c r="AV313" s="87"/>
      <c r="AW313" s="87"/>
      <c r="AX313" s="87"/>
      <c r="AY313" s="87"/>
      <c r="AZ313" s="87"/>
      <c r="BA313" s="87"/>
      <c r="BB313" s="87"/>
      <c r="BC313" s="87"/>
      <c r="BD313" s="87"/>
      <c r="BE313" s="87"/>
      <c r="BF313" s="87"/>
      <c r="BG313" s="87"/>
      <c r="BH313" s="87"/>
      <c r="BI313" s="87"/>
      <c r="BJ313" s="87"/>
      <c r="BK313" s="87"/>
      <c r="BL313" s="87"/>
      <c r="BM313" s="87"/>
      <c r="BN313" s="87"/>
      <c r="BO313" s="87"/>
      <c r="BP313" s="87"/>
      <c r="BQ313" s="87"/>
      <c r="BR313" s="87"/>
      <c r="BS313" s="87"/>
      <c r="BT313" s="87"/>
      <c r="BU313" s="87"/>
      <c r="BV313" s="87"/>
      <c r="BW313" s="87"/>
      <c r="BX313" s="87"/>
      <c r="BY313" s="87"/>
      <c r="BZ313" s="87"/>
      <c r="CA313" s="87"/>
      <c r="CB313" s="87"/>
      <c r="CC313" s="87"/>
      <c r="CD313" s="87"/>
      <c r="CE313" s="87"/>
      <c r="CF313" s="87"/>
      <c r="CG313" s="87"/>
      <c r="CH313" s="87"/>
      <c r="CI313" s="87"/>
      <c r="CJ313" s="87"/>
      <c r="CK313" s="87"/>
      <c r="CL313" s="87"/>
      <c r="CM313" s="87"/>
      <c r="CN313" s="87"/>
      <c r="CO313" s="87"/>
      <c r="CP313" s="87"/>
      <c r="CQ313" s="87"/>
      <c r="CR313" s="87"/>
    </row>
    <row r="314" spans="1:96">
      <c r="A314" s="87"/>
      <c r="B314" s="135">
        <v>45750</v>
      </c>
      <c r="C314" s="127">
        <v>45807</v>
      </c>
      <c r="D314" s="87" t="s">
        <v>157</v>
      </c>
      <c r="E314" s="82" t="s">
        <v>219</v>
      </c>
      <c r="F314" s="82" t="s">
        <v>220</v>
      </c>
      <c r="G314" s="140" t="s">
        <v>2020</v>
      </c>
      <c r="H314" s="87">
        <v>7767929120</v>
      </c>
      <c r="I314" s="87" t="s">
        <v>2021</v>
      </c>
      <c r="J314" s="141" t="s">
        <v>2013</v>
      </c>
      <c r="K314" s="87" t="s">
        <v>1170</v>
      </c>
      <c r="L314" s="87" t="s">
        <v>1170</v>
      </c>
      <c r="M314" s="87" t="s">
        <v>2022</v>
      </c>
      <c r="N314" s="87" t="s">
        <v>2023</v>
      </c>
      <c r="O314" s="87" t="s">
        <v>2024</v>
      </c>
      <c r="P314" s="87" t="s">
        <v>2025</v>
      </c>
      <c r="Q314" s="87" t="s">
        <v>1181</v>
      </c>
      <c r="R314" s="87" t="s">
        <v>42</v>
      </c>
      <c r="S314" s="87" t="s">
        <v>1201</v>
      </c>
      <c r="T314" s="60" t="s">
        <v>2026</v>
      </c>
      <c r="U314" s="87" t="s">
        <v>1175</v>
      </c>
      <c r="V314" s="126" t="s">
        <v>2027</v>
      </c>
      <c r="W314" s="127" t="s">
        <v>1260</v>
      </c>
      <c r="X314" s="108">
        <v>45808</v>
      </c>
      <c r="Y314" s="135">
        <v>45810</v>
      </c>
      <c r="Z314" s="87" t="s">
        <v>340</v>
      </c>
      <c r="AA314" s="166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  <c r="AM314" s="87"/>
      <c r="AN314" s="87"/>
      <c r="AO314" s="87"/>
      <c r="AP314" s="54">
        <f>IF(OR(X314="",C314=""),"",NETWORKDAYS.INTL(C314,X314,1,'HELPER(Dont Delete)'!A:A))</f>
        <v>1</v>
      </c>
      <c r="AQ314" s="54">
        <f>IF(OR(X314="",Y314=""),"",NETWORKDAYS.INTL(X314,Y314,1,'HELPER(Dont Delete)'!A:A))</f>
        <v>1</v>
      </c>
      <c r="AR314" s="54" t="str">
        <f>IF(OR(Y314="",AA314=""),"",NETWORKDAYS.INTL(Y314,AA314,1,'HELPER(Dont Delete)'!A:A))</f>
        <v/>
      </c>
      <c r="AS314" s="87"/>
      <c r="AT314" s="87"/>
      <c r="AU314" s="87"/>
      <c r="AV314" s="87"/>
      <c r="AW314" s="87"/>
      <c r="AX314" s="87"/>
      <c r="AY314" s="87"/>
      <c r="AZ314" s="87"/>
      <c r="BA314" s="87"/>
      <c r="BB314" s="87"/>
      <c r="BC314" s="87"/>
      <c r="BD314" s="87"/>
      <c r="BE314" s="87"/>
      <c r="BF314" s="87"/>
      <c r="BG314" s="87"/>
      <c r="BH314" s="87"/>
      <c r="BI314" s="87"/>
      <c r="BJ314" s="87"/>
      <c r="BK314" s="87"/>
      <c r="BL314" s="87"/>
      <c r="BM314" s="87"/>
      <c r="BN314" s="87"/>
      <c r="BO314" s="87"/>
      <c r="BP314" s="87"/>
      <c r="BQ314" s="87"/>
      <c r="BR314" s="87"/>
      <c r="BS314" s="87"/>
      <c r="BT314" s="87"/>
      <c r="BU314" s="87"/>
      <c r="BV314" s="87"/>
      <c r="BW314" s="87"/>
      <c r="BX314" s="87"/>
      <c r="BY314" s="87"/>
      <c r="BZ314" s="87"/>
      <c r="CA314" s="87"/>
      <c r="CB314" s="87"/>
      <c r="CC314" s="87"/>
      <c r="CD314" s="87"/>
      <c r="CE314" s="87"/>
      <c r="CF314" s="87"/>
      <c r="CG314" s="87"/>
      <c r="CH314" s="87"/>
      <c r="CI314" s="87"/>
      <c r="CJ314" s="87"/>
      <c r="CK314" s="87"/>
      <c r="CL314" s="87"/>
      <c r="CM314" s="87"/>
      <c r="CN314" s="87"/>
      <c r="CO314" s="87"/>
      <c r="CP314" s="87"/>
      <c r="CQ314" s="87"/>
      <c r="CR314" s="87"/>
    </row>
    <row r="315" spans="1:96">
      <c r="A315" s="97"/>
      <c r="B315" s="158">
        <v>45742</v>
      </c>
      <c r="C315" s="186">
        <v>45808</v>
      </c>
      <c r="D315" s="97" t="s">
        <v>110</v>
      </c>
      <c r="E315" s="93" t="s">
        <v>219</v>
      </c>
      <c r="F315" s="93" t="s">
        <v>220</v>
      </c>
      <c r="G315" s="187" t="s">
        <v>2028</v>
      </c>
      <c r="H315" s="97">
        <v>7504338198</v>
      </c>
      <c r="I315" s="208" t="s">
        <v>2029</v>
      </c>
      <c r="J315" s="189" t="s">
        <v>1532</v>
      </c>
      <c r="K315" s="97">
        <v>9</v>
      </c>
      <c r="L315" s="97">
        <v>9</v>
      </c>
      <c r="M315" s="97" t="s">
        <v>1372</v>
      </c>
      <c r="N315" s="97" t="s">
        <v>1003</v>
      </c>
      <c r="O315" s="97" t="s">
        <v>2030</v>
      </c>
      <c r="P315" s="221" t="s">
        <v>352</v>
      </c>
      <c r="Q315" s="97" t="s">
        <v>2031</v>
      </c>
      <c r="R315" s="97" t="s">
        <v>42</v>
      </c>
      <c r="S315" s="97" t="s">
        <v>1201</v>
      </c>
      <c r="T315" s="115"/>
      <c r="U315" s="97" t="s">
        <v>1175</v>
      </c>
      <c r="V315" s="145" t="s">
        <v>1803</v>
      </c>
      <c r="W315" s="186" t="s">
        <v>1260</v>
      </c>
      <c r="X315" s="142">
        <v>45808</v>
      </c>
      <c r="Y315" s="158">
        <v>45810</v>
      </c>
      <c r="Z315" s="97" t="s">
        <v>2032</v>
      </c>
      <c r="AA315" s="188">
        <v>45812</v>
      </c>
      <c r="AB315" s="97"/>
      <c r="AC315" s="97"/>
      <c r="AD315" s="97"/>
      <c r="AE315" s="97"/>
      <c r="AF315" s="97"/>
      <c r="AG315" s="97"/>
      <c r="AH315" s="97"/>
      <c r="AI315" s="97"/>
      <c r="AJ315" s="97"/>
      <c r="AK315" s="97"/>
      <c r="AL315" s="97"/>
      <c r="AM315" s="97"/>
      <c r="AN315" s="97"/>
      <c r="AO315" s="97"/>
      <c r="AP315" s="54">
        <f>IF(OR(X315="",C315=""),"",NETWORKDAYS.INTL(C315,X315,1,'HELPER(Dont Delete)'!A:A))</f>
        <v>0</v>
      </c>
      <c r="AQ315" s="54">
        <f>IF(OR(X315="",Y315=""),"",NETWORKDAYS.INTL(X315,Y315,1,'HELPER(Dont Delete)'!A:A))</f>
        <v>1</v>
      </c>
      <c r="AR315" s="54">
        <f>IF(OR(Y315="",AA315=""),"",NETWORKDAYS.INTL(Y315,AA315,1,'HELPER(Dont Delete)'!A:A))</f>
        <v>3</v>
      </c>
      <c r="AS315" s="97"/>
      <c r="AT315" s="97"/>
      <c r="AU315" s="97"/>
      <c r="AV315" s="97"/>
      <c r="AW315" s="97"/>
      <c r="AX315" s="97"/>
      <c r="AY315" s="97"/>
      <c r="AZ315" s="97"/>
      <c r="BA315" s="97"/>
      <c r="BB315" s="97"/>
      <c r="BC315" s="97"/>
      <c r="BD315" s="97"/>
      <c r="BE315" s="97"/>
      <c r="BF315" s="97"/>
      <c r="BG315" s="97"/>
      <c r="BH315" s="97"/>
      <c r="BI315" s="97"/>
      <c r="BJ315" s="97"/>
      <c r="BK315" s="97"/>
      <c r="BL315" s="97"/>
      <c r="BM315" s="97"/>
      <c r="BN315" s="97"/>
      <c r="BO315" s="97"/>
      <c r="BP315" s="97"/>
      <c r="BQ315" s="97"/>
      <c r="BR315" s="97"/>
      <c r="BS315" s="97"/>
      <c r="BT315" s="97"/>
      <c r="BU315" s="97"/>
      <c r="BV315" s="97"/>
      <c r="BW315" s="97"/>
      <c r="BX315" s="97"/>
      <c r="BY315" s="97"/>
      <c r="BZ315" s="97"/>
      <c r="CA315" s="97"/>
      <c r="CB315" s="97"/>
      <c r="CC315" s="97"/>
      <c r="CD315" s="97"/>
      <c r="CE315" s="97"/>
      <c r="CF315" s="97"/>
      <c r="CG315" s="97"/>
      <c r="CH315" s="97"/>
      <c r="CI315" s="97"/>
      <c r="CJ315" s="97"/>
      <c r="CK315" s="97"/>
      <c r="CL315" s="97"/>
      <c r="CM315" s="97"/>
      <c r="CN315" s="97"/>
      <c r="CO315" s="97"/>
      <c r="CP315" s="97"/>
      <c r="CQ315" s="97"/>
      <c r="CR315" s="97"/>
    </row>
    <row r="316" spans="1:96">
      <c r="A316" s="154"/>
      <c r="B316" s="155">
        <v>45747</v>
      </c>
      <c r="C316" s="127">
        <v>45811</v>
      </c>
      <c r="D316" s="157" t="s">
        <v>1488</v>
      </c>
      <c r="E316" s="82" t="s">
        <v>219</v>
      </c>
      <c r="F316" s="82" t="s">
        <v>220</v>
      </c>
      <c r="G316" s="156" t="s">
        <v>2033</v>
      </c>
      <c r="H316" s="156">
        <v>9096481114</v>
      </c>
      <c r="I316" s="162" t="s">
        <v>2034</v>
      </c>
      <c r="J316" s="156" t="s">
        <v>1226</v>
      </c>
      <c r="K316" s="156">
        <v>14</v>
      </c>
      <c r="L316" s="156" t="s">
        <v>1226</v>
      </c>
      <c r="M316" s="156" t="s">
        <v>2035</v>
      </c>
      <c r="N316" s="156" t="s">
        <v>462</v>
      </c>
      <c r="O316" s="157" t="s">
        <v>2036</v>
      </c>
      <c r="P316" s="156">
        <v>0.3</v>
      </c>
      <c r="Q316" s="156" t="s">
        <v>1226</v>
      </c>
      <c r="R316" s="157" t="s">
        <v>228</v>
      </c>
      <c r="S316" s="157" t="s">
        <v>1201</v>
      </c>
      <c r="T316" s="153"/>
      <c r="U316" s="87" t="s">
        <v>1428</v>
      </c>
      <c r="V316" s="126" t="s">
        <v>758</v>
      </c>
      <c r="W316" s="127" t="s">
        <v>741</v>
      </c>
      <c r="X316" s="127">
        <v>45812</v>
      </c>
      <c r="Y316" s="155"/>
      <c r="Z316" s="155"/>
      <c r="AA316" s="155"/>
      <c r="AB316" s="157"/>
      <c r="AC316" s="157"/>
      <c r="AD316" s="157"/>
      <c r="AE316" s="157"/>
      <c r="AF316" s="157"/>
      <c r="AG316" s="157"/>
      <c r="AH316" s="157"/>
      <c r="AI316" s="157"/>
      <c r="AJ316" s="157"/>
      <c r="AK316" s="157"/>
      <c r="AL316" s="157"/>
      <c r="AM316" s="157"/>
      <c r="AN316" s="157"/>
      <c r="AO316" s="157"/>
      <c r="AP316" s="54"/>
      <c r="AQ316" s="54"/>
      <c r="AR316" s="54"/>
      <c r="AS316" s="157"/>
      <c r="AT316" s="157"/>
      <c r="AU316" s="157"/>
      <c r="AV316" s="157"/>
      <c r="AW316" s="154"/>
      <c r="AX316" s="155"/>
      <c r="AY316" s="155"/>
      <c r="AZ316" s="157"/>
      <c r="BA316" s="82"/>
      <c r="BB316" s="82"/>
      <c r="BC316" s="156"/>
      <c r="BD316" s="156"/>
      <c r="BE316" s="162"/>
      <c r="BF316" s="156"/>
      <c r="BG316" s="156"/>
      <c r="BH316" s="156"/>
      <c r="BI316" s="156"/>
      <c r="BJ316" s="156"/>
      <c r="BK316" s="157"/>
      <c r="BL316" s="156"/>
      <c r="BM316" s="156"/>
      <c r="BN316" s="157"/>
      <c r="BO316" s="157"/>
      <c r="BP316" s="164"/>
      <c r="BQ316" s="154"/>
      <c r="BR316" s="154"/>
      <c r="BS316" s="155"/>
      <c r="BT316" s="155"/>
      <c r="BU316" s="157"/>
      <c r="BV316" s="155"/>
      <c r="BW316" s="157"/>
      <c r="BX316" s="157"/>
      <c r="BY316" s="157"/>
      <c r="BZ316" s="157"/>
      <c r="CA316" s="157"/>
      <c r="CB316" s="157"/>
      <c r="CC316" s="157"/>
      <c r="CD316" s="157"/>
      <c r="CE316" s="157"/>
      <c r="CF316" s="157"/>
      <c r="CG316" s="157"/>
      <c r="CH316" s="157"/>
      <c r="CI316" s="157"/>
      <c r="CJ316" s="157"/>
      <c r="CK316" s="157"/>
      <c r="CL316" s="157"/>
      <c r="CM316" s="157"/>
      <c r="CN316" s="157"/>
      <c r="CO316" s="157"/>
      <c r="CP316" s="157"/>
      <c r="CQ316" s="157"/>
      <c r="CR316" s="157"/>
    </row>
    <row r="317" spans="1:96">
      <c r="A317" s="154"/>
      <c r="B317" s="155">
        <v>45747</v>
      </c>
      <c r="C317" s="127">
        <v>45811</v>
      </c>
      <c r="D317" s="157" t="s">
        <v>1488</v>
      </c>
      <c r="E317" s="82" t="s">
        <v>219</v>
      </c>
      <c r="F317" s="82" t="s">
        <v>220</v>
      </c>
      <c r="G317" s="132" t="s">
        <v>2037</v>
      </c>
      <c r="H317" s="204" t="s">
        <v>2038</v>
      </c>
      <c r="I317" s="209" t="s">
        <v>572</v>
      </c>
      <c r="J317" s="204" t="s">
        <v>2039</v>
      </c>
      <c r="K317" s="204">
        <v>17</v>
      </c>
      <c r="L317" s="204" t="s">
        <v>1226</v>
      </c>
      <c r="M317" s="204" t="s">
        <v>2040</v>
      </c>
      <c r="N317" s="204" t="s">
        <v>462</v>
      </c>
      <c r="O317" s="218" t="s">
        <v>2041</v>
      </c>
      <c r="P317" s="204" t="s">
        <v>2042</v>
      </c>
      <c r="Q317" s="204" t="s">
        <v>456</v>
      </c>
      <c r="R317" s="218" t="s">
        <v>228</v>
      </c>
      <c r="S317" s="218" t="s">
        <v>1201</v>
      </c>
      <c r="T317" s="153"/>
      <c r="U317" s="87" t="s">
        <v>1428</v>
      </c>
      <c r="V317" s="126" t="s">
        <v>758</v>
      </c>
      <c r="W317" s="127" t="s">
        <v>741</v>
      </c>
      <c r="X317" s="127">
        <v>45812</v>
      </c>
      <c r="Y317" s="155"/>
      <c r="Z317" s="155"/>
      <c r="AA317" s="155"/>
      <c r="AB317" s="157"/>
      <c r="AC317" s="157"/>
      <c r="AD317" s="157"/>
      <c r="AE317" s="157"/>
      <c r="AF317" s="157"/>
      <c r="AG317" s="157"/>
      <c r="AH317" s="157"/>
      <c r="AI317" s="157"/>
      <c r="AJ317" s="157"/>
      <c r="AK317" s="157"/>
      <c r="AL317" s="157"/>
      <c r="AM317" s="157"/>
      <c r="AN317" s="157"/>
      <c r="AO317" s="157"/>
      <c r="AP317" s="54"/>
      <c r="AQ317" s="54"/>
      <c r="AR317" s="54"/>
      <c r="AS317" s="157"/>
      <c r="AT317" s="157"/>
      <c r="AU317" s="157"/>
      <c r="AV317" s="157"/>
      <c r="AW317" s="154"/>
      <c r="AX317" s="155"/>
      <c r="AY317" s="155"/>
      <c r="AZ317" s="157"/>
      <c r="BA317" s="82"/>
      <c r="BB317" s="82"/>
      <c r="BC317" s="156"/>
      <c r="BD317" s="156"/>
      <c r="BE317" s="162"/>
      <c r="BF317" s="156"/>
      <c r="BG317" s="156"/>
      <c r="BH317" s="156"/>
      <c r="BI317" s="156"/>
      <c r="BJ317" s="156"/>
      <c r="BK317" s="157"/>
      <c r="BL317" s="156"/>
      <c r="BM317" s="156"/>
      <c r="BN317" s="157"/>
      <c r="BO317" s="157"/>
      <c r="BP317" s="164"/>
      <c r="BQ317" s="154"/>
      <c r="BR317" s="154"/>
      <c r="BS317" s="155"/>
      <c r="BT317" s="155"/>
      <c r="BU317" s="157"/>
      <c r="BV317" s="155"/>
      <c r="BW317" s="157"/>
      <c r="BX317" s="157"/>
      <c r="BY317" s="157"/>
      <c r="BZ317" s="157"/>
      <c r="CA317" s="157"/>
      <c r="CB317" s="157"/>
      <c r="CC317" s="157"/>
      <c r="CD317" s="157"/>
      <c r="CE317" s="157"/>
      <c r="CF317" s="157"/>
      <c r="CG317" s="157"/>
      <c r="CH317" s="157"/>
      <c r="CI317" s="157"/>
      <c r="CJ317" s="157"/>
      <c r="CK317" s="157"/>
      <c r="CL317" s="157"/>
      <c r="CM317" s="157"/>
      <c r="CN317" s="157"/>
      <c r="CO317" s="157"/>
      <c r="CP317" s="157"/>
      <c r="CQ317" s="157"/>
      <c r="CR317" s="157"/>
    </row>
    <row r="318" spans="1:96">
      <c r="A318" s="154"/>
      <c r="B318" s="155">
        <v>45747</v>
      </c>
      <c r="C318" s="127">
        <v>45811</v>
      </c>
      <c r="D318" s="157" t="s">
        <v>1488</v>
      </c>
      <c r="E318" s="82" t="s">
        <v>219</v>
      </c>
      <c r="F318" s="82" t="s">
        <v>220</v>
      </c>
      <c r="G318" s="132" t="s">
        <v>2043</v>
      </c>
      <c r="H318" s="204">
        <v>7978076403</v>
      </c>
      <c r="I318" s="209" t="s">
        <v>2044</v>
      </c>
      <c r="J318" s="204" t="s">
        <v>2045</v>
      </c>
      <c r="K318" s="204">
        <v>15.5</v>
      </c>
      <c r="L318" s="204">
        <v>15.5</v>
      </c>
      <c r="M318" s="204" t="s">
        <v>2046</v>
      </c>
      <c r="N318" s="204" t="s">
        <v>462</v>
      </c>
      <c r="O318" s="218" t="s">
        <v>2047</v>
      </c>
      <c r="P318" s="204" t="s">
        <v>2048</v>
      </c>
      <c r="Q318" s="204" t="s">
        <v>208</v>
      </c>
      <c r="R318" s="218" t="s">
        <v>677</v>
      </c>
      <c r="S318" s="218" t="s">
        <v>1825</v>
      </c>
      <c r="T318" s="153"/>
      <c r="U318" s="87" t="s">
        <v>1428</v>
      </c>
      <c r="V318" s="126" t="s">
        <v>758</v>
      </c>
      <c r="W318" s="127" t="s">
        <v>741</v>
      </c>
      <c r="X318" s="127">
        <v>45812</v>
      </c>
      <c r="Y318" s="155"/>
      <c r="Z318" s="155"/>
      <c r="AA318" s="155"/>
      <c r="AB318" s="157"/>
      <c r="AC318" s="157"/>
      <c r="AD318" s="157"/>
      <c r="AE318" s="157"/>
      <c r="AF318" s="157"/>
      <c r="AG318" s="157"/>
      <c r="AH318" s="157"/>
      <c r="AI318" s="157"/>
      <c r="AJ318" s="157"/>
      <c r="AK318" s="157"/>
      <c r="AL318" s="157"/>
      <c r="AM318" s="157"/>
      <c r="AN318" s="157"/>
      <c r="AO318" s="157"/>
      <c r="AP318" s="54"/>
      <c r="AQ318" s="54"/>
      <c r="AR318" s="54"/>
      <c r="AS318" s="157"/>
      <c r="AT318" s="157"/>
      <c r="AU318" s="157"/>
      <c r="AV318" s="157"/>
      <c r="AW318" s="154"/>
      <c r="AX318" s="155"/>
      <c r="AY318" s="155"/>
      <c r="AZ318" s="157"/>
      <c r="BA318" s="82"/>
      <c r="BB318" s="82"/>
      <c r="BC318" s="156"/>
      <c r="BD318" s="156"/>
      <c r="BE318" s="162"/>
      <c r="BF318" s="156"/>
      <c r="BG318" s="156"/>
      <c r="BH318" s="156"/>
      <c r="BI318" s="156"/>
      <c r="BJ318" s="156"/>
      <c r="BK318" s="157"/>
      <c r="BL318" s="156"/>
      <c r="BM318" s="156"/>
      <c r="BN318" s="157"/>
      <c r="BO318" s="157"/>
      <c r="BP318" s="164"/>
      <c r="BQ318" s="154"/>
      <c r="BR318" s="154"/>
      <c r="BS318" s="155"/>
      <c r="BT318" s="155"/>
      <c r="BU318" s="157"/>
      <c r="BV318" s="155"/>
      <c r="BW318" s="157"/>
      <c r="BX318" s="157"/>
      <c r="BY318" s="157"/>
      <c r="BZ318" s="157"/>
      <c r="CA318" s="157"/>
      <c r="CB318" s="157"/>
      <c r="CC318" s="157"/>
      <c r="CD318" s="157"/>
      <c r="CE318" s="157"/>
      <c r="CF318" s="157"/>
      <c r="CG318" s="157"/>
      <c r="CH318" s="157"/>
      <c r="CI318" s="157"/>
      <c r="CJ318" s="157"/>
      <c r="CK318" s="157"/>
      <c r="CL318" s="157"/>
      <c r="CM318" s="157"/>
      <c r="CN318" s="157"/>
      <c r="CO318" s="157"/>
      <c r="CP318" s="157"/>
      <c r="CQ318" s="157"/>
      <c r="CR318" s="157"/>
    </row>
    <row r="319" spans="1:96">
      <c r="A319" s="87"/>
      <c r="B319" s="135">
        <v>45747</v>
      </c>
      <c r="C319" s="127">
        <v>45813</v>
      </c>
      <c r="D319" s="87" t="s">
        <v>1707</v>
      </c>
      <c r="E319" s="82" t="s">
        <v>219</v>
      </c>
      <c r="F319" s="82" t="s">
        <v>220</v>
      </c>
      <c r="G319" s="140" t="s">
        <v>2049</v>
      </c>
      <c r="H319" s="87">
        <v>9319131731</v>
      </c>
      <c r="I319" s="87" t="s">
        <v>2050</v>
      </c>
      <c r="J319" s="141"/>
      <c r="K319" s="87">
        <v>8.5</v>
      </c>
      <c r="L319" s="87">
        <v>8.5</v>
      </c>
      <c r="M319" s="87" t="s">
        <v>2051</v>
      </c>
      <c r="N319" s="87" t="s">
        <v>425</v>
      </c>
      <c r="O319" s="87" t="s">
        <v>2052</v>
      </c>
      <c r="P319" s="87" t="s">
        <v>488</v>
      </c>
      <c r="Q319" s="87" t="s">
        <v>227</v>
      </c>
      <c r="R319" s="87" t="s">
        <v>1782</v>
      </c>
      <c r="S319" s="87" t="s">
        <v>2053</v>
      </c>
      <c r="T319" s="60"/>
      <c r="U319" s="87" t="s">
        <v>671</v>
      </c>
      <c r="V319" s="126" t="s">
        <v>758</v>
      </c>
      <c r="W319" s="127" t="s">
        <v>741</v>
      </c>
      <c r="X319" s="108">
        <v>45814</v>
      </c>
      <c r="Y319" s="135">
        <v>45818</v>
      </c>
      <c r="Z319" s="87" t="s">
        <v>35</v>
      </c>
      <c r="AA319" s="16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  <c r="AN319" s="87"/>
      <c r="AO319" s="87"/>
      <c r="AP319" s="54">
        <f>IF(OR(X319="",C319=""),"",NETWORKDAYS.INTL(C319,X319,1,'HELPER(Dont Delete)'!A:A))</f>
        <v>2</v>
      </c>
      <c r="AQ319" s="54">
        <f>IF(OR(X319="",Y319=""),"",NETWORKDAYS.INTL(X319,Y319,1,'HELPER(Dont Delete)'!A:A))</f>
        <v>3</v>
      </c>
      <c r="AR319" s="54" t="str">
        <f>IF(OR(Y319="",AA319=""),"",NETWORKDAYS.INTL(Y319,AA319,1,'HELPER(Dont Delete)'!A:A))</f>
        <v/>
      </c>
      <c r="AS319" s="87"/>
      <c r="AT319" s="87"/>
      <c r="AU319" s="87"/>
      <c r="AV319" s="87"/>
      <c r="AW319" s="87"/>
      <c r="AX319" s="87"/>
      <c r="AY319" s="87"/>
      <c r="AZ319" s="87"/>
      <c r="BA319" s="87"/>
      <c r="BB319" s="87"/>
      <c r="BC319" s="87"/>
      <c r="BD319" s="87"/>
      <c r="BE319" s="87"/>
      <c r="BF319" s="87"/>
      <c r="BG319" s="87"/>
      <c r="BH319" s="87"/>
      <c r="BI319" s="87"/>
      <c r="BJ319" s="87"/>
      <c r="BK319" s="87"/>
      <c r="BL319" s="87"/>
      <c r="BM319" s="87"/>
      <c r="BN319" s="87"/>
      <c r="BO319" s="87"/>
      <c r="BP319" s="87"/>
      <c r="BQ319" s="87"/>
      <c r="BR319" s="87"/>
      <c r="BS319" s="87"/>
      <c r="BT319" s="87"/>
      <c r="BU319" s="87"/>
      <c r="BV319" s="87"/>
      <c r="BW319" s="87"/>
      <c r="BX319" s="87"/>
      <c r="BY319" s="87"/>
      <c r="BZ319" s="87"/>
      <c r="CA319" s="87"/>
      <c r="CB319" s="87"/>
      <c r="CC319" s="87"/>
      <c r="CD319" s="87"/>
      <c r="CE319" s="87"/>
      <c r="CF319" s="87"/>
      <c r="CG319" s="87"/>
      <c r="CH319" s="87"/>
      <c r="CI319" s="87"/>
      <c r="CJ319" s="87"/>
      <c r="CK319" s="87"/>
      <c r="CL319" s="87"/>
      <c r="CM319" s="87"/>
      <c r="CN319" s="87"/>
      <c r="CO319" s="87"/>
      <c r="CP319" s="87"/>
      <c r="CQ319" s="87"/>
      <c r="CR319" s="87"/>
    </row>
    <row r="320" spans="1:96">
      <c r="A320" s="87"/>
      <c r="B320" s="135">
        <v>45747</v>
      </c>
      <c r="C320" s="127">
        <v>45813</v>
      </c>
      <c r="D320" s="87" t="s">
        <v>1707</v>
      </c>
      <c r="E320" s="82" t="s">
        <v>219</v>
      </c>
      <c r="F320" s="82" t="s">
        <v>220</v>
      </c>
      <c r="G320" s="140" t="s">
        <v>2054</v>
      </c>
      <c r="H320" s="87">
        <v>8910780071</v>
      </c>
      <c r="I320" s="87" t="s">
        <v>2055</v>
      </c>
      <c r="J320" s="141" t="s">
        <v>2056</v>
      </c>
      <c r="K320" s="87">
        <v>7</v>
      </c>
      <c r="L320" s="87" t="s">
        <v>1226</v>
      </c>
      <c r="M320" s="87" t="s">
        <v>2057</v>
      </c>
      <c r="N320" s="87" t="s">
        <v>699</v>
      </c>
      <c r="O320" s="87" t="s">
        <v>2058</v>
      </c>
      <c r="P320" s="87">
        <v>0.25</v>
      </c>
      <c r="Q320" s="87" t="s">
        <v>208</v>
      </c>
      <c r="R320" s="87" t="s">
        <v>2059</v>
      </c>
      <c r="S320" s="87" t="s">
        <v>1201</v>
      </c>
      <c r="T320" s="60"/>
      <c r="U320" s="87" t="s">
        <v>671</v>
      </c>
      <c r="V320" s="126" t="s">
        <v>291</v>
      </c>
      <c r="W320" s="127"/>
      <c r="X320" s="108">
        <v>45814</v>
      </c>
      <c r="Y320" s="135"/>
      <c r="Z320" s="87"/>
      <c r="AA320" s="16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  <c r="AM320" s="87"/>
      <c r="AN320" s="87"/>
      <c r="AO320" s="87"/>
      <c r="AP320" s="54">
        <f>IF(OR(X320="",C320=""),"",NETWORKDAYS.INTL(C320,X320,1,'HELPER(Dont Delete)'!A:A))</f>
        <v>2</v>
      </c>
      <c r="AQ320" s="54" t="str">
        <f>IF(OR(X320="",Y320=""),"",NETWORKDAYS.INTL(X320,Y320,1,'HELPER(Dont Delete)'!A:A))</f>
        <v/>
      </c>
      <c r="AR320" s="54" t="str">
        <f>IF(OR(Y320="",AA320=""),"",NETWORKDAYS.INTL(Y320,AA320,1,'HELPER(Dont Delete)'!A:A))</f>
        <v/>
      </c>
      <c r="AS320" s="87"/>
      <c r="AT320" s="87"/>
      <c r="AU320" s="87"/>
      <c r="AV320" s="87"/>
      <c r="AW320" s="87"/>
      <c r="AX320" s="87"/>
      <c r="AY320" s="87"/>
      <c r="AZ320" s="87"/>
      <c r="BA320" s="87"/>
      <c r="BB320" s="87"/>
      <c r="BC320" s="87"/>
      <c r="BD320" s="87"/>
      <c r="BE320" s="87"/>
      <c r="BF320" s="87"/>
      <c r="BG320" s="87"/>
      <c r="BH320" s="87"/>
      <c r="BI320" s="87"/>
      <c r="BJ320" s="87"/>
      <c r="BK320" s="87"/>
      <c r="BL320" s="87"/>
      <c r="BM320" s="87"/>
      <c r="BN320" s="87"/>
      <c r="BO320" s="87"/>
      <c r="BP320" s="87"/>
      <c r="BQ320" s="87"/>
      <c r="BR320" s="87"/>
      <c r="BS320" s="87"/>
      <c r="BT320" s="87"/>
      <c r="BU320" s="87"/>
      <c r="BV320" s="87"/>
      <c r="BW320" s="87"/>
      <c r="BX320" s="87"/>
      <c r="BY320" s="87"/>
      <c r="BZ320" s="87"/>
      <c r="CA320" s="87"/>
      <c r="CB320" s="87"/>
      <c r="CC320" s="87"/>
      <c r="CD320" s="87"/>
      <c r="CE320" s="87"/>
      <c r="CF320" s="87"/>
      <c r="CG320" s="87"/>
      <c r="CH320" s="87"/>
      <c r="CI320" s="87"/>
      <c r="CJ320" s="87"/>
      <c r="CK320" s="87"/>
      <c r="CL320" s="87"/>
      <c r="CM320" s="87"/>
      <c r="CN320" s="87"/>
      <c r="CO320" s="87"/>
      <c r="CP320" s="87"/>
      <c r="CQ320" s="87"/>
      <c r="CR320" s="87"/>
    </row>
    <row r="321" spans="1:96">
      <c r="A321" s="87"/>
      <c r="B321" s="135">
        <v>45747</v>
      </c>
      <c r="C321" s="127">
        <v>45824</v>
      </c>
      <c r="D321" s="87" t="s">
        <v>141</v>
      </c>
      <c r="E321" s="82" t="s">
        <v>219</v>
      </c>
      <c r="F321" s="82" t="s">
        <v>220</v>
      </c>
      <c r="G321" s="89" t="s">
        <v>2060</v>
      </c>
      <c r="H321" s="89">
        <v>9582717879</v>
      </c>
      <c r="I321" s="207" t="s">
        <v>2061</v>
      </c>
      <c r="J321" s="89" t="s">
        <v>1745</v>
      </c>
      <c r="K321" s="89">
        <v>12</v>
      </c>
      <c r="L321" s="89">
        <v>12</v>
      </c>
      <c r="M321" s="89" t="s">
        <v>2062</v>
      </c>
      <c r="N321" s="89" t="s">
        <v>534</v>
      </c>
      <c r="O321" s="89" t="s">
        <v>1373</v>
      </c>
      <c r="P321" s="89" t="s">
        <v>488</v>
      </c>
      <c r="Q321" s="89" t="s">
        <v>558</v>
      </c>
      <c r="R321" s="89" t="s">
        <v>315</v>
      </c>
      <c r="S321" s="89" t="s">
        <v>58</v>
      </c>
      <c r="T321" s="60">
        <v>11</v>
      </c>
      <c r="U321" s="87" t="s">
        <v>1175</v>
      </c>
      <c r="V321" s="126" t="s">
        <v>1166</v>
      </c>
      <c r="W321" s="127"/>
      <c r="X321" s="108">
        <v>45839</v>
      </c>
      <c r="Y321" s="135">
        <v>45841</v>
      </c>
      <c r="Z321" s="87" t="s">
        <v>340</v>
      </c>
      <c r="AA321" s="16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  <c r="AL321" s="87"/>
      <c r="AM321" s="87"/>
      <c r="AN321" s="87"/>
      <c r="AO321" s="87"/>
      <c r="AP321" s="54">
        <f>IF(OR(X321="",C321=""),"",NETWORKDAYS.INTL(C321,X321,1,'HELPER(Dont Delete)'!A:A))</f>
        <v>12</v>
      </c>
      <c r="AQ321" s="54">
        <f>IF(OR(X321="",Y321=""),"",NETWORKDAYS.INTL(X321,Y321,1,'HELPER(Dont Delete)'!A:A))</f>
        <v>3</v>
      </c>
      <c r="AR321" s="54" t="str">
        <f>IF(OR(Y321="",AA321=""),"",NETWORKDAYS.INTL(Y321,AA321,1,'HELPER(Dont Delete)'!A:A))</f>
        <v/>
      </c>
      <c r="AS321" s="87"/>
      <c r="AT321" s="87"/>
      <c r="AU321" s="87"/>
      <c r="AV321" s="87"/>
      <c r="AW321" s="87"/>
      <c r="AX321" s="87"/>
      <c r="AY321" s="87"/>
      <c r="AZ321" s="87"/>
      <c r="BA321" s="87"/>
      <c r="BB321" s="87"/>
      <c r="BC321" s="87"/>
      <c r="BD321" s="87"/>
      <c r="BE321" s="87"/>
      <c r="BF321" s="87"/>
      <c r="BG321" s="87"/>
      <c r="BH321" s="87"/>
      <c r="BI321" s="87"/>
      <c r="BJ321" s="87"/>
      <c r="BK321" s="87"/>
      <c r="BL321" s="87"/>
      <c r="BM321" s="87"/>
      <c r="BN321" s="87"/>
      <c r="BO321" s="87"/>
      <c r="BP321" s="87"/>
      <c r="BQ321" s="87"/>
      <c r="BR321" s="87"/>
      <c r="BS321" s="87"/>
      <c r="BT321" s="87"/>
      <c r="BU321" s="87"/>
      <c r="BV321" s="87"/>
      <c r="BW321" s="87"/>
      <c r="BX321" s="87"/>
      <c r="BY321" s="87"/>
      <c r="BZ321" s="87"/>
      <c r="CA321" s="87"/>
      <c r="CB321" s="87"/>
      <c r="CC321" s="87"/>
      <c r="CD321" s="87"/>
      <c r="CE321" s="87"/>
      <c r="CF321" s="87"/>
      <c r="CG321" s="87"/>
      <c r="CH321" s="87"/>
      <c r="CI321" s="87"/>
      <c r="CJ321" s="87"/>
      <c r="CK321" s="87"/>
      <c r="CL321" s="87"/>
      <c r="CM321" s="87"/>
      <c r="CN321" s="87"/>
      <c r="CO321" s="87"/>
      <c r="CP321" s="87"/>
      <c r="CQ321" s="87"/>
      <c r="CR321" s="87"/>
    </row>
    <row r="322" spans="1:96">
      <c r="A322" s="87"/>
      <c r="B322" s="135">
        <v>45747</v>
      </c>
      <c r="C322" s="127">
        <v>45824</v>
      </c>
      <c r="D322" s="87" t="s">
        <v>141</v>
      </c>
      <c r="E322" s="82" t="s">
        <v>219</v>
      </c>
      <c r="F322" s="82" t="s">
        <v>220</v>
      </c>
      <c r="G322" s="89" t="s">
        <v>2063</v>
      </c>
      <c r="H322" s="89">
        <v>9910856847</v>
      </c>
      <c r="I322" s="207" t="s">
        <v>1584</v>
      </c>
      <c r="J322" s="89" t="s">
        <v>1745</v>
      </c>
      <c r="K322" s="89" t="s">
        <v>1791</v>
      </c>
      <c r="L322" s="89" t="s">
        <v>1791</v>
      </c>
      <c r="M322" s="89" t="s">
        <v>2064</v>
      </c>
      <c r="N322" s="89" t="s">
        <v>425</v>
      </c>
      <c r="O322" s="89" t="s">
        <v>1523</v>
      </c>
      <c r="P322" s="89" t="s">
        <v>770</v>
      </c>
      <c r="Q322" s="89" t="s">
        <v>402</v>
      </c>
      <c r="R322" s="89" t="s">
        <v>290</v>
      </c>
      <c r="S322" s="89" t="s">
        <v>58</v>
      </c>
      <c r="T322" s="60">
        <v>4.0999999999999996</v>
      </c>
      <c r="U322" s="87" t="s">
        <v>1447</v>
      </c>
      <c r="V322" s="126" t="s">
        <v>231</v>
      </c>
      <c r="W322" s="127"/>
      <c r="X322" s="108">
        <v>45839</v>
      </c>
      <c r="Y322" s="135">
        <v>45840</v>
      </c>
      <c r="Z322" s="87" t="s">
        <v>232</v>
      </c>
      <c r="AA322" s="16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  <c r="AM322" s="87"/>
      <c r="AN322" s="87"/>
      <c r="AO322" s="87"/>
      <c r="AP322" s="54">
        <f>IF(OR(X322="",C322=""),"",NETWORKDAYS.INTL(C322,X322,1,'HELPER(Dont Delete)'!A:A))</f>
        <v>12</v>
      </c>
      <c r="AQ322" s="54">
        <f>IF(OR(X322="",Y322=""),"",NETWORKDAYS.INTL(X322,Y322,1,'HELPER(Dont Delete)'!A:A))</f>
        <v>2</v>
      </c>
      <c r="AR322" s="54" t="str">
        <f>IF(OR(Y322="",AA322=""),"",NETWORKDAYS.INTL(Y322,AA322,1,'HELPER(Dont Delete)'!A:A))</f>
        <v/>
      </c>
      <c r="AS322" s="87"/>
      <c r="AT322" s="87"/>
      <c r="AU322" s="87"/>
      <c r="AV322" s="87"/>
      <c r="AW322" s="87"/>
      <c r="AX322" s="87"/>
      <c r="AY322" s="87"/>
      <c r="AZ322" s="87"/>
      <c r="BA322" s="87"/>
      <c r="BB322" s="87"/>
      <c r="BC322" s="87"/>
      <c r="BD322" s="87"/>
      <c r="BE322" s="87"/>
      <c r="BF322" s="87"/>
      <c r="BG322" s="87"/>
      <c r="BH322" s="87"/>
      <c r="BI322" s="87"/>
      <c r="BJ322" s="87"/>
      <c r="BK322" s="87"/>
      <c r="BL322" s="87"/>
      <c r="BM322" s="87"/>
      <c r="BN322" s="87"/>
      <c r="BO322" s="87"/>
      <c r="BP322" s="87"/>
      <c r="BQ322" s="87"/>
      <c r="BR322" s="87"/>
      <c r="BS322" s="87"/>
      <c r="BT322" s="87"/>
      <c r="BU322" s="87"/>
      <c r="BV322" s="87"/>
      <c r="BW322" s="87"/>
      <c r="BX322" s="87"/>
      <c r="BY322" s="87"/>
      <c r="BZ322" s="87"/>
      <c r="CA322" s="87"/>
      <c r="CB322" s="87"/>
      <c r="CC322" s="87"/>
      <c r="CD322" s="87"/>
      <c r="CE322" s="87"/>
      <c r="CF322" s="87"/>
      <c r="CG322" s="87"/>
      <c r="CH322" s="87"/>
      <c r="CI322" s="87"/>
      <c r="CJ322" s="87"/>
      <c r="CK322" s="87"/>
      <c r="CL322" s="87"/>
      <c r="CM322" s="87"/>
      <c r="CN322" s="87"/>
      <c r="CO322" s="87"/>
      <c r="CP322" s="87"/>
      <c r="CQ322" s="87"/>
      <c r="CR322" s="87"/>
    </row>
    <row r="323" spans="1:96">
      <c r="A323" s="87"/>
      <c r="B323" s="135">
        <v>45747</v>
      </c>
      <c r="C323" s="127">
        <v>45825</v>
      </c>
      <c r="D323" s="87" t="s">
        <v>1707</v>
      </c>
      <c r="E323" s="82" t="s">
        <v>219</v>
      </c>
      <c r="F323" s="82" t="s">
        <v>220</v>
      </c>
      <c r="G323" s="140" t="s">
        <v>2065</v>
      </c>
      <c r="H323" s="87">
        <v>8016162114</v>
      </c>
      <c r="I323" s="87" t="s">
        <v>2066</v>
      </c>
      <c r="J323" s="141" t="s">
        <v>2067</v>
      </c>
      <c r="K323" s="87">
        <v>10</v>
      </c>
      <c r="L323" s="87">
        <v>10</v>
      </c>
      <c r="M323" s="87" t="s">
        <v>2068</v>
      </c>
      <c r="N323" s="87" t="s">
        <v>756</v>
      </c>
      <c r="O323" s="87" t="s">
        <v>70</v>
      </c>
      <c r="P323" s="87" t="s">
        <v>770</v>
      </c>
      <c r="Q323" s="87" t="s">
        <v>2069</v>
      </c>
      <c r="R323" s="87" t="s">
        <v>228</v>
      </c>
      <c r="S323" s="87" t="s">
        <v>1201</v>
      </c>
      <c r="T323" s="60">
        <v>4</v>
      </c>
      <c r="U323" s="87" t="s">
        <v>1175</v>
      </c>
      <c r="V323" s="126" t="s">
        <v>808</v>
      </c>
      <c r="W323" s="127" t="s">
        <v>1259</v>
      </c>
      <c r="X323" s="108">
        <v>45831</v>
      </c>
      <c r="Y323" s="135"/>
      <c r="Z323" s="87"/>
      <c r="AA323" s="16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87"/>
      <c r="AM323" s="87"/>
      <c r="AN323" s="87"/>
      <c r="AO323" s="87"/>
      <c r="AP323" s="54">
        <f>IF(OR(X323="",C323=""),"",NETWORKDAYS.INTL(C323,X323,1,'HELPER(Dont Delete)'!A:A))</f>
        <v>5</v>
      </c>
      <c r="AQ323" s="54" t="str">
        <f>IF(OR(X323="",Y323=""),"",NETWORKDAYS.INTL(X323,Y323,1,'HELPER(Dont Delete)'!A:A))</f>
        <v/>
      </c>
      <c r="AR323" s="54" t="str">
        <f>IF(OR(Y323="",AA323=""),"",NETWORKDAYS.INTL(Y323,AA323,1,'HELPER(Dont Delete)'!A:A))</f>
        <v/>
      </c>
      <c r="AS323" s="87"/>
      <c r="AT323" s="87"/>
      <c r="AU323" s="87"/>
      <c r="AV323" s="87"/>
      <c r="AW323" s="87"/>
      <c r="AX323" s="87"/>
      <c r="AY323" s="87"/>
      <c r="AZ323" s="87"/>
      <c r="BA323" s="87"/>
      <c r="BB323" s="87"/>
      <c r="BC323" s="87"/>
      <c r="BD323" s="87"/>
      <c r="BE323" s="87"/>
      <c r="BF323" s="87"/>
      <c r="BG323" s="87"/>
      <c r="BH323" s="87"/>
      <c r="BI323" s="87"/>
      <c r="BJ323" s="87"/>
      <c r="BK323" s="87"/>
      <c r="BL323" s="87"/>
      <c r="BM323" s="87"/>
      <c r="BN323" s="87"/>
      <c r="BO323" s="87"/>
      <c r="BP323" s="87"/>
      <c r="BQ323" s="87"/>
      <c r="BR323" s="87"/>
      <c r="BS323" s="87"/>
      <c r="BT323" s="87"/>
      <c r="BU323" s="87"/>
      <c r="BV323" s="87"/>
      <c r="BW323" s="87"/>
      <c r="BX323" s="87"/>
      <c r="BY323" s="87"/>
      <c r="BZ323" s="87"/>
      <c r="CA323" s="87"/>
      <c r="CB323" s="87"/>
      <c r="CC323" s="87"/>
      <c r="CD323" s="87"/>
      <c r="CE323" s="87"/>
      <c r="CF323" s="87"/>
      <c r="CG323" s="87"/>
      <c r="CH323" s="87"/>
      <c r="CI323" s="87"/>
      <c r="CJ323" s="87"/>
      <c r="CK323" s="87"/>
      <c r="CL323" s="87"/>
      <c r="CM323" s="87"/>
      <c r="CN323" s="87"/>
      <c r="CO323" s="87"/>
      <c r="CP323" s="87"/>
      <c r="CQ323" s="87"/>
      <c r="CR323" s="87"/>
    </row>
    <row r="324" spans="1:96">
      <c r="A324" s="87"/>
      <c r="B324" s="135">
        <v>45747</v>
      </c>
      <c r="C324" s="127">
        <v>45825</v>
      </c>
      <c r="D324" s="87" t="s">
        <v>1707</v>
      </c>
      <c r="E324" s="82" t="s">
        <v>219</v>
      </c>
      <c r="F324" s="82" t="s">
        <v>220</v>
      </c>
      <c r="G324" s="140" t="s">
        <v>2070</v>
      </c>
      <c r="H324" s="87" t="s">
        <v>2071</v>
      </c>
      <c r="I324" s="87" t="s">
        <v>2072</v>
      </c>
      <c r="J324" s="141" t="s">
        <v>2067</v>
      </c>
      <c r="K324" s="87">
        <v>9.3000000000000007</v>
      </c>
      <c r="L324" s="87">
        <v>9.3000000000000007</v>
      </c>
      <c r="M324" s="87" t="s">
        <v>2073</v>
      </c>
      <c r="N324" s="87" t="s">
        <v>425</v>
      </c>
      <c r="O324" s="87" t="s">
        <v>2074</v>
      </c>
      <c r="P324" s="181" t="s">
        <v>770</v>
      </c>
      <c r="Q324" s="87" t="s">
        <v>1095</v>
      </c>
      <c r="R324" s="87" t="s">
        <v>315</v>
      </c>
      <c r="S324" s="87" t="s">
        <v>1201</v>
      </c>
      <c r="T324" s="60">
        <v>1.7</v>
      </c>
      <c r="U324" s="87" t="s">
        <v>1175</v>
      </c>
      <c r="V324" s="126" t="s">
        <v>291</v>
      </c>
      <c r="W324" s="127"/>
      <c r="X324" s="108">
        <v>45831</v>
      </c>
      <c r="Y324" s="135"/>
      <c r="Z324" s="87"/>
      <c r="AA324" s="16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  <c r="AL324" s="87"/>
      <c r="AM324" s="87"/>
      <c r="AN324" s="87"/>
      <c r="AO324" s="87"/>
      <c r="AP324" s="54">
        <f>IF(OR(X324="",C324=""),"",NETWORKDAYS.INTL(C324,X324,1,'HELPER(Dont Delete)'!A:A))</f>
        <v>5</v>
      </c>
      <c r="AQ324" s="54" t="str">
        <f>IF(OR(X324="",Y324=""),"",NETWORKDAYS.INTL(X324,Y324,1,'HELPER(Dont Delete)'!A:A))</f>
        <v/>
      </c>
      <c r="AR324" s="54" t="str">
        <f>IF(OR(Y324="",AA324=""),"",NETWORKDAYS.INTL(Y324,AA324,1,'HELPER(Dont Delete)'!A:A))</f>
        <v/>
      </c>
      <c r="AS324" s="87"/>
      <c r="AT324" s="87"/>
      <c r="AU324" s="87"/>
      <c r="AV324" s="87"/>
      <c r="AW324" s="87"/>
      <c r="AX324" s="87"/>
      <c r="AY324" s="87"/>
      <c r="AZ324" s="87"/>
      <c r="BA324" s="87"/>
      <c r="BB324" s="87"/>
      <c r="BC324" s="87"/>
      <c r="BD324" s="87"/>
      <c r="BE324" s="87"/>
      <c r="BF324" s="87"/>
      <c r="BG324" s="87"/>
      <c r="BH324" s="87"/>
      <c r="BI324" s="87"/>
      <c r="BJ324" s="87"/>
      <c r="BK324" s="87"/>
      <c r="BL324" s="87"/>
      <c r="BM324" s="87"/>
      <c r="BN324" s="87"/>
      <c r="BO324" s="87"/>
      <c r="BP324" s="87"/>
      <c r="BQ324" s="87"/>
      <c r="BR324" s="87"/>
      <c r="BS324" s="87"/>
      <c r="BT324" s="87"/>
      <c r="BU324" s="87"/>
      <c r="BV324" s="87"/>
      <c r="BW324" s="87"/>
      <c r="BX324" s="87"/>
      <c r="BY324" s="87"/>
      <c r="BZ324" s="87"/>
      <c r="CA324" s="87"/>
      <c r="CB324" s="87"/>
      <c r="CC324" s="87"/>
      <c r="CD324" s="87"/>
      <c r="CE324" s="87"/>
      <c r="CF324" s="87"/>
      <c r="CG324" s="87"/>
      <c r="CH324" s="87"/>
      <c r="CI324" s="87"/>
      <c r="CJ324" s="87"/>
      <c r="CK324" s="87"/>
      <c r="CL324" s="87"/>
      <c r="CM324" s="87"/>
      <c r="CN324" s="87"/>
      <c r="CO324" s="87"/>
      <c r="CP324" s="87"/>
      <c r="CQ324" s="87"/>
      <c r="CR324" s="87"/>
    </row>
    <row r="325" spans="1:96">
      <c r="A325" s="87"/>
      <c r="B325" s="135">
        <v>45750</v>
      </c>
      <c r="C325" s="127">
        <v>45827</v>
      </c>
      <c r="D325" s="87" t="s">
        <v>157</v>
      </c>
      <c r="E325" s="82" t="s">
        <v>219</v>
      </c>
      <c r="F325" s="82" t="s">
        <v>220</v>
      </c>
      <c r="G325" s="140" t="s">
        <v>2075</v>
      </c>
      <c r="H325" s="87">
        <v>9818231563</v>
      </c>
      <c r="I325" s="87" t="s">
        <v>2076</v>
      </c>
      <c r="J325" s="141" t="s">
        <v>2013</v>
      </c>
      <c r="K325" s="87">
        <v>3</v>
      </c>
      <c r="L325" s="87">
        <v>3</v>
      </c>
      <c r="M325" s="87" t="s">
        <v>2077</v>
      </c>
      <c r="N325" s="87" t="s">
        <v>425</v>
      </c>
      <c r="O325" s="87" t="s">
        <v>557</v>
      </c>
      <c r="P325" s="87" t="s">
        <v>2078</v>
      </c>
      <c r="Q325" s="87" t="s">
        <v>1095</v>
      </c>
      <c r="R325" s="87" t="s">
        <v>1461</v>
      </c>
      <c r="S325" s="87" t="s">
        <v>1201</v>
      </c>
      <c r="T325" s="60"/>
      <c r="U325" s="87" t="s">
        <v>1175</v>
      </c>
      <c r="V325" s="126" t="s">
        <v>758</v>
      </c>
      <c r="W325" s="127" t="s">
        <v>741</v>
      </c>
      <c r="X325" s="108">
        <v>45834</v>
      </c>
      <c r="Y325" s="135">
        <v>45839</v>
      </c>
      <c r="Z325" s="87" t="s">
        <v>340</v>
      </c>
      <c r="AA325" s="166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  <c r="AN325" s="87"/>
      <c r="AO325" s="87"/>
      <c r="AP325" s="54">
        <f>IF(OR(X325="",C325=""),"",NETWORKDAYS.INTL(C325,X325,1,'HELPER(Dont Delete)'!A:A))</f>
        <v>6</v>
      </c>
      <c r="AQ325" s="54">
        <f>IF(OR(X325="",Y325=""),"",NETWORKDAYS.INTL(X325,Y325,1,'HELPER(Dont Delete)'!A:A))</f>
        <v>4</v>
      </c>
      <c r="AR325" s="54" t="str">
        <f>IF(OR(Y325="",AA325=""),"",NETWORKDAYS.INTL(Y325,AA325,1,'HELPER(Dont Delete)'!A:A))</f>
        <v/>
      </c>
      <c r="AS325" s="87"/>
      <c r="AT325" s="87"/>
      <c r="AU325" s="87"/>
      <c r="AV325" s="87"/>
      <c r="AW325" s="87"/>
      <c r="AX325" s="87"/>
      <c r="AY325" s="87"/>
      <c r="AZ325" s="87"/>
      <c r="BA325" s="87"/>
      <c r="BB325" s="87"/>
      <c r="BC325" s="87"/>
      <c r="BD325" s="87"/>
      <c r="BE325" s="87"/>
      <c r="BF325" s="87"/>
      <c r="BG325" s="87"/>
      <c r="BH325" s="87"/>
      <c r="BI325" s="87"/>
      <c r="BJ325" s="87"/>
      <c r="BK325" s="87"/>
      <c r="BL325" s="87"/>
      <c r="BM325" s="87"/>
      <c r="BN325" s="87"/>
      <c r="BO325" s="87"/>
      <c r="BP325" s="87"/>
      <c r="BQ325" s="87"/>
      <c r="BR325" s="87"/>
      <c r="BS325" s="87"/>
      <c r="BT325" s="87"/>
      <c r="BU325" s="87"/>
      <c r="BV325" s="87"/>
      <c r="BW325" s="87"/>
      <c r="BX325" s="87"/>
      <c r="BY325" s="87"/>
      <c r="BZ325" s="87"/>
      <c r="CA325" s="87"/>
      <c r="CB325" s="87"/>
      <c r="CC325" s="87"/>
      <c r="CD325" s="87"/>
      <c r="CE325" s="87"/>
      <c r="CF325" s="87"/>
      <c r="CG325" s="87"/>
      <c r="CH325" s="87"/>
      <c r="CI325" s="87"/>
      <c r="CJ325" s="87"/>
      <c r="CK325" s="87"/>
      <c r="CL325" s="87"/>
      <c r="CM325" s="87"/>
      <c r="CN325" s="87"/>
      <c r="CO325" s="87"/>
      <c r="CP325" s="87"/>
      <c r="CQ325" s="87"/>
      <c r="CR325" s="87"/>
    </row>
    <row r="326" spans="1:96">
      <c r="A326" s="87"/>
      <c r="B326" s="135">
        <v>45750</v>
      </c>
      <c r="C326" s="127">
        <v>45827</v>
      </c>
      <c r="D326" s="87" t="s">
        <v>157</v>
      </c>
      <c r="E326" s="82" t="s">
        <v>219</v>
      </c>
      <c r="F326" s="82" t="s">
        <v>220</v>
      </c>
      <c r="G326" s="140" t="s">
        <v>2079</v>
      </c>
      <c r="H326" s="87">
        <v>8778321396</v>
      </c>
      <c r="I326" s="87" t="s">
        <v>2080</v>
      </c>
      <c r="J326" s="141" t="s">
        <v>2013</v>
      </c>
      <c r="K326" s="87">
        <v>3</v>
      </c>
      <c r="L326" s="87">
        <v>3</v>
      </c>
      <c r="M326" s="87" t="s">
        <v>2077</v>
      </c>
      <c r="N326" s="87" t="s">
        <v>425</v>
      </c>
      <c r="O326" s="87" t="s">
        <v>557</v>
      </c>
      <c r="P326" s="87" t="s">
        <v>2078</v>
      </c>
      <c r="Q326" s="87" t="s">
        <v>1095</v>
      </c>
      <c r="R326" s="87" t="s">
        <v>1461</v>
      </c>
      <c r="S326" s="87" t="s">
        <v>1201</v>
      </c>
      <c r="T326" s="60"/>
      <c r="U326" s="87" t="s">
        <v>1175</v>
      </c>
      <c r="V326" s="126" t="s">
        <v>758</v>
      </c>
      <c r="W326" s="127" t="s">
        <v>741</v>
      </c>
      <c r="X326" s="108">
        <v>45834</v>
      </c>
      <c r="Y326" s="135"/>
      <c r="Z326" s="87"/>
      <c r="AA326" s="166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87"/>
      <c r="AM326" s="87"/>
      <c r="AN326" s="87"/>
      <c r="AO326" s="87"/>
      <c r="AP326" s="54">
        <f>IF(OR(X326="",C326=""),"",NETWORKDAYS.INTL(C326,X326,1,'HELPER(Dont Delete)'!A:A))</f>
        <v>6</v>
      </c>
      <c r="AQ326" s="54" t="str">
        <f>IF(OR(X326="",Y326=""),"",NETWORKDAYS.INTL(X326,Y326,1,'HELPER(Dont Delete)'!A:A))</f>
        <v/>
      </c>
      <c r="AR326" s="54" t="str">
        <f>IF(OR(Y326="",AA326=""),"",NETWORKDAYS.INTL(Y326,AA326,1,'HELPER(Dont Delete)'!A:A))</f>
        <v/>
      </c>
      <c r="AS326" s="87"/>
      <c r="AT326" s="87"/>
      <c r="AU326" s="87"/>
      <c r="AV326" s="87"/>
      <c r="AW326" s="87"/>
      <c r="AX326" s="87"/>
      <c r="AY326" s="87"/>
      <c r="AZ326" s="87"/>
      <c r="BA326" s="87"/>
      <c r="BB326" s="87"/>
      <c r="BC326" s="87"/>
      <c r="BD326" s="87"/>
      <c r="BE326" s="87"/>
      <c r="BF326" s="87"/>
      <c r="BG326" s="87"/>
      <c r="BH326" s="87"/>
      <c r="BI326" s="87"/>
      <c r="BJ326" s="87"/>
      <c r="BK326" s="87"/>
      <c r="BL326" s="87"/>
      <c r="BM326" s="87"/>
      <c r="BN326" s="87"/>
      <c r="BO326" s="87"/>
      <c r="BP326" s="87"/>
      <c r="BQ326" s="87"/>
      <c r="BR326" s="87"/>
      <c r="BS326" s="87"/>
      <c r="BT326" s="87"/>
      <c r="BU326" s="87"/>
      <c r="BV326" s="87"/>
      <c r="BW326" s="87"/>
      <c r="BX326" s="87"/>
      <c r="BY326" s="87"/>
      <c r="BZ326" s="87"/>
      <c r="CA326" s="87"/>
      <c r="CB326" s="87"/>
      <c r="CC326" s="87"/>
      <c r="CD326" s="87"/>
      <c r="CE326" s="87"/>
      <c r="CF326" s="87"/>
      <c r="CG326" s="87"/>
      <c r="CH326" s="87"/>
      <c r="CI326" s="87"/>
      <c r="CJ326" s="87"/>
      <c r="CK326" s="87"/>
      <c r="CL326" s="87"/>
      <c r="CM326" s="87"/>
      <c r="CN326" s="87"/>
      <c r="CO326" s="87"/>
      <c r="CP326" s="87"/>
      <c r="CQ326" s="87"/>
      <c r="CR326" s="87"/>
    </row>
    <row r="327" spans="1:96">
      <c r="A327" s="87"/>
      <c r="B327" s="135">
        <v>45747</v>
      </c>
      <c r="C327" s="127">
        <v>45833</v>
      </c>
      <c r="D327" s="87" t="s">
        <v>1707</v>
      </c>
      <c r="E327" s="82" t="s">
        <v>219</v>
      </c>
      <c r="F327" s="82" t="s">
        <v>220</v>
      </c>
      <c r="G327" s="140" t="s">
        <v>2081</v>
      </c>
      <c r="H327" s="87">
        <v>8982118875</v>
      </c>
      <c r="I327" s="87" t="s">
        <v>2082</v>
      </c>
      <c r="J327" s="141" t="s">
        <v>2083</v>
      </c>
      <c r="K327" s="87">
        <v>8</v>
      </c>
      <c r="L327" s="87" t="s">
        <v>1226</v>
      </c>
      <c r="M327" s="87" t="s">
        <v>2084</v>
      </c>
      <c r="N327" s="87" t="s">
        <v>807</v>
      </c>
      <c r="O327" s="87" t="s">
        <v>2085</v>
      </c>
      <c r="P327" s="87" t="s">
        <v>120</v>
      </c>
      <c r="Q327" s="87" t="s">
        <v>456</v>
      </c>
      <c r="R327" s="87" t="s">
        <v>374</v>
      </c>
      <c r="S327" s="87" t="s">
        <v>1201</v>
      </c>
      <c r="T327" s="60"/>
      <c r="U327" s="87" t="s">
        <v>1428</v>
      </c>
      <c r="V327" s="126" t="s">
        <v>758</v>
      </c>
      <c r="W327" s="127" t="s">
        <v>741</v>
      </c>
      <c r="X327" s="108">
        <v>45836</v>
      </c>
      <c r="Y327" s="135">
        <v>45849</v>
      </c>
      <c r="Z327" s="87"/>
      <c r="AA327" s="16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  <c r="AL327" s="87"/>
      <c r="AM327" s="87"/>
      <c r="AN327" s="87"/>
      <c r="AO327" s="87"/>
      <c r="AP327" s="54">
        <f>IF(OR(X327="",C327=""),"",NETWORKDAYS.INTL(C327,X327,1,'HELPER(Dont Delete)'!A:A))</f>
        <v>3</v>
      </c>
      <c r="AQ327" s="54">
        <f>IF(OR(X327="",Y327=""),"",NETWORKDAYS.INTL(X327,Y327,1,'HELPER(Dont Delete)'!A:A))</f>
        <v>10</v>
      </c>
      <c r="AR327" s="54" t="str">
        <f>IF(OR(Y327="",AA327=""),"",NETWORKDAYS.INTL(Y327,AA327,1,'HELPER(Dont Delete)'!A:A))</f>
        <v/>
      </c>
      <c r="AS327" s="87"/>
      <c r="AT327" s="87"/>
      <c r="AU327" s="87"/>
      <c r="AV327" s="87"/>
      <c r="AW327" s="87"/>
      <c r="AX327" s="87"/>
      <c r="AY327" s="87"/>
      <c r="AZ327" s="87"/>
      <c r="BA327" s="87"/>
      <c r="BB327" s="87"/>
      <c r="BC327" s="87"/>
      <c r="BD327" s="87"/>
      <c r="BE327" s="87"/>
      <c r="BF327" s="87"/>
      <c r="BG327" s="87"/>
      <c r="BH327" s="87"/>
      <c r="BI327" s="87"/>
      <c r="BJ327" s="87"/>
      <c r="BK327" s="87"/>
      <c r="BL327" s="87"/>
      <c r="BM327" s="87"/>
      <c r="BN327" s="87"/>
      <c r="BO327" s="87"/>
      <c r="BP327" s="87"/>
      <c r="BQ327" s="87"/>
      <c r="BR327" s="87"/>
      <c r="BS327" s="87"/>
      <c r="BT327" s="87"/>
      <c r="BU327" s="87"/>
      <c r="BV327" s="87"/>
      <c r="BW327" s="87"/>
      <c r="BX327" s="87"/>
      <c r="BY327" s="87"/>
      <c r="BZ327" s="87"/>
      <c r="CA327" s="87"/>
      <c r="CB327" s="87"/>
      <c r="CC327" s="87"/>
      <c r="CD327" s="87"/>
      <c r="CE327" s="87"/>
      <c r="CF327" s="87"/>
      <c r="CG327" s="87"/>
      <c r="CH327" s="87"/>
      <c r="CI327" s="87"/>
      <c r="CJ327" s="87"/>
      <c r="CK327" s="87"/>
      <c r="CL327" s="87"/>
      <c r="CM327" s="87"/>
      <c r="CN327" s="87"/>
      <c r="CO327" s="87"/>
      <c r="CP327" s="87"/>
      <c r="CQ327" s="87"/>
      <c r="CR327" s="87"/>
    </row>
    <row r="328" spans="1:96">
      <c r="A328" s="87"/>
      <c r="B328" s="135">
        <v>45747</v>
      </c>
      <c r="C328" s="127">
        <v>45833</v>
      </c>
      <c r="D328" s="87" t="s">
        <v>1707</v>
      </c>
      <c r="E328" s="82" t="s">
        <v>219</v>
      </c>
      <c r="F328" s="82" t="s">
        <v>220</v>
      </c>
      <c r="G328" s="140" t="s">
        <v>2086</v>
      </c>
      <c r="H328" s="87">
        <v>8007894837</v>
      </c>
      <c r="I328" s="87" t="s">
        <v>2087</v>
      </c>
      <c r="J328" s="141" t="s">
        <v>2067</v>
      </c>
      <c r="K328" s="87">
        <v>6.5</v>
      </c>
      <c r="L328" s="87">
        <v>6.5</v>
      </c>
      <c r="M328" s="87" t="s">
        <v>2088</v>
      </c>
      <c r="N328" s="87" t="s">
        <v>756</v>
      </c>
      <c r="O328" s="87" t="s">
        <v>2089</v>
      </c>
      <c r="P328" s="87" t="s">
        <v>770</v>
      </c>
      <c r="Q328" s="87" t="s">
        <v>558</v>
      </c>
      <c r="R328" s="87" t="s">
        <v>79</v>
      </c>
      <c r="S328" s="87" t="s">
        <v>1201</v>
      </c>
      <c r="T328" s="60"/>
      <c r="U328" s="87" t="s">
        <v>1175</v>
      </c>
      <c r="V328" s="126" t="s">
        <v>758</v>
      </c>
      <c r="W328" s="127" t="s">
        <v>741</v>
      </c>
      <c r="X328" s="108">
        <v>45836</v>
      </c>
      <c r="Y328" s="135">
        <v>45849</v>
      </c>
      <c r="Z328" s="87"/>
      <c r="AA328" s="16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  <c r="AL328" s="87"/>
      <c r="AM328" s="87"/>
      <c r="AN328" s="87"/>
      <c r="AO328" s="87"/>
      <c r="AP328" s="54">
        <f>IF(OR(X328="",C328=""),"",NETWORKDAYS.INTL(C328,X328,1,'HELPER(Dont Delete)'!A:A))</f>
        <v>3</v>
      </c>
      <c r="AQ328" s="54">
        <f>IF(OR(X328="",Y328=""),"",NETWORKDAYS.INTL(X328,Y328,1,'HELPER(Dont Delete)'!A:A))</f>
        <v>10</v>
      </c>
      <c r="AR328" s="54" t="str">
        <f>IF(OR(Y328="",AA328=""),"",NETWORKDAYS.INTL(Y328,AA328,1,'HELPER(Dont Delete)'!A:A))</f>
        <v/>
      </c>
      <c r="AS328" s="87"/>
      <c r="AT328" s="87"/>
      <c r="AU328" s="87"/>
      <c r="AV328" s="87"/>
      <c r="AW328" s="87"/>
      <c r="AX328" s="87"/>
      <c r="AY328" s="87"/>
      <c r="AZ328" s="87"/>
      <c r="BA328" s="87"/>
      <c r="BB328" s="87"/>
      <c r="BC328" s="87"/>
      <c r="BD328" s="87"/>
      <c r="BE328" s="87"/>
      <c r="BF328" s="87"/>
      <c r="BG328" s="87"/>
      <c r="BH328" s="87"/>
      <c r="BI328" s="87"/>
      <c r="BJ328" s="87"/>
      <c r="BK328" s="87"/>
      <c r="BL328" s="87"/>
      <c r="BM328" s="87"/>
      <c r="BN328" s="87"/>
      <c r="BO328" s="87"/>
      <c r="BP328" s="87"/>
      <c r="BQ328" s="87"/>
      <c r="BR328" s="87"/>
      <c r="BS328" s="87"/>
      <c r="BT328" s="87"/>
      <c r="BU328" s="87"/>
      <c r="BV328" s="87"/>
      <c r="BW328" s="87"/>
      <c r="BX328" s="87"/>
      <c r="BY328" s="87"/>
      <c r="BZ328" s="87"/>
      <c r="CA328" s="87"/>
      <c r="CB328" s="87"/>
      <c r="CC328" s="87"/>
      <c r="CD328" s="87"/>
      <c r="CE328" s="87"/>
      <c r="CF328" s="87"/>
      <c r="CG328" s="87"/>
      <c r="CH328" s="87"/>
      <c r="CI328" s="87"/>
      <c r="CJ328" s="87"/>
      <c r="CK328" s="87"/>
      <c r="CL328" s="87"/>
      <c r="CM328" s="87"/>
      <c r="CN328" s="87"/>
      <c r="CO328" s="87"/>
      <c r="CP328" s="87"/>
      <c r="CQ328" s="87"/>
      <c r="CR328" s="87"/>
    </row>
    <row r="329" spans="1:96">
      <c r="A329" s="87"/>
      <c r="B329" s="135">
        <v>45750</v>
      </c>
      <c r="C329" s="127">
        <v>45842</v>
      </c>
      <c r="D329" s="87" t="s">
        <v>157</v>
      </c>
      <c r="E329" s="82" t="s">
        <v>219</v>
      </c>
      <c r="F329" s="82" t="s">
        <v>220</v>
      </c>
      <c r="G329" s="140" t="s">
        <v>2090</v>
      </c>
      <c r="H329" s="87">
        <v>9775808140</v>
      </c>
      <c r="I329" s="87" t="s">
        <v>2091</v>
      </c>
      <c r="J329" s="141" t="s">
        <v>1226</v>
      </c>
      <c r="K329" s="87">
        <v>9</v>
      </c>
      <c r="L329" s="87">
        <v>9</v>
      </c>
      <c r="M329" s="87" t="s">
        <v>1226</v>
      </c>
      <c r="N329" s="87" t="s">
        <v>699</v>
      </c>
      <c r="O329" s="87" t="s">
        <v>1557</v>
      </c>
      <c r="P329" s="87" t="s">
        <v>2092</v>
      </c>
      <c r="Q329" s="87" t="s">
        <v>2093</v>
      </c>
      <c r="R329" s="87" t="s">
        <v>2094</v>
      </c>
      <c r="S329" s="87" t="s">
        <v>1201</v>
      </c>
      <c r="T329" s="60"/>
      <c r="U329" s="87" t="s">
        <v>1428</v>
      </c>
      <c r="V329" s="126" t="s">
        <v>339</v>
      </c>
      <c r="W329" s="127" t="s">
        <v>1083</v>
      </c>
      <c r="X329" s="108">
        <v>45842</v>
      </c>
      <c r="Y329" s="135">
        <v>45843</v>
      </c>
      <c r="Z329" s="87" t="s">
        <v>340</v>
      </c>
      <c r="AA329" s="166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  <c r="AL329" s="87"/>
      <c r="AM329" s="87"/>
      <c r="AN329" s="87"/>
      <c r="AO329" s="87"/>
      <c r="AP329" s="54"/>
      <c r="AQ329" s="54"/>
      <c r="AR329" s="54"/>
      <c r="AS329" s="87"/>
      <c r="AT329" s="87"/>
      <c r="AU329" s="87"/>
      <c r="AV329" s="87"/>
      <c r="AW329" s="87"/>
      <c r="AX329" s="87"/>
      <c r="AY329" s="87"/>
      <c r="AZ329" s="87"/>
      <c r="BA329" s="87"/>
      <c r="BB329" s="87"/>
      <c r="BC329" s="87"/>
      <c r="BD329" s="87"/>
      <c r="BE329" s="87"/>
      <c r="BF329" s="87"/>
      <c r="BG329" s="87"/>
      <c r="BH329" s="87"/>
      <c r="BI329" s="87"/>
      <c r="BJ329" s="87"/>
      <c r="BK329" s="87"/>
      <c r="BL329" s="87"/>
      <c r="BM329" s="87"/>
      <c r="BN329" s="87"/>
      <c r="BO329" s="87"/>
      <c r="BP329" s="87"/>
      <c r="BQ329" s="87"/>
      <c r="BR329" s="87"/>
      <c r="BS329" s="87"/>
      <c r="BT329" s="87"/>
      <c r="BU329" s="87"/>
      <c r="BV329" s="87"/>
      <c r="BW329" s="87"/>
      <c r="BX329" s="87"/>
      <c r="BY329" s="87"/>
      <c r="BZ329" s="87"/>
      <c r="CA329" s="87"/>
      <c r="CB329" s="87"/>
      <c r="CC329" s="87"/>
      <c r="CD329" s="87"/>
      <c r="CE329" s="87"/>
      <c r="CF329" s="87"/>
      <c r="CG329" s="87"/>
      <c r="CH329" s="87"/>
      <c r="CI329" s="87"/>
      <c r="CJ329" s="87"/>
      <c r="CK329" s="87"/>
      <c r="CL329" s="87"/>
      <c r="CM329" s="87"/>
      <c r="CN329" s="87"/>
      <c r="CO329" s="87"/>
      <c r="CP329" s="87"/>
      <c r="CQ329" s="87"/>
      <c r="CR329" s="87"/>
    </row>
    <row r="330" spans="1:96">
      <c r="A330" s="87"/>
      <c r="B330" s="135">
        <v>45750</v>
      </c>
      <c r="C330" s="127">
        <v>45842</v>
      </c>
      <c r="D330" s="87" t="s">
        <v>157</v>
      </c>
      <c r="E330" s="82" t="s">
        <v>219</v>
      </c>
      <c r="F330" s="82" t="s">
        <v>220</v>
      </c>
      <c r="G330" s="140" t="s">
        <v>2095</v>
      </c>
      <c r="H330" s="87" t="s">
        <v>2096</v>
      </c>
      <c r="I330" s="87" t="s">
        <v>2097</v>
      </c>
      <c r="J330" s="141" t="s">
        <v>1226</v>
      </c>
      <c r="K330" s="87">
        <v>3</v>
      </c>
      <c r="L330" s="87">
        <v>2.5</v>
      </c>
      <c r="M330" s="87" t="s">
        <v>2098</v>
      </c>
      <c r="N330" s="87" t="s">
        <v>1218</v>
      </c>
      <c r="O330" s="87" t="s">
        <v>1163</v>
      </c>
      <c r="P330" s="87" t="s">
        <v>770</v>
      </c>
      <c r="Q330" s="87" t="s">
        <v>456</v>
      </c>
      <c r="R330" s="87" t="s">
        <v>374</v>
      </c>
      <c r="S330" s="87" t="s">
        <v>1201</v>
      </c>
      <c r="T330" s="60"/>
      <c r="U330" s="87" t="s">
        <v>1561</v>
      </c>
      <c r="V330" s="126" t="s">
        <v>339</v>
      </c>
      <c r="W330" s="127" t="s">
        <v>164</v>
      </c>
      <c r="X330" s="108">
        <v>45842</v>
      </c>
      <c r="Y330" s="135">
        <v>45855</v>
      </c>
      <c r="Z330" s="87" t="s">
        <v>340</v>
      </c>
      <c r="AA330" s="167">
        <v>45861</v>
      </c>
      <c r="AB330" s="87" t="s">
        <v>340</v>
      </c>
      <c r="AC330" s="87"/>
      <c r="AD330" s="87"/>
      <c r="AE330" s="87"/>
      <c r="AF330" s="87"/>
      <c r="AG330" s="87"/>
      <c r="AH330" s="87"/>
      <c r="AI330" s="87"/>
      <c r="AJ330" s="87"/>
      <c r="AK330" s="87"/>
      <c r="AL330" s="87"/>
      <c r="AM330" s="87"/>
      <c r="AN330" s="87"/>
      <c r="AO330" s="87"/>
      <c r="AP330" s="54"/>
      <c r="AQ330" s="54"/>
      <c r="AR330" s="54"/>
      <c r="AS330" s="87"/>
      <c r="AT330" s="87"/>
      <c r="AU330" s="87"/>
      <c r="AV330" s="87"/>
      <c r="AW330" s="87"/>
      <c r="AX330" s="87"/>
      <c r="AY330" s="87"/>
      <c r="AZ330" s="87"/>
      <c r="BA330" s="87"/>
      <c r="BB330" s="87"/>
      <c r="BC330" s="87"/>
      <c r="BD330" s="87"/>
      <c r="BE330" s="87"/>
      <c r="BF330" s="87"/>
      <c r="BG330" s="87"/>
      <c r="BH330" s="87"/>
      <c r="BI330" s="87"/>
      <c r="BJ330" s="87"/>
      <c r="BK330" s="87"/>
      <c r="BL330" s="87"/>
      <c r="BM330" s="87"/>
      <c r="BN330" s="87"/>
      <c r="BO330" s="87"/>
      <c r="BP330" s="87"/>
      <c r="BQ330" s="87"/>
      <c r="BR330" s="87"/>
      <c r="BS330" s="87"/>
      <c r="BT330" s="87"/>
      <c r="BU330" s="87"/>
      <c r="BV330" s="87"/>
      <c r="BW330" s="87"/>
      <c r="BX330" s="87"/>
      <c r="BY330" s="87"/>
      <c r="BZ330" s="87"/>
      <c r="CA330" s="87"/>
      <c r="CB330" s="87"/>
      <c r="CC330" s="87"/>
      <c r="CD330" s="87"/>
      <c r="CE330" s="87"/>
      <c r="CF330" s="87"/>
      <c r="CG330" s="87"/>
      <c r="CH330" s="87"/>
      <c r="CI330" s="87"/>
      <c r="CJ330" s="87"/>
      <c r="CK330" s="87"/>
      <c r="CL330" s="87"/>
      <c r="CM330" s="87"/>
      <c r="CN330" s="87"/>
      <c r="CO330" s="87"/>
      <c r="CP330" s="87"/>
      <c r="CQ330" s="87"/>
      <c r="CR330" s="87"/>
    </row>
    <row r="331" spans="1:96">
      <c r="A331" s="126"/>
      <c r="B331" s="127">
        <v>45848</v>
      </c>
      <c r="C331" s="127">
        <v>45849</v>
      </c>
      <c r="D331" s="60" t="s">
        <v>171</v>
      </c>
      <c r="E331" s="82" t="s">
        <v>219</v>
      </c>
      <c r="F331" s="82" t="s">
        <v>220</v>
      </c>
      <c r="G331" s="132" t="s">
        <v>2099</v>
      </c>
      <c r="H331" s="132">
        <v>9370925745</v>
      </c>
      <c r="I331" s="133" t="s">
        <v>2100</v>
      </c>
      <c r="J331" s="132" t="s">
        <v>1226</v>
      </c>
      <c r="K331" s="132">
        <v>10.7</v>
      </c>
      <c r="L331" s="132">
        <v>10.7</v>
      </c>
      <c r="M331" s="132" t="s">
        <v>2035</v>
      </c>
      <c r="N331" s="132" t="s">
        <v>1970</v>
      </c>
      <c r="O331" s="129" t="s">
        <v>2101</v>
      </c>
      <c r="P331" s="132" t="s">
        <v>1271</v>
      </c>
      <c r="Q331" s="132" t="s">
        <v>208</v>
      </c>
      <c r="R331" s="129" t="s">
        <v>228</v>
      </c>
      <c r="S331" s="129" t="s">
        <v>2102</v>
      </c>
      <c r="T331" s="153"/>
      <c r="U331" s="126" t="s">
        <v>671</v>
      </c>
      <c r="V331" s="126" t="s">
        <v>2103</v>
      </c>
      <c r="W331" s="127" t="s">
        <v>164</v>
      </c>
      <c r="X331" s="127">
        <v>45853</v>
      </c>
      <c r="Y331" s="167">
        <v>45854</v>
      </c>
      <c r="Z331" s="127" t="s">
        <v>340</v>
      </c>
      <c r="AA331" s="129"/>
      <c r="AB331" s="129"/>
      <c r="AC331" s="129"/>
      <c r="AD331" s="129"/>
      <c r="AE331" s="129"/>
      <c r="AF331" s="129"/>
      <c r="AG331" s="129"/>
      <c r="AH331" s="129"/>
      <c r="AI331" s="129"/>
      <c r="AJ331" s="129"/>
      <c r="AK331" s="129"/>
      <c r="AL331" s="129"/>
      <c r="AM331" s="129"/>
      <c r="AN331" s="129"/>
      <c r="AO331" s="129"/>
      <c r="AP331" s="54"/>
      <c r="AQ331" s="54"/>
      <c r="AR331" s="54"/>
      <c r="AS331" s="129"/>
      <c r="AT331" s="129"/>
      <c r="AU331" s="129"/>
      <c r="AV331" s="129"/>
      <c r="AW331" s="126"/>
      <c r="AX331" s="127"/>
      <c r="AY331" s="127"/>
      <c r="AZ331" s="129"/>
      <c r="BA331" s="82"/>
      <c r="BB331" s="82"/>
      <c r="BC331" s="132"/>
      <c r="BD331" s="132"/>
      <c r="BE331" s="133"/>
      <c r="BF331" s="132"/>
      <c r="BG331" s="132"/>
      <c r="BH331" s="132"/>
      <c r="BI331" s="132"/>
      <c r="BJ331" s="132"/>
      <c r="BK331" s="129"/>
      <c r="BL331" s="132"/>
      <c r="BM331" s="132"/>
      <c r="BN331" s="129"/>
      <c r="BO331" s="129"/>
      <c r="BP331" s="153"/>
      <c r="BQ331" s="126"/>
      <c r="BR331" s="126"/>
      <c r="BS331" s="127"/>
      <c r="BT331" s="127"/>
      <c r="BU331" s="129"/>
      <c r="BV331" s="127"/>
      <c r="BW331" s="129"/>
      <c r="BX331" s="129"/>
      <c r="BY331" s="129"/>
      <c r="BZ331" s="129"/>
      <c r="CA331" s="129"/>
      <c r="CB331" s="129"/>
      <c r="CC331" s="129"/>
      <c r="CD331" s="129"/>
      <c r="CE331" s="129"/>
      <c r="CF331" s="129"/>
      <c r="CG331" s="129"/>
      <c r="CH331" s="129"/>
      <c r="CI331" s="129"/>
      <c r="CJ331" s="129"/>
      <c r="CK331" s="129"/>
      <c r="CL331" s="129"/>
      <c r="CM331" s="129"/>
      <c r="CN331" s="129"/>
      <c r="CO331" s="129"/>
      <c r="CP331" s="129"/>
      <c r="CQ331" s="129"/>
      <c r="CR331" s="129"/>
    </row>
    <row r="332" spans="1:96">
      <c r="A332" s="126"/>
      <c r="B332" s="127">
        <v>45848</v>
      </c>
      <c r="C332" s="127">
        <v>45849</v>
      </c>
      <c r="D332" s="60" t="s">
        <v>171</v>
      </c>
      <c r="E332" s="82" t="s">
        <v>219</v>
      </c>
      <c r="F332" s="82" t="s">
        <v>220</v>
      </c>
      <c r="G332" s="132" t="s">
        <v>2104</v>
      </c>
      <c r="H332" s="132">
        <v>8871425164</v>
      </c>
      <c r="I332" s="133" t="s">
        <v>2105</v>
      </c>
      <c r="J332" s="132" t="s">
        <v>1226</v>
      </c>
      <c r="K332" s="132">
        <v>5.5</v>
      </c>
      <c r="L332" s="132">
        <v>5.5</v>
      </c>
      <c r="M332" s="132" t="s">
        <v>1871</v>
      </c>
      <c r="N332" s="132" t="s">
        <v>425</v>
      </c>
      <c r="O332" s="129" t="s">
        <v>2106</v>
      </c>
      <c r="P332" s="132" t="s">
        <v>770</v>
      </c>
      <c r="Q332" s="132" t="s">
        <v>558</v>
      </c>
      <c r="R332" s="129" t="s">
        <v>1873</v>
      </c>
      <c r="S332" s="129" t="s">
        <v>1201</v>
      </c>
      <c r="T332" s="153"/>
      <c r="U332" s="126" t="s">
        <v>1175</v>
      </c>
      <c r="V332" s="126" t="s">
        <v>339</v>
      </c>
      <c r="W332" s="127" t="s">
        <v>164</v>
      </c>
      <c r="X332" s="127">
        <v>45853</v>
      </c>
      <c r="Y332" s="127">
        <v>45856</v>
      </c>
      <c r="Z332" s="127" t="s">
        <v>340</v>
      </c>
      <c r="AA332" s="129"/>
      <c r="AB332" s="129"/>
      <c r="AC332" s="129"/>
      <c r="AD332" s="129"/>
      <c r="AE332" s="129"/>
      <c r="AF332" s="129"/>
      <c r="AG332" s="129"/>
      <c r="AH332" s="129"/>
      <c r="AI332" s="129"/>
      <c r="AJ332" s="129"/>
      <c r="AK332" s="129"/>
      <c r="AL332" s="129"/>
      <c r="AM332" s="129"/>
      <c r="AN332" s="129"/>
      <c r="AO332" s="129"/>
      <c r="AP332" s="54"/>
      <c r="AQ332" s="54"/>
      <c r="AR332" s="54"/>
      <c r="AS332" s="129"/>
      <c r="AT332" s="129"/>
      <c r="AU332" s="129"/>
      <c r="AV332" s="129"/>
      <c r="AW332" s="126"/>
      <c r="AX332" s="127"/>
      <c r="AY332" s="127"/>
      <c r="AZ332" s="129"/>
      <c r="BA332" s="82"/>
      <c r="BB332" s="82"/>
      <c r="BC332" s="132"/>
      <c r="BD332" s="132"/>
      <c r="BE332" s="133"/>
      <c r="BF332" s="132"/>
      <c r="BG332" s="132"/>
      <c r="BH332" s="132"/>
      <c r="BI332" s="132"/>
      <c r="BJ332" s="132"/>
      <c r="BK332" s="129"/>
      <c r="BL332" s="132"/>
      <c r="BM332" s="132"/>
      <c r="BN332" s="129"/>
      <c r="BO332" s="129"/>
      <c r="BP332" s="153"/>
      <c r="BQ332" s="126"/>
      <c r="BR332" s="126"/>
      <c r="BS332" s="127"/>
      <c r="BT332" s="127"/>
      <c r="BU332" s="129"/>
      <c r="BV332" s="127"/>
      <c r="BW332" s="129"/>
      <c r="BX332" s="129"/>
      <c r="BY332" s="129"/>
      <c r="BZ332" s="129"/>
      <c r="CA332" s="129"/>
      <c r="CB332" s="129"/>
      <c r="CC332" s="129"/>
      <c r="CD332" s="129"/>
      <c r="CE332" s="129"/>
      <c r="CF332" s="129"/>
      <c r="CG332" s="129"/>
      <c r="CH332" s="129"/>
      <c r="CI332" s="129"/>
      <c r="CJ332" s="129"/>
      <c r="CK332" s="129"/>
      <c r="CL332" s="129"/>
      <c r="CM332" s="129"/>
      <c r="CN332" s="129"/>
      <c r="CO332" s="129"/>
      <c r="CP332" s="129"/>
      <c r="CQ332" s="129"/>
      <c r="CR332" s="129"/>
    </row>
    <row r="333" spans="1:96">
      <c r="A333" s="126"/>
      <c r="B333" s="127">
        <v>45848</v>
      </c>
      <c r="C333" s="127">
        <v>45849</v>
      </c>
      <c r="D333" s="60" t="s">
        <v>171</v>
      </c>
      <c r="E333" s="82" t="s">
        <v>219</v>
      </c>
      <c r="F333" s="82" t="s">
        <v>220</v>
      </c>
      <c r="G333" s="132" t="s">
        <v>2107</v>
      </c>
      <c r="H333" s="132">
        <v>8708442502</v>
      </c>
      <c r="I333" s="133" t="s">
        <v>2108</v>
      </c>
      <c r="J333" s="132" t="s">
        <v>1226</v>
      </c>
      <c r="K333" s="132">
        <v>8.5</v>
      </c>
      <c r="L333" s="132">
        <v>8.5</v>
      </c>
      <c r="M333" s="132" t="s">
        <v>2109</v>
      </c>
      <c r="N333" s="132" t="s">
        <v>425</v>
      </c>
      <c r="O333" s="129" t="s">
        <v>557</v>
      </c>
      <c r="P333" s="132" t="s">
        <v>770</v>
      </c>
      <c r="Q333" s="132" t="s">
        <v>402</v>
      </c>
      <c r="R333" s="129" t="s">
        <v>2110</v>
      </c>
      <c r="S333" s="129" t="s">
        <v>1201</v>
      </c>
      <c r="T333" s="153"/>
      <c r="U333" s="126" t="s">
        <v>1175</v>
      </c>
      <c r="V333" s="126" t="s">
        <v>2111</v>
      </c>
      <c r="W333" s="127" t="s">
        <v>741</v>
      </c>
      <c r="X333" s="127">
        <v>45853</v>
      </c>
      <c r="Y333" s="127" t="s">
        <v>2112</v>
      </c>
      <c r="Z333" s="127" t="s">
        <v>2112</v>
      </c>
      <c r="AA333" s="129"/>
      <c r="AB333" s="129"/>
      <c r="AC333" s="129"/>
      <c r="AD333" s="129"/>
      <c r="AE333" s="129"/>
      <c r="AF333" s="129"/>
      <c r="AG333" s="129"/>
      <c r="AH333" s="129"/>
      <c r="AI333" s="129"/>
      <c r="AJ333" s="129"/>
      <c r="AK333" s="129"/>
      <c r="AL333" s="129"/>
      <c r="AM333" s="129"/>
      <c r="AN333" s="129"/>
      <c r="AO333" s="129"/>
      <c r="AP333" s="54"/>
      <c r="AQ333" s="54"/>
      <c r="AR333" s="54"/>
      <c r="AS333" s="129"/>
      <c r="AT333" s="129"/>
      <c r="AU333" s="129"/>
      <c r="AV333" s="129"/>
      <c r="AW333" s="126"/>
      <c r="AX333" s="127"/>
      <c r="AY333" s="127"/>
      <c r="AZ333" s="129"/>
      <c r="BA333" s="82"/>
      <c r="BB333" s="82"/>
      <c r="BC333" s="132"/>
      <c r="BD333" s="132"/>
      <c r="BE333" s="133"/>
      <c r="BF333" s="132"/>
      <c r="BG333" s="132"/>
      <c r="BH333" s="132"/>
      <c r="BI333" s="132"/>
      <c r="BJ333" s="132"/>
      <c r="BK333" s="129"/>
      <c r="BL333" s="132"/>
      <c r="BM333" s="132"/>
      <c r="BN333" s="129"/>
      <c r="BO333" s="129"/>
      <c r="BP333" s="153"/>
      <c r="BQ333" s="126"/>
      <c r="BR333" s="126"/>
      <c r="BS333" s="127"/>
      <c r="BT333" s="127"/>
      <c r="BU333" s="129"/>
      <c r="BV333" s="127"/>
      <c r="BW333" s="129"/>
      <c r="BX333" s="129"/>
      <c r="BY333" s="129"/>
      <c r="BZ333" s="129"/>
      <c r="CA333" s="129"/>
      <c r="CB333" s="129"/>
      <c r="CC333" s="129"/>
      <c r="CD333" s="129"/>
      <c r="CE333" s="129"/>
      <c r="CF333" s="129"/>
      <c r="CG333" s="129"/>
      <c r="CH333" s="129"/>
      <c r="CI333" s="129"/>
      <c r="CJ333" s="129"/>
      <c r="CK333" s="129"/>
      <c r="CL333" s="129"/>
      <c r="CM333" s="129"/>
      <c r="CN333" s="129"/>
      <c r="CO333" s="129"/>
      <c r="CP333" s="129"/>
      <c r="CQ333" s="129"/>
      <c r="CR333" s="129"/>
    </row>
    <row r="334" spans="1:96">
      <c r="A334" s="126"/>
      <c r="B334" s="127">
        <v>45848</v>
      </c>
      <c r="C334" s="127">
        <v>45849</v>
      </c>
      <c r="D334" s="60" t="s">
        <v>171</v>
      </c>
      <c r="E334" s="82" t="s">
        <v>219</v>
      </c>
      <c r="F334" s="82" t="s">
        <v>220</v>
      </c>
      <c r="G334" s="132" t="s">
        <v>2113</v>
      </c>
      <c r="H334" s="132">
        <v>6291017870</v>
      </c>
      <c r="I334" s="133" t="s">
        <v>2114</v>
      </c>
      <c r="J334" s="132" t="s">
        <v>1226</v>
      </c>
      <c r="K334" s="132">
        <v>7</v>
      </c>
      <c r="L334" s="132">
        <v>7</v>
      </c>
      <c r="M334" s="132" t="s">
        <v>2115</v>
      </c>
      <c r="N334" s="132" t="s">
        <v>425</v>
      </c>
      <c r="O334" s="129" t="s">
        <v>2116</v>
      </c>
      <c r="P334" s="132" t="s">
        <v>770</v>
      </c>
      <c r="Q334" s="132" t="s">
        <v>402</v>
      </c>
      <c r="R334" s="129" t="s">
        <v>2117</v>
      </c>
      <c r="S334" s="129" t="s">
        <v>1201</v>
      </c>
      <c r="T334" s="153"/>
      <c r="U334" s="126" t="s">
        <v>1175</v>
      </c>
      <c r="V334" s="126" t="s">
        <v>291</v>
      </c>
      <c r="W334" s="127"/>
      <c r="X334" s="127">
        <v>45853</v>
      </c>
      <c r="Y334" s="167"/>
      <c r="Z334" s="127"/>
      <c r="AA334" s="129"/>
      <c r="AB334" s="129"/>
      <c r="AC334" s="129"/>
      <c r="AD334" s="129"/>
      <c r="AE334" s="129"/>
      <c r="AF334" s="129"/>
      <c r="AG334" s="129"/>
      <c r="AH334" s="129"/>
      <c r="AI334" s="129"/>
      <c r="AJ334" s="129"/>
      <c r="AK334" s="129"/>
      <c r="AL334" s="129"/>
      <c r="AM334" s="129"/>
      <c r="AN334" s="129"/>
      <c r="AO334" s="129"/>
      <c r="AP334" s="54"/>
      <c r="AQ334" s="54"/>
      <c r="AR334" s="54"/>
      <c r="AS334" s="129"/>
      <c r="AT334" s="129"/>
      <c r="AU334" s="129"/>
      <c r="AV334" s="129"/>
      <c r="AW334" s="126"/>
      <c r="AX334" s="127"/>
      <c r="AY334" s="127"/>
      <c r="AZ334" s="129"/>
      <c r="BA334" s="82"/>
      <c r="BB334" s="82"/>
      <c r="BC334" s="132"/>
      <c r="BD334" s="132"/>
      <c r="BE334" s="133"/>
      <c r="BF334" s="132"/>
      <c r="BG334" s="132"/>
      <c r="BH334" s="132"/>
      <c r="BI334" s="132"/>
      <c r="BJ334" s="132"/>
      <c r="BK334" s="129"/>
      <c r="BL334" s="132"/>
      <c r="BM334" s="132"/>
      <c r="BN334" s="129"/>
      <c r="BO334" s="129"/>
      <c r="BP334" s="153"/>
      <c r="BQ334" s="126"/>
      <c r="BR334" s="126"/>
      <c r="BS334" s="127"/>
      <c r="BT334" s="127"/>
      <c r="BU334" s="129"/>
      <c r="BV334" s="127"/>
      <c r="BW334" s="129"/>
      <c r="BX334" s="129"/>
      <c r="BY334" s="129"/>
      <c r="BZ334" s="129"/>
      <c r="CA334" s="129"/>
      <c r="CB334" s="129"/>
      <c r="CC334" s="129"/>
      <c r="CD334" s="129"/>
      <c r="CE334" s="129"/>
      <c r="CF334" s="129"/>
      <c r="CG334" s="129"/>
      <c r="CH334" s="129"/>
      <c r="CI334" s="129"/>
      <c r="CJ334" s="129"/>
      <c r="CK334" s="129"/>
      <c r="CL334" s="129"/>
      <c r="CM334" s="129"/>
      <c r="CN334" s="129"/>
      <c r="CO334" s="129"/>
      <c r="CP334" s="129"/>
      <c r="CQ334" s="129"/>
      <c r="CR334" s="129"/>
    </row>
    <row r="335" spans="1:96">
      <c r="A335" s="126"/>
      <c r="B335" s="127">
        <v>45848</v>
      </c>
      <c r="C335" s="127">
        <v>45849</v>
      </c>
      <c r="D335" s="60" t="s">
        <v>171</v>
      </c>
      <c r="E335" s="82" t="s">
        <v>219</v>
      </c>
      <c r="F335" s="82" t="s">
        <v>220</v>
      </c>
      <c r="G335" s="132" t="s">
        <v>2118</v>
      </c>
      <c r="H335" s="132">
        <v>7741805171</v>
      </c>
      <c r="I335" s="133" t="s">
        <v>2119</v>
      </c>
      <c r="J335" s="132" t="s">
        <v>1226</v>
      </c>
      <c r="K335" s="132">
        <v>10</v>
      </c>
      <c r="L335" s="132">
        <v>10</v>
      </c>
      <c r="M335" s="132" t="s">
        <v>2120</v>
      </c>
      <c r="N335" s="132" t="s">
        <v>425</v>
      </c>
      <c r="O335" s="129" t="s">
        <v>617</v>
      </c>
      <c r="P335" s="132" t="s">
        <v>2121</v>
      </c>
      <c r="Q335" s="132" t="s">
        <v>2122</v>
      </c>
      <c r="R335" s="129" t="s">
        <v>42</v>
      </c>
      <c r="S335" s="129" t="s">
        <v>1201</v>
      </c>
      <c r="T335" s="153"/>
      <c r="U335" s="126" t="s">
        <v>1175</v>
      </c>
      <c r="V335" s="126" t="s">
        <v>291</v>
      </c>
      <c r="W335" s="127"/>
      <c r="X335" s="127">
        <v>45853</v>
      </c>
      <c r="Y335" s="167"/>
      <c r="Z335" s="127"/>
      <c r="AA335" s="129"/>
      <c r="AB335" s="129"/>
      <c r="AC335" s="129"/>
      <c r="AD335" s="129"/>
      <c r="AE335" s="129"/>
      <c r="AF335" s="129"/>
      <c r="AG335" s="129"/>
      <c r="AH335" s="129"/>
      <c r="AI335" s="129"/>
      <c r="AJ335" s="129"/>
      <c r="AK335" s="129"/>
      <c r="AL335" s="129"/>
      <c r="AM335" s="129"/>
      <c r="AN335" s="129"/>
      <c r="AO335" s="129"/>
      <c r="AP335" s="54"/>
      <c r="AQ335" s="54"/>
      <c r="AR335" s="54"/>
      <c r="AS335" s="129"/>
      <c r="AT335" s="129"/>
      <c r="AU335" s="129"/>
      <c r="AV335" s="129"/>
      <c r="AW335" s="126"/>
      <c r="AX335" s="127"/>
      <c r="AY335" s="127"/>
      <c r="AZ335" s="129"/>
      <c r="BA335" s="82"/>
      <c r="BB335" s="82"/>
      <c r="BC335" s="132"/>
      <c r="BD335" s="132"/>
      <c r="BE335" s="133"/>
      <c r="BF335" s="132"/>
      <c r="BG335" s="132"/>
      <c r="BH335" s="132"/>
      <c r="BI335" s="132"/>
      <c r="BJ335" s="132"/>
      <c r="BK335" s="129"/>
      <c r="BL335" s="132"/>
      <c r="BM335" s="132"/>
      <c r="BN335" s="129"/>
      <c r="BO335" s="129"/>
      <c r="BP335" s="153"/>
      <c r="BQ335" s="126"/>
      <c r="BR335" s="126"/>
      <c r="BS335" s="127"/>
      <c r="BT335" s="127"/>
      <c r="BU335" s="129"/>
      <c r="BV335" s="127"/>
      <c r="BW335" s="129"/>
      <c r="BX335" s="129"/>
      <c r="BY335" s="129"/>
      <c r="BZ335" s="129"/>
      <c r="CA335" s="129"/>
      <c r="CB335" s="129"/>
      <c r="CC335" s="129"/>
      <c r="CD335" s="129"/>
      <c r="CE335" s="129"/>
      <c r="CF335" s="129"/>
      <c r="CG335" s="129"/>
      <c r="CH335" s="129"/>
      <c r="CI335" s="129"/>
      <c r="CJ335" s="129"/>
      <c r="CK335" s="129"/>
      <c r="CL335" s="129"/>
      <c r="CM335" s="129"/>
      <c r="CN335" s="129"/>
      <c r="CO335" s="129"/>
      <c r="CP335" s="129"/>
      <c r="CQ335" s="129"/>
      <c r="CR335" s="129"/>
    </row>
    <row r="336" spans="1:96">
      <c r="A336" s="126"/>
      <c r="B336" s="127">
        <v>45848</v>
      </c>
      <c r="C336" s="127">
        <v>45849</v>
      </c>
      <c r="D336" s="60" t="s">
        <v>171</v>
      </c>
      <c r="E336" s="82" t="s">
        <v>219</v>
      </c>
      <c r="F336" s="82" t="s">
        <v>220</v>
      </c>
      <c r="G336" s="132" t="s">
        <v>2123</v>
      </c>
      <c r="H336" s="132">
        <v>7217589163</v>
      </c>
      <c r="I336" s="133" t="s">
        <v>2124</v>
      </c>
      <c r="J336" s="132" t="s">
        <v>1226</v>
      </c>
      <c r="K336" s="132">
        <v>7.9</v>
      </c>
      <c r="L336" s="132">
        <v>7.9</v>
      </c>
      <c r="M336" s="132" t="s">
        <v>1871</v>
      </c>
      <c r="N336" s="132" t="s">
        <v>425</v>
      </c>
      <c r="O336" s="129" t="s">
        <v>2125</v>
      </c>
      <c r="P336" s="132" t="s">
        <v>770</v>
      </c>
      <c r="Q336" s="132" t="s">
        <v>402</v>
      </c>
      <c r="R336" s="129" t="s">
        <v>1873</v>
      </c>
      <c r="S336" s="129" t="s">
        <v>1201</v>
      </c>
      <c r="T336" s="153"/>
      <c r="U336" s="126" t="s">
        <v>1175</v>
      </c>
      <c r="V336" s="126" t="s">
        <v>231</v>
      </c>
      <c r="W336" s="127"/>
      <c r="X336" s="127">
        <v>45853</v>
      </c>
      <c r="Y336" s="167">
        <v>45854</v>
      </c>
      <c r="Z336" s="127" t="s">
        <v>232</v>
      </c>
      <c r="AA336" s="129"/>
      <c r="AB336" s="129"/>
      <c r="AC336" s="129"/>
      <c r="AD336" s="129"/>
      <c r="AE336" s="129"/>
      <c r="AF336" s="129"/>
      <c r="AG336" s="129"/>
      <c r="AH336" s="129"/>
      <c r="AI336" s="129"/>
      <c r="AJ336" s="129"/>
      <c r="AK336" s="129"/>
      <c r="AL336" s="129"/>
      <c r="AM336" s="129"/>
      <c r="AN336" s="129"/>
      <c r="AO336" s="129"/>
      <c r="AP336" s="54"/>
      <c r="AQ336" s="54"/>
      <c r="AR336" s="54"/>
      <c r="AS336" s="129"/>
      <c r="AT336" s="129"/>
      <c r="AU336" s="129"/>
      <c r="AV336" s="129"/>
      <c r="AW336" s="126"/>
      <c r="AX336" s="127"/>
      <c r="AY336" s="127"/>
      <c r="AZ336" s="129"/>
      <c r="BA336" s="82"/>
      <c r="BB336" s="82"/>
      <c r="BC336" s="132"/>
      <c r="BD336" s="132"/>
      <c r="BE336" s="133"/>
      <c r="BF336" s="132"/>
      <c r="BG336" s="132"/>
      <c r="BH336" s="132"/>
      <c r="BI336" s="132"/>
      <c r="BJ336" s="132"/>
      <c r="BK336" s="129"/>
      <c r="BL336" s="132"/>
      <c r="BM336" s="132"/>
      <c r="BN336" s="129"/>
      <c r="BO336" s="129"/>
      <c r="BP336" s="153"/>
      <c r="BQ336" s="126"/>
      <c r="BR336" s="126"/>
      <c r="BS336" s="127"/>
      <c r="BT336" s="127"/>
      <c r="BU336" s="129"/>
      <c r="BV336" s="127"/>
      <c r="BW336" s="129"/>
      <c r="BX336" s="129"/>
      <c r="BY336" s="129"/>
      <c r="BZ336" s="129"/>
      <c r="CA336" s="129"/>
      <c r="CB336" s="129"/>
      <c r="CC336" s="129"/>
      <c r="CD336" s="129"/>
      <c r="CE336" s="129"/>
      <c r="CF336" s="129"/>
      <c r="CG336" s="129"/>
      <c r="CH336" s="129"/>
      <c r="CI336" s="129"/>
      <c r="CJ336" s="129"/>
      <c r="CK336" s="129"/>
      <c r="CL336" s="129"/>
      <c r="CM336" s="129"/>
      <c r="CN336" s="129"/>
      <c r="CO336" s="129"/>
      <c r="CP336" s="129"/>
      <c r="CQ336" s="129"/>
      <c r="CR336" s="129"/>
    </row>
    <row r="337" spans="1:96">
      <c r="A337" s="126"/>
      <c r="B337" s="127">
        <v>45848</v>
      </c>
      <c r="C337" s="127">
        <v>45849</v>
      </c>
      <c r="D337" s="60" t="s">
        <v>182</v>
      </c>
      <c r="E337" s="82" t="s">
        <v>219</v>
      </c>
      <c r="F337" s="82" t="s">
        <v>220</v>
      </c>
      <c r="G337" s="132" t="s">
        <v>2126</v>
      </c>
      <c r="H337" s="132">
        <v>8517891023</v>
      </c>
      <c r="I337" s="133" t="s">
        <v>2127</v>
      </c>
      <c r="J337" s="132" t="s">
        <v>1226</v>
      </c>
      <c r="K337" s="132">
        <v>12</v>
      </c>
      <c r="L337" s="132">
        <v>12</v>
      </c>
      <c r="M337" s="132" t="s">
        <v>2128</v>
      </c>
      <c r="N337" s="132" t="s">
        <v>425</v>
      </c>
      <c r="O337" s="129" t="s">
        <v>1527</v>
      </c>
      <c r="P337" s="132" t="s">
        <v>2129</v>
      </c>
      <c r="Q337" s="132" t="s">
        <v>2130</v>
      </c>
      <c r="R337" s="129" t="s">
        <v>2131</v>
      </c>
      <c r="S337" s="129" t="s">
        <v>1201</v>
      </c>
      <c r="T337" s="153"/>
      <c r="U337" s="126" t="s">
        <v>1175</v>
      </c>
      <c r="V337" s="126" t="s">
        <v>291</v>
      </c>
      <c r="W337" s="127"/>
      <c r="X337" s="127">
        <v>45853</v>
      </c>
      <c r="Y337" s="167"/>
      <c r="Z337" s="127"/>
      <c r="AA337" s="129"/>
      <c r="AB337" s="129"/>
      <c r="AC337" s="129"/>
      <c r="AD337" s="129"/>
      <c r="AE337" s="129"/>
      <c r="AF337" s="129"/>
      <c r="AG337" s="129"/>
      <c r="AH337" s="129"/>
      <c r="AI337" s="129"/>
      <c r="AJ337" s="129"/>
      <c r="AK337" s="129"/>
      <c r="AL337" s="129"/>
      <c r="AM337" s="129"/>
      <c r="AN337" s="129"/>
      <c r="AO337" s="129"/>
      <c r="AP337" s="54"/>
      <c r="AQ337" s="54"/>
      <c r="AR337" s="54"/>
      <c r="AS337" s="129"/>
      <c r="AT337" s="129"/>
      <c r="AU337" s="129"/>
      <c r="AV337" s="129"/>
      <c r="AW337" s="126"/>
      <c r="AX337" s="127"/>
      <c r="AY337" s="127"/>
      <c r="AZ337" s="129"/>
      <c r="BA337" s="82"/>
      <c r="BB337" s="82"/>
      <c r="BC337" s="132"/>
      <c r="BD337" s="132"/>
      <c r="BE337" s="133"/>
      <c r="BF337" s="132"/>
      <c r="BG337" s="132"/>
      <c r="BH337" s="132"/>
      <c r="BI337" s="132"/>
      <c r="BJ337" s="132"/>
      <c r="BK337" s="129"/>
      <c r="BL337" s="132"/>
      <c r="BM337" s="132"/>
      <c r="BN337" s="129"/>
      <c r="BO337" s="129"/>
      <c r="BP337" s="153"/>
      <c r="BQ337" s="126"/>
      <c r="BR337" s="126"/>
      <c r="BS337" s="127"/>
      <c r="BT337" s="127"/>
      <c r="BU337" s="129"/>
      <c r="BV337" s="127"/>
      <c r="BW337" s="129"/>
      <c r="BX337" s="129"/>
      <c r="BY337" s="129"/>
      <c r="BZ337" s="129"/>
      <c r="CA337" s="129"/>
      <c r="CB337" s="129"/>
      <c r="CC337" s="129"/>
      <c r="CD337" s="129"/>
      <c r="CE337" s="129"/>
      <c r="CF337" s="129"/>
      <c r="CG337" s="129"/>
      <c r="CH337" s="129"/>
      <c r="CI337" s="129"/>
      <c r="CJ337" s="129"/>
      <c r="CK337" s="129"/>
      <c r="CL337" s="129"/>
      <c r="CM337" s="129"/>
      <c r="CN337" s="129"/>
      <c r="CO337" s="129"/>
      <c r="CP337" s="129"/>
      <c r="CQ337" s="129"/>
      <c r="CR337" s="129"/>
    </row>
    <row r="338" spans="1:96">
      <c r="A338" s="126"/>
      <c r="B338" s="127">
        <v>45848</v>
      </c>
      <c r="C338" s="127">
        <v>45849</v>
      </c>
      <c r="D338" s="60" t="s">
        <v>182</v>
      </c>
      <c r="E338" s="82" t="s">
        <v>219</v>
      </c>
      <c r="F338" s="82" t="s">
        <v>220</v>
      </c>
      <c r="G338" s="132" t="s">
        <v>2132</v>
      </c>
      <c r="H338" s="132">
        <v>7507742024</v>
      </c>
      <c r="I338" s="133" t="s">
        <v>2133</v>
      </c>
      <c r="J338" s="132" t="s">
        <v>1226</v>
      </c>
      <c r="K338" s="132">
        <v>9</v>
      </c>
      <c r="L338" s="132">
        <v>9</v>
      </c>
      <c r="M338" s="132" t="s">
        <v>2134</v>
      </c>
      <c r="N338" s="132" t="s">
        <v>2135</v>
      </c>
      <c r="O338" s="129" t="s">
        <v>389</v>
      </c>
      <c r="P338" s="132" t="s">
        <v>770</v>
      </c>
      <c r="Q338" s="132" t="s">
        <v>558</v>
      </c>
      <c r="R338" s="129" t="s">
        <v>228</v>
      </c>
      <c r="S338" s="129" t="s">
        <v>1201</v>
      </c>
      <c r="T338" s="153"/>
      <c r="U338" s="126" t="s">
        <v>1175</v>
      </c>
      <c r="V338" s="126" t="s">
        <v>291</v>
      </c>
      <c r="W338" s="127"/>
      <c r="X338" s="127">
        <v>45853</v>
      </c>
      <c r="Y338" s="167"/>
      <c r="Z338" s="127"/>
      <c r="AA338" s="129"/>
      <c r="AB338" s="129"/>
      <c r="AC338" s="129"/>
      <c r="AD338" s="129"/>
      <c r="AE338" s="129"/>
      <c r="AF338" s="129"/>
      <c r="AG338" s="129"/>
      <c r="AH338" s="129"/>
      <c r="AI338" s="129"/>
      <c r="AJ338" s="129"/>
      <c r="AK338" s="129"/>
      <c r="AL338" s="129"/>
      <c r="AM338" s="129"/>
      <c r="AN338" s="129"/>
      <c r="AO338" s="129"/>
      <c r="AP338" s="54"/>
      <c r="AQ338" s="54"/>
      <c r="AR338" s="54"/>
      <c r="AS338" s="129"/>
      <c r="AT338" s="129"/>
      <c r="AU338" s="129"/>
      <c r="AV338" s="129"/>
      <c r="AW338" s="126"/>
      <c r="AX338" s="127"/>
      <c r="AY338" s="127"/>
      <c r="AZ338" s="129"/>
      <c r="BA338" s="82"/>
      <c r="BB338" s="82"/>
      <c r="BC338" s="132"/>
      <c r="BD338" s="132"/>
      <c r="BE338" s="133"/>
      <c r="BF338" s="132"/>
      <c r="BG338" s="132"/>
      <c r="BH338" s="132"/>
      <c r="BI338" s="132"/>
      <c r="BJ338" s="132"/>
      <c r="BK338" s="129"/>
      <c r="BL338" s="132"/>
      <c r="BM338" s="132"/>
      <c r="BN338" s="129"/>
      <c r="BO338" s="129"/>
      <c r="BP338" s="153"/>
      <c r="BQ338" s="126"/>
      <c r="BR338" s="126"/>
      <c r="BS338" s="127"/>
      <c r="BT338" s="127"/>
      <c r="BU338" s="129"/>
      <c r="BV338" s="127"/>
      <c r="BW338" s="129"/>
      <c r="BX338" s="129"/>
      <c r="BY338" s="129"/>
      <c r="BZ338" s="129"/>
      <c r="CA338" s="129"/>
      <c r="CB338" s="129"/>
      <c r="CC338" s="129"/>
      <c r="CD338" s="129"/>
      <c r="CE338" s="129"/>
      <c r="CF338" s="129"/>
      <c r="CG338" s="129"/>
      <c r="CH338" s="129"/>
      <c r="CI338" s="129"/>
      <c r="CJ338" s="129"/>
      <c r="CK338" s="129"/>
      <c r="CL338" s="129"/>
      <c r="CM338" s="129"/>
      <c r="CN338" s="129"/>
      <c r="CO338" s="129"/>
      <c r="CP338" s="129"/>
      <c r="CQ338" s="129"/>
      <c r="CR338" s="129"/>
    </row>
    <row r="339" spans="1:96">
      <c r="A339" s="126"/>
      <c r="B339" s="127">
        <v>45848</v>
      </c>
      <c r="C339" s="127">
        <v>45849</v>
      </c>
      <c r="D339" s="60" t="s">
        <v>182</v>
      </c>
      <c r="E339" s="82" t="s">
        <v>219</v>
      </c>
      <c r="F339" s="82" t="s">
        <v>220</v>
      </c>
      <c r="G339" s="132" t="s">
        <v>2136</v>
      </c>
      <c r="H339" s="132">
        <v>8871106750</v>
      </c>
      <c r="I339" s="133" t="s">
        <v>2137</v>
      </c>
      <c r="J339" s="132" t="s">
        <v>1226</v>
      </c>
      <c r="K339" s="132">
        <v>9.8000000000000007</v>
      </c>
      <c r="L339" s="132">
        <v>9.8000000000000007</v>
      </c>
      <c r="M339" s="132" t="s">
        <v>2138</v>
      </c>
      <c r="N339" s="132" t="s">
        <v>2139</v>
      </c>
      <c r="O339" s="129" t="s">
        <v>105</v>
      </c>
      <c r="P339" s="132" t="s">
        <v>106</v>
      </c>
      <c r="Q339" s="132" t="s">
        <v>402</v>
      </c>
      <c r="R339" s="129" t="s">
        <v>299</v>
      </c>
      <c r="S339" s="129" t="s">
        <v>1201</v>
      </c>
      <c r="T339" s="153"/>
      <c r="U339" s="126" t="s">
        <v>1175</v>
      </c>
      <c r="V339" s="126" t="s">
        <v>2103</v>
      </c>
      <c r="W339" s="127" t="s">
        <v>164</v>
      </c>
      <c r="X339" s="127">
        <v>45853</v>
      </c>
      <c r="Y339" s="167">
        <v>45854</v>
      </c>
      <c r="Z339" s="127" t="s">
        <v>340</v>
      </c>
      <c r="AA339" s="129"/>
      <c r="AB339" s="129"/>
      <c r="AC339" s="129"/>
      <c r="AD339" s="129"/>
      <c r="AE339" s="129"/>
      <c r="AF339" s="129"/>
      <c r="AG339" s="129"/>
      <c r="AH339" s="129"/>
      <c r="AI339" s="129"/>
      <c r="AJ339" s="129"/>
      <c r="AK339" s="129"/>
      <c r="AL339" s="129"/>
      <c r="AM339" s="129"/>
      <c r="AN339" s="129"/>
      <c r="AO339" s="129"/>
      <c r="AP339" s="54"/>
      <c r="AQ339" s="54"/>
      <c r="AR339" s="54"/>
      <c r="AS339" s="129"/>
      <c r="AT339" s="129"/>
      <c r="AU339" s="129"/>
      <c r="AV339" s="129"/>
      <c r="AW339" s="126"/>
      <c r="AX339" s="127"/>
      <c r="AY339" s="127"/>
      <c r="AZ339" s="129"/>
      <c r="BA339" s="82"/>
      <c r="BB339" s="82"/>
      <c r="BC339" s="132"/>
      <c r="BD339" s="132"/>
      <c r="BE339" s="133"/>
      <c r="BF339" s="132"/>
      <c r="BG339" s="132"/>
      <c r="BH339" s="132"/>
      <c r="BI339" s="132"/>
      <c r="BJ339" s="132"/>
      <c r="BK339" s="129"/>
      <c r="BL339" s="132"/>
      <c r="BM339" s="132"/>
      <c r="BN339" s="129"/>
      <c r="BO339" s="129"/>
      <c r="BP339" s="153"/>
      <c r="BQ339" s="126"/>
      <c r="BR339" s="126"/>
      <c r="BS339" s="127"/>
      <c r="BT339" s="127"/>
      <c r="BU339" s="129"/>
      <c r="BV339" s="127"/>
      <c r="BW339" s="129"/>
      <c r="BX339" s="129"/>
      <c r="BY339" s="129"/>
      <c r="BZ339" s="129"/>
      <c r="CA339" s="129"/>
      <c r="CB339" s="129"/>
      <c r="CC339" s="129"/>
      <c r="CD339" s="129"/>
      <c r="CE339" s="129"/>
      <c r="CF339" s="129"/>
      <c r="CG339" s="129"/>
      <c r="CH339" s="129"/>
      <c r="CI339" s="129"/>
      <c r="CJ339" s="129"/>
      <c r="CK339" s="129"/>
      <c r="CL339" s="129"/>
      <c r="CM339" s="129"/>
      <c r="CN339" s="129"/>
      <c r="CO339" s="129"/>
      <c r="CP339" s="129"/>
      <c r="CQ339" s="129"/>
      <c r="CR339" s="129"/>
    </row>
    <row r="340" spans="1:96">
      <c r="A340" s="126"/>
      <c r="B340" s="127">
        <v>45848</v>
      </c>
      <c r="C340" s="127">
        <v>45849</v>
      </c>
      <c r="D340" s="60" t="s">
        <v>182</v>
      </c>
      <c r="E340" s="82" t="s">
        <v>219</v>
      </c>
      <c r="F340" s="82" t="s">
        <v>220</v>
      </c>
      <c r="G340" s="132" t="s">
        <v>1398</v>
      </c>
      <c r="H340" s="132">
        <v>9754753045</v>
      </c>
      <c r="I340" s="133" t="s">
        <v>1399</v>
      </c>
      <c r="J340" s="132" t="s">
        <v>1226</v>
      </c>
      <c r="K340" s="132">
        <v>8</v>
      </c>
      <c r="L340" s="132">
        <v>8</v>
      </c>
      <c r="M340" s="132" t="s">
        <v>622</v>
      </c>
      <c r="N340" s="132" t="s">
        <v>756</v>
      </c>
      <c r="O340" s="129" t="s">
        <v>49</v>
      </c>
      <c r="P340" s="132" t="s">
        <v>770</v>
      </c>
      <c r="Q340" s="132" t="s">
        <v>558</v>
      </c>
      <c r="R340" s="129" t="s">
        <v>828</v>
      </c>
      <c r="S340" s="129" t="s">
        <v>1201</v>
      </c>
      <c r="T340" s="153"/>
      <c r="U340" s="126" t="s">
        <v>1175</v>
      </c>
      <c r="V340" s="126" t="s">
        <v>231</v>
      </c>
      <c r="W340" s="127"/>
      <c r="X340" s="127">
        <v>45853</v>
      </c>
      <c r="Y340" s="167">
        <v>45855</v>
      </c>
      <c r="Z340" s="127" t="s">
        <v>232</v>
      </c>
      <c r="AA340" s="129"/>
      <c r="AB340" s="129"/>
      <c r="AC340" s="129"/>
      <c r="AD340" s="129"/>
      <c r="AE340" s="129"/>
      <c r="AF340" s="129"/>
      <c r="AG340" s="129"/>
      <c r="AH340" s="129"/>
      <c r="AI340" s="129"/>
      <c r="AJ340" s="129"/>
      <c r="AK340" s="129"/>
      <c r="AL340" s="129"/>
      <c r="AM340" s="129"/>
      <c r="AN340" s="129"/>
      <c r="AO340" s="129"/>
      <c r="AP340" s="54"/>
      <c r="AQ340" s="54"/>
      <c r="AR340" s="54"/>
      <c r="AS340" s="129"/>
      <c r="AT340" s="129"/>
      <c r="AU340" s="129"/>
      <c r="AV340" s="129"/>
      <c r="AW340" s="126"/>
      <c r="AX340" s="127"/>
      <c r="AY340" s="127"/>
      <c r="AZ340" s="129"/>
      <c r="BA340" s="82"/>
      <c r="BB340" s="82"/>
      <c r="BC340" s="132"/>
      <c r="BD340" s="132"/>
      <c r="BE340" s="133"/>
      <c r="BF340" s="132"/>
      <c r="BG340" s="132"/>
      <c r="BH340" s="132"/>
      <c r="BI340" s="132"/>
      <c r="BJ340" s="132"/>
      <c r="BK340" s="129"/>
      <c r="BL340" s="132"/>
      <c r="BM340" s="132"/>
      <c r="BN340" s="129"/>
      <c r="BO340" s="129"/>
      <c r="BP340" s="153"/>
      <c r="BQ340" s="126"/>
      <c r="BR340" s="126"/>
      <c r="BS340" s="127"/>
      <c r="BT340" s="127"/>
      <c r="BU340" s="129"/>
      <c r="BV340" s="127"/>
      <c r="BW340" s="129"/>
      <c r="BX340" s="129"/>
      <c r="BY340" s="129"/>
      <c r="BZ340" s="129"/>
      <c r="CA340" s="129"/>
      <c r="CB340" s="129"/>
      <c r="CC340" s="129"/>
      <c r="CD340" s="129"/>
      <c r="CE340" s="129"/>
      <c r="CF340" s="129"/>
      <c r="CG340" s="129"/>
      <c r="CH340" s="129"/>
      <c r="CI340" s="129"/>
      <c r="CJ340" s="129"/>
      <c r="CK340" s="129"/>
      <c r="CL340" s="129"/>
      <c r="CM340" s="129"/>
      <c r="CN340" s="129"/>
      <c r="CO340" s="129"/>
      <c r="CP340" s="129"/>
      <c r="CQ340" s="129"/>
      <c r="CR340" s="129"/>
    </row>
    <row r="341" spans="1:96" ht="16">
      <c r="A341" s="126"/>
      <c r="B341" s="127">
        <v>45848</v>
      </c>
      <c r="C341" s="127">
        <v>45849</v>
      </c>
      <c r="D341" s="60" t="s">
        <v>182</v>
      </c>
      <c r="E341" s="82" t="s">
        <v>219</v>
      </c>
      <c r="F341" s="82" t="s">
        <v>220</v>
      </c>
      <c r="G341" s="132" t="s">
        <v>2140</v>
      </c>
      <c r="H341" s="236"/>
      <c r="I341" s="133" t="s">
        <v>2141</v>
      </c>
      <c r="J341" s="132" t="s">
        <v>1226</v>
      </c>
      <c r="K341" s="132">
        <v>10</v>
      </c>
      <c r="L341" s="132">
        <v>10</v>
      </c>
      <c r="M341" s="132" t="s">
        <v>1144</v>
      </c>
      <c r="N341" s="132" t="s">
        <v>1970</v>
      </c>
      <c r="O341" s="129" t="s">
        <v>1163</v>
      </c>
      <c r="P341" s="132">
        <v>0.3</v>
      </c>
      <c r="Q341" s="132" t="s">
        <v>208</v>
      </c>
      <c r="R341" s="129" t="s">
        <v>228</v>
      </c>
      <c r="S341" s="129" t="s">
        <v>2102</v>
      </c>
      <c r="T341" s="153"/>
      <c r="U341" s="126" t="s">
        <v>671</v>
      </c>
      <c r="V341" s="126" t="s">
        <v>231</v>
      </c>
      <c r="W341" s="127"/>
      <c r="X341" s="127">
        <v>45853</v>
      </c>
      <c r="Y341" s="167">
        <v>45854</v>
      </c>
      <c r="Z341" s="127" t="s">
        <v>232</v>
      </c>
      <c r="AA341" s="129"/>
      <c r="AB341" s="129"/>
      <c r="AC341" s="129"/>
      <c r="AD341" s="129"/>
      <c r="AE341" s="129"/>
      <c r="AF341" s="129"/>
      <c r="AG341" s="129"/>
      <c r="AH341" s="129"/>
      <c r="AI341" s="129"/>
      <c r="AJ341" s="129"/>
      <c r="AK341" s="129"/>
      <c r="AL341" s="129"/>
      <c r="AM341" s="129"/>
      <c r="AN341" s="129"/>
      <c r="AO341" s="129"/>
      <c r="AP341" s="54"/>
      <c r="AQ341" s="54"/>
      <c r="AR341" s="54"/>
      <c r="AS341" s="129"/>
      <c r="AT341" s="129"/>
      <c r="AU341" s="129"/>
      <c r="AV341" s="129"/>
      <c r="AW341" s="126"/>
      <c r="AX341" s="127"/>
      <c r="AY341" s="127"/>
      <c r="AZ341" s="129"/>
      <c r="BA341" s="82"/>
      <c r="BB341" s="82"/>
      <c r="BC341" s="132"/>
      <c r="BD341" s="132"/>
      <c r="BE341" s="133"/>
      <c r="BF341" s="132"/>
      <c r="BG341" s="132"/>
      <c r="BH341" s="132"/>
      <c r="BI341" s="132"/>
      <c r="BJ341" s="132"/>
      <c r="BK341" s="129"/>
      <c r="BL341" s="132"/>
      <c r="BM341" s="132"/>
      <c r="BN341" s="129"/>
      <c r="BO341" s="129"/>
      <c r="BP341" s="153"/>
      <c r="BQ341" s="126"/>
      <c r="BR341" s="126"/>
      <c r="BS341" s="127"/>
      <c r="BT341" s="127"/>
      <c r="BU341" s="129"/>
      <c r="BV341" s="127"/>
      <c r="BW341" s="129"/>
      <c r="BX341" s="129"/>
      <c r="BY341" s="129"/>
      <c r="BZ341" s="129"/>
      <c r="CA341" s="129"/>
      <c r="CB341" s="129"/>
      <c r="CC341" s="129"/>
      <c r="CD341" s="129"/>
      <c r="CE341" s="129"/>
      <c r="CF341" s="129"/>
      <c r="CG341" s="129"/>
      <c r="CH341" s="129"/>
      <c r="CI341" s="129"/>
      <c r="CJ341" s="129"/>
      <c r="CK341" s="129"/>
      <c r="CL341" s="129"/>
      <c r="CM341" s="129"/>
      <c r="CN341" s="129"/>
      <c r="CO341" s="129"/>
      <c r="CP341" s="129"/>
      <c r="CQ341" s="129"/>
      <c r="CR341" s="129"/>
    </row>
    <row r="342" spans="1:96">
      <c r="A342" s="126"/>
      <c r="B342" s="127">
        <v>45848</v>
      </c>
      <c r="C342" s="127">
        <v>45849</v>
      </c>
      <c r="D342" s="60" t="s">
        <v>150</v>
      </c>
      <c r="E342" s="82" t="s">
        <v>219</v>
      </c>
      <c r="F342" s="82" t="s">
        <v>220</v>
      </c>
      <c r="G342" s="132" t="s">
        <v>2142</v>
      </c>
      <c r="H342" s="132">
        <v>7087980995</v>
      </c>
      <c r="I342" s="133" t="s">
        <v>2143</v>
      </c>
      <c r="J342" s="132" t="s">
        <v>1226</v>
      </c>
      <c r="K342" s="132">
        <v>2.1</v>
      </c>
      <c r="L342" s="132">
        <v>2.1</v>
      </c>
      <c r="M342" s="132" t="s">
        <v>1940</v>
      </c>
      <c r="N342" s="132" t="s">
        <v>425</v>
      </c>
      <c r="O342" s="129" t="s">
        <v>2144</v>
      </c>
      <c r="P342" s="132" t="s">
        <v>154</v>
      </c>
      <c r="Q342" s="132" t="s">
        <v>2145</v>
      </c>
      <c r="R342" s="129" t="s">
        <v>2146</v>
      </c>
      <c r="S342" s="129" t="s">
        <v>1201</v>
      </c>
      <c r="T342" s="153"/>
      <c r="U342" s="126" t="s">
        <v>2147</v>
      </c>
      <c r="V342" s="126" t="s">
        <v>231</v>
      </c>
      <c r="W342" s="127"/>
      <c r="X342" s="127">
        <v>45853</v>
      </c>
      <c r="Y342" s="167">
        <v>45826</v>
      </c>
      <c r="Z342" s="127" t="s">
        <v>232</v>
      </c>
      <c r="AA342" s="129"/>
      <c r="AB342" s="129"/>
      <c r="AC342" s="129"/>
      <c r="AD342" s="129"/>
      <c r="AE342" s="129"/>
      <c r="AF342" s="129"/>
      <c r="AG342" s="129"/>
      <c r="AH342" s="129"/>
      <c r="AI342" s="129"/>
      <c r="AJ342" s="129"/>
      <c r="AK342" s="129"/>
      <c r="AL342" s="129"/>
      <c r="AM342" s="129"/>
      <c r="AN342" s="129"/>
      <c r="AO342" s="129"/>
      <c r="AP342" s="54"/>
      <c r="AQ342" s="54"/>
      <c r="AR342" s="54"/>
      <c r="AS342" s="129"/>
      <c r="AT342" s="129"/>
      <c r="AU342" s="129"/>
      <c r="AV342" s="129"/>
      <c r="AW342" s="126"/>
      <c r="AX342" s="127"/>
      <c r="AY342" s="127"/>
      <c r="AZ342" s="129"/>
      <c r="BA342" s="82"/>
      <c r="BB342" s="82"/>
      <c r="BC342" s="132"/>
      <c r="BD342" s="132"/>
      <c r="BE342" s="133"/>
      <c r="BF342" s="132"/>
      <c r="BG342" s="132"/>
      <c r="BH342" s="132"/>
      <c r="BI342" s="132"/>
      <c r="BJ342" s="132"/>
      <c r="BK342" s="129"/>
      <c r="BL342" s="132"/>
      <c r="BM342" s="132"/>
      <c r="BN342" s="129"/>
      <c r="BO342" s="129"/>
      <c r="BP342" s="153"/>
      <c r="BQ342" s="126"/>
      <c r="BR342" s="126"/>
      <c r="BS342" s="127"/>
      <c r="BT342" s="127"/>
      <c r="BU342" s="129"/>
      <c r="BV342" s="127"/>
      <c r="BW342" s="129"/>
      <c r="BX342" s="129"/>
      <c r="BY342" s="129"/>
      <c r="BZ342" s="129"/>
      <c r="CA342" s="129"/>
      <c r="CB342" s="129"/>
      <c r="CC342" s="129"/>
      <c r="CD342" s="129"/>
      <c r="CE342" s="129"/>
      <c r="CF342" s="129"/>
      <c r="CG342" s="129"/>
      <c r="CH342" s="129"/>
      <c r="CI342" s="129"/>
      <c r="CJ342" s="129"/>
      <c r="CK342" s="129"/>
      <c r="CL342" s="129"/>
      <c r="CM342" s="129"/>
      <c r="CN342" s="129"/>
      <c r="CO342" s="129"/>
      <c r="CP342" s="129"/>
      <c r="CQ342" s="129"/>
      <c r="CR342" s="129"/>
    </row>
    <row r="343" spans="1:96">
      <c r="A343" s="126"/>
      <c r="B343" s="127">
        <v>45848</v>
      </c>
      <c r="C343" s="127">
        <v>45849</v>
      </c>
      <c r="D343" s="60" t="s">
        <v>150</v>
      </c>
      <c r="E343" s="82" t="s">
        <v>219</v>
      </c>
      <c r="F343" s="82" t="s">
        <v>220</v>
      </c>
      <c r="G343" s="132" t="s">
        <v>2148</v>
      </c>
      <c r="H343" s="132">
        <v>9108342102</v>
      </c>
      <c r="I343" s="133" t="s">
        <v>2149</v>
      </c>
      <c r="J343" s="132" t="s">
        <v>1226</v>
      </c>
      <c r="K343" s="132">
        <v>1.9</v>
      </c>
      <c r="L343" s="132">
        <v>1.9</v>
      </c>
      <c r="M343" s="132" t="s">
        <v>2150</v>
      </c>
      <c r="N343" s="132" t="s">
        <v>534</v>
      </c>
      <c r="O343" s="129" t="s">
        <v>2151</v>
      </c>
      <c r="P343" s="132" t="s">
        <v>2152</v>
      </c>
      <c r="Q343" s="132" t="s">
        <v>2153</v>
      </c>
      <c r="R343" s="129" t="s">
        <v>2154</v>
      </c>
      <c r="S343" s="129" t="s">
        <v>1201</v>
      </c>
      <c r="T343" s="153"/>
      <c r="U343" s="126" t="s">
        <v>2147</v>
      </c>
      <c r="V343" s="126" t="s">
        <v>291</v>
      </c>
      <c r="W343" s="127"/>
      <c r="X343" s="127">
        <v>45853</v>
      </c>
      <c r="Y343" s="167"/>
      <c r="Z343" s="127"/>
      <c r="AA343" s="129"/>
      <c r="AB343" s="129"/>
      <c r="AC343" s="129"/>
      <c r="AD343" s="129"/>
      <c r="AE343" s="129"/>
      <c r="AF343" s="129"/>
      <c r="AG343" s="129"/>
      <c r="AH343" s="129"/>
      <c r="AI343" s="129"/>
      <c r="AJ343" s="129"/>
      <c r="AK343" s="129"/>
      <c r="AL343" s="129"/>
      <c r="AM343" s="129"/>
      <c r="AN343" s="129"/>
      <c r="AO343" s="129"/>
      <c r="AP343" s="54"/>
      <c r="AQ343" s="54"/>
      <c r="AR343" s="54"/>
      <c r="AS343" s="129"/>
      <c r="AT343" s="129"/>
      <c r="AU343" s="129"/>
      <c r="AV343" s="129"/>
      <c r="AW343" s="126"/>
      <c r="AX343" s="127"/>
      <c r="AY343" s="127"/>
      <c r="AZ343" s="129"/>
      <c r="BA343" s="82"/>
      <c r="BB343" s="82"/>
      <c r="BC343" s="132"/>
      <c r="BD343" s="132"/>
      <c r="BE343" s="133"/>
      <c r="BF343" s="132"/>
      <c r="BG343" s="132"/>
      <c r="BH343" s="132"/>
      <c r="BI343" s="132"/>
      <c r="BJ343" s="132"/>
      <c r="BK343" s="129"/>
      <c r="BL343" s="132"/>
      <c r="BM343" s="132"/>
      <c r="BN343" s="129"/>
      <c r="BO343" s="129"/>
      <c r="BP343" s="153"/>
      <c r="BQ343" s="126"/>
      <c r="BR343" s="126"/>
      <c r="BS343" s="127"/>
      <c r="BT343" s="127"/>
      <c r="BU343" s="129"/>
      <c r="BV343" s="127"/>
      <c r="BW343" s="129"/>
      <c r="BX343" s="129"/>
      <c r="BY343" s="129"/>
      <c r="BZ343" s="129"/>
      <c r="CA343" s="129"/>
      <c r="CB343" s="129"/>
      <c r="CC343" s="129"/>
      <c r="CD343" s="129"/>
      <c r="CE343" s="129"/>
      <c r="CF343" s="129"/>
      <c r="CG343" s="129"/>
      <c r="CH343" s="129"/>
      <c r="CI343" s="129"/>
      <c r="CJ343" s="129"/>
      <c r="CK343" s="129"/>
      <c r="CL343" s="129"/>
      <c r="CM343" s="129"/>
      <c r="CN343" s="129"/>
      <c r="CO343" s="129"/>
      <c r="CP343" s="129"/>
      <c r="CQ343" s="129"/>
      <c r="CR343" s="129"/>
    </row>
    <row r="344" spans="1:96">
      <c r="A344" s="126"/>
      <c r="B344" s="127">
        <v>45848</v>
      </c>
      <c r="C344" s="127">
        <v>45849</v>
      </c>
      <c r="D344" s="60" t="s">
        <v>150</v>
      </c>
      <c r="E344" s="82" t="s">
        <v>219</v>
      </c>
      <c r="F344" s="82" t="s">
        <v>220</v>
      </c>
      <c r="G344" s="132" t="s">
        <v>2155</v>
      </c>
      <c r="H344" s="132">
        <v>7988228494</v>
      </c>
      <c r="I344" s="133" t="s">
        <v>2156</v>
      </c>
      <c r="J344" s="132" t="s">
        <v>1226</v>
      </c>
      <c r="K344" s="132">
        <v>3.6</v>
      </c>
      <c r="L344" s="132">
        <v>3.6</v>
      </c>
      <c r="M344" s="132" t="s">
        <v>2157</v>
      </c>
      <c r="N344" s="132" t="s">
        <v>425</v>
      </c>
      <c r="O344" s="129" t="s">
        <v>2158</v>
      </c>
      <c r="P344" s="132" t="s">
        <v>2159</v>
      </c>
      <c r="Q344" s="132" t="s">
        <v>2160</v>
      </c>
      <c r="R344" s="129" t="s">
        <v>228</v>
      </c>
      <c r="S344" s="129" t="s">
        <v>1201</v>
      </c>
      <c r="T344" s="153"/>
      <c r="U344" s="126" t="s">
        <v>2147</v>
      </c>
      <c r="V344" s="126" t="s">
        <v>291</v>
      </c>
      <c r="W344" s="127"/>
      <c r="X344" s="127">
        <v>45853</v>
      </c>
      <c r="Y344" s="167"/>
      <c r="Z344" s="127"/>
      <c r="AA344" s="129"/>
      <c r="AB344" s="129"/>
      <c r="AC344" s="129"/>
      <c r="AD344" s="129"/>
      <c r="AE344" s="129"/>
      <c r="AF344" s="129"/>
      <c r="AG344" s="129"/>
      <c r="AH344" s="129"/>
      <c r="AI344" s="129"/>
      <c r="AJ344" s="129"/>
      <c r="AK344" s="129"/>
      <c r="AL344" s="129"/>
      <c r="AM344" s="129"/>
      <c r="AN344" s="129"/>
      <c r="AO344" s="129"/>
      <c r="AP344" s="54"/>
      <c r="AQ344" s="54"/>
      <c r="AR344" s="54"/>
      <c r="AS344" s="129"/>
      <c r="AT344" s="129"/>
      <c r="AU344" s="129"/>
      <c r="AV344" s="129"/>
      <c r="AW344" s="126"/>
      <c r="AX344" s="127"/>
      <c r="AY344" s="127"/>
      <c r="AZ344" s="129"/>
      <c r="BA344" s="82"/>
      <c r="BB344" s="82"/>
      <c r="BC344" s="132"/>
      <c r="BD344" s="132"/>
      <c r="BE344" s="133"/>
      <c r="BF344" s="132"/>
      <c r="BG344" s="132"/>
      <c r="BH344" s="132"/>
      <c r="BI344" s="132"/>
      <c r="BJ344" s="132"/>
      <c r="BK344" s="129"/>
      <c r="BL344" s="132"/>
      <c r="BM344" s="132"/>
      <c r="BN344" s="129"/>
      <c r="BO344" s="129"/>
      <c r="BP344" s="153"/>
      <c r="BQ344" s="126"/>
      <c r="BR344" s="126"/>
      <c r="BS344" s="127"/>
      <c r="BT344" s="127"/>
      <c r="BU344" s="129"/>
      <c r="BV344" s="127"/>
      <c r="BW344" s="129"/>
      <c r="BX344" s="129"/>
      <c r="BY344" s="129"/>
      <c r="BZ344" s="129"/>
      <c r="CA344" s="129"/>
      <c r="CB344" s="129"/>
      <c r="CC344" s="129"/>
      <c r="CD344" s="129"/>
      <c r="CE344" s="129"/>
      <c r="CF344" s="129"/>
      <c r="CG344" s="129"/>
      <c r="CH344" s="129"/>
      <c r="CI344" s="129"/>
      <c r="CJ344" s="129"/>
      <c r="CK344" s="129"/>
      <c r="CL344" s="129"/>
      <c r="CM344" s="129"/>
      <c r="CN344" s="129"/>
      <c r="CO344" s="129"/>
      <c r="CP344" s="129"/>
      <c r="CQ344" s="129"/>
      <c r="CR344" s="129"/>
    </row>
    <row r="345" spans="1:96">
      <c r="A345" s="126"/>
      <c r="B345" s="127">
        <v>45848</v>
      </c>
      <c r="C345" s="127">
        <v>45849</v>
      </c>
      <c r="D345" s="60" t="s">
        <v>150</v>
      </c>
      <c r="E345" s="82" t="s">
        <v>219</v>
      </c>
      <c r="F345" s="82" t="s">
        <v>220</v>
      </c>
      <c r="G345" s="132" t="s">
        <v>2161</v>
      </c>
      <c r="H345" s="132" t="s">
        <v>2162</v>
      </c>
      <c r="I345" s="133" t="s">
        <v>2163</v>
      </c>
      <c r="J345" s="132" t="s">
        <v>1226</v>
      </c>
      <c r="K345" s="132">
        <v>2.11</v>
      </c>
      <c r="L345" s="132">
        <v>2.11</v>
      </c>
      <c r="M345" s="132" t="s">
        <v>2164</v>
      </c>
      <c r="N345" s="132" t="s">
        <v>1218</v>
      </c>
      <c r="O345" s="129" t="s">
        <v>2165</v>
      </c>
      <c r="P345" s="132" t="s">
        <v>2166</v>
      </c>
      <c r="Q345" s="132" t="s">
        <v>2167</v>
      </c>
      <c r="R345" s="129" t="s">
        <v>228</v>
      </c>
      <c r="S345" s="129" t="s">
        <v>1201</v>
      </c>
      <c r="T345" s="153"/>
      <c r="U345" s="126" t="s">
        <v>2147</v>
      </c>
      <c r="V345" s="127" t="s">
        <v>239</v>
      </c>
      <c r="W345" s="127" t="s">
        <v>741</v>
      </c>
      <c r="X345" s="127">
        <v>45853</v>
      </c>
      <c r="Y345" s="127"/>
      <c r="Z345" s="127"/>
      <c r="AA345" s="129"/>
      <c r="AB345" s="129"/>
      <c r="AC345" s="129"/>
      <c r="AD345" s="129"/>
      <c r="AE345" s="129"/>
      <c r="AF345" s="129"/>
      <c r="AG345" s="129"/>
      <c r="AH345" s="129"/>
      <c r="AI345" s="129"/>
      <c r="AJ345" s="129"/>
      <c r="AK345" s="129"/>
      <c r="AL345" s="129"/>
      <c r="AM345" s="129"/>
      <c r="AN345" s="129"/>
      <c r="AO345" s="129"/>
      <c r="AP345" s="54"/>
      <c r="AQ345" s="54"/>
      <c r="AR345" s="54"/>
      <c r="AS345" s="129"/>
      <c r="AT345" s="129"/>
      <c r="AU345" s="129"/>
      <c r="AV345" s="129"/>
      <c r="AW345" s="126"/>
      <c r="AX345" s="127"/>
      <c r="AY345" s="127"/>
      <c r="AZ345" s="129"/>
      <c r="BA345" s="82"/>
      <c r="BB345" s="82"/>
      <c r="BC345" s="132"/>
      <c r="BD345" s="132"/>
      <c r="BE345" s="133"/>
      <c r="BF345" s="132"/>
      <c r="BG345" s="132"/>
      <c r="BH345" s="132"/>
      <c r="BI345" s="132"/>
      <c r="BJ345" s="132"/>
      <c r="BK345" s="129"/>
      <c r="BL345" s="132"/>
      <c r="BM345" s="132"/>
      <c r="BN345" s="129"/>
      <c r="BO345" s="129"/>
      <c r="BP345" s="153"/>
      <c r="BQ345" s="126"/>
      <c r="BR345" s="126"/>
      <c r="BS345" s="127"/>
      <c r="BT345" s="127"/>
      <c r="BU345" s="129"/>
      <c r="BV345" s="127"/>
      <c r="BW345" s="129"/>
      <c r="BX345" s="129"/>
      <c r="BY345" s="129"/>
      <c r="BZ345" s="129"/>
      <c r="CA345" s="129"/>
      <c r="CB345" s="129"/>
      <c r="CC345" s="129"/>
      <c r="CD345" s="129"/>
      <c r="CE345" s="129"/>
      <c r="CF345" s="129"/>
      <c r="CG345" s="129"/>
      <c r="CH345" s="129"/>
      <c r="CI345" s="129"/>
      <c r="CJ345" s="129"/>
      <c r="CK345" s="129"/>
      <c r="CL345" s="129"/>
      <c r="CM345" s="129"/>
      <c r="CN345" s="129"/>
      <c r="CO345" s="129"/>
      <c r="CP345" s="129"/>
      <c r="CQ345" s="129"/>
      <c r="CR345" s="129"/>
    </row>
    <row r="346" spans="1:96">
      <c r="A346" s="126"/>
      <c r="B346" s="127">
        <v>45848</v>
      </c>
      <c r="C346" s="127">
        <v>45849</v>
      </c>
      <c r="D346" s="60" t="s">
        <v>163</v>
      </c>
      <c r="E346" s="82" t="s">
        <v>219</v>
      </c>
      <c r="F346" s="82" t="s">
        <v>220</v>
      </c>
      <c r="G346" s="132" t="s">
        <v>2168</v>
      </c>
      <c r="H346" s="132">
        <v>7205138032</v>
      </c>
      <c r="I346" s="133" t="s">
        <v>2169</v>
      </c>
      <c r="J346" s="132" t="s">
        <v>1226</v>
      </c>
      <c r="K346" s="132">
        <v>8</v>
      </c>
      <c r="L346" s="132">
        <v>8</v>
      </c>
      <c r="M346" s="132" t="s">
        <v>2170</v>
      </c>
      <c r="N346" s="132" t="s">
        <v>425</v>
      </c>
      <c r="O346" s="129" t="s">
        <v>2171</v>
      </c>
      <c r="P346" s="132" t="s">
        <v>1851</v>
      </c>
      <c r="Q346" s="132" t="s">
        <v>2172</v>
      </c>
      <c r="R346" s="129" t="s">
        <v>664</v>
      </c>
      <c r="S346" s="129" t="s">
        <v>1201</v>
      </c>
      <c r="T346" s="153"/>
      <c r="U346" s="126" t="s">
        <v>2147</v>
      </c>
      <c r="V346" s="126" t="s">
        <v>2103</v>
      </c>
      <c r="W346" s="127" t="s">
        <v>164</v>
      </c>
      <c r="X346" s="127">
        <v>45853</v>
      </c>
      <c r="Y346" s="167">
        <v>45854</v>
      </c>
      <c r="Z346" s="127" t="s">
        <v>340</v>
      </c>
      <c r="AA346" s="129"/>
      <c r="AB346" s="129"/>
      <c r="AC346" s="129"/>
      <c r="AD346" s="129"/>
      <c r="AE346" s="129"/>
      <c r="AF346" s="129"/>
      <c r="AG346" s="129"/>
      <c r="AH346" s="129"/>
      <c r="AI346" s="129"/>
      <c r="AJ346" s="129"/>
      <c r="AK346" s="129"/>
      <c r="AL346" s="129"/>
      <c r="AM346" s="129"/>
      <c r="AN346" s="129"/>
      <c r="AO346" s="129"/>
      <c r="AP346" s="54"/>
      <c r="AQ346" s="54"/>
      <c r="AR346" s="54"/>
      <c r="AS346" s="129"/>
      <c r="AT346" s="129"/>
      <c r="AU346" s="129"/>
      <c r="AV346" s="129"/>
      <c r="AW346" s="126"/>
      <c r="AX346" s="127"/>
      <c r="AY346" s="127"/>
      <c r="AZ346" s="129"/>
      <c r="BA346" s="82"/>
      <c r="BB346" s="82"/>
      <c r="BC346" s="132"/>
      <c r="BD346" s="132"/>
      <c r="BE346" s="133"/>
      <c r="BF346" s="132"/>
      <c r="BG346" s="132"/>
      <c r="BH346" s="132"/>
      <c r="BI346" s="132"/>
      <c r="BJ346" s="132"/>
      <c r="BK346" s="129"/>
      <c r="BL346" s="132"/>
      <c r="BM346" s="132"/>
      <c r="BN346" s="129"/>
      <c r="BO346" s="129"/>
      <c r="BP346" s="153"/>
      <c r="BQ346" s="126"/>
      <c r="BR346" s="126"/>
      <c r="BS346" s="127"/>
      <c r="BT346" s="127"/>
      <c r="BU346" s="129"/>
      <c r="BV346" s="127"/>
      <c r="BW346" s="129"/>
      <c r="BX346" s="129"/>
      <c r="BY346" s="129"/>
      <c r="BZ346" s="129"/>
      <c r="CA346" s="129"/>
      <c r="CB346" s="129"/>
      <c r="CC346" s="129"/>
      <c r="CD346" s="129"/>
      <c r="CE346" s="129"/>
      <c r="CF346" s="129"/>
      <c r="CG346" s="129"/>
      <c r="CH346" s="129"/>
      <c r="CI346" s="129"/>
      <c r="CJ346" s="129"/>
      <c r="CK346" s="129"/>
      <c r="CL346" s="129"/>
      <c r="CM346" s="129"/>
      <c r="CN346" s="129"/>
      <c r="CO346" s="129"/>
      <c r="CP346" s="129"/>
      <c r="CQ346" s="129"/>
      <c r="CR346" s="129"/>
    </row>
    <row r="347" spans="1:96">
      <c r="A347" s="126"/>
      <c r="B347" s="127">
        <v>45848</v>
      </c>
      <c r="C347" s="127">
        <v>45849</v>
      </c>
      <c r="D347" s="60" t="s">
        <v>163</v>
      </c>
      <c r="E347" s="82" t="s">
        <v>219</v>
      </c>
      <c r="F347" s="82" t="s">
        <v>220</v>
      </c>
      <c r="G347" s="132" t="s">
        <v>2173</v>
      </c>
      <c r="H347" s="132">
        <v>9630901144</v>
      </c>
      <c r="I347" s="133" t="s">
        <v>2174</v>
      </c>
      <c r="J347" s="132" t="s">
        <v>1226</v>
      </c>
      <c r="K347" s="132">
        <v>10</v>
      </c>
      <c r="L347" s="132">
        <v>10</v>
      </c>
      <c r="M347" s="132" t="s">
        <v>2175</v>
      </c>
      <c r="N347" s="132" t="s">
        <v>1579</v>
      </c>
      <c r="O347" s="129" t="s">
        <v>1472</v>
      </c>
      <c r="P347" s="132" t="s">
        <v>2176</v>
      </c>
      <c r="Q347" s="132" t="s">
        <v>2177</v>
      </c>
      <c r="R347" s="129" t="s">
        <v>631</v>
      </c>
      <c r="S347" s="129" t="s">
        <v>1201</v>
      </c>
      <c r="T347" s="153"/>
      <c r="U347" s="126" t="s">
        <v>2147</v>
      </c>
      <c r="V347" s="126" t="s">
        <v>2178</v>
      </c>
      <c r="W347" s="127"/>
      <c r="X347" s="127">
        <v>45853</v>
      </c>
      <c r="Y347" s="167"/>
      <c r="Z347" s="127"/>
      <c r="AA347" s="129"/>
      <c r="AB347" s="129"/>
      <c r="AC347" s="129"/>
      <c r="AD347" s="129"/>
      <c r="AE347" s="129"/>
      <c r="AF347" s="129"/>
      <c r="AG347" s="129"/>
      <c r="AH347" s="129"/>
      <c r="AI347" s="129"/>
      <c r="AJ347" s="129"/>
      <c r="AK347" s="129"/>
      <c r="AL347" s="129"/>
      <c r="AM347" s="129"/>
      <c r="AN347" s="129"/>
      <c r="AO347" s="129"/>
      <c r="AP347" s="54"/>
      <c r="AQ347" s="54"/>
      <c r="AR347" s="54"/>
      <c r="AS347" s="129"/>
      <c r="AT347" s="129"/>
      <c r="AU347" s="129"/>
      <c r="AV347" s="129"/>
      <c r="AW347" s="126"/>
      <c r="AX347" s="127"/>
      <c r="AY347" s="127"/>
      <c r="AZ347" s="129"/>
      <c r="BA347" s="82"/>
      <c r="BB347" s="82"/>
      <c r="BC347" s="132"/>
      <c r="BD347" s="132"/>
      <c r="BE347" s="133"/>
      <c r="BF347" s="132"/>
      <c r="BG347" s="132"/>
      <c r="BH347" s="132"/>
      <c r="BI347" s="132"/>
      <c r="BJ347" s="132"/>
      <c r="BK347" s="129"/>
      <c r="BL347" s="132"/>
      <c r="BM347" s="132"/>
      <c r="BN347" s="129"/>
      <c r="BO347" s="129"/>
      <c r="BP347" s="153"/>
      <c r="BQ347" s="126"/>
      <c r="BR347" s="126"/>
      <c r="BS347" s="127"/>
      <c r="BT347" s="127"/>
      <c r="BU347" s="129"/>
      <c r="BV347" s="127"/>
      <c r="BW347" s="129"/>
      <c r="BX347" s="129"/>
      <c r="BY347" s="129"/>
      <c r="BZ347" s="129"/>
      <c r="CA347" s="129"/>
      <c r="CB347" s="129"/>
      <c r="CC347" s="129"/>
      <c r="CD347" s="129"/>
      <c r="CE347" s="129"/>
      <c r="CF347" s="129"/>
      <c r="CG347" s="129"/>
      <c r="CH347" s="129"/>
      <c r="CI347" s="129"/>
      <c r="CJ347" s="129"/>
      <c r="CK347" s="129"/>
      <c r="CL347" s="129"/>
      <c r="CM347" s="129"/>
      <c r="CN347" s="129"/>
      <c r="CO347" s="129"/>
      <c r="CP347" s="129"/>
      <c r="CQ347" s="129"/>
      <c r="CR347" s="129"/>
    </row>
    <row r="348" spans="1:96">
      <c r="A348" s="126"/>
      <c r="B348" s="127">
        <v>45848</v>
      </c>
      <c r="C348" s="127">
        <v>45849</v>
      </c>
      <c r="D348" s="60" t="s">
        <v>163</v>
      </c>
      <c r="E348" s="82" t="s">
        <v>219</v>
      </c>
      <c r="F348" s="82" t="s">
        <v>220</v>
      </c>
      <c r="G348" s="132" t="s">
        <v>2179</v>
      </c>
      <c r="H348" s="132" t="s">
        <v>2180</v>
      </c>
      <c r="I348" s="133" t="s">
        <v>2181</v>
      </c>
      <c r="J348" s="132" t="s">
        <v>1226</v>
      </c>
      <c r="K348" s="132">
        <v>8</v>
      </c>
      <c r="L348" s="132">
        <v>8</v>
      </c>
      <c r="M348" s="132" t="s">
        <v>2182</v>
      </c>
      <c r="N348" s="132" t="s">
        <v>2183</v>
      </c>
      <c r="O348" s="129" t="s">
        <v>1472</v>
      </c>
      <c r="P348" s="132" t="s">
        <v>121</v>
      </c>
      <c r="Q348" s="132" t="s">
        <v>2184</v>
      </c>
      <c r="R348" s="129" t="s">
        <v>2185</v>
      </c>
      <c r="S348" s="129" t="s">
        <v>1201</v>
      </c>
      <c r="T348" s="153"/>
      <c r="U348" s="126" t="s">
        <v>2147</v>
      </c>
      <c r="V348" s="126" t="s">
        <v>291</v>
      </c>
      <c r="W348" s="127"/>
      <c r="X348" s="127">
        <v>45853</v>
      </c>
      <c r="Y348" s="167"/>
      <c r="Z348" s="127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54"/>
      <c r="AQ348" s="54"/>
      <c r="AR348" s="54"/>
      <c r="AS348" s="129"/>
      <c r="AT348" s="129"/>
      <c r="AU348" s="129"/>
      <c r="AV348" s="129"/>
      <c r="AW348" s="126"/>
      <c r="AX348" s="127"/>
      <c r="AY348" s="127"/>
      <c r="AZ348" s="129"/>
      <c r="BA348" s="82"/>
      <c r="BB348" s="82"/>
      <c r="BC348" s="132"/>
      <c r="BD348" s="132"/>
      <c r="BE348" s="133"/>
      <c r="BF348" s="132"/>
      <c r="BG348" s="132"/>
      <c r="BH348" s="132"/>
      <c r="BI348" s="132"/>
      <c r="BJ348" s="132"/>
      <c r="BK348" s="129"/>
      <c r="BL348" s="132"/>
      <c r="BM348" s="132"/>
      <c r="BN348" s="129"/>
      <c r="BO348" s="129"/>
      <c r="BP348" s="153"/>
      <c r="BQ348" s="126"/>
      <c r="BR348" s="126"/>
      <c r="BS348" s="127"/>
      <c r="BT348" s="127"/>
      <c r="BU348" s="129"/>
      <c r="BV348" s="127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/>
      <c r="CP348" s="129"/>
      <c r="CQ348" s="129"/>
      <c r="CR348" s="129"/>
    </row>
    <row r="349" spans="1:96">
      <c r="A349" s="126"/>
      <c r="B349" s="127">
        <v>45848</v>
      </c>
      <c r="C349" s="127">
        <v>45849</v>
      </c>
      <c r="D349" s="60" t="s">
        <v>163</v>
      </c>
      <c r="E349" s="82" t="s">
        <v>219</v>
      </c>
      <c r="F349" s="82" t="s">
        <v>220</v>
      </c>
      <c r="G349" s="132" t="s">
        <v>2186</v>
      </c>
      <c r="H349" s="132">
        <v>6391008195</v>
      </c>
      <c r="I349" s="133" t="s">
        <v>2187</v>
      </c>
      <c r="J349" s="132" t="s">
        <v>1226</v>
      </c>
      <c r="K349" s="132">
        <v>13</v>
      </c>
      <c r="L349" s="132">
        <v>13</v>
      </c>
      <c r="M349" s="132" t="s">
        <v>2188</v>
      </c>
      <c r="N349" s="132" t="s">
        <v>2189</v>
      </c>
      <c r="O349" s="129" t="s">
        <v>120</v>
      </c>
      <c r="P349" s="132" t="s">
        <v>2190</v>
      </c>
      <c r="Q349" s="132" t="s">
        <v>2191</v>
      </c>
      <c r="R349" s="129" t="s">
        <v>2192</v>
      </c>
      <c r="S349" s="129" t="s">
        <v>1201</v>
      </c>
      <c r="T349" s="153"/>
      <c r="U349" s="126" t="s">
        <v>2147</v>
      </c>
      <c r="V349" s="126" t="s">
        <v>291</v>
      </c>
      <c r="W349" s="127"/>
      <c r="X349" s="127">
        <v>45853</v>
      </c>
      <c r="Y349" s="167"/>
      <c r="Z349" s="127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54"/>
      <c r="AQ349" s="54"/>
      <c r="AR349" s="54"/>
      <c r="AS349" s="129"/>
      <c r="AT349" s="129"/>
      <c r="AU349" s="129"/>
      <c r="AV349" s="129"/>
      <c r="AW349" s="126"/>
      <c r="AX349" s="127"/>
      <c r="AY349" s="127"/>
      <c r="AZ349" s="129"/>
      <c r="BA349" s="82"/>
      <c r="BB349" s="82"/>
      <c r="BC349" s="132"/>
      <c r="BD349" s="132"/>
      <c r="BE349" s="133"/>
      <c r="BF349" s="132"/>
      <c r="BG349" s="132"/>
      <c r="BH349" s="132"/>
      <c r="BI349" s="132"/>
      <c r="BJ349" s="132"/>
      <c r="BK349" s="129"/>
      <c r="BL349" s="132"/>
      <c r="BM349" s="132"/>
      <c r="BN349" s="129"/>
      <c r="BO349" s="129"/>
      <c r="BP349" s="153"/>
      <c r="BQ349" s="126"/>
      <c r="BR349" s="126"/>
      <c r="BS349" s="127"/>
      <c r="BT349" s="127"/>
      <c r="BU349" s="129"/>
      <c r="BV349" s="127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</row>
    <row r="350" spans="1:96">
      <c r="A350" s="126"/>
      <c r="B350" s="127">
        <v>45848</v>
      </c>
      <c r="C350" s="127">
        <v>45849</v>
      </c>
      <c r="D350" s="60" t="s">
        <v>163</v>
      </c>
      <c r="E350" s="82" t="s">
        <v>219</v>
      </c>
      <c r="F350" s="82" t="s">
        <v>220</v>
      </c>
      <c r="G350" s="132" t="s">
        <v>2193</v>
      </c>
      <c r="H350" s="132">
        <v>8249094685</v>
      </c>
      <c r="I350" s="133" t="s">
        <v>2194</v>
      </c>
      <c r="J350" s="132" t="s">
        <v>1226</v>
      </c>
      <c r="K350" s="132">
        <v>15</v>
      </c>
      <c r="L350" s="132">
        <v>15</v>
      </c>
      <c r="M350" s="132" t="s">
        <v>2195</v>
      </c>
      <c r="N350" s="132" t="s">
        <v>1641</v>
      </c>
      <c r="O350" s="129" t="s">
        <v>2196</v>
      </c>
      <c r="P350" s="132" t="s">
        <v>2197</v>
      </c>
      <c r="Q350" s="132" t="s">
        <v>2153</v>
      </c>
      <c r="R350" s="129" t="s">
        <v>228</v>
      </c>
      <c r="S350" s="129" t="s">
        <v>1201</v>
      </c>
      <c r="T350" s="153"/>
      <c r="U350" s="126" t="s">
        <v>2147</v>
      </c>
      <c r="V350" s="126" t="s">
        <v>291</v>
      </c>
      <c r="W350" s="127"/>
      <c r="X350" s="127">
        <v>45853</v>
      </c>
      <c r="Y350" s="167"/>
      <c r="Z350" s="127"/>
      <c r="AA350" s="129"/>
      <c r="AB350" s="129"/>
      <c r="AC350" s="129"/>
      <c r="AD350" s="129"/>
      <c r="AE350" s="129"/>
      <c r="AF350" s="129"/>
      <c r="AG350" s="129"/>
      <c r="AH350" s="129"/>
      <c r="AI350" s="129"/>
      <c r="AJ350" s="129"/>
      <c r="AK350" s="129"/>
      <c r="AL350" s="129"/>
      <c r="AM350" s="129"/>
      <c r="AN350" s="129"/>
      <c r="AO350" s="129"/>
      <c r="AP350" s="54"/>
      <c r="AQ350" s="54"/>
      <c r="AR350" s="54"/>
      <c r="AS350" s="129"/>
      <c r="AT350" s="129"/>
      <c r="AU350" s="129"/>
      <c r="AV350" s="129"/>
      <c r="AW350" s="126"/>
      <c r="AX350" s="127"/>
      <c r="AY350" s="127"/>
      <c r="AZ350" s="129"/>
      <c r="BA350" s="82"/>
      <c r="BB350" s="82"/>
      <c r="BC350" s="132"/>
      <c r="BD350" s="132"/>
      <c r="BE350" s="133"/>
      <c r="BF350" s="132"/>
      <c r="BG350" s="132"/>
      <c r="BH350" s="132"/>
      <c r="BI350" s="132"/>
      <c r="BJ350" s="132"/>
      <c r="BK350" s="129"/>
      <c r="BL350" s="132"/>
      <c r="BM350" s="132"/>
      <c r="BN350" s="129"/>
      <c r="BO350" s="129"/>
      <c r="BP350" s="153"/>
      <c r="BQ350" s="126"/>
      <c r="BR350" s="126"/>
      <c r="BS350" s="127"/>
      <c r="BT350" s="127"/>
      <c r="BU350" s="129"/>
      <c r="BV350" s="127"/>
      <c r="BW350" s="129"/>
      <c r="BX350" s="129"/>
      <c r="BY350" s="129"/>
      <c r="BZ350" s="129"/>
      <c r="CA350" s="129"/>
      <c r="CB350" s="129"/>
      <c r="CC350" s="129"/>
      <c r="CD350" s="129"/>
      <c r="CE350" s="129"/>
      <c r="CF350" s="129"/>
      <c r="CG350" s="129"/>
      <c r="CH350" s="129"/>
      <c r="CI350" s="129"/>
      <c r="CJ350" s="129"/>
      <c r="CK350" s="129"/>
      <c r="CL350" s="129"/>
      <c r="CM350" s="129"/>
      <c r="CN350" s="129"/>
      <c r="CO350" s="129"/>
      <c r="CP350" s="129"/>
      <c r="CQ350" s="129"/>
      <c r="CR350" s="129"/>
    </row>
    <row r="351" spans="1:96">
      <c r="A351" s="126"/>
      <c r="B351" s="127">
        <v>45848</v>
      </c>
      <c r="C351" s="127">
        <v>45849</v>
      </c>
      <c r="D351" s="60" t="s">
        <v>163</v>
      </c>
      <c r="E351" s="82" t="s">
        <v>219</v>
      </c>
      <c r="F351" s="82" t="s">
        <v>220</v>
      </c>
      <c r="G351" s="132" t="s">
        <v>2198</v>
      </c>
      <c r="H351" s="132">
        <v>9834822284</v>
      </c>
      <c r="I351" s="133" t="s">
        <v>2199</v>
      </c>
      <c r="J351" s="132" t="s">
        <v>1226</v>
      </c>
      <c r="K351" s="132">
        <v>13</v>
      </c>
      <c r="L351" s="132">
        <v>13</v>
      </c>
      <c r="M351" s="132" t="s">
        <v>2200</v>
      </c>
      <c r="N351" s="132" t="s">
        <v>462</v>
      </c>
      <c r="O351" s="129" t="s">
        <v>2201</v>
      </c>
      <c r="P351" s="132" t="s">
        <v>2202</v>
      </c>
      <c r="Q351" s="132" t="s">
        <v>2203</v>
      </c>
      <c r="R351" s="129" t="s">
        <v>590</v>
      </c>
      <c r="S351" s="129" t="s">
        <v>1201</v>
      </c>
      <c r="T351" s="153"/>
      <c r="U351" s="126" t="s">
        <v>2147</v>
      </c>
      <c r="V351" s="126" t="s">
        <v>2178</v>
      </c>
      <c r="W351" s="127"/>
      <c r="X351" s="127">
        <v>45853</v>
      </c>
      <c r="Y351" s="127"/>
      <c r="Z351" s="127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29"/>
      <c r="AL351" s="129"/>
      <c r="AM351" s="129"/>
      <c r="AN351" s="129"/>
      <c r="AO351" s="129"/>
      <c r="AP351" s="54"/>
      <c r="AQ351" s="54"/>
      <c r="AR351" s="54"/>
      <c r="AS351" s="129"/>
      <c r="AT351" s="129"/>
      <c r="AU351" s="129"/>
      <c r="AV351" s="129"/>
      <c r="AW351" s="126"/>
      <c r="AX351" s="127"/>
      <c r="AY351" s="127"/>
      <c r="AZ351" s="129"/>
      <c r="BA351" s="82"/>
      <c r="BB351" s="82"/>
      <c r="BC351" s="132"/>
      <c r="BD351" s="132"/>
      <c r="BE351" s="133"/>
      <c r="BF351" s="132"/>
      <c r="BG351" s="132"/>
      <c r="BH351" s="132"/>
      <c r="BI351" s="132"/>
      <c r="BJ351" s="132"/>
      <c r="BK351" s="129"/>
      <c r="BL351" s="132"/>
      <c r="BM351" s="132"/>
      <c r="BN351" s="129"/>
      <c r="BO351" s="129"/>
      <c r="BP351" s="153"/>
      <c r="BQ351" s="126"/>
      <c r="BR351" s="126"/>
      <c r="BS351" s="127"/>
      <c r="BT351" s="127"/>
      <c r="BU351" s="129"/>
      <c r="BV351" s="127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</row>
    <row r="352" spans="1:96">
      <c r="A352" s="126"/>
      <c r="B352" s="127">
        <v>45848</v>
      </c>
      <c r="C352" s="127">
        <v>45849</v>
      </c>
      <c r="D352" s="60" t="s">
        <v>163</v>
      </c>
      <c r="E352" s="82" t="s">
        <v>219</v>
      </c>
      <c r="F352" s="82" t="s">
        <v>220</v>
      </c>
      <c r="G352" s="132" t="s">
        <v>2204</v>
      </c>
      <c r="H352" s="132">
        <v>7895560051</v>
      </c>
      <c r="I352" s="133" t="s">
        <v>2205</v>
      </c>
      <c r="J352" s="132" t="s">
        <v>1226</v>
      </c>
      <c r="K352" s="132">
        <v>10</v>
      </c>
      <c r="L352" s="132">
        <v>10</v>
      </c>
      <c r="M352" s="132" t="s">
        <v>2206</v>
      </c>
      <c r="N352" s="132" t="s">
        <v>2207</v>
      </c>
      <c r="O352" s="129" t="s">
        <v>2208</v>
      </c>
      <c r="P352" s="132" t="s">
        <v>352</v>
      </c>
      <c r="Q352" s="132" t="s">
        <v>2209</v>
      </c>
      <c r="R352" s="129" t="s">
        <v>1201</v>
      </c>
      <c r="S352" s="129" t="s">
        <v>1626</v>
      </c>
      <c r="T352" s="153"/>
      <c r="U352" s="126" t="s">
        <v>2210</v>
      </c>
      <c r="V352" s="126" t="s">
        <v>2111</v>
      </c>
      <c r="W352" s="127" t="s">
        <v>741</v>
      </c>
      <c r="X352" s="127">
        <v>45853</v>
      </c>
      <c r="Y352" s="127">
        <v>45861</v>
      </c>
      <c r="Z352" s="127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54"/>
      <c r="AQ352" s="54"/>
      <c r="AR352" s="54"/>
      <c r="AS352" s="129"/>
      <c r="AT352" s="129"/>
      <c r="AU352" s="129"/>
      <c r="AV352" s="129"/>
      <c r="AW352" s="126"/>
      <c r="AX352" s="127"/>
      <c r="AY352" s="127"/>
      <c r="AZ352" s="129"/>
      <c r="BA352" s="82"/>
      <c r="BB352" s="82"/>
      <c r="BC352" s="132"/>
      <c r="BD352" s="132"/>
      <c r="BE352" s="133"/>
      <c r="BF352" s="132"/>
      <c r="BG352" s="132"/>
      <c r="BH352" s="132"/>
      <c r="BI352" s="132"/>
      <c r="BJ352" s="132"/>
      <c r="BK352" s="129"/>
      <c r="BL352" s="132"/>
      <c r="BM352" s="132"/>
      <c r="BN352" s="129"/>
      <c r="BO352" s="129"/>
      <c r="BP352" s="153"/>
      <c r="BQ352" s="126"/>
      <c r="BR352" s="126"/>
      <c r="BS352" s="127"/>
      <c r="BT352" s="127"/>
      <c r="BU352" s="129"/>
      <c r="BV352" s="127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</row>
    <row r="353" spans="1:96">
      <c r="A353" s="126"/>
      <c r="B353" s="127">
        <v>45848</v>
      </c>
      <c r="C353" s="127">
        <v>45849</v>
      </c>
      <c r="D353" s="60" t="s">
        <v>168</v>
      </c>
      <c r="E353" s="82" t="s">
        <v>219</v>
      </c>
      <c r="F353" s="82" t="s">
        <v>220</v>
      </c>
      <c r="G353" s="132" t="s">
        <v>2211</v>
      </c>
      <c r="H353" s="132">
        <v>9833817043</v>
      </c>
      <c r="I353" s="133" t="s">
        <v>2212</v>
      </c>
      <c r="J353" s="132" t="s">
        <v>1226</v>
      </c>
      <c r="K353" s="132">
        <v>2</v>
      </c>
      <c r="L353" s="132">
        <v>2</v>
      </c>
      <c r="M353" s="132" t="s">
        <v>2213</v>
      </c>
      <c r="N353" s="132" t="s">
        <v>2214</v>
      </c>
      <c r="O353" s="129" t="s">
        <v>2215</v>
      </c>
      <c r="P353" s="132" t="s">
        <v>365</v>
      </c>
      <c r="Q353" s="132" t="s">
        <v>747</v>
      </c>
      <c r="R353" s="129" t="s">
        <v>2216</v>
      </c>
      <c r="S353" s="129" t="s">
        <v>1626</v>
      </c>
      <c r="T353" s="153"/>
      <c r="U353" s="126" t="s">
        <v>2210</v>
      </c>
      <c r="V353" s="126" t="s">
        <v>291</v>
      </c>
      <c r="W353" s="127"/>
      <c r="X353" s="127">
        <v>45853</v>
      </c>
      <c r="Y353" s="127"/>
      <c r="Z353" s="127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54"/>
      <c r="AQ353" s="54"/>
      <c r="AR353" s="54"/>
      <c r="AS353" s="129"/>
      <c r="AT353" s="129"/>
      <c r="AU353" s="129"/>
      <c r="AV353" s="129"/>
      <c r="AW353" s="126"/>
      <c r="AX353" s="127"/>
      <c r="AY353" s="127"/>
      <c r="AZ353" s="129"/>
      <c r="BA353" s="82"/>
      <c r="BB353" s="82"/>
      <c r="BC353" s="132"/>
      <c r="BD353" s="132"/>
      <c r="BE353" s="133"/>
      <c r="BF353" s="132"/>
      <c r="BG353" s="132"/>
      <c r="BH353" s="132"/>
      <c r="BI353" s="132"/>
      <c r="BJ353" s="132"/>
      <c r="BK353" s="129"/>
      <c r="BL353" s="132"/>
      <c r="BM353" s="132"/>
      <c r="BN353" s="129"/>
      <c r="BO353" s="129"/>
      <c r="BP353" s="153"/>
      <c r="BQ353" s="126"/>
      <c r="BR353" s="126"/>
      <c r="BS353" s="127"/>
      <c r="BT353" s="127"/>
      <c r="BU353" s="129"/>
      <c r="BV353" s="127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</row>
    <row r="354" spans="1:96">
      <c r="A354" s="126"/>
      <c r="B354" s="127">
        <v>45848</v>
      </c>
      <c r="C354" s="127">
        <v>45849</v>
      </c>
      <c r="D354" s="60" t="s">
        <v>168</v>
      </c>
      <c r="E354" s="82" t="s">
        <v>219</v>
      </c>
      <c r="F354" s="82" t="s">
        <v>220</v>
      </c>
      <c r="G354" s="132" t="s">
        <v>2217</v>
      </c>
      <c r="H354" s="132" t="s">
        <v>2218</v>
      </c>
      <c r="I354" s="133" t="s">
        <v>2219</v>
      </c>
      <c r="J354" s="132" t="s">
        <v>1226</v>
      </c>
      <c r="K354" s="132">
        <v>4</v>
      </c>
      <c r="L354" s="132">
        <v>4</v>
      </c>
      <c r="M354" s="132" t="s">
        <v>2220</v>
      </c>
      <c r="N354" s="132" t="s">
        <v>1982</v>
      </c>
      <c r="O354" s="129" t="s">
        <v>2221</v>
      </c>
      <c r="P354" s="132" t="s">
        <v>1211</v>
      </c>
      <c r="Q354" s="132" t="s">
        <v>2222</v>
      </c>
      <c r="R354" s="129" t="s">
        <v>228</v>
      </c>
      <c r="S354" s="129" t="s">
        <v>1626</v>
      </c>
      <c r="T354" s="153"/>
      <c r="U354" s="126" t="s">
        <v>2210</v>
      </c>
      <c r="V354" s="126" t="s">
        <v>291</v>
      </c>
      <c r="W354" s="127"/>
      <c r="X354" s="127">
        <v>45853</v>
      </c>
      <c r="Y354" s="127"/>
      <c r="Z354" s="127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54"/>
      <c r="AQ354" s="54"/>
      <c r="AR354" s="54"/>
      <c r="AS354" s="129"/>
      <c r="AT354" s="129"/>
      <c r="AU354" s="129"/>
      <c r="AV354" s="129"/>
      <c r="AW354" s="126"/>
      <c r="AX354" s="127"/>
      <c r="AY354" s="127"/>
      <c r="AZ354" s="129"/>
      <c r="BA354" s="82"/>
      <c r="BB354" s="82"/>
      <c r="BC354" s="132"/>
      <c r="BD354" s="132"/>
      <c r="BE354" s="133"/>
      <c r="BF354" s="132"/>
      <c r="BG354" s="132"/>
      <c r="BH354" s="132"/>
      <c r="BI354" s="132"/>
      <c r="BJ354" s="132"/>
      <c r="BK354" s="129"/>
      <c r="BL354" s="132"/>
      <c r="BM354" s="132"/>
      <c r="BN354" s="129"/>
      <c r="BO354" s="129"/>
      <c r="BP354" s="153"/>
      <c r="BQ354" s="126"/>
      <c r="BR354" s="126"/>
      <c r="BS354" s="127"/>
      <c r="BT354" s="127"/>
      <c r="BU354" s="129"/>
      <c r="BV354" s="127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</row>
    <row r="355" spans="1:96">
      <c r="A355" s="126"/>
      <c r="B355" s="127">
        <v>45848</v>
      </c>
      <c r="C355" s="127">
        <v>45849</v>
      </c>
      <c r="D355" s="60" t="s">
        <v>168</v>
      </c>
      <c r="E355" s="82" t="s">
        <v>219</v>
      </c>
      <c r="F355" s="82" t="s">
        <v>220</v>
      </c>
      <c r="G355" s="132" t="s">
        <v>2223</v>
      </c>
      <c r="H355" s="132">
        <v>7887682843</v>
      </c>
      <c r="I355" s="133" t="s">
        <v>2224</v>
      </c>
      <c r="J355" s="132" t="s">
        <v>1226</v>
      </c>
      <c r="K355" s="132">
        <v>2.2999999999999998</v>
      </c>
      <c r="L355" s="132">
        <v>2.2999999999999998</v>
      </c>
      <c r="M355" s="132" t="s">
        <v>2225</v>
      </c>
      <c r="N355" s="132" t="s">
        <v>425</v>
      </c>
      <c r="O355" s="129" t="s">
        <v>1316</v>
      </c>
      <c r="P355" s="132" t="s">
        <v>2226</v>
      </c>
      <c r="Q355" s="132" t="s">
        <v>747</v>
      </c>
      <c r="R355" s="129" t="s">
        <v>228</v>
      </c>
      <c r="S355" s="129" t="s">
        <v>1626</v>
      </c>
      <c r="T355" s="153"/>
      <c r="U355" s="126" t="s">
        <v>2210</v>
      </c>
      <c r="V355" s="126" t="s">
        <v>291</v>
      </c>
      <c r="W355" s="127"/>
      <c r="X355" s="127">
        <v>45853</v>
      </c>
      <c r="Y355" s="167"/>
      <c r="Z355" s="127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54"/>
      <c r="AQ355" s="54"/>
      <c r="AR355" s="54"/>
      <c r="AS355" s="129"/>
      <c r="AT355" s="129"/>
      <c r="AU355" s="129"/>
      <c r="AV355" s="129"/>
      <c r="AW355" s="126"/>
      <c r="AX355" s="127"/>
      <c r="AY355" s="127"/>
      <c r="AZ355" s="129"/>
      <c r="BA355" s="82"/>
      <c r="BB355" s="82"/>
      <c r="BC355" s="132"/>
      <c r="BD355" s="132"/>
      <c r="BE355" s="133"/>
      <c r="BF355" s="132"/>
      <c r="BG355" s="132"/>
      <c r="BH355" s="132"/>
      <c r="BI355" s="132"/>
      <c r="BJ355" s="132"/>
      <c r="BK355" s="129"/>
      <c r="BL355" s="132"/>
      <c r="BM355" s="132"/>
      <c r="BN355" s="129"/>
      <c r="BO355" s="129"/>
      <c r="BP355" s="153"/>
      <c r="BQ355" s="126"/>
      <c r="BR355" s="126"/>
      <c r="BS355" s="127"/>
      <c r="BT355" s="127"/>
      <c r="BU355" s="129"/>
      <c r="BV355" s="127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</row>
    <row r="356" spans="1:96">
      <c r="A356" s="126"/>
      <c r="B356" s="127">
        <v>45848</v>
      </c>
      <c r="C356" s="127">
        <v>45849</v>
      </c>
      <c r="D356" s="60" t="s">
        <v>168</v>
      </c>
      <c r="E356" s="82" t="s">
        <v>219</v>
      </c>
      <c r="F356" s="82" t="s">
        <v>220</v>
      </c>
      <c r="G356" s="132" t="s">
        <v>2227</v>
      </c>
      <c r="H356" s="132">
        <v>9598500282</v>
      </c>
      <c r="I356" s="133" t="s">
        <v>2228</v>
      </c>
      <c r="J356" s="132" t="s">
        <v>1226</v>
      </c>
      <c r="K356" s="132">
        <v>5.0999999999999996</v>
      </c>
      <c r="L356" s="132">
        <v>5.0999999999999996</v>
      </c>
      <c r="M356" s="132" t="s">
        <v>2229</v>
      </c>
      <c r="N356" s="132" t="s">
        <v>2230</v>
      </c>
      <c r="O356" s="129" t="s">
        <v>2231</v>
      </c>
      <c r="P356" s="132" t="s">
        <v>2232</v>
      </c>
      <c r="Q356" s="132" t="s">
        <v>2233</v>
      </c>
      <c r="R356" s="129" t="s">
        <v>2234</v>
      </c>
      <c r="S356" s="129" t="s">
        <v>1201</v>
      </c>
      <c r="T356" s="153"/>
      <c r="U356" s="126" t="s">
        <v>2147</v>
      </c>
      <c r="V356" s="126" t="s">
        <v>231</v>
      </c>
      <c r="W356" s="127"/>
      <c r="X356" s="127">
        <v>45853</v>
      </c>
      <c r="Y356" s="127">
        <v>45857</v>
      </c>
      <c r="Z356" s="127" t="s">
        <v>232</v>
      </c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54"/>
      <c r="AQ356" s="54"/>
      <c r="AR356" s="54"/>
      <c r="AS356" s="129"/>
      <c r="AT356" s="129"/>
      <c r="AU356" s="129"/>
      <c r="AV356" s="129"/>
      <c r="AW356" s="126"/>
      <c r="AX356" s="127"/>
      <c r="AY356" s="127"/>
      <c r="AZ356" s="129"/>
      <c r="BA356" s="82"/>
      <c r="BB356" s="82"/>
      <c r="BC356" s="132"/>
      <c r="BD356" s="132"/>
      <c r="BE356" s="133"/>
      <c r="BF356" s="132"/>
      <c r="BG356" s="132"/>
      <c r="BH356" s="132"/>
      <c r="BI356" s="132"/>
      <c r="BJ356" s="132"/>
      <c r="BK356" s="129"/>
      <c r="BL356" s="132"/>
      <c r="BM356" s="132"/>
      <c r="BN356" s="129"/>
      <c r="BO356" s="129"/>
      <c r="BP356" s="153"/>
      <c r="BQ356" s="126"/>
      <c r="BR356" s="126"/>
      <c r="BS356" s="127"/>
      <c r="BT356" s="127"/>
      <c r="BU356" s="129"/>
      <c r="BV356" s="127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</row>
    <row r="357" spans="1:96">
      <c r="A357" s="126"/>
      <c r="B357" s="127">
        <v>45848</v>
      </c>
      <c r="C357" s="127">
        <v>45849</v>
      </c>
      <c r="D357" s="60" t="s">
        <v>168</v>
      </c>
      <c r="E357" s="82" t="s">
        <v>219</v>
      </c>
      <c r="F357" s="82" t="s">
        <v>220</v>
      </c>
      <c r="G357" s="132" t="s">
        <v>2235</v>
      </c>
      <c r="H357" s="132">
        <v>7005025193</v>
      </c>
      <c r="I357" s="133" t="s">
        <v>2236</v>
      </c>
      <c r="J357" s="132" t="s">
        <v>1226</v>
      </c>
      <c r="K357" s="132">
        <v>5</v>
      </c>
      <c r="L357" s="132">
        <v>5</v>
      </c>
      <c r="M357" s="132" t="s">
        <v>2237</v>
      </c>
      <c r="N357" s="132" t="s">
        <v>425</v>
      </c>
      <c r="O357" s="129" t="s">
        <v>2238</v>
      </c>
      <c r="P357" s="132" t="s">
        <v>440</v>
      </c>
      <c r="Q357" s="132" t="s">
        <v>2239</v>
      </c>
      <c r="R357" s="129" t="s">
        <v>64</v>
      </c>
      <c r="S357" s="129" t="s">
        <v>1201</v>
      </c>
      <c r="T357" s="153"/>
      <c r="U357" s="126" t="s">
        <v>2147</v>
      </c>
      <c r="V357" s="126" t="s">
        <v>2111</v>
      </c>
      <c r="W357" s="127" t="s">
        <v>741</v>
      </c>
      <c r="X357" s="127">
        <v>45861</v>
      </c>
      <c r="Y357" s="127"/>
      <c r="Z357" s="127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54"/>
      <c r="AQ357" s="54"/>
      <c r="AR357" s="54"/>
      <c r="AS357" s="129"/>
      <c r="AT357" s="129"/>
      <c r="AU357" s="129"/>
      <c r="AV357" s="129"/>
      <c r="AW357" s="126"/>
      <c r="AX357" s="127"/>
      <c r="AY357" s="127"/>
      <c r="AZ357" s="129"/>
      <c r="BA357" s="82"/>
      <c r="BB357" s="82"/>
      <c r="BC357" s="132"/>
      <c r="BD357" s="132"/>
      <c r="BE357" s="133"/>
      <c r="BF357" s="132"/>
      <c r="BG357" s="132"/>
      <c r="BH357" s="132"/>
      <c r="BI357" s="132"/>
      <c r="BJ357" s="132"/>
      <c r="BK357" s="129"/>
      <c r="BL357" s="132"/>
      <c r="BM357" s="132"/>
      <c r="BN357" s="129"/>
      <c r="BO357" s="129"/>
      <c r="BP357" s="153"/>
      <c r="BQ357" s="126"/>
      <c r="BR357" s="126"/>
      <c r="BS357" s="127"/>
      <c r="BT357" s="127"/>
      <c r="BU357" s="129"/>
      <c r="BV357" s="127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</row>
    <row r="358" spans="1:96">
      <c r="A358" s="126"/>
      <c r="B358" s="127">
        <v>45848</v>
      </c>
      <c r="C358" s="127">
        <v>45849</v>
      </c>
      <c r="D358" s="60" t="s">
        <v>168</v>
      </c>
      <c r="E358" s="82" t="s">
        <v>219</v>
      </c>
      <c r="F358" s="82" t="s">
        <v>220</v>
      </c>
      <c r="G358" s="132" t="s">
        <v>2240</v>
      </c>
      <c r="H358" s="132">
        <v>8428799043</v>
      </c>
      <c r="I358" s="133" t="s">
        <v>2241</v>
      </c>
      <c r="J358" s="132" t="s">
        <v>1226</v>
      </c>
      <c r="K358" s="132">
        <v>7</v>
      </c>
      <c r="L358" s="132">
        <v>7</v>
      </c>
      <c r="M358" s="132" t="s">
        <v>2242</v>
      </c>
      <c r="N358" s="132" t="s">
        <v>2243</v>
      </c>
      <c r="O358" s="129" t="s">
        <v>2244</v>
      </c>
      <c r="P358" s="132" t="s">
        <v>2245</v>
      </c>
      <c r="Q358" s="132" t="s">
        <v>747</v>
      </c>
      <c r="R358" s="129" t="s">
        <v>95</v>
      </c>
      <c r="S358" s="129" t="s">
        <v>1626</v>
      </c>
      <c r="T358" s="153"/>
      <c r="U358" s="126" t="s">
        <v>2210</v>
      </c>
      <c r="V358" s="126" t="s">
        <v>2111</v>
      </c>
      <c r="W358" s="127" t="s">
        <v>741</v>
      </c>
      <c r="X358" s="127">
        <v>45853</v>
      </c>
      <c r="Y358" s="127"/>
      <c r="Z358" s="127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54"/>
      <c r="AQ358" s="54"/>
      <c r="AR358" s="54"/>
      <c r="AS358" s="129"/>
      <c r="AT358" s="129"/>
      <c r="AU358" s="129"/>
      <c r="AV358" s="129"/>
      <c r="AW358" s="126"/>
      <c r="AX358" s="127"/>
      <c r="AY358" s="127"/>
      <c r="AZ358" s="129"/>
      <c r="BA358" s="82"/>
      <c r="BB358" s="82"/>
      <c r="BC358" s="132"/>
      <c r="BD358" s="132"/>
      <c r="BE358" s="133"/>
      <c r="BF358" s="132"/>
      <c r="BG358" s="132"/>
      <c r="BH358" s="132"/>
      <c r="BI358" s="132"/>
      <c r="BJ358" s="132"/>
      <c r="BK358" s="129"/>
      <c r="BL358" s="132"/>
      <c r="BM358" s="132"/>
      <c r="BN358" s="129"/>
      <c r="BO358" s="129"/>
      <c r="BP358" s="153"/>
      <c r="BQ358" s="126"/>
      <c r="BR358" s="126"/>
      <c r="BS358" s="127"/>
      <c r="BT358" s="127"/>
      <c r="BU358" s="129"/>
      <c r="BV358" s="127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</row>
    <row r="359" spans="1:96">
      <c r="A359" s="126"/>
      <c r="B359" s="127">
        <v>45848</v>
      </c>
      <c r="C359" s="127">
        <v>45849</v>
      </c>
      <c r="D359" s="60" t="s">
        <v>178</v>
      </c>
      <c r="E359" s="82" t="s">
        <v>219</v>
      </c>
      <c r="F359" s="82" t="s">
        <v>220</v>
      </c>
      <c r="G359" s="132" t="s">
        <v>2246</v>
      </c>
      <c r="H359" s="132">
        <v>9359248334</v>
      </c>
      <c r="I359" s="133" t="s">
        <v>2247</v>
      </c>
      <c r="J359" s="132" t="s">
        <v>1226</v>
      </c>
      <c r="K359" s="132">
        <v>7</v>
      </c>
      <c r="L359" s="132">
        <v>7</v>
      </c>
      <c r="M359" s="132" t="s">
        <v>2248</v>
      </c>
      <c r="N359" s="132" t="s">
        <v>2249</v>
      </c>
      <c r="O359" s="129" t="s">
        <v>2250</v>
      </c>
      <c r="P359" s="132" t="s">
        <v>770</v>
      </c>
      <c r="Q359" s="132" t="s">
        <v>2251</v>
      </c>
      <c r="R359" s="129" t="s">
        <v>228</v>
      </c>
      <c r="S359" s="129" t="s">
        <v>1201</v>
      </c>
      <c r="T359" s="153"/>
      <c r="U359" s="126" t="s">
        <v>1175</v>
      </c>
      <c r="V359" s="126" t="s">
        <v>231</v>
      </c>
      <c r="W359" s="127"/>
      <c r="X359" s="127">
        <v>45853</v>
      </c>
      <c r="Y359" s="167">
        <v>45855</v>
      </c>
      <c r="Z359" s="127" t="s">
        <v>232</v>
      </c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54"/>
      <c r="AQ359" s="54"/>
      <c r="AR359" s="54"/>
      <c r="AS359" s="129"/>
      <c r="AT359" s="129"/>
      <c r="AU359" s="129"/>
      <c r="AV359" s="129"/>
      <c r="AW359" s="126"/>
      <c r="AX359" s="127"/>
      <c r="AY359" s="127"/>
      <c r="AZ359" s="129"/>
      <c r="BA359" s="82"/>
      <c r="BB359" s="82"/>
      <c r="BC359" s="132"/>
      <c r="BD359" s="132"/>
      <c r="BE359" s="133"/>
      <c r="BF359" s="132"/>
      <c r="BG359" s="132"/>
      <c r="BH359" s="132"/>
      <c r="BI359" s="132"/>
      <c r="BJ359" s="132"/>
      <c r="BK359" s="129"/>
      <c r="BL359" s="132"/>
      <c r="BM359" s="132"/>
      <c r="BN359" s="129"/>
      <c r="BO359" s="129"/>
      <c r="BP359" s="153"/>
      <c r="BQ359" s="126"/>
      <c r="BR359" s="126"/>
      <c r="BS359" s="127"/>
      <c r="BT359" s="127"/>
      <c r="BU359" s="129"/>
      <c r="BV359" s="127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</row>
    <row r="360" spans="1:96">
      <c r="A360" s="126"/>
      <c r="B360" s="127">
        <v>45848</v>
      </c>
      <c r="C360" s="127">
        <v>45849</v>
      </c>
      <c r="D360" s="60" t="s">
        <v>178</v>
      </c>
      <c r="E360" s="82" t="s">
        <v>219</v>
      </c>
      <c r="F360" s="82" t="s">
        <v>220</v>
      </c>
      <c r="G360" s="132" t="s">
        <v>2252</v>
      </c>
      <c r="H360" s="132">
        <v>9067550769</v>
      </c>
      <c r="I360" s="133" t="s">
        <v>2253</v>
      </c>
      <c r="J360" s="132" t="s">
        <v>1226</v>
      </c>
      <c r="K360" s="132">
        <v>8</v>
      </c>
      <c r="L360" s="132">
        <v>8</v>
      </c>
      <c r="M360" s="132" t="s">
        <v>2254</v>
      </c>
      <c r="N360" s="132" t="s">
        <v>2255</v>
      </c>
      <c r="O360" s="129" t="s">
        <v>440</v>
      </c>
      <c r="P360" s="132" t="s">
        <v>155</v>
      </c>
      <c r="Q360" s="132" t="s">
        <v>2130</v>
      </c>
      <c r="R360" s="129" t="s">
        <v>1067</v>
      </c>
      <c r="S360" s="129" t="s">
        <v>1201</v>
      </c>
      <c r="T360" s="153"/>
      <c r="U360" s="126" t="s">
        <v>1175</v>
      </c>
      <c r="V360" s="126" t="s">
        <v>2111</v>
      </c>
      <c r="W360" s="127" t="s">
        <v>741</v>
      </c>
      <c r="X360" s="127">
        <v>45853</v>
      </c>
      <c r="Y360" s="167" t="s">
        <v>2112</v>
      </c>
      <c r="Z360" s="127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54"/>
      <c r="AQ360" s="54"/>
      <c r="AR360" s="54"/>
      <c r="AS360" s="129"/>
      <c r="AT360" s="129"/>
      <c r="AU360" s="129"/>
      <c r="AV360" s="129"/>
      <c r="AW360" s="126"/>
      <c r="AX360" s="127"/>
      <c r="AY360" s="127"/>
      <c r="AZ360" s="129"/>
      <c r="BA360" s="82"/>
      <c r="BB360" s="82"/>
      <c r="BC360" s="132"/>
      <c r="BD360" s="132"/>
      <c r="BE360" s="133"/>
      <c r="BF360" s="132"/>
      <c r="BG360" s="132"/>
      <c r="BH360" s="132"/>
      <c r="BI360" s="132"/>
      <c r="BJ360" s="132"/>
      <c r="BK360" s="129"/>
      <c r="BL360" s="132"/>
      <c r="BM360" s="132"/>
      <c r="BN360" s="129"/>
      <c r="BO360" s="129"/>
      <c r="BP360" s="153"/>
      <c r="BQ360" s="126"/>
      <c r="BR360" s="126"/>
      <c r="BS360" s="127"/>
      <c r="BT360" s="127"/>
      <c r="BU360" s="129"/>
      <c r="BV360" s="127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</row>
    <row r="361" spans="1:96">
      <c r="A361" s="126"/>
      <c r="B361" s="127">
        <v>45848</v>
      </c>
      <c r="C361" s="127">
        <v>45849</v>
      </c>
      <c r="D361" s="60" t="s">
        <v>178</v>
      </c>
      <c r="E361" s="82" t="s">
        <v>219</v>
      </c>
      <c r="F361" s="82" t="s">
        <v>220</v>
      </c>
      <c r="G361" s="132" t="s">
        <v>2256</v>
      </c>
      <c r="H361" s="132">
        <v>7489300998</v>
      </c>
      <c r="I361" s="133" t="s">
        <v>2257</v>
      </c>
      <c r="J361" s="132" t="s">
        <v>1226</v>
      </c>
      <c r="K361" s="132">
        <v>8</v>
      </c>
      <c r="L361" s="132">
        <v>8</v>
      </c>
      <c r="M361" s="132" t="s">
        <v>737</v>
      </c>
      <c r="N361" s="132" t="s">
        <v>1218</v>
      </c>
      <c r="O361" s="129" t="s">
        <v>2258</v>
      </c>
      <c r="P361" s="132" t="s">
        <v>2259</v>
      </c>
      <c r="Q361" s="132" t="s">
        <v>2130</v>
      </c>
      <c r="R361" s="129" t="s">
        <v>1300</v>
      </c>
      <c r="S361" s="129" t="s">
        <v>1201</v>
      </c>
      <c r="T361" s="153"/>
      <c r="U361" s="126" t="s">
        <v>1175</v>
      </c>
      <c r="V361" s="126" t="s">
        <v>291</v>
      </c>
      <c r="W361" s="127"/>
      <c r="X361" s="127">
        <v>45853</v>
      </c>
      <c r="Y361" s="167"/>
      <c r="Z361" s="127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54"/>
      <c r="AQ361" s="54"/>
      <c r="AR361" s="54"/>
      <c r="AS361" s="129"/>
      <c r="AT361" s="129"/>
      <c r="AU361" s="129"/>
      <c r="AV361" s="129"/>
      <c r="AW361" s="126"/>
      <c r="AX361" s="127"/>
      <c r="AY361" s="127"/>
      <c r="AZ361" s="129"/>
      <c r="BA361" s="82"/>
      <c r="BB361" s="82"/>
      <c r="BC361" s="132"/>
      <c r="BD361" s="132"/>
      <c r="BE361" s="133"/>
      <c r="BF361" s="132"/>
      <c r="BG361" s="132"/>
      <c r="BH361" s="132"/>
      <c r="BI361" s="132"/>
      <c r="BJ361" s="132"/>
      <c r="BK361" s="129"/>
      <c r="BL361" s="132"/>
      <c r="BM361" s="132"/>
      <c r="BN361" s="129"/>
      <c r="BO361" s="129"/>
      <c r="BP361" s="153"/>
      <c r="BQ361" s="126"/>
      <c r="BR361" s="126"/>
      <c r="BS361" s="127"/>
      <c r="BT361" s="127"/>
      <c r="BU361" s="129"/>
      <c r="BV361" s="127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</row>
    <row r="362" spans="1:96">
      <c r="A362" s="126"/>
      <c r="B362" s="127">
        <v>45848</v>
      </c>
      <c r="C362" s="127">
        <v>45849</v>
      </c>
      <c r="D362" s="60" t="s">
        <v>178</v>
      </c>
      <c r="E362" s="82" t="s">
        <v>219</v>
      </c>
      <c r="F362" s="82" t="s">
        <v>220</v>
      </c>
      <c r="G362" s="132" t="s">
        <v>2260</v>
      </c>
      <c r="H362" s="132">
        <v>8830265157</v>
      </c>
      <c r="I362" s="133" t="s">
        <v>2261</v>
      </c>
      <c r="J362" s="132" t="s">
        <v>1226</v>
      </c>
      <c r="K362" s="132" t="s">
        <v>1791</v>
      </c>
      <c r="L362" s="132" t="s">
        <v>1791</v>
      </c>
      <c r="M362" s="132" t="s">
        <v>2262</v>
      </c>
      <c r="N362" s="132" t="s">
        <v>425</v>
      </c>
      <c r="O362" s="129" t="s">
        <v>94</v>
      </c>
      <c r="P362" s="132" t="s">
        <v>770</v>
      </c>
      <c r="Q362" s="132" t="s">
        <v>2263</v>
      </c>
      <c r="R362" s="129" t="s">
        <v>228</v>
      </c>
      <c r="S362" s="129" t="s">
        <v>1201</v>
      </c>
      <c r="T362" s="153"/>
      <c r="U362" s="126" t="s">
        <v>1175</v>
      </c>
      <c r="V362" s="126" t="s">
        <v>231</v>
      </c>
      <c r="W362" s="127"/>
      <c r="X362" s="127">
        <v>45853</v>
      </c>
      <c r="Y362" s="167">
        <v>45856</v>
      </c>
      <c r="Z362" s="127" t="s">
        <v>232</v>
      </c>
      <c r="AA362" s="129"/>
      <c r="AB362" s="129"/>
      <c r="AC362" s="129"/>
      <c r="AD362" s="129"/>
      <c r="AE362" s="129"/>
      <c r="AF362" s="129"/>
      <c r="AG362" s="129"/>
      <c r="AH362" s="129"/>
      <c r="AI362" s="129"/>
      <c r="AJ362" s="129"/>
      <c r="AK362" s="129"/>
      <c r="AL362" s="129"/>
      <c r="AM362" s="129"/>
      <c r="AN362" s="129"/>
      <c r="AO362" s="129"/>
      <c r="AP362" s="54"/>
      <c r="AQ362" s="54"/>
      <c r="AR362" s="54"/>
      <c r="AS362" s="129"/>
      <c r="AT362" s="129"/>
      <c r="AU362" s="129"/>
      <c r="AV362" s="129"/>
      <c r="AW362" s="126"/>
      <c r="AX362" s="127"/>
      <c r="AY362" s="127"/>
      <c r="AZ362" s="129"/>
      <c r="BA362" s="82"/>
      <c r="BB362" s="82"/>
      <c r="BC362" s="132"/>
      <c r="BD362" s="132"/>
      <c r="BE362" s="133"/>
      <c r="BF362" s="132"/>
      <c r="BG362" s="132"/>
      <c r="BH362" s="132"/>
      <c r="BI362" s="132"/>
      <c r="BJ362" s="132"/>
      <c r="BK362" s="129"/>
      <c r="BL362" s="132"/>
      <c r="BM362" s="132"/>
      <c r="BN362" s="129"/>
      <c r="BO362" s="129"/>
      <c r="BP362" s="153"/>
      <c r="BQ362" s="126"/>
      <c r="BR362" s="126"/>
      <c r="BS362" s="127"/>
      <c r="BT362" s="127"/>
      <c r="BU362" s="129"/>
      <c r="BV362" s="127"/>
      <c r="BW362" s="129"/>
      <c r="BX362" s="129"/>
      <c r="BY362" s="129"/>
      <c r="BZ362" s="129"/>
      <c r="CA362" s="129"/>
      <c r="CB362" s="129"/>
      <c r="CC362" s="129"/>
      <c r="CD362" s="129"/>
      <c r="CE362" s="129"/>
      <c r="CF362" s="129"/>
      <c r="CG362" s="129"/>
      <c r="CH362" s="129"/>
      <c r="CI362" s="129"/>
      <c r="CJ362" s="129"/>
      <c r="CK362" s="129"/>
      <c r="CL362" s="129"/>
      <c r="CM362" s="129"/>
      <c r="CN362" s="129"/>
      <c r="CO362" s="129"/>
      <c r="CP362" s="129"/>
      <c r="CQ362" s="129"/>
      <c r="CR362" s="129"/>
    </row>
    <row r="363" spans="1:96">
      <c r="A363" s="126"/>
      <c r="B363" s="127">
        <v>45848</v>
      </c>
      <c r="C363" s="127">
        <v>45849</v>
      </c>
      <c r="D363" s="60" t="s">
        <v>178</v>
      </c>
      <c r="E363" s="82" t="s">
        <v>219</v>
      </c>
      <c r="F363" s="82" t="s">
        <v>220</v>
      </c>
      <c r="G363" s="132" t="s">
        <v>2264</v>
      </c>
      <c r="H363" s="132">
        <v>8685853059</v>
      </c>
      <c r="I363" s="133" t="s">
        <v>2265</v>
      </c>
      <c r="J363" s="132" t="s">
        <v>1226</v>
      </c>
      <c r="K363" s="132">
        <v>11</v>
      </c>
      <c r="L363" s="132">
        <v>11</v>
      </c>
      <c r="M363" s="132" t="s">
        <v>2266</v>
      </c>
      <c r="N363" s="132" t="s">
        <v>425</v>
      </c>
      <c r="O363" s="129" t="s">
        <v>2267</v>
      </c>
      <c r="P363" s="132" t="s">
        <v>1164</v>
      </c>
      <c r="Q363" s="132" t="s">
        <v>2268</v>
      </c>
      <c r="R363" s="129" t="s">
        <v>2269</v>
      </c>
      <c r="S363" s="129" t="s">
        <v>2102</v>
      </c>
      <c r="T363" s="153"/>
      <c r="U363" s="126" t="s">
        <v>671</v>
      </c>
      <c r="V363" s="126" t="s">
        <v>231</v>
      </c>
      <c r="W363" s="127"/>
      <c r="X363" s="127">
        <v>45853</v>
      </c>
      <c r="Y363" s="167">
        <v>45856</v>
      </c>
      <c r="Z363" s="127" t="s">
        <v>232</v>
      </c>
      <c r="AA363" s="129"/>
      <c r="AB363" s="129"/>
      <c r="AC363" s="129"/>
      <c r="AD363" s="129"/>
      <c r="AE363" s="129"/>
      <c r="AF363" s="129"/>
      <c r="AG363" s="129"/>
      <c r="AH363" s="129"/>
      <c r="AI363" s="129"/>
      <c r="AJ363" s="129"/>
      <c r="AK363" s="129"/>
      <c r="AL363" s="129"/>
      <c r="AM363" s="129"/>
      <c r="AN363" s="129"/>
      <c r="AO363" s="129"/>
      <c r="AP363" s="54"/>
      <c r="AQ363" s="54"/>
      <c r="AR363" s="54"/>
      <c r="AS363" s="129"/>
      <c r="AT363" s="129"/>
      <c r="AU363" s="129"/>
      <c r="AV363" s="129"/>
      <c r="AW363" s="126"/>
      <c r="AX363" s="127"/>
      <c r="AY363" s="127"/>
      <c r="AZ363" s="129"/>
      <c r="BA363" s="82"/>
      <c r="BB363" s="82"/>
      <c r="BC363" s="132"/>
      <c r="BD363" s="132"/>
      <c r="BE363" s="133"/>
      <c r="BF363" s="132"/>
      <c r="BG363" s="132"/>
      <c r="BH363" s="132"/>
      <c r="BI363" s="132"/>
      <c r="BJ363" s="132"/>
      <c r="BK363" s="129"/>
      <c r="BL363" s="132"/>
      <c r="BM363" s="132"/>
      <c r="BN363" s="129"/>
      <c r="BO363" s="129"/>
      <c r="BP363" s="153"/>
      <c r="BQ363" s="126"/>
      <c r="BR363" s="126"/>
      <c r="BS363" s="127"/>
      <c r="BT363" s="127"/>
      <c r="BU363" s="129"/>
      <c r="BV363" s="127"/>
      <c r="BW363" s="129"/>
      <c r="BX363" s="129"/>
      <c r="BY363" s="129"/>
      <c r="BZ363" s="129"/>
      <c r="CA363" s="129"/>
      <c r="CB363" s="129"/>
      <c r="CC363" s="129"/>
      <c r="CD363" s="129"/>
      <c r="CE363" s="129"/>
      <c r="CF363" s="129"/>
      <c r="CG363" s="129"/>
      <c r="CH363" s="129"/>
      <c r="CI363" s="129"/>
      <c r="CJ363" s="129"/>
      <c r="CK363" s="129"/>
      <c r="CL363" s="129"/>
      <c r="CM363" s="129"/>
      <c r="CN363" s="129"/>
      <c r="CO363" s="129"/>
      <c r="CP363" s="129"/>
      <c r="CQ363" s="129"/>
      <c r="CR363" s="129"/>
    </row>
    <row r="364" spans="1:96">
      <c r="A364" s="126"/>
      <c r="B364" s="127">
        <v>45848</v>
      </c>
      <c r="C364" s="127">
        <v>45849</v>
      </c>
      <c r="D364" s="60" t="s">
        <v>178</v>
      </c>
      <c r="E364" s="82" t="s">
        <v>219</v>
      </c>
      <c r="F364" s="82" t="s">
        <v>220</v>
      </c>
      <c r="G364" s="132" t="s">
        <v>2270</v>
      </c>
      <c r="H364" s="132">
        <v>7989241291</v>
      </c>
      <c r="I364" s="133" t="s">
        <v>2271</v>
      </c>
      <c r="J364" s="132" t="s">
        <v>1226</v>
      </c>
      <c r="K364" s="132">
        <v>6.5</v>
      </c>
      <c r="L364" s="132">
        <v>6.5</v>
      </c>
      <c r="M364" s="132" t="s">
        <v>2272</v>
      </c>
      <c r="N364" s="132" t="s">
        <v>425</v>
      </c>
      <c r="O364" s="129" t="s">
        <v>161</v>
      </c>
      <c r="P364" s="132" t="s">
        <v>120</v>
      </c>
      <c r="Q364" s="132" t="s">
        <v>208</v>
      </c>
      <c r="R364" s="129" t="s">
        <v>2273</v>
      </c>
      <c r="S364" s="129" t="s">
        <v>2102</v>
      </c>
      <c r="T364" s="153"/>
      <c r="U364" s="126" t="s">
        <v>671</v>
      </c>
      <c r="V364" s="126" t="s">
        <v>291</v>
      </c>
      <c r="W364" s="127"/>
      <c r="X364" s="127">
        <v>45853</v>
      </c>
      <c r="Y364" s="167"/>
      <c r="Z364" s="127"/>
      <c r="AA364" s="129"/>
      <c r="AB364" s="129"/>
      <c r="AC364" s="129"/>
      <c r="AD364" s="129"/>
      <c r="AE364" s="129"/>
      <c r="AF364" s="129"/>
      <c r="AG364" s="129"/>
      <c r="AH364" s="129"/>
      <c r="AI364" s="129"/>
      <c r="AJ364" s="129"/>
      <c r="AK364" s="129"/>
      <c r="AL364" s="129"/>
      <c r="AM364" s="129"/>
      <c r="AN364" s="129"/>
      <c r="AO364" s="129"/>
      <c r="AP364" s="54"/>
      <c r="AQ364" s="54"/>
      <c r="AR364" s="54"/>
      <c r="AS364" s="129"/>
      <c r="AT364" s="129"/>
      <c r="AU364" s="129"/>
      <c r="AV364" s="129"/>
      <c r="AW364" s="126"/>
      <c r="AX364" s="127"/>
      <c r="AY364" s="127"/>
      <c r="AZ364" s="129"/>
      <c r="BA364" s="82"/>
      <c r="BB364" s="82"/>
      <c r="BC364" s="132"/>
      <c r="BD364" s="132"/>
      <c r="BE364" s="133"/>
      <c r="BF364" s="132"/>
      <c r="BG364" s="132"/>
      <c r="BH364" s="132"/>
      <c r="BI364" s="132"/>
      <c r="BJ364" s="132"/>
      <c r="BK364" s="129"/>
      <c r="BL364" s="132"/>
      <c r="BM364" s="132"/>
      <c r="BN364" s="129"/>
      <c r="BO364" s="129"/>
      <c r="BP364" s="153"/>
      <c r="BQ364" s="126"/>
      <c r="BR364" s="126"/>
      <c r="BS364" s="127"/>
      <c r="BT364" s="127"/>
      <c r="BU364" s="129"/>
      <c r="BV364" s="127"/>
      <c r="BW364" s="129"/>
      <c r="BX364" s="129"/>
      <c r="BY364" s="129"/>
      <c r="BZ364" s="129"/>
      <c r="CA364" s="129"/>
      <c r="CB364" s="129"/>
      <c r="CC364" s="129"/>
      <c r="CD364" s="129"/>
      <c r="CE364" s="129"/>
      <c r="CF364" s="129"/>
      <c r="CG364" s="129"/>
      <c r="CH364" s="129"/>
      <c r="CI364" s="129"/>
      <c r="CJ364" s="129"/>
      <c r="CK364" s="129"/>
      <c r="CL364" s="129"/>
      <c r="CM364" s="129"/>
      <c r="CN364" s="129"/>
      <c r="CO364" s="129"/>
      <c r="CP364" s="129"/>
      <c r="CQ364" s="129"/>
      <c r="CR364" s="129"/>
    </row>
    <row r="365" spans="1:96">
      <c r="A365" s="126"/>
      <c r="B365" s="127">
        <v>45848</v>
      </c>
      <c r="C365" s="127">
        <v>45849</v>
      </c>
      <c r="D365" s="60" t="s">
        <v>178</v>
      </c>
      <c r="E365" s="82" t="s">
        <v>219</v>
      </c>
      <c r="F365" s="82" t="s">
        <v>220</v>
      </c>
      <c r="G365" s="132" t="s">
        <v>2274</v>
      </c>
      <c r="H365" s="132">
        <v>8600060909</v>
      </c>
      <c r="I365" s="133" t="s">
        <v>2275</v>
      </c>
      <c r="J365" s="132" t="s">
        <v>1226</v>
      </c>
      <c r="K365" s="132">
        <v>12</v>
      </c>
      <c r="L365" s="132">
        <v>12</v>
      </c>
      <c r="M365" s="132" t="s">
        <v>1940</v>
      </c>
      <c r="N365" s="132" t="s">
        <v>1426</v>
      </c>
      <c r="O365" s="129" t="s">
        <v>2276</v>
      </c>
      <c r="P365" s="132" t="s">
        <v>120</v>
      </c>
      <c r="Q365" s="132" t="s">
        <v>2268</v>
      </c>
      <c r="R365" s="129" t="s">
        <v>228</v>
      </c>
      <c r="S365" s="129" t="s">
        <v>2102</v>
      </c>
      <c r="T365" s="153"/>
      <c r="U365" s="126" t="s">
        <v>671</v>
      </c>
      <c r="V365" s="126" t="s">
        <v>239</v>
      </c>
      <c r="W365" s="127"/>
      <c r="X365" s="127">
        <v>45853</v>
      </c>
      <c r="Y365" s="167"/>
      <c r="Z365" s="127"/>
      <c r="AA365" s="129"/>
      <c r="AB365" s="129"/>
      <c r="AC365" s="129"/>
      <c r="AD365" s="129"/>
      <c r="AE365" s="129"/>
      <c r="AF365" s="129"/>
      <c r="AG365" s="129"/>
      <c r="AH365" s="129"/>
      <c r="AI365" s="129"/>
      <c r="AJ365" s="129"/>
      <c r="AK365" s="129"/>
      <c r="AL365" s="129"/>
      <c r="AM365" s="129"/>
      <c r="AN365" s="129"/>
      <c r="AO365" s="129"/>
      <c r="AP365" s="54"/>
      <c r="AQ365" s="54"/>
      <c r="AR365" s="54"/>
      <c r="AS365" s="129"/>
      <c r="AT365" s="129"/>
      <c r="AU365" s="129"/>
      <c r="AV365" s="129"/>
      <c r="AW365" s="126"/>
      <c r="AX365" s="127"/>
      <c r="AY365" s="127"/>
      <c r="AZ365" s="129"/>
      <c r="BA365" s="82"/>
      <c r="BB365" s="82"/>
      <c r="BC365" s="132"/>
      <c r="BD365" s="132"/>
      <c r="BE365" s="133"/>
      <c r="BF365" s="132"/>
      <c r="BG365" s="132"/>
      <c r="BH365" s="132"/>
      <c r="BI365" s="132"/>
      <c r="BJ365" s="132"/>
      <c r="BK365" s="129"/>
      <c r="BL365" s="132"/>
      <c r="BM365" s="132"/>
      <c r="BN365" s="129"/>
      <c r="BO365" s="129"/>
      <c r="BP365" s="153"/>
      <c r="BQ365" s="126"/>
      <c r="BR365" s="126"/>
      <c r="BS365" s="127"/>
      <c r="BT365" s="127"/>
      <c r="BU365" s="129"/>
      <c r="BV365" s="127"/>
      <c r="BW365" s="129"/>
      <c r="BX365" s="129"/>
      <c r="BY365" s="129"/>
      <c r="BZ365" s="129"/>
      <c r="CA365" s="129"/>
      <c r="CB365" s="129"/>
      <c r="CC365" s="129"/>
      <c r="CD365" s="129"/>
      <c r="CE365" s="129"/>
      <c r="CF365" s="129"/>
      <c r="CG365" s="129"/>
      <c r="CH365" s="129"/>
      <c r="CI365" s="129"/>
      <c r="CJ365" s="129"/>
      <c r="CK365" s="129"/>
      <c r="CL365" s="129"/>
      <c r="CM365" s="129"/>
      <c r="CN365" s="129"/>
      <c r="CO365" s="129"/>
      <c r="CP365" s="129"/>
      <c r="CQ365" s="129"/>
      <c r="CR365" s="129"/>
    </row>
    <row r="366" spans="1:96">
      <c r="A366" s="126"/>
      <c r="B366" s="127">
        <v>45848</v>
      </c>
      <c r="C366" s="127">
        <v>45852</v>
      </c>
      <c r="D366" s="60" t="s">
        <v>185</v>
      </c>
      <c r="E366" s="82" t="s">
        <v>219</v>
      </c>
      <c r="F366" s="82" t="s">
        <v>220</v>
      </c>
      <c r="G366" s="132" t="s">
        <v>2277</v>
      </c>
      <c r="H366" s="132">
        <v>9870887462</v>
      </c>
      <c r="I366" s="133" t="s">
        <v>2278</v>
      </c>
      <c r="J366" s="132" t="s">
        <v>2279</v>
      </c>
      <c r="K366" s="132">
        <v>9</v>
      </c>
      <c r="L366" s="132" t="s">
        <v>1226</v>
      </c>
      <c r="M366" s="132" t="s">
        <v>2280</v>
      </c>
      <c r="N366" s="132" t="s">
        <v>699</v>
      </c>
      <c r="O366" s="129" t="s">
        <v>2281</v>
      </c>
      <c r="P366" s="132">
        <v>0.3</v>
      </c>
      <c r="Q366" s="132" t="s">
        <v>2282</v>
      </c>
      <c r="R366" s="129" t="s">
        <v>42</v>
      </c>
      <c r="S366" s="129" t="s">
        <v>1201</v>
      </c>
      <c r="T366" s="153"/>
      <c r="U366" s="126" t="s">
        <v>671</v>
      </c>
      <c r="V366" s="126" t="s">
        <v>231</v>
      </c>
      <c r="W366" s="127"/>
      <c r="X366" s="127"/>
      <c r="Y366" s="167">
        <v>45860</v>
      </c>
      <c r="Z366" s="127" t="s">
        <v>232</v>
      </c>
      <c r="AA366" s="129"/>
      <c r="AB366" s="129"/>
      <c r="AC366" s="129"/>
      <c r="AD366" s="129"/>
      <c r="AE366" s="129"/>
      <c r="AF366" s="129"/>
      <c r="AG366" s="129"/>
      <c r="AH366" s="129"/>
      <c r="AI366" s="129"/>
      <c r="AJ366" s="129"/>
      <c r="AK366" s="129"/>
      <c r="AL366" s="129"/>
      <c r="AM366" s="129"/>
      <c r="AN366" s="129"/>
      <c r="AO366" s="129"/>
      <c r="AP366" s="54"/>
      <c r="AQ366" s="54"/>
      <c r="AR366" s="54"/>
      <c r="AS366" s="129"/>
      <c r="AT366" s="129"/>
      <c r="AU366" s="129"/>
      <c r="AV366" s="129"/>
      <c r="AW366" s="126"/>
      <c r="AX366" s="127"/>
      <c r="AY366" s="127"/>
      <c r="AZ366" s="129"/>
      <c r="BA366" s="82"/>
      <c r="BB366" s="82"/>
      <c r="BC366" s="132"/>
      <c r="BD366" s="132"/>
      <c r="BE366" s="133"/>
      <c r="BF366" s="132"/>
      <c r="BG366" s="132"/>
      <c r="BH366" s="132"/>
      <c r="BI366" s="132"/>
      <c r="BJ366" s="132"/>
      <c r="BK366" s="129"/>
      <c r="BL366" s="132"/>
      <c r="BM366" s="132"/>
      <c r="BN366" s="129"/>
      <c r="BO366" s="129"/>
      <c r="BP366" s="153"/>
      <c r="BQ366" s="126"/>
      <c r="BR366" s="126"/>
      <c r="BS366" s="127"/>
      <c r="BT366" s="127"/>
      <c r="BU366" s="129"/>
      <c r="BV366" s="127"/>
      <c r="BW366" s="129"/>
      <c r="BX366" s="129"/>
      <c r="BY366" s="129"/>
      <c r="BZ366" s="129"/>
      <c r="CA366" s="129"/>
      <c r="CB366" s="129"/>
      <c r="CC366" s="129"/>
      <c r="CD366" s="129"/>
      <c r="CE366" s="129"/>
      <c r="CF366" s="129"/>
      <c r="CG366" s="129"/>
      <c r="CH366" s="129"/>
      <c r="CI366" s="129"/>
      <c r="CJ366" s="129"/>
      <c r="CK366" s="129"/>
      <c r="CL366" s="129"/>
      <c r="CM366" s="129"/>
      <c r="CN366" s="129"/>
      <c r="CO366" s="129"/>
      <c r="CP366" s="129"/>
      <c r="CQ366" s="129"/>
      <c r="CR366" s="129"/>
    </row>
    <row r="367" spans="1:96">
      <c r="A367" s="126"/>
      <c r="B367" s="127">
        <v>45848</v>
      </c>
      <c r="C367" s="127">
        <v>45852</v>
      </c>
      <c r="D367" s="60" t="s">
        <v>185</v>
      </c>
      <c r="E367" s="82" t="s">
        <v>219</v>
      </c>
      <c r="F367" s="82" t="s">
        <v>220</v>
      </c>
      <c r="G367" s="132" t="s">
        <v>1681</v>
      </c>
      <c r="H367" s="132">
        <v>8287208542</v>
      </c>
      <c r="I367" s="133" t="s">
        <v>1682</v>
      </c>
      <c r="J367" s="132" t="s">
        <v>1683</v>
      </c>
      <c r="K367" s="132">
        <v>3</v>
      </c>
      <c r="L367" s="132">
        <v>3</v>
      </c>
      <c r="M367" s="132" t="s">
        <v>1684</v>
      </c>
      <c r="N367" s="132" t="s">
        <v>425</v>
      </c>
      <c r="O367" s="129" t="s">
        <v>1226</v>
      </c>
      <c r="P367" s="132" t="s">
        <v>1226</v>
      </c>
      <c r="Q367" s="132" t="s">
        <v>1173</v>
      </c>
      <c r="R367" s="129" t="s">
        <v>1685</v>
      </c>
      <c r="S367" s="129" t="s">
        <v>1201</v>
      </c>
      <c r="T367" s="153"/>
      <c r="U367" s="126" t="s">
        <v>1175</v>
      </c>
      <c r="V367" s="126" t="s">
        <v>808</v>
      </c>
      <c r="W367" s="127" t="s">
        <v>1259</v>
      </c>
      <c r="X367" s="127"/>
      <c r="Y367" s="167"/>
      <c r="Z367" s="127"/>
      <c r="AA367" s="129"/>
      <c r="AB367" s="129"/>
      <c r="AC367" s="129"/>
      <c r="AD367" s="129"/>
      <c r="AE367" s="129"/>
      <c r="AF367" s="129"/>
      <c r="AG367" s="129"/>
      <c r="AH367" s="129"/>
      <c r="AI367" s="129"/>
      <c r="AJ367" s="129"/>
      <c r="AK367" s="129"/>
      <c r="AL367" s="129"/>
      <c r="AM367" s="129"/>
      <c r="AN367" s="129"/>
      <c r="AO367" s="129"/>
      <c r="AP367" s="54"/>
      <c r="AQ367" s="54"/>
      <c r="AR367" s="54"/>
      <c r="AS367" s="129"/>
      <c r="AT367" s="129"/>
      <c r="AU367" s="129"/>
      <c r="AV367" s="129"/>
      <c r="AW367" s="126"/>
      <c r="AX367" s="127"/>
      <c r="AY367" s="127"/>
      <c r="AZ367" s="129"/>
      <c r="BA367" s="82"/>
      <c r="BB367" s="82"/>
      <c r="BC367" s="132"/>
      <c r="BD367" s="132"/>
      <c r="BE367" s="133"/>
      <c r="BF367" s="132"/>
      <c r="BG367" s="132"/>
      <c r="BH367" s="132"/>
      <c r="BI367" s="132"/>
      <c r="BJ367" s="132"/>
      <c r="BK367" s="129"/>
      <c r="BL367" s="132"/>
      <c r="BM367" s="132"/>
      <c r="BN367" s="129"/>
      <c r="BO367" s="129"/>
      <c r="BP367" s="153"/>
      <c r="BQ367" s="126"/>
      <c r="BR367" s="126"/>
      <c r="BS367" s="127"/>
      <c r="BT367" s="127"/>
      <c r="BU367" s="129"/>
      <c r="BV367" s="127"/>
      <c r="BW367" s="129"/>
      <c r="BX367" s="129"/>
      <c r="BY367" s="129"/>
      <c r="BZ367" s="129"/>
      <c r="CA367" s="129"/>
      <c r="CB367" s="129"/>
      <c r="CC367" s="129"/>
      <c r="CD367" s="129"/>
      <c r="CE367" s="129"/>
      <c r="CF367" s="129"/>
      <c r="CG367" s="129"/>
      <c r="CH367" s="129"/>
      <c r="CI367" s="129"/>
      <c r="CJ367" s="129"/>
      <c r="CK367" s="129"/>
      <c r="CL367" s="129"/>
      <c r="CM367" s="129"/>
      <c r="CN367" s="129"/>
      <c r="CO367" s="129"/>
      <c r="CP367" s="129"/>
      <c r="CQ367" s="129"/>
      <c r="CR367" s="129"/>
    </row>
    <row r="368" spans="1:96">
      <c r="A368" s="126"/>
      <c r="B368" s="127">
        <v>45848</v>
      </c>
      <c r="C368" s="127">
        <v>45852</v>
      </c>
      <c r="D368" s="60" t="s">
        <v>185</v>
      </c>
      <c r="E368" s="82" t="s">
        <v>219</v>
      </c>
      <c r="F368" s="82" t="s">
        <v>220</v>
      </c>
      <c r="G368" s="132" t="s">
        <v>1686</v>
      </c>
      <c r="H368" s="132">
        <v>9012627953</v>
      </c>
      <c r="I368" s="133" t="s">
        <v>1687</v>
      </c>
      <c r="J368" s="132" t="s">
        <v>1688</v>
      </c>
      <c r="K368" s="132">
        <v>2.5</v>
      </c>
      <c r="L368" s="132">
        <v>2.5</v>
      </c>
      <c r="M368" s="132" t="s">
        <v>1689</v>
      </c>
      <c r="N368" s="132" t="s">
        <v>425</v>
      </c>
      <c r="O368" s="129" t="s">
        <v>1226</v>
      </c>
      <c r="P368" s="132" t="s">
        <v>1226</v>
      </c>
      <c r="Q368" s="132" t="s">
        <v>1095</v>
      </c>
      <c r="R368" s="129" t="s">
        <v>1690</v>
      </c>
      <c r="S368" s="129" t="s">
        <v>1201</v>
      </c>
      <c r="T368" s="153"/>
      <c r="U368" s="126" t="s">
        <v>1175</v>
      </c>
      <c r="V368" s="126" t="s">
        <v>808</v>
      </c>
      <c r="W368" s="127" t="s">
        <v>1259</v>
      </c>
      <c r="X368" s="127"/>
      <c r="Y368" s="167"/>
      <c r="Z368" s="127"/>
      <c r="AA368" s="129"/>
      <c r="AB368" s="129"/>
      <c r="AC368" s="129"/>
      <c r="AD368" s="129"/>
      <c r="AE368" s="129"/>
      <c r="AF368" s="129"/>
      <c r="AG368" s="129"/>
      <c r="AH368" s="129"/>
      <c r="AI368" s="129"/>
      <c r="AJ368" s="129"/>
      <c r="AK368" s="129"/>
      <c r="AL368" s="129"/>
      <c r="AM368" s="129"/>
      <c r="AN368" s="129"/>
      <c r="AO368" s="129"/>
      <c r="AP368" s="54"/>
      <c r="AQ368" s="54"/>
      <c r="AR368" s="54"/>
      <c r="AS368" s="129"/>
      <c r="AT368" s="129"/>
      <c r="AU368" s="129"/>
      <c r="AV368" s="129"/>
      <c r="AW368" s="126"/>
      <c r="AX368" s="127"/>
      <c r="AY368" s="127"/>
      <c r="AZ368" s="129"/>
      <c r="BA368" s="82"/>
      <c r="BB368" s="82"/>
      <c r="BC368" s="132"/>
      <c r="BD368" s="132"/>
      <c r="BE368" s="133"/>
      <c r="BF368" s="132"/>
      <c r="BG368" s="132"/>
      <c r="BH368" s="132"/>
      <c r="BI368" s="132"/>
      <c r="BJ368" s="132"/>
      <c r="BK368" s="129"/>
      <c r="BL368" s="132"/>
      <c r="BM368" s="132"/>
      <c r="BN368" s="129"/>
      <c r="BO368" s="129"/>
      <c r="BP368" s="153"/>
      <c r="BQ368" s="126"/>
      <c r="BR368" s="126"/>
      <c r="BS368" s="127"/>
      <c r="BT368" s="127"/>
      <c r="BU368" s="129"/>
      <c r="BV368" s="127"/>
      <c r="BW368" s="129"/>
      <c r="BX368" s="129"/>
      <c r="BY368" s="129"/>
      <c r="BZ368" s="129"/>
      <c r="CA368" s="129"/>
      <c r="CB368" s="129"/>
      <c r="CC368" s="129"/>
      <c r="CD368" s="129"/>
      <c r="CE368" s="129"/>
      <c r="CF368" s="129"/>
      <c r="CG368" s="129"/>
      <c r="CH368" s="129"/>
      <c r="CI368" s="129"/>
      <c r="CJ368" s="129"/>
      <c r="CK368" s="129"/>
      <c r="CL368" s="129"/>
      <c r="CM368" s="129"/>
      <c r="CN368" s="129"/>
      <c r="CO368" s="129"/>
      <c r="CP368" s="129"/>
      <c r="CQ368" s="129"/>
      <c r="CR368" s="129"/>
    </row>
    <row r="369" spans="1:420">
      <c r="A369" s="126"/>
      <c r="B369" s="127">
        <v>45848</v>
      </c>
      <c r="C369" s="127">
        <v>45853</v>
      </c>
      <c r="D369" s="60" t="s">
        <v>189</v>
      </c>
      <c r="E369" s="82" t="s">
        <v>219</v>
      </c>
      <c r="F369" s="82" t="s">
        <v>220</v>
      </c>
      <c r="G369" s="132" t="s">
        <v>2283</v>
      </c>
      <c r="H369" s="132">
        <v>9556870695</v>
      </c>
      <c r="I369" s="133" t="s">
        <v>2284</v>
      </c>
      <c r="J369" s="132" t="s">
        <v>2285</v>
      </c>
      <c r="K369" s="132">
        <v>18</v>
      </c>
      <c r="L369" s="132">
        <v>18</v>
      </c>
      <c r="M369" s="132" t="s">
        <v>2286</v>
      </c>
      <c r="N369" s="132" t="s">
        <v>756</v>
      </c>
      <c r="O369" s="129" t="s">
        <v>2287</v>
      </c>
      <c r="P369" s="132" t="s">
        <v>770</v>
      </c>
      <c r="Q369" s="132" t="s">
        <v>558</v>
      </c>
      <c r="R369" s="129" t="s">
        <v>228</v>
      </c>
      <c r="S369" s="129" t="s">
        <v>1201</v>
      </c>
      <c r="T369" s="153"/>
      <c r="U369" s="126" t="s">
        <v>1175</v>
      </c>
      <c r="V369" s="126" t="s">
        <v>2111</v>
      </c>
      <c r="W369" s="127" t="s">
        <v>741</v>
      </c>
      <c r="X369" s="127">
        <v>45853</v>
      </c>
      <c r="Y369" s="167">
        <v>45854</v>
      </c>
      <c r="Z369" s="127"/>
      <c r="AA369" s="129"/>
      <c r="AB369" s="129"/>
      <c r="AC369" s="129"/>
      <c r="AD369" s="129"/>
      <c r="AE369" s="129"/>
      <c r="AF369" s="129"/>
      <c r="AG369" s="129"/>
      <c r="AH369" s="129"/>
      <c r="AI369" s="129"/>
      <c r="AJ369" s="129"/>
      <c r="AK369" s="129"/>
      <c r="AL369" s="129"/>
      <c r="AM369" s="129"/>
      <c r="AN369" s="129"/>
      <c r="AO369" s="129"/>
      <c r="AP369" s="54"/>
      <c r="AQ369" s="54"/>
      <c r="AR369" s="54"/>
      <c r="AS369" s="129"/>
      <c r="AT369" s="129"/>
      <c r="AU369" s="129"/>
      <c r="AV369" s="129"/>
      <c r="AW369" s="126"/>
      <c r="AX369" s="127"/>
      <c r="AY369" s="127"/>
      <c r="AZ369" s="129"/>
      <c r="BA369" s="82"/>
      <c r="BB369" s="82"/>
      <c r="BC369" s="132"/>
      <c r="BD369" s="132"/>
      <c r="BE369" s="133"/>
      <c r="BF369" s="132"/>
      <c r="BG369" s="132"/>
      <c r="BH369" s="132"/>
      <c r="BI369" s="132"/>
      <c r="BJ369" s="132"/>
      <c r="BK369" s="129"/>
      <c r="BL369" s="132"/>
      <c r="BM369" s="132"/>
      <c r="BN369" s="129"/>
      <c r="BO369" s="129"/>
      <c r="BP369" s="153"/>
      <c r="BQ369" s="126"/>
      <c r="BR369" s="126"/>
      <c r="BS369" s="127"/>
      <c r="BT369" s="127"/>
      <c r="BU369" s="129"/>
      <c r="BV369" s="127"/>
      <c r="BW369" s="129"/>
      <c r="BX369" s="129"/>
      <c r="BY369" s="129"/>
      <c r="BZ369" s="129"/>
      <c r="CA369" s="129"/>
      <c r="CB369" s="129"/>
      <c r="CC369" s="129"/>
      <c r="CD369" s="129"/>
      <c r="CE369" s="129"/>
      <c r="CF369" s="129"/>
      <c r="CG369" s="129"/>
      <c r="CH369" s="129"/>
      <c r="CI369" s="129"/>
      <c r="CJ369" s="129"/>
      <c r="CK369" s="129"/>
      <c r="CL369" s="129"/>
      <c r="CM369" s="129"/>
      <c r="CN369" s="129"/>
      <c r="CO369" s="129"/>
      <c r="CP369" s="129"/>
      <c r="CQ369" s="129"/>
      <c r="CR369" s="129"/>
    </row>
    <row r="370" spans="1:420">
      <c r="A370" s="126"/>
      <c r="B370" s="127">
        <v>45848</v>
      </c>
      <c r="C370" s="127">
        <v>45853</v>
      </c>
      <c r="D370" s="60" t="s">
        <v>189</v>
      </c>
      <c r="E370" s="82" t="s">
        <v>219</v>
      </c>
      <c r="F370" s="82" t="s">
        <v>220</v>
      </c>
      <c r="G370" s="132" t="s">
        <v>2288</v>
      </c>
      <c r="H370" s="132" t="s">
        <v>2289</v>
      </c>
      <c r="I370" s="133" t="s">
        <v>2290</v>
      </c>
      <c r="J370" s="132" t="s">
        <v>2285</v>
      </c>
      <c r="K370" s="132" t="s">
        <v>2291</v>
      </c>
      <c r="L370" s="132" t="s">
        <v>2291</v>
      </c>
      <c r="M370" s="132" t="s">
        <v>2292</v>
      </c>
      <c r="N370" s="132" t="s">
        <v>425</v>
      </c>
      <c r="O370" s="129" t="s">
        <v>2293</v>
      </c>
      <c r="P370" s="132" t="s">
        <v>770</v>
      </c>
      <c r="Q370" s="132" t="s">
        <v>402</v>
      </c>
      <c r="R370" s="129" t="s">
        <v>79</v>
      </c>
      <c r="S370" s="129" t="s">
        <v>1201</v>
      </c>
      <c r="T370" s="153"/>
      <c r="U370" s="126" t="s">
        <v>1175</v>
      </c>
      <c r="V370" s="126" t="s">
        <v>2111</v>
      </c>
      <c r="W370" s="127" t="s">
        <v>741</v>
      </c>
      <c r="X370" s="127">
        <v>45853</v>
      </c>
      <c r="Y370" s="167">
        <v>45855</v>
      </c>
      <c r="Z370" s="127"/>
      <c r="AA370" s="129"/>
      <c r="AB370" s="129"/>
      <c r="AC370" s="129"/>
      <c r="AD370" s="129"/>
      <c r="AE370" s="129"/>
      <c r="AF370" s="129"/>
      <c r="AG370" s="129"/>
      <c r="AH370" s="129"/>
      <c r="AI370" s="129"/>
      <c r="AJ370" s="129"/>
      <c r="AK370" s="129"/>
      <c r="AL370" s="129"/>
      <c r="AM370" s="129"/>
      <c r="AN370" s="129"/>
      <c r="AO370" s="129"/>
      <c r="AP370" s="54"/>
      <c r="AQ370" s="54"/>
      <c r="AR370" s="54"/>
      <c r="AS370" s="129"/>
      <c r="AT370" s="129"/>
      <c r="AU370" s="129"/>
      <c r="AV370" s="129"/>
      <c r="AW370" s="126"/>
      <c r="AX370" s="127"/>
      <c r="AY370" s="127"/>
      <c r="AZ370" s="129"/>
      <c r="BA370" s="82"/>
      <c r="BB370" s="82"/>
      <c r="BC370" s="132"/>
      <c r="BD370" s="132"/>
      <c r="BE370" s="133"/>
      <c r="BF370" s="132"/>
      <c r="BG370" s="132"/>
      <c r="BH370" s="132"/>
      <c r="BI370" s="132"/>
      <c r="BJ370" s="132"/>
      <c r="BK370" s="129"/>
      <c r="BL370" s="132"/>
      <c r="BM370" s="132"/>
      <c r="BN370" s="129"/>
      <c r="BO370" s="129"/>
      <c r="BP370" s="153"/>
      <c r="BQ370" s="126"/>
      <c r="BR370" s="126"/>
      <c r="BS370" s="127"/>
      <c r="BT370" s="127"/>
      <c r="BU370" s="129"/>
      <c r="BV370" s="127"/>
      <c r="BW370" s="129"/>
      <c r="BX370" s="129"/>
      <c r="BY370" s="129"/>
      <c r="BZ370" s="129"/>
      <c r="CA370" s="129"/>
      <c r="CB370" s="129"/>
      <c r="CC370" s="129"/>
      <c r="CD370" s="129"/>
      <c r="CE370" s="129"/>
      <c r="CF370" s="129"/>
      <c r="CG370" s="129"/>
      <c r="CH370" s="129"/>
      <c r="CI370" s="129"/>
      <c r="CJ370" s="129"/>
      <c r="CK370" s="129"/>
      <c r="CL370" s="129"/>
      <c r="CM370" s="129"/>
      <c r="CN370" s="129"/>
      <c r="CO370" s="129"/>
      <c r="CP370" s="129"/>
      <c r="CQ370" s="129"/>
      <c r="CR370" s="129"/>
    </row>
    <row r="371" spans="1:420">
      <c r="A371" s="126"/>
      <c r="B371" s="127">
        <v>45848</v>
      </c>
      <c r="C371" s="127">
        <v>45855</v>
      </c>
      <c r="D371" s="60" t="s">
        <v>189</v>
      </c>
      <c r="E371" s="82" t="s">
        <v>219</v>
      </c>
      <c r="F371" s="82" t="s">
        <v>220</v>
      </c>
      <c r="G371" s="132" t="s">
        <v>2294</v>
      </c>
      <c r="H371" s="132">
        <v>9952570198</v>
      </c>
      <c r="I371" s="133" t="s">
        <v>2295</v>
      </c>
      <c r="J371" s="132" t="s">
        <v>2285</v>
      </c>
      <c r="K371" s="132">
        <v>14.5</v>
      </c>
      <c r="L371" s="132">
        <v>12.5</v>
      </c>
      <c r="M371" s="132" t="s">
        <v>2296</v>
      </c>
      <c r="N371" s="132" t="s">
        <v>756</v>
      </c>
      <c r="O371" s="129" t="s">
        <v>2297</v>
      </c>
      <c r="P371" s="132" t="s">
        <v>770</v>
      </c>
      <c r="Q371" s="132" t="s">
        <v>558</v>
      </c>
      <c r="R371" s="129" t="s">
        <v>2298</v>
      </c>
      <c r="S371" s="129" t="s">
        <v>1201</v>
      </c>
      <c r="T371" s="153"/>
      <c r="U371" s="126" t="s">
        <v>1175</v>
      </c>
      <c r="V371" s="126" t="s">
        <v>231</v>
      </c>
      <c r="W371" s="127"/>
      <c r="X371" s="127"/>
      <c r="Y371" s="167">
        <v>45860</v>
      </c>
      <c r="Z371" s="127" t="s">
        <v>232</v>
      </c>
      <c r="AA371" s="129"/>
      <c r="AB371" s="129"/>
      <c r="AC371" s="129"/>
      <c r="AD371" s="129"/>
      <c r="AE371" s="129"/>
      <c r="AF371" s="129"/>
      <c r="AG371" s="129"/>
      <c r="AH371" s="129"/>
      <c r="AI371" s="129"/>
      <c r="AJ371" s="129"/>
      <c r="AK371" s="129"/>
      <c r="AL371" s="129"/>
      <c r="AM371" s="129"/>
      <c r="AN371" s="129"/>
      <c r="AO371" s="129"/>
      <c r="AP371" s="54"/>
      <c r="AQ371" s="54"/>
      <c r="AR371" s="54"/>
      <c r="AS371" s="129"/>
      <c r="AT371" s="129"/>
      <c r="AU371" s="129"/>
      <c r="AV371" s="129"/>
      <c r="AW371" s="126"/>
      <c r="AX371" s="127"/>
      <c r="AY371" s="127"/>
      <c r="AZ371" s="129"/>
      <c r="BA371" s="82"/>
      <c r="BB371" s="82"/>
      <c r="BC371" s="132"/>
      <c r="BD371" s="132"/>
      <c r="BE371" s="133"/>
      <c r="BF371" s="132"/>
      <c r="BG371" s="132"/>
      <c r="BH371" s="132"/>
      <c r="BI371" s="132"/>
      <c r="BJ371" s="132"/>
      <c r="BK371" s="129"/>
      <c r="BL371" s="132"/>
      <c r="BM371" s="132"/>
      <c r="BN371" s="129"/>
      <c r="BO371" s="129"/>
      <c r="BP371" s="153"/>
      <c r="BQ371" s="126"/>
      <c r="BR371" s="126"/>
      <c r="BS371" s="127"/>
      <c r="BT371" s="127"/>
      <c r="BU371" s="129"/>
      <c r="BV371" s="127"/>
      <c r="BW371" s="129"/>
      <c r="BX371" s="129"/>
      <c r="BY371" s="129"/>
      <c r="BZ371" s="129"/>
      <c r="CA371" s="129"/>
      <c r="CB371" s="129"/>
      <c r="CC371" s="129"/>
      <c r="CD371" s="129"/>
      <c r="CE371" s="129"/>
      <c r="CF371" s="129"/>
      <c r="CG371" s="129"/>
      <c r="CH371" s="129"/>
      <c r="CI371" s="129"/>
      <c r="CJ371" s="129"/>
      <c r="CK371" s="129"/>
      <c r="CL371" s="129"/>
      <c r="CM371" s="129"/>
      <c r="CN371" s="129"/>
      <c r="CO371" s="129"/>
      <c r="CP371" s="129"/>
      <c r="CQ371" s="129"/>
      <c r="CR371" s="129"/>
    </row>
    <row r="372" spans="1:420">
      <c r="A372" s="87"/>
      <c r="B372" s="135">
        <v>45747</v>
      </c>
      <c r="C372" s="127">
        <v>45855</v>
      </c>
      <c r="D372" s="87" t="s">
        <v>141</v>
      </c>
      <c r="E372" s="82" t="s">
        <v>219</v>
      </c>
      <c r="F372" s="82" t="s">
        <v>220</v>
      </c>
      <c r="G372" s="89" t="s">
        <v>2299</v>
      </c>
      <c r="H372" s="89">
        <v>9594999674</v>
      </c>
      <c r="I372" s="207" t="s">
        <v>2300</v>
      </c>
      <c r="J372" s="89" t="s">
        <v>2301</v>
      </c>
      <c r="K372" s="89">
        <v>13.4</v>
      </c>
      <c r="L372" s="89">
        <v>11.4</v>
      </c>
      <c r="M372" s="89" t="s">
        <v>2302</v>
      </c>
      <c r="N372" s="89" t="s">
        <v>2303</v>
      </c>
      <c r="O372" s="89" t="s">
        <v>2304</v>
      </c>
      <c r="P372" s="89" t="s">
        <v>2305</v>
      </c>
      <c r="Q372" s="89" t="s">
        <v>2306</v>
      </c>
      <c r="R372" s="89" t="s">
        <v>290</v>
      </c>
      <c r="S372" s="89" t="s">
        <v>68</v>
      </c>
      <c r="T372" s="60"/>
      <c r="U372" s="87" t="s">
        <v>671</v>
      </c>
      <c r="V372" s="126" t="s">
        <v>239</v>
      </c>
      <c r="W372" s="127"/>
      <c r="X372" s="135">
        <v>45859</v>
      </c>
      <c r="Y372" s="87"/>
      <c r="Z372" s="16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  <c r="AM372" s="87"/>
      <c r="AN372" s="87"/>
      <c r="AO372" s="54"/>
      <c r="AP372" s="54"/>
      <c r="AQ372" s="54"/>
      <c r="AR372" s="87"/>
      <c r="AS372" s="87"/>
      <c r="AT372" s="87"/>
      <c r="AU372" s="87"/>
      <c r="AV372" s="87"/>
      <c r="AW372" s="87"/>
      <c r="AX372" s="87"/>
      <c r="AY372" s="87"/>
      <c r="AZ372" s="87"/>
      <c r="BA372" s="87"/>
      <c r="BB372" s="87"/>
      <c r="BC372" s="87"/>
      <c r="BD372" s="87"/>
      <c r="BE372" s="87"/>
      <c r="BF372" s="87"/>
      <c r="BG372" s="87"/>
      <c r="BH372" s="87"/>
      <c r="BI372" s="87"/>
      <c r="BJ372" s="87"/>
      <c r="BK372" s="87"/>
      <c r="BL372" s="87"/>
      <c r="BM372" s="87"/>
      <c r="BN372" s="87"/>
      <c r="BO372" s="87"/>
      <c r="BP372" s="87"/>
      <c r="BQ372" s="87"/>
      <c r="BR372" s="87"/>
      <c r="BS372" s="87"/>
      <c r="BT372" s="87"/>
      <c r="BU372" s="87"/>
      <c r="BV372" s="87"/>
      <c r="BW372" s="87"/>
      <c r="BX372" s="87"/>
      <c r="BY372" s="87"/>
      <c r="BZ372" s="87"/>
      <c r="CA372" s="87"/>
      <c r="CB372" s="87"/>
      <c r="CC372" s="87"/>
      <c r="CD372" s="87"/>
      <c r="CE372" s="87"/>
      <c r="CF372" s="87"/>
      <c r="CG372" s="87"/>
      <c r="CH372" s="87"/>
      <c r="CI372" s="87"/>
      <c r="CJ372" s="87"/>
      <c r="CK372" s="87"/>
      <c r="CL372" s="87"/>
      <c r="CM372" s="87"/>
      <c r="CN372" s="87"/>
      <c r="CO372" s="87"/>
      <c r="CP372" s="87"/>
      <c r="CQ372" s="87"/>
      <c r="CR372" s="87"/>
      <c r="CS372" s="87"/>
      <c r="CT372" s="60"/>
      <c r="CU372" s="87"/>
      <c r="CV372" s="87"/>
      <c r="CW372" s="87"/>
      <c r="CX372" s="87"/>
      <c r="CY372" s="87"/>
      <c r="CZ372" s="87"/>
      <c r="DA372" s="87"/>
      <c r="DB372" s="87"/>
      <c r="DC372" s="87"/>
      <c r="DD372" s="87"/>
      <c r="DE372" s="87"/>
      <c r="DF372" s="87"/>
      <c r="DG372" s="87"/>
      <c r="DH372" s="87"/>
      <c r="DI372" s="87"/>
      <c r="DJ372" s="87"/>
      <c r="DK372" s="60"/>
      <c r="DL372" s="87"/>
      <c r="DM372" s="60"/>
      <c r="DN372" s="60"/>
      <c r="DO372" s="87"/>
      <c r="DP372" s="87"/>
      <c r="DQ372" s="87"/>
      <c r="DR372" s="87"/>
      <c r="DS372" s="87"/>
      <c r="DT372" s="87"/>
      <c r="DU372" s="87"/>
      <c r="DV372" s="87"/>
      <c r="DW372" s="87"/>
      <c r="DX372" s="87"/>
      <c r="DY372" s="87"/>
      <c r="DZ372" s="87"/>
      <c r="EA372" s="87"/>
      <c r="EB372" s="87"/>
      <c r="EC372" s="87"/>
      <c r="ED372" s="87"/>
      <c r="EE372" s="87"/>
      <c r="EF372" s="60"/>
      <c r="EG372" s="60"/>
      <c r="EH372" s="60"/>
      <c r="EI372" s="87"/>
      <c r="EJ372" s="87"/>
      <c r="EK372" s="87"/>
      <c r="EL372" s="87"/>
      <c r="EM372" s="87"/>
      <c r="EN372" s="87"/>
      <c r="EO372" s="87"/>
      <c r="EP372" s="87"/>
      <c r="EQ372" s="87"/>
      <c r="ER372" s="87"/>
      <c r="ES372" s="87"/>
      <c r="ET372" s="87"/>
      <c r="EU372" s="87"/>
      <c r="EV372" s="87"/>
      <c r="EW372" s="87"/>
      <c r="EX372" s="87"/>
      <c r="EY372" s="87"/>
      <c r="EZ372" s="87"/>
      <c r="FA372" s="87"/>
      <c r="FB372" s="87"/>
      <c r="FC372" s="87"/>
      <c r="FD372" s="87"/>
      <c r="FE372" s="87"/>
      <c r="FF372" s="87"/>
      <c r="FG372" s="87"/>
      <c r="FH372" s="87"/>
      <c r="FI372" s="87"/>
      <c r="FJ372" s="87"/>
      <c r="FK372" s="87"/>
      <c r="FL372" s="87"/>
      <c r="FM372" s="87"/>
      <c r="FN372" s="87"/>
      <c r="FO372" s="87"/>
      <c r="FP372" s="87"/>
      <c r="FQ372" s="87"/>
      <c r="FR372" s="87"/>
      <c r="FS372" s="87"/>
      <c r="FT372" s="87"/>
      <c r="FU372" s="87"/>
      <c r="FV372" s="87"/>
      <c r="FW372" s="87"/>
      <c r="FX372" s="87"/>
      <c r="FY372" s="87"/>
      <c r="FZ372" s="87"/>
      <c r="GA372" s="87"/>
      <c r="GB372" s="87"/>
      <c r="GC372" s="87"/>
      <c r="GD372" s="87"/>
      <c r="GE372" s="87"/>
      <c r="GF372" s="87"/>
      <c r="GG372" s="87"/>
      <c r="GH372" s="87"/>
      <c r="NO372" s="224"/>
      <c r="NP372" s="225"/>
      <c r="NR372" s="226"/>
      <c r="NS372" s="226"/>
      <c r="NT372" s="214"/>
      <c r="NU372" s="214"/>
      <c r="NV372" s="231"/>
      <c r="NW372" s="214"/>
      <c r="NX372" s="214"/>
      <c r="NY372" s="214"/>
      <c r="NZ372" s="214"/>
      <c r="OA372" s="214"/>
      <c r="OB372" s="214"/>
      <c r="OC372" s="214"/>
      <c r="OD372" s="214"/>
      <c r="OE372" s="214"/>
      <c r="OF372" s="214"/>
      <c r="OI372" s="227"/>
      <c r="OJ372" s="225"/>
      <c r="OK372" s="224"/>
      <c r="OM372" s="230"/>
      <c r="PB372" s="226"/>
      <c r="PC372" s="226"/>
      <c r="PD372" s="226"/>
    </row>
    <row r="373" spans="1:420">
      <c r="A373" s="87"/>
      <c r="B373" s="135">
        <v>45747</v>
      </c>
      <c r="C373" s="127">
        <v>45855</v>
      </c>
      <c r="D373" s="87" t="s">
        <v>141</v>
      </c>
      <c r="E373" s="82" t="s">
        <v>219</v>
      </c>
      <c r="F373" s="82" t="s">
        <v>220</v>
      </c>
      <c r="G373" s="89" t="s">
        <v>2307</v>
      </c>
      <c r="H373" s="89">
        <v>8510855966</v>
      </c>
      <c r="I373" s="207" t="s">
        <v>2308</v>
      </c>
      <c r="J373" s="89" t="s">
        <v>2309</v>
      </c>
      <c r="K373" s="89">
        <v>18.5</v>
      </c>
      <c r="L373" s="89" t="s">
        <v>1226</v>
      </c>
      <c r="M373" s="89" t="s">
        <v>2310</v>
      </c>
      <c r="N373" s="89" t="s">
        <v>2303</v>
      </c>
      <c r="O373" s="89" t="s">
        <v>630</v>
      </c>
      <c r="P373" s="89" t="s">
        <v>488</v>
      </c>
      <c r="Q373" s="89" t="s">
        <v>2311</v>
      </c>
      <c r="R373" s="89" t="s">
        <v>2312</v>
      </c>
      <c r="S373" s="89" t="s">
        <v>68</v>
      </c>
      <c r="T373" s="60"/>
      <c r="U373" s="87" t="s">
        <v>671</v>
      </c>
      <c r="V373" s="126" t="s">
        <v>599</v>
      </c>
      <c r="W373" s="127"/>
      <c r="X373" s="135">
        <v>45859</v>
      </c>
      <c r="Y373" s="167">
        <v>45860</v>
      </c>
      <c r="Z373" s="167" t="s">
        <v>340</v>
      </c>
      <c r="AA373" s="167">
        <v>45896</v>
      </c>
      <c r="AB373" s="87" t="s">
        <v>232</v>
      </c>
      <c r="AC373" s="87"/>
      <c r="AD373" s="87"/>
      <c r="AE373" s="87"/>
      <c r="AF373" s="87"/>
      <c r="AG373" s="87"/>
      <c r="AH373" s="87"/>
      <c r="AI373" s="87"/>
      <c r="AJ373" s="87"/>
      <c r="AK373" s="87"/>
      <c r="AL373" s="87"/>
      <c r="AM373" s="87"/>
      <c r="AN373" s="87"/>
      <c r="AO373" s="54"/>
      <c r="AP373" s="54"/>
      <c r="AQ373" s="54"/>
      <c r="AR373" s="87"/>
      <c r="AS373" s="87"/>
      <c r="AT373" s="87"/>
      <c r="AU373" s="87"/>
      <c r="AV373" s="87"/>
      <c r="AW373" s="87"/>
      <c r="AX373" s="87"/>
      <c r="AY373" s="87"/>
      <c r="AZ373" s="87"/>
      <c r="BA373" s="87"/>
      <c r="BB373" s="87"/>
      <c r="BC373" s="87"/>
      <c r="BD373" s="87"/>
      <c r="BE373" s="87"/>
      <c r="BF373" s="87"/>
      <c r="BG373" s="87"/>
      <c r="BH373" s="87"/>
      <c r="BI373" s="87"/>
      <c r="BJ373" s="87"/>
      <c r="BK373" s="87"/>
      <c r="BL373" s="87"/>
      <c r="BM373" s="87"/>
      <c r="BN373" s="87"/>
      <c r="BO373" s="87"/>
      <c r="BP373" s="87"/>
      <c r="BQ373" s="87"/>
      <c r="BR373" s="87"/>
      <c r="BS373" s="87"/>
      <c r="BT373" s="87"/>
      <c r="BU373" s="87"/>
      <c r="BV373" s="87"/>
      <c r="BW373" s="87"/>
      <c r="BX373" s="87"/>
      <c r="BY373" s="87"/>
      <c r="BZ373" s="87"/>
      <c r="CA373" s="87"/>
      <c r="CB373" s="87"/>
      <c r="CC373" s="87"/>
      <c r="CD373" s="87"/>
      <c r="CE373" s="87"/>
      <c r="CF373" s="87"/>
      <c r="CG373" s="87"/>
      <c r="CH373" s="87"/>
      <c r="CI373" s="87"/>
      <c r="CJ373" s="87"/>
      <c r="CK373" s="87"/>
      <c r="CL373" s="87"/>
      <c r="CM373" s="87"/>
      <c r="CN373" s="87"/>
      <c r="CO373" s="87"/>
      <c r="CP373" s="87"/>
      <c r="CQ373" s="87"/>
      <c r="CR373" s="87"/>
      <c r="CS373" s="87"/>
      <c r="CT373" s="87"/>
      <c r="CU373" s="60"/>
      <c r="CV373" s="87"/>
      <c r="CW373" s="87"/>
      <c r="CX373" s="87"/>
      <c r="CY373" s="87"/>
      <c r="CZ373" s="87"/>
      <c r="DA373" s="87"/>
      <c r="DB373" s="87"/>
      <c r="DC373" s="87"/>
      <c r="DD373" s="87"/>
      <c r="DE373" s="87"/>
      <c r="DF373" s="87"/>
      <c r="DG373" s="87"/>
      <c r="DH373" s="87"/>
      <c r="DI373" s="87"/>
      <c r="DJ373" s="87"/>
      <c r="DK373" s="87"/>
      <c r="DL373" s="60"/>
      <c r="DM373" s="87"/>
      <c r="DN373" s="60"/>
      <c r="DO373" s="60"/>
      <c r="DP373" s="87"/>
      <c r="DQ373" s="87"/>
      <c r="DR373" s="87"/>
      <c r="DS373" s="87"/>
      <c r="DT373" s="87"/>
      <c r="DU373" s="87"/>
      <c r="DV373" s="87"/>
      <c r="DW373" s="87"/>
      <c r="DX373" s="87"/>
      <c r="DY373" s="87"/>
      <c r="DZ373" s="87"/>
      <c r="EA373" s="87"/>
      <c r="EB373" s="87"/>
      <c r="EC373" s="87"/>
      <c r="ED373" s="87"/>
      <c r="EE373" s="87"/>
      <c r="EF373" s="87"/>
      <c r="EG373" s="60"/>
      <c r="EH373" s="60"/>
      <c r="EI373" s="60"/>
      <c r="EJ373" s="87"/>
      <c r="EK373" s="87"/>
      <c r="EL373" s="87"/>
      <c r="EM373" s="87"/>
      <c r="EN373" s="87"/>
      <c r="EO373" s="87"/>
      <c r="EP373" s="87"/>
      <c r="EQ373" s="87"/>
      <c r="ER373" s="87"/>
      <c r="ES373" s="87"/>
      <c r="ET373" s="87"/>
      <c r="EU373" s="87"/>
      <c r="EV373" s="87"/>
      <c r="EW373" s="87"/>
      <c r="EX373" s="87"/>
      <c r="EY373" s="87"/>
      <c r="EZ373" s="87"/>
      <c r="FA373" s="87"/>
      <c r="FB373" s="87"/>
      <c r="FC373" s="87"/>
      <c r="FD373" s="87"/>
      <c r="FE373" s="87"/>
      <c r="FF373" s="87"/>
      <c r="FG373" s="87"/>
      <c r="FH373" s="87"/>
      <c r="FI373" s="87"/>
      <c r="FJ373" s="87"/>
      <c r="FK373" s="87"/>
      <c r="FL373" s="87"/>
      <c r="FM373" s="87"/>
      <c r="FN373" s="87"/>
      <c r="FO373" s="87"/>
      <c r="FP373" s="87"/>
      <c r="FQ373" s="87"/>
      <c r="FR373" s="87"/>
      <c r="FS373" s="87"/>
      <c r="FT373" s="87"/>
      <c r="FU373" s="87"/>
      <c r="FV373" s="87"/>
      <c r="FW373" s="87"/>
      <c r="FX373" s="87"/>
      <c r="FY373" s="87"/>
      <c r="FZ373" s="87"/>
      <c r="GA373" s="87"/>
      <c r="GB373" s="87"/>
      <c r="GC373" s="87"/>
      <c r="GD373" s="87"/>
      <c r="GE373" s="87"/>
      <c r="GF373" s="87"/>
      <c r="GG373" s="87"/>
      <c r="GH373" s="87"/>
      <c r="NO373" s="224"/>
      <c r="NP373" s="225"/>
      <c r="NR373" s="226"/>
      <c r="NS373" s="226"/>
      <c r="NT373" s="214"/>
      <c r="NU373" s="214"/>
      <c r="NV373" s="231"/>
      <c r="NW373" s="214"/>
      <c r="NX373" s="214"/>
      <c r="NY373" s="214"/>
      <c r="NZ373" s="214"/>
      <c r="OA373" s="214"/>
      <c r="OB373" s="214"/>
      <c r="OC373" s="214"/>
      <c r="OD373" s="214"/>
      <c r="OE373" s="214"/>
      <c r="OF373" s="214"/>
      <c r="OI373" s="227"/>
      <c r="OJ373" s="225"/>
      <c r="OK373" s="224"/>
      <c r="OM373" s="230"/>
      <c r="PB373" s="226"/>
      <c r="PC373" s="226"/>
      <c r="PD373" s="226"/>
    </row>
    <row r="374" spans="1:420">
      <c r="A374" s="87"/>
      <c r="B374" s="127">
        <v>45848</v>
      </c>
      <c r="C374" s="127">
        <v>45857</v>
      </c>
      <c r="D374" s="87" t="s">
        <v>171</v>
      </c>
      <c r="E374" s="82" t="s">
        <v>219</v>
      </c>
      <c r="F374" s="82" t="s">
        <v>220</v>
      </c>
      <c r="G374" s="140" t="s">
        <v>2313</v>
      </c>
      <c r="H374" s="87">
        <v>7828245401</v>
      </c>
      <c r="I374" s="87" t="s">
        <v>2314</v>
      </c>
      <c r="J374" s="190" t="s">
        <v>2315</v>
      </c>
      <c r="K374" s="87">
        <v>13</v>
      </c>
      <c r="L374" s="87">
        <v>8</v>
      </c>
      <c r="M374" s="87" t="s">
        <v>2316</v>
      </c>
      <c r="N374" s="87" t="s">
        <v>425</v>
      </c>
      <c r="O374" s="87" t="s">
        <v>440</v>
      </c>
      <c r="P374" s="87" t="s">
        <v>770</v>
      </c>
      <c r="Q374" s="87" t="s">
        <v>2317</v>
      </c>
      <c r="R374" s="87" t="s">
        <v>664</v>
      </c>
      <c r="S374" s="87" t="s">
        <v>1201</v>
      </c>
      <c r="T374" s="60">
        <v>1.1000000000000001</v>
      </c>
      <c r="U374" s="87" t="s">
        <v>1175</v>
      </c>
      <c r="V374" s="126" t="s">
        <v>2318</v>
      </c>
      <c r="W374" s="127" t="s">
        <v>164</v>
      </c>
      <c r="X374" s="135">
        <v>45861</v>
      </c>
      <c r="Y374" s="135">
        <v>45862</v>
      </c>
      <c r="Z374" s="167" t="s">
        <v>340</v>
      </c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87"/>
      <c r="AM374" s="87"/>
      <c r="AN374" s="87"/>
      <c r="AO374" s="54"/>
      <c r="AP374" s="54"/>
      <c r="AQ374" s="54"/>
      <c r="AR374" s="87"/>
      <c r="AS374" s="87"/>
      <c r="AT374" s="87"/>
      <c r="AU374" s="87"/>
      <c r="AV374" s="87"/>
      <c r="AW374" s="87"/>
      <c r="AX374" s="87"/>
      <c r="AY374" s="87"/>
      <c r="AZ374" s="87"/>
      <c r="BA374" s="87"/>
      <c r="BB374" s="87"/>
      <c r="BC374" s="87"/>
      <c r="BD374" s="87"/>
      <c r="BE374" s="87"/>
      <c r="BF374" s="87"/>
      <c r="BG374" s="87"/>
      <c r="BH374" s="87"/>
      <c r="BI374" s="87"/>
      <c r="BJ374" s="87"/>
      <c r="BK374" s="87"/>
      <c r="BL374" s="87"/>
      <c r="BM374" s="87"/>
      <c r="BN374" s="87"/>
      <c r="BO374" s="87"/>
      <c r="BP374" s="87"/>
      <c r="BQ374" s="87"/>
      <c r="BR374" s="87"/>
      <c r="BS374" s="87"/>
      <c r="BT374" s="87"/>
      <c r="BU374" s="87"/>
      <c r="BV374" s="87"/>
      <c r="BW374" s="87"/>
      <c r="BX374" s="87"/>
      <c r="BY374" s="87"/>
      <c r="BZ374" s="87"/>
      <c r="CA374" s="87"/>
      <c r="CB374" s="87"/>
      <c r="CC374" s="87"/>
      <c r="CD374" s="87"/>
      <c r="CE374" s="87"/>
      <c r="CF374" s="87"/>
      <c r="CG374" s="87"/>
      <c r="CH374" s="87"/>
      <c r="CI374" s="87"/>
      <c r="CJ374" s="87"/>
      <c r="CK374" s="87"/>
      <c r="CL374" s="87"/>
      <c r="CM374" s="87"/>
      <c r="CN374" s="87"/>
      <c r="CO374" s="87"/>
      <c r="CP374" s="87"/>
      <c r="CQ374" s="87"/>
      <c r="CR374" s="87"/>
      <c r="CS374" s="135"/>
      <c r="CT374" s="127"/>
      <c r="CU374" s="87"/>
      <c r="CV374" s="82"/>
      <c r="CW374" s="82"/>
      <c r="CX374" s="140"/>
      <c r="CY374" s="87"/>
      <c r="CZ374" s="87"/>
      <c r="DA374" s="190"/>
      <c r="DB374" s="87"/>
      <c r="DC374" s="87"/>
      <c r="DD374" s="87"/>
      <c r="DE374" s="87"/>
      <c r="DF374" s="87"/>
      <c r="DG374" s="87"/>
      <c r="DH374" s="87"/>
      <c r="DI374" s="87"/>
      <c r="DJ374" s="87"/>
      <c r="DK374" s="60"/>
      <c r="DL374" s="87"/>
      <c r="DM374" s="126"/>
      <c r="DN374" s="127"/>
      <c r="DO374" s="135"/>
      <c r="DP374" s="87"/>
      <c r="DQ374" s="167"/>
      <c r="DR374" s="87"/>
      <c r="DS374" s="87"/>
      <c r="DT374" s="87"/>
      <c r="DU374" s="87"/>
      <c r="DV374" s="87"/>
      <c r="DW374" s="87"/>
      <c r="DX374" s="87"/>
      <c r="DY374" s="87"/>
      <c r="DZ374" s="87"/>
      <c r="EA374" s="87"/>
      <c r="EB374" s="87"/>
      <c r="EC374" s="87"/>
      <c r="ED374" s="87"/>
      <c r="EE374" s="87"/>
      <c r="EF374" s="54"/>
      <c r="EG374" s="54"/>
      <c r="EH374" s="54"/>
      <c r="EI374" s="87"/>
      <c r="EJ374" s="87"/>
      <c r="EK374" s="87"/>
      <c r="EL374" s="87"/>
      <c r="EM374" s="87"/>
      <c r="EN374" s="87"/>
      <c r="EO374" s="87"/>
      <c r="EP374" s="87"/>
      <c r="EQ374" s="87"/>
      <c r="ER374" s="87"/>
      <c r="ES374" s="87"/>
      <c r="ET374" s="87"/>
      <c r="EU374" s="87"/>
      <c r="EV374" s="87"/>
      <c r="EW374" s="87"/>
      <c r="EX374" s="87"/>
      <c r="EY374" s="87"/>
      <c r="EZ374" s="87"/>
      <c r="FA374" s="87"/>
      <c r="FB374" s="87"/>
      <c r="FC374" s="87"/>
      <c r="FD374" s="87"/>
      <c r="FE374" s="87"/>
      <c r="FF374" s="87"/>
      <c r="FG374" s="87"/>
      <c r="FH374" s="87"/>
      <c r="FI374" s="87"/>
      <c r="FJ374" s="87"/>
      <c r="FK374" s="87"/>
      <c r="FL374" s="87"/>
      <c r="FM374" s="87"/>
      <c r="FN374" s="87"/>
      <c r="FO374" s="87"/>
      <c r="FP374" s="87"/>
      <c r="FQ374" s="87"/>
      <c r="FR374" s="87"/>
      <c r="FS374" s="87"/>
      <c r="FT374" s="87"/>
      <c r="FU374" s="87"/>
      <c r="FV374" s="87"/>
      <c r="FW374" s="87"/>
      <c r="FX374" s="87"/>
      <c r="FY374" s="87"/>
      <c r="FZ374" s="87"/>
      <c r="GA374" s="87"/>
      <c r="GB374" s="87"/>
      <c r="GC374" s="87"/>
      <c r="GD374" s="87"/>
      <c r="GE374" s="87"/>
      <c r="GF374" s="87"/>
      <c r="GG374" s="87"/>
      <c r="GH374" s="87"/>
    </row>
    <row r="375" spans="1:420">
      <c r="A375" s="87"/>
      <c r="B375" s="127">
        <v>45848</v>
      </c>
      <c r="C375" s="127">
        <v>45857</v>
      </c>
      <c r="D375" s="87" t="s">
        <v>171</v>
      </c>
      <c r="E375" s="82" t="s">
        <v>219</v>
      </c>
      <c r="F375" s="82" t="s">
        <v>220</v>
      </c>
      <c r="G375" s="140" t="s">
        <v>2319</v>
      </c>
      <c r="H375" s="87">
        <v>8144421094</v>
      </c>
      <c r="I375" s="87" t="s">
        <v>2320</v>
      </c>
      <c r="J375" s="190" t="s">
        <v>2315</v>
      </c>
      <c r="K375" s="87">
        <v>4</v>
      </c>
      <c r="L375" s="87">
        <v>4</v>
      </c>
      <c r="M375" s="87" t="s">
        <v>2321</v>
      </c>
      <c r="N375" s="87" t="s">
        <v>425</v>
      </c>
      <c r="O375" s="87" t="s">
        <v>2322</v>
      </c>
      <c r="P375" s="87" t="s">
        <v>2121</v>
      </c>
      <c r="Q375" s="87" t="s">
        <v>2130</v>
      </c>
      <c r="R375" s="87" t="s">
        <v>2323</v>
      </c>
      <c r="S375" s="87" t="s">
        <v>1201</v>
      </c>
      <c r="T375" s="60" t="s">
        <v>2324</v>
      </c>
      <c r="U375" s="87" t="s">
        <v>1175</v>
      </c>
      <c r="V375" s="126" t="s">
        <v>2111</v>
      </c>
      <c r="W375" s="127" t="s">
        <v>741</v>
      </c>
      <c r="X375" s="135">
        <v>45861</v>
      </c>
      <c r="Y375" s="135">
        <v>45869</v>
      </c>
      <c r="Z375" s="16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  <c r="AL375" s="87"/>
      <c r="AM375" s="87"/>
      <c r="AN375" s="87"/>
      <c r="AO375" s="54"/>
      <c r="AP375" s="54"/>
      <c r="AQ375" s="54"/>
      <c r="AR375" s="87"/>
      <c r="AS375" s="87"/>
      <c r="AT375" s="87"/>
      <c r="AU375" s="87"/>
      <c r="AV375" s="87"/>
      <c r="AW375" s="87"/>
      <c r="AX375" s="87"/>
      <c r="AY375" s="87"/>
      <c r="AZ375" s="87"/>
      <c r="BA375" s="87"/>
      <c r="BB375" s="87"/>
      <c r="BC375" s="87"/>
      <c r="BD375" s="87"/>
      <c r="BE375" s="87"/>
      <c r="BF375" s="87"/>
      <c r="BG375" s="87"/>
      <c r="BH375" s="87"/>
      <c r="BI375" s="87"/>
      <c r="BJ375" s="87"/>
      <c r="BK375" s="87"/>
      <c r="BL375" s="87"/>
      <c r="BM375" s="87"/>
      <c r="BN375" s="87"/>
      <c r="BO375" s="87"/>
      <c r="BP375" s="87"/>
      <c r="BQ375" s="87"/>
      <c r="BR375" s="87"/>
      <c r="BS375" s="87"/>
      <c r="BT375" s="87"/>
      <c r="BU375" s="87"/>
      <c r="BV375" s="87"/>
      <c r="BW375" s="87"/>
      <c r="BX375" s="87"/>
      <c r="BY375" s="87"/>
      <c r="BZ375" s="87"/>
      <c r="CA375" s="87"/>
      <c r="CB375" s="87"/>
      <c r="CC375" s="87"/>
      <c r="CD375" s="87"/>
      <c r="CE375" s="87"/>
      <c r="CF375" s="87"/>
      <c r="CG375" s="87"/>
      <c r="CH375" s="87"/>
      <c r="CI375" s="87"/>
      <c r="CJ375" s="87"/>
      <c r="CK375" s="87"/>
      <c r="CL375" s="87"/>
      <c r="CM375" s="87"/>
      <c r="CN375" s="87"/>
      <c r="CO375" s="87"/>
      <c r="CP375" s="87"/>
      <c r="CQ375" s="87"/>
      <c r="CR375" s="87"/>
      <c r="CS375" s="135"/>
      <c r="CT375" s="127"/>
      <c r="CU375" s="87"/>
      <c r="CV375" s="82"/>
      <c r="CW375" s="82"/>
      <c r="CX375" s="140"/>
      <c r="CY375" s="87"/>
      <c r="CZ375" s="87"/>
      <c r="DA375" s="190"/>
      <c r="DB375" s="87"/>
      <c r="DC375" s="87"/>
      <c r="DD375" s="87"/>
      <c r="DE375" s="87"/>
      <c r="DF375" s="87"/>
      <c r="DG375" s="87"/>
      <c r="DH375" s="87"/>
      <c r="DI375" s="87"/>
      <c r="DJ375" s="87"/>
      <c r="DK375" s="60"/>
      <c r="DL375" s="87"/>
      <c r="DM375" s="126"/>
      <c r="DN375" s="127"/>
      <c r="DO375" s="135"/>
      <c r="DP375" s="87"/>
      <c r="DQ375" s="167"/>
      <c r="DR375" s="87"/>
      <c r="DS375" s="87"/>
      <c r="DT375" s="87"/>
      <c r="DU375" s="87"/>
      <c r="DV375" s="87"/>
      <c r="DW375" s="87"/>
      <c r="DX375" s="87"/>
      <c r="DY375" s="87"/>
      <c r="DZ375" s="87"/>
      <c r="EA375" s="87"/>
      <c r="EB375" s="87"/>
      <c r="EC375" s="87"/>
      <c r="ED375" s="87"/>
      <c r="EE375" s="87"/>
      <c r="EF375" s="54"/>
      <c r="EG375" s="54"/>
      <c r="EH375" s="54"/>
      <c r="EI375" s="87"/>
      <c r="EJ375" s="87"/>
      <c r="EK375" s="87"/>
      <c r="EL375" s="87"/>
      <c r="EM375" s="87"/>
      <c r="EN375" s="87"/>
      <c r="EO375" s="87"/>
      <c r="EP375" s="87"/>
      <c r="EQ375" s="87"/>
      <c r="ER375" s="87"/>
      <c r="ES375" s="87"/>
      <c r="ET375" s="87"/>
      <c r="EU375" s="87"/>
      <c r="EV375" s="87"/>
      <c r="EW375" s="87"/>
      <c r="EX375" s="87"/>
      <c r="EY375" s="87"/>
      <c r="EZ375" s="87"/>
      <c r="FA375" s="87"/>
      <c r="FB375" s="87"/>
      <c r="FC375" s="87"/>
      <c r="FD375" s="87"/>
      <c r="FE375" s="87"/>
      <c r="FF375" s="87"/>
      <c r="FG375" s="87"/>
      <c r="FH375" s="87"/>
      <c r="FI375" s="87"/>
      <c r="FJ375" s="87"/>
      <c r="FK375" s="87"/>
      <c r="FL375" s="87"/>
      <c r="FM375" s="87"/>
      <c r="FN375" s="87"/>
      <c r="FO375" s="87"/>
      <c r="FP375" s="87"/>
      <c r="FQ375" s="87"/>
      <c r="FR375" s="87"/>
      <c r="FS375" s="87"/>
      <c r="FT375" s="87"/>
      <c r="FU375" s="87"/>
      <c r="FV375" s="87"/>
      <c r="FW375" s="87"/>
      <c r="FX375" s="87"/>
      <c r="FY375" s="87"/>
      <c r="FZ375" s="87"/>
      <c r="GA375" s="87"/>
      <c r="GB375" s="87"/>
      <c r="GC375" s="87"/>
      <c r="GD375" s="87"/>
      <c r="GE375" s="87"/>
      <c r="GF375" s="87"/>
      <c r="GG375" s="87"/>
      <c r="GH375" s="87"/>
    </row>
    <row r="376" spans="1:420">
      <c r="A376" s="87"/>
      <c r="B376" s="127">
        <v>45848</v>
      </c>
      <c r="C376" s="127">
        <v>45857</v>
      </c>
      <c r="D376" s="87" t="s">
        <v>171</v>
      </c>
      <c r="E376" s="82" t="s">
        <v>219</v>
      </c>
      <c r="F376" s="82" t="s">
        <v>220</v>
      </c>
      <c r="G376" s="140" t="s">
        <v>2325</v>
      </c>
      <c r="H376" s="87">
        <v>9873419630</v>
      </c>
      <c r="I376" s="87" t="s">
        <v>2326</v>
      </c>
      <c r="J376" s="190" t="s">
        <v>2315</v>
      </c>
      <c r="K376" s="87" t="s">
        <v>2327</v>
      </c>
      <c r="L376" s="87">
        <v>7</v>
      </c>
      <c r="M376" s="87" t="s">
        <v>1572</v>
      </c>
      <c r="N376" s="87" t="s">
        <v>425</v>
      </c>
      <c r="O376" s="87" t="s">
        <v>2015</v>
      </c>
      <c r="P376" s="87" t="s">
        <v>770</v>
      </c>
      <c r="Q376" s="87" t="s">
        <v>2130</v>
      </c>
      <c r="R376" s="87" t="s">
        <v>857</v>
      </c>
      <c r="S376" s="87" t="s">
        <v>1201</v>
      </c>
      <c r="T376" s="60" t="s">
        <v>2328</v>
      </c>
      <c r="U376" s="87" t="s">
        <v>1175</v>
      </c>
      <c r="V376" s="126" t="s">
        <v>2111</v>
      </c>
      <c r="W376" s="127" t="s">
        <v>741</v>
      </c>
      <c r="X376" s="135">
        <v>45861</v>
      </c>
      <c r="Y376" s="135">
        <v>45862</v>
      </c>
      <c r="Z376" s="167" t="s">
        <v>232</v>
      </c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  <c r="AN376" s="87"/>
      <c r="AO376" s="54"/>
      <c r="AP376" s="54"/>
      <c r="AQ376" s="54"/>
      <c r="AR376" s="87"/>
      <c r="AS376" s="87"/>
      <c r="AT376" s="87"/>
      <c r="AU376" s="87"/>
      <c r="AV376" s="87"/>
      <c r="AW376" s="87"/>
      <c r="AX376" s="87"/>
      <c r="AY376" s="87"/>
      <c r="AZ376" s="87"/>
      <c r="BA376" s="87"/>
      <c r="BB376" s="87"/>
      <c r="BC376" s="87"/>
      <c r="BD376" s="87"/>
      <c r="BE376" s="87"/>
      <c r="BF376" s="87"/>
      <c r="BG376" s="87"/>
      <c r="BH376" s="87"/>
      <c r="BI376" s="87"/>
      <c r="BJ376" s="87"/>
      <c r="BK376" s="87"/>
      <c r="BL376" s="87"/>
      <c r="BM376" s="87"/>
      <c r="BN376" s="87"/>
      <c r="BO376" s="87"/>
      <c r="BP376" s="87"/>
      <c r="BQ376" s="87"/>
      <c r="BR376" s="87"/>
      <c r="BS376" s="87"/>
      <c r="BT376" s="87"/>
      <c r="BU376" s="87"/>
      <c r="BV376" s="87"/>
      <c r="BW376" s="87"/>
      <c r="BX376" s="87"/>
      <c r="BY376" s="87"/>
      <c r="BZ376" s="87"/>
      <c r="CA376" s="87"/>
      <c r="CB376" s="87"/>
      <c r="CC376" s="87"/>
      <c r="CD376" s="87"/>
      <c r="CE376" s="87"/>
      <c r="CF376" s="87"/>
      <c r="CG376" s="87"/>
      <c r="CH376" s="87"/>
      <c r="CI376" s="87"/>
      <c r="CJ376" s="87"/>
      <c r="CK376" s="87"/>
      <c r="CL376" s="87"/>
      <c r="CM376" s="87"/>
      <c r="CN376" s="87"/>
      <c r="CO376" s="87"/>
      <c r="CP376" s="87"/>
      <c r="CQ376" s="87"/>
      <c r="CR376" s="87"/>
      <c r="CS376" s="135"/>
      <c r="CT376" s="127"/>
      <c r="CU376" s="87"/>
      <c r="CV376" s="82"/>
      <c r="CW376" s="82"/>
      <c r="CX376" s="140"/>
      <c r="CY376" s="87"/>
      <c r="CZ376" s="87"/>
      <c r="DA376" s="190"/>
      <c r="DB376" s="87"/>
      <c r="DC376" s="87"/>
      <c r="DD376" s="87"/>
      <c r="DE376" s="87"/>
      <c r="DF376" s="87"/>
      <c r="DG376" s="87"/>
      <c r="DH376" s="87"/>
      <c r="DI376" s="87"/>
      <c r="DJ376" s="87"/>
      <c r="DK376" s="60"/>
      <c r="DL376" s="87"/>
      <c r="DM376" s="126"/>
      <c r="DN376" s="127"/>
      <c r="DO376" s="135"/>
      <c r="DP376" s="87"/>
      <c r="DQ376" s="167"/>
      <c r="DR376" s="87"/>
      <c r="DS376" s="87"/>
      <c r="DT376" s="87"/>
      <c r="DU376" s="87"/>
      <c r="DV376" s="87"/>
      <c r="DW376" s="87"/>
      <c r="DX376" s="87"/>
      <c r="DY376" s="87"/>
      <c r="DZ376" s="87"/>
      <c r="EA376" s="87"/>
      <c r="EB376" s="87"/>
      <c r="EC376" s="87"/>
      <c r="ED376" s="87"/>
      <c r="EE376" s="87"/>
      <c r="EF376" s="54"/>
      <c r="EG376" s="54"/>
      <c r="EH376" s="54"/>
      <c r="EI376" s="87"/>
      <c r="EJ376" s="87"/>
      <c r="EK376" s="87"/>
      <c r="EL376" s="87"/>
      <c r="EM376" s="87"/>
      <c r="EN376" s="87"/>
      <c r="EO376" s="87"/>
      <c r="EP376" s="87"/>
      <c r="EQ376" s="87"/>
      <c r="ER376" s="87"/>
      <c r="ES376" s="87"/>
      <c r="ET376" s="87"/>
      <c r="EU376" s="87"/>
      <c r="EV376" s="87"/>
      <c r="EW376" s="87"/>
      <c r="EX376" s="87"/>
      <c r="EY376" s="87"/>
      <c r="EZ376" s="87"/>
      <c r="FA376" s="87"/>
      <c r="FB376" s="87"/>
      <c r="FC376" s="87"/>
      <c r="FD376" s="87"/>
      <c r="FE376" s="87"/>
      <c r="FF376" s="87"/>
      <c r="FG376" s="87"/>
      <c r="FH376" s="87"/>
      <c r="FI376" s="87"/>
      <c r="FJ376" s="87"/>
      <c r="FK376" s="87"/>
      <c r="FL376" s="87"/>
      <c r="FM376" s="87"/>
      <c r="FN376" s="87"/>
      <c r="FO376" s="87"/>
      <c r="FP376" s="87"/>
      <c r="FQ376" s="87"/>
      <c r="FR376" s="87"/>
      <c r="FS376" s="87"/>
      <c r="FT376" s="87"/>
      <c r="FU376" s="87"/>
      <c r="FV376" s="87"/>
      <c r="FW376" s="87"/>
      <c r="FX376" s="87"/>
      <c r="FY376" s="87"/>
      <c r="FZ376" s="87"/>
      <c r="GA376" s="87"/>
      <c r="GB376" s="87"/>
      <c r="GC376" s="87"/>
      <c r="GD376" s="87"/>
      <c r="GE376" s="87"/>
      <c r="GF376" s="87"/>
      <c r="GG376" s="87"/>
      <c r="GH376" s="87"/>
    </row>
    <row r="377" spans="1:420">
      <c r="A377" s="87"/>
      <c r="B377" s="127">
        <v>45848</v>
      </c>
      <c r="C377" s="127">
        <v>45857</v>
      </c>
      <c r="D377" s="87" t="s">
        <v>182</v>
      </c>
      <c r="E377" s="82" t="s">
        <v>219</v>
      </c>
      <c r="F377" s="82" t="s">
        <v>220</v>
      </c>
      <c r="G377" s="140" t="s">
        <v>2329</v>
      </c>
      <c r="H377" s="87">
        <v>7800282861</v>
      </c>
      <c r="I377" s="87" t="s">
        <v>2330</v>
      </c>
      <c r="J377" s="190" t="s">
        <v>2331</v>
      </c>
      <c r="K377" s="87" t="s">
        <v>2332</v>
      </c>
      <c r="L377" s="87" t="s">
        <v>2332</v>
      </c>
      <c r="M377" s="87" t="s">
        <v>2333</v>
      </c>
      <c r="N377" s="87" t="s">
        <v>425</v>
      </c>
      <c r="O377" s="87" t="s">
        <v>2334</v>
      </c>
      <c r="P377" s="87" t="s">
        <v>770</v>
      </c>
      <c r="Q377" s="87" t="s">
        <v>2130</v>
      </c>
      <c r="R377" s="87" t="s">
        <v>2335</v>
      </c>
      <c r="S377" s="87" t="s">
        <v>1201</v>
      </c>
      <c r="T377" s="60"/>
      <c r="U377" s="87" t="s">
        <v>1175</v>
      </c>
      <c r="V377" s="126" t="s">
        <v>808</v>
      </c>
      <c r="W377" s="127" t="s">
        <v>1259</v>
      </c>
      <c r="X377" s="135"/>
      <c r="Y377" s="87"/>
      <c r="Z377" s="16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  <c r="AL377" s="87"/>
      <c r="AM377" s="87"/>
      <c r="AN377" s="87"/>
      <c r="AO377" s="54"/>
      <c r="AP377" s="54"/>
      <c r="AQ377" s="54"/>
      <c r="AR377" s="87"/>
      <c r="AS377" s="87"/>
      <c r="AT377" s="87"/>
      <c r="AU377" s="87"/>
      <c r="AV377" s="87"/>
      <c r="AW377" s="87"/>
      <c r="AX377" s="87"/>
      <c r="AY377" s="87"/>
      <c r="AZ377" s="87"/>
      <c r="BA377" s="87"/>
      <c r="BB377" s="87"/>
      <c r="BC377" s="87"/>
      <c r="BD377" s="87"/>
      <c r="BE377" s="87"/>
      <c r="BF377" s="87"/>
      <c r="BG377" s="87"/>
      <c r="BH377" s="87"/>
      <c r="BI377" s="87"/>
      <c r="BJ377" s="87"/>
      <c r="BK377" s="87"/>
      <c r="BL377" s="87"/>
      <c r="BM377" s="87"/>
      <c r="BN377" s="87"/>
      <c r="BO377" s="87"/>
      <c r="BP377" s="87"/>
      <c r="BQ377" s="87"/>
      <c r="BR377" s="87"/>
      <c r="BS377" s="87"/>
      <c r="BT377" s="87"/>
      <c r="BU377" s="87"/>
      <c r="BV377" s="87"/>
      <c r="BW377" s="87"/>
      <c r="BX377" s="87"/>
      <c r="BY377" s="87"/>
      <c r="BZ377" s="87"/>
      <c r="CA377" s="87"/>
      <c r="CB377" s="87"/>
      <c r="CC377" s="87"/>
      <c r="CD377" s="87"/>
      <c r="CE377" s="87"/>
      <c r="CF377" s="87"/>
      <c r="CG377" s="87"/>
      <c r="CH377" s="87"/>
      <c r="CI377" s="87"/>
      <c r="CJ377" s="87"/>
      <c r="CK377" s="87"/>
      <c r="CL377" s="87"/>
      <c r="CM377" s="87"/>
      <c r="CN377" s="87"/>
      <c r="CO377" s="87"/>
      <c r="CP377" s="87"/>
      <c r="CQ377" s="87"/>
      <c r="CR377" s="87"/>
      <c r="CS377" s="135"/>
      <c r="CT377" s="127"/>
      <c r="CU377" s="87"/>
      <c r="CV377" s="82"/>
      <c r="CW377" s="82"/>
      <c r="CX377" s="140"/>
      <c r="CY377" s="87"/>
      <c r="CZ377" s="87"/>
      <c r="DA377" s="190"/>
      <c r="DB377" s="87"/>
      <c r="DC377" s="87"/>
      <c r="DD377" s="87"/>
      <c r="DE377" s="87"/>
      <c r="DF377" s="87"/>
      <c r="DG377" s="87"/>
      <c r="DH377" s="87"/>
      <c r="DI377" s="87"/>
      <c r="DJ377" s="87"/>
      <c r="DK377" s="60"/>
      <c r="DL377" s="87"/>
      <c r="DM377" s="126"/>
      <c r="DN377" s="127"/>
      <c r="DO377" s="135"/>
      <c r="DP377" s="87"/>
      <c r="DQ377" s="167"/>
      <c r="DR377" s="87"/>
      <c r="DS377" s="87"/>
      <c r="DT377" s="87"/>
      <c r="DU377" s="87"/>
      <c r="DV377" s="87"/>
      <c r="DW377" s="87"/>
      <c r="DX377" s="87"/>
      <c r="DY377" s="87"/>
      <c r="DZ377" s="87"/>
      <c r="EA377" s="87"/>
      <c r="EB377" s="87"/>
      <c r="EC377" s="87"/>
      <c r="ED377" s="87"/>
      <c r="EE377" s="87"/>
      <c r="EF377" s="54"/>
      <c r="EG377" s="54"/>
      <c r="EH377" s="54"/>
      <c r="EI377" s="87"/>
      <c r="EJ377" s="87"/>
      <c r="EK377" s="87"/>
      <c r="EL377" s="87"/>
      <c r="EM377" s="87"/>
      <c r="EN377" s="87"/>
      <c r="EO377" s="87"/>
      <c r="EP377" s="87"/>
      <c r="EQ377" s="87"/>
      <c r="ER377" s="87"/>
      <c r="ES377" s="87"/>
      <c r="ET377" s="87"/>
      <c r="EU377" s="87"/>
      <c r="EV377" s="87"/>
      <c r="EW377" s="87"/>
      <c r="EX377" s="87"/>
      <c r="EY377" s="87"/>
      <c r="EZ377" s="87"/>
      <c r="FA377" s="87"/>
      <c r="FB377" s="87"/>
      <c r="FC377" s="87"/>
      <c r="FD377" s="87"/>
      <c r="FE377" s="87"/>
      <c r="FF377" s="87"/>
      <c r="FG377" s="87"/>
      <c r="FH377" s="87"/>
      <c r="FI377" s="87"/>
      <c r="FJ377" s="87"/>
      <c r="FK377" s="87"/>
      <c r="FL377" s="87"/>
      <c r="FM377" s="87"/>
      <c r="FN377" s="87"/>
      <c r="FO377" s="87"/>
      <c r="FP377" s="87"/>
      <c r="FQ377" s="87"/>
      <c r="FR377" s="87"/>
      <c r="FS377" s="87"/>
      <c r="FT377" s="87"/>
      <c r="FU377" s="87"/>
      <c r="FV377" s="87"/>
      <c r="FW377" s="87"/>
      <c r="FX377" s="87"/>
      <c r="FY377" s="87"/>
      <c r="FZ377" s="87"/>
      <c r="GA377" s="87"/>
      <c r="GB377" s="87"/>
      <c r="GC377" s="87"/>
      <c r="GD377" s="87"/>
      <c r="GE377" s="87"/>
      <c r="GF377" s="87"/>
      <c r="GG377" s="87"/>
      <c r="GH377" s="87"/>
    </row>
    <row r="378" spans="1:420">
      <c r="A378" s="87"/>
      <c r="B378" s="127">
        <v>45848</v>
      </c>
      <c r="C378" s="127">
        <v>45857</v>
      </c>
      <c r="D378" s="87" t="s">
        <v>182</v>
      </c>
      <c r="E378" s="82" t="s">
        <v>219</v>
      </c>
      <c r="F378" s="82" t="s">
        <v>220</v>
      </c>
      <c r="G378" s="140" t="s">
        <v>2336</v>
      </c>
      <c r="H378" s="87">
        <v>7620714758</v>
      </c>
      <c r="I378" s="87" t="s">
        <v>2337</v>
      </c>
      <c r="J378" s="190" t="s">
        <v>2331</v>
      </c>
      <c r="K378" s="87">
        <v>6</v>
      </c>
      <c r="L378" s="87">
        <v>6</v>
      </c>
      <c r="M378" s="87" t="s">
        <v>2338</v>
      </c>
      <c r="N378" s="87" t="s">
        <v>2339</v>
      </c>
      <c r="O378" s="87" t="s">
        <v>154</v>
      </c>
      <c r="P378" s="87" t="s">
        <v>770</v>
      </c>
      <c r="Q378" s="87" t="s">
        <v>402</v>
      </c>
      <c r="R378" s="87" t="s">
        <v>2340</v>
      </c>
      <c r="S378" s="87" t="s">
        <v>1201</v>
      </c>
      <c r="T378" s="60"/>
      <c r="U378" s="87" t="s">
        <v>1175</v>
      </c>
      <c r="V378" s="126" t="s">
        <v>808</v>
      </c>
      <c r="W378" s="127" t="s">
        <v>1259</v>
      </c>
      <c r="X378" s="135"/>
      <c r="Y378" s="87"/>
      <c r="Z378" s="16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  <c r="AL378" s="87"/>
      <c r="AM378" s="87"/>
      <c r="AN378" s="87"/>
      <c r="AO378" s="54"/>
      <c r="AP378" s="54"/>
      <c r="AQ378" s="54"/>
      <c r="AR378" s="87"/>
      <c r="AS378" s="87"/>
      <c r="AT378" s="87"/>
      <c r="AU378" s="87"/>
      <c r="AV378" s="87"/>
      <c r="AW378" s="87"/>
      <c r="AX378" s="87"/>
      <c r="AY378" s="87"/>
      <c r="AZ378" s="87"/>
      <c r="BA378" s="87"/>
      <c r="BB378" s="87"/>
      <c r="BC378" s="87"/>
      <c r="BD378" s="87"/>
      <c r="BE378" s="87"/>
      <c r="BF378" s="87"/>
      <c r="BG378" s="87"/>
      <c r="BH378" s="87"/>
      <c r="BI378" s="87"/>
      <c r="BJ378" s="87"/>
      <c r="BK378" s="87"/>
      <c r="BL378" s="87"/>
      <c r="BM378" s="87"/>
      <c r="BN378" s="87"/>
      <c r="BO378" s="87"/>
      <c r="BP378" s="87"/>
      <c r="BQ378" s="87"/>
      <c r="BR378" s="87"/>
      <c r="BS378" s="87"/>
      <c r="BT378" s="87"/>
      <c r="BU378" s="87"/>
      <c r="BV378" s="87"/>
      <c r="BW378" s="87"/>
      <c r="BX378" s="87"/>
      <c r="BY378" s="87"/>
      <c r="BZ378" s="87"/>
      <c r="CA378" s="87"/>
      <c r="CB378" s="87"/>
      <c r="CC378" s="87"/>
      <c r="CD378" s="87"/>
      <c r="CE378" s="87"/>
      <c r="CF378" s="87"/>
      <c r="CG378" s="87"/>
      <c r="CH378" s="87"/>
      <c r="CI378" s="87"/>
      <c r="CJ378" s="87"/>
      <c r="CK378" s="87"/>
      <c r="CL378" s="87"/>
      <c r="CM378" s="87"/>
      <c r="CN378" s="87"/>
      <c r="CO378" s="87"/>
      <c r="CP378" s="87"/>
      <c r="CQ378" s="87"/>
      <c r="CR378" s="87"/>
      <c r="CS378" s="135"/>
      <c r="CT378" s="127"/>
      <c r="CU378" s="87"/>
      <c r="CV378" s="82"/>
      <c r="CW378" s="82"/>
      <c r="CX378" s="140"/>
      <c r="CY378" s="87"/>
      <c r="CZ378" s="87"/>
      <c r="DA378" s="190"/>
      <c r="DB378" s="87"/>
      <c r="DC378" s="87"/>
      <c r="DD378" s="87"/>
      <c r="DE378" s="87"/>
      <c r="DF378" s="87"/>
      <c r="DG378" s="87"/>
      <c r="DH378" s="87"/>
      <c r="DI378" s="87"/>
      <c r="DJ378" s="87"/>
      <c r="DK378" s="60"/>
      <c r="DL378" s="87"/>
      <c r="DM378" s="126"/>
      <c r="DN378" s="127"/>
      <c r="DO378" s="135"/>
      <c r="DP378" s="87"/>
      <c r="DQ378" s="167"/>
      <c r="DR378" s="87"/>
      <c r="DS378" s="87"/>
      <c r="DT378" s="87"/>
      <c r="DU378" s="87"/>
      <c r="DV378" s="87"/>
      <c r="DW378" s="87"/>
      <c r="DX378" s="87"/>
      <c r="DY378" s="87"/>
      <c r="DZ378" s="87"/>
      <c r="EA378" s="87"/>
      <c r="EB378" s="87"/>
      <c r="EC378" s="87"/>
      <c r="ED378" s="87"/>
      <c r="EE378" s="87"/>
      <c r="EF378" s="54"/>
      <c r="EG378" s="54"/>
      <c r="EH378" s="54"/>
      <c r="EI378" s="87"/>
      <c r="EJ378" s="87"/>
      <c r="EK378" s="87"/>
      <c r="EL378" s="87"/>
      <c r="EM378" s="87"/>
      <c r="EN378" s="87"/>
      <c r="EO378" s="87"/>
      <c r="EP378" s="87"/>
      <c r="EQ378" s="87"/>
      <c r="ER378" s="87"/>
      <c r="ES378" s="87"/>
      <c r="ET378" s="87"/>
      <c r="EU378" s="87"/>
      <c r="EV378" s="87"/>
      <c r="EW378" s="87"/>
      <c r="EX378" s="87"/>
      <c r="EY378" s="87"/>
      <c r="EZ378" s="87"/>
      <c r="FA378" s="87"/>
      <c r="FB378" s="87"/>
      <c r="FC378" s="87"/>
      <c r="FD378" s="87"/>
      <c r="FE378" s="87"/>
      <c r="FF378" s="87"/>
      <c r="FG378" s="87"/>
      <c r="FH378" s="87"/>
      <c r="FI378" s="87"/>
      <c r="FJ378" s="87"/>
      <c r="FK378" s="87"/>
      <c r="FL378" s="87"/>
      <c r="FM378" s="87"/>
      <c r="FN378" s="87"/>
      <c r="FO378" s="87"/>
      <c r="FP378" s="87"/>
      <c r="FQ378" s="87"/>
      <c r="FR378" s="87"/>
      <c r="FS378" s="87"/>
      <c r="FT378" s="87"/>
      <c r="FU378" s="87"/>
      <c r="FV378" s="87"/>
      <c r="FW378" s="87"/>
      <c r="FX378" s="87"/>
      <c r="FY378" s="87"/>
      <c r="FZ378" s="87"/>
      <c r="GA378" s="87"/>
      <c r="GB378" s="87"/>
      <c r="GC378" s="87"/>
      <c r="GD378" s="87"/>
      <c r="GE378" s="87"/>
      <c r="GF378" s="87"/>
      <c r="GG378" s="87"/>
      <c r="GH378" s="87"/>
    </row>
    <row r="379" spans="1:420">
      <c r="A379" s="87"/>
      <c r="B379" s="127">
        <v>45848</v>
      </c>
      <c r="C379" s="127">
        <v>45857</v>
      </c>
      <c r="D379" s="87" t="s">
        <v>168</v>
      </c>
      <c r="E379" s="82" t="s">
        <v>219</v>
      </c>
      <c r="F379" s="82" t="s">
        <v>220</v>
      </c>
      <c r="G379" s="140" t="s">
        <v>2341</v>
      </c>
      <c r="H379" s="87">
        <v>7800033694</v>
      </c>
      <c r="I379" s="87" t="s">
        <v>2342</v>
      </c>
      <c r="J379" s="190" t="s">
        <v>2343</v>
      </c>
      <c r="K379" s="87">
        <v>5.8</v>
      </c>
      <c r="L379" s="87">
        <v>5.8</v>
      </c>
      <c r="M379" s="87" t="s">
        <v>2344</v>
      </c>
      <c r="N379" s="87" t="s">
        <v>425</v>
      </c>
      <c r="O379" s="87" t="s">
        <v>1316</v>
      </c>
      <c r="P379" s="87" t="s">
        <v>770</v>
      </c>
      <c r="Q379" s="87" t="s">
        <v>402</v>
      </c>
      <c r="R379" s="87" t="s">
        <v>1793</v>
      </c>
      <c r="S379" s="87" t="s">
        <v>1201</v>
      </c>
      <c r="T379" s="60"/>
      <c r="U379" s="87" t="s">
        <v>1175</v>
      </c>
      <c r="V379" s="126" t="s">
        <v>291</v>
      </c>
      <c r="W379" s="127"/>
      <c r="X379" s="135">
        <v>45861</v>
      </c>
      <c r="Y379" s="87"/>
      <c r="Z379" s="167"/>
      <c r="AA379" s="87"/>
      <c r="AB379" s="87"/>
      <c r="AC379" s="87"/>
      <c r="AD379" s="87"/>
      <c r="AE379" s="87"/>
      <c r="AF379" s="87"/>
      <c r="AG379" s="87"/>
      <c r="AH379" s="87"/>
      <c r="AI379" s="87"/>
      <c r="AJ379" s="87"/>
      <c r="AK379" s="87"/>
      <c r="AL379" s="87"/>
      <c r="AM379" s="87"/>
      <c r="AN379" s="87"/>
      <c r="AO379" s="54"/>
      <c r="AP379" s="54"/>
      <c r="AQ379" s="54"/>
      <c r="AR379" s="87"/>
      <c r="AS379" s="87"/>
      <c r="AT379" s="87"/>
      <c r="AU379" s="87"/>
      <c r="AV379" s="87"/>
      <c r="AW379" s="87"/>
      <c r="AX379" s="87"/>
      <c r="AY379" s="87"/>
      <c r="AZ379" s="87"/>
      <c r="BA379" s="87"/>
      <c r="BB379" s="87"/>
      <c r="BC379" s="87"/>
      <c r="BD379" s="87"/>
      <c r="BE379" s="87"/>
      <c r="BF379" s="87"/>
      <c r="BG379" s="87"/>
      <c r="BH379" s="87"/>
      <c r="BI379" s="87"/>
      <c r="BJ379" s="87"/>
      <c r="BK379" s="87"/>
      <c r="BL379" s="87"/>
      <c r="BM379" s="87"/>
      <c r="BN379" s="87"/>
      <c r="BO379" s="87"/>
      <c r="BP379" s="87"/>
      <c r="BQ379" s="87"/>
      <c r="BR379" s="87"/>
      <c r="BS379" s="87"/>
      <c r="BT379" s="87"/>
      <c r="BU379" s="87"/>
      <c r="BV379" s="87"/>
      <c r="BW379" s="87"/>
      <c r="BX379" s="87"/>
      <c r="BY379" s="87"/>
      <c r="BZ379" s="87"/>
      <c r="CA379" s="87"/>
      <c r="CB379" s="87"/>
      <c r="CC379" s="87"/>
      <c r="CD379" s="87"/>
      <c r="CE379" s="87"/>
      <c r="CF379" s="87"/>
      <c r="CG379" s="87"/>
      <c r="CH379" s="87"/>
      <c r="CI379" s="87"/>
      <c r="CJ379" s="87"/>
      <c r="CK379" s="87"/>
      <c r="CL379" s="87"/>
      <c r="CM379" s="87"/>
      <c r="CN379" s="87"/>
      <c r="CO379" s="87"/>
      <c r="CP379" s="87"/>
      <c r="CQ379" s="87"/>
      <c r="CR379" s="87"/>
      <c r="CS379" s="135"/>
      <c r="CT379" s="127"/>
      <c r="CU379" s="87"/>
      <c r="CV379" s="82"/>
      <c r="CW379" s="82"/>
      <c r="CX379" s="140"/>
      <c r="CY379" s="87"/>
      <c r="CZ379" s="87"/>
      <c r="DA379" s="190"/>
      <c r="DB379" s="87"/>
      <c r="DC379" s="87"/>
      <c r="DD379" s="87"/>
      <c r="DE379" s="87"/>
      <c r="DF379" s="87"/>
      <c r="DG379" s="87"/>
      <c r="DH379" s="87"/>
      <c r="DI379" s="87"/>
      <c r="DJ379" s="87"/>
      <c r="DK379" s="60"/>
      <c r="DL379" s="87"/>
      <c r="DM379" s="126"/>
      <c r="DN379" s="127"/>
      <c r="DO379" s="135"/>
      <c r="DP379" s="87"/>
      <c r="DQ379" s="167"/>
      <c r="DR379" s="87"/>
      <c r="DS379" s="87"/>
      <c r="DT379" s="87"/>
      <c r="DU379" s="87"/>
      <c r="DV379" s="87"/>
      <c r="DW379" s="87"/>
      <c r="DX379" s="87"/>
      <c r="DY379" s="87"/>
      <c r="DZ379" s="87"/>
      <c r="EA379" s="87"/>
      <c r="EB379" s="87"/>
      <c r="EC379" s="87"/>
      <c r="ED379" s="87"/>
      <c r="EE379" s="87"/>
      <c r="EF379" s="54"/>
      <c r="EG379" s="54"/>
      <c r="EH379" s="54"/>
      <c r="EI379" s="87"/>
      <c r="EJ379" s="87"/>
      <c r="EK379" s="87"/>
      <c r="EL379" s="87"/>
      <c r="EM379" s="87"/>
      <c r="EN379" s="87"/>
      <c r="EO379" s="87"/>
      <c r="EP379" s="87"/>
      <c r="EQ379" s="87"/>
      <c r="ER379" s="87"/>
      <c r="ES379" s="87"/>
      <c r="ET379" s="87"/>
      <c r="EU379" s="87"/>
      <c r="EV379" s="87"/>
      <c r="EW379" s="87"/>
      <c r="EX379" s="87"/>
      <c r="EY379" s="87"/>
      <c r="EZ379" s="87"/>
      <c r="FA379" s="87"/>
      <c r="FB379" s="87"/>
      <c r="FC379" s="87"/>
      <c r="FD379" s="87"/>
      <c r="FE379" s="87"/>
      <c r="FF379" s="87"/>
      <c r="FG379" s="87"/>
      <c r="FH379" s="87"/>
      <c r="FI379" s="87"/>
      <c r="FJ379" s="87"/>
      <c r="FK379" s="87"/>
      <c r="FL379" s="87"/>
      <c r="FM379" s="87"/>
      <c r="FN379" s="87"/>
      <c r="FO379" s="87"/>
      <c r="FP379" s="87"/>
      <c r="FQ379" s="87"/>
      <c r="FR379" s="87"/>
      <c r="FS379" s="87"/>
      <c r="FT379" s="87"/>
      <c r="FU379" s="87"/>
      <c r="FV379" s="87"/>
      <c r="FW379" s="87"/>
      <c r="FX379" s="87"/>
      <c r="FY379" s="87"/>
      <c r="FZ379" s="87"/>
      <c r="GA379" s="87"/>
      <c r="GB379" s="87"/>
      <c r="GC379" s="87"/>
      <c r="GD379" s="87"/>
      <c r="GE379" s="87"/>
      <c r="GF379" s="87"/>
      <c r="GG379" s="87"/>
      <c r="GH379" s="87"/>
    </row>
    <row r="380" spans="1:420">
      <c r="A380" s="87"/>
      <c r="B380" s="127">
        <v>45848</v>
      </c>
      <c r="C380" s="127">
        <v>45857</v>
      </c>
      <c r="D380" s="87" t="s">
        <v>168</v>
      </c>
      <c r="E380" s="82" t="s">
        <v>219</v>
      </c>
      <c r="F380" s="82" t="s">
        <v>220</v>
      </c>
      <c r="G380" s="140" t="s">
        <v>2345</v>
      </c>
      <c r="H380" s="87">
        <v>9284797601</v>
      </c>
      <c r="I380" s="87" t="s">
        <v>2346</v>
      </c>
      <c r="J380" s="190" t="s">
        <v>2343</v>
      </c>
      <c r="K380" s="87">
        <v>3</v>
      </c>
      <c r="L380" s="87">
        <v>3</v>
      </c>
      <c r="M380" s="87" t="s">
        <v>1940</v>
      </c>
      <c r="N380" s="87" t="s">
        <v>425</v>
      </c>
      <c r="O380" s="87" t="s">
        <v>2347</v>
      </c>
      <c r="P380" s="87" t="s">
        <v>770</v>
      </c>
      <c r="Q380" s="87" t="s">
        <v>402</v>
      </c>
      <c r="R380" s="87" t="s">
        <v>2348</v>
      </c>
      <c r="S380" s="87" t="s">
        <v>1201</v>
      </c>
      <c r="T380" s="60"/>
      <c r="U380" s="87" t="s">
        <v>1175</v>
      </c>
      <c r="V380" s="126" t="s">
        <v>291</v>
      </c>
      <c r="W380" s="127"/>
      <c r="X380" s="135">
        <v>45861</v>
      </c>
      <c r="Y380" s="87"/>
      <c r="Z380" s="167"/>
      <c r="AA380" s="87"/>
      <c r="AB380" s="87"/>
      <c r="AC380" s="87"/>
      <c r="AD380" s="87"/>
      <c r="AE380" s="87"/>
      <c r="AF380" s="87"/>
      <c r="AG380" s="87"/>
      <c r="AH380" s="87"/>
      <c r="AI380" s="87"/>
      <c r="AJ380" s="87"/>
      <c r="AK380" s="87"/>
      <c r="AL380" s="87"/>
      <c r="AM380" s="87"/>
      <c r="AN380" s="87"/>
      <c r="AO380" s="54"/>
      <c r="AP380" s="54"/>
      <c r="AQ380" s="54"/>
      <c r="AR380" s="87"/>
      <c r="AS380" s="87"/>
      <c r="AT380" s="87"/>
      <c r="AU380" s="87"/>
      <c r="AV380" s="87"/>
      <c r="AW380" s="87"/>
      <c r="AX380" s="87"/>
      <c r="AY380" s="87"/>
      <c r="AZ380" s="87"/>
      <c r="BA380" s="87"/>
      <c r="BB380" s="87"/>
      <c r="BC380" s="87"/>
      <c r="BD380" s="87"/>
      <c r="BE380" s="87"/>
      <c r="BF380" s="87"/>
      <c r="BG380" s="87"/>
      <c r="BH380" s="87"/>
      <c r="BI380" s="87"/>
      <c r="BJ380" s="87"/>
      <c r="BK380" s="87"/>
      <c r="BL380" s="87"/>
      <c r="BM380" s="87"/>
      <c r="BN380" s="87"/>
      <c r="BO380" s="87"/>
      <c r="BP380" s="87"/>
      <c r="BQ380" s="87"/>
      <c r="BR380" s="87"/>
      <c r="BS380" s="87"/>
      <c r="BT380" s="87"/>
      <c r="BU380" s="87"/>
      <c r="BV380" s="87"/>
      <c r="BW380" s="87"/>
      <c r="BX380" s="87"/>
      <c r="BY380" s="87"/>
      <c r="BZ380" s="87"/>
      <c r="CA380" s="87"/>
      <c r="CB380" s="87"/>
      <c r="CC380" s="87"/>
      <c r="CD380" s="87"/>
      <c r="CE380" s="87"/>
      <c r="CF380" s="87"/>
      <c r="CG380" s="87"/>
      <c r="CH380" s="87"/>
      <c r="CI380" s="87"/>
      <c r="CJ380" s="87"/>
      <c r="CK380" s="87"/>
      <c r="CL380" s="87"/>
      <c r="CM380" s="87"/>
      <c r="CN380" s="87"/>
      <c r="CO380" s="87"/>
      <c r="CP380" s="87"/>
      <c r="CQ380" s="87"/>
      <c r="CR380" s="87"/>
      <c r="CS380" s="135"/>
      <c r="CT380" s="127"/>
      <c r="CU380" s="87"/>
      <c r="CV380" s="82"/>
      <c r="CW380" s="82"/>
      <c r="CX380" s="140"/>
      <c r="CY380" s="87"/>
      <c r="CZ380" s="87"/>
      <c r="DA380" s="190"/>
      <c r="DB380" s="87"/>
      <c r="DC380" s="87"/>
      <c r="DD380" s="87"/>
      <c r="DE380" s="87"/>
      <c r="DF380" s="87"/>
      <c r="DG380" s="87"/>
      <c r="DH380" s="87"/>
      <c r="DI380" s="87"/>
      <c r="DJ380" s="87"/>
      <c r="DK380" s="60"/>
      <c r="DL380" s="87"/>
      <c r="DM380" s="126"/>
      <c r="DN380" s="127"/>
      <c r="DO380" s="135"/>
      <c r="DP380" s="87"/>
      <c r="DQ380" s="167"/>
      <c r="DR380" s="87"/>
      <c r="DS380" s="87"/>
      <c r="DT380" s="87"/>
      <c r="DU380" s="87"/>
      <c r="DV380" s="87"/>
      <c r="DW380" s="87"/>
      <c r="DX380" s="87"/>
      <c r="DY380" s="87"/>
      <c r="DZ380" s="87"/>
      <c r="EA380" s="87"/>
      <c r="EB380" s="87"/>
      <c r="EC380" s="87"/>
      <c r="ED380" s="87"/>
      <c r="EE380" s="87"/>
      <c r="EF380" s="54"/>
      <c r="EG380" s="54"/>
      <c r="EH380" s="54"/>
      <c r="EI380" s="87"/>
      <c r="EJ380" s="87"/>
      <c r="EK380" s="87"/>
      <c r="EL380" s="87"/>
      <c r="EM380" s="87"/>
      <c r="EN380" s="87"/>
      <c r="EO380" s="87"/>
      <c r="EP380" s="87"/>
      <c r="EQ380" s="87"/>
      <c r="ER380" s="87"/>
      <c r="ES380" s="87"/>
      <c r="ET380" s="87"/>
      <c r="EU380" s="87"/>
      <c r="EV380" s="87"/>
      <c r="EW380" s="87"/>
      <c r="EX380" s="87"/>
      <c r="EY380" s="87"/>
      <c r="EZ380" s="87"/>
      <c r="FA380" s="87"/>
      <c r="FB380" s="87"/>
      <c r="FC380" s="87"/>
      <c r="FD380" s="87"/>
      <c r="FE380" s="87"/>
      <c r="FF380" s="87"/>
      <c r="FG380" s="87"/>
      <c r="FH380" s="87"/>
      <c r="FI380" s="87"/>
      <c r="FJ380" s="87"/>
      <c r="FK380" s="87"/>
      <c r="FL380" s="87"/>
      <c r="FM380" s="87"/>
      <c r="FN380" s="87"/>
      <c r="FO380" s="87"/>
      <c r="FP380" s="87"/>
      <c r="FQ380" s="87"/>
      <c r="FR380" s="87"/>
      <c r="FS380" s="87"/>
      <c r="FT380" s="87"/>
      <c r="FU380" s="87"/>
      <c r="FV380" s="87"/>
      <c r="FW380" s="87"/>
      <c r="FX380" s="87"/>
      <c r="FY380" s="87"/>
      <c r="FZ380" s="87"/>
      <c r="GA380" s="87"/>
      <c r="GB380" s="87"/>
      <c r="GC380" s="87"/>
      <c r="GD380" s="87"/>
      <c r="GE380" s="87"/>
      <c r="GF380" s="87"/>
      <c r="GG380" s="87"/>
      <c r="GH380" s="87"/>
    </row>
    <row r="381" spans="1:420">
      <c r="A381" s="87"/>
      <c r="B381" s="127">
        <v>45848</v>
      </c>
      <c r="C381" s="127">
        <v>45857</v>
      </c>
      <c r="D381" s="87" t="s">
        <v>168</v>
      </c>
      <c r="E381" s="82" t="s">
        <v>219</v>
      </c>
      <c r="F381" s="82" t="s">
        <v>220</v>
      </c>
      <c r="G381" s="140" t="s">
        <v>2349</v>
      </c>
      <c r="H381" s="87">
        <v>9653419048</v>
      </c>
      <c r="I381" s="87" t="s">
        <v>2350</v>
      </c>
      <c r="J381" s="190" t="s">
        <v>2343</v>
      </c>
      <c r="K381" s="87">
        <v>3.8</v>
      </c>
      <c r="L381" s="87">
        <v>3.8</v>
      </c>
      <c r="M381" s="87" t="s">
        <v>2351</v>
      </c>
      <c r="N381" s="87" t="s">
        <v>425</v>
      </c>
      <c r="O381" s="87" t="s">
        <v>154</v>
      </c>
      <c r="P381" s="87" t="s">
        <v>770</v>
      </c>
      <c r="Q381" s="87" t="s">
        <v>558</v>
      </c>
      <c r="R381" s="87" t="s">
        <v>299</v>
      </c>
      <c r="S381" s="87" t="s">
        <v>1201</v>
      </c>
      <c r="T381" s="60"/>
      <c r="U381" s="87" t="s">
        <v>1175</v>
      </c>
      <c r="V381" s="126" t="s">
        <v>231</v>
      </c>
      <c r="W381" s="127" t="s">
        <v>741</v>
      </c>
      <c r="X381" s="135">
        <v>45861</v>
      </c>
      <c r="Y381" s="87"/>
      <c r="Z381" s="167"/>
      <c r="AA381" s="87"/>
      <c r="AB381" s="87"/>
      <c r="AC381" s="87"/>
      <c r="AD381" s="87"/>
      <c r="AE381" s="87"/>
      <c r="AF381" s="87"/>
      <c r="AG381" s="87"/>
      <c r="AH381" s="87"/>
      <c r="AI381" s="87"/>
      <c r="AJ381" s="87"/>
      <c r="AK381" s="87"/>
      <c r="AL381" s="87"/>
      <c r="AM381" s="87"/>
      <c r="AN381" s="87"/>
      <c r="AO381" s="54"/>
      <c r="AP381" s="54"/>
      <c r="AQ381" s="54"/>
      <c r="AR381" s="87"/>
      <c r="AS381" s="87"/>
      <c r="AT381" s="87"/>
      <c r="AU381" s="87"/>
      <c r="AV381" s="87"/>
      <c r="AW381" s="87"/>
      <c r="AX381" s="87"/>
      <c r="AY381" s="87"/>
      <c r="AZ381" s="87"/>
      <c r="BA381" s="87"/>
      <c r="BB381" s="87"/>
      <c r="BC381" s="87"/>
      <c r="BD381" s="87"/>
      <c r="BE381" s="87"/>
      <c r="BF381" s="87"/>
      <c r="BG381" s="87"/>
      <c r="BH381" s="87"/>
      <c r="BI381" s="87"/>
      <c r="BJ381" s="87"/>
      <c r="BK381" s="87"/>
      <c r="BL381" s="87"/>
      <c r="BM381" s="87"/>
      <c r="BN381" s="87"/>
      <c r="BO381" s="87"/>
      <c r="BP381" s="87"/>
      <c r="BQ381" s="87"/>
      <c r="BR381" s="87"/>
      <c r="BS381" s="87"/>
      <c r="BT381" s="87"/>
      <c r="BU381" s="87"/>
      <c r="BV381" s="87"/>
      <c r="BW381" s="87"/>
      <c r="BX381" s="87"/>
      <c r="BY381" s="87"/>
      <c r="BZ381" s="87"/>
      <c r="CA381" s="87"/>
      <c r="CB381" s="87"/>
      <c r="CC381" s="87"/>
      <c r="CD381" s="87"/>
      <c r="CE381" s="87"/>
      <c r="CF381" s="87"/>
      <c r="CG381" s="87"/>
      <c r="CH381" s="87"/>
      <c r="CI381" s="87"/>
      <c r="CJ381" s="87"/>
      <c r="CK381" s="87"/>
      <c r="CL381" s="87"/>
      <c r="CM381" s="87"/>
      <c r="CN381" s="87"/>
      <c r="CO381" s="87"/>
      <c r="CP381" s="87"/>
      <c r="CQ381" s="87"/>
      <c r="CR381" s="87"/>
      <c r="CS381" s="135"/>
      <c r="CT381" s="127"/>
      <c r="CU381" s="87"/>
      <c r="CV381" s="82"/>
      <c r="CW381" s="82"/>
      <c r="CX381" s="140"/>
      <c r="CY381" s="87"/>
      <c r="CZ381" s="87"/>
      <c r="DA381" s="190"/>
      <c r="DB381" s="87"/>
      <c r="DC381" s="87"/>
      <c r="DD381" s="87"/>
      <c r="DE381" s="87"/>
      <c r="DF381" s="87"/>
      <c r="DG381" s="87"/>
      <c r="DH381" s="87"/>
      <c r="DI381" s="87"/>
      <c r="DJ381" s="87"/>
      <c r="DK381" s="60"/>
      <c r="DL381" s="87"/>
      <c r="DM381" s="126"/>
      <c r="DN381" s="127"/>
      <c r="DO381" s="135"/>
      <c r="DP381" s="87"/>
      <c r="DQ381" s="167"/>
      <c r="DR381" s="87"/>
      <c r="DS381" s="87"/>
      <c r="DT381" s="87"/>
      <c r="DU381" s="87"/>
      <c r="DV381" s="87"/>
      <c r="DW381" s="87"/>
      <c r="DX381" s="87"/>
      <c r="DY381" s="87"/>
      <c r="DZ381" s="87"/>
      <c r="EA381" s="87"/>
      <c r="EB381" s="87"/>
      <c r="EC381" s="87"/>
      <c r="ED381" s="87"/>
      <c r="EE381" s="87"/>
      <c r="EF381" s="54"/>
      <c r="EG381" s="54"/>
      <c r="EH381" s="54"/>
      <c r="EI381" s="87"/>
      <c r="EJ381" s="87"/>
      <c r="EK381" s="87"/>
      <c r="EL381" s="87"/>
      <c r="EM381" s="87"/>
      <c r="EN381" s="87"/>
      <c r="EO381" s="87"/>
      <c r="EP381" s="87"/>
      <c r="EQ381" s="87"/>
      <c r="ER381" s="87"/>
      <c r="ES381" s="87"/>
      <c r="ET381" s="87"/>
      <c r="EU381" s="87"/>
      <c r="EV381" s="87"/>
      <c r="EW381" s="87"/>
      <c r="EX381" s="87"/>
      <c r="EY381" s="87"/>
      <c r="EZ381" s="87"/>
      <c r="FA381" s="87"/>
      <c r="FB381" s="87"/>
      <c r="FC381" s="87"/>
      <c r="FD381" s="87"/>
      <c r="FE381" s="87"/>
      <c r="FF381" s="87"/>
      <c r="FG381" s="87"/>
      <c r="FH381" s="87"/>
      <c r="FI381" s="87"/>
      <c r="FJ381" s="87"/>
      <c r="FK381" s="87"/>
      <c r="FL381" s="87"/>
      <c r="FM381" s="87"/>
      <c r="FN381" s="87"/>
      <c r="FO381" s="87"/>
      <c r="FP381" s="87"/>
      <c r="FQ381" s="87"/>
      <c r="FR381" s="87"/>
      <c r="FS381" s="87"/>
      <c r="FT381" s="87"/>
      <c r="FU381" s="87"/>
      <c r="FV381" s="87"/>
      <c r="FW381" s="87"/>
      <c r="FX381" s="87"/>
      <c r="FY381" s="87"/>
      <c r="FZ381" s="87"/>
      <c r="GA381" s="87"/>
      <c r="GB381" s="87"/>
      <c r="GC381" s="87"/>
      <c r="GD381" s="87"/>
      <c r="GE381" s="87"/>
      <c r="GF381" s="87"/>
      <c r="GG381" s="87"/>
      <c r="GH381" s="87"/>
    </row>
    <row r="382" spans="1:420">
      <c r="A382" s="87"/>
      <c r="B382" s="127">
        <v>45848</v>
      </c>
      <c r="C382" s="127">
        <v>45857</v>
      </c>
      <c r="D382" s="87" t="s">
        <v>168</v>
      </c>
      <c r="E382" s="82" t="s">
        <v>219</v>
      </c>
      <c r="F382" s="82" t="s">
        <v>220</v>
      </c>
      <c r="G382" s="140" t="s">
        <v>2352</v>
      </c>
      <c r="H382" s="87" t="s">
        <v>2353</v>
      </c>
      <c r="I382" s="87" t="s">
        <v>2354</v>
      </c>
      <c r="J382" s="190" t="s">
        <v>2343</v>
      </c>
      <c r="K382" s="87">
        <v>4.8</v>
      </c>
      <c r="L382" s="87">
        <v>4.8</v>
      </c>
      <c r="M382" s="87" t="s">
        <v>2355</v>
      </c>
      <c r="N382" s="87" t="s">
        <v>425</v>
      </c>
      <c r="O382" s="87" t="s">
        <v>2356</v>
      </c>
      <c r="P382" s="87" t="s">
        <v>770</v>
      </c>
      <c r="Q382" s="87" t="s">
        <v>402</v>
      </c>
      <c r="R382" s="87" t="s">
        <v>2357</v>
      </c>
      <c r="S382" s="87" t="s">
        <v>1201</v>
      </c>
      <c r="T382" s="60"/>
      <c r="U382" s="87" t="s">
        <v>1175</v>
      </c>
      <c r="V382" s="126" t="s">
        <v>231</v>
      </c>
      <c r="W382" s="127" t="s">
        <v>741</v>
      </c>
      <c r="X382" s="135">
        <v>45861</v>
      </c>
      <c r="Y382" s="87"/>
      <c r="Z382" s="16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  <c r="AL382" s="87"/>
      <c r="AM382" s="87"/>
      <c r="AN382" s="87"/>
      <c r="AO382" s="54"/>
      <c r="AP382" s="54"/>
      <c r="AQ382" s="54"/>
      <c r="AR382" s="87"/>
      <c r="AS382" s="87"/>
      <c r="AT382" s="87"/>
      <c r="AU382" s="87"/>
      <c r="AV382" s="87"/>
      <c r="AW382" s="87"/>
      <c r="AX382" s="87"/>
      <c r="AY382" s="87"/>
      <c r="AZ382" s="87"/>
      <c r="BA382" s="87"/>
      <c r="BB382" s="87"/>
      <c r="BC382" s="87"/>
      <c r="BD382" s="87"/>
      <c r="BE382" s="87"/>
      <c r="BF382" s="87"/>
      <c r="BG382" s="87"/>
      <c r="BH382" s="87"/>
      <c r="BI382" s="87"/>
      <c r="BJ382" s="87"/>
      <c r="BK382" s="87"/>
      <c r="BL382" s="87"/>
      <c r="BM382" s="87"/>
      <c r="BN382" s="87"/>
      <c r="BO382" s="87"/>
      <c r="BP382" s="87"/>
      <c r="BQ382" s="87"/>
      <c r="BR382" s="87"/>
      <c r="BS382" s="87"/>
      <c r="BT382" s="87"/>
      <c r="BU382" s="87"/>
      <c r="BV382" s="87"/>
      <c r="BW382" s="87"/>
      <c r="BX382" s="87"/>
      <c r="BY382" s="87"/>
      <c r="BZ382" s="87"/>
      <c r="CA382" s="87"/>
      <c r="CB382" s="87"/>
      <c r="CC382" s="87"/>
      <c r="CD382" s="87"/>
      <c r="CE382" s="87"/>
      <c r="CF382" s="87"/>
      <c r="CG382" s="87"/>
      <c r="CH382" s="87"/>
      <c r="CI382" s="87"/>
      <c r="CJ382" s="87"/>
      <c r="CK382" s="87"/>
      <c r="CL382" s="87"/>
      <c r="CM382" s="87"/>
      <c r="CN382" s="87"/>
      <c r="CO382" s="87"/>
      <c r="CP382" s="87"/>
      <c r="CQ382" s="87"/>
      <c r="CR382" s="87"/>
      <c r="CS382" s="135"/>
      <c r="CT382" s="127"/>
      <c r="CU382" s="87"/>
      <c r="CV382" s="82"/>
      <c r="CW382" s="82"/>
      <c r="CX382" s="140"/>
      <c r="CY382" s="87"/>
      <c r="CZ382" s="87"/>
      <c r="DA382" s="190"/>
      <c r="DB382" s="87"/>
      <c r="DC382" s="87"/>
      <c r="DD382" s="87"/>
      <c r="DE382" s="87"/>
      <c r="DF382" s="87"/>
      <c r="DG382" s="87"/>
      <c r="DH382" s="87"/>
      <c r="DI382" s="87"/>
      <c r="DJ382" s="87"/>
      <c r="DK382" s="60"/>
      <c r="DL382" s="87"/>
      <c r="DM382" s="126"/>
      <c r="DN382" s="127"/>
      <c r="DO382" s="135"/>
      <c r="DP382" s="87"/>
      <c r="DQ382" s="167"/>
      <c r="DR382" s="87"/>
      <c r="DS382" s="87"/>
      <c r="DT382" s="87"/>
      <c r="DU382" s="87"/>
      <c r="DV382" s="87"/>
      <c r="DW382" s="87"/>
      <c r="DX382" s="87"/>
      <c r="DY382" s="87"/>
      <c r="DZ382" s="87"/>
      <c r="EA382" s="87"/>
      <c r="EB382" s="87"/>
      <c r="EC382" s="87"/>
      <c r="ED382" s="87"/>
      <c r="EE382" s="87"/>
      <c r="EF382" s="54"/>
      <c r="EG382" s="54"/>
      <c r="EH382" s="54"/>
      <c r="EI382" s="87"/>
      <c r="EJ382" s="87"/>
      <c r="EK382" s="87"/>
      <c r="EL382" s="87"/>
      <c r="EM382" s="87"/>
      <c r="EN382" s="87"/>
      <c r="EO382" s="87"/>
      <c r="EP382" s="87"/>
      <c r="EQ382" s="87"/>
      <c r="ER382" s="87"/>
      <c r="ES382" s="87"/>
      <c r="ET382" s="87"/>
      <c r="EU382" s="87"/>
      <c r="EV382" s="87"/>
      <c r="EW382" s="87"/>
      <c r="EX382" s="87"/>
      <c r="EY382" s="87"/>
      <c r="EZ382" s="87"/>
      <c r="FA382" s="87"/>
      <c r="FB382" s="87"/>
      <c r="FC382" s="87"/>
      <c r="FD382" s="87"/>
      <c r="FE382" s="87"/>
      <c r="FF382" s="87"/>
      <c r="FG382" s="87"/>
      <c r="FH382" s="87"/>
      <c r="FI382" s="87"/>
      <c r="FJ382" s="87"/>
      <c r="FK382" s="87"/>
      <c r="FL382" s="87"/>
      <c r="FM382" s="87"/>
      <c r="FN382" s="87"/>
      <c r="FO382" s="87"/>
      <c r="FP382" s="87"/>
      <c r="FQ382" s="87"/>
      <c r="FR382" s="87"/>
      <c r="FS382" s="87"/>
      <c r="FT382" s="87"/>
      <c r="FU382" s="87"/>
      <c r="FV382" s="87"/>
      <c r="FW382" s="87"/>
      <c r="FX382" s="87"/>
      <c r="FY382" s="87"/>
      <c r="FZ382" s="87"/>
      <c r="GA382" s="87"/>
      <c r="GB382" s="87"/>
      <c r="GC382" s="87"/>
      <c r="GD382" s="87"/>
      <c r="GE382" s="87"/>
      <c r="GF382" s="87"/>
      <c r="GG382" s="87"/>
      <c r="GH382" s="87"/>
    </row>
    <row r="383" spans="1:420">
      <c r="A383" s="87"/>
      <c r="B383" s="127">
        <v>45848</v>
      </c>
      <c r="C383" s="127">
        <v>45857</v>
      </c>
      <c r="D383" s="87" t="s">
        <v>168</v>
      </c>
      <c r="E383" s="82" t="s">
        <v>219</v>
      </c>
      <c r="F383" s="82" t="s">
        <v>220</v>
      </c>
      <c r="G383" s="140" t="s">
        <v>2358</v>
      </c>
      <c r="H383" s="87">
        <v>8709345548</v>
      </c>
      <c r="I383" s="87" t="s">
        <v>2359</v>
      </c>
      <c r="J383" s="190" t="s">
        <v>2343</v>
      </c>
      <c r="K383" s="87">
        <v>7</v>
      </c>
      <c r="L383" s="87">
        <v>3</v>
      </c>
      <c r="M383" s="87" t="s">
        <v>2360</v>
      </c>
      <c r="N383" s="87" t="s">
        <v>425</v>
      </c>
      <c r="O383" s="87" t="s">
        <v>2361</v>
      </c>
      <c r="P383" s="87" t="s">
        <v>770</v>
      </c>
      <c r="Q383" s="87" t="s">
        <v>402</v>
      </c>
      <c r="R383" s="87" t="s">
        <v>2362</v>
      </c>
      <c r="S383" s="87" t="s">
        <v>1201</v>
      </c>
      <c r="T383" s="60"/>
      <c r="U383" s="87" t="s">
        <v>1175</v>
      </c>
      <c r="V383" s="126" t="s">
        <v>2318</v>
      </c>
      <c r="W383" s="127" t="s">
        <v>164</v>
      </c>
      <c r="X383" s="135">
        <v>45861</v>
      </c>
      <c r="Y383" s="167">
        <v>45862</v>
      </c>
      <c r="Z383" s="167" t="s">
        <v>340</v>
      </c>
      <c r="AA383" s="87"/>
      <c r="AB383" s="87"/>
      <c r="AC383" s="87"/>
      <c r="AD383" s="87"/>
      <c r="AE383" s="87"/>
      <c r="AF383" s="87"/>
      <c r="AG383" s="87"/>
      <c r="AH383" s="87"/>
      <c r="AI383" s="87"/>
      <c r="AJ383" s="87"/>
      <c r="AK383" s="87"/>
      <c r="AL383" s="87"/>
      <c r="AM383" s="87"/>
      <c r="AN383" s="87"/>
      <c r="AO383" s="54"/>
      <c r="AP383" s="54"/>
      <c r="AQ383" s="54"/>
      <c r="AR383" s="87"/>
      <c r="AS383" s="87"/>
      <c r="AT383" s="87"/>
      <c r="AU383" s="87"/>
      <c r="AV383" s="87"/>
      <c r="AW383" s="87"/>
      <c r="AX383" s="87"/>
      <c r="AY383" s="87"/>
      <c r="AZ383" s="87"/>
      <c r="BA383" s="87"/>
      <c r="BB383" s="87"/>
      <c r="BC383" s="87"/>
      <c r="BD383" s="87"/>
      <c r="BE383" s="87"/>
      <c r="BF383" s="87"/>
      <c r="BG383" s="87"/>
      <c r="BH383" s="87"/>
      <c r="BI383" s="87"/>
      <c r="BJ383" s="87"/>
      <c r="BK383" s="87"/>
      <c r="BL383" s="87"/>
      <c r="BM383" s="87"/>
      <c r="BN383" s="87"/>
      <c r="BO383" s="87"/>
      <c r="BP383" s="87"/>
      <c r="BQ383" s="87"/>
      <c r="BR383" s="87"/>
      <c r="BS383" s="87"/>
      <c r="BT383" s="87"/>
      <c r="BU383" s="87"/>
      <c r="BV383" s="87"/>
      <c r="BW383" s="87"/>
      <c r="BX383" s="87"/>
      <c r="BY383" s="87"/>
      <c r="BZ383" s="87"/>
      <c r="CA383" s="87"/>
      <c r="CB383" s="87"/>
      <c r="CC383" s="87"/>
      <c r="CD383" s="87"/>
      <c r="CE383" s="87"/>
      <c r="CF383" s="87"/>
      <c r="CG383" s="87"/>
      <c r="CH383" s="87"/>
      <c r="CI383" s="87"/>
      <c r="CJ383" s="87"/>
      <c r="CK383" s="87"/>
      <c r="CL383" s="87"/>
      <c r="CM383" s="87"/>
      <c r="CN383" s="87"/>
      <c r="CO383" s="87"/>
      <c r="CP383" s="87"/>
      <c r="CQ383" s="87"/>
      <c r="CR383" s="87"/>
      <c r="CS383" s="135"/>
      <c r="CT383" s="127"/>
      <c r="CU383" s="87"/>
      <c r="CV383" s="82"/>
      <c r="CW383" s="82"/>
      <c r="CX383" s="140"/>
      <c r="CY383" s="87"/>
      <c r="CZ383" s="87"/>
      <c r="DA383" s="190"/>
      <c r="DB383" s="87"/>
      <c r="DC383" s="87"/>
      <c r="DD383" s="87"/>
      <c r="DE383" s="87"/>
      <c r="DF383" s="87"/>
      <c r="DG383" s="87"/>
      <c r="DH383" s="87"/>
      <c r="DI383" s="87"/>
      <c r="DJ383" s="87"/>
      <c r="DK383" s="60"/>
      <c r="DL383" s="87"/>
      <c r="DM383" s="126"/>
      <c r="DN383" s="127"/>
      <c r="DO383" s="135"/>
      <c r="DP383" s="87"/>
      <c r="DQ383" s="167"/>
      <c r="DR383" s="87"/>
      <c r="DS383" s="87"/>
      <c r="DT383" s="87"/>
      <c r="DU383" s="87"/>
      <c r="DV383" s="87"/>
      <c r="DW383" s="87"/>
      <c r="DX383" s="87"/>
      <c r="DY383" s="87"/>
      <c r="DZ383" s="87"/>
      <c r="EA383" s="87"/>
      <c r="EB383" s="87"/>
      <c r="EC383" s="87"/>
      <c r="ED383" s="87"/>
      <c r="EE383" s="87"/>
      <c r="EF383" s="54"/>
      <c r="EG383" s="54"/>
      <c r="EH383" s="54"/>
      <c r="EI383" s="87"/>
      <c r="EJ383" s="87"/>
      <c r="EK383" s="87"/>
      <c r="EL383" s="87"/>
      <c r="EM383" s="87"/>
      <c r="EN383" s="87"/>
      <c r="EO383" s="87"/>
      <c r="EP383" s="87"/>
      <c r="EQ383" s="87"/>
      <c r="ER383" s="87"/>
      <c r="ES383" s="87"/>
      <c r="ET383" s="87"/>
      <c r="EU383" s="87"/>
      <c r="EV383" s="87"/>
      <c r="EW383" s="87"/>
      <c r="EX383" s="87"/>
      <c r="EY383" s="87"/>
      <c r="EZ383" s="87"/>
      <c r="FA383" s="87"/>
      <c r="FB383" s="87"/>
      <c r="FC383" s="87"/>
      <c r="FD383" s="87"/>
      <c r="FE383" s="87"/>
      <c r="FF383" s="87"/>
      <c r="FG383" s="87"/>
      <c r="FH383" s="87"/>
      <c r="FI383" s="87"/>
      <c r="FJ383" s="87"/>
      <c r="FK383" s="87"/>
      <c r="FL383" s="87"/>
      <c r="FM383" s="87"/>
      <c r="FN383" s="87"/>
      <c r="FO383" s="87"/>
      <c r="FP383" s="87"/>
      <c r="FQ383" s="87"/>
      <c r="FR383" s="87"/>
      <c r="FS383" s="87"/>
      <c r="FT383" s="87"/>
      <c r="FU383" s="87"/>
      <c r="FV383" s="87"/>
      <c r="FW383" s="87"/>
      <c r="FX383" s="87"/>
      <c r="FY383" s="87"/>
      <c r="FZ383" s="87"/>
      <c r="GA383" s="87"/>
      <c r="GB383" s="87"/>
      <c r="GC383" s="87"/>
      <c r="GD383" s="87"/>
      <c r="GE383" s="87"/>
      <c r="GF383" s="87"/>
      <c r="GG383" s="87"/>
      <c r="GH383" s="87"/>
    </row>
    <row r="384" spans="1:420">
      <c r="A384" s="87"/>
      <c r="B384" s="127">
        <v>45848</v>
      </c>
      <c r="C384" s="127">
        <v>45857</v>
      </c>
      <c r="D384" s="87" t="s">
        <v>168</v>
      </c>
      <c r="E384" s="82" t="s">
        <v>219</v>
      </c>
      <c r="F384" s="82" t="s">
        <v>220</v>
      </c>
      <c r="G384" s="140" t="s">
        <v>2363</v>
      </c>
      <c r="H384" s="87">
        <v>8601513504</v>
      </c>
      <c r="I384" s="87" t="s">
        <v>2364</v>
      </c>
      <c r="J384" s="190" t="s">
        <v>2343</v>
      </c>
      <c r="K384" s="87">
        <v>4.8</v>
      </c>
      <c r="L384" s="87">
        <v>4.8</v>
      </c>
      <c r="M384" s="87" t="s">
        <v>2365</v>
      </c>
      <c r="N384" s="87" t="s">
        <v>425</v>
      </c>
      <c r="O384" s="87" t="s">
        <v>94</v>
      </c>
      <c r="P384" s="87" t="s">
        <v>770</v>
      </c>
      <c r="Q384" s="87" t="s">
        <v>2130</v>
      </c>
      <c r="R384" s="87" t="s">
        <v>2366</v>
      </c>
      <c r="S384" s="87" t="s">
        <v>1201</v>
      </c>
      <c r="T384" s="60"/>
      <c r="U384" s="87" t="s">
        <v>1175</v>
      </c>
      <c r="V384" s="126" t="s">
        <v>231</v>
      </c>
      <c r="W384" s="127" t="s">
        <v>741</v>
      </c>
      <c r="X384" s="135">
        <v>45861</v>
      </c>
      <c r="Y384" s="167">
        <v>45862</v>
      </c>
      <c r="Z384" s="167" t="s">
        <v>232</v>
      </c>
      <c r="AA384" s="87"/>
      <c r="AB384" s="87"/>
      <c r="AC384" s="87"/>
      <c r="AD384" s="87"/>
      <c r="AE384" s="87"/>
      <c r="AF384" s="87"/>
      <c r="AG384" s="87"/>
      <c r="AH384" s="87"/>
      <c r="AI384" s="87"/>
      <c r="AJ384" s="87"/>
      <c r="AK384" s="87"/>
      <c r="AL384" s="87"/>
      <c r="AM384" s="87"/>
      <c r="AN384" s="87"/>
      <c r="AO384" s="54"/>
      <c r="AP384" s="54"/>
      <c r="AQ384" s="54"/>
      <c r="AR384" s="87"/>
      <c r="AS384" s="87"/>
      <c r="AT384" s="87"/>
      <c r="AU384" s="87"/>
      <c r="AV384" s="87"/>
      <c r="AW384" s="87"/>
      <c r="AX384" s="87"/>
      <c r="AY384" s="87"/>
      <c r="AZ384" s="87"/>
      <c r="BA384" s="87"/>
      <c r="BB384" s="87"/>
      <c r="BC384" s="87"/>
      <c r="BD384" s="87"/>
      <c r="BE384" s="87"/>
      <c r="BF384" s="87"/>
      <c r="BG384" s="87"/>
      <c r="BH384" s="87"/>
      <c r="BI384" s="87"/>
      <c r="BJ384" s="87"/>
      <c r="BK384" s="87"/>
      <c r="BL384" s="87"/>
      <c r="BM384" s="87"/>
      <c r="BN384" s="87"/>
      <c r="BO384" s="87"/>
      <c r="BP384" s="87"/>
      <c r="BQ384" s="87"/>
      <c r="BR384" s="87"/>
      <c r="BS384" s="87"/>
      <c r="BT384" s="87"/>
      <c r="BU384" s="87"/>
      <c r="BV384" s="87"/>
      <c r="BW384" s="87"/>
      <c r="BX384" s="87"/>
      <c r="BY384" s="87"/>
      <c r="BZ384" s="87"/>
      <c r="CA384" s="87"/>
      <c r="CB384" s="87"/>
      <c r="CC384" s="87"/>
      <c r="CD384" s="87"/>
      <c r="CE384" s="87"/>
      <c r="CF384" s="87"/>
      <c r="CG384" s="87"/>
      <c r="CH384" s="87"/>
      <c r="CI384" s="87"/>
      <c r="CJ384" s="87"/>
      <c r="CK384" s="87"/>
      <c r="CL384" s="87"/>
      <c r="CM384" s="87"/>
      <c r="CN384" s="87"/>
      <c r="CO384" s="87"/>
      <c r="CP384" s="87"/>
      <c r="CQ384" s="87"/>
      <c r="CR384" s="87"/>
      <c r="CS384" s="135"/>
      <c r="CT384" s="127"/>
      <c r="CU384" s="87"/>
      <c r="CV384" s="82"/>
      <c r="CW384" s="82"/>
      <c r="CX384" s="140"/>
      <c r="CY384" s="87"/>
      <c r="CZ384" s="87"/>
      <c r="DA384" s="190"/>
      <c r="DB384" s="87"/>
      <c r="DC384" s="87"/>
      <c r="DD384" s="87"/>
      <c r="DE384" s="87"/>
      <c r="DF384" s="87"/>
      <c r="DG384" s="87"/>
      <c r="DH384" s="87"/>
      <c r="DI384" s="87"/>
      <c r="DJ384" s="87"/>
      <c r="DK384" s="60"/>
      <c r="DL384" s="87"/>
      <c r="DM384" s="126"/>
      <c r="DN384" s="127"/>
      <c r="DO384" s="135"/>
      <c r="DP384" s="87"/>
      <c r="DQ384" s="167"/>
      <c r="DR384" s="87"/>
      <c r="DS384" s="87"/>
      <c r="DT384" s="87"/>
      <c r="DU384" s="87"/>
      <c r="DV384" s="87"/>
      <c r="DW384" s="87"/>
      <c r="DX384" s="87"/>
      <c r="DY384" s="87"/>
      <c r="DZ384" s="87"/>
      <c r="EA384" s="87"/>
      <c r="EB384" s="87"/>
      <c r="EC384" s="87"/>
      <c r="ED384" s="87"/>
      <c r="EE384" s="87"/>
      <c r="EF384" s="54"/>
      <c r="EG384" s="54"/>
      <c r="EH384" s="54"/>
      <c r="EI384" s="87"/>
      <c r="EJ384" s="87"/>
      <c r="EK384" s="87"/>
      <c r="EL384" s="87"/>
      <c r="EM384" s="87"/>
      <c r="EN384" s="87"/>
      <c r="EO384" s="87"/>
      <c r="EP384" s="87"/>
      <c r="EQ384" s="87"/>
      <c r="ER384" s="87"/>
      <c r="ES384" s="87"/>
      <c r="ET384" s="87"/>
      <c r="EU384" s="87"/>
      <c r="EV384" s="87"/>
      <c r="EW384" s="87"/>
      <c r="EX384" s="87"/>
      <c r="EY384" s="87"/>
      <c r="EZ384" s="87"/>
      <c r="FA384" s="87"/>
      <c r="FB384" s="87"/>
      <c r="FC384" s="87"/>
      <c r="FD384" s="87"/>
      <c r="FE384" s="87"/>
      <c r="FF384" s="87"/>
      <c r="FG384" s="87"/>
      <c r="FH384" s="87"/>
      <c r="FI384" s="87"/>
      <c r="FJ384" s="87"/>
      <c r="FK384" s="87"/>
      <c r="FL384" s="87"/>
      <c r="FM384" s="87"/>
      <c r="FN384" s="87"/>
      <c r="FO384" s="87"/>
      <c r="FP384" s="87"/>
      <c r="FQ384" s="87"/>
      <c r="FR384" s="87"/>
      <c r="FS384" s="87"/>
      <c r="FT384" s="87"/>
      <c r="FU384" s="87"/>
      <c r="FV384" s="87"/>
      <c r="FW384" s="87"/>
      <c r="FX384" s="87"/>
      <c r="FY384" s="87"/>
      <c r="FZ384" s="87"/>
      <c r="GA384" s="87"/>
      <c r="GB384" s="87"/>
      <c r="GC384" s="87"/>
      <c r="GD384" s="87"/>
      <c r="GE384" s="87"/>
      <c r="GF384" s="87"/>
      <c r="GG384" s="87"/>
      <c r="GH384" s="87"/>
    </row>
    <row r="385" spans="1:472">
      <c r="A385" s="87"/>
      <c r="B385" s="127">
        <v>45848</v>
      </c>
      <c r="C385" s="127">
        <v>45857</v>
      </c>
      <c r="D385" s="87" t="s">
        <v>150</v>
      </c>
      <c r="E385" s="82" t="s">
        <v>219</v>
      </c>
      <c r="F385" s="82" t="s">
        <v>220</v>
      </c>
      <c r="G385" s="140" t="s">
        <v>2367</v>
      </c>
      <c r="H385" s="87">
        <v>8208619886</v>
      </c>
      <c r="I385" s="87" t="s">
        <v>2368</v>
      </c>
      <c r="J385" s="190" t="s">
        <v>2369</v>
      </c>
      <c r="K385" s="87">
        <v>3.8</v>
      </c>
      <c r="L385" s="87">
        <v>3.8</v>
      </c>
      <c r="M385" s="87" t="s">
        <v>2370</v>
      </c>
      <c r="N385" s="87" t="s">
        <v>1218</v>
      </c>
      <c r="O385" s="87" t="s">
        <v>2371</v>
      </c>
      <c r="P385" s="87" t="s">
        <v>770</v>
      </c>
      <c r="Q385" s="87" t="s">
        <v>558</v>
      </c>
      <c r="R385" s="87" t="s">
        <v>228</v>
      </c>
      <c r="S385" s="87" t="s">
        <v>1201</v>
      </c>
      <c r="T385" s="60">
        <v>3.8</v>
      </c>
      <c r="U385" s="87" t="s">
        <v>1175</v>
      </c>
      <c r="V385" s="126" t="s">
        <v>231</v>
      </c>
      <c r="W385" s="127" t="s">
        <v>741</v>
      </c>
      <c r="X385" s="135">
        <v>45861</v>
      </c>
      <c r="Y385" s="167">
        <v>45862</v>
      </c>
      <c r="Z385" s="167" t="s">
        <v>232</v>
      </c>
      <c r="AA385" s="87"/>
      <c r="AB385" s="87"/>
      <c r="AC385" s="87"/>
      <c r="AD385" s="87"/>
      <c r="AE385" s="87"/>
      <c r="AF385" s="87"/>
      <c r="AG385" s="87"/>
      <c r="AH385" s="87"/>
      <c r="AI385" s="87"/>
      <c r="AJ385" s="87"/>
      <c r="AK385" s="87"/>
      <c r="AL385" s="87"/>
      <c r="AM385" s="87"/>
      <c r="AN385" s="87"/>
      <c r="AO385" s="54"/>
      <c r="AP385" s="54"/>
      <c r="AQ385" s="54"/>
      <c r="AR385" s="87"/>
      <c r="AS385" s="87"/>
      <c r="AT385" s="87"/>
      <c r="AU385" s="87"/>
      <c r="AV385" s="87"/>
      <c r="AW385" s="87"/>
      <c r="AX385" s="87"/>
      <c r="AY385" s="87"/>
      <c r="AZ385" s="87"/>
      <c r="BA385" s="87"/>
      <c r="BB385" s="87"/>
      <c r="BC385" s="87"/>
      <c r="BD385" s="87"/>
      <c r="BE385" s="87"/>
      <c r="BF385" s="87"/>
      <c r="BG385" s="87"/>
      <c r="BH385" s="87"/>
      <c r="BI385" s="87"/>
      <c r="BJ385" s="87"/>
      <c r="BK385" s="87"/>
      <c r="BL385" s="87"/>
      <c r="BM385" s="87"/>
      <c r="BN385" s="87"/>
      <c r="BO385" s="87"/>
      <c r="BP385" s="87"/>
      <c r="BQ385" s="87"/>
      <c r="BR385" s="87"/>
      <c r="BS385" s="87"/>
      <c r="BT385" s="87"/>
      <c r="BU385" s="87"/>
      <c r="BV385" s="87"/>
      <c r="BW385" s="87"/>
      <c r="BX385" s="87"/>
      <c r="BY385" s="87"/>
      <c r="BZ385" s="87"/>
      <c r="CA385" s="87"/>
      <c r="CB385" s="87"/>
      <c r="CC385" s="87"/>
      <c r="CD385" s="87"/>
      <c r="CE385" s="87"/>
      <c r="CF385" s="87"/>
      <c r="CG385" s="87"/>
      <c r="CH385" s="87"/>
      <c r="CI385" s="87"/>
      <c r="CJ385" s="87"/>
      <c r="CK385" s="87"/>
      <c r="CL385" s="87"/>
      <c r="CM385" s="87"/>
      <c r="CN385" s="87"/>
      <c r="CO385" s="87"/>
      <c r="CP385" s="87"/>
      <c r="CQ385" s="87"/>
      <c r="CR385" s="87"/>
      <c r="CS385" s="135"/>
      <c r="CT385" s="127"/>
      <c r="CU385" s="87"/>
      <c r="CV385" s="82"/>
      <c r="CW385" s="82"/>
      <c r="CX385" s="140"/>
      <c r="CY385" s="87"/>
      <c r="CZ385" s="87"/>
      <c r="DA385" s="190"/>
      <c r="DB385" s="87"/>
      <c r="DC385" s="87"/>
      <c r="DD385" s="87"/>
      <c r="DE385" s="87"/>
      <c r="DF385" s="87"/>
      <c r="DG385" s="87"/>
      <c r="DH385" s="87"/>
      <c r="DI385" s="87"/>
      <c r="DJ385" s="87"/>
      <c r="DK385" s="60"/>
      <c r="DL385" s="87"/>
      <c r="DM385" s="126"/>
      <c r="DN385" s="127"/>
      <c r="DO385" s="135"/>
      <c r="DP385" s="87"/>
      <c r="DQ385" s="167"/>
      <c r="DR385" s="87"/>
      <c r="DS385" s="87"/>
      <c r="DT385" s="87"/>
      <c r="DU385" s="87"/>
      <c r="DV385" s="87"/>
      <c r="DW385" s="87"/>
      <c r="DX385" s="87"/>
      <c r="DY385" s="87"/>
      <c r="DZ385" s="87"/>
      <c r="EA385" s="87"/>
      <c r="EB385" s="87"/>
      <c r="EC385" s="87"/>
      <c r="ED385" s="87"/>
      <c r="EE385" s="87"/>
      <c r="EF385" s="54"/>
      <c r="EG385" s="54"/>
      <c r="EH385" s="54"/>
      <c r="EI385" s="87"/>
      <c r="EJ385" s="87"/>
      <c r="EK385" s="87"/>
      <c r="EL385" s="87"/>
      <c r="EM385" s="87"/>
      <c r="EN385" s="87"/>
      <c r="EO385" s="87"/>
      <c r="EP385" s="87"/>
      <c r="EQ385" s="87"/>
      <c r="ER385" s="87"/>
      <c r="ES385" s="87"/>
      <c r="ET385" s="87"/>
      <c r="EU385" s="87"/>
      <c r="EV385" s="87"/>
      <c r="EW385" s="87"/>
      <c r="EX385" s="87"/>
      <c r="EY385" s="87"/>
      <c r="EZ385" s="87"/>
      <c r="FA385" s="87"/>
      <c r="FB385" s="87"/>
      <c r="FC385" s="87"/>
      <c r="FD385" s="87"/>
      <c r="FE385" s="87"/>
      <c r="FF385" s="87"/>
      <c r="FG385" s="87"/>
      <c r="FH385" s="87"/>
      <c r="FI385" s="87"/>
      <c r="FJ385" s="87"/>
      <c r="FK385" s="87"/>
      <c r="FL385" s="87"/>
      <c r="FM385" s="87"/>
      <c r="FN385" s="87"/>
      <c r="FO385" s="87"/>
      <c r="FP385" s="87"/>
      <c r="FQ385" s="87"/>
      <c r="FR385" s="87"/>
      <c r="FS385" s="87"/>
      <c r="FT385" s="87"/>
      <c r="FU385" s="87"/>
      <c r="FV385" s="87"/>
      <c r="FW385" s="87"/>
      <c r="FX385" s="87"/>
      <c r="FY385" s="87"/>
      <c r="FZ385" s="87"/>
      <c r="GA385" s="87"/>
      <c r="GB385" s="87"/>
      <c r="GC385" s="87"/>
      <c r="GD385" s="87"/>
      <c r="GE385" s="87"/>
      <c r="GF385" s="87"/>
      <c r="GG385" s="87"/>
      <c r="GH385" s="87"/>
    </row>
    <row r="386" spans="1:472">
      <c r="A386" s="87"/>
      <c r="B386" s="135">
        <v>45848</v>
      </c>
      <c r="C386" s="127">
        <v>45857</v>
      </c>
      <c r="D386" s="87" t="s">
        <v>182</v>
      </c>
      <c r="E386" s="82" t="s">
        <v>219</v>
      </c>
      <c r="F386" s="82" t="s">
        <v>220</v>
      </c>
      <c r="G386" s="102" t="s">
        <v>2372</v>
      </c>
      <c r="H386" s="170" t="s">
        <v>2373</v>
      </c>
      <c r="I386" s="171" t="s">
        <v>2374</v>
      </c>
      <c r="J386" s="170" t="s">
        <v>2331</v>
      </c>
      <c r="K386" s="170">
        <v>10</v>
      </c>
      <c r="L386" s="170">
        <v>10</v>
      </c>
      <c r="M386" s="170" t="s">
        <v>2375</v>
      </c>
      <c r="N386" s="170" t="s">
        <v>425</v>
      </c>
      <c r="O386" s="170" t="s">
        <v>378</v>
      </c>
      <c r="P386" s="170" t="s">
        <v>770</v>
      </c>
      <c r="Q386" s="170" t="s">
        <v>2376</v>
      </c>
      <c r="R386" s="170" t="s">
        <v>2377</v>
      </c>
      <c r="S386" s="170" t="s">
        <v>1201</v>
      </c>
      <c r="T386" s="60"/>
      <c r="U386" s="87" t="s">
        <v>1175</v>
      </c>
      <c r="V386" s="126" t="s">
        <v>2318</v>
      </c>
      <c r="W386" s="127" t="s">
        <v>164</v>
      </c>
      <c r="X386" s="135">
        <v>45861</v>
      </c>
      <c r="Y386" s="135">
        <v>45862</v>
      </c>
      <c r="Z386" s="167" t="s">
        <v>340</v>
      </c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  <c r="AL386" s="87"/>
      <c r="AM386" s="87"/>
      <c r="AN386" s="87"/>
      <c r="AO386" s="54"/>
      <c r="AP386" s="54"/>
      <c r="AQ386" s="54"/>
      <c r="AR386" s="87"/>
      <c r="AS386" s="87"/>
      <c r="AT386" s="87"/>
      <c r="AU386" s="87"/>
      <c r="AV386" s="87"/>
      <c r="AW386" s="87"/>
      <c r="AX386" s="87"/>
      <c r="AY386" s="87"/>
      <c r="AZ386" s="87"/>
      <c r="BA386" s="87"/>
      <c r="BB386" s="87"/>
      <c r="BC386" s="87"/>
      <c r="BD386" s="87"/>
      <c r="BE386" s="87"/>
      <c r="BF386" s="87"/>
      <c r="BG386" s="87"/>
      <c r="BH386" s="87"/>
      <c r="BI386" s="87"/>
      <c r="BJ386" s="87"/>
      <c r="BK386" s="87"/>
      <c r="BL386" s="87"/>
      <c r="BM386" s="87"/>
      <c r="BN386" s="87"/>
      <c r="BO386" s="87"/>
      <c r="BP386" s="87"/>
      <c r="BQ386" s="87"/>
      <c r="BR386" s="87"/>
      <c r="BS386" s="87"/>
      <c r="BT386" s="87"/>
      <c r="BU386" s="87"/>
      <c r="BV386" s="87"/>
      <c r="BW386" s="87"/>
      <c r="BX386" s="87"/>
      <c r="BY386" s="87"/>
      <c r="BZ386" s="87"/>
      <c r="CA386" s="87"/>
      <c r="CB386" s="87"/>
      <c r="CC386" s="87"/>
      <c r="CD386" s="87"/>
      <c r="CE386" s="87"/>
      <c r="CF386" s="87"/>
      <c r="CG386" s="87"/>
      <c r="CH386" s="87"/>
      <c r="CI386" s="87"/>
      <c r="CJ386" s="87"/>
      <c r="CK386" s="87"/>
      <c r="CL386" s="87"/>
      <c r="CM386" s="87"/>
      <c r="CN386" s="87"/>
      <c r="CO386" s="87"/>
      <c r="CP386" s="87"/>
      <c r="CQ386" s="87"/>
      <c r="NN386" s="87"/>
      <c r="NO386" s="135"/>
      <c r="NP386" s="127"/>
      <c r="NQ386" s="87"/>
      <c r="NR386" s="82"/>
      <c r="NS386" s="82"/>
      <c r="NT386" s="102"/>
      <c r="NU386" s="170"/>
      <c r="NV386" s="171"/>
      <c r="NW386" s="170"/>
      <c r="NX386" s="170"/>
      <c r="NY386" s="170"/>
      <c r="NZ386" s="170"/>
      <c r="OA386" s="170"/>
      <c r="OB386" s="170"/>
      <c r="OC386" s="170"/>
      <c r="OD386" s="170"/>
      <c r="OE386" s="170"/>
      <c r="OF386" s="170"/>
      <c r="OG386" s="60"/>
      <c r="OH386" s="87"/>
      <c r="OI386" s="126"/>
      <c r="OJ386" s="127"/>
      <c r="OK386" s="135"/>
      <c r="OL386" s="87"/>
      <c r="OM386" s="167"/>
      <c r="ON386" s="87"/>
      <c r="OO386" s="87"/>
      <c r="OP386" s="87"/>
      <c r="OQ386" s="87"/>
      <c r="OR386" s="87"/>
      <c r="OS386" s="87"/>
      <c r="OT386" s="87"/>
      <c r="OU386" s="87"/>
      <c r="OV386" s="87"/>
      <c r="OW386" s="87"/>
      <c r="OX386" s="87"/>
      <c r="OY386" s="87"/>
      <c r="OZ386" s="87"/>
      <c r="PA386" s="87"/>
      <c r="PB386" s="54"/>
      <c r="PC386" s="54"/>
      <c r="PD386" s="54"/>
      <c r="PE386" s="87"/>
      <c r="PF386" s="87"/>
      <c r="PG386" s="87"/>
      <c r="PH386" s="87"/>
      <c r="PI386" s="87"/>
      <c r="PJ386" s="87"/>
      <c r="PK386" s="87"/>
      <c r="PL386" s="87"/>
      <c r="PM386" s="87"/>
      <c r="PN386" s="87"/>
      <c r="PO386" s="87"/>
      <c r="PP386" s="87"/>
      <c r="PQ386" s="87"/>
      <c r="PR386" s="87"/>
      <c r="PS386" s="87"/>
      <c r="PT386" s="87"/>
      <c r="PU386" s="87"/>
      <c r="PV386" s="87"/>
      <c r="PW386" s="87"/>
      <c r="PX386" s="87"/>
      <c r="PY386" s="87"/>
      <c r="PZ386" s="87"/>
      <c r="QA386" s="87"/>
      <c r="QB386" s="87"/>
      <c r="QC386" s="87"/>
      <c r="QD386" s="87"/>
      <c r="QE386" s="87"/>
      <c r="QF386" s="87"/>
      <c r="QG386" s="87"/>
      <c r="QH386" s="87"/>
      <c r="QI386" s="87"/>
      <c r="QJ386" s="87"/>
      <c r="QK386" s="87"/>
      <c r="QL386" s="87"/>
      <c r="QM386" s="87"/>
      <c r="QN386" s="87"/>
      <c r="QO386" s="87"/>
      <c r="QP386" s="87"/>
      <c r="QQ386" s="87"/>
      <c r="QR386" s="87"/>
      <c r="QS386" s="87"/>
      <c r="QT386" s="87"/>
      <c r="QU386" s="87"/>
      <c r="QV386" s="87"/>
      <c r="QW386" s="87"/>
      <c r="QX386" s="87"/>
      <c r="QY386" s="87"/>
      <c r="QZ386" s="87"/>
      <c r="RA386" s="87"/>
      <c r="RB386" s="87"/>
      <c r="RC386" s="87"/>
      <c r="RD386" s="87"/>
    </row>
    <row r="387" spans="1:472">
      <c r="A387" s="87"/>
      <c r="B387" s="135">
        <v>45848</v>
      </c>
      <c r="C387" s="127">
        <v>45857</v>
      </c>
      <c r="D387" s="87" t="s">
        <v>182</v>
      </c>
      <c r="E387" s="82" t="s">
        <v>219</v>
      </c>
      <c r="F387" s="82" t="s">
        <v>220</v>
      </c>
      <c r="G387" s="102" t="s">
        <v>2378</v>
      </c>
      <c r="H387" s="170">
        <v>8348170153</v>
      </c>
      <c r="I387" s="171" t="s">
        <v>2379</v>
      </c>
      <c r="J387" s="170" t="s">
        <v>2331</v>
      </c>
      <c r="K387" s="170">
        <v>7</v>
      </c>
      <c r="L387" s="170">
        <v>7</v>
      </c>
      <c r="M387" s="170" t="s">
        <v>2380</v>
      </c>
      <c r="N387" s="170" t="s">
        <v>2139</v>
      </c>
      <c r="O387" s="170" t="s">
        <v>617</v>
      </c>
      <c r="P387" s="170" t="s">
        <v>770</v>
      </c>
      <c r="Q387" s="170" t="s">
        <v>402</v>
      </c>
      <c r="R387" s="170" t="s">
        <v>228</v>
      </c>
      <c r="S387" s="170" t="s">
        <v>1201</v>
      </c>
      <c r="T387" s="60"/>
      <c r="U387" s="87" t="s">
        <v>1175</v>
      </c>
      <c r="V387" s="126" t="s">
        <v>2318</v>
      </c>
      <c r="W387" s="127" t="s">
        <v>164</v>
      </c>
      <c r="X387" s="135">
        <v>45861</v>
      </c>
      <c r="Y387" s="135">
        <v>45862</v>
      </c>
      <c r="Z387" s="167" t="s">
        <v>340</v>
      </c>
      <c r="AA387" s="87"/>
      <c r="AB387" s="87"/>
      <c r="AC387" s="87"/>
      <c r="AD387" s="87"/>
      <c r="AE387" s="87"/>
      <c r="AF387" s="87"/>
      <c r="AG387" s="87"/>
      <c r="AH387" s="87"/>
      <c r="AI387" s="87"/>
      <c r="AJ387" s="87"/>
      <c r="AK387" s="87"/>
      <c r="AL387" s="87"/>
      <c r="AM387" s="87"/>
      <c r="AN387" s="87"/>
      <c r="AO387" s="54"/>
      <c r="AP387" s="54"/>
      <c r="AQ387" s="54"/>
      <c r="AR387" s="87"/>
      <c r="AS387" s="87"/>
      <c r="AT387" s="87"/>
      <c r="AU387" s="87"/>
      <c r="AV387" s="87"/>
      <c r="AW387" s="87"/>
      <c r="AX387" s="87"/>
      <c r="AY387" s="87"/>
      <c r="AZ387" s="87"/>
      <c r="BA387" s="87"/>
      <c r="BB387" s="87"/>
      <c r="BC387" s="87"/>
      <c r="BD387" s="87"/>
      <c r="BE387" s="87"/>
      <c r="BF387" s="87"/>
      <c r="BG387" s="87"/>
      <c r="BH387" s="87"/>
      <c r="BI387" s="87"/>
      <c r="BJ387" s="87"/>
      <c r="BK387" s="87"/>
      <c r="BL387" s="87"/>
      <c r="BM387" s="87"/>
      <c r="BN387" s="87"/>
      <c r="BO387" s="87"/>
      <c r="BP387" s="87"/>
      <c r="BQ387" s="87"/>
      <c r="BR387" s="87"/>
      <c r="BS387" s="87"/>
      <c r="BT387" s="87"/>
      <c r="BU387" s="87"/>
      <c r="BV387" s="87"/>
      <c r="BW387" s="87"/>
      <c r="BX387" s="87"/>
      <c r="BY387" s="87"/>
      <c r="BZ387" s="87"/>
      <c r="CA387" s="87"/>
      <c r="CB387" s="87"/>
      <c r="CC387" s="87"/>
      <c r="CD387" s="87"/>
      <c r="CE387" s="87"/>
      <c r="CF387" s="87"/>
      <c r="CG387" s="87"/>
      <c r="CH387" s="87"/>
      <c r="CI387" s="87"/>
      <c r="CJ387" s="87"/>
      <c r="CK387" s="87"/>
      <c r="CL387" s="87"/>
      <c r="CM387" s="87"/>
      <c r="CN387" s="87"/>
      <c r="CO387" s="87"/>
      <c r="CP387" s="87"/>
      <c r="CQ387" s="87"/>
      <c r="NN387" s="87"/>
      <c r="NO387" s="135"/>
      <c r="NP387" s="127"/>
      <c r="NQ387" s="87"/>
      <c r="NR387" s="82"/>
      <c r="NS387" s="82"/>
      <c r="NT387" s="102"/>
      <c r="NU387" s="170"/>
      <c r="NV387" s="171"/>
      <c r="NW387" s="170"/>
      <c r="NX387" s="170"/>
      <c r="NY387" s="170"/>
      <c r="NZ387" s="170"/>
      <c r="OA387" s="170"/>
      <c r="OB387" s="170"/>
      <c r="OC387" s="170"/>
      <c r="OD387" s="170"/>
      <c r="OE387" s="170"/>
      <c r="OF387" s="170"/>
      <c r="OG387" s="60"/>
      <c r="OH387" s="87"/>
      <c r="OI387" s="126"/>
      <c r="OJ387" s="127"/>
      <c r="OK387" s="135"/>
      <c r="OL387" s="87"/>
      <c r="OM387" s="167"/>
      <c r="ON387" s="87"/>
      <c r="OO387" s="87"/>
      <c r="OP387" s="87"/>
      <c r="OQ387" s="87"/>
      <c r="OR387" s="87"/>
      <c r="OS387" s="87"/>
      <c r="OT387" s="87"/>
      <c r="OU387" s="87"/>
      <c r="OV387" s="87"/>
      <c r="OW387" s="87"/>
      <c r="OX387" s="87"/>
      <c r="OY387" s="87"/>
      <c r="OZ387" s="87"/>
      <c r="PA387" s="87"/>
      <c r="PB387" s="54"/>
      <c r="PC387" s="54"/>
      <c r="PD387" s="54"/>
      <c r="PE387" s="87"/>
      <c r="PF387" s="87"/>
      <c r="PG387" s="87"/>
      <c r="PH387" s="87"/>
      <c r="PI387" s="87"/>
      <c r="PJ387" s="87"/>
      <c r="PK387" s="87"/>
      <c r="PL387" s="87"/>
      <c r="PM387" s="87"/>
      <c r="PN387" s="87"/>
      <c r="PO387" s="87"/>
      <c r="PP387" s="87"/>
      <c r="PQ387" s="87"/>
      <c r="PR387" s="87"/>
      <c r="PS387" s="87"/>
      <c r="PT387" s="87"/>
      <c r="PU387" s="87"/>
      <c r="PV387" s="87"/>
      <c r="PW387" s="87"/>
      <c r="PX387" s="87"/>
      <c r="PY387" s="87"/>
      <c r="PZ387" s="87"/>
      <c r="QA387" s="87"/>
      <c r="QB387" s="87"/>
      <c r="QC387" s="87"/>
      <c r="QD387" s="87"/>
      <c r="QE387" s="87"/>
      <c r="QF387" s="87"/>
      <c r="QG387" s="87"/>
      <c r="QH387" s="87"/>
      <c r="QI387" s="87"/>
      <c r="QJ387" s="87"/>
      <c r="QK387" s="87"/>
      <c r="QL387" s="87"/>
      <c r="QM387" s="87"/>
      <c r="QN387" s="87"/>
      <c r="QO387" s="87"/>
      <c r="QP387" s="87"/>
      <c r="QQ387" s="87"/>
      <c r="QR387" s="87"/>
      <c r="QS387" s="87"/>
      <c r="QT387" s="87"/>
      <c r="QU387" s="87"/>
      <c r="QV387" s="87"/>
      <c r="QW387" s="87"/>
      <c r="QX387" s="87"/>
      <c r="QY387" s="87"/>
      <c r="QZ387" s="87"/>
      <c r="RA387" s="87"/>
      <c r="RB387" s="87"/>
      <c r="RC387" s="87"/>
      <c r="RD387" s="87"/>
    </row>
    <row r="388" spans="1:472">
      <c r="A388" s="87"/>
      <c r="B388" s="135">
        <v>45758</v>
      </c>
      <c r="C388" s="127">
        <v>45859</v>
      </c>
      <c r="D388" s="87" t="s">
        <v>199</v>
      </c>
      <c r="E388" s="82" t="s">
        <v>219</v>
      </c>
      <c r="F388" s="82" t="s">
        <v>220</v>
      </c>
      <c r="G388" s="111" t="s">
        <v>2381</v>
      </c>
      <c r="H388" s="181">
        <v>8094016590</v>
      </c>
      <c r="I388" s="181" t="s">
        <v>2382</v>
      </c>
      <c r="J388" s="216"/>
      <c r="K388" s="181">
        <v>30</v>
      </c>
      <c r="L388" s="181">
        <v>22</v>
      </c>
      <c r="M388" s="181" t="s">
        <v>2383</v>
      </c>
      <c r="N388" s="181" t="s">
        <v>1059</v>
      </c>
      <c r="O388" s="181" t="s">
        <v>2384</v>
      </c>
      <c r="P388" s="181" t="s">
        <v>2385</v>
      </c>
      <c r="Q388" s="181" t="s">
        <v>227</v>
      </c>
      <c r="R388" s="181" t="s">
        <v>367</v>
      </c>
      <c r="S388" s="181" t="s">
        <v>1201</v>
      </c>
      <c r="T388" s="60"/>
      <c r="U388" s="87" t="s">
        <v>271</v>
      </c>
      <c r="V388" s="126" t="s">
        <v>2386</v>
      </c>
      <c r="W388" s="127"/>
      <c r="X388" s="135"/>
      <c r="Y388" s="87"/>
      <c r="Z388" s="16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  <c r="AO388" s="54"/>
      <c r="AP388" s="54"/>
      <c r="AQ388" s="54"/>
      <c r="AR388" s="87"/>
      <c r="AS388" s="87"/>
      <c r="AT388" s="87"/>
      <c r="AU388" s="87"/>
      <c r="AV388" s="87"/>
      <c r="AW388" s="87"/>
      <c r="AX388" s="87"/>
      <c r="AY388" s="87"/>
      <c r="AZ388" s="87"/>
      <c r="BA388" s="87"/>
      <c r="BB388" s="87"/>
      <c r="BC388" s="87"/>
      <c r="BD388" s="87"/>
      <c r="BE388" s="87"/>
      <c r="BF388" s="87"/>
      <c r="BG388" s="87"/>
      <c r="BH388" s="87"/>
      <c r="BI388" s="87"/>
      <c r="BJ388" s="87"/>
      <c r="BK388" s="87"/>
      <c r="BL388" s="87"/>
      <c r="BM388" s="87"/>
      <c r="BN388" s="87"/>
      <c r="BO388" s="87"/>
      <c r="BP388" s="87"/>
      <c r="BQ388" s="87"/>
      <c r="BR388" s="87"/>
      <c r="BS388" s="87"/>
      <c r="BT388" s="87"/>
      <c r="BU388" s="87"/>
      <c r="BV388" s="87"/>
      <c r="BW388" s="87"/>
      <c r="BX388" s="87"/>
      <c r="BY388" s="87"/>
      <c r="BZ388" s="87"/>
      <c r="CA388" s="87"/>
      <c r="CB388" s="87"/>
      <c r="CC388" s="87"/>
      <c r="CD388" s="87"/>
      <c r="CE388" s="87"/>
      <c r="CF388" s="87"/>
      <c r="CG388" s="87"/>
      <c r="CH388" s="87"/>
      <c r="CI388" s="87"/>
      <c r="CJ388" s="87"/>
      <c r="CK388" s="87"/>
      <c r="CL388" s="87"/>
      <c r="CM388" s="87"/>
      <c r="CN388" s="87"/>
      <c r="CO388" s="87"/>
      <c r="CP388" s="87"/>
      <c r="CQ388" s="87"/>
      <c r="CS388" s="224"/>
      <c r="CT388" s="225"/>
      <c r="CV388" s="226"/>
      <c r="CW388" s="226"/>
      <c r="CX388" s="228"/>
      <c r="DA388" s="229"/>
      <c r="DM388" s="227"/>
      <c r="DN388" s="225"/>
      <c r="DO388" s="224"/>
      <c r="DQ388" s="230"/>
      <c r="EF388" s="226"/>
      <c r="EG388" s="226"/>
      <c r="EH388" s="226"/>
      <c r="NN388" s="87"/>
      <c r="NO388" s="87"/>
      <c r="NP388" s="60"/>
      <c r="NQ388" s="87"/>
      <c r="NR388" s="87"/>
      <c r="NS388" s="87"/>
      <c r="NT388" s="60"/>
      <c r="NU388" s="181"/>
      <c r="NV388" s="181"/>
      <c r="NW388" s="181"/>
      <c r="NX388" s="181"/>
      <c r="NY388" s="181"/>
      <c r="NZ388" s="181"/>
      <c r="OA388" s="181"/>
      <c r="OB388" s="181"/>
      <c r="OC388" s="181"/>
      <c r="OD388" s="181"/>
      <c r="OE388" s="181"/>
      <c r="OF388" s="181"/>
      <c r="OG388" s="60"/>
      <c r="OH388" s="87"/>
      <c r="OI388" s="60"/>
      <c r="OJ388" s="60"/>
      <c r="OK388" s="87"/>
      <c r="OL388" s="87"/>
      <c r="OM388" s="87"/>
      <c r="ON388" s="87"/>
      <c r="OO388" s="87"/>
      <c r="OP388" s="87"/>
      <c r="OQ388" s="87"/>
      <c r="OR388" s="87"/>
      <c r="OS388" s="87"/>
      <c r="OT388" s="87"/>
      <c r="OU388" s="87"/>
      <c r="OV388" s="87"/>
      <c r="OW388" s="87"/>
      <c r="OX388" s="87"/>
      <c r="OY388" s="87"/>
      <c r="OZ388" s="87"/>
      <c r="PA388" s="87"/>
      <c r="PB388" s="60"/>
      <c r="PC388" s="60"/>
      <c r="PD388" s="60"/>
      <c r="PE388" s="87"/>
      <c r="PF388" s="87"/>
      <c r="PG388" s="87"/>
      <c r="PH388" s="87"/>
      <c r="PI388" s="87"/>
      <c r="PJ388" s="87"/>
      <c r="PK388" s="87"/>
      <c r="PL388" s="87"/>
      <c r="PM388" s="87"/>
      <c r="PN388" s="87"/>
      <c r="PO388" s="87"/>
      <c r="PP388" s="87"/>
      <c r="PQ388" s="87"/>
      <c r="PR388" s="87"/>
      <c r="PS388" s="87"/>
      <c r="PT388" s="87"/>
      <c r="PU388" s="87"/>
      <c r="PV388" s="87"/>
      <c r="PW388" s="87"/>
      <c r="PX388" s="87"/>
      <c r="PY388" s="87"/>
      <c r="PZ388" s="87"/>
      <c r="QA388" s="87"/>
      <c r="QB388" s="87"/>
      <c r="QC388" s="87"/>
      <c r="QD388" s="87"/>
      <c r="QE388" s="87"/>
      <c r="QF388" s="87"/>
      <c r="QG388" s="87"/>
      <c r="QH388" s="87"/>
      <c r="QI388" s="87"/>
      <c r="QJ388" s="87"/>
      <c r="QK388" s="87"/>
      <c r="QL388" s="87"/>
      <c r="QM388" s="87"/>
      <c r="QN388" s="87"/>
      <c r="QO388" s="87"/>
      <c r="QP388" s="87"/>
      <c r="QQ388" s="87"/>
      <c r="QR388" s="87"/>
      <c r="QS388" s="87"/>
      <c r="QT388" s="87"/>
      <c r="QU388" s="87"/>
      <c r="QV388" s="87"/>
      <c r="QW388" s="87"/>
      <c r="QX388" s="87"/>
      <c r="QY388" s="87"/>
      <c r="QZ388" s="87"/>
      <c r="RA388" s="87"/>
      <c r="RB388" s="87"/>
      <c r="RC388" s="87"/>
      <c r="RD388" s="87"/>
    </row>
    <row r="389" spans="1:472">
      <c r="A389" s="87"/>
      <c r="B389" s="135">
        <v>45758</v>
      </c>
      <c r="C389" s="127">
        <v>45859</v>
      </c>
      <c r="D389" s="87" t="s">
        <v>199</v>
      </c>
      <c r="E389" s="82" t="s">
        <v>219</v>
      </c>
      <c r="F389" s="82" t="s">
        <v>220</v>
      </c>
      <c r="G389" s="111" t="s">
        <v>2387</v>
      </c>
      <c r="H389" s="181">
        <v>9952761048</v>
      </c>
      <c r="I389" s="181" t="s">
        <v>2388</v>
      </c>
      <c r="J389" s="216"/>
      <c r="K389" s="181">
        <v>30</v>
      </c>
      <c r="L389" s="181">
        <v>30</v>
      </c>
      <c r="M389" s="181" t="s">
        <v>2272</v>
      </c>
      <c r="N389" s="181" t="s">
        <v>1059</v>
      </c>
      <c r="O389" s="181" t="s">
        <v>2389</v>
      </c>
      <c r="P389" s="181" t="s">
        <v>2390</v>
      </c>
      <c r="Q389" s="181" t="s">
        <v>856</v>
      </c>
      <c r="R389" s="181" t="s">
        <v>79</v>
      </c>
      <c r="S389" s="181" t="s">
        <v>1201</v>
      </c>
      <c r="T389" s="60"/>
      <c r="U389" s="87" t="s">
        <v>271</v>
      </c>
      <c r="V389" s="126" t="s">
        <v>2386</v>
      </c>
      <c r="W389" s="127"/>
      <c r="X389" s="135"/>
      <c r="Y389" s="87"/>
      <c r="Z389" s="167"/>
      <c r="AA389" s="87"/>
      <c r="AB389" s="87"/>
      <c r="AC389" s="87"/>
      <c r="AD389" s="87"/>
      <c r="AE389" s="87"/>
      <c r="AF389" s="87"/>
      <c r="AG389" s="87"/>
      <c r="AH389" s="87"/>
      <c r="AI389" s="87"/>
      <c r="AJ389" s="87"/>
      <c r="AK389" s="87"/>
      <c r="AL389" s="87"/>
      <c r="AM389" s="87"/>
      <c r="AN389" s="87"/>
      <c r="AO389" s="54"/>
      <c r="AP389" s="54"/>
      <c r="AQ389" s="54"/>
      <c r="AR389" s="87"/>
      <c r="AS389" s="87"/>
      <c r="AT389" s="87"/>
      <c r="AU389" s="87"/>
      <c r="AV389" s="87"/>
      <c r="AW389" s="87"/>
      <c r="AX389" s="87"/>
      <c r="AY389" s="87"/>
      <c r="AZ389" s="87"/>
      <c r="BA389" s="87"/>
      <c r="BB389" s="87"/>
      <c r="BC389" s="87"/>
      <c r="BD389" s="87"/>
      <c r="BE389" s="87"/>
      <c r="BF389" s="87"/>
      <c r="BG389" s="87"/>
      <c r="BH389" s="87"/>
      <c r="BI389" s="87"/>
      <c r="BJ389" s="87"/>
      <c r="BK389" s="87"/>
      <c r="BL389" s="87"/>
      <c r="BM389" s="87"/>
      <c r="BN389" s="87"/>
      <c r="BO389" s="87"/>
      <c r="BP389" s="87"/>
      <c r="BQ389" s="87"/>
      <c r="BR389" s="87"/>
      <c r="BS389" s="87"/>
      <c r="BT389" s="87"/>
      <c r="BU389" s="87"/>
      <c r="BV389" s="87"/>
      <c r="BW389" s="87"/>
      <c r="BX389" s="87"/>
      <c r="BY389" s="87"/>
      <c r="BZ389" s="87"/>
      <c r="CA389" s="87"/>
      <c r="CB389" s="87"/>
      <c r="CC389" s="87"/>
      <c r="CD389" s="87"/>
      <c r="CE389" s="87"/>
      <c r="CF389" s="87"/>
      <c r="CG389" s="87"/>
      <c r="CH389" s="87"/>
      <c r="CI389" s="87"/>
      <c r="CJ389" s="87"/>
      <c r="CK389" s="87"/>
      <c r="CL389" s="87"/>
      <c r="CM389" s="87"/>
      <c r="CN389" s="87"/>
      <c r="CO389" s="87"/>
      <c r="CP389" s="87"/>
      <c r="CQ389" s="87"/>
      <c r="CT389" s="224"/>
      <c r="CU389" s="225"/>
      <c r="CW389" s="226"/>
      <c r="CX389" s="226"/>
      <c r="CY389" s="228"/>
      <c r="DB389" s="229"/>
      <c r="DN389" s="227"/>
      <c r="DO389" s="225"/>
      <c r="DP389" s="224"/>
      <c r="DR389" s="230"/>
      <c r="EG389" s="226"/>
      <c r="EH389" s="226"/>
      <c r="EI389" s="226"/>
      <c r="NN389" s="87"/>
      <c r="NO389" s="87"/>
      <c r="NP389" s="60"/>
      <c r="NQ389" s="87"/>
      <c r="NR389" s="87"/>
      <c r="NS389" s="87"/>
      <c r="NT389" s="60"/>
      <c r="NU389" s="181"/>
      <c r="NV389" s="181"/>
      <c r="NW389" s="181"/>
      <c r="NX389" s="181"/>
      <c r="NY389" s="181"/>
      <c r="NZ389" s="181"/>
      <c r="OA389" s="181"/>
      <c r="OB389" s="181"/>
      <c r="OC389" s="181"/>
      <c r="OD389" s="181"/>
      <c r="OE389" s="181"/>
      <c r="OF389" s="181"/>
      <c r="OG389" s="60"/>
      <c r="OH389" s="87"/>
      <c r="OI389" s="60"/>
      <c r="OJ389" s="60"/>
      <c r="OK389" s="87"/>
      <c r="OL389" s="87"/>
      <c r="OM389" s="87"/>
      <c r="ON389" s="87"/>
      <c r="OO389" s="87"/>
      <c r="OP389" s="87"/>
      <c r="OQ389" s="87"/>
      <c r="OR389" s="87"/>
      <c r="OS389" s="87"/>
      <c r="OT389" s="87"/>
      <c r="OU389" s="87"/>
      <c r="OV389" s="87"/>
      <c r="OW389" s="87"/>
      <c r="OX389" s="87"/>
      <c r="OY389" s="87"/>
      <c r="OZ389" s="87"/>
      <c r="PA389" s="87"/>
      <c r="PB389" s="60"/>
      <c r="PC389" s="60"/>
      <c r="PD389" s="60"/>
      <c r="PE389" s="87"/>
      <c r="PF389" s="87"/>
      <c r="PG389" s="87"/>
      <c r="PH389" s="87"/>
      <c r="PI389" s="87"/>
      <c r="PJ389" s="87"/>
      <c r="PK389" s="87"/>
      <c r="PL389" s="87"/>
      <c r="PM389" s="87"/>
      <c r="PN389" s="87"/>
      <c r="PO389" s="87"/>
      <c r="PP389" s="87"/>
      <c r="PQ389" s="87"/>
      <c r="PR389" s="87"/>
      <c r="PS389" s="87"/>
      <c r="PT389" s="87"/>
      <c r="PU389" s="87"/>
      <c r="PV389" s="87"/>
      <c r="PW389" s="87"/>
      <c r="PX389" s="87"/>
      <c r="PY389" s="87"/>
      <c r="PZ389" s="87"/>
      <c r="QA389" s="87"/>
      <c r="QB389" s="87"/>
      <c r="QC389" s="87"/>
      <c r="QD389" s="87"/>
      <c r="QE389" s="87"/>
      <c r="QF389" s="87"/>
      <c r="QG389" s="87"/>
      <c r="QH389" s="87"/>
      <c r="QI389" s="87"/>
      <c r="QJ389" s="87"/>
      <c r="QK389" s="87"/>
      <c r="QL389" s="87"/>
      <c r="QM389" s="87"/>
      <c r="QN389" s="87"/>
      <c r="QO389" s="87"/>
      <c r="QP389" s="87"/>
      <c r="QQ389" s="87"/>
      <c r="QR389" s="87"/>
      <c r="QS389" s="87"/>
      <c r="QT389" s="87"/>
      <c r="QU389" s="87"/>
      <c r="QV389" s="87"/>
      <c r="QW389" s="87"/>
      <c r="QX389" s="87"/>
      <c r="QY389" s="87"/>
      <c r="QZ389" s="87"/>
      <c r="RA389" s="87"/>
      <c r="RB389" s="87"/>
      <c r="RC389" s="87"/>
      <c r="RD389" s="87"/>
    </row>
    <row r="390" spans="1:472">
      <c r="A390" s="87"/>
      <c r="B390" s="135">
        <v>45848</v>
      </c>
      <c r="C390" s="127">
        <v>45860</v>
      </c>
      <c r="D390" s="87" t="s">
        <v>168</v>
      </c>
      <c r="E390" s="82" t="s">
        <v>219</v>
      </c>
      <c r="F390" s="82" t="s">
        <v>220</v>
      </c>
      <c r="G390" s="102" t="s">
        <v>2391</v>
      </c>
      <c r="H390" s="170">
        <v>7623849705</v>
      </c>
      <c r="I390" s="171" t="s">
        <v>2392</v>
      </c>
      <c r="J390" s="170" t="s">
        <v>2343</v>
      </c>
      <c r="K390" s="170">
        <v>4.5</v>
      </c>
      <c r="L390" s="170">
        <v>4.5</v>
      </c>
      <c r="M390" s="170" t="s">
        <v>2393</v>
      </c>
      <c r="N390" s="170" t="s">
        <v>2394</v>
      </c>
      <c r="O390" s="170" t="s">
        <v>2395</v>
      </c>
      <c r="P390" s="170" t="s">
        <v>2121</v>
      </c>
      <c r="Q390" s="170" t="s">
        <v>558</v>
      </c>
      <c r="R390" s="170" t="s">
        <v>2273</v>
      </c>
      <c r="S390" s="170" t="s">
        <v>1201</v>
      </c>
      <c r="T390" s="60"/>
      <c r="U390" s="87" t="s">
        <v>1175</v>
      </c>
      <c r="V390" s="126" t="s">
        <v>2111</v>
      </c>
      <c r="W390" s="127" t="s">
        <v>741</v>
      </c>
      <c r="X390" s="135">
        <v>45861</v>
      </c>
      <c r="Y390" s="87"/>
      <c r="Z390" s="167"/>
      <c r="AA390" s="87"/>
      <c r="AB390" s="87"/>
      <c r="AC390" s="87"/>
      <c r="AD390" s="87"/>
      <c r="AE390" s="87"/>
      <c r="AF390" s="87"/>
      <c r="AG390" s="87"/>
      <c r="AH390" s="87"/>
      <c r="AI390" s="87"/>
      <c r="AJ390" s="87"/>
      <c r="AK390" s="87"/>
      <c r="AL390" s="87"/>
      <c r="AM390" s="87"/>
      <c r="AN390" s="87"/>
      <c r="AO390" s="54"/>
      <c r="AP390" s="54"/>
      <c r="AQ390" s="54"/>
      <c r="AR390" s="87"/>
      <c r="AS390" s="87"/>
      <c r="AT390" s="87"/>
      <c r="AU390" s="87"/>
      <c r="AV390" s="87"/>
      <c r="AW390" s="87"/>
      <c r="AX390" s="87"/>
      <c r="AY390" s="87"/>
      <c r="AZ390" s="87"/>
      <c r="BA390" s="87"/>
      <c r="BB390" s="87"/>
      <c r="BC390" s="87"/>
      <c r="BD390" s="87"/>
      <c r="BE390" s="87"/>
      <c r="BF390" s="87"/>
      <c r="BG390" s="87"/>
      <c r="BH390" s="87"/>
      <c r="BI390" s="87"/>
      <c r="BJ390" s="87"/>
      <c r="BK390" s="87"/>
      <c r="BL390" s="87"/>
      <c r="BM390" s="87"/>
      <c r="BN390" s="87"/>
      <c r="BO390" s="87"/>
      <c r="BP390" s="87"/>
      <c r="BQ390" s="87"/>
      <c r="BR390" s="87"/>
      <c r="BS390" s="87"/>
      <c r="BT390" s="87"/>
      <c r="BU390" s="87"/>
      <c r="BV390" s="87"/>
      <c r="BW390" s="87"/>
      <c r="BX390" s="87"/>
      <c r="BY390" s="87"/>
      <c r="BZ390" s="87"/>
      <c r="CA390" s="87"/>
      <c r="CB390" s="87"/>
      <c r="CC390" s="87"/>
      <c r="CD390" s="87"/>
      <c r="CE390" s="87"/>
      <c r="CF390" s="87"/>
      <c r="CG390" s="87"/>
      <c r="CH390" s="87"/>
      <c r="CI390" s="87"/>
      <c r="CJ390" s="87"/>
      <c r="CK390" s="87"/>
      <c r="CL390" s="87"/>
      <c r="CM390" s="87"/>
      <c r="CN390" s="87"/>
      <c r="CO390" s="87"/>
      <c r="CP390" s="87"/>
      <c r="CQ390" s="87"/>
      <c r="NN390" s="87"/>
      <c r="NO390" s="135"/>
      <c r="NP390" s="127"/>
      <c r="NQ390" s="87"/>
      <c r="NR390" s="82"/>
      <c r="NS390" s="82"/>
      <c r="NT390" s="102"/>
      <c r="NU390" s="170"/>
      <c r="NV390" s="171"/>
      <c r="NW390" s="170"/>
      <c r="NX390" s="170"/>
      <c r="NY390" s="170"/>
      <c r="NZ390" s="170"/>
      <c r="OA390" s="170"/>
      <c r="OB390" s="170"/>
      <c r="OC390" s="170"/>
      <c r="OD390" s="170"/>
      <c r="OE390" s="170"/>
      <c r="OF390" s="170"/>
      <c r="OG390" s="60"/>
      <c r="OH390" s="87"/>
      <c r="OI390" s="126"/>
      <c r="OJ390" s="127"/>
      <c r="OK390" s="135"/>
      <c r="OL390" s="87"/>
      <c r="OM390" s="167"/>
      <c r="ON390" s="87"/>
      <c r="OO390" s="87"/>
      <c r="OP390" s="87"/>
      <c r="OQ390" s="87"/>
      <c r="OR390" s="87"/>
      <c r="OS390" s="87"/>
      <c r="OT390" s="87"/>
      <c r="OU390" s="87"/>
      <c r="OV390" s="87"/>
      <c r="OW390" s="87"/>
      <c r="OX390" s="87"/>
      <c r="OY390" s="87"/>
      <c r="OZ390" s="87"/>
      <c r="PA390" s="87"/>
      <c r="PB390" s="54"/>
      <c r="PC390" s="54"/>
      <c r="PD390" s="54"/>
      <c r="PE390" s="87"/>
      <c r="PF390" s="87"/>
      <c r="PG390" s="87"/>
      <c r="PH390" s="87"/>
      <c r="PI390" s="87"/>
      <c r="PJ390" s="87"/>
      <c r="PK390" s="87"/>
      <c r="PL390" s="87"/>
      <c r="PM390" s="87"/>
      <c r="PN390" s="87"/>
      <c r="PO390" s="87"/>
      <c r="PP390" s="87"/>
      <c r="PQ390" s="87"/>
      <c r="PR390" s="87"/>
      <c r="PS390" s="87"/>
      <c r="PT390" s="87"/>
      <c r="PU390" s="87"/>
      <c r="PV390" s="87"/>
      <c r="PW390" s="87"/>
      <c r="PX390" s="87"/>
      <c r="PY390" s="87"/>
      <c r="PZ390" s="87"/>
      <c r="QA390" s="87"/>
      <c r="QB390" s="87"/>
      <c r="QC390" s="87"/>
      <c r="QD390" s="87"/>
      <c r="QE390" s="87"/>
      <c r="QF390" s="87"/>
      <c r="QG390" s="87"/>
      <c r="QH390" s="87"/>
      <c r="QI390" s="87"/>
      <c r="QJ390" s="87"/>
      <c r="QK390" s="87"/>
      <c r="QL390" s="87"/>
      <c r="QM390" s="87"/>
      <c r="QN390" s="87"/>
      <c r="QO390" s="87"/>
      <c r="QP390" s="87"/>
      <c r="QQ390" s="87"/>
      <c r="QR390" s="87"/>
      <c r="QS390" s="87"/>
      <c r="QT390" s="87"/>
      <c r="QU390" s="87"/>
      <c r="QV390" s="87"/>
      <c r="QW390" s="87"/>
      <c r="QX390" s="87"/>
      <c r="QY390" s="87"/>
      <c r="QZ390" s="87"/>
      <c r="RA390" s="87"/>
      <c r="RB390" s="87"/>
      <c r="RC390" s="87"/>
      <c r="RD390" s="87"/>
    </row>
    <row r="391" spans="1:472">
      <c r="A391" s="87"/>
      <c r="B391" s="135">
        <v>45848</v>
      </c>
      <c r="C391" s="127">
        <v>45860</v>
      </c>
      <c r="D391" s="87" t="s">
        <v>168</v>
      </c>
      <c r="E391" s="82" t="s">
        <v>219</v>
      </c>
      <c r="F391" s="82" t="s">
        <v>220</v>
      </c>
      <c r="G391" s="102" t="s">
        <v>2396</v>
      </c>
      <c r="H391" s="170" t="s">
        <v>2397</v>
      </c>
      <c r="I391" s="171" t="s">
        <v>2398</v>
      </c>
      <c r="J391" s="170" t="s">
        <v>2343</v>
      </c>
      <c r="K391" s="170">
        <v>5.7</v>
      </c>
      <c r="L391" s="170">
        <v>5.7</v>
      </c>
      <c r="M391" s="170" t="s">
        <v>2333</v>
      </c>
      <c r="N391" s="170" t="s">
        <v>425</v>
      </c>
      <c r="O391" s="170" t="s">
        <v>2106</v>
      </c>
      <c r="P391" s="170" t="s">
        <v>770</v>
      </c>
      <c r="Q391" s="170" t="s">
        <v>2399</v>
      </c>
      <c r="R391" s="170" t="s">
        <v>583</v>
      </c>
      <c r="S391" s="170" t="s">
        <v>1201</v>
      </c>
      <c r="T391" s="60"/>
      <c r="U391" s="87" t="s">
        <v>1175</v>
      </c>
      <c r="V391" s="126" t="s">
        <v>339</v>
      </c>
      <c r="W391" s="127" t="s">
        <v>164</v>
      </c>
      <c r="X391" s="135">
        <v>45861</v>
      </c>
      <c r="Y391" s="167">
        <v>45863</v>
      </c>
      <c r="Z391" s="167" t="s">
        <v>340</v>
      </c>
      <c r="AA391" s="166">
        <v>45869</v>
      </c>
      <c r="AB391" s="87"/>
      <c r="AC391" s="87"/>
      <c r="AD391" s="87"/>
      <c r="AE391" s="87"/>
      <c r="AF391" s="87"/>
      <c r="AG391" s="87"/>
      <c r="AH391" s="87"/>
      <c r="AI391" s="87"/>
      <c r="AJ391" s="87"/>
      <c r="AK391" s="87"/>
      <c r="AL391" s="87"/>
      <c r="AM391" s="87"/>
      <c r="AN391" s="87"/>
      <c r="AO391" s="54"/>
      <c r="AP391" s="54"/>
      <c r="AQ391" s="54"/>
      <c r="AR391" s="87"/>
      <c r="AS391" s="87"/>
      <c r="AT391" s="87"/>
      <c r="AU391" s="87"/>
      <c r="AV391" s="87"/>
      <c r="AW391" s="87"/>
      <c r="AX391" s="87"/>
      <c r="AY391" s="87"/>
      <c r="AZ391" s="87"/>
      <c r="BA391" s="87"/>
      <c r="BB391" s="87"/>
      <c r="BC391" s="87"/>
      <c r="BD391" s="87"/>
      <c r="BE391" s="87"/>
      <c r="BF391" s="87"/>
      <c r="BG391" s="87"/>
      <c r="BH391" s="87"/>
      <c r="BI391" s="87"/>
      <c r="BJ391" s="87"/>
      <c r="BK391" s="87"/>
      <c r="BL391" s="87"/>
      <c r="BM391" s="87"/>
      <c r="BN391" s="87"/>
      <c r="BO391" s="87"/>
      <c r="BP391" s="87"/>
      <c r="BQ391" s="87"/>
      <c r="BR391" s="87"/>
      <c r="BS391" s="87"/>
      <c r="BT391" s="87"/>
      <c r="BU391" s="87"/>
      <c r="BV391" s="87"/>
      <c r="BW391" s="87"/>
      <c r="BX391" s="87"/>
      <c r="BY391" s="87"/>
      <c r="BZ391" s="87"/>
      <c r="CA391" s="87"/>
      <c r="CB391" s="87"/>
      <c r="CC391" s="87"/>
      <c r="CD391" s="87"/>
      <c r="CE391" s="87"/>
      <c r="CF391" s="87"/>
      <c r="CG391" s="87"/>
      <c r="CH391" s="87"/>
      <c r="CI391" s="87"/>
      <c r="CJ391" s="87"/>
      <c r="CK391" s="87"/>
      <c r="CL391" s="87"/>
      <c r="CM391" s="87"/>
      <c r="CN391" s="87"/>
      <c r="CO391" s="87"/>
      <c r="CP391" s="87"/>
      <c r="CQ391" s="87"/>
      <c r="NN391" s="87"/>
      <c r="NO391" s="135"/>
      <c r="NP391" s="127"/>
      <c r="NQ391" s="87"/>
      <c r="NR391" s="82"/>
      <c r="NS391" s="82"/>
      <c r="NT391" s="102"/>
      <c r="NU391" s="170"/>
      <c r="NV391" s="171"/>
      <c r="NW391" s="170"/>
      <c r="NX391" s="170"/>
      <c r="NY391" s="170"/>
      <c r="NZ391" s="170"/>
      <c r="OA391" s="170"/>
      <c r="OB391" s="170"/>
      <c r="OC391" s="170"/>
      <c r="OD391" s="170"/>
      <c r="OE391" s="170"/>
      <c r="OF391" s="170"/>
      <c r="OG391" s="60"/>
      <c r="OH391" s="87"/>
      <c r="OI391" s="126"/>
      <c r="OJ391" s="127"/>
      <c r="OK391" s="135"/>
      <c r="OL391" s="87"/>
      <c r="OM391" s="167"/>
      <c r="ON391" s="87"/>
      <c r="OO391" s="87"/>
      <c r="OP391" s="87"/>
      <c r="OQ391" s="87"/>
      <c r="OR391" s="87"/>
      <c r="OS391" s="87"/>
      <c r="OT391" s="87"/>
      <c r="OU391" s="87"/>
      <c r="OV391" s="87"/>
      <c r="OW391" s="87"/>
      <c r="OX391" s="87"/>
      <c r="OY391" s="87"/>
      <c r="OZ391" s="87"/>
      <c r="PA391" s="87"/>
      <c r="PB391" s="54"/>
      <c r="PC391" s="54"/>
      <c r="PD391" s="54"/>
      <c r="PE391" s="87"/>
      <c r="PF391" s="87"/>
      <c r="PG391" s="87"/>
      <c r="PH391" s="87"/>
      <c r="PI391" s="87"/>
      <c r="PJ391" s="87"/>
      <c r="PK391" s="87"/>
      <c r="PL391" s="87"/>
      <c r="PM391" s="87"/>
      <c r="PN391" s="87"/>
      <c r="PO391" s="87"/>
      <c r="PP391" s="87"/>
      <c r="PQ391" s="87"/>
      <c r="PR391" s="87"/>
      <c r="PS391" s="87"/>
      <c r="PT391" s="87"/>
      <c r="PU391" s="87"/>
      <c r="PV391" s="87"/>
      <c r="PW391" s="87"/>
      <c r="PX391" s="87"/>
      <c r="PY391" s="87"/>
      <c r="PZ391" s="87"/>
      <c r="QA391" s="87"/>
      <c r="QB391" s="87"/>
      <c r="QC391" s="87"/>
      <c r="QD391" s="87"/>
      <c r="QE391" s="87"/>
      <c r="QF391" s="87"/>
      <c r="QG391" s="87"/>
      <c r="QH391" s="87"/>
      <c r="QI391" s="87"/>
      <c r="QJ391" s="87"/>
      <c r="QK391" s="87"/>
      <c r="QL391" s="87"/>
      <c r="QM391" s="87"/>
      <c r="QN391" s="87"/>
      <c r="QO391" s="87"/>
      <c r="QP391" s="87"/>
      <c r="QQ391" s="87"/>
      <c r="QR391" s="87"/>
      <c r="QS391" s="87"/>
      <c r="QT391" s="87"/>
      <c r="QU391" s="87"/>
      <c r="QV391" s="87"/>
      <c r="QW391" s="87"/>
      <c r="QX391" s="87"/>
      <c r="QY391" s="87"/>
      <c r="QZ391" s="87"/>
      <c r="RA391" s="87"/>
      <c r="RB391" s="87"/>
      <c r="RC391" s="87"/>
      <c r="RD391" s="87"/>
    </row>
    <row r="392" spans="1:472">
      <c r="A392" s="87"/>
      <c r="B392" s="135">
        <v>45848</v>
      </c>
      <c r="C392" s="127">
        <v>45860</v>
      </c>
      <c r="D392" s="87" t="s">
        <v>168</v>
      </c>
      <c r="E392" s="82" t="s">
        <v>219</v>
      </c>
      <c r="F392" s="82" t="s">
        <v>220</v>
      </c>
      <c r="G392" s="102" t="s">
        <v>2400</v>
      </c>
      <c r="H392" s="170">
        <v>9091517209</v>
      </c>
      <c r="I392" s="171" t="s">
        <v>2401</v>
      </c>
      <c r="J392" s="170" t="s">
        <v>2343</v>
      </c>
      <c r="K392" s="170">
        <v>6</v>
      </c>
      <c r="L392" s="170">
        <v>6</v>
      </c>
      <c r="M392" s="170" t="s">
        <v>2402</v>
      </c>
      <c r="N392" s="170" t="s">
        <v>425</v>
      </c>
      <c r="O392" s="170" t="s">
        <v>440</v>
      </c>
      <c r="P392" s="170" t="s">
        <v>49</v>
      </c>
      <c r="Q392" s="170" t="s">
        <v>2130</v>
      </c>
      <c r="R392" s="170" t="s">
        <v>631</v>
      </c>
      <c r="S392" s="170" t="s">
        <v>1201</v>
      </c>
      <c r="T392" s="60"/>
      <c r="U392" s="87" t="s">
        <v>1175</v>
      </c>
      <c r="V392" s="126" t="s">
        <v>231</v>
      </c>
      <c r="W392" s="127"/>
      <c r="X392" s="135">
        <v>45861</v>
      </c>
      <c r="Y392" s="135">
        <v>45862</v>
      </c>
      <c r="Z392" s="167" t="s">
        <v>232</v>
      </c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  <c r="AL392" s="87"/>
      <c r="AM392" s="87"/>
      <c r="AN392" s="87"/>
      <c r="AO392" s="54"/>
      <c r="AP392" s="54"/>
      <c r="AQ392" s="54"/>
      <c r="AR392" s="87"/>
      <c r="AS392" s="87"/>
      <c r="AT392" s="87"/>
      <c r="AU392" s="87"/>
      <c r="AV392" s="87"/>
      <c r="AW392" s="87"/>
      <c r="AX392" s="87"/>
      <c r="AY392" s="87"/>
      <c r="AZ392" s="87"/>
      <c r="BA392" s="87"/>
      <c r="BB392" s="87"/>
      <c r="BC392" s="87"/>
      <c r="BD392" s="87"/>
      <c r="BE392" s="87"/>
      <c r="BF392" s="87"/>
      <c r="BG392" s="87"/>
      <c r="BH392" s="87"/>
      <c r="BI392" s="87"/>
      <c r="BJ392" s="87"/>
      <c r="BK392" s="87"/>
      <c r="BL392" s="87"/>
      <c r="BM392" s="87"/>
      <c r="BN392" s="87"/>
      <c r="BO392" s="87"/>
      <c r="BP392" s="87"/>
      <c r="BQ392" s="87"/>
      <c r="BR392" s="87"/>
      <c r="BS392" s="87"/>
      <c r="BT392" s="87"/>
      <c r="BU392" s="87"/>
      <c r="BV392" s="87"/>
      <c r="BW392" s="87"/>
      <c r="BX392" s="87"/>
      <c r="BY392" s="87"/>
      <c r="BZ392" s="87"/>
      <c r="CA392" s="87"/>
      <c r="CB392" s="87"/>
      <c r="CC392" s="87"/>
      <c r="CD392" s="87"/>
      <c r="CE392" s="87"/>
      <c r="CF392" s="87"/>
      <c r="CG392" s="87"/>
      <c r="CH392" s="87"/>
      <c r="CI392" s="87"/>
      <c r="CJ392" s="87"/>
      <c r="CK392" s="87"/>
      <c r="CL392" s="87"/>
      <c r="CM392" s="87"/>
      <c r="CN392" s="87"/>
      <c r="CO392" s="87"/>
      <c r="CP392" s="87"/>
      <c r="CQ392" s="87"/>
      <c r="NN392" s="87"/>
      <c r="NO392" s="135"/>
      <c r="NP392" s="127"/>
      <c r="NQ392" s="87"/>
      <c r="NR392" s="82"/>
      <c r="NS392" s="82"/>
      <c r="NT392" s="102"/>
      <c r="NU392" s="170"/>
      <c r="NV392" s="171"/>
      <c r="NW392" s="170"/>
      <c r="NX392" s="170"/>
      <c r="NY392" s="170"/>
      <c r="NZ392" s="170"/>
      <c r="OA392" s="170"/>
      <c r="OB392" s="170"/>
      <c r="OC392" s="170"/>
      <c r="OD392" s="170"/>
      <c r="OE392" s="170"/>
      <c r="OF392" s="170"/>
      <c r="OG392" s="60"/>
      <c r="OH392" s="87"/>
      <c r="OI392" s="126"/>
      <c r="OJ392" s="127"/>
      <c r="OK392" s="135"/>
      <c r="OL392" s="87"/>
      <c r="OM392" s="167"/>
      <c r="ON392" s="87"/>
      <c r="OO392" s="87"/>
      <c r="OP392" s="87"/>
      <c r="OQ392" s="87"/>
      <c r="OR392" s="87"/>
      <c r="OS392" s="87"/>
      <c r="OT392" s="87"/>
      <c r="OU392" s="87"/>
      <c r="OV392" s="87"/>
      <c r="OW392" s="87"/>
      <c r="OX392" s="87"/>
      <c r="OY392" s="87"/>
      <c r="OZ392" s="87"/>
      <c r="PA392" s="87"/>
      <c r="PB392" s="54"/>
      <c r="PC392" s="54"/>
      <c r="PD392" s="54"/>
      <c r="PE392" s="87"/>
      <c r="PF392" s="87"/>
      <c r="PG392" s="87"/>
      <c r="PH392" s="87"/>
      <c r="PI392" s="87"/>
      <c r="PJ392" s="87"/>
      <c r="PK392" s="87"/>
      <c r="PL392" s="87"/>
      <c r="PM392" s="87"/>
      <c r="PN392" s="87"/>
      <c r="PO392" s="87"/>
      <c r="PP392" s="87"/>
      <c r="PQ392" s="87"/>
      <c r="PR392" s="87"/>
      <c r="PS392" s="87"/>
      <c r="PT392" s="87"/>
      <c r="PU392" s="87"/>
      <c r="PV392" s="87"/>
      <c r="PW392" s="87"/>
      <c r="PX392" s="87"/>
      <c r="PY392" s="87"/>
      <c r="PZ392" s="87"/>
      <c r="QA392" s="87"/>
      <c r="QB392" s="87"/>
      <c r="QC392" s="87"/>
      <c r="QD392" s="87"/>
      <c r="QE392" s="87"/>
      <c r="QF392" s="87"/>
      <c r="QG392" s="87"/>
      <c r="QH392" s="87"/>
      <c r="QI392" s="87"/>
      <c r="QJ392" s="87"/>
      <c r="QK392" s="87"/>
      <c r="QL392" s="87"/>
      <c r="QM392" s="87"/>
      <c r="QN392" s="87"/>
      <c r="QO392" s="87"/>
      <c r="QP392" s="87"/>
      <c r="QQ392" s="87"/>
      <c r="QR392" s="87"/>
      <c r="QS392" s="87"/>
      <c r="QT392" s="87"/>
      <c r="QU392" s="87"/>
      <c r="QV392" s="87"/>
      <c r="QW392" s="87"/>
      <c r="QX392" s="87"/>
      <c r="QY392" s="87"/>
      <c r="QZ392" s="87"/>
      <c r="RA392" s="87"/>
      <c r="RB392" s="87"/>
      <c r="RC392" s="87"/>
      <c r="RD392" s="87"/>
    </row>
    <row r="393" spans="1:472">
      <c r="A393" s="87"/>
      <c r="B393" s="135">
        <v>45848</v>
      </c>
      <c r="C393" s="127">
        <v>45860</v>
      </c>
      <c r="D393" s="87" t="s">
        <v>150</v>
      </c>
      <c r="E393" s="82" t="s">
        <v>219</v>
      </c>
      <c r="F393" s="82" t="s">
        <v>220</v>
      </c>
      <c r="G393" s="102" t="s">
        <v>2403</v>
      </c>
      <c r="H393" s="170">
        <v>9546314339</v>
      </c>
      <c r="I393" s="171" t="s">
        <v>2404</v>
      </c>
      <c r="J393" s="170" t="s">
        <v>2369</v>
      </c>
      <c r="K393" s="170">
        <v>3</v>
      </c>
      <c r="L393" s="170">
        <v>3</v>
      </c>
      <c r="M393" s="170" t="s">
        <v>2405</v>
      </c>
      <c r="N393" s="170" t="s">
        <v>1982</v>
      </c>
      <c r="O393" s="170" t="s">
        <v>2406</v>
      </c>
      <c r="P393" s="170" t="s">
        <v>770</v>
      </c>
      <c r="Q393" s="170" t="s">
        <v>402</v>
      </c>
      <c r="R393" s="170" t="s">
        <v>2407</v>
      </c>
      <c r="S393" s="170" t="s">
        <v>1201</v>
      </c>
      <c r="T393" s="60"/>
      <c r="U393" s="87" t="s">
        <v>1175</v>
      </c>
      <c r="V393" s="126" t="s">
        <v>2111</v>
      </c>
      <c r="W393" s="127" t="s">
        <v>741</v>
      </c>
      <c r="X393" s="135">
        <v>45861</v>
      </c>
      <c r="Y393" s="135"/>
      <c r="Z393" s="16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  <c r="AN393" s="87"/>
      <c r="AO393" s="54"/>
      <c r="AP393" s="54"/>
      <c r="AQ393" s="54"/>
      <c r="AR393" s="87"/>
      <c r="AS393" s="87"/>
      <c r="AT393" s="87"/>
      <c r="AU393" s="87"/>
      <c r="AV393" s="87"/>
      <c r="AW393" s="87"/>
      <c r="AX393" s="87"/>
      <c r="AY393" s="87"/>
      <c r="AZ393" s="87"/>
      <c r="BA393" s="87"/>
      <c r="BB393" s="87"/>
      <c r="BC393" s="87"/>
      <c r="BD393" s="87"/>
      <c r="BE393" s="87"/>
      <c r="BF393" s="87"/>
      <c r="BG393" s="87"/>
      <c r="BH393" s="87"/>
      <c r="BI393" s="87"/>
      <c r="BJ393" s="87"/>
      <c r="BK393" s="87"/>
      <c r="BL393" s="87"/>
      <c r="BM393" s="87"/>
      <c r="BN393" s="87"/>
      <c r="BO393" s="87"/>
      <c r="BP393" s="87"/>
      <c r="BQ393" s="87"/>
      <c r="BR393" s="87"/>
      <c r="BS393" s="87"/>
      <c r="BT393" s="87"/>
      <c r="BU393" s="87"/>
      <c r="BV393" s="87"/>
      <c r="BW393" s="87"/>
      <c r="BX393" s="87"/>
      <c r="BY393" s="87"/>
      <c r="BZ393" s="87"/>
      <c r="CA393" s="87"/>
      <c r="CB393" s="87"/>
      <c r="CC393" s="87"/>
      <c r="CD393" s="87"/>
      <c r="CE393" s="87"/>
      <c r="CF393" s="87"/>
      <c r="CG393" s="87"/>
      <c r="CH393" s="87"/>
      <c r="CI393" s="87"/>
      <c r="CJ393" s="87"/>
      <c r="CK393" s="87"/>
      <c r="CL393" s="87"/>
      <c r="CM393" s="87"/>
      <c r="CN393" s="87"/>
      <c r="CO393" s="87"/>
      <c r="CP393" s="87"/>
      <c r="CQ393" s="87"/>
      <c r="NN393" s="87"/>
      <c r="NO393" s="135"/>
      <c r="NP393" s="127"/>
      <c r="NQ393" s="87"/>
      <c r="NR393" s="82"/>
      <c r="NS393" s="82"/>
      <c r="NT393" s="102"/>
      <c r="NU393" s="170"/>
      <c r="NV393" s="171"/>
      <c r="NW393" s="170"/>
      <c r="NX393" s="170"/>
      <c r="NY393" s="170"/>
      <c r="NZ393" s="170"/>
      <c r="OA393" s="170"/>
      <c r="OB393" s="170"/>
      <c r="OC393" s="170"/>
      <c r="OD393" s="170"/>
      <c r="OE393" s="170"/>
      <c r="OF393" s="170"/>
      <c r="OG393" s="60"/>
      <c r="OH393" s="87"/>
      <c r="OI393" s="126"/>
      <c r="OJ393" s="127"/>
      <c r="OK393" s="135"/>
      <c r="OL393" s="87"/>
      <c r="OM393" s="167"/>
      <c r="ON393" s="87"/>
      <c r="OO393" s="87"/>
      <c r="OP393" s="87"/>
      <c r="OQ393" s="87"/>
      <c r="OR393" s="87"/>
      <c r="OS393" s="87"/>
      <c r="OT393" s="87"/>
      <c r="OU393" s="87"/>
      <c r="OV393" s="87"/>
      <c r="OW393" s="87"/>
      <c r="OX393" s="87"/>
      <c r="OY393" s="87"/>
      <c r="OZ393" s="87"/>
      <c r="PA393" s="87"/>
      <c r="PB393" s="54"/>
      <c r="PC393" s="54"/>
      <c r="PD393" s="54"/>
      <c r="PE393" s="87"/>
      <c r="PF393" s="87"/>
      <c r="PG393" s="87"/>
      <c r="PH393" s="87"/>
      <c r="PI393" s="87"/>
      <c r="PJ393" s="87"/>
      <c r="PK393" s="87"/>
      <c r="PL393" s="87"/>
      <c r="PM393" s="87"/>
      <c r="PN393" s="87"/>
      <c r="PO393" s="87"/>
      <c r="PP393" s="87"/>
      <c r="PQ393" s="87"/>
      <c r="PR393" s="87"/>
      <c r="PS393" s="87"/>
      <c r="PT393" s="87"/>
      <c r="PU393" s="87"/>
      <c r="PV393" s="87"/>
      <c r="PW393" s="87"/>
      <c r="PX393" s="87"/>
      <c r="PY393" s="87"/>
      <c r="PZ393" s="87"/>
      <c r="QA393" s="87"/>
      <c r="QB393" s="87"/>
      <c r="QC393" s="87"/>
      <c r="QD393" s="87"/>
      <c r="QE393" s="87"/>
      <c r="QF393" s="87"/>
      <c r="QG393" s="87"/>
      <c r="QH393" s="87"/>
      <c r="QI393" s="87"/>
      <c r="QJ393" s="87"/>
      <c r="QK393" s="87"/>
      <c r="QL393" s="87"/>
      <c r="QM393" s="87"/>
      <c r="QN393" s="87"/>
      <c r="QO393" s="87"/>
      <c r="QP393" s="87"/>
      <c r="QQ393" s="87"/>
      <c r="QR393" s="87"/>
      <c r="QS393" s="87"/>
      <c r="QT393" s="87"/>
      <c r="QU393" s="87"/>
      <c r="QV393" s="87"/>
      <c r="QW393" s="87"/>
      <c r="QX393" s="87"/>
      <c r="QY393" s="87"/>
      <c r="QZ393" s="87"/>
      <c r="RA393" s="87"/>
      <c r="RB393" s="87"/>
      <c r="RC393" s="87"/>
      <c r="RD393" s="87"/>
    </row>
    <row r="394" spans="1:472">
      <c r="A394" s="87"/>
      <c r="B394" s="135">
        <v>45848</v>
      </c>
      <c r="C394" s="127">
        <v>45860</v>
      </c>
      <c r="D394" s="87" t="s">
        <v>168</v>
      </c>
      <c r="E394" s="82" t="s">
        <v>219</v>
      </c>
      <c r="F394" s="82" t="s">
        <v>220</v>
      </c>
      <c r="G394" s="102" t="s">
        <v>2408</v>
      </c>
      <c r="H394" s="170" t="s">
        <v>2409</v>
      </c>
      <c r="I394" s="171" t="s">
        <v>2410</v>
      </c>
      <c r="J394" s="170" t="s">
        <v>2369</v>
      </c>
      <c r="K394" s="170">
        <v>4</v>
      </c>
      <c r="L394" s="170">
        <v>4</v>
      </c>
      <c r="M394" s="170" t="s">
        <v>2411</v>
      </c>
      <c r="N394" s="170" t="s">
        <v>1982</v>
      </c>
      <c r="O394" s="170" t="s">
        <v>617</v>
      </c>
      <c r="P394" s="170" t="s">
        <v>49</v>
      </c>
      <c r="Q394" s="170" t="s">
        <v>402</v>
      </c>
      <c r="R394" s="170" t="s">
        <v>583</v>
      </c>
      <c r="S394" s="170" t="s">
        <v>1201</v>
      </c>
      <c r="T394" s="60"/>
      <c r="U394" s="87" t="s">
        <v>1175</v>
      </c>
      <c r="V394" s="126" t="s">
        <v>2318</v>
      </c>
      <c r="W394" s="127" t="s">
        <v>164</v>
      </c>
      <c r="X394" s="135">
        <v>45869</v>
      </c>
      <c r="Y394" s="135">
        <v>45870</v>
      </c>
      <c r="Z394" s="167" t="s">
        <v>340</v>
      </c>
      <c r="AA394" s="87"/>
      <c r="AB394" s="87"/>
      <c r="AC394" s="87"/>
      <c r="AD394" s="87"/>
      <c r="AE394" s="87"/>
      <c r="AF394" s="87"/>
      <c r="AG394" s="87"/>
      <c r="AH394" s="87"/>
      <c r="AI394" s="87"/>
      <c r="AJ394" s="87"/>
      <c r="AK394" s="87"/>
      <c r="AL394" s="87"/>
      <c r="AM394" s="87"/>
      <c r="AN394" s="87"/>
      <c r="AO394" s="54"/>
      <c r="AP394" s="54"/>
      <c r="AQ394" s="54"/>
      <c r="AR394" s="87"/>
      <c r="AS394" s="87"/>
      <c r="AT394" s="87"/>
      <c r="AU394" s="87"/>
      <c r="AV394" s="87"/>
      <c r="AW394" s="87"/>
      <c r="AX394" s="87"/>
      <c r="AY394" s="87"/>
      <c r="AZ394" s="87"/>
      <c r="BA394" s="87"/>
      <c r="BB394" s="87"/>
      <c r="BC394" s="87"/>
      <c r="BD394" s="87"/>
      <c r="BE394" s="87"/>
      <c r="BF394" s="87"/>
      <c r="BG394" s="87"/>
      <c r="BH394" s="87"/>
      <c r="BI394" s="87"/>
      <c r="BJ394" s="87"/>
      <c r="BK394" s="87"/>
      <c r="BL394" s="87"/>
      <c r="BM394" s="87"/>
      <c r="BN394" s="87"/>
      <c r="BO394" s="87"/>
      <c r="BP394" s="87"/>
      <c r="BQ394" s="87"/>
      <c r="BR394" s="87"/>
      <c r="BS394" s="87"/>
      <c r="BT394" s="87"/>
      <c r="BU394" s="87"/>
      <c r="BV394" s="87"/>
      <c r="BW394" s="87"/>
      <c r="BX394" s="87"/>
      <c r="BY394" s="87"/>
      <c r="BZ394" s="87"/>
      <c r="CA394" s="87"/>
      <c r="CB394" s="87"/>
      <c r="CC394" s="87"/>
      <c r="CD394" s="87"/>
      <c r="CE394" s="87"/>
      <c r="CF394" s="87"/>
      <c r="CG394" s="87"/>
      <c r="CH394" s="87"/>
      <c r="CI394" s="87"/>
      <c r="CJ394" s="87"/>
      <c r="CK394" s="87"/>
      <c r="CL394" s="87"/>
      <c r="CM394" s="87"/>
      <c r="CN394" s="87"/>
      <c r="CO394" s="87"/>
      <c r="CP394" s="87"/>
      <c r="CQ394" s="87"/>
      <c r="NN394" s="87"/>
      <c r="NO394" s="135"/>
      <c r="NP394" s="127"/>
      <c r="NQ394" s="87"/>
      <c r="NR394" s="82"/>
      <c r="NS394" s="82"/>
      <c r="NT394" s="102"/>
      <c r="NU394" s="170"/>
      <c r="NV394" s="171"/>
      <c r="NW394" s="170"/>
      <c r="NX394" s="170"/>
      <c r="NY394" s="170"/>
      <c r="NZ394" s="170"/>
      <c r="OA394" s="170"/>
      <c r="OB394" s="170"/>
      <c r="OC394" s="170"/>
      <c r="OD394" s="170"/>
      <c r="OE394" s="170"/>
      <c r="OF394" s="170"/>
      <c r="OG394" s="60"/>
      <c r="OH394" s="87"/>
      <c r="OI394" s="126"/>
      <c r="OJ394" s="127"/>
      <c r="OK394" s="135"/>
      <c r="OL394" s="87"/>
      <c r="OM394" s="167"/>
      <c r="ON394" s="87"/>
      <c r="OO394" s="87"/>
      <c r="OP394" s="87"/>
      <c r="OQ394" s="87"/>
      <c r="OR394" s="87"/>
      <c r="OS394" s="87"/>
      <c r="OT394" s="87"/>
      <c r="OU394" s="87"/>
      <c r="OV394" s="87"/>
      <c r="OW394" s="87"/>
      <c r="OX394" s="87"/>
      <c r="OY394" s="87"/>
      <c r="OZ394" s="87"/>
      <c r="PA394" s="87"/>
      <c r="PB394" s="54"/>
      <c r="PC394" s="54"/>
      <c r="PD394" s="54"/>
      <c r="PE394" s="87"/>
      <c r="PF394" s="87"/>
      <c r="PG394" s="87"/>
      <c r="PH394" s="87"/>
      <c r="PI394" s="87"/>
      <c r="PJ394" s="87"/>
      <c r="PK394" s="87"/>
      <c r="PL394" s="87"/>
      <c r="PM394" s="87"/>
      <c r="PN394" s="87"/>
      <c r="PO394" s="87"/>
      <c r="PP394" s="87"/>
      <c r="PQ394" s="87"/>
      <c r="PR394" s="87"/>
      <c r="PS394" s="87"/>
      <c r="PT394" s="87"/>
      <c r="PU394" s="87"/>
      <c r="PV394" s="87"/>
      <c r="PW394" s="87"/>
      <c r="PX394" s="87"/>
      <c r="PY394" s="87"/>
      <c r="PZ394" s="87"/>
      <c r="QA394" s="87"/>
      <c r="QB394" s="87"/>
      <c r="QC394" s="87"/>
      <c r="QD394" s="87"/>
      <c r="QE394" s="87"/>
      <c r="QF394" s="87"/>
      <c r="QG394" s="87"/>
      <c r="QH394" s="87"/>
      <c r="QI394" s="87"/>
      <c r="QJ394" s="87"/>
      <c r="QK394" s="87"/>
      <c r="QL394" s="87"/>
      <c r="QM394" s="87"/>
      <c r="QN394" s="87"/>
      <c r="QO394" s="87"/>
      <c r="QP394" s="87"/>
      <c r="QQ394" s="87"/>
      <c r="QR394" s="87"/>
      <c r="QS394" s="87"/>
      <c r="QT394" s="87"/>
      <c r="QU394" s="87"/>
      <c r="QV394" s="87"/>
      <c r="QW394" s="87"/>
      <c r="QX394" s="87"/>
      <c r="QY394" s="87"/>
      <c r="QZ394" s="87"/>
      <c r="RA394" s="87"/>
      <c r="RB394" s="87"/>
      <c r="RC394" s="87"/>
      <c r="RD394" s="87"/>
    </row>
    <row r="395" spans="1:472">
      <c r="A395" s="87"/>
      <c r="B395" s="135">
        <v>45848</v>
      </c>
      <c r="C395" s="127">
        <v>45860</v>
      </c>
      <c r="D395" s="87" t="s">
        <v>182</v>
      </c>
      <c r="E395" s="82" t="s">
        <v>219</v>
      </c>
      <c r="F395" s="82" t="s">
        <v>220</v>
      </c>
      <c r="G395" s="102" t="s">
        <v>2412</v>
      </c>
      <c r="H395" s="170">
        <v>8310352621</v>
      </c>
      <c r="I395" s="171" t="s">
        <v>2413</v>
      </c>
      <c r="J395" s="170" t="s">
        <v>2331</v>
      </c>
      <c r="K395" s="170">
        <v>6</v>
      </c>
      <c r="L395" s="170">
        <v>6</v>
      </c>
      <c r="M395" s="170" t="s">
        <v>2414</v>
      </c>
      <c r="N395" s="170" t="s">
        <v>425</v>
      </c>
      <c r="O395" s="170" t="s">
        <v>2334</v>
      </c>
      <c r="P395" s="170" t="s">
        <v>770</v>
      </c>
      <c r="Q395" s="170" t="s">
        <v>402</v>
      </c>
      <c r="R395" s="170" t="s">
        <v>79</v>
      </c>
      <c r="S395" s="170" t="s">
        <v>1201</v>
      </c>
      <c r="T395" s="60"/>
      <c r="U395" s="87" t="s">
        <v>1175</v>
      </c>
      <c r="V395" s="126" t="s">
        <v>2318</v>
      </c>
      <c r="W395" s="127" t="s">
        <v>164</v>
      </c>
      <c r="X395" s="135">
        <v>45861</v>
      </c>
      <c r="Y395" s="135">
        <v>45863</v>
      </c>
      <c r="Z395" s="167" t="s">
        <v>340</v>
      </c>
      <c r="AA395" s="87"/>
      <c r="AB395" s="87"/>
      <c r="AC395" s="87"/>
      <c r="AD395" s="87"/>
      <c r="AE395" s="87"/>
      <c r="AF395" s="87"/>
      <c r="AG395" s="87"/>
      <c r="AH395" s="87"/>
      <c r="AI395" s="87"/>
      <c r="AJ395" s="87"/>
      <c r="AK395" s="87"/>
      <c r="AL395" s="87"/>
      <c r="AM395" s="87"/>
      <c r="AN395" s="87"/>
      <c r="AO395" s="54"/>
      <c r="AP395" s="54"/>
      <c r="AQ395" s="54"/>
      <c r="AR395" s="87"/>
      <c r="AS395" s="87"/>
      <c r="AT395" s="87"/>
      <c r="AU395" s="87"/>
      <c r="AV395" s="87"/>
      <c r="AW395" s="87"/>
      <c r="AX395" s="87"/>
      <c r="AY395" s="87"/>
      <c r="AZ395" s="87"/>
      <c r="BA395" s="87"/>
      <c r="BB395" s="87"/>
      <c r="BC395" s="87"/>
      <c r="BD395" s="87"/>
      <c r="BE395" s="87"/>
      <c r="BF395" s="87"/>
      <c r="BG395" s="87"/>
      <c r="BH395" s="87"/>
      <c r="BI395" s="87"/>
      <c r="BJ395" s="87"/>
      <c r="BK395" s="87"/>
      <c r="BL395" s="87"/>
      <c r="BM395" s="87"/>
      <c r="BN395" s="87"/>
      <c r="BO395" s="87"/>
      <c r="BP395" s="87"/>
      <c r="BQ395" s="87"/>
      <c r="BR395" s="87"/>
      <c r="BS395" s="87"/>
      <c r="BT395" s="87"/>
      <c r="BU395" s="87"/>
      <c r="BV395" s="87"/>
      <c r="BW395" s="87"/>
      <c r="BX395" s="87"/>
      <c r="BY395" s="87"/>
      <c r="BZ395" s="87"/>
      <c r="CA395" s="87"/>
      <c r="CB395" s="87"/>
      <c r="CC395" s="87"/>
      <c r="CD395" s="87"/>
      <c r="CE395" s="87"/>
      <c r="CF395" s="87"/>
      <c r="CG395" s="87"/>
      <c r="CH395" s="87"/>
      <c r="CI395" s="87"/>
      <c r="CJ395" s="87"/>
      <c r="CK395" s="87"/>
      <c r="CL395" s="87"/>
      <c r="CM395" s="87"/>
      <c r="CN395" s="87"/>
      <c r="CO395" s="87"/>
      <c r="CP395" s="87"/>
      <c r="CQ395" s="87"/>
      <c r="NN395" s="87"/>
      <c r="NO395" s="135"/>
      <c r="NP395" s="127"/>
      <c r="NQ395" s="87"/>
      <c r="NR395" s="82"/>
      <c r="NS395" s="82"/>
      <c r="NT395" s="102"/>
      <c r="NU395" s="170"/>
      <c r="NV395" s="171"/>
      <c r="NW395" s="170"/>
      <c r="NX395" s="170"/>
      <c r="NY395" s="170"/>
      <c r="NZ395" s="170"/>
      <c r="OA395" s="170"/>
      <c r="OB395" s="170"/>
      <c r="OC395" s="170"/>
      <c r="OD395" s="170"/>
      <c r="OE395" s="170"/>
      <c r="OF395" s="170"/>
      <c r="OG395" s="60"/>
      <c r="OH395" s="87"/>
      <c r="OI395" s="126"/>
      <c r="OJ395" s="127"/>
      <c r="OK395" s="135"/>
      <c r="OL395" s="87"/>
      <c r="OM395" s="167"/>
      <c r="ON395" s="87"/>
      <c r="OO395" s="87"/>
      <c r="OP395" s="87"/>
      <c r="OQ395" s="87"/>
      <c r="OR395" s="87"/>
      <c r="OS395" s="87"/>
      <c r="OT395" s="87"/>
      <c r="OU395" s="87"/>
      <c r="OV395" s="87"/>
      <c r="OW395" s="87"/>
      <c r="OX395" s="87"/>
      <c r="OY395" s="87"/>
      <c r="OZ395" s="87"/>
      <c r="PA395" s="87"/>
      <c r="PB395" s="54"/>
      <c r="PC395" s="54"/>
      <c r="PD395" s="54"/>
      <c r="PE395" s="87"/>
      <c r="PF395" s="87"/>
      <c r="PG395" s="87"/>
      <c r="PH395" s="87"/>
      <c r="PI395" s="87"/>
      <c r="PJ395" s="87"/>
      <c r="PK395" s="87"/>
      <c r="PL395" s="87"/>
      <c r="PM395" s="87"/>
      <c r="PN395" s="87"/>
      <c r="PO395" s="87"/>
      <c r="PP395" s="87"/>
      <c r="PQ395" s="87"/>
      <c r="PR395" s="87"/>
      <c r="PS395" s="87"/>
      <c r="PT395" s="87"/>
      <c r="PU395" s="87"/>
      <c r="PV395" s="87"/>
      <c r="PW395" s="87"/>
      <c r="PX395" s="87"/>
      <c r="PY395" s="87"/>
      <c r="PZ395" s="87"/>
      <c r="QA395" s="87"/>
      <c r="QB395" s="87"/>
      <c r="QC395" s="87"/>
      <c r="QD395" s="87"/>
      <c r="QE395" s="87"/>
      <c r="QF395" s="87"/>
      <c r="QG395" s="87"/>
      <c r="QH395" s="87"/>
      <c r="QI395" s="87"/>
      <c r="QJ395" s="87"/>
      <c r="QK395" s="87"/>
      <c r="QL395" s="87"/>
      <c r="QM395" s="87"/>
      <c r="QN395" s="87"/>
      <c r="QO395" s="87"/>
      <c r="QP395" s="87"/>
      <c r="QQ395" s="87"/>
      <c r="QR395" s="87"/>
      <c r="QS395" s="87"/>
      <c r="QT395" s="87"/>
      <c r="QU395" s="87"/>
      <c r="QV395" s="87"/>
      <c r="QW395" s="87"/>
      <c r="QX395" s="87"/>
      <c r="QY395" s="87"/>
      <c r="QZ395" s="87"/>
      <c r="RA395" s="87"/>
      <c r="RB395" s="87"/>
      <c r="RC395" s="87"/>
      <c r="RD395" s="87"/>
    </row>
    <row r="396" spans="1:472">
      <c r="A396" s="87"/>
      <c r="B396" s="135">
        <v>45848</v>
      </c>
      <c r="C396" s="127">
        <v>45866</v>
      </c>
      <c r="D396" s="87" t="s">
        <v>168</v>
      </c>
      <c r="E396" s="82" t="s">
        <v>219</v>
      </c>
      <c r="F396" s="82" t="s">
        <v>220</v>
      </c>
      <c r="G396" s="102" t="s">
        <v>2415</v>
      </c>
      <c r="H396" s="170">
        <v>8208222287</v>
      </c>
      <c r="I396" s="171" t="s">
        <v>2416</v>
      </c>
      <c r="J396" s="170" t="s">
        <v>1226</v>
      </c>
      <c r="K396" s="170">
        <v>2.5</v>
      </c>
      <c r="L396" s="170" t="s">
        <v>1226</v>
      </c>
      <c r="M396" s="170" t="s">
        <v>2417</v>
      </c>
      <c r="N396" s="170" t="s">
        <v>699</v>
      </c>
      <c r="O396" s="170" t="s">
        <v>2418</v>
      </c>
      <c r="P396" s="170" t="s">
        <v>1211</v>
      </c>
      <c r="Q396" s="170" t="s">
        <v>456</v>
      </c>
      <c r="R396" s="170" t="s">
        <v>2419</v>
      </c>
      <c r="S396" s="170" t="s">
        <v>2420</v>
      </c>
      <c r="T396" s="60"/>
      <c r="U396" s="87" t="s">
        <v>1175</v>
      </c>
      <c r="V396" s="126" t="s">
        <v>2111</v>
      </c>
      <c r="W396" s="127" t="s">
        <v>741</v>
      </c>
      <c r="X396" s="135">
        <v>45868</v>
      </c>
      <c r="Y396" s="135">
        <v>45871</v>
      </c>
      <c r="Z396" s="167" t="s">
        <v>2421</v>
      </c>
      <c r="AA396" s="87"/>
      <c r="AB396" s="87"/>
      <c r="AC396" s="87"/>
      <c r="AD396" s="87"/>
      <c r="AE396" s="87"/>
      <c r="AF396" s="87"/>
      <c r="AG396" s="87"/>
      <c r="AH396" s="87"/>
      <c r="AI396" s="87"/>
      <c r="AJ396" s="87"/>
      <c r="AK396" s="87"/>
      <c r="AL396" s="87"/>
      <c r="AM396" s="87"/>
      <c r="AN396" s="87"/>
      <c r="AO396" s="54"/>
      <c r="AP396" s="54"/>
      <c r="AQ396" s="54"/>
      <c r="AR396" s="87"/>
      <c r="AS396" s="87"/>
      <c r="AT396" s="87"/>
      <c r="AU396" s="87"/>
      <c r="AV396" s="87"/>
      <c r="AW396" s="87"/>
      <c r="AX396" s="87"/>
      <c r="AY396" s="87"/>
      <c r="AZ396" s="87"/>
      <c r="BA396" s="87"/>
      <c r="BB396" s="87"/>
      <c r="BC396" s="87"/>
      <c r="BD396" s="87"/>
      <c r="BE396" s="87"/>
      <c r="BF396" s="87"/>
      <c r="BG396" s="87"/>
      <c r="BH396" s="87"/>
      <c r="BI396" s="87"/>
      <c r="BJ396" s="87"/>
      <c r="BK396" s="87"/>
      <c r="BL396" s="87"/>
      <c r="BM396" s="87"/>
      <c r="BN396" s="87"/>
      <c r="BO396" s="87"/>
      <c r="BP396" s="87"/>
      <c r="BQ396" s="87"/>
      <c r="BR396" s="87"/>
      <c r="BS396" s="87"/>
      <c r="BT396" s="87"/>
      <c r="BU396" s="87"/>
      <c r="BV396" s="87"/>
      <c r="BW396" s="87"/>
      <c r="BX396" s="87"/>
      <c r="BY396" s="87"/>
      <c r="BZ396" s="87"/>
      <c r="CA396" s="87"/>
      <c r="CB396" s="87"/>
      <c r="CC396" s="87"/>
      <c r="CD396" s="87"/>
      <c r="CE396" s="87"/>
      <c r="CF396" s="87"/>
      <c r="CG396" s="87"/>
      <c r="CH396" s="87"/>
      <c r="CI396" s="87"/>
      <c r="CJ396" s="87"/>
      <c r="CK396" s="87"/>
      <c r="CL396" s="87"/>
      <c r="CM396" s="87"/>
      <c r="CN396" s="87"/>
      <c r="CO396" s="87"/>
      <c r="CP396" s="87"/>
      <c r="CQ396" s="87"/>
      <c r="NN396" s="87"/>
      <c r="NO396" s="135"/>
      <c r="NP396" s="127"/>
      <c r="NQ396" s="87"/>
      <c r="NR396" s="82"/>
      <c r="NS396" s="82"/>
      <c r="NT396" s="102"/>
      <c r="NU396" s="170"/>
      <c r="NV396" s="171"/>
      <c r="NW396" s="170"/>
      <c r="NX396" s="170"/>
      <c r="NY396" s="170"/>
      <c r="NZ396" s="170"/>
      <c r="OA396" s="170"/>
      <c r="OB396" s="170"/>
      <c r="OC396" s="170"/>
      <c r="OD396" s="170"/>
      <c r="OE396" s="170"/>
      <c r="OF396" s="170"/>
      <c r="OG396" s="60"/>
      <c r="OH396" s="87"/>
      <c r="OI396" s="126"/>
      <c r="OJ396" s="127"/>
      <c r="OK396" s="135"/>
      <c r="OL396" s="87"/>
      <c r="OM396" s="167"/>
      <c r="ON396" s="87"/>
      <c r="OO396" s="87"/>
      <c r="OP396" s="87"/>
      <c r="OQ396" s="87"/>
      <c r="OR396" s="87"/>
      <c r="OS396" s="87"/>
      <c r="OT396" s="87"/>
      <c r="OU396" s="87"/>
      <c r="OV396" s="87"/>
      <c r="OW396" s="87"/>
      <c r="OX396" s="87"/>
      <c r="OY396" s="87"/>
      <c r="OZ396" s="87"/>
      <c r="PA396" s="87"/>
      <c r="PB396" s="54"/>
      <c r="PC396" s="54"/>
      <c r="PD396" s="54"/>
      <c r="PE396" s="87"/>
      <c r="PF396" s="87"/>
      <c r="PG396" s="87"/>
      <c r="PH396" s="87"/>
      <c r="PI396" s="87"/>
      <c r="PJ396" s="87"/>
      <c r="PK396" s="87"/>
      <c r="PL396" s="87"/>
      <c r="PM396" s="87"/>
      <c r="PN396" s="87"/>
      <c r="PO396" s="87"/>
      <c r="PP396" s="87"/>
      <c r="PQ396" s="87"/>
      <c r="PR396" s="87"/>
      <c r="PS396" s="87"/>
      <c r="PT396" s="87"/>
      <c r="PU396" s="87"/>
      <c r="PV396" s="87"/>
      <c r="PW396" s="87"/>
      <c r="PX396" s="87"/>
      <c r="PY396" s="87"/>
      <c r="PZ396" s="87"/>
      <c r="QA396" s="87"/>
      <c r="QB396" s="87"/>
      <c r="QC396" s="87"/>
      <c r="QD396" s="87"/>
      <c r="QE396" s="87"/>
      <c r="QF396" s="87"/>
      <c r="QG396" s="87"/>
      <c r="QH396" s="87"/>
      <c r="QI396" s="87"/>
      <c r="QJ396" s="87"/>
      <c r="QK396" s="87"/>
      <c r="QL396" s="87"/>
      <c r="QM396" s="87"/>
      <c r="QN396" s="87"/>
      <c r="QO396" s="87"/>
      <c r="QP396" s="87"/>
      <c r="QQ396" s="87"/>
      <c r="QR396" s="87"/>
      <c r="QS396" s="87"/>
      <c r="QT396" s="87"/>
      <c r="QU396" s="87"/>
      <c r="QV396" s="87"/>
      <c r="QW396" s="87"/>
      <c r="QX396" s="87"/>
      <c r="QY396" s="87"/>
      <c r="QZ396" s="87"/>
      <c r="RA396" s="87"/>
      <c r="RB396" s="87"/>
      <c r="RC396" s="87"/>
      <c r="RD396" s="87"/>
    </row>
    <row r="397" spans="1:472">
      <c r="A397" s="87"/>
      <c r="B397" s="135">
        <v>45848</v>
      </c>
      <c r="C397" s="127">
        <v>45866</v>
      </c>
      <c r="D397" s="87" t="s">
        <v>168</v>
      </c>
      <c r="E397" s="82" t="s">
        <v>219</v>
      </c>
      <c r="F397" s="82" t="s">
        <v>220</v>
      </c>
      <c r="G397" s="102" t="s">
        <v>2422</v>
      </c>
      <c r="H397" s="170">
        <v>8686940350</v>
      </c>
      <c r="I397" s="171" t="s">
        <v>2423</v>
      </c>
      <c r="J397" s="170" t="s">
        <v>2343</v>
      </c>
      <c r="K397" s="170" t="s">
        <v>2327</v>
      </c>
      <c r="L397" s="170" t="s">
        <v>2327</v>
      </c>
      <c r="M397" s="170" t="s">
        <v>2424</v>
      </c>
      <c r="N397" s="170" t="s">
        <v>425</v>
      </c>
      <c r="O397" s="170" t="s">
        <v>2425</v>
      </c>
      <c r="P397" s="170" t="s">
        <v>49</v>
      </c>
      <c r="Q397" s="170" t="s">
        <v>402</v>
      </c>
      <c r="R397" s="170" t="s">
        <v>228</v>
      </c>
      <c r="S397" s="170" t="s">
        <v>1201</v>
      </c>
      <c r="T397" s="60"/>
      <c r="U397" s="87" t="s">
        <v>1175</v>
      </c>
      <c r="V397" s="126" t="s">
        <v>231</v>
      </c>
      <c r="W397" s="127"/>
      <c r="X397" s="135">
        <v>45868</v>
      </c>
      <c r="Y397" s="135">
        <v>45870</v>
      </c>
      <c r="Z397" s="167" t="s">
        <v>232</v>
      </c>
      <c r="AA397" s="87"/>
      <c r="AB397" s="87"/>
      <c r="AC397" s="87"/>
      <c r="AD397" s="87"/>
      <c r="AE397" s="87"/>
      <c r="AF397" s="87"/>
      <c r="AG397" s="87"/>
      <c r="AH397" s="87"/>
      <c r="AI397" s="87"/>
      <c r="AJ397" s="87"/>
      <c r="AK397" s="87"/>
      <c r="AL397" s="87"/>
      <c r="AM397" s="87"/>
      <c r="AN397" s="87"/>
      <c r="AO397" s="54"/>
      <c r="AP397" s="54"/>
      <c r="AQ397" s="54"/>
      <c r="AR397" s="87"/>
      <c r="AS397" s="87"/>
      <c r="AT397" s="87"/>
      <c r="AU397" s="87"/>
      <c r="AV397" s="87"/>
      <c r="AW397" s="87"/>
      <c r="AX397" s="87"/>
      <c r="AY397" s="87"/>
      <c r="AZ397" s="87"/>
      <c r="BA397" s="87"/>
      <c r="BB397" s="87"/>
      <c r="BC397" s="87"/>
      <c r="BD397" s="87"/>
      <c r="BE397" s="87"/>
      <c r="BF397" s="87"/>
      <c r="BG397" s="87"/>
      <c r="BH397" s="87"/>
      <c r="BI397" s="87"/>
      <c r="BJ397" s="87"/>
      <c r="BK397" s="87"/>
      <c r="BL397" s="87"/>
      <c r="BM397" s="87"/>
      <c r="BN397" s="87"/>
      <c r="BO397" s="87"/>
      <c r="BP397" s="87"/>
      <c r="BQ397" s="87"/>
      <c r="BR397" s="87"/>
      <c r="BS397" s="87"/>
      <c r="BT397" s="87"/>
      <c r="BU397" s="87"/>
      <c r="BV397" s="87"/>
      <c r="BW397" s="87"/>
      <c r="BX397" s="87"/>
      <c r="BY397" s="87"/>
      <c r="BZ397" s="87"/>
      <c r="CA397" s="87"/>
      <c r="CB397" s="87"/>
      <c r="CC397" s="87"/>
      <c r="CD397" s="87"/>
      <c r="CE397" s="87"/>
      <c r="CF397" s="87"/>
      <c r="CG397" s="87"/>
      <c r="CH397" s="87"/>
      <c r="CI397" s="87"/>
      <c r="CJ397" s="87"/>
      <c r="CK397" s="87"/>
      <c r="CL397" s="87"/>
      <c r="CM397" s="87"/>
      <c r="CN397" s="87"/>
      <c r="CO397" s="87"/>
      <c r="CP397" s="87"/>
      <c r="CQ397" s="87"/>
      <c r="NN397" s="87"/>
      <c r="NO397" s="135"/>
      <c r="NP397" s="127"/>
      <c r="NQ397" s="87"/>
      <c r="NR397" s="82"/>
      <c r="NS397" s="82"/>
      <c r="NT397" s="102"/>
      <c r="NU397" s="170"/>
      <c r="NV397" s="171"/>
      <c r="NW397" s="170"/>
      <c r="NX397" s="170"/>
      <c r="NY397" s="170"/>
      <c r="NZ397" s="170"/>
      <c r="OA397" s="170"/>
      <c r="OB397" s="170"/>
      <c r="OC397" s="170"/>
      <c r="OD397" s="170"/>
      <c r="OE397" s="170"/>
      <c r="OF397" s="170"/>
      <c r="OG397" s="60"/>
      <c r="OH397" s="87"/>
      <c r="OI397" s="126"/>
      <c r="OJ397" s="127"/>
      <c r="OK397" s="135"/>
      <c r="OL397" s="87"/>
      <c r="OM397" s="167"/>
      <c r="ON397" s="87"/>
      <c r="OO397" s="87"/>
      <c r="OP397" s="87"/>
      <c r="OQ397" s="87"/>
      <c r="OR397" s="87"/>
      <c r="OS397" s="87"/>
      <c r="OT397" s="87"/>
      <c r="OU397" s="87"/>
      <c r="OV397" s="87"/>
      <c r="OW397" s="87"/>
      <c r="OX397" s="87"/>
      <c r="OY397" s="87"/>
      <c r="OZ397" s="87"/>
      <c r="PA397" s="87"/>
      <c r="PB397" s="54"/>
      <c r="PC397" s="54"/>
      <c r="PD397" s="54"/>
      <c r="PE397" s="87"/>
      <c r="PF397" s="87"/>
      <c r="PG397" s="87"/>
      <c r="PH397" s="87"/>
      <c r="PI397" s="87"/>
      <c r="PJ397" s="87"/>
      <c r="PK397" s="87"/>
      <c r="PL397" s="87"/>
      <c r="PM397" s="87"/>
      <c r="PN397" s="87"/>
      <c r="PO397" s="87"/>
      <c r="PP397" s="87"/>
      <c r="PQ397" s="87"/>
      <c r="PR397" s="87"/>
      <c r="PS397" s="87"/>
      <c r="PT397" s="87"/>
      <c r="PU397" s="87"/>
      <c r="PV397" s="87"/>
      <c r="PW397" s="87"/>
      <c r="PX397" s="87"/>
      <c r="PY397" s="87"/>
      <c r="PZ397" s="87"/>
      <c r="QA397" s="87"/>
      <c r="QB397" s="87"/>
      <c r="QC397" s="87"/>
      <c r="QD397" s="87"/>
      <c r="QE397" s="87"/>
      <c r="QF397" s="87"/>
      <c r="QG397" s="87"/>
      <c r="QH397" s="87"/>
      <c r="QI397" s="87"/>
      <c r="QJ397" s="87"/>
      <c r="QK397" s="87"/>
      <c r="QL397" s="87"/>
      <c r="QM397" s="87"/>
      <c r="QN397" s="87"/>
      <c r="QO397" s="87"/>
      <c r="QP397" s="87"/>
      <c r="QQ397" s="87"/>
      <c r="QR397" s="87"/>
      <c r="QS397" s="87"/>
      <c r="QT397" s="87"/>
      <c r="QU397" s="87"/>
      <c r="QV397" s="87"/>
      <c r="QW397" s="87"/>
      <c r="QX397" s="87"/>
      <c r="QY397" s="87"/>
      <c r="QZ397" s="87"/>
      <c r="RA397" s="87"/>
      <c r="RB397" s="87"/>
      <c r="RC397" s="87"/>
      <c r="RD397" s="87"/>
    </row>
    <row r="398" spans="1:472">
      <c r="A398" s="87"/>
      <c r="B398" s="135">
        <v>45848</v>
      </c>
      <c r="C398" s="127">
        <v>45866</v>
      </c>
      <c r="D398" s="87" t="s">
        <v>168</v>
      </c>
      <c r="E398" s="82" t="s">
        <v>219</v>
      </c>
      <c r="F398" s="82" t="s">
        <v>220</v>
      </c>
      <c r="G398" s="102" t="s">
        <v>2426</v>
      </c>
      <c r="H398" s="170">
        <v>6261500096</v>
      </c>
      <c r="I398" s="171" t="s">
        <v>2427</v>
      </c>
      <c r="J398" s="170" t="s">
        <v>2343</v>
      </c>
      <c r="K398" s="170" t="s">
        <v>773</v>
      </c>
      <c r="L398" s="170" t="s">
        <v>773</v>
      </c>
      <c r="M398" s="170" t="s">
        <v>2428</v>
      </c>
      <c r="N398" s="170" t="s">
        <v>2339</v>
      </c>
      <c r="O398" s="170" t="s">
        <v>2429</v>
      </c>
      <c r="P398" s="170" t="s">
        <v>770</v>
      </c>
      <c r="Q398" s="170" t="s">
        <v>558</v>
      </c>
      <c r="R398" s="170" t="s">
        <v>2430</v>
      </c>
      <c r="S398" s="170" t="s">
        <v>1201</v>
      </c>
      <c r="T398" s="60"/>
      <c r="U398" s="87" t="s">
        <v>1175</v>
      </c>
      <c r="V398" s="126" t="s">
        <v>2318</v>
      </c>
      <c r="W398" s="127" t="s">
        <v>164</v>
      </c>
      <c r="X398" s="135">
        <v>45868</v>
      </c>
      <c r="Y398" s="135">
        <v>45871</v>
      </c>
      <c r="Z398" s="167" t="s">
        <v>2032</v>
      </c>
      <c r="AA398" s="87"/>
      <c r="AB398" s="87"/>
      <c r="AC398" s="87"/>
      <c r="AD398" s="87"/>
      <c r="AE398" s="87"/>
      <c r="AF398" s="87"/>
      <c r="AG398" s="87"/>
      <c r="AH398" s="87"/>
      <c r="AI398" s="87"/>
      <c r="AJ398" s="87"/>
      <c r="AK398" s="87"/>
      <c r="AL398" s="87"/>
      <c r="AM398" s="87"/>
      <c r="AN398" s="87"/>
      <c r="AO398" s="54"/>
      <c r="AP398" s="54"/>
      <c r="AQ398" s="54"/>
      <c r="AR398" s="87"/>
      <c r="AS398" s="87"/>
      <c r="AT398" s="87"/>
      <c r="AU398" s="87"/>
      <c r="AV398" s="87"/>
      <c r="AW398" s="87"/>
      <c r="AX398" s="87"/>
      <c r="AY398" s="87"/>
      <c r="AZ398" s="87"/>
      <c r="BA398" s="87"/>
      <c r="BB398" s="87"/>
      <c r="BC398" s="87"/>
      <c r="BD398" s="87"/>
      <c r="BE398" s="87"/>
      <c r="BF398" s="87"/>
      <c r="BG398" s="87"/>
      <c r="BH398" s="87"/>
      <c r="BI398" s="87"/>
      <c r="BJ398" s="87"/>
      <c r="BK398" s="87"/>
      <c r="BL398" s="87"/>
      <c r="BM398" s="87"/>
      <c r="BN398" s="87"/>
      <c r="BO398" s="87"/>
      <c r="BP398" s="87"/>
      <c r="BQ398" s="87"/>
      <c r="BR398" s="87"/>
      <c r="BS398" s="87"/>
      <c r="BT398" s="87"/>
      <c r="BU398" s="87"/>
      <c r="BV398" s="87"/>
      <c r="BW398" s="87"/>
      <c r="BX398" s="87"/>
      <c r="BY398" s="87"/>
      <c r="BZ398" s="87"/>
      <c r="CA398" s="87"/>
      <c r="CB398" s="87"/>
      <c r="CC398" s="87"/>
      <c r="CD398" s="87"/>
      <c r="CE398" s="87"/>
      <c r="CF398" s="87"/>
      <c r="CG398" s="87"/>
      <c r="CH398" s="87"/>
      <c r="CI398" s="87"/>
      <c r="CJ398" s="87"/>
      <c r="CK398" s="87"/>
      <c r="CL398" s="87"/>
      <c r="CM398" s="87"/>
      <c r="CN398" s="87"/>
      <c r="CO398" s="87"/>
      <c r="CP398" s="87"/>
      <c r="CQ398" s="87"/>
      <c r="NN398" s="87"/>
      <c r="NO398" s="135"/>
      <c r="NP398" s="127"/>
      <c r="NQ398" s="87"/>
      <c r="NR398" s="82"/>
      <c r="NS398" s="82"/>
      <c r="NT398" s="102"/>
      <c r="NU398" s="170"/>
      <c r="NV398" s="171"/>
      <c r="NW398" s="170"/>
      <c r="NX398" s="170"/>
      <c r="NY398" s="170"/>
      <c r="NZ398" s="170"/>
      <c r="OA398" s="170"/>
      <c r="OB398" s="170"/>
      <c r="OC398" s="170"/>
      <c r="OD398" s="170"/>
      <c r="OE398" s="170"/>
      <c r="OF398" s="170"/>
      <c r="OG398" s="60"/>
      <c r="OH398" s="87"/>
      <c r="OI398" s="126"/>
      <c r="OJ398" s="127"/>
      <c r="OK398" s="135"/>
      <c r="OL398" s="87"/>
      <c r="OM398" s="167"/>
      <c r="ON398" s="87"/>
      <c r="OO398" s="87"/>
      <c r="OP398" s="87"/>
      <c r="OQ398" s="87"/>
      <c r="OR398" s="87"/>
      <c r="OS398" s="87"/>
      <c r="OT398" s="87"/>
      <c r="OU398" s="87"/>
      <c r="OV398" s="87"/>
      <c r="OW398" s="87"/>
      <c r="OX398" s="87"/>
      <c r="OY398" s="87"/>
      <c r="OZ398" s="87"/>
      <c r="PA398" s="87"/>
      <c r="PB398" s="54"/>
      <c r="PC398" s="54"/>
      <c r="PD398" s="54"/>
      <c r="PE398" s="87"/>
      <c r="PF398" s="87"/>
      <c r="PG398" s="87"/>
      <c r="PH398" s="87"/>
      <c r="PI398" s="87"/>
      <c r="PJ398" s="87"/>
      <c r="PK398" s="87"/>
      <c r="PL398" s="87"/>
      <c r="PM398" s="87"/>
      <c r="PN398" s="87"/>
      <c r="PO398" s="87"/>
      <c r="PP398" s="87"/>
      <c r="PQ398" s="87"/>
      <c r="PR398" s="87"/>
      <c r="PS398" s="87"/>
      <c r="PT398" s="87"/>
      <c r="PU398" s="87"/>
      <c r="PV398" s="87"/>
      <c r="PW398" s="87"/>
      <c r="PX398" s="87"/>
      <c r="PY398" s="87"/>
      <c r="PZ398" s="87"/>
      <c r="QA398" s="87"/>
      <c r="QB398" s="87"/>
      <c r="QC398" s="87"/>
      <c r="QD398" s="87"/>
      <c r="QE398" s="87"/>
      <c r="QF398" s="87"/>
      <c r="QG398" s="87"/>
      <c r="QH398" s="87"/>
      <c r="QI398" s="87"/>
      <c r="QJ398" s="87"/>
      <c r="QK398" s="87"/>
      <c r="QL398" s="87"/>
      <c r="QM398" s="87"/>
      <c r="QN398" s="87"/>
      <c r="QO398" s="87"/>
      <c r="QP398" s="87"/>
      <c r="QQ398" s="87"/>
      <c r="QR398" s="87"/>
      <c r="QS398" s="87"/>
      <c r="QT398" s="87"/>
      <c r="QU398" s="87"/>
      <c r="QV398" s="87"/>
      <c r="QW398" s="87"/>
      <c r="QX398" s="87"/>
      <c r="QY398" s="87"/>
      <c r="QZ398" s="87"/>
      <c r="RA398" s="87"/>
      <c r="RB398" s="87"/>
      <c r="RC398" s="87"/>
      <c r="RD398" s="87"/>
    </row>
    <row r="399" spans="1:472">
      <c r="A399" s="87"/>
      <c r="B399" s="135">
        <v>45848</v>
      </c>
      <c r="C399" s="127">
        <v>45866</v>
      </c>
      <c r="D399" s="87" t="s">
        <v>168</v>
      </c>
      <c r="E399" s="82" t="s">
        <v>219</v>
      </c>
      <c r="F399" s="82" t="s">
        <v>220</v>
      </c>
      <c r="G399" s="102" t="s">
        <v>2431</v>
      </c>
      <c r="H399" s="170">
        <v>7011343989</v>
      </c>
      <c r="I399" s="171" t="s">
        <v>2432</v>
      </c>
      <c r="J399" s="170" t="s">
        <v>2343</v>
      </c>
      <c r="K399" s="170" t="s">
        <v>1791</v>
      </c>
      <c r="L399" s="170">
        <v>4</v>
      </c>
      <c r="M399" s="170" t="s">
        <v>2433</v>
      </c>
      <c r="N399" s="170" t="s">
        <v>425</v>
      </c>
      <c r="O399" s="170" t="s">
        <v>2434</v>
      </c>
      <c r="P399" s="170" t="s">
        <v>49</v>
      </c>
      <c r="Q399" s="170" t="s">
        <v>2435</v>
      </c>
      <c r="R399" s="170" t="s">
        <v>338</v>
      </c>
      <c r="S399" s="170" t="s">
        <v>1201</v>
      </c>
      <c r="T399" s="60"/>
      <c r="U399" s="87" t="s">
        <v>1175</v>
      </c>
      <c r="V399" s="126" t="s">
        <v>2318</v>
      </c>
      <c r="W399" s="127" t="s">
        <v>164</v>
      </c>
      <c r="X399" s="135">
        <v>45868</v>
      </c>
      <c r="Y399" s="135">
        <v>45869</v>
      </c>
      <c r="Z399" s="167" t="s">
        <v>340</v>
      </c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  <c r="AK399" s="87"/>
      <c r="AL399" s="87"/>
      <c r="AM399" s="87"/>
      <c r="AN399" s="87"/>
      <c r="AO399" s="54"/>
      <c r="AP399" s="54"/>
      <c r="AQ399" s="54"/>
      <c r="AR399" s="87"/>
      <c r="AS399" s="87"/>
      <c r="AT399" s="87"/>
      <c r="AU399" s="87"/>
      <c r="AV399" s="87"/>
      <c r="AW399" s="87"/>
      <c r="AX399" s="87"/>
      <c r="AY399" s="87"/>
      <c r="AZ399" s="87"/>
      <c r="BA399" s="87"/>
      <c r="BB399" s="87"/>
      <c r="BC399" s="87"/>
      <c r="BD399" s="87"/>
      <c r="BE399" s="87"/>
      <c r="BF399" s="87"/>
      <c r="BG399" s="87"/>
      <c r="BH399" s="87"/>
      <c r="BI399" s="87"/>
      <c r="BJ399" s="87"/>
      <c r="BK399" s="87"/>
      <c r="BL399" s="87"/>
      <c r="BM399" s="87"/>
      <c r="BN399" s="87"/>
      <c r="BO399" s="87"/>
      <c r="BP399" s="87"/>
      <c r="BQ399" s="87"/>
      <c r="BR399" s="87"/>
      <c r="BS399" s="87"/>
      <c r="BT399" s="87"/>
      <c r="BU399" s="87"/>
      <c r="BV399" s="87"/>
      <c r="BW399" s="87"/>
      <c r="BX399" s="87"/>
      <c r="BY399" s="87"/>
      <c r="BZ399" s="87"/>
      <c r="CA399" s="87"/>
      <c r="CB399" s="87"/>
      <c r="CC399" s="87"/>
      <c r="CD399" s="87"/>
      <c r="CE399" s="87"/>
      <c r="CF399" s="87"/>
      <c r="CG399" s="87"/>
      <c r="CH399" s="87"/>
      <c r="CI399" s="87"/>
      <c r="CJ399" s="87"/>
      <c r="CK399" s="87"/>
      <c r="CL399" s="87"/>
      <c r="CM399" s="87"/>
      <c r="CN399" s="87"/>
      <c r="CO399" s="87"/>
      <c r="CP399" s="87"/>
      <c r="CQ399" s="87"/>
      <c r="NN399" s="87"/>
      <c r="NO399" s="135"/>
      <c r="NP399" s="127"/>
      <c r="NQ399" s="87"/>
      <c r="NR399" s="82"/>
      <c r="NS399" s="82"/>
      <c r="NT399" s="102"/>
      <c r="NU399" s="170"/>
      <c r="NV399" s="171"/>
      <c r="NW399" s="170"/>
      <c r="NX399" s="170"/>
      <c r="NY399" s="170"/>
      <c r="NZ399" s="170"/>
      <c r="OA399" s="170"/>
      <c r="OB399" s="170"/>
      <c r="OC399" s="170"/>
      <c r="OD399" s="170"/>
      <c r="OE399" s="170"/>
      <c r="OF399" s="170"/>
      <c r="OG399" s="60"/>
      <c r="OH399" s="87"/>
      <c r="OI399" s="126"/>
      <c r="OJ399" s="127"/>
      <c r="OK399" s="135"/>
      <c r="OL399" s="87"/>
      <c r="OM399" s="167"/>
      <c r="ON399" s="87"/>
      <c r="OO399" s="87"/>
      <c r="OP399" s="87"/>
      <c r="OQ399" s="87"/>
      <c r="OR399" s="87"/>
      <c r="OS399" s="87"/>
      <c r="OT399" s="87"/>
      <c r="OU399" s="87"/>
      <c r="OV399" s="87"/>
      <c r="OW399" s="87"/>
      <c r="OX399" s="87"/>
      <c r="OY399" s="87"/>
      <c r="OZ399" s="87"/>
      <c r="PA399" s="87"/>
      <c r="PB399" s="54"/>
      <c r="PC399" s="54"/>
      <c r="PD399" s="54"/>
      <c r="PE399" s="87"/>
      <c r="PF399" s="87"/>
      <c r="PG399" s="87"/>
      <c r="PH399" s="87"/>
      <c r="PI399" s="87"/>
      <c r="PJ399" s="87"/>
      <c r="PK399" s="87"/>
      <c r="PL399" s="87"/>
      <c r="PM399" s="87"/>
      <c r="PN399" s="87"/>
      <c r="PO399" s="87"/>
      <c r="PP399" s="87"/>
      <c r="PQ399" s="87"/>
      <c r="PR399" s="87"/>
      <c r="PS399" s="87"/>
      <c r="PT399" s="87"/>
      <c r="PU399" s="87"/>
      <c r="PV399" s="87"/>
      <c r="PW399" s="87"/>
      <c r="PX399" s="87"/>
      <c r="PY399" s="87"/>
      <c r="PZ399" s="87"/>
      <c r="QA399" s="87"/>
      <c r="QB399" s="87"/>
      <c r="QC399" s="87"/>
      <c r="QD399" s="87"/>
      <c r="QE399" s="87"/>
      <c r="QF399" s="87"/>
      <c r="QG399" s="87"/>
      <c r="QH399" s="87"/>
      <c r="QI399" s="87"/>
      <c r="QJ399" s="87"/>
      <c r="QK399" s="87"/>
      <c r="QL399" s="87"/>
      <c r="QM399" s="87"/>
      <c r="QN399" s="87"/>
      <c r="QO399" s="87"/>
      <c r="QP399" s="87"/>
      <c r="QQ399" s="87"/>
      <c r="QR399" s="87"/>
      <c r="QS399" s="87"/>
      <c r="QT399" s="87"/>
      <c r="QU399" s="87"/>
      <c r="QV399" s="87"/>
      <c r="QW399" s="87"/>
      <c r="QX399" s="87"/>
      <c r="QY399" s="87"/>
      <c r="QZ399" s="87"/>
      <c r="RA399" s="87"/>
      <c r="RB399" s="87"/>
      <c r="RC399" s="87"/>
      <c r="RD399" s="87"/>
    </row>
    <row r="400" spans="1:472">
      <c r="A400" s="87"/>
      <c r="B400" s="135">
        <v>45848</v>
      </c>
      <c r="C400" s="127">
        <v>45866</v>
      </c>
      <c r="D400" s="87" t="s">
        <v>168</v>
      </c>
      <c r="E400" s="82" t="s">
        <v>219</v>
      </c>
      <c r="F400" s="82" t="s">
        <v>220</v>
      </c>
      <c r="G400" s="102" t="s">
        <v>2436</v>
      </c>
      <c r="H400" s="170">
        <v>9067530195</v>
      </c>
      <c r="I400" s="171" t="s">
        <v>2437</v>
      </c>
      <c r="J400" s="170" t="s">
        <v>1226</v>
      </c>
      <c r="K400" s="170">
        <v>3.5</v>
      </c>
      <c r="L400" s="170">
        <v>3.5</v>
      </c>
      <c r="M400" s="170" t="s">
        <v>2438</v>
      </c>
      <c r="N400" s="170" t="s">
        <v>236</v>
      </c>
      <c r="O400" s="170" t="s">
        <v>2439</v>
      </c>
      <c r="P400" s="170" t="s">
        <v>2152</v>
      </c>
      <c r="Q400" s="170" t="s">
        <v>2160</v>
      </c>
      <c r="R400" s="170" t="s">
        <v>2440</v>
      </c>
      <c r="S400" s="170" t="s">
        <v>1201</v>
      </c>
      <c r="T400" s="60"/>
      <c r="U400" s="87" t="s">
        <v>1175</v>
      </c>
      <c r="V400" s="126" t="s">
        <v>291</v>
      </c>
      <c r="W400" s="127"/>
      <c r="X400" s="135">
        <v>45868</v>
      </c>
      <c r="Y400" s="135"/>
      <c r="Z400" s="167"/>
      <c r="AA400" s="87"/>
      <c r="AB400" s="87"/>
      <c r="AC400" s="87"/>
      <c r="AD400" s="87"/>
      <c r="AE400" s="87"/>
      <c r="AF400" s="87"/>
      <c r="AG400" s="87"/>
      <c r="AH400" s="87"/>
      <c r="AI400" s="87"/>
      <c r="AJ400" s="87"/>
      <c r="AK400" s="87"/>
      <c r="AL400" s="87"/>
      <c r="AM400" s="87"/>
      <c r="AN400" s="87"/>
      <c r="AO400" s="54"/>
      <c r="AP400" s="54"/>
      <c r="AQ400" s="54"/>
      <c r="AR400" s="87"/>
      <c r="AS400" s="87"/>
      <c r="AT400" s="87"/>
      <c r="AU400" s="87"/>
      <c r="AV400" s="87"/>
      <c r="AW400" s="87"/>
      <c r="AX400" s="87"/>
      <c r="AY400" s="87"/>
      <c r="AZ400" s="87"/>
      <c r="BA400" s="87"/>
      <c r="BB400" s="87"/>
      <c r="BC400" s="87"/>
      <c r="BD400" s="87"/>
      <c r="BE400" s="87"/>
      <c r="BF400" s="87"/>
      <c r="BG400" s="87"/>
      <c r="BH400" s="87"/>
      <c r="BI400" s="87"/>
      <c r="BJ400" s="87"/>
      <c r="BK400" s="87"/>
      <c r="BL400" s="87"/>
      <c r="BM400" s="87"/>
      <c r="BN400" s="87"/>
      <c r="BO400" s="87"/>
      <c r="BP400" s="87"/>
      <c r="BQ400" s="87"/>
      <c r="BR400" s="87"/>
      <c r="BS400" s="87"/>
      <c r="BT400" s="87"/>
      <c r="BU400" s="87"/>
      <c r="BV400" s="87"/>
      <c r="BW400" s="87"/>
      <c r="BX400" s="87"/>
      <c r="BY400" s="87"/>
      <c r="BZ400" s="87"/>
      <c r="CA400" s="87"/>
      <c r="CB400" s="87"/>
      <c r="CC400" s="87"/>
      <c r="CD400" s="87"/>
      <c r="CE400" s="87"/>
      <c r="CF400" s="87"/>
      <c r="CG400" s="87"/>
      <c r="CH400" s="87"/>
      <c r="CI400" s="87"/>
      <c r="CJ400" s="87"/>
      <c r="CK400" s="87"/>
      <c r="CL400" s="87"/>
      <c r="CM400" s="87"/>
      <c r="CN400" s="87"/>
      <c r="CO400" s="87"/>
      <c r="CP400" s="87"/>
      <c r="CQ400" s="87"/>
      <c r="NN400" s="87"/>
      <c r="NO400" s="135"/>
      <c r="NP400" s="127"/>
      <c r="NQ400" s="87"/>
      <c r="NR400" s="82"/>
      <c r="NS400" s="82"/>
      <c r="NT400" s="102"/>
      <c r="NU400" s="170"/>
      <c r="NV400" s="171"/>
      <c r="NW400" s="170"/>
      <c r="NX400" s="170"/>
      <c r="NY400" s="170"/>
      <c r="NZ400" s="170"/>
      <c r="OA400" s="170"/>
      <c r="OB400" s="170"/>
      <c r="OC400" s="170"/>
      <c r="OD400" s="170"/>
      <c r="OE400" s="170"/>
      <c r="OF400" s="170"/>
      <c r="OG400" s="60"/>
      <c r="OH400" s="87"/>
      <c r="OI400" s="126"/>
      <c r="OJ400" s="127"/>
      <c r="OK400" s="135"/>
      <c r="OL400" s="87"/>
      <c r="OM400" s="167"/>
      <c r="ON400" s="87"/>
      <c r="OO400" s="87"/>
      <c r="OP400" s="87"/>
      <c r="OQ400" s="87"/>
      <c r="OR400" s="87"/>
      <c r="OS400" s="87"/>
      <c r="OT400" s="87"/>
      <c r="OU400" s="87"/>
      <c r="OV400" s="87"/>
      <c r="OW400" s="87"/>
      <c r="OX400" s="87"/>
      <c r="OY400" s="87"/>
      <c r="OZ400" s="87"/>
      <c r="PA400" s="87"/>
      <c r="PB400" s="54"/>
      <c r="PC400" s="54"/>
      <c r="PD400" s="54"/>
      <c r="PE400" s="87"/>
      <c r="PF400" s="87"/>
      <c r="PG400" s="87"/>
      <c r="PH400" s="87"/>
      <c r="PI400" s="87"/>
      <c r="PJ400" s="87"/>
      <c r="PK400" s="87"/>
      <c r="PL400" s="87"/>
      <c r="PM400" s="87"/>
      <c r="PN400" s="87"/>
      <c r="PO400" s="87"/>
      <c r="PP400" s="87"/>
      <c r="PQ400" s="87"/>
      <c r="PR400" s="87"/>
      <c r="PS400" s="87"/>
      <c r="PT400" s="87"/>
      <c r="PU400" s="87"/>
      <c r="PV400" s="87"/>
      <c r="PW400" s="87"/>
      <c r="PX400" s="87"/>
      <c r="PY400" s="87"/>
      <c r="PZ400" s="87"/>
      <c r="QA400" s="87"/>
      <c r="QB400" s="87"/>
      <c r="QC400" s="87"/>
      <c r="QD400" s="87"/>
      <c r="QE400" s="87"/>
      <c r="QF400" s="87"/>
      <c r="QG400" s="87"/>
      <c r="QH400" s="87"/>
      <c r="QI400" s="87"/>
      <c r="QJ400" s="87"/>
      <c r="QK400" s="87"/>
      <c r="QL400" s="87"/>
      <c r="QM400" s="87"/>
      <c r="QN400" s="87"/>
      <c r="QO400" s="87"/>
      <c r="QP400" s="87"/>
      <c r="QQ400" s="87"/>
      <c r="QR400" s="87"/>
      <c r="QS400" s="87"/>
      <c r="QT400" s="87"/>
      <c r="QU400" s="87"/>
      <c r="QV400" s="87"/>
      <c r="QW400" s="87"/>
      <c r="QX400" s="87"/>
      <c r="QY400" s="87"/>
      <c r="QZ400" s="87"/>
      <c r="RA400" s="87"/>
      <c r="RB400" s="87"/>
      <c r="RC400" s="87"/>
      <c r="RD400" s="87"/>
    </row>
    <row r="401" spans="1:472">
      <c r="A401" s="87"/>
      <c r="B401" s="135">
        <v>45848</v>
      </c>
      <c r="C401" s="127">
        <v>45866</v>
      </c>
      <c r="D401" s="87" t="s">
        <v>168</v>
      </c>
      <c r="E401" s="82" t="s">
        <v>219</v>
      </c>
      <c r="F401" s="82" t="s">
        <v>220</v>
      </c>
      <c r="G401" s="102" t="s">
        <v>2441</v>
      </c>
      <c r="H401" s="170">
        <v>9730174108</v>
      </c>
      <c r="I401" s="171" t="s">
        <v>2442</v>
      </c>
      <c r="J401" s="170" t="s">
        <v>1226</v>
      </c>
      <c r="K401" s="170">
        <v>2</v>
      </c>
      <c r="L401" s="170">
        <v>2</v>
      </c>
      <c r="M401" s="170" t="s">
        <v>2443</v>
      </c>
      <c r="N401" s="170" t="s">
        <v>425</v>
      </c>
      <c r="O401" s="170" t="s">
        <v>2152</v>
      </c>
      <c r="P401" s="170" t="s">
        <v>2444</v>
      </c>
      <c r="Q401" s="170" t="s">
        <v>2153</v>
      </c>
      <c r="R401" s="170" t="s">
        <v>2445</v>
      </c>
      <c r="S401" s="170" t="s">
        <v>1201</v>
      </c>
      <c r="T401" s="60"/>
      <c r="U401" s="87" t="s">
        <v>1175</v>
      </c>
      <c r="V401" s="126" t="s">
        <v>291</v>
      </c>
      <c r="W401" s="127"/>
      <c r="X401" s="135">
        <v>45868</v>
      </c>
      <c r="Y401" s="135"/>
      <c r="Z401" s="167"/>
      <c r="AA401" s="87"/>
      <c r="AB401" s="87"/>
      <c r="AC401" s="87"/>
      <c r="AD401" s="87"/>
      <c r="AE401" s="87"/>
      <c r="AF401" s="87"/>
      <c r="AG401" s="87"/>
      <c r="AH401" s="87"/>
      <c r="AI401" s="87"/>
      <c r="AJ401" s="87"/>
      <c r="AK401" s="87"/>
      <c r="AL401" s="87"/>
      <c r="AM401" s="87"/>
      <c r="AN401" s="87"/>
      <c r="AO401" s="54"/>
      <c r="AP401" s="54"/>
      <c r="AQ401" s="54"/>
      <c r="AR401" s="87"/>
      <c r="AS401" s="87"/>
      <c r="AT401" s="87"/>
      <c r="AU401" s="87"/>
      <c r="AV401" s="87"/>
      <c r="AW401" s="87"/>
      <c r="AX401" s="87"/>
      <c r="AY401" s="87"/>
      <c r="AZ401" s="87"/>
      <c r="BA401" s="87"/>
      <c r="BB401" s="87"/>
      <c r="BC401" s="87"/>
      <c r="BD401" s="87"/>
      <c r="BE401" s="87"/>
      <c r="BF401" s="87"/>
      <c r="BG401" s="87"/>
      <c r="BH401" s="87"/>
      <c r="BI401" s="87"/>
      <c r="BJ401" s="87"/>
      <c r="BK401" s="87"/>
      <c r="BL401" s="87"/>
      <c r="BM401" s="87"/>
      <c r="BN401" s="87"/>
      <c r="BO401" s="87"/>
      <c r="BP401" s="87"/>
      <c r="BQ401" s="87"/>
      <c r="BR401" s="87"/>
      <c r="BS401" s="87"/>
      <c r="BT401" s="87"/>
      <c r="BU401" s="87"/>
      <c r="BV401" s="87"/>
      <c r="BW401" s="87"/>
      <c r="BX401" s="87"/>
      <c r="BY401" s="87"/>
      <c r="BZ401" s="87"/>
      <c r="CA401" s="87"/>
      <c r="CB401" s="87"/>
      <c r="CC401" s="87"/>
      <c r="CD401" s="87"/>
      <c r="CE401" s="87"/>
      <c r="CF401" s="87"/>
      <c r="CG401" s="87"/>
      <c r="CH401" s="87"/>
      <c r="CI401" s="87"/>
      <c r="CJ401" s="87"/>
      <c r="CK401" s="87"/>
      <c r="CL401" s="87"/>
      <c r="CM401" s="87"/>
      <c r="CN401" s="87"/>
      <c r="CO401" s="87"/>
      <c r="CP401" s="87"/>
      <c r="CQ401" s="87"/>
      <c r="NN401" s="87"/>
      <c r="NO401" s="135"/>
      <c r="NP401" s="127"/>
      <c r="NQ401" s="87"/>
      <c r="NR401" s="82"/>
      <c r="NS401" s="82"/>
      <c r="NT401" s="102"/>
      <c r="NU401" s="170"/>
      <c r="NV401" s="171"/>
      <c r="NW401" s="170"/>
      <c r="NX401" s="170"/>
      <c r="NY401" s="170"/>
      <c r="NZ401" s="170"/>
      <c r="OA401" s="170"/>
      <c r="OB401" s="170"/>
      <c r="OC401" s="170"/>
      <c r="OD401" s="170"/>
      <c r="OE401" s="170"/>
      <c r="OF401" s="170"/>
      <c r="OG401" s="60"/>
      <c r="OH401" s="87"/>
      <c r="OI401" s="126"/>
      <c r="OJ401" s="127"/>
      <c r="OK401" s="135"/>
      <c r="OL401" s="87"/>
      <c r="OM401" s="167"/>
      <c r="ON401" s="87"/>
      <c r="OO401" s="87"/>
      <c r="OP401" s="87"/>
      <c r="OQ401" s="87"/>
      <c r="OR401" s="87"/>
      <c r="OS401" s="87"/>
      <c r="OT401" s="87"/>
      <c r="OU401" s="87"/>
      <c r="OV401" s="87"/>
      <c r="OW401" s="87"/>
      <c r="OX401" s="87"/>
      <c r="OY401" s="87"/>
      <c r="OZ401" s="87"/>
      <c r="PA401" s="87"/>
      <c r="PB401" s="54"/>
      <c r="PC401" s="54"/>
      <c r="PD401" s="54"/>
      <c r="PE401" s="87"/>
      <c r="PF401" s="87"/>
      <c r="PG401" s="87"/>
      <c r="PH401" s="87"/>
      <c r="PI401" s="87"/>
      <c r="PJ401" s="87"/>
      <c r="PK401" s="87"/>
      <c r="PL401" s="87"/>
      <c r="PM401" s="87"/>
      <c r="PN401" s="87"/>
      <c r="PO401" s="87"/>
      <c r="PP401" s="87"/>
      <c r="PQ401" s="87"/>
      <c r="PR401" s="87"/>
      <c r="PS401" s="87"/>
      <c r="PT401" s="87"/>
      <c r="PU401" s="87"/>
      <c r="PV401" s="87"/>
      <c r="PW401" s="87"/>
      <c r="PX401" s="87"/>
      <c r="PY401" s="87"/>
      <c r="PZ401" s="87"/>
      <c r="QA401" s="87"/>
      <c r="QB401" s="87"/>
      <c r="QC401" s="87"/>
      <c r="QD401" s="87"/>
      <c r="QE401" s="87"/>
      <c r="QF401" s="87"/>
      <c r="QG401" s="87"/>
      <c r="QH401" s="87"/>
      <c r="QI401" s="87"/>
      <c r="QJ401" s="87"/>
      <c r="QK401" s="87"/>
      <c r="QL401" s="87"/>
      <c r="QM401" s="87"/>
      <c r="QN401" s="87"/>
      <c r="QO401" s="87"/>
      <c r="QP401" s="87"/>
      <c r="QQ401" s="87"/>
      <c r="QR401" s="87"/>
      <c r="QS401" s="87"/>
      <c r="QT401" s="87"/>
      <c r="QU401" s="87"/>
      <c r="QV401" s="87"/>
      <c r="QW401" s="87"/>
      <c r="QX401" s="87"/>
      <c r="QY401" s="87"/>
      <c r="QZ401" s="87"/>
      <c r="RA401" s="87"/>
      <c r="RB401" s="87"/>
      <c r="RC401" s="87"/>
      <c r="RD401" s="87"/>
    </row>
    <row r="402" spans="1:472">
      <c r="A402" s="87"/>
      <c r="B402" s="135">
        <v>45848</v>
      </c>
      <c r="C402" s="127">
        <v>45866</v>
      </c>
      <c r="D402" s="87" t="s">
        <v>168</v>
      </c>
      <c r="E402" s="82" t="s">
        <v>219</v>
      </c>
      <c r="F402" s="82" t="s">
        <v>220</v>
      </c>
      <c r="G402" s="102" t="s">
        <v>2446</v>
      </c>
      <c r="H402" s="170">
        <v>9140798275</v>
      </c>
      <c r="I402" s="171" t="s">
        <v>2447</v>
      </c>
      <c r="J402" s="170" t="s">
        <v>2343</v>
      </c>
      <c r="K402" s="170">
        <v>2</v>
      </c>
      <c r="L402" s="170">
        <v>2</v>
      </c>
      <c r="M402" s="170" t="s">
        <v>2448</v>
      </c>
      <c r="N402" s="170" t="s">
        <v>425</v>
      </c>
      <c r="O402" s="170" t="s">
        <v>2449</v>
      </c>
      <c r="P402" s="170" t="s">
        <v>2121</v>
      </c>
      <c r="Q402" s="170" t="s">
        <v>402</v>
      </c>
      <c r="R402" s="170" t="s">
        <v>290</v>
      </c>
      <c r="S402" s="170" t="s">
        <v>1201</v>
      </c>
      <c r="T402" s="60"/>
      <c r="U402" s="87" t="s">
        <v>1175</v>
      </c>
      <c r="V402" s="126" t="s">
        <v>231</v>
      </c>
      <c r="W402" s="127"/>
      <c r="X402" s="135">
        <v>45868</v>
      </c>
      <c r="Y402" s="135">
        <v>45869</v>
      </c>
      <c r="Z402" s="167" t="s">
        <v>232</v>
      </c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  <c r="AL402" s="87"/>
      <c r="AM402" s="87"/>
      <c r="AN402" s="87"/>
      <c r="AO402" s="54"/>
      <c r="AP402" s="54"/>
      <c r="AQ402" s="54"/>
      <c r="AR402" s="87"/>
      <c r="AS402" s="87"/>
      <c r="AT402" s="87"/>
      <c r="AU402" s="87"/>
      <c r="AV402" s="87"/>
      <c r="AW402" s="87"/>
      <c r="AX402" s="87"/>
      <c r="AY402" s="87"/>
      <c r="AZ402" s="87"/>
      <c r="BA402" s="87"/>
      <c r="BB402" s="87"/>
      <c r="BC402" s="87"/>
      <c r="BD402" s="87"/>
      <c r="BE402" s="87"/>
      <c r="BF402" s="87"/>
      <c r="BG402" s="87"/>
      <c r="BH402" s="87"/>
      <c r="BI402" s="87"/>
      <c r="BJ402" s="87"/>
      <c r="BK402" s="87"/>
      <c r="BL402" s="87"/>
      <c r="BM402" s="87"/>
      <c r="BN402" s="87"/>
      <c r="BO402" s="87"/>
      <c r="BP402" s="87"/>
      <c r="BQ402" s="87"/>
      <c r="BR402" s="87"/>
      <c r="BS402" s="87"/>
      <c r="BT402" s="87"/>
      <c r="BU402" s="87"/>
      <c r="BV402" s="87"/>
      <c r="BW402" s="87"/>
      <c r="BX402" s="87"/>
      <c r="BY402" s="87"/>
      <c r="BZ402" s="87"/>
      <c r="CA402" s="87"/>
      <c r="CB402" s="87"/>
      <c r="CC402" s="87"/>
      <c r="CD402" s="87"/>
      <c r="CE402" s="87"/>
      <c r="CF402" s="87"/>
      <c r="CG402" s="87"/>
      <c r="CH402" s="87"/>
      <c r="CI402" s="87"/>
      <c r="CJ402" s="87"/>
      <c r="CK402" s="87"/>
      <c r="CL402" s="87"/>
      <c r="CM402" s="87"/>
      <c r="CN402" s="87"/>
      <c r="CO402" s="87"/>
      <c r="CP402" s="87"/>
      <c r="CQ402" s="87"/>
      <c r="NN402" s="87"/>
      <c r="NO402" s="135"/>
      <c r="NP402" s="127"/>
      <c r="NQ402" s="87"/>
      <c r="NR402" s="82"/>
      <c r="NS402" s="82"/>
      <c r="NT402" s="102"/>
      <c r="NU402" s="170"/>
      <c r="NV402" s="171"/>
      <c r="NW402" s="170"/>
      <c r="NX402" s="170"/>
      <c r="NY402" s="170"/>
      <c r="NZ402" s="170"/>
      <c r="OA402" s="170"/>
      <c r="OB402" s="170"/>
      <c r="OC402" s="170"/>
      <c r="OD402" s="170"/>
      <c r="OE402" s="170"/>
      <c r="OF402" s="170"/>
      <c r="OG402" s="60"/>
      <c r="OH402" s="87"/>
      <c r="OI402" s="126"/>
      <c r="OJ402" s="127"/>
      <c r="OK402" s="135"/>
      <c r="OL402" s="87"/>
      <c r="OM402" s="167"/>
      <c r="ON402" s="87"/>
      <c r="OO402" s="87"/>
      <c r="OP402" s="87"/>
      <c r="OQ402" s="87"/>
      <c r="OR402" s="87"/>
      <c r="OS402" s="87"/>
      <c r="OT402" s="87"/>
      <c r="OU402" s="87"/>
      <c r="OV402" s="87"/>
      <c r="OW402" s="87"/>
      <c r="OX402" s="87"/>
      <c r="OY402" s="87"/>
      <c r="OZ402" s="87"/>
      <c r="PA402" s="87"/>
      <c r="PB402" s="54"/>
      <c r="PC402" s="54"/>
      <c r="PD402" s="54"/>
      <c r="PE402" s="87"/>
      <c r="PF402" s="87"/>
      <c r="PG402" s="87"/>
      <c r="PH402" s="87"/>
      <c r="PI402" s="87"/>
      <c r="PJ402" s="87"/>
      <c r="PK402" s="87"/>
      <c r="PL402" s="87"/>
      <c r="PM402" s="87"/>
      <c r="PN402" s="87"/>
      <c r="PO402" s="87"/>
      <c r="PP402" s="87"/>
      <c r="PQ402" s="87"/>
      <c r="PR402" s="87"/>
      <c r="PS402" s="87"/>
      <c r="PT402" s="87"/>
      <c r="PU402" s="87"/>
      <c r="PV402" s="87"/>
      <c r="PW402" s="87"/>
      <c r="PX402" s="87"/>
      <c r="PY402" s="87"/>
      <c r="PZ402" s="87"/>
      <c r="QA402" s="87"/>
      <c r="QB402" s="87"/>
      <c r="QC402" s="87"/>
      <c r="QD402" s="87"/>
      <c r="QE402" s="87"/>
      <c r="QF402" s="87"/>
      <c r="QG402" s="87"/>
      <c r="QH402" s="87"/>
      <c r="QI402" s="87"/>
      <c r="QJ402" s="87"/>
      <c r="QK402" s="87"/>
      <c r="QL402" s="87"/>
      <c r="QM402" s="87"/>
      <c r="QN402" s="87"/>
      <c r="QO402" s="87"/>
      <c r="QP402" s="87"/>
      <c r="QQ402" s="87"/>
      <c r="QR402" s="87"/>
      <c r="QS402" s="87"/>
      <c r="QT402" s="87"/>
      <c r="QU402" s="87"/>
      <c r="QV402" s="87"/>
      <c r="QW402" s="87"/>
      <c r="QX402" s="87"/>
      <c r="QY402" s="87"/>
      <c r="QZ402" s="87"/>
      <c r="RA402" s="87"/>
      <c r="RB402" s="87"/>
      <c r="RC402" s="87"/>
      <c r="RD402" s="87"/>
    </row>
    <row r="403" spans="1:472">
      <c r="A403" s="87"/>
      <c r="B403" s="135">
        <v>45848</v>
      </c>
      <c r="C403" s="127">
        <v>45866</v>
      </c>
      <c r="D403" s="87" t="s">
        <v>189</v>
      </c>
      <c r="E403" s="82" t="s">
        <v>219</v>
      </c>
      <c r="F403" s="82" t="s">
        <v>220</v>
      </c>
      <c r="G403" s="102" t="s">
        <v>2450</v>
      </c>
      <c r="H403" s="170">
        <v>8828861048</v>
      </c>
      <c r="I403" s="171" t="s">
        <v>2451</v>
      </c>
      <c r="J403" s="181" t="s">
        <v>2452</v>
      </c>
      <c r="K403" s="170">
        <v>12</v>
      </c>
      <c r="L403" s="170" t="s">
        <v>1226</v>
      </c>
      <c r="M403" s="170" t="s">
        <v>2453</v>
      </c>
      <c r="N403" s="170" t="s">
        <v>462</v>
      </c>
      <c r="O403" s="170" t="s">
        <v>2454</v>
      </c>
      <c r="P403" s="170">
        <v>0.3</v>
      </c>
      <c r="Q403" s="170" t="s">
        <v>2455</v>
      </c>
      <c r="R403" s="170" t="s">
        <v>42</v>
      </c>
      <c r="S403" s="170" t="s">
        <v>1201</v>
      </c>
      <c r="T403" s="102"/>
      <c r="U403" s="87" t="s">
        <v>671</v>
      </c>
      <c r="V403" s="126" t="s">
        <v>291</v>
      </c>
      <c r="W403" s="127"/>
      <c r="X403" s="135">
        <v>45874</v>
      </c>
      <c r="Y403" s="135"/>
      <c r="Z403" s="16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  <c r="AL403" s="87"/>
      <c r="AM403" s="87"/>
      <c r="AN403" s="87"/>
      <c r="AO403" s="54"/>
      <c r="AP403" s="54"/>
      <c r="AQ403" s="54"/>
      <c r="AR403" s="87"/>
      <c r="AS403" s="87"/>
      <c r="AT403" s="87"/>
      <c r="AU403" s="87"/>
      <c r="AV403" s="87"/>
      <c r="AW403" s="87"/>
      <c r="AX403" s="87"/>
      <c r="AY403" s="87"/>
      <c r="AZ403" s="87"/>
      <c r="BA403" s="87"/>
      <c r="BB403" s="87"/>
      <c r="BC403" s="87"/>
      <c r="BD403" s="87"/>
      <c r="BE403" s="87"/>
      <c r="BF403" s="87"/>
      <c r="BG403" s="87"/>
      <c r="BH403" s="87"/>
      <c r="BI403" s="87"/>
      <c r="BJ403" s="87"/>
      <c r="BK403" s="87"/>
      <c r="BL403" s="87"/>
      <c r="BM403" s="87"/>
      <c r="BN403" s="87"/>
      <c r="BO403" s="87"/>
      <c r="BP403" s="87"/>
      <c r="BQ403" s="87"/>
      <c r="BR403" s="87"/>
      <c r="BS403" s="87"/>
      <c r="BT403" s="87"/>
      <c r="BU403" s="87"/>
      <c r="BV403" s="87"/>
      <c r="BW403" s="87"/>
      <c r="BX403" s="87"/>
      <c r="BY403" s="87"/>
      <c r="BZ403" s="87"/>
      <c r="CA403" s="87"/>
      <c r="CB403" s="87"/>
      <c r="CC403" s="87"/>
      <c r="CD403" s="87"/>
      <c r="CE403" s="87"/>
      <c r="CF403" s="87"/>
      <c r="CG403" s="87"/>
      <c r="CH403" s="87"/>
      <c r="CI403" s="87"/>
      <c r="CJ403" s="87"/>
      <c r="CK403" s="87"/>
      <c r="CL403" s="87"/>
      <c r="CM403" s="87"/>
      <c r="CN403" s="87"/>
      <c r="CO403" s="87"/>
      <c r="CP403" s="87"/>
      <c r="CQ403" s="87"/>
      <c r="NN403" s="87"/>
      <c r="NO403" s="135"/>
      <c r="NP403" s="127"/>
      <c r="NQ403" s="87"/>
      <c r="NR403" s="82"/>
      <c r="NS403" s="82"/>
      <c r="NT403" s="102"/>
      <c r="NU403" s="170"/>
      <c r="NV403" s="171"/>
      <c r="NW403" s="170"/>
      <c r="NX403" s="170"/>
      <c r="NY403" s="170"/>
      <c r="NZ403" s="170"/>
      <c r="OA403" s="170"/>
      <c r="OB403" s="170"/>
      <c r="OC403" s="170"/>
      <c r="OD403" s="170"/>
      <c r="OE403" s="170"/>
      <c r="OF403" s="170"/>
      <c r="OG403" s="60"/>
      <c r="OH403" s="87"/>
      <c r="OI403" s="126"/>
      <c r="OJ403" s="127"/>
      <c r="OK403" s="135"/>
      <c r="OL403" s="87"/>
      <c r="OM403" s="167"/>
      <c r="ON403" s="87"/>
      <c r="OO403" s="87"/>
      <c r="OP403" s="87"/>
      <c r="OQ403" s="87"/>
      <c r="OR403" s="87"/>
      <c r="OS403" s="87"/>
      <c r="OT403" s="87"/>
      <c r="OU403" s="87"/>
      <c r="OV403" s="87"/>
      <c r="OW403" s="87"/>
      <c r="OX403" s="87"/>
      <c r="OY403" s="87"/>
      <c r="OZ403" s="87"/>
      <c r="PA403" s="87"/>
      <c r="PB403" s="54"/>
      <c r="PC403" s="54"/>
      <c r="PD403" s="54"/>
      <c r="PE403" s="87"/>
      <c r="PF403" s="87"/>
      <c r="PG403" s="87"/>
      <c r="PH403" s="87"/>
      <c r="PI403" s="87"/>
      <c r="PJ403" s="87"/>
      <c r="PK403" s="87"/>
      <c r="PL403" s="87"/>
      <c r="PM403" s="87"/>
      <c r="PN403" s="87"/>
      <c r="PO403" s="87"/>
      <c r="PP403" s="87"/>
      <c r="PQ403" s="87"/>
      <c r="PR403" s="87"/>
      <c r="PS403" s="87"/>
      <c r="PT403" s="87"/>
      <c r="PU403" s="87"/>
      <c r="PV403" s="87"/>
      <c r="PW403" s="87"/>
      <c r="PX403" s="87"/>
      <c r="PY403" s="87"/>
      <c r="PZ403" s="87"/>
      <c r="QA403" s="87"/>
      <c r="QB403" s="87"/>
      <c r="QC403" s="87"/>
      <c r="QD403" s="87"/>
      <c r="QE403" s="87"/>
      <c r="QF403" s="87"/>
      <c r="QG403" s="87"/>
      <c r="QH403" s="87"/>
      <c r="QI403" s="87"/>
      <c r="QJ403" s="87"/>
      <c r="QK403" s="87"/>
      <c r="QL403" s="87"/>
      <c r="QM403" s="87"/>
      <c r="QN403" s="87"/>
      <c r="QO403" s="87"/>
      <c r="QP403" s="87"/>
      <c r="QQ403" s="87"/>
      <c r="QR403" s="87"/>
      <c r="QS403" s="87"/>
      <c r="QT403" s="87"/>
      <c r="QU403" s="87"/>
      <c r="QV403" s="87"/>
      <c r="QW403" s="87"/>
      <c r="QX403" s="87"/>
      <c r="QY403" s="87"/>
      <c r="QZ403" s="87"/>
      <c r="RA403" s="87"/>
      <c r="RB403" s="87"/>
      <c r="RC403" s="87"/>
      <c r="RD403" s="87"/>
    </row>
    <row r="404" spans="1:472">
      <c r="A404" s="87"/>
      <c r="B404" s="135">
        <v>45848</v>
      </c>
      <c r="C404" s="127">
        <v>45866</v>
      </c>
      <c r="D404" s="87" t="s">
        <v>189</v>
      </c>
      <c r="E404" s="82" t="s">
        <v>219</v>
      </c>
      <c r="F404" s="82" t="s">
        <v>220</v>
      </c>
      <c r="G404" s="102" t="s">
        <v>2456</v>
      </c>
      <c r="H404" s="170">
        <v>9537979805</v>
      </c>
      <c r="I404" s="171" t="s">
        <v>2457</v>
      </c>
      <c r="J404" s="181" t="s">
        <v>2458</v>
      </c>
      <c r="K404" s="170">
        <v>16</v>
      </c>
      <c r="L404" s="170" t="s">
        <v>1226</v>
      </c>
      <c r="M404" s="170" t="s">
        <v>2459</v>
      </c>
      <c r="N404" s="170" t="s">
        <v>1426</v>
      </c>
      <c r="O404" s="170" t="s">
        <v>2460</v>
      </c>
      <c r="P404" s="170" t="s">
        <v>1226</v>
      </c>
      <c r="Q404" s="170" t="s">
        <v>456</v>
      </c>
      <c r="R404" s="170" t="s">
        <v>631</v>
      </c>
      <c r="S404" s="170" t="s">
        <v>2461</v>
      </c>
      <c r="T404" s="102"/>
      <c r="U404" s="87" t="s">
        <v>671</v>
      </c>
      <c r="V404" s="126" t="s">
        <v>1529</v>
      </c>
      <c r="W404" s="127" t="s">
        <v>1260</v>
      </c>
      <c r="X404" s="135">
        <v>45874</v>
      </c>
      <c r="Y404" s="135">
        <v>45875</v>
      </c>
      <c r="Z404" s="167" t="s">
        <v>340</v>
      </c>
      <c r="AA404" s="87"/>
      <c r="AB404" s="87"/>
      <c r="AC404" s="87"/>
      <c r="AD404" s="87"/>
      <c r="AE404" s="87"/>
      <c r="AF404" s="87"/>
      <c r="AG404" s="87"/>
      <c r="AH404" s="87"/>
      <c r="AI404" s="87"/>
      <c r="AJ404" s="87"/>
      <c r="AK404" s="87"/>
      <c r="AL404" s="87"/>
      <c r="AM404" s="87"/>
      <c r="AN404" s="87"/>
      <c r="AO404" s="54"/>
      <c r="AP404" s="54"/>
      <c r="AQ404" s="54"/>
      <c r="AR404" s="87"/>
      <c r="AS404" s="87"/>
      <c r="AT404" s="87"/>
      <c r="AU404" s="87"/>
      <c r="AV404" s="87"/>
      <c r="AW404" s="87"/>
      <c r="AX404" s="87"/>
      <c r="AY404" s="87"/>
      <c r="AZ404" s="87"/>
      <c r="BA404" s="87"/>
      <c r="BB404" s="87"/>
      <c r="BC404" s="87"/>
      <c r="BD404" s="87"/>
      <c r="BE404" s="87"/>
      <c r="BF404" s="87"/>
      <c r="BG404" s="87"/>
      <c r="BH404" s="87"/>
      <c r="BI404" s="87"/>
      <c r="BJ404" s="87"/>
      <c r="BK404" s="87"/>
      <c r="BL404" s="87"/>
      <c r="BM404" s="87"/>
      <c r="BN404" s="87"/>
      <c r="BO404" s="87"/>
      <c r="BP404" s="87"/>
      <c r="BQ404" s="87"/>
      <c r="BR404" s="87"/>
      <c r="BS404" s="87"/>
      <c r="BT404" s="87"/>
      <c r="BU404" s="87"/>
      <c r="BV404" s="87"/>
      <c r="BW404" s="87"/>
      <c r="BX404" s="87"/>
      <c r="BY404" s="87"/>
      <c r="BZ404" s="87"/>
      <c r="CA404" s="87"/>
      <c r="CB404" s="87"/>
      <c r="CC404" s="87"/>
      <c r="CD404" s="87"/>
      <c r="CE404" s="87"/>
      <c r="CF404" s="87"/>
      <c r="CG404" s="87"/>
      <c r="CH404" s="87"/>
      <c r="CI404" s="87"/>
      <c r="CJ404" s="87"/>
      <c r="CK404" s="87"/>
      <c r="CL404" s="87"/>
      <c r="CM404" s="87"/>
      <c r="CN404" s="87"/>
      <c r="CO404" s="87"/>
      <c r="CP404" s="87"/>
      <c r="CQ404" s="87"/>
      <c r="NN404" s="87"/>
      <c r="NO404" s="135"/>
      <c r="NP404" s="127"/>
      <c r="NQ404" s="87"/>
      <c r="NR404" s="82"/>
      <c r="NS404" s="82"/>
      <c r="NT404" s="102"/>
      <c r="NU404" s="170"/>
      <c r="NV404" s="171"/>
      <c r="NW404" s="170"/>
      <c r="NX404" s="170"/>
      <c r="NY404" s="170"/>
      <c r="NZ404" s="170"/>
      <c r="OA404" s="170"/>
      <c r="OB404" s="170"/>
      <c r="OC404" s="170"/>
      <c r="OD404" s="170"/>
      <c r="OE404" s="170"/>
      <c r="OF404" s="170"/>
      <c r="OG404" s="60"/>
      <c r="OH404" s="87"/>
      <c r="OI404" s="126"/>
      <c r="OJ404" s="127"/>
      <c r="OK404" s="135"/>
      <c r="OL404" s="87"/>
      <c r="OM404" s="167"/>
      <c r="ON404" s="87"/>
      <c r="OO404" s="87"/>
      <c r="OP404" s="87"/>
      <c r="OQ404" s="87"/>
      <c r="OR404" s="87"/>
      <c r="OS404" s="87"/>
      <c r="OT404" s="87"/>
      <c r="OU404" s="87"/>
      <c r="OV404" s="87"/>
      <c r="OW404" s="87"/>
      <c r="OX404" s="87"/>
      <c r="OY404" s="87"/>
      <c r="OZ404" s="87"/>
      <c r="PA404" s="87"/>
      <c r="PB404" s="54"/>
      <c r="PC404" s="54"/>
      <c r="PD404" s="54"/>
      <c r="PE404" s="87"/>
      <c r="PF404" s="87"/>
      <c r="PG404" s="87"/>
      <c r="PH404" s="87"/>
      <c r="PI404" s="87"/>
      <c r="PJ404" s="87"/>
      <c r="PK404" s="87"/>
      <c r="PL404" s="87"/>
      <c r="PM404" s="87"/>
      <c r="PN404" s="87"/>
      <c r="PO404" s="87"/>
      <c r="PP404" s="87"/>
      <c r="PQ404" s="87"/>
      <c r="PR404" s="87"/>
      <c r="PS404" s="87"/>
      <c r="PT404" s="87"/>
      <c r="PU404" s="87"/>
      <c r="PV404" s="87"/>
      <c r="PW404" s="87"/>
      <c r="PX404" s="87"/>
      <c r="PY404" s="87"/>
      <c r="PZ404" s="87"/>
      <c r="QA404" s="87"/>
      <c r="QB404" s="87"/>
      <c r="QC404" s="87"/>
      <c r="QD404" s="87"/>
      <c r="QE404" s="87"/>
      <c r="QF404" s="87"/>
      <c r="QG404" s="87"/>
      <c r="QH404" s="87"/>
      <c r="QI404" s="87"/>
      <c r="QJ404" s="87"/>
      <c r="QK404" s="87"/>
      <c r="QL404" s="87"/>
      <c r="QM404" s="87"/>
      <c r="QN404" s="87"/>
      <c r="QO404" s="87"/>
      <c r="QP404" s="87"/>
      <c r="QQ404" s="87"/>
      <c r="QR404" s="87"/>
      <c r="QS404" s="87"/>
      <c r="QT404" s="87"/>
      <c r="QU404" s="87"/>
      <c r="QV404" s="87"/>
      <c r="QW404" s="87"/>
      <c r="QX404" s="87"/>
      <c r="QY404" s="87"/>
      <c r="QZ404" s="87"/>
      <c r="RA404" s="87"/>
      <c r="RB404" s="87"/>
      <c r="RC404" s="87"/>
      <c r="RD404" s="87"/>
    </row>
    <row r="405" spans="1:472">
      <c r="A405" s="87"/>
      <c r="B405" s="135">
        <v>45848</v>
      </c>
      <c r="C405" s="127">
        <v>45867</v>
      </c>
      <c r="D405" s="87" t="s">
        <v>178</v>
      </c>
      <c r="E405" s="82" t="s">
        <v>219</v>
      </c>
      <c r="F405" s="82" t="s">
        <v>220</v>
      </c>
      <c r="G405" s="102" t="s">
        <v>2462</v>
      </c>
      <c r="H405" s="170">
        <v>9117290472</v>
      </c>
      <c r="I405" s="171" t="s">
        <v>2463</v>
      </c>
      <c r="J405" s="170" t="s">
        <v>2464</v>
      </c>
      <c r="K405" s="170">
        <v>7</v>
      </c>
      <c r="L405" s="170">
        <v>7</v>
      </c>
      <c r="M405" s="170" t="s">
        <v>2465</v>
      </c>
      <c r="N405" s="170" t="s">
        <v>2466</v>
      </c>
      <c r="O405" s="170" t="s">
        <v>2467</v>
      </c>
      <c r="P405" s="170" t="s">
        <v>2468</v>
      </c>
      <c r="Q405" s="170" t="s">
        <v>2469</v>
      </c>
      <c r="R405" s="170" t="s">
        <v>837</v>
      </c>
      <c r="S405" s="170" t="s">
        <v>1201</v>
      </c>
      <c r="T405" s="60"/>
      <c r="U405" s="87" t="s">
        <v>1175</v>
      </c>
      <c r="V405" s="126" t="s">
        <v>231</v>
      </c>
      <c r="W405" s="127"/>
      <c r="X405" s="135">
        <v>45868</v>
      </c>
      <c r="Y405" s="135">
        <v>45868</v>
      </c>
      <c r="Z405" s="167" t="s">
        <v>232</v>
      </c>
      <c r="AA405" s="87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  <c r="AL405" s="87"/>
      <c r="AM405" s="87"/>
      <c r="AN405" s="87"/>
      <c r="AO405" s="54"/>
      <c r="AP405" s="54"/>
      <c r="AQ405" s="54"/>
      <c r="AR405" s="87"/>
      <c r="AS405" s="87"/>
      <c r="AT405" s="87"/>
      <c r="AU405" s="87"/>
      <c r="AV405" s="87"/>
      <c r="AW405" s="87"/>
      <c r="AX405" s="87"/>
      <c r="AY405" s="87"/>
      <c r="AZ405" s="87"/>
      <c r="BA405" s="87"/>
      <c r="BB405" s="87"/>
      <c r="BC405" s="87"/>
      <c r="BD405" s="87"/>
      <c r="BE405" s="87"/>
      <c r="BF405" s="87"/>
      <c r="BG405" s="87"/>
      <c r="BH405" s="87"/>
      <c r="BI405" s="87"/>
      <c r="BJ405" s="87"/>
      <c r="BK405" s="87"/>
      <c r="BL405" s="87"/>
      <c r="BM405" s="87"/>
      <c r="BN405" s="87"/>
      <c r="BO405" s="87"/>
      <c r="BP405" s="87"/>
      <c r="BQ405" s="87"/>
      <c r="BR405" s="87"/>
      <c r="BS405" s="87"/>
      <c r="BT405" s="87"/>
      <c r="BU405" s="87"/>
      <c r="BV405" s="87"/>
      <c r="BW405" s="87"/>
      <c r="BX405" s="87"/>
      <c r="BY405" s="87"/>
      <c r="BZ405" s="87"/>
      <c r="CA405" s="87"/>
      <c r="CB405" s="87"/>
      <c r="CC405" s="87"/>
      <c r="CD405" s="87"/>
      <c r="CE405" s="87"/>
      <c r="CF405" s="87"/>
      <c r="CG405" s="87"/>
      <c r="CH405" s="87"/>
      <c r="CI405" s="87"/>
      <c r="CJ405" s="87"/>
      <c r="CK405" s="87"/>
      <c r="CL405" s="87"/>
      <c r="CM405" s="87"/>
      <c r="CN405" s="87"/>
      <c r="CO405" s="87"/>
      <c r="CP405" s="87"/>
      <c r="CQ405" s="87"/>
      <c r="NN405" s="87"/>
      <c r="NO405" s="135"/>
      <c r="NP405" s="127"/>
      <c r="NQ405" s="87"/>
      <c r="NR405" s="82"/>
      <c r="NS405" s="82"/>
      <c r="NT405" s="102"/>
      <c r="NU405" s="170"/>
      <c r="NV405" s="171"/>
      <c r="NW405" s="170"/>
      <c r="NX405" s="170"/>
      <c r="NY405" s="170"/>
      <c r="NZ405" s="170"/>
      <c r="OA405" s="170"/>
      <c r="OB405" s="170"/>
      <c r="OC405" s="170"/>
      <c r="OD405" s="170"/>
      <c r="OE405" s="170"/>
      <c r="OF405" s="170"/>
      <c r="OG405" s="60"/>
      <c r="OH405" s="87"/>
      <c r="OI405" s="126"/>
      <c r="OJ405" s="127"/>
      <c r="OK405" s="135"/>
      <c r="OL405" s="87"/>
      <c r="OM405" s="167"/>
      <c r="ON405" s="87"/>
      <c r="OO405" s="87"/>
      <c r="OP405" s="87"/>
      <c r="OQ405" s="87"/>
      <c r="OR405" s="87"/>
      <c r="OS405" s="87"/>
      <c r="OT405" s="87"/>
      <c r="OU405" s="87"/>
      <c r="OV405" s="87"/>
      <c r="OW405" s="87"/>
      <c r="OX405" s="87"/>
      <c r="OY405" s="87"/>
      <c r="OZ405" s="87"/>
      <c r="PA405" s="87"/>
      <c r="PB405" s="54"/>
      <c r="PC405" s="54"/>
      <c r="PD405" s="54"/>
      <c r="PE405" s="87"/>
      <c r="PF405" s="87"/>
      <c r="PG405" s="87"/>
      <c r="PH405" s="87"/>
      <c r="PI405" s="87"/>
      <c r="PJ405" s="87"/>
      <c r="PK405" s="87"/>
      <c r="PL405" s="87"/>
      <c r="PM405" s="87"/>
      <c r="PN405" s="87"/>
      <c r="PO405" s="87"/>
      <c r="PP405" s="87"/>
      <c r="PQ405" s="87"/>
      <c r="PR405" s="87"/>
      <c r="PS405" s="87"/>
      <c r="PT405" s="87"/>
      <c r="PU405" s="87"/>
      <c r="PV405" s="87"/>
      <c r="PW405" s="87"/>
      <c r="PX405" s="87"/>
      <c r="PY405" s="87"/>
      <c r="PZ405" s="87"/>
      <c r="QA405" s="87"/>
      <c r="QB405" s="87"/>
      <c r="QC405" s="87"/>
      <c r="QD405" s="87"/>
      <c r="QE405" s="87"/>
      <c r="QF405" s="87"/>
      <c r="QG405" s="87"/>
      <c r="QH405" s="87"/>
      <c r="QI405" s="87"/>
      <c r="QJ405" s="87"/>
      <c r="QK405" s="87"/>
      <c r="QL405" s="87"/>
      <c r="QM405" s="87"/>
      <c r="QN405" s="87"/>
      <c r="QO405" s="87"/>
      <c r="QP405" s="87"/>
      <c r="QQ405" s="87"/>
      <c r="QR405" s="87"/>
      <c r="QS405" s="87"/>
      <c r="QT405" s="87"/>
      <c r="QU405" s="87"/>
      <c r="QV405" s="87"/>
      <c r="QW405" s="87"/>
      <c r="QX405" s="87"/>
      <c r="QY405" s="87"/>
      <c r="QZ405" s="87"/>
      <c r="RA405" s="87"/>
      <c r="RB405" s="87"/>
      <c r="RC405" s="87"/>
      <c r="RD405" s="87"/>
    </row>
    <row r="406" spans="1:472">
      <c r="A406" s="87"/>
      <c r="B406" s="135">
        <v>45848</v>
      </c>
      <c r="C406" s="127">
        <v>45867</v>
      </c>
      <c r="D406" s="87" t="s">
        <v>178</v>
      </c>
      <c r="E406" s="82" t="s">
        <v>219</v>
      </c>
      <c r="F406" s="82" t="s">
        <v>220</v>
      </c>
      <c r="G406" s="102" t="s">
        <v>2470</v>
      </c>
      <c r="H406" s="170">
        <v>7905233978</v>
      </c>
      <c r="I406" s="171" t="s">
        <v>2471</v>
      </c>
      <c r="J406" s="170" t="s">
        <v>2464</v>
      </c>
      <c r="K406" s="170">
        <v>3.11</v>
      </c>
      <c r="L406" s="170">
        <v>3.11</v>
      </c>
      <c r="M406" s="170" t="s">
        <v>2472</v>
      </c>
      <c r="N406" s="170" t="s">
        <v>425</v>
      </c>
      <c r="O406" s="170" t="s">
        <v>2467</v>
      </c>
      <c r="P406" s="170" t="s">
        <v>2121</v>
      </c>
      <c r="Q406" s="170" t="s">
        <v>2473</v>
      </c>
      <c r="R406" s="170" t="s">
        <v>2474</v>
      </c>
      <c r="S406" s="170" t="s">
        <v>1201</v>
      </c>
      <c r="T406" s="60"/>
      <c r="U406" s="87" t="s">
        <v>1175</v>
      </c>
      <c r="V406" s="126" t="s">
        <v>291</v>
      </c>
      <c r="W406" s="127"/>
      <c r="X406" s="135">
        <v>45868</v>
      </c>
      <c r="Y406" s="135"/>
      <c r="Z406" s="167"/>
      <c r="AA406" s="87"/>
      <c r="AB406" s="87"/>
      <c r="AC406" s="87"/>
      <c r="AD406" s="87"/>
      <c r="AE406" s="87"/>
      <c r="AF406" s="87"/>
      <c r="AG406" s="87"/>
      <c r="AH406" s="87"/>
      <c r="AI406" s="87"/>
      <c r="AJ406" s="87"/>
      <c r="AK406" s="87"/>
      <c r="AL406" s="87"/>
      <c r="AM406" s="87"/>
      <c r="AN406" s="87"/>
      <c r="AO406" s="54"/>
      <c r="AP406" s="54"/>
      <c r="AQ406" s="54"/>
      <c r="AR406" s="87"/>
      <c r="AS406" s="87"/>
      <c r="AT406" s="87"/>
      <c r="AU406" s="87"/>
      <c r="AV406" s="87"/>
      <c r="AW406" s="87"/>
      <c r="AX406" s="87"/>
      <c r="AY406" s="87"/>
      <c r="AZ406" s="87"/>
      <c r="BA406" s="87"/>
      <c r="BB406" s="87"/>
      <c r="BC406" s="87"/>
      <c r="BD406" s="87"/>
      <c r="BE406" s="87"/>
      <c r="BF406" s="87"/>
      <c r="BG406" s="87"/>
      <c r="BH406" s="87"/>
      <c r="BI406" s="87"/>
      <c r="BJ406" s="87"/>
      <c r="BK406" s="87"/>
      <c r="BL406" s="87"/>
      <c r="BM406" s="87"/>
      <c r="BN406" s="87"/>
      <c r="BO406" s="87"/>
      <c r="BP406" s="87"/>
      <c r="BQ406" s="87"/>
      <c r="BR406" s="87"/>
      <c r="BS406" s="87"/>
      <c r="BT406" s="87"/>
      <c r="BU406" s="87"/>
      <c r="BV406" s="87"/>
      <c r="BW406" s="87"/>
      <c r="BX406" s="87"/>
      <c r="BY406" s="87"/>
      <c r="BZ406" s="87"/>
      <c r="CA406" s="87"/>
      <c r="CB406" s="87"/>
      <c r="CC406" s="87"/>
      <c r="CD406" s="87"/>
      <c r="CE406" s="87"/>
      <c r="CF406" s="87"/>
      <c r="CG406" s="87"/>
      <c r="CH406" s="87"/>
      <c r="CI406" s="87"/>
      <c r="CJ406" s="87"/>
      <c r="CK406" s="87"/>
      <c r="CL406" s="87"/>
      <c r="CM406" s="87"/>
      <c r="CN406" s="87"/>
      <c r="CO406" s="87"/>
      <c r="CP406" s="87"/>
      <c r="CQ406" s="87"/>
      <c r="NN406" s="87"/>
      <c r="NO406" s="135"/>
      <c r="NP406" s="127"/>
      <c r="NQ406" s="87"/>
      <c r="NR406" s="82"/>
      <c r="NS406" s="82"/>
      <c r="NT406" s="102"/>
      <c r="NU406" s="170"/>
      <c r="NV406" s="171"/>
      <c r="NW406" s="170"/>
      <c r="NX406" s="170"/>
      <c r="NY406" s="170"/>
      <c r="NZ406" s="170"/>
      <c r="OA406" s="170"/>
      <c r="OB406" s="170"/>
      <c r="OC406" s="170"/>
      <c r="OD406" s="170"/>
      <c r="OE406" s="170"/>
      <c r="OF406" s="170"/>
      <c r="OG406" s="60"/>
      <c r="OH406" s="87"/>
      <c r="OI406" s="126"/>
      <c r="OJ406" s="127"/>
      <c r="OK406" s="135"/>
      <c r="OL406" s="87"/>
      <c r="OM406" s="167"/>
      <c r="ON406" s="87"/>
      <c r="OO406" s="87"/>
      <c r="OP406" s="87"/>
      <c r="OQ406" s="87"/>
      <c r="OR406" s="87"/>
      <c r="OS406" s="87"/>
      <c r="OT406" s="87"/>
      <c r="OU406" s="87"/>
      <c r="OV406" s="87"/>
      <c r="OW406" s="87"/>
      <c r="OX406" s="87"/>
      <c r="OY406" s="87"/>
      <c r="OZ406" s="87"/>
      <c r="PA406" s="87"/>
      <c r="PB406" s="54"/>
      <c r="PC406" s="54"/>
      <c r="PD406" s="54"/>
      <c r="PE406" s="87"/>
      <c r="PF406" s="87"/>
      <c r="PG406" s="87"/>
      <c r="PH406" s="87"/>
      <c r="PI406" s="87"/>
      <c r="PJ406" s="87"/>
      <c r="PK406" s="87"/>
      <c r="PL406" s="87"/>
      <c r="PM406" s="87"/>
      <c r="PN406" s="87"/>
      <c r="PO406" s="87"/>
      <c r="PP406" s="87"/>
      <c r="PQ406" s="87"/>
      <c r="PR406" s="87"/>
      <c r="PS406" s="87"/>
      <c r="PT406" s="87"/>
      <c r="PU406" s="87"/>
      <c r="PV406" s="87"/>
      <c r="PW406" s="87"/>
      <c r="PX406" s="87"/>
      <c r="PY406" s="87"/>
      <c r="PZ406" s="87"/>
      <c r="QA406" s="87"/>
      <c r="QB406" s="87"/>
      <c r="QC406" s="87"/>
      <c r="QD406" s="87"/>
      <c r="QE406" s="87"/>
      <c r="QF406" s="87"/>
      <c r="QG406" s="87"/>
      <c r="QH406" s="87"/>
      <c r="QI406" s="87"/>
      <c r="QJ406" s="87"/>
      <c r="QK406" s="87"/>
      <c r="QL406" s="87"/>
      <c r="QM406" s="87"/>
      <c r="QN406" s="87"/>
      <c r="QO406" s="87"/>
      <c r="QP406" s="87"/>
      <c r="QQ406" s="87"/>
      <c r="QR406" s="87"/>
      <c r="QS406" s="87"/>
      <c r="QT406" s="87"/>
      <c r="QU406" s="87"/>
      <c r="QV406" s="87"/>
      <c r="QW406" s="87"/>
      <c r="QX406" s="87"/>
      <c r="QY406" s="87"/>
      <c r="QZ406" s="87"/>
      <c r="RA406" s="87"/>
      <c r="RB406" s="87"/>
      <c r="RC406" s="87"/>
      <c r="RD406" s="87"/>
    </row>
    <row r="407" spans="1:472">
      <c r="A407" s="87"/>
      <c r="B407" s="135">
        <v>45848</v>
      </c>
      <c r="C407" s="127">
        <v>45867</v>
      </c>
      <c r="D407" s="87" t="s">
        <v>178</v>
      </c>
      <c r="E407" s="82" t="s">
        <v>219</v>
      </c>
      <c r="F407" s="82" t="s">
        <v>220</v>
      </c>
      <c r="G407" s="102" t="s">
        <v>2475</v>
      </c>
      <c r="H407" s="170" t="s">
        <v>2476</v>
      </c>
      <c r="I407" s="171" t="s">
        <v>2477</v>
      </c>
      <c r="J407" s="170" t="s">
        <v>2464</v>
      </c>
      <c r="K407" s="170">
        <v>9.3000000000000007</v>
      </c>
      <c r="L407" s="170">
        <v>8</v>
      </c>
      <c r="M407" s="170" t="s">
        <v>2478</v>
      </c>
      <c r="N407" s="170" t="s">
        <v>425</v>
      </c>
      <c r="O407" s="170" t="s">
        <v>2125</v>
      </c>
      <c r="P407" s="170" t="s">
        <v>770</v>
      </c>
      <c r="Q407" s="170" t="s">
        <v>2479</v>
      </c>
      <c r="R407" s="170" t="s">
        <v>228</v>
      </c>
      <c r="S407" s="170" t="s">
        <v>1201</v>
      </c>
      <c r="T407" s="60"/>
      <c r="U407" s="87" t="s">
        <v>1175</v>
      </c>
      <c r="V407" s="126" t="s">
        <v>2318</v>
      </c>
      <c r="W407" s="127" t="s">
        <v>143</v>
      </c>
      <c r="X407" s="135">
        <v>45868</v>
      </c>
      <c r="Y407" s="135">
        <v>45868</v>
      </c>
      <c r="Z407" s="167" t="s">
        <v>340</v>
      </c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  <c r="AL407" s="87"/>
      <c r="AM407" s="87"/>
      <c r="AN407" s="87"/>
      <c r="AO407" s="54"/>
      <c r="AP407" s="54"/>
      <c r="AQ407" s="54"/>
      <c r="AR407" s="87"/>
      <c r="AS407" s="87"/>
      <c r="AT407" s="87"/>
      <c r="AU407" s="87"/>
      <c r="AV407" s="87"/>
      <c r="AW407" s="87"/>
      <c r="AX407" s="87"/>
      <c r="AY407" s="87"/>
      <c r="AZ407" s="87"/>
      <c r="BA407" s="87"/>
      <c r="BB407" s="87"/>
      <c r="BC407" s="87"/>
      <c r="BD407" s="87"/>
      <c r="BE407" s="87"/>
      <c r="BF407" s="87"/>
      <c r="BG407" s="87"/>
      <c r="BH407" s="87"/>
      <c r="BI407" s="87"/>
      <c r="BJ407" s="87"/>
      <c r="BK407" s="87"/>
      <c r="BL407" s="87"/>
      <c r="BM407" s="87"/>
      <c r="BN407" s="87"/>
      <c r="BO407" s="87"/>
      <c r="BP407" s="87"/>
      <c r="BQ407" s="87"/>
      <c r="BR407" s="87"/>
      <c r="BS407" s="87"/>
      <c r="BT407" s="87"/>
      <c r="BU407" s="87"/>
      <c r="BV407" s="87"/>
      <c r="BW407" s="87"/>
      <c r="BX407" s="87"/>
      <c r="BY407" s="87"/>
      <c r="BZ407" s="87"/>
      <c r="CA407" s="87"/>
      <c r="CB407" s="87"/>
      <c r="CC407" s="87"/>
      <c r="CD407" s="87"/>
      <c r="CE407" s="87"/>
      <c r="CF407" s="87"/>
      <c r="CG407" s="87"/>
      <c r="CH407" s="87"/>
      <c r="CI407" s="87"/>
      <c r="CJ407" s="87"/>
      <c r="CK407" s="87"/>
      <c r="CL407" s="87"/>
      <c r="CM407" s="87"/>
      <c r="CN407" s="87"/>
      <c r="CO407" s="87"/>
      <c r="CP407" s="87"/>
      <c r="CQ407" s="87"/>
      <c r="NN407" s="87"/>
      <c r="NO407" s="135"/>
      <c r="NP407" s="127"/>
      <c r="NQ407" s="87"/>
      <c r="NR407" s="82"/>
      <c r="NS407" s="82"/>
      <c r="NT407" s="102"/>
      <c r="NU407" s="170"/>
      <c r="NV407" s="171"/>
      <c r="NW407" s="170"/>
      <c r="NX407" s="170"/>
      <c r="NY407" s="170"/>
      <c r="NZ407" s="170"/>
      <c r="OA407" s="170"/>
      <c r="OB407" s="170"/>
      <c r="OC407" s="170"/>
      <c r="OD407" s="170"/>
      <c r="OE407" s="170"/>
      <c r="OF407" s="170"/>
      <c r="OG407" s="60"/>
      <c r="OH407" s="87"/>
      <c r="OI407" s="126"/>
      <c r="OJ407" s="127"/>
      <c r="OK407" s="135"/>
      <c r="OL407" s="87"/>
      <c r="OM407" s="167"/>
      <c r="ON407" s="87"/>
      <c r="OO407" s="87"/>
      <c r="OP407" s="87"/>
      <c r="OQ407" s="87"/>
      <c r="OR407" s="87"/>
      <c r="OS407" s="87"/>
      <c r="OT407" s="87"/>
      <c r="OU407" s="87"/>
      <c r="OV407" s="87"/>
      <c r="OW407" s="87"/>
      <c r="OX407" s="87"/>
      <c r="OY407" s="87"/>
      <c r="OZ407" s="87"/>
      <c r="PA407" s="87"/>
      <c r="PB407" s="54"/>
      <c r="PC407" s="54"/>
      <c r="PD407" s="54"/>
      <c r="PE407" s="87"/>
      <c r="PF407" s="87"/>
      <c r="PG407" s="87"/>
      <c r="PH407" s="87"/>
      <c r="PI407" s="87"/>
      <c r="PJ407" s="87"/>
      <c r="PK407" s="87"/>
      <c r="PL407" s="87"/>
      <c r="PM407" s="87"/>
      <c r="PN407" s="87"/>
      <c r="PO407" s="87"/>
      <c r="PP407" s="87"/>
      <c r="PQ407" s="87"/>
      <c r="PR407" s="87"/>
      <c r="PS407" s="87"/>
      <c r="PT407" s="87"/>
      <c r="PU407" s="87"/>
      <c r="PV407" s="87"/>
      <c r="PW407" s="87"/>
      <c r="PX407" s="87"/>
      <c r="PY407" s="87"/>
      <c r="PZ407" s="87"/>
      <c r="QA407" s="87"/>
      <c r="QB407" s="87"/>
      <c r="QC407" s="87"/>
      <c r="QD407" s="87"/>
      <c r="QE407" s="87"/>
      <c r="QF407" s="87"/>
      <c r="QG407" s="87"/>
      <c r="QH407" s="87"/>
      <c r="QI407" s="87"/>
      <c r="QJ407" s="87"/>
      <c r="QK407" s="87"/>
      <c r="QL407" s="87"/>
      <c r="QM407" s="87"/>
      <c r="QN407" s="87"/>
      <c r="QO407" s="87"/>
      <c r="QP407" s="87"/>
      <c r="QQ407" s="87"/>
      <c r="QR407" s="87"/>
      <c r="QS407" s="87"/>
      <c r="QT407" s="87"/>
      <c r="QU407" s="87"/>
      <c r="QV407" s="87"/>
      <c r="QW407" s="87"/>
      <c r="QX407" s="87"/>
      <c r="QY407" s="87"/>
      <c r="QZ407" s="87"/>
      <c r="RA407" s="87"/>
      <c r="RB407" s="87"/>
      <c r="RC407" s="87"/>
      <c r="RD407" s="87"/>
    </row>
    <row r="408" spans="1:472">
      <c r="A408" s="87"/>
      <c r="B408" s="135">
        <v>45848</v>
      </c>
      <c r="C408" s="127">
        <v>45867</v>
      </c>
      <c r="D408" s="87" t="s">
        <v>168</v>
      </c>
      <c r="E408" s="82" t="s">
        <v>219</v>
      </c>
      <c r="F408" s="82" t="s">
        <v>220</v>
      </c>
      <c r="G408" s="102" t="s">
        <v>2480</v>
      </c>
      <c r="H408" s="170">
        <v>8796709215</v>
      </c>
      <c r="I408" s="171" t="s">
        <v>2481</v>
      </c>
      <c r="J408" s="170" t="s">
        <v>2343</v>
      </c>
      <c r="K408" s="170">
        <v>4</v>
      </c>
      <c r="L408" s="170">
        <v>4</v>
      </c>
      <c r="M408" s="170" t="s">
        <v>2482</v>
      </c>
      <c r="N408" s="170" t="s">
        <v>425</v>
      </c>
      <c r="O408" s="170" t="s">
        <v>2015</v>
      </c>
      <c r="P408" s="170" t="s">
        <v>770</v>
      </c>
      <c r="Q408" s="170" t="s">
        <v>558</v>
      </c>
      <c r="R408" s="170" t="s">
        <v>2340</v>
      </c>
      <c r="S408" s="170" t="s">
        <v>1201</v>
      </c>
      <c r="T408" s="60"/>
      <c r="U408" s="87" t="s">
        <v>1175</v>
      </c>
      <c r="V408" s="126" t="s">
        <v>2318</v>
      </c>
      <c r="W408" s="127" t="s">
        <v>143</v>
      </c>
      <c r="X408" s="135">
        <v>45868</v>
      </c>
      <c r="Y408" s="135">
        <v>45868</v>
      </c>
      <c r="Z408" s="167" t="s">
        <v>340</v>
      </c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  <c r="AL408" s="87"/>
      <c r="AM408" s="87"/>
      <c r="AN408" s="87"/>
      <c r="AO408" s="54"/>
      <c r="AP408" s="54"/>
      <c r="AQ408" s="54"/>
      <c r="AR408" s="87"/>
      <c r="AS408" s="87"/>
      <c r="AT408" s="87"/>
      <c r="AU408" s="87"/>
      <c r="AV408" s="87"/>
      <c r="AW408" s="87"/>
      <c r="AX408" s="87"/>
      <c r="AY408" s="87"/>
      <c r="AZ408" s="87"/>
      <c r="BA408" s="87"/>
      <c r="BB408" s="87"/>
      <c r="BC408" s="87"/>
      <c r="BD408" s="87"/>
      <c r="BE408" s="87"/>
      <c r="BF408" s="87"/>
      <c r="BG408" s="87"/>
      <c r="BH408" s="87"/>
      <c r="BI408" s="87"/>
      <c r="BJ408" s="87"/>
      <c r="BK408" s="87"/>
      <c r="BL408" s="87"/>
      <c r="BM408" s="87"/>
      <c r="BN408" s="87"/>
      <c r="BO408" s="87"/>
      <c r="BP408" s="87"/>
      <c r="BQ408" s="87"/>
      <c r="BR408" s="87"/>
      <c r="BS408" s="87"/>
      <c r="BT408" s="87"/>
      <c r="BU408" s="87"/>
      <c r="BV408" s="87"/>
      <c r="BW408" s="87"/>
      <c r="BX408" s="87"/>
      <c r="BY408" s="87"/>
      <c r="BZ408" s="87"/>
      <c r="CA408" s="87"/>
      <c r="CB408" s="87"/>
      <c r="CC408" s="87"/>
      <c r="CD408" s="87"/>
      <c r="CE408" s="87"/>
      <c r="CF408" s="87"/>
      <c r="CG408" s="87"/>
      <c r="CH408" s="87"/>
      <c r="CI408" s="87"/>
      <c r="CJ408" s="87"/>
      <c r="CK408" s="87"/>
      <c r="CL408" s="87"/>
      <c r="CM408" s="87"/>
      <c r="CN408" s="87"/>
      <c r="CO408" s="87"/>
      <c r="CP408" s="87"/>
      <c r="CQ408" s="87"/>
      <c r="NN408" s="87"/>
      <c r="NO408" s="135"/>
      <c r="NP408" s="127"/>
      <c r="NQ408" s="87"/>
      <c r="NR408" s="82"/>
      <c r="NS408" s="82"/>
      <c r="NT408" s="102"/>
      <c r="NU408" s="170"/>
      <c r="NV408" s="171"/>
      <c r="NW408" s="170"/>
      <c r="NX408" s="170"/>
      <c r="NY408" s="170"/>
      <c r="NZ408" s="170"/>
      <c r="OA408" s="170"/>
      <c r="OB408" s="170"/>
      <c r="OC408" s="170"/>
      <c r="OD408" s="170"/>
      <c r="OE408" s="170"/>
      <c r="OF408" s="170"/>
      <c r="OG408" s="60"/>
      <c r="OH408" s="87"/>
      <c r="OI408" s="126"/>
      <c r="OJ408" s="127"/>
      <c r="OK408" s="135"/>
      <c r="OL408" s="87"/>
      <c r="OM408" s="167"/>
      <c r="ON408" s="87"/>
      <c r="OO408" s="87"/>
      <c r="OP408" s="87"/>
      <c r="OQ408" s="87"/>
      <c r="OR408" s="87"/>
      <c r="OS408" s="87"/>
      <c r="OT408" s="87"/>
      <c r="OU408" s="87"/>
      <c r="OV408" s="87"/>
      <c r="OW408" s="87"/>
      <c r="OX408" s="87"/>
      <c r="OY408" s="87"/>
      <c r="OZ408" s="87"/>
      <c r="PA408" s="87"/>
      <c r="PB408" s="54"/>
      <c r="PC408" s="54"/>
      <c r="PD408" s="54"/>
      <c r="PE408" s="87"/>
      <c r="PF408" s="87"/>
      <c r="PG408" s="87"/>
      <c r="PH408" s="87"/>
      <c r="PI408" s="87"/>
      <c r="PJ408" s="87"/>
      <c r="PK408" s="87"/>
      <c r="PL408" s="87"/>
      <c r="PM408" s="87"/>
      <c r="PN408" s="87"/>
      <c r="PO408" s="87"/>
      <c r="PP408" s="87"/>
      <c r="PQ408" s="87"/>
      <c r="PR408" s="87"/>
      <c r="PS408" s="87"/>
      <c r="PT408" s="87"/>
      <c r="PU408" s="87"/>
      <c r="PV408" s="87"/>
      <c r="PW408" s="87"/>
      <c r="PX408" s="87"/>
      <c r="PY408" s="87"/>
      <c r="PZ408" s="87"/>
      <c r="QA408" s="87"/>
      <c r="QB408" s="87"/>
      <c r="QC408" s="87"/>
      <c r="QD408" s="87"/>
      <c r="QE408" s="87"/>
      <c r="QF408" s="87"/>
      <c r="QG408" s="87"/>
      <c r="QH408" s="87"/>
      <c r="QI408" s="87"/>
      <c r="QJ408" s="87"/>
      <c r="QK408" s="87"/>
      <c r="QL408" s="87"/>
      <c r="QM408" s="87"/>
      <c r="QN408" s="87"/>
      <c r="QO408" s="87"/>
      <c r="QP408" s="87"/>
      <c r="QQ408" s="87"/>
      <c r="QR408" s="87"/>
      <c r="QS408" s="87"/>
      <c r="QT408" s="87"/>
      <c r="QU408" s="87"/>
      <c r="QV408" s="87"/>
      <c r="QW408" s="87"/>
      <c r="QX408" s="87"/>
      <c r="QY408" s="87"/>
      <c r="QZ408" s="87"/>
      <c r="RA408" s="87"/>
      <c r="RB408" s="87"/>
      <c r="RC408" s="87"/>
      <c r="RD408" s="87"/>
    </row>
    <row r="409" spans="1:472">
      <c r="A409" s="87"/>
      <c r="B409" s="135">
        <v>45848</v>
      </c>
      <c r="C409" s="127">
        <v>45867</v>
      </c>
      <c r="D409" s="87" t="s">
        <v>178</v>
      </c>
      <c r="E409" s="82" t="s">
        <v>219</v>
      </c>
      <c r="F409" s="82" t="s">
        <v>220</v>
      </c>
      <c r="G409" s="102" t="s">
        <v>2483</v>
      </c>
      <c r="H409" s="170">
        <v>9564496180</v>
      </c>
      <c r="I409" s="171" t="s">
        <v>2484</v>
      </c>
      <c r="J409" s="170" t="s">
        <v>2464</v>
      </c>
      <c r="K409" s="170" t="s">
        <v>2327</v>
      </c>
      <c r="L409" s="170" t="s">
        <v>2327</v>
      </c>
      <c r="M409" s="170" t="s">
        <v>2485</v>
      </c>
      <c r="N409" s="170" t="s">
        <v>425</v>
      </c>
      <c r="O409" s="170" t="s">
        <v>2486</v>
      </c>
      <c r="P409" s="170" t="s">
        <v>2121</v>
      </c>
      <c r="Q409" s="170" t="s">
        <v>2487</v>
      </c>
      <c r="R409" s="170" t="s">
        <v>66</v>
      </c>
      <c r="S409" s="170" t="s">
        <v>1201</v>
      </c>
      <c r="T409" s="60"/>
      <c r="U409" s="87" t="s">
        <v>1175</v>
      </c>
      <c r="V409" s="126" t="s">
        <v>291</v>
      </c>
      <c r="W409" s="127"/>
      <c r="X409" s="135">
        <v>45868</v>
      </c>
      <c r="Y409" s="135"/>
      <c r="Z409" s="167"/>
      <c r="AA409" s="87"/>
      <c r="AB409" s="87"/>
      <c r="AC409" s="87"/>
      <c r="AD409" s="87"/>
      <c r="AE409" s="87"/>
      <c r="AF409" s="87"/>
      <c r="AG409" s="87"/>
      <c r="AH409" s="87"/>
      <c r="AI409" s="87"/>
      <c r="AJ409" s="87"/>
      <c r="AK409" s="87"/>
      <c r="AL409" s="87"/>
      <c r="AM409" s="87"/>
      <c r="AN409" s="87"/>
      <c r="AO409" s="54"/>
      <c r="AP409" s="54"/>
      <c r="AQ409" s="54"/>
      <c r="AR409" s="87"/>
      <c r="AS409" s="87"/>
      <c r="AT409" s="87"/>
      <c r="AU409" s="87"/>
      <c r="AV409" s="87"/>
      <c r="AW409" s="87"/>
      <c r="AX409" s="87"/>
      <c r="AY409" s="87"/>
      <c r="AZ409" s="87"/>
      <c r="BA409" s="87"/>
      <c r="BB409" s="87"/>
      <c r="BC409" s="87"/>
      <c r="BD409" s="87"/>
      <c r="BE409" s="87"/>
      <c r="BF409" s="87"/>
      <c r="BG409" s="87"/>
      <c r="BH409" s="87"/>
      <c r="BI409" s="87"/>
      <c r="BJ409" s="87"/>
      <c r="BK409" s="87"/>
      <c r="BL409" s="87"/>
      <c r="BM409" s="87"/>
      <c r="BN409" s="87"/>
      <c r="BO409" s="87"/>
      <c r="BP409" s="87"/>
      <c r="BQ409" s="87"/>
      <c r="BR409" s="87"/>
      <c r="BS409" s="87"/>
      <c r="BT409" s="87"/>
      <c r="BU409" s="87"/>
      <c r="BV409" s="87"/>
      <c r="BW409" s="87"/>
      <c r="BX409" s="87"/>
      <c r="BY409" s="87"/>
      <c r="BZ409" s="87"/>
      <c r="CA409" s="87"/>
      <c r="CB409" s="87"/>
      <c r="CC409" s="87"/>
      <c r="CD409" s="87"/>
      <c r="CE409" s="87"/>
      <c r="CF409" s="87"/>
      <c r="CG409" s="87"/>
      <c r="CH409" s="87"/>
      <c r="CI409" s="87"/>
      <c r="CJ409" s="87"/>
      <c r="CK409" s="87"/>
      <c r="CL409" s="87"/>
      <c r="CM409" s="87"/>
      <c r="CN409" s="87"/>
      <c r="CO409" s="87"/>
      <c r="CP409" s="87"/>
      <c r="CQ409" s="87"/>
      <c r="NN409" s="87"/>
      <c r="NO409" s="135"/>
      <c r="NP409" s="127"/>
      <c r="NQ409" s="87"/>
      <c r="NR409" s="82"/>
      <c r="NS409" s="82"/>
      <c r="NT409" s="102"/>
      <c r="NU409" s="170"/>
      <c r="NV409" s="171"/>
      <c r="NW409" s="170"/>
      <c r="NX409" s="170"/>
      <c r="NY409" s="170"/>
      <c r="NZ409" s="170"/>
      <c r="OA409" s="170"/>
      <c r="OB409" s="170"/>
      <c r="OC409" s="170"/>
      <c r="OD409" s="170"/>
      <c r="OE409" s="170"/>
      <c r="OF409" s="170"/>
      <c r="OG409" s="60"/>
      <c r="OH409" s="87"/>
      <c r="OI409" s="126"/>
      <c r="OJ409" s="127"/>
      <c r="OK409" s="135"/>
      <c r="OL409" s="87"/>
      <c r="OM409" s="167"/>
      <c r="ON409" s="87"/>
      <c r="OO409" s="87"/>
      <c r="OP409" s="87"/>
      <c r="OQ409" s="87"/>
      <c r="OR409" s="87"/>
      <c r="OS409" s="87"/>
      <c r="OT409" s="87"/>
      <c r="OU409" s="87"/>
      <c r="OV409" s="87"/>
      <c r="OW409" s="87"/>
      <c r="OX409" s="87"/>
      <c r="OY409" s="87"/>
      <c r="OZ409" s="87"/>
      <c r="PA409" s="87"/>
      <c r="PB409" s="54"/>
      <c r="PC409" s="54"/>
      <c r="PD409" s="54"/>
      <c r="PE409" s="87"/>
      <c r="PF409" s="87"/>
      <c r="PG409" s="87"/>
      <c r="PH409" s="87"/>
      <c r="PI409" s="87"/>
      <c r="PJ409" s="87"/>
      <c r="PK409" s="87"/>
      <c r="PL409" s="87"/>
      <c r="PM409" s="87"/>
      <c r="PN409" s="87"/>
      <c r="PO409" s="87"/>
      <c r="PP409" s="87"/>
      <c r="PQ409" s="87"/>
      <c r="PR409" s="87"/>
      <c r="PS409" s="87"/>
      <c r="PT409" s="87"/>
      <c r="PU409" s="87"/>
      <c r="PV409" s="87"/>
      <c r="PW409" s="87"/>
      <c r="PX409" s="87"/>
      <c r="PY409" s="87"/>
      <c r="PZ409" s="87"/>
      <c r="QA409" s="87"/>
      <c r="QB409" s="87"/>
      <c r="QC409" s="87"/>
      <c r="QD409" s="87"/>
      <c r="QE409" s="87"/>
      <c r="QF409" s="87"/>
      <c r="QG409" s="87"/>
      <c r="QH409" s="87"/>
      <c r="QI409" s="87"/>
      <c r="QJ409" s="87"/>
      <c r="QK409" s="87"/>
      <c r="QL409" s="87"/>
      <c r="QM409" s="87"/>
      <c r="QN409" s="87"/>
      <c r="QO409" s="87"/>
      <c r="QP409" s="87"/>
      <c r="QQ409" s="87"/>
      <c r="QR409" s="87"/>
      <c r="QS409" s="87"/>
      <c r="QT409" s="87"/>
      <c r="QU409" s="87"/>
      <c r="QV409" s="87"/>
      <c r="QW409" s="87"/>
      <c r="QX409" s="87"/>
      <c r="QY409" s="87"/>
      <c r="QZ409" s="87"/>
      <c r="RA409" s="87"/>
      <c r="RB409" s="87"/>
      <c r="RC409" s="87"/>
      <c r="RD409" s="87"/>
    </row>
    <row r="410" spans="1:472">
      <c r="A410" s="87"/>
      <c r="B410" s="135">
        <v>45848</v>
      </c>
      <c r="C410" s="127">
        <v>45867</v>
      </c>
      <c r="D410" s="87" t="s">
        <v>178</v>
      </c>
      <c r="E410" s="82" t="s">
        <v>219</v>
      </c>
      <c r="F410" s="82" t="s">
        <v>220</v>
      </c>
      <c r="G410" s="102" t="s">
        <v>2488</v>
      </c>
      <c r="H410" s="170">
        <v>8108015324</v>
      </c>
      <c r="I410" s="171" t="s">
        <v>2489</v>
      </c>
      <c r="J410" s="214" t="s">
        <v>2464</v>
      </c>
      <c r="K410" s="170">
        <v>12</v>
      </c>
      <c r="L410" s="170">
        <v>12</v>
      </c>
      <c r="M410" s="170" t="s">
        <v>1845</v>
      </c>
      <c r="N410" s="170" t="s">
        <v>2490</v>
      </c>
      <c r="O410" s="170" t="s">
        <v>2491</v>
      </c>
      <c r="P410" s="170" t="s">
        <v>106</v>
      </c>
      <c r="Q410" s="170" t="s">
        <v>2492</v>
      </c>
      <c r="R410" s="170" t="s">
        <v>2493</v>
      </c>
      <c r="S410" s="170" t="s">
        <v>1201</v>
      </c>
      <c r="T410" s="181"/>
      <c r="U410" s="87" t="s">
        <v>1175</v>
      </c>
      <c r="V410" s="126" t="s">
        <v>291</v>
      </c>
      <c r="W410" s="127"/>
      <c r="X410" s="135">
        <v>45868</v>
      </c>
      <c r="Y410" s="135"/>
      <c r="Z410" s="16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  <c r="AL410" s="87"/>
      <c r="AM410" s="87"/>
      <c r="AN410" s="87"/>
      <c r="AO410" s="54"/>
      <c r="AP410" s="54"/>
      <c r="AQ410" s="54"/>
      <c r="AR410" s="87"/>
      <c r="AS410" s="87"/>
      <c r="AT410" s="87"/>
      <c r="AU410" s="87"/>
      <c r="AV410" s="87"/>
      <c r="AW410" s="87"/>
      <c r="AX410" s="87"/>
      <c r="AY410" s="87"/>
      <c r="AZ410" s="87"/>
      <c r="BA410" s="87"/>
      <c r="BB410" s="87"/>
      <c r="BC410" s="87"/>
      <c r="BD410" s="87"/>
      <c r="BE410" s="87"/>
      <c r="BF410" s="87"/>
      <c r="BG410" s="87"/>
      <c r="BH410" s="87"/>
      <c r="BI410" s="87"/>
      <c r="BJ410" s="87"/>
      <c r="BK410" s="87"/>
      <c r="BL410" s="87"/>
      <c r="BM410" s="87"/>
      <c r="BN410" s="87"/>
      <c r="BO410" s="87"/>
      <c r="BP410" s="87"/>
      <c r="BQ410" s="87"/>
      <c r="BR410" s="87"/>
      <c r="BS410" s="87"/>
      <c r="BT410" s="87"/>
      <c r="BU410" s="87"/>
      <c r="BV410" s="87"/>
      <c r="BW410" s="87"/>
      <c r="BX410" s="87"/>
      <c r="BY410" s="87"/>
      <c r="BZ410" s="87"/>
      <c r="CA410" s="87"/>
      <c r="CB410" s="87"/>
      <c r="CC410" s="87"/>
      <c r="CD410" s="87"/>
      <c r="CE410" s="87"/>
      <c r="CF410" s="87"/>
      <c r="CG410" s="87"/>
      <c r="CH410" s="87"/>
      <c r="CI410" s="87"/>
      <c r="CJ410" s="87"/>
      <c r="CK410" s="87"/>
      <c r="CL410" s="87"/>
      <c r="CM410" s="87"/>
      <c r="CN410" s="87"/>
      <c r="CO410" s="87"/>
      <c r="CP410" s="87"/>
      <c r="CQ410" s="87"/>
      <c r="NN410" s="87"/>
      <c r="NO410" s="135"/>
      <c r="NP410" s="127"/>
      <c r="NQ410" s="87"/>
      <c r="NR410" s="82"/>
      <c r="NS410" s="82"/>
      <c r="NT410" s="102"/>
      <c r="NU410" s="170"/>
      <c r="NV410" s="171"/>
      <c r="NW410" s="170"/>
      <c r="NX410" s="170"/>
      <c r="NY410" s="170"/>
      <c r="NZ410" s="170"/>
      <c r="OA410" s="170"/>
      <c r="OB410" s="170"/>
      <c r="OC410" s="170"/>
      <c r="OD410" s="170"/>
      <c r="OE410" s="170"/>
      <c r="OF410" s="170"/>
      <c r="OG410" s="60"/>
      <c r="OH410" s="87"/>
      <c r="OI410" s="126"/>
      <c r="OJ410" s="127"/>
      <c r="OK410" s="135"/>
      <c r="OL410" s="87"/>
      <c r="OM410" s="167"/>
      <c r="ON410" s="87"/>
      <c r="OO410" s="87"/>
      <c r="OP410" s="87"/>
      <c r="OQ410" s="87"/>
      <c r="OR410" s="87"/>
      <c r="OS410" s="87"/>
      <c r="OT410" s="87"/>
      <c r="OU410" s="87"/>
      <c r="OV410" s="87"/>
      <c r="OW410" s="87"/>
      <c r="OX410" s="87"/>
      <c r="OY410" s="87"/>
      <c r="OZ410" s="87"/>
      <c r="PA410" s="87"/>
      <c r="PB410" s="54"/>
      <c r="PC410" s="54"/>
      <c r="PD410" s="54"/>
      <c r="PE410" s="87"/>
      <c r="PF410" s="87"/>
      <c r="PG410" s="87"/>
      <c r="PH410" s="87"/>
      <c r="PI410" s="87"/>
      <c r="PJ410" s="87"/>
      <c r="PK410" s="87"/>
      <c r="PL410" s="87"/>
      <c r="PM410" s="87"/>
      <c r="PN410" s="87"/>
      <c r="PO410" s="87"/>
      <c r="PP410" s="87"/>
      <c r="PQ410" s="87"/>
      <c r="PR410" s="87"/>
      <c r="PS410" s="87"/>
      <c r="PT410" s="87"/>
      <c r="PU410" s="87"/>
      <c r="PV410" s="87"/>
      <c r="PW410" s="87"/>
      <c r="PX410" s="87"/>
      <c r="PY410" s="87"/>
      <c r="PZ410" s="87"/>
      <c r="QA410" s="87"/>
      <c r="QB410" s="87"/>
      <c r="QC410" s="87"/>
      <c r="QD410" s="87"/>
      <c r="QE410" s="87"/>
      <c r="QF410" s="87"/>
      <c r="QG410" s="87"/>
      <c r="QH410" s="87"/>
      <c r="QI410" s="87"/>
      <c r="QJ410" s="87"/>
      <c r="QK410" s="87"/>
      <c r="QL410" s="87"/>
      <c r="QM410" s="87"/>
      <c r="QN410" s="87"/>
      <c r="QO410" s="87"/>
      <c r="QP410" s="87"/>
      <c r="QQ410" s="87"/>
      <c r="QR410" s="87"/>
      <c r="QS410" s="87"/>
      <c r="QT410" s="87"/>
      <c r="QU410" s="87"/>
      <c r="QV410" s="87"/>
      <c r="QW410" s="87"/>
      <c r="QX410" s="87"/>
      <c r="QY410" s="87"/>
      <c r="QZ410" s="87"/>
      <c r="RA410" s="87"/>
      <c r="RB410" s="87"/>
      <c r="RC410" s="87"/>
      <c r="RD410" s="87"/>
    </row>
    <row r="411" spans="1:472">
      <c r="A411" s="87"/>
      <c r="B411" s="135">
        <v>45848</v>
      </c>
      <c r="C411" s="127">
        <v>45867</v>
      </c>
      <c r="D411" s="87" t="s">
        <v>178</v>
      </c>
      <c r="E411" s="82" t="s">
        <v>219</v>
      </c>
      <c r="F411" s="82" t="s">
        <v>220</v>
      </c>
      <c r="G411" s="102" t="s">
        <v>2494</v>
      </c>
      <c r="H411" s="170" t="s">
        <v>2495</v>
      </c>
      <c r="I411" s="171" t="s">
        <v>2496</v>
      </c>
      <c r="J411" s="214" t="s">
        <v>2464</v>
      </c>
      <c r="K411" s="170" t="s">
        <v>773</v>
      </c>
      <c r="L411" s="170" t="s">
        <v>773</v>
      </c>
      <c r="M411" s="170" t="s">
        <v>2497</v>
      </c>
      <c r="N411" s="170" t="s">
        <v>425</v>
      </c>
      <c r="O411" s="170" t="s">
        <v>2498</v>
      </c>
      <c r="P411" s="170" t="s">
        <v>2121</v>
      </c>
      <c r="Q411" s="170" t="s">
        <v>2499</v>
      </c>
      <c r="R411" s="170" t="s">
        <v>1300</v>
      </c>
      <c r="S411" s="170" t="s">
        <v>1201</v>
      </c>
      <c r="T411" s="181"/>
      <c r="U411" s="87" t="s">
        <v>1175</v>
      </c>
      <c r="V411" s="126" t="s">
        <v>339</v>
      </c>
      <c r="W411" s="127" t="s">
        <v>179</v>
      </c>
      <c r="X411" s="135">
        <v>45868</v>
      </c>
      <c r="Y411" s="135">
        <v>45868</v>
      </c>
      <c r="Z411" s="167" t="s">
        <v>340</v>
      </c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54"/>
      <c r="AP411" s="54"/>
      <c r="AQ411" s="54"/>
      <c r="AR411" s="87"/>
      <c r="AS411" s="87"/>
      <c r="AT411" s="87"/>
      <c r="AU411" s="87"/>
      <c r="AV411" s="87"/>
      <c r="AW411" s="87"/>
      <c r="AX411" s="87"/>
      <c r="AY411" s="87"/>
      <c r="AZ411" s="87"/>
      <c r="BA411" s="87"/>
      <c r="BB411" s="87"/>
      <c r="BC411" s="87"/>
      <c r="BD411" s="87"/>
      <c r="BE411" s="87"/>
      <c r="BF411" s="87"/>
      <c r="BG411" s="87"/>
      <c r="BH411" s="87"/>
      <c r="BI411" s="87"/>
      <c r="BJ411" s="87"/>
      <c r="BK411" s="87"/>
      <c r="BL411" s="87"/>
      <c r="BM411" s="87"/>
      <c r="BN411" s="87"/>
      <c r="BO411" s="87"/>
      <c r="BP411" s="87"/>
      <c r="BQ411" s="87"/>
      <c r="BR411" s="87"/>
      <c r="BS411" s="87"/>
      <c r="BT411" s="87"/>
      <c r="BU411" s="87"/>
      <c r="BV411" s="87"/>
      <c r="BW411" s="87"/>
      <c r="BX411" s="87"/>
      <c r="BY411" s="87"/>
      <c r="BZ411" s="87"/>
      <c r="CA411" s="87"/>
      <c r="CB411" s="87"/>
      <c r="CC411" s="87"/>
      <c r="CD411" s="87"/>
      <c r="CE411" s="87"/>
      <c r="CF411" s="87"/>
      <c r="CG411" s="87"/>
      <c r="CH411" s="87"/>
      <c r="CI411" s="87"/>
      <c r="CJ411" s="87"/>
      <c r="CK411" s="87"/>
      <c r="CL411" s="87"/>
      <c r="CM411" s="87"/>
      <c r="CN411" s="87"/>
      <c r="CO411" s="87"/>
      <c r="CP411" s="87"/>
      <c r="CQ411" s="87"/>
      <c r="NN411" s="87"/>
      <c r="NO411" s="135"/>
      <c r="NP411" s="127"/>
      <c r="NQ411" s="87"/>
      <c r="NR411" s="82"/>
      <c r="NS411" s="82"/>
      <c r="NT411" s="102"/>
      <c r="NU411" s="170"/>
      <c r="NV411" s="171"/>
      <c r="NW411" s="170"/>
      <c r="NX411" s="170"/>
      <c r="NY411" s="170"/>
      <c r="NZ411" s="170"/>
      <c r="OA411" s="170"/>
      <c r="OB411" s="170"/>
      <c r="OC411" s="170"/>
      <c r="OD411" s="170"/>
      <c r="OE411" s="170"/>
      <c r="OF411" s="170"/>
      <c r="OG411" s="60"/>
      <c r="OH411" s="87"/>
      <c r="OI411" s="126"/>
      <c r="OJ411" s="127"/>
      <c r="OK411" s="135"/>
      <c r="OL411" s="87"/>
      <c r="OM411" s="167"/>
      <c r="ON411" s="87"/>
      <c r="OO411" s="87"/>
      <c r="OP411" s="87"/>
      <c r="OQ411" s="87"/>
      <c r="OR411" s="87"/>
      <c r="OS411" s="87"/>
      <c r="OT411" s="87"/>
      <c r="OU411" s="87"/>
      <c r="OV411" s="87"/>
      <c r="OW411" s="87"/>
      <c r="OX411" s="87"/>
      <c r="OY411" s="87"/>
      <c r="OZ411" s="87"/>
      <c r="PA411" s="87"/>
      <c r="PB411" s="54"/>
      <c r="PC411" s="54"/>
      <c r="PD411" s="54"/>
      <c r="PE411" s="87"/>
      <c r="PF411" s="87"/>
      <c r="PG411" s="87"/>
      <c r="PH411" s="87"/>
      <c r="PI411" s="87"/>
      <c r="PJ411" s="87"/>
      <c r="PK411" s="87"/>
      <c r="PL411" s="87"/>
      <c r="PM411" s="87"/>
      <c r="PN411" s="87"/>
      <c r="PO411" s="87"/>
      <c r="PP411" s="87"/>
      <c r="PQ411" s="87"/>
      <c r="PR411" s="87"/>
      <c r="PS411" s="87"/>
      <c r="PT411" s="87"/>
      <c r="PU411" s="87"/>
      <c r="PV411" s="87"/>
      <c r="PW411" s="87"/>
      <c r="PX411" s="87"/>
      <c r="PY411" s="87"/>
      <c r="PZ411" s="87"/>
      <c r="QA411" s="87"/>
      <c r="QB411" s="87"/>
      <c r="QC411" s="87"/>
      <c r="QD411" s="87"/>
      <c r="QE411" s="87"/>
      <c r="QF411" s="87"/>
      <c r="QG411" s="87"/>
      <c r="QH411" s="87"/>
      <c r="QI411" s="87"/>
      <c r="QJ411" s="87"/>
      <c r="QK411" s="87"/>
      <c r="QL411" s="87"/>
      <c r="QM411" s="87"/>
      <c r="QN411" s="87"/>
      <c r="QO411" s="87"/>
      <c r="QP411" s="87"/>
      <c r="QQ411" s="87"/>
      <c r="QR411" s="87"/>
      <c r="QS411" s="87"/>
      <c r="QT411" s="87"/>
      <c r="QU411" s="87"/>
      <c r="QV411" s="87"/>
      <c r="QW411" s="87"/>
      <c r="QX411" s="87"/>
      <c r="QY411" s="87"/>
      <c r="QZ411" s="87"/>
      <c r="RA411" s="87"/>
      <c r="RB411" s="87"/>
      <c r="RC411" s="87"/>
      <c r="RD411" s="87"/>
    </row>
    <row r="412" spans="1:472">
      <c r="A412" s="87"/>
      <c r="B412" s="135">
        <v>45747</v>
      </c>
      <c r="C412" s="127">
        <v>45868</v>
      </c>
      <c r="D412" s="87" t="s">
        <v>141</v>
      </c>
      <c r="E412" s="82" t="s">
        <v>219</v>
      </c>
      <c r="F412" s="82" t="s">
        <v>220</v>
      </c>
      <c r="G412" s="102" t="s">
        <v>2500</v>
      </c>
      <c r="H412" s="170">
        <v>9711379297</v>
      </c>
      <c r="I412" s="171" t="s">
        <v>2501</v>
      </c>
      <c r="J412" s="214" t="s">
        <v>2502</v>
      </c>
      <c r="K412" s="170">
        <v>15</v>
      </c>
      <c r="L412" s="170" t="s">
        <v>1226</v>
      </c>
      <c r="M412" s="170" t="s">
        <v>2503</v>
      </c>
      <c r="N412" s="170" t="s">
        <v>425</v>
      </c>
      <c r="O412" s="170" t="s">
        <v>1997</v>
      </c>
      <c r="P412" s="170" t="s">
        <v>2504</v>
      </c>
      <c r="Q412" s="170" t="s">
        <v>2505</v>
      </c>
      <c r="R412" s="170" t="s">
        <v>290</v>
      </c>
      <c r="S412" s="170" t="s">
        <v>68</v>
      </c>
      <c r="T412" s="181"/>
      <c r="U412" s="87" t="s">
        <v>671</v>
      </c>
      <c r="V412" s="126" t="s">
        <v>231</v>
      </c>
      <c r="W412" s="127"/>
      <c r="X412" s="135">
        <v>45869</v>
      </c>
      <c r="Y412" s="135">
        <v>45870</v>
      </c>
      <c r="Z412" s="87" t="s">
        <v>232</v>
      </c>
      <c r="AA412" s="16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60"/>
      <c r="AP412" s="54"/>
      <c r="AQ412" s="54"/>
      <c r="AR412" s="82"/>
      <c r="AS412" s="87"/>
      <c r="AT412" s="87"/>
      <c r="AU412" s="87"/>
      <c r="AV412" s="87"/>
      <c r="AW412" s="87"/>
      <c r="AX412" s="87"/>
      <c r="AY412" s="87"/>
      <c r="AZ412" s="87"/>
      <c r="BA412" s="87"/>
      <c r="BB412" s="87"/>
      <c r="BC412" s="87"/>
      <c r="BD412" s="87"/>
      <c r="BE412" s="87"/>
      <c r="BF412" s="87"/>
      <c r="BG412" s="87"/>
      <c r="BH412" s="87"/>
      <c r="BI412" s="87"/>
      <c r="BJ412" s="87"/>
      <c r="BK412" s="87"/>
      <c r="BL412" s="87"/>
      <c r="BM412" s="87"/>
      <c r="BN412" s="87"/>
      <c r="BO412" s="87"/>
      <c r="BP412" s="87"/>
      <c r="BQ412" s="87"/>
      <c r="BR412" s="87"/>
      <c r="BS412" s="87"/>
      <c r="BT412" s="87"/>
      <c r="BU412" s="87"/>
      <c r="BV412" s="87"/>
      <c r="BW412" s="87"/>
      <c r="BX412" s="87"/>
      <c r="BY412" s="87"/>
      <c r="BZ412" s="87"/>
      <c r="CA412" s="87"/>
      <c r="CB412" s="87"/>
      <c r="CC412" s="87"/>
      <c r="CD412" s="87"/>
      <c r="CE412" s="87"/>
      <c r="CF412" s="87"/>
      <c r="CG412" s="87"/>
      <c r="CH412" s="87"/>
      <c r="CI412" s="87"/>
      <c r="CJ412" s="87"/>
      <c r="CK412" s="87"/>
      <c r="CL412" s="87"/>
      <c r="CM412" s="87"/>
      <c r="CN412" s="87"/>
      <c r="CO412" s="87"/>
      <c r="CP412" s="87"/>
      <c r="CQ412" s="87"/>
      <c r="NN412" s="87"/>
      <c r="NO412" s="87"/>
      <c r="NP412" s="60"/>
      <c r="NQ412" s="87"/>
      <c r="NR412" s="87"/>
      <c r="NS412" s="87"/>
      <c r="NT412" s="60"/>
      <c r="NU412" s="181"/>
      <c r="NV412" s="181"/>
      <c r="NW412" s="181"/>
      <c r="NX412" s="181"/>
      <c r="NY412" s="181"/>
      <c r="NZ412" s="181"/>
      <c r="OA412" s="181"/>
      <c r="OB412" s="181"/>
      <c r="OC412" s="181"/>
      <c r="OD412" s="181"/>
      <c r="OE412" s="181"/>
      <c r="OF412" s="181"/>
      <c r="OG412" s="60"/>
      <c r="OH412" s="87"/>
      <c r="OI412" s="60"/>
      <c r="OJ412" s="60"/>
      <c r="OK412" s="87"/>
      <c r="OL412" s="87"/>
      <c r="OM412" s="87"/>
      <c r="ON412" s="87"/>
      <c r="OO412" s="87"/>
      <c r="OP412" s="87"/>
      <c r="OQ412" s="87"/>
      <c r="OR412" s="87"/>
      <c r="OS412" s="87"/>
      <c r="OT412" s="87"/>
      <c r="OU412" s="87"/>
      <c r="OV412" s="87"/>
      <c r="OW412" s="87"/>
      <c r="OX412" s="87"/>
      <c r="OY412" s="87"/>
      <c r="OZ412" s="87"/>
      <c r="PA412" s="87"/>
      <c r="PB412" s="60"/>
      <c r="PC412" s="60"/>
      <c r="PD412" s="60"/>
      <c r="PE412" s="87"/>
      <c r="PF412" s="87"/>
      <c r="PG412" s="87"/>
      <c r="PH412" s="87"/>
      <c r="PI412" s="87"/>
      <c r="PJ412" s="87"/>
      <c r="PK412" s="87"/>
      <c r="PL412" s="87"/>
      <c r="PM412" s="87"/>
      <c r="PN412" s="87"/>
      <c r="PO412" s="87"/>
      <c r="PP412" s="87"/>
      <c r="PQ412" s="87"/>
      <c r="PR412" s="87"/>
      <c r="PS412" s="87"/>
      <c r="PT412" s="87"/>
      <c r="PU412" s="87"/>
      <c r="PV412" s="87"/>
      <c r="PW412" s="87"/>
      <c r="PX412" s="87"/>
      <c r="PY412" s="87"/>
      <c r="PZ412" s="87"/>
      <c r="QA412" s="87"/>
      <c r="QB412" s="87"/>
      <c r="QC412" s="87"/>
      <c r="QD412" s="87"/>
      <c r="QE412" s="87"/>
      <c r="QF412" s="87"/>
      <c r="QG412" s="87"/>
      <c r="QH412" s="87"/>
      <c r="QI412" s="87"/>
      <c r="QJ412" s="87"/>
      <c r="QK412" s="87"/>
      <c r="QL412" s="87"/>
      <c r="QM412" s="87"/>
      <c r="QN412" s="87"/>
      <c r="QO412" s="87"/>
      <c r="QP412" s="87"/>
      <c r="QQ412" s="87"/>
      <c r="QR412" s="87"/>
      <c r="QS412" s="87"/>
      <c r="QT412" s="87"/>
      <c r="QU412" s="87"/>
      <c r="QV412" s="87"/>
      <c r="QW412" s="87"/>
      <c r="QX412" s="87"/>
      <c r="QY412" s="87"/>
      <c r="QZ412" s="87"/>
      <c r="RA412" s="87"/>
      <c r="RB412" s="87"/>
      <c r="RC412" s="87"/>
      <c r="RD412" s="87"/>
    </row>
    <row r="413" spans="1:472">
      <c r="A413" s="87"/>
      <c r="B413" s="135">
        <v>45747</v>
      </c>
      <c r="C413" s="127">
        <v>45868</v>
      </c>
      <c r="D413" s="87" t="s">
        <v>141</v>
      </c>
      <c r="E413" s="82" t="s">
        <v>219</v>
      </c>
      <c r="F413" s="82" t="s">
        <v>220</v>
      </c>
      <c r="G413" s="102" t="s">
        <v>2506</v>
      </c>
      <c r="H413" s="170">
        <v>9602123387</v>
      </c>
      <c r="I413" s="171" t="s">
        <v>2507</v>
      </c>
      <c r="J413" s="214" t="s">
        <v>2508</v>
      </c>
      <c r="K413" s="170">
        <v>16</v>
      </c>
      <c r="L413" s="170" t="s">
        <v>1226</v>
      </c>
      <c r="M413" s="170" t="s">
        <v>2509</v>
      </c>
      <c r="N413" s="170" t="s">
        <v>1155</v>
      </c>
      <c r="O413" s="170" t="s">
        <v>2510</v>
      </c>
      <c r="P413" s="170">
        <v>0.3</v>
      </c>
      <c r="Q413" s="170" t="s">
        <v>2511</v>
      </c>
      <c r="R413" s="170" t="s">
        <v>1075</v>
      </c>
      <c r="S413" s="170" t="s">
        <v>68</v>
      </c>
      <c r="T413" s="181"/>
      <c r="U413" s="87" t="s">
        <v>671</v>
      </c>
      <c r="V413" s="126" t="s">
        <v>599</v>
      </c>
      <c r="W413" s="127"/>
      <c r="X413" s="135">
        <v>45869</v>
      </c>
      <c r="Y413" s="135">
        <v>45870</v>
      </c>
      <c r="Z413" s="167" t="s">
        <v>340</v>
      </c>
      <c r="AA413" s="167">
        <v>45896</v>
      </c>
      <c r="AB413" s="87" t="s">
        <v>232</v>
      </c>
      <c r="AC413" s="87"/>
      <c r="AD413" s="87"/>
      <c r="AE413" s="87"/>
      <c r="AF413" s="87"/>
      <c r="AG413" s="87"/>
      <c r="AH413" s="87"/>
      <c r="AI413" s="87"/>
      <c r="AJ413" s="87"/>
      <c r="AK413" s="87"/>
      <c r="AL413" s="87"/>
      <c r="AM413" s="87"/>
      <c r="AN413" s="87"/>
      <c r="AO413" s="60"/>
      <c r="AP413" s="54"/>
      <c r="AQ413" s="54"/>
      <c r="AR413" s="82"/>
      <c r="AS413" s="87"/>
      <c r="AT413" s="87"/>
      <c r="AU413" s="87"/>
      <c r="AV413" s="87"/>
      <c r="AW413" s="87"/>
      <c r="AX413" s="87"/>
      <c r="AY413" s="87"/>
      <c r="AZ413" s="87"/>
      <c r="BA413" s="87"/>
      <c r="BB413" s="87"/>
      <c r="BC413" s="87"/>
      <c r="BD413" s="87"/>
      <c r="BE413" s="87"/>
      <c r="BF413" s="87"/>
      <c r="BG413" s="87"/>
      <c r="BH413" s="87"/>
      <c r="BI413" s="87"/>
      <c r="BJ413" s="87"/>
      <c r="BK413" s="87"/>
      <c r="BL413" s="87"/>
      <c r="BM413" s="87"/>
      <c r="BN413" s="87"/>
      <c r="BO413" s="87"/>
      <c r="BP413" s="87"/>
      <c r="BQ413" s="87"/>
      <c r="BR413" s="87"/>
      <c r="BS413" s="87"/>
      <c r="BT413" s="87"/>
      <c r="BU413" s="87"/>
      <c r="BV413" s="87"/>
      <c r="BW413" s="87"/>
      <c r="BX413" s="87"/>
      <c r="BY413" s="87"/>
      <c r="BZ413" s="87"/>
      <c r="CA413" s="87"/>
      <c r="CB413" s="87"/>
      <c r="CC413" s="87"/>
      <c r="CD413" s="87"/>
      <c r="CE413" s="87"/>
      <c r="CF413" s="87"/>
      <c r="CG413" s="87"/>
      <c r="CH413" s="87"/>
      <c r="CI413" s="87"/>
      <c r="CJ413" s="87"/>
      <c r="CK413" s="87"/>
      <c r="CL413" s="87"/>
      <c r="CM413" s="87"/>
      <c r="CN413" s="87"/>
      <c r="CO413" s="87"/>
      <c r="CP413" s="87"/>
      <c r="CQ413" s="87"/>
      <c r="NN413" s="87"/>
      <c r="NO413" s="87"/>
      <c r="NP413" s="60"/>
      <c r="NQ413" s="87"/>
      <c r="NR413" s="87"/>
      <c r="NS413" s="87"/>
      <c r="NT413" s="60"/>
      <c r="NU413" s="181"/>
      <c r="NV413" s="181"/>
      <c r="NW413" s="181"/>
      <c r="NX413" s="181"/>
      <c r="NY413" s="181"/>
      <c r="NZ413" s="181"/>
      <c r="OA413" s="181"/>
      <c r="OB413" s="181"/>
      <c r="OC413" s="181"/>
      <c r="OD413" s="181"/>
      <c r="OE413" s="181"/>
      <c r="OF413" s="181"/>
      <c r="OG413" s="60"/>
      <c r="OH413" s="87"/>
      <c r="OI413" s="60"/>
      <c r="OJ413" s="60"/>
      <c r="OK413" s="87"/>
      <c r="OL413" s="87"/>
      <c r="OM413" s="87"/>
      <c r="ON413" s="87"/>
      <c r="OO413" s="87"/>
      <c r="OP413" s="87"/>
      <c r="OQ413" s="87"/>
      <c r="OR413" s="87"/>
      <c r="OS413" s="87"/>
      <c r="OT413" s="87"/>
      <c r="OU413" s="87"/>
      <c r="OV413" s="87"/>
      <c r="OW413" s="87"/>
      <c r="OX413" s="87"/>
      <c r="OY413" s="87"/>
      <c r="OZ413" s="87"/>
      <c r="PA413" s="87"/>
      <c r="PB413" s="60"/>
      <c r="PC413" s="60"/>
      <c r="PD413" s="60"/>
      <c r="PE413" s="87"/>
      <c r="PF413" s="87"/>
      <c r="PG413" s="87"/>
      <c r="PH413" s="87"/>
      <c r="PI413" s="87"/>
      <c r="PJ413" s="87"/>
      <c r="PK413" s="87"/>
      <c r="PL413" s="87"/>
      <c r="PM413" s="87"/>
      <c r="PN413" s="87"/>
      <c r="PO413" s="87"/>
      <c r="PP413" s="87"/>
      <c r="PQ413" s="87"/>
      <c r="PR413" s="87"/>
      <c r="PS413" s="87"/>
      <c r="PT413" s="87"/>
      <c r="PU413" s="87"/>
      <c r="PV413" s="87"/>
      <c r="PW413" s="87"/>
      <c r="PX413" s="87"/>
      <c r="PY413" s="87"/>
      <c r="PZ413" s="87"/>
      <c r="QA413" s="87"/>
      <c r="QB413" s="87"/>
      <c r="QC413" s="87"/>
      <c r="QD413" s="87"/>
      <c r="QE413" s="87"/>
      <c r="QF413" s="87"/>
      <c r="QG413" s="87"/>
      <c r="QH413" s="87"/>
      <c r="QI413" s="87"/>
      <c r="QJ413" s="87"/>
      <c r="QK413" s="87"/>
      <c r="QL413" s="87"/>
      <c r="QM413" s="87"/>
      <c r="QN413" s="87"/>
      <c r="QO413" s="87"/>
      <c r="QP413" s="87"/>
      <c r="QQ413" s="87"/>
      <c r="QR413" s="87"/>
      <c r="QS413" s="87"/>
      <c r="QT413" s="87"/>
      <c r="QU413" s="87"/>
      <c r="QV413" s="87"/>
      <c r="QW413" s="87"/>
      <c r="QX413" s="87"/>
      <c r="QY413" s="87"/>
      <c r="QZ413" s="87"/>
      <c r="RA413" s="87"/>
      <c r="RB413" s="87"/>
      <c r="RC413" s="87"/>
      <c r="RD413" s="87"/>
    </row>
    <row r="414" spans="1:472">
      <c r="A414" s="87"/>
      <c r="B414" s="135">
        <v>45848</v>
      </c>
      <c r="C414" s="127">
        <v>45871</v>
      </c>
      <c r="D414" s="87" t="s">
        <v>150</v>
      </c>
      <c r="E414" s="82" t="s">
        <v>219</v>
      </c>
      <c r="F414" s="82" t="s">
        <v>220</v>
      </c>
      <c r="G414" s="102" t="s">
        <v>2512</v>
      </c>
      <c r="H414" s="170">
        <v>7620953839</v>
      </c>
      <c r="I414" s="171" t="s">
        <v>2513</v>
      </c>
      <c r="K414" s="170">
        <v>4</v>
      </c>
      <c r="L414" s="170">
        <v>4</v>
      </c>
      <c r="M414" s="170" t="s">
        <v>2514</v>
      </c>
      <c r="N414" s="170" t="s">
        <v>425</v>
      </c>
      <c r="O414" s="170" t="s">
        <v>2515</v>
      </c>
      <c r="P414" s="170" t="s">
        <v>770</v>
      </c>
      <c r="Q414" s="170" t="s">
        <v>402</v>
      </c>
      <c r="R414" s="170" t="s">
        <v>683</v>
      </c>
      <c r="S414" s="170" t="s">
        <v>1201</v>
      </c>
      <c r="T414" s="170"/>
      <c r="U414" s="87" t="s">
        <v>1175</v>
      </c>
      <c r="V414" s="126" t="s">
        <v>291</v>
      </c>
      <c r="W414" s="127"/>
      <c r="X414" s="135">
        <v>45875</v>
      </c>
      <c r="Y414" s="135"/>
      <c r="Z414" s="16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  <c r="AN414" s="87"/>
      <c r="AO414" s="54"/>
      <c r="AP414" s="54"/>
      <c r="AQ414" s="54"/>
      <c r="AR414" s="87"/>
      <c r="AS414" s="87"/>
      <c r="AT414" s="87"/>
      <c r="AU414" s="87"/>
      <c r="AV414" s="87"/>
      <c r="AW414" s="87"/>
      <c r="AX414" s="87"/>
      <c r="AY414" s="87"/>
      <c r="AZ414" s="87"/>
      <c r="BA414" s="87"/>
      <c r="BB414" s="87"/>
      <c r="BC414" s="87"/>
      <c r="BD414" s="87"/>
      <c r="BE414" s="87"/>
      <c r="BF414" s="87"/>
      <c r="BG414" s="87"/>
      <c r="BH414" s="87"/>
      <c r="BI414" s="87"/>
      <c r="BJ414" s="87"/>
      <c r="BK414" s="87"/>
      <c r="BL414" s="87"/>
      <c r="BM414" s="87"/>
      <c r="BN414" s="87"/>
      <c r="BO414" s="87"/>
      <c r="BP414" s="87"/>
      <c r="BQ414" s="87"/>
      <c r="BR414" s="87"/>
      <c r="BS414" s="87"/>
      <c r="BT414" s="87"/>
      <c r="BU414" s="87"/>
      <c r="BV414" s="87"/>
      <c r="BW414" s="87"/>
      <c r="BX414" s="87"/>
      <c r="BY414" s="87"/>
      <c r="BZ414" s="87"/>
      <c r="CA414" s="87"/>
      <c r="CB414" s="87"/>
      <c r="CC414" s="87"/>
      <c r="CD414" s="87"/>
      <c r="CE414" s="87"/>
      <c r="CF414" s="87"/>
      <c r="CG414" s="87"/>
      <c r="CH414" s="87"/>
      <c r="CI414" s="87"/>
      <c r="CJ414" s="87"/>
      <c r="CK414" s="87"/>
      <c r="CL414" s="87"/>
      <c r="CM414" s="87"/>
      <c r="CN414" s="87"/>
      <c r="CO414" s="87"/>
      <c r="CP414" s="87"/>
      <c r="CQ414" s="87"/>
      <c r="NN414" s="87"/>
      <c r="NO414" s="135"/>
      <c r="NP414" s="127"/>
      <c r="NQ414" s="87"/>
      <c r="NR414" s="82"/>
      <c r="NS414" s="82"/>
      <c r="NT414" s="102"/>
      <c r="NU414" s="170"/>
      <c r="NV414" s="171"/>
      <c r="NW414" s="170"/>
      <c r="NX414" s="170"/>
      <c r="NY414" s="170"/>
      <c r="NZ414" s="170"/>
      <c r="OA414" s="170"/>
      <c r="OB414" s="170"/>
      <c r="OC414" s="170"/>
      <c r="OD414" s="170"/>
      <c r="OE414" s="170"/>
      <c r="OF414" s="170"/>
      <c r="OG414" s="60"/>
      <c r="OH414" s="87"/>
      <c r="OI414" s="126"/>
      <c r="OJ414" s="127"/>
      <c r="OK414" s="135"/>
      <c r="OL414" s="87"/>
      <c r="OM414" s="167"/>
      <c r="ON414" s="87"/>
      <c r="OO414" s="87"/>
      <c r="OP414" s="87"/>
      <c r="OQ414" s="87"/>
      <c r="OR414" s="87"/>
      <c r="OS414" s="87"/>
      <c r="OT414" s="87"/>
      <c r="OU414" s="87"/>
      <c r="OV414" s="87"/>
      <c r="OW414" s="87"/>
      <c r="OX414" s="87"/>
      <c r="OY414" s="87"/>
      <c r="OZ414" s="87"/>
      <c r="PA414" s="87"/>
      <c r="PB414" s="54"/>
      <c r="PC414" s="54"/>
      <c r="PD414" s="54"/>
      <c r="PE414" s="87"/>
      <c r="PF414" s="87"/>
      <c r="PG414" s="87"/>
      <c r="PH414" s="87"/>
      <c r="PI414" s="87"/>
      <c r="PJ414" s="87"/>
      <c r="PK414" s="87"/>
      <c r="PL414" s="87"/>
      <c r="PM414" s="87"/>
      <c r="PN414" s="87"/>
      <c r="PO414" s="87"/>
      <c r="PP414" s="87"/>
      <c r="PQ414" s="87"/>
      <c r="PR414" s="87"/>
      <c r="PS414" s="87"/>
      <c r="PT414" s="87"/>
      <c r="PU414" s="87"/>
      <c r="PV414" s="87"/>
      <c r="PW414" s="87"/>
      <c r="PX414" s="87"/>
      <c r="PY414" s="87"/>
      <c r="PZ414" s="87"/>
      <c r="QA414" s="87"/>
      <c r="QB414" s="87"/>
      <c r="QC414" s="87"/>
      <c r="QD414" s="87"/>
      <c r="QE414" s="87"/>
      <c r="QF414" s="87"/>
      <c r="QG414" s="87"/>
      <c r="QH414" s="87"/>
      <c r="QI414" s="87"/>
      <c r="QJ414" s="87"/>
      <c r="QK414" s="87"/>
      <c r="QL414" s="87"/>
      <c r="QM414" s="87"/>
      <c r="QN414" s="87"/>
      <c r="QO414" s="87"/>
      <c r="QP414" s="87"/>
      <c r="QQ414" s="87"/>
      <c r="QR414" s="87"/>
      <c r="QS414" s="87"/>
      <c r="QT414" s="87"/>
      <c r="QU414" s="87"/>
      <c r="QV414" s="87"/>
      <c r="QW414" s="87"/>
      <c r="QX414" s="87"/>
      <c r="QY414" s="87"/>
      <c r="QZ414" s="87"/>
      <c r="RA414" s="87"/>
      <c r="RB414" s="87"/>
      <c r="RC414" s="87"/>
      <c r="RD414" s="87"/>
    </row>
    <row r="415" spans="1:472">
      <c r="A415" s="87"/>
      <c r="B415" s="135">
        <v>45848</v>
      </c>
      <c r="C415" s="127">
        <v>45871</v>
      </c>
      <c r="D415" s="87" t="s">
        <v>150</v>
      </c>
      <c r="E415" s="82" t="s">
        <v>219</v>
      </c>
      <c r="F415" s="82" t="s">
        <v>220</v>
      </c>
      <c r="G415" s="102" t="s">
        <v>2516</v>
      </c>
      <c r="H415" s="170">
        <v>9559922461</v>
      </c>
      <c r="I415" s="171" t="s">
        <v>2517</v>
      </c>
      <c r="K415" s="170">
        <v>2.6</v>
      </c>
      <c r="L415" s="170">
        <v>2.6</v>
      </c>
      <c r="M415" s="170" t="s">
        <v>2518</v>
      </c>
      <c r="N415" s="170" t="s">
        <v>425</v>
      </c>
      <c r="O415" s="170" t="s">
        <v>2519</v>
      </c>
      <c r="P415" s="170" t="s">
        <v>2121</v>
      </c>
      <c r="Q415" s="170" t="s">
        <v>2130</v>
      </c>
      <c r="R415" s="170" t="s">
        <v>631</v>
      </c>
      <c r="S415" s="170" t="s">
        <v>1201</v>
      </c>
      <c r="T415" s="170"/>
      <c r="U415" s="87" t="s">
        <v>1175</v>
      </c>
      <c r="V415" s="126" t="s">
        <v>291</v>
      </c>
      <c r="W415" s="127"/>
      <c r="X415" s="135">
        <v>45875</v>
      </c>
      <c r="Y415" s="135"/>
      <c r="Z415" s="16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87"/>
      <c r="AM415" s="87"/>
      <c r="AN415" s="87"/>
      <c r="AO415" s="54"/>
      <c r="AP415" s="54"/>
      <c r="AQ415" s="54"/>
      <c r="AR415" s="87"/>
      <c r="AS415" s="87"/>
      <c r="AT415" s="87"/>
      <c r="AU415" s="87"/>
      <c r="AV415" s="87"/>
      <c r="AW415" s="87"/>
      <c r="AX415" s="87"/>
      <c r="AY415" s="87"/>
      <c r="AZ415" s="87"/>
      <c r="BA415" s="87"/>
      <c r="BB415" s="87"/>
      <c r="BC415" s="87"/>
      <c r="BD415" s="87"/>
      <c r="BE415" s="87"/>
      <c r="BF415" s="87"/>
      <c r="BG415" s="87"/>
      <c r="BH415" s="87"/>
      <c r="BI415" s="87"/>
      <c r="BJ415" s="87"/>
      <c r="BK415" s="87"/>
      <c r="BL415" s="87"/>
      <c r="BM415" s="87"/>
      <c r="BN415" s="87"/>
      <c r="BO415" s="87"/>
      <c r="BP415" s="87"/>
      <c r="BQ415" s="87"/>
      <c r="BR415" s="87"/>
      <c r="BS415" s="87"/>
      <c r="BT415" s="87"/>
      <c r="BU415" s="87"/>
      <c r="BV415" s="87"/>
      <c r="BW415" s="87"/>
      <c r="BX415" s="87"/>
      <c r="BY415" s="87"/>
      <c r="BZ415" s="87"/>
      <c r="CA415" s="87"/>
      <c r="CB415" s="87"/>
      <c r="CC415" s="87"/>
      <c r="CD415" s="87"/>
      <c r="CE415" s="87"/>
      <c r="CF415" s="87"/>
      <c r="CG415" s="87"/>
      <c r="CH415" s="87"/>
      <c r="CI415" s="87"/>
      <c r="CJ415" s="87"/>
      <c r="CK415" s="87"/>
      <c r="CL415" s="87"/>
      <c r="CM415" s="87"/>
      <c r="CN415" s="87"/>
      <c r="CO415" s="87"/>
      <c r="CP415" s="87"/>
      <c r="CQ415" s="87"/>
      <c r="NN415" s="87"/>
      <c r="NO415" s="135"/>
      <c r="NP415" s="127"/>
      <c r="NQ415" s="87"/>
      <c r="NR415" s="82"/>
      <c r="NS415" s="82"/>
      <c r="NT415" s="102"/>
      <c r="NU415" s="170"/>
      <c r="NV415" s="171"/>
      <c r="NW415" s="170"/>
      <c r="NX415" s="170"/>
      <c r="NY415" s="170"/>
      <c r="NZ415" s="170"/>
      <c r="OA415" s="170"/>
      <c r="OB415" s="170"/>
      <c r="OC415" s="170"/>
      <c r="OD415" s="170"/>
      <c r="OE415" s="170"/>
      <c r="OF415" s="170"/>
      <c r="OG415" s="60"/>
      <c r="OH415" s="87"/>
      <c r="OI415" s="126"/>
      <c r="OJ415" s="127"/>
      <c r="OK415" s="135"/>
      <c r="OL415" s="87"/>
      <c r="OM415" s="167"/>
      <c r="ON415" s="87"/>
      <c r="OO415" s="87"/>
      <c r="OP415" s="87"/>
      <c r="OQ415" s="87"/>
      <c r="OR415" s="87"/>
      <c r="OS415" s="87"/>
      <c r="OT415" s="87"/>
      <c r="OU415" s="87"/>
      <c r="OV415" s="87"/>
      <c r="OW415" s="87"/>
      <c r="OX415" s="87"/>
      <c r="OY415" s="87"/>
      <c r="OZ415" s="87"/>
      <c r="PA415" s="87"/>
      <c r="PB415" s="54"/>
      <c r="PC415" s="54"/>
      <c r="PD415" s="54"/>
      <c r="PE415" s="87"/>
      <c r="PF415" s="87"/>
      <c r="PG415" s="87"/>
      <c r="PH415" s="87"/>
      <c r="PI415" s="87"/>
      <c r="PJ415" s="87"/>
      <c r="PK415" s="87"/>
      <c r="PL415" s="87"/>
      <c r="PM415" s="87"/>
      <c r="PN415" s="87"/>
      <c r="PO415" s="87"/>
      <c r="PP415" s="87"/>
      <c r="PQ415" s="87"/>
      <c r="PR415" s="87"/>
      <c r="PS415" s="87"/>
      <c r="PT415" s="87"/>
      <c r="PU415" s="87"/>
      <c r="PV415" s="87"/>
      <c r="PW415" s="87"/>
      <c r="PX415" s="87"/>
      <c r="PY415" s="87"/>
      <c r="PZ415" s="87"/>
      <c r="QA415" s="87"/>
      <c r="QB415" s="87"/>
      <c r="QC415" s="87"/>
      <c r="QD415" s="87"/>
      <c r="QE415" s="87"/>
      <c r="QF415" s="87"/>
      <c r="QG415" s="87"/>
      <c r="QH415" s="87"/>
      <c r="QI415" s="87"/>
      <c r="QJ415" s="87"/>
      <c r="QK415" s="87"/>
      <c r="QL415" s="87"/>
      <c r="QM415" s="87"/>
      <c r="QN415" s="87"/>
      <c r="QO415" s="87"/>
      <c r="QP415" s="87"/>
      <c r="QQ415" s="87"/>
      <c r="QR415" s="87"/>
      <c r="QS415" s="87"/>
      <c r="QT415" s="87"/>
      <c r="QU415" s="87"/>
      <c r="QV415" s="87"/>
      <c r="QW415" s="87"/>
      <c r="QX415" s="87"/>
      <c r="QY415" s="87"/>
      <c r="QZ415" s="87"/>
      <c r="RA415" s="87"/>
      <c r="RB415" s="87"/>
      <c r="RC415" s="87"/>
      <c r="RD415" s="87"/>
    </row>
    <row r="416" spans="1:472">
      <c r="A416" s="87"/>
      <c r="B416" s="135">
        <v>45848</v>
      </c>
      <c r="C416" s="127">
        <v>45871</v>
      </c>
      <c r="D416" s="87" t="s">
        <v>150</v>
      </c>
      <c r="E416" s="82" t="s">
        <v>219</v>
      </c>
      <c r="F416" s="82" t="s">
        <v>220</v>
      </c>
      <c r="G416" s="102" t="s">
        <v>2520</v>
      </c>
      <c r="H416" s="170">
        <v>9987898755</v>
      </c>
      <c r="I416" s="171" t="s">
        <v>2521</v>
      </c>
      <c r="K416" s="170">
        <v>5.5</v>
      </c>
      <c r="L416" s="170">
        <v>5.5</v>
      </c>
      <c r="M416" s="170" t="s">
        <v>2522</v>
      </c>
      <c r="N416" s="170" t="s">
        <v>2523</v>
      </c>
      <c r="O416" s="170" t="s">
        <v>440</v>
      </c>
      <c r="P416" s="170" t="s">
        <v>770</v>
      </c>
      <c r="Q416" s="170" t="s">
        <v>558</v>
      </c>
      <c r="R416" s="170" t="s">
        <v>2524</v>
      </c>
      <c r="S416" s="170" t="s">
        <v>1201</v>
      </c>
      <c r="T416" s="170"/>
      <c r="U416" s="87" t="s">
        <v>1175</v>
      </c>
      <c r="V416" s="126" t="s">
        <v>291</v>
      </c>
      <c r="W416" s="127"/>
      <c r="X416" s="135">
        <v>45875</v>
      </c>
      <c r="Y416" s="135"/>
      <c r="Z416" s="16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  <c r="AN416" s="87"/>
      <c r="AO416" s="54"/>
      <c r="AP416" s="54"/>
      <c r="AQ416" s="54"/>
      <c r="AR416" s="87"/>
      <c r="AS416" s="87"/>
      <c r="AT416" s="87"/>
      <c r="AU416" s="87"/>
      <c r="AV416" s="87"/>
      <c r="AW416" s="87"/>
      <c r="AX416" s="87"/>
      <c r="AY416" s="87"/>
      <c r="AZ416" s="87"/>
      <c r="BA416" s="87"/>
      <c r="BB416" s="87"/>
      <c r="BC416" s="87"/>
      <c r="BD416" s="87"/>
      <c r="BE416" s="87"/>
      <c r="BF416" s="87"/>
      <c r="BG416" s="87"/>
      <c r="BH416" s="87"/>
      <c r="BI416" s="87"/>
      <c r="BJ416" s="87"/>
      <c r="BK416" s="87"/>
      <c r="BL416" s="87"/>
      <c r="BM416" s="87"/>
      <c r="BN416" s="87"/>
      <c r="BO416" s="87"/>
      <c r="BP416" s="87"/>
      <c r="BQ416" s="87"/>
      <c r="BR416" s="87"/>
      <c r="BS416" s="87"/>
      <c r="BT416" s="87"/>
      <c r="BU416" s="87"/>
      <c r="BV416" s="87"/>
      <c r="BW416" s="87"/>
      <c r="BX416" s="87"/>
      <c r="BY416" s="87"/>
      <c r="BZ416" s="87"/>
      <c r="CA416" s="87"/>
      <c r="CB416" s="87"/>
      <c r="CC416" s="87"/>
      <c r="CD416" s="87"/>
      <c r="CE416" s="87"/>
      <c r="CF416" s="87"/>
      <c r="CG416" s="87"/>
      <c r="CH416" s="87"/>
      <c r="CI416" s="87"/>
      <c r="CJ416" s="87"/>
      <c r="CK416" s="87"/>
      <c r="CL416" s="87"/>
      <c r="CM416" s="87"/>
      <c r="CN416" s="87"/>
      <c r="CO416" s="87"/>
      <c r="CP416" s="87"/>
      <c r="CQ416" s="87"/>
      <c r="NN416" s="87"/>
      <c r="NO416" s="135"/>
      <c r="NP416" s="127"/>
      <c r="NQ416" s="87"/>
      <c r="NR416" s="82"/>
      <c r="NS416" s="82"/>
      <c r="NT416" s="102"/>
      <c r="NU416" s="170"/>
      <c r="NV416" s="171"/>
      <c r="NW416" s="170"/>
      <c r="NX416" s="170"/>
      <c r="NY416" s="170"/>
      <c r="NZ416" s="170"/>
      <c r="OA416" s="170"/>
      <c r="OB416" s="170"/>
      <c r="OC416" s="170"/>
      <c r="OD416" s="170"/>
      <c r="OE416" s="170"/>
      <c r="OF416" s="170"/>
      <c r="OG416" s="60"/>
      <c r="OH416" s="87"/>
      <c r="OI416" s="126"/>
      <c r="OJ416" s="127"/>
      <c r="OK416" s="135"/>
      <c r="OL416" s="87"/>
      <c r="OM416" s="167"/>
      <c r="ON416" s="87"/>
      <c r="OO416" s="87"/>
      <c r="OP416" s="87"/>
      <c r="OQ416" s="87"/>
      <c r="OR416" s="87"/>
      <c r="OS416" s="87"/>
      <c r="OT416" s="87"/>
      <c r="OU416" s="87"/>
      <c r="OV416" s="87"/>
      <c r="OW416" s="87"/>
      <c r="OX416" s="87"/>
      <c r="OY416" s="87"/>
      <c r="OZ416" s="87"/>
      <c r="PA416" s="87"/>
      <c r="PB416" s="54"/>
      <c r="PC416" s="54"/>
      <c r="PD416" s="54"/>
      <c r="PE416" s="87"/>
      <c r="PF416" s="87"/>
      <c r="PG416" s="87"/>
      <c r="PH416" s="87"/>
      <c r="PI416" s="87"/>
      <c r="PJ416" s="87"/>
      <c r="PK416" s="87"/>
      <c r="PL416" s="87"/>
      <c r="PM416" s="87"/>
      <c r="PN416" s="87"/>
      <c r="PO416" s="87"/>
      <c r="PP416" s="87"/>
      <c r="PQ416" s="87"/>
      <c r="PR416" s="87"/>
      <c r="PS416" s="87"/>
      <c r="PT416" s="87"/>
      <c r="PU416" s="87"/>
      <c r="PV416" s="87"/>
      <c r="PW416" s="87"/>
      <c r="PX416" s="87"/>
      <c r="PY416" s="87"/>
      <c r="PZ416" s="87"/>
      <c r="QA416" s="87"/>
      <c r="QB416" s="87"/>
      <c r="QC416" s="87"/>
      <c r="QD416" s="87"/>
      <c r="QE416" s="87"/>
      <c r="QF416" s="87"/>
      <c r="QG416" s="87"/>
      <c r="QH416" s="87"/>
      <c r="QI416" s="87"/>
      <c r="QJ416" s="87"/>
      <c r="QK416" s="87"/>
      <c r="QL416" s="87"/>
      <c r="QM416" s="87"/>
      <c r="QN416" s="87"/>
      <c r="QO416" s="87"/>
      <c r="QP416" s="87"/>
      <c r="QQ416" s="87"/>
      <c r="QR416" s="87"/>
      <c r="QS416" s="87"/>
      <c r="QT416" s="87"/>
      <c r="QU416" s="87"/>
      <c r="QV416" s="87"/>
      <c r="QW416" s="87"/>
      <c r="QX416" s="87"/>
      <c r="QY416" s="87"/>
      <c r="QZ416" s="87"/>
      <c r="RA416" s="87"/>
      <c r="RB416" s="87"/>
      <c r="RC416" s="87"/>
      <c r="RD416" s="87"/>
    </row>
    <row r="417" spans="1:472">
      <c r="A417" s="87"/>
      <c r="B417" s="135">
        <v>45848</v>
      </c>
      <c r="C417" s="127">
        <v>45871</v>
      </c>
      <c r="D417" s="87" t="s">
        <v>168</v>
      </c>
      <c r="E417" s="82" t="s">
        <v>219</v>
      </c>
      <c r="F417" s="82" t="s">
        <v>220</v>
      </c>
      <c r="G417" s="102" t="s">
        <v>2525</v>
      </c>
      <c r="H417" s="170">
        <v>7045015444</v>
      </c>
      <c r="I417" s="171" t="s">
        <v>2526</v>
      </c>
      <c r="K417" s="170">
        <v>4</v>
      </c>
      <c r="L417" s="170">
        <v>4</v>
      </c>
      <c r="M417" s="170" t="s">
        <v>2527</v>
      </c>
      <c r="N417" s="170" t="s">
        <v>425</v>
      </c>
      <c r="O417" s="170" t="s">
        <v>2361</v>
      </c>
      <c r="P417" s="170" t="s">
        <v>770</v>
      </c>
      <c r="Q417" s="170" t="s">
        <v>558</v>
      </c>
      <c r="R417" s="170" t="s">
        <v>228</v>
      </c>
      <c r="S417" s="170" t="s">
        <v>1201</v>
      </c>
      <c r="T417" s="170"/>
      <c r="U417" s="87" t="s">
        <v>1175</v>
      </c>
      <c r="V417" s="126" t="s">
        <v>339</v>
      </c>
      <c r="W417" s="127" t="s">
        <v>179</v>
      </c>
      <c r="X417" s="135">
        <v>45875</v>
      </c>
      <c r="Y417" s="135">
        <v>45881</v>
      </c>
      <c r="Z417" s="167" t="s">
        <v>340</v>
      </c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  <c r="AL417" s="87"/>
      <c r="AM417" s="87"/>
      <c r="AN417" s="87"/>
      <c r="AO417" s="54"/>
      <c r="AP417" s="54"/>
      <c r="AQ417" s="54"/>
      <c r="AR417" s="87"/>
      <c r="AS417" s="87"/>
      <c r="AT417" s="87"/>
      <c r="AU417" s="87"/>
      <c r="AV417" s="87"/>
      <c r="AW417" s="87"/>
      <c r="AX417" s="87"/>
      <c r="AY417" s="87"/>
      <c r="AZ417" s="87"/>
      <c r="BA417" s="87"/>
      <c r="BB417" s="87"/>
      <c r="BC417" s="87"/>
      <c r="BD417" s="87"/>
      <c r="BE417" s="87"/>
      <c r="BF417" s="87"/>
      <c r="BG417" s="87"/>
      <c r="BH417" s="87"/>
      <c r="BI417" s="87"/>
      <c r="BJ417" s="87"/>
      <c r="BK417" s="87"/>
      <c r="BL417" s="87"/>
      <c r="BM417" s="87"/>
      <c r="BN417" s="87"/>
      <c r="BO417" s="87"/>
      <c r="BP417" s="87"/>
      <c r="BQ417" s="87"/>
      <c r="BR417" s="87"/>
      <c r="BS417" s="87"/>
      <c r="BT417" s="87"/>
      <c r="BU417" s="87"/>
      <c r="BV417" s="87"/>
      <c r="BW417" s="87"/>
      <c r="BX417" s="87"/>
      <c r="BY417" s="87"/>
      <c r="BZ417" s="87"/>
      <c r="CA417" s="87"/>
      <c r="CB417" s="87"/>
      <c r="CC417" s="87"/>
      <c r="CD417" s="87"/>
      <c r="CE417" s="87"/>
      <c r="CF417" s="87"/>
      <c r="CG417" s="87"/>
      <c r="CH417" s="87"/>
      <c r="CI417" s="87"/>
      <c r="CJ417" s="87"/>
      <c r="CK417" s="87"/>
      <c r="CL417" s="87"/>
      <c r="CM417" s="87"/>
      <c r="CN417" s="87"/>
      <c r="CO417" s="87"/>
      <c r="CP417" s="87"/>
      <c r="CQ417" s="87"/>
      <c r="NN417" s="87"/>
      <c r="NO417" s="135"/>
      <c r="NP417" s="127"/>
      <c r="NQ417" s="87"/>
      <c r="NR417" s="82"/>
      <c r="NS417" s="82"/>
      <c r="NT417" s="102"/>
      <c r="NU417" s="170"/>
      <c r="NV417" s="171"/>
      <c r="NW417" s="170"/>
      <c r="NX417" s="170"/>
      <c r="NY417" s="170"/>
      <c r="NZ417" s="170"/>
      <c r="OA417" s="170"/>
      <c r="OB417" s="170"/>
      <c r="OC417" s="170"/>
      <c r="OD417" s="170"/>
      <c r="OE417" s="170"/>
      <c r="OF417" s="170"/>
      <c r="OG417" s="60"/>
      <c r="OH417" s="87"/>
      <c r="OI417" s="126"/>
      <c r="OJ417" s="127"/>
      <c r="OK417" s="135"/>
      <c r="OL417" s="87"/>
      <c r="OM417" s="167"/>
      <c r="ON417" s="87"/>
      <c r="OO417" s="87"/>
      <c r="OP417" s="87"/>
      <c r="OQ417" s="87"/>
      <c r="OR417" s="87"/>
      <c r="OS417" s="87"/>
      <c r="OT417" s="87"/>
      <c r="OU417" s="87"/>
      <c r="OV417" s="87"/>
      <c r="OW417" s="87"/>
      <c r="OX417" s="87"/>
      <c r="OY417" s="87"/>
      <c r="OZ417" s="87"/>
      <c r="PA417" s="87"/>
      <c r="PB417" s="54"/>
      <c r="PC417" s="54"/>
      <c r="PD417" s="54"/>
      <c r="PE417" s="87"/>
      <c r="PF417" s="87"/>
      <c r="PG417" s="87"/>
      <c r="PH417" s="87"/>
      <c r="PI417" s="87"/>
      <c r="PJ417" s="87"/>
      <c r="PK417" s="87"/>
      <c r="PL417" s="87"/>
      <c r="PM417" s="87"/>
      <c r="PN417" s="87"/>
      <c r="PO417" s="87"/>
      <c r="PP417" s="87"/>
      <c r="PQ417" s="87"/>
      <c r="PR417" s="87"/>
      <c r="PS417" s="87"/>
      <c r="PT417" s="87"/>
      <c r="PU417" s="87"/>
      <c r="PV417" s="87"/>
      <c r="PW417" s="87"/>
      <c r="PX417" s="87"/>
      <c r="PY417" s="87"/>
      <c r="PZ417" s="87"/>
      <c r="QA417" s="87"/>
      <c r="QB417" s="87"/>
      <c r="QC417" s="87"/>
      <c r="QD417" s="87"/>
      <c r="QE417" s="87"/>
      <c r="QF417" s="87"/>
      <c r="QG417" s="87"/>
      <c r="QH417" s="87"/>
      <c r="QI417" s="87"/>
      <c r="QJ417" s="87"/>
      <c r="QK417" s="87"/>
      <c r="QL417" s="87"/>
      <c r="QM417" s="87"/>
      <c r="QN417" s="87"/>
      <c r="QO417" s="87"/>
      <c r="QP417" s="87"/>
      <c r="QQ417" s="87"/>
      <c r="QR417" s="87"/>
      <c r="QS417" s="87"/>
      <c r="QT417" s="87"/>
      <c r="QU417" s="87"/>
      <c r="QV417" s="87"/>
      <c r="QW417" s="87"/>
      <c r="QX417" s="87"/>
      <c r="QY417" s="87"/>
      <c r="QZ417" s="87"/>
      <c r="RA417" s="87"/>
      <c r="RB417" s="87"/>
      <c r="RC417" s="87"/>
      <c r="RD417" s="87"/>
    </row>
    <row r="418" spans="1:472">
      <c r="A418" s="87"/>
      <c r="B418" s="135">
        <v>45848</v>
      </c>
      <c r="C418" s="127">
        <v>45871</v>
      </c>
      <c r="D418" s="87" t="s">
        <v>168</v>
      </c>
      <c r="E418" s="82" t="s">
        <v>219</v>
      </c>
      <c r="F418" s="82" t="s">
        <v>220</v>
      </c>
      <c r="G418" s="102" t="s">
        <v>2528</v>
      </c>
      <c r="H418" s="170">
        <v>9939042326</v>
      </c>
      <c r="I418" s="171" t="s">
        <v>2529</v>
      </c>
      <c r="K418" s="170">
        <v>4</v>
      </c>
      <c r="L418" s="170">
        <v>4</v>
      </c>
      <c r="M418" s="170" t="s">
        <v>2530</v>
      </c>
      <c r="N418" s="170" t="s">
        <v>2531</v>
      </c>
      <c r="O418" s="170" t="s">
        <v>557</v>
      </c>
      <c r="P418" s="170" t="s">
        <v>2121</v>
      </c>
      <c r="Q418" s="170" t="s">
        <v>2130</v>
      </c>
      <c r="R418" s="170" t="s">
        <v>2532</v>
      </c>
      <c r="S418" s="170" t="s">
        <v>1201</v>
      </c>
      <c r="T418" s="170"/>
      <c r="U418" s="87" t="s">
        <v>1175</v>
      </c>
      <c r="V418" s="126" t="s">
        <v>239</v>
      </c>
      <c r="W418" s="127"/>
      <c r="X418" s="135">
        <v>45875</v>
      </c>
      <c r="Y418" s="135"/>
      <c r="Z418" s="16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  <c r="AL418" s="87"/>
      <c r="AM418" s="87"/>
      <c r="AN418" s="87"/>
      <c r="AO418" s="54"/>
      <c r="AP418" s="54"/>
      <c r="AQ418" s="54"/>
      <c r="AR418" s="87"/>
      <c r="AS418" s="87"/>
      <c r="AT418" s="87"/>
      <c r="AU418" s="87"/>
      <c r="AV418" s="87"/>
      <c r="AW418" s="87"/>
      <c r="AX418" s="87"/>
      <c r="AY418" s="87"/>
      <c r="AZ418" s="87"/>
      <c r="BA418" s="87"/>
      <c r="BB418" s="87"/>
      <c r="BC418" s="87"/>
      <c r="BD418" s="87"/>
      <c r="BE418" s="87"/>
      <c r="BF418" s="87"/>
      <c r="BG418" s="87"/>
      <c r="BH418" s="87"/>
      <c r="BI418" s="87"/>
      <c r="BJ418" s="87"/>
      <c r="BK418" s="87"/>
      <c r="BL418" s="87"/>
      <c r="BM418" s="87"/>
      <c r="BN418" s="87"/>
      <c r="BO418" s="87"/>
      <c r="BP418" s="87"/>
      <c r="BQ418" s="87"/>
      <c r="BR418" s="87"/>
      <c r="BS418" s="87"/>
      <c r="BT418" s="87"/>
      <c r="BU418" s="87"/>
      <c r="BV418" s="87"/>
      <c r="BW418" s="87"/>
      <c r="BX418" s="87"/>
      <c r="BY418" s="87"/>
      <c r="BZ418" s="87"/>
      <c r="CA418" s="87"/>
      <c r="CB418" s="87"/>
      <c r="CC418" s="87"/>
      <c r="CD418" s="87"/>
      <c r="CE418" s="87"/>
      <c r="CF418" s="87"/>
      <c r="CG418" s="87"/>
      <c r="CH418" s="87"/>
      <c r="CI418" s="87"/>
      <c r="CJ418" s="87"/>
      <c r="CK418" s="87"/>
      <c r="CL418" s="87"/>
      <c r="CM418" s="87"/>
      <c r="CN418" s="87"/>
      <c r="CO418" s="87"/>
      <c r="CP418" s="87"/>
      <c r="CQ418" s="87"/>
      <c r="NN418" s="87"/>
      <c r="NO418" s="135"/>
      <c r="NP418" s="127"/>
      <c r="NQ418" s="87"/>
      <c r="NR418" s="82"/>
      <c r="NS418" s="82"/>
      <c r="NT418" s="102"/>
      <c r="NU418" s="170"/>
      <c r="NV418" s="171"/>
      <c r="NW418" s="170"/>
      <c r="NX418" s="170"/>
      <c r="NY418" s="170"/>
      <c r="NZ418" s="170"/>
      <c r="OA418" s="170"/>
      <c r="OB418" s="170"/>
      <c r="OC418" s="170"/>
      <c r="OD418" s="170"/>
      <c r="OE418" s="170"/>
      <c r="OF418" s="170"/>
      <c r="OG418" s="60"/>
      <c r="OH418" s="87"/>
      <c r="OI418" s="126"/>
      <c r="OJ418" s="127"/>
      <c r="OK418" s="135"/>
      <c r="OL418" s="87"/>
      <c r="OM418" s="167"/>
      <c r="ON418" s="87"/>
      <c r="OO418" s="87"/>
      <c r="OP418" s="87"/>
      <c r="OQ418" s="87"/>
      <c r="OR418" s="87"/>
      <c r="OS418" s="87"/>
      <c r="OT418" s="87"/>
      <c r="OU418" s="87"/>
      <c r="OV418" s="87"/>
      <c r="OW418" s="87"/>
      <c r="OX418" s="87"/>
      <c r="OY418" s="87"/>
      <c r="OZ418" s="87"/>
      <c r="PA418" s="87"/>
      <c r="PB418" s="54"/>
      <c r="PC418" s="54"/>
      <c r="PD418" s="54"/>
      <c r="PE418" s="87"/>
      <c r="PF418" s="87"/>
      <c r="PG418" s="87"/>
      <c r="PH418" s="87"/>
      <c r="PI418" s="87"/>
      <c r="PJ418" s="87"/>
      <c r="PK418" s="87"/>
      <c r="PL418" s="87"/>
      <c r="PM418" s="87"/>
      <c r="PN418" s="87"/>
      <c r="PO418" s="87"/>
      <c r="PP418" s="87"/>
      <c r="PQ418" s="87"/>
      <c r="PR418" s="87"/>
      <c r="PS418" s="87"/>
      <c r="PT418" s="87"/>
      <c r="PU418" s="87"/>
      <c r="PV418" s="87"/>
      <c r="PW418" s="87"/>
      <c r="PX418" s="87"/>
      <c r="PY418" s="87"/>
      <c r="PZ418" s="87"/>
      <c r="QA418" s="87"/>
      <c r="QB418" s="87"/>
      <c r="QC418" s="87"/>
      <c r="QD418" s="87"/>
      <c r="QE418" s="87"/>
      <c r="QF418" s="87"/>
      <c r="QG418" s="87"/>
      <c r="QH418" s="87"/>
      <c r="QI418" s="87"/>
      <c r="QJ418" s="87"/>
      <c r="QK418" s="87"/>
      <c r="QL418" s="87"/>
      <c r="QM418" s="87"/>
      <c r="QN418" s="87"/>
      <c r="QO418" s="87"/>
      <c r="QP418" s="87"/>
      <c r="QQ418" s="87"/>
      <c r="QR418" s="87"/>
      <c r="QS418" s="87"/>
      <c r="QT418" s="87"/>
      <c r="QU418" s="87"/>
      <c r="QV418" s="87"/>
      <c r="QW418" s="87"/>
      <c r="QX418" s="87"/>
      <c r="QY418" s="87"/>
      <c r="QZ418" s="87"/>
      <c r="RA418" s="87"/>
      <c r="RB418" s="87"/>
      <c r="RC418" s="87"/>
      <c r="RD418" s="87"/>
    </row>
    <row r="419" spans="1:472">
      <c r="A419" s="87"/>
      <c r="B419" s="135">
        <v>45848</v>
      </c>
      <c r="C419" s="127">
        <v>45871</v>
      </c>
      <c r="D419" s="87" t="s">
        <v>168</v>
      </c>
      <c r="E419" s="82" t="s">
        <v>219</v>
      </c>
      <c r="F419" s="82" t="s">
        <v>220</v>
      </c>
      <c r="G419" s="102" t="s">
        <v>2533</v>
      </c>
      <c r="H419" s="170">
        <v>7544076612</v>
      </c>
      <c r="I419" s="171" t="s">
        <v>2534</v>
      </c>
      <c r="K419" s="170">
        <v>3.5</v>
      </c>
      <c r="L419" s="170">
        <v>3.5</v>
      </c>
      <c r="M419" s="170" t="s">
        <v>1845</v>
      </c>
      <c r="N419" s="170" t="s">
        <v>425</v>
      </c>
      <c r="O419" s="170" t="s">
        <v>2535</v>
      </c>
      <c r="P419" s="170" t="s">
        <v>770</v>
      </c>
      <c r="Q419" s="170" t="s">
        <v>558</v>
      </c>
      <c r="R419" s="170" t="s">
        <v>2493</v>
      </c>
      <c r="S419" s="170" t="s">
        <v>1201</v>
      </c>
      <c r="T419" s="170"/>
      <c r="U419" s="87" t="s">
        <v>1175</v>
      </c>
      <c r="V419" s="126" t="s">
        <v>339</v>
      </c>
      <c r="W419" s="127" t="s">
        <v>179</v>
      </c>
      <c r="X419" s="135">
        <v>45875</v>
      </c>
      <c r="Y419" s="135">
        <v>45877</v>
      </c>
      <c r="Z419" s="167" t="s">
        <v>340</v>
      </c>
      <c r="AA419" s="87"/>
      <c r="AB419" s="87"/>
      <c r="AC419" s="87"/>
      <c r="AD419" s="87"/>
      <c r="AE419" s="87"/>
      <c r="AF419" s="87"/>
      <c r="AG419" s="87"/>
      <c r="AH419" s="87"/>
      <c r="AI419" s="87"/>
      <c r="AJ419" s="87"/>
      <c r="AK419" s="87"/>
      <c r="AL419" s="87"/>
      <c r="AM419" s="87"/>
      <c r="AN419" s="87"/>
      <c r="AO419" s="54"/>
      <c r="AP419" s="54"/>
      <c r="AQ419" s="54"/>
      <c r="AR419" s="87"/>
      <c r="AS419" s="87"/>
      <c r="AT419" s="87"/>
      <c r="AU419" s="87"/>
      <c r="AV419" s="87"/>
      <c r="AW419" s="87"/>
      <c r="AX419" s="87"/>
      <c r="AY419" s="87"/>
      <c r="AZ419" s="87"/>
      <c r="BA419" s="87"/>
      <c r="BB419" s="87"/>
      <c r="BC419" s="87"/>
      <c r="BD419" s="87"/>
      <c r="BE419" s="87"/>
      <c r="BF419" s="87"/>
      <c r="BG419" s="87"/>
      <c r="BH419" s="87"/>
      <c r="BI419" s="87"/>
      <c r="BJ419" s="87"/>
      <c r="BK419" s="87"/>
      <c r="BL419" s="87"/>
      <c r="BM419" s="87"/>
      <c r="BN419" s="87"/>
      <c r="BO419" s="87"/>
      <c r="BP419" s="87"/>
      <c r="BQ419" s="87"/>
      <c r="BR419" s="87"/>
      <c r="BS419" s="87"/>
      <c r="BT419" s="87"/>
      <c r="BU419" s="87"/>
      <c r="BV419" s="87"/>
      <c r="BW419" s="87"/>
      <c r="BX419" s="87"/>
      <c r="BY419" s="87"/>
      <c r="BZ419" s="87"/>
      <c r="CA419" s="87"/>
      <c r="CB419" s="87"/>
      <c r="CC419" s="87"/>
      <c r="CD419" s="87"/>
      <c r="CE419" s="87"/>
      <c r="CF419" s="87"/>
      <c r="CG419" s="87"/>
      <c r="CH419" s="87"/>
      <c r="CI419" s="87"/>
      <c r="CJ419" s="87"/>
      <c r="CK419" s="87"/>
      <c r="CL419" s="87"/>
      <c r="CM419" s="87"/>
      <c r="CN419" s="87"/>
      <c r="CO419" s="87"/>
      <c r="CP419" s="87"/>
      <c r="CQ419" s="87"/>
      <c r="NN419" s="87"/>
      <c r="NO419" s="135"/>
      <c r="NP419" s="127"/>
      <c r="NQ419" s="87"/>
      <c r="NR419" s="82"/>
      <c r="NS419" s="82"/>
      <c r="NT419" s="102"/>
      <c r="NU419" s="170"/>
      <c r="NV419" s="171"/>
      <c r="NW419" s="170"/>
      <c r="NX419" s="170"/>
      <c r="NY419" s="170"/>
      <c r="NZ419" s="170"/>
      <c r="OA419" s="170"/>
      <c r="OB419" s="170"/>
      <c r="OC419" s="170"/>
      <c r="OD419" s="170"/>
      <c r="OE419" s="170"/>
      <c r="OF419" s="170"/>
      <c r="OG419" s="60"/>
      <c r="OH419" s="87"/>
      <c r="OI419" s="126"/>
      <c r="OJ419" s="127"/>
      <c r="OK419" s="135"/>
      <c r="OL419" s="87"/>
      <c r="OM419" s="167"/>
      <c r="ON419" s="87"/>
      <c r="OO419" s="87"/>
      <c r="OP419" s="87"/>
      <c r="OQ419" s="87"/>
      <c r="OR419" s="87"/>
      <c r="OS419" s="87"/>
      <c r="OT419" s="87"/>
      <c r="OU419" s="87"/>
      <c r="OV419" s="87"/>
      <c r="OW419" s="87"/>
      <c r="OX419" s="87"/>
      <c r="OY419" s="87"/>
      <c r="OZ419" s="87"/>
      <c r="PA419" s="87"/>
      <c r="PB419" s="54"/>
      <c r="PC419" s="54"/>
      <c r="PD419" s="54"/>
      <c r="PE419" s="87"/>
      <c r="PF419" s="87"/>
      <c r="PG419" s="87"/>
      <c r="PH419" s="87"/>
      <c r="PI419" s="87"/>
      <c r="PJ419" s="87"/>
      <c r="PK419" s="87"/>
      <c r="PL419" s="87"/>
      <c r="PM419" s="87"/>
      <c r="PN419" s="87"/>
      <c r="PO419" s="87"/>
      <c r="PP419" s="87"/>
      <c r="PQ419" s="87"/>
      <c r="PR419" s="87"/>
      <c r="PS419" s="87"/>
      <c r="PT419" s="87"/>
      <c r="PU419" s="87"/>
      <c r="PV419" s="87"/>
      <c r="PW419" s="87"/>
      <c r="PX419" s="87"/>
      <c r="PY419" s="87"/>
      <c r="PZ419" s="87"/>
      <c r="QA419" s="87"/>
      <c r="QB419" s="87"/>
      <c r="QC419" s="87"/>
      <c r="QD419" s="87"/>
      <c r="QE419" s="87"/>
      <c r="QF419" s="87"/>
      <c r="QG419" s="87"/>
      <c r="QH419" s="87"/>
      <c r="QI419" s="87"/>
      <c r="QJ419" s="87"/>
      <c r="QK419" s="87"/>
      <c r="QL419" s="87"/>
      <c r="QM419" s="87"/>
      <c r="QN419" s="87"/>
      <c r="QO419" s="87"/>
      <c r="QP419" s="87"/>
      <c r="QQ419" s="87"/>
      <c r="QR419" s="87"/>
      <c r="QS419" s="87"/>
      <c r="QT419" s="87"/>
      <c r="QU419" s="87"/>
      <c r="QV419" s="87"/>
      <c r="QW419" s="87"/>
      <c r="QX419" s="87"/>
      <c r="QY419" s="87"/>
      <c r="QZ419" s="87"/>
      <c r="RA419" s="87"/>
      <c r="RB419" s="87"/>
      <c r="RC419" s="87"/>
      <c r="RD419" s="87"/>
    </row>
    <row r="420" spans="1:472">
      <c r="A420" s="87"/>
      <c r="B420" s="135">
        <v>45848</v>
      </c>
      <c r="C420" s="127">
        <v>45871</v>
      </c>
      <c r="D420" s="87" t="s">
        <v>150</v>
      </c>
      <c r="E420" s="82" t="s">
        <v>219</v>
      </c>
      <c r="F420" s="82" t="s">
        <v>220</v>
      </c>
      <c r="G420" s="102" t="s">
        <v>2536</v>
      </c>
      <c r="H420" s="170">
        <v>8169815151</v>
      </c>
      <c r="I420" s="171" t="s">
        <v>2537</v>
      </c>
      <c r="J420" s="53" t="s">
        <v>2538</v>
      </c>
      <c r="K420" s="170">
        <v>2</v>
      </c>
      <c r="L420" s="170" t="s">
        <v>1226</v>
      </c>
      <c r="M420" s="170" t="s">
        <v>2539</v>
      </c>
      <c r="N420" s="170" t="s">
        <v>2540</v>
      </c>
      <c r="O420" s="170" t="s">
        <v>2541</v>
      </c>
      <c r="P420" s="170">
        <v>0.3</v>
      </c>
      <c r="Q420" s="170" t="s">
        <v>456</v>
      </c>
      <c r="R420" s="170" t="s">
        <v>2542</v>
      </c>
      <c r="S420" s="170" t="s">
        <v>1201</v>
      </c>
      <c r="T420" s="170"/>
      <c r="U420" s="87" t="s">
        <v>671</v>
      </c>
      <c r="V420" s="126" t="s">
        <v>339</v>
      </c>
      <c r="W420" s="127" t="s">
        <v>179</v>
      </c>
      <c r="X420" s="135">
        <v>45875</v>
      </c>
      <c r="Y420" s="135">
        <v>45876</v>
      </c>
      <c r="Z420" s="167" t="s">
        <v>340</v>
      </c>
      <c r="AA420" s="87"/>
      <c r="AB420" s="87"/>
      <c r="AC420" s="87"/>
      <c r="AD420" s="87"/>
      <c r="AE420" s="87"/>
      <c r="AF420" s="87"/>
      <c r="AG420" s="87"/>
      <c r="AH420" s="87"/>
      <c r="AI420" s="87"/>
      <c r="AJ420" s="87"/>
      <c r="AK420" s="87"/>
      <c r="AL420" s="87"/>
      <c r="AM420" s="87"/>
      <c r="AN420" s="87"/>
      <c r="AO420" s="54"/>
      <c r="AP420" s="54"/>
      <c r="AQ420" s="54"/>
      <c r="AR420" s="87"/>
      <c r="AS420" s="87"/>
      <c r="AT420" s="87"/>
      <c r="AU420" s="87"/>
      <c r="AV420" s="87"/>
      <c r="AW420" s="87"/>
      <c r="AX420" s="87"/>
      <c r="AY420" s="87"/>
      <c r="AZ420" s="87"/>
      <c r="BA420" s="87"/>
      <c r="BB420" s="87"/>
      <c r="BC420" s="87"/>
      <c r="BD420" s="87"/>
      <c r="BE420" s="87"/>
      <c r="BF420" s="87"/>
      <c r="BG420" s="87"/>
      <c r="BH420" s="87"/>
      <c r="BI420" s="87"/>
      <c r="BJ420" s="87"/>
      <c r="BK420" s="87"/>
      <c r="BL420" s="87"/>
      <c r="BM420" s="87"/>
      <c r="BN420" s="87"/>
      <c r="BO420" s="87"/>
      <c r="BP420" s="87"/>
      <c r="BQ420" s="87"/>
      <c r="BR420" s="87"/>
      <c r="BS420" s="87"/>
      <c r="BT420" s="87"/>
      <c r="BU420" s="87"/>
      <c r="BV420" s="87"/>
      <c r="BW420" s="87"/>
      <c r="BX420" s="87"/>
      <c r="BY420" s="87"/>
      <c r="BZ420" s="87"/>
      <c r="CA420" s="87"/>
      <c r="CB420" s="87"/>
      <c r="CC420" s="87"/>
      <c r="CD420" s="87"/>
      <c r="CE420" s="87"/>
      <c r="CF420" s="87"/>
      <c r="CG420" s="87"/>
      <c r="CH420" s="87"/>
      <c r="CI420" s="87"/>
      <c r="CJ420" s="87"/>
      <c r="CK420" s="87"/>
      <c r="CL420" s="87"/>
      <c r="CM420" s="87"/>
      <c r="CN420" s="87"/>
      <c r="CO420" s="87"/>
      <c r="CP420" s="87"/>
      <c r="CQ420" s="87"/>
      <c r="NN420" s="87"/>
      <c r="NO420" s="135"/>
      <c r="NP420" s="127"/>
      <c r="NQ420" s="87"/>
      <c r="NR420" s="82"/>
      <c r="NS420" s="82"/>
      <c r="NT420" s="102"/>
      <c r="NU420" s="170"/>
      <c r="NV420" s="171"/>
      <c r="NW420" s="170"/>
      <c r="NX420" s="170"/>
      <c r="NY420" s="170"/>
      <c r="NZ420" s="170"/>
      <c r="OA420" s="170"/>
      <c r="OB420" s="170"/>
      <c r="OC420" s="170"/>
      <c r="OD420" s="170"/>
      <c r="OE420" s="170"/>
      <c r="OF420" s="170"/>
      <c r="OG420" s="60"/>
      <c r="OH420" s="87"/>
      <c r="OI420" s="126"/>
      <c r="OJ420" s="127"/>
      <c r="OK420" s="135"/>
      <c r="OL420" s="87"/>
      <c r="OM420" s="167"/>
      <c r="ON420" s="87"/>
      <c r="OO420" s="87"/>
      <c r="OP420" s="87"/>
      <c r="OQ420" s="87"/>
      <c r="OR420" s="87"/>
      <c r="OS420" s="87"/>
      <c r="OT420" s="87"/>
      <c r="OU420" s="87"/>
      <c r="OV420" s="87"/>
      <c r="OW420" s="87"/>
      <c r="OX420" s="87"/>
      <c r="OY420" s="87"/>
      <c r="OZ420" s="87"/>
      <c r="PA420" s="87"/>
      <c r="PB420" s="54"/>
      <c r="PC420" s="54"/>
      <c r="PD420" s="54"/>
      <c r="PE420" s="87"/>
      <c r="PF420" s="87"/>
      <c r="PG420" s="87"/>
      <c r="PH420" s="87"/>
      <c r="PI420" s="87"/>
      <c r="PJ420" s="87"/>
      <c r="PK420" s="87"/>
      <c r="PL420" s="87"/>
      <c r="PM420" s="87"/>
      <c r="PN420" s="87"/>
      <c r="PO420" s="87"/>
      <c r="PP420" s="87"/>
      <c r="PQ420" s="87"/>
      <c r="PR420" s="87"/>
      <c r="PS420" s="87"/>
      <c r="PT420" s="87"/>
      <c r="PU420" s="87"/>
      <c r="PV420" s="87"/>
      <c r="PW420" s="87"/>
      <c r="PX420" s="87"/>
      <c r="PY420" s="87"/>
      <c r="PZ420" s="87"/>
      <c r="QA420" s="87"/>
      <c r="QB420" s="87"/>
      <c r="QC420" s="87"/>
      <c r="QD420" s="87"/>
      <c r="QE420" s="87"/>
      <c r="QF420" s="87"/>
      <c r="QG420" s="87"/>
      <c r="QH420" s="87"/>
      <c r="QI420" s="87"/>
      <c r="QJ420" s="87"/>
      <c r="QK420" s="87"/>
      <c r="QL420" s="87"/>
      <c r="QM420" s="87"/>
      <c r="QN420" s="87"/>
      <c r="QO420" s="87"/>
      <c r="QP420" s="87"/>
      <c r="QQ420" s="87"/>
      <c r="QR420" s="87"/>
      <c r="QS420" s="87"/>
      <c r="QT420" s="87"/>
      <c r="QU420" s="87"/>
      <c r="QV420" s="87"/>
      <c r="QW420" s="87"/>
      <c r="QX420" s="87"/>
      <c r="QY420" s="87"/>
      <c r="QZ420" s="87"/>
      <c r="RA420" s="87"/>
      <c r="RB420" s="87"/>
      <c r="RC420" s="87"/>
      <c r="RD420" s="87"/>
    </row>
    <row r="421" spans="1:472">
      <c r="A421" s="87"/>
      <c r="B421" s="135">
        <v>45848</v>
      </c>
      <c r="C421" s="127">
        <v>45875</v>
      </c>
      <c r="D421" s="87" t="s">
        <v>178</v>
      </c>
      <c r="E421" s="82" t="s">
        <v>219</v>
      </c>
      <c r="F421" s="82" t="s">
        <v>220</v>
      </c>
      <c r="G421" s="102" t="s">
        <v>2543</v>
      </c>
      <c r="H421" s="170">
        <v>9106701523</v>
      </c>
      <c r="I421" s="171" t="s">
        <v>2544</v>
      </c>
      <c r="K421" s="170">
        <v>11</v>
      </c>
      <c r="L421" s="170">
        <v>11</v>
      </c>
      <c r="M421" s="170" t="s">
        <v>1845</v>
      </c>
      <c r="N421" s="170" t="s">
        <v>2545</v>
      </c>
      <c r="O421" s="170" t="s">
        <v>78</v>
      </c>
      <c r="P421" s="170" t="s">
        <v>2546</v>
      </c>
      <c r="Q421" s="170" t="s">
        <v>558</v>
      </c>
      <c r="R421" s="170" t="s">
        <v>2493</v>
      </c>
      <c r="S421" s="170" t="s">
        <v>1201</v>
      </c>
      <c r="T421" s="170"/>
      <c r="U421" s="87" t="s">
        <v>1175</v>
      </c>
      <c r="V421" s="126"/>
      <c r="W421" s="127"/>
      <c r="X421" s="135">
        <v>45881</v>
      </c>
      <c r="Y421" s="135"/>
      <c r="Z421" s="167"/>
      <c r="AA421" s="87"/>
      <c r="AB421" s="87"/>
      <c r="AC421" s="87"/>
      <c r="AD421" s="87"/>
      <c r="AE421" s="87"/>
      <c r="AF421" s="87"/>
      <c r="AG421" s="87"/>
      <c r="AH421" s="87"/>
      <c r="AI421" s="87"/>
      <c r="AJ421" s="87"/>
      <c r="AK421" s="87"/>
      <c r="AL421" s="87"/>
      <c r="AM421" s="87"/>
      <c r="AN421" s="87"/>
      <c r="AO421" s="54"/>
      <c r="AP421" s="54"/>
      <c r="AQ421" s="54"/>
      <c r="AR421" s="87"/>
      <c r="AS421" s="87"/>
      <c r="AT421" s="87"/>
      <c r="AU421" s="87"/>
      <c r="AV421" s="87"/>
      <c r="AW421" s="87"/>
      <c r="AX421" s="87"/>
      <c r="AY421" s="87"/>
      <c r="AZ421" s="87"/>
      <c r="BA421" s="87"/>
      <c r="BB421" s="87"/>
      <c r="BC421" s="87"/>
      <c r="BD421" s="87"/>
      <c r="BE421" s="87"/>
      <c r="BF421" s="87"/>
      <c r="BG421" s="87"/>
      <c r="BH421" s="87"/>
      <c r="BI421" s="87"/>
      <c r="BJ421" s="87"/>
      <c r="BK421" s="87"/>
      <c r="BL421" s="87"/>
      <c r="BM421" s="87"/>
      <c r="BN421" s="87"/>
      <c r="BO421" s="87"/>
      <c r="BP421" s="87"/>
      <c r="BQ421" s="87"/>
      <c r="BR421" s="87"/>
      <c r="BS421" s="87"/>
      <c r="BT421" s="87"/>
      <c r="BU421" s="87"/>
      <c r="BV421" s="87"/>
      <c r="BW421" s="87"/>
      <c r="BX421" s="87"/>
      <c r="BY421" s="87"/>
      <c r="BZ421" s="87"/>
      <c r="CA421" s="87"/>
      <c r="CB421" s="87"/>
      <c r="CC421" s="87"/>
      <c r="CD421" s="87"/>
      <c r="CE421" s="87"/>
      <c r="CF421" s="87"/>
      <c r="CG421" s="87"/>
      <c r="CH421" s="87"/>
      <c r="CI421" s="87"/>
      <c r="CJ421" s="87"/>
      <c r="CK421" s="87"/>
      <c r="CL421" s="87"/>
      <c r="CM421" s="87"/>
      <c r="CN421" s="87"/>
      <c r="CO421" s="87"/>
      <c r="CP421" s="87"/>
      <c r="CQ421" s="87"/>
      <c r="NN421" s="87"/>
      <c r="NO421" s="135"/>
      <c r="NP421" s="127"/>
      <c r="NQ421" s="87"/>
      <c r="NR421" s="82"/>
      <c r="NS421" s="82"/>
      <c r="NT421" s="102"/>
      <c r="NU421" s="170"/>
      <c r="NV421" s="171"/>
      <c r="NW421" s="170"/>
      <c r="NX421" s="170"/>
      <c r="NY421" s="170"/>
      <c r="NZ421" s="170"/>
      <c r="OA421" s="170"/>
      <c r="OB421" s="170"/>
      <c r="OC421" s="170"/>
      <c r="OD421" s="170"/>
      <c r="OE421" s="170"/>
      <c r="OF421" s="170"/>
      <c r="OG421" s="60"/>
      <c r="OH421" s="87"/>
      <c r="OI421" s="126"/>
      <c r="OJ421" s="127"/>
      <c r="OK421" s="135"/>
      <c r="OL421" s="87"/>
      <c r="OM421" s="167"/>
      <c r="ON421" s="87"/>
      <c r="OO421" s="87"/>
      <c r="OP421" s="87"/>
      <c r="OQ421" s="87"/>
      <c r="OR421" s="87"/>
      <c r="OS421" s="87"/>
      <c r="OT421" s="87"/>
      <c r="OU421" s="87"/>
      <c r="OV421" s="87"/>
      <c r="OW421" s="87"/>
      <c r="OX421" s="87"/>
      <c r="OY421" s="87"/>
      <c r="OZ421" s="87"/>
      <c r="PA421" s="87"/>
      <c r="PB421" s="54"/>
      <c r="PC421" s="54"/>
      <c r="PD421" s="54"/>
      <c r="PE421" s="87"/>
      <c r="PF421" s="87"/>
      <c r="PG421" s="87"/>
      <c r="PH421" s="87"/>
      <c r="PI421" s="87"/>
      <c r="PJ421" s="87"/>
      <c r="PK421" s="87"/>
      <c r="PL421" s="87"/>
      <c r="PM421" s="87"/>
      <c r="PN421" s="87"/>
      <c r="PO421" s="87"/>
      <c r="PP421" s="87"/>
      <c r="PQ421" s="87"/>
      <c r="PR421" s="87"/>
      <c r="PS421" s="87"/>
      <c r="PT421" s="87"/>
      <c r="PU421" s="87"/>
      <c r="PV421" s="87"/>
      <c r="PW421" s="87"/>
      <c r="PX421" s="87"/>
      <c r="PY421" s="87"/>
      <c r="PZ421" s="87"/>
      <c r="QA421" s="87"/>
      <c r="QB421" s="87"/>
      <c r="QC421" s="87"/>
      <c r="QD421" s="87"/>
      <c r="QE421" s="87"/>
      <c r="QF421" s="87"/>
      <c r="QG421" s="87"/>
      <c r="QH421" s="87"/>
      <c r="QI421" s="87"/>
      <c r="QJ421" s="87"/>
      <c r="QK421" s="87"/>
      <c r="QL421" s="87"/>
      <c r="QM421" s="87"/>
      <c r="QN421" s="87"/>
      <c r="QO421" s="87"/>
      <c r="QP421" s="87"/>
      <c r="QQ421" s="87"/>
      <c r="QR421" s="87"/>
      <c r="QS421" s="87"/>
      <c r="QT421" s="87"/>
      <c r="QU421" s="87"/>
      <c r="QV421" s="87"/>
      <c r="QW421" s="87"/>
      <c r="QX421" s="87"/>
      <c r="QY421" s="87"/>
      <c r="QZ421" s="87"/>
      <c r="RA421" s="87"/>
      <c r="RB421" s="87"/>
      <c r="RC421" s="87"/>
      <c r="RD421" s="87"/>
    </row>
    <row r="422" spans="1:472">
      <c r="A422" s="87"/>
      <c r="B422" s="135">
        <v>45848</v>
      </c>
      <c r="C422" s="127">
        <v>45875</v>
      </c>
      <c r="D422" s="87" t="s">
        <v>178</v>
      </c>
      <c r="E422" s="82" t="s">
        <v>219</v>
      </c>
      <c r="F422" s="82" t="s">
        <v>220</v>
      </c>
      <c r="G422" s="102" t="s">
        <v>2547</v>
      </c>
      <c r="H422" s="170">
        <v>6206226742</v>
      </c>
      <c r="I422" s="171" t="s">
        <v>2548</v>
      </c>
      <c r="K422" s="170">
        <v>8</v>
      </c>
      <c r="L422" s="170">
        <v>8</v>
      </c>
      <c r="M422" s="170" t="s">
        <v>1871</v>
      </c>
      <c r="N422" s="170" t="s">
        <v>425</v>
      </c>
      <c r="O422" s="170" t="s">
        <v>2549</v>
      </c>
      <c r="P422" s="170" t="s">
        <v>2121</v>
      </c>
      <c r="Q422" s="170" t="s">
        <v>2550</v>
      </c>
      <c r="R422" s="170" t="s">
        <v>1842</v>
      </c>
      <c r="S422" s="170" t="s">
        <v>1201</v>
      </c>
      <c r="T422" s="170" t="s">
        <v>2551</v>
      </c>
      <c r="U422" s="87" t="s">
        <v>1175</v>
      </c>
      <c r="V422" s="126"/>
      <c r="W422" s="127"/>
      <c r="X422" s="135">
        <v>45881</v>
      </c>
      <c r="Y422" s="135">
        <v>45883</v>
      </c>
      <c r="Z422" s="167" t="s">
        <v>232</v>
      </c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  <c r="AL422" s="87"/>
      <c r="AM422" s="87"/>
      <c r="AN422" s="87"/>
      <c r="AO422" s="54"/>
      <c r="AP422" s="54"/>
      <c r="AQ422" s="54"/>
      <c r="AR422" s="87"/>
      <c r="AS422" s="87"/>
      <c r="AT422" s="87"/>
      <c r="AU422" s="87"/>
      <c r="AV422" s="87"/>
      <c r="AW422" s="87"/>
      <c r="AX422" s="87"/>
      <c r="AY422" s="87"/>
      <c r="AZ422" s="87"/>
      <c r="BA422" s="87"/>
      <c r="BB422" s="87"/>
      <c r="BC422" s="87"/>
      <c r="BD422" s="87"/>
      <c r="BE422" s="87"/>
      <c r="BF422" s="87"/>
      <c r="BG422" s="87"/>
      <c r="BH422" s="87"/>
      <c r="BI422" s="87"/>
      <c r="BJ422" s="87"/>
      <c r="BK422" s="87"/>
      <c r="BL422" s="87"/>
      <c r="BM422" s="87"/>
      <c r="BN422" s="87"/>
      <c r="BO422" s="87"/>
      <c r="BP422" s="87"/>
      <c r="BQ422" s="87"/>
      <c r="BR422" s="87"/>
      <c r="BS422" s="87"/>
      <c r="BT422" s="87"/>
      <c r="BU422" s="87"/>
      <c r="BV422" s="87"/>
      <c r="BW422" s="87"/>
      <c r="BX422" s="87"/>
      <c r="BY422" s="87"/>
      <c r="BZ422" s="87"/>
      <c r="CA422" s="87"/>
      <c r="CB422" s="87"/>
      <c r="CC422" s="87"/>
      <c r="CD422" s="87"/>
      <c r="CE422" s="87"/>
      <c r="CF422" s="87"/>
      <c r="CG422" s="87"/>
      <c r="CH422" s="87"/>
      <c r="CI422" s="87"/>
      <c r="CJ422" s="87"/>
      <c r="CK422" s="87"/>
      <c r="CL422" s="87"/>
      <c r="CM422" s="87"/>
      <c r="CN422" s="87"/>
      <c r="CO422" s="87"/>
      <c r="CP422" s="87"/>
      <c r="CQ422" s="87"/>
      <c r="NN422" s="87"/>
      <c r="NO422" s="135"/>
      <c r="NP422" s="127"/>
      <c r="NQ422" s="87"/>
      <c r="NR422" s="82"/>
      <c r="NS422" s="82"/>
      <c r="NT422" s="102"/>
      <c r="NU422" s="170"/>
      <c r="NV422" s="171"/>
      <c r="NW422" s="170"/>
      <c r="NX422" s="170"/>
      <c r="NY422" s="170"/>
      <c r="NZ422" s="170"/>
      <c r="OA422" s="170"/>
      <c r="OB422" s="170"/>
      <c r="OC422" s="170"/>
      <c r="OD422" s="170"/>
      <c r="OE422" s="170"/>
      <c r="OF422" s="170"/>
      <c r="OG422" s="60"/>
      <c r="OH422" s="87"/>
      <c r="OI422" s="126"/>
      <c r="OJ422" s="127"/>
      <c r="OK422" s="135"/>
      <c r="OL422" s="87"/>
      <c r="OM422" s="167"/>
      <c r="ON422" s="87"/>
      <c r="OO422" s="87"/>
      <c r="OP422" s="87"/>
      <c r="OQ422" s="87"/>
      <c r="OR422" s="87"/>
      <c r="OS422" s="87"/>
      <c r="OT422" s="87"/>
      <c r="OU422" s="87"/>
      <c r="OV422" s="87"/>
      <c r="OW422" s="87"/>
      <c r="OX422" s="87"/>
      <c r="OY422" s="87"/>
      <c r="OZ422" s="87"/>
      <c r="PA422" s="87"/>
      <c r="PB422" s="54"/>
      <c r="PC422" s="54"/>
      <c r="PD422" s="54"/>
      <c r="PE422" s="87"/>
      <c r="PF422" s="87"/>
      <c r="PG422" s="87"/>
      <c r="PH422" s="87"/>
      <c r="PI422" s="87"/>
      <c r="PJ422" s="87"/>
      <c r="PK422" s="87"/>
      <c r="PL422" s="87"/>
      <c r="PM422" s="87"/>
      <c r="PN422" s="87"/>
      <c r="PO422" s="87"/>
      <c r="PP422" s="87"/>
      <c r="PQ422" s="87"/>
      <c r="PR422" s="87"/>
      <c r="PS422" s="87"/>
      <c r="PT422" s="87"/>
      <c r="PU422" s="87"/>
      <c r="PV422" s="87"/>
      <c r="PW422" s="87"/>
      <c r="PX422" s="87"/>
      <c r="PY422" s="87"/>
      <c r="PZ422" s="87"/>
      <c r="QA422" s="87"/>
      <c r="QB422" s="87"/>
      <c r="QC422" s="87"/>
      <c r="QD422" s="87"/>
      <c r="QE422" s="87"/>
      <c r="QF422" s="87"/>
      <c r="QG422" s="87"/>
      <c r="QH422" s="87"/>
      <c r="QI422" s="87"/>
      <c r="QJ422" s="87"/>
      <c r="QK422" s="87"/>
      <c r="QL422" s="87"/>
      <c r="QM422" s="87"/>
      <c r="QN422" s="87"/>
      <c r="QO422" s="87"/>
      <c r="QP422" s="87"/>
      <c r="QQ422" s="87"/>
      <c r="QR422" s="87"/>
      <c r="QS422" s="87"/>
      <c r="QT422" s="87"/>
      <c r="QU422" s="87"/>
      <c r="QV422" s="87"/>
      <c r="QW422" s="87"/>
      <c r="QX422" s="87"/>
      <c r="QY422" s="87"/>
      <c r="QZ422" s="87"/>
      <c r="RA422" s="87"/>
      <c r="RB422" s="87"/>
      <c r="RC422" s="87"/>
      <c r="RD422" s="87"/>
    </row>
    <row r="423" spans="1:472">
      <c r="A423" s="87"/>
      <c r="B423" s="135">
        <v>45848</v>
      </c>
      <c r="C423" s="127">
        <v>45875</v>
      </c>
      <c r="D423" s="87" t="s">
        <v>178</v>
      </c>
      <c r="E423" s="82" t="s">
        <v>219</v>
      </c>
      <c r="F423" s="82" t="s">
        <v>220</v>
      </c>
      <c r="G423" s="102" t="s">
        <v>2552</v>
      </c>
      <c r="H423" s="170">
        <v>7017701835</v>
      </c>
      <c r="I423" s="171" t="s">
        <v>2553</v>
      </c>
      <c r="K423" s="170">
        <v>4.5</v>
      </c>
      <c r="L423" s="170">
        <v>4.5</v>
      </c>
      <c r="M423" s="170" t="s">
        <v>2554</v>
      </c>
      <c r="N423" s="170" t="s">
        <v>425</v>
      </c>
      <c r="O423" s="170" t="s">
        <v>2555</v>
      </c>
      <c r="P423" s="170" t="s">
        <v>2121</v>
      </c>
      <c r="Q423" s="170" t="s">
        <v>2130</v>
      </c>
      <c r="R423" s="170" t="s">
        <v>2556</v>
      </c>
      <c r="S423" s="170" t="s">
        <v>1201</v>
      </c>
      <c r="T423" s="170" t="s">
        <v>2557</v>
      </c>
      <c r="U423" s="87" t="s">
        <v>1175</v>
      </c>
      <c r="V423" s="126" t="s">
        <v>231</v>
      </c>
      <c r="W423" s="127"/>
      <c r="X423" s="135">
        <v>45881</v>
      </c>
      <c r="Y423" s="135">
        <v>45883</v>
      </c>
      <c r="Z423" s="167" t="s">
        <v>232</v>
      </c>
      <c r="AA423" s="87"/>
      <c r="AB423" s="87"/>
      <c r="AC423" s="87"/>
      <c r="AD423" s="87"/>
      <c r="AE423" s="87"/>
      <c r="AF423" s="87"/>
      <c r="AG423" s="87"/>
      <c r="AH423" s="87"/>
      <c r="AI423" s="87"/>
      <c r="AJ423" s="87"/>
      <c r="AK423" s="87"/>
      <c r="AL423" s="87"/>
      <c r="AM423" s="87"/>
      <c r="AN423" s="87"/>
      <c r="AO423" s="54"/>
      <c r="AP423" s="54"/>
      <c r="AQ423" s="54"/>
      <c r="AR423" s="87"/>
      <c r="AS423" s="87"/>
      <c r="AT423" s="87"/>
      <c r="AU423" s="87"/>
      <c r="AV423" s="87"/>
      <c r="AW423" s="87"/>
      <c r="AX423" s="87"/>
      <c r="AY423" s="87"/>
      <c r="AZ423" s="87"/>
      <c r="BA423" s="87"/>
      <c r="BB423" s="87"/>
      <c r="BC423" s="87"/>
      <c r="BD423" s="87"/>
      <c r="BE423" s="87"/>
      <c r="BF423" s="87"/>
      <c r="BG423" s="87"/>
      <c r="BH423" s="87"/>
      <c r="BI423" s="87"/>
      <c r="BJ423" s="87"/>
      <c r="BK423" s="87"/>
      <c r="BL423" s="87"/>
      <c r="BM423" s="87"/>
      <c r="BN423" s="87"/>
      <c r="BO423" s="87"/>
      <c r="BP423" s="87"/>
      <c r="BQ423" s="87"/>
      <c r="BR423" s="87"/>
      <c r="BS423" s="87"/>
      <c r="BT423" s="87"/>
      <c r="BU423" s="87"/>
      <c r="BV423" s="87"/>
      <c r="BW423" s="87"/>
      <c r="BX423" s="87"/>
      <c r="BY423" s="87"/>
      <c r="BZ423" s="87"/>
      <c r="CA423" s="87"/>
      <c r="CB423" s="87"/>
      <c r="CC423" s="87"/>
      <c r="CD423" s="87"/>
      <c r="CE423" s="87"/>
      <c r="CF423" s="87"/>
      <c r="CG423" s="87"/>
      <c r="CH423" s="87"/>
      <c r="CI423" s="87"/>
      <c r="CJ423" s="87"/>
      <c r="CK423" s="87"/>
      <c r="CL423" s="87"/>
      <c r="CM423" s="87"/>
      <c r="CN423" s="87"/>
      <c r="CO423" s="87"/>
      <c r="CP423" s="87"/>
      <c r="CQ423" s="87"/>
      <c r="NN423" s="87"/>
      <c r="NO423" s="135"/>
      <c r="NP423" s="127"/>
      <c r="NQ423" s="87"/>
      <c r="NR423" s="82"/>
      <c r="NS423" s="82"/>
      <c r="NT423" s="102"/>
      <c r="NU423" s="170"/>
      <c r="NV423" s="171"/>
      <c r="NW423" s="170"/>
      <c r="NX423" s="170"/>
      <c r="NY423" s="170"/>
      <c r="NZ423" s="170"/>
      <c r="OA423" s="170"/>
      <c r="OB423" s="170"/>
      <c r="OC423" s="170"/>
      <c r="OD423" s="170"/>
      <c r="OE423" s="170"/>
      <c r="OF423" s="170"/>
      <c r="OG423" s="60"/>
      <c r="OH423" s="87"/>
      <c r="OI423" s="126"/>
      <c r="OJ423" s="127"/>
      <c r="OK423" s="135"/>
      <c r="OL423" s="87"/>
      <c r="OM423" s="167"/>
      <c r="ON423" s="87"/>
      <c r="OO423" s="87"/>
      <c r="OP423" s="87"/>
      <c r="OQ423" s="87"/>
      <c r="OR423" s="87"/>
      <c r="OS423" s="87"/>
      <c r="OT423" s="87"/>
      <c r="OU423" s="87"/>
      <c r="OV423" s="87"/>
      <c r="OW423" s="87"/>
      <c r="OX423" s="87"/>
      <c r="OY423" s="87"/>
      <c r="OZ423" s="87"/>
      <c r="PA423" s="87"/>
      <c r="PB423" s="54"/>
      <c r="PC423" s="54"/>
      <c r="PD423" s="54"/>
      <c r="PE423" s="87"/>
      <c r="PF423" s="87"/>
      <c r="PG423" s="87"/>
      <c r="PH423" s="87"/>
      <c r="PI423" s="87"/>
      <c r="PJ423" s="87"/>
      <c r="PK423" s="87"/>
      <c r="PL423" s="87"/>
      <c r="PM423" s="87"/>
      <c r="PN423" s="87"/>
      <c r="PO423" s="87"/>
      <c r="PP423" s="87"/>
      <c r="PQ423" s="87"/>
      <c r="PR423" s="87"/>
      <c r="PS423" s="87"/>
      <c r="PT423" s="87"/>
      <c r="PU423" s="87"/>
      <c r="PV423" s="87"/>
      <c r="PW423" s="87"/>
      <c r="PX423" s="87"/>
      <c r="PY423" s="87"/>
      <c r="PZ423" s="87"/>
      <c r="QA423" s="87"/>
      <c r="QB423" s="87"/>
      <c r="QC423" s="87"/>
      <c r="QD423" s="87"/>
      <c r="QE423" s="87"/>
      <c r="QF423" s="87"/>
      <c r="QG423" s="87"/>
      <c r="QH423" s="87"/>
      <c r="QI423" s="87"/>
      <c r="QJ423" s="87"/>
      <c r="QK423" s="87"/>
      <c r="QL423" s="87"/>
      <c r="QM423" s="87"/>
      <c r="QN423" s="87"/>
      <c r="QO423" s="87"/>
      <c r="QP423" s="87"/>
      <c r="QQ423" s="87"/>
      <c r="QR423" s="87"/>
      <c r="QS423" s="87"/>
      <c r="QT423" s="87"/>
      <c r="QU423" s="87"/>
      <c r="QV423" s="87"/>
      <c r="QW423" s="87"/>
      <c r="QX423" s="87"/>
      <c r="QY423" s="87"/>
      <c r="QZ423" s="87"/>
      <c r="RA423" s="87"/>
      <c r="RB423" s="87"/>
      <c r="RC423" s="87"/>
      <c r="RD423" s="87"/>
    </row>
    <row r="424" spans="1:472">
      <c r="A424" s="87"/>
      <c r="B424" s="135">
        <v>45848</v>
      </c>
      <c r="C424" s="127">
        <v>45875</v>
      </c>
      <c r="D424" s="87" t="s">
        <v>178</v>
      </c>
      <c r="E424" s="82" t="s">
        <v>219</v>
      </c>
      <c r="F424" s="82" t="s">
        <v>220</v>
      </c>
      <c r="G424" s="89" t="s">
        <v>2558</v>
      </c>
      <c r="H424" s="89">
        <v>7666768904</v>
      </c>
      <c r="I424" s="207" t="s">
        <v>2559</v>
      </c>
      <c r="J424" s="87" t="s">
        <v>2560</v>
      </c>
      <c r="K424" s="89">
        <v>15</v>
      </c>
      <c r="L424" s="89">
        <v>15</v>
      </c>
      <c r="M424" s="89" t="s">
        <v>2561</v>
      </c>
      <c r="N424" s="89" t="s">
        <v>1433</v>
      </c>
      <c r="O424" s="89" t="s">
        <v>2562</v>
      </c>
      <c r="P424" s="89">
        <v>0.2</v>
      </c>
      <c r="Q424" s="89" t="s">
        <v>208</v>
      </c>
      <c r="R424" s="89" t="s">
        <v>2563</v>
      </c>
      <c r="S424" s="89" t="s">
        <v>1201</v>
      </c>
      <c r="T424" s="102" t="s">
        <v>2005</v>
      </c>
      <c r="U424" s="87" t="s">
        <v>671</v>
      </c>
      <c r="V424" s="126" t="s">
        <v>339</v>
      </c>
      <c r="W424" s="127" t="s">
        <v>179</v>
      </c>
      <c r="X424" s="135">
        <v>45881</v>
      </c>
      <c r="Y424" s="135">
        <v>45883</v>
      </c>
      <c r="Z424" s="167" t="s">
        <v>340</v>
      </c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  <c r="AL424" s="87"/>
      <c r="AM424" s="87"/>
      <c r="AN424" s="87"/>
      <c r="AO424" s="82"/>
      <c r="AP424" s="54"/>
      <c r="AQ424" s="54"/>
      <c r="AR424" s="60"/>
      <c r="AS424" s="87"/>
      <c r="AT424" s="87"/>
      <c r="AU424" s="87"/>
      <c r="AV424" s="87"/>
      <c r="AW424" s="87"/>
      <c r="AX424" s="87"/>
      <c r="AY424" s="87"/>
      <c r="AZ424" s="87"/>
      <c r="BA424" s="87"/>
      <c r="BB424" s="87"/>
      <c r="BC424" s="87"/>
      <c r="BD424" s="87"/>
      <c r="BE424" s="87"/>
      <c r="BF424" s="87"/>
      <c r="BG424" s="87"/>
      <c r="BH424" s="87"/>
      <c r="BI424" s="87"/>
      <c r="BJ424" s="87"/>
      <c r="BK424" s="87"/>
      <c r="BL424" s="87"/>
      <c r="BM424" s="87"/>
      <c r="BN424" s="87"/>
      <c r="BO424" s="87"/>
      <c r="BP424" s="87"/>
      <c r="BQ424" s="87"/>
      <c r="BR424" s="87"/>
      <c r="BS424" s="87"/>
      <c r="BT424" s="87"/>
      <c r="BU424" s="87"/>
      <c r="BV424" s="87"/>
      <c r="BW424" s="87"/>
      <c r="BX424" s="87"/>
      <c r="BY424" s="87"/>
      <c r="BZ424" s="87"/>
      <c r="CA424" s="87"/>
      <c r="CB424" s="87"/>
      <c r="CC424" s="87"/>
      <c r="CD424" s="87"/>
      <c r="CE424" s="87"/>
      <c r="CF424" s="87"/>
      <c r="CG424" s="87"/>
      <c r="CH424" s="87"/>
      <c r="CI424" s="87"/>
      <c r="CJ424" s="87"/>
      <c r="CK424" s="87"/>
      <c r="CL424" s="87"/>
      <c r="CM424" s="87"/>
      <c r="CN424" s="87"/>
      <c r="CO424" s="87"/>
      <c r="CP424" s="87"/>
      <c r="CQ424" s="87"/>
      <c r="CR424" s="87"/>
      <c r="NO424" s="224"/>
      <c r="NP424" s="225"/>
      <c r="NR424" s="226"/>
      <c r="NS424" s="226"/>
      <c r="NT424" s="214"/>
      <c r="NU424" s="214"/>
      <c r="NV424" s="231"/>
      <c r="NW424" s="214"/>
      <c r="NX424" s="214"/>
      <c r="NY424" s="214"/>
      <c r="NZ424" s="214"/>
      <c r="OA424" s="214"/>
      <c r="OB424" s="214"/>
      <c r="OC424" s="214"/>
      <c r="OD424" s="214"/>
      <c r="OE424" s="214"/>
      <c r="OF424" s="214"/>
      <c r="OI424" s="227"/>
      <c r="OJ424" s="225"/>
      <c r="OK424" s="224"/>
      <c r="OM424" s="230"/>
      <c r="PB424" s="226"/>
      <c r="PC424" s="226"/>
      <c r="PD424" s="226"/>
    </row>
    <row r="425" spans="1:472">
      <c r="A425" s="87"/>
      <c r="B425" s="135">
        <v>45848</v>
      </c>
      <c r="C425" s="127">
        <v>45875</v>
      </c>
      <c r="D425" s="87" t="s">
        <v>178</v>
      </c>
      <c r="E425" s="82" t="s">
        <v>219</v>
      </c>
      <c r="F425" s="82" t="s">
        <v>220</v>
      </c>
      <c r="G425" s="89" t="s">
        <v>2564</v>
      </c>
      <c r="H425" s="89">
        <v>9795251317</v>
      </c>
      <c r="I425" s="207" t="s">
        <v>2565</v>
      </c>
      <c r="J425" s="87" t="s">
        <v>2464</v>
      </c>
      <c r="K425" s="89">
        <v>5</v>
      </c>
      <c r="L425" s="89">
        <v>5</v>
      </c>
      <c r="M425" s="89" t="s">
        <v>1871</v>
      </c>
      <c r="N425" s="89" t="s">
        <v>425</v>
      </c>
      <c r="O425" s="89" t="s">
        <v>2566</v>
      </c>
      <c r="P425" s="89" t="s">
        <v>770</v>
      </c>
      <c r="Q425" s="89" t="s">
        <v>2567</v>
      </c>
      <c r="R425" s="89" t="s">
        <v>1551</v>
      </c>
      <c r="S425" s="89" t="s">
        <v>1201</v>
      </c>
      <c r="T425" s="102">
        <v>2.11</v>
      </c>
      <c r="U425" s="87" t="s">
        <v>1175</v>
      </c>
      <c r="V425" s="126" t="s">
        <v>1495</v>
      </c>
      <c r="W425" s="127"/>
      <c r="X425" s="135">
        <v>45881</v>
      </c>
      <c r="Y425" s="135">
        <v>45882</v>
      </c>
      <c r="Z425" s="167" t="s">
        <v>340</v>
      </c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87"/>
      <c r="AM425" s="87"/>
      <c r="AN425" s="87"/>
      <c r="AO425" s="82"/>
      <c r="AP425" s="54"/>
      <c r="AQ425" s="54"/>
      <c r="AR425" s="60"/>
      <c r="AS425" s="87"/>
      <c r="AT425" s="87"/>
      <c r="AU425" s="87"/>
      <c r="AV425" s="87"/>
      <c r="AW425" s="87"/>
      <c r="AX425" s="87"/>
      <c r="AY425" s="87"/>
      <c r="AZ425" s="87"/>
      <c r="BA425" s="87"/>
      <c r="BB425" s="87"/>
      <c r="BC425" s="87"/>
      <c r="BD425" s="87"/>
      <c r="BE425" s="87"/>
      <c r="BF425" s="87"/>
      <c r="BG425" s="87"/>
      <c r="BH425" s="87"/>
      <c r="BI425" s="87"/>
      <c r="BJ425" s="87"/>
      <c r="BK425" s="87"/>
      <c r="BL425" s="87"/>
      <c r="BM425" s="87"/>
      <c r="BN425" s="87"/>
      <c r="BO425" s="87"/>
      <c r="BP425" s="87"/>
      <c r="BQ425" s="87"/>
      <c r="BR425" s="87"/>
      <c r="BS425" s="87"/>
      <c r="BT425" s="87"/>
      <c r="BU425" s="87"/>
      <c r="BV425" s="87"/>
      <c r="BW425" s="87"/>
      <c r="BX425" s="87"/>
      <c r="BY425" s="87"/>
      <c r="BZ425" s="87"/>
      <c r="CA425" s="87"/>
      <c r="CB425" s="87"/>
      <c r="CC425" s="87"/>
      <c r="CD425" s="87"/>
      <c r="CE425" s="87"/>
      <c r="CF425" s="87"/>
      <c r="CG425" s="87"/>
      <c r="CH425" s="87"/>
      <c r="CI425" s="87"/>
      <c r="CJ425" s="87"/>
      <c r="CK425" s="87"/>
      <c r="CL425" s="87"/>
      <c r="CM425" s="87"/>
      <c r="CN425" s="87"/>
      <c r="CO425" s="87"/>
      <c r="CP425" s="87"/>
      <c r="CQ425" s="87"/>
      <c r="CR425" s="87"/>
      <c r="NO425" s="224"/>
      <c r="NP425" s="225"/>
      <c r="NR425" s="226"/>
      <c r="NS425" s="226"/>
      <c r="NT425" s="214"/>
      <c r="NU425" s="214"/>
      <c r="NV425" s="231"/>
      <c r="NW425" s="214"/>
      <c r="NX425" s="214"/>
      <c r="NY425" s="214"/>
      <c r="NZ425" s="214"/>
      <c r="OA425" s="214"/>
      <c r="OB425" s="214"/>
      <c r="OC425" s="214"/>
      <c r="OD425" s="214"/>
      <c r="OE425" s="214"/>
      <c r="OF425" s="214"/>
      <c r="OI425" s="227"/>
      <c r="OJ425" s="225"/>
      <c r="OK425" s="224"/>
      <c r="OM425" s="230"/>
      <c r="PB425" s="226"/>
      <c r="PC425" s="226"/>
      <c r="PD425" s="226"/>
    </row>
    <row r="426" spans="1:472">
      <c r="A426" s="87"/>
      <c r="B426" s="135">
        <v>45848</v>
      </c>
      <c r="C426" s="127">
        <v>45875</v>
      </c>
      <c r="D426" s="87" t="s">
        <v>171</v>
      </c>
      <c r="E426" s="82" t="s">
        <v>219</v>
      </c>
      <c r="F426" s="82" t="s">
        <v>220</v>
      </c>
      <c r="G426" s="102" t="s">
        <v>2568</v>
      </c>
      <c r="H426" s="170">
        <v>7518391636</v>
      </c>
      <c r="I426" s="171" t="s">
        <v>2569</v>
      </c>
      <c r="J426" s="53" t="s">
        <v>2315</v>
      </c>
      <c r="K426" s="170">
        <v>6</v>
      </c>
      <c r="L426" s="170">
        <v>6</v>
      </c>
      <c r="M426" s="170" t="s">
        <v>2570</v>
      </c>
      <c r="N426" s="170" t="s">
        <v>425</v>
      </c>
      <c r="O426" s="170" t="s">
        <v>2571</v>
      </c>
      <c r="P426" s="170" t="s">
        <v>770</v>
      </c>
      <c r="Q426" s="170" t="s">
        <v>402</v>
      </c>
      <c r="R426" s="170" t="s">
        <v>664</v>
      </c>
      <c r="S426" s="170" t="s">
        <v>1201</v>
      </c>
      <c r="T426" s="170">
        <v>3.4</v>
      </c>
      <c r="U426" s="87" t="s">
        <v>1175</v>
      </c>
      <c r="V426" s="126"/>
      <c r="W426" s="127"/>
      <c r="X426" s="135">
        <v>45881</v>
      </c>
      <c r="Y426" s="135">
        <v>45887</v>
      </c>
      <c r="Z426" s="16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  <c r="AN426" s="87"/>
      <c r="AO426" s="54"/>
      <c r="AP426" s="54"/>
      <c r="AQ426" s="54"/>
      <c r="AR426" s="87"/>
      <c r="AS426" s="87"/>
      <c r="AT426" s="87"/>
      <c r="AU426" s="87"/>
      <c r="AV426" s="87"/>
      <c r="AW426" s="87"/>
      <c r="AX426" s="87"/>
      <c r="AY426" s="87"/>
      <c r="AZ426" s="87"/>
      <c r="BA426" s="87"/>
      <c r="BB426" s="87"/>
      <c r="BC426" s="87"/>
      <c r="BD426" s="87"/>
      <c r="BE426" s="87"/>
      <c r="BF426" s="87"/>
      <c r="BG426" s="87"/>
      <c r="BH426" s="87"/>
      <c r="BI426" s="87"/>
      <c r="BJ426" s="87"/>
      <c r="BK426" s="87"/>
      <c r="BL426" s="87"/>
      <c r="BM426" s="87"/>
      <c r="BN426" s="87"/>
      <c r="BO426" s="87"/>
      <c r="BP426" s="87"/>
      <c r="BQ426" s="87"/>
      <c r="BR426" s="87"/>
      <c r="BS426" s="87"/>
      <c r="BT426" s="87"/>
      <c r="BU426" s="87"/>
      <c r="BV426" s="87"/>
      <c r="BW426" s="87"/>
      <c r="BX426" s="87"/>
      <c r="BY426" s="87"/>
      <c r="BZ426" s="87"/>
      <c r="CA426" s="87"/>
      <c r="CB426" s="87"/>
      <c r="CC426" s="87"/>
      <c r="CD426" s="87"/>
      <c r="CE426" s="87"/>
      <c r="CF426" s="87"/>
      <c r="CG426" s="87"/>
      <c r="CH426" s="87"/>
      <c r="CI426" s="87"/>
      <c r="CJ426" s="87"/>
      <c r="CK426" s="87"/>
      <c r="CL426" s="87"/>
      <c r="CM426" s="87"/>
      <c r="CN426" s="87"/>
      <c r="CO426" s="87"/>
      <c r="CP426" s="87"/>
      <c r="CQ426" s="87"/>
      <c r="NN426" s="87"/>
      <c r="NO426" s="135"/>
      <c r="NP426" s="127"/>
      <c r="NQ426" s="87"/>
      <c r="NR426" s="82"/>
      <c r="NS426" s="82"/>
      <c r="NT426" s="102"/>
      <c r="NU426" s="170"/>
      <c r="NV426" s="171"/>
      <c r="NW426" s="170"/>
      <c r="NX426" s="170"/>
      <c r="NY426" s="170"/>
      <c r="NZ426" s="170"/>
      <c r="OA426" s="170"/>
      <c r="OB426" s="170"/>
      <c r="OC426" s="170"/>
      <c r="OD426" s="170"/>
      <c r="OE426" s="170"/>
      <c r="OF426" s="170"/>
      <c r="OG426" s="60"/>
      <c r="OH426" s="87"/>
      <c r="OI426" s="126"/>
      <c r="OJ426" s="127"/>
      <c r="OK426" s="135"/>
      <c r="OL426" s="87"/>
      <c r="OM426" s="167"/>
      <c r="ON426" s="87"/>
      <c r="OO426" s="87"/>
      <c r="OP426" s="87"/>
      <c r="OQ426" s="87"/>
      <c r="OR426" s="87"/>
      <c r="OS426" s="87"/>
      <c r="OT426" s="87"/>
      <c r="OU426" s="87"/>
      <c r="OV426" s="87"/>
      <c r="OW426" s="87"/>
      <c r="OX426" s="87"/>
      <c r="OY426" s="87"/>
      <c r="OZ426" s="87"/>
      <c r="PA426" s="87"/>
      <c r="PB426" s="54"/>
      <c r="PC426" s="54"/>
      <c r="PD426" s="54"/>
      <c r="PE426" s="87"/>
      <c r="PF426" s="87"/>
      <c r="PG426" s="87"/>
      <c r="PH426" s="87"/>
      <c r="PI426" s="87"/>
      <c r="PJ426" s="87"/>
      <c r="PK426" s="87"/>
      <c r="PL426" s="87"/>
      <c r="PM426" s="87"/>
      <c r="PN426" s="87"/>
      <c r="PO426" s="87"/>
      <c r="PP426" s="87"/>
      <c r="PQ426" s="87"/>
      <c r="PR426" s="87"/>
      <c r="PS426" s="87"/>
      <c r="PT426" s="87"/>
      <c r="PU426" s="87"/>
      <c r="PV426" s="87"/>
      <c r="PW426" s="87"/>
      <c r="PX426" s="87"/>
      <c r="PY426" s="87"/>
      <c r="PZ426" s="87"/>
      <c r="QA426" s="87"/>
      <c r="QB426" s="87"/>
      <c r="QC426" s="87"/>
      <c r="QD426" s="87"/>
      <c r="QE426" s="87"/>
      <c r="QF426" s="87"/>
      <c r="QG426" s="87"/>
      <c r="QH426" s="87"/>
      <c r="QI426" s="87"/>
      <c r="QJ426" s="87"/>
      <c r="QK426" s="87"/>
      <c r="QL426" s="87"/>
      <c r="QM426" s="87"/>
      <c r="QN426" s="87"/>
      <c r="QO426" s="87"/>
      <c r="QP426" s="87"/>
      <c r="QQ426" s="87"/>
      <c r="QR426" s="87"/>
      <c r="QS426" s="87"/>
      <c r="QT426" s="87"/>
      <c r="QU426" s="87"/>
      <c r="QV426" s="87"/>
      <c r="QW426" s="87"/>
      <c r="QX426" s="87"/>
      <c r="QY426" s="87"/>
      <c r="QZ426" s="87"/>
      <c r="RA426" s="87"/>
      <c r="RB426" s="87"/>
      <c r="RC426" s="87"/>
      <c r="RD426" s="87"/>
    </row>
    <row r="427" spans="1:472">
      <c r="A427" s="87"/>
      <c r="B427" s="135">
        <v>45881</v>
      </c>
      <c r="C427" s="127">
        <v>45882</v>
      </c>
      <c r="D427" s="87" t="s">
        <v>209</v>
      </c>
      <c r="E427" s="82" t="s">
        <v>219</v>
      </c>
      <c r="F427" s="82" t="s">
        <v>220</v>
      </c>
      <c r="G427" s="140" t="s">
        <v>2049</v>
      </c>
      <c r="H427" s="87">
        <v>9319131731</v>
      </c>
      <c r="I427" s="87" t="s">
        <v>2050</v>
      </c>
      <c r="J427" s="141"/>
      <c r="K427" s="87">
        <v>9</v>
      </c>
      <c r="L427" s="87">
        <v>9</v>
      </c>
      <c r="M427" s="87" t="s">
        <v>2572</v>
      </c>
      <c r="N427" s="87" t="s">
        <v>1218</v>
      </c>
      <c r="O427" s="87" t="s">
        <v>2573</v>
      </c>
      <c r="P427" s="87" t="s">
        <v>1964</v>
      </c>
      <c r="Q427" s="87" t="s">
        <v>208</v>
      </c>
      <c r="R427" s="87" t="s">
        <v>290</v>
      </c>
      <c r="S427" s="87" t="s">
        <v>1201</v>
      </c>
      <c r="T427" s="60"/>
      <c r="U427" s="87" t="s">
        <v>1428</v>
      </c>
      <c r="V427" s="126" t="s">
        <v>291</v>
      </c>
      <c r="W427" s="127"/>
      <c r="X427" s="108">
        <v>45888</v>
      </c>
      <c r="Y427" s="135"/>
      <c r="Z427" s="87"/>
      <c r="AA427" s="16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87"/>
      <c r="AM427" s="87"/>
      <c r="AN427" s="87"/>
      <c r="AO427" s="87"/>
      <c r="AP427" s="54"/>
      <c r="AQ427" s="54"/>
      <c r="AR427" s="54"/>
      <c r="AS427" s="87"/>
      <c r="AT427" s="87"/>
      <c r="AU427" s="87"/>
      <c r="AV427" s="87"/>
      <c r="AW427" s="87"/>
      <c r="AX427" s="87"/>
      <c r="AY427" s="87"/>
      <c r="AZ427" s="87"/>
      <c r="BA427" s="87"/>
      <c r="BB427" s="87"/>
      <c r="BC427" s="87"/>
      <c r="BD427" s="87"/>
      <c r="BE427" s="87"/>
      <c r="BF427" s="87"/>
      <c r="BG427" s="87"/>
      <c r="BH427" s="87"/>
      <c r="BI427" s="87"/>
      <c r="BJ427" s="87"/>
      <c r="BK427" s="87"/>
      <c r="BL427" s="87"/>
      <c r="BM427" s="87"/>
      <c r="BN427" s="87"/>
      <c r="BO427" s="87"/>
      <c r="BP427" s="87"/>
      <c r="BQ427" s="87"/>
      <c r="BR427" s="87"/>
      <c r="BS427" s="87"/>
      <c r="BT427" s="87"/>
      <c r="BU427" s="87"/>
      <c r="BV427" s="87"/>
      <c r="BW427" s="87"/>
      <c r="BX427" s="87"/>
      <c r="BY427" s="87"/>
      <c r="BZ427" s="87"/>
      <c r="CA427" s="87"/>
      <c r="CB427" s="87"/>
      <c r="CC427" s="87"/>
      <c r="CD427" s="87"/>
      <c r="CE427" s="87"/>
      <c r="CF427" s="87"/>
      <c r="CG427" s="87"/>
      <c r="CH427" s="87"/>
      <c r="CI427" s="87"/>
      <c r="CJ427" s="87"/>
      <c r="CK427" s="87"/>
      <c r="CL427" s="87"/>
      <c r="CM427" s="87"/>
      <c r="CN427" s="87"/>
      <c r="CO427" s="87"/>
      <c r="CP427" s="87"/>
      <c r="CQ427" s="87"/>
      <c r="CR427" s="87"/>
    </row>
    <row r="428" spans="1:472">
      <c r="A428" s="87"/>
      <c r="B428" s="135">
        <v>45881</v>
      </c>
      <c r="C428" s="127">
        <v>45882</v>
      </c>
      <c r="D428" s="87" t="s">
        <v>209</v>
      </c>
      <c r="E428" s="82" t="s">
        <v>219</v>
      </c>
      <c r="F428" s="82" t="s">
        <v>220</v>
      </c>
      <c r="G428" s="140" t="s">
        <v>2086</v>
      </c>
      <c r="H428" s="87">
        <v>8007894837</v>
      </c>
      <c r="I428" s="87" t="s">
        <v>2087</v>
      </c>
      <c r="J428" s="141"/>
      <c r="K428" s="87">
        <v>6.6</v>
      </c>
      <c r="L428" s="87">
        <v>6.6</v>
      </c>
      <c r="M428" s="87" t="s">
        <v>2574</v>
      </c>
      <c r="N428" s="87" t="s">
        <v>756</v>
      </c>
      <c r="O428" s="87" t="s">
        <v>2089</v>
      </c>
      <c r="P428" s="87" t="s">
        <v>770</v>
      </c>
      <c r="Q428" s="87" t="s">
        <v>558</v>
      </c>
      <c r="R428" s="87" t="s">
        <v>79</v>
      </c>
      <c r="S428" s="87" t="s">
        <v>1201</v>
      </c>
      <c r="T428" s="60"/>
      <c r="U428" s="87" t="s">
        <v>1175</v>
      </c>
      <c r="V428" s="126" t="s">
        <v>231</v>
      </c>
      <c r="W428" s="127"/>
      <c r="X428" s="108">
        <v>45888</v>
      </c>
      <c r="Y428" s="135">
        <v>45917</v>
      </c>
      <c r="Z428" s="87" t="s">
        <v>232</v>
      </c>
      <c r="AA428" s="167"/>
      <c r="AB428" s="87"/>
      <c r="AC428" s="87"/>
      <c r="AD428" s="87"/>
      <c r="AE428" s="87"/>
      <c r="AF428" s="87"/>
      <c r="AG428" s="87"/>
      <c r="AH428" s="87"/>
      <c r="AI428" s="87"/>
      <c r="AJ428" s="87"/>
      <c r="AK428" s="87"/>
      <c r="AL428" s="87"/>
      <c r="AM428" s="87"/>
      <c r="AN428" s="87"/>
      <c r="AO428" s="87"/>
      <c r="AP428" s="54"/>
      <c r="AQ428" s="54"/>
      <c r="AR428" s="54"/>
      <c r="AS428" s="87"/>
      <c r="AT428" s="87"/>
      <c r="AU428" s="87"/>
      <c r="AV428" s="87"/>
      <c r="AW428" s="87"/>
      <c r="AX428" s="87"/>
      <c r="AY428" s="87"/>
      <c r="AZ428" s="87"/>
      <c r="BA428" s="87"/>
      <c r="BB428" s="87"/>
      <c r="BC428" s="87"/>
      <c r="BD428" s="87"/>
      <c r="BE428" s="87"/>
      <c r="BF428" s="87"/>
      <c r="BG428" s="87"/>
      <c r="BH428" s="87"/>
      <c r="BI428" s="87"/>
      <c r="BJ428" s="87"/>
      <c r="BK428" s="87"/>
      <c r="BL428" s="87"/>
      <c r="BM428" s="87"/>
      <c r="BN428" s="87"/>
      <c r="BO428" s="87"/>
      <c r="BP428" s="87"/>
      <c r="BQ428" s="87"/>
      <c r="BR428" s="87"/>
      <c r="BS428" s="87"/>
      <c r="BT428" s="87"/>
      <c r="BU428" s="87"/>
      <c r="BV428" s="87"/>
      <c r="BW428" s="87"/>
      <c r="BX428" s="87"/>
      <c r="BY428" s="87"/>
      <c r="BZ428" s="87"/>
      <c r="CA428" s="87"/>
      <c r="CB428" s="87"/>
      <c r="CC428" s="87"/>
      <c r="CD428" s="87"/>
      <c r="CE428" s="87"/>
      <c r="CF428" s="87"/>
      <c r="CG428" s="87"/>
      <c r="CH428" s="87"/>
      <c r="CI428" s="87"/>
      <c r="CJ428" s="87"/>
      <c r="CK428" s="87"/>
      <c r="CL428" s="87"/>
      <c r="CM428" s="87"/>
      <c r="CN428" s="87"/>
      <c r="CO428" s="87"/>
      <c r="CP428" s="87"/>
      <c r="CQ428" s="87"/>
      <c r="CR428" s="87"/>
    </row>
    <row r="429" spans="1:472">
      <c r="A429" s="87"/>
      <c r="B429" s="135">
        <v>45873</v>
      </c>
      <c r="C429" s="127">
        <v>45887</v>
      </c>
      <c r="D429" s="87" t="s">
        <v>206</v>
      </c>
      <c r="E429" s="82" t="s">
        <v>219</v>
      </c>
      <c r="F429" s="82" t="s">
        <v>220</v>
      </c>
      <c r="G429" s="140" t="s">
        <v>2575</v>
      </c>
      <c r="H429" s="87">
        <v>8208494721</v>
      </c>
      <c r="I429" s="87" t="s">
        <v>2576</v>
      </c>
      <c r="J429" s="190" t="s">
        <v>1331</v>
      </c>
      <c r="K429" s="87">
        <v>9.6999999999999993</v>
      </c>
      <c r="L429" s="87">
        <v>9.6999999999999993</v>
      </c>
      <c r="M429" s="87" t="s">
        <v>2577</v>
      </c>
      <c r="N429" s="87" t="s">
        <v>2578</v>
      </c>
      <c r="O429" s="87" t="s">
        <v>2579</v>
      </c>
      <c r="P429" s="87" t="s">
        <v>770</v>
      </c>
      <c r="Q429" s="87" t="s">
        <v>1862</v>
      </c>
      <c r="R429" s="87" t="s">
        <v>1130</v>
      </c>
      <c r="S429" s="87" t="s">
        <v>1201</v>
      </c>
      <c r="T429" s="60">
        <v>4</v>
      </c>
      <c r="U429" s="87" t="s">
        <v>1175</v>
      </c>
      <c r="V429" s="126" t="s">
        <v>2386</v>
      </c>
      <c r="W429" s="127"/>
      <c r="X429" s="108"/>
      <c r="Y429" s="135"/>
      <c r="Z429" s="87"/>
      <c r="AA429" s="167"/>
      <c r="AB429" s="87"/>
      <c r="AC429" s="87"/>
      <c r="AD429" s="87"/>
      <c r="AE429" s="87"/>
      <c r="AF429" s="87"/>
      <c r="AG429" s="87"/>
      <c r="AH429" s="87"/>
      <c r="AI429" s="87"/>
      <c r="AJ429" s="87"/>
      <c r="AK429" s="87"/>
      <c r="AL429" s="87"/>
      <c r="AM429" s="87"/>
      <c r="AN429" s="87"/>
      <c r="AO429" s="87"/>
      <c r="AP429" s="54"/>
      <c r="AQ429" s="54"/>
      <c r="AR429" s="54"/>
      <c r="AS429" s="87"/>
      <c r="AT429" s="87"/>
      <c r="AU429" s="87"/>
      <c r="AV429" s="87"/>
      <c r="AW429" s="87"/>
      <c r="AX429" s="87"/>
      <c r="AY429" s="87"/>
      <c r="AZ429" s="87"/>
      <c r="BA429" s="87"/>
      <c r="BB429" s="87"/>
      <c r="BC429" s="87"/>
      <c r="BD429" s="87"/>
      <c r="BE429" s="87"/>
      <c r="BF429" s="87"/>
      <c r="BG429" s="87"/>
      <c r="BH429" s="87"/>
      <c r="BI429" s="87"/>
      <c r="BJ429" s="87"/>
      <c r="BK429" s="87"/>
      <c r="BL429" s="87"/>
      <c r="BM429" s="87"/>
      <c r="BN429" s="87"/>
      <c r="BO429" s="87"/>
      <c r="BP429" s="87"/>
      <c r="BQ429" s="87"/>
      <c r="BR429" s="87"/>
      <c r="BS429" s="87"/>
      <c r="BT429" s="87"/>
      <c r="BU429" s="87"/>
      <c r="BV429" s="87"/>
      <c r="BW429" s="87"/>
      <c r="BX429" s="87"/>
      <c r="BY429" s="87"/>
      <c r="BZ429" s="87"/>
      <c r="CA429" s="87"/>
      <c r="CB429" s="87"/>
      <c r="CC429" s="87"/>
      <c r="CD429" s="87"/>
      <c r="CE429" s="87"/>
      <c r="CF429" s="87"/>
      <c r="CG429" s="87"/>
      <c r="CH429" s="87"/>
      <c r="CI429" s="87"/>
      <c r="CJ429" s="87"/>
      <c r="CK429" s="87"/>
      <c r="CL429" s="87"/>
      <c r="CM429" s="87"/>
      <c r="CN429" s="87"/>
      <c r="CO429" s="87"/>
      <c r="CP429" s="87"/>
      <c r="CQ429" s="87"/>
      <c r="CR429" s="87"/>
    </row>
    <row r="430" spans="1:472">
      <c r="A430" s="87"/>
      <c r="B430" s="135">
        <v>45873</v>
      </c>
      <c r="C430" s="127">
        <v>45887</v>
      </c>
      <c r="D430" s="87" t="s">
        <v>206</v>
      </c>
      <c r="E430" s="82" t="s">
        <v>219</v>
      </c>
      <c r="F430" s="82" t="s">
        <v>220</v>
      </c>
      <c r="G430" s="140" t="s">
        <v>2580</v>
      </c>
      <c r="H430" s="87">
        <v>8295775305</v>
      </c>
      <c r="I430" s="87" t="s">
        <v>2581</v>
      </c>
      <c r="J430" s="190" t="s">
        <v>1331</v>
      </c>
      <c r="K430" s="87">
        <v>12</v>
      </c>
      <c r="L430" s="87">
        <v>12</v>
      </c>
      <c r="M430" s="87" t="s">
        <v>372</v>
      </c>
      <c r="N430" s="87" t="s">
        <v>2582</v>
      </c>
      <c r="O430" s="87" t="s">
        <v>2491</v>
      </c>
      <c r="P430" s="87" t="s">
        <v>770</v>
      </c>
      <c r="Q430" s="87" t="s">
        <v>2583</v>
      </c>
      <c r="R430" s="87" t="s">
        <v>2524</v>
      </c>
      <c r="S430" s="87" t="s">
        <v>1201</v>
      </c>
      <c r="T430" s="60">
        <v>3</v>
      </c>
      <c r="U430" s="87" t="s">
        <v>1175</v>
      </c>
      <c r="V430" s="126" t="s">
        <v>2386</v>
      </c>
      <c r="W430" s="127"/>
      <c r="X430" s="108"/>
      <c r="Y430" s="135"/>
      <c r="Z430" s="87"/>
      <c r="AA430" s="167"/>
      <c r="AB430" s="87"/>
      <c r="AC430" s="87"/>
      <c r="AD430" s="87"/>
      <c r="AE430" s="87"/>
      <c r="AF430" s="87"/>
      <c r="AG430" s="87"/>
      <c r="AH430" s="87"/>
      <c r="AI430" s="87"/>
      <c r="AJ430" s="87"/>
      <c r="AK430" s="87"/>
      <c r="AL430" s="87"/>
      <c r="AM430" s="87"/>
      <c r="AN430" s="87"/>
      <c r="AO430" s="87"/>
      <c r="AP430" s="54"/>
      <c r="AQ430" s="54"/>
      <c r="AR430" s="54"/>
      <c r="AS430" s="87"/>
      <c r="AT430" s="87"/>
      <c r="AU430" s="87"/>
      <c r="AV430" s="87"/>
      <c r="AW430" s="87"/>
      <c r="AX430" s="87"/>
      <c r="AY430" s="87"/>
      <c r="AZ430" s="87"/>
      <c r="BA430" s="87"/>
      <c r="BB430" s="87"/>
      <c r="BC430" s="87"/>
      <c r="BD430" s="87"/>
      <c r="BE430" s="87"/>
      <c r="BF430" s="87"/>
      <c r="BG430" s="87"/>
      <c r="BH430" s="87"/>
      <c r="BI430" s="87"/>
      <c r="BJ430" s="87"/>
      <c r="BK430" s="87"/>
      <c r="BL430" s="87"/>
      <c r="BM430" s="87"/>
      <c r="BN430" s="87"/>
      <c r="BO430" s="87"/>
      <c r="BP430" s="87"/>
      <c r="BQ430" s="87"/>
      <c r="BR430" s="87"/>
      <c r="BS430" s="87"/>
      <c r="BT430" s="87"/>
      <c r="BU430" s="87"/>
      <c r="BV430" s="87"/>
      <c r="BW430" s="87"/>
      <c r="BX430" s="87"/>
      <c r="BY430" s="87"/>
      <c r="BZ430" s="87"/>
      <c r="CA430" s="87"/>
      <c r="CB430" s="87"/>
      <c r="CC430" s="87"/>
      <c r="CD430" s="87"/>
      <c r="CE430" s="87"/>
      <c r="CF430" s="87"/>
      <c r="CG430" s="87"/>
      <c r="CH430" s="87"/>
      <c r="CI430" s="87"/>
      <c r="CJ430" s="87"/>
      <c r="CK430" s="87"/>
      <c r="CL430" s="87"/>
      <c r="CM430" s="87"/>
      <c r="CN430" s="87"/>
      <c r="CO430" s="87"/>
      <c r="CP430" s="87"/>
      <c r="CQ430" s="87"/>
      <c r="CR430" s="87"/>
    </row>
    <row r="431" spans="1:472">
      <c r="A431" s="87"/>
      <c r="B431" s="135">
        <v>45873</v>
      </c>
      <c r="C431" s="127">
        <v>45887</v>
      </c>
      <c r="D431" s="87" t="s">
        <v>206</v>
      </c>
      <c r="E431" s="82" t="s">
        <v>219</v>
      </c>
      <c r="F431" s="82" t="s">
        <v>220</v>
      </c>
      <c r="G431" s="140" t="s">
        <v>2584</v>
      </c>
      <c r="H431" s="87">
        <v>8668787126</v>
      </c>
      <c r="I431" s="87" t="s">
        <v>2585</v>
      </c>
      <c r="J431" s="190" t="s">
        <v>1331</v>
      </c>
      <c r="K431" s="87">
        <v>10</v>
      </c>
      <c r="L431" s="87">
        <v>10</v>
      </c>
      <c r="M431" s="87" t="s">
        <v>2586</v>
      </c>
      <c r="N431" s="87" t="s">
        <v>756</v>
      </c>
      <c r="O431" s="87" t="s">
        <v>1373</v>
      </c>
      <c r="P431" s="87" t="s">
        <v>770</v>
      </c>
      <c r="Q431" s="87" t="s">
        <v>2587</v>
      </c>
      <c r="R431" s="87" t="s">
        <v>2588</v>
      </c>
      <c r="S431" s="87" t="s">
        <v>1201</v>
      </c>
      <c r="T431" s="60">
        <v>4</v>
      </c>
      <c r="U431" s="87" t="s">
        <v>1175</v>
      </c>
      <c r="V431" s="126" t="s">
        <v>2386</v>
      </c>
      <c r="W431" s="127"/>
      <c r="X431" s="108"/>
      <c r="Y431" s="135"/>
      <c r="Z431" s="87"/>
      <c r="AA431" s="167"/>
      <c r="AB431" s="87"/>
      <c r="AC431" s="87"/>
      <c r="AD431" s="87"/>
      <c r="AE431" s="87"/>
      <c r="AF431" s="87"/>
      <c r="AG431" s="87"/>
      <c r="AH431" s="87"/>
      <c r="AI431" s="87"/>
      <c r="AJ431" s="87"/>
      <c r="AK431" s="87"/>
      <c r="AL431" s="87"/>
      <c r="AM431" s="87"/>
      <c r="AN431" s="87"/>
      <c r="AO431" s="87"/>
      <c r="AP431" s="54"/>
      <c r="AQ431" s="54"/>
      <c r="AR431" s="54"/>
      <c r="AS431" s="87"/>
      <c r="AT431" s="87"/>
      <c r="AU431" s="87"/>
      <c r="AV431" s="87"/>
      <c r="AW431" s="87"/>
      <c r="AX431" s="87"/>
      <c r="AY431" s="87"/>
      <c r="AZ431" s="87"/>
      <c r="BA431" s="87"/>
      <c r="BB431" s="87"/>
      <c r="BC431" s="87"/>
      <c r="BD431" s="87"/>
      <c r="BE431" s="87"/>
      <c r="BF431" s="87"/>
      <c r="BG431" s="87"/>
      <c r="BH431" s="87"/>
      <c r="BI431" s="87"/>
      <c r="BJ431" s="87"/>
      <c r="BK431" s="87"/>
      <c r="BL431" s="87"/>
      <c r="BM431" s="87"/>
      <c r="BN431" s="87"/>
      <c r="BO431" s="87"/>
      <c r="BP431" s="87"/>
      <c r="BQ431" s="87"/>
      <c r="BR431" s="87"/>
      <c r="BS431" s="87"/>
      <c r="BT431" s="87"/>
      <c r="BU431" s="87"/>
      <c r="BV431" s="87"/>
      <c r="BW431" s="87"/>
      <c r="BX431" s="87"/>
      <c r="BY431" s="87"/>
      <c r="BZ431" s="87"/>
      <c r="CA431" s="87"/>
      <c r="CB431" s="87"/>
      <c r="CC431" s="87"/>
      <c r="CD431" s="87"/>
      <c r="CE431" s="87"/>
      <c r="CF431" s="87"/>
      <c r="CG431" s="87"/>
      <c r="CH431" s="87"/>
      <c r="CI431" s="87"/>
      <c r="CJ431" s="87"/>
      <c r="CK431" s="87"/>
      <c r="CL431" s="87"/>
      <c r="CM431" s="87"/>
      <c r="CN431" s="87"/>
      <c r="CO431" s="87"/>
      <c r="CP431" s="87"/>
      <c r="CQ431" s="87"/>
      <c r="CR431" s="87"/>
    </row>
    <row r="432" spans="1:472">
      <c r="A432" s="87"/>
      <c r="B432" s="135">
        <v>45859</v>
      </c>
      <c r="C432" s="127">
        <v>45887</v>
      </c>
      <c r="D432" s="87" t="s">
        <v>2589</v>
      </c>
      <c r="E432" s="82" t="s">
        <v>219</v>
      </c>
      <c r="F432" s="82" t="s">
        <v>220</v>
      </c>
      <c r="G432" s="140" t="s">
        <v>2590</v>
      </c>
      <c r="H432" s="87" t="s">
        <v>2591</v>
      </c>
      <c r="I432" s="87" t="s">
        <v>2592</v>
      </c>
      <c r="J432" s="190"/>
      <c r="K432" s="87" t="s">
        <v>2593</v>
      </c>
      <c r="L432" s="87" t="s">
        <v>2593</v>
      </c>
      <c r="M432" s="87" t="s">
        <v>2594</v>
      </c>
      <c r="N432" s="87" t="s">
        <v>462</v>
      </c>
      <c r="O432" s="87" t="s">
        <v>2595</v>
      </c>
      <c r="P432" s="87" t="s">
        <v>2596</v>
      </c>
      <c r="Q432" s="87" t="s">
        <v>2597</v>
      </c>
      <c r="R432" s="87" t="s">
        <v>2598</v>
      </c>
      <c r="S432" s="87" t="s">
        <v>1201</v>
      </c>
      <c r="T432" s="60"/>
      <c r="U432" s="87" t="s">
        <v>2147</v>
      </c>
      <c r="V432" s="126" t="s">
        <v>291</v>
      </c>
      <c r="W432" s="127"/>
      <c r="X432" s="108">
        <v>45888</v>
      </c>
      <c r="Y432" s="135"/>
      <c r="Z432" s="87"/>
      <c r="AA432" s="167"/>
      <c r="AB432" s="87"/>
      <c r="AC432" s="87"/>
      <c r="AD432" s="87"/>
      <c r="AE432" s="87"/>
      <c r="AF432" s="87"/>
      <c r="AG432" s="87"/>
      <c r="AH432" s="87"/>
      <c r="AI432" s="87"/>
      <c r="AJ432" s="87"/>
      <c r="AK432" s="87"/>
      <c r="AL432" s="87"/>
      <c r="AM432" s="87"/>
      <c r="AN432" s="87"/>
      <c r="AO432" s="87"/>
      <c r="AP432" s="54"/>
      <c r="AQ432" s="54"/>
      <c r="AR432" s="54"/>
      <c r="AS432" s="87"/>
      <c r="AT432" s="87"/>
      <c r="AU432" s="87"/>
      <c r="AV432" s="87"/>
      <c r="AW432" s="87"/>
      <c r="AX432" s="87"/>
      <c r="AY432" s="87"/>
      <c r="AZ432" s="87"/>
      <c r="BA432" s="87"/>
      <c r="BB432" s="87"/>
      <c r="BC432" s="87"/>
      <c r="BD432" s="87"/>
      <c r="BE432" s="87"/>
      <c r="BF432" s="87"/>
      <c r="BG432" s="87"/>
      <c r="BH432" s="87"/>
      <c r="BI432" s="87"/>
      <c r="BJ432" s="87"/>
      <c r="BK432" s="87"/>
      <c r="BL432" s="87"/>
      <c r="BM432" s="87"/>
      <c r="BN432" s="87"/>
      <c r="BO432" s="87"/>
      <c r="BP432" s="87"/>
      <c r="BQ432" s="87"/>
      <c r="BR432" s="87"/>
      <c r="BS432" s="87"/>
      <c r="BT432" s="87"/>
      <c r="BU432" s="87"/>
      <c r="BV432" s="87"/>
      <c r="BW432" s="87"/>
      <c r="BX432" s="87"/>
      <c r="BY432" s="87"/>
      <c r="BZ432" s="87"/>
      <c r="CA432" s="87"/>
      <c r="CB432" s="87"/>
      <c r="CC432" s="87"/>
      <c r="CD432" s="87"/>
      <c r="CE432" s="87"/>
      <c r="CF432" s="87"/>
      <c r="CG432" s="87"/>
      <c r="CH432" s="87"/>
      <c r="CI432" s="87"/>
      <c r="CJ432" s="87"/>
      <c r="CK432" s="87"/>
      <c r="CL432" s="87"/>
      <c r="CM432" s="87"/>
      <c r="CN432" s="87"/>
      <c r="CO432" s="87"/>
      <c r="CP432" s="87"/>
      <c r="CQ432" s="87"/>
      <c r="CR432" s="87"/>
    </row>
    <row r="433" spans="1:942">
      <c r="A433" s="87"/>
      <c r="B433" s="135">
        <v>45859</v>
      </c>
      <c r="C433" s="127">
        <v>45887</v>
      </c>
      <c r="D433" s="87" t="s">
        <v>2589</v>
      </c>
      <c r="E433" s="82" t="s">
        <v>219</v>
      </c>
      <c r="F433" s="82" t="s">
        <v>220</v>
      </c>
      <c r="G433" s="140" t="s">
        <v>2599</v>
      </c>
      <c r="H433" s="87">
        <v>9703401109</v>
      </c>
      <c r="I433" s="87" t="s">
        <v>2600</v>
      </c>
      <c r="J433" s="190"/>
      <c r="K433" s="87" t="s">
        <v>2601</v>
      </c>
      <c r="L433" s="87" t="s">
        <v>1586</v>
      </c>
      <c r="M433" s="87" t="s">
        <v>2602</v>
      </c>
      <c r="N433" s="87" t="s">
        <v>1218</v>
      </c>
      <c r="O433" s="87" t="s">
        <v>2603</v>
      </c>
      <c r="P433" s="87" t="s">
        <v>2604</v>
      </c>
      <c r="Q433" s="87" t="s">
        <v>2605</v>
      </c>
      <c r="R433" s="87" t="s">
        <v>2606</v>
      </c>
      <c r="S433" s="87" t="s">
        <v>1201</v>
      </c>
      <c r="T433" s="60"/>
      <c r="U433" s="87" t="s">
        <v>2147</v>
      </c>
      <c r="V433" s="126" t="s">
        <v>291</v>
      </c>
      <c r="W433" s="127"/>
      <c r="X433" s="108">
        <v>45888</v>
      </c>
      <c r="Y433" s="135"/>
      <c r="Z433" s="87"/>
      <c r="AA433" s="167"/>
      <c r="AB433" s="87"/>
      <c r="AC433" s="87"/>
      <c r="AD433" s="87"/>
      <c r="AE433" s="87"/>
      <c r="AF433" s="87"/>
      <c r="AG433" s="87"/>
      <c r="AH433" s="87"/>
      <c r="AI433" s="87"/>
      <c r="AJ433" s="87"/>
      <c r="AK433" s="87"/>
      <c r="AL433" s="87"/>
      <c r="AM433" s="87"/>
      <c r="AN433" s="87"/>
      <c r="AO433" s="87"/>
      <c r="AP433" s="54"/>
      <c r="AQ433" s="54"/>
      <c r="AR433" s="54"/>
      <c r="AS433" s="87"/>
      <c r="AT433" s="87"/>
      <c r="AU433" s="87"/>
      <c r="AV433" s="87"/>
      <c r="AW433" s="87"/>
      <c r="AX433" s="87"/>
      <c r="AY433" s="87"/>
      <c r="AZ433" s="87"/>
      <c r="BA433" s="87"/>
      <c r="BB433" s="87"/>
      <c r="BC433" s="87"/>
      <c r="BD433" s="87"/>
      <c r="BE433" s="87"/>
      <c r="BF433" s="87"/>
      <c r="BG433" s="87"/>
      <c r="BH433" s="87"/>
      <c r="BI433" s="87"/>
      <c r="BJ433" s="87"/>
      <c r="BK433" s="87"/>
      <c r="BL433" s="87"/>
      <c r="BM433" s="87"/>
      <c r="BN433" s="87"/>
      <c r="BO433" s="87"/>
      <c r="BP433" s="87"/>
      <c r="BQ433" s="87"/>
      <c r="BR433" s="87"/>
      <c r="BS433" s="87"/>
      <c r="BT433" s="87"/>
      <c r="BU433" s="87"/>
      <c r="BV433" s="87"/>
      <c r="BW433" s="87"/>
      <c r="BX433" s="87"/>
      <c r="BY433" s="87"/>
      <c r="BZ433" s="87"/>
      <c r="CA433" s="87"/>
      <c r="CB433" s="87"/>
      <c r="CC433" s="87"/>
      <c r="CD433" s="87"/>
      <c r="CE433" s="87"/>
      <c r="CF433" s="87"/>
      <c r="CG433" s="87"/>
      <c r="CH433" s="87"/>
      <c r="CI433" s="87"/>
      <c r="CJ433" s="87"/>
      <c r="CK433" s="87"/>
      <c r="CL433" s="87"/>
      <c r="CM433" s="87"/>
      <c r="CN433" s="87"/>
      <c r="CO433" s="87"/>
      <c r="CP433" s="87"/>
      <c r="CQ433" s="87"/>
      <c r="CR433" s="87"/>
    </row>
    <row r="434" spans="1:942">
      <c r="A434" s="87"/>
      <c r="B434" s="135">
        <v>45848</v>
      </c>
      <c r="C434" s="127">
        <v>45889</v>
      </c>
      <c r="D434" s="87" t="s">
        <v>150</v>
      </c>
      <c r="E434" s="82" t="s">
        <v>219</v>
      </c>
      <c r="F434" s="82" t="s">
        <v>220</v>
      </c>
      <c r="G434" s="102" t="s">
        <v>2607</v>
      </c>
      <c r="H434" s="170">
        <v>7977010959</v>
      </c>
      <c r="I434" s="171" t="s">
        <v>2608</v>
      </c>
      <c r="J434" s="53" t="s">
        <v>2369</v>
      </c>
      <c r="K434" s="170">
        <v>4</v>
      </c>
      <c r="L434" s="170">
        <v>4</v>
      </c>
      <c r="M434" s="170" t="s">
        <v>2609</v>
      </c>
      <c r="N434" s="170" t="s">
        <v>425</v>
      </c>
      <c r="O434" s="170" t="s">
        <v>2610</v>
      </c>
      <c r="P434" s="170" t="s">
        <v>770</v>
      </c>
      <c r="Q434" s="170" t="s">
        <v>2611</v>
      </c>
      <c r="R434" s="170" t="s">
        <v>1201</v>
      </c>
      <c r="S434" s="170" t="s">
        <v>1201</v>
      </c>
      <c r="T434" s="170"/>
      <c r="U434" s="87" t="s">
        <v>1175</v>
      </c>
      <c r="V434" s="126" t="s">
        <v>2386</v>
      </c>
      <c r="W434" s="127"/>
      <c r="X434" s="135"/>
      <c r="Y434" s="135"/>
      <c r="Z434" s="167"/>
      <c r="AA434" s="87"/>
      <c r="AB434" s="87"/>
      <c r="AC434" s="87"/>
      <c r="AD434" s="87"/>
      <c r="AE434" s="87"/>
      <c r="AF434" s="87"/>
      <c r="AG434" s="87"/>
      <c r="AH434" s="87"/>
      <c r="AI434" s="87"/>
      <c r="AJ434" s="87"/>
      <c r="AK434" s="87"/>
      <c r="AL434" s="87"/>
      <c r="AM434" s="87"/>
      <c r="AN434" s="87"/>
      <c r="AO434" s="54"/>
      <c r="AP434" s="54"/>
      <c r="AQ434" s="54"/>
      <c r="AR434" s="87"/>
      <c r="AS434" s="87"/>
      <c r="AT434" s="87"/>
      <c r="AU434" s="87"/>
      <c r="AV434" s="87"/>
      <c r="AW434" s="87"/>
      <c r="AX434" s="87"/>
      <c r="AY434" s="87"/>
      <c r="AZ434" s="87"/>
      <c r="BA434" s="87"/>
      <c r="BB434" s="87"/>
      <c r="BC434" s="87"/>
      <c r="BD434" s="87"/>
      <c r="BE434" s="87"/>
      <c r="BF434" s="87"/>
      <c r="BG434" s="87"/>
      <c r="BH434" s="87"/>
      <c r="BI434" s="87"/>
      <c r="BJ434" s="87"/>
      <c r="BK434" s="87"/>
      <c r="BL434" s="87"/>
      <c r="BM434" s="87"/>
      <c r="BN434" s="87"/>
      <c r="BO434" s="87"/>
      <c r="BP434" s="87"/>
      <c r="BQ434" s="87"/>
      <c r="BR434" s="87"/>
      <c r="BS434" s="87"/>
      <c r="BT434" s="87"/>
      <c r="BU434" s="87"/>
      <c r="BV434" s="87"/>
      <c r="BW434" s="87"/>
      <c r="BX434" s="87"/>
      <c r="BY434" s="87"/>
      <c r="BZ434" s="87"/>
      <c r="CA434" s="87"/>
      <c r="CB434" s="87"/>
      <c r="CC434" s="87"/>
      <c r="CD434" s="87"/>
      <c r="CE434" s="87"/>
      <c r="CF434" s="87"/>
      <c r="CG434" s="87"/>
      <c r="CH434" s="87"/>
      <c r="CI434" s="87"/>
      <c r="CJ434" s="87"/>
      <c r="CK434" s="87"/>
      <c r="CL434" s="87"/>
      <c r="CM434" s="87"/>
      <c r="CN434" s="87"/>
      <c r="CO434" s="87"/>
      <c r="CP434" s="87"/>
      <c r="CQ434" s="87"/>
      <c r="NN434" s="87"/>
      <c r="NO434" s="135"/>
      <c r="NP434" s="127"/>
      <c r="NQ434" s="87"/>
      <c r="NR434" s="82"/>
      <c r="NS434" s="82"/>
      <c r="NT434" s="102"/>
      <c r="NU434" s="170"/>
      <c r="NV434" s="171"/>
      <c r="NW434" s="170"/>
      <c r="NX434" s="170"/>
      <c r="NY434" s="170"/>
      <c r="NZ434" s="170"/>
      <c r="OA434" s="170"/>
      <c r="OB434" s="170"/>
      <c r="OC434" s="170"/>
      <c r="OD434" s="170"/>
      <c r="OE434" s="170"/>
      <c r="OF434" s="170"/>
      <c r="OG434" s="60"/>
      <c r="OH434" s="87"/>
      <c r="OI434" s="126"/>
      <c r="OJ434" s="127"/>
      <c r="OK434" s="135"/>
      <c r="OL434" s="87"/>
      <c r="OM434" s="167"/>
      <c r="ON434" s="87"/>
      <c r="OO434" s="87"/>
      <c r="OP434" s="87"/>
      <c r="OQ434" s="87"/>
      <c r="OR434" s="87"/>
      <c r="OS434" s="87"/>
      <c r="OT434" s="87"/>
      <c r="OU434" s="87"/>
      <c r="OV434" s="87"/>
      <c r="OW434" s="87"/>
      <c r="OX434" s="87"/>
      <c r="OY434" s="87"/>
      <c r="OZ434" s="87"/>
      <c r="PA434" s="87"/>
      <c r="PB434" s="54"/>
      <c r="PC434" s="54"/>
      <c r="PD434" s="54"/>
      <c r="PE434" s="87"/>
      <c r="PF434" s="87"/>
      <c r="PG434" s="87"/>
      <c r="PH434" s="87"/>
      <c r="PI434" s="87"/>
      <c r="PJ434" s="87"/>
      <c r="PK434" s="87"/>
      <c r="PL434" s="87"/>
      <c r="PM434" s="87"/>
      <c r="PN434" s="87"/>
      <c r="PO434" s="87"/>
      <c r="PP434" s="87"/>
      <c r="PQ434" s="87"/>
      <c r="PR434" s="87"/>
      <c r="PS434" s="87"/>
      <c r="PT434" s="87"/>
      <c r="PU434" s="87"/>
      <c r="PV434" s="87"/>
      <c r="PW434" s="87"/>
      <c r="PX434" s="87"/>
      <c r="PY434" s="87"/>
      <c r="PZ434" s="87"/>
      <c r="QA434" s="87"/>
      <c r="QB434" s="87"/>
      <c r="QC434" s="87"/>
      <c r="QD434" s="87"/>
      <c r="QE434" s="87"/>
      <c r="QF434" s="87"/>
      <c r="QG434" s="87"/>
      <c r="QH434" s="87"/>
      <c r="QI434" s="87"/>
      <c r="QJ434" s="87"/>
      <c r="QK434" s="87"/>
      <c r="QL434" s="87"/>
      <c r="QM434" s="87"/>
      <c r="QN434" s="87"/>
      <c r="QO434" s="87"/>
      <c r="QP434" s="87"/>
      <c r="QQ434" s="87"/>
      <c r="QR434" s="87"/>
      <c r="QS434" s="87"/>
      <c r="QT434" s="87"/>
      <c r="QU434" s="87"/>
      <c r="QV434" s="87"/>
      <c r="QW434" s="87"/>
      <c r="QX434" s="87"/>
      <c r="QY434" s="87"/>
      <c r="QZ434" s="87"/>
      <c r="RA434" s="87"/>
      <c r="RB434" s="87"/>
      <c r="RC434" s="87"/>
      <c r="RD434" s="87"/>
    </row>
    <row r="435" spans="1:942">
      <c r="A435" s="87"/>
      <c r="B435" s="135">
        <v>45848</v>
      </c>
      <c r="C435" s="127">
        <v>45889</v>
      </c>
      <c r="D435" s="87" t="s">
        <v>150</v>
      </c>
      <c r="E435" s="82" t="s">
        <v>219</v>
      </c>
      <c r="F435" s="82" t="s">
        <v>220</v>
      </c>
      <c r="G435" s="102" t="s">
        <v>2612</v>
      </c>
      <c r="H435" s="170">
        <v>7588468436</v>
      </c>
      <c r="I435" s="171" t="s">
        <v>2613</v>
      </c>
      <c r="J435" s="53" t="s">
        <v>2369</v>
      </c>
      <c r="K435" s="170" t="s">
        <v>2327</v>
      </c>
      <c r="L435" s="170" t="s">
        <v>2327</v>
      </c>
      <c r="M435" s="170" t="s">
        <v>2614</v>
      </c>
      <c r="N435" s="170" t="s">
        <v>425</v>
      </c>
      <c r="O435" s="170" t="s">
        <v>2334</v>
      </c>
      <c r="P435" s="170" t="s">
        <v>770</v>
      </c>
      <c r="Q435" s="170" t="s">
        <v>558</v>
      </c>
      <c r="R435" s="170" t="s">
        <v>2615</v>
      </c>
      <c r="S435" s="170" t="s">
        <v>1201</v>
      </c>
      <c r="T435" s="170"/>
      <c r="U435" s="87" t="s">
        <v>1175</v>
      </c>
      <c r="V435" s="126" t="s">
        <v>2386</v>
      </c>
      <c r="W435" s="127"/>
      <c r="X435" s="135"/>
      <c r="Y435" s="135"/>
      <c r="Z435" s="167"/>
      <c r="AA435" s="87"/>
      <c r="AB435" s="87"/>
      <c r="AC435" s="87"/>
      <c r="AD435" s="87"/>
      <c r="AE435" s="87"/>
      <c r="AF435" s="87"/>
      <c r="AG435" s="87"/>
      <c r="AH435" s="87"/>
      <c r="AI435" s="87"/>
      <c r="AJ435" s="87"/>
      <c r="AK435" s="87"/>
      <c r="AL435" s="87"/>
      <c r="AM435" s="87"/>
      <c r="AN435" s="87"/>
      <c r="AO435" s="54"/>
      <c r="AP435" s="54"/>
      <c r="AQ435" s="54"/>
      <c r="AR435" s="87"/>
      <c r="AS435" s="87"/>
      <c r="AT435" s="87"/>
      <c r="AU435" s="87"/>
      <c r="AV435" s="87"/>
      <c r="AW435" s="87"/>
      <c r="AX435" s="87"/>
      <c r="AY435" s="87"/>
      <c r="AZ435" s="87"/>
      <c r="BA435" s="87"/>
      <c r="BB435" s="87"/>
      <c r="BC435" s="87"/>
      <c r="BD435" s="87"/>
      <c r="BE435" s="87"/>
      <c r="BF435" s="87"/>
      <c r="BG435" s="87"/>
      <c r="BH435" s="87"/>
      <c r="BI435" s="87"/>
      <c r="BJ435" s="87"/>
      <c r="BK435" s="87"/>
      <c r="BL435" s="87"/>
      <c r="BM435" s="87"/>
      <c r="BN435" s="87"/>
      <c r="BO435" s="87"/>
      <c r="BP435" s="87"/>
      <c r="BQ435" s="87"/>
      <c r="BR435" s="87"/>
      <c r="BS435" s="87"/>
      <c r="BT435" s="87"/>
      <c r="BU435" s="87"/>
      <c r="BV435" s="87"/>
      <c r="BW435" s="87"/>
      <c r="BX435" s="87"/>
      <c r="BY435" s="87"/>
      <c r="BZ435" s="87"/>
      <c r="CA435" s="87"/>
      <c r="CB435" s="87"/>
      <c r="CC435" s="87"/>
      <c r="CD435" s="87"/>
      <c r="CE435" s="87"/>
      <c r="CF435" s="87"/>
      <c r="CG435" s="87"/>
      <c r="CH435" s="87"/>
      <c r="CI435" s="87"/>
      <c r="CJ435" s="87"/>
      <c r="CK435" s="87"/>
      <c r="CL435" s="87"/>
      <c r="CM435" s="87"/>
      <c r="CN435" s="87"/>
      <c r="CO435" s="87"/>
      <c r="CP435" s="87"/>
      <c r="CQ435" s="87"/>
      <c r="NN435" s="87"/>
      <c r="NO435" s="135"/>
      <c r="NP435" s="127"/>
      <c r="NQ435" s="87"/>
      <c r="NR435" s="82"/>
      <c r="NS435" s="82"/>
      <c r="NT435" s="102"/>
      <c r="NU435" s="170"/>
      <c r="NV435" s="171"/>
      <c r="NW435" s="170"/>
      <c r="NX435" s="170"/>
      <c r="NY435" s="170"/>
      <c r="NZ435" s="170"/>
      <c r="OA435" s="170"/>
      <c r="OB435" s="170"/>
      <c r="OC435" s="170"/>
      <c r="OD435" s="170"/>
      <c r="OE435" s="170"/>
      <c r="OF435" s="170"/>
      <c r="OG435" s="60"/>
      <c r="OH435" s="87"/>
      <c r="OI435" s="126"/>
      <c r="OJ435" s="127"/>
      <c r="OK435" s="135"/>
      <c r="OL435" s="87"/>
      <c r="OM435" s="167"/>
      <c r="ON435" s="87"/>
      <c r="OO435" s="87"/>
      <c r="OP435" s="87"/>
      <c r="OQ435" s="87"/>
      <c r="OR435" s="87"/>
      <c r="OS435" s="87"/>
      <c r="OT435" s="87"/>
      <c r="OU435" s="87"/>
      <c r="OV435" s="87"/>
      <c r="OW435" s="87"/>
      <c r="OX435" s="87"/>
      <c r="OY435" s="87"/>
      <c r="OZ435" s="87"/>
      <c r="PA435" s="87"/>
      <c r="PB435" s="54"/>
      <c r="PC435" s="54"/>
      <c r="PD435" s="54"/>
      <c r="PE435" s="87"/>
      <c r="PF435" s="87"/>
      <c r="PG435" s="87"/>
      <c r="PH435" s="87"/>
      <c r="PI435" s="87"/>
      <c r="PJ435" s="87"/>
      <c r="PK435" s="87"/>
      <c r="PL435" s="87"/>
      <c r="PM435" s="87"/>
      <c r="PN435" s="87"/>
      <c r="PO435" s="87"/>
      <c r="PP435" s="87"/>
      <c r="PQ435" s="87"/>
      <c r="PR435" s="87"/>
      <c r="PS435" s="87"/>
      <c r="PT435" s="87"/>
      <c r="PU435" s="87"/>
      <c r="PV435" s="87"/>
      <c r="PW435" s="87"/>
      <c r="PX435" s="87"/>
      <c r="PY435" s="87"/>
      <c r="PZ435" s="87"/>
      <c r="QA435" s="87"/>
      <c r="QB435" s="87"/>
      <c r="QC435" s="87"/>
      <c r="QD435" s="87"/>
      <c r="QE435" s="87"/>
      <c r="QF435" s="87"/>
      <c r="QG435" s="87"/>
      <c r="QH435" s="87"/>
      <c r="QI435" s="87"/>
      <c r="QJ435" s="87"/>
      <c r="QK435" s="87"/>
      <c r="QL435" s="87"/>
      <c r="QM435" s="87"/>
      <c r="QN435" s="87"/>
      <c r="QO435" s="87"/>
      <c r="QP435" s="87"/>
      <c r="QQ435" s="87"/>
      <c r="QR435" s="87"/>
      <c r="QS435" s="87"/>
      <c r="QT435" s="87"/>
      <c r="QU435" s="87"/>
      <c r="QV435" s="87"/>
      <c r="QW435" s="87"/>
      <c r="QX435" s="87"/>
      <c r="QY435" s="87"/>
      <c r="QZ435" s="87"/>
      <c r="RA435" s="87"/>
      <c r="RB435" s="87"/>
      <c r="RC435" s="87"/>
      <c r="RD435" s="87"/>
    </row>
    <row r="436" spans="1:942">
      <c r="A436" s="87"/>
      <c r="B436" s="135">
        <v>45848</v>
      </c>
      <c r="C436" s="127">
        <v>45889</v>
      </c>
      <c r="D436" s="87" t="s">
        <v>150</v>
      </c>
      <c r="E436" s="82" t="s">
        <v>219</v>
      </c>
      <c r="F436" s="82" t="s">
        <v>220</v>
      </c>
      <c r="G436" s="102" t="s">
        <v>2616</v>
      </c>
      <c r="H436" s="170">
        <v>9454151599</v>
      </c>
      <c r="I436" s="171" t="s">
        <v>2617</v>
      </c>
      <c r="J436" s="53" t="s">
        <v>2369</v>
      </c>
      <c r="K436" s="170" t="s">
        <v>1607</v>
      </c>
      <c r="L436" s="170" t="s">
        <v>1607</v>
      </c>
      <c r="M436" s="170" t="s">
        <v>2618</v>
      </c>
      <c r="N436" s="170" t="s">
        <v>425</v>
      </c>
      <c r="O436" s="170" t="s">
        <v>2619</v>
      </c>
      <c r="P436" s="170" t="s">
        <v>770</v>
      </c>
      <c r="Q436" s="170" t="s">
        <v>402</v>
      </c>
      <c r="R436" s="170" t="s">
        <v>2620</v>
      </c>
      <c r="S436" s="170" t="s">
        <v>1201</v>
      </c>
      <c r="T436" s="170"/>
      <c r="U436" s="87" t="s">
        <v>1175</v>
      </c>
      <c r="V436" s="126" t="s">
        <v>2386</v>
      </c>
      <c r="W436" s="127"/>
      <c r="X436" s="135"/>
      <c r="Y436" s="135"/>
      <c r="Z436" s="167"/>
      <c r="AA436" s="87"/>
      <c r="AB436" s="87"/>
      <c r="AC436" s="87"/>
      <c r="AD436" s="87"/>
      <c r="AE436" s="87"/>
      <c r="AF436" s="87"/>
      <c r="AG436" s="87"/>
      <c r="AH436" s="87"/>
      <c r="AI436" s="87"/>
      <c r="AJ436" s="87"/>
      <c r="AK436" s="87"/>
      <c r="AL436" s="87"/>
      <c r="AM436" s="87"/>
      <c r="AN436" s="87"/>
      <c r="AO436" s="54"/>
      <c r="AP436" s="54"/>
      <c r="AQ436" s="54"/>
      <c r="AR436" s="87"/>
      <c r="AS436" s="87"/>
      <c r="AT436" s="87"/>
      <c r="AU436" s="87"/>
      <c r="AV436" s="87"/>
      <c r="AW436" s="87"/>
      <c r="AX436" s="87"/>
      <c r="AY436" s="87"/>
      <c r="AZ436" s="87"/>
      <c r="BA436" s="87"/>
      <c r="BB436" s="87"/>
      <c r="BC436" s="87"/>
      <c r="BD436" s="87"/>
      <c r="BE436" s="87"/>
      <c r="BF436" s="87"/>
      <c r="BG436" s="87"/>
      <c r="BH436" s="87"/>
      <c r="BI436" s="87"/>
      <c r="BJ436" s="87"/>
      <c r="BK436" s="87"/>
      <c r="BL436" s="87"/>
      <c r="BM436" s="87"/>
      <c r="BN436" s="87"/>
      <c r="BO436" s="87"/>
      <c r="BP436" s="87"/>
      <c r="BQ436" s="87"/>
      <c r="BR436" s="87"/>
      <c r="BS436" s="87"/>
      <c r="BT436" s="87"/>
      <c r="BU436" s="87"/>
      <c r="BV436" s="87"/>
      <c r="BW436" s="87"/>
      <c r="BX436" s="87"/>
      <c r="BY436" s="87"/>
      <c r="BZ436" s="87"/>
      <c r="CA436" s="87"/>
      <c r="CB436" s="87"/>
      <c r="CC436" s="87"/>
      <c r="CD436" s="87"/>
      <c r="CE436" s="87"/>
      <c r="CF436" s="87"/>
      <c r="CG436" s="87"/>
      <c r="CH436" s="87"/>
      <c r="CI436" s="87"/>
      <c r="CJ436" s="87"/>
      <c r="CK436" s="87"/>
      <c r="CL436" s="87"/>
      <c r="CM436" s="87"/>
      <c r="CN436" s="87"/>
      <c r="CO436" s="87"/>
      <c r="CP436" s="87"/>
      <c r="CQ436" s="87"/>
      <c r="NN436" s="87"/>
      <c r="NO436" s="135"/>
      <c r="NP436" s="127"/>
      <c r="NQ436" s="87"/>
      <c r="NR436" s="82"/>
      <c r="NS436" s="82"/>
      <c r="NT436" s="102"/>
      <c r="NU436" s="170"/>
      <c r="NV436" s="171"/>
      <c r="NW436" s="170"/>
      <c r="NX436" s="170"/>
      <c r="NY436" s="170"/>
      <c r="NZ436" s="170"/>
      <c r="OA436" s="170"/>
      <c r="OB436" s="170"/>
      <c r="OC436" s="170"/>
      <c r="OD436" s="170"/>
      <c r="OE436" s="170"/>
      <c r="OF436" s="170"/>
      <c r="OG436" s="60"/>
      <c r="OH436" s="87"/>
      <c r="OI436" s="126"/>
      <c r="OJ436" s="127"/>
      <c r="OK436" s="135"/>
      <c r="OL436" s="87"/>
      <c r="OM436" s="167"/>
      <c r="ON436" s="87"/>
      <c r="OO436" s="87"/>
      <c r="OP436" s="87"/>
      <c r="OQ436" s="87"/>
      <c r="OR436" s="87"/>
      <c r="OS436" s="87"/>
      <c r="OT436" s="87"/>
      <c r="OU436" s="87"/>
      <c r="OV436" s="87"/>
      <c r="OW436" s="87"/>
      <c r="OX436" s="87"/>
      <c r="OY436" s="87"/>
      <c r="OZ436" s="87"/>
      <c r="PA436" s="87"/>
      <c r="PB436" s="54"/>
      <c r="PC436" s="54"/>
      <c r="PD436" s="54"/>
      <c r="PE436" s="87"/>
      <c r="PF436" s="87"/>
      <c r="PG436" s="87"/>
      <c r="PH436" s="87"/>
      <c r="PI436" s="87"/>
      <c r="PJ436" s="87"/>
      <c r="PK436" s="87"/>
      <c r="PL436" s="87"/>
      <c r="PM436" s="87"/>
      <c r="PN436" s="87"/>
      <c r="PO436" s="87"/>
      <c r="PP436" s="87"/>
      <c r="PQ436" s="87"/>
      <c r="PR436" s="87"/>
      <c r="PS436" s="87"/>
      <c r="PT436" s="87"/>
      <c r="PU436" s="87"/>
      <c r="PV436" s="87"/>
      <c r="PW436" s="87"/>
      <c r="PX436" s="87"/>
      <c r="PY436" s="87"/>
      <c r="PZ436" s="87"/>
      <c r="QA436" s="87"/>
      <c r="QB436" s="87"/>
      <c r="QC436" s="87"/>
      <c r="QD436" s="87"/>
      <c r="QE436" s="87"/>
      <c r="QF436" s="87"/>
      <c r="QG436" s="87"/>
      <c r="QH436" s="87"/>
      <c r="QI436" s="87"/>
      <c r="QJ436" s="87"/>
      <c r="QK436" s="87"/>
      <c r="QL436" s="87"/>
      <c r="QM436" s="87"/>
      <c r="QN436" s="87"/>
      <c r="QO436" s="87"/>
      <c r="QP436" s="87"/>
      <c r="QQ436" s="87"/>
      <c r="QR436" s="87"/>
      <c r="QS436" s="87"/>
      <c r="QT436" s="87"/>
      <c r="QU436" s="87"/>
      <c r="QV436" s="87"/>
      <c r="QW436" s="87"/>
      <c r="QX436" s="87"/>
      <c r="QY436" s="87"/>
      <c r="QZ436" s="87"/>
      <c r="RA436" s="87"/>
      <c r="RB436" s="87"/>
      <c r="RC436" s="87"/>
      <c r="RD436" s="87"/>
    </row>
    <row r="437" spans="1:942">
      <c r="A437" s="87"/>
      <c r="B437" s="135">
        <v>45848</v>
      </c>
      <c r="C437" s="127">
        <v>45889</v>
      </c>
      <c r="D437" s="87" t="s">
        <v>150</v>
      </c>
      <c r="E437" s="82" t="s">
        <v>219</v>
      </c>
      <c r="F437" s="82" t="s">
        <v>220</v>
      </c>
      <c r="G437" s="102" t="s">
        <v>2621</v>
      </c>
      <c r="H437" s="170">
        <v>7355728158</v>
      </c>
      <c r="I437" s="171" t="s">
        <v>2622</v>
      </c>
      <c r="J437" s="53" t="s">
        <v>2369</v>
      </c>
      <c r="K437" s="170">
        <v>5.6</v>
      </c>
      <c r="L437" s="170">
        <v>5.6</v>
      </c>
      <c r="M437" s="170" t="s">
        <v>2623</v>
      </c>
      <c r="N437" s="170" t="s">
        <v>2339</v>
      </c>
      <c r="O437" s="170" t="s">
        <v>2624</v>
      </c>
      <c r="P437" s="170" t="s">
        <v>49</v>
      </c>
      <c r="Q437" s="170" t="s">
        <v>2625</v>
      </c>
      <c r="R437" s="170" t="s">
        <v>2626</v>
      </c>
      <c r="S437" s="170" t="s">
        <v>1201</v>
      </c>
      <c r="T437" s="170"/>
      <c r="U437" s="87" t="s">
        <v>1175</v>
      </c>
      <c r="V437" s="126" t="s">
        <v>2386</v>
      </c>
      <c r="W437" s="127"/>
      <c r="X437" s="135"/>
      <c r="Y437" s="135"/>
      <c r="Z437" s="167"/>
      <c r="AA437" s="87"/>
      <c r="AB437" s="87"/>
      <c r="AC437" s="87"/>
      <c r="AD437" s="87"/>
      <c r="AE437" s="87"/>
      <c r="AF437" s="87"/>
      <c r="AG437" s="87"/>
      <c r="AH437" s="87"/>
      <c r="AI437" s="87"/>
      <c r="AJ437" s="87"/>
      <c r="AK437" s="87"/>
      <c r="AL437" s="87"/>
      <c r="AM437" s="87"/>
      <c r="AN437" s="87"/>
      <c r="AO437" s="54"/>
      <c r="AP437" s="54"/>
      <c r="AQ437" s="54"/>
      <c r="AR437" s="87"/>
      <c r="AS437" s="87"/>
      <c r="AT437" s="87"/>
      <c r="AU437" s="87"/>
      <c r="AV437" s="87"/>
      <c r="AW437" s="87"/>
      <c r="AX437" s="87"/>
      <c r="AY437" s="87"/>
      <c r="AZ437" s="87"/>
      <c r="BA437" s="87"/>
      <c r="BB437" s="87"/>
      <c r="BC437" s="87"/>
      <c r="BD437" s="87"/>
      <c r="BE437" s="87"/>
      <c r="BF437" s="87"/>
      <c r="BG437" s="87"/>
      <c r="BH437" s="87"/>
      <c r="BI437" s="87"/>
      <c r="BJ437" s="87"/>
      <c r="BK437" s="87"/>
      <c r="BL437" s="87"/>
      <c r="BM437" s="87"/>
      <c r="BN437" s="87"/>
      <c r="BO437" s="87"/>
      <c r="BP437" s="87"/>
      <c r="BQ437" s="87"/>
      <c r="BR437" s="87"/>
      <c r="BS437" s="87"/>
      <c r="BT437" s="87"/>
      <c r="BU437" s="87"/>
      <c r="BV437" s="87"/>
      <c r="BW437" s="87"/>
      <c r="BX437" s="87"/>
      <c r="BY437" s="87"/>
      <c r="BZ437" s="87"/>
      <c r="CA437" s="87"/>
      <c r="CB437" s="87"/>
      <c r="CC437" s="87"/>
      <c r="CD437" s="87"/>
      <c r="CE437" s="87"/>
      <c r="CF437" s="87"/>
      <c r="CG437" s="87"/>
      <c r="CH437" s="87"/>
      <c r="CI437" s="87"/>
      <c r="CJ437" s="87"/>
      <c r="CK437" s="87"/>
      <c r="CL437" s="87"/>
      <c r="CM437" s="87"/>
      <c r="CN437" s="87"/>
      <c r="CO437" s="87"/>
      <c r="CP437" s="87"/>
      <c r="CQ437" s="87"/>
      <c r="NN437" s="87"/>
      <c r="NO437" s="135"/>
      <c r="NP437" s="127"/>
      <c r="NQ437" s="87"/>
      <c r="NR437" s="82"/>
      <c r="NS437" s="82"/>
      <c r="NT437" s="102"/>
      <c r="NU437" s="170"/>
      <c r="NV437" s="171"/>
      <c r="NW437" s="170"/>
      <c r="NX437" s="170"/>
      <c r="NY437" s="170"/>
      <c r="NZ437" s="170"/>
      <c r="OA437" s="170"/>
      <c r="OB437" s="170"/>
      <c r="OC437" s="170"/>
      <c r="OD437" s="170"/>
      <c r="OE437" s="170"/>
      <c r="OF437" s="170"/>
      <c r="OG437" s="60"/>
      <c r="OH437" s="87"/>
      <c r="OI437" s="126"/>
      <c r="OJ437" s="127"/>
      <c r="OK437" s="135"/>
      <c r="OL437" s="87"/>
      <c r="OM437" s="167"/>
      <c r="ON437" s="87"/>
      <c r="OO437" s="87"/>
      <c r="OP437" s="87"/>
      <c r="OQ437" s="87"/>
      <c r="OR437" s="87"/>
      <c r="OS437" s="87"/>
      <c r="OT437" s="87"/>
      <c r="OU437" s="87"/>
      <c r="OV437" s="87"/>
      <c r="OW437" s="87"/>
      <c r="OX437" s="87"/>
      <c r="OY437" s="87"/>
      <c r="OZ437" s="87"/>
      <c r="PA437" s="87"/>
      <c r="PB437" s="54"/>
      <c r="PC437" s="54"/>
      <c r="PD437" s="54"/>
      <c r="PE437" s="87"/>
      <c r="PF437" s="87"/>
      <c r="PG437" s="87"/>
      <c r="PH437" s="87"/>
      <c r="PI437" s="87"/>
      <c r="PJ437" s="87"/>
      <c r="PK437" s="87"/>
      <c r="PL437" s="87"/>
      <c r="PM437" s="87"/>
      <c r="PN437" s="87"/>
      <c r="PO437" s="87"/>
      <c r="PP437" s="87"/>
      <c r="PQ437" s="87"/>
      <c r="PR437" s="87"/>
      <c r="PS437" s="87"/>
      <c r="PT437" s="87"/>
      <c r="PU437" s="87"/>
      <c r="PV437" s="87"/>
      <c r="PW437" s="87"/>
      <c r="PX437" s="87"/>
      <c r="PY437" s="87"/>
      <c r="PZ437" s="87"/>
      <c r="QA437" s="87"/>
      <c r="QB437" s="87"/>
      <c r="QC437" s="87"/>
      <c r="QD437" s="87"/>
      <c r="QE437" s="87"/>
      <c r="QF437" s="87"/>
      <c r="QG437" s="87"/>
      <c r="QH437" s="87"/>
      <c r="QI437" s="87"/>
      <c r="QJ437" s="87"/>
      <c r="QK437" s="87"/>
      <c r="QL437" s="87"/>
      <c r="QM437" s="87"/>
      <c r="QN437" s="87"/>
      <c r="QO437" s="87"/>
      <c r="QP437" s="87"/>
      <c r="QQ437" s="87"/>
      <c r="QR437" s="87"/>
      <c r="QS437" s="87"/>
      <c r="QT437" s="87"/>
      <c r="QU437" s="87"/>
      <c r="QV437" s="87"/>
      <c r="QW437" s="87"/>
      <c r="QX437" s="87"/>
      <c r="QY437" s="87"/>
      <c r="QZ437" s="87"/>
      <c r="RA437" s="87"/>
      <c r="RB437" s="87"/>
      <c r="RC437" s="87"/>
      <c r="RD437" s="87"/>
    </row>
    <row r="438" spans="1:942">
      <c r="A438" s="87"/>
      <c r="B438" s="135">
        <v>45848</v>
      </c>
      <c r="C438" s="127">
        <v>45889</v>
      </c>
      <c r="D438" s="87" t="s">
        <v>150</v>
      </c>
      <c r="E438" s="82" t="s">
        <v>219</v>
      </c>
      <c r="F438" s="82" t="s">
        <v>220</v>
      </c>
      <c r="G438" s="102" t="s">
        <v>2627</v>
      </c>
      <c r="H438" s="170">
        <v>9953223736</v>
      </c>
      <c r="I438" s="171" t="s">
        <v>2628</v>
      </c>
      <c r="J438" s="53" t="s">
        <v>1226</v>
      </c>
      <c r="K438" s="170">
        <v>6</v>
      </c>
      <c r="L438" s="170">
        <v>6</v>
      </c>
      <c r="M438" s="170" t="s">
        <v>2629</v>
      </c>
      <c r="N438" s="170" t="s">
        <v>699</v>
      </c>
      <c r="O438" s="170" t="s">
        <v>1819</v>
      </c>
      <c r="P438" s="170">
        <v>0.3</v>
      </c>
      <c r="Q438" s="170" t="s">
        <v>1226</v>
      </c>
      <c r="R438" s="170" t="s">
        <v>1226</v>
      </c>
      <c r="S438" s="170" t="s">
        <v>1201</v>
      </c>
      <c r="T438" s="170"/>
      <c r="U438" s="87" t="s">
        <v>671</v>
      </c>
      <c r="V438" s="126" t="s">
        <v>2386</v>
      </c>
      <c r="W438" s="127" t="s">
        <v>1260</v>
      </c>
      <c r="X438" s="135">
        <v>45891</v>
      </c>
      <c r="Y438" s="135">
        <v>45896</v>
      </c>
      <c r="Z438" s="167" t="s">
        <v>340</v>
      </c>
      <c r="AA438" s="87"/>
      <c r="AB438" s="87"/>
      <c r="AC438" s="87"/>
      <c r="AD438" s="87"/>
      <c r="AE438" s="87"/>
      <c r="AF438" s="87"/>
      <c r="AG438" s="87"/>
      <c r="AH438" s="87"/>
      <c r="AI438" s="87"/>
      <c r="AJ438" s="87"/>
      <c r="AK438" s="87"/>
      <c r="AL438" s="87"/>
      <c r="AM438" s="87"/>
      <c r="AN438" s="87"/>
      <c r="AO438" s="54"/>
      <c r="AP438" s="54"/>
      <c r="AQ438" s="54"/>
      <c r="AR438" s="87"/>
      <c r="AS438" s="87"/>
      <c r="AT438" s="87"/>
      <c r="AU438" s="87"/>
      <c r="AV438" s="87"/>
      <c r="AW438" s="87"/>
      <c r="AX438" s="87"/>
      <c r="AY438" s="87"/>
      <c r="AZ438" s="87"/>
      <c r="BA438" s="87"/>
      <c r="BB438" s="87"/>
      <c r="BC438" s="87"/>
      <c r="BD438" s="87"/>
      <c r="BE438" s="87"/>
      <c r="BF438" s="87"/>
      <c r="BG438" s="87"/>
      <c r="BH438" s="87"/>
      <c r="BI438" s="87"/>
      <c r="BJ438" s="87"/>
      <c r="BK438" s="87"/>
      <c r="BL438" s="87"/>
      <c r="BM438" s="87"/>
      <c r="BN438" s="87"/>
      <c r="BO438" s="87"/>
      <c r="BP438" s="87"/>
      <c r="BQ438" s="87"/>
      <c r="BR438" s="87"/>
      <c r="BS438" s="87"/>
      <c r="BT438" s="87"/>
      <c r="BU438" s="87"/>
      <c r="BV438" s="87"/>
      <c r="BW438" s="87"/>
      <c r="BX438" s="87"/>
      <c r="BY438" s="87"/>
      <c r="BZ438" s="87"/>
      <c r="CA438" s="87"/>
      <c r="CB438" s="87"/>
      <c r="CC438" s="87"/>
      <c r="CD438" s="87"/>
      <c r="CE438" s="87"/>
      <c r="CF438" s="87"/>
      <c r="CG438" s="87"/>
      <c r="CH438" s="87"/>
      <c r="CI438" s="87"/>
      <c r="CJ438" s="87"/>
      <c r="CK438" s="87"/>
      <c r="CL438" s="87"/>
      <c r="CM438" s="87"/>
      <c r="CN438" s="87"/>
      <c r="CO438" s="87"/>
      <c r="CP438" s="87"/>
      <c r="CQ438" s="87"/>
      <c r="NN438" s="87"/>
      <c r="NO438" s="135"/>
      <c r="NP438" s="127"/>
      <c r="NQ438" s="87"/>
      <c r="NR438" s="82"/>
      <c r="NS438" s="82"/>
      <c r="NT438" s="102"/>
      <c r="NU438" s="170"/>
      <c r="NV438" s="171"/>
      <c r="NW438" s="170"/>
      <c r="NX438" s="170"/>
      <c r="NY438" s="170"/>
      <c r="NZ438" s="170"/>
      <c r="OA438" s="170"/>
      <c r="OB438" s="170"/>
      <c r="OC438" s="170"/>
      <c r="OD438" s="170"/>
      <c r="OE438" s="170"/>
      <c r="OF438" s="170"/>
      <c r="OG438" s="60"/>
      <c r="OH438" s="87"/>
      <c r="OI438" s="126"/>
      <c r="OJ438" s="127"/>
      <c r="OK438" s="135"/>
      <c r="OL438" s="87"/>
      <c r="OM438" s="167"/>
      <c r="ON438" s="87"/>
      <c r="OO438" s="87"/>
      <c r="OP438" s="87"/>
      <c r="OQ438" s="87"/>
      <c r="OR438" s="87"/>
      <c r="OS438" s="87"/>
      <c r="OT438" s="87"/>
      <c r="OU438" s="87"/>
      <c r="OV438" s="87"/>
      <c r="OW438" s="87"/>
      <c r="OX438" s="87"/>
      <c r="OY438" s="87"/>
      <c r="OZ438" s="87"/>
      <c r="PA438" s="87"/>
      <c r="PB438" s="54"/>
      <c r="PC438" s="54"/>
      <c r="PD438" s="54"/>
      <c r="PE438" s="87"/>
      <c r="PF438" s="87"/>
      <c r="PG438" s="87"/>
      <c r="PH438" s="87"/>
      <c r="PI438" s="87"/>
      <c r="PJ438" s="87"/>
      <c r="PK438" s="87"/>
      <c r="PL438" s="87"/>
      <c r="PM438" s="87"/>
      <c r="PN438" s="87"/>
      <c r="PO438" s="87"/>
      <c r="PP438" s="87"/>
      <c r="PQ438" s="87"/>
      <c r="PR438" s="87"/>
      <c r="PS438" s="87"/>
      <c r="PT438" s="87"/>
      <c r="PU438" s="87"/>
      <c r="PV438" s="87"/>
      <c r="PW438" s="87"/>
      <c r="PX438" s="87"/>
      <c r="PY438" s="87"/>
      <c r="PZ438" s="87"/>
      <c r="QA438" s="87"/>
      <c r="QB438" s="87"/>
      <c r="QC438" s="87"/>
      <c r="QD438" s="87"/>
      <c r="QE438" s="87"/>
      <c r="QF438" s="87"/>
      <c r="QG438" s="87"/>
      <c r="QH438" s="87"/>
      <c r="QI438" s="87"/>
      <c r="QJ438" s="87"/>
      <c r="QK438" s="87"/>
      <c r="QL438" s="87"/>
      <c r="QM438" s="87"/>
      <c r="QN438" s="87"/>
      <c r="QO438" s="87"/>
      <c r="QP438" s="87"/>
      <c r="QQ438" s="87"/>
      <c r="QR438" s="87"/>
      <c r="QS438" s="87"/>
      <c r="QT438" s="87"/>
      <c r="QU438" s="87"/>
      <c r="QV438" s="87"/>
      <c r="QW438" s="87"/>
      <c r="QX438" s="87"/>
      <c r="QY438" s="87"/>
      <c r="QZ438" s="87"/>
      <c r="RA438" s="87"/>
      <c r="RB438" s="87"/>
      <c r="RC438" s="87"/>
      <c r="RD438" s="87"/>
    </row>
    <row r="439" spans="1:942">
      <c r="A439" s="87"/>
      <c r="B439" s="135">
        <v>45848</v>
      </c>
      <c r="C439" s="127">
        <v>45894</v>
      </c>
      <c r="D439" s="87" t="s">
        <v>171</v>
      </c>
      <c r="E439" s="82" t="s">
        <v>219</v>
      </c>
      <c r="F439" s="82" t="s">
        <v>220</v>
      </c>
      <c r="G439" s="102" t="s">
        <v>2630</v>
      </c>
      <c r="H439" s="170">
        <v>9938097292</v>
      </c>
      <c r="I439" s="171" t="s">
        <v>2631</v>
      </c>
      <c r="J439" s="53" t="s">
        <v>2315</v>
      </c>
      <c r="K439" s="170">
        <v>8.5</v>
      </c>
      <c r="L439" s="170">
        <v>8.5</v>
      </c>
      <c r="M439" s="170" t="s">
        <v>2632</v>
      </c>
      <c r="N439" s="170" t="s">
        <v>756</v>
      </c>
      <c r="O439" s="170" t="s">
        <v>1894</v>
      </c>
      <c r="P439" s="170" t="s">
        <v>106</v>
      </c>
      <c r="Q439" s="170" t="s">
        <v>402</v>
      </c>
      <c r="R439" s="170" t="s">
        <v>2633</v>
      </c>
      <c r="S439" s="170" t="s">
        <v>1201</v>
      </c>
      <c r="T439" s="170">
        <v>1</v>
      </c>
      <c r="U439" s="87" t="s">
        <v>1447</v>
      </c>
      <c r="V439" s="126" t="s">
        <v>291</v>
      </c>
      <c r="W439" s="127"/>
      <c r="X439" s="135">
        <v>45903</v>
      </c>
      <c r="Y439" s="135"/>
      <c r="Z439" s="167"/>
      <c r="AA439" s="87"/>
      <c r="AB439" s="87"/>
      <c r="AC439" s="87"/>
      <c r="AD439" s="87"/>
      <c r="AE439" s="87"/>
      <c r="AF439" s="87"/>
      <c r="AG439" s="87"/>
      <c r="AH439" s="87"/>
      <c r="AI439" s="87"/>
      <c r="AJ439" s="87"/>
      <c r="AK439" s="87"/>
      <c r="AL439" s="87"/>
      <c r="AM439" s="87"/>
      <c r="AN439" s="87"/>
      <c r="AO439" s="54"/>
      <c r="AP439" s="54"/>
      <c r="AQ439" s="54"/>
      <c r="AR439" s="87"/>
      <c r="AS439" s="87"/>
      <c r="AT439" s="87"/>
      <c r="AU439" s="87"/>
      <c r="AV439" s="87"/>
      <c r="AW439" s="87"/>
      <c r="AX439" s="87"/>
      <c r="AY439" s="87"/>
      <c r="AZ439" s="87"/>
      <c r="BA439" s="87"/>
      <c r="BB439" s="87"/>
      <c r="BC439" s="87"/>
      <c r="BD439" s="87"/>
      <c r="BE439" s="87"/>
      <c r="BF439" s="87"/>
      <c r="BG439" s="87"/>
      <c r="BH439" s="87"/>
      <c r="BI439" s="87"/>
      <c r="BJ439" s="87"/>
      <c r="BK439" s="87"/>
      <c r="BL439" s="87"/>
      <c r="BM439" s="87"/>
      <c r="BN439" s="87"/>
      <c r="BO439" s="87"/>
      <c r="BP439" s="87"/>
      <c r="BQ439" s="87"/>
      <c r="BR439" s="87"/>
      <c r="BS439" s="87"/>
      <c r="BT439" s="87"/>
      <c r="BU439" s="87"/>
      <c r="BV439" s="87"/>
      <c r="BW439" s="87"/>
      <c r="BX439" s="87"/>
      <c r="BY439" s="87"/>
      <c r="BZ439" s="87"/>
      <c r="CA439" s="87"/>
      <c r="CB439" s="87"/>
      <c r="CC439" s="87"/>
      <c r="CD439" s="87"/>
      <c r="CE439" s="87"/>
      <c r="CF439" s="87"/>
      <c r="CG439" s="87"/>
      <c r="CH439" s="87"/>
      <c r="CI439" s="87"/>
      <c r="CJ439" s="87"/>
      <c r="CK439" s="87"/>
      <c r="CL439" s="87"/>
      <c r="CM439" s="87"/>
      <c r="CN439" s="87"/>
      <c r="CO439" s="87"/>
      <c r="CP439" s="87"/>
      <c r="CQ439" s="87"/>
      <c r="NN439" s="87"/>
      <c r="NO439" s="135"/>
      <c r="NP439" s="127"/>
      <c r="NQ439" s="87"/>
      <c r="NR439" s="82"/>
      <c r="NS439" s="82"/>
      <c r="NT439" s="102"/>
      <c r="NU439" s="170"/>
      <c r="NV439" s="171"/>
      <c r="NW439" s="170"/>
      <c r="NX439" s="170"/>
      <c r="NY439" s="170"/>
      <c r="NZ439" s="170"/>
      <c r="OA439" s="170"/>
      <c r="OB439" s="170"/>
      <c r="OC439" s="170"/>
      <c r="OD439" s="170"/>
      <c r="OE439" s="170"/>
      <c r="OF439" s="170"/>
      <c r="OG439" s="60"/>
      <c r="OH439" s="87"/>
      <c r="OI439" s="126"/>
      <c r="OJ439" s="127"/>
      <c r="OK439" s="135"/>
      <c r="OL439" s="87"/>
      <c r="OM439" s="167"/>
      <c r="ON439" s="87"/>
      <c r="OO439" s="87"/>
      <c r="OP439" s="87"/>
      <c r="OQ439" s="87"/>
      <c r="OR439" s="87"/>
      <c r="OS439" s="87"/>
      <c r="OT439" s="87"/>
      <c r="OU439" s="87"/>
      <c r="OV439" s="87"/>
      <c r="OW439" s="87"/>
      <c r="OX439" s="87"/>
      <c r="OY439" s="87"/>
      <c r="OZ439" s="87"/>
      <c r="PA439" s="87"/>
      <c r="PB439" s="54"/>
      <c r="PC439" s="54"/>
      <c r="PD439" s="54"/>
      <c r="PE439" s="87"/>
      <c r="PF439" s="87"/>
      <c r="PG439" s="87"/>
      <c r="PH439" s="87"/>
      <c r="PI439" s="87"/>
      <c r="PJ439" s="87"/>
      <c r="PK439" s="87"/>
      <c r="PL439" s="87"/>
      <c r="PM439" s="87"/>
      <c r="PN439" s="87"/>
      <c r="PO439" s="87"/>
      <c r="PP439" s="87"/>
      <c r="PQ439" s="87"/>
      <c r="PR439" s="87"/>
      <c r="PS439" s="87"/>
      <c r="PT439" s="87"/>
      <c r="PU439" s="87"/>
      <c r="PV439" s="87"/>
      <c r="PW439" s="87"/>
      <c r="PX439" s="87"/>
      <c r="PY439" s="87"/>
      <c r="PZ439" s="87"/>
      <c r="QA439" s="87"/>
      <c r="QB439" s="87"/>
      <c r="QC439" s="87"/>
      <c r="QD439" s="87"/>
      <c r="QE439" s="87"/>
      <c r="QF439" s="87"/>
      <c r="QG439" s="87"/>
      <c r="QH439" s="87"/>
      <c r="QI439" s="87"/>
      <c r="QJ439" s="87"/>
      <c r="QK439" s="87"/>
      <c r="QL439" s="87"/>
      <c r="QM439" s="87"/>
      <c r="QN439" s="87"/>
      <c r="QO439" s="87"/>
      <c r="QP439" s="87"/>
      <c r="QQ439" s="87"/>
      <c r="QR439" s="87"/>
      <c r="QS439" s="87"/>
      <c r="QT439" s="87"/>
      <c r="QU439" s="87"/>
      <c r="QV439" s="87"/>
      <c r="QW439" s="87"/>
      <c r="QX439" s="87"/>
      <c r="QY439" s="87"/>
      <c r="QZ439" s="87"/>
      <c r="RA439" s="87"/>
      <c r="RB439" s="87"/>
      <c r="RC439" s="87"/>
      <c r="RD439" s="87"/>
    </row>
    <row r="440" spans="1:942">
      <c r="A440" s="87"/>
      <c r="B440" s="135">
        <v>45848</v>
      </c>
      <c r="C440" s="127">
        <v>45894</v>
      </c>
      <c r="D440" s="87" t="s">
        <v>171</v>
      </c>
      <c r="E440" s="82" t="s">
        <v>219</v>
      </c>
      <c r="F440" s="82" t="s">
        <v>220</v>
      </c>
      <c r="G440" s="102" t="s">
        <v>2634</v>
      </c>
      <c r="H440" s="170">
        <v>9090043042</v>
      </c>
      <c r="I440" s="171" t="s">
        <v>2635</v>
      </c>
      <c r="J440" s="53" t="s">
        <v>2315</v>
      </c>
      <c r="K440" s="170">
        <v>11.9</v>
      </c>
      <c r="L440" s="170">
        <v>11.9</v>
      </c>
      <c r="M440" s="170" t="s">
        <v>2636</v>
      </c>
      <c r="N440" s="170" t="s">
        <v>425</v>
      </c>
      <c r="O440" s="170" t="s">
        <v>1537</v>
      </c>
      <c r="P440" s="170" t="s">
        <v>770</v>
      </c>
      <c r="Q440" s="170" t="s">
        <v>402</v>
      </c>
      <c r="R440" s="170" t="s">
        <v>2377</v>
      </c>
      <c r="S440" s="170" t="s">
        <v>1201</v>
      </c>
      <c r="T440" s="170" t="s">
        <v>2637</v>
      </c>
      <c r="U440" s="87" t="s">
        <v>1447</v>
      </c>
      <c r="V440" s="126" t="s">
        <v>291</v>
      </c>
      <c r="W440" s="127"/>
      <c r="X440" s="135">
        <v>45903</v>
      </c>
      <c r="Y440" s="135"/>
      <c r="Z440" s="167"/>
      <c r="AA440" s="87"/>
      <c r="AB440" s="87"/>
      <c r="AC440" s="87"/>
      <c r="AD440" s="87"/>
      <c r="AE440" s="87"/>
      <c r="AF440" s="87"/>
      <c r="AG440" s="87"/>
      <c r="AH440" s="87"/>
      <c r="AI440" s="87"/>
      <c r="AJ440" s="87"/>
      <c r="AK440" s="87"/>
      <c r="AL440" s="87"/>
      <c r="AM440" s="87"/>
      <c r="AN440" s="87"/>
      <c r="AO440" s="54"/>
      <c r="AP440" s="54"/>
      <c r="AQ440" s="54"/>
      <c r="AR440" s="87"/>
      <c r="AS440" s="87"/>
      <c r="AT440" s="87"/>
      <c r="AU440" s="87"/>
      <c r="AV440" s="87"/>
      <c r="AW440" s="87"/>
      <c r="AX440" s="87"/>
      <c r="AY440" s="87"/>
      <c r="AZ440" s="87"/>
      <c r="BA440" s="87"/>
      <c r="BB440" s="87"/>
      <c r="BC440" s="87"/>
      <c r="BD440" s="87"/>
      <c r="BE440" s="87"/>
      <c r="BF440" s="87"/>
      <c r="BG440" s="87"/>
      <c r="BH440" s="87"/>
      <c r="BI440" s="87"/>
      <c r="BJ440" s="87"/>
      <c r="BK440" s="87"/>
      <c r="BL440" s="87"/>
      <c r="BM440" s="87"/>
      <c r="BN440" s="87"/>
      <c r="BO440" s="87"/>
      <c r="BP440" s="87"/>
      <c r="BQ440" s="87"/>
      <c r="BR440" s="87"/>
      <c r="BS440" s="87"/>
      <c r="BT440" s="87"/>
      <c r="BU440" s="87"/>
      <c r="BV440" s="87"/>
      <c r="BW440" s="87"/>
      <c r="BX440" s="87"/>
      <c r="BY440" s="87"/>
      <c r="BZ440" s="87"/>
      <c r="CA440" s="87"/>
      <c r="CB440" s="87"/>
      <c r="CC440" s="87"/>
      <c r="CD440" s="87"/>
      <c r="CE440" s="87"/>
      <c r="CF440" s="87"/>
      <c r="CG440" s="87"/>
      <c r="CH440" s="87"/>
      <c r="CI440" s="87"/>
      <c r="CJ440" s="87"/>
      <c r="CK440" s="87"/>
      <c r="CL440" s="87"/>
      <c r="CM440" s="87"/>
      <c r="CN440" s="87"/>
      <c r="CO440" s="87"/>
      <c r="CP440" s="87"/>
      <c r="CQ440" s="87"/>
      <c r="NN440" s="87"/>
      <c r="NO440" s="135"/>
      <c r="NP440" s="127"/>
      <c r="NQ440" s="87"/>
      <c r="NR440" s="82"/>
      <c r="NS440" s="82"/>
      <c r="NT440" s="102"/>
      <c r="NU440" s="170"/>
      <c r="NV440" s="171"/>
      <c r="NW440" s="170"/>
      <c r="NX440" s="170"/>
      <c r="NY440" s="170"/>
      <c r="NZ440" s="170"/>
      <c r="OA440" s="170"/>
      <c r="OB440" s="170"/>
      <c r="OC440" s="170"/>
      <c r="OD440" s="170"/>
      <c r="OE440" s="170"/>
      <c r="OF440" s="170"/>
      <c r="OG440" s="60"/>
      <c r="OH440" s="87"/>
      <c r="OI440" s="126"/>
      <c r="OJ440" s="127"/>
      <c r="OK440" s="135"/>
      <c r="OL440" s="87"/>
      <c r="OM440" s="167"/>
      <c r="ON440" s="87"/>
      <c r="OO440" s="87"/>
      <c r="OP440" s="87"/>
      <c r="OQ440" s="87"/>
      <c r="OR440" s="87"/>
      <c r="OS440" s="87"/>
      <c r="OT440" s="87"/>
      <c r="OU440" s="87"/>
      <c r="OV440" s="87"/>
      <c r="OW440" s="87"/>
      <c r="OX440" s="87"/>
      <c r="OY440" s="87"/>
      <c r="OZ440" s="87"/>
      <c r="PA440" s="87"/>
      <c r="PB440" s="54"/>
      <c r="PC440" s="54"/>
      <c r="PD440" s="54"/>
      <c r="PE440" s="87"/>
      <c r="PF440" s="87"/>
      <c r="PG440" s="87"/>
      <c r="PH440" s="87"/>
      <c r="PI440" s="87"/>
      <c r="PJ440" s="87"/>
      <c r="PK440" s="87"/>
      <c r="PL440" s="87"/>
      <c r="PM440" s="87"/>
      <c r="PN440" s="87"/>
      <c r="PO440" s="87"/>
      <c r="PP440" s="87"/>
      <c r="PQ440" s="87"/>
      <c r="PR440" s="87"/>
      <c r="PS440" s="87"/>
      <c r="PT440" s="87"/>
      <c r="PU440" s="87"/>
      <c r="PV440" s="87"/>
      <c r="PW440" s="87"/>
      <c r="PX440" s="87"/>
      <c r="PY440" s="87"/>
      <c r="PZ440" s="87"/>
      <c r="QA440" s="87"/>
      <c r="QB440" s="87"/>
      <c r="QC440" s="87"/>
      <c r="QD440" s="87"/>
      <c r="QE440" s="87"/>
      <c r="QF440" s="87"/>
      <c r="QG440" s="87"/>
      <c r="QH440" s="87"/>
      <c r="QI440" s="87"/>
      <c r="QJ440" s="87"/>
      <c r="QK440" s="87"/>
      <c r="QL440" s="87"/>
      <c r="QM440" s="87"/>
      <c r="QN440" s="87"/>
      <c r="QO440" s="87"/>
      <c r="QP440" s="87"/>
      <c r="QQ440" s="87"/>
      <c r="QR440" s="87"/>
      <c r="QS440" s="87"/>
      <c r="QT440" s="87"/>
      <c r="QU440" s="87"/>
      <c r="QV440" s="87"/>
      <c r="QW440" s="87"/>
      <c r="QX440" s="87"/>
      <c r="QY440" s="87"/>
      <c r="QZ440" s="87"/>
      <c r="RA440" s="87"/>
      <c r="RB440" s="87"/>
      <c r="RC440" s="87"/>
      <c r="RD440" s="87"/>
    </row>
    <row r="441" spans="1:942">
      <c r="A441" s="87"/>
      <c r="B441" s="135">
        <v>45848</v>
      </c>
      <c r="C441" s="127">
        <v>45897</v>
      </c>
      <c r="D441" s="87" t="s">
        <v>171</v>
      </c>
      <c r="E441" s="82" t="s">
        <v>219</v>
      </c>
      <c r="F441" s="82" t="s">
        <v>220</v>
      </c>
      <c r="G441" s="102" t="s">
        <v>2638</v>
      </c>
      <c r="H441" s="170">
        <v>8433266599</v>
      </c>
      <c r="I441" s="171" t="s">
        <v>2639</v>
      </c>
      <c r="J441" s="53" t="s">
        <v>2315</v>
      </c>
      <c r="K441" s="170" t="s">
        <v>2327</v>
      </c>
      <c r="L441" s="170" t="s">
        <v>2327</v>
      </c>
      <c r="M441" s="170" t="s">
        <v>2640</v>
      </c>
      <c r="N441" s="170" t="s">
        <v>425</v>
      </c>
      <c r="O441" s="170" t="s">
        <v>94</v>
      </c>
      <c r="P441" s="170" t="s">
        <v>2121</v>
      </c>
      <c r="Q441" s="170" t="s">
        <v>2641</v>
      </c>
      <c r="R441" s="170" t="s">
        <v>66</v>
      </c>
      <c r="S441" s="170" t="s">
        <v>1201</v>
      </c>
      <c r="T441" s="170">
        <v>2.5</v>
      </c>
      <c r="U441" s="87" t="s">
        <v>1447</v>
      </c>
      <c r="V441" s="126" t="s">
        <v>339</v>
      </c>
      <c r="W441" s="127" t="s">
        <v>164</v>
      </c>
      <c r="X441" s="135">
        <v>45903</v>
      </c>
      <c r="Y441" s="135">
        <v>45909</v>
      </c>
      <c r="Z441" s="167" t="s">
        <v>340</v>
      </c>
      <c r="AA441" s="166">
        <v>45910</v>
      </c>
      <c r="AB441" s="87" t="s">
        <v>340</v>
      </c>
      <c r="AC441" s="87"/>
      <c r="AD441" s="87"/>
      <c r="AE441" s="87"/>
      <c r="AF441" s="87"/>
      <c r="AG441" s="87"/>
      <c r="AH441" s="87"/>
      <c r="AI441" s="87"/>
      <c r="AJ441" s="87"/>
      <c r="AK441" s="87"/>
      <c r="AL441" s="87"/>
      <c r="AM441" s="87"/>
      <c r="AN441" s="87"/>
      <c r="AO441" s="54"/>
      <c r="AP441" s="54"/>
      <c r="AQ441" s="54"/>
      <c r="AR441" s="87"/>
      <c r="AS441" s="87"/>
      <c r="AT441" s="87"/>
      <c r="AU441" s="87"/>
      <c r="AV441" s="87"/>
      <c r="AW441" s="87"/>
      <c r="AX441" s="87"/>
      <c r="AY441" s="87"/>
      <c r="AZ441" s="87"/>
      <c r="BA441" s="87"/>
      <c r="BB441" s="87"/>
      <c r="BC441" s="87"/>
      <c r="BD441" s="87"/>
      <c r="BE441" s="87"/>
      <c r="BF441" s="87"/>
      <c r="BG441" s="87"/>
      <c r="BH441" s="87"/>
      <c r="BI441" s="87"/>
      <c r="BJ441" s="87"/>
      <c r="BK441" s="87"/>
      <c r="BL441" s="87"/>
      <c r="BM441" s="87"/>
      <c r="BN441" s="87"/>
      <c r="BO441" s="87"/>
      <c r="BP441" s="87"/>
      <c r="BQ441" s="87"/>
      <c r="BR441" s="87"/>
      <c r="BS441" s="87"/>
      <c r="BT441" s="87"/>
      <c r="BU441" s="87"/>
      <c r="BV441" s="87"/>
      <c r="BW441" s="87"/>
      <c r="BX441" s="87"/>
      <c r="BY441" s="87"/>
      <c r="BZ441" s="87"/>
      <c r="CA441" s="87"/>
      <c r="CB441" s="87"/>
      <c r="CC441" s="87"/>
      <c r="CD441" s="87"/>
      <c r="CE441" s="87"/>
      <c r="CF441" s="87"/>
      <c r="CG441" s="87"/>
      <c r="CH441" s="87"/>
      <c r="CI441" s="87"/>
      <c r="CJ441" s="87"/>
      <c r="CK441" s="87"/>
      <c r="CL441" s="87"/>
      <c r="CM441" s="87"/>
      <c r="CN441" s="87"/>
      <c r="CO441" s="87"/>
      <c r="CP441" s="87"/>
      <c r="CQ441" s="87"/>
      <c r="NN441" s="87"/>
      <c r="NO441" s="135"/>
      <c r="NP441" s="127"/>
      <c r="NQ441" s="87"/>
      <c r="NR441" s="82"/>
      <c r="NS441" s="82"/>
      <c r="NT441" s="102"/>
      <c r="NU441" s="170"/>
      <c r="NV441" s="171"/>
      <c r="NW441" s="170"/>
      <c r="NX441" s="170"/>
      <c r="NY441" s="170"/>
      <c r="NZ441" s="170"/>
      <c r="OA441" s="170"/>
      <c r="OB441" s="170"/>
      <c r="OC441" s="170"/>
      <c r="OD441" s="170"/>
      <c r="OE441" s="170"/>
      <c r="OF441" s="170"/>
      <c r="OG441" s="60"/>
      <c r="OH441" s="87"/>
      <c r="OI441" s="126"/>
      <c r="OJ441" s="127"/>
      <c r="OK441" s="135"/>
      <c r="OL441" s="87"/>
      <c r="OM441" s="167"/>
      <c r="ON441" s="87"/>
      <c r="OO441" s="87"/>
      <c r="OP441" s="87"/>
      <c r="OQ441" s="87"/>
      <c r="OR441" s="87"/>
      <c r="OS441" s="87"/>
      <c r="OT441" s="87"/>
      <c r="OU441" s="87"/>
      <c r="OV441" s="87"/>
      <c r="OW441" s="87"/>
      <c r="OX441" s="87"/>
      <c r="OY441" s="87"/>
      <c r="OZ441" s="87"/>
      <c r="PA441" s="87"/>
      <c r="PB441" s="54"/>
      <c r="PC441" s="54"/>
      <c r="PD441" s="54"/>
      <c r="PE441" s="87"/>
      <c r="PF441" s="87"/>
      <c r="PG441" s="87"/>
      <c r="PH441" s="87"/>
      <c r="PI441" s="87"/>
      <c r="PJ441" s="87"/>
      <c r="PK441" s="87"/>
      <c r="PL441" s="87"/>
      <c r="PM441" s="87"/>
      <c r="PN441" s="87"/>
      <c r="PO441" s="87"/>
      <c r="PP441" s="87"/>
      <c r="PQ441" s="87"/>
      <c r="PR441" s="87"/>
      <c r="PS441" s="87"/>
      <c r="PT441" s="87"/>
      <c r="PU441" s="87"/>
      <c r="PV441" s="87"/>
      <c r="PW441" s="87"/>
      <c r="PX441" s="87"/>
      <c r="PY441" s="87"/>
      <c r="PZ441" s="87"/>
      <c r="QA441" s="87"/>
      <c r="QB441" s="87"/>
      <c r="QC441" s="87"/>
      <c r="QD441" s="87"/>
      <c r="QE441" s="87"/>
      <c r="QF441" s="87"/>
      <c r="QG441" s="87"/>
      <c r="QH441" s="87"/>
      <c r="QI441" s="87"/>
      <c r="QJ441" s="87"/>
      <c r="QK441" s="87"/>
      <c r="QL441" s="87"/>
      <c r="QM441" s="87"/>
      <c r="QN441" s="87"/>
      <c r="QO441" s="87"/>
      <c r="QP441" s="87"/>
      <c r="QQ441" s="87"/>
      <c r="QR441" s="87"/>
      <c r="QS441" s="87"/>
      <c r="QT441" s="87"/>
      <c r="QU441" s="87"/>
      <c r="QV441" s="87"/>
      <c r="QW441" s="87"/>
      <c r="QX441" s="87"/>
      <c r="QY441" s="87"/>
      <c r="QZ441" s="87"/>
      <c r="RA441" s="87"/>
      <c r="RB441" s="87"/>
      <c r="RC441" s="87"/>
      <c r="RD441" s="87"/>
    </row>
    <row r="442" spans="1:942">
      <c r="A442" s="87"/>
      <c r="B442" s="135">
        <v>45848</v>
      </c>
      <c r="C442" s="127">
        <v>45897</v>
      </c>
      <c r="D442" s="87" t="s">
        <v>171</v>
      </c>
      <c r="E442" s="82" t="s">
        <v>219</v>
      </c>
      <c r="F442" s="82" t="s">
        <v>220</v>
      </c>
      <c r="G442" s="102" t="s">
        <v>2642</v>
      </c>
      <c r="H442" s="170">
        <v>9798042970</v>
      </c>
      <c r="I442" s="171" t="s">
        <v>2643</v>
      </c>
      <c r="J442" s="53" t="s">
        <v>2315</v>
      </c>
      <c r="K442" s="170" t="s">
        <v>2644</v>
      </c>
      <c r="L442" s="170" t="s">
        <v>2644</v>
      </c>
      <c r="M442" s="170" t="s">
        <v>2645</v>
      </c>
      <c r="N442" s="170" t="s">
        <v>425</v>
      </c>
      <c r="O442" s="170" t="s">
        <v>1537</v>
      </c>
      <c r="P442" s="170" t="s">
        <v>770</v>
      </c>
      <c r="Q442" s="170" t="s">
        <v>402</v>
      </c>
      <c r="R442" s="170" t="s">
        <v>1130</v>
      </c>
      <c r="S442" s="170" t="s">
        <v>1201</v>
      </c>
      <c r="T442" s="170"/>
      <c r="U442" s="87" t="s">
        <v>1447</v>
      </c>
      <c r="V442" s="126" t="s">
        <v>291</v>
      </c>
      <c r="W442" s="127"/>
      <c r="X442" s="135">
        <v>45903</v>
      </c>
      <c r="Y442" s="135"/>
      <c r="Z442" s="16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  <c r="AL442" s="87"/>
      <c r="AM442" s="87"/>
      <c r="AN442" s="87"/>
      <c r="AO442" s="54"/>
      <c r="AP442" s="54"/>
      <c r="AQ442" s="54"/>
      <c r="AR442" s="87"/>
      <c r="AS442" s="87"/>
      <c r="AT442" s="87"/>
      <c r="AU442" s="87"/>
      <c r="AV442" s="87"/>
      <c r="AW442" s="87"/>
      <c r="AX442" s="87"/>
      <c r="AY442" s="87"/>
      <c r="AZ442" s="87"/>
      <c r="BA442" s="87"/>
      <c r="BB442" s="87"/>
      <c r="BC442" s="87"/>
      <c r="BD442" s="87"/>
      <c r="BE442" s="87"/>
      <c r="BF442" s="87"/>
      <c r="BG442" s="87"/>
      <c r="BH442" s="87"/>
      <c r="BI442" s="87"/>
      <c r="BJ442" s="87"/>
      <c r="BK442" s="87"/>
      <c r="BL442" s="87"/>
      <c r="BM442" s="87"/>
      <c r="BN442" s="87"/>
      <c r="BO442" s="87"/>
      <c r="BP442" s="87"/>
      <c r="BQ442" s="87"/>
      <c r="BR442" s="87"/>
      <c r="BS442" s="87"/>
      <c r="BT442" s="87"/>
      <c r="BU442" s="87"/>
      <c r="BV442" s="87"/>
      <c r="BW442" s="87"/>
      <c r="BX442" s="87"/>
      <c r="BY442" s="87"/>
      <c r="BZ442" s="87"/>
      <c r="CA442" s="87"/>
      <c r="CB442" s="87"/>
      <c r="CC442" s="87"/>
      <c r="CD442" s="87"/>
      <c r="CE442" s="87"/>
      <c r="CF442" s="87"/>
      <c r="CG442" s="87"/>
      <c r="CH442" s="87"/>
      <c r="CI442" s="87"/>
      <c r="CJ442" s="87"/>
      <c r="CK442" s="87"/>
      <c r="CL442" s="87"/>
      <c r="CM442" s="87"/>
      <c r="CN442" s="87"/>
      <c r="CO442" s="87"/>
      <c r="CP442" s="87"/>
      <c r="CQ442" s="87"/>
      <c r="NN442" s="87"/>
      <c r="NO442" s="135"/>
      <c r="NP442" s="127"/>
      <c r="NQ442" s="87"/>
      <c r="NR442" s="82"/>
      <c r="NS442" s="82"/>
      <c r="NT442" s="102"/>
      <c r="NU442" s="170"/>
      <c r="NV442" s="171"/>
      <c r="NW442" s="170"/>
      <c r="NX442" s="170"/>
      <c r="NY442" s="170"/>
      <c r="NZ442" s="170"/>
      <c r="OA442" s="170"/>
      <c r="OB442" s="170"/>
      <c r="OC442" s="170"/>
      <c r="OD442" s="170"/>
      <c r="OE442" s="170"/>
      <c r="OF442" s="170"/>
      <c r="OG442" s="60"/>
      <c r="OH442" s="87"/>
      <c r="OI442" s="126"/>
      <c r="OJ442" s="127"/>
      <c r="OK442" s="135"/>
      <c r="OL442" s="87"/>
      <c r="OM442" s="167"/>
      <c r="ON442" s="87"/>
      <c r="OO442" s="87"/>
      <c r="OP442" s="87"/>
      <c r="OQ442" s="87"/>
      <c r="OR442" s="87"/>
      <c r="OS442" s="87"/>
      <c r="OT442" s="87"/>
      <c r="OU442" s="87"/>
      <c r="OV442" s="87"/>
      <c r="OW442" s="87"/>
      <c r="OX442" s="87"/>
      <c r="OY442" s="87"/>
      <c r="OZ442" s="87"/>
      <c r="PA442" s="87"/>
      <c r="PB442" s="54"/>
      <c r="PC442" s="54"/>
      <c r="PD442" s="54"/>
      <c r="PE442" s="87"/>
      <c r="PF442" s="87"/>
      <c r="PG442" s="87"/>
      <c r="PH442" s="87"/>
      <c r="PI442" s="87"/>
      <c r="PJ442" s="87"/>
      <c r="PK442" s="87"/>
      <c r="PL442" s="87"/>
      <c r="PM442" s="87"/>
      <c r="PN442" s="87"/>
      <c r="PO442" s="87"/>
      <c r="PP442" s="87"/>
      <c r="PQ442" s="87"/>
      <c r="PR442" s="87"/>
      <c r="PS442" s="87"/>
      <c r="PT442" s="87"/>
      <c r="PU442" s="87"/>
      <c r="PV442" s="87"/>
      <c r="PW442" s="87"/>
      <c r="PX442" s="87"/>
      <c r="PY442" s="87"/>
      <c r="PZ442" s="87"/>
      <c r="QA442" s="87"/>
      <c r="QB442" s="87"/>
      <c r="QC442" s="87"/>
      <c r="QD442" s="87"/>
      <c r="QE442" s="87"/>
      <c r="QF442" s="87"/>
      <c r="QG442" s="87"/>
      <c r="QH442" s="87"/>
      <c r="QI442" s="87"/>
      <c r="QJ442" s="87"/>
      <c r="QK442" s="87"/>
      <c r="QL442" s="87"/>
      <c r="QM442" s="87"/>
      <c r="QN442" s="87"/>
      <c r="QO442" s="87"/>
      <c r="QP442" s="87"/>
      <c r="QQ442" s="87"/>
      <c r="QR442" s="87"/>
      <c r="QS442" s="87"/>
      <c r="QT442" s="87"/>
      <c r="QU442" s="87"/>
      <c r="QV442" s="87"/>
      <c r="QW442" s="87"/>
      <c r="QX442" s="87"/>
      <c r="QY442" s="87"/>
      <c r="QZ442" s="87"/>
      <c r="RA442" s="87"/>
      <c r="RB442" s="87"/>
      <c r="RC442" s="87"/>
      <c r="RD442" s="87"/>
    </row>
    <row r="443" spans="1:942">
      <c r="A443" s="87"/>
      <c r="B443" s="135">
        <v>45881</v>
      </c>
      <c r="C443" s="127">
        <v>45898</v>
      </c>
      <c r="D443" s="87" t="s">
        <v>209</v>
      </c>
      <c r="E443" s="82" t="s">
        <v>219</v>
      </c>
      <c r="F443" s="82" t="s">
        <v>220</v>
      </c>
      <c r="G443" s="102" t="s">
        <v>2646</v>
      </c>
      <c r="H443" s="170">
        <v>9316049343</v>
      </c>
      <c r="I443" s="171" t="s">
        <v>2647</v>
      </c>
      <c r="J443" s="53" t="s">
        <v>2648</v>
      </c>
      <c r="K443" s="170">
        <v>7</v>
      </c>
      <c r="L443" s="170">
        <v>7</v>
      </c>
      <c r="M443" s="170" t="s">
        <v>2649</v>
      </c>
      <c r="N443" s="170" t="s">
        <v>2650</v>
      </c>
      <c r="O443" s="170" t="s">
        <v>2651</v>
      </c>
      <c r="P443" s="170" t="s">
        <v>770</v>
      </c>
      <c r="Q443" s="170" t="s">
        <v>402</v>
      </c>
      <c r="R443" s="170" t="s">
        <v>66</v>
      </c>
      <c r="S443" s="170" t="s">
        <v>1201</v>
      </c>
      <c r="T443" s="170">
        <v>1.6</v>
      </c>
      <c r="U443" s="87" t="s">
        <v>1447</v>
      </c>
      <c r="V443" s="126" t="s">
        <v>291</v>
      </c>
      <c r="W443" s="127"/>
      <c r="X443" s="135">
        <v>45916</v>
      </c>
      <c r="Y443" s="135"/>
      <c r="Z443" s="167"/>
      <c r="AA443" s="87"/>
      <c r="AB443" s="87"/>
      <c r="AC443" s="87"/>
      <c r="AD443" s="87"/>
      <c r="AE443" s="87"/>
      <c r="AF443" s="87"/>
      <c r="AG443" s="87"/>
      <c r="AH443" s="87"/>
      <c r="AI443" s="87"/>
      <c r="AJ443" s="87"/>
      <c r="AK443" s="87"/>
      <c r="AL443" s="87"/>
      <c r="AM443" s="87"/>
      <c r="AN443" s="87"/>
      <c r="AO443" s="54"/>
      <c r="AP443" s="54"/>
      <c r="AQ443" s="54"/>
      <c r="AR443" s="87"/>
      <c r="AS443" s="87"/>
      <c r="AT443" s="87"/>
      <c r="AU443" s="87"/>
      <c r="AV443" s="87"/>
      <c r="AW443" s="87"/>
      <c r="AX443" s="87"/>
      <c r="AY443" s="87"/>
      <c r="AZ443" s="87"/>
      <c r="BA443" s="87"/>
      <c r="BB443" s="87"/>
      <c r="BC443" s="87"/>
      <c r="BD443" s="87"/>
      <c r="BE443" s="87"/>
      <c r="BF443" s="87"/>
      <c r="BG443" s="87"/>
      <c r="BH443" s="87"/>
      <c r="BI443" s="87"/>
      <c r="BJ443" s="87"/>
      <c r="BK443" s="87"/>
      <c r="BL443" s="87"/>
      <c r="BM443" s="87"/>
      <c r="BN443" s="87"/>
      <c r="BO443" s="87"/>
      <c r="BP443" s="87"/>
      <c r="BQ443" s="87"/>
      <c r="BR443" s="87"/>
      <c r="BS443" s="87"/>
      <c r="BT443" s="87"/>
      <c r="BU443" s="87"/>
      <c r="BV443" s="87"/>
      <c r="BW443" s="87"/>
      <c r="BX443" s="87"/>
      <c r="BY443" s="87"/>
      <c r="BZ443" s="87"/>
      <c r="CA443" s="87"/>
      <c r="CB443" s="87"/>
      <c r="CC443" s="87"/>
      <c r="CD443" s="87"/>
      <c r="CE443" s="87"/>
      <c r="CF443" s="87"/>
      <c r="CG443" s="87"/>
      <c r="CH443" s="87"/>
      <c r="CI443" s="87"/>
      <c r="CJ443" s="87"/>
      <c r="CK443" s="87"/>
      <c r="CL443" s="87"/>
      <c r="CM443" s="87"/>
      <c r="CN443" s="87"/>
      <c r="CO443" s="87"/>
      <c r="CP443" s="87"/>
      <c r="CQ443" s="87"/>
      <c r="NN443" s="87"/>
      <c r="NO443" s="135"/>
      <c r="NP443" s="127"/>
      <c r="NQ443" s="87"/>
      <c r="NR443" s="82"/>
      <c r="NS443" s="82"/>
      <c r="NT443" s="102"/>
      <c r="NU443" s="170"/>
      <c r="NV443" s="171"/>
      <c r="NW443" s="170"/>
      <c r="NX443" s="170"/>
      <c r="NY443" s="170"/>
      <c r="NZ443" s="170"/>
      <c r="OA443" s="170"/>
      <c r="OB443" s="170"/>
      <c r="OC443" s="170"/>
      <c r="OD443" s="170"/>
      <c r="OE443" s="170"/>
      <c r="OF443" s="170"/>
      <c r="OG443" s="60"/>
      <c r="OH443" s="87"/>
      <c r="OI443" s="126"/>
      <c r="OJ443" s="127"/>
      <c r="OK443" s="135"/>
      <c r="OL443" s="87"/>
      <c r="OM443" s="167"/>
      <c r="ON443" s="87"/>
      <c r="OO443" s="87"/>
      <c r="OP443" s="87"/>
      <c r="OQ443" s="87"/>
      <c r="OR443" s="87"/>
      <c r="OS443" s="87"/>
      <c r="OT443" s="87"/>
      <c r="OU443" s="87"/>
      <c r="OV443" s="87"/>
      <c r="OW443" s="87"/>
      <c r="OX443" s="87"/>
      <c r="OY443" s="87"/>
      <c r="OZ443" s="87"/>
      <c r="PA443" s="87"/>
      <c r="PB443" s="54"/>
      <c r="PC443" s="54"/>
      <c r="PD443" s="54"/>
      <c r="PE443" s="87"/>
      <c r="PF443" s="87"/>
      <c r="PG443" s="87"/>
      <c r="PH443" s="87"/>
      <c r="PI443" s="87"/>
      <c r="PJ443" s="87"/>
      <c r="PK443" s="87"/>
      <c r="PL443" s="87"/>
      <c r="PM443" s="87"/>
      <c r="PN443" s="87"/>
      <c r="PO443" s="87"/>
      <c r="PP443" s="87"/>
      <c r="PQ443" s="87"/>
      <c r="PR443" s="87"/>
      <c r="PS443" s="87"/>
      <c r="PT443" s="87"/>
      <c r="PU443" s="87"/>
      <c r="PV443" s="87"/>
      <c r="PW443" s="87"/>
      <c r="PX443" s="87"/>
      <c r="PY443" s="87"/>
      <c r="PZ443" s="87"/>
      <c r="QA443" s="87"/>
      <c r="QB443" s="87"/>
      <c r="QC443" s="87"/>
      <c r="QD443" s="87"/>
      <c r="QE443" s="87"/>
      <c r="QF443" s="87"/>
      <c r="QG443" s="87"/>
      <c r="QH443" s="87"/>
      <c r="QI443" s="87"/>
      <c r="QJ443" s="87"/>
      <c r="QK443" s="87"/>
      <c r="QL443" s="87"/>
      <c r="QM443" s="87"/>
      <c r="QN443" s="87"/>
      <c r="QO443" s="87"/>
      <c r="QP443" s="87"/>
      <c r="QQ443" s="87"/>
      <c r="QR443" s="87"/>
      <c r="QS443" s="87"/>
      <c r="QT443" s="87"/>
      <c r="QU443" s="87"/>
      <c r="QV443" s="87"/>
      <c r="QW443" s="87"/>
      <c r="QX443" s="87"/>
      <c r="QY443" s="87"/>
      <c r="QZ443" s="87"/>
      <c r="RA443" s="87"/>
      <c r="RB443" s="87"/>
      <c r="RC443" s="87"/>
      <c r="RD443" s="87"/>
    </row>
    <row r="444" spans="1:942">
      <c r="A444" s="87"/>
      <c r="B444" s="135">
        <v>45881</v>
      </c>
      <c r="C444" s="127">
        <v>45898</v>
      </c>
      <c r="D444" s="87" t="s">
        <v>209</v>
      </c>
      <c r="E444" s="82" t="s">
        <v>219</v>
      </c>
      <c r="F444" s="82" t="s">
        <v>220</v>
      </c>
      <c r="G444" s="102" t="s">
        <v>2652</v>
      </c>
      <c r="H444" s="170">
        <v>8577039240</v>
      </c>
      <c r="I444" s="171" t="s">
        <v>2653</v>
      </c>
      <c r="J444" s="53" t="s">
        <v>2648</v>
      </c>
      <c r="K444" s="170">
        <v>7</v>
      </c>
      <c r="L444" s="170">
        <v>7</v>
      </c>
      <c r="M444" s="170" t="s">
        <v>2654</v>
      </c>
      <c r="N444" s="170" t="s">
        <v>425</v>
      </c>
      <c r="O444" s="170" t="s">
        <v>2655</v>
      </c>
      <c r="P444" s="170" t="s">
        <v>770</v>
      </c>
      <c r="Q444" s="170" t="s">
        <v>1095</v>
      </c>
      <c r="R444" s="170" t="s">
        <v>42</v>
      </c>
      <c r="S444" s="170" t="s">
        <v>1201</v>
      </c>
      <c r="T444" s="170">
        <v>3</v>
      </c>
      <c r="U444" s="87" t="s">
        <v>1447</v>
      </c>
      <c r="V444" s="126" t="s">
        <v>2111</v>
      </c>
      <c r="W444" s="127" t="s">
        <v>741</v>
      </c>
      <c r="X444" s="135">
        <v>45916</v>
      </c>
      <c r="Y444" s="135"/>
      <c r="Z444" s="16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  <c r="AL444" s="87"/>
      <c r="AM444" s="87"/>
      <c r="AN444" s="87"/>
      <c r="AO444" s="54"/>
      <c r="AP444" s="54"/>
      <c r="AQ444" s="54"/>
      <c r="AR444" s="87"/>
      <c r="AS444" s="87"/>
      <c r="AT444" s="87"/>
      <c r="AU444" s="87"/>
      <c r="AV444" s="87"/>
      <c r="AW444" s="87"/>
      <c r="AX444" s="87"/>
      <c r="AY444" s="87"/>
      <c r="AZ444" s="87"/>
      <c r="BA444" s="87"/>
      <c r="BB444" s="87"/>
      <c r="BC444" s="87"/>
      <c r="BD444" s="87"/>
      <c r="BE444" s="87"/>
      <c r="BF444" s="87"/>
      <c r="BG444" s="87"/>
      <c r="BH444" s="87"/>
      <c r="BI444" s="87"/>
      <c r="BJ444" s="87"/>
      <c r="BK444" s="87"/>
      <c r="BL444" s="87"/>
      <c r="BM444" s="87"/>
      <c r="BN444" s="87"/>
      <c r="BO444" s="87"/>
      <c r="BP444" s="87"/>
      <c r="BQ444" s="87"/>
      <c r="BR444" s="87"/>
      <c r="BS444" s="87"/>
      <c r="BT444" s="87"/>
      <c r="BU444" s="87"/>
      <c r="BV444" s="87"/>
      <c r="BW444" s="87"/>
      <c r="BX444" s="87"/>
      <c r="BY444" s="87"/>
      <c r="BZ444" s="87"/>
      <c r="CA444" s="87"/>
      <c r="CB444" s="87"/>
      <c r="CC444" s="87"/>
      <c r="CD444" s="87"/>
      <c r="CE444" s="87"/>
      <c r="CF444" s="87"/>
      <c r="CG444" s="87"/>
      <c r="CH444" s="87"/>
      <c r="CI444" s="87"/>
      <c r="CJ444" s="87"/>
      <c r="CK444" s="87"/>
      <c r="CL444" s="87"/>
      <c r="CM444" s="87"/>
      <c r="CN444" s="87"/>
      <c r="CO444" s="87"/>
      <c r="CP444" s="87"/>
      <c r="CQ444" s="87"/>
      <c r="NN444" s="87"/>
      <c r="NO444" s="135"/>
      <c r="NP444" s="127"/>
      <c r="NQ444" s="87"/>
      <c r="NR444" s="82"/>
      <c r="NS444" s="82"/>
      <c r="NT444" s="102"/>
      <c r="NU444" s="170"/>
      <c r="NV444" s="171"/>
      <c r="NW444" s="170"/>
      <c r="NX444" s="170"/>
      <c r="NY444" s="170"/>
      <c r="NZ444" s="170"/>
      <c r="OA444" s="170"/>
      <c r="OB444" s="170"/>
      <c r="OC444" s="170"/>
      <c r="OD444" s="170"/>
      <c r="OE444" s="170"/>
      <c r="OF444" s="170"/>
      <c r="OG444" s="60"/>
      <c r="OH444" s="87"/>
      <c r="OI444" s="126"/>
      <c r="OJ444" s="127"/>
      <c r="OK444" s="135"/>
      <c r="OL444" s="87"/>
      <c r="OM444" s="167"/>
      <c r="ON444" s="87"/>
      <c r="OO444" s="87"/>
      <c r="OP444" s="87"/>
      <c r="OQ444" s="87"/>
      <c r="OR444" s="87"/>
      <c r="OS444" s="87"/>
      <c r="OT444" s="87"/>
      <c r="OU444" s="87"/>
      <c r="OV444" s="87"/>
      <c r="OW444" s="87"/>
      <c r="OX444" s="87"/>
      <c r="OY444" s="87"/>
      <c r="OZ444" s="87"/>
      <c r="PA444" s="87"/>
      <c r="PB444" s="54"/>
      <c r="PC444" s="54"/>
      <c r="PD444" s="54"/>
      <c r="PE444" s="87"/>
      <c r="PF444" s="87"/>
      <c r="PG444" s="87"/>
      <c r="PH444" s="87"/>
      <c r="PI444" s="87"/>
      <c r="PJ444" s="87"/>
      <c r="PK444" s="87"/>
      <c r="PL444" s="87"/>
      <c r="PM444" s="87"/>
      <c r="PN444" s="87"/>
      <c r="PO444" s="87"/>
      <c r="PP444" s="87"/>
      <c r="PQ444" s="87"/>
      <c r="PR444" s="87"/>
      <c r="PS444" s="87"/>
      <c r="PT444" s="87"/>
      <c r="PU444" s="87"/>
      <c r="PV444" s="87"/>
      <c r="PW444" s="87"/>
      <c r="PX444" s="87"/>
      <c r="PY444" s="87"/>
      <c r="PZ444" s="87"/>
      <c r="QA444" s="87"/>
      <c r="QB444" s="87"/>
      <c r="QC444" s="87"/>
      <c r="QD444" s="87"/>
      <c r="QE444" s="87"/>
      <c r="QF444" s="87"/>
      <c r="QG444" s="87"/>
      <c r="QH444" s="87"/>
      <c r="QI444" s="87"/>
      <c r="QJ444" s="87"/>
      <c r="QK444" s="87"/>
      <c r="QL444" s="87"/>
      <c r="QM444" s="87"/>
      <c r="QN444" s="87"/>
      <c r="QO444" s="87"/>
      <c r="QP444" s="87"/>
      <c r="QQ444" s="87"/>
      <c r="QR444" s="87"/>
      <c r="QS444" s="87"/>
      <c r="QT444" s="87"/>
      <c r="QU444" s="87"/>
      <c r="QV444" s="87"/>
      <c r="QW444" s="87"/>
      <c r="QX444" s="87"/>
      <c r="QY444" s="87"/>
      <c r="QZ444" s="87"/>
      <c r="RA444" s="87"/>
      <c r="RB444" s="87"/>
      <c r="RC444" s="87"/>
      <c r="RD444" s="87"/>
    </row>
    <row r="445" spans="1:942">
      <c r="A445" s="87"/>
      <c r="B445" s="135">
        <v>45747</v>
      </c>
      <c r="C445" s="127">
        <v>45902</v>
      </c>
      <c r="D445" s="87" t="s">
        <v>141</v>
      </c>
      <c r="E445" s="82" t="s">
        <v>219</v>
      </c>
      <c r="F445" s="82" t="s">
        <v>220</v>
      </c>
      <c r="G445" s="102" t="s">
        <v>2299</v>
      </c>
      <c r="H445" s="170">
        <v>9594999674</v>
      </c>
      <c r="I445" s="171" t="s">
        <v>2300</v>
      </c>
      <c r="J445" s="53" t="s">
        <v>2301</v>
      </c>
      <c r="K445" s="170">
        <v>13.4</v>
      </c>
      <c r="L445" s="170">
        <v>11.4</v>
      </c>
      <c r="M445" s="170" t="s">
        <v>2656</v>
      </c>
      <c r="N445" s="170" t="s">
        <v>2657</v>
      </c>
      <c r="O445" s="170" t="s">
        <v>1936</v>
      </c>
      <c r="P445" s="170" t="s">
        <v>1030</v>
      </c>
      <c r="Q445" s="170" t="s">
        <v>2306</v>
      </c>
      <c r="R445" s="170" t="s">
        <v>2658</v>
      </c>
      <c r="S445" s="170" t="s">
        <v>68</v>
      </c>
      <c r="T445" s="170">
        <v>0.1</v>
      </c>
      <c r="U445" s="87" t="s">
        <v>671</v>
      </c>
      <c r="V445" s="126" t="s">
        <v>1529</v>
      </c>
      <c r="W445" s="127" t="s">
        <v>1260</v>
      </c>
      <c r="X445" s="135">
        <v>45908</v>
      </c>
      <c r="Y445" s="135">
        <v>45911</v>
      </c>
      <c r="Z445" s="167" t="s">
        <v>340</v>
      </c>
      <c r="AA445" s="167" t="s">
        <v>2659</v>
      </c>
      <c r="AB445" s="87"/>
      <c r="AC445" s="87"/>
      <c r="AD445" s="87"/>
      <c r="AE445" s="87"/>
      <c r="AF445" s="87"/>
      <c r="AG445" s="87"/>
      <c r="AH445" s="87"/>
      <c r="AI445" s="87"/>
      <c r="AJ445" s="87"/>
      <c r="AK445" s="87"/>
      <c r="AL445" s="87"/>
      <c r="AM445" s="87"/>
      <c r="AN445" s="87"/>
      <c r="AO445" s="54"/>
      <c r="AP445" s="54"/>
      <c r="AQ445" s="54"/>
      <c r="AR445" s="87"/>
      <c r="AS445" s="87"/>
      <c r="AT445" s="87"/>
      <c r="AU445" s="87"/>
      <c r="AV445" s="87"/>
      <c r="AW445" s="87"/>
      <c r="AX445" s="87"/>
      <c r="AY445" s="87"/>
      <c r="AZ445" s="87"/>
      <c r="BA445" s="87"/>
      <c r="BB445" s="87"/>
      <c r="BC445" s="87"/>
      <c r="BD445" s="87"/>
      <c r="BE445" s="87"/>
      <c r="BF445" s="87"/>
      <c r="BG445" s="87"/>
      <c r="BH445" s="87"/>
      <c r="BI445" s="87"/>
      <c r="BJ445" s="87"/>
      <c r="BK445" s="87"/>
      <c r="BL445" s="87"/>
      <c r="BM445" s="87"/>
      <c r="BN445" s="87"/>
      <c r="BO445" s="87"/>
      <c r="BP445" s="87"/>
      <c r="BQ445" s="87"/>
      <c r="BR445" s="87"/>
      <c r="BS445" s="87"/>
      <c r="BT445" s="87"/>
      <c r="BU445" s="87"/>
      <c r="BV445" s="87"/>
      <c r="BW445" s="87"/>
      <c r="BX445" s="87"/>
      <c r="BY445" s="87"/>
      <c r="BZ445" s="87"/>
      <c r="CA445" s="87"/>
      <c r="CB445" s="87"/>
      <c r="CC445" s="87"/>
      <c r="CD445" s="87"/>
      <c r="CE445" s="87"/>
      <c r="CF445" s="87"/>
      <c r="CG445" s="87"/>
      <c r="CH445" s="87"/>
      <c r="CI445" s="87"/>
      <c r="CJ445" s="87"/>
      <c r="CK445" s="87"/>
      <c r="CL445" s="87"/>
      <c r="CM445" s="87"/>
      <c r="CN445" s="87"/>
      <c r="CO445" s="87"/>
      <c r="CP445" s="87"/>
      <c r="CQ445" s="87"/>
      <c r="NN445" s="87"/>
      <c r="NO445" s="135"/>
      <c r="NP445" s="127"/>
      <c r="NQ445" s="87"/>
      <c r="NR445" s="82"/>
      <c r="NS445" s="82"/>
      <c r="NT445" s="102"/>
      <c r="NU445" s="170"/>
      <c r="NV445" s="171"/>
      <c r="NW445" s="170"/>
      <c r="NX445" s="170"/>
      <c r="NY445" s="170"/>
      <c r="NZ445" s="170"/>
      <c r="OA445" s="170"/>
      <c r="OB445" s="170"/>
      <c r="OC445" s="170"/>
      <c r="OD445" s="170"/>
      <c r="OE445" s="170"/>
      <c r="OF445" s="170"/>
      <c r="OG445" s="60"/>
      <c r="OH445" s="87"/>
      <c r="OI445" s="126"/>
      <c r="OJ445" s="127"/>
      <c r="OK445" s="135"/>
      <c r="OL445" s="87"/>
      <c r="OM445" s="167"/>
      <c r="ON445" s="87"/>
      <c r="OO445" s="87"/>
      <c r="OP445" s="87"/>
      <c r="OQ445" s="87"/>
      <c r="OR445" s="87"/>
      <c r="OS445" s="87"/>
      <c r="OT445" s="87"/>
      <c r="OU445" s="87"/>
      <c r="OV445" s="87"/>
      <c r="OW445" s="87"/>
      <c r="OX445" s="87"/>
      <c r="OY445" s="87"/>
      <c r="OZ445" s="87"/>
      <c r="PA445" s="87"/>
      <c r="PB445" s="54"/>
      <c r="PC445" s="54"/>
      <c r="PD445" s="54"/>
      <c r="PE445" s="87"/>
      <c r="PF445" s="87"/>
      <c r="PG445" s="87"/>
      <c r="PH445" s="87"/>
      <c r="PI445" s="87"/>
      <c r="PJ445" s="87"/>
      <c r="PK445" s="87"/>
      <c r="PL445" s="87"/>
      <c r="PM445" s="87"/>
      <c r="PN445" s="87"/>
      <c r="PO445" s="87"/>
      <c r="PP445" s="87"/>
      <c r="PQ445" s="87"/>
      <c r="PR445" s="87"/>
      <c r="PS445" s="87"/>
      <c r="PT445" s="87"/>
      <c r="PU445" s="87"/>
      <c r="PV445" s="87"/>
      <c r="PW445" s="87"/>
      <c r="PX445" s="87"/>
      <c r="PY445" s="87"/>
      <c r="PZ445" s="87"/>
      <c r="QA445" s="87"/>
      <c r="QB445" s="87"/>
      <c r="QC445" s="87"/>
      <c r="QD445" s="87"/>
      <c r="QE445" s="87"/>
      <c r="QF445" s="87"/>
      <c r="QG445" s="87"/>
      <c r="QH445" s="87"/>
      <c r="QI445" s="87"/>
      <c r="QJ445" s="87"/>
      <c r="QK445" s="87"/>
      <c r="QL445" s="87"/>
      <c r="QM445" s="87"/>
      <c r="QN445" s="87"/>
      <c r="QO445" s="87"/>
      <c r="QP445" s="87"/>
      <c r="QQ445" s="87"/>
      <c r="QR445" s="87"/>
      <c r="QS445" s="87"/>
      <c r="QT445" s="87"/>
      <c r="QU445" s="87"/>
      <c r="QV445" s="87"/>
      <c r="QW445" s="87"/>
      <c r="QX445" s="87"/>
      <c r="QY445" s="87"/>
      <c r="QZ445" s="87"/>
      <c r="RA445" s="87"/>
      <c r="RB445" s="87"/>
      <c r="RC445" s="87"/>
      <c r="RD445" s="87"/>
    </row>
    <row r="446" spans="1:942">
      <c r="A446" s="87"/>
      <c r="B446" s="135">
        <v>45747</v>
      </c>
      <c r="C446" s="127">
        <v>45902</v>
      </c>
      <c r="D446" s="87" t="s">
        <v>141</v>
      </c>
      <c r="E446" s="82" t="s">
        <v>219</v>
      </c>
      <c r="F446" s="82" t="s">
        <v>220</v>
      </c>
      <c r="G446" s="102" t="s">
        <v>2660</v>
      </c>
      <c r="H446" s="170" t="s">
        <v>2661</v>
      </c>
      <c r="I446" s="171" t="s">
        <v>2662</v>
      </c>
      <c r="J446" s="53" t="s">
        <v>2663</v>
      </c>
      <c r="K446" s="170">
        <v>25</v>
      </c>
      <c r="L446" s="170" t="s">
        <v>1226</v>
      </c>
      <c r="M446" s="170" t="s">
        <v>2664</v>
      </c>
      <c r="N446" s="170" t="s">
        <v>699</v>
      </c>
      <c r="O446" s="170" t="s">
        <v>2665</v>
      </c>
      <c r="P446" s="170" t="s">
        <v>276</v>
      </c>
      <c r="Q446" s="170" t="s">
        <v>2505</v>
      </c>
      <c r="R446" s="170" t="s">
        <v>2666</v>
      </c>
      <c r="S446" s="170" t="s">
        <v>68</v>
      </c>
      <c r="T446" s="170">
        <v>15</v>
      </c>
      <c r="U446" s="87" t="s">
        <v>671</v>
      </c>
      <c r="V446" s="126" t="s">
        <v>1529</v>
      </c>
      <c r="W446" s="127" t="s">
        <v>1260</v>
      </c>
      <c r="X446" s="135">
        <v>45908</v>
      </c>
      <c r="Y446" s="135">
        <v>45911</v>
      </c>
      <c r="Z446" s="167" t="s">
        <v>340</v>
      </c>
      <c r="AA446" s="167">
        <v>45918</v>
      </c>
      <c r="AB446" s="87"/>
      <c r="AC446" s="87"/>
      <c r="AD446" s="87"/>
      <c r="AE446" s="87"/>
      <c r="AF446" s="87"/>
      <c r="AG446" s="87"/>
      <c r="AH446" s="87"/>
      <c r="AI446" s="87"/>
      <c r="AJ446" s="87"/>
      <c r="AK446" s="87"/>
      <c r="AL446" s="87"/>
      <c r="AM446" s="87"/>
      <c r="AN446" s="87"/>
      <c r="AO446" s="54"/>
      <c r="AP446" s="54"/>
      <c r="AQ446" s="54"/>
      <c r="AR446" s="87"/>
      <c r="AS446" s="87"/>
      <c r="AT446" s="87"/>
      <c r="AU446" s="87"/>
      <c r="AV446" s="87"/>
      <c r="AW446" s="87"/>
      <c r="AX446" s="87"/>
      <c r="AY446" s="87"/>
      <c r="AZ446" s="87"/>
      <c r="BA446" s="87"/>
      <c r="BB446" s="87"/>
      <c r="BC446" s="87"/>
      <c r="BD446" s="87"/>
      <c r="BE446" s="87"/>
      <c r="BF446" s="87"/>
      <c r="BG446" s="87"/>
      <c r="BH446" s="87"/>
      <c r="BI446" s="87"/>
      <c r="BJ446" s="87"/>
      <c r="BK446" s="87"/>
      <c r="BL446" s="87"/>
      <c r="BM446" s="87"/>
      <c r="BN446" s="87"/>
      <c r="BO446" s="87"/>
      <c r="BP446" s="87"/>
      <c r="BQ446" s="87"/>
      <c r="BR446" s="87"/>
      <c r="BS446" s="87"/>
      <c r="BT446" s="87"/>
      <c r="BU446" s="87"/>
      <c r="BV446" s="87"/>
      <c r="BW446" s="87"/>
      <c r="BX446" s="87"/>
      <c r="BY446" s="87"/>
      <c r="BZ446" s="87"/>
      <c r="CA446" s="87"/>
      <c r="CB446" s="87"/>
      <c r="CC446" s="87"/>
      <c r="CD446" s="87"/>
      <c r="CE446" s="87"/>
      <c r="CF446" s="87"/>
      <c r="CG446" s="87"/>
      <c r="CH446" s="87"/>
      <c r="CI446" s="87"/>
      <c r="CJ446" s="87"/>
      <c r="CK446" s="87"/>
      <c r="CL446" s="87"/>
      <c r="CM446" s="87"/>
      <c r="CN446" s="87"/>
      <c r="CO446" s="87"/>
      <c r="CP446" s="87"/>
      <c r="CQ446" s="87"/>
      <c r="NN446" s="87"/>
      <c r="NO446" s="135"/>
      <c r="NP446" s="127"/>
      <c r="NQ446" s="87"/>
      <c r="NR446" s="82"/>
      <c r="NS446" s="82"/>
      <c r="NT446" s="102"/>
      <c r="NU446" s="170"/>
      <c r="NV446" s="171"/>
      <c r="NW446" s="170"/>
      <c r="NX446" s="170"/>
      <c r="NY446" s="170"/>
      <c r="NZ446" s="170"/>
      <c r="OA446" s="170"/>
      <c r="OB446" s="170"/>
      <c r="OC446" s="170"/>
      <c r="OD446" s="170"/>
      <c r="OE446" s="170"/>
      <c r="OF446" s="170"/>
      <c r="OG446" s="60"/>
      <c r="OH446" s="87"/>
      <c r="OI446" s="126"/>
      <c r="OJ446" s="127"/>
      <c r="OK446" s="135"/>
      <c r="OL446" s="87"/>
      <c r="OM446" s="167"/>
      <c r="ON446" s="87"/>
      <c r="OO446" s="87"/>
      <c r="OP446" s="87"/>
      <c r="OQ446" s="87"/>
      <c r="OR446" s="87"/>
      <c r="OS446" s="87"/>
      <c r="OT446" s="87"/>
      <c r="OU446" s="87"/>
      <c r="OV446" s="87"/>
      <c r="OW446" s="87"/>
      <c r="OX446" s="87"/>
      <c r="OY446" s="87"/>
      <c r="OZ446" s="87"/>
      <c r="PA446" s="87"/>
      <c r="PB446" s="54"/>
      <c r="PC446" s="54"/>
      <c r="PD446" s="54"/>
      <c r="PE446" s="87"/>
      <c r="PF446" s="87"/>
      <c r="PG446" s="87"/>
      <c r="PH446" s="87"/>
      <c r="PI446" s="87"/>
      <c r="PJ446" s="87"/>
      <c r="PK446" s="87"/>
      <c r="PL446" s="87"/>
      <c r="PM446" s="87"/>
      <c r="PN446" s="87"/>
      <c r="PO446" s="87"/>
      <c r="PP446" s="87"/>
      <c r="PQ446" s="87"/>
      <c r="PR446" s="87"/>
      <c r="PS446" s="87"/>
      <c r="PT446" s="87"/>
      <c r="PU446" s="87"/>
      <c r="PV446" s="87"/>
      <c r="PW446" s="87"/>
      <c r="PX446" s="87"/>
      <c r="PY446" s="87"/>
      <c r="PZ446" s="87"/>
      <c r="QA446" s="87"/>
      <c r="QB446" s="87"/>
      <c r="QC446" s="87"/>
      <c r="QD446" s="87"/>
      <c r="QE446" s="87"/>
      <c r="QF446" s="87"/>
      <c r="QG446" s="87"/>
      <c r="QH446" s="87"/>
      <c r="QI446" s="87"/>
      <c r="QJ446" s="87"/>
      <c r="QK446" s="87"/>
      <c r="QL446" s="87"/>
      <c r="QM446" s="87"/>
      <c r="QN446" s="87"/>
      <c r="QO446" s="87"/>
      <c r="QP446" s="87"/>
      <c r="QQ446" s="87"/>
      <c r="QR446" s="87"/>
      <c r="QS446" s="87"/>
      <c r="QT446" s="87"/>
      <c r="QU446" s="87"/>
      <c r="QV446" s="87"/>
      <c r="QW446" s="87"/>
      <c r="QX446" s="87"/>
      <c r="QY446" s="87"/>
      <c r="QZ446" s="87"/>
      <c r="RA446" s="87"/>
      <c r="RB446" s="87"/>
      <c r="RC446" s="87"/>
      <c r="RD446" s="87"/>
    </row>
    <row r="447" spans="1:942">
      <c r="A447" s="87"/>
      <c r="B447" s="135">
        <v>45747</v>
      </c>
      <c r="C447" s="127">
        <v>45909</v>
      </c>
      <c r="D447" s="87" t="s">
        <v>141</v>
      </c>
      <c r="E447" s="82" t="s">
        <v>219</v>
      </c>
      <c r="F447" s="82" t="s">
        <v>220</v>
      </c>
      <c r="G447" s="102" t="s">
        <v>2667</v>
      </c>
      <c r="H447" s="170">
        <v>9555123353</v>
      </c>
      <c r="I447" s="171" t="s">
        <v>2668</v>
      </c>
      <c r="J447" s="170"/>
      <c r="K447" s="170" t="s">
        <v>2601</v>
      </c>
      <c r="L447" s="170" t="s">
        <v>2601</v>
      </c>
      <c r="M447" s="170" t="s">
        <v>2669</v>
      </c>
      <c r="N447" s="170" t="s">
        <v>1218</v>
      </c>
      <c r="O447" s="170" t="s">
        <v>2670</v>
      </c>
      <c r="P447" s="170" t="s">
        <v>2671</v>
      </c>
      <c r="Q447" s="170" t="s">
        <v>2672</v>
      </c>
      <c r="R447" s="170" t="s">
        <v>1793</v>
      </c>
      <c r="S447" s="170" t="s">
        <v>68</v>
      </c>
      <c r="T447" s="170">
        <v>1.9</v>
      </c>
      <c r="U447" s="87" t="s">
        <v>353</v>
      </c>
      <c r="V447" s="126" t="s">
        <v>1529</v>
      </c>
      <c r="W447" s="127" t="s">
        <v>1260</v>
      </c>
      <c r="X447" s="135">
        <v>45911</v>
      </c>
      <c r="Y447" s="167">
        <v>45912</v>
      </c>
      <c r="Z447" s="87" t="s">
        <v>340</v>
      </c>
      <c r="AA447" s="167">
        <v>45918</v>
      </c>
      <c r="AB447" s="87"/>
      <c r="AC447" s="87"/>
      <c r="AD447" s="87"/>
      <c r="AE447" s="87"/>
      <c r="AF447" s="87"/>
      <c r="AG447" s="87"/>
      <c r="AH447" s="87"/>
      <c r="AI447" s="87"/>
      <c r="AJ447" s="87"/>
      <c r="AK447" s="87"/>
      <c r="AL447" s="87"/>
      <c r="AM447" s="87"/>
      <c r="AN447" s="54"/>
      <c r="AO447" s="54"/>
      <c r="AP447" s="54"/>
      <c r="AQ447" s="87"/>
      <c r="AR447" s="87"/>
      <c r="AS447" s="87"/>
      <c r="AT447" s="87"/>
      <c r="AU447" s="87"/>
      <c r="AV447" s="87"/>
      <c r="AW447" s="87"/>
      <c r="AX447" s="87"/>
      <c r="AY447" s="87"/>
      <c r="AZ447" s="87"/>
      <c r="BA447" s="87"/>
      <c r="BB447" s="87"/>
      <c r="BC447" s="87"/>
      <c r="BD447" s="87"/>
      <c r="BE447" s="87"/>
      <c r="BF447" s="87"/>
      <c r="BG447" s="87"/>
      <c r="BH447" s="87"/>
      <c r="BI447" s="87"/>
      <c r="BJ447" s="87"/>
      <c r="BK447" s="87"/>
      <c r="BL447" s="87"/>
      <c r="BM447" s="87"/>
      <c r="BN447" s="87"/>
      <c r="BO447" s="87"/>
      <c r="BP447" s="87"/>
      <c r="BQ447" s="87"/>
      <c r="BR447" s="87"/>
      <c r="BS447" s="87"/>
      <c r="BT447" s="87"/>
      <c r="BU447" s="87"/>
      <c r="BV447" s="87"/>
      <c r="BW447" s="87"/>
      <c r="BX447" s="87"/>
      <c r="BY447" s="87"/>
      <c r="BZ447" s="87"/>
      <c r="CA447" s="87"/>
      <c r="CB447" s="87"/>
      <c r="CC447" s="87"/>
      <c r="CD447" s="87"/>
      <c r="CE447" s="87"/>
      <c r="CF447" s="87"/>
      <c r="CG447" s="87"/>
      <c r="CH447" s="87"/>
      <c r="CI447" s="87"/>
      <c r="CJ447" s="87"/>
      <c r="CK447" s="87"/>
      <c r="CL447" s="87"/>
      <c r="CM447" s="87"/>
      <c r="CN447" s="87"/>
      <c r="CO447" s="87"/>
      <c r="CP447" s="87"/>
      <c r="NM447" s="87"/>
      <c r="NN447" s="135"/>
      <c r="NO447" s="127"/>
      <c r="NP447" s="87"/>
      <c r="NQ447" s="82"/>
      <c r="NR447" s="82"/>
      <c r="NS447" s="102"/>
      <c r="NT447" s="170"/>
      <c r="NU447" s="171"/>
      <c r="NV447" s="170"/>
      <c r="NW447" s="170"/>
      <c r="NX447" s="170"/>
      <c r="NY447" s="170"/>
      <c r="NZ447" s="170"/>
      <c r="OA447" s="170"/>
      <c r="OB447" s="170"/>
      <c r="OC447" s="170"/>
      <c r="OD447" s="170"/>
      <c r="OE447" s="170"/>
      <c r="OF447" s="60"/>
      <c r="OG447" s="87"/>
      <c r="OH447" s="126"/>
      <c r="OI447" s="127"/>
      <c r="OJ447" s="135"/>
      <c r="OK447" s="87"/>
      <c r="OL447" s="167"/>
      <c r="OM447" s="87"/>
      <c r="ON447" s="87"/>
      <c r="OO447" s="87"/>
      <c r="OP447" s="87"/>
      <c r="OQ447" s="87"/>
      <c r="OR447" s="87"/>
      <c r="OS447" s="87"/>
      <c r="OT447" s="87"/>
      <c r="OU447" s="87"/>
      <c r="OV447" s="87"/>
      <c r="OW447" s="87"/>
      <c r="OX447" s="87"/>
      <c r="OY447" s="87"/>
      <c r="OZ447" s="87"/>
      <c r="PA447" s="54"/>
      <c r="PB447" s="54"/>
      <c r="PC447" s="54"/>
      <c r="PD447" s="87"/>
      <c r="PE447" s="87"/>
      <c r="PF447" s="87"/>
      <c r="PG447" s="87"/>
      <c r="PH447" s="87"/>
      <c r="PI447" s="87"/>
      <c r="PJ447" s="87"/>
      <c r="PK447" s="87"/>
      <c r="PL447" s="87"/>
      <c r="PM447" s="87"/>
      <c r="PN447" s="87"/>
      <c r="PO447" s="87"/>
      <c r="PP447" s="87"/>
      <c r="PQ447" s="87"/>
      <c r="PR447" s="87"/>
      <c r="PS447" s="87"/>
      <c r="PT447" s="87"/>
      <c r="PU447" s="87"/>
      <c r="PV447" s="87"/>
      <c r="PW447" s="87"/>
      <c r="PX447" s="87"/>
      <c r="PY447" s="87"/>
      <c r="PZ447" s="87"/>
      <c r="QA447" s="87"/>
      <c r="QB447" s="87"/>
      <c r="QC447" s="87"/>
      <c r="QD447" s="87"/>
      <c r="QE447" s="87"/>
      <c r="QF447" s="87"/>
      <c r="QG447" s="87"/>
      <c r="QH447" s="87"/>
      <c r="QI447" s="87"/>
      <c r="QJ447" s="87"/>
      <c r="QK447" s="87"/>
      <c r="QL447" s="87"/>
      <c r="QM447" s="87"/>
      <c r="QN447" s="87"/>
      <c r="QO447" s="87"/>
      <c r="QP447" s="87"/>
      <c r="QQ447" s="87"/>
      <c r="QR447" s="87"/>
      <c r="QS447" s="87"/>
      <c r="QT447" s="87"/>
      <c r="QU447" s="87"/>
      <c r="QV447" s="87"/>
      <c r="QW447" s="87"/>
      <c r="QX447" s="87"/>
      <c r="QY447" s="87"/>
      <c r="QZ447" s="87"/>
      <c r="RA447" s="87"/>
      <c r="RB447" s="87"/>
      <c r="RC447" s="87"/>
      <c r="RD447" s="87"/>
      <c r="RE447" s="135"/>
      <c r="RF447" s="127"/>
      <c r="RG447" s="87"/>
      <c r="RH447" s="82"/>
      <c r="RI447" s="82"/>
      <c r="RJ447" s="102"/>
      <c r="RK447" s="170"/>
      <c r="RL447" s="171"/>
      <c r="RM447" s="170"/>
      <c r="RN447" s="170"/>
      <c r="RO447" s="170"/>
      <c r="RP447" s="170"/>
      <c r="RQ447" s="170"/>
      <c r="RR447" s="170"/>
      <c r="RS447" s="170"/>
      <c r="RT447" s="170"/>
      <c r="RU447" s="170"/>
      <c r="RV447" s="170"/>
      <c r="RW447" s="87"/>
      <c r="RX447" s="126"/>
      <c r="RY447" s="127"/>
      <c r="RZ447" s="135"/>
      <c r="SA447" s="135"/>
      <c r="SB447" s="167"/>
      <c r="SC447" s="87"/>
      <c r="SD447" s="87"/>
      <c r="SE447" s="87"/>
      <c r="SF447" s="87"/>
      <c r="SG447" s="87"/>
      <c r="SH447" s="87"/>
      <c r="SI447" s="87"/>
      <c r="SJ447" s="87"/>
      <c r="SK447" s="87"/>
      <c r="SL447" s="87"/>
      <c r="SM447" s="87"/>
      <c r="SN447" s="87"/>
      <c r="SO447" s="87"/>
      <c r="SP447" s="87"/>
      <c r="SQ447" s="54"/>
      <c r="SR447" s="54"/>
      <c r="SS447" s="54"/>
      <c r="ST447" s="87"/>
      <c r="SU447" s="87"/>
      <c r="SV447" s="87"/>
      <c r="SW447" s="87"/>
      <c r="SX447" s="87"/>
      <c r="SY447" s="87"/>
      <c r="SZ447" s="87"/>
      <c r="TA447" s="87"/>
      <c r="TB447" s="87"/>
      <c r="TC447" s="87"/>
      <c r="TD447" s="87"/>
      <c r="TE447" s="87"/>
      <c r="TF447" s="87"/>
      <c r="TG447" s="87"/>
      <c r="TH447" s="87"/>
      <c r="TI447" s="87"/>
      <c r="TJ447" s="87"/>
      <c r="TK447" s="87"/>
      <c r="TL447" s="87"/>
      <c r="TM447" s="87"/>
      <c r="TN447" s="87"/>
      <c r="TO447" s="87"/>
      <c r="TP447" s="87"/>
      <c r="TQ447" s="87"/>
      <c r="TR447" s="87"/>
      <c r="TS447" s="87"/>
      <c r="TT447" s="87"/>
      <c r="TU447" s="87"/>
      <c r="TV447" s="87"/>
      <c r="TW447" s="87"/>
      <c r="TX447" s="87"/>
      <c r="TY447" s="87"/>
      <c r="TZ447" s="87"/>
      <c r="UA447" s="87"/>
      <c r="UB447" s="87"/>
      <c r="UC447" s="87"/>
      <c r="UD447" s="87"/>
      <c r="UE447" s="87"/>
      <c r="UF447" s="87"/>
      <c r="UG447" s="87"/>
      <c r="UH447" s="87"/>
      <c r="UI447" s="87"/>
      <c r="UJ447" s="87"/>
      <c r="UK447" s="87"/>
      <c r="UL447" s="87"/>
      <c r="UM447" s="87"/>
      <c r="UN447" s="87"/>
      <c r="UO447" s="87"/>
      <c r="UP447" s="87"/>
      <c r="UQ447" s="87"/>
      <c r="UR447" s="87"/>
      <c r="US447" s="87"/>
      <c r="AFP447" s="87"/>
      <c r="AFQ447" s="135"/>
      <c r="AFR447" s="127"/>
      <c r="AFS447" s="87"/>
      <c r="AFT447" s="82"/>
      <c r="AFU447" s="82"/>
      <c r="AFV447" s="102"/>
      <c r="AFW447" s="170"/>
      <c r="AFX447" s="171"/>
      <c r="AFY447" s="170"/>
      <c r="AFZ447" s="170"/>
      <c r="AGA447" s="170"/>
      <c r="AGB447" s="170"/>
      <c r="AGC447" s="170"/>
      <c r="AGD447" s="170"/>
      <c r="AGE447" s="170"/>
      <c r="AGF447" s="170"/>
      <c r="AGG447" s="170"/>
      <c r="AGH447" s="170"/>
      <c r="AGI447" s="60"/>
      <c r="AGJ447" s="87"/>
      <c r="AGK447" s="126"/>
      <c r="AGL447" s="127"/>
      <c r="AGM447" s="135"/>
      <c r="AGN447" s="87"/>
      <c r="AGO447" s="167"/>
      <c r="AGP447" s="87"/>
      <c r="AGQ447" s="87"/>
      <c r="AGR447" s="87"/>
      <c r="AGS447" s="87"/>
      <c r="AGT447" s="87"/>
      <c r="AGU447" s="87"/>
      <c r="AGV447" s="87"/>
      <c r="AGW447" s="87"/>
      <c r="AGX447" s="87"/>
      <c r="AGY447" s="87"/>
      <c r="AGZ447" s="87"/>
      <c r="AHA447" s="87"/>
      <c r="AHB447" s="87"/>
      <c r="AHC447" s="87"/>
      <c r="AHD447" s="54"/>
      <c r="AHE447" s="54"/>
      <c r="AHF447" s="54"/>
      <c r="AHG447" s="87"/>
      <c r="AHH447" s="87"/>
      <c r="AHI447" s="87"/>
      <c r="AHJ447" s="87"/>
      <c r="AHK447" s="87"/>
      <c r="AHL447" s="87"/>
      <c r="AHM447" s="87"/>
      <c r="AHN447" s="87"/>
      <c r="AHO447" s="87"/>
      <c r="AHP447" s="87"/>
      <c r="AHQ447" s="87"/>
      <c r="AHR447" s="87"/>
      <c r="AHS447" s="87"/>
      <c r="AHT447" s="87"/>
      <c r="AHU447" s="87"/>
      <c r="AHV447" s="87"/>
      <c r="AHW447" s="87"/>
      <c r="AHX447" s="87"/>
      <c r="AHY447" s="87"/>
      <c r="AHZ447" s="87"/>
      <c r="AIA447" s="87"/>
      <c r="AIB447" s="87"/>
      <c r="AIC447" s="87"/>
      <c r="AID447" s="87"/>
      <c r="AIE447" s="87"/>
      <c r="AIF447" s="87"/>
      <c r="AIG447" s="87"/>
      <c r="AIH447" s="87"/>
      <c r="AII447" s="87"/>
      <c r="AIJ447" s="87"/>
      <c r="AIK447" s="87"/>
      <c r="AIL447" s="87"/>
      <c r="AIM447" s="87"/>
      <c r="AIN447" s="87"/>
      <c r="AIO447" s="87"/>
      <c r="AIP447" s="87"/>
      <c r="AIQ447" s="87"/>
      <c r="AIR447" s="87"/>
      <c r="AIS447" s="87"/>
      <c r="AIT447" s="87"/>
      <c r="AIU447" s="87"/>
      <c r="AIV447" s="87"/>
      <c r="AIW447" s="87"/>
      <c r="AIX447" s="87"/>
      <c r="AIY447" s="87"/>
      <c r="AIZ447" s="87"/>
      <c r="AJA447" s="87"/>
      <c r="AJB447" s="87"/>
      <c r="AJC447" s="87"/>
      <c r="AJD447" s="87"/>
      <c r="AJE447" s="87"/>
      <c r="AJF447" s="87"/>
    </row>
    <row r="448" spans="1:942">
      <c r="A448" s="87"/>
      <c r="B448" s="135">
        <v>45747</v>
      </c>
      <c r="C448" s="127">
        <v>45909</v>
      </c>
      <c r="D448" s="87" t="s">
        <v>141</v>
      </c>
      <c r="E448" s="82" t="s">
        <v>219</v>
      </c>
      <c r="F448" s="82" t="s">
        <v>220</v>
      </c>
      <c r="G448" s="102" t="s">
        <v>2673</v>
      </c>
      <c r="H448" s="170">
        <v>8318726257</v>
      </c>
      <c r="I448" s="171" t="s">
        <v>1744</v>
      </c>
      <c r="J448" s="170"/>
      <c r="K448" s="170" t="s">
        <v>2674</v>
      </c>
      <c r="L448" s="170" t="s">
        <v>2675</v>
      </c>
      <c r="M448" s="170" t="s">
        <v>2676</v>
      </c>
      <c r="N448" s="170" t="s">
        <v>1218</v>
      </c>
      <c r="O448" s="170" t="s">
        <v>2677</v>
      </c>
      <c r="P448" s="170" t="s">
        <v>352</v>
      </c>
      <c r="Q448" s="170" t="s">
        <v>2678</v>
      </c>
      <c r="R448" s="170" t="s">
        <v>2679</v>
      </c>
      <c r="S448" s="170" t="s">
        <v>68</v>
      </c>
      <c r="T448" s="170">
        <v>2.2999999999999998</v>
      </c>
      <c r="U448" s="87" t="s">
        <v>353</v>
      </c>
      <c r="V448" s="126" t="s">
        <v>291</v>
      </c>
      <c r="W448" s="127"/>
      <c r="X448" s="135">
        <v>45911</v>
      </c>
      <c r="Y448" s="16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  <c r="AL448" s="87"/>
      <c r="AM448" s="87"/>
      <c r="AN448" s="54"/>
      <c r="AO448" s="54"/>
      <c r="AP448" s="54"/>
      <c r="AQ448" s="87"/>
      <c r="AR448" s="87"/>
      <c r="AS448" s="87"/>
      <c r="AT448" s="87"/>
      <c r="AU448" s="87"/>
      <c r="AV448" s="87"/>
      <c r="AW448" s="87"/>
      <c r="AX448" s="87"/>
      <c r="AY448" s="87"/>
      <c r="AZ448" s="87"/>
      <c r="BA448" s="87"/>
      <c r="BB448" s="87"/>
      <c r="BC448" s="87"/>
      <c r="BD448" s="87"/>
      <c r="BE448" s="87"/>
      <c r="BF448" s="87"/>
      <c r="BG448" s="87"/>
      <c r="BH448" s="87"/>
      <c r="BI448" s="87"/>
      <c r="BJ448" s="87"/>
      <c r="BK448" s="87"/>
      <c r="BL448" s="87"/>
      <c r="BM448" s="87"/>
      <c r="BN448" s="87"/>
      <c r="BO448" s="87"/>
      <c r="BP448" s="87"/>
      <c r="BQ448" s="87"/>
      <c r="BR448" s="87"/>
      <c r="BS448" s="87"/>
      <c r="BT448" s="87"/>
      <c r="BU448" s="87"/>
      <c r="BV448" s="87"/>
      <c r="BW448" s="87"/>
      <c r="BX448" s="87"/>
      <c r="BY448" s="87"/>
      <c r="BZ448" s="87"/>
      <c r="CA448" s="87"/>
      <c r="CB448" s="87"/>
      <c r="CC448" s="87"/>
      <c r="CD448" s="87"/>
      <c r="CE448" s="87"/>
      <c r="CF448" s="87"/>
      <c r="CG448" s="87"/>
      <c r="CH448" s="87"/>
      <c r="CI448" s="87"/>
      <c r="CJ448" s="87"/>
      <c r="CK448" s="87"/>
      <c r="CL448" s="87"/>
      <c r="CM448" s="87"/>
      <c r="CN448" s="87"/>
      <c r="CO448" s="87"/>
      <c r="CP448" s="87"/>
      <c r="NM448" s="87"/>
      <c r="NN448" s="135"/>
      <c r="NO448" s="127"/>
      <c r="NP448" s="87"/>
      <c r="NQ448" s="82"/>
      <c r="NR448" s="82"/>
      <c r="NS448" s="102"/>
      <c r="NT448" s="170"/>
      <c r="NU448" s="171"/>
      <c r="NV448" s="170"/>
      <c r="NW448" s="170"/>
      <c r="NX448" s="170"/>
      <c r="NY448" s="170"/>
      <c r="NZ448" s="170"/>
      <c r="OA448" s="170"/>
      <c r="OB448" s="170"/>
      <c r="OC448" s="170"/>
      <c r="OD448" s="170"/>
      <c r="OE448" s="170"/>
      <c r="OF448" s="60"/>
      <c r="OG448" s="87"/>
      <c r="OH448" s="126"/>
      <c r="OI448" s="127"/>
      <c r="OJ448" s="135"/>
      <c r="OK448" s="87"/>
      <c r="OL448" s="167"/>
      <c r="OM448" s="87"/>
      <c r="ON448" s="87"/>
      <c r="OO448" s="87"/>
      <c r="OP448" s="87"/>
      <c r="OQ448" s="87"/>
      <c r="OR448" s="87"/>
      <c r="OS448" s="87"/>
      <c r="OT448" s="87"/>
      <c r="OU448" s="87"/>
      <c r="OV448" s="87"/>
      <c r="OW448" s="87"/>
      <c r="OX448" s="87"/>
      <c r="OY448" s="87"/>
      <c r="OZ448" s="87"/>
      <c r="PA448" s="54"/>
      <c r="PB448" s="54"/>
      <c r="PC448" s="54"/>
      <c r="PD448" s="87"/>
      <c r="PE448" s="87"/>
      <c r="PF448" s="87"/>
      <c r="PG448" s="87"/>
      <c r="PH448" s="87"/>
      <c r="PI448" s="87"/>
      <c r="PJ448" s="87"/>
      <c r="PK448" s="87"/>
      <c r="PL448" s="87"/>
      <c r="PM448" s="87"/>
      <c r="PN448" s="87"/>
      <c r="PO448" s="87"/>
      <c r="PP448" s="87"/>
      <c r="PQ448" s="87"/>
      <c r="PR448" s="87"/>
      <c r="PS448" s="87"/>
      <c r="PT448" s="87"/>
      <c r="PU448" s="87"/>
      <c r="PV448" s="87"/>
      <c r="PW448" s="87"/>
      <c r="PX448" s="87"/>
      <c r="PY448" s="87"/>
      <c r="PZ448" s="87"/>
      <c r="QA448" s="87"/>
      <c r="QB448" s="87"/>
      <c r="QC448" s="87"/>
      <c r="QD448" s="87"/>
      <c r="QE448" s="87"/>
      <c r="QF448" s="87"/>
      <c r="QG448" s="87"/>
      <c r="QH448" s="87"/>
      <c r="QI448" s="87"/>
      <c r="QJ448" s="87"/>
      <c r="QK448" s="87"/>
      <c r="QL448" s="87"/>
      <c r="QM448" s="87"/>
      <c r="QN448" s="87"/>
      <c r="QO448" s="87"/>
      <c r="QP448" s="87"/>
      <c r="QQ448" s="87"/>
      <c r="QR448" s="87"/>
      <c r="QS448" s="87"/>
      <c r="QT448" s="87"/>
      <c r="QU448" s="87"/>
      <c r="QV448" s="87"/>
      <c r="QW448" s="87"/>
      <c r="QX448" s="87"/>
      <c r="QY448" s="87"/>
      <c r="QZ448" s="87"/>
      <c r="RA448" s="87"/>
      <c r="RB448" s="87"/>
      <c r="RC448" s="87"/>
      <c r="RD448" s="87"/>
      <c r="RE448" s="135"/>
      <c r="RF448" s="127"/>
      <c r="RG448" s="87"/>
      <c r="RH448" s="82"/>
      <c r="RI448" s="82"/>
      <c r="RJ448" s="102"/>
      <c r="RK448" s="170"/>
      <c r="RL448" s="171"/>
      <c r="RM448" s="170"/>
      <c r="RN448" s="170"/>
      <c r="RO448" s="170"/>
      <c r="RP448" s="170"/>
      <c r="RQ448" s="170"/>
      <c r="RR448" s="170"/>
      <c r="RS448" s="170"/>
      <c r="RT448" s="170"/>
      <c r="RU448" s="170"/>
      <c r="RV448" s="170"/>
      <c r="RW448" s="87"/>
      <c r="RX448" s="126"/>
      <c r="RY448" s="127"/>
      <c r="RZ448" s="135"/>
      <c r="SA448" s="135"/>
      <c r="SB448" s="167"/>
      <c r="SC448" s="87"/>
      <c r="SD448" s="87"/>
      <c r="SE448" s="87"/>
      <c r="SF448" s="87"/>
      <c r="SG448" s="87"/>
      <c r="SH448" s="87"/>
      <c r="SI448" s="87"/>
      <c r="SJ448" s="87"/>
      <c r="SK448" s="87"/>
      <c r="SL448" s="87"/>
      <c r="SM448" s="87"/>
      <c r="SN448" s="87"/>
      <c r="SO448" s="87"/>
      <c r="SP448" s="87"/>
      <c r="SQ448" s="54"/>
      <c r="SR448" s="54"/>
      <c r="SS448" s="54"/>
      <c r="ST448" s="87"/>
      <c r="SU448" s="87"/>
      <c r="SV448" s="87"/>
      <c r="SW448" s="87"/>
      <c r="SX448" s="87"/>
      <c r="SY448" s="87"/>
      <c r="SZ448" s="87"/>
      <c r="TA448" s="87"/>
      <c r="TB448" s="87"/>
      <c r="TC448" s="87"/>
      <c r="TD448" s="87"/>
      <c r="TE448" s="87"/>
      <c r="TF448" s="87"/>
      <c r="TG448" s="87"/>
      <c r="TH448" s="87"/>
      <c r="TI448" s="87"/>
      <c r="TJ448" s="87"/>
      <c r="TK448" s="87"/>
      <c r="TL448" s="87"/>
      <c r="TM448" s="87"/>
      <c r="TN448" s="87"/>
      <c r="TO448" s="87"/>
      <c r="TP448" s="87"/>
      <c r="TQ448" s="87"/>
      <c r="TR448" s="87"/>
      <c r="TS448" s="87"/>
      <c r="TT448" s="87"/>
      <c r="TU448" s="87"/>
      <c r="TV448" s="87"/>
      <c r="TW448" s="87"/>
      <c r="TX448" s="87"/>
      <c r="TY448" s="87"/>
      <c r="TZ448" s="87"/>
      <c r="UA448" s="87"/>
      <c r="UB448" s="87"/>
      <c r="UC448" s="87"/>
      <c r="UD448" s="87"/>
      <c r="UE448" s="87"/>
      <c r="UF448" s="87"/>
      <c r="UG448" s="87"/>
      <c r="UH448" s="87"/>
      <c r="UI448" s="87"/>
      <c r="UJ448" s="87"/>
      <c r="UK448" s="87"/>
      <c r="UL448" s="87"/>
      <c r="UM448" s="87"/>
      <c r="UN448" s="87"/>
      <c r="UO448" s="87"/>
      <c r="UP448" s="87"/>
      <c r="UQ448" s="87"/>
      <c r="UR448" s="87"/>
      <c r="US448" s="87"/>
      <c r="AFP448" s="87"/>
      <c r="AFQ448" s="135"/>
      <c r="AFR448" s="127"/>
      <c r="AFS448" s="87"/>
      <c r="AFT448" s="82"/>
      <c r="AFU448" s="82"/>
      <c r="AFV448" s="102"/>
      <c r="AFW448" s="170"/>
      <c r="AFX448" s="171"/>
      <c r="AFY448" s="170"/>
      <c r="AFZ448" s="170"/>
      <c r="AGA448" s="170"/>
      <c r="AGB448" s="170"/>
      <c r="AGC448" s="170"/>
      <c r="AGD448" s="170"/>
      <c r="AGE448" s="170"/>
      <c r="AGF448" s="170"/>
      <c r="AGG448" s="170"/>
      <c r="AGH448" s="170"/>
      <c r="AGI448" s="60"/>
      <c r="AGJ448" s="87"/>
      <c r="AGK448" s="126"/>
      <c r="AGL448" s="127"/>
      <c r="AGM448" s="135"/>
      <c r="AGN448" s="87"/>
      <c r="AGO448" s="167"/>
      <c r="AGP448" s="87"/>
      <c r="AGQ448" s="87"/>
      <c r="AGR448" s="87"/>
      <c r="AGS448" s="87"/>
      <c r="AGT448" s="87"/>
      <c r="AGU448" s="87"/>
      <c r="AGV448" s="87"/>
      <c r="AGW448" s="87"/>
      <c r="AGX448" s="87"/>
      <c r="AGY448" s="87"/>
      <c r="AGZ448" s="87"/>
      <c r="AHA448" s="87"/>
      <c r="AHB448" s="87"/>
      <c r="AHC448" s="87"/>
      <c r="AHD448" s="54"/>
      <c r="AHE448" s="54"/>
      <c r="AHF448" s="54"/>
      <c r="AHG448" s="87"/>
      <c r="AHH448" s="87"/>
      <c r="AHI448" s="87"/>
      <c r="AHJ448" s="87"/>
      <c r="AHK448" s="87"/>
      <c r="AHL448" s="87"/>
      <c r="AHM448" s="87"/>
      <c r="AHN448" s="87"/>
      <c r="AHO448" s="87"/>
      <c r="AHP448" s="87"/>
      <c r="AHQ448" s="87"/>
      <c r="AHR448" s="87"/>
      <c r="AHS448" s="87"/>
      <c r="AHT448" s="87"/>
      <c r="AHU448" s="87"/>
      <c r="AHV448" s="87"/>
      <c r="AHW448" s="87"/>
      <c r="AHX448" s="87"/>
      <c r="AHY448" s="87"/>
      <c r="AHZ448" s="87"/>
      <c r="AIA448" s="87"/>
      <c r="AIB448" s="87"/>
      <c r="AIC448" s="87"/>
      <c r="AID448" s="87"/>
      <c r="AIE448" s="87"/>
      <c r="AIF448" s="87"/>
      <c r="AIG448" s="87"/>
      <c r="AIH448" s="87"/>
      <c r="AII448" s="87"/>
      <c r="AIJ448" s="87"/>
      <c r="AIK448" s="87"/>
      <c r="AIL448" s="87"/>
      <c r="AIM448" s="87"/>
      <c r="AIN448" s="87"/>
      <c r="AIO448" s="87"/>
      <c r="AIP448" s="87"/>
      <c r="AIQ448" s="87"/>
      <c r="AIR448" s="87"/>
      <c r="AIS448" s="87"/>
      <c r="AIT448" s="87"/>
      <c r="AIU448" s="87"/>
      <c r="AIV448" s="87"/>
      <c r="AIW448" s="87"/>
      <c r="AIX448" s="87"/>
      <c r="AIY448" s="87"/>
      <c r="AIZ448" s="87"/>
      <c r="AJA448" s="87"/>
      <c r="AJB448" s="87"/>
      <c r="AJC448" s="87"/>
      <c r="AJD448" s="87"/>
      <c r="AJE448" s="87"/>
      <c r="AJF448" s="87"/>
    </row>
    <row r="449" spans="1:942">
      <c r="A449" s="87"/>
      <c r="B449" s="135">
        <v>45747</v>
      </c>
      <c r="C449" s="127">
        <v>45909</v>
      </c>
      <c r="D449" s="87" t="s">
        <v>141</v>
      </c>
      <c r="E449" s="82" t="s">
        <v>219</v>
      </c>
      <c r="F449" s="82" t="s">
        <v>220</v>
      </c>
      <c r="G449" s="102" t="s">
        <v>2680</v>
      </c>
      <c r="H449" s="170">
        <v>9718051500</v>
      </c>
      <c r="I449" s="171" t="s">
        <v>2681</v>
      </c>
      <c r="J449" s="170"/>
      <c r="K449" s="170" t="s">
        <v>1008</v>
      </c>
      <c r="L449" s="170" t="s">
        <v>1008</v>
      </c>
      <c r="M449" s="170" t="s">
        <v>2682</v>
      </c>
      <c r="N449" s="170" t="s">
        <v>425</v>
      </c>
      <c r="O449" s="170" t="s">
        <v>2683</v>
      </c>
      <c r="P449" s="170" t="s">
        <v>2684</v>
      </c>
      <c r="Q449" s="170" t="s">
        <v>2685</v>
      </c>
      <c r="R449" s="170" t="s">
        <v>2377</v>
      </c>
      <c r="S449" s="170" t="s">
        <v>68</v>
      </c>
      <c r="T449" s="170">
        <v>1.5</v>
      </c>
      <c r="U449" s="87" t="s">
        <v>353</v>
      </c>
      <c r="V449" s="126" t="s">
        <v>1529</v>
      </c>
      <c r="W449" s="127" t="s">
        <v>1260</v>
      </c>
      <c r="X449" s="135">
        <v>45911</v>
      </c>
      <c r="Y449" s="167">
        <v>45912</v>
      </c>
      <c r="Z449" s="87" t="s">
        <v>340</v>
      </c>
      <c r="AA449" s="167">
        <v>45918</v>
      </c>
      <c r="AB449" s="87"/>
      <c r="AC449" s="87"/>
      <c r="AD449" s="87"/>
      <c r="AE449" s="87"/>
      <c r="AF449" s="87"/>
      <c r="AG449" s="87"/>
      <c r="AH449" s="87"/>
      <c r="AI449" s="87"/>
      <c r="AJ449" s="87"/>
      <c r="AK449" s="87"/>
      <c r="AL449" s="87"/>
      <c r="AM449" s="87"/>
      <c r="AN449" s="54"/>
      <c r="AO449" s="54"/>
      <c r="AP449" s="54"/>
      <c r="AQ449" s="87"/>
      <c r="AR449" s="87"/>
      <c r="AS449" s="87"/>
      <c r="AT449" s="87"/>
      <c r="AU449" s="87"/>
      <c r="AV449" s="87"/>
      <c r="AW449" s="87"/>
      <c r="AX449" s="87"/>
      <c r="AY449" s="87"/>
      <c r="AZ449" s="87"/>
      <c r="BA449" s="87"/>
      <c r="BB449" s="87"/>
      <c r="BC449" s="87"/>
      <c r="BD449" s="87"/>
      <c r="BE449" s="87"/>
      <c r="BF449" s="87"/>
      <c r="BG449" s="87"/>
      <c r="BH449" s="87"/>
      <c r="BI449" s="87"/>
      <c r="BJ449" s="87"/>
      <c r="BK449" s="87"/>
      <c r="BL449" s="87"/>
      <c r="BM449" s="87"/>
      <c r="BN449" s="87"/>
      <c r="BO449" s="87"/>
      <c r="BP449" s="87"/>
      <c r="BQ449" s="87"/>
      <c r="BR449" s="87"/>
      <c r="BS449" s="87"/>
      <c r="BT449" s="87"/>
      <c r="BU449" s="87"/>
      <c r="BV449" s="87"/>
      <c r="BW449" s="87"/>
      <c r="BX449" s="87"/>
      <c r="BY449" s="87"/>
      <c r="BZ449" s="87"/>
      <c r="CA449" s="87"/>
      <c r="CB449" s="87"/>
      <c r="CC449" s="87"/>
      <c r="CD449" s="87"/>
      <c r="CE449" s="87"/>
      <c r="CF449" s="87"/>
      <c r="CG449" s="87"/>
      <c r="CH449" s="87"/>
      <c r="CI449" s="87"/>
      <c r="CJ449" s="87"/>
      <c r="CK449" s="87"/>
      <c r="CL449" s="87"/>
      <c r="CM449" s="87"/>
      <c r="CN449" s="87"/>
      <c r="CO449" s="87"/>
      <c r="CP449" s="87"/>
      <c r="NM449" s="87"/>
      <c r="NN449" s="135"/>
      <c r="NO449" s="127"/>
      <c r="NP449" s="87"/>
      <c r="NQ449" s="82"/>
      <c r="NR449" s="82"/>
      <c r="NS449" s="102"/>
      <c r="NT449" s="170"/>
      <c r="NU449" s="171"/>
      <c r="NV449" s="170"/>
      <c r="NW449" s="170"/>
      <c r="NX449" s="170"/>
      <c r="NY449" s="170"/>
      <c r="NZ449" s="170"/>
      <c r="OA449" s="170"/>
      <c r="OB449" s="170"/>
      <c r="OC449" s="170"/>
      <c r="OD449" s="170"/>
      <c r="OE449" s="170"/>
      <c r="OF449" s="60"/>
      <c r="OG449" s="87"/>
      <c r="OH449" s="126"/>
      <c r="OI449" s="127"/>
      <c r="OJ449" s="135"/>
      <c r="OK449" s="87"/>
      <c r="OL449" s="167"/>
      <c r="OM449" s="87"/>
      <c r="ON449" s="87"/>
      <c r="OO449" s="87"/>
      <c r="OP449" s="87"/>
      <c r="OQ449" s="87"/>
      <c r="OR449" s="87"/>
      <c r="OS449" s="87"/>
      <c r="OT449" s="87"/>
      <c r="OU449" s="87"/>
      <c r="OV449" s="87"/>
      <c r="OW449" s="87"/>
      <c r="OX449" s="87"/>
      <c r="OY449" s="87"/>
      <c r="OZ449" s="87"/>
      <c r="PA449" s="54"/>
      <c r="PB449" s="54"/>
      <c r="PC449" s="54"/>
      <c r="PD449" s="87"/>
      <c r="PE449" s="87"/>
      <c r="PF449" s="87"/>
      <c r="PG449" s="87"/>
      <c r="PH449" s="87"/>
      <c r="PI449" s="87"/>
      <c r="PJ449" s="87"/>
      <c r="PK449" s="87"/>
      <c r="PL449" s="87"/>
      <c r="PM449" s="87"/>
      <c r="PN449" s="87"/>
      <c r="PO449" s="87"/>
      <c r="PP449" s="87"/>
      <c r="PQ449" s="87"/>
      <c r="PR449" s="87"/>
      <c r="PS449" s="87"/>
      <c r="PT449" s="87"/>
      <c r="PU449" s="87"/>
      <c r="PV449" s="87"/>
      <c r="PW449" s="87"/>
      <c r="PX449" s="87"/>
      <c r="PY449" s="87"/>
      <c r="PZ449" s="87"/>
      <c r="QA449" s="87"/>
      <c r="QB449" s="87"/>
      <c r="QC449" s="87"/>
      <c r="QD449" s="87"/>
      <c r="QE449" s="87"/>
      <c r="QF449" s="87"/>
      <c r="QG449" s="87"/>
      <c r="QH449" s="87"/>
      <c r="QI449" s="87"/>
      <c r="QJ449" s="87"/>
      <c r="QK449" s="87"/>
      <c r="QL449" s="87"/>
      <c r="QM449" s="87"/>
      <c r="QN449" s="87"/>
      <c r="QO449" s="87"/>
      <c r="QP449" s="87"/>
      <c r="QQ449" s="87"/>
      <c r="QR449" s="87"/>
      <c r="QS449" s="87"/>
      <c r="QT449" s="87"/>
      <c r="QU449" s="87"/>
      <c r="QV449" s="87"/>
      <c r="QW449" s="87"/>
      <c r="QX449" s="87"/>
      <c r="QY449" s="87"/>
      <c r="QZ449" s="87"/>
      <c r="RA449" s="87"/>
      <c r="RB449" s="87"/>
      <c r="RC449" s="87"/>
      <c r="RD449" s="87"/>
      <c r="RE449" s="135"/>
      <c r="RF449" s="127"/>
      <c r="RG449" s="87"/>
      <c r="RH449" s="82"/>
      <c r="RI449" s="82"/>
      <c r="RJ449" s="102"/>
      <c r="RK449" s="170"/>
      <c r="RL449" s="171"/>
      <c r="RM449" s="170"/>
      <c r="RN449" s="170"/>
      <c r="RO449" s="170"/>
      <c r="RP449" s="170"/>
      <c r="RQ449" s="170"/>
      <c r="RR449" s="170"/>
      <c r="RS449" s="170"/>
      <c r="RT449" s="170"/>
      <c r="RU449" s="170"/>
      <c r="RV449" s="170"/>
      <c r="RW449" s="87"/>
      <c r="RX449" s="126"/>
      <c r="RY449" s="127"/>
      <c r="RZ449" s="135"/>
      <c r="SA449" s="135"/>
      <c r="SB449" s="167"/>
      <c r="SC449" s="87"/>
      <c r="SD449" s="87"/>
      <c r="SE449" s="87"/>
      <c r="SF449" s="87"/>
      <c r="SG449" s="87"/>
      <c r="SH449" s="87"/>
      <c r="SI449" s="87"/>
      <c r="SJ449" s="87"/>
      <c r="SK449" s="87"/>
      <c r="SL449" s="87"/>
      <c r="SM449" s="87"/>
      <c r="SN449" s="87"/>
      <c r="SO449" s="87"/>
      <c r="SP449" s="87"/>
      <c r="SQ449" s="54"/>
      <c r="SR449" s="54"/>
      <c r="SS449" s="54"/>
      <c r="ST449" s="87"/>
      <c r="SU449" s="87"/>
      <c r="SV449" s="87"/>
      <c r="SW449" s="87"/>
      <c r="SX449" s="87"/>
      <c r="SY449" s="87"/>
      <c r="SZ449" s="87"/>
      <c r="TA449" s="87"/>
      <c r="TB449" s="87"/>
      <c r="TC449" s="87"/>
      <c r="TD449" s="87"/>
      <c r="TE449" s="87"/>
      <c r="TF449" s="87"/>
      <c r="TG449" s="87"/>
      <c r="TH449" s="87"/>
      <c r="TI449" s="87"/>
      <c r="TJ449" s="87"/>
      <c r="TK449" s="87"/>
      <c r="TL449" s="87"/>
      <c r="TM449" s="87"/>
      <c r="TN449" s="87"/>
      <c r="TO449" s="87"/>
      <c r="TP449" s="87"/>
      <c r="TQ449" s="87"/>
      <c r="TR449" s="87"/>
      <c r="TS449" s="87"/>
      <c r="TT449" s="87"/>
      <c r="TU449" s="87"/>
      <c r="TV449" s="87"/>
      <c r="TW449" s="87"/>
      <c r="TX449" s="87"/>
      <c r="TY449" s="87"/>
      <c r="TZ449" s="87"/>
      <c r="UA449" s="87"/>
      <c r="UB449" s="87"/>
      <c r="UC449" s="87"/>
      <c r="UD449" s="87"/>
      <c r="UE449" s="87"/>
      <c r="UF449" s="87"/>
      <c r="UG449" s="87"/>
      <c r="UH449" s="87"/>
      <c r="UI449" s="87"/>
      <c r="UJ449" s="87"/>
      <c r="UK449" s="87"/>
      <c r="UL449" s="87"/>
      <c r="UM449" s="87"/>
      <c r="UN449" s="87"/>
      <c r="UO449" s="87"/>
      <c r="UP449" s="87"/>
      <c r="UQ449" s="87"/>
      <c r="UR449" s="87"/>
      <c r="US449" s="87"/>
      <c r="AFP449" s="87"/>
      <c r="AFQ449" s="135"/>
      <c r="AFR449" s="127"/>
      <c r="AFS449" s="87"/>
      <c r="AFT449" s="82"/>
      <c r="AFU449" s="82"/>
      <c r="AFV449" s="102"/>
      <c r="AFW449" s="170"/>
      <c r="AFX449" s="171"/>
      <c r="AFY449" s="170"/>
      <c r="AFZ449" s="170"/>
      <c r="AGA449" s="170"/>
      <c r="AGB449" s="170"/>
      <c r="AGC449" s="170"/>
      <c r="AGD449" s="170"/>
      <c r="AGE449" s="170"/>
      <c r="AGF449" s="170"/>
      <c r="AGG449" s="170"/>
      <c r="AGH449" s="170"/>
      <c r="AGI449" s="60"/>
      <c r="AGJ449" s="87"/>
      <c r="AGK449" s="126"/>
      <c r="AGL449" s="127"/>
      <c r="AGM449" s="135"/>
      <c r="AGN449" s="87"/>
      <c r="AGO449" s="167"/>
      <c r="AGP449" s="87"/>
      <c r="AGQ449" s="87"/>
      <c r="AGR449" s="87"/>
      <c r="AGS449" s="87"/>
      <c r="AGT449" s="87"/>
      <c r="AGU449" s="87"/>
      <c r="AGV449" s="87"/>
      <c r="AGW449" s="87"/>
      <c r="AGX449" s="87"/>
      <c r="AGY449" s="87"/>
      <c r="AGZ449" s="87"/>
      <c r="AHA449" s="87"/>
      <c r="AHB449" s="87"/>
      <c r="AHC449" s="87"/>
      <c r="AHD449" s="54"/>
      <c r="AHE449" s="54"/>
      <c r="AHF449" s="54"/>
      <c r="AHG449" s="87"/>
      <c r="AHH449" s="87"/>
      <c r="AHI449" s="87"/>
      <c r="AHJ449" s="87"/>
      <c r="AHK449" s="87"/>
      <c r="AHL449" s="87"/>
      <c r="AHM449" s="87"/>
      <c r="AHN449" s="87"/>
      <c r="AHO449" s="87"/>
      <c r="AHP449" s="87"/>
      <c r="AHQ449" s="87"/>
      <c r="AHR449" s="87"/>
      <c r="AHS449" s="87"/>
      <c r="AHT449" s="87"/>
      <c r="AHU449" s="87"/>
      <c r="AHV449" s="87"/>
      <c r="AHW449" s="87"/>
      <c r="AHX449" s="87"/>
      <c r="AHY449" s="87"/>
      <c r="AHZ449" s="87"/>
      <c r="AIA449" s="87"/>
      <c r="AIB449" s="87"/>
      <c r="AIC449" s="87"/>
      <c r="AID449" s="87"/>
      <c r="AIE449" s="87"/>
      <c r="AIF449" s="87"/>
      <c r="AIG449" s="87"/>
      <c r="AIH449" s="87"/>
      <c r="AII449" s="87"/>
      <c r="AIJ449" s="87"/>
      <c r="AIK449" s="87"/>
      <c r="AIL449" s="87"/>
      <c r="AIM449" s="87"/>
      <c r="AIN449" s="87"/>
      <c r="AIO449" s="87"/>
      <c r="AIP449" s="87"/>
      <c r="AIQ449" s="87"/>
      <c r="AIR449" s="87"/>
      <c r="AIS449" s="87"/>
      <c r="AIT449" s="87"/>
      <c r="AIU449" s="87"/>
      <c r="AIV449" s="87"/>
      <c r="AIW449" s="87"/>
      <c r="AIX449" s="87"/>
      <c r="AIY449" s="87"/>
      <c r="AIZ449" s="87"/>
      <c r="AJA449" s="87"/>
      <c r="AJB449" s="87"/>
      <c r="AJC449" s="87"/>
      <c r="AJD449" s="87"/>
      <c r="AJE449" s="87"/>
      <c r="AJF449" s="87"/>
    </row>
    <row r="450" spans="1:942">
      <c r="A450" s="87"/>
      <c r="B450" s="135">
        <v>45848</v>
      </c>
      <c r="C450" s="127">
        <v>45912</v>
      </c>
      <c r="D450" s="87" t="s">
        <v>171</v>
      </c>
      <c r="E450" s="82" t="s">
        <v>219</v>
      </c>
      <c r="F450" s="82" t="s">
        <v>220</v>
      </c>
      <c r="G450" s="102" t="s">
        <v>2686</v>
      </c>
      <c r="H450" s="170">
        <v>9337725661</v>
      </c>
      <c r="I450" s="171" t="s">
        <v>2687</v>
      </c>
      <c r="J450" s="170" t="s">
        <v>2315</v>
      </c>
      <c r="K450" s="170" t="s">
        <v>2644</v>
      </c>
      <c r="L450" s="170" t="s">
        <v>2644</v>
      </c>
      <c r="M450" s="170" t="s">
        <v>2688</v>
      </c>
      <c r="N450" s="170" t="s">
        <v>425</v>
      </c>
      <c r="O450" s="170" t="s">
        <v>1103</v>
      </c>
      <c r="P450" s="170" t="s">
        <v>770</v>
      </c>
      <c r="Q450" s="170" t="s">
        <v>402</v>
      </c>
      <c r="R450" s="170" t="s">
        <v>2689</v>
      </c>
      <c r="S450" s="170" t="s">
        <v>1201</v>
      </c>
      <c r="T450" s="170" t="s">
        <v>2690</v>
      </c>
      <c r="U450" s="87" t="s">
        <v>1447</v>
      </c>
      <c r="V450" s="126" t="s">
        <v>2386</v>
      </c>
      <c r="W450" s="127"/>
      <c r="X450" s="135"/>
      <c r="Y450" s="16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87"/>
      <c r="AK450" s="87"/>
      <c r="AL450" s="87"/>
      <c r="AM450" s="87"/>
      <c r="AN450" s="54"/>
      <c r="AO450" s="54"/>
      <c r="AP450" s="54"/>
      <c r="AQ450" s="87"/>
      <c r="AR450" s="87"/>
      <c r="AS450" s="87"/>
      <c r="AT450" s="87"/>
      <c r="AU450" s="87"/>
      <c r="AV450" s="87"/>
      <c r="AW450" s="87"/>
      <c r="AX450" s="87"/>
      <c r="AY450" s="87"/>
      <c r="AZ450" s="87"/>
      <c r="BA450" s="87"/>
      <c r="BB450" s="87"/>
      <c r="BC450" s="87"/>
      <c r="BD450" s="87"/>
      <c r="BE450" s="87"/>
      <c r="BF450" s="87"/>
      <c r="BG450" s="87"/>
      <c r="BH450" s="87"/>
      <c r="BI450" s="87"/>
      <c r="BJ450" s="87"/>
      <c r="BK450" s="87"/>
      <c r="BL450" s="87"/>
      <c r="BM450" s="87"/>
      <c r="BN450" s="87"/>
      <c r="BO450" s="87"/>
      <c r="BP450" s="87"/>
      <c r="BQ450" s="87"/>
      <c r="BR450" s="87"/>
      <c r="BS450" s="87"/>
      <c r="BT450" s="87"/>
      <c r="BU450" s="87"/>
      <c r="BV450" s="87"/>
      <c r="BW450" s="87"/>
      <c r="BX450" s="87"/>
      <c r="BY450" s="87"/>
      <c r="BZ450" s="87"/>
      <c r="CA450" s="87"/>
      <c r="CB450" s="87"/>
      <c r="CC450" s="87"/>
      <c r="CD450" s="87"/>
      <c r="CE450" s="87"/>
      <c r="CF450" s="87"/>
      <c r="CG450" s="87"/>
      <c r="CH450" s="87"/>
      <c r="CI450" s="87"/>
      <c r="CJ450" s="87"/>
      <c r="CK450" s="87"/>
      <c r="CL450" s="87"/>
      <c r="CM450" s="87"/>
      <c r="CN450" s="87"/>
      <c r="CO450" s="87"/>
      <c r="CP450" s="87"/>
      <c r="NM450" s="87"/>
      <c r="NN450" s="135"/>
      <c r="NO450" s="127"/>
      <c r="NP450" s="87"/>
      <c r="NQ450" s="82"/>
      <c r="NR450" s="82"/>
      <c r="NS450" s="102"/>
      <c r="NT450" s="170"/>
      <c r="NU450" s="171"/>
      <c r="NV450" s="170"/>
      <c r="NW450" s="170"/>
      <c r="NX450" s="170"/>
      <c r="NY450" s="170"/>
      <c r="NZ450" s="170"/>
      <c r="OA450" s="170"/>
      <c r="OB450" s="170"/>
      <c r="OC450" s="170"/>
      <c r="OD450" s="170"/>
      <c r="OE450" s="170"/>
      <c r="OF450" s="60"/>
      <c r="OG450" s="87"/>
      <c r="OH450" s="126"/>
      <c r="OI450" s="127"/>
      <c r="OJ450" s="135"/>
      <c r="OK450" s="87"/>
      <c r="OL450" s="167"/>
      <c r="OM450" s="87"/>
      <c r="ON450" s="87"/>
      <c r="OO450" s="87"/>
      <c r="OP450" s="87"/>
      <c r="OQ450" s="87"/>
      <c r="OR450" s="87"/>
      <c r="OS450" s="87"/>
      <c r="OT450" s="87"/>
      <c r="OU450" s="87"/>
      <c r="OV450" s="87"/>
      <c r="OW450" s="87"/>
      <c r="OX450" s="87"/>
      <c r="OY450" s="87"/>
      <c r="OZ450" s="87"/>
      <c r="PA450" s="54"/>
      <c r="PB450" s="54"/>
      <c r="PC450" s="54"/>
      <c r="PD450" s="87"/>
      <c r="PE450" s="87"/>
      <c r="PF450" s="87"/>
      <c r="PG450" s="87"/>
      <c r="PH450" s="87"/>
      <c r="PI450" s="87"/>
      <c r="PJ450" s="87"/>
      <c r="PK450" s="87"/>
      <c r="PL450" s="87"/>
      <c r="PM450" s="87"/>
      <c r="PN450" s="87"/>
      <c r="PO450" s="87"/>
      <c r="PP450" s="87"/>
      <c r="PQ450" s="87"/>
      <c r="PR450" s="87"/>
      <c r="PS450" s="87"/>
      <c r="PT450" s="87"/>
      <c r="PU450" s="87"/>
      <c r="PV450" s="87"/>
      <c r="PW450" s="87"/>
      <c r="PX450" s="87"/>
      <c r="PY450" s="87"/>
      <c r="PZ450" s="87"/>
      <c r="QA450" s="87"/>
      <c r="QB450" s="87"/>
      <c r="QC450" s="87"/>
      <c r="QD450" s="87"/>
      <c r="QE450" s="87"/>
      <c r="QF450" s="87"/>
      <c r="QG450" s="87"/>
      <c r="QH450" s="87"/>
      <c r="QI450" s="87"/>
      <c r="QJ450" s="87"/>
      <c r="QK450" s="87"/>
      <c r="QL450" s="87"/>
      <c r="QM450" s="87"/>
      <c r="QN450" s="87"/>
      <c r="QO450" s="87"/>
      <c r="QP450" s="87"/>
      <c r="QQ450" s="87"/>
      <c r="QR450" s="87"/>
      <c r="QS450" s="87"/>
      <c r="QT450" s="87"/>
      <c r="QU450" s="87"/>
      <c r="QV450" s="87"/>
      <c r="QW450" s="87"/>
      <c r="QX450" s="87"/>
      <c r="QY450" s="87"/>
      <c r="QZ450" s="87"/>
      <c r="RA450" s="87"/>
      <c r="RB450" s="87"/>
      <c r="RC450" s="87"/>
      <c r="RD450" s="87"/>
      <c r="RE450" s="135"/>
      <c r="RF450" s="127"/>
      <c r="RG450" s="87"/>
      <c r="RH450" s="82"/>
      <c r="RI450" s="82"/>
      <c r="RJ450" s="102"/>
      <c r="RK450" s="170"/>
      <c r="RL450" s="171"/>
      <c r="RM450" s="170"/>
      <c r="RN450" s="170"/>
      <c r="RO450" s="170"/>
      <c r="RP450" s="170"/>
      <c r="RQ450" s="170"/>
      <c r="RR450" s="170"/>
      <c r="RS450" s="170"/>
      <c r="RT450" s="170"/>
      <c r="RU450" s="170"/>
      <c r="RV450" s="170"/>
      <c r="RW450" s="87"/>
      <c r="RX450" s="126"/>
      <c r="RY450" s="127"/>
      <c r="RZ450" s="135"/>
      <c r="SA450" s="135"/>
      <c r="SB450" s="167"/>
      <c r="SC450" s="87"/>
      <c r="SD450" s="87"/>
      <c r="SE450" s="87"/>
      <c r="SF450" s="87"/>
      <c r="SG450" s="87"/>
      <c r="SH450" s="87"/>
      <c r="SI450" s="87"/>
      <c r="SJ450" s="87"/>
      <c r="SK450" s="87"/>
      <c r="SL450" s="87"/>
      <c r="SM450" s="87"/>
      <c r="SN450" s="87"/>
      <c r="SO450" s="87"/>
      <c r="SP450" s="87"/>
      <c r="SQ450" s="54"/>
      <c r="SR450" s="54"/>
      <c r="SS450" s="54"/>
      <c r="ST450" s="87"/>
      <c r="SU450" s="87"/>
      <c r="SV450" s="87"/>
      <c r="SW450" s="87"/>
      <c r="SX450" s="87"/>
      <c r="SY450" s="87"/>
      <c r="SZ450" s="87"/>
      <c r="TA450" s="87"/>
      <c r="TB450" s="87"/>
      <c r="TC450" s="87"/>
      <c r="TD450" s="87"/>
      <c r="TE450" s="87"/>
      <c r="TF450" s="87"/>
      <c r="TG450" s="87"/>
      <c r="TH450" s="87"/>
      <c r="TI450" s="87"/>
      <c r="TJ450" s="87"/>
      <c r="TK450" s="87"/>
      <c r="TL450" s="87"/>
      <c r="TM450" s="87"/>
      <c r="TN450" s="87"/>
      <c r="TO450" s="87"/>
      <c r="TP450" s="87"/>
      <c r="TQ450" s="87"/>
      <c r="TR450" s="87"/>
      <c r="TS450" s="87"/>
      <c r="TT450" s="87"/>
      <c r="TU450" s="87"/>
      <c r="TV450" s="87"/>
      <c r="TW450" s="87"/>
      <c r="TX450" s="87"/>
      <c r="TY450" s="87"/>
      <c r="TZ450" s="87"/>
      <c r="UA450" s="87"/>
      <c r="UB450" s="87"/>
      <c r="UC450" s="87"/>
      <c r="UD450" s="87"/>
      <c r="UE450" s="87"/>
      <c r="UF450" s="87"/>
      <c r="UG450" s="87"/>
      <c r="UH450" s="87"/>
      <c r="UI450" s="87"/>
      <c r="UJ450" s="87"/>
      <c r="UK450" s="87"/>
      <c r="UL450" s="87"/>
      <c r="UM450" s="87"/>
      <c r="UN450" s="87"/>
      <c r="UO450" s="87"/>
      <c r="UP450" s="87"/>
      <c r="UQ450" s="87"/>
      <c r="UR450" s="87"/>
      <c r="US450" s="87"/>
      <c r="AFP450" s="87"/>
      <c r="AFQ450" s="135"/>
      <c r="AFR450" s="127"/>
      <c r="AFS450" s="87"/>
      <c r="AFT450" s="82"/>
      <c r="AFU450" s="82"/>
      <c r="AFV450" s="102"/>
      <c r="AFW450" s="170"/>
      <c r="AFX450" s="171"/>
      <c r="AFY450" s="170"/>
      <c r="AFZ450" s="170"/>
      <c r="AGA450" s="170"/>
      <c r="AGB450" s="170"/>
      <c r="AGC450" s="170"/>
      <c r="AGD450" s="170"/>
      <c r="AGE450" s="170"/>
      <c r="AGF450" s="170"/>
      <c r="AGG450" s="170"/>
      <c r="AGH450" s="170"/>
      <c r="AGI450" s="60"/>
      <c r="AGJ450" s="87"/>
      <c r="AGK450" s="126"/>
      <c r="AGL450" s="127"/>
      <c r="AGM450" s="135"/>
      <c r="AGN450" s="87"/>
      <c r="AGO450" s="167"/>
      <c r="AGP450" s="87"/>
      <c r="AGQ450" s="87"/>
      <c r="AGR450" s="87"/>
      <c r="AGS450" s="87"/>
      <c r="AGT450" s="87"/>
      <c r="AGU450" s="87"/>
      <c r="AGV450" s="87"/>
      <c r="AGW450" s="87"/>
      <c r="AGX450" s="87"/>
      <c r="AGY450" s="87"/>
      <c r="AGZ450" s="87"/>
      <c r="AHA450" s="87"/>
      <c r="AHB450" s="87"/>
      <c r="AHC450" s="87"/>
      <c r="AHD450" s="54"/>
      <c r="AHE450" s="54"/>
      <c r="AHF450" s="54"/>
      <c r="AHG450" s="87"/>
      <c r="AHH450" s="87"/>
      <c r="AHI450" s="87"/>
      <c r="AHJ450" s="87"/>
      <c r="AHK450" s="87"/>
      <c r="AHL450" s="87"/>
      <c r="AHM450" s="87"/>
      <c r="AHN450" s="87"/>
      <c r="AHO450" s="87"/>
      <c r="AHP450" s="87"/>
      <c r="AHQ450" s="87"/>
      <c r="AHR450" s="87"/>
      <c r="AHS450" s="87"/>
      <c r="AHT450" s="87"/>
      <c r="AHU450" s="87"/>
      <c r="AHV450" s="87"/>
      <c r="AHW450" s="87"/>
      <c r="AHX450" s="87"/>
      <c r="AHY450" s="87"/>
      <c r="AHZ450" s="87"/>
      <c r="AIA450" s="87"/>
      <c r="AIB450" s="87"/>
      <c r="AIC450" s="87"/>
      <c r="AID450" s="87"/>
      <c r="AIE450" s="87"/>
      <c r="AIF450" s="87"/>
      <c r="AIG450" s="87"/>
      <c r="AIH450" s="87"/>
      <c r="AII450" s="87"/>
      <c r="AIJ450" s="87"/>
      <c r="AIK450" s="87"/>
      <c r="AIL450" s="87"/>
      <c r="AIM450" s="87"/>
      <c r="AIN450" s="87"/>
      <c r="AIO450" s="87"/>
      <c r="AIP450" s="87"/>
      <c r="AIQ450" s="87"/>
      <c r="AIR450" s="87"/>
      <c r="AIS450" s="87"/>
      <c r="AIT450" s="87"/>
      <c r="AIU450" s="87"/>
      <c r="AIV450" s="87"/>
      <c r="AIW450" s="87"/>
      <c r="AIX450" s="87"/>
      <c r="AIY450" s="87"/>
      <c r="AIZ450" s="87"/>
      <c r="AJA450" s="87"/>
      <c r="AJB450" s="87"/>
      <c r="AJC450" s="87"/>
      <c r="AJD450" s="87"/>
      <c r="AJE450" s="87"/>
      <c r="AJF450" s="87"/>
    </row>
    <row r="451" spans="1:942">
      <c r="A451" s="87"/>
      <c r="B451" s="135">
        <v>45848</v>
      </c>
      <c r="C451" s="127">
        <v>45912</v>
      </c>
      <c r="D451" s="87" t="s">
        <v>171</v>
      </c>
      <c r="E451" s="82" t="s">
        <v>219</v>
      </c>
      <c r="F451" s="82" t="s">
        <v>220</v>
      </c>
      <c r="G451" s="102" t="s">
        <v>2691</v>
      </c>
      <c r="H451" s="170">
        <v>9084961985</v>
      </c>
      <c r="I451" s="171" t="s">
        <v>2692</v>
      </c>
      <c r="J451" s="170" t="s">
        <v>2315</v>
      </c>
      <c r="K451" s="170">
        <v>7</v>
      </c>
      <c r="L451" s="170">
        <v>7</v>
      </c>
      <c r="M451" s="170" t="s">
        <v>2693</v>
      </c>
      <c r="N451" s="170" t="s">
        <v>425</v>
      </c>
      <c r="O451" s="170" t="s">
        <v>2694</v>
      </c>
      <c r="P451" s="170" t="s">
        <v>770</v>
      </c>
      <c r="Q451" s="170" t="s">
        <v>402</v>
      </c>
      <c r="R451" s="170" t="s">
        <v>664</v>
      </c>
      <c r="S451" s="170" t="s">
        <v>1201</v>
      </c>
      <c r="T451" s="170" t="s">
        <v>2695</v>
      </c>
      <c r="U451" s="87" t="s">
        <v>1447</v>
      </c>
      <c r="V451" s="126" t="s">
        <v>2386</v>
      </c>
      <c r="W451" s="127"/>
      <c r="X451" s="135"/>
      <c r="Y451" s="16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87"/>
      <c r="AK451" s="87"/>
      <c r="AL451" s="87"/>
      <c r="AM451" s="87"/>
      <c r="AN451" s="54"/>
      <c r="AO451" s="54"/>
      <c r="AP451" s="54"/>
      <c r="AQ451" s="87"/>
      <c r="AR451" s="87"/>
      <c r="AS451" s="87"/>
      <c r="AT451" s="87"/>
      <c r="AU451" s="87"/>
      <c r="AV451" s="87"/>
      <c r="AW451" s="87"/>
      <c r="AX451" s="87"/>
      <c r="AY451" s="87"/>
      <c r="AZ451" s="87"/>
      <c r="BA451" s="87"/>
      <c r="BB451" s="87"/>
      <c r="BC451" s="87"/>
      <c r="BD451" s="87"/>
      <c r="BE451" s="87"/>
      <c r="BF451" s="87"/>
      <c r="BG451" s="87"/>
      <c r="BH451" s="87"/>
      <c r="BI451" s="87"/>
      <c r="BJ451" s="87"/>
      <c r="BK451" s="87"/>
      <c r="BL451" s="87"/>
      <c r="BM451" s="87"/>
      <c r="BN451" s="87"/>
      <c r="BO451" s="87"/>
      <c r="BP451" s="87"/>
      <c r="BQ451" s="87"/>
      <c r="BR451" s="87"/>
      <c r="BS451" s="87"/>
      <c r="BT451" s="87"/>
      <c r="BU451" s="87"/>
      <c r="BV451" s="87"/>
      <c r="BW451" s="87"/>
      <c r="BX451" s="87"/>
      <c r="BY451" s="87"/>
      <c r="BZ451" s="87"/>
      <c r="CA451" s="87"/>
      <c r="CB451" s="87"/>
      <c r="CC451" s="87"/>
      <c r="CD451" s="87"/>
      <c r="CE451" s="87"/>
      <c r="CF451" s="87"/>
      <c r="CG451" s="87"/>
      <c r="CH451" s="87"/>
      <c r="CI451" s="87"/>
      <c r="CJ451" s="87"/>
      <c r="CK451" s="87"/>
      <c r="CL451" s="87"/>
      <c r="CM451" s="87"/>
      <c r="CN451" s="87"/>
      <c r="CO451" s="87"/>
      <c r="CP451" s="87"/>
      <c r="NM451" s="87"/>
      <c r="NN451" s="135"/>
      <c r="NO451" s="127"/>
      <c r="NP451" s="87"/>
      <c r="NQ451" s="82"/>
      <c r="NR451" s="82"/>
      <c r="NS451" s="102"/>
      <c r="NT451" s="170"/>
      <c r="NU451" s="171"/>
      <c r="NV451" s="170"/>
      <c r="NW451" s="170"/>
      <c r="NX451" s="170"/>
      <c r="NY451" s="170"/>
      <c r="NZ451" s="170"/>
      <c r="OA451" s="170"/>
      <c r="OB451" s="170"/>
      <c r="OC451" s="170"/>
      <c r="OD451" s="170"/>
      <c r="OE451" s="170"/>
      <c r="OF451" s="60"/>
      <c r="OG451" s="87"/>
      <c r="OH451" s="126"/>
      <c r="OI451" s="127"/>
      <c r="OJ451" s="135"/>
      <c r="OK451" s="87"/>
      <c r="OL451" s="167"/>
      <c r="OM451" s="87"/>
      <c r="ON451" s="87"/>
      <c r="OO451" s="87"/>
      <c r="OP451" s="87"/>
      <c r="OQ451" s="87"/>
      <c r="OR451" s="87"/>
      <c r="OS451" s="87"/>
      <c r="OT451" s="87"/>
      <c r="OU451" s="87"/>
      <c r="OV451" s="87"/>
      <c r="OW451" s="87"/>
      <c r="OX451" s="87"/>
      <c r="OY451" s="87"/>
      <c r="OZ451" s="87"/>
      <c r="PA451" s="54"/>
      <c r="PB451" s="54"/>
      <c r="PC451" s="54"/>
      <c r="PD451" s="87"/>
      <c r="PE451" s="87"/>
      <c r="PF451" s="87"/>
      <c r="PG451" s="87"/>
      <c r="PH451" s="87"/>
      <c r="PI451" s="87"/>
      <c r="PJ451" s="87"/>
      <c r="PK451" s="87"/>
      <c r="PL451" s="87"/>
      <c r="PM451" s="87"/>
      <c r="PN451" s="87"/>
      <c r="PO451" s="87"/>
      <c r="PP451" s="87"/>
      <c r="PQ451" s="87"/>
      <c r="PR451" s="87"/>
      <c r="PS451" s="87"/>
      <c r="PT451" s="87"/>
      <c r="PU451" s="87"/>
      <c r="PV451" s="87"/>
      <c r="PW451" s="87"/>
      <c r="PX451" s="87"/>
      <c r="PY451" s="87"/>
      <c r="PZ451" s="87"/>
      <c r="QA451" s="87"/>
      <c r="QB451" s="87"/>
      <c r="QC451" s="87"/>
      <c r="QD451" s="87"/>
      <c r="QE451" s="87"/>
      <c r="QF451" s="87"/>
      <c r="QG451" s="87"/>
      <c r="QH451" s="87"/>
      <c r="QI451" s="87"/>
      <c r="QJ451" s="87"/>
      <c r="QK451" s="87"/>
      <c r="QL451" s="87"/>
      <c r="QM451" s="87"/>
      <c r="QN451" s="87"/>
      <c r="QO451" s="87"/>
      <c r="QP451" s="87"/>
      <c r="QQ451" s="87"/>
      <c r="QR451" s="87"/>
      <c r="QS451" s="87"/>
      <c r="QT451" s="87"/>
      <c r="QU451" s="87"/>
      <c r="QV451" s="87"/>
      <c r="QW451" s="87"/>
      <c r="QX451" s="87"/>
      <c r="QY451" s="87"/>
      <c r="QZ451" s="87"/>
      <c r="RA451" s="87"/>
      <c r="RB451" s="87"/>
      <c r="RC451" s="87"/>
      <c r="RD451" s="87"/>
      <c r="RE451" s="135"/>
      <c r="RF451" s="127"/>
      <c r="RG451" s="87"/>
      <c r="RH451" s="82"/>
      <c r="RI451" s="82"/>
      <c r="RJ451" s="102"/>
      <c r="RK451" s="170"/>
      <c r="RL451" s="171"/>
      <c r="RM451" s="170"/>
      <c r="RN451" s="170"/>
      <c r="RO451" s="170"/>
      <c r="RP451" s="170"/>
      <c r="RQ451" s="170"/>
      <c r="RR451" s="170"/>
      <c r="RS451" s="170"/>
      <c r="RT451" s="170"/>
      <c r="RU451" s="170"/>
      <c r="RV451" s="170"/>
      <c r="RW451" s="87"/>
      <c r="RX451" s="126"/>
      <c r="RY451" s="127"/>
      <c r="RZ451" s="135"/>
      <c r="SA451" s="135"/>
      <c r="SB451" s="167"/>
      <c r="SC451" s="87"/>
      <c r="SD451" s="87"/>
      <c r="SE451" s="87"/>
      <c r="SF451" s="87"/>
      <c r="SG451" s="87"/>
      <c r="SH451" s="87"/>
      <c r="SI451" s="87"/>
      <c r="SJ451" s="87"/>
      <c r="SK451" s="87"/>
      <c r="SL451" s="87"/>
      <c r="SM451" s="87"/>
      <c r="SN451" s="87"/>
      <c r="SO451" s="87"/>
      <c r="SP451" s="87"/>
      <c r="SQ451" s="54"/>
      <c r="SR451" s="54"/>
      <c r="SS451" s="54"/>
      <c r="ST451" s="87"/>
      <c r="SU451" s="87"/>
      <c r="SV451" s="87"/>
      <c r="SW451" s="87"/>
      <c r="SX451" s="87"/>
      <c r="SY451" s="87"/>
      <c r="SZ451" s="87"/>
      <c r="TA451" s="87"/>
      <c r="TB451" s="87"/>
      <c r="TC451" s="87"/>
      <c r="TD451" s="87"/>
      <c r="TE451" s="87"/>
      <c r="TF451" s="87"/>
      <c r="TG451" s="87"/>
      <c r="TH451" s="87"/>
      <c r="TI451" s="87"/>
      <c r="TJ451" s="87"/>
      <c r="TK451" s="87"/>
      <c r="TL451" s="87"/>
      <c r="TM451" s="87"/>
      <c r="TN451" s="87"/>
      <c r="TO451" s="87"/>
      <c r="TP451" s="87"/>
      <c r="TQ451" s="87"/>
      <c r="TR451" s="87"/>
      <c r="TS451" s="87"/>
      <c r="TT451" s="87"/>
      <c r="TU451" s="87"/>
      <c r="TV451" s="87"/>
      <c r="TW451" s="87"/>
      <c r="TX451" s="87"/>
      <c r="TY451" s="87"/>
      <c r="TZ451" s="87"/>
      <c r="UA451" s="87"/>
      <c r="UB451" s="87"/>
      <c r="UC451" s="87"/>
      <c r="UD451" s="87"/>
      <c r="UE451" s="87"/>
      <c r="UF451" s="87"/>
      <c r="UG451" s="87"/>
      <c r="UH451" s="87"/>
      <c r="UI451" s="87"/>
      <c r="UJ451" s="87"/>
      <c r="UK451" s="87"/>
      <c r="UL451" s="87"/>
      <c r="UM451" s="87"/>
      <c r="UN451" s="87"/>
      <c r="UO451" s="87"/>
      <c r="UP451" s="87"/>
      <c r="UQ451" s="87"/>
      <c r="UR451" s="87"/>
      <c r="US451" s="87"/>
      <c r="AFP451" s="87"/>
      <c r="AFQ451" s="135"/>
      <c r="AFR451" s="127"/>
      <c r="AFS451" s="87"/>
      <c r="AFT451" s="82"/>
      <c r="AFU451" s="82"/>
      <c r="AFV451" s="102"/>
      <c r="AFW451" s="170"/>
      <c r="AFX451" s="171"/>
      <c r="AFY451" s="170"/>
      <c r="AFZ451" s="170"/>
      <c r="AGA451" s="170"/>
      <c r="AGB451" s="170"/>
      <c r="AGC451" s="170"/>
      <c r="AGD451" s="170"/>
      <c r="AGE451" s="170"/>
      <c r="AGF451" s="170"/>
      <c r="AGG451" s="170"/>
      <c r="AGH451" s="170"/>
      <c r="AGI451" s="60"/>
      <c r="AGJ451" s="87"/>
      <c r="AGK451" s="126"/>
      <c r="AGL451" s="127"/>
      <c r="AGM451" s="135"/>
      <c r="AGN451" s="87"/>
      <c r="AGO451" s="167"/>
      <c r="AGP451" s="87"/>
      <c r="AGQ451" s="87"/>
      <c r="AGR451" s="87"/>
      <c r="AGS451" s="87"/>
      <c r="AGT451" s="87"/>
      <c r="AGU451" s="87"/>
      <c r="AGV451" s="87"/>
      <c r="AGW451" s="87"/>
      <c r="AGX451" s="87"/>
      <c r="AGY451" s="87"/>
      <c r="AGZ451" s="87"/>
      <c r="AHA451" s="87"/>
      <c r="AHB451" s="87"/>
      <c r="AHC451" s="87"/>
      <c r="AHD451" s="54"/>
      <c r="AHE451" s="54"/>
      <c r="AHF451" s="54"/>
      <c r="AHG451" s="87"/>
      <c r="AHH451" s="87"/>
      <c r="AHI451" s="87"/>
      <c r="AHJ451" s="87"/>
      <c r="AHK451" s="87"/>
      <c r="AHL451" s="87"/>
      <c r="AHM451" s="87"/>
      <c r="AHN451" s="87"/>
      <c r="AHO451" s="87"/>
      <c r="AHP451" s="87"/>
      <c r="AHQ451" s="87"/>
      <c r="AHR451" s="87"/>
      <c r="AHS451" s="87"/>
      <c r="AHT451" s="87"/>
      <c r="AHU451" s="87"/>
      <c r="AHV451" s="87"/>
      <c r="AHW451" s="87"/>
      <c r="AHX451" s="87"/>
      <c r="AHY451" s="87"/>
      <c r="AHZ451" s="87"/>
      <c r="AIA451" s="87"/>
      <c r="AIB451" s="87"/>
      <c r="AIC451" s="87"/>
      <c r="AID451" s="87"/>
      <c r="AIE451" s="87"/>
      <c r="AIF451" s="87"/>
      <c r="AIG451" s="87"/>
      <c r="AIH451" s="87"/>
      <c r="AII451" s="87"/>
      <c r="AIJ451" s="87"/>
      <c r="AIK451" s="87"/>
      <c r="AIL451" s="87"/>
      <c r="AIM451" s="87"/>
      <c r="AIN451" s="87"/>
      <c r="AIO451" s="87"/>
      <c r="AIP451" s="87"/>
      <c r="AIQ451" s="87"/>
      <c r="AIR451" s="87"/>
      <c r="AIS451" s="87"/>
      <c r="AIT451" s="87"/>
      <c r="AIU451" s="87"/>
      <c r="AIV451" s="87"/>
      <c r="AIW451" s="87"/>
      <c r="AIX451" s="87"/>
      <c r="AIY451" s="87"/>
      <c r="AIZ451" s="87"/>
      <c r="AJA451" s="87"/>
      <c r="AJB451" s="87"/>
      <c r="AJC451" s="87"/>
      <c r="AJD451" s="87"/>
      <c r="AJE451" s="87"/>
      <c r="AJF451" s="87"/>
    </row>
    <row r="452" spans="1:942">
      <c r="A452" s="87"/>
      <c r="B452" s="135">
        <v>45848</v>
      </c>
      <c r="C452" s="127">
        <v>45912</v>
      </c>
      <c r="D452" s="87" t="s">
        <v>171</v>
      </c>
      <c r="E452" s="82" t="s">
        <v>219</v>
      </c>
      <c r="F452" s="82" t="s">
        <v>220</v>
      </c>
      <c r="G452" s="102" t="s">
        <v>2696</v>
      </c>
      <c r="H452" s="170">
        <v>7905180186</v>
      </c>
      <c r="I452" s="171" t="s">
        <v>2697</v>
      </c>
      <c r="J452" s="170" t="s">
        <v>2315</v>
      </c>
      <c r="K452" s="170">
        <v>7.5</v>
      </c>
      <c r="L452" s="170">
        <v>7.5</v>
      </c>
      <c r="M452" s="170" t="s">
        <v>2698</v>
      </c>
      <c r="N452" s="170" t="s">
        <v>425</v>
      </c>
      <c r="O452" s="170" t="s">
        <v>155</v>
      </c>
      <c r="P452" s="170" t="s">
        <v>770</v>
      </c>
      <c r="Q452" s="170" t="s">
        <v>402</v>
      </c>
      <c r="R452" s="170" t="s">
        <v>2699</v>
      </c>
      <c r="S452" s="170" t="s">
        <v>1201</v>
      </c>
      <c r="T452" s="170" t="s">
        <v>2700</v>
      </c>
      <c r="U452" s="87" t="s">
        <v>1447</v>
      </c>
      <c r="V452" s="126" t="s">
        <v>2386</v>
      </c>
      <c r="W452" s="127"/>
      <c r="X452" s="135"/>
      <c r="Y452" s="16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87"/>
      <c r="AK452" s="87"/>
      <c r="AL452" s="87"/>
      <c r="AM452" s="87"/>
      <c r="AN452" s="54"/>
      <c r="AO452" s="54"/>
      <c r="AP452" s="54"/>
      <c r="AQ452" s="87"/>
      <c r="AR452" s="87"/>
      <c r="AS452" s="87"/>
      <c r="AT452" s="87"/>
      <c r="AU452" s="87"/>
      <c r="AV452" s="87"/>
      <c r="AW452" s="87"/>
      <c r="AX452" s="87"/>
      <c r="AY452" s="87"/>
      <c r="AZ452" s="87"/>
      <c r="BA452" s="87"/>
      <c r="BB452" s="87"/>
      <c r="BC452" s="87"/>
      <c r="BD452" s="87"/>
      <c r="BE452" s="87"/>
      <c r="BF452" s="87"/>
      <c r="BG452" s="87"/>
      <c r="BH452" s="87"/>
      <c r="BI452" s="87"/>
      <c r="BJ452" s="87"/>
      <c r="BK452" s="87"/>
      <c r="BL452" s="87"/>
      <c r="BM452" s="87"/>
      <c r="BN452" s="87"/>
      <c r="BO452" s="87"/>
      <c r="BP452" s="87"/>
      <c r="BQ452" s="87"/>
      <c r="BR452" s="87"/>
      <c r="BS452" s="87"/>
      <c r="BT452" s="87"/>
      <c r="BU452" s="87"/>
      <c r="BV452" s="87"/>
      <c r="BW452" s="87"/>
      <c r="BX452" s="87"/>
      <c r="BY452" s="87"/>
      <c r="BZ452" s="87"/>
      <c r="CA452" s="87"/>
      <c r="CB452" s="87"/>
      <c r="CC452" s="87"/>
      <c r="CD452" s="87"/>
      <c r="CE452" s="87"/>
      <c r="CF452" s="87"/>
      <c r="CG452" s="87"/>
      <c r="CH452" s="87"/>
      <c r="CI452" s="87"/>
      <c r="CJ452" s="87"/>
      <c r="CK452" s="87"/>
      <c r="CL452" s="87"/>
      <c r="CM452" s="87"/>
      <c r="CN452" s="87"/>
      <c r="CO452" s="87"/>
      <c r="CP452" s="87"/>
      <c r="NM452" s="87"/>
      <c r="NN452" s="135"/>
      <c r="NO452" s="127"/>
      <c r="NP452" s="87"/>
      <c r="NQ452" s="82"/>
      <c r="NR452" s="82"/>
      <c r="NS452" s="102"/>
      <c r="NT452" s="170"/>
      <c r="NU452" s="171"/>
      <c r="NV452" s="170"/>
      <c r="NW452" s="170"/>
      <c r="NX452" s="170"/>
      <c r="NY452" s="170"/>
      <c r="NZ452" s="170"/>
      <c r="OA452" s="170"/>
      <c r="OB452" s="170"/>
      <c r="OC452" s="170"/>
      <c r="OD452" s="170"/>
      <c r="OE452" s="170"/>
      <c r="OF452" s="60"/>
      <c r="OG452" s="87"/>
      <c r="OH452" s="126"/>
      <c r="OI452" s="127"/>
      <c r="OJ452" s="135"/>
      <c r="OK452" s="87"/>
      <c r="OL452" s="167"/>
      <c r="OM452" s="87"/>
      <c r="ON452" s="87"/>
      <c r="OO452" s="87"/>
      <c r="OP452" s="87"/>
      <c r="OQ452" s="87"/>
      <c r="OR452" s="87"/>
      <c r="OS452" s="87"/>
      <c r="OT452" s="87"/>
      <c r="OU452" s="87"/>
      <c r="OV452" s="87"/>
      <c r="OW452" s="87"/>
      <c r="OX452" s="87"/>
      <c r="OY452" s="87"/>
      <c r="OZ452" s="87"/>
      <c r="PA452" s="54"/>
      <c r="PB452" s="54"/>
      <c r="PC452" s="54"/>
      <c r="PD452" s="87"/>
      <c r="PE452" s="87"/>
      <c r="PF452" s="87"/>
      <c r="PG452" s="87"/>
      <c r="PH452" s="87"/>
      <c r="PI452" s="87"/>
      <c r="PJ452" s="87"/>
      <c r="PK452" s="87"/>
      <c r="PL452" s="87"/>
      <c r="PM452" s="87"/>
      <c r="PN452" s="87"/>
      <c r="PO452" s="87"/>
      <c r="PP452" s="87"/>
      <c r="PQ452" s="87"/>
      <c r="PR452" s="87"/>
      <c r="PS452" s="87"/>
      <c r="PT452" s="87"/>
      <c r="PU452" s="87"/>
      <c r="PV452" s="87"/>
      <c r="PW452" s="87"/>
      <c r="PX452" s="87"/>
      <c r="PY452" s="87"/>
      <c r="PZ452" s="87"/>
      <c r="QA452" s="87"/>
      <c r="QB452" s="87"/>
      <c r="QC452" s="87"/>
      <c r="QD452" s="87"/>
      <c r="QE452" s="87"/>
      <c r="QF452" s="87"/>
      <c r="QG452" s="87"/>
      <c r="QH452" s="87"/>
      <c r="QI452" s="87"/>
      <c r="QJ452" s="87"/>
      <c r="QK452" s="87"/>
      <c r="QL452" s="87"/>
      <c r="QM452" s="87"/>
      <c r="QN452" s="87"/>
      <c r="QO452" s="87"/>
      <c r="QP452" s="87"/>
      <c r="QQ452" s="87"/>
      <c r="QR452" s="87"/>
      <c r="QS452" s="87"/>
      <c r="QT452" s="87"/>
      <c r="QU452" s="87"/>
      <c r="QV452" s="87"/>
      <c r="QW452" s="87"/>
      <c r="QX452" s="87"/>
      <c r="QY452" s="87"/>
      <c r="QZ452" s="87"/>
      <c r="RA452" s="87"/>
      <c r="RB452" s="87"/>
      <c r="RC452" s="87"/>
      <c r="RD452" s="87"/>
      <c r="RE452" s="135"/>
      <c r="RF452" s="127"/>
      <c r="RG452" s="87"/>
      <c r="RH452" s="82"/>
      <c r="RI452" s="82"/>
      <c r="RJ452" s="102"/>
      <c r="RK452" s="170"/>
      <c r="RL452" s="171"/>
      <c r="RM452" s="170"/>
      <c r="RN452" s="170"/>
      <c r="RO452" s="170"/>
      <c r="RP452" s="170"/>
      <c r="RQ452" s="170"/>
      <c r="RR452" s="170"/>
      <c r="RS452" s="170"/>
      <c r="RT452" s="170"/>
      <c r="RU452" s="170"/>
      <c r="RV452" s="170"/>
      <c r="RW452" s="87"/>
      <c r="RX452" s="126"/>
      <c r="RY452" s="127"/>
      <c r="RZ452" s="135"/>
      <c r="SA452" s="135"/>
      <c r="SB452" s="167"/>
      <c r="SC452" s="87"/>
      <c r="SD452" s="87"/>
      <c r="SE452" s="87"/>
      <c r="SF452" s="87"/>
      <c r="SG452" s="87"/>
      <c r="SH452" s="87"/>
      <c r="SI452" s="87"/>
      <c r="SJ452" s="87"/>
      <c r="SK452" s="87"/>
      <c r="SL452" s="87"/>
      <c r="SM452" s="87"/>
      <c r="SN452" s="87"/>
      <c r="SO452" s="87"/>
      <c r="SP452" s="87"/>
      <c r="SQ452" s="54"/>
      <c r="SR452" s="54"/>
      <c r="SS452" s="54"/>
      <c r="ST452" s="87"/>
      <c r="SU452" s="87"/>
      <c r="SV452" s="87"/>
      <c r="SW452" s="87"/>
      <c r="SX452" s="87"/>
      <c r="SY452" s="87"/>
      <c r="SZ452" s="87"/>
      <c r="TA452" s="87"/>
      <c r="TB452" s="87"/>
      <c r="TC452" s="87"/>
      <c r="TD452" s="87"/>
      <c r="TE452" s="87"/>
      <c r="TF452" s="87"/>
      <c r="TG452" s="87"/>
      <c r="TH452" s="87"/>
      <c r="TI452" s="87"/>
      <c r="TJ452" s="87"/>
      <c r="TK452" s="87"/>
      <c r="TL452" s="87"/>
      <c r="TM452" s="87"/>
      <c r="TN452" s="87"/>
      <c r="TO452" s="87"/>
      <c r="TP452" s="87"/>
      <c r="TQ452" s="87"/>
      <c r="TR452" s="87"/>
      <c r="TS452" s="87"/>
      <c r="TT452" s="87"/>
      <c r="TU452" s="87"/>
      <c r="TV452" s="87"/>
      <c r="TW452" s="87"/>
      <c r="TX452" s="87"/>
      <c r="TY452" s="87"/>
      <c r="TZ452" s="87"/>
      <c r="UA452" s="87"/>
      <c r="UB452" s="87"/>
      <c r="UC452" s="87"/>
      <c r="UD452" s="87"/>
      <c r="UE452" s="87"/>
      <c r="UF452" s="87"/>
      <c r="UG452" s="87"/>
      <c r="UH452" s="87"/>
      <c r="UI452" s="87"/>
      <c r="UJ452" s="87"/>
      <c r="UK452" s="87"/>
      <c r="UL452" s="87"/>
      <c r="UM452" s="87"/>
      <c r="UN452" s="87"/>
      <c r="UO452" s="87"/>
      <c r="UP452" s="87"/>
      <c r="UQ452" s="87"/>
      <c r="UR452" s="87"/>
      <c r="US452" s="87"/>
      <c r="AFP452" s="87"/>
      <c r="AFQ452" s="135"/>
      <c r="AFR452" s="127"/>
      <c r="AFS452" s="87"/>
      <c r="AFT452" s="82"/>
      <c r="AFU452" s="82"/>
      <c r="AFV452" s="102"/>
      <c r="AFW452" s="170"/>
      <c r="AFX452" s="171"/>
      <c r="AFY452" s="170"/>
      <c r="AFZ452" s="170"/>
      <c r="AGA452" s="170"/>
      <c r="AGB452" s="170"/>
      <c r="AGC452" s="170"/>
      <c r="AGD452" s="170"/>
      <c r="AGE452" s="170"/>
      <c r="AGF452" s="170"/>
      <c r="AGG452" s="170"/>
      <c r="AGH452" s="170"/>
      <c r="AGI452" s="60"/>
      <c r="AGJ452" s="87"/>
      <c r="AGK452" s="126"/>
      <c r="AGL452" s="127"/>
      <c r="AGM452" s="135"/>
      <c r="AGN452" s="87"/>
      <c r="AGO452" s="167"/>
      <c r="AGP452" s="87"/>
      <c r="AGQ452" s="87"/>
      <c r="AGR452" s="87"/>
      <c r="AGS452" s="87"/>
      <c r="AGT452" s="87"/>
      <c r="AGU452" s="87"/>
      <c r="AGV452" s="87"/>
      <c r="AGW452" s="87"/>
      <c r="AGX452" s="87"/>
      <c r="AGY452" s="87"/>
      <c r="AGZ452" s="87"/>
      <c r="AHA452" s="87"/>
      <c r="AHB452" s="87"/>
      <c r="AHC452" s="87"/>
      <c r="AHD452" s="54"/>
      <c r="AHE452" s="54"/>
      <c r="AHF452" s="54"/>
      <c r="AHG452" s="87"/>
      <c r="AHH452" s="87"/>
      <c r="AHI452" s="87"/>
      <c r="AHJ452" s="87"/>
      <c r="AHK452" s="87"/>
      <c r="AHL452" s="87"/>
      <c r="AHM452" s="87"/>
      <c r="AHN452" s="87"/>
      <c r="AHO452" s="87"/>
      <c r="AHP452" s="87"/>
      <c r="AHQ452" s="87"/>
      <c r="AHR452" s="87"/>
      <c r="AHS452" s="87"/>
      <c r="AHT452" s="87"/>
      <c r="AHU452" s="87"/>
      <c r="AHV452" s="87"/>
      <c r="AHW452" s="87"/>
      <c r="AHX452" s="87"/>
      <c r="AHY452" s="87"/>
      <c r="AHZ452" s="87"/>
      <c r="AIA452" s="87"/>
      <c r="AIB452" s="87"/>
      <c r="AIC452" s="87"/>
      <c r="AID452" s="87"/>
      <c r="AIE452" s="87"/>
      <c r="AIF452" s="87"/>
      <c r="AIG452" s="87"/>
      <c r="AIH452" s="87"/>
      <c r="AII452" s="87"/>
      <c r="AIJ452" s="87"/>
      <c r="AIK452" s="87"/>
      <c r="AIL452" s="87"/>
      <c r="AIM452" s="87"/>
      <c r="AIN452" s="87"/>
      <c r="AIO452" s="87"/>
      <c r="AIP452" s="87"/>
      <c r="AIQ452" s="87"/>
      <c r="AIR452" s="87"/>
      <c r="AIS452" s="87"/>
      <c r="AIT452" s="87"/>
      <c r="AIU452" s="87"/>
      <c r="AIV452" s="87"/>
      <c r="AIW452" s="87"/>
      <c r="AIX452" s="87"/>
      <c r="AIY452" s="87"/>
      <c r="AIZ452" s="87"/>
      <c r="AJA452" s="87"/>
      <c r="AJB452" s="87"/>
      <c r="AJC452" s="87"/>
      <c r="AJD452" s="87"/>
      <c r="AJE452" s="87"/>
      <c r="AJF452" s="87"/>
    </row>
    <row r="453" spans="1:942">
      <c r="A453" s="87"/>
      <c r="B453" s="135">
        <v>45848</v>
      </c>
      <c r="C453" s="127">
        <v>45912</v>
      </c>
      <c r="D453" s="87" t="s">
        <v>171</v>
      </c>
      <c r="E453" s="82" t="s">
        <v>219</v>
      </c>
      <c r="F453" s="82" t="s">
        <v>220</v>
      </c>
      <c r="G453" s="102" t="s">
        <v>2701</v>
      </c>
      <c r="H453" s="170">
        <v>8340240960</v>
      </c>
      <c r="I453" s="171" t="s">
        <v>2702</v>
      </c>
      <c r="J453" s="170" t="s">
        <v>2315</v>
      </c>
      <c r="K453" s="170">
        <v>7</v>
      </c>
      <c r="L453" s="170">
        <v>7</v>
      </c>
      <c r="M453" s="170" t="s">
        <v>2703</v>
      </c>
      <c r="N453" s="170" t="s">
        <v>425</v>
      </c>
      <c r="O453" s="170" t="s">
        <v>2694</v>
      </c>
      <c r="P453" s="170" t="s">
        <v>770</v>
      </c>
      <c r="Q453" s="170" t="s">
        <v>402</v>
      </c>
      <c r="R453" s="170" t="s">
        <v>2704</v>
      </c>
      <c r="S453" s="170" t="s">
        <v>1201</v>
      </c>
      <c r="T453" s="170" t="s">
        <v>2705</v>
      </c>
      <c r="U453" s="87" t="s">
        <v>1447</v>
      </c>
      <c r="V453" s="126" t="s">
        <v>2386</v>
      </c>
      <c r="W453" s="127"/>
      <c r="X453" s="135"/>
      <c r="Y453" s="16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  <c r="AJ453" s="87"/>
      <c r="AK453" s="87"/>
      <c r="AL453" s="87"/>
      <c r="AM453" s="87"/>
      <c r="AN453" s="54"/>
      <c r="AO453" s="54"/>
      <c r="AP453" s="54"/>
      <c r="AQ453" s="87"/>
      <c r="AR453" s="87"/>
      <c r="AS453" s="87"/>
      <c r="AT453" s="87"/>
      <c r="AU453" s="87"/>
      <c r="AV453" s="87"/>
      <c r="AW453" s="87"/>
      <c r="AX453" s="87"/>
      <c r="AY453" s="87"/>
      <c r="AZ453" s="87"/>
      <c r="BA453" s="87"/>
      <c r="BB453" s="87"/>
      <c r="BC453" s="87"/>
      <c r="BD453" s="87"/>
      <c r="BE453" s="87"/>
      <c r="BF453" s="87"/>
      <c r="BG453" s="87"/>
      <c r="BH453" s="87"/>
      <c r="BI453" s="87"/>
      <c r="BJ453" s="87"/>
      <c r="BK453" s="87"/>
      <c r="BL453" s="87"/>
      <c r="BM453" s="87"/>
      <c r="BN453" s="87"/>
      <c r="BO453" s="87"/>
      <c r="BP453" s="87"/>
      <c r="BQ453" s="87"/>
      <c r="BR453" s="87"/>
      <c r="BS453" s="87"/>
      <c r="BT453" s="87"/>
      <c r="BU453" s="87"/>
      <c r="BV453" s="87"/>
      <c r="BW453" s="87"/>
      <c r="BX453" s="87"/>
      <c r="BY453" s="87"/>
      <c r="BZ453" s="87"/>
      <c r="CA453" s="87"/>
      <c r="CB453" s="87"/>
      <c r="CC453" s="87"/>
      <c r="CD453" s="87"/>
      <c r="CE453" s="87"/>
      <c r="CF453" s="87"/>
      <c r="CG453" s="87"/>
      <c r="CH453" s="87"/>
      <c r="CI453" s="87"/>
      <c r="CJ453" s="87"/>
      <c r="CK453" s="87"/>
      <c r="CL453" s="87"/>
      <c r="CM453" s="87"/>
      <c r="CN453" s="87"/>
      <c r="CO453" s="87"/>
      <c r="CP453" s="87"/>
      <c r="NM453" s="87"/>
      <c r="NN453" s="135"/>
      <c r="NO453" s="127"/>
      <c r="NP453" s="87"/>
      <c r="NQ453" s="82"/>
      <c r="NR453" s="82"/>
      <c r="NS453" s="102"/>
      <c r="NT453" s="170"/>
      <c r="NU453" s="171"/>
      <c r="NV453" s="170"/>
      <c r="NW453" s="170"/>
      <c r="NX453" s="170"/>
      <c r="NY453" s="170"/>
      <c r="NZ453" s="170"/>
      <c r="OA453" s="170"/>
      <c r="OB453" s="170"/>
      <c r="OC453" s="170"/>
      <c r="OD453" s="170"/>
      <c r="OE453" s="170"/>
      <c r="OF453" s="60"/>
      <c r="OG453" s="87"/>
      <c r="OH453" s="126"/>
      <c r="OI453" s="127"/>
      <c r="OJ453" s="135"/>
      <c r="OK453" s="87"/>
      <c r="OL453" s="167"/>
      <c r="OM453" s="87"/>
      <c r="ON453" s="87"/>
      <c r="OO453" s="87"/>
      <c r="OP453" s="87"/>
      <c r="OQ453" s="87"/>
      <c r="OR453" s="87"/>
      <c r="OS453" s="87"/>
      <c r="OT453" s="87"/>
      <c r="OU453" s="87"/>
      <c r="OV453" s="87"/>
      <c r="OW453" s="87"/>
      <c r="OX453" s="87"/>
      <c r="OY453" s="87"/>
      <c r="OZ453" s="87"/>
      <c r="PA453" s="54"/>
      <c r="PB453" s="54"/>
      <c r="PC453" s="54"/>
      <c r="PD453" s="87"/>
      <c r="PE453" s="87"/>
      <c r="PF453" s="87"/>
      <c r="PG453" s="87"/>
      <c r="PH453" s="87"/>
      <c r="PI453" s="87"/>
      <c r="PJ453" s="87"/>
      <c r="PK453" s="87"/>
      <c r="PL453" s="87"/>
      <c r="PM453" s="87"/>
      <c r="PN453" s="87"/>
      <c r="PO453" s="87"/>
      <c r="PP453" s="87"/>
      <c r="PQ453" s="87"/>
      <c r="PR453" s="87"/>
      <c r="PS453" s="87"/>
      <c r="PT453" s="87"/>
      <c r="PU453" s="87"/>
      <c r="PV453" s="87"/>
      <c r="PW453" s="87"/>
      <c r="PX453" s="87"/>
      <c r="PY453" s="87"/>
      <c r="PZ453" s="87"/>
      <c r="QA453" s="87"/>
      <c r="QB453" s="87"/>
      <c r="QC453" s="87"/>
      <c r="QD453" s="87"/>
      <c r="QE453" s="87"/>
      <c r="QF453" s="87"/>
      <c r="QG453" s="87"/>
      <c r="QH453" s="87"/>
      <c r="QI453" s="87"/>
      <c r="QJ453" s="87"/>
      <c r="QK453" s="87"/>
      <c r="QL453" s="87"/>
      <c r="QM453" s="87"/>
      <c r="QN453" s="87"/>
      <c r="QO453" s="87"/>
      <c r="QP453" s="87"/>
      <c r="QQ453" s="87"/>
      <c r="QR453" s="87"/>
      <c r="QS453" s="87"/>
      <c r="QT453" s="87"/>
      <c r="QU453" s="87"/>
      <c r="QV453" s="87"/>
      <c r="QW453" s="87"/>
      <c r="QX453" s="87"/>
      <c r="QY453" s="87"/>
      <c r="QZ453" s="87"/>
      <c r="RA453" s="87"/>
      <c r="RB453" s="87"/>
      <c r="RC453" s="87"/>
      <c r="RD453" s="87"/>
      <c r="RE453" s="135"/>
      <c r="RF453" s="127"/>
      <c r="RG453" s="87"/>
      <c r="RH453" s="82"/>
      <c r="RI453" s="82"/>
      <c r="RJ453" s="102"/>
      <c r="RK453" s="170"/>
      <c r="RL453" s="171"/>
      <c r="RM453" s="170"/>
      <c r="RN453" s="170"/>
      <c r="RO453" s="170"/>
      <c r="RP453" s="170"/>
      <c r="RQ453" s="170"/>
      <c r="RR453" s="170"/>
      <c r="RS453" s="170"/>
      <c r="RT453" s="170"/>
      <c r="RU453" s="170"/>
      <c r="RV453" s="170"/>
      <c r="RW453" s="87"/>
      <c r="RX453" s="126"/>
      <c r="RY453" s="127"/>
      <c r="RZ453" s="135"/>
      <c r="SA453" s="135"/>
      <c r="SB453" s="167"/>
      <c r="SC453" s="87"/>
      <c r="SD453" s="87"/>
      <c r="SE453" s="87"/>
      <c r="SF453" s="87"/>
      <c r="SG453" s="87"/>
      <c r="SH453" s="87"/>
      <c r="SI453" s="87"/>
      <c r="SJ453" s="87"/>
      <c r="SK453" s="87"/>
      <c r="SL453" s="87"/>
      <c r="SM453" s="87"/>
      <c r="SN453" s="87"/>
      <c r="SO453" s="87"/>
      <c r="SP453" s="87"/>
      <c r="SQ453" s="54"/>
      <c r="SR453" s="54"/>
      <c r="SS453" s="54"/>
      <c r="ST453" s="87"/>
      <c r="SU453" s="87"/>
      <c r="SV453" s="87"/>
      <c r="SW453" s="87"/>
      <c r="SX453" s="87"/>
      <c r="SY453" s="87"/>
      <c r="SZ453" s="87"/>
      <c r="TA453" s="87"/>
      <c r="TB453" s="87"/>
      <c r="TC453" s="87"/>
      <c r="TD453" s="87"/>
      <c r="TE453" s="87"/>
      <c r="TF453" s="87"/>
      <c r="TG453" s="87"/>
      <c r="TH453" s="87"/>
      <c r="TI453" s="87"/>
      <c r="TJ453" s="87"/>
      <c r="TK453" s="87"/>
      <c r="TL453" s="87"/>
      <c r="TM453" s="87"/>
      <c r="TN453" s="87"/>
      <c r="TO453" s="87"/>
      <c r="TP453" s="87"/>
      <c r="TQ453" s="87"/>
      <c r="TR453" s="87"/>
      <c r="TS453" s="87"/>
      <c r="TT453" s="87"/>
      <c r="TU453" s="87"/>
      <c r="TV453" s="87"/>
      <c r="TW453" s="87"/>
      <c r="TX453" s="87"/>
      <c r="TY453" s="87"/>
      <c r="TZ453" s="87"/>
      <c r="UA453" s="87"/>
      <c r="UB453" s="87"/>
      <c r="UC453" s="87"/>
      <c r="UD453" s="87"/>
      <c r="UE453" s="87"/>
      <c r="UF453" s="87"/>
      <c r="UG453" s="87"/>
      <c r="UH453" s="87"/>
      <c r="UI453" s="87"/>
      <c r="UJ453" s="87"/>
      <c r="UK453" s="87"/>
      <c r="UL453" s="87"/>
      <c r="UM453" s="87"/>
      <c r="UN453" s="87"/>
      <c r="UO453" s="87"/>
      <c r="UP453" s="87"/>
      <c r="UQ453" s="87"/>
      <c r="UR453" s="87"/>
      <c r="US453" s="87"/>
      <c r="AFP453" s="87"/>
      <c r="AFQ453" s="135"/>
      <c r="AFR453" s="127"/>
      <c r="AFS453" s="87"/>
      <c r="AFT453" s="82"/>
      <c r="AFU453" s="82"/>
      <c r="AFV453" s="102"/>
      <c r="AFW453" s="170"/>
      <c r="AFX453" s="171"/>
      <c r="AFY453" s="170"/>
      <c r="AFZ453" s="170"/>
      <c r="AGA453" s="170"/>
      <c r="AGB453" s="170"/>
      <c r="AGC453" s="170"/>
      <c r="AGD453" s="170"/>
      <c r="AGE453" s="170"/>
      <c r="AGF453" s="170"/>
      <c r="AGG453" s="170"/>
      <c r="AGH453" s="170"/>
      <c r="AGI453" s="60"/>
      <c r="AGJ453" s="87"/>
      <c r="AGK453" s="126"/>
      <c r="AGL453" s="127"/>
      <c r="AGM453" s="135"/>
      <c r="AGN453" s="87"/>
      <c r="AGO453" s="167"/>
      <c r="AGP453" s="87"/>
      <c r="AGQ453" s="87"/>
      <c r="AGR453" s="87"/>
      <c r="AGS453" s="87"/>
      <c r="AGT453" s="87"/>
      <c r="AGU453" s="87"/>
      <c r="AGV453" s="87"/>
      <c r="AGW453" s="87"/>
      <c r="AGX453" s="87"/>
      <c r="AGY453" s="87"/>
      <c r="AGZ453" s="87"/>
      <c r="AHA453" s="87"/>
      <c r="AHB453" s="87"/>
      <c r="AHC453" s="87"/>
      <c r="AHD453" s="54"/>
      <c r="AHE453" s="54"/>
      <c r="AHF453" s="54"/>
      <c r="AHG453" s="87"/>
      <c r="AHH453" s="87"/>
      <c r="AHI453" s="87"/>
      <c r="AHJ453" s="87"/>
      <c r="AHK453" s="87"/>
      <c r="AHL453" s="87"/>
      <c r="AHM453" s="87"/>
      <c r="AHN453" s="87"/>
      <c r="AHO453" s="87"/>
      <c r="AHP453" s="87"/>
      <c r="AHQ453" s="87"/>
      <c r="AHR453" s="87"/>
      <c r="AHS453" s="87"/>
      <c r="AHT453" s="87"/>
      <c r="AHU453" s="87"/>
      <c r="AHV453" s="87"/>
      <c r="AHW453" s="87"/>
      <c r="AHX453" s="87"/>
      <c r="AHY453" s="87"/>
      <c r="AHZ453" s="87"/>
      <c r="AIA453" s="87"/>
      <c r="AIB453" s="87"/>
      <c r="AIC453" s="87"/>
      <c r="AID453" s="87"/>
      <c r="AIE453" s="87"/>
      <c r="AIF453" s="87"/>
      <c r="AIG453" s="87"/>
      <c r="AIH453" s="87"/>
      <c r="AII453" s="87"/>
      <c r="AIJ453" s="87"/>
      <c r="AIK453" s="87"/>
      <c r="AIL453" s="87"/>
      <c r="AIM453" s="87"/>
      <c r="AIN453" s="87"/>
      <c r="AIO453" s="87"/>
      <c r="AIP453" s="87"/>
      <c r="AIQ453" s="87"/>
      <c r="AIR453" s="87"/>
      <c r="AIS453" s="87"/>
      <c r="AIT453" s="87"/>
      <c r="AIU453" s="87"/>
      <c r="AIV453" s="87"/>
      <c r="AIW453" s="87"/>
      <c r="AIX453" s="87"/>
      <c r="AIY453" s="87"/>
      <c r="AIZ453" s="87"/>
      <c r="AJA453" s="87"/>
      <c r="AJB453" s="87"/>
      <c r="AJC453" s="87"/>
      <c r="AJD453" s="87"/>
      <c r="AJE453" s="87"/>
      <c r="AJF453" s="87"/>
    </row>
    <row r="454" spans="1:942">
      <c r="A454" s="87"/>
      <c r="B454" s="135">
        <v>45923</v>
      </c>
      <c r="C454" s="127">
        <v>45923</v>
      </c>
      <c r="D454" s="87" t="s">
        <v>211</v>
      </c>
      <c r="E454" s="82" t="s">
        <v>219</v>
      </c>
      <c r="F454" s="82" t="s">
        <v>220</v>
      </c>
      <c r="G454" s="102" t="s">
        <v>2706</v>
      </c>
      <c r="H454" s="170">
        <v>9004057123</v>
      </c>
      <c r="I454" s="171" t="s">
        <v>2707</v>
      </c>
      <c r="J454" s="170"/>
      <c r="K454" s="170">
        <v>6.5</v>
      </c>
      <c r="L454" s="170">
        <v>6.5</v>
      </c>
      <c r="M454" s="170" t="s">
        <v>2708</v>
      </c>
      <c r="N454" s="170" t="s">
        <v>699</v>
      </c>
      <c r="O454" s="170" t="s">
        <v>2709</v>
      </c>
      <c r="P454" s="170" t="s">
        <v>2710</v>
      </c>
      <c r="Q454" s="170" t="s">
        <v>2711</v>
      </c>
      <c r="R454" s="170" t="s">
        <v>42</v>
      </c>
      <c r="S454" s="170" t="s">
        <v>1201</v>
      </c>
      <c r="T454" s="170"/>
      <c r="U454" s="87" t="s">
        <v>671</v>
      </c>
      <c r="V454" s="126" t="s">
        <v>758</v>
      </c>
      <c r="W454" s="127" t="s">
        <v>741</v>
      </c>
      <c r="X454" s="108">
        <v>45924</v>
      </c>
      <c r="Y454" s="16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  <c r="AJ454" s="87"/>
      <c r="AK454" s="87"/>
      <c r="AL454" s="87"/>
      <c r="AM454" s="87"/>
      <c r="AN454" s="54"/>
      <c r="AO454" s="54"/>
      <c r="AP454" s="54"/>
      <c r="AQ454" s="87"/>
      <c r="AR454" s="87"/>
      <c r="AS454" s="87"/>
      <c r="AT454" s="87"/>
      <c r="AU454" s="87"/>
      <c r="AV454" s="87"/>
      <c r="AW454" s="87"/>
      <c r="AX454" s="87"/>
      <c r="AY454" s="87"/>
      <c r="AZ454" s="87"/>
      <c r="BA454" s="87"/>
      <c r="BB454" s="87"/>
      <c r="BC454" s="87"/>
      <c r="BD454" s="87"/>
      <c r="BE454" s="87"/>
      <c r="BF454" s="87"/>
      <c r="BG454" s="87"/>
      <c r="BH454" s="87"/>
      <c r="BI454" s="87"/>
      <c r="BJ454" s="87"/>
      <c r="BK454" s="87"/>
      <c r="BL454" s="87"/>
      <c r="BM454" s="87"/>
      <c r="BN454" s="87"/>
      <c r="BO454" s="87"/>
      <c r="BP454" s="87"/>
      <c r="BQ454" s="87"/>
      <c r="BR454" s="87"/>
      <c r="BS454" s="87"/>
      <c r="BT454" s="87"/>
      <c r="BU454" s="87"/>
      <c r="BV454" s="87"/>
      <c r="BW454" s="87"/>
      <c r="BX454" s="87"/>
      <c r="BY454" s="87"/>
      <c r="BZ454" s="87"/>
      <c r="CA454" s="87"/>
      <c r="CB454" s="87"/>
      <c r="CC454" s="87"/>
      <c r="CD454" s="87"/>
      <c r="CE454" s="87"/>
      <c r="CF454" s="87"/>
      <c r="CG454" s="87"/>
      <c r="CH454" s="87"/>
      <c r="CI454" s="87"/>
      <c r="CJ454" s="87"/>
      <c r="CK454" s="87"/>
      <c r="CL454" s="87"/>
      <c r="CM454" s="87"/>
      <c r="CN454" s="87"/>
      <c r="CO454" s="87"/>
      <c r="CP454" s="87"/>
      <c r="NM454" s="87"/>
      <c r="NN454" s="135"/>
      <c r="NO454" s="127"/>
      <c r="NP454" s="87"/>
      <c r="NQ454" s="82"/>
      <c r="NR454" s="82"/>
      <c r="NS454" s="102"/>
      <c r="NT454" s="170"/>
      <c r="NU454" s="171"/>
      <c r="NV454" s="170"/>
      <c r="NW454" s="170"/>
      <c r="NX454" s="170"/>
      <c r="NY454" s="170"/>
      <c r="NZ454" s="170"/>
      <c r="OA454" s="170"/>
      <c r="OB454" s="170"/>
      <c r="OC454" s="170"/>
      <c r="OD454" s="170"/>
      <c r="OE454" s="170"/>
      <c r="OF454" s="60"/>
      <c r="OG454" s="87"/>
      <c r="OH454" s="126"/>
      <c r="OI454" s="127"/>
      <c r="OJ454" s="135"/>
      <c r="OK454" s="87"/>
      <c r="OL454" s="167"/>
      <c r="OM454" s="87"/>
      <c r="ON454" s="87"/>
      <c r="OO454" s="87"/>
      <c r="OP454" s="87"/>
      <c r="OQ454" s="87"/>
      <c r="OR454" s="87"/>
      <c r="OS454" s="87"/>
      <c r="OT454" s="87"/>
      <c r="OU454" s="87"/>
      <c r="OV454" s="87"/>
      <c r="OW454" s="87"/>
      <c r="OX454" s="87"/>
      <c r="OY454" s="87"/>
      <c r="OZ454" s="87"/>
      <c r="PA454" s="54"/>
      <c r="PB454" s="54"/>
      <c r="PC454" s="54"/>
      <c r="PD454" s="87"/>
      <c r="PE454" s="87"/>
      <c r="PF454" s="87"/>
      <c r="PG454" s="87"/>
      <c r="PH454" s="87"/>
      <c r="PI454" s="87"/>
      <c r="PJ454" s="87"/>
      <c r="PK454" s="87"/>
      <c r="PL454" s="87"/>
      <c r="PM454" s="87"/>
      <c r="PN454" s="87"/>
      <c r="PO454" s="87"/>
      <c r="PP454" s="87"/>
      <c r="PQ454" s="87"/>
      <c r="PR454" s="87"/>
      <c r="PS454" s="87"/>
      <c r="PT454" s="87"/>
      <c r="PU454" s="87"/>
      <c r="PV454" s="87"/>
      <c r="PW454" s="87"/>
      <c r="PX454" s="87"/>
      <c r="PY454" s="87"/>
      <c r="PZ454" s="87"/>
      <c r="QA454" s="87"/>
      <c r="QB454" s="87"/>
      <c r="QC454" s="87"/>
      <c r="QD454" s="87"/>
      <c r="QE454" s="87"/>
      <c r="QF454" s="87"/>
      <c r="QG454" s="87"/>
      <c r="QH454" s="87"/>
      <c r="QI454" s="87"/>
      <c r="QJ454" s="87"/>
      <c r="QK454" s="87"/>
      <c r="QL454" s="87"/>
      <c r="QM454" s="87"/>
      <c r="QN454" s="87"/>
      <c r="QO454" s="87"/>
      <c r="QP454" s="87"/>
      <c r="QQ454" s="87"/>
      <c r="QR454" s="87"/>
      <c r="QS454" s="87"/>
      <c r="QT454" s="87"/>
      <c r="QU454" s="87"/>
      <c r="QV454" s="87"/>
      <c r="QW454" s="87"/>
      <c r="QX454" s="87"/>
      <c r="QY454" s="87"/>
      <c r="QZ454" s="87"/>
      <c r="RA454" s="87"/>
      <c r="RB454" s="87"/>
      <c r="RC454" s="87"/>
      <c r="RD454" s="87"/>
      <c r="RE454" s="135"/>
      <c r="RF454" s="127"/>
      <c r="RG454" s="87"/>
      <c r="RH454" s="82"/>
      <c r="RI454" s="82"/>
      <c r="RJ454" s="102"/>
      <c r="RK454" s="170"/>
      <c r="RL454" s="171"/>
      <c r="RM454" s="170"/>
      <c r="RN454" s="170"/>
      <c r="RO454" s="170"/>
      <c r="RP454" s="170"/>
      <c r="RQ454" s="170"/>
      <c r="RR454" s="170"/>
      <c r="RS454" s="170"/>
      <c r="RT454" s="170"/>
      <c r="RU454" s="170"/>
      <c r="RV454" s="170"/>
      <c r="RW454" s="87"/>
      <c r="RX454" s="126"/>
      <c r="RY454" s="127"/>
      <c r="RZ454" s="135"/>
      <c r="SA454" s="135"/>
      <c r="SB454" s="167"/>
      <c r="SC454" s="87"/>
      <c r="SD454" s="87"/>
      <c r="SE454" s="87"/>
      <c r="SF454" s="87"/>
      <c r="SG454" s="87"/>
      <c r="SH454" s="87"/>
      <c r="SI454" s="87"/>
      <c r="SJ454" s="87"/>
      <c r="SK454" s="87"/>
      <c r="SL454" s="87"/>
      <c r="SM454" s="87"/>
      <c r="SN454" s="87"/>
      <c r="SO454" s="87"/>
      <c r="SP454" s="87"/>
      <c r="SQ454" s="54"/>
      <c r="SR454" s="54"/>
      <c r="SS454" s="54"/>
      <c r="ST454" s="87"/>
      <c r="SU454" s="87"/>
      <c r="SV454" s="87"/>
      <c r="SW454" s="87"/>
      <c r="SX454" s="87"/>
      <c r="SY454" s="87"/>
      <c r="SZ454" s="87"/>
      <c r="TA454" s="87"/>
      <c r="TB454" s="87"/>
      <c r="TC454" s="87"/>
      <c r="TD454" s="87"/>
      <c r="TE454" s="87"/>
      <c r="TF454" s="87"/>
      <c r="TG454" s="87"/>
      <c r="TH454" s="87"/>
      <c r="TI454" s="87"/>
      <c r="TJ454" s="87"/>
      <c r="TK454" s="87"/>
      <c r="TL454" s="87"/>
      <c r="TM454" s="87"/>
      <c r="TN454" s="87"/>
      <c r="TO454" s="87"/>
      <c r="TP454" s="87"/>
      <c r="TQ454" s="87"/>
      <c r="TR454" s="87"/>
      <c r="TS454" s="87"/>
      <c r="TT454" s="87"/>
      <c r="TU454" s="87"/>
      <c r="TV454" s="87"/>
      <c r="TW454" s="87"/>
      <c r="TX454" s="87"/>
      <c r="TY454" s="87"/>
      <c r="TZ454" s="87"/>
      <c r="UA454" s="87"/>
      <c r="UB454" s="87"/>
      <c r="UC454" s="87"/>
      <c r="UD454" s="87"/>
      <c r="UE454" s="87"/>
      <c r="UF454" s="87"/>
      <c r="UG454" s="87"/>
      <c r="UH454" s="87"/>
      <c r="UI454" s="87"/>
      <c r="UJ454" s="87"/>
      <c r="UK454" s="87"/>
      <c r="UL454" s="87"/>
      <c r="UM454" s="87"/>
      <c r="UN454" s="87"/>
      <c r="UO454" s="87"/>
      <c r="UP454" s="87"/>
      <c r="UQ454" s="87"/>
      <c r="UR454" s="87"/>
      <c r="US454" s="87"/>
      <c r="AFP454" s="87"/>
      <c r="AFQ454" s="135"/>
      <c r="AFR454" s="127"/>
      <c r="AFS454" s="87"/>
      <c r="AFT454" s="82"/>
      <c r="AFU454" s="82"/>
      <c r="AFV454" s="102"/>
      <c r="AFW454" s="170"/>
      <c r="AFX454" s="171"/>
      <c r="AFY454" s="170"/>
      <c r="AFZ454" s="170"/>
      <c r="AGA454" s="170"/>
      <c r="AGB454" s="170"/>
      <c r="AGC454" s="170"/>
      <c r="AGD454" s="170"/>
      <c r="AGE454" s="170"/>
      <c r="AGF454" s="170"/>
      <c r="AGG454" s="170"/>
      <c r="AGH454" s="170"/>
      <c r="AGI454" s="60"/>
      <c r="AGJ454" s="87"/>
      <c r="AGK454" s="126"/>
      <c r="AGL454" s="127"/>
      <c r="AGM454" s="135"/>
      <c r="AGN454" s="87"/>
      <c r="AGO454" s="167"/>
      <c r="AGP454" s="87"/>
      <c r="AGQ454" s="87"/>
      <c r="AGR454" s="87"/>
      <c r="AGS454" s="87"/>
      <c r="AGT454" s="87"/>
      <c r="AGU454" s="87"/>
      <c r="AGV454" s="87"/>
      <c r="AGW454" s="87"/>
      <c r="AGX454" s="87"/>
      <c r="AGY454" s="87"/>
      <c r="AGZ454" s="87"/>
      <c r="AHA454" s="87"/>
      <c r="AHB454" s="87"/>
      <c r="AHC454" s="87"/>
      <c r="AHD454" s="54"/>
      <c r="AHE454" s="54"/>
      <c r="AHF454" s="54"/>
      <c r="AHG454" s="87"/>
      <c r="AHH454" s="87"/>
      <c r="AHI454" s="87"/>
      <c r="AHJ454" s="87"/>
      <c r="AHK454" s="87"/>
      <c r="AHL454" s="87"/>
      <c r="AHM454" s="87"/>
      <c r="AHN454" s="87"/>
      <c r="AHO454" s="87"/>
      <c r="AHP454" s="87"/>
      <c r="AHQ454" s="87"/>
      <c r="AHR454" s="87"/>
      <c r="AHS454" s="87"/>
      <c r="AHT454" s="87"/>
      <c r="AHU454" s="87"/>
      <c r="AHV454" s="87"/>
      <c r="AHW454" s="87"/>
      <c r="AHX454" s="87"/>
      <c r="AHY454" s="87"/>
      <c r="AHZ454" s="87"/>
      <c r="AIA454" s="87"/>
      <c r="AIB454" s="87"/>
      <c r="AIC454" s="87"/>
      <c r="AID454" s="87"/>
      <c r="AIE454" s="87"/>
      <c r="AIF454" s="87"/>
      <c r="AIG454" s="87"/>
      <c r="AIH454" s="87"/>
      <c r="AII454" s="87"/>
      <c r="AIJ454" s="87"/>
      <c r="AIK454" s="87"/>
      <c r="AIL454" s="87"/>
      <c r="AIM454" s="87"/>
      <c r="AIN454" s="87"/>
      <c r="AIO454" s="87"/>
      <c r="AIP454" s="87"/>
      <c r="AIQ454" s="87"/>
      <c r="AIR454" s="87"/>
      <c r="AIS454" s="87"/>
      <c r="AIT454" s="87"/>
      <c r="AIU454" s="87"/>
      <c r="AIV454" s="87"/>
      <c r="AIW454" s="87"/>
      <c r="AIX454" s="87"/>
      <c r="AIY454" s="87"/>
      <c r="AIZ454" s="87"/>
      <c r="AJA454" s="87"/>
      <c r="AJB454" s="87"/>
      <c r="AJC454" s="87"/>
      <c r="AJD454" s="87"/>
      <c r="AJE454" s="87"/>
      <c r="AJF454" s="87"/>
    </row>
    <row r="455" spans="1:942">
      <c r="A455" s="87"/>
      <c r="B455" s="135">
        <v>45923</v>
      </c>
      <c r="C455" s="127">
        <v>45923</v>
      </c>
      <c r="D455" s="87" t="s">
        <v>211</v>
      </c>
      <c r="E455" s="82" t="s">
        <v>219</v>
      </c>
      <c r="F455" s="82" t="s">
        <v>220</v>
      </c>
      <c r="G455" s="102" t="s">
        <v>2712</v>
      </c>
      <c r="H455" s="170">
        <v>7278226627</v>
      </c>
      <c r="I455" s="171" t="s">
        <v>2713</v>
      </c>
      <c r="J455" s="170"/>
      <c r="K455" s="170">
        <v>6</v>
      </c>
      <c r="L455" s="170">
        <v>6</v>
      </c>
      <c r="M455" s="170" t="s">
        <v>2714</v>
      </c>
      <c r="N455" s="170" t="s">
        <v>1155</v>
      </c>
      <c r="O455" s="170" t="s">
        <v>2715</v>
      </c>
      <c r="P455" s="170">
        <v>0.3</v>
      </c>
      <c r="Q455" s="170" t="s">
        <v>2716</v>
      </c>
      <c r="R455" s="170" t="s">
        <v>42</v>
      </c>
      <c r="S455" s="170" t="s">
        <v>1201</v>
      </c>
      <c r="T455" s="170"/>
      <c r="U455" s="87" t="s">
        <v>671</v>
      </c>
      <c r="V455" s="126" t="s">
        <v>758</v>
      </c>
      <c r="W455" s="127" t="s">
        <v>741</v>
      </c>
      <c r="X455" s="108">
        <v>45924</v>
      </c>
      <c r="Y455" s="16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  <c r="AJ455" s="87"/>
      <c r="AK455" s="87"/>
      <c r="AL455" s="87"/>
      <c r="AM455" s="87"/>
      <c r="AN455" s="54"/>
      <c r="AO455" s="54"/>
      <c r="AP455" s="54"/>
      <c r="AQ455" s="87"/>
      <c r="AR455" s="87"/>
      <c r="AS455" s="87"/>
      <c r="AT455" s="87"/>
      <c r="AU455" s="87"/>
      <c r="AV455" s="87"/>
      <c r="AW455" s="87"/>
      <c r="AX455" s="87"/>
      <c r="AY455" s="87"/>
      <c r="AZ455" s="87"/>
      <c r="BA455" s="87"/>
      <c r="BB455" s="87"/>
      <c r="BC455" s="87"/>
      <c r="BD455" s="87"/>
      <c r="BE455" s="87"/>
      <c r="BF455" s="87"/>
      <c r="BG455" s="87"/>
      <c r="BH455" s="87"/>
      <c r="BI455" s="87"/>
      <c r="BJ455" s="87"/>
      <c r="BK455" s="87"/>
      <c r="BL455" s="87"/>
      <c r="BM455" s="87"/>
      <c r="BN455" s="87"/>
      <c r="BO455" s="87"/>
      <c r="BP455" s="87"/>
      <c r="BQ455" s="87"/>
      <c r="BR455" s="87"/>
      <c r="BS455" s="87"/>
      <c r="BT455" s="87"/>
      <c r="BU455" s="87"/>
      <c r="BV455" s="87"/>
      <c r="BW455" s="87"/>
      <c r="BX455" s="87"/>
      <c r="BY455" s="87"/>
      <c r="BZ455" s="87"/>
      <c r="CA455" s="87"/>
      <c r="CB455" s="87"/>
      <c r="CC455" s="87"/>
      <c r="CD455" s="87"/>
      <c r="CE455" s="87"/>
      <c r="CF455" s="87"/>
      <c r="CG455" s="87"/>
      <c r="CH455" s="87"/>
      <c r="CI455" s="87"/>
      <c r="CJ455" s="87"/>
      <c r="CK455" s="87"/>
      <c r="CL455" s="87"/>
      <c r="CM455" s="87"/>
      <c r="CN455" s="87"/>
      <c r="CO455" s="87"/>
      <c r="CP455" s="87"/>
      <c r="NM455" s="87"/>
      <c r="NN455" s="135"/>
      <c r="NO455" s="127"/>
      <c r="NP455" s="87"/>
      <c r="NQ455" s="82"/>
      <c r="NR455" s="82"/>
      <c r="NS455" s="102"/>
      <c r="NT455" s="170"/>
      <c r="NU455" s="171"/>
      <c r="NV455" s="170"/>
      <c r="NW455" s="170"/>
      <c r="NX455" s="170"/>
      <c r="NY455" s="170"/>
      <c r="NZ455" s="170"/>
      <c r="OA455" s="170"/>
      <c r="OB455" s="170"/>
      <c r="OC455" s="170"/>
      <c r="OD455" s="170"/>
      <c r="OE455" s="170"/>
      <c r="OF455" s="60"/>
      <c r="OG455" s="87"/>
      <c r="OH455" s="126"/>
      <c r="OI455" s="127"/>
      <c r="OJ455" s="135"/>
      <c r="OK455" s="87"/>
      <c r="OL455" s="167"/>
      <c r="OM455" s="87"/>
      <c r="ON455" s="87"/>
      <c r="OO455" s="87"/>
      <c r="OP455" s="87"/>
      <c r="OQ455" s="87"/>
      <c r="OR455" s="87"/>
      <c r="OS455" s="87"/>
      <c r="OT455" s="87"/>
      <c r="OU455" s="87"/>
      <c r="OV455" s="87"/>
      <c r="OW455" s="87"/>
      <c r="OX455" s="87"/>
      <c r="OY455" s="87"/>
      <c r="OZ455" s="87"/>
      <c r="PA455" s="54"/>
      <c r="PB455" s="54"/>
      <c r="PC455" s="54"/>
      <c r="PD455" s="87"/>
      <c r="PE455" s="87"/>
      <c r="PF455" s="87"/>
      <c r="PG455" s="87"/>
      <c r="PH455" s="87"/>
      <c r="PI455" s="87"/>
      <c r="PJ455" s="87"/>
      <c r="PK455" s="87"/>
      <c r="PL455" s="87"/>
      <c r="PM455" s="87"/>
      <c r="PN455" s="87"/>
      <c r="PO455" s="87"/>
      <c r="PP455" s="87"/>
      <c r="PQ455" s="87"/>
      <c r="PR455" s="87"/>
      <c r="PS455" s="87"/>
      <c r="PT455" s="87"/>
      <c r="PU455" s="87"/>
      <c r="PV455" s="87"/>
      <c r="PW455" s="87"/>
      <c r="PX455" s="87"/>
      <c r="PY455" s="87"/>
      <c r="PZ455" s="87"/>
      <c r="QA455" s="87"/>
      <c r="QB455" s="87"/>
      <c r="QC455" s="87"/>
      <c r="QD455" s="87"/>
      <c r="QE455" s="87"/>
      <c r="QF455" s="87"/>
      <c r="QG455" s="87"/>
      <c r="QH455" s="87"/>
      <c r="QI455" s="87"/>
      <c r="QJ455" s="87"/>
      <c r="QK455" s="87"/>
      <c r="QL455" s="87"/>
      <c r="QM455" s="87"/>
      <c r="QN455" s="87"/>
      <c r="QO455" s="87"/>
      <c r="QP455" s="87"/>
      <c r="QQ455" s="87"/>
      <c r="QR455" s="87"/>
      <c r="QS455" s="87"/>
      <c r="QT455" s="87"/>
      <c r="QU455" s="87"/>
      <c r="QV455" s="87"/>
      <c r="QW455" s="87"/>
      <c r="QX455" s="87"/>
      <c r="QY455" s="87"/>
      <c r="QZ455" s="87"/>
      <c r="RA455" s="87"/>
      <c r="RB455" s="87"/>
      <c r="RC455" s="87"/>
      <c r="RD455" s="87"/>
      <c r="RE455" s="135"/>
      <c r="RF455" s="127"/>
      <c r="RG455" s="87"/>
      <c r="RH455" s="82"/>
      <c r="RI455" s="82"/>
      <c r="RJ455" s="102"/>
      <c r="RK455" s="170"/>
      <c r="RL455" s="171"/>
      <c r="RM455" s="170"/>
      <c r="RN455" s="170"/>
      <c r="RO455" s="170"/>
      <c r="RP455" s="170"/>
      <c r="RQ455" s="170"/>
      <c r="RR455" s="170"/>
      <c r="RS455" s="170"/>
      <c r="RT455" s="170"/>
      <c r="RU455" s="170"/>
      <c r="RV455" s="170"/>
      <c r="RW455" s="87"/>
      <c r="RX455" s="126"/>
      <c r="RY455" s="127"/>
      <c r="RZ455" s="135"/>
      <c r="SA455" s="135"/>
      <c r="SB455" s="167"/>
      <c r="SC455" s="87"/>
      <c r="SD455" s="87"/>
      <c r="SE455" s="87"/>
      <c r="SF455" s="87"/>
      <c r="SG455" s="87"/>
      <c r="SH455" s="87"/>
      <c r="SI455" s="87"/>
      <c r="SJ455" s="87"/>
      <c r="SK455" s="87"/>
      <c r="SL455" s="87"/>
      <c r="SM455" s="87"/>
      <c r="SN455" s="87"/>
      <c r="SO455" s="87"/>
      <c r="SP455" s="87"/>
      <c r="SQ455" s="54"/>
      <c r="SR455" s="54"/>
      <c r="SS455" s="54"/>
      <c r="ST455" s="87"/>
      <c r="SU455" s="87"/>
      <c r="SV455" s="87"/>
      <c r="SW455" s="87"/>
      <c r="SX455" s="87"/>
      <c r="SY455" s="87"/>
      <c r="SZ455" s="87"/>
      <c r="TA455" s="87"/>
      <c r="TB455" s="87"/>
      <c r="TC455" s="87"/>
      <c r="TD455" s="87"/>
      <c r="TE455" s="87"/>
      <c r="TF455" s="87"/>
      <c r="TG455" s="87"/>
      <c r="TH455" s="87"/>
      <c r="TI455" s="87"/>
      <c r="TJ455" s="87"/>
      <c r="TK455" s="87"/>
      <c r="TL455" s="87"/>
      <c r="TM455" s="87"/>
      <c r="TN455" s="87"/>
      <c r="TO455" s="87"/>
      <c r="TP455" s="87"/>
      <c r="TQ455" s="87"/>
      <c r="TR455" s="87"/>
      <c r="TS455" s="87"/>
      <c r="TT455" s="87"/>
      <c r="TU455" s="87"/>
      <c r="TV455" s="87"/>
      <c r="TW455" s="87"/>
      <c r="TX455" s="87"/>
      <c r="TY455" s="87"/>
      <c r="TZ455" s="87"/>
      <c r="UA455" s="87"/>
      <c r="UB455" s="87"/>
      <c r="UC455" s="87"/>
      <c r="UD455" s="87"/>
      <c r="UE455" s="87"/>
      <c r="UF455" s="87"/>
      <c r="UG455" s="87"/>
      <c r="UH455" s="87"/>
      <c r="UI455" s="87"/>
      <c r="UJ455" s="87"/>
      <c r="UK455" s="87"/>
      <c r="UL455" s="87"/>
      <c r="UM455" s="87"/>
      <c r="UN455" s="87"/>
      <c r="UO455" s="87"/>
      <c r="UP455" s="87"/>
      <c r="UQ455" s="87"/>
      <c r="UR455" s="87"/>
      <c r="US455" s="87"/>
      <c r="AFP455" s="87"/>
      <c r="AFQ455" s="135"/>
      <c r="AFR455" s="127"/>
      <c r="AFS455" s="87"/>
      <c r="AFT455" s="82"/>
      <c r="AFU455" s="82"/>
      <c r="AFV455" s="102"/>
      <c r="AFW455" s="170"/>
      <c r="AFX455" s="171"/>
      <c r="AFY455" s="170"/>
      <c r="AFZ455" s="170"/>
      <c r="AGA455" s="170"/>
      <c r="AGB455" s="170"/>
      <c r="AGC455" s="170"/>
      <c r="AGD455" s="170"/>
      <c r="AGE455" s="170"/>
      <c r="AGF455" s="170"/>
      <c r="AGG455" s="170"/>
      <c r="AGH455" s="170"/>
      <c r="AGI455" s="60"/>
      <c r="AGJ455" s="87"/>
      <c r="AGK455" s="126"/>
      <c r="AGL455" s="127"/>
      <c r="AGM455" s="135"/>
      <c r="AGN455" s="87"/>
      <c r="AGO455" s="167"/>
      <c r="AGP455" s="87"/>
      <c r="AGQ455" s="87"/>
      <c r="AGR455" s="87"/>
      <c r="AGS455" s="87"/>
      <c r="AGT455" s="87"/>
      <c r="AGU455" s="87"/>
      <c r="AGV455" s="87"/>
      <c r="AGW455" s="87"/>
      <c r="AGX455" s="87"/>
      <c r="AGY455" s="87"/>
      <c r="AGZ455" s="87"/>
      <c r="AHA455" s="87"/>
      <c r="AHB455" s="87"/>
      <c r="AHC455" s="87"/>
      <c r="AHD455" s="54"/>
      <c r="AHE455" s="54"/>
      <c r="AHF455" s="54"/>
      <c r="AHG455" s="87"/>
      <c r="AHH455" s="87"/>
      <c r="AHI455" s="87"/>
      <c r="AHJ455" s="87"/>
      <c r="AHK455" s="87"/>
      <c r="AHL455" s="87"/>
      <c r="AHM455" s="87"/>
      <c r="AHN455" s="87"/>
      <c r="AHO455" s="87"/>
      <c r="AHP455" s="87"/>
      <c r="AHQ455" s="87"/>
      <c r="AHR455" s="87"/>
      <c r="AHS455" s="87"/>
      <c r="AHT455" s="87"/>
      <c r="AHU455" s="87"/>
      <c r="AHV455" s="87"/>
      <c r="AHW455" s="87"/>
      <c r="AHX455" s="87"/>
      <c r="AHY455" s="87"/>
      <c r="AHZ455" s="87"/>
      <c r="AIA455" s="87"/>
      <c r="AIB455" s="87"/>
      <c r="AIC455" s="87"/>
      <c r="AID455" s="87"/>
      <c r="AIE455" s="87"/>
      <c r="AIF455" s="87"/>
      <c r="AIG455" s="87"/>
      <c r="AIH455" s="87"/>
      <c r="AII455" s="87"/>
      <c r="AIJ455" s="87"/>
      <c r="AIK455" s="87"/>
      <c r="AIL455" s="87"/>
      <c r="AIM455" s="87"/>
      <c r="AIN455" s="87"/>
      <c r="AIO455" s="87"/>
      <c r="AIP455" s="87"/>
      <c r="AIQ455" s="87"/>
      <c r="AIR455" s="87"/>
      <c r="AIS455" s="87"/>
      <c r="AIT455" s="87"/>
      <c r="AIU455" s="87"/>
      <c r="AIV455" s="87"/>
      <c r="AIW455" s="87"/>
      <c r="AIX455" s="87"/>
      <c r="AIY455" s="87"/>
      <c r="AIZ455" s="87"/>
      <c r="AJA455" s="87"/>
      <c r="AJB455" s="87"/>
      <c r="AJC455" s="87"/>
      <c r="AJD455" s="87"/>
      <c r="AJE455" s="87"/>
      <c r="AJF455" s="87"/>
    </row>
    <row r="456" spans="1:942">
      <c r="A456" s="87"/>
      <c r="B456" s="135">
        <v>45923</v>
      </c>
      <c r="C456" s="127">
        <v>45939</v>
      </c>
      <c r="D456" s="87" t="s">
        <v>211</v>
      </c>
      <c r="E456" s="82" t="s">
        <v>219</v>
      </c>
      <c r="F456" s="82" t="s">
        <v>220</v>
      </c>
      <c r="G456" s="102" t="s">
        <v>2717</v>
      </c>
      <c r="H456" s="170" t="s">
        <v>2718</v>
      </c>
      <c r="I456" s="171" t="s">
        <v>2719</v>
      </c>
      <c r="J456" s="170"/>
      <c r="K456" s="170" t="s">
        <v>1415</v>
      </c>
      <c r="L456" s="170" t="s">
        <v>1415</v>
      </c>
      <c r="M456" s="170" t="s">
        <v>2720</v>
      </c>
      <c r="N456" s="170" t="s">
        <v>425</v>
      </c>
      <c r="O456" s="170" t="s">
        <v>2721</v>
      </c>
      <c r="P456" s="170" t="s">
        <v>2722</v>
      </c>
      <c r="Q456" s="170" t="s">
        <v>2723</v>
      </c>
      <c r="R456" s="170" t="s">
        <v>1201</v>
      </c>
      <c r="S456" s="170" t="s">
        <v>1201</v>
      </c>
      <c r="T456" s="170">
        <v>2.2000000000000002</v>
      </c>
      <c r="U456" s="87" t="s">
        <v>353</v>
      </c>
      <c r="V456" s="126" t="s">
        <v>291</v>
      </c>
      <c r="W456" s="127"/>
      <c r="X456" s="155">
        <v>45939</v>
      </c>
      <c r="Y456" s="16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87"/>
      <c r="AK456" s="87"/>
      <c r="AL456" s="87"/>
      <c r="AM456" s="87"/>
      <c r="AN456" s="54"/>
      <c r="AO456" s="54"/>
      <c r="AP456" s="54"/>
      <c r="AQ456" s="87"/>
      <c r="AR456" s="87"/>
      <c r="AS456" s="87"/>
      <c r="AT456" s="87"/>
      <c r="AU456" s="87"/>
      <c r="AV456" s="87"/>
      <c r="AW456" s="87"/>
      <c r="AX456" s="87"/>
      <c r="AY456" s="87"/>
      <c r="AZ456" s="87"/>
      <c r="BA456" s="87"/>
      <c r="BB456" s="87"/>
      <c r="BC456" s="87"/>
      <c r="BD456" s="87"/>
      <c r="BE456" s="87"/>
      <c r="BF456" s="87"/>
      <c r="BG456" s="87"/>
      <c r="BH456" s="87"/>
      <c r="BI456" s="87"/>
      <c r="BJ456" s="87"/>
      <c r="BK456" s="87"/>
      <c r="BL456" s="87"/>
      <c r="BM456" s="87"/>
      <c r="BN456" s="87"/>
      <c r="BO456" s="87"/>
      <c r="BP456" s="87"/>
      <c r="BQ456" s="87"/>
      <c r="BR456" s="87"/>
      <c r="BS456" s="87"/>
      <c r="BT456" s="87"/>
      <c r="BU456" s="87"/>
      <c r="BV456" s="87"/>
      <c r="BW456" s="87"/>
      <c r="BX456" s="87"/>
      <c r="BY456" s="87"/>
      <c r="BZ456" s="87"/>
      <c r="CA456" s="87"/>
      <c r="CB456" s="87"/>
      <c r="CC456" s="87"/>
      <c r="CD456" s="87"/>
      <c r="CE456" s="87"/>
      <c r="CF456" s="87"/>
      <c r="CG456" s="87"/>
      <c r="CH456" s="87"/>
      <c r="CI456" s="87"/>
      <c r="CJ456" s="87"/>
      <c r="CK456" s="87"/>
      <c r="CL456" s="87"/>
      <c r="CM456" s="87"/>
      <c r="CN456" s="87"/>
      <c r="CO456" s="87"/>
      <c r="CP456" s="87"/>
      <c r="NM456" s="87"/>
      <c r="NN456" s="135"/>
      <c r="NO456" s="127"/>
      <c r="NP456" s="87"/>
      <c r="NQ456" s="82"/>
      <c r="NR456" s="82"/>
      <c r="NS456" s="102"/>
      <c r="NT456" s="170"/>
      <c r="NU456" s="171"/>
      <c r="NV456" s="170"/>
      <c r="NW456" s="170"/>
      <c r="NX456" s="170"/>
      <c r="NY456" s="170"/>
      <c r="NZ456" s="170"/>
      <c r="OA456" s="170"/>
      <c r="OB456" s="170"/>
      <c r="OC456" s="170"/>
      <c r="OD456" s="170"/>
      <c r="OE456" s="170"/>
      <c r="OF456" s="60"/>
      <c r="OG456" s="87"/>
      <c r="OH456" s="126"/>
      <c r="OI456" s="127"/>
      <c r="OJ456" s="135"/>
      <c r="OK456" s="87"/>
      <c r="OL456" s="167"/>
      <c r="OM456" s="87"/>
      <c r="ON456" s="87"/>
      <c r="OO456" s="87"/>
      <c r="OP456" s="87"/>
      <c r="OQ456" s="87"/>
      <c r="OR456" s="87"/>
      <c r="OS456" s="87"/>
      <c r="OT456" s="87"/>
      <c r="OU456" s="87"/>
      <c r="OV456" s="87"/>
      <c r="OW456" s="87"/>
      <c r="OX456" s="87"/>
      <c r="OY456" s="87"/>
      <c r="OZ456" s="87"/>
      <c r="PA456" s="54"/>
      <c r="PB456" s="54"/>
      <c r="PC456" s="54"/>
      <c r="PD456" s="87"/>
      <c r="PE456" s="87"/>
      <c r="PF456" s="87"/>
      <c r="PG456" s="87"/>
      <c r="PH456" s="87"/>
      <c r="PI456" s="87"/>
      <c r="PJ456" s="87"/>
      <c r="PK456" s="87"/>
      <c r="PL456" s="87"/>
      <c r="PM456" s="87"/>
      <c r="PN456" s="87"/>
      <c r="PO456" s="87"/>
      <c r="PP456" s="87"/>
      <c r="PQ456" s="87"/>
      <c r="PR456" s="87"/>
      <c r="PS456" s="87"/>
      <c r="PT456" s="87"/>
      <c r="PU456" s="87"/>
      <c r="PV456" s="87"/>
      <c r="PW456" s="87"/>
      <c r="PX456" s="87"/>
      <c r="PY456" s="87"/>
      <c r="PZ456" s="87"/>
      <c r="QA456" s="87"/>
      <c r="QB456" s="87"/>
      <c r="QC456" s="87"/>
      <c r="QD456" s="87"/>
      <c r="QE456" s="87"/>
      <c r="QF456" s="87"/>
      <c r="QG456" s="87"/>
      <c r="QH456" s="87"/>
      <c r="QI456" s="87"/>
      <c r="QJ456" s="87"/>
      <c r="QK456" s="87"/>
      <c r="QL456" s="87"/>
      <c r="QM456" s="87"/>
      <c r="QN456" s="87"/>
      <c r="QO456" s="87"/>
      <c r="QP456" s="87"/>
      <c r="QQ456" s="87"/>
      <c r="QR456" s="87"/>
      <c r="QS456" s="87"/>
      <c r="QT456" s="87"/>
      <c r="QU456" s="87"/>
      <c r="QV456" s="87"/>
      <c r="QW456" s="87"/>
      <c r="QX456" s="87"/>
      <c r="QY456" s="87"/>
      <c r="QZ456" s="87"/>
      <c r="RA456" s="87"/>
      <c r="RB456" s="87"/>
      <c r="RC456" s="87"/>
      <c r="RD456" s="87"/>
      <c r="RE456" s="135"/>
      <c r="RF456" s="127"/>
      <c r="RG456" s="87"/>
      <c r="RH456" s="82"/>
      <c r="RI456" s="82"/>
      <c r="RJ456" s="102"/>
      <c r="RK456" s="170"/>
      <c r="RL456" s="171"/>
      <c r="RM456" s="170"/>
      <c r="RN456" s="170"/>
      <c r="RO456" s="170"/>
      <c r="RP456" s="170"/>
      <c r="RQ456" s="170"/>
      <c r="RR456" s="170"/>
      <c r="RS456" s="170"/>
      <c r="RT456" s="170"/>
      <c r="RU456" s="170"/>
      <c r="RV456" s="170"/>
      <c r="RW456" s="87"/>
      <c r="RX456" s="126"/>
      <c r="RY456" s="127"/>
      <c r="RZ456" s="135"/>
      <c r="SA456" s="135"/>
      <c r="SB456" s="167"/>
      <c r="SC456" s="87"/>
      <c r="SD456" s="87"/>
      <c r="SE456" s="87"/>
      <c r="SF456" s="87"/>
      <c r="SG456" s="87"/>
      <c r="SH456" s="87"/>
      <c r="SI456" s="87"/>
      <c r="SJ456" s="87"/>
      <c r="SK456" s="87"/>
      <c r="SL456" s="87"/>
      <c r="SM456" s="87"/>
      <c r="SN456" s="87"/>
      <c r="SO456" s="87"/>
      <c r="SP456" s="87"/>
      <c r="SQ456" s="54"/>
      <c r="SR456" s="54"/>
      <c r="SS456" s="54"/>
      <c r="ST456" s="87"/>
      <c r="SU456" s="87"/>
      <c r="SV456" s="87"/>
      <c r="SW456" s="87"/>
      <c r="SX456" s="87"/>
      <c r="SY456" s="87"/>
      <c r="SZ456" s="87"/>
      <c r="TA456" s="87"/>
      <c r="TB456" s="87"/>
      <c r="TC456" s="87"/>
      <c r="TD456" s="87"/>
      <c r="TE456" s="87"/>
      <c r="TF456" s="87"/>
      <c r="TG456" s="87"/>
      <c r="TH456" s="87"/>
      <c r="TI456" s="87"/>
      <c r="TJ456" s="87"/>
      <c r="TK456" s="87"/>
      <c r="TL456" s="87"/>
      <c r="TM456" s="87"/>
      <c r="TN456" s="87"/>
      <c r="TO456" s="87"/>
      <c r="TP456" s="87"/>
      <c r="TQ456" s="87"/>
      <c r="TR456" s="87"/>
      <c r="TS456" s="87"/>
      <c r="TT456" s="87"/>
      <c r="TU456" s="87"/>
      <c r="TV456" s="87"/>
      <c r="TW456" s="87"/>
      <c r="TX456" s="87"/>
      <c r="TY456" s="87"/>
      <c r="TZ456" s="87"/>
      <c r="UA456" s="87"/>
      <c r="UB456" s="87"/>
      <c r="UC456" s="87"/>
      <c r="UD456" s="87"/>
      <c r="UE456" s="87"/>
      <c r="UF456" s="87"/>
      <c r="UG456" s="87"/>
      <c r="UH456" s="87"/>
      <c r="UI456" s="87"/>
      <c r="UJ456" s="87"/>
      <c r="UK456" s="87"/>
      <c r="UL456" s="87"/>
      <c r="UM456" s="87"/>
      <c r="UN456" s="87"/>
      <c r="UO456" s="87"/>
      <c r="UP456" s="87"/>
      <c r="UQ456" s="87"/>
      <c r="UR456" s="87"/>
      <c r="US456" s="87"/>
      <c r="AFP456" s="87"/>
      <c r="AFQ456" s="135"/>
      <c r="AFR456" s="127"/>
      <c r="AFS456" s="87"/>
      <c r="AFT456" s="82"/>
      <c r="AFU456" s="82"/>
      <c r="AFV456" s="102"/>
      <c r="AFW456" s="170"/>
      <c r="AFX456" s="171"/>
      <c r="AFY456" s="170"/>
      <c r="AFZ456" s="170"/>
      <c r="AGA456" s="170"/>
      <c r="AGB456" s="170"/>
      <c r="AGC456" s="170"/>
      <c r="AGD456" s="170"/>
      <c r="AGE456" s="170"/>
      <c r="AGF456" s="170"/>
      <c r="AGG456" s="170"/>
      <c r="AGH456" s="170"/>
      <c r="AGI456" s="60"/>
      <c r="AGJ456" s="87"/>
      <c r="AGK456" s="126"/>
      <c r="AGL456" s="127"/>
      <c r="AGM456" s="135"/>
      <c r="AGN456" s="87"/>
      <c r="AGO456" s="167"/>
      <c r="AGP456" s="87"/>
      <c r="AGQ456" s="87"/>
      <c r="AGR456" s="87"/>
      <c r="AGS456" s="87"/>
      <c r="AGT456" s="87"/>
      <c r="AGU456" s="87"/>
      <c r="AGV456" s="87"/>
      <c r="AGW456" s="87"/>
      <c r="AGX456" s="87"/>
      <c r="AGY456" s="87"/>
      <c r="AGZ456" s="87"/>
      <c r="AHA456" s="87"/>
      <c r="AHB456" s="87"/>
      <c r="AHC456" s="87"/>
      <c r="AHD456" s="54"/>
      <c r="AHE456" s="54"/>
      <c r="AHF456" s="54"/>
      <c r="AHG456" s="87"/>
      <c r="AHH456" s="87"/>
      <c r="AHI456" s="87"/>
      <c r="AHJ456" s="87"/>
      <c r="AHK456" s="87"/>
      <c r="AHL456" s="87"/>
      <c r="AHM456" s="87"/>
      <c r="AHN456" s="87"/>
      <c r="AHO456" s="87"/>
      <c r="AHP456" s="87"/>
      <c r="AHQ456" s="87"/>
      <c r="AHR456" s="87"/>
      <c r="AHS456" s="87"/>
      <c r="AHT456" s="87"/>
      <c r="AHU456" s="87"/>
      <c r="AHV456" s="87"/>
      <c r="AHW456" s="87"/>
      <c r="AHX456" s="87"/>
      <c r="AHY456" s="87"/>
      <c r="AHZ456" s="87"/>
      <c r="AIA456" s="87"/>
      <c r="AIB456" s="87"/>
      <c r="AIC456" s="87"/>
      <c r="AID456" s="87"/>
      <c r="AIE456" s="87"/>
      <c r="AIF456" s="87"/>
      <c r="AIG456" s="87"/>
      <c r="AIH456" s="87"/>
      <c r="AII456" s="87"/>
      <c r="AIJ456" s="87"/>
      <c r="AIK456" s="87"/>
      <c r="AIL456" s="87"/>
      <c r="AIM456" s="87"/>
      <c r="AIN456" s="87"/>
      <c r="AIO456" s="87"/>
      <c r="AIP456" s="87"/>
      <c r="AIQ456" s="87"/>
      <c r="AIR456" s="87"/>
      <c r="AIS456" s="87"/>
      <c r="AIT456" s="87"/>
      <c r="AIU456" s="87"/>
      <c r="AIV456" s="87"/>
      <c r="AIW456" s="87"/>
      <c r="AIX456" s="87"/>
      <c r="AIY456" s="87"/>
      <c r="AIZ456" s="87"/>
      <c r="AJA456" s="87"/>
      <c r="AJB456" s="87"/>
      <c r="AJC456" s="87"/>
      <c r="AJD456" s="87"/>
      <c r="AJE456" s="87"/>
      <c r="AJF456" s="87"/>
    </row>
    <row r="457" spans="1:942">
      <c r="A457" s="87"/>
      <c r="B457" s="135">
        <v>45923</v>
      </c>
      <c r="C457" s="127">
        <v>45939</v>
      </c>
      <c r="D457" s="87" t="s">
        <v>211</v>
      </c>
      <c r="E457" s="82" t="s">
        <v>219</v>
      </c>
      <c r="F457" s="82" t="s">
        <v>220</v>
      </c>
      <c r="G457" s="102" t="s">
        <v>2724</v>
      </c>
      <c r="H457" s="170" t="s">
        <v>2725</v>
      </c>
      <c r="I457" s="171" t="s">
        <v>2726</v>
      </c>
      <c r="J457" s="170"/>
      <c r="K457" s="170" t="s">
        <v>1586</v>
      </c>
      <c r="L457" s="170" t="s">
        <v>1586</v>
      </c>
      <c r="M457" s="170" t="s">
        <v>2727</v>
      </c>
      <c r="N457" s="170" t="s">
        <v>425</v>
      </c>
      <c r="O457" s="170" t="s">
        <v>2728</v>
      </c>
      <c r="P457" s="170" t="s">
        <v>2729</v>
      </c>
      <c r="Q457" s="170" t="s">
        <v>2730</v>
      </c>
      <c r="R457" s="170" t="s">
        <v>2731</v>
      </c>
      <c r="S457" s="170" t="s">
        <v>1201</v>
      </c>
      <c r="T457" s="170">
        <v>4.4000000000000004</v>
      </c>
      <c r="U457" s="87" t="s">
        <v>353</v>
      </c>
      <c r="V457" s="126" t="s">
        <v>291</v>
      </c>
      <c r="W457" s="127"/>
      <c r="X457" s="155">
        <v>45939</v>
      </c>
      <c r="Y457" s="16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87"/>
      <c r="AK457" s="87"/>
      <c r="AL457" s="87"/>
      <c r="AM457" s="87"/>
      <c r="AN457" s="54"/>
      <c r="AO457" s="54"/>
      <c r="AP457" s="54"/>
      <c r="AQ457" s="87"/>
      <c r="AR457" s="87"/>
      <c r="AS457" s="87"/>
      <c r="AT457" s="87"/>
      <c r="AU457" s="87"/>
      <c r="AV457" s="87"/>
      <c r="AW457" s="87"/>
      <c r="AX457" s="87"/>
      <c r="AY457" s="87"/>
      <c r="AZ457" s="87"/>
      <c r="BA457" s="87"/>
      <c r="BB457" s="87"/>
      <c r="BC457" s="87"/>
      <c r="BD457" s="87"/>
      <c r="BE457" s="87"/>
      <c r="BF457" s="87"/>
      <c r="BG457" s="87"/>
      <c r="BH457" s="87"/>
      <c r="BI457" s="87"/>
      <c r="BJ457" s="87"/>
      <c r="BK457" s="87"/>
      <c r="BL457" s="87"/>
      <c r="BM457" s="87"/>
      <c r="BN457" s="87"/>
      <c r="BO457" s="87"/>
      <c r="BP457" s="87"/>
      <c r="BQ457" s="87"/>
      <c r="BR457" s="87"/>
      <c r="BS457" s="87"/>
      <c r="BT457" s="87"/>
      <c r="BU457" s="87"/>
      <c r="BV457" s="87"/>
      <c r="BW457" s="87"/>
      <c r="BX457" s="87"/>
      <c r="BY457" s="87"/>
      <c r="BZ457" s="87"/>
      <c r="CA457" s="87"/>
      <c r="CB457" s="87"/>
      <c r="CC457" s="87"/>
      <c r="CD457" s="87"/>
      <c r="CE457" s="87"/>
      <c r="CF457" s="87"/>
      <c r="CG457" s="87"/>
      <c r="CH457" s="87"/>
      <c r="CI457" s="87"/>
      <c r="CJ457" s="87"/>
      <c r="CK457" s="87"/>
      <c r="CL457" s="87"/>
      <c r="CM457" s="87"/>
      <c r="CN457" s="87"/>
      <c r="CO457" s="87"/>
      <c r="CP457" s="87"/>
      <c r="NM457" s="87"/>
      <c r="NN457" s="135"/>
      <c r="NO457" s="127"/>
      <c r="NP457" s="87"/>
      <c r="NQ457" s="82"/>
      <c r="NR457" s="82"/>
      <c r="NS457" s="102"/>
      <c r="NT457" s="170"/>
      <c r="NU457" s="171"/>
      <c r="NV457" s="170"/>
      <c r="NW457" s="170"/>
      <c r="NX457" s="170"/>
      <c r="NY457" s="170"/>
      <c r="NZ457" s="170"/>
      <c r="OA457" s="170"/>
      <c r="OB457" s="170"/>
      <c r="OC457" s="170"/>
      <c r="OD457" s="170"/>
      <c r="OE457" s="170"/>
      <c r="OF457" s="60"/>
      <c r="OG457" s="87"/>
      <c r="OH457" s="126"/>
      <c r="OI457" s="127"/>
      <c r="OJ457" s="135"/>
      <c r="OK457" s="87"/>
      <c r="OL457" s="167"/>
      <c r="OM457" s="87"/>
      <c r="ON457" s="87"/>
      <c r="OO457" s="87"/>
      <c r="OP457" s="87"/>
      <c r="OQ457" s="87"/>
      <c r="OR457" s="87"/>
      <c r="OS457" s="87"/>
      <c r="OT457" s="87"/>
      <c r="OU457" s="87"/>
      <c r="OV457" s="87"/>
      <c r="OW457" s="87"/>
      <c r="OX457" s="87"/>
      <c r="OY457" s="87"/>
      <c r="OZ457" s="87"/>
      <c r="PA457" s="54"/>
      <c r="PB457" s="54"/>
      <c r="PC457" s="54"/>
      <c r="PD457" s="87"/>
      <c r="PE457" s="87"/>
      <c r="PF457" s="87"/>
      <c r="PG457" s="87"/>
      <c r="PH457" s="87"/>
      <c r="PI457" s="87"/>
      <c r="PJ457" s="87"/>
      <c r="PK457" s="87"/>
      <c r="PL457" s="87"/>
      <c r="PM457" s="87"/>
      <c r="PN457" s="87"/>
      <c r="PO457" s="87"/>
      <c r="PP457" s="87"/>
      <c r="PQ457" s="87"/>
      <c r="PR457" s="87"/>
      <c r="PS457" s="87"/>
      <c r="PT457" s="87"/>
      <c r="PU457" s="87"/>
      <c r="PV457" s="87"/>
      <c r="PW457" s="87"/>
      <c r="PX457" s="87"/>
      <c r="PY457" s="87"/>
      <c r="PZ457" s="87"/>
      <c r="QA457" s="87"/>
      <c r="QB457" s="87"/>
      <c r="QC457" s="87"/>
      <c r="QD457" s="87"/>
      <c r="QE457" s="87"/>
      <c r="QF457" s="87"/>
      <c r="QG457" s="87"/>
      <c r="QH457" s="87"/>
      <c r="QI457" s="87"/>
      <c r="QJ457" s="87"/>
      <c r="QK457" s="87"/>
      <c r="QL457" s="87"/>
      <c r="QM457" s="87"/>
      <c r="QN457" s="87"/>
      <c r="QO457" s="87"/>
      <c r="QP457" s="87"/>
      <c r="QQ457" s="87"/>
      <c r="QR457" s="87"/>
      <c r="QS457" s="87"/>
      <c r="QT457" s="87"/>
      <c r="QU457" s="87"/>
      <c r="QV457" s="87"/>
      <c r="QW457" s="87"/>
      <c r="QX457" s="87"/>
      <c r="QY457" s="87"/>
      <c r="QZ457" s="87"/>
      <c r="RA457" s="87"/>
      <c r="RB457" s="87"/>
      <c r="RC457" s="87"/>
      <c r="RD457" s="87"/>
      <c r="RE457" s="135"/>
      <c r="RF457" s="127"/>
      <c r="RG457" s="87"/>
      <c r="RH457" s="82"/>
      <c r="RI457" s="82"/>
      <c r="RJ457" s="102"/>
      <c r="RK457" s="170"/>
      <c r="RL457" s="171"/>
      <c r="RM457" s="170"/>
      <c r="RN457" s="170"/>
      <c r="RO457" s="170"/>
      <c r="RP457" s="170"/>
      <c r="RQ457" s="170"/>
      <c r="RR457" s="170"/>
      <c r="RS457" s="170"/>
      <c r="RT457" s="170"/>
      <c r="RU457" s="170"/>
      <c r="RV457" s="170"/>
      <c r="RW457" s="87"/>
      <c r="RX457" s="126"/>
      <c r="RY457" s="127"/>
      <c r="RZ457" s="135"/>
      <c r="SA457" s="135"/>
      <c r="SB457" s="167"/>
      <c r="SC457" s="87"/>
      <c r="SD457" s="87"/>
      <c r="SE457" s="87"/>
      <c r="SF457" s="87"/>
      <c r="SG457" s="87"/>
      <c r="SH457" s="87"/>
      <c r="SI457" s="87"/>
      <c r="SJ457" s="87"/>
      <c r="SK457" s="87"/>
      <c r="SL457" s="87"/>
      <c r="SM457" s="87"/>
      <c r="SN457" s="87"/>
      <c r="SO457" s="87"/>
      <c r="SP457" s="87"/>
      <c r="SQ457" s="54"/>
      <c r="SR457" s="54"/>
      <c r="SS457" s="54"/>
      <c r="ST457" s="87"/>
      <c r="SU457" s="87"/>
      <c r="SV457" s="87"/>
      <c r="SW457" s="87"/>
      <c r="SX457" s="87"/>
      <c r="SY457" s="87"/>
      <c r="SZ457" s="87"/>
      <c r="TA457" s="87"/>
      <c r="TB457" s="87"/>
      <c r="TC457" s="87"/>
      <c r="TD457" s="87"/>
      <c r="TE457" s="87"/>
      <c r="TF457" s="87"/>
      <c r="TG457" s="87"/>
      <c r="TH457" s="87"/>
      <c r="TI457" s="87"/>
      <c r="TJ457" s="87"/>
      <c r="TK457" s="87"/>
      <c r="TL457" s="87"/>
      <c r="TM457" s="87"/>
      <c r="TN457" s="87"/>
      <c r="TO457" s="87"/>
      <c r="TP457" s="87"/>
      <c r="TQ457" s="87"/>
      <c r="TR457" s="87"/>
      <c r="TS457" s="87"/>
      <c r="TT457" s="87"/>
      <c r="TU457" s="87"/>
      <c r="TV457" s="87"/>
      <c r="TW457" s="87"/>
      <c r="TX457" s="87"/>
      <c r="TY457" s="87"/>
      <c r="TZ457" s="87"/>
      <c r="UA457" s="87"/>
      <c r="UB457" s="87"/>
      <c r="UC457" s="87"/>
      <c r="UD457" s="87"/>
      <c r="UE457" s="87"/>
      <c r="UF457" s="87"/>
      <c r="UG457" s="87"/>
      <c r="UH457" s="87"/>
      <c r="UI457" s="87"/>
      <c r="UJ457" s="87"/>
      <c r="UK457" s="87"/>
      <c r="UL457" s="87"/>
      <c r="UM457" s="87"/>
      <c r="UN457" s="87"/>
      <c r="UO457" s="87"/>
      <c r="UP457" s="87"/>
      <c r="UQ457" s="87"/>
      <c r="UR457" s="87"/>
      <c r="US457" s="87"/>
      <c r="AFP457" s="87"/>
      <c r="AFQ457" s="135"/>
      <c r="AFR457" s="127"/>
      <c r="AFS457" s="87"/>
      <c r="AFT457" s="82"/>
      <c r="AFU457" s="82"/>
      <c r="AFV457" s="102"/>
      <c r="AFW457" s="170"/>
      <c r="AFX457" s="171"/>
      <c r="AFY457" s="170"/>
      <c r="AFZ457" s="170"/>
      <c r="AGA457" s="170"/>
      <c r="AGB457" s="170"/>
      <c r="AGC457" s="170"/>
      <c r="AGD457" s="170"/>
      <c r="AGE457" s="170"/>
      <c r="AGF457" s="170"/>
      <c r="AGG457" s="170"/>
      <c r="AGH457" s="170"/>
      <c r="AGI457" s="60"/>
      <c r="AGJ457" s="87"/>
      <c r="AGK457" s="126"/>
      <c r="AGL457" s="127"/>
      <c r="AGM457" s="135"/>
      <c r="AGN457" s="87"/>
      <c r="AGO457" s="167"/>
      <c r="AGP457" s="87"/>
      <c r="AGQ457" s="87"/>
      <c r="AGR457" s="87"/>
      <c r="AGS457" s="87"/>
      <c r="AGT457" s="87"/>
      <c r="AGU457" s="87"/>
      <c r="AGV457" s="87"/>
      <c r="AGW457" s="87"/>
      <c r="AGX457" s="87"/>
      <c r="AGY457" s="87"/>
      <c r="AGZ457" s="87"/>
      <c r="AHA457" s="87"/>
      <c r="AHB457" s="87"/>
      <c r="AHC457" s="87"/>
      <c r="AHD457" s="54"/>
      <c r="AHE457" s="54"/>
      <c r="AHF457" s="54"/>
      <c r="AHG457" s="87"/>
      <c r="AHH457" s="87"/>
      <c r="AHI457" s="87"/>
      <c r="AHJ457" s="87"/>
      <c r="AHK457" s="87"/>
      <c r="AHL457" s="87"/>
      <c r="AHM457" s="87"/>
      <c r="AHN457" s="87"/>
      <c r="AHO457" s="87"/>
      <c r="AHP457" s="87"/>
      <c r="AHQ457" s="87"/>
      <c r="AHR457" s="87"/>
      <c r="AHS457" s="87"/>
      <c r="AHT457" s="87"/>
      <c r="AHU457" s="87"/>
      <c r="AHV457" s="87"/>
      <c r="AHW457" s="87"/>
      <c r="AHX457" s="87"/>
      <c r="AHY457" s="87"/>
      <c r="AHZ457" s="87"/>
      <c r="AIA457" s="87"/>
      <c r="AIB457" s="87"/>
      <c r="AIC457" s="87"/>
      <c r="AID457" s="87"/>
      <c r="AIE457" s="87"/>
      <c r="AIF457" s="87"/>
      <c r="AIG457" s="87"/>
      <c r="AIH457" s="87"/>
      <c r="AII457" s="87"/>
      <c r="AIJ457" s="87"/>
      <c r="AIK457" s="87"/>
      <c r="AIL457" s="87"/>
      <c r="AIM457" s="87"/>
      <c r="AIN457" s="87"/>
      <c r="AIO457" s="87"/>
      <c r="AIP457" s="87"/>
      <c r="AIQ457" s="87"/>
      <c r="AIR457" s="87"/>
      <c r="AIS457" s="87"/>
      <c r="AIT457" s="87"/>
      <c r="AIU457" s="87"/>
      <c r="AIV457" s="87"/>
      <c r="AIW457" s="87"/>
      <c r="AIX457" s="87"/>
      <c r="AIY457" s="87"/>
      <c r="AIZ457" s="87"/>
      <c r="AJA457" s="87"/>
      <c r="AJB457" s="87"/>
      <c r="AJC457" s="87"/>
      <c r="AJD457" s="87"/>
      <c r="AJE457" s="87"/>
      <c r="AJF457" s="87"/>
    </row>
    <row r="458" spans="1:942">
      <c r="A458" s="87"/>
      <c r="B458" s="135">
        <v>45923</v>
      </c>
      <c r="C458" s="127">
        <v>45941</v>
      </c>
      <c r="D458" s="87" t="s">
        <v>211</v>
      </c>
      <c r="E458" s="82" t="s">
        <v>219</v>
      </c>
      <c r="F458" s="82" t="s">
        <v>220</v>
      </c>
      <c r="G458" s="102" t="s">
        <v>2732</v>
      </c>
      <c r="H458" s="170">
        <v>9405373555</v>
      </c>
      <c r="I458" s="171" t="s">
        <v>2733</v>
      </c>
      <c r="J458" s="170"/>
      <c r="K458" s="170">
        <v>6</v>
      </c>
      <c r="L458" s="170">
        <v>6</v>
      </c>
      <c r="M458" s="170" t="s">
        <v>2414</v>
      </c>
      <c r="N458" s="170" t="s">
        <v>699</v>
      </c>
      <c r="O458" s="170" t="s">
        <v>1635</v>
      </c>
      <c r="P458" s="170" t="s">
        <v>78</v>
      </c>
      <c r="Q458" s="170" t="s">
        <v>2734</v>
      </c>
      <c r="R458" s="170" t="s">
        <v>1115</v>
      </c>
      <c r="S458" s="170" t="s">
        <v>1201</v>
      </c>
      <c r="T458" s="170"/>
      <c r="U458" s="87" t="s">
        <v>671</v>
      </c>
      <c r="V458" s="126" t="s">
        <v>231</v>
      </c>
      <c r="W458" s="127"/>
      <c r="X458" s="135">
        <v>45962</v>
      </c>
      <c r="Y458" s="167">
        <v>45967</v>
      </c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  <c r="AJ458" s="87"/>
      <c r="AK458" s="87"/>
      <c r="AL458" s="87"/>
      <c r="AM458" s="87"/>
      <c r="AN458" s="54"/>
      <c r="AO458" s="54"/>
      <c r="AP458" s="54"/>
      <c r="AQ458" s="87"/>
      <c r="AR458" s="87"/>
      <c r="AS458" s="87"/>
      <c r="AT458" s="87"/>
      <c r="AU458" s="87"/>
      <c r="AV458" s="87"/>
      <c r="AW458" s="87"/>
      <c r="AX458" s="87"/>
      <c r="AY458" s="87"/>
      <c r="AZ458" s="87"/>
      <c r="BA458" s="87"/>
      <c r="BB458" s="87"/>
      <c r="BC458" s="87"/>
      <c r="BD458" s="87"/>
      <c r="BE458" s="87"/>
      <c r="BF458" s="87"/>
      <c r="BG458" s="87"/>
      <c r="BH458" s="87"/>
      <c r="BI458" s="87"/>
      <c r="BJ458" s="87"/>
      <c r="BK458" s="87"/>
      <c r="BL458" s="87"/>
      <c r="BM458" s="87"/>
      <c r="BN458" s="87"/>
      <c r="BO458" s="87"/>
      <c r="BP458" s="87"/>
      <c r="BQ458" s="87"/>
      <c r="BR458" s="87"/>
      <c r="BS458" s="87"/>
      <c r="BT458" s="87"/>
      <c r="BU458" s="87"/>
      <c r="BV458" s="87"/>
      <c r="BW458" s="87"/>
      <c r="BX458" s="87"/>
      <c r="BY458" s="87"/>
      <c r="BZ458" s="87"/>
      <c r="CA458" s="87"/>
      <c r="CB458" s="87"/>
      <c r="CC458" s="87"/>
      <c r="CD458" s="87"/>
      <c r="CE458" s="87"/>
      <c r="CF458" s="87"/>
      <c r="CG458" s="87"/>
      <c r="CH458" s="87"/>
      <c r="CI458" s="87"/>
      <c r="CJ458" s="87"/>
      <c r="CK458" s="87"/>
      <c r="CL458" s="87"/>
      <c r="CM458" s="87"/>
      <c r="CN458" s="87"/>
      <c r="CO458" s="87"/>
      <c r="CP458" s="87"/>
      <c r="NM458" s="87"/>
      <c r="NN458" s="135"/>
      <c r="NO458" s="127"/>
      <c r="NP458" s="87"/>
      <c r="NQ458" s="82"/>
      <c r="NR458" s="82"/>
      <c r="NS458" s="102"/>
      <c r="NT458" s="170"/>
      <c r="NU458" s="171"/>
      <c r="NV458" s="170"/>
      <c r="NW458" s="170"/>
      <c r="NX458" s="170"/>
      <c r="NY458" s="170"/>
      <c r="NZ458" s="170"/>
      <c r="OA458" s="170"/>
      <c r="OB458" s="170"/>
      <c r="OC458" s="170"/>
      <c r="OD458" s="170"/>
      <c r="OE458" s="170"/>
      <c r="OF458" s="60"/>
      <c r="OG458" s="87"/>
      <c r="OH458" s="126"/>
      <c r="OI458" s="127"/>
      <c r="OJ458" s="135"/>
      <c r="OK458" s="87"/>
      <c r="OL458" s="167"/>
      <c r="OM458" s="87"/>
      <c r="ON458" s="87"/>
      <c r="OO458" s="87"/>
      <c r="OP458" s="87"/>
      <c r="OQ458" s="87"/>
      <c r="OR458" s="87"/>
      <c r="OS458" s="87"/>
      <c r="OT458" s="87"/>
      <c r="OU458" s="87"/>
      <c r="OV458" s="87"/>
      <c r="OW458" s="87"/>
      <c r="OX458" s="87"/>
      <c r="OY458" s="87"/>
      <c r="OZ458" s="87"/>
      <c r="PA458" s="54"/>
      <c r="PB458" s="54"/>
      <c r="PC458" s="54"/>
      <c r="PD458" s="87"/>
      <c r="PE458" s="87"/>
      <c r="PF458" s="87"/>
      <c r="PG458" s="87"/>
      <c r="PH458" s="87"/>
      <c r="PI458" s="87"/>
      <c r="PJ458" s="87"/>
      <c r="PK458" s="87"/>
      <c r="PL458" s="87"/>
      <c r="PM458" s="87"/>
      <c r="PN458" s="87"/>
      <c r="PO458" s="87"/>
      <c r="PP458" s="87"/>
      <c r="PQ458" s="87"/>
      <c r="PR458" s="87"/>
      <c r="PS458" s="87"/>
      <c r="PT458" s="87"/>
      <c r="PU458" s="87"/>
      <c r="PV458" s="87"/>
      <c r="PW458" s="87"/>
      <c r="PX458" s="87"/>
      <c r="PY458" s="87"/>
      <c r="PZ458" s="87"/>
      <c r="QA458" s="87"/>
      <c r="QB458" s="87"/>
      <c r="QC458" s="87"/>
      <c r="QD458" s="87"/>
      <c r="QE458" s="87"/>
      <c r="QF458" s="87"/>
      <c r="QG458" s="87"/>
      <c r="QH458" s="87"/>
      <c r="QI458" s="87"/>
      <c r="QJ458" s="87"/>
      <c r="QK458" s="87"/>
      <c r="QL458" s="87"/>
      <c r="QM458" s="87"/>
      <c r="QN458" s="87"/>
      <c r="QO458" s="87"/>
      <c r="QP458" s="87"/>
      <c r="QQ458" s="87"/>
      <c r="QR458" s="87"/>
      <c r="QS458" s="87"/>
      <c r="QT458" s="87"/>
      <c r="QU458" s="87"/>
      <c r="QV458" s="87"/>
      <c r="QW458" s="87"/>
      <c r="QX458" s="87"/>
      <c r="QY458" s="87"/>
      <c r="QZ458" s="87"/>
      <c r="RA458" s="87"/>
      <c r="RB458" s="87"/>
      <c r="RC458" s="87"/>
      <c r="RD458" s="87"/>
      <c r="RE458" s="135"/>
      <c r="RF458" s="127"/>
      <c r="RG458" s="87"/>
      <c r="RH458" s="82"/>
      <c r="RI458" s="82"/>
      <c r="RJ458" s="102"/>
      <c r="RK458" s="170"/>
      <c r="RL458" s="171"/>
      <c r="RM458" s="170"/>
      <c r="RN458" s="170"/>
      <c r="RO458" s="170"/>
      <c r="RP458" s="170"/>
      <c r="RQ458" s="170"/>
      <c r="RR458" s="170"/>
      <c r="RS458" s="170"/>
      <c r="RT458" s="170"/>
      <c r="RU458" s="170"/>
      <c r="RV458" s="170"/>
      <c r="RW458" s="87"/>
      <c r="RX458" s="126"/>
      <c r="RY458" s="127"/>
      <c r="RZ458" s="135"/>
      <c r="SA458" s="135"/>
      <c r="SB458" s="167"/>
      <c r="SC458" s="87"/>
      <c r="SD458" s="87"/>
      <c r="SE458" s="87"/>
      <c r="SF458" s="87"/>
      <c r="SG458" s="87"/>
      <c r="SH458" s="87"/>
      <c r="SI458" s="87"/>
      <c r="SJ458" s="87"/>
      <c r="SK458" s="87"/>
      <c r="SL458" s="87"/>
      <c r="SM458" s="87"/>
      <c r="SN458" s="87"/>
      <c r="SO458" s="87"/>
      <c r="SP458" s="87"/>
      <c r="SQ458" s="54"/>
      <c r="SR458" s="54"/>
      <c r="SS458" s="54"/>
      <c r="ST458" s="87"/>
      <c r="SU458" s="87"/>
      <c r="SV458" s="87"/>
      <c r="SW458" s="87"/>
      <c r="SX458" s="87"/>
      <c r="SY458" s="87"/>
      <c r="SZ458" s="87"/>
      <c r="TA458" s="87"/>
      <c r="TB458" s="87"/>
      <c r="TC458" s="87"/>
      <c r="TD458" s="87"/>
      <c r="TE458" s="87"/>
      <c r="TF458" s="87"/>
      <c r="TG458" s="87"/>
      <c r="TH458" s="87"/>
      <c r="TI458" s="87"/>
      <c r="TJ458" s="87"/>
      <c r="TK458" s="87"/>
      <c r="TL458" s="87"/>
      <c r="TM458" s="87"/>
      <c r="TN458" s="87"/>
      <c r="TO458" s="87"/>
      <c r="TP458" s="87"/>
      <c r="TQ458" s="87"/>
      <c r="TR458" s="87"/>
      <c r="TS458" s="87"/>
      <c r="TT458" s="87"/>
      <c r="TU458" s="87"/>
      <c r="TV458" s="87"/>
      <c r="TW458" s="87"/>
      <c r="TX458" s="87"/>
      <c r="TY458" s="87"/>
      <c r="TZ458" s="87"/>
      <c r="UA458" s="87"/>
      <c r="UB458" s="87"/>
      <c r="UC458" s="87"/>
      <c r="UD458" s="87"/>
      <c r="UE458" s="87"/>
      <c r="UF458" s="87"/>
      <c r="UG458" s="87"/>
      <c r="UH458" s="87"/>
      <c r="UI458" s="87"/>
      <c r="UJ458" s="87"/>
      <c r="UK458" s="87"/>
      <c r="UL458" s="87"/>
      <c r="UM458" s="87"/>
      <c r="UN458" s="87"/>
      <c r="UO458" s="87"/>
      <c r="UP458" s="87"/>
      <c r="UQ458" s="87"/>
      <c r="UR458" s="87"/>
      <c r="US458" s="87"/>
      <c r="AFP458" s="87"/>
      <c r="AFQ458" s="135"/>
      <c r="AFR458" s="127"/>
      <c r="AFS458" s="87"/>
      <c r="AFT458" s="82"/>
      <c r="AFU458" s="82"/>
      <c r="AFV458" s="102"/>
      <c r="AFW458" s="170"/>
      <c r="AFX458" s="171"/>
      <c r="AFY458" s="170"/>
      <c r="AFZ458" s="170"/>
      <c r="AGA458" s="170"/>
      <c r="AGB458" s="170"/>
      <c r="AGC458" s="170"/>
      <c r="AGD458" s="170"/>
      <c r="AGE458" s="170"/>
      <c r="AGF458" s="170"/>
      <c r="AGG458" s="170"/>
      <c r="AGH458" s="170"/>
      <c r="AGI458" s="60"/>
      <c r="AGJ458" s="87"/>
      <c r="AGK458" s="126"/>
      <c r="AGL458" s="127"/>
      <c r="AGM458" s="135"/>
      <c r="AGN458" s="87"/>
      <c r="AGO458" s="167"/>
      <c r="AGP458" s="87"/>
      <c r="AGQ458" s="87"/>
      <c r="AGR458" s="87"/>
      <c r="AGS458" s="87"/>
      <c r="AGT458" s="87"/>
      <c r="AGU458" s="87"/>
      <c r="AGV458" s="87"/>
      <c r="AGW458" s="87"/>
      <c r="AGX458" s="87"/>
      <c r="AGY458" s="87"/>
      <c r="AGZ458" s="87"/>
      <c r="AHA458" s="87"/>
      <c r="AHB458" s="87"/>
      <c r="AHC458" s="87"/>
      <c r="AHD458" s="54"/>
      <c r="AHE458" s="54"/>
      <c r="AHF458" s="54"/>
      <c r="AHG458" s="87"/>
      <c r="AHH458" s="87"/>
      <c r="AHI458" s="87"/>
      <c r="AHJ458" s="87"/>
      <c r="AHK458" s="87"/>
      <c r="AHL458" s="87"/>
      <c r="AHM458" s="87"/>
      <c r="AHN458" s="87"/>
      <c r="AHO458" s="87"/>
      <c r="AHP458" s="87"/>
      <c r="AHQ458" s="87"/>
      <c r="AHR458" s="87"/>
      <c r="AHS458" s="87"/>
      <c r="AHT458" s="87"/>
      <c r="AHU458" s="87"/>
      <c r="AHV458" s="87"/>
      <c r="AHW458" s="87"/>
      <c r="AHX458" s="87"/>
      <c r="AHY458" s="87"/>
      <c r="AHZ458" s="87"/>
      <c r="AIA458" s="87"/>
      <c r="AIB458" s="87"/>
      <c r="AIC458" s="87"/>
      <c r="AID458" s="87"/>
      <c r="AIE458" s="87"/>
      <c r="AIF458" s="87"/>
      <c r="AIG458" s="87"/>
      <c r="AIH458" s="87"/>
      <c r="AII458" s="87"/>
      <c r="AIJ458" s="87"/>
      <c r="AIK458" s="87"/>
      <c r="AIL458" s="87"/>
      <c r="AIM458" s="87"/>
      <c r="AIN458" s="87"/>
      <c r="AIO458" s="87"/>
      <c r="AIP458" s="87"/>
      <c r="AIQ458" s="87"/>
      <c r="AIR458" s="87"/>
      <c r="AIS458" s="87"/>
      <c r="AIT458" s="87"/>
      <c r="AIU458" s="87"/>
      <c r="AIV458" s="87"/>
      <c r="AIW458" s="87"/>
      <c r="AIX458" s="87"/>
      <c r="AIY458" s="87"/>
      <c r="AIZ458" s="87"/>
      <c r="AJA458" s="87"/>
      <c r="AJB458" s="87"/>
      <c r="AJC458" s="87"/>
      <c r="AJD458" s="87"/>
      <c r="AJE458" s="87"/>
      <c r="AJF458" s="87"/>
    </row>
    <row r="459" spans="1:942">
      <c r="A459" s="87"/>
      <c r="B459" s="135">
        <v>45923</v>
      </c>
      <c r="C459" s="127">
        <v>45941</v>
      </c>
      <c r="D459" s="87" t="s">
        <v>211</v>
      </c>
      <c r="E459" s="82" t="s">
        <v>219</v>
      </c>
      <c r="F459" s="82" t="s">
        <v>220</v>
      </c>
      <c r="G459" s="102" t="s">
        <v>2735</v>
      </c>
      <c r="H459" s="170">
        <v>8691808631</v>
      </c>
      <c r="I459" s="171" t="s">
        <v>2736</v>
      </c>
      <c r="J459" s="170"/>
      <c r="K459" s="170">
        <v>12</v>
      </c>
      <c r="L459" s="170">
        <v>12</v>
      </c>
      <c r="M459" s="170" t="s">
        <v>2737</v>
      </c>
      <c r="N459" s="170" t="s">
        <v>699</v>
      </c>
      <c r="O459" s="170" t="s">
        <v>2738</v>
      </c>
      <c r="P459" s="170" t="s">
        <v>1030</v>
      </c>
      <c r="Q459" s="170" t="s">
        <v>2739</v>
      </c>
      <c r="R459" s="170" t="s">
        <v>2740</v>
      </c>
      <c r="S459" s="170" t="s">
        <v>1201</v>
      </c>
      <c r="T459" s="170"/>
      <c r="U459" s="87" t="s">
        <v>671</v>
      </c>
      <c r="V459" s="126" t="s">
        <v>291</v>
      </c>
      <c r="W459" s="127"/>
      <c r="X459" s="135">
        <v>45962</v>
      </c>
      <c r="Y459" s="16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87"/>
      <c r="AK459" s="87"/>
      <c r="AL459" s="87"/>
      <c r="AM459" s="87"/>
      <c r="AN459" s="54"/>
      <c r="AO459" s="54"/>
      <c r="AP459" s="54"/>
      <c r="AQ459" s="87"/>
      <c r="AR459" s="87"/>
      <c r="AS459" s="87"/>
      <c r="AT459" s="87"/>
      <c r="AU459" s="87"/>
      <c r="AV459" s="87"/>
      <c r="AW459" s="87"/>
      <c r="AX459" s="87"/>
      <c r="AY459" s="87"/>
      <c r="AZ459" s="87"/>
      <c r="BA459" s="87"/>
      <c r="BB459" s="87"/>
      <c r="BC459" s="87"/>
      <c r="BD459" s="87"/>
      <c r="BE459" s="87"/>
      <c r="BF459" s="87"/>
      <c r="BG459" s="87"/>
      <c r="BH459" s="87"/>
      <c r="BI459" s="87"/>
      <c r="BJ459" s="87"/>
      <c r="BK459" s="87"/>
      <c r="BL459" s="87"/>
      <c r="BM459" s="87"/>
      <c r="BN459" s="87"/>
      <c r="BO459" s="87"/>
      <c r="BP459" s="87"/>
      <c r="BQ459" s="87"/>
      <c r="BR459" s="87"/>
      <c r="BS459" s="87"/>
      <c r="BT459" s="87"/>
      <c r="BU459" s="87"/>
      <c r="BV459" s="87"/>
      <c r="BW459" s="87"/>
      <c r="BX459" s="87"/>
      <c r="BY459" s="87"/>
      <c r="BZ459" s="87"/>
      <c r="CA459" s="87"/>
      <c r="CB459" s="87"/>
      <c r="CC459" s="87"/>
      <c r="CD459" s="87"/>
      <c r="CE459" s="87"/>
      <c r="CF459" s="87"/>
      <c r="CG459" s="87"/>
      <c r="CH459" s="87"/>
      <c r="CI459" s="87"/>
      <c r="CJ459" s="87"/>
      <c r="CK459" s="87"/>
      <c r="CL459" s="87"/>
      <c r="CM459" s="87"/>
      <c r="CN459" s="87"/>
      <c r="CO459" s="87"/>
      <c r="CP459" s="87"/>
      <c r="NM459" s="87"/>
      <c r="NN459" s="135"/>
      <c r="NO459" s="127"/>
      <c r="NP459" s="87"/>
      <c r="NQ459" s="82"/>
      <c r="NR459" s="82"/>
      <c r="NS459" s="102"/>
      <c r="NT459" s="170"/>
      <c r="NU459" s="171"/>
      <c r="NV459" s="170"/>
      <c r="NW459" s="170"/>
      <c r="NX459" s="170"/>
      <c r="NY459" s="170"/>
      <c r="NZ459" s="170"/>
      <c r="OA459" s="170"/>
      <c r="OB459" s="170"/>
      <c r="OC459" s="170"/>
      <c r="OD459" s="170"/>
      <c r="OE459" s="170"/>
      <c r="OF459" s="60"/>
      <c r="OG459" s="87"/>
      <c r="OH459" s="126"/>
      <c r="OI459" s="127"/>
      <c r="OJ459" s="135"/>
      <c r="OK459" s="87"/>
      <c r="OL459" s="167"/>
      <c r="OM459" s="87"/>
      <c r="ON459" s="87"/>
      <c r="OO459" s="87"/>
      <c r="OP459" s="87"/>
      <c r="OQ459" s="87"/>
      <c r="OR459" s="87"/>
      <c r="OS459" s="87"/>
      <c r="OT459" s="87"/>
      <c r="OU459" s="87"/>
      <c r="OV459" s="87"/>
      <c r="OW459" s="87"/>
      <c r="OX459" s="87"/>
      <c r="OY459" s="87"/>
      <c r="OZ459" s="87"/>
      <c r="PA459" s="54"/>
      <c r="PB459" s="54"/>
      <c r="PC459" s="54"/>
      <c r="PD459" s="87"/>
      <c r="PE459" s="87"/>
      <c r="PF459" s="87"/>
      <c r="PG459" s="87"/>
      <c r="PH459" s="87"/>
      <c r="PI459" s="87"/>
      <c r="PJ459" s="87"/>
      <c r="PK459" s="87"/>
      <c r="PL459" s="87"/>
      <c r="PM459" s="87"/>
      <c r="PN459" s="87"/>
      <c r="PO459" s="87"/>
      <c r="PP459" s="87"/>
      <c r="PQ459" s="87"/>
      <c r="PR459" s="87"/>
      <c r="PS459" s="87"/>
      <c r="PT459" s="87"/>
      <c r="PU459" s="87"/>
      <c r="PV459" s="87"/>
      <c r="PW459" s="87"/>
      <c r="PX459" s="87"/>
      <c r="PY459" s="87"/>
      <c r="PZ459" s="87"/>
      <c r="QA459" s="87"/>
      <c r="QB459" s="87"/>
      <c r="QC459" s="87"/>
      <c r="QD459" s="87"/>
      <c r="QE459" s="87"/>
      <c r="QF459" s="87"/>
      <c r="QG459" s="87"/>
      <c r="QH459" s="87"/>
      <c r="QI459" s="87"/>
      <c r="QJ459" s="87"/>
      <c r="QK459" s="87"/>
      <c r="QL459" s="87"/>
      <c r="QM459" s="87"/>
      <c r="QN459" s="87"/>
      <c r="QO459" s="87"/>
      <c r="QP459" s="87"/>
      <c r="QQ459" s="87"/>
      <c r="QR459" s="87"/>
      <c r="QS459" s="87"/>
      <c r="QT459" s="87"/>
      <c r="QU459" s="87"/>
      <c r="QV459" s="87"/>
      <c r="QW459" s="87"/>
      <c r="QX459" s="87"/>
      <c r="QY459" s="87"/>
      <c r="QZ459" s="87"/>
      <c r="RA459" s="87"/>
      <c r="RB459" s="87"/>
      <c r="RC459" s="87"/>
      <c r="RD459" s="87"/>
      <c r="RE459" s="135"/>
      <c r="RF459" s="127"/>
      <c r="RG459" s="87"/>
      <c r="RH459" s="82"/>
      <c r="RI459" s="82"/>
      <c r="RJ459" s="102"/>
      <c r="RK459" s="170"/>
      <c r="RL459" s="171"/>
      <c r="RM459" s="170"/>
      <c r="RN459" s="170"/>
      <c r="RO459" s="170"/>
      <c r="RP459" s="170"/>
      <c r="RQ459" s="170"/>
      <c r="RR459" s="170"/>
      <c r="RS459" s="170"/>
      <c r="RT459" s="170"/>
      <c r="RU459" s="170"/>
      <c r="RV459" s="170"/>
      <c r="RW459" s="87"/>
      <c r="RX459" s="126"/>
      <c r="RY459" s="127"/>
      <c r="RZ459" s="135"/>
      <c r="SA459" s="135"/>
      <c r="SB459" s="167"/>
      <c r="SC459" s="87"/>
      <c r="SD459" s="87"/>
      <c r="SE459" s="87"/>
      <c r="SF459" s="87"/>
      <c r="SG459" s="87"/>
      <c r="SH459" s="87"/>
      <c r="SI459" s="87"/>
      <c r="SJ459" s="87"/>
      <c r="SK459" s="87"/>
      <c r="SL459" s="87"/>
      <c r="SM459" s="87"/>
      <c r="SN459" s="87"/>
      <c r="SO459" s="87"/>
      <c r="SP459" s="87"/>
      <c r="SQ459" s="54"/>
      <c r="SR459" s="54"/>
      <c r="SS459" s="54"/>
      <c r="ST459" s="87"/>
      <c r="SU459" s="87"/>
      <c r="SV459" s="87"/>
      <c r="SW459" s="87"/>
      <c r="SX459" s="87"/>
      <c r="SY459" s="87"/>
      <c r="SZ459" s="87"/>
      <c r="TA459" s="87"/>
      <c r="TB459" s="87"/>
      <c r="TC459" s="87"/>
      <c r="TD459" s="87"/>
      <c r="TE459" s="87"/>
      <c r="TF459" s="87"/>
      <c r="TG459" s="87"/>
      <c r="TH459" s="87"/>
      <c r="TI459" s="87"/>
      <c r="TJ459" s="87"/>
      <c r="TK459" s="87"/>
      <c r="TL459" s="87"/>
      <c r="TM459" s="87"/>
      <c r="TN459" s="87"/>
      <c r="TO459" s="87"/>
      <c r="TP459" s="87"/>
      <c r="TQ459" s="87"/>
      <c r="TR459" s="87"/>
      <c r="TS459" s="87"/>
      <c r="TT459" s="87"/>
      <c r="TU459" s="87"/>
      <c r="TV459" s="87"/>
      <c r="TW459" s="87"/>
      <c r="TX459" s="87"/>
      <c r="TY459" s="87"/>
      <c r="TZ459" s="87"/>
      <c r="UA459" s="87"/>
      <c r="UB459" s="87"/>
      <c r="UC459" s="87"/>
      <c r="UD459" s="87"/>
      <c r="UE459" s="87"/>
      <c r="UF459" s="87"/>
      <c r="UG459" s="87"/>
      <c r="UH459" s="87"/>
      <c r="UI459" s="87"/>
      <c r="UJ459" s="87"/>
      <c r="UK459" s="87"/>
      <c r="UL459" s="87"/>
      <c r="UM459" s="87"/>
      <c r="UN459" s="87"/>
      <c r="UO459" s="87"/>
      <c r="UP459" s="87"/>
      <c r="UQ459" s="87"/>
      <c r="UR459" s="87"/>
      <c r="US459" s="87"/>
      <c r="AFP459" s="87"/>
      <c r="AFQ459" s="135"/>
      <c r="AFR459" s="127"/>
      <c r="AFS459" s="87"/>
      <c r="AFT459" s="82"/>
      <c r="AFU459" s="82"/>
      <c r="AFV459" s="102"/>
      <c r="AFW459" s="170"/>
      <c r="AFX459" s="171"/>
      <c r="AFY459" s="170"/>
      <c r="AFZ459" s="170"/>
      <c r="AGA459" s="170"/>
      <c r="AGB459" s="170"/>
      <c r="AGC459" s="170"/>
      <c r="AGD459" s="170"/>
      <c r="AGE459" s="170"/>
      <c r="AGF459" s="170"/>
      <c r="AGG459" s="170"/>
      <c r="AGH459" s="170"/>
      <c r="AGI459" s="60"/>
      <c r="AGJ459" s="87"/>
      <c r="AGK459" s="126"/>
      <c r="AGL459" s="127"/>
      <c r="AGM459" s="135"/>
      <c r="AGN459" s="87"/>
      <c r="AGO459" s="167"/>
      <c r="AGP459" s="87"/>
      <c r="AGQ459" s="87"/>
      <c r="AGR459" s="87"/>
      <c r="AGS459" s="87"/>
      <c r="AGT459" s="87"/>
      <c r="AGU459" s="87"/>
      <c r="AGV459" s="87"/>
      <c r="AGW459" s="87"/>
      <c r="AGX459" s="87"/>
      <c r="AGY459" s="87"/>
      <c r="AGZ459" s="87"/>
      <c r="AHA459" s="87"/>
      <c r="AHB459" s="87"/>
      <c r="AHC459" s="87"/>
      <c r="AHD459" s="54"/>
      <c r="AHE459" s="54"/>
      <c r="AHF459" s="54"/>
      <c r="AHG459" s="87"/>
      <c r="AHH459" s="87"/>
      <c r="AHI459" s="87"/>
      <c r="AHJ459" s="87"/>
      <c r="AHK459" s="87"/>
      <c r="AHL459" s="87"/>
      <c r="AHM459" s="87"/>
      <c r="AHN459" s="87"/>
      <c r="AHO459" s="87"/>
      <c r="AHP459" s="87"/>
      <c r="AHQ459" s="87"/>
      <c r="AHR459" s="87"/>
      <c r="AHS459" s="87"/>
      <c r="AHT459" s="87"/>
      <c r="AHU459" s="87"/>
      <c r="AHV459" s="87"/>
      <c r="AHW459" s="87"/>
      <c r="AHX459" s="87"/>
      <c r="AHY459" s="87"/>
      <c r="AHZ459" s="87"/>
      <c r="AIA459" s="87"/>
      <c r="AIB459" s="87"/>
      <c r="AIC459" s="87"/>
      <c r="AID459" s="87"/>
      <c r="AIE459" s="87"/>
      <c r="AIF459" s="87"/>
      <c r="AIG459" s="87"/>
      <c r="AIH459" s="87"/>
      <c r="AII459" s="87"/>
      <c r="AIJ459" s="87"/>
      <c r="AIK459" s="87"/>
      <c r="AIL459" s="87"/>
      <c r="AIM459" s="87"/>
      <c r="AIN459" s="87"/>
      <c r="AIO459" s="87"/>
      <c r="AIP459" s="87"/>
      <c r="AIQ459" s="87"/>
      <c r="AIR459" s="87"/>
      <c r="AIS459" s="87"/>
      <c r="AIT459" s="87"/>
      <c r="AIU459" s="87"/>
      <c r="AIV459" s="87"/>
      <c r="AIW459" s="87"/>
      <c r="AIX459" s="87"/>
      <c r="AIY459" s="87"/>
      <c r="AIZ459" s="87"/>
      <c r="AJA459" s="87"/>
      <c r="AJB459" s="87"/>
      <c r="AJC459" s="87"/>
      <c r="AJD459" s="87"/>
      <c r="AJE459" s="87"/>
      <c r="AJF459" s="87"/>
    </row>
    <row r="460" spans="1:942">
      <c r="A460" s="87"/>
      <c r="B460" s="135">
        <v>45923</v>
      </c>
      <c r="C460" s="127">
        <v>45973</v>
      </c>
      <c r="D460" s="87" t="s">
        <v>211</v>
      </c>
      <c r="E460" s="82" t="s">
        <v>219</v>
      </c>
      <c r="F460" s="82" t="s">
        <v>220</v>
      </c>
      <c r="G460" s="102" t="s">
        <v>2741</v>
      </c>
      <c r="H460" s="170">
        <v>9930922936</v>
      </c>
      <c r="I460" s="171" t="s">
        <v>2742</v>
      </c>
      <c r="J460" s="170"/>
      <c r="K460" s="170"/>
      <c r="L460" s="170">
        <v>3.5</v>
      </c>
      <c r="M460" s="170" t="s">
        <v>2743</v>
      </c>
      <c r="N460" s="170" t="s">
        <v>699</v>
      </c>
      <c r="O460" s="170" t="s">
        <v>2744</v>
      </c>
      <c r="P460" s="170">
        <v>0.3</v>
      </c>
      <c r="Q460" s="170" t="s">
        <v>2745</v>
      </c>
      <c r="R460" s="170" t="s">
        <v>2746</v>
      </c>
      <c r="S460" s="170" t="s">
        <v>1201</v>
      </c>
      <c r="T460" s="170"/>
      <c r="U460" s="87" t="s">
        <v>671</v>
      </c>
      <c r="V460" s="126" t="s">
        <v>231</v>
      </c>
      <c r="W460" s="127"/>
      <c r="X460" s="135">
        <v>45978</v>
      </c>
      <c r="Y460" s="167">
        <v>45978</v>
      </c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  <c r="AJ460" s="87"/>
      <c r="AK460" s="87"/>
      <c r="AL460" s="87"/>
      <c r="AM460" s="87"/>
      <c r="AN460" s="54"/>
      <c r="AO460" s="54"/>
      <c r="AP460" s="54"/>
      <c r="AQ460" s="87"/>
      <c r="AR460" s="87"/>
      <c r="AS460" s="87"/>
      <c r="AT460" s="87"/>
      <c r="AU460" s="87"/>
      <c r="AV460" s="87"/>
      <c r="AW460" s="87"/>
      <c r="AX460" s="87"/>
      <c r="AY460" s="87"/>
      <c r="AZ460" s="87"/>
      <c r="BA460" s="87"/>
      <c r="BB460" s="87"/>
      <c r="BC460" s="87"/>
      <c r="BD460" s="87"/>
      <c r="BE460" s="87"/>
      <c r="BF460" s="87"/>
      <c r="BG460" s="87"/>
      <c r="BH460" s="87"/>
      <c r="BI460" s="87"/>
      <c r="BJ460" s="87"/>
      <c r="BK460" s="87"/>
      <c r="BL460" s="87"/>
      <c r="BM460" s="87"/>
      <c r="BN460" s="87"/>
      <c r="BO460" s="87"/>
      <c r="BP460" s="87"/>
      <c r="BQ460" s="87"/>
      <c r="BR460" s="87"/>
      <c r="BS460" s="87"/>
      <c r="BT460" s="87"/>
      <c r="BU460" s="87"/>
      <c r="BV460" s="87"/>
      <c r="BW460" s="87"/>
      <c r="BX460" s="87"/>
      <c r="BY460" s="87"/>
      <c r="BZ460" s="87"/>
      <c r="CA460" s="87"/>
      <c r="CB460" s="87"/>
      <c r="CC460" s="87"/>
      <c r="CD460" s="87"/>
      <c r="CE460" s="87"/>
      <c r="CF460" s="87"/>
      <c r="CG460" s="87"/>
      <c r="CH460" s="87"/>
      <c r="CI460" s="87"/>
      <c r="CJ460" s="87"/>
      <c r="CK460" s="87"/>
      <c r="CL460" s="87"/>
      <c r="CM460" s="87"/>
      <c r="CN460" s="87"/>
      <c r="CO460" s="87"/>
      <c r="CP460" s="87"/>
      <c r="NM460" s="87"/>
      <c r="NN460" s="135"/>
      <c r="NO460" s="127"/>
      <c r="NP460" s="87"/>
      <c r="NQ460" s="82"/>
      <c r="NR460" s="82"/>
      <c r="NS460" s="102"/>
      <c r="NT460" s="170"/>
      <c r="NU460" s="171"/>
      <c r="NV460" s="170"/>
      <c r="NW460" s="170"/>
      <c r="NX460" s="170"/>
      <c r="NY460" s="170"/>
      <c r="NZ460" s="170"/>
      <c r="OA460" s="170"/>
      <c r="OB460" s="170"/>
      <c r="OC460" s="170"/>
      <c r="OD460" s="170"/>
      <c r="OE460" s="170"/>
      <c r="OF460" s="60"/>
      <c r="OG460" s="87"/>
      <c r="OH460" s="126"/>
      <c r="OI460" s="127"/>
      <c r="OJ460" s="135"/>
      <c r="OK460" s="87"/>
      <c r="OL460" s="167"/>
      <c r="OM460" s="87"/>
      <c r="ON460" s="87"/>
      <c r="OO460" s="87"/>
      <c r="OP460" s="87"/>
      <c r="OQ460" s="87"/>
      <c r="OR460" s="87"/>
      <c r="OS460" s="87"/>
      <c r="OT460" s="87"/>
      <c r="OU460" s="87"/>
      <c r="OV460" s="87"/>
      <c r="OW460" s="87"/>
      <c r="OX460" s="87"/>
      <c r="OY460" s="87"/>
      <c r="OZ460" s="87"/>
      <c r="PA460" s="54"/>
      <c r="PB460" s="54"/>
      <c r="PC460" s="54"/>
      <c r="PD460" s="87"/>
      <c r="PE460" s="87"/>
      <c r="PF460" s="87"/>
      <c r="PG460" s="87"/>
      <c r="PH460" s="87"/>
      <c r="PI460" s="87"/>
      <c r="PJ460" s="87"/>
      <c r="PK460" s="87"/>
      <c r="PL460" s="87"/>
      <c r="PM460" s="87"/>
      <c r="PN460" s="87"/>
      <c r="PO460" s="87"/>
      <c r="PP460" s="87"/>
      <c r="PQ460" s="87"/>
      <c r="PR460" s="87"/>
      <c r="PS460" s="87"/>
      <c r="PT460" s="87"/>
      <c r="PU460" s="87"/>
      <c r="PV460" s="87"/>
      <c r="PW460" s="87"/>
      <c r="PX460" s="87"/>
      <c r="PY460" s="87"/>
      <c r="PZ460" s="87"/>
      <c r="QA460" s="87"/>
      <c r="QB460" s="87"/>
      <c r="QC460" s="87"/>
      <c r="QD460" s="87"/>
      <c r="QE460" s="87"/>
      <c r="QF460" s="87"/>
      <c r="QG460" s="87"/>
      <c r="QH460" s="87"/>
      <c r="QI460" s="87"/>
      <c r="QJ460" s="87"/>
      <c r="QK460" s="87"/>
      <c r="QL460" s="87"/>
      <c r="QM460" s="87"/>
      <c r="QN460" s="87"/>
      <c r="QO460" s="87"/>
      <c r="QP460" s="87"/>
      <c r="QQ460" s="87"/>
      <c r="QR460" s="87"/>
      <c r="QS460" s="87"/>
      <c r="QT460" s="87"/>
      <c r="QU460" s="87"/>
      <c r="QV460" s="87"/>
      <c r="QW460" s="87"/>
      <c r="QX460" s="87"/>
      <c r="QY460" s="87"/>
      <c r="QZ460" s="87"/>
      <c r="RA460" s="87"/>
      <c r="RB460" s="87"/>
      <c r="RC460" s="87"/>
      <c r="RD460" s="87"/>
      <c r="RE460" s="135"/>
      <c r="RF460" s="127"/>
      <c r="RG460" s="87"/>
      <c r="RH460" s="82"/>
      <c r="RI460" s="82"/>
      <c r="RJ460" s="102"/>
      <c r="RK460" s="170"/>
      <c r="RL460" s="171"/>
      <c r="RM460" s="170"/>
      <c r="RN460" s="170"/>
      <c r="RO460" s="170"/>
      <c r="RP460" s="170"/>
      <c r="RQ460" s="170"/>
      <c r="RR460" s="170"/>
      <c r="RS460" s="170"/>
      <c r="RT460" s="170"/>
      <c r="RU460" s="170"/>
      <c r="RV460" s="170"/>
      <c r="RW460" s="87"/>
      <c r="RX460" s="126"/>
      <c r="RY460" s="127"/>
      <c r="RZ460" s="135"/>
      <c r="SA460" s="135"/>
      <c r="SB460" s="167"/>
      <c r="SC460" s="87"/>
      <c r="SD460" s="87"/>
      <c r="SE460" s="87"/>
      <c r="SF460" s="87"/>
      <c r="SG460" s="87"/>
      <c r="SH460" s="87"/>
      <c r="SI460" s="87"/>
      <c r="SJ460" s="87"/>
      <c r="SK460" s="87"/>
      <c r="SL460" s="87"/>
      <c r="SM460" s="87"/>
      <c r="SN460" s="87"/>
      <c r="SO460" s="87"/>
      <c r="SP460" s="87"/>
      <c r="SQ460" s="54"/>
      <c r="SR460" s="54"/>
      <c r="SS460" s="54"/>
      <c r="ST460" s="87"/>
      <c r="SU460" s="87"/>
      <c r="SV460" s="87"/>
      <c r="SW460" s="87"/>
      <c r="SX460" s="87"/>
      <c r="SY460" s="87"/>
      <c r="SZ460" s="87"/>
      <c r="TA460" s="87"/>
      <c r="TB460" s="87"/>
      <c r="TC460" s="87"/>
      <c r="TD460" s="87"/>
      <c r="TE460" s="87"/>
      <c r="TF460" s="87"/>
      <c r="TG460" s="87"/>
      <c r="TH460" s="87"/>
      <c r="TI460" s="87"/>
      <c r="TJ460" s="87"/>
      <c r="TK460" s="87"/>
      <c r="TL460" s="87"/>
      <c r="TM460" s="87"/>
      <c r="TN460" s="87"/>
      <c r="TO460" s="87"/>
      <c r="TP460" s="87"/>
      <c r="TQ460" s="87"/>
      <c r="TR460" s="87"/>
      <c r="TS460" s="87"/>
      <c r="TT460" s="87"/>
      <c r="TU460" s="87"/>
      <c r="TV460" s="87"/>
      <c r="TW460" s="87"/>
      <c r="TX460" s="87"/>
      <c r="TY460" s="87"/>
      <c r="TZ460" s="87"/>
      <c r="UA460" s="87"/>
      <c r="UB460" s="87"/>
      <c r="UC460" s="87"/>
      <c r="UD460" s="87"/>
      <c r="UE460" s="87"/>
      <c r="UF460" s="87"/>
      <c r="UG460" s="87"/>
      <c r="UH460" s="87"/>
      <c r="UI460" s="87"/>
      <c r="UJ460" s="87"/>
      <c r="UK460" s="87"/>
      <c r="UL460" s="87"/>
      <c r="UM460" s="87"/>
      <c r="UN460" s="87"/>
      <c r="UO460" s="87"/>
      <c r="UP460" s="87"/>
      <c r="UQ460" s="87"/>
      <c r="UR460" s="87"/>
      <c r="US460" s="87"/>
      <c r="AFP460" s="87"/>
      <c r="AFQ460" s="135"/>
      <c r="AFR460" s="127"/>
      <c r="AFS460" s="87"/>
      <c r="AFT460" s="82"/>
      <c r="AFU460" s="82"/>
      <c r="AFV460" s="102"/>
      <c r="AFW460" s="170"/>
      <c r="AFX460" s="171"/>
      <c r="AFY460" s="170"/>
      <c r="AFZ460" s="170"/>
      <c r="AGA460" s="170"/>
      <c r="AGB460" s="170"/>
      <c r="AGC460" s="170"/>
      <c r="AGD460" s="170"/>
      <c r="AGE460" s="170"/>
      <c r="AGF460" s="170"/>
      <c r="AGG460" s="170"/>
      <c r="AGH460" s="170"/>
      <c r="AGI460" s="60"/>
      <c r="AGJ460" s="87"/>
      <c r="AGK460" s="126"/>
      <c r="AGL460" s="127"/>
      <c r="AGM460" s="135"/>
      <c r="AGN460" s="87"/>
      <c r="AGO460" s="167"/>
      <c r="AGP460" s="87"/>
      <c r="AGQ460" s="87"/>
      <c r="AGR460" s="87"/>
      <c r="AGS460" s="87"/>
      <c r="AGT460" s="87"/>
      <c r="AGU460" s="87"/>
      <c r="AGV460" s="87"/>
      <c r="AGW460" s="87"/>
      <c r="AGX460" s="87"/>
      <c r="AGY460" s="87"/>
      <c r="AGZ460" s="87"/>
      <c r="AHA460" s="87"/>
      <c r="AHB460" s="87"/>
      <c r="AHC460" s="87"/>
      <c r="AHD460" s="54"/>
      <c r="AHE460" s="54"/>
      <c r="AHF460" s="54"/>
      <c r="AHG460" s="87"/>
      <c r="AHH460" s="87"/>
      <c r="AHI460" s="87"/>
      <c r="AHJ460" s="87"/>
      <c r="AHK460" s="87"/>
      <c r="AHL460" s="87"/>
      <c r="AHM460" s="87"/>
      <c r="AHN460" s="87"/>
      <c r="AHO460" s="87"/>
      <c r="AHP460" s="87"/>
      <c r="AHQ460" s="87"/>
      <c r="AHR460" s="87"/>
      <c r="AHS460" s="87"/>
      <c r="AHT460" s="87"/>
      <c r="AHU460" s="87"/>
      <c r="AHV460" s="87"/>
      <c r="AHW460" s="87"/>
      <c r="AHX460" s="87"/>
      <c r="AHY460" s="87"/>
      <c r="AHZ460" s="87"/>
      <c r="AIA460" s="87"/>
      <c r="AIB460" s="87"/>
      <c r="AIC460" s="87"/>
      <c r="AID460" s="87"/>
      <c r="AIE460" s="87"/>
      <c r="AIF460" s="87"/>
      <c r="AIG460" s="87"/>
      <c r="AIH460" s="87"/>
      <c r="AII460" s="87"/>
      <c r="AIJ460" s="87"/>
      <c r="AIK460" s="87"/>
      <c r="AIL460" s="87"/>
      <c r="AIM460" s="87"/>
      <c r="AIN460" s="87"/>
      <c r="AIO460" s="87"/>
      <c r="AIP460" s="87"/>
      <c r="AIQ460" s="87"/>
      <c r="AIR460" s="87"/>
      <c r="AIS460" s="87"/>
      <c r="AIT460" s="87"/>
      <c r="AIU460" s="87"/>
      <c r="AIV460" s="87"/>
      <c r="AIW460" s="87"/>
      <c r="AIX460" s="87"/>
      <c r="AIY460" s="87"/>
      <c r="AIZ460" s="87"/>
      <c r="AJA460" s="87"/>
      <c r="AJB460" s="87"/>
      <c r="AJC460" s="87"/>
      <c r="AJD460" s="87"/>
      <c r="AJE460" s="87"/>
      <c r="AJF460" s="87"/>
    </row>
    <row r="461" spans="1:942">
      <c r="A461" s="87"/>
      <c r="B461" s="135">
        <v>45923</v>
      </c>
      <c r="C461" s="127">
        <v>45973</v>
      </c>
      <c r="D461" s="87" t="s">
        <v>211</v>
      </c>
      <c r="E461" s="82" t="s">
        <v>219</v>
      </c>
      <c r="F461" s="82" t="s">
        <v>220</v>
      </c>
      <c r="G461" s="102" t="s">
        <v>2747</v>
      </c>
      <c r="H461" s="170">
        <v>9172622965</v>
      </c>
      <c r="I461" s="171" t="s">
        <v>2748</v>
      </c>
      <c r="J461" s="170"/>
      <c r="K461" s="170"/>
      <c r="L461" s="170">
        <v>4.5</v>
      </c>
      <c r="M461" s="170" t="s">
        <v>2749</v>
      </c>
      <c r="N461" s="170" t="s">
        <v>1155</v>
      </c>
      <c r="O461" s="170" t="s">
        <v>2750</v>
      </c>
      <c r="P461" s="170">
        <v>0.3</v>
      </c>
      <c r="Q461" s="170" t="s">
        <v>2751</v>
      </c>
      <c r="R461" s="170" t="s">
        <v>228</v>
      </c>
      <c r="S461" s="170" t="s">
        <v>1201</v>
      </c>
      <c r="T461" s="170"/>
      <c r="U461" s="87" t="s">
        <v>671</v>
      </c>
      <c r="V461" s="126" t="s">
        <v>758</v>
      </c>
      <c r="W461" s="127" t="s">
        <v>741</v>
      </c>
      <c r="X461" s="135">
        <v>45978</v>
      </c>
      <c r="Y461" s="167">
        <v>45979</v>
      </c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87"/>
      <c r="AK461" s="87"/>
      <c r="AL461" s="87"/>
      <c r="AM461" s="87"/>
      <c r="AN461" s="54"/>
      <c r="AO461" s="54"/>
      <c r="AP461" s="54"/>
      <c r="AQ461" s="87"/>
      <c r="AR461" s="87"/>
      <c r="AS461" s="87"/>
      <c r="AT461" s="87"/>
      <c r="AU461" s="87"/>
      <c r="AV461" s="87"/>
      <c r="AW461" s="87"/>
      <c r="AX461" s="87"/>
      <c r="AY461" s="87"/>
      <c r="AZ461" s="87"/>
      <c r="BA461" s="87"/>
      <c r="BB461" s="87"/>
      <c r="BC461" s="87"/>
      <c r="BD461" s="87"/>
      <c r="BE461" s="87"/>
      <c r="BF461" s="87"/>
      <c r="BG461" s="87"/>
      <c r="BH461" s="87"/>
      <c r="BI461" s="87"/>
      <c r="BJ461" s="87"/>
      <c r="BK461" s="87"/>
      <c r="BL461" s="87"/>
      <c r="BM461" s="87"/>
      <c r="BN461" s="87"/>
      <c r="BO461" s="87"/>
      <c r="BP461" s="87"/>
      <c r="BQ461" s="87"/>
      <c r="BR461" s="87"/>
      <c r="BS461" s="87"/>
      <c r="BT461" s="87"/>
      <c r="BU461" s="87"/>
      <c r="BV461" s="87"/>
      <c r="BW461" s="87"/>
      <c r="BX461" s="87"/>
      <c r="BY461" s="87"/>
      <c r="BZ461" s="87"/>
      <c r="CA461" s="87"/>
      <c r="CB461" s="87"/>
      <c r="CC461" s="87"/>
      <c r="CD461" s="87"/>
      <c r="CE461" s="87"/>
      <c r="CF461" s="87"/>
      <c r="CG461" s="87"/>
      <c r="CH461" s="87"/>
      <c r="CI461" s="87"/>
      <c r="CJ461" s="87"/>
      <c r="CK461" s="87"/>
      <c r="CL461" s="87"/>
      <c r="CM461" s="87"/>
      <c r="CN461" s="87"/>
      <c r="CO461" s="87"/>
      <c r="CP461" s="87"/>
      <c r="NM461" s="87"/>
      <c r="NN461" s="135"/>
      <c r="NO461" s="127"/>
      <c r="NP461" s="87"/>
      <c r="NQ461" s="82"/>
      <c r="NR461" s="82"/>
      <c r="NS461" s="102"/>
      <c r="NT461" s="170"/>
      <c r="NU461" s="171"/>
      <c r="NV461" s="170"/>
      <c r="NW461" s="170"/>
      <c r="NX461" s="170"/>
      <c r="NY461" s="170"/>
      <c r="NZ461" s="170"/>
      <c r="OA461" s="170"/>
      <c r="OB461" s="170"/>
      <c r="OC461" s="170"/>
      <c r="OD461" s="170"/>
      <c r="OE461" s="170"/>
      <c r="OF461" s="60"/>
      <c r="OG461" s="87"/>
      <c r="OH461" s="126"/>
      <c r="OI461" s="127"/>
      <c r="OJ461" s="135"/>
      <c r="OK461" s="87"/>
      <c r="OL461" s="167"/>
      <c r="OM461" s="87"/>
      <c r="ON461" s="87"/>
      <c r="OO461" s="87"/>
      <c r="OP461" s="87"/>
      <c r="OQ461" s="87"/>
      <c r="OR461" s="87"/>
      <c r="OS461" s="87"/>
      <c r="OT461" s="87"/>
      <c r="OU461" s="87"/>
      <c r="OV461" s="87"/>
      <c r="OW461" s="87"/>
      <c r="OX461" s="87"/>
      <c r="OY461" s="87"/>
      <c r="OZ461" s="87"/>
      <c r="PA461" s="54"/>
      <c r="PB461" s="54"/>
      <c r="PC461" s="54"/>
      <c r="PD461" s="87"/>
      <c r="PE461" s="87"/>
      <c r="PF461" s="87"/>
      <c r="PG461" s="87"/>
      <c r="PH461" s="87"/>
      <c r="PI461" s="87"/>
      <c r="PJ461" s="87"/>
      <c r="PK461" s="87"/>
      <c r="PL461" s="87"/>
      <c r="PM461" s="87"/>
      <c r="PN461" s="87"/>
      <c r="PO461" s="87"/>
      <c r="PP461" s="87"/>
      <c r="PQ461" s="87"/>
      <c r="PR461" s="87"/>
      <c r="PS461" s="87"/>
      <c r="PT461" s="87"/>
      <c r="PU461" s="87"/>
      <c r="PV461" s="87"/>
      <c r="PW461" s="87"/>
      <c r="PX461" s="87"/>
      <c r="PY461" s="87"/>
      <c r="PZ461" s="87"/>
      <c r="QA461" s="87"/>
      <c r="QB461" s="87"/>
      <c r="QC461" s="87"/>
      <c r="QD461" s="87"/>
      <c r="QE461" s="87"/>
      <c r="QF461" s="87"/>
      <c r="QG461" s="87"/>
      <c r="QH461" s="87"/>
      <c r="QI461" s="87"/>
      <c r="QJ461" s="87"/>
      <c r="QK461" s="87"/>
      <c r="QL461" s="87"/>
      <c r="QM461" s="87"/>
      <c r="QN461" s="87"/>
      <c r="QO461" s="87"/>
      <c r="QP461" s="87"/>
      <c r="QQ461" s="87"/>
      <c r="QR461" s="87"/>
      <c r="QS461" s="87"/>
      <c r="QT461" s="87"/>
      <c r="QU461" s="87"/>
      <c r="QV461" s="87"/>
      <c r="QW461" s="87"/>
      <c r="QX461" s="87"/>
      <c r="QY461" s="87"/>
      <c r="QZ461" s="87"/>
      <c r="RA461" s="87"/>
      <c r="RB461" s="87"/>
      <c r="RC461" s="87"/>
      <c r="RD461" s="87"/>
      <c r="RE461" s="135"/>
      <c r="RF461" s="127"/>
      <c r="RG461" s="87"/>
      <c r="RH461" s="82"/>
      <c r="RI461" s="82"/>
      <c r="RJ461" s="102"/>
      <c r="RK461" s="170"/>
      <c r="RL461" s="171"/>
      <c r="RM461" s="170"/>
      <c r="RN461" s="170"/>
      <c r="RO461" s="170"/>
      <c r="RP461" s="170"/>
      <c r="RQ461" s="170"/>
      <c r="RR461" s="170"/>
      <c r="RS461" s="170"/>
      <c r="RT461" s="170"/>
      <c r="RU461" s="170"/>
      <c r="RV461" s="170"/>
      <c r="RW461" s="87"/>
      <c r="RX461" s="126"/>
      <c r="RY461" s="127"/>
      <c r="RZ461" s="135"/>
      <c r="SA461" s="135"/>
      <c r="SB461" s="167"/>
      <c r="SC461" s="87"/>
      <c r="SD461" s="87"/>
      <c r="SE461" s="87"/>
      <c r="SF461" s="87"/>
      <c r="SG461" s="87"/>
      <c r="SH461" s="87"/>
      <c r="SI461" s="87"/>
      <c r="SJ461" s="87"/>
      <c r="SK461" s="87"/>
      <c r="SL461" s="87"/>
      <c r="SM461" s="87"/>
      <c r="SN461" s="87"/>
      <c r="SO461" s="87"/>
      <c r="SP461" s="87"/>
      <c r="SQ461" s="54"/>
      <c r="SR461" s="54"/>
      <c r="SS461" s="54"/>
      <c r="ST461" s="87"/>
      <c r="SU461" s="87"/>
      <c r="SV461" s="87"/>
      <c r="SW461" s="87"/>
      <c r="SX461" s="87"/>
      <c r="SY461" s="87"/>
      <c r="SZ461" s="87"/>
      <c r="TA461" s="87"/>
      <c r="TB461" s="87"/>
      <c r="TC461" s="87"/>
      <c r="TD461" s="87"/>
      <c r="TE461" s="87"/>
      <c r="TF461" s="87"/>
      <c r="TG461" s="87"/>
      <c r="TH461" s="87"/>
      <c r="TI461" s="87"/>
      <c r="TJ461" s="87"/>
      <c r="TK461" s="87"/>
      <c r="TL461" s="87"/>
      <c r="TM461" s="87"/>
      <c r="TN461" s="87"/>
      <c r="TO461" s="87"/>
      <c r="TP461" s="87"/>
      <c r="TQ461" s="87"/>
      <c r="TR461" s="87"/>
      <c r="TS461" s="87"/>
      <c r="TT461" s="87"/>
      <c r="TU461" s="87"/>
      <c r="TV461" s="87"/>
      <c r="TW461" s="87"/>
      <c r="TX461" s="87"/>
      <c r="TY461" s="87"/>
      <c r="TZ461" s="87"/>
      <c r="UA461" s="87"/>
      <c r="UB461" s="87"/>
      <c r="UC461" s="87"/>
      <c r="UD461" s="87"/>
      <c r="UE461" s="87"/>
      <c r="UF461" s="87"/>
      <c r="UG461" s="87"/>
      <c r="UH461" s="87"/>
      <c r="UI461" s="87"/>
      <c r="UJ461" s="87"/>
      <c r="UK461" s="87"/>
      <c r="UL461" s="87"/>
      <c r="UM461" s="87"/>
      <c r="UN461" s="87"/>
      <c r="UO461" s="87"/>
      <c r="UP461" s="87"/>
      <c r="UQ461" s="87"/>
      <c r="UR461" s="87"/>
      <c r="US461" s="87"/>
      <c r="AFP461" s="87"/>
      <c r="AFQ461" s="135"/>
      <c r="AFR461" s="127"/>
      <c r="AFS461" s="87"/>
      <c r="AFT461" s="82"/>
      <c r="AFU461" s="82"/>
      <c r="AFV461" s="102"/>
      <c r="AFW461" s="170"/>
      <c r="AFX461" s="171"/>
      <c r="AFY461" s="170"/>
      <c r="AFZ461" s="170"/>
      <c r="AGA461" s="170"/>
      <c r="AGB461" s="170"/>
      <c r="AGC461" s="170"/>
      <c r="AGD461" s="170"/>
      <c r="AGE461" s="170"/>
      <c r="AGF461" s="170"/>
      <c r="AGG461" s="170"/>
      <c r="AGH461" s="170"/>
      <c r="AGI461" s="60"/>
      <c r="AGJ461" s="87"/>
      <c r="AGK461" s="126"/>
      <c r="AGL461" s="127"/>
      <c r="AGM461" s="135"/>
      <c r="AGN461" s="87"/>
      <c r="AGO461" s="167"/>
      <c r="AGP461" s="87"/>
      <c r="AGQ461" s="87"/>
      <c r="AGR461" s="87"/>
      <c r="AGS461" s="87"/>
      <c r="AGT461" s="87"/>
      <c r="AGU461" s="87"/>
      <c r="AGV461" s="87"/>
      <c r="AGW461" s="87"/>
      <c r="AGX461" s="87"/>
      <c r="AGY461" s="87"/>
      <c r="AGZ461" s="87"/>
      <c r="AHA461" s="87"/>
      <c r="AHB461" s="87"/>
      <c r="AHC461" s="87"/>
      <c r="AHD461" s="54"/>
      <c r="AHE461" s="54"/>
      <c r="AHF461" s="54"/>
      <c r="AHG461" s="87"/>
      <c r="AHH461" s="87"/>
      <c r="AHI461" s="87"/>
      <c r="AHJ461" s="87"/>
      <c r="AHK461" s="87"/>
      <c r="AHL461" s="87"/>
      <c r="AHM461" s="87"/>
      <c r="AHN461" s="87"/>
      <c r="AHO461" s="87"/>
      <c r="AHP461" s="87"/>
      <c r="AHQ461" s="87"/>
      <c r="AHR461" s="87"/>
      <c r="AHS461" s="87"/>
      <c r="AHT461" s="87"/>
      <c r="AHU461" s="87"/>
      <c r="AHV461" s="87"/>
      <c r="AHW461" s="87"/>
      <c r="AHX461" s="87"/>
      <c r="AHY461" s="87"/>
      <c r="AHZ461" s="87"/>
      <c r="AIA461" s="87"/>
      <c r="AIB461" s="87"/>
      <c r="AIC461" s="87"/>
      <c r="AID461" s="87"/>
      <c r="AIE461" s="87"/>
      <c r="AIF461" s="87"/>
      <c r="AIG461" s="87"/>
      <c r="AIH461" s="87"/>
      <c r="AII461" s="87"/>
      <c r="AIJ461" s="87"/>
      <c r="AIK461" s="87"/>
      <c r="AIL461" s="87"/>
      <c r="AIM461" s="87"/>
      <c r="AIN461" s="87"/>
      <c r="AIO461" s="87"/>
      <c r="AIP461" s="87"/>
      <c r="AIQ461" s="87"/>
      <c r="AIR461" s="87"/>
      <c r="AIS461" s="87"/>
      <c r="AIT461" s="87"/>
      <c r="AIU461" s="87"/>
      <c r="AIV461" s="87"/>
      <c r="AIW461" s="87"/>
      <c r="AIX461" s="87"/>
      <c r="AIY461" s="87"/>
      <c r="AIZ461" s="87"/>
      <c r="AJA461" s="87"/>
      <c r="AJB461" s="87"/>
      <c r="AJC461" s="87"/>
      <c r="AJD461" s="87"/>
      <c r="AJE461" s="87"/>
      <c r="AJF461" s="87"/>
    </row>
    <row r="462" spans="1:942">
      <c r="A462" s="87"/>
      <c r="B462" s="135">
        <v>45923</v>
      </c>
      <c r="C462" s="127">
        <v>45973</v>
      </c>
      <c r="D462" s="87" t="s">
        <v>211</v>
      </c>
      <c r="E462" s="82" t="s">
        <v>219</v>
      </c>
      <c r="F462" s="82" t="s">
        <v>220</v>
      </c>
      <c r="G462" s="102" t="s">
        <v>2752</v>
      </c>
      <c r="H462" s="170">
        <v>8766400485</v>
      </c>
      <c r="I462" s="171" t="s">
        <v>2753</v>
      </c>
      <c r="J462" s="170"/>
      <c r="K462" s="170"/>
      <c r="L462" s="170">
        <v>3</v>
      </c>
      <c r="M462" s="170" t="s">
        <v>2749</v>
      </c>
      <c r="N462" s="170" t="s">
        <v>1155</v>
      </c>
      <c r="O462" s="170" t="s">
        <v>676</v>
      </c>
      <c r="P462" s="170">
        <v>0.3</v>
      </c>
      <c r="Q462" s="170" t="s">
        <v>2754</v>
      </c>
      <c r="R462" s="170" t="s">
        <v>228</v>
      </c>
      <c r="S462" s="170" t="s">
        <v>1201</v>
      </c>
      <c r="T462" s="170"/>
      <c r="U462" s="87" t="s">
        <v>671</v>
      </c>
      <c r="V462" s="126" t="s">
        <v>291</v>
      </c>
      <c r="W462" s="127"/>
      <c r="X462" s="135">
        <v>45978</v>
      </c>
      <c r="Y462" s="16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87"/>
      <c r="AK462" s="87"/>
      <c r="AL462" s="87"/>
      <c r="AM462" s="87"/>
      <c r="AN462" s="54"/>
      <c r="AO462" s="54"/>
      <c r="AP462" s="54"/>
      <c r="AQ462" s="87"/>
      <c r="AR462" s="87"/>
      <c r="AS462" s="87"/>
      <c r="AT462" s="87"/>
      <c r="AU462" s="87"/>
      <c r="AV462" s="87"/>
      <c r="AW462" s="87"/>
      <c r="AX462" s="87"/>
      <c r="AY462" s="87"/>
      <c r="AZ462" s="87"/>
      <c r="BA462" s="87"/>
      <c r="BB462" s="87"/>
      <c r="BC462" s="87"/>
      <c r="BD462" s="87"/>
      <c r="BE462" s="87"/>
      <c r="BF462" s="87"/>
      <c r="BG462" s="87"/>
      <c r="BH462" s="87"/>
      <c r="BI462" s="87"/>
      <c r="BJ462" s="87"/>
      <c r="BK462" s="87"/>
      <c r="BL462" s="87"/>
      <c r="BM462" s="87"/>
      <c r="BN462" s="87"/>
      <c r="BO462" s="87"/>
      <c r="BP462" s="87"/>
      <c r="BQ462" s="87"/>
      <c r="BR462" s="87"/>
      <c r="BS462" s="87"/>
      <c r="BT462" s="87"/>
      <c r="BU462" s="87"/>
      <c r="BV462" s="87"/>
      <c r="BW462" s="87"/>
      <c r="BX462" s="87"/>
      <c r="BY462" s="87"/>
      <c r="BZ462" s="87"/>
      <c r="CA462" s="87"/>
      <c r="CB462" s="87"/>
      <c r="CC462" s="87"/>
      <c r="CD462" s="87"/>
      <c r="CE462" s="87"/>
      <c r="CF462" s="87"/>
      <c r="CG462" s="87"/>
      <c r="CH462" s="87"/>
      <c r="CI462" s="87"/>
      <c r="CJ462" s="87"/>
      <c r="CK462" s="87"/>
      <c r="CL462" s="87"/>
      <c r="CM462" s="87"/>
      <c r="CN462" s="87"/>
      <c r="CO462" s="87"/>
      <c r="CP462" s="87"/>
      <c r="NM462" s="87"/>
      <c r="NN462" s="135"/>
      <c r="NO462" s="127"/>
      <c r="NP462" s="87"/>
      <c r="NQ462" s="82"/>
      <c r="NR462" s="82"/>
      <c r="NS462" s="102"/>
      <c r="NT462" s="170"/>
      <c r="NU462" s="171"/>
      <c r="NV462" s="170"/>
      <c r="NW462" s="170"/>
      <c r="NX462" s="170"/>
      <c r="NY462" s="170"/>
      <c r="NZ462" s="170"/>
      <c r="OA462" s="170"/>
      <c r="OB462" s="170"/>
      <c r="OC462" s="170"/>
      <c r="OD462" s="170"/>
      <c r="OE462" s="170"/>
      <c r="OF462" s="60"/>
      <c r="OG462" s="87"/>
      <c r="OH462" s="126"/>
      <c r="OI462" s="127"/>
      <c r="OJ462" s="135"/>
      <c r="OK462" s="87"/>
      <c r="OL462" s="167"/>
      <c r="OM462" s="87"/>
      <c r="ON462" s="87"/>
      <c r="OO462" s="87"/>
      <c r="OP462" s="87"/>
      <c r="OQ462" s="87"/>
      <c r="OR462" s="87"/>
      <c r="OS462" s="87"/>
      <c r="OT462" s="87"/>
      <c r="OU462" s="87"/>
      <c r="OV462" s="87"/>
      <c r="OW462" s="87"/>
      <c r="OX462" s="87"/>
      <c r="OY462" s="87"/>
      <c r="OZ462" s="87"/>
      <c r="PA462" s="54"/>
      <c r="PB462" s="54"/>
      <c r="PC462" s="54"/>
      <c r="PD462" s="87"/>
      <c r="PE462" s="87"/>
      <c r="PF462" s="87"/>
      <c r="PG462" s="87"/>
      <c r="PH462" s="87"/>
      <c r="PI462" s="87"/>
      <c r="PJ462" s="87"/>
      <c r="PK462" s="87"/>
      <c r="PL462" s="87"/>
      <c r="PM462" s="87"/>
      <c r="PN462" s="87"/>
      <c r="PO462" s="87"/>
      <c r="PP462" s="87"/>
      <c r="PQ462" s="87"/>
      <c r="PR462" s="87"/>
      <c r="PS462" s="87"/>
      <c r="PT462" s="87"/>
      <c r="PU462" s="87"/>
      <c r="PV462" s="87"/>
      <c r="PW462" s="87"/>
      <c r="PX462" s="87"/>
      <c r="PY462" s="87"/>
      <c r="PZ462" s="87"/>
      <c r="QA462" s="87"/>
      <c r="QB462" s="87"/>
      <c r="QC462" s="87"/>
      <c r="QD462" s="87"/>
      <c r="QE462" s="87"/>
      <c r="QF462" s="87"/>
      <c r="QG462" s="87"/>
      <c r="QH462" s="87"/>
      <c r="QI462" s="87"/>
      <c r="QJ462" s="87"/>
      <c r="QK462" s="87"/>
      <c r="QL462" s="87"/>
      <c r="QM462" s="87"/>
      <c r="QN462" s="87"/>
      <c r="QO462" s="87"/>
      <c r="QP462" s="87"/>
      <c r="QQ462" s="87"/>
      <c r="QR462" s="87"/>
      <c r="QS462" s="87"/>
      <c r="QT462" s="87"/>
      <c r="QU462" s="87"/>
      <c r="QV462" s="87"/>
      <c r="QW462" s="87"/>
      <c r="QX462" s="87"/>
      <c r="QY462" s="87"/>
      <c r="QZ462" s="87"/>
      <c r="RA462" s="87"/>
      <c r="RB462" s="87"/>
      <c r="RC462" s="87"/>
      <c r="RD462" s="87"/>
      <c r="RE462" s="135"/>
      <c r="RF462" s="127"/>
      <c r="RG462" s="87"/>
      <c r="RH462" s="82"/>
      <c r="RI462" s="82"/>
      <c r="RJ462" s="102"/>
      <c r="RK462" s="170"/>
      <c r="RL462" s="171"/>
      <c r="RM462" s="170"/>
      <c r="RN462" s="170"/>
      <c r="RO462" s="170"/>
      <c r="RP462" s="170"/>
      <c r="RQ462" s="170"/>
      <c r="RR462" s="170"/>
      <c r="RS462" s="170"/>
      <c r="RT462" s="170"/>
      <c r="RU462" s="170"/>
      <c r="RV462" s="170"/>
      <c r="RW462" s="87"/>
      <c r="RX462" s="126"/>
      <c r="RY462" s="127"/>
      <c r="RZ462" s="135"/>
      <c r="SA462" s="135"/>
      <c r="SB462" s="167"/>
      <c r="SC462" s="87"/>
      <c r="SD462" s="87"/>
      <c r="SE462" s="87"/>
      <c r="SF462" s="87"/>
      <c r="SG462" s="87"/>
      <c r="SH462" s="87"/>
      <c r="SI462" s="87"/>
      <c r="SJ462" s="87"/>
      <c r="SK462" s="87"/>
      <c r="SL462" s="87"/>
      <c r="SM462" s="87"/>
      <c r="SN462" s="87"/>
      <c r="SO462" s="87"/>
      <c r="SP462" s="87"/>
      <c r="SQ462" s="54"/>
      <c r="SR462" s="54"/>
      <c r="SS462" s="54"/>
      <c r="ST462" s="87"/>
      <c r="SU462" s="87"/>
      <c r="SV462" s="87"/>
      <c r="SW462" s="87"/>
      <c r="SX462" s="87"/>
      <c r="SY462" s="87"/>
      <c r="SZ462" s="87"/>
      <c r="TA462" s="87"/>
      <c r="TB462" s="87"/>
      <c r="TC462" s="87"/>
      <c r="TD462" s="87"/>
      <c r="TE462" s="87"/>
      <c r="TF462" s="87"/>
      <c r="TG462" s="87"/>
      <c r="TH462" s="87"/>
      <c r="TI462" s="87"/>
      <c r="TJ462" s="87"/>
      <c r="TK462" s="87"/>
      <c r="TL462" s="87"/>
      <c r="TM462" s="87"/>
      <c r="TN462" s="87"/>
      <c r="TO462" s="87"/>
      <c r="TP462" s="87"/>
      <c r="TQ462" s="87"/>
      <c r="TR462" s="87"/>
      <c r="TS462" s="87"/>
      <c r="TT462" s="87"/>
      <c r="TU462" s="87"/>
      <c r="TV462" s="87"/>
      <c r="TW462" s="87"/>
      <c r="TX462" s="87"/>
      <c r="TY462" s="87"/>
      <c r="TZ462" s="87"/>
      <c r="UA462" s="87"/>
      <c r="UB462" s="87"/>
      <c r="UC462" s="87"/>
      <c r="UD462" s="87"/>
      <c r="UE462" s="87"/>
      <c r="UF462" s="87"/>
      <c r="UG462" s="87"/>
      <c r="UH462" s="87"/>
      <c r="UI462" s="87"/>
      <c r="UJ462" s="87"/>
      <c r="UK462" s="87"/>
      <c r="UL462" s="87"/>
      <c r="UM462" s="87"/>
      <c r="UN462" s="87"/>
      <c r="UO462" s="87"/>
      <c r="UP462" s="87"/>
      <c r="UQ462" s="87"/>
      <c r="UR462" s="87"/>
      <c r="US462" s="87"/>
      <c r="AFP462" s="87"/>
      <c r="AFQ462" s="135"/>
      <c r="AFR462" s="127"/>
      <c r="AFS462" s="87"/>
      <c r="AFT462" s="82"/>
      <c r="AFU462" s="82"/>
      <c r="AFV462" s="102"/>
      <c r="AFW462" s="170"/>
      <c r="AFX462" s="171"/>
      <c r="AFY462" s="170"/>
      <c r="AFZ462" s="170"/>
      <c r="AGA462" s="170"/>
      <c r="AGB462" s="170"/>
      <c r="AGC462" s="170"/>
      <c r="AGD462" s="170"/>
      <c r="AGE462" s="170"/>
      <c r="AGF462" s="170"/>
      <c r="AGG462" s="170"/>
      <c r="AGH462" s="170"/>
      <c r="AGI462" s="60"/>
      <c r="AGJ462" s="87"/>
      <c r="AGK462" s="126"/>
      <c r="AGL462" s="127"/>
      <c r="AGM462" s="135"/>
      <c r="AGN462" s="87"/>
      <c r="AGO462" s="167"/>
      <c r="AGP462" s="87"/>
      <c r="AGQ462" s="87"/>
      <c r="AGR462" s="87"/>
      <c r="AGS462" s="87"/>
      <c r="AGT462" s="87"/>
      <c r="AGU462" s="87"/>
      <c r="AGV462" s="87"/>
      <c r="AGW462" s="87"/>
      <c r="AGX462" s="87"/>
      <c r="AGY462" s="87"/>
      <c r="AGZ462" s="87"/>
      <c r="AHA462" s="87"/>
      <c r="AHB462" s="87"/>
      <c r="AHC462" s="87"/>
      <c r="AHD462" s="54"/>
      <c r="AHE462" s="54"/>
      <c r="AHF462" s="54"/>
      <c r="AHG462" s="87"/>
      <c r="AHH462" s="87"/>
      <c r="AHI462" s="87"/>
      <c r="AHJ462" s="87"/>
      <c r="AHK462" s="87"/>
      <c r="AHL462" s="87"/>
      <c r="AHM462" s="87"/>
      <c r="AHN462" s="87"/>
      <c r="AHO462" s="87"/>
      <c r="AHP462" s="87"/>
      <c r="AHQ462" s="87"/>
      <c r="AHR462" s="87"/>
      <c r="AHS462" s="87"/>
      <c r="AHT462" s="87"/>
      <c r="AHU462" s="87"/>
      <c r="AHV462" s="87"/>
      <c r="AHW462" s="87"/>
      <c r="AHX462" s="87"/>
      <c r="AHY462" s="87"/>
      <c r="AHZ462" s="87"/>
      <c r="AIA462" s="87"/>
      <c r="AIB462" s="87"/>
      <c r="AIC462" s="87"/>
      <c r="AID462" s="87"/>
      <c r="AIE462" s="87"/>
      <c r="AIF462" s="87"/>
      <c r="AIG462" s="87"/>
      <c r="AIH462" s="87"/>
      <c r="AII462" s="87"/>
      <c r="AIJ462" s="87"/>
      <c r="AIK462" s="87"/>
      <c r="AIL462" s="87"/>
      <c r="AIM462" s="87"/>
      <c r="AIN462" s="87"/>
      <c r="AIO462" s="87"/>
      <c r="AIP462" s="87"/>
      <c r="AIQ462" s="87"/>
      <c r="AIR462" s="87"/>
      <c r="AIS462" s="87"/>
      <c r="AIT462" s="87"/>
      <c r="AIU462" s="87"/>
      <c r="AIV462" s="87"/>
      <c r="AIW462" s="87"/>
      <c r="AIX462" s="87"/>
      <c r="AIY462" s="87"/>
      <c r="AIZ462" s="87"/>
      <c r="AJA462" s="87"/>
      <c r="AJB462" s="87"/>
      <c r="AJC462" s="87"/>
      <c r="AJD462" s="87"/>
      <c r="AJE462" s="87"/>
      <c r="AJF462" s="87"/>
    </row>
    <row r="463" spans="1:942">
      <c r="A463" s="87"/>
      <c r="B463" s="135">
        <v>45940</v>
      </c>
      <c r="C463" s="127">
        <v>45975</v>
      </c>
      <c r="D463" s="87" t="s">
        <v>216</v>
      </c>
      <c r="E463" s="82" t="s">
        <v>219</v>
      </c>
      <c r="F463" s="82" t="s">
        <v>220</v>
      </c>
      <c r="G463" s="102" t="s">
        <v>2755</v>
      </c>
      <c r="H463" s="170" t="s">
        <v>2756</v>
      </c>
      <c r="I463" s="171" t="s">
        <v>2757</v>
      </c>
      <c r="J463" s="170" t="s">
        <v>1226</v>
      </c>
      <c r="K463" s="170" t="s">
        <v>2758</v>
      </c>
      <c r="L463" s="170" t="s">
        <v>1391</v>
      </c>
      <c r="M463" s="170" t="s">
        <v>2759</v>
      </c>
      <c r="N463" s="170" t="s">
        <v>534</v>
      </c>
      <c r="O463" s="170" t="s">
        <v>2760</v>
      </c>
      <c r="P463" s="170" t="s">
        <v>352</v>
      </c>
      <c r="Q463" s="170" t="s">
        <v>2761</v>
      </c>
      <c r="R463" s="170" t="s">
        <v>68</v>
      </c>
      <c r="S463" s="170" t="s">
        <v>68</v>
      </c>
      <c r="T463" s="170">
        <v>2.11</v>
      </c>
      <c r="U463" s="87" t="s">
        <v>353</v>
      </c>
      <c r="V463" s="126"/>
      <c r="W463" s="127"/>
      <c r="X463" s="135"/>
      <c r="Y463" s="16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  <c r="AJ463" s="87"/>
      <c r="AK463" s="87"/>
      <c r="AL463" s="87"/>
      <c r="AM463" s="87"/>
      <c r="AN463" s="54"/>
      <c r="AO463" s="54"/>
      <c r="AP463" s="54"/>
      <c r="AQ463" s="87"/>
      <c r="AR463" s="87"/>
      <c r="AS463" s="87"/>
      <c r="AT463" s="87"/>
      <c r="AU463" s="87"/>
      <c r="AV463" s="87"/>
      <c r="AW463" s="87"/>
      <c r="AX463" s="87"/>
      <c r="AY463" s="87"/>
      <c r="AZ463" s="87"/>
      <c r="BA463" s="87"/>
      <c r="BB463" s="87"/>
      <c r="BC463" s="87"/>
      <c r="BD463" s="87"/>
      <c r="BE463" s="87"/>
      <c r="BF463" s="87"/>
      <c r="BG463" s="87"/>
      <c r="BH463" s="87"/>
      <c r="BI463" s="87"/>
      <c r="BJ463" s="87"/>
      <c r="BK463" s="87"/>
      <c r="BL463" s="87"/>
      <c r="BM463" s="87"/>
      <c r="BN463" s="87"/>
      <c r="BO463" s="87"/>
      <c r="BP463" s="87"/>
      <c r="BQ463" s="87"/>
      <c r="BR463" s="87"/>
      <c r="BS463" s="87"/>
      <c r="BT463" s="87"/>
      <c r="BU463" s="87"/>
      <c r="BV463" s="87"/>
      <c r="BW463" s="87"/>
      <c r="BX463" s="87"/>
      <c r="BY463" s="87"/>
      <c r="BZ463" s="87"/>
      <c r="CA463" s="87"/>
      <c r="CB463" s="87"/>
      <c r="CC463" s="87"/>
      <c r="CD463" s="87"/>
      <c r="CE463" s="87"/>
      <c r="CF463" s="87"/>
      <c r="CG463" s="87"/>
      <c r="CH463" s="87"/>
      <c r="CI463" s="87"/>
      <c r="CJ463" s="87"/>
      <c r="CK463" s="87"/>
      <c r="CL463" s="87"/>
      <c r="CM463" s="87"/>
      <c r="CN463" s="87"/>
      <c r="CO463" s="87"/>
      <c r="CP463" s="87"/>
      <c r="NM463" s="87"/>
      <c r="NN463" s="135"/>
      <c r="NO463" s="127"/>
      <c r="NP463" s="87"/>
      <c r="NQ463" s="82"/>
      <c r="NR463" s="82"/>
      <c r="NS463" s="102"/>
      <c r="NT463" s="170"/>
      <c r="NU463" s="171"/>
      <c r="NV463" s="170"/>
      <c r="NW463" s="170"/>
      <c r="NX463" s="170"/>
      <c r="NY463" s="170"/>
      <c r="NZ463" s="170"/>
      <c r="OA463" s="170"/>
      <c r="OB463" s="170"/>
      <c r="OC463" s="170"/>
      <c r="OD463" s="170"/>
      <c r="OE463" s="170"/>
      <c r="OF463" s="60"/>
      <c r="OG463" s="87"/>
      <c r="OH463" s="126"/>
      <c r="OI463" s="127"/>
      <c r="OJ463" s="135"/>
      <c r="OK463" s="87"/>
      <c r="OL463" s="167"/>
      <c r="OM463" s="87"/>
      <c r="ON463" s="87"/>
      <c r="OO463" s="87"/>
      <c r="OP463" s="87"/>
      <c r="OQ463" s="87"/>
      <c r="OR463" s="87"/>
      <c r="OS463" s="87"/>
      <c r="OT463" s="87"/>
      <c r="OU463" s="87"/>
      <c r="OV463" s="87"/>
      <c r="OW463" s="87"/>
      <c r="OX463" s="87"/>
      <c r="OY463" s="87"/>
      <c r="OZ463" s="87"/>
      <c r="PA463" s="54"/>
      <c r="PB463" s="54"/>
      <c r="PC463" s="54"/>
      <c r="PD463" s="87"/>
      <c r="PE463" s="87"/>
      <c r="PF463" s="87"/>
      <c r="PG463" s="87"/>
      <c r="PH463" s="87"/>
      <c r="PI463" s="87"/>
      <c r="PJ463" s="87"/>
      <c r="PK463" s="87"/>
      <c r="PL463" s="87"/>
      <c r="PM463" s="87"/>
      <c r="PN463" s="87"/>
      <c r="PO463" s="87"/>
      <c r="PP463" s="87"/>
      <c r="PQ463" s="87"/>
      <c r="PR463" s="87"/>
      <c r="PS463" s="87"/>
      <c r="PT463" s="87"/>
      <c r="PU463" s="87"/>
      <c r="PV463" s="87"/>
      <c r="PW463" s="87"/>
      <c r="PX463" s="87"/>
      <c r="PY463" s="87"/>
      <c r="PZ463" s="87"/>
      <c r="QA463" s="87"/>
      <c r="QB463" s="87"/>
      <c r="QC463" s="87"/>
      <c r="QD463" s="87"/>
      <c r="QE463" s="87"/>
      <c r="QF463" s="87"/>
      <c r="QG463" s="87"/>
      <c r="QH463" s="87"/>
      <c r="QI463" s="87"/>
      <c r="QJ463" s="87"/>
      <c r="QK463" s="87"/>
      <c r="QL463" s="87"/>
      <c r="QM463" s="87"/>
      <c r="QN463" s="87"/>
      <c r="QO463" s="87"/>
      <c r="QP463" s="87"/>
      <c r="QQ463" s="87"/>
      <c r="QR463" s="87"/>
      <c r="QS463" s="87"/>
      <c r="QT463" s="87"/>
      <c r="QU463" s="87"/>
      <c r="QV463" s="87"/>
      <c r="QW463" s="87"/>
      <c r="QX463" s="87"/>
      <c r="QY463" s="87"/>
      <c r="QZ463" s="87"/>
      <c r="RA463" s="87"/>
      <c r="RB463" s="87"/>
      <c r="RC463" s="87"/>
      <c r="RD463" s="87"/>
      <c r="RE463" s="135"/>
      <c r="RF463" s="127"/>
      <c r="RG463" s="87"/>
      <c r="RH463" s="82"/>
      <c r="RI463" s="82"/>
      <c r="RJ463" s="102"/>
      <c r="RK463" s="170"/>
      <c r="RL463" s="171"/>
      <c r="RM463" s="170"/>
      <c r="RN463" s="170"/>
      <c r="RO463" s="170"/>
      <c r="RP463" s="170"/>
      <c r="RQ463" s="170"/>
      <c r="RR463" s="170"/>
      <c r="RS463" s="170"/>
      <c r="RT463" s="170"/>
      <c r="RU463" s="170"/>
      <c r="RV463" s="170"/>
      <c r="RW463" s="87"/>
      <c r="RX463" s="126"/>
      <c r="RY463" s="127"/>
      <c r="RZ463" s="135"/>
      <c r="SA463" s="135"/>
      <c r="SB463" s="167"/>
      <c r="SC463" s="87"/>
      <c r="SD463" s="87"/>
      <c r="SE463" s="87"/>
      <c r="SF463" s="87"/>
      <c r="SG463" s="87"/>
      <c r="SH463" s="87"/>
      <c r="SI463" s="87"/>
      <c r="SJ463" s="87"/>
      <c r="SK463" s="87"/>
      <c r="SL463" s="87"/>
      <c r="SM463" s="87"/>
      <c r="SN463" s="87"/>
      <c r="SO463" s="87"/>
      <c r="SP463" s="87"/>
      <c r="SQ463" s="54"/>
      <c r="SR463" s="54"/>
      <c r="SS463" s="54"/>
      <c r="ST463" s="87"/>
      <c r="SU463" s="87"/>
      <c r="SV463" s="87"/>
      <c r="SW463" s="87"/>
      <c r="SX463" s="87"/>
      <c r="SY463" s="87"/>
      <c r="SZ463" s="87"/>
      <c r="TA463" s="87"/>
      <c r="TB463" s="87"/>
      <c r="TC463" s="87"/>
      <c r="TD463" s="87"/>
      <c r="TE463" s="87"/>
      <c r="TF463" s="87"/>
      <c r="TG463" s="87"/>
      <c r="TH463" s="87"/>
      <c r="TI463" s="87"/>
      <c r="TJ463" s="87"/>
      <c r="TK463" s="87"/>
      <c r="TL463" s="87"/>
      <c r="TM463" s="87"/>
      <c r="TN463" s="87"/>
      <c r="TO463" s="87"/>
      <c r="TP463" s="87"/>
      <c r="TQ463" s="87"/>
      <c r="TR463" s="87"/>
      <c r="TS463" s="87"/>
      <c r="TT463" s="87"/>
      <c r="TU463" s="87"/>
      <c r="TV463" s="87"/>
      <c r="TW463" s="87"/>
      <c r="TX463" s="87"/>
      <c r="TY463" s="87"/>
      <c r="TZ463" s="87"/>
      <c r="UA463" s="87"/>
      <c r="UB463" s="87"/>
      <c r="UC463" s="87"/>
      <c r="UD463" s="87"/>
      <c r="UE463" s="87"/>
      <c r="UF463" s="87"/>
      <c r="UG463" s="87"/>
      <c r="UH463" s="87"/>
      <c r="UI463" s="87"/>
      <c r="UJ463" s="87"/>
      <c r="UK463" s="87"/>
      <c r="UL463" s="87"/>
      <c r="UM463" s="87"/>
      <c r="UN463" s="87"/>
      <c r="UO463" s="87"/>
      <c r="UP463" s="87"/>
      <c r="UQ463" s="87"/>
      <c r="UR463" s="87"/>
      <c r="US463" s="87"/>
      <c r="AFP463" s="87"/>
      <c r="AFQ463" s="135"/>
      <c r="AFR463" s="127"/>
      <c r="AFS463" s="87"/>
      <c r="AFT463" s="82"/>
      <c r="AFU463" s="82"/>
      <c r="AFV463" s="102"/>
      <c r="AFW463" s="170"/>
      <c r="AFX463" s="171"/>
      <c r="AFY463" s="170"/>
      <c r="AFZ463" s="170"/>
      <c r="AGA463" s="170"/>
      <c r="AGB463" s="170"/>
      <c r="AGC463" s="170"/>
      <c r="AGD463" s="170"/>
      <c r="AGE463" s="170"/>
      <c r="AGF463" s="170"/>
      <c r="AGG463" s="170"/>
      <c r="AGH463" s="170"/>
      <c r="AGI463" s="60"/>
      <c r="AGJ463" s="87"/>
      <c r="AGK463" s="126"/>
      <c r="AGL463" s="127"/>
      <c r="AGM463" s="135"/>
      <c r="AGN463" s="87"/>
      <c r="AGO463" s="167"/>
      <c r="AGP463" s="87"/>
      <c r="AGQ463" s="87"/>
      <c r="AGR463" s="87"/>
      <c r="AGS463" s="87"/>
      <c r="AGT463" s="87"/>
      <c r="AGU463" s="87"/>
      <c r="AGV463" s="87"/>
      <c r="AGW463" s="87"/>
      <c r="AGX463" s="87"/>
      <c r="AGY463" s="87"/>
      <c r="AGZ463" s="87"/>
      <c r="AHA463" s="87"/>
      <c r="AHB463" s="87"/>
      <c r="AHC463" s="87"/>
      <c r="AHD463" s="54"/>
      <c r="AHE463" s="54"/>
      <c r="AHF463" s="54"/>
      <c r="AHG463" s="87"/>
      <c r="AHH463" s="87"/>
      <c r="AHI463" s="87"/>
      <c r="AHJ463" s="87"/>
      <c r="AHK463" s="87"/>
      <c r="AHL463" s="87"/>
      <c r="AHM463" s="87"/>
      <c r="AHN463" s="87"/>
      <c r="AHO463" s="87"/>
      <c r="AHP463" s="87"/>
      <c r="AHQ463" s="87"/>
      <c r="AHR463" s="87"/>
      <c r="AHS463" s="87"/>
      <c r="AHT463" s="87"/>
      <c r="AHU463" s="87"/>
      <c r="AHV463" s="87"/>
      <c r="AHW463" s="87"/>
      <c r="AHX463" s="87"/>
      <c r="AHY463" s="87"/>
      <c r="AHZ463" s="87"/>
      <c r="AIA463" s="87"/>
      <c r="AIB463" s="87"/>
      <c r="AIC463" s="87"/>
      <c r="AID463" s="87"/>
      <c r="AIE463" s="87"/>
      <c r="AIF463" s="87"/>
      <c r="AIG463" s="87"/>
      <c r="AIH463" s="87"/>
      <c r="AII463" s="87"/>
      <c r="AIJ463" s="87"/>
      <c r="AIK463" s="87"/>
      <c r="AIL463" s="87"/>
      <c r="AIM463" s="87"/>
      <c r="AIN463" s="87"/>
      <c r="AIO463" s="87"/>
      <c r="AIP463" s="87"/>
      <c r="AIQ463" s="87"/>
      <c r="AIR463" s="87"/>
      <c r="AIS463" s="87"/>
      <c r="AIT463" s="87"/>
      <c r="AIU463" s="87"/>
      <c r="AIV463" s="87"/>
      <c r="AIW463" s="87"/>
      <c r="AIX463" s="87"/>
      <c r="AIY463" s="87"/>
      <c r="AIZ463" s="87"/>
      <c r="AJA463" s="87"/>
      <c r="AJB463" s="87"/>
      <c r="AJC463" s="87"/>
      <c r="AJD463" s="87"/>
      <c r="AJE463" s="87"/>
      <c r="AJF463" s="87"/>
    </row>
    <row r="464" spans="1:942">
      <c r="A464" s="87"/>
      <c r="B464" s="135">
        <v>45940</v>
      </c>
      <c r="C464" s="127">
        <v>45975</v>
      </c>
      <c r="D464" s="87" t="s">
        <v>216</v>
      </c>
      <c r="E464" s="82" t="s">
        <v>219</v>
      </c>
      <c r="F464" s="82" t="s">
        <v>220</v>
      </c>
      <c r="G464" s="102" t="s">
        <v>2762</v>
      </c>
      <c r="H464" s="170">
        <v>8930726407</v>
      </c>
      <c r="I464" s="171" t="s">
        <v>2763</v>
      </c>
      <c r="J464" s="170" t="s">
        <v>1226</v>
      </c>
      <c r="K464" s="170" t="s">
        <v>1586</v>
      </c>
      <c r="L464" s="170" t="s">
        <v>1586</v>
      </c>
      <c r="M464" s="170" t="s">
        <v>2764</v>
      </c>
      <c r="N464" s="170" t="s">
        <v>462</v>
      </c>
      <c r="O464" s="170" t="s">
        <v>2765</v>
      </c>
      <c r="P464" s="170" t="s">
        <v>2671</v>
      </c>
      <c r="Q464" s="170" t="s">
        <v>2766</v>
      </c>
      <c r="R464" s="170" t="s">
        <v>299</v>
      </c>
      <c r="S464" s="170" t="s">
        <v>68</v>
      </c>
      <c r="T464" s="170">
        <v>1.6</v>
      </c>
      <c r="U464" s="87" t="s">
        <v>353</v>
      </c>
      <c r="V464" s="126"/>
      <c r="W464" s="127"/>
      <c r="X464" s="135"/>
      <c r="Y464" s="16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  <c r="AJ464" s="87"/>
      <c r="AK464" s="87"/>
      <c r="AL464" s="87"/>
      <c r="AM464" s="87"/>
      <c r="AN464" s="54"/>
      <c r="AO464" s="54"/>
      <c r="AP464" s="54"/>
      <c r="AQ464" s="87"/>
      <c r="AR464" s="87"/>
      <c r="AS464" s="87"/>
      <c r="AT464" s="87"/>
      <c r="AU464" s="87"/>
      <c r="AV464" s="87"/>
      <c r="AW464" s="87"/>
      <c r="AX464" s="87"/>
      <c r="AY464" s="87"/>
      <c r="AZ464" s="87"/>
      <c r="BA464" s="87"/>
      <c r="BB464" s="87"/>
      <c r="BC464" s="87"/>
      <c r="BD464" s="87"/>
      <c r="BE464" s="87"/>
      <c r="BF464" s="87"/>
      <c r="BG464" s="87"/>
      <c r="BH464" s="87"/>
      <c r="BI464" s="87"/>
      <c r="BJ464" s="87"/>
      <c r="BK464" s="87"/>
      <c r="BL464" s="87"/>
      <c r="BM464" s="87"/>
      <c r="BN464" s="87"/>
      <c r="BO464" s="87"/>
      <c r="BP464" s="87"/>
      <c r="BQ464" s="87"/>
      <c r="BR464" s="87"/>
      <c r="BS464" s="87"/>
      <c r="BT464" s="87"/>
      <c r="BU464" s="87"/>
      <c r="BV464" s="87"/>
      <c r="BW464" s="87"/>
      <c r="BX464" s="87"/>
      <c r="BY464" s="87"/>
      <c r="BZ464" s="87"/>
      <c r="CA464" s="87"/>
      <c r="CB464" s="87"/>
      <c r="CC464" s="87"/>
      <c r="CD464" s="87"/>
      <c r="CE464" s="87"/>
      <c r="CF464" s="87"/>
      <c r="CG464" s="87"/>
      <c r="CH464" s="87"/>
      <c r="CI464" s="87"/>
      <c r="CJ464" s="87"/>
      <c r="CK464" s="87"/>
      <c r="CL464" s="87"/>
      <c r="CM464" s="87"/>
      <c r="CN464" s="87"/>
      <c r="CO464" s="87"/>
      <c r="CP464" s="87"/>
      <c r="NM464" s="87"/>
      <c r="NN464" s="135"/>
      <c r="NO464" s="127"/>
      <c r="NP464" s="87"/>
      <c r="NQ464" s="82"/>
      <c r="NR464" s="82"/>
      <c r="NS464" s="102"/>
      <c r="NT464" s="170"/>
      <c r="NU464" s="171"/>
      <c r="NV464" s="170"/>
      <c r="NW464" s="170"/>
      <c r="NX464" s="170"/>
      <c r="NY464" s="170"/>
      <c r="NZ464" s="170"/>
      <c r="OA464" s="170"/>
      <c r="OB464" s="170"/>
      <c r="OC464" s="170"/>
      <c r="OD464" s="170"/>
      <c r="OE464" s="170"/>
      <c r="OF464" s="60"/>
      <c r="OG464" s="87"/>
      <c r="OH464" s="126"/>
      <c r="OI464" s="127"/>
      <c r="OJ464" s="135"/>
      <c r="OK464" s="87"/>
      <c r="OL464" s="167"/>
      <c r="OM464" s="87"/>
      <c r="ON464" s="87"/>
      <c r="OO464" s="87"/>
      <c r="OP464" s="87"/>
      <c r="OQ464" s="87"/>
      <c r="OR464" s="87"/>
      <c r="OS464" s="87"/>
      <c r="OT464" s="87"/>
      <c r="OU464" s="87"/>
      <c r="OV464" s="87"/>
      <c r="OW464" s="87"/>
      <c r="OX464" s="87"/>
      <c r="OY464" s="87"/>
      <c r="OZ464" s="87"/>
      <c r="PA464" s="54"/>
      <c r="PB464" s="54"/>
      <c r="PC464" s="54"/>
      <c r="PD464" s="87"/>
      <c r="PE464" s="87"/>
      <c r="PF464" s="87"/>
      <c r="PG464" s="87"/>
      <c r="PH464" s="87"/>
      <c r="PI464" s="87"/>
      <c r="PJ464" s="87"/>
      <c r="PK464" s="87"/>
      <c r="PL464" s="87"/>
      <c r="PM464" s="87"/>
      <c r="PN464" s="87"/>
      <c r="PO464" s="87"/>
      <c r="PP464" s="87"/>
      <c r="PQ464" s="87"/>
      <c r="PR464" s="87"/>
      <c r="PS464" s="87"/>
      <c r="PT464" s="87"/>
      <c r="PU464" s="87"/>
      <c r="PV464" s="87"/>
      <c r="PW464" s="87"/>
      <c r="PX464" s="87"/>
      <c r="PY464" s="87"/>
      <c r="PZ464" s="87"/>
      <c r="QA464" s="87"/>
      <c r="QB464" s="87"/>
      <c r="QC464" s="87"/>
      <c r="QD464" s="87"/>
      <c r="QE464" s="87"/>
      <c r="QF464" s="87"/>
      <c r="QG464" s="87"/>
      <c r="QH464" s="87"/>
      <c r="QI464" s="87"/>
      <c r="QJ464" s="87"/>
      <c r="QK464" s="87"/>
      <c r="QL464" s="87"/>
      <c r="QM464" s="87"/>
      <c r="QN464" s="87"/>
      <c r="QO464" s="87"/>
      <c r="QP464" s="87"/>
      <c r="QQ464" s="87"/>
      <c r="QR464" s="87"/>
      <c r="QS464" s="87"/>
      <c r="QT464" s="87"/>
      <c r="QU464" s="87"/>
      <c r="QV464" s="87"/>
      <c r="QW464" s="87"/>
      <c r="QX464" s="87"/>
      <c r="QY464" s="87"/>
      <c r="QZ464" s="87"/>
      <c r="RA464" s="87"/>
      <c r="RB464" s="87"/>
      <c r="RC464" s="87"/>
      <c r="RD464" s="87"/>
      <c r="RE464" s="135"/>
      <c r="RF464" s="127"/>
      <c r="RG464" s="87"/>
      <c r="RH464" s="82"/>
      <c r="RI464" s="82"/>
      <c r="RJ464" s="102"/>
      <c r="RK464" s="170"/>
      <c r="RL464" s="171"/>
      <c r="RM464" s="170"/>
      <c r="RN464" s="170"/>
      <c r="RO464" s="170"/>
      <c r="RP464" s="170"/>
      <c r="RQ464" s="170"/>
      <c r="RR464" s="170"/>
      <c r="RS464" s="170"/>
      <c r="RT464" s="170"/>
      <c r="RU464" s="170"/>
      <c r="RV464" s="170"/>
      <c r="RW464" s="87"/>
      <c r="RX464" s="126"/>
      <c r="RY464" s="127"/>
      <c r="RZ464" s="135"/>
      <c r="SA464" s="135"/>
      <c r="SB464" s="167"/>
      <c r="SC464" s="87"/>
      <c r="SD464" s="87"/>
      <c r="SE464" s="87"/>
      <c r="SF464" s="87"/>
      <c r="SG464" s="87"/>
      <c r="SH464" s="87"/>
      <c r="SI464" s="87"/>
      <c r="SJ464" s="87"/>
      <c r="SK464" s="87"/>
      <c r="SL464" s="87"/>
      <c r="SM464" s="87"/>
      <c r="SN464" s="87"/>
      <c r="SO464" s="87"/>
      <c r="SP464" s="87"/>
      <c r="SQ464" s="54"/>
      <c r="SR464" s="54"/>
      <c r="SS464" s="54"/>
      <c r="ST464" s="87"/>
      <c r="SU464" s="87"/>
      <c r="SV464" s="87"/>
      <c r="SW464" s="87"/>
      <c r="SX464" s="87"/>
      <c r="SY464" s="87"/>
      <c r="SZ464" s="87"/>
      <c r="TA464" s="87"/>
      <c r="TB464" s="87"/>
      <c r="TC464" s="87"/>
      <c r="TD464" s="87"/>
      <c r="TE464" s="87"/>
      <c r="TF464" s="87"/>
      <c r="TG464" s="87"/>
      <c r="TH464" s="87"/>
      <c r="TI464" s="87"/>
      <c r="TJ464" s="87"/>
      <c r="TK464" s="87"/>
      <c r="TL464" s="87"/>
      <c r="TM464" s="87"/>
      <c r="TN464" s="87"/>
      <c r="TO464" s="87"/>
      <c r="TP464" s="87"/>
      <c r="TQ464" s="87"/>
      <c r="TR464" s="87"/>
      <c r="TS464" s="87"/>
      <c r="TT464" s="87"/>
      <c r="TU464" s="87"/>
      <c r="TV464" s="87"/>
      <c r="TW464" s="87"/>
      <c r="TX464" s="87"/>
      <c r="TY464" s="87"/>
      <c r="TZ464" s="87"/>
      <c r="UA464" s="87"/>
      <c r="UB464" s="87"/>
      <c r="UC464" s="87"/>
      <c r="UD464" s="87"/>
      <c r="UE464" s="87"/>
      <c r="UF464" s="87"/>
      <c r="UG464" s="87"/>
      <c r="UH464" s="87"/>
      <c r="UI464" s="87"/>
      <c r="UJ464" s="87"/>
      <c r="UK464" s="87"/>
      <c r="UL464" s="87"/>
      <c r="UM464" s="87"/>
      <c r="UN464" s="87"/>
      <c r="UO464" s="87"/>
      <c r="UP464" s="87"/>
      <c r="UQ464" s="87"/>
      <c r="UR464" s="87"/>
      <c r="US464" s="87"/>
      <c r="AFP464" s="87"/>
      <c r="AFQ464" s="135"/>
      <c r="AFR464" s="127"/>
      <c r="AFS464" s="87"/>
      <c r="AFT464" s="82"/>
      <c r="AFU464" s="82"/>
      <c r="AFV464" s="102"/>
      <c r="AFW464" s="170"/>
      <c r="AFX464" s="171"/>
      <c r="AFY464" s="170"/>
      <c r="AFZ464" s="170"/>
      <c r="AGA464" s="170"/>
      <c r="AGB464" s="170"/>
      <c r="AGC464" s="170"/>
      <c r="AGD464" s="170"/>
      <c r="AGE464" s="170"/>
      <c r="AGF464" s="170"/>
      <c r="AGG464" s="170"/>
      <c r="AGH464" s="170"/>
      <c r="AGI464" s="60"/>
      <c r="AGJ464" s="87"/>
      <c r="AGK464" s="126"/>
      <c r="AGL464" s="127"/>
      <c r="AGM464" s="135"/>
      <c r="AGN464" s="87"/>
      <c r="AGO464" s="167"/>
      <c r="AGP464" s="87"/>
      <c r="AGQ464" s="87"/>
      <c r="AGR464" s="87"/>
      <c r="AGS464" s="87"/>
      <c r="AGT464" s="87"/>
      <c r="AGU464" s="87"/>
      <c r="AGV464" s="87"/>
      <c r="AGW464" s="87"/>
      <c r="AGX464" s="87"/>
      <c r="AGY464" s="87"/>
      <c r="AGZ464" s="87"/>
      <c r="AHA464" s="87"/>
      <c r="AHB464" s="87"/>
      <c r="AHC464" s="87"/>
      <c r="AHD464" s="54"/>
      <c r="AHE464" s="54"/>
      <c r="AHF464" s="54"/>
      <c r="AHG464" s="87"/>
      <c r="AHH464" s="87"/>
      <c r="AHI464" s="87"/>
      <c r="AHJ464" s="87"/>
      <c r="AHK464" s="87"/>
      <c r="AHL464" s="87"/>
      <c r="AHM464" s="87"/>
      <c r="AHN464" s="87"/>
      <c r="AHO464" s="87"/>
      <c r="AHP464" s="87"/>
      <c r="AHQ464" s="87"/>
      <c r="AHR464" s="87"/>
      <c r="AHS464" s="87"/>
      <c r="AHT464" s="87"/>
      <c r="AHU464" s="87"/>
      <c r="AHV464" s="87"/>
      <c r="AHW464" s="87"/>
      <c r="AHX464" s="87"/>
      <c r="AHY464" s="87"/>
      <c r="AHZ464" s="87"/>
      <c r="AIA464" s="87"/>
      <c r="AIB464" s="87"/>
      <c r="AIC464" s="87"/>
      <c r="AID464" s="87"/>
      <c r="AIE464" s="87"/>
      <c r="AIF464" s="87"/>
      <c r="AIG464" s="87"/>
      <c r="AIH464" s="87"/>
      <c r="AII464" s="87"/>
      <c r="AIJ464" s="87"/>
      <c r="AIK464" s="87"/>
      <c r="AIL464" s="87"/>
      <c r="AIM464" s="87"/>
      <c r="AIN464" s="87"/>
      <c r="AIO464" s="87"/>
      <c r="AIP464" s="87"/>
      <c r="AIQ464" s="87"/>
      <c r="AIR464" s="87"/>
      <c r="AIS464" s="87"/>
      <c r="AIT464" s="87"/>
      <c r="AIU464" s="87"/>
      <c r="AIV464" s="87"/>
      <c r="AIW464" s="87"/>
      <c r="AIX464" s="87"/>
      <c r="AIY464" s="87"/>
      <c r="AIZ464" s="87"/>
      <c r="AJA464" s="87"/>
      <c r="AJB464" s="87"/>
      <c r="AJC464" s="87"/>
      <c r="AJD464" s="87"/>
      <c r="AJE464" s="87"/>
      <c r="AJF464" s="87"/>
    </row>
    <row r="465" spans="1:942">
      <c r="A465" s="87"/>
      <c r="B465" s="135">
        <v>45923</v>
      </c>
      <c r="C465" s="127">
        <v>45983</v>
      </c>
      <c r="D465" s="87" t="s">
        <v>211</v>
      </c>
      <c r="E465" s="82" t="s">
        <v>219</v>
      </c>
      <c r="F465" s="82" t="s">
        <v>220</v>
      </c>
      <c r="G465" s="102" t="s">
        <v>2767</v>
      </c>
      <c r="H465" s="170">
        <v>8657696321</v>
      </c>
      <c r="I465" s="171" t="s">
        <v>2768</v>
      </c>
      <c r="J465" s="170"/>
      <c r="K465" s="170">
        <v>10</v>
      </c>
      <c r="L465" s="170">
        <v>10</v>
      </c>
      <c r="M465" s="170" t="s">
        <v>2769</v>
      </c>
      <c r="N465" s="170" t="s">
        <v>2770</v>
      </c>
      <c r="O465" s="170" t="s">
        <v>2771</v>
      </c>
      <c r="P465" s="170" t="s">
        <v>2772</v>
      </c>
      <c r="Q465" s="170" t="s">
        <v>2773</v>
      </c>
      <c r="R465" s="170" t="s">
        <v>42</v>
      </c>
      <c r="S465" s="170" t="s">
        <v>1201</v>
      </c>
      <c r="T465" s="170"/>
      <c r="U465" s="87" t="s">
        <v>671</v>
      </c>
      <c r="V465" s="126" t="s">
        <v>808</v>
      </c>
      <c r="W465" s="127" t="s">
        <v>1259</v>
      </c>
      <c r="X465" s="135"/>
      <c r="Y465" s="16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87"/>
      <c r="AK465" s="87"/>
      <c r="AL465" s="87"/>
      <c r="AM465" s="87"/>
      <c r="AN465" s="54"/>
      <c r="AO465" s="54"/>
      <c r="AP465" s="54"/>
      <c r="AQ465" s="87"/>
      <c r="AR465" s="87"/>
      <c r="AS465" s="87"/>
      <c r="AT465" s="87"/>
      <c r="AU465" s="87"/>
      <c r="AV465" s="87"/>
      <c r="AW465" s="87"/>
      <c r="AX465" s="87"/>
      <c r="AY465" s="87"/>
      <c r="AZ465" s="87"/>
      <c r="BA465" s="87"/>
      <c r="BB465" s="87"/>
      <c r="BC465" s="87"/>
      <c r="BD465" s="87"/>
      <c r="BE465" s="87"/>
      <c r="BF465" s="87"/>
      <c r="BG465" s="87"/>
      <c r="BH465" s="87"/>
      <c r="BI465" s="87"/>
      <c r="BJ465" s="87"/>
      <c r="BK465" s="87"/>
      <c r="BL465" s="87"/>
      <c r="BM465" s="87"/>
      <c r="BN465" s="87"/>
      <c r="BO465" s="87"/>
      <c r="BP465" s="87"/>
      <c r="BQ465" s="87"/>
      <c r="BR465" s="87"/>
      <c r="BS465" s="87"/>
      <c r="BT465" s="87"/>
      <c r="BU465" s="87"/>
      <c r="BV465" s="87"/>
      <c r="BW465" s="87"/>
      <c r="BX465" s="87"/>
      <c r="BY465" s="87"/>
      <c r="BZ465" s="87"/>
      <c r="CA465" s="87"/>
      <c r="CB465" s="87"/>
      <c r="CC465" s="87"/>
      <c r="CD465" s="87"/>
      <c r="CE465" s="87"/>
      <c r="CF465" s="87"/>
      <c r="CG465" s="87"/>
      <c r="CH465" s="87"/>
      <c r="CI465" s="87"/>
      <c r="CJ465" s="87"/>
      <c r="CK465" s="87"/>
      <c r="CL465" s="87"/>
      <c r="CM465" s="87"/>
      <c r="CN465" s="87"/>
      <c r="CO465" s="87"/>
      <c r="CP465" s="87"/>
      <c r="NM465" s="87"/>
      <c r="NN465" s="135"/>
      <c r="NO465" s="127"/>
      <c r="NP465" s="87"/>
      <c r="NQ465" s="82"/>
      <c r="NR465" s="82"/>
      <c r="NS465" s="102"/>
      <c r="NT465" s="170"/>
      <c r="NU465" s="171"/>
      <c r="NV465" s="170"/>
      <c r="NW465" s="170"/>
      <c r="NX465" s="170"/>
      <c r="NY465" s="170"/>
      <c r="NZ465" s="170"/>
      <c r="OA465" s="170"/>
      <c r="OB465" s="170"/>
      <c r="OC465" s="170"/>
      <c r="OD465" s="170"/>
      <c r="OE465" s="170"/>
      <c r="OF465" s="60"/>
      <c r="OG465" s="87"/>
      <c r="OH465" s="126"/>
      <c r="OI465" s="127"/>
      <c r="OJ465" s="135"/>
      <c r="OK465" s="87"/>
      <c r="OL465" s="167"/>
      <c r="OM465" s="87"/>
      <c r="ON465" s="87"/>
      <c r="OO465" s="87"/>
      <c r="OP465" s="87"/>
      <c r="OQ465" s="87"/>
      <c r="OR465" s="87"/>
      <c r="OS465" s="87"/>
      <c r="OT465" s="87"/>
      <c r="OU465" s="87"/>
      <c r="OV465" s="87"/>
      <c r="OW465" s="87"/>
      <c r="OX465" s="87"/>
      <c r="OY465" s="87"/>
      <c r="OZ465" s="87"/>
      <c r="PA465" s="54"/>
      <c r="PB465" s="54"/>
      <c r="PC465" s="54"/>
      <c r="PD465" s="87"/>
      <c r="PE465" s="87"/>
      <c r="PF465" s="87"/>
      <c r="PG465" s="87"/>
      <c r="PH465" s="87"/>
      <c r="PI465" s="87"/>
      <c r="PJ465" s="87"/>
      <c r="PK465" s="87"/>
      <c r="PL465" s="87"/>
      <c r="PM465" s="87"/>
      <c r="PN465" s="87"/>
      <c r="PO465" s="87"/>
      <c r="PP465" s="87"/>
      <c r="PQ465" s="87"/>
      <c r="PR465" s="87"/>
      <c r="PS465" s="87"/>
      <c r="PT465" s="87"/>
      <c r="PU465" s="87"/>
      <c r="PV465" s="87"/>
      <c r="PW465" s="87"/>
      <c r="PX465" s="87"/>
      <c r="PY465" s="87"/>
      <c r="PZ465" s="87"/>
      <c r="QA465" s="87"/>
      <c r="QB465" s="87"/>
      <c r="QC465" s="87"/>
      <c r="QD465" s="87"/>
      <c r="QE465" s="87"/>
      <c r="QF465" s="87"/>
      <c r="QG465" s="87"/>
      <c r="QH465" s="87"/>
      <c r="QI465" s="87"/>
      <c r="QJ465" s="87"/>
      <c r="QK465" s="87"/>
      <c r="QL465" s="87"/>
      <c r="QM465" s="87"/>
      <c r="QN465" s="87"/>
      <c r="QO465" s="87"/>
      <c r="QP465" s="87"/>
      <c r="QQ465" s="87"/>
      <c r="QR465" s="87"/>
      <c r="QS465" s="87"/>
      <c r="QT465" s="87"/>
      <c r="QU465" s="87"/>
      <c r="QV465" s="87"/>
      <c r="QW465" s="87"/>
      <c r="QX465" s="87"/>
      <c r="QY465" s="87"/>
      <c r="QZ465" s="87"/>
      <c r="RA465" s="87"/>
      <c r="RB465" s="87"/>
      <c r="RC465" s="87"/>
      <c r="RD465" s="87"/>
      <c r="RE465" s="135"/>
      <c r="RF465" s="127"/>
      <c r="RG465" s="87"/>
      <c r="RH465" s="82"/>
      <c r="RI465" s="82"/>
      <c r="RJ465" s="102"/>
      <c r="RK465" s="170"/>
      <c r="RL465" s="171"/>
      <c r="RM465" s="170"/>
      <c r="RN465" s="170"/>
      <c r="RO465" s="170"/>
      <c r="RP465" s="170"/>
      <c r="RQ465" s="170"/>
      <c r="RR465" s="170"/>
      <c r="RS465" s="170"/>
      <c r="RT465" s="170"/>
      <c r="RU465" s="170"/>
      <c r="RV465" s="170"/>
      <c r="RW465" s="87"/>
      <c r="RX465" s="126"/>
      <c r="RY465" s="127"/>
      <c r="RZ465" s="135"/>
      <c r="SA465" s="135"/>
      <c r="SB465" s="167"/>
      <c r="SC465" s="87"/>
      <c r="SD465" s="87"/>
      <c r="SE465" s="87"/>
      <c r="SF465" s="87"/>
      <c r="SG465" s="87"/>
      <c r="SH465" s="87"/>
      <c r="SI465" s="87"/>
      <c r="SJ465" s="87"/>
      <c r="SK465" s="87"/>
      <c r="SL465" s="87"/>
      <c r="SM465" s="87"/>
      <c r="SN465" s="87"/>
      <c r="SO465" s="87"/>
      <c r="SP465" s="87"/>
      <c r="SQ465" s="54"/>
      <c r="SR465" s="54"/>
      <c r="SS465" s="54"/>
      <c r="ST465" s="87"/>
      <c r="SU465" s="87"/>
      <c r="SV465" s="87"/>
      <c r="SW465" s="87"/>
      <c r="SX465" s="87"/>
      <c r="SY465" s="87"/>
      <c r="SZ465" s="87"/>
      <c r="TA465" s="87"/>
      <c r="TB465" s="87"/>
      <c r="TC465" s="87"/>
      <c r="TD465" s="87"/>
      <c r="TE465" s="87"/>
      <c r="TF465" s="87"/>
      <c r="TG465" s="87"/>
      <c r="TH465" s="87"/>
      <c r="TI465" s="87"/>
      <c r="TJ465" s="87"/>
      <c r="TK465" s="87"/>
      <c r="TL465" s="87"/>
      <c r="TM465" s="87"/>
      <c r="TN465" s="87"/>
      <c r="TO465" s="87"/>
      <c r="TP465" s="87"/>
      <c r="TQ465" s="87"/>
      <c r="TR465" s="87"/>
      <c r="TS465" s="87"/>
      <c r="TT465" s="87"/>
      <c r="TU465" s="87"/>
      <c r="TV465" s="87"/>
      <c r="TW465" s="87"/>
      <c r="TX465" s="87"/>
      <c r="TY465" s="87"/>
      <c r="TZ465" s="87"/>
      <c r="UA465" s="87"/>
      <c r="UB465" s="87"/>
      <c r="UC465" s="87"/>
      <c r="UD465" s="87"/>
      <c r="UE465" s="87"/>
      <c r="UF465" s="87"/>
      <c r="UG465" s="87"/>
      <c r="UH465" s="87"/>
      <c r="UI465" s="87"/>
      <c r="UJ465" s="87"/>
      <c r="UK465" s="87"/>
      <c r="UL465" s="87"/>
      <c r="UM465" s="87"/>
      <c r="UN465" s="87"/>
      <c r="UO465" s="87"/>
      <c r="UP465" s="87"/>
      <c r="UQ465" s="87"/>
      <c r="UR465" s="87"/>
      <c r="US465" s="87"/>
      <c r="AFP465" s="87"/>
      <c r="AFQ465" s="135"/>
      <c r="AFR465" s="127"/>
      <c r="AFS465" s="87"/>
      <c r="AFT465" s="82"/>
      <c r="AFU465" s="82"/>
      <c r="AFV465" s="102"/>
      <c r="AFW465" s="170"/>
      <c r="AFX465" s="171"/>
      <c r="AFY465" s="170"/>
      <c r="AFZ465" s="170"/>
      <c r="AGA465" s="170"/>
      <c r="AGB465" s="170"/>
      <c r="AGC465" s="170"/>
      <c r="AGD465" s="170"/>
      <c r="AGE465" s="170"/>
      <c r="AGF465" s="170"/>
      <c r="AGG465" s="170"/>
      <c r="AGH465" s="170"/>
      <c r="AGI465" s="60"/>
      <c r="AGJ465" s="87"/>
      <c r="AGK465" s="126"/>
      <c r="AGL465" s="127"/>
      <c r="AGM465" s="135"/>
      <c r="AGN465" s="87"/>
      <c r="AGO465" s="167"/>
      <c r="AGP465" s="87"/>
      <c r="AGQ465" s="87"/>
      <c r="AGR465" s="87"/>
      <c r="AGS465" s="87"/>
      <c r="AGT465" s="87"/>
      <c r="AGU465" s="87"/>
      <c r="AGV465" s="87"/>
      <c r="AGW465" s="87"/>
      <c r="AGX465" s="87"/>
      <c r="AGY465" s="87"/>
      <c r="AGZ465" s="87"/>
      <c r="AHA465" s="87"/>
      <c r="AHB465" s="87"/>
      <c r="AHC465" s="87"/>
      <c r="AHD465" s="54"/>
      <c r="AHE465" s="54"/>
      <c r="AHF465" s="54"/>
      <c r="AHG465" s="87"/>
      <c r="AHH465" s="87"/>
      <c r="AHI465" s="87"/>
      <c r="AHJ465" s="87"/>
      <c r="AHK465" s="87"/>
      <c r="AHL465" s="87"/>
      <c r="AHM465" s="87"/>
      <c r="AHN465" s="87"/>
      <c r="AHO465" s="87"/>
      <c r="AHP465" s="87"/>
      <c r="AHQ465" s="87"/>
      <c r="AHR465" s="87"/>
      <c r="AHS465" s="87"/>
      <c r="AHT465" s="87"/>
      <c r="AHU465" s="87"/>
      <c r="AHV465" s="87"/>
      <c r="AHW465" s="87"/>
      <c r="AHX465" s="87"/>
      <c r="AHY465" s="87"/>
      <c r="AHZ465" s="87"/>
      <c r="AIA465" s="87"/>
      <c r="AIB465" s="87"/>
      <c r="AIC465" s="87"/>
      <c r="AID465" s="87"/>
      <c r="AIE465" s="87"/>
      <c r="AIF465" s="87"/>
      <c r="AIG465" s="87"/>
      <c r="AIH465" s="87"/>
      <c r="AII465" s="87"/>
      <c r="AIJ465" s="87"/>
      <c r="AIK465" s="87"/>
      <c r="AIL465" s="87"/>
      <c r="AIM465" s="87"/>
      <c r="AIN465" s="87"/>
      <c r="AIO465" s="87"/>
      <c r="AIP465" s="87"/>
      <c r="AIQ465" s="87"/>
      <c r="AIR465" s="87"/>
      <c r="AIS465" s="87"/>
      <c r="AIT465" s="87"/>
      <c r="AIU465" s="87"/>
      <c r="AIV465" s="87"/>
      <c r="AIW465" s="87"/>
      <c r="AIX465" s="87"/>
      <c r="AIY465" s="87"/>
      <c r="AIZ465" s="87"/>
      <c r="AJA465" s="87"/>
      <c r="AJB465" s="87"/>
      <c r="AJC465" s="87"/>
      <c r="AJD465" s="87"/>
      <c r="AJE465" s="87"/>
      <c r="AJF465" s="87"/>
    </row>
    <row r="466" spans="1:942">
      <c r="A466" s="87"/>
      <c r="B466" s="135">
        <v>45923</v>
      </c>
      <c r="C466" s="127">
        <v>45983</v>
      </c>
      <c r="D466" s="87" t="s">
        <v>211</v>
      </c>
      <c r="E466" s="82" t="s">
        <v>219</v>
      </c>
      <c r="F466" s="82" t="s">
        <v>220</v>
      </c>
      <c r="G466" s="102" t="s">
        <v>2774</v>
      </c>
      <c r="H466" s="170">
        <v>7066558698</v>
      </c>
      <c r="I466" s="171" t="s">
        <v>2775</v>
      </c>
      <c r="J466" s="170"/>
      <c r="K466" s="170">
        <v>7</v>
      </c>
      <c r="L466" s="170">
        <v>7</v>
      </c>
      <c r="M466" s="170" t="s">
        <v>2776</v>
      </c>
      <c r="N466" s="170" t="s">
        <v>699</v>
      </c>
      <c r="O466" s="170" t="s">
        <v>2777</v>
      </c>
      <c r="P466" s="170">
        <v>0.3</v>
      </c>
      <c r="Q466" s="170" t="s">
        <v>2778</v>
      </c>
      <c r="R466" s="170" t="s">
        <v>42</v>
      </c>
      <c r="S466" s="170" t="s">
        <v>1201</v>
      </c>
      <c r="T466" s="170"/>
      <c r="U466" s="87" t="s">
        <v>671</v>
      </c>
      <c r="V466" s="126" t="s">
        <v>808</v>
      </c>
      <c r="W466" s="127" t="s">
        <v>1259</v>
      </c>
      <c r="X466" s="135"/>
      <c r="Y466" s="16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87"/>
      <c r="AK466" s="87"/>
      <c r="AL466" s="87"/>
      <c r="AM466" s="87"/>
      <c r="AN466" s="54"/>
      <c r="AO466" s="54"/>
      <c r="AP466" s="54"/>
      <c r="AQ466" s="87"/>
      <c r="AR466" s="87"/>
      <c r="AS466" s="87"/>
      <c r="AT466" s="87"/>
      <c r="AU466" s="87"/>
      <c r="AV466" s="87"/>
      <c r="AW466" s="87"/>
      <c r="AX466" s="87"/>
      <c r="AY466" s="87"/>
      <c r="AZ466" s="87"/>
      <c r="BA466" s="87"/>
      <c r="BB466" s="87"/>
      <c r="BC466" s="87"/>
      <c r="BD466" s="87"/>
      <c r="BE466" s="87"/>
      <c r="BF466" s="87"/>
      <c r="BG466" s="87"/>
      <c r="BH466" s="87"/>
      <c r="BI466" s="87"/>
      <c r="BJ466" s="87"/>
      <c r="BK466" s="87"/>
      <c r="BL466" s="87"/>
      <c r="BM466" s="87"/>
      <c r="BN466" s="87"/>
      <c r="BO466" s="87"/>
      <c r="BP466" s="87"/>
      <c r="BQ466" s="87"/>
      <c r="BR466" s="87"/>
      <c r="BS466" s="87"/>
      <c r="BT466" s="87"/>
      <c r="BU466" s="87"/>
      <c r="BV466" s="87"/>
      <c r="BW466" s="87"/>
      <c r="BX466" s="87"/>
      <c r="BY466" s="87"/>
      <c r="BZ466" s="87"/>
      <c r="CA466" s="87"/>
      <c r="CB466" s="87"/>
      <c r="CC466" s="87"/>
      <c r="CD466" s="87"/>
      <c r="CE466" s="87"/>
      <c r="CF466" s="87"/>
      <c r="CG466" s="87"/>
      <c r="CH466" s="87"/>
      <c r="CI466" s="87"/>
      <c r="CJ466" s="87"/>
      <c r="CK466" s="87"/>
      <c r="CL466" s="87"/>
      <c r="CM466" s="87"/>
      <c r="CN466" s="87"/>
      <c r="CO466" s="87"/>
      <c r="CP466" s="87"/>
      <c r="NM466" s="87"/>
      <c r="NN466" s="135"/>
      <c r="NO466" s="127"/>
      <c r="NP466" s="87"/>
      <c r="NQ466" s="82"/>
      <c r="NR466" s="82"/>
      <c r="NS466" s="102"/>
      <c r="NT466" s="170"/>
      <c r="NU466" s="171"/>
      <c r="NV466" s="170"/>
      <c r="NW466" s="170"/>
      <c r="NX466" s="170"/>
      <c r="NY466" s="170"/>
      <c r="NZ466" s="170"/>
      <c r="OA466" s="170"/>
      <c r="OB466" s="170"/>
      <c r="OC466" s="170"/>
      <c r="OD466" s="170"/>
      <c r="OE466" s="170"/>
      <c r="OF466" s="60"/>
      <c r="OG466" s="87"/>
      <c r="OH466" s="126"/>
      <c r="OI466" s="127"/>
      <c r="OJ466" s="135"/>
      <c r="OK466" s="87"/>
      <c r="OL466" s="167"/>
      <c r="OM466" s="87"/>
      <c r="ON466" s="87"/>
      <c r="OO466" s="87"/>
      <c r="OP466" s="87"/>
      <c r="OQ466" s="87"/>
      <c r="OR466" s="87"/>
      <c r="OS466" s="87"/>
      <c r="OT466" s="87"/>
      <c r="OU466" s="87"/>
      <c r="OV466" s="87"/>
      <c r="OW466" s="87"/>
      <c r="OX466" s="87"/>
      <c r="OY466" s="87"/>
      <c r="OZ466" s="87"/>
      <c r="PA466" s="54"/>
      <c r="PB466" s="54"/>
      <c r="PC466" s="54"/>
      <c r="PD466" s="87"/>
      <c r="PE466" s="87"/>
      <c r="PF466" s="87"/>
      <c r="PG466" s="87"/>
      <c r="PH466" s="87"/>
      <c r="PI466" s="87"/>
      <c r="PJ466" s="87"/>
      <c r="PK466" s="87"/>
      <c r="PL466" s="87"/>
      <c r="PM466" s="87"/>
      <c r="PN466" s="87"/>
      <c r="PO466" s="87"/>
      <c r="PP466" s="87"/>
      <c r="PQ466" s="87"/>
      <c r="PR466" s="87"/>
      <c r="PS466" s="87"/>
      <c r="PT466" s="87"/>
      <c r="PU466" s="87"/>
      <c r="PV466" s="87"/>
      <c r="PW466" s="87"/>
      <c r="PX466" s="87"/>
      <c r="PY466" s="87"/>
      <c r="PZ466" s="87"/>
      <c r="QA466" s="87"/>
      <c r="QB466" s="87"/>
      <c r="QC466" s="87"/>
      <c r="QD466" s="87"/>
      <c r="QE466" s="87"/>
      <c r="QF466" s="87"/>
      <c r="QG466" s="87"/>
      <c r="QH466" s="87"/>
      <c r="QI466" s="87"/>
      <c r="QJ466" s="87"/>
      <c r="QK466" s="87"/>
      <c r="QL466" s="87"/>
      <c r="QM466" s="87"/>
      <c r="QN466" s="87"/>
      <c r="QO466" s="87"/>
      <c r="QP466" s="87"/>
      <c r="QQ466" s="87"/>
      <c r="QR466" s="87"/>
      <c r="QS466" s="87"/>
      <c r="QT466" s="87"/>
      <c r="QU466" s="87"/>
      <c r="QV466" s="87"/>
      <c r="QW466" s="87"/>
      <c r="QX466" s="87"/>
      <c r="QY466" s="87"/>
      <c r="QZ466" s="87"/>
      <c r="RA466" s="87"/>
      <c r="RB466" s="87"/>
      <c r="RC466" s="87"/>
      <c r="RD466" s="87"/>
      <c r="RE466" s="135"/>
      <c r="RF466" s="127"/>
      <c r="RG466" s="87"/>
      <c r="RH466" s="82"/>
      <c r="RI466" s="82"/>
      <c r="RJ466" s="102"/>
      <c r="RK466" s="170"/>
      <c r="RL466" s="171"/>
      <c r="RM466" s="170"/>
      <c r="RN466" s="170"/>
      <c r="RO466" s="170"/>
      <c r="RP466" s="170"/>
      <c r="RQ466" s="170"/>
      <c r="RR466" s="170"/>
      <c r="RS466" s="170"/>
      <c r="RT466" s="170"/>
      <c r="RU466" s="170"/>
      <c r="RV466" s="170"/>
      <c r="RW466" s="87"/>
      <c r="RX466" s="126"/>
      <c r="RY466" s="127"/>
      <c r="RZ466" s="135"/>
      <c r="SA466" s="135"/>
      <c r="SB466" s="167"/>
      <c r="SC466" s="87"/>
      <c r="SD466" s="87"/>
      <c r="SE466" s="87"/>
      <c r="SF466" s="87"/>
      <c r="SG466" s="87"/>
      <c r="SH466" s="87"/>
      <c r="SI466" s="87"/>
      <c r="SJ466" s="87"/>
      <c r="SK466" s="87"/>
      <c r="SL466" s="87"/>
      <c r="SM466" s="87"/>
      <c r="SN466" s="87"/>
      <c r="SO466" s="87"/>
      <c r="SP466" s="87"/>
      <c r="SQ466" s="54"/>
      <c r="SR466" s="54"/>
      <c r="SS466" s="54"/>
      <c r="ST466" s="87"/>
      <c r="SU466" s="87"/>
      <c r="SV466" s="87"/>
      <c r="SW466" s="87"/>
      <c r="SX466" s="87"/>
      <c r="SY466" s="87"/>
      <c r="SZ466" s="87"/>
      <c r="TA466" s="87"/>
      <c r="TB466" s="87"/>
      <c r="TC466" s="87"/>
      <c r="TD466" s="87"/>
      <c r="TE466" s="87"/>
      <c r="TF466" s="87"/>
      <c r="TG466" s="87"/>
      <c r="TH466" s="87"/>
      <c r="TI466" s="87"/>
      <c r="TJ466" s="87"/>
      <c r="TK466" s="87"/>
      <c r="TL466" s="87"/>
      <c r="TM466" s="87"/>
      <c r="TN466" s="87"/>
      <c r="TO466" s="87"/>
      <c r="TP466" s="87"/>
      <c r="TQ466" s="87"/>
      <c r="TR466" s="87"/>
      <c r="TS466" s="87"/>
      <c r="TT466" s="87"/>
      <c r="TU466" s="87"/>
      <c r="TV466" s="87"/>
      <c r="TW466" s="87"/>
      <c r="TX466" s="87"/>
      <c r="TY466" s="87"/>
      <c r="TZ466" s="87"/>
      <c r="UA466" s="87"/>
      <c r="UB466" s="87"/>
      <c r="UC466" s="87"/>
      <c r="UD466" s="87"/>
      <c r="UE466" s="87"/>
      <c r="UF466" s="87"/>
      <c r="UG466" s="87"/>
      <c r="UH466" s="87"/>
      <c r="UI466" s="87"/>
      <c r="UJ466" s="87"/>
      <c r="UK466" s="87"/>
      <c r="UL466" s="87"/>
      <c r="UM466" s="87"/>
      <c r="UN466" s="87"/>
      <c r="UO466" s="87"/>
      <c r="UP466" s="87"/>
      <c r="UQ466" s="87"/>
      <c r="UR466" s="87"/>
      <c r="US466" s="87"/>
      <c r="AFP466" s="87"/>
      <c r="AFQ466" s="135"/>
      <c r="AFR466" s="127"/>
      <c r="AFS466" s="87"/>
      <c r="AFT466" s="82"/>
      <c r="AFU466" s="82"/>
      <c r="AFV466" s="102"/>
      <c r="AFW466" s="170"/>
      <c r="AFX466" s="171"/>
      <c r="AFY466" s="170"/>
      <c r="AFZ466" s="170"/>
      <c r="AGA466" s="170"/>
      <c r="AGB466" s="170"/>
      <c r="AGC466" s="170"/>
      <c r="AGD466" s="170"/>
      <c r="AGE466" s="170"/>
      <c r="AGF466" s="170"/>
      <c r="AGG466" s="170"/>
      <c r="AGH466" s="170"/>
      <c r="AGI466" s="60"/>
      <c r="AGJ466" s="87"/>
      <c r="AGK466" s="126"/>
      <c r="AGL466" s="127"/>
      <c r="AGM466" s="135"/>
      <c r="AGN466" s="87"/>
      <c r="AGO466" s="167"/>
      <c r="AGP466" s="87"/>
      <c r="AGQ466" s="87"/>
      <c r="AGR466" s="87"/>
      <c r="AGS466" s="87"/>
      <c r="AGT466" s="87"/>
      <c r="AGU466" s="87"/>
      <c r="AGV466" s="87"/>
      <c r="AGW466" s="87"/>
      <c r="AGX466" s="87"/>
      <c r="AGY466" s="87"/>
      <c r="AGZ466" s="87"/>
      <c r="AHA466" s="87"/>
      <c r="AHB466" s="87"/>
      <c r="AHC466" s="87"/>
      <c r="AHD466" s="54"/>
      <c r="AHE466" s="54"/>
      <c r="AHF466" s="54"/>
      <c r="AHG466" s="87"/>
      <c r="AHH466" s="87"/>
      <c r="AHI466" s="87"/>
      <c r="AHJ466" s="87"/>
      <c r="AHK466" s="87"/>
      <c r="AHL466" s="87"/>
      <c r="AHM466" s="87"/>
      <c r="AHN466" s="87"/>
      <c r="AHO466" s="87"/>
      <c r="AHP466" s="87"/>
      <c r="AHQ466" s="87"/>
      <c r="AHR466" s="87"/>
      <c r="AHS466" s="87"/>
      <c r="AHT466" s="87"/>
      <c r="AHU466" s="87"/>
      <c r="AHV466" s="87"/>
      <c r="AHW466" s="87"/>
      <c r="AHX466" s="87"/>
      <c r="AHY466" s="87"/>
      <c r="AHZ466" s="87"/>
      <c r="AIA466" s="87"/>
      <c r="AIB466" s="87"/>
      <c r="AIC466" s="87"/>
      <c r="AID466" s="87"/>
      <c r="AIE466" s="87"/>
      <c r="AIF466" s="87"/>
      <c r="AIG466" s="87"/>
      <c r="AIH466" s="87"/>
      <c r="AII466" s="87"/>
      <c r="AIJ466" s="87"/>
      <c r="AIK466" s="87"/>
      <c r="AIL466" s="87"/>
      <c r="AIM466" s="87"/>
      <c r="AIN466" s="87"/>
      <c r="AIO466" s="87"/>
      <c r="AIP466" s="87"/>
      <c r="AIQ466" s="87"/>
      <c r="AIR466" s="87"/>
      <c r="AIS466" s="87"/>
      <c r="AIT466" s="87"/>
      <c r="AIU466" s="87"/>
      <c r="AIV466" s="87"/>
      <c r="AIW466" s="87"/>
      <c r="AIX466" s="87"/>
      <c r="AIY466" s="87"/>
      <c r="AIZ466" s="87"/>
      <c r="AJA466" s="87"/>
      <c r="AJB466" s="87"/>
      <c r="AJC466" s="87"/>
      <c r="AJD466" s="87"/>
      <c r="AJE466" s="87"/>
      <c r="AJF466" s="87"/>
    </row>
  </sheetData>
  <conditionalFormatting sqref="G84:H84">
    <cfRule type="duplicateValues" dxfId="14" priority="20"/>
  </conditionalFormatting>
  <conditionalFormatting sqref="G67:I67">
    <cfRule type="duplicateValues" dxfId="13" priority="18"/>
  </conditionalFormatting>
  <conditionalFormatting sqref="G68:I68">
    <cfRule type="duplicateValues" dxfId="12" priority="17"/>
  </conditionalFormatting>
  <conditionalFormatting sqref="G69:I69">
    <cfRule type="duplicateValues" dxfId="11" priority="16"/>
  </conditionalFormatting>
  <conditionalFormatting sqref="G72:I72">
    <cfRule type="duplicateValues" dxfId="10" priority="15"/>
  </conditionalFormatting>
  <conditionalFormatting sqref="G73:I76 G66 G1:G64 H1:I66 G176:I176">
    <cfRule type="duplicateValues" dxfId="9" priority="19"/>
  </conditionalFormatting>
  <conditionalFormatting sqref="G77:I77">
    <cfRule type="duplicateValues" dxfId="8" priority="11"/>
  </conditionalFormatting>
  <conditionalFormatting sqref="G78:I78">
    <cfRule type="duplicateValues" dxfId="7" priority="10"/>
  </conditionalFormatting>
  <conditionalFormatting sqref="G79:I79">
    <cfRule type="duplicateValues" dxfId="6" priority="9"/>
  </conditionalFormatting>
  <conditionalFormatting sqref="G80:I80">
    <cfRule type="duplicateValues" dxfId="5" priority="8"/>
  </conditionalFormatting>
  <conditionalFormatting sqref="G81:I81">
    <cfRule type="duplicateValues" dxfId="4" priority="7"/>
  </conditionalFormatting>
  <conditionalFormatting sqref="G82:I82">
    <cfRule type="duplicateValues" dxfId="3" priority="6"/>
  </conditionalFormatting>
  <conditionalFormatting sqref="G83:I83">
    <cfRule type="duplicateValues" dxfId="2" priority="5"/>
  </conditionalFormatting>
  <conditionalFormatting sqref="I136">
    <cfRule type="duplicateValues" dxfId="1" priority="2"/>
    <cfRule type="duplicateValues" dxfId="0" priority="3"/>
  </conditionalFormatting>
  <hyperlinks>
    <hyperlink ref="I78" r:id="rId1" xr:uid="{5C1673BA-E06A-4086-ADEC-37A7B1196FC2}"/>
    <hyperlink ref="I79" r:id="rId2" xr:uid="{95F1794C-3EDB-4B1B-B065-0F5E2A642240}"/>
    <hyperlink ref="I80" r:id="rId3" xr:uid="{F4B14F75-D677-4C88-A59C-C8B7B963D11F}"/>
    <hyperlink ref="I81" r:id="rId4" xr:uid="{60F8F84E-97F0-4D9A-BBAA-B356DDF64E82}"/>
    <hyperlink ref="I82" r:id="rId5" xr:uid="{60B4C23C-2FFA-4235-8347-8FB4830C772B}"/>
    <hyperlink ref="I83" r:id="rId6" xr:uid="{352032F2-BA1E-4CB2-978B-153D1E53E504}"/>
    <hyperlink ref="I85" r:id="rId7" xr:uid="{1BF46AD6-F2B7-4BAE-A539-524B66ACE0ED}"/>
    <hyperlink ref="I87" r:id="rId8" xr:uid="{8DC31BD3-1855-4728-8804-8456C7D4A016}"/>
    <hyperlink ref="I88" r:id="rId9" xr:uid="{42AEF3B9-FB89-4547-A1AF-41DB74FF964A}"/>
    <hyperlink ref="I89" r:id="rId10" xr:uid="{A71E2DD5-EEA5-4853-8591-79DD0965A8A5}"/>
    <hyperlink ref="I90" r:id="rId11" xr:uid="{6B62BA32-2763-4DAC-BAF8-7169A345E6D0}"/>
    <hyperlink ref="I91" r:id="rId12" xr:uid="{95C604F4-328C-4A11-90CF-6218D480D909}"/>
    <hyperlink ref="I92" r:id="rId13" display="mailto:maneaniket027@gmail.com" xr:uid="{E9D85F1A-9DA1-4D86-9822-4EF5033ACA83}"/>
    <hyperlink ref="I94" r:id="rId14" xr:uid="{695BA8D8-32E2-496D-949B-2B0EAEC9F9A6}"/>
    <hyperlink ref="I95" r:id="rId15" display="mailto:abhimanyukumar804@gmail.com" xr:uid="{B0650EB1-51F7-48B6-88E2-1DD01D49AE26}"/>
    <hyperlink ref="I96" r:id="rId16" display="mailto:anjanishu42@gmail.com" xr:uid="{1ED8DCE3-5DE6-464D-9B67-C184A7D90E2E}"/>
    <hyperlink ref="I97" r:id="rId17" display="mailto:ashishkum950@gmail.com" xr:uid="{D6BDBCC7-2E9C-4E67-B609-F955E1E6F2BB}"/>
    <hyperlink ref="I105" r:id="rId18" display="mailto:Srinumet1234@gmail.com" xr:uid="{2C001C04-E447-4D28-B4FE-D251AD585DC6}"/>
    <hyperlink ref="I99" r:id="rId19" display="mailto:abhimanyukumar804@gmail.com" xr:uid="{3F79BCC4-3AB4-4E08-B1BD-614AD92F4CB0}"/>
    <hyperlink ref="I100" r:id="rId20" display="mailto:anjanishu42@gmail.com" xr:uid="{6F868365-8E80-4D2B-8E5D-B96529E789D3}"/>
    <hyperlink ref="I101" r:id="rId21" display="mailto:ashishkum950@gmail.com" xr:uid="{C2294484-A53D-4FA8-8298-61195A918AA3}"/>
    <hyperlink ref="I103" r:id="rId22" display="mailto:vijrishabh016@gmail.com" xr:uid="{12D321A0-3981-44D4-B5AE-98F7C9CA4BD4}"/>
    <hyperlink ref="I109" r:id="rId23" xr:uid="{F30E1F19-C9B9-4B5D-9396-2AEEA7D31FD5}"/>
    <hyperlink ref="I110" r:id="rId24" display="mailto:0@gmail.com" xr:uid="{20BD605D-EEA0-4476-8B18-0ED13A3A635B}"/>
    <hyperlink ref="I115" r:id="rId25" xr:uid="{301E60F4-8803-4C69-8CA4-8D73C9A9B81F}"/>
    <hyperlink ref="I116" r:id="rId26" xr:uid="{11F38E1F-15EF-4451-B51C-9A07101DFD2B}"/>
    <hyperlink ref="I117" r:id="rId27" display="mailto:maheshwsris387@gmail.com" xr:uid="{89BB2BA0-6F79-484F-865C-18035ECDF762}"/>
    <hyperlink ref="I118" r:id="rId28" display="mailto:pravinkhandagale20@gmail.com" xr:uid="{26702170-D76B-486A-8B3C-E85AA486EBF7}"/>
    <hyperlink ref="I120" r:id="rId29" xr:uid="{41397600-5ABE-4EC5-9032-C589AC7141B2}"/>
    <hyperlink ref="I124" r:id="rId30" display="mailto:himanshusharmaeee@gmail.com" xr:uid="{B765876D-350E-47D4-B840-9BD3F139AF97}"/>
    <hyperlink ref="I125" r:id="rId31" display="mailto:kasa.mani234@gmail.com" xr:uid="{1004F91C-C702-4D20-9C9D-B1A6C104756D}"/>
    <hyperlink ref="I126" r:id="rId32" xr:uid="{D5E64F17-4879-4485-A833-21AEA9320950}"/>
    <hyperlink ref="I128" r:id="rId33" display="mailto:mdhemant.patil@gmail.com" xr:uid="{9219C65F-E19C-4D4D-B441-0EEDBF88FE1D}"/>
    <hyperlink ref="I131" r:id="rId34" display="mailto:Vipin_dhiman@rediffmail.com" xr:uid="{0A971B2F-1BD1-40B0-A13C-02BA0F4900FC}"/>
    <hyperlink ref="I132" r:id="rId35" display="mailto:rnadar@rediffmail.com" xr:uid="{09CE3C48-A557-4C84-936B-75306D116B54}"/>
    <hyperlink ref="I133" r:id="rId36" xr:uid="{32DB5358-7FE5-4A31-9CD2-093C599D9B70}"/>
    <hyperlink ref="I135" r:id="rId37" display="mailto:nikhilbari05@gmail.com" xr:uid="{627AC0D1-D817-4543-8BBA-BB00CCEBBBDD}"/>
    <hyperlink ref="I134" r:id="rId38" display="mailto:niceanikeit@hotmail.com" xr:uid="{3CF780A6-EEFA-40F8-89CA-17791E8B8AE9}"/>
    <hyperlink ref="I136" r:id="rId39" xr:uid="{C67EBEB0-C482-4851-AE6A-B3A84D8FC696}"/>
    <hyperlink ref="I137" r:id="rId40" xr:uid="{12857978-0EBE-40EC-95ED-8769BBCD37D7}"/>
    <hyperlink ref="I138" r:id="rId41" display="mailto:mohanraja@outlook.in" xr:uid="{7C056CF7-468F-44F3-98A8-41645EC06DC4}"/>
    <hyperlink ref="I139" r:id="rId42" xr:uid="{C3849A03-F2E2-4F2B-AF18-3A51400497E3}"/>
    <hyperlink ref="I141" r:id="rId43" xr:uid="{65280F46-8D3F-46F7-858D-E80F8F62C0D0}"/>
    <hyperlink ref="I142" r:id="rId44" xr:uid="{8106092E-EC01-445B-B7B0-14EA2375E8B8}"/>
    <hyperlink ref="I143" r:id="rId45" xr:uid="{A0289855-2A92-458E-A257-4A292999B52A}"/>
    <hyperlink ref="I140" r:id="rId46" display="mailto:balajivarathan94@gmail.com" xr:uid="{450C890B-94C4-486C-B217-58BD0F592DD2}"/>
    <hyperlink ref="I144" r:id="rId47" display="mailto:vikramjadhav10.1@gmail" xr:uid="{EF7CD4E2-3C14-4B02-AE2E-D8B68B0A7EB4}"/>
    <hyperlink ref="I145" r:id="rId48" display="mailto:motghare.suraj@gmail.com" xr:uid="{F71EE4E6-524F-47F1-A55F-58A67C47BDA0}"/>
    <hyperlink ref="I146" r:id="rId49" display="mailto:rajveer.kumawat1@gmail.com" xr:uid="{47D030A9-A057-4EAD-8544-898F9E3C8D21}"/>
    <hyperlink ref="I147" r:id="rId50" display="mailto:kundanlucky5@gmail.com" xr:uid="{F429545C-2AA0-40C8-9302-7B9645A8DC61}"/>
    <hyperlink ref="K146" r:id="rId51" display="mailto:rajveer.kumawat1@gmail.com" xr:uid="{D4A6D45F-019A-4A26-9389-F7957D538B54}"/>
    <hyperlink ref="L146" r:id="rId52" display="mailto:rajveer.kumawat1@gmail.com" xr:uid="{5D45D42C-D033-4111-AAF8-0F52F006570D}"/>
    <hyperlink ref="I148" r:id="rId53" xr:uid="{0154E3CD-6701-4ACD-AA0D-5C9506142E4D}"/>
    <hyperlink ref="I149" r:id="rId54" display="mailto:hemantku6996@gmail.com" xr:uid="{98739C8E-C71E-4FF5-8D64-1BAEA080337D}"/>
    <hyperlink ref="I150" r:id="rId55" display="mailto:peeyushraghav15@gmail.com" xr:uid="{9967C20C-2046-46DC-8D2A-F17330DFF0F8}"/>
    <hyperlink ref="I151" r:id="rId56" display="mailto:aamirraza3578@gmail.com" xr:uid="{D349DDB3-718A-4409-94D7-A6DF71FD0EDA}"/>
    <hyperlink ref="I155" r:id="rId57" xr:uid="{2A9B7366-ADEC-4D79-A8AB-C4CB3635C578}"/>
    <hyperlink ref="I153" r:id="rId58" display="mailto:malaviya009@gmail.com" xr:uid="{2E740A3E-BCA3-4669-8E92-A4D71F2AA451}"/>
    <hyperlink ref="I154" r:id="rId59" display="mailto:tusharsane387@gmail.com" xr:uid="{0F98A49E-5445-4584-9DD8-8FA432460131}"/>
    <hyperlink ref="I159" r:id="rId60" xr:uid="{C431EEF8-E926-4990-ACF7-46ADB1A148A2}"/>
    <hyperlink ref="I158" r:id="rId61" xr:uid="{7CCC8806-C778-4CDC-A5F1-065C08FCBE05}"/>
    <hyperlink ref="I160" r:id="rId62" xr:uid="{90055C51-540B-46F3-A48E-D520BEC24E6C}"/>
    <hyperlink ref="I157" r:id="rId63" xr:uid="{85EE3A6D-6E6B-4839-850C-71F37743E6F2}"/>
    <hyperlink ref="I161" r:id="rId64" xr:uid="{22E9B58C-E906-4069-9F5A-A37471F57986}"/>
    <hyperlink ref="I162" r:id="rId65" xr:uid="{269E400D-3069-4981-857F-784511B32561}"/>
    <hyperlink ref="I165" r:id="rId66" xr:uid="{D0A619DE-0F7B-4082-8894-F973BC67AE25}"/>
    <hyperlink ref="I166" r:id="rId67" xr:uid="{3D1B0BFE-EB09-437B-AD00-24FB4EBD5AE8}"/>
    <hyperlink ref="I167" r:id="rId68" xr:uid="{F1D6505C-0554-4E08-A96C-1A2DA9DC23B6}"/>
    <hyperlink ref="I168" r:id="rId69" xr:uid="{3A5D7EA3-DBDF-45C7-B558-C3A68371C864}"/>
    <hyperlink ref="I169" r:id="rId70" xr:uid="{CA515752-B4B0-4ED2-A88F-57C03FC052CB}"/>
    <hyperlink ref="I170" r:id="rId71" xr:uid="{3B6ECC95-54CC-4BC7-84B2-3855655F3060}"/>
    <hyperlink ref="I171" r:id="rId72" xr:uid="{FBECAC44-2C97-457C-AF88-33241DFA3D37}"/>
    <hyperlink ref="I172" r:id="rId73" xr:uid="{196765A0-B340-4B1B-94B5-773BA2C37046}"/>
    <hyperlink ref="I173" r:id="rId74" xr:uid="{929E3191-0916-4DD3-8E63-940D1796348B}"/>
    <hyperlink ref="I174" r:id="rId75" xr:uid="{5EE9331C-55E4-44C0-A1CB-900F9F261622}"/>
    <hyperlink ref="I185" r:id="rId76" xr:uid="{9F100983-4861-45AD-A8FA-AF95B02BBE51}"/>
    <hyperlink ref="I186" r:id="rId77" xr:uid="{707A3EB9-29AE-4D82-8B8E-CF62C45365A8}"/>
    <hyperlink ref="I187" r:id="rId78" xr:uid="{CE9F1DA7-F4DE-442F-9E30-B2F051A90656}"/>
    <hyperlink ref="I178" r:id="rId79" xr:uid="{3F246277-028A-41B8-B0C3-D6E85B41B8AD}"/>
    <hyperlink ref="I188" r:id="rId80" xr:uid="{C87F256A-4E6E-498D-8975-6E7F33826958}"/>
    <hyperlink ref="I189" r:id="rId81" xr:uid="{C8F925C7-6523-4EB9-8851-57AD4E72ECC1}"/>
    <hyperlink ref="I190" r:id="rId82" xr:uid="{63FCB84B-3E84-4F45-B99F-8EEE29CA8570}"/>
    <hyperlink ref="I196" r:id="rId83" xr:uid="{576E2611-9F35-4548-9A23-98E72D45BF84}"/>
    <hyperlink ref="I195" r:id="rId84" xr:uid="{3B7195B0-329F-42E6-974D-1D5ECA145F09}"/>
    <hyperlink ref="I193" r:id="rId85" xr:uid="{FE126668-042B-47A3-8D24-A3EF800082CA}"/>
    <hyperlink ref="I191" r:id="rId86" xr:uid="{5CA8DB97-4C23-4A45-837D-886193FAA554}"/>
    <hyperlink ref="I163" r:id="rId87" xr:uid="{5A567C8D-CA31-4F78-A52B-A79176B63DF5}"/>
    <hyperlink ref="I192" r:id="rId88" xr:uid="{61E21D81-63D0-4EAE-A99F-4D566BDCD861}"/>
    <hyperlink ref="I197" r:id="rId89" xr:uid="{77B54C55-4A7D-4EB5-BA8B-83274DDFFA6C}"/>
    <hyperlink ref="I194" r:id="rId90" xr:uid="{860F1715-3840-4737-B026-3C8D04F98316}"/>
    <hyperlink ref="I206" r:id="rId91" xr:uid="{F9426A95-529E-4A9F-A0CF-A8DEB6405E32}"/>
    <hyperlink ref="I207" r:id="rId92" xr:uid="{DFF28F39-8C78-498C-BC9E-3DCBDF000955}"/>
    <hyperlink ref="I211" r:id="rId93" xr:uid="{94FD1E9F-96C2-4800-A1C3-290A6F579E09}"/>
    <hyperlink ref="I212" r:id="rId94" xr:uid="{9383B520-6CCE-4378-A9A8-2EA2AA6A6BFF}"/>
    <hyperlink ref="I213" r:id="rId95" xr:uid="{39909B52-DE06-4080-95C4-11205596E6D0}"/>
    <hyperlink ref="I214" r:id="rId96" xr:uid="{E4425EE4-E776-44A8-9D60-53488749DB52}"/>
    <hyperlink ref="I215" r:id="rId97" xr:uid="{FEF4E699-1FDF-4C81-8D0D-54E1C6F01AC7}"/>
    <hyperlink ref="I216" r:id="rId98" xr:uid="{FA4AC9F1-1D18-45D3-8B60-CA398EF5CFDF}"/>
    <hyperlink ref="I199" r:id="rId99" xr:uid="{6668F3C9-AB7A-4466-9446-CEC3CA220A05}"/>
    <hyperlink ref="I200" r:id="rId100" xr:uid="{1082AB50-EB13-41B7-AC64-D3AF04645BC0}"/>
    <hyperlink ref="I201" r:id="rId101" xr:uid="{D9FFA0E0-108D-4FBB-BCFD-6C63FAFFC338}"/>
    <hyperlink ref="I202" r:id="rId102" xr:uid="{DF3C45DD-4D5B-4186-BE8E-BA4852746910}"/>
    <hyperlink ref="I222" r:id="rId103" xr:uid="{E5378E0B-F5D5-4B28-8A13-14FDD72B8975}"/>
    <hyperlink ref="I223" r:id="rId104" xr:uid="{408AB0BD-5D0A-4C74-95CB-7DE8D5273AEF}"/>
    <hyperlink ref="I224" r:id="rId105" xr:uid="{04E896E2-DEDF-4BF9-AC39-555D8F8A4A71}"/>
    <hyperlink ref="I225" r:id="rId106" xr:uid="{605951E0-727E-4F6E-A552-7838F22D70DD}"/>
    <hyperlink ref="I226" r:id="rId107" xr:uid="{5FB44083-FC6D-4A00-AC0D-6E7F07B9AD6E}"/>
    <hyperlink ref="I227" r:id="rId108" xr:uid="{B6AF31D9-7284-456F-93FF-39B24429D7FB}"/>
    <hyperlink ref="I228" r:id="rId109" xr:uid="{D042A81D-1C44-462B-8E3F-D7AB2D40A0C8}"/>
    <hyperlink ref="I235" r:id="rId110" xr:uid="{AA13A285-519A-4FD2-8C14-6F1FA2776A10}"/>
    <hyperlink ref="I236" r:id="rId111" xr:uid="{98D05DAF-55F4-4015-8217-D8F1F81B5887}"/>
    <hyperlink ref="I237" r:id="rId112" xr:uid="{2A09AF90-9E96-4622-9B60-15099B068107}"/>
    <hyperlink ref="I238" r:id="rId113" xr:uid="{B7D5DAE2-4109-453C-B797-A184A01DED18}"/>
    <hyperlink ref="I208" r:id="rId114" xr:uid="{80FEB7E0-3202-412D-BBAC-83D0DA858F09}"/>
    <hyperlink ref="I232" r:id="rId115" xr:uid="{0319A4A5-63B3-4897-9A71-407CFB336F10}"/>
    <hyperlink ref="I233" r:id="rId116" xr:uid="{6BAE3CD8-271C-43EC-AD3C-DBB8AECA357A}"/>
    <hyperlink ref="I234" r:id="rId117" xr:uid="{0FCB2666-E12B-4E10-A2F0-A9CA8D67D2D3}"/>
    <hyperlink ref="I239" r:id="rId118" xr:uid="{27DD2F39-874B-4C33-98FC-C83FB09E6FDA}"/>
    <hyperlink ref="I240" r:id="rId119" xr:uid="{B2FE210B-06E1-4708-BAC4-03D8081F5F69}"/>
    <hyperlink ref="I241" r:id="rId120" xr:uid="{3C3B52A9-8BE5-4B42-843B-8EEDEA2F773C}"/>
    <hyperlink ref="I242" r:id="rId121" xr:uid="{A92D6C59-4E71-4A86-891E-1F66A6784CB8}"/>
    <hyperlink ref="I251" r:id="rId122" xr:uid="{A3A3D2C7-ACEF-474F-996D-EDC5389AF088}"/>
    <hyperlink ref="I252" r:id="rId123" xr:uid="{D61CDD9F-ABE2-44B9-B12B-4CC0E66D0667}"/>
    <hyperlink ref="I243" r:id="rId124" xr:uid="{7AA5CB24-8761-4591-B7FF-D60C9AEECC8A}"/>
    <hyperlink ref="I244" r:id="rId125" xr:uid="{389EA52F-AB3F-4D6F-9FED-54B745B7CD15}"/>
    <hyperlink ref="I245" r:id="rId126" xr:uid="{8E996F17-CF36-493E-ACA6-2F0078E06831}"/>
    <hyperlink ref="I220" r:id="rId127" xr:uid="{454FE0E9-8E04-41FC-A70F-879B4F96C461}"/>
    <hyperlink ref="I221" r:id="rId128" xr:uid="{FD736F38-BA13-4957-9618-FA65FE866666}"/>
    <hyperlink ref="I253" r:id="rId129" xr:uid="{0FFE1616-2B3C-4E64-981B-D2C5DF58064C}"/>
    <hyperlink ref="I254" r:id="rId130" xr:uid="{2DED216A-025B-4CD4-ACAE-43B9CDF25EA0}"/>
    <hyperlink ref="I255" r:id="rId131" xr:uid="{8412D27E-4115-4A28-9ECF-6469716760CD}"/>
    <hyperlink ref="I256" r:id="rId132" xr:uid="{3FFECA24-A86F-4986-8C37-D22BE8FCC794}"/>
    <hyperlink ref="I258" r:id="rId133" xr:uid="{96667898-92B5-44DE-B55B-38FDE7EC2431}"/>
    <hyperlink ref="I262" r:id="rId134" xr:uid="{5E0D2286-1C60-43A5-9C47-BC454739B398}"/>
    <hyperlink ref="I263" r:id="rId135" xr:uid="{2657F63E-2887-421B-94E2-A3F24B2A9A52}"/>
    <hyperlink ref="I217" r:id="rId136" xr:uid="{0E20747D-68B8-4C83-833C-B5012A4CCA23}"/>
    <hyperlink ref="I218" r:id="rId137" xr:uid="{2D7987C5-5646-422A-8028-15A55BAD62DA}"/>
    <hyperlink ref="I219" r:id="rId138" xr:uid="{DEE6D99D-29CD-4005-BFC7-6EE482D8BEDF}"/>
    <hyperlink ref="I182" r:id="rId139" xr:uid="{2D3DB169-70FA-4908-8415-1955FF7E7AD1}"/>
    <hyperlink ref="I183" r:id="rId140" xr:uid="{697D1687-9EB1-4CAA-AC3B-44E9AA3DBC79}"/>
    <hyperlink ref="I184" r:id="rId141" xr:uid="{13F98FD9-ABA9-40AB-856A-ECD5C9FBAAC2}"/>
    <hyperlink ref="I246" r:id="rId142" xr:uid="{6CFED61D-B395-4E46-B5B9-A13AF93ED066}"/>
    <hyperlink ref="I247" r:id="rId143" xr:uid="{3AC796CD-F204-432A-9692-73E356920709}"/>
    <hyperlink ref="I248" r:id="rId144" xr:uid="{4087885E-493A-49DB-8D5C-35DC822FCF68}"/>
    <hyperlink ref="I273" r:id="rId145" xr:uid="{BC395D2B-3C07-4CC3-8FE6-45218F6E16F0}"/>
    <hyperlink ref="I275" r:id="rId146" xr:uid="{14ED4333-A60A-4658-8B1E-7381179372DA}"/>
    <hyperlink ref="I266" r:id="rId147" xr:uid="{9F4DF43B-50AC-4B07-8EDA-3F274B54ED6F}"/>
    <hyperlink ref="I259" r:id="rId148" xr:uid="{A9B2CC21-6E29-4015-AC65-B6C3C041C7EA}"/>
    <hyperlink ref="I260" r:id="rId149" xr:uid="{5442EA9A-2F6E-410E-B9C5-16AB3324B124}"/>
    <hyperlink ref="I261" r:id="rId150" xr:uid="{444B4221-5074-4B35-94DD-B22BF58BD122}"/>
    <hyperlink ref="I249" r:id="rId151" xr:uid="{B8DADBEC-03B2-482C-BD44-66BC224BEDCE}"/>
    <hyperlink ref="I250" r:id="rId152" xr:uid="{6FCE772C-BB8B-4460-8BD3-0AA1EA5A9378}"/>
    <hyperlink ref="I276" r:id="rId153" xr:uid="{F22DFD2A-9C13-4D4C-8E23-864C4A3DD557}"/>
    <hyperlink ref="I277" r:id="rId154" xr:uid="{1476F147-E192-4CB6-916D-4A4ACB18D264}"/>
    <hyperlink ref="I272" r:id="rId155" xr:uid="{DC86EF2B-C057-42F6-8993-B1E368A69E8B}"/>
    <hyperlink ref="I270" r:id="rId156" xr:uid="{479CF59D-79FE-4266-8B28-D842731623E6}"/>
    <hyperlink ref="I271" r:id="rId157" xr:uid="{021FF796-C7C6-46CC-832C-521DA2E4872F}"/>
    <hyperlink ref="I269" r:id="rId158" xr:uid="{14CAC272-77A4-40CF-842B-58EA007242FD}"/>
    <hyperlink ref="I278" r:id="rId159" xr:uid="{DA2DEF2C-8F00-4751-907D-3AA707E66798}"/>
    <hyperlink ref="I279" r:id="rId160" xr:uid="{F1BC2EED-B986-4CB1-88C1-0F82E702020E}"/>
    <hyperlink ref="I282" r:id="rId161" xr:uid="{DEE57273-1193-45D0-A9D4-98BA3B9F8920}"/>
    <hyperlink ref="I283" r:id="rId162" xr:uid="{F37BDA08-AB6C-4121-9DA0-20E0F05711F7}"/>
    <hyperlink ref="I284" r:id="rId163" xr:uid="{8D5159FE-7B7D-4F0A-8F37-E53BE9C3F45F}"/>
    <hyperlink ref="I290" r:id="rId164" xr:uid="{20A7680E-D202-4073-9B0D-A0B9333CAC5B}"/>
    <hyperlink ref="I291" r:id="rId165" xr:uid="{B8FC0C25-478D-4A9B-8101-092F535B5AA0}"/>
    <hyperlink ref="I292" r:id="rId166" xr:uid="{F9106740-F9F6-46D0-B4AB-D58C41949856}"/>
    <hyperlink ref="I281" r:id="rId167" xr:uid="{7B936048-CD36-4A97-A7FF-1303E2150B14}"/>
    <hyperlink ref="I288" r:id="rId168" xr:uid="{11FFF84C-F29B-4A5A-ACD3-0DBF2F237056}"/>
    <hyperlink ref="I289" r:id="rId169" xr:uid="{19FD1863-429D-4786-A245-79B3CB75379D}"/>
    <hyperlink ref="I295" r:id="rId170" xr:uid="{3F81919A-C140-4B88-AC81-474751FAA4DB}"/>
    <hyperlink ref="I297" r:id="rId171" xr:uid="{BFF54DCA-FFB6-4E70-9630-E1CECC5B0C1B}"/>
    <hyperlink ref="I298" r:id="rId172" xr:uid="{437F48B7-7A50-4911-B281-44CADBC7F144}"/>
    <hyperlink ref="I299" r:id="rId173" xr:uid="{B03AE15B-A9E9-4559-B1B1-B658EAB758FB}"/>
    <hyperlink ref="I300" r:id="rId174" xr:uid="{52121BAC-54EA-444E-9362-06F50D8ADB92}"/>
    <hyperlink ref="I301" r:id="rId175" xr:uid="{8CD5C333-1057-449C-A7A4-F8B3B62BAF34}"/>
    <hyperlink ref="I312" r:id="rId176" xr:uid="{EE95AD55-E57F-41D6-AA9E-6CD41F523686}"/>
    <hyperlink ref="I313" r:id="rId177" xr:uid="{F46B8A35-1E79-49A0-95B6-4B7EF0402263}"/>
    <hyperlink ref="I314" r:id="rId178" xr:uid="{449C5FD0-3B67-4973-BFAA-FC51FDA4AAE9}"/>
    <hyperlink ref="I302" r:id="rId179" xr:uid="{5485437F-E6A9-4127-8169-CA447AAA4A06}"/>
    <hyperlink ref="I303" r:id="rId180" xr:uid="{7EF8DF98-3C61-49BD-9539-1225F0E1A146}"/>
    <hyperlink ref="I309" r:id="rId181" xr:uid="{429AB957-8C28-4DBA-9526-D252027EFA74}"/>
    <hyperlink ref="I310" r:id="rId182" xr:uid="{F41D1A58-45A1-4D8F-89A8-9346EACF786D}"/>
    <hyperlink ref="I315" r:id="rId183" xr:uid="{84B840E3-087F-4D5C-BD0A-E4E1ECB20183}"/>
    <hyperlink ref="I318" r:id="rId184" xr:uid="{736CD873-87B7-49E9-89BB-4538BA684AE5}"/>
    <hyperlink ref="I304" r:id="rId185" xr:uid="{40D2DB7D-587F-49B7-A4C9-AE70853681A7}"/>
    <hyperlink ref="I308" r:id="rId186" xr:uid="{26375EB3-24E7-4C4B-B515-352B1A9967F3}"/>
    <hyperlink ref="I319" r:id="rId187" xr:uid="{DCFC89B1-FD56-474F-B616-4D599083CF51}"/>
    <hyperlink ref="I321" r:id="rId188" xr:uid="{2AE7656F-A5E9-4899-BFB9-1C9BEC2C3070}"/>
    <hyperlink ref="I322" r:id="rId189" xr:uid="{0B13AAEF-0851-411D-962E-EE3129F2EAB5}"/>
    <hyperlink ref="I323" r:id="rId190" xr:uid="{41480A83-345A-4A0D-856C-EB85AFAE3253}"/>
    <hyperlink ref="I324" r:id="rId191" xr:uid="{F1C17478-D81B-4923-9E75-08680ED5A3D5}"/>
    <hyperlink ref="I311" r:id="rId192" xr:uid="{E3018A8F-BC13-4354-9A28-B8A01446A744}"/>
    <hyperlink ref="I325" r:id="rId193" xr:uid="{F986271E-CBC9-4136-B51C-F93C2B1C576F}"/>
    <hyperlink ref="I326" r:id="rId194" xr:uid="{E24760FB-069E-46B1-9604-5DB0B552CD5F}"/>
    <hyperlink ref="I305" r:id="rId195" xr:uid="{A624A22A-E709-47A1-910D-A2D86D7E67B1}"/>
    <hyperlink ref="I306" r:id="rId196" xr:uid="{8FA6795F-0DD9-427A-B506-9E3ED297DE6E}"/>
    <hyperlink ref="I307" r:id="rId197" xr:uid="{0161212B-8C50-4FA1-B14C-51AF664F0FBF}"/>
    <hyperlink ref="I327" r:id="rId198" xr:uid="{B2462D55-BAA8-46B6-B932-297772FD343C}"/>
    <hyperlink ref="I328" r:id="rId199" xr:uid="{B52F0ED1-D14F-4D48-A4D9-1239A9D6CBEF}"/>
    <hyperlink ref="I354" r:id="rId200" xr:uid="{566C1797-79AB-444F-9071-304C7E2D536E}"/>
    <hyperlink ref="I353" r:id="rId201" xr:uid="{B0D7CC22-ED22-499B-830F-DCCB76E44F6E}"/>
    <hyperlink ref="I355" r:id="rId202" xr:uid="{916BF923-9320-413B-BFA1-5E3AC9A39427}"/>
    <hyperlink ref="I358" r:id="rId203" xr:uid="{5CF52BD2-8A54-48C7-8C80-583DC17AEF7E}"/>
    <hyperlink ref="I356" r:id="rId204" xr:uid="{9FF49663-0BA8-4E2A-867F-03135FABF9AE}"/>
    <hyperlink ref="I343" r:id="rId205" xr:uid="{6BF6019B-4B00-4F9B-9E2D-E488EDB4811C}"/>
    <hyperlink ref="I344" r:id="rId206" xr:uid="{31DDE5E3-E6E4-48F2-8849-A116E31692AF}"/>
    <hyperlink ref="I345" r:id="rId207" xr:uid="{CEA1F249-0941-48E4-B972-4741883723FD}"/>
    <hyperlink ref="I352" r:id="rId208" xr:uid="{EE070BA4-7D46-4955-8B96-46DF5C6103A1}"/>
    <hyperlink ref="I348" r:id="rId209" xr:uid="{7449B040-7A6A-4016-B585-7C4A463C4EE8}"/>
    <hyperlink ref="I349" r:id="rId210" xr:uid="{21891272-59E6-4753-929D-6874965BFC34}"/>
    <hyperlink ref="I350" r:id="rId211" xr:uid="{E297C77D-C14E-40F0-A388-8C2BF5460DE5}"/>
    <hyperlink ref="I346" r:id="rId212" xr:uid="{9CD2DF2E-F8FC-4E1B-88FD-20675F655190}"/>
    <hyperlink ref="I347" r:id="rId213" xr:uid="{60A1D855-7576-4CAA-86F4-CFBB0794418D}"/>
    <hyperlink ref="I351" r:id="rId214" xr:uid="{BA32E9FC-83DF-4CA6-AF37-58C21803C895}"/>
    <hyperlink ref="I332" r:id="rId215" xr:uid="{59386C97-8FF2-4618-8779-803EB5C4A12C}"/>
    <hyperlink ref="I333" r:id="rId216" xr:uid="{12C64457-EB56-463F-A52D-CA62819045F8}"/>
    <hyperlink ref="I334" r:id="rId217" xr:uid="{552CBA00-E064-4C2D-8AD5-B7768F926EF9}"/>
    <hyperlink ref="I335" r:id="rId218" xr:uid="{CD7CF697-8970-4F2E-AC56-E9948CD99CC4}"/>
    <hyperlink ref="I336" r:id="rId219" xr:uid="{226529EB-5CC3-4927-9A31-D5C188B264C5}"/>
    <hyperlink ref="I359" r:id="rId220" xr:uid="{FCF0DA59-3BF5-45B6-8C65-1DD8E3C94DF5}"/>
    <hyperlink ref="I360" r:id="rId221" xr:uid="{8D74661C-D3D4-41DF-9C93-85CB6361871E}"/>
    <hyperlink ref="I361" r:id="rId222" xr:uid="{60C559A4-4EFB-4B10-86D2-8E25CD519458}"/>
    <hyperlink ref="I362" r:id="rId223" xr:uid="{7173E05E-2081-4468-B149-18286BB1FAB3}"/>
    <hyperlink ref="I363" r:id="rId224" xr:uid="{80A28FFB-C841-4451-B09E-0295F0E6229F}"/>
    <hyperlink ref="I337" r:id="rId225" xr:uid="{DA05BA32-85D9-41E7-A9FD-8AE410254FE3}"/>
    <hyperlink ref="I338" r:id="rId226" xr:uid="{89594485-A1C8-49C4-8857-244B48BD6B7F}"/>
    <hyperlink ref="I339" r:id="rId227" xr:uid="{C8762367-61EB-4AD7-A70C-ABC885A1EDB2}"/>
    <hyperlink ref="I340" r:id="rId228" xr:uid="{A0A38A8B-0D59-4F80-9258-E25C4FA832E7}"/>
    <hyperlink ref="I366" r:id="rId229" xr:uid="{F281301C-0537-45C1-AEB3-0282BB59B040}"/>
    <hyperlink ref="I367" r:id="rId230" xr:uid="{3271EDAA-A58D-463C-8AB2-185B1972A1E9}"/>
    <hyperlink ref="I368" r:id="rId231" xr:uid="{02D67977-596C-4109-B861-8D645D4D37CD}"/>
    <hyperlink ref="I369" r:id="rId232" xr:uid="{34B395D9-02D4-4F77-B50C-296556A2D728}"/>
    <hyperlink ref="I370" r:id="rId233" xr:uid="{3C9D7131-48DC-4645-B204-906F2BFF95BA}"/>
    <hyperlink ref="I371" r:id="rId234" xr:uid="{424616DC-53D3-4903-B906-9D679D0EB468}"/>
    <hyperlink ref="I385" r:id="rId235" xr:uid="{274D95CB-BB40-43AC-A30F-EAFAFEF276EA}"/>
    <hyperlink ref="I374" r:id="rId236" xr:uid="{791A1A37-F532-4101-A4DD-2646B0316FA9}"/>
    <hyperlink ref="I375" r:id="rId237" xr:uid="{6AFB2410-BF3F-475B-9580-6983B3076CBF}"/>
    <hyperlink ref="I376" r:id="rId238" xr:uid="{BB044B3C-4E9E-46AB-B864-607043B8CEE7}"/>
    <hyperlink ref="I377" r:id="rId239" xr:uid="{91FFB000-BE81-49EB-97C4-E3629712BEB3}"/>
    <hyperlink ref="I378" r:id="rId240" xr:uid="{55E37B7B-1609-4BF6-B2E8-51C4A33F3980}"/>
    <hyperlink ref="I379" r:id="rId241" xr:uid="{318FE54D-C70C-4E49-9D5C-628E1182354C}"/>
    <hyperlink ref="I380" r:id="rId242" xr:uid="{C481616A-C51D-47D7-96C5-E606D0E903B1}"/>
    <hyperlink ref="I381" r:id="rId243" xr:uid="{F833A140-AFBF-4DAE-9734-8F9BFB69D642}"/>
    <hyperlink ref="I382" r:id="rId244" xr:uid="{EEC8F7CB-7025-47FE-8A50-B8B40D387FBD}"/>
    <hyperlink ref="I383" r:id="rId245" xr:uid="{A2A8A6A9-70F2-4AB8-A783-75377A8EF4B8}"/>
    <hyperlink ref="I384" r:id="rId246" xr:uid="{269AC40E-2183-43D5-A95C-D30A320E02CF}"/>
    <hyperlink ref="I390" r:id="rId247" xr:uid="{9B720A49-E8AC-4926-BC88-A41124D0F59D}"/>
    <hyperlink ref="I391" r:id="rId248" xr:uid="{7EBF995C-3D23-411B-87C6-2A87D806BD66}"/>
    <hyperlink ref="I392" r:id="rId249" xr:uid="{B272DB0E-0901-48A1-8D12-E19750CCA2D3}"/>
    <hyperlink ref="I393" r:id="rId250" xr:uid="{2A4FE77A-AAD1-4CEF-96FB-AFEBB86B5129}"/>
    <hyperlink ref="I394" r:id="rId251" xr:uid="{502F75A7-7630-421A-983A-D787127A64CA}"/>
    <hyperlink ref="I386" r:id="rId252" xr:uid="{C8588606-56B1-4252-BEBB-8AFC774F5D1F}"/>
    <hyperlink ref="I387" r:id="rId253" xr:uid="{79345A5A-DAA9-4023-B496-7FA505D75924}"/>
    <hyperlink ref="I395" r:id="rId254" xr:uid="{E400DE36-EA0A-442D-B68B-E1E8DD6FB3EF}"/>
    <hyperlink ref="I396" r:id="rId255" xr:uid="{CF93FDAD-6B33-48ED-8FCC-35C88A417978}"/>
    <hyperlink ref="I397" r:id="rId256" xr:uid="{5D82B551-D517-4F41-AAFF-1D1AB4FBE2BE}"/>
    <hyperlink ref="I398" r:id="rId257" xr:uid="{3E100DBC-1392-48A7-9D7E-5C3FB948E390}"/>
    <hyperlink ref="I399" r:id="rId258" xr:uid="{094AEB5D-5F56-4EEE-AFC8-1EEE97CA4D23}"/>
    <hyperlink ref="I400" r:id="rId259" xr:uid="{2BC63368-7198-4F84-90F0-C4289D13BE11}"/>
    <hyperlink ref="I401" r:id="rId260" xr:uid="{434085B2-1C0F-43F8-882E-57CDE59FBD5D}"/>
    <hyperlink ref="I402" r:id="rId261" xr:uid="{F995CD3C-D19D-4606-A97A-5FBF6D437BDD}"/>
    <hyperlink ref="I405" r:id="rId262" xr:uid="{6AC403E2-D49F-47E2-8CB5-CB11616FDAB7}"/>
    <hyperlink ref="I406" r:id="rId263" xr:uid="{A715DF79-7745-4986-81E6-B1400B03D85B}"/>
    <hyperlink ref="I407" r:id="rId264" xr:uid="{12288CA4-9E10-419E-B2F3-84489520FA6E}"/>
    <hyperlink ref="I408" r:id="rId265" xr:uid="{8F35013F-C2B1-4203-A2BF-B01254B56875}"/>
    <hyperlink ref="I409" r:id="rId266" xr:uid="{9597E77D-801A-4244-B212-AC8CE557F4F6}"/>
    <hyperlink ref="I410" r:id="rId267" xr:uid="{2689B12D-3711-4576-A01E-A13A2A2521B8}"/>
    <hyperlink ref="I411" r:id="rId268" xr:uid="{676F6B05-C4E7-4270-B03F-8D276359FEF9}"/>
    <hyperlink ref="I414" r:id="rId269" xr:uid="{0CFFE50B-A1CC-4C43-975C-C8905500BC4A}"/>
    <hyperlink ref="I415" r:id="rId270" xr:uid="{A2BEB57D-E5FB-4AAE-8E1D-1CC894E1ADD4}"/>
    <hyperlink ref="I416" r:id="rId271" xr:uid="{2516918F-5923-499C-AF72-50D7B88D6A6D}"/>
    <hyperlink ref="I417" r:id="rId272" xr:uid="{4D04D816-2957-40B0-A76F-3FE22AA9F811}"/>
    <hyperlink ref="I418" r:id="rId273" xr:uid="{63B4D3F7-6F84-46BE-872A-E8B5A0D0532E}"/>
    <hyperlink ref="I419" r:id="rId274" xr:uid="{68228A96-700B-4D83-BD5A-0F9AADBCAFDF}"/>
    <hyperlink ref="I421" r:id="rId275" xr:uid="{0E4B74CF-B51B-4B6A-8898-4E1DADA2D87D}"/>
    <hyperlink ref="I422" r:id="rId276" xr:uid="{25E71655-ABE7-4AFC-8898-DF203693DB01}"/>
    <hyperlink ref="I423" r:id="rId277" xr:uid="{47FA7726-6922-46AA-940C-A885E981D051}"/>
    <hyperlink ref="I425" r:id="rId278" xr:uid="{5526D77B-B736-4918-BAC8-B298D4F4DD4A}"/>
    <hyperlink ref="I426" r:id="rId279" xr:uid="{24642FF6-1EB0-4CDD-8C53-090FFF7C5D42}"/>
    <hyperlink ref="I404" r:id="rId280" xr:uid="{ACA7D35C-2967-4532-88D2-6FFC02C7BC2D}"/>
    <hyperlink ref="I403" r:id="rId281" xr:uid="{05169F31-3E32-46FA-9312-0AD7E18D9F45}"/>
    <hyperlink ref="I420" r:id="rId282" xr:uid="{2D63D026-A491-4388-93A4-D5E02D052142}"/>
    <hyperlink ref="I427" r:id="rId283" xr:uid="{32CB30B0-4D44-49F3-A783-8886B79AEC2B}"/>
    <hyperlink ref="I428" r:id="rId284" xr:uid="{2858563A-BC92-4066-8E31-806B0DD17F31}"/>
    <hyperlink ref="I429" r:id="rId285" xr:uid="{C16425A5-5770-48C2-82C8-EE5A55166336}"/>
    <hyperlink ref="I430" r:id="rId286" xr:uid="{AFAF6387-D044-4CFF-BBD8-BF05BFAAEA68}"/>
    <hyperlink ref="I431" r:id="rId287" xr:uid="{BACDD74C-E050-406E-B701-9C06388F2AA7}"/>
    <hyperlink ref="I432" r:id="rId288" xr:uid="{6A8206AF-1E87-407B-8211-250E87DC89C0}"/>
    <hyperlink ref="I433" r:id="rId289" xr:uid="{D0B67796-6547-439F-A095-7C4A7E9A53D2}"/>
    <hyperlink ref="I434" r:id="rId290" xr:uid="{8BE936AA-3124-4841-9D57-2587A8D01BDE}"/>
    <hyperlink ref="I435" r:id="rId291" xr:uid="{8FA18D2F-ADE5-4B98-98DB-DDB906302337}"/>
    <hyperlink ref="I436" r:id="rId292" xr:uid="{3667BDBC-A53B-4A90-88DE-9E2C01B79ECB}"/>
    <hyperlink ref="I437" r:id="rId293" xr:uid="{3E3F6A28-0468-4C43-904D-1927F8D917F7}"/>
    <hyperlink ref="I444" r:id="rId294" xr:uid="{F78134FD-2B9F-4EBD-93C4-43E6F007776D}"/>
    <hyperlink ref="I443" r:id="rId295" xr:uid="{4CD1F986-FEED-495D-AC0D-9E32F0684774}"/>
    <hyperlink ref="I441" r:id="rId296" xr:uid="{96E910D1-86D0-4EFF-9F48-C0C51B184B9D}"/>
    <hyperlink ref="I442" r:id="rId297" xr:uid="{936AE79E-2ED1-4EDC-A50D-201FADCD4444}"/>
    <hyperlink ref="I439" r:id="rId298" xr:uid="{6D412EE2-3906-43B2-B552-08B071571508}"/>
    <hyperlink ref="I440" r:id="rId299" xr:uid="{8B1F4783-8C12-429A-AD4D-9337F3344EA3}"/>
    <hyperlink ref="I446" r:id="rId300" xr:uid="{B5B7D19E-6A86-4952-8D66-AF151BEB9846}"/>
    <hyperlink ref="I447" r:id="rId301" xr:uid="{913411D1-0B6B-4FD5-A1F6-3A5FD7F90F04}"/>
    <hyperlink ref="I448" r:id="rId302" xr:uid="{EAE0A8A3-95FB-47BC-93A5-FAE4A743D0DD}"/>
    <hyperlink ref="I449" r:id="rId303" xr:uid="{9BC6F9F8-9344-4DDB-8C60-C286C1B95ACD}"/>
    <hyperlink ref="I450" r:id="rId304" xr:uid="{423A1713-6677-4D7E-A3CE-32FA9A403EBD}"/>
    <hyperlink ref="I451" r:id="rId305" xr:uid="{F1D35CC9-CE63-4559-B941-17BCFFC56F41}"/>
    <hyperlink ref="I452" r:id="rId306" xr:uid="{6DCC393C-1337-4621-8351-D0A93B2EDF24}"/>
    <hyperlink ref="I453" r:id="rId307" xr:uid="{E2F65DA3-D1E4-40C0-AB62-89C382DDCF50}"/>
    <hyperlink ref="I456" r:id="rId308" xr:uid="{12605112-E01D-42CD-B5FE-2E857827C350}"/>
    <hyperlink ref="I457" r:id="rId309" xr:uid="{544F4741-1A4C-452D-A1BA-9B087EC4EBE9}"/>
    <hyperlink ref="I454" r:id="rId310" xr:uid="{D5862939-48B9-48B8-9405-BE5B44EAC103}"/>
    <hyperlink ref="I455" r:id="rId311" xr:uid="{EDC57EDA-DBE1-46D3-A700-A5E086812C7F}"/>
    <hyperlink ref="I465" r:id="rId312" xr:uid="{EE5EFE14-1A9A-4465-8BCB-055D0E6FD16C}"/>
    <hyperlink ref="I466" r:id="rId313" xr:uid="{76F19EEE-7D05-41B9-A716-0A6476D82CC4}"/>
    <hyperlink ref="I458" r:id="rId314" xr:uid="{3BE76A8E-A11F-4405-A9DD-3D5C7F5FFFE7}"/>
    <hyperlink ref="I459" r:id="rId315" xr:uid="{1163664F-E47D-4AEB-9623-6319CD23DC3D}"/>
    <hyperlink ref="I460" r:id="rId316" xr:uid="{6692FB2F-DAC8-4626-8F4D-228B039DC9AD}"/>
    <hyperlink ref="I461" r:id="rId317" xr:uid="{2E832782-2F59-41FC-B937-B787ED408D70}"/>
    <hyperlink ref="I462" r:id="rId318" xr:uid="{C2255BE4-CA0C-4948-A391-E9B6597A30FA}"/>
    <hyperlink ref="I463" r:id="rId319" xr:uid="{7173CDB6-8A93-4779-ACD1-FE912CB3238C}"/>
    <hyperlink ref="I464" r:id="rId320" xr:uid="{C62EC729-69B2-4F4E-ABF1-3BE5DE02252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38F49-9195-4C05-9F72-62F40C3E70D3}">
  <sheetPr filterMode="1"/>
  <dimension ref="A1:AB61"/>
  <sheetViews>
    <sheetView topLeftCell="B26" zoomScale="80" zoomScaleNormal="80" workbookViewId="0">
      <selection activeCell="B26" sqref="B26:B34"/>
    </sheetView>
  </sheetViews>
  <sheetFormatPr defaultRowHeight="14.5"/>
  <cols>
    <col min="1" max="1" width="20" bestFit="1" customWidth="1"/>
    <col min="2" max="2" width="34.1796875" bestFit="1" customWidth="1"/>
    <col min="3" max="3" width="13.54296875" bestFit="1" customWidth="1"/>
    <col min="4" max="4" width="24.1796875" bestFit="1" customWidth="1"/>
    <col min="5" max="5" width="26.26953125" bestFit="1" customWidth="1"/>
    <col min="6" max="6" width="13.7265625" bestFit="1" customWidth="1"/>
    <col min="7" max="7" width="18.7265625" customWidth="1"/>
    <col min="8" max="9" width="17.26953125" customWidth="1"/>
    <col min="10" max="10" width="21.26953125" customWidth="1"/>
    <col min="11" max="11" width="14.453125" bestFit="1" customWidth="1"/>
    <col min="12" max="12" width="13.1796875" bestFit="1" customWidth="1"/>
  </cols>
  <sheetData>
    <row r="1" spans="1:28" ht="17">
      <c r="A1" s="3" t="s">
        <v>2779</v>
      </c>
      <c r="B1" s="4" t="s">
        <v>4</v>
      </c>
      <c r="C1" s="4" t="s">
        <v>2</v>
      </c>
      <c r="D1" s="4" t="s">
        <v>2780</v>
      </c>
      <c r="E1" s="4" t="s">
        <v>2781</v>
      </c>
      <c r="F1" s="5" t="s">
        <v>22</v>
      </c>
      <c r="G1" s="4" t="s">
        <v>1261</v>
      </c>
      <c r="H1" s="4" t="s">
        <v>741</v>
      </c>
      <c r="I1" s="4" t="s">
        <v>1260</v>
      </c>
      <c r="J1" s="4" t="s">
        <v>143</v>
      </c>
      <c r="K1" s="4" t="s">
        <v>9</v>
      </c>
      <c r="L1" s="6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idden="1">
      <c r="A2" s="7">
        <f>_xlfn.XLOOKUP(B2,'Position Tracker'!E:E,'Position Tracker'!B:B,,0)</f>
        <v>45401</v>
      </c>
      <c r="B2" s="7" t="s">
        <v>31</v>
      </c>
      <c r="C2" s="8">
        <f ca="1">NETWORKDAYS.INTL(A2,TODAY(),1,'HELPER(Dont Delete)'!A:A)</f>
        <v>419</v>
      </c>
      <c r="D2" s="8" t="e">
        <f>VLOOKUP(B2,'Position Tracker'!E:F,3,0)</f>
        <v>#REF!</v>
      </c>
      <c r="E2" s="8">
        <f>COUNTIFS('Candidate Tracker'!D:D,B2)</f>
        <v>6</v>
      </c>
      <c r="F2" s="9" t="str">
        <f>_xlfn.XLOOKUP(B2,'Position Tracker'!E:E,'Position Tracker'!X:X,,0)</f>
        <v>100%</v>
      </c>
      <c r="G2" s="8">
        <f>COUNTIFS('Candidate Tracker'!D:D,B2,'Candidate Tracker'!W:W,"Screening Stage")</f>
        <v>0</v>
      </c>
      <c r="H2" s="8">
        <f>COUNTIFS('Candidate Tracker'!D:D,B2,'Candidate Tracker'!W:W,"L1 Stage")</f>
        <v>0</v>
      </c>
      <c r="I2" s="8">
        <f>COUNTIFS('Candidate Tracker'!D:D,B2,'Candidate Tracker'!W:W,"L2 Stage")</f>
        <v>0</v>
      </c>
      <c r="J2" s="8">
        <f>COUNTIFS('Candidate Tracker'!D:D,B2,'Candidate Tracker'!W:W,"Offer Stage")</f>
        <v>0</v>
      </c>
      <c r="K2" s="10" t="str">
        <f>_xlfn.XLOOKUP(B2,'Position Tracker'!E:E,'Position Tracker'!J:J,,0)</f>
        <v>Hold</v>
      </c>
      <c r="L2" s="11" t="str">
        <f>_xlfn.XLOOKUP(B2,'Position Tracker'!E:E,'Position Tracker'!Y:Y,,0)</f>
        <v>RL3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idden="1">
      <c r="A3" s="43">
        <f>_xlfn.XLOOKUP(B3,'Position Tracker'!E:E,'Position Tracker'!B:B,,0)</f>
        <v>45356</v>
      </c>
      <c r="B3" s="2" t="s">
        <v>44</v>
      </c>
      <c r="C3" s="42">
        <f ca="1">NETWORKDAYS.INTL(A3,TODAY(),1,'HELPER(Dont Delete)'!A:A)</f>
        <v>444</v>
      </c>
      <c r="D3" s="12" t="e">
        <f>VLOOKUP(B3,'Position Tracker'!E:F,3,0)</f>
        <v>#REF!</v>
      </c>
      <c r="E3" s="12">
        <f>COUNTIFS('Candidate Tracker'!D:D,B3)</f>
        <v>5</v>
      </c>
      <c r="F3" s="44">
        <f>_xlfn.XLOOKUP(B3,'Position Tracker'!E:E,'Position Tracker'!X:X,,0)</f>
        <v>0.8</v>
      </c>
      <c r="G3" s="12">
        <f>COUNTIFS('Candidate Tracker'!D:D,B3,'Candidate Tracker'!W:W,"Screening Stage")</f>
        <v>0</v>
      </c>
      <c r="H3" s="12">
        <f>COUNTIFS('Candidate Tracker'!D:D,B3,'Candidate Tracker'!W:W,"L1 Stage")</f>
        <v>0</v>
      </c>
      <c r="I3" s="12">
        <f>COUNTIFS('Candidate Tracker'!D:D,B3,'Candidate Tracker'!W:W,"L2 Stage")</f>
        <v>0</v>
      </c>
      <c r="J3" s="12">
        <f>COUNTIFS('Candidate Tracker'!D:D,B3,'Candidate Tracker'!W:W,"Offer Stage")</f>
        <v>0</v>
      </c>
      <c r="K3" s="13" t="str">
        <f>_xlfn.XLOOKUP(B3,'Position Tracker'!E:E,'Position Tracker'!J:J,,0)</f>
        <v>Scap</v>
      </c>
      <c r="L3" s="14" t="str">
        <f>_xlfn.XLOOKUP(B3,'Position Tracker'!E:E,'Position Tracker'!Y:Y,,0)</f>
        <v>RL1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idden="1">
      <c r="A4" s="7">
        <f>_xlfn.XLOOKUP(B4,'Position Tracker'!E:E,'Position Tracker'!B:B,,0)</f>
        <v>45299</v>
      </c>
      <c r="B4" s="7" t="s">
        <v>52</v>
      </c>
      <c r="C4" s="8">
        <f ca="1">NETWORKDAYS.INTL(A4,TODAY(),1,'HELPER(Dont Delete)'!A:A)</f>
        <v>479</v>
      </c>
      <c r="D4" s="8" t="e">
        <f>VLOOKUP(B4,'Position Tracker'!E:F,3,0)</f>
        <v>#REF!</v>
      </c>
      <c r="E4" s="8">
        <f>COUNTIFS('Candidate Tracker'!D:D,B4)</f>
        <v>11</v>
      </c>
      <c r="F4" s="9">
        <f>_xlfn.XLOOKUP(B4,'Position Tracker'!E:E,'Position Tracker'!X:X,,0)</f>
        <v>0.81818181818181823</v>
      </c>
      <c r="G4" s="8">
        <f>COUNTIFS('Candidate Tracker'!D:D,B4,'Candidate Tracker'!W:W,"Screening Stage")</f>
        <v>0</v>
      </c>
      <c r="H4" s="8">
        <f>COUNTIFS('Candidate Tracker'!D:D,B4,'Candidate Tracker'!W:W,"L1 Stage")</f>
        <v>0</v>
      </c>
      <c r="I4" s="8">
        <f>COUNTIFS('Candidate Tracker'!D:D,B4,'Candidate Tracker'!W:W,"L2 Stage")</f>
        <v>0</v>
      </c>
      <c r="J4" s="8">
        <f>COUNTIFS('Candidate Tracker'!D:D,B4,'Candidate Tracker'!W:W,"Offer Stage")</f>
        <v>0</v>
      </c>
      <c r="K4" s="10" t="str">
        <f>_xlfn.XLOOKUP(B4,'Position Tracker'!E:E,'Position Tracker'!J:J,,0)</f>
        <v>Joined</v>
      </c>
      <c r="L4" s="11" t="str">
        <f>_xlfn.XLOOKUP(B4,'Position Tracker'!E:E,'Position Tracker'!Y:Y,,0)</f>
        <v>RL2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idden="1">
      <c r="A5" s="43">
        <f>_xlfn.XLOOKUP(B5,'Position Tracker'!E:E,'Position Tracker'!B:B,,0)</f>
        <v>45327</v>
      </c>
      <c r="B5" s="2" t="s">
        <v>61</v>
      </c>
      <c r="C5" s="42">
        <f ca="1">NETWORKDAYS.INTL(A5,TODAY(),1,'HELPER(Dont Delete)'!A:A)</f>
        <v>463</v>
      </c>
      <c r="D5" s="12" t="e">
        <f>VLOOKUP(B5,'Position Tracker'!E:F,3,0)</f>
        <v>#REF!</v>
      </c>
      <c r="E5" s="12">
        <f>COUNTIFS('Candidate Tracker'!D:D,B5)</f>
        <v>25</v>
      </c>
      <c r="F5" s="44">
        <f>_xlfn.XLOOKUP(B5,'Position Tracker'!E:E,'Position Tracker'!X:X,,0)</f>
        <v>0.72</v>
      </c>
      <c r="G5" s="12">
        <f>COUNTIFS('Candidate Tracker'!D:D,B5,'Candidate Tracker'!W:W,"Screening Stage")</f>
        <v>0</v>
      </c>
      <c r="H5" s="12">
        <f>COUNTIFS('Candidate Tracker'!D:D,B5,'Candidate Tracker'!W:W,"L1 Stage")</f>
        <v>0</v>
      </c>
      <c r="I5" s="12">
        <f>COUNTIFS('Candidate Tracker'!D:D,B5,'Candidate Tracker'!W:W,"L2 Stage")</f>
        <v>0</v>
      </c>
      <c r="J5" s="12">
        <f>COUNTIFS('Candidate Tracker'!D:D,B5,'Candidate Tracker'!W:W,"Offer Stage")</f>
        <v>0</v>
      </c>
      <c r="K5" s="13" t="str">
        <f>_xlfn.XLOOKUP(B5,'Position Tracker'!E:E,'Position Tracker'!J:J,,0)</f>
        <v>Joined</v>
      </c>
      <c r="L5" s="14" t="str">
        <f>_xlfn.XLOOKUP(B5,'Position Tracker'!E:E,'Position Tracker'!Y:Y,,0)</f>
        <v>RL2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idden="1">
      <c r="A6" s="7">
        <f>_xlfn.XLOOKUP(B6,'Position Tracker'!E:E,'Position Tracker'!B:B,,0)</f>
        <v>45356</v>
      </c>
      <c r="B6" s="7" t="s">
        <v>65</v>
      </c>
      <c r="C6" s="8">
        <f ca="1">NETWORKDAYS.INTL(A6,TODAY(),1,'HELPER(Dont Delete)'!A:A)</f>
        <v>444</v>
      </c>
      <c r="D6" s="8" t="e">
        <f>VLOOKUP(B6,'Position Tracker'!E:F,3,0)</f>
        <v>#REF!</v>
      </c>
      <c r="E6" s="8">
        <f>COUNTIFS('Candidate Tracker'!D:D,B6)</f>
        <v>0</v>
      </c>
      <c r="F6" s="9">
        <f>_xlfn.XLOOKUP(B6,'Position Tracker'!E:E,'Position Tracker'!X:X,,0)</f>
        <v>0</v>
      </c>
      <c r="G6" s="8">
        <f>COUNTIFS('Candidate Tracker'!D:D,B6,'Candidate Tracker'!W:W,"Screening Stage")</f>
        <v>0</v>
      </c>
      <c r="H6" s="8">
        <f>COUNTIFS('Candidate Tracker'!D:D,B6,'Candidate Tracker'!W:W,"L1 Stage")</f>
        <v>0</v>
      </c>
      <c r="I6" s="8">
        <f>COUNTIFS('Candidate Tracker'!D:D,B6,'Candidate Tracker'!W:W,"L2 Stage")</f>
        <v>0</v>
      </c>
      <c r="J6" s="8">
        <f>COUNTIFS('Candidate Tracker'!D:D,B6,'Candidate Tracker'!W:W,"Offer Stage")</f>
        <v>0</v>
      </c>
      <c r="K6" s="10" t="str">
        <f>_xlfn.XLOOKUP(B6,'Position Tracker'!E:E,'Position Tracker'!J:J,,0)</f>
        <v>Joined</v>
      </c>
      <c r="L6" s="11" t="str">
        <f>_xlfn.XLOOKUP(B6,'Position Tracker'!E:E,'Position Tracker'!Y:Y,,0)</f>
        <v>RL1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idden="1">
      <c r="A7" s="43">
        <f>_xlfn.XLOOKUP(B7,'Position Tracker'!E:E,'Position Tracker'!B:B,,0)</f>
        <v>45356</v>
      </c>
      <c r="B7" s="2" t="s">
        <v>67</v>
      </c>
      <c r="C7" s="42">
        <f ca="1">NETWORKDAYS.INTL(A7,TODAY(),1,'HELPER(Dont Delete)'!A:A)</f>
        <v>444</v>
      </c>
      <c r="D7" s="12" t="e">
        <f>VLOOKUP(B7,'Position Tracker'!E:F,3,0)</f>
        <v>#REF!</v>
      </c>
      <c r="E7" s="12">
        <f>COUNTIFS('Candidate Tracker'!D:D,B7)</f>
        <v>24</v>
      </c>
      <c r="F7" s="44">
        <f>_xlfn.XLOOKUP(B7,'Position Tracker'!E:E,'Position Tracker'!X:X,,0)</f>
        <v>0.83333333333333337</v>
      </c>
      <c r="G7" s="12">
        <f>COUNTIFS('Candidate Tracker'!D:D,B7,'Candidate Tracker'!W:W,"Screening Stage")</f>
        <v>0</v>
      </c>
      <c r="H7" s="12">
        <f>COUNTIFS('Candidate Tracker'!D:D,B7,'Candidate Tracker'!W:W,"L1 Stage")</f>
        <v>0</v>
      </c>
      <c r="I7" s="12">
        <f>COUNTIFS('Candidate Tracker'!D:D,B7,'Candidate Tracker'!W:W,"L2 Stage")</f>
        <v>0</v>
      </c>
      <c r="J7" s="12">
        <f>COUNTIFS('Candidate Tracker'!D:D,B7,'Candidate Tracker'!W:W,"Offer Stage")</f>
        <v>0</v>
      </c>
      <c r="K7" s="13" t="str">
        <f>_xlfn.XLOOKUP(B7,'Position Tracker'!E:E,'Position Tracker'!J:J,,0)</f>
        <v>Hold</v>
      </c>
      <c r="L7" s="14" t="str">
        <f>_xlfn.XLOOKUP(B7,'Position Tracker'!E:E,'Position Tracker'!Y:Y,,0)</f>
        <v>RL1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idden="1">
      <c r="A8" s="7">
        <f>_xlfn.XLOOKUP(B8,'Position Tracker'!E:E,'Position Tracker'!B:B,,0)</f>
        <v>45476</v>
      </c>
      <c r="B8" s="7" t="s">
        <v>69</v>
      </c>
      <c r="C8" s="8">
        <f ca="1">NETWORKDAYS.INTL(A8,TODAY(),1,'HELPER(Dont Delete)'!A:A)</f>
        <v>369</v>
      </c>
      <c r="D8" s="8" t="e">
        <f>VLOOKUP(B8,'Position Tracker'!E:F,3,0)</f>
        <v>#REF!</v>
      </c>
      <c r="E8" s="8">
        <f>COUNTIFS('Candidate Tracker'!D:D,B8)</f>
        <v>21</v>
      </c>
      <c r="F8" s="9">
        <f>_xlfn.XLOOKUP(B8,'Position Tracker'!E:E,'Position Tracker'!X:X,,0)</f>
        <v>0.85</v>
      </c>
      <c r="G8" s="8">
        <f>COUNTIFS('Candidate Tracker'!D:D,B8,'Candidate Tracker'!W:W,"Screening Stage")</f>
        <v>1</v>
      </c>
      <c r="H8" s="8">
        <f>COUNTIFS('Candidate Tracker'!D:D,B8,'Candidate Tracker'!W:W,"L1 Stage")</f>
        <v>1</v>
      </c>
      <c r="I8" s="8">
        <f>COUNTIFS('Candidate Tracker'!D:D,B8,'Candidate Tracker'!W:W,"L2 Stage")</f>
        <v>0</v>
      </c>
      <c r="J8" s="8">
        <f>COUNTIFS('Candidate Tracker'!D:D,B8,'Candidate Tracker'!W:W,"Offer Stage")</f>
        <v>0</v>
      </c>
      <c r="K8" s="10" t="str">
        <f>_xlfn.XLOOKUP(B8,'Position Tracker'!E:E,'Position Tracker'!J:J,,0)</f>
        <v>Joined</v>
      </c>
      <c r="L8" s="11" t="str">
        <f>_xlfn.XLOOKUP(B8,'Position Tracker'!E:E,'Position Tracker'!Y:Y,,0)</f>
        <v>RL1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idden="1">
      <c r="A9" s="43">
        <f>_xlfn.XLOOKUP(B9,'Position Tracker'!E:E,'Position Tracker'!B:B,,0)</f>
        <v>45476</v>
      </c>
      <c r="B9" s="2" t="s">
        <v>72</v>
      </c>
      <c r="C9" s="42">
        <f ca="1">NETWORKDAYS.INTL(A9,TODAY(),1,'HELPER(Dont Delete)'!A:A)-9</f>
        <v>360</v>
      </c>
      <c r="D9" s="12" t="e">
        <f>VLOOKUP(B9,'Position Tracker'!E:F,3,0)</f>
        <v>#REF!</v>
      </c>
      <c r="E9" s="12">
        <f>COUNTIFS('Candidate Tracker'!D:D,B9)</f>
        <v>8</v>
      </c>
      <c r="F9" s="44">
        <f>_xlfn.XLOOKUP(B9,'Position Tracker'!E:E,'Position Tracker'!X:X,,0)</f>
        <v>0.875</v>
      </c>
      <c r="G9" s="12">
        <f>COUNTIFS('Candidate Tracker'!D:D,B9,'Candidate Tracker'!W:W,"Screening Stage")</f>
        <v>0</v>
      </c>
      <c r="H9" s="12">
        <f>COUNTIFS('Candidate Tracker'!D:D,B9,'Candidate Tracker'!W:W,"L1 Stage")</f>
        <v>2</v>
      </c>
      <c r="I9" s="12">
        <f>COUNTIFS('Candidate Tracker'!D:D,B9,'Candidate Tracker'!W:W,"L2 Stage")</f>
        <v>0</v>
      </c>
      <c r="J9" s="12">
        <f>COUNTIFS('Candidate Tracker'!D:D,B9,'Candidate Tracker'!W:W,"Offer Stage")</f>
        <v>0</v>
      </c>
      <c r="K9" s="13" t="str">
        <f>_xlfn.XLOOKUP(B9,'Position Tracker'!E:E,'Position Tracker'!J:J,,0)</f>
        <v>Hold</v>
      </c>
      <c r="L9" s="14" t="str">
        <f>_xlfn.XLOOKUP(B9,'Position Tracker'!E:E,'Position Tracker'!Y:Y,,0)</f>
        <v>RL1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idden="1">
      <c r="A10" s="7">
        <f>_xlfn.XLOOKUP(B10,'Position Tracker'!E:E,'Position Tracker'!B:B,,0)</f>
        <v>45548</v>
      </c>
      <c r="B10" s="7" t="s">
        <v>77</v>
      </c>
      <c r="C10" s="8">
        <f ca="1">NETWORKDAYS.INTL(A10,TODAY(),1,'HELPER(Dont Delete)'!A:A)</f>
        <v>321</v>
      </c>
      <c r="D10" s="8" t="e">
        <f>VLOOKUP(B10,'Position Tracker'!E:F,3,0)</f>
        <v>#REF!</v>
      </c>
      <c r="E10" s="8">
        <f>COUNTIFS('Candidate Tracker'!D:D,B10)</f>
        <v>6</v>
      </c>
      <c r="F10" s="9" t="str">
        <f>_xlfn.XLOOKUP(B10,'Position Tracker'!E:E,'Position Tracker'!X:X,,0)</f>
        <v>100%</v>
      </c>
      <c r="G10" s="8">
        <f>COUNTIFS('Candidate Tracker'!D:D,B10,'Candidate Tracker'!W:W,"Screening Stage")</f>
        <v>2</v>
      </c>
      <c r="H10" s="8">
        <f>COUNTIFS('Candidate Tracker'!D:D,B10,'Candidate Tracker'!W:W,"L1 Stage")</f>
        <v>1</v>
      </c>
      <c r="I10" s="8">
        <f>COUNTIFS('Candidate Tracker'!D:D,B10,'Candidate Tracker'!W:W,"L2 Stage")</f>
        <v>0</v>
      </c>
      <c r="J10" s="8">
        <f>COUNTIFS('Candidate Tracker'!D:D,B10,'Candidate Tracker'!W:W,"Offer Stage")</f>
        <v>0</v>
      </c>
      <c r="K10" s="10" t="str">
        <f>_xlfn.XLOOKUP(B10,'Position Tracker'!E:E,'Position Tracker'!J:J,,0)</f>
        <v>Joined</v>
      </c>
      <c r="L10" s="11" t="str">
        <f>_xlfn.XLOOKUP(B10,'Position Tracker'!E:E,'Position Tracker'!Y:Y,,0)</f>
        <v>RL1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idden="1">
      <c r="A11" s="43">
        <f>_xlfn.XLOOKUP(B11,'Position Tracker'!E:E,'Position Tracker'!B:B,,0)</f>
        <v>45551</v>
      </c>
      <c r="B11" s="2" t="s">
        <v>80</v>
      </c>
      <c r="C11" s="42">
        <f ca="1">NETWORKDAYS.INTL(A11,TODAY(),1,'HELPER(Dont Delete)'!A:A)</f>
        <v>320</v>
      </c>
      <c r="D11" s="12" t="e">
        <f>VLOOKUP(B11,'Position Tracker'!E:F,3,0)</f>
        <v>#REF!</v>
      </c>
      <c r="E11" s="12">
        <f>COUNTIFS('Candidate Tracker'!D:D,B11)</f>
        <v>14</v>
      </c>
      <c r="F11" s="44">
        <f>_xlfn.XLOOKUP(B11,'Position Tracker'!E:E,'Position Tracker'!X:X,,0)</f>
        <v>0.7857142857142857</v>
      </c>
      <c r="G11" s="12">
        <f>COUNTIFS('Candidate Tracker'!D:D,B11,'Candidate Tracker'!W:W,"Screening Stage")</f>
        <v>0</v>
      </c>
      <c r="H11" s="12">
        <f>COUNTIFS('Candidate Tracker'!D:D,B11,'Candidate Tracker'!W:W,"L1 Stage")</f>
        <v>0</v>
      </c>
      <c r="I11" s="12">
        <f>COUNTIFS('Candidate Tracker'!D:D,B11,'Candidate Tracker'!W:W,"L2 Stage")</f>
        <v>0</v>
      </c>
      <c r="J11" s="12">
        <f>COUNTIFS('Candidate Tracker'!D:D,B11,'Candidate Tracker'!W:W,"Offer Stage")</f>
        <v>0</v>
      </c>
      <c r="K11" s="13" t="str">
        <f>_xlfn.XLOOKUP(B11,'Position Tracker'!E:E,'Position Tracker'!J:J,,0)</f>
        <v>Joined</v>
      </c>
      <c r="L11" s="14" t="str">
        <f>_xlfn.XLOOKUP(B11,'Position Tracker'!E:E,'Position Tracker'!Y:Y,,0)</f>
        <v>RL2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idden="1">
      <c r="A12" s="7">
        <f>_xlfn.XLOOKUP(B12,'Position Tracker'!E:E,'Position Tracker'!B:B,,0)</f>
        <v>45593</v>
      </c>
      <c r="B12" s="7" t="s">
        <v>84</v>
      </c>
      <c r="C12" s="8">
        <f ca="1">NETWORKDAYS.INTL(A12,TODAY(),1,'HELPER(Dont Delete)'!A:A)</f>
        <v>295</v>
      </c>
      <c r="D12" s="8" t="e">
        <f>VLOOKUP(B12,'Position Tracker'!E:F,3,0)</f>
        <v>#REF!</v>
      </c>
      <c r="E12" s="8">
        <f>COUNTIFS('Candidate Tracker'!D:D,B12)</f>
        <v>8</v>
      </c>
      <c r="F12" s="9">
        <f>_xlfn.XLOOKUP(B12,'Position Tracker'!E:E,'Position Tracker'!X:X,,0)</f>
        <v>0.875</v>
      </c>
      <c r="G12" s="8">
        <f>COUNTIFS('Candidate Tracker'!D:D,B12,'Candidate Tracker'!W:W,"Screening Stage")</f>
        <v>0</v>
      </c>
      <c r="H12" s="8">
        <f>COUNTIFS('Candidate Tracker'!D:D,B12,'Candidate Tracker'!W:W,"L1 Stage")</f>
        <v>4</v>
      </c>
      <c r="I12" s="8">
        <f>COUNTIFS('Candidate Tracker'!D:D,B12,'Candidate Tracker'!W:W,"L2 Stage")</f>
        <v>0</v>
      </c>
      <c r="J12" s="8">
        <f>COUNTIFS('Candidate Tracker'!D:D,B12,'Candidate Tracker'!W:W,"Offer Stage")</f>
        <v>0</v>
      </c>
      <c r="K12" s="10" t="str">
        <f>_xlfn.XLOOKUP(B12,'Position Tracker'!E:E,'Position Tracker'!J:J,,0)</f>
        <v>Hold</v>
      </c>
      <c r="L12" s="11" t="str">
        <f>_xlfn.XLOOKUP(B12,'Position Tracker'!E:E,'Position Tracker'!Y:Y,,0)</f>
        <v>RL3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idden="1">
      <c r="A13" s="191">
        <f>_xlfn.XLOOKUP(B13,'Position Tracker'!E:E,'Position Tracker'!B:B,,0)</f>
        <v>45629</v>
      </c>
      <c r="B13" t="s">
        <v>89</v>
      </c>
      <c r="C13" s="33">
        <f ca="1">NETWORKDAYS.INTL(A13,TODAY(),1,'HELPER(Dont Delete)'!A:A)</f>
        <v>272</v>
      </c>
      <c r="D13" s="192" t="e">
        <f>VLOOKUP(B13,'Position Tracker'!E:F,3,0)</f>
        <v>#REF!</v>
      </c>
      <c r="E13" s="192">
        <f>COUNTIFS('Candidate Tracker'!D:D,B13)</f>
        <v>8</v>
      </c>
      <c r="F13" s="193">
        <f>_xlfn.XLOOKUP(B13,'Position Tracker'!E:E,'Position Tracker'!X:X,,0)</f>
        <v>0.875</v>
      </c>
      <c r="G13" s="192">
        <f>COUNTIFS('Candidate Tracker'!D:D,B13,'Candidate Tracker'!W:W,"Screening Stage")</f>
        <v>0</v>
      </c>
      <c r="H13" s="192">
        <f>COUNTIFS('Candidate Tracker'!D:D,B13,'Candidate Tracker'!W:W,"L1 Stage")</f>
        <v>0</v>
      </c>
      <c r="I13" s="192">
        <f>COUNTIFS('Candidate Tracker'!D:D,B13,'Candidate Tracker'!W:W,"L2 Stage")</f>
        <v>0</v>
      </c>
      <c r="J13" s="192">
        <f>COUNTIFS('Candidate Tracker'!D:D,B13,'Candidate Tracker'!W:W,"Offer Stage")</f>
        <v>0</v>
      </c>
      <c r="K13" s="194" t="str">
        <f>_xlfn.XLOOKUP(B13,'Position Tracker'!E:E,'Position Tracker'!J:J,,0)</f>
        <v>Joined</v>
      </c>
      <c r="L13" s="195" t="str">
        <f>_xlfn.XLOOKUP(B13,'Position Tracker'!E:E,'Position Tracker'!Y:Y,,0)</f>
        <v>RL2</v>
      </c>
    </row>
    <row r="14" spans="1:28" hidden="1">
      <c r="A14" s="7">
        <f>_xlfn.XLOOKUP(B14,'Position Tracker'!E:E,'Position Tracker'!B:B,,0)</f>
        <v>45628</v>
      </c>
      <c r="B14" s="7" t="s">
        <v>92</v>
      </c>
      <c r="C14" s="8">
        <f ca="1">NETWORKDAYS.INTL(A14,TODAY(),1,'HELPER(Dont Delete)'!A:A)</f>
        <v>273</v>
      </c>
      <c r="D14" s="8" t="e">
        <f>VLOOKUP(B14,'Position Tracker'!E:F,3,0)</f>
        <v>#REF!</v>
      </c>
      <c r="E14" s="8">
        <f>COUNTIFS('Candidate Tracker'!D:D,B14)</f>
        <v>4</v>
      </c>
      <c r="F14" s="9">
        <f>_xlfn.XLOOKUP(B14,'Position Tracker'!E:E,'Position Tracker'!X:X,,0)</f>
        <v>0.75</v>
      </c>
      <c r="G14" s="8">
        <f>COUNTIFS('Candidate Tracker'!D:D,B14,'Candidate Tracker'!W:W,"Screening Stage")</f>
        <v>0</v>
      </c>
      <c r="H14" s="8">
        <f>COUNTIFS('Candidate Tracker'!D:D,B14,'Candidate Tracker'!W:W,"L1 Stage")</f>
        <v>1</v>
      </c>
      <c r="I14" s="8">
        <f>COUNTIFS('Candidate Tracker'!D:D,B14,'Candidate Tracker'!W:W,"L2 Stage")</f>
        <v>0</v>
      </c>
      <c r="J14" s="8">
        <f>COUNTIFS('Candidate Tracker'!D:D,B14,'Candidate Tracker'!W:W,"Offer Stage")</f>
        <v>0</v>
      </c>
      <c r="K14" s="10" t="str">
        <f>_xlfn.XLOOKUP(B14,'Position Tracker'!E:E,'Position Tracker'!J:J,,0)</f>
        <v>Joined</v>
      </c>
      <c r="L14" s="11" t="str">
        <f>_xlfn.XLOOKUP(B14,'Position Tracker'!E:E,'Position Tracker'!Y:Y,,0)</f>
        <v>RL1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idden="1">
      <c r="A15" s="43">
        <f>_xlfn.XLOOKUP(B15,'Position Tracker'!E:E,'Position Tracker'!B:B,,0)</f>
        <v>45750</v>
      </c>
      <c r="B15" s="2" t="s">
        <v>96</v>
      </c>
      <c r="C15" s="42">
        <f ca="1">NETWORKDAYS.INTL(A15,TODAY(),1,'HELPER(Dont Delete)'!A:A)</f>
        <v>187</v>
      </c>
      <c r="D15" s="12" t="e">
        <f>VLOOKUP(B15,'Position Tracker'!E:F,3,0)</f>
        <v>#REF!</v>
      </c>
      <c r="E15" s="12">
        <f>COUNTIFS('Candidate Tracker'!D:D,B15)</f>
        <v>25</v>
      </c>
      <c r="F15" s="44">
        <f>_xlfn.XLOOKUP(B15,'Position Tracker'!E:E,'Position Tracker'!X:X,,0)</f>
        <v>0.48</v>
      </c>
      <c r="G15" s="12">
        <f>COUNTIFS('Candidate Tracker'!D:D,B15,'Candidate Tracker'!W:W,"Screening Stage")</f>
        <v>0</v>
      </c>
      <c r="H15" s="12">
        <f>COUNTIFS('Candidate Tracker'!D:D,B15,'Candidate Tracker'!W:W,"L1 Stage")</f>
        <v>5</v>
      </c>
      <c r="I15" s="12">
        <f>COUNTIFS('Candidate Tracker'!D:D,B15,'Candidate Tracker'!W:W,"L2 Stage")</f>
        <v>0</v>
      </c>
      <c r="J15" s="12">
        <f>COUNTIFS('Candidate Tracker'!D:D,B15,'Candidate Tracker'!W:W,"Offer Stage")</f>
        <v>0</v>
      </c>
      <c r="K15" s="13" t="str">
        <f>_xlfn.XLOOKUP(B15,'Position Tracker'!E:E,'Position Tracker'!J:J,,0)</f>
        <v>Hold</v>
      </c>
      <c r="L15" s="14" t="str">
        <f>_xlfn.XLOOKUP(B15,'Position Tracker'!E:E,'Position Tracker'!Y:Y,,0)</f>
        <v>RL1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idden="1">
      <c r="A16" s="7">
        <f>_xlfn.XLOOKUP(B16,'Position Tracker'!E:E,'Position Tracker'!B:B,,0)</f>
        <v>45659</v>
      </c>
      <c r="B16" s="7" t="s">
        <v>102</v>
      </c>
      <c r="C16" s="8">
        <f ca="1">NETWORKDAYS.INTL(A16,TODAY(),1,'HELPER(Dont Delete)'!A:A)</f>
        <v>252</v>
      </c>
      <c r="D16" s="8" t="e">
        <f>VLOOKUP(B16,'Position Tracker'!E:F,3,0)</f>
        <v>#REF!</v>
      </c>
      <c r="E16" s="8">
        <f>COUNTIFS('Candidate Tracker'!D:D,B16)</f>
        <v>7</v>
      </c>
      <c r="F16" s="9">
        <f>_xlfn.XLOOKUP(B16,'Position Tracker'!E:E,'Position Tracker'!X:X,,0)</f>
        <v>0.8571428571428571</v>
      </c>
      <c r="G16" s="8">
        <f>COUNTIFS('Candidate Tracker'!D:D,B16,'Candidate Tracker'!W:W,"Screening Stage")</f>
        <v>0</v>
      </c>
      <c r="H16" s="8">
        <f>COUNTIFS('Candidate Tracker'!D:D,B16,'Candidate Tracker'!W:W,"L1 Stage")</f>
        <v>1</v>
      </c>
      <c r="I16" s="8">
        <f>COUNTIFS('Candidate Tracker'!D:D,B16,'Candidate Tracker'!W:W,"L2 Stage")</f>
        <v>0</v>
      </c>
      <c r="J16" s="8">
        <f>COUNTIFS('Candidate Tracker'!D:D,B16,'Candidate Tracker'!W:W,"Offer Stage")</f>
        <v>2</v>
      </c>
      <c r="K16" s="10" t="str">
        <f>_xlfn.XLOOKUP(B16,'Position Tracker'!E:E,'Position Tracker'!J:J,,0)</f>
        <v>Joined</v>
      </c>
      <c r="L16" s="11" t="str">
        <f>_xlfn.XLOOKUP(B16,'Position Tracker'!E:E,'Position Tracker'!Y:Y,,0)</f>
        <v>RL1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idden="1">
      <c r="A17" s="43">
        <f>_xlfn.XLOOKUP(B17,'Position Tracker'!E:E,'Position Tracker'!B:B,,0)</f>
        <v>45685</v>
      </c>
      <c r="B17" s="2" t="s">
        <v>107</v>
      </c>
      <c r="C17" s="42">
        <f ca="1">NETWORKDAYS.INTL(A17,TODAY(),1,'HELPER(Dont Delete)'!A:A)</f>
        <v>234</v>
      </c>
      <c r="D17" s="12" t="e">
        <f>VLOOKUP(B17,'Position Tracker'!E:F,3,0)</f>
        <v>#REF!</v>
      </c>
      <c r="E17" s="12">
        <f>COUNTIFS('Candidate Tracker'!D:D,B17)</f>
        <v>20</v>
      </c>
      <c r="F17" s="44">
        <f>_xlfn.XLOOKUP(B17,'Position Tracker'!E:E,'Position Tracker'!X:X,,0)</f>
        <v>0.75</v>
      </c>
      <c r="G17" s="12">
        <f>COUNTIFS('Candidate Tracker'!D:D,B17,'Candidate Tracker'!W:W,"Screening Stage")</f>
        <v>0</v>
      </c>
      <c r="H17" s="12">
        <f>COUNTIFS('Candidate Tracker'!D:D,B17,'Candidate Tracker'!W:W,"L1 Stage")</f>
        <v>0</v>
      </c>
      <c r="I17" s="12">
        <f>COUNTIFS('Candidate Tracker'!D:D,B17,'Candidate Tracker'!W:W,"L2 Stage")</f>
        <v>0</v>
      </c>
      <c r="J17" s="12">
        <f>COUNTIFS('Candidate Tracker'!D:D,B17,'Candidate Tracker'!W:W,"Offer Stage")</f>
        <v>1</v>
      </c>
      <c r="K17" s="13" t="str">
        <f>_xlfn.XLOOKUP(B17,'Position Tracker'!E:E,'Position Tracker'!J:J,,0)</f>
        <v>Joined</v>
      </c>
      <c r="L17" s="14" t="str">
        <f>_xlfn.XLOOKUP(B17,'Position Tracker'!E:E,'Position Tracker'!Y:Y,,0)</f>
        <v>RL1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idden="1">
      <c r="A18" s="7">
        <f>_xlfn.XLOOKUP(B18,'Position Tracker'!E:E,'Position Tracker'!B:B,,0)</f>
        <v>45743</v>
      </c>
      <c r="B18" s="7" t="s">
        <v>118</v>
      </c>
      <c r="C18" s="8">
        <f ca="1">NETWORKDAYS.INTL(A18,TODAY(),1,'HELPER(Dont Delete)'!A:A)</f>
        <v>192</v>
      </c>
      <c r="D18" s="8" t="e">
        <f>VLOOKUP(B18,'Position Tracker'!E:F,3,0)</f>
        <v>#REF!</v>
      </c>
      <c r="E18" s="8">
        <f>COUNTIFS('Candidate Tracker'!D:D,B18)</f>
        <v>9</v>
      </c>
      <c r="F18" s="9">
        <f>_xlfn.XLOOKUP(B18,'Position Tracker'!E:E,'Position Tracker'!X:X,,0)</f>
        <v>0.88888888888888884</v>
      </c>
      <c r="G18" s="8">
        <f>COUNTIFS('Candidate Tracker'!D:D,B18,'Candidate Tracker'!W:W,"Screening Stage")</f>
        <v>0</v>
      </c>
      <c r="H18" s="8">
        <f>COUNTIFS('Candidate Tracker'!D:D,B18,'Candidate Tracker'!W:W,"L1 Stage")</f>
        <v>1</v>
      </c>
      <c r="I18" s="8">
        <f>COUNTIFS('Candidate Tracker'!D:D,B18,'Candidate Tracker'!W:W,"L2 Stage")</f>
        <v>0</v>
      </c>
      <c r="J18" s="8">
        <f>COUNTIFS('Candidate Tracker'!D:D,B18,'Candidate Tracker'!W:W,"Offer Stage")</f>
        <v>0</v>
      </c>
      <c r="K18" s="10" t="str">
        <f>_xlfn.XLOOKUP(B18,'Position Tracker'!E:E,'Position Tracker'!J:J,,0)</f>
        <v>Joined</v>
      </c>
      <c r="L18" s="11" t="str">
        <f>_xlfn.XLOOKUP(B18,'Position Tracker'!E:E,'Position Tracker'!Y:Y,,0)</f>
        <v>RL1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idden="1">
      <c r="A19" s="43">
        <f>_xlfn.XLOOKUP(B19,'Position Tracker'!E:E,'Position Tracker'!B:B,,0)</f>
        <v>45743</v>
      </c>
      <c r="B19" s="2" t="s">
        <v>122</v>
      </c>
      <c r="C19" s="42">
        <f ca="1">NETWORKDAYS.INTL(A19,TODAY(),1,'HELPER(Dont Delete)'!A:A)</f>
        <v>192</v>
      </c>
      <c r="D19" s="12" t="e">
        <f>VLOOKUP(B19,'Position Tracker'!E:F,3,0)</f>
        <v>#REF!</v>
      </c>
      <c r="E19" s="12">
        <f>COUNTIFS('Candidate Tracker'!D:D,B19)</f>
        <v>7</v>
      </c>
      <c r="F19" s="44">
        <f>_xlfn.XLOOKUP(B19,'Position Tracker'!E:E,'Position Tracker'!X:X,,0)</f>
        <v>0.14285714285714285</v>
      </c>
      <c r="G19" s="12">
        <f>COUNTIFS('Candidate Tracker'!D:D,B19,'Candidate Tracker'!W:W,"Screening Stage")</f>
        <v>0</v>
      </c>
      <c r="H19" s="12">
        <f>COUNTIFS('Candidate Tracker'!D:D,B19,'Candidate Tracker'!W:W,"L1 Stage")</f>
        <v>1</v>
      </c>
      <c r="I19" s="12">
        <f>COUNTIFS('Candidate Tracker'!D:D,B19,'Candidate Tracker'!W:W,"L2 Stage")</f>
        <v>0</v>
      </c>
      <c r="J19" s="12">
        <f>COUNTIFS('Candidate Tracker'!D:D,B19,'Candidate Tracker'!W:W,"Offer Stage")</f>
        <v>0</v>
      </c>
      <c r="K19" s="13" t="str">
        <f>_xlfn.XLOOKUP(B19,'Position Tracker'!E:E,'Position Tracker'!J:J,,0)</f>
        <v>Hold</v>
      </c>
      <c r="L19" s="14" t="str">
        <f>_xlfn.XLOOKUP(B19,'Position Tracker'!E:E,'Position Tracker'!Y:Y,,0)</f>
        <v>RL1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idden="1">
      <c r="A20" s="7">
        <f>_xlfn.XLOOKUP(B20,'Position Tracker'!E:E,'Position Tracker'!B:B,,0)</f>
        <v>45742</v>
      </c>
      <c r="B20" s="7" t="s">
        <v>110</v>
      </c>
      <c r="C20" s="8">
        <f ca="1">NETWORKDAYS.INTL(A20,TODAY(),1,'HELPER(Dont Delete)'!A:A)</f>
        <v>193</v>
      </c>
      <c r="D20" s="8" t="e">
        <f>VLOOKUP(B20,'Position Tracker'!E:F,3,0)</f>
        <v>#REF!</v>
      </c>
      <c r="E20" s="8">
        <f>COUNTIFS('Candidate Tracker'!D:D,B20)</f>
        <v>23</v>
      </c>
      <c r="F20" s="9">
        <f>_xlfn.XLOOKUP(B20,'Position Tracker'!E:E,'Position Tracker'!X:X,,0)</f>
        <v>0.90476190476190477</v>
      </c>
      <c r="G20" s="8">
        <f>COUNTIFS('Candidate Tracker'!D:D,B20,'Candidate Tracker'!W:W,"Screening Stage")</f>
        <v>0</v>
      </c>
      <c r="H20" s="8">
        <f>COUNTIFS('Candidate Tracker'!D:D,B20,'Candidate Tracker'!W:W,"L1 Stage")</f>
        <v>0</v>
      </c>
      <c r="I20" s="8">
        <f>COUNTIFS('Candidate Tracker'!D:D,B20,'Candidate Tracker'!W:W,"L2 Stage")</f>
        <v>5</v>
      </c>
      <c r="J20" s="8">
        <f>COUNTIFS('Candidate Tracker'!D:D,B20,'Candidate Tracker'!W:W,"Offer Stage")</f>
        <v>1</v>
      </c>
      <c r="K20" s="10" t="str">
        <f>_xlfn.XLOOKUP(B20,'Position Tracker'!E:E,'Position Tracker'!J:J,,0)</f>
        <v>Joined</v>
      </c>
      <c r="L20" s="11" t="str">
        <f>_xlfn.XLOOKUP(B20,'Position Tracker'!E:E,'Position Tracker'!Y:Y,,0)</f>
        <v>RL1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idden="1">
      <c r="A21" s="43">
        <f>_xlfn.XLOOKUP(B21,'Position Tracker'!E:E,'Position Tracker'!B:B,,0)</f>
        <v>45743</v>
      </c>
      <c r="B21" s="2" t="s">
        <v>125</v>
      </c>
      <c r="C21" s="42">
        <f ca="1">NETWORKDAYS.INTL(A21,TODAY(),1,'HELPER(Dont Delete)'!A:A)</f>
        <v>192</v>
      </c>
      <c r="D21" s="12" t="e">
        <f>VLOOKUP(B21,'Position Tracker'!E:F,3,0)</f>
        <v>#REF!</v>
      </c>
      <c r="E21" s="12">
        <f>COUNTIFS('Candidate Tracker'!D:D,B21)</f>
        <v>3</v>
      </c>
      <c r="F21" s="44">
        <f>_xlfn.XLOOKUP(B21,'Position Tracker'!E:E,'Position Tracker'!X:X,,0)</f>
        <v>0.66666666666666663</v>
      </c>
      <c r="G21" s="12">
        <f>COUNTIFS('Candidate Tracker'!D:D,B21,'Candidate Tracker'!W:W,"Screening Stage")</f>
        <v>0</v>
      </c>
      <c r="H21" s="12">
        <f>COUNTIFS('Candidate Tracker'!D:D,B21,'Candidate Tracker'!W:W,"L1 Stage")</f>
        <v>0</v>
      </c>
      <c r="I21" s="12">
        <f>COUNTIFS('Candidate Tracker'!D:D,B21,'Candidate Tracker'!W:W,"L2 Stage")</f>
        <v>3</v>
      </c>
      <c r="J21" s="12">
        <f>COUNTIFS('Candidate Tracker'!D:D,B21,'Candidate Tracker'!W:W,"Offer Stage")</f>
        <v>0</v>
      </c>
      <c r="K21" s="13" t="str">
        <f>_xlfn.XLOOKUP(B21,'Position Tracker'!E:E,'Position Tracker'!J:J,,0)</f>
        <v>Internally Closed</v>
      </c>
      <c r="L21" s="14" t="str">
        <f>_xlfn.XLOOKUP(B21,'Position Tracker'!E:E,'Position Tracker'!Y:Y,,0)</f>
        <v>RL3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idden="1">
      <c r="A22" s="7">
        <f>_xlfn.XLOOKUP(B22,'Position Tracker'!E:E,'Position Tracker'!B:B,,0)</f>
        <v>45743</v>
      </c>
      <c r="B22" s="7" t="s">
        <v>129</v>
      </c>
      <c r="C22" s="8">
        <f ca="1">NETWORKDAYS.INTL(A22,TODAY(),1,'HELPER(Dont Delete)'!A:A)</f>
        <v>192</v>
      </c>
      <c r="D22" s="8" t="e">
        <f>VLOOKUP(B22,'Position Tracker'!E:F,3,0)</f>
        <v>#REF!</v>
      </c>
      <c r="E22" s="8">
        <f>COUNTIFS('Candidate Tracker'!D:D,B22)</f>
        <v>6</v>
      </c>
      <c r="F22" s="9">
        <f>_xlfn.XLOOKUP(B22,'Position Tracker'!E:E,'Position Tracker'!X:X,,0)</f>
        <v>0.33333333333333331</v>
      </c>
      <c r="G22" s="8">
        <f>COUNTIFS('Candidate Tracker'!D:D,B22,'Candidate Tracker'!W:W,"Screening Stage")</f>
        <v>0</v>
      </c>
      <c r="H22" s="8">
        <f>COUNTIFS('Candidate Tracker'!D:D,B22,'Candidate Tracker'!W:W,"L1 Stage")</f>
        <v>0</v>
      </c>
      <c r="I22" s="8">
        <f>COUNTIFS('Candidate Tracker'!D:D,B22,'Candidate Tracker'!W:W,"L2 Stage")</f>
        <v>3</v>
      </c>
      <c r="J22" s="8">
        <f>COUNTIFS('Candidate Tracker'!D:D,B22,'Candidate Tracker'!W:W,"Offer Stage")</f>
        <v>0</v>
      </c>
      <c r="K22" s="10" t="str">
        <f>_xlfn.XLOOKUP(B22,'Position Tracker'!E:E,'Position Tracker'!J:J,,0)</f>
        <v>Hold</v>
      </c>
      <c r="L22" s="11" t="str">
        <f>_xlfn.XLOOKUP(B22,'Position Tracker'!E:E,'Position Tracker'!Y:Y,,0)</f>
        <v>RL3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idden="1">
      <c r="A23" s="191" t="e">
        <f>_xlfn.XLOOKUP(B23,'Position Tracker'!E:E,'Position Tracker'!B:B,,0)</f>
        <v>#N/A</v>
      </c>
      <c r="B23" t="s">
        <v>1488</v>
      </c>
      <c r="C23" s="33" t="e">
        <f ca="1">NETWORKDAYS.INTL(A23,TODAY(),1,'HELPER(Dont Delete)'!A:A)</f>
        <v>#N/A</v>
      </c>
      <c r="D23" s="192" t="e">
        <f>VLOOKUP(B23,'Position Tracker'!E:F,3,0)</f>
        <v>#N/A</v>
      </c>
      <c r="E23" s="192">
        <f>COUNTIFS('Candidate Tracker'!D:D,B23)</f>
        <v>13</v>
      </c>
      <c r="F23" s="193" t="e">
        <f>_xlfn.XLOOKUP(B23,'Position Tracker'!E:E,'Position Tracker'!X:X,,0)</f>
        <v>#N/A</v>
      </c>
      <c r="G23" s="192">
        <f>COUNTIFS('Candidate Tracker'!D:D,B23,'Candidate Tracker'!W:W,"Screening Stage")</f>
        <v>0</v>
      </c>
      <c r="H23" s="192">
        <f>COUNTIFS('Candidate Tracker'!D:D,B23,'Candidate Tracker'!W:W,"L1 Stage")</f>
        <v>5</v>
      </c>
      <c r="I23" s="192">
        <f>COUNTIFS('Candidate Tracker'!D:D,B23,'Candidate Tracker'!W:W,"L2 Stage")</f>
        <v>0</v>
      </c>
      <c r="J23" s="192">
        <f>COUNTIFS('Candidate Tracker'!D:D,B23,'Candidate Tracker'!W:W,"Offer Stage")</f>
        <v>0</v>
      </c>
      <c r="K23" s="194" t="e">
        <f>_xlfn.XLOOKUP(B23,'Position Tracker'!E:E,'Position Tracker'!J:J,,0)</f>
        <v>#N/A</v>
      </c>
      <c r="L23" s="195" t="e">
        <f>_xlfn.XLOOKUP(B23,'Position Tracker'!E:E,'Position Tracker'!Y:Y,,0)</f>
        <v>#N/A</v>
      </c>
    </row>
    <row r="24" spans="1:28" hidden="1">
      <c r="A24" s="7" t="e">
        <f>_xlfn.XLOOKUP(B24,'Position Tracker'!E:E,'Position Tracker'!B:B,,0)</f>
        <v>#N/A</v>
      </c>
      <c r="B24" s="7" t="s">
        <v>1707</v>
      </c>
      <c r="C24" s="8" t="e">
        <f ca="1">NETWORKDAYS.INTL(A24,TODAY(),1,'HELPER(Dont Delete)'!A:A)</f>
        <v>#N/A</v>
      </c>
      <c r="D24" s="8" t="e">
        <f>VLOOKUP(B24,'Position Tracker'!E:F,3,0)</f>
        <v>#N/A</v>
      </c>
      <c r="E24" s="8">
        <f>COUNTIFS('Candidate Tracker'!D:D,B24)</f>
        <v>16</v>
      </c>
      <c r="F24" s="9" t="e">
        <f>_xlfn.XLOOKUP(B24,'Position Tracker'!E:E,'Position Tracker'!X:X,,0)</f>
        <v>#N/A</v>
      </c>
      <c r="G24" s="8">
        <f>COUNTIFS('Candidate Tracker'!D:D,B24,'Candidate Tracker'!W:W,"Screening Stage")</f>
        <v>1</v>
      </c>
      <c r="H24" s="8">
        <f>COUNTIFS('Candidate Tracker'!D:D,B24,'Candidate Tracker'!W:W,"L1 Stage")</f>
        <v>3</v>
      </c>
      <c r="I24" s="8">
        <f>COUNTIFS('Candidate Tracker'!D:D,B24,'Candidate Tracker'!W:W,"L2 Stage")</f>
        <v>0</v>
      </c>
      <c r="J24" s="8">
        <f>COUNTIFS('Candidate Tracker'!D:D,B24,'Candidate Tracker'!W:W,"Offer Stage")</f>
        <v>0</v>
      </c>
      <c r="K24" s="10" t="e">
        <f>_xlfn.XLOOKUP(B24,'Position Tracker'!E:E,'Position Tracker'!J:J,,0)</f>
        <v>#N/A</v>
      </c>
      <c r="L24" s="11" t="e">
        <f>_xlfn.XLOOKUP(B24,'Position Tracker'!E:E,'Position Tracker'!Y:Y,,0)</f>
        <v>#N/A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idden="1">
      <c r="A25" s="191">
        <f>_xlfn.XLOOKUP(B25,'Position Tracker'!E:E,'Position Tracker'!B:B,,0)</f>
        <v>45743</v>
      </c>
      <c r="B25" s="191" t="s">
        <v>114</v>
      </c>
      <c r="C25" s="192">
        <f ca="1">NETWORKDAYS.INTL(A25,TODAY(),1,'HELPER(Dont Delete)'!A:A)</f>
        <v>192</v>
      </c>
      <c r="D25" s="192" t="e">
        <f>VLOOKUP(B25,'Position Tracker'!E:F,3,0)</f>
        <v>#REF!</v>
      </c>
      <c r="E25" s="192">
        <f>COUNTIFS('Candidate Tracker'!D:D,B25)</f>
        <v>7</v>
      </c>
      <c r="F25" s="193">
        <f>_xlfn.XLOOKUP(B25,'Position Tracker'!E:E,'Position Tracker'!X:X,,0)</f>
        <v>0.7142857142857143</v>
      </c>
      <c r="G25" s="192">
        <f>COUNTIFS('Candidate Tracker'!D:D,B25,'Candidate Tracker'!W:W,"Screening Stage")</f>
        <v>0</v>
      </c>
      <c r="H25" s="192">
        <f>COUNTIFS('Candidate Tracker'!D:D,B25,'Candidate Tracker'!W:W,"L1 Stage")</f>
        <v>0</v>
      </c>
      <c r="I25" s="192">
        <f>COUNTIFS('Candidate Tracker'!D:D,B25,'Candidate Tracker'!W:W,"L2 Stage")</f>
        <v>1</v>
      </c>
      <c r="J25" s="192">
        <f>COUNTIFS('Candidate Tracker'!D:D,B25,'Candidate Tracker'!W:W,"Offer Stage")</f>
        <v>1</v>
      </c>
      <c r="K25" s="194" t="str">
        <f>_xlfn.XLOOKUP(B25,'Position Tracker'!E:E,'Position Tracker'!J:J,,0)</f>
        <v>Joined</v>
      </c>
      <c r="L25" s="195" t="str">
        <f>_xlfn.XLOOKUP(B25,'Position Tracker'!E:E,'Position Tracker'!Y:Y,,0)</f>
        <v>RL1</v>
      </c>
    </row>
    <row r="26" spans="1:28">
      <c r="A26" s="7">
        <f>_xlfn.XLOOKUP(B26,'Position Tracker'!E:E,'Position Tracker'!B:B,,0)</f>
        <v>45747</v>
      </c>
      <c r="B26" s="7" t="s">
        <v>141</v>
      </c>
      <c r="C26" s="8">
        <f ca="1">NETWORKDAYS.INTL(A26,TODAY(),1,'HELPER(Dont Delete)'!A:A)</f>
        <v>190</v>
      </c>
      <c r="D26" s="8" t="e">
        <f>VLOOKUP(B26,'Position Tracker'!E:F,3,0)</f>
        <v>#REF!</v>
      </c>
      <c r="E26" s="8">
        <f>COUNTIFS('Candidate Tracker'!D:D,B26)</f>
        <v>23</v>
      </c>
      <c r="F26" s="9">
        <f>_xlfn.XLOOKUP(B26,'Position Tracker'!E:E,'Position Tracker'!X:X,,0)</f>
        <v>0.86956521739130432</v>
      </c>
      <c r="G26" s="8">
        <f>COUNTIFS('Candidate Tracker'!D:D,B26,'Candidate Tracker'!W:W,"Screening Stage")</f>
        <v>0</v>
      </c>
      <c r="H26" s="8">
        <f>COUNTIFS('Candidate Tracker'!D:D,B26,'Candidate Tracker'!W:W,"L1 Stage")</f>
        <v>0</v>
      </c>
      <c r="I26" s="8">
        <f>COUNTIFS('Candidate Tracker'!D:D,B26,'Candidate Tracker'!W:W,"L2 Stage")</f>
        <v>4</v>
      </c>
      <c r="J26" s="8">
        <f>COUNTIFS('Candidate Tracker'!D:D,B26,'Candidate Tracker'!W:W,"Offer Stage")</f>
        <v>0</v>
      </c>
      <c r="K26" s="10" t="str">
        <f>_xlfn.XLOOKUP(B26,'Position Tracker'!E:E,'Position Tracker'!J:J,,0)</f>
        <v xml:space="preserve">Offer Stage </v>
      </c>
      <c r="L26" s="11" t="str">
        <f>_xlfn.XLOOKUP(B26,'Position Tracker'!E:E,'Position Tracker'!Y:Y,,0)</f>
        <v>RL1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idden="1">
      <c r="A27" s="191">
        <f>_xlfn.XLOOKUP(B27,'Position Tracker'!E:E,'Position Tracker'!B:B,,0)</f>
        <v>45747</v>
      </c>
      <c r="B27" s="191" t="s">
        <v>147</v>
      </c>
      <c r="C27" s="192">
        <f ca="1">NETWORKDAYS.INTL(A27,TODAY(),1,'HELPER(Dont Delete)'!A:A)</f>
        <v>190</v>
      </c>
      <c r="D27" s="192" t="e">
        <f>VLOOKUP(B27,'Position Tracker'!E:F,3,0)</f>
        <v>#REF!</v>
      </c>
      <c r="E27" s="192">
        <f>COUNTIFS('Candidate Tracker'!D:D,B27)</f>
        <v>8</v>
      </c>
      <c r="F27" s="193">
        <f>_xlfn.XLOOKUP(B27,'Position Tracker'!E:E,'Position Tracker'!X:X,,0)</f>
        <v>0.75</v>
      </c>
      <c r="G27" s="192">
        <f>COUNTIFS('Candidate Tracker'!D:D,B27,'Candidate Tracker'!W:W,"Screening Stage")</f>
        <v>0</v>
      </c>
      <c r="H27" s="192">
        <f>COUNTIFS('Candidate Tracker'!D:D,B27,'Candidate Tracker'!W:W,"L1 Stage")</f>
        <v>0</v>
      </c>
      <c r="I27" s="192">
        <f>COUNTIFS('Candidate Tracker'!D:D,B27,'Candidate Tracker'!W:W,"L2 Stage")</f>
        <v>3</v>
      </c>
      <c r="J27" s="192">
        <f>COUNTIFS('Candidate Tracker'!D:D,B27,'Candidate Tracker'!W:W,"Offer Stage")</f>
        <v>1</v>
      </c>
      <c r="K27" s="194" t="str">
        <f>_xlfn.XLOOKUP(B27,'Position Tracker'!E:E,'Position Tracker'!J:J,,0)</f>
        <v>Joined</v>
      </c>
      <c r="L27" s="195" t="str">
        <f>_xlfn.XLOOKUP(B27,'Position Tracker'!E:E,'Position Tracker'!Y:Y,,0)</f>
        <v>RL1</v>
      </c>
    </row>
    <row r="28" spans="1:28" hidden="1">
      <c r="A28" s="7">
        <f>_xlfn.XLOOKUP(B28,'Position Tracker'!E:E,'Position Tracker'!B:B,,0)</f>
        <v>45758</v>
      </c>
      <c r="B28" s="7" t="s">
        <v>199</v>
      </c>
      <c r="C28" s="8">
        <f ca="1">NETWORKDAYS.INTL(A28,TODAY(),1,'HELPER(Dont Delete)'!A:A)</f>
        <v>181</v>
      </c>
      <c r="D28" s="8" t="e">
        <f>VLOOKUP(B28,'Position Tracker'!E:F,3,0)</f>
        <v>#REF!</v>
      </c>
      <c r="E28" s="8">
        <f>COUNTIFS('Candidate Tracker'!D:D,B28)</f>
        <v>9</v>
      </c>
      <c r="F28" s="9">
        <f>_xlfn.XLOOKUP(B28,'Position Tracker'!E:E,'Position Tracker'!X:X,,0)</f>
        <v>0.66666666666666663</v>
      </c>
      <c r="G28" s="8">
        <f>COUNTIFS('Candidate Tracker'!D:D,B28,'Candidate Tracker'!W:W,"Screening Stage")</f>
        <v>0</v>
      </c>
      <c r="H28" s="8">
        <f>COUNTIFS('Candidate Tracker'!D:D,B28,'Candidate Tracker'!W:W,"L1 Stage")</f>
        <v>0</v>
      </c>
      <c r="I28" s="8">
        <f>COUNTIFS('Candidate Tracker'!D:D,B28,'Candidate Tracker'!W:W,"L2 Stage")</f>
        <v>0</v>
      </c>
      <c r="J28" s="8">
        <f>COUNTIFS('Candidate Tracker'!D:D,B28,'Candidate Tracker'!W:W,"Offer Stage")</f>
        <v>0</v>
      </c>
      <c r="K28" s="10" t="str">
        <f>_xlfn.XLOOKUP(B28,'Position Tracker'!E:E,'Position Tracker'!J:J,,0)</f>
        <v>Internally Closed</v>
      </c>
      <c r="L28" s="11" t="str">
        <f>_xlfn.XLOOKUP(B28,'Position Tracker'!E:E,'Position Tracker'!Y:Y,,0)</f>
        <v>RL3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idden="1">
      <c r="A29" s="191">
        <f>_xlfn.XLOOKUP(B29,'Position Tracker'!E:E,'Position Tracker'!B:B,,0)</f>
        <v>45750</v>
      </c>
      <c r="B29" s="191" t="s">
        <v>157</v>
      </c>
      <c r="C29" s="192">
        <f ca="1">NETWORKDAYS.INTL(A29,TODAY(),1,'HELPER(Dont Delete)'!A:A)</f>
        <v>187</v>
      </c>
      <c r="D29" s="192" t="e">
        <f>VLOOKUP(B29,'Position Tracker'!E:F,3,0)</f>
        <v>#REF!</v>
      </c>
      <c r="E29" s="192">
        <f>COUNTIFS('Candidate Tracker'!D:D,B29)</f>
        <v>12</v>
      </c>
      <c r="F29" s="193">
        <f>_xlfn.XLOOKUP(B29,'Position Tracker'!E:E,'Position Tracker'!X:X,,0)</f>
        <v>0.91666666666666663</v>
      </c>
      <c r="G29" s="192">
        <f>COUNTIFS('Candidate Tracker'!D:D,B29,'Candidate Tracker'!W:W,"Screening Stage")</f>
        <v>0</v>
      </c>
      <c r="H29" s="192">
        <f>COUNTIFS('Candidate Tracker'!D:D,B29,'Candidate Tracker'!W:W,"L1 Stage")</f>
        <v>2</v>
      </c>
      <c r="I29" s="192">
        <f>COUNTIFS('Candidate Tracker'!D:D,B29,'Candidate Tracker'!W:W,"L2 Stage")</f>
        <v>3</v>
      </c>
      <c r="J29" s="192">
        <f>COUNTIFS('Candidate Tracker'!D:D,B29,'Candidate Tracker'!W:W,"Offer Stage")</f>
        <v>1</v>
      </c>
      <c r="K29" s="194" t="str">
        <f>_xlfn.XLOOKUP(B29,'Position Tracker'!E:E,'Position Tracker'!J:J,,0)</f>
        <v>Joined</v>
      </c>
      <c r="L29" s="195" t="str">
        <f>_xlfn.XLOOKUP(B29,'Position Tracker'!E:E,'Position Tracker'!Y:Y,,0)</f>
        <v>RL1</v>
      </c>
    </row>
    <row r="30" spans="1:28" hidden="1">
      <c r="A30" s="7">
        <f>_xlfn.XLOOKUP(B30,'Position Tracker'!E:E,'Position Tracker'!B:B,,0)</f>
        <v>45762</v>
      </c>
      <c r="B30" s="7" t="s">
        <v>160</v>
      </c>
      <c r="C30" s="8">
        <f ca="1">NETWORKDAYS.INTL(A30,TODAY(),1,'HELPER(Dont Delete)'!A:A)</f>
        <v>179</v>
      </c>
      <c r="D30" s="8" t="e">
        <f>VLOOKUP(B30,'Position Tracker'!E:F,3,0)</f>
        <v>#REF!</v>
      </c>
      <c r="E30" s="8">
        <f>COUNTIFS('Candidate Tracker'!D:D,B30)</f>
        <v>0</v>
      </c>
      <c r="F30" s="9">
        <f>_xlfn.XLOOKUP(B30,'Position Tracker'!E:E,'Position Tracker'!X:X,,0)</f>
        <v>0</v>
      </c>
      <c r="G30" s="8">
        <f>COUNTIFS('Candidate Tracker'!D:D,B30,'Candidate Tracker'!W:W,"Screening Stage")</f>
        <v>0</v>
      </c>
      <c r="H30" s="8">
        <f>COUNTIFS('Candidate Tracker'!D:D,B30,'Candidate Tracker'!W:W,"L1 Stage")</f>
        <v>0</v>
      </c>
      <c r="I30" s="8">
        <f>COUNTIFS('Candidate Tracker'!D:D,B30,'Candidate Tracker'!W:W,"L2 Stage")</f>
        <v>0</v>
      </c>
      <c r="J30" s="8">
        <f>COUNTIFS('Candidate Tracker'!D:D,B30,'Candidate Tracker'!W:W,"Offer Stage")</f>
        <v>0</v>
      </c>
      <c r="K30" s="10" t="str">
        <f>_xlfn.XLOOKUP(B30,'Position Tracker'!E:E,'Position Tracker'!J:J,,0)</f>
        <v>Joined</v>
      </c>
      <c r="L30" s="11" t="str">
        <f>_xlfn.XLOOKUP(B30,'Position Tracker'!E:E,'Position Tracker'!Y:Y,,0)</f>
        <v>RL1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idden="1">
      <c r="A31" s="191">
        <f>_xlfn.XLOOKUP(B31,'Position Tracker'!E:E,'Position Tracker'!B:B,,0)</f>
        <v>45848</v>
      </c>
      <c r="B31" s="191" t="s">
        <v>150</v>
      </c>
      <c r="C31" s="192">
        <f ca="1">NETWORKDAYS.INTL(A31,TODAY(),1,'HELPER(Dont Delete)'!A:A)</f>
        <v>117</v>
      </c>
      <c r="D31" s="192" t="e">
        <f>VLOOKUP(B31,'Position Tracker'!E:F,3,0)</f>
        <v>#REF!</v>
      </c>
      <c r="E31" s="192">
        <f>COUNTIFS('Candidate Tracker'!D:D,B31)</f>
        <v>15</v>
      </c>
      <c r="F31" s="193">
        <f>_xlfn.XLOOKUP(B31,'Position Tracker'!E:E,'Position Tracker'!X:X,,0)</f>
        <v>0.7407407407407407</v>
      </c>
      <c r="G31" s="192">
        <f>COUNTIFS('Candidate Tracker'!D:D,B31,'Candidate Tracker'!W:W,"Screening Stage")</f>
        <v>0</v>
      </c>
      <c r="H31" s="192">
        <f>COUNTIFS('Candidate Tracker'!D:D,B31,'Candidate Tracker'!W:W,"L1 Stage")</f>
        <v>3</v>
      </c>
      <c r="I31" s="192">
        <f>COUNTIFS('Candidate Tracker'!D:D,B31,'Candidate Tracker'!W:W,"L2 Stage")</f>
        <v>1</v>
      </c>
      <c r="J31" s="192">
        <f>COUNTIFS('Candidate Tracker'!D:D,B31,'Candidate Tracker'!W:W,"Offer Stage")</f>
        <v>1</v>
      </c>
      <c r="K31" s="194" t="str">
        <f>_xlfn.XLOOKUP(B31,'Position Tracker'!E:E,'Position Tracker'!J:J,,0)</f>
        <v>Hold</v>
      </c>
      <c r="L31" s="11" t="str">
        <f>_xlfn.XLOOKUP(B31,'Position Tracker'!E:E,'Position Tracker'!Y:Y,,0)</f>
        <v>RL1</v>
      </c>
    </row>
    <row r="32" spans="1:28" hidden="1">
      <c r="A32" s="7">
        <f>_xlfn.XLOOKUP(B32,'Position Tracker'!E:E,'Position Tracker'!B:B,,0)</f>
        <v>45848</v>
      </c>
      <c r="B32" s="7" t="s">
        <v>163</v>
      </c>
      <c r="C32" s="8">
        <f ca="1">NETWORKDAYS.INTL(A32,TODAY(),1,'HELPER(Dont Delete)'!A:A)</f>
        <v>117</v>
      </c>
      <c r="D32" s="8" t="e">
        <f>VLOOKUP(B32,'Position Tracker'!E:F,3,0)</f>
        <v>#REF!</v>
      </c>
      <c r="E32" s="8">
        <f>COUNTIFS('Candidate Tracker'!D:D,B32)</f>
        <v>7</v>
      </c>
      <c r="F32" s="9">
        <f>_xlfn.XLOOKUP(B32,'Position Tracker'!E:E,'Position Tracker'!X:X,,0)</f>
        <v>0.5714285714285714</v>
      </c>
      <c r="G32" s="8">
        <f>COUNTIFS('Candidate Tracker'!D:D,B32,'Candidate Tracker'!W:W,"Screening Stage")</f>
        <v>0</v>
      </c>
      <c r="H32" s="8">
        <f>COUNTIFS('Candidate Tracker'!D:D,B32,'Candidate Tracker'!W:W,"L1 Stage")</f>
        <v>1</v>
      </c>
      <c r="I32" s="8">
        <f>COUNTIFS('Candidate Tracker'!D:D,B32,'Candidate Tracker'!W:W,"L2 Stage")</f>
        <v>0</v>
      </c>
      <c r="J32" s="8">
        <f>COUNTIFS('Candidate Tracker'!D:D,B32,'Candidate Tracker'!W:W,"Offer Stage")</f>
        <v>1</v>
      </c>
      <c r="K32" s="10" t="str">
        <f>_xlfn.XLOOKUP(B32,'Position Tracker'!E:E,'Position Tracker'!J:J,,0)</f>
        <v>Offer Stage</v>
      </c>
      <c r="L32" s="1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idden="1">
      <c r="A33" s="191">
        <f>_xlfn.XLOOKUP(B33,'Position Tracker'!E:E,'Position Tracker'!B:B,,0)</f>
        <v>45848</v>
      </c>
      <c r="B33" s="191" t="s">
        <v>168</v>
      </c>
      <c r="C33" s="192">
        <f ca="1">NETWORKDAYS.INTL(A33,TODAY(),1,'HELPER(Dont Delete)'!A:A)</f>
        <v>117</v>
      </c>
      <c r="D33" s="192" t="e">
        <f>VLOOKUP(B33,'Position Tracker'!E:F,3,0)</f>
        <v>#REF!</v>
      </c>
      <c r="E33" s="192">
        <f>COUNTIFS('Candidate Tracker'!D:D,B33)</f>
        <v>27</v>
      </c>
      <c r="F33" s="193">
        <f>_xlfn.XLOOKUP(B33,'Position Tracker'!E:E,'Position Tracker'!X:X,,0)</f>
        <v>0.72222222222222221</v>
      </c>
      <c r="G33" s="192">
        <f>COUNTIFS('Candidate Tracker'!D:D,B33,'Candidate Tracker'!W:W,"Screening Stage")</f>
        <v>0</v>
      </c>
      <c r="H33" s="192">
        <f>COUNTIFS('Candidate Tracker'!D:D,B33,'Candidate Tracker'!W:W,"L1 Stage")</f>
        <v>7</v>
      </c>
      <c r="I33" s="192">
        <f>COUNTIFS('Candidate Tracker'!D:D,B33,'Candidate Tracker'!W:W,"L2 Stage")</f>
        <v>0</v>
      </c>
      <c r="J33" s="192">
        <f>COUNTIFS('Candidate Tracker'!D:D,B33,'Candidate Tracker'!W:W,"Offer Stage")</f>
        <v>7</v>
      </c>
      <c r="K33" s="194" t="str">
        <f>_xlfn.XLOOKUP(B33,'Position Tracker'!E:E,'Position Tracker'!J:J,,0)</f>
        <v>Offer Stage</v>
      </c>
      <c r="L33" s="11" t="str">
        <f>_xlfn.XLOOKUP(B33,'Position Tracker'!E:E,'Position Tracker'!Y:Y,,0)</f>
        <v>RL1</v>
      </c>
    </row>
    <row r="34" spans="1:28">
      <c r="A34" s="7">
        <f>_xlfn.XLOOKUP(B34,'Position Tracker'!E:E,'Position Tracker'!B:B,,0)</f>
        <v>45910</v>
      </c>
      <c r="B34" s="7" t="s">
        <v>171</v>
      </c>
      <c r="C34" s="8">
        <f ca="1">NETWORKDAYS.INTL(A34,TODAY(),1,'HELPER(Dont Delete)'!A:A)</f>
        <v>73</v>
      </c>
      <c r="D34" s="8" t="e">
        <f>VLOOKUP(B34,'Position Tracker'!E:F,3,0)</f>
        <v>#REF!</v>
      </c>
      <c r="E34" s="8">
        <f>COUNTIFS('Candidate Tracker'!D:D,B34)</f>
        <v>18</v>
      </c>
      <c r="F34" s="9">
        <f>_xlfn.XLOOKUP(B34,'Position Tracker'!E:E,'Position Tracker'!X:X,,0)</f>
        <v>0.72222222222222221</v>
      </c>
      <c r="G34" s="8">
        <f>COUNTIFS('Candidate Tracker'!D:D,B34,'Candidate Tracker'!W:W,"Screening Stage")</f>
        <v>0</v>
      </c>
      <c r="H34" s="8">
        <f>COUNTIFS('Candidate Tracker'!D:D,B34,'Candidate Tracker'!W:W,"L1 Stage")</f>
        <v>3</v>
      </c>
      <c r="I34" s="8">
        <f>COUNTIFS('Candidate Tracker'!D:D,B34,'Candidate Tracker'!W:W,"L2 Stage")</f>
        <v>0</v>
      </c>
      <c r="J34" s="8">
        <f>COUNTIFS('Candidate Tracker'!D:D,B34,'Candidate Tracker'!W:W,"Offer Stage")</f>
        <v>4</v>
      </c>
      <c r="K34" s="10" t="str">
        <f>_xlfn.XLOOKUP(B34,'Position Tracker'!E:E,'Position Tracker'!J:J,,0)</f>
        <v>1Hold/2joined</v>
      </c>
      <c r="L34" s="11" t="str">
        <f>_xlfn.XLOOKUP(B34,'Position Tracker'!E:E,'Position Tracker'!Y:Y,,0)</f>
        <v>RL1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idden="1">
      <c r="A35" s="191">
        <f>_xlfn.XLOOKUP(B35,'Position Tracker'!E:E,'Position Tracker'!B:B,,0)</f>
        <v>45848</v>
      </c>
      <c r="B35" s="191" t="s">
        <v>182</v>
      </c>
      <c r="C35" s="192">
        <f ca="1">NETWORKDAYS.INTL(A35,TODAY(),1,'HELPER(Dont Delete)'!A:A)</f>
        <v>117</v>
      </c>
      <c r="D35" s="192" t="e">
        <f>VLOOKUP(B35,'Position Tracker'!E:F,3,0)</f>
        <v>#REF!</v>
      </c>
      <c r="E35" s="192">
        <f>COUNTIFS('Candidate Tracker'!D:D,B35)</f>
        <v>10</v>
      </c>
      <c r="F35" s="193">
        <f>_xlfn.XLOOKUP(B35,'Position Tracker'!E:E,'Position Tracker'!X:X,,0)</f>
        <v>0.75</v>
      </c>
      <c r="G35" s="192">
        <f>COUNTIFS('Candidate Tracker'!D:D,B35,'Candidate Tracker'!W:W,"Screening Stage")</f>
        <v>2</v>
      </c>
      <c r="H35" s="192">
        <f>COUNTIFS('Candidate Tracker'!D:D,B35,'Candidate Tracker'!W:W,"L1 Stage")</f>
        <v>0</v>
      </c>
      <c r="I35" s="192">
        <f>COUNTIFS('Candidate Tracker'!D:D,B35,'Candidate Tracker'!W:W,"L2 Stage")</f>
        <v>0</v>
      </c>
      <c r="J35" s="192">
        <f>COUNTIFS('Candidate Tracker'!D:D,B35,'Candidate Tracker'!W:W,"Offer Stage")</f>
        <v>4</v>
      </c>
      <c r="K35" s="194" t="str">
        <f>_xlfn.XLOOKUP(B35,'Position Tracker'!E:E,'Position Tracker'!J:J,,0)</f>
        <v>1Hold/2joined</v>
      </c>
      <c r="L35" s="11" t="str">
        <f>_xlfn.XLOOKUP(B35,'Position Tracker'!E:E,'Position Tracker'!Y:Y,,0)</f>
        <v>RL1</v>
      </c>
    </row>
    <row r="36" spans="1:28" hidden="1">
      <c r="A36" s="7">
        <f>_xlfn.XLOOKUP(B36,'Position Tracker'!E:E,'Position Tracker'!B:B,,0)</f>
        <v>45848</v>
      </c>
      <c r="B36" s="7" t="s">
        <v>178</v>
      </c>
      <c r="C36" s="8">
        <f ca="1">NETWORKDAYS.INTL(A36,TODAY(),1,'HELPER(Dont Delete)'!A:A)</f>
        <v>117</v>
      </c>
      <c r="D36" s="8" t="e">
        <f>VLOOKUP(B36,'Position Tracker'!E:F,3,0)</f>
        <v>#REF!</v>
      </c>
      <c r="E36" s="8">
        <f>COUNTIFS('Candidate Tracker'!D:D,B36)</f>
        <v>18</v>
      </c>
      <c r="F36" s="9" t="str">
        <f>_xlfn.XLOOKUP(B36,'Position Tracker'!E:E,'Position Tracker'!X:X,,0)</f>
        <v>100%</v>
      </c>
      <c r="G36" s="8">
        <f>COUNTIFS('Candidate Tracker'!D:D,B36,'Candidate Tracker'!W:W,"Screening Stage")</f>
        <v>0</v>
      </c>
      <c r="H36" s="8">
        <f>COUNTIFS('Candidate Tracker'!D:D,B36,'Candidate Tracker'!W:W,"L1 Stage")</f>
        <v>1</v>
      </c>
      <c r="I36" s="8">
        <f>COUNTIFS('Candidate Tracker'!D:D,B36,'Candidate Tracker'!W:W,"L2 Stage")</f>
        <v>0</v>
      </c>
      <c r="J36" s="8">
        <f>COUNTIFS('Candidate Tracker'!D:D,B36,'Candidate Tracker'!W:W,"Offer Stage")</f>
        <v>2</v>
      </c>
      <c r="K36" s="10" t="str">
        <f>_xlfn.XLOOKUP(B36,'Position Tracker'!E:E,'Position Tracker'!J:J,,0)</f>
        <v>Offer stage</v>
      </c>
      <c r="L36" s="11" t="str">
        <f>_xlfn.XLOOKUP(B36,'Position Tracker'!E:E,'Position Tracker'!Y:Y,,0)</f>
        <v>RL1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idden="1">
      <c r="A37" s="191">
        <f>_xlfn.XLOOKUP(B37,'Position Tracker'!E:E,'Position Tracker'!B:B,,0)</f>
        <v>45848</v>
      </c>
      <c r="B37" s="191" t="s">
        <v>185</v>
      </c>
      <c r="C37" s="192">
        <f ca="1">NETWORKDAYS.INTL(A37,TODAY(),1,'HELPER(Dont Delete)'!A:A)</f>
        <v>117</v>
      </c>
      <c r="D37" s="192" t="e">
        <f>VLOOKUP(B37,'Position Tracker'!E:F,3,0)</f>
        <v>#REF!</v>
      </c>
      <c r="E37" s="192">
        <f>COUNTIFS('Candidate Tracker'!D:D,B37)</f>
        <v>3</v>
      </c>
      <c r="F37" s="193">
        <f>_xlfn.XLOOKUP(B37,'Position Tracker'!E:E,'Position Tracker'!X:X,,0)</f>
        <v>0.8</v>
      </c>
      <c r="G37" s="192">
        <f>COUNTIFS('Candidate Tracker'!D:D,B37,'Candidate Tracker'!W:W,"Screening Stage")</f>
        <v>2</v>
      </c>
      <c r="H37" s="192">
        <f>COUNTIFS('Candidate Tracker'!D:D,B37,'Candidate Tracker'!W:W,"L1 Stage")</f>
        <v>0</v>
      </c>
      <c r="I37" s="192">
        <f>COUNTIFS('Candidate Tracker'!D:D,B37,'Candidate Tracker'!W:W,"L2 Stage")</f>
        <v>0</v>
      </c>
      <c r="J37" s="192">
        <f>COUNTIFS('Candidate Tracker'!D:D,B37,'Candidate Tracker'!W:W,"Offer Stage")</f>
        <v>0</v>
      </c>
      <c r="K37" s="194" t="str">
        <f>_xlfn.XLOOKUP(B37,'Position Tracker'!E:E,'Position Tracker'!J:J,,0)</f>
        <v>Internally Closed</v>
      </c>
      <c r="L37" s="11" t="str">
        <f>_xlfn.XLOOKUP(B37,'Position Tracker'!E:E,'Position Tracker'!Y:Y,,0)</f>
        <v>RL1</v>
      </c>
    </row>
    <row r="38" spans="1:28" hidden="1">
      <c r="A38" s="7">
        <f>_xlfn.XLOOKUP(B38,'Position Tracker'!E:E,'Position Tracker'!B:B,,0)</f>
        <v>45848</v>
      </c>
      <c r="B38" s="7" t="s">
        <v>189</v>
      </c>
      <c r="C38" s="8">
        <f ca="1">NETWORKDAYS.INTL(A38,TODAY(),1,'HELPER(Dont Delete)'!A:A)</f>
        <v>117</v>
      </c>
      <c r="D38" s="8" t="e">
        <f>VLOOKUP(B38,'Position Tracker'!E:F,3,0)</f>
        <v>#REF!</v>
      </c>
      <c r="E38" s="8">
        <f>COUNTIFS('Candidate Tracker'!D:D,B38)</f>
        <v>5</v>
      </c>
      <c r="F38" s="9">
        <f>_xlfn.XLOOKUP(B38,'Position Tracker'!E:E,'Position Tracker'!X:X,,0)</f>
        <v>0</v>
      </c>
      <c r="G38" s="8">
        <f>COUNTIFS('Candidate Tracker'!D:D,B38,'Candidate Tracker'!W:W,"Screening Stage")</f>
        <v>0</v>
      </c>
      <c r="H38" s="8">
        <f>COUNTIFS('Candidate Tracker'!D:D,B38,'Candidate Tracker'!W:W,"L1 Stage")</f>
        <v>2</v>
      </c>
      <c r="I38" s="8">
        <f>COUNTIFS('Candidate Tracker'!D:D,B38,'Candidate Tracker'!W:W,"L2 Stage")</f>
        <v>1</v>
      </c>
      <c r="J38" s="8">
        <f>COUNTIFS('Candidate Tracker'!D:D,B38,'Candidate Tracker'!W:W,"Offer Stage")</f>
        <v>0</v>
      </c>
      <c r="K38" s="10" t="str">
        <f>_xlfn.XLOOKUP(B38,'Position Tracker'!E:E,'Position Tracker'!J:J,,0)</f>
        <v>Hold</v>
      </c>
      <c r="L38" s="11" t="str">
        <f>_xlfn.XLOOKUP(B38,'Position Tracker'!E:E,'Position Tracker'!Y:Y,,0)</f>
        <v>RL2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idden="1">
      <c r="A39" s="7">
        <f>_xlfn.XLOOKUP(B39,'Position Tracker'!E:E,'Position Tracker'!B:B,,0)</f>
        <v>45859</v>
      </c>
      <c r="B39" s="1" t="s">
        <v>194</v>
      </c>
      <c r="C39" s="8">
        <f ca="1">NETWORKDAYS.INTL(A39,TODAY(),1,'HELPER(Dont Delete)'!A:A)</f>
        <v>110</v>
      </c>
      <c r="D39" s="8" t="e">
        <f>VLOOKUP(B39,'Position Tracker'!E:F,3,0)</f>
        <v>#REF!</v>
      </c>
      <c r="E39" s="8">
        <f>COUNTIFS('Candidate Tracker'!D:D,B39)</f>
        <v>0</v>
      </c>
      <c r="F39" s="9">
        <f>_xlfn.XLOOKUP(B39,'Position Tracker'!E:E,'Position Tracker'!X:X,,0)</f>
        <v>0.55555555555555558</v>
      </c>
      <c r="G39" s="8">
        <f>COUNTIFS('Candidate Tracker'!D:D,B39,'Candidate Tracker'!W:W,"Screening Stage")</f>
        <v>0</v>
      </c>
      <c r="H39" s="8">
        <f>COUNTIFS('Candidate Tracker'!D:D,B39,'Candidate Tracker'!W:W,"L1 Stage")</f>
        <v>0</v>
      </c>
      <c r="I39" s="8">
        <f>COUNTIFS('Candidate Tracker'!D:D,B39,'Candidate Tracker'!W:W,"L2 Stage")</f>
        <v>0</v>
      </c>
      <c r="J39" s="8">
        <f>COUNTIFS('Candidate Tracker'!D:D,B39,'Candidate Tracker'!W:W,"Offer Stage")</f>
        <v>0</v>
      </c>
      <c r="K39" s="10" t="str">
        <f>_xlfn.XLOOKUP(B39,'Position Tracker'!E:E,'Position Tracker'!J:J,,0)</f>
        <v>Cancelled</v>
      </c>
      <c r="L39" s="11" t="str">
        <f>_xlfn.XLOOKUP(B39,'Position Tracker'!E:E,'Position Tracker'!Y:Y,,0)</f>
        <v>RL2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>
      <c r="A40" s="7">
        <f>_xlfn.XLOOKUP(B40,'Position Tracker'!E:E,'Position Tracker'!B:B,,0)</f>
        <v>45860</v>
      </c>
      <c r="B40" s="1" t="s">
        <v>201</v>
      </c>
      <c r="C40" s="8">
        <f ca="1">NETWORKDAYS.INTL(A40,TODAY(),1,'HELPER(Dont Delete)'!A:A)</f>
        <v>109</v>
      </c>
      <c r="D40" s="8" t="e">
        <f>VLOOKUP(B40,'Position Tracker'!E:F,3,0)</f>
        <v>#REF!</v>
      </c>
      <c r="E40" s="8">
        <f>COUNTIFS('Candidate Tracker'!D:D,B40)</f>
        <v>0</v>
      </c>
      <c r="F40" s="9">
        <f>_xlfn.XLOOKUP(B40,'Position Tracker'!E:E,'Position Tracker'!X:X,,0)</f>
        <v>0</v>
      </c>
      <c r="G40" s="8">
        <f>COUNTIFS('Candidate Tracker'!D:D,B40,'Candidate Tracker'!W:W,"Screening Stage")</f>
        <v>0</v>
      </c>
      <c r="H40" s="8">
        <f>COUNTIFS('Candidate Tracker'!D:D,B40,'Candidate Tracker'!W:W,"L1 Stage")</f>
        <v>0</v>
      </c>
      <c r="I40" s="8">
        <f>COUNTIFS('Candidate Tracker'!D:D,B40,'Candidate Tracker'!W:W,"L2 Stage")</f>
        <v>0</v>
      </c>
      <c r="J40" s="8">
        <f>COUNTIFS('Candidate Tracker'!D:D,B40,'Candidate Tracker'!W:W,"Offer Stage")</f>
        <v>0</v>
      </c>
      <c r="K40" s="10" t="str">
        <f>_xlfn.XLOOKUP(B40,'Position Tracker'!E:E,'Position Tracker'!J:J,,0)</f>
        <v>Hold</v>
      </c>
      <c r="L40" s="11" t="str">
        <f>_xlfn.XLOOKUP(B40,'Position Tracker'!E:E,'Position Tracker'!Y:Y,,0)</f>
        <v>RL3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idden="1">
      <c r="A41" s="7">
        <f>_xlfn.XLOOKUP(B41,'Position Tracker'!E:E,'Position Tracker'!B:B,,0)</f>
        <v>45873</v>
      </c>
      <c r="B41" s="233" t="s">
        <v>206</v>
      </c>
      <c r="C41" s="8">
        <f ca="1">NETWORKDAYS.INTL(A41,TODAY(),1,'HELPER(Dont Delete)'!A:A)</f>
        <v>100</v>
      </c>
      <c r="D41" s="8" t="e">
        <f>VLOOKUP(B41,'Position Tracker'!E:F,3,0)</f>
        <v>#REF!</v>
      </c>
      <c r="E41" s="8">
        <f>COUNTIFS('Candidate Tracker'!D:D,B41)</f>
        <v>3</v>
      </c>
      <c r="F41" s="9">
        <f>_xlfn.XLOOKUP(B41,'Position Tracker'!E:E,'Position Tracker'!X:X,,0)</f>
        <v>0.5</v>
      </c>
      <c r="G41" s="8">
        <f>COUNTIFS('Candidate Tracker'!D:D,B41,'Candidate Tracker'!W:W,"Screening Stage")</f>
        <v>0</v>
      </c>
      <c r="H41" s="8">
        <f>COUNTIFS('Candidate Tracker'!D:D,B41,'Candidate Tracker'!W:W,"L1 Stage")</f>
        <v>0</v>
      </c>
      <c r="I41" s="8">
        <f>COUNTIFS('Candidate Tracker'!D:D,B41,'Candidate Tracker'!W:W,"L2 Stage")</f>
        <v>0</v>
      </c>
      <c r="J41" s="8">
        <f>COUNTIFS('Candidate Tracker'!D:D,B41,'Candidate Tracker'!W:W,"Offer Stage")</f>
        <v>0</v>
      </c>
      <c r="K41" s="10" t="str">
        <f>_xlfn.XLOOKUP(B41,'Position Tracker'!E:E,'Position Tracker'!J:J,,0)</f>
        <v>Hold</v>
      </c>
      <c r="L41" s="11" t="str">
        <f>_xlfn.XLOOKUP(B41,'Position Tracker'!E:E,'Position Tracker'!Y:Y,,0)</f>
        <v>RL1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>
      <c r="A42" s="7">
        <f>_xlfn.XLOOKUP(B42,'Position Tracker'!E:E,'Position Tracker'!B:B,,0)</f>
        <v>45881</v>
      </c>
      <c r="B42" s="232" t="s">
        <v>209</v>
      </c>
      <c r="C42" s="8">
        <f ca="1">NETWORKDAYS.INTL(A42,TODAY(),1,'HELPER(Dont Delete)'!A:A)</f>
        <v>94</v>
      </c>
      <c r="D42" s="8" t="e">
        <f>VLOOKUP(B42,'Position Tracker'!E:F,3,0)</f>
        <v>#REF!</v>
      </c>
      <c r="E42" s="8">
        <f>COUNTIFS('Candidate Tracker'!D:D,B42)</f>
        <v>4</v>
      </c>
      <c r="F42" s="9">
        <f>_xlfn.XLOOKUP(B42,'Position Tracker'!E:E,'Position Tracker'!X:X,,0)</f>
        <v>0.55555555555555558</v>
      </c>
      <c r="G42" s="8">
        <f>COUNTIFS('Candidate Tracker'!D:D,B42,'Candidate Tracker'!W:W,"Screening Stage")</f>
        <v>0</v>
      </c>
      <c r="H42" s="8">
        <f>COUNTIFS('Candidate Tracker'!D:D,B42,'Candidate Tracker'!W:W,"L1 Stage")</f>
        <v>1</v>
      </c>
      <c r="I42" s="8">
        <f>COUNTIFS('Candidate Tracker'!D:D,B42,'Candidate Tracker'!W:W,"L2 Stage")</f>
        <v>0</v>
      </c>
      <c r="J42" s="8">
        <f>COUNTIFS('Candidate Tracker'!D:D,B42,'Candidate Tracker'!W:W,"Offer Stage")</f>
        <v>0</v>
      </c>
      <c r="K42" s="10" t="str">
        <f>_xlfn.XLOOKUP(B42,'Position Tracker'!E:E,'Position Tracker'!J:J,,0)</f>
        <v>Hold</v>
      </c>
      <c r="L42" s="11" t="str">
        <f>_xlfn.XLOOKUP(B42,'Position Tracker'!E:E,'Position Tracker'!Y:Y,,0)</f>
        <v>RL1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" hidden="1" thickBot="1">
      <c r="A43" s="15"/>
      <c r="B43" s="16" t="s">
        <v>2782</v>
      </c>
      <c r="C43" s="17">
        <f ca="1">SUM(C2:C16)</f>
        <v>5342</v>
      </c>
      <c r="D43" s="17" t="e">
        <f>SUM(D2:D16)</f>
        <v>#REF!</v>
      </c>
      <c r="E43" s="17">
        <f>SUM(E2:E16)</f>
        <v>172</v>
      </c>
      <c r="F43" s="18">
        <f>AVERAGEA(F2:F16)</f>
        <v>0.63462481962481976</v>
      </c>
      <c r="G43" s="17">
        <f>SUM(G2:G16)</f>
        <v>3</v>
      </c>
      <c r="H43" s="17">
        <f>SUM(H2:H16)</f>
        <v>15</v>
      </c>
      <c r="I43" s="17">
        <f>SUM(I2:I16)</f>
        <v>0</v>
      </c>
      <c r="J43" s="17">
        <f>SUM(J2:J16)</f>
        <v>2</v>
      </c>
      <c r="K43" s="19"/>
      <c r="L43" s="20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7.5" thickBot="1">
      <c r="A47" s="21" t="s">
        <v>2783</v>
      </c>
      <c r="B47" s="21" t="s">
        <v>2784</v>
      </c>
      <c r="C47" s="21" t="s">
        <v>2785</v>
      </c>
      <c r="D47" s="2"/>
      <c r="E47" s="259" t="s">
        <v>2786</v>
      </c>
      <c r="F47" s="260"/>
      <c r="G47" s="260"/>
      <c r="H47" s="260"/>
      <c r="I47" s="260"/>
      <c r="J47" s="260"/>
      <c r="K47" s="260"/>
      <c r="L47" s="260"/>
      <c r="M47" s="260"/>
      <c r="N47" s="260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7">
      <c r="A48" s="22" t="s">
        <v>1261</v>
      </c>
      <c r="B48" s="23">
        <f>COUNTIFS('Candidate Tracker'!W:W,"Screening Stage")</f>
        <v>10</v>
      </c>
      <c r="C48" s="24">
        <f>AVERAGE('Candidate Tracker'!AP:AP)</f>
        <v>5.0429184549356227</v>
      </c>
      <c r="D48" s="2"/>
      <c r="E48" s="25"/>
      <c r="F48" s="26" t="s">
        <v>2787</v>
      </c>
      <c r="G48" s="26" t="s">
        <v>2788</v>
      </c>
      <c r="H48" s="26" t="s">
        <v>2789</v>
      </c>
      <c r="I48" s="27" t="s">
        <v>2790</v>
      </c>
      <c r="J48" s="27" t="s">
        <v>2791</v>
      </c>
      <c r="K48" s="27" t="s">
        <v>2792</v>
      </c>
      <c r="L48" s="27" t="s">
        <v>2793</v>
      </c>
      <c r="M48" s="27" t="s">
        <v>2794</v>
      </c>
      <c r="N48" s="27" t="s">
        <v>2795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>
      <c r="A49" s="28" t="s">
        <v>741</v>
      </c>
      <c r="B49" s="29">
        <f>COUNTIFS('Candidate Tracker'!W:W,"L1 Stage")</f>
        <v>48</v>
      </c>
      <c r="C49" s="45">
        <f>AVERAGE('Candidate Tracker'!AQ:AQ)</f>
        <v>4.1344537815126055</v>
      </c>
      <c r="D49" s="2"/>
      <c r="E49" s="30" t="s">
        <v>808</v>
      </c>
      <c r="F49" s="31">
        <f>COUNTIFS('Candidate Tracker'!C:C, "&lt;=31/12/2023",  'Candidate Tracker'!V:V, "&lt;&gt;Screening Pending",'Candidate Tracker'!V:V, "&lt;&gt;")</f>
        <v>8</v>
      </c>
      <c r="G49" s="31">
        <f>COUNTIFS('Candidate Tracker'!C:C, "&gt;=1/1/2024", 'Candidate Tracker'!C:C, "&lt;=31/1/2024", 'Candidate Tracker'!V:V, "&lt;&gt;Screening Pending",'Candidate Tracker'!V:V, "&lt;&gt;")</f>
        <v>4</v>
      </c>
      <c r="H49" s="31">
        <f>COUNTIFS('Candidate Tracker'!C:C, "&gt;=1/2/2024", 'Candidate Tracker'!C:C, "&lt;=28/2/2024",  'Candidate Tracker'!V:V, "&lt;&gt;Screening Pending",'Candidate Tracker'!V:V, "&lt;&gt;")</f>
        <v>5</v>
      </c>
      <c r="I49" s="31">
        <f>COUNTIFS('Candidate Tracker'!C:C, "&gt;=1/3/2024", 'Candidate Tracker'!C:C, "&lt;=31/3/2024",  'Candidate Tracker'!V:V, "&lt;&gt;Screening Pending",'Candidate Tracker'!V:V, "&lt;&gt;")</f>
        <v>21</v>
      </c>
      <c r="J49" s="31">
        <f>COUNTIFS('Candidate Tracker'!C:C, "&gt;=1/4/2024", 'Candidate Tracker'!C:C, "&lt;=30/4/2024",  'Candidate Tracker'!V:V, "&lt;&gt;Screening Pending",'Candidate Tracker'!V:V, "&lt;&gt;")</f>
        <v>25</v>
      </c>
      <c r="K49" s="31">
        <f>COUNTIFS('Candidate Tracker'!C:C, "&gt;=1/5/2024", 'Candidate Tracker'!C:C, "&lt;=31/5/2024",  'Candidate Tracker'!V:V, "&lt;&gt;Screening Pending",'Candidate Tracker'!V:V, "&lt;&gt;")</f>
        <v>3</v>
      </c>
      <c r="L49" s="31">
        <f>COUNTIFS('Candidate Tracker'!C:C, "&gt;=1/6/2024", 'Candidate Tracker'!C:C, "&lt;=30/6/2024",  'Candidate Tracker'!V:V, "&lt;&gt;Screening Pending",'Candidate Tracker'!V:V, "&lt;&gt;")</f>
        <v>7</v>
      </c>
      <c r="M49" s="31">
        <f>COUNTIFS('Candidate Tracker'!C:C, "&gt;=1/7/2024", 'Candidate Tracker'!C:C, "&lt;=31/7/2024",  'Candidate Tracker'!V:V, "&lt;&gt;Screening Pending",'Candidate Tracker'!V:V, "&lt;&gt;")</f>
        <v>10</v>
      </c>
      <c r="N49" s="31">
        <f>COUNTIFS('Candidate Tracker'!C:C, "&gt;=1/8/2024", 'Candidate Tracker'!C:C, "&lt;=30/8/2024",  'Candidate Tracker'!V:V, "&lt;&gt;Screening Pending",'Candidate Tracker'!V:V, "&lt;&gt;")</f>
        <v>11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>
      <c r="A50" s="22" t="s">
        <v>1260</v>
      </c>
      <c r="B50" s="23">
        <f>COUNTIFS('Candidate Tracker'!W:W,"L2 Stage")</f>
        <v>24</v>
      </c>
      <c r="C50" s="24">
        <f>AVERAGE('Candidate Tracker'!AR:AR)</f>
        <v>10.09375</v>
      </c>
      <c r="D50" s="2"/>
      <c r="E50" s="32" t="s">
        <v>232</v>
      </c>
      <c r="F50" s="33">
        <f>COUNTIFS('Candidate Tracker'!C:C, "&lt;=31/12/2023", 'Candidate Tracker'!V:V, "Screen Reject")</f>
        <v>0</v>
      </c>
      <c r="G50" s="33">
        <f>COUNTIFS('Candidate Tracker'!C:C, "&gt;=1/1/2024", 'Candidate Tracker'!C:C, "&lt;=31/1/2024", 'Candidate Tracker'!V:V, "Screen Reject")</f>
        <v>1</v>
      </c>
      <c r="H50" s="33">
        <f>COUNTIFS('Candidate Tracker'!C:C, "&gt;=1/2/2024", 'Candidate Tracker'!C:C, "&lt;=28/2/2024", 'Candidate Tracker'!V:V, "Screen Reject")</f>
        <v>0</v>
      </c>
      <c r="I50" s="34">
        <f>COUNTIFS('Candidate Tracker'!C:C, "&gt;=1/3/2024", 'Candidate Tracker'!C:C, "&lt;=31/3/2024", 'Candidate Tracker'!V:V, "Screen Reject")</f>
        <v>3</v>
      </c>
      <c r="J50" s="35">
        <f>COUNTIFS('Candidate Tracker'!C:C, "&gt;=1/4/2024", 'Candidate Tracker'!C:C, "&lt;=30/4/2024", 'Candidate Tracker'!V:V, "Screen Reject")</f>
        <v>7</v>
      </c>
      <c r="K50" s="35">
        <f>COUNTIFS('Candidate Tracker'!C:C, "&gt;=1/5/2024", 'Candidate Tracker'!C:C, "&lt;=31/5/2024", 'Candidate Tracker'!V:V, "Screen Reject")</f>
        <v>3</v>
      </c>
      <c r="L50" s="35">
        <f>COUNTIFS('Candidate Tracker'!C:C, "&gt;=1/6/2024", 'Candidate Tracker'!C:C, "&lt;=30/6/2024", 'Candidate Tracker'!V:V, "Screen Reject")</f>
        <v>0</v>
      </c>
      <c r="M50" s="35">
        <f>COUNTIFS('Candidate Tracker'!C:C, "&gt;=1/7/2024", 'Candidate Tracker'!C:C, "&lt;=31/7/2024", 'Candidate Tracker'!V:V, "Screen Reject")</f>
        <v>2</v>
      </c>
      <c r="N50" s="35">
        <f>COUNTIFS('Candidate Tracker'!C:C, "&gt;=1/8/2024", 'Candidate Tracker'!C:C, "&lt;=30/8/2024", 'Candidate Tracker'!V:V, "Screen Reject")</f>
        <v>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>
      <c r="A51" s="2"/>
      <c r="B51" s="2"/>
      <c r="C51" s="2"/>
      <c r="D51" s="2"/>
      <c r="E51" s="30" t="s">
        <v>2796</v>
      </c>
      <c r="F51" s="31">
        <f t="shared" ref="F51:N51" si="0">F49-F50</f>
        <v>8</v>
      </c>
      <c r="G51" s="31">
        <f t="shared" si="0"/>
        <v>3</v>
      </c>
      <c r="H51" s="31">
        <f t="shared" si="0"/>
        <v>5</v>
      </c>
      <c r="I51" s="31">
        <f t="shared" si="0"/>
        <v>18</v>
      </c>
      <c r="J51" s="31">
        <f t="shared" si="0"/>
        <v>18</v>
      </c>
      <c r="K51" s="31">
        <f t="shared" si="0"/>
        <v>0</v>
      </c>
      <c r="L51" s="31">
        <f t="shared" si="0"/>
        <v>7</v>
      </c>
      <c r="M51" s="31">
        <f t="shared" si="0"/>
        <v>8</v>
      </c>
      <c r="N51" s="31">
        <f t="shared" si="0"/>
        <v>10</v>
      </c>
    </row>
    <row r="52" spans="1:28" ht="15" thickBot="1">
      <c r="A52" s="2"/>
      <c r="B52" s="2"/>
      <c r="C52" s="2"/>
      <c r="D52" s="2"/>
      <c r="E52" s="36" t="s">
        <v>22</v>
      </c>
      <c r="F52" s="37">
        <f>IFERROR(F51/F49,0)</f>
        <v>1</v>
      </c>
      <c r="G52" s="37">
        <f t="shared" ref="G52:J52" si="1">IFERROR(G51/G49,0)</f>
        <v>0.75</v>
      </c>
      <c r="H52" s="37">
        <f t="shared" si="1"/>
        <v>1</v>
      </c>
      <c r="I52" s="37">
        <f t="shared" si="1"/>
        <v>0.8571428571428571</v>
      </c>
      <c r="J52" s="37">
        <f t="shared" si="1"/>
        <v>0.72</v>
      </c>
      <c r="K52" s="37">
        <f>IFERROR(K51/K49,0)</f>
        <v>0</v>
      </c>
      <c r="L52" s="37">
        <f>IFERROR(L51/L49,0)</f>
        <v>1</v>
      </c>
      <c r="M52" s="37">
        <f t="shared" ref="M52:N52" si="2">IFERROR(M51/M49,0)</f>
        <v>0.8</v>
      </c>
      <c r="N52" s="37">
        <f t="shared" si="2"/>
        <v>0.90909090909090906</v>
      </c>
    </row>
    <row r="53" spans="1:28" ht="17">
      <c r="A53" s="3" t="s">
        <v>2797</v>
      </c>
      <c r="B53" s="6" t="s">
        <v>2798</v>
      </c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28">
      <c r="A54" s="38" t="s">
        <v>2799</v>
      </c>
      <c r="B54" s="38">
        <f ca="1">COUNTIFS('Position Tracker'!D:D,Dashboard!A54)</f>
        <v>0</v>
      </c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28">
      <c r="A55" s="39" t="s">
        <v>2800</v>
      </c>
      <c r="B55" s="40">
        <f ca="1">COUNTIFS('Position Tracker'!D:D,Dashboard!A55)</f>
        <v>0</v>
      </c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28">
      <c r="A56" s="38" t="s">
        <v>2801</v>
      </c>
      <c r="B56" s="38">
        <f ca="1">COUNTIFS('Position Tracker'!D:D,Dashboard!A56)</f>
        <v>2</v>
      </c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28">
      <c r="A57" s="39" t="s">
        <v>2802</v>
      </c>
      <c r="B57" s="40">
        <f ca="1">COUNTIFS('Position Tracker'!D:D,Dashboard!A57)</f>
        <v>1</v>
      </c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28">
      <c r="A58" s="38" t="s">
        <v>2803</v>
      </c>
      <c r="B58" s="38">
        <f ca="1">COUNTIFS('Position Tracker'!D:D,Dashboard!A58)</f>
        <v>0</v>
      </c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28">
      <c r="A59" s="39" t="s">
        <v>2804</v>
      </c>
      <c r="B59" s="40">
        <f ca="1">COUNTIFS('Position Tracker'!D:D,Dashboard!A59)</f>
        <v>0</v>
      </c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28">
      <c r="A60" s="38" t="s">
        <v>2805</v>
      </c>
      <c r="B60" s="38">
        <f ca="1">COUNTIFS('Position Tracker'!D:D,Dashboard!A60)</f>
        <v>0</v>
      </c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28">
      <c r="A61" s="39" t="s">
        <v>2806</v>
      </c>
      <c r="B61" s="40">
        <f ca="1">COUNTIFS('Position Tracker'!D:D,Dashboard!A61)</f>
        <v>0</v>
      </c>
      <c r="C61" s="2"/>
      <c r="D61" s="2"/>
      <c r="E61" s="2"/>
      <c r="F61" s="2"/>
      <c r="G61" s="2"/>
      <c r="H61" s="2"/>
      <c r="I61" s="2"/>
      <c r="J61" s="2"/>
      <c r="K61" s="2"/>
      <c r="L61" s="2"/>
    </row>
  </sheetData>
  <autoFilter ref="A1:L43" xr:uid="{9B038F49-9195-4C05-9F72-62F40C3E70D3}">
    <filterColumn colId="10">
      <filters>
        <filter val="Open"/>
      </filters>
    </filterColumn>
  </autoFilter>
  <mergeCells count="1">
    <mergeCell ref="E47:N47"/>
  </mergeCells>
  <pageMargins left="0.7" right="0.7" top="0.75" bottom="0.75" header="0.3" footer="0.3"/>
  <ignoredErrors>
    <ignoredError sqref="E50:L52 B48:C50 M50:N52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2583-AAD4-4E58-A90D-977C775A6C62}">
  <dimension ref="A2:A84"/>
  <sheetViews>
    <sheetView workbookViewId="0"/>
  </sheetViews>
  <sheetFormatPr defaultRowHeight="14.5"/>
  <cols>
    <col min="1" max="1" width="10.453125" bestFit="1" customWidth="1"/>
  </cols>
  <sheetData>
    <row r="2" spans="1:1">
      <c r="A2" s="41">
        <v>44927</v>
      </c>
    </row>
    <row r="3" spans="1:1">
      <c r="A3" s="41">
        <v>44952</v>
      </c>
    </row>
    <row r="4" spans="1:1">
      <c r="A4" s="41">
        <v>44993</v>
      </c>
    </row>
    <row r="5" spans="1:1">
      <c r="A5" s="41">
        <v>45015</v>
      </c>
    </row>
    <row r="6" spans="1:1">
      <c r="A6" s="41">
        <v>45020</v>
      </c>
    </row>
    <row r="7" spans="1:1">
      <c r="A7" s="41">
        <v>45023</v>
      </c>
    </row>
    <row r="8" spans="1:1">
      <c r="A8" s="41">
        <v>45038</v>
      </c>
    </row>
    <row r="9" spans="1:1">
      <c r="A9" s="41">
        <v>45051</v>
      </c>
    </row>
    <row r="10" spans="1:1">
      <c r="A10" s="41">
        <v>45106</v>
      </c>
    </row>
    <row r="11" spans="1:1">
      <c r="A11" s="41">
        <v>45136</v>
      </c>
    </row>
    <row r="12" spans="1:1">
      <c r="A12" s="41">
        <v>45153</v>
      </c>
    </row>
    <row r="13" spans="1:1">
      <c r="A13" s="41">
        <v>45176</v>
      </c>
    </row>
    <row r="14" spans="1:1">
      <c r="A14" s="41">
        <v>45197</v>
      </c>
    </row>
    <row r="15" spans="1:1">
      <c r="A15" s="41">
        <v>45201</v>
      </c>
    </row>
    <row r="16" spans="1:1">
      <c r="A16" s="41">
        <v>45223</v>
      </c>
    </row>
    <row r="17" spans="1:1">
      <c r="A17" s="41">
        <v>45242</v>
      </c>
    </row>
    <row r="18" spans="1:1">
      <c r="A18" s="41">
        <v>45257</v>
      </c>
    </row>
    <row r="19" spans="1:1">
      <c r="A19" s="41">
        <v>45285</v>
      </c>
    </row>
    <row r="20" spans="1:1">
      <c r="A20" s="41">
        <v>45317</v>
      </c>
    </row>
    <row r="21" spans="1:1">
      <c r="A21" s="41">
        <v>45376</v>
      </c>
    </row>
    <row r="22" spans="1:1">
      <c r="A22" s="41">
        <v>45380</v>
      </c>
    </row>
    <row r="23" spans="1:1">
      <c r="A23" s="41">
        <v>45393</v>
      </c>
    </row>
    <row r="24" spans="1:1">
      <c r="A24" s="41">
        <v>45399</v>
      </c>
    </row>
    <row r="25" spans="1:1">
      <c r="A25" s="41">
        <v>45403</v>
      </c>
    </row>
    <row r="26" spans="1:1">
      <c r="A26" s="41">
        <v>45435</v>
      </c>
    </row>
    <row r="27" spans="1:1">
      <c r="A27" s="41">
        <v>45460</v>
      </c>
    </row>
    <row r="28" spans="1:1">
      <c r="A28" s="41">
        <v>45490</v>
      </c>
    </row>
    <row r="29" spans="1:1">
      <c r="A29" s="41">
        <v>45519</v>
      </c>
    </row>
    <row r="30" spans="1:1">
      <c r="A30" s="41">
        <v>45530</v>
      </c>
    </row>
    <row r="31" spans="1:1">
      <c r="A31" s="41">
        <v>45551</v>
      </c>
    </row>
    <row r="32" spans="1:1">
      <c r="A32" s="41">
        <v>45567</v>
      </c>
    </row>
    <row r="33" spans="1:1">
      <c r="A33" s="41">
        <v>45577</v>
      </c>
    </row>
    <row r="34" spans="1:1">
      <c r="A34" s="41">
        <v>45596</v>
      </c>
    </row>
    <row r="35" spans="1:1">
      <c r="A35" s="41">
        <v>45611</v>
      </c>
    </row>
    <row r="36" spans="1:1">
      <c r="A36" s="41">
        <v>45651</v>
      </c>
    </row>
    <row r="37" spans="1:1">
      <c r="A37" s="41">
        <v>45292</v>
      </c>
    </row>
    <row r="38" spans="1:1">
      <c r="A38" s="41">
        <v>45304</v>
      </c>
    </row>
    <row r="39" spans="1:1">
      <c r="A39" s="41">
        <v>45305</v>
      </c>
    </row>
    <row r="40" spans="1:1">
      <c r="A40" s="41">
        <v>45306</v>
      </c>
    </row>
    <row r="41" spans="1:1">
      <c r="A41" s="41">
        <v>45308</v>
      </c>
    </row>
    <row r="42" spans="1:1">
      <c r="A42" s="41">
        <v>45316</v>
      </c>
    </row>
    <row r="43" spans="1:1">
      <c r="A43" s="41">
        <v>45317</v>
      </c>
    </row>
    <row r="44" spans="1:1">
      <c r="A44" s="41">
        <v>45336</v>
      </c>
    </row>
    <row r="45" spans="1:1">
      <c r="A45" s="41">
        <v>45341</v>
      </c>
    </row>
    <row r="46" spans="1:1">
      <c r="A46" s="41">
        <v>45346</v>
      </c>
    </row>
    <row r="47" spans="1:1">
      <c r="A47" s="41">
        <v>45357</v>
      </c>
    </row>
    <row r="48" spans="1:1">
      <c r="A48" s="41">
        <v>45359</v>
      </c>
    </row>
    <row r="49" spans="1:1">
      <c r="A49" s="41">
        <v>45375</v>
      </c>
    </row>
    <row r="50" spans="1:1">
      <c r="A50" s="41">
        <v>45376</v>
      </c>
    </row>
    <row r="51" spans="1:1">
      <c r="A51" s="41">
        <v>45380</v>
      </c>
    </row>
    <row r="52" spans="1:1">
      <c r="A52" s="41">
        <v>45382</v>
      </c>
    </row>
    <row r="53" spans="1:1">
      <c r="A53" s="41">
        <v>45387</v>
      </c>
    </row>
    <row r="54" spans="1:1">
      <c r="A54" s="41">
        <v>45391</v>
      </c>
    </row>
    <row r="55" spans="1:1">
      <c r="A55" s="41">
        <v>45393</v>
      </c>
    </row>
    <row r="56" spans="1:1">
      <c r="A56" s="41">
        <v>45395</v>
      </c>
    </row>
    <row r="57" spans="1:1">
      <c r="A57" s="41">
        <v>45396</v>
      </c>
    </row>
    <row r="58" spans="1:1">
      <c r="A58" s="41">
        <v>45399</v>
      </c>
    </row>
    <row r="59" spans="1:1">
      <c r="A59" s="41">
        <v>45403</v>
      </c>
    </row>
    <row r="60" spans="1:1">
      <c r="A60" s="41">
        <v>45420</v>
      </c>
    </row>
    <row r="61" spans="1:1">
      <c r="A61" s="41">
        <v>45435</v>
      </c>
    </row>
    <row r="62" spans="1:1">
      <c r="A62" s="41">
        <v>45460</v>
      </c>
    </row>
    <row r="63" spans="1:1">
      <c r="A63" s="41">
        <v>45480</v>
      </c>
    </row>
    <row r="64" spans="1:1">
      <c r="A64" s="41">
        <v>45490</v>
      </c>
    </row>
    <row r="65" spans="1:1">
      <c r="A65" s="41">
        <v>45519</v>
      </c>
    </row>
    <row r="66" spans="1:1">
      <c r="A66" s="41">
        <v>45523</v>
      </c>
    </row>
    <row r="67" spans="1:1">
      <c r="A67" s="41">
        <v>45530</v>
      </c>
    </row>
    <row r="68" spans="1:1">
      <c r="A68" s="41">
        <v>45542</v>
      </c>
    </row>
    <row r="69" spans="1:1">
      <c r="A69" s="41">
        <v>45550</v>
      </c>
    </row>
    <row r="70" spans="1:1">
      <c r="A70" s="41">
        <v>45551</v>
      </c>
    </row>
    <row r="71" spans="1:1">
      <c r="A71" s="41">
        <v>45567</v>
      </c>
    </row>
    <row r="72" spans="1:1">
      <c r="A72" s="41">
        <v>45575</v>
      </c>
    </row>
    <row r="73" spans="1:1">
      <c r="A73" s="41">
        <v>45576</v>
      </c>
    </row>
    <row r="74" spans="1:1">
      <c r="A74" s="41">
        <v>45577</v>
      </c>
    </row>
    <row r="75" spans="1:1">
      <c r="A75" s="41">
        <v>45582</v>
      </c>
    </row>
    <row r="76" spans="1:1">
      <c r="A76" s="41">
        <v>45585</v>
      </c>
    </row>
    <row r="77" spans="1:1">
      <c r="A77" s="41">
        <v>45596</v>
      </c>
    </row>
    <row r="78" spans="1:1">
      <c r="A78" s="41">
        <v>45598</v>
      </c>
    </row>
    <row r="79" spans="1:1">
      <c r="A79" s="41">
        <v>45599</v>
      </c>
    </row>
    <row r="80" spans="1:1">
      <c r="A80" s="41">
        <v>45603</v>
      </c>
    </row>
    <row r="81" spans="1:1">
      <c r="A81" s="41">
        <v>45611</v>
      </c>
    </row>
    <row r="82" spans="1:1">
      <c r="A82" s="41">
        <v>45620</v>
      </c>
    </row>
    <row r="83" spans="1:1">
      <c r="A83" s="41">
        <v>45650</v>
      </c>
    </row>
    <row r="84" spans="1:1">
      <c r="A84" s="41">
        <v>45651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E1260-B92A-4587-9793-D0BD394D5AA6}">
  <dimension ref="A1:D8"/>
  <sheetViews>
    <sheetView tabSelected="1" workbookViewId="0">
      <selection activeCell="A9" sqref="A9"/>
    </sheetView>
  </sheetViews>
  <sheetFormatPr defaultRowHeight="14.5"/>
  <cols>
    <col min="1" max="1" width="18" bestFit="1" customWidth="1"/>
    <col min="2" max="2" width="11.1796875" bestFit="1" customWidth="1"/>
    <col min="3" max="3" width="30.26953125" bestFit="1" customWidth="1"/>
  </cols>
  <sheetData>
    <row r="1" spans="1:4">
      <c r="A1" t="s">
        <v>2816</v>
      </c>
      <c r="B1" t="s">
        <v>2822</v>
      </c>
      <c r="C1" t="s">
        <v>2823</v>
      </c>
      <c r="D1" t="s">
        <v>2827</v>
      </c>
    </row>
    <row r="2" spans="1:4">
      <c r="A2" t="s">
        <v>2817</v>
      </c>
      <c r="B2">
        <v>27000</v>
      </c>
      <c r="C2" s="261" t="s">
        <v>2824</v>
      </c>
      <c r="D2">
        <v>0</v>
      </c>
    </row>
    <row r="3" spans="1:4">
      <c r="A3" t="s">
        <v>2818</v>
      </c>
      <c r="B3">
        <v>27000</v>
      </c>
      <c r="C3" s="261" t="s">
        <v>2824</v>
      </c>
      <c r="D3">
        <v>5050</v>
      </c>
    </row>
    <row r="4" spans="1:4">
      <c r="A4" t="s">
        <v>2819</v>
      </c>
      <c r="B4">
        <v>27000</v>
      </c>
      <c r="C4" s="261" t="s">
        <v>2824</v>
      </c>
      <c r="D4">
        <v>11800</v>
      </c>
    </row>
    <row r="5" spans="1:4">
      <c r="A5" t="s">
        <v>2820</v>
      </c>
      <c r="B5">
        <v>27000</v>
      </c>
      <c r="C5" s="261" t="s">
        <v>2825</v>
      </c>
      <c r="D5">
        <v>11800</v>
      </c>
    </row>
    <row r="6" spans="1:4">
      <c r="A6" t="s">
        <v>2821</v>
      </c>
      <c r="B6">
        <v>27000</v>
      </c>
      <c r="C6" s="261" t="s">
        <v>2826</v>
      </c>
      <c r="D6">
        <v>11800</v>
      </c>
    </row>
    <row r="7" spans="1:4">
      <c r="A7" t="s">
        <v>2828</v>
      </c>
      <c r="C7" s="261" t="s">
        <v>2831</v>
      </c>
    </row>
    <row r="8" spans="1:4">
      <c r="A8" t="s">
        <v>2829</v>
      </c>
      <c r="C8" s="261" t="s">
        <v>2830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1169A-6297-4A9D-BE97-800CD95401DB}">
  <dimension ref="B1:D11"/>
  <sheetViews>
    <sheetView workbookViewId="0">
      <selection activeCell="C28" sqref="C28"/>
    </sheetView>
  </sheetViews>
  <sheetFormatPr defaultRowHeight="14.5"/>
  <cols>
    <col min="2" max="2" width="27.453125" customWidth="1"/>
    <col min="3" max="3" width="25.54296875" customWidth="1"/>
    <col min="4" max="4" width="20.1796875" customWidth="1"/>
  </cols>
  <sheetData>
    <row r="1" spans="2:4">
      <c r="B1" s="87" t="s">
        <v>1227</v>
      </c>
      <c r="C1" s="87" t="s">
        <v>2807</v>
      </c>
      <c r="D1" s="87" t="s">
        <v>2808</v>
      </c>
    </row>
    <row r="2" spans="2:4">
      <c r="B2" s="87" t="s">
        <v>107</v>
      </c>
      <c r="C2" s="87">
        <v>5</v>
      </c>
      <c r="D2" s="87">
        <v>0</v>
      </c>
    </row>
    <row r="3" spans="2:4">
      <c r="B3" s="178" t="s">
        <v>110</v>
      </c>
      <c r="C3" s="87">
        <v>1</v>
      </c>
      <c r="D3" s="87">
        <v>4</v>
      </c>
    </row>
    <row r="4" spans="2:4">
      <c r="B4" s="87" t="s">
        <v>114</v>
      </c>
      <c r="C4" s="87">
        <v>4</v>
      </c>
      <c r="D4" s="87">
        <v>1</v>
      </c>
    </row>
    <row r="5" spans="2:4">
      <c r="B5" s="87" t="s">
        <v>129</v>
      </c>
      <c r="C5" s="87" t="s">
        <v>2809</v>
      </c>
      <c r="D5" s="87" t="s">
        <v>2810</v>
      </c>
    </row>
    <row r="6" spans="2:4">
      <c r="B6" s="87" t="s">
        <v>1488</v>
      </c>
      <c r="C6" s="87">
        <v>0</v>
      </c>
      <c r="D6" s="87">
        <v>5</v>
      </c>
    </row>
    <row r="7" spans="2:4">
      <c r="B7" s="87" t="s">
        <v>1707</v>
      </c>
      <c r="C7" s="87">
        <v>0</v>
      </c>
      <c r="D7" s="87">
        <v>5</v>
      </c>
    </row>
    <row r="8" spans="2:4">
      <c r="B8" s="87" t="s">
        <v>141</v>
      </c>
      <c r="C8" s="87">
        <v>3</v>
      </c>
      <c r="D8" s="87">
        <v>0</v>
      </c>
    </row>
    <row r="9" spans="2:4">
      <c r="B9" s="87" t="s">
        <v>147</v>
      </c>
      <c r="C9" s="87">
        <v>4</v>
      </c>
      <c r="D9" s="87">
        <v>1</v>
      </c>
    </row>
    <row r="10" spans="2:4">
      <c r="B10" s="87" t="s">
        <v>199</v>
      </c>
      <c r="C10" s="87">
        <v>2</v>
      </c>
      <c r="D10" s="87">
        <v>3</v>
      </c>
    </row>
    <row r="11" spans="2:4">
      <c r="B11" s="178" t="s">
        <v>157</v>
      </c>
      <c r="C11" s="87">
        <v>1</v>
      </c>
      <c r="D11" s="8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Position Tracker</vt:lpstr>
      <vt:lpstr>Candidate Tracker</vt:lpstr>
      <vt:lpstr>Dashboard</vt:lpstr>
      <vt:lpstr>HELPER(Dont Delete)</vt:lpstr>
      <vt:lpstr>Contract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Akshat Aggarwal</dc:creator>
  <cp:keywords/>
  <dc:description/>
  <cp:lastModifiedBy>Baljeet Singh</cp:lastModifiedBy>
  <cp:revision/>
  <dcterms:created xsi:type="dcterms:W3CDTF">2015-06-05T18:17:20Z</dcterms:created>
  <dcterms:modified xsi:type="dcterms:W3CDTF">2025-12-20T14:09:50Z</dcterms:modified>
  <cp:category/>
  <cp:contentStatus/>
</cp:coreProperties>
</file>