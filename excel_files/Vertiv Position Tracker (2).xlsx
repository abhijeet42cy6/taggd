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dRichValueWebImage.xml" ContentType="application/vnd.ms-excel.rdrichvaluewebimage+xml"/>
  <Override PartName="/xl/richData/rdrichvalue.xml" ContentType="application/vnd.ms-excel.rdrichvalue+xml"/>
  <Override PartName="/xl/richData/rdrichvaluestructure.xml" ContentType="application/vnd.ms-excel.rdrichvaluestructure+xml"/>
  <Override PartName="/xl/richData/rdarray.xml" ContentType="application/vnd.ms-excel.rdarray+xml"/>
  <Override PartName="/xl/richData/richStyles.xml" ContentType="application/vnd.ms-excel.richstyles+xml"/>
  <Override PartName="/xl/richData/rdsupportingpropertybagstructure.xml" ContentType="application/vnd.ms-excel.rdsupportingpropertybagstructure+xml"/>
  <Override PartName="/xl/richData/rdsupportingpropertybag.xml" ContentType="application/vnd.ms-excel.rdsupportingpropertybag+xml"/>
  <Override PartName="/xl/richData/rdRichValueTypes.xml" ContentType="application/vnd.ms-excel.rdrichvaluetype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C:\Users\baljeet.singh\AppData\Local\Microsoft\Windows\INetCache\Content.Outlook\7JO0JH7H\"/>
    </mc:Choice>
  </mc:AlternateContent>
  <xr:revisionPtr revIDLastSave="0" documentId="13_ncr:1_{9E179517-2FC1-4E64-8883-B578AEC02D58}" xr6:coauthVersionLast="47" xr6:coauthVersionMax="47" xr10:uidLastSave="{00000000-0000-0000-0000-000000000000}"/>
  <bookViews>
    <workbookView xWindow="-110" yWindow="-110" windowWidth="19420" windowHeight="11500" xr2:uid="{88573773-369E-4DAD-A6C6-4DB82D1927E5}"/>
  </bookViews>
  <sheets>
    <sheet name="Positions Tracker" sheetId="3" r:id="rId1"/>
    <sheet name="Candidate Tracker" sheetId="1" r:id="rId2"/>
    <sheet name="Contractual" sheetId="4" r:id="rId3"/>
  </sheets>
  <definedNames>
    <definedName name="_xlnm._FilterDatabase" localSheetId="1" hidden="1">'Candidate Tracker'!$A$1:$AS$575</definedName>
    <definedName name="_xlnm._FilterDatabase" localSheetId="0" hidden="1">'Positions Tracker'!$A$1:$BG$993</definedName>
    <definedName name="Pivot">OFFSET('Positions Tracker'!$A$1,0,0,COUNTA('Positions Tracker'!A:A),COUNTA('Positions Tracker'!1048575:1048575))</definedName>
    <definedName name="Pivots">OFFSET('Positions Tracker'!$A$1,0,0,COUNTA('Positions Tracker'!$A:$A),COUNTA('Positions Tracker'!$1:$1))</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L94" i="3" l="1"/>
  <c r="AT3" i="3"/>
  <c r="AX3" i="3" s="1" a="1"/>
  <c r="AX3" i="3" s="1"/>
  <c r="AU3" i="3"/>
  <c r="AV3" i="3" s="1" a="1"/>
  <c r="AV3" i="3" s="1"/>
  <c r="AY3" i="3"/>
  <c r="AZ3" i="3"/>
  <c r="BA3" i="3"/>
  <c r="BB3" i="3"/>
  <c r="BC3" i="3"/>
  <c r="BD3" i="3"/>
  <c r="BE3" i="3"/>
  <c r="BF3" i="3"/>
  <c r="BG3" i="3"/>
  <c r="AT4" i="3"/>
  <c r="AW4" i="3" s="1" a="1"/>
  <c r="AW4" i="3" s="1"/>
  <c r="AU4" i="3"/>
  <c r="AV4" i="3" s="1" a="1"/>
  <c r="AV4" i="3" s="1"/>
  <c r="AY4" i="3"/>
  <c r="AZ4" i="3"/>
  <c r="BA4" i="3"/>
  <c r="BB4" i="3"/>
  <c r="BC4" i="3"/>
  <c r="BD4" i="3"/>
  <c r="BE4" i="3"/>
  <c r="BF4" i="3"/>
  <c r="BG4" i="3"/>
  <c r="AT5" i="3"/>
  <c r="AX5" i="3" s="1" a="1"/>
  <c r="AX5" i="3" s="1"/>
  <c r="AU5" i="3"/>
  <c r="AV5" i="3" s="1" a="1"/>
  <c r="AV5" i="3" s="1"/>
  <c r="AY5" i="3"/>
  <c r="AZ5" i="3"/>
  <c r="BA5" i="3"/>
  <c r="BB5" i="3"/>
  <c r="BC5" i="3"/>
  <c r="BD5" i="3"/>
  <c r="BE5" i="3"/>
  <c r="BF5" i="3"/>
  <c r="BG5" i="3"/>
  <c r="AT6" i="3"/>
  <c r="AW6" i="3" s="1" a="1"/>
  <c r="AW6" i="3" s="1"/>
  <c r="AU6" i="3"/>
  <c r="AV6" i="3" s="1" a="1"/>
  <c r="AV6" i="3" s="1"/>
  <c r="AY6" i="3"/>
  <c r="AZ6" i="3"/>
  <c r="BA6" i="3"/>
  <c r="BB6" i="3"/>
  <c r="BC6" i="3"/>
  <c r="BD6" i="3"/>
  <c r="BE6" i="3"/>
  <c r="BF6" i="3"/>
  <c r="BG6" i="3"/>
  <c r="AT7" i="3"/>
  <c r="AX7" i="3" s="1" a="1"/>
  <c r="AX7" i="3" s="1"/>
  <c r="AU7" i="3"/>
  <c r="AV7" i="3" s="1" a="1"/>
  <c r="AV7" i="3" s="1"/>
  <c r="AY7" i="3"/>
  <c r="AZ7" i="3"/>
  <c r="BA7" i="3"/>
  <c r="BB7" i="3"/>
  <c r="BC7" i="3"/>
  <c r="BD7" i="3"/>
  <c r="BE7" i="3"/>
  <c r="BF7" i="3"/>
  <c r="BG7" i="3"/>
  <c r="AT8" i="3"/>
  <c r="AX8" i="3" s="1" a="1"/>
  <c r="AX8" i="3" s="1"/>
  <c r="AU8" i="3"/>
  <c r="AV8" i="3" s="1" a="1"/>
  <c r="AV8" i="3" s="1"/>
  <c r="AY8" i="3"/>
  <c r="AZ8" i="3"/>
  <c r="BA8" i="3"/>
  <c r="BB8" i="3"/>
  <c r="BC8" i="3"/>
  <c r="BD8" i="3"/>
  <c r="BE8" i="3"/>
  <c r="BF8" i="3"/>
  <c r="BG8" i="3"/>
  <c r="AT9" i="3"/>
  <c r="AX9" i="3" s="1" a="1"/>
  <c r="AX9" i="3" s="1"/>
  <c r="AU9" i="3"/>
  <c r="AV9" i="3" s="1" a="1"/>
  <c r="AV9" i="3" s="1"/>
  <c r="AY9" i="3"/>
  <c r="AZ9" i="3"/>
  <c r="BA9" i="3"/>
  <c r="BB9" i="3"/>
  <c r="BC9" i="3"/>
  <c r="BD9" i="3"/>
  <c r="BE9" i="3"/>
  <c r="BF9" i="3"/>
  <c r="BG9" i="3"/>
  <c r="AT10" i="3"/>
  <c r="AU10" i="3"/>
  <c r="AV10" i="3" s="1" a="1"/>
  <c r="AV10" i="3" s="1"/>
  <c r="AY10" i="3"/>
  <c r="AZ10" i="3"/>
  <c r="BA10" i="3"/>
  <c r="BB10" i="3"/>
  <c r="BC10" i="3"/>
  <c r="BD10" i="3"/>
  <c r="BE10" i="3"/>
  <c r="BF10" i="3"/>
  <c r="BG10" i="3"/>
  <c r="AT11" i="3"/>
  <c r="AU11" i="3"/>
  <c r="AV11" i="3" s="1" a="1"/>
  <c r="AV11" i="3" s="1"/>
  <c r="AY11" i="3"/>
  <c r="AZ11" i="3"/>
  <c r="BA11" i="3"/>
  <c r="BB11" i="3"/>
  <c r="BC11" i="3"/>
  <c r="BD11" i="3"/>
  <c r="BE11" i="3"/>
  <c r="BF11" i="3"/>
  <c r="BG11" i="3"/>
  <c r="AT12" i="3"/>
  <c r="AW12" i="3" s="1" a="1"/>
  <c r="AW12" i="3" s="1"/>
  <c r="AU12" i="3"/>
  <c r="AV12" i="3" s="1" a="1"/>
  <c r="AV12" i="3" s="1"/>
  <c r="AY12" i="3"/>
  <c r="AZ12" i="3"/>
  <c r="BA12" i="3"/>
  <c r="BB12" i="3"/>
  <c r="BC12" i="3"/>
  <c r="BD12" i="3"/>
  <c r="BE12" i="3"/>
  <c r="BF12" i="3"/>
  <c r="BG12" i="3"/>
  <c r="AT13" i="3"/>
  <c r="AW13" i="3" s="1" a="1"/>
  <c r="AW13" i="3" s="1"/>
  <c r="AU13" i="3"/>
  <c r="AV13" i="3" s="1" a="1"/>
  <c r="AV13" i="3" s="1"/>
  <c r="AY13" i="3"/>
  <c r="AZ13" i="3"/>
  <c r="BA13" i="3"/>
  <c r="BB13" i="3"/>
  <c r="BC13" i="3"/>
  <c r="BD13" i="3"/>
  <c r="BE13" i="3"/>
  <c r="BF13" i="3"/>
  <c r="BG13" i="3"/>
  <c r="AT14" i="3"/>
  <c r="AW14" i="3" s="1" a="1"/>
  <c r="AW14" i="3" s="1"/>
  <c r="AU14" i="3"/>
  <c r="AV14" i="3" s="1" a="1"/>
  <c r="AV14" i="3" s="1"/>
  <c r="AY14" i="3"/>
  <c r="AZ14" i="3"/>
  <c r="BA14" i="3"/>
  <c r="BB14" i="3"/>
  <c r="BC14" i="3"/>
  <c r="BD14" i="3"/>
  <c r="BE14" i="3"/>
  <c r="BF14" i="3"/>
  <c r="BG14" i="3"/>
  <c r="AT15" i="3"/>
  <c r="AU15" i="3"/>
  <c r="AV15" i="3" s="1" a="1"/>
  <c r="AV15" i="3" s="1"/>
  <c r="AY15" i="3"/>
  <c r="AZ15" i="3"/>
  <c r="BA15" i="3"/>
  <c r="BB15" i="3"/>
  <c r="BC15" i="3"/>
  <c r="BD15" i="3"/>
  <c r="BE15" i="3"/>
  <c r="BF15" i="3"/>
  <c r="BG15" i="3"/>
  <c r="AT16" i="3"/>
  <c r="AX16" i="3" s="1" a="1"/>
  <c r="AX16" i="3" s="1"/>
  <c r="AU16" i="3"/>
  <c r="AV16" i="3" s="1" a="1"/>
  <c r="AV16" i="3" s="1"/>
  <c r="AY16" i="3"/>
  <c r="AZ16" i="3"/>
  <c r="BA16" i="3"/>
  <c r="BB16" i="3"/>
  <c r="BC16" i="3"/>
  <c r="BD16" i="3"/>
  <c r="BE16" i="3"/>
  <c r="BF16" i="3"/>
  <c r="BG16" i="3"/>
  <c r="AT17" i="3"/>
  <c r="AX17" i="3" s="1" a="1"/>
  <c r="AX17" i="3" s="1"/>
  <c r="AU17" i="3"/>
  <c r="AV17" i="3" s="1" a="1"/>
  <c r="AV17" i="3" s="1"/>
  <c r="AY17" i="3"/>
  <c r="AZ17" i="3"/>
  <c r="BA17" i="3"/>
  <c r="BB17" i="3"/>
  <c r="BC17" i="3"/>
  <c r="BD17" i="3"/>
  <c r="BE17" i="3"/>
  <c r="BF17" i="3"/>
  <c r="BG17" i="3"/>
  <c r="AT18" i="3"/>
  <c r="AW18" i="3" s="1" a="1"/>
  <c r="AW18" i="3" s="1"/>
  <c r="AU18" i="3"/>
  <c r="AV18" i="3" s="1" a="1"/>
  <c r="AV18" i="3" s="1"/>
  <c r="AY18" i="3"/>
  <c r="AZ18" i="3"/>
  <c r="BA18" i="3"/>
  <c r="BB18" i="3"/>
  <c r="BC18" i="3"/>
  <c r="BD18" i="3"/>
  <c r="BE18" i="3"/>
  <c r="BF18" i="3"/>
  <c r="BG18" i="3"/>
  <c r="AT19" i="3"/>
  <c r="AX19" i="3" s="1" a="1"/>
  <c r="AX19" i="3" s="1"/>
  <c r="AU19" i="3"/>
  <c r="AV19" i="3" s="1" a="1"/>
  <c r="AV19" i="3" s="1"/>
  <c r="AY19" i="3"/>
  <c r="AZ19" i="3"/>
  <c r="BA19" i="3"/>
  <c r="BB19" i="3"/>
  <c r="BC19" i="3"/>
  <c r="BD19" i="3"/>
  <c r="BE19" i="3"/>
  <c r="BF19" i="3"/>
  <c r="BG19" i="3"/>
  <c r="AT20" i="3"/>
  <c r="AW20" i="3" s="1" a="1"/>
  <c r="AW20" i="3" s="1"/>
  <c r="AU20" i="3"/>
  <c r="AV20" i="3" s="1" a="1"/>
  <c r="AV20" i="3" s="1"/>
  <c r="AY20" i="3"/>
  <c r="AZ20" i="3"/>
  <c r="BA20" i="3"/>
  <c r="BB20" i="3"/>
  <c r="BC20" i="3"/>
  <c r="BD20" i="3"/>
  <c r="BE20" i="3"/>
  <c r="BF20" i="3"/>
  <c r="BG20" i="3"/>
  <c r="AT21" i="3"/>
  <c r="AW21" i="3" s="1" a="1"/>
  <c r="AW21" i="3" s="1"/>
  <c r="AU21" i="3"/>
  <c r="AV21" i="3" s="1" a="1"/>
  <c r="AV21" i="3" s="1"/>
  <c r="AY21" i="3"/>
  <c r="AZ21" i="3"/>
  <c r="BA21" i="3"/>
  <c r="BB21" i="3"/>
  <c r="BC21" i="3"/>
  <c r="BD21" i="3"/>
  <c r="BE21" i="3"/>
  <c r="BF21" i="3"/>
  <c r="BG21" i="3"/>
  <c r="AT22" i="3"/>
  <c r="AW22" i="3" s="1" a="1"/>
  <c r="AW22" i="3" s="1"/>
  <c r="AU22" i="3"/>
  <c r="AV22" i="3" s="1" a="1"/>
  <c r="AV22" i="3" s="1"/>
  <c r="AY22" i="3"/>
  <c r="AZ22" i="3"/>
  <c r="BA22" i="3"/>
  <c r="BB22" i="3"/>
  <c r="BC22" i="3"/>
  <c r="BD22" i="3"/>
  <c r="BE22" i="3"/>
  <c r="BF22" i="3"/>
  <c r="BG22" i="3"/>
  <c r="AT23" i="3"/>
  <c r="AX23" i="3" s="1" a="1"/>
  <c r="AX23" i="3" s="1"/>
  <c r="AU23" i="3"/>
  <c r="AV23" i="3" s="1" a="1"/>
  <c r="AV23" i="3" s="1"/>
  <c r="AY23" i="3"/>
  <c r="AZ23" i="3"/>
  <c r="BA23" i="3"/>
  <c r="BB23" i="3"/>
  <c r="BC23" i="3"/>
  <c r="BD23" i="3"/>
  <c r="BE23" i="3"/>
  <c r="BF23" i="3"/>
  <c r="BG23" i="3"/>
  <c r="AT24" i="3"/>
  <c r="AW24" i="3" s="1" a="1"/>
  <c r="AW24" i="3" s="1"/>
  <c r="AU24" i="3"/>
  <c r="AV24" i="3" s="1" a="1"/>
  <c r="AV24" i="3" s="1"/>
  <c r="AY24" i="3"/>
  <c r="AZ24" i="3"/>
  <c r="BA24" i="3"/>
  <c r="BB24" i="3"/>
  <c r="BC24" i="3"/>
  <c r="BD24" i="3"/>
  <c r="BE24" i="3"/>
  <c r="BF24" i="3"/>
  <c r="BG24" i="3"/>
  <c r="AT25" i="3"/>
  <c r="AW25" i="3" s="1" a="1"/>
  <c r="AW25" i="3" s="1"/>
  <c r="AU25" i="3"/>
  <c r="AV25" i="3" s="1" a="1"/>
  <c r="AV25" i="3" s="1"/>
  <c r="AY25" i="3"/>
  <c r="AZ25" i="3"/>
  <c r="BA25" i="3"/>
  <c r="BB25" i="3"/>
  <c r="BC25" i="3"/>
  <c r="BD25" i="3"/>
  <c r="BE25" i="3"/>
  <c r="BF25" i="3"/>
  <c r="BG25" i="3"/>
  <c r="AT26" i="3"/>
  <c r="AW26" i="3" s="1" a="1"/>
  <c r="AW26" i="3" s="1"/>
  <c r="AU26" i="3"/>
  <c r="AV26" i="3" s="1" a="1"/>
  <c r="AV26" i="3" s="1"/>
  <c r="AY26" i="3"/>
  <c r="AZ26" i="3"/>
  <c r="BA26" i="3"/>
  <c r="BB26" i="3"/>
  <c r="BC26" i="3"/>
  <c r="BD26" i="3"/>
  <c r="BE26" i="3"/>
  <c r="BF26" i="3"/>
  <c r="BG26" i="3"/>
  <c r="AT27" i="3"/>
  <c r="AU27" i="3"/>
  <c r="AV27" i="3" s="1" a="1"/>
  <c r="AV27" i="3" s="1"/>
  <c r="AY27" i="3"/>
  <c r="AZ27" i="3"/>
  <c r="BA27" i="3"/>
  <c r="BB27" i="3"/>
  <c r="BC27" i="3"/>
  <c r="BD27" i="3"/>
  <c r="BE27" i="3"/>
  <c r="BF27" i="3"/>
  <c r="BG27" i="3"/>
  <c r="AT28" i="3"/>
  <c r="AW28" i="3" s="1" a="1"/>
  <c r="AW28" i="3" s="1"/>
  <c r="AU28" i="3"/>
  <c r="AV28" i="3" s="1" a="1"/>
  <c r="AV28" i="3" s="1"/>
  <c r="AY28" i="3"/>
  <c r="AZ28" i="3"/>
  <c r="BA28" i="3"/>
  <c r="BB28" i="3"/>
  <c r="BC28" i="3"/>
  <c r="BD28" i="3"/>
  <c r="BE28" i="3"/>
  <c r="BF28" i="3"/>
  <c r="BG28" i="3"/>
  <c r="AT29" i="3"/>
  <c r="AW29" i="3" s="1" a="1"/>
  <c r="AW29" i="3" s="1"/>
  <c r="AU29" i="3"/>
  <c r="AV29" i="3" s="1" a="1"/>
  <c r="AV29" i="3" s="1"/>
  <c r="AY29" i="3"/>
  <c r="AZ29" i="3"/>
  <c r="BA29" i="3"/>
  <c r="BB29" i="3"/>
  <c r="BC29" i="3"/>
  <c r="BD29" i="3"/>
  <c r="BE29" i="3"/>
  <c r="BF29" i="3"/>
  <c r="BG29" i="3"/>
  <c r="AT30" i="3"/>
  <c r="AW30" i="3" s="1" a="1"/>
  <c r="AW30" i="3" s="1"/>
  <c r="AU30" i="3"/>
  <c r="AV30" i="3" s="1" a="1"/>
  <c r="AV30" i="3" s="1"/>
  <c r="AY30" i="3"/>
  <c r="AZ30" i="3"/>
  <c r="BA30" i="3"/>
  <c r="BB30" i="3"/>
  <c r="BC30" i="3"/>
  <c r="BD30" i="3"/>
  <c r="BE30" i="3"/>
  <c r="BF30" i="3"/>
  <c r="BG30" i="3"/>
  <c r="AT31" i="3"/>
  <c r="AW31" i="3" s="1" a="1"/>
  <c r="AW31" i="3" s="1"/>
  <c r="AU31" i="3"/>
  <c r="AV31" i="3" s="1" a="1"/>
  <c r="AV31" i="3" s="1"/>
  <c r="AY31" i="3"/>
  <c r="AZ31" i="3"/>
  <c r="BA31" i="3"/>
  <c r="BB31" i="3"/>
  <c r="BC31" i="3"/>
  <c r="BD31" i="3"/>
  <c r="BE31" i="3"/>
  <c r="BF31" i="3"/>
  <c r="BG31" i="3"/>
  <c r="AT32" i="3"/>
  <c r="AW32" i="3" s="1" a="1"/>
  <c r="AW32" i="3" s="1"/>
  <c r="AU32" i="3"/>
  <c r="AV32" i="3" s="1" a="1"/>
  <c r="AV32" i="3" s="1"/>
  <c r="AY32" i="3"/>
  <c r="AZ32" i="3"/>
  <c r="BA32" i="3"/>
  <c r="BB32" i="3"/>
  <c r="BC32" i="3"/>
  <c r="BD32" i="3"/>
  <c r="BE32" i="3"/>
  <c r="BF32" i="3"/>
  <c r="BG32" i="3"/>
  <c r="AT33" i="3"/>
  <c r="AW33" i="3" s="1" a="1"/>
  <c r="AW33" i="3" s="1"/>
  <c r="AU33" i="3"/>
  <c r="AV33" i="3" s="1" a="1"/>
  <c r="AV33" i="3" s="1"/>
  <c r="AY33" i="3"/>
  <c r="AZ33" i="3"/>
  <c r="BA33" i="3"/>
  <c r="BB33" i="3"/>
  <c r="BC33" i="3"/>
  <c r="BD33" i="3"/>
  <c r="BE33" i="3"/>
  <c r="BF33" i="3"/>
  <c r="BG33" i="3"/>
  <c r="AT34" i="3"/>
  <c r="AW34" i="3" s="1" a="1"/>
  <c r="AW34" i="3" s="1"/>
  <c r="AU34" i="3"/>
  <c r="AV34" i="3" s="1" a="1"/>
  <c r="AV34" i="3" s="1"/>
  <c r="AY34" i="3"/>
  <c r="AZ34" i="3"/>
  <c r="BA34" i="3"/>
  <c r="BB34" i="3"/>
  <c r="BC34" i="3"/>
  <c r="BD34" i="3"/>
  <c r="BE34" i="3"/>
  <c r="BF34" i="3"/>
  <c r="BG34" i="3"/>
  <c r="AT35" i="3"/>
  <c r="AX35" i="3" s="1" a="1"/>
  <c r="AX35" i="3" s="1"/>
  <c r="AU35" i="3"/>
  <c r="AV35" i="3" s="1" a="1"/>
  <c r="AV35" i="3" s="1"/>
  <c r="AY35" i="3"/>
  <c r="AZ35" i="3"/>
  <c r="BA35" i="3"/>
  <c r="BB35" i="3"/>
  <c r="BC35" i="3"/>
  <c r="BD35" i="3"/>
  <c r="BE35" i="3"/>
  <c r="BF35" i="3"/>
  <c r="BG35" i="3"/>
  <c r="AT36" i="3"/>
  <c r="AW36" i="3" s="1" a="1"/>
  <c r="AW36" i="3" s="1"/>
  <c r="AU36" i="3"/>
  <c r="AV36" i="3" s="1" a="1"/>
  <c r="AV36" i="3" s="1"/>
  <c r="AY36" i="3"/>
  <c r="AZ36" i="3"/>
  <c r="BA36" i="3"/>
  <c r="BB36" i="3"/>
  <c r="BC36" i="3"/>
  <c r="BD36" i="3"/>
  <c r="BE36" i="3"/>
  <c r="BF36" i="3"/>
  <c r="BG36" i="3"/>
  <c r="AT37" i="3"/>
  <c r="AW37" i="3" s="1" a="1"/>
  <c r="AW37" i="3" s="1"/>
  <c r="AU37" i="3"/>
  <c r="AV37" i="3" s="1" a="1"/>
  <c r="AV37" i="3" s="1"/>
  <c r="AY37" i="3"/>
  <c r="AZ37" i="3"/>
  <c r="BA37" i="3"/>
  <c r="BB37" i="3"/>
  <c r="BC37" i="3"/>
  <c r="BD37" i="3"/>
  <c r="BE37" i="3"/>
  <c r="BF37" i="3"/>
  <c r="BG37" i="3"/>
  <c r="AT38" i="3"/>
  <c r="AW38" i="3" s="1" a="1"/>
  <c r="AW38" i="3" s="1"/>
  <c r="AU38" i="3"/>
  <c r="AV38" i="3" s="1" a="1"/>
  <c r="AV38" i="3" s="1"/>
  <c r="AY38" i="3"/>
  <c r="AZ38" i="3"/>
  <c r="BA38" i="3"/>
  <c r="BB38" i="3"/>
  <c r="BC38" i="3"/>
  <c r="BD38" i="3"/>
  <c r="BE38" i="3"/>
  <c r="BF38" i="3"/>
  <c r="BG38" i="3"/>
  <c r="AT39" i="3"/>
  <c r="AU39" i="3"/>
  <c r="AV39" i="3" s="1" a="1"/>
  <c r="AV39" i="3" s="1"/>
  <c r="AY39" i="3"/>
  <c r="AZ39" i="3"/>
  <c r="BA39" i="3"/>
  <c r="BB39" i="3"/>
  <c r="BC39" i="3"/>
  <c r="BD39" i="3"/>
  <c r="BE39" i="3"/>
  <c r="BF39" i="3"/>
  <c r="BG39" i="3"/>
  <c r="AT40" i="3"/>
  <c r="AW40" i="3" s="1" a="1"/>
  <c r="AW40" i="3" s="1"/>
  <c r="AU40" i="3"/>
  <c r="AV40" i="3" s="1" a="1"/>
  <c r="AV40" i="3" s="1"/>
  <c r="AY40" i="3"/>
  <c r="AZ40" i="3"/>
  <c r="BA40" i="3"/>
  <c r="BB40" i="3"/>
  <c r="BC40" i="3"/>
  <c r="BD40" i="3"/>
  <c r="BE40" i="3"/>
  <c r="BF40" i="3"/>
  <c r="BG40" i="3"/>
  <c r="AT41" i="3"/>
  <c r="AW41" i="3" s="1" a="1"/>
  <c r="AW41" i="3" s="1"/>
  <c r="AU41" i="3"/>
  <c r="AV41" i="3" s="1" a="1"/>
  <c r="AV41" i="3" s="1"/>
  <c r="AY41" i="3"/>
  <c r="AZ41" i="3"/>
  <c r="BA41" i="3"/>
  <c r="BB41" i="3"/>
  <c r="BC41" i="3"/>
  <c r="BD41" i="3"/>
  <c r="BE41" i="3"/>
  <c r="BF41" i="3"/>
  <c r="BG41" i="3"/>
  <c r="AT42" i="3"/>
  <c r="AW42" i="3" s="1" a="1"/>
  <c r="AW42" i="3" s="1"/>
  <c r="AU42" i="3"/>
  <c r="AV42" i="3" s="1" a="1"/>
  <c r="AV42" i="3" s="1"/>
  <c r="AY42" i="3"/>
  <c r="AZ42" i="3"/>
  <c r="BA42" i="3"/>
  <c r="BB42" i="3"/>
  <c r="BC42" i="3"/>
  <c r="BD42" i="3"/>
  <c r="BE42" i="3"/>
  <c r="BF42" i="3"/>
  <c r="BG42" i="3"/>
  <c r="AT43" i="3"/>
  <c r="AW43" i="3" s="1" a="1"/>
  <c r="AW43" i="3" s="1"/>
  <c r="AU43" i="3"/>
  <c r="AV43" i="3" s="1" a="1"/>
  <c r="AV43" i="3" s="1"/>
  <c r="AY43" i="3"/>
  <c r="AZ43" i="3"/>
  <c r="BA43" i="3"/>
  <c r="BB43" i="3"/>
  <c r="BC43" i="3"/>
  <c r="BD43" i="3"/>
  <c r="BE43" i="3"/>
  <c r="BF43" i="3"/>
  <c r="BG43" i="3"/>
  <c r="AT44" i="3"/>
  <c r="AW44" i="3" s="1" a="1"/>
  <c r="AW44" i="3" s="1"/>
  <c r="AU44" i="3"/>
  <c r="AV44" i="3" s="1" a="1"/>
  <c r="AV44" i="3" s="1"/>
  <c r="AY44" i="3"/>
  <c r="AZ44" i="3"/>
  <c r="BA44" i="3"/>
  <c r="BB44" i="3"/>
  <c r="BC44" i="3"/>
  <c r="BD44" i="3"/>
  <c r="BE44" i="3"/>
  <c r="BF44" i="3"/>
  <c r="BG44" i="3"/>
  <c r="AT45" i="3"/>
  <c r="AW45" i="3" s="1" a="1"/>
  <c r="AW45" i="3" s="1"/>
  <c r="AU45" i="3"/>
  <c r="AV45" i="3" s="1" a="1"/>
  <c r="AV45" i="3" s="1"/>
  <c r="AY45" i="3"/>
  <c r="AZ45" i="3"/>
  <c r="BA45" i="3"/>
  <c r="BB45" i="3"/>
  <c r="BC45" i="3"/>
  <c r="BD45" i="3"/>
  <c r="BE45" i="3"/>
  <c r="BF45" i="3"/>
  <c r="BG45" i="3"/>
  <c r="AT46" i="3"/>
  <c r="AU46" i="3"/>
  <c r="AV46" i="3" s="1" a="1"/>
  <c r="AV46" i="3" s="1"/>
  <c r="AY46" i="3"/>
  <c r="AZ46" i="3"/>
  <c r="BA46" i="3"/>
  <c r="BB46" i="3"/>
  <c r="BC46" i="3"/>
  <c r="BD46" i="3"/>
  <c r="BE46" i="3"/>
  <c r="BF46" i="3"/>
  <c r="BG46" i="3"/>
  <c r="AT47" i="3"/>
  <c r="AU47" i="3"/>
  <c r="AV47" i="3" s="1" a="1"/>
  <c r="AV47" i="3" s="1"/>
  <c r="AY47" i="3"/>
  <c r="AZ47" i="3"/>
  <c r="BA47" i="3"/>
  <c r="BB47" i="3"/>
  <c r="BC47" i="3"/>
  <c r="BD47" i="3"/>
  <c r="BE47" i="3"/>
  <c r="BF47" i="3"/>
  <c r="BG47" i="3"/>
  <c r="AT48" i="3"/>
  <c r="AW48" i="3" s="1" a="1"/>
  <c r="AW48" i="3" s="1"/>
  <c r="AU48" i="3"/>
  <c r="AV48" i="3" s="1" a="1"/>
  <c r="AV48" i="3" s="1"/>
  <c r="AY48" i="3"/>
  <c r="AZ48" i="3"/>
  <c r="BA48" i="3"/>
  <c r="BB48" i="3"/>
  <c r="BC48" i="3"/>
  <c r="BD48" i="3"/>
  <c r="BE48" i="3"/>
  <c r="BF48" i="3"/>
  <c r="BG48" i="3"/>
  <c r="AT49" i="3"/>
  <c r="AW49" i="3" s="1" a="1"/>
  <c r="AW49" i="3" s="1"/>
  <c r="AU49" i="3"/>
  <c r="AV49" i="3" s="1" a="1"/>
  <c r="AV49" i="3" s="1"/>
  <c r="AY49" i="3"/>
  <c r="AZ49" i="3"/>
  <c r="BA49" i="3"/>
  <c r="BB49" i="3"/>
  <c r="BC49" i="3"/>
  <c r="BD49" i="3"/>
  <c r="BE49" i="3"/>
  <c r="BF49" i="3"/>
  <c r="BG49" i="3"/>
  <c r="AT50" i="3"/>
  <c r="AW50" i="3" s="1" a="1"/>
  <c r="AW50" i="3" s="1"/>
  <c r="AU50" i="3"/>
  <c r="AV50" i="3" s="1" a="1"/>
  <c r="AV50" i="3" s="1"/>
  <c r="AY50" i="3"/>
  <c r="AZ50" i="3"/>
  <c r="BA50" i="3"/>
  <c r="BB50" i="3"/>
  <c r="BC50" i="3"/>
  <c r="BD50" i="3"/>
  <c r="BE50" i="3"/>
  <c r="BF50" i="3"/>
  <c r="BG50" i="3"/>
  <c r="AT51" i="3"/>
  <c r="AU51" i="3"/>
  <c r="AV51" i="3" s="1" a="1"/>
  <c r="AV51" i="3" s="1"/>
  <c r="AY51" i="3"/>
  <c r="AZ51" i="3"/>
  <c r="BA51" i="3"/>
  <c r="BB51" i="3"/>
  <c r="BC51" i="3"/>
  <c r="BD51" i="3"/>
  <c r="BE51" i="3"/>
  <c r="BF51" i="3"/>
  <c r="BG51" i="3"/>
  <c r="AT52" i="3"/>
  <c r="AW52" i="3" s="1" a="1"/>
  <c r="AW52" i="3" s="1"/>
  <c r="AU52" i="3"/>
  <c r="AV52" i="3" s="1" a="1"/>
  <c r="AV52" i="3" s="1"/>
  <c r="AY52" i="3"/>
  <c r="AZ52" i="3"/>
  <c r="BA52" i="3"/>
  <c r="BB52" i="3"/>
  <c r="BC52" i="3"/>
  <c r="BD52" i="3"/>
  <c r="BE52" i="3"/>
  <c r="BF52" i="3"/>
  <c r="BG52" i="3"/>
  <c r="AT53" i="3"/>
  <c r="AX53" i="3" s="1" a="1"/>
  <c r="AX53" i="3" s="1"/>
  <c r="AU53" i="3"/>
  <c r="AV53" i="3" s="1" a="1"/>
  <c r="AV53" i="3" s="1"/>
  <c r="AY53" i="3"/>
  <c r="AZ53" i="3"/>
  <c r="BA53" i="3"/>
  <c r="BB53" i="3"/>
  <c r="BC53" i="3"/>
  <c r="BD53" i="3"/>
  <c r="BE53" i="3"/>
  <c r="BF53" i="3"/>
  <c r="BG53" i="3"/>
  <c r="AT54" i="3"/>
  <c r="AU54" i="3"/>
  <c r="AV54" i="3" s="1" a="1"/>
  <c r="AV54" i="3" s="1"/>
  <c r="AY54" i="3"/>
  <c r="AZ54" i="3"/>
  <c r="BA54" i="3"/>
  <c r="BB54" i="3"/>
  <c r="BC54" i="3"/>
  <c r="BD54" i="3"/>
  <c r="BE54" i="3"/>
  <c r="BF54" i="3"/>
  <c r="BG54" i="3"/>
  <c r="AT55" i="3"/>
  <c r="AW55" i="3" s="1" a="1"/>
  <c r="AW55" i="3" s="1"/>
  <c r="AU55" i="3"/>
  <c r="AV55" i="3" s="1" a="1"/>
  <c r="AV55" i="3" s="1"/>
  <c r="AY55" i="3"/>
  <c r="AZ55" i="3"/>
  <c r="BA55" i="3"/>
  <c r="BB55" i="3"/>
  <c r="BC55" i="3"/>
  <c r="BD55" i="3"/>
  <c r="BE55" i="3"/>
  <c r="BF55" i="3"/>
  <c r="BG55" i="3"/>
  <c r="AT56" i="3"/>
  <c r="AW56" i="3" s="1" a="1"/>
  <c r="AW56" i="3" s="1"/>
  <c r="AU56" i="3"/>
  <c r="AV56" i="3" s="1" a="1"/>
  <c r="AV56" i="3" s="1"/>
  <c r="AY56" i="3"/>
  <c r="AZ56" i="3"/>
  <c r="BA56" i="3"/>
  <c r="BB56" i="3"/>
  <c r="BC56" i="3"/>
  <c r="BD56" i="3"/>
  <c r="BE56" i="3"/>
  <c r="BF56" i="3"/>
  <c r="BG56" i="3"/>
  <c r="AT57" i="3"/>
  <c r="AW57" i="3" s="1" a="1"/>
  <c r="AW57" i="3" s="1"/>
  <c r="AU57" i="3"/>
  <c r="AV57" i="3" s="1" a="1"/>
  <c r="AV57" i="3" s="1"/>
  <c r="AY57" i="3"/>
  <c r="AZ57" i="3"/>
  <c r="BA57" i="3"/>
  <c r="BB57" i="3"/>
  <c r="BC57" i="3"/>
  <c r="BD57" i="3"/>
  <c r="BE57" i="3"/>
  <c r="BF57" i="3"/>
  <c r="BG57" i="3"/>
  <c r="AT58" i="3"/>
  <c r="AW58" i="3" s="1" a="1"/>
  <c r="AW58" i="3" s="1"/>
  <c r="AU58" i="3"/>
  <c r="AV58" i="3" s="1" a="1"/>
  <c r="AV58" i="3" s="1"/>
  <c r="AY58" i="3"/>
  <c r="AZ58" i="3"/>
  <c r="BA58" i="3"/>
  <c r="BB58" i="3"/>
  <c r="BC58" i="3"/>
  <c r="BD58" i="3"/>
  <c r="BE58" i="3"/>
  <c r="BF58" i="3"/>
  <c r="BG58" i="3"/>
  <c r="AT59" i="3"/>
  <c r="AX59" i="3" s="1" a="1"/>
  <c r="AX59" i="3" s="1"/>
  <c r="AU59" i="3"/>
  <c r="AV59" i="3" s="1" a="1"/>
  <c r="AV59" i="3" s="1"/>
  <c r="AY59" i="3"/>
  <c r="AZ59" i="3"/>
  <c r="BA59" i="3"/>
  <c r="BB59" i="3"/>
  <c r="BC59" i="3"/>
  <c r="BD59" i="3"/>
  <c r="BE59" i="3"/>
  <c r="BF59" i="3"/>
  <c r="BG59" i="3"/>
  <c r="AT60" i="3"/>
  <c r="AW60" i="3" s="1" a="1"/>
  <c r="AW60" i="3" s="1"/>
  <c r="AU60" i="3"/>
  <c r="AV60" i="3" s="1" a="1"/>
  <c r="AV60" i="3" s="1"/>
  <c r="AY60" i="3"/>
  <c r="AZ60" i="3"/>
  <c r="BA60" i="3"/>
  <c r="BB60" i="3"/>
  <c r="BC60" i="3"/>
  <c r="BD60" i="3"/>
  <c r="BE60" i="3"/>
  <c r="BF60" i="3"/>
  <c r="BG60" i="3"/>
  <c r="AT61" i="3"/>
  <c r="AW61" i="3" s="1" a="1"/>
  <c r="AW61" i="3" s="1"/>
  <c r="AU61" i="3"/>
  <c r="AV61" i="3" s="1" a="1"/>
  <c r="AV61" i="3" s="1"/>
  <c r="AY61" i="3"/>
  <c r="AZ61" i="3"/>
  <c r="BA61" i="3"/>
  <c r="BB61" i="3"/>
  <c r="BC61" i="3"/>
  <c r="BD61" i="3"/>
  <c r="BE61" i="3"/>
  <c r="BF61" i="3"/>
  <c r="BG61" i="3"/>
  <c r="AT62" i="3"/>
  <c r="AW62" i="3" s="1" a="1"/>
  <c r="AW62" i="3" s="1"/>
  <c r="AU62" i="3"/>
  <c r="AV62" i="3" s="1" a="1"/>
  <c r="AV62" i="3" s="1"/>
  <c r="AY62" i="3"/>
  <c r="AZ62" i="3"/>
  <c r="BA62" i="3"/>
  <c r="BB62" i="3"/>
  <c r="BC62" i="3"/>
  <c r="BD62" i="3"/>
  <c r="BE62" i="3"/>
  <c r="BF62" i="3"/>
  <c r="BG62" i="3"/>
  <c r="AT63" i="3"/>
  <c r="AU63" i="3"/>
  <c r="AV63" i="3" s="1" a="1"/>
  <c r="AV63" i="3" s="1"/>
  <c r="AY63" i="3"/>
  <c r="AZ63" i="3"/>
  <c r="BA63" i="3"/>
  <c r="BB63" i="3"/>
  <c r="BC63" i="3"/>
  <c r="BD63" i="3"/>
  <c r="BE63" i="3"/>
  <c r="BF63" i="3"/>
  <c r="BG63" i="3"/>
  <c r="AT64" i="3"/>
  <c r="AX64" i="3" s="1" a="1"/>
  <c r="AX64" i="3" s="1"/>
  <c r="AU64" i="3"/>
  <c r="AV64" i="3" s="1" a="1"/>
  <c r="AV64" i="3" s="1"/>
  <c r="AY64" i="3"/>
  <c r="AZ64" i="3"/>
  <c r="BA64" i="3"/>
  <c r="BB64" i="3"/>
  <c r="BC64" i="3"/>
  <c r="BD64" i="3"/>
  <c r="BE64" i="3"/>
  <c r="BF64" i="3"/>
  <c r="BG64" i="3"/>
  <c r="AT65" i="3"/>
  <c r="AW65" i="3" s="1" a="1"/>
  <c r="AW65" i="3" s="1"/>
  <c r="AU65" i="3"/>
  <c r="AV65" i="3" s="1" a="1"/>
  <c r="AV65" i="3" s="1"/>
  <c r="AY65" i="3"/>
  <c r="AZ65" i="3"/>
  <c r="BA65" i="3"/>
  <c r="BB65" i="3"/>
  <c r="BC65" i="3"/>
  <c r="BD65" i="3"/>
  <c r="BE65" i="3"/>
  <c r="BF65" i="3"/>
  <c r="BG65" i="3"/>
  <c r="AT66" i="3"/>
  <c r="AX66" i="3" s="1" a="1"/>
  <c r="AX66" i="3" s="1"/>
  <c r="AU66" i="3"/>
  <c r="AV66" i="3" s="1" a="1"/>
  <c r="AV66" i="3" s="1"/>
  <c r="AY66" i="3"/>
  <c r="AZ66" i="3"/>
  <c r="BA66" i="3"/>
  <c r="BB66" i="3"/>
  <c r="BC66" i="3"/>
  <c r="BD66" i="3"/>
  <c r="BE66" i="3"/>
  <c r="BF66" i="3"/>
  <c r="BG66" i="3"/>
  <c r="AT67" i="3"/>
  <c r="AW67" i="3" s="1" a="1"/>
  <c r="AW67" i="3" s="1"/>
  <c r="AU67" i="3"/>
  <c r="AV67" i="3" s="1" a="1"/>
  <c r="AV67" i="3" s="1"/>
  <c r="AY67" i="3"/>
  <c r="AZ67" i="3"/>
  <c r="BA67" i="3"/>
  <c r="BB67" i="3"/>
  <c r="BC67" i="3"/>
  <c r="BD67" i="3"/>
  <c r="BE67" i="3"/>
  <c r="BF67" i="3"/>
  <c r="BG67" i="3"/>
  <c r="AT68" i="3"/>
  <c r="AW68" i="3" s="1" a="1"/>
  <c r="AW68" i="3" s="1"/>
  <c r="AU68" i="3"/>
  <c r="AV68" i="3" s="1" a="1"/>
  <c r="AV68" i="3" s="1"/>
  <c r="AY68" i="3"/>
  <c r="AZ68" i="3"/>
  <c r="BA68" i="3"/>
  <c r="BB68" i="3"/>
  <c r="BC68" i="3"/>
  <c r="BD68" i="3"/>
  <c r="BE68" i="3"/>
  <c r="BF68" i="3"/>
  <c r="BG68" i="3"/>
  <c r="AT69" i="3"/>
  <c r="AW69" i="3" s="1" a="1"/>
  <c r="AW69" i="3" s="1"/>
  <c r="AU69" i="3"/>
  <c r="AV69" i="3" s="1" a="1"/>
  <c r="AV69" i="3" s="1"/>
  <c r="AY69" i="3"/>
  <c r="AZ69" i="3"/>
  <c r="BA69" i="3"/>
  <c r="BB69" i="3"/>
  <c r="BC69" i="3"/>
  <c r="BD69" i="3"/>
  <c r="BE69" i="3"/>
  <c r="BF69" i="3"/>
  <c r="BG69" i="3"/>
  <c r="AT70" i="3"/>
  <c r="AW70" i="3" s="1" a="1"/>
  <c r="AW70" i="3" s="1"/>
  <c r="AU70" i="3"/>
  <c r="AV70" i="3" s="1" a="1"/>
  <c r="AV70" i="3" s="1"/>
  <c r="AY70" i="3"/>
  <c r="AZ70" i="3"/>
  <c r="BA70" i="3"/>
  <c r="BB70" i="3"/>
  <c r="BC70" i="3"/>
  <c r="BD70" i="3"/>
  <c r="BE70" i="3"/>
  <c r="BF70" i="3"/>
  <c r="BG70" i="3"/>
  <c r="AT71" i="3"/>
  <c r="AX71" i="3" s="1" a="1"/>
  <c r="AX71" i="3" s="1"/>
  <c r="AU71" i="3"/>
  <c r="AV71" i="3" s="1" a="1"/>
  <c r="AV71" i="3" s="1"/>
  <c r="AY71" i="3"/>
  <c r="AZ71" i="3"/>
  <c r="BA71" i="3"/>
  <c r="BB71" i="3"/>
  <c r="BC71" i="3"/>
  <c r="BD71" i="3"/>
  <c r="BE71" i="3"/>
  <c r="BF71" i="3"/>
  <c r="BG71" i="3"/>
  <c r="AT72" i="3"/>
  <c r="AW72" i="3" s="1" a="1"/>
  <c r="AW72" i="3" s="1"/>
  <c r="AU72" i="3"/>
  <c r="AV72" i="3" s="1" a="1"/>
  <c r="AV72" i="3" s="1"/>
  <c r="AY72" i="3"/>
  <c r="AZ72" i="3"/>
  <c r="BA72" i="3"/>
  <c r="BB72" i="3"/>
  <c r="BC72" i="3"/>
  <c r="BD72" i="3"/>
  <c r="BE72" i="3"/>
  <c r="BF72" i="3"/>
  <c r="BG72" i="3"/>
  <c r="AT73" i="3"/>
  <c r="AW73" i="3" s="1" a="1"/>
  <c r="AW73" i="3" s="1"/>
  <c r="AU73" i="3"/>
  <c r="AV73" i="3" s="1" a="1"/>
  <c r="AV73" i="3" s="1"/>
  <c r="AY73" i="3"/>
  <c r="AZ73" i="3"/>
  <c r="BA73" i="3"/>
  <c r="BB73" i="3"/>
  <c r="BC73" i="3"/>
  <c r="BD73" i="3"/>
  <c r="BE73" i="3"/>
  <c r="BF73" i="3"/>
  <c r="BG73" i="3"/>
  <c r="AT74" i="3"/>
  <c r="AW74" i="3" s="1" a="1"/>
  <c r="AW74" i="3" s="1"/>
  <c r="AU74" i="3"/>
  <c r="AV74" i="3" s="1" a="1"/>
  <c r="AV74" i="3" s="1"/>
  <c r="AY74" i="3"/>
  <c r="AZ74" i="3"/>
  <c r="BA74" i="3"/>
  <c r="BB74" i="3"/>
  <c r="BC74" i="3"/>
  <c r="BD74" i="3"/>
  <c r="BE74" i="3"/>
  <c r="BF74" i="3"/>
  <c r="BG74" i="3"/>
  <c r="AT75" i="3"/>
  <c r="AU75" i="3"/>
  <c r="AV75" i="3" s="1" a="1"/>
  <c r="AV75" i="3" s="1"/>
  <c r="AY75" i="3"/>
  <c r="AZ75" i="3"/>
  <c r="BA75" i="3"/>
  <c r="BB75" i="3"/>
  <c r="BC75" i="3"/>
  <c r="BD75" i="3"/>
  <c r="BE75" i="3"/>
  <c r="BF75" i="3"/>
  <c r="BG75" i="3"/>
  <c r="AT76" i="3"/>
  <c r="AX76" i="3" s="1" a="1"/>
  <c r="AX76" i="3" s="1"/>
  <c r="AU76" i="3"/>
  <c r="AV76" i="3" s="1" a="1"/>
  <c r="AV76" i="3" s="1"/>
  <c r="AY76" i="3"/>
  <c r="AZ76" i="3"/>
  <c r="BA76" i="3"/>
  <c r="BB76" i="3"/>
  <c r="BC76" i="3"/>
  <c r="BD76" i="3"/>
  <c r="BE76" i="3"/>
  <c r="BF76" i="3"/>
  <c r="BG76" i="3"/>
  <c r="AT77" i="3"/>
  <c r="AW77" i="3" s="1" a="1"/>
  <c r="AW77" i="3" s="1"/>
  <c r="AU77" i="3"/>
  <c r="AV77" i="3" s="1" a="1"/>
  <c r="AV77" i="3" s="1"/>
  <c r="AY77" i="3"/>
  <c r="AZ77" i="3"/>
  <c r="BA77" i="3"/>
  <c r="BB77" i="3"/>
  <c r="BC77" i="3"/>
  <c r="BD77" i="3"/>
  <c r="BE77" i="3"/>
  <c r="BF77" i="3"/>
  <c r="BG77" i="3"/>
  <c r="AT78" i="3"/>
  <c r="AX78" i="3" s="1" a="1"/>
  <c r="AX78" i="3" s="1"/>
  <c r="AU78" i="3"/>
  <c r="AV78" i="3" s="1" a="1"/>
  <c r="AV78" i="3" s="1"/>
  <c r="AY78" i="3"/>
  <c r="AZ78" i="3"/>
  <c r="BA78" i="3"/>
  <c r="BB78" i="3"/>
  <c r="BC78" i="3"/>
  <c r="BD78" i="3"/>
  <c r="BE78" i="3"/>
  <c r="BF78" i="3"/>
  <c r="BG78" i="3"/>
  <c r="AT79" i="3"/>
  <c r="AU79" i="3"/>
  <c r="AV79" i="3" s="1" a="1"/>
  <c r="AV79" i="3" s="1"/>
  <c r="AY79" i="3"/>
  <c r="AZ79" i="3"/>
  <c r="BA79" i="3"/>
  <c r="BB79" i="3"/>
  <c r="BC79" i="3"/>
  <c r="BD79" i="3"/>
  <c r="BE79" i="3"/>
  <c r="BF79" i="3"/>
  <c r="BG79" i="3"/>
  <c r="AT80" i="3"/>
  <c r="AW80" i="3" s="1" a="1"/>
  <c r="AW80" i="3" s="1"/>
  <c r="AU80" i="3"/>
  <c r="AV80" i="3" s="1" a="1"/>
  <c r="AV80" i="3" s="1"/>
  <c r="AY80" i="3"/>
  <c r="AZ80" i="3"/>
  <c r="BA80" i="3"/>
  <c r="BB80" i="3"/>
  <c r="BC80" i="3"/>
  <c r="BD80" i="3"/>
  <c r="BE80" i="3"/>
  <c r="BF80" i="3"/>
  <c r="BG80" i="3"/>
  <c r="AT81" i="3"/>
  <c r="AW81" i="3" s="1" a="1"/>
  <c r="AW81" i="3" s="1"/>
  <c r="AU81" i="3"/>
  <c r="AV81" i="3" s="1" a="1"/>
  <c r="AV81" i="3" s="1"/>
  <c r="AY81" i="3"/>
  <c r="AZ81" i="3"/>
  <c r="BA81" i="3"/>
  <c r="BB81" i="3"/>
  <c r="BC81" i="3"/>
  <c r="BD81" i="3"/>
  <c r="BE81" i="3"/>
  <c r="BF81" i="3"/>
  <c r="BG81" i="3"/>
  <c r="AT82" i="3"/>
  <c r="AW82" i="3" s="1" a="1"/>
  <c r="AW82" i="3" s="1"/>
  <c r="AU82" i="3"/>
  <c r="AV82" i="3" s="1" a="1"/>
  <c r="AV82" i="3" s="1"/>
  <c r="AY82" i="3"/>
  <c r="AZ82" i="3"/>
  <c r="BA82" i="3"/>
  <c r="BB82" i="3"/>
  <c r="BC82" i="3"/>
  <c r="BD82" i="3"/>
  <c r="BE82" i="3"/>
  <c r="BF82" i="3"/>
  <c r="BG82" i="3"/>
  <c r="AT83" i="3"/>
  <c r="AX83" i="3" s="1" a="1"/>
  <c r="AX83" i="3" s="1"/>
  <c r="AU83" i="3"/>
  <c r="AV83" i="3" s="1" a="1"/>
  <c r="AV83" i="3" s="1"/>
  <c r="AY83" i="3"/>
  <c r="AZ83" i="3"/>
  <c r="BA83" i="3"/>
  <c r="BB83" i="3"/>
  <c r="BC83" i="3"/>
  <c r="BD83" i="3"/>
  <c r="BE83" i="3"/>
  <c r="BF83" i="3"/>
  <c r="BG83" i="3"/>
  <c r="AT84" i="3"/>
  <c r="AW84" i="3" s="1" a="1"/>
  <c r="AW84" i="3" s="1"/>
  <c r="AU84" i="3"/>
  <c r="AV84" i="3" s="1" a="1"/>
  <c r="AV84" i="3" s="1"/>
  <c r="AY84" i="3"/>
  <c r="AZ84" i="3"/>
  <c r="BA84" i="3"/>
  <c r="BB84" i="3"/>
  <c r="BC84" i="3"/>
  <c r="BD84" i="3"/>
  <c r="BE84" i="3"/>
  <c r="BF84" i="3"/>
  <c r="BG84" i="3"/>
  <c r="AT85" i="3"/>
  <c r="AU85" i="3"/>
  <c r="AV85" i="3" s="1" a="1"/>
  <c r="AV85" i="3" s="1"/>
  <c r="AY85" i="3"/>
  <c r="AZ85" i="3"/>
  <c r="BA85" i="3"/>
  <c r="BB85" i="3"/>
  <c r="BC85" i="3"/>
  <c r="BD85" i="3"/>
  <c r="BE85" i="3"/>
  <c r="BG85" i="3"/>
  <c r="AT86" i="3"/>
  <c r="AX86" i="3" s="1" a="1"/>
  <c r="AX86" i="3" s="1"/>
  <c r="AU86" i="3"/>
  <c r="AV86" i="3" s="1" a="1"/>
  <c r="AV86" i="3" s="1"/>
  <c r="AY86" i="3"/>
  <c r="AZ86" i="3"/>
  <c r="BA86" i="3"/>
  <c r="BB86" i="3"/>
  <c r="BC86" i="3"/>
  <c r="BD86" i="3"/>
  <c r="BE86" i="3"/>
  <c r="BG86" i="3"/>
  <c r="AT87" i="3"/>
  <c r="AU87" i="3"/>
  <c r="AV87" i="3" s="1" a="1"/>
  <c r="AV87" i="3" s="1"/>
  <c r="AY87" i="3"/>
  <c r="AZ87" i="3"/>
  <c r="BA87" i="3"/>
  <c r="BB87" i="3"/>
  <c r="BC87" i="3"/>
  <c r="BD87" i="3"/>
  <c r="BE87" i="3"/>
  <c r="BG87" i="3"/>
  <c r="AT88" i="3"/>
  <c r="AX88" i="3" s="1" a="1"/>
  <c r="AX88" i="3" s="1"/>
  <c r="AU88" i="3"/>
  <c r="AV88" i="3" s="1" a="1"/>
  <c r="AV88" i="3" s="1"/>
  <c r="AY88" i="3"/>
  <c r="AZ88" i="3"/>
  <c r="BA88" i="3"/>
  <c r="BB88" i="3"/>
  <c r="BC88" i="3"/>
  <c r="BD88" i="3"/>
  <c r="BE88" i="3"/>
  <c r="BG88" i="3"/>
  <c r="AT89" i="3"/>
  <c r="AW89" i="3" s="1" a="1"/>
  <c r="AW89" i="3" s="1"/>
  <c r="AU89" i="3"/>
  <c r="AV89" i="3" s="1" a="1"/>
  <c r="AV89" i="3" s="1"/>
  <c r="AY89" i="3"/>
  <c r="AZ89" i="3"/>
  <c r="BA89" i="3"/>
  <c r="BB89" i="3"/>
  <c r="BC89" i="3"/>
  <c r="BD89" i="3"/>
  <c r="BE89" i="3"/>
  <c r="BF89" i="3"/>
  <c r="BG89" i="3"/>
  <c r="AT90" i="3"/>
  <c r="AU90" i="3"/>
  <c r="AV90" i="3" s="1" a="1"/>
  <c r="AV90" i="3" s="1"/>
  <c r="AY90" i="3"/>
  <c r="AZ90" i="3"/>
  <c r="BA90" i="3"/>
  <c r="BB90" i="3"/>
  <c r="BC90" i="3"/>
  <c r="BD90" i="3"/>
  <c r="BE90" i="3"/>
  <c r="BG90" i="3"/>
  <c r="AT91" i="3"/>
  <c r="AU91" i="3"/>
  <c r="AV91" i="3" s="1" a="1"/>
  <c r="AV91" i="3" s="1"/>
  <c r="AY91" i="3"/>
  <c r="AZ91" i="3"/>
  <c r="BA91" i="3"/>
  <c r="BB91" i="3"/>
  <c r="BC91" i="3"/>
  <c r="BD91" i="3"/>
  <c r="BE91" i="3"/>
  <c r="BG91" i="3"/>
  <c r="AT92" i="3"/>
  <c r="AU92" i="3"/>
  <c r="AV92" i="3" s="1" a="1"/>
  <c r="AV92" i="3" s="1"/>
  <c r="AY92" i="3"/>
  <c r="AZ92" i="3"/>
  <c r="BA92" i="3"/>
  <c r="BB92" i="3"/>
  <c r="BC92" i="3"/>
  <c r="BD92" i="3"/>
  <c r="BE92" i="3"/>
  <c r="BG92" i="3"/>
  <c r="AT93" i="3"/>
  <c r="AU93" i="3"/>
  <c r="AV93" i="3" s="1" a="1"/>
  <c r="AV93" i="3" s="1"/>
  <c r="AY93" i="3"/>
  <c r="AZ93" i="3"/>
  <c r="BA93" i="3"/>
  <c r="BB93" i="3"/>
  <c r="BC93" i="3"/>
  <c r="BD93" i="3"/>
  <c r="BE93" i="3"/>
  <c r="BG93" i="3"/>
  <c r="AT94" i="3"/>
  <c r="AW94" i="3" s="1" a="1"/>
  <c r="AW94" i="3" s="1"/>
  <c r="AU94" i="3"/>
  <c r="AV94" i="3" s="1" a="1"/>
  <c r="AV94" i="3" s="1"/>
  <c r="AY94" i="3"/>
  <c r="AZ94" i="3"/>
  <c r="BA94" i="3"/>
  <c r="BB94" i="3"/>
  <c r="BC94" i="3"/>
  <c r="BD94" i="3"/>
  <c r="BE94" i="3"/>
  <c r="BF94" i="3"/>
  <c r="BG94" i="3"/>
  <c r="AT95" i="3"/>
  <c r="AX95" i="3" s="1" a="1"/>
  <c r="AX95" i="3" s="1"/>
  <c r="AU95" i="3"/>
  <c r="AV95" i="3" s="1" a="1"/>
  <c r="AV95" i="3" s="1"/>
  <c r="AY95" i="3"/>
  <c r="AZ95" i="3"/>
  <c r="BA95" i="3"/>
  <c r="BB95" i="3"/>
  <c r="BC95" i="3"/>
  <c r="BD95" i="3"/>
  <c r="BE95" i="3"/>
  <c r="BG95" i="3"/>
  <c r="AT96" i="3"/>
  <c r="AU96" i="3"/>
  <c r="AV96" i="3" s="1" a="1"/>
  <c r="AV96" i="3" s="1"/>
  <c r="AY96" i="3"/>
  <c r="AZ96" i="3"/>
  <c r="BA96" i="3"/>
  <c r="BB96" i="3"/>
  <c r="BC96" i="3"/>
  <c r="BD96" i="3"/>
  <c r="BE96" i="3"/>
  <c r="BG96" i="3"/>
  <c r="AT97" i="3"/>
  <c r="AU97" i="3"/>
  <c r="AV97" i="3" s="1" a="1"/>
  <c r="AV97" i="3" s="1"/>
  <c r="AY97" i="3"/>
  <c r="AZ97" i="3"/>
  <c r="BA97" i="3"/>
  <c r="BB97" i="3"/>
  <c r="BC97" i="3"/>
  <c r="BD97" i="3"/>
  <c r="BE97" i="3"/>
  <c r="BG97" i="3"/>
  <c r="AT98" i="3"/>
  <c r="AX98" i="3" s="1" a="1"/>
  <c r="AX98" i="3" s="1"/>
  <c r="AU98" i="3"/>
  <c r="AV98" i="3" s="1" a="1"/>
  <c r="AV98" i="3" s="1"/>
  <c r="AY98" i="3"/>
  <c r="AZ98" i="3"/>
  <c r="BA98" i="3"/>
  <c r="BB98" i="3"/>
  <c r="BC98" i="3"/>
  <c r="BD98" i="3"/>
  <c r="BE98" i="3"/>
  <c r="BG98" i="3"/>
  <c r="AT99" i="3"/>
  <c r="AU99" i="3"/>
  <c r="AV99" i="3" s="1" a="1"/>
  <c r="AV99" i="3" s="1"/>
  <c r="AY99" i="3"/>
  <c r="AZ99" i="3"/>
  <c r="BA99" i="3"/>
  <c r="BB99" i="3"/>
  <c r="BC99" i="3"/>
  <c r="BD99" i="3"/>
  <c r="BE99" i="3"/>
  <c r="BG99" i="3"/>
  <c r="AT100" i="3"/>
  <c r="AX100" i="3" s="1" a="1"/>
  <c r="AX100" i="3" s="1"/>
  <c r="AU100" i="3"/>
  <c r="AV100" i="3" s="1" a="1"/>
  <c r="AV100" i="3" s="1"/>
  <c r="AY100" i="3"/>
  <c r="AZ100" i="3"/>
  <c r="BA100" i="3"/>
  <c r="BB100" i="3"/>
  <c r="BC100" i="3"/>
  <c r="BD100" i="3"/>
  <c r="BE100" i="3"/>
  <c r="BG100" i="3"/>
  <c r="AT101" i="3"/>
  <c r="AU101" i="3"/>
  <c r="AV101" i="3" s="1" a="1"/>
  <c r="AV101" i="3" s="1"/>
  <c r="AY101" i="3"/>
  <c r="AZ101" i="3"/>
  <c r="BA101" i="3"/>
  <c r="BB101" i="3"/>
  <c r="BC101" i="3"/>
  <c r="BD101" i="3"/>
  <c r="BE101" i="3"/>
  <c r="BG101" i="3"/>
  <c r="AT102" i="3"/>
  <c r="AU102" i="3"/>
  <c r="AV102" i="3" s="1" a="1"/>
  <c r="AV102" i="3" s="1"/>
  <c r="AY102" i="3"/>
  <c r="AZ102" i="3"/>
  <c r="BA102" i="3"/>
  <c r="BB102" i="3"/>
  <c r="BC102" i="3"/>
  <c r="BD102" i="3"/>
  <c r="BE102" i="3"/>
  <c r="BG102" i="3"/>
  <c r="AT103" i="3"/>
  <c r="AX103" i="3" s="1" a="1"/>
  <c r="AX103" i="3" s="1"/>
  <c r="AU103" i="3"/>
  <c r="AV103" i="3" s="1" a="1"/>
  <c r="AV103" i="3" s="1"/>
  <c r="AY103" i="3"/>
  <c r="AZ103" i="3"/>
  <c r="BA103" i="3"/>
  <c r="BB103" i="3"/>
  <c r="BC103" i="3"/>
  <c r="BD103" i="3"/>
  <c r="BE103" i="3"/>
  <c r="BG103" i="3"/>
  <c r="AT104" i="3"/>
  <c r="AX104" i="3" s="1" a="1"/>
  <c r="AX104" i="3" s="1"/>
  <c r="AU104" i="3"/>
  <c r="AV104" i="3" s="1" a="1"/>
  <c r="AV104" i="3" s="1"/>
  <c r="AY104" i="3"/>
  <c r="AZ104" i="3"/>
  <c r="BA104" i="3"/>
  <c r="BB104" i="3"/>
  <c r="BC104" i="3"/>
  <c r="BD104" i="3"/>
  <c r="BE104" i="3"/>
  <c r="BF104" i="3"/>
  <c r="BG104" i="3"/>
  <c r="AT105" i="3"/>
  <c r="AW105" i="3" s="1" a="1"/>
  <c r="AW105" i="3" s="1"/>
  <c r="AU105" i="3"/>
  <c r="AV105" i="3" s="1" a="1"/>
  <c r="AV105" i="3" s="1"/>
  <c r="AY105" i="3"/>
  <c r="AZ105" i="3"/>
  <c r="BA105" i="3"/>
  <c r="BB105" i="3"/>
  <c r="BC105" i="3"/>
  <c r="BD105" i="3"/>
  <c r="BE105" i="3"/>
  <c r="BF105" i="3"/>
  <c r="BG105" i="3"/>
  <c r="AT106" i="3"/>
  <c r="AU106" i="3"/>
  <c r="AV106" i="3" s="1" a="1"/>
  <c r="AV106" i="3" s="1"/>
  <c r="AY106" i="3"/>
  <c r="AZ106" i="3"/>
  <c r="BA106" i="3"/>
  <c r="BB106" i="3"/>
  <c r="BC106" i="3"/>
  <c r="BD106" i="3"/>
  <c r="BE106" i="3"/>
  <c r="BG106" i="3"/>
  <c r="AT107" i="3"/>
  <c r="AW107" i="3" s="1" a="1"/>
  <c r="AW107" i="3" s="1"/>
  <c r="AU107" i="3"/>
  <c r="AV107" i="3" s="1" a="1"/>
  <c r="AV107" i="3" s="1"/>
  <c r="AY107" i="3"/>
  <c r="AZ107" i="3"/>
  <c r="BA107" i="3"/>
  <c r="BB107" i="3"/>
  <c r="BC107" i="3"/>
  <c r="BD107" i="3"/>
  <c r="BE107" i="3"/>
  <c r="BF107" i="3"/>
  <c r="BG107" i="3"/>
  <c r="AT108" i="3"/>
  <c r="AW108" i="3" s="1" a="1"/>
  <c r="AW108" i="3" s="1"/>
  <c r="AU108" i="3"/>
  <c r="AV108" i="3" s="1" a="1"/>
  <c r="AV108" i="3" s="1"/>
  <c r="AY108" i="3"/>
  <c r="AZ108" i="3"/>
  <c r="BA108" i="3"/>
  <c r="BB108" i="3"/>
  <c r="BC108" i="3"/>
  <c r="BD108" i="3"/>
  <c r="BE108" i="3"/>
  <c r="BF108" i="3"/>
  <c r="BG108" i="3"/>
  <c r="AT109" i="3"/>
  <c r="AX109" i="3" s="1" a="1"/>
  <c r="AX109" i="3" s="1"/>
  <c r="AU109" i="3"/>
  <c r="AV109" i="3" s="1" a="1"/>
  <c r="AV109" i="3" s="1"/>
  <c r="AY109" i="3"/>
  <c r="AZ109" i="3"/>
  <c r="BA109" i="3"/>
  <c r="BB109" i="3"/>
  <c r="BC109" i="3"/>
  <c r="BD109" i="3"/>
  <c r="BE109" i="3"/>
  <c r="BG109" i="3"/>
  <c r="AT110" i="3"/>
  <c r="AU110" i="3"/>
  <c r="AV110" i="3" s="1" a="1"/>
  <c r="AV110" i="3" s="1"/>
  <c r="AY110" i="3"/>
  <c r="AZ110" i="3"/>
  <c r="BA110" i="3"/>
  <c r="BB110" i="3"/>
  <c r="BC110" i="3"/>
  <c r="BD110" i="3"/>
  <c r="BE110" i="3"/>
  <c r="BF110" i="3"/>
  <c r="BG110" i="3"/>
  <c r="AT111" i="3"/>
  <c r="AU111" i="3"/>
  <c r="AV111" i="3" s="1" a="1"/>
  <c r="AV111" i="3" s="1"/>
  <c r="AY111" i="3"/>
  <c r="AZ111" i="3"/>
  <c r="BA111" i="3"/>
  <c r="BB111" i="3"/>
  <c r="BC111" i="3"/>
  <c r="BD111" i="3"/>
  <c r="BE111" i="3"/>
  <c r="BF111" i="3"/>
  <c r="BG111" i="3"/>
  <c r="AT112" i="3"/>
  <c r="AX112" i="3" s="1" a="1"/>
  <c r="AX112" i="3" s="1"/>
  <c r="AU112" i="3"/>
  <c r="AV112" i="3" s="1" a="1"/>
  <c r="AV112" i="3" s="1"/>
  <c r="AY112" i="3"/>
  <c r="AZ112" i="3"/>
  <c r="BA112" i="3"/>
  <c r="BB112" i="3"/>
  <c r="BC112" i="3"/>
  <c r="BD112" i="3"/>
  <c r="BE112" i="3"/>
  <c r="BF112" i="3"/>
  <c r="BG112" i="3"/>
  <c r="AT113" i="3"/>
  <c r="AW113" i="3" s="1" a="1"/>
  <c r="AW113" i="3" s="1"/>
  <c r="AU113" i="3"/>
  <c r="AV113" i="3" s="1" a="1"/>
  <c r="AV113" i="3" s="1"/>
  <c r="AY113" i="3"/>
  <c r="AZ113" i="3"/>
  <c r="BA113" i="3"/>
  <c r="BB113" i="3"/>
  <c r="BC113" i="3"/>
  <c r="BD113" i="3"/>
  <c r="BE113" i="3"/>
  <c r="BF113" i="3"/>
  <c r="BG113" i="3"/>
  <c r="AT114" i="3"/>
  <c r="AW114" i="3" s="1" a="1"/>
  <c r="AW114" i="3" s="1"/>
  <c r="AU114" i="3"/>
  <c r="AV114" i="3" s="1" a="1"/>
  <c r="AV114" i="3" s="1"/>
  <c r="AY114" i="3"/>
  <c r="AZ114" i="3"/>
  <c r="BA114" i="3"/>
  <c r="BB114" i="3"/>
  <c r="BC114" i="3"/>
  <c r="BD114" i="3"/>
  <c r="BE114" i="3"/>
  <c r="BF114" i="3"/>
  <c r="BG114" i="3"/>
  <c r="AT115" i="3"/>
  <c r="AX115" i="3" s="1" a="1"/>
  <c r="AX115" i="3" s="1"/>
  <c r="AU115" i="3"/>
  <c r="AV115" i="3" s="1" a="1"/>
  <c r="AV115" i="3" s="1"/>
  <c r="AY115" i="3"/>
  <c r="AZ115" i="3"/>
  <c r="BA115" i="3"/>
  <c r="BB115" i="3"/>
  <c r="BC115" i="3"/>
  <c r="BD115" i="3"/>
  <c r="BE115" i="3"/>
  <c r="BF115" i="3"/>
  <c r="BG115" i="3"/>
  <c r="AT116" i="3"/>
  <c r="AW116" i="3" s="1" a="1"/>
  <c r="AW116" i="3" s="1"/>
  <c r="AU116" i="3"/>
  <c r="AV116" i="3" s="1" a="1"/>
  <c r="AV116" i="3" s="1"/>
  <c r="AY116" i="3"/>
  <c r="AZ116" i="3"/>
  <c r="BA116" i="3"/>
  <c r="BB116" i="3"/>
  <c r="BC116" i="3"/>
  <c r="BD116" i="3"/>
  <c r="BE116" i="3"/>
  <c r="BF116" i="3"/>
  <c r="BG116" i="3"/>
  <c r="AT117" i="3"/>
  <c r="AW117" i="3" s="1" a="1"/>
  <c r="AW117" i="3" s="1"/>
  <c r="AU117" i="3"/>
  <c r="AV117" i="3" s="1" a="1"/>
  <c r="AV117" i="3" s="1"/>
  <c r="AY117" i="3"/>
  <c r="AZ117" i="3"/>
  <c r="BA117" i="3"/>
  <c r="BB117" i="3"/>
  <c r="BC117" i="3"/>
  <c r="BD117" i="3"/>
  <c r="BE117" i="3"/>
  <c r="BF117" i="3"/>
  <c r="BG117" i="3"/>
  <c r="AT118" i="3"/>
  <c r="AW118" i="3" s="1" a="1"/>
  <c r="AW118" i="3" s="1"/>
  <c r="AU118" i="3"/>
  <c r="AV118" i="3" s="1" a="1"/>
  <c r="AV118" i="3" s="1"/>
  <c r="AY118" i="3"/>
  <c r="AZ118" i="3"/>
  <c r="BA118" i="3"/>
  <c r="BB118" i="3"/>
  <c r="BC118" i="3"/>
  <c r="BD118" i="3"/>
  <c r="BE118" i="3"/>
  <c r="BF118" i="3"/>
  <c r="BG118" i="3"/>
  <c r="AT119" i="3"/>
  <c r="AX119" i="3" s="1" a="1"/>
  <c r="AX119" i="3" s="1"/>
  <c r="AU119" i="3"/>
  <c r="AV119" i="3" s="1" a="1"/>
  <c r="AV119" i="3" s="1"/>
  <c r="AY119" i="3"/>
  <c r="AZ119" i="3"/>
  <c r="BA119" i="3"/>
  <c r="BB119" i="3"/>
  <c r="BC119" i="3"/>
  <c r="BD119" i="3"/>
  <c r="BE119" i="3"/>
  <c r="BF119" i="3"/>
  <c r="BG119" i="3"/>
  <c r="AT120" i="3"/>
  <c r="AW120" i="3" s="1" a="1"/>
  <c r="AW120" i="3" s="1"/>
  <c r="AU120" i="3"/>
  <c r="AV120" i="3" s="1" a="1"/>
  <c r="AV120" i="3" s="1"/>
  <c r="AY120" i="3"/>
  <c r="AZ120" i="3"/>
  <c r="BA120" i="3"/>
  <c r="BB120" i="3"/>
  <c r="BC120" i="3"/>
  <c r="BD120" i="3"/>
  <c r="BE120" i="3"/>
  <c r="BF120" i="3"/>
  <c r="BG120" i="3"/>
  <c r="AT121" i="3"/>
  <c r="AX121" i="3" s="1" a="1"/>
  <c r="AX121" i="3" s="1"/>
  <c r="AU121" i="3"/>
  <c r="AV121" i="3" s="1" a="1"/>
  <c r="AV121" i="3" s="1"/>
  <c r="AY121" i="3"/>
  <c r="AZ121" i="3"/>
  <c r="BA121" i="3"/>
  <c r="BB121" i="3"/>
  <c r="BC121" i="3"/>
  <c r="BD121" i="3"/>
  <c r="BE121" i="3"/>
  <c r="BF121" i="3"/>
  <c r="BG121" i="3"/>
  <c r="AT122" i="3"/>
  <c r="AX122" i="3" s="1" a="1"/>
  <c r="AX122" i="3" s="1"/>
  <c r="AU122" i="3"/>
  <c r="AV122" i="3" s="1" a="1"/>
  <c r="AV122" i="3" s="1"/>
  <c r="AY122" i="3"/>
  <c r="AZ122" i="3"/>
  <c r="BA122" i="3"/>
  <c r="BB122" i="3"/>
  <c r="BC122" i="3"/>
  <c r="BD122" i="3"/>
  <c r="BE122" i="3"/>
  <c r="BF122" i="3"/>
  <c r="BG122" i="3"/>
  <c r="AT123" i="3"/>
  <c r="AU123" i="3"/>
  <c r="AV123" i="3" s="1" a="1"/>
  <c r="AV123" i="3" s="1"/>
  <c r="AY123" i="3"/>
  <c r="AZ123" i="3"/>
  <c r="BA123" i="3"/>
  <c r="BB123" i="3"/>
  <c r="BC123" i="3"/>
  <c r="BD123" i="3"/>
  <c r="BE123" i="3"/>
  <c r="BF123" i="3"/>
  <c r="BG123" i="3"/>
  <c r="AT124" i="3"/>
  <c r="AX124" i="3" s="1" a="1"/>
  <c r="AX124" i="3" s="1"/>
  <c r="AU124" i="3"/>
  <c r="AV124" i="3" s="1" a="1"/>
  <c r="AV124" i="3" s="1"/>
  <c r="AY124" i="3"/>
  <c r="AZ124" i="3"/>
  <c r="BA124" i="3"/>
  <c r="BB124" i="3"/>
  <c r="BC124" i="3"/>
  <c r="BD124" i="3"/>
  <c r="BE124" i="3"/>
  <c r="BF124" i="3"/>
  <c r="BG124" i="3"/>
  <c r="AT125" i="3"/>
  <c r="AW125" i="3" s="1" a="1"/>
  <c r="AW125" i="3" s="1"/>
  <c r="AU125" i="3"/>
  <c r="AV125" i="3" s="1" a="1"/>
  <c r="AV125" i="3" s="1"/>
  <c r="AY125" i="3"/>
  <c r="AZ125" i="3"/>
  <c r="BA125" i="3"/>
  <c r="BB125" i="3"/>
  <c r="BC125" i="3"/>
  <c r="BD125" i="3"/>
  <c r="BE125" i="3"/>
  <c r="BF125" i="3"/>
  <c r="BG125" i="3"/>
  <c r="AT126" i="3"/>
  <c r="AW126" i="3" s="1" a="1"/>
  <c r="AW126" i="3" s="1"/>
  <c r="AU126" i="3"/>
  <c r="AV126" i="3" s="1" a="1"/>
  <c r="AV126" i="3" s="1"/>
  <c r="AY126" i="3"/>
  <c r="AZ126" i="3"/>
  <c r="BA126" i="3"/>
  <c r="BB126" i="3"/>
  <c r="BC126" i="3"/>
  <c r="BD126" i="3"/>
  <c r="BE126" i="3"/>
  <c r="BF126" i="3"/>
  <c r="BG126" i="3"/>
  <c r="AT127" i="3"/>
  <c r="AX127" i="3" s="1" a="1"/>
  <c r="AX127" i="3" s="1"/>
  <c r="AU127" i="3"/>
  <c r="AV127" i="3" s="1" a="1"/>
  <c r="AV127" i="3" s="1"/>
  <c r="AY127" i="3"/>
  <c r="AZ127" i="3"/>
  <c r="BA127" i="3"/>
  <c r="BB127" i="3"/>
  <c r="BC127" i="3"/>
  <c r="BD127" i="3"/>
  <c r="BE127" i="3"/>
  <c r="BF127" i="3"/>
  <c r="BG127" i="3"/>
  <c r="AT128" i="3"/>
  <c r="AU128" i="3"/>
  <c r="AV128" i="3" s="1" a="1"/>
  <c r="AV128" i="3" s="1"/>
  <c r="AY128" i="3"/>
  <c r="AZ128" i="3"/>
  <c r="BA128" i="3"/>
  <c r="BB128" i="3"/>
  <c r="BC128" i="3"/>
  <c r="BD128" i="3"/>
  <c r="BE128" i="3"/>
  <c r="BF128" i="3"/>
  <c r="BG128" i="3"/>
  <c r="AT129" i="3"/>
  <c r="AW129" i="3" s="1" a="1"/>
  <c r="AW129" i="3" s="1"/>
  <c r="AU129" i="3"/>
  <c r="AV129" i="3" s="1" a="1"/>
  <c r="AV129" i="3" s="1"/>
  <c r="AY129" i="3"/>
  <c r="AZ129" i="3"/>
  <c r="BA129" i="3"/>
  <c r="BB129" i="3"/>
  <c r="BC129" i="3"/>
  <c r="BD129" i="3"/>
  <c r="BE129" i="3"/>
  <c r="BF129" i="3"/>
  <c r="BG129" i="3"/>
  <c r="AT130" i="3"/>
  <c r="AW130" i="3" s="1" a="1"/>
  <c r="AW130" i="3" s="1"/>
  <c r="AU130" i="3"/>
  <c r="AV130" i="3" s="1" a="1"/>
  <c r="AV130" i="3" s="1"/>
  <c r="AY130" i="3"/>
  <c r="AZ130" i="3"/>
  <c r="BA130" i="3"/>
  <c r="BB130" i="3"/>
  <c r="BC130" i="3"/>
  <c r="BD130" i="3"/>
  <c r="BE130" i="3"/>
  <c r="BF130" i="3"/>
  <c r="BG130" i="3"/>
  <c r="AT131" i="3"/>
  <c r="AX131" i="3" s="1" a="1"/>
  <c r="AX131" i="3" s="1"/>
  <c r="AU131" i="3"/>
  <c r="AV131" i="3" s="1" a="1"/>
  <c r="AV131" i="3" s="1"/>
  <c r="AY131" i="3"/>
  <c r="AZ131" i="3"/>
  <c r="BA131" i="3"/>
  <c r="BB131" i="3"/>
  <c r="BC131" i="3"/>
  <c r="BD131" i="3"/>
  <c r="BE131" i="3"/>
  <c r="BF131" i="3"/>
  <c r="BG131" i="3"/>
  <c r="AT132" i="3"/>
  <c r="AU132" i="3"/>
  <c r="AV132" i="3" s="1" a="1"/>
  <c r="AV132" i="3" s="1"/>
  <c r="AY132" i="3"/>
  <c r="AZ132" i="3"/>
  <c r="BA132" i="3"/>
  <c r="BB132" i="3"/>
  <c r="BC132" i="3"/>
  <c r="BD132" i="3"/>
  <c r="BE132" i="3"/>
  <c r="BF132" i="3"/>
  <c r="BG132" i="3"/>
  <c r="AT133" i="3"/>
  <c r="AX133" i="3" s="1" a="1"/>
  <c r="AX133" i="3" s="1"/>
  <c r="AU133" i="3"/>
  <c r="AV133" i="3" s="1" a="1"/>
  <c r="AV133" i="3" s="1"/>
  <c r="AY133" i="3"/>
  <c r="AZ133" i="3"/>
  <c r="BA133" i="3"/>
  <c r="BB133" i="3"/>
  <c r="BC133" i="3"/>
  <c r="BD133" i="3"/>
  <c r="BE133" i="3"/>
  <c r="BF133" i="3"/>
  <c r="BG133" i="3"/>
  <c r="AT134" i="3"/>
  <c r="AU134" i="3"/>
  <c r="AV134" i="3" s="1" a="1"/>
  <c r="AV134" i="3" s="1"/>
  <c r="AY134" i="3"/>
  <c r="AZ134" i="3"/>
  <c r="BA134" i="3"/>
  <c r="BB134" i="3"/>
  <c r="BC134" i="3"/>
  <c r="BD134" i="3"/>
  <c r="BE134" i="3"/>
  <c r="BF134" i="3"/>
  <c r="BG134" i="3"/>
  <c r="AT135" i="3"/>
  <c r="AW135" i="3" s="1" a="1"/>
  <c r="AW135" i="3" s="1"/>
  <c r="AU135" i="3"/>
  <c r="AV135" i="3" s="1" a="1"/>
  <c r="AV135" i="3" s="1"/>
  <c r="AY135" i="3"/>
  <c r="AZ135" i="3"/>
  <c r="BA135" i="3"/>
  <c r="BB135" i="3"/>
  <c r="BC135" i="3"/>
  <c r="BD135" i="3"/>
  <c r="BE135" i="3"/>
  <c r="BF135" i="3"/>
  <c r="BG135" i="3"/>
  <c r="AT136" i="3"/>
  <c r="AX136" i="3" s="1" a="1"/>
  <c r="AX136" i="3" s="1"/>
  <c r="AU136" i="3"/>
  <c r="AV136" i="3" s="1" a="1"/>
  <c r="AV136" i="3" s="1"/>
  <c r="AY136" i="3"/>
  <c r="AZ136" i="3"/>
  <c r="BA136" i="3"/>
  <c r="BB136" i="3"/>
  <c r="BC136" i="3"/>
  <c r="BD136" i="3"/>
  <c r="BE136" i="3"/>
  <c r="BF136" i="3"/>
  <c r="BG136" i="3"/>
  <c r="AT137" i="3"/>
  <c r="AU137" i="3"/>
  <c r="AV137" i="3" s="1" a="1"/>
  <c r="AV137" i="3" s="1"/>
  <c r="AY137" i="3"/>
  <c r="AZ137" i="3"/>
  <c r="BA137" i="3"/>
  <c r="BB137" i="3"/>
  <c r="BC137" i="3"/>
  <c r="BD137" i="3"/>
  <c r="BE137" i="3"/>
  <c r="BG137" i="3"/>
  <c r="AT138" i="3"/>
  <c r="AW138" i="3" s="1" a="1"/>
  <c r="AW138" i="3" s="1"/>
  <c r="AU138" i="3"/>
  <c r="AV138" i="3" s="1" a="1"/>
  <c r="AV138" i="3" s="1"/>
  <c r="AY138" i="3"/>
  <c r="AZ138" i="3"/>
  <c r="BA138" i="3"/>
  <c r="BB138" i="3"/>
  <c r="BC138" i="3"/>
  <c r="BD138" i="3"/>
  <c r="BE138" i="3"/>
  <c r="BF138" i="3"/>
  <c r="BG138" i="3"/>
  <c r="AT139" i="3"/>
  <c r="AX139" i="3" s="1" a="1"/>
  <c r="AX139" i="3" s="1"/>
  <c r="AU139" i="3"/>
  <c r="AV139" i="3" s="1" a="1"/>
  <c r="AV139" i="3" s="1"/>
  <c r="AY139" i="3"/>
  <c r="AZ139" i="3"/>
  <c r="BA139" i="3"/>
  <c r="BB139" i="3"/>
  <c r="BC139" i="3"/>
  <c r="BD139" i="3"/>
  <c r="BE139" i="3"/>
  <c r="BG139" i="3"/>
  <c r="AT140" i="3"/>
  <c r="AX140" i="3" s="1" a="1"/>
  <c r="AX140" i="3" s="1"/>
  <c r="AU140" i="3"/>
  <c r="AV140" i="3" s="1" a="1"/>
  <c r="AV140" i="3" s="1"/>
  <c r="AY140" i="3"/>
  <c r="AZ140" i="3"/>
  <c r="BA140" i="3"/>
  <c r="BB140" i="3"/>
  <c r="BC140" i="3"/>
  <c r="BD140" i="3"/>
  <c r="BE140" i="3"/>
  <c r="BF140" i="3"/>
  <c r="BG140" i="3"/>
  <c r="AT141" i="3"/>
  <c r="AW141" i="3" s="1" a="1"/>
  <c r="AW141" i="3" s="1"/>
  <c r="AU141" i="3"/>
  <c r="AV141" i="3" s="1" a="1"/>
  <c r="AV141" i="3" s="1"/>
  <c r="AY141" i="3"/>
  <c r="AZ141" i="3"/>
  <c r="BA141" i="3"/>
  <c r="BB141" i="3"/>
  <c r="BC141" i="3"/>
  <c r="BD141" i="3"/>
  <c r="BE141" i="3"/>
  <c r="BF141" i="3"/>
  <c r="BG141" i="3"/>
  <c r="AT142" i="3"/>
  <c r="AX142" i="3" s="1" a="1"/>
  <c r="AX142" i="3" s="1"/>
  <c r="AU142" i="3"/>
  <c r="AV142" i="3" s="1" a="1"/>
  <c r="AV142" i="3" s="1"/>
  <c r="AY142" i="3"/>
  <c r="AZ142" i="3"/>
  <c r="BA142" i="3"/>
  <c r="BB142" i="3"/>
  <c r="BC142" i="3"/>
  <c r="BD142" i="3"/>
  <c r="BE142" i="3"/>
  <c r="BF142" i="3"/>
  <c r="BG142" i="3"/>
  <c r="AT143" i="3"/>
  <c r="AU143" i="3"/>
  <c r="AV143" i="3" s="1" a="1"/>
  <c r="AV143" i="3" s="1"/>
  <c r="AY143" i="3"/>
  <c r="AZ143" i="3"/>
  <c r="BA143" i="3"/>
  <c r="BB143" i="3"/>
  <c r="BC143" i="3"/>
  <c r="BD143" i="3"/>
  <c r="BE143" i="3"/>
  <c r="BF143" i="3"/>
  <c r="BG143" i="3"/>
  <c r="AT144" i="3"/>
  <c r="AU144" i="3"/>
  <c r="AV144" i="3" s="1" a="1"/>
  <c r="AV144" i="3" s="1"/>
  <c r="AY144" i="3"/>
  <c r="AZ144" i="3"/>
  <c r="BA144" i="3"/>
  <c r="BB144" i="3"/>
  <c r="BC144" i="3"/>
  <c r="BD144" i="3"/>
  <c r="BE144" i="3"/>
  <c r="BF144" i="3"/>
  <c r="BG144" i="3"/>
  <c r="AT145" i="3"/>
  <c r="AW145" i="3" s="1" a="1"/>
  <c r="AW145" i="3" s="1"/>
  <c r="AU145" i="3"/>
  <c r="AV145" i="3" s="1" a="1"/>
  <c r="AV145" i="3" s="1"/>
  <c r="AY145" i="3"/>
  <c r="AZ145" i="3"/>
  <c r="BA145" i="3"/>
  <c r="BB145" i="3"/>
  <c r="BC145" i="3"/>
  <c r="BD145" i="3"/>
  <c r="BE145" i="3"/>
  <c r="BF145" i="3"/>
  <c r="BG145" i="3"/>
  <c r="AT146" i="3"/>
  <c r="AX146" i="3" s="1" a="1"/>
  <c r="AX146" i="3" s="1"/>
  <c r="AU146" i="3"/>
  <c r="AV146" i="3" s="1" a="1"/>
  <c r="AV146" i="3" s="1"/>
  <c r="AY146" i="3"/>
  <c r="AZ146" i="3"/>
  <c r="BA146" i="3"/>
  <c r="BB146" i="3"/>
  <c r="BC146" i="3"/>
  <c r="BD146" i="3"/>
  <c r="BE146" i="3"/>
  <c r="BF146" i="3"/>
  <c r="BG146" i="3"/>
  <c r="AT147" i="3"/>
  <c r="AU147" i="3"/>
  <c r="AV147" i="3" s="1" a="1"/>
  <c r="AV147" i="3" s="1"/>
  <c r="AY147" i="3"/>
  <c r="AZ147" i="3"/>
  <c r="BA147" i="3"/>
  <c r="BB147" i="3"/>
  <c r="BC147" i="3"/>
  <c r="BD147" i="3"/>
  <c r="BE147" i="3"/>
  <c r="BF147" i="3"/>
  <c r="BG147" i="3"/>
  <c r="AT148" i="3"/>
  <c r="AX148" i="3" s="1" a="1"/>
  <c r="AX148" i="3" s="1"/>
  <c r="AU148" i="3"/>
  <c r="AV148" i="3" s="1" a="1"/>
  <c r="AV148" i="3" s="1"/>
  <c r="AY148" i="3"/>
  <c r="AZ148" i="3"/>
  <c r="BA148" i="3"/>
  <c r="BB148" i="3"/>
  <c r="BC148" i="3"/>
  <c r="BD148" i="3"/>
  <c r="BE148" i="3"/>
  <c r="BF148" i="3"/>
  <c r="BG148" i="3"/>
  <c r="AT149" i="3"/>
  <c r="AW149" i="3" s="1" a="1"/>
  <c r="AW149" i="3" s="1"/>
  <c r="AU149" i="3"/>
  <c r="AV149" i="3" s="1" a="1"/>
  <c r="AV149" i="3" s="1"/>
  <c r="AY149" i="3"/>
  <c r="AZ149" i="3"/>
  <c r="BA149" i="3"/>
  <c r="BB149" i="3"/>
  <c r="BC149" i="3"/>
  <c r="BD149" i="3"/>
  <c r="BE149" i="3"/>
  <c r="BF149" i="3"/>
  <c r="BG149" i="3"/>
  <c r="AT150" i="3"/>
  <c r="AW150" i="3" s="1" a="1"/>
  <c r="AW150" i="3" s="1"/>
  <c r="AU150" i="3"/>
  <c r="AV150" i="3" s="1" a="1"/>
  <c r="AV150" i="3" s="1"/>
  <c r="AY150" i="3"/>
  <c r="AZ150" i="3"/>
  <c r="BA150" i="3"/>
  <c r="BB150" i="3"/>
  <c r="BC150" i="3"/>
  <c r="BD150" i="3"/>
  <c r="BE150" i="3"/>
  <c r="BF150" i="3"/>
  <c r="BG150" i="3"/>
  <c r="AT151" i="3"/>
  <c r="AX151" i="3" s="1" a="1"/>
  <c r="AX151" i="3" s="1"/>
  <c r="AU151" i="3"/>
  <c r="AV151" i="3" s="1" a="1"/>
  <c r="AV151" i="3" s="1"/>
  <c r="AY151" i="3"/>
  <c r="AZ151" i="3"/>
  <c r="BA151" i="3"/>
  <c r="BB151" i="3"/>
  <c r="BC151" i="3"/>
  <c r="BD151" i="3"/>
  <c r="BE151" i="3"/>
  <c r="BF151" i="3"/>
  <c r="BG151" i="3"/>
  <c r="AT152" i="3"/>
  <c r="AW152" i="3" s="1" a="1"/>
  <c r="AW152" i="3" s="1"/>
  <c r="AU152" i="3"/>
  <c r="AV152" i="3" s="1" a="1"/>
  <c r="AV152" i="3" s="1"/>
  <c r="AY152" i="3"/>
  <c r="AZ152" i="3"/>
  <c r="BA152" i="3"/>
  <c r="BB152" i="3"/>
  <c r="BC152" i="3"/>
  <c r="BD152" i="3"/>
  <c r="BE152" i="3"/>
  <c r="BF152" i="3"/>
  <c r="BG152" i="3"/>
  <c r="AT153" i="3"/>
  <c r="AW153" i="3" s="1" a="1"/>
  <c r="AW153" i="3" s="1"/>
  <c r="AU153" i="3"/>
  <c r="AV153" i="3" s="1" a="1"/>
  <c r="AV153" i="3" s="1"/>
  <c r="AY153" i="3"/>
  <c r="AZ153" i="3"/>
  <c r="BA153" i="3"/>
  <c r="BB153" i="3"/>
  <c r="BC153" i="3"/>
  <c r="BD153" i="3"/>
  <c r="BE153" i="3"/>
  <c r="BF153" i="3"/>
  <c r="BG153" i="3"/>
  <c r="AT154" i="3"/>
  <c r="AX154" i="3" s="1" a="1"/>
  <c r="AX154" i="3" s="1"/>
  <c r="AU154" i="3"/>
  <c r="AV154" i="3" s="1" a="1"/>
  <c r="AV154" i="3" s="1"/>
  <c r="AY154" i="3"/>
  <c r="AZ154" i="3"/>
  <c r="BA154" i="3"/>
  <c r="BB154" i="3"/>
  <c r="BC154" i="3"/>
  <c r="BD154" i="3"/>
  <c r="BE154" i="3"/>
  <c r="BF154" i="3"/>
  <c r="BG154" i="3"/>
  <c r="AT155" i="3"/>
  <c r="AX155" i="3" s="1" a="1"/>
  <c r="AX155" i="3" s="1"/>
  <c r="AU155" i="3"/>
  <c r="AV155" i="3" s="1" a="1"/>
  <c r="AV155" i="3" s="1"/>
  <c r="AY155" i="3"/>
  <c r="AZ155" i="3"/>
  <c r="BA155" i="3"/>
  <c r="BB155" i="3"/>
  <c r="BC155" i="3"/>
  <c r="BD155" i="3"/>
  <c r="BE155" i="3"/>
  <c r="BF155" i="3"/>
  <c r="BG155" i="3"/>
  <c r="AT156" i="3"/>
  <c r="AW156" i="3" s="1" a="1"/>
  <c r="AW156" i="3" s="1"/>
  <c r="AU156" i="3"/>
  <c r="AV156" i="3" s="1" a="1"/>
  <c r="AV156" i="3" s="1"/>
  <c r="AY156" i="3"/>
  <c r="AZ156" i="3"/>
  <c r="BA156" i="3"/>
  <c r="BB156" i="3"/>
  <c r="BC156" i="3"/>
  <c r="BD156" i="3"/>
  <c r="BE156" i="3"/>
  <c r="BF156" i="3"/>
  <c r="BG156" i="3"/>
  <c r="AT157" i="3"/>
  <c r="AX157" i="3" s="1" a="1"/>
  <c r="AX157" i="3" s="1"/>
  <c r="AU157" i="3"/>
  <c r="AV157" i="3" s="1" a="1"/>
  <c r="AV157" i="3" s="1"/>
  <c r="AY157" i="3"/>
  <c r="AZ157" i="3"/>
  <c r="BA157" i="3"/>
  <c r="BB157" i="3"/>
  <c r="BC157" i="3"/>
  <c r="BD157" i="3"/>
  <c r="BE157" i="3"/>
  <c r="BF157" i="3"/>
  <c r="BG157" i="3"/>
  <c r="AT158" i="3"/>
  <c r="AU158" i="3"/>
  <c r="AV158" i="3" s="1" a="1"/>
  <c r="AV158" i="3" s="1"/>
  <c r="AY158" i="3"/>
  <c r="AZ158" i="3"/>
  <c r="BA158" i="3"/>
  <c r="BB158" i="3"/>
  <c r="BC158" i="3"/>
  <c r="BD158" i="3"/>
  <c r="BE158" i="3"/>
  <c r="BF158" i="3"/>
  <c r="BG158" i="3"/>
  <c r="AT159" i="3"/>
  <c r="AW159" i="3" s="1" a="1"/>
  <c r="AW159" i="3" s="1"/>
  <c r="AU159" i="3"/>
  <c r="AV159" i="3" s="1" a="1"/>
  <c r="AV159" i="3" s="1"/>
  <c r="AY159" i="3"/>
  <c r="AZ159" i="3"/>
  <c r="BA159" i="3"/>
  <c r="BB159" i="3"/>
  <c r="BC159" i="3"/>
  <c r="BD159" i="3"/>
  <c r="BE159" i="3"/>
  <c r="BF159" i="3"/>
  <c r="BG159" i="3"/>
  <c r="AT160" i="3"/>
  <c r="AX160" i="3" s="1" a="1"/>
  <c r="AX160" i="3" s="1"/>
  <c r="AU160" i="3"/>
  <c r="AV160" i="3" s="1" a="1"/>
  <c r="AV160" i="3" s="1"/>
  <c r="AY160" i="3"/>
  <c r="AZ160" i="3"/>
  <c r="BA160" i="3"/>
  <c r="BB160" i="3"/>
  <c r="BC160" i="3"/>
  <c r="BD160" i="3"/>
  <c r="BE160" i="3"/>
  <c r="BF160" i="3"/>
  <c r="BG160" i="3"/>
  <c r="AT161" i="3"/>
  <c r="AW161" i="3" s="1" a="1"/>
  <c r="AW161" i="3" s="1"/>
  <c r="AU161" i="3"/>
  <c r="AV161" i="3" s="1" a="1"/>
  <c r="AV161" i="3" s="1"/>
  <c r="AY161" i="3"/>
  <c r="AZ161" i="3"/>
  <c r="BA161" i="3"/>
  <c r="BB161" i="3"/>
  <c r="BC161" i="3"/>
  <c r="BD161" i="3"/>
  <c r="BE161" i="3"/>
  <c r="BF161" i="3"/>
  <c r="BG161" i="3"/>
  <c r="AT162" i="3"/>
  <c r="AW162" i="3" s="1" a="1"/>
  <c r="AW162" i="3" s="1"/>
  <c r="AU162" i="3"/>
  <c r="AV162" i="3" s="1" a="1"/>
  <c r="AV162" i="3" s="1"/>
  <c r="AY162" i="3"/>
  <c r="AZ162" i="3"/>
  <c r="BA162" i="3"/>
  <c r="BB162" i="3"/>
  <c r="BC162" i="3"/>
  <c r="BD162" i="3"/>
  <c r="BE162" i="3"/>
  <c r="BF162" i="3"/>
  <c r="BG162" i="3"/>
  <c r="AT163" i="3"/>
  <c r="AX163" i="3" s="1" a="1"/>
  <c r="AX163" i="3" s="1"/>
  <c r="AU163" i="3"/>
  <c r="AV163" i="3" s="1" a="1"/>
  <c r="AV163" i="3" s="1"/>
  <c r="AY163" i="3"/>
  <c r="AZ163" i="3"/>
  <c r="BA163" i="3"/>
  <c r="BB163" i="3"/>
  <c r="BC163" i="3"/>
  <c r="BD163" i="3"/>
  <c r="BE163" i="3"/>
  <c r="BF163" i="3"/>
  <c r="BG163" i="3"/>
  <c r="AT164" i="3"/>
  <c r="AX164" i="3" s="1" a="1"/>
  <c r="AX164" i="3" s="1"/>
  <c r="AU164" i="3"/>
  <c r="AV164" i="3" s="1" a="1"/>
  <c r="AV164" i="3" s="1"/>
  <c r="AY164" i="3"/>
  <c r="AZ164" i="3"/>
  <c r="BA164" i="3"/>
  <c r="BB164" i="3"/>
  <c r="BC164" i="3"/>
  <c r="BD164" i="3"/>
  <c r="BE164" i="3"/>
  <c r="BF164" i="3"/>
  <c r="BG164" i="3"/>
  <c r="AT165" i="3"/>
  <c r="AW165" i="3" s="1" a="1"/>
  <c r="AW165" i="3" s="1"/>
  <c r="AU165" i="3"/>
  <c r="AV165" i="3" s="1" a="1"/>
  <c r="AV165" i="3" s="1"/>
  <c r="AY165" i="3"/>
  <c r="AZ165" i="3"/>
  <c r="BA165" i="3"/>
  <c r="BB165" i="3"/>
  <c r="BC165" i="3"/>
  <c r="BD165" i="3"/>
  <c r="BE165" i="3"/>
  <c r="BF165" i="3"/>
  <c r="BG165" i="3"/>
  <c r="AT166" i="3"/>
  <c r="AW166" i="3" s="1" a="1"/>
  <c r="AW166" i="3" s="1"/>
  <c r="AU166" i="3"/>
  <c r="AV166" i="3" s="1" a="1"/>
  <c r="AV166" i="3" s="1"/>
  <c r="AY166" i="3"/>
  <c r="AZ166" i="3"/>
  <c r="BA166" i="3"/>
  <c r="BB166" i="3"/>
  <c r="BC166" i="3"/>
  <c r="BD166" i="3"/>
  <c r="BE166" i="3"/>
  <c r="BF166" i="3"/>
  <c r="BG166" i="3"/>
  <c r="AT167" i="3"/>
  <c r="AX167" i="3" s="1" a="1"/>
  <c r="AX167" i="3" s="1"/>
  <c r="AU167" i="3"/>
  <c r="AV167" i="3" s="1" a="1"/>
  <c r="AV167" i="3" s="1"/>
  <c r="AY167" i="3"/>
  <c r="AZ167" i="3"/>
  <c r="BA167" i="3"/>
  <c r="BB167" i="3"/>
  <c r="BC167" i="3"/>
  <c r="BD167" i="3"/>
  <c r="BE167" i="3"/>
  <c r="BF167" i="3"/>
  <c r="BG167" i="3"/>
  <c r="AT168" i="3"/>
  <c r="AW168" i="3" s="1" a="1"/>
  <c r="AW168" i="3" s="1"/>
  <c r="AU168" i="3"/>
  <c r="AV168" i="3" s="1" a="1"/>
  <c r="AV168" i="3" s="1"/>
  <c r="AY168" i="3"/>
  <c r="AZ168" i="3"/>
  <c r="BA168" i="3"/>
  <c r="BB168" i="3"/>
  <c r="BC168" i="3"/>
  <c r="BD168" i="3"/>
  <c r="BE168" i="3"/>
  <c r="BF168" i="3"/>
  <c r="BG168" i="3"/>
  <c r="AT169" i="3"/>
  <c r="AX169" i="3" s="1" a="1"/>
  <c r="AX169" i="3" s="1"/>
  <c r="AU169" i="3"/>
  <c r="AV169" i="3" s="1" a="1"/>
  <c r="AV169" i="3" s="1"/>
  <c r="AY169" i="3"/>
  <c r="AZ169" i="3"/>
  <c r="BA169" i="3"/>
  <c r="BB169" i="3"/>
  <c r="BC169" i="3"/>
  <c r="BD169" i="3"/>
  <c r="BE169" i="3"/>
  <c r="BF169" i="3"/>
  <c r="BG169" i="3"/>
  <c r="AT170" i="3"/>
  <c r="AX170" i="3" s="1" a="1"/>
  <c r="AX170" i="3" s="1"/>
  <c r="AU170" i="3"/>
  <c r="AV170" i="3" s="1" a="1"/>
  <c r="AV170" i="3" s="1"/>
  <c r="AY170" i="3"/>
  <c r="AZ170" i="3"/>
  <c r="BA170" i="3"/>
  <c r="BB170" i="3"/>
  <c r="BC170" i="3"/>
  <c r="BD170" i="3"/>
  <c r="BE170" i="3"/>
  <c r="BF170" i="3"/>
  <c r="BG170" i="3"/>
  <c r="AT171" i="3"/>
  <c r="AW171" i="3" s="1" a="1"/>
  <c r="AW171" i="3" s="1"/>
  <c r="AU171" i="3"/>
  <c r="AV171" i="3" s="1" a="1"/>
  <c r="AV171" i="3" s="1"/>
  <c r="AY171" i="3"/>
  <c r="AZ171" i="3"/>
  <c r="BA171" i="3"/>
  <c r="BB171" i="3"/>
  <c r="BC171" i="3"/>
  <c r="BD171" i="3"/>
  <c r="BE171" i="3"/>
  <c r="BF171" i="3"/>
  <c r="BG171" i="3"/>
  <c r="AT172" i="3"/>
  <c r="AW172" i="3" s="1" a="1"/>
  <c r="AW172" i="3" s="1"/>
  <c r="AU172" i="3"/>
  <c r="AV172" i="3" s="1" a="1"/>
  <c r="AV172" i="3" s="1"/>
  <c r="AY172" i="3"/>
  <c r="AZ172" i="3"/>
  <c r="BA172" i="3"/>
  <c r="BB172" i="3"/>
  <c r="BC172" i="3"/>
  <c r="BD172" i="3"/>
  <c r="BE172" i="3"/>
  <c r="BF172" i="3"/>
  <c r="BG172" i="3"/>
  <c r="AT173" i="3"/>
  <c r="AW173" i="3" s="1" a="1"/>
  <c r="AW173" i="3" s="1"/>
  <c r="AU173" i="3"/>
  <c r="AV173" i="3" s="1" a="1"/>
  <c r="AV173" i="3" s="1"/>
  <c r="AY173" i="3"/>
  <c r="AZ173" i="3"/>
  <c r="BA173" i="3"/>
  <c r="BB173" i="3"/>
  <c r="BC173" i="3"/>
  <c r="BD173" i="3"/>
  <c r="BE173" i="3"/>
  <c r="BF173" i="3"/>
  <c r="BG173" i="3"/>
  <c r="AT174" i="3"/>
  <c r="AW174" i="3" s="1" a="1"/>
  <c r="AW174" i="3" s="1"/>
  <c r="AU174" i="3"/>
  <c r="AV174" i="3" s="1" a="1"/>
  <c r="AV174" i="3" s="1"/>
  <c r="AY174" i="3"/>
  <c r="AZ174" i="3"/>
  <c r="BA174" i="3"/>
  <c r="BB174" i="3"/>
  <c r="BC174" i="3"/>
  <c r="BD174" i="3"/>
  <c r="BE174" i="3"/>
  <c r="BF174" i="3"/>
  <c r="BG174" i="3"/>
  <c r="AT175" i="3"/>
  <c r="AW175" i="3" s="1" a="1"/>
  <c r="AW175" i="3" s="1"/>
  <c r="AU175" i="3"/>
  <c r="AV175" i="3" s="1" a="1"/>
  <c r="AV175" i="3" s="1"/>
  <c r="AY175" i="3"/>
  <c r="AZ175" i="3"/>
  <c r="BA175" i="3"/>
  <c r="BB175" i="3"/>
  <c r="BC175" i="3"/>
  <c r="BD175" i="3"/>
  <c r="BE175" i="3"/>
  <c r="BF175" i="3"/>
  <c r="BG175" i="3"/>
  <c r="AT176" i="3"/>
  <c r="AX176" i="3" s="1" a="1"/>
  <c r="AX176" i="3" s="1"/>
  <c r="AU176" i="3"/>
  <c r="AV176" i="3" s="1" a="1"/>
  <c r="AV176" i="3" s="1"/>
  <c r="AY176" i="3"/>
  <c r="AZ176" i="3"/>
  <c r="BA176" i="3"/>
  <c r="BB176" i="3"/>
  <c r="BC176" i="3"/>
  <c r="BD176" i="3"/>
  <c r="BE176" i="3"/>
  <c r="BF176" i="3"/>
  <c r="BG176" i="3"/>
  <c r="AT177" i="3"/>
  <c r="AW177" i="3" s="1" a="1"/>
  <c r="AW177" i="3" s="1"/>
  <c r="AU177" i="3"/>
  <c r="AV177" i="3" s="1" a="1"/>
  <c r="AV177" i="3" s="1"/>
  <c r="AY177" i="3"/>
  <c r="AZ177" i="3"/>
  <c r="BA177" i="3"/>
  <c r="BB177" i="3"/>
  <c r="BC177" i="3"/>
  <c r="BD177" i="3"/>
  <c r="BE177" i="3"/>
  <c r="BF177" i="3"/>
  <c r="BG177" i="3"/>
  <c r="AT178" i="3"/>
  <c r="AW178" i="3" s="1" a="1"/>
  <c r="AW178" i="3" s="1"/>
  <c r="AU178" i="3"/>
  <c r="AV178" i="3" s="1" a="1"/>
  <c r="AV178" i="3" s="1"/>
  <c r="AY178" i="3"/>
  <c r="AZ178" i="3"/>
  <c r="BA178" i="3"/>
  <c r="BB178" i="3"/>
  <c r="BC178" i="3"/>
  <c r="BD178" i="3"/>
  <c r="BE178" i="3"/>
  <c r="BF178" i="3"/>
  <c r="BG178" i="3"/>
  <c r="AT179" i="3"/>
  <c r="AX179" i="3" s="1" a="1"/>
  <c r="AX179" i="3" s="1"/>
  <c r="AU179" i="3"/>
  <c r="AV179" i="3" s="1" a="1"/>
  <c r="AV179" i="3" s="1"/>
  <c r="AY179" i="3"/>
  <c r="AZ179" i="3"/>
  <c r="BA179" i="3"/>
  <c r="BB179" i="3"/>
  <c r="BC179" i="3"/>
  <c r="BD179" i="3"/>
  <c r="BE179" i="3"/>
  <c r="BF179" i="3"/>
  <c r="BG179" i="3"/>
  <c r="AT180" i="3"/>
  <c r="AW180" i="3" s="1" a="1"/>
  <c r="AW180" i="3" s="1"/>
  <c r="AU180" i="3"/>
  <c r="AV180" i="3" s="1" a="1"/>
  <c r="AV180" i="3" s="1"/>
  <c r="AY180" i="3"/>
  <c r="AZ180" i="3"/>
  <c r="BA180" i="3"/>
  <c r="BB180" i="3"/>
  <c r="BC180" i="3"/>
  <c r="BD180" i="3"/>
  <c r="BE180" i="3"/>
  <c r="BF180" i="3"/>
  <c r="BG180" i="3"/>
  <c r="AT181" i="3"/>
  <c r="AW181" i="3" s="1" a="1"/>
  <c r="AW181" i="3" s="1"/>
  <c r="AU181" i="3"/>
  <c r="AV181" i="3" s="1" a="1"/>
  <c r="AV181" i="3" s="1"/>
  <c r="AY181" i="3"/>
  <c r="AZ181" i="3"/>
  <c r="BA181" i="3"/>
  <c r="BB181" i="3"/>
  <c r="BC181" i="3"/>
  <c r="BD181" i="3"/>
  <c r="BE181" i="3"/>
  <c r="BF181" i="3"/>
  <c r="BG181" i="3"/>
  <c r="AT182" i="3"/>
  <c r="AX182" i="3" s="1" a="1"/>
  <c r="AX182" i="3" s="1"/>
  <c r="AU182" i="3"/>
  <c r="AV182" i="3" s="1" a="1"/>
  <c r="AV182" i="3" s="1"/>
  <c r="AY182" i="3"/>
  <c r="AZ182" i="3"/>
  <c r="BA182" i="3"/>
  <c r="BB182" i="3"/>
  <c r="BC182" i="3"/>
  <c r="BD182" i="3"/>
  <c r="BE182" i="3"/>
  <c r="BF182" i="3"/>
  <c r="BG182" i="3"/>
  <c r="AT183" i="3"/>
  <c r="AW183" i="3" s="1" a="1"/>
  <c r="AW183" i="3" s="1"/>
  <c r="AU183" i="3"/>
  <c r="AV183" i="3" s="1" a="1"/>
  <c r="AV183" i="3" s="1"/>
  <c r="AY183" i="3"/>
  <c r="AZ183" i="3"/>
  <c r="BA183" i="3"/>
  <c r="BB183" i="3"/>
  <c r="BC183" i="3"/>
  <c r="BD183" i="3"/>
  <c r="BE183" i="3"/>
  <c r="BF183" i="3"/>
  <c r="BG183" i="3"/>
  <c r="AT184" i="3"/>
  <c r="AW184" i="3" s="1" a="1"/>
  <c r="AW184" i="3" s="1"/>
  <c r="AU184" i="3"/>
  <c r="AV184" i="3" s="1" a="1"/>
  <c r="AV184" i="3" s="1"/>
  <c r="AY184" i="3"/>
  <c r="AZ184" i="3"/>
  <c r="BA184" i="3"/>
  <c r="BB184" i="3"/>
  <c r="BC184" i="3"/>
  <c r="BD184" i="3"/>
  <c r="BE184" i="3"/>
  <c r="BF184" i="3"/>
  <c r="BG184" i="3"/>
  <c r="AT185" i="3"/>
  <c r="AX185" i="3" s="1" a="1"/>
  <c r="AX185" i="3" s="1"/>
  <c r="AU185" i="3"/>
  <c r="AV185" i="3" s="1" a="1"/>
  <c r="AV185" i="3" s="1"/>
  <c r="AY185" i="3"/>
  <c r="AZ185" i="3"/>
  <c r="BA185" i="3"/>
  <c r="BB185" i="3"/>
  <c r="BC185" i="3"/>
  <c r="BD185" i="3"/>
  <c r="BE185" i="3"/>
  <c r="BF185" i="3"/>
  <c r="BG185" i="3"/>
  <c r="AT186" i="3"/>
  <c r="AX186" i="3" s="1" a="1"/>
  <c r="AX186" i="3" s="1"/>
  <c r="AU186" i="3"/>
  <c r="AV186" i="3" s="1" a="1"/>
  <c r="AV186" i="3" s="1"/>
  <c r="AY186" i="3"/>
  <c r="AZ186" i="3"/>
  <c r="BA186" i="3"/>
  <c r="BB186" i="3"/>
  <c r="BC186" i="3"/>
  <c r="BD186" i="3"/>
  <c r="BE186" i="3"/>
  <c r="BF186" i="3"/>
  <c r="BG186" i="3"/>
  <c r="AT187" i="3"/>
  <c r="AW187" i="3" s="1" a="1"/>
  <c r="AW187" i="3" s="1"/>
  <c r="AU187" i="3"/>
  <c r="AV187" i="3" s="1" a="1"/>
  <c r="AV187" i="3" s="1"/>
  <c r="AY187" i="3"/>
  <c r="AZ187" i="3"/>
  <c r="BA187" i="3"/>
  <c r="BB187" i="3"/>
  <c r="BC187" i="3"/>
  <c r="BD187" i="3"/>
  <c r="BE187" i="3"/>
  <c r="BF187" i="3"/>
  <c r="BG187" i="3"/>
  <c r="AT188" i="3"/>
  <c r="AW188" i="3" s="1" a="1"/>
  <c r="AW188" i="3" s="1"/>
  <c r="AU188" i="3"/>
  <c r="AV188" i="3" s="1" a="1"/>
  <c r="AV188" i="3" s="1"/>
  <c r="AY188" i="3"/>
  <c r="AZ188" i="3"/>
  <c r="BA188" i="3"/>
  <c r="BB188" i="3"/>
  <c r="BC188" i="3"/>
  <c r="BD188" i="3"/>
  <c r="BE188" i="3"/>
  <c r="BF188" i="3"/>
  <c r="BG188" i="3"/>
  <c r="AT189" i="3"/>
  <c r="AW189" i="3" s="1" a="1"/>
  <c r="AW189" i="3" s="1"/>
  <c r="AU189" i="3"/>
  <c r="AV189" i="3" s="1" a="1"/>
  <c r="AV189" i="3" s="1"/>
  <c r="AY189" i="3"/>
  <c r="AZ189" i="3"/>
  <c r="BA189" i="3"/>
  <c r="BB189" i="3"/>
  <c r="BC189" i="3"/>
  <c r="BD189" i="3"/>
  <c r="BE189" i="3"/>
  <c r="BF189" i="3"/>
  <c r="BG189" i="3"/>
  <c r="AT190" i="3"/>
  <c r="AU190" i="3"/>
  <c r="AV190" i="3" s="1" a="1"/>
  <c r="AV190" i="3" s="1"/>
  <c r="AY190" i="3"/>
  <c r="AZ190" i="3"/>
  <c r="BA190" i="3"/>
  <c r="BB190" i="3"/>
  <c r="BC190" i="3"/>
  <c r="BD190" i="3"/>
  <c r="BE190" i="3"/>
  <c r="BF190" i="3"/>
  <c r="BG190" i="3"/>
  <c r="AT191" i="3"/>
  <c r="AW191" i="3" s="1" a="1"/>
  <c r="AW191" i="3" s="1"/>
  <c r="AU191" i="3"/>
  <c r="AV191" i="3" s="1" a="1"/>
  <c r="AV191" i="3" s="1"/>
  <c r="AY191" i="3"/>
  <c r="AZ191" i="3"/>
  <c r="BA191" i="3"/>
  <c r="BB191" i="3"/>
  <c r="BC191" i="3"/>
  <c r="BD191" i="3"/>
  <c r="BE191" i="3"/>
  <c r="BF191" i="3"/>
  <c r="BG191" i="3"/>
  <c r="AT192" i="3"/>
  <c r="AX192" i="3" s="1" a="1"/>
  <c r="AX192" i="3" s="1"/>
  <c r="AU192" i="3"/>
  <c r="AV192" i="3" s="1" a="1"/>
  <c r="AV192" i="3" s="1"/>
  <c r="AY192" i="3"/>
  <c r="AZ192" i="3"/>
  <c r="BA192" i="3"/>
  <c r="BB192" i="3"/>
  <c r="BC192" i="3"/>
  <c r="BD192" i="3"/>
  <c r="BE192" i="3"/>
  <c r="BF192" i="3"/>
  <c r="BG192" i="3"/>
  <c r="AT193" i="3"/>
  <c r="AW193" i="3" s="1" a="1"/>
  <c r="AW193" i="3" s="1"/>
  <c r="AU193" i="3"/>
  <c r="AV193" i="3" s="1" a="1"/>
  <c r="AV193" i="3" s="1"/>
  <c r="AY193" i="3"/>
  <c r="AZ193" i="3"/>
  <c r="BA193" i="3"/>
  <c r="BB193" i="3"/>
  <c r="BC193" i="3"/>
  <c r="BD193" i="3"/>
  <c r="BE193" i="3"/>
  <c r="BF193" i="3"/>
  <c r="BG193" i="3"/>
  <c r="AT194" i="3"/>
  <c r="AW194" i="3" s="1" a="1"/>
  <c r="AW194" i="3" s="1"/>
  <c r="AU194" i="3"/>
  <c r="AV194" i="3" s="1" a="1"/>
  <c r="AV194" i="3" s="1"/>
  <c r="AY194" i="3"/>
  <c r="AZ194" i="3"/>
  <c r="BA194" i="3"/>
  <c r="BB194" i="3"/>
  <c r="BC194" i="3"/>
  <c r="BD194" i="3"/>
  <c r="BE194" i="3"/>
  <c r="BF194" i="3"/>
  <c r="BG194" i="3"/>
  <c r="AT195" i="3"/>
  <c r="AW195" i="3" s="1" a="1"/>
  <c r="AW195" i="3" s="1"/>
  <c r="AU195" i="3"/>
  <c r="AV195" i="3" s="1" a="1"/>
  <c r="AV195" i="3" s="1"/>
  <c r="AY195" i="3"/>
  <c r="AZ195" i="3"/>
  <c r="BA195" i="3"/>
  <c r="BB195" i="3"/>
  <c r="BC195" i="3"/>
  <c r="BD195" i="3"/>
  <c r="BE195" i="3"/>
  <c r="BF195" i="3"/>
  <c r="BG195" i="3"/>
  <c r="AT196" i="3"/>
  <c r="AW196" i="3" s="1" a="1"/>
  <c r="AW196" i="3" s="1"/>
  <c r="AU196" i="3"/>
  <c r="AV196" i="3" s="1" a="1"/>
  <c r="AV196" i="3" s="1"/>
  <c r="AY196" i="3"/>
  <c r="AZ196" i="3"/>
  <c r="BA196" i="3"/>
  <c r="BB196" i="3"/>
  <c r="BC196" i="3"/>
  <c r="BD196" i="3"/>
  <c r="BE196" i="3"/>
  <c r="BF196" i="3"/>
  <c r="BG196" i="3"/>
  <c r="AT197" i="3"/>
  <c r="AX197" i="3" s="1" a="1"/>
  <c r="AX197" i="3" s="1"/>
  <c r="AU197" i="3"/>
  <c r="AV197" i="3" s="1" a="1"/>
  <c r="AV197" i="3" s="1"/>
  <c r="AY197" i="3"/>
  <c r="AZ197" i="3"/>
  <c r="BA197" i="3"/>
  <c r="BB197" i="3"/>
  <c r="BC197" i="3"/>
  <c r="BD197" i="3"/>
  <c r="BE197" i="3"/>
  <c r="BF197" i="3"/>
  <c r="BG197" i="3"/>
  <c r="AT198" i="3"/>
  <c r="AW198" i="3" s="1" a="1"/>
  <c r="AW198" i="3" s="1"/>
  <c r="AU198" i="3"/>
  <c r="AV198" i="3" s="1" a="1"/>
  <c r="AV198" i="3" s="1"/>
  <c r="AY198" i="3"/>
  <c r="AZ198" i="3"/>
  <c r="BA198" i="3"/>
  <c r="BB198" i="3"/>
  <c r="BC198" i="3"/>
  <c r="BD198" i="3"/>
  <c r="BE198" i="3"/>
  <c r="BF198" i="3"/>
  <c r="BG198" i="3"/>
  <c r="AT199" i="3"/>
  <c r="AW199" i="3" s="1" a="1"/>
  <c r="AW199" i="3" s="1"/>
  <c r="AU199" i="3"/>
  <c r="AV199" i="3" s="1" a="1"/>
  <c r="AV199" i="3" s="1"/>
  <c r="AY199" i="3"/>
  <c r="AZ199" i="3"/>
  <c r="BA199" i="3"/>
  <c r="BB199" i="3"/>
  <c r="BC199" i="3"/>
  <c r="BD199" i="3"/>
  <c r="BE199" i="3"/>
  <c r="BF199" i="3"/>
  <c r="BG199" i="3"/>
  <c r="AT200" i="3"/>
  <c r="AW200" i="3" s="1" a="1"/>
  <c r="AW200" i="3" s="1"/>
  <c r="AU200" i="3"/>
  <c r="AV200" i="3" s="1" a="1"/>
  <c r="AV200" i="3" s="1"/>
  <c r="AY200" i="3"/>
  <c r="AZ200" i="3"/>
  <c r="BA200" i="3"/>
  <c r="BB200" i="3"/>
  <c r="BC200" i="3"/>
  <c r="BD200" i="3"/>
  <c r="BE200" i="3"/>
  <c r="BF200" i="3"/>
  <c r="BG200" i="3"/>
  <c r="AT201" i="3"/>
  <c r="AU201" i="3"/>
  <c r="AV201" i="3" s="1" a="1"/>
  <c r="AV201" i="3" s="1"/>
  <c r="AY201" i="3"/>
  <c r="AZ201" i="3"/>
  <c r="BA201" i="3"/>
  <c r="BB201" i="3"/>
  <c r="BC201" i="3"/>
  <c r="BD201" i="3"/>
  <c r="BE201" i="3"/>
  <c r="BF201" i="3"/>
  <c r="BG201" i="3"/>
  <c r="AT202" i="3"/>
  <c r="AX202" i="3" s="1" a="1"/>
  <c r="AX202" i="3" s="1"/>
  <c r="AY202" i="3"/>
  <c r="AZ202" i="3"/>
  <c r="BA202" i="3"/>
  <c r="BB202" i="3"/>
  <c r="BC202" i="3"/>
  <c r="BD202" i="3"/>
  <c r="BE202" i="3"/>
  <c r="BF202" i="3"/>
  <c r="BG202" i="3"/>
  <c r="AT203" i="3"/>
  <c r="AW203" i="3" s="1" a="1"/>
  <c r="AW203" i="3" s="1"/>
  <c r="AU203" i="3"/>
  <c r="AV203" i="3" s="1" a="1"/>
  <c r="AV203" i="3" s="1"/>
  <c r="AY203" i="3"/>
  <c r="AZ203" i="3"/>
  <c r="BA203" i="3"/>
  <c r="BB203" i="3"/>
  <c r="BC203" i="3"/>
  <c r="BD203" i="3"/>
  <c r="BE203" i="3"/>
  <c r="BF203" i="3"/>
  <c r="BG203" i="3"/>
  <c r="AT204" i="3"/>
  <c r="AW204" i="3" s="1" a="1"/>
  <c r="AW204" i="3" s="1"/>
  <c r="AU204" i="3"/>
  <c r="AV204" i="3" s="1" a="1"/>
  <c r="AV204" i="3" s="1"/>
  <c r="AY204" i="3"/>
  <c r="AZ204" i="3"/>
  <c r="BA204" i="3"/>
  <c r="BB204" i="3"/>
  <c r="BC204" i="3"/>
  <c r="BD204" i="3"/>
  <c r="BE204" i="3"/>
  <c r="BF204" i="3"/>
  <c r="BG204" i="3"/>
  <c r="AT205" i="3"/>
  <c r="AW205" i="3" s="1" a="1"/>
  <c r="AW205" i="3" s="1"/>
  <c r="AU205" i="3"/>
  <c r="AV205" i="3" s="1" a="1"/>
  <c r="AV205" i="3" s="1"/>
  <c r="AY205" i="3"/>
  <c r="AZ205" i="3"/>
  <c r="BA205" i="3"/>
  <c r="BB205" i="3"/>
  <c r="BC205" i="3"/>
  <c r="BD205" i="3"/>
  <c r="BE205" i="3"/>
  <c r="BF205" i="3"/>
  <c r="BG205" i="3"/>
  <c r="AT206" i="3"/>
  <c r="AW206" i="3" s="1" a="1"/>
  <c r="AW206" i="3" s="1"/>
  <c r="AU206" i="3"/>
  <c r="AV206" i="3" s="1" a="1"/>
  <c r="AV206" i="3" s="1"/>
  <c r="AY206" i="3"/>
  <c r="AZ206" i="3"/>
  <c r="BA206" i="3"/>
  <c r="BB206" i="3"/>
  <c r="BC206" i="3"/>
  <c r="BD206" i="3"/>
  <c r="BE206" i="3"/>
  <c r="BF206" i="3"/>
  <c r="BG206" i="3"/>
  <c r="AT207" i="3"/>
  <c r="AW207" i="3" s="1" a="1"/>
  <c r="AW207" i="3" s="1"/>
  <c r="AU207" i="3"/>
  <c r="AV207" i="3" s="1" a="1"/>
  <c r="AV207" i="3" s="1"/>
  <c r="AY207" i="3"/>
  <c r="AZ207" i="3"/>
  <c r="BA207" i="3"/>
  <c r="BB207" i="3"/>
  <c r="BC207" i="3"/>
  <c r="BD207" i="3"/>
  <c r="BE207" i="3"/>
  <c r="BF207" i="3"/>
  <c r="BG207" i="3"/>
  <c r="AT208" i="3"/>
  <c r="AX208" i="3" s="1" a="1"/>
  <c r="AX208" i="3" s="1"/>
  <c r="AU208" i="3"/>
  <c r="AV208" i="3" s="1" a="1"/>
  <c r="AV208" i="3" s="1"/>
  <c r="AY208" i="3"/>
  <c r="AZ208" i="3"/>
  <c r="BA208" i="3"/>
  <c r="BB208" i="3"/>
  <c r="BC208" i="3"/>
  <c r="BD208" i="3"/>
  <c r="BE208" i="3"/>
  <c r="BF208" i="3"/>
  <c r="BG208" i="3"/>
  <c r="AT209" i="3"/>
  <c r="AU209" i="3" s="1"/>
  <c r="AV209" i="3" s="1" a="1"/>
  <c r="AV209" i="3" s="1"/>
  <c r="AY209" i="3"/>
  <c r="AZ209" i="3"/>
  <c r="BA209" i="3"/>
  <c r="BB209" i="3"/>
  <c r="BC209" i="3"/>
  <c r="BD209" i="3"/>
  <c r="BG209" i="3"/>
  <c r="AT210" i="3"/>
  <c r="AW210" i="3" s="1" a="1"/>
  <c r="AW210" i="3" s="1"/>
  <c r="AU210" i="3"/>
  <c r="AV210" i="3" s="1" a="1"/>
  <c r="AV210" i="3" s="1"/>
  <c r="AY210" i="3"/>
  <c r="AZ210" i="3"/>
  <c r="BA210" i="3"/>
  <c r="BB210" i="3"/>
  <c r="BC210" i="3"/>
  <c r="BD210" i="3"/>
  <c r="BE210" i="3"/>
  <c r="BF210" i="3"/>
  <c r="BG210" i="3"/>
  <c r="AT211" i="3"/>
  <c r="AW211" i="3" s="1" a="1"/>
  <c r="AW211" i="3" s="1"/>
  <c r="AU211" i="3"/>
  <c r="AV211" i="3" s="1" a="1"/>
  <c r="AV211" i="3" s="1"/>
  <c r="AY211" i="3"/>
  <c r="AZ211" i="3"/>
  <c r="BA211" i="3"/>
  <c r="BB211" i="3"/>
  <c r="BC211" i="3"/>
  <c r="BD211" i="3"/>
  <c r="BE211" i="3"/>
  <c r="BF211" i="3"/>
  <c r="BG211" i="3"/>
  <c r="AT212" i="3"/>
  <c r="AW212" i="3" s="1" a="1"/>
  <c r="AW212" i="3" s="1"/>
  <c r="AU212" i="3"/>
  <c r="AV212" i="3" s="1" a="1"/>
  <c r="AV212" i="3" s="1"/>
  <c r="AY212" i="3"/>
  <c r="AZ212" i="3"/>
  <c r="BA212" i="3"/>
  <c r="BB212" i="3"/>
  <c r="BC212" i="3"/>
  <c r="BD212" i="3"/>
  <c r="BE212" i="3"/>
  <c r="BF212" i="3"/>
  <c r="BG212" i="3"/>
  <c r="AT213" i="3"/>
  <c r="AU213" i="3"/>
  <c r="AV213" i="3" s="1" a="1"/>
  <c r="AV213" i="3" s="1"/>
  <c r="AY213" i="3"/>
  <c r="AZ213" i="3"/>
  <c r="BA213" i="3"/>
  <c r="BB213" i="3"/>
  <c r="BC213" i="3"/>
  <c r="BD213" i="3"/>
  <c r="BE213" i="3"/>
  <c r="BF213" i="3"/>
  <c r="BG213" i="3"/>
  <c r="AT214" i="3"/>
  <c r="AX214" i="3" s="1" a="1"/>
  <c r="AX214" i="3" s="1"/>
  <c r="AU214" i="3"/>
  <c r="AV214" i="3" s="1" a="1"/>
  <c r="AV214" i="3" s="1"/>
  <c r="AY214" i="3"/>
  <c r="AZ214" i="3"/>
  <c r="BA214" i="3"/>
  <c r="BB214" i="3"/>
  <c r="BC214" i="3"/>
  <c r="BD214" i="3"/>
  <c r="BE214" i="3"/>
  <c r="BF214" i="3"/>
  <c r="BG214" i="3"/>
  <c r="AT215" i="3"/>
  <c r="AY215" i="3"/>
  <c r="AZ215" i="3"/>
  <c r="BA215" i="3"/>
  <c r="BB215" i="3"/>
  <c r="BC215" i="3"/>
  <c r="BD215" i="3"/>
  <c r="BE215" i="3"/>
  <c r="BF215" i="3"/>
  <c r="BG215" i="3"/>
  <c r="AT216" i="3"/>
  <c r="AX216" i="3" s="1" a="1"/>
  <c r="AX216" i="3" s="1"/>
  <c r="AU216" i="3"/>
  <c r="AV216" i="3" s="1" a="1"/>
  <c r="AV216" i="3" s="1"/>
  <c r="AY216" i="3"/>
  <c r="AZ216" i="3"/>
  <c r="BA216" i="3"/>
  <c r="BB216" i="3"/>
  <c r="BC216" i="3"/>
  <c r="BD216" i="3"/>
  <c r="BE216" i="3"/>
  <c r="BF216" i="3"/>
  <c r="BG216" i="3"/>
  <c r="AT217" i="3"/>
  <c r="AW217" i="3" s="1" a="1"/>
  <c r="AW217" i="3" s="1"/>
  <c r="AU217" i="3"/>
  <c r="AV217" i="3" s="1" a="1"/>
  <c r="AV217" i="3" s="1"/>
  <c r="AY217" i="3"/>
  <c r="AZ217" i="3"/>
  <c r="BA217" i="3"/>
  <c r="BB217" i="3"/>
  <c r="BC217" i="3"/>
  <c r="BD217" i="3"/>
  <c r="BE217" i="3"/>
  <c r="BF217" i="3"/>
  <c r="BG217" i="3"/>
  <c r="AT218" i="3"/>
  <c r="AW218" i="3" s="1" a="1"/>
  <c r="AW218" i="3" s="1"/>
  <c r="AU218" i="3"/>
  <c r="AV218" i="3" s="1" a="1"/>
  <c r="AV218" i="3" s="1"/>
  <c r="AY218" i="3"/>
  <c r="AZ218" i="3"/>
  <c r="BA218" i="3"/>
  <c r="BB218" i="3"/>
  <c r="BC218" i="3"/>
  <c r="BD218" i="3"/>
  <c r="BE218" i="3"/>
  <c r="BF218" i="3"/>
  <c r="BG218" i="3"/>
  <c r="AT219" i="3"/>
  <c r="AW219" i="3" s="1" a="1"/>
  <c r="AW219" i="3" s="1"/>
  <c r="AU219" i="3"/>
  <c r="AV219" i="3" s="1" a="1"/>
  <c r="AV219" i="3" s="1"/>
  <c r="AY219" i="3"/>
  <c r="AZ219" i="3"/>
  <c r="BA219" i="3"/>
  <c r="BB219" i="3"/>
  <c r="BC219" i="3"/>
  <c r="BD219" i="3"/>
  <c r="BE219" i="3"/>
  <c r="BF219" i="3"/>
  <c r="BG219" i="3"/>
  <c r="AT220" i="3"/>
  <c r="AW220" i="3" s="1" a="1"/>
  <c r="AW220" i="3" s="1"/>
  <c r="AU220" i="3"/>
  <c r="AV220" i="3" s="1" a="1"/>
  <c r="AV220" i="3" s="1"/>
  <c r="AY220" i="3"/>
  <c r="AZ220" i="3"/>
  <c r="BA220" i="3"/>
  <c r="BB220" i="3"/>
  <c r="BC220" i="3"/>
  <c r="BD220" i="3"/>
  <c r="BE220" i="3"/>
  <c r="BF220" i="3"/>
  <c r="BG220" i="3"/>
  <c r="AT221" i="3"/>
  <c r="AU221" i="3" s="1"/>
  <c r="AV221" i="3" s="1" a="1"/>
  <c r="AV221" i="3" s="1"/>
  <c r="AY221" i="3"/>
  <c r="AZ221" i="3"/>
  <c r="BA221" i="3"/>
  <c r="BB221" i="3"/>
  <c r="BC221" i="3"/>
  <c r="BD221" i="3"/>
  <c r="BE221" i="3"/>
  <c r="BF221" i="3"/>
  <c r="BG221" i="3"/>
  <c r="AT222" i="3"/>
  <c r="AW222" i="3" s="1" a="1"/>
  <c r="AW222" i="3" s="1"/>
  <c r="AY222" i="3"/>
  <c r="AZ222" i="3"/>
  <c r="BA222" i="3"/>
  <c r="BB222" i="3"/>
  <c r="BC222" i="3"/>
  <c r="BD222" i="3"/>
  <c r="BE222" i="3"/>
  <c r="BF222" i="3"/>
  <c r="BG222" i="3"/>
  <c r="AT223" i="3"/>
  <c r="AW223" i="3" s="1" a="1"/>
  <c r="AW223" i="3" s="1"/>
  <c r="AU223" i="3"/>
  <c r="AV223" i="3" s="1" a="1"/>
  <c r="AV223" i="3" s="1"/>
  <c r="AY223" i="3"/>
  <c r="AZ223" i="3"/>
  <c r="BA223" i="3"/>
  <c r="BB223" i="3"/>
  <c r="BC223" i="3"/>
  <c r="BD223" i="3"/>
  <c r="BE223" i="3"/>
  <c r="BF223" i="3"/>
  <c r="BG223" i="3"/>
  <c r="AT224" i="3"/>
  <c r="AU224" i="3" s="1"/>
  <c r="AV224" i="3" s="1" a="1"/>
  <c r="AV224" i="3" s="1"/>
  <c r="AY224" i="3"/>
  <c r="AZ224" i="3"/>
  <c r="BA224" i="3"/>
  <c r="BB224" i="3"/>
  <c r="BC224" i="3"/>
  <c r="BD224" i="3"/>
  <c r="BE224" i="3"/>
  <c r="BF224" i="3"/>
  <c r="BG224" i="3"/>
  <c r="AT225" i="3"/>
  <c r="AY225" i="3"/>
  <c r="AZ225" i="3"/>
  <c r="BA225" i="3"/>
  <c r="BB225" i="3"/>
  <c r="BC225" i="3"/>
  <c r="BD225" i="3"/>
  <c r="BE225" i="3"/>
  <c r="BF225" i="3"/>
  <c r="BG225" i="3"/>
  <c r="AT226" i="3"/>
  <c r="AW226" i="3" s="1" a="1"/>
  <c r="AW226" i="3" s="1"/>
  <c r="AU226" i="3"/>
  <c r="AV226" i="3" s="1" a="1"/>
  <c r="AV226" i="3" s="1"/>
  <c r="AY226" i="3"/>
  <c r="AZ226" i="3"/>
  <c r="BA226" i="3"/>
  <c r="BB226" i="3"/>
  <c r="BC226" i="3"/>
  <c r="BD226" i="3"/>
  <c r="BE226" i="3"/>
  <c r="BF226" i="3"/>
  <c r="BG226" i="3"/>
  <c r="AT227" i="3"/>
  <c r="AX227" i="3" s="1" a="1"/>
  <c r="AX227" i="3" s="1"/>
  <c r="AU227" i="3"/>
  <c r="AV227" i="3" s="1" a="1"/>
  <c r="AV227" i="3" s="1"/>
  <c r="AY227" i="3"/>
  <c r="AZ227" i="3"/>
  <c r="BA227" i="3"/>
  <c r="BB227" i="3"/>
  <c r="BC227" i="3"/>
  <c r="BD227" i="3"/>
  <c r="BE227" i="3"/>
  <c r="BF227" i="3"/>
  <c r="BG227" i="3"/>
  <c r="AT228" i="3"/>
  <c r="AW228" i="3" s="1" a="1"/>
  <c r="AW228" i="3" s="1"/>
  <c r="AU228" i="3"/>
  <c r="AV228" i="3" s="1" a="1"/>
  <c r="AV228" i="3" s="1"/>
  <c r="AY228" i="3"/>
  <c r="AZ228" i="3"/>
  <c r="BA228" i="3"/>
  <c r="BB228" i="3"/>
  <c r="BC228" i="3"/>
  <c r="BD228" i="3"/>
  <c r="BE228" i="3"/>
  <c r="BF228" i="3"/>
  <c r="BG228" i="3"/>
  <c r="AT229" i="3"/>
  <c r="AU229" i="3" s="1"/>
  <c r="AV229" i="3" s="1" a="1"/>
  <c r="AV229" i="3" s="1"/>
  <c r="AY229" i="3"/>
  <c r="AZ229" i="3"/>
  <c r="BA229" i="3"/>
  <c r="BB229" i="3"/>
  <c r="BC229" i="3"/>
  <c r="BD229" i="3"/>
  <c r="BE229" i="3"/>
  <c r="BF229" i="3"/>
  <c r="BG229" i="3"/>
  <c r="AT230" i="3"/>
  <c r="AW230" i="3" s="1" a="1"/>
  <c r="AW230" i="3" s="1"/>
  <c r="AY230" i="3"/>
  <c r="AZ230" i="3"/>
  <c r="BA230" i="3"/>
  <c r="BB230" i="3"/>
  <c r="BC230" i="3"/>
  <c r="BD230" i="3"/>
  <c r="BE230" i="3"/>
  <c r="BF230" i="3"/>
  <c r="BG230" i="3"/>
  <c r="AT231" i="3"/>
  <c r="AU231" i="3" s="1"/>
  <c r="AV231" i="3" s="1" a="1"/>
  <c r="AV231" i="3" s="1"/>
  <c r="AY231" i="3"/>
  <c r="AZ231" i="3"/>
  <c r="BA231" i="3"/>
  <c r="BB231" i="3"/>
  <c r="BC231" i="3"/>
  <c r="BD231" i="3"/>
  <c r="BG231" i="3"/>
  <c r="AT232" i="3"/>
  <c r="AW232" i="3" s="1" a="1"/>
  <c r="AW232" i="3" s="1"/>
  <c r="AU232" i="3"/>
  <c r="AV232" i="3" s="1" a="1"/>
  <c r="AV232" i="3" s="1"/>
  <c r="AY232" i="3"/>
  <c r="AZ232" i="3"/>
  <c r="BA232" i="3"/>
  <c r="BB232" i="3"/>
  <c r="BC232" i="3"/>
  <c r="BD232" i="3"/>
  <c r="BE232" i="3"/>
  <c r="BF232" i="3"/>
  <c r="BG232" i="3"/>
  <c r="AT233" i="3"/>
  <c r="AW233" i="3" s="1" a="1"/>
  <c r="AW233" i="3" s="1"/>
  <c r="AU233" i="3"/>
  <c r="AV233" i="3" s="1" a="1"/>
  <c r="AV233" i="3" s="1"/>
  <c r="AY233" i="3"/>
  <c r="AZ233" i="3"/>
  <c r="BA233" i="3"/>
  <c r="BB233" i="3"/>
  <c r="BC233" i="3"/>
  <c r="BD233" i="3"/>
  <c r="BE233" i="3"/>
  <c r="BF233" i="3"/>
  <c r="BG233" i="3"/>
  <c r="AT234" i="3"/>
  <c r="AW234" i="3" s="1" a="1"/>
  <c r="AW234" i="3" s="1"/>
  <c r="AU234" i="3"/>
  <c r="AV234" i="3" s="1" a="1"/>
  <c r="AV234" i="3" s="1"/>
  <c r="AY234" i="3"/>
  <c r="AZ234" i="3"/>
  <c r="BA234" i="3"/>
  <c r="BB234" i="3"/>
  <c r="BC234" i="3"/>
  <c r="BD234" i="3"/>
  <c r="BE234" i="3"/>
  <c r="BF234" i="3"/>
  <c r="BG234" i="3"/>
  <c r="AT235" i="3"/>
  <c r="AY235" i="3"/>
  <c r="AZ235" i="3"/>
  <c r="BA235" i="3"/>
  <c r="BB235" i="3"/>
  <c r="BC235" i="3"/>
  <c r="BD235" i="3"/>
  <c r="BE235" i="3"/>
  <c r="BF235" i="3"/>
  <c r="BG235" i="3"/>
  <c r="AT236" i="3"/>
  <c r="AU236" i="3" s="1"/>
  <c r="AV236" i="3" s="1" a="1"/>
  <c r="AV236" i="3" s="1"/>
  <c r="AY236" i="3"/>
  <c r="AZ236" i="3"/>
  <c r="BA236" i="3"/>
  <c r="BB236" i="3"/>
  <c r="BC236" i="3"/>
  <c r="BD236" i="3"/>
  <c r="BE236" i="3"/>
  <c r="BF236" i="3"/>
  <c r="BG236" i="3"/>
  <c r="AT237" i="3"/>
  <c r="AY237" i="3"/>
  <c r="AZ237" i="3"/>
  <c r="BA237" i="3"/>
  <c r="BB237" i="3"/>
  <c r="BC237" i="3"/>
  <c r="BD237" i="3"/>
  <c r="BE237" i="3"/>
  <c r="BF237" i="3"/>
  <c r="BG237" i="3"/>
  <c r="AT238" i="3"/>
  <c r="AU238" i="3" s="1"/>
  <c r="AV238" i="3" s="1" a="1"/>
  <c r="AV238" i="3" s="1"/>
  <c r="AY238" i="3"/>
  <c r="AZ238" i="3"/>
  <c r="BA238" i="3"/>
  <c r="BB238" i="3"/>
  <c r="BC238" i="3"/>
  <c r="BD238" i="3"/>
  <c r="BE238" i="3"/>
  <c r="BF238" i="3"/>
  <c r="BG238" i="3"/>
  <c r="AT239" i="3"/>
  <c r="AX239" i="3" s="1" a="1"/>
  <c r="AX239" i="3" s="1"/>
  <c r="AY239" i="3"/>
  <c r="AZ239" i="3"/>
  <c r="BA239" i="3"/>
  <c r="BB239" i="3"/>
  <c r="BC239" i="3"/>
  <c r="BD239" i="3"/>
  <c r="BE239" i="3"/>
  <c r="BF239" i="3"/>
  <c r="BG239" i="3"/>
  <c r="AT240" i="3"/>
  <c r="AU240" i="3" s="1"/>
  <c r="AV240" i="3" s="1" a="1"/>
  <c r="AV240" i="3" s="1"/>
  <c r="AY240" i="3"/>
  <c r="AZ240" i="3"/>
  <c r="BA240" i="3"/>
  <c r="BB240" i="3"/>
  <c r="BC240" i="3"/>
  <c r="BD240" i="3"/>
  <c r="BE240" i="3"/>
  <c r="BF240" i="3"/>
  <c r="BG240" i="3"/>
  <c r="AT241" i="3"/>
  <c r="AU241" i="3" s="1"/>
  <c r="AV241" i="3" s="1" a="1"/>
  <c r="AV241" i="3" s="1"/>
  <c r="AY241" i="3"/>
  <c r="AZ241" i="3"/>
  <c r="BA241" i="3"/>
  <c r="BB241" i="3"/>
  <c r="BC241" i="3"/>
  <c r="BD241" i="3"/>
  <c r="BE241" i="3"/>
  <c r="BF241" i="3"/>
  <c r="BG241" i="3"/>
  <c r="AT242" i="3"/>
  <c r="AW242" i="3" s="1" a="1"/>
  <c r="AW242" i="3" s="1"/>
  <c r="AY242" i="3"/>
  <c r="AZ242" i="3"/>
  <c r="BA242" i="3"/>
  <c r="BB242" i="3"/>
  <c r="BC242" i="3"/>
  <c r="BD242" i="3"/>
  <c r="BE242" i="3"/>
  <c r="BF242" i="3"/>
  <c r="BG242" i="3"/>
  <c r="AT243" i="3"/>
  <c r="AX243" i="3" s="1" a="1"/>
  <c r="AX243" i="3" s="1"/>
  <c r="AY243" i="3"/>
  <c r="AZ243" i="3"/>
  <c r="BA243" i="3"/>
  <c r="BB243" i="3"/>
  <c r="BC243" i="3"/>
  <c r="BD243" i="3"/>
  <c r="BE243" i="3"/>
  <c r="BF243" i="3"/>
  <c r="BG243" i="3"/>
  <c r="AT244" i="3"/>
  <c r="AW244" i="3" s="1" a="1"/>
  <c r="AW244" i="3" s="1"/>
  <c r="AU244" i="3"/>
  <c r="AV244" i="3" s="1" a="1"/>
  <c r="AV244" i="3" s="1"/>
  <c r="AY244" i="3"/>
  <c r="AZ244" i="3"/>
  <c r="BA244" i="3"/>
  <c r="BB244" i="3"/>
  <c r="BC244" i="3"/>
  <c r="BD244" i="3"/>
  <c r="BE244" i="3"/>
  <c r="BF244" i="3"/>
  <c r="BG244" i="3"/>
  <c r="AT245" i="3"/>
  <c r="AU245" i="3" s="1"/>
  <c r="AV245" i="3" s="1" a="1"/>
  <c r="AV245" i="3" s="1"/>
  <c r="AY245" i="3"/>
  <c r="AZ245" i="3"/>
  <c r="BA245" i="3"/>
  <c r="BB245" i="3"/>
  <c r="BC245" i="3"/>
  <c r="BD245" i="3"/>
  <c r="BE245" i="3"/>
  <c r="BF245" i="3"/>
  <c r="BG245" i="3"/>
  <c r="AT246" i="3"/>
  <c r="AX246" i="3" s="1" a="1"/>
  <c r="AX246" i="3" s="1"/>
  <c r="AY246" i="3"/>
  <c r="AZ246" i="3"/>
  <c r="BA246" i="3"/>
  <c r="BB246" i="3"/>
  <c r="BC246" i="3"/>
  <c r="BD246" i="3"/>
  <c r="BE246" i="3"/>
  <c r="BF246" i="3"/>
  <c r="BG246" i="3"/>
  <c r="AT247" i="3"/>
  <c r="AU247" i="3" s="1"/>
  <c r="AV247" i="3" s="1" a="1"/>
  <c r="AV247" i="3" s="1"/>
  <c r="AY247" i="3"/>
  <c r="AZ247" i="3"/>
  <c r="BA247" i="3"/>
  <c r="BB247" i="3"/>
  <c r="BC247" i="3"/>
  <c r="BD247" i="3"/>
  <c r="BE247" i="3"/>
  <c r="BF247" i="3"/>
  <c r="BG247" i="3"/>
  <c r="AT248" i="3"/>
  <c r="AW248" i="3" s="1" a="1"/>
  <c r="AW248" i="3" s="1"/>
  <c r="AU248" i="3"/>
  <c r="AV248" i="3" s="1" a="1"/>
  <c r="AV248" i="3" s="1"/>
  <c r="AY248" i="3"/>
  <c r="AZ248" i="3"/>
  <c r="BA248" i="3"/>
  <c r="BB248" i="3"/>
  <c r="BC248" i="3"/>
  <c r="BD248" i="3"/>
  <c r="BE248" i="3"/>
  <c r="BF248" i="3"/>
  <c r="BG248" i="3"/>
  <c r="AT249" i="3"/>
  <c r="AU249" i="3"/>
  <c r="AV249" i="3" s="1" a="1"/>
  <c r="AV249" i="3" s="1"/>
  <c r="AY249" i="3"/>
  <c r="AZ249" i="3"/>
  <c r="BA249" i="3"/>
  <c r="BB249" i="3"/>
  <c r="BC249" i="3"/>
  <c r="BD249" i="3"/>
  <c r="BE249" i="3"/>
  <c r="BF249" i="3"/>
  <c r="BG249" i="3"/>
  <c r="AT250" i="3"/>
  <c r="AX250" i="3" s="1" a="1"/>
  <c r="AX250" i="3" s="1"/>
  <c r="AU250" i="3"/>
  <c r="AV250" i="3" s="1" a="1"/>
  <c r="AV250" i="3" s="1"/>
  <c r="AY250" i="3"/>
  <c r="AZ250" i="3"/>
  <c r="BA250" i="3"/>
  <c r="BB250" i="3"/>
  <c r="BC250" i="3"/>
  <c r="BD250" i="3"/>
  <c r="BE250" i="3"/>
  <c r="BF250" i="3"/>
  <c r="BG250" i="3"/>
  <c r="AT251" i="3"/>
  <c r="AW251" i="3" s="1" a="1"/>
  <c r="AW251" i="3" s="1"/>
  <c r="AU251" i="3"/>
  <c r="AV251" i="3" s="1" a="1"/>
  <c r="AV251" i="3" s="1"/>
  <c r="AY251" i="3"/>
  <c r="AZ251" i="3"/>
  <c r="BA251" i="3"/>
  <c r="BB251" i="3"/>
  <c r="BC251" i="3"/>
  <c r="BD251" i="3"/>
  <c r="BE251" i="3"/>
  <c r="BF251" i="3"/>
  <c r="BG251" i="3"/>
  <c r="AT252" i="3"/>
  <c r="AW252" i="3" s="1" a="1"/>
  <c r="AW252" i="3" s="1"/>
  <c r="AU252" i="3"/>
  <c r="AV252" i="3" s="1" a="1"/>
  <c r="AV252" i="3" s="1"/>
  <c r="AY252" i="3"/>
  <c r="AZ252" i="3"/>
  <c r="BA252" i="3"/>
  <c r="BB252" i="3"/>
  <c r="BC252" i="3"/>
  <c r="BD252" i="3"/>
  <c r="BE252" i="3"/>
  <c r="BF252" i="3"/>
  <c r="BG252" i="3"/>
  <c r="AT253" i="3"/>
  <c r="AX253" i="3" s="1" a="1"/>
  <c r="AX253" i="3" s="1"/>
  <c r="AU253" i="3"/>
  <c r="AV253" i="3" s="1" a="1"/>
  <c r="AV253" i="3" s="1"/>
  <c r="AY253" i="3"/>
  <c r="AZ253" i="3"/>
  <c r="BA253" i="3"/>
  <c r="BB253" i="3"/>
  <c r="BC253" i="3"/>
  <c r="BD253" i="3"/>
  <c r="BE253" i="3"/>
  <c r="BF253" i="3"/>
  <c r="BG253" i="3"/>
  <c r="AT254" i="3"/>
  <c r="AW254" i="3" s="1" a="1"/>
  <c r="AW254" i="3" s="1"/>
  <c r="AU254" i="3"/>
  <c r="AV254" i="3" s="1" a="1"/>
  <c r="AV254" i="3" s="1"/>
  <c r="AY254" i="3"/>
  <c r="AZ254" i="3"/>
  <c r="BA254" i="3"/>
  <c r="BB254" i="3"/>
  <c r="BC254" i="3"/>
  <c r="BD254" i="3"/>
  <c r="BE254" i="3"/>
  <c r="BF254" i="3"/>
  <c r="BG254" i="3"/>
  <c r="AT255" i="3"/>
  <c r="AW255" i="3" s="1" a="1"/>
  <c r="AW255" i="3" s="1"/>
  <c r="AU255" i="3"/>
  <c r="AV255" i="3" s="1" a="1"/>
  <c r="AV255" i="3" s="1"/>
  <c r="AY255" i="3"/>
  <c r="AZ255" i="3"/>
  <c r="BA255" i="3"/>
  <c r="BB255" i="3"/>
  <c r="BC255" i="3"/>
  <c r="BD255" i="3"/>
  <c r="BE255" i="3"/>
  <c r="BF255" i="3"/>
  <c r="BG255" i="3"/>
  <c r="AT256" i="3"/>
  <c r="AW256" i="3" s="1" a="1"/>
  <c r="AW256" i="3" s="1"/>
  <c r="AU256" i="3"/>
  <c r="AV256" i="3" s="1" a="1"/>
  <c r="AV256" i="3" s="1"/>
  <c r="AY256" i="3"/>
  <c r="AZ256" i="3"/>
  <c r="BA256" i="3"/>
  <c r="BB256" i="3"/>
  <c r="BC256" i="3"/>
  <c r="BD256" i="3"/>
  <c r="BE256" i="3"/>
  <c r="BF256" i="3"/>
  <c r="BG256" i="3"/>
  <c r="AT257" i="3"/>
  <c r="AW257" i="3" s="1" a="1"/>
  <c r="AW257" i="3" s="1"/>
  <c r="AU257" i="3"/>
  <c r="AV257" i="3" s="1" a="1"/>
  <c r="AV257" i="3" s="1"/>
  <c r="AY257" i="3"/>
  <c r="AZ257" i="3"/>
  <c r="BA257" i="3"/>
  <c r="BB257" i="3"/>
  <c r="BC257" i="3"/>
  <c r="BD257" i="3"/>
  <c r="BE257" i="3"/>
  <c r="BF257" i="3"/>
  <c r="BG257" i="3"/>
  <c r="AT258" i="3"/>
  <c r="AX258" i="3" s="1" a="1"/>
  <c r="AX258" i="3" s="1"/>
  <c r="AU258" i="3"/>
  <c r="AV258" i="3" s="1" a="1"/>
  <c r="AV258" i="3" s="1"/>
  <c r="AY258" i="3"/>
  <c r="AZ258" i="3"/>
  <c r="BA258" i="3"/>
  <c r="BB258" i="3"/>
  <c r="BC258" i="3"/>
  <c r="BD258" i="3"/>
  <c r="BE258" i="3"/>
  <c r="BF258" i="3"/>
  <c r="BG258" i="3"/>
  <c r="AT259" i="3"/>
  <c r="AU259" i="3"/>
  <c r="AV259" i="3" s="1" a="1"/>
  <c r="AV259" i="3" s="1"/>
  <c r="AY259" i="3"/>
  <c r="AZ259" i="3"/>
  <c r="BA259" i="3"/>
  <c r="BB259" i="3"/>
  <c r="BC259" i="3"/>
  <c r="BD259" i="3"/>
  <c r="BE259" i="3"/>
  <c r="BF259" i="3"/>
  <c r="BG259" i="3"/>
  <c r="AT260" i="3"/>
  <c r="AW260" i="3" s="1" a="1"/>
  <c r="AW260" i="3" s="1"/>
  <c r="AU260" i="3"/>
  <c r="AV260" i="3" s="1" a="1"/>
  <c r="AV260" i="3" s="1"/>
  <c r="AY260" i="3"/>
  <c r="AZ260" i="3"/>
  <c r="BA260" i="3"/>
  <c r="BB260" i="3"/>
  <c r="BC260" i="3"/>
  <c r="BD260" i="3"/>
  <c r="BE260" i="3"/>
  <c r="BF260" i="3"/>
  <c r="BG260" i="3"/>
  <c r="AT261" i="3"/>
  <c r="AU261" i="3"/>
  <c r="AV261" i="3" s="1" a="1"/>
  <c r="AV261" i="3" s="1"/>
  <c r="AY261" i="3"/>
  <c r="AZ261" i="3"/>
  <c r="BA261" i="3"/>
  <c r="BB261" i="3"/>
  <c r="BC261" i="3"/>
  <c r="BD261" i="3"/>
  <c r="BE261" i="3"/>
  <c r="BF261" i="3"/>
  <c r="BG261" i="3"/>
  <c r="AT262" i="3"/>
  <c r="AW262" i="3" s="1" a="1"/>
  <c r="AW262" i="3" s="1"/>
  <c r="AU262" i="3"/>
  <c r="AV262" i="3" s="1" a="1"/>
  <c r="AV262" i="3" s="1"/>
  <c r="AY262" i="3"/>
  <c r="AZ262" i="3"/>
  <c r="BA262" i="3"/>
  <c r="BB262" i="3"/>
  <c r="BC262" i="3"/>
  <c r="BD262" i="3"/>
  <c r="BE262" i="3"/>
  <c r="BF262" i="3"/>
  <c r="BG262" i="3"/>
  <c r="AT263" i="3"/>
  <c r="AW263" i="3" s="1" a="1"/>
  <c r="AW263" i="3" s="1"/>
  <c r="AU263" i="3"/>
  <c r="AV263" i="3" s="1" a="1"/>
  <c r="AV263" i="3" s="1"/>
  <c r="AY263" i="3"/>
  <c r="AZ263" i="3"/>
  <c r="BA263" i="3"/>
  <c r="BB263" i="3"/>
  <c r="BC263" i="3"/>
  <c r="BD263" i="3"/>
  <c r="BE263" i="3"/>
  <c r="BF263" i="3"/>
  <c r="BG263" i="3"/>
  <c r="AT264" i="3"/>
  <c r="AW264" i="3" s="1" a="1"/>
  <c r="AW264" i="3" s="1"/>
  <c r="AU264" i="3"/>
  <c r="AV264" i="3" s="1" a="1"/>
  <c r="AV264" i="3" s="1"/>
  <c r="AY264" i="3"/>
  <c r="AZ264" i="3"/>
  <c r="BA264" i="3"/>
  <c r="BB264" i="3"/>
  <c r="BC264" i="3"/>
  <c r="BD264" i="3"/>
  <c r="BE264" i="3"/>
  <c r="BF264" i="3"/>
  <c r="BG264" i="3"/>
  <c r="AT265" i="3"/>
  <c r="AW265" i="3" s="1" a="1"/>
  <c r="AW265" i="3" s="1"/>
  <c r="AU265" i="3"/>
  <c r="AV265" i="3" s="1" a="1"/>
  <c r="AV265" i="3" s="1"/>
  <c r="AY265" i="3"/>
  <c r="AZ265" i="3"/>
  <c r="BA265" i="3"/>
  <c r="BB265" i="3"/>
  <c r="BC265" i="3"/>
  <c r="BD265" i="3"/>
  <c r="BE265" i="3"/>
  <c r="BF265" i="3"/>
  <c r="BG265" i="3"/>
  <c r="AT266" i="3"/>
  <c r="AW266" i="3" s="1" a="1"/>
  <c r="AW266" i="3" s="1"/>
  <c r="AU266" i="3"/>
  <c r="AV266" i="3" s="1" a="1"/>
  <c r="AV266" i="3" s="1"/>
  <c r="AY266" i="3"/>
  <c r="AZ266" i="3"/>
  <c r="BA266" i="3"/>
  <c r="BB266" i="3"/>
  <c r="BC266" i="3"/>
  <c r="BD266" i="3"/>
  <c r="BE266" i="3"/>
  <c r="BF266" i="3"/>
  <c r="BG266" i="3"/>
  <c r="AT267" i="3"/>
  <c r="AW267" i="3" s="1" a="1"/>
  <c r="AW267" i="3" s="1"/>
  <c r="AU267" i="3"/>
  <c r="AV267" i="3" s="1" a="1"/>
  <c r="AV267" i="3" s="1"/>
  <c r="AY267" i="3"/>
  <c r="AZ267" i="3"/>
  <c r="BA267" i="3"/>
  <c r="BB267" i="3"/>
  <c r="BC267" i="3"/>
  <c r="BD267" i="3"/>
  <c r="BE267" i="3"/>
  <c r="BF267" i="3"/>
  <c r="BG267" i="3"/>
  <c r="AT268" i="3"/>
  <c r="AW268" i="3" s="1" a="1"/>
  <c r="AW268" i="3" s="1"/>
  <c r="AU268" i="3"/>
  <c r="AV268" i="3" s="1" a="1"/>
  <c r="AV268" i="3" s="1"/>
  <c r="AY268" i="3"/>
  <c r="AZ268" i="3"/>
  <c r="BA268" i="3"/>
  <c r="BB268" i="3"/>
  <c r="BC268" i="3"/>
  <c r="BD268" i="3"/>
  <c r="BE268" i="3"/>
  <c r="BF268" i="3"/>
  <c r="BG268" i="3"/>
  <c r="AT269" i="3"/>
  <c r="AX269" i="3" s="1" a="1"/>
  <c r="AX269" i="3" s="1"/>
  <c r="AU269" i="3"/>
  <c r="AV269" i="3" s="1" a="1"/>
  <c r="AV269" i="3" s="1"/>
  <c r="AY269" i="3"/>
  <c r="AZ269" i="3"/>
  <c r="BA269" i="3"/>
  <c r="BB269" i="3"/>
  <c r="BC269" i="3"/>
  <c r="BD269" i="3"/>
  <c r="BE269" i="3"/>
  <c r="BF269" i="3"/>
  <c r="BG269" i="3"/>
  <c r="AT270" i="3"/>
  <c r="AW270" i="3" s="1" a="1"/>
  <c r="AW270" i="3" s="1"/>
  <c r="AU270" i="3"/>
  <c r="AV270" i="3" s="1" a="1"/>
  <c r="AV270" i="3" s="1"/>
  <c r="AY270" i="3"/>
  <c r="AZ270" i="3"/>
  <c r="BA270" i="3"/>
  <c r="BB270" i="3"/>
  <c r="BC270" i="3"/>
  <c r="BD270" i="3"/>
  <c r="BE270" i="3"/>
  <c r="BF270" i="3"/>
  <c r="BG270" i="3"/>
  <c r="AT271" i="3"/>
  <c r="AX271" i="3" s="1" a="1"/>
  <c r="AX271" i="3" s="1"/>
  <c r="AU271" i="3"/>
  <c r="AV271" i="3" s="1" a="1"/>
  <c r="AV271" i="3" s="1"/>
  <c r="AY271" i="3"/>
  <c r="AZ271" i="3"/>
  <c r="BA271" i="3"/>
  <c r="BB271" i="3"/>
  <c r="BC271" i="3"/>
  <c r="BD271" i="3"/>
  <c r="BE271" i="3"/>
  <c r="BF271" i="3"/>
  <c r="BG271" i="3"/>
  <c r="AT272" i="3"/>
  <c r="AW272" i="3" s="1" a="1"/>
  <c r="AW272" i="3" s="1"/>
  <c r="AU272" i="3"/>
  <c r="AV272" i="3" s="1" a="1"/>
  <c r="AV272" i="3" s="1"/>
  <c r="AY272" i="3"/>
  <c r="AZ272" i="3"/>
  <c r="BA272" i="3"/>
  <c r="BB272" i="3"/>
  <c r="BC272" i="3"/>
  <c r="BD272" i="3"/>
  <c r="BE272" i="3"/>
  <c r="BF272" i="3"/>
  <c r="BG272" i="3"/>
  <c r="AT273" i="3"/>
  <c r="AX273" i="3" s="1" a="1"/>
  <c r="AX273" i="3" s="1"/>
  <c r="AU273" i="3"/>
  <c r="AV273" i="3" s="1" a="1"/>
  <c r="AV273" i="3" s="1"/>
  <c r="AY273" i="3"/>
  <c r="AZ273" i="3"/>
  <c r="BA273" i="3"/>
  <c r="BB273" i="3"/>
  <c r="BC273" i="3"/>
  <c r="BD273" i="3"/>
  <c r="BE273" i="3"/>
  <c r="BF273" i="3"/>
  <c r="BG273" i="3"/>
  <c r="AT274" i="3"/>
  <c r="AW274" i="3" s="1" a="1"/>
  <c r="AW274" i="3" s="1"/>
  <c r="AU274" i="3"/>
  <c r="AV274" i="3" s="1" a="1"/>
  <c r="AV274" i="3" s="1"/>
  <c r="AY274" i="3"/>
  <c r="AZ274" i="3"/>
  <c r="BA274" i="3"/>
  <c r="BB274" i="3"/>
  <c r="BC274" i="3"/>
  <c r="BD274" i="3"/>
  <c r="BE274" i="3"/>
  <c r="BF274" i="3"/>
  <c r="BG274" i="3"/>
  <c r="AT275" i="3"/>
  <c r="AW275" i="3" s="1" a="1"/>
  <c r="AW275" i="3" s="1"/>
  <c r="AU275" i="3"/>
  <c r="AV275" i="3" s="1" a="1"/>
  <c r="AV275" i="3" s="1"/>
  <c r="AY275" i="3"/>
  <c r="AZ275" i="3"/>
  <c r="BA275" i="3"/>
  <c r="BB275" i="3"/>
  <c r="BC275" i="3"/>
  <c r="BD275" i="3"/>
  <c r="BE275" i="3"/>
  <c r="BF275" i="3"/>
  <c r="BG275" i="3"/>
  <c r="AT276" i="3"/>
  <c r="AW276" i="3" s="1" a="1"/>
  <c r="AW276" i="3" s="1"/>
  <c r="AU276" i="3"/>
  <c r="AV276" i="3" s="1" a="1"/>
  <c r="AV276" i="3" s="1"/>
  <c r="AY276" i="3"/>
  <c r="AZ276" i="3"/>
  <c r="BA276" i="3"/>
  <c r="BB276" i="3"/>
  <c r="BC276" i="3"/>
  <c r="BD276" i="3"/>
  <c r="BE276" i="3"/>
  <c r="BF276" i="3"/>
  <c r="BG276" i="3"/>
  <c r="AT277" i="3"/>
  <c r="AW277" i="3" s="1" a="1"/>
  <c r="AW277" i="3" s="1"/>
  <c r="AU277" i="3"/>
  <c r="AV277" i="3" s="1" a="1"/>
  <c r="AV277" i="3" s="1"/>
  <c r="AY277" i="3"/>
  <c r="AZ277" i="3"/>
  <c r="BA277" i="3"/>
  <c r="BB277" i="3"/>
  <c r="BC277" i="3"/>
  <c r="BD277" i="3"/>
  <c r="BE277" i="3"/>
  <c r="BF277" i="3"/>
  <c r="BG277" i="3"/>
  <c r="AT278" i="3"/>
  <c r="AW278" i="3" s="1" a="1"/>
  <c r="AW278" i="3" s="1"/>
  <c r="AU278" i="3"/>
  <c r="AV278" i="3" s="1" a="1"/>
  <c r="AV278" i="3" s="1"/>
  <c r="AY278" i="3"/>
  <c r="AZ278" i="3"/>
  <c r="BA278" i="3"/>
  <c r="BB278" i="3"/>
  <c r="BC278" i="3"/>
  <c r="BD278" i="3"/>
  <c r="BE278" i="3"/>
  <c r="BF278" i="3"/>
  <c r="BG278" i="3"/>
  <c r="AT279" i="3"/>
  <c r="AX279" i="3" s="1" a="1"/>
  <c r="AX279" i="3" s="1"/>
  <c r="AU279" i="3"/>
  <c r="AV279" i="3" s="1" a="1"/>
  <c r="AV279" i="3" s="1"/>
  <c r="AY279" i="3"/>
  <c r="AZ279" i="3"/>
  <c r="BA279" i="3"/>
  <c r="BB279" i="3"/>
  <c r="BC279" i="3"/>
  <c r="BD279" i="3"/>
  <c r="BE279" i="3"/>
  <c r="BF279" i="3"/>
  <c r="BG279" i="3"/>
  <c r="AT280" i="3"/>
  <c r="AW280" i="3" s="1" a="1"/>
  <c r="AW280" i="3" s="1"/>
  <c r="AU280" i="3"/>
  <c r="AV280" i="3" s="1" a="1"/>
  <c r="AV280" i="3" s="1"/>
  <c r="AY280" i="3"/>
  <c r="AZ280" i="3"/>
  <c r="BA280" i="3"/>
  <c r="BB280" i="3"/>
  <c r="BC280" i="3"/>
  <c r="BD280" i="3"/>
  <c r="BE280" i="3"/>
  <c r="BF280" i="3"/>
  <c r="BG280" i="3"/>
  <c r="AT281" i="3"/>
  <c r="AW281" i="3" s="1" a="1"/>
  <c r="AW281" i="3" s="1"/>
  <c r="AU281" i="3"/>
  <c r="AV281" i="3" s="1" a="1"/>
  <c r="AV281" i="3" s="1"/>
  <c r="AY281" i="3"/>
  <c r="AZ281" i="3"/>
  <c r="BA281" i="3"/>
  <c r="BB281" i="3"/>
  <c r="BC281" i="3"/>
  <c r="BD281" i="3"/>
  <c r="BE281" i="3"/>
  <c r="BF281" i="3"/>
  <c r="BG281" i="3"/>
  <c r="AT282" i="3"/>
  <c r="AW282" i="3" s="1" a="1"/>
  <c r="AW282" i="3" s="1"/>
  <c r="AU282" i="3"/>
  <c r="AV282" i="3" s="1" a="1"/>
  <c r="AV282" i="3" s="1"/>
  <c r="AY282" i="3"/>
  <c r="AZ282" i="3"/>
  <c r="BA282" i="3"/>
  <c r="BB282" i="3"/>
  <c r="BC282" i="3"/>
  <c r="BD282" i="3"/>
  <c r="BE282" i="3"/>
  <c r="BF282" i="3"/>
  <c r="BG282" i="3"/>
  <c r="AT283" i="3"/>
  <c r="AW283" i="3" s="1" a="1"/>
  <c r="AW283" i="3" s="1"/>
  <c r="AU283" i="3"/>
  <c r="AV283" i="3" s="1" a="1"/>
  <c r="AV283" i="3" s="1"/>
  <c r="AY283" i="3"/>
  <c r="AZ283" i="3"/>
  <c r="BA283" i="3"/>
  <c r="BB283" i="3"/>
  <c r="BC283" i="3"/>
  <c r="BD283" i="3"/>
  <c r="BE283" i="3"/>
  <c r="BF283" i="3"/>
  <c r="BG283" i="3"/>
  <c r="AT284" i="3"/>
  <c r="AW284" i="3" s="1" a="1"/>
  <c r="AW284" i="3" s="1"/>
  <c r="AU284" i="3"/>
  <c r="AV284" i="3" s="1" a="1"/>
  <c r="AV284" i="3" s="1"/>
  <c r="AY284" i="3"/>
  <c r="AZ284" i="3"/>
  <c r="BA284" i="3"/>
  <c r="BB284" i="3"/>
  <c r="BC284" i="3"/>
  <c r="BD284" i="3"/>
  <c r="BE284" i="3"/>
  <c r="BF284" i="3"/>
  <c r="BG284" i="3"/>
  <c r="AT285" i="3"/>
  <c r="AW285" i="3" s="1" a="1"/>
  <c r="AW285" i="3" s="1"/>
  <c r="AU285" i="3"/>
  <c r="AV285" i="3" s="1" a="1"/>
  <c r="AV285" i="3" s="1"/>
  <c r="AY285" i="3"/>
  <c r="AZ285" i="3"/>
  <c r="BA285" i="3"/>
  <c r="BB285" i="3"/>
  <c r="BC285" i="3"/>
  <c r="BD285" i="3"/>
  <c r="BE285" i="3"/>
  <c r="BF285" i="3"/>
  <c r="BG285" i="3"/>
  <c r="AT286" i="3"/>
  <c r="AX286" i="3" s="1" a="1"/>
  <c r="AX286" i="3" s="1"/>
  <c r="AU286" i="3"/>
  <c r="AV286" i="3" s="1" a="1"/>
  <c r="AV286" i="3" s="1"/>
  <c r="AY286" i="3"/>
  <c r="AZ286" i="3"/>
  <c r="BA286" i="3"/>
  <c r="BB286" i="3"/>
  <c r="BC286" i="3"/>
  <c r="BD286" i="3"/>
  <c r="BE286" i="3"/>
  <c r="BF286" i="3"/>
  <c r="BG286" i="3"/>
  <c r="AT287" i="3"/>
  <c r="AW287" i="3" s="1" a="1"/>
  <c r="AW287" i="3" s="1"/>
  <c r="AU287" i="3"/>
  <c r="AV287" i="3" s="1" a="1"/>
  <c r="AV287" i="3" s="1"/>
  <c r="AY287" i="3"/>
  <c r="AZ287" i="3"/>
  <c r="BA287" i="3"/>
  <c r="BB287" i="3"/>
  <c r="BC287" i="3"/>
  <c r="BD287" i="3"/>
  <c r="BE287" i="3"/>
  <c r="BF287" i="3"/>
  <c r="BG287" i="3"/>
  <c r="AT288" i="3"/>
  <c r="AX288" i="3" s="1" a="1"/>
  <c r="AX288" i="3" s="1"/>
  <c r="AU288" i="3"/>
  <c r="AV288" i="3" s="1" a="1"/>
  <c r="AV288" i="3" s="1"/>
  <c r="AY288" i="3"/>
  <c r="AZ288" i="3"/>
  <c r="BA288" i="3"/>
  <c r="BB288" i="3"/>
  <c r="BC288" i="3"/>
  <c r="BD288" i="3"/>
  <c r="BE288" i="3"/>
  <c r="BF288" i="3"/>
  <c r="BG288" i="3"/>
  <c r="AT289" i="3"/>
  <c r="AW289" i="3" s="1" a="1"/>
  <c r="AW289" i="3" s="1"/>
  <c r="AU289" i="3"/>
  <c r="AV289" i="3" s="1" a="1"/>
  <c r="AV289" i="3" s="1"/>
  <c r="AY289" i="3"/>
  <c r="AZ289" i="3"/>
  <c r="BA289" i="3"/>
  <c r="BB289" i="3"/>
  <c r="BC289" i="3"/>
  <c r="BD289" i="3"/>
  <c r="BE289" i="3"/>
  <c r="BF289" i="3"/>
  <c r="BG289" i="3"/>
  <c r="AT290" i="3"/>
  <c r="AW290" i="3" s="1" a="1"/>
  <c r="AW290" i="3" s="1"/>
  <c r="AU290" i="3"/>
  <c r="AV290" i="3" s="1" a="1"/>
  <c r="AV290" i="3" s="1"/>
  <c r="AY290" i="3"/>
  <c r="AZ290" i="3"/>
  <c r="BA290" i="3"/>
  <c r="BB290" i="3"/>
  <c r="BC290" i="3"/>
  <c r="BD290" i="3"/>
  <c r="BE290" i="3"/>
  <c r="BF290" i="3"/>
  <c r="BG290" i="3"/>
  <c r="AT291" i="3"/>
  <c r="AW291" i="3" s="1" a="1"/>
  <c r="AW291" i="3" s="1"/>
  <c r="AU291" i="3"/>
  <c r="AV291" i="3" s="1" a="1"/>
  <c r="AV291" i="3" s="1"/>
  <c r="AY291" i="3"/>
  <c r="AZ291" i="3"/>
  <c r="BA291" i="3"/>
  <c r="BB291" i="3"/>
  <c r="BC291" i="3"/>
  <c r="BD291" i="3"/>
  <c r="BE291" i="3"/>
  <c r="BF291" i="3"/>
  <c r="BG291" i="3"/>
  <c r="AT292" i="3"/>
  <c r="AW292" i="3" s="1" a="1"/>
  <c r="AW292" i="3" s="1"/>
  <c r="AU292" i="3"/>
  <c r="AV292" i="3" s="1" a="1"/>
  <c r="AV292" i="3" s="1"/>
  <c r="AY292" i="3"/>
  <c r="AZ292" i="3"/>
  <c r="BA292" i="3"/>
  <c r="BB292" i="3"/>
  <c r="BC292" i="3"/>
  <c r="BD292" i="3"/>
  <c r="BE292" i="3"/>
  <c r="BF292" i="3"/>
  <c r="BG292" i="3"/>
  <c r="AT293" i="3"/>
  <c r="AW293" i="3" s="1" a="1"/>
  <c r="AW293" i="3" s="1"/>
  <c r="AU293" i="3"/>
  <c r="AV293" i="3" s="1" a="1"/>
  <c r="AV293" i="3" s="1"/>
  <c r="AY293" i="3"/>
  <c r="AZ293" i="3"/>
  <c r="BA293" i="3"/>
  <c r="BB293" i="3"/>
  <c r="BC293" i="3"/>
  <c r="BD293" i="3"/>
  <c r="BE293" i="3"/>
  <c r="BF293" i="3"/>
  <c r="BG293" i="3"/>
  <c r="AT294" i="3"/>
  <c r="AX294" i="3" s="1" a="1"/>
  <c r="AX294" i="3" s="1"/>
  <c r="AU294" i="3"/>
  <c r="AV294" i="3" s="1" a="1"/>
  <c r="AV294" i="3" s="1"/>
  <c r="AY294" i="3"/>
  <c r="AZ294" i="3"/>
  <c r="BA294" i="3"/>
  <c r="BB294" i="3"/>
  <c r="BC294" i="3"/>
  <c r="BD294" i="3"/>
  <c r="BE294" i="3"/>
  <c r="BF294" i="3"/>
  <c r="BG294" i="3"/>
  <c r="AT295" i="3"/>
  <c r="AU295" i="3"/>
  <c r="AV295" i="3" s="1" a="1"/>
  <c r="AV295" i="3" s="1"/>
  <c r="AY295" i="3"/>
  <c r="AZ295" i="3"/>
  <c r="BA295" i="3"/>
  <c r="BB295" i="3"/>
  <c r="BC295" i="3"/>
  <c r="BD295" i="3"/>
  <c r="BE295" i="3"/>
  <c r="BF295" i="3"/>
  <c r="BG295" i="3"/>
  <c r="AT296" i="3"/>
  <c r="AW296" i="3" s="1" a="1"/>
  <c r="AW296" i="3" s="1"/>
  <c r="AU296" i="3"/>
  <c r="AV296" i="3" s="1" a="1"/>
  <c r="AV296" i="3" s="1"/>
  <c r="AY296" i="3"/>
  <c r="AZ296" i="3"/>
  <c r="BA296" i="3"/>
  <c r="BB296" i="3"/>
  <c r="BC296" i="3"/>
  <c r="BD296" i="3"/>
  <c r="BE296" i="3"/>
  <c r="BF296" i="3"/>
  <c r="BG296" i="3"/>
  <c r="AT297" i="3"/>
  <c r="AX297" i="3" s="1" a="1"/>
  <c r="AX297" i="3" s="1"/>
  <c r="AU297" i="3"/>
  <c r="AV297" i="3" s="1" a="1"/>
  <c r="AV297" i="3" s="1"/>
  <c r="AY297" i="3"/>
  <c r="AZ297" i="3"/>
  <c r="BA297" i="3"/>
  <c r="BB297" i="3"/>
  <c r="BC297" i="3"/>
  <c r="BD297" i="3"/>
  <c r="BE297" i="3"/>
  <c r="BF297" i="3"/>
  <c r="BG297" i="3"/>
  <c r="AT298" i="3"/>
  <c r="AX298" i="3" s="1" a="1"/>
  <c r="AX298" i="3" s="1"/>
  <c r="AU298" i="3"/>
  <c r="AV298" i="3" s="1" a="1"/>
  <c r="AV298" i="3" s="1"/>
  <c r="AY298" i="3"/>
  <c r="AZ298" i="3"/>
  <c r="BA298" i="3"/>
  <c r="BB298" i="3"/>
  <c r="BC298" i="3"/>
  <c r="BD298" i="3"/>
  <c r="BE298" i="3"/>
  <c r="BF298" i="3"/>
  <c r="BG298" i="3"/>
  <c r="AT299" i="3"/>
  <c r="AW299" i="3" s="1" a="1"/>
  <c r="AW299" i="3" s="1"/>
  <c r="AU299" i="3"/>
  <c r="AV299" i="3" s="1" a="1"/>
  <c r="AV299" i="3" s="1"/>
  <c r="AY299" i="3"/>
  <c r="AZ299" i="3"/>
  <c r="BA299" i="3"/>
  <c r="BB299" i="3"/>
  <c r="BC299" i="3"/>
  <c r="BD299" i="3"/>
  <c r="BE299" i="3"/>
  <c r="BF299" i="3"/>
  <c r="BG299" i="3"/>
  <c r="AT300" i="3"/>
  <c r="AX300" i="3" s="1" a="1"/>
  <c r="AX300" i="3" s="1"/>
  <c r="AU300" i="3"/>
  <c r="AV300" i="3" s="1" a="1"/>
  <c r="AV300" i="3" s="1"/>
  <c r="AY300" i="3"/>
  <c r="AZ300" i="3"/>
  <c r="BA300" i="3"/>
  <c r="BB300" i="3"/>
  <c r="BC300" i="3"/>
  <c r="BD300" i="3"/>
  <c r="BE300" i="3"/>
  <c r="BF300" i="3"/>
  <c r="BG300" i="3"/>
  <c r="AT301" i="3"/>
  <c r="AU301" i="3"/>
  <c r="AV301" i="3" s="1" a="1"/>
  <c r="AV301" i="3" s="1"/>
  <c r="AY301" i="3"/>
  <c r="AZ301" i="3"/>
  <c r="BA301" i="3"/>
  <c r="BB301" i="3"/>
  <c r="BC301" i="3"/>
  <c r="BD301" i="3"/>
  <c r="BE301" i="3"/>
  <c r="BF301" i="3"/>
  <c r="BG301" i="3"/>
  <c r="AT302" i="3"/>
  <c r="AW302" i="3" s="1" a="1"/>
  <c r="AW302" i="3" s="1"/>
  <c r="AU302" i="3"/>
  <c r="AV302" i="3" s="1" a="1"/>
  <c r="AV302" i="3" s="1"/>
  <c r="AY302" i="3"/>
  <c r="AZ302" i="3"/>
  <c r="BA302" i="3"/>
  <c r="BB302" i="3"/>
  <c r="BC302" i="3"/>
  <c r="BD302" i="3"/>
  <c r="BE302" i="3"/>
  <c r="BF302" i="3"/>
  <c r="BG302" i="3"/>
  <c r="AT303" i="3"/>
  <c r="AX303" i="3" s="1" a="1"/>
  <c r="AX303" i="3" s="1"/>
  <c r="AU303" i="3"/>
  <c r="AV303" i="3" s="1" a="1"/>
  <c r="AV303" i="3" s="1"/>
  <c r="AY303" i="3"/>
  <c r="AZ303" i="3"/>
  <c r="BA303" i="3"/>
  <c r="BB303" i="3"/>
  <c r="BC303" i="3"/>
  <c r="BD303" i="3"/>
  <c r="BE303" i="3"/>
  <c r="BF303" i="3"/>
  <c r="BG303" i="3"/>
  <c r="AT304" i="3"/>
  <c r="AU304" i="3"/>
  <c r="AV304" i="3" s="1" a="1"/>
  <c r="AV304" i="3" s="1"/>
  <c r="AY304" i="3"/>
  <c r="AZ304" i="3"/>
  <c r="BA304" i="3"/>
  <c r="BB304" i="3"/>
  <c r="BC304" i="3"/>
  <c r="BD304" i="3"/>
  <c r="BE304" i="3"/>
  <c r="BF304" i="3"/>
  <c r="BG304" i="3"/>
  <c r="AT305" i="3"/>
  <c r="AX305" i="3" s="1" a="1"/>
  <c r="AX305" i="3" s="1"/>
  <c r="AU305" i="3"/>
  <c r="AV305" i="3" s="1" a="1"/>
  <c r="AV305" i="3" s="1"/>
  <c r="AY305" i="3"/>
  <c r="AZ305" i="3"/>
  <c r="BA305" i="3"/>
  <c r="BB305" i="3"/>
  <c r="BC305" i="3"/>
  <c r="BD305" i="3"/>
  <c r="BE305" i="3"/>
  <c r="BF305" i="3"/>
  <c r="BG305" i="3"/>
  <c r="AT306" i="3"/>
  <c r="AX306" i="3" s="1" a="1"/>
  <c r="AX306" i="3" s="1"/>
  <c r="AU306" i="3"/>
  <c r="AV306" i="3" s="1" a="1"/>
  <c r="AV306" i="3" s="1"/>
  <c r="AY306" i="3"/>
  <c r="AZ306" i="3"/>
  <c r="BA306" i="3"/>
  <c r="BB306" i="3"/>
  <c r="BC306" i="3"/>
  <c r="BD306" i="3"/>
  <c r="BE306" i="3"/>
  <c r="BF306" i="3"/>
  <c r="BG306" i="3"/>
  <c r="AT307" i="3"/>
  <c r="AW307" i="3" s="1" a="1"/>
  <c r="AW307" i="3" s="1"/>
  <c r="AU307" i="3"/>
  <c r="AV307" i="3" s="1" a="1"/>
  <c r="AV307" i="3" s="1"/>
  <c r="AY307" i="3"/>
  <c r="AZ307" i="3"/>
  <c r="BA307" i="3"/>
  <c r="BB307" i="3"/>
  <c r="BC307" i="3"/>
  <c r="BD307" i="3"/>
  <c r="BE307" i="3"/>
  <c r="BF307" i="3"/>
  <c r="BG307" i="3"/>
  <c r="AT308" i="3"/>
  <c r="AW308" i="3" s="1" a="1"/>
  <c r="AW308" i="3" s="1"/>
  <c r="AU308" i="3"/>
  <c r="AV308" i="3" s="1" a="1"/>
  <c r="AV308" i="3" s="1"/>
  <c r="AY308" i="3"/>
  <c r="AZ308" i="3"/>
  <c r="BA308" i="3"/>
  <c r="BB308" i="3"/>
  <c r="BC308" i="3"/>
  <c r="BD308" i="3"/>
  <c r="BE308" i="3"/>
  <c r="BF308" i="3"/>
  <c r="BG308" i="3"/>
  <c r="AT309" i="3"/>
  <c r="AW309" i="3" s="1" a="1"/>
  <c r="AW309" i="3" s="1"/>
  <c r="AU309" i="3"/>
  <c r="AV309" i="3" s="1" a="1"/>
  <c r="AV309" i="3" s="1"/>
  <c r="AY309" i="3"/>
  <c r="AZ309" i="3"/>
  <c r="BA309" i="3"/>
  <c r="BB309" i="3"/>
  <c r="BC309" i="3"/>
  <c r="BD309" i="3"/>
  <c r="BE309" i="3"/>
  <c r="BF309" i="3"/>
  <c r="BG309" i="3"/>
  <c r="AT310" i="3"/>
  <c r="AX310" i="3" s="1" a="1"/>
  <c r="AX310" i="3" s="1"/>
  <c r="AU310" i="3"/>
  <c r="AV310" i="3" s="1" a="1"/>
  <c r="AV310" i="3" s="1"/>
  <c r="AY310" i="3"/>
  <c r="AZ310" i="3"/>
  <c r="BA310" i="3"/>
  <c r="BB310" i="3"/>
  <c r="BC310" i="3"/>
  <c r="BD310" i="3"/>
  <c r="BE310" i="3"/>
  <c r="BF310" i="3"/>
  <c r="BG310" i="3"/>
  <c r="AT311" i="3"/>
  <c r="AX311" i="3" s="1" a="1"/>
  <c r="AX311" i="3" s="1"/>
  <c r="AU311" i="3"/>
  <c r="AV311" i="3" s="1" a="1"/>
  <c r="AV311" i="3" s="1"/>
  <c r="AY311" i="3"/>
  <c r="AZ311" i="3"/>
  <c r="BA311" i="3"/>
  <c r="BB311" i="3"/>
  <c r="BC311" i="3"/>
  <c r="BD311" i="3"/>
  <c r="BE311" i="3"/>
  <c r="BF311" i="3"/>
  <c r="BG311" i="3"/>
  <c r="AT312" i="3"/>
  <c r="AX312" i="3" s="1" a="1"/>
  <c r="AX312" i="3" s="1"/>
  <c r="AU312" i="3"/>
  <c r="AV312" i="3" s="1" a="1"/>
  <c r="AV312" i="3" s="1"/>
  <c r="AY312" i="3"/>
  <c r="AZ312" i="3"/>
  <c r="BA312" i="3"/>
  <c r="BB312" i="3"/>
  <c r="BC312" i="3"/>
  <c r="BD312" i="3"/>
  <c r="BE312" i="3"/>
  <c r="BF312" i="3"/>
  <c r="BG312" i="3"/>
  <c r="AT313" i="3"/>
  <c r="AW313" i="3" s="1" a="1"/>
  <c r="AW313" i="3" s="1"/>
  <c r="AU313" i="3"/>
  <c r="AV313" i="3" s="1" a="1"/>
  <c r="AV313" i="3" s="1"/>
  <c r="AY313" i="3"/>
  <c r="AZ313" i="3"/>
  <c r="BA313" i="3"/>
  <c r="BB313" i="3"/>
  <c r="BC313" i="3"/>
  <c r="BD313" i="3"/>
  <c r="BE313" i="3"/>
  <c r="BF313" i="3"/>
  <c r="BG313" i="3"/>
  <c r="AT314" i="3"/>
  <c r="AW314" i="3" s="1" a="1"/>
  <c r="AW314" i="3" s="1"/>
  <c r="AU314" i="3"/>
  <c r="AV314" i="3" s="1" a="1"/>
  <c r="AV314" i="3" s="1"/>
  <c r="AY314" i="3"/>
  <c r="AZ314" i="3"/>
  <c r="BA314" i="3"/>
  <c r="BB314" i="3"/>
  <c r="BC314" i="3"/>
  <c r="BD314" i="3"/>
  <c r="BE314" i="3"/>
  <c r="BF314" i="3"/>
  <c r="BG314" i="3"/>
  <c r="AT315" i="3"/>
  <c r="AW315" i="3" s="1" a="1"/>
  <c r="AW315" i="3" s="1"/>
  <c r="AU315" i="3"/>
  <c r="AV315" i="3" s="1" a="1"/>
  <c r="AV315" i="3" s="1"/>
  <c r="AY315" i="3"/>
  <c r="AZ315" i="3"/>
  <c r="BA315" i="3"/>
  <c r="BB315" i="3"/>
  <c r="BC315" i="3"/>
  <c r="BD315" i="3"/>
  <c r="BE315" i="3"/>
  <c r="BF315" i="3"/>
  <c r="BG315" i="3"/>
  <c r="AT316" i="3"/>
  <c r="AW316" i="3" s="1" a="1"/>
  <c r="AW316" i="3" s="1"/>
  <c r="AU316" i="3"/>
  <c r="AV316" i="3" s="1" a="1"/>
  <c r="AV316" i="3" s="1"/>
  <c r="AY316" i="3"/>
  <c r="AZ316" i="3"/>
  <c r="BA316" i="3"/>
  <c r="BB316" i="3"/>
  <c r="BC316" i="3"/>
  <c r="BD316" i="3"/>
  <c r="BE316" i="3"/>
  <c r="BF316" i="3"/>
  <c r="BG316" i="3"/>
  <c r="AT317" i="3"/>
  <c r="AW317" i="3" s="1" a="1"/>
  <c r="AW317" i="3" s="1"/>
  <c r="AU317" i="3"/>
  <c r="AV317" i="3" s="1" a="1"/>
  <c r="AV317" i="3" s="1"/>
  <c r="AY317" i="3"/>
  <c r="AZ317" i="3"/>
  <c r="BA317" i="3"/>
  <c r="BB317" i="3"/>
  <c r="BC317" i="3"/>
  <c r="BD317" i="3"/>
  <c r="BE317" i="3"/>
  <c r="BF317" i="3"/>
  <c r="BG317" i="3"/>
  <c r="AT318" i="3"/>
  <c r="AU318" i="3"/>
  <c r="AV318" i="3" s="1" a="1"/>
  <c r="AV318" i="3" s="1"/>
  <c r="AY318" i="3"/>
  <c r="AZ318" i="3"/>
  <c r="BA318" i="3"/>
  <c r="BB318" i="3"/>
  <c r="BC318" i="3"/>
  <c r="BD318" i="3"/>
  <c r="BE318" i="3"/>
  <c r="BF318" i="3"/>
  <c r="BG318" i="3"/>
  <c r="AT319" i="3"/>
  <c r="AW319" i="3" s="1" a="1"/>
  <c r="AW319" i="3" s="1"/>
  <c r="AU319" i="3"/>
  <c r="AV319" i="3" s="1" a="1"/>
  <c r="AV319" i="3" s="1"/>
  <c r="AY319" i="3"/>
  <c r="AZ319" i="3"/>
  <c r="BA319" i="3"/>
  <c r="BB319" i="3"/>
  <c r="BC319" i="3"/>
  <c r="BD319" i="3"/>
  <c r="BE319" i="3"/>
  <c r="BF319" i="3"/>
  <c r="BG319" i="3"/>
  <c r="AT320" i="3"/>
  <c r="AW320" i="3" s="1" a="1"/>
  <c r="AW320" i="3" s="1"/>
  <c r="AU320" i="3"/>
  <c r="AV320" i="3" s="1" a="1"/>
  <c r="AV320" i="3" s="1"/>
  <c r="AY320" i="3"/>
  <c r="AZ320" i="3"/>
  <c r="BA320" i="3"/>
  <c r="BB320" i="3"/>
  <c r="BC320" i="3"/>
  <c r="BD320" i="3"/>
  <c r="BE320" i="3"/>
  <c r="BF320" i="3"/>
  <c r="BG320" i="3"/>
  <c r="AT321" i="3"/>
  <c r="AW321" i="3" s="1" a="1"/>
  <c r="AW321" i="3" s="1"/>
  <c r="AU321" i="3"/>
  <c r="AV321" i="3" s="1" a="1"/>
  <c r="AV321" i="3" s="1"/>
  <c r="AY321" i="3"/>
  <c r="AZ321" i="3"/>
  <c r="BA321" i="3"/>
  <c r="BB321" i="3"/>
  <c r="BC321" i="3"/>
  <c r="BD321" i="3"/>
  <c r="BE321" i="3"/>
  <c r="BF321" i="3"/>
  <c r="BG321" i="3"/>
  <c r="AT322" i="3"/>
  <c r="AU322" i="3"/>
  <c r="AV322" i="3" s="1" a="1"/>
  <c r="AV322" i="3" s="1"/>
  <c r="AY322" i="3"/>
  <c r="AZ322" i="3"/>
  <c r="BA322" i="3"/>
  <c r="BB322" i="3"/>
  <c r="BC322" i="3"/>
  <c r="BD322" i="3"/>
  <c r="BE322" i="3"/>
  <c r="BF322" i="3"/>
  <c r="BG322" i="3"/>
  <c r="AT323" i="3"/>
  <c r="AW323" i="3" s="1" a="1"/>
  <c r="AW323" i="3" s="1"/>
  <c r="AU323" i="3"/>
  <c r="AV323" i="3" s="1" a="1"/>
  <c r="AV323" i="3" s="1"/>
  <c r="AY323" i="3"/>
  <c r="AZ323" i="3"/>
  <c r="BA323" i="3"/>
  <c r="BB323" i="3"/>
  <c r="BC323" i="3"/>
  <c r="BD323" i="3"/>
  <c r="BE323" i="3"/>
  <c r="BF323" i="3"/>
  <c r="BG323" i="3"/>
  <c r="AT324" i="3"/>
  <c r="AW324" i="3" s="1" a="1"/>
  <c r="AW324" i="3" s="1"/>
  <c r="AU324" i="3"/>
  <c r="AV324" i="3" s="1" a="1"/>
  <c r="AV324" i="3" s="1"/>
  <c r="AY324" i="3"/>
  <c r="AZ324" i="3"/>
  <c r="BA324" i="3"/>
  <c r="BB324" i="3"/>
  <c r="BC324" i="3"/>
  <c r="BD324" i="3"/>
  <c r="BE324" i="3"/>
  <c r="BF324" i="3"/>
  <c r="BG324" i="3"/>
  <c r="AT325" i="3"/>
  <c r="AW325" i="3" s="1" a="1"/>
  <c r="AW325" i="3" s="1"/>
  <c r="AU325" i="3"/>
  <c r="AV325" i="3" s="1" a="1"/>
  <c r="AV325" i="3" s="1"/>
  <c r="AY325" i="3"/>
  <c r="AZ325" i="3"/>
  <c r="BA325" i="3"/>
  <c r="BB325" i="3"/>
  <c r="BC325" i="3"/>
  <c r="BD325" i="3"/>
  <c r="BE325" i="3"/>
  <c r="BF325" i="3"/>
  <c r="BG325" i="3"/>
  <c r="AT326" i="3"/>
  <c r="AW326" i="3" s="1" a="1"/>
  <c r="AW326" i="3" s="1"/>
  <c r="AU326" i="3"/>
  <c r="AV326" i="3" s="1" a="1"/>
  <c r="AV326" i="3" s="1"/>
  <c r="AY326" i="3"/>
  <c r="AZ326" i="3"/>
  <c r="BA326" i="3"/>
  <c r="BB326" i="3"/>
  <c r="BC326" i="3"/>
  <c r="BD326" i="3"/>
  <c r="BE326" i="3"/>
  <c r="BF326" i="3"/>
  <c r="BG326" i="3"/>
  <c r="AT327" i="3"/>
  <c r="AW327" i="3" s="1" a="1"/>
  <c r="AW327" i="3" s="1"/>
  <c r="AU327" i="3"/>
  <c r="AV327" i="3" s="1" a="1"/>
  <c r="AV327" i="3" s="1"/>
  <c r="AY327" i="3"/>
  <c r="AZ327" i="3"/>
  <c r="BA327" i="3"/>
  <c r="BB327" i="3"/>
  <c r="BC327" i="3"/>
  <c r="BD327" i="3"/>
  <c r="BE327" i="3"/>
  <c r="BF327" i="3"/>
  <c r="BG327" i="3"/>
  <c r="AT328" i="3"/>
  <c r="AW328" i="3" s="1" a="1"/>
  <c r="AW328" i="3" s="1"/>
  <c r="AU328" i="3"/>
  <c r="AV328" i="3" s="1" a="1"/>
  <c r="AV328" i="3" s="1"/>
  <c r="AY328" i="3"/>
  <c r="AZ328" i="3"/>
  <c r="BA328" i="3"/>
  <c r="BB328" i="3"/>
  <c r="BC328" i="3"/>
  <c r="BD328" i="3"/>
  <c r="BE328" i="3"/>
  <c r="BF328" i="3"/>
  <c r="BG328" i="3"/>
  <c r="AT329" i="3"/>
  <c r="AU329" i="3"/>
  <c r="AV329" i="3" s="1" a="1"/>
  <c r="AV329" i="3" s="1"/>
  <c r="AY329" i="3"/>
  <c r="AZ329" i="3"/>
  <c r="BA329" i="3"/>
  <c r="BB329" i="3"/>
  <c r="BC329" i="3"/>
  <c r="BD329" i="3"/>
  <c r="BE329" i="3"/>
  <c r="BF329" i="3"/>
  <c r="BG329" i="3"/>
  <c r="AT330" i="3"/>
  <c r="AU330" i="3"/>
  <c r="AV330" i="3" s="1" a="1"/>
  <c r="AV330" i="3" s="1"/>
  <c r="AY330" i="3"/>
  <c r="AZ330" i="3"/>
  <c r="BA330" i="3"/>
  <c r="BB330" i="3"/>
  <c r="BC330" i="3"/>
  <c r="BD330" i="3"/>
  <c r="BE330" i="3"/>
  <c r="BF330" i="3"/>
  <c r="BG330" i="3"/>
  <c r="AT331" i="3"/>
  <c r="AW331" i="3" s="1" a="1"/>
  <c r="AW331" i="3" s="1"/>
  <c r="AU331" i="3"/>
  <c r="AV331" i="3" s="1" a="1"/>
  <c r="AV331" i="3" s="1"/>
  <c r="AY331" i="3"/>
  <c r="AZ331" i="3"/>
  <c r="BA331" i="3"/>
  <c r="BB331" i="3"/>
  <c r="BC331" i="3"/>
  <c r="BD331" i="3"/>
  <c r="BE331" i="3"/>
  <c r="BF331" i="3"/>
  <c r="BG331" i="3"/>
  <c r="AT332" i="3"/>
  <c r="AW332" i="3" s="1" a="1"/>
  <c r="AW332" i="3" s="1"/>
  <c r="AU332" i="3"/>
  <c r="AV332" i="3" s="1" a="1"/>
  <c r="AV332" i="3" s="1"/>
  <c r="AY332" i="3"/>
  <c r="AZ332" i="3"/>
  <c r="BA332" i="3"/>
  <c r="BB332" i="3"/>
  <c r="BC332" i="3"/>
  <c r="BD332" i="3"/>
  <c r="BE332" i="3"/>
  <c r="BF332" i="3"/>
  <c r="BG332" i="3"/>
  <c r="AT333" i="3"/>
  <c r="AU333" i="3"/>
  <c r="AV333" i="3" s="1" a="1"/>
  <c r="AV333" i="3" s="1"/>
  <c r="AY333" i="3"/>
  <c r="AZ333" i="3"/>
  <c r="BA333" i="3"/>
  <c r="BB333" i="3"/>
  <c r="BC333" i="3"/>
  <c r="BD333" i="3"/>
  <c r="BE333" i="3"/>
  <c r="BF333" i="3"/>
  <c r="BG333" i="3"/>
  <c r="AT334" i="3"/>
  <c r="AX334" i="3" s="1" a="1"/>
  <c r="AX334" i="3" s="1"/>
  <c r="AU334" i="3"/>
  <c r="AV334" i="3" s="1" a="1"/>
  <c r="AV334" i="3" s="1"/>
  <c r="AY334" i="3"/>
  <c r="AZ334" i="3"/>
  <c r="BA334" i="3"/>
  <c r="BB334" i="3"/>
  <c r="BC334" i="3"/>
  <c r="BD334" i="3"/>
  <c r="BE334" i="3"/>
  <c r="BF334" i="3"/>
  <c r="BG334" i="3"/>
  <c r="AT335" i="3"/>
  <c r="AW335" i="3" s="1" a="1"/>
  <c r="AW335" i="3" s="1"/>
  <c r="AU335" i="3"/>
  <c r="AV335" i="3" s="1" a="1"/>
  <c r="AV335" i="3" s="1"/>
  <c r="AY335" i="3"/>
  <c r="AZ335" i="3"/>
  <c r="BA335" i="3"/>
  <c r="BB335" i="3"/>
  <c r="BC335" i="3"/>
  <c r="BD335" i="3"/>
  <c r="BE335" i="3"/>
  <c r="BF335" i="3"/>
  <c r="BG335" i="3"/>
  <c r="AT336" i="3"/>
  <c r="AU336" i="3"/>
  <c r="AV336" i="3" s="1" a="1"/>
  <c r="AV336" i="3" s="1"/>
  <c r="AY336" i="3"/>
  <c r="AZ336" i="3"/>
  <c r="BA336" i="3"/>
  <c r="BB336" i="3"/>
  <c r="BC336" i="3"/>
  <c r="BD336" i="3"/>
  <c r="BE336" i="3"/>
  <c r="BF336" i="3"/>
  <c r="BG336" i="3"/>
  <c r="AT337" i="3"/>
  <c r="AU337" i="3"/>
  <c r="AV337" i="3" s="1" a="1"/>
  <c r="AV337" i="3" s="1"/>
  <c r="AY337" i="3"/>
  <c r="AZ337" i="3"/>
  <c r="BA337" i="3"/>
  <c r="BB337" i="3"/>
  <c r="BC337" i="3"/>
  <c r="BD337" i="3"/>
  <c r="BE337" i="3"/>
  <c r="BF337" i="3"/>
  <c r="BG337" i="3"/>
  <c r="AT338" i="3"/>
  <c r="AX338" i="3" s="1" a="1"/>
  <c r="AX338" i="3" s="1"/>
  <c r="AU338" i="3"/>
  <c r="AV338" i="3" s="1" a="1"/>
  <c r="AV338" i="3" s="1"/>
  <c r="AY338" i="3"/>
  <c r="AZ338" i="3"/>
  <c r="BA338" i="3"/>
  <c r="BB338" i="3"/>
  <c r="BC338" i="3"/>
  <c r="BD338" i="3"/>
  <c r="BE338" i="3"/>
  <c r="BF338" i="3"/>
  <c r="BG338" i="3"/>
  <c r="AT339" i="3"/>
  <c r="AX339" i="3" s="1" a="1"/>
  <c r="AX339" i="3" s="1"/>
  <c r="AU339" i="3"/>
  <c r="AV339" i="3" s="1" a="1"/>
  <c r="AV339" i="3" s="1"/>
  <c r="AY339" i="3"/>
  <c r="AZ339" i="3"/>
  <c r="BA339" i="3"/>
  <c r="BB339" i="3"/>
  <c r="BC339" i="3"/>
  <c r="BD339" i="3"/>
  <c r="BE339" i="3"/>
  <c r="BF339" i="3"/>
  <c r="BG339" i="3"/>
  <c r="AT340" i="3"/>
  <c r="AW340" i="3" s="1" a="1"/>
  <c r="AW340" i="3" s="1"/>
  <c r="AU340" i="3"/>
  <c r="AV340" i="3" s="1" a="1"/>
  <c r="AV340" i="3" s="1"/>
  <c r="AY340" i="3"/>
  <c r="AZ340" i="3"/>
  <c r="BA340" i="3"/>
  <c r="BB340" i="3"/>
  <c r="BC340" i="3"/>
  <c r="BD340" i="3"/>
  <c r="BE340" i="3"/>
  <c r="BF340" i="3"/>
  <c r="BG340" i="3"/>
  <c r="AT341" i="3"/>
  <c r="AW341" i="3" s="1" a="1"/>
  <c r="AW341" i="3" s="1"/>
  <c r="AU341" i="3"/>
  <c r="AV341" i="3" s="1" a="1"/>
  <c r="AV341" i="3" s="1"/>
  <c r="AY341" i="3"/>
  <c r="AZ341" i="3"/>
  <c r="BA341" i="3"/>
  <c r="BB341" i="3"/>
  <c r="BC341" i="3"/>
  <c r="BD341" i="3"/>
  <c r="BE341" i="3"/>
  <c r="BF341" i="3"/>
  <c r="BG341" i="3"/>
  <c r="AT342" i="3"/>
  <c r="AX342" i="3" s="1" a="1"/>
  <c r="AX342" i="3" s="1"/>
  <c r="AU342" i="3"/>
  <c r="AV342" i="3" s="1" a="1"/>
  <c r="AV342" i="3" s="1"/>
  <c r="AY342" i="3"/>
  <c r="AZ342" i="3"/>
  <c r="BA342" i="3"/>
  <c r="BB342" i="3"/>
  <c r="BC342" i="3"/>
  <c r="BD342" i="3"/>
  <c r="BE342" i="3"/>
  <c r="BF342" i="3"/>
  <c r="BG342" i="3"/>
  <c r="AT343" i="3"/>
  <c r="AW343" i="3" s="1" a="1"/>
  <c r="AW343" i="3" s="1"/>
  <c r="AU343" i="3"/>
  <c r="AV343" i="3" s="1" a="1"/>
  <c r="AV343" i="3" s="1"/>
  <c r="AY343" i="3"/>
  <c r="AZ343" i="3"/>
  <c r="BA343" i="3"/>
  <c r="BB343" i="3"/>
  <c r="BC343" i="3"/>
  <c r="BD343" i="3"/>
  <c r="BE343" i="3"/>
  <c r="BF343" i="3"/>
  <c r="BG343" i="3"/>
  <c r="AT344" i="3"/>
  <c r="AW344" i="3" s="1" a="1"/>
  <c r="AW344" i="3" s="1"/>
  <c r="AU344" i="3"/>
  <c r="AV344" i="3" s="1" a="1"/>
  <c r="AV344" i="3" s="1"/>
  <c r="AY344" i="3"/>
  <c r="AZ344" i="3"/>
  <c r="BA344" i="3"/>
  <c r="BB344" i="3"/>
  <c r="BC344" i="3"/>
  <c r="BD344" i="3"/>
  <c r="BE344" i="3"/>
  <c r="BF344" i="3"/>
  <c r="BG344" i="3"/>
  <c r="AT345" i="3"/>
  <c r="AW345" i="3" s="1" a="1"/>
  <c r="AW345" i="3" s="1"/>
  <c r="AU345" i="3"/>
  <c r="AV345" i="3" s="1" a="1"/>
  <c r="AV345" i="3" s="1"/>
  <c r="AY345" i="3"/>
  <c r="AZ345" i="3"/>
  <c r="BA345" i="3"/>
  <c r="BB345" i="3"/>
  <c r="BC345" i="3"/>
  <c r="BD345" i="3"/>
  <c r="BE345" i="3"/>
  <c r="BF345" i="3"/>
  <c r="BG345" i="3"/>
  <c r="AT346" i="3"/>
  <c r="AX346" i="3" s="1" a="1"/>
  <c r="AX346" i="3" s="1"/>
  <c r="AU346" i="3"/>
  <c r="AV346" i="3" s="1" a="1"/>
  <c r="AV346" i="3" s="1"/>
  <c r="AY346" i="3"/>
  <c r="AZ346" i="3"/>
  <c r="BA346" i="3"/>
  <c r="BB346" i="3"/>
  <c r="BC346" i="3"/>
  <c r="BD346" i="3"/>
  <c r="BE346" i="3"/>
  <c r="BF346" i="3"/>
  <c r="BG346" i="3"/>
  <c r="AT347" i="3"/>
  <c r="AW347" i="3" s="1" a="1"/>
  <c r="AW347" i="3" s="1"/>
  <c r="AU347" i="3"/>
  <c r="AV347" i="3" s="1" a="1"/>
  <c r="AV347" i="3" s="1"/>
  <c r="AY347" i="3"/>
  <c r="AZ347" i="3"/>
  <c r="BA347" i="3"/>
  <c r="BB347" i="3"/>
  <c r="BC347" i="3"/>
  <c r="BD347" i="3"/>
  <c r="BE347" i="3"/>
  <c r="BF347" i="3"/>
  <c r="BG347" i="3"/>
  <c r="AT348" i="3"/>
  <c r="AX348" i="3" s="1" a="1"/>
  <c r="AX348" i="3" s="1"/>
  <c r="AU348" i="3"/>
  <c r="AV348" i="3" s="1" a="1"/>
  <c r="AV348" i="3" s="1"/>
  <c r="AY348" i="3"/>
  <c r="AZ348" i="3"/>
  <c r="BA348" i="3"/>
  <c r="BB348" i="3"/>
  <c r="BC348" i="3"/>
  <c r="BD348" i="3"/>
  <c r="BE348" i="3"/>
  <c r="BF348" i="3"/>
  <c r="BG348" i="3"/>
  <c r="AT349" i="3"/>
  <c r="AW349" i="3" s="1" a="1"/>
  <c r="AW349" i="3" s="1"/>
  <c r="AU349" i="3"/>
  <c r="AV349" i="3" s="1" a="1"/>
  <c r="AV349" i="3" s="1"/>
  <c r="AY349" i="3"/>
  <c r="AZ349" i="3"/>
  <c r="BA349" i="3"/>
  <c r="BB349" i="3"/>
  <c r="BC349" i="3"/>
  <c r="BD349" i="3"/>
  <c r="BE349" i="3"/>
  <c r="BF349" i="3"/>
  <c r="BG349" i="3"/>
  <c r="AT350" i="3"/>
  <c r="AU350" i="3"/>
  <c r="AV350" i="3" s="1" a="1"/>
  <c r="AV350" i="3" s="1"/>
  <c r="AY350" i="3"/>
  <c r="AZ350" i="3"/>
  <c r="BA350" i="3"/>
  <c r="BB350" i="3"/>
  <c r="BC350" i="3"/>
  <c r="BD350" i="3"/>
  <c r="BE350" i="3"/>
  <c r="BF350" i="3"/>
  <c r="BG350" i="3"/>
  <c r="AT351" i="3"/>
  <c r="AX351" i="3" s="1" a="1"/>
  <c r="AX351" i="3" s="1"/>
  <c r="AU351" i="3"/>
  <c r="AV351" i="3" s="1" a="1"/>
  <c r="AV351" i="3" s="1"/>
  <c r="AY351" i="3"/>
  <c r="AZ351" i="3"/>
  <c r="BA351" i="3"/>
  <c r="BB351" i="3"/>
  <c r="BC351" i="3"/>
  <c r="BD351" i="3"/>
  <c r="BE351" i="3"/>
  <c r="BF351" i="3"/>
  <c r="BG351" i="3"/>
  <c r="AT352" i="3"/>
  <c r="AW352" i="3" s="1" a="1"/>
  <c r="AW352" i="3" s="1"/>
  <c r="AU352" i="3"/>
  <c r="AV352" i="3" s="1" a="1"/>
  <c r="AV352" i="3" s="1"/>
  <c r="AY352" i="3"/>
  <c r="AZ352" i="3"/>
  <c r="BA352" i="3"/>
  <c r="BB352" i="3"/>
  <c r="BC352" i="3"/>
  <c r="BD352" i="3"/>
  <c r="BE352" i="3"/>
  <c r="BF352" i="3"/>
  <c r="BG352" i="3"/>
  <c r="AT353" i="3"/>
  <c r="AW353" i="3" s="1" a="1"/>
  <c r="AW353" i="3" s="1"/>
  <c r="AU353" i="3"/>
  <c r="AV353" i="3" s="1" a="1"/>
  <c r="AV353" i="3" s="1"/>
  <c r="AY353" i="3"/>
  <c r="AZ353" i="3"/>
  <c r="BA353" i="3"/>
  <c r="BB353" i="3"/>
  <c r="BC353" i="3"/>
  <c r="BD353" i="3"/>
  <c r="BE353" i="3"/>
  <c r="BF353" i="3"/>
  <c r="BG353" i="3"/>
  <c r="AT354" i="3"/>
  <c r="AW354" i="3" s="1" a="1"/>
  <c r="AW354" i="3" s="1"/>
  <c r="AU354" i="3"/>
  <c r="AV354" i="3" s="1" a="1"/>
  <c r="AV354" i="3" s="1"/>
  <c r="AY354" i="3"/>
  <c r="AZ354" i="3"/>
  <c r="BA354" i="3"/>
  <c r="BB354" i="3"/>
  <c r="BC354" i="3"/>
  <c r="BD354" i="3"/>
  <c r="BE354" i="3"/>
  <c r="BF354" i="3"/>
  <c r="BG354" i="3"/>
  <c r="AT355" i="3"/>
  <c r="AX355" i="3" s="1" a="1"/>
  <c r="AX355" i="3" s="1"/>
  <c r="AU355" i="3"/>
  <c r="AV355" i="3" s="1" a="1"/>
  <c r="AV355" i="3" s="1"/>
  <c r="AY355" i="3"/>
  <c r="AZ355" i="3"/>
  <c r="BA355" i="3"/>
  <c r="BB355" i="3"/>
  <c r="BC355" i="3"/>
  <c r="BD355" i="3"/>
  <c r="BE355" i="3"/>
  <c r="BF355" i="3"/>
  <c r="BG355" i="3"/>
  <c r="AT356" i="3"/>
  <c r="AU356" i="3"/>
  <c r="AV356" i="3" s="1" a="1"/>
  <c r="AV356" i="3" s="1"/>
  <c r="AY356" i="3"/>
  <c r="AZ356" i="3"/>
  <c r="BA356" i="3"/>
  <c r="BB356" i="3"/>
  <c r="BC356" i="3"/>
  <c r="BD356" i="3"/>
  <c r="BE356" i="3"/>
  <c r="BF356" i="3"/>
  <c r="BG356" i="3"/>
  <c r="AT357" i="3"/>
  <c r="AW357" i="3" s="1" a="1"/>
  <c r="AW357" i="3" s="1"/>
  <c r="AU357" i="3"/>
  <c r="AV357" i="3" s="1" a="1"/>
  <c r="AV357" i="3" s="1"/>
  <c r="AY357" i="3"/>
  <c r="AZ357" i="3"/>
  <c r="BA357" i="3"/>
  <c r="BB357" i="3"/>
  <c r="BC357" i="3"/>
  <c r="BD357" i="3"/>
  <c r="BE357" i="3"/>
  <c r="BF357" i="3"/>
  <c r="BG357" i="3"/>
  <c r="AT358" i="3"/>
  <c r="AU358" i="3"/>
  <c r="AV358" i="3" s="1" a="1"/>
  <c r="AV358" i="3" s="1"/>
  <c r="AY358" i="3"/>
  <c r="AZ358" i="3"/>
  <c r="BA358" i="3"/>
  <c r="BB358" i="3"/>
  <c r="BC358" i="3"/>
  <c r="BD358" i="3"/>
  <c r="BE358" i="3"/>
  <c r="BF358" i="3"/>
  <c r="BG358" i="3"/>
  <c r="AT359" i="3"/>
  <c r="AU359" i="3"/>
  <c r="AV359" i="3" s="1" a="1"/>
  <c r="AV359" i="3" s="1"/>
  <c r="AY359" i="3"/>
  <c r="AZ359" i="3"/>
  <c r="BA359" i="3"/>
  <c r="BB359" i="3"/>
  <c r="BC359" i="3"/>
  <c r="BD359" i="3"/>
  <c r="BE359" i="3"/>
  <c r="BF359" i="3"/>
  <c r="BG359" i="3"/>
  <c r="AT360" i="3"/>
  <c r="AU360" i="3"/>
  <c r="AV360" i="3" s="1" a="1"/>
  <c r="AV360" i="3" s="1"/>
  <c r="AY360" i="3"/>
  <c r="AZ360" i="3"/>
  <c r="BA360" i="3"/>
  <c r="BB360" i="3"/>
  <c r="BC360" i="3"/>
  <c r="BD360" i="3"/>
  <c r="BE360" i="3"/>
  <c r="BF360" i="3"/>
  <c r="BG360" i="3"/>
  <c r="AT361" i="3"/>
  <c r="AW361" i="3" s="1" a="1"/>
  <c r="AW361" i="3" s="1"/>
  <c r="AU361" i="3"/>
  <c r="AV361" i="3" s="1" a="1"/>
  <c r="AV361" i="3" s="1"/>
  <c r="AY361" i="3"/>
  <c r="AZ361" i="3"/>
  <c r="BA361" i="3"/>
  <c r="BB361" i="3"/>
  <c r="BC361" i="3"/>
  <c r="BD361" i="3"/>
  <c r="BE361" i="3"/>
  <c r="BF361" i="3"/>
  <c r="BG361" i="3"/>
  <c r="AT362" i="3"/>
  <c r="AX362" i="3" s="1" a="1"/>
  <c r="AX362" i="3" s="1"/>
  <c r="AU362" i="3"/>
  <c r="AV362" i="3" s="1" a="1"/>
  <c r="AV362" i="3" s="1"/>
  <c r="AY362" i="3"/>
  <c r="AZ362" i="3"/>
  <c r="BA362" i="3"/>
  <c r="BB362" i="3"/>
  <c r="BC362" i="3"/>
  <c r="BD362" i="3"/>
  <c r="BE362" i="3"/>
  <c r="BF362" i="3"/>
  <c r="BG362" i="3"/>
  <c r="AT363" i="3"/>
  <c r="AX363" i="3" s="1" a="1"/>
  <c r="AX363" i="3" s="1"/>
  <c r="AU363" i="3"/>
  <c r="AV363" i="3" s="1" a="1"/>
  <c r="AV363" i="3" s="1"/>
  <c r="AY363" i="3"/>
  <c r="AZ363" i="3"/>
  <c r="BA363" i="3"/>
  <c r="BB363" i="3"/>
  <c r="BC363" i="3"/>
  <c r="BD363" i="3"/>
  <c r="BE363" i="3"/>
  <c r="BF363" i="3"/>
  <c r="BG363" i="3"/>
  <c r="AT364" i="3"/>
  <c r="AX364" i="3" s="1" a="1"/>
  <c r="AX364" i="3" s="1"/>
  <c r="AU364" i="3"/>
  <c r="AV364" i="3" s="1" a="1"/>
  <c r="AV364" i="3" s="1"/>
  <c r="AY364" i="3"/>
  <c r="AZ364" i="3"/>
  <c r="BA364" i="3"/>
  <c r="BB364" i="3"/>
  <c r="BC364" i="3"/>
  <c r="BD364" i="3"/>
  <c r="BE364" i="3"/>
  <c r="BF364" i="3"/>
  <c r="BG364" i="3"/>
  <c r="AT365" i="3"/>
  <c r="AW365" i="3" s="1" a="1"/>
  <c r="AW365" i="3" s="1"/>
  <c r="AU365" i="3"/>
  <c r="AV365" i="3" s="1" a="1"/>
  <c r="AV365" i="3" s="1"/>
  <c r="AY365" i="3"/>
  <c r="AZ365" i="3"/>
  <c r="BA365" i="3"/>
  <c r="BB365" i="3"/>
  <c r="BC365" i="3"/>
  <c r="BD365" i="3"/>
  <c r="BE365" i="3"/>
  <c r="BF365" i="3"/>
  <c r="BG365" i="3"/>
  <c r="AT366" i="3"/>
  <c r="AW366" i="3" s="1" a="1"/>
  <c r="AW366" i="3" s="1"/>
  <c r="AU366" i="3"/>
  <c r="AV366" i="3" s="1" a="1"/>
  <c r="AV366" i="3" s="1"/>
  <c r="AY366" i="3"/>
  <c r="AZ366" i="3"/>
  <c r="BA366" i="3"/>
  <c r="BB366" i="3"/>
  <c r="BC366" i="3"/>
  <c r="BD366" i="3"/>
  <c r="BE366" i="3"/>
  <c r="BF366" i="3"/>
  <c r="BG366" i="3"/>
  <c r="AT367" i="3"/>
  <c r="AX367" i="3" s="1" a="1"/>
  <c r="AX367" i="3" s="1"/>
  <c r="AU367" i="3"/>
  <c r="AV367" i="3" s="1" a="1"/>
  <c r="AV367" i="3" s="1"/>
  <c r="AY367" i="3"/>
  <c r="AZ367" i="3"/>
  <c r="BA367" i="3"/>
  <c r="BB367" i="3"/>
  <c r="BC367" i="3"/>
  <c r="BD367" i="3"/>
  <c r="BE367" i="3"/>
  <c r="BF367" i="3"/>
  <c r="BG367" i="3"/>
  <c r="AT368" i="3"/>
  <c r="AW368" i="3" s="1" a="1"/>
  <c r="AW368" i="3" s="1"/>
  <c r="AU368" i="3"/>
  <c r="AV368" i="3" s="1" a="1"/>
  <c r="AV368" i="3" s="1"/>
  <c r="AY368" i="3"/>
  <c r="AZ368" i="3"/>
  <c r="BA368" i="3"/>
  <c r="BB368" i="3"/>
  <c r="BC368" i="3"/>
  <c r="BD368" i="3"/>
  <c r="BE368" i="3"/>
  <c r="BF368" i="3"/>
  <c r="BG368" i="3"/>
  <c r="AT369" i="3"/>
  <c r="AX369" i="3" s="1" a="1"/>
  <c r="AX369" i="3" s="1"/>
  <c r="AU369" i="3"/>
  <c r="AV369" i="3" s="1" a="1"/>
  <c r="AV369" i="3" s="1"/>
  <c r="AY369" i="3"/>
  <c r="AZ369" i="3"/>
  <c r="BA369" i="3"/>
  <c r="BB369" i="3"/>
  <c r="BC369" i="3"/>
  <c r="BD369" i="3"/>
  <c r="BE369" i="3"/>
  <c r="BF369" i="3"/>
  <c r="BG369" i="3"/>
  <c r="AT370" i="3"/>
  <c r="AW370" i="3" s="1" a="1"/>
  <c r="AW370" i="3" s="1"/>
  <c r="AU370" i="3"/>
  <c r="AV370" i="3" s="1" a="1"/>
  <c r="AV370" i="3" s="1"/>
  <c r="AY370" i="3"/>
  <c r="AZ370" i="3"/>
  <c r="BA370" i="3"/>
  <c r="BB370" i="3"/>
  <c r="BC370" i="3"/>
  <c r="BD370" i="3"/>
  <c r="BE370" i="3"/>
  <c r="BF370" i="3"/>
  <c r="BG370" i="3"/>
  <c r="AT371" i="3"/>
  <c r="AU371" i="3"/>
  <c r="AV371" i="3" s="1" a="1"/>
  <c r="AV371" i="3" s="1"/>
  <c r="AY371" i="3"/>
  <c r="AZ371" i="3"/>
  <c r="BA371" i="3"/>
  <c r="BB371" i="3"/>
  <c r="BC371" i="3"/>
  <c r="BD371" i="3"/>
  <c r="BE371" i="3"/>
  <c r="BF371" i="3"/>
  <c r="BG371" i="3"/>
  <c r="AT372" i="3"/>
  <c r="AX372" i="3" s="1" a="1"/>
  <c r="AX372" i="3" s="1"/>
  <c r="AU372" i="3"/>
  <c r="AV372" i="3" s="1" a="1"/>
  <c r="AV372" i="3" s="1"/>
  <c r="AY372" i="3"/>
  <c r="AZ372" i="3"/>
  <c r="BA372" i="3"/>
  <c r="BB372" i="3"/>
  <c r="BC372" i="3"/>
  <c r="BD372" i="3"/>
  <c r="BE372" i="3"/>
  <c r="BF372" i="3"/>
  <c r="BG372" i="3"/>
  <c r="AT373" i="3"/>
  <c r="AW373" i="3" s="1" a="1"/>
  <c r="AW373" i="3" s="1"/>
  <c r="AU373" i="3"/>
  <c r="AV373" i="3" s="1" a="1"/>
  <c r="AV373" i="3" s="1"/>
  <c r="AY373" i="3"/>
  <c r="AZ373" i="3"/>
  <c r="BA373" i="3"/>
  <c r="BB373" i="3"/>
  <c r="BC373" i="3"/>
  <c r="BD373" i="3"/>
  <c r="BE373" i="3"/>
  <c r="BF373" i="3"/>
  <c r="BG373" i="3"/>
  <c r="AT374" i="3"/>
  <c r="AW374" i="3" s="1" a="1"/>
  <c r="AW374" i="3" s="1"/>
  <c r="AU374" i="3"/>
  <c r="AV374" i="3" s="1" a="1"/>
  <c r="AV374" i="3" s="1"/>
  <c r="AY374" i="3"/>
  <c r="AZ374" i="3"/>
  <c r="BA374" i="3"/>
  <c r="BB374" i="3"/>
  <c r="BC374" i="3"/>
  <c r="BD374" i="3"/>
  <c r="BE374" i="3"/>
  <c r="BF374" i="3"/>
  <c r="BG374" i="3"/>
  <c r="AT375" i="3"/>
  <c r="AU375" i="3"/>
  <c r="AV375" i="3" s="1" a="1"/>
  <c r="AV375" i="3" s="1"/>
  <c r="AY375" i="3"/>
  <c r="AZ375" i="3"/>
  <c r="BA375" i="3"/>
  <c r="BB375" i="3"/>
  <c r="BC375" i="3"/>
  <c r="BD375" i="3"/>
  <c r="BE375" i="3"/>
  <c r="BF375" i="3"/>
  <c r="BG375" i="3"/>
  <c r="AT376" i="3"/>
  <c r="AX376" i="3" s="1" a="1"/>
  <c r="AX376" i="3" s="1"/>
  <c r="AU376" i="3"/>
  <c r="AV376" i="3" s="1" a="1"/>
  <c r="AV376" i="3" s="1"/>
  <c r="AY376" i="3"/>
  <c r="AZ376" i="3"/>
  <c r="BA376" i="3"/>
  <c r="BB376" i="3"/>
  <c r="BC376" i="3"/>
  <c r="BD376" i="3"/>
  <c r="BE376" i="3"/>
  <c r="BF376" i="3"/>
  <c r="BG376" i="3"/>
  <c r="AT377" i="3"/>
  <c r="AW377" i="3" s="1" a="1"/>
  <c r="AW377" i="3" s="1"/>
  <c r="AU377" i="3"/>
  <c r="AV377" i="3" s="1" a="1"/>
  <c r="AV377" i="3" s="1"/>
  <c r="AY377" i="3"/>
  <c r="AZ377" i="3"/>
  <c r="BA377" i="3"/>
  <c r="BB377" i="3"/>
  <c r="BC377" i="3"/>
  <c r="BD377" i="3"/>
  <c r="BE377" i="3"/>
  <c r="BF377" i="3"/>
  <c r="BG377" i="3"/>
  <c r="AT378" i="3"/>
  <c r="AW378" i="3" s="1" a="1"/>
  <c r="AW378" i="3" s="1"/>
  <c r="AU378" i="3"/>
  <c r="AV378" i="3" s="1" a="1"/>
  <c r="AV378" i="3" s="1"/>
  <c r="AY378" i="3"/>
  <c r="AZ378" i="3"/>
  <c r="BA378" i="3"/>
  <c r="BB378" i="3"/>
  <c r="BC378" i="3"/>
  <c r="BD378" i="3"/>
  <c r="BE378" i="3"/>
  <c r="BF378" i="3"/>
  <c r="BG378" i="3"/>
  <c r="AT379" i="3"/>
  <c r="AX379" i="3" s="1" a="1"/>
  <c r="AX379" i="3" s="1"/>
  <c r="AU379" i="3"/>
  <c r="AV379" i="3" s="1" a="1"/>
  <c r="AV379" i="3" s="1"/>
  <c r="AY379" i="3"/>
  <c r="AZ379" i="3"/>
  <c r="BA379" i="3"/>
  <c r="BB379" i="3"/>
  <c r="BC379" i="3"/>
  <c r="BD379" i="3"/>
  <c r="BE379" i="3"/>
  <c r="BF379" i="3"/>
  <c r="BG379" i="3"/>
  <c r="AT380" i="3"/>
  <c r="AX380" i="3" s="1" a="1"/>
  <c r="AX380" i="3" s="1"/>
  <c r="AU380" i="3"/>
  <c r="AV380" i="3" s="1" a="1"/>
  <c r="AV380" i="3" s="1"/>
  <c r="AY380" i="3"/>
  <c r="AZ380" i="3"/>
  <c r="BA380" i="3"/>
  <c r="BB380" i="3"/>
  <c r="BC380" i="3"/>
  <c r="BD380" i="3"/>
  <c r="BE380" i="3"/>
  <c r="BF380" i="3"/>
  <c r="BG380" i="3"/>
  <c r="AT381" i="3"/>
  <c r="AU381" i="3"/>
  <c r="AV381" i="3" s="1" a="1"/>
  <c r="AV381" i="3" s="1"/>
  <c r="AY381" i="3"/>
  <c r="AZ381" i="3"/>
  <c r="BA381" i="3"/>
  <c r="BB381" i="3"/>
  <c r="BC381" i="3"/>
  <c r="BD381" i="3"/>
  <c r="BE381" i="3"/>
  <c r="BF381" i="3"/>
  <c r="BG381" i="3"/>
  <c r="AT382" i="3"/>
  <c r="AX382" i="3" s="1" a="1"/>
  <c r="AX382" i="3" s="1"/>
  <c r="AU382" i="3"/>
  <c r="AV382" i="3" s="1" a="1"/>
  <c r="AV382" i="3" s="1"/>
  <c r="AY382" i="3"/>
  <c r="AZ382" i="3"/>
  <c r="BA382" i="3"/>
  <c r="BB382" i="3"/>
  <c r="BC382" i="3"/>
  <c r="BD382" i="3"/>
  <c r="BE382" i="3"/>
  <c r="BF382" i="3"/>
  <c r="BG382" i="3"/>
  <c r="AT383" i="3"/>
  <c r="AW383" i="3" s="1" a="1"/>
  <c r="AW383" i="3" s="1"/>
  <c r="AU383" i="3"/>
  <c r="AV383" i="3" s="1" a="1"/>
  <c r="AV383" i="3" s="1"/>
  <c r="AY383" i="3"/>
  <c r="AZ383" i="3"/>
  <c r="BA383" i="3"/>
  <c r="BB383" i="3"/>
  <c r="BC383" i="3"/>
  <c r="BD383" i="3"/>
  <c r="BE383" i="3"/>
  <c r="BF383" i="3"/>
  <c r="BG383" i="3"/>
  <c r="AT384" i="3"/>
  <c r="AW384" i="3" s="1" a="1"/>
  <c r="AW384" i="3" s="1"/>
  <c r="AU384" i="3"/>
  <c r="AV384" i="3" s="1" a="1"/>
  <c r="AV384" i="3" s="1"/>
  <c r="AY384" i="3"/>
  <c r="AZ384" i="3"/>
  <c r="BA384" i="3"/>
  <c r="BB384" i="3"/>
  <c r="BC384" i="3"/>
  <c r="BD384" i="3"/>
  <c r="BE384" i="3"/>
  <c r="BF384" i="3"/>
  <c r="BG384" i="3"/>
  <c r="AT385" i="3"/>
  <c r="AW385" i="3" s="1" a="1"/>
  <c r="AW385" i="3" s="1"/>
  <c r="AU385" i="3"/>
  <c r="AV385" i="3" s="1" a="1"/>
  <c r="AV385" i="3" s="1"/>
  <c r="AY385" i="3"/>
  <c r="AZ385" i="3"/>
  <c r="BA385" i="3"/>
  <c r="BB385" i="3"/>
  <c r="BC385" i="3"/>
  <c r="BD385" i="3"/>
  <c r="BE385" i="3"/>
  <c r="BF385" i="3"/>
  <c r="BG385" i="3"/>
  <c r="AT386" i="3"/>
  <c r="AU386" i="3"/>
  <c r="AV386" i="3" s="1" a="1"/>
  <c r="AV386" i="3" s="1"/>
  <c r="AY386" i="3"/>
  <c r="AZ386" i="3"/>
  <c r="BA386" i="3"/>
  <c r="BB386" i="3"/>
  <c r="BC386" i="3"/>
  <c r="BD386" i="3"/>
  <c r="BE386" i="3"/>
  <c r="BF386" i="3"/>
  <c r="BG386" i="3"/>
  <c r="AT387" i="3"/>
  <c r="AX387" i="3" s="1" a="1"/>
  <c r="AX387" i="3" s="1"/>
  <c r="AU387" i="3"/>
  <c r="AV387" i="3" s="1" a="1"/>
  <c r="AV387" i="3" s="1"/>
  <c r="AY387" i="3"/>
  <c r="AZ387" i="3"/>
  <c r="BA387" i="3"/>
  <c r="BB387" i="3"/>
  <c r="BC387" i="3"/>
  <c r="BD387" i="3"/>
  <c r="BE387" i="3"/>
  <c r="BF387" i="3"/>
  <c r="BG387" i="3"/>
  <c r="AT388" i="3"/>
  <c r="AX388" i="3" s="1" a="1"/>
  <c r="AX388" i="3" s="1"/>
  <c r="AU388" i="3"/>
  <c r="AV388" i="3" s="1" a="1"/>
  <c r="AV388" i="3" s="1"/>
  <c r="AY388" i="3"/>
  <c r="AZ388" i="3"/>
  <c r="BA388" i="3"/>
  <c r="BB388" i="3"/>
  <c r="BC388" i="3"/>
  <c r="BD388" i="3"/>
  <c r="BE388" i="3"/>
  <c r="BF388" i="3"/>
  <c r="BG388" i="3"/>
  <c r="AT389" i="3"/>
  <c r="AW389" i="3" s="1" a="1"/>
  <c r="AW389" i="3" s="1"/>
  <c r="AU389" i="3"/>
  <c r="AV389" i="3" s="1" a="1"/>
  <c r="AV389" i="3" s="1"/>
  <c r="AY389" i="3"/>
  <c r="AZ389" i="3"/>
  <c r="BA389" i="3"/>
  <c r="BB389" i="3"/>
  <c r="BC389" i="3"/>
  <c r="BD389" i="3"/>
  <c r="BE389" i="3"/>
  <c r="BF389" i="3"/>
  <c r="BG389" i="3"/>
  <c r="AT390" i="3"/>
  <c r="AU390" i="3"/>
  <c r="AV390" i="3" s="1" a="1"/>
  <c r="AV390" i="3" s="1"/>
  <c r="AY390" i="3"/>
  <c r="AZ390" i="3"/>
  <c r="BA390" i="3"/>
  <c r="BB390" i="3"/>
  <c r="BC390" i="3"/>
  <c r="BD390" i="3"/>
  <c r="BE390" i="3"/>
  <c r="BF390" i="3"/>
  <c r="BG390" i="3"/>
  <c r="AT391" i="3"/>
  <c r="AU391" i="3"/>
  <c r="AV391" i="3" s="1" a="1"/>
  <c r="AV391" i="3" s="1"/>
  <c r="AY391" i="3"/>
  <c r="AZ391" i="3"/>
  <c r="BA391" i="3"/>
  <c r="BB391" i="3"/>
  <c r="BC391" i="3"/>
  <c r="BD391" i="3"/>
  <c r="BE391" i="3"/>
  <c r="BF391" i="3"/>
  <c r="BG391" i="3"/>
  <c r="AT392" i="3"/>
  <c r="AU392" i="3"/>
  <c r="AV392" i="3" s="1" a="1"/>
  <c r="AV392" i="3" s="1"/>
  <c r="AY392" i="3"/>
  <c r="AZ392" i="3"/>
  <c r="BA392" i="3"/>
  <c r="BB392" i="3"/>
  <c r="BC392" i="3"/>
  <c r="BD392" i="3"/>
  <c r="BE392" i="3"/>
  <c r="BF392" i="3"/>
  <c r="BG392" i="3"/>
  <c r="AT393" i="3"/>
  <c r="AW393" i="3" s="1" a="1"/>
  <c r="AW393" i="3" s="1"/>
  <c r="AU393" i="3"/>
  <c r="AV393" i="3" s="1" a="1"/>
  <c r="AV393" i="3" s="1"/>
  <c r="AY393" i="3"/>
  <c r="AZ393" i="3"/>
  <c r="BA393" i="3"/>
  <c r="BB393" i="3"/>
  <c r="BC393" i="3"/>
  <c r="BD393" i="3"/>
  <c r="BE393" i="3"/>
  <c r="BF393" i="3"/>
  <c r="BG393" i="3"/>
  <c r="AT394" i="3"/>
  <c r="AW394" i="3" s="1" a="1"/>
  <c r="AW394" i="3" s="1"/>
  <c r="AU394" i="3"/>
  <c r="AV394" i="3" s="1" a="1"/>
  <c r="AV394" i="3" s="1"/>
  <c r="AY394" i="3"/>
  <c r="AZ394" i="3"/>
  <c r="BA394" i="3"/>
  <c r="BB394" i="3"/>
  <c r="BC394" i="3"/>
  <c r="BD394" i="3"/>
  <c r="BE394" i="3"/>
  <c r="BF394" i="3"/>
  <c r="BG394" i="3"/>
  <c r="AT395" i="3"/>
  <c r="AW395" i="3" s="1" a="1"/>
  <c r="AW395" i="3" s="1"/>
  <c r="AU395" i="3"/>
  <c r="AV395" i="3" s="1" a="1"/>
  <c r="AV395" i="3" s="1"/>
  <c r="AY395" i="3"/>
  <c r="AZ395" i="3"/>
  <c r="BA395" i="3"/>
  <c r="BB395" i="3"/>
  <c r="BC395" i="3"/>
  <c r="BD395" i="3"/>
  <c r="BE395" i="3"/>
  <c r="BF395" i="3"/>
  <c r="BG395" i="3"/>
  <c r="AT396" i="3"/>
  <c r="AU396" i="3"/>
  <c r="AV396" i="3" s="1" a="1"/>
  <c r="AV396" i="3" s="1"/>
  <c r="AY396" i="3"/>
  <c r="AZ396" i="3"/>
  <c r="BA396" i="3"/>
  <c r="BB396" i="3"/>
  <c r="BC396" i="3"/>
  <c r="BD396" i="3"/>
  <c r="BE396" i="3"/>
  <c r="BF396" i="3"/>
  <c r="BG396" i="3"/>
  <c r="AT397" i="3"/>
  <c r="AW397" i="3" s="1" a="1"/>
  <c r="AW397" i="3" s="1"/>
  <c r="AU397" i="3"/>
  <c r="AV397" i="3" s="1" a="1"/>
  <c r="AV397" i="3" s="1"/>
  <c r="AY397" i="3"/>
  <c r="AZ397" i="3"/>
  <c r="BA397" i="3"/>
  <c r="BB397" i="3"/>
  <c r="BC397" i="3"/>
  <c r="BD397" i="3"/>
  <c r="BE397" i="3"/>
  <c r="BF397" i="3"/>
  <c r="BG397" i="3"/>
  <c r="AT398" i="3"/>
  <c r="AX398" i="3" s="1" a="1"/>
  <c r="AX398" i="3" s="1"/>
  <c r="AU398" i="3"/>
  <c r="AV398" i="3" s="1" a="1"/>
  <c r="AV398" i="3" s="1"/>
  <c r="AY398" i="3"/>
  <c r="AZ398" i="3"/>
  <c r="BA398" i="3"/>
  <c r="BB398" i="3"/>
  <c r="BC398" i="3"/>
  <c r="BD398" i="3"/>
  <c r="BE398" i="3"/>
  <c r="BF398" i="3"/>
  <c r="BG398" i="3"/>
  <c r="AT399" i="3"/>
  <c r="AU399" i="3"/>
  <c r="AV399" i="3" s="1" a="1"/>
  <c r="AV399" i="3" s="1"/>
  <c r="AY399" i="3"/>
  <c r="AZ399" i="3"/>
  <c r="BA399" i="3"/>
  <c r="BB399" i="3"/>
  <c r="BC399" i="3"/>
  <c r="BD399" i="3"/>
  <c r="BE399" i="3"/>
  <c r="BF399" i="3"/>
  <c r="BG399" i="3"/>
  <c r="AT400" i="3"/>
  <c r="AX400" i="3" s="1" a="1"/>
  <c r="AX400" i="3" s="1"/>
  <c r="AU400" i="3"/>
  <c r="AV400" i="3" s="1" a="1"/>
  <c r="AV400" i="3" s="1"/>
  <c r="AY400" i="3"/>
  <c r="AZ400" i="3"/>
  <c r="BA400" i="3"/>
  <c r="BB400" i="3"/>
  <c r="BC400" i="3"/>
  <c r="BD400" i="3"/>
  <c r="BE400" i="3"/>
  <c r="BF400" i="3"/>
  <c r="BG400" i="3"/>
  <c r="AT401" i="3"/>
  <c r="AW401" i="3" s="1" a="1"/>
  <c r="AW401" i="3" s="1"/>
  <c r="AU401" i="3"/>
  <c r="AV401" i="3" s="1" a="1"/>
  <c r="AV401" i="3" s="1"/>
  <c r="AY401" i="3"/>
  <c r="AZ401" i="3"/>
  <c r="BA401" i="3"/>
  <c r="BB401" i="3"/>
  <c r="BC401" i="3"/>
  <c r="BD401" i="3"/>
  <c r="BE401" i="3"/>
  <c r="BF401" i="3"/>
  <c r="BG401" i="3"/>
  <c r="AT402" i="3"/>
  <c r="AW402" i="3" s="1" a="1"/>
  <c r="AW402" i="3" s="1"/>
  <c r="AU402" i="3"/>
  <c r="AV402" i="3" s="1" a="1"/>
  <c r="AV402" i="3" s="1"/>
  <c r="AY402" i="3"/>
  <c r="AZ402" i="3"/>
  <c r="BA402" i="3"/>
  <c r="BB402" i="3"/>
  <c r="BC402" i="3"/>
  <c r="BD402" i="3"/>
  <c r="BE402" i="3"/>
  <c r="BF402" i="3"/>
  <c r="BG402" i="3"/>
  <c r="AT403" i="3"/>
  <c r="AX403" i="3" s="1" a="1"/>
  <c r="AX403" i="3" s="1"/>
  <c r="AU403" i="3"/>
  <c r="AV403" i="3" s="1" a="1"/>
  <c r="AV403" i="3" s="1"/>
  <c r="AY403" i="3"/>
  <c r="AZ403" i="3"/>
  <c r="BA403" i="3"/>
  <c r="BB403" i="3"/>
  <c r="BC403" i="3"/>
  <c r="BD403" i="3"/>
  <c r="BE403" i="3"/>
  <c r="BF403" i="3"/>
  <c r="BG403" i="3"/>
  <c r="AT404" i="3"/>
  <c r="AW404" i="3" s="1" a="1"/>
  <c r="AW404" i="3" s="1"/>
  <c r="AU404" i="3"/>
  <c r="AV404" i="3" s="1" a="1"/>
  <c r="AV404" i="3" s="1"/>
  <c r="AY404" i="3"/>
  <c r="AZ404" i="3"/>
  <c r="BA404" i="3"/>
  <c r="BB404" i="3"/>
  <c r="BC404" i="3"/>
  <c r="BD404" i="3"/>
  <c r="BE404" i="3"/>
  <c r="BF404" i="3"/>
  <c r="BG404" i="3"/>
  <c r="AT405" i="3"/>
  <c r="AW405" i="3" s="1" a="1"/>
  <c r="AW405" i="3" s="1"/>
  <c r="AU405" i="3"/>
  <c r="AV405" i="3" s="1" a="1"/>
  <c r="AV405" i="3" s="1"/>
  <c r="AY405" i="3"/>
  <c r="AZ405" i="3"/>
  <c r="BA405" i="3"/>
  <c r="BB405" i="3"/>
  <c r="BC405" i="3"/>
  <c r="BD405" i="3"/>
  <c r="BE405" i="3"/>
  <c r="BF405" i="3"/>
  <c r="BG405" i="3"/>
  <c r="AT406" i="3"/>
  <c r="AW406" i="3" s="1" a="1"/>
  <c r="AW406" i="3" s="1"/>
  <c r="AU406" i="3"/>
  <c r="AV406" i="3" s="1" a="1"/>
  <c r="AV406" i="3" s="1"/>
  <c r="AY406" i="3"/>
  <c r="AZ406" i="3"/>
  <c r="BA406" i="3"/>
  <c r="BB406" i="3"/>
  <c r="BC406" i="3"/>
  <c r="BD406" i="3"/>
  <c r="BE406" i="3"/>
  <c r="BF406" i="3"/>
  <c r="BG406" i="3"/>
  <c r="AT407" i="3"/>
  <c r="AW407" i="3" s="1" a="1"/>
  <c r="AW407" i="3" s="1"/>
  <c r="AU407" i="3"/>
  <c r="AV407" i="3" s="1" a="1"/>
  <c r="AV407" i="3" s="1"/>
  <c r="AY407" i="3"/>
  <c r="AZ407" i="3"/>
  <c r="BA407" i="3"/>
  <c r="BB407" i="3"/>
  <c r="BC407" i="3"/>
  <c r="BD407" i="3"/>
  <c r="BE407" i="3"/>
  <c r="BF407" i="3"/>
  <c r="BG407" i="3"/>
  <c r="AT408" i="3"/>
  <c r="AW408" i="3" s="1" a="1"/>
  <c r="AW408" i="3" s="1"/>
  <c r="AU408" i="3"/>
  <c r="AV408" i="3" s="1" a="1"/>
  <c r="AV408" i="3" s="1"/>
  <c r="AY408" i="3"/>
  <c r="AZ408" i="3"/>
  <c r="BA408" i="3"/>
  <c r="BB408" i="3"/>
  <c r="BC408" i="3"/>
  <c r="BD408" i="3"/>
  <c r="BE408" i="3"/>
  <c r="BF408" i="3"/>
  <c r="BG408" i="3"/>
  <c r="AT409" i="3"/>
  <c r="AW409" i="3" s="1" a="1"/>
  <c r="AW409" i="3" s="1"/>
  <c r="AU409" i="3"/>
  <c r="AV409" i="3" s="1" a="1"/>
  <c r="AV409" i="3" s="1"/>
  <c r="AY409" i="3"/>
  <c r="AZ409" i="3"/>
  <c r="BA409" i="3"/>
  <c r="BB409" i="3"/>
  <c r="BC409" i="3"/>
  <c r="BD409" i="3"/>
  <c r="BE409" i="3"/>
  <c r="BF409" i="3"/>
  <c r="BG409" i="3"/>
  <c r="AT410" i="3"/>
  <c r="AW410" i="3" s="1" a="1"/>
  <c r="AW410" i="3" s="1"/>
  <c r="AU410" i="3"/>
  <c r="AV410" i="3" s="1" a="1"/>
  <c r="AV410" i="3" s="1"/>
  <c r="AY410" i="3"/>
  <c r="AZ410" i="3"/>
  <c r="BA410" i="3"/>
  <c r="BB410" i="3"/>
  <c r="BC410" i="3"/>
  <c r="BD410" i="3"/>
  <c r="BE410" i="3"/>
  <c r="BF410" i="3"/>
  <c r="BG410" i="3"/>
  <c r="AT411" i="3"/>
  <c r="AX411" i="3" s="1" a="1"/>
  <c r="AX411" i="3" s="1"/>
  <c r="AU411" i="3"/>
  <c r="AV411" i="3" s="1" a="1"/>
  <c r="AV411" i="3" s="1"/>
  <c r="AY411" i="3"/>
  <c r="AZ411" i="3"/>
  <c r="BA411" i="3"/>
  <c r="BB411" i="3"/>
  <c r="BC411" i="3"/>
  <c r="BD411" i="3"/>
  <c r="BE411" i="3"/>
  <c r="BF411" i="3"/>
  <c r="BG411" i="3"/>
  <c r="AT412" i="3"/>
  <c r="AW412" i="3" s="1" a="1"/>
  <c r="AW412" i="3" s="1"/>
  <c r="AU412" i="3"/>
  <c r="AV412" i="3" s="1" a="1"/>
  <c r="AV412" i="3" s="1"/>
  <c r="AY412" i="3"/>
  <c r="AZ412" i="3"/>
  <c r="BA412" i="3"/>
  <c r="BB412" i="3"/>
  <c r="BC412" i="3"/>
  <c r="BD412" i="3"/>
  <c r="BE412" i="3"/>
  <c r="BF412" i="3"/>
  <c r="BG412" i="3"/>
  <c r="AT413" i="3"/>
  <c r="AW413" i="3" s="1" a="1"/>
  <c r="AW413" i="3" s="1"/>
  <c r="AU413" i="3"/>
  <c r="AV413" i="3" s="1" a="1"/>
  <c r="AV413" i="3" s="1"/>
  <c r="AY413" i="3"/>
  <c r="AZ413" i="3"/>
  <c r="BA413" i="3"/>
  <c r="BB413" i="3"/>
  <c r="BC413" i="3"/>
  <c r="BD413" i="3"/>
  <c r="BE413" i="3"/>
  <c r="BF413" i="3"/>
  <c r="BG413" i="3"/>
  <c r="AT414" i="3"/>
  <c r="AW414" i="3" s="1" a="1"/>
  <c r="AW414" i="3" s="1"/>
  <c r="AU414" i="3"/>
  <c r="AV414" i="3" s="1" a="1"/>
  <c r="AV414" i="3" s="1"/>
  <c r="AY414" i="3"/>
  <c r="AZ414" i="3"/>
  <c r="BA414" i="3"/>
  <c r="BB414" i="3"/>
  <c r="BC414" i="3"/>
  <c r="BD414" i="3"/>
  <c r="BE414" i="3"/>
  <c r="BF414" i="3"/>
  <c r="BG414" i="3"/>
  <c r="AT415" i="3"/>
  <c r="AX415" i="3" s="1" a="1"/>
  <c r="AX415" i="3" s="1"/>
  <c r="AU415" i="3"/>
  <c r="AV415" i="3" s="1" a="1"/>
  <c r="AV415" i="3" s="1"/>
  <c r="AY415" i="3"/>
  <c r="AZ415" i="3"/>
  <c r="BA415" i="3"/>
  <c r="BB415" i="3"/>
  <c r="BC415" i="3"/>
  <c r="BD415" i="3"/>
  <c r="BE415" i="3"/>
  <c r="BF415" i="3"/>
  <c r="BG415" i="3"/>
  <c r="AT416" i="3"/>
  <c r="AU416" i="3"/>
  <c r="AV416" i="3" s="1" a="1"/>
  <c r="AV416" i="3" s="1"/>
  <c r="AY416" i="3"/>
  <c r="AZ416" i="3"/>
  <c r="BA416" i="3"/>
  <c r="BB416" i="3"/>
  <c r="BC416" i="3"/>
  <c r="BD416" i="3"/>
  <c r="BE416" i="3"/>
  <c r="BF416" i="3"/>
  <c r="BG416" i="3"/>
  <c r="AT417" i="3"/>
  <c r="AW417" i="3" s="1" a="1"/>
  <c r="AW417" i="3" s="1"/>
  <c r="AU417" i="3"/>
  <c r="AV417" i="3" s="1" a="1"/>
  <c r="AV417" i="3" s="1"/>
  <c r="AY417" i="3"/>
  <c r="AZ417" i="3"/>
  <c r="BA417" i="3"/>
  <c r="BB417" i="3"/>
  <c r="BC417" i="3"/>
  <c r="BD417" i="3"/>
  <c r="BE417" i="3"/>
  <c r="BF417" i="3"/>
  <c r="BG417" i="3"/>
  <c r="AT418" i="3"/>
  <c r="AW418" i="3" s="1" a="1"/>
  <c r="AW418" i="3" s="1"/>
  <c r="AU418" i="3"/>
  <c r="AV418" i="3" s="1" a="1"/>
  <c r="AV418" i="3" s="1"/>
  <c r="AY418" i="3"/>
  <c r="AZ418" i="3"/>
  <c r="BA418" i="3"/>
  <c r="BB418" i="3"/>
  <c r="BC418" i="3"/>
  <c r="BD418" i="3"/>
  <c r="BE418" i="3"/>
  <c r="BF418" i="3"/>
  <c r="BG418" i="3"/>
  <c r="AT419" i="3"/>
  <c r="AX419" i="3" s="1" a="1"/>
  <c r="AX419" i="3" s="1"/>
  <c r="AU419" i="3"/>
  <c r="AV419" i="3" s="1" a="1"/>
  <c r="AV419" i="3" s="1"/>
  <c r="AY419" i="3"/>
  <c r="AZ419" i="3"/>
  <c r="BA419" i="3"/>
  <c r="BB419" i="3"/>
  <c r="BC419" i="3"/>
  <c r="BD419" i="3"/>
  <c r="BE419" i="3"/>
  <c r="BF419" i="3"/>
  <c r="BG419" i="3"/>
  <c r="AT420" i="3"/>
  <c r="AW420" i="3" s="1" a="1"/>
  <c r="AW420" i="3" s="1"/>
  <c r="AU420" i="3"/>
  <c r="AV420" i="3" s="1" a="1"/>
  <c r="AV420" i="3" s="1"/>
  <c r="AY420" i="3"/>
  <c r="AZ420" i="3"/>
  <c r="BA420" i="3"/>
  <c r="BB420" i="3"/>
  <c r="BC420" i="3"/>
  <c r="BD420" i="3"/>
  <c r="BE420" i="3"/>
  <c r="BF420" i="3"/>
  <c r="BG420" i="3"/>
  <c r="AT421" i="3"/>
  <c r="AX421" i="3" s="1" a="1"/>
  <c r="AX421" i="3" s="1"/>
  <c r="AU421" i="3"/>
  <c r="AV421" i="3" s="1" a="1"/>
  <c r="AV421" i="3" s="1"/>
  <c r="AY421" i="3"/>
  <c r="AZ421" i="3"/>
  <c r="BA421" i="3"/>
  <c r="BB421" i="3"/>
  <c r="BC421" i="3"/>
  <c r="BD421" i="3"/>
  <c r="BE421" i="3"/>
  <c r="BF421" i="3"/>
  <c r="BG421" i="3"/>
  <c r="AT422" i="3"/>
  <c r="AW422" i="3" s="1" a="1"/>
  <c r="AW422" i="3" s="1"/>
  <c r="AU422" i="3"/>
  <c r="AV422" i="3" s="1" a="1"/>
  <c r="AV422" i="3" s="1"/>
  <c r="AY422" i="3"/>
  <c r="AZ422" i="3"/>
  <c r="BA422" i="3"/>
  <c r="BB422" i="3"/>
  <c r="BC422" i="3"/>
  <c r="BD422" i="3"/>
  <c r="BE422" i="3"/>
  <c r="BF422" i="3"/>
  <c r="BG422" i="3"/>
  <c r="AT423" i="3"/>
  <c r="AW423" i="3" s="1" a="1"/>
  <c r="AW423" i="3" s="1"/>
  <c r="AU423" i="3"/>
  <c r="AV423" i="3" s="1" a="1"/>
  <c r="AV423" i="3" s="1"/>
  <c r="AY423" i="3"/>
  <c r="AZ423" i="3"/>
  <c r="BA423" i="3"/>
  <c r="BB423" i="3"/>
  <c r="BC423" i="3"/>
  <c r="BD423" i="3"/>
  <c r="BE423" i="3"/>
  <c r="BF423" i="3"/>
  <c r="BG423" i="3"/>
  <c r="AT424" i="3"/>
  <c r="AU424" i="3"/>
  <c r="AV424" i="3" s="1" a="1"/>
  <c r="AV424" i="3" s="1"/>
  <c r="AY424" i="3"/>
  <c r="AZ424" i="3"/>
  <c r="BA424" i="3"/>
  <c r="BB424" i="3"/>
  <c r="BC424" i="3"/>
  <c r="BD424" i="3"/>
  <c r="BE424" i="3"/>
  <c r="BF424" i="3"/>
  <c r="BG424" i="3"/>
  <c r="AT425" i="3"/>
  <c r="AW425" i="3" s="1" a="1"/>
  <c r="AW425" i="3" s="1"/>
  <c r="AU425" i="3"/>
  <c r="AV425" i="3" s="1" a="1"/>
  <c r="AV425" i="3" s="1"/>
  <c r="AY425" i="3"/>
  <c r="AZ425" i="3"/>
  <c r="BA425" i="3"/>
  <c r="BB425" i="3"/>
  <c r="BC425" i="3"/>
  <c r="BD425" i="3"/>
  <c r="BE425" i="3"/>
  <c r="BF425" i="3"/>
  <c r="BG425" i="3"/>
  <c r="AT426" i="3"/>
  <c r="AW426" i="3" s="1" a="1"/>
  <c r="AW426" i="3" s="1"/>
  <c r="AU426" i="3"/>
  <c r="AV426" i="3" s="1" a="1"/>
  <c r="AV426" i="3" s="1"/>
  <c r="AY426" i="3"/>
  <c r="AZ426" i="3"/>
  <c r="BA426" i="3"/>
  <c r="BB426" i="3"/>
  <c r="BC426" i="3"/>
  <c r="BD426" i="3"/>
  <c r="BE426" i="3"/>
  <c r="BF426" i="3"/>
  <c r="BG426" i="3"/>
  <c r="AT427" i="3"/>
  <c r="AX427" i="3" s="1" a="1"/>
  <c r="AX427" i="3" s="1"/>
  <c r="AU427" i="3"/>
  <c r="AV427" i="3" s="1" a="1"/>
  <c r="AV427" i="3" s="1"/>
  <c r="AY427" i="3"/>
  <c r="AZ427" i="3"/>
  <c r="BA427" i="3"/>
  <c r="BB427" i="3"/>
  <c r="BC427" i="3"/>
  <c r="BD427" i="3"/>
  <c r="BE427" i="3"/>
  <c r="BF427" i="3"/>
  <c r="BG427" i="3"/>
  <c r="AT428" i="3"/>
  <c r="AW428" i="3" s="1" a="1"/>
  <c r="AW428" i="3" s="1"/>
  <c r="AU428" i="3"/>
  <c r="AV428" i="3" s="1" a="1"/>
  <c r="AV428" i="3" s="1"/>
  <c r="AY428" i="3"/>
  <c r="AZ428" i="3"/>
  <c r="BA428" i="3"/>
  <c r="BB428" i="3"/>
  <c r="BC428" i="3"/>
  <c r="BD428" i="3"/>
  <c r="BE428" i="3"/>
  <c r="BF428" i="3"/>
  <c r="BG428" i="3"/>
  <c r="AT429" i="3"/>
  <c r="AW429" i="3" s="1" a="1"/>
  <c r="AW429" i="3" s="1"/>
  <c r="AU429" i="3"/>
  <c r="AV429" i="3" s="1" a="1"/>
  <c r="AV429" i="3" s="1"/>
  <c r="AY429" i="3"/>
  <c r="AZ429" i="3"/>
  <c r="BA429" i="3"/>
  <c r="BB429" i="3"/>
  <c r="BC429" i="3"/>
  <c r="BD429" i="3"/>
  <c r="BE429" i="3"/>
  <c r="BF429" i="3"/>
  <c r="BG429" i="3"/>
  <c r="AT430" i="3"/>
  <c r="AW430" i="3" s="1" a="1"/>
  <c r="AW430" i="3" s="1"/>
  <c r="AU430" i="3"/>
  <c r="AV430" i="3" s="1" a="1"/>
  <c r="AV430" i="3" s="1"/>
  <c r="AY430" i="3"/>
  <c r="AZ430" i="3"/>
  <c r="BA430" i="3"/>
  <c r="BB430" i="3"/>
  <c r="BC430" i="3"/>
  <c r="BD430" i="3"/>
  <c r="BE430" i="3"/>
  <c r="BF430" i="3"/>
  <c r="BG430" i="3"/>
  <c r="AT431" i="3"/>
  <c r="AW431" i="3" s="1" a="1"/>
  <c r="AW431" i="3" s="1"/>
  <c r="AU431" i="3"/>
  <c r="AV431" i="3" s="1" a="1"/>
  <c r="AV431" i="3" s="1"/>
  <c r="AY431" i="3"/>
  <c r="AZ431" i="3"/>
  <c r="BA431" i="3"/>
  <c r="BB431" i="3"/>
  <c r="BC431" i="3"/>
  <c r="BD431" i="3"/>
  <c r="BE431" i="3"/>
  <c r="BF431" i="3"/>
  <c r="BG431" i="3"/>
  <c r="AT432" i="3"/>
  <c r="AW432" i="3" s="1" a="1"/>
  <c r="AW432" i="3" s="1"/>
  <c r="AU432" i="3"/>
  <c r="AV432" i="3" s="1" a="1"/>
  <c r="AV432" i="3" s="1"/>
  <c r="AY432" i="3"/>
  <c r="AZ432" i="3"/>
  <c r="BA432" i="3"/>
  <c r="BB432" i="3"/>
  <c r="BC432" i="3"/>
  <c r="BD432" i="3"/>
  <c r="BE432" i="3"/>
  <c r="BF432" i="3"/>
  <c r="BG432" i="3"/>
  <c r="AT433" i="3"/>
  <c r="AU433" i="3"/>
  <c r="AV433" i="3" s="1" a="1"/>
  <c r="AV433" i="3" s="1"/>
  <c r="AY433" i="3"/>
  <c r="AZ433" i="3"/>
  <c r="BA433" i="3"/>
  <c r="BB433" i="3"/>
  <c r="BC433" i="3"/>
  <c r="BD433" i="3"/>
  <c r="BE433" i="3"/>
  <c r="BF433" i="3"/>
  <c r="BG433" i="3"/>
  <c r="AT434" i="3"/>
  <c r="AX434" i="3" s="1" a="1"/>
  <c r="AX434" i="3" s="1"/>
  <c r="AU434" i="3"/>
  <c r="AV434" i="3" s="1" a="1"/>
  <c r="AV434" i="3" s="1"/>
  <c r="AY434" i="3"/>
  <c r="AZ434" i="3"/>
  <c r="BA434" i="3"/>
  <c r="BB434" i="3"/>
  <c r="BC434" i="3"/>
  <c r="BD434" i="3"/>
  <c r="BE434" i="3"/>
  <c r="BF434" i="3"/>
  <c r="BG434" i="3"/>
  <c r="AT435" i="3"/>
  <c r="AU435" i="3"/>
  <c r="AV435" i="3" s="1" a="1"/>
  <c r="AV435" i="3" s="1"/>
  <c r="AY435" i="3"/>
  <c r="AZ435" i="3"/>
  <c r="BA435" i="3"/>
  <c r="BB435" i="3"/>
  <c r="BC435" i="3"/>
  <c r="BD435" i="3"/>
  <c r="BE435" i="3"/>
  <c r="BF435" i="3"/>
  <c r="BG435" i="3"/>
  <c r="AT436" i="3"/>
  <c r="AW436" i="3" s="1" a="1"/>
  <c r="AW436" i="3" s="1"/>
  <c r="AU436" i="3"/>
  <c r="AV436" i="3" s="1" a="1"/>
  <c r="AV436" i="3" s="1"/>
  <c r="AY436" i="3"/>
  <c r="AZ436" i="3"/>
  <c r="BA436" i="3"/>
  <c r="BB436" i="3"/>
  <c r="BC436" i="3"/>
  <c r="BD436" i="3"/>
  <c r="BE436" i="3"/>
  <c r="BF436" i="3"/>
  <c r="BG436" i="3"/>
  <c r="AT437" i="3"/>
  <c r="AU437" i="3"/>
  <c r="AV437" i="3" s="1" a="1"/>
  <c r="AV437" i="3" s="1"/>
  <c r="AY437" i="3"/>
  <c r="AZ437" i="3"/>
  <c r="BA437" i="3"/>
  <c r="BB437" i="3"/>
  <c r="BC437" i="3"/>
  <c r="BD437" i="3"/>
  <c r="BE437" i="3"/>
  <c r="BF437" i="3"/>
  <c r="BG437" i="3"/>
  <c r="AT438" i="3"/>
  <c r="AW438" i="3" s="1" a="1"/>
  <c r="AW438" i="3" s="1"/>
  <c r="AU438" i="3"/>
  <c r="AV438" i="3" s="1" a="1"/>
  <c r="AV438" i="3" s="1"/>
  <c r="AY438" i="3"/>
  <c r="AZ438" i="3"/>
  <c r="BA438" i="3"/>
  <c r="BB438" i="3"/>
  <c r="BC438" i="3"/>
  <c r="BD438" i="3"/>
  <c r="BE438" i="3"/>
  <c r="BF438" i="3"/>
  <c r="BG438" i="3"/>
  <c r="AT439" i="3"/>
  <c r="AX439" i="3" s="1" a="1"/>
  <c r="AX439" i="3" s="1"/>
  <c r="AU439" i="3"/>
  <c r="AV439" i="3" s="1" a="1"/>
  <c r="AV439" i="3" s="1"/>
  <c r="AY439" i="3"/>
  <c r="AZ439" i="3"/>
  <c r="BA439" i="3"/>
  <c r="BB439" i="3"/>
  <c r="BC439" i="3"/>
  <c r="BD439" i="3"/>
  <c r="BE439" i="3"/>
  <c r="BF439" i="3"/>
  <c r="BG439" i="3"/>
  <c r="AT440" i="3"/>
  <c r="AU440" i="3"/>
  <c r="AV440" i="3" s="1" a="1"/>
  <c r="AV440" i="3" s="1"/>
  <c r="AY440" i="3"/>
  <c r="AZ440" i="3"/>
  <c r="BA440" i="3"/>
  <c r="BB440" i="3"/>
  <c r="BC440" i="3"/>
  <c r="BD440" i="3"/>
  <c r="BE440" i="3"/>
  <c r="BF440" i="3"/>
  <c r="BG440" i="3"/>
  <c r="AT441" i="3"/>
  <c r="AW441" i="3" s="1" a="1"/>
  <c r="AW441" i="3" s="1"/>
  <c r="AU441" i="3"/>
  <c r="AV441" i="3" s="1" a="1"/>
  <c r="AV441" i="3" s="1"/>
  <c r="AY441" i="3"/>
  <c r="AZ441" i="3"/>
  <c r="BA441" i="3"/>
  <c r="BB441" i="3"/>
  <c r="BC441" i="3"/>
  <c r="BD441" i="3"/>
  <c r="BE441" i="3"/>
  <c r="BF441" i="3"/>
  <c r="BG441" i="3"/>
  <c r="AT442" i="3"/>
  <c r="AW442" i="3" s="1" a="1"/>
  <c r="AW442" i="3" s="1"/>
  <c r="AU442" i="3"/>
  <c r="AV442" i="3" s="1" a="1"/>
  <c r="AV442" i="3" s="1"/>
  <c r="AY442" i="3"/>
  <c r="AZ442" i="3"/>
  <c r="BA442" i="3"/>
  <c r="BB442" i="3"/>
  <c r="BC442" i="3"/>
  <c r="BD442" i="3"/>
  <c r="BE442" i="3"/>
  <c r="BF442" i="3"/>
  <c r="BG442" i="3"/>
  <c r="AT443" i="3"/>
  <c r="AU443" i="3"/>
  <c r="AV443" i="3" s="1" a="1"/>
  <c r="AV443" i="3" s="1"/>
  <c r="AY443" i="3"/>
  <c r="AZ443" i="3"/>
  <c r="BA443" i="3"/>
  <c r="BB443" i="3"/>
  <c r="BC443" i="3"/>
  <c r="BD443" i="3"/>
  <c r="BE443" i="3"/>
  <c r="BF443" i="3"/>
  <c r="BG443" i="3"/>
  <c r="AT444" i="3"/>
  <c r="AW444" i="3" s="1" a="1"/>
  <c r="AW444" i="3" s="1"/>
  <c r="AU444" i="3"/>
  <c r="AV444" i="3" s="1" a="1"/>
  <c r="AV444" i="3" s="1"/>
  <c r="AY444" i="3"/>
  <c r="AZ444" i="3"/>
  <c r="BA444" i="3"/>
  <c r="BB444" i="3"/>
  <c r="BC444" i="3"/>
  <c r="BD444" i="3"/>
  <c r="BE444" i="3"/>
  <c r="BF444" i="3"/>
  <c r="BG444" i="3"/>
  <c r="AT445" i="3"/>
  <c r="AU445" i="3"/>
  <c r="AV445" i="3" s="1" a="1"/>
  <c r="AV445" i="3" s="1"/>
  <c r="AY445" i="3"/>
  <c r="AZ445" i="3"/>
  <c r="BA445" i="3"/>
  <c r="BB445" i="3"/>
  <c r="BC445" i="3"/>
  <c r="BD445" i="3"/>
  <c r="BE445" i="3"/>
  <c r="BF445" i="3"/>
  <c r="BG445" i="3"/>
  <c r="AT446" i="3"/>
  <c r="AW446" i="3" s="1" a="1"/>
  <c r="AW446" i="3" s="1"/>
  <c r="AU446" i="3"/>
  <c r="AV446" i="3" s="1" a="1"/>
  <c r="AV446" i="3" s="1"/>
  <c r="AY446" i="3"/>
  <c r="AZ446" i="3"/>
  <c r="BA446" i="3"/>
  <c r="BB446" i="3"/>
  <c r="BC446" i="3"/>
  <c r="BD446" i="3"/>
  <c r="BE446" i="3"/>
  <c r="BF446" i="3"/>
  <c r="BG446" i="3"/>
  <c r="AT447" i="3"/>
  <c r="AX447" i="3" s="1" a="1"/>
  <c r="AX447" i="3" s="1"/>
  <c r="AU447" i="3"/>
  <c r="AV447" i="3" s="1" a="1"/>
  <c r="AV447" i="3" s="1"/>
  <c r="AY447" i="3"/>
  <c r="AZ447" i="3"/>
  <c r="BA447" i="3"/>
  <c r="BB447" i="3"/>
  <c r="BC447" i="3"/>
  <c r="BD447" i="3"/>
  <c r="BE447" i="3"/>
  <c r="BF447" i="3"/>
  <c r="BG447" i="3"/>
  <c r="AT448" i="3"/>
  <c r="AW448" i="3" s="1" a="1"/>
  <c r="AW448" i="3" s="1"/>
  <c r="AU448" i="3"/>
  <c r="AV448" i="3" s="1" a="1"/>
  <c r="AV448" i="3" s="1"/>
  <c r="AY448" i="3"/>
  <c r="AZ448" i="3"/>
  <c r="BA448" i="3"/>
  <c r="BB448" i="3"/>
  <c r="BC448" i="3"/>
  <c r="BD448" i="3"/>
  <c r="BE448" i="3"/>
  <c r="BF448" i="3"/>
  <c r="BG448" i="3"/>
  <c r="AT449" i="3"/>
  <c r="AX449" i="3" s="1" a="1"/>
  <c r="AX449" i="3" s="1"/>
  <c r="AU449" i="3"/>
  <c r="AV449" i="3" s="1" a="1"/>
  <c r="AV449" i="3" s="1"/>
  <c r="AY449" i="3"/>
  <c r="AZ449" i="3"/>
  <c r="BA449" i="3"/>
  <c r="BB449" i="3"/>
  <c r="BC449" i="3"/>
  <c r="BD449" i="3"/>
  <c r="BE449" i="3"/>
  <c r="BF449" i="3"/>
  <c r="BG449" i="3"/>
  <c r="AT450" i="3"/>
  <c r="AU450" i="3"/>
  <c r="AV450" i="3" s="1" a="1"/>
  <c r="AV450" i="3" s="1"/>
  <c r="AY450" i="3"/>
  <c r="AZ450" i="3"/>
  <c r="BA450" i="3"/>
  <c r="BB450" i="3"/>
  <c r="BC450" i="3"/>
  <c r="BD450" i="3"/>
  <c r="BE450" i="3"/>
  <c r="BF450" i="3"/>
  <c r="BG450" i="3"/>
  <c r="AT451" i="3"/>
  <c r="AW451" i="3" s="1" a="1"/>
  <c r="AW451" i="3" s="1"/>
  <c r="AU451" i="3"/>
  <c r="AV451" i="3" s="1" a="1"/>
  <c r="AV451" i="3" s="1"/>
  <c r="AY451" i="3"/>
  <c r="AZ451" i="3"/>
  <c r="BA451" i="3"/>
  <c r="BB451" i="3"/>
  <c r="BC451" i="3"/>
  <c r="BD451" i="3"/>
  <c r="BE451" i="3"/>
  <c r="BF451" i="3"/>
  <c r="BG451" i="3"/>
  <c r="AT452" i="3"/>
  <c r="AU452" i="3"/>
  <c r="AV452" i="3" s="1" a="1"/>
  <c r="AV452" i="3" s="1"/>
  <c r="AY452" i="3"/>
  <c r="AZ452" i="3"/>
  <c r="BA452" i="3"/>
  <c r="BB452" i="3"/>
  <c r="BC452" i="3"/>
  <c r="BD452" i="3"/>
  <c r="BE452" i="3"/>
  <c r="BF452" i="3"/>
  <c r="BG452" i="3"/>
  <c r="AT453" i="3"/>
  <c r="AW453" i="3" s="1" a="1"/>
  <c r="AW453" i="3" s="1"/>
  <c r="AU453" i="3"/>
  <c r="AV453" i="3" s="1" a="1"/>
  <c r="AV453" i="3" s="1"/>
  <c r="AY453" i="3"/>
  <c r="AZ453" i="3"/>
  <c r="BA453" i="3"/>
  <c r="BB453" i="3"/>
  <c r="BC453" i="3"/>
  <c r="BD453" i="3"/>
  <c r="BE453" i="3"/>
  <c r="BF453" i="3"/>
  <c r="BG453" i="3"/>
  <c r="AT454" i="3"/>
  <c r="AU454" i="3"/>
  <c r="AV454" i="3" s="1" a="1"/>
  <c r="AV454" i="3" s="1"/>
  <c r="AY454" i="3"/>
  <c r="AZ454" i="3"/>
  <c r="BA454" i="3"/>
  <c r="BB454" i="3"/>
  <c r="BC454" i="3"/>
  <c r="BD454" i="3"/>
  <c r="BE454" i="3"/>
  <c r="BF454" i="3"/>
  <c r="BG454" i="3"/>
  <c r="AT455" i="3"/>
  <c r="AX455" i="3" s="1" a="1"/>
  <c r="AX455" i="3" s="1"/>
  <c r="AU455" i="3"/>
  <c r="AV455" i="3" s="1" a="1"/>
  <c r="AV455" i="3" s="1"/>
  <c r="AY455" i="3"/>
  <c r="AZ455" i="3"/>
  <c r="BA455" i="3"/>
  <c r="BB455" i="3"/>
  <c r="BC455" i="3"/>
  <c r="BD455" i="3"/>
  <c r="BE455" i="3"/>
  <c r="BF455" i="3"/>
  <c r="BG455" i="3"/>
  <c r="AT456" i="3"/>
  <c r="AW456" i="3" s="1" a="1"/>
  <c r="AW456" i="3" s="1"/>
  <c r="AU456" i="3"/>
  <c r="AV456" i="3" s="1" a="1"/>
  <c r="AV456" i="3" s="1"/>
  <c r="AY456" i="3"/>
  <c r="AZ456" i="3"/>
  <c r="BA456" i="3"/>
  <c r="BB456" i="3"/>
  <c r="BC456" i="3"/>
  <c r="BD456" i="3"/>
  <c r="BE456" i="3"/>
  <c r="BF456" i="3"/>
  <c r="BG456" i="3"/>
  <c r="AT457" i="3"/>
  <c r="AW457" i="3" s="1" a="1"/>
  <c r="AW457" i="3" s="1"/>
  <c r="AU457" i="3"/>
  <c r="AV457" i="3" s="1" a="1"/>
  <c r="AV457" i="3" s="1"/>
  <c r="AY457" i="3"/>
  <c r="AZ457" i="3"/>
  <c r="BA457" i="3"/>
  <c r="BB457" i="3"/>
  <c r="BC457" i="3"/>
  <c r="BD457" i="3"/>
  <c r="BE457" i="3"/>
  <c r="BF457" i="3"/>
  <c r="BG457" i="3"/>
  <c r="AT458" i="3"/>
  <c r="AW458" i="3" s="1" a="1"/>
  <c r="AW458" i="3" s="1"/>
  <c r="AU458" i="3"/>
  <c r="AV458" i="3" s="1" a="1"/>
  <c r="AV458" i="3" s="1"/>
  <c r="AY458" i="3"/>
  <c r="AZ458" i="3"/>
  <c r="BA458" i="3"/>
  <c r="BB458" i="3"/>
  <c r="BC458" i="3"/>
  <c r="BD458" i="3"/>
  <c r="BE458" i="3"/>
  <c r="BF458" i="3"/>
  <c r="BG458" i="3"/>
  <c r="AT459" i="3"/>
  <c r="AX459" i="3" s="1" a="1"/>
  <c r="AX459" i="3" s="1"/>
  <c r="AU459" i="3"/>
  <c r="AV459" i="3" s="1" a="1"/>
  <c r="AV459" i="3" s="1"/>
  <c r="AY459" i="3"/>
  <c r="AZ459" i="3"/>
  <c r="BA459" i="3"/>
  <c r="BB459" i="3"/>
  <c r="BC459" i="3"/>
  <c r="BD459" i="3"/>
  <c r="BE459" i="3"/>
  <c r="BF459" i="3"/>
  <c r="BG459" i="3"/>
  <c r="AT460" i="3"/>
  <c r="AW460" i="3" s="1" a="1"/>
  <c r="AW460" i="3" s="1"/>
  <c r="AU460" i="3"/>
  <c r="AV460" i="3" s="1" a="1"/>
  <c r="AV460" i="3" s="1"/>
  <c r="AY460" i="3"/>
  <c r="AZ460" i="3"/>
  <c r="BA460" i="3"/>
  <c r="BB460" i="3"/>
  <c r="BC460" i="3"/>
  <c r="BD460" i="3"/>
  <c r="BE460" i="3"/>
  <c r="BF460" i="3"/>
  <c r="BG460" i="3"/>
  <c r="AT461" i="3"/>
  <c r="AU461" i="3"/>
  <c r="AV461" i="3" s="1" a="1"/>
  <c r="AV461" i="3" s="1"/>
  <c r="AY461" i="3"/>
  <c r="AZ461" i="3"/>
  <c r="BA461" i="3"/>
  <c r="BB461" i="3"/>
  <c r="BC461" i="3"/>
  <c r="BD461" i="3"/>
  <c r="BE461" i="3"/>
  <c r="BF461" i="3"/>
  <c r="BG461" i="3"/>
  <c r="AT462" i="3"/>
  <c r="AU462" i="3"/>
  <c r="AV462" i="3" s="1" a="1"/>
  <c r="AV462" i="3" s="1"/>
  <c r="AY462" i="3"/>
  <c r="AZ462" i="3"/>
  <c r="BA462" i="3"/>
  <c r="BB462" i="3"/>
  <c r="BC462" i="3"/>
  <c r="BD462" i="3"/>
  <c r="BE462" i="3"/>
  <c r="BF462" i="3"/>
  <c r="BG462" i="3"/>
  <c r="AT463" i="3"/>
  <c r="AW463" i="3" s="1" a="1"/>
  <c r="AW463" i="3" s="1"/>
  <c r="AU463" i="3"/>
  <c r="AV463" i="3" s="1" a="1"/>
  <c r="AV463" i="3" s="1"/>
  <c r="AY463" i="3"/>
  <c r="AZ463" i="3"/>
  <c r="BA463" i="3"/>
  <c r="BB463" i="3"/>
  <c r="BC463" i="3"/>
  <c r="BD463" i="3"/>
  <c r="BE463" i="3"/>
  <c r="BF463" i="3"/>
  <c r="BG463" i="3"/>
  <c r="AT464" i="3"/>
  <c r="AU464" i="3"/>
  <c r="AV464" i="3" s="1" a="1"/>
  <c r="AV464" i="3" s="1"/>
  <c r="AY464" i="3"/>
  <c r="AZ464" i="3"/>
  <c r="BA464" i="3"/>
  <c r="BB464" i="3"/>
  <c r="BC464" i="3"/>
  <c r="BD464" i="3"/>
  <c r="BE464" i="3"/>
  <c r="BF464" i="3"/>
  <c r="BG464" i="3"/>
  <c r="AT465" i="3"/>
  <c r="AU465" i="3"/>
  <c r="AV465" i="3" s="1" a="1"/>
  <c r="AV465" i="3" s="1"/>
  <c r="AY465" i="3"/>
  <c r="AZ465" i="3"/>
  <c r="BA465" i="3"/>
  <c r="BB465" i="3"/>
  <c r="BC465" i="3"/>
  <c r="BD465" i="3"/>
  <c r="BE465" i="3"/>
  <c r="BF465" i="3"/>
  <c r="BG465" i="3"/>
  <c r="AT466" i="3"/>
  <c r="AW466" i="3" s="1" a="1"/>
  <c r="AW466" i="3" s="1"/>
  <c r="AU466" i="3"/>
  <c r="AV466" i="3" s="1" a="1"/>
  <c r="AV466" i="3" s="1"/>
  <c r="AY466" i="3"/>
  <c r="AZ466" i="3"/>
  <c r="BA466" i="3"/>
  <c r="BB466" i="3"/>
  <c r="BC466" i="3"/>
  <c r="BD466" i="3"/>
  <c r="BE466" i="3"/>
  <c r="BF466" i="3"/>
  <c r="BG466" i="3"/>
  <c r="AT467" i="3"/>
  <c r="AU467" i="3"/>
  <c r="AV467" i="3" s="1" a="1"/>
  <c r="AV467" i="3" s="1"/>
  <c r="AY467" i="3"/>
  <c r="AZ467" i="3"/>
  <c r="BA467" i="3"/>
  <c r="BB467" i="3"/>
  <c r="BC467" i="3"/>
  <c r="BD467" i="3"/>
  <c r="BE467" i="3"/>
  <c r="BF467" i="3"/>
  <c r="BG467" i="3"/>
  <c r="AT468" i="3"/>
  <c r="AW468" i="3" s="1" a="1"/>
  <c r="AW468" i="3" s="1"/>
  <c r="AU468" i="3"/>
  <c r="AV468" i="3" s="1" a="1"/>
  <c r="AV468" i="3" s="1"/>
  <c r="AY468" i="3"/>
  <c r="AZ468" i="3"/>
  <c r="BA468" i="3"/>
  <c r="BB468" i="3"/>
  <c r="BC468" i="3"/>
  <c r="BD468" i="3"/>
  <c r="BE468" i="3"/>
  <c r="BF468" i="3"/>
  <c r="BG468" i="3"/>
  <c r="AT469" i="3"/>
  <c r="AU469" i="3"/>
  <c r="AV469" i="3" s="1" a="1"/>
  <c r="AV469" i="3" s="1"/>
  <c r="AY469" i="3"/>
  <c r="AZ469" i="3"/>
  <c r="BA469" i="3"/>
  <c r="BB469" i="3"/>
  <c r="BC469" i="3"/>
  <c r="BD469" i="3"/>
  <c r="BE469" i="3"/>
  <c r="BF469" i="3"/>
  <c r="BG469" i="3"/>
  <c r="AT470" i="3"/>
  <c r="AW470" i="3" s="1" a="1"/>
  <c r="AW470" i="3" s="1"/>
  <c r="AU470" i="3"/>
  <c r="AV470" i="3" s="1" a="1"/>
  <c r="AV470" i="3" s="1"/>
  <c r="AY470" i="3"/>
  <c r="AZ470" i="3"/>
  <c r="BA470" i="3"/>
  <c r="BB470" i="3"/>
  <c r="BC470" i="3"/>
  <c r="BD470" i="3"/>
  <c r="BE470" i="3"/>
  <c r="BF470" i="3"/>
  <c r="BG470" i="3"/>
  <c r="AT471" i="3"/>
  <c r="AU471" i="3"/>
  <c r="AV471" i="3" s="1" a="1"/>
  <c r="AV471" i="3" s="1"/>
  <c r="AY471" i="3"/>
  <c r="AZ471" i="3"/>
  <c r="BA471" i="3"/>
  <c r="BB471" i="3"/>
  <c r="BC471" i="3"/>
  <c r="BD471" i="3"/>
  <c r="BE471" i="3"/>
  <c r="BF471" i="3"/>
  <c r="BG471" i="3"/>
  <c r="AT472" i="3"/>
  <c r="AU472" i="3"/>
  <c r="AV472" i="3" s="1" a="1"/>
  <c r="AV472" i="3" s="1"/>
  <c r="AY472" i="3"/>
  <c r="AZ472" i="3"/>
  <c r="BA472" i="3"/>
  <c r="BB472" i="3"/>
  <c r="BC472" i="3"/>
  <c r="BD472" i="3"/>
  <c r="BE472" i="3"/>
  <c r="BF472" i="3"/>
  <c r="BG472" i="3"/>
  <c r="AT473" i="3"/>
  <c r="AU473" i="3"/>
  <c r="AV473" i="3" s="1" a="1"/>
  <c r="AV473" i="3" s="1"/>
  <c r="AY473" i="3"/>
  <c r="AZ473" i="3"/>
  <c r="BA473" i="3"/>
  <c r="BB473" i="3"/>
  <c r="BC473" i="3"/>
  <c r="BD473" i="3"/>
  <c r="BE473" i="3"/>
  <c r="BF473" i="3"/>
  <c r="BG473" i="3"/>
  <c r="AT474" i="3"/>
  <c r="AU474" i="3"/>
  <c r="AV474" i="3" s="1" a="1"/>
  <c r="AV474" i="3" s="1"/>
  <c r="AY474" i="3"/>
  <c r="AZ474" i="3"/>
  <c r="BA474" i="3"/>
  <c r="BB474" i="3"/>
  <c r="BC474" i="3"/>
  <c r="BD474" i="3"/>
  <c r="BE474" i="3"/>
  <c r="BF474" i="3"/>
  <c r="BG474" i="3"/>
  <c r="AT475" i="3"/>
  <c r="AU475" i="3"/>
  <c r="AV475" i="3" s="1" a="1"/>
  <c r="AV475" i="3" s="1"/>
  <c r="AY475" i="3"/>
  <c r="AZ475" i="3"/>
  <c r="BA475" i="3"/>
  <c r="BB475" i="3"/>
  <c r="BC475" i="3"/>
  <c r="BD475" i="3"/>
  <c r="BE475" i="3"/>
  <c r="BF475" i="3"/>
  <c r="BG475" i="3"/>
  <c r="AT476" i="3"/>
  <c r="AX476" i="3" s="1" a="1"/>
  <c r="AX476" i="3" s="1"/>
  <c r="AU476" i="3"/>
  <c r="AV476" i="3" s="1" a="1"/>
  <c r="AV476" i="3" s="1"/>
  <c r="AY476" i="3"/>
  <c r="AZ476" i="3"/>
  <c r="BA476" i="3"/>
  <c r="BB476" i="3"/>
  <c r="BC476" i="3"/>
  <c r="BD476" i="3"/>
  <c r="BE476" i="3"/>
  <c r="BF476" i="3"/>
  <c r="BG476" i="3"/>
  <c r="AT477" i="3"/>
  <c r="AW477" i="3" s="1" a="1"/>
  <c r="AW477" i="3" s="1"/>
  <c r="AU477" i="3"/>
  <c r="AV477" i="3" s="1" a="1"/>
  <c r="AV477" i="3" s="1"/>
  <c r="AY477" i="3"/>
  <c r="AZ477" i="3"/>
  <c r="BA477" i="3"/>
  <c r="BB477" i="3"/>
  <c r="BC477" i="3"/>
  <c r="BD477" i="3"/>
  <c r="BE477" i="3"/>
  <c r="BF477" i="3"/>
  <c r="BG477" i="3"/>
  <c r="AT478" i="3"/>
  <c r="AX478" i="3" s="1" a="1"/>
  <c r="AX478" i="3" s="1"/>
  <c r="AU478" i="3"/>
  <c r="AV478" i="3" s="1" a="1"/>
  <c r="AV478" i="3" s="1"/>
  <c r="AY478" i="3"/>
  <c r="AZ478" i="3"/>
  <c r="BA478" i="3"/>
  <c r="BB478" i="3"/>
  <c r="BC478" i="3"/>
  <c r="BD478" i="3"/>
  <c r="BE478" i="3"/>
  <c r="BF478" i="3"/>
  <c r="BG478" i="3"/>
  <c r="AT479" i="3"/>
  <c r="AU479" i="3"/>
  <c r="AV479" i="3" s="1" a="1"/>
  <c r="AV479" i="3" s="1"/>
  <c r="AY479" i="3"/>
  <c r="AZ479" i="3"/>
  <c r="BA479" i="3"/>
  <c r="BB479" i="3"/>
  <c r="BC479" i="3"/>
  <c r="BD479" i="3"/>
  <c r="BE479" i="3"/>
  <c r="BF479" i="3"/>
  <c r="BG479" i="3"/>
  <c r="AT480" i="3"/>
  <c r="AW480" i="3" s="1" a="1"/>
  <c r="AW480" i="3" s="1"/>
  <c r="AU480" i="3"/>
  <c r="AV480" i="3" s="1" a="1"/>
  <c r="AV480" i="3" s="1"/>
  <c r="AY480" i="3"/>
  <c r="AZ480" i="3"/>
  <c r="BA480" i="3"/>
  <c r="BB480" i="3"/>
  <c r="BC480" i="3"/>
  <c r="BD480" i="3"/>
  <c r="BE480" i="3"/>
  <c r="BF480" i="3"/>
  <c r="BG480" i="3"/>
  <c r="AT481" i="3"/>
  <c r="AU481" i="3"/>
  <c r="AV481" i="3" s="1" a="1"/>
  <c r="AV481" i="3" s="1"/>
  <c r="AY481" i="3"/>
  <c r="AZ481" i="3"/>
  <c r="BA481" i="3"/>
  <c r="BB481" i="3"/>
  <c r="BC481" i="3"/>
  <c r="BD481" i="3"/>
  <c r="BE481" i="3"/>
  <c r="BF481" i="3"/>
  <c r="BG481" i="3"/>
  <c r="AT482" i="3"/>
  <c r="AU482" i="3"/>
  <c r="AV482" i="3" s="1" a="1"/>
  <c r="AV482" i="3" s="1"/>
  <c r="AY482" i="3"/>
  <c r="AZ482" i="3"/>
  <c r="BA482" i="3"/>
  <c r="BB482" i="3"/>
  <c r="BC482" i="3"/>
  <c r="BD482" i="3"/>
  <c r="BE482" i="3"/>
  <c r="BF482" i="3"/>
  <c r="BG482" i="3"/>
  <c r="AT483" i="3"/>
  <c r="AX483" i="3" s="1" a="1"/>
  <c r="AX483" i="3" s="1"/>
  <c r="AU483" i="3"/>
  <c r="AV483" i="3" s="1" a="1"/>
  <c r="AV483" i="3" s="1"/>
  <c r="AY483" i="3"/>
  <c r="AZ483" i="3"/>
  <c r="BA483" i="3"/>
  <c r="BB483" i="3"/>
  <c r="BC483" i="3"/>
  <c r="BD483" i="3"/>
  <c r="BE483" i="3"/>
  <c r="BF483" i="3"/>
  <c r="BG483" i="3"/>
  <c r="AT484" i="3"/>
  <c r="AU484" i="3"/>
  <c r="AV484" i="3" s="1" a="1"/>
  <c r="AV484" i="3" s="1"/>
  <c r="AY484" i="3"/>
  <c r="AZ484" i="3"/>
  <c r="BA484" i="3"/>
  <c r="BB484" i="3"/>
  <c r="BC484" i="3"/>
  <c r="BD484" i="3"/>
  <c r="BE484" i="3"/>
  <c r="BF484" i="3"/>
  <c r="BG484" i="3"/>
  <c r="AT485" i="3"/>
  <c r="AW485" i="3" s="1" a="1"/>
  <c r="AW485" i="3" s="1"/>
  <c r="AU485" i="3"/>
  <c r="AV485" i="3" s="1" a="1"/>
  <c r="AV485" i="3" s="1"/>
  <c r="AY485" i="3"/>
  <c r="AZ485" i="3"/>
  <c r="BA485" i="3"/>
  <c r="BB485" i="3"/>
  <c r="BC485" i="3"/>
  <c r="BD485" i="3"/>
  <c r="BE485" i="3"/>
  <c r="BF485" i="3"/>
  <c r="BG485" i="3"/>
  <c r="AT486" i="3"/>
  <c r="AW486" i="3" s="1" a="1"/>
  <c r="AW486" i="3" s="1"/>
  <c r="AU486" i="3"/>
  <c r="AV486" i="3" s="1" a="1"/>
  <c r="AV486" i="3" s="1"/>
  <c r="AY486" i="3"/>
  <c r="AZ486" i="3"/>
  <c r="BA486" i="3"/>
  <c r="BB486" i="3"/>
  <c r="BC486" i="3"/>
  <c r="BD486" i="3"/>
  <c r="BE486" i="3"/>
  <c r="BF486" i="3"/>
  <c r="BG486" i="3"/>
  <c r="AT487" i="3"/>
  <c r="AW487" i="3" s="1" a="1"/>
  <c r="AW487" i="3" s="1"/>
  <c r="AU487" i="3"/>
  <c r="AV487" i="3" s="1" a="1"/>
  <c r="AV487" i="3" s="1"/>
  <c r="AY487" i="3"/>
  <c r="AZ487" i="3"/>
  <c r="BA487" i="3"/>
  <c r="BB487" i="3"/>
  <c r="BC487" i="3"/>
  <c r="BD487" i="3"/>
  <c r="BE487" i="3"/>
  <c r="BF487" i="3"/>
  <c r="BG487" i="3"/>
  <c r="AT488" i="3"/>
  <c r="AU488" i="3"/>
  <c r="AV488" i="3" s="1" a="1"/>
  <c r="AV488" i="3" s="1"/>
  <c r="AY488" i="3"/>
  <c r="AZ488" i="3"/>
  <c r="BA488" i="3"/>
  <c r="BB488" i="3"/>
  <c r="BC488" i="3"/>
  <c r="BD488" i="3"/>
  <c r="BE488" i="3"/>
  <c r="BF488" i="3"/>
  <c r="BG488" i="3"/>
  <c r="AT489" i="3"/>
  <c r="AU489" i="3"/>
  <c r="AV489" i="3" s="1" a="1"/>
  <c r="AV489" i="3" s="1"/>
  <c r="AY489" i="3"/>
  <c r="AZ489" i="3"/>
  <c r="BA489" i="3"/>
  <c r="BB489" i="3"/>
  <c r="BC489" i="3"/>
  <c r="BD489" i="3"/>
  <c r="BE489" i="3"/>
  <c r="BF489" i="3"/>
  <c r="BG489" i="3"/>
  <c r="AT490" i="3"/>
  <c r="AU490" i="3"/>
  <c r="AV490" i="3" s="1" a="1"/>
  <c r="AV490" i="3" s="1"/>
  <c r="AY490" i="3"/>
  <c r="AZ490" i="3"/>
  <c r="BA490" i="3"/>
  <c r="BB490" i="3"/>
  <c r="BC490" i="3"/>
  <c r="BD490" i="3"/>
  <c r="BE490" i="3"/>
  <c r="BF490" i="3"/>
  <c r="BG490" i="3"/>
  <c r="AT491" i="3"/>
  <c r="AX491" i="3" s="1" a="1"/>
  <c r="AX491" i="3" s="1"/>
  <c r="AU491" i="3"/>
  <c r="AV491" i="3" s="1" a="1"/>
  <c r="AV491" i="3" s="1"/>
  <c r="AY491" i="3"/>
  <c r="AZ491" i="3"/>
  <c r="BA491" i="3"/>
  <c r="BB491" i="3"/>
  <c r="BC491" i="3"/>
  <c r="BD491" i="3"/>
  <c r="BE491" i="3"/>
  <c r="BF491" i="3"/>
  <c r="BG491" i="3"/>
  <c r="AT492" i="3"/>
  <c r="AW492" i="3" s="1" a="1"/>
  <c r="AW492" i="3" s="1"/>
  <c r="AU492" i="3"/>
  <c r="AV492" i="3" s="1" a="1"/>
  <c r="AV492" i="3" s="1"/>
  <c r="AY492" i="3"/>
  <c r="AZ492" i="3"/>
  <c r="BA492" i="3"/>
  <c r="BB492" i="3"/>
  <c r="BC492" i="3"/>
  <c r="BD492" i="3"/>
  <c r="BE492" i="3"/>
  <c r="BF492" i="3"/>
  <c r="BG492" i="3"/>
  <c r="AT493" i="3"/>
  <c r="AX493" i="3" s="1" a="1"/>
  <c r="AX493" i="3" s="1"/>
  <c r="AU493" i="3"/>
  <c r="AV493" i="3" s="1" a="1"/>
  <c r="AV493" i="3" s="1"/>
  <c r="AY493" i="3"/>
  <c r="AZ493" i="3"/>
  <c r="BA493" i="3"/>
  <c r="BB493" i="3"/>
  <c r="BC493" i="3"/>
  <c r="BD493" i="3"/>
  <c r="BE493" i="3"/>
  <c r="BF493" i="3"/>
  <c r="BG493" i="3"/>
  <c r="AT494" i="3"/>
  <c r="AU494" i="3"/>
  <c r="AV494" i="3" s="1" a="1"/>
  <c r="AV494" i="3" s="1"/>
  <c r="AY494" i="3"/>
  <c r="AZ494" i="3"/>
  <c r="BA494" i="3"/>
  <c r="BB494" i="3"/>
  <c r="BC494" i="3"/>
  <c r="BD494" i="3"/>
  <c r="BE494" i="3"/>
  <c r="BF494" i="3"/>
  <c r="BG494" i="3"/>
  <c r="AT495" i="3"/>
  <c r="AW495" i="3" s="1" a="1"/>
  <c r="AW495" i="3" s="1"/>
  <c r="AU495" i="3"/>
  <c r="AV495" i="3" s="1" a="1"/>
  <c r="AV495" i="3" s="1"/>
  <c r="AY495" i="3"/>
  <c r="AZ495" i="3"/>
  <c r="BA495" i="3"/>
  <c r="BB495" i="3"/>
  <c r="BC495" i="3"/>
  <c r="BD495" i="3"/>
  <c r="BE495" i="3"/>
  <c r="BF495" i="3"/>
  <c r="BG495" i="3"/>
  <c r="AT496" i="3"/>
  <c r="AX496" i="3" s="1" a="1"/>
  <c r="AX496" i="3" s="1"/>
  <c r="AU496" i="3"/>
  <c r="AV496" i="3" s="1" a="1"/>
  <c r="AV496" i="3" s="1"/>
  <c r="AY496" i="3"/>
  <c r="AZ496" i="3"/>
  <c r="BA496" i="3"/>
  <c r="BB496" i="3"/>
  <c r="BC496" i="3"/>
  <c r="BD496" i="3"/>
  <c r="BE496" i="3"/>
  <c r="BF496" i="3"/>
  <c r="BG496" i="3"/>
  <c r="AT497" i="3"/>
  <c r="AW497" i="3" s="1" a="1"/>
  <c r="AW497" i="3" s="1"/>
  <c r="AU497" i="3"/>
  <c r="AV497" i="3" s="1" a="1"/>
  <c r="AV497" i="3" s="1"/>
  <c r="AY497" i="3"/>
  <c r="AZ497" i="3"/>
  <c r="BA497" i="3"/>
  <c r="BB497" i="3"/>
  <c r="BC497" i="3"/>
  <c r="BD497" i="3"/>
  <c r="BE497" i="3"/>
  <c r="BF497" i="3"/>
  <c r="BG497" i="3"/>
  <c r="AT498" i="3"/>
  <c r="AW498" i="3" s="1" a="1"/>
  <c r="AW498" i="3" s="1"/>
  <c r="AU498" i="3"/>
  <c r="AV498" i="3" s="1" a="1"/>
  <c r="AV498" i="3" s="1"/>
  <c r="AY498" i="3"/>
  <c r="AZ498" i="3"/>
  <c r="BA498" i="3"/>
  <c r="BB498" i="3"/>
  <c r="BC498" i="3"/>
  <c r="BD498" i="3"/>
  <c r="BE498" i="3"/>
  <c r="BF498" i="3"/>
  <c r="BG498" i="3"/>
  <c r="AT499" i="3"/>
  <c r="AW499" i="3" s="1" a="1"/>
  <c r="AW499" i="3" s="1"/>
  <c r="AU499" i="3"/>
  <c r="AV499" i="3" s="1" a="1"/>
  <c r="AV499" i="3" s="1"/>
  <c r="AY499" i="3"/>
  <c r="AZ499" i="3"/>
  <c r="BA499" i="3"/>
  <c r="BB499" i="3"/>
  <c r="BC499" i="3"/>
  <c r="BD499" i="3"/>
  <c r="BE499" i="3"/>
  <c r="BF499" i="3"/>
  <c r="BG499" i="3"/>
  <c r="AT500" i="3"/>
  <c r="AU500" i="3"/>
  <c r="AV500" i="3" s="1" a="1"/>
  <c r="AV500" i="3" s="1"/>
  <c r="AY500" i="3"/>
  <c r="AZ500" i="3"/>
  <c r="BA500" i="3"/>
  <c r="BB500" i="3"/>
  <c r="BC500" i="3"/>
  <c r="BD500" i="3"/>
  <c r="BE500" i="3"/>
  <c r="BF500" i="3"/>
  <c r="BG500" i="3"/>
  <c r="AT501" i="3"/>
  <c r="AX501" i="3" s="1" a="1"/>
  <c r="AX501" i="3" s="1"/>
  <c r="AU501" i="3"/>
  <c r="AV501" i="3" s="1" a="1"/>
  <c r="AV501" i="3" s="1"/>
  <c r="AY501" i="3"/>
  <c r="AZ501" i="3"/>
  <c r="BA501" i="3"/>
  <c r="BB501" i="3"/>
  <c r="BC501" i="3"/>
  <c r="BD501" i="3"/>
  <c r="BE501" i="3"/>
  <c r="BF501" i="3"/>
  <c r="BG501" i="3"/>
  <c r="AT502" i="3"/>
  <c r="AU502" i="3"/>
  <c r="AV502" i="3" s="1" a="1"/>
  <c r="AV502" i="3" s="1"/>
  <c r="AY502" i="3"/>
  <c r="AZ502" i="3"/>
  <c r="BA502" i="3"/>
  <c r="BB502" i="3"/>
  <c r="BC502" i="3"/>
  <c r="BD502" i="3"/>
  <c r="BE502" i="3"/>
  <c r="BF502" i="3"/>
  <c r="BG502" i="3"/>
  <c r="AT503" i="3"/>
  <c r="AX503" i="3" s="1" a="1"/>
  <c r="AX503" i="3" s="1"/>
  <c r="AU503" i="3"/>
  <c r="AV503" i="3" s="1" a="1"/>
  <c r="AV503" i="3" s="1"/>
  <c r="AY503" i="3"/>
  <c r="AZ503" i="3"/>
  <c r="BA503" i="3"/>
  <c r="BB503" i="3"/>
  <c r="BC503" i="3"/>
  <c r="BD503" i="3"/>
  <c r="BE503" i="3"/>
  <c r="BF503" i="3"/>
  <c r="BG503" i="3"/>
  <c r="AT504" i="3"/>
  <c r="AW504" i="3" s="1" a="1"/>
  <c r="AW504" i="3" s="1"/>
  <c r="AU504" i="3"/>
  <c r="AV504" i="3" s="1" a="1"/>
  <c r="AV504" i="3" s="1"/>
  <c r="AY504" i="3"/>
  <c r="AZ504" i="3"/>
  <c r="BA504" i="3"/>
  <c r="BB504" i="3"/>
  <c r="BC504" i="3"/>
  <c r="BD504" i="3"/>
  <c r="BE504" i="3"/>
  <c r="BF504" i="3"/>
  <c r="BG504" i="3"/>
  <c r="AT505" i="3"/>
  <c r="AU505" i="3"/>
  <c r="AV505" i="3" s="1" a="1"/>
  <c r="AV505" i="3" s="1"/>
  <c r="AY505" i="3"/>
  <c r="AZ505" i="3"/>
  <c r="BA505" i="3"/>
  <c r="BB505" i="3"/>
  <c r="BC505" i="3"/>
  <c r="BD505" i="3"/>
  <c r="BE505" i="3"/>
  <c r="BF505" i="3"/>
  <c r="BG505" i="3"/>
  <c r="AT506" i="3"/>
  <c r="AU506" i="3"/>
  <c r="AV506" i="3" s="1" a="1"/>
  <c r="AV506" i="3" s="1"/>
  <c r="AY506" i="3"/>
  <c r="AZ506" i="3"/>
  <c r="BA506" i="3"/>
  <c r="BB506" i="3"/>
  <c r="BC506" i="3"/>
  <c r="BD506" i="3"/>
  <c r="BE506" i="3"/>
  <c r="BF506" i="3"/>
  <c r="BG506" i="3"/>
  <c r="AT507" i="3"/>
  <c r="AU507" i="3"/>
  <c r="AV507" i="3" s="1" a="1"/>
  <c r="AV507" i="3" s="1"/>
  <c r="AY507" i="3"/>
  <c r="AZ507" i="3"/>
  <c r="BA507" i="3"/>
  <c r="BB507" i="3"/>
  <c r="BC507" i="3"/>
  <c r="BD507" i="3"/>
  <c r="BE507" i="3"/>
  <c r="BF507" i="3"/>
  <c r="BG507" i="3"/>
  <c r="AT508" i="3"/>
  <c r="AX508" i="3" s="1" a="1"/>
  <c r="AX508" i="3" s="1"/>
  <c r="AU508" i="3"/>
  <c r="AV508" i="3" s="1" a="1"/>
  <c r="AV508" i="3" s="1"/>
  <c r="AY508" i="3"/>
  <c r="AZ508" i="3"/>
  <c r="BA508" i="3"/>
  <c r="BB508" i="3"/>
  <c r="BC508" i="3"/>
  <c r="BD508" i="3"/>
  <c r="BE508" i="3"/>
  <c r="BF508" i="3"/>
  <c r="BG508" i="3"/>
  <c r="AT509" i="3"/>
  <c r="AW509" i="3" s="1" a="1"/>
  <c r="AW509" i="3" s="1"/>
  <c r="AU509" i="3"/>
  <c r="AV509" i="3" s="1" a="1"/>
  <c r="AV509" i="3" s="1"/>
  <c r="AY509" i="3"/>
  <c r="AZ509" i="3"/>
  <c r="BA509" i="3"/>
  <c r="BB509" i="3"/>
  <c r="BC509" i="3"/>
  <c r="BD509" i="3"/>
  <c r="BE509" i="3"/>
  <c r="BF509" i="3"/>
  <c r="BG509" i="3"/>
  <c r="AT510" i="3"/>
  <c r="AW510" i="3" s="1" a="1"/>
  <c r="AW510" i="3" s="1"/>
  <c r="AU510" i="3"/>
  <c r="AV510" i="3" s="1" a="1"/>
  <c r="AV510" i="3" s="1"/>
  <c r="AY510" i="3"/>
  <c r="AZ510" i="3"/>
  <c r="BA510" i="3"/>
  <c r="BB510" i="3"/>
  <c r="BC510" i="3"/>
  <c r="BD510" i="3"/>
  <c r="BE510" i="3"/>
  <c r="BF510" i="3"/>
  <c r="BG510" i="3"/>
  <c r="AT511" i="3"/>
  <c r="AW511" i="3" s="1" a="1"/>
  <c r="AW511" i="3" s="1"/>
  <c r="AU511" i="3"/>
  <c r="AV511" i="3" s="1" a="1"/>
  <c r="AV511" i="3" s="1"/>
  <c r="AY511" i="3"/>
  <c r="AZ511" i="3"/>
  <c r="BA511" i="3"/>
  <c r="BB511" i="3"/>
  <c r="BC511" i="3"/>
  <c r="BD511" i="3"/>
  <c r="BE511" i="3"/>
  <c r="BF511" i="3"/>
  <c r="BG511" i="3"/>
  <c r="AT512" i="3"/>
  <c r="AW512" i="3" s="1" a="1"/>
  <c r="AW512" i="3" s="1"/>
  <c r="AU512" i="3"/>
  <c r="AV512" i="3" s="1" a="1"/>
  <c r="AV512" i="3" s="1"/>
  <c r="AY512" i="3"/>
  <c r="AZ512" i="3"/>
  <c r="BA512" i="3"/>
  <c r="BB512" i="3"/>
  <c r="BC512" i="3"/>
  <c r="BD512" i="3"/>
  <c r="BE512" i="3"/>
  <c r="BF512" i="3"/>
  <c r="BG512" i="3"/>
  <c r="AT513" i="3"/>
  <c r="AX513" i="3" s="1" a="1"/>
  <c r="AX513" i="3" s="1"/>
  <c r="AU513" i="3"/>
  <c r="AV513" i="3" s="1" a="1"/>
  <c r="AV513" i="3" s="1"/>
  <c r="AY513" i="3"/>
  <c r="AZ513" i="3"/>
  <c r="BA513" i="3"/>
  <c r="BB513" i="3"/>
  <c r="BC513" i="3"/>
  <c r="BD513" i="3"/>
  <c r="BE513" i="3"/>
  <c r="BF513" i="3"/>
  <c r="BG513" i="3"/>
  <c r="AT514" i="3"/>
  <c r="AW514" i="3" s="1" a="1"/>
  <c r="AW514" i="3" s="1"/>
  <c r="AU514" i="3"/>
  <c r="AV514" i="3" s="1" a="1"/>
  <c r="AV514" i="3" s="1"/>
  <c r="AY514" i="3"/>
  <c r="AZ514" i="3"/>
  <c r="BA514" i="3"/>
  <c r="BB514" i="3"/>
  <c r="BC514" i="3"/>
  <c r="BD514" i="3"/>
  <c r="BE514" i="3"/>
  <c r="BF514" i="3"/>
  <c r="BG514" i="3"/>
  <c r="AT515" i="3"/>
  <c r="AX515" i="3" s="1" a="1"/>
  <c r="AX515" i="3" s="1"/>
  <c r="AU515" i="3"/>
  <c r="AV515" i="3" s="1" a="1"/>
  <c r="AV515" i="3" s="1"/>
  <c r="AY515" i="3"/>
  <c r="AZ515" i="3"/>
  <c r="BA515" i="3"/>
  <c r="BB515" i="3"/>
  <c r="BC515" i="3"/>
  <c r="BD515" i="3"/>
  <c r="BE515" i="3"/>
  <c r="BF515" i="3"/>
  <c r="BG515" i="3"/>
  <c r="AT516" i="3"/>
  <c r="AW516" i="3" s="1" a="1"/>
  <c r="AW516" i="3" s="1"/>
  <c r="AU516" i="3"/>
  <c r="AV516" i="3" s="1" a="1"/>
  <c r="AV516" i="3" s="1"/>
  <c r="AY516" i="3"/>
  <c r="AZ516" i="3"/>
  <c r="BA516" i="3"/>
  <c r="BB516" i="3"/>
  <c r="BC516" i="3"/>
  <c r="BD516" i="3"/>
  <c r="BE516" i="3"/>
  <c r="BF516" i="3"/>
  <c r="BG516" i="3"/>
  <c r="AT517" i="3"/>
  <c r="AU517" i="3"/>
  <c r="AV517" i="3" s="1" a="1"/>
  <c r="AV517" i="3" s="1"/>
  <c r="AY517" i="3"/>
  <c r="AZ517" i="3"/>
  <c r="BA517" i="3"/>
  <c r="BB517" i="3"/>
  <c r="BC517" i="3"/>
  <c r="BD517" i="3"/>
  <c r="BE517" i="3"/>
  <c r="BF517" i="3"/>
  <c r="BG517" i="3"/>
  <c r="AT518" i="3"/>
  <c r="AU518" i="3"/>
  <c r="AV518" i="3" s="1" a="1"/>
  <c r="AV518" i="3" s="1"/>
  <c r="AY518" i="3"/>
  <c r="AZ518" i="3"/>
  <c r="BA518" i="3"/>
  <c r="BB518" i="3"/>
  <c r="BC518" i="3"/>
  <c r="BD518" i="3"/>
  <c r="BE518" i="3"/>
  <c r="BF518" i="3"/>
  <c r="BG518" i="3"/>
  <c r="AT519" i="3"/>
  <c r="AU519" i="3"/>
  <c r="AV519" i="3" s="1" a="1"/>
  <c r="AV519" i="3" s="1"/>
  <c r="AY519" i="3"/>
  <c r="AZ519" i="3"/>
  <c r="BA519" i="3"/>
  <c r="BB519" i="3"/>
  <c r="BC519" i="3"/>
  <c r="BD519" i="3"/>
  <c r="BE519" i="3"/>
  <c r="BF519" i="3"/>
  <c r="BG519" i="3"/>
  <c r="AT520" i="3"/>
  <c r="AU520" i="3"/>
  <c r="AV520" i="3" s="1" a="1"/>
  <c r="AV520" i="3" s="1"/>
  <c r="AY520" i="3"/>
  <c r="AZ520" i="3"/>
  <c r="BA520" i="3"/>
  <c r="BB520" i="3"/>
  <c r="BC520" i="3"/>
  <c r="BD520" i="3"/>
  <c r="BE520" i="3"/>
  <c r="BF520" i="3"/>
  <c r="BG520" i="3"/>
  <c r="AT521" i="3"/>
  <c r="AX521" i="3" s="1" a="1"/>
  <c r="AX521" i="3" s="1"/>
  <c r="AU521" i="3"/>
  <c r="AV521" i="3" s="1" a="1"/>
  <c r="AV521" i="3" s="1"/>
  <c r="AY521" i="3"/>
  <c r="AZ521" i="3"/>
  <c r="BA521" i="3"/>
  <c r="BB521" i="3"/>
  <c r="BC521" i="3"/>
  <c r="BD521" i="3"/>
  <c r="BE521" i="3"/>
  <c r="BF521" i="3"/>
  <c r="BG521" i="3"/>
  <c r="AT522" i="3"/>
  <c r="AW522" i="3" s="1" a="1"/>
  <c r="AW522" i="3" s="1"/>
  <c r="AU522" i="3"/>
  <c r="AV522" i="3" s="1" a="1"/>
  <c r="AV522" i="3" s="1"/>
  <c r="AY522" i="3"/>
  <c r="AZ522" i="3"/>
  <c r="BA522" i="3"/>
  <c r="BB522" i="3"/>
  <c r="BC522" i="3"/>
  <c r="BD522" i="3"/>
  <c r="BE522" i="3"/>
  <c r="BF522" i="3"/>
  <c r="BG522" i="3"/>
  <c r="AT523" i="3"/>
  <c r="AW523" i="3" s="1" a="1"/>
  <c r="AW523" i="3" s="1"/>
  <c r="AU523" i="3"/>
  <c r="AV523" i="3" s="1" a="1"/>
  <c r="AV523" i="3" s="1"/>
  <c r="AY523" i="3"/>
  <c r="AZ523" i="3"/>
  <c r="BA523" i="3"/>
  <c r="BB523" i="3"/>
  <c r="BC523" i="3"/>
  <c r="BD523" i="3"/>
  <c r="BE523" i="3"/>
  <c r="BF523" i="3"/>
  <c r="BG523" i="3"/>
  <c r="AT524" i="3"/>
  <c r="AW524" i="3" s="1" a="1"/>
  <c r="AW524" i="3" s="1"/>
  <c r="AU524" i="3"/>
  <c r="AV524" i="3" s="1" a="1"/>
  <c r="AV524" i="3" s="1"/>
  <c r="AY524" i="3"/>
  <c r="AZ524" i="3"/>
  <c r="BA524" i="3"/>
  <c r="BB524" i="3"/>
  <c r="BC524" i="3"/>
  <c r="BD524" i="3"/>
  <c r="BE524" i="3"/>
  <c r="BF524" i="3"/>
  <c r="BG524" i="3"/>
  <c r="AT525" i="3"/>
  <c r="AX525" i="3" s="1" a="1"/>
  <c r="AX525" i="3" s="1"/>
  <c r="AU525" i="3"/>
  <c r="AV525" i="3" s="1" a="1"/>
  <c r="AV525" i="3" s="1"/>
  <c r="AY525" i="3"/>
  <c r="AZ525" i="3"/>
  <c r="BA525" i="3"/>
  <c r="BB525" i="3"/>
  <c r="BC525" i="3"/>
  <c r="BD525" i="3"/>
  <c r="BE525" i="3"/>
  <c r="BF525" i="3"/>
  <c r="BG525" i="3"/>
  <c r="AT526" i="3"/>
  <c r="AU526" i="3"/>
  <c r="AV526" i="3" s="1" a="1"/>
  <c r="AV526" i="3" s="1"/>
  <c r="AY526" i="3"/>
  <c r="AZ526" i="3"/>
  <c r="BA526" i="3"/>
  <c r="BB526" i="3"/>
  <c r="BC526" i="3"/>
  <c r="BD526" i="3"/>
  <c r="BE526" i="3"/>
  <c r="BF526" i="3"/>
  <c r="BG526" i="3"/>
  <c r="AT527" i="3"/>
  <c r="AX527" i="3" s="1" a="1"/>
  <c r="AX527" i="3" s="1"/>
  <c r="AU527" i="3"/>
  <c r="AV527" i="3" s="1" a="1"/>
  <c r="AV527" i="3" s="1"/>
  <c r="AY527" i="3"/>
  <c r="AZ527" i="3"/>
  <c r="BA527" i="3"/>
  <c r="BB527" i="3"/>
  <c r="BC527" i="3"/>
  <c r="BD527" i="3"/>
  <c r="BE527" i="3"/>
  <c r="BF527" i="3"/>
  <c r="BG527" i="3"/>
  <c r="AT528" i="3"/>
  <c r="AX528" i="3" s="1" a="1"/>
  <c r="AX528" i="3" s="1"/>
  <c r="AU528" i="3"/>
  <c r="AV528" i="3" s="1" a="1"/>
  <c r="AV528" i="3" s="1"/>
  <c r="AY528" i="3"/>
  <c r="AZ528" i="3"/>
  <c r="BA528" i="3"/>
  <c r="BB528" i="3"/>
  <c r="BC528" i="3"/>
  <c r="BD528" i="3"/>
  <c r="BE528" i="3"/>
  <c r="BF528" i="3"/>
  <c r="BG528" i="3"/>
  <c r="AT529" i="3"/>
  <c r="AX529" i="3" s="1" a="1"/>
  <c r="AX529" i="3" s="1"/>
  <c r="AU529" i="3"/>
  <c r="AV529" i="3" s="1" a="1"/>
  <c r="AV529" i="3" s="1"/>
  <c r="AY529" i="3"/>
  <c r="AZ529" i="3"/>
  <c r="BA529" i="3"/>
  <c r="BB529" i="3"/>
  <c r="BC529" i="3"/>
  <c r="BD529" i="3"/>
  <c r="BE529" i="3"/>
  <c r="BF529" i="3"/>
  <c r="BG529" i="3"/>
  <c r="AT530" i="3"/>
  <c r="AW530" i="3" s="1" a="1"/>
  <c r="AW530" i="3" s="1"/>
  <c r="AU530" i="3"/>
  <c r="AV530" i="3" s="1" a="1"/>
  <c r="AV530" i="3" s="1"/>
  <c r="AY530" i="3"/>
  <c r="AZ530" i="3"/>
  <c r="BA530" i="3"/>
  <c r="BB530" i="3"/>
  <c r="BC530" i="3"/>
  <c r="BD530" i="3"/>
  <c r="BE530" i="3"/>
  <c r="BF530" i="3"/>
  <c r="BG530" i="3"/>
  <c r="AT531" i="3"/>
  <c r="AW531" i="3" s="1" a="1"/>
  <c r="AW531" i="3" s="1"/>
  <c r="AU531" i="3"/>
  <c r="AV531" i="3" s="1" a="1"/>
  <c r="AV531" i="3" s="1"/>
  <c r="AY531" i="3"/>
  <c r="AZ531" i="3"/>
  <c r="BA531" i="3"/>
  <c r="BB531" i="3"/>
  <c r="BC531" i="3"/>
  <c r="BD531" i="3"/>
  <c r="BE531" i="3"/>
  <c r="BF531" i="3"/>
  <c r="BG531" i="3"/>
  <c r="AT532" i="3"/>
  <c r="AX532" i="3" s="1" a="1"/>
  <c r="AX532" i="3" s="1"/>
  <c r="AU532" i="3"/>
  <c r="AV532" i="3" s="1" a="1"/>
  <c r="AV532" i="3" s="1"/>
  <c r="AY532" i="3"/>
  <c r="AZ532" i="3"/>
  <c r="BA532" i="3"/>
  <c r="BB532" i="3"/>
  <c r="BC532" i="3"/>
  <c r="BD532" i="3"/>
  <c r="BE532" i="3"/>
  <c r="BF532" i="3"/>
  <c r="BG532" i="3"/>
  <c r="AT533" i="3"/>
  <c r="AU533" i="3"/>
  <c r="AV533" i="3" s="1" a="1"/>
  <c r="AV533" i="3" s="1"/>
  <c r="AY533" i="3"/>
  <c r="AZ533" i="3"/>
  <c r="BA533" i="3"/>
  <c r="BB533" i="3"/>
  <c r="BC533" i="3"/>
  <c r="BD533" i="3"/>
  <c r="BE533" i="3"/>
  <c r="BF533" i="3"/>
  <c r="BG533" i="3"/>
  <c r="AT534" i="3"/>
  <c r="AU534" i="3"/>
  <c r="AV534" i="3" s="1" a="1"/>
  <c r="AV534" i="3" s="1"/>
  <c r="AY534" i="3"/>
  <c r="AZ534" i="3"/>
  <c r="BA534" i="3"/>
  <c r="BB534" i="3"/>
  <c r="BC534" i="3"/>
  <c r="BD534" i="3"/>
  <c r="BE534" i="3"/>
  <c r="BF534" i="3"/>
  <c r="BG534" i="3"/>
  <c r="AT535" i="3"/>
  <c r="AX535" i="3" s="1" a="1"/>
  <c r="AX535" i="3" s="1"/>
  <c r="AU535" i="3"/>
  <c r="AV535" i="3" s="1" a="1"/>
  <c r="AV535" i="3" s="1"/>
  <c r="AY535" i="3"/>
  <c r="AZ535" i="3"/>
  <c r="BA535" i="3"/>
  <c r="BB535" i="3"/>
  <c r="BC535" i="3"/>
  <c r="BD535" i="3"/>
  <c r="BE535" i="3"/>
  <c r="BF535" i="3"/>
  <c r="BG535" i="3"/>
  <c r="AT536" i="3"/>
  <c r="AW536" i="3" s="1" a="1"/>
  <c r="AW536" i="3" s="1"/>
  <c r="AU536" i="3"/>
  <c r="AV536" i="3" s="1" a="1"/>
  <c r="AV536" i="3" s="1"/>
  <c r="AY536" i="3"/>
  <c r="AZ536" i="3"/>
  <c r="BA536" i="3"/>
  <c r="BB536" i="3"/>
  <c r="BC536" i="3"/>
  <c r="BD536" i="3"/>
  <c r="BE536" i="3"/>
  <c r="BF536" i="3"/>
  <c r="BG536" i="3"/>
  <c r="AT537" i="3"/>
  <c r="AW537" i="3" s="1" a="1"/>
  <c r="AW537" i="3" s="1"/>
  <c r="AU537" i="3"/>
  <c r="AV537" i="3" s="1" a="1"/>
  <c r="AV537" i="3" s="1"/>
  <c r="AY537" i="3"/>
  <c r="AZ537" i="3"/>
  <c r="BA537" i="3"/>
  <c r="BB537" i="3"/>
  <c r="BC537" i="3"/>
  <c r="BD537" i="3"/>
  <c r="BE537" i="3"/>
  <c r="BF537" i="3"/>
  <c r="BG537" i="3"/>
  <c r="AT538" i="3"/>
  <c r="AW538" i="3" s="1" a="1"/>
  <c r="AW538" i="3" s="1"/>
  <c r="AU538" i="3"/>
  <c r="AV538" i="3" s="1" a="1"/>
  <c r="AV538" i="3" s="1"/>
  <c r="AY538" i="3"/>
  <c r="AZ538" i="3"/>
  <c r="BA538" i="3"/>
  <c r="BB538" i="3"/>
  <c r="BC538" i="3"/>
  <c r="BD538" i="3"/>
  <c r="BE538" i="3"/>
  <c r="BF538" i="3"/>
  <c r="BG538" i="3"/>
  <c r="AT539" i="3"/>
  <c r="AW539" i="3" s="1" a="1"/>
  <c r="AW539" i="3" s="1"/>
  <c r="AU539" i="3"/>
  <c r="AV539" i="3" s="1" a="1"/>
  <c r="AV539" i="3" s="1"/>
  <c r="AY539" i="3"/>
  <c r="AZ539" i="3"/>
  <c r="BA539" i="3"/>
  <c r="BB539" i="3"/>
  <c r="BC539" i="3"/>
  <c r="BD539" i="3"/>
  <c r="BE539" i="3"/>
  <c r="BF539" i="3"/>
  <c r="BG539" i="3"/>
  <c r="AT540" i="3"/>
  <c r="AU540" i="3"/>
  <c r="AV540" i="3" s="1" a="1"/>
  <c r="AV540" i="3" s="1"/>
  <c r="AY540" i="3"/>
  <c r="AZ540" i="3"/>
  <c r="BA540" i="3"/>
  <c r="BB540" i="3"/>
  <c r="BC540" i="3"/>
  <c r="BD540" i="3"/>
  <c r="BE540" i="3"/>
  <c r="BF540" i="3"/>
  <c r="BG540" i="3"/>
  <c r="AT541" i="3"/>
  <c r="AW541" i="3" s="1" a="1"/>
  <c r="AW541" i="3" s="1"/>
  <c r="AU541" i="3"/>
  <c r="AV541" i="3" s="1" a="1"/>
  <c r="AV541" i="3" s="1"/>
  <c r="AY541" i="3"/>
  <c r="AZ541" i="3"/>
  <c r="BA541" i="3"/>
  <c r="BB541" i="3"/>
  <c r="BC541" i="3"/>
  <c r="BD541" i="3"/>
  <c r="BE541" i="3"/>
  <c r="BF541" i="3"/>
  <c r="BG541" i="3"/>
  <c r="AT542" i="3"/>
  <c r="AU542" i="3"/>
  <c r="AV542" i="3" s="1" a="1"/>
  <c r="AV542" i="3" s="1"/>
  <c r="AY542" i="3"/>
  <c r="AZ542" i="3"/>
  <c r="BA542" i="3"/>
  <c r="BB542" i="3"/>
  <c r="BC542" i="3"/>
  <c r="BD542" i="3"/>
  <c r="BE542" i="3"/>
  <c r="BF542" i="3"/>
  <c r="BG542" i="3"/>
  <c r="AT543" i="3"/>
  <c r="AX543" i="3" s="1" a="1"/>
  <c r="AX543" i="3" s="1"/>
  <c r="AU543" i="3"/>
  <c r="AV543" i="3" s="1" a="1"/>
  <c r="AV543" i="3" s="1"/>
  <c r="AY543" i="3"/>
  <c r="AZ543" i="3"/>
  <c r="BA543" i="3"/>
  <c r="BB543" i="3"/>
  <c r="BC543" i="3"/>
  <c r="BD543" i="3"/>
  <c r="BE543" i="3"/>
  <c r="BF543" i="3"/>
  <c r="BG543" i="3"/>
  <c r="AT544" i="3"/>
  <c r="AX544" i="3" s="1" a="1"/>
  <c r="AX544" i="3" s="1"/>
  <c r="AU544" i="3"/>
  <c r="AV544" i="3" s="1" a="1"/>
  <c r="AV544" i="3" s="1"/>
  <c r="AY544" i="3"/>
  <c r="AZ544" i="3"/>
  <c r="BA544" i="3"/>
  <c r="BB544" i="3"/>
  <c r="BC544" i="3"/>
  <c r="BD544" i="3"/>
  <c r="BE544" i="3"/>
  <c r="BF544" i="3"/>
  <c r="BG544" i="3"/>
  <c r="AT545" i="3"/>
  <c r="AX545" i="3" s="1" a="1"/>
  <c r="AX545" i="3" s="1"/>
  <c r="AU545" i="3"/>
  <c r="AV545" i="3" s="1" a="1"/>
  <c r="AV545" i="3" s="1"/>
  <c r="AY545" i="3"/>
  <c r="AZ545" i="3"/>
  <c r="BA545" i="3"/>
  <c r="BB545" i="3"/>
  <c r="BC545" i="3"/>
  <c r="BD545" i="3"/>
  <c r="BE545" i="3"/>
  <c r="BF545" i="3"/>
  <c r="BG545" i="3"/>
  <c r="AT546" i="3"/>
  <c r="AW546" i="3" s="1" a="1"/>
  <c r="AW546" i="3" s="1"/>
  <c r="AU546" i="3"/>
  <c r="AV546" i="3" s="1" a="1"/>
  <c r="AV546" i="3" s="1"/>
  <c r="AY546" i="3"/>
  <c r="AZ546" i="3"/>
  <c r="BA546" i="3"/>
  <c r="BB546" i="3"/>
  <c r="BC546" i="3"/>
  <c r="BD546" i="3"/>
  <c r="BE546" i="3"/>
  <c r="BF546" i="3"/>
  <c r="BG546" i="3"/>
  <c r="AT547" i="3"/>
  <c r="AW547" i="3" s="1" a="1"/>
  <c r="AW547" i="3" s="1"/>
  <c r="AU547" i="3"/>
  <c r="AV547" i="3" s="1" a="1"/>
  <c r="AV547" i="3" s="1"/>
  <c r="AY547" i="3"/>
  <c r="AZ547" i="3"/>
  <c r="BA547" i="3"/>
  <c r="BB547" i="3"/>
  <c r="BC547" i="3"/>
  <c r="BD547" i="3"/>
  <c r="BE547" i="3"/>
  <c r="BF547" i="3"/>
  <c r="BG547" i="3"/>
  <c r="AT548" i="3"/>
  <c r="AW548" i="3" s="1" a="1"/>
  <c r="AW548" i="3" s="1"/>
  <c r="AU548" i="3"/>
  <c r="AV548" i="3" s="1" a="1"/>
  <c r="AV548" i="3" s="1"/>
  <c r="AY548" i="3"/>
  <c r="AZ548" i="3"/>
  <c r="BA548" i="3"/>
  <c r="BB548" i="3"/>
  <c r="BC548" i="3"/>
  <c r="BD548" i="3"/>
  <c r="BE548" i="3"/>
  <c r="BF548" i="3"/>
  <c r="BG548" i="3"/>
  <c r="AT549" i="3"/>
  <c r="AU549" i="3"/>
  <c r="AV549" i="3" s="1" a="1"/>
  <c r="AV549" i="3" s="1"/>
  <c r="AY549" i="3"/>
  <c r="AZ549" i="3"/>
  <c r="BA549" i="3"/>
  <c r="BB549" i="3"/>
  <c r="BC549" i="3"/>
  <c r="BD549" i="3"/>
  <c r="BE549" i="3"/>
  <c r="BF549" i="3"/>
  <c r="BG549" i="3"/>
  <c r="AT550" i="3"/>
  <c r="AU550" i="3"/>
  <c r="AV550" i="3" s="1" a="1"/>
  <c r="AV550" i="3" s="1"/>
  <c r="AY550" i="3"/>
  <c r="AZ550" i="3"/>
  <c r="BA550" i="3"/>
  <c r="BB550" i="3"/>
  <c r="BC550" i="3"/>
  <c r="BD550" i="3"/>
  <c r="BE550" i="3"/>
  <c r="BF550" i="3"/>
  <c r="BG550" i="3"/>
  <c r="AT551" i="3"/>
  <c r="AX551" i="3" s="1" a="1"/>
  <c r="AX551" i="3" s="1"/>
  <c r="AU551" i="3"/>
  <c r="AV551" i="3" s="1" a="1"/>
  <c r="AV551" i="3" s="1"/>
  <c r="AY551" i="3"/>
  <c r="AZ551" i="3"/>
  <c r="BA551" i="3"/>
  <c r="BB551" i="3"/>
  <c r="BC551" i="3"/>
  <c r="BD551" i="3"/>
  <c r="BE551" i="3"/>
  <c r="BF551" i="3"/>
  <c r="BG551" i="3"/>
  <c r="AT552" i="3"/>
  <c r="AX552" i="3" s="1" a="1"/>
  <c r="AX552" i="3" s="1"/>
  <c r="AU552" i="3"/>
  <c r="AV552" i="3" s="1" a="1"/>
  <c r="AV552" i="3" s="1"/>
  <c r="AY552" i="3"/>
  <c r="AZ552" i="3"/>
  <c r="BA552" i="3"/>
  <c r="BB552" i="3"/>
  <c r="BC552" i="3"/>
  <c r="BD552" i="3"/>
  <c r="BE552" i="3"/>
  <c r="BF552" i="3"/>
  <c r="BG552" i="3"/>
  <c r="AT553" i="3"/>
  <c r="AX553" i="3" s="1" a="1"/>
  <c r="AX553" i="3" s="1"/>
  <c r="AU553" i="3"/>
  <c r="AV553" i="3" s="1" a="1"/>
  <c r="AV553" i="3" s="1"/>
  <c r="AY553" i="3"/>
  <c r="AZ553" i="3"/>
  <c r="BA553" i="3"/>
  <c r="BB553" i="3"/>
  <c r="BC553" i="3"/>
  <c r="BD553" i="3"/>
  <c r="BE553" i="3"/>
  <c r="BF553" i="3"/>
  <c r="BG553" i="3"/>
  <c r="AT554" i="3"/>
  <c r="AW554" i="3" s="1" a="1"/>
  <c r="AW554" i="3" s="1"/>
  <c r="AU554" i="3"/>
  <c r="AV554" i="3" s="1" a="1"/>
  <c r="AV554" i="3" s="1"/>
  <c r="AY554" i="3"/>
  <c r="AZ554" i="3"/>
  <c r="BA554" i="3"/>
  <c r="BB554" i="3"/>
  <c r="BC554" i="3"/>
  <c r="BD554" i="3"/>
  <c r="BE554" i="3"/>
  <c r="BF554" i="3"/>
  <c r="BG554" i="3"/>
  <c r="AT555" i="3"/>
  <c r="AW555" i="3" s="1" a="1"/>
  <c r="AW555" i="3" s="1"/>
  <c r="AU555" i="3"/>
  <c r="AV555" i="3" s="1" a="1"/>
  <c r="AV555" i="3" s="1"/>
  <c r="AY555" i="3"/>
  <c r="AZ555" i="3"/>
  <c r="BA555" i="3"/>
  <c r="BB555" i="3"/>
  <c r="BC555" i="3"/>
  <c r="BD555" i="3"/>
  <c r="BE555" i="3"/>
  <c r="BF555" i="3"/>
  <c r="BG555" i="3"/>
  <c r="AT556" i="3"/>
  <c r="AX556" i="3" s="1" a="1"/>
  <c r="AX556" i="3" s="1"/>
  <c r="AU556" i="3"/>
  <c r="AV556" i="3" s="1" a="1"/>
  <c r="AV556" i="3" s="1"/>
  <c r="AY556" i="3"/>
  <c r="AZ556" i="3"/>
  <c r="BA556" i="3"/>
  <c r="BB556" i="3"/>
  <c r="BC556" i="3"/>
  <c r="BD556" i="3"/>
  <c r="BE556" i="3"/>
  <c r="BF556" i="3"/>
  <c r="BG556" i="3"/>
  <c r="AT557" i="3"/>
  <c r="AU557" i="3"/>
  <c r="AV557" i="3" s="1" a="1"/>
  <c r="AV557" i="3" s="1"/>
  <c r="AY557" i="3"/>
  <c r="AZ557" i="3"/>
  <c r="BA557" i="3"/>
  <c r="BB557" i="3"/>
  <c r="BC557" i="3"/>
  <c r="BD557" i="3"/>
  <c r="BE557" i="3"/>
  <c r="BF557" i="3"/>
  <c r="BG557" i="3"/>
  <c r="AT558" i="3"/>
  <c r="AU558" i="3"/>
  <c r="AV558" i="3" s="1" a="1"/>
  <c r="AV558" i="3" s="1"/>
  <c r="AY558" i="3"/>
  <c r="AZ558" i="3"/>
  <c r="BA558" i="3"/>
  <c r="BB558" i="3"/>
  <c r="BC558" i="3"/>
  <c r="BD558" i="3"/>
  <c r="BE558" i="3"/>
  <c r="BF558" i="3"/>
  <c r="BG558" i="3"/>
  <c r="AT559" i="3"/>
  <c r="AX559" i="3" s="1" a="1"/>
  <c r="AX559" i="3" s="1"/>
  <c r="AU559" i="3"/>
  <c r="AV559" i="3" s="1" a="1"/>
  <c r="AV559" i="3" s="1"/>
  <c r="AY559" i="3"/>
  <c r="AZ559" i="3"/>
  <c r="BA559" i="3"/>
  <c r="BB559" i="3"/>
  <c r="BC559" i="3"/>
  <c r="BD559" i="3"/>
  <c r="BE559" i="3"/>
  <c r="BF559" i="3"/>
  <c r="BG559" i="3"/>
  <c r="AT560" i="3"/>
  <c r="AW560" i="3" s="1" a="1"/>
  <c r="AW560" i="3" s="1"/>
  <c r="AU560" i="3"/>
  <c r="AV560" i="3" s="1" a="1"/>
  <c r="AV560" i="3" s="1"/>
  <c r="AY560" i="3"/>
  <c r="AZ560" i="3"/>
  <c r="BA560" i="3"/>
  <c r="BB560" i="3"/>
  <c r="BC560" i="3"/>
  <c r="BD560" i="3"/>
  <c r="BE560" i="3"/>
  <c r="BF560" i="3"/>
  <c r="BG560" i="3"/>
  <c r="AT561" i="3"/>
  <c r="AW561" i="3" s="1" a="1"/>
  <c r="AW561" i="3" s="1"/>
  <c r="AU561" i="3"/>
  <c r="AV561" i="3" s="1" a="1"/>
  <c r="AV561" i="3" s="1"/>
  <c r="AY561" i="3"/>
  <c r="AZ561" i="3"/>
  <c r="BA561" i="3"/>
  <c r="BB561" i="3"/>
  <c r="BC561" i="3"/>
  <c r="BD561" i="3"/>
  <c r="BE561" i="3"/>
  <c r="BF561" i="3"/>
  <c r="BG561" i="3"/>
  <c r="AT562" i="3"/>
  <c r="AW562" i="3" s="1" a="1"/>
  <c r="AW562" i="3" s="1"/>
  <c r="AU562" i="3"/>
  <c r="AV562" i="3" s="1" a="1"/>
  <c r="AV562" i="3" s="1"/>
  <c r="AY562" i="3"/>
  <c r="AZ562" i="3"/>
  <c r="BA562" i="3"/>
  <c r="BB562" i="3"/>
  <c r="BC562" i="3"/>
  <c r="BD562" i="3"/>
  <c r="BE562" i="3"/>
  <c r="BF562" i="3"/>
  <c r="BG562" i="3"/>
  <c r="AT563" i="3"/>
  <c r="AW563" i="3" s="1" a="1"/>
  <c r="AW563" i="3" s="1"/>
  <c r="AU563" i="3"/>
  <c r="AV563" i="3" s="1" a="1"/>
  <c r="AV563" i="3" s="1"/>
  <c r="AY563" i="3"/>
  <c r="AZ563" i="3"/>
  <c r="BA563" i="3"/>
  <c r="BB563" i="3"/>
  <c r="BC563" i="3"/>
  <c r="BD563" i="3"/>
  <c r="BE563" i="3"/>
  <c r="BF563" i="3"/>
  <c r="BG563" i="3"/>
  <c r="AT564" i="3"/>
  <c r="AW564" i="3" s="1" a="1"/>
  <c r="AW564" i="3" s="1"/>
  <c r="AU564" i="3"/>
  <c r="AV564" i="3" s="1" a="1"/>
  <c r="AV564" i="3" s="1"/>
  <c r="AY564" i="3"/>
  <c r="AZ564" i="3"/>
  <c r="BA564" i="3"/>
  <c r="BB564" i="3"/>
  <c r="BC564" i="3"/>
  <c r="BD564" i="3"/>
  <c r="BE564" i="3"/>
  <c r="BF564" i="3"/>
  <c r="BG564" i="3"/>
  <c r="AT565" i="3"/>
  <c r="AX565" i="3" s="1" a="1"/>
  <c r="AX565" i="3" s="1"/>
  <c r="AU565" i="3"/>
  <c r="AV565" i="3" s="1" a="1"/>
  <c r="AV565" i="3" s="1"/>
  <c r="AY565" i="3"/>
  <c r="AZ565" i="3"/>
  <c r="BA565" i="3"/>
  <c r="BB565" i="3"/>
  <c r="BC565" i="3"/>
  <c r="BD565" i="3"/>
  <c r="BE565" i="3"/>
  <c r="BF565" i="3"/>
  <c r="BG565" i="3"/>
  <c r="AT566" i="3"/>
  <c r="AX566" i="3" s="1" a="1"/>
  <c r="AX566" i="3" s="1"/>
  <c r="AU566" i="3"/>
  <c r="AV566" i="3" s="1" a="1"/>
  <c r="AV566" i="3" s="1"/>
  <c r="AY566" i="3"/>
  <c r="AZ566" i="3"/>
  <c r="BA566" i="3"/>
  <c r="BB566" i="3"/>
  <c r="BC566" i="3"/>
  <c r="BD566" i="3"/>
  <c r="BE566" i="3"/>
  <c r="BF566" i="3"/>
  <c r="BG566" i="3"/>
  <c r="AT567" i="3"/>
  <c r="AW567" i="3" s="1" a="1"/>
  <c r="AW567" i="3" s="1"/>
  <c r="AU567" i="3"/>
  <c r="AV567" i="3" s="1" a="1"/>
  <c r="AV567" i="3" s="1"/>
  <c r="AY567" i="3"/>
  <c r="AZ567" i="3"/>
  <c r="BA567" i="3"/>
  <c r="BB567" i="3"/>
  <c r="BC567" i="3"/>
  <c r="BD567" i="3"/>
  <c r="BE567" i="3"/>
  <c r="BF567" i="3"/>
  <c r="BG567" i="3"/>
  <c r="AT568" i="3"/>
  <c r="AU568" i="3"/>
  <c r="AV568" i="3" s="1" a="1"/>
  <c r="AV568" i="3" s="1"/>
  <c r="AY568" i="3"/>
  <c r="AZ568" i="3"/>
  <c r="BA568" i="3"/>
  <c r="BB568" i="3"/>
  <c r="BC568" i="3"/>
  <c r="BD568" i="3"/>
  <c r="BE568" i="3"/>
  <c r="BF568" i="3"/>
  <c r="BG568" i="3"/>
  <c r="AT569" i="3"/>
  <c r="AX569" i="3" s="1" a="1"/>
  <c r="AX569" i="3" s="1"/>
  <c r="AU569" i="3"/>
  <c r="AV569" i="3" s="1" a="1"/>
  <c r="AV569" i="3" s="1"/>
  <c r="AY569" i="3"/>
  <c r="AZ569" i="3"/>
  <c r="BA569" i="3"/>
  <c r="BB569" i="3"/>
  <c r="BC569" i="3"/>
  <c r="BD569" i="3"/>
  <c r="BE569" i="3"/>
  <c r="BF569" i="3"/>
  <c r="BG569" i="3"/>
  <c r="AT570" i="3"/>
  <c r="AW570" i="3" s="1" a="1"/>
  <c r="AW570" i="3" s="1"/>
  <c r="AU570" i="3"/>
  <c r="AV570" i="3" s="1" a="1"/>
  <c r="AV570" i="3" s="1"/>
  <c r="AY570" i="3"/>
  <c r="AZ570" i="3"/>
  <c r="BA570" i="3"/>
  <c r="BB570" i="3"/>
  <c r="BC570" i="3"/>
  <c r="BD570" i="3"/>
  <c r="BE570" i="3"/>
  <c r="BF570" i="3"/>
  <c r="BG570" i="3"/>
  <c r="AT571" i="3"/>
  <c r="AW571" i="3" s="1" a="1"/>
  <c r="AW571" i="3" s="1"/>
  <c r="AU571" i="3"/>
  <c r="AV571" i="3" s="1" a="1"/>
  <c r="AV571" i="3" s="1"/>
  <c r="AY571" i="3"/>
  <c r="AZ571" i="3"/>
  <c r="BA571" i="3"/>
  <c r="BB571" i="3"/>
  <c r="BC571" i="3"/>
  <c r="BD571" i="3"/>
  <c r="BE571" i="3"/>
  <c r="BF571" i="3"/>
  <c r="BG571" i="3"/>
  <c r="AT572" i="3"/>
  <c r="AW572" i="3" s="1" a="1"/>
  <c r="AW572" i="3" s="1"/>
  <c r="AU572" i="3"/>
  <c r="AV572" i="3" s="1" a="1"/>
  <c r="AV572" i="3" s="1"/>
  <c r="AY572" i="3"/>
  <c r="AZ572" i="3"/>
  <c r="BA572" i="3"/>
  <c r="BB572" i="3"/>
  <c r="BC572" i="3"/>
  <c r="BD572" i="3"/>
  <c r="BE572" i="3"/>
  <c r="BF572" i="3"/>
  <c r="BG572" i="3"/>
  <c r="AT573" i="3"/>
  <c r="AU573" i="3"/>
  <c r="AV573" i="3" s="1" a="1"/>
  <c r="AV573" i="3" s="1"/>
  <c r="AY573" i="3"/>
  <c r="AZ573" i="3"/>
  <c r="BA573" i="3"/>
  <c r="BB573" i="3"/>
  <c r="BC573" i="3"/>
  <c r="BD573" i="3"/>
  <c r="BE573" i="3"/>
  <c r="BF573" i="3"/>
  <c r="BG573" i="3"/>
  <c r="AT574" i="3"/>
  <c r="AX574" i="3" s="1" a="1"/>
  <c r="AX574" i="3" s="1"/>
  <c r="AU574" i="3"/>
  <c r="AV574" i="3" s="1" a="1"/>
  <c r="AV574" i="3" s="1"/>
  <c r="AY574" i="3"/>
  <c r="AZ574" i="3"/>
  <c r="BA574" i="3"/>
  <c r="BB574" i="3"/>
  <c r="BC574" i="3"/>
  <c r="BD574" i="3"/>
  <c r="BE574" i="3"/>
  <c r="BF574" i="3"/>
  <c r="BG574" i="3"/>
  <c r="AT575" i="3"/>
  <c r="AW575" i="3" s="1" a="1"/>
  <c r="AW575" i="3" s="1"/>
  <c r="AU575" i="3"/>
  <c r="AV575" i="3" s="1" a="1"/>
  <c r="AV575" i="3" s="1"/>
  <c r="AY575" i="3"/>
  <c r="AZ575" i="3"/>
  <c r="BA575" i="3"/>
  <c r="BB575" i="3"/>
  <c r="BC575" i="3"/>
  <c r="BD575" i="3"/>
  <c r="BE575" i="3"/>
  <c r="BF575" i="3"/>
  <c r="BG575" i="3"/>
  <c r="AT576" i="3"/>
  <c r="AU576" i="3"/>
  <c r="AV576" i="3" s="1" a="1"/>
  <c r="AV576" i="3" s="1"/>
  <c r="AY576" i="3"/>
  <c r="AZ576" i="3"/>
  <c r="BA576" i="3"/>
  <c r="BB576" i="3"/>
  <c r="BC576" i="3"/>
  <c r="BD576" i="3"/>
  <c r="BE576" i="3"/>
  <c r="BF576" i="3"/>
  <c r="BG576" i="3"/>
  <c r="AT577" i="3"/>
  <c r="AX577" i="3" s="1" a="1"/>
  <c r="AX577" i="3" s="1"/>
  <c r="AU577" i="3"/>
  <c r="AV577" i="3" s="1" a="1"/>
  <c r="AV577" i="3" s="1"/>
  <c r="AY577" i="3"/>
  <c r="AZ577" i="3"/>
  <c r="BA577" i="3"/>
  <c r="BB577" i="3"/>
  <c r="BC577" i="3"/>
  <c r="BD577" i="3"/>
  <c r="BE577" i="3"/>
  <c r="BF577" i="3"/>
  <c r="BG577" i="3"/>
  <c r="AT578" i="3"/>
  <c r="AX578" i="3" s="1" a="1"/>
  <c r="AX578" i="3" s="1"/>
  <c r="AU578" i="3"/>
  <c r="AV578" i="3" s="1" a="1"/>
  <c r="AV578" i="3" s="1"/>
  <c r="AY578" i="3"/>
  <c r="AZ578" i="3"/>
  <c r="BA578" i="3"/>
  <c r="BB578" i="3"/>
  <c r="BC578" i="3"/>
  <c r="BD578" i="3"/>
  <c r="BE578" i="3"/>
  <c r="BF578" i="3"/>
  <c r="BG578" i="3"/>
  <c r="AT579" i="3"/>
  <c r="AW579" i="3" s="1" a="1"/>
  <c r="AW579" i="3" s="1"/>
  <c r="AU579" i="3"/>
  <c r="AV579" i="3" s="1" a="1"/>
  <c r="AV579" i="3" s="1"/>
  <c r="AY579" i="3"/>
  <c r="AZ579" i="3"/>
  <c r="BA579" i="3"/>
  <c r="BB579" i="3"/>
  <c r="BC579" i="3"/>
  <c r="BD579" i="3"/>
  <c r="BE579" i="3"/>
  <c r="BF579" i="3"/>
  <c r="BG579" i="3"/>
  <c r="AT580" i="3"/>
  <c r="AX580" i="3" s="1" a="1"/>
  <c r="AX580" i="3" s="1"/>
  <c r="AU580" i="3"/>
  <c r="AV580" i="3" s="1" a="1"/>
  <c r="AV580" i="3" s="1"/>
  <c r="AY580" i="3"/>
  <c r="AZ580" i="3"/>
  <c r="BA580" i="3"/>
  <c r="BB580" i="3"/>
  <c r="BC580" i="3"/>
  <c r="BD580" i="3"/>
  <c r="BE580" i="3"/>
  <c r="BF580" i="3"/>
  <c r="BG580" i="3"/>
  <c r="AT581" i="3"/>
  <c r="AX581" i="3" s="1" a="1"/>
  <c r="AX581" i="3" s="1"/>
  <c r="AU581" i="3"/>
  <c r="AV581" i="3" s="1" a="1"/>
  <c r="AV581" i="3" s="1"/>
  <c r="AY581" i="3"/>
  <c r="AZ581" i="3"/>
  <c r="BA581" i="3"/>
  <c r="BB581" i="3"/>
  <c r="BC581" i="3"/>
  <c r="BD581" i="3"/>
  <c r="BE581" i="3"/>
  <c r="BF581" i="3"/>
  <c r="BG581" i="3"/>
  <c r="AT582" i="3"/>
  <c r="AU582" i="3"/>
  <c r="AV582" i="3" s="1" a="1"/>
  <c r="AV582" i="3" s="1"/>
  <c r="AY582" i="3"/>
  <c r="AZ582" i="3"/>
  <c r="BA582" i="3"/>
  <c r="BB582" i="3"/>
  <c r="BC582" i="3"/>
  <c r="BD582" i="3"/>
  <c r="BE582" i="3"/>
  <c r="BF582" i="3"/>
  <c r="BG582" i="3"/>
  <c r="AT583" i="3"/>
  <c r="AW583" i="3" s="1" a="1"/>
  <c r="AW583" i="3" s="1"/>
  <c r="AU583" i="3"/>
  <c r="AV583" i="3" s="1" a="1"/>
  <c r="AV583" i="3" s="1"/>
  <c r="AY583" i="3"/>
  <c r="AZ583" i="3"/>
  <c r="BA583" i="3"/>
  <c r="BB583" i="3"/>
  <c r="BC583" i="3"/>
  <c r="BD583" i="3"/>
  <c r="BE583" i="3"/>
  <c r="BF583" i="3"/>
  <c r="BG583" i="3"/>
  <c r="AT584" i="3"/>
  <c r="AW584" i="3" s="1" a="1"/>
  <c r="AW584" i="3" s="1"/>
  <c r="AU584" i="3"/>
  <c r="AV584" i="3" s="1" a="1"/>
  <c r="AV584" i="3" s="1"/>
  <c r="AY584" i="3"/>
  <c r="AZ584" i="3"/>
  <c r="BA584" i="3"/>
  <c r="BB584" i="3"/>
  <c r="BC584" i="3"/>
  <c r="BD584" i="3"/>
  <c r="BE584" i="3"/>
  <c r="BF584" i="3"/>
  <c r="BG584" i="3"/>
  <c r="AT585" i="3"/>
  <c r="AU585" i="3"/>
  <c r="AV585" i="3" s="1" a="1"/>
  <c r="AV585" i="3" s="1"/>
  <c r="AY585" i="3"/>
  <c r="AZ585" i="3"/>
  <c r="BA585" i="3"/>
  <c r="BB585" i="3"/>
  <c r="BC585" i="3"/>
  <c r="BD585" i="3"/>
  <c r="BE585" i="3"/>
  <c r="BF585" i="3"/>
  <c r="BG585" i="3"/>
  <c r="AT586" i="3"/>
  <c r="AU586" i="3"/>
  <c r="AV586" i="3" s="1" a="1"/>
  <c r="AV586" i="3" s="1"/>
  <c r="AY586" i="3"/>
  <c r="AZ586" i="3"/>
  <c r="BA586" i="3"/>
  <c r="BB586" i="3"/>
  <c r="BC586" i="3"/>
  <c r="BD586" i="3"/>
  <c r="BE586" i="3"/>
  <c r="BF586" i="3"/>
  <c r="BG586" i="3"/>
  <c r="AT587" i="3"/>
  <c r="AW587" i="3" s="1" a="1"/>
  <c r="AW587" i="3" s="1"/>
  <c r="AU587" i="3"/>
  <c r="AV587" i="3" s="1" a="1"/>
  <c r="AV587" i="3" s="1"/>
  <c r="AY587" i="3"/>
  <c r="AZ587" i="3"/>
  <c r="BA587" i="3"/>
  <c r="BB587" i="3"/>
  <c r="BC587" i="3"/>
  <c r="BD587" i="3"/>
  <c r="BE587" i="3"/>
  <c r="BF587" i="3"/>
  <c r="BG587" i="3"/>
  <c r="AT588" i="3"/>
  <c r="AW588" i="3" s="1" a="1"/>
  <c r="AW588" i="3" s="1"/>
  <c r="AU588" i="3"/>
  <c r="AV588" i="3" s="1" a="1"/>
  <c r="AV588" i="3" s="1"/>
  <c r="AY588" i="3"/>
  <c r="AZ588" i="3"/>
  <c r="BA588" i="3"/>
  <c r="BB588" i="3"/>
  <c r="BC588" i="3"/>
  <c r="BD588" i="3"/>
  <c r="BE588" i="3"/>
  <c r="BF588" i="3"/>
  <c r="BG588" i="3"/>
  <c r="AT589" i="3"/>
  <c r="AX589" i="3" s="1" a="1"/>
  <c r="AX589" i="3" s="1"/>
  <c r="AU589" i="3"/>
  <c r="AV589" i="3" s="1" a="1"/>
  <c r="AV589" i="3" s="1"/>
  <c r="AY589" i="3"/>
  <c r="AZ589" i="3"/>
  <c r="BA589" i="3"/>
  <c r="BB589" i="3"/>
  <c r="BC589" i="3"/>
  <c r="BD589" i="3"/>
  <c r="BE589" i="3"/>
  <c r="BF589" i="3"/>
  <c r="BG589" i="3"/>
  <c r="AT590" i="3"/>
  <c r="AX590" i="3" s="1" a="1"/>
  <c r="AX590" i="3" s="1"/>
  <c r="AU590" i="3"/>
  <c r="AV590" i="3" s="1" a="1"/>
  <c r="AV590" i="3" s="1"/>
  <c r="AY590" i="3"/>
  <c r="AZ590" i="3"/>
  <c r="BA590" i="3"/>
  <c r="BB590" i="3"/>
  <c r="BC590" i="3"/>
  <c r="BD590" i="3"/>
  <c r="BE590" i="3"/>
  <c r="BF590" i="3"/>
  <c r="BG590" i="3"/>
  <c r="AT591" i="3"/>
  <c r="AW591" i="3" s="1" a="1"/>
  <c r="AW591" i="3" s="1"/>
  <c r="AU591" i="3"/>
  <c r="AV591" i="3" s="1" a="1"/>
  <c r="AV591" i="3" s="1"/>
  <c r="AY591" i="3"/>
  <c r="AZ591" i="3"/>
  <c r="BA591" i="3"/>
  <c r="BB591" i="3"/>
  <c r="BC591" i="3"/>
  <c r="BD591" i="3"/>
  <c r="BE591" i="3"/>
  <c r="BF591" i="3"/>
  <c r="BG591" i="3"/>
  <c r="AT592" i="3"/>
  <c r="AW592" i="3" s="1" a="1"/>
  <c r="AW592" i="3" s="1"/>
  <c r="AU592" i="3"/>
  <c r="AV592" i="3" s="1" a="1"/>
  <c r="AV592" i="3" s="1"/>
  <c r="AY592" i="3"/>
  <c r="AZ592" i="3"/>
  <c r="BA592" i="3"/>
  <c r="BB592" i="3"/>
  <c r="BC592" i="3"/>
  <c r="BD592" i="3"/>
  <c r="BE592" i="3"/>
  <c r="BF592" i="3"/>
  <c r="BG592" i="3"/>
  <c r="AT593" i="3"/>
  <c r="AU593" i="3"/>
  <c r="AV593" i="3" s="1" a="1"/>
  <c r="AV593" i="3" s="1"/>
  <c r="AY593" i="3"/>
  <c r="AZ593" i="3"/>
  <c r="BA593" i="3"/>
  <c r="BB593" i="3"/>
  <c r="BC593" i="3"/>
  <c r="BD593" i="3"/>
  <c r="BE593" i="3"/>
  <c r="BF593" i="3"/>
  <c r="BG593" i="3"/>
  <c r="AT594" i="3"/>
  <c r="AU594" i="3"/>
  <c r="AV594" i="3" s="1" a="1"/>
  <c r="AV594" i="3" s="1"/>
  <c r="AY594" i="3"/>
  <c r="AZ594" i="3"/>
  <c r="BA594" i="3"/>
  <c r="BB594" i="3"/>
  <c r="BC594" i="3"/>
  <c r="BD594" i="3"/>
  <c r="BE594" i="3"/>
  <c r="BF594" i="3"/>
  <c r="BG594" i="3"/>
  <c r="AT595" i="3"/>
  <c r="AW595" i="3" s="1" a="1"/>
  <c r="AW595" i="3" s="1"/>
  <c r="AU595" i="3"/>
  <c r="AV595" i="3" s="1" a="1"/>
  <c r="AV595" i="3" s="1"/>
  <c r="AY595" i="3"/>
  <c r="AZ595" i="3"/>
  <c r="BA595" i="3"/>
  <c r="BB595" i="3"/>
  <c r="BC595" i="3"/>
  <c r="BD595" i="3"/>
  <c r="BE595" i="3"/>
  <c r="BF595" i="3"/>
  <c r="BG595" i="3"/>
  <c r="AT596" i="3"/>
  <c r="AW596" i="3" s="1" a="1"/>
  <c r="AW596" i="3" s="1"/>
  <c r="AU596" i="3"/>
  <c r="AV596" i="3" s="1" a="1"/>
  <c r="AV596" i="3" s="1"/>
  <c r="AY596" i="3"/>
  <c r="AZ596" i="3"/>
  <c r="BA596" i="3"/>
  <c r="BB596" i="3"/>
  <c r="BC596" i="3"/>
  <c r="BD596" i="3"/>
  <c r="BE596" i="3"/>
  <c r="BF596" i="3"/>
  <c r="BG596" i="3"/>
  <c r="AT597" i="3"/>
  <c r="AX597" i="3" s="1" a="1"/>
  <c r="AX597" i="3" s="1"/>
  <c r="AU597" i="3"/>
  <c r="AV597" i="3" s="1" a="1"/>
  <c r="AV597" i="3" s="1"/>
  <c r="AY597" i="3"/>
  <c r="AZ597" i="3"/>
  <c r="BA597" i="3"/>
  <c r="BB597" i="3"/>
  <c r="BC597" i="3"/>
  <c r="BD597" i="3"/>
  <c r="BE597" i="3"/>
  <c r="BF597" i="3"/>
  <c r="BG597" i="3"/>
  <c r="AT598" i="3"/>
  <c r="AX598" i="3" s="1" a="1"/>
  <c r="AX598" i="3" s="1"/>
  <c r="AU598" i="3"/>
  <c r="AV598" i="3" s="1" a="1"/>
  <c r="AV598" i="3" s="1"/>
  <c r="AY598" i="3"/>
  <c r="AZ598" i="3"/>
  <c r="BA598" i="3"/>
  <c r="BB598" i="3"/>
  <c r="BC598" i="3"/>
  <c r="BD598" i="3"/>
  <c r="BE598" i="3"/>
  <c r="BF598" i="3"/>
  <c r="BG598" i="3"/>
  <c r="AT599" i="3"/>
  <c r="AW599" i="3" s="1" a="1"/>
  <c r="AW599" i="3" s="1"/>
  <c r="AU599" i="3"/>
  <c r="AV599" i="3" s="1" a="1"/>
  <c r="AV599" i="3" s="1"/>
  <c r="AY599" i="3"/>
  <c r="AZ599" i="3"/>
  <c r="BA599" i="3"/>
  <c r="BB599" i="3"/>
  <c r="BC599" i="3"/>
  <c r="BD599" i="3"/>
  <c r="BE599" i="3"/>
  <c r="BF599" i="3"/>
  <c r="BG599" i="3"/>
  <c r="AT600" i="3"/>
  <c r="AW600" i="3" s="1" a="1"/>
  <c r="AW600" i="3" s="1"/>
  <c r="AU600" i="3"/>
  <c r="AV600" i="3" s="1" a="1"/>
  <c r="AV600" i="3" s="1"/>
  <c r="AY600" i="3"/>
  <c r="AZ600" i="3"/>
  <c r="BA600" i="3"/>
  <c r="BB600" i="3"/>
  <c r="BC600" i="3"/>
  <c r="BD600" i="3"/>
  <c r="BE600" i="3"/>
  <c r="BF600" i="3"/>
  <c r="BG600" i="3"/>
  <c r="AT601" i="3"/>
  <c r="AX601" i="3" s="1" a="1"/>
  <c r="AX601" i="3" s="1"/>
  <c r="AU601" i="3"/>
  <c r="AV601" i="3" s="1" a="1"/>
  <c r="AV601" i="3" s="1"/>
  <c r="AY601" i="3"/>
  <c r="AZ601" i="3"/>
  <c r="BA601" i="3"/>
  <c r="BB601" i="3"/>
  <c r="BC601" i="3"/>
  <c r="BD601" i="3"/>
  <c r="BE601" i="3"/>
  <c r="BF601" i="3"/>
  <c r="BG601" i="3"/>
  <c r="AT602" i="3"/>
  <c r="AU602" i="3"/>
  <c r="AV602" i="3" s="1" a="1"/>
  <c r="AV602" i="3" s="1"/>
  <c r="AY602" i="3"/>
  <c r="AZ602" i="3"/>
  <c r="BA602" i="3"/>
  <c r="BB602" i="3"/>
  <c r="BC602" i="3"/>
  <c r="BD602" i="3"/>
  <c r="BE602" i="3"/>
  <c r="BF602" i="3"/>
  <c r="BG602" i="3"/>
  <c r="AT603" i="3"/>
  <c r="AU603" i="3"/>
  <c r="AV603" i="3" s="1" a="1"/>
  <c r="AV603" i="3" s="1"/>
  <c r="AY603" i="3"/>
  <c r="AZ603" i="3"/>
  <c r="BA603" i="3"/>
  <c r="BB603" i="3"/>
  <c r="BC603" i="3"/>
  <c r="BD603" i="3"/>
  <c r="BE603" i="3"/>
  <c r="BF603" i="3"/>
  <c r="BG603" i="3"/>
  <c r="AT604" i="3"/>
  <c r="AW604" i="3" s="1" a="1"/>
  <c r="AW604" i="3" s="1"/>
  <c r="AU604" i="3"/>
  <c r="AV604" i="3" s="1" a="1"/>
  <c r="AV604" i="3" s="1"/>
  <c r="AY604" i="3"/>
  <c r="AZ604" i="3"/>
  <c r="BA604" i="3"/>
  <c r="BB604" i="3"/>
  <c r="BC604" i="3"/>
  <c r="BD604" i="3"/>
  <c r="BE604" i="3"/>
  <c r="BF604" i="3"/>
  <c r="BG604" i="3"/>
  <c r="AT605" i="3"/>
  <c r="AX605" i="3" s="1" a="1"/>
  <c r="AX605" i="3" s="1"/>
  <c r="AU605" i="3"/>
  <c r="AV605" i="3" s="1" a="1"/>
  <c r="AV605" i="3" s="1"/>
  <c r="AY605" i="3"/>
  <c r="AZ605" i="3"/>
  <c r="BA605" i="3"/>
  <c r="BB605" i="3"/>
  <c r="BC605" i="3"/>
  <c r="BD605" i="3"/>
  <c r="BE605" i="3"/>
  <c r="BF605" i="3"/>
  <c r="BG605" i="3"/>
  <c r="AT606" i="3"/>
  <c r="AU606" i="3"/>
  <c r="AV606" i="3" s="1" a="1"/>
  <c r="AV606" i="3" s="1"/>
  <c r="AY606" i="3"/>
  <c r="AZ606" i="3"/>
  <c r="BA606" i="3"/>
  <c r="BB606" i="3"/>
  <c r="BC606" i="3"/>
  <c r="BD606" i="3"/>
  <c r="BE606" i="3"/>
  <c r="BF606" i="3"/>
  <c r="BG606" i="3"/>
  <c r="AT607" i="3"/>
  <c r="AW607" i="3" s="1" a="1"/>
  <c r="AW607" i="3" s="1"/>
  <c r="AU607" i="3"/>
  <c r="AV607" i="3" s="1" a="1"/>
  <c r="AV607" i="3" s="1"/>
  <c r="AY607" i="3"/>
  <c r="AZ607" i="3"/>
  <c r="BA607" i="3"/>
  <c r="BB607" i="3"/>
  <c r="BC607" i="3"/>
  <c r="BD607" i="3"/>
  <c r="BE607" i="3"/>
  <c r="BF607" i="3"/>
  <c r="BG607" i="3"/>
  <c r="AT608" i="3"/>
  <c r="AW608" i="3" s="1" a="1"/>
  <c r="AW608" i="3" s="1"/>
  <c r="AU608" i="3"/>
  <c r="AV608" i="3" s="1" a="1"/>
  <c r="AV608" i="3" s="1"/>
  <c r="AY608" i="3"/>
  <c r="AZ608" i="3"/>
  <c r="BA608" i="3"/>
  <c r="BB608" i="3"/>
  <c r="BC608" i="3"/>
  <c r="BD608" i="3"/>
  <c r="BE608" i="3"/>
  <c r="BF608" i="3"/>
  <c r="BG608" i="3"/>
  <c r="AT609" i="3"/>
  <c r="AX609" i="3" s="1" a="1"/>
  <c r="AX609" i="3" s="1"/>
  <c r="AU609" i="3"/>
  <c r="AV609" i="3" s="1" a="1"/>
  <c r="AV609" i="3" s="1"/>
  <c r="AY609" i="3"/>
  <c r="AZ609" i="3"/>
  <c r="BA609" i="3"/>
  <c r="BB609" i="3"/>
  <c r="BC609" i="3"/>
  <c r="BD609" i="3"/>
  <c r="BE609" i="3"/>
  <c r="BF609" i="3"/>
  <c r="BG609" i="3"/>
  <c r="AT610" i="3"/>
  <c r="AX610" i="3" s="1" a="1"/>
  <c r="AX610" i="3" s="1"/>
  <c r="AU610" i="3"/>
  <c r="AV610" i="3" s="1" a="1"/>
  <c r="AV610" i="3" s="1"/>
  <c r="AY610" i="3"/>
  <c r="AZ610" i="3"/>
  <c r="BA610" i="3"/>
  <c r="BB610" i="3"/>
  <c r="BC610" i="3"/>
  <c r="BD610" i="3"/>
  <c r="BE610" i="3"/>
  <c r="BF610" i="3"/>
  <c r="BG610" i="3"/>
  <c r="AT611" i="3"/>
  <c r="AW611" i="3" s="1" a="1"/>
  <c r="AW611" i="3" s="1"/>
  <c r="AU611" i="3"/>
  <c r="AV611" i="3" s="1" a="1"/>
  <c r="AV611" i="3" s="1"/>
  <c r="AY611" i="3"/>
  <c r="AZ611" i="3"/>
  <c r="BA611" i="3"/>
  <c r="BB611" i="3"/>
  <c r="BC611" i="3"/>
  <c r="BD611" i="3"/>
  <c r="BE611" i="3"/>
  <c r="BF611" i="3"/>
  <c r="BG611" i="3"/>
  <c r="AT612" i="3"/>
  <c r="AW612" i="3" s="1" a="1"/>
  <c r="AW612" i="3" s="1"/>
  <c r="AU612" i="3"/>
  <c r="AV612" i="3" s="1" a="1"/>
  <c r="AV612" i="3" s="1"/>
  <c r="AY612" i="3"/>
  <c r="AZ612" i="3"/>
  <c r="BA612" i="3"/>
  <c r="BB612" i="3"/>
  <c r="BC612" i="3"/>
  <c r="BD612" i="3"/>
  <c r="BE612" i="3"/>
  <c r="BF612" i="3"/>
  <c r="BG612" i="3"/>
  <c r="AT613" i="3"/>
  <c r="AX613" i="3" s="1" a="1"/>
  <c r="AX613" i="3" s="1"/>
  <c r="AU613" i="3"/>
  <c r="AV613" i="3" s="1" a="1"/>
  <c r="AV613" i="3" s="1"/>
  <c r="AY613" i="3"/>
  <c r="AZ613" i="3"/>
  <c r="BA613" i="3"/>
  <c r="BB613" i="3"/>
  <c r="BC613" i="3"/>
  <c r="BD613" i="3"/>
  <c r="BE613" i="3"/>
  <c r="BF613" i="3"/>
  <c r="BG613" i="3"/>
  <c r="AT614" i="3"/>
  <c r="AX614" i="3" s="1" a="1"/>
  <c r="AX614" i="3" s="1"/>
  <c r="AU614" i="3"/>
  <c r="AV614" i="3" s="1" a="1"/>
  <c r="AV614" i="3" s="1"/>
  <c r="AY614" i="3"/>
  <c r="AZ614" i="3"/>
  <c r="BA614" i="3"/>
  <c r="BB614" i="3"/>
  <c r="BC614" i="3"/>
  <c r="BD614" i="3"/>
  <c r="BE614" i="3"/>
  <c r="BF614" i="3"/>
  <c r="BG614" i="3"/>
  <c r="AT615" i="3"/>
  <c r="AW615" i="3" s="1" a="1"/>
  <c r="AW615" i="3" s="1"/>
  <c r="AU615" i="3"/>
  <c r="AV615" i="3" s="1" a="1"/>
  <c r="AV615" i="3" s="1"/>
  <c r="AY615" i="3"/>
  <c r="AZ615" i="3"/>
  <c r="BA615" i="3"/>
  <c r="BB615" i="3"/>
  <c r="BC615" i="3"/>
  <c r="BD615" i="3"/>
  <c r="BE615" i="3"/>
  <c r="BF615" i="3"/>
  <c r="BG615" i="3"/>
  <c r="AT616" i="3"/>
  <c r="AW616" i="3" s="1" a="1"/>
  <c r="AW616" i="3" s="1"/>
  <c r="AU616" i="3"/>
  <c r="AV616" i="3" s="1" a="1"/>
  <c r="AV616" i="3" s="1"/>
  <c r="AY616" i="3"/>
  <c r="AZ616" i="3"/>
  <c r="BA616" i="3"/>
  <c r="BB616" i="3"/>
  <c r="BC616" i="3"/>
  <c r="BD616" i="3"/>
  <c r="BE616" i="3"/>
  <c r="BF616" i="3"/>
  <c r="BG616" i="3"/>
  <c r="AT617" i="3"/>
  <c r="AX617" i="3" s="1" a="1"/>
  <c r="AX617" i="3" s="1"/>
  <c r="AU617" i="3"/>
  <c r="AV617" i="3" s="1" a="1"/>
  <c r="AV617" i="3" s="1"/>
  <c r="AY617" i="3"/>
  <c r="AZ617" i="3"/>
  <c r="BA617" i="3"/>
  <c r="BB617" i="3"/>
  <c r="BC617" i="3"/>
  <c r="BD617" i="3"/>
  <c r="BE617" i="3"/>
  <c r="BF617" i="3"/>
  <c r="BG617" i="3"/>
  <c r="AT618" i="3"/>
  <c r="AX618" i="3" s="1" a="1"/>
  <c r="AX618" i="3" s="1"/>
  <c r="AU618" i="3"/>
  <c r="AV618" i="3" s="1" a="1"/>
  <c r="AV618" i="3" s="1"/>
  <c r="AY618" i="3"/>
  <c r="AZ618" i="3"/>
  <c r="BA618" i="3"/>
  <c r="BB618" i="3"/>
  <c r="BC618" i="3"/>
  <c r="BD618" i="3"/>
  <c r="BE618" i="3"/>
  <c r="BF618" i="3"/>
  <c r="BG618" i="3"/>
  <c r="AT619" i="3"/>
  <c r="AW619" i="3" s="1" a="1"/>
  <c r="AW619" i="3" s="1"/>
  <c r="AU619" i="3"/>
  <c r="AV619" i="3" s="1" a="1"/>
  <c r="AV619" i="3" s="1"/>
  <c r="AY619" i="3"/>
  <c r="AZ619" i="3"/>
  <c r="BA619" i="3"/>
  <c r="BB619" i="3"/>
  <c r="BC619" i="3"/>
  <c r="BD619" i="3"/>
  <c r="BE619" i="3"/>
  <c r="BF619" i="3"/>
  <c r="BG619" i="3"/>
  <c r="AT620" i="3"/>
  <c r="AW620" i="3" s="1" a="1"/>
  <c r="AW620" i="3" s="1"/>
  <c r="AU620" i="3"/>
  <c r="AV620" i="3" s="1" a="1"/>
  <c r="AV620" i="3" s="1"/>
  <c r="AY620" i="3"/>
  <c r="AZ620" i="3"/>
  <c r="BA620" i="3"/>
  <c r="BB620" i="3"/>
  <c r="BC620" i="3"/>
  <c r="BD620" i="3"/>
  <c r="BE620" i="3"/>
  <c r="BF620" i="3"/>
  <c r="BG620" i="3"/>
  <c r="AT621" i="3"/>
  <c r="AX621" i="3" s="1" a="1"/>
  <c r="AX621" i="3" s="1"/>
  <c r="AU621" i="3"/>
  <c r="AV621" i="3" s="1" a="1"/>
  <c r="AV621" i="3" s="1"/>
  <c r="AY621" i="3"/>
  <c r="AZ621" i="3"/>
  <c r="BA621" i="3"/>
  <c r="BB621" i="3"/>
  <c r="BC621" i="3"/>
  <c r="BD621" i="3"/>
  <c r="BE621" i="3"/>
  <c r="BF621" i="3"/>
  <c r="BG621" i="3"/>
  <c r="AT622" i="3"/>
  <c r="AX622" i="3" s="1" a="1"/>
  <c r="AX622" i="3" s="1"/>
  <c r="AU622" i="3"/>
  <c r="AV622" i="3" s="1" a="1"/>
  <c r="AV622" i="3" s="1"/>
  <c r="AY622" i="3"/>
  <c r="AZ622" i="3"/>
  <c r="BA622" i="3"/>
  <c r="BB622" i="3"/>
  <c r="BC622" i="3"/>
  <c r="BD622" i="3"/>
  <c r="BE622" i="3"/>
  <c r="BF622" i="3"/>
  <c r="BG622" i="3"/>
  <c r="AT623" i="3"/>
  <c r="AU623" i="3"/>
  <c r="AV623" i="3" s="1" a="1"/>
  <c r="AV623" i="3" s="1"/>
  <c r="AY623" i="3"/>
  <c r="AZ623" i="3"/>
  <c r="BA623" i="3"/>
  <c r="BB623" i="3"/>
  <c r="BC623" i="3"/>
  <c r="BD623" i="3"/>
  <c r="BE623" i="3"/>
  <c r="BF623" i="3"/>
  <c r="BG623" i="3"/>
  <c r="AT624" i="3"/>
  <c r="AW624" i="3" s="1" a="1"/>
  <c r="AW624" i="3" s="1"/>
  <c r="AU624" i="3"/>
  <c r="AV624" i="3" s="1" a="1"/>
  <c r="AV624" i="3" s="1"/>
  <c r="AY624" i="3"/>
  <c r="AZ624" i="3"/>
  <c r="BA624" i="3"/>
  <c r="BB624" i="3"/>
  <c r="BC624" i="3"/>
  <c r="BD624" i="3"/>
  <c r="BE624" i="3"/>
  <c r="BF624" i="3"/>
  <c r="BG624" i="3"/>
  <c r="AT625" i="3"/>
  <c r="AW625" i="3" s="1" a="1"/>
  <c r="AW625" i="3" s="1"/>
  <c r="AU625" i="3"/>
  <c r="AV625" i="3" s="1" a="1"/>
  <c r="AV625" i="3" s="1"/>
  <c r="AY625" i="3"/>
  <c r="AZ625" i="3"/>
  <c r="BA625" i="3"/>
  <c r="BB625" i="3"/>
  <c r="BC625" i="3"/>
  <c r="BD625" i="3"/>
  <c r="BE625" i="3"/>
  <c r="BF625" i="3"/>
  <c r="BG625" i="3"/>
  <c r="AT626" i="3"/>
  <c r="AX626" i="3" s="1" a="1"/>
  <c r="AX626" i="3" s="1"/>
  <c r="AU626" i="3"/>
  <c r="AV626" i="3" s="1" a="1"/>
  <c r="AV626" i="3" s="1"/>
  <c r="AY626" i="3"/>
  <c r="AZ626" i="3"/>
  <c r="BA626" i="3"/>
  <c r="BB626" i="3"/>
  <c r="BC626" i="3"/>
  <c r="BD626" i="3"/>
  <c r="BE626" i="3"/>
  <c r="BF626" i="3"/>
  <c r="BG626" i="3"/>
  <c r="AT627" i="3"/>
  <c r="AW627" i="3" s="1" a="1"/>
  <c r="AW627" i="3" s="1"/>
  <c r="AU627" i="3"/>
  <c r="AV627" i="3" s="1" a="1"/>
  <c r="AV627" i="3" s="1"/>
  <c r="AY627" i="3"/>
  <c r="AZ627" i="3"/>
  <c r="BA627" i="3"/>
  <c r="BB627" i="3"/>
  <c r="BC627" i="3"/>
  <c r="BD627" i="3"/>
  <c r="BE627" i="3"/>
  <c r="BF627" i="3"/>
  <c r="BG627" i="3"/>
  <c r="AT628" i="3"/>
  <c r="AX628" i="3" s="1" a="1"/>
  <c r="AX628" i="3" s="1"/>
  <c r="AU628" i="3"/>
  <c r="AV628" i="3" s="1" a="1"/>
  <c r="AV628" i="3" s="1"/>
  <c r="AY628" i="3"/>
  <c r="AZ628" i="3"/>
  <c r="BA628" i="3"/>
  <c r="BB628" i="3"/>
  <c r="BC628" i="3"/>
  <c r="BD628" i="3"/>
  <c r="BE628" i="3"/>
  <c r="BF628" i="3"/>
  <c r="BG628" i="3"/>
  <c r="AT629" i="3"/>
  <c r="AU629" i="3"/>
  <c r="AV629" i="3" s="1" a="1"/>
  <c r="AV629" i="3" s="1"/>
  <c r="AY629" i="3"/>
  <c r="AZ629" i="3"/>
  <c r="BA629" i="3"/>
  <c r="BB629" i="3"/>
  <c r="BC629" i="3"/>
  <c r="BD629" i="3"/>
  <c r="BE629" i="3"/>
  <c r="BF629" i="3"/>
  <c r="BG629" i="3"/>
  <c r="AT630" i="3"/>
  <c r="AX630" i="3" s="1" a="1"/>
  <c r="AX630" i="3" s="1"/>
  <c r="AU630" i="3"/>
  <c r="AV630" i="3" s="1" a="1"/>
  <c r="AV630" i="3" s="1"/>
  <c r="AY630" i="3"/>
  <c r="AZ630" i="3"/>
  <c r="BA630" i="3"/>
  <c r="BB630" i="3"/>
  <c r="BC630" i="3"/>
  <c r="BD630" i="3"/>
  <c r="BE630" i="3"/>
  <c r="BF630" i="3"/>
  <c r="BG630" i="3"/>
  <c r="AT631" i="3"/>
  <c r="AW631" i="3" s="1" a="1"/>
  <c r="AW631" i="3" s="1"/>
  <c r="AU631" i="3"/>
  <c r="AV631" i="3" s="1" a="1"/>
  <c r="AV631" i="3" s="1"/>
  <c r="AY631" i="3"/>
  <c r="AZ631" i="3"/>
  <c r="BA631" i="3"/>
  <c r="BB631" i="3"/>
  <c r="BC631" i="3"/>
  <c r="BD631" i="3"/>
  <c r="BE631" i="3"/>
  <c r="BF631" i="3"/>
  <c r="BG631" i="3"/>
  <c r="AT632" i="3"/>
  <c r="AW632" i="3" s="1" a="1"/>
  <c r="AW632" i="3" s="1"/>
  <c r="AU632" i="3"/>
  <c r="AV632" i="3" s="1" a="1"/>
  <c r="AV632" i="3" s="1"/>
  <c r="AY632" i="3"/>
  <c r="AZ632" i="3"/>
  <c r="BA632" i="3"/>
  <c r="BB632" i="3"/>
  <c r="BC632" i="3"/>
  <c r="BD632" i="3"/>
  <c r="BE632" i="3"/>
  <c r="BF632" i="3"/>
  <c r="BG632" i="3"/>
  <c r="AT633" i="3"/>
  <c r="AU633" i="3"/>
  <c r="AV633" i="3" s="1" a="1"/>
  <c r="AV633" i="3" s="1"/>
  <c r="AY633" i="3"/>
  <c r="AZ633" i="3"/>
  <c r="BA633" i="3"/>
  <c r="BB633" i="3"/>
  <c r="BC633" i="3"/>
  <c r="BD633" i="3"/>
  <c r="BE633" i="3"/>
  <c r="BF633" i="3"/>
  <c r="BG633" i="3"/>
  <c r="AT634" i="3"/>
  <c r="AX634" i="3" s="1" a="1"/>
  <c r="AX634" i="3" s="1"/>
  <c r="AU634" i="3"/>
  <c r="AV634" i="3" s="1" a="1"/>
  <c r="AV634" i="3" s="1"/>
  <c r="AY634" i="3"/>
  <c r="AZ634" i="3"/>
  <c r="BA634" i="3"/>
  <c r="BB634" i="3"/>
  <c r="BC634" i="3"/>
  <c r="BD634" i="3"/>
  <c r="BE634" i="3"/>
  <c r="BF634" i="3"/>
  <c r="BG634" i="3"/>
  <c r="AT635" i="3"/>
  <c r="AW635" i="3" s="1" a="1"/>
  <c r="AW635" i="3" s="1"/>
  <c r="AU635" i="3"/>
  <c r="AV635" i="3" s="1" a="1"/>
  <c r="AV635" i="3" s="1"/>
  <c r="AY635" i="3"/>
  <c r="AZ635" i="3"/>
  <c r="BA635" i="3"/>
  <c r="BB635" i="3"/>
  <c r="BC635" i="3"/>
  <c r="BD635" i="3"/>
  <c r="BE635" i="3"/>
  <c r="BF635" i="3"/>
  <c r="BG635" i="3"/>
  <c r="AT636" i="3"/>
  <c r="AW636" i="3" s="1" a="1"/>
  <c r="AW636" i="3" s="1"/>
  <c r="AU636" i="3"/>
  <c r="AV636" i="3" s="1" a="1"/>
  <c r="AV636" i="3" s="1"/>
  <c r="AY636" i="3"/>
  <c r="AZ636" i="3"/>
  <c r="BA636" i="3"/>
  <c r="BB636" i="3"/>
  <c r="BC636" i="3"/>
  <c r="BD636" i="3"/>
  <c r="BE636" i="3"/>
  <c r="BF636" i="3"/>
  <c r="BG636" i="3"/>
  <c r="AT637" i="3"/>
  <c r="AW637" i="3" s="1" a="1"/>
  <c r="AW637" i="3" s="1"/>
  <c r="AU637" i="3"/>
  <c r="AV637" i="3" s="1" a="1"/>
  <c r="AV637" i="3" s="1"/>
  <c r="AY637" i="3"/>
  <c r="AZ637" i="3"/>
  <c r="BA637" i="3"/>
  <c r="BB637" i="3"/>
  <c r="BC637" i="3"/>
  <c r="BD637" i="3"/>
  <c r="BE637" i="3"/>
  <c r="BF637" i="3"/>
  <c r="BG637" i="3"/>
  <c r="AT638" i="3"/>
  <c r="AW638" i="3" s="1" a="1"/>
  <c r="AW638" i="3" s="1"/>
  <c r="AU638" i="3"/>
  <c r="AV638" i="3" s="1" a="1"/>
  <c r="AV638" i="3" s="1"/>
  <c r="AY638" i="3"/>
  <c r="AZ638" i="3"/>
  <c r="BA638" i="3"/>
  <c r="BB638" i="3"/>
  <c r="BC638" i="3"/>
  <c r="BD638" i="3"/>
  <c r="BE638" i="3"/>
  <c r="BF638" i="3"/>
  <c r="BG638" i="3"/>
  <c r="AT639" i="3"/>
  <c r="AX639" i="3" s="1" a="1"/>
  <c r="AX639" i="3" s="1"/>
  <c r="AU639" i="3"/>
  <c r="AV639" i="3" s="1" a="1"/>
  <c r="AV639" i="3" s="1"/>
  <c r="AY639" i="3"/>
  <c r="AZ639" i="3"/>
  <c r="BA639" i="3"/>
  <c r="BB639" i="3"/>
  <c r="BC639" i="3"/>
  <c r="BD639" i="3"/>
  <c r="BE639" i="3"/>
  <c r="BF639" i="3"/>
  <c r="BG639" i="3"/>
  <c r="AT640" i="3"/>
  <c r="AW640" i="3" s="1" a="1"/>
  <c r="AW640" i="3" s="1"/>
  <c r="AU640" i="3"/>
  <c r="AV640" i="3" s="1" a="1"/>
  <c r="AV640" i="3" s="1"/>
  <c r="AY640" i="3"/>
  <c r="AZ640" i="3"/>
  <c r="BA640" i="3"/>
  <c r="BB640" i="3"/>
  <c r="BC640" i="3"/>
  <c r="BD640" i="3"/>
  <c r="BE640" i="3"/>
  <c r="BF640" i="3"/>
  <c r="BG640" i="3"/>
  <c r="AT641" i="3"/>
  <c r="AW641" i="3" s="1" a="1"/>
  <c r="AW641" i="3" s="1"/>
  <c r="AU641" i="3"/>
  <c r="AV641" i="3" s="1" a="1"/>
  <c r="AV641" i="3" s="1"/>
  <c r="AY641" i="3"/>
  <c r="AZ641" i="3"/>
  <c r="BA641" i="3"/>
  <c r="BB641" i="3"/>
  <c r="BC641" i="3"/>
  <c r="BD641" i="3"/>
  <c r="BE641" i="3"/>
  <c r="BF641" i="3"/>
  <c r="BG641" i="3"/>
  <c r="AT642" i="3"/>
  <c r="AX642" i="3" s="1" a="1"/>
  <c r="AX642" i="3" s="1"/>
  <c r="AU642" i="3"/>
  <c r="AV642" i="3" s="1" a="1"/>
  <c r="AV642" i="3" s="1"/>
  <c r="AY642" i="3"/>
  <c r="AZ642" i="3"/>
  <c r="BA642" i="3"/>
  <c r="BB642" i="3"/>
  <c r="BC642" i="3"/>
  <c r="BD642" i="3"/>
  <c r="BE642" i="3"/>
  <c r="BF642" i="3"/>
  <c r="BG642" i="3"/>
  <c r="AT643" i="3"/>
  <c r="AW643" i="3" s="1" a="1"/>
  <c r="AW643" i="3" s="1"/>
  <c r="AU643" i="3"/>
  <c r="AV643" i="3" s="1" a="1"/>
  <c r="AV643" i="3" s="1"/>
  <c r="AY643" i="3"/>
  <c r="AZ643" i="3"/>
  <c r="BA643" i="3"/>
  <c r="BB643" i="3"/>
  <c r="BC643" i="3"/>
  <c r="BD643" i="3"/>
  <c r="BE643" i="3"/>
  <c r="BF643" i="3"/>
  <c r="BG643" i="3"/>
  <c r="AT644" i="3"/>
  <c r="AW644" i="3" s="1" a="1"/>
  <c r="AW644" i="3" s="1"/>
  <c r="AU644" i="3"/>
  <c r="AV644" i="3" s="1" a="1"/>
  <c r="AV644" i="3" s="1"/>
  <c r="AY644" i="3"/>
  <c r="AZ644" i="3"/>
  <c r="BA644" i="3"/>
  <c r="BB644" i="3"/>
  <c r="BC644" i="3"/>
  <c r="BD644" i="3"/>
  <c r="BE644" i="3"/>
  <c r="BF644" i="3"/>
  <c r="BG644" i="3"/>
  <c r="AT645" i="3"/>
  <c r="AX645" i="3" s="1" a="1"/>
  <c r="AX645" i="3" s="1"/>
  <c r="AU645" i="3"/>
  <c r="AV645" i="3" s="1" a="1"/>
  <c r="AV645" i="3" s="1"/>
  <c r="AY645" i="3"/>
  <c r="AZ645" i="3"/>
  <c r="BA645" i="3"/>
  <c r="BB645" i="3"/>
  <c r="BC645" i="3"/>
  <c r="BD645" i="3"/>
  <c r="BE645" i="3"/>
  <c r="BF645" i="3"/>
  <c r="BG645" i="3"/>
  <c r="AT646" i="3"/>
  <c r="AX646" i="3" s="1" a="1"/>
  <c r="AX646" i="3" s="1"/>
  <c r="AU646" i="3"/>
  <c r="AV646" i="3" s="1" a="1"/>
  <c r="AV646" i="3" s="1"/>
  <c r="AY646" i="3"/>
  <c r="AZ646" i="3"/>
  <c r="BA646" i="3"/>
  <c r="BB646" i="3"/>
  <c r="BC646" i="3"/>
  <c r="BD646" i="3"/>
  <c r="BE646" i="3"/>
  <c r="BF646" i="3"/>
  <c r="BG646" i="3"/>
  <c r="AT647" i="3"/>
  <c r="AW647" i="3" s="1" a="1"/>
  <c r="AW647" i="3" s="1"/>
  <c r="AU647" i="3"/>
  <c r="AV647" i="3" s="1" a="1"/>
  <c r="AV647" i="3" s="1"/>
  <c r="AY647" i="3"/>
  <c r="AZ647" i="3"/>
  <c r="BA647" i="3"/>
  <c r="BB647" i="3"/>
  <c r="BC647" i="3"/>
  <c r="BD647" i="3"/>
  <c r="BE647" i="3"/>
  <c r="BF647" i="3"/>
  <c r="BG647" i="3"/>
  <c r="AT648" i="3"/>
  <c r="AW648" i="3" s="1" a="1"/>
  <c r="AW648" i="3" s="1"/>
  <c r="AU648" i="3"/>
  <c r="AV648" i="3" s="1" a="1"/>
  <c r="AV648" i="3" s="1"/>
  <c r="AY648" i="3"/>
  <c r="AZ648" i="3"/>
  <c r="BA648" i="3"/>
  <c r="BB648" i="3"/>
  <c r="BC648" i="3"/>
  <c r="BD648" i="3"/>
  <c r="BE648" i="3"/>
  <c r="BF648" i="3"/>
  <c r="BG648" i="3"/>
  <c r="AT649" i="3"/>
  <c r="AW649" i="3" s="1" a="1"/>
  <c r="AW649" i="3" s="1"/>
  <c r="AU649" i="3"/>
  <c r="AV649" i="3" s="1" a="1"/>
  <c r="AV649" i="3" s="1"/>
  <c r="AY649" i="3"/>
  <c r="AZ649" i="3"/>
  <c r="BA649" i="3"/>
  <c r="BB649" i="3"/>
  <c r="BC649" i="3"/>
  <c r="BD649" i="3"/>
  <c r="BE649" i="3"/>
  <c r="BF649" i="3"/>
  <c r="BG649" i="3"/>
  <c r="AT650" i="3"/>
  <c r="AW650" i="3" s="1" a="1"/>
  <c r="AW650" i="3" s="1"/>
  <c r="AU650" i="3"/>
  <c r="AV650" i="3" s="1" a="1"/>
  <c r="AV650" i="3" s="1"/>
  <c r="AY650" i="3"/>
  <c r="AZ650" i="3"/>
  <c r="BA650" i="3"/>
  <c r="BB650" i="3"/>
  <c r="BC650" i="3"/>
  <c r="BD650" i="3"/>
  <c r="BE650" i="3"/>
  <c r="BF650" i="3"/>
  <c r="BG650" i="3"/>
  <c r="AT651" i="3"/>
  <c r="AW651" i="3" s="1" a="1"/>
  <c r="AW651" i="3" s="1"/>
  <c r="AU651" i="3"/>
  <c r="AV651" i="3" s="1" a="1"/>
  <c r="AV651" i="3" s="1"/>
  <c r="AY651" i="3"/>
  <c r="AZ651" i="3"/>
  <c r="BA651" i="3"/>
  <c r="BB651" i="3"/>
  <c r="BC651" i="3"/>
  <c r="BD651" i="3"/>
  <c r="BE651" i="3"/>
  <c r="BF651" i="3"/>
  <c r="BG651" i="3"/>
  <c r="AT652" i="3"/>
  <c r="AX652" i="3" s="1" a="1"/>
  <c r="AX652" i="3" s="1"/>
  <c r="AU652" i="3"/>
  <c r="AV652" i="3" s="1" a="1"/>
  <c r="AV652" i="3" s="1"/>
  <c r="AY652" i="3"/>
  <c r="AZ652" i="3"/>
  <c r="BA652" i="3"/>
  <c r="BB652" i="3"/>
  <c r="BC652" i="3"/>
  <c r="BD652" i="3"/>
  <c r="BE652" i="3"/>
  <c r="BF652" i="3"/>
  <c r="BG652" i="3"/>
  <c r="AT653" i="3"/>
  <c r="AW653" i="3" s="1" a="1"/>
  <c r="AW653" i="3" s="1"/>
  <c r="AU653" i="3"/>
  <c r="AV653" i="3" s="1" a="1"/>
  <c r="AV653" i="3" s="1"/>
  <c r="AY653" i="3"/>
  <c r="AZ653" i="3"/>
  <c r="BA653" i="3"/>
  <c r="BB653" i="3"/>
  <c r="BC653" i="3"/>
  <c r="BD653" i="3"/>
  <c r="BE653" i="3"/>
  <c r="BF653" i="3"/>
  <c r="BG653" i="3"/>
  <c r="AT654" i="3"/>
  <c r="AU654" i="3"/>
  <c r="AV654" i="3" s="1" a="1"/>
  <c r="AV654" i="3" s="1"/>
  <c r="AY654" i="3"/>
  <c r="AZ654" i="3"/>
  <c r="BA654" i="3"/>
  <c r="BB654" i="3"/>
  <c r="BC654" i="3"/>
  <c r="BD654" i="3"/>
  <c r="BE654" i="3"/>
  <c r="BF654" i="3"/>
  <c r="BG654" i="3"/>
  <c r="AT655" i="3"/>
  <c r="AW655" i="3" s="1" a="1"/>
  <c r="AW655" i="3" s="1"/>
  <c r="AU655" i="3"/>
  <c r="AV655" i="3" s="1" a="1"/>
  <c r="AV655" i="3" s="1"/>
  <c r="AY655" i="3"/>
  <c r="AZ655" i="3"/>
  <c r="BA655" i="3"/>
  <c r="BB655" i="3"/>
  <c r="BC655" i="3"/>
  <c r="BD655" i="3"/>
  <c r="BE655" i="3"/>
  <c r="BF655" i="3"/>
  <c r="BG655" i="3"/>
  <c r="AT656" i="3"/>
  <c r="AU656" i="3"/>
  <c r="AV656" i="3" s="1" a="1"/>
  <c r="AV656" i="3" s="1"/>
  <c r="AY656" i="3"/>
  <c r="AZ656" i="3"/>
  <c r="BA656" i="3"/>
  <c r="BB656" i="3"/>
  <c r="BC656" i="3"/>
  <c r="BD656" i="3"/>
  <c r="BE656" i="3"/>
  <c r="BF656" i="3"/>
  <c r="BG656" i="3"/>
  <c r="AT657" i="3"/>
  <c r="AX657" i="3" s="1" a="1"/>
  <c r="AX657" i="3" s="1"/>
  <c r="AU657" i="3"/>
  <c r="AV657" i="3" s="1" a="1"/>
  <c r="AV657" i="3" s="1"/>
  <c r="AY657" i="3"/>
  <c r="AZ657" i="3"/>
  <c r="BA657" i="3"/>
  <c r="BB657" i="3"/>
  <c r="BC657" i="3"/>
  <c r="BD657" i="3"/>
  <c r="BE657" i="3"/>
  <c r="BF657" i="3"/>
  <c r="BG657" i="3"/>
  <c r="AT658" i="3"/>
  <c r="AX658" i="3" s="1" a="1"/>
  <c r="AX658" i="3" s="1"/>
  <c r="AU658" i="3"/>
  <c r="AV658" i="3" s="1" a="1"/>
  <c r="AV658" i="3" s="1"/>
  <c r="AY658" i="3"/>
  <c r="AZ658" i="3"/>
  <c r="BA658" i="3"/>
  <c r="BB658" i="3"/>
  <c r="BC658" i="3"/>
  <c r="BD658" i="3"/>
  <c r="BE658" i="3"/>
  <c r="BF658" i="3"/>
  <c r="BG658" i="3"/>
  <c r="AT659" i="3"/>
  <c r="AU659" i="3"/>
  <c r="AV659" i="3" s="1" a="1"/>
  <c r="AV659" i="3" s="1"/>
  <c r="AY659" i="3"/>
  <c r="AZ659" i="3"/>
  <c r="BA659" i="3"/>
  <c r="BB659" i="3"/>
  <c r="BC659" i="3"/>
  <c r="BD659" i="3"/>
  <c r="BE659" i="3"/>
  <c r="BF659" i="3"/>
  <c r="BG659" i="3"/>
  <c r="AT660" i="3"/>
  <c r="AW660" i="3" s="1" a="1"/>
  <c r="AW660" i="3" s="1"/>
  <c r="AU660" i="3"/>
  <c r="AV660" i="3" s="1" a="1"/>
  <c r="AV660" i="3" s="1"/>
  <c r="AY660" i="3"/>
  <c r="AZ660" i="3"/>
  <c r="BA660" i="3"/>
  <c r="BB660" i="3"/>
  <c r="BC660" i="3"/>
  <c r="BD660" i="3"/>
  <c r="BE660" i="3"/>
  <c r="BF660" i="3"/>
  <c r="BG660" i="3"/>
  <c r="AT661" i="3"/>
  <c r="AW661" i="3" s="1" a="1"/>
  <c r="AW661" i="3" s="1"/>
  <c r="AU661" i="3"/>
  <c r="AV661" i="3" s="1" a="1"/>
  <c r="AV661" i="3" s="1"/>
  <c r="AY661" i="3"/>
  <c r="AZ661" i="3"/>
  <c r="BA661" i="3"/>
  <c r="BB661" i="3"/>
  <c r="BC661" i="3"/>
  <c r="BD661" i="3"/>
  <c r="BE661" i="3"/>
  <c r="BF661" i="3"/>
  <c r="BG661" i="3"/>
  <c r="AT662" i="3"/>
  <c r="AW662" i="3" s="1" a="1"/>
  <c r="AW662" i="3" s="1"/>
  <c r="AU662" i="3"/>
  <c r="AV662" i="3" s="1" a="1"/>
  <c r="AV662" i="3" s="1"/>
  <c r="AY662" i="3"/>
  <c r="AZ662" i="3"/>
  <c r="BA662" i="3"/>
  <c r="BB662" i="3"/>
  <c r="BC662" i="3"/>
  <c r="BD662" i="3"/>
  <c r="BE662" i="3"/>
  <c r="BF662" i="3"/>
  <c r="BG662" i="3"/>
  <c r="AT663" i="3"/>
  <c r="AX663" i="3" s="1" a="1"/>
  <c r="AX663" i="3" s="1"/>
  <c r="AU663" i="3"/>
  <c r="AV663" i="3" s="1" a="1"/>
  <c r="AV663" i="3" s="1"/>
  <c r="AY663" i="3"/>
  <c r="AZ663" i="3"/>
  <c r="BA663" i="3"/>
  <c r="BB663" i="3"/>
  <c r="BC663" i="3"/>
  <c r="BD663" i="3"/>
  <c r="BE663" i="3"/>
  <c r="BF663" i="3"/>
  <c r="BG663" i="3"/>
  <c r="AT664" i="3"/>
  <c r="AU664" i="3"/>
  <c r="AV664" i="3" s="1" a="1"/>
  <c r="AV664" i="3" s="1"/>
  <c r="AY664" i="3"/>
  <c r="AZ664" i="3"/>
  <c r="BA664" i="3"/>
  <c r="BB664" i="3"/>
  <c r="BC664" i="3"/>
  <c r="BD664" i="3"/>
  <c r="BE664" i="3"/>
  <c r="BF664" i="3"/>
  <c r="BG664" i="3"/>
  <c r="AT665" i="3"/>
  <c r="AX665" i="3" s="1" a="1"/>
  <c r="AX665" i="3" s="1"/>
  <c r="AU665" i="3"/>
  <c r="AV665" i="3" s="1" a="1"/>
  <c r="AV665" i="3" s="1"/>
  <c r="AY665" i="3"/>
  <c r="AZ665" i="3"/>
  <c r="BA665" i="3"/>
  <c r="BB665" i="3"/>
  <c r="BC665" i="3"/>
  <c r="BD665" i="3"/>
  <c r="BE665" i="3"/>
  <c r="BF665" i="3"/>
  <c r="BG665" i="3"/>
  <c r="AT666" i="3"/>
  <c r="AU666" i="3"/>
  <c r="AV666" i="3" s="1" a="1"/>
  <c r="AV666" i="3" s="1"/>
  <c r="AY666" i="3"/>
  <c r="AZ666" i="3"/>
  <c r="BA666" i="3"/>
  <c r="BB666" i="3"/>
  <c r="BC666" i="3"/>
  <c r="BD666" i="3"/>
  <c r="BE666" i="3"/>
  <c r="BF666" i="3"/>
  <c r="BG666" i="3"/>
  <c r="AT667" i="3"/>
  <c r="AW667" i="3" s="1" a="1"/>
  <c r="AW667" i="3" s="1"/>
  <c r="AU667" i="3"/>
  <c r="AV667" i="3" s="1" a="1"/>
  <c r="AV667" i="3" s="1"/>
  <c r="AY667" i="3"/>
  <c r="AZ667" i="3"/>
  <c r="BA667" i="3"/>
  <c r="BB667" i="3"/>
  <c r="BC667" i="3"/>
  <c r="BD667" i="3"/>
  <c r="BE667" i="3"/>
  <c r="BF667" i="3"/>
  <c r="BG667" i="3"/>
  <c r="AT668" i="3"/>
  <c r="AU668" i="3"/>
  <c r="AV668" i="3" s="1" a="1"/>
  <c r="AV668" i="3" s="1"/>
  <c r="AY668" i="3"/>
  <c r="AZ668" i="3"/>
  <c r="BA668" i="3"/>
  <c r="BB668" i="3"/>
  <c r="BC668" i="3"/>
  <c r="BD668" i="3"/>
  <c r="BE668" i="3"/>
  <c r="BF668" i="3"/>
  <c r="BG668" i="3"/>
  <c r="AT669" i="3"/>
  <c r="AX669" i="3" s="1" a="1"/>
  <c r="AX669" i="3" s="1"/>
  <c r="AU669" i="3"/>
  <c r="AV669" i="3" s="1" a="1"/>
  <c r="AV669" i="3" s="1"/>
  <c r="AY669" i="3"/>
  <c r="AZ669" i="3"/>
  <c r="BA669" i="3"/>
  <c r="BB669" i="3"/>
  <c r="BC669" i="3"/>
  <c r="BD669" i="3"/>
  <c r="BE669" i="3"/>
  <c r="BF669" i="3"/>
  <c r="BG669" i="3"/>
  <c r="AT670" i="3"/>
  <c r="AX670" i="3" s="1" a="1"/>
  <c r="AX670" i="3" s="1"/>
  <c r="AU670" i="3"/>
  <c r="AV670" i="3" s="1" a="1"/>
  <c r="AV670" i="3" s="1"/>
  <c r="AY670" i="3"/>
  <c r="AZ670" i="3"/>
  <c r="BA670" i="3"/>
  <c r="BB670" i="3"/>
  <c r="BC670" i="3"/>
  <c r="BD670" i="3"/>
  <c r="BE670" i="3"/>
  <c r="BF670" i="3"/>
  <c r="BG670" i="3"/>
  <c r="AT671" i="3"/>
  <c r="AU671" i="3"/>
  <c r="AV671" i="3" s="1" a="1"/>
  <c r="AV671" i="3" s="1"/>
  <c r="AY671" i="3"/>
  <c r="AZ671" i="3"/>
  <c r="BA671" i="3"/>
  <c r="BB671" i="3"/>
  <c r="BC671" i="3"/>
  <c r="BD671" i="3"/>
  <c r="BE671" i="3"/>
  <c r="BF671" i="3"/>
  <c r="BG671" i="3"/>
  <c r="AT672" i="3"/>
  <c r="AW672" i="3" s="1" a="1"/>
  <c r="AW672" i="3" s="1"/>
  <c r="AU672" i="3"/>
  <c r="AV672" i="3" s="1" a="1"/>
  <c r="AV672" i="3" s="1"/>
  <c r="AY672" i="3"/>
  <c r="AZ672" i="3"/>
  <c r="BA672" i="3"/>
  <c r="BB672" i="3"/>
  <c r="BC672" i="3"/>
  <c r="BD672" i="3"/>
  <c r="BE672" i="3"/>
  <c r="BF672" i="3"/>
  <c r="BG672" i="3"/>
  <c r="AT673" i="3"/>
  <c r="AW673" i="3" s="1" a="1"/>
  <c r="AW673" i="3" s="1"/>
  <c r="AU673" i="3"/>
  <c r="AV673" i="3" s="1" a="1"/>
  <c r="AV673" i="3" s="1"/>
  <c r="AY673" i="3"/>
  <c r="AZ673" i="3"/>
  <c r="BA673" i="3"/>
  <c r="BB673" i="3"/>
  <c r="BC673" i="3"/>
  <c r="BD673" i="3"/>
  <c r="BE673" i="3"/>
  <c r="BF673" i="3"/>
  <c r="BG673" i="3"/>
  <c r="AT674" i="3"/>
  <c r="AU674" i="3"/>
  <c r="AV674" i="3" s="1" a="1"/>
  <c r="AV674" i="3" s="1"/>
  <c r="AY674" i="3"/>
  <c r="AZ674" i="3"/>
  <c r="BA674" i="3"/>
  <c r="BB674" i="3"/>
  <c r="BC674" i="3"/>
  <c r="BD674" i="3"/>
  <c r="BE674" i="3"/>
  <c r="BF674" i="3"/>
  <c r="BG674" i="3"/>
  <c r="AT675" i="3"/>
  <c r="AU675" i="3"/>
  <c r="AV675" i="3" s="1" a="1"/>
  <c r="AV675" i="3" s="1"/>
  <c r="AY675" i="3"/>
  <c r="AZ675" i="3"/>
  <c r="BA675" i="3"/>
  <c r="BB675" i="3"/>
  <c r="BC675" i="3"/>
  <c r="BD675" i="3"/>
  <c r="BE675" i="3"/>
  <c r="BF675" i="3"/>
  <c r="BG675" i="3"/>
  <c r="AT676" i="3"/>
  <c r="AU676" i="3"/>
  <c r="AV676" i="3" s="1" a="1"/>
  <c r="AV676" i="3" s="1"/>
  <c r="AY676" i="3"/>
  <c r="AZ676" i="3"/>
  <c r="BA676" i="3"/>
  <c r="BB676" i="3"/>
  <c r="BC676" i="3"/>
  <c r="BD676" i="3"/>
  <c r="BE676" i="3"/>
  <c r="BF676" i="3"/>
  <c r="BG676" i="3"/>
  <c r="AT677" i="3"/>
  <c r="AW677" i="3" s="1" a="1"/>
  <c r="AW677" i="3" s="1"/>
  <c r="AU677" i="3"/>
  <c r="AV677" i="3" s="1" a="1"/>
  <c r="AV677" i="3" s="1"/>
  <c r="AY677" i="3"/>
  <c r="AZ677" i="3"/>
  <c r="BA677" i="3"/>
  <c r="BB677" i="3"/>
  <c r="BC677" i="3"/>
  <c r="BD677" i="3"/>
  <c r="BE677" i="3"/>
  <c r="BF677" i="3"/>
  <c r="BG677" i="3"/>
  <c r="AT678" i="3"/>
  <c r="AX678" i="3" s="1" a="1"/>
  <c r="AX678" i="3" s="1"/>
  <c r="AU678" i="3"/>
  <c r="AV678" i="3" s="1" a="1"/>
  <c r="AV678" i="3" s="1"/>
  <c r="AY678" i="3"/>
  <c r="AZ678" i="3"/>
  <c r="BA678" i="3"/>
  <c r="BB678" i="3"/>
  <c r="BC678" i="3"/>
  <c r="BD678" i="3"/>
  <c r="BE678" i="3"/>
  <c r="BF678" i="3"/>
  <c r="BG678" i="3"/>
  <c r="AT679" i="3"/>
  <c r="AU679" i="3"/>
  <c r="AV679" i="3" s="1" a="1"/>
  <c r="AV679" i="3" s="1"/>
  <c r="AY679" i="3"/>
  <c r="AZ679" i="3"/>
  <c r="BA679" i="3"/>
  <c r="BB679" i="3"/>
  <c r="BC679" i="3"/>
  <c r="BD679" i="3"/>
  <c r="BE679" i="3"/>
  <c r="BF679" i="3"/>
  <c r="BG679" i="3"/>
  <c r="AT680" i="3"/>
  <c r="AW680" i="3" s="1" a="1"/>
  <c r="AW680" i="3" s="1"/>
  <c r="AU680" i="3"/>
  <c r="AV680" i="3" s="1" a="1"/>
  <c r="AV680" i="3" s="1"/>
  <c r="AY680" i="3"/>
  <c r="AZ680" i="3"/>
  <c r="BA680" i="3"/>
  <c r="BB680" i="3"/>
  <c r="BC680" i="3"/>
  <c r="BD680" i="3"/>
  <c r="BE680" i="3"/>
  <c r="BF680" i="3"/>
  <c r="BG680" i="3"/>
  <c r="AT681" i="3"/>
  <c r="AX681" i="3" s="1" a="1"/>
  <c r="AX681" i="3" s="1"/>
  <c r="AU681" i="3"/>
  <c r="AV681" i="3" s="1" a="1"/>
  <c r="AV681" i="3" s="1"/>
  <c r="AY681" i="3"/>
  <c r="AZ681" i="3"/>
  <c r="BA681" i="3"/>
  <c r="BB681" i="3"/>
  <c r="BC681" i="3"/>
  <c r="BD681" i="3"/>
  <c r="BE681" i="3"/>
  <c r="BF681" i="3"/>
  <c r="BG681" i="3"/>
  <c r="AT682" i="3"/>
  <c r="AX682" i="3" s="1" a="1"/>
  <c r="AX682" i="3" s="1"/>
  <c r="AU682" i="3"/>
  <c r="AV682" i="3" s="1" a="1"/>
  <c r="AV682" i="3" s="1"/>
  <c r="AY682" i="3"/>
  <c r="AZ682" i="3"/>
  <c r="BA682" i="3"/>
  <c r="BB682" i="3"/>
  <c r="BC682" i="3"/>
  <c r="BD682" i="3"/>
  <c r="BE682" i="3"/>
  <c r="BF682" i="3"/>
  <c r="BG682" i="3"/>
  <c r="AT683" i="3"/>
  <c r="AW683" i="3" s="1" a="1"/>
  <c r="AW683" i="3" s="1"/>
  <c r="AU683" i="3"/>
  <c r="AV683" i="3" s="1" a="1"/>
  <c r="AV683" i="3" s="1"/>
  <c r="AY683" i="3"/>
  <c r="AZ683" i="3"/>
  <c r="BA683" i="3"/>
  <c r="BB683" i="3"/>
  <c r="BC683" i="3"/>
  <c r="BD683" i="3"/>
  <c r="BE683" i="3"/>
  <c r="BF683" i="3"/>
  <c r="BG683" i="3"/>
  <c r="AT684" i="3"/>
  <c r="AU684" i="3"/>
  <c r="AV684" i="3" s="1" a="1"/>
  <c r="AV684" i="3" s="1"/>
  <c r="AY684" i="3"/>
  <c r="AZ684" i="3"/>
  <c r="BA684" i="3"/>
  <c r="BB684" i="3"/>
  <c r="BC684" i="3"/>
  <c r="BD684" i="3"/>
  <c r="BE684" i="3"/>
  <c r="BF684" i="3"/>
  <c r="BG684" i="3"/>
  <c r="AT685" i="3"/>
  <c r="AW685" i="3" s="1" a="1"/>
  <c r="AW685" i="3" s="1"/>
  <c r="AU685" i="3"/>
  <c r="AV685" i="3" s="1" a="1"/>
  <c r="AV685" i="3" s="1"/>
  <c r="AY685" i="3"/>
  <c r="AZ685" i="3"/>
  <c r="BA685" i="3"/>
  <c r="BB685" i="3"/>
  <c r="BC685" i="3"/>
  <c r="BD685" i="3"/>
  <c r="BE685" i="3"/>
  <c r="BF685" i="3"/>
  <c r="BG685" i="3"/>
  <c r="AT686" i="3"/>
  <c r="AX686" i="3" s="1" a="1"/>
  <c r="AX686" i="3" s="1"/>
  <c r="AU686" i="3"/>
  <c r="AV686" i="3" s="1" a="1"/>
  <c r="AV686" i="3" s="1"/>
  <c r="AY686" i="3"/>
  <c r="AZ686" i="3"/>
  <c r="BA686" i="3"/>
  <c r="BB686" i="3"/>
  <c r="BC686" i="3"/>
  <c r="BD686" i="3"/>
  <c r="BE686" i="3"/>
  <c r="BF686" i="3"/>
  <c r="BG686" i="3"/>
  <c r="AT687" i="3"/>
  <c r="AW687" i="3" s="1" a="1"/>
  <c r="AW687" i="3" s="1"/>
  <c r="AU687" i="3"/>
  <c r="AV687" i="3" s="1" a="1"/>
  <c r="AV687" i="3" s="1"/>
  <c r="AY687" i="3"/>
  <c r="AZ687" i="3"/>
  <c r="BA687" i="3"/>
  <c r="BB687" i="3"/>
  <c r="BC687" i="3"/>
  <c r="BD687" i="3"/>
  <c r="BE687" i="3"/>
  <c r="BF687" i="3"/>
  <c r="BG687" i="3"/>
  <c r="AT688" i="3"/>
  <c r="AX688" i="3" s="1" a="1"/>
  <c r="AX688" i="3" s="1"/>
  <c r="AU688" i="3"/>
  <c r="AV688" i="3" s="1" a="1"/>
  <c r="AV688" i="3" s="1"/>
  <c r="AY688" i="3"/>
  <c r="AZ688" i="3"/>
  <c r="BA688" i="3"/>
  <c r="BB688" i="3"/>
  <c r="BC688" i="3"/>
  <c r="BD688" i="3"/>
  <c r="BE688" i="3"/>
  <c r="BF688" i="3"/>
  <c r="BG688" i="3"/>
  <c r="AT689" i="3"/>
  <c r="AU689" i="3"/>
  <c r="AV689" i="3" s="1" a="1"/>
  <c r="AV689" i="3" s="1"/>
  <c r="AY689" i="3"/>
  <c r="AZ689" i="3"/>
  <c r="BA689" i="3"/>
  <c r="BB689" i="3"/>
  <c r="BC689" i="3"/>
  <c r="BD689" i="3"/>
  <c r="BE689" i="3"/>
  <c r="BF689" i="3"/>
  <c r="BG689" i="3"/>
  <c r="AT690" i="3"/>
  <c r="AX690" i="3" s="1" a="1"/>
  <c r="AX690" i="3" s="1"/>
  <c r="AU690" i="3"/>
  <c r="AV690" i="3" s="1" a="1"/>
  <c r="AV690" i="3" s="1"/>
  <c r="AY690" i="3"/>
  <c r="AZ690" i="3"/>
  <c r="BA690" i="3"/>
  <c r="BB690" i="3"/>
  <c r="BC690" i="3"/>
  <c r="BD690" i="3"/>
  <c r="BE690" i="3"/>
  <c r="BF690" i="3"/>
  <c r="BG690" i="3"/>
  <c r="AT691" i="3"/>
  <c r="AW691" i="3" s="1" a="1"/>
  <c r="AW691" i="3" s="1"/>
  <c r="AU691" i="3"/>
  <c r="AV691" i="3" s="1" a="1"/>
  <c r="AV691" i="3" s="1"/>
  <c r="AY691" i="3"/>
  <c r="AZ691" i="3"/>
  <c r="BA691" i="3"/>
  <c r="BB691" i="3"/>
  <c r="BC691" i="3"/>
  <c r="BD691" i="3"/>
  <c r="BE691" i="3"/>
  <c r="BF691" i="3"/>
  <c r="BG691" i="3"/>
  <c r="AT692" i="3"/>
  <c r="AW692" i="3" s="1" a="1"/>
  <c r="AW692" i="3" s="1"/>
  <c r="AU692" i="3"/>
  <c r="AV692" i="3" s="1" a="1"/>
  <c r="AV692" i="3" s="1"/>
  <c r="AY692" i="3"/>
  <c r="AZ692" i="3"/>
  <c r="BA692" i="3"/>
  <c r="BB692" i="3"/>
  <c r="BC692" i="3"/>
  <c r="BD692" i="3"/>
  <c r="BE692" i="3"/>
  <c r="BF692" i="3"/>
  <c r="BG692" i="3"/>
  <c r="AT693" i="3"/>
  <c r="AX693" i="3" s="1" a="1"/>
  <c r="AX693" i="3" s="1"/>
  <c r="AU693" i="3"/>
  <c r="AV693" i="3" s="1" a="1"/>
  <c r="AV693" i="3" s="1"/>
  <c r="AY693" i="3"/>
  <c r="AZ693" i="3"/>
  <c r="BA693" i="3"/>
  <c r="BB693" i="3"/>
  <c r="BC693" i="3"/>
  <c r="BD693" i="3"/>
  <c r="BE693" i="3"/>
  <c r="BF693" i="3"/>
  <c r="BG693" i="3"/>
  <c r="AT694" i="3"/>
  <c r="AX694" i="3" s="1" a="1"/>
  <c r="AX694" i="3" s="1"/>
  <c r="AU694" i="3"/>
  <c r="AV694" i="3" s="1" a="1"/>
  <c r="AV694" i="3" s="1"/>
  <c r="AY694" i="3"/>
  <c r="AZ694" i="3"/>
  <c r="BA694" i="3"/>
  <c r="BB694" i="3"/>
  <c r="BC694" i="3"/>
  <c r="BD694" i="3"/>
  <c r="BE694" i="3"/>
  <c r="BF694" i="3"/>
  <c r="BG694" i="3"/>
  <c r="AT695" i="3"/>
  <c r="AX695" i="3" s="1" a="1"/>
  <c r="AX695" i="3" s="1"/>
  <c r="AU695" i="3"/>
  <c r="AV695" i="3" s="1" a="1"/>
  <c r="AV695" i="3" s="1"/>
  <c r="AY695" i="3"/>
  <c r="AZ695" i="3"/>
  <c r="BA695" i="3"/>
  <c r="BB695" i="3"/>
  <c r="BC695" i="3"/>
  <c r="BD695" i="3"/>
  <c r="BE695" i="3"/>
  <c r="BF695" i="3"/>
  <c r="BG695" i="3"/>
  <c r="AT696" i="3"/>
  <c r="AX696" i="3" s="1" a="1"/>
  <c r="AX696" i="3" s="1"/>
  <c r="AU696" i="3"/>
  <c r="AV696" i="3" s="1" a="1"/>
  <c r="AV696" i="3" s="1"/>
  <c r="AY696" i="3"/>
  <c r="AZ696" i="3"/>
  <c r="BA696" i="3"/>
  <c r="BB696" i="3"/>
  <c r="BC696" i="3"/>
  <c r="BD696" i="3"/>
  <c r="BE696" i="3"/>
  <c r="BF696" i="3"/>
  <c r="BG696" i="3"/>
  <c r="AT697" i="3"/>
  <c r="AU697" i="3"/>
  <c r="AV697" i="3" s="1" a="1"/>
  <c r="AV697" i="3" s="1"/>
  <c r="AY697" i="3"/>
  <c r="AZ697" i="3"/>
  <c r="BA697" i="3"/>
  <c r="BB697" i="3"/>
  <c r="BC697" i="3"/>
  <c r="BD697" i="3"/>
  <c r="BE697" i="3"/>
  <c r="BF697" i="3"/>
  <c r="BG697" i="3"/>
  <c r="AT698" i="3"/>
  <c r="AU698" i="3"/>
  <c r="AV698" i="3" s="1" a="1"/>
  <c r="AV698" i="3" s="1"/>
  <c r="AY698" i="3"/>
  <c r="AZ698" i="3"/>
  <c r="BA698" i="3"/>
  <c r="BB698" i="3"/>
  <c r="BC698" i="3"/>
  <c r="BD698" i="3"/>
  <c r="BE698" i="3"/>
  <c r="BF698" i="3"/>
  <c r="BG698" i="3"/>
  <c r="AT699" i="3"/>
  <c r="AX699" i="3" s="1" a="1"/>
  <c r="AX699" i="3" s="1"/>
  <c r="AU699" i="3"/>
  <c r="AV699" i="3" s="1" a="1"/>
  <c r="AV699" i="3" s="1"/>
  <c r="AY699" i="3"/>
  <c r="AZ699" i="3"/>
  <c r="BA699" i="3"/>
  <c r="BB699" i="3"/>
  <c r="BC699" i="3"/>
  <c r="BD699" i="3"/>
  <c r="BE699" i="3"/>
  <c r="BF699" i="3"/>
  <c r="BG699" i="3"/>
  <c r="AT700" i="3"/>
  <c r="AU700" i="3"/>
  <c r="AV700" i="3" s="1" a="1"/>
  <c r="AV700" i="3" s="1"/>
  <c r="AY700" i="3"/>
  <c r="AZ700" i="3"/>
  <c r="BA700" i="3"/>
  <c r="BB700" i="3"/>
  <c r="BC700" i="3"/>
  <c r="BD700" i="3"/>
  <c r="BE700" i="3"/>
  <c r="BF700" i="3"/>
  <c r="BG700" i="3"/>
  <c r="AT701" i="3"/>
  <c r="AU701" i="3"/>
  <c r="AV701" i="3" s="1" a="1"/>
  <c r="AV701" i="3" s="1"/>
  <c r="AY701" i="3"/>
  <c r="AZ701" i="3"/>
  <c r="BA701" i="3"/>
  <c r="BB701" i="3"/>
  <c r="BC701" i="3"/>
  <c r="BD701" i="3"/>
  <c r="BE701" i="3"/>
  <c r="BF701" i="3"/>
  <c r="BG701" i="3"/>
  <c r="AT702" i="3"/>
  <c r="AW702" i="3" s="1" a="1"/>
  <c r="AW702" i="3" s="1"/>
  <c r="AU702" i="3"/>
  <c r="AV702" i="3" s="1" a="1"/>
  <c r="AV702" i="3" s="1"/>
  <c r="AY702" i="3"/>
  <c r="AZ702" i="3"/>
  <c r="BA702" i="3"/>
  <c r="BB702" i="3"/>
  <c r="BC702" i="3"/>
  <c r="BD702" i="3"/>
  <c r="BE702" i="3"/>
  <c r="BF702" i="3"/>
  <c r="BG702" i="3"/>
  <c r="AT703" i="3"/>
  <c r="AW703" i="3" s="1" a="1"/>
  <c r="AW703" i="3" s="1"/>
  <c r="AU703" i="3"/>
  <c r="AV703" i="3" s="1" a="1"/>
  <c r="AV703" i="3" s="1"/>
  <c r="AY703" i="3"/>
  <c r="AZ703" i="3"/>
  <c r="BA703" i="3"/>
  <c r="BB703" i="3"/>
  <c r="BC703" i="3"/>
  <c r="BD703" i="3"/>
  <c r="BE703" i="3"/>
  <c r="BF703" i="3"/>
  <c r="BG703" i="3"/>
  <c r="AT704" i="3"/>
  <c r="AW704" i="3" s="1" a="1"/>
  <c r="AW704" i="3" s="1"/>
  <c r="AU704" i="3"/>
  <c r="AV704" i="3" s="1" a="1"/>
  <c r="AV704" i="3" s="1"/>
  <c r="AY704" i="3"/>
  <c r="AZ704" i="3"/>
  <c r="BA704" i="3"/>
  <c r="BB704" i="3"/>
  <c r="BC704" i="3"/>
  <c r="BD704" i="3"/>
  <c r="BE704" i="3"/>
  <c r="BF704" i="3"/>
  <c r="BG704" i="3"/>
  <c r="AT705" i="3"/>
  <c r="AU705" i="3"/>
  <c r="AV705" i="3" s="1" a="1"/>
  <c r="AV705" i="3" s="1"/>
  <c r="AY705" i="3"/>
  <c r="AZ705" i="3"/>
  <c r="BA705" i="3"/>
  <c r="BB705" i="3"/>
  <c r="BC705" i="3"/>
  <c r="BD705" i="3"/>
  <c r="BE705" i="3"/>
  <c r="BF705" i="3"/>
  <c r="BG705" i="3"/>
  <c r="AT706" i="3"/>
  <c r="AX706" i="3" s="1" a="1"/>
  <c r="AX706" i="3" s="1"/>
  <c r="AU706" i="3"/>
  <c r="AV706" i="3" s="1" a="1"/>
  <c r="AV706" i="3" s="1"/>
  <c r="AY706" i="3"/>
  <c r="AZ706" i="3"/>
  <c r="BA706" i="3"/>
  <c r="BB706" i="3"/>
  <c r="BC706" i="3"/>
  <c r="BD706" i="3"/>
  <c r="BE706" i="3"/>
  <c r="BF706" i="3"/>
  <c r="BG706" i="3"/>
  <c r="AT707" i="3"/>
  <c r="AX707" i="3" s="1" a="1"/>
  <c r="AX707" i="3" s="1"/>
  <c r="AU707" i="3"/>
  <c r="AV707" i="3" s="1" a="1"/>
  <c r="AV707" i="3" s="1"/>
  <c r="AY707" i="3"/>
  <c r="AZ707" i="3"/>
  <c r="BA707" i="3"/>
  <c r="BB707" i="3"/>
  <c r="BC707" i="3"/>
  <c r="BD707" i="3"/>
  <c r="BE707" i="3"/>
  <c r="BF707" i="3"/>
  <c r="BG707" i="3"/>
  <c r="AT708" i="3"/>
  <c r="AW708" i="3" s="1" a="1"/>
  <c r="AW708" i="3" s="1"/>
  <c r="AU708" i="3"/>
  <c r="AV708" i="3" s="1" a="1"/>
  <c r="AV708" i="3" s="1"/>
  <c r="AY708" i="3"/>
  <c r="AZ708" i="3"/>
  <c r="BA708" i="3"/>
  <c r="BB708" i="3"/>
  <c r="BC708" i="3"/>
  <c r="BD708" i="3"/>
  <c r="BE708" i="3"/>
  <c r="BF708" i="3"/>
  <c r="BG708" i="3"/>
  <c r="AT709" i="3"/>
  <c r="AU709" i="3"/>
  <c r="AV709" i="3" s="1" a="1"/>
  <c r="AV709" i="3" s="1"/>
  <c r="AY709" i="3"/>
  <c r="AZ709" i="3"/>
  <c r="BA709" i="3"/>
  <c r="BB709" i="3"/>
  <c r="BC709" i="3"/>
  <c r="BD709" i="3"/>
  <c r="BE709" i="3"/>
  <c r="BF709" i="3"/>
  <c r="BG709" i="3"/>
  <c r="AT710" i="3"/>
  <c r="AU710" i="3"/>
  <c r="AV710" i="3" s="1" a="1"/>
  <c r="AV710" i="3" s="1"/>
  <c r="AY710" i="3"/>
  <c r="AZ710" i="3"/>
  <c r="BA710" i="3"/>
  <c r="BB710" i="3"/>
  <c r="BC710" i="3"/>
  <c r="BD710" i="3"/>
  <c r="BE710" i="3"/>
  <c r="BF710" i="3"/>
  <c r="BG710" i="3"/>
  <c r="AT711" i="3"/>
  <c r="AU711" i="3"/>
  <c r="AV711" i="3" s="1" a="1"/>
  <c r="AV711" i="3" s="1"/>
  <c r="AY711" i="3"/>
  <c r="AZ711" i="3"/>
  <c r="BA711" i="3"/>
  <c r="BB711" i="3"/>
  <c r="BC711" i="3"/>
  <c r="BD711" i="3"/>
  <c r="BE711" i="3"/>
  <c r="BF711" i="3"/>
  <c r="BG711" i="3"/>
  <c r="AT712" i="3"/>
  <c r="AX712" i="3" s="1" a="1"/>
  <c r="AX712" i="3" s="1"/>
  <c r="AU712" i="3"/>
  <c r="AV712" i="3" s="1" a="1"/>
  <c r="AV712" i="3" s="1"/>
  <c r="AY712" i="3"/>
  <c r="AZ712" i="3"/>
  <c r="BA712" i="3"/>
  <c r="BB712" i="3"/>
  <c r="BC712" i="3"/>
  <c r="BD712" i="3"/>
  <c r="BE712" i="3"/>
  <c r="BF712" i="3"/>
  <c r="BG712" i="3"/>
  <c r="AT713" i="3"/>
  <c r="AX713" i="3" s="1" a="1"/>
  <c r="AX713" i="3" s="1"/>
  <c r="AU713" i="3"/>
  <c r="AV713" i="3" s="1" a="1"/>
  <c r="AV713" i="3" s="1"/>
  <c r="AY713" i="3"/>
  <c r="AZ713" i="3"/>
  <c r="BA713" i="3"/>
  <c r="BB713" i="3"/>
  <c r="BC713" i="3"/>
  <c r="BD713" i="3"/>
  <c r="BE713" i="3"/>
  <c r="BF713" i="3"/>
  <c r="BG713" i="3"/>
  <c r="AT714" i="3"/>
  <c r="AW714" i="3" s="1" a="1"/>
  <c r="AW714" i="3" s="1"/>
  <c r="AU714" i="3"/>
  <c r="AV714" i="3" s="1" a="1"/>
  <c r="AV714" i="3" s="1"/>
  <c r="AY714" i="3"/>
  <c r="AZ714" i="3"/>
  <c r="BA714" i="3"/>
  <c r="BB714" i="3"/>
  <c r="BC714" i="3"/>
  <c r="BD714" i="3"/>
  <c r="BE714" i="3"/>
  <c r="BF714" i="3"/>
  <c r="BG714" i="3"/>
  <c r="AT715" i="3"/>
  <c r="AW715" i="3" s="1" a="1"/>
  <c r="AW715" i="3" s="1"/>
  <c r="AU715" i="3"/>
  <c r="AV715" i="3" s="1" a="1"/>
  <c r="AV715" i="3" s="1"/>
  <c r="AY715" i="3"/>
  <c r="AZ715" i="3"/>
  <c r="BA715" i="3"/>
  <c r="BB715" i="3"/>
  <c r="BC715" i="3"/>
  <c r="BD715" i="3"/>
  <c r="BE715" i="3"/>
  <c r="BF715" i="3"/>
  <c r="BG715" i="3"/>
  <c r="AT716" i="3"/>
  <c r="AU716" i="3"/>
  <c r="AV716" i="3" s="1" a="1"/>
  <c r="AV716" i="3" s="1"/>
  <c r="AY716" i="3"/>
  <c r="AZ716" i="3"/>
  <c r="BA716" i="3"/>
  <c r="BB716" i="3"/>
  <c r="BC716" i="3"/>
  <c r="BD716" i="3"/>
  <c r="BE716" i="3"/>
  <c r="BF716" i="3"/>
  <c r="BG716" i="3"/>
  <c r="AT717" i="3"/>
  <c r="AW717" i="3" s="1" a="1"/>
  <c r="AW717" i="3" s="1"/>
  <c r="AU717" i="3"/>
  <c r="AV717" i="3" s="1" a="1"/>
  <c r="AV717" i="3" s="1"/>
  <c r="AY717" i="3"/>
  <c r="AZ717" i="3"/>
  <c r="BA717" i="3"/>
  <c r="BB717" i="3"/>
  <c r="BC717" i="3"/>
  <c r="BD717" i="3"/>
  <c r="BE717" i="3"/>
  <c r="BF717" i="3"/>
  <c r="BG717" i="3"/>
  <c r="AT718" i="3"/>
  <c r="AU718" i="3"/>
  <c r="AV718" i="3" s="1" a="1"/>
  <c r="AV718" i="3" s="1"/>
  <c r="AY718" i="3"/>
  <c r="AZ718" i="3"/>
  <c r="BA718" i="3"/>
  <c r="BB718" i="3"/>
  <c r="BC718" i="3"/>
  <c r="BD718" i="3"/>
  <c r="BE718" i="3"/>
  <c r="BF718" i="3"/>
  <c r="BG718" i="3"/>
  <c r="AT719" i="3"/>
  <c r="AX719" i="3" s="1" a="1"/>
  <c r="AX719" i="3" s="1"/>
  <c r="AU719" i="3"/>
  <c r="AV719" i="3" s="1" a="1"/>
  <c r="AV719" i="3" s="1"/>
  <c r="AY719" i="3"/>
  <c r="AZ719" i="3"/>
  <c r="BA719" i="3"/>
  <c r="BB719" i="3"/>
  <c r="BC719" i="3"/>
  <c r="BD719" i="3"/>
  <c r="BE719" i="3"/>
  <c r="BF719" i="3"/>
  <c r="BG719" i="3"/>
  <c r="AT720" i="3"/>
  <c r="AW720" i="3" s="1" a="1"/>
  <c r="AW720" i="3" s="1"/>
  <c r="AU720" i="3"/>
  <c r="AV720" i="3" s="1" a="1"/>
  <c r="AV720" i="3" s="1"/>
  <c r="AY720" i="3"/>
  <c r="AZ720" i="3"/>
  <c r="BA720" i="3"/>
  <c r="BB720" i="3"/>
  <c r="BC720" i="3"/>
  <c r="BD720" i="3"/>
  <c r="BE720" i="3"/>
  <c r="BF720" i="3"/>
  <c r="BG720" i="3"/>
  <c r="AT721" i="3"/>
  <c r="AX721" i="3" s="1" a="1"/>
  <c r="AX721" i="3" s="1"/>
  <c r="AU721" i="3"/>
  <c r="AV721" i="3" s="1" a="1"/>
  <c r="AV721" i="3" s="1"/>
  <c r="AY721" i="3"/>
  <c r="AZ721" i="3"/>
  <c r="BA721" i="3"/>
  <c r="BB721" i="3"/>
  <c r="BC721" i="3"/>
  <c r="BD721" i="3"/>
  <c r="BE721" i="3"/>
  <c r="BF721" i="3"/>
  <c r="BG721" i="3"/>
  <c r="AT722" i="3"/>
  <c r="AU722" i="3"/>
  <c r="AV722" i="3" s="1" a="1"/>
  <c r="AV722" i="3" s="1"/>
  <c r="AY722" i="3"/>
  <c r="AZ722" i="3"/>
  <c r="BA722" i="3"/>
  <c r="BB722" i="3"/>
  <c r="BC722" i="3"/>
  <c r="BD722" i="3"/>
  <c r="BE722" i="3"/>
  <c r="BF722" i="3"/>
  <c r="BG722" i="3"/>
  <c r="AT723" i="3"/>
  <c r="AX723" i="3" s="1" a="1"/>
  <c r="AX723" i="3" s="1"/>
  <c r="AU723" i="3"/>
  <c r="AV723" i="3" s="1" a="1"/>
  <c r="AV723" i="3" s="1"/>
  <c r="AY723" i="3"/>
  <c r="AZ723" i="3"/>
  <c r="BA723" i="3"/>
  <c r="BB723" i="3"/>
  <c r="BC723" i="3"/>
  <c r="BD723" i="3"/>
  <c r="BE723" i="3"/>
  <c r="BF723" i="3"/>
  <c r="BG723" i="3"/>
  <c r="AT724" i="3"/>
  <c r="AX724" i="3" s="1" a="1"/>
  <c r="AX724" i="3" s="1"/>
  <c r="AU724" i="3"/>
  <c r="AV724" i="3" s="1" a="1"/>
  <c r="AV724" i="3" s="1"/>
  <c r="AY724" i="3"/>
  <c r="AZ724" i="3"/>
  <c r="BA724" i="3"/>
  <c r="BB724" i="3"/>
  <c r="BC724" i="3"/>
  <c r="BD724" i="3"/>
  <c r="BE724" i="3"/>
  <c r="BF724" i="3"/>
  <c r="BG724" i="3"/>
  <c r="AT725" i="3"/>
  <c r="AW725" i="3" s="1" a="1"/>
  <c r="AW725" i="3" s="1"/>
  <c r="AU725" i="3"/>
  <c r="AV725" i="3" s="1" a="1"/>
  <c r="AV725" i="3" s="1"/>
  <c r="AY725" i="3"/>
  <c r="AZ725" i="3"/>
  <c r="BA725" i="3"/>
  <c r="BB725" i="3"/>
  <c r="BC725" i="3"/>
  <c r="BD725" i="3"/>
  <c r="BE725" i="3"/>
  <c r="BF725" i="3"/>
  <c r="BG725" i="3"/>
  <c r="AT726" i="3"/>
  <c r="AX726" i="3" s="1" a="1"/>
  <c r="AX726" i="3" s="1"/>
  <c r="AU726" i="3"/>
  <c r="AV726" i="3" s="1" a="1"/>
  <c r="AV726" i="3" s="1"/>
  <c r="AY726" i="3"/>
  <c r="AZ726" i="3"/>
  <c r="BA726" i="3"/>
  <c r="BB726" i="3"/>
  <c r="BC726" i="3"/>
  <c r="BD726" i="3"/>
  <c r="BE726" i="3"/>
  <c r="BF726" i="3"/>
  <c r="BG726" i="3"/>
  <c r="AT727" i="3"/>
  <c r="AW727" i="3" s="1" a="1"/>
  <c r="AW727" i="3" s="1"/>
  <c r="AU727" i="3"/>
  <c r="AV727" i="3" s="1" a="1"/>
  <c r="AV727" i="3" s="1"/>
  <c r="AY727" i="3"/>
  <c r="AZ727" i="3"/>
  <c r="BA727" i="3"/>
  <c r="BB727" i="3"/>
  <c r="BC727" i="3"/>
  <c r="BD727" i="3"/>
  <c r="BE727" i="3"/>
  <c r="BF727" i="3"/>
  <c r="BG727" i="3"/>
  <c r="AT728" i="3"/>
  <c r="AW728" i="3" s="1" a="1"/>
  <c r="AW728" i="3" s="1"/>
  <c r="AU728" i="3"/>
  <c r="AV728" i="3" s="1" a="1"/>
  <c r="AV728" i="3" s="1"/>
  <c r="AY728" i="3"/>
  <c r="AZ728" i="3"/>
  <c r="BA728" i="3"/>
  <c r="BB728" i="3"/>
  <c r="BC728" i="3"/>
  <c r="BD728" i="3"/>
  <c r="BE728" i="3"/>
  <c r="BF728" i="3"/>
  <c r="BG728" i="3"/>
  <c r="AT729" i="3"/>
  <c r="AW729" i="3" s="1" a="1"/>
  <c r="AW729" i="3" s="1"/>
  <c r="AU729" i="3"/>
  <c r="AV729" i="3" s="1" a="1"/>
  <c r="AV729" i="3" s="1"/>
  <c r="AY729" i="3"/>
  <c r="AZ729" i="3"/>
  <c r="BA729" i="3"/>
  <c r="BB729" i="3"/>
  <c r="BC729" i="3"/>
  <c r="BD729" i="3"/>
  <c r="BE729" i="3"/>
  <c r="BF729" i="3"/>
  <c r="BG729" i="3"/>
  <c r="AT730" i="3"/>
  <c r="AX730" i="3" s="1" a="1"/>
  <c r="AX730" i="3" s="1"/>
  <c r="AU730" i="3"/>
  <c r="AV730" i="3" s="1" a="1"/>
  <c r="AV730" i="3" s="1"/>
  <c r="AY730" i="3"/>
  <c r="AZ730" i="3"/>
  <c r="BA730" i="3"/>
  <c r="BB730" i="3"/>
  <c r="BC730" i="3"/>
  <c r="BD730" i="3"/>
  <c r="BE730" i="3"/>
  <c r="BF730" i="3"/>
  <c r="BG730" i="3"/>
  <c r="AT731" i="3"/>
  <c r="AX731" i="3" s="1" a="1"/>
  <c r="AX731" i="3" s="1"/>
  <c r="AU731" i="3"/>
  <c r="AV731" i="3" s="1" a="1"/>
  <c r="AV731" i="3" s="1"/>
  <c r="AY731" i="3"/>
  <c r="AZ731" i="3"/>
  <c r="BA731" i="3"/>
  <c r="BB731" i="3"/>
  <c r="BC731" i="3"/>
  <c r="BD731" i="3"/>
  <c r="BE731" i="3"/>
  <c r="BF731" i="3"/>
  <c r="BG731" i="3"/>
  <c r="AT732" i="3"/>
  <c r="AW732" i="3" s="1" a="1"/>
  <c r="AW732" i="3" s="1"/>
  <c r="AU732" i="3"/>
  <c r="AV732" i="3" s="1" a="1"/>
  <c r="AV732" i="3" s="1"/>
  <c r="AY732" i="3"/>
  <c r="AZ732" i="3"/>
  <c r="BA732" i="3"/>
  <c r="BB732" i="3"/>
  <c r="BC732" i="3"/>
  <c r="BD732" i="3"/>
  <c r="BE732" i="3"/>
  <c r="BF732" i="3"/>
  <c r="BG732" i="3"/>
  <c r="AT733" i="3"/>
  <c r="AU733" i="3"/>
  <c r="AV733" i="3" s="1" a="1"/>
  <c r="AV733" i="3" s="1"/>
  <c r="AY733" i="3"/>
  <c r="AZ733" i="3"/>
  <c r="BA733" i="3"/>
  <c r="BB733" i="3"/>
  <c r="BC733" i="3"/>
  <c r="BD733" i="3"/>
  <c r="BE733" i="3"/>
  <c r="BF733" i="3"/>
  <c r="BG733" i="3"/>
  <c r="AT734" i="3"/>
  <c r="AU734" i="3"/>
  <c r="AV734" i="3" s="1" a="1"/>
  <c r="AV734" i="3" s="1"/>
  <c r="AY734" i="3"/>
  <c r="AZ734" i="3"/>
  <c r="BA734" i="3"/>
  <c r="BB734" i="3"/>
  <c r="BC734" i="3"/>
  <c r="BD734" i="3"/>
  <c r="BE734" i="3"/>
  <c r="BF734" i="3"/>
  <c r="BG734" i="3"/>
  <c r="AT735" i="3"/>
  <c r="AW735" i="3" s="1" a="1"/>
  <c r="AW735" i="3" s="1"/>
  <c r="AU735" i="3"/>
  <c r="AV735" i="3" s="1" a="1"/>
  <c r="AV735" i="3" s="1"/>
  <c r="AY735" i="3"/>
  <c r="AZ735" i="3"/>
  <c r="BA735" i="3"/>
  <c r="BB735" i="3"/>
  <c r="BC735" i="3"/>
  <c r="BD735" i="3"/>
  <c r="BE735" i="3"/>
  <c r="BF735" i="3"/>
  <c r="BG735" i="3"/>
  <c r="AT736" i="3"/>
  <c r="AX736" i="3" s="1" a="1"/>
  <c r="AX736" i="3" s="1"/>
  <c r="AU736" i="3"/>
  <c r="AV736" i="3" s="1" a="1"/>
  <c r="AV736" i="3" s="1"/>
  <c r="AY736" i="3"/>
  <c r="AZ736" i="3"/>
  <c r="BA736" i="3"/>
  <c r="BB736" i="3"/>
  <c r="BC736" i="3"/>
  <c r="BD736" i="3"/>
  <c r="BE736" i="3"/>
  <c r="BF736" i="3"/>
  <c r="BG736" i="3"/>
  <c r="AT737" i="3"/>
  <c r="AW737" i="3" s="1" a="1"/>
  <c r="AW737" i="3" s="1"/>
  <c r="AU737" i="3"/>
  <c r="AV737" i="3" s="1" a="1"/>
  <c r="AV737" i="3" s="1"/>
  <c r="AY737" i="3"/>
  <c r="AZ737" i="3"/>
  <c r="BA737" i="3"/>
  <c r="BB737" i="3"/>
  <c r="BC737" i="3"/>
  <c r="BD737" i="3"/>
  <c r="BE737" i="3"/>
  <c r="BF737" i="3"/>
  <c r="BG737" i="3"/>
  <c r="AT738" i="3"/>
  <c r="AW738" i="3" s="1" a="1"/>
  <c r="AW738" i="3" s="1"/>
  <c r="AU738" i="3"/>
  <c r="AV738" i="3" s="1" a="1"/>
  <c r="AV738" i="3" s="1"/>
  <c r="AY738" i="3"/>
  <c r="AZ738" i="3"/>
  <c r="BA738" i="3"/>
  <c r="BB738" i="3"/>
  <c r="BC738" i="3"/>
  <c r="BD738" i="3"/>
  <c r="BE738" i="3"/>
  <c r="BF738" i="3"/>
  <c r="BG738" i="3"/>
  <c r="AT739" i="3"/>
  <c r="AW739" i="3" s="1" a="1"/>
  <c r="AW739" i="3" s="1"/>
  <c r="AU739" i="3"/>
  <c r="AV739" i="3" s="1" a="1"/>
  <c r="AV739" i="3" s="1"/>
  <c r="AY739" i="3"/>
  <c r="AZ739" i="3"/>
  <c r="BA739" i="3"/>
  <c r="BB739" i="3"/>
  <c r="BC739" i="3"/>
  <c r="BD739" i="3"/>
  <c r="BE739" i="3"/>
  <c r="BF739" i="3"/>
  <c r="BG739" i="3"/>
  <c r="AT740" i="3"/>
  <c r="AU740" i="3"/>
  <c r="AV740" i="3" s="1" a="1"/>
  <c r="AV740" i="3" s="1"/>
  <c r="AY740" i="3"/>
  <c r="AZ740" i="3"/>
  <c r="BA740" i="3"/>
  <c r="BB740" i="3"/>
  <c r="BC740" i="3"/>
  <c r="BD740" i="3"/>
  <c r="BE740" i="3"/>
  <c r="BF740" i="3"/>
  <c r="BG740" i="3"/>
  <c r="AT741" i="3"/>
  <c r="AW741" i="3" s="1" a="1"/>
  <c r="AW741" i="3" s="1"/>
  <c r="AU741" i="3"/>
  <c r="AV741" i="3" s="1" a="1"/>
  <c r="AV741" i="3" s="1"/>
  <c r="AY741" i="3"/>
  <c r="AZ741" i="3"/>
  <c r="BA741" i="3"/>
  <c r="BB741" i="3"/>
  <c r="BC741" i="3"/>
  <c r="BD741" i="3"/>
  <c r="BE741" i="3"/>
  <c r="BF741" i="3"/>
  <c r="BG741" i="3"/>
  <c r="AT742" i="3"/>
  <c r="AW742" i="3" s="1" a="1"/>
  <c r="AW742" i="3" s="1"/>
  <c r="AU742" i="3"/>
  <c r="AV742" i="3" s="1" a="1"/>
  <c r="AV742" i="3" s="1"/>
  <c r="AY742" i="3"/>
  <c r="AZ742" i="3"/>
  <c r="BA742" i="3"/>
  <c r="BB742" i="3"/>
  <c r="BC742" i="3"/>
  <c r="BD742" i="3"/>
  <c r="BE742" i="3"/>
  <c r="BF742" i="3"/>
  <c r="BG742" i="3"/>
  <c r="AT743" i="3"/>
  <c r="AX743" i="3" s="1" a="1"/>
  <c r="AX743" i="3" s="1"/>
  <c r="AU743" i="3"/>
  <c r="AV743" i="3" s="1" a="1"/>
  <c r="AV743" i="3" s="1"/>
  <c r="AY743" i="3"/>
  <c r="AZ743" i="3"/>
  <c r="BA743" i="3"/>
  <c r="BB743" i="3"/>
  <c r="BC743" i="3"/>
  <c r="BD743" i="3"/>
  <c r="BE743" i="3"/>
  <c r="BF743" i="3"/>
  <c r="BG743" i="3"/>
  <c r="AT744" i="3"/>
  <c r="AW744" i="3" s="1" a="1"/>
  <c r="AW744" i="3" s="1"/>
  <c r="AU744" i="3"/>
  <c r="AV744" i="3" s="1" a="1"/>
  <c r="AV744" i="3" s="1"/>
  <c r="AY744" i="3"/>
  <c r="AZ744" i="3"/>
  <c r="BA744" i="3"/>
  <c r="BB744" i="3"/>
  <c r="BC744" i="3"/>
  <c r="BD744" i="3"/>
  <c r="BE744" i="3"/>
  <c r="BF744" i="3"/>
  <c r="BG744" i="3"/>
  <c r="AT745" i="3"/>
  <c r="AU745" i="3"/>
  <c r="AV745" i="3" s="1" a="1"/>
  <c r="AV745" i="3" s="1"/>
  <c r="AY745" i="3"/>
  <c r="AZ745" i="3"/>
  <c r="BA745" i="3"/>
  <c r="BB745" i="3"/>
  <c r="BC745" i="3"/>
  <c r="BD745" i="3"/>
  <c r="BE745" i="3"/>
  <c r="BF745" i="3"/>
  <c r="BG745" i="3"/>
  <c r="AT746" i="3"/>
  <c r="AU746" i="3"/>
  <c r="AV746" i="3" s="1" a="1"/>
  <c r="AV746" i="3" s="1"/>
  <c r="AY746" i="3"/>
  <c r="AZ746" i="3"/>
  <c r="BA746" i="3"/>
  <c r="BB746" i="3"/>
  <c r="BC746" i="3"/>
  <c r="BD746" i="3"/>
  <c r="BE746" i="3"/>
  <c r="BF746" i="3"/>
  <c r="BG746" i="3"/>
  <c r="AT747" i="3"/>
  <c r="AW747" i="3" s="1" a="1"/>
  <c r="AW747" i="3" s="1"/>
  <c r="AU747" i="3"/>
  <c r="AV747" i="3" s="1" a="1"/>
  <c r="AV747" i="3" s="1"/>
  <c r="AY747" i="3"/>
  <c r="AZ747" i="3"/>
  <c r="BA747" i="3"/>
  <c r="BB747" i="3"/>
  <c r="BC747" i="3"/>
  <c r="BD747" i="3"/>
  <c r="BE747" i="3"/>
  <c r="BF747" i="3"/>
  <c r="BG747" i="3"/>
  <c r="AT748" i="3"/>
  <c r="AX748" i="3" s="1" a="1"/>
  <c r="AX748" i="3" s="1"/>
  <c r="AU748" i="3"/>
  <c r="AV748" i="3" s="1" a="1"/>
  <c r="AV748" i="3" s="1"/>
  <c r="AY748" i="3"/>
  <c r="AZ748" i="3"/>
  <c r="BA748" i="3"/>
  <c r="BB748" i="3"/>
  <c r="BC748" i="3"/>
  <c r="BD748" i="3"/>
  <c r="BE748" i="3"/>
  <c r="BF748" i="3"/>
  <c r="BG748" i="3"/>
  <c r="AT749" i="3"/>
  <c r="AX749" i="3" s="1" a="1"/>
  <c r="AX749" i="3" s="1"/>
  <c r="AU749" i="3"/>
  <c r="AV749" i="3" s="1" a="1"/>
  <c r="AV749" i="3" s="1"/>
  <c r="AY749" i="3"/>
  <c r="AZ749" i="3"/>
  <c r="BA749" i="3"/>
  <c r="BB749" i="3"/>
  <c r="BC749" i="3"/>
  <c r="BD749" i="3"/>
  <c r="BE749" i="3"/>
  <c r="BF749" i="3"/>
  <c r="BG749" i="3"/>
  <c r="AT750" i="3"/>
  <c r="AW750" i="3" s="1" a="1"/>
  <c r="AW750" i="3" s="1"/>
  <c r="AU750" i="3"/>
  <c r="AV750" i="3" s="1" a="1"/>
  <c r="AV750" i="3" s="1"/>
  <c r="AY750" i="3"/>
  <c r="AZ750" i="3"/>
  <c r="BA750" i="3"/>
  <c r="BB750" i="3"/>
  <c r="BC750" i="3"/>
  <c r="BD750" i="3"/>
  <c r="BE750" i="3"/>
  <c r="BF750" i="3"/>
  <c r="BG750" i="3"/>
  <c r="AT751" i="3"/>
  <c r="AW751" i="3" s="1" a="1"/>
  <c r="AW751" i="3" s="1"/>
  <c r="AU751" i="3"/>
  <c r="AV751" i="3" s="1" a="1"/>
  <c r="AV751" i="3" s="1"/>
  <c r="AY751" i="3"/>
  <c r="AZ751" i="3"/>
  <c r="BA751" i="3"/>
  <c r="BB751" i="3"/>
  <c r="BC751" i="3"/>
  <c r="BD751" i="3"/>
  <c r="BE751" i="3"/>
  <c r="BF751" i="3"/>
  <c r="BG751" i="3"/>
  <c r="AT752" i="3"/>
  <c r="AW752" i="3" s="1" a="1"/>
  <c r="AW752" i="3" s="1"/>
  <c r="AU752" i="3"/>
  <c r="AV752" i="3" s="1" a="1"/>
  <c r="AV752" i="3" s="1"/>
  <c r="AY752" i="3"/>
  <c r="AZ752" i="3"/>
  <c r="BA752" i="3"/>
  <c r="BB752" i="3"/>
  <c r="BC752" i="3"/>
  <c r="BD752" i="3"/>
  <c r="BE752" i="3"/>
  <c r="BF752" i="3"/>
  <c r="BG752" i="3"/>
  <c r="AT753" i="3"/>
  <c r="AW753" i="3" s="1" a="1"/>
  <c r="AW753" i="3" s="1"/>
  <c r="AU753" i="3"/>
  <c r="AV753" i="3" s="1" a="1"/>
  <c r="AV753" i="3" s="1"/>
  <c r="AY753" i="3"/>
  <c r="AZ753" i="3"/>
  <c r="BA753" i="3"/>
  <c r="BB753" i="3"/>
  <c r="BC753" i="3"/>
  <c r="BD753" i="3"/>
  <c r="BE753" i="3"/>
  <c r="BF753" i="3"/>
  <c r="BG753" i="3"/>
  <c r="AT754" i="3"/>
  <c r="AX754" i="3" s="1" a="1"/>
  <c r="AX754" i="3" s="1"/>
  <c r="AU754" i="3"/>
  <c r="AV754" i="3" s="1" a="1"/>
  <c r="AV754" i="3" s="1"/>
  <c r="AY754" i="3"/>
  <c r="AZ754" i="3"/>
  <c r="BA754" i="3"/>
  <c r="BB754" i="3"/>
  <c r="BC754" i="3"/>
  <c r="BD754" i="3"/>
  <c r="BE754" i="3"/>
  <c r="BF754" i="3"/>
  <c r="BG754" i="3"/>
  <c r="AT755" i="3"/>
  <c r="AX755" i="3" s="1" a="1"/>
  <c r="AX755" i="3" s="1"/>
  <c r="AU755" i="3"/>
  <c r="AV755" i="3" s="1" a="1"/>
  <c r="AV755" i="3" s="1"/>
  <c r="AY755" i="3"/>
  <c r="AZ755" i="3"/>
  <c r="BA755" i="3"/>
  <c r="BB755" i="3"/>
  <c r="BC755" i="3"/>
  <c r="BD755" i="3"/>
  <c r="BE755" i="3"/>
  <c r="BF755" i="3"/>
  <c r="BG755" i="3"/>
  <c r="AT756" i="3"/>
  <c r="AW756" i="3" s="1" a="1"/>
  <c r="AW756" i="3" s="1"/>
  <c r="AU756" i="3"/>
  <c r="AV756" i="3" s="1" a="1"/>
  <c r="AV756" i="3" s="1"/>
  <c r="AY756" i="3"/>
  <c r="AZ756" i="3"/>
  <c r="BA756" i="3"/>
  <c r="BB756" i="3"/>
  <c r="BC756" i="3"/>
  <c r="BD756" i="3"/>
  <c r="BE756" i="3"/>
  <c r="BF756" i="3"/>
  <c r="BG756" i="3"/>
  <c r="AT757" i="3"/>
  <c r="AW757" i="3" s="1" a="1"/>
  <c r="AW757" i="3" s="1"/>
  <c r="AU757" i="3"/>
  <c r="AV757" i="3" s="1" a="1"/>
  <c r="AV757" i="3" s="1"/>
  <c r="AY757" i="3"/>
  <c r="AZ757" i="3"/>
  <c r="BA757" i="3"/>
  <c r="BB757" i="3"/>
  <c r="BC757" i="3"/>
  <c r="BD757" i="3"/>
  <c r="BE757" i="3"/>
  <c r="BF757" i="3"/>
  <c r="BG757" i="3"/>
  <c r="AT758" i="3"/>
  <c r="AU758" i="3"/>
  <c r="AV758" i="3" s="1" a="1"/>
  <c r="AV758" i="3" s="1"/>
  <c r="AY758" i="3"/>
  <c r="AZ758" i="3"/>
  <c r="BA758" i="3"/>
  <c r="BB758" i="3"/>
  <c r="BC758" i="3"/>
  <c r="BD758" i="3"/>
  <c r="BE758" i="3"/>
  <c r="BF758" i="3"/>
  <c r="BG758" i="3"/>
  <c r="AT759" i="3"/>
  <c r="AW759" i="3" s="1" a="1"/>
  <c r="AW759" i="3" s="1"/>
  <c r="AU759" i="3"/>
  <c r="AV759" i="3" s="1" a="1"/>
  <c r="AV759" i="3" s="1"/>
  <c r="AY759" i="3"/>
  <c r="AZ759" i="3"/>
  <c r="BA759" i="3"/>
  <c r="BB759" i="3"/>
  <c r="BC759" i="3"/>
  <c r="BD759" i="3"/>
  <c r="BE759" i="3"/>
  <c r="BF759" i="3"/>
  <c r="BG759" i="3"/>
  <c r="AT760" i="3"/>
  <c r="AX760" i="3" s="1" a="1"/>
  <c r="AX760" i="3" s="1"/>
  <c r="AU760" i="3"/>
  <c r="AV760" i="3" s="1" a="1"/>
  <c r="AV760" i="3" s="1"/>
  <c r="AY760" i="3"/>
  <c r="AZ760" i="3"/>
  <c r="BA760" i="3"/>
  <c r="BB760" i="3"/>
  <c r="BC760" i="3"/>
  <c r="BD760" i="3"/>
  <c r="BE760" i="3"/>
  <c r="BF760" i="3"/>
  <c r="BG760" i="3"/>
  <c r="AT761" i="3"/>
  <c r="AW761" i="3" s="1" a="1"/>
  <c r="AW761" i="3" s="1"/>
  <c r="AU761" i="3"/>
  <c r="AV761" i="3" s="1" a="1"/>
  <c r="AV761" i="3" s="1"/>
  <c r="AY761" i="3"/>
  <c r="AZ761" i="3"/>
  <c r="BA761" i="3"/>
  <c r="BB761" i="3"/>
  <c r="BC761" i="3"/>
  <c r="BD761" i="3"/>
  <c r="BE761" i="3"/>
  <c r="BF761" i="3"/>
  <c r="BG761" i="3"/>
  <c r="AT762" i="3"/>
  <c r="AX762" i="3" s="1" a="1"/>
  <c r="AX762" i="3" s="1"/>
  <c r="AU762" i="3"/>
  <c r="AV762" i="3" s="1" a="1"/>
  <c r="AV762" i="3" s="1"/>
  <c r="AY762" i="3"/>
  <c r="AZ762" i="3"/>
  <c r="BA762" i="3"/>
  <c r="BB762" i="3"/>
  <c r="BC762" i="3"/>
  <c r="BD762" i="3"/>
  <c r="BE762" i="3"/>
  <c r="BF762" i="3"/>
  <c r="BG762" i="3"/>
  <c r="AT763" i="3"/>
  <c r="AW763" i="3" s="1" a="1"/>
  <c r="AW763" i="3" s="1"/>
  <c r="AU763" i="3"/>
  <c r="AV763" i="3" s="1" a="1"/>
  <c r="AV763" i="3" s="1"/>
  <c r="AY763" i="3"/>
  <c r="AZ763" i="3"/>
  <c r="BA763" i="3"/>
  <c r="BB763" i="3"/>
  <c r="BC763" i="3"/>
  <c r="BD763" i="3"/>
  <c r="BE763" i="3"/>
  <c r="BF763" i="3"/>
  <c r="BG763" i="3"/>
  <c r="AT764" i="3"/>
  <c r="AX764" i="3" s="1" a="1"/>
  <c r="AX764" i="3" s="1"/>
  <c r="AU764" i="3"/>
  <c r="AV764" i="3" s="1" a="1"/>
  <c r="AV764" i="3" s="1"/>
  <c r="AY764" i="3"/>
  <c r="AZ764" i="3"/>
  <c r="BA764" i="3"/>
  <c r="BB764" i="3"/>
  <c r="BC764" i="3"/>
  <c r="BD764" i="3"/>
  <c r="BE764" i="3"/>
  <c r="BF764" i="3"/>
  <c r="BG764" i="3"/>
  <c r="AT765" i="3"/>
  <c r="AW765" i="3" s="1" a="1"/>
  <c r="AW765" i="3" s="1"/>
  <c r="AU765" i="3"/>
  <c r="AV765" i="3" s="1" a="1"/>
  <c r="AV765" i="3" s="1"/>
  <c r="AY765" i="3"/>
  <c r="AZ765" i="3"/>
  <c r="BA765" i="3"/>
  <c r="BB765" i="3"/>
  <c r="BC765" i="3"/>
  <c r="BD765" i="3"/>
  <c r="BE765" i="3"/>
  <c r="BF765" i="3"/>
  <c r="BG765" i="3"/>
  <c r="AT766" i="3"/>
  <c r="AU766" i="3"/>
  <c r="AV766" i="3" s="1" a="1"/>
  <c r="AV766" i="3" s="1"/>
  <c r="AY766" i="3"/>
  <c r="AZ766" i="3"/>
  <c r="BA766" i="3"/>
  <c r="BB766" i="3"/>
  <c r="BC766" i="3"/>
  <c r="BD766" i="3"/>
  <c r="BE766" i="3"/>
  <c r="BF766" i="3"/>
  <c r="BG766" i="3"/>
  <c r="AT767" i="3"/>
  <c r="AX767" i="3" s="1" a="1"/>
  <c r="AX767" i="3" s="1"/>
  <c r="AU767" i="3"/>
  <c r="AV767" i="3" s="1" a="1"/>
  <c r="AV767" i="3" s="1"/>
  <c r="AY767" i="3"/>
  <c r="AZ767" i="3"/>
  <c r="BA767" i="3"/>
  <c r="BB767" i="3"/>
  <c r="BC767" i="3"/>
  <c r="BD767" i="3"/>
  <c r="BE767" i="3"/>
  <c r="BF767" i="3"/>
  <c r="BG767" i="3"/>
  <c r="AT768" i="3"/>
  <c r="AW768" i="3" s="1" a="1"/>
  <c r="AW768" i="3" s="1"/>
  <c r="AU768" i="3"/>
  <c r="AV768" i="3" s="1" a="1"/>
  <c r="AV768" i="3" s="1"/>
  <c r="AY768" i="3"/>
  <c r="AZ768" i="3"/>
  <c r="BA768" i="3"/>
  <c r="BB768" i="3"/>
  <c r="BC768" i="3"/>
  <c r="BD768" i="3"/>
  <c r="BE768" i="3"/>
  <c r="BF768" i="3"/>
  <c r="BG768" i="3"/>
  <c r="AT769" i="3"/>
  <c r="AW769" i="3" s="1" a="1"/>
  <c r="AW769" i="3" s="1"/>
  <c r="AU769" i="3"/>
  <c r="AV769" i="3" s="1" a="1"/>
  <c r="AV769" i="3" s="1"/>
  <c r="AY769" i="3"/>
  <c r="AZ769" i="3"/>
  <c r="BA769" i="3"/>
  <c r="BB769" i="3"/>
  <c r="BC769" i="3"/>
  <c r="BD769" i="3"/>
  <c r="BE769" i="3"/>
  <c r="BF769" i="3"/>
  <c r="BG769" i="3"/>
  <c r="AT770" i="3"/>
  <c r="AU770" i="3"/>
  <c r="AV770" i="3" s="1" a="1"/>
  <c r="AV770" i="3" s="1"/>
  <c r="AY770" i="3"/>
  <c r="AZ770" i="3"/>
  <c r="BA770" i="3"/>
  <c r="BB770" i="3"/>
  <c r="BC770" i="3"/>
  <c r="BD770" i="3"/>
  <c r="BE770" i="3"/>
  <c r="BF770" i="3"/>
  <c r="BG770" i="3"/>
  <c r="AT771" i="3"/>
  <c r="AW771" i="3" s="1" a="1"/>
  <c r="AW771" i="3" s="1"/>
  <c r="AU771" i="3"/>
  <c r="AV771" i="3" s="1" a="1"/>
  <c r="AV771" i="3" s="1"/>
  <c r="AY771" i="3"/>
  <c r="AZ771" i="3"/>
  <c r="BA771" i="3"/>
  <c r="BB771" i="3"/>
  <c r="BC771" i="3"/>
  <c r="BD771" i="3"/>
  <c r="BE771" i="3"/>
  <c r="BF771" i="3"/>
  <c r="BG771" i="3"/>
  <c r="AT772" i="3"/>
  <c r="AX772" i="3" s="1" a="1"/>
  <c r="AX772" i="3" s="1"/>
  <c r="AU772" i="3"/>
  <c r="AV772" i="3" s="1" a="1"/>
  <c r="AV772" i="3" s="1"/>
  <c r="AY772" i="3"/>
  <c r="AZ772" i="3"/>
  <c r="BA772" i="3"/>
  <c r="BB772" i="3"/>
  <c r="BC772" i="3"/>
  <c r="BD772" i="3"/>
  <c r="BE772" i="3"/>
  <c r="BF772" i="3"/>
  <c r="BG772" i="3"/>
  <c r="AT773" i="3"/>
  <c r="AX773" i="3" s="1" a="1"/>
  <c r="AX773" i="3" s="1"/>
  <c r="AU773" i="3"/>
  <c r="AV773" i="3" s="1" a="1"/>
  <c r="AV773" i="3" s="1"/>
  <c r="AY773" i="3"/>
  <c r="AZ773" i="3"/>
  <c r="BA773" i="3"/>
  <c r="BB773" i="3"/>
  <c r="BC773" i="3"/>
  <c r="BD773" i="3"/>
  <c r="BE773" i="3"/>
  <c r="BF773" i="3"/>
  <c r="BG773" i="3"/>
  <c r="AT774" i="3"/>
  <c r="AU774" i="3"/>
  <c r="AV774" i="3" s="1" a="1"/>
  <c r="AV774" i="3" s="1"/>
  <c r="AY774" i="3"/>
  <c r="AZ774" i="3"/>
  <c r="BA774" i="3"/>
  <c r="BB774" i="3"/>
  <c r="BC774" i="3"/>
  <c r="BD774" i="3"/>
  <c r="BE774" i="3"/>
  <c r="BF774" i="3"/>
  <c r="BG774" i="3"/>
  <c r="AT775" i="3"/>
  <c r="AW775" i="3" s="1" a="1"/>
  <c r="AW775" i="3" s="1"/>
  <c r="AU775" i="3"/>
  <c r="AV775" i="3" s="1" a="1"/>
  <c r="AV775" i="3" s="1"/>
  <c r="AY775" i="3"/>
  <c r="AZ775" i="3"/>
  <c r="BA775" i="3"/>
  <c r="BB775" i="3"/>
  <c r="BC775" i="3"/>
  <c r="BD775" i="3"/>
  <c r="BE775" i="3"/>
  <c r="BF775" i="3"/>
  <c r="BG775" i="3"/>
  <c r="AT776" i="3"/>
  <c r="AU776" i="3"/>
  <c r="AV776" i="3" s="1" a="1"/>
  <c r="AV776" i="3" s="1"/>
  <c r="AY776" i="3"/>
  <c r="AZ776" i="3"/>
  <c r="BA776" i="3"/>
  <c r="BB776" i="3"/>
  <c r="BC776" i="3"/>
  <c r="BD776" i="3"/>
  <c r="BE776" i="3"/>
  <c r="BF776" i="3"/>
  <c r="BG776" i="3"/>
  <c r="AT777" i="3"/>
  <c r="AW777" i="3" s="1" a="1"/>
  <c r="AW777" i="3" s="1"/>
  <c r="AU777" i="3"/>
  <c r="AV777" i="3" s="1" a="1"/>
  <c r="AV777" i="3" s="1"/>
  <c r="AY777" i="3"/>
  <c r="AZ777" i="3"/>
  <c r="BA777" i="3"/>
  <c r="BB777" i="3"/>
  <c r="BC777" i="3"/>
  <c r="BD777" i="3"/>
  <c r="BE777" i="3"/>
  <c r="BF777" i="3"/>
  <c r="BG777" i="3"/>
  <c r="AT778" i="3"/>
  <c r="AW778" i="3" s="1" a="1"/>
  <c r="AW778" i="3" s="1"/>
  <c r="AU778" i="3"/>
  <c r="AV778" i="3" s="1" a="1"/>
  <c r="AV778" i="3" s="1"/>
  <c r="AY778" i="3"/>
  <c r="AZ778" i="3"/>
  <c r="BA778" i="3"/>
  <c r="BB778" i="3"/>
  <c r="BC778" i="3"/>
  <c r="BD778" i="3"/>
  <c r="BE778" i="3"/>
  <c r="BF778" i="3"/>
  <c r="BG778" i="3"/>
  <c r="AT779" i="3"/>
  <c r="AX779" i="3" s="1" a="1"/>
  <c r="AX779" i="3" s="1"/>
  <c r="AU779" i="3"/>
  <c r="AV779" i="3" s="1" a="1"/>
  <c r="AV779" i="3" s="1"/>
  <c r="AY779" i="3"/>
  <c r="AZ779" i="3"/>
  <c r="BA779" i="3"/>
  <c r="BB779" i="3"/>
  <c r="BC779" i="3"/>
  <c r="BD779" i="3"/>
  <c r="BE779" i="3"/>
  <c r="BF779" i="3"/>
  <c r="BG779" i="3"/>
  <c r="AT780" i="3"/>
  <c r="AW780" i="3" s="1" a="1"/>
  <c r="AW780" i="3" s="1"/>
  <c r="AU780" i="3"/>
  <c r="AV780" i="3" s="1" a="1"/>
  <c r="AV780" i="3" s="1"/>
  <c r="AY780" i="3"/>
  <c r="AZ780" i="3"/>
  <c r="BA780" i="3"/>
  <c r="BB780" i="3"/>
  <c r="BC780" i="3"/>
  <c r="BD780" i="3"/>
  <c r="BE780" i="3"/>
  <c r="BF780" i="3"/>
  <c r="BG780" i="3"/>
  <c r="AT781" i="3"/>
  <c r="AW781" i="3" s="1" a="1"/>
  <c r="AW781" i="3" s="1"/>
  <c r="AU781" i="3"/>
  <c r="AV781" i="3" s="1" a="1"/>
  <c r="AV781" i="3" s="1"/>
  <c r="AY781" i="3"/>
  <c r="AZ781" i="3"/>
  <c r="BA781" i="3"/>
  <c r="BB781" i="3"/>
  <c r="BC781" i="3"/>
  <c r="BD781" i="3"/>
  <c r="BE781" i="3"/>
  <c r="BF781" i="3"/>
  <c r="BG781" i="3"/>
  <c r="AT782" i="3"/>
  <c r="AU782" i="3"/>
  <c r="AV782" i="3" s="1" a="1"/>
  <c r="AV782" i="3" s="1"/>
  <c r="AY782" i="3"/>
  <c r="AZ782" i="3"/>
  <c r="BA782" i="3"/>
  <c r="BB782" i="3"/>
  <c r="BC782" i="3"/>
  <c r="BD782" i="3"/>
  <c r="BE782" i="3"/>
  <c r="BF782" i="3"/>
  <c r="BG782" i="3"/>
  <c r="AT783" i="3"/>
  <c r="AX783" i="3" s="1" a="1"/>
  <c r="AX783" i="3" s="1"/>
  <c r="AU783" i="3"/>
  <c r="AV783" i="3" s="1" a="1"/>
  <c r="AV783" i="3" s="1"/>
  <c r="AY783" i="3"/>
  <c r="AZ783" i="3"/>
  <c r="BA783" i="3"/>
  <c r="BB783" i="3"/>
  <c r="BC783" i="3"/>
  <c r="BD783" i="3"/>
  <c r="BE783" i="3"/>
  <c r="BF783" i="3"/>
  <c r="BG783" i="3"/>
  <c r="AT784" i="3"/>
  <c r="AU784" i="3"/>
  <c r="AV784" i="3" s="1" a="1"/>
  <c r="AV784" i="3" s="1"/>
  <c r="AY784" i="3"/>
  <c r="AZ784" i="3"/>
  <c r="BA784" i="3"/>
  <c r="BB784" i="3"/>
  <c r="BC784" i="3"/>
  <c r="BD784" i="3"/>
  <c r="BE784" i="3"/>
  <c r="BF784" i="3"/>
  <c r="BG784" i="3"/>
  <c r="AT785" i="3"/>
  <c r="AU785" i="3"/>
  <c r="AV785" i="3" s="1" a="1"/>
  <c r="AV785" i="3" s="1"/>
  <c r="AY785" i="3"/>
  <c r="AZ785" i="3"/>
  <c r="BA785" i="3"/>
  <c r="BB785" i="3"/>
  <c r="BC785" i="3"/>
  <c r="BD785" i="3"/>
  <c r="BE785" i="3"/>
  <c r="BF785" i="3"/>
  <c r="BG785" i="3"/>
  <c r="AT786" i="3"/>
  <c r="AW786" i="3" s="1" a="1"/>
  <c r="AW786" i="3" s="1"/>
  <c r="AU786" i="3"/>
  <c r="AV786" i="3" s="1" a="1"/>
  <c r="AV786" i="3" s="1"/>
  <c r="AY786" i="3"/>
  <c r="AZ786" i="3"/>
  <c r="BA786" i="3"/>
  <c r="BB786" i="3"/>
  <c r="BC786" i="3"/>
  <c r="BD786" i="3"/>
  <c r="BE786" i="3"/>
  <c r="BF786" i="3"/>
  <c r="BG786" i="3"/>
  <c r="AT787" i="3"/>
  <c r="AW787" i="3" s="1" a="1"/>
  <c r="AW787" i="3" s="1"/>
  <c r="AU787" i="3"/>
  <c r="AV787" i="3" s="1" a="1"/>
  <c r="AV787" i="3" s="1"/>
  <c r="AY787" i="3"/>
  <c r="AZ787" i="3"/>
  <c r="BA787" i="3"/>
  <c r="BB787" i="3"/>
  <c r="BC787" i="3"/>
  <c r="BD787" i="3"/>
  <c r="BE787" i="3"/>
  <c r="BF787" i="3"/>
  <c r="BG787" i="3"/>
  <c r="AT788" i="3"/>
  <c r="AW788" i="3" s="1" a="1"/>
  <c r="AW788" i="3" s="1"/>
  <c r="AU788" i="3"/>
  <c r="AV788" i="3" s="1" a="1"/>
  <c r="AV788" i="3" s="1"/>
  <c r="AY788" i="3"/>
  <c r="AZ788" i="3"/>
  <c r="BA788" i="3"/>
  <c r="BB788" i="3"/>
  <c r="BC788" i="3"/>
  <c r="BD788" i="3"/>
  <c r="BE788" i="3"/>
  <c r="BF788" i="3"/>
  <c r="BG788" i="3"/>
  <c r="AT789" i="3"/>
  <c r="AW789" i="3" s="1" a="1"/>
  <c r="AW789" i="3" s="1"/>
  <c r="AU789" i="3"/>
  <c r="AV789" i="3" s="1" a="1"/>
  <c r="AV789" i="3" s="1"/>
  <c r="AY789" i="3"/>
  <c r="AZ789" i="3"/>
  <c r="BA789" i="3"/>
  <c r="BB789" i="3"/>
  <c r="BC789" i="3"/>
  <c r="BD789" i="3"/>
  <c r="BE789" i="3"/>
  <c r="BF789" i="3"/>
  <c r="BG789" i="3"/>
  <c r="AT790" i="3"/>
  <c r="AW790" i="3" s="1" a="1"/>
  <c r="AW790" i="3" s="1"/>
  <c r="AU790" i="3"/>
  <c r="AV790" i="3" s="1" a="1"/>
  <c r="AV790" i="3" s="1"/>
  <c r="AY790" i="3"/>
  <c r="AZ790" i="3"/>
  <c r="BA790" i="3"/>
  <c r="BB790" i="3"/>
  <c r="BC790" i="3"/>
  <c r="BD790" i="3"/>
  <c r="BE790" i="3"/>
  <c r="BF790" i="3"/>
  <c r="BG790" i="3"/>
  <c r="AT791" i="3"/>
  <c r="AX791" i="3" s="1" a="1"/>
  <c r="AX791" i="3" s="1"/>
  <c r="AU791" i="3"/>
  <c r="AV791" i="3" s="1" a="1"/>
  <c r="AV791" i="3" s="1"/>
  <c r="AY791" i="3"/>
  <c r="AZ791" i="3"/>
  <c r="BA791" i="3"/>
  <c r="BB791" i="3"/>
  <c r="BC791" i="3"/>
  <c r="BD791" i="3"/>
  <c r="BE791" i="3"/>
  <c r="BF791" i="3"/>
  <c r="BG791" i="3"/>
  <c r="AT792" i="3"/>
  <c r="AW792" i="3" s="1" a="1"/>
  <c r="AW792" i="3" s="1"/>
  <c r="AU792" i="3"/>
  <c r="AV792" i="3" s="1" a="1"/>
  <c r="AV792" i="3" s="1"/>
  <c r="AY792" i="3"/>
  <c r="AZ792" i="3"/>
  <c r="BA792" i="3"/>
  <c r="BB792" i="3"/>
  <c r="BC792" i="3"/>
  <c r="BD792" i="3"/>
  <c r="BE792" i="3"/>
  <c r="BF792" i="3"/>
  <c r="BG792" i="3"/>
  <c r="AT793" i="3"/>
  <c r="AU793" i="3"/>
  <c r="AV793" i="3" s="1" a="1"/>
  <c r="AV793" i="3" s="1"/>
  <c r="AY793" i="3"/>
  <c r="AZ793" i="3"/>
  <c r="BA793" i="3"/>
  <c r="BB793" i="3"/>
  <c r="BC793" i="3"/>
  <c r="BD793" i="3"/>
  <c r="BE793" i="3"/>
  <c r="BF793" i="3"/>
  <c r="BG793" i="3"/>
  <c r="AT794" i="3"/>
  <c r="AU794" i="3"/>
  <c r="AV794" i="3" s="1" a="1"/>
  <c r="AV794" i="3" s="1"/>
  <c r="AY794" i="3"/>
  <c r="AZ794" i="3"/>
  <c r="BA794" i="3"/>
  <c r="BB794" i="3"/>
  <c r="BC794" i="3"/>
  <c r="BD794" i="3"/>
  <c r="BE794" i="3"/>
  <c r="BF794" i="3"/>
  <c r="BG794" i="3"/>
  <c r="AT795" i="3"/>
  <c r="AX795" i="3" s="1" a="1"/>
  <c r="AX795" i="3" s="1"/>
  <c r="AU795" i="3"/>
  <c r="AV795" i="3" s="1" a="1"/>
  <c r="AV795" i="3" s="1"/>
  <c r="AY795" i="3"/>
  <c r="AZ795" i="3"/>
  <c r="BA795" i="3"/>
  <c r="BB795" i="3"/>
  <c r="BC795" i="3"/>
  <c r="BD795" i="3"/>
  <c r="BE795" i="3"/>
  <c r="BF795" i="3"/>
  <c r="BG795" i="3"/>
  <c r="AT796" i="3"/>
  <c r="AX796" i="3" s="1" a="1"/>
  <c r="AX796" i="3" s="1"/>
  <c r="AU796" i="3"/>
  <c r="AV796" i="3" s="1" a="1"/>
  <c r="AV796" i="3" s="1"/>
  <c r="AY796" i="3"/>
  <c r="AZ796" i="3"/>
  <c r="BA796" i="3"/>
  <c r="BB796" i="3"/>
  <c r="BC796" i="3"/>
  <c r="BD796" i="3"/>
  <c r="BE796" i="3"/>
  <c r="BF796" i="3"/>
  <c r="BG796" i="3"/>
  <c r="AT797" i="3"/>
  <c r="AW797" i="3" s="1" a="1"/>
  <c r="AW797" i="3" s="1"/>
  <c r="AU797" i="3"/>
  <c r="AV797" i="3" s="1" a="1"/>
  <c r="AV797" i="3" s="1"/>
  <c r="AY797" i="3"/>
  <c r="AZ797" i="3"/>
  <c r="BA797" i="3"/>
  <c r="BB797" i="3"/>
  <c r="BC797" i="3"/>
  <c r="BD797" i="3"/>
  <c r="BE797" i="3"/>
  <c r="BF797" i="3"/>
  <c r="BG797" i="3"/>
  <c r="AT798" i="3"/>
  <c r="AU798" i="3"/>
  <c r="AV798" i="3" s="1" a="1"/>
  <c r="AV798" i="3" s="1"/>
  <c r="AY798" i="3"/>
  <c r="AZ798" i="3"/>
  <c r="BA798" i="3"/>
  <c r="BB798" i="3"/>
  <c r="BC798" i="3"/>
  <c r="BD798" i="3"/>
  <c r="BE798" i="3"/>
  <c r="BF798" i="3"/>
  <c r="BG798" i="3"/>
  <c r="AT799" i="3"/>
  <c r="AW799" i="3" s="1" a="1"/>
  <c r="AW799" i="3" s="1"/>
  <c r="AU799" i="3"/>
  <c r="AV799" i="3" s="1" a="1"/>
  <c r="AV799" i="3" s="1"/>
  <c r="AY799" i="3"/>
  <c r="AZ799" i="3"/>
  <c r="BA799" i="3"/>
  <c r="BB799" i="3"/>
  <c r="BC799" i="3"/>
  <c r="BD799" i="3"/>
  <c r="BE799" i="3"/>
  <c r="BF799" i="3"/>
  <c r="BG799" i="3"/>
  <c r="AT800" i="3"/>
  <c r="AU800" i="3"/>
  <c r="AV800" i="3" s="1" a="1"/>
  <c r="AV800" i="3" s="1"/>
  <c r="AY800" i="3"/>
  <c r="AZ800" i="3"/>
  <c r="BA800" i="3"/>
  <c r="BB800" i="3"/>
  <c r="BC800" i="3"/>
  <c r="BD800" i="3"/>
  <c r="BE800" i="3"/>
  <c r="BF800" i="3"/>
  <c r="BG800" i="3"/>
  <c r="AT801" i="3"/>
  <c r="AW801" i="3" s="1" a="1"/>
  <c r="AW801" i="3" s="1"/>
  <c r="AU801" i="3"/>
  <c r="AV801" i="3" s="1" a="1"/>
  <c r="AV801" i="3" s="1"/>
  <c r="AY801" i="3"/>
  <c r="AZ801" i="3"/>
  <c r="BA801" i="3"/>
  <c r="BB801" i="3"/>
  <c r="BC801" i="3"/>
  <c r="BD801" i="3"/>
  <c r="BE801" i="3"/>
  <c r="BF801" i="3"/>
  <c r="BG801" i="3"/>
  <c r="AT802" i="3"/>
  <c r="AW802" i="3" s="1" a="1"/>
  <c r="AW802" i="3" s="1"/>
  <c r="AU802" i="3"/>
  <c r="AV802" i="3" s="1" a="1"/>
  <c r="AV802" i="3" s="1"/>
  <c r="AY802" i="3"/>
  <c r="AZ802" i="3"/>
  <c r="BA802" i="3"/>
  <c r="BB802" i="3"/>
  <c r="BC802" i="3"/>
  <c r="BD802" i="3"/>
  <c r="BE802" i="3"/>
  <c r="BF802" i="3"/>
  <c r="BG802" i="3"/>
  <c r="AT803" i="3"/>
  <c r="AX803" i="3" s="1" a="1"/>
  <c r="AX803" i="3" s="1"/>
  <c r="AU803" i="3"/>
  <c r="AV803" i="3" s="1" a="1"/>
  <c r="AV803" i="3" s="1"/>
  <c r="AY803" i="3"/>
  <c r="AZ803" i="3"/>
  <c r="BA803" i="3"/>
  <c r="BB803" i="3"/>
  <c r="BC803" i="3"/>
  <c r="BD803" i="3"/>
  <c r="BE803" i="3"/>
  <c r="BF803" i="3"/>
  <c r="BG803" i="3"/>
  <c r="AT804" i="3"/>
  <c r="AU804" i="3"/>
  <c r="AV804" i="3" s="1" a="1"/>
  <c r="AV804" i="3" s="1"/>
  <c r="AY804" i="3"/>
  <c r="AZ804" i="3"/>
  <c r="BA804" i="3"/>
  <c r="BB804" i="3"/>
  <c r="BC804" i="3"/>
  <c r="BD804" i="3"/>
  <c r="BE804" i="3"/>
  <c r="BF804" i="3"/>
  <c r="BG804" i="3"/>
  <c r="AT805" i="3"/>
  <c r="AX805" i="3" s="1" a="1"/>
  <c r="AX805" i="3" s="1"/>
  <c r="AU805" i="3"/>
  <c r="AV805" i="3" s="1" a="1"/>
  <c r="AV805" i="3" s="1"/>
  <c r="AY805" i="3"/>
  <c r="AZ805" i="3"/>
  <c r="BA805" i="3"/>
  <c r="BB805" i="3"/>
  <c r="BC805" i="3"/>
  <c r="BD805" i="3"/>
  <c r="BE805" i="3"/>
  <c r="BF805" i="3"/>
  <c r="BG805" i="3"/>
  <c r="AT806" i="3"/>
  <c r="AU806" i="3"/>
  <c r="AV806" i="3" s="1" a="1"/>
  <c r="AV806" i="3" s="1"/>
  <c r="AY806" i="3"/>
  <c r="AZ806" i="3"/>
  <c r="BA806" i="3"/>
  <c r="BB806" i="3"/>
  <c r="BC806" i="3"/>
  <c r="BD806" i="3"/>
  <c r="BE806" i="3"/>
  <c r="BF806" i="3"/>
  <c r="BG806" i="3"/>
  <c r="AT807" i="3"/>
  <c r="AW807" i="3" s="1" a="1"/>
  <c r="AW807" i="3" s="1"/>
  <c r="AU807" i="3"/>
  <c r="AV807" i="3" s="1" a="1"/>
  <c r="AV807" i="3" s="1"/>
  <c r="AY807" i="3"/>
  <c r="AZ807" i="3"/>
  <c r="BA807" i="3"/>
  <c r="BB807" i="3"/>
  <c r="BC807" i="3"/>
  <c r="BD807" i="3"/>
  <c r="BE807" i="3"/>
  <c r="BF807" i="3"/>
  <c r="BG807" i="3"/>
  <c r="AT808" i="3"/>
  <c r="AU808" i="3"/>
  <c r="AV808" i="3" s="1" a="1"/>
  <c r="AV808" i="3" s="1"/>
  <c r="AY808" i="3"/>
  <c r="AZ808" i="3"/>
  <c r="BA808" i="3"/>
  <c r="BB808" i="3"/>
  <c r="BC808" i="3"/>
  <c r="BD808" i="3"/>
  <c r="BE808" i="3"/>
  <c r="BF808" i="3"/>
  <c r="BG808" i="3"/>
  <c r="AT809" i="3"/>
  <c r="AW809" i="3" s="1" a="1"/>
  <c r="AW809" i="3" s="1"/>
  <c r="AU809" i="3"/>
  <c r="AV809" i="3" s="1" a="1"/>
  <c r="AV809" i="3" s="1"/>
  <c r="AY809" i="3"/>
  <c r="AZ809" i="3"/>
  <c r="BA809" i="3"/>
  <c r="BB809" i="3"/>
  <c r="BC809" i="3"/>
  <c r="BD809" i="3"/>
  <c r="BE809" i="3"/>
  <c r="BF809" i="3"/>
  <c r="BG809" i="3"/>
  <c r="AT810" i="3"/>
  <c r="AX810" i="3" s="1" a="1"/>
  <c r="AX810" i="3" s="1"/>
  <c r="AU810" i="3"/>
  <c r="AV810" i="3" s="1" a="1"/>
  <c r="AV810" i="3" s="1"/>
  <c r="AY810" i="3"/>
  <c r="AZ810" i="3"/>
  <c r="BA810" i="3"/>
  <c r="BB810" i="3"/>
  <c r="BC810" i="3"/>
  <c r="BD810" i="3"/>
  <c r="BE810" i="3"/>
  <c r="BF810" i="3"/>
  <c r="BG810" i="3"/>
  <c r="AT811" i="3"/>
  <c r="AW811" i="3" s="1" a="1"/>
  <c r="AW811" i="3" s="1"/>
  <c r="AU811" i="3"/>
  <c r="AV811" i="3" s="1" a="1"/>
  <c r="AV811" i="3" s="1"/>
  <c r="AY811" i="3"/>
  <c r="AZ811" i="3"/>
  <c r="BA811" i="3"/>
  <c r="BB811" i="3"/>
  <c r="BC811" i="3"/>
  <c r="BD811" i="3"/>
  <c r="BE811" i="3"/>
  <c r="BF811" i="3"/>
  <c r="BG811" i="3"/>
  <c r="AT812" i="3"/>
  <c r="AX812" i="3" s="1" a="1"/>
  <c r="AX812" i="3" s="1"/>
  <c r="AU812" i="3"/>
  <c r="AV812" i="3" s="1" a="1"/>
  <c r="AV812" i="3" s="1"/>
  <c r="AY812" i="3"/>
  <c r="AZ812" i="3"/>
  <c r="BA812" i="3"/>
  <c r="BB812" i="3"/>
  <c r="BC812" i="3"/>
  <c r="BD812" i="3"/>
  <c r="BE812" i="3"/>
  <c r="BF812" i="3"/>
  <c r="BG812" i="3"/>
  <c r="AT813" i="3"/>
  <c r="AW813" i="3" s="1" a="1"/>
  <c r="AW813" i="3" s="1"/>
  <c r="AU813" i="3"/>
  <c r="AV813" i="3" s="1" a="1"/>
  <c r="AV813" i="3" s="1"/>
  <c r="AY813" i="3"/>
  <c r="AZ813" i="3"/>
  <c r="BA813" i="3"/>
  <c r="BB813" i="3"/>
  <c r="BC813" i="3"/>
  <c r="BD813" i="3"/>
  <c r="BE813" i="3"/>
  <c r="BF813" i="3"/>
  <c r="BG813" i="3"/>
  <c r="AT814" i="3"/>
  <c r="AX814" i="3" s="1" a="1"/>
  <c r="AX814" i="3" s="1"/>
  <c r="AU814" i="3"/>
  <c r="AV814" i="3" s="1" a="1"/>
  <c r="AV814" i="3" s="1"/>
  <c r="AY814" i="3"/>
  <c r="AZ814" i="3"/>
  <c r="BA814" i="3"/>
  <c r="BB814" i="3"/>
  <c r="BC814" i="3"/>
  <c r="BD814" i="3"/>
  <c r="BE814" i="3"/>
  <c r="BF814" i="3"/>
  <c r="BG814" i="3"/>
  <c r="AT815" i="3"/>
  <c r="AU815" i="3"/>
  <c r="AV815" i="3" s="1" a="1"/>
  <c r="AV815" i="3" s="1"/>
  <c r="AY815" i="3"/>
  <c r="AZ815" i="3"/>
  <c r="BA815" i="3"/>
  <c r="BB815" i="3"/>
  <c r="BC815" i="3"/>
  <c r="BD815" i="3"/>
  <c r="BE815" i="3"/>
  <c r="BF815" i="3"/>
  <c r="BG815" i="3"/>
  <c r="AT816" i="3"/>
  <c r="AU816" i="3"/>
  <c r="AV816" i="3" s="1" a="1"/>
  <c r="AV816" i="3" s="1"/>
  <c r="AY816" i="3"/>
  <c r="AZ816" i="3"/>
  <c r="BA816" i="3"/>
  <c r="BB816" i="3"/>
  <c r="BC816" i="3"/>
  <c r="BD816" i="3"/>
  <c r="BE816" i="3"/>
  <c r="BF816" i="3"/>
  <c r="BG816" i="3"/>
  <c r="AT817" i="3"/>
  <c r="AW817" i="3" s="1" a="1"/>
  <c r="AW817" i="3" s="1"/>
  <c r="AU817" i="3"/>
  <c r="AV817" i="3" s="1" a="1"/>
  <c r="AV817" i="3" s="1"/>
  <c r="AY817" i="3"/>
  <c r="AZ817" i="3"/>
  <c r="BA817" i="3"/>
  <c r="BB817" i="3"/>
  <c r="BC817" i="3"/>
  <c r="BD817" i="3"/>
  <c r="BE817" i="3"/>
  <c r="BF817" i="3"/>
  <c r="BG817" i="3"/>
  <c r="AT818" i="3"/>
  <c r="AU818" i="3"/>
  <c r="AV818" i="3" s="1" a="1"/>
  <c r="AV818" i="3" s="1"/>
  <c r="AY818" i="3"/>
  <c r="AZ818" i="3"/>
  <c r="BA818" i="3"/>
  <c r="BB818" i="3"/>
  <c r="BC818" i="3"/>
  <c r="BD818" i="3"/>
  <c r="BE818" i="3"/>
  <c r="BF818" i="3"/>
  <c r="BG818" i="3"/>
  <c r="AT819" i="3"/>
  <c r="AW819" i="3" s="1" a="1"/>
  <c r="AW819" i="3" s="1"/>
  <c r="AU819" i="3"/>
  <c r="AV819" i="3" s="1" a="1"/>
  <c r="AV819" i="3" s="1"/>
  <c r="AY819" i="3"/>
  <c r="AZ819" i="3"/>
  <c r="BA819" i="3"/>
  <c r="BB819" i="3"/>
  <c r="BC819" i="3"/>
  <c r="BD819" i="3"/>
  <c r="BE819" i="3"/>
  <c r="BF819" i="3"/>
  <c r="BG819" i="3"/>
  <c r="AT820" i="3"/>
  <c r="AU820" i="3"/>
  <c r="AV820" i="3" s="1" a="1"/>
  <c r="AV820" i="3" s="1"/>
  <c r="AY820" i="3"/>
  <c r="AZ820" i="3"/>
  <c r="BA820" i="3"/>
  <c r="BB820" i="3"/>
  <c r="BC820" i="3"/>
  <c r="BD820" i="3"/>
  <c r="BE820" i="3"/>
  <c r="BF820" i="3"/>
  <c r="BG820" i="3"/>
  <c r="AT821" i="3"/>
  <c r="AX821" i="3" s="1" a="1"/>
  <c r="AX821" i="3" s="1"/>
  <c r="AU821" i="3"/>
  <c r="AV821" i="3" s="1" a="1"/>
  <c r="AV821" i="3" s="1"/>
  <c r="AY821" i="3"/>
  <c r="AZ821" i="3"/>
  <c r="BA821" i="3"/>
  <c r="BB821" i="3"/>
  <c r="BC821" i="3"/>
  <c r="BD821" i="3"/>
  <c r="BE821" i="3"/>
  <c r="BF821" i="3"/>
  <c r="BG821" i="3"/>
  <c r="AT822" i="3"/>
  <c r="AU822" i="3"/>
  <c r="AV822" i="3" s="1" a="1"/>
  <c r="AV822" i="3" s="1"/>
  <c r="AY822" i="3"/>
  <c r="AZ822" i="3"/>
  <c r="BA822" i="3"/>
  <c r="BB822" i="3"/>
  <c r="BC822" i="3"/>
  <c r="BD822" i="3"/>
  <c r="BE822" i="3"/>
  <c r="BF822" i="3"/>
  <c r="BG822" i="3"/>
  <c r="AT823" i="3"/>
  <c r="AW823" i="3" s="1" a="1"/>
  <c r="AW823" i="3" s="1"/>
  <c r="AU823" i="3"/>
  <c r="AV823" i="3" s="1" a="1"/>
  <c r="AV823" i="3" s="1"/>
  <c r="AY823" i="3"/>
  <c r="AZ823" i="3"/>
  <c r="BA823" i="3"/>
  <c r="BB823" i="3"/>
  <c r="BC823" i="3"/>
  <c r="BD823" i="3"/>
  <c r="BE823" i="3"/>
  <c r="BF823" i="3"/>
  <c r="BG823" i="3"/>
  <c r="AT824" i="3"/>
  <c r="AX824" i="3" s="1" a="1"/>
  <c r="AX824" i="3" s="1"/>
  <c r="AU824" i="3"/>
  <c r="AV824" i="3" s="1" a="1"/>
  <c r="AV824" i="3" s="1"/>
  <c r="AY824" i="3"/>
  <c r="AZ824" i="3"/>
  <c r="BA824" i="3"/>
  <c r="BB824" i="3"/>
  <c r="BC824" i="3"/>
  <c r="BD824" i="3"/>
  <c r="BE824" i="3"/>
  <c r="BF824" i="3"/>
  <c r="BG824" i="3"/>
  <c r="AT825" i="3"/>
  <c r="AW825" i="3" s="1" a="1"/>
  <c r="AW825" i="3" s="1"/>
  <c r="AU825" i="3"/>
  <c r="AV825" i="3" s="1" a="1"/>
  <c r="AV825" i="3" s="1"/>
  <c r="AY825" i="3"/>
  <c r="AZ825" i="3"/>
  <c r="BA825" i="3"/>
  <c r="BB825" i="3"/>
  <c r="BC825" i="3"/>
  <c r="BD825" i="3"/>
  <c r="BE825" i="3"/>
  <c r="BF825" i="3"/>
  <c r="BG825" i="3"/>
  <c r="AT826" i="3"/>
  <c r="AW826" i="3" s="1" a="1"/>
  <c r="AW826" i="3" s="1"/>
  <c r="AU826" i="3"/>
  <c r="AV826" i="3" s="1" a="1"/>
  <c r="AV826" i="3" s="1"/>
  <c r="AY826" i="3"/>
  <c r="AZ826" i="3"/>
  <c r="BA826" i="3"/>
  <c r="BB826" i="3"/>
  <c r="BC826" i="3"/>
  <c r="BD826" i="3"/>
  <c r="BE826" i="3"/>
  <c r="BF826" i="3"/>
  <c r="BG826" i="3"/>
  <c r="AT827" i="3"/>
  <c r="AU827" i="3"/>
  <c r="AV827" i="3" s="1" a="1"/>
  <c r="AV827" i="3" s="1"/>
  <c r="AY827" i="3"/>
  <c r="AZ827" i="3"/>
  <c r="BA827" i="3"/>
  <c r="BB827" i="3"/>
  <c r="BC827" i="3"/>
  <c r="BD827" i="3"/>
  <c r="BE827" i="3"/>
  <c r="BF827" i="3"/>
  <c r="BG827" i="3"/>
  <c r="AT828" i="3"/>
  <c r="AU828" i="3"/>
  <c r="AV828" i="3" s="1" a="1"/>
  <c r="AV828" i="3" s="1"/>
  <c r="AY828" i="3"/>
  <c r="AZ828" i="3"/>
  <c r="BA828" i="3"/>
  <c r="BB828" i="3"/>
  <c r="BC828" i="3"/>
  <c r="BD828" i="3"/>
  <c r="BE828" i="3"/>
  <c r="BF828" i="3"/>
  <c r="BG828" i="3"/>
  <c r="AT829" i="3"/>
  <c r="AX829" i="3" s="1" a="1"/>
  <c r="AX829" i="3" s="1"/>
  <c r="AU829" i="3"/>
  <c r="AV829" i="3" s="1" a="1"/>
  <c r="AV829" i="3" s="1"/>
  <c r="AY829" i="3"/>
  <c r="AZ829" i="3"/>
  <c r="BA829" i="3"/>
  <c r="BB829" i="3"/>
  <c r="BC829" i="3"/>
  <c r="BD829" i="3"/>
  <c r="BE829" i="3"/>
  <c r="BF829" i="3"/>
  <c r="BG829" i="3"/>
  <c r="AT830" i="3"/>
  <c r="AU830" i="3"/>
  <c r="AV830" i="3" s="1" a="1"/>
  <c r="AV830" i="3" s="1"/>
  <c r="AY830" i="3"/>
  <c r="AZ830" i="3"/>
  <c r="BA830" i="3"/>
  <c r="BB830" i="3"/>
  <c r="BC830" i="3"/>
  <c r="BD830" i="3"/>
  <c r="BE830" i="3"/>
  <c r="BF830" i="3"/>
  <c r="BG830" i="3"/>
  <c r="AT831" i="3"/>
  <c r="AU831" i="3"/>
  <c r="AV831" i="3" s="1" a="1"/>
  <c r="AV831" i="3" s="1"/>
  <c r="AY831" i="3"/>
  <c r="AZ831" i="3"/>
  <c r="BA831" i="3"/>
  <c r="BB831" i="3"/>
  <c r="BC831" i="3"/>
  <c r="BD831" i="3"/>
  <c r="BE831" i="3"/>
  <c r="BF831" i="3"/>
  <c r="BG831" i="3"/>
  <c r="AT832" i="3"/>
  <c r="AU832" i="3"/>
  <c r="AV832" i="3" s="1" a="1"/>
  <c r="AV832" i="3" s="1"/>
  <c r="AY832" i="3"/>
  <c r="AZ832" i="3"/>
  <c r="BA832" i="3"/>
  <c r="BB832" i="3"/>
  <c r="BC832" i="3"/>
  <c r="BD832" i="3"/>
  <c r="BE832" i="3"/>
  <c r="BF832" i="3"/>
  <c r="BG832" i="3"/>
  <c r="AT833" i="3"/>
  <c r="AW833" i="3" s="1" a="1"/>
  <c r="AW833" i="3" s="1"/>
  <c r="AU833" i="3"/>
  <c r="AV833" i="3" s="1" a="1"/>
  <c r="AV833" i="3" s="1"/>
  <c r="AY833" i="3"/>
  <c r="AZ833" i="3"/>
  <c r="BA833" i="3"/>
  <c r="BB833" i="3"/>
  <c r="BC833" i="3"/>
  <c r="BD833" i="3"/>
  <c r="BE833" i="3"/>
  <c r="BF833" i="3"/>
  <c r="BG833" i="3"/>
  <c r="AT834" i="3"/>
  <c r="AX834" i="3" s="1" a="1"/>
  <c r="AX834" i="3" s="1"/>
  <c r="AU834" i="3"/>
  <c r="AV834" i="3" s="1" a="1"/>
  <c r="AV834" i="3" s="1"/>
  <c r="AY834" i="3"/>
  <c r="AZ834" i="3"/>
  <c r="BA834" i="3"/>
  <c r="BB834" i="3"/>
  <c r="BC834" i="3"/>
  <c r="BD834" i="3"/>
  <c r="BE834" i="3"/>
  <c r="BF834" i="3"/>
  <c r="BG834" i="3"/>
  <c r="AT835" i="3"/>
  <c r="AW835" i="3" s="1" a="1"/>
  <c r="AW835" i="3" s="1"/>
  <c r="AU835" i="3"/>
  <c r="AV835" i="3" s="1" a="1"/>
  <c r="AV835" i="3" s="1"/>
  <c r="AY835" i="3"/>
  <c r="AZ835" i="3"/>
  <c r="BA835" i="3"/>
  <c r="BB835" i="3"/>
  <c r="BC835" i="3"/>
  <c r="BD835" i="3"/>
  <c r="BE835" i="3"/>
  <c r="BF835" i="3"/>
  <c r="BG835" i="3"/>
  <c r="AT836" i="3"/>
  <c r="AU836" i="3"/>
  <c r="AV836" i="3" s="1" a="1"/>
  <c r="AV836" i="3" s="1"/>
  <c r="AY836" i="3"/>
  <c r="AZ836" i="3"/>
  <c r="BA836" i="3"/>
  <c r="BB836" i="3"/>
  <c r="BC836" i="3"/>
  <c r="BD836" i="3"/>
  <c r="BE836" i="3"/>
  <c r="BF836" i="3"/>
  <c r="BG836" i="3"/>
  <c r="AT837" i="3"/>
  <c r="AW837" i="3" s="1" a="1"/>
  <c r="AW837" i="3" s="1"/>
  <c r="AU837" i="3"/>
  <c r="AV837" i="3" s="1" a="1"/>
  <c r="AV837" i="3" s="1"/>
  <c r="AY837" i="3"/>
  <c r="AZ837" i="3"/>
  <c r="BA837" i="3"/>
  <c r="BB837" i="3"/>
  <c r="BC837" i="3"/>
  <c r="BD837" i="3"/>
  <c r="BE837" i="3"/>
  <c r="BF837" i="3"/>
  <c r="BG837" i="3"/>
  <c r="AT838" i="3"/>
  <c r="AW838" i="3" s="1" a="1"/>
  <c r="AW838" i="3" s="1"/>
  <c r="AU838" i="3"/>
  <c r="AV838" i="3" s="1" a="1"/>
  <c r="AV838" i="3" s="1"/>
  <c r="AY838" i="3"/>
  <c r="AZ838" i="3"/>
  <c r="BA838" i="3"/>
  <c r="BB838" i="3"/>
  <c r="BC838" i="3"/>
  <c r="BD838" i="3"/>
  <c r="BE838" i="3"/>
  <c r="BF838" i="3"/>
  <c r="BG838" i="3"/>
  <c r="AT839" i="3"/>
  <c r="AX839" i="3" s="1" a="1"/>
  <c r="AX839" i="3" s="1"/>
  <c r="AU839" i="3"/>
  <c r="AV839" i="3" s="1" a="1"/>
  <c r="AV839" i="3" s="1"/>
  <c r="AY839" i="3"/>
  <c r="AZ839" i="3"/>
  <c r="BA839" i="3"/>
  <c r="BB839" i="3"/>
  <c r="BC839" i="3"/>
  <c r="BD839" i="3"/>
  <c r="BE839" i="3"/>
  <c r="BF839" i="3"/>
  <c r="BG839" i="3"/>
  <c r="AT840" i="3"/>
  <c r="AU840" i="3"/>
  <c r="AV840" i="3" s="1" a="1"/>
  <c r="AV840" i="3" s="1"/>
  <c r="AY840" i="3"/>
  <c r="AZ840" i="3"/>
  <c r="BA840" i="3"/>
  <c r="BB840" i="3"/>
  <c r="BC840" i="3"/>
  <c r="BD840" i="3"/>
  <c r="BE840" i="3"/>
  <c r="BF840" i="3"/>
  <c r="BG840" i="3"/>
  <c r="AT841" i="3"/>
  <c r="AW841" i="3" s="1" a="1"/>
  <c r="AW841" i="3" s="1"/>
  <c r="AU841" i="3"/>
  <c r="AV841" i="3" s="1" a="1"/>
  <c r="AV841" i="3" s="1"/>
  <c r="AY841" i="3"/>
  <c r="AZ841" i="3"/>
  <c r="BA841" i="3"/>
  <c r="BB841" i="3"/>
  <c r="BC841" i="3"/>
  <c r="BD841" i="3"/>
  <c r="BE841" i="3"/>
  <c r="BF841" i="3"/>
  <c r="BG841" i="3"/>
  <c r="AT842" i="3"/>
  <c r="AU842" i="3"/>
  <c r="AV842" i="3" s="1" a="1"/>
  <c r="AV842" i="3" s="1"/>
  <c r="AY842" i="3"/>
  <c r="AZ842" i="3"/>
  <c r="BA842" i="3"/>
  <c r="BB842" i="3"/>
  <c r="BC842" i="3"/>
  <c r="BD842" i="3"/>
  <c r="BE842" i="3"/>
  <c r="BF842" i="3"/>
  <c r="BG842" i="3"/>
  <c r="AT843" i="3"/>
  <c r="AW843" i="3" s="1" a="1"/>
  <c r="AW843" i="3" s="1"/>
  <c r="AU843" i="3"/>
  <c r="AV843" i="3" s="1" a="1"/>
  <c r="AV843" i="3" s="1"/>
  <c r="AY843" i="3"/>
  <c r="AZ843" i="3"/>
  <c r="BA843" i="3"/>
  <c r="BB843" i="3"/>
  <c r="BC843" i="3"/>
  <c r="BD843" i="3"/>
  <c r="BE843" i="3"/>
  <c r="BF843" i="3"/>
  <c r="BG843" i="3"/>
  <c r="AT844" i="3"/>
  <c r="AX844" i="3" s="1" a="1"/>
  <c r="AX844" i="3" s="1"/>
  <c r="AU844" i="3"/>
  <c r="AV844" i="3" s="1" a="1"/>
  <c r="AV844" i="3" s="1"/>
  <c r="AY844" i="3"/>
  <c r="AZ844" i="3"/>
  <c r="BA844" i="3"/>
  <c r="BB844" i="3"/>
  <c r="BC844" i="3"/>
  <c r="BD844" i="3"/>
  <c r="BE844" i="3"/>
  <c r="BF844" i="3"/>
  <c r="BG844" i="3"/>
  <c r="AT845" i="3"/>
  <c r="AW845" i="3" s="1" a="1"/>
  <c r="AW845" i="3" s="1"/>
  <c r="AU845" i="3"/>
  <c r="AV845" i="3" s="1" a="1"/>
  <c r="AV845" i="3" s="1"/>
  <c r="AY845" i="3"/>
  <c r="AZ845" i="3"/>
  <c r="BA845" i="3"/>
  <c r="BB845" i="3"/>
  <c r="BC845" i="3"/>
  <c r="BD845" i="3"/>
  <c r="BE845" i="3"/>
  <c r="BF845" i="3"/>
  <c r="BG845" i="3"/>
  <c r="AT846" i="3"/>
  <c r="AW846" i="3" s="1" a="1"/>
  <c r="AW846" i="3" s="1"/>
  <c r="AU846" i="3"/>
  <c r="AV846" i="3" s="1" a="1"/>
  <c r="AV846" i="3" s="1"/>
  <c r="AY846" i="3"/>
  <c r="AZ846" i="3"/>
  <c r="BA846" i="3"/>
  <c r="BB846" i="3"/>
  <c r="BC846" i="3"/>
  <c r="BD846" i="3"/>
  <c r="BE846" i="3"/>
  <c r="BF846" i="3"/>
  <c r="BG846" i="3"/>
  <c r="AT847" i="3"/>
  <c r="AU847" i="3"/>
  <c r="AV847" i="3" s="1" a="1"/>
  <c r="AV847" i="3" s="1"/>
  <c r="AY847" i="3"/>
  <c r="AZ847" i="3"/>
  <c r="BA847" i="3"/>
  <c r="BB847" i="3"/>
  <c r="BC847" i="3"/>
  <c r="BD847" i="3"/>
  <c r="BE847" i="3"/>
  <c r="BF847" i="3"/>
  <c r="BG847" i="3"/>
  <c r="AT848" i="3"/>
  <c r="AX848" i="3" s="1" a="1"/>
  <c r="AX848" i="3" s="1"/>
  <c r="AU848" i="3"/>
  <c r="AV848" i="3" s="1" a="1"/>
  <c r="AV848" i="3" s="1"/>
  <c r="AY848" i="3"/>
  <c r="AZ848" i="3"/>
  <c r="BA848" i="3"/>
  <c r="BB848" i="3"/>
  <c r="BC848" i="3"/>
  <c r="BD848" i="3"/>
  <c r="BE848" i="3"/>
  <c r="BF848" i="3"/>
  <c r="BG848" i="3"/>
  <c r="AT849" i="3"/>
  <c r="AW849" i="3" s="1" a="1"/>
  <c r="AW849" i="3" s="1"/>
  <c r="AU849" i="3"/>
  <c r="AV849" i="3" s="1" a="1"/>
  <c r="AV849" i="3" s="1"/>
  <c r="AY849" i="3"/>
  <c r="AZ849" i="3"/>
  <c r="BA849" i="3"/>
  <c r="BB849" i="3"/>
  <c r="BC849" i="3"/>
  <c r="BD849" i="3"/>
  <c r="BE849" i="3"/>
  <c r="BF849" i="3"/>
  <c r="BG849" i="3"/>
  <c r="AT850" i="3"/>
  <c r="AW850" i="3" s="1" a="1"/>
  <c r="AW850" i="3" s="1"/>
  <c r="AU850" i="3"/>
  <c r="AV850" i="3" s="1" a="1"/>
  <c r="AV850" i="3" s="1"/>
  <c r="AY850" i="3"/>
  <c r="AZ850" i="3"/>
  <c r="BA850" i="3"/>
  <c r="BB850" i="3"/>
  <c r="BC850" i="3"/>
  <c r="BD850" i="3"/>
  <c r="BE850" i="3"/>
  <c r="BF850" i="3"/>
  <c r="BG850" i="3"/>
  <c r="AT851" i="3"/>
  <c r="AU851" i="3"/>
  <c r="AV851" i="3" s="1" a="1"/>
  <c r="AV851" i="3" s="1"/>
  <c r="AY851" i="3"/>
  <c r="AZ851" i="3"/>
  <c r="BA851" i="3"/>
  <c r="BB851" i="3"/>
  <c r="BC851" i="3"/>
  <c r="BD851" i="3"/>
  <c r="BE851" i="3"/>
  <c r="BF851" i="3"/>
  <c r="BG851" i="3"/>
  <c r="AT852" i="3"/>
  <c r="AW852" i="3" s="1" a="1"/>
  <c r="AW852" i="3" s="1"/>
  <c r="AU852" i="3"/>
  <c r="AV852" i="3" s="1" a="1"/>
  <c r="AV852" i="3" s="1"/>
  <c r="AY852" i="3"/>
  <c r="AZ852" i="3"/>
  <c r="BA852" i="3"/>
  <c r="BB852" i="3"/>
  <c r="BC852" i="3"/>
  <c r="BD852" i="3"/>
  <c r="BE852" i="3"/>
  <c r="BF852" i="3"/>
  <c r="BG852" i="3"/>
  <c r="AT853" i="3"/>
  <c r="AW853" i="3" s="1" a="1"/>
  <c r="AW853" i="3" s="1"/>
  <c r="AU853" i="3"/>
  <c r="AV853" i="3" s="1" a="1"/>
  <c r="AV853" i="3" s="1"/>
  <c r="AY853" i="3"/>
  <c r="AZ853" i="3"/>
  <c r="BA853" i="3"/>
  <c r="BB853" i="3"/>
  <c r="BC853" i="3"/>
  <c r="BD853" i="3"/>
  <c r="BE853" i="3"/>
  <c r="BF853" i="3"/>
  <c r="BG853" i="3"/>
  <c r="AT854" i="3"/>
  <c r="AW854" i="3" s="1" a="1"/>
  <c r="AW854" i="3" s="1"/>
  <c r="AU854" i="3"/>
  <c r="AV854" i="3" s="1" a="1"/>
  <c r="AV854" i="3" s="1"/>
  <c r="AY854" i="3"/>
  <c r="AZ854" i="3"/>
  <c r="BA854" i="3"/>
  <c r="BB854" i="3"/>
  <c r="BC854" i="3"/>
  <c r="BD854" i="3"/>
  <c r="BE854" i="3"/>
  <c r="BF854" i="3"/>
  <c r="BG854" i="3"/>
  <c r="AT855" i="3"/>
  <c r="AW855" i="3" s="1" a="1"/>
  <c r="AW855" i="3" s="1"/>
  <c r="AU855" i="3"/>
  <c r="AV855" i="3" s="1" a="1"/>
  <c r="AV855" i="3" s="1"/>
  <c r="AY855" i="3"/>
  <c r="AZ855" i="3"/>
  <c r="BA855" i="3"/>
  <c r="BB855" i="3"/>
  <c r="BC855" i="3"/>
  <c r="BD855" i="3"/>
  <c r="BE855" i="3"/>
  <c r="BF855" i="3"/>
  <c r="BG855" i="3"/>
  <c r="AT856" i="3"/>
  <c r="AX856" i="3" s="1" a="1"/>
  <c r="AX856" i="3" s="1"/>
  <c r="AU856" i="3"/>
  <c r="AV856" i="3" s="1" a="1"/>
  <c r="AV856" i="3" s="1"/>
  <c r="AY856" i="3"/>
  <c r="AZ856" i="3"/>
  <c r="BA856" i="3"/>
  <c r="BB856" i="3"/>
  <c r="BC856" i="3"/>
  <c r="BD856" i="3"/>
  <c r="BE856" i="3"/>
  <c r="BF856" i="3"/>
  <c r="BG856" i="3"/>
  <c r="AT857" i="3"/>
  <c r="AX857" i="3" s="1" a="1"/>
  <c r="AX857" i="3" s="1"/>
  <c r="AU857" i="3"/>
  <c r="AV857" i="3" s="1" a="1"/>
  <c r="AV857" i="3" s="1"/>
  <c r="AY857" i="3"/>
  <c r="AZ857" i="3"/>
  <c r="BA857" i="3"/>
  <c r="BB857" i="3"/>
  <c r="BC857" i="3"/>
  <c r="BD857" i="3"/>
  <c r="BE857" i="3"/>
  <c r="BF857" i="3"/>
  <c r="BG857" i="3"/>
  <c r="AT858" i="3"/>
  <c r="AU858" i="3"/>
  <c r="AV858" i="3" s="1" a="1"/>
  <c r="AV858" i="3" s="1"/>
  <c r="AY858" i="3"/>
  <c r="AZ858" i="3"/>
  <c r="BA858" i="3"/>
  <c r="BB858" i="3"/>
  <c r="BC858" i="3"/>
  <c r="BD858" i="3"/>
  <c r="BE858" i="3"/>
  <c r="BF858" i="3"/>
  <c r="BG858" i="3"/>
  <c r="AT859" i="3"/>
  <c r="AX859" i="3" s="1" a="1"/>
  <c r="AX859" i="3" s="1"/>
  <c r="AU859" i="3"/>
  <c r="AV859" i="3" s="1" a="1"/>
  <c r="AV859" i="3" s="1"/>
  <c r="AY859" i="3"/>
  <c r="AZ859" i="3"/>
  <c r="BA859" i="3"/>
  <c r="BB859" i="3"/>
  <c r="BC859" i="3"/>
  <c r="BD859" i="3"/>
  <c r="BE859" i="3"/>
  <c r="BF859" i="3"/>
  <c r="BG859" i="3"/>
  <c r="AT860" i="3"/>
  <c r="AW860" i="3" s="1" a="1"/>
  <c r="AW860" i="3" s="1"/>
  <c r="AU860" i="3"/>
  <c r="AV860" i="3" s="1" a="1"/>
  <c r="AV860" i="3" s="1"/>
  <c r="AY860" i="3"/>
  <c r="AZ860" i="3"/>
  <c r="BA860" i="3"/>
  <c r="BB860" i="3"/>
  <c r="BC860" i="3"/>
  <c r="BD860" i="3"/>
  <c r="BE860" i="3"/>
  <c r="BF860" i="3"/>
  <c r="BG860" i="3"/>
  <c r="AT861" i="3"/>
  <c r="AW861" i="3" s="1" a="1"/>
  <c r="AW861" i="3" s="1"/>
  <c r="AU861" i="3"/>
  <c r="AV861" i="3" s="1" a="1"/>
  <c r="AV861" i="3" s="1"/>
  <c r="AY861" i="3"/>
  <c r="AZ861" i="3"/>
  <c r="BA861" i="3"/>
  <c r="BB861" i="3"/>
  <c r="BC861" i="3"/>
  <c r="BD861" i="3"/>
  <c r="BE861" i="3"/>
  <c r="BF861" i="3"/>
  <c r="BG861" i="3"/>
  <c r="AT862" i="3"/>
  <c r="AW862" i="3" s="1" a="1"/>
  <c r="AW862" i="3" s="1"/>
  <c r="AU862" i="3"/>
  <c r="AV862" i="3" s="1" a="1"/>
  <c r="AV862" i="3" s="1"/>
  <c r="AY862" i="3"/>
  <c r="AZ862" i="3"/>
  <c r="BA862" i="3"/>
  <c r="BB862" i="3"/>
  <c r="BC862" i="3"/>
  <c r="BD862" i="3"/>
  <c r="BE862" i="3"/>
  <c r="BF862" i="3"/>
  <c r="BG862" i="3"/>
  <c r="AT863" i="3"/>
  <c r="AX863" i="3" s="1" a="1"/>
  <c r="AX863" i="3" s="1"/>
  <c r="AU863" i="3"/>
  <c r="AV863" i="3" s="1" a="1"/>
  <c r="AV863" i="3" s="1"/>
  <c r="AY863" i="3"/>
  <c r="AZ863" i="3"/>
  <c r="BA863" i="3"/>
  <c r="BB863" i="3"/>
  <c r="BC863" i="3"/>
  <c r="BD863" i="3"/>
  <c r="BE863" i="3"/>
  <c r="BF863" i="3"/>
  <c r="BG863" i="3"/>
  <c r="AT864" i="3"/>
  <c r="AW864" i="3" s="1" a="1"/>
  <c r="AW864" i="3" s="1"/>
  <c r="AU864" i="3"/>
  <c r="AV864" i="3" s="1" a="1"/>
  <c r="AV864" i="3" s="1"/>
  <c r="AY864" i="3"/>
  <c r="AZ864" i="3"/>
  <c r="BA864" i="3"/>
  <c r="BB864" i="3"/>
  <c r="BC864" i="3"/>
  <c r="BD864" i="3"/>
  <c r="BE864" i="3"/>
  <c r="BF864" i="3"/>
  <c r="BG864" i="3"/>
  <c r="AT865" i="3"/>
  <c r="AW865" i="3" s="1" a="1"/>
  <c r="AW865" i="3" s="1"/>
  <c r="AU865" i="3"/>
  <c r="AV865" i="3" s="1" a="1"/>
  <c r="AV865" i="3" s="1"/>
  <c r="AY865" i="3"/>
  <c r="AZ865" i="3"/>
  <c r="BA865" i="3"/>
  <c r="BB865" i="3"/>
  <c r="BC865" i="3"/>
  <c r="BD865" i="3"/>
  <c r="BE865" i="3"/>
  <c r="BF865" i="3"/>
  <c r="BG865" i="3"/>
  <c r="AT866" i="3"/>
  <c r="AW866" i="3" s="1" a="1"/>
  <c r="AW866" i="3" s="1"/>
  <c r="AU866" i="3"/>
  <c r="AV866" i="3" s="1" a="1"/>
  <c r="AV866" i="3" s="1"/>
  <c r="AY866" i="3"/>
  <c r="AZ866" i="3"/>
  <c r="BA866" i="3"/>
  <c r="BB866" i="3"/>
  <c r="BC866" i="3"/>
  <c r="BD866" i="3"/>
  <c r="BE866" i="3"/>
  <c r="BF866" i="3"/>
  <c r="BG866" i="3"/>
  <c r="AT867" i="3"/>
  <c r="AW867" i="3" s="1" a="1"/>
  <c r="AW867" i="3" s="1"/>
  <c r="AU867" i="3"/>
  <c r="AV867" i="3" s="1" a="1"/>
  <c r="AV867" i="3" s="1"/>
  <c r="AY867" i="3"/>
  <c r="AZ867" i="3"/>
  <c r="BA867" i="3"/>
  <c r="BB867" i="3"/>
  <c r="BC867" i="3"/>
  <c r="BD867" i="3"/>
  <c r="BE867" i="3"/>
  <c r="BF867" i="3"/>
  <c r="BG867" i="3"/>
  <c r="AT868" i="3"/>
  <c r="AX868" i="3" s="1" a="1"/>
  <c r="AX868" i="3" s="1"/>
  <c r="AU868" i="3"/>
  <c r="AV868" i="3" s="1" a="1"/>
  <c r="AV868" i="3" s="1"/>
  <c r="AY868" i="3"/>
  <c r="AZ868" i="3"/>
  <c r="BA868" i="3"/>
  <c r="BB868" i="3"/>
  <c r="BC868" i="3"/>
  <c r="BD868" i="3"/>
  <c r="BE868" i="3"/>
  <c r="BF868" i="3"/>
  <c r="BG868" i="3"/>
  <c r="AT869" i="3"/>
  <c r="AX869" i="3" s="1" a="1"/>
  <c r="AX869" i="3" s="1"/>
  <c r="AU869" i="3"/>
  <c r="AV869" i="3" s="1" a="1"/>
  <c r="AV869" i="3" s="1"/>
  <c r="AY869" i="3"/>
  <c r="AZ869" i="3"/>
  <c r="BA869" i="3"/>
  <c r="BB869" i="3"/>
  <c r="BC869" i="3"/>
  <c r="BD869" i="3"/>
  <c r="BE869" i="3"/>
  <c r="BF869" i="3"/>
  <c r="BG869" i="3"/>
  <c r="AT870" i="3"/>
  <c r="AW870" i="3" s="1" a="1"/>
  <c r="AW870" i="3" s="1"/>
  <c r="AU870" i="3"/>
  <c r="AV870" i="3" s="1" a="1"/>
  <c r="AV870" i="3" s="1"/>
  <c r="AY870" i="3"/>
  <c r="AZ870" i="3"/>
  <c r="BA870" i="3"/>
  <c r="BB870" i="3"/>
  <c r="BC870" i="3"/>
  <c r="BD870" i="3"/>
  <c r="BE870" i="3"/>
  <c r="BF870" i="3"/>
  <c r="BG870" i="3"/>
  <c r="AT871" i="3"/>
  <c r="AX871" i="3" s="1" a="1"/>
  <c r="AX871" i="3" s="1"/>
  <c r="AU871" i="3"/>
  <c r="AV871" i="3" s="1" a="1"/>
  <c r="AV871" i="3" s="1"/>
  <c r="AY871" i="3"/>
  <c r="AZ871" i="3"/>
  <c r="BA871" i="3"/>
  <c r="BB871" i="3"/>
  <c r="BC871" i="3"/>
  <c r="BD871" i="3"/>
  <c r="BE871" i="3"/>
  <c r="BF871" i="3"/>
  <c r="BG871" i="3"/>
  <c r="AT872" i="3"/>
  <c r="AW872" i="3" s="1" a="1"/>
  <c r="AW872" i="3" s="1"/>
  <c r="AU872" i="3"/>
  <c r="AV872" i="3" s="1" a="1"/>
  <c r="AV872" i="3" s="1"/>
  <c r="AY872" i="3"/>
  <c r="AZ872" i="3"/>
  <c r="BA872" i="3"/>
  <c r="BB872" i="3"/>
  <c r="BC872" i="3"/>
  <c r="BD872" i="3"/>
  <c r="BE872" i="3"/>
  <c r="BF872" i="3"/>
  <c r="BG872" i="3"/>
  <c r="AT873" i="3"/>
  <c r="AU873" i="3"/>
  <c r="AV873" i="3" s="1" a="1"/>
  <c r="AV873" i="3" s="1"/>
  <c r="AY873" i="3"/>
  <c r="AZ873" i="3"/>
  <c r="BA873" i="3"/>
  <c r="BB873" i="3"/>
  <c r="BC873" i="3"/>
  <c r="BD873" i="3"/>
  <c r="BE873" i="3"/>
  <c r="BF873" i="3"/>
  <c r="BG873" i="3"/>
  <c r="AT874" i="3"/>
  <c r="AW874" i="3" s="1" a="1"/>
  <c r="AW874" i="3" s="1"/>
  <c r="AU874" i="3"/>
  <c r="AV874" i="3" s="1" a="1"/>
  <c r="AV874" i="3" s="1"/>
  <c r="AY874" i="3"/>
  <c r="AZ874" i="3"/>
  <c r="BA874" i="3"/>
  <c r="BB874" i="3"/>
  <c r="BC874" i="3"/>
  <c r="BD874" i="3"/>
  <c r="BE874" i="3"/>
  <c r="BF874" i="3"/>
  <c r="BG874" i="3"/>
  <c r="AT875" i="3"/>
  <c r="AU875" i="3"/>
  <c r="AV875" i="3" s="1" a="1"/>
  <c r="AV875" i="3" s="1"/>
  <c r="AY875" i="3"/>
  <c r="AZ875" i="3"/>
  <c r="BA875" i="3"/>
  <c r="BB875" i="3"/>
  <c r="BC875" i="3"/>
  <c r="BD875" i="3"/>
  <c r="BE875" i="3"/>
  <c r="BF875" i="3"/>
  <c r="BG875" i="3"/>
  <c r="AT876" i="3"/>
  <c r="AW876" i="3" s="1" a="1"/>
  <c r="AW876" i="3" s="1"/>
  <c r="AU876" i="3"/>
  <c r="AV876" i="3" s="1" a="1"/>
  <c r="AV876" i="3" s="1"/>
  <c r="AY876" i="3"/>
  <c r="AZ876" i="3"/>
  <c r="BA876" i="3"/>
  <c r="BB876" i="3"/>
  <c r="BC876" i="3"/>
  <c r="BD876" i="3"/>
  <c r="BE876" i="3"/>
  <c r="BF876" i="3"/>
  <c r="BG876" i="3"/>
  <c r="AT877" i="3"/>
  <c r="AW877" i="3" s="1" a="1"/>
  <c r="AW877" i="3" s="1"/>
  <c r="AU877" i="3"/>
  <c r="AV877" i="3" s="1" a="1"/>
  <c r="AV877" i="3" s="1"/>
  <c r="AY877" i="3"/>
  <c r="AZ877" i="3"/>
  <c r="BA877" i="3"/>
  <c r="BB877" i="3"/>
  <c r="BC877" i="3"/>
  <c r="BD877" i="3"/>
  <c r="BE877" i="3"/>
  <c r="BF877" i="3"/>
  <c r="BG877" i="3"/>
  <c r="AT878" i="3"/>
  <c r="AW878" i="3" s="1" a="1"/>
  <c r="AW878" i="3" s="1"/>
  <c r="AU878" i="3"/>
  <c r="AV878" i="3" s="1" a="1"/>
  <c r="AV878" i="3" s="1"/>
  <c r="AY878" i="3"/>
  <c r="AZ878" i="3"/>
  <c r="BA878" i="3"/>
  <c r="BB878" i="3"/>
  <c r="BC878" i="3"/>
  <c r="BD878" i="3"/>
  <c r="BE878" i="3"/>
  <c r="BF878" i="3"/>
  <c r="BG878" i="3"/>
  <c r="AT879" i="3"/>
  <c r="AW879" i="3" s="1" a="1"/>
  <c r="AW879" i="3" s="1"/>
  <c r="AU879" i="3"/>
  <c r="AV879" i="3" s="1" a="1"/>
  <c r="AV879" i="3" s="1"/>
  <c r="AY879" i="3"/>
  <c r="AZ879" i="3"/>
  <c r="BA879" i="3"/>
  <c r="BB879" i="3"/>
  <c r="BC879" i="3"/>
  <c r="BD879" i="3"/>
  <c r="BE879" i="3"/>
  <c r="BF879" i="3"/>
  <c r="BG879" i="3"/>
  <c r="AT880" i="3"/>
  <c r="AX880" i="3" s="1" a="1"/>
  <c r="AX880" i="3" s="1"/>
  <c r="AU880" i="3"/>
  <c r="AV880" i="3" s="1" a="1"/>
  <c r="AV880" i="3" s="1"/>
  <c r="AY880" i="3"/>
  <c r="AZ880" i="3"/>
  <c r="BA880" i="3"/>
  <c r="BB880" i="3"/>
  <c r="BC880" i="3"/>
  <c r="BD880" i="3"/>
  <c r="BE880" i="3"/>
  <c r="BF880" i="3"/>
  <c r="BG880" i="3"/>
  <c r="AT881" i="3"/>
  <c r="AX881" i="3" s="1" a="1"/>
  <c r="AX881" i="3" s="1"/>
  <c r="AU881" i="3"/>
  <c r="AV881" i="3" s="1" a="1"/>
  <c r="AV881" i="3" s="1"/>
  <c r="AY881" i="3"/>
  <c r="AZ881" i="3"/>
  <c r="BA881" i="3"/>
  <c r="BB881" i="3"/>
  <c r="BC881" i="3"/>
  <c r="BD881" i="3"/>
  <c r="BE881" i="3"/>
  <c r="BF881" i="3"/>
  <c r="BG881" i="3"/>
  <c r="AT882" i="3"/>
  <c r="AX882" i="3" s="1" a="1"/>
  <c r="AX882" i="3" s="1"/>
  <c r="AU882" i="3"/>
  <c r="AV882" i="3" s="1" a="1"/>
  <c r="AV882" i="3" s="1"/>
  <c r="AY882" i="3"/>
  <c r="AZ882" i="3"/>
  <c r="BA882" i="3"/>
  <c r="BB882" i="3"/>
  <c r="BC882" i="3"/>
  <c r="BD882" i="3"/>
  <c r="BE882" i="3"/>
  <c r="BF882" i="3"/>
  <c r="BG882" i="3"/>
  <c r="AT883" i="3"/>
  <c r="AX883" i="3" s="1" a="1"/>
  <c r="AX883" i="3" s="1"/>
  <c r="AU883" i="3"/>
  <c r="AV883" i="3" s="1" a="1"/>
  <c r="AV883" i="3" s="1"/>
  <c r="AY883" i="3"/>
  <c r="AZ883" i="3"/>
  <c r="BA883" i="3"/>
  <c r="BB883" i="3"/>
  <c r="BC883" i="3"/>
  <c r="BD883" i="3"/>
  <c r="BE883" i="3"/>
  <c r="BF883" i="3"/>
  <c r="BG883" i="3"/>
  <c r="AT884" i="3"/>
  <c r="AX884" i="3" s="1" a="1"/>
  <c r="AX884" i="3" s="1"/>
  <c r="AU884" i="3"/>
  <c r="AV884" i="3" s="1" a="1"/>
  <c r="AV884" i="3" s="1"/>
  <c r="AY884" i="3"/>
  <c r="AZ884" i="3"/>
  <c r="BA884" i="3"/>
  <c r="BB884" i="3"/>
  <c r="BC884" i="3"/>
  <c r="BD884" i="3"/>
  <c r="BE884" i="3"/>
  <c r="BF884" i="3"/>
  <c r="BG884" i="3"/>
  <c r="AT885" i="3"/>
  <c r="AU885" i="3"/>
  <c r="AV885" i="3" s="1" a="1"/>
  <c r="AV885" i="3" s="1"/>
  <c r="AY885" i="3"/>
  <c r="AZ885" i="3"/>
  <c r="BA885" i="3"/>
  <c r="BB885" i="3"/>
  <c r="BC885" i="3"/>
  <c r="BD885" i="3"/>
  <c r="BE885" i="3"/>
  <c r="BF885" i="3"/>
  <c r="BG885" i="3"/>
  <c r="AT886" i="3"/>
  <c r="AW886" i="3" s="1" a="1"/>
  <c r="AW886" i="3" s="1"/>
  <c r="AU886" i="3"/>
  <c r="AV886" i="3" s="1" a="1"/>
  <c r="AV886" i="3" s="1"/>
  <c r="AY886" i="3"/>
  <c r="AZ886" i="3"/>
  <c r="BA886" i="3"/>
  <c r="BB886" i="3"/>
  <c r="BC886" i="3"/>
  <c r="BD886" i="3"/>
  <c r="BE886" i="3"/>
  <c r="BF886" i="3"/>
  <c r="BG886" i="3"/>
  <c r="AT887" i="3"/>
  <c r="AX887" i="3" s="1" a="1"/>
  <c r="AX887" i="3" s="1"/>
  <c r="AU887" i="3"/>
  <c r="AV887" i="3" s="1" a="1"/>
  <c r="AV887" i="3" s="1"/>
  <c r="AY887" i="3"/>
  <c r="AZ887" i="3"/>
  <c r="BA887" i="3"/>
  <c r="BB887" i="3"/>
  <c r="BC887" i="3"/>
  <c r="BD887" i="3"/>
  <c r="BE887" i="3"/>
  <c r="BF887" i="3"/>
  <c r="BG887" i="3"/>
  <c r="AT888" i="3"/>
  <c r="AX888" i="3" s="1" a="1"/>
  <c r="AX888" i="3" s="1"/>
  <c r="AU888" i="3"/>
  <c r="AV888" i="3" s="1" a="1"/>
  <c r="AV888" i="3" s="1"/>
  <c r="AY888" i="3"/>
  <c r="AZ888" i="3"/>
  <c r="BA888" i="3"/>
  <c r="BB888" i="3"/>
  <c r="BC888" i="3"/>
  <c r="BD888" i="3"/>
  <c r="BE888" i="3"/>
  <c r="BF888" i="3"/>
  <c r="BG888" i="3"/>
  <c r="AT889" i="3"/>
  <c r="AW889" i="3" s="1" a="1"/>
  <c r="AW889" i="3" s="1"/>
  <c r="AU889" i="3"/>
  <c r="AV889" i="3" s="1" a="1"/>
  <c r="AV889" i="3" s="1"/>
  <c r="AY889" i="3"/>
  <c r="AZ889" i="3"/>
  <c r="BA889" i="3"/>
  <c r="BB889" i="3"/>
  <c r="BC889" i="3"/>
  <c r="BD889" i="3"/>
  <c r="BE889" i="3"/>
  <c r="BF889" i="3"/>
  <c r="BG889" i="3"/>
  <c r="AT890" i="3"/>
  <c r="AW890" i="3" s="1" a="1"/>
  <c r="AW890" i="3" s="1"/>
  <c r="AU890" i="3"/>
  <c r="AV890" i="3" s="1" a="1"/>
  <c r="AV890" i="3" s="1"/>
  <c r="AY890" i="3"/>
  <c r="AZ890" i="3"/>
  <c r="BA890" i="3"/>
  <c r="BB890" i="3"/>
  <c r="BC890" i="3"/>
  <c r="BD890" i="3"/>
  <c r="BE890" i="3"/>
  <c r="BF890" i="3"/>
  <c r="BG890" i="3"/>
  <c r="AT891" i="3"/>
  <c r="AX891" i="3" s="1" a="1"/>
  <c r="AX891" i="3" s="1"/>
  <c r="AU891" i="3"/>
  <c r="AV891" i="3" s="1" a="1"/>
  <c r="AV891" i="3" s="1"/>
  <c r="AY891" i="3"/>
  <c r="AZ891" i="3"/>
  <c r="BA891" i="3"/>
  <c r="BB891" i="3"/>
  <c r="BC891" i="3"/>
  <c r="BD891" i="3"/>
  <c r="BE891" i="3"/>
  <c r="BF891" i="3"/>
  <c r="BG891" i="3"/>
  <c r="AT892" i="3"/>
  <c r="AW892" i="3" s="1" a="1"/>
  <c r="AW892" i="3" s="1"/>
  <c r="AU892" i="3"/>
  <c r="AV892" i="3" s="1" a="1"/>
  <c r="AV892" i="3" s="1"/>
  <c r="AY892" i="3"/>
  <c r="AZ892" i="3"/>
  <c r="BA892" i="3"/>
  <c r="BB892" i="3"/>
  <c r="BC892" i="3"/>
  <c r="BD892" i="3"/>
  <c r="BE892" i="3"/>
  <c r="BF892" i="3"/>
  <c r="BG892" i="3"/>
  <c r="AT893" i="3"/>
  <c r="AW893" i="3" s="1" a="1"/>
  <c r="AW893" i="3" s="1"/>
  <c r="AU893" i="3"/>
  <c r="AV893" i="3" s="1" a="1"/>
  <c r="AV893" i="3" s="1"/>
  <c r="AY893" i="3"/>
  <c r="AZ893" i="3"/>
  <c r="BA893" i="3"/>
  <c r="BB893" i="3"/>
  <c r="BC893" i="3"/>
  <c r="BD893" i="3"/>
  <c r="BE893" i="3"/>
  <c r="BF893" i="3"/>
  <c r="BG893" i="3"/>
  <c r="AT894" i="3"/>
  <c r="AW894" i="3" s="1" a="1"/>
  <c r="AW894" i="3" s="1"/>
  <c r="AU894" i="3"/>
  <c r="AV894" i="3" s="1" a="1"/>
  <c r="AV894" i="3" s="1"/>
  <c r="AY894" i="3"/>
  <c r="AZ894" i="3"/>
  <c r="BA894" i="3"/>
  <c r="BB894" i="3"/>
  <c r="BC894" i="3"/>
  <c r="BD894" i="3"/>
  <c r="BE894" i="3"/>
  <c r="BF894" i="3"/>
  <c r="BG894" i="3"/>
  <c r="AT895" i="3"/>
  <c r="AX895" i="3" s="1" a="1"/>
  <c r="AX895" i="3" s="1"/>
  <c r="AU895" i="3"/>
  <c r="AV895" i="3" s="1" a="1"/>
  <c r="AV895" i="3" s="1"/>
  <c r="AY895" i="3"/>
  <c r="AZ895" i="3"/>
  <c r="BA895" i="3"/>
  <c r="BB895" i="3"/>
  <c r="BC895" i="3"/>
  <c r="BD895" i="3"/>
  <c r="BE895" i="3"/>
  <c r="BF895" i="3"/>
  <c r="BG895" i="3"/>
  <c r="AT896" i="3"/>
  <c r="AX896" i="3" s="1" a="1"/>
  <c r="AX896" i="3" s="1"/>
  <c r="AU896" i="3"/>
  <c r="AV896" i="3" s="1" a="1"/>
  <c r="AV896" i="3" s="1"/>
  <c r="AY896" i="3"/>
  <c r="AZ896" i="3"/>
  <c r="BA896" i="3"/>
  <c r="BB896" i="3"/>
  <c r="BC896" i="3"/>
  <c r="BD896" i="3"/>
  <c r="BE896" i="3"/>
  <c r="BF896" i="3"/>
  <c r="BG896" i="3"/>
  <c r="AT897" i="3"/>
  <c r="AW897" i="3" s="1" a="1"/>
  <c r="AW897" i="3" s="1"/>
  <c r="AU897" i="3"/>
  <c r="AV897" i="3" s="1" a="1"/>
  <c r="AV897" i="3" s="1"/>
  <c r="AY897" i="3"/>
  <c r="AZ897" i="3"/>
  <c r="BA897" i="3"/>
  <c r="BB897" i="3"/>
  <c r="BC897" i="3"/>
  <c r="BD897" i="3"/>
  <c r="BE897" i="3"/>
  <c r="BF897" i="3"/>
  <c r="BG897" i="3"/>
  <c r="AT898" i="3"/>
  <c r="AW898" i="3" s="1" a="1"/>
  <c r="AW898" i="3" s="1"/>
  <c r="AU898" i="3"/>
  <c r="AV898" i="3" s="1" a="1"/>
  <c r="AV898" i="3" s="1"/>
  <c r="AY898" i="3"/>
  <c r="AZ898" i="3"/>
  <c r="BA898" i="3"/>
  <c r="BB898" i="3"/>
  <c r="BC898" i="3"/>
  <c r="BD898" i="3"/>
  <c r="BE898" i="3"/>
  <c r="BF898" i="3"/>
  <c r="BG898" i="3"/>
  <c r="AT899" i="3"/>
  <c r="AX899" i="3" s="1" a="1"/>
  <c r="AX899" i="3" s="1"/>
  <c r="AU899" i="3"/>
  <c r="AV899" i="3" s="1" a="1"/>
  <c r="AV899" i="3" s="1"/>
  <c r="AY899" i="3"/>
  <c r="AZ899" i="3"/>
  <c r="BA899" i="3"/>
  <c r="BB899" i="3"/>
  <c r="BC899" i="3"/>
  <c r="BD899" i="3"/>
  <c r="BE899" i="3"/>
  <c r="BF899" i="3"/>
  <c r="BG899" i="3"/>
  <c r="AT900" i="3"/>
  <c r="AW900" i="3" s="1" a="1"/>
  <c r="AW900" i="3" s="1"/>
  <c r="AU900" i="3"/>
  <c r="AV900" i="3" s="1" a="1"/>
  <c r="AV900" i="3" s="1"/>
  <c r="AY900" i="3"/>
  <c r="AZ900" i="3"/>
  <c r="BA900" i="3"/>
  <c r="BB900" i="3"/>
  <c r="BC900" i="3"/>
  <c r="BD900" i="3"/>
  <c r="BE900" i="3"/>
  <c r="BF900" i="3"/>
  <c r="BG900" i="3"/>
  <c r="AT901" i="3"/>
  <c r="AX901" i="3" s="1" a="1"/>
  <c r="AX901" i="3" s="1"/>
  <c r="AU901" i="3"/>
  <c r="AV901" i="3" s="1" a="1"/>
  <c r="AV901" i="3" s="1"/>
  <c r="AY901" i="3"/>
  <c r="AZ901" i="3"/>
  <c r="BA901" i="3"/>
  <c r="BB901" i="3"/>
  <c r="BC901" i="3"/>
  <c r="BD901" i="3"/>
  <c r="BE901" i="3"/>
  <c r="BF901" i="3"/>
  <c r="BG901" i="3"/>
  <c r="AT902" i="3"/>
  <c r="AW902" i="3" s="1" a="1"/>
  <c r="AW902" i="3" s="1"/>
  <c r="AU902" i="3"/>
  <c r="AV902" i="3" s="1" a="1"/>
  <c r="AV902" i="3" s="1"/>
  <c r="AY902" i="3"/>
  <c r="AZ902" i="3"/>
  <c r="BA902" i="3"/>
  <c r="BB902" i="3"/>
  <c r="BC902" i="3"/>
  <c r="BD902" i="3"/>
  <c r="BE902" i="3"/>
  <c r="BF902" i="3"/>
  <c r="BG902" i="3"/>
  <c r="AT903" i="3"/>
  <c r="AW903" i="3" s="1" a="1"/>
  <c r="AW903" i="3" s="1"/>
  <c r="AU903" i="3"/>
  <c r="AV903" i="3" s="1" a="1"/>
  <c r="AV903" i="3" s="1"/>
  <c r="AY903" i="3"/>
  <c r="AZ903" i="3"/>
  <c r="BA903" i="3"/>
  <c r="BB903" i="3"/>
  <c r="BC903" i="3"/>
  <c r="BD903" i="3"/>
  <c r="BE903" i="3"/>
  <c r="BF903" i="3"/>
  <c r="BG903" i="3"/>
  <c r="AT904" i="3"/>
  <c r="AW904" i="3" s="1" a="1"/>
  <c r="AW904" i="3" s="1"/>
  <c r="AU904" i="3"/>
  <c r="AV904" i="3" s="1" a="1"/>
  <c r="AV904" i="3" s="1"/>
  <c r="AY904" i="3"/>
  <c r="AZ904" i="3"/>
  <c r="BA904" i="3"/>
  <c r="BB904" i="3"/>
  <c r="BC904" i="3"/>
  <c r="BD904" i="3"/>
  <c r="BE904" i="3"/>
  <c r="BF904" i="3"/>
  <c r="BG904" i="3"/>
  <c r="AT905" i="3"/>
  <c r="AX905" i="3" s="1" a="1"/>
  <c r="AX905" i="3" s="1"/>
  <c r="AU905" i="3"/>
  <c r="AV905" i="3" s="1" a="1"/>
  <c r="AV905" i="3" s="1"/>
  <c r="AY905" i="3"/>
  <c r="AZ905" i="3"/>
  <c r="BA905" i="3"/>
  <c r="BB905" i="3"/>
  <c r="BC905" i="3"/>
  <c r="BD905" i="3"/>
  <c r="BE905" i="3"/>
  <c r="BF905" i="3"/>
  <c r="BG905" i="3"/>
  <c r="AT906" i="3"/>
  <c r="AW906" i="3" s="1" a="1"/>
  <c r="AW906" i="3" s="1"/>
  <c r="AU906" i="3"/>
  <c r="AV906" i="3" s="1" a="1"/>
  <c r="AV906" i="3" s="1"/>
  <c r="AY906" i="3"/>
  <c r="AZ906" i="3"/>
  <c r="BA906" i="3"/>
  <c r="BB906" i="3"/>
  <c r="BC906" i="3"/>
  <c r="BD906" i="3"/>
  <c r="BE906" i="3"/>
  <c r="BF906" i="3"/>
  <c r="BG906" i="3"/>
  <c r="AT907" i="3"/>
  <c r="AX907" i="3" s="1" a="1"/>
  <c r="AX907" i="3" s="1"/>
  <c r="AU907" i="3"/>
  <c r="AV907" i="3" s="1" a="1"/>
  <c r="AV907" i="3" s="1"/>
  <c r="AY907" i="3"/>
  <c r="AZ907" i="3"/>
  <c r="BA907" i="3"/>
  <c r="BB907" i="3"/>
  <c r="BC907" i="3"/>
  <c r="BD907" i="3"/>
  <c r="BE907" i="3"/>
  <c r="BF907" i="3"/>
  <c r="BG907" i="3"/>
  <c r="AT908" i="3"/>
  <c r="AW908" i="3" s="1" a="1"/>
  <c r="AW908" i="3" s="1"/>
  <c r="AU908" i="3"/>
  <c r="AV908" i="3" s="1" a="1"/>
  <c r="AV908" i="3" s="1"/>
  <c r="AY908" i="3"/>
  <c r="AZ908" i="3"/>
  <c r="BA908" i="3"/>
  <c r="BB908" i="3"/>
  <c r="BC908" i="3"/>
  <c r="BD908" i="3"/>
  <c r="BE908" i="3"/>
  <c r="BF908" i="3"/>
  <c r="BG908" i="3"/>
  <c r="AT909" i="3"/>
  <c r="AW909" i="3" s="1" a="1"/>
  <c r="AW909" i="3" s="1"/>
  <c r="AU909" i="3"/>
  <c r="AV909" i="3" s="1" a="1"/>
  <c r="AV909" i="3" s="1"/>
  <c r="AY909" i="3"/>
  <c r="AZ909" i="3"/>
  <c r="BA909" i="3"/>
  <c r="BB909" i="3"/>
  <c r="BC909" i="3"/>
  <c r="BD909" i="3"/>
  <c r="BE909" i="3"/>
  <c r="BF909" i="3"/>
  <c r="BG909" i="3"/>
  <c r="AT910" i="3"/>
  <c r="AX910" i="3" s="1" a="1"/>
  <c r="AX910" i="3" s="1"/>
  <c r="AU910" i="3"/>
  <c r="AV910" i="3" s="1" a="1"/>
  <c r="AV910" i="3" s="1"/>
  <c r="AY910" i="3"/>
  <c r="AZ910" i="3"/>
  <c r="BA910" i="3"/>
  <c r="BB910" i="3"/>
  <c r="BC910" i="3"/>
  <c r="BD910" i="3"/>
  <c r="BE910" i="3"/>
  <c r="BF910" i="3"/>
  <c r="BG910" i="3"/>
  <c r="AT911" i="3"/>
  <c r="AX911" i="3" s="1" a="1"/>
  <c r="AX911" i="3" s="1"/>
  <c r="AU911" i="3"/>
  <c r="AV911" i="3" s="1" a="1"/>
  <c r="AV911" i="3" s="1"/>
  <c r="AY911" i="3"/>
  <c r="AZ911" i="3"/>
  <c r="BA911" i="3"/>
  <c r="BB911" i="3"/>
  <c r="BC911" i="3"/>
  <c r="BD911" i="3"/>
  <c r="BE911" i="3"/>
  <c r="BF911" i="3"/>
  <c r="BG911" i="3"/>
  <c r="AT912" i="3"/>
  <c r="AW912" i="3" s="1" a="1"/>
  <c r="AW912" i="3" s="1"/>
  <c r="AU912" i="3"/>
  <c r="AV912" i="3" s="1" a="1"/>
  <c r="AV912" i="3" s="1"/>
  <c r="AY912" i="3"/>
  <c r="AZ912" i="3"/>
  <c r="BA912" i="3"/>
  <c r="BB912" i="3"/>
  <c r="BC912" i="3"/>
  <c r="BD912" i="3"/>
  <c r="BE912" i="3"/>
  <c r="BF912" i="3"/>
  <c r="BG912" i="3"/>
  <c r="AT913" i="3"/>
  <c r="AX913" i="3" s="1" a="1"/>
  <c r="AX913" i="3" s="1"/>
  <c r="AU913" i="3"/>
  <c r="AV913" i="3" s="1" a="1"/>
  <c r="AV913" i="3" s="1"/>
  <c r="AY913" i="3"/>
  <c r="AZ913" i="3"/>
  <c r="BA913" i="3"/>
  <c r="BB913" i="3"/>
  <c r="BC913" i="3"/>
  <c r="BD913" i="3"/>
  <c r="BE913" i="3"/>
  <c r="BF913" i="3"/>
  <c r="BG913" i="3"/>
  <c r="AT914" i="3"/>
  <c r="AX914" i="3" s="1" a="1"/>
  <c r="AX914" i="3" s="1"/>
  <c r="AU914" i="3"/>
  <c r="AV914" i="3" s="1" a="1"/>
  <c r="AV914" i="3" s="1"/>
  <c r="AY914" i="3"/>
  <c r="AZ914" i="3"/>
  <c r="BA914" i="3"/>
  <c r="BB914" i="3"/>
  <c r="BC914" i="3"/>
  <c r="BD914" i="3"/>
  <c r="BE914" i="3"/>
  <c r="BF914" i="3"/>
  <c r="BG914" i="3"/>
  <c r="AT915" i="3"/>
  <c r="AX915" i="3" s="1" a="1"/>
  <c r="AX915" i="3" s="1"/>
  <c r="AU915" i="3"/>
  <c r="AV915" i="3" s="1" a="1"/>
  <c r="AV915" i="3" s="1"/>
  <c r="AY915" i="3"/>
  <c r="AZ915" i="3"/>
  <c r="BA915" i="3"/>
  <c r="BB915" i="3"/>
  <c r="BC915" i="3"/>
  <c r="BD915" i="3"/>
  <c r="BE915" i="3"/>
  <c r="BF915" i="3"/>
  <c r="BG915" i="3"/>
  <c r="AT916" i="3"/>
  <c r="AW916" i="3" s="1" a="1"/>
  <c r="AW916" i="3" s="1"/>
  <c r="AU916" i="3"/>
  <c r="AV916" i="3" s="1" a="1"/>
  <c r="AV916" i="3" s="1"/>
  <c r="AY916" i="3"/>
  <c r="AZ916" i="3"/>
  <c r="BA916" i="3"/>
  <c r="BB916" i="3"/>
  <c r="BC916" i="3"/>
  <c r="BD916" i="3"/>
  <c r="BE916" i="3"/>
  <c r="BF916" i="3"/>
  <c r="BG916" i="3"/>
  <c r="AT917" i="3"/>
  <c r="AX917" i="3" s="1" a="1"/>
  <c r="AX917" i="3" s="1"/>
  <c r="AU917" i="3"/>
  <c r="AV917" i="3" s="1" a="1"/>
  <c r="AV917" i="3" s="1"/>
  <c r="AY917" i="3"/>
  <c r="AZ917" i="3"/>
  <c r="BA917" i="3"/>
  <c r="BB917" i="3"/>
  <c r="BC917" i="3"/>
  <c r="BD917" i="3"/>
  <c r="BE917" i="3"/>
  <c r="BF917" i="3"/>
  <c r="BG917" i="3"/>
  <c r="AT918" i="3"/>
  <c r="AU918" i="3"/>
  <c r="AV918" i="3" s="1" a="1"/>
  <c r="AV918" i="3" s="1"/>
  <c r="AY918" i="3"/>
  <c r="AZ918" i="3"/>
  <c r="BA918" i="3"/>
  <c r="BB918" i="3"/>
  <c r="BC918" i="3"/>
  <c r="BD918" i="3"/>
  <c r="BE918" i="3"/>
  <c r="BF918" i="3"/>
  <c r="BG918" i="3"/>
  <c r="AT919" i="3"/>
  <c r="AX919" i="3" s="1" a="1"/>
  <c r="AX919" i="3" s="1"/>
  <c r="AU919" i="3"/>
  <c r="AV919" i="3" s="1" a="1"/>
  <c r="AV919" i="3" s="1"/>
  <c r="AY919" i="3"/>
  <c r="AZ919" i="3"/>
  <c r="BA919" i="3"/>
  <c r="BB919" i="3"/>
  <c r="BC919" i="3"/>
  <c r="BD919" i="3"/>
  <c r="BE919" i="3"/>
  <c r="BF919" i="3"/>
  <c r="BG919" i="3"/>
  <c r="AT920" i="3"/>
  <c r="AW920" i="3" s="1" a="1"/>
  <c r="AW920" i="3" s="1"/>
  <c r="AU920" i="3"/>
  <c r="AV920" i="3" s="1" a="1"/>
  <c r="AV920" i="3" s="1"/>
  <c r="AY920" i="3"/>
  <c r="AZ920" i="3"/>
  <c r="BA920" i="3"/>
  <c r="BB920" i="3"/>
  <c r="BC920" i="3"/>
  <c r="BD920" i="3"/>
  <c r="BE920" i="3"/>
  <c r="BF920" i="3"/>
  <c r="BG920" i="3"/>
  <c r="AT921" i="3"/>
  <c r="AU921" i="3"/>
  <c r="AV921" i="3" s="1" a="1"/>
  <c r="AV921" i="3" s="1"/>
  <c r="AY921" i="3"/>
  <c r="AZ921" i="3"/>
  <c r="BA921" i="3"/>
  <c r="BB921" i="3"/>
  <c r="BC921" i="3"/>
  <c r="BD921" i="3"/>
  <c r="BE921" i="3"/>
  <c r="BF921" i="3"/>
  <c r="BG921" i="3"/>
  <c r="AT922" i="3"/>
  <c r="AW922" i="3" s="1" a="1"/>
  <c r="AW922" i="3" s="1"/>
  <c r="AU922" i="3"/>
  <c r="AV922" i="3" s="1" a="1"/>
  <c r="AV922" i="3" s="1"/>
  <c r="AY922" i="3"/>
  <c r="AZ922" i="3"/>
  <c r="BA922" i="3"/>
  <c r="BB922" i="3"/>
  <c r="BC922" i="3"/>
  <c r="BD922" i="3"/>
  <c r="BE922" i="3"/>
  <c r="BF922" i="3"/>
  <c r="BG922" i="3"/>
  <c r="AT923" i="3"/>
  <c r="AX923" i="3" s="1" a="1"/>
  <c r="AX923" i="3" s="1"/>
  <c r="AU923" i="3"/>
  <c r="AV923" i="3" s="1" a="1"/>
  <c r="AV923" i="3" s="1"/>
  <c r="AY923" i="3"/>
  <c r="AZ923" i="3"/>
  <c r="BA923" i="3"/>
  <c r="BB923" i="3"/>
  <c r="BC923" i="3"/>
  <c r="BD923" i="3"/>
  <c r="BE923" i="3"/>
  <c r="BF923" i="3"/>
  <c r="BG923" i="3"/>
  <c r="AT924" i="3"/>
  <c r="AU924" i="3"/>
  <c r="AV924" i="3" s="1" a="1"/>
  <c r="AV924" i="3" s="1"/>
  <c r="AY924" i="3"/>
  <c r="AZ924" i="3"/>
  <c r="BA924" i="3"/>
  <c r="BB924" i="3"/>
  <c r="BC924" i="3"/>
  <c r="BD924" i="3"/>
  <c r="BE924" i="3"/>
  <c r="BF924" i="3"/>
  <c r="BG924" i="3"/>
  <c r="AT925" i="3"/>
  <c r="AW925" i="3" s="1" a="1"/>
  <c r="AW925" i="3" s="1"/>
  <c r="AU925" i="3"/>
  <c r="AV925" i="3" s="1" a="1"/>
  <c r="AV925" i="3" s="1"/>
  <c r="AY925" i="3"/>
  <c r="AZ925" i="3"/>
  <c r="BA925" i="3"/>
  <c r="BB925" i="3"/>
  <c r="BC925" i="3"/>
  <c r="BD925" i="3"/>
  <c r="BE925" i="3"/>
  <c r="BF925" i="3"/>
  <c r="BG925" i="3"/>
  <c r="AT926" i="3"/>
  <c r="AX926" i="3" s="1" a="1"/>
  <c r="AX926" i="3" s="1"/>
  <c r="AU926" i="3"/>
  <c r="AV926" i="3" s="1" a="1"/>
  <c r="AV926" i="3" s="1"/>
  <c r="AY926" i="3"/>
  <c r="AZ926" i="3"/>
  <c r="BA926" i="3"/>
  <c r="BB926" i="3"/>
  <c r="BC926" i="3"/>
  <c r="BD926" i="3"/>
  <c r="BE926" i="3"/>
  <c r="BF926" i="3"/>
  <c r="BG926" i="3"/>
  <c r="AT927" i="3"/>
  <c r="AU927" i="3"/>
  <c r="AV927" i="3" s="1" a="1"/>
  <c r="AV927" i="3" s="1"/>
  <c r="AY927" i="3"/>
  <c r="AZ927" i="3"/>
  <c r="BA927" i="3"/>
  <c r="BB927" i="3"/>
  <c r="BC927" i="3"/>
  <c r="BD927" i="3"/>
  <c r="BE927" i="3"/>
  <c r="BF927" i="3"/>
  <c r="BG927" i="3"/>
  <c r="AT928" i="3"/>
  <c r="AW928" i="3" s="1" a="1"/>
  <c r="AW928" i="3" s="1"/>
  <c r="AU928" i="3"/>
  <c r="AV928" i="3" s="1" a="1"/>
  <c r="AV928" i="3" s="1"/>
  <c r="AY928" i="3"/>
  <c r="AZ928" i="3"/>
  <c r="BA928" i="3"/>
  <c r="BB928" i="3"/>
  <c r="BC928" i="3"/>
  <c r="BD928" i="3"/>
  <c r="BE928" i="3"/>
  <c r="BF928" i="3"/>
  <c r="BG928" i="3"/>
  <c r="AT929" i="3"/>
  <c r="AW929" i="3" s="1" a="1"/>
  <c r="AW929" i="3" s="1"/>
  <c r="AU929" i="3"/>
  <c r="AV929" i="3" s="1" a="1"/>
  <c r="AV929" i="3" s="1"/>
  <c r="AY929" i="3"/>
  <c r="AZ929" i="3"/>
  <c r="BA929" i="3"/>
  <c r="BB929" i="3"/>
  <c r="BC929" i="3"/>
  <c r="BD929" i="3"/>
  <c r="BE929" i="3"/>
  <c r="BF929" i="3"/>
  <c r="BG929" i="3"/>
  <c r="AT930" i="3"/>
  <c r="AW930" i="3" s="1" a="1"/>
  <c r="AW930" i="3" s="1"/>
  <c r="AU930" i="3"/>
  <c r="AV930" i="3" s="1" a="1"/>
  <c r="AV930" i="3" s="1"/>
  <c r="AY930" i="3"/>
  <c r="AZ930" i="3"/>
  <c r="BA930" i="3"/>
  <c r="BB930" i="3"/>
  <c r="BC930" i="3"/>
  <c r="BD930" i="3"/>
  <c r="BE930" i="3"/>
  <c r="BF930" i="3"/>
  <c r="BG930" i="3"/>
  <c r="AT931" i="3"/>
  <c r="AX931" i="3" s="1" a="1"/>
  <c r="AX931" i="3" s="1"/>
  <c r="AU931" i="3"/>
  <c r="AV931" i="3" s="1" a="1"/>
  <c r="AV931" i="3" s="1"/>
  <c r="AY931" i="3"/>
  <c r="AZ931" i="3"/>
  <c r="BA931" i="3"/>
  <c r="BB931" i="3"/>
  <c r="BC931" i="3"/>
  <c r="BD931" i="3"/>
  <c r="BE931" i="3"/>
  <c r="BF931" i="3"/>
  <c r="BG931" i="3"/>
  <c r="AT932" i="3"/>
  <c r="AW932" i="3" s="1" a="1"/>
  <c r="AW932" i="3" s="1"/>
  <c r="AU932" i="3"/>
  <c r="AV932" i="3" s="1" a="1"/>
  <c r="AV932" i="3" s="1"/>
  <c r="AY932" i="3"/>
  <c r="AZ932" i="3"/>
  <c r="BA932" i="3"/>
  <c r="BB932" i="3"/>
  <c r="BC932" i="3"/>
  <c r="BD932" i="3"/>
  <c r="BE932" i="3"/>
  <c r="BF932" i="3"/>
  <c r="BG932" i="3"/>
  <c r="AT933" i="3"/>
  <c r="AW933" i="3" s="1" a="1"/>
  <c r="AW933" i="3" s="1"/>
  <c r="AU933" i="3"/>
  <c r="AV933" i="3" s="1" a="1"/>
  <c r="AV933" i="3" s="1"/>
  <c r="AY933" i="3"/>
  <c r="AZ933" i="3"/>
  <c r="BA933" i="3"/>
  <c r="BB933" i="3"/>
  <c r="BC933" i="3"/>
  <c r="BD933" i="3"/>
  <c r="BE933" i="3"/>
  <c r="BF933" i="3"/>
  <c r="BG933" i="3"/>
  <c r="AT934" i="3"/>
  <c r="AW934" i="3" s="1" a="1"/>
  <c r="AW934" i="3" s="1"/>
  <c r="AU934" i="3"/>
  <c r="AV934" i="3" s="1" a="1"/>
  <c r="AV934" i="3" s="1"/>
  <c r="AY934" i="3"/>
  <c r="AZ934" i="3"/>
  <c r="BA934" i="3"/>
  <c r="BB934" i="3"/>
  <c r="BC934" i="3"/>
  <c r="BD934" i="3"/>
  <c r="BE934" i="3"/>
  <c r="BF934" i="3"/>
  <c r="BG934" i="3"/>
  <c r="AT935" i="3"/>
  <c r="AX935" i="3" s="1" a="1"/>
  <c r="AX935" i="3" s="1"/>
  <c r="AU935" i="3"/>
  <c r="AV935" i="3" s="1" a="1"/>
  <c r="AV935" i="3" s="1"/>
  <c r="AY935" i="3"/>
  <c r="AZ935" i="3"/>
  <c r="BA935" i="3"/>
  <c r="BB935" i="3"/>
  <c r="BC935" i="3"/>
  <c r="BD935" i="3"/>
  <c r="BE935" i="3"/>
  <c r="BF935" i="3"/>
  <c r="BG935" i="3"/>
  <c r="AT936" i="3"/>
  <c r="AW936" i="3" s="1" a="1"/>
  <c r="AW936" i="3" s="1"/>
  <c r="AU936" i="3"/>
  <c r="AV936" i="3" s="1" a="1"/>
  <c r="AV936" i="3" s="1"/>
  <c r="AY936" i="3"/>
  <c r="AZ936" i="3"/>
  <c r="BA936" i="3"/>
  <c r="BB936" i="3"/>
  <c r="BC936" i="3"/>
  <c r="BD936" i="3"/>
  <c r="BE936" i="3"/>
  <c r="BF936" i="3"/>
  <c r="BG936" i="3"/>
  <c r="AT937" i="3"/>
  <c r="AW937" i="3" s="1" a="1"/>
  <c r="AW937" i="3" s="1"/>
  <c r="AU937" i="3"/>
  <c r="AV937" i="3" s="1" a="1"/>
  <c r="AV937" i="3" s="1"/>
  <c r="AY937" i="3"/>
  <c r="AZ937" i="3"/>
  <c r="BA937" i="3"/>
  <c r="BB937" i="3"/>
  <c r="BC937" i="3"/>
  <c r="BD937" i="3"/>
  <c r="BE937" i="3"/>
  <c r="BF937" i="3"/>
  <c r="BG937" i="3"/>
  <c r="AT938" i="3"/>
  <c r="AW938" i="3" s="1" a="1"/>
  <c r="AW938" i="3" s="1"/>
  <c r="AU938" i="3"/>
  <c r="AV938" i="3" s="1" a="1"/>
  <c r="AV938" i="3" s="1"/>
  <c r="AY938" i="3"/>
  <c r="AZ938" i="3"/>
  <c r="BA938" i="3"/>
  <c r="BB938" i="3"/>
  <c r="BC938" i="3"/>
  <c r="BD938" i="3"/>
  <c r="BE938" i="3"/>
  <c r="BF938" i="3"/>
  <c r="BG938" i="3"/>
  <c r="AT939" i="3"/>
  <c r="AW939" i="3" s="1" a="1"/>
  <c r="AW939" i="3" s="1"/>
  <c r="AU939" i="3"/>
  <c r="AV939" i="3" s="1" a="1"/>
  <c r="AV939" i="3" s="1"/>
  <c r="AY939" i="3"/>
  <c r="AZ939" i="3"/>
  <c r="BA939" i="3"/>
  <c r="BB939" i="3"/>
  <c r="BC939" i="3"/>
  <c r="BD939" i="3"/>
  <c r="BE939" i="3"/>
  <c r="BF939" i="3"/>
  <c r="BG939" i="3"/>
  <c r="AT940" i="3"/>
  <c r="AX940" i="3" s="1" a="1"/>
  <c r="AX940" i="3" s="1"/>
  <c r="AU940" i="3"/>
  <c r="AV940" i="3" s="1" a="1"/>
  <c r="AV940" i="3" s="1"/>
  <c r="AY940" i="3"/>
  <c r="AZ940" i="3"/>
  <c r="BA940" i="3"/>
  <c r="BB940" i="3"/>
  <c r="BC940" i="3"/>
  <c r="BD940" i="3"/>
  <c r="BE940" i="3"/>
  <c r="BF940" i="3"/>
  <c r="BG940" i="3"/>
  <c r="AT941" i="3"/>
  <c r="AW941" i="3" s="1" a="1"/>
  <c r="AW941" i="3" s="1"/>
  <c r="AU941" i="3"/>
  <c r="AV941" i="3" s="1" a="1"/>
  <c r="AV941" i="3" s="1"/>
  <c r="AY941" i="3"/>
  <c r="AZ941" i="3"/>
  <c r="BA941" i="3"/>
  <c r="BB941" i="3"/>
  <c r="BC941" i="3"/>
  <c r="BD941" i="3"/>
  <c r="BE941" i="3"/>
  <c r="BF941" i="3"/>
  <c r="BG941" i="3"/>
  <c r="AT942" i="3"/>
  <c r="AW942" i="3" s="1" a="1"/>
  <c r="AW942" i="3" s="1"/>
  <c r="AU942" i="3"/>
  <c r="AV942" i="3" s="1" a="1"/>
  <c r="AV942" i="3" s="1"/>
  <c r="AY942" i="3"/>
  <c r="AZ942" i="3"/>
  <c r="BA942" i="3"/>
  <c r="BB942" i="3"/>
  <c r="BC942" i="3"/>
  <c r="BD942" i="3"/>
  <c r="BE942" i="3"/>
  <c r="BF942" i="3"/>
  <c r="BG942" i="3"/>
  <c r="AT943" i="3"/>
  <c r="AX943" i="3" s="1" a="1"/>
  <c r="AX943" i="3" s="1"/>
  <c r="AU943" i="3"/>
  <c r="AV943" i="3" s="1" a="1"/>
  <c r="AV943" i="3" s="1"/>
  <c r="AY943" i="3"/>
  <c r="AZ943" i="3"/>
  <c r="BA943" i="3"/>
  <c r="BB943" i="3"/>
  <c r="BC943" i="3"/>
  <c r="BD943" i="3"/>
  <c r="BE943" i="3"/>
  <c r="BF943" i="3"/>
  <c r="BG943" i="3"/>
  <c r="AT944" i="3"/>
  <c r="AU944" i="3"/>
  <c r="AV944" i="3" s="1" a="1"/>
  <c r="AV944" i="3" s="1"/>
  <c r="AY944" i="3"/>
  <c r="AZ944" i="3"/>
  <c r="BA944" i="3"/>
  <c r="BB944" i="3"/>
  <c r="BC944" i="3"/>
  <c r="BD944" i="3"/>
  <c r="BE944" i="3"/>
  <c r="BF944" i="3"/>
  <c r="BG944" i="3"/>
  <c r="AT945" i="3"/>
  <c r="AW945" i="3" s="1" a="1"/>
  <c r="AW945" i="3" s="1"/>
  <c r="AU945" i="3"/>
  <c r="AV945" i="3" s="1" a="1"/>
  <c r="AV945" i="3" s="1"/>
  <c r="AY945" i="3"/>
  <c r="AZ945" i="3"/>
  <c r="BA945" i="3"/>
  <c r="BB945" i="3"/>
  <c r="BC945" i="3"/>
  <c r="BD945" i="3"/>
  <c r="BE945" i="3"/>
  <c r="BF945" i="3"/>
  <c r="BG945" i="3"/>
  <c r="AT946" i="3"/>
  <c r="AW946" i="3" s="1" a="1"/>
  <c r="AW946" i="3" s="1"/>
  <c r="AU946" i="3"/>
  <c r="AV946" i="3" s="1" a="1"/>
  <c r="AV946" i="3" s="1"/>
  <c r="AY946" i="3"/>
  <c r="AZ946" i="3"/>
  <c r="BA946" i="3"/>
  <c r="BB946" i="3"/>
  <c r="BC946" i="3"/>
  <c r="BD946" i="3"/>
  <c r="BE946" i="3"/>
  <c r="BF946" i="3"/>
  <c r="BG946" i="3"/>
  <c r="AT947" i="3"/>
  <c r="AU947" i="3"/>
  <c r="AV947" i="3" s="1" a="1"/>
  <c r="AV947" i="3" s="1"/>
  <c r="AY947" i="3"/>
  <c r="AZ947" i="3"/>
  <c r="BA947" i="3"/>
  <c r="BB947" i="3"/>
  <c r="BC947" i="3"/>
  <c r="BD947" i="3"/>
  <c r="BE947" i="3"/>
  <c r="BF947" i="3"/>
  <c r="BG947" i="3"/>
  <c r="AT948" i="3"/>
  <c r="AX948" i="3" s="1" a="1"/>
  <c r="AX948" i="3" s="1"/>
  <c r="AU948" i="3"/>
  <c r="AV948" i="3" s="1" a="1"/>
  <c r="AV948" i="3" s="1"/>
  <c r="AY948" i="3"/>
  <c r="AZ948" i="3"/>
  <c r="BA948" i="3"/>
  <c r="BB948" i="3"/>
  <c r="BC948" i="3"/>
  <c r="BD948" i="3"/>
  <c r="BE948" i="3"/>
  <c r="BF948" i="3"/>
  <c r="BG948" i="3"/>
  <c r="AT949" i="3"/>
  <c r="AU949" i="3"/>
  <c r="AV949" i="3" s="1" a="1"/>
  <c r="AV949" i="3" s="1"/>
  <c r="AY949" i="3"/>
  <c r="AZ949" i="3"/>
  <c r="BA949" i="3"/>
  <c r="BB949" i="3"/>
  <c r="BC949" i="3"/>
  <c r="BD949" i="3"/>
  <c r="BE949" i="3"/>
  <c r="BF949" i="3"/>
  <c r="BG949" i="3"/>
  <c r="AT950" i="3"/>
  <c r="AW950" i="3" s="1" a="1"/>
  <c r="AW950" i="3" s="1"/>
  <c r="AU950" i="3"/>
  <c r="AV950" i="3" s="1" a="1"/>
  <c r="AV950" i="3" s="1"/>
  <c r="AY950" i="3"/>
  <c r="AZ950" i="3"/>
  <c r="BA950" i="3"/>
  <c r="BB950" i="3"/>
  <c r="BC950" i="3"/>
  <c r="BD950" i="3"/>
  <c r="BE950" i="3"/>
  <c r="BF950" i="3"/>
  <c r="BG950" i="3"/>
  <c r="AT951" i="3"/>
  <c r="AW951" i="3" s="1" a="1"/>
  <c r="AW951" i="3" s="1"/>
  <c r="AU951" i="3"/>
  <c r="AV951" i="3" s="1" a="1"/>
  <c r="AV951" i="3" s="1"/>
  <c r="AY951" i="3"/>
  <c r="AZ951" i="3"/>
  <c r="BA951" i="3"/>
  <c r="BB951" i="3"/>
  <c r="BC951" i="3"/>
  <c r="BD951" i="3"/>
  <c r="BE951" i="3"/>
  <c r="BF951" i="3"/>
  <c r="BG951" i="3"/>
  <c r="AT952" i="3"/>
  <c r="AU952" i="3"/>
  <c r="AV952" i="3" s="1" a="1"/>
  <c r="AV952" i="3" s="1"/>
  <c r="AY952" i="3"/>
  <c r="AZ952" i="3"/>
  <c r="BA952" i="3"/>
  <c r="BB952" i="3"/>
  <c r="BC952" i="3"/>
  <c r="BD952" i="3"/>
  <c r="BE952" i="3"/>
  <c r="BF952" i="3"/>
  <c r="BG952" i="3"/>
  <c r="AT953" i="3"/>
  <c r="AW953" i="3" s="1" a="1"/>
  <c r="AW953" i="3" s="1"/>
  <c r="AU953" i="3"/>
  <c r="AV953" i="3" s="1" a="1"/>
  <c r="AV953" i="3" s="1"/>
  <c r="AY953" i="3"/>
  <c r="AZ953" i="3"/>
  <c r="BA953" i="3"/>
  <c r="BB953" i="3"/>
  <c r="BC953" i="3"/>
  <c r="BD953" i="3"/>
  <c r="BE953" i="3"/>
  <c r="BF953" i="3"/>
  <c r="BG953" i="3"/>
  <c r="AT954" i="3"/>
  <c r="AX954" i="3" s="1" a="1"/>
  <c r="AX954" i="3" s="1"/>
  <c r="AU954" i="3"/>
  <c r="AV954" i="3" s="1" a="1"/>
  <c r="AV954" i="3" s="1"/>
  <c r="AY954" i="3"/>
  <c r="AZ954" i="3"/>
  <c r="BA954" i="3"/>
  <c r="BB954" i="3"/>
  <c r="BC954" i="3"/>
  <c r="BD954" i="3"/>
  <c r="BE954" i="3"/>
  <c r="BF954" i="3"/>
  <c r="BG954" i="3"/>
  <c r="AT955" i="3"/>
  <c r="AW955" i="3" s="1" a="1"/>
  <c r="AW955" i="3" s="1"/>
  <c r="AU955" i="3"/>
  <c r="AV955" i="3" s="1" a="1"/>
  <c r="AV955" i="3" s="1"/>
  <c r="AY955" i="3"/>
  <c r="AZ955" i="3"/>
  <c r="BA955" i="3"/>
  <c r="BB955" i="3"/>
  <c r="BC955" i="3"/>
  <c r="BD955" i="3"/>
  <c r="BE955" i="3"/>
  <c r="BF955" i="3"/>
  <c r="BG955" i="3"/>
  <c r="AT956" i="3"/>
  <c r="AX956" i="3" s="1" a="1"/>
  <c r="AX956" i="3" s="1"/>
  <c r="AU956" i="3"/>
  <c r="AV956" i="3" s="1" a="1"/>
  <c r="AV956" i="3" s="1"/>
  <c r="AY956" i="3"/>
  <c r="AZ956" i="3"/>
  <c r="BA956" i="3"/>
  <c r="BB956" i="3"/>
  <c r="BC956" i="3"/>
  <c r="BD956" i="3"/>
  <c r="BE956" i="3"/>
  <c r="BF956" i="3"/>
  <c r="BG956" i="3"/>
  <c r="AT957" i="3"/>
  <c r="AU957" i="3"/>
  <c r="AV957" i="3" s="1" a="1"/>
  <c r="AV957" i="3" s="1"/>
  <c r="AY957" i="3"/>
  <c r="AZ957" i="3"/>
  <c r="BA957" i="3"/>
  <c r="BB957" i="3"/>
  <c r="BC957" i="3"/>
  <c r="BD957" i="3"/>
  <c r="BE957" i="3"/>
  <c r="BF957" i="3"/>
  <c r="BG957" i="3"/>
  <c r="AT958" i="3"/>
  <c r="AW958" i="3" s="1" a="1"/>
  <c r="AW958" i="3" s="1"/>
  <c r="AU958" i="3"/>
  <c r="AV958" i="3" s="1" a="1"/>
  <c r="AV958" i="3" s="1"/>
  <c r="AY958" i="3"/>
  <c r="AZ958" i="3"/>
  <c r="BA958" i="3"/>
  <c r="BB958" i="3"/>
  <c r="BC958" i="3"/>
  <c r="BD958" i="3"/>
  <c r="BE958" i="3"/>
  <c r="BF958" i="3"/>
  <c r="BG958" i="3"/>
  <c r="AT959" i="3"/>
  <c r="AW959" i="3" s="1" a="1"/>
  <c r="AW959" i="3" s="1"/>
  <c r="AU959" i="3"/>
  <c r="AV959" i="3" s="1" a="1"/>
  <c r="AV959" i="3" s="1"/>
  <c r="AY959" i="3"/>
  <c r="AZ959" i="3"/>
  <c r="BA959" i="3"/>
  <c r="BB959" i="3"/>
  <c r="BC959" i="3"/>
  <c r="BD959" i="3"/>
  <c r="BE959" i="3"/>
  <c r="BF959" i="3"/>
  <c r="BG959" i="3"/>
  <c r="AT960" i="3"/>
  <c r="AW960" i="3" s="1" a="1"/>
  <c r="AW960" i="3" s="1"/>
  <c r="AU960" i="3"/>
  <c r="AV960" i="3" s="1" a="1"/>
  <c r="AV960" i="3" s="1"/>
  <c r="AY960" i="3"/>
  <c r="AZ960" i="3"/>
  <c r="BA960" i="3"/>
  <c r="BB960" i="3"/>
  <c r="BC960" i="3"/>
  <c r="BD960" i="3"/>
  <c r="BE960" i="3"/>
  <c r="BF960" i="3"/>
  <c r="BG960" i="3"/>
  <c r="AT961" i="3"/>
  <c r="AX961" i="3" s="1" a="1"/>
  <c r="AX961" i="3" s="1"/>
  <c r="AU961" i="3"/>
  <c r="AV961" i="3" s="1" a="1"/>
  <c r="AV961" i="3" s="1"/>
  <c r="AY961" i="3"/>
  <c r="AZ961" i="3"/>
  <c r="BA961" i="3"/>
  <c r="BB961" i="3"/>
  <c r="BC961" i="3"/>
  <c r="BD961" i="3"/>
  <c r="BE961" i="3"/>
  <c r="BF961" i="3"/>
  <c r="BG961" i="3"/>
  <c r="AT962" i="3"/>
  <c r="AU962" i="3"/>
  <c r="AV962" i="3" s="1" a="1"/>
  <c r="AV962" i="3" s="1"/>
  <c r="AY962" i="3"/>
  <c r="AZ962" i="3"/>
  <c r="BA962" i="3"/>
  <c r="BB962" i="3"/>
  <c r="BC962" i="3"/>
  <c r="BD962" i="3"/>
  <c r="BE962" i="3"/>
  <c r="BF962" i="3"/>
  <c r="BG962" i="3"/>
  <c r="AT963" i="3"/>
  <c r="AW963" i="3" s="1" a="1"/>
  <c r="AW963" i="3" s="1"/>
  <c r="AU963" i="3"/>
  <c r="AV963" i="3" s="1" a="1"/>
  <c r="AV963" i="3" s="1"/>
  <c r="AY963" i="3"/>
  <c r="AZ963" i="3"/>
  <c r="BA963" i="3"/>
  <c r="BB963" i="3"/>
  <c r="BC963" i="3"/>
  <c r="BD963" i="3"/>
  <c r="BE963" i="3"/>
  <c r="BF963" i="3"/>
  <c r="BG963" i="3"/>
  <c r="AT964" i="3"/>
  <c r="AU964" i="3"/>
  <c r="AV964" i="3" s="1" a="1"/>
  <c r="AV964" i="3" s="1"/>
  <c r="AY964" i="3"/>
  <c r="AZ964" i="3"/>
  <c r="BA964" i="3"/>
  <c r="BB964" i="3"/>
  <c r="BC964" i="3"/>
  <c r="BD964" i="3"/>
  <c r="BE964" i="3"/>
  <c r="BF964" i="3"/>
  <c r="BG964" i="3"/>
  <c r="AT965" i="3"/>
  <c r="AW965" i="3" s="1" a="1"/>
  <c r="AW965" i="3" s="1"/>
  <c r="AU965" i="3"/>
  <c r="AV965" i="3" s="1" a="1"/>
  <c r="AV965" i="3" s="1"/>
  <c r="AY965" i="3"/>
  <c r="AZ965" i="3"/>
  <c r="BA965" i="3"/>
  <c r="BB965" i="3"/>
  <c r="BC965" i="3"/>
  <c r="BD965" i="3"/>
  <c r="BE965" i="3"/>
  <c r="BF965" i="3"/>
  <c r="BG965" i="3"/>
  <c r="AT966" i="3"/>
  <c r="AX966" i="3" s="1" a="1"/>
  <c r="AX966" i="3" s="1"/>
  <c r="AU966" i="3"/>
  <c r="AV966" i="3" s="1" a="1"/>
  <c r="AV966" i="3" s="1"/>
  <c r="AY966" i="3"/>
  <c r="AZ966" i="3"/>
  <c r="BA966" i="3"/>
  <c r="BB966" i="3"/>
  <c r="BC966" i="3"/>
  <c r="BD966" i="3"/>
  <c r="BE966" i="3"/>
  <c r="BF966" i="3"/>
  <c r="BG966" i="3"/>
  <c r="AT967" i="3"/>
  <c r="AW967" i="3" s="1" a="1"/>
  <c r="AW967" i="3" s="1"/>
  <c r="AU967" i="3"/>
  <c r="AV967" i="3" s="1" a="1"/>
  <c r="AV967" i="3" s="1"/>
  <c r="AY967" i="3"/>
  <c r="AZ967" i="3"/>
  <c r="BA967" i="3"/>
  <c r="BB967" i="3"/>
  <c r="BC967" i="3"/>
  <c r="BD967" i="3"/>
  <c r="BE967" i="3"/>
  <c r="BF967" i="3"/>
  <c r="BG967" i="3"/>
  <c r="AT968" i="3"/>
  <c r="AW968" i="3" s="1" a="1"/>
  <c r="AW968" i="3" s="1"/>
  <c r="AU968" i="3"/>
  <c r="AV968" i="3" s="1" a="1"/>
  <c r="AV968" i="3" s="1"/>
  <c r="AY968" i="3"/>
  <c r="AZ968" i="3"/>
  <c r="BA968" i="3"/>
  <c r="BB968" i="3"/>
  <c r="BC968" i="3"/>
  <c r="BD968" i="3"/>
  <c r="BE968" i="3"/>
  <c r="BF968" i="3"/>
  <c r="BG968" i="3"/>
  <c r="AT969" i="3"/>
  <c r="AU969" i="3"/>
  <c r="AV969" i="3" s="1" a="1"/>
  <c r="AV969" i="3" s="1"/>
  <c r="AY969" i="3"/>
  <c r="AZ969" i="3"/>
  <c r="BA969" i="3"/>
  <c r="BB969" i="3"/>
  <c r="BC969" i="3"/>
  <c r="BD969" i="3"/>
  <c r="BE969" i="3"/>
  <c r="BF969" i="3"/>
  <c r="BG969" i="3"/>
  <c r="AT970" i="3"/>
  <c r="AW970" i="3" s="1" a="1"/>
  <c r="AW970" i="3" s="1"/>
  <c r="AU970" i="3"/>
  <c r="AV970" i="3" s="1" a="1"/>
  <c r="AV970" i="3" s="1"/>
  <c r="AY970" i="3"/>
  <c r="AZ970" i="3"/>
  <c r="BA970" i="3"/>
  <c r="BB970" i="3"/>
  <c r="BC970" i="3"/>
  <c r="BD970" i="3"/>
  <c r="BE970" i="3"/>
  <c r="BF970" i="3"/>
  <c r="BG970" i="3"/>
  <c r="AT971" i="3"/>
  <c r="AW971" i="3" s="1" a="1"/>
  <c r="AW971" i="3" s="1"/>
  <c r="AU971" i="3"/>
  <c r="AV971" i="3" s="1" a="1"/>
  <c r="AV971" i="3" s="1"/>
  <c r="AY971" i="3"/>
  <c r="AZ971" i="3"/>
  <c r="BA971" i="3"/>
  <c r="BB971" i="3"/>
  <c r="BC971" i="3"/>
  <c r="BD971" i="3"/>
  <c r="BE971" i="3"/>
  <c r="BF971" i="3"/>
  <c r="BG971" i="3"/>
  <c r="AT972" i="3"/>
  <c r="AW972" i="3" s="1" a="1"/>
  <c r="AW972" i="3" s="1"/>
  <c r="AU972" i="3"/>
  <c r="AV972" i="3" s="1" a="1"/>
  <c r="AV972" i="3" s="1"/>
  <c r="AY972" i="3"/>
  <c r="AZ972" i="3"/>
  <c r="BA972" i="3"/>
  <c r="BB972" i="3"/>
  <c r="BC972" i="3"/>
  <c r="BD972" i="3"/>
  <c r="BE972" i="3"/>
  <c r="BF972" i="3"/>
  <c r="BG972" i="3"/>
  <c r="AT973" i="3"/>
  <c r="AX973" i="3" s="1" a="1"/>
  <c r="AX973" i="3" s="1"/>
  <c r="AU973" i="3"/>
  <c r="AV973" i="3" s="1" a="1"/>
  <c r="AV973" i="3" s="1"/>
  <c r="AY973" i="3"/>
  <c r="AZ973" i="3"/>
  <c r="BA973" i="3"/>
  <c r="BB973" i="3"/>
  <c r="BC973" i="3"/>
  <c r="BD973" i="3"/>
  <c r="BE973" i="3"/>
  <c r="BF973" i="3"/>
  <c r="BG973" i="3"/>
  <c r="AT974" i="3"/>
  <c r="AW974" i="3" s="1" a="1"/>
  <c r="AW974" i="3" s="1"/>
  <c r="AU974" i="3"/>
  <c r="AV974" i="3" s="1" a="1"/>
  <c r="AV974" i="3" s="1"/>
  <c r="AY974" i="3"/>
  <c r="AZ974" i="3"/>
  <c r="BA974" i="3"/>
  <c r="BB974" i="3"/>
  <c r="BC974" i="3"/>
  <c r="BD974" i="3"/>
  <c r="BE974" i="3"/>
  <c r="BF974" i="3"/>
  <c r="BG974" i="3"/>
  <c r="AT975" i="3"/>
  <c r="AW975" i="3" s="1" a="1"/>
  <c r="AW975" i="3" s="1"/>
  <c r="AU975" i="3"/>
  <c r="AV975" i="3" s="1" a="1"/>
  <c r="AV975" i="3" s="1"/>
  <c r="AY975" i="3"/>
  <c r="AZ975" i="3"/>
  <c r="BA975" i="3"/>
  <c r="BB975" i="3"/>
  <c r="BC975" i="3"/>
  <c r="BD975" i="3"/>
  <c r="BE975" i="3"/>
  <c r="BF975" i="3"/>
  <c r="BG975" i="3"/>
  <c r="AT976" i="3"/>
  <c r="AU976" i="3"/>
  <c r="AV976" i="3" s="1" a="1"/>
  <c r="AV976" i="3" s="1"/>
  <c r="AY976" i="3"/>
  <c r="AZ976" i="3"/>
  <c r="BA976" i="3"/>
  <c r="BB976" i="3"/>
  <c r="BC976" i="3"/>
  <c r="BD976" i="3"/>
  <c r="BE976" i="3"/>
  <c r="BF976" i="3"/>
  <c r="BG976" i="3"/>
  <c r="AT977" i="3"/>
  <c r="AW977" i="3" s="1" a="1"/>
  <c r="AW977" i="3" s="1"/>
  <c r="AU977" i="3"/>
  <c r="AV977" i="3" s="1" a="1"/>
  <c r="AV977" i="3" s="1"/>
  <c r="AY977" i="3"/>
  <c r="AZ977" i="3"/>
  <c r="BA977" i="3"/>
  <c r="BB977" i="3"/>
  <c r="BC977" i="3"/>
  <c r="BD977" i="3"/>
  <c r="BE977" i="3"/>
  <c r="BF977" i="3"/>
  <c r="BG977" i="3"/>
  <c r="AT978" i="3"/>
  <c r="AX978" i="3" s="1" a="1"/>
  <c r="AX978" i="3" s="1"/>
  <c r="AU978" i="3"/>
  <c r="AV978" i="3" s="1" a="1"/>
  <c r="AV978" i="3" s="1"/>
  <c r="AY978" i="3"/>
  <c r="AZ978" i="3"/>
  <c r="BA978" i="3"/>
  <c r="BB978" i="3"/>
  <c r="BC978" i="3"/>
  <c r="BD978" i="3"/>
  <c r="BE978" i="3"/>
  <c r="BF978" i="3"/>
  <c r="BG978" i="3"/>
  <c r="AT979" i="3"/>
  <c r="AW979" i="3" s="1" a="1"/>
  <c r="AW979" i="3" s="1"/>
  <c r="AU979" i="3"/>
  <c r="AV979" i="3" s="1" a="1"/>
  <c r="AV979" i="3" s="1"/>
  <c r="AY979" i="3"/>
  <c r="AZ979" i="3"/>
  <c r="BA979" i="3"/>
  <c r="BB979" i="3"/>
  <c r="BC979" i="3"/>
  <c r="BD979" i="3"/>
  <c r="BE979" i="3"/>
  <c r="BF979" i="3"/>
  <c r="BG979" i="3"/>
  <c r="AT980" i="3"/>
  <c r="AX980" i="3" s="1" a="1"/>
  <c r="AX980" i="3" s="1"/>
  <c r="AU980" i="3"/>
  <c r="AV980" i="3" s="1" a="1"/>
  <c r="AV980" i="3" s="1"/>
  <c r="AY980" i="3"/>
  <c r="AZ980" i="3"/>
  <c r="BA980" i="3"/>
  <c r="BB980" i="3"/>
  <c r="BC980" i="3"/>
  <c r="BD980" i="3"/>
  <c r="BE980" i="3"/>
  <c r="BF980" i="3"/>
  <c r="BG980" i="3"/>
  <c r="AT981" i="3"/>
  <c r="AU981" i="3"/>
  <c r="AV981" i="3" s="1" a="1"/>
  <c r="AV981" i="3" s="1"/>
  <c r="AY981" i="3"/>
  <c r="AZ981" i="3"/>
  <c r="BA981" i="3"/>
  <c r="BB981" i="3"/>
  <c r="BC981" i="3"/>
  <c r="BD981" i="3"/>
  <c r="BE981" i="3"/>
  <c r="BF981" i="3"/>
  <c r="BG981" i="3"/>
  <c r="AT982" i="3"/>
  <c r="AW982" i="3" s="1" a="1"/>
  <c r="AW982" i="3" s="1"/>
  <c r="AU982" i="3"/>
  <c r="AV982" i="3" s="1" a="1"/>
  <c r="AV982" i="3" s="1"/>
  <c r="AY982" i="3"/>
  <c r="AZ982" i="3"/>
  <c r="BA982" i="3"/>
  <c r="BB982" i="3"/>
  <c r="BC982" i="3"/>
  <c r="BD982" i="3"/>
  <c r="BE982" i="3"/>
  <c r="BF982" i="3"/>
  <c r="BG982" i="3"/>
  <c r="AT983" i="3"/>
  <c r="AX983" i="3" s="1" a="1"/>
  <c r="AX983" i="3" s="1"/>
  <c r="AU983" i="3"/>
  <c r="AV983" i="3" s="1" a="1"/>
  <c r="AV983" i="3" s="1"/>
  <c r="AY983" i="3"/>
  <c r="AZ983" i="3"/>
  <c r="BA983" i="3"/>
  <c r="BB983" i="3"/>
  <c r="BC983" i="3"/>
  <c r="BD983" i="3"/>
  <c r="BE983" i="3"/>
  <c r="BF983" i="3"/>
  <c r="BG983" i="3"/>
  <c r="AT984" i="3"/>
  <c r="AX984" i="3" s="1" a="1"/>
  <c r="AX984" i="3" s="1"/>
  <c r="AU984" i="3"/>
  <c r="AV984" i="3" s="1" a="1"/>
  <c r="AV984" i="3" s="1"/>
  <c r="AY984" i="3"/>
  <c r="AZ984" i="3"/>
  <c r="BA984" i="3"/>
  <c r="BB984" i="3"/>
  <c r="BC984" i="3"/>
  <c r="BD984" i="3"/>
  <c r="BE984" i="3"/>
  <c r="BF984" i="3"/>
  <c r="BG984" i="3"/>
  <c r="AT985" i="3"/>
  <c r="AW985" i="3" s="1" a="1"/>
  <c r="AW985" i="3" s="1"/>
  <c r="AU985" i="3"/>
  <c r="AV985" i="3" s="1" a="1"/>
  <c r="AV985" i="3" s="1"/>
  <c r="AY985" i="3"/>
  <c r="AZ985" i="3"/>
  <c r="BA985" i="3"/>
  <c r="BB985" i="3"/>
  <c r="BC985" i="3"/>
  <c r="BD985" i="3"/>
  <c r="BE985" i="3"/>
  <c r="BF985" i="3"/>
  <c r="BG985" i="3"/>
  <c r="AT986" i="3"/>
  <c r="AW986" i="3" s="1" a="1"/>
  <c r="AW986" i="3" s="1"/>
  <c r="AU986" i="3"/>
  <c r="AV986" i="3" s="1" a="1"/>
  <c r="AV986" i="3" s="1"/>
  <c r="AY986" i="3"/>
  <c r="AZ986" i="3"/>
  <c r="BA986" i="3"/>
  <c r="BB986" i="3"/>
  <c r="BC986" i="3"/>
  <c r="BD986" i="3"/>
  <c r="BE986" i="3"/>
  <c r="BF986" i="3"/>
  <c r="BG986" i="3"/>
  <c r="AT987" i="3"/>
  <c r="AW987" i="3" s="1" a="1"/>
  <c r="AW987" i="3" s="1"/>
  <c r="AU987" i="3"/>
  <c r="AV987" i="3" s="1" a="1"/>
  <c r="AV987" i="3" s="1"/>
  <c r="AY987" i="3"/>
  <c r="AZ987" i="3"/>
  <c r="BA987" i="3"/>
  <c r="BB987" i="3"/>
  <c r="BC987" i="3"/>
  <c r="BD987" i="3"/>
  <c r="BE987" i="3"/>
  <c r="BF987" i="3"/>
  <c r="BG987" i="3"/>
  <c r="AT988" i="3"/>
  <c r="AU988" i="3"/>
  <c r="AV988" i="3" s="1" a="1"/>
  <c r="AV988" i="3" s="1"/>
  <c r="AY988" i="3"/>
  <c r="AZ988" i="3"/>
  <c r="BA988" i="3"/>
  <c r="BB988" i="3"/>
  <c r="BC988" i="3"/>
  <c r="BD988" i="3"/>
  <c r="BE988" i="3"/>
  <c r="BF988" i="3"/>
  <c r="BG988" i="3"/>
  <c r="AT989" i="3"/>
  <c r="AX989" i="3" s="1" a="1"/>
  <c r="AX989" i="3" s="1"/>
  <c r="AU989" i="3"/>
  <c r="AV989" i="3" s="1" a="1"/>
  <c r="AV989" i="3" s="1"/>
  <c r="AY989" i="3"/>
  <c r="AZ989" i="3"/>
  <c r="BA989" i="3"/>
  <c r="BB989" i="3"/>
  <c r="BC989" i="3"/>
  <c r="BD989" i="3"/>
  <c r="BE989" i="3"/>
  <c r="BF989" i="3"/>
  <c r="BG989" i="3"/>
  <c r="AT990" i="3"/>
  <c r="AX990" i="3" s="1" a="1"/>
  <c r="AX990" i="3" s="1"/>
  <c r="AU990" i="3"/>
  <c r="AV990" i="3" s="1" a="1"/>
  <c r="AV990" i="3" s="1"/>
  <c r="AY990" i="3"/>
  <c r="AZ990" i="3"/>
  <c r="BA990" i="3"/>
  <c r="BB990" i="3"/>
  <c r="BC990" i="3"/>
  <c r="BD990" i="3"/>
  <c r="BE990" i="3"/>
  <c r="BF990" i="3"/>
  <c r="BG990" i="3"/>
  <c r="AT991" i="3"/>
  <c r="AW991" i="3" s="1" a="1"/>
  <c r="AW991" i="3" s="1"/>
  <c r="AU991" i="3"/>
  <c r="AV991" i="3" s="1" a="1"/>
  <c r="AV991" i="3" s="1"/>
  <c r="AY991" i="3"/>
  <c r="AZ991" i="3"/>
  <c r="BA991" i="3"/>
  <c r="BB991" i="3"/>
  <c r="BC991" i="3"/>
  <c r="BD991" i="3"/>
  <c r="BE991" i="3"/>
  <c r="BF991" i="3"/>
  <c r="BG991" i="3"/>
  <c r="AT992" i="3"/>
  <c r="AW992" i="3" s="1" a="1"/>
  <c r="AW992" i="3" s="1"/>
  <c r="AU992" i="3"/>
  <c r="AV992" i="3" s="1" a="1"/>
  <c r="AV992" i="3" s="1"/>
  <c r="AY992" i="3"/>
  <c r="AZ992" i="3"/>
  <c r="BA992" i="3"/>
  <c r="BB992" i="3"/>
  <c r="BC992" i="3"/>
  <c r="BD992" i="3"/>
  <c r="BE992" i="3"/>
  <c r="BF992" i="3"/>
  <c r="BG992" i="3"/>
  <c r="AT993" i="3"/>
  <c r="AW993" i="3" s="1" a="1"/>
  <c r="AW993" i="3" s="1"/>
  <c r="AU993" i="3"/>
  <c r="AV993" i="3" s="1" a="1"/>
  <c r="AV993" i="3" s="1"/>
  <c r="AY993" i="3"/>
  <c r="AZ993" i="3"/>
  <c r="BA993" i="3"/>
  <c r="BB993" i="3"/>
  <c r="BC993" i="3"/>
  <c r="BD993" i="3"/>
  <c r="BE993" i="3"/>
  <c r="BF993" i="3"/>
  <c r="BG993" i="3"/>
  <c r="AU246" i="3" l="1"/>
  <c r="AV246" i="3" s="1" a="1"/>
  <c r="AV246" i="3" s="1"/>
  <c r="AX826" i="3" a="1"/>
  <c r="AX826" i="3" s="1"/>
  <c r="AW726" i="3" a="1"/>
  <c r="AW726" i="3" s="1"/>
  <c r="AX725" i="3" a="1"/>
  <c r="AX725" i="3" s="1"/>
  <c r="AW216" i="3" a="1"/>
  <c r="AW216" i="3" s="1"/>
  <c r="AX893" i="3" a="1"/>
  <c r="AX893" i="3" s="1"/>
  <c r="AW721" i="3" a="1"/>
  <c r="AW721" i="3" s="1"/>
  <c r="AW696" i="3" a="1"/>
  <c r="AW696" i="3" s="1"/>
  <c r="AX683" i="3" a="1"/>
  <c r="AX683" i="3" s="1"/>
  <c r="AX584" i="3" a="1"/>
  <c r="AX584" i="3" s="1"/>
  <c r="AX583" i="3" a="1"/>
  <c r="AX583" i="3" s="1"/>
  <c r="AW142" i="3" a="1"/>
  <c r="AW142" i="3" s="1"/>
  <c r="AU202" i="3"/>
  <c r="AV202" i="3" s="1" a="1"/>
  <c r="AV202" i="3" s="1"/>
  <c r="AW923" i="3" a="1"/>
  <c r="AW923" i="3" s="1"/>
  <c r="AX846" i="3" a="1"/>
  <c r="AX846" i="3" s="1"/>
  <c r="AX335" i="3" a="1"/>
  <c r="AX335" i="3" s="1"/>
  <c r="AW926" i="3" a="1"/>
  <c r="AW926" i="3" s="1"/>
  <c r="AX925" i="3" a="1"/>
  <c r="AX925" i="3" s="1"/>
  <c r="AW398" i="3" a="1"/>
  <c r="AW398" i="3" s="1"/>
  <c r="AX397" i="3" a="1"/>
  <c r="AX397" i="3" s="1"/>
  <c r="AX257" i="3" a="1"/>
  <c r="AX257" i="3" s="1"/>
  <c r="AW311" i="3" a="1"/>
  <c r="AW311" i="3" s="1"/>
  <c r="AW286" i="3" a="1"/>
  <c r="AW286" i="3" s="1"/>
  <c r="AX285" i="3" a="1"/>
  <c r="AX285" i="3" s="1"/>
  <c r="AX284" i="3" a="1"/>
  <c r="AX284" i="3" s="1"/>
  <c r="AX283" i="3" a="1"/>
  <c r="AX283" i="3" s="1"/>
  <c r="AX256" i="3" a="1"/>
  <c r="AX256" i="3" s="1"/>
  <c r="AW176" i="3" a="1"/>
  <c r="AW176" i="3" s="1"/>
  <c r="AX175" i="3" a="1"/>
  <c r="AX175" i="3" s="1"/>
  <c r="AW8" i="3" a="1"/>
  <c r="AW8" i="3" s="1"/>
  <c r="AW7" i="3" a="1"/>
  <c r="AW7" i="3" s="1"/>
  <c r="AW805" i="3" a="1"/>
  <c r="AW805" i="3" s="1"/>
  <c r="AX405" i="3" a="1"/>
  <c r="AX405" i="3" s="1"/>
  <c r="AW848" i="3" a="1"/>
  <c r="AW848" i="3" s="1"/>
  <c r="AW121" i="3" a="1"/>
  <c r="AW121" i="3" s="1"/>
  <c r="AW891" i="3" a="1"/>
  <c r="AW891" i="3" s="1"/>
  <c r="AX890" i="3" a="1"/>
  <c r="AX890" i="3" s="1"/>
  <c r="AX889" i="3" a="1"/>
  <c r="AX889" i="3" s="1"/>
  <c r="AW508" i="3" a="1"/>
  <c r="AW508" i="3" s="1"/>
  <c r="AX293" i="3" a="1"/>
  <c r="AX293" i="3" s="1"/>
  <c r="AX292" i="3" a="1"/>
  <c r="AX292" i="3" s="1"/>
  <c r="AW76" i="3" a="1"/>
  <c r="AW76" i="3" s="1"/>
  <c r="AX790" i="3" a="1"/>
  <c r="AX790" i="3" s="1"/>
  <c r="AX788" i="3" a="1"/>
  <c r="AX788" i="3" s="1"/>
  <c r="AX877" i="3" a="1"/>
  <c r="AX877" i="3" s="1"/>
  <c r="AW626" i="3" a="1"/>
  <c r="AW626" i="3" s="1"/>
  <c r="AX498" i="3" a="1"/>
  <c r="AX498" i="3" s="1"/>
  <c r="AX126" i="3" a="1"/>
  <c r="AX126" i="3" s="1"/>
  <c r="AX125" i="3" a="1"/>
  <c r="AX125" i="3" s="1"/>
  <c r="AW66" i="3" a="1"/>
  <c r="AW66" i="3" s="1"/>
  <c r="AX65" i="3" a="1"/>
  <c r="AX65" i="3" s="1"/>
  <c r="AW810" i="3" a="1"/>
  <c r="AW810" i="3" s="1"/>
  <c r="AW795" i="3" a="1"/>
  <c r="AW795" i="3" s="1"/>
  <c r="AX747" i="3" a="1"/>
  <c r="AX747" i="3" s="1"/>
  <c r="AX539" i="3" a="1"/>
  <c r="AX539" i="3" s="1"/>
  <c r="AX752" i="3" a="1"/>
  <c r="AX752" i="3" s="1"/>
  <c r="AW447" i="3" a="1"/>
  <c r="AW447" i="3" s="1"/>
  <c r="AW253" i="3" a="1"/>
  <c r="AW253" i="3" s="1"/>
  <c r="AX252" i="3" a="1"/>
  <c r="AX252" i="3" s="1"/>
  <c r="AX236" i="3" a="1"/>
  <c r="AX236" i="3" s="1"/>
  <c r="AW186" i="3" a="1"/>
  <c r="AW186" i="3" s="1"/>
  <c r="AW185" i="3" a="1"/>
  <c r="AW185" i="3" s="1"/>
  <c r="AW140" i="3" a="1"/>
  <c r="AW140" i="3" s="1"/>
  <c r="AX43" i="3" a="1"/>
  <c r="AX43" i="3" s="1"/>
  <c r="AW905" i="3" a="1"/>
  <c r="AW905" i="3" s="1"/>
  <c r="AW884" i="3" a="1"/>
  <c r="AW884" i="3" s="1"/>
  <c r="AW896" i="3" a="1"/>
  <c r="AW896" i="3" s="1"/>
  <c r="AW887" i="3" a="1"/>
  <c r="AW887" i="3" s="1"/>
  <c r="AX647" i="3" a="1"/>
  <c r="AX647" i="3" s="1"/>
  <c r="AW706" i="3" a="1"/>
  <c r="AW706" i="3" s="1"/>
  <c r="AX703" i="3" a="1"/>
  <c r="AX703" i="3" s="1"/>
  <c r="AX620" i="3" a="1"/>
  <c r="AX620" i="3" s="1"/>
  <c r="AW192" i="3" a="1"/>
  <c r="AW192" i="3" s="1"/>
  <c r="AW250" i="3" a="1"/>
  <c r="AW250" i="3" s="1"/>
  <c r="AX233" i="3" a="1"/>
  <c r="AX233" i="3" s="1"/>
  <c r="AX786" i="3" a="1"/>
  <c r="AX786" i="3" s="1"/>
  <c r="AX592" i="3" a="1"/>
  <c r="AX592" i="3" s="1"/>
  <c r="AX771" i="3" a="1"/>
  <c r="AX771" i="3" s="1"/>
  <c r="AX625" i="3" a="1"/>
  <c r="AX625" i="3" s="1"/>
  <c r="AW622" i="3" a="1"/>
  <c r="AW622" i="3" s="1"/>
  <c r="AX238" i="3" a="1"/>
  <c r="AX238" i="3" s="1"/>
  <c r="AX94" i="3" a="1"/>
  <c r="AX94" i="3" s="1"/>
  <c r="AX90" i="3" a="1"/>
  <c r="AX90" i="3" s="1"/>
  <c r="AX958" i="3" a="1"/>
  <c r="AX958" i="3" s="1"/>
  <c r="AX466" i="3" a="1"/>
  <c r="AX466" i="3" s="1"/>
  <c r="AX451" i="3" a="1"/>
  <c r="AX451" i="3" s="1"/>
  <c r="AX366" i="3" a="1"/>
  <c r="AX366" i="3" s="1"/>
  <c r="AX365" i="3" a="1"/>
  <c r="AX365" i="3" s="1"/>
  <c r="AW364" i="3" a="1"/>
  <c r="AW364" i="3" s="1"/>
  <c r="AW238" i="3" a="1"/>
  <c r="AW238" i="3" s="1"/>
  <c r="AX93" i="3" a="1"/>
  <c r="AX93" i="3" s="1"/>
  <c r="AX92" i="3" a="1"/>
  <c r="AX92" i="3" s="1"/>
  <c r="AX975" i="3" a="1"/>
  <c r="AX975" i="3" s="1"/>
  <c r="AX974" i="3" a="1"/>
  <c r="AX974" i="3" s="1"/>
  <c r="AX929" i="3" a="1"/>
  <c r="AX929" i="3" s="1"/>
  <c r="AW814" i="3" a="1"/>
  <c r="AW814" i="3" s="1"/>
  <c r="AW713" i="3" a="1"/>
  <c r="AW713" i="3" s="1"/>
  <c r="AW580" i="3" a="1"/>
  <c r="AW580" i="3" s="1"/>
  <c r="AX395" i="3" a="1"/>
  <c r="AX395" i="3" s="1"/>
  <c r="AW243" i="3" a="1"/>
  <c r="AW243" i="3" s="1"/>
  <c r="AX242" i="3" a="1"/>
  <c r="AX242" i="3" s="1"/>
  <c r="AX241" i="3" a="1"/>
  <c r="AX241" i="3" s="1"/>
  <c r="AX240" i="3" a="1"/>
  <c r="AX240" i="3" s="1"/>
  <c r="AX74" i="3" a="1"/>
  <c r="AX74" i="3" s="1"/>
  <c r="AU243" i="3"/>
  <c r="AV243" i="3" s="1" a="1"/>
  <c r="AV243" i="3" s="1"/>
  <c r="AU242" i="3"/>
  <c r="AV242" i="3" s="1" a="1"/>
  <c r="AV242" i="3" s="1"/>
  <c r="AW241" i="3" a="1"/>
  <c r="AW241" i="3" s="1"/>
  <c r="AW240" i="3" a="1"/>
  <c r="AW240" i="3" s="1"/>
  <c r="AX819" i="3" a="1"/>
  <c r="AX819" i="3" s="1"/>
  <c r="AX934" i="3" a="1"/>
  <c r="AX934" i="3" s="1"/>
  <c r="AX853" i="3" a="1"/>
  <c r="AX853" i="3" s="1"/>
  <c r="AW821" i="3" a="1"/>
  <c r="AW821" i="3" s="1"/>
  <c r="AX735" i="3" a="1"/>
  <c r="AX735" i="3" s="1"/>
  <c r="AW665" i="3" a="1"/>
  <c r="AW665" i="3" s="1"/>
  <c r="AW652" i="3" a="1"/>
  <c r="AW652" i="3" s="1"/>
  <c r="AX651" i="3" a="1"/>
  <c r="AX651" i="3" s="1"/>
  <c r="AW133" i="3" a="1"/>
  <c r="AW133" i="3" s="1"/>
  <c r="AX58" i="3" a="1"/>
  <c r="AX58" i="3" s="1"/>
  <c r="AW881" i="3" a="1"/>
  <c r="AW881" i="3" s="1"/>
  <c r="AX879" i="3" a="1"/>
  <c r="AX879" i="3" s="1"/>
  <c r="AX872" i="3" a="1"/>
  <c r="AX872" i="3" s="1"/>
  <c r="AX855" i="3" a="1"/>
  <c r="AX855" i="3" s="1"/>
  <c r="AW762" i="3" a="1"/>
  <c r="AW762" i="3" s="1"/>
  <c r="AX761" i="3" a="1"/>
  <c r="AX761" i="3" s="1"/>
  <c r="AX650" i="3" a="1"/>
  <c r="AX650" i="3" s="1"/>
  <c r="AW556" i="3" a="1"/>
  <c r="AW556" i="3" s="1"/>
  <c r="AX555" i="3" a="1"/>
  <c r="AX555" i="3" s="1"/>
  <c r="AX314" i="3" a="1"/>
  <c r="AX314" i="3" s="1"/>
  <c r="AX265" i="3" a="1"/>
  <c r="AX265" i="3" s="1"/>
  <c r="AX212" i="3" a="1"/>
  <c r="AX212" i="3" s="1"/>
  <c r="AW170" i="3" a="1"/>
  <c r="AW170" i="3" s="1"/>
  <c r="AX62" i="3" a="1"/>
  <c r="AX62" i="3" s="1"/>
  <c r="AX937" i="3" a="1"/>
  <c r="AX937" i="3" s="1"/>
  <c r="AW917" i="3" a="1"/>
  <c r="AW917" i="3" s="1"/>
  <c r="AX878" i="3" a="1"/>
  <c r="AX878" i="3" s="1"/>
  <c r="AW764" i="3" a="1"/>
  <c r="AW764" i="3" s="1"/>
  <c r="AX636" i="3" a="1"/>
  <c r="AX636" i="3" s="1"/>
  <c r="AW459" i="3" a="1"/>
  <c r="AW459" i="3" s="1"/>
  <c r="AX373" i="3" a="1"/>
  <c r="AX373" i="3" s="1"/>
  <c r="AX231" i="3" a="1"/>
  <c r="AX231" i="3" s="1"/>
  <c r="AW104" i="3" a="1"/>
  <c r="AW104" i="3" s="1"/>
  <c r="AX31" i="3" a="1"/>
  <c r="AX31" i="3" s="1"/>
  <c r="AW984" i="3" a="1"/>
  <c r="AW984" i="3" s="1"/>
  <c r="AW956" i="3" a="1"/>
  <c r="AW956" i="3" s="1"/>
  <c r="AX955" i="3" a="1"/>
  <c r="AX955" i="3" s="1"/>
  <c r="AX920" i="3" a="1"/>
  <c r="AX920" i="3" s="1"/>
  <c r="AX567" i="3" a="1"/>
  <c r="AX567" i="3" s="1"/>
  <c r="AX418" i="3" a="1"/>
  <c r="AX418" i="3" s="1"/>
  <c r="AX264" i="3" a="1"/>
  <c r="AX264" i="3" s="1"/>
  <c r="AX226" i="3" a="1"/>
  <c r="AX226" i="3" s="1"/>
  <c r="AX946" i="3" a="1"/>
  <c r="AX946" i="3" s="1"/>
  <c r="AW834" i="3" a="1"/>
  <c r="AW834" i="3" s="1"/>
  <c r="AX833" i="3" a="1"/>
  <c r="AX833" i="3" s="1"/>
  <c r="AW948" i="3" a="1"/>
  <c r="AW948" i="3" s="1"/>
  <c r="AX841" i="3" a="1"/>
  <c r="AX841" i="3" s="1"/>
  <c r="AX728" i="3" a="1"/>
  <c r="AX728" i="3" s="1"/>
  <c r="AX615" i="3" a="1"/>
  <c r="AX615" i="3" s="1"/>
  <c r="AX538" i="3" a="1"/>
  <c r="AX538" i="3" s="1"/>
  <c r="AX102" i="3" a="1"/>
  <c r="AX102" i="3" s="1"/>
  <c r="AX941" i="3" a="1"/>
  <c r="AX941" i="3" s="1"/>
  <c r="AX928" i="3" a="1"/>
  <c r="AX928" i="3" s="1"/>
  <c r="AX807" i="3" a="1"/>
  <c r="AX807" i="3" s="1"/>
  <c r="AX781" i="3" a="1"/>
  <c r="AX781" i="3" s="1"/>
  <c r="AX757" i="3" a="1"/>
  <c r="AX757" i="3" s="1"/>
  <c r="AW566" i="3" a="1"/>
  <c r="AW566" i="3" s="1"/>
  <c r="AW565" i="3" a="1"/>
  <c r="AW565" i="3" s="1"/>
  <c r="AX564" i="3" a="1"/>
  <c r="AX564" i="3" s="1"/>
  <c r="AX563" i="3" a="1"/>
  <c r="AX563" i="3" s="1"/>
  <c r="AW525" i="3" a="1"/>
  <c r="AW525" i="3" s="1"/>
  <c r="AX524" i="3" a="1"/>
  <c r="AX524" i="3" s="1"/>
  <c r="AW503" i="3" a="1"/>
  <c r="AW503" i="3" s="1"/>
  <c r="AX317" i="3" a="1"/>
  <c r="AX317" i="3" s="1"/>
  <c r="AX14" i="3" a="1"/>
  <c r="AX14" i="3" s="1"/>
  <c r="AW943" i="3" a="1"/>
  <c r="AW943" i="3" s="1"/>
  <c r="AW940" i="3" a="1"/>
  <c r="AW940" i="3" s="1"/>
  <c r="AW882" i="3" a="1"/>
  <c r="AW882" i="3" s="1"/>
  <c r="AX838" i="3" a="1"/>
  <c r="AX838" i="3" s="1"/>
  <c r="AW812" i="3" a="1"/>
  <c r="AW812" i="3" s="1"/>
  <c r="AW614" i="3" a="1"/>
  <c r="AW614" i="3" s="1"/>
  <c r="AW613" i="3" a="1"/>
  <c r="AW613" i="3" s="1"/>
  <c r="AX612" i="3" a="1"/>
  <c r="AX612" i="3" s="1"/>
  <c r="AX611" i="3" a="1"/>
  <c r="AX611" i="3" s="1"/>
  <c r="AW342" i="3" a="1"/>
  <c r="AW342" i="3" s="1"/>
  <c r="AX341" i="3" a="1"/>
  <c r="AX341" i="3" s="1"/>
  <c r="AX340" i="3" a="1"/>
  <c r="AX340" i="3" s="1"/>
  <c r="AW338" i="3" a="1"/>
  <c r="AW338" i="3" s="1"/>
  <c r="AX245" i="3" a="1"/>
  <c r="AX245" i="3" s="1"/>
  <c r="AW182" i="3" a="1"/>
  <c r="AW182" i="3" s="1"/>
  <c r="AX180" i="3" a="1"/>
  <c r="AX180" i="3" s="1"/>
  <c r="AX101" i="3" a="1"/>
  <c r="AX101" i="3" s="1"/>
  <c r="AW17" i="3" a="1"/>
  <c r="AW17" i="3" s="1"/>
  <c r="AW16" i="3" a="1"/>
  <c r="AW16" i="3" s="1"/>
  <c r="AX977" i="3" a="1"/>
  <c r="AX977" i="3" s="1"/>
  <c r="AX902" i="3" a="1"/>
  <c r="AX902" i="3" s="1"/>
  <c r="AW601" i="3" a="1"/>
  <c r="AW601" i="3" s="1"/>
  <c r="AX600" i="3" a="1"/>
  <c r="AX600" i="3" s="1"/>
  <c r="AX599" i="3" a="1"/>
  <c r="AX599" i="3" s="1"/>
  <c r="AX591" i="3" a="1"/>
  <c r="AX591" i="3" s="1"/>
  <c r="AX575" i="3" a="1"/>
  <c r="AX575" i="3" s="1"/>
  <c r="AX548" i="3" a="1"/>
  <c r="AX548" i="3" s="1"/>
  <c r="AW346" i="3" a="1"/>
  <c r="AW346" i="3" s="1"/>
  <c r="AX251" i="3" a="1"/>
  <c r="AX251" i="3" s="1"/>
  <c r="AX82" i="3" a="1"/>
  <c r="AX82" i="3" s="1"/>
  <c r="AX80" i="3" a="1"/>
  <c r="AX80" i="3" s="1"/>
  <c r="AX52" i="3" a="1"/>
  <c r="AX52" i="3" s="1"/>
  <c r="AX547" i="3" a="1"/>
  <c r="AX547" i="3" s="1"/>
  <c r="AX278" i="3" a="1"/>
  <c r="AX278" i="3" s="1"/>
  <c r="AW148" i="3" a="1"/>
  <c r="AW148" i="3" s="1"/>
  <c r="AX55" i="3" a="1"/>
  <c r="AX55" i="3" s="1"/>
  <c r="AW3" i="3" a="1"/>
  <c r="AW3" i="3" s="1"/>
  <c r="AX972" i="3" a="1"/>
  <c r="AX972" i="3" s="1"/>
  <c r="AW901" i="3" a="1"/>
  <c r="AW901" i="3" s="1"/>
  <c r="AW857" i="3" a="1"/>
  <c r="AW857" i="3" s="1"/>
  <c r="AW824" i="3" a="1"/>
  <c r="AW824" i="3" s="1"/>
  <c r="AW598" i="3" a="1"/>
  <c r="AW598" i="3" s="1"/>
  <c r="AW515" i="3" a="1"/>
  <c r="AW515" i="3" s="1"/>
  <c r="AX514" i="3" a="1"/>
  <c r="AX514" i="3" s="1"/>
  <c r="AX431" i="3" a="1"/>
  <c r="AX431" i="3" s="1"/>
  <c r="AW351" i="3" a="1"/>
  <c r="AW351" i="3" s="1"/>
  <c r="AW773" i="3" a="1"/>
  <c r="AW773" i="3" s="1"/>
  <c r="AX660" i="3" a="1"/>
  <c r="AX660" i="3" s="1"/>
  <c r="AW658" i="3" a="1"/>
  <c r="AW658" i="3" s="1"/>
  <c r="AW639" i="3" a="1"/>
  <c r="AW639" i="3" s="1"/>
  <c r="AX635" i="3" a="1"/>
  <c r="AX635" i="3" s="1"/>
  <c r="AW634" i="3" a="1"/>
  <c r="AW634" i="3" s="1"/>
  <c r="AW478" i="3" a="1"/>
  <c r="AW478" i="3" s="1"/>
  <c r="AX477" i="3" a="1"/>
  <c r="AX477" i="3" s="1"/>
  <c r="AW476" i="3" a="1"/>
  <c r="AW476" i="3" s="1"/>
  <c r="AX307" i="3" a="1"/>
  <c r="AX307" i="3" s="1"/>
  <c r="AW288" i="3" a="1"/>
  <c r="AW288" i="3" s="1"/>
  <c r="AW59" i="3" a="1"/>
  <c r="AW59" i="3" s="1"/>
  <c r="AX467" i="3" a="1"/>
  <c r="AX467" i="3" s="1"/>
  <c r="AW467" i="3" a="1"/>
  <c r="AW467" i="3" s="1"/>
  <c r="AX329" i="3" a="1"/>
  <c r="AX329" i="3" s="1"/>
  <c r="AW329" i="3" a="1"/>
  <c r="AW329" i="3" s="1"/>
  <c r="AW526" i="3" a="1"/>
  <c r="AW526" i="3" s="1"/>
  <c r="AX526" i="3" a="1"/>
  <c r="AX526" i="3" s="1"/>
  <c r="AW454" i="3" a="1"/>
  <c r="AW454" i="3" s="1"/>
  <c r="AX454" i="3" a="1"/>
  <c r="AX454" i="3" s="1"/>
  <c r="AW330" i="3" a="1"/>
  <c r="AW330" i="3" s="1"/>
  <c r="AX330" i="3" a="1"/>
  <c r="AX330" i="3" s="1"/>
  <c r="AW754" i="3" a="1"/>
  <c r="AW754" i="3" s="1"/>
  <c r="AX750" i="3" a="1"/>
  <c r="AX750" i="3" s="1"/>
  <c r="AW749" i="3" a="1"/>
  <c r="AW749" i="3" s="1"/>
  <c r="AW700" i="3" a="1"/>
  <c r="AW700" i="3" s="1"/>
  <c r="AX700" i="3" a="1"/>
  <c r="AX700" i="3" s="1"/>
  <c r="AX375" i="3" a="1"/>
  <c r="AX375" i="3" s="1"/>
  <c r="AW375" i="3" a="1"/>
  <c r="AW375" i="3" s="1"/>
  <c r="AW701" i="3" a="1"/>
  <c r="AW701" i="3" s="1"/>
  <c r="AX701" i="3" a="1"/>
  <c r="AX701" i="3" s="1"/>
  <c r="AX675" i="3" a="1"/>
  <c r="AX675" i="3" s="1"/>
  <c r="AW675" i="3" a="1"/>
  <c r="AW675" i="3" s="1"/>
  <c r="AW674" i="3" a="1"/>
  <c r="AW674" i="3" s="1"/>
  <c r="AX674" i="3" a="1"/>
  <c r="AX674" i="3" s="1"/>
  <c r="AW488" i="3" a="1"/>
  <c r="AW488" i="3" s="1"/>
  <c r="AX488" i="3" a="1"/>
  <c r="AX488" i="3" s="1"/>
  <c r="AW489" i="3" a="1"/>
  <c r="AW489" i="3" s="1"/>
  <c r="AX489" i="3" a="1"/>
  <c r="AX489" i="3" s="1"/>
  <c r="AW336" i="3" a="1"/>
  <c r="AW336" i="3" s="1"/>
  <c r="AX336" i="3" a="1"/>
  <c r="AX336" i="3" s="1"/>
  <c r="AW697" i="3" a="1"/>
  <c r="AW697" i="3" s="1"/>
  <c r="AX697" i="3" a="1"/>
  <c r="AX697" i="3" s="1"/>
  <c r="AW859" i="3" a="1"/>
  <c r="AW859" i="3" s="1"/>
  <c r="AX854" i="3" a="1"/>
  <c r="AX854" i="3" s="1"/>
  <c r="AW681" i="3" a="1"/>
  <c r="AW681" i="3" s="1"/>
  <c r="AX680" i="3" a="1"/>
  <c r="AX680" i="3" s="1"/>
  <c r="AW490" i="3" a="1"/>
  <c r="AW490" i="3" s="1"/>
  <c r="AX490" i="3" a="1"/>
  <c r="AX490" i="3" s="1"/>
  <c r="AW337" i="3" a="1"/>
  <c r="AW337" i="3" s="1"/>
  <c r="AX337" i="3" a="1"/>
  <c r="AX337" i="3" s="1"/>
  <c r="AW318" i="3" a="1"/>
  <c r="AW318" i="3" s="1"/>
  <c r="AX318" i="3" a="1"/>
  <c r="AX318" i="3" s="1"/>
  <c r="AW718" i="3" a="1"/>
  <c r="AW718" i="3" s="1"/>
  <c r="AX718" i="3" a="1"/>
  <c r="AX718" i="3" s="1"/>
  <c r="AX970" i="3" a="1"/>
  <c r="AX970" i="3" s="1"/>
  <c r="AX993" i="3" a="1"/>
  <c r="AX993" i="3" s="1"/>
  <c r="AW914" i="3" a="1"/>
  <c r="AW914" i="3" s="1"/>
  <c r="AW869" i="3" a="1"/>
  <c r="AW869" i="3" s="1"/>
  <c r="AW745" i="3" a="1"/>
  <c r="AW745" i="3" s="1"/>
  <c r="AX745" i="3" a="1"/>
  <c r="AX745" i="3" s="1"/>
  <c r="AX654" i="3" a="1"/>
  <c r="AX654" i="3" s="1"/>
  <c r="AW654" i="3" a="1"/>
  <c r="AW654" i="3" s="1"/>
  <c r="AX963" i="3" a="1"/>
  <c r="AX963" i="3" s="1"/>
  <c r="AX982" i="3" a="1"/>
  <c r="AX982" i="3" s="1"/>
  <c r="AX968" i="3" a="1"/>
  <c r="AX968" i="3" s="1"/>
  <c r="AW913" i="3" a="1"/>
  <c r="AW913" i="3" s="1"/>
  <c r="AW684" i="3" a="1"/>
  <c r="AW684" i="3" s="1"/>
  <c r="AX684" i="3" a="1"/>
  <c r="AX684" i="3" s="1"/>
  <c r="AX399" i="3" a="1"/>
  <c r="AX399" i="3" s="1"/>
  <c r="AW399" i="3" a="1"/>
  <c r="AW399" i="3" s="1"/>
  <c r="AX979" i="3" a="1"/>
  <c r="AX979" i="3" s="1"/>
  <c r="AX965" i="3" a="1"/>
  <c r="AX965" i="3" s="1"/>
  <c r="AW919" i="3" a="1"/>
  <c r="AW919" i="3" s="1"/>
  <c r="AX908" i="3" a="1"/>
  <c r="AX908" i="3" s="1"/>
  <c r="AX797" i="3" a="1"/>
  <c r="AX797" i="3" s="1"/>
  <c r="AW711" i="3" a="1"/>
  <c r="AW711" i="3" s="1"/>
  <c r="AX711" i="3" a="1"/>
  <c r="AX711" i="3" s="1"/>
  <c r="AX667" i="3" a="1"/>
  <c r="AX667" i="3" s="1"/>
  <c r="AW628" i="3" a="1"/>
  <c r="AW628" i="3" s="1"/>
  <c r="AX627" i="3" a="1"/>
  <c r="AX627" i="3" s="1"/>
  <c r="AW533" i="3" a="1"/>
  <c r="AW533" i="3" s="1"/>
  <c r="AX533" i="3" a="1"/>
  <c r="AX533" i="3" s="1"/>
  <c r="AW989" i="3" a="1"/>
  <c r="AW989" i="3" s="1"/>
  <c r="AW961" i="3" a="1"/>
  <c r="AW961" i="3" s="1"/>
  <c r="AW911" i="3" a="1"/>
  <c r="AW911" i="3" s="1"/>
  <c r="AW730" i="3" a="1"/>
  <c r="AW730" i="3" s="1"/>
  <c r="AW695" i="3" a="1"/>
  <c r="AW695" i="3" s="1"/>
  <c r="AW689" i="3" a="1"/>
  <c r="AW689" i="3" s="1"/>
  <c r="AX689" i="3" a="1"/>
  <c r="AX689" i="3" s="1"/>
  <c r="AW659" i="3" a="1"/>
  <c r="AW659" i="3" s="1"/>
  <c r="AX659" i="3" a="1"/>
  <c r="AX659" i="3" s="1"/>
  <c r="AX519" i="3" a="1"/>
  <c r="AX519" i="3" s="1"/>
  <c r="AW519" i="3" a="1"/>
  <c r="AW519" i="3" s="1"/>
  <c r="AW907" i="3" a="1"/>
  <c r="AW907" i="3" s="1"/>
  <c r="AX798" i="3" a="1"/>
  <c r="AX798" i="3" s="1"/>
  <c r="AW798" i="3" a="1"/>
  <c r="AW798" i="3" s="1"/>
  <c r="AW668" i="3" a="1"/>
  <c r="AW668" i="3" s="1"/>
  <c r="AX668" i="3" a="1"/>
  <c r="AX668" i="3" s="1"/>
  <c r="AX520" i="3" a="1"/>
  <c r="AX520" i="3" s="1"/>
  <c r="AW520" i="3" a="1"/>
  <c r="AW520" i="3" s="1"/>
  <c r="AW500" i="3" a="1"/>
  <c r="AW500" i="3" s="1"/>
  <c r="AX500" i="3" a="1"/>
  <c r="AX500" i="3" s="1"/>
  <c r="AX426" i="3" a="1"/>
  <c r="AX426" i="3" s="1"/>
  <c r="AX409" i="3" a="1"/>
  <c r="AX409" i="3" s="1"/>
  <c r="AW372" i="3" a="1"/>
  <c r="AW372" i="3" s="1"/>
  <c r="AW355" i="3" a="1"/>
  <c r="AW355" i="3" s="1"/>
  <c r="AX354" i="3" a="1"/>
  <c r="AX354" i="3" s="1"/>
  <c r="AX280" i="3" a="1"/>
  <c r="AX280" i="3" s="1"/>
  <c r="AX274" i="3" a="1"/>
  <c r="AX274" i="3" s="1"/>
  <c r="AW273" i="3" a="1"/>
  <c r="AW273" i="3" s="1"/>
  <c r="AX272" i="3" a="1"/>
  <c r="AX272" i="3" s="1"/>
  <c r="AW269" i="3" a="1"/>
  <c r="AW269" i="3" s="1"/>
  <c r="AW231" i="3" a="1"/>
  <c r="AW231" i="3" s="1"/>
  <c r="AX230" i="3" a="1"/>
  <c r="AX230" i="3" s="1"/>
  <c r="AX229" i="3" a="1"/>
  <c r="AX229" i="3" s="1"/>
  <c r="AX228" i="3" a="1"/>
  <c r="AX228" i="3" s="1"/>
  <c r="AW214" i="3" a="1"/>
  <c r="AW214" i="3" s="1"/>
  <c r="AX193" i="3" a="1"/>
  <c r="AX193" i="3" s="1"/>
  <c r="AX189" i="3" a="1"/>
  <c r="AX189" i="3" s="1"/>
  <c r="AW179" i="3" a="1"/>
  <c r="AW179" i="3" s="1"/>
  <c r="AX178" i="3" a="1"/>
  <c r="AX178" i="3" s="1"/>
  <c r="AX177" i="3" a="1"/>
  <c r="AX177" i="3" s="1"/>
  <c r="AW164" i="3" a="1"/>
  <c r="AW164" i="3" s="1"/>
  <c r="AW119" i="3" a="1"/>
  <c r="AW119" i="3" s="1"/>
  <c r="AX118" i="3" a="1"/>
  <c r="AX118" i="3" s="1"/>
  <c r="AX114" i="3" a="1"/>
  <c r="AX114" i="3" s="1"/>
  <c r="AX107" i="3" a="1"/>
  <c r="AX107" i="3" s="1"/>
  <c r="AW71" i="3" a="1"/>
  <c r="AW71" i="3" s="1"/>
  <c r="AX70" i="3" a="1"/>
  <c r="AX70" i="3" s="1"/>
  <c r="AX69" i="3" a="1"/>
  <c r="AX69" i="3" s="1"/>
  <c r="AX68" i="3" a="1"/>
  <c r="AX68" i="3" s="1"/>
  <c r="AX425" i="3" a="1"/>
  <c r="AX425" i="3" s="1"/>
  <c r="AW421" i="3" a="1"/>
  <c r="AW421" i="3" s="1"/>
  <c r="AX420" i="3" a="1"/>
  <c r="AX420" i="3" s="1"/>
  <c r="AX408" i="3" a="1"/>
  <c r="AX408" i="3" s="1"/>
  <c r="AW369" i="3" a="1"/>
  <c r="AW369" i="3" s="1"/>
  <c r="AW362" i="3" a="1"/>
  <c r="AW362" i="3" s="1"/>
  <c r="AW271" i="3" a="1"/>
  <c r="AW271" i="3" s="1"/>
  <c r="AX266" i="3" a="1"/>
  <c r="AX266" i="3" s="1"/>
  <c r="AU230" i="3"/>
  <c r="AV230" i="3" s="1" a="1"/>
  <c r="AV230" i="3" s="1"/>
  <c r="AW229" i="3" a="1"/>
  <c r="AW229" i="3" s="1"/>
  <c r="AX117" i="3" a="1"/>
  <c r="AX117" i="3" s="1"/>
  <c r="AX116" i="3" a="1"/>
  <c r="AX116" i="3" s="1"/>
  <c r="AX106" i="3" a="1"/>
  <c r="AX106" i="3" s="1"/>
  <c r="AX67" i="3" a="1"/>
  <c r="AX67" i="3" s="1"/>
  <c r="AW112" i="3" a="1"/>
  <c r="AW112" i="3" s="1"/>
  <c r="AW239" i="3" a="1"/>
  <c r="AW239" i="3" s="1"/>
  <c r="AX41" i="3" a="1"/>
  <c r="AX41" i="3" s="1"/>
  <c r="AX38" i="3" a="1"/>
  <c r="AX38" i="3" s="1"/>
  <c r="AX702" i="3" a="1"/>
  <c r="AX702" i="3" s="1"/>
  <c r="AX644" i="3" a="1"/>
  <c r="AX644" i="3" s="1"/>
  <c r="AW590" i="3" a="1"/>
  <c r="AW590" i="3" s="1"/>
  <c r="AW589" i="3" a="1"/>
  <c r="AW589" i="3" s="1"/>
  <c r="AX588" i="3" a="1"/>
  <c r="AX588" i="3" s="1"/>
  <c r="AX572" i="3" a="1"/>
  <c r="AX572" i="3" s="1"/>
  <c r="AX546" i="3" a="1"/>
  <c r="AX546" i="3" s="1"/>
  <c r="AX385" i="3" a="1"/>
  <c r="AX385" i="3" s="1"/>
  <c r="AW298" i="3" a="1"/>
  <c r="AW298" i="3" s="1"/>
  <c r="AX262" i="3" a="1"/>
  <c r="AX262" i="3" s="1"/>
  <c r="AX204" i="3" a="1"/>
  <c r="AX204" i="3" s="1"/>
  <c r="AX33" i="3" a="1"/>
  <c r="AX33" i="3" s="1"/>
  <c r="AX30" i="3" a="1"/>
  <c r="AX30" i="3" s="1"/>
  <c r="AX29" i="3" a="1"/>
  <c r="AX29" i="3" s="1"/>
  <c r="AW610" i="3" a="1"/>
  <c r="AW610" i="3" s="1"/>
  <c r="AW581" i="3" a="1"/>
  <c r="AW581" i="3" s="1"/>
  <c r="AW574" i="3" a="1"/>
  <c r="AW574" i="3" s="1"/>
  <c r="AW553" i="3" a="1"/>
  <c r="AW553" i="3" s="1"/>
  <c r="AW552" i="3" a="1"/>
  <c r="AW552" i="3" s="1"/>
  <c r="AX221" i="3" a="1"/>
  <c r="AX221" i="3" s="1"/>
  <c r="AX203" i="3" a="1"/>
  <c r="AX203" i="3" s="1"/>
  <c r="AX200" i="3" a="1"/>
  <c r="AX200" i="3" s="1"/>
  <c r="AX89" i="3" a="1"/>
  <c r="AX89" i="3" s="1"/>
  <c r="AX56" i="3" a="1"/>
  <c r="AX56" i="3" s="1"/>
  <c r="AW35" i="3" a="1"/>
  <c r="AW35" i="3" s="1"/>
  <c r="AX26" i="3" a="1"/>
  <c r="AX26" i="3" s="1"/>
  <c r="AX18" i="3" a="1"/>
  <c r="AX18" i="3" s="1"/>
  <c r="AX4" i="3" a="1"/>
  <c r="AX4" i="3" s="1"/>
  <c r="AW545" i="3" a="1"/>
  <c r="AW545" i="3" s="1"/>
  <c r="AW449" i="3" a="1"/>
  <c r="AW449" i="3" s="1"/>
  <c r="AX442" i="3" a="1"/>
  <c r="AX442" i="3" s="1"/>
  <c r="AX389" i="3" a="1"/>
  <c r="AX389" i="3" s="1"/>
  <c r="AW388" i="3" a="1"/>
  <c r="AW388" i="3" s="1"/>
  <c r="AX248" i="3" a="1"/>
  <c r="AX248" i="3" s="1"/>
  <c r="AW202" i="3" a="1"/>
  <c r="AW202" i="3" s="1"/>
  <c r="AW155" i="3" a="1"/>
  <c r="AW155" i="3" s="1"/>
  <c r="AW83" i="3" a="1"/>
  <c r="AW83" i="3" s="1"/>
  <c r="AW78" i="3" a="1"/>
  <c r="AW78" i="3" s="1"/>
  <c r="AX77" i="3" a="1"/>
  <c r="AX77" i="3" s="1"/>
  <c r="AW53" i="3" a="1"/>
  <c r="AW53" i="3" s="1"/>
  <c r="AW23" i="3" a="1"/>
  <c r="AW23" i="3" s="1"/>
  <c r="AX22" i="3" a="1"/>
  <c r="AX22" i="3" s="1"/>
  <c r="AW9" i="3" a="1"/>
  <c r="AW9" i="3" s="1"/>
  <c r="AW151" i="3" a="1"/>
  <c r="AW151" i="3" s="1"/>
  <c r="AX410" i="3" a="1"/>
  <c r="AX410" i="3" s="1"/>
  <c r="AX328" i="3" a="1"/>
  <c r="AX328" i="3" s="1"/>
  <c r="AX150" i="3" a="1"/>
  <c r="AX150" i="3" s="1"/>
  <c r="AX149" i="3" a="1"/>
  <c r="AX149" i="3" s="1"/>
  <c r="AW491" i="3" a="1"/>
  <c r="AW491" i="3" s="1"/>
  <c r="AX313" i="3" a="1"/>
  <c r="AX313" i="3" s="1"/>
  <c r="AW310" i="3" a="1"/>
  <c r="AW310" i="3" s="1"/>
  <c r="AX308" i="3" a="1"/>
  <c r="AX308" i="3" s="1"/>
  <c r="AW305" i="3" a="1"/>
  <c r="AW305" i="3" s="1"/>
  <c r="AW209" i="3" a="1"/>
  <c r="AW209" i="3" s="1"/>
  <c r="AX181" i="3" a="1"/>
  <c r="AX181" i="3" s="1"/>
  <c r="AX145" i="3" a="1"/>
  <c r="AX145" i="3" s="1"/>
  <c r="AW124" i="3" a="1"/>
  <c r="AW124" i="3" s="1"/>
  <c r="AW766" i="3" a="1"/>
  <c r="AW766" i="3" s="1"/>
  <c r="AX766" i="3" a="1"/>
  <c r="AX766" i="3" s="1"/>
  <c r="AX602" i="3" a="1"/>
  <c r="AX602" i="3" s="1"/>
  <c r="AW602" i="3" a="1"/>
  <c r="AW602" i="3" s="1"/>
  <c r="AW858" i="3" a="1"/>
  <c r="AW858" i="3" s="1"/>
  <c r="AX858" i="3" a="1"/>
  <c r="AX858" i="3" s="1"/>
  <c r="AW623" i="3" a="1"/>
  <c r="AW623" i="3" s="1"/>
  <c r="AX623" i="3" a="1"/>
  <c r="AX623" i="3" s="1"/>
  <c r="AW603" i="3" a="1"/>
  <c r="AW603" i="3" s="1"/>
  <c r="AX603" i="3" a="1"/>
  <c r="AX603" i="3" s="1"/>
  <c r="AW983" i="3" a="1"/>
  <c r="AW983" i="3" s="1"/>
  <c r="AX817" i="3" a="1"/>
  <c r="AX817" i="3" s="1"/>
  <c r="AW676" i="3" a="1"/>
  <c r="AW676" i="3" s="1"/>
  <c r="AX676" i="3" a="1"/>
  <c r="AX676" i="3" s="1"/>
  <c r="AW669" i="3" a="1"/>
  <c r="AW669" i="3" s="1"/>
  <c r="AX633" i="3" a="1"/>
  <c r="AX633" i="3" s="1"/>
  <c r="AW633" i="3" a="1"/>
  <c r="AW633" i="3" s="1"/>
  <c r="AX143" i="3" a="1"/>
  <c r="AX143" i="3" s="1"/>
  <c r="AW143" i="3" a="1"/>
  <c r="AW143" i="3" s="1"/>
  <c r="AX593" i="3" a="1"/>
  <c r="AX593" i="3" s="1"/>
  <c r="AW593" i="3" a="1"/>
  <c r="AW593" i="3" s="1"/>
  <c r="AW464" i="3" a="1"/>
  <c r="AW464" i="3" s="1"/>
  <c r="AX464" i="3" a="1"/>
  <c r="AX464" i="3" s="1"/>
  <c r="AW716" i="3" a="1"/>
  <c r="AW716" i="3" s="1"/>
  <c r="AX716" i="3" a="1"/>
  <c r="AX716" i="3" s="1"/>
  <c r="AW709" i="3" a="1"/>
  <c r="AW709" i="3" s="1"/>
  <c r="AX709" i="3" a="1"/>
  <c r="AX709" i="3" s="1"/>
  <c r="AW671" i="3" a="1"/>
  <c r="AW671" i="3" s="1"/>
  <c r="AX671" i="3" a="1"/>
  <c r="AX671" i="3" s="1"/>
  <c r="AW568" i="3" a="1"/>
  <c r="AW568" i="3" s="1"/>
  <c r="AX568" i="3" a="1"/>
  <c r="AX568" i="3" s="1"/>
  <c r="AW502" i="3" a="1"/>
  <c r="AW502" i="3" s="1"/>
  <c r="AX502" i="3" a="1"/>
  <c r="AX502" i="3" s="1"/>
  <c r="AX960" i="3" a="1"/>
  <c r="AX960" i="3" s="1"/>
  <c r="AW935" i="3" a="1"/>
  <c r="AW935" i="3" s="1"/>
  <c r="AX865" i="3" a="1"/>
  <c r="AX865" i="3" s="1"/>
  <c r="AW836" i="3" a="1"/>
  <c r="AW836" i="3" s="1"/>
  <c r="AX836" i="3" a="1"/>
  <c r="AX836" i="3" s="1"/>
  <c r="AX809" i="3" a="1"/>
  <c r="AX809" i="3" s="1"/>
  <c r="AW793" i="3" a="1"/>
  <c r="AW793" i="3" s="1"/>
  <c r="AX793" i="3" a="1"/>
  <c r="AX793" i="3" s="1"/>
  <c r="AW663" i="3" a="1"/>
  <c r="AW663" i="3" s="1"/>
  <c r="AX661" i="3" a="1"/>
  <c r="AX661" i="3" s="1"/>
  <c r="AX586" i="3" a="1"/>
  <c r="AX586" i="3" s="1"/>
  <c r="AW586" i="3" a="1"/>
  <c r="AW586" i="3" s="1"/>
  <c r="AW557" i="3" a="1"/>
  <c r="AW557" i="3" s="1"/>
  <c r="AX557" i="3" a="1"/>
  <c r="AX557" i="3" s="1"/>
  <c r="AW540" i="3" a="1"/>
  <c r="AW540" i="3" s="1"/>
  <c r="AX540" i="3" a="1"/>
  <c r="AX540" i="3" s="1"/>
  <c r="AX481" i="3" a="1"/>
  <c r="AX481" i="3" s="1"/>
  <c r="AW481" i="3" a="1"/>
  <c r="AW481" i="3" s="1"/>
  <c r="AX987" i="3" a="1"/>
  <c r="AX987" i="3" s="1"/>
  <c r="AX967" i="3" a="1"/>
  <c r="AX967" i="3" s="1"/>
  <c r="AX932" i="3" a="1"/>
  <c r="AX932" i="3" s="1"/>
  <c r="AW868" i="3" a="1"/>
  <c r="AW868" i="3" s="1"/>
  <c r="AX852" i="3" a="1"/>
  <c r="AX852" i="3" s="1"/>
  <c r="AX850" i="3" a="1"/>
  <c r="AX850" i="3" s="1"/>
  <c r="AX738" i="3" a="1"/>
  <c r="AX738" i="3" s="1"/>
  <c r="AX698" i="3" a="1"/>
  <c r="AX698" i="3" s="1"/>
  <c r="AW698" i="3" a="1"/>
  <c r="AW698" i="3" s="1"/>
  <c r="AW576" i="3" a="1"/>
  <c r="AW576" i="3" s="1"/>
  <c r="AX576" i="3" a="1"/>
  <c r="AX576" i="3" s="1"/>
  <c r="AX549" i="3" a="1"/>
  <c r="AX549" i="3" s="1"/>
  <c r="AW549" i="3" a="1"/>
  <c r="AW549" i="3" s="1"/>
  <c r="AX507" i="3" a="1"/>
  <c r="AX507" i="3" s="1"/>
  <c r="AW507" i="3" a="1"/>
  <c r="AW507" i="3" s="1"/>
  <c r="AW664" i="3" a="1"/>
  <c r="AW664" i="3" s="1"/>
  <c r="AX664" i="3" a="1"/>
  <c r="AX664" i="3" s="1"/>
  <c r="AW550" i="3" a="1"/>
  <c r="AW550" i="3" s="1"/>
  <c r="AX550" i="3" a="1"/>
  <c r="AX550" i="3" s="1"/>
  <c r="AX945" i="3" a="1"/>
  <c r="AX945" i="3" s="1"/>
  <c r="AW899" i="3" a="1"/>
  <c r="AW899" i="3" s="1"/>
  <c r="AW888" i="3" a="1"/>
  <c r="AW888" i="3" s="1"/>
  <c r="AX862" i="3" a="1"/>
  <c r="AX862" i="3" s="1"/>
  <c r="AX851" i="3" a="1"/>
  <c r="AX851" i="3" s="1"/>
  <c r="AW851" i="3" a="1"/>
  <c r="AW851" i="3" s="1"/>
  <c r="AW829" i="3" a="1"/>
  <c r="AW829" i="3" s="1"/>
  <c r="AW783" i="3" a="1"/>
  <c r="AW783" i="3" s="1"/>
  <c r="AW774" i="3" a="1"/>
  <c r="AW774" i="3" s="1"/>
  <c r="AX774" i="3" a="1"/>
  <c r="AX774" i="3" s="1"/>
  <c r="AX737" i="3" a="1"/>
  <c r="AX737" i="3" s="1"/>
  <c r="AW686" i="3" a="1"/>
  <c r="AW686" i="3" s="1"/>
  <c r="AX986" i="3" a="1"/>
  <c r="AX986" i="3" s="1"/>
  <c r="AX985" i="3" a="1"/>
  <c r="AX985" i="3" s="1"/>
  <c r="AW980" i="3" a="1"/>
  <c r="AW980" i="3" s="1"/>
  <c r="AX953" i="3" a="1"/>
  <c r="AX953" i="3" s="1"/>
  <c r="AX951" i="3" a="1"/>
  <c r="AX951" i="3" s="1"/>
  <c r="AX922" i="3" a="1"/>
  <c r="AX922" i="3" s="1"/>
  <c r="AW910" i="3" a="1"/>
  <c r="AW910" i="3" s="1"/>
  <c r="AX874" i="3" a="1"/>
  <c r="AX874" i="3" s="1"/>
  <c r="AW776" i="3" a="1"/>
  <c r="AW776" i="3" s="1"/>
  <c r="AX776" i="3" a="1"/>
  <c r="AX776" i="3" s="1"/>
  <c r="AW740" i="3" a="1"/>
  <c r="AW740" i="3" s="1"/>
  <c r="AX740" i="3" a="1"/>
  <c r="AX740" i="3" s="1"/>
  <c r="AW688" i="3" a="1"/>
  <c r="AW688" i="3" s="1"/>
  <c r="AW885" i="3" a="1"/>
  <c r="AW885" i="3" s="1"/>
  <c r="AX885" i="3" a="1"/>
  <c r="AX885" i="3" s="1"/>
  <c r="AW931" i="3" a="1"/>
  <c r="AW931" i="3" s="1"/>
  <c r="AW915" i="3" a="1"/>
  <c r="AW915" i="3" s="1"/>
  <c r="AX875" i="3" a="1"/>
  <c r="AX875" i="3" s="1"/>
  <c r="AW875" i="3" a="1"/>
  <c r="AW875" i="3" s="1"/>
  <c r="AX843" i="3" a="1"/>
  <c r="AX843" i="3" s="1"/>
  <c r="AW831" i="3" a="1"/>
  <c r="AW831" i="3" s="1"/>
  <c r="AX831" i="3" a="1"/>
  <c r="AX831" i="3" s="1"/>
  <c r="AX802" i="3" a="1"/>
  <c r="AX802" i="3" s="1"/>
  <c r="AW785" i="3" a="1"/>
  <c r="AW785" i="3" s="1"/>
  <c r="AX785" i="3" a="1"/>
  <c r="AX785" i="3" s="1"/>
  <c r="AX479" i="3" a="1"/>
  <c r="AX479" i="3" s="1"/>
  <c r="AW479" i="3" a="1"/>
  <c r="AW479" i="3" s="1"/>
  <c r="AW450" i="3" a="1"/>
  <c r="AW450" i="3" s="1"/>
  <c r="AX450" i="3" a="1"/>
  <c r="AX450" i="3" s="1"/>
  <c r="AW966" i="3" a="1"/>
  <c r="AW966" i="3" s="1"/>
  <c r="AX845" i="3" a="1"/>
  <c r="AX845" i="3" s="1"/>
  <c r="AW822" i="3" a="1"/>
  <c r="AW822" i="3" s="1"/>
  <c r="AX822" i="3" a="1"/>
  <c r="AX822" i="3" s="1"/>
  <c r="AW800" i="3" a="1"/>
  <c r="AW800" i="3" s="1"/>
  <c r="AX800" i="3" a="1"/>
  <c r="AX800" i="3" s="1"/>
  <c r="AX769" i="3" a="1"/>
  <c r="AX769" i="3" s="1"/>
  <c r="AW733" i="3" a="1"/>
  <c r="AW733" i="3" s="1"/>
  <c r="AX733" i="3" a="1"/>
  <c r="AX733" i="3" s="1"/>
  <c r="AW723" i="3" a="1"/>
  <c r="AW723" i="3" s="1"/>
  <c r="AX637" i="3" a="1"/>
  <c r="AX637" i="3" s="1"/>
  <c r="AW629" i="3" a="1"/>
  <c r="AW629" i="3" s="1"/>
  <c r="AX629" i="3" a="1"/>
  <c r="AX629" i="3" s="1"/>
  <c r="AX452" i="3" a="1"/>
  <c r="AX452" i="3" s="1"/>
  <c r="AW452" i="3" a="1"/>
  <c r="AW452" i="3" s="1"/>
  <c r="AW474" i="3" a="1"/>
  <c r="AW474" i="3" s="1"/>
  <c r="AX474" i="3" a="1"/>
  <c r="AX474" i="3" s="1"/>
  <c r="AW473" i="3" a="1"/>
  <c r="AW473" i="3" s="1"/>
  <c r="AX473" i="3" a="1"/>
  <c r="AX473" i="3" s="1"/>
  <c r="AX137" i="3" a="1"/>
  <c r="AX137" i="3" s="1"/>
  <c r="AW621" i="3" a="1"/>
  <c r="AW621" i="3" s="1"/>
  <c r="AW110" i="3" a="1"/>
  <c r="AW110" i="3" s="1"/>
  <c r="AX110" i="3" a="1"/>
  <c r="AX110" i="3" s="1"/>
  <c r="AX778" i="3" a="1"/>
  <c r="AX778" i="3" s="1"/>
  <c r="AX672" i="3" a="1"/>
  <c r="AX672" i="3" s="1"/>
  <c r="AW535" i="3" a="1"/>
  <c r="AW535" i="3" s="1"/>
  <c r="AW521" i="3" a="1"/>
  <c r="AW521" i="3" s="1"/>
  <c r="AW390" i="3" a="1"/>
  <c r="AW390" i="3" s="1"/>
  <c r="AX390" i="3" a="1"/>
  <c r="AX390" i="3" s="1"/>
  <c r="AX322" i="3" a="1"/>
  <c r="AX322" i="3" s="1"/>
  <c r="AW322" i="3" a="1"/>
  <c r="AW322" i="3" s="1"/>
  <c r="AX742" i="3" a="1"/>
  <c r="AX742" i="3" s="1"/>
  <c r="AX641" i="3" a="1"/>
  <c r="AX641" i="3" s="1"/>
  <c r="AX624" i="3" a="1"/>
  <c r="AX624" i="3" s="1"/>
  <c r="AX587" i="3" a="1"/>
  <c r="AX587" i="3" s="1"/>
  <c r="AX579" i="3" a="1"/>
  <c r="AX579" i="3" s="1"/>
  <c r="AX562" i="3" a="1"/>
  <c r="AX562" i="3" s="1"/>
  <c r="AW551" i="3" a="1"/>
  <c r="AW551" i="3" s="1"/>
  <c r="AW513" i="3" a="1"/>
  <c r="AW513" i="3" s="1"/>
  <c r="AX497" i="3" a="1"/>
  <c r="AX497" i="3" s="1"/>
  <c r="AW392" i="3" a="1"/>
  <c r="AW392" i="3" s="1"/>
  <c r="AX392" i="3" a="1"/>
  <c r="AX392" i="3" s="1"/>
  <c r="AW46" i="3" a="1"/>
  <c r="AW46" i="3" s="1"/>
  <c r="AX46" i="3" a="1"/>
  <c r="AX46" i="3" s="1"/>
  <c r="AX759" i="3" a="1"/>
  <c r="AX759" i="3" s="1"/>
  <c r="AX714" i="3" a="1"/>
  <c r="AX714" i="3" s="1"/>
  <c r="AW678" i="3" a="1"/>
  <c r="AW678" i="3" s="1"/>
  <c r="AX677" i="3" a="1"/>
  <c r="AX677" i="3" s="1"/>
  <c r="AX648" i="3" a="1"/>
  <c r="AX648" i="3" s="1"/>
  <c r="AX640" i="3" a="1"/>
  <c r="AX640" i="3" s="1"/>
  <c r="AW618" i="3" a="1"/>
  <c r="AW618" i="3" s="1"/>
  <c r="AX616" i="3" a="1"/>
  <c r="AX616" i="3" s="1"/>
  <c r="AX604" i="3" a="1"/>
  <c r="AX604" i="3" s="1"/>
  <c r="AW597" i="3" a="1"/>
  <c r="AW597" i="3" s="1"/>
  <c r="AX571" i="3" a="1"/>
  <c r="AX571" i="3" s="1"/>
  <c r="AW543" i="3" a="1"/>
  <c r="AW543" i="3" s="1"/>
  <c r="AX487" i="3" a="1"/>
  <c r="AX487" i="3" s="1"/>
  <c r="AX486" i="3" a="1"/>
  <c r="AX486" i="3" s="1"/>
  <c r="AW434" i="3" a="1"/>
  <c r="AW434" i="3" s="1"/>
  <c r="AW350" i="3" a="1"/>
  <c r="AW350" i="3" s="1"/>
  <c r="AX350" i="3" a="1"/>
  <c r="AX350" i="3" s="1"/>
  <c r="AW304" i="3" a="1"/>
  <c r="AW304" i="3" s="1"/>
  <c r="AX304" i="3" a="1"/>
  <c r="AX304" i="3" s="1"/>
  <c r="AW47" i="3" a="1"/>
  <c r="AW47" i="3" s="1"/>
  <c r="AX47" i="3" a="1"/>
  <c r="AX47" i="3" s="1"/>
  <c r="AX632" i="3" a="1"/>
  <c r="AX632" i="3" s="1"/>
  <c r="AX608" i="3" a="1"/>
  <c r="AX608" i="3" s="1"/>
  <c r="AX607" i="3" a="1"/>
  <c r="AX607" i="3" s="1"/>
  <c r="AX541" i="3" a="1"/>
  <c r="AX541" i="3" s="1"/>
  <c r="AW532" i="3" a="1"/>
  <c r="AW532" i="3" s="1"/>
  <c r="AX531" i="3" a="1"/>
  <c r="AX531" i="3" s="1"/>
  <c r="AX512" i="3" a="1"/>
  <c r="AX512" i="3" s="1"/>
  <c r="AX509" i="3" a="1"/>
  <c r="AX509" i="3" s="1"/>
  <c r="AW493" i="3" a="1"/>
  <c r="AW493" i="3" s="1"/>
  <c r="AX485" i="3" a="1"/>
  <c r="AX485" i="3" s="1"/>
  <c r="AW630" i="3" a="1"/>
  <c r="AW630" i="3" s="1"/>
  <c r="AX596" i="3" a="1"/>
  <c r="AX596" i="3" s="1"/>
  <c r="AX595" i="3" a="1"/>
  <c r="AX595" i="3" s="1"/>
  <c r="AW578" i="3" a="1"/>
  <c r="AW578" i="3" s="1"/>
  <c r="AW577" i="3" a="1"/>
  <c r="AW577" i="3" s="1"/>
  <c r="AW569" i="3" a="1"/>
  <c r="AW569" i="3" s="1"/>
  <c r="AW559" i="3" a="1"/>
  <c r="AW559" i="3" s="1"/>
  <c r="AW358" i="3" a="1"/>
  <c r="AW358" i="3" s="1"/>
  <c r="AX358" i="3" a="1"/>
  <c r="AX358" i="3" s="1"/>
  <c r="AW158" i="3" a="1"/>
  <c r="AW158" i="3" s="1"/>
  <c r="AX158" i="3" a="1"/>
  <c r="AX158" i="3" s="1"/>
  <c r="AW433" i="3" a="1"/>
  <c r="AW433" i="3" s="1"/>
  <c r="AX433" i="3" a="1"/>
  <c r="AX433" i="3" s="1"/>
  <c r="AW381" i="3" a="1"/>
  <c r="AW381" i="3" s="1"/>
  <c r="AX381" i="3" a="1"/>
  <c r="AX381" i="3" s="1"/>
  <c r="AW79" i="3" a="1"/>
  <c r="AW79" i="3" s="1"/>
  <c r="AX79" i="3" a="1"/>
  <c r="AX79" i="3" s="1"/>
  <c r="AW54" i="3" a="1"/>
  <c r="AW54" i="3" s="1"/>
  <c r="AX54" i="3" a="1"/>
  <c r="AX54" i="3" s="1"/>
  <c r="AW501" i="3" a="1"/>
  <c r="AW501" i="3" s="1"/>
  <c r="AX492" i="3" a="1"/>
  <c r="AX492" i="3" s="1"/>
  <c r="AX469" i="3" a="1"/>
  <c r="AX469" i="3" s="1"/>
  <c r="AW469" i="3" a="1"/>
  <c r="AW469" i="3" s="1"/>
  <c r="AW437" i="3" a="1"/>
  <c r="AW437" i="3" s="1"/>
  <c r="AX437" i="3" a="1"/>
  <c r="AX437" i="3" s="1"/>
  <c r="AX360" i="3" a="1"/>
  <c r="AX360" i="3" s="1"/>
  <c r="AW360" i="3" a="1"/>
  <c r="AW360" i="3" s="1"/>
  <c r="AW128" i="3" a="1"/>
  <c r="AW128" i="3" s="1"/>
  <c r="AX128" i="3" a="1"/>
  <c r="AX128" i="3" s="1"/>
  <c r="AW10" i="3" a="1"/>
  <c r="AW10" i="3" s="1"/>
  <c r="AX10" i="3" a="1"/>
  <c r="AX10" i="3" s="1"/>
  <c r="AW529" i="3" a="1"/>
  <c r="AW529" i="3" s="1"/>
  <c r="AW528" i="3" a="1"/>
  <c r="AW528" i="3" s="1"/>
  <c r="AW527" i="3" a="1"/>
  <c r="AW527" i="3" s="1"/>
  <c r="AW462" i="3" a="1"/>
  <c r="AW462" i="3" s="1"/>
  <c r="AX462" i="3" a="1"/>
  <c r="AX462" i="3" s="1"/>
  <c r="AW461" i="3" a="1"/>
  <c r="AW461" i="3" s="1"/>
  <c r="AX461" i="3" a="1"/>
  <c r="AX461" i="3" s="1"/>
  <c r="AU215" i="3"/>
  <c r="AV215" i="3" s="1" a="1"/>
  <c r="AV215" i="3" s="1"/>
  <c r="AW215" i="3" a="1"/>
  <c r="AW215" i="3" s="1"/>
  <c r="AX215" i="3" a="1"/>
  <c r="AX215" i="3" s="1"/>
  <c r="AW11" i="3" a="1"/>
  <c r="AW11" i="3" s="1"/>
  <c r="AX11" i="3" a="1"/>
  <c r="AX11" i="3" s="1"/>
  <c r="AX161" i="3" a="1"/>
  <c r="AX161" i="3" s="1"/>
  <c r="AX42" i="3" a="1"/>
  <c r="AX42" i="3" s="1"/>
  <c r="AX28" i="3" a="1"/>
  <c r="AX28" i="3" s="1"/>
  <c r="AX6" i="3" a="1"/>
  <c r="AX6" i="3" s="1"/>
  <c r="AW154" i="3" a="1"/>
  <c r="AW154" i="3" s="1"/>
  <c r="AX138" i="3" a="1"/>
  <c r="AX138" i="3" s="1"/>
  <c r="AX105" i="3" a="1"/>
  <c r="AX105" i="3" s="1"/>
  <c r="AX57" i="3" a="1"/>
  <c r="AX57" i="3" s="1"/>
  <c r="AX50" i="3" a="1"/>
  <c r="AX50" i="3" s="1"/>
  <c r="AX20" i="3" a="1"/>
  <c r="AX20" i="3" s="1"/>
  <c r="AW439" i="3" a="1"/>
  <c r="AW439" i="3" s="1"/>
  <c r="AX429" i="3" a="1"/>
  <c r="AX429" i="3" s="1"/>
  <c r="AW415" i="3" a="1"/>
  <c r="AW415" i="3" s="1"/>
  <c r="AX413" i="3" a="1"/>
  <c r="AX413" i="3" s="1"/>
  <c r="AX393" i="3" a="1"/>
  <c r="AX393" i="3" s="1"/>
  <c r="AX374" i="3" a="1"/>
  <c r="AX374" i="3" s="1"/>
  <c r="AX361" i="3" a="1"/>
  <c r="AX361" i="3" s="1"/>
  <c r="AX353" i="3" a="1"/>
  <c r="AX353" i="3" s="1"/>
  <c r="AX345" i="3" a="1"/>
  <c r="AX345" i="3" s="1"/>
  <c r="AX275" i="3" a="1"/>
  <c r="AX275" i="3" s="1"/>
  <c r="AX270" i="3" a="1"/>
  <c r="AX270" i="3" s="1"/>
  <c r="AX255" i="3" a="1"/>
  <c r="AX255" i="3" s="1"/>
  <c r="AW227" i="3" a="1"/>
  <c r="AW227" i="3" s="1"/>
  <c r="AX184" i="3" a="1"/>
  <c r="AX184" i="3" s="1"/>
  <c r="AX174" i="3" a="1"/>
  <c r="AX174" i="3" s="1"/>
  <c r="AW169" i="3" a="1"/>
  <c r="AW169" i="3" s="1"/>
  <c r="AX152" i="3" a="1"/>
  <c r="AX152" i="3" s="1"/>
  <c r="AX97" i="3" a="1"/>
  <c r="AX97" i="3" s="1"/>
  <c r="AX81" i="3" a="1"/>
  <c r="AX81" i="3" s="1"/>
  <c r="AX13" i="3" a="1"/>
  <c r="AX13" i="3" s="1"/>
  <c r="AX412" i="3" a="1"/>
  <c r="AX412" i="3" s="1"/>
  <c r="AX404" i="3" a="1"/>
  <c r="AX404" i="3" s="1"/>
  <c r="AW382" i="3" a="1"/>
  <c r="AW382" i="3" s="1"/>
  <c r="AW367" i="3" a="1"/>
  <c r="AW367" i="3" s="1"/>
  <c r="AX352" i="3" a="1"/>
  <c r="AX352" i="3" s="1"/>
  <c r="AX323" i="3" a="1"/>
  <c r="AX323" i="3" s="1"/>
  <c r="AX316" i="3" a="1"/>
  <c r="AX316" i="3" s="1"/>
  <c r="AW297" i="3" a="1"/>
  <c r="AW297" i="3" s="1"/>
  <c r="AX282" i="3" a="1"/>
  <c r="AX282" i="3" s="1"/>
  <c r="AX263" i="3" a="1"/>
  <c r="AX263" i="3" s="1"/>
  <c r="AX254" i="3" a="1"/>
  <c r="AX254" i="3" s="1"/>
  <c r="AW245" i="3" a="1"/>
  <c r="AW245" i="3" s="1"/>
  <c r="AX244" i="3" a="1"/>
  <c r="AX244" i="3" s="1"/>
  <c r="AW221" i="3" a="1"/>
  <c r="AW221" i="3" s="1"/>
  <c r="AX220" i="3" a="1"/>
  <c r="AX220" i="3" s="1"/>
  <c r="AX217" i="3" a="1"/>
  <c r="AX217" i="3" s="1"/>
  <c r="AX191" i="3" a="1"/>
  <c r="AX191" i="3" s="1"/>
  <c r="AX183" i="3" a="1"/>
  <c r="AX183" i="3" s="1"/>
  <c r="AW131" i="3" a="1"/>
  <c r="AW131" i="3" s="1"/>
  <c r="AX130" i="3" a="1"/>
  <c r="AX130" i="3" s="1"/>
  <c r="AX113" i="3" a="1"/>
  <c r="AX113" i="3" s="1"/>
  <c r="AX32" i="3" a="1"/>
  <c r="AX32" i="3" s="1"/>
  <c r="AW19" i="3" a="1"/>
  <c r="AW19" i="3" s="1"/>
  <c r="AW5" i="3" a="1"/>
  <c r="AW5" i="3" s="1"/>
  <c r="AX436" i="3" a="1"/>
  <c r="AX436" i="3" s="1"/>
  <c r="AX428" i="3" a="1"/>
  <c r="AX428" i="3" s="1"/>
  <c r="AX402" i="3" a="1"/>
  <c r="AX402" i="3" s="1"/>
  <c r="AX343" i="3" a="1"/>
  <c r="AX343" i="3" s="1"/>
  <c r="AX219" i="3" a="1"/>
  <c r="AX219" i="3" s="1"/>
  <c r="AW167" i="3" a="1"/>
  <c r="AW167" i="3" s="1"/>
  <c r="AW160" i="3" a="1"/>
  <c r="AW160" i="3" s="1"/>
  <c r="AX401" i="3" a="1"/>
  <c r="AX401" i="3" s="1"/>
  <c r="AX224" i="3" a="1"/>
  <c r="AX224" i="3" s="1"/>
  <c r="AW380" i="3" a="1"/>
  <c r="AW380" i="3" s="1"/>
  <c r="AW303" i="3" a="1"/>
  <c r="AW303" i="3" s="1"/>
  <c r="AX268" i="3" a="1"/>
  <c r="AX268" i="3" s="1"/>
  <c r="AX173" i="3" a="1"/>
  <c r="AX173" i="3" s="1"/>
  <c r="AX45" i="3" a="1"/>
  <c r="AX45" i="3" s="1"/>
  <c r="AX40" i="3" a="1"/>
  <c r="AX40" i="3" s="1"/>
  <c r="AX370" i="3" a="1"/>
  <c r="AX370" i="3" s="1"/>
  <c r="AX357" i="3" a="1"/>
  <c r="AX357" i="3" s="1"/>
  <c r="AX349" i="3" a="1"/>
  <c r="AX349" i="3" s="1"/>
  <c r="AW334" i="3" a="1"/>
  <c r="AW334" i="3" s="1"/>
  <c r="AX321" i="3" a="1"/>
  <c r="AX321" i="3" s="1"/>
  <c r="AX260" i="3" a="1"/>
  <c r="AX260" i="3" s="1"/>
  <c r="AW157" i="3" a="1"/>
  <c r="AW157" i="3" s="1"/>
  <c r="AW136" i="3" a="1"/>
  <c r="AW136" i="3" s="1"/>
  <c r="AW64" i="3" a="1"/>
  <c r="AW64" i="3" s="1"/>
  <c r="AX432" i="3" a="1"/>
  <c r="AX432" i="3" s="1"/>
  <c r="AX407" i="3" a="1"/>
  <c r="AX407" i="3" s="1"/>
  <c r="AX378" i="3" a="1"/>
  <c r="AX378" i="3" s="1"/>
  <c r="AX299" i="3" a="1"/>
  <c r="AX299" i="3" s="1"/>
  <c r="AX291" i="3" a="1"/>
  <c r="AX291" i="3" s="1"/>
  <c r="AW279" i="3" a="1"/>
  <c r="AW279" i="3" s="1"/>
  <c r="AX232" i="3" a="1"/>
  <c r="AX232" i="3" s="1"/>
  <c r="AX205" i="3" a="1"/>
  <c r="AX205" i="3" s="1"/>
  <c r="AX194" i="3" a="1"/>
  <c r="AX194" i="3" s="1"/>
  <c r="AW163" i="3" a="1"/>
  <c r="AW163" i="3" s="1"/>
  <c r="AW115" i="3" a="1"/>
  <c r="AW115" i="3" s="1"/>
  <c r="AX91" i="3" a="1"/>
  <c r="AX91" i="3" s="1"/>
  <c r="AX44" i="3" a="1"/>
  <c r="AX44" i="3" s="1"/>
  <c r="AX21" i="3" a="1"/>
  <c r="AX21" i="3" s="1"/>
  <c r="AW387" i="3" a="1"/>
  <c r="AW387" i="3" s="1"/>
  <c r="AW376" i="3" a="1"/>
  <c r="AW376" i="3" s="1"/>
  <c r="AW363" i="3" a="1"/>
  <c r="AW363" i="3" s="1"/>
  <c r="AW348" i="3" a="1"/>
  <c r="AW348" i="3" s="1"/>
  <c r="AW339" i="3" a="1"/>
  <c r="AW339" i="3" s="1"/>
  <c r="AW312" i="3" a="1"/>
  <c r="AW312" i="3" s="1"/>
  <c r="AW306" i="3" a="1"/>
  <c r="AW306" i="3" s="1"/>
  <c r="AX290" i="3" a="1"/>
  <c r="AX290" i="3" s="1"/>
  <c r="AX289" i="3" a="1"/>
  <c r="AX289" i="3" s="1"/>
  <c r="AW208" i="3" a="1"/>
  <c r="AW208" i="3" s="1"/>
  <c r="AX207" i="3" a="1"/>
  <c r="AX207" i="3" s="1"/>
  <c r="AW197" i="3" a="1"/>
  <c r="AW197" i="3" s="1"/>
  <c r="AX196" i="3" a="1"/>
  <c r="AX196" i="3" s="1"/>
  <c r="AX85" i="3" a="1"/>
  <c r="AX85" i="3" s="1"/>
  <c r="AW990" i="3" a="1"/>
  <c r="AW990" i="3" s="1"/>
  <c r="AW957" i="3" a="1"/>
  <c r="AW957" i="3" s="1"/>
  <c r="AX957" i="3" a="1"/>
  <c r="AX957" i="3" s="1"/>
  <c r="AW952" i="3" a="1"/>
  <c r="AW952" i="3" s="1"/>
  <c r="AX952" i="3" a="1"/>
  <c r="AX952" i="3" s="1"/>
  <c r="AW924" i="3" a="1"/>
  <c r="AW924" i="3" s="1"/>
  <c r="AX924" i="3" a="1"/>
  <c r="AX924" i="3" s="1"/>
  <c r="AW873" i="3" a="1"/>
  <c r="AW873" i="3" s="1"/>
  <c r="AX873" i="3" a="1"/>
  <c r="AX873" i="3" s="1"/>
  <c r="AX820" i="3" a="1"/>
  <c r="AX820" i="3" s="1"/>
  <c r="AW820" i="3" a="1"/>
  <c r="AW820" i="3" s="1"/>
  <c r="AW918" i="3" a="1"/>
  <c r="AW918" i="3" s="1"/>
  <c r="AX918" i="3" a="1"/>
  <c r="AX918" i="3" s="1"/>
  <c r="AW976" i="3" a="1"/>
  <c r="AW976" i="3" s="1"/>
  <c r="AX976" i="3" a="1"/>
  <c r="AX976" i="3" s="1"/>
  <c r="AW710" i="3" a="1"/>
  <c r="AW710" i="3" s="1"/>
  <c r="AX710" i="3" a="1"/>
  <c r="AX710" i="3" s="1"/>
  <c r="AW981" i="3" a="1"/>
  <c r="AW981" i="3" s="1"/>
  <c r="AX981" i="3" a="1"/>
  <c r="AX981" i="3" s="1"/>
  <c r="AX992" i="3" a="1"/>
  <c r="AX992" i="3" s="1"/>
  <c r="AW962" i="3" a="1"/>
  <c r="AW962" i="3" s="1"/>
  <c r="AX962" i="3" a="1"/>
  <c r="AX962" i="3" s="1"/>
  <c r="AW944" i="3" a="1"/>
  <c r="AW944" i="3" s="1"/>
  <c r="AX944" i="3" a="1"/>
  <c r="AX944" i="3" s="1"/>
  <c r="AW949" i="3" a="1"/>
  <c r="AW949" i="3" s="1"/>
  <c r="AX949" i="3" a="1"/>
  <c r="AX949" i="3" s="1"/>
  <c r="AX832" i="3" a="1"/>
  <c r="AX832" i="3" s="1"/>
  <c r="AW832" i="3" a="1"/>
  <c r="AW832" i="3" s="1"/>
  <c r="AW794" i="3" a="1"/>
  <c r="AW794" i="3" s="1"/>
  <c r="AX794" i="3" a="1"/>
  <c r="AX794" i="3" s="1"/>
  <c r="AW964" i="3" a="1"/>
  <c r="AW964" i="3" s="1"/>
  <c r="AX964" i="3" a="1"/>
  <c r="AX964" i="3" s="1"/>
  <c r="AW921" i="3" a="1"/>
  <c r="AW921" i="3" s="1"/>
  <c r="AX921" i="3" a="1"/>
  <c r="AX921" i="3" s="1"/>
  <c r="AW978" i="3" a="1"/>
  <c r="AW978" i="3" s="1"/>
  <c r="AW954" i="3" a="1"/>
  <c r="AW954" i="3" s="1"/>
  <c r="AW988" i="3" a="1"/>
  <c r="AW988" i="3" s="1"/>
  <c r="AX988" i="3" a="1"/>
  <c r="AX988" i="3" s="1"/>
  <c r="AX947" i="3" a="1"/>
  <c r="AX947" i="3" s="1"/>
  <c r="AW947" i="3" a="1"/>
  <c r="AW947" i="3" s="1"/>
  <c r="AW973" i="3" a="1"/>
  <c r="AW973" i="3" s="1"/>
  <c r="AX991" i="3" a="1"/>
  <c r="AX991" i="3" s="1"/>
  <c r="AW927" i="3" a="1"/>
  <c r="AW927" i="3" s="1"/>
  <c r="AX927" i="3" a="1"/>
  <c r="AX927" i="3" s="1"/>
  <c r="AX808" i="3" a="1"/>
  <c r="AX808" i="3" s="1"/>
  <c r="AW808" i="3" a="1"/>
  <c r="AW808" i="3" s="1"/>
  <c r="AW969" i="3" a="1"/>
  <c r="AW969" i="3" s="1"/>
  <c r="AX969" i="3" a="1"/>
  <c r="AX969" i="3" s="1"/>
  <c r="AW847" i="3" a="1"/>
  <c r="AW847" i="3" s="1"/>
  <c r="AX847" i="3" a="1"/>
  <c r="AX847" i="3" s="1"/>
  <c r="AW842" i="3" a="1"/>
  <c r="AW842" i="3" s="1"/>
  <c r="AX842" i="3" a="1"/>
  <c r="AX842" i="3" s="1"/>
  <c r="AW734" i="3" a="1"/>
  <c r="AW734" i="3" s="1"/>
  <c r="AX734" i="3" a="1"/>
  <c r="AX734" i="3" s="1"/>
  <c r="AW830" i="3" a="1"/>
  <c r="AW830" i="3" s="1"/>
  <c r="AX830" i="3" a="1"/>
  <c r="AX830" i="3" s="1"/>
  <c r="AW818" i="3" a="1"/>
  <c r="AW818" i="3" s="1"/>
  <c r="AX818" i="3" a="1"/>
  <c r="AX818" i="3" s="1"/>
  <c r="AW806" i="3" a="1"/>
  <c r="AW806" i="3" s="1"/>
  <c r="AX806" i="3" a="1"/>
  <c r="AX806" i="3" s="1"/>
  <c r="AX784" i="3" a="1"/>
  <c r="AX784" i="3" s="1"/>
  <c r="AW784" i="3" a="1"/>
  <c r="AW784" i="3" s="1"/>
  <c r="AX666" i="3" a="1"/>
  <c r="AX666" i="3" s="1"/>
  <c r="AW666" i="3" a="1"/>
  <c r="AW666" i="3" s="1"/>
  <c r="AX950" i="3" a="1"/>
  <c r="AX950" i="3" s="1"/>
  <c r="AX942" i="3" a="1"/>
  <c r="AX942" i="3" s="1"/>
  <c r="AX916" i="3" a="1"/>
  <c r="AX916" i="3" s="1"/>
  <c r="AX861" i="3" a="1"/>
  <c r="AX861" i="3" s="1"/>
  <c r="AW758" i="3" a="1"/>
  <c r="AW758" i="3" s="1"/>
  <c r="AX758" i="3" a="1"/>
  <c r="AX758" i="3" s="1"/>
  <c r="AX930" i="3" a="1"/>
  <c r="AX930" i="3" s="1"/>
  <c r="AX904" i="3" a="1"/>
  <c r="AX904" i="3" s="1"/>
  <c r="AX898" i="3" a="1"/>
  <c r="AX898" i="3" s="1"/>
  <c r="AW871" i="3" a="1"/>
  <c r="AW871" i="3" s="1"/>
  <c r="AX870" i="3" a="1"/>
  <c r="AX870" i="3" s="1"/>
  <c r="AX864" i="3" a="1"/>
  <c r="AX864" i="3" s="1"/>
  <c r="AX939" i="3" a="1"/>
  <c r="AX939" i="3" s="1"/>
  <c r="AX936" i="3" a="1"/>
  <c r="AX936" i="3" s="1"/>
  <c r="AX933" i="3" a="1"/>
  <c r="AX933" i="3" s="1"/>
  <c r="AX892" i="3" a="1"/>
  <c r="AX892" i="3" s="1"/>
  <c r="AX886" i="3" a="1"/>
  <c r="AX886" i="3" s="1"/>
  <c r="AX867" i="3" a="1"/>
  <c r="AX867" i="3" s="1"/>
  <c r="AW796" i="3" a="1"/>
  <c r="AW796" i="3" s="1"/>
  <c r="AW782" i="3" a="1"/>
  <c r="AW782" i="3" s="1"/>
  <c r="AX782" i="3" a="1"/>
  <c r="AX782" i="3" s="1"/>
  <c r="AW679" i="3" a="1"/>
  <c r="AW679" i="3" s="1"/>
  <c r="AX679" i="3" a="1"/>
  <c r="AX679" i="3" s="1"/>
  <c r="AX971" i="3" a="1"/>
  <c r="AX971" i="3" s="1"/>
  <c r="AX906" i="3" a="1"/>
  <c r="AX906" i="3" s="1"/>
  <c r="AW895" i="3" a="1"/>
  <c r="AW895" i="3" s="1"/>
  <c r="AW880" i="3" a="1"/>
  <c r="AW880" i="3" s="1"/>
  <c r="AX860" i="3" a="1"/>
  <c r="AX860" i="3" s="1"/>
  <c r="AW844" i="3" a="1"/>
  <c r="AW844" i="3" s="1"/>
  <c r="AW722" i="3" a="1"/>
  <c r="AW722" i="3" s="1"/>
  <c r="AX722" i="3" a="1"/>
  <c r="AX722" i="3" s="1"/>
  <c r="AW705" i="3" a="1"/>
  <c r="AW705" i="3" s="1"/>
  <c r="AX705" i="3" a="1"/>
  <c r="AX705" i="3" s="1"/>
  <c r="AX959" i="3" a="1"/>
  <c r="AX959" i="3" s="1"/>
  <c r="AX912" i="3" a="1"/>
  <c r="AX912" i="3" s="1"/>
  <c r="AX909" i="3" a="1"/>
  <c r="AX909" i="3" s="1"/>
  <c r="AX894" i="3" a="1"/>
  <c r="AX894" i="3" s="1"/>
  <c r="AW883" i="3" a="1"/>
  <c r="AW883" i="3" s="1"/>
  <c r="AW839" i="3" a="1"/>
  <c r="AW839" i="3" s="1"/>
  <c r="AW656" i="3" a="1"/>
  <c r="AW656" i="3" s="1"/>
  <c r="AX656" i="3" a="1"/>
  <c r="AX656" i="3" s="1"/>
  <c r="AX938" i="3" a="1"/>
  <c r="AX938" i="3" s="1"/>
  <c r="AX903" i="3" a="1"/>
  <c r="AX903" i="3" s="1"/>
  <c r="AX900" i="3" a="1"/>
  <c r="AX900" i="3" s="1"/>
  <c r="AX897" i="3" a="1"/>
  <c r="AX897" i="3" s="1"/>
  <c r="AX876" i="3" a="1"/>
  <c r="AX876" i="3" s="1"/>
  <c r="AX866" i="3" a="1"/>
  <c r="AX866" i="3" s="1"/>
  <c r="AW863" i="3" a="1"/>
  <c r="AW863" i="3" s="1"/>
  <c r="AW840" i="3" a="1"/>
  <c r="AW840" i="3" s="1"/>
  <c r="AX840" i="3" a="1"/>
  <c r="AX840" i="3" s="1"/>
  <c r="AW804" i="3" a="1"/>
  <c r="AW804" i="3" s="1"/>
  <c r="AX804" i="3" a="1"/>
  <c r="AX804" i="3" s="1"/>
  <c r="AW746" i="3" a="1"/>
  <c r="AW746" i="3" s="1"/>
  <c r="AX746" i="3" a="1"/>
  <c r="AX746" i="3" s="1"/>
  <c r="AW856" i="3" a="1"/>
  <c r="AW856" i="3" s="1"/>
  <c r="AW828" i="3" a="1"/>
  <c r="AW828" i="3" s="1"/>
  <c r="AX828" i="3" a="1"/>
  <c r="AX828" i="3" s="1"/>
  <c r="AW816" i="3" a="1"/>
  <c r="AW816" i="3" s="1"/>
  <c r="AX816" i="3" a="1"/>
  <c r="AX816" i="3" s="1"/>
  <c r="AX827" i="3" a="1"/>
  <c r="AX827" i="3" s="1"/>
  <c r="AW827" i="3" a="1"/>
  <c r="AW827" i="3" s="1"/>
  <c r="AX815" i="3" a="1"/>
  <c r="AX815" i="3" s="1"/>
  <c r="AW815" i="3" a="1"/>
  <c r="AW815" i="3" s="1"/>
  <c r="AW770" i="3" a="1"/>
  <c r="AW770" i="3" s="1"/>
  <c r="AX770" i="3" a="1"/>
  <c r="AX770" i="3" s="1"/>
  <c r="AW772" i="3" a="1"/>
  <c r="AW772" i="3" s="1"/>
  <c r="AW760" i="3" a="1"/>
  <c r="AW760" i="3" s="1"/>
  <c r="AW748" i="3" a="1"/>
  <c r="AW748" i="3" s="1"/>
  <c r="AW736" i="3" a="1"/>
  <c r="AW736" i="3" s="1"/>
  <c r="AW724" i="3" a="1"/>
  <c r="AW724" i="3" s="1"/>
  <c r="AW712" i="3" a="1"/>
  <c r="AW712" i="3" s="1"/>
  <c r="AW699" i="3" a="1"/>
  <c r="AW699" i="3" s="1"/>
  <c r="AX687" i="3" a="1"/>
  <c r="AX687" i="3" s="1"/>
  <c r="AX662" i="3" a="1"/>
  <c r="AX662" i="3" s="1"/>
  <c r="AW471" i="3" a="1"/>
  <c r="AW471" i="3" s="1"/>
  <c r="AX471" i="3" a="1"/>
  <c r="AX471" i="3" s="1"/>
  <c r="AW803" i="3" a="1"/>
  <c r="AW803" i="3" s="1"/>
  <c r="AW791" i="3" a="1"/>
  <c r="AW791" i="3" s="1"/>
  <c r="AW779" i="3" a="1"/>
  <c r="AW779" i="3" s="1"/>
  <c r="AW767" i="3" a="1"/>
  <c r="AW767" i="3" s="1"/>
  <c r="AW755" i="3" a="1"/>
  <c r="AW755" i="3" s="1"/>
  <c r="AW743" i="3" a="1"/>
  <c r="AW743" i="3" s="1"/>
  <c r="AW731" i="3" a="1"/>
  <c r="AW731" i="3" s="1"/>
  <c r="AW719" i="3" a="1"/>
  <c r="AW719" i="3" s="1"/>
  <c r="AW707" i="3" a="1"/>
  <c r="AW707" i="3" s="1"/>
  <c r="AX704" i="3" a="1"/>
  <c r="AX704" i="3" s="1"/>
  <c r="AW693" i="3" a="1"/>
  <c r="AW693" i="3" s="1"/>
  <c r="AW690" i="3" a="1"/>
  <c r="AW690" i="3" s="1"/>
  <c r="AX655" i="3" a="1"/>
  <c r="AX655" i="3" s="1"/>
  <c r="AW642" i="3" a="1"/>
  <c r="AW642" i="3" s="1"/>
  <c r="AX619" i="3" a="1"/>
  <c r="AX619" i="3" s="1"/>
  <c r="AW517" i="3" a="1"/>
  <c r="AW517" i="3" s="1"/>
  <c r="AX517" i="3" a="1"/>
  <c r="AX517" i="3" s="1"/>
  <c r="AW386" i="3" a="1"/>
  <c r="AW386" i="3" s="1"/>
  <c r="AX386" i="3" a="1"/>
  <c r="AX386" i="3" s="1"/>
  <c r="AW645" i="3" a="1"/>
  <c r="AW645" i="3" s="1"/>
  <c r="AX638" i="3" a="1"/>
  <c r="AX638" i="3" s="1"/>
  <c r="AX631" i="3" a="1"/>
  <c r="AX631" i="3" s="1"/>
  <c r="AW582" i="3" a="1"/>
  <c r="AW582" i="3" s="1"/>
  <c r="AX582" i="3" a="1"/>
  <c r="AX582" i="3" s="1"/>
  <c r="AX692" i="3" a="1"/>
  <c r="AX692" i="3" s="1"/>
  <c r="AW573" i="3" a="1"/>
  <c r="AW573" i="3" s="1"/>
  <c r="AX573" i="3" a="1"/>
  <c r="AX573" i="3" s="1"/>
  <c r="AX792" i="3" a="1"/>
  <c r="AX792" i="3" s="1"/>
  <c r="AX780" i="3" a="1"/>
  <c r="AX780" i="3" s="1"/>
  <c r="AX768" i="3" a="1"/>
  <c r="AX768" i="3" s="1"/>
  <c r="AX756" i="3" a="1"/>
  <c r="AX756" i="3" s="1"/>
  <c r="AX744" i="3" a="1"/>
  <c r="AX744" i="3" s="1"/>
  <c r="AX732" i="3" a="1"/>
  <c r="AX732" i="3" s="1"/>
  <c r="AX720" i="3" a="1"/>
  <c r="AX720" i="3" s="1"/>
  <c r="AX708" i="3" a="1"/>
  <c r="AX708" i="3" s="1"/>
  <c r="AX835" i="3" a="1"/>
  <c r="AX835" i="3" s="1"/>
  <c r="AX823" i="3" a="1"/>
  <c r="AX823" i="3" s="1"/>
  <c r="AX811" i="3" a="1"/>
  <c r="AX811" i="3" s="1"/>
  <c r="AX799" i="3" a="1"/>
  <c r="AX799" i="3" s="1"/>
  <c r="AX787" i="3" a="1"/>
  <c r="AX787" i="3" s="1"/>
  <c r="AX775" i="3" a="1"/>
  <c r="AX775" i="3" s="1"/>
  <c r="AX763" i="3" a="1"/>
  <c r="AX763" i="3" s="1"/>
  <c r="AX751" i="3" a="1"/>
  <c r="AX751" i="3" s="1"/>
  <c r="AX739" i="3" a="1"/>
  <c r="AX739" i="3" s="1"/>
  <c r="AX727" i="3" a="1"/>
  <c r="AX727" i="3" s="1"/>
  <c r="AX715" i="3" a="1"/>
  <c r="AX715" i="3" s="1"/>
  <c r="AX691" i="3" a="1"/>
  <c r="AX691" i="3" s="1"/>
  <c r="AX685" i="3" a="1"/>
  <c r="AX685" i="3" s="1"/>
  <c r="AX673" i="3" a="1"/>
  <c r="AX673" i="3" s="1"/>
  <c r="AW657" i="3" a="1"/>
  <c r="AW657" i="3" s="1"/>
  <c r="AX653" i="3" a="1"/>
  <c r="AX653" i="3" s="1"/>
  <c r="AW617" i="3" a="1"/>
  <c r="AW617" i="3" s="1"/>
  <c r="AW505" i="3" a="1"/>
  <c r="AW505" i="3" s="1"/>
  <c r="AX505" i="3" a="1"/>
  <c r="AX505" i="3" s="1"/>
  <c r="AW694" i="3" a="1"/>
  <c r="AW694" i="3" s="1"/>
  <c r="AW670" i="3" a="1"/>
  <c r="AW670" i="3" s="1"/>
  <c r="AX643" i="3" a="1"/>
  <c r="AX643" i="3" s="1"/>
  <c r="AW605" i="3" a="1"/>
  <c r="AW605" i="3" s="1"/>
  <c r="AW594" i="3" a="1"/>
  <c r="AW594" i="3" s="1"/>
  <c r="AX594" i="3" a="1"/>
  <c r="AX594" i="3" s="1"/>
  <c r="AW475" i="3" a="1"/>
  <c r="AW475" i="3" s="1"/>
  <c r="AX475" i="3" a="1"/>
  <c r="AX475" i="3" s="1"/>
  <c r="AX849" i="3" a="1"/>
  <c r="AX849" i="3" s="1"/>
  <c r="AX837" i="3" a="1"/>
  <c r="AX837" i="3" s="1"/>
  <c r="AX825" i="3" a="1"/>
  <c r="AX825" i="3" s="1"/>
  <c r="AX813" i="3" a="1"/>
  <c r="AX813" i="3" s="1"/>
  <c r="AX801" i="3" a="1"/>
  <c r="AX801" i="3" s="1"/>
  <c r="AX789" i="3" a="1"/>
  <c r="AX789" i="3" s="1"/>
  <c r="AX777" i="3" a="1"/>
  <c r="AX777" i="3" s="1"/>
  <c r="AX765" i="3" a="1"/>
  <c r="AX765" i="3" s="1"/>
  <c r="AX753" i="3" a="1"/>
  <c r="AX753" i="3" s="1"/>
  <c r="AX741" i="3" a="1"/>
  <c r="AX741" i="3" s="1"/>
  <c r="AX729" i="3" a="1"/>
  <c r="AX729" i="3" s="1"/>
  <c r="AX717" i="3" a="1"/>
  <c r="AX717" i="3" s="1"/>
  <c r="AW682" i="3" a="1"/>
  <c r="AW682" i="3" s="1"/>
  <c r="AX649" i="3" a="1"/>
  <c r="AX649" i="3" s="1"/>
  <c r="AW606" i="3" a="1"/>
  <c r="AW606" i="3" s="1"/>
  <c r="AX606" i="3" a="1"/>
  <c r="AX606" i="3" s="1"/>
  <c r="AW585" i="3" a="1"/>
  <c r="AW585" i="3" s="1"/>
  <c r="AX585" i="3" a="1"/>
  <c r="AX585" i="3" s="1"/>
  <c r="AW646" i="3" a="1"/>
  <c r="AW646" i="3" s="1"/>
  <c r="AW534" i="3" a="1"/>
  <c r="AW534" i="3" s="1"/>
  <c r="AX534" i="3" a="1"/>
  <c r="AX534" i="3" s="1"/>
  <c r="AW609" i="3" a="1"/>
  <c r="AW609" i="3" s="1"/>
  <c r="AW558" i="3" a="1"/>
  <c r="AW558" i="3" s="1"/>
  <c r="AX558" i="3" a="1"/>
  <c r="AX558" i="3" s="1"/>
  <c r="AW542" i="3" a="1"/>
  <c r="AW542" i="3" s="1"/>
  <c r="AX542" i="3" a="1"/>
  <c r="AX542" i="3" s="1"/>
  <c r="AW484" i="3" a="1"/>
  <c r="AW484" i="3" s="1"/>
  <c r="AX484" i="3" a="1"/>
  <c r="AX484" i="3" s="1"/>
  <c r="AX554" i="3" a="1"/>
  <c r="AX554" i="3" s="1"/>
  <c r="AX530" i="3" a="1"/>
  <c r="AX530" i="3" s="1"/>
  <c r="AW483" i="3" a="1"/>
  <c r="AW483" i="3" s="1"/>
  <c r="AX463" i="3" a="1"/>
  <c r="AX463" i="3" s="1"/>
  <c r="AW455" i="3" a="1"/>
  <c r="AW455" i="3" s="1"/>
  <c r="AW416" i="3" a="1"/>
  <c r="AW416" i="3" s="1"/>
  <c r="AX416" i="3" a="1"/>
  <c r="AX416" i="3" s="1"/>
  <c r="AX435" i="3" a="1"/>
  <c r="AX435" i="3" s="1"/>
  <c r="AW435" i="3" a="1"/>
  <c r="AW435" i="3" s="1"/>
  <c r="AW494" i="3" a="1"/>
  <c r="AW494" i="3" s="1"/>
  <c r="AX494" i="3" a="1"/>
  <c r="AX494" i="3" s="1"/>
  <c r="AX561" i="3" a="1"/>
  <c r="AX561" i="3" s="1"/>
  <c r="AX537" i="3" a="1"/>
  <c r="AX537" i="3" s="1"/>
  <c r="AW482" i="3" a="1"/>
  <c r="AW482" i="3" s="1"/>
  <c r="AX482" i="3" a="1"/>
  <c r="AX482" i="3" s="1"/>
  <c r="AX523" i="3" a="1"/>
  <c r="AX523" i="3" s="1"/>
  <c r="AX511" i="3" a="1"/>
  <c r="AX511" i="3" s="1"/>
  <c r="AX499" i="3" a="1"/>
  <c r="AX499" i="3" s="1"/>
  <c r="AW496" i="3" a="1"/>
  <c r="AW496" i="3" s="1"/>
  <c r="AW518" i="3" a="1"/>
  <c r="AW518" i="3" s="1"/>
  <c r="AX518" i="3" a="1"/>
  <c r="AX518" i="3" s="1"/>
  <c r="AW506" i="3" a="1"/>
  <c r="AW506" i="3" s="1"/>
  <c r="AX506" i="3" a="1"/>
  <c r="AX506" i="3" s="1"/>
  <c r="AW445" i="3" a="1"/>
  <c r="AW445" i="3" s="1"/>
  <c r="AX445" i="3" a="1"/>
  <c r="AX445" i="3" s="1"/>
  <c r="AW424" i="3" a="1"/>
  <c r="AW424" i="3" s="1"/>
  <c r="AX424" i="3" a="1"/>
  <c r="AX424" i="3" s="1"/>
  <c r="AX443" i="3" a="1"/>
  <c r="AX443" i="3" s="1"/>
  <c r="AW443" i="3" a="1"/>
  <c r="AW443" i="3" s="1"/>
  <c r="AX570" i="3" a="1"/>
  <c r="AX570" i="3" s="1"/>
  <c r="AX560" i="3" a="1"/>
  <c r="AX560" i="3" s="1"/>
  <c r="AX536" i="3" a="1"/>
  <c r="AX536" i="3" s="1"/>
  <c r="AX522" i="3" a="1"/>
  <c r="AX522" i="3" s="1"/>
  <c r="AX510" i="3" a="1"/>
  <c r="AX510" i="3" s="1"/>
  <c r="AX495" i="3" a="1"/>
  <c r="AX495" i="3" s="1"/>
  <c r="AW472" i="3" a="1"/>
  <c r="AW472" i="3" s="1"/>
  <c r="AX472" i="3" a="1"/>
  <c r="AX472" i="3" s="1"/>
  <c r="AX457" i="3" a="1"/>
  <c r="AX457" i="3" s="1"/>
  <c r="AW544" i="3" a="1"/>
  <c r="AW544" i="3" s="1"/>
  <c r="AX516" i="3" a="1"/>
  <c r="AX516" i="3" s="1"/>
  <c r="AX504" i="3" a="1"/>
  <c r="AX504" i="3" s="1"/>
  <c r="AW465" i="3" a="1"/>
  <c r="AW465" i="3" s="1"/>
  <c r="AX465" i="3" a="1"/>
  <c r="AX465" i="3" s="1"/>
  <c r="AW440" i="3" a="1"/>
  <c r="AW440" i="3" s="1"/>
  <c r="AX440" i="3" a="1"/>
  <c r="AX440" i="3" s="1"/>
  <c r="AW396" i="3" a="1"/>
  <c r="AW396" i="3" s="1"/>
  <c r="AX396" i="3" a="1"/>
  <c r="AX396" i="3" s="1"/>
  <c r="AW427" i="3" a="1"/>
  <c r="AW427" i="3" s="1"/>
  <c r="AW419" i="3" a="1"/>
  <c r="AW419" i="3" s="1"/>
  <c r="AW400" i="3" a="1"/>
  <c r="AW400" i="3" s="1"/>
  <c r="AW411" i="3" a="1"/>
  <c r="AW411" i="3" s="1"/>
  <c r="AX391" i="3" a="1"/>
  <c r="AX391" i="3" s="1"/>
  <c r="AW391" i="3" a="1"/>
  <c r="AW391" i="3" s="1"/>
  <c r="AX383" i="3" a="1"/>
  <c r="AX383" i="3" s="1"/>
  <c r="AW333" i="3" a="1"/>
  <c r="AW333" i="3" s="1"/>
  <c r="AX333" i="3" a="1"/>
  <c r="AX333" i="3" s="1"/>
  <c r="AW356" i="3" a="1"/>
  <c r="AW356" i="3" s="1"/>
  <c r="AX356" i="3" a="1"/>
  <c r="AX356" i="3" s="1"/>
  <c r="AW295" i="3" a="1"/>
  <c r="AW295" i="3" s="1"/>
  <c r="AX295" i="3" a="1"/>
  <c r="AX295" i="3" s="1"/>
  <c r="AX480" i="3" a="1"/>
  <c r="AX480" i="3" s="1"/>
  <c r="AX468" i="3" a="1"/>
  <c r="AX468" i="3" s="1"/>
  <c r="AX456" i="3" a="1"/>
  <c r="AX456" i="3" s="1"/>
  <c r="AX444" i="3" a="1"/>
  <c r="AX444" i="3" s="1"/>
  <c r="AX423" i="3" a="1"/>
  <c r="AX423" i="3" s="1"/>
  <c r="AW371" i="3" a="1"/>
  <c r="AW371" i="3" s="1"/>
  <c r="AX371" i="3" a="1"/>
  <c r="AX371" i="3" s="1"/>
  <c r="AX470" i="3" a="1"/>
  <c r="AX470" i="3" s="1"/>
  <c r="AX458" i="3" a="1"/>
  <c r="AX458" i="3" s="1"/>
  <c r="AX446" i="3" a="1"/>
  <c r="AX446" i="3" s="1"/>
  <c r="AX441" i="3" a="1"/>
  <c r="AX441" i="3" s="1"/>
  <c r="AX417" i="3" a="1"/>
  <c r="AX417" i="3" s="1"/>
  <c r="AW301" i="3" a="1"/>
  <c r="AW301" i="3" s="1"/>
  <c r="AX301" i="3" a="1"/>
  <c r="AX301" i="3" s="1"/>
  <c r="AX453" i="3" a="1"/>
  <c r="AX453" i="3" s="1"/>
  <c r="AX422" i="3" a="1"/>
  <c r="AX422" i="3" s="1"/>
  <c r="AX394" i="3" a="1"/>
  <c r="AX394" i="3" s="1"/>
  <c r="AX377" i="3" a="1"/>
  <c r="AX377" i="3" s="1"/>
  <c r="AW359" i="3" a="1"/>
  <c r="AW359" i="3" s="1"/>
  <c r="AX359" i="3" a="1"/>
  <c r="AX359" i="3" s="1"/>
  <c r="AX460" i="3" a="1"/>
  <c r="AX460" i="3" s="1"/>
  <c r="AX448" i="3" a="1"/>
  <c r="AX448" i="3" s="1"/>
  <c r="AX438" i="3" a="1"/>
  <c r="AX438" i="3" s="1"/>
  <c r="AX430" i="3" a="1"/>
  <c r="AX430" i="3" s="1"/>
  <c r="AX414" i="3" a="1"/>
  <c r="AX414" i="3" s="1"/>
  <c r="AX406" i="3" a="1"/>
  <c r="AX406" i="3" s="1"/>
  <c r="AX368" i="3" a="1"/>
  <c r="AX368" i="3" s="1"/>
  <c r="AX384" i="3" a="1"/>
  <c r="AX384" i="3" s="1"/>
  <c r="AW403" i="3" a="1"/>
  <c r="AW403" i="3" s="1"/>
  <c r="AW379" i="3" a="1"/>
  <c r="AW379" i="3" s="1"/>
  <c r="AX326" i="3" a="1"/>
  <c r="AX326" i="3" s="1"/>
  <c r="AX320" i="3" a="1"/>
  <c r="AX320" i="3" s="1"/>
  <c r="AW300" i="3" a="1"/>
  <c r="AW300" i="3" s="1"/>
  <c r="AW294" i="3" a="1"/>
  <c r="AW294" i="3" s="1"/>
  <c r="AX276" i="3" a="1"/>
  <c r="AX276" i="3" s="1"/>
  <c r="AX267" i="3" a="1"/>
  <c r="AX267" i="3" s="1"/>
  <c r="AX99" i="3" a="1"/>
  <c r="AX99" i="3" s="1"/>
  <c r="AW201" i="3" a="1"/>
  <c r="AW201" i="3" s="1"/>
  <c r="AX201" i="3" a="1"/>
  <c r="AX201" i="3" s="1"/>
  <c r="AW190" i="3" a="1"/>
  <c r="AW190" i="3" s="1"/>
  <c r="AX190" i="3" a="1"/>
  <c r="AX190" i="3" s="1"/>
  <c r="AW147" i="3" a="1"/>
  <c r="AW147" i="3" s="1"/>
  <c r="AX147" i="3" a="1"/>
  <c r="AX147" i="3" s="1"/>
  <c r="AX347" i="3" a="1"/>
  <c r="AX347" i="3" s="1"/>
  <c r="AX331" i="3" a="1"/>
  <c r="AX331" i="3" s="1"/>
  <c r="AX302" i="3" a="1"/>
  <c r="AX302" i="3" s="1"/>
  <c r="AX296" i="3" a="1"/>
  <c r="AX296" i="3" s="1"/>
  <c r="AX287" i="3" a="1"/>
  <c r="AX287" i="3" s="1"/>
  <c r="AX281" i="3" a="1"/>
  <c r="AX281" i="3" s="1"/>
  <c r="AX344" i="3" a="1"/>
  <c r="AX344" i="3" s="1"/>
  <c r="AX325" i="3" a="1"/>
  <c r="AX325" i="3" s="1"/>
  <c r="AX319" i="3" a="1"/>
  <c r="AX319" i="3" s="1"/>
  <c r="AW213" i="3" a="1"/>
  <c r="AW213" i="3" s="1"/>
  <c r="AX213" i="3" a="1"/>
  <c r="AX213" i="3" s="1"/>
  <c r="AW144" i="3" a="1"/>
  <c r="AW144" i="3" s="1"/>
  <c r="AX144" i="3" a="1"/>
  <c r="AX144" i="3" s="1"/>
  <c r="AW261" i="3" a="1"/>
  <c r="AW261" i="3" s="1"/>
  <c r="AX261" i="3" a="1"/>
  <c r="AX261" i="3" s="1"/>
  <c r="AW249" i="3" a="1"/>
  <c r="AW249" i="3" s="1"/>
  <c r="AX249" i="3" a="1"/>
  <c r="AX249" i="3" s="1"/>
  <c r="AX327" i="3" a="1"/>
  <c r="AX327" i="3" s="1"/>
  <c r="AX324" i="3" a="1"/>
  <c r="AX324" i="3" s="1"/>
  <c r="AX277" i="3" a="1"/>
  <c r="AX277" i="3" s="1"/>
  <c r="AU235" i="3"/>
  <c r="AV235" i="3" s="1" a="1"/>
  <c r="AV235" i="3" s="1"/>
  <c r="AW235" i="3" a="1"/>
  <c r="AW235" i="3" s="1"/>
  <c r="AX235" i="3" a="1"/>
  <c r="AX235" i="3" s="1"/>
  <c r="AX315" i="3" a="1"/>
  <c r="AX315" i="3" s="1"/>
  <c r="AX309" i="3" a="1"/>
  <c r="AX309" i="3" s="1"/>
  <c r="AW258" i="3" a="1"/>
  <c r="AW258" i="3" s="1"/>
  <c r="AW246" i="3" a="1"/>
  <c r="AW246" i="3" s="1"/>
  <c r="AU237" i="3"/>
  <c r="AV237" i="3" s="1" a="1"/>
  <c r="AV237" i="3" s="1"/>
  <c r="AW237" i="3" a="1"/>
  <c r="AW237" i="3" s="1"/>
  <c r="AX237" i="3" a="1"/>
  <c r="AX237" i="3" s="1"/>
  <c r="AU225" i="3"/>
  <c r="AV225" i="3" s="1" a="1"/>
  <c r="AV225" i="3" s="1"/>
  <c r="AW225" i="3" a="1"/>
  <c r="AW225" i="3" s="1"/>
  <c r="AX225" i="3" a="1"/>
  <c r="AX225" i="3" s="1"/>
  <c r="AX332" i="3" a="1"/>
  <c r="AX332" i="3" s="1"/>
  <c r="AW259" i="3" a="1"/>
  <c r="AW259" i="3" s="1"/>
  <c r="AX259" i="3" a="1"/>
  <c r="AX259" i="3" s="1"/>
  <c r="AW247" i="3" a="1"/>
  <c r="AW247" i="3" s="1"/>
  <c r="AX247" i="3" a="1"/>
  <c r="AX247" i="3" s="1"/>
  <c r="AU239" i="3"/>
  <c r="AV239" i="3" s="1" a="1"/>
  <c r="AV239" i="3" s="1"/>
  <c r="AW236" i="3" a="1"/>
  <c r="AW236" i="3" s="1"/>
  <c r="AW224" i="3" a="1"/>
  <c r="AW224" i="3" s="1"/>
  <c r="AX172" i="3" a="1"/>
  <c r="AX172" i="3" s="1"/>
  <c r="AX166" i="3" a="1"/>
  <c r="AX166" i="3" s="1"/>
  <c r="AW146" i="3" a="1"/>
  <c r="AW146" i="3" s="1"/>
  <c r="AU222" i="3"/>
  <c r="AV222" i="3" s="1" a="1"/>
  <c r="AV222" i="3" s="1"/>
  <c r="AX209" i="3" a="1"/>
  <c r="AX209" i="3" s="1"/>
  <c r="AW51" i="3" a="1"/>
  <c r="AW51" i="3" s="1"/>
  <c r="AX51" i="3" a="1"/>
  <c r="AX51" i="3" s="1"/>
  <c r="AW15" i="3" a="1"/>
  <c r="AW15" i="3" s="1"/>
  <c r="AX15" i="3" a="1"/>
  <c r="AX15" i="3" s="1"/>
  <c r="AW132" i="3" a="1"/>
  <c r="AW132" i="3" s="1"/>
  <c r="AX132" i="3" a="1"/>
  <c r="AX132" i="3" s="1"/>
  <c r="AW75" i="3" a="1"/>
  <c r="AW75" i="3" s="1"/>
  <c r="AX75" i="3" a="1"/>
  <c r="AX75" i="3" s="1"/>
  <c r="AX223" i="3" a="1"/>
  <c r="AX223" i="3" s="1"/>
  <c r="AX211" i="3" a="1"/>
  <c r="AX211" i="3" s="1"/>
  <c r="AX199" i="3" a="1"/>
  <c r="AX199" i="3" s="1"/>
  <c r="AX188" i="3" a="1"/>
  <c r="AX188" i="3" s="1"/>
  <c r="AX168" i="3" a="1"/>
  <c r="AX168" i="3" s="1"/>
  <c r="AX162" i="3" a="1"/>
  <c r="AX162" i="3" s="1"/>
  <c r="AX135" i="3" a="1"/>
  <c r="AX135" i="3" s="1"/>
  <c r="AX218" i="3" a="1"/>
  <c r="AX218" i="3" s="1"/>
  <c r="AX206" i="3" a="1"/>
  <c r="AX206" i="3" s="1"/>
  <c r="AX195" i="3" a="1"/>
  <c r="AX195" i="3" s="1"/>
  <c r="AX171" i="3" a="1"/>
  <c r="AX171" i="3" s="1"/>
  <c r="AX165" i="3" a="1"/>
  <c r="AX165" i="3" s="1"/>
  <c r="AX156" i="3" a="1"/>
  <c r="AX156" i="3" s="1"/>
  <c r="AW111" i="3" a="1"/>
  <c r="AW111" i="3" s="1"/>
  <c r="AX111" i="3" a="1"/>
  <c r="AX111" i="3" s="1"/>
  <c r="AW27" i="3" a="1"/>
  <c r="AW27" i="3" s="1"/>
  <c r="AX27" i="3" a="1"/>
  <c r="AX27" i="3" s="1"/>
  <c r="AX159" i="3" a="1"/>
  <c r="AX159" i="3" s="1"/>
  <c r="AX153" i="3" a="1"/>
  <c r="AX153" i="3" s="1"/>
  <c r="AX141" i="3" a="1"/>
  <c r="AX141" i="3" s="1"/>
  <c r="AX129" i="3" a="1"/>
  <c r="AX129" i="3" s="1"/>
  <c r="AX87" i="3" a="1"/>
  <c r="AX87" i="3" s="1"/>
  <c r="AX234" i="3" a="1"/>
  <c r="AX234" i="3" s="1"/>
  <c r="AX222" i="3" a="1"/>
  <c r="AX222" i="3" s="1"/>
  <c r="AX210" i="3" a="1"/>
  <c r="AX210" i="3" s="1"/>
  <c r="AX198" i="3" a="1"/>
  <c r="AX198" i="3" s="1"/>
  <c r="AX187" i="3" a="1"/>
  <c r="AX187" i="3" s="1"/>
  <c r="AX134" i="3" a="1"/>
  <c r="AX134" i="3" s="1"/>
  <c r="AW134" i="3" a="1"/>
  <c r="AW134" i="3" s="1"/>
  <c r="AW123" i="3" a="1"/>
  <c r="AW123" i="3" s="1"/>
  <c r="AX123" i="3" a="1"/>
  <c r="AX123" i="3" s="1"/>
  <c r="AW63" i="3" a="1"/>
  <c r="AW63" i="3" s="1"/>
  <c r="AX63" i="3" a="1"/>
  <c r="AX63" i="3" s="1"/>
  <c r="AW39" i="3" a="1"/>
  <c r="AW39" i="3" s="1"/>
  <c r="AX39" i="3" a="1"/>
  <c r="AX39" i="3" s="1"/>
  <c r="AW127" i="3" a="1"/>
  <c r="AW127" i="3" s="1"/>
  <c r="AW122" i="3" a="1"/>
  <c r="AW122" i="3" s="1"/>
  <c r="AX73" i="3" a="1"/>
  <c r="AX73" i="3" s="1"/>
  <c r="AX61" i="3" a="1"/>
  <c r="AX61" i="3" s="1"/>
  <c r="AX49" i="3" a="1"/>
  <c r="AX49" i="3" s="1"/>
  <c r="AX37" i="3" a="1"/>
  <c r="AX37" i="3" s="1"/>
  <c r="AX25" i="3" a="1"/>
  <c r="AX25" i="3" s="1"/>
  <c r="AX34" i="3" a="1"/>
  <c r="AX34" i="3" s="1"/>
  <c r="AX120" i="3" a="1"/>
  <c r="AX120" i="3" s="1"/>
  <c r="AX108" i="3" a="1"/>
  <c r="AX108" i="3" s="1"/>
  <c r="AX96" i="3" a="1"/>
  <c r="AX96" i="3" s="1"/>
  <c r="AX84" i="3" a="1"/>
  <c r="AX84" i="3" s="1"/>
  <c r="AX72" i="3" a="1"/>
  <c r="AX72" i="3" s="1"/>
  <c r="AX60" i="3" a="1"/>
  <c r="AX60" i="3" s="1"/>
  <c r="AX48" i="3" a="1"/>
  <c r="AX48" i="3" s="1"/>
  <c r="AX36" i="3" a="1"/>
  <c r="AX36" i="3" s="1"/>
  <c r="AX24" i="3" a="1"/>
  <c r="AX24" i="3" s="1"/>
  <c r="AX12" i="3" a="1"/>
  <c r="AX12" i="3" s="1"/>
  <c r="AT2" i="3"/>
  <c r="AW2" i="3" s="1" a="1"/>
  <c r="AW2" i="3" s="1"/>
  <c r="AU2" i="3"/>
  <c r="AV2" i="3" s="1" a="1"/>
  <c r="AV2" i="3" s="1"/>
  <c r="AY2" i="3"/>
  <c r="AZ2" i="3"/>
  <c r="BA2" i="3"/>
  <c r="BB2" i="3"/>
  <c r="BC2" i="3"/>
  <c r="BD2" i="3"/>
  <c r="BE2" i="3"/>
  <c r="BF2" i="3"/>
  <c r="BG2" i="3"/>
  <c r="A3" i="3"/>
  <c r="A4" i="3" s="1"/>
  <c r="A5" i="3" s="1"/>
  <c r="A6" i="3" s="1"/>
  <c r="A7" i="3" s="1"/>
  <c r="A8" i="3" s="1"/>
  <c r="A9" i="3" s="1"/>
  <c r="A10" i="3" s="1"/>
  <c r="A11" i="3" s="1"/>
  <c r="A12" i="3" s="1"/>
  <c r="A13" i="3" s="1"/>
  <c r="A14" i="3" s="1"/>
  <c r="A15" i="3" s="1"/>
  <c r="A16" i="3" s="1"/>
  <c r="A17" i="3" s="1"/>
  <c r="A18" i="3" s="1"/>
  <c r="A19" i="3" s="1"/>
  <c r="A20" i="3" s="1"/>
  <c r="A21" i="3" s="1"/>
  <c r="A22" i="3" s="1"/>
  <c r="A23" i="3" s="1"/>
  <c r="A24" i="3" s="1"/>
  <c r="A25" i="3" s="1"/>
  <c r="A26" i="3" s="1"/>
  <c r="A27" i="3" s="1"/>
  <c r="A28" i="3" s="1"/>
  <c r="A29" i="3" s="1"/>
  <c r="A30" i="3" s="1"/>
  <c r="A31" i="3" s="1"/>
  <c r="A32" i="3" s="1"/>
  <c r="A33" i="3" s="1"/>
  <c r="A34" i="3" s="1"/>
  <c r="A35" i="3" s="1"/>
  <c r="A36" i="3" s="1"/>
  <c r="A37" i="3" s="1"/>
  <c r="A38" i="3" s="1"/>
  <c r="A39" i="3" s="1"/>
  <c r="A40" i="3" s="1"/>
  <c r="A41" i="3" s="1"/>
  <c r="A42" i="3" s="1"/>
  <c r="A43" i="3" s="1"/>
  <c r="A44" i="3" s="1"/>
  <c r="A45" i="3" s="1"/>
  <c r="A46" i="3" s="1"/>
  <c r="A47" i="3" s="1"/>
  <c r="A48" i="3" s="1"/>
  <c r="A49" i="3" s="1"/>
  <c r="A50" i="3" s="1"/>
  <c r="A51" i="3" s="1"/>
  <c r="A52" i="3" s="1"/>
  <c r="A53" i="3" s="1"/>
  <c r="A54" i="3" s="1"/>
  <c r="A55" i="3" s="1"/>
  <c r="A56" i="3" s="1"/>
  <c r="A57" i="3" s="1"/>
  <c r="A58" i="3" s="1"/>
  <c r="A59" i="3" s="1"/>
  <c r="A60" i="3" s="1"/>
  <c r="A61" i="3" s="1"/>
  <c r="A62" i="3" s="1"/>
  <c r="A63" i="3" s="1"/>
  <c r="A64" i="3" s="1"/>
  <c r="A65" i="3" s="1"/>
  <c r="A66" i="3" s="1"/>
  <c r="A67" i="3" s="1"/>
  <c r="A68" i="3" s="1"/>
  <c r="A69" i="3" s="1"/>
  <c r="A70" i="3" s="1"/>
  <c r="A71" i="3" s="1"/>
  <c r="A72" i="3" s="1"/>
  <c r="A73" i="3" s="1"/>
  <c r="A74" i="3" s="1"/>
  <c r="A75" i="3" s="1"/>
  <c r="A76" i="3" s="1"/>
  <c r="A77" i="3" s="1"/>
  <c r="A78" i="3" s="1"/>
  <c r="A79" i="3" s="1"/>
  <c r="A80" i="3" s="1"/>
  <c r="A81" i="3" s="1"/>
  <c r="A82" i="3" s="1"/>
  <c r="A83" i="3" s="1"/>
  <c r="A84" i="3" s="1"/>
  <c r="A85" i="3" s="1"/>
  <c r="A86" i="3" s="1"/>
  <c r="A87" i="3" s="1"/>
  <c r="A88" i="3" s="1"/>
  <c r="A89" i="3" s="1"/>
  <c r="A90" i="3" s="1"/>
  <c r="A91" i="3" s="1"/>
  <c r="A92" i="3" s="1"/>
  <c r="A93" i="3" s="1"/>
  <c r="A94" i="3" s="1"/>
  <c r="A95" i="3" s="1"/>
  <c r="A96" i="3" s="1"/>
  <c r="A97" i="3" s="1"/>
  <c r="A98" i="3" s="1"/>
  <c r="A99" i="3" s="1"/>
  <c r="A100" i="3" s="1"/>
  <c r="A101" i="3" s="1"/>
  <c r="A102" i="3" s="1"/>
  <c r="A103" i="3" s="1"/>
  <c r="A104" i="3" s="1"/>
  <c r="A105" i="3" s="1"/>
  <c r="A106" i="3" s="1"/>
  <c r="A107" i="3" s="1"/>
  <c r="A108" i="3" s="1"/>
  <c r="A109" i="3" s="1"/>
  <c r="A110" i="3" s="1"/>
  <c r="A111" i="3" s="1"/>
  <c r="A112" i="3" s="1"/>
  <c r="A113" i="3" s="1"/>
  <c r="A114" i="3" s="1"/>
  <c r="A115" i="3" s="1"/>
  <c r="A116" i="3" s="1"/>
  <c r="A117" i="3" s="1"/>
  <c r="A118" i="3" s="1"/>
  <c r="A119" i="3" s="1"/>
  <c r="A120" i="3" s="1"/>
  <c r="A121" i="3" s="1"/>
  <c r="A122" i="3" s="1"/>
  <c r="A123" i="3" s="1"/>
  <c r="A124" i="3" s="1"/>
  <c r="A125" i="3" s="1"/>
  <c r="A126" i="3" s="1"/>
  <c r="A127" i="3" s="1"/>
  <c r="A128" i="3" s="1"/>
  <c r="A129" i="3" s="1"/>
  <c r="A130" i="3" s="1"/>
  <c r="A131" i="3" s="1"/>
  <c r="A132" i="3" s="1"/>
  <c r="A133" i="3" s="1"/>
  <c r="A134" i="3" s="1"/>
  <c r="A135" i="3" s="1"/>
  <c r="A136" i="3" s="1"/>
  <c r="A137" i="3" s="1"/>
  <c r="A138" i="3" s="1"/>
  <c r="A139" i="3" s="1"/>
  <c r="A140" i="3" s="1"/>
  <c r="A141" i="3" s="1"/>
  <c r="A142" i="3" s="1"/>
  <c r="A143" i="3" s="1"/>
  <c r="A144" i="3" s="1"/>
  <c r="A145" i="3" s="1"/>
  <c r="A146" i="3" s="1"/>
  <c r="A147" i="3" s="1"/>
  <c r="A148" i="3" s="1"/>
  <c r="A149" i="3" s="1"/>
  <c r="A150" i="3" s="1"/>
  <c r="A151" i="3" s="1"/>
  <c r="A152" i="3" s="1"/>
  <c r="A153" i="3" s="1"/>
  <c r="A154" i="3" s="1"/>
  <c r="A155" i="3" s="1"/>
  <c r="A156" i="3" s="1"/>
  <c r="A157" i="3" s="1"/>
  <c r="A158" i="3" s="1"/>
  <c r="A159" i="3" s="1"/>
  <c r="A160" i="3" s="1"/>
  <c r="A161" i="3" s="1"/>
  <c r="A162" i="3" s="1"/>
  <c r="A163" i="3" s="1"/>
  <c r="A164" i="3" s="1"/>
  <c r="A165" i="3" s="1"/>
  <c r="A166" i="3" s="1"/>
  <c r="A167" i="3" s="1"/>
  <c r="A168" i="3" s="1"/>
  <c r="A169" i="3" s="1"/>
  <c r="A170" i="3" s="1"/>
  <c r="A171" i="3" s="1"/>
  <c r="A172" i="3" s="1"/>
  <c r="A173" i="3" s="1"/>
  <c r="A174" i="3" s="1"/>
  <c r="A175" i="3" s="1"/>
  <c r="A176" i="3" s="1"/>
  <c r="A177" i="3" s="1"/>
  <c r="A178" i="3" s="1"/>
  <c r="A179" i="3" s="1"/>
  <c r="A180" i="3" s="1"/>
  <c r="A181" i="3" s="1"/>
  <c r="A182" i="3" s="1"/>
  <c r="A183" i="3" s="1"/>
  <c r="A184" i="3" s="1"/>
  <c r="A185" i="3" s="1"/>
  <c r="A186" i="3" s="1"/>
  <c r="A187" i="3" s="1"/>
  <c r="A188" i="3" s="1"/>
  <c r="A189" i="3" s="1"/>
  <c r="A190" i="3" s="1"/>
  <c r="A191" i="3" s="1"/>
  <c r="A192" i="3" s="1"/>
  <c r="A193" i="3" s="1"/>
  <c r="A194" i="3" s="1"/>
  <c r="A195" i="3" s="1"/>
  <c r="A196" i="3" s="1"/>
  <c r="A197" i="3" s="1"/>
  <c r="A198" i="3" s="1"/>
  <c r="A199" i="3" s="1"/>
  <c r="A200" i="3" s="1"/>
  <c r="A201" i="3" s="1"/>
  <c r="A202" i="3" s="1"/>
  <c r="A203" i="3" s="1"/>
  <c r="A204" i="3" s="1"/>
  <c r="A205" i="3" s="1"/>
  <c r="A206" i="3" s="1"/>
  <c r="A207" i="3" s="1"/>
  <c r="A208" i="3" s="1"/>
  <c r="A209" i="3" s="1"/>
  <c r="A210" i="3" s="1"/>
  <c r="A211" i="3" s="1"/>
  <c r="A212" i="3" s="1"/>
  <c r="A213" i="3" s="1"/>
  <c r="A214" i="3" s="1"/>
  <c r="A215" i="3" s="1"/>
  <c r="A216" i="3" s="1"/>
  <c r="A217" i="3" s="1"/>
  <c r="A218" i="3" s="1"/>
  <c r="A219" i="3" s="1"/>
  <c r="A220" i="3" s="1"/>
  <c r="A221" i="3" s="1"/>
  <c r="A222" i="3" s="1"/>
  <c r="A223" i="3" s="1"/>
  <c r="A224" i="3" s="1"/>
  <c r="A225" i="3" s="1"/>
  <c r="A226" i="3" s="1"/>
  <c r="A227" i="3" s="1"/>
  <c r="A228" i="3" s="1"/>
  <c r="A229" i="3" s="1"/>
  <c r="A230" i="3" s="1"/>
  <c r="A231" i="3" s="1"/>
  <c r="A232" i="3" s="1"/>
  <c r="A233" i="3" s="1"/>
  <c r="A234" i="3" s="1"/>
  <c r="A235" i="3" s="1"/>
  <c r="A236" i="3" s="1"/>
  <c r="A237" i="3" s="1"/>
  <c r="A238" i="3" s="1"/>
  <c r="A239" i="3" s="1"/>
  <c r="A240" i="3" s="1"/>
  <c r="A241" i="3" s="1"/>
  <c r="A242" i="3" s="1"/>
  <c r="A243" i="3" s="1"/>
  <c r="A244" i="3" s="1"/>
  <c r="A245" i="3" s="1"/>
  <c r="A246" i="3" s="1"/>
  <c r="A247" i="3" s="1"/>
  <c r="AM85" i="3"/>
  <c r="AM86" i="3"/>
  <c r="AM87" i="3"/>
  <c r="AM88" i="3"/>
  <c r="AM90" i="3"/>
  <c r="AM91" i="3"/>
  <c r="AM92" i="3"/>
  <c r="AM93" i="3"/>
  <c r="AM95" i="3"/>
  <c r="AM96" i="3"/>
  <c r="AM97" i="3"/>
  <c r="AM98" i="3"/>
  <c r="AM99" i="3"/>
  <c r="AM100" i="3"/>
  <c r="AM101" i="3"/>
  <c r="AM102" i="3"/>
  <c r="AM103" i="3"/>
  <c r="AM106" i="3"/>
  <c r="AM109" i="3"/>
  <c r="AM137" i="3"/>
  <c r="AM139" i="3"/>
  <c r="BF139" i="3" l="1"/>
  <c r="AW139" i="3" a="1"/>
  <c r="AW139" i="3" s="1"/>
  <c r="BF137" i="3"/>
  <c r="AW137" i="3" a="1"/>
  <c r="AW137" i="3" s="1"/>
  <c r="BF109" i="3"/>
  <c r="AW109" i="3" a="1"/>
  <c r="AW109" i="3" s="1"/>
  <c r="BF106" i="3"/>
  <c r="AW106" i="3" a="1"/>
  <c r="AW106" i="3" s="1"/>
  <c r="BF103" i="3"/>
  <c r="AW103" i="3" a="1"/>
  <c r="AW103" i="3" s="1"/>
  <c r="BF102" i="3"/>
  <c r="AW102" i="3" a="1"/>
  <c r="AW102" i="3" s="1"/>
  <c r="BF101" i="3"/>
  <c r="AW101" i="3" a="1"/>
  <c r="AW101" i="3" s="1"/>
  <c r="BF100" i="3"/>
  <c r="AW100" i="3" a="1"/>
  <c r="AW100" i="3" s="1"/>
  <c r="BF99" i="3"/>
  <c r="AW99" i="3" a="1"/>
  <c r="AW99" i="3" s="1"/>
  <c r="BF98" i="3"/>
  <c r="AW98" i="3" a="1"/>
  <c r="AW98" i="3" s="1"/>
  <c r="BF97" i="3"/>
  <c r="AW97" i="3" a="1"/>
  <c r="AW97" i="3" s="1"/>
  <c r="BF96" i="3"/>
  <c r="AW96" i="3" a="1"/>
  <c r="AW96" i="3" s="1"/>
  <c r="BF95" i="3"/>
  <c r="AW95" i="3" a="1"/>
  <c r="AW95" i="3" s="1"/>
  <c r="BF93" i="3"/>
  <c r="AW93" i="3" a="1"/>
  <c r="AW93" i="3" s="1"/>
  <c r="BF92" i="3"/>
  <c r="AW92" i="3" a="1"/>
  <c r="AW92" i="3" s="1"/>
  <c r="BF91" i="3"/>
  <c r="AW91" i="3" a="1"/>
  <c r="AW91" i="3" s="1"/>
  <c r="BF90" i="3"/>
  <c r="AW90" i="3" a="1"/>
  <c r="AW90" i="3" s="1"/>
  <c r="BF88" i="3"/>
  <c r="AW88" i="3" a="1"/>
  <c r="AW88" i="3" s="1"/>
  <c r="BF87" i="3"/>
  <c r="AW87" i="3" a="1"/>
  <c r="AW87" i="3" s="1"/>
  <c r="BF86" i="3"/>
  <c r="AW86" i="3" a="1"/>
  <c r="AW86" i="3" s="1"/>
  <c r="BF85" i="3"/>
  <c r="AW85" i="3" a="1"/>
  <c r="AW85" i="3" s="1"/>
  <c r="AX2" i="3" a="1"/>
  <c r="AX2" i="3" s="1"/>
  <c r="A3" i="1" l="1"/>
  <c r="A4" i="1" s="1"/>
  <c r="A5" i="1" s="1"/>
  <c r="A6" i="1" s="1"/>
  <c r="A7" i="1" s="1"/>
  <c r="A8" i="1" s="1"/>
  <c r="A9" i="1" s="1"/>
  <c r="A10" i="1" s="1"/>
  <c r="A11" i="1" s="1"/>
  <c r="A12" i="1" s="1"/>
  <c r="A13" i="1" s="1"/>
  <c r="A14" i="1" s="1"/>
  <c r="A15" i="1" s="1"/>
  <c r="A16" i="1" s="1"/>
  <c r="A17" i="1" s="1"/>
  <c r="A18" i="1" s="1"/>
  <c r="A19" i="1" s="1"/>
  <c r="A20" i="1" s="1"/>
  <c r="A21" i="1" s="1"/>
  <c r="A22" i="1" s="1"/>
  <c r="A23" i="1" s="1"/>
  <c r="A24" i="1" s="1"/>
  <c r="A25" i="1" s="1"/>
  <c r="A26" i="1" s="1"/>
  <c r="A27" i="1" s="1"/>
  <c r="A28" i="1" s="1"/>
  <c r="A29" i="1" s="1"/>
  <c r="A30" i="1" s="1"/>
  <c r="A31" i="1" s="1"/>
  <c r="A32" i="1" s="1"/>
  <c r="A33" i="1" s="1"/>
  <c r="A34" i="1" s="1"/>
  <c r="A35" i="1" s="1"/>
  <c r="A36" i="1" s="1"/>
  <c r="A37" i="1" s="1"/>
  <c r="A38" i="1" s="1"/>
  <c r="A39" i="1" s="1"/>
  <c r="A40" i="1" s="1"/>
  <c r="A41" i="1" s="1"/>
  <c r="A42" i="1" s="1"/>
  <c r="A43" i="1" s="1"/>
  <c r="A44" i="1" s="1"/>
  <c r="A45" i="1" s="1"/>
  <c r="A46" i="1" s="1"/>
  <c r="A47" i="1" s="1"/>
  <c r="A48" i="1" s="1"/>
  <c r="A49" i="1" s="1"/>
  <c r="A50" i="1" s="1"/>
  <c r="A51" i="1" s="1"/>
  <c r="A52" i="1" s="1"/>
  <c r="A53" i="1" s="1"/>
  <c r="A54" i="1" s="1"/>
  <c r="A55" i="1" s="1"/>
  <c r="A56" i="1" s="1"/>
  <c r="A57" i="1" s="1"/>
  <c r="A58" i="1" s="1"/>
  <c r="A59" i="1" s="1"/>
  <c r="A60" i="1" s="1"/>
  <c r="A61" i="1" s="1"/>
  <c r="A62" i="1" s="1"/>
  <c r="A63" i="1" s="1"/>
  <c r="A64" i="1" s="1"/>
  <c r="A65" i="1" s="1"/>
  <c r="A66" i="1" s="1"/>
  <c r="A67" i="1" s="1"/>
  <c r="A68" i="1" s="1"/>
  <c r="A69" i="1" s="1"/>
  <c r="A70" i="1" s="1"/>
  <c r="A71" i="1" s="1"/>
  <c r="A72" i="1" s="1"/>
  <c r="A73" i="1" s="1"/>
  <c r="A74" i="1" s="1"/>
  <c r="A75" i="1" s="1"/>
  <c r="A76" i="1" s="1"/>
  <c r="A77" i="1" s="1"/>
  <c r="A78" i="1" s="1"/>
  <c r="A79" i="1" s="1"/>
  <c r="A80" i="1" s="1"/>
  <c r="A81" i="1" s="1"/>
  <c r="A82" i="1" s="1"/>
  <c r="A83" i="1" s="1"/>
  <c r="A84" i="1" s="1"/>
  <c r="A85" i="1" s="1"/>
  <c r="A86" i="1" s="1"/>
  <c r="A87" i="1" s="1"/>
  <c r="A88" i="1" s="1"/>
  <c r="A89" i="1" s="1"/>
  <c r="A90" i="1" s="1"/>
  <c r="A91" i="1" s="1"/>
  <c r="A92" i="1" s="1"/>
  <c r="A93" i="1" s="1"/>
  <c r="A94" i="1" s="1"/>
  <c r="A95" i="1" s="1"/>
  <c r="A96" i="1" s="1"/>
  <c r="A97" i="1" s="1"/>
  <c r="A98" i="1" s="1"/>
  <c r="A99" i="1" s="1"/>
  <c r="A100" i="1" s="1"/>
  <c r="A101" i="1" s="1"/>
  <c r="A102" i="1" s="1"/>
  <c r="A103" i="1" s="1"/>
  <c r="A104" i="1" s="1"/>
  <c r="A105" i="1" s="1"/>
  <c r="A106" i="1" s="1"/>
  <c r="A107" i="1" s="1"/>
  <c r="A108" i="1" s="1"/>
  <c r="A109" i="1" s="1"/>
  <c r="A110" i="1" s="1"/>
  <c r="A111" i="1" s="1"/>
  <c r="A112" i="1" s="1"/>
  <c r="A113" i="1" s="1"/>
  <c r="A114" i="1" s="1"/>
  <c r="A115" i="1" s="1"/>
  <c r="A116" i="1" s="1"/>
  <c r="A117" i="1" s="1"/>
  <c r="A118" i="1" s="1"/>
  <c r="A119" i="1" s="1"/>
  <c r="A120" i="1" s="1"/>
  <c r="A121" i="1" s="1"/>
  <c r="A122" i="1" s="1"/>
  <c r="A123" i="1" s="1"/>
  <c r="A124" i="1" s="1"/>
  <c r="A125" i="1" s="1"/>
  <c r="A126" i="1" s="1"/>
  <c r="A127" i="1" s="1"/>
  <c r="A128" i="1" s="1"/>
  <c r="A129" i="1" s="1"/>
  <c r="A130" i="1" s="1"/>
  <c r="A131" i="1" s="1"/>
  <c r="A132" i="1" s="1"/>
  <c r="A133" i="1" s="1"/>
  <c r="A134" i="1" s="1"/>
  <c r="A135" i="1" s="1"/>
  <c r="A136" i="1" s="1"/>
  <c r="A137" i="1" s="1"/>
  <c r="A138" i="1" s="1"/>
  <c r="A139" i="1" s="1"/>
  <c r="A140" i="1" s="1"/>
  <c r="A141" i="1" s="1"/>
  <c r="A142" i="1" s="1"/>
  <c r="A143" i="1" s="1"/>
  <c r="A144" i="1" s="1"/>
  <c r="A145" i="1" s="1"/>
  <c r="A146" i="1" s="1"/>
  <c r="A147" i="1" s="1"/>
  <c r="A148" i="1" s="1"/>
  <c r="A149" i="1" s="1"/>
  <c r="A150" i="1" s="1"/>
  <c r="A151" i="1" s="1"/>
  <c r="A152" i="1" s="1"/>
  <c r="A153" i="1" s="1"/>
  <c r="A154" i="1" s="1"/>
  <c r="A155" i="1" s="1"/>
  <c r="A156" i="1" s="1"/>
  <c r="A157" i="1" s="1"/>
  <c r="A158" i="1" s="1"/>
  <c r="A159" i="1" s="1"/>
  <c r="A160" i="1" s="1"/>
  <c r="A161" i="1" s="1"/>
  <c r="A162" i="1" s="1"/>
  <c r="A163" i="1" s="1"/>
  <c r="A164" i="1" s="1"/>
  <c r="A165" i="1" s="1"/>
  <c r="A166" i="1" s="1"/>
  <c r="A167" i="1" s="1"/>
  <c r="A168" i="1" s="1"/>
  <c r="A169" i="1" s="1"/>
  <c r="A170" i="1" s="1"/>
  <c r="A171" i="1" s="1"/>
  <c r="A172" i="1" s="1"/>
  <c r="A173" i="1" s="1"/>
  <c r="A174" i="1" s="1"/>
  <c r="A175" i="1" s="1"/>
  <c r="A176" i="1" s="1"/>
  <c r="A177" i="1" s="1"/>
  <c r="A178" i="1" s="1"/>
  <c r="A179" i="1" s="1"/>
  <c r="A180" i="1" s="1"/>
  <c r="A181" i="1" s="1"/>
  <c r="A182" i="1" s="1"/>
  <c r="A183" i="1" s="1"/>
  <c r="A184" i="1" s="1"/>
  <c r="A185" i="1" s="1"/>
  <c r="A186" i="1" s="1"/>
  <c r="A187" i="1" s="1"/>
  <c r="A188" i="1" s="1"/>
  <c r="A189" i="1" s="1"/>
  <c r="A190" i="1" s="1"/>
  <c r="A191" i="1" s="1"/>
  <c r="A192" i="1" s="1"/>
  <c r="A193" i="1" s="1"/>
  <c r="A194" i="1" s="1"/>
  <c r="A195" i="1" s="1"/>
  <c r="A196" i="1" s="1"/>
  <c r="A197" i="1" s="1"/>
  <c r="A198" i="1" s="1"/>
  <c r="A199" i="1" s="1"/>
  <c r="A200" i="1" s="1"/>
  <c r="A201" i="1" s="1"/>
  <c r="A202" i="1" s="1"/>
  <c r="A203" i="1" s="1"/>
  <c r="A204" i="1" s="1"/>
  <c r="A205" i="1" s="1"/>
  <c r="A206" i="1" s="1"/>
  <c r="A207" i="1" s="1"/>
  <c r="A208" i="1" s="1"/>
  <c r="A209" i="1" s="1"/>
  <c r="A210" i="1" s="1"/>
  <c r="A211" i="1" s="1"/>
  <c r="A212" i="1" s="1"/>
  <c r="A213" i="1" s="1"/>
  <c r="A214" i="1" s="1"/>
  <c r="A215" i="1" s="1"/>
  <c r="A216" i="1" s="1"/>
  <c r="A217" i="1" s="1"/>
  <c r="A218" i="1" s="1"/>
  <c r="A219" i="1" s="1"/>
  <c r="A220" i="1" s="1"/>
  <c r="A221" i="1" s="1"/>
  <c r="A222" i="1" s="1"/>
  <c r="A223" i="1" s="1"/>
  <c r="A224" i="1" s="1"/>
  <c r="A225" i="1" s="1"/>
  <c r="A226" i="1" s="1"/>
  <c r="A227" i="1" s="1"/>
  <c r="A228" i="1" s="1"/>
  <c r="A229" i="1" s="1"/>
  <c r="A230" i="1" s="1"/>
  <c r="A231" i="1" s="1"/>
  <c r="A232" i="1" s="1"/>
  <c r="A233" i="1" s="1"/>
  <c r="A234" i="1" s="1"/>
  <c r="A235" i="1" s="1"/>
  <c r="A236" i="1" s="1"/>
  <c r="A237" i="1" s="1"/>
  <c r="A238" i="1" s="1"/>
  <c r="A239" i="1" s="1"/>
  <c r="A240" i="1" s="1"/>
  <c r="A241" i="1" s="1"/>
  <c r="A242" i="1" s="1"/>
  <c r="A243" i="1" s="1"/>
  <c r="A244" i="1" s="1"/>
  <c r="A245" i="1" s="1"/>
  <c r="A246" i="1" s="1"/>
  <c r="A247" i="1" s="1"/>
  <c r="A248" i="1" s="1"/>
  <c r="A249" i="1" s="1"/>
  <c r="A250" i="1" s="1"/>
  <c r="A251" i="1" s="1"/>
  <c r="A252" i="1" s="1"/>
  <c r="A253" i="1" s="1"/>
  <c r="A254" i="1" s="1"/>
  <c r="A255" i="1" s="1"/>
  <c r="A256" i="1" s="1"/>
  <c r="A257" i="1" s="1"/>
  <c r="A258" i="1" s="1"/>
  <c r="A259" i="1" s="1"/>
  <c r="A260" i="1" s="1"/>
  <c r="A261" i="1" s="1"/>
  <c r="A262" i="1" s="1"/>
  <c r="A263" i="1" s="1"/>
  <c r="A264" i="1" s="1"/>
  <c r="A265" i="1" s="1"/>
  <c r="A266" i="1" s="1"/>
  <c r="A267" i="1" s="1"/>
  <c r="A268" i="1" s="1"/>
  <c r="A269" i="1" s="1"/>
  <c r="A270" i="1" s="1"/>
  <c r="A271" i="1" s="1"/>
  <c r="A272" i="1" s="1"/>
  <c r="A273" i="1" s="1"/>
  <c r="A274" i="1" s="1"/>
  <c r="A275" i="1" s="1"/>
  <c r="A276" i="1" s="1"/>
  <c r="A277" i="1" s="1"/>
  <c r="A278" i="1" s="1"/>
  <c r="A279" i="1" s="1"/>
  <c r="A280" i="1" s="1"/>
  <c r="A281" i="1" s="1"/>
  <c r="A282" i="1" s="1"/>
  <c r="A283" i="1" s="1"/>
  <c r="A284" i="1" s="1"/>
  <c r="A285" i="1" s="1"/>
  <c r="A286" i="1" s="1"/>
  <c r="A287" i="1" s="1"/>
  <c r="A288" i="1" s="1"/>
  <c r="A289" i="1" s="1"/>
  <c r="A290" i="1" s="1"/>
  <c r="A291" i="1" s="1"/>
  <c r="A292" i="1" s="1"/>
  <c r="A293" i="1" s="1"/>
  <c r="A294" i="1" s="1"/>
  <c r="A295" i="1" s="1"/>
  <c r="A296" i="1" s="1"/>
  <c r="A297" i="1" s="1"/>
  <c r="A298" i="1" s="1"/>
  <c r="A299" i="1" s="1"/>
  <c r="A300" i="1" s="1"/>
  <c r="A301" i="1" s="1"/>
  <c r="A302" i="1" s="1"/>
  <c r="A303" i="1" s="1"/>
  <c r="A304" i="1" s="1"/>
  <c r="A305" i="1" s="1"/>
  <c r="A306" i="1" s="1"/>
  <c r="A307" i="1" s="1"/>
  <c r="A308" i="1" s="1"/>
  <c r="A309" i="1" s="1"/>
  <c r="A310" i="1" s="1"/>
  <c r="A311" i="1" s="1"/>
  <c r="A312" i="1" s="1"/>
  <c r="A313" i="1" s="1"/>
  <c r="A314" i="1" s="1"/>
  <c r="A315" i="1" s="1"/>
  <c r="A316" i="1" s="1"/>
  <c r="A317" i="1" s="1"/>
  <c r="A318" i="1" s="1"/>
  <c r="A319" i="1" s="1"/>
  <c r="A320" i="1" s="1"/>
  <c r="A321" i="1" s="1"/>
  <c r="A322" i="1" s="1"/>
  <c r="A323" i="1" s="1"/>
  <c r="A324" i="1" s="1"/>
  <c r="A325" i="1" s="1"/>
  <c r="A326" i="1" s="1"/>
  <c r="A327" i="1" s="1"/>
  <c r="A328" i="1" s="1"/>
  <c r="A329" i="1" s="1"/>
  <c r="A330" i="1" s="1"/>
  <c r="A331" i="1" s="1"/>
  <c r="A332" i="1" s="1"/>
  <c r="A333" i="1" s="1"/>
  <c r="A334" i="1" s="1"/>
  <c r="A335" i="1" s="1"/>
  <c r="A336" i="1" s="1"/>
  <c r="A337" i="1" s="1"/>
  <c r="A338" i="1" s="1"/>
  <c r="A339" i="1" s="1"/>
  <c r="A340" i="1" s="1"/>
  <c r="A341" i="1" s="1"/>
  <c r="A342" i="1" s="1"/>
  <c r="A343" i="1" s="1"/>
  <c r="A344" i="1" s="1"/>
  <c r="A345" i="1" s="1"/>
  <c r="A346" i="1" s="1"/>
  <c r="A347" i="1" s="1"/>
  <c r="A348" i="1" s="1"/>
  <c r="A349" i="1" s="1"/>
  <c r="A350" i="1" s="1"/>
  <c r="A351" i="1" s="1"/>
  <c r="A352" i="1" s="1"/>
  <c r="A353" i="1" s="1"/>
  <c r="A354" i="1" s="1"/>
  <c r="A355" i="1" s="1"/>
  <c r="A356" i="1" s="1"/>
  <c r="A357" i="1" s="1"/>
  <c r="A358" i="1" s="1"/>
  <c r="A359" i="1" s="1"/>
  <c r="A360" i="1" s="1"/>
  <c r="A361" i="1" s="1"/>
  <c r="A362" i="1" s="1"/>
  <c r="A363" i="1" s="1"/>
  <c r="A364" i="1" s="1"/>
  <c r="A365" i="1" s="1"/>
  <c r="A366" i="1" s="1"/>
  <c r="A367" i="1" s="1"/>
  <c r="A368" i="1" s="1"/>
  <c r="A369" i="1" s="1"/>
  <c r="A370" i="1" s="1"/>
  <c r="A371" i="1" s="1"/>
  <c r="A372" i="1" s="1"/>
  <c r="A373" i="1" s="1"/>
  <c r="A374" i="1" s="1"/>
  <c r="A375" i="1" s="1"/>
  <c r="A376" i="1" s="1"/>
  <c r="A377" i="1" s="1"/>
  <c r="A378" i="1" s="1"/>
  <c r="A379" i="1" s="1"/>
  <c r="A380" i="1" s="1"/>
  <c r="A381" i="1" s="1"/>
  <c r="A382" i="1" s="1"/>
  <c r="A383" i="1" s="1"/>
  <c r="A384" i="1" s="1"/>
  <c r="A385" i="1" s="1"/>
  <c r="A386" i="1" s="1"/>
  <c r="A387" i="1" s="1"/>
  <c r="A388" i="1" s="1"/>
  <c r="A389" i="1" s="1"/>
  <c r="A390" i="1" s="1"/>
  <c r="A391" i="1" s="1"/>
  <c r="A392" i="1" s="1"/>
  <c r="A393" i="1" s="1"/>
  <c r="A394" i="1" s="1"/>
  <c r="A395" i="1" s="1"/>
  <c r="A396" i="1" s="1"/>
  <c r="A397" i="1" s="1"/>
  <c r="A398" i="1" s="1"/>
  <c r="A399" i="1" s="1"/>
  <c r="A400" i="1" s="1"/>
  <c r="A401" i="1" s="1"/>
  <c r="A402" i="1" s="1"/>
  <c r="A403" i="1" s="1"/>
  <c r="A404" i="1" s="1"/>
  <c r="A405" i="1" s="1"/>
  <c r="A406" i="1" s="1"/>
  <c r="A407" i="1" s="1"/>
  <c r="A408" i="1" s="1"/>
  <c r="A409" i="1" s="1"/>
  <c r="A410" i="1" s="1"/>
  <c r="A411" i="1" s="1"/>
  <c r="A412" i="1" s="1"/>
  <c r="A413" i="1" s="1"/>
  <c r="A414" i="1" s="1"/>
  <c r="A415" i="1" s="1"/>
  <c r="A416" i="1" s="1"/>
  <c r="A417" i="1" s="1"/>
  <c r="A418" i="1" s="1"/>
  <c r="A419" i="1" s="1"/>
  <c r="A420" i="1" s="1"/>
  <c r="A421" i="1" s="1"/>
  <c r="A422" i="1" s="1"/>
  <c r="A423" i="1" s="1"/>
  <c r="A424" i="1" s="1"/>
  <c r="A425" i="1" s="1"/>
  <c r="A426" i="1" s="1"/>
  <c r="A427" i="1" s="1"/>
  <c r="A428" i="1" s="1"/>
  <c r="A429" i="1" s="1"/>
  <c r="A430" i="1" s="1"/>
  <c r="A431" i="1" s="1"/>
  <c r="A432" i="1" s="1"/>
  <c r="A433" i="1" s="1"/>
  <c r="A434" i="1" s="1"/>
  <c r="A435" i="1" s="1"/>
  <c r="A436" i="1" s="1"/>
  <c r="A437" i="1" s="1"/>
  <c r="A438" i="1" s="1"/>
  <c r="A439" i="1" s="1"/>
  <c r="A440" i="1" s="1"/>
  <c r="A441" i="1" s="1"/>
  <c r="A442" i="1" s="1"/>
  <c r="A443" i="1" s="1"/>
  <c r="A444" i="1" s="1"/>
  <c r="A445" i="1" s="1"/>
  <c r="A446" i="1" s="1"/>
  <c r="A447" i="1" s="1"/>
  <c r="A448" i="1" s="1"/>
  <c r="A449" i="1" s="1"/>
  <c r="A450" i="1" s="1"/>
  <c r="A451" i="1" s="1"/>
  <c r="A452" i="1" s="1"/>
  <c r="A453" i="1" s="1"/>
  <c r="A454" i="1" s="1"/>
  <c r="A455" i="1" s="1"/>
  <c r="A456" i="1" s="1"/>
  <c r="A457" i="1" s="1"/>
  <c r="A458" i="1" s="1"/>
  <c r="A459" i="1" s="1"/>
  <c r="A460" i="1" s="1"/>
  <c r="A461" i="1" s="1"/>
  <c r="A462" i="1" s="1"/>
  <c r="A463" i="1" s="1"/>
  <c r="A464" i="1" s="1"/>
  <c r="A465" i="1" s="1"/>
  <c r="A466" i="1" s="1"/>
  <c r="A467" i="1" s="1"/>
  <c r="A468" i="1" s="1"/>
  <c r="A469" i="1" s="1"/>
  <c r="A470" i="1" s="1"/>
  <c r="A471" i="1" s="1"/>
  <c r="A472" i="1" s="1"/>
  <c r="A473" i="1" s="1"/>
  <c r="A474" i="1" s="1"/>
  <c r="A475" i="1" s="1"/>
  <c r="A476" i="1" s="1"/>
  <c r="A477" i="1" s="1"/>
  <c r="A478" i="1" s="1"/>
  <c r="A479" i="1" s="1"/>
  <c r="A480" i="1" s="1"/>
  <c r="A481" i="1" s="1"/>
  <c r="A482" i="1" s="1"/>
  <c r="A483" i="1" s="1"/>
  <c r="A484" i="1" s="1"/>
  <c r="A485" i="1" s="1"/>
  <c r="A486" i="1" s="1"/>
  <c r="A487" i="1" s="1"/>
  <c r="A488" i="1" s="1"/>
  <c r="A489" i="1" s="1"/>
  <c r="A490" i="1" s="1"/>
  <c r="A491" i="1" s="1"/>
  <c r="A492" i="1" s="1"/>
  <c r="A493" i="1" s="1"/>
  <c r="A494" i="1" s="1"/>
  <c r="A495" i="1" s="1"/>
  <c r="A496" i="1" s="1"/>
  <c r="A497" i="1" s="1"/>
  <c r="A498" i="1" s="1"/>
  <c r="A499" i="1" s="1"/>
  <c r="A500" i="1" s="1"/>
  <c r="A501" i="1" s="1"/>
  <c r="A502" i="1" s="1"/>
  <c r="A503" i="1" s="1"/>
  <c r="A504" i="1" s="1"/>
  <c r="A505" i="1" s="1"/>
  <c r="A506" i="1" s="1"/>
  <c r="A507" i="1" s="1"/>
  <c r="A508" i="1" s="1"/>
  <c r="A509" i="1" s="1"/>
  <c r="A510" i="1" s="1"/>
  <c r="A511" i="1" s="1"/>
  <c r="A512" i="1" s="1"/>
  <c r="A513" i="1" s="1"/>
  <c r="A514" i="1" s="1"/>
  <c r="A515" i="1" s="1"/>
  <c r="A516" i="1" s="1"/>
  <c r="A517" i="1" s="1"/>
  <c r="A518" i="1" s="1"/>
  <c r="A519" i="1" s="1"/>
  <c r="A520" i="1" s="1"/>
  <c r="A521" i="1" s="1"/>
  <c r="A522" i="1" s="1"/>
  <c r="A523" i="1" s="1"/>
  <c r="A524" i="1" s="1"/>
  <c r="A525" i="1" s="1"/>
  <c r="A526" i="1" s="1"/>
  <c r="A527" i="1" s="1"/>
  <c r="A528" i="1" s="1"/>
  <c r="A529" i="1" s="1"/>
  <c r="A530" i="1" s="1"/>
  <c r="A531" i="1" s="1"/>
  <c r="A532" i="1" s="1"/>
  <c r="A533" i="1" s="1"/>
  <c r="A534" i="1" s="1"/>
  <c r="A535" i="1" s="1"/>
  <c r="A536" i="1" s="1"/>
  <c r="A537" i="1" s="1"/>
  <c r="A538" i="1" s="1"/>
  <c r="A539" i="1" s="1"/>
  <c r="A540" i="1" s="1"/>
  <c r="A541" i="1" s="1"/>
  <c r="A542" i="1" s="1"/>
  <c r="A543" i="1" s="1"/>
  <c r="A544" i="1" s="1"/>
  <c r="A545" i="1" s="1"/>
  <c r="A546" i="1" s="1"/>
  <c r="A547" i="1" s="1"/>
  <c r="A548" i="1" s="1"/>
  <c r="A549" i="1" s="1"/>
  <c r="A550" i="1" s="1"/>
  <c r="A551" i="1" s="1"/>
  <c r="A552" i="1" s="1"/>
  <c r="A553" i="1" s="1"/>
  <c r="A554" i="1" s="1"/>
  <c r="A555" i="1" s="1"/>
  <c r="A556" i="1" s="1"/>
  <c r="A557" i="1" s="1"/>
  <c r="A558" i="1" s="1"/>
  <c r="A559" i="1" s="1"/>
  <c r="A560" i="1" s="1"/>
  <c r="A561" i="1" s="1"/>
  <c r="A562" i="1" s="1"/>
  <c r="A563" i="1" s="1"/>
  <c r="A564" i="1" s="1"/>
  <c r="A565" i="1" s="1"/>
  <c r="A566" i="1" s="1"/>
  <c r="A567" i="1" s="1"/>
  <c r="A568" i="1" s="1"/>
  <c r="A569" i="1" s="1"/>
  <c r="A570" i="1" s="1"/>
  <c r="A571" i="1" s="1"/>
  <c r="A572" i="1" s="1"/>
  <c r="A573" i="1" s="1"/>
  <c r="A574" i="1" s="1"/>
  <c r="A575" i="1" s="1"/>
</calcChain>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DAPR" minSupportedVersion="120000" copy="1" pasteAll="1" pasteValues="1" merge="1" splitFirst="1" rowColShift="1" clearFormats="1" clearComments="1" assign="1" coerce="1" cellMeta="1"/>
    <metadataType name="XLRICHVALUE" minSupportedVersion="120000" copy="1" pasteAll="1" pasteValues="1" merge="1" splitFirst="1" rowColShift="1" clearFormats="1" clearComments="1" assign="1" coerce="1"/>
  </metadataTypes>
  <futureMetadata name="XLDAPR" count="1">
    <bk>
      <extLst>
        <ext uri="{bdbb8cdc-fa1e-496e-a857-3c3f30c029c3}">
          <xda:dynamicArrayProperties fDynamic="1" fCollapsed="0"/>
        </ext>
      </extLst>
    </bk>
  </futureMetadata>
  <futureMetadata name="XLRICHVALUE" count="5">
    <bk>
      <extLst>
        <ext uri="{3e2802c4-a4d2-4d8b-9148-e3be6c30e623}">
          <xlrd:rvb i="0"/>
        </ext>
      </extLst>
    </bk>
    <bk>
      <extLst>
        <ext uri="{3e2802c4-a4d2-4d8b-9148-e3be6c30e623}">
          <xlrd:rvb i="11"/>
        </ext>
      </extLst>
    </bk>
    <bk>
      <extLst>
        <ext uri="{3e2802c4-a4d2-4d8b-9148-e3be6c30e623}">
          <xlrd:rvb i="23"/>
        </ext>
      </extLst>
    </bk>
    <bk>
      <extLst>
        <ext uri="{3e2802c4-a4d2-4d8b-9148-e3be6c30e623}">
          <xlrd:rvb i="33"/>
        </ext>
      </extLst>
    </bk>
    <bk>
      <extLst>
        <ext uri="{3e2802c4-a4d2-4d8b-9148-e3be6c30e623}">
          <xlrd:rvb i="44"/>
        </ext>
      </extLst>
    </bk>
  </futureMetadata>
  <cellMetadata count="1">
    <bk>
      <rc t="1" v="0"/>
    </bk>
  </cellMetadata>
  <valueMetadata count="5">
    <bk>
      <rc t="2" v="0"/>
    </bk>
    <bk>
      <rc t="2" v="1"/>
    </bk>
    <bk>
      <rc t="2" v="2"/>
    </bk>
    <bk>
      <rc t="2" v="3"/>
    </bk>
    <bk>
      <rc t="2" v="4"/>
    </bk>
  </valueMetadata>
</metadata>
</file>

<file path=xl/sharedStrings.xml><?xml version="1.0" encoding="utf-8"?>
<sst xmlns="http://schemas.openxmlformats.org/spreadsheetml/2006/main" count="13418" uniqueCount="3347">
  <si>
    <t>WIP/Hold</t>
  </si>
  <si>
    <t>India Business</t>
  </si>
  <si>
    <t>WIP/New</t>
  </si>
  <si>
    <t>Integrated Business Services</t>
  </si>
  <si>
    <t>Intake Meeting Date</t>
  </si>
  <si>
    <t>Req Received  Date- RPO</t>
  </si>
  <si>
    <t xml:space="preserve"> </t>
  </si>
  <si>
    <t>S.No</t>
  </si>
  <si>
    <t>ORC ID</t>
  </si>
  <si>
    <t>Final Status</t>
  </si>
  <si>
    <t xml:space="preserve">Current Stage </t>
  </si>
  <si>
    <t>Position Title</t>
  </si>
  <si>
    <t>Skills</t>
  </si>
  <si>
    <t>BU</t>
  </si>
  <si>
    <t>Department</t>
  </si>
  <si>
    <t>HM</t>
  </si>
  <si>
    <t>Source of Hire</t>
  </si>
  <si>
    <t>ORC Open Date</t>
  </si>
  <si>
    <t>Track Level</t>
  </si>
  <si>
    <t>Hold Date 1</t>
  </si>
  <si>
    <t>Hold Date 2</t>
  </si>
  <si>
    <t>Hold Date 3</t>
  </si>
  <si>
    <t>Re - Open Date 1</t>
  </si>
  <si>
    <t>Re - Open Date 2</t>
  </si>
  <si>
    <t>Re - Open Date 3</t>
  </si>
  <si>
    <t>Years of Experience</t>
  </si>
  <si>
    <t>Min Salary</t>
  </si>
  <si>
    <t>Max Salary</t>
  </si>
  <si>
    <t>Job Location</t>
  </si>
  <si>
    <t>Recruiter</t>
  </si>
  <si>
    <t>Sourcer</t>
  </si>
  <si>
    <t>Remarks</t>
  </si>
  <si>
    <t>Total CV</t>
  </si>
  <si>
    <t>Active CV</t>
  </si>
  <si>
    <t>Diversity CV</t>
  </si>
  <si>
    <t>Candidate Name</t>
  </si>
  <si>
    <t>Contact Number</t>
  </si>
  <si>
    <t>Email Address</t>
  </si>
  <si>
    <t>Gender</t>
  </si>
  <si>
    <t>Date of Selection</t>
  </si>
  <si>
    <t>Fitment Approval Date</t>
  </si>
  <si>
    <t>Offered location</t>
  </si>
  <si>
    <t>CTC offered</t>
  </si>
  <si>
    <t>Fitment released Date</t>
  </si>
  <si>
    <t>Fitment Acceptance Date</t>
  </si>
  <si>
    <t>Offer Reject Date</t>
  </si>
  <si>
    <t>AL relesaed date</t>
  </si>
  <si>
    <t>AL Acceptance Date</t>
  </si>
  <si>
    <t>OB Trigger Date</t>
  </si>
  <si>
    <t>DOJ</t>
  </si>
  <si>
    <t>RSLA</t>
  </si>
  <si>
    <t>Ageing</t>
  </si>
  <si>
    <t>Bucket</t>
  </si>
  <si>
    <t>TTO</t>
  </si>
  <si>
    <t>TTH</t>
  </si>
  <si>
    <t>Offer Drop</t>
  </si>
  <si>
    <t>FTR%</t>
  </si>
  <si>
    <t>Diversity of Supply Female</t>
  </si>
  <si>
    <t>Diversity of Supply Male</t>
  </si>
  <si>
    <t>Hit Ratio</t>
  </si>
  <si>
    <t>Intake Month</t>
  </si>
  <si>
    <t>Selection Month</t>
  </si>
  <si>
    <t>Offer Month</t>
  </si>
  <si>
    <t>Joining Month</t>
  </si>
  <si>
    <t>Cancelled</t>
  </si>
  <si>
    <t>Position Cancelled</t>
  </si>
  <si>
    <t>FEA - Associate</t>
  </si>
  <si>
    <t>FEM</t>
  </si>
  <si>
    <t>Core Engineering</t>
  </si>
  <si>
    <t>AmitKumar</t>
  </si>
  <si>
    <t>External</t>
  </si>
  <si>
    <t>T8</t>
  </si>
  <si>
    <t>Pune</t>
  </si>
  <si>
    <t>Motwani, Hani</t>
  </si>
  <si>
    <t>Bharwade, Amruta</t>
  </si>
  <si>
    <t>Updated as on 21 Feb 25- 1 F2f interview scheduled, 1 L1 interview scheduled Update as on 8th Feb- 3 L1 interview are scheduled 11th, 12th and 14 feb</t>
  </si>
  <si>
    <t>Junior Writer, Portfolio Content Creation</t>
  </si>
  <si>
    <t>CAM</t>
  </si>
  <si>
    <t>Hemantkumar shinde</t>
  </si>
  <si>
    <t>Update on 13th feb- Offer declined pooja sawant,  Update as on 21st Feb 3 profiles shared for shortlisting</t>
  </si>
  <si>
    <t>Offer Decline</t>
  </si>
  <si>
    <t>Senior Writer, Portfolio Content Creation</t>
  </si>
  <si>
    <t>T10</t>
  </si>
  <si>
    <t>Komal has backout - CTC Compensation .
Update as on 8th Feb: Komal Dhumal  comp breakup to be sent to HM on 8thFeb</t>
  </si>
  <si>
    <t>Komal Dhumal</t>
  </si>
  <si>
    <t>dhumalkomal2904@gmail.com</t>
  </si>
  <si>
    <t>Female</t>
  </si>
  <si>
    <t>Hold</t>
  </si>
  <si>
    <t>Engineer II Technical Publications X: Sr Technical Writer</t>
  </si>
  <si>
    <t>Sami Kar</t>
  </si>
  <si>
    <t>23-June-25: Position on hold
18-June-25: 1 candidates Final interview done - F/b pending , 3 cvs shared with HM feedback pending - 11 june.
17-June-25 : 1 candidates Final interview done - F/b pending , 3 cvs shared with HM feedback pending - 11 june.
9-Jun-25: 3 L1 Interviews scheduled, 4 profiles shared for shortlisting awaiting on 27th May 25 for feedback
2-May-25: 2 candidates Test to be schedule , 1 candidates L2 to be schedule (Vinayak)
12th April 25: 2 L1 interview feedback is pending since 8th April 25, 1 L1 interview scheduled on 14th April 25
7th April 25: 2 L1 interviews scheduled
Update on 8th feb- 1 candidate on hold, Update as on 21st Feb 3 profiles shared for shortlisting</t>
  </si>
  <si>
    <t>Senior Writer, Software and IT Systems</t>
  </si>
  <si>
    <t>Update on 8th feb- 2 L1 interviews scheduled on 12 Feb 14th feb 21st Feb 25 Rutvik P final satge</t>
  </si>
  <si>
    <t>Sr. Engineer Technical Publications XI: Lead Writer</t>
  </si>
  <si>
    <t>Referral</t>
  </si>
  <si>
    <t>T11</t>
  </si>
  <si>
    <t>23-June-25: Position on hold
18-June- 25: Test interview feedback pending , 3 cvs shared with HM on 11th June - Feedback is pending . Position is on HOLD in ORC.
17-June-25 : Test interview feedback pending , 3 cvs shared with HM on 11th June - Feedback is pending . Position is on HOLD in ORC.
7th April 25: 1 LOB interview scheduled
Update on 8th feb- 1 Final interview feedback is awaiting, 2 L3 interview scheduled Update as on 21 Feb 25 Nigar shaikh rehired case</t>
  </si>
  <si>
    <t>Nigar Shaikh</t>
  </si>
  <si>
    <t>nigarshaikh89@gmail.com</t>
  </si>
  <si>
    <t>Multimedia Designer</t>
  </si>
  <si>
    <t>Adobe after Effect</t>
  </si>
  <si>
    <t>Rashmin Patel</t>
  </si>
  <si>
    <t>Update as on 8th feb: 2 L1 interviews  scheduled on 11 feb and 13 Feb , 1 candidate on hold Update as on 21st Feb 25</t>
  </si>
  <si>
    <t>Senior Multimedia Designer</t>
  </si>
  <si>
    <t>Update as on 8th Feb:I shaan Deshpande Offer revovked Update as on 21st Feb 5 L1 interviews scheduled</t>
  </si>
  <si>
    <t>Sr Test Engineer</t>
  </si>
  <si>
    <t>HIL</t>
  </si>
  <si>
    <t>Ankur Singh</t>
  </si>
  <si>
    <t>Update as on 21st Feb 25- Position cancelled in the sys</t>
  </si>
  <si>
    <t>Mid Mendix Developer</t>
  </si>
  <si>
    <t>Mendix</t>
  </si>
  <si>
    <t>GSP</t>
  </si>
  <si>
    <t>Lucian</t>
  </si>
  <si>
    <t>21st April 25: 3 L1 interviews scheduled
12th April: 3 Profiles shared for shortlisting feedback awaited from 9th April
7th April 25: 5 profiles shared for shortlisting
28th Feb 25: 1 candidate scheduled 28th Feb 252 candidates L1 scheduled 3rd and 4th March
21st Feb 25- 3 L1 interviews scheidledUpdate as on 8th Feb 25Abhishek J Offer Declined, Satyjeet Pardeshi TBO Update as on 21st Feb 3 L1 scheduled, 2 L1 to be scheduled</t>
  </si>
  <si>
    <t>Sr Mendix Developer</t>
  </si>
  <si>
    <t>21st April 25: 2 L1 interviews scheduled
12th April 25: 2  L1 feedback is pending  2 L1 interviews scheduled
7th April 25: 2 L1 interviews scheduled, 2 L1 interview feedback pending
28-Feb-25: L1 interview to be schedule 4 and 5 March .
8th Feb- 2 L1 interview to be scheduled, Update as on 21st Feb 25 3 L1 interviews scheduled</t>
  </si>
  <si>
    <t>Joined</t>
  </si>
  <si>
    <t>Electrical Design Engineer</t>
  </si>
  <si>
    <t>Revit, Load Calculations</t>
  </si>
  <si>
    <t>Vinayak Bhat</t>
  </si>
  <si>
    <t>7th April 25: 1 LOB interview TBS, 1 L1 interview scheduled
Update as on 8th Feb-   3 L1 to be scheduled Update as on 21st Feb 25-1 F2f scheduled</t>
  </si>
  <si>
    <t>Utkarsh Patil</t>
  </si>
  <si>
    <t>patilutkarsh025@gmail.com</t>
  </si>
  <si>
    <t>Male</t>
  </si>
  <si>
    <t xml:space="preserve">Associate Technical Publication </t>
  </si>
  <si>
    <t>CAM, DAM</t>
  </si>
  <si>
    <t>Update as on 8th Feb: Siddheshwar Patil comp &lt;80% Uodate as on 21st Feb Siddheshwar Patil Offer accepted</t>
  </si>
  <si>
    <t>Siddheshwar Patil</t>
  </si>
  <si>
    <t>sid.patil1553@gmail.com</t>
  </si>
  <si>
    <t>Engineer I Technical Publications IX</t>
  </si>
  <si>
    <t>Update as on 8th Feb: comp approval shared with HM on 7th Feb, approval awaited Update as on 21st Feb: Raja Kumar yadav offered</t>
  </si>
  <si>
    <t>Raja Kumar Yadhav</t>
  </si>
  <si>
    <t>raja.rex92@gmail.com</t>
  </si>
  <si>
    <t>Manager Materials and Manufacturing Planning</t>
  </si>
  <si>
    <t>PPC</t>
  </si>
  <si>
    <t>Ankush Mehta</t>
  </si>
  <si>
    <t>M2</t>
  </si>
  <si>
    <t>Update on 8th feb-2 Interviews scheduled, 3 profiles shared for shortlisting Update as on 21st Feb 1 final interview is scheduled</t>
  </si>
  <si>
    <t>Amar Lahoti</t>
  </si>
  <si>
    <t>amar.lahoti123@gmail.com</t>
  </si>
  <si>
    <t>TG6</t>
  </si>
  <si>
    <t>Engineer - Firmware</t>
  </si>
  <si>
    <t>HMI</t>
  </si>
  <si>
    <t>Yogesh S</t>
  </si>
  <si>
    <t>Raisoni, Rushabh</t>
  </si>
  <si>
    <t>Priyanka Gupta</t>
  </si>
  <si>
    <t>Sharikh Shaikh</t>
  </si>
  <si>
    <t>8793916009</t>
  </si>
  <si>
    <t>sharikhshaikh@gmail.com</t>
  </si>
  <si>
    <t>Sr. Engineer - Full Stack Developer</t>
  </si>
  <si>
    <t>Dot Net</t>
  </si>
  <si>
    <t>Thermal</t>
  </si>
  <si>
    <t>Vaibhav T</t>
  </si>
  <si>
    <t>T12</t>
  </si>
  <si>
    <t>Suvarna Thoke</t>
  </si>
  <si>
    <t>8421691758</t>
  </si>
  <si>
    <t>suvarnaahire251192@gmail.com</t>
  </si>
  <si>
    <t xml:space="preserve">Sr. Engineer Firmware </t>
  </si>
  <si>
    <t>Firmware</t>
  </si>
  <si>
    <t>Girish Padiyar</t>
  </si>
  <si>
    <t>28-Feb-25: 2 candidates L2 rejected  , 1 candidate L2 schedule on 3 March .
27 Feb - 3 L2 Scheduled</t>
  </si>
  <si>
    <t xml:space="preserve">Engineer Firmware </t>
  </si>
  <si>
    <t>T9</t>
  </si>
  <si>
    <t>Sarang Dondal</t>
  </si>
  <si>
    <t>9823065456</t>
  </si>
  <si>
    <t>sarangdondal123@gmail.com</t>
  </si>
  <si>
    <t>TG11</t>
  </si>
  <si>
    <t>Engineer - PCB Design</t>
  </si>
  <si>
    <t>PCB Design</t>
  </si>
  <si>
    <t>Chandrashekar Yashoda</t>
  </si>
  <si>
    <t>7989696428</t>
  </si>
  <si>
    <t>y.chandra.chari@gmail.com</t>
  </si>
  <si>
    <t>Engineer - Full Stack Developer</t>
  </si>
  <si>
    <t>ASP.NET</t>
  </si>
  <si>
    <t>Rutuja Nafade</t>
  </si>
  <si>
    <t>7378871101</t>
  </si>
  <si>
    <t>rutujadnaphade@gmail.com</t>
  </si>
  <si>
    <t>TG8</t>
  </si>
  <si>
    <t>Engineer - Angular</t>
  </si>
  <si>
    <t>Full Stack/ Angular</t>
  </si>
  <si>
    <t>Shubham Khairnar</t>
  </si>
  <si>
    <t>9850569538</t>
  </si>
  <si>
    <t>shubhamk.khairnar@gmail.com</t>
  </si>
  <si>
    <t>TG7</t>
  </si>
  <si>
    <t>Full Stack</t>
  </si>
  <si>
    <t>Tejaswini Chikhale</t>
  </si>
  <si>
    <t>8668520481</t>
  </si>
  <si>
    <t>tejaswini.it.2023@gmail.com</t>
  </si>
  <si>
    <t>TG9</t>
  </si>
  <si>
    <t>Sr. Engineer - Electrical</t>
  </si>
  <si>
    <t>Electrical</t>
  </si>
  <si>
    <t xml:space="preserve">SP UPS </t>
  </si>
  <si>
    <t>Dipak G</t>
  </si>
  <si>
    <t>Sujit Barman</t>
  </si>
  <si>
    <t>8097756156</t>
  </si>
  <si>
    <t>sujitmbarman@gmail.com</t>
  </si>
  <si>
    <t>TG4</t>
  </si>
  <si>
    <t>Sr Firmware Engineer</t>
  </si>
  <si>
    <t>ITS</t>
  </si>
  <si>
    <t>Sameer U</t>
  </si>
  <si>
    <t>T14</t>
  </si>
  <si>
    <t>Chaitanya Jibhakate</t>
  </si>
  <si>
    <t>9096115118</t>
  </si>
  <si>
    <t>chaitanya.n.jibhakate@gmail.com</t>
  </si>
  <si>
    <t>TG1</t>
  </si>
  <si>
    <t>Associate Engineer - Firmware</t>
  </si>
  <si>
    <t>Trupti malekar</t>
  </si>
  <si>
    <t>7767934337</t>
  </si>
  <si>
    <t>malekartrupti@gmail.com</t>
  </si>
  <si>
    <t>TG10</t>
  </si>
  <si>
    <t>Engineer - Electrical</t>
  </si>
  <si>
    <t>T13</t>
  </si>
  <si>
    <t>Nikhil Bodele</t>
  </si>
  <si>
    <t>7709985010</t>
  </si>
  <si>
    <t>b.nikhil1890@gmail.com</t>
  </si>
  <si>
    <t>Principal Engineer - Firmware</t>
  </si>
  <si>
    <t>KVM</t>
  </si>
  <si>
    <t>Jitesh Verma</t>
  </si>
  <si>
    <t>Asmita Kulkarni</t>
  </si>
  <si>
    <t>7875200079</t>
  </si>
  <si>
    <t>asmibhalvankar@gmail.com</t>
  </si>
  <si>
    <t>TG2</t>
  </si>
  <si>
    <t>Anvit Khare</t>
  </si>
  <si>
    <t>8238422816</t>
  </si>
  <si>
    <t>anvitkhare@yahoo.co.in</t>
  </si>
  <si>
    <t>Principal Eng - Java</t>
  </si>
  <si>
    <t>Java</t>
  </si>
  <si>
    <t>Global Monitoring Solutions</t>
  </si>
  <si>
    <t>Nitin Kudale</t>
  </si>
  <si>
    <t>21 Feb - Cancelled on 21st Feb by Business</t>
  </si>
  <si>
    <t>Sr Engineer - Firmware</t>
  </si>
  <si>
    <t>Aijaz Baig</t>
  </si>
  <si>
    <t>8097346716</t>
  </si>
  <si>
    <t>aijazbaig1@gmail.com</t>
  </si>
  <si>
    <t>TG5</t>
  </si>
  <si>
    <t>Gaurav Badgujar</t>
  </si>
  <si>
    <t>9960004432</t>
  </si>
  <si>
    <t>3015gaurav@gmail.com</t>
  </si>
  <si>
    <t>Service Technical Support</t>
  </si>
  <si>
    <t>Application Support</t>
  </si>
  <si>
    <t>Selection - Mayuri Jadhav</t>
  </si>
  <si>
    <t>Mayuri Jadhav</t>
  </si>
  <si>
    <t>8378024668</t>
  </si>
  <si>
    <t>mayuri.wid2800@gmail.com</t>
  </si>
  <si>
    <t>850000</t>
  </si>
  <si>
    <t>Hiwrale, Sanjana</t>
  </si>
  <si>
    <t>Mahendra Pitamber Kolambe - Offer Decline. Position was under Sanjana, Transferred to Rushabh on 20-Feb-25</t>
  </si>
  <si>
    <t>Mahendra Pitamber Kolambe</t>
  </si>
  <si>
    <t>TG3</t>
  </si>
  <si>
    <t>Avik Bhowmik</t>
  </si>
  <si>
    <t>9096041070</t>
  </si>
  <si>
    <t>avik.bhowmik@gmail.com</t>
  </si>
  <si>
    <t>Sr. Engineer - Electrical Design</t>
  </si>
  <si>
    <t>IMS Design</t>
  </si>
  <si>
    <t>IMS</t>
  </si>
  <si>
    <t>Maheshkumar Chandak</t>
  </si>
  <si>
    <t>7030678844</t>
  </si>
  <si>
    <t>m.chandak444@gmail.com</t>
  </si>
  <si>
    <t>M1</t>
  </si>
  <si>
    <t>Selection - Pritam Kadlag</t>
  </si>
  <si>
    <t>Pritam Kadlag</t>
  </si>
  <si>
    <t>8390373904</t>
  </si>
  <si>
    <t>pritamkadlag@gmail.com</t>
  </si>
  <si>
    <t>Suraj Bhand</t>
  </si>
  <si>
    <t>8605172315</t>
  </si>
  <si>
    <t>bhands.d@gmail.com</t>
  </si>
  <si>
    <t>Lead Engineer - BIM</t>
  </si>
  <si>
    <t>MEPF</t>
  </si>
  <si>
    <t>BIM</t>
  </si>
  <si>
    <t>Hitesh Shende</t>
  </si>
  <si>
    <t>Nikhil Jadhav</t>
  </si>
  <si>
    <t>9975965098</t>
  </si>
  <si>
    <t>nikhilj028@gmail.com</t>
  </si>
  <si>
    <t>Nikita Taklikar</t>
  </si>
  <si>
    <t>8552882800</t>
  </si>
  <si>
    <t>nikitatakalikar94@gmail.com</t>
  </si>
  <si>
    <t>Sr. Software Eng - Security</t>
  </si>
  <si>
    <t>Offer decline - Vyankatesh Manwade Decline date - 17 March</t>
  </si>
  <si>
    <t>Vyankatesh Manwade</t>
  </si>
  <si>
    <t>7057700769</t>
  </si>
  <si>
    <t>vyankymanwade8187@gmail.com</t>
  </si>
  <si>
    <t>Pricipal Eng - Electrical</t>
  </si>
  <si>
    <t xml:space="preserve">Bangar, Anuradha </t>
  </si>
  <si>
    <t>3 Mar- Selection: Naveenkumar Marati</t>
  </si>
  <si>
    <t>Naveenkumar Marati</t>
  </si>
  <si>
    <t>naveen0724@gmail.com</t>
  </si>
  <si>
    <t>Sr. Engineer Mechanical - RPDU</t>
  </si>
  <si>
    <t>Mechanical</t>
  </si>
  <si>
    <t>RPDU</t>
  </si>
  <si>
    <t>Kevin Ferguson</t>
  </si>
  <si>
    <t>Selection - Jafer Babude</t>
  </si>
  <si>
    <t>Jafer Babude</t>
  </si>
  <si>
    <t>9130420354</t>
  </si>
  <si>
    <t>jaferbabude54@gmail.com</t>
  </si>
  <si>
    <t>1650000</t>
  </si>
  <si>
    <t>Selection - Ronak Kadam</t>
  </si>
  <si>
    <t>Ronak Kadam</t>
  </si>
  <si>
    <t>kadamronak10@gmail.com</t>
  </si>
  <si>
    <t>1850000</t>
  </si>
  <si>
    <t>Selection - Nishant Singh</t>
  </si>
  <si>
    <t>Nishant Singh</t>
  </si>
  <si>
    <t>7000553986</t>
  </si>
  <si>
    <t>nishantsinghsirt@gmail.com</t>
  </si>
  <si>
    <t>1800000</t>
  </si>
  <si>
    <t>Sr. Test Engineer</t>
  </si>
  <si>
    <t>Sr. Test Engineer - Electrical</t>
  </si>
  <si>
    <t>Rahul Dhende</t>
  </si>
  <si>
    <t>Selection - Atul Mhaske</t>
  </si>
  <si>
    <t>Atul Mhaske</t>
  </si>
  <si>
    <t>atulmhaske.mhaske3@gmail.com</t>
  </si>
  <si>
    <t>1250000</t>
  </si>
  <si>
    <t>Associate Engineer - Structural</t>
  </si>
  <si>
    <t>Reliability</t>
  </si>
  <si>
    <t>Dasa K</t>
  </si>
  <si>
    <t>Selection - Rohit Kamble</t>
  </si>
  <si>
    <t>Rohit Kamble</t>
  </si>
  <si>
    <t>rohitskamble111@gmail.com</t>
  </si>
  <si>
    <t>820000</t>
  </si>
  <si>
    <t>Engineer - Reliability</t>
  </si>
  <si>
    <t>Selection - Mohseen Momin</t>
  </si>
  <si>
    <t>Mohseen Momin</t>
  </si>
  <si>
    <t>Mohseen.Momin44@gmail.com</t>
  </si>
  <si>
    <t>1100000</t>
  </si>
  <si>
    <t>Sr. Engineer - Structural</t>
  </si>
  <si>
    <t>Selection - Mohammed Sohail Shaikh</t>
  </si>
  <si>
    <t>Mohammed Sohail Shaikh</t>
  </si>
  <si>
    <t>mdsohailapr@gmail.com</t>
  </si>
  <si>
    <t>1300000</t>
  </si>
  <si>
    <t>Sr. Engineer - Reliability</t>
  </si>
  <si>
    <t>Selection - Madivallaya K</t>
  </si>
  <si>
    <t>Madivallaya K</t>
  </si>
  <si>
    <t>9503192369</t>
  </si>
  <si>
    <t>Mahesh.k.k.008@gmail.com</t>
  </si>
  <si>
    <t>Electrical Testing</t>
  </si>
  <si>
    <t>Sr. Engineer Automation Testing</t>
  </si>
  <si>
    <t>Firmware - Testing</t>
  </si>
  <si>
    <t>Update as on 21st Feb 25 internal ref selected</t>
  </si>
  <si>
    <t>Production Supervisor DC Power</t>
  </si>
  <si>
    <t>Production Engineer</t>
  </si>
  <si>
    <t>Luthra, Vikas</t>
  </si>
  <si>
    <t>Update as on 21st Feb 25 On Hold</t>
  </si>
  <si>
    <t>Testing Engineer DC Power</t>
  </si>
  <si>
    <t>Testing</t>
  </si>
  <si>
    <t>ME + IE DC Power</t>
  </si>
  <si>
    <t>Manufacturing Engineer</t>
  </si>
  <si>
    <t>DC Power</t>
  </si>
  <si>
    <t>Purchase DC Power</t>
  </si>
  <si>
    <t>Purchase</t>
  </si>
  <si>
    <t>Dange, Nandkumar</t>
  </si>
  <si>
    <t>1 L1 Feedback awaited | 3 CV's Shared feedback awaited</t>
  </si>
  <si>
    <t>Materials and Manufacturing Planning Senior Analyst</t>
  </si>
  <si>
    <t>Production Planning</t>
  </si>
  <si>
    <t>Engineer I Test Engineering IX</t>
  </si>
  <si>
    <t>Product Testing</t>
  </si>
  <si>
    <t xml:space="preserve">Pravin Vaishampayan, </t>
  </si>
  <si>
    <t>Update as on 21st Feb 25 Cancelled</t>
  </si>
  <si>
    <t>Pravin Vaishampayan</t>
  </si>
  <si>
    <t>Smarnika Kalaskar-Offer Accepted-27/01/2025</t>
  </si>
  <si>
    <t>Smarnika Kalaskar</t>
  </si>
  <si>
    <t>Smarnika.p@gmail.com</t>
  </si>
  <si>
    <t>New Product Development Engineer</t>
  </si>
  <si>
    <t>NPDI</t>
  </si>
  <si>
    <t>Dilip Patange</t>
  </si>
  <si>
    <t>Update as on 21st Feb 25 Hemant is Rehire Case. Offer accepted- DOJ 12-2-2024</t>
  </si>
  <si>
    <t>Hemant Pareek</t>
  </si>
  <si>
    <t>hemant.pareek12@gmail.com</t>
  </si>
  <si>
    <t>Senior Engineer Planning</t>
  </si>
  <si>
    <t>Planning</t>
  </si>
  <si>
    <t>Mehta, Ankush</t>
  </si>
  <si>
    <t xml:space="preserve"> Update as on 21st Feb 25 Rameshwar fitment approval pending from HRBP, Offe declined</t>
  </si>
  <si>
    <t>Rameshwar Jadhav</t>
  </si>
  <si>
    <t>rameshware3035@gmail.com</t>
  </si>
  <si>
    <t>Manager Quality</t>
  </si>
  <si>
    <t>Quality</t>
  </si>
  <si>
    <t xml:space="preserve">Quality Management </t>
  </si>
  <si>
    <t>Pawar, Ramesh</t>
  </si>
  <si>
    <t>Update as on 21st Feb 25 joined</t>
  </si>
  <si>
    <t>Ashish Deshmukh</t>
  </si>
  <si>
    <t>ashish.deshmukh@gmail.com</t>
  </si>
  <si>
    <t>Supervisor Production</t>
  </si>
  <si>
    <t>Production</t>
  </si>
  <si>
    <t>Pawar, Ravindra</t>
  </si>
  <si>
    <t>Update as on 21st Feb 25 Hold by HM</t>
  </si>
  <si>
    <t>Services Product Manager Specialist</t>
  </si>
  <si>
    <t>BA</t>
  </si>
  <si>
    <t>Williams Brian</t>
  </si>
  <si>
    <t>Update as on 21st Feb 25 Sumit Jadhav joined</t>
  </si>
  <si>
    <t>Sumit Jadhav</t>
  </si>
  <si>
    <t>sumit.jadhav01@gmail.com</t>
  </si>
  <si>
    <t>Sr. Engineer Firmware  C++</t>
  </si>
  <si>
    <t>Update as on 21st Feb- Cancelled today
Update as on 8th Feb- 2 L1 scheduled</t>
  </si>
  <si>
    <t>Sr. Engineer Firmware</t>
  </si>
  <si>
    <t>Update as on 21st Feb- Cancelled today
Update as on 8th Feb More CVs to share, Jino Abraham- offer declined, DOJ-20th Jan</t>
  </si>
  <si>
    <t>Testing - Firmware Engineer</t>
  </si>
  <si>
    <t>Offer accepted, DOJ- 14th Apr
28-Feb-25 : 1 candidates L1 interview scheduled on 3rd - March.
21st Feb- 3 Behavioural rounds feedback awaited, 
8th Feb- 1 L2 FBA, 1 L1 TBS, Rohit Jadhav Offer rejected by Janine, Reopened, Chinmay Rojindar offer declined, Karthik V Joined-15th May 24, resigned due to work load</t>
  </si>
  <si>
    <t>Pavan Werulkar</t>
  </si>
  <si>
    <t>Pawanwerulkar95@gmail.com</t>
  </si>
  <si>
    <t>Assistant Manager - Platform</t>
  </si>
  <si>
    <t>M01</t>
  </si>
  <si>
    <t>Update as on 21st Feb- Cancelled today
Update as on 8th Feb- 1 final review call pending, 3 L1 in pipeline for 11th Feb, Ashish Jadhav offer decline- 11th Nov doj, 1 test shared with candidate Final stage</t>
  </si>
  <si>
    <t>Offered</t>
  </si>
  <si>
    <t>Sr. Eng - Automation</t>
  </si>
  <si>
    <t>Python</t>
  </si>
  <si>
    <t>Srikumar Neriyanuri / Abhijit Deshmukh</t>
  </si>
  <si>
    <t>22-July 24: 1 final f2f in scheduled. 1 L1 TBS, Need to add more profiles
21-July-24 : 2 Candidates Interview scheduled ths week
15-07-2025: 2 L1 Interviews scheduled, 1 L1 Interview feedback is pending, 1 Interview to be sheduled
01-July-2025: 3 L1 interviews scheduled, 4 profiles shared for shortlisting on 30th June 2025
23-June-25: 1 interview scheduled, 3 cvs shared with HM - F/B pending ,
18-June-25:7 cvs shared with HM - F/B pending - If we not get the feedback will suspended the position today 
17-June-25: 7 cvs shared with HM - F/B pending 
Offer accepted, DOJ- 7th Apr
 28-Feb-25 : 1candidates L2 done on 24th Feb and 2  candidates L2 done on 17 &amp; 18 Feb , Feedback pending from HM side .
21st Feb-2 L2 FBA, 1 L2 scheduled
8th Feb- 1 L1 scheduled, 1 to be scheduled, more CVs to be shared</t>
  </si>
  <si>
    <t>Ritesh Khatakalle</t>
  </si>
  <si>
    <t xml:space="preserve">ritesh.khatakalle@gmail.com </t>
  </si>
  <si>
    <t>Sr. Firmware Eng</t>
  </si>
  <si>
    <t>22-July-24: 4 L1 interviews feedback pending, 3 L1 interviews scheduled
15-July-2025: 2 L1 Interviews scheduled, 3 profiles to be shared
1-July-2025: 3 profiles shared for shortlisting on 27th June 2025
23-June-25: 3 L1 interview lined up, 1 L1 interview  profiles shared for shortlisting
18-June- 25: 4 candidates interview schedule - L1.
17-June: 1 candidate interview schedule , 4 yet to be schedule 
17- June -25 : 1 candidate interview schedule , 4 candidates yet to be schedule .
2-May-25: 2cvs shared on 24th April - F/A .
24-April-25: 3 candidates L1 rejected , 2 cvs shared on 24-April -25 F/A
22- April- 3 candidates yet to be schedule .
12-April-24: 3 Profiles shared on 11-April with HM - feedback pending 
21-Mar-25: 3 L1 scheduled with HM 
17-Mar-25:  1 candidates inertivew schedule on 18-Mar , 2 candidates L1 Scheduled 19-Mar.
15-Mar-25: 2candidates  interview schedule - 1 candidates L1 rejected , 2 candidates to be reschedule .
11th Mar 25: 3 L1 To be schedule
28-Feb-25: 1 candidate L1 interview done on 24-Feb - feedback awaited. need to share more cvs .
21st Feb-1 F2F scheduled
8th Feb- 2 L1 scheduled</t>
  </si>
  <si>
    <t>Sr. Firmware Eng CICD</t>
  </si>
  <si>
    <t>CICD</t>
  </si>
  <si>
    <t>17-Mar-25:  6 profiles feedback awaited - reminder mail send to HM on 17-Mar . 
11th- Mar25: 5th - March 6 profiles shared - Feedback awaited .</t>
  </si>
  <si>
    <t>Jaypal Reddy</t>
  </si>
  <si>
    <t>jaipalreddy6040@gmail.com</t>
  </si>
  <si>
    <t>Automation Manager</t>
  </si>
  <si>
    <t>Srikumar</t>
  </si>
  <si>
    <t>22-July 25: 2 L1 interviews scheduled, 1 L1 interview TBS
30-June-25: 3 cvs shared HM feedback pending
23-June-25: 3 cvs shared with HM  - Feedback pending .
18-June-25 : will do live sourcing today .
17-June- 25 : 3 cvs shared with HM - Feedback pending .
2-May-25: 1 candidate rejected - Geetanjali , 1 more candidate schedule today at 7PM - Arun .
24-April-25: 1 candidate interview schedule on Monday - 28th-April-25
22-April - 1 final select -2 candidates schedule on 22- April and 23 April 
11-April- 2cvs shared for backup - Feedback pending.
9th- April : F2F schedule with Mahesh J - Feedback pending .
21-Mar-25: 3 L1 scheduled with HM
17-Mar-25: 5cvs shared with HM on 14-March , 4 L1 scheduled, 1 TBS
11th Mar 25: 4 CVs shared 10th Mar, FBA
Update as on 21st Feb-  Kept on hold as manager not providing availability for Interviews
3 L1 interviews are scheduled, 1 selected-Pravin Virkud</t>
  </si>
  <si>
    <t>Maheshn J</t>
  </si>
  <si>
    <t>Sr. Software Engineer - Engineer II Software Engineering X</t>
  </si>
  <si>
    <t>C++</t>
  </si>
  <si>
    <t>Ajit Gupta</t>
  </si>
  <si>
    <t>21st April 25: 1 final interview is scheduled, 2 L1 interviews scheduled, 3 profiles shared for shortlisting
12th- April : 2cvs yet to be shared by 14th-April.
9th-April: 2 candidates L1 schedule , Jd  changed from HM side .
21-Mar-25: 2 L1 to be reschedule
17-Mar-25: 13-March - Jd / Skills sets changed - 3 profiles share with HM on 13-Mar , 2 cnadidates L1 to be schedule on 18 and 19 Mar. 
11th Mar 25: 4 L1 To be schedule
28-Feb 25: 2 L1 interviews done on 24th and 25th Feb 25, awaiting for feedback, 1 L1 TBS21st Feb- 2 L1 scheduled with HM, 1 L1 rejected yesterday
Update as on 8th Feb- 2 L1 to be scheduled, 1 rehire case pending with HRBP</t>
  </si>
  <si>
    <t>Principal Engineer Firmware Engineering XIII</t>
  </si>
  <si>
    <t>Embedded C</t>
  </si>
  <si>
    <t>Rajkumar Isapure</t>
  </si>
  <si>
    <t>Update as on 21st Feb- Cancelled today
Update as on 8th Feb- 1 L1 done, 3 CV to be shared 8th feb</t>
  </si>
  <si>
    <t>Offer accepted, DOJ- 12th May</t>
  </si>
  <si>
    <t>Eshwar Jorvekar</t>
  </si>
  <si>
    <t>eshwarjorvekar@gmail.com</t>
  </si>
  <si>
    <t>Mechanical Eng Creo</t>
  </si>
  <si>
    <t>Solidworks</t>
  </si>
  <si>
    <t>Ajim Vantmuri</t>
  </si>
  <si>
    <t>T7</t>
  </si>
  <si>
    <t>Offer accepted, DOJ- 31st Mar</t>
  </si>
  <si>
    <t>Mayuri Danej</t>
  </si>
  <si>
    <t>mayuridanej127@gmail.com</t>
  </si>
  <si>
    <t>Engineer- CFD</t>
  </si>
  <si>
    <t>CFD</t>
  </si>
  <si>
    <t>Srini</t>
  </si>
  <si>
    <t>Offer accepted, DOJ- 10th Mar</t>
  </si>
  <si>
    <t>Dnayanesh Mirikar</t>
  </si>
  <si>
    <t>dnyanesh.mirikar.iiti@gmail.com</t>
  </si>
  <si>
    <t>Sr Engineer - Firmware SP UPS</t>
  </si>
  <si>
    <t>Offer accepted, DOJ- 7th Apr</t>
  </si>
  <si>
    <t>Mayank Raj</t>
  </si>
  <si>
    <t>mayank_r_a_j@yahoo.com</t>
  </si>
  <si>
    <t>Engineer I Fluid Dynamics Engineering IX (20251172)</t>
  </si>
  <si>
    <t>Srinivas N</t>
  </si>
  <si>
    <t>Offer accepted, DOJ- 28th Apr</t>
  </si>
  <si>
    <t>Sajid Momin</t>
  </si>
  <si>
    <t>mominsajid603@gmail.com</t>
  </si>
  <si>
    <t>TG13</t>
  </si>
  <si>
    <t>Hardware Cotroller Design &amp; Development Eng</t>
  </si>
  <si>
    <t>Hardware</t>
  </si>
  <si>
    <t>Sanket Pandit</t>
  </si>
  <si>
    <t>Dhananjay Bhosale</t>
  </si>
  <si>
    <t>dbhosale9895@gmail.com</t>
  </si>
  <si>
    <t>TG14</t>
  </si>
  <si>
    <t>Engineer Automation</t>
  </si>
  <si>
    <t>Sheetal Raut</t>
  </si>
  <si>
    <t>HAWARE Sujit BHAGAWAN</t>
  </si>
  <si>
    <t>sujitkumarhaware@gmail.com</t>
  </si>
  <si>
    <t>TG15</t>
  </si>
  <si>
    <t>Sr.Hardware Engineer</t>
  </si>
  <si>
    <t>Rishav Kumar Verma</t>
  </si>
  <si>
    <t>rishav0603@gmail.com</t>
  </si>
  <si>
    <t>TG16</t>
  </si>
  <si>
    <t>Sr Eng FEA</t>
  </si>
  <si>
    <t>FEA</t>
  </si>
  <si>
    <t>Kunal Bhangale</t>
  </si>
  <si>
    <t>kunalcbhangale@gmail.com</t>
  </si>
  <si>
    <t>TG17</t>
  </si>
  <si>
    <t>Associate Engineer-FEA</t>
  </si>
  <si>
    <t>Gaurav Kumar Sahu</t>
  </si>
  <si>
    <t>bkgks005@gmail.com</t>
  </si>
  <si>
    <t>TG18</t>
  </si>
  <si>
    <t>Engineer FEA</t>
  </si>
  <si>
    <t>Rushikesh Nalawade</t>
  </si>
  <si>
    <t>rushikeshn75@gmail.com</t>
  </si>
  <si>
    <t>TG19</t>
  </si>
  <si>
    <t>Shravan Kumar</t>
  </si>
  <si>
    <t>shravanbsangavi@gmail.com</t>
  </si>
  <si>
    <t>TG20</t>
  </si>
  <si>
    <t>Associate Automation Eng</t>
  </si>
  <si>
    <t>Shubham Namdev Kale</t>
  </si>
  <si>
    <t>lshubham.kale@gmail.com</t>
  </si>
  <si>
    <t>TG21</t>
  </si>
  <si>
    <t>Sr. Automation Eng</t>
  </si>
  <si>
    <t>Pallavi Wankhade</t>
  </si>
  <si>
    <t>praveeningavle21@gmail.com</t>
  </si>
  <si>
    <t>TG22</t>
  </si>
  <si>
    <t>Praveen Ingavle</t>
  </si>
  <si>
    <t>1200000+50k JB</t>
  </si>
  <si>
    <t>TG23</t>
  </si>
  <si>
    <t>Vimalkumar Dubey</t>
  </si>
  <si>
    <t>vdube003@gmail.com</t>
  </si>
  <si>
    <t>TG24</t>
  </si>
  <si>
    <t>Fullstack Developer(Angular)</t>
  </si>
  <si>
    <t>Shubham Dalavi</t>
  </si>
  <si>
    <t>shubham.dalavi@vertivco.com</t>
  </si>
  <si>
    <t>TG25</t>
  </si>
  <si>
    <t>Team Lead FEA</t>
  </si>
  <si>
    <t>Ganesh Thorkar</t>
  </si>
  <si>
    <t>gthorkar@gmail.com</t>
  </si>
  <si>
    <t>TG26</t>
  </si>
  <si>
    <t>Assistant Manager Full Stack Developer(Security)</t>
  </si>
  <si>
    <t>Jyotesh Dhuriya</t>
  </si>
  <si>
    <t xml:space="preserve">dhuriyajoteshdj@gmail.com
</t>
  </si>
  <si>
    <t>TG27</t>
  </si>
  <si>
    <t>Vinod Balaso Patil</t>
  </si>
  <si>
    <t xml:space="preserve"> vinodpatil.5236@gmail.com </t>
  </si>
  <si>
    <t>TG28</t>
  </si>
  <si>
    <t>Full Stack Developer(React JS)</t>
  </si>
  <si>
    <t>Avinash Gulabrao Patil</t>
  </si>
  <si>
    <t>patiavinash223@gmail.com</t>
  </si>
  <si>
    <t>TG29</t>
  </si>
  <si>
    <t>Rahul Chande</t>
  </si>
  <si>
    <t>9657766648 (M)</t>
  </si>
  <si>
    <t>rahulchande48@gmail.com</t>
  </si>
  <si>
    <t>TG30</t>
  </si>
  <si>
    <t>Dimple Sagar</t>
  </si>
  <si>
    <t>dmplsagar@gmail.com</t>
  </si>
  <si>
    <t>TG31</t>
  </si>
  <si>
    <t>Deputy Manager</t>
  </si>
  <si>
    <t>Ashutosh Ashok Shinde</t>
  </si>
  <si>
    <t>ashutoshshinde@ymail.com</t>
  </si>
  <si>
    <t>TG32</t>
  </si>
  <si>
    <t>Karthik V</t>
  </si>
  <si>
    <t>TG33</t>
  </si>
  <si>
    <t xml:space="preserve">Hardware Design </t>
  </si>
  <si>
    <t>Kiran More</t>
  </si>
  <si>
    <t>Shivam Kanoria</t>
  </si>
  <si>
    <t>shivamkanoria1711@gmail.com</t>
  </si>
  <si>
    <t>TG34</t>
  </si>
  <si>
    <t>.Net Developer</t>
  </si>
  <si>
    <t>.net</t>
  </si>
  <si>
    <t>Niteen Vitthal Murtadak</t>
  </si>
  <si>
    <t>murtadakn@gmail.com</t>
  </si>
  <si>
    <t>TG35</t>
  </si>
  <si>
    <t>Assistant Manager VCI</t>
  </si>
  <si>
    <t>Shinde Balaji Navanath</t>
  </si>
  <si>
    <t>balajishinde102@gmail.com</t>
  </si>
  <si>
    <t>TG36</t>
  </si>
  <si>
    <t>Hardware Design eng</t>
  </si>
  <si>
    <t>Dilesh Raut</t>
  </si>
  <si>
    <t>Dhruv Bharat Saboo</t>
  </si>
  <si>
    <t>bharatsaboo1973@gmail.com</t>
  </si>
  <si>
    <t>TG37</t>
  </si>
  <si>
    <t xml:space="preserve">Deputy Software </t>
  </si>
  <si>
    <t>Piyush Dinkar Chikhalkar</t>
  </si>
  <si>
    <t>TG38</t>
  </si>
  <si>
    <t>Hardware Engineer</t>
  </si>
  <si>
    <t>Amitkumar</t>
  </si>
  <si>
    <t>Tejas Krishna Mane</t>
  </si>
  <si>
    <t>tejasmane621@gmail.com</t>
  </si>
  <si>
    <t>TG39</t>
  </si>
  <si>
    <t>Java Developer</t>
  </si>
  <si>
    <t>Sangeet Sachdeva</t>
  </si>
  <si>
    <t>TG40</t>
  </si>
  <si>
    <t>FSD - Security</t>
  </si>
  <si>
    <t>Mahesh Shinde</t>
  </si>
  <si>
    <t>shindemahesh58@gmail.com</t>
  </si>
  <si>
    <t>TG41</t>
  </si>
  <si>
    <t>Test Lead</t>
  </si>
  <si>
    <t>Software</t>
  </si>
  <si>
    <t>Kedar Joshi</t>
  </si>
  <si>
    <t>kedar.joshi@vertivco.com</t>
  </si>
  <si>
    <t>TG42</t>
  </si>
  <si>
    <t>Manager – Technical Publication</t>
  </si>
  <si>
    <t>Hemantkumar Shinde</t>
  </si>
  <si>
    <t>9028751738 / 9420155948</t>
  </si>
  <si>
    <t>hemantvshinde@gmail.com</t>
  </si>
  <si>
    <t>TG43</t>
  </si>
  <si>
    <t>CFD Eng</t>
  </si>
  <si>
    <t>Jaykumar Joshi</t>
  </si>
  <si>
    <t>TG44</t>
  </si>
  <si>
    <t>Amit Kumar</t>
  </si>
  <si>
    <t>Samik Ganguly</t>
  </si>
  <si>
    <t>samik.ganguly@outlook.com</t>
  </si>
  <si>
    <t>TG45</t>
  </si>
  <si>
    <t>UI Developer</t>
  </si>
  <si>
    <t>UI</t>
  </si>
  <si>
    <t>Mahesh Suryawanshi</t>
  </si>
  <si>
    <t>suryawanshi.mahesh7@gmail.com</t>
  </si>
  <si>
    <t>TG46</t>
  </si>
  <si>
    <t>DHRUV SRIVASTAVA</t>
  </si>
  <si>
    <t>dhruvsrivastava04@gmail.com</t>
  </si>
  <si>
    <t>TG47</t>
  </si>
  <si>
    <t>Associate Tech Publication</t>
  </si>
  <si>
    <t>Tech Publication</t>
  </si>
  <si>
    <t>Geetanjali Anand Redkar</t>
  </si>
  <si>
    <t>geetanjaliredkar2312@gmail.com</t>
  </si>
  <si>
    <t>TG48</t>
  </si>
  <si>
    <t>Sr. Technical Publication</t>
  </si>
  <si>
    <t>Shrikant Dandhare</t>
  </si>
  <si>
    <t>shrikantdandhare123@gmail.com</t>
  </si>
  <si>
    <t>TG49</t>
  </si>
  <si>
    <t>Engineer Firmware DSP</t>
  </si>
  <si>
    <t>DSP</t>
  </si>
  <si>
    <t>MOHAN DURGA PHANINDRA</t>
  </si>
  <si>
    <t>kmd.phanindra@gmail.com</t>
  </si>
  <si>
    <t>TG50</t>
  </si>
  <si>
    <t>Team lead CFD</t>
  </si>
  <si>
    <t>Not yet open in ORC, but work is going on</t>
  </si>
  <si>
    <t>Fullstack Java Developer</t>
  </si>
  <si>
    <t>Java+Angular Framework</t>
  </si>
  <si>
    <t>7th April 25: 2 LOB Test feedback is pending, 4 L1 interview scheduled</t>
  </si>
  <si>
    <t>Sonu Agarwal</t>
  </si>
  <si>
    <t>sonuagrawal3323@gmail.com</t>
  </si>
  <si>
    <t>TG12</t>
  </si>
  <si>
    <t>CPQ Engineer</t>
  </si>
  <si>
    <t>CPQ</t>
  </si>
  <si>
    <t>Operations</t>
  </si>
  <si>
    <t>T09</t>
  </si>
  <si>
    <t>Sourav Vishwakarma</t>
  </si>
  <si>
    <t>Vishwakarma1234@gmail.com</t>
  </si>
  <si>
    <t>Software Engineering</t>
  </si>
  <si>
    <t>Sagar Hirave</t>
  </si>
  <si>
    <t>Kartik Gadag</t>
  </si>
  <si>
    <t>kartik.gadag23@gmail.com</t>
  </si>
  <si>
    <t>Manual test Eng</t>
  </si>
  <si>
    <t>YEDDULA SIVAIAH</t>
  </si>
  <si>
    <t>shivayr1234@gmail.com</t>
  </si>
  <si>
    <t>22-April - 4 candidates test is pending , need to share more cvs 
12th-April: 3cvs yet to share on 14th April.
9th-April: 2 candidates L1 schedule on 14th nad 15th , 4 candidates appear for JAVA Test .
27-March - 25: 3cvs shared on 26th-MArch-25 feedback pending from HM.
28-Feb 25- 5 profiles shared for shortlisting on 25th Feb 25, Reminder sent on 27th Feb 25
21 Feb - 5 Test Scheduled.</t>
  </si>
  <si>
    <t>Platform Engineer</t>
  </si>
  <si>
    <t>1st March- Shraddha Parkale Back out, 1 L1 scheduled, few more CVs to be shared</t>
  </si>
  <si>
    <t>Shraddha Parkale</t>
  </si>
  <si>
    <t>Smrnika P-Offer Declined/ Abhishek Baglane DOJ: 24th March 25</t>
  </si>
  <si>
    <t>Abhishek Baglane</t>
  </si>
  <si>
    <t>abhibaglane97@gmail.com</t>
  </si>
  <si>
    <t>9,71,942</t>
  </si>
  <si>
    <t>17-Mar-25: 2 candidates L1 interview feedback awaited - 15- Mar-25.
11th Mar 25: 3 L1 To be schedule
Offer drop candidate- Shraddha Parkale</t>
  </si>
  <si>
    <t>Sr. Purchase Engineer</t>
  </si>
  <si>
    <t>Ashish Sunil Deshmukh</t>
  </si>
  <si>
    <t>TG51</t>
  </si>
  <si>
    <t>T08</t>
  </si>
  <si>
    <t>Terminated</t>
  </si>
  <si>
    <t>Siddarth Verma</t>
  </si>
  <si>
    <t>TG52</t>
  </si>
  <si>
    <t>Lead Engineer CFD</t>
  </si>
  <si>
    <t>Omkar Shewale</t>
  </si>
  <si>
    <t>Budget issue</t>
  </si>
  <si>
    <t>Karthiyogan K</t>
  </si>
  <si>
    <t>DSP Firmware</t>
  </si>
  <si>
    <t>Sameer Upasani</t>
  </si>
  <si>
    <t>Retained by current company</t>
  </si>
  <si>
    <t>Siddhartho Chaudhuri</t>
  </si>
  <si>
    <t>Sr Full Stack Developer</t>
  </si>
  <si>
    <t>Fullstack</t>
  </si>
  <si>
    <t>Ragini Singh</t>
  </si>
  <si>
    <t>Sr. Engineer - ASP.NET</t>
  </si>
  <si>
    <t>.Net</t>
  </si>
  <si>
    <t>Vaibhav Tapare</t>
  </si>
  <si>
    <t>Accepted other offer</t>
  </si>
  <si>
    <t>Ganesh Waghmode</t>
  </si>
  <si>
    <t>Mendix Developement</t>
  </si>
  <si>
    <t>Atul Kulkarni</t>
  </si>
  <si>
    <t>Priyanka Shahu</t>
  </si>
  <si>
    <t>Better opportunity</t>
  </si>
  <si>
    <t>Kulkarniatul18@gmail.com</t>
  </si>
  <si>
    <t>Ashish Sai Jonnalagadda</t>
  </si>
  <si>
    <t>Surbhi Srivastive</t>
  </si>
  <si>
    <t>Surbhistar@gmail.com</t>
  </si>
  <si>
    <t>Test Lead Eng</t>
  </si>
  <si>
    <t>Firmware Testing</t>
  </si>
  <si>
    <t>Sanika Hadge</t>
  </si>
  <si>
    <t>Vinod Bhagat</t>
  </si>
  <si>
    <t>Sr. Software Engineer Angular</t>
  </si>
  <si>
    <t>Angular</t>
  </si>
  <si>
    <t>Nikhil Zambare</t>
  </si>
  <si>
    <t>Sr. Software Engineer ASP.NET</t>
  </si>
  <si>
    <t>Hariom Varma</t>
  </si>
  <si>
    <t>Deputy Manager - ASP.NET</t>
  </si>
  <si>
    <t>Swapnil Nirhali</t>
  </si>
  <si>
    <t>Hari Praneet</t>
  </si>
  <si>
    <t>Sr Engineer - PCB Design</t>
  </si>
  <si>
    <t>Sanjog Rajput</t>
  </si>
  <si>
    <t>Aurangabad</t>
  </si>
  <si>
    <t>Kiran Malshikhare</t>
  </si>
  <si>
    <t>Assistant Manager Java</t>
  </si>
  <si>
    <t>Nitin kudale</t>
  </si>
  <si>
    <t>Sr Engineer Firmware</t>
  </si>
  <si>
    <t>Shraddha Swami</t>
  </si>
  <si>
    <t>Sr. Fullstack Developer</t>
  </si>
  <si>
    <t>Manisha Bharad</t>
  </si>
  <si>
    <t>Sr. engineer Automation</t>
  </si>
  <si>
    <t>Automation Testing</t>
  </si>
  <si>
    <t>Accepted Other Offer</t>
  </si>
  <si>
    <t>Ankit Mistri</t>
  </si>
  <si>
    <t>8359917534_x000D_</t>
  </si>
  <si>
    <t>ankitmistri34@gmail.com</t>
  </si>
  <si>
    <t>Platform Developer</t>
  </si>
  <si>
    <t>Akash Miskar</t>
  </si>
  <si>
    <t>Madhuri Kathawate</t>
  </si>
  <si>
    <t>Platform AM</t>
  </si>
  <si>
    <t>Ashish Patil</t>
  </si>
  <si>
    <t>Sr Engineer - Angular</t>
  </si>
  <si>
    <t>Hybrid Work Model</t>
  </si>
  <si>
    <t>Kanchan Chungade</t>
  </si>
  <si>
    <t>Firmware Test Engineer</t>
  </si>
  <si>
    <t>Chinmay Rojindar</t>
  </si>
  <si>
    <t>Swapnil Kesare</t>
  </si>
  <si>
    <t>Hardware Testing</t>
  </si>
  <si>
    <t>Pravin</t>
  </si>
  <si>
    <t>Snehal Pauskar</t>
  </si>
  <si>
    <t>snehal.pauskar@gmail.com</t>
  </si>
  <si>
    <t>TG53</t>
  </si>
  <si>
    <t>CFD Engineer</t>
  </si>
  <si>
    <t>Mumbai</t>
  </si>
  <si>
    <t>Tushar Swain</t>
  </si>
  <si>
    <t>Sr. Java Developer</t>
  </si>
  <si>
    <t>Prateek Pandey</t>
  </si>
  <si>
    <t>Low Code Apps Developer</t>
  </si>
  <si>
    <t>Vlase, Lucian</t>
  </si>
  <si>
    <t>Hyderabad</t>
  </si>
  <si>
    <t>Abhishek Jakhotia</t>
  </si>
  <si>
    <t>jakhotiaabhi2121@gmail.com</t>
  </si>
  <si>
    <t>Sr Engineer</t>
  </si>
  <si>
    <t>JAVA</t>
  </si>
  <si>
    <t>Vishnu Panchal</t>
  </si>
  <si>
    <t>vishnu.panchal11999@gmail.com</t>
  </si>
  <si>
    <t>Sagar Wajire</t>
  </si>
  <si>
    <t>Nitin Trivedi</t>
  </si>
  <si>
    <t>Shubhangi</t>
  </si>
  <si>
    <t>Naukri</t>
  </si>
  <si>
    <t>Neeta Patil</t>
  </si>
  <si>
    <t>Sr, Manager Firmware</t>
  </si>
  <si>
    <t>Kiran Dahimiwal</t>
  </si>
  <si>
    <t>ORC</t>
  </si>
  <si>
    <t>Associate Engineer Firmware</t>
  </si>
  <si>
    <t>Deep Makwana</t>
  </si>
  <si>
    <t>Senior Materials Buyer - NPD</t>
  </si>
  <si>
    <t>Vikas Luthra</t>
  </si>
  <si>
    <t>Ambarnath</t>
  </si>
  <si>
    <t>MAHESH WERULKAR</t>
  </si>
  <si>
    <t>Operations Senior Analyst RPDU</t>
  </si>
  <si>
    <t>Rohit Sonawane</t>
  </si>
  <si>
    <t>Sr. Manager AME</t>
  </si>
  <si>
    <t>Mahesh Bhendale</t>
  </si>
  <si>
    <t>Store</t>
  </si>
  <si>
    <t>Hemant Dalavi</t>
  </si>
  <si>
    <t>Jagdish Ramesh Thakare</t>
  </si>
  <si>
    <t>Asst.Manager-Planning</t>
  </si>
  <si>
    <t>Vaibhav more</t>
  </si>
  <si>
    <t>Operations Senior Analyst</t>
  </si>
  <si>
    <t>Prashant Dudgu</t>
  </si>
  <si>
    <t>Avinash Attarde</t>
  </si>
  <si>
    <t>Deshana Bhagat</t>
  </si>
  <si>
    <t xml:space="preserve">Quality </t>
  </si>
  <si>
    <t>Ramesh Pawar</t>
  </si>
  <si>
    <t>Purushottam Nalankar</t>
  </si>
  <si>
    <t>Project Management</t>
  </si>
  <si>
    <t>PM</t>
  </si>
  <si>
    <t>Sagar Giri</t>
  </si>
  <si>
    <t>8928426271/+91 8600433607.</t>
  </si>
  <si>
    <t>sagar.giri21@gmail.com</t>
  </si>
  <si>
    <t>Tier 2 Support</t>
  </si>
  <si>
    <t>Support</t>
  </si>
  <si>
    <t>Madhuri Khule</t>
  </si>
  <si>
    <t>Project Manager</t>
  </si>
  <si>
    <t>Electrical Design</t>
  </si>
  <si>
    <t>Vinay Kinnal</t>
  </si>
  <si>
    <t>Tech Pub</t>
  </si>
  <si>
    <t>Retained By Current Company</t>
  </si>
  <si>
    <t xml:space="preserve">
PAVAN KASTURI</t>
  </si>
  <si>
    <t>Facilities YODA</t>
  </si>
  <si>
    <t>Facilities</t>
  </si>
  <si>
    <t>Patil,Satyakam</t>
  </si>
  <si>
    <t>Navjyot Mahajan</t>
  </si>
  <si>
    <t>Sr. Engineer - Firmware</t>
  </si>
  <si>
    <t>Jino Abraham</t>
  </si>
  <si>
    <t>Engineer - Electrical Design</t>
  </si>
  <si>
    <t>Priti Gite</t>
  </si>
  <si>
    <t>Vikrant Deshmukh</t>
  </si>
  <si>
    <t>Abhishek Behra</t>
  </si>
  <si>
    <t>Sr.Multimedia Designer</t>
  </si>
  <si>
    <t>After Effect</t>
  </si>
  <si>
    <t>Ishann Despande</t>
  </si>
  <si>
    <t>ishaan.deshpande32@gmail.com</t>
  </si>
  <si>
    <t>Jr PCC Writer</t>
  </si>
  <si>
    <t>PCC</t>
  </si>
  <si>
    <t>Pooja Sawant</t>
  </si>
  <si>
    <t>pooja.sawant123@gmail.com</t>
  </si>
  <si>
    <t>Selection - Akshay Wavhal</t>
  </si>
  <si>
    <t>Akshay Wavhal</t>
  </si>
  <si>
    <t>wavhalakshay7@gmail.com</t>
  </si>
  <si>
    <t>Internal Closed</t>
  </si>
  <si>
    <t>Production Supervisior</t>
  </si>
  <si>
    <t>Shasikant</t>
  </si>
  <si>
    <t>Closed through IJP</t>
  </si>
  <si>
    <t>21-July -25 : 1 candidate Final round done feedback pending and 2 candidatesL1  interview schedule .
30-June-25: 4cvs to be shared by 1st july .
23-June-25: 2 candidates L2 interview schedule . 
18-June- 25: Final round schedule 0n 19th - June - 
17-June: 3 candidates L2 interview schedule .
8-MAy-25: 2 candidates interview done - A/F , 2 more cvs shared with Panel on 8-May .
2-May-25 : 1 candidate L1 rejected , 1 candidate to be schedule - Sanket , need to be share new more profiles .
24-April-25: 2 candidates interview schedule 24 april and 25- april .
21st April 25: 3 profiles shared on 16th April 25, awaiting for feedback
12th April 25: 3 profiles shared for shortlisting
10th April 25: 2 LOB Test reject, need to add more profiles</t>
  </si>
  <si>
    <t>Gauri Pawar</t>
  </si>
  <si>
    <t> 8149004435</t>
  </si>
  <si>
    <t>gauripawar2303@gmail.com</t>
  </si>
  <si>
    <t>17-June- 1 candidates final round done feedback pending - 
24-April-25: 1 candidate - Hemraj interview reschedule on 1 May . few more cvs to be shared .
22-April - 2 candidates lineup , 2 cvs shared feedback awaited .
12th-April : 3cvs shared on 11th April Feedback pending.
8 April: all profiles are rejected shared on 7 April. 2 cvs shared on 7th April .
7 April: Shared profiles with Sarath on 7th April. Feedback Pending</t>
  </si>
  <si>
    <t>Hemraj V. Tiple</t>
  </si>
  <si>
    <t>htiple90@gmail.com</t>
  </si>
  <si>
    <t>Manager Purchase</t>
  </si>
  <si>
    <t>Durgesh K</t>
  </si>
  <si>
    <t>Looking for IJP candidate-Asked to keep on hold</t>
  </si>
  <si>
    <t>Associate Engineer Mechanical Engineering Creo</t>
  </si>
  <si>
    <t>CREO</t>
  </si>
  <si>
    <t>30-June-25: Piyush ingole selected .
23-June-25: 10 candidates schedule for Drive - 28th- June-25
17-June-25: Drive conducted on 21st June 25 - 10 cvs shared to panel .
8-May-25: 1 candidate shortlisted for Test , 5 more cvs shared with HM F/A on 8-May.
25-April-25: Recviced shortlisting , HM available on 5th May 25 .
24-April-25: 4cvs shared on 23-April -25 F/A
12th-April : 11th-April: Mail drop to the HM for position status .
Offer accepted, DOJ- 31st Mar</t>
  </si>
  <si>
    <t>Piyush Ingole</t>
  </si>
  <si>
    <t xml:space="preserve">
8459324407</t>
  </si>
  <si>
    <t xml:space="preserve">
ingolepiyush81@gmail.com</t>
  </si>
  <si>
    <t>23-June-25: 1 candidate final interview round feedback is pending, Position on hold
17-June-25: 1 candidate is in Final Satge (Romana), 4 cvs shared on 3rd June - Feedback pending .
3-Jun-25: 2 L1 interviews scheduled, 1 Test feedback is pending, 4 Profiles shared for shortlisting awaiting for feedback.
2-May-25: 2 candidates L2 to be schedule for nest week .
25-April-25: 2 candidate test done - feedback pending , need to share more profiles .
21st April 25: 3 F2f test to be scheduled
12th April 25: 3 profiles shared for shortlisting on 12th Apr 25
11-Apr-Komal Dhumal drop
Restart</t>
  </si>
  <si>
    <t>Engineer I Firmware Engineering IX</t>
  </si>
  <si>
    <t xml:space="preserve">22-April- 2 candidates iinterview to be schedule </t>
  </si>
  <si>
    <t>Closed</t>
  </si>
  <si>
    <t>Supervisor Software Engineering</t>
  </si>
  <si>
    <t>30-June-25: 2 candidates lineup on thursday
23-June-25: 3 candidates L2 interview schedule .
18-June-25: 2 candidates L1 schedule .
17-June -25: 2 candidates interview schedule on 19th - June-25.
2-May-25: 5 cvs shared F/A .
24-April - 3 profiles shared with HM - feedback pending .</t>
  </si>
  <si>
    <t>Category Management Direct Specialist</t>
  </si>
  <si>
    <t>SCM</t>
  </si>
  <si>
    <t>Pankaj G</t>
  </si>
  <si>
    <t>P2</t>
  </si>
  <si>
    <t>18-june-25: Closed on IJP by preksha</t>
  </si>
  <si>
    <t>Operations Technical Learning and Development Specialist</t>
  </si>
  <si>
    <t>Training</t>
  </si>
  <si>
    <t>Eva</t>
  </si>
  <si>
    <t>17-June-25:Offer Released, DOJ 14-July 2025 &amp; 
18-June -25: Revised offer needs to be shared, DOJ 30-June 2025 
23 June 25- Offer accepted, DOJ 30 June 25 
24th June 2025- Same for ALL days 
10.7.2025-Onboarding done</t>
  </si>
  <si>
    <t>Deepak patil</t>
  </si>
  <si>
    <t xml:space="preserve"> deepakpatil291085@gmail.com</t>
  </si>
  <si>
    <t>Suspend</t>
  </si>
  <si>
    <t>Manufacturing Engineering Analyst</t>
  </si>
  <si>
    <t>Manufacturing Lean</t>
  </si>
  <si>
    <t>Prasad Girad</t>
  </si>
  <si>
    <t>P1</t>
  </si>
  <si>
    <t>23 June 25-ORC ID approval awaited 
18-June 25-ORC ID approval awaited 1
17-June 25 -ORC ID approval awaited .
23 June 25-ORC ID approval awaited 
24June 2025-ORC ID approval awaited ( Same for ALL) 
10.7.2025- ORC ID Approval Awaited</t>
  </si>
  <si>
    <t>Engineer I Mechanical Engineering IX</t>
  </si>
  <si>
    <t xml:space="preserve">Solidworks </t>
  </si>
  <si>
    <t>21-July - 25: 2 candidates shortlisted (1st select - Mohammed Husaain - Ajim wants to discussed with Management as candidates has 6+yrs Experience , Backup candidate - Gurupasad .)
30-June-25 : 2 candidates in LOB schedule thursday 
23-June-25: 10 candidates schedule for 28th-June Drive .
17-June-25:  Drive conducted on 21st June .</t>
  </si>
  <si>
    <t>Balasaheb Santosh Kale</t>
  </si>
  <si>
    <t>balakale61@gmail.com</t>
  </si>
  <si>
    <t>joined</t>
  </si>
  <si>
    <t>Engineer II Technical Publications X</t>
  </si>
  <si>
    <t>Content writer</t>
  </si>
  <si>
    <t>15th -July-2025: Revised AL sent to candidate with updated DOJ as 18th Aug 2025</t>
  </si>
  <si>
    <t>Shubham Chougale</t>
  </si>
  <si>
    <t>chshubham333@gmail.com</t>
  </si>
  <si>
    <t>Sr Software Developer</t>
  </si>
  <si>
    <t>C , C++</t>
  </si>
  <si>
    <t>Bandu Landge</t>
  </si>
  <si>
    <t>Selection - Sagar Chopde</t>
  </si>
  <si>
    <t>Sagar Chopde</t>
  </si>
  <si>
    <t>L2 Interview</t>
  </si>
  <si>
    <t>Supplier Quality Management Senior Analyst</t>
  </si>
  <si>
    <t xml:space="preserve">Supplier Quality </t>
  </si>
  <si>
    <t>Rupesh Patil</t>
  </si>
  <si>
    <t>P3</t>
  </si>
  <si>
    <t>Pune,India</t>
  </si>
  <si>
    <t>28- Oct-2025-Feedback pending on 4 profiles</t>
  </si>
  <si>
    <t>Sunanda desar</t>
  </si>
  <si>
    <t>Internal</t>
  </si>
  <si>
    <t>8Years</t>
  </si>
  <si>
    <t>17-June-25: Nikhil Apte - selected - Documentation pending - waiting for Management approval
 18-June 2025 : Waiting for approval from management 
23 June-25: Fitment approved is pending 
10.7.2025 - L2 approval is pending on Fitment 
21-July 2025- L2 Interview to be scheduled , 2 back up 
26- June 2025- Fitment approved is pending 
21July 2025- Offer Released DOj 25th Aug 2025  
7 Aug-2025- Offer Released DOj 25th Aug 202</t>
  </si>
  <si>
    <t>Nikhil Apte</t>
  </si>
  <si>
    <t>Naptenikhil1@gmail.com</t>
  </si>
  <si>
    <t>NA</t>
  </si>
  <si>
    <t xml:space="preserve">Software Engineer - Security </t>
  </si>
  <si>
    <t>Security - .Net</t>
  </si>
  <si>
    <t xml:space="preserve">30-June-25: 2 candidates to be schedule 
23-June-25: 3 candidates L1 schedule .
18-June-25: 2 candidates iL1 rejected - 1 candidate L2 scheduled 
17-June- 25 : 3 candidates interview  schedule .
Intake meeting pending from HM </t>
  </si>
  <si>
    <t>Engineer Mechanical - Creo</t>
  </si>
  <si>
    <t>30-June-25: Balasaheb selected 
23-June-25: 2 candidates L1 interview schedule .
Drive on 28th-June-25</t>
  </si>
  <si>
    <t>Quality Product Testing Analyst</t>
  </si>
  <si>
    <t>Quality Testing</t>
  </si>
  <si>
    <t>Nageshwar Patil</t>
  </si>
  <si>
    <t>17-June-25 : 3cvs shared with HM  on 16th- June / Feedback pending  
18 June -25:Need to share new profiles, 1 interview is done  
23 June-25 :Got one selection, Docs is in process
 10.7.2025- Fitment Approval is pending by HRBP
26th June 2025-Fitment process is in going on
7 Aug 2025-Offer acceptance is pending
 14 Aug 2025- Offer accepted, 18 Aug 2025 DOJ</t>
  </si>
  <si>
    <t xml:space="preserve"> Ajinkya Deepak Hadage</t>
  </si>
  <si>
    <t>ajinkyahadage@gmail.com</t>
  </si>
  <si>
    <t>Ambernath</t>
  </si>
  <si>
    <t>Supervisor Manufacturing quality</t>
  </si>
  <si>
    <t>Customer quality</t>
  </si>
  <si>
    <t>17-June-25:  3cvs shared with HM  on 16th- June / Feedback pending
 18 June 25- 1 interview to be scheduled &amp; need to share more profiles 
23 June 25-Need to share few profiles 
21-july 2025- Closed on IJP
26-June 25 Need to share few profiles 
21.7.2025-1 interview Scheduled, feedback pending on 3 profiles
 6 July-2025 2 interviews scheduled  
7 Aug-2025- Closed on IJP</t>
  </si>
  <si>
    <t>Shubham Sawant</t>
  </si>
  <si>
    <t>Quality Management Manager</t>
  </si>
  <si>
    <t>Service Quality</t>
  </si>
  <si>
    <t>Swaminathan</t>
  </si>
  <si>
    <t>P4</t>
  </si>
  <si>
    <t>13Years</t>
  </si>
  <si>
    <t>17-June- 25: 2cvs shared with HM , Feedback pending 
18 June -25- 1 interview to be scheduled, Need to share more profiles 
23-June 25-  1 interview to be scheduled, Need to share more profiles 
 26 June 2025- On hold for sometime 
10.7.2025-L2 to be scheduled, one interview scheduled 
 21July 2025- 4 interviews to be scheduled
 6 Aug 2025- feedback pending on 3 profiles 
7 Aug 2025-2 interviews scheduled with Swami, need to share fresh profiles 
13 Aug 2025- 3 L2 scheduled 
14 Aug-25- One interview scheduled, feedback pending on 1
 18 Aug 2025-Received selection need final confirmation
 19 Aug 2025- Documentation in process 20 Aug 2025- Fitment Approval is pending</t>
  </si>
  <si>
    <t>Ravi Kumar</t>
  </si>
  <si>
    <t>8123316195 / 8095803111</t>
  </si>
  <si>
    <t>rnkudalli@gmail.com</t>
  </si>
  <si>
    <t>20255706</t>
  </si>
  <si>
    <t>Offer in Progress</t>
  </si>
  <si>
    <t>Fitment Shared</t>
  </si>
  <si>
    <t>Purchasing Specialist</t>
  </si>
  <si>
    <t>BOM</t>
  </si>
  <si>
    <t>Durgesh Chavan</t>
  </si>
  <si>
    <t>9Years</t>
  </si>
  <si>
    <t>16 Sep 2025- 2 Interview Aligned</t>
  </si>
  <si>
    <t>Swapnil Bhoite</t>
  </si>
  <si>
    <t>swapbhoite14@gmail.com</t>
  </si>
  <si>
    <t>Purchasing Senior Analyst</t>
  </si>
  <si>
    <t>5.2Years</t>
  </si>
  <si>
    <t xml:space="preserve">
17-June-25-Fitment Approval is pending 
18 June-25- Appoved fitment , need to process offer
 23 June-25-Offer released, DOJ 21th July 2025 
26 June 2025- Offer accepted, Doj 21th July 2025 
10.7.2025-Offer accepted, Doj 21th July 2025 
21 July 2025- candidate backed out, Closed on IJP
 7 Aug 2025-Offer acceptance is pending  
14 Aug 2025- offer accepted.DOJ 15 Sep 2025</t>
  </si>
  <si>
    <t>Gaurav Chimote</t>
  </si>
  <si>
    <t>gauravchimote89@gmail.com</t>
  </si>
  <si>
    <t>Engineer I, Field Service</t>
  </si>
  <si>
    <t xml:space="preserve">Haresh </t>
  </si>
  <si>
    <t>6Years</t>
  </si>
  <si>
    <t>Noida</t>
  </si>
  <si>
    <t xml:space="preserve">26 June 25-Offer is in process
23 June 25- Waiting for Feedback
17 June 25- 2 profiles shared - Feedback pending ,
10.7.2025- offer accepted, DOJ before 29 September 2025
18 June 25 -2 profiles shared - Feedback pending 
21july 2025- Offer released Doj 22 sep 2025 
14 Aug 2025-Offer released Doj 22 sep 2025 </t>
  </si>
  <si>
    <t>Harshit Tyagi</t>
  </si>
  <si>
    <t>tyagi554433@gmail.com</t>
  </si>
  <si>
    <t>Market Research &amp; Intelligence Analyst</t>
  </si>
  <si>
    <t>30-June-2025 Offered-Romana Sharma</t>
  </si>
  <si>
    <t>Romana Sharma</t>
  </si>
  <si>
    <t>rumanasharmaroma@gmail.com</t>
  </si>
  <si>
    <t>Sr. Engineer I Mechanical Engineering X (Solidworks)</t>
  </si>
  <si>
    <t>Swapnil Khairner - selected -DOJ - 14-July -25</t>
  </si>
  <si>
    <t>Swapnil Kailas Khairnar</t>
  </si>
  <si>
    <t>swapnilkhairnar111@gmail.com</t>
  </si>
  <si>
    <t>Sr. Engineer Mechanical Engineering XII</t>
  </si>
  <si>
    <t>Chiller Design</t>
  </si>
  <si>
    <t>Santosh P</t>
  </si>
  <si>
    <t xml:space="preserve">
14 Aug 2025- Offer accepted, Doj 13th Oct 2025</t>
  </si>
  <si>
    <t>Nikhil Wakachure</t>
  </si>
  <si>
    <t>wakchaurenikhil35@gmail. com</t>
  </si>
  <si>
    <t>Sr. Engineer Electrical &amp; Electronics Engineering XII</t>
  </si>
  <si>
    <t xml:space="preserve">Power Electronics </t>
  </si>
  <si>
    <t>Vijay N</t>
  </si>
  <si>
    <t xml:space="preserve">Pune </t>
  </si>
  <si>
    <t>28th- Oct-25 : 4 interview scheduled , 3 cvs shared feed back pending .</t>
  </si>
  <si>
    <t>Production Analyst</t>
  </si>
  <si>
    <t>UPS</t>
  </si>
  <si>
    <t>Mahadeo</t>
  </si>
  <si>
    <t>6-Aug-2025 2 interviews scheduled
 7 Aug-2025-3 interviews scheduled 
13 Aug 2025-Feedback pending on 3 interviews 
14 Aug 2025--Feedback pending on 3 interviews
 18 Aug 2025- Feedback pending on 3 interviews 
19 Aug 2025- Documentation is in process 20 Aug 2025-Fitment Approval is going on</t>
  </si>
  <si>
    <t>Avinash Pawar</t>
  </si>
  <si>
    <t>avipawar224@gmail.com</t>
  </si>
  <si>
    <t>Dayanand Pai</t>
  </si>
  <si>
    <t>6-July-2025 Feedback pending on 4 profiles  
7 Aug-2025-3 profiles shared, feedback pending 
13 Aug 2025- To be closed on Tentative IJP</t>
  </si>
  <si>
    <t>Manager Services Sales</t>
  </si>
  <si>
    <t>Contract Management</t>
  </si>
  <si>
    <t>Roger D</t>
  </si>
  <si>
    <t>6-July-2025 2 interviews scheduled
 7 Aug 2025-1 interview scheduled, feedback pending on 2 profiles 
13 Aug 2025- To be closed on Tentative IJP</t>
  </si>
  <si>
    <t>Services Sales Specialist</t>
  </si>
  <si>
    <t>6-July-2025 2 interviews scheduled 
7 Aug-2025-1 interview scheduled, feedback pending on 2 profiles 
13 Aug 2025- feedback pending on 2 profiles
 14 Aug 2025- Position is on hold</t>
  </si>
  <si>
    <t xml:space="preserve">6-July-2025 2 interviews scheduled 
7 Aug-2025-3 profiles shared, feedback pending 
13 Aug 2025-3 interviews to be scheduled
 14 Aug 2025- 3 interview scheduled 
18 Aug 2025-Documentation is in process 
19 Aug 2025-Documentation is in process 20 Aug 2025-Documentation is in process </t>
  </si>
  <si>
    <t>Ramchandra Khade</t>
  </si>
  <si>
    <t>khaderamchandradse@gmail.com</t>
  </si>
  <si>
    <t>Manufacturing Quality Senior Analyst</t>
  </si>
  <si>
    <t>Inprocess Quality</t>
  </si>
  <si>
    <t>Sunanda</t>
  </si>
  <si>
    <t>14 Aug 2025- Feedback pending on 3 profiles
 18 Aug 2025-Feedback pending on 3 profiles  
19 Aug 2025--Feedback pending on 3 profiles 
20 Aug 2025-Feedback pending on 3 profiles 
28th Aug 2025-Feedback pending on 3 profiles 
2-Sep 2025- 2  Final interviews Scheduled 
3 Sep 2024-  2  Final interviews Scheduled
 5th Sep 2025- 1 Final interview to be scheduled</t>
  </si>
  <si>
    <t>Vaibhav Zede</t>
  </si>
  <si>
    <t>vaibhavzade11@gmail.com</t>
  </si>
  <si>
    <t>ME</t>
  </si>
  <si>
    <t>14 Aug 2025- 2 interviews scheduled 
18 Aug 2025- 2 final round scheduled with Swami 
19Aug 2025- 2 final round scheduled with Swami
 20 Aug 2025- 2 final round scheduled with Swami
 28th Aug 2025- One final round with Anandan 
 2-sept 2025- Received Selection,Fitment approval is pending</t>
  </si>
  <si>
    <t>Ravi Singh</t>
  </si>
  <si>
    <t>ravi.singh023@gmail.com</t>
  </si>
  <si>
    <t>Yet to Join</t>
  </si>
  <si>
    <t>19-Aug 2025- Documentation is in process 20 Aug 2025- Documentation is in process</t>
  </si>
  <si>
    <t>Pravin Bhosale</t>
  </si>
  <si>
    <t>Pravinb9989@gmail.com</t>
  </si>
  <si>
    <t>Supplier Quality Management Senior Analyst NPD</t>
  </si>
  <si>
    <t>NPD</t>
  </si>
  <si>
    <t>6.11.2025- Feedback pending on Final Interview</t>
  </si>
  <si>
    <t>Swapnil Daphale</t>
  </si>
  <si>
    <t>swapnil157912@gmail.com</t>
  </si>
  <si>
    <t>L1 Interview</t>
  </si>
  <si>
    <t>Senior Engineer - Firmware Engineering X</t>
  </si>
  <si>
    <t>Ankur</t>
  </si>
  <si>
    <t>5cvs shared to HM - feedback pending</t>
  </si>
  <si>
    <t>Project Manager Technical Project Mgmt. (IT) Specialist</t>
  </si>
  <si>
    <t>Enrico Liboni</t>
  </si>
  <si>
    <t>Dayanand M</t>
  </si>
  <si>
    <t>16 Sep 2025- Feedback pending on 3 profiles</t>
  </si>
  <si>
    <t>Purchasing Analyst</t>
  </si>
  <si>
    <t>Vikas G</t>
  </si>
  <si>
    <t>16 Sep 2025- Feedback pending on 4 profiles</t>
  </si>
  <si>
    <t>Vishal Pawar</t>
  </si>
  <si>
    <t>mail.pva13@gmail.com</t>
  </si>
  <si>
    <t>LOB Interview</t>
  </si>
  <si>
    <t>Sr. Engineer - Product</t>
  </si>
  <si>
    <t>Design</t>
  </si>
  <si>
    <t>Dipak Gaikwad</t>
  </si>
  <si>
    <t xml:space="preserve">28th-Oct-25: 2 candidates Interview scheduled for tommorow , sharing 3 more cvs by tomorrow EOD.
5th-Sept - 25: 3 profiles shared 
candidates L1 scheduled </t>
  </si>
  <si>
    <t xml:space="preserve">8th-Sept :Intake call scheduled </t>
  </si>
  <si>
    <t>Production Senior Analyst-</t>
  </si>
  <si>
    <t>Thermal Management</t>
  </si>
  <si>
    <t>Manufacturing</t>
  </si>
  <si>
    <t>Shashikant P</t>
  </si>
  <si>
    <t>28-Oct 2025- Feedback pending on 3 Profiles</t>
  </si>
  <si>
    <t>Amulya Dey</t>
  </si>
  <si>
    <t>amulyadey37@gmail.com</t>
  </si>
  <si>
    <t>Material Planning</t>
  </si>
  <si>
    <t>Ankush mehta</t>
  </si>
  <si>
    <t>16 Sep 2025- 2 Interview Aligned,feedback pending on 3 profiles</t>
  </si>
  <si>
    <t>Pratik Kulkarni</t>
  </si>
  <si>
    <t xml:space="preserve">pratik.kulkarni127@gmail.com </t>
  </si>
  <si>
    <t>Ritwik Singh</t>
  </si>
  <si>
    <t>"ritwikpratapsingh111@gmail.com" &lt;ritwikpratapsingh111@gmail.com&gt;</t>
  </si>
  <si>
    <t>Sr. Engineer Mechanical Engineering</t>
  </si>
  <si>
    <t>K, Mohamed Ali Hussain</t>
  </si>
  <si>
    <t>mohdalihussain07@gmail.com</t>
  </si>
  <si>
    <t>Anant H</t>
  </si>
  <si>
    <t>P01</t>
  </si>
  <si>
    <t>28- Oct-2025-Approval pending form Management</t>
  </si>
  <si>
    <t>Supervisor Manufacturing</t>
  </si>
  <si>
    <t>Nandwalkar, Jitendra</t>
  </si>
  <si>
    <t>P02</t>
  </si>
  <si>
    <t>6.11.2025- Feedback pending on 5 profiles</t>
  </si>
  <si>
    <t>Documentaion</t>
  </si>
  <si>
    <t>6.11.2025- 3 Interview Scheduled</t>
  </si>
  <si>
    <t>Suraj Dhanuskar</t>
  </si>
  <si>
    <t>surajd312000@gmail.com</t>
  </si>
  <si>
    <t>Nair, Sandeep</t>
  </si>
  <si>
    <t>6.11.2025- 2 Interview Scheduled</t>
  </si>
  <si>
    <t>Rajesh Mohite</t>
  </si>
  <si>
    <t>rajeshmohite595@gmail.com</t>
  </si>
  <si>
    <t>Pavan Chahande</t>
  </si>
  <si>
    <t>pvchahande1998@gmail.com</t>
  </si>
  <si>
    <t>Mali, Narsing</t>
  </si>
  <si>
    <t>Manager Automation</t>
  </si>
  <si>
    <t>M02</t>
  </si>
  <si>
    <t>30-Oct-25- Intakecall Done</t>
  </si>
  <si>
    <t>Senior Engineer Firmware</t>
  </si>
  <si>
    <t>Sr Engineer Mechanical</t>
  </si>
  <si>
    <t>Guruprasad B G</t>
  </si>
  <si>
    <t>guru141997@gmail.com</t>
  </si>
  <si>
    <t>Manager Reliability Engineering</t>
  </si>
  <si>
    <t>4 profiles shared , 2 interview scheduled on 7-Nov-25</t>
  </si>
  <si>
    <t>Incoming Quality</t>
  </si>
  <si>
    <t>3 interview scheduled</t>
  </si>
  <si>
    <t>Screening</t>
  </si>
  <si>
    <t>Supplier Quality Management Specialist</t>
  </si>
  <si>
    <t>2 profiles shared</t>
  </si>
  <si>
    <t>Sr. No.</t>
  </si>
  <si>
    <t>Date</t>
  </si>
  <si>
    <t>Current Stage</t>
  </si>
  <si>
    <t>Contact No.</t>
  </si>
  <si>
    <t>Email ID</t>
  </si>
  <si>
    <t xml:space="preserve">Position </t>
  </si>
  <si>
    <t>Total Yrs of Exp.</t>
  </si>
  <si>
    <t>Current Company</t>
  </si>
  <si>
    <t>Fixed CTC</t>
  </si>
  <si>
    <t>Variable CTC</t>
  </si>
  <si>
    <t>Expected CTC</t>
  </si>
  <si>
    <t>Current Location</t>
  </si>
  <si>
    <t>Preferred Location</t>
  </si>
  <si>
    <t>Notice Period</t>
  </si>
  <si>
    <t>Comments / Remark</t>
  </si>
  <si>
    <t>Offer Drop Date</t>
  </si>
  <si>
    <t xml:space="preserve">Source Hire </t>
  </si>
  <si>
    <t>Cv S/L date</t>
  </si>
  <si>
    <t>L1 Date</t>
  </si>
  <si>
    <t>L1 F/b date</t>
  </si>
  <si>
    <t>L2 Date</t>
  </si>
  <si>
    <t>L2 F/b date</t>
  </si>
  <si>
    <t>L3 Date</t>
  </si>
  <si>
    <t>L3 f/b date</t>
  </si>
  <si>
    <t>Intake Date</t>
  </si>
  <si>
    <t>5 yrs</t>
  </si>
  <si>
    <t>Previous- Onward Technologies</t>
  </si>
  <si>
    <t>9 LPA</t>
  </si>
  <si>
    <t> </t>
  </si>
  <si>
    <t>11-12 LPA</t>
  </si>
  <si>
    <t>Immediate</t>
  </si>
  <si>
    <t>pallaviwankhade24@gmail.com</t>
  </si>
  <si>
    <t>dhuriyajoteshdj@gmail.com</t>
  </si>
  <si>
    <t>Yogesh Sonawane</t>
  </si>
  <si>
    <t>4 Years</t>
  </si>
  <si>
    <t>TATA AutoComp</t>
  </si>
  <si>
    <t>4 LPA</t>
  </si>
  <si>
    <t>7.5 LPA</t>
  </si>
  <si>
    <t>90 Days</t>
  </si>
  <si>
    <t>Tejaswini Chikhale</t>
  </si>
  <si>
    <t>Engineer - Angular Developer</t>
  </si>
  <si>
    <t>4.4 Years</t>
  </si>
  <si>
    <t>Cybage</t>
  </si>
  <si>
    <t>11.5 LPA</t>
  </si>
  <si>
    <t>16 LPA</t>
  </si>
  <si>
    <t>LWD - 30 May 2024</t>
  </si>
  <si>
    <t>14.5 LPA</t>
  </si>
  <si>
    <t>5.7 Years</t>
  </si>
  <si>
    <t>aioneers technologies</t>
  </si>
  <si>
    <t>6.25 LPA</t>
  </si>
  <si>
    <t>10 LPA</t>
  </si>
  <si>
    <t>LWD - 8th Dec</t>
  </si>
  <si>
    <t>18 Years</t>
  </si>
  <si>
    <t>CG Power and Industrial Solutions</t>
  </si>
  <si>
    <t>15.75 LPA</t>
  </si>
  <si>
    <t>20 LPA</t>
  </si>
  <si>
    <t>Nasik</t>
  </si>
  <si>
    <t>SP UPS</t>
  </si>
  <si>
    <t>5 Years</t>
  </si>
  <si>
    <t>VNIT, Nagpur</t>
  </si>
  <si>
    <t>42k Stipend</t>
  </si>
  <si>
    <t>13 LPA</t>
  </si>
  <si>
    <t>Nagpur</t>
  </si>
  <si>
    <t>30 Days</t>
  </si>
  <si>
    <t>8.5 Years</t>
  </si>
  <si>
    <t>Ador Powertron Ltd</t>
  </si>
  <si>
    <t>19 LPA</t>
  </si>
  <si>
    <t>LWD - 30th Oct 2023</t>
  </si>
  <si>
    <t>18 - Bangalore</t>
  </si>
  <si>
    <t xml:space="preserve">vinodpatil.5236@gmail.com </t>
  </si>
  <si>
    <t>Rajkumar</t>
  </si>
  <si>
    <t>10,00,000</t>
  </si>
  <si>
    <t>WIP</t>
  </si>
  <si>
    <t>L1 Rejected</t>
  </si>
  <si>
    <t>Seema Jadhav</t>
  </si>
  <si>
    <t>seema.jadhav4562@gmail.com</t>
  </si>
  <si>
    <t>Vlase Lucian</t>
  </si>
  <si>
    <t>HCL Tech</t>
  </si>
  <si>
    <t>Pune-Hindewadi</t>
  </si>
  <si>
    <t>LWD:2nd sep 24</t>
  </si>
  <si>
    <t>NI</t>
  </si>
  <si>
    <t>Sameer Patil</t>
  </si>
  <si>
    <t>veerpatilsam20@gmail.com</t>
  </si>
  <si>
    <t>Verforce</t>
  </si>
  <si>
    <t>7 to 8 (Negotiable)</t>
  </si>
  <si>
    <t xml:space="preserve">Pune-Hindewadi, </t>
  </si>
  <si>
    <t>LWD: 31 oct 24</t>
  </si>
  <si>
    <t>L1 need to be reschedule</t>
  </si>
  <si>
    <t>RASHMI SAKAT</t>
  </si>
  <si>
    <t>rashmisakat21@gmail.com</t>
  </si>
  <si>
    <t>Omnepresent Technology</t>
  </si>
  <si>
    <t>Pune- Hadaspar</t>
  </si>
  <si>
    <t>60 days</t>
  </si>
  <si>
    <t>LOB Reject</t>
  </si>
  <si>
    <t>Prathmesh Borse</t>
  </si>
  <si>
    <t>prathmeshborse99@gmail.com</t>
  </si>
  <si>
    <t>Springer Nature Group</t>
  </si>
  <si>
    <t>Company Norms</t>
  </si>
  <si>
    <t>Pune-Aundh</t>
  </si>
  <si>
    <t>LWD:29th Nov 24</t>
  </si>
  <si>
    <t>On hold</t>
  </si>
  <si>
    <t>PRASHANTH KORADALA</t>
  </si>
  <si>
    <t>prashanthkoradala1@gmail.com</t>
  </si>
  <si>
    <t>PERSISTENT SYSTEMS LTD</t>
  </si>
  <si>
    <t>Telanagna</t>
  </si>
  <si>
    <t>LWD: 29th Nov 24, Immediate Joiner</t>
  </si>
  <si>
    <t>MAHESH MALI</t>
  </si>
  <si>
    <t>maheshmali0303@gmail.com</t>
  </si>
  <si>
    <t>Wai technologies</t>
  </si>
  <si>
    <t>Pune- Wagholi</t>
  </si>
  <si>
    <t>30 days</t>
  </si>
  <si>
    <t>Vishajit Jadhav</t>
  </si>
  <si>
    <t>vishajityadav6290@gmail.com</t>
  </si>
  <si>
    <t>Ennotova Pvr</t>
  </si>
  <si>
    <t>Pune-Katraj</t>
  </si>
  <si>
    <t>Sakshi Kolhe</t>
  </si>
  <si>
    <t>8669778584/9067848525</t>
  </si>
  <si>
    <t>sakshikolhe0407@gmail.com</t>
  </si>
  <si>
    <t>Aagneya Productions LLP</t>
  </si>
  <si>
    <t>Pune-Baner, Native place is apart from pune</t>
  </si>
  <si>
    <t>AJAY BHANDARE</t>
  </si>
  <si>
    <t>abhandare65@gmail.com</t>
  </si>
  <si>
    <t>Abk Imports</t>
  </si>
  <si>
    <t>Pune-Keshavgar</t>
  </si>
  <si>
    <t>Sr. Firmware Engineer</t>
  </si>
  <si>
    <t xml:space="preserve">10.5 Years </t>
  </si>
  <si>
    <t>RISHABH INSTRUMENTS LTD</t>
  </si>
  <si>
    <t>25 LPA</t>
  </si>
  <si>
    <t>Nashik</t>
  </si>
  <si>
    <t>60 Days</t>
  </si>
  <si>
    <t>Piyush@gmail.com</t>
  </si>
  <si>
    <t>L2 Rejected</t>
  </si>
  <si>
    <t>RAHUL PATIL</t>
  </si>
  <si>
    <t>rkpatil1612@gmail.com</t>
  </si>
  <si>
    <t>ACCENTURE</t>
  </si>
  <si>
    <t>90 days, will check for negotiation</t>
  </si>
  <si>
    <t>Ashishkumar Pawar</t>
  </si>
  <si>
    <t>ashishpwr930@gmail.com</t>
  </si>
  <si>
    <t>8 (2.5 yrs)</t>
  </si>
  <si>
    <t>OmnePresent Technologies</t>
  </si>
  <si>
    <t>16 to 17</t>
  </si>
  <si>
    <t>Pune-PCMC</t>
  </si>
  <si>
    <t>LWD: 16 th dec 24</t>
  </si>
  <si>
    <t xml:space="preserve">offer holding 14.5, </t>
  </si>
  <si>
    <t>Ajay Chimanpure</t>
  </si>
  <si>
    <t>ajaychimanpure@gmail.com</t>
  </si>
  <si>
    <t xml:space="preserve">HCL Technologies PVT </t>
  </si>
  <si>
    <t>Rahul Hasule</t>
  </si>
  <si>
    <t>rahulhasule@gmail.com</t>
  </si>
  <si>
    <t>INtelizign Lifecyle Services</t>
  </si>
  <si>
    <t>Pune-Hindewa</t>
  </si>
  <si>
    <t>90 days, will check for buyout</t>
  </si>
  <si>
    <t>Screen R</t>
  </si>
  <si>
    <t>Karti.v@gmail.com</t>
  </si>
  <si>
    <t>vermasiddarth17@gmail.com</t>
  </si>
  <si>
    <t>3D Magic Infosolutions Pvt Ltd</t>
  </si>
  <si>
    <t>₹2.8 Lacs</t>
  </si>
  <si>
    <t>6 LPA</t>
  </si>
  <si>
    <t>Trupti Malekar</t>
  </si>
  <si>
    <t>3 Years</t>
  </si>
  <si>
    <t>Messung System Pvt Ltd</t>
  </si>
  <si>
    <t>5.5 LPA</t>
  </si>
  <si>
    <t>8 LPA</t>
  </si>
  <si>
    <t>12 Years</t>
  </si>
  <si>
    <t>E-Infochips Pvt. Ltd Pune</t>
  </si>
  <si>
    <t>22 LPA</t>
  </si>
  <si>
    <t>27 LPA</t>
  </si>
  <si>
    <t>90 - 30 Days</t>
  </si>
  <si>
    <t> Rutuja Nafade </t>
  </si>
  <si>
    <t> 7378871101 </t>
  </si>
  <si>
    <t> rutujadnaphade@gmail.com </t>
  </si>
  <si>
    <t>Engineer - Full stack Developer</t>
  </si>
  <si>
    <t>2.2 Years</t>
  </si>
  <si>
    <t> Assimilate Technologies Pvt. Ltd </t>
  </si>
  <si>
    <t>3.3 LPA</t>
  </si>
  <si>
    <t>5 LPA</t>
  </si>
  <si>
    <t>ANUJ DUBEY</t>
  </si>
  <si>
    <t>anujd885@gmail.com</t>
  </si>
  <si>
    <t>Value Momentum</t>
  </si>
  <si>
    <t>20, (Negitiable)</t>
  </si>
  <si>
    <t>MP</t>
  </si>
  <si>
    <t>90 days</t>
  </si>
  <si>
    <t xml:space="preserve">Working in pune in hybrid mode, Ready for wfo </t>
  </si>
  <si>
    <t>Omkar Shinde</t>
  </si>
  <si>
    <t>omkars7003@gmail.com</t>
  </si>
  <si>
    <t>Infosys</t>
  </si>
  <si>
    <t>90 days, Will be negotiation</t>
  </si>
  <si>
    <t>Candidate Hold</t>
  </si>
  <si>
    <t>Ishaan Deshpande</t>
  </si>
  <si>
    <t>ishaan.deshpande5@gmail.com</t>
  </si>
  <si>
    <t>Exela Technologies</t>
  </si>
  <si>
    <t>Pune-Sadashiv Peth</t>
  </si>
  <si>
    <t>LWD:13th Dec 24</t>
  </si>
  <si>
    <t>Navneet Kakvipure</t>
  </si>
  <si>
    <t>navneetkakvipure@gmail.com</t>
  </si>
  <si>
    <t>Zlade</t>
  </si>
  <si>
    <t>Pune-Aalandi</t>
  </si>
  <si>
    <t>Pranay Badhe</t>
  </si>
  <si>
    <t>pranaybadhe@gmail.com</t>
  </si>
  <si>
    <t>Lead Writer</t>
  </si>
  <si>
    <t xml:space="preserve"> Vertiv Energy India Pvt Ltd</t>
  </si>
  <si>
    <t>9 Years</t>
  </si>
  <si>
    <t>TATA CONSULTANCY LTD</t>
  </si>
  <si>
    <t>46 LPA</t>
  </si>
  <si>
    <t>30 LPA</t>
  </si>
  <si>
    <t>UK</t>
  </si>
  <si>
    <t>7.5 Years</t>
  </si>
  <si>
    <t>ANSHUMAN INCUBATION PVT. LTD</t>
  </si>
  <si>
    <t>5.4 LPA</t>
  </si>
  <si>
    <t>18 LPA</t>
  </si>
  <si>
    <t>45 Days</t>
  </si>
  <si>
    <t>Sr. Engineer - Full stack Developer</t>
  </si>
  <si>
    <t>6.9 Years</t>
  </si>
  <si>
    <t>kanaka software</t>
  </si>
  <si>
    <t>15 LPA</t>
  </si>
  <si>
    <t>LWD: 30th May 2024</t>
  </si>
  <si>
    <t>Sangeet@gmail.com</t>
  </si>
  <si>
    <t>Kedar.Joshi@gmail.com</t>
  </si>
  <si>
    <t>6 Years</t>
  </si>
  <si>
    <t>NIT, Mangalore</t>
  </si>
  <si>
    <t>Mangalore</t>
  </si>
  <si>
    <t>Jaykumar@gmail.com</t>
  </si>
  <si>
    <t>Ahmdabad</t>
  </si>
  <si>
    <t>Shivam Agarwal</t>
  </si>
  <si>
    <t>agarwalshivam1401@gmail.com</t>
  </si>
  <si>
    <t>Amber Student</t>
  </si>
  <si>
    <t>Pune-Swargate</t>
  </si>
  <si>
    <t>Shubham Ghodke</t>
  </si>
  <si>
    <t>mr.shubhamghodke@gmail.com</t>
  </si>
  <si>
    <t>Neilsoft Private Limited</t>
  </si>
  <si>
    <t>8 to 9</t>
  </si>
  <si>
    <t>Immediate joiner, Last company project ramramped down since 2 months</t>
  </si>
  <si>
    <t>Atul Thaware</t>
  </si>
  <si>
    <t>atulthaware099@gmail.com</t>
  </si>
  <si>
    <t>EKSAQ EDTECH LLP</t>
  </si>
  <si>
    <t>Hyderabad, Native place is nearby pune</t>
  </si>
  <si>
    <t>Swapnil Desai</t>
  </si>
  <si>
    <t>desaiswapnil00@gmail.com</t>
  </si>
  <si>
    <t>Tech Mahindra Pvt. Ltd.</t>
  </si>
  <si>
    <t>90 days, will try to reduce 30 days</t>
  </si>
  <si>
    <t>MANOHAR</t>
  </si>
  <si>
    <t>934-733-2349</t>
  </si>
  <si>
    <t>chinnibommalu@outlook.com</t>
  </si>
  <si>
    <t>Xoriant Inc</t>
  </si>
  <si>
    <t>LWD:19th Dec</t>
  </si>
  <si>
    <t>HARSHAL P. RAJPUT</t>
  </si>
  <si>
    <t>rajputharshal1993@gmail.com</t>
  </si>
  <si>
    <t>Pune-Hinjewadi</t>
  </si>
  <si>
    <t>LWD: 10th Jan 25</t>
  </si>
  <si>
    <t>Test Reject</t>
  </si>
  <si>
    <t>Rasika Ankush Bhalerao</t>
  </si>
  <si>
    <t>rasikabhalerao933@gmail.com</t>
  </si>
  <si>
    <t>Rehlko (Formerly known as Kohler Energy)</t>
  </si>
  <si>
    <t>Pune-Hadapsar</t>
  </si>
  <si>
    <t> sarangdondal123@gmail.com </t>
  </si>
  <si>
    <t> Tata Elxsi, Pune </t>
  </si>
  <si>
    <t>12 LPA</t>
  </si>
  <si>
    <t>sagarwajire123@gmail.com</t>
  </si>
  <si>
    <t>ARSHIN SAYYAD</t>
  </si>
  <si>
    <t>arshin3105@gmail.com</t>
  </si>
  <si>
    <t>SmartQ Bottle Lab Technologies Pvt Ltd -</t>
  </si>
  <si>
    <t>Immediate Joiner</t>
  </si>
  <si>
    <t>Offer Holding 18.5 L</t>
  </si>
  <si>
    <t>Mazhar Ahmed</t>
  </si>
  <si>
    <t>mazharahmed196@gmail.com</t>
  </si>
  <si>
    <t>Tata Consultancy Services</t>
  </si>
  <si>
    <t>LWD:28th Feb 24</t>
  </si>
  <si>
    <t>Kausar Shaikh</t>
  </si>
  <si>
    <t>kausarsk416@gmail.com</t>
  </si>
  <si>
    <t xml:space="preserve">Gilbarco Veeder-Root </t>
  </si>
  <si>
    <t>Guntur</t>
  </si>
  <si>
    <t>60 days, will check for negotitation for 30 days</t>
  </si>
  <si>
    <t>NEHA MADKAR</t>
  </si>
  <si>
    <t>nehamadkar40@gmail.com</t>
  </si>
  <si>
    <t>90 days, will check for negotitation for 30 days</t>
  </si>
  <si>
    <t>Dadu Shaikh</t>
  </si>
  <si>
    <t>7058626533 / 8237171432</t>
  </si>
  <si>
    <t>dadushaikh724@gmail.com</t>
  </si>
  <si>
    <t>nCircle Tech</t>
  </si>
  <si>
    <t>Pune-Nashik Phata</t>
  </si>
  <si>
    <t>LWD:31st Jan  24</t>
  </si>
  <si>
    <t>vishpanchal2015@gmail.com</t>
  </si>
  <si>
    <t>Unify</t>
  </si>
  <si>
    <t>Pune-Kothrud</t>
  </si>
  <si>
    <t>Offer holding 9.5 L</t>
  </si>
  <si>
    <t>Vedant Dhage</t>
  </si>
  <si>
    <t>Vedant.dhage2008@gmail.com</t>
  </si>
  <si>
    <t>TATA CONSULTANCY SERVICES</t>
  </si>
  <si>
    <t>Pune-Hindewaji</t>
  </si>
  <si>
    <t>LWD:24th Dec 24</t>
  </si>
  <si>
    <t>Nakka Nikhil</t>
  </si>
  <si>
    <t xml:space="preserve">n.nikhil020296@gmail.com </t>
  </si>
  <si>
    <t>Cognizant</t>
  </si>
  <si>
    <t>13 Years</t>
  </si>
  <si>
    <t>Seagate Technology</t>
  </si>
  <si>
    <t>28 LPA</t>
  </si>
  <si>
    <t>40 LPA</t>
  </si>
  <si>
    <t> 8605172315 </t>
  </si>
  <si>
    <t> bhands.d@gmail.com </t>
  </si>
  <si>
    <t>5.6 Years</t>
  </si>
  <si>
    <t>Agiliad Technologies Pvt. Ltd </t>
  </si>
  <si>
    <t>16.2 LPA</t>
  </si>
  <si>
    <t>22.75  LPA</t>
  </si>
  <si>
    <t>SUBBARAO M</t>
  </si>
  <si>
    <t>Subbarao.msr.in@gmail.com</t>
  </si>
  <si>
    <t>Acronotics</t>
  </si>
  <si>
    <t>Banglore, Native AP</t>
  </si>
  <si>
    <t>Ready to relocate</t>
  </si>
  <si>
    <t>SANCHITA AGGARWAL</t>
  </si>
  <si>
    <t>sanchi_138@yahoo.co.in</t>
  </si>
  <si>
    <t xml:space="preserve">5.6 (2 yrs </t>
  </si>
  <si>
    <t>Nityo Infotech Pvt Ltd</t>
  </si>
  <si>
    <t>Faridabad</t>
  </si>
  <si>
    <t>LWD: Oct 23</t>
  </si>
  <si>
    <t>Design Engineer - Electrical</t>
  </si>
  <si>
    <t>8 Years</t>
  </si>
  <si>
    <t>KPM Engineering Consultant</t>
  </si>
  <si>
    <t>16.5 LPA</t>
  </si>
  <si>
    <t>Tejas Korde</t>
  </si>
  <si>
    <t>Tejaskorde503@gmail.com</t>
  </si>
  <si>
    <t>Jalgi Technologies Pvt Ltd</t>
  </si>
  <si>
    <t>Pune-Singhwad</t>
  </si>
  <si>
    <t>0, LWD May 24</t>
  </si>
  <si>
    <t>Project rampped down</t>
  </si>
  <si>
    <t>Aishwarya Chavan</t>
  </si>
  <si>
    <t>aishuhc@gmail.com</t>
  </si>
  <si>
    <t>HCL</t>
  </si>
  <si>
    <t>13 (Negotiation)</t>
  </si>
  <si>
    <t>LWD:6th Aug 24</t>
  </si>
  <si>
    <t>Project rampped down, SQL, Java</t>
  </si>
  <si>
    <t>DNYANESHWARI MARADKAR</t>
  </si>
  <si>
    <t>dnyaneshwarismaradkar@gmail.com</t>
  </si>
  <si>
    <t>Intelizign Engineering Services</t>
  </si>
  <si>
    <t>Pune-Hindewaji,</t>
  </si>
  <si>
    <t>60 days, will check for negotitation</t>
  </si>
  <si>
    <t>Dhanshri Bhikaji Bhawari</t>
  </si>
  <si>
    <t>dhanshribhawari05@gmail.com</t>
  </si>
  <si>
    <t>2.7 (rel 2 yrs)</t>
  </si>
  <si>
    <t>BEAM DYNAMICS</t>
  </si>
  <si>
    <t>LWD : 6th Sep 24</t>
  </si>
  <si>
    <t>Nikita Takalikar </t>
  </si>
  <si>
    <t> 8329013101/ 8552882800 </t>
  </si>
  <si>
    <t> nikitatakalikar94@gmail.com </t>
  </si>
  <si>
    <t>5.8 Years</t>
  </si>
  <si>
    <t> Samsung Semiconductor India Research </t>
  </si>
  <si>
    <t>25.4 LPA</t>
  </si>
  <si>
    <t>26 LPA</t>
  </si>
  <si>
    <t>khulemadhuri@gmail.com</t>
  </si>
  <si>
    <t>Aarti Kesare</t>
  </si>
  <si>
    <t>aartikesare1997@gmail.com</t>
  </si>
  <si>
    <t>OmnePresent Technologies Pvt Ltd</t>
  </si>
  <si>
    <t>Pune-Ravet</t>
  </si>
  <si>
    <t>ADITYA BHAT</t>
  </si>
  <si>
    <t>adityabhat0408@gmail.com</t>
  </si>
  <si>
    <t>7 to 8</t>
  </si>
  <si>
    <t>LWD:25th Nov 24</t>
  </si>
  <si>
    <t>No offer in hand</t>
  </si>
  <si>
    <t>Aishwarya Gorane</t>
  </si>
  <si>
    <t>aishwarya.gorane32@gmail.com</t>
  </si>
  <si>
    <t>Atos Syntel</t>
  </si>
  <si>
    <t>Ajay Phalke</t>
  </si>
  <si>
    <t>ajaysamphalke@gmail.com</t>
  </si>
  <si>
    <t>n PLM Indishtech Limited</t>
  </si>
  <si>
    <t>Bangalore</t>
  </si>
  <si>
    <t>9.1 Years</t>
  </si>
  <si>
    <t> vConstruct Pvt. Ltd </t>
  </si>
  <si>
    <t>17 LPA</t>
  </si>
  <si>
    <t>20th Oct 24</t>
  </si>
  <si>
    <t>Satyajeet Pardeshi</t>
  </si>
  <si>
    <t>pardeshisatyajeet@gmail.com</t>
  </si>
  <si>
    <t>Pune-Chinchwad, Ready to relocate</t>
  </si>
  <si>
    <t>LWD: 30th Jan 24</t>
  </si>
  <si>
    <t>VAIBHAVI PARANJPE</t>
  </si>
  <si>
    <t>vaibhaviparanjpe14900@gmail.com</t>
  </si>
  <si>
    <t>14 (negotiable)</t>
  </si>
  <si>
    <t>Pune-Hinjewadi, ready for relocation</t>
  </si>
  <si>
    <t>45 days</t>
  </si>
  <si>
    <t>Shariq Mohd</t>
  </si>
  <si>
    <t>shariqmohd9621@gmail.com</t>
  </si>
  <si>
    <t>Delhi</t>
  </si>
  <si>
    <t xml:space="preserve">90 days, </t>
  </si>
  <si>
    <t>Rohit Raj</t>
  </si>
  <si>
    <t>luckyraj9501@gmail.com</t>
  </si>
  <si>
    <t xml:space="preserve"> Saffron Synaptiq Software Lab,</t>
  </si>
  <si>
    <t>Patna- Ready for relocation</t>
  </si>
  <si>
    <t>LWD:27th Sep 24, Immediate Joiner</t>
  </si>
  <si>
    <t>Last job was contract basis</t>
  </si>
  <si>
    <t>Shubham Pekhale</t>
  </si>
  <si>
    <t>shubhampe22@gmail.com</t>
  </si>
  <si>
    <t>Dr.Reddy's</t>
  </si>
  <si>
    <t>15-16</t>
  </si>
  <si>
    <t>sk9801366@gmail.com</t>
  </si>
  <si>
    <t xml:space="preserve">omkar7077@gmail.com </t>
  </si>
  <si>
    <t>Lead Eng CFD</t>
  </si>
  <si>
    <t>10 yrs</t>
  </si>
  <si>
    <t>LWD-11th Nov 24</t>
  </si>
  <si>
    <t>1 offer 19.8, DOJ- 25th Nov, ref by Dhiraj Patil</t>
  </si>
  <si>
    <t>Siva Kumar Varri</t>
  </si>
  <si>
    <t>sivakumar.varri9@gmail.com</t>
  </si>
  <si>
    <t>abhishekjakhotia99@gmail.com</t>
  </si>
  <si>
    <t>INDIUMSOFT</t>
  </si>
  <si>
    <t>13 to 14</t>
  </si>
  <si>
    <t xml:space="preserve">counter offer </t>
  </si>
  <si>
    <t>Screen Reject</t>
  </si>
  <si>
    <t>Ann George</t>
  </si>
  <si>
    <t>anngeorgeag2@gmail.com</t>
  </si>
  <si>
    <t>7 Years</t>
  </si>
  <si>
    <t>SecureThings.AI</t>
  </si>
  <si>
    <t>LWD: 15th Dec 24</t>
  </si>
  <si>
    <t>Pune - 17 LPA</t>
  </si>
  <si>
    <t>Anup Rahate</t>
  </si>
  <si>
    <t>anup.rahate2903@gmail.com</t>
  </si>
  <si>
    <t>14.4 LPA</t>
  </si>
  <si>
    <t>LWD: 26 Nov 24</t>
  </si>
  <si>
    <t>Pune - 21 LPA</t>
  </si>
  <si>
    <t>Netra Potnis</t>
  </si>
  <si>
    <t>netra.potnis@gmail.com</t>
  </si>
  <si>
    <t>6.2 Years</t>
  </si>
  <si>
    <t>Accenture</t>
  </si>
  <si>
    <t>11 LPA</t>
  </si>
  <si>
    <t> Nilesh Kumar Narware </t>
  </si>
  <si>
    <t> 7974014081</t>
  </si>
  <si>
    <t> nilesh.narware01@gmail.com </t>
  </si>
  <si>
    <t>10 Years</t>
  </si>
  <si>
    <t>Infosys Technology </t>
  </si>
  <si>
    <t>15.4 LPA</t>
  </si>
  <si>
    <t>90 Days - 45 Days</t>
  </si>
  <si>
    <t>Sagar Supekar</t>
  </si>
  <si>
    <t>Supekarsagar04@gmail.com</t>
  </si>
  <si>
    <t>5.5 Years</t>
  </si>
  <si>
    <t>Birla Soft</t>
  </si>
  <si>
    <t> Swapnil Wadkar </t>
  </si>
  <si>
    <t> 9545530531 </t>
  </si>
  <si>
    <t> swapnilwadkar096@gmail.com </t>
  </si>
  <si>
    <t>Ashish Deulkar</t>
  </si>
  <si>
    <t>deulkarashish@gmail.com</t>
  </si>
  <si>
    <t>6.6 Years</t>
  </si>
  <si>
    <t>ULTRA CORPOTECH PVT.LT</t>
  </si>
  <si>
    <t> Akshay Joshi </t>
  </si>
  <si>
    <t> 9767046256 </t>
  </si>
  <si>
    <t> akshayjoshi877@gmail.com </t>
  </si>
  <si>
    <t> Volvo Eicher Commercial Vehicle </t>
  </si>
  <si>
    <t>11.25 LPA</t>
  </si>
  <si>
    <t>Indore</t>
  </si>
  <si>
    <t>Mohammed Muzammil</t>
  </si>
  <si>
    <t> 8892743798 </t>
  </si>
  <si>
    <t> bablunalband123@gmail.com </t>
  </si>
  <si>
    <t>HIKOKI POWER TOOLS </t>
  </si>
  <si>
    <t>8.5 LPA</t>
  </si>
  <si>
    <t>Sachin Lokhande</t>
  </si>
  <si>
    <t>sn.lokhande03@gmail.com</t>
  </si>
  <si>
    <t>7.8 Years</t>
  </si>
  <si>
    <t>Cummins Technologies India Pvt Ltd</t>
  </si>
  <si>
    <t>5.8 LPA</t>
  </si>
  <si>
    <t>Amit Chauhan</t>
  </si>
  <si>
    <t>amit.chavan123@gmail.com</t>
  </si>
  <si>
    <t>Principal Engineer - Electrical</t>
  </si>
  <si>
    <t>15 Years</t>
  </si>
  <si>
    <t>Eaton</t>
  </si>
  <si>
    <t>63 LPA</t>
  </si>
  <si>
    <t>75 LPA</t>
  </si>
  <si>
    <t>LWD: 6th Dec 24</t>
  </si>
  <si>
    <t>Mahesh Thodupunuri</t>
  </si>
  <si>
    <t>mahesh.k.thodupunuri@gmail.com</t>
  </si>
  <si>
    <t>19 Years</t>
  </si>
  <si>
    <t xml:space="preserve">Emerson Electric </t>
  </si>
  <si>
    <t xml:space="preserve">62 LPA </t>
  </si>
  <si>
    <t>65 LPA</t>
  </si>
  <si>
    <t>Pawan Shiv Vadakattu</t>
  </si>
  <si>
    <t>pawanshiv@outlook.com</t>
  </si>
  <si>
    <t>17 Years</t>
  </si>
  <si>
    <t>Intel Technology India</t>
  </si>
  <si>
    <t>55 LPA</t>
  </si>
  <si>
    <t>70 LPA</t>
  </si>
  <si>
    <t>Rajesh Thanigachalam</t>
  </si>
  <si>
    <t>rajesh.thanigachalam393@gmail.com</t>
  </si>
  <si>
    <t>20 Years</t>
  </si>
  <si>
    <t>Expanse Power Pvt Limited</t>
  </si>
  <si>
    <t>Vinay Chauhan</t>
  </si>
  <si>
    <t>vinaychauhan.ece@gmail.com</t>
  </si>
  <si>
    <t>16 Years</t>
  </si>
  <si>
    <t>Graco India Pvt. Ltd</t>
  </si>
  <si>
    <t>18.5 LPA</t>
  </si>
  <si>
    <t>Gurgaon</t>
  </si>
  <si>
    <t>Mahendar Reddy</t>
  </si>
  <si>
    <t xml:space="preserve">mahendar_baddam@outlook.com </t>
  </si>
  <si>
    <t>12.4 Years</t>
  </si>
  <si>
    <t>Pending Updated Resume</t>
  </si>
  <si>
    <t>25.5 LPA</t>
  </si>
  <si>
    <t>34 LPA</t>
  </si>
  <si>
    <t>Janardhanan.S</t>
  </si>
  <si>
    <t>Janans15@gmail.com</t>
  </si>
  <si>
    <t>Sun Mobility Pvt Ltd</t>
  </si>
  <si>
    <t>As per company norms</t>
  </si>
  <si>
    <t>Jignesh Patel</t>
  </si>
  <si>
    <t>patel.jignesh4949@gmail.com</t>
  </si>
  <si>
    <t>14 Years</t>
  </si>
  <si>
    <t>40.6 LPA</t>
  </si>
  <si>
    <t>52 LPA</t>
  </si>
  <si>
    <t>Amol Sanap</t>
  </si>
  <si>
    <t>amolsanap26@gmail.com</t>
  </si>
  <si>
    <t>90 Days - Neg 30 Days</t>
  </si>
  <si>
    <t>Ananda Kakade</t>
  </si>
  <si>
    <t>anandakakade555@gmail.com</t>
  </si>
  <si>
    <t>Electrodrive powertrain solutions PVT LTD</t>
  </si>
  <si>
    <t>Dnyaneshwar Jare</t>
  </si>
  <si>
    <t>jaredany05@gmail.com</t>
  </si>
  <si>
    <t>Speed Engineering Solutions (On-site - Cummins)</t>
  </si>
  <si>
    <t>Vaibhav Patil</t>
  </si>
  <si>
    <t>patilvaibhav.vp@gmail.com</t>
  </si>
  <si>
    <t>Clean Electric</t>
  </si>
  <si>
    <t>14 LPA</t>
  </si>
  <si>
    <t>Ravindra Rathod</t>
  </si>
  <si>
    <t>ravindrathod@gmail.com</t>
  </si>
  <si>
    <t>Onward Tech</t>
  </si>
  <si>
    <t>12.50 LPA</t>
  </si>
  <si>
    <t>Sachin Baviskar</t>
  </si>
  <si>
    <t> 8600593799 </t>
  </si>
  <si>
    <t> sachin250697@gmail.com </t>
  </si>
  <si>
    <t> Hella India Automotive </t>
  </si>
  <si>
    <t>Nikita Modi</t>
  </si>
  <si>
    <t>nikita.modi0601@gmail.com</t>
  </si>
  <si>
    <t>TCS</t>
  </si>
  <si>
    <t>Pune-Baner</t>
  </si>
  <si>
    <t xml:space="preserve">Sonali Subhash Varpe  </t>
  </si>
  <si>
    <t>sonalivarpe.3103@gmail.com</t>
  </si>
  <si>
    <t>10 (8 yrs)</t>
  </si>
  <si>
    <t>Pune-Kharadi</t>
  </si>
  <si>
    <t>90 days, Will be negotiable</t>
  </si>
  <si>
    <t>SHUBHAM BHALLA</t>
  </si>
  <si>
    <t>shubhambhalla4@gmail.com</t>
  </si>
  <si>
    <t>Kapil Vasita</t>
  </si>
  <si>
    <t>kapilvasita@icloud.com</t>
  </si>
  <si>
    <t>Banglore</t>
  </si>
  <si>
    <t>SANKET DHAMDHERE</t>
  </si>
  <si>
    <t>sanketdhamdhere3110@gmail.com</t>
  </si>
  <si>
    <t>DELOS CONSULTING PVT LTD</t>
  </si>
  <si>
    <t>15 days, Offer holding-4.5 L,  DOJ: January 25</t>
  </si>
  <si>
    <t>INDRAJEET PATIL</t>
  </si>
  <si>
    <t>indrajeet279@gmail.com</t>
  </si>
  <si>
    <t>John Deere India Pvt. Ltd</t>
  </si>
  <si>
    <t>Shital Gandule</t>
  </si>
  <si>
    <t>ganduledshital@gmail.com</t>
  </si>
  <si>
    <t xml:space="preserve"> JDIT Business Solution</t>
  </si>
  <si>
    <t>Pune-Katraj, Ready to relocate</t>
  </si>
  <si>
    <t>LWD:14th Dec 24</t>
  </si>
  <si>
    <t>Offer holding 15 L, DOJ: 10th Jan 25</t>
  </si>
  <si>
    <t>Shankar Pawar</t>
  </si>
  <si>
    <t>shankarpawarsr7@gmail.com</t>
  </si>
  <si>
    <t>60K</t>
  </si>
  <si>
    <t>Sambhajinagar</t>
  </si>
  <si>
    <t>LWD:10th Jan 25</t>
  </si>
  <si>
    <t>SNEHAL SAHAN</t>
  </si>
  <si>
    <t>snehalsahane2519@gmail.com</t>
  </si>
  <si>
    <t>Phi Commerce India Private Ltd</t>
  </si>
  <si>
    <t>Pune-Yerawada</t>
  </si>
  <si>
    <t>LOKENDRA MEWADA</t>
  </si>
  <si>
    <t>7999 964957</t>
  </si>
  <si>
    <t>lokendratech001@gmail.com</t>
  </si>
  <si>
    <t>Nenosystems Consulting Services</t>
  </si>
  <si>
    <t>Pune-Hindewadi, Ready to relocate</t>
  </si>
  <si>
    <t>20 days</t>
  </si>
  <si>
    <t> Bhausaheb Tambare </t>
  </si>
  <si>
    <t> 8884403740 </t>
  </si>
  <si>
    <t> tambare.bhausaheb@gmail.com </t>
  </si>
  <si>
    <t>Infosys. Ltd., Mysore </t>
  </si>
  <si>
    <t>Mysore</t>
  </si>
  <si>
    <t>Shambhu Singh</t>
  </si>
  <si>
    <t>Shambhumailbox@gmail.com</t>
  </si>
  <si>
    <t>Sterling Gtake E-mobility</t>
  </si>
  <si>
    <t>31.5 LPA</t>
  </si>
  <si>
    <t>Dr. Naveenkumar Marati</t>
  </si>
  <si>
    <t>Hitachi Energy</t>
  </si>
  <si>
    <t>35 LPA</t>
  </si>
  <si>
    <t>Chennai</t>
  </si>
  <si>
    <t>Ravinder Kalsi</t>
  </si>
  <si>
    <t>ravinderkalsi73@gmail.com</t>
  </si>
  <si>
    <t>25 Years</t>
  </si>
  <si>
    <t>Sona Comstar Automotive</t>
  </si>
  <si>
    <t>LWD: 31st Jan 25</t>
  </si>
  <si>
    <t>35 LPA - Chennai (DOJ 6th Feb)</t>
  </si>
  <si>
    <t>Subrat Kumar Prusty</t>
  </si>
  <si>
    <t>subratprusty009@gmail.com</t>
  </si>
  <si>
    <t>Schneider Electric</t>
  </si>
  <si>
    <t>Shrihari Shinde</t>
  </si>
  <si>
    <t>shindehari1802@gmail.com</t>
  </si>
  <si>
    <t>32.5 LPA</t>
  </si>
  <si>
    <t>Sanket Patodi</t>
  </si>
  <si>
    <t>sanketpatodi92@gmail.com</t>
  </si>
  <si>
    <t>Cybage Software</t>
  </si>
  <si>
    <t>Saroj Lade</t>
  </si>
  <si>
    <t>lade.saroj@gmail.com</t>
  </si>
  <si>
    <t>Capgemini</t>
  </si>
  <si>
    <t>Principal Firmware Eng</t>
  </si>
  <si>
    <t>18 yrs</t>
  </si>
  <si>
    <t>KPIT</t>
  </si>
  <si>
    <t>45-48 LPA</t>
  </si>
  <si>
    <t>90 days negotiable</t>
  </si>
  <si>
    <t>Asso. Creo</t>
  </si>
  <si>
    <t xml:space="preserve">Ajim </t>
  </si>
  <si>
    <t>2.5 yrs</t>
  </si>
  <si>
    <t>PACCAR</t>
  </si>
  <si>
    <t>90 days negotiable 60 days</t>
  </si>
  <si>
    <t>Referred by Sanjay</t>
  </si>
  <si>
    <t>Akash Mishra</t>
  </si>
  <si>
    <t>makash859@gmail.com</t>
  </si>
  <si>
    <t>Deloitte Touche Tohmatsu India LLP</t>
  </si>
  <si>
    <t>LWD: 17th March 25</t>
  </si>
  <si>
    <t>19 LPA - Pune</t>
  </si>
  <si>
    <t>Premnath Shinde</t>
  </si>
  <si>
    <t>premnathshinde0494@gmail.com</t>
  </si>
  <si>
    <t xml:space="preserve">Maximus Infoware </t>
  </si>
  <si>
    <t>12.6 LPA</t>
  </si>
  <si>
    <t xml:space="preserve">As per company </t>
  </si>
  <si>
    <t>Shubham Pawade</t>
  </si>
  <si>
    <t>spawade99@gmail.com</t>
  </si>
  <si>
    <t>5.2 Years</t>
  </si>
  <si>
    <t xml:space="preserve">Bentley Systems </t>
  </si>
  <si>
    <t>Ahemdnagar</t>
  </si>
  <si>
    <t>Sudhakar B</t>
  </si>
  <si>
    <t>sudhakar92b@gmail.co</t>
  </si>
  <si>
    <t>HCL Technologies Pvt Ltd</t>
  </si>
  <si>
    <t>LWD: 16th Jan 25</t>
  </si>
  <si>
    <t>10.5 Years</t>
  </si>
  <si>
    <t>CRANE PROCESS FLOW TECHNOLOGIEs</t>
  </si>
  <si>
    <t>13.06 LPA</t>
  </si>
  <si>
    <t>Ankit Patil</t>
  </si>
  <si>
    <t>ankitpatil2709@gmail.com</t>
  </si>
  <si>
    <t>Carraro Technologies India Pvt</t>
  </si>
  <si>
    <t>Ram Gopala Gupta Pabolu</t>
  </si>
  <si>
    <t>ramgopalpabolu@gmail.com</t>
  </si>
  <si>
    <t>13.6 YEARS</t>
  </si>
  <si>
    <t>44 LPA</t>
  </si>
  <si>
    <t>Krishnam Raaju</t>
  </si>
  <si>
    <t>krishnamraaju93@gmail.com</t>
  </si>
  <si>
    <t>11 Years</t>
  </si>
  <si>
    <t>Spark Minda Green Mobilty Ltd</t>
  </si>
  <si>
    <t>Akash Kakekar</t>
  </si>
  <si>
    <t>akashkakekar1997@gmail.com</t>
  </si>
  <si>
    <t>TATA Technologies Ltd</t>
  </si>
  <si>
    <t>10.5 LPA</t>
  </si>
  <si>
    <t>Philips India Pvt Ltd</t>
  </si>
  <si>
    <t>d</t>
  </si>
  <si>
    <t>Dnyanesh Mirikar</t>
  </si>
  <si>
    <t>4 yrs</t>
  </si>
  <si>
    <t>IIT Indore</t>
  </si>
  <si>
    <t>50k stipend</t>
  </si>
  <si>
    <t>As per company Std</t>
  </si>
  <si>
    <t>Can join by last week of Jan 25</t>
  </si>
  <si>
    <t>Referred by Jay Joshi</t>
  </si>
  <si>
    <t>KIRAN PANDURANG</t>
  </si>
  <si>
    <t>kirankhandagale74@gmai l.com</t>
  </si>
  <si>
    <t>Automation test Eng</t>
  </si>
  <si>
    <t>Abhijeet</t>
  </si>
  <si>
    <t>6 yrs</t>
  </si>
  <si>
    <t>KPIT Technologies pvt ltd</t>
  </si>
  <si>
    <t>18-19 LPA</t>
  </si>
  <si>
    <t xml:space="preserve">90 days </t>
  </si>
  <si>
    <t>VENKATA SAI SASANK</t>
  </si>
  <si>
    <t>sasankpasupuleti007@gmail.com</t>
  </si>
  <si>
    <t>Cyient</t>
  </si>
  <si>
    <t>Immediate, LWD-Nov 1st 24</t>
  </si>
  <si>
    <t>Offer in pipeline</t>
  </si>
  <si>
    <t xml:space="preserve">Pranali Awari </t>
  </si>
  <si>
    <t>pranaliawari25@gmail.com</t>
  </si>
  <si>
    <t>2 months.</t>
  </si>
  <si>
    <t>Purushottam C Chachare</t>
  </si>
  <si>
    <t>pchachare0210@gmail.com</t>
  </si>
  <si>
    <t>Napino Auto and Electronics Ltd</t>
  </si>
  <si>
    <t>2 months negotiable 30 days</t>
  </si>
  <si>
    <t>L1 TBS</t>
  </si>
  <si>
    <t>TWINKLE SHARMA</t>
  </si>
  <si>
    <t>twinklesharma0086@gmail.com</t>
  </si>
  <si>
    <t>2.8 yrs</t>
  </si>
  <si>
    <t>HD Hyundai Technology center India</t>
  </si>
  <si>
    <t>As per company std</t>
  </si>
  <si>
    <t>2 months</t>
  </si>
  <si>
    <t>Referred by Aatif ali</t>
  </si>
  <si>
    <t>Screen reject</t>
  </si>
  <si>
    <t>Kumar Bhushan</t>
  </si>
  <si>
    <t>kumar0510iitb@gmail.com</t>
  </si>
  <si>
    <t>9.6 yrs</t>
  </si>
  <si>
    <t>Arup India Pvt Ltd</t>
  </si>
  <si>
    <t>As per market std</t>
  </si>
  <si>
    <t>Referred by Kapil Shelar</t>
  </si>
  <si>
    <t>L1 on hold</t>
  </si>
  <si>
    <t>Kalyana Bhargavi Vepuri</t>
  </si>
  <si>
    <t>bhargavisrinivas666@gmail.com</t>
  </si>
  <si>
    <t>1.8 yrs</t>
  </si>
  <si>
    <t>Whirlpool</t>
  </si>
  <si>
    <t>8-9 LPA</t>
  </si>
  <si>
    <t>Andhra Pradesh</t>
  </si>
  <si>
    <t>Referred by Pallab, currently on bench</t>
  </si>
  <si>
    <t>Sagar Kalukhe</t>
  </si>
  <si>
    <t>sagar.kalukhe@gmail.com</t>
  </si>
  <si>
    <t>Cummins</t>
  </si>
  <si>
    <t>Referred by Kiran Kadam</t>
  </si>
  <si>
    <t>HARSHAL PRAMOD CHOPADE</t>
  </si>
  <si>
    <t>charshal1993@gmail.com</t>
  </si>
  <si>
    <t>30 days negotiable</t>
  </si>
  <si>
    <t>Rahul Hanmant Salunkhe</t>
  </si>
  <si>
    <t>rahulmemech@outlook.com</t>
  </si>
  <si>
    <t>13 yrs</t>
  </si>
  <si>
    <t>Intel Technology Bangalore</t>
  </si>
  <si>
    <t>60 days.</t>
  </si>
  <si>
    <t>Referred by Rajesh Pawar</t>
  </si>
  <si>
    <t>Tata Technologies</t>
  </si>
  <si>
    <t>12.2 LPA</t>
  </si>
  <si>
    <t>Jafer Babude </t>
  </si>
  <si>
    <t> 9130420354 </t>
  </si>
  <si>
    <t> jaferbabude54@gmail.com </t>
  </si>
  <si>
    <t> Danfoss India </t>
  </si>
  <si>
    <t>10.6 LPA</t>
  </si>
  <si>
    <t>3.5 yrs</t>
  </si>
  <si>
    <t>Skyroot Aerospace -</t>
  </si>
  <si>
    <t>30% hike</t>
  </si>
  <si>
    <t>VARADRAJ V. MALANDKAR</t>
  </si>
  <si>
    <t>varadraj.malandkar1@gmail.com</t>
  </si>
  <si>
    <t>Team Lead CFD</t>
  </si>
  <si>
    <t>7+ yrs</t>
  </si>
  <si>
    <t>TITANX HOLDING AB (TACO)</t>
  </si>
  <si>
    <t>3.3 Lacs per month</t>
  </si>
  <si>
    <t>LWD-17th Jan 25</t>
  </si>
  <si>
    <t>1 offer with  15.3 for Pune, DOJ 1st Feb</t>
  </si>
  <si>
    <t>SAGAR SHIVAJI YADAV</t>
  </si>
  <si>
    <t>ysagar611@gmail.com</t>
  </si>
  <si>
    <t>Principal Engineer</t>
  </si>
  <si>
    <t>15 yrs</t>
  </si>
  <si>
    <t>Kalyani center Technology Information LTD</t>
  </si>
  <si>
    <t xml:space="preserve">90 days negotiable </t>
  </si>
  <si>
    <t>Girish Balkrishna Brahme</t>
  </si>
  <si>
    <t>Brahme.girish@gmail.com</t>
  </si>
  <si>
    <t>17 yrs</t>
  </si>
  <si>
    <t xml:space="preserve">TDK India Private Limited Nasik </t>
  </si>
  <si>
    <t>1 Months</t>
  </si>
  <si>
    <t>Previously worked in Vertiv, Mumbai location.</t>
  </si>
  <si>
    <t>Anil Andewadi</t>
  </si>
  <si>
    <t>anilsandewadi@gmail.com</t>
  </si>
  <si>
    <t>Krupejova, Dasa</t>
  </si>
  <si>
    <t>Netshape (Shape Corp.) Engineering.</t>
  </si>
  <si>
    <t>90 Days - Negotiable</t>
  </si>
  <si>
    <t> Aniket More </t>
  </si>
  <si>
    <t> 9850382625 </t>
  </si>
  <si>
    <t> aniketmore2625@gmail.com </t>
  </si>
  <si>
    <t>Engineer 2 - Reliability</t>
  </si>
  <si>
    <t>4.2 Years</t>
  </si>
  <si>
    <t> Flextronics Technology </t>
  </si>
  <si>
    <t>4.5 LPA</t>
  </si>
  <si>
    <t>Bhavana Hegde</t>
  </si>
  <si>
    <t>9513222947 </t>
  </si>
  <si>
    <t>bhavanashegde@gmail.com </t>
  </si>
  <si>
    <t>Thales</t>
  </si>
  <si>
    <t>Mohammed Sohail Sheikh</t>
  </si>
  <si>
    <t>Johnson Controls</t>
  </si>
  <si>
    <t>60 Days - Negotiable</t>
  </si>
  <si>
    <t>RAHUL PACHAURI</t>
  </si>
  <si>
    <t>786.pachauri@gmail.com</t>
  </si>
  <si>
    <t>7 yrs</t>
  </si>
  <si>
    <t>TATA Elxsi</t>
  </si>
  <si>
    <t>1 months, immediate</t>
  </si>
  <si>
    <t>Praveenraj K G</t>
  </si>
  <si>
    <t>k.g.praveenraj@gmail.com</t>
  </si>
  <si>
    <t>Team lead Firmware</t>
  </si>
  <si>
    <t>9.3 yrs</t>
  </si>
  <si>
    <t>26-27 LPA</t>
  </si>
  <si>
    <t>LWD-10th March 25</t>
  </si>
  <si>
    <t>1 offer with 25 L for Bangalore</t>
  </si>
  <si>
    <t xml:space="preserve">PRAVEEN KUMAR MUNESHWAR </t>
  </si>
  <si>
    <t>M.Praveen363@gmail.com</t>
  </si>
  <si>
    <t>Quest Global Engineering Services Pvt Ltd</t>
  </si>
  <si>
    <t>LWD-3rd Feb 25</t>
  </si>
  <si>
    <t>1 offer with 22 L for Bangalore, preffered location is Pune, looking for team lead role</t>
  </si>
  <si>
    <t>SHREYANS SHAH</t>
  </si>
  <si>
    <t>shreyansk21@gmail.com</t>
  </si>
  <si>
    <t>9 yrs</t>
  </si>
  <si>
    <t xml:space="preserve">Capgemini  Technology Services India Limited </t>
  </si>
  <si>
    <t>Raj Oza</t>
  </si>
  <si>
    <t>rajoza99@gmail.com</t>
  </si>
  <si>
    <t>7.5 yrs</t>
  </si>
  <si>
    <t>APTIV</t>
  </si>
  <si>
    <t>Bengaluru.</t>
  </si>
  <si>
    <t>LWD-25th Feb 25</t>
  </si>
  <si>
    <t>1 offer with 33 L</t>
  </si>
  <si>
    <t>Girish P</t>
  </si>
  <si>
    <t>Candidate drop</t>
  </si>
  <si>
    <t>Pramod Shejul</t>
  </si>
  <si>
    <t>pramod.shejul52@gmail.com</t>
  </si>
  <si>
    <t>5.5 yrs</t>
  </si>
  <si>
    <t>As per comp Std</t>
  </si>
  <si>
    <t>LWD-10th Nov 24</t>
  </si>
  <si>
    <t>Available Monday</t>
  </si>
  <si>
    <t>Gangarao GV</t>
  </si>
  <si>
    <t>gangaraogv516@gmail.com</t>
  </si>
  <si>
    <t>6.5 yrs</t>
  </si>
  <si>
    <t>Vijayavada</t>
  </si>
  <si>
    <t>LWD-1st Dec 23</t>
  </si>
  <si>
    <t>Relocation issue</t>
  </si>
  <si>
    <t>Samiksha Bolakhe</t>
  </si>
  <si>
    <t>bolakhesamiksha@gmail.com</t>
  </si>
  <si>
    <t>Apurv Soni</t>
  </si>
  <si>
    <t>apurvsoni0910@gmail.com</t>
  </si>
  <si>
    <t>5.4 yrs</t>
  </si>
  <si>
    <t>ForageAI</t>
  </si>
  <si>
    <t xml:space="preserve">60 days </t>
  </si>
  <si>
    <t>1 offer in pipeline</t>
  </si>
  <si>
    <t>Ashish Mohurle</t>
  </si>
  <si>
    <t>ashishdmohurle@gmail.com</t>
  </si>
  <si>
    <t>5.7 yrs</t>
  </si>
  <si>
    <t>LWD-17th March 25</t>
  </si>
  <si>
    <t>Ashwini Dhobale</t>
  </si>
  <si>
    <t>ashwiniidhoble@gmail.com</t>
  </si>
  <si>
    <t>Mphasis</t>
  </si>
  <si>
    <t>LWD- 13 Feb 25</t>
  </si>
  <si>
    <t>Pranav Maturkar</t>
  </si>
  <si>
    <t>pranavmaturkar9@gmail.com</t>
  </si>
  <si>
    <t>Amdocs</t>
  </si>
  <si>
    <t>24 negotiable</t>
  </si>
  <si>
    <t>Immediate, LWD-10th Jan 25</t>
  </si>
  <si>
    <t>1 offer with 22LPA</t>
  </si>
  <si>
    <t>RAHMANI AWAIS</t>
  </si>
  <si>
    <t>awais.rahm@gmail.com</t>
  </si>
  <si>
    <t>Quest Global Engineering</t>
  </si>
  <si>
    <t>1L</t>
  </si>
  <si>
    <t>35% hike</t>
  </si>
  <si>
    <t>Dnyaneshwar Sutar</t>
  </si>
  <si>
    <t>dnyaneshwarsutar1895@gmail.com</t>
  </si>
  <si>
    <t>Senior Writer, Power Management</t>
  </si>
  <si>
    <t>Digitise IT (India) Pvt. Ltd.</t>
  </si>
  <si>
    <t>5-20%</t>
  </si>
  <si>
    <t>Pune-Somwar peth</t>
  </si>
  <si>
    <t>90 days, will check  for negotiation</t>
  </si>
  <si>
    <t>Test reject</t>
  </si>
  <si>
    <t>Manisha Korpe</t>
  </si>
  <si>
    <t>manisha20korpe@gmail.com</t>
  </si>
  <si>
    <t>AM Fullstack</t>
  </si>
  <si>
    <t>Nitin</t>
  </si>
  <si>
    <t>11 yrs</t>
  </si>
  <si>
    <t>Fiserv</t>
  </si>
  <si>
    <t>27-28 lpa</t>
  </si>
  <si>
    <t>60 days negotiable</t>
  </si>
  <si>
    <t>Dipak Bajirao Ghuge</t>
  </si>
  <si>
    <t>ghuged1989@gmail.com</t>
  </si>
  <si>
    <t>7.5 years</t>
  </si>
  <si>
    <t>Wipro Technologies Ltd</t>
  </si>
  <si>
    <t>23 negotiable</t>
  </si>
  <si>
    <t>3 months negotiable 45 days</t>
  </si>
  <si>
    <t>Not having project currently</t>
  </si>
  <si>
    <t>Dnyaneshwar Ratnakar Patil</t>
  </si>
  <si>
    <t>drpatil9970@gmail.com</t>
  </si>
  <si>
    <t>45 days negotiable 30 days</t>
  </si>
  <si>
    <t>1 offer with 22LPA for bangalore, looking for Pune</t>
  </si>
  <si>
    <t>Karishma Kale</t>
  </si>
  <si>
    <t>karishmakale04@gmail.com</t>
  </si>
  <si>
    <t>7.3 years</t>
  </si>
  <si>
    <t>LTIMindtree</t>
  </si>
  <si>
    <t>1 week</t>
  </si>
  <si>
    <t>Currently on bench</t>
  </si>
  <si>
    <t xml:space="preserve">SIDDHANATH NIKAM </t>
  </si>
  <si>
    <t>siddhanathnkm29@gmail.com</t>
  </si>
  <si>
    <t>10.6 yrs</t>
  </si>
  <si>
    <t>ORC application Offer in pipeline</t>
  </si>
  <si>
    <t>AMOL ROHIDAS SALUNKE</t>
  </si>
  <si>
    <t>SalunkeAmol251@gmail.com</t>
  </si>
  <si>
    <t>Valuesoft info services pvt ltd</t>
  </si>
  <si>
    <t>1 month</t>
  </si>
  <si>
    <t>Abhishek Marathe</t>
  </si>
  <si>
    <t>maratheabhi7@gmail.com</t>
  </si>
  <si>
    <t>8.6 years</t>
  </si>
  <si>
    <t>1 offer with 24 LPA</t>
  </si>
  <si>
    <t>Mohseen I Momin</t>
  </si>
  <si>
    <t>Vishay components India Pvt Ltd</t>
  </si>
  <si>
    <t>Nitin Shinde</t>
  </si>
  <si>
    <t>nitin.shinde2203@gmail.com</t>
  </si>
  <si>
    <t>Associate Engineer - Reliability</t>
  </si>
  <si>
    <t>3.5 Years</t>
  </si>
  <si>
    <t>ATLAS COPCO - Payroll- Expert Global Solution</t>
  </si>
  <si>
    <t>5.58 LPA</t>
  </si>
  <si>
    <t>Siddhesh Chavan</t>
  </si>
  <si>
    <t>chavansiddhesh828@gmail.com</t>
  </si>
  <si>
    <t>3.4 Years</t>
  </si>
  <si>
    <t>MedLine India Pvt Ltd.</t>
  </si>
  <si>
    <t>Shruti Nale</t>
  </si>
  <si>
    <t> 9552601108 </t>
  </si>
  <si>
    <t> shrutinale13@gmail.com </t>
  </si>
  <si>
    <t>6.5 Years</t>
  </si>
  <si>
    <t> Mahle Engineering Services </t>
  </si>
  <si>
    <t>6.5 LPA</t>
  </si>
  <si>
    <t>LWD: 3 April 25</t>
  </si>
  <si>
    <t>9.5 LPA - Pune</t>
  </si>
  <si>
    <t> 8329844440 </t>
  </si>
  <si>
    <t>2.3 Years</t>
  </si>
  <si>
    <t>Flextronics Technology</t>
  </si>
  <si>
    <t>8.2 LPA</t>
  </si>
  <si>
    <t>Sagar Joshi</t>
  </si>
  <si>
    <t>sagarjoshi11173@gmail.com</t>
  </si>
  <si>
    <t>Sr Production Manager</t>
  </si>
  <si>
    <t>Thermo Fisher Scientific India Pvt. Ltd</t>
  </si>
  <si>
    <t>Chakan</t>
  </si>
  <si>
    <t>Yeddula@gmail.com</t>
  </si>
  <si>
    <t>D. SHANKAR</t>
  </si>
  <si>
    <t>dhanabal.shankar@gmail.com</t>
  </si>
  <si>
    <t>12 yrs</t>
  </si>
  <si>
    <t>Continental Automotive</t>
  </si>
  <si>
    <t>Interviews in pipeline</t>
  </si>
  <si>
    <t>LOB reject</t>
  </si>
  <si>
    <t>Sachin Bhagwat Umbarkar</t>
  </si>
  <si>
    <t>sachin.umb@gmail.com</t>
  </si>
  <si>
    <t>Eaton Pune</t>
  </si>
  <si>
    <t>20% hike</t>
  </si>
  <si>
    <t>SHAILESH SONALIKAR</t>
  </si>
  <si>
    <t>shaileshsonalikar@gmail.com</t>
  </si>
  <si>
    <t>10.4 yrs</t>
  </si>
  <si>
    <t>Mercedes Benz Research and Development India</t>
  </si>
  <si>
    <t>3 months negotiable</t>
  </si>
  <si>
    <t>Buy-out option, looking for Pune only</t>
  </si>
  <si>
    <t>Sagar Satish Zankar</t>
  </si>
  <si>
    <t>sagarzankar@gmail.com</t>
  </si>
  <si>
    <t>Marquardt India LTD</t>
  </si>
  <si>
    <t>PRINCE DINANATH SINH</t>
  </si>
  <si>
    <t>prince.billimora@gmail.com</t>
  </si>
  <si>
    <t>8 yrs</t>
  </si>
  <si>
    <t>Samarth E-Mobility Pvt. Ltd</t>
  </si>
  <si>
    <t>Radha Parab</t>
  </si>
  <si>
    <t>9757363904/9004990114</t>
  </si>
  <si>
    <t>Radha.parab23@gmail.com</t>
  </si>
  <si>
    <t>L&amp;T Defence,</t>
  </si>
  <si>
    <t>Varsha Jain</t>
  </si>
  <si>
    <t>jain.varshabecse@gmail.com</t>
  </si>
  <si>
    <t>Grand View Research</t>
  </si>
  <si>
    <t>30-40%</t>
  </si>
  <si>
    <t>LWD:10th Sep 24</t>
  </si>
  <si>
    <t>No</t>
  </si>
  <si>
    <t>9021440872/7709030818</t>
  </si>
  <si>
    <t>L &amp; T Technology Services Ltd</t>
  </si>
  <si>
    <t>5,50,000</t>
  </si>
  <si>
    <t>50k</t>
  </si>
  <si>
    <t>Offer Accepted</t>
  </si>
  <si>
    <t>Anuj Gade</t>
  </si>
  <si>
    <t>gadeanuj07@gmail.com</t>
  </si>
  <si>
    <t>ZS Associates</t>
  </si>
  <si>
    <t>15-17 (Negotiable)</t>
  </si>
  <si>
    <t>Anukul Kumar Sah</t>
  </si>
  <si>
    <t>anuabs1996@gmail.com</t>
  </si>
  <si>
    <t>MAI LABS</t>
  </si>
  <si>
    <t>50K</t>
  </si>
  <si>
    <t>Sonal Jadhav</t>
  </si>
  <si>
    <t>sonaljadhav2796@gmail.com</t>
  </si>
  <si>
    <t>John Deere</t>
  </si>
  <si>
    <t>30-35%</t>
  </si>
  <si>
    <t>Pune-Magarpatta</t>
  </si>
  <si>
    <t>PRANJAL KHANDURI</t>
  </si>
  <si>
    <t>pkhanduri259@gmail.com</t>
  </si>
  <si>
    <t>Harman Connected Services</t>
  </si>
  <si>
    <t>Bhushan Saraf</t>
  </si>
  <si>
    <t>saraf.bhushan@gmail.com</t>
  </si>
  <si>
    <t>19 yrs</t>
  </si>
  <si>
    <t>Webasto India Pvt Ltd, Pune</t>
  </si>
  <si>
    <t>Shailendra Kumar Gupta</t>
  </si>
  <si>
    <t>kgshail@yahoo.com</t>
  </si>
  <si>
    <t>25 yrs</t>
  </si>
  <si>
    <t>NXP</t>
  </si>
  <si>
    <t>SURABHI DIXIT</t>
  </si>
  <si>
    <t>dixitsurabhi224@gmail.com</t>
  </si>
  <si>
    <t>RITESH ACHARYA</t>
  </si>
  <si>
    <t>riteshacharya31@gmail.com</t>
  </si>
  <si>
    <t>Marelli India</t>
  </si>
  <si>
    <t>Shivram Kshirsagar</t>
  </si>
  <si>
    <t>kshirsagarshivram@gmail.com</t>
  </si>
  <si>
    <t>3 yrs</t>
  </si>
  <si>
    <t>9-10 lpa</t>
  </si>
  <si>
    <t>M VAMSHI KUMAR</t>
  </si>
  <si>
    <t>vamshinaukri1243@gmail.com</t>
  </si>
  <si>
    <t xml:space="preserve">KR ELIXIR PRIVATE LIMITED </t>
  </si>
  <si>
    <t>BARISH BALASO MALSHIKARE</t>
  </si>
  <si>
    <t>malshikare.barish@gmail.com</t>
  </si>
  <si>
    <t>Signify</t>
  </si>
  <si>
    <t>swapnil nalawade</t>
  </si>
  <si>
    <t>swapnil70737@gmail.com</t>
  </si>
  <si>
    <t>8.9 yrs</t>
  </si>
  <si>
    <t>Cigniti Technologies</t>
  </si>
  <si>
    <t>LWD- 9th Dec 24</t>
  </si>
  <si>
    <t>Left company due to company takeover</t>
  </si>
  <si>
    <t>ESHWAR P JORVEKAR</t>
  </si>
  <si>
    <t>989019 3495</t>
  </si>
  <si>
    <t>7.2 yrs</t>
  </si>
  <si>
    <t>ACCOLADE ELECTRONICS PVT LTD</t>
  </si>
  <si>
    <t>25-26 LPA</t>
  </si>
  <si>
    <t>Shubham Sunil Kharat</t>
  </si>
  <si>
    <t>shubhamkh40@gmail.com</t>
  </si>
  <si>
    <t>MEP System Designs Solutions</t>
  </si>
  <si>
    <t>Ganesh Suryawnashi</t>
  </si>
  <si>
    <t>ganesh43112@gmail.com</t>
  </si>
  <si>
    <t>T-Design Engineers</t>
  </si>
  <si>
    <t>Thane</t>
  </si>
  <si>
    <t>15 days</t>
  </si>
  <si>
    <t>Mahendra Kotapati</t>
  </si>
  <si>
    <t>kotapatimahendra955@gmail.com</t>
  </si>
  <si>
    <t>Quest Global</t>
  </si>
  <si>
    <t>LWD-8th March 24</t>
  </si>
  <si>
    <t>Left as no projects were there</t>
  </si>
  <si>
    <t>VINAY S. VELUKAR</t>
  </si>
  <si>
    <t>vinayvelukar27@gmail.com</t>
  </si>
  <si>
    <t>Larsen &amp; Toubro Technology Services</t>
  </si>
  <si>
    <t>Project is going to over</t>
  </si>
  <si>
    <t>Jaichandran S</t>
  </si>
  <si>
    <t>jaichandransundaram@gmail.com</t>
  </si>
  <si>
    <t>5+ yrs</t>
  </si>
  <si>
    <t>Delta-Iot Solutions</t>
  </si>
  <si>
    <t>13-14 LPA</t>
  </si>
  <si>
    <t>HARENDRA LODHI</t>
  </si>
  <si>
    <t>lodhi.harendra03@gmail.com</t>
  </si>
  <si>
    <t>L&amp;T Technology Service</t>
  </si>
  <si>
    <t>19-20 LPA</t>
  </si>
  <si>
    <t>K. Sabarish</t>
  </si>
  <si>
    <t>ksabarish416@gmail.com</t>
  </si>
  <si>
    <t>Bosch</t>
  </si>
  <si>
    <t>LWD-Nov 29th 24</t>
  </si>
  <si>
    <t>1 offer in hand with 23 for service based not considering</t>
  </si>
  <si>
    <t xml:space="preserve">Shubham Suresh Chopade    </t>
  </si>
  <si>
    <t>chopade60@gmail.com</t>
  </si>
  <si>
    <t xml:space="preserve">KPIT  </t>
  </si>
  <si>
    <t>Project on hold can join early</t>
  </si>
  <si>
    <t>Mallayya Hiremath</t>
  </si>
  <si>
    <t>mshiremath013@gmail.com</t>
  </si>
  <si>
    <t>Philips - On role</t>
  </si>
  <si>
    <t>18.3 LPA</t>
  </si>
  <si>
    <t>Chandra Reddy</t>
  </si>
  <si>
    <t>dineshreddygc@gmail.com</t>
  </si>
  <si>
    <t xml:space="preserve">INTEGRA LIFE SCIENCES </t>
  </si>
  <si>
    <t>98,000 USD</t>
  </si>
  <si>
    <t>Kiran Shinde</t>
  </si>
  <si>
    <t>shindekiran406@gmail.com</t>
  </si>
  <si>
    <t>8.2 Years</t>
  </si>
  <si>
    <t>Varroc Engineering Ltd</t>
  </si>
  <si>
    <t>12.85 LPA</t>
  </si>
  <si>
    <t>Abhijit Bhagat </t>
  </si>
  <si>
    <t>8698004479 </t>
  </si>
  <si>
    <t>abhijitbhagat7990@gmail.com </t>
  </si>
  <si>
    <t>10.8 Years</t>
  </si>
  <si>
    <t>Incedo Inc.</t>
  </si>
  <si>
    <t>13.9 LPA</t>
  </si>
  <si>
    <t>Ajit Pande</t>
  </si>
  <si>
    <t>ajit23pande@gmail.com</t>
  </si>
  <si>
    <t>Mahle Engineering Services</t>
  </si>
  <si>
    <t>Balaji Chavan</t>
  </si>
  <si>
    <t>brc9604@gmail.com</t>
  </si>
  <si>
    <t>Bufab India Fasteners Pvt Ltd</t>
  </si>
  <si>
    <t>Yogesh Shingare</t>
  </si>
  <si>
    <t>yshingare123@gmail.com</t>
  </si>
  <si>
    <t>Daccess Security System PVT.LTD</t>
  </si>
  <si>
    <t>7.8 LPA</t>
  </si>
  <si>
    <t>Yogesh Gupta</t>
  </si>
  <si>
    <t>gyogesh536@gmail.com</t>
  </si>
  <si>
    <t>Cognizant Technology Solutions Ltd</t>
  </si>
  <si>
    <t>22.25 LPA</t>
  </si>
  <si>
    <t>26.5 LPA</t>
  </si>
  <si>
    <t>90 Days - 60 days Neg</t>
  </si>
  <si>
    <t>Nemish Sheth</t>
  </si>
  <si>
    <t>9428225488 </t>
  </si>
  <si>
    <t>nemish.sheth.cr@gmail.com </t>
  </si>
  <si>
    <t>Gateway Group of Companies</t>
  </si>
  <si>
    <t>9.5 LPA</t>
  </si>
  <si>
    <t>Gujrat</t>
  </si>
  <si>
    <t>Awdhesh Kumar</t>
  </si>
  <si>
    <t>awdheshkumar645@gmail.com</t>
  </si>
  <si>
    <t>7.2 Years</t>
  </si>
  <si>
    <t>Nic Headquarters - Payroll ADG Online Solutions Pvt</t>
  </si>
  <si>
    <t>13.20 LPA</t>
  </si>
  <si>
    <t>Sagar Nale</t>
  </si>
  <si>
    <t>sagarnale90@gmail.com</t>
  </si>
  <si>
    <t>4.3 Years</t>
  </si>
  <si>
    <t>Hoerbiger India Pvt. Ltd</t>
  </si>
  <si>
    <t>7.7 Years</t>
  </si>
  <si>
    <t>LWD: 28th April 25</t>
  </si>
  <si>
    <t>Minakshi J. Karche</t>
  </si>
  <si>
    <t>minakshikarche.j@gmail.com</t>
  </si>
  <si>
    <t>Husys</t>
  </si>
  <si>
    <t>Pune-Kasaba Peth</t>
  </si>
  <si>
    <t>JAYA MISHRA</t>
  </si>
  <si>
    <t>jaya.kmishra@gmail.com</t>
  </si>
  <si>
    <t>Valethi Technologies</t>
  </si>
  <si>
    <t>LWD:16th Jan 24</t>
  </si>
  <si>
    <t>HIMANSU SEKHAR SAHU</t>
  </si>
  <si>
    <t>himansusahu9090@gmail.com</t>
  </si>
  <si>
    <t>ITL</t>
  </si>
  <si>
    <t>Banglore,</t>
  </si>
  <si>
    <t xml:space="preserve">90 days, Can check for 45 days </t>
  </si>
  <si>
    <t>Bhushan Wasekar</t>
  </si>
  <si>
    <t>82083 52036 / 86863 64278</t>
  </si>
  <si>
    <t>bhushanwasekar02@gmail.com</t>
  </si>
  <si>
    <t>Equinix Pvt. Ltd</t>
  </si>
  <si>
    <t>LWD:10th Dec 24, Immediate Joiner</t>
  </si>
  <si>
    <t>Shriganesh Patil</t>
  </si>
  <si>
    <t>Shriganesh.patil@hotmail.com</t>
  </si>
  <si>
    <t>Applus Idida</t>
  </si>
  <si>
    <t>Nagesh Jamge</t>
  </si>
  <si>
    <t>nageshjamge@gmail.com</t>
  </si>
  <si>
    <t>Spark minda</t>
  </si>
  <si>
    <t>16-17 lpa</t>
  </si>
  <si>
    <t>ROHIT CHOTHAVE</t>
  </si>
  <si>
    <t>rohitaer@gmail.com</t>
  </si>
  <si>
    <t>4.5 yrs</t>
  </si>
  <si>
    <t>EQUILIBRIUM SOLUTIONS</t>
  </si>
  <si>
    <t>LWD- 8th March 25</t>
  </si>
  <si>
    <t>1 offer with 11.3 for Chennai</t>
  </si>
  <si>
    <t>Jayant Patel</t>
  </si>
  <si>
    <t>jayantpatel525@gmail.com</t>
  </si>
  <si>
    <t>Principal Engineer - Java</t>
  </si>
  <si>
    <t>Sun, Kai Fhili</t>
  </si>
  <si>
    <t>Tech Mahindra Limited</t>
  </si>
  <si>
    <t>LWD: 25th March 25</t>
  </si>
  <si>
    <t>20 LPA - Pune</t>
  </si>
  <si>
    <t>Prajakta Kulkarni</t>
  </si>
  <si>
    <t>prajakta.b.deshpande@gmail.com</t>
  </si>
  <si>
    <t>11.8 Years</t>
  </si>
  <si>
    <t>Sarvatra Technologies Pvt Ltd</t>
  </si>
  <si>
    <t>25 LPA - Pune</t>
  </si>
  <si>
    <t> Revati Waghmare </t>
  </si>
  <si>
    <t> 8007402912 </t>
  </si>
  <si>
    <t> revatiwagamare666@gmail.com </t>
  </si>
  <si>
    <t>5.4 Years</t>
  </si>
  <si>
    <t>LTMindtree</t>
  </si>
  <si>
    <t>LWD: 2nd Dec 24</t>
  </si>
  <si>
    <t xml:space="preserve">Parvez Saiyed </t>
  </si>
  <si>
    <t>parvezsaiyed91@gmail.com</t>
  </si>
  <si>
    <t>Kiya.Ai</t>
  </si>
  <si>
    <t>21 LPA</t>
  </si>
  <si>
    <t>Kamal Tewari</t>
  </si>
  <si>
    <t>kamal12feb@gmail.com</t>
  </si>
  <si>
    <t>Samin Tekmindz India Pvt Ltd</t>
  </si>
  <si>
    <t>19.33 LPA</t>
  </si>
  <si>
    <t>LWD: 3rd Jan 25</t>
  </si>
  <si>
    <t>Arnab Bhattacharya</t>
  </si>
  <si>
    <t>arnabb.official@gmail.com</t>
  </si>
  <si>
    <t>6.8 Years</t>
  </si>
  <si>
    <t>GoDigit</t>
  </si>
  <si>
    <t>LWD: 13 March 25</t>
  </si>
  <si>
    <t>28 LPA - Pune</t>
  </si>
  <si>
    <t>Swapnil Pendhari</t>
  </si>
  <si>
    <t>pendhari.swapnil@gmail.com</t>
  </si>
  <si>
    <t xml:space="preserve">AURIONPRO SOLUTIONS LIMITED </t>
  </si>
  <si>
    <t>24 LPA</t>
  </si>
  <si>
    <t>LWD: 4th Jan 25</t>
  </si>
  <si>
    <t>Johnson Rajkamal Punvatkar</t>
  </si>
  <si>
    <t>punvatkarjohnson@gmail.com</t>
  </si>
  <si>
    <t>JIGNESH SONGIRE</t>
  </si>
  <si>
    <t>jigneshsongire0990@gmail.com</t>
  </si>
  <si>
    <t>Virtuoso projects and Engineers Pvt.Ltd</t>
  </si>
  <si>
    <t>Rushikesh Pachgade</t>
  </si>
  <si>
    <t>rushikeshpachgade97@gmail.com</t>
  </si>
  <si>
    <t>Spark Minda Technical Centre</t>
  </si>
  <si>
    <t xml:space="preserve">3 months </t>
  </si>
  <si>
    <t>1 offer 15 for Pune, not considering due to role assigned</t>
  </si>
  <si>
    <t>Uttam M. Bhujbal</t>
  </si>
  <si>
    <t>uttambhujbal@gmail.com</t>
  </si>
  <si>
    <t>FFS India Pvt Ltd, Pune</t>
  </si>
  <si>
    <t>45 days negotiable</t>
  </si>
  <si>
    <t>HEMANT KANADE</t>
  </si>
  <si>
    <t>kanadehemant93@outlook.com</t>
  </si>
  <si>
    <t>6.6 yrs</t>
  </si>
  <si>
    <t>Growell softech Pvt Ltd</t>
  </si>
  <si>
    <t>9.5-10 LPA</t>
  </si>
  <si>
    <t>1 months</t>
  </si>
  <si>
    <t xml:space="preserve">RAVITEJA   </t>
  </si>
  <si>
    <t>itsraviteja712@gmail.com</t>
  </si>
  <si>
    <t>Forvia</t>
  </si>
  <si>
    <t>LWD-28th feb 25</t>
  </si>
  <si>
    <t>SHUBHAM SHINGOTE</t>
  </si>
  <si>
    <t>shubhampvtacc@gmail.com</t>
  </si>
  <si>
    <t>Pune-Wakad</t>
  </si>
  <si>
    <t>NIKHIL SANJAY JOSHI</t>
  </si>
  <si>
    <t>njnikhil2606@gmail.com</t>
  </si>
  <si>
    <t>Medulla Communications Pvt. Ltd</t>
  </si>
  <si>
    <t>Amit Chavan</t>
  </si>
  <si>
    <t>amitpc26@gmail.com</t>
  </si>
  <si>
    <t>Tech Mahindra</t>
  </si>
  <si>
    <t>DARSHAN M HONKALSE</t>
  </si>
  <si>
    <t>darshanhonkalse96@gmail.com</t>
  </si>
  <si>
    <t>NEXTEER AUTOMOTIVE</t>
  </si>
  <si>
    <t>Kolkata</t>
  </si>
  <si>
    <t>RUSHIK PATHAK</t>
  </si>
  <si>
    <t>rushikpathak@gmail.com</t>
  </si>
  <si>
    <t>Cyient Limited</t>
  </si>
  <si>
    <t>Ujjwal Dinkar Khobragade</t>
  </si>
  <si>
    <t>khobragade.ujjwal08@gmail.com</t>
  </si>
  <si>
    <t>Pune-</t>
  </si>
  <si>
    <t>Rohit Mane</t>
  </si>
  <si>
    <t>8888904771/9307331972</t>
  </si>
  <si>
    <t>rohitmanee007@gmail.com</t>
  </si>
  <si>
    <t>Larsen &amp; Toubro Limited</t>
  </si>
  <si>
    <t>30K</t>
  </si>
  <si>
    <t>Pune-Talegaon</t>
  </si>
  <si>
    <t>Akshay Bapuji Wagh</t>
  </si>
  <si>
    <t>akshay_wagh26@yahoo.in</t>
  </si>
  <si>
    <t>Software Engineer</t>
  </si>
  <si>
    <t>Ajit</t>
  </si>
  <si>
    <t>Zenith</t>
  </si>
  <si>
    <t>20-21 LPA</t>
  </si>
  <si>
    <t>LWD-23rd Jan 25</t>
  </si>
  <si>
    <t>Left company as contract was over</t>
  </si>
  <si>
    <t>Narayan Bhosale</t>
  </si>
  <si>
    <t>Narayan.bhosale11@gmail.com</t>
  </si>
  <si>
    <t>6.1 Years</t>
  </si>
  <si>
    <t>Scadea Software Solutions Pvt. Ltd</t>
  </si>
  <si>
    <t>23 LPA</t>
  </si>
  <si>
    <t>Immediate, LWD: 10th Jan 25</t>
  </si>
  <si>
    <t xml:space="preserve">Vyankatesh Manwade  </t>
  </si>
  <si>
    <t>LWD: 17th March</t>
  </si>
  <si>
    <t>14.5 LPA - Pune</t>
  </si>
  <si>
    <t> Pooja Nimbokar </t>
  </si>
  <si>
    <t> 8390748846 </t>
  </si>
  <si>
    <t> nimbokarp.28@gmail.com </t>
  </si>
  <si>
    <t>5.9 Years</t>
  </si>
  <si>
    <t> Vodafone India Shared Services </t>
  </si>
  <si>
    <t>Chhaya Goyal</t>
  </si>
  <si>
    <t>Shivani Yadav</t>
  </si>
  <si>
    <t>shivani75yadav@gmail.com</t>
  </si>
  <si>
    <t>4.2 yrs</t>
  </si>
  <si>
    <t>LWD 29 April</t>
  </si>
  <si>
    <t>Pipeline</t>
  </si>
  <si>
    <t>MOHSIN ABBAS KALBE HASAN SHAIKH</t>
  </si>
  <si>
    <t>shaikhabbas191@gmail.com</t>
  </si>
  <si>
    <t>D2K Tech</t>
  </si>
  <si>
    <t>Drashti Desai</t>
  </si>
  <si>
    <t>9737084745 </t>
  </si>
  <si>
    <t>dkdesai2012@gmail.com</t>
  </si>
  <si>
    <t>Technotron Softech</t>
  </si>
  <si>
    <t>BHUSHAN BHASME</t>
  </si>
  <si>
    <t>bhasmebhushan10@gmail.com</t>
  </si>
  <si>
    <t>e-zest Digital solutions pvt ltd</t>
  </si>
  <si>
    <t>Mayur Kamble</t>
  </si>
  <si>
    <t>mayur.kamble3@gmail.com</t>
  </si>
  <si>
    <t>VOLTAIRA</t>
  </si>
  <si>
    <t>11.70 LPA</t>
  </si>
  <si>
    <t>LWD: 16 Jan 25</t>
  </si>
  <si>
    <t>Blue Star Limited </t>
  </si>
  <si>
    <t>7.75 LPA</t>
  </si>
  <si>
    <t>Vikram Shinde</t>
  </si>
  <si>
    <t>vikramshinde166@gmail.com</t>
  </si>
  <si>
    <t>UST Global Client: Philips</t>
  </si>
  <si>
    <t> Anup Kulkarni </t>
  </si>
  <si>
    <t>7756055999 </t>
  </si>
  <si>
    <t>anup.1112@gmail.com </t>
  </si>
  <si>
    <t> Varian – A Siemens Healthineers Company </t>
  </si>
  <si>
    <t>14.7 LPA</t>
  </si>
  <si>
    <t>Meera Bakhal</t>
  </si>
  <si>
    <t>meerabakhal@gmail.com</t>
  </si>
  <si>
    <t>Krishna Antioxidant Pvt LTD</t>
  </si>
  <si>
    <t>Vaishali Bedge</t>
  </si>
  <si>
    <t>vaishalibedge85@gmail.com</t>
  </si>
  <si>
    <t>4.5 Years</t>
  </si>
  <si>
    <t>Flextronics PVT LTD</t>
  </si>
  <si>
    <t>3.2 LPA</t>
  </si>
  <si>
    <t>7 LPA</t>
  </si>
  <si>
    <t>Saurabh Rane</t>
  </si>
  <si>
    <t>saurabhrane22@gmail.com</t>
  </si>
  <si>
    <t>Payroll - First Meridian. Client - Danfoss Technologies</t>
  </si>
  <si>
    <t>4.1 LPA</t>
  </si>
  <si>
    <t>Zeba Dhalayat</t>
  </si>
  <si>
    <t>zeba.dhalayat@gmail.com</t>
  </si>
  <si>
    <t>8.7 Years</t>
  </si>
  <si>
    <t>RENAULT NISSAN Technology</t>
  </si>
  <si>
    <t>14 LPA - Pune</t>
  </si>
  <si>
    <t>Suparna Sarkar</t>
  </si>
  <si>
    <t>suparna.mepl@gmail.com</t>
  </si>
  <si>
    <t>SPX Flow Technology India</t>
  </si>
  <si>
    <t>14.85 LPA</t>
  </si>
  <si>
    <t>MAHLE Engineering</t>
  </si>
  <si>
    <t>10.8 LPA</t>
  </si>
  <si>
    <t>Kiran Aajagekar</t>
  </si>
  <si>
    <t> 8379971919</t>
  </si>
  <si>
    <t> kiranaajagekar30@gmail.com </t>
  </si>
  <si>
    <t> Mitsubishi Electric India </t>
  </si>
  <si>
    <t>Magna Automotive</t>
  </si>
  <si>
    <t>Ajit Kale</t>
  </si>
  <si>
    <t>ajitrkale@gmail.com</t>
  </si>
  <si>
    <t>MAHLE ENGINEERING</t>
  </si>
  <si>
    <t>Abhishek M</t>
  </si>
  <si>
    <t>abhishekmotichand@gmail.com</t>
  </si>
  <si>
    <t>12.1 LPA</t>
  </si>
  <si>
    <t>Prajakta Londhe</t>
  </si>
  <si>
    <t xml:space="preserve">prajaktalondhe9@gmail.com    </t>
  </si>
  <si>
    <t xml:space="preserve">Plastic Omnium Intelligent Exterior Systems </t>
  </si>
  <si>
    <t>Yogesh Newal</t>
  </si>
  <si>
    <t>yogeshnewal04@gmail.com</t>
  </si>
  <si>
    <t>Shiwani M. Fasate</t>
  </si>
  <si>
    <t>shiwanimilindfasate@outlook.com</t>
  </si>
  <si>
    <t>Devise Electronics Pvt Ltd</t>
  </si>
  <si>
    <t>Jayashri Gokul Arote</t>
  </si>
  <si>
    <t>9579298725/8975336903 </t>
  </si>
  <si>
    <t>jayashriarote9@gmail.com</t>
  </si>
  <si>
    <t>8.7 yrs</t>
  </si>
  <si>
    <t>Kohler</t>
  </si>
  <si>
    <t>Immediate, LWD 8 Oct</t>
  </si>
  <si>
    <t>Amol Ghogare</t>
  </si>
  <si>
    <t>7709386115 / 7744883438</t>
  </si>
  <si>
    <t>amolsp78@gmail.com</t>
  </si>
  <si>
    <t>Chemito Infotech Pvt Ltd</t>
  </si>
  <si>
    <t>7.2 LPA</t>
  </si>
  <si>
    <t>Aditya Ashok Deshmukh</t>
  </si>
  <si>
    <t>adidshmkh92@gmail.com</t>
  </si>
  <si>
    <t>John Deere TCI</t>
  </si>
  <si>
    <t>22.5 LPA</t>
  </si>
  <si>
    <t>Neeraj Badhani</t>
  </si>
  <si>
    <t>mr.neeraj.nb@gmail.com</t>
  </si>
  <si>
    <t>30 days due to on bench</t>
  </si>
  <si>
    <t>Ankush D. Shirbhate</t>
  </si>
  <si>
    <t>ankush9096@gmail.com</t>
  </si>
  <si>
    <t>4.3 yrs</t>
  </si>
  <si>
    <t>Wipro</t>
  </si>
  <si>
    <t>Immediate, LWD 2 April 2024</t>
  </si>
  <si>
    <t>In Pipeline</t>
  </si>
  <si>
    <t>Archana Udar</t>
  </si>
  <si>
    <t>archanaudar47@gmail.com</t>
  </si>
  <si>
    <t>HYC Technologies</t>
  </si>
  <si>
    <t>LWD 20 Feb</t>
  </si>
  <si>
    <t>Dhanraj Upase</t>
  </si>
  <si>
    <t>d.rajupase@gmail.com</t>
  </si>
  <si>
    <t>TATA Motors</t>
  </si>
  <si>
    <t>Sanyam Jain</t>
  </si>
  <si>
    <t>er.sanyamjain08@gmail.com</t>
  </si>
  <si>
    <t>5.9 yrs</t>
  </si>
  <si>
    <t>Immediate, LWD 2 Dec</t>
  </si>
  <si>
    <t>Harshraj Singh</t>
  </si>
  <si>
    <t>harshsir7755@gmail.com</t>
  </si>
  <si>
    <t>LWD: 15 April 25</t>
  </si>
  <si>
    <t>Offer holding 10L.DOJ: 6th May 25</t>
  </si>
  <si>
    <t>PRAVEEN KUMAR</t>
  </si>
  <si>
    <t>7002307820, 9667555404</t>
  </si>
  <si>
    <t>praveen1.kumar97@gmail.com</t>
  </si>
  <si>
    <t>Nagarro Software</t>
  </si>
  <si>
    <t>0, LWD: 31 Jan 25</t>
  </si>
  <si>
    <t xml:space="preserve">Offer  holding 12L, Gurgaon DOJ last week </t>
  </si>
  <si>
    <t>AAYUSH ANAND</t>
  </si>
  <si>
    <t>Aayushanand039@gmail.com</t>
  </si>
  <si>
    <t>Amitkumar Devra</t>
  </si>
  <si>
    <t>SIMULATION LAB</t>
  </si>
  <si>
    <t>Bihar</t>
  </si>
  <si>
    <t>ANUJA KAILAS SONAR</t>
  </si>
  <si>
    <t>anujasonar99@gmail.com</t>
  </si>
  <si>
    <t>CG Power &amp; Industrial Solutions Ltd</t>
  </si>
  <si>
    <t>DR. Y SHRIRAJ RAO</t>
  </si>
  <si>
    <t>shrirajrao@gmail.com</t>
  </si>
  <si>
    <t>Assistant Professor-Department of Aeronautical Engineering</t>
  </si>
  <si>
    <t>Udpi</t>
  </si>
  <si>
    <t>OMKAR TAGADE</t>
  </si>
  <si>
    <t>omkartagade1@gmail.com</t>
  </si>
  <si>
    <t>F.E Solutions</t>
  </si>
  <si>
    <t>7 to 10</t>
  </si>
  <si>
    <t>Pune-Shukrawar Peth</t>
  </si>
  <si>
    <t>P.Ramya</t>
  </si>
  <si>
    <t>ramyasrinu1997@gmail.com</t>
  </si>
  <si>
    <t>Willing to relocate to Pune</t>
  </si>
  <si>
    <t>Not reachable</t>
  </si>
  <si>
    <t>Vikas Manoha r Patil</t>
  </si>
  <si>
    <t>vikasmanoharpatil@gmail.com</t>
  </si>
  <si>
    <t>Continental</t>
  </si>
  <si>
    <t xml:space="preserve">As per comp </t>
  </si>
  <si>
    <t>Dhiraj R. Khade</t>
  </si>
  <si>
    <t>dhirajkhade4@gmail.com</t>
  </si>
  <si>
    <t xml:space="preserve">Knorr-Bremse India </t>
  </si>
  <si>
    <t>Madhuri Sonvane</t>
  </si>
  <si>
    <t>mrsonvane29@gmail.com</t>
  </si>
  <si>
    <t>Atonarp Micro-Systems India Pvt. Ltd</t>
  </si>
  <si>
    <t>Immediate, LWD- 19th Nov 24</t>
  </si>
  <si>
    <t>Left due to bangalore location</t>
  </si>
  <si>
    <t>L3 reject</t>
  </si>
  <si>
    <t>PRIYAL TIBDEWAL</t>
  </si>
  <si>
    <t>pmtibdewal1993@gmail.com</t>
  </si>
  <si>
    <t>9.2 years</t>
  </si>
  <si>
    <t>Tata Consultancy Services Limited, Pune</t>
  </si>
  <si>
    <t>LWD-18th Feb 25</t>
  </si>
  <si>
    <t>1 offer with 14 LPA-24th Feb DOJ</t>
  </si>
  <si>
    <t>Vaibhav Bajirao Deore</t>
  </si>
  <si>
    <t>deorevaibhav015@gmail.com</t>
  </si>
  <si>
    <t>4.4 yrs</t>
  </si>
  <si>
    <t>Aptly Technology Corporation</t>
  </si>
  <si>
    <t>LWD-30th June 24</t>
  </si>
  <si>
    <t>1 offer in pipeline 13 LPA</t>
  </si>
  <si>
    <t>Pawan Warulkar</t>
  </si>
  <si>
    <t>Pawanwarulkar95@gmail.com</t>
  </si>
  <si>
    <t>Subblelabs Software solution</t>
  </si>
  <si>
    <t>Rushikesh Kamtam</t>
  </si>
  <si>
    <t>rushi.kamtam@gmail.com</t>
  </si>
  <si>
    <t>A2 Digi Solutions</t>
  </si>
  <si>
    <t>SaurabhKumar</t>
  </si>
  <si>
    <t>saurabh.k_mail@yahoo.in</t>
  </si>
  <si>
    <t>AffinityX</t>
  </si>
  <si>
    <t>Pune-Lohgaon</t>
  </si>
  <si>
    <t>0,30th Oct 24 Immediate Joiner</t>
  </si>
  <si>
    <t>Pranav Phulware</t>
  </si>
  <si>
    <t>pranavphulware98@gmail.com</t>
  </si>
  <si>
    <t>Codebase</t>
  </si>
  <si>
    <t>Pune-Bhavdan</t>
  </si>
  <si>
    <t>KAMINI SHINDE</t>
  </si>
  <si>
    <t>kaminishinde71@gmail.com</t>
  </si>
  <si>
    <t>amberstudent</t>
  </si>
  <si>
    <t>60 days, LWD:11th April 25</t>
  </si>
  <si>
    <t>BANSARI SHAH</t>
  </si>
  <si>
    <t>mebansarishah@gmail.com</t>
  </si>
  <si>
    <t>Ecostic Wallpapers
Pvt. Ltd</t>
  </si>
  <si>
    <t>15 days, LWD:5th March 25</t>
  </si>
  <si>
    <t>L1 FBA</t>
  </si>
  <si>
    <t>Akshay Shindolkar</t>
  </si>
  <si>
    <t>akshays9979@gmail.com</t>
  </si>
  <si>
    <t>QuEST Global Engineering Services Pvt Ltd Bangalore</t>
  </si>
  <si>
    <t>MOHIT</t>
  </si>
  <si>
    <t>mohsids4u@gmail.com</t>
  </si>
  <si>
    <t>18.6 LPA</t>
  </si>
  <si>
    <t xml:space="preserve">30+ </t>
  </si>
  <si>
    <t>LWD 31 March</t>
  </si>
  <si>
    <t>He's an offer of 30 LPA fixed</t>
  </si>
  <si>
    <t>Not Suitable, don’t have embedded experience</t>
  </si>
  <si>
    <t>Rahul Shah  </t>
  </si>
  <si>
    <t>Rah4shah@gmail.com</t>
  </si>
  <si>
    <t>7.6 yrs</t>
  </si>
  <si>
    <t>LWD 28 Feb</t>
  </si>
  <si>
    <t>doesn't have any offer</t>
  </si>
  <si>
    <t>Suitable, Please schedule L1 round</t>
  </si>
  <si>
    <t>VISHAL KUMAR</t>
  </si>
  <si>
    <t>kvishaldhiman@outlook.com</t>
  </si>
  <si>
    <t>in probation period</t>
  </si>
  <si>
    <t>DEEPAK KRISHNA</t>
  </si>
  <si>
    <t xml:space="preserve">deepakkrishna0206@gmail.com </t>
  </si>
  <si>
    <t>John Dheere</t>
  </si>
  <si>
    <t>LWD-1st Apr 25</t>
  </si>
  <si>
    <t>1 offer with 23</t>
  </si>
  <si>
    <t xml:space="preserve">Laxman Agwan Chavan </t>
  </si>
  <si>
    <t>chavanlaxman2015@gmail.com</t>
  </si>
  <si>
    <t>EINFOCHIPS</t>
  </si>
  <si>
    <t>Pradip Gade</t>
  </si>
  <si>
    <t>gadepradip34@gmail.com</t>
  </si>
  <si>
    <t>4.6 yrs</t>
  </si>
  <si>
    <t>Apex</t>
  </si>
  <si>
    <t>As per comp</t>
  </si>
  <si>
    <t>2 month negotiable</t>
  </si>
  <si>
    <t>Akanksha Omprakash Shrivastav</t>
  </si>
  <si>
    <t>akankshashrivastav911@gmail.com</t>
  </si>
  <si>
    <t>Shivaji PATIL</t>
  </si>
  <si>
    <t>shivajijadhavp95@gmail.com</t>
  </si>
  <si>
    <t>Sunstone</t>
  </si>
  <si>
    <t>Niyati Prajapati</t>
  </si>
  <si>
    <t>94090 66989</t>
  </si>
  <si>
    <t>nayi.niyati@gmail.com</t>
  </si>
  <si>
    <t>L3 TBS</t>
  </si>
  <si>
    <t>Kedar Kharavtekar</t>
  </si>
  <si>
    <t>kedarkk2000@gmail.com</t>
  </si>
  <si>
    <t>As per Comp</t>
  </si>
  <si>
    <t>Shriansh Rasekar</t>
  </si>
  <si>
    <t>shrianshrasekar123@gmail.com</t>
  </si>
  <si>
    <t>9.49 LPA</t>
  </si>
  <si>
    <t>LWD: 26th Feb 25</t>
  </si>
  <si>
    <t>13 LPA - Pune</t>
  </si>
  <si>
    <t>Mrunalini Pattanaik</t>
  </si>
  <si>
    <t>mrunalinipattanaik142@gmail.com</t>
  </si>
  <si>
    <t>LWD: 25th April 25</t>
  </si>
  <si>
    <t>16.5 LPA - Pune</t>
  </si>
  <si>
    <t>Sujay Patil</t>
  </si>
  <si>
    <t>mr.sujay.patil@outlook.com</t>
  </si>
  <si>
    <t>Allstate Solutions Private Limited</t>
  </si>
  <si>
    <t>Pravin Deulkar</t>
  </si>
  <si>
    <t xml:space="preserve">deulkarpravin1@gmail.com    </t>
  </si>
  <si>
    <t>5.3 Years</t>
  </si>
  <si>
    <t>15.5 LPA</t>
  </si>
  <si>
    <t>Vicky Bandiwaddar</t>
  </si>
  <si>
    <t> 7507130066 </t>
  </si>
  <si>
    <t>vickybandiwaddar9481@gmail.com</t>
  </si>
  <si>
    <t>9.5 Years</t>
  </si>
  <si>
    <t> Trejhara Solution Ltd </t>
  </si>
  <si>
    <t>Meet Sureliya</t>
  </si>
  <si>
    <t>meetsureliya@gmail.com</t>
  </si>
  <si>
    <t>17.7 LPA</t>
  </si>
  <si>
    <t>Rakesh Chitade</t>
  </si>
  <si>
    <t>rakesh.chitade23@gmail.com </t>
  </si>
  <si>
    <t>14.20 LPA</t>
  </si>
  <si>
    <t>Mayur Chaudhari</t>
  </si>
  <si>
    <t>chaudharim22@gmail.com</t>
  </si>
  <si>
    <t>19.45 LPA</t>
  </si>
  <si>
    <t>LWD 18 Feb</t>
  </si>
  <si>
    <t>have an offer of 28 LPA</t>
  </si>
  <si>
    <t>Adarsh Gupta</t>
  </si>
  <si>
    <t>addy91222@gmail.com</t>
  </si>
  <si>
    <t>Aspire Software Systems pvt. Ltd</t>
  </si>
  <si>
    <t>11.7 LPA</t>
  </si>
  <si>
    <t>Rishabh Patil</t>
  </si>
  <si>
    <t>rishabhpatil49991@gmail.com</t>
  </si>
  <si>
    <t>Ellicium Solutions Pvt. Ltd</t>
  </si>
  <si>
    <t>9.21 LPA</t>
  </si>
  <si>
    <t>Ashwini Sunil Pawar</t>
  </si>
  <si>
    <t>ashwinipawar0417@gmail.com</t>
  </si>
  <si>
    <t>Nice Interactive Solutions</t>
  </si>
  <si>
    <t>Priyanka Karne</t>
  </si>
  <si>
    <t>8766823311 </t>
  </si>
  <si>
    <t>priyankakarne97@gmail.com</t>
  </si>
  <si>
    <t>Synechron Technologies</t>
  </si>
  <si>
    <t>7.3 LPA</t>
  </si>
  <si>
    <t>LWD 5 March</t>
  </si>
  <si>
    <t>Anjali Kumari</t>
  </si>
  <si>
    <t>anjali123450kumari@gmail.com</t>
  </si>
  <si>
    <t>Tata Consultancy services</t>
  </si>
  <si>
    <t>11 to 12</t>
  </si>
  <si>
    <t xml:space="preserve">Pune-Hinjewadi, </t>
  </si>
  <si>
    <t>LWD: 28th Fev 25</t>
  </si>
  <si>
    <t>Laxmi Davuluri</t>
  </si>
  <si>
    <t>lakshmidavuluri04@gmail.com</t>
  </si>
  <si>
    <t>Eviden (Atos business partner)</t>
  </si>
  <si>
    <t>9 to 10 (negotiable)</t>
  </si>
  <si>
    <t>Pune-Talwadi, Native place is Andra Pradesh</t>
  </si>
  <si>
    <t>Kishor Dharmaraj Chandanshive</t>
  </si>
  <si>
    <t>kishor.chandanshive9890@gmail.com</t>
  </si>
  <si>
    <t>Atos (Eviden)</t>
  </si>
  <si>
    <t>offer holding 11 L, DOJ: Not yet pune, Hybrid</t>
  </si>
  <si>
    <t>Tejashvi Siddharam Koli</t>
  </si>
  <si>
    <t>kolitejashvi95@gmail.com</t>
  </si>
  <si>
    <t>Pune-Pimple saudar</t>
  </si>
  <si>
    <t>Aniket Patil</t>
  </si>
  <si>
    <t>aniketpatil963@gmail.com</t>
  </si>
  <si>
    <t>Fujitsu Consulting India</t>
  </si>
  <si>
    <t>12 (negotiable)</t>
  </si>
  <si>
    <t>Offer holding 12 L</t>
  </si>
  <si>
    <t>YATIN LAYGUDE</t>
  </si>
  <si>
    <t>yatinwrites@gmail.com</t>
  </si>
  <si>
    <t>VTP Realty</t>
  </si>
  <si>
    <t>Saurabh Salokhe</t>
  </si>
  <si>
    <t>9405465919 +918088034200</t>
  </si>
  <si>
    <t>saurabhsalokhe2000@gmail.com</t>
  </si>
  <si>
    <t>Pune-Nigadi</t>
  </si>
  <si>
    <t>9.5 L, DOJ:  18th march</t>
  </si>
  <si>
    <t>Anuja Sharma</t>
  </si>
  <si>
    <t>9764235736/7588200000</t>
  </si>
  <si>
    <t>sanuja49@gmail.com</t>
  </si>
  <si>
    <t>Accelya Solutions</t>
  </si>
  <si>
    <t>Ajinkya
Datir</t>
  </si>
  <si>
    <t>7588512925/ 7058682169</t>
  </si>
  <si>
    <t>ajdatir2@gmail.com</t>
  </si>
  <si>
    <t>Varahe Analytics</t>
  </si>
  <si>
    <t>Abhijit Patne</t>
  </si>
  <si>
    <t>abhitpatne@gmail.com</t>
  </si>
  <si>
    <t>Wolters Kluwer Ltd (</t>
  </si>
  <si>
    <t xml:space="preserve"> Pune-Rahatani</t>
  </si>
  <si>
    <t>Harikrishna.N</t>
  </si>
  <si>
    <t>haridiyu@gmail.com</t>
  </si>
  <si>
    <t>Tata Elxsi Pvt Ltd.</t>
  </si>
  <si>
    <t>ADITYA PRAKASH SINGH</t>
  </si>
  <si>
    <t>adityaprakashsingh02@gmail.com</t>
  </si>
  <si>
    <t>FIS Global</t>
  </si>
  <si>
    <t>75 days</t>
  </si>
  <si>
    <t>Buyout option</t>
  </si>
  <si>
    <t>Lakabshetti Anand Shivasharan</t>
  </si>
  <si>
    <t>anandlakabshetti@gmail.com</t>
  </si>
  <si>
    <t>Veritas Technologies LLC(Cohesity)</t>
  </si>
  <si>
    <t xml:space="preserve">Gaurav Khandelwal                     </t>
  </si>
  <si>
    <t>divine.gaurav@gmail.com</t>
  </si>
  <si>
    <t>Team lead firmware</t>
  </si>
  <si>
    <t xml:space="preserve">Beyondsoft </t>
  </si>
  <si>
    <t>27+ 1 L JB</t>
  </si>
  <si>
    <t>Ready to join in lesser CTC as currently on bench and ready to relocate</t>
  </si>
  <si>
    <t>Shweta Patil</t>
  </si>
  <si>
    <t>shwetabhagavantjadhav@gmail.com</t>
  </si>
  <si>
    <t>Neosmart Solution</t>
  </si>
  <si>
    <t>Harshit Shrivastava</t>
  </si>
  <si>
    <t>harshitshrivastava13041996@gmail.com</t>
  </si>
  <si>
    <t>RAAP OMNICORP</t>
  </si>
  <si>
    <t>Worked before in pune, ready to relocate</t>
  </si>
  <si>
    <t>JUSTIN THOMAS</t>
  </si>
  <si>
    <t>justinthomas1992@gmail.com</t>
  </si>
  <si>
    <t>9+ yrs</t>
  </si>
  <si>
    <t>GERSON &amp; LEHRMAN GROUP</t>
  </si>
  <si>
    <t>80k/Per month</t>
  </si>
  <si>
    <t>30-40% hike</t>
  </si>
  <si>
    <t>Kerala</t>
  </si>
  <si>
    <t>PRATIK KUMAR KAR</t>
  </si>
  <si>
    <t>pratik.iitbbs@gmail.com</t>
  </si>
  <si>
    <t>Eaton India Innovation Center</t>
  </si>
  <si>
    <t>25-30% hike</t>
  </si>
  <si>
    <t>Ayesha Singh</t>
  </si>
  <si>
    <t>singh.ayesha01@gmail.com</t>
  </si>
  <si>
    <t>KPIT Technologies Ltd</t>
  </si>
  <si>
    <t>3 months</t>
  </si>
  <si>
    <t>Manhar Joshi</t>
  </si>
  <si>
    <t>manharjoshi@yahoo.com</t>
  </si>
  <si>
    <t>15.9 LPA</t>
  </si>
  <si>
    <t>1.2 LPA</t>
  </si>
  <si>
    <t>90 days negotiable till 60 days</t>
  </si>
  <si>
    <t>Saurabh Kashinath Lokare</t>
  </si>
  <si>
    <t>saurabhlokare55@gmail.com</t>
  </si>
  <si>
    <t>TSYS</t>
  </si>
  <si>
    <t>14.2 LPA</t>
  </si>
  <si>
    <t>SURYA PRAKASH SHUKLA</t>
  </si>
  <si>
    <t>suryashukla944@gmail.com</t>
  </si>
  <si>
    <t>Navnath Kalhatkar</t>
  </si>
  <si>
    <t>navnathkalhatkar7505@gmail.com</t>
  </si>
  <si>
    <t>BLUEBENZ DIGITIZATIONS</t>
  </si>
  <si>
    <t>Khursheed Alam</t>
  </si>
  <si>
    <t>skalamaaa@gmail.com</t>
  </si>
  <si>
    <t>Simulation Engineer (CAE)</t>
  </si>
  <si>
    <t>New delhi, Nativ place is Lucknow</t>
  </si>
  <si>
    <t>Amulya Gupta</t>
  </si>
  <si>
    <t>amulyaaguptaa@gmail.com</t>
  </si>
  <si>
    <t>Atlas Copco India</t>
  </si>
  <si>
    <t>90 days, have buyout option, will try for negotiation</t>
  </si>
  <si>
    <t>Screen FBA</t>
  </si>
  <si>
    <t>Amal Gore</t>
  </si>
  <si>
    <t>goreamal@gmail.com</t>
  </si>
  <si>
    <t>3 LPA</t>
  </si>
  <si>
    <t>Vilas P. Ingle</t>
  </si>
  <si>
    <t>vlasingle@gmail.com</t>
  </si>
  <si>
    <t>Faurecia India Pvt Ltd</t>
  </si>
  <si>
    <t>15.7 LPA</t>
  </si>
  <si>
    <t>ravisalgar@gmail.com</t>
  </si>
  <si>
    <t>TATA Tech</t>
  </si>
  <si>
    <t>1.5 LPA</t>
  </si>
  <si>
    <t>Devesh Baghel</t>
  </si>
  <si>
    <t>DEVESH.BAGHEL@GMAIL.COM</t>
  </si>
  <si>
    <t>2 LPA</t>
  </si>
  <si>
    <t>Sushila Junjarwad</t>
  </si>
  <si>
    <t>sushilajunjarwad@gmail.com</t>
  </si>
  <si>
    <t>Clevertech PAS PVT LTD</t>
  </si>
  <si>
    <t>6.5 L</t>
  </si>
  <si>
    <t>GGS Information Services</t>
  </si>
  <si>
    <t>Raja Kumar Yadav</t>
  </si>
  <si>
    <t>Engineer Technical Publication</t>
  </si>
  <si>
    <t>HCLTech</t>
  </si>
  <si>
    <t>7,50,000</t>
  </si>
  <si>
    <t>10,50,000</t>
  </si>
  <si>
    <t>Mahendra Patil</t>
  </si>
  <si>
    <t>patilmahendra1442000@gmail.com</t>
  </si>
  <si>
    <t>Gaowham Naidu</t>
  </si>
  <si>
    <t>lavetigowthamnaidu@gmail.com</t>
  </si>
  <si>
    <t>Pune- Hinjewadi</t>
  </si>
  <si>
    <t>90 days, ngotiable upto 30 days</t>
  </si>
  <si>
    <t>Mahesh Maruti Kendre</t>
  </si>
  <si>
    <t>legacy.shashib@gmail.com</t>
  </si>
  <si>
    <t>Sonovision Aetos Technical Services Pvt. Ltd</t>
  </si>
  <si>
    <t>8 o 10%</t>
  </si>
  <si>
    <t>Pune-Viman Nagar</t>
  </si>
  <si>
    <t>Someshwar Sutar</t>
  </si>
  <si>
    <t>sbs95976@gmail.com</t>
  </si>
  <si>
    <t>Whirlpool Corporation</t>
  </si>
  <si>
    <t>Vipul Bhagwat</t>
  </si>
  <si>
    <t>vipulbhagwat29@gmail.com</t>
  </si>
  <si>
    <t>Voltas</t>
  </si>
  <si>
    <t>SRIHARI</t>
  </si>
  <si>
    <t>srihari.hari7881@gmail.com</t>
  </si>
  <si>
    <t>Vijaywada</t>
  </si>
  <si>
    <t>Immediate, LWD 16 Dec</t>
  </si>
  <si>
    <t>SUMEDH DONGRE</t>
  </si>
  <si>
    <t>sumedhdongre27@gmail.com</t>
  </si>
  <si>
    <t>Global Logic</t>
  </si>
  <si>
    <t>16.6 LPA</t>
  </si>
  <si>
    <t>LWD 5 April</t>
  </si>
  <si>
    <t>Pooja Shimpi</t>
  </si>
  <si>
    <t>pooja96shimpi@gmail.com</t>
  </si>
  <si>
    <t>5+ years</t>
  </si>
  <si>
    <t>Persistent</t>
  </si>
  <si>
    <t>Sonam Kumari</t>
  </si>
  <si>
    <t>sonamlpu657@gmail.com</t>
  </si>
  <si>
    <t>EvonSys India Private Limited</t>
  </si>
  <si>
    <t>Jharkhand</t>
  </si>
  <si>
    <t>Pranali Rajendra Malwadkar</t>
  </si>
  <si>
    <t>malwadkarpranali1@gmail.com</t>
  </si>
  <si>
    <t>3.1 yrs</t>
  </si>
  <si>
    <t>Cognizant </t>
  </si>
  <si>
    <t>40% hike</t>
  </si>
  <si>
    <t>LWD 26 Dec</t>
  </si>
  <si>
    <t>Pruthviraj More</t>
  </si>
  <si>
    <t>pruthvirajmore8390@gmail.com</t>
  </si>
  <si>
    <t>3.3 yrs</t>
  </si>
  <si>
    <t>Jalgi Technology P</t>
  </si>
  <si>
    <t>Looking for hybrid</t>
  </si>
  <si>
    <t>Prince Keshri</t>
  </si>
  <si>
    <t>princeguptakeshri@gmail.com</t>
  </si>
  <si>
    <t>4.2 LPA</t>
  </si>
  <si>
    <t>LWD 6 May</t>
  </si>
  <si>
    <t>Have an offer 11.95 LPA</t>
  </si>
  <si>
    <t>Neha Swami</t>
  </si>
  <si>
    <t>nehaswami0695@gmail.com</t>
  </si>
  <si>
    <t>CDAC</t>
  </si>
  <si>
    <t>9.7 LPA</t>
  </si>
  <si>
    <t>Out of network</t>
  </si>
  <si>
    <t>Suraj Singh</t>
  </si>
  <si>
    <t>surajkumarsingh1053@gmail.com</t>
  </si>
  <si>
    <t>40k</t>
  </si>
  <si>
    <t>10 to 12</t>
  </si>
  <si>
    <t>LWD:8 th March 25</t>
  </si>
  <si>
    <t>No offer</t>
  </si>
  <si>
    <t>Swapnil Muneshwar</t>
  </si>
  <si>
    <t>smuneshwar00@gmail.com</t>
  </si>
  <si>
    <t>DMC software</t>
  </si>
  <si>
    <t>15 to 16</t>
  </si>
  <si>
    <t>Pratik Choudhary</t>
  </si>
  <si>
    <t>pratikc323@gmail.com</t>
  </si>
  <si>
    <t>50k-1L</t>
  </si>
  <si>
    <t>10L, Pune, WFO</t>
  </si>
  <si>
    <t>Aayushi Tiwari</t>
  </si>
  <si>
    <t>aayushi02tiwari@gmail.com</t>
  </si>
  <si>
    <t>Pune- Pashan</t>
  </si>
  <si>
    <t>90 days, Buyout</t>
  </si>
  <si>
    <t>Sujit Pataskar</t>
  </si>
  <si>
    <t>pataskar.mayur@gmail.com</t>
  </si>
  <si>
    <t>Koshan Pro</t>
  </si>
  <si>
    <t>30 days, LWD:17th March 25</t>
  </si>
  <si>
    <t>Nikhil Jagtap</t>
  </si>
  <si>
    <t>nikhiljagtap2029@gmail.com</t>
  </si>
  <si>
    <t>Sachin Kumar Singh</t>
  </si>
  <si>
    <t>infosachin2@gmail.com</t>
  </si>
  <si>
    <t>Bolansys</t>
  </si>
  <si>
    <t>Ahamdabad</t>
  </si>
  <si>
    <t>Aniket Kantilal Karanje</t>
  </si>
  <si>
    <t>aniketkaranje@hotmail.com</t>
  </si>
  <si>
    <t>Aanchal Thakur</t>
  </si>
  <si>
    <t>aanchal861@gmail.com</t>
  </si>
  <si>
    <t>IBM</t>
  </si>
  <si>
    <t>TEJAS SHILAMKAR</t>
  </si>
  <si>
    <t>8446431125/ 8208912144</t>
  </si>
  <si>
    <t>tejasshilamkar@gmail.com</t>
  </si>
  <si>
    <t>7.5yrs</t>
  </si>
  <si>
    <t>Euronit</t>
  </si>
  <si>
    <t>14.84 LPA</t>
  </si>
  <si>
    <t>Vishal Prajapati</t>
  </si>
  <si>
    <t>vrprajapati1310@gmail.com</t>
  </si>
  <si>
    <t>E Infochips</t>
  </si>
  <si>
    <t>LWD 7 March</t>
  </si>
  <si>
    <t>NIKHIL VIJAY CHAUDHARI</t>
  </si>
  <si>
    <t>nikhilchaudhari104@gmail.com</t>
  </si>
  <si>
    <t>9.5 yrs</t>
  </si>
  <si>
    <t>Siemens</t>
  </si>
  <si>
    <t>30% Hike</t>
  </si>
  <si>
    <t>Hemant Prateek</t>
  </si>
  <si>
    <t>-9699429920, +244 931726633</t>
  </si>
  <si>
    <t>1sumitjadhav@gmail.com</t>
  </si>
  <si>
    <t>Willams Brian</t>
  </si>
  <si>
    <t>Thotnr Consulting Private Limited</t>
  </si>
  <si>
    <t>Smita Kale</t>
  </si>
  <si>
    <t>smita.kale2020@gmail.com</t>
  </si>
  <si>
    <t>Honeywell Automation India Limited</t>
  </si>
  <si>
    <t>Avinash Khadbade</t>
  </si>
  <si>
    <t>9405116793 / 9370240572</t>
  </si>
  <si>
    <t>Er.RahulGhante@gmail.com</t>
  </si>
  <si>
    <t>LT Mintree</t>
  </si>
  <si>
    <t>0, LWD: 24th April 24</t>
  </si>
  <si>
    <t>Piyanka Yadav</t>
  </si>
  <si>
    <t>priyankajadhav0624@gmail.com</t>
  </si>
  <si>
    <t>HONEYWELL AUTOMATION</t>
  </si>
  <si>
    <t>Pune-Indrayaninagar</t>
  </si>
  <si>
    <t>LWD:20th Jan 25</t>
  </si>
  <si>
    <t>RATNESH RAI</t>
  </si>
  <si>
    <t xml:space="preserve">90492 39388 </t>
  </si>
  <si>
    <t xml:space="preserve"> rairatnesh403@gmail.com</t>
  </si>
  <si>
    <t>GE</t>
  </si>
  <si>
    <t>NILAY PATEL</t>
  </si>
  <si>
    <t>nilayrpatel29@gmail.com</t>
  </si>
  <si>
    <t>Einfochips</t>
  </si>
  <si>
    <t>Ahemdabad</t>
  </si>
  <si>
    <t>Nilesh Patel</t>
  </si>
  <si>
    <t>patelnileshec2010@gmail.com</t>
  </si>
  <si>
    <t>8.5 yrs</t>
  </si>
  <si>
    <t>Shilpa Sondhiya</t>
  </si>
  <si>
    <t>shilpasondhiyass615@gmail.com</t>
  </si>
  <si>
    <t>17-18 LPA</t>
  </si>
  <si>
    <t>90 days negotiable 45 days</t>
  </si>
  <si>
    <t>Not having project currently so  can join early</t>
  </si>
  <si>
    <t>Ashish Namdeo</t>
  </si>
  <si>
    <t>ashish.namdeo89@gmail.com</t>
  </si>
  <si>
    <t>7.8 yrs</t>
  </si>
  <si>
    <t>Freelancer</t>
  </si>
  <si>
    <t>22 Previous</t>
  </si>
  <si>
    <t>Bhopal</t>
  </si>
  <si>
    <t>Left previous company in 2024</t>
  </si>
  <si>
    <t>GANESH SONWANE</t>
  </si>
  <si>
    <t xml:space="preserve"> sonwaneganesh@gmail.com</t>
  </si>
  <si>
    <t>Embitel Technologies, Bangalore</t>
  </si>
  <si>
    <t xml:space="preserve">Sachin Chaudhari </t>
  </si>
  <si>
    <t>sachinchaudhari388@gmail.com</t>
  </si>
  <si>
    <t>Excellon Software Pvt.Ltd, Pune</t>
  </si>
  <si>
    <t>26 fixed</t>
  </si>
  <si>
    <t>LWD-15th March 25</t>
  </si>
  <si>
    <t>PAVAN SHEGOKAR</t>
  </si>
  <si>
    <t xml:space="preserve">pawanh5590@gmail.com </t>
  </si>
  <si>
    <t>11:11 Systems India Pvt Ltd</t>
  </si>
  <si>
    <t>28+1 L JB</t>
  </si>
  <si>
    <t>Immediate, LWD-Sept 24</t>
  </si>
  <si>
    <t xml:space="preserve">Laidoff, </t>
  </si>
  <si>
    <t>Prajakta Ingale</t>
  </si>
  <si>
    <t>prajaktafrequent@gmail.com</t>
  </si>
  <si>
    <t>16 yrs</t>
  </si>
  <si>
    <t>Ranweer Kumar</t>
  </si>
  <si>
    <t>ranweermk@gmail.com</t>
  </si>
  <si>
    <t>LWD- 11th Apr 25</t>
  </si>
  <si>
    <t>1 offer 26 Pune</t>
  </si>
  <si>
    <t>VISHAL NINA RANE</t>
  </si>
  <si>
    <t xml:space="preserve">ranevishal55@gmail.com </t>
  </si>
  <si>
    <t>HCL Technology</t>
  </si>
  <si>
    <t>Ajay Yadav</t>
  </si>
  <si>
    <t>ajysingh03@gmail.com</t>
  </si>
  <si>
    <t>Yogeshwar Wani</t>
  </si>
  <si>
    <t>9921778220/9511761889</t>
  </si>
  <si>
    <t>yogeshwar.wani@gmail.com</t>
  </si>
  <si>
    <t>Wuerth Industrial Services India Pvt Ltd</t>
  </si>
  <si>
    <t>Amir Mahat</t>
  </si>
  <si>
    <t>mahat.amir@gmail.com</t>
  </si>
  <si>
    <t>Qualis</t>
  </si>
  <si>
    <t>Pune-Kondhwa</t>
  </si>
  <si>
    <t>Asif Mujawar</t>
  </si>
  <si>
    <t>mujawarasif90@gmail.com</t>
  </si>
  <si>
    <t>NEWAGE INDUSTRIES PVT.LTD.</t>
  </si>
  <si>
    <t>Pune-Khopoli</t>
  </si>
  <si>
    <t>Neeharika Singh</t>
  </si>
  <si>
    <t>neeharikasingh97@gmail.com</t>
  </si>
  <si>
    <t>Sensata</t>
  </si>
  <si>
    <t>2 Lac</t>
  </si>
  <si>
    <t xml:space="preserve">Sreenivasula Reddy G </t>
  </si>
  <si>
    <t>gsreddy7814@gmail.com</t>
  </si>
  <si>
    <t>7.7 yrs</t>
  </si>
  <si>
    <t>1 Lacs</t>
  </si>
  <si>
    <t>20 LPA negotiable</t>
  </si>
  <si>
    <t>LWD- 2nd March 24</t>
  </si>
  <si>
    <t>1 offer in pipeline, left due to project movement</t>
  </si>
  <si>
    <t>Prashant Kumar</t>
  </si>
  <si>
    <t>prashantkumar.nist@gmail.com</t>
  </si>
  <si>
    <t>5.6 yrs</t>
  </si>
  <si>
    <t>LWD-5th Feb 25</t>
  </si>
  <si>
    <t>1 offer with 17 Lpa, for Hyderabad, DOJ-15th Feb</t>
  </si>
  <si>
    <t>Vishvajit Rajput</t>
  </si>
  <si>
    <t>vishv096@gmail.com</t>
  </si>
  <si>
    <t>Rakesh Yadav</t>
  </si>
  <si>
    <t>rakeshkmryadav89@g mail.com</t>
  </si>
  <si>
    <t>Devops Eng</t>
  </si>
  <si>
    <t>13 LPA negotiable</t>
  </si>
  <si>
    <t>ALAMKHAN BIJALI</t>
  </si>
  <si>
    <t>alambijali95@gmail.com</t>
  </si>
  <si>
    <t>5.3 yrs</t>
  </si>
  <si>
    <t>Ericsson India Global Services Pvt. Ltd</t>
  </si>
  <si>
    <t>SUMIT BATRA</t>
  </si>
  <si>
    <t>batras780@gmail.com</t>
  </si>
  <si>
    <t>3.7 yrs</t>
  </si>
  <si>
    <t>AcquireX</t>
  </si>
  <si>
    <t>LWD-25th March 25</t>
  </si>
  <si>
    <t>Vaibhav Kale</t>
  </si>
  <si>
    <t>vaibhavbkale13@gmail.com</t>
  </si>
  <si>
    <t>LtiMindtree</t>
  </si>
  <si>
    <t>6.8 LPA</t>
  </si>
  <si>
    <t>12-13 LPA</t>
  </si>
  <si>
    <t>AMIT KUMAR GUPTA</t>
  </si>
  <si>
    <t>kumaramitcts021995@gmail.com</t>
  </si>
  <si>
    <t>UST Global</t>
  </si>
  <si>
    <t xml:space="preserve">2 months </t>
  </si>
  <si>
    <t>Shubham Kokane</t>
  </si>
  <si>
    <t>shubhamkokane2@gmail.com</t>
  </si>
  <si>
    <t>LWD: 11th April 25</t>
  </si>
  <si>
    <t>Sachin Pawar</t>
  </si>
  <si>
    <t>sachinpawar6467@gmail.com</t>
  </si>
  <si>
    <t xml:space="preserve"> Capgemini Technology</t>
  </si>
  <si>
    <t>11-12 (Negotiatio)</t>
  </si>
  <si>
    <t>90 days, will try for 60 days</t>
  </si>
  <si>
    <t>Rutuja Chavan</t>
  </si>
  <si>
    <t>rutujachavan2599@gmail.com</t>
  </si>
  <si>
    <t>Offer Holding 8.5 L</t>
  </si>
  <si>
    <t>Ajinkya Bobade</t>
  </si>
  <si>
    <t>ajinkyabobade289@gmail.com</t>
  </si>
  <si>
    <t xml:space="preserve">PDB Technologies &amp; Solutions Pvt. Ltd. </t>
  </si>
  <si>
    <t>0, LWD: 17th Oct 24</t>
  </si>
  <si>
    <t>Himanshi Sharma</t>
  </si>
  <si>
    <t>himanshi2580@gmail.com</t>
  </si>
  <si>
    <t>Nagarro</t>
  </si>
  <si>
    <t>Gurugaon</t>
  </si>
  <si>
    <t>Java 8, Angular, holding an offer of 12 lpa</t>
  </si>
  <si>
    <t>MOHAMMED SAIF KHAN</t>
  </si>
  <si>
    <t>ms.kh0426@gmail.com</t>
  </si>
  <si>
    <t>LWD-March</t>
  </si>
  <si>
    <t>1 offer</t>
  </si>
  <si>
    <t>Jyoti Agrawal</t>
  </si>
  <si>
    <t>jyotigovindagrawal@gmail.com</t>
  </si>
  <si>
    <t>10+ yrs</t>
  </si>
  <si>
    <t>Tata Autocomp</t>
  </si>
  <si>
    <t>As per comp std</t>
  </si>
  <si>
    <t>Have buyout opt for 60 days</t>
  </si>
  <si>
    <t>Manoj Narsing Chakole</t>
  </si>
  <si>
    <t>manojchakole4@gmail.com</t>
  </si>
  <si>
    <t>6.10 yrs</t>
  </si>
  <si>
    <t xml:space="preserve">GS labs, Pune </t>
  </si>
  <si>
    <t>LWD-7th Jan 25</t>
  </si>
  <si>
    <t>DEVANSHI V. BHATT</t>
  </si>
  <si>
    <t>devanshibhatt2310@gmail.com</t>
  </si>
  <si>
    <t>LWD-28th Feb 25</t>
  </si>
  <si>
    <t>F2F scheduled</t>
  </si>
  <si>
    <t>Anshiki Saxena</t>
  </si>
  <si>
    <t>anshikisaxena20@gmail.com</t>
  </si>
  <si>
    <t>Intellivision</t>
  </si>
  <si>
    <t>LWD-30th Sept 24</t>
  </si>
  <si>
    <t>RITESH RAJSHEKHAR KHATAKALLE</t>
  </si>
  <si>
    <t>7.1 yrs</t>
  </si>
  <si>
    <t>Alten India</t>
  </si>
  <si>
    <t>LWD-14th Mar 25</t>
  </si>
  <si>
    <t>Sachin Pratap Kaware</t>
  </si>
  <si>
    <t xml:space="preserve">sachinkaware198@gmail.com </t>
  </si>
  <si>
    <t>OLA</t>
  </si>
  <si>
    <t>LWD-12th Mar</t>
  </si>
  <si>
    <t>1 offer with 12.5 LPA</t>
  </si>
  <si>
    <t>ANKIT GUPTA</t>
  </si>
  <si>
    <t>ankit.gupta979@gmail.com</t>
  </si>
  <si>
    <t>LTTS</t>
  </si>
  <si>
    <t>Mysur</t>
  </si>
  <si>
    <t>Darshan Hole</t>
  </si>
  <si>
    <t>hole.darshan@outlook.com</t>
  </si>
  <si>
    <t>5.8 yrs</t>
  </si>
  <si>
    <t>Qinecsa</t>
  </si>
  <si>
    <t>LWD-7th Aug 24</t>
  </si>
  <si>
    <t>Left due to personal reasn</t>
  </si>
  <si>
    <t>Vasim Ramjan Nadaf</t>
  </si>
  <si>
    <t>vrnadaf@gmail.com</t>
  </si>
  <si>
    <t>Mahindra and Mahindra</t>
  </si>
  <si>
    <t>Hyderbad</t>
  </si>
  <si>
    <t xml:space="preserve">0, </t>
  </si>
  <si>
    <t>relocation is possible</t>
  </si>
  <si>
    <t>Sneha Dilip Gangurde</t>
  </si>
  <si>
    <t>gangurdesneha08@gmail.com</t>
  </si>
  <si>
    <t>Capgemini Pvt</t>
  </si>
  <si>
    <t>90 days, (45 to 60 days buyout option)</t>
  </si>
  <si>
    <t>Akash Patil</t>
  </si>
  <si>
    <t>patilakash229@gmail.com</t>
  </si>
  <si>
    <t xml:space="preserve">Capgemini </t>
  </si>
  <si>
    <t>11 (Negotiable 10 L)</t>
  </si>
  <si>
    <t>Abhishek Singh Sikarwar</t>
  </si>
  <si>
    <t>Abhisheksikarwar007@gmail.com</t>
  </si>
  <si>
    <t>Techrefic Technology pvt.lmt</t>
  </si>
  <si>
    <t>Offer holding 9 L, Pune, DOJ: yet to be confirmed</t>
  </si>
  <si>
    <t>V Swapna</t>
  </si>
  <si>
    <t>swapnasir1423@gmail.com</t>
  </si>
  <si>
    <t>People Tech Group Inc</t>
  </si>
  <si>
    <t>LWD-Nov 6th 24</t>
  </si>
  <si>
    <t>GURUCHARAN VASANT KHARE</t>
  </si>
  <si>
    <t>kharegurucharan@gmail.com</t>
  </si>
  <si>
    <t>L&amp;T Technology Services</t>
  </si>
  <si>
    <t>LWD-3rd Jan 25</t>
  </si>
  <si>
    <t>1 offer 16 for Hyd, not considering</t>
  </si>
  <si>
    <t>Shivam Shaw</t>
  </si>
  <si>
    <t>shivamshaw50666@gmail.com</t>
  </si>
  <si>
    <t>SONAL UTTAM AWARE</t>
  </si>
  <si>
    <t>awaresonal44@gmail.com</t>
  </si>
  <si>
    <t>Previous- WESTERN DIGITAL</t>
  </si>
  <si>
    <t>LWD-10th feb 23</t>
  </si>
  <si>
    <t>Was on maternity break</t>
  </si>
  <si>
    <t>S PADMAVATHI</t>
  </si>
  <si>
    <t>paddu0120@gmail.com</t>
  </si>
  <si>
    <t>DANLAW TECHNOLOGIES INDIA LTD</t>
  </si>
  <si>
    <t>1 offer 18 lpa</t>
  </si>
  <si>
    <t>Sanjeev Pradhan</t>
  </si>
  <si>
    <t>sanjeevpr7@gmail.com</t>
  </si>
  <si>
    <t>Magna International</t>
  </si>
  <si>
    <t>90 days Negotiable</t>
  </si>
  <si>
    <t> 8378024668 </t>
  </si>
  <si>
    <t> mayuri.wid2800@gmail.com </t>
  </si>
  <si>
    <t> Infosys Ltd </t>
  </si>
  <si>
    <t>Pritamkumar Kadlag</t>
  </si>
  <si>
    <t> 8390373904 </t>
  </si>
  <si>
    <t> pritamkadlag@gmail.com </t>
  </si>
  <si>
    <t>ICE Mortgage Tecnology (ELLIE MAE)</t>
  </si>
  <si>
    <t>L1 scheduled</t>
  </si>
  <si>
    <t>Parthik Shah</t>
  </si>
  <si>
    <t>parthik1999@gmail.com</t>
  </si>
  <si>
    <t>45k</t>
  </si>
  <si>
    <t>15 to 17</t>
  </si>
  <si>
    <t>LWD:20th May 25</t>
  </si>
  <si>
    <t>Ashish Sahu</t>
  </si>
  <si>
    <t>its.sahuashish@gmail.com</t>
  </si>
  <si>
    <t>Avinash Kale</t>
  </si>
  <si>
    <t>avinashkale2717@gmail.com</t>
  </si>
  <si>
    <t>30  days</t>
  </si>
  <si>
    <t>Shubham Bharati</t>
  </si>
  <si>
    <t>shubhambharati30@gmail.com</t>
  </si>
  <si>
    <t>Aniket Arvind Khule</t>
  </si>
  <si>
    <t>aniketkhule7@gmail.com</t>
  </si>
  <si>
    <t>Raj Process Equipment’s &amp; Systems Pvt Ltd.</t>
  </si>
  <si>
    <t>Ajit P Mulik</t>
  </si>
  <si>
    <t>ajitmulik3776@gmail.com</t>
  </si>
  <si>
    <t>Siddharth Shivsharan Gunjoti</t>
  </si>
  <si>
    <t>siddharthgunjoti@gmail.com</t>
  </si>
  <si>
    <t>Pune-Shivaji Nagar</t>
  </si>
  <si>
    <t>Dnyaneshwar Bhagwat Kshirsagar</t>
  </si>
  <si>
    <t>-kdnyaneshwar2000@gmail.com</t>
  </si>
  <si>
    <t>8 to9</t>
  </si>
  <si>
    <t>Pune-Margarpatta</t>
  </si>
  <si>
    <t>Sayeed Mohammadi</t>
  </si>
  <si>
    <t>Saeedmhmdi2000@gmail.com</t>
  </si>
  <si>
    <t>ANKIT
KUMAR
MISHR</t>
  </si>
  <si>
    <t>7007 57365 1,+91 8115 84822 6</t>
  </si>
  <si>
    <t>ankitmishra610@gmail.com</t>
  </si>
  <si>
    <t>Neha Dixit</t>
  </si>
  <si>
    <t>9503550926, 919423504795</t>
  </si>
  <si>
    <t>kneha26@gmail.com</t>
  </si>
  <si>
    <t>Sugali Saikumar Naik</t>
  </si>
  <si>
    <t>saikumarn045@gmail.com</t>
  </si>
  <si>
    <t>Shivam Agrawal</t>
  </si>
  <si>
    <t>shivam.agrawal1501@gmail.com</t>
  </si>
  <si>
    <t>23 to 24 (negotiable)</t>
  </si>
  <si>
    <t>90 days, 30 days</t>
  </si>
  <si>
    <t>Shivam Pandey</t>
  </si>
  <si>
    <t>shivampandeyhcp@gmail.com</t>
  </si>
  <si>
    <t>Himatkumar Purohit</t>
  </si>
  <si>
    <t>himatpurohit1607@gmail.com</t>
  </si>
  <si>
    <t>Rohit Raikwal</t>
  </si>
  <si>
    <t>rohitraikwal@gmail.com</t>
  </si>
  <si>
    <t>Xebia IT Architects</t>
  </si>
  <si>
    <t>0, Immediate joiner</t>
  </si>
  <si>
    <t>Omkar Dige</t>
  </si>
  <si>
    <t>8208068459/ +918600170980</t>
  </si>
  <si>
    <t>omkardige14@gmail.com</t>
  </si>
  <si>
    <t>80k</t>
  </si>
  <si>
    <t>30 to 60 days</t>
  </si>
  <si>
    <t>Vrushali Medhe</t>
  </si>
  <si>
    <t>vrushalimedhe614@gmail.com</t>
  </si>
  <si>
    <t>Accolade Electronics Pvt.Ltd</t>
  </si>
  <si>
    <t>Shekhar Pawar</t>
  </si>
  <si>
    <t>shekharpawarbe@gmail.com</t>
  </si>
  <si>
    <t>Global Tech Info solutions Pvt Ltd.</t>
  </si>
  <si>
    <t>Pune-Karve Nagar</t>
  </si>
  <si>
    <t>Karnam dhanunjay rao</t>
  </si>
  <si>
    <t>karnamdhanunjay@gmail.com</t>
  </si>
  <si>
    <t>Sciemetric technologies India Pvt Ltd</t>
  </si>
  <si>
    <t>9 to 10</t>
  </si>
  <si>
    <t>Pune-Warje</t>
  </si>
  <si>
    <t>Prawej Alam</t>
  </si>
  <si>
    <t>alamprawej7@gmail.com</t>
  </si>
  <si>
    <t>Jabil</t>
  </si>
  <si>
    <t>Pune-Ranjangaon</t>
  </si>
  <si>
    <t>LWD:12th Aug 24, Immedidate joiner</t>
  </si>
  <si>
    <t>K Mahendra babu</t>
  </si>
  <si>
    <t>mahendrababukeerthi@gmail.com</t>
  </si>
  <si>
    <t>Pune-Indira Nagar</t>
  </si>
  <si>
    <t>LWD: 31st March 25</t>
  </si>
  <si>
    <t>Prashant Gadge</t>
  </si>
  <si>
    <t>prashantgadage9011@gmail.com</t>
  </si>
  <si>
    <t>8 to 10</t>
  </si>
  <si>
    <t>Pune-Karve nagar</t>
  </si>
  <si>
    <t>Sulthan</t>
  </si>
  <si>
    <t>shaiksulthan103@gmail.com</t>
  </si>
  <si>
    <t>Pune-Chinchwad</t>
  </si>
  <si>
    <t>LWD: 3 March 25, Immediate Joiner</t>
  </si>
  <si>
    <r>
      <t>Shubham Gopal Ingle</t>
    </r>
    <r>
      <rPr>
        <b/>
        <sz val="15"/>
        <color rgb="FF000000"/>
        <rFont val="Times New Roman"/>
        <family val="1"/>
      </rPr>
      <t xml:space="preserve"> </t>
    </r>
    <r>
      <rPr>
        <b/>
        <sz val="15"/>
        <color rgb="FF000000"/>
        <rFont val="Arial"/>
        <family val="2"/>
      </rPr>
      <t xml:space="preserve"> </t>
    </r>
    <r>
      <rPr>
        <b/>
        <sz val="15"/>
        <color rgb="FF000000"/>
        <rFont val="Times New Roman"/>
        <family val="1"/>
      </rPr>
      <t xml:space="preserve">                           </t>
    </r>
  </si>
  <si>
    <t>shubhamingle9130@gmail.com</t>
  </si>
  <si>
    <t>Venkata Rajulapati</t>
  </si>
  <si>
    <t>venurajulapati2@gmail.com</t>
  </si>
  <si>
    <t>Ramanjaneya Reddy</t>
  </si>
  <si>
    <t>ramanjaneya.reddy963@gmail.com</t>
  </si>
  <si>
    <t>Gouri Patre</t>
  </si>
  <si>
    <t>8308722207, 9518316548</t>
  </si>
  <si>
    <t>gouritele14@gmail.com</t>
  </si>
  <si>
    <t>Nikhil Balasaheb Kale</t>
  </si>
  <si>
    <t>nikksskale@gmail.com</t>
  </si>
  <si>
    <t>Vaishali Naga Kurella</t>
  </si>
  <si>
    <t>vaishalikurella@gmail.com</t>
  </si>
  <si>
    <t>LWD: 28th May 25</t>
  </si>
  <si>
    <t>Anagha Ramane </t>
  </si>
  <si>
    <t>ramaneanagha10@gmail.com</t>
  </si>
  <si>
    <t>Sr Engineer Devops Firmware</t>
  </si>
  <si>
    <t>Starkenn Technologies Ltd</t>
  </si>
  <si>
    <t>17.16 LPA</t>
  </si>
  <si>
    <t>23LPA</t>
  </si>
  <si>
    <t>60Days</t>
  </si>
  <si>
    <t>Vaibhav Pramod Dhobe</t>
  </si>
  <si>
    <t>dhobevaibhav@gmail.com</t>
  </si>
  <si>
    <t> Veritas Technologies Pvt. Ltd.</t>
  </si>
  <si>
    <t>16LPA</t>
  </si>
  <si>
    <t>open to discuss</t>
  </si>
  <si>
    <t>Narendra Sonawane</t>
  </si>
  <si>
    <t>narendrasonawane001@gmail.com</t>
  </si>
  <si>
    <t>Signify Innovations India Ltd</t>
  </si>
  <si>
    <t>17.5LPA (10% variable)</t>
  </si>
  <si>
    <t>25LPA</t>
  </si>
  <si>
    <t>90Days(Negotiable)</t>
  </si>
  <si>
    <t>Mahesh Achyut Bhintade</t>
  </si>
  <si>
    <t>maheshbhintade19@gmail.com</t>
  </si>
  <si>
    <t>Production Supervisor</t>
  </si>
  <si>
    <t>Shashikant Phartale</t>
  </si>
  <si>
    <t>10.5Years</t>
  </si>
  <si>
    <t>Emerson Process Management Pvt Ltd.</t>
  </si>
  <si>
    <t>8.80LPA</t>
  </si>
  <si>
    <t>12LPA</t>
  </si>
  <si>
    <t>90days(Negotiable to 30-45days)</t>
  </si>
  <si>
    <t>Anil Varade</t>
  </si>
  <si>
    <t>anilvarade55@gmail.com</t>
  </si>
  <si>
    <t>10Years</t>
  </si>
  <si>
    <t>Tata Autocomp GY Batteries Pvt Ltd</t>
  </si>
  <si>
    <t>6.5LPA</t>
  </si>
  <si>
    <t>9.1LPA</t>
  </si>
  <si>
    <t>Akhilesh Bharat Kale</t>
  </si>
  <si>
    <t>8652537061/9768028287</t>
  </si>
  <si>
    <t>Akhileshkale737@gmail.com</t>
  </si>
  <si>
    <t>Hyosung T&amp;D India Pvt ltd</t>
  </si>
  <si>
    <t>3.8LPA</t>
  </si>
  <si>
    <t>5LPA</t>
  </si>
  <si>
    <t xml:space="preserve">Sanket Tidke </t>
  </si>
  <si>
    <t>sankettidke17@gmail.com</t>
  </si>
  <si>
    <t>4Years</t>
  </si>
  <si>
    <t xml:space="preserve">Solar </t>
  </si>
  <si>
    <t>2.80 LPA</t>
  </si>
  <si>
    <t>4.5LPA</t>
  </si>
  <si>
    <t>Akshay Choudhary</t>
  </si>
  <si>
    <t xml:space="preserve"> akshaychoudhari1997@gmail.com</t>
  </si>
  <si>
    <t>Jabil Circuit India Pvt Ltd</t>
  </si>
  <si>
    <t>5.6LPA</t>
  </si>
  <si>
    <t>7LPA</t>
  </si>
  <si>
    <t>31 Days</t>
  </si>
  <si>
    <t>Kali Charan Mahto</t>
  </si>
  <si>
    <t>kcmahto337@gmail.com</t>
  </si>
  <si>
    <t>Mahindra &amp; Mahindra</t>
  </si>
  <si>
    <t>3.47LPA</t>
  </si>
  <si>
    <t>32 Days</t>
  </si>
  <si>
    <t>Pramod Suresh Takale</t>
  </si>
  <si>
    <t>pramodtakle62@gmail.com</t>
  </si>
  <si>
    <t>5Years</t>
  </si>
  <si>
    <t>Ashra Consultants Pvt.Ltd</t>
  </si>
  <si>
    <t>3.16LPA</t>
  </si>
  <si>
    <t>4.2LPA</t>
  </si>
  <si>
    <t>33 Days</t>
  </si>
  <si>
    <t>Akhil Ahmed ShaikhSaheb Shaikh</t>
  </si>
  <si>
    <t>shaikh.akhilahmed2186@gmail.com</t>
  </si>
  <si>
    <t>HR Ops</t>
  </si>
  <si>
    <t>ESSEM INDUSTRIES PVT LTD</t>
  </si>
  <si>
    <t>6.8LPA</t>
  </si>
  <si>
    <t>30%hike</t>
  </si>
  <si>
    <t>45Days</t>
  </si>
  <si>
    <t>AJAY MOHAN PATOLE</t>
  </si>
  <si>
    <t>ajaypatole1717@gmail.com</t>
  </si>
  <si>
    <t>6.5Years</t>
  </si>
  <si>
    <t>Maharashtra Enviro Power</t>
  </si>
  <si>
    <t>5.75LPA</t>
  </si>
  <si>
    <t>30Days</t>
  </si>
  <si>
    <t>Test Engineer</t>
  </si>
  <si>
    <t>4.4 LPA</t>
  </si>
  <si>
    <t>Ganesh Maharanawar</t>
  </si>
  <si>
    <t>ganeshmaharanawar@gmail.com</t>
  </si>
  <si>
    <t xml:space="preserve">Principal Engineer - Java </t>
  </si>
  <si>
    <t>3.6yrs</t>
  </si>
  <si>
    <t>6.40LPA</t>
  </si>
  <si>
    <t>10LPA</t>
  </si>
  <si>
    <t>PRATIK JAID</t>
  </si>
  <si>
    <t>patikjaid19@gmail.com</t>
  </si>
  <si>
    <t>6yrs</t>
  </si>
  <si>
    <t>22LPA</t>
  </si>
  <si>
    <t>27LPA</t>
  </si>
  <si>
    <t>90Days</t>
  </si>
  <si>
    <t>Syam Doddi</t>
  </si>
  <si>
    <t>naidusyamdoddi@gmail.com</t>
  </si>
  <si>
    <t>5.6yrs</t>
  </si>
  <si>
    <t>Nabla Infotech Private Limited</t>
  </si>
  <si>
    <t>14LPA</t>
  </si>
  <si>
    <t>20LPA</t>
  </si>
  <si>
    <t>Vishakhapatnam</t>
  </si>
  <si>
    <t>SNP-LWD- June 1st week</t>
  </si>
  <si>
    <t xml:space="preserve">offer in hand - 20LPA from Hyderabad </t>
  </si>
  <si>
    <t>Ankita Khanderao Jadhav</t>
  </si>
  <si>
    <t>jadhav.ankitaa98@gmail.com</t>
  </si>
  <si>
    <t>Grid technology</t>
  </si>
  <si>
    <t>LWD 4 March'</t>
  </si>
  <si>
    <t>NSM Urban Modeling CyberInfrastructur</t>
  </si>
  <si>
    <t>Akash Subhash Shevgan</t>
  </si>
  <si>
    <t>akashshevgan11@gmail.com</t>
  </si>
  <si>
    <t>Pune- Wakad</t>
  </si>
  <si>
    <t>Utkarsh Joshi</t>
  </si>
  <si>
    <t>joshiutkarsh080@gmail.com</t>
  </si>
  <si>
    <t>Pune-Wadgaon</t>
  </si>
  <si>
    <t>LWD:24th April 25</t>
  </si>
  <si>
    <t>offer holding 13.5L fixed, Pune, hybrid</t>
  </si>
  <si>
    <t>Saurav Muni</t>
  </si>
  <si>
    <t>ssourav387@gmail.com</t>
  </si>
  <si>
    <t>10 to 11</t>
  </si>
  <si>
    <t>LWD: 20th April 25</t>
  </si>
  <si>
    <t xml:space="preserve">Porassingh Patle </t>
  </si>
  <si>
    <t>poraspatle@gmail.com</t>
  </si>
  <si>
    <t>Songpoem Labs</t>
  </si>
  <si>
    <t>Pune-Tatawade</t>
  </si>
  <si>
    <t>15 days to 30 days</t>
  </si>
  <si>
    <r>
      <t xml:space="preserve">Pallavi B Sandokar </t>
    </r>
    <r>
      <rPr>
        <sz val="11"/>
        <color rgb="FF000000"/>
        <rFont val="Calibri"/>
        <family val="2"/>
      </rPr>
      <t xml:space="preserve">  </t>
    </r>
  </si>
  <si>
    <t>9021750162, 9823967989</t>
  </si>
  <si>
    <r>
      <t xml:space="preserve">pallavisandokar@gmail.com </t>
    </r>
    <r>
      <rPr>
        <sz val="11"/>
        <color rgb="FF000000"/>
        <rFont val="Calibri"/>
        <family val="2"/>
      </rPr>
      <t xml:space="preserve">  </t>
    </r>
  </si>
  <si>
    <t xml:space="preserve">Crescenza Consulting Group </t>
  </si>
  <si>
    <t>Chandrapur</t>
  </si>
  <si>
    <t>60 days, Buyout</t>
  </si>
  <si>
    <t>Veluru Gnanadeep</t>
  </si>
  <si>
    <t>velurugnanadeep@gmail.com</t>
  </si>
  <si>
    <t>11 to 12, (negotiable)</t>
  </si>
  <si>
    <t>90 days, buyout option for 30 days</t>
  </si>
  <si>
    <t>Ranjith N</t>
  </si>
  <si>
    <t>noreplymendix54@gmail.com</t>
  </si>
  <si>
    <t>Prakhar Pincha</t>
  </si>
  <si>
    <t>prakharpincha002@gmail.com</t>
  </si>
  <si>
    <t>Omnipresent</t>
  </si>
  <si>
    <t>good with data structure, algorithum</t>
  </si>
  <si>
    <t>Anmol Jain</t>
  </si>
  <si>
    <t>mahaviranmol97@gmail.com</t>
  </si>
  <si>
    <t>PWC</t>
  </si>
  <si>
    <t>2L</t>
  </si>
  <si>
    <t>Jabalpur</t>
  </si>
  <si>
    <t>LWD: 29th May 25</t>
  </si>
  <si>
    <t>offer holding 18L, Pune, Hybrid</t>
  </si>
  <si>
    <t>Manul Gupta</t>
  </si>
  <si>
    <t>manulgupta16@gmail.com</t>
  </si>
  <si>
    <t>Prathamesh Bolade</t>
  </si>
  <si>
    <t>prathameshbolade@gmail.com</t>
  </si>
  <si>
    <t>PwC</t>
  </si>
  <si>
    <t>1.5 L</t>
  </si>
  <si>
    <t>offer holding 19 L, Mumbai, hybrid</t>
  </si>
  <si>
    <t>Rejected</t>
  </si>
  <si>
    <t>Akshay Wajge</t>
  </si>
  <si>
    <t>akshaywajge56@gmail.com</t>
  </si>
  <si>
    <t>Tata Auto Comp GY Battery Ltd</t>
  </si>
  <si>
    <t>4LPA</t>
  </si>
  <si>
    <t>5.2LPA</t>
  </si>
  <si>
    <t>30days</t>
  </si>
  <si>
    <t> Arjun Nandgude</t>
  </si>
  <si>
    <t>arjunnandgude5@gmail.com</t>
  </si>
  <si>
    <t>Haier Appliances India Ltd</t>
  </si>
  <si>
    <t>6.76LPA</t>
  </si>
  <si>
    <t>Anirban Saha</t>
  </si>
  <si>
    <t>anirbansahapapai@gmail.com</t>
  </si>
  <si>
    <t>Honeywell Automation Ltd</t>
  </si>
  <si>
    <t>17LPA</t>
  </si>
  <si>
    <t>60days</t>
  </si>
  <si>
    <t>Mahesh Mungase</t>
  </si>
  <si>
    <t>Mahesh.mungase1@gmail.com</t>
  </si>
  <si>
    <t> Experis IT Pvt Ltd</t>
  </si>
  <si>
    <t>13.5LPA</t>
  </si>
  <si>
    <t>Biswanath Padhy</t>
  </si>
  <si>
    <t>biswanath.qa@gmail.com</t>
  </si>
  <si>
    <t>Jetsynthesys Pvt Ltd</t>
  </si>
  <si>
    <t>15.6LPA</t>
  </si>
  <si>
    <t>18LPA</t>
  </si>
  <si>
    <t>60days(Negotiable)</t>
  </si>
  <si>
    <t>Bajarang Joshilkar</t>
  </si>
  <si>
    <t>bajarang981@gmail.com</t>
  </si>
  <si>
    <t>Brillio </t>
  </si>
  <si>
    <t>16.7LPA</t>
  </si>
  <si>
    <t>24LPA(Negotiable)</t>
  </si>
  <si>
    <t>immedaite</t>
  </si>
  <si>
    <t>Arvind Kamandar</t>
  </si>
  <si>
    <t>kamandararvind12@gmail.com</t>
  </si>
  <si>
    <t>SCM Renom Energy Services Pvt Ltd</t>
  </si>
  <si>
    <t>6.45LPA</t>
  </si>
  <si>
    <t>7.5LPA</t>
  </si>
  <si>
    <t>Shrikar Patil</t>
  </si>
  <si>
    <t>shreepatil170060@gmail.com</t>
  </si>
  <si>
    <t>Suzlon Energy</t>
  </si>
  <si>
    <t>8LPA</t>
  </si>
  <si>
    <t>Vishal  Patil</t>
  </si>
  <si>
    <t>vishaltakle77@gmail.com</t>
  </si>
  <si>
    <t>Green En Solution Pvt Ltd.    </t>
  </si>
  <si>
    <t>8.50LPA</t>
  </si>
  <si>
    <t>11.05(Negotiable)</t>
  </si>
  <si>
    <t>30days(Negotiable)</t>
  </si>
  <si>
    <t>Sony Agrawal</t>
  </si>
  <si>
    <t>sonuagrawal0798@gmail.com</t>
  </si>
  <si>
    <t>Full Stack Java</t>
  </si>
  <si>
    <t>QMetry </t>
  </si>
  <si>
    <t>Ahmedabad</t>
  </si>
  <si>
    <t>Previously worked in pune</t>
  </si>
  <si>
    <t>Dnyaneshwar Bhadane</t>
  </si>
  <si>
    <t>bhadanednyaneshwar11@gmail.com</t>
  </si>
  <si>
    <t>Wishtree </t>
  </si>
  <si>
    <t>Pune-Pimpri</t>
  </si>
  <si>
    <t>Nirmal Vaskale</t>
  </si>
  <si>
    <t>NirmalVaskale1998@gmail.com</t>
  </si>
  <si>
    <t>Xebia</t>
  </si>
  <si>
    <t>LWD:30th April 25</t>
  </si>
  <si>
    <t>Dhanushant</t>
  </si>
  <si>
    <t>Dhanushant0029@gmail.com</t>
  </si>
  <si>
    <t>Jaipur</t>
  </si>
  <si>
    <t>Komal Chandolukar</t>
  </si>
  <si>
    <t>chkomal1503@gmail.com</t>
  </si>
  <si>
    <t>LARSEN AND TOUBRO HEAVY ENGINEERING</t>
  </si>
  <si>
    <t>Surat</t>
  </si>
  <si>
    <t>satyam anil jaju</t>
  </si>
  <si>
    <t>satyamjaju77@gmail.com</t>
  </si>
  <si>
    <t xml:space="preserve">Softra Systems Pvt Ltd  </t>
  </si>
  <si>
    <t>Aditya Vinod Bhat</t>
  </si>
  <si>
    <t>PLM INDISHTECH</t>
  </si>
  <si>
    <t>Vinayak Shere</t>
  </si>
  <si>
    <t>svinayak21@gmail.com</t>
  </si>
  <si>
    <t>Pune- Ravet</t>
  </si>
  <si>
    <t>Vaishali N Natikar</t>
  </si>
  <si>
    <t>vaishali92aero@gmail.com</t>
  </si>
  <si>
    <t>Ingersoll Rand,</t>
  </si>
  <si>
    <t>Mukund Pawar</t>
  </si>
  <si>
    <t>mukundpawar7767@gmail.com</t>
  </si>
  <si>
    <t>JCB</t>
  </si>
  <si>
    <t>Pune-Mundhwa</t>
  </si>
  <si>
    <t>Utkarsh Vishwasrao Patil</t>
  </si>
  <si>
    <t>Pune-Karwenar</t>
  </si>
  <si>
    <t>Yogesh nanabhau salake</t>
  </si>
  <si>
    <t>yogesh.salke@outlook.com</t>
  </si>
  <si>
    <t>Durgesh P</t>
  </si>
  <si>
    <t>Matel Motion&amp; Energy Sol. Pvt ltd</t>
  </si>
  <si>
    <t>9.84LPA</t>
  </si>
  <si>
    <t>13LPA</t>
  </si>
  <si>
    <t>60Days(Negotiable)</t>
  </si>
  <si>
    <t>Sachin  shripannavar  </t>
  </si>
  <si>
    <t>8446625582/8956375834</t>
  </si>
  <si>
    <t>shripannavarsachin@gmail.com</t>
  </si>
  <si>
    <t>Santosh h. Pachpute</t>
  </si>
  <si>
    <t>8087909226 / 9325218634</t>
  </si>
  <si>
    <t>santosh.hpachpute@gmail.com</t>
  </si>
  <si>
    <t xml:space="preserve">T. K. Elevator India Ltd </t>
  </si>
  <si>
    <t>Pravin Vitthal Kumbhar</t>
  </si>
  <si>
    <t>pravinkumbhar003@gmail.com</t>
  </si>
  <si>
    <t>Thermax Bioenergy Solutions Private Limited</t>
  </si>
  <si>
    <t>9.75LPA</t>
  </si>
  <si>
    <t>90days(30days Negotiable)</t>
  </si>
  <si>
    <t>CTC Range</t>
  </si>
  <si>
    <t>500000-1000000</t>
  </si>
  <si>
    <t>Opening Fee</t>
  </si>
  <si>
    <t>1001000-1500000</t>
  </si>
  <si>
    <t>1501000-2000000</t>
  </si>
  <si>
    <t>2001000-2500000</t>
  </si>
  <si>
    <t>2501000-3500000</t>
  </si>
  <si>
    <t>Closing Fee</t>
  </si>
  <si>
    <t>Source</t>
  </si>
  <si>
    <t>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</si>
</sst>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32">
    <font>
      <sz val="11"/>
      <color theme="1"/>
      <name val="Aptos Narrow"/>
      <family val="2"/>
      <scheme val="minor"/>
    </font>
    <font>
      <b/>
      <sz val="11"/>
      <color theme="1"/>
      <name val="Aptos Narrow"/>
      <family val="2"/>
      <scheme val="minor"/>
    </font>
    <font>
      <sz val="11"/>
      <color theme="1"/>
      <name val="Aptos Narrow"/>
      <family val="2"/>
      <scheme val="minor"/>
    </font>
    <font>
      <b/>
      <sz val="11"/>
      <color theme="0"/>
      <name val="Aptos Narrow"/>
      <family val="2"/>
      <scheme val="minor"/>
    </font>
    <font>
      <sz val="11"/>
      <color rgb="FF000000"/>
      <name val="Calibri"/>
      <family val="2"/>
    </font>
    <font>
      <u/>
      <sz val="11"/>
      <color theme="10"/>
      <name val="Aptos Narrow"/>
      <family val="2"/>
      <scheme val="minor"/>
    </font>
    <font>
      <sz val="9"/>
      <color theme="1"/>
      <name val="Calibri (Body)"/>
    </font>
    <font>
      <sz val="9"/>
      <name val="Calibri (Body)"/>
    </font>
    <font>
      <sz val="11"/>
      <color rgb="FF000000"/>
      <name val="Aptos Narrow"/>
      <family val="2"/>
    </font>
    <font>
      <b/>
      <sz val="15"/>
      <color rgb="FF000000"/>
      <name val="Times New Roman"/>
      <family val="1"/>
    </font>
    <font>
      <b/>
      <sz val="15"/>
      <color rgb="FF000000"/>
      <name val="Arial"/>
      <family val="2"/>
    </font>
    <font>
      <b/>
      <sz val="10"/>
      <color theme="1"/>
      <name val="Calibri"/>
      <family val="2"/>
    </font>
    <font>
      <b/>
      <sz val="10"/>
      <color theme="0"/>
      <name val="Calibri"/>
      <family val="2"/>
    </font>
    <font>
      <sz val="12"/>
      <color rgb="FF000000"/>
      <name val="Times New Roman"/>
      <family val="1"/>
    </font>
    <font>
      <sz val="11"/>
      <color rgb="FF000000"/>
      <name val="Times New Roman"/>
      <family val="1"/>
    </font>
    <font>
      <sz val="11"/>
      <color rgb="FF010C1F"/>
      <name val="Arial"/>
      <family val="2"/>
    </font>
    <font>
      <sz val="11"/>
      <color rgb="FF000000"/>
      <name val="Aptos Narrow"/>
      <family val="2"/>
      <scheme val="minor"/>
    </font>
    <font>
      <sz val="9"/>
      <color theme="1"/>
      <name val="Arial"/>
      <family val="2"/>
    </font>
    <font>
      <sz val="9"/>
      <color rgb="FF091E42"/>
      <name val="Arial"/>
      <family val="2"/>
    </font>
    <font>
      <sz val="9"/>
      <color rgb="FF010C1F"/>
      <name val="Arial"/>
      <family val="2"/>
    </font>
    <font>
      <sz val="12"/>
      <color rgb="FF000000"/>
      <name val="Calibri"/>
      <family val="2"/>
    </font>
    <font>
      <sz val="10.5"/>
      <color theme="1"/>
      <name val="Calibri"/>
      <family val="2"/>
    </font>
    <font>
      <sz val="8"/>
      <name val="Aptos Narrow"/>
      <family val="2"/>
      <scheme val="minor"/>
    </font>
    <font>
      <sz val="11"/>
      <name val="Calibri (Body)"/>
    </font>
    <font>
      <sz val="11"/>
      <name val="Aptos Narrow"/>
      <family val="2"/>
      <scheme val="minor"/>
    </font>
    <font>
      <sz val="11"/>
      <name val="Consolas"/>
      <family val="3"/>
    </font>
    <font>
      <sz val="11"/>
      <name val="Times New Roman"/>
      <family val="1"/>
    </font>
    <font>
      <sz val="11"/>
      <color rgb="FF242424"/>
      <name val="Aptos Narrow"/>
      <family val="2"/>
    </font>
    <font>
      <sz val="11"/>
      <name val="Aptos Narrow"/>
      <family val="2"/>
    </font>
    <font>
      <b/>
      <sz val="11"/>
      <color theme="1"/>
      <name val="Calibri"/>
      <family val="2"/>
    </font>
    <font>
      <sz val="11"/>
      <color theme="1"/>
      <name val="Calibri"/>
      <family val="2"/>
    </font>
    <font>
      <sz val="11"/>
      <color rgb="FF242424"/>
      <name val="Aptos Narrow"/>
      <family val="2"/>
    </font>
  </fonts>
  <fills count="9">
    <fill>
      <patternFill patternType="none"/>
    </fill>
    <fill>
      <patternFill patternType="gray125"/>
    </fill>
    <fill>
      <patternFill patternType="solid">
        <fgColor theme="3" tint="0.89999084444715716"/>
        <bgColor indexed="64"/>
      </patternFill>
    </fill>
    <fill>
      <patternFill patternType="solid">
        <fgColor rgb="FFFFFF00"/>
        <bgColor indexed="64"/>
      </patternFill>
    </fill>
    <fill>
      <patternFill patternType="solid">
        <fgColor rgb="FFFFC000"/>
        <bgColor indexed="64"/>
      </patternFill>
    </fill>
    <fill>
      <patternFill patternType="solid">
        <fgColor theme="4"/>
        <bgColor indexed="64"/>
      </patternFill>
    </fill>
    <fill>
      <patternFill patternType="solid">
        <fgColor theme="0"/>
        <bgColor indexed="64"/>
      </patternFill>
    </fill>
    <fill>
      <patternFill patternType="solid">
        <fgColor rgb="FFFFFFFF"/>
        <bgColor rgb="FF000000"/>
      </patternFill>
    </fill>
    <fill>
      <patternFill patternType="solid">
        <fgColor rgb="FFFFFFFF"/>
        <bgColor indexed="64"/>
      </patternFill>
    </fill>
  </fills>
  <borders count="18">
    <border>
      <left/>
      <right/>
      <top/>
      <bottom/>
      <diagonal/>
    </border>
    <border>
      <left style="thin">
        <color indexed="64"/>
      </left>
      <right style="thin">
        <color indexed="64"/>
      </right>
      <top style="thin">
        <color indexed="64"/>
      </top>
      <bottom style="thin">
        <color indexed="64"/>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style="thin">
        <color indexed="64"/>
      </left>
      <right/>
      <top style="thin">
        <color indexed="64"/>
      </top>
      <bottom style="thin">
        <color indexed="64"/>
      </bottom>
      <diagonal/>
    </border>
    <border>
      <left style="thin">
        <color indexed="64"/>
      </left>
      <right style="thin">
        <color indexed="64"/>
      </right>
      <top/>
      <bottom style="thin">
        <color indexed="64"/>
      </bottom>
      <diagonal/>
    </border>
    <border>
      <left style="thin">
        <color rgb="FF000000"/>
      </left>
      <right/>
      <top style="thin">
        <color rgb="FF000000"/>
      </top>
      <bottom style="thin">
        <color rgb="FF000000"/>
      </bottom>
      <diagonal/>
    </border>
    <border>
      <left/>
      <right style="thin">
        <color indexed="64"/>
      </right>
      <top style="thin">
        <color indexed="64"/>
      </top>
      <bottom style="thin">
        <color indexed="64"/>
      </bottom>
      <diagonal/>
    </border>
    <border>
      <left/>
      <right style="thin">
        <color rgb="FF000000"/>
      </right>
      <top/>
      <bottom style="thin">
        <color rgb="FF000000"/>
      </bottom>
      <diagonal/>
    </border>
    <border>
      <left/>
      <right style="thin">
        <color indexed="64"/>
      </right>
      <top/>
      <bottom style="thin">
        <color indexed="64"/>
      </bottom>
      <diagonal/>
    </border>
    <border>
      <left style="thin">
        <color indexed="64"/>
      </left>
      <right style="thin">
        <color indexed="64"/>
      </right>
      <top style="thin">
        <color indexed="64"/>
      </top>
      <bottom/>
      <diagonal/>
    </border>
    <border>
      <left/>
      <right style="medium">
        <color indexed="64"/>
      </right>
      <top style="medium">
        <color indexed="64"/>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style="medium">
        <color indexed="64"/>
      </left>
      <right/>
      <top/>
      <bottom style="medium">
        <color indexed="64"/>
      </bottom>
      <diagonal/>
    </border>
    <border>
      <left/>
      <right style="thin">
        <color rgb="FF000000"/>
      </right>
      <top style="thin">
        <color rgb="FF000000"/>
      </top>
      <bottom style="thin">
        <color rgb="FF000000"/>
      </bottom>
      <diagonal/>
    </border>
  </borders>
  <cellStyleXfs count="3">
    <xf numFmtId="0" fontId="0" fillId="0" borderId="0"/>
    <xf numFmtId="9" fontId="2" fillId="0" borderId="0" applyFont="0" applyFill="0" applyBorder="0" applyAlignment="0" applyProtection="0"/>
    <xf numFmtId="0" fontId="5" fillId="0" borderId="0" applyNumberFormat="0" applyFill="0" applyBorder="0" applyAlignment="0" applyProtection="0"/>
  </cellStyleXfs>
  <cellXfs count="120">
    <xf numFmtId="0" fontId="0" fillId="0" borderId="0" xfId="0"/>
    <xf numFmtId="0" fontId="0" fillId="0" borderId="0" xfId="0" applyAlignment="1">
      <alignment horizontal="left" vertical="center"/>
    </xf>
    <xf numFmtId="15" fontId="0" fillId="0" borderId="0" xfId="0" applyNumberFormat="1" applyAlignment="1">
      <alignment horizontal="left" vertical="center"/>
    </xf>
    <xf numFmtId="0" fontId="0" fillId="0" borderId="1" xfId="0" applyBorder="1" applyAlignment="1">
      <alignment horizontal="left"/>
    </xf>
    <xf numFmtId="15" fontId="0" fillId="0" borderId="2" xfId="0" applyNumberFormat="1" applyBorder="1" applyAlignment="1">
      <alignment horizontal="left" vertical="center"/>
    </xf>
    <xf numFmtId="0" fontId="0" fillId="0" borderId="2" xfId="0" applyBorder="1" applyAlignment="1">
      <alignment horizontal="left" vertical="center"/>
    </xf>
    <xf numFmtId="0" fontId="7" fillId="6" borderId="2" xfId="0" applyFont="1" applyFill="1" applyBorder="1" applyAlignment="1">
      <alignment horizontal="left" vertical="top"/>
    </xf>
    <xf numFmtId="0" fontId="1" fillId="4" borderId="1" xfId="0" applyFont="1" applyFill="1" applyBorder="1" applyAlignment="1">
      <alignment horizontal="center" vertical="center"/>
    </xf>
    <xf numFmtId="15" fontId="0" fillId="0" borderId="5" xfId="0" applyNumberFormat="1" applyBorder="1" applyAlignment="1">
      <alignment horizontal="left" vertical="center"/>
    </xf>
    <xf numFmtId="0" fontId="1" fillId="2" borderId="1" xfId="0" applyFont="1" applyFill="1" applyBorder="1" applyAlignment="1">
      <alignment horizontal="center" vertical="center"/>
    </xf>
    <xf numFmtId="15" fontId="3" fillId="5" borderId="1" xfId="0" applyNumberFormat="1" applyFont="1" applyFill="1" applyBorder="1" applyAlignment="1">
      <alignment horizontal="center" vertical="center"/>
    </xf>
    <xf numFmtId="0" fontId="3" fillId="5" borderId="1" xfId="0" applyFont="1" applyFill="1" applyBorder="1" applyAlignment="1">
      <alignment horizontal="left" vertical="center"/>
    </xf>
    <xf numFmtId="0" fontId="3" fillId="5" borderId="1" xfId="0" applyFont="1" applyFill="1" applyBorder="1" applyAlignment="1">
      <alignment horizontal="center" vertical="center"/>
    </xf>
    <xf numFmtId="0" fontId="1" fillId="4" borderId="1" xfId="0" applyFont="1" applyFill="1" applyBorder="1" applyAlignment="1">
      <alignment horizontal="center" vertical="center" wrapText="1"/>
    </xf>
    <xf numFmtId="14" fontId="1" fillId="4" borderId="1" xfId="0" applyNumberFormat="1" applyFont="1" applyFill="1" applyBorder="1" applyAlignment="1">
      <alignment horizontal="center" vertical="center" wrapText="1"/>
    </xf>
    <xf numFmtId="14" fontId="12" fillId="5" borderId="1" xfId="0" applyNumberFormat="1" applyFont="1" applyFill="1" applyBorder="1" applyAlignment="1">
      <alignment horizontal="center" vertical="center" wrapText="1"/>
    </xf>
    <xf numFmtId="0" fontId="11" fillId="2" borderId="1" xfId="0" applyFont="1" applyFill="1" applyBorder="1" applyAlignment="1">
      <alignment horizontal="center" vertical="center" wrapText="1"/>
    </xf>
    <xf numFmtId="0" fontId="12" fillId="5" borderId="1" xfId="0" applyFont="1" applyFill="1" applyBorder="1" applyAlignment="1">
      <alignment horizontal="center" vertical="center" wrapText="1"/>
    </xf>
    <xf numFmtId="15" fontId="12" fillId="5" borderId="1" xfId="0" applyNumberFormat="1" applyFont="1" applyFill="1" applyBorder="1" applyAlignment="1">
      <alignment horizontal="center" vertical="center" wrapText="1"/>
    </xf>
    <xf numFmtId="0" fontId="0" fillId="0" borderId="1" xfId="0" applyBorder="1" applyAlignment="1">
      <alignment horizontal="left" vertical="center"/>
    </xf>
    <xf numFmtId="15" fontId="0" fillId="0" borderId="1" xfId="0" applyNumberFormat="1" applyBorder="1" applyAlignment="1">
      <alignment horizontal="left" vertical="center"/>
    </xf>
    <xf numFmtId="15" fontId="6" fillId="6" borderId="1" xfId="0" applyNumberFormat="1" applyFont="1" applyFill="1" applyBorder="1" applyAlignment="1">
      <alignment horizontal="left" vertical="top"/>
    </xf>
    <xf numFmtId="0" fontId="13" fillId="8" borderId="1" xfId="0" applyFont="1" applyFill="1" applyBorder="1" applyAlignment="1">
      <alignment horizontal="left" vertical="center"/>
    </xf>
    <xf numFmtId="0" fontId="14" fillId="0" borderId="1" xfId="0" applyFont="1" applyBorder="1" applyAlignment="1">
      <alignment horizontal="left" vertical="center"/>
    </xf>
    <xf numFmtId="0" fontId="17" fillId="0" borderId="1" xfId="0" applyFont="1" applyBorder="1" applyAlignment="1">
      <alignment horizontal="left" vertical="center"/>
    </xf>
    <xf numFmtId="0" fontId="16" fillId="0" borderId="1" xfId="0" applyFont="1" applyBorder="1" applyAlignment="1">
      <alignment horizontal="left" vertical="center"/>
    </xf>
    <xf numFmtId="14" fontId="12" fillId="4" borderId="1" xfId="0" applyNumberFormat="1" applyFont="1" applyFill="1" applyBorder="1" applyAlignment="1">
      <alignment horizontal="center" vertical="center" wrapText="1"/>
    </xf>
    <xf numFmtId="14" fontId="0" fillId="0" borderId="1" xfId="0" applyNumberFormat="1" applyBorder="1" applyAlignment="1">
      <alignment horizontal="left" vertical="center"/>
    </xf>
    <xf numFmtId="14" fontId="0" fillId="0" borderId="0" xfId="0" applyNumberFormat="1" applyAlignment="1">
      <alignment horizontal="left" vertical="center"/>
    </xf>
    <xf numFmtId="0" fontId="8" fillId="0" borderId="10" xfId="0" applyFont="1" applyBorder="1" applyAlignment="1">
      <alignment horizontal="left" vertical="center"/>
    </xf>
    <xf numFmtId="0" fontId="15" fillId="0" borderId="1" xfId="0" applyFont="1" applyBorder="1" applyAlignment="1">
      <alignment horizontal="left" vertical="center"/>
    </xf>
    <xf numFmtId="0" fontId="8" fillId="7" borderId="1" xfId="0" applyFont="1" applyFill="1" applyBorder="1"/>
    <xf numFmtId="0" fontId="8" fillId="0" borderId="9" xfId="0" applyFont="1" applyBorder="1"/>
    <xf numFmtId="0" fontId="18" fillId="0" borderId="9" xfId="0" applyFont="1" applyBorder="1"/>
    <xf numFmtId="15" fontId="16" fillId="0" borderId="1" xfId="0" applyNumberFormat="1" applyFont="1" applyBorder="1" applyAlignment="1">
      <alignment horizontal="left" vertical="center"/>
    </xf>
    <xf numFmtId="0" fontId="19" fillId="0" borderId="9" xfId="0" applyFont="1" applyBorder="1"/>
    <xf numFmtId="0" fontId="8" fillId="7" borderId="7" xfId="0" applyFont="1" applyFill="1" applyBorder="1"/>
    <xf numFmtId="0" fontId="8" fillId="0" borderId="11" xfId="0" applyFont="1" applyBorder="1"/>
    <xf numFmtId="0" fontId="19" fillId="0" borderId="11" xfId="0" applyFont="1" applyBorder="1"/>
    <xf numFmtId="0" fontId="0" fillId="0" borderId="6" xfId="0" applyBorder="1" applyAlignment="1">
      <alignment horizontal="left" vertical="center"/>
    </xf>
    <xf numFmtId="0" fontId="8" fillId="7" borderId="9" xfId="0" applyFont="1" applyFill="1" applyBorder="1"/>
    <xf numFmtId="0" fontId="8" fillId="7" borderId="11" xfId="0" applyFont="1" applyFill="1" applyBorder="1"/>
    <xf numFmtId="9" fontId="8" fillId="0" borderId="11" xfId="0" applyNumberFormat="1" applyFont="1" applyBorder="1"/>
    <xf numFmtId="0" fontId="0" fillId="0" borderId="1" xfId="0" applyBorder="1" applyAlignment="1">
      <alignment horizontal="right" vertical="center"/>
    </xf>
    <xf numFmtId="0" fontId="0" fillId="0" borderId="12" xfId="0" applyBorder="1" applyAlignment="1">
      <alignment horizontal="right" vertical="center"/>
    </xf>
    <xf numFmtId="0" fontId="0" fillId="0" borderId="2" xfId="0" applyBorder="1" applyAlignment="1">
      <alignment horizontal="right" vertical="center"/>
    </xf>
    <xf numFmtId="0" fontId="8" fillId="0" borderId="11" xfId="0" applyFont="1" applyBorder="1" applyAlignment="1">
      <alignment wrapText="1"/>
    </xf>
    <xf numFmtId="0" fontId="8" fillId="0" borderId="1" xfId="0" applyFont="1" applyBorder="1"/>
    <xf numFmtId="0" fontId="8" fillId="0" borderId="11" xfId="0" applyFont="1" applyBorder="1" applyAlignment="1">
      <alignment horizontal="left"/>
    </xf>
    <xf numFmtId="0" fontId="20" fillId="0" borderId="1" xfId="0" applyFont="1" applyBorder="1" applyAlignment="1">
      <alignment horizontal="left"/>
    </xf>
    <xf numFmtId="15" fontId="0" fillId="0" borderId="1" xfId="0" applyNumberFormat="1" applyBorder="1" applyAlignment="1">
      <alignment horizontal="left"/>
    </xf>
    <xf numFmtId="0" fontId="0" fillId="0" borderId="1" xfId="0" applyBorder="1" applyAlignment="1">
      <alignment horizontal="right"/>
    </xf>
    <xf numFmtId="0" fontId="21" fillId="0" borderId="1" xfId="0" applyFont="1" applyBorder="1" applyAlignment="1">
      <alignment horizontal="right"/>
    </xf>
    <xf numFmtId="0" fontId="8" fillId="0" borderId="11" xfId="0" applyFont="1" applyBorder="1" applyAlignment="1">
      <alignment horizontal="right"/>
    </xf>
    <xf numFmtId="0" fontId="4" fillId="0" borderId="2" xfId="0" applyFont="1" applyBorder="1" applyAlignment="1">
      <alignment horizontal="right"/>
    </xf>
    <xf numFmtId="0" fontId="0" fillId="6" borderId="5" xfId="0" applyFill="1" applyBorder="1" applyAlignment="1">
      <alignment horizontal="left" vertical="center"/>
    </xf>
    <xf numFmtId="0" fontId="0" fillId="6" borderId="2" xfId="0" applyFill="1" applyBorder="1" applyAlignment="1">
      <alignment horizontal="left" vertical="center"/>
    </xf>
    <xf numFmtId="15" fontId="0" fillId="6" borderId="2" xfId="0" applyNumberFormat="1" applyFill="1" applyBorder="1" applyAlignment="1">
      <alignment horizontal="left" vertical="center"/>
    </xf>
    <xf numFmtId="15" fontId="0" fillId="6" borderId="5" xfId="0" applyNumberFormat="1" applyFill="1" applyBorder="1" applyAlignment="1">
      <alignment horizontal="left" vertical="center"/>
    </xf>
    <xf numFmtId="0" fontId="0" fillId="6" borderId="0" xfId="0" applyFill="1" applyAlignment="1">
      <alignment horizontal="left" vertical="center"/>
    </xf>
    <xf numFmtId="15" fontId="0" fillId="6" borderId="0" xfId="0" applyNumberFormat="1" applyFill="1" applyAlignment="1">
      <alignment horizontal="left" vertical="center"/>
    </xf>
    <xf numFmtId="0" fontId="0" fillId="6" borderId="0" xfId="0" applyFill="1" applyAlignment="1">
      <alignment horizontal="center" vertical="center"/>
    </xf>
    <xf numFmtId="0" fontId="0" fillId="6" borderId="4" xfId="0" applyFill="1" applyBorder="1" applyAlignment="1">
      <alignment horizontal="left" vertical="center"/>
    </xf>
    <xf numFmtId="15" fontId="0" fillId="6" borderId="4" xfId="0" applyNumberFormat="1" applyFill="1" applyBorder="1" applyAlignment="1">
      <alignment horizontal="left" vertical="center"/>
    </xf>
    <xf numFmtId="0" fontId="0" fillId="6" borderId="3" xfId="0" applyFill="1" applyBorder="1" applyAlignment="1">
      <alignment horizontal="left" vertical="center"/>
    </xf>
    <xf numFmtId="15" fontId="0" fillId="6" borderId="3" xfId="0" applyNumberFormat="1" applyFill="1" applyBorder="1" applyAlignment="1">
      <alignment horizontal="left" vertical="center"/>
    </xf>
    <xf numFmtId="0" fontId="7" fillId="6" borderId="3" xfId="0" applyFont="1" applyFill="1" applyBorder="1" applyAlignment="1">
      <alignment horizontal="left" vertical="top"/>
    </xf>
    <xf numFmtId="0" fontId="24" fillId="0" borderId="1" xfId="0" applyFont="1" applyBorder="1" applyAlignment="1">
      <alignment horizontal="left" vertical="center"/>
    </xf>
    <xf numFmtId="15" fontId="24" fillId="0" borderId="1" xfId="0" applyNumberFormat="1" applyFont="1" applyBorder="1" applyAlignment="1">
      <alignment horizontal="left" vertical="center"/>
    </xf>
    <xf numFmtId="0" fontId="24" fillId="0" borderId="1" xfId="0" applyFont="1" applyBorder="1" applyAlignment="1">
      <alignment horizontal="left" vertical="center" wrapText="1"/>
    </xf>
    <xf numFmtId="3" fontId="24" fillId="0" borderId="1" xfId="0" applyNumberFormat="1" applyFont="1" applyBorder="1" applyAlignment="1">
      <alignment horizontal="left" vertical="center"/>
    </xf>
    <xf numFmtId="0" fontId="26" fillId="0" borderId="1" xfId="0" applyFont="1" applyBorder="1" applyAlignment="1">
      <alignment horizontal="left" vertical="center"/>
    </xf>
    <xf numFmtId="0" fontId="1" fillId="2" borderId="3" xfId="0" applyFont="1" applyFill="1" applyBorder="1" applyAlignment="1">
      <alignment horizontal="center" vertical="center"/>
    </xf>
    <xf numFmtId="0" fontId="3" fillId="5" borderId="3" xfId="0" applyFont="1" applyFill="1" applyBorder="1" applyAlignment="1">
      <alignment horizontal="center" vertical="center"/>
    </xf>
    <xf numFmtId="0" fontId="1" fillId="4" borderId="3" xfId="0" applyFont="1" applyFill="1" applyBorder="1" applyAlignment="1">
      <alignment horizontal="center" vertical="center"/>
    </xf>
    <xf numFmtId="15" fontId="3" fillId="5" borderId="3" xfId="0" applyNumberFormat="1" applyFont="1" applyFill="1" applyBorder="1" applyAlignment="1">
      <alignment horizontal="center" vertical="center"/>
    </xf>
    <xf numFmtId="15" fontId="3" fillId="4" borderId="3" xfId="0" applyNumberFormat="1" applyFont="1" applyFill="1" applyBorder="1" applyAlignment="1">
      <alignment horizontal="center" vertical="center"/>
    </xf>
    <xf numFmtId="15" fontId="1" fillId="3" borderId="3" xfId="0" applyNumberFormat="1" applyFont="1" applyFill="1" applyBorder="1" applyAlignment="1">
      <alignment horizontal="center" vertical="center"/>
    </xf>
    <xf numFmtId="0" fontId="1" fillId="3" borderId="3" xfId="0" applyFont="1" applyFill="1" applyBorder="1" applyAlignment="1">
      <alignment horizontal="center" vertical="center"/>
    </xf>
    <xf numFmtId="0" fontId="25" fillId="0" borderId="1" xfId="0" applyFont="1" applyBorder="1" applyAlignment="1">
      <alignment horizontal="left" vertical="center"/>
    </xf>
    <xf numFmtId="9" fontId="24" fillId="0" borderId="1" xfId="1" applyFont="1" applyFill="1" applyBorder="1" applyAlignment="1">
      <alignment horizontal="left" vertical="center"/>
    </xf>
    <xf numFmtId="1" fontId="24" fillId="0" borderId="1" xfId="1" applyNumberFormat="1" applyFont="1" applyFill="1" applyBorder="1" applyAlignment="1">
      <alignment horizontal="left" vertical="center"/>
    </xf>
    <xf numFmtId="0" fontId="23" fillId="0" borderId="1" xfId="0" applyFont="1" applyBorder="1" applyAlignment="1">
      <alignment horizontal="left" vertical="center"/>
    </xf>
    <xf numFmtId="0" fontId="1" fillId="2" borderId="3" xfId="0" applyFont="1" applyFill="1" applyBorder="1" applyAlignment="1">
      <alignment horizontal="center" vertical="center" wrapText="1"/>
    </xf>
    <xf numFmtId="0" fontId="0" fillId="6" borderId="0" xfId="0" applyFill="1" applyAlignment="1">
      <alignment horizontal="left" vertical="center" wrapText="1"/>
    </xf>
    <xf numFmtId="0" fontId="27" fillId="0" borderId="0" xfId="0" applyFont="1"/>
    <xf numFmtId="0" fontId="28" fillId="0" borderId="1" xfId="0" applyFont="1" applyBorder="1"/>
    <xf numFmtId="0" fontId="28" fillId="0" borderId="9" xfId="0" applyFont="1" applyBorder="1"/>
    <xf numFmtId="0" fontId="5" fillId="6" borderId="5" xfId="2" applyFill="1" applyBorder="1" applyAlignment="1">
      <alignment horizontal="left" vertical="center"/>
    </xf>
    <xf numFmtId="0" fontId="5" fillId="0" borderId="1" xfId="2" applyBorder="1" applyAlignment="1">
      <alignment horizontal="left" vertical="center"/>
    </xf>
    <xf numFmtId="0" fontId="28" fillId="0" borderId="9" xfId="0" applyFont="1" applyBorder="1" applyAlignment="1">
      <alignment horizontal="left"/>
    </xf>
    <xf numFmtId="15" fontId="28" fillId="0" borderId="1" xfId="0" applyNumberFormat="1" applyFont="1" applyBorder="1" applyAlignment="1">
      <alignment horizontal="left"/>
    </xf>
    <xf numFmtId="15" fontId="28" fillId="0" borderId="9" xfId="0" applyNumberFormat="1" applyFont="1" applyBorder="1" applyAlignment="1">
      <alignment horizontal="left"/>
    </xf>
    <xf numFmtId="3" fontId="0" fillId="0" borderId="1" xfId="0" applyNumberFormat="1" applyBorder="1"/>
    <xf numFmtId="0" fontId="30" fillId="0" borderId="0" xfId="0" applyFont="1"/>
    <xf numFmtId="0" fontId="31" fillId="0" borderId="0" xfId="0" applyFont="1"/>
    <xf numFmtId="0" fontId="4" fillId="0" borderId="13" xfId="0" applyFont="1" applyBorder="1" applyAlignment="1">
      <alignment vertical="center"/>
    </xf>
    <xf numFmtId="0" fontId="4" fillId="0" borderId="14" xfId="0" applyFont="1" applyBorder="1" applyAlignment="1">
      <alignment vertical="center"/>
    </xf>
    <xf numFmtId="0" fontId="0" fillId="6" borderId="8" xfId="0" applyFill="1" applyBorder="1" applyAlignment="1">
      <alignment horizontal="left" vertical="center"/>
    </xf>
    <xf numFmtId="0" fontId="4" fillId="0" borderId="15" xfId="0" applyFont="1" applyBorder="1" applyAlignment="1">
      <alignment vertical="center"/>
    </xf>
    <xf numFmtId="0" fontId="4" fillId="0" borderId="16" xfId="0" applyFont="1" applyBorder="1" applyAlignment="1">
      <alignment vertical="center"/>
    </xf>
    <xf numFmtId="0" fontId="24" fillId="0" borderId="9" xfId="0" applyFont="1" applyBorder="1" applyAlignment="1">
      <alignment horizontal="left" vertical="center"/>
    </xf>
    <xf numFmtId="0" fontId="0" fillId="6" borderId="17" xfId="0" applyFill="1" applyBorder="1" applyAlignment="1">
      <alignment horizontal="left" vertical="center"/>
    </xf>
    <xf numFmtId="0" fontId="24" fillId="0" borderId="2" xfId="0" applyFont="1" applyBorder="1" applyAlignment="1">
      <alignment horizontal="left" vertical="center"/>
    </xf>
    <xf numFmtId="15" fontId="24" fillId="0" borderId="2" xfId="0" applyNumberFormat="1" applyFont="1" applyBorder="1" applyAlignment="1">
      <alignment horizontal="left" vertical="center"/>
    </xf>
    <xf numFmtId="0" fontId="0" fillId="6" borderId="2" xfId="0" applyFill="1" applyBorder="1" applyAlignment="1">
      <alignment horizontal="left" vertical="center" wrapText="1"/>
    </xf>
    <xf numFmtId="0" fontId="5" fillId="6" borderId="2" xfId="2" applyFill="1" applyBorder="1" applyAlignment="1">
      <alignment horizontal="left" vertical="center"/>
    </xf>
    <xf numFmtId="0" fontId="24" fillId="0" borderId="1" xfId="0" applyFont="1" applyBorder="1" applyAlignment="1">
      <alignment horizontal="center" vertical="center"/>
    </xf>
    <xf numFmtId="0" fontId="24" fillId="0" borderId="7" xfId="0" applyFont="1" applyBorder="1" applyAlignment="1">
      <alignment horizontal="left" vertical="center"/>
    </xf>
    <xf numFmtId="0" fontId="24" fillId="0" borderId="6" xfId="0" applyFont="1" applyBorder="1" applyAlignment="1">
      <alignment horizontal="left" vertical="center"/>
    </xf>
    <xf numFmtId="0" fontId="0" fillId="0" borderId="1" xfId="0" applyBorder="1" applyAlignment="1">
      <alignment horizontal="center"/>
    </xf>
    <xf numFmtId="0" fontId="29" fillId="0" borderId="1" xfId="0" applyFont="1" applyBorder="1" applyAlignment="1">
      <alignment horizontal="center"/>
    </xf>
    <xf numFmtId="14" fontId="24" fillId="0" borderId="1" xfId="0" applyNumberFormat="1" applyFont="1" applyBorder="1" applyAlignment="1">
      <alignment horizontal="left" vertical="center"/>
    </xf>
    <xf numFmtId="3" fontId="24" fillId="0" borderId="1" xfId="0" applyNumberFormat="1" applyFont="1" applyBorder="1" applyAlignment="1">
      <alignment horizontal="center" vertical="center"/>
    </xf>
    <xf numFmtId="3" fontId="0" fillId="0" borderId="1" xfId="0" applyNumberFormat="1" applyBorder="1" applyAlignment="1">
      <alignment horizontal="center"/>
    </xf>
    <xf numFmtId="17" fontId="24" fillId="0" borderId="1" xfId="0" applyNumberFormat="1" applyFont="1" applyBorder="1" applyAlignment="1">
      <alignment horizontal="left" vertical="center"/>
    </xf>
    <xf numFmtId="0" fontId="0" fillId="0" borderId="1" xfId="0" applyBorder="1"/>
    <xf numFmtId="0" fontId="0" fillId="6" borderId="1" xfId="0" applyFill="1" applyBorder="1" applyAlignment="1">
      <alignment vertical="center"/>
    </xf>
    <xf numFmtId="15" fontId="0" fillId="6" borderId="1" xfId="0" applyNumberFormat="1" applyFill="1" applyBorder="1" applyAlignment="1">
      <alignment horizontal="left" vertical="center"/>
    </xf>
    <xf numFmtId="9" fontId="0" fillId="0" borderId="0" xfId="0" applyNumberFormat="1"/>
  </cellXfs>
  <cellStyles count="3">
    <cellStyle name="Hyperlink" xfId="2" builtinId="8"/>
    <cellStyle name="Normal" xfId="0" builtinId="0"/>
    <cellStyle name="Percent" xfId="1" builtinId="5"/>
  </cellStyles>
  <dxfs count="17">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theme="0" tint="-0.24994659260841701"/>
        </patternFill>
      </fill>
    </dxf>
  </dxfs>
  <tableStyles count="1" defaultTableStyle="TableStyleMedium2" defaultPivotStyle="PivotStyleLight16">
    <tableStyle name="Slicer Style 1" pivot="0" table="0" count="1" xr9:uid="{39B4B269-D882-41FD-A540-D2646655A101}">
      <tableStyleElement type="wholeTable" dxfId="16"/>
    </tableStyle>
  </tableStyles>
  <colors>
    <mruColors>
      <color rgb="FFEE8F60"/>
    </mruColors>
  </colors>
  <extLst>
    <ext xmlns:x14="http://schemas.microsoft.com/office/spreadsheetml/2009/9/main" uri="{EB79DEF2-80B8-43e5-95BD-54CBDDF9020C}">
      <x14:slicerStyles defaultSlicerStyle="SlicerStyleLight1">
        <x14:slicerStyle name="Slicer Style 1"/>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20/07/relationships/rdRichValueWebImage" Target="richData/rdRichValueWebImage.xml"/><Relationship Id="rId13" Type="http://schemas.microsoft.com/office/2017/06/relationships/rdSupportingPropertyBagStructure" Target="richData/rdsupportingpropertybagstructure.xml"/><Relationship Id="rId3" Type="http://schemas.openxmlformats.org/officeDocument/2006/relationships/worksheet" Target="worksheets/sheet3.xml"/><Relationship Id="rId7" Type="http://schemas.openxmlformats.org/officeDocument/2006/relationships/sheetMetadata" Target="metadata.xml"/><Relationship Id="rId12" Type="http://schemas.microsoft.com/office/2017/06/relationships/richStyles" Target="richData/richStyles.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sharedStrings" Target="sharedStrings.xml"/><Relationship Id="rId11" Type="http://schemas.microsoft.com/office/2017/06/relationships/rdArray" Target="richData/rdarray.xml"/><Relationship Id="rId5" Type="http://schemas.openxmlformats.org/officeDocument/2006/relationships/styles" Target="styles.xml"/><Relationship Id="rId15" Type="http://schemas.microsoft.com/office/2017/06/relationships/rdRichValueTypes" Target="richData/rdRichValueTypes.xml"/><Relationship Id="rId10" Type="http://schemas.microsoft.com/office/2017/06/relationships/rdRichValueStructure" Target="richData/rdrichvaluestructure.xml"/><Relationship Id="rId4" Type="http://schemas.openxmlformats.org/officeDocument/2006/relationships/theme" Target="theme/theme1.xml"/><Relationship Id="rId9" Type="http://schemas.microsoft.com/office/2017/06/relationships/rdRichValue" Target="richData/rdrichvalue.xml"/><Relationship Id="rId14" Type="http://schemas.microsoft.com/office/2017/06/relationships/rdSupportingPropertyBag" Target="richData/rdsupportingpropertybag.xml"/></Relationships>
</file>

<file path=xl/richData/_rels/rdRichValueWebImage.xml.rels><?xml version="1.0" encoding="UTF-8" standalone="yes"?>
<Relationships xmlns="http://schemas.openxmlformats.org/package/2006/relationships"><Relationship Id="rId8" Type="http://schemas.openxmlformats.org/officeDocument/2006/relationships/hyperlink" Target="https://www.bing.com/images/search?form=xlimg&amp;q=Noida" TargetMode="External"/><Relationship Id="rId3" Type="http://schemas.openxmlformats.org/officeDocument/2006/relationships/hyperlink" Target="https://www.bing.com/th?id=OSK.b14e92073be71cac78b9b93f7c710be0&amp;qlt=95" TargetMode="External"/><Relationship Id="rId7" Type="http://schemas.openxmlformats.org/officeDocument/2006/relationships/hyperlink" Target="https://www.bing.com/th?id=OSK.a0e43aa7b61d72101b1999db34c713b0&amp;qlt=95" TargetMode="External"/><Relationship Id="rId2" Type="http://schemas.openxmlformats.org/officeDocument/2006/relationships/hyperlink" Target="https://www.bing.com/images/search?form=xlimg&amp;q=Pune" TargetMode="External"/><Relationship Id="rId1" Type="http://schemas.openxmlformats.org/officeDocument/2006/relationships/hyperlink" Target="https://www.bing.com/th?id=OSK.hmlfFqOVqbL2htcNhGkOD0SLRoM8ZxntAGLh0RJmFpk&amp;qlt=95" TargetMode="External"/><Relationship Id="rId6" Type="http://schemas.openxmlformats.org/officeDocument/2006/relationships/hyperlink" Target="https://www.bing.com/images/search?form=xlimg&amp;q=Bengaluru" TargetMode="External"/><Relationship Id="rId5" Type="http://schemas.openxmlformats.org/officeDocument/2006/relationships/hyperlink" Target="https://www.bing.com/th?id=OSK.94d73da6f1fde5c0a8576dce809f89ee&amp;qlt=95" TargetMode="External"/><Relationship Id="rId10" Type="http://schemas.openxmlformats.org/officeDocument/2006/relationships/hyperlink" Target="https://www.bing.com/images/search?form=xlimg&amp;q=Kolkata" TargetMode="External"/><Relationship Id="rId4" Type="http://schemas.openxmlformats.org/officeDocument/2006/relationships/hyperlink" Target="https://www.bing.com/images/search?form=xlimg&amp;q=Ahmedabad" TargetMode="External"/><Relationship Id="rId9" Type="http://schemas.openxmlformats.org/officeDocument/2006/relationships/hyperlink" Target="https://www.bing.com/th?id=OSK.43aaf683d513aa9ed27ac92098a8cf26&amp;qlt=95" TargetMode="External"/></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types>
    <type name="_linkedentity2">
      <keyFlags>
        <key name="%EntityServiceId">
          <flag name="ShowInCardView" value="0"/>
          <flag name="ShowInDotNotation" value="0"/>
          <flag name="ShowInAutoComplete" value="0"/>
        </key>
        <key name="%EntityCulture">
          <flag name="ShowInCardView" value="0"/>
          <flag name="ShowInDotNotation" value="0"/>
          <flag name="ShowInAutoComplete" value="0"/>
        </key>
        <key name="%EntityId">
          <flag name="ShowInCardView" value="0"/>
          <flag name="ShowInDotNotation" value="0"/>
          <flag name="ShowInAutoComplete" value="0"/>
        </key>
        <key name="%cvi">
          <flag name="ShowInCardView" value="0"/>
          <flag name="ShowInDotNotation" value="0"/>
          <flag name="ShowInAutoComplete" value="0"/>
          <flag name="ExcludeFromCalcComparison" value="1"/>
        </key>
      </keyFlags>
    </type>
    <type name="_linkedentity2core">
      <keyFlags>
        <key name="%EntityServiceId">
          <flag name="ShowInCardView" value="0"/>
          <flag name="ShowInDotNotation" value="0"/>
          <flag name="ShowInAutoComplete" value="0"/>
        </key>
        <key name="%EntityCulture">
          <flag name="ShowInCardView" value="0"/>
          <flag name="ShowInDotNotation" value="0"/>
          <flag name="ShowInAutoComplete" value="0"/>
        </key>
        <key name="%EntityId">
          <flag name="ShowInCardView" value="0"/>
          <flag name="ShowInDotNotation" value="0"/>
          <flag name="ShowInAutoComplete" value="0"/>
        </key>
        <key name="%IsRefreshable">
          <flag name="ShowInCardView" value="0"/>
          <flag name="ShowInAutoComplete" value="0"/>
          <flag name="ExcludeFromCalcComparison" value="1"/>
        </key>
        <key name="%ProviderInfo">
          <flag name="ShowInCardView" value="0"/>
          <flag name="ShowInDotNotation" value="0"/>
          <flag name="ShowInAutoComplete" value="0"/>
        </key>
        <key name="%DataProviderExternalLinkLogo">
          <flag name="ShowInCardView" value="0"/>
          <flag name="ShowInDotNotation" value="0"/>
          <flag name="ShowInAutoComplete" value="0"/>
        </key>
        <key name="%DataProviderExternalLink">
          <flag name="ShowInCardView" value="0"/>
          <flag name="ShowInDotNotation" value="0"/>
          <flag name="ShowInAutoComplete" value="0"/>
        </key>
        <key name="%DataRetrievedTime">
          <flag name="ShowInCardView" value="0"/>
          <flag name="ShowInDotNotation" value="0"/>
          <flag name="ShowInAutoComplete" value="0"/>
          <flag name="ExcludeFromCalcComparison" value="1"/>
        </key>
        <key name="%EntityDomainIdString">
          <flag name="ShowInCardView" value="0"/>
          <flag name="ShowInDotNotation" value="0"/>
          <flag name="ShowInAutoComplete" value="0"/>
        </key>
        <key name="%InfoToolTipLabelNames">
          <flag name="ShowInCardView" value="0"/>
          <flag name="ShowInDotNotation" value="0"/>
          <flag name="ShowInAutoComplete" value="0"/>
        </key>
        <key name="%InfoToolTipLabelValues">
          <flag name="ShowInCardView" value="0"/>
          <flag name="ShowInDotNotation" value="0"/>
          <flag name="ShowInAutoComplete" value="0"/>
        </key>
        <key name="%InfoToolTipLabelValuesType">
          <flag name="ShowInCardView" value="0"/>
          <flag name="ShowInDotNotation" value="0"/>
          <flag name="ShowInAutoComplete" value="0"/>
        </key>
        <key name="%DataProviderString">
          <flag name="ShowInCardView" value="0"/>
          <flag name="ShowInDotNotation" value="0"/>
          <flag name="ShowInAutoComplete" value="0"/>
        </key>
        <key name="%ClassificationId">
          <flag name="ShowInCardView" value="0"/>
          <flag name="ShowInDotNotation" value="0"/>
          <flag name="ShowInAutoComplete" value="0"/>
        </key>
        <key name="%OutdatedReason">
          <flag name="ShowInCardView" value="0"/>
          <flag name="ShowInDotNotation" value="0"/>
          <flag name="ShowInAutoComplete" value="0"/>
          <flag name="ExcludeFromCalcComparison" value="1"/>
        </key>
      </keyFlags>
    </type>
    <type name="_webimage">
      <keyFlags>
        <key name="WebImageIdentifier">
          <flag name="ShowInCardView" value="0"/>
        </key>
      </keyFlags>
    </type>
  </types>
</rvTypesInfo>
</file>

<file path=xl/richData/rdRichValueWebImage.xml><?xml version="1.0" encoding="utf-8"?>
<webImagesSrd xmlns="http://schemas.microsoft.com/office/spreadsheetml/2020/richdatawebimage" xmlns:r="http://schemas.openxmlformats.org/officeDocument/2006/relationships">
  <webImageSrd>
    <address r:id="rId1"/>
    <moreImagesAddress r:id="rId2"/>
  </webImageSrd>
  <webImageSrd>
    <address r:id="rId3"/>
    <moreImagesAddress r:id="rId4"/>
  </webImageSrd>
  <webImageSrd>
    <address r:id="rId5"/>
    <moreImagesAddress r:id="rId6"/>
  </webImageSrd>
  <webImageSrd>
    <address r:id="rId7"/>
    <moreImagesAddress r:id="rId8"/>
  </webImageSrd>
  <webImageSrd>
    <address r:id="rId9"/>
    <moreImagesAddress r:id="rId10"/>
  </webImageSrd>
</webImagesSrd>
</file>

<file path=xl/richData/rdarray.xml><?xml version="1.0" encoding="utf-8"?>
<arrayData xmlns="http://schemas.microsoft.com/office/spreadsheetml/2017/richdata2" count="5">
  <a r="1">
    <v t="s">UTC+05:30</v>
  </a>
  <a r="2">
    <v t="r">16</v>
    <v t="r">17</v>
  </a>
  <a r="1">
    <v t="s">M Goutham Kumar (Mayor)</v>
  </a>
  <a r="1">
    <v t="r">38</v>
  </a>
  <a r="2">
    <v t="r">48</v>
    <v t="r">49</v>
  </a>
</arrayData>
</file>

<file path=xl/richData/rdrichvalue.xml><?xml version="1.0" encoding="utf-8"?>
<rvData xmlns="http://schemas.microsoft.com/office/spreadsheetml/2017/richdata" count="55">
  <rv s="0">
    <v>536870912</v>
    <v>Pune</v>
    <v>cf0cd580-e301-a362-0bc6-10980ed3fc50</v>
    <v>en-US</v>
    <v>Map</v>
  </rv>
  <rv s="0">
    <v>536870912</v>
    <v>Pune district</v>
    <v>2e0769ee-608b-33fd-6c72-91c492a7ca7d</v>
    <v>en-US</v>
    <v>Map</v>
  </rv>
  <rv s="1">
    <fb>710</fb>
    <v>8</v>
  </rv>
  <rv s="0">
    <v>536870912</v>
    <v>India</v>
    <v>85fa63d3-9596-adb9-b4eb-502273d84f56</v>
    <v>en-US</v>
    <v>Map</v>
  </rv>
  <rv s="2">
    <v>0</v>
    <v>6</v>
    <v>0</v>
    <v>7</v>
    <v>0</v>
    <v>Image of Pune</v>
  </rv>
  <rv s="1">
    <fb>18.519573999999999</fb>
    <v>9</v>
  </rv>
  <rv s="3">
    <v>https://www.bing.com/search?q=pune&amp;form=skydnc</v>
    <v>Learn more on Bing</v>
  </rv>
  <rv s="1">
    <fb>73.855287000000004</fb>
    <v>9</v>
  </rv>
  <rv s="1">
    <fb>5945000</fb>
    <v>8</v>
  </rv>
  <rv s="4">
    <v>0</v>
  </rv>
  <rv s="5">
    <v>#VALUE!</v>
    <v>en-US</v>
    <v>cf0cd580-e301-a362-0bc6-10980ed3fc50</v>
    <v>536870912</v>
    <v>1</v>
    <v>1</v>
    <v>2</v>
    <v>Pune</v>
    <v>4</v>
    <v>5</v>
    <v>Map</v>
    <v>6</v>
    <v>7</v>
    <v>1</v>
    <v>2</v>
    <v>3</v>
    <v>Pune, previously spelled in English as Poona, is a city in the state of Maharashtra in the Deccan plateau in Western India. It is the administrative headquarters of the Pune district, and of Pune division. According to the 2011 Census of India, ...</v>
    <v>4</v>
    <v>5</v>
    <v>6</v>
    <v>7</v>
    <v>Pune</v>
    <v>8</v>
    <v>9</v>
    <v>Pune</v>
    <v>mdp/vdpid/7461463064076877839</v>
  </rv>
  <rv s="0">
    <v>536870912</v>
    <v>Ahmedabad</v>
    <v>f741e2c0-a401-4bcb-2d92-c364fe683513</v>
    <v>en-US</v>
    <v>Map</v>
  </rv>
  <rv s="0">
    <v>536870912</v>
    <v>Gujarat</v>
    <v>c70b768e-21ab-4f53-a356-564e8da2291e</v>
    <v>en-US</v>
    <v>Map</v>
  </rv>
  <rv s="1">
    <fb>464.16500000000002</fb>
    <v>8</v>
  </rv>
  <rv s="2">
    <v>1</v>
    <v>6</v>
    <v>10</v>
    <v>7</v>
    <v>0</v>
    <v>Image of Ahmedabad</v>
  </rv>
  <rv s="1">
    <fb>23.021944444444401</fb>
    <v>9</v>
  </rv>
  <rv s="0">
    <v>805306368</v>
    <v>Pratibha Jain (Mayor)</v>
    <v>7cb51764-38d6-a29e-a43d-0df082af754a</v>
    <v>en-US</v>
    <v>Generic</v>
  </rv>
  <rv s="0">
    <v>805306368</v>
    <v>Jatin Patel (Deputy mayor)</v>
    <v>e59b1bcc-851a-4bdb-e331-88b779cd49dd</v>
    <v>en-US</v>
    <v>Generic</v>
  </rv>
  <rv s="4">
    <v>1</v>
  </rv>
  <rv s="3">
    <v>https://www.bing.com/search?q=ahmedabad&amp;form=skydnc</v>
    <v>Learn more on Bing</v>
  </rv>
  <rv s="1">
    <fb>72.579722222222202</fb>
    <v>9</v>
  </rv>
  <rv s="1">
    <fb>8854440</fb>
    <v>8</v>
  </rv>
  <rv s="6">
    <v>#VALUE!</v>
    <v>en-US</v>
    <v>f741e2c0-a401-4bcb-2d92-c364fe683513</v>
    <v>536870912</v>
    <v>1</v>
    <v>11</v>
    <v>12</v>
    <v>Ahmedabad</v>
    <v>4</v>
    <v>5</v>
    <v>Map</v>
    <v>6</v>
    <v>13</v>
    <v>12</v>
    <v>13</v>
    <v>3</v>
    <v>Ahmedabad, also spelled as Amdavad, is the most populous city in the Indian state of Gujarat. It is the administrative headquarters of the Ahmedabad district and the seat of the Gujarat High Court. Ahmedabad's population of 5,570,585 makes it ...</v>
    <v>14</v>
    <v>15</v>
    <v>18</v>
    <v>19</v>
    <v>20</v>
    <v>Ahmedabad</v>
    <v>21</v>
    <v>9</v>
    <v>Ahmedabad</v>
    <v>mdp/vdpid/7410643148977733636</v>
  </rv>
  <rv s="0">
    <v>536870912</v>
    <v>Bangalore</v>
    <v>2ab373f2-434a-45b8-c281-342ba82d97a0</v>
    <v>en-US</v>
    <v>Map</v>
  </rv>
  <rv s="1">
    <fb>741</fb>
    <v>8</v>
  </rv>
  <rv s="0">
    <v>536870912</v>
    <v>Company rule in India</v>
    <v>322aafcd-954d-0db7-5871-c26baa1b8358</v>
    <v>en-US</v>
    <v>Map</v>
  </rv>
  <rv s="2">
    <v>2</v>
    <v>6</v>
    <v>14</v>
    <v>7</v>
    <v>0</v>
    <v>Image of Bengaluru</v>
  </rv>
  <rv s="1">
    <fb>12.979119799999999</fb>
    <v>9</v>
  </rv>
  <rv s="4">
    <v>2</v>
  </rv>
  <rv s="3">
    <v>https://www.bing.com/search?q=bangalore&amp;form=skydnc</v>
    <v>Learn more on Bing</v>
  </rv>
  <rv s="1">
    <fb>77.591299699999993</fb>
    <v>9</v>
  </rv>
  <rv s="1">
    <fb>12327000</fb>
    <v>8</v>
  </rv>
  <rv s="7">
    <v>#VALUE!</v>
    <v>en-US</v>
    <v>2ab373f2-434a-45b8-c281-342ba82d97a0</v>
    <v>536870912</v>
    <v>1</v>
    <v>15</v>
    <v>16</v>
    <v>Bengaluru</v>
    <v>4</v>
    <v>5</v>
    <v>Map</v>
    <v>6</v>
    <v>17</v>
    <v>24</v>
    <v>25</v>
    <v>Bengaluru, formerly called Bangalore, is the capital and largest city of the southern Indian state of Karnataka. As per the 2011 census, the city had a population of 8.4 million, making it the third most populous city in India and the most ...</v>
    <v>26</v>
    <v>27</v>
    <v>28</v>
    <v>29</v>
    <v>30</v>
    <v>Bengaluru</v>
    <v>31</v>
    <v>9</v>
    <v>Bengaluru</v>
    <v>mdp/vdpid/7466620589789151233</v>
  </rv>
  <rv s="0">
    <v>536870912</v>
    <v>Noida</v>
    <v>9365503b-170f-0cda-2f58-b57e6b2b8450</v>
    <v>en-US</v>
    <v>Map</v>
  </rv>
  <rv s="0">
    <v>536870912</v>
    <v>Gautam Buddh Nagar district</v>
    <v>35fb9185-fc32-cfac-a2e8-47ffeb76ed30</v>
    <v>en-US</v>
    <v>Map</v>
  </rv>
  <rv s="1">
    <fb>92.1</fb>
    <v>8</v>
  </rv>
  <rv s="2">
    <v>3</v>
    <v>6</v>
    <v>18</v>
    <v>7</v>
    <v>0</v>
    <v>Image of Noida</v>
  </rv>
  <rv s="1">
    <fb>28.57</fb>
    <v>9</v>
  </rv>
  <rv s="0">
    <v>805306368</v>
    <v>Sanjeev Kumar Mittal (Chairman)</v>
    <v>3ee9babc-b402-cff4-05e6-9d485a54b63a</v>
    <v>en-US</v>
    <v>Generic</v>
  </rv>
  <rv s="4">
    <v>3</v>
  </rv>
  <rv s="3">
    <v>https://www.bing.com/search?q=noida&amp;form=skydnc</v>
    <v>Learn more on Bing</v>
  </rv>
  <rv s="1">
    <fb>77.319999999999993</fb>
    <v>9</v>
  </rv>
  <rv s="1">
    <fb>637272</fb>
    <v>8</v>
  </rv>
  <rv s="8">
    <v>#VALUE!</v>
    <v>en-US</v>
    <v>9365503b-170f-0cda-2f58-b57e6b2b8450</v>
    <v>536870912</v>
    <v>1</v>
    <v>19</v>
    <v>20</v>
    <v>Noida</v>
    <v>4</v>
    <v>5</v>
    <v>Map</v>
    <v>6</v>
    <v>21</v>
    <v>34</v>
    <v>35</v>
    <v>3</v>
    <v>Noida, short for New Okhla Industrial Development Authority, is a city located in Gautam Buddha Nagar district of the Indian state of Uttar Pradesh. Noida is a satellite city of Delhi and is a part of the National Capital Region. As per ...</v>
    <v>36</v>
    <v>37</v>
    <v>39</v>
    <v>40</v>
    <v>41</v>
    <v>Noida</v>
    <v>42</v>
    <v>Noida</v>
    <v>mdp/vdpid/7408355684812587009</v>
  </rv>
  <rv s="0">
    <v>536870912</v>
    <v>Kolkata</v>
    <v>e5f8e89d-f3e0-3a9e-7b62-24348d526819</v>
    <v>en-US</v>
    <v>Map</v>
  </rv>
  <rv s="1">
    <fb>206.08</fb>
    <v>8</v>
  </rv>
  <rv s="2">
    <v>4</v>
    <v>6</v>
    <v>22</v>
    <v>7</v>
    <v>0</v>
    <v>Image of Kolkata</v>
  </rv>
  <rv s="1">
    <fb>22.572672300000001</fb>
    <v>9</v>
  </rv>
  <rv s="0">
    <v>805306368</v>
    <v>Firhad Hakim (Mayor)</v>
    <v>899268aa-2ac9-4a09-bb3c-8fa5b3ea6848</v>
    <v>en-US</v>
    <v>Generic</v>
  </rv>
  <rv s="0">
    <v>805306368</v>
    <v>Atin Ghosh (Deputy mayor)</v>
    <v>adf686c6-c7c3-d05a-cbf1-7ef2a186f59b</v>
    <v>en-US</v>
    <v>Generic</v>
  </rv>
  <rv s="4">
    <v>4</v>
  </rv>
  <rv s="3">
    <v>https://www.bing.com/search?q=kolkata&amp;form=skydnc</v>
    <v>Learn more on Bing</v>
  </rv>
  <rv s="1">
    <fb>88.363881500000005</fb>
    <v>9</v>
  </rv>
  <rv s="1">
    <fb>4496694</fb>
    <v>8</v>
  </rv>
  <rv s="9">
    <v>#VALUE!</v>
    <v>en-US</v>
    <v>e5f8e89d-f3e0-3a9e-7b62-24348d526819</v>
    <v>536870912</v>
    <v>1</v>
    <v>23</v>
    <v>24</v>
    <v>Kolkata</v>
    <v>4</v>
    <v>5</v>
    <v>Map</v>
    <v>6</v>
    <v>21</v>
    <v>45</v>
    <v>3</v>
    <v>Kolkata is the capital and largest city of the Indian state of West Bengal. It lies on the eastern bank of the Hooghly River, 80 km west of the border with Bangladesh. It is the primary financial and commercial center of eastern and northeastern ...</v>
    <v>46</v>
    <v>47</v>
    <v>50</v>
    <v>51</v>
    <v>52</v>
    <v>Kolkata</v>
    <v>53</v>
    <v>Kolkata</v>
    <v>mdp/vdpid/7421784768603226114</v>
  </rv>
</rvData>
</file>

<file path=xl/richData/rdrichvaluestructure.xml><?xml version="1.0" encoding="utf-8"?>
<rvStructures xmlns="http://schemas.microsoft.com/office/spreadsheetml/2017/richdata" count="10">
  <s t="_linkedentity2">
    <k n="%EntityServiceId" t="i"/>
    <k n="_DisplayString" t="s"/>
    <k n="%EntityId" t="s"/>
    <k n="%EntityCulture" t="s"/>
    <k n="_Icon" t="s"/>
  </s>
  <s t="_formattednumber">
    <k n="_Format" t="spb"/>
  </s>
  <s t="_webimage">
    <k n="WebImageIdentifier" t="i"/>
    <k n="_Provider" t="spb"/>
    <k n="Attribution" t="spb"/>
    <k n="CalcOrigin" t="i"/>
    <k n="ComputedImage" t="b"/>
    <k n="Text" t="s"/>
  </s>
  <s t="_hyperlink">
    <k n="Address" t="s"/>
    <k n="Text" t="s"/>
  </s>
  <s t="_array">
    <k n="array" t="a"/>
  </s>
  <s t="_linkedentity2core">
    <k n="_CRID" t="e"/>
    <k n="%EntityCulture" t="s"/>
    <k n="%EntityId" t="s"/>
    <k n="%EntityServiceId" t="i"/>
    <k n="%IsRefreshable" t="b"/>
    <k n="_Attribution" t="spb"/>
    <k n="_Display" t="spb"/>
    <k n="_DisplayString" t="s"/>
    <k n="_Flags" t="spb"/>
    <k n="_Format" t="spb"/>
    <k n="_Icon" t="s"/>
    <k n="_Provider" t="spb"/>
    <k n="_SubLabel" t="spb"/>
    <k n="Admin Division 2 (County/district/other)" t="r"/>
    <k n="Area" t="r"/>
    <k n="Country/region" t="r"/>
    <k n="Description" t="s"/>
    <k n="Image" t="r"/>
    <k n="Latitude" t="r"/>
    <k n="LearnMoreOnLink" t="r"/>
    <k n="Longitude" t="r"/>
    <k n="Name" t="s"/>
    <k n="Population" t="r"/>
    <k n="Time zone(s)" t="r"/>
    <k n="UniqueName" t="s"/>
    <k n="VDPID/VSID" t="s"/>
  </s>
  <s t="_linkedentity2core">
    <k n="_CRID" t="e"/>
    <k n="%EntityCulture" t="s"/>
    <k n="%EntityId" t="s"/>
    <k n="%EntityServiceId" t="i"/>
    <k n="%IsRefreshable" t="b"/>
    <k n="_Attribution" t="spb"/>
    <k n="_Display" t="spb"/>
    <k n="_DisplayString" t="s"/>
    <k n="_Flags" t="spb"/>
    <k n="_Format" t="spb"/>
    <k n="_Icon" t="s"/>
    <k n="_Provider" t="spb"/>
    <k n="_SubLabel" t="spb"/>
    <k n="Admin Division 1 (State/province/other)" t="r"/>
    <k n="Area" t="r"/>
    <k n="Country/region" t="r"/>
    <k n="Description" t="s"/>
    <k n="Image" t="r"/>
    <k n="Latitude" t="r"/>
    <k n="Leader(s)" t="r"/>
    <k n="LearnMoreOnLink" t="r"/>
    <k n="Longitude" t="r"/>
    <k n="Name" t="s"/>
    <k n="Population" t="r"/>
    <k n="Time zone(s)" t="r"/>
    <k n="UniqueName" t="s"/>
    <k n="VDPID/VSID" t="s"/>
  </s>
  <s t="_linkedentity2core">
    <k n="_CRID" t="e"/>
    <k n="%EntityCulture" t="s"/>
    <k n="%EntityId" t="s"/>
    <k n="%EntityServiceId" t="i"/>
    <k n="%IsRefreshable" t="b"/>
    <k n="_Attribution" t="spb"/>
    <k n="_Display" t="spb"/>
    <k n="_DisplayString" t="s"/>
    <k n="_Flags" t="spb"/>
    <k n="_Format" t="spb"/>
    <k n="_Icon" t="s"/>
    <k n="_Provider" t="spb"/>
    <k n="_SubLabel" t="spb"/>
    <k n="Area" t="r"/>
    <k n="Country/region" t="r"/>
    <k n="Description" t="s"/>
    <k n="Image" t="r"/>
    <k n="Latitude" t="r"/>
    <k n="Leader(s)" t="r"/>
    <k n="LearnMoreOnLink" t="r"/>
    <k n="Longitude" t="r"/>
    <k n="Name" t="s"/>
    <k n="Population" t="r"/>
    <k n="Time zone(s)" t="r"/>
    <k n="UniqueName" t="s"/>
    <k n="VDPID/VSID" t="s"/>
  </s>
  <s t="_linkedentity2core">
    <k n="_CRID" t="e"/>
    <k n="%EntityCulture" t="s"/>
    <k n="%EntityId" t="s"/>
    <k n="%EntityServiceId" t="i"/>
    <k n="%IsRefreshable" t="b"/>
    <k n="_Attribution" t="spb"/>
    <k n="_Display" t="spb"/>
    <k n="_DisplayString" t="s"/>
    <k n="_Flags" t="spb"/>
    <k n="_Format" t="spb"/>
    <k n="_Icon" t="s"/>
    <k n="_Provider" t="spb"/>
    <k n="_SubLabel" t="spb"/>
    <k n="Admin Division 2 (County/district/other)" t="r"/>
    <k n="Area" t="r"/>
    <k n="Country/region" t="r"/>
    <k n="Description" t="s"/>
    <k n="Image" t="r"/>
    <k n="Latitude" t="r"/>
    <k n="Leader(s)" t="r"/>
    <k n="LearnMoreOnLink" t="r"/>
    <k n="Longitude" t="r"/>
    <k n="Name" t="s"/>
    <k n="Population" t="r"/>
    <k n="UniqueName" t="s"/>
    <k n="VDPID/VSID" t="s"/>
  </s>
  <s t="_linkedentity2core">
    <k n="_CRID" t="e"/>
    <k n="%EntityCulture" t="s"/>
    <k n="%EntityId" t="s"/>
    <k n="%EntityServiceId" t="i"/>
    <k n="%IsRefreshable" t="b"/>
    <k n="_Attribution" t="spb"/>
    <k n="_Display" t="spb"/>
    <k n="_DisplayString" t="s"/>
    <k n="_Flags" t="spb"/>
    <k n="_Format" t="spb"/>
    <k n="_Icon" t="s"/>
    <k n="_Provider" t="spb"/>
    <k n="_SubLabel" t="spb"/>
    <k n="Area" t="r"/>
    <k n="Country/region" t="r"/>
    <k n="Description" t="s"/>
    <k n="Image" t="r"/>
    <k n="Latitude" t="r"/>
    <k n="Leader(s)" t="r"/>
    <k n="LearnMoreOnLink" t="r"/>
    <k n="Longitude" t="r"/>
    <k n="Name" t="s"/>
    <k n="Population" t="r"/>
    <k n="UniqueName" t="s"/>
    <k n="VDPID/VSID" t="s"/>
  </s>
</rvStructures>
</file>

<file path=xl/richData/rdsupportingpropertybag.xml><?xml version="1.0" encoding="utf-8"?>
<supportingPropertyBags xmlns="http://schemas.microsoft.com/office/spreadsheetml/2017/richdata2">
  <spbArrays count="5">
    <a count="25">
      <v t="s">%EntityServiceId</v>
      <v t="s">%IsRefreshable</v>
      <v t="s">%EntityCulture</v>
      <v t="s">%EntityId</v>
      <v t="s">_Icon</v>
      <v t="s">_Provider</v>
      <v t="s">_Attribution</v>
      <v t="s">_Display</v>
      <v t="s">Name</v>
      <v t="s">_Format</v>
      <v t="s">Admin Division 2 (County/district/other)</v>
      <v t="s">Country/region</v>
      <v t="s">_SubLabel</v>
      <v t="s">Population</v>
      <v t="s">Area</v>
      <v t="s">Latitude</v>
      <v t="s">Longitude</v>
      <v t="s">Time zone(s)</v>
      <v t="s">_Flags</v>
      <v t="s">VDPID/VSID</v>
      <v t="s">UniqueName</v>
      <v t="s">_DisplayString</v>
      <v t="s">LearnMoreOnLink</v>
      <v t="s">Image</v>
      <v t="s">Description</v>
    </a>
    <a count="26">
      <v t="s">%EntityServiceId</v>
      <v t="s">%IsRefreshable</v>
      <v t="s">%EntityCulture</v>
      <v t="s">%EntityId</v>
      <v t="s">_Icon</v>
      <v t="s">_Provider</v>
      <v t="s">_Attribution</v>
      <v t="s">_Display</v>
      <v t="s">Name</v>
      <v t="s">_Format</v>
      <v t="s">Admin Division 1 (State/province/other)</v>
      <v t="s">Country/region</v>
      <v t="s">Leader(s)</v>
      <v t="s">_SubLabel</v>
      <v t="s">Population</v>
      <v t="s">Area</v>
      <v t="s">Latitude</v>
      <v t="s">Longitude</v>
      <v t="s">Time zone(s)</v>
      <v t="s">_Flags</v>
      <v t="s">VDPID/VSID</v>
      <v t="s">UniqueName</v>
      <v t="s">_DisplayString</v>
      <v t="s">LearnMoreOnLink</v>
      <v t="s">Image</v>
      <v t="s">Description</v>
    </a>
    <a count="25">
      <v t="s">%EntityServiceId</v>
      <v t="s">%IsRefreshable</v>
      <v t="s">%EntityCulture</v>
      <v t="s">%EntityId</v>
      <v t="s">_Icon</v>
      <v t="s">_Provider</v>
      <v t="s">_Attribution</v>
      <v t="s">_Display</v>
      <v t="s">Name</v>
      <v t="s">_Format</v>
      <v t="s">Country/region</v>
      <v t="s">Leader(s)</v>
      <v t="s">_SubLabel</v>
      <v t="s">Population</v>
      <v t="s">Area</v>
      <v t="s">Latitude</v>
      <v t="s">Longitude</v>
      <v t="s">Time zone(s)</v>
      <v t="s">_Flags</v>
      <v t="s">VDPID/VSID</v>
      <v t="s">UniqueName</v>
      <v t="s">_DisplayString</v>
      <v t="s">LearnMoreOnLink</v>
      <v t="s">Image</v>
      <v t="s">Description</v>
    </a>
    <a count="25">
      <v t="s">%EntityServiceId</v>
      <v t="s">%IsRefreshable</v>
      <v t="s">%EntityCulture</v>
      <v t="s">%EntityId</v>
      <v t="s">_Icon</v>
      <v t="s">_Provider</v>
      <v t="s">_Attribution</v>
      <v t="s">_Display</v>
      <v t="s">Name</v>
      <v t="s">_Format</v>
      <v t="s">Admin Division 2 (County/district/other)</v>
      <v t="s">Country/region</v>
      <v t="s">Leader(s)</v>
      <v t="s">_SubLabel</v>
      <v t="s">Population</v>
      <v t="s">Area</v>
      <v t="s">Latitude</v>
      <v t="s">Longitude</v>
      <v t="s">_Flags</v>
      <v t="s">VDPID/VSID</v>
      <v t="s">UniqueName</v>
      <v t="s">_DisplayString</v>
      <v t="s">LearnMoreOnLink</v>
      <v t="s">Image</v>
      <v t="s">Description</v>
    </a>
    <a count="24">
      <v t="s">%EntityServiceId</v>
      <v t="s">%IsRefreshable</v>
      <v t="s">%EntityCulture</v>
      <v t="s">%EntityId</v>
      <v t="s">_Icon</v>
      <v t="s">_Provider</v>
      <v t="s">_Attribution</v>
      <v t="s">_Display</v>
      <v t="s">Name</v>
      <v t="s">_Format</v>
      <v t="s">Country/region</v>
      <v t="s">Leader(s)</v>
      <v t="s">_SubLabel</v>
      <v t="s">Population</v>
      <v t="s">Area</v>
      <v t="s">Latitude</v>
      <v t="s">Longitude</v>
      <v t="s">_Flags</v>
      <v t="s">VDPID/VSID</v>
      <v t="s">UniqueName</v>
      <v t="s">_DisplayString</v>
      <v t="s">LearnMoreOnLink</v>
      <v t="s">Image</v>
      <v t="s">Description</v>
    </a>
  </spbArrays>
  <spbData count="25">
    <spb s="0">
      <v xml:space="preserve">Wikipedia	</v>
      <v xml:space="preserve">CC BY-SA 3.0	</v>
      <v xml:space="preserve">https://en.wikipedia.org/wiki/Pune	</v>
      <v xml:space="preserve">https://creativecommons.org/licenses/by-sa/3.0	</v>
    </spb>
    <spb s="1">
      <v>0</v>
      <v>0</v>
      <v>0</v>
      <v>0</v>
      <v>0</v>
      <v>0</v>
      <v>0</v>
      <v>0</v>
      <v>0</v>
    </spb>
    <spb s="2">
      <v>0</v>
      <v>Name</v>
      <v>LearnMoreOnLink</v>
    </spb>
    <spb s="3">
      <v>0</v>
      <v>0</v>
      <v>0</v>
    </spb>
    <spb s="4">
      <v>3</v>
      <v>3</v>
      <v>3</v>
    </spb>
    <spb s="5">
      <v>1</v>
      <v>2</v>
    </spb>
    <spb s="6">
      <v>https://www.bing.com</v>
      <v>https://www.bing.com/th?id=Ga%5Cbing_yt.png&amp;w=100&amp;h=40&amp;c=0&amp;pid=0.1</v>
      <v>Powered by Bing</v>
    </spb>
    <spb s="7">
      <v>square km</v>
      <v>2016</v>
    </spb>
    <spb s="8">
      <v>3</v>
    </spb>
    <spb s="8">
      <v>4</v>
    </spb>
    <spb s="0">
      <v xml:space="preserve">Wikipedia	</v>
      <v xml:space="preserve">CC BY-SA 3.0	</v>
      <v xml:space="preserve">https://en.wikipedia.org/wiki/Ahmedabad	</v>
      <v xml:space="preserve">https://creativecommons.org/licenses/by-sa/3.0	</v>
    </spb>
    <spb s="9">
      <v>10</v>
      <v>10</v>
      <v>10</v>
      <v>10</v>
      <v>10</v>
      <v>10</v>
      <v>10</v>
      <v>10</v>
      <v>10</v>
    </spb>
    <spb s="2">
      <v>1</v>
      <v>Name</v>
      <v>LearnMoreOnLink</v>
    </spb>
    <spb s="7">
      <v>square km</v>
      <v>2024</v>
    </spb>
    <spb s="0">
      <v xml:space="preserve">Wikipedia	</v>
      <v xml:space="preserve">CC BY-SA 3.0	</v>
      <v xml:space="preserve">https://en.wikipedia.org/wiki/Bengaluru	</v>
      <v xml:space="preserve">https://creativecommons.org/licenses/by-sa/3.0	</v>
    </spb>
    <spb s="10">
      <v>14</v>
      <v>14</v>
      <v>14</v>
      <v>14</v>
      <v>14</v>
      <v>14</v>
      <v>14</v>
      <v>14</v>
    </spb>
    <spb s="2">
      <v>2</v>
      <v>Name</v>
      <v>LearnMoreOnLink</v>
    </spb>
    <spb s="7">
      <v>square km</v>
      <v>2020</v>
    </spb>
    <spb s="0">
      <v xml:space="preserve">Wikipedia	</v>
      <v xml:space="preserve">CC BY-SA 3.0	</v>
      <v xml:space="preserve">https://en.wikipedia.org/wiki/Noida	</v>
      <v xml:space="preserve">https://creativecommons.org/licenses/by-sa/3.0	</v>
    </spb>
    <spb s="1">
      <v>18</v>
      <v>18</v>
      <v>18</v>
      <v>18</v>
      <v>18</v>
      <v>18</v>
      <v>18</v>
      <v>18</v>
      <v>18</v>
    </spb>
    <spb s="2">
      <v>3</v>
      <v>Name</v>
      <v>LearnMoreOnLink</v>
    </spb>
    <spb s="7">
      <v>square km</v>
      <v>2011</v>
    </spb>
    <spb s="0">
      <v xml:space="preserve">Wikipedia	</v>
      <v xml:space="preserve">CC BY-SA 3.0	</v>
      <v xml:space="preserve">https://en.wikipedia.org/wiki/Kolkata	</v>
      <v xml:space="preserve">https://creativecommons.org/licenses/by-sa/3.0	</v>
    </spb>
    <spb s="10">
      <v>22</v>
      <v>22</v>
      <v>22</v>
      <v>22</v>
      <v>22</v>
      <v>22</v>
      <v>22</v>
      <v>22</v>
    </spb>
    <spb s="2">
      <v>4</v>
      <v>Name</v>
      <v>LearnMoreOnLink</v>
    </spb>
  </spbData>
</supportingPropertyBags>
</file>

<file path=xl/richData/rdsupportingpropertybagstructure.xml><?xml version="1.0" encoding="utf-8"?>
<spbStructures xmlns="http://schemas.microsoft.com/office/spreadsheetml/2017/richdata2" count="11">
  <s>
    <k n="SourceText" t="s"/>
    <k n="LicenseText" t="s"/>
    <k n="SourceAddress" t="s"/>
    <k n="LicenseAddress" t="s"/>
  </s>
  <s>
    <k n="Area" t="spb"/>
    <k n="Name" t="spb"/>
    <k n="Latitude" t="spb"/>
    <k n="Longitude" t="spb"/>
    <k n="Population" t="spb"/>
    <k n="UniqueName" t="spb"/>
    <k n="Description" t="spb"/>
    <k n="Country/region" t="spb"/>
    <k n="Admin Division 2 (County/district/other)" t="spb"/>
  </s>
  <s>
    <k n="^Order" t="spba"/>
    <k n="TitleProperty" t="s"/>
    <k n="SubTitleProperty" t="s"/>
  </s>
  <s>
    <k n="ShowInCardView" t="b"/>
    <k n="ShowInDotNotation" t="b"/>
    <k n="ShowInAutoComplete" t="b"/>
  </s>
  <s>
    <k n="UniqueName" t="spb"/>
    <k n="VDPID/VSID" t="spb"/>
    <k n="LearnMoreOnLink" t="spb"/>
  </s>
  <s>
    <k n="Name" t="i"/>
    <k n="Image" t="i"/>
  </s>
  <s>
    <k n="link" t="s"/>
    <k n="logo" t="s"/>
    <k n="name" t="s"/>
  </s>
  <s>
    <k n="Area" t="s"/>
    <k n="Population" t="s"/>
  </s>
  <s>
    <k n="_Self" t="i"/>
  </s>
  <s>
    <k n="Area" t="spb"/>
    <k n="Name" t="spb"/>
    <k n="Latitude" t="spb"/>
    <k n="Longitude" t="spb"/>
    <k n="Population" t="spb"/>
    <k n="UniqueName" t="spb"/>
    <k n="Description" t="spb"/>
    <k n="Country/region" t="spb"/>
    <k n="Admin Division 1 (State/province/other)" t="spb"/>
  </s>
  <s>
    <k n="Area" t="spb"/>
    <k n="Name" t="spb"/>
    <k n="Latitude" t="spb"/>
    <k n="Longitude" t="spb"/>
    <k n="Population" t="spb"/>
    <k n="UniqueName" t="spb"/>
    <k n="Description" t="spb"/>
    <k n="Country/region" t="spb"/>
  </s>
</spbStructures>
</file>

<file path=xl/richData/richStyles.xml><?xml version="1.0" encoding="utf-8"?>
<richStyleSheet xmlns="http://schemas.microsoft.com/office/spreadsheetml/2017/richdata2" xmlns:mc="http://schemas.openxmlformats.org/markup-compatibility/2006" xmlns:x="http://schemas.openxmlformats.org/spreadsheetml/2006/main" mc:Ignorable="x">
  <dxfs count="2">
    <x:dxf>
      <x:numFmt numFmtId="3" formatCode="#,##0"/>
    </x:dxf>
    <x:dxf>
      <x:numFmt numFmtId="0" formatCode="General"/>
    </x:dxf>
  </dxfs>
  <richProperties>
    <rPr n="IsTitleField" t="b"/>
    <rPr n="IsHeroField" t="b"/>
    <rPr n="NumberFormat" t="s"/>
  </richProperties>
  <richStyles>
    <rSty>
      <rpv i="0">1</rpv>
    </rSty>
    <rSty>
      <rpv i="1">1</rpv>
    </rSty>
    <rSty dxfid="0">
      <rpv i="2">#,##0</rpv>
    </rSty>
    <rSty dxfid="1">
      <rpv i="2">0.0000</rpv>
    </rSty>
  </richStyles>
</richStyleSheet>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hyperlink" Target="mailto:ishaan.deshpande32@gmail.com" TargetMode="External"/><Relationship Id="rId7" Type="http://schemas.openxmlformats.org/officeDocument/2006/relationships/printerSettings" Target="../printerSettings/printerSettings1.bin"/><Relationship Id="rId2" Type="http://schemas.openxmlformats.org/officeDocument/2006/relationships/hyperlink" Target="mailto:mdsohailapr@gmail.com" TargetMode="External"/><Relationship Id="rId1" Type="http://schemas.openxmlformats.org/officeDocument/2006/relationships/hyperlink" Target="mailto:ritwikpratapsingh111@gmail.com%22%20%3critwikpratapsingh111@gmail.com" TargetMode="External"/><Relationship Id="rId6" Type="http://schemas.openxmlformats.org/officeDocument/2006/relationships/hyperlink" Target="mailto:guru141997@gmail.com" TargetMode="External"/><Relationship Id="rId5" Type="http://schemas.openxmlformats.org/officeDocument/2006/relationships/hyperlink" Target="mailto:mayank_r_a_j@yahoo.com" TargetMode="External"/><Relationship Id="rId4" Type="http://schemas.openxmlformats.org/officeDocument/2006/relationships/hyperlink" Target="mailto:snehal.pauskar@gmail.com" TargetMode="External"/></Relationships>
</file>

<file path=xl/worksheets/_rels/sheet2.xml.rels><?xml version="1.0" encoding="UTF-8" standalone="yes"?>
<Relationships xmlns="http://schemas.openxmlformats.org/package/2006/relationships"><Relationship Id="rId13" Type="http://schemas.openxmlformats.org/officeDocument/2006/relationships/hyperlink" Target="mailto:omkar7077@gmail.com" TargetMode="External"/><Relationship Id="rId18" Type="http://schemas.openxmlformats.org/officeDocument/2006/relationships/hyperlink" Target="mailto:Karti.v@gmail.com" TargetMode="External"/><Relationship Id="rId26" Type="http://schemas.openxmlformats.org/officeDocument/2006/relationships/hyperlink" Target="mailto:vrushalimedhe614@gmail.com" TargetMode="External"/><Relationship Id="rId39" Type="http://schemas.openxmlformats.org/officeDocument/2006/relationships/hyperlink" Target="mailto:princeguptakeshri@gmail.com" TargetMode="External"/><Relationship Id="rId21" Type="http://schemas.openxmlformats.org/officeDocument/2006/relationships/hyperlink" Target="mailto:Kedar.Joshi@gmail.com" TargetMode="External"/><Relationship Id="rId34" Type="http://schemas.openxmlformats.org/officeDocument/2006/relationships/hyperlink" Target="mailto:abhibaglane97@gmail.com" TargetMode="External"/><Relationship Id="rId42" Type="http://schemas.openxmlformats.org/officeDocument/2006/relationships/hyperlink" Target="mailto:velurugnanadeep@gmail.com" TargetMode="External"/><Relationship Id="rId47" Type="http://schemas.openxmlformats.org/officeDocument/2006/relationships/hyperlink" Target="mailto:patilutkarsh025@gmail.com" TargetMode="External"/><Relationship Id="rId7" Type="http://schemas.openxmlformats.org/officeDocument/2006/relationships/hyperlink" Target="mailto:adidshmkh92@gmail.com" TargetMode="External"/><Relationship Id="rId2" Type="http://schemas.openxmlformats.org/officeDocument/2006/relationships/hyperlink" Target="mailto:ashish.deshmukh@gmail.com" TargetMode="External"/><Relationship Id="rId16" Type="http://schemas.openxmlformats.org/officeDocument/2006/relationships/hyperlink" Target="mailto:mominsajid603@gmail.com" TargetMode="External"/><Relationship Id="rId29" Type="http://schemas.openxmlformats.org/officeDocument/2006/relationships/hyperlink" Target="mailto:abhibaglane97@gmail.com" TargetMode="External"/><Relationship Id="rId1" Type="http://schemas.openxmlformats.org/officeDocument/2006/relationships/hyperlink" Target="mailto:hemant.pareek12@gmail.com" TargetMode="External"/><Relationship Id="rId6" Type="http://schemas.openxmlformats.org/officeDocument/2006/relationships/hyperlink" Target="mailto:amolsp78@gmail.com" TargetMode="External"/><Relationship Id="rId11" Type="http://schemas.openxmlformats.org/officeDocument/2006/relationships/hyperlink" Target="mailto:d.rajupase@gmail.com" TargetMode="External"/><Relationship Id="rId24" Type="http://schemas.openxmlformats.org/officeDocument/2006/relationships/hyperlink" Target="mailto:mayank_r_a_j@yahoo.com" TargetMode="External"/><Relationship Id="rId32" Type="http://schemas.openxmlformats.org/officeDocument/2006/relationships/hyperlink" Target="mailto:pramodtakle62@gmail.com" TargetMode="External"/><Relationship Id="rId37" Type="http://schemas.openxmlformats.org/officeDocument/2006/relationships/hyperlink" Target="mailto:pruthvirajmore8390@gmail.com" TargetMode="External"/><Relationship Id="rId40" Type="http://schemas.openxmlformats.org/officeDocument/2006/relationships/hyperlink" Target="mailto:nehaswami0695@gmail.com" TargetMode="External"/><Relationship Id="rId45" Type="http://schemas.openxmlformats.org/officeDocument/2006/relationships/hyperlink" Target="mailto:sonuagrawal0798@gmail.com" TargetMode="External"/><Relationship Id="rId5" Type="http://schemas.openxmlformats.org/officeDocument/2006/relationships/hyperlink" Target="mailto:jayashriarote9@gmail.com" TargetMode="External"/><Relationship Id="rId15" Type="http://schemas.openxmlformats.org/officeDocument/2006/relationships/hyperlink" Target="mailto:dnyanesh.mirikar.iiti@gmail.com" TargetMode="External"/><Relationship Id="rId23" Type="http://schemas.openxmlformats.org/officeDocument/2006/relationships/hyperlink" Target="mailto:Yeddula@gmail.com" TargetMode="External"/><Relationship Id="rId28" Type="http://schemas.openxmlformats.org/officeDocument/2006/relationships/hyperlink" Target="mailto:karnamdhanunjay@gmail.com" TargetMode="External"/><Relationship Id="rId36" Type="http://schemas.openxmlformats.org/officeDocument/2006/relationships/hyperlink" Target="mailto:naidusyamdoddi@gmail.com" TargetMode="External"/><Relationship Id="rId10" Type="http://schemas.openxmlformats.org/officeDocument/2006/relationships/hyperlink" Target="mailto:archanaudar47@gmail.com" TargetMode="External"/><Relationship Id="rId19" Type="http://schemas.openxmlformats.org/officeDocument/2006/relationships/hyperlink" Target="mailto:Piyush@gmail.com" TargetMode="External"/><Relationship Id="rId31" Type="http://schemas.openxmlformats.org/officeDocument/2006/relationships/hyperlink" Target="mailto:maheshbhintade19@gmail.com" TargetMode="External"/><Relationship Id="rId44" Type="http://schemas.openxmlformats.org/officeDocument/2006/relationships/hyperlink" Target="mailto:akshaywajge56@gmail.com" TargetMode="External"/><Relationship Id="rId4" Type="http://schemas.openxmlformats.org/officeDocument/2006/relationships/hyperlink" Target="mailto:shiwanimilindfasate@outlook.com" TargetMode="External"/><Relationship Id="rId9" Type="http://schemas.openxmlformats.org/officeDocument/2006/relationships/hyperlink" Target="mailto:ankush9096@gmail.com" TargetMode="External"/><Relationship Id="rId14" Type="http://schemas.openxmlformats.org/officeDocument/2006/relationships/hyperlink" Target="mailto:mayuridanej127@gmail.com" TargetMode="External"/><Relationship Id="rId22" Type="http://schemas.openxmlformats.org/officeDocument/2006/relationships/hyperlink" Target="mailto:Jaykumar@gmail.com" TargetMode="External"/><Relationship Id="rId27" Type="http://schemas.openxmlformats.org/officeDocument/2006/relationships/hyperlink" Target="mailto:shekharpawarbe@gmail.com" TargetMode="External"/><Relationship Id="rId30" Type="http://schemas.openxmlformats.org/officeDocument/2006/relationships/hyperlink" Target="mailto:shubhamingle9130@gmail.com" TargetMode="External"/><Relationship Id="rId35" Type="http://schemas.openxmlformats.org/officeDocument/2006/relationships/hyperlink" Target="mailto:patikjaid19@gmail.com" TargetMode="External"/><Relationship Id="rId43" Type="http://schemas.openxmlformats.org/officeDocument/2006/relationships/hyperlink" Target="mailto:sagar.giri21@gmail.com" TargetMode="External"/><Relationship Id="rId8" Type="http://schemas.openxmlformats.org/officeDocument/2006/relationships/hyperlink" Target="mailto:mr.neeraj.nb@gmail.com" TargetMode="External"/><Relationship Id="rId3" Type="http://schemas.openxmlformats.org/officeDocument/2006/relationships/hyperlink" Target="mailto:yogeshnewal04@gmail.com" TargetMode="External"/><Relationship Id="rId12" Type="http://schemas.openxmlformats.org/officeDocument/2006/relationships/hyperlink" Target="mailto:er.sanyamjain08@gmail.com" TargetMode="External"/><Relationship Id="rId17" Type="http://schemas.openxmlformats.org/officeDocument/2006/relationships/hyperlink" Target="mailto:tejasmane621@gmail.com" TargetMode="External"/><Relationship Id="rId25" Type="http://schemas.openxmlformats.org/officeDocument/2006/relationships/hyperlink" Target="mailto:its.sahuashish@gmail.com" TargetMode="External"/><Relationship Id="rId33" Type="http://schemas.openxmlformats.org/officeDocument/2006/relationships/hyperlink" Target="mailto:sankettidke17@gmail.com" TargetMode="External"/><Relationship Id="rId38" Type="http://schemas.openxmlformats.org/officeDocument/2006/relationships/hyperlink" Target="mailto:jadhav.ankitaa98@gmail.com" TargetMode="External"/><Relationship Id="rId46" Type="http://schemas.openxmlformats.org/officeDocument/2006/relationships/hyperlink" Target="mailto:mukundpawar7767@gmail.com" TargetMode="External"/><Relationship Id="rId20" Type="http://schemas.openxmlformats.org/officeDocument/2006/relationships/hyperlink" Target="mailto:Sangeet@gmail.com" TargetMode="External"/><Relationship Id="rId41" Type="http://schemas.openxmlformats.org/officeDocument/2006/relationships/hyperlink" Target="mailto:its.sahuashish@gmail.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59A24B-BF7B-4B12-B5EC-E8870776C403}">
  <dimension ref="A1:BG997"/>
  <sheetViews>
    <sheetView tabSelected="1" topLeftCell="AS1" workbookViewId="0">
      <pane ySplit="1" topLeftCell="A2" activePane="bottomLeft" state="frozen"/>
      <selection pane="bottomLeft" activeCell="BG1" sqref="BG1"/>
    </sheetView>
  </sheetViews>
  <sheetFormatPr defaultColWidth="9.1796875" defaultRowHeight="14.5"/>
  <cols>
    <col min="1" max="1" width="7.54296875" style="59" customWidth="1"/>
    <col min="2" max="2" width="9.26953125" style="59" customWidth="1"/>
    <col min="3" max="3" width="46.1796875" style="59" customWidth="1"/>
    <col min="4" max="4" width="16.7265625" style="59" bestFit="1" customWidth="1"/>
    <col min="5" max="5" width="56.1796875" style="59" customWidth="1"/>
    <col min="6" max="6" width="23.1796875" style="59" customWidth="1"/>
    <col min="7" max="7" width="32.81640625" style="59" customWidth="1"/>
    <col min="8" max="8" width="26.26953125" style="59" customWidth="1"/>
    <col min="9" max="9" width="22.7265625" style="59" customWidth="1"/>
    <col min="10" max="10" width="19.453125" style="59" customWidth="1"/>
    <col min="11" max="11" width="26.1796875" style="60" bestFit="1" customWidth="1"/>
    <col min="12" max="12" width="33.1796875" style="60" customWidth="1"/>
    <col min="13" max="13" width="18.1796875" style="60" customWidth="1"/>
    <col min="14" max="15" width="18.1796875" style="59" customWidth="1"/>
    <col min="16" max="16" width="15.26953125" style="59" customWidth="1"/>
    <col min="17" max="17" width="10.26953125" style="59" bestFit="1" customWidth="1"/>
    <col min="18" max="18" width="18.1796875" style="59" customWidth="1"/>
    <col min="19" max="19" width="13.1796875" style="59" customWidth="1"/>
    <col min="20" max="26" width="18.1796875" style="59" customWidth="1"/>
    <col min="27" max="27" width="33.453125" style="84" customWidth="1"/>
    <col min="28" max="28" width="18.1796875" style="59" customWidth="1"/>
    <col min="29" max="30" width="17.1796875" style="59" bestFit="1" customWidth="1"/>
    <col min="31" max="31" width="42.1796875" style="59" customWidth="1"/>
    <col min="32" max="32" width="29.26953125" style="59" customWidth="1"/>
    <col min="33" max="33" width="37" style="59" customWidth="1"/>
    <col min="34" max="34" width="13.453125" style="59" customWidth="1"/>
    <col min="35" max="35" width="18.1796875" style="61" customWidth="1"/>
    <col min="36" max="36" width="20.54296875" style="61" customWidth="1"/>
    <col min="37" max="37" width="18" style="59" bestFit="1" customWidth="1"/>
    <col min="38" max="38" width="19" style="59" customWidth="1"/>
    <col min="39" max="39" width="31.26953125" style="60" customWidth="1"/>
    <col min="40" max="40" width="20.1796875" style="60" customWidth="1"/>
    <col min="41" max="42" width="15.26953125" style="59" customWidth="1"/>
    <col min="43" max="44" width="10.26953125" style="60" customWidth="1"/>
    <col min="45" max="45" width="11.1796875" style="60" customWidth="1"/>
    <col min="46" max="46" width="10.26953125" style="60" customWidth="1"/>
    <col min="47" max="48" width="10.26953125" style="60" bestFit="1" customWidth="1"/>
    <col min="49" max="49" width="13.54296875" style="60" customWidth="1"/>
    <col min="50" max="50" width="7.26953125" style="59" customWidth="1"/>
    <col min="51" max="52" width="11.7265625" style="59" bestFit="1" customWidth="1"/>
    <col min="53" max="53" width="9" style="59" bestFit="1" customWidth="1"/>
    <col min="54" max="54" width="9.54296875" style="59" customWidth="1"/>
    <col min="55" max="55" width="10.54296875" style="59" bestFit="1" customWidth="1"/>
    <col min="56" max="56" width="8.54296875" style="59" bestFit="1" customWidth="1"/>
    <col min="57" max="57" width="15" style="59" customWidth="1"/>
    <col min="58" max="58" width="17.453125" style="59" customWidth="1"/>
    <col min="59" max="59" width="11.81640625" style="59" customWidth="1"/>
    <col min="60" max="16384" width="9.1796875" style="59"/>
  </cols>
  <sheetData>
    <row r="1" spans="1:59" ht="27.75" customHeight="1">
      <c r="A1" s="72" t="s">
        <v>7</v>
      </c>
      <c r="B1" s="73" t="s">
        <v>8</v>
      </c>
      <c r="C1" s="74" t="s">
        <v>9</v>
      </c>
      <c r="D1" s="74" t="s">
        <v>10</v>
      </c>
      <c r="E1" s="73" t="s">
        <v>11</v>
      </c>
      <c r="F1" s="72" t="s">
        <v>12</v>
      </c>
      <c r="G1" s="74" t="s">
        <v>13</v>
      </c>
      <c r="H1" s="74" t="s">
        <v>14</v>
      </c>
      <c r="I1" s="72" t="s">
        <v>15</v>
      </c>
      <c r="J1" s="74" t="s">
        <v>16</v>
      </c>
      <c r="K1" s="75" t="s">
        <v>17</v>
      </c>
      <c r="L1" s="75" t="s">
        <v>5</v>
      </c>
      <c r="M1" s="75" t="s">
        <v>4</v>
      </c>
      <c r="N1" s="73" t="s">
        <v>18</v>
      </c>
      <c r="O1" s="73" t="s">
        <v>19</v>
      </c>
      <c r="P1" s="73" t="s">
        <v>20</v>
      </c>
      <c r="Q1" s="73" t="s">
        <v>21</v>
      </c>
      <c r="R1" s="73" t="s">
        <v>22</v>
      </c>
      <c r="S1" s="73" t="s">
        <v>23</v>
      </c>
      <c r="T1" s="73" t="s">
        <v>24</v>
      </c>
      <c r="U1" s="72" t="s">
        <v>25</v>
      </c>
      <c r="V1" s="72" t="s">
        <v>26</v>
      </c>
      <c r="W1" s="72" t="s">
        <v>27</v>
      </c>
      <c r="X1" s="73" t="s">
        <v>28</v>
      </c>
      <c r="Y1" s="74" t="s">
        <v>29</v>
      </c>
      <c r="Z1" s="74" t="s">
        <v>30</v>
      </c>
      <c r="AA1" s="83" t="s">
        <v>31</v>
      </c>
      <c r="AB1" s="72" t="s">
        <v>32</v>
      </c>
      <c r="AC1" s="72" t="s">
        <v>33</v>
      </c>
      <c r="AD1" s="72" t="s">
        <v>34</v>
      </c>
      <c r="AE1" s="72" t="s">
        <v>35</v>
      </c>
      <c r="AF1" s="72" t="s">
        <v>36</v>
      </c>
      <c r="AG1" s="72" t="s">
        <v>37</v>
      </c>
      <c r="AH1" s="74" t="s">
        <v>38</v>
      </c>
      <c r="AI1" s="73" t="s">
        <v>39</v>
      </c>
      <c r="AJ1" s="73" t="s">
        <v>40</v>
      </c>
      <c r="AK1" s="72" t="s">
        <v>41</v>
      </c>
      <c r="AL1" s="72" t="s">
        <v>42</v>
      </c>
      <c r="AM1" s="73" t="s">
        <v>43</v>
      </c>
      <c r="AN1" s="73" t="s">
        <v>44</v>
      </c>
      <c r="AO1" s="75" t="s">
        <v>45</v>
      </c>
      <c r="AP1" s="75" t="s">
        <v>46</v>
      </c>
      <c r="AQ1" s="75" t="s">
        <v>47</v>
      </c>
      <c r="AR1" s="75" t="s">
        <v>48</v>
      </c>
      <c r="AS1" s="76" t="s">
        <v>49</v>
      </c>
      <c r="AT1" s="77" t="s">
        <v>50</v>
      </c>
      <c r="AU1" s="77" t="s">
        <v>51</v>
      </c>
      <c r="AV1" s="77" t="s">
        <v>52</v>
      </c>
      <c r="AW1" s="77" t="s">
        <v>53</v>
      </c>
      <c r="AX1" s="77" t="s">
        <v>54</v>
      </c>
      <c r="AY1" s="77" t="s">
        <v>55</v>
      </c>
      <c r="AZ1" s="77" t="s">
        <v>56</v>
      </c>
      <c r="BA1" s="77" t="s">
        <v>57</v>
      </c>
      <c r="BB1" s="77" t="s">
        <v>58</v>
      </c>
      <c r="BC1" s="77" t="s">
        <v>59</v>
      </c>
      <c r="BD1" s="78" t="s">
        <v>60</v>
      </c>
      <c r="BE1" s="78" t="s">
        <v>61</v>
      </c>
      <c r="BF1" s="78" t="s">
        <v>62</v>
      </c>
      <c r="BG1" s="78" t="s">
        <v>63</v>
      </c>
    </row>
    <row r="2" spans="1:59">
      <c r="A2" s="67">
        <v>1</v>
      </c>
      <c r="B2" s="67">
        <v>20245762</v>
      </c>
      <c r="C2" s="67" t="s">
        <v>64</v>
      </c>
      <c r="D2" s="67" t="s">
        <v>65</v>
      </c>
      <c r="E2" s="67" t="s">
        <v>66</v>
      </c>
      <c r="F2" s="67" t="s">
        <v>67</v>
      </c>
      <c r="G2" s="67" t="s">
        <v>3</v>
      </c>
      <c r="H2" s="67" t="s">
        <v>68</v>
      </c>
      <c r="I2" s="67" t="s">
        <v>69</v>
      </c>
      <c r="J2" s="67" t="s">
        <v>70</v>
      </c>
      <c r="K2" s="68">
        <v>45532</v>
      </c>
      <c r="L2" s="68">
        <v>45161</v>
      </c>
      <c r="M2" s="68">
        <v>45161</v>
      </c>
      <c r="N2" s="67" t="s">
        <v>71</v>
      </c>
      <c r="O2" s="68"/>
      <c r="P2" s="68"/>
      <c r="Q2" s="68"/>
      <c r="R2" s="68"/>
      <c r="S2" s="68"/>
      <c r="T2" s="68"/>
      <c r="U2" s="67"/>
      <c r="V2" s="67"/>
      <c r="W2" s="67"/>
      <c r="X2" s="67" t="s">
        <v>72</v>
      </c>
      <c r="Y2" s="67" t="s">
        <v>73</v>
      </c>
      <c r="Z2" s="67" t="s">
        <v>74</v>
      </c>
      <c r="AA2" s="67" t="s">
        <v>75</v>
      </c>
      <c r="AB2" s="67">
        <v>30</v>
      </c>
      <c r="AC2" s="67">
        <v>19</v>
      </c>
      <c r="AD2" s="67"/>
      <c r="AE2" s="67" t="s">
        <v>6</v>
      </c>
      <c r="AF2" s="67"/>
      <c r="AG2" s="67"/>
      <c r="AH2" s="68"/>
      <c r="AI2" s="68"/>
      <c r="AJ2" s="68"/>
      <c r="AK2" s="67"/>
      <c r="AL2" s="67"/>
      <c r="AM2" s="68"/>
      <c r="AN2" s="68"/>
      <c r="AO2" s="68"/>
      <c r="AP2" s="68"/>
      <c r="AQ2" s="68"/>
      <c r="AR2" s="68"/>
      <c r="AS2" s="68"/>
      <c r="AT2" s="67">
        <f t="shared" ref="AT2" ca="1" si="0">IFERROR(SUM(IF(AND(ISBLANK(T2),ISBLANK(Q2)),0,IF(T2="",TODAY()-Q2,T2-Q2))+IF(AND(ISBLANK(S2),ISBLANK(P2)),0,IF(S2="",TODAY()-P2,S2-P2))+IF(AND(ISBLANK(O2),ISBLANK(R2)),0,IF(R2="",TODAY()-O2,R2-O2))),"")</f>
        <v>0</v>
      </c>
      <c r="AU2" s="79" t="str">
        <f ca="1">IFERROR(IF(($M2=""),"",IF(OR(,$C2="Offer in Progress",$C2="WIP",$C2="WIP/Drop",$C2="WIP/New",$C2="WIP/Hold"),(TODAY()-$M2)-$AT2,"")),"")</f>
        <v/>
      </c>
      <c r="AV2" s="79" t="str" cm="1">
        <f t="array" aca="1" ref="AV2" ca="1">IFERROR(_xlfn.IFS($AU2="","",$AU2&lt;=15,"0-15",AND($AU2&gt;=16,$AU2&lt;=30),"16-30",AND($AU2&gt;=31,$AU2&lt;=45),"31-45",AND($AU2&gt;=46,$AU2&lt;=60),"46-60",AND($AU2&gt;=61,$AU2&lt;=90),"61-90",AND($AU2&gt;=91),"&gt; 90",AND($AU2&gt;=2000),""),"")</f>
        <v/>
      </c>
      <c r="AW2" s="79" t="str" cm="1">
        <f t="array" aca="1" ref="AW2" ca="1">IFERROR(_xlfn.IFS(OR($M2="",$AM2=""),"",OR($C2="Offered",$C2="Joined"),($AM2-$M2)-$AT2),"")</f>
        <v/>
      </c>
      <c r="AX2" s="79" t="str" cm="1">
        <f t="array" aca="1" ref="AX2" ca="1">IFERROR(_xlfn.IFS(OR($M2="",$AS2=""),"",$C2="Joined",($AS2-$M2)-$AT2),"")</f>
        <v/>
      </c>
      <c r="AY2" s="67" t="str">
        <f>IFERROR(IF(COUNTIFS('Candidate Tracker'!$E:$E,'Positions Tracker'!$B2,'Candidate Tracker'!$C:$C,"Offer Drop")=0,"",COUNTIFS('Candidate Tracker'!$E:$E,'Positions Tracker'!$B2,'Candidate Tracker'!$C:$C,"Offer Drop")),"")</f>
        <v/>
      </c>
      <c r="AZ2" s="80">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0.88111888111888115</v>
      </c>
      <c r="BA2" s="81" t="str">
        <f>IFERROR(IF(COUNTIFS('Candidate Tracker'!$E:$E,'Positions Tracker'!$B2,'Candidate Tracker'!$I:$I,"Female")=0,"",COUNTIFS('Candidate Tracker'!$E:$E,'Positions Tracker'!$B2,'Candidate Tracker'!$I:$I,"Female")),"")</f>
        <v/>
      </c>
      <c r="BB2" s="81">
        <f>IFERROR(IF(COUNTIFS('Candidate Tracker'!$E:$E,'Positions Tracker'!$B2,'Candidate Tracker'!$I:$I,"male")=0,"",COUNTIFS('Candidate Tracker'!$E:$E,'Positions Tracker'!$B2,'Candidate Tracker'!$I:$I,"male")),"")</f>
        <v>7</v>
      </c>
      <c r="BC2" s="80" t="str">
        <f>IFERROR(IF(COUNTIFS('Candidate Tracker'!$E:$E,'Positions Tracker'!$B2,'Candidate Tracker'!$C:$C,"&lt;&gt;WIP",'Candidate Tracker'!$C:$C,"&lt;&gt;Hold",'Candidate Tracker'!$C:$C,"&lt;&gt;Cancelled",'Candidate Tracker'!$C:$C,"&lt;&gt;Closed")/COUNTIFS('Candidate Tracker'!$E:$E,'Positions Tracker'!$B2)=0,"",COUNTIFS('Candidate Tracker'!$E:$E,'Positions Tracker'!$B2,'Candidate Tracker'!$C:$C,"&lt;&gt;WIP",'Candidate Tracker'!$C:$C,"&lt;&gt;Hold",'Candidate Tracker'!$C:$C,"&lt;&gt;Cancelled",'Candidate Tracker'!$C:$C,"&lt;&gt;Closed")/COUNTIFS('Candidate Tracker'!$E:$E,'Positions Tracker'!$B2)),"")</f>
        <v/>
      </c>
      <c r="BD2" s="67" t="str">
        <f t="shared" ref="BD2:BD193" si="1">IFERROR(IF($M2="","",TEXT($M2,"MMM-YY")),"")</f>
        <v>Aug-23</v>
      </c>
      <c r="BE2" s="67" t="str">
        <f t="shared" ref="BE2:BE193" si="2">IFERROR(IF($AI2="","",TEXT($AI2,"MMM-YY")),"")</f>
        <v/>
      </c>
      <c r="BF2" s="67" t="str">
        <f t="shared" ref="BF2:BF193" si="3">IFERROR(IF($AM2="","",TEXT($AM2,"MMM-YY")),"")</f>
        <v/>
      </c>
      <c r="BG2" s="67" t="str">
        <f t="shared" ref="BG2:BG193" si="4">IFERROR(IF($AS2="","",TEXT($AS2,"MMM-YY")),"")</f>
        <v/>
      </c>
    </row>
    <row r="3" spans="1:59">
      <c r="A3" s="67">
        <f t="shared" ref="A3:A66" si="5">A2+1</f>
        <v>2</v>
      </c>
      <c r="B3" s="67">
        <v>20250721</v>
      </c>
      <c r="C3" s="67" t="s">
        <v>64</v>
      </c>
      <c r="D3" s="67" t="s">
        <v>65</v>
      </c>
      <c r="E3" s="67" t="s">
        <v>76</v>
      </c>
      <c r="F3" s="67" t="s">
        <v>77</v>
      </c>
      <c r="G3" s="67" t="s">
        <v>3</v>
      </c>
      <c r="H3" s="67" t="s">
        <v>68</v>
      </c>
      <c r="I3" s="67" t="s">
        <v>78</v>
      </c>
      <c r="J3" s="67" t="s">
        <v>70</v>
      </c>
      <c r="K3" s="68">
        <v>45625</v>
      </c>
      <c r="L3" s="68">
        <v>45625</v>
      </c>
      <c r="M3" s="68">
        <v>45625</v>
      </c>
      <c r="N3" s="67" t="s">
        <v>71</v>
      </c>
      <c r="O3" s="68"/>
      <c r="P3" s="68"/>
      <c r="Q3" s="68"/>
      <c r="R3" s="68"/>
      <c r="S3" s="68"/>
      <c r="T3" s="68"/>
      <c r="U3" s="67"/>
      <c r="V3" s="67"/>
      <c r="W3" s="67"/>
      <c r="X3" s="67" t="s">
        <v>72</v>
      </c>
      <c r="Y3" s="67" t="s">
        <v>74</v>
      </c>
      <c r="Z3" s="67" t="s">
        <v>74</v>
      </c>
      <c r="AA3" s="67" t="s">
        <v>79</v>
      </c>
      <c r="AB3" s="67">
        <v>15</v>
      </c>
      <c r="AC3" s="67">
        <v>12</v>
      </c>
      <c r="AD3" s="67">
        <v>5</v>
      </c>
      <c r="AE3" s="67"/>
      <c r="AF3" s="67"/>
      <c r="AG3" s="67"/>
      <c r="AH3" s="68"/>
      <c r="AI3" s="68"/>
      <c r="AJ3" s="68"/>
      <c r="AK3" s="67"/>
      <c r="AL3" s="67"/>
      <c r="AM3" s="68"/>
      <c r="AN3" s="68"/>
      <c r="AO3" s="68"/>
      <c r="AP3" s="68"/>
      <c r="AQ3" s="68"/>
      <c r="AR3" s="68"/>
      <c r="AS3" s="68"/>
      <c r="AT3" s="67">
        <f t="shared" ref="AT3:AT66" ca="1" si="6">IFERROR(SUM(IF(AND(ISBLANK(T3),ISBLANK(Q3)),0,IF(T3="",TODAY()-Q3,T3-Q3))+IF(AND(ISBLANK(S3),ISBLANK(P3)),0,IF(S3="",TODAY()-P3,S3-P3))+IF(AND(ISBLANK(O3),ISBLANK(R3)),0,IF(R3="",TODAY()-O3,R3-O3))),"")</f>
        <v>0</v>
      </c>
      <c r="AU3" s="79" t="str">
        <f t="shared" ref="AU3:AU66" ca="1" si="7">IFERROR(IF(($M3=""),"",IF(OR(,$C3="Offer in Progress",$C3="WIP",$C3="WIP/Drop",$C3="WIP/New",$C3="WIP/Hold"),(TODAY()-$M3)-$AT3,"")),"")</f>
        <v/>
      </c>
      <c r="AV3" s="79" t="str" cm="1">
        <f t="array" aca="1" ref="AV3" ca="1">IFERROR(_xlfn.IFS($AU3="","",$AU3&lt;=15,"0-15",AND($AU3&gt;=16,$AU3&lt;=30),"16-30",AND($AU3&gt;=31,$AU3&lt;=45),"31-45",AND($AU3&gt;=46,$AU3&lt;=60),"46-60",AND($AU3&gt;=61,$AU3&lt;=90),"61-90",AND($AU3&gt;=91),"&gt; 90",AND($AU3&gt;=2000),""),"")</f>
        <v/>
      </c>
      <c r="AW3" s="79" t="str" cm="1">
        <f t="array" aca="1" ref="AW3" ca="1">IFERROR(_xlfn.IFS(OR($M3="",$AM3=""),"",OR($C3="Offered",$C3="Joined"),($AM3-$M3)-$AT3),"")</f>
        <v/>
      </c>
      <c r="AX3" s="79" t="str" cm="1">
        <f t="array" aca="1" ref="AX3" ca="1">IFERROR(_xlfn.IFS(OR($M3="",$AS3=""),"",$C3="Joined",($AS3-$M3)-$AT3),"")</f>
        <v/>
      </c>
      <c r="AY3" s="67" t="str">
        <f>IFERROR(IF(COUNTIFS('Candidate Tracker'!$E:$E,'Positions Tracker'!$B3,'Candidate Tracker'!$C:$C,"Offer Drop")=0,"",COUNTIFS('Candidate Tracker'!$E:$E,'Positions Tracker'!$B3,'Candidate Tracker'!$C:$C,"Offer Drop")),"")</f>
        <v/>
      </c>
      <c r="AZ3" s="80">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0.88111888111888115</v>
      </c>
      <c r="BA3" s="81" t="str">
        <f>IFERROR(IF(COUNTIFS('Candidate Tracker'!$E:$E,'Positions Tracker'!$B3,'Candidate Tracker'!$I:$I,"Female")=0,"",COUNTIFS('Candidate Tracker'!$E:$E,'Positions Tracker'!$B3,'Candidate Tracker'!$I:$I,"Female")),"")</f>
        <v/>
      </c>
      <c r="BB3" s="81">
        <f>IFERROR(IF(COUNTIFS('Candidate Tracker'!$E:$E,'Positions Tracker'!$B3,'Candidate Tracker'!$I:$I,"male")=0,"",COUNTIFS('Candidate Tracker'!$E:$E,'Positions Tracker'!$B3,'Candidate Tracker'!$I:$I,"male")),"")</f>
        <v>9</v>
      </c>
      <c r="BC3" s="80" t="str">
        <f>IFERROR(IF(COUNTIFS('Candidate Tracker'!$E:$E,'Positions Tracker'!$B3,'Candidate Tracker'!$C:$C,"&lt;&gt;WIP",'Candidate Tracker'!$C:$C,"&lt;&gt;Hold",'Candidate Tracker'!$C:$C,"&lt;&gt;Cancelled",'Candidate Tracker'!$C:$C,"&lt;&gt;Closed")/COUNTIFS('Candidate Tracker'!$E:$E,'Positions Tracker'!$B3)=0,"",COUNTIFS('Candidate Tracker'!$E:$E,'Positions Tracker'!$B3,'Candidate Tracker'!$C:$C,"&lt;&gt;WIP",'Candidate Tracker'!$C:$C,"&lt;&gt;Hold",'Candidate Tracker'!$C:$C,"&lt;&gt;Cancelled",'Candidate Tracker'!$C:$C,"&lt;&gt;Closed")/COUNTIFS('Candidate Tracker'!$E:$E,'Positions Tracker'!$B3)),"")</f>
        <v/>
      </c>
      <c r="BD3" s="67" t="str">
        <f t="shared" si="1"/>
        <v>Nov-24</v>
      </c>
      <c r="BE3" s="67" t="str">
        <f t="shared" si="2"/>
        <v/>
      </c>
      <c r="BF3" s="67" t="str">
        <f t="shared" si="3"/>
        <v/>
      </c>
      <c r="BG3" s="67" t="str">
        <f t="shared" si="4"/>
        <v/>
      </c>
    </row>
    <row r="4" spans="1:59">
      <c r="A4" s="67">
        <f t="shared" si="5"/>
        <v>3</v>
      </c>
      <c r="B4" s="67">
        <v>20245969</v>
      </c>
      <c r="C4" s="67" t="s">
        <v>55</v>
      </c>
      <c r="D4" s="67" t="s">
        <v>80</v>
      </c>
      <c r="E4" s="67" t="s">
        <v>81</v>
      </c>
      <c r="F4" s="67" t="s">
        <v>77</v>
      </c>
      <c r="G4" s="67" t="s">
        <v>3</v>
      </c>
      <c r="H4" s="67" t="s">
        <v>68</v>
      </c>
      <c r="I4" s="67" t="s">
        <v>78</v>
      </c>
      <c r="J4" s="67" t="s">
        <v>70</v>
      </c>
      <c r="K4" s="68">
        <v>45625</v>
      </c>
      <c r="L4" s="68">
        <v>45625</v>
      </c>
      <c r="M4" s="68">
        <v>45625</v>
      </c>
      <c r="N4" s="67" t="s">
        <v>82</v>
      </c>
      <c r="O4" s="68"/>
      <c r="P4" s="68"/>
      <c r="Q4" s="68"/>
      <c r="R4" s="68"/>
      <c r="S4" s="68"/>
      <c r="T4" s="68"/>
      <c r="U4" s="67"/>
      <c r="V4" s="67"/>
      <c r="W4" s="67"/>
      <c r="X4" s="67" t="s">
        <v>72</v>
      </c>
      <c r="Y4" s="67" t="s">
        <v>74</v>
      </c>
      <c r="Z4" s="67" t="s">
        <v>74</v>
      </c>
      <c r="AA4" s="67" t="s">
        <v>83</v>
      </c>
      <c r="AB4" s="67">
        <v>11</v>
      </c>
      <c r="AC4" s="67">
        <v>8</v>
      </c>
      <c r="AD4" s="67"/>
      <c r="AE4" s="67" t="s">
        <v>84</v>
      </c>
      <c r="AF4" s="67">
        <v>7709030818</v>
      </c>
      <c r="AG4" s="67" t="s">
        <v>85</v>
      </c>
      <c r="AH4" s="68" t="s">
        <v>86</v>
      </c>
      <c r="AI4" s="68">
        <v>45695</v>
      </c>
      <c r="AJ4" s="68">
        <v>45693</v>
      </c>
      <c r="AK4" s="67" t="s">
        <v>72</v>
      </c>
      <c r="AL4" s="67">
        <v>1000000</v>
      </c>
      <c r="AM4" s="68">
        <v>45693</v>
      </c>
      <c r="AN4" s="68">
        <v>45693</v>
      </c>
      <c r="AO4" s="68"/>
      <c r="AP4" s="68">
        <v>45698</v>
      </c>
      <c r="AQ4" s="68">
        <v>45698</v>
      </c>
      <c r="AR4" s="68">
        <v>45757</v>
      </c>
      <c r="AS4" s="68">
        <v>45761</v>
      </c>
      <c r="AT4" s="67">
        <f t="shared" ca="1" si="6"/>
        <v>0</v>
      </c>
      <c r="AU4" s="79" t="str">
        <f t="shared" ca="1" si="7"/>
        <v/>
      </c>
      <c r="AV4" s="79" t="str" cm="1">
        <f t="array" aca="1" ref="AV4" ca="1">IFERROR(_xlfn.IFS($AU4="","",$AU4&lt;=15,"0-15",AND($AU4&gt;=16,$AU4&lt;=30),"16-30",AND($AU4&gt;=31,$AU4&lt;=45),"31-45",AND($AU4&gt;=46,$AU4&lt;=60),"46-60",AND($AU4&gt;=61,$AU4&lt;=90),"61-90",AND($AU4&gt;=91),"&gt; 90",AND($AU4&gt;=2000),""),"")</f>
        <v/>
      </c>
      <c r="AW4" s="79" t="str" cm="1">
        <f t="array" aca="1" ref="AW4" ca="1">IFERROR(_xlfn.IFS(OR($M4="",$AM4=""),"",OR($C4="Offered",$C4="Joined"),($AM4-$M4)-$AT4),"")</f>
        <v/>
      </c>
      <c r="AX4" s="79" t="str" cm="1">
        <f t="array" aca="1" ref="AX4" ca="1">IFERROR(_xlfn.IFS(OR($M4="",$AS4=""),"",$C4="Joined",($AS4-$M4)-$AT4),"")</f>
        <v/>
      </c>
      <c r="AY4" s="67" t="str">
        <f>IFERROR(IF(COUNTIFS('Candidate Tracker'!$E:$E,'Positions Tracker'!$B4,'Candidate Tracker'!$C:$C,"Offer Drop")=0,"",COUNTIFS('Candidate Tracker'!$E:$E,'Positions Tracker'!$B4,'Candidate Tracker'!$C:$C,"Offer Drop")),"")</f>
        <v/>
      </c>
      <c r="AZ4" s="80">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0.88111888111888115</v>
      </c>
      <c r="BA4" s="81">
        <f>IFERROR(IF(COUNTIFS('Candidate Tracker'!$E:$E,'Positions Tracker'!$B4,'Candidate Tracker'!$I:$I,"Female")=0,"",COUNTIFS('Candidate Tracker'!$E:$E,'Positions Tracker'!$B4,'Candidate Tracker'!$I:$I,"Female")),"")</f>
        <v>4</v>
      </c>
      <c r="BB4" s="81">
        <f>IFERROR(IF(COUNTIFS('Candidate Tracker'!$E:$E,'Positions Tracker'!$B4,'Candidate Tracker'!$I:$I,"male")=0,"",COUNTIFS('Candidate Tracker'!$E:$E,'Positions Tracker'!$B4,'Candidate Tracker'!$I:$I,"male")),"")</f>
        <v>15</v>
      </c>
      <c r="BC4" s="80" t="str">
        <f>IFERROR(IF(COUNTIFS('Candidate Tracker'!$E:$E,'Positions Tracker'!$B4,'Candidate Tracker'!$C:$C,"&lt;&gt;WIP",'Candidate Tracker'!$C:$C,"&lt;&gt;Hold",'Candidate Tracker'!$C:$C,"&lt;&gt;Cancelled",'Candidate Tracker'!$C:$C,"&lt;&gt;Closed")/COUNTIFS('Candidate Tracker'!$E:$E,'Positions Tracker'!$B4)=0,"",COUNTIFS('Candidate Tracker'!$E:$E,'Positions Tracker'!$B4,'Candidate Tracker'!$C:$C,"&lt;&gt;WIP",'Candidate Tracker'!$C:$C,"&lt;&gt;Hold",'Candidate Tracker'!$C:$C,"&lt;&gt;Cancelled",'Candidate Tracker'!$C:$C,"&lt;&gt;Closed")/COUNTIFS('Candidate Tracker'!$E:$E,'Positions Tracker'!$B4)),"")</f>
        <v/>
      </c>
      <c r="BD4" s="67" t="str">
        <f t="shared" si="1"/>
        <v>Nov-24</v>
      </c>
      <c r="BE4" s="67" t="str">
        <f t="shared" si="2"/>
        <v>Feb-25</v>
      </c>
      <c r="BF4" s="67" t="str">
        <f t="shared" si="3"/>
        <v>Feb-25</v>
      </c>
      <c r="BG4" s="67" t="str">
        <f t="shared" si="4"/>
        <v>Apr-25</v>
      </c>
    </row>
    <row r="5" spans="1:59">
      <c r="A5" s="67">
        <f t="shared" si="5"/>
        <v>4</v>
      </c>
      <c r="B5" s="67">
        <v>20253846</v>
      </c>
      <c r="C5" s="67" t="s">
        <v>87</v>
      </c>
      <c r="D5" s="67" t="s">
        <v>87</v>
      </c>
      <c r="E5" s="67" t="s">
        <v>88</v>
      </c>
      <c r="F5" s="67" t="s">
        <v>77</v>
      </c>
      <c r="G5" s="67" t="s">
        <v>3</v>
      </c>
      <c r="H5" s="67" t="s">
        <v>68</v>
      </c>
      <c r="I5" s="67" t="s">
        <v>89</v>
      </c>
      <c r="J5" s="67" t="s">
        <v>70</v>
      </c>
      <c r="K5" s="68">
        <v>45744</v>
      </c>
      <c r="L5" s="68">
        <v>45744</v>
      </c>
      <c r="M5" s="68">
        <v>45744</v>
      </c>
      <c r="N5" s="67" t="s">
        <v>82</v>
      </c>
      <c r="O5" s="68">
        <v>45757</v>
      </c>
      <c r="P5" s="68"/>
      <c r="Q5" s="68"/>
      <c r="R5" s="68">
        <v>45776</v>
      </c>
      <c r="S5" s="68"/>
      <c r="T5" s="68"/>
      <c r="U5" s="67">
        <v>6</v>
      </c>
      <c r="V5" s="67"/>
      <c r="W5" s="67"/>
      <c r="X5" s="67" t="s">
        <v>72</v>
      </c>
      <c r="Y5" s="67" t="s">
        <v>74</v>
      </c>
      <c r="Z5" s="67" t="s">
        <v>74</v>
      </c>
      <c r="AA5" s="67" t="s">
        <v>90</v>
      </c>
      <c r="AB5" s="67">
        <v>10</v>
      </c>
      <c r="AC5" s="67">
        <v>7</v>
      </c>
      <c r="AD5" s="67">
        <v>4</v>
      </c>
      <c r="AE5" s="67"/>
      <c r="AF5" s="67"/>
      <c r="AG5" s="67"/>
      <c r="AH5" s="68"/>
      <c r="AI5" s="68"/>
      <c r="AJ5" s="68"/>
      <c r="AK5" s="67"/>
      <c r="AL5" s="67"/>
      <c r="AM5" s="68"/>
      <c r="AN5" s="68"/>
      <c r="AO5" s="68"/>
      <c r="AP5" s="68"/>
      <c r="AQ5" s="68"/>
      <c r="AR5" s="68"/>
      <c r="AS5" s="68"/>
      <c r="AT5" s="67">
        <f t="shared" ca="1" si="6"/>
        <v>19</v>
      </c>
      <c r="AU5" s="79" t="str">
        <f t="shared" ca="1" si="7"/>
        <v/>
      </c>
      <c r="AV5" s="79" t="str" cm="1">
        <f t="array" aca="1" ref="AV5" ca="1">IFERROR(_xlfn.IFS($AU5="","",$AU5&lt;=15,"0-15",AND($AU5&gt;=16,$AU5&lt;=30),"16-30",AND($AU5&gt;=31,$AU5&lt;=45),"31-45",AND($AU5&gt;=46,$AU5&lt;=60),"46-60",AND($AU5&gt;=61,$AU5&lt;=90),"61-90",AND($AU5&gt;=91),"&gt; 90",AND($AU5&gt;=2000),""),"")</f>
        <v/>
      </c>
      <c r="AW5" s="79" t="str" cm="1">
        <f t="array" aca="1" ref="AW5" ca="1">IFERROR(_xlfn.IFS(OR($M5="",$AM5=""),"",OR($C5="Offered",$C5="Joined"),($AM5-$M5)-$AT5),"")</f>
        <v/>
      </c>
      <c r="AX5" s="79" t="str" cm="1">
        <f t="array" aca="1" ref="AX5" ca="1">IFERROR(_xlfn.IFS(OR($M5="",$AS5=""),"",$C5="Joined",($AS5-$M5)-$AT5),"")</f>
        <v/>
      </c>
      <c r="AY5" s="67" t="str">
        <f>IFERROR(IF(COUNTIFS('Candidate Tracker'!$E:$E,'Positions Tracker'!$B5,'Candidate Tracker'!$C:$C,"Offer Drop")=0,"",COUNTIFS('Candidate Tracker'!$E:$E,'Positions Tracker'!$B5,'Candidate Tracker'!$C:$C,"Offer Drop")),"")</f>
        <v/>
      </c>
      <c r="AZ5" s="80">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0.88111888111888115</v>
      </c>
      <c r="BA5" s="81">
        <f>IFERROR(IF(COUNTIFS('Candidate Tracker'!$E:$E,'Positions Tracker'!$B5,'Candidate Tracker'!$I:$I,"Female")=0,"",COUNTIFS('Candidate Tracker'!$E:$E,'Positions Tracker'!$B5,'Candidate Tracker'!$I:$I,"Female")),"")</f>
        <v>1</v>
      </c>
      <c r="BB5" s="81">
        <f>IFERROR(IF(COUNTIFS('Candidate Tracker'!$E:$E,'Positions Tracker'!$B5,'Candidate Tracker'!$I:$I,"male")=0,"",COUNTIFS('Candidate Tracker'!$E:$E,'Positions Tracker'!$B5,'Candidate Tracker'!$I:$I,"male")),"")</f>
        <v>2</v>
      </c>
      <c r="BC5" s="80" t="str">
        <f>IFERROR(IF(COUNTIFS('Candidate Tracker'!$E:$E,'Positions Tracker'!$B5,'Candidate Tracker'!$C:$C,"&lt;&gt;WIP",'Candidate Tracker'!$C:$C,"&lt;&gt;Hold",'Candidate Tracker'!$C:$C,"&lt;&gt;Cancelled",'Candidate Tracker'!$C:$C,"&lt;&gt;Closed")/COUNTIFS('Candidate Tracker'!$E:$E,'Positions Tracker'!$B5)=0,"",COUNTIFS('Candidate Tracker'!$E:$E,'Positions Tracker'!$B5,'Candidate Tracker'!$C:$C,"&lt;&gt;WIP",'Candidate Tracker'!$C:$C,"&lt;&gt;Hold",'Candidate Tracker'!$C:$C,"&lt;&gt;Cancelled",'Candidate Tracker'!$C:$C,"&lt;&gt;Closed")/COUNTIFS('Candidate Tracker'!$E:$E,'Positions Tracker'!$B5)),"")</f>
        <v/>
      </c>
      <c r="BD5" s="67" t="str">
        <f t="shared" si="1"/>
        <v>Mar-25</v>
      </c>
      <c r="BE5" s="67" t="str">
        <f t="shared" si="2"/>
        <v/>
      </c>
      <c r="BF5" s="67" t="str">
        <f t="shared" si="3"/>
        <v/>
      </c>
      <c r="BG5" s="67" t="str">
        <f t="shared" si="4"/>
        <v/>
      </c>
    </row>
    <row r="6" spans="1:59">
      <c r="A6" s="67">
        <f t="shared" si="5"/>
        <v>5</v>
      </c>
      <c r="B6" s="67"/>
      <c r="C6" s="67" t="s">
        <v>64</v>
      </c>
      <c r="D6" s="67" t="s">
        <v>65</v>
      </c>
      <c r="E6" s="67" t="s">
        <v>91</v>
      </c>
      <c r="F6" s="67" t="s">
        <v>77</v>
      </c>
      <c r="G6" s="67" t="s">
        <v>3</v>
      </c>
      <c r="H6" s="67" t="s">
        <v>68</v>
      </c>
      <c r="I6" s="67" t="s">
        <v>78</v>
      </c>
      <c r="J6" s="67" t="s">
        <v>70</v>
      </c>
      <c r="K6" s="68">
        <v>45625</v>
      </c>
      <c r="L6" s="68">
        <v>45625</v>
      </c>
      <c r="M6" s="68">
        <v>45625</v>
      </c>
      <c r="N6" s="67" t="s">
        <v>82</v>
      </c>
      <c r="O6" s="68"/>
      <c r="P6" s="68"/>
      <c r="Q6" s="68"/>
      <c r="R6" s="68"/>
      <c r="S6" s="68"/>
      <c r="T6" s="68"/>
      <c r="U6" s="67"/>
      <c r="V6" s="67"/>
      <c r="W6" s="67"/>
      <c r="X6" s="67" t="s">
        <v>72</v>
      </c>
      <c r="Y6" s="67" t="s">
        <v>74</v>
      </c>
      <c r="Z6" s="67" t="s">
        <v>74</v>
      </c>
      <c r="AA6" s="67" t="s">
        <v>92</v>
      </c>
      <c r="AB6" s="67">
        <v>12</v>
      </c>
      <c r="AC6" s="67">
        <v>9</v>
      </c>
      <c r="AD6" s="67"/>
      <c r="AE6" s="67"/>
      <c r="AF6" s="67"/>
      <c r="AG6" s="67"/>
      <c r="AH6" s="68"/>
      <c r="AI6" s="68"/>
      <c r="AJ6" s="68"/>
      <c r="AK6" s="67"/>
      <c r="AL6" s="67"/>
      <c r="AM6" s="68"/>
      <c r="AN6" s="68"/>
      <c r="AO6" s="68"/>
      <c r="AP6" s="68"/>
      <c r="AQ6" s="68"/>
      <c r="AR6" s="68"/>
      <c r="AS6" s="68"/>
      <c r="AT6" s="67">
        <f t="shared" ca="1" si="6"/>
        <v>0</v>
      </c>
      <c r="AU6" s="79" t="str">
        <f t="shared" ca="1" si="7"/>
        <v/>
      </c>
      <c r="AV6" s="79" t="str" cm="1">
        <f t="array" aca="1" ref="AV6" ca="1">IFERROR(_xlfn.IFS($AU6="","",$AU6&lt;=15,"0-15",AND($AU6&gt;=16,$AU6&lt;=30),"16-30",AND($AU6&gt;=31,$AU6&lt;=45),"31-45",AND($AU6&gt;=46,$AU6&lt;=60),"46-60",AND($AU6&gt;=61,$AU6&lt;=90),"61-90",AND($AU6&gt;=91),"&gt; 90",AND($AU6&gt;=2000),""),"")</f>
        <v/>
      </c>
      <c r="AW6" s="79" t="str" cm="1">
        <f t="array" aca="1" ref="AW6" ca="1">IFERROR(_xlfn.IFS(OR($M6="",$AM6=""),"",OR($C6="Offered",$C6="Joined"),($AM6-$M6)-$AT6),"")</f>
        <v/>
      </c>
      <c r="AX6" s="79" t="str" cm="1">
        <f t="array" aca="1" ref="AX6" ca="1">IFERROR(_xlfn.IFS(OR($M6="",$AS6=""),"",$C6="Joined",($AS6-$M6)-$AT6),"")</f>
        <v/>
      </c>
      <c r="AY6" s="67" t="str">
        <f>IFERROR(IF(COUNTIFS('Candidate Tracker'!$E:$E,'Positions Tracker'!$B6,'Candidate Tracker'!$C:$C,"Offer Drop")=0,"",COUNTIFS('Candidate Tracker'!$E:$E,'Positions Tracker'!$B6,'Candidate Tracker'!$C:$C,"Offer Drop")),"")</f>
        <v/>
      </c>
      <c r="AZ6" s="80">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0.88111888111888115</v>
      </c>
      <c r="BA6" s="81" t="str">
        <f>IFERROR(IF(COUNTIFS('Candidate Tracker'!$E:$E,'Positions Tracker'!$B6,'Candidate Tracker'!$I:$I,"Female")=0,"",COUNTIFS('Candidate Tracker'!$E:$E,'Positions Tracker'!$B6,'Candidate Tracker'!$I:$I,"Female")),"")</f>
        <v/>
      </c>
      <c r="BB6" s="81" t="str">
        <f>IFERROR(IF(COUNTIFS('Candidate Tracker'!$E:$E,'Positions Tracker'!$B6,'Candidate Tracker'!$I:$I,"male")=0,"",COUNTIFS('Candidate Tracker'!$E:$E,'Positions Tracker'!$B6,'Candidate Tracker'!$I:$I,"male")),"")</f>
        <v/>
      </c>
      <c r="BC6" s="80" t="str">
        <f>IFERROR(IF(COUNTIFS('Candidate Tracker'!$E:$E,'Positions Tracker'!$B6,'Candidate Tracker'!$C:$C,"&lt;&gt;WIP",'Candidate Tracker'!$C:$C,"&lt;&gt;Hold",'Candidate Tracker'!$C:$C,"&lt;&gt;Cancelled",'Candidate Tracker'!$C:$C,"&lt;&gt;Closed")/COUNTIFS('Candidate Tracker'!$E:$E,'Positions Tracker'!$B6)=0,"",COUNTIFS('Candidate Tracker'!$E:$E,'Positions Tracker'!$B6,'Candidate Tracker'!$C:$C,"&lt;&gt;WIP",'Candidate Tracker'!$C:$C,"&lt;&gt;Hold",'Candidate Tracker'!$C:$C,"&lt;&gt;Cancelled",'Candidate Tracker'!$C:$C,"&lt;&gt;Closed")/COUNTIFS('Candidate Tracker'!$E:$E,'Positions Tracker'!$B6)),"")</f>
        <v/>
      </c>
      <c r="BD6" s="67" t="str">
        <f t="shared" si="1"/>
        <v>Nov-24</v>
      </c>
      <c r="BE6" s="67" t="str">
        <f t="shared" si="2"/>
        <v/>
      </c>
      <c r="BF6" s="67" t="str">
        <f t="shared" si="3"/>
        <v/>
      </c>
      <c r="BG6" s="67" t="str">
        <f t="shared" si="4"/>
        <v/>
      </c>
    </row>
    <row r="7" spans="1:59">
      <c r="A7" s="67">
        <f t="shared" si="5"/>
        <v>6</v>
      </c>
      <c r="B7" s="67">
        <v>20253845</v>
      </c>
      <c r="C7" s="67" t="s">
        <v>87</v>
      </c>
      <c r="D7" s="67" t="s">
        <v>87</v>
      </c>
      <c r="E7" s="67" t="s">
        <v>93</v>
      </c>
      <c r="F7" s="67" t="s">
        <v>77</v>
      </c>
      <c r="G7" s="67" t="s">
        <v>3</v>
      </c>
      <c r="H7" s="67" t="s">
        <v>68</v>
      </c>
      <c r="I7" s="67" t="s">
        <v>89</v>
      </c>
      <c r="J7" s="67" t="s">
        <v>94</v>
      </c>
      <c r="K7" s="68">
        <v>45744</v>
      </c>
      <c r="L7" s="68">
        <v>45744</v>
      </c>
      <c r="M7" s="68">
        <v>45744</v>
      </c>
      <c r="N7" s="67" t="s">
        <v>95</v>
      </c>
      <c r="O7" s="68"/>
      <c r="P7" s="68"/>
      <c r="Q7" s="68"/>
      <c r="R7" s="68"/>
      <c r="S7" s="68"/>
      <c r="T7" s="68"/>
      <c r="U7" s="67">
        <v>8</v>
      </c>
      <c r="V7" s="67"/>
      <c r="W7" s="67"/>
      <c r="X7" s="67" t="s">
        <v>72</v>
      </c>
      <c r="Y7" s="67" t="s">
        <v>74</v>
      </c>
      <c r="Z7" s="67" t="s">
        <v>74</v>
      </c>
      <c r="AA7" s="67" t="s">
        <v>96</v>
      </c>
      <c r="AB7" s="67">
        <v>47</v>
      </c>
      <c r="AC7" s="67">
        <v>30</v>
      </c>
      <c r="AD7" s="67"/>
      <c r="AE7" s="67" t="s">
        <v>97</v>
      </c>
      <c r="AF7" s="67">
        <v>7775960656</v>
      </c>
      <c r="AG7" s="67" t="s">
        <v>98</v>
      </c>
      <c r="AH7" s="68" t="s">
        <v>86</v>
      </c>
      <c r="AI7" s="68">
        <v>45758</v>
      </c>
      <c r="AJ7" s="68">
        <v>45764</v>
      </c>
      <c r="AK7" s="67" t="s">
        <v>72</v>
      </c>
      <c r="AL7" s="67">
        <v>1800000</v>
      </c>
      <c r="AM7" s="68">
        <v>45764</v>
      </c>
      <c r="AN7" s="68">
        <v>45765</v>
      </c>
      <c r="AO7" s="68">
        <v>45810</v>
      </c>
      <c r="AP7" s="68">
        <v>45768</v>
      </c>
      <c r="AQ7" s="68">
        <v>45768</v>
      </c>
      <c r="AR7" s="68"/>
      <c r="AS7" s="68"/>
      <c r="AT7" s="67">
        <f t="shared" ca="1" si="6"/>
        <v>0</v>
      </c>
      <c r="AU7" s="79" t="str">
        <f t="shared" ca="1" si="7"/>
        <v/>
      </c>
      <c r="AV7" s="79" t="str" cm="1">
        <f t="array" aca="1" ref="AV7" ca="1">IFERROR(_xlfn.IFS($AU7="","",$AU7&lt;=15,"0-15",AND($AU7&gt;=16,$AU7&lt;=30),"16-30",AND($AU7&gt;=31,$AU7&lt;=45),"31-45",AND($AU7&gt;=46,$AU7&lt;=60),"46-60",AND($AU7&gt;=61,$AU7&lt;=90),"61-90",AND($AU7&gt;=91),"&gt; 90",AND($AU7&gt;=2000),""),"")</f>
        <v/>
      </c>
      <c r="AW7" s="79" t="str" cm="1">
        <f t="array" aca="1" ref="AW7" ca="1">IFERROR(_xlfn.IFS(OR($M7="",$AM7=""),"",OR($C7="Offered",$C7="Joined"),($AM7-$M7)-$AT7),"")</f>
        <v/>
      </c>
      <c r="AX7" s="79" t="str" cm="1">
        <f t="array" aca="1" ref="AX7" ca="1">IFERROR(_xlfn.IFS(OR($M7="",$AS7=""),"",$C7="Joined",($AS7-$M7)-$AT7),"")</f>
        <v/>
      </c>
      <c r="AY7" s="67" t="str">
        <f>IFERROR(IF(COUNTIFS('Candidate Tracker'!$E:$E,'Positions Tracker'!$B7,'Candidate Tracker'!$C:$C,"Offer Drop")=0,"",COUNTIFS('Candidate Tracker'!$E:$E,'Positions Tracker'!$B7,'Candidate Tracker'!$C:$C,"Offer Drop")),"")</f>
        <v/>
      </c>
      <c r="AZ7" s="80">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0.88111888111888115</v>
      </c>
      <c r="BA7" s="81" t="str">
        <f>IFERROR(IF(COUNTIFS('Candidate Tracker'!$E:$E,'Positions Tracker'!$B7,'Candidate Tracker'!$I:$I,"Female")=0,"",COUNTIFS('Candidate Tracker'!$E:$E,'Positions Tracker'!$B7,'Candidate Tracker'!$I:$I,"Female")),"")</f>
        <v/>
      </c>
      <c r="BB7" s="81" t="str">
        <f>IFERROR(IF(COUNTIFS('Candidate Tracker'!$E:$E,'Positions Tracker'!$B7,'Candidate Tracker'!$I:$I,"male")=0,"",COUNTIFS('Candidate Tracker'!$E:$E,'Positions Tracker'!$B7,'Candidate Tracker'!$I:$I,"male")),"")</f>
        <v/>
      </c>
      <c r="BC7" s="80" t="str">
        <f>IFERROR(IF(COUNTIFS('Candidate Tracker'!$E:$E,'Positions Tracker'!$B7,'Candidate Tracker'!$C:$C,"&lt;&gt;WIP",'Candidate Tracker'!$C:$C,"&lt;&gt;Hold",'Candidate Tracker'!$C:$C,"&lt;&gt;Cancelled",'Candidate Tracker'!$C:$C,"&lt;&gt;Closed")/COUNTIFS('Candidate Tracker'!$E:$E,'Positions Tracker'!$B7)=0,"",COUNTIFS('Candidate Tracker'!$E:$E,'Positions Tracker'!$B7,'Candidate Tracker'!$C:$C,"&lt;&gt;WIP",'Candidate Tracker'!$C:$C,"&lt;&gt;Hold",'Candidate Tracker'!$C:$C,"&lt;&gt;Cancelled",'Candidate Tracker'!$C:$C,"&lt;&gt;Closed")/COUNTIFS('Candidate Tracker'!$E:$E,'Positions Tracker'!$B7)),"")</f>
        <v/>
      </c>
      <c r="BD7" s="67" t="str">
        <f t="shared" si="1"/>
        <v>Mar-25</v>
      </c>
      <c r="BE7" s="67" t="str">
        <f t="shared" si="2"/>
        <v>Apr-25</v>
      </c>
      <c r="BF7" s="67" t="str">
        <f t="shared" si="3"/>
        <v>Apr-25</v>
      </c>
      <c r="BG7" s="67" t="str">
        <f t="shared" si="4"/>
        <v/>
      </c>
    </row>
    <row r="8" spans="1:59">
      <c r="A8" s="67">
        <f t="shared" si="5"/>
        <v>7</v>
      </c>
      <c r="B8" s="67">
        <v>20250697</v>
      </c>
      <c r="C8" s="67" t="s">
        <v>64</v>
      </c>
      <c r="D8" s="67" t="s">
        <v>65</v>
      </c>
      <c r="E8" s="67" t="s">
        <v>99</v>
      </c>
      <c r="F8" s="67" t="s">
        <v>100</v>
      </c>
      <c r="G8" s="67" t="s">
        <v>3</v>
      </c>
      <c r="H8" s="67" t="s">
        <v>68</v>
      </c>
      <c r="I8" s="67" t="s">
        <v>101</v>
      </c>
      <c r="J8" s="67" t="s">
        <v>70</v>
      </c>
      <c r="K8" s="68">
        <v>45625</v>
      </c>
      <c r="L8" s="68">
        <v>45625</v>
      </c>
      <c r="M8" s="68">
        <v>45625</v>
      </c>
      <c r="N8" s="67" t="s">
        <v>82</v>
      </c>
      <c r="O8" s="68"/>
      <c r="P8" s="68"/>
      <c r="Q8" s="68"/>
      <c r="R8" s="68"/>
      <c r="S8" s="68"/>
      <c r="T8" s="68"/>
      <c r="U8" s="67"/>
      <c r="V8" s="67"/>
      <c r="W8" s="67"/>
      <c r="X8" s="67" t="s">
        <v>72</v>
      </c>
      <c r="Y8" s="67" t="s">
        <v>74</v>
      </c>
      <c r="Z8" s="67" t="s">
        <v>74</v>
      </c>
      <c r="AA8" s="67" t="s">
        <v>102</v>
      </c>
      <c r="AB8" s="67">
        <v>12</v>
      </c>
      <c r="AC8" s="67">
        <v>9</v>
      </c>
      <c r="AD8" s="67"/>
      <c r="AE8" s="67"/>
      <c r="AF8" s="67"/>
      <c r="AG8" s="67"/>
      <c r="AH8" s="68"/>
      <c r="AI8" s="68"/>
      <c r="AJ8" s="68"/>
      <c r="AK8" s="67"/>
      <c r="AL8" s="67"/>
      <c r="AM8" s="68"/>
      <c r="AN8" s="68"/>
      <c r="AO8" s="68"/>
      <c r="AP8" s="68"/>
      <c r="AQ8" s="68"/>
      <c r="AR8" s="68"/>
      <c r="AS8" s="68"/>
      <c r="AT8" s="67">
        <f t="shared" ca="1" si="6"/>
        <v>0</v>
      </c>
      <c r="AU8" s="79" t="str">
        <f t="shared" ca="1" si="7"/>
        <v/>
      </c>
      <c r="AV8" s="79" t="str" cm="1">
        <f t="array" aca="1" ref="AV8" ca="1">IFERROR(_xlfn.IFS($AU8="","",$AU8&lt;=15,"0-15",AND($AU8&gt;=16,$AU8&lt;=30),"16-30",AND($AU8&gt;=31,$AU8&lt;=45),"31-45",AND($AU8&gt;=46,$AU8&lt;=60),"46-60",AND($AU8&gt;=61,$AU8&lt;=90),"61-90",AND($AU8&gt;=91),"&gt; 90",AND($AU8&gt;=2000),""),"")</f>
        <v/>
      </c>
      <c r="AW8" s="79" t="str" cm="1">
        <f t="array" aca="1" ref="AW8" ca="1">IFERROR(_xlfn.IFS(OR($M8="",$AM8=""),"",OR($C8="Offered",$C8="Joined"),($AM8-$M8)-$AT8),"")</f>
        <v/>
      </c>
      <c r="AX8" s="79" t="str" cm="1">
        <f t="array" aca="1" ref="AX8" ca="1">IFERROR(_xlfn.IFS(OR($M8="",$AS8=""),"",$C8="Joined",($AS8-$M8)-$AT8),"")</f>
        <v/>
      </c>
      <c r="AY8" s="67" t="str">
        <f>IFERROR(IF(COUNTIFS('Candidate Tracker'!$E:$E,'Positions Tracker'!$B8,'Candidate Tracker'!$C:$C,"Offer Drop")=0,"",COUNTIFS('Candidate Tracker'!$E:$E,'Positions Tracker'!$B8,'Candidate Tracker'!$C:$C,"Offer Drop")),"")</f>
        <v/>
      </c>
      <c r="AZ8" s="80">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0.88111888111888115</v>
      </c>
      <c r="BA8" s="81">
        <f>IFERROR(IF(COUNTIFS('Candidate Tracker'!$E:$E,'Positions Tracker'!$B8,'Candidate Tracker'!$I:$I,"Female")=0,"",COUNTIFS('Candidate Tracker'!$E:$E,'Positions Tracker'!$B8,'Candidate Tracker'!$I:$I,"Female")),"")</f>
        <v>1</v>
      </c>
      <c r="BB8" s="81">
        <f>IFERROR(IF(COUNTIFS('Candidate Tracker'!$E:$E,'Positions Tracker'!$B8,'Candidate Tracker'!$I:$I,"male")=0,"",COUNTIFS('Candidate Tracker'!$E:$E,'Positions Tracker'!$B8,'Candidate Tracker'!$I:$I,"male")),"")</f>
        <v>7</v>
      </c>
      <c r="BC8" s="80" t="str">
        <f>IFERROR(IF(COUNTIFS('Candidate Tracker'!$E:$E,'Positions Tracker'!$B8,'Candidate Tracker'!$C:$C,"&lt;&gt;WIP",'Candidate Tracker'!$C:$C,"&lt;&gt;Hold",'Candidate Tracker'!$C:$C,"&lt;&gt;Cancelled",'Candidate Tracker'!$C:$C,"&lt;&gt;Closed")/COUNTIFS('Candidate Tracker'!$E:$E,'Positions Tracker'!$B8)=0,"",COUNTIFS('Candidate Tracker'!$E:$E,'Positions Tracker'!$B8,'Candidate Tracker'!$C:$C,"&lt;&gt;WIP",'Candidate Tracker'!$C:$C,"&lt;&gt;Hold",'Candidate Tracker'!$C:$C,"&lt;&gt;Cancelled",'Candidate Tracker'!$C:$C,"&lt;&gt;Closed")/COUNTIFS('Candidate Tracker'!$E:$E,'Positions Tracker'!$B8)),"")</f>
        <v/>
      </c>
      <c r="BD8" s="67" t="str">
        <f t="shared" si="1"/>
        <v>Nov-24</v>
      </c>
      <c r="BE8" s="67" t="str">
        <f t="shared" si="2"/>
        <v/>
      </c>
      <c r="BF8" s="67" t="str">
        <f t="shared" si="3"/>
        <v/>
      </c>
      <c r="BG8" s="67" t="str">
        <f t="shared" si="4"/>
        <v/>
      </c>
    </row>
    <row r="9" spans="1:59">
      <c r="A9" s="67">
        <f t="shared" si="5"/>
        <v>8</v>
      </c>
      <c r="B9" s="67">
        <v>20250696</v>
      </c>
      <c r="C9" s="67" t="s">
        <v>64</v>
      </c>
      <c r="D9" s="67" t="s">
        <v>65</v>
      </c>
      <c r="E9" s="67" t="s">
        <v>103</v>
      </c>
      <c r="F9" s="67" t="s">
        <v>100</v>
      </c>
      <c r="G9" s="67" t="s">
        <v>3</v>
      </c>
      <c r="H9" s="67" t="s">
        <v>68</v>
      </c>
      <c r="I9" s="67" t="s">
        <v>101</v>
      </c>
      <c r="J9" s="67" t="s">
        <v>70</v>
      </c>
      <c r="K9" s="68">
        <v>45625</v>
      </c>
      <c r="L9" s="68">
        <v>45625</v>
      </c>
      <c r="M9" s="68">
        <v>45625</v>
      </c>
      <c r="N9" s="67" t="s">
        <v>71</v>
      </c>
      <c r="O9" s="68"/>
      <c r="P9" s="68"/>
      <c r="Q9" s="68"/>
      <c r="R9" s="68"/>
      <c r="S9" s="68"/>
      <c r="T9" s="68"/>
      <c r="U9" s="67"/>
      <c r="V9" s="67"/>
      <c r="W9" s="67"/>
      <c r="X9" s="67" t="s">
        <v>72</v>
      </c>
      <c r="Y9" s="67" t="s">
        <v>74</v>
      </c>
      <c r="Z9" s="67" t="s">
        <v>74</v>
      </c>
      <c r="AA9" s="67" t="s">
        <v>104</v>
      </c>
      <c r="AB9" s="67">
        <v>28</v>
      </c>
      <c r="AC9" s="67">
        <v>20</v>
      </c>
      <c r="AD9" s="67"/>
      <c r="AE9" s="67"/>
      <c r="AF9" s="67"/>
      <c r="AG9" s="67"/>
      <c r="AH9" s="68"/>
      <c r="AI9" s="68"/>
      <c r="AJ9" s="68"/>
      <c r="AK9" s="67"/>
      <c r="AL9" s="67"/>
      <c r="AM9" s="68"/>
      <c r="AN9" s="68"/>
      <c r="AO9" s="68"/>
      <c r="AP9" s="68"/>
      <c r="AQ9" s="68"/>
      <c r="AR9" s="68"/>
      <c r="AS9" s="68"/>
      <c r="AT9" s="67">
        <f t="shared" ca="1" si="6"/>
        <v>0</v>
      </c>
      <c r="AU9" s="79" t="str">
        <f t="shared" ca="1" si="7"/>
        <v/>
      </c>
      <c r="AV9" s="79" t="str" cm="1">
        <f t="array" aca="1" ref="AV9" ca="1">IFERROR(_xlfn.IFS($AU9="","",$AU9&lt;=15,"0-15",AND($AU9&gt;=16,$AU9&lt;=30),"16-30",AND($AU9&gt;=31,$AU9&lt;=45),"31-45",AND($AU9&gt;=46,$AU9&lt;=60),"46-60",AND($AU9&gt;=61,$AU9&lt;=90),"61-90",AND($AU9&gt;=91),"&gt; 90",AND($AU9&gt;=2000),""),"")</f>
        <v/>
      </c>
      <c r="AW9" s="79" t="str" cm="1">
        <f t="array" aca="1" ref="AW9" ca="1">IFERROR(_xlfn.IFS(OR($M9="",$AM9=""),"",OR($C9="Offered",$C9="Joined"),($AM9-$M9)-$AT9),"")</f>
        <v/>
      </c>
      <c r="AX9" s="79" t="str" cm="1">
        <f t="array" aca="1" ref="AX9" ca="1">IFERROR(_xlfn.IFS(OR($M9="",$AS9=""),"",$C9="Joined",($AS9-$M9)-$AT9),"")</f>
        <v/>
      </c>
      <c r="AY9" s="67" t="str">
        <f>IFERROR(IF(COUNTIFS('Candidate Tracker'!$E:$E,'Positions Tracker'!$B9,'Candidate Tracker'!$C:$C,"Offer Drop")=0,"",COUNTIFS('Candidate Tracker'!$E:$E,'Positions Tracker'!$B9,'Candidate Tracker'!$C:$C,"Offer Drop")),"")</f>
        <v/>
      </c>
      <c r="AZ9" s="80">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0.88111888111888115</v>
      </c>
      <c r="BA9" s="81">
        <f>IFERROR(IF(COUNTIFS('Candidate Tracker'!$E:$E,'Positions Tracker'!$B9,'Candidate Tracker'!$I:$I,"Female")=0,"",COUNTIFS('Candidate Tracker'!$E:$E,'Positions Tracker'!$B9,'Candidate Tracker'!$I:$I,"Female")),"")</f>
        <v>2</v>
      </c>
      <c r="BB9" s="81">
        <f>IFERROR(IF(COUNTIFS('Candidate Tracker'!$E:$E,'Positions Tracker'!$B9,'Candidate Tracker'!$I:$I,"male")=0,"",COUNTIFS('Candidate Tracker'!$E:$E,'Positions Tracker'!$B9,'Candidate Tracker'!$I:$I,"male")),"")</f>
        <v>10</v>
      </c>
      <c r="BC9" s="80" t="str">
        <f>IFERROR(IF(COUNTIFS('Candidate Tracker'!$E:$E,'Positions Tracker'!$B9,'Candidate Tracker'!$C:$C,"&lt;&gt;WIP",'Candidate Tracker'!$C:$C,"&lt;&gt;Hold",'Candidate Tracker'!$C:$C,"&lt;&gt;Cancelled",'Candidate Tracker'!$C:$C,"&lt;&gt;Closed")/COUNTIFS('Candidate Tracker'!$E:$E,'Positions Tracker'!$B9)=0,"",COUNTIFS('Candidate Tracker'!$E:$E,'Positions Tracker'!$B9,'Candidate Tracker'!$C:$C,"&lt;&gt;WIP",'Candidate Tracker'!$C:$C,"&lt;&gt;Hold",'Candidate Tracker'!$C:$C,"&lt;&gt;Cancelled",'Candidate Tracker'!$C:$C,"&lt;&gt;Closed")/COUNTIFS('Candidate Tracker'!$E:$E,'Positions Tracker'!$B9)),"")</f>
        <v/>
      </c>
      <c r="BD9" s="67" t="str">
        <f t="shared" si="1"/>
        <v>Nov-24</v>
      </c>
      <c r="BE9" s="67" t="str">
        <f t="shared" si="2"/>
        <v/>
      </c>
      <c r="BF9" s="67" t="str">
        <f t="shared" si="3"/>
        <v/>
      </c>
      <c r="BG9" s="67" t="str">
        <f t="shared" si="4"/>
        <v/>
      </c>
    </row>
    <row r="10" spans="1:59">
      <c r="A10" s="67">
        <f t="shared" si="5"/>
        <v>9</v>
      </c>
      <c r="B10" s="67">
        <v>20251179</v>
      </c>
      <c r="C10" s="67" t="s">
        <v>64</v>
      </c>
      <c r="D10" s="67" t="s">
        <v>65</v>
      </c>
      <c r="E10" s="67" t="s">
        <v>105</v>
      </c>
      <c r="F10" s="67" t="s">
        <v>106</v>
      </c>
      <c r="G10" s="67" t="s">
        <v>3</v>
      </c>
      <c r="H10" s="67" t="s">
        <v>68</v>
      </c>
      <c r="I10" s="67" t="s">
        <v>107</v>
      </c>
      <c r="J10" s="67" t="s">
        <v>70</v>
      </c>
      <c r="K10" s="68">
        <v>45643</v>
      </c>
      <c r="L10" s="68">
        <v>45643</v>
      </c>
      <c r="M10" s="68">
        <v>45643</v>
      </c>
      <c r="N10" s="67" t="s">
        <v>95</v>
      </c>
      <c r="O10" s="68"/>
      <c r="P10" s="68"/>
      <c r="Q10" s="68"/>
      <c r="R10" s="68"/>
      <c r="S10" s="68"/>
      <c r="T10" s="68"/>
      <c r="U10" s="67"/>
      <c r="V10" s="67"/>
      <c r="W10" s="67"/>
      <c r="X10" s="67" t="s">
        <v>72</v>
      </c>
      <c r="Y10" s="67" t="s">
        <v>74</v>
      </c>
      <c r="Z10" s="67" t="s">
        <v>74</v>
      </c>
      <c r="AA10" s="67" t="s">
        <v>108</v>
      </c>
      <c r="AB10" s="67"/>
      <c r="AC10" s="67"/>
      <c r="AD10" s="67"/>
      <c r="AE10" s="67"/>
      <c r="AF10" s="67"/>
      <c r="AG10" s="67"/>
      <c r="AH10" s="68"/>
      <c r="AI10" s="68"/>
      <c r="AJ10" s="68"/>
      <c r="AK10" s="67"/>
      <c r="AL10" s="67"/>
      <c r="AM10" s="68"/>
      <c r="AN10" s="68"/>
      <c r="AO10" s="68"/>
      <c r="AP10" s="68"/>
      <c r="AQ10" s="68"/>
      <c r="AR10" s="68"/>
      <c r="AS10" s="68"/>
      <c r="AT10" s="67">
        <f t="shared" ca="1" si="6"/>
        <v>0</v>
      </c>
      <c r="AU10" s="79" t="str">
        <f t="shared" ca="1" si="7"/>
        <v/>
      </c>
      <c r="AV10" s="79" t="str" cm="1">
        <f t="array" aca="1" ref="AV10" ca="1">IFERROR(_xlfn.IFS($AU10="","",$AU10&lt;=15,"0-15",AND($AU10&gt;=16,$AU10&lt;=30),"16-30",AND($AU10&gt;=31,$AU10&lt;=45),"31-45",AND($AU10&gt;=46,$AU10&lt;=60),"46-60",AND($AU10&gt;=61,$AU10&lt;=90),"61-90",AND($AU10&gt;=91),"&gt; 90",AND($AU10&gt;=2000),""),"")</f>
        <v/>
      </c>
      <c r="AW10" s="79" t="str" cm="1">
        <f t="array" aca="1" ref="AW10" ca="1">IFERROR(_xlfn.IFS(OR($M10="",$AM10=""),"",OR($C10="Offered",$C10="Joined"),($AM10-$M10)-$AT10),"")</f>
        <v/>
      </c>
      <c r="AX10" s="79" t="str" cm="1">
        <f t="array" aca="1" ref="AX10" ca="1">IFERROR(_xlfn.IFS(OR($M10="",$AS10=""),"",$C10="Joined",($AS10-$M10)-$AT10),"")</f>
        <v/>
      </c>
      <c r="AY10" s="67" t="str">
        <f>IFERROR(IF(COUNTIFS('Candidate Tracker'!$E:$E,'Positions Tracker'!$B10,'Candidate Tracker'!$C:$C,"Offer Drop")=0,"",COUNTIFS('Candidate Tracker'!$E:$E,'Positions Tracker'!$B10,'Candidate Tracker'!$C:$C,"Offer Drop")),"")</f>
        <v/>
      </c>
      <c r="AZ10" s="80">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0.88111888111888115</v>
      </c>
      <c r="BA10" s="81" t="str">
        <f>IFERROR(IF(COUNTIFS('Candidate Tracker'!$E:$E,'Positions Tracker'!$B10,'Candidate Tracker'!$I:$I,"Female")=0,"",COUNTIFS('Candidate Tracker'!$E:$E,'Positions Tracker'!$B10,'Candidate Tracker'!$I:$I,"Female")),"")</f>
        <v/>
      </c>
      <c r="BB10" s="81" t="str">
        <f>IFERROR(IF(COUNTIFS('Candidate Tracker'!$E:$E,'Positions Tracker'!$B10,'Candidate Tracker'!$I:$I,"male")=0,"",COUNTIFS('Candidate Tracker'!$E:$E,'Positions Tracker'!$B10,'Candidate Tracker'!$I:$I,"male")),"")</f>
        <v/>
      </c>
      <c r="BC10" s="80" t="str">
        <f>IFERROR(IF(COUNTIFS('Candidate Tracker'!$E:$E,'Positions Tracker'!$B10,'Candidate Tracker'!$C:$C,"&lt;&gt;WIP",'Candidate Tracker'!$C:$C,"&lt;&gt;Hold",'Candidate Tracker'!$C:$C,"&lt;&gt;Cancelled",'Candidate Tracker'!$C:$C,"&lt;&gt;Closed")/COUNTIFS('Candidate Tracker'!$E:$E,'Positions Tracker'!$B10)=0,"",COUNTIFS('Candidate Tracker'!$E:$E,'Positions Tracker'!$B10,'Candidate Tracker'!$C:$C,"&lt;&gt;WIP",'Candidate Tracker'!$C:$C,"&lt;&gt;Hold",'Candidate Tracker'!$C:$C,"&lt;&gt;Cancelled",'Candidate Tracker'!$C:$C,"&lt;&gt;Closed")/COUNTIFS('Candidate Tracker'!$E:$E,'Positions Tracker'!$B10)),"")</f>
        <v/>
      </c>
      <c r="BD10" s="67" t="str">
        <f t="shared" si="1"/>
        <v>Dec-24</v>
      </c>
      <c r="BE10" s="67" t="str">
        <f t="shared" si="2"/>
        <v/>
      </c>
      <c r="BF10" s="67" t="str">
        <f t="shared" si="3"/>
        <v/>
      </c>
      <c r="BG10" s="67" t="str">
        <f t="shared" si="4"/>
        <v/>
      </c>
    </row>
    <row r="11" spans="1:59">
      <c r="A11" s="67">
        <f t="shared" si="5"/>
        <v>10</v>
      </c>
      <c r="B11" s="67">
        <v>20242803</v>
      </c>
      <c r="C11" s="67" t="s">
        <v>87</v>
      </c>
      <c r="D11" s="67" t="s">
        <v>87</v>
      </c>
      <c r="E11" s="67" t="s">
        <v>109</v>
      </c>
      <c r="F11" s="67" t="s">
        <v>110</v>
      </c>
      <c r="G11" s="67" t="s">
        <v>3</v>
      </c>
      <c r="H11" s="67" t="s">
        <v>111</v>
      </c>
      <c r="I11" s="67" t="s">
        <v>112</v>
      </c>
      <c r="J11" s="67"/>
      <c r="K11" s="68">
        <v>45580</v>
      </c>
      <c r="L11" s="68">
        <v>45580</v>
      </c>
      <c r="M11" s="68">
        <v>45710</v>
      </c>
      <c r="N11" s="67" t="s">
        <v>95</v>
      </c>
      <c r="O11" s="68">
        <v>45719</v>
      </c>
      <c r="P11" s="68"/>
      <c r="Q11" s="68"/>
      <c r="R11" s="68">
        <v>45737</v>
      </c>
      <c r="S11" s="68"/>
      <c r="T11" s="68"/>
      <c r="U11" s="67"/>
      <c r="V11" s="67"/>
      <c r="W11" s="67"/>
      <c r="X11" s="67" t="s">
        <v>72</v>
      </c>
      <c r="Y11" s="67" t="s">
        <v>74</v>
      </c>
      <c r="Z11" s="67" t="s">
        <v>74</v>
      </c>
      <c r="AA11" s="67" t="s">
        <v>113</v>
      </c>
      <c r="AB11" s="67">
        <v>38</v>
      </c>
      <c r="AC11" s="67">
        <v>30</v>
      </c>
      <c r="AD11" s="67">
        <v>12</v>
      </c>
      <c r="AE11" s="67"/>
      <c r="AF11" s="67"/>
      <c r="AG11" s="67"/>
      <c r="AH11" s="68"/>
      <c r="AI11" s="68"/>
      <c r="AJ11" s="68"/>
      <c r="AK11" s="67"/>
      <c r="AL11" s="67"/>
      <c r="AM11" s="68"/>
      <c r="AN11" s="68"/>
      <c r="AO11" s="68"/>
      <c r="AP11" s="68"/>
      <c r="AQ11" s="68"/>
      <c r="AR11" s="68"/>
      <c r="AS11" s="68"/>
      <c r="AT11" s="67">
        <f t="shared" ca="1" si="6"/>
        <v>18</v>
      </c>
      <c r="AU11" s="79" t="str">
        <f t="shared" ca="1" si="7"/>
        <v/>
      </c>
      <c r="AV11" s="79" t="str" cm="1">
        <f t="array" aca="1" ref="AV11" ca="1">IFERROR(_xlfn.IFS($AU11="","",$AU11&lt;=15,"0-15",AND($AU11&gt;=16,$AU11&lt;=30),"16-30",AND($AU11&gt;=31,$AU11&lt;=45),"31-45",AND($AU11&gt;=46,$AU11&lt;=60),"46-60",AND($AU11&gt;=61,$AU11&lt;=90),"61-90",AND($AU11&gt;=91),"&gt; 90",AND($AU11&gt;=2000),""),"")</f>
        <v/>
      </c>
      <c r="AW11" s="79" t="str" cm="1">
        <f t="array" aca="1" ref="AW11" ca="1">IFERROR(_xlfn.IFS(OR($M11="",$AM11=""),"",OR($C11="Offered",$C11="Joined"),($AM11-$M11)-$AT11),"")</f>
        <v/>
      </c>
      <c r="AX11" s="79" t="str" cm="1">
        <f t="array" aca="1" ref="AX11" ca="1">IFERROR(_xlfn.IFS(OR($M11="",$AS11=""),"",$C11="Joined",($AS11-$M11)-$AT11),"")</f>
        <v/>
      </c>
      <c r="AY11" s="67" t="str">
        <f>IFERROR(IF(COUNTIFS('Candidate Tracker'!$E:$E,'Positions Tracker'!$B11,'Candidate Tracker'!$C:$C,"Offer Drop")=0,"",COUNTIFS('Candidate Tracker'!$E:$E,'Positions Tracker'!$B11,'Candidate Tracker'!$C:$C,"Offer Drop")),"")</f>
        <v/>
      </c>
      <c r="AZ11" s="80">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0.88111888111888115</v>
      </c>
      <c r="BA11" s="81">
        <f>IFERROR(IF(COUNTIFS('Candidate Tracker'!$E:$E,'Positions Tracker'!$B11,'Candidate Tracker'!$I:$I,"Female")=0,"",COUNTIFS('Candidate Tracker'!$E:$E,'Positions Tracker'!$B11,'Candidate Tracker'!$I:$I,"Female")),"")</f>
        <v>14</v>
      </c>
      <c r="BB11" s="81">
        <f>IFERROR(IF(COUNTIFS('Candidate Tracker'!$E:$E,'Positions Tracker'!$B11,'Candidate Tracker'!$I:$I,"male")=0,"",COUNTIFS('Candidate Tracker'!$E:$E,'Positions Tracker'!$B11,'Candidate Tracker'!$I:$I,"male")),"")</f>
        <v>31</v>
      </c>
      <c r="BC11" s="80" t="str">
        <f>IFERROR(IF(COUNTIFS('Candidate Tracker'!$E:$E,'Positions Tracker'!$B11,'Candidate Tracker'!$C:$C,"&lt;&gt;WIP",'Candidate Tracker'!$C:$C,"&lt;&gt;Hold",'Candidate Tracker'!$C:$C,"&lt;&gt;Cancelled",'Candidate Tracker'!$C:$C,"&lt;&gt;Closed")/COUNTIFS('Candidate Tracker'!$E:$E,'Positions Tracker'!$B11)=0,"",COUNTIFS('Candidate Tracker'!$E:$E,'Positions Tracker'!$B11,'Candidate Tracker'!$C:$C,"&lt;&gt;WIP",'Candidate Tracker'!$C:$C,"&lt;&gt;Hold",'Candidate Tracker'!$C:$C,"&lt;&gt;Cancelled",'Candidate Tracker'!$C:$C,"&lt;&gt;Closed")/COUNTIFS('Candidate Tracker'!$E:$E,'Positions Tracker'!$B11)),"")</f>
        <v/>
      </c>
      <c r="BD11" s="67" t="str">
        <f t="shared" si="1"/>
        <v>Feb-25</v>
      </c>
      <c r="BE11" s="67" t="str">
        <f t="shared" si="2"/>
        <v/>
      </c>
      <c r="BF11" s="67" t="str">
        <f t="shared" si="3"/>
        <v/>
      </c>
      <c r="BG11" s="67" t="str">
        <f t="shared" si="4"/>
        <v/>
      </c>
    </row>
    <row r="12" spans="1:59">
      <c r="A12" s="67">
        <f t="shared" si="5"/>
        <v>11</v>
      </c>
      <c r="B12" s="67">
        <v>20245321</v>
      </c>
      <c r="C12" s="67" t="s">
        <v>87</v>
      </c>
      <c r="D12" s="67" t="s">
        <v>87</v>
      </c>
      <c r="E12" s="67" t="s">
        <v>114</v>
      </c>
      <c r="F12" s="67" t="s">
        <v>110</v>
      </c>
      <c r="G12" s="67" t="s">
        <v>3</v>
      </c>
      <c r="H12" s="67" t="s">
        <v>111</v>
      </c>
      <c r="I12" s="67" t="s">
        <v>112</v>
      </c>
      <c r="J12" s="67"/>
      <c r="K12" s="68">
        <v>45580</v>
      </c>
      <c r="L12" s="68">
        <v>45580</v>
      </c>
      <c r="M12" s="68">
        <v>45580</v>
      </c>
      <c r="N12" s="67" t="s">
        <v>95</v>
      </c>
      <c r="O12" s="68">
        <v>45649</v>
      </c>
      <c r="P12" s="68"/>
      <c r="Q12" s="68"/>
      <c r="R12" s="68">
        <v>45664</v>
      </c>
      <c r="S12" s="68"/>
      <c r="T12" s="68"/>
      <c r="U12" s="67"/>
      <c r="V12" s="67"/>
      <c r="W12" s="67"/>
      <c r="X12" s="67" t="s">
        <v>72</v>
      </c>
      <c r="Y12" s="67" t="s">
        <v>74</v>
      </c>
      <c r="Z12" s="67" t="s">
        <v>74</v>
      </c>
      <c r="AA12" s="67" t="s">
        <v>115</v>
      </c>
      <c r="AB12" s="67">
        <v>38</v>
      </c>
      <c r="AC12" s="67">
        <v>29</v>
      </c>
      <c r="AD12" s="67">
        <v>10</v>
      </c>
      <c r="AE12" s="67"/>
      <c r="AF12" s="67"/>
      <c r="AG12" s="67"/>
      <c r="AH12" s="68"/>
      <c r="AI12" s="68"/>
      <c r="AJ12" s="68"/>
      <c r="AK12" s="67"/>
      <c r="AL12" s="67"/>
      <c r="AM12" s="68"/>
      <c r="AN12" s="68"/>
      <c r="AO12" s="68"/>
      <c r="AP12" s="68"/>
      <c r="AQ12" s="68"/>
      <c r="AR12" s="68"/>
      <c r="AS12" s="68"/>
      <c r="AT12" s="67">
        <f t="shared" ca="1" si="6"/>
        <v>15</v>
      </c>
      <c r="AU12" s="79" t="str">
        <f t="shared" ca="1" si="7"/>
        <v/>
      </c>
      <c r="AV12" s="79" t="str" cm="1">
        <f t="array" aca="1" ref="AV12" ca="1">IFERROR(_xlfn.IFS($AU12="","",$AU12&lt;=15,"0-15",AND($AU12&gt;=16,$AU12&lt;=30),"16-30",AND($AU12&gt;=31,$AU12&lt;=45),"31-45",AND($AU12&gt;=46,$AU12&lt;=60),"46-60",AND($AU12&gt;=61,$AU12&lt;=90),"61-90",AND($AU12&gt;=91),"&gt; 90",AND($AU12&gt;=2000),""),"")</f>
        <v/>
      </c>
      <c r="AW12" s="79" t="str" cm="1">
        <f t="array" aca="1" ref="AW12" ca="1">IFERROR(_xlfn.IFS(OR($M12="",$AM12=""),"",OR($C12="Offered",$C12="Joined"),($AM12-$M12)-$AT12),"")</f>
        <v/>
      </c>
      <c r="AX12" s="79" t="str" cm="1">
        <f t="array" aca="1" ref="AX12" ca="1">IFERROR(_xlfn.IFS(OR($M12="",$AS12=""),"",$C12="Joined",($AS12-$M12)-$AT12),"")</f>
        <v/>
      </c>
      <c r="AY12" s="67" t="str">
        <f>IFERROR(IF(COUNTIFS('Candidate Tracker'!$E:$E,'Positions Tracker'!$B12,'Candidate Tracker'!$C:$C,"Offer Drop")=0,"",COUNTIFS('Candidate Tracker'!$E:$E,'Positions Tracker'!$B12,'Candidate Tracker'!$C:$C,"Offer Drop")),"")</f>
        <v/>
      </c>
      <c r="AZ12" s="80">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0.88111888111888115</v>
      </c>
      <c r="BA12" s="81">
        <f>IFERROR(IF(COUNTIFS('Candidate Tracker'!$E:$E,'Positions Tracker'!$B12,'Candidate Tracker'!$I:$I,"Female")=0,"",COUNTIFS('Candidate Tracker'!$E:$E,'Positions Tracker'!$B12,'Candidate Tracker'!$I:$I,"Female")),"")</f>
        <v>9</v>
      </c>
      <c r="BB12" s="81">
        <f>IFERROR(IF(COUNTIFS('Candidate Tracker'!$E:$E,'Positions Tracker'!$B12,'Candidate Tracker'!$I:$I,"male")=0,"",COUNTIFS('Candidate Tracker'!$E:$E,'Positions Tracker'!$B12,'Candidate Tracker'!$I:$I,"male")),"")</f>
        <v>18</v>
      </c>
      <c r="BC12" s="80" t="str">
        <f>IFERROR(IF(COUNTIFS('Candidate Tracker'!$E:$E,'Positions Tracker'!$B12,'Candidate Tracker'!$C:$C,"&lt;&gt;WIP",'Candidate Tracker'!$C:$C,"&lt;&gt;Hold",'Candidate Tracker'!$C:$C,"&lt;&gt;Cancelled",'Candidate Tracker'!$C:$C,"&lt;&gt;Closed")/COUNTIFS('Candidate Tracker'!$E:$E,'Positions Tracker'!$B12)=0,"",COUNTIFS('Candidate Tracker'!$E:$E,'Positions Tracker'!$B12,'Candidate Tracker'!$C:$C,"&lt;&gt;WIP",'Candidate Tracker'!$C:$C,"&lt;&gt;Hold",'Candidate Tracker'!$C:$C,"&lt;&gt;Cancelled",'Candidate Tracker'!$C:$C,"&lt;&gt;Closed")/COUNTIFS('Candidate Tracker'!$E:$E,'Positions Tracker'!$B12)),"")</f>
        <v/>
      </c>
      <c r="BD12" s="67" t="str">
        <f t="shared" si="1"/>
        <v>Oct-24</v>
      </c>
      <c r="BE12" s="67" t="str">
        <f t="shared" si="2"/>
        <v/>
      </c>
      <c r="BF12" s="67" t="str">
        <f t="shared" si="3"/>
        <v/>
      </c>
      <c r="BG12" s="67" t="str">
        <f t="shared" si="4"/>
        <v/>
      </c>
    </row>
    <row r="13" spans="1:59">
      <c r="A13" s="67">
        <f t="shared" si="5"/>
        <v>12</v>
      </c>
      <c r="B13" s="67">
        <v>20243902</v>
      </c>
      <c r="C13" s="67" t="s">
        <v>116</v>
      </c>
      <c r="D13" s="67" t="s">
        <v>116</v>
      </c>
      <c r="E13" s="67" t="s">
        <v>117</v>
      </c>
      <c r="F13" s="67" t="s">
        <v>118</v>
      </c>
      <c r="G13" s="67" t="s">
        <v>3</v>
      </c>
      <c r="H13" s="67" t="s">
        <v>68</v>
      </c>
      <c r="I13" s="67" t="s">
        <v>119</v>
      </c>
      <c r="J13" s="67" t="s">
        <v>70</v>
      </c>
      <c r="K13" s="68">
        <v>45476</v>
      </c>
      <c r="L13" s="68">
        <v>45476</v>
      </c>
      <c r="M13" s="68">
        <v>45660</v>
      </c>
      <c r="N13" s="67" t="s">
        <v>71</v>
      </c>
      <c r="O13" s="68">
        <v>45681</v>
      </c>
      <c r="P13" s="68">
        <v>45727</v>
      </c>
      <c r="Q13" s="68"/>
      <c r="R13" s="68">
        <v>45748</v>
      </c>
      <c r="S13" s="68"/>
      <c r="T13" s="68"/>
      <c r="U13" s="67"/>
      <c r="V13" s="67"/>
      <c r="W13" s="67"/>
      <c r="X13" s="67" t="s">
        <v>72</v>
      </c>
      <c r="Y13" s="67" t="s">
        <v>74</v>
      </c>
      <c r="Z13" s="67" t="s">
        <v>74</v>
      </c>
      <c r="AA13" s="67" t="s">
        <v>120</v>
      </c>
      <c r="AB13" s="67">
        <v>25</v>
      </c>
      <c r="AC13" s="67">
        <v>17</v>
      </c>
      <c r="AD13" s="67"/>
      <c r="AE13" s="67" t="s">
        <v>121</v>
      </c>
      <c r="AF13" s="67">
        <v>9637764488</v>
      </c>
      <c r="AG13" s="67" t="s">
        <v>122</v>
      </c>
      <c r="AH13" s="68" t="s">
        <v>123</v>
      </c>
      <c r="AI13" s="68">
        <v>45756</v>
      </c>
      <c r="AJ13" s="68"/>
      <c r="AK13" s="67" t="s">
        <v>72</v>
      </c>
      <c r="AL13" s="67">
        <v>971942</v>
      </c>
      <c r="AM13" s="68">
        <v>45819</v>
      </c>
      <c r="AN13" s="68">
        <v>45819</v>
      </c>
      <c r="AO13" s="68"/>
      <c r="AP13" s="68">
        <v>45821</v>
      </c>
      <c r="AQ13" s="68">
        <v>45821</v>
      </c>
      <c r="AR13" s="68">
        <v>45855</v>
      </c>
      <c r="AS13" s="68">
        <v>45859</v>
      </c>
      <c r="AT13" s="67">
        <f t="shared" ca="1" si="6"/>
        <v>341</v>
      </c>
      <c r="AU13" s="79" t="str">
        <f t="shared" ca="1" si="7"/>
        <v/>
      </c>
      <c r="AV13" s="79" t="str" cm="1">
        <f t="array" aca="1" ref="AV13" ca="1">IFERROR(_xlfn.IFS($AU13="","",$AU13&lt;=15,"0-15",AND($AU13&gt;=16,$AU13&lt;=30),"16-30",AND($AU13&gt;=31,$AU13&lt;=45),"31-45",AND($AU13&gt;=46,$AU13&lt;=60),"46-60",AND($AU13&gt;=61,$AU13&lt;=90),"61-90",AND($AU13&gt;=91),"&gt; 90",AND($AU13&gt;=2000),""),"")</f>
        <v/>
      </c>
      <c r="AW13" s="79" cm="1">
        <f t="array" aca="1" ref="AW13" ca="1">IFERROR(_xlfn.IFS(OR($M13="",$AM13=""),"",OR($C13="Offered",$C13="Joined"),($AM13-$M13)-$AT13),"")</f>
        <v>-182</v>
      </c>
      <c r="AX13" s="79" cm="1">
        <f t="array" aca="1" ref="AX13" ca="1">IFERROR(_xlfn.IFS(OR($M13="",$AS13=""),"",$C13="Joined",($AS13-$M13)-$AT13),"")</f>
        <v>-142</v>
      </c>
      <c r="AY13" s="67" t="str">
        <f>IFERROR(IF(COUNTIFS('Candidate Tracker'!$E:$E,'Positions Tracker'!$B13,'Candidate Tracker'!$C:$C,"Offer Drop")=0,"",COUNTIFS('Candidate Tracker'!$E:$E,'Positions Tracker'!$B13,'Candidate Tracker'!$C:$C,"Offer Drop")),"")</f>
        <v/>
      </c>
      <c r="AZ13" s="80">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0.88111888111888115</v>
      </c>
      <c r="BA13" s="81">
        <f>IFERROR(IF(COUNTIFS('Candidate Tracker'!$E:$E,'Positions Tracker'!$B13,'Candidate Tracker'!$I:$I,"Female")=0,"",COUNTIFS('Candidate Tracker'!$E:$E,'Positions Tracker'!$B13,'Candidate Tracker'!$I:$I,"Female")),"")</f>
        <v>2</v>
      </c>
      <c r="BB13" s="81">
        <f>IFERROR(IF(COUNTIFS('Candidate Tracker'!$E:$E,'Positions Tracker'!$B13,'Candidate Tracker'!$I:$I,"male")=0,"",COUNTIFS('Candidate Tracker'!$E:$E,'Positions Tracker'!$B13,'Candidate Tracker'!$I:$I,"male")),"")</f>
        <v>13</v>
      </c>
      <c r="BC13" s="80" t="str">
        <f>IFERROR(IF(COUNTIFS('Candidate Tracker'!$E:$E,'Positions Tracker'!$B13,'Candidate Tracker'!$C:$C,"&lt;&gt;WIP",'Candidate Tracker'!$C:$C,"&lt;&gt;Hold",'Candidate Tracker'!$C:$C,"&lt;&gt;Cancelled",'Candidate Tracker'!$C:$C,"&lt;&gt;Closed")/COUNTIFS('Candidate Tracker'!$E:$E,'Positions Tracker'!$B13)=0,"",COUNTIFS('Candidate Tracker'!$E:$E,'Positions Tracker'!$B13,'Candidate Tracker'!$C:$C,"&lt;&gt;WIP",'Candidate Tracker'!$C:$C,"&lt;&gt;Hold",'Candidate Tracker'!$C:$C,"&lt;&gt;Cancelled",'Candidate Tracker'!$C:$C,"&lt;&gt;Closed")/COUNTIFS('Candidate Tracker'!$E:$E,'Positions Tracker'!$B13)),"")</f>
        <v/>
      </c>
      <c r="BD13" s="67" t="str">
        <f t="shared" si="1"/>
        <v>Jan-25</v>
      </c>
      <c r="BE13" s="67" t="str">
        <f t="shared" si="2"/>
        <v>Apr-25</v>
      </c>
      <c r="BF13" s="67" t="str">
        <f t="shared" si="3"/>
        <v>Jun-25</v>
      </c>
      <c r="BG13" s="67" t="str">
        <f t="shared" si="4"/>
        <v>Jul-25</v>
      </c>
    </row>
    <row r="14" spans="1:59">
      <c r="A14" s="67">
        <f t="shared" si="5"/>
        <v>13</v>
      </c>
      <c r="B14" s="67">
        <v>20252045</v>
      </c>
      <c r="C14" s="67" t="s">
        <v>116</v>
      </c>
      <c r="D14" s="67" t="s">
        <v>116</v>
      </c>
      <c r="E14" s="67" t="s">
        <v>124</v>
      </c>
      <c r="F14" s="67" t="s">
        <v>125</v>
      </c>
      <c r="G14" s="67" t="s">
        <v>3</v>
      </c>
      <c r="H14" s="67" t="s">
        <v>68</v>
      </c>
      <c r="I14" s="67" t="s">
        <v>78</v>
      </c>
      <c r="J14" s="67" t="s">
        <v>94</v>
      </c>
      <c r="K14" s="68">
        <v>45691</v>
      </c>
      <c r="L14" s="68">
        <v>45691</v>
      </c>
      <c r="M14" s="68">
        <v>45691</v>
      </c>
      <c r="N14" s="67" t="s">
        <v>71</v>
      </c>
      <c r="O14" s="68"/>
      <c r="P14" s="68"/>
      <c r="Q14" s="68"/>
      <c r="R14" s="68"/>
      <c r="S14" s="68"/>
      <c r="T14" s="68"/>
      <c r="U14" s="67"/>
      <c r="V14" s="67"/>
      <c r="W14" s="67"/>
      <c r="X14" s="67" t="s">
        <v>72</v>
      </c>
      <c r="Y14" s="67" t="s">
        <v>74</v>
      </c>
      <c r="Z14" s="67" t="s">
        <v>74</v>
      </c>
      <c r="AA14" s="67" t="s">
        <v>126</v>
      </c>
      <c r="AB14" s="67">
        <v>5</v>
      </c>
      <c r="AC14" s="67">
        <v>5</v>
      </c>
      <c r="AD14" s="67"/>
      <c r="AE14" s="67" t="s">
        <v>127</v>
      </c>
      <c r="AF14" s="67">
        <v>8766529114</v>
      </c>
      <c r="AG14" s="67" t="s">
        <v>128</v>
      </c>
      <c r="AH14" s="68" t="s">
        <v>123</v>
      </c>
      <c r="AI14" s="68">
        <v>45693</v>
      </c>
      <c r="AJ14" s="68">
        <v>45700</v>
      </c>
      <c r="AK14" s="67" t="s">
        <v>72</v>
      </c>
      <c r="AL14" s="67">
        <v>700000</v>
      </c>
      <c r="AM14" s="68">
        <v>45699</v>
      </c>
      <c r="AN14" s="68">
        <v>45702</v>
      </c>
      <c r="AO14" s="68"/>
      <c r="AP14" s="68">
        <v>45706</v>
      </c>
      <c r="AQ14" s="68">
        <v>45706</v>
      </c>
      <c r="AR14" s="68">
        <v>45751</v>
      </c>
      <c r="AS14" s="68">
        <v>45740</v>
      </c>
      <c r="AT14" s="67">
        <f t="shared" ca="1" si="6"/>
        <v>0</v>
      </c>
      <c r="AU14" s="79" t="str">
        <f t="shared" ca="1" si="7"/>
        <v/>
      </c>
      <c r="AV14" s="79" t="str" cm="1">
        <f t="array" aca="1" ref="AV14" ca="1">IFERROR(_xlfn.IFS($AU14="","",$AU14&lt;=15,"0-15",AND($AU14&gt;=16,$AU14&lt;=30),"16-30",AND($AU14&gt;=31,$AU14&lt;=45),"31-45",AND($AU14&gt;=46,$AU14&lt;=60),"46-60",AND($AU14&gt;=61,$AU14&lt;=90),"61-90",AND($AU14&gt;=91),"&gt; 90",AND($AU14&gt;=2000),""),"")</f>
        <v/>
      </c>
      <c r="AW14" s="79" cm="1">
        <f t="array" aca="1" ref="AW14" ca="1">IFERROR(_xlfn.IFS(OR($M14="",$AM14=""),"",OR($C14="Offered",$C14="Joined"),($AM14-$M14)-$AT14),"")</f>
        <v>8</v>
      </c>
      <c r="AX14" s="79" cm="1">
        <f t="array" aca="1" ref="AX14" ca="1">IFERROR(_xlfn.IFS(OR($M14="",$AS14=""),"",$C14="Joined",($AS14-$M14)-$AT14),"")</f>
        <v>49</v>
      </c>
      <c r="AY14" s="67" t="str">
        <f>IFERROR(IF(COUNTIFS('Candidate Tracker'!$E:$E,'Positions Tracker'!$B14,'Candidate Tracker'!$C:$C,"Offer Drop")=0,"",COUNTIFS('Candidate Tracker'!$E:$E,'Positions Tracker'!$B14,'Candidate Tracker'!$C:$C,"Offer Drop")),"")</f>
        <v/>
      </c>
      <c r="AZ14" s="80">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0.88111888111888115</v>
      </c>
      <c r="BA14" s="81" t="str">
        <f>IFERROR(IF(COUNTIFS('Candidate Tracker'!$E:$E,'Positions Tracker'!$B14,'Candidate Tracker'!$I:$I,"Female")=0,"",COUNTIFS('Candidate Tracker'!$E:$E,'Positions Tracker'!$B14,'Candidate Tracker'!$I:$I,"Female")),"")</f>
        <v/>
      </c>
      <c r="BB14" s="81">
        <f>IFERROR(IF(COUNTIFS('Candidate Tracker'!$E:$E,'Positions Tracker'!$B14,'Candidate Tracker'!$I:$I,"male")=0,"",COUNTIFS('Candidate Tracker'!$E:$E,'Positions Tracker'!$B14,'Candidate Tracker'!$I:$I,"male")),"")</f>
        <v>1</v>
      </c>
      <c r="BC14" s="80">
        <f>IFERROR(IF(COUNTIFS('Candidate Tracker'!$E:$E,'Positions Tracker'!$B14,'Candidate Tracker'!$C:$C,"&lt;&gt;WIP",'Candidate Tracker'!$C:$C,"&lt;&gt;Hold",'Candidate Tracker'!$C:$C,"&lt;&gt;Cancelled",'Candidate Tracker'!$C:$C,"&lt;&gt;Closed")/COUNTIFS('Candidate Tracker'!$E:$E,'Positions Tracker'!$B14)=0,"",COUNTIFS('Candidate Tracker'!$E:$E,'Positions Tracker'!$B14,'Candidate Tracker'!$C:$C,"&lt;&gt;WIP",'Candidate Tracker'!$C:$C,"&lt;&gt;Hold",'Candidate Tracker'!$C:$C,"&lt;&gt;Cancelled",'Candidate Tracker'!$C:$C,"&lt;&gt;Closed")/COUNTIFS('Candidate Tracker'!$E:$E,'Positions Tracker'!$B14)),"")</f>
        <v>1</v>
      </c>
      <c r="BD14" s="67" t="str">
        <f t="shared" si="1"/>
        <v>Feb-25</v>
      </c>
      <c r="BE14" s="67" t="str">
        <f t="shared" si="2"/>
        <v>Feb-25</v>
      </c>
      <c r="BF14" s="67" t="str">
        <f t="shared" si="3"/>
        <v>Feb-25</v>
      </c>
      <c r="BG14" s="67" t="str">
        <f t="shared" si="4"/>
        <v>Mar-25</v>
      </c>
    </row>
    <row r="15" spans="1:59">
      <c r="A15" s="67">
        <f t="shared" si="5"/>
        <v>14</v>
      </c>
      <c r="B15" s="67">
        <v>20252046</v>
      </c>
      <c r="C15" s="67" t="s">
        <v>116</v>
      </c>
      <c r="D15" s="67" t="s">
        <v>116</v>
      </c>
      <c r="E15" s="67" t="s">
        <v>129</v>
      </c>
      <c r="F15" s="67" t="s">
        <v>125</v>
      </c>
      <c r="G15" s="67" t="s">
        <v>3</v>
      </c>
      <c r="H15" s="67" t="s">
        <v>68</v>
      </c>
      <c r="I15" s="67" t="s">
        <v>78</v>
      </c>
      <c r="J15" s="67" t="s">
        <v>94</v>
      </c>
      <c r="K15" s="68">
        <v>45691</v>
      </c>
      <c r="L15" s="68">
        <v>45691</v>
      </c>
      <c r="M15" s="68">
        <v>45691</v>
      </c>
      <c r="N15" s="67" t="s">
        <v>82</v>
      </c>
      <c r="O15" s="68"/>
      <c r="P15" s="68"/>
      <c r="Q15" s="68"/>
      <c r="R15" s="68"/>
      <c r="S15" s="68"/>
      <c r="T15" s="68"/>
      <c r="U15" s="67"/>
      <c r="V15" s="67"/>
      <c r="W15" s="67"/>
      <c r="X15" s="67" t="s">
        <v>72</v>
      </c>
      <c r="Y15" s="67" t="s">
        <v>74</v>
      </c>
      <c r="Z15" s="67" t="s">
        <v>74</v>
      </c>
      <c r="AA15" s="67" t="s">
        <v>130</v>
      </c>
      <c r="AB15" s="67">
        <v>10</v>
      </c>
      <c r="AC15" s="67">
        <v>6</v>
      </c>
      <c r="AD15" s="67"/>
      <c r="AE15" s="67" t="s">
        <v>131</v>
      </c>
      <c r="AF15" s="67">
        <v>9973287316</v>
      </c>
      <c r="AG15" s="67" t="s">
        <v>132</v>
      </c>
      <c r="AH15" s="68" t="s">
        <v>123</v>
      </c>
      <c r="AI15" s="68">
        <v>45695</v>
      </c>
      <c r="AJ15" s="68">
        <v>45706</v>
      </c>
      <c r="AK15" s="67" t="s">
        <v>72</v>
      </c>
      <c r="AL15" s="67">
        <v>1050000</v>
      </c>
      <c r="AM15" s="68">
        <v>45709</v>
      </c>
      <c r="AN15" s="68">
        <v>45712</v>
      </c>
      <c r="AO15" s="68"/>
      <c r="AP15" s="68">
        <v>45713</v>
      </c>
      <c r="AQ15" s="68">
        <v>45713</v>
      </c>
      <c r="AR15" s="68">
        <v>45807</v>
      </c>
      <c r="AS15" s="68">
        <v>45810</v>
      </c>
      <c r="AT15" s="67">
        <f t="shared" ca="1" si="6"/>
        <v>0</v>
      </c>
      <c r="AU15" s="79" t="str">
        <f t="shared" ca="1" si="7"/>
        <v/>
      </c>
      <c r="AV15" s="79" t="str" cm="1">
        <f t="array" aca="1" ref="AV15" ca="1">IFERROR(_xlfn.IFS($AU15="","",$AU15&lt;=15,"0-15",AND($AU15&gt;=16,$AU15&lt;=30),"16-30",AND($AU15&gt;=31,$AU15&lt;=45),"31-45",AND($AU15&gt;=46,$AU15&lt;=60),"46-60",AND($AU15&gt;=61,$AU15&lt;=90),"61-90",AND($AU15&gt;=91),"&gt; 90",AND($AU15&gt;=2000),""),"")</f>
        <v/>
      </c>
      <c r="AW15" s="79" cm="1">
        <f t="array" aca="1" ref="AW15" ca="1">IFERROR(_xlfn.IFS(OR($M15="",$AM15=""),"",OR($C15="Offered",$C15="Joined"),($AM15-$M15)-$AT15),"")</f>
        <v>18</v>
      </c>
      <c r="AX15" s="79" cm="1">
        <f t="array" aca="1" ref="AX15" ca="1">IFERROR(_xlfn.IFS(OR($M15="",$AS15=""),"",$C15="Joined",($AS15-$M15)-$AT15),"")</f>
        <v>119</v>
      </c>
      <c r="AY15" s="67" t="str">
        <f>IFERROR(IF(COUNTIFS('Candidate Tracker'!$E:$E,'Positions Tracker'!$B15,'Candidate Tracker'!$C:$C,"Offer Drop")=0,"",COUNTIFS('Candidate Tracker'!$E:$E,'Positions Tracker'!$B15,'Candidate Tracker'!$C:$C,"Offer Drop")),"")</f>
        <v/>
      </c>
      <c r="AZ15" s="80">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0.88111888111888115</v>
      </c>
      <c r="BA15" s="81" t="str">
        <f>IFERROR(IF(COUNTIFS('Candidate Tracker'!$E:$E,'Positions Tracker'!$B15,'Candidate Tracker'!$I:$I,"Female")=0,"",COUNTIFS('Candidate Tracker'!$E:$E,'Positions Tracker'!$B15,'Candidate Tracker'!$I:$I,"Female")),"")</f>
        <v/>
      </c>
      <c r="BB15" s="81">
        <f>IFERROR(IF(COUNTIFS('Candidate Tracker'!$E:$E,'Positions Tracker'!$B15,'Candidate Tracker'!$I:$I,"male")=0,"",COUNTIFS('Candidate Tracker'!$E:$E,'Positions Tracker'!$B15,'Candidate Tracker'!$I:$I,"male")),"")</f>
        <v>1</v>
      </c>
      <c r="BC15" s="80">
        <f>IFERROR(IF(COUNTIFS('Candidate Tracker'!$E:$E,'Positions Tracker'!$B15,'Candidate Tracker'!$C:$C,"&lt;&gt;WIP",'Candidate Tracker'!$C:$C,"&lt;&gt;Hold",'Candidate Tracker'!$C:$C,"&lt;&gt;Cancelled",'Candidate Tracker'!$C:$C,"&lt;&gt;Closed")/COUNTIFS('Candidate Tracker'!$E:$E,'Positions Tracker'!$B15)=0,"",COUNTIFS('Candidate Tracker'!$E:$E,'Positions Tracker'!$B15,'Candidate Tracker'!$C:$C,"&lt;&gt;WIP",'Candidate Tracker'!$C:$C,"&lt;&gt;Hold",'Candidate Tracker'!$C:$C,"&lt;&gt;Cancelled",'Candidate Tracker'!$C:$C,"&lt;&gt;Closed")/COUNTIFS('Candidate Tracker'!$E:$E,'Positions Tracker'!$B15)),"")</f>
        <v>1</v>
      </c>
      <c r="BD15" s="67" t="str">
        <f t="shared" si="1"/>
        <v>Feb-25</v>
      </c>
      <c r="BE15" s="67" t="str">
        <f t="shared" si="2"/>
        <v>Feb-25</v>
      </c>
      <c r="BF15" s="67" t="str">
        <f t="shared" si="3"/>
        <v>Feb-25</v>
      </c>
      <c r="BG15" s="67" t="str">
        <f t="shared" si="4"/>
        <v>Jun-25</v>
      </c>
    </row>
    <row r="16" spans="1:59">
      <c r="A16" s="67">
        <f t="shared" si="5"/>
        <v>15</v>
      </c>
      <c r="B16" s="67">
        <v>20254425</v>
      </c>
      <c r="C16" s="67" t="s">
        <v>116</v>
      </c>
      <c r="D16" s="67" t="s">
        <v>116</v>
      </c>
      <c r="E16" s="67" t="s">
        <v>133</v>
      </c>
      <c r="F16" s="67" t="s">
        <v>134</v>
      </c>
      <c r="G16" s="67" t="s">
        <v>1</v>
      </c>
      <c r="H16" s="67" t="s">
        <v>68</v>
      </c>
      <c r="I16" s="67" t="s">
        <v>135</v>
      </c>
      <c r="J16" s="67" t="s">
        <v>70</v>
      </c>
      <c r="K16" s="68">
        <v>45580</v>
      </c>
      <c r="L16" s="68">
        <v>45580</v>
      </c>
      <c r="M16" s="68">
        <v>45580</v>
      </c>
      <c r="N16" s="67" t="s">
        <v>136</v>
      </c>
      <c r="O16" s="68">
        <v>45615</v>
      </c>
      <c r="P16" s="68">
        <v>45649</v>
      </c>
      <c r="Q16" s="68">
        <v>45706</v>
      </c>
      <c r="R16" s="68"/>
      <c r="S16" s="68"/>
      <c r="T16" s="68"/>
      <c r="U16" s="67">
        <v>13</v>
      </c>
      <c r="V16" s="67"/>
      <c r="W16" s="67"/>
      <c r="X16" s="67" t="s">
        <v>72</v>
      </c>
      <c r="Y16" s="67" t="s">
        <v>74</v>
      </c>
      <c r="Z16" s="67" t="s">
        <v>74</v>
      </c>
      <c r="AA16" s="67" t="s">
        <v>137</v>
      </c>
      <c r="AB16" s="67">
        <v>27</v>
      </c>
      <c r="AC16" s="67">
        <v>24</v>
      </c>
      <c r="AD16" s="67"/>
      <c r="AE16" s="67" t="s">
        <v>138</v>
      </c>
      <c r="AF16" s="67">
        <v>8983128692</v>
      </c>
      <c r="AG16" s="67" t="s">
        <v>139</v>
      </c>
      <c r="AH16" s="68" t="s">
        <v>123</v>
      </c>
      <c r="AI16" s="68">
        <v>45742</v>
      </c>
      <c r="AJ16" s="68">
        <v>45764</v>
      </c>
      <c r="AK16" s="67" t="s">
        <v>72</v>
      </c>
      <c r="AL16" s="67">
        <v>2341410</v>
      </c>
      <c r="AM16" s="68">
        <v>45764</v>
      </c>
      <c r="AN16" s="68">
        <v>45764</v>
      </c>
      <c r="AO16" s="68"/>
      <c r="AP16" s="68">
        <v>45765</v>
      </c>
      <c r="AQ16" s="68">
        <v>45765</v>
      </c>
      <c r="AR16" s="68">
        <v>45827</v>
      </c>
      <c r="AS16" s="68">
        <v>45831</v>
      </c>
      <c r="AT16" s="67">
        <f t="shared" ca="1" si="6"/>
        <v>1033</v>
      </c>
      <c r="AU16" s="79" t="str">
        <f t="shared" ca="1" si="7"/>
        <v/>
      </c>
      <c r="AV16" s="79" t="str" cm="1">
        <f t="array" aca="1" ref="AV16" ca="1">IFERROR(_xlfn.IFS($AU16="","",$AU16&lt;=15,"0-15",AND($AU16&gt;=16,$AU16&lt;=30),"16-30",AND($AU16&gt;=31,$AU16&lt;=45),"31-45",AND($AU16&gt;=46,$AU16&lt;=60),"46-60",AND($AU16&gt;=61,$AU16&lt;=90),"61-90",AND($AU16&gt;=91),"&gt; 90",AND($AU16&gt;=2000),""),"")</f>
        <v/>
      </c>
      <c r="AW16" s="79" cm="1">
        <f t="array" aca="1" ref="AW16" ca="1">IFERROR(_xlfn.IFS(OR($M16="",$AM16=""),"",OR($C16="Offered",$C16="Joined"),($AM16-$M16)-$AT16),"")</f>
        <v>-849</v>
      </c>
      <c r="AX16" s="79" cm="1">
        <f t="array" aca="1" ref="AX16" ca="1">IFERROR(_xlfn.IFS(OR($M16="",$AS16=""),"",$C16="Joined",($AS16-$M16)-$AT16),"")</f>
        <v>-782</v>
      </c>
      <c r="AY16" s="67" t="str">
        <f>IFERROR(IF(COUNTIFS('Candidate Tracker'!$E:$E,'Positions Tracker'!$B16,'Candidate Tracker'!$C:$C,"Offer Drop")=0,"",COUNTIFS('Candidate Tracker'!$E:$E,'Positions Tracker'!$B16,'Candidate Tracker'!$C:$C,"Offer Drop")),"")</f>
        <v/>
      </c>
      <c r="AZ16" s="80">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0.88111888111888115</v>
      </c>
      <c r="BA16" s="81" t="str">
        <f>IFERROR(IF(COUNTIFS('Candidate Tracker'!$E:$E,'Positions Tracker'!$B16,'Candidate Tracker'!$I:$I,"Female")=0,"",COUNTIFS('Candidate Tracker'!$E:$E,'Positions Tracker'!$B16,'Candidate Tracker'!$I:$I,"Female")),"")</f>
        <v/>
      </c>
      <c r="BB16" s="81" t="str">
        <f>IFERROR(IF(COUNTIFS('Candidate Tracker'!$E:$E,'Positions Tracker'!$B16,'Candidate Tracker'!$I:$I,"male")=0,"",COUNTIFS('Candidate Tracker'!$E:$E,'Positions Tracker'!$B16,'Candidate Tracker'!$I:$I,"male")),"")</f>
        <v/>
      </c>
      <c r="BC16" s="80" t="str">
        <f>IFERROR(IF(COUNTIFS('Candidate Tracker'!$E:$E,'Positions Tracker'!$B16,'Candidate Tracker'!$C:$C,"&lt;&gt;WIP",'Candidate Tracker'!$C:$C,"&lt;&gt;Hold",'Candidate Tracker'!$C:$C,"&lt;&gt;Cancelled",'Candidate Tracker'!$C:$C,"&lt;&gt;Closed")/COUNTIFS('Candidate Tracker'!$E:$E,'Positions Tracker'!$B16)=0,"",COUNTIFS('Candidate Tracker'!$E:$E,'Positions Tracker'!$B16,'Candidate Tracker'!$C:$C,"&lt;&gt;WIP",'Candidate Tracker'!$C:$C,"&lt;&gt;Hold",'Candidate Tracker'!$C:$C,"&lt;&gt;Cancelled",'Candidate Tracker'!$C:$C,"&lt;&gt;Closed")/COUNTIFS('Candidate Tracker'!$E:$E,'Positions Tracker'!$B16)),"")</f>
        <v/>
      </c>
      <c r="BD16" s="67" t="str">
        <f t="shared" si="1"/>
        <v>Oct-24</v>
      </c>
      <c r="BE16" s="67" t="str">
        <f t="shared" si="2"/>
        <v>Mar-25</v>
      </c>
      <c r="BF16" s="67" t="str">
        <f t="shared" si="3"/>
        <v>Apr-25</v>
      </c>
      <c r="BG16" s="67" t="str">
        <f t="shared" si="4"/>
        <v>Jun-25</v>
      </c>
    </row>
    <row r="17" spans="1:59">
      <c r="A17" s="67">
        <f t="shared" si="5"/>
        <v>16</v>
      </c>
      <c r="B17" s="67" t="s">
        <v>140</v>
      </c>
      <c r="C17" s="67" t="s">
        <v>116</v>
      </c>
      <c r="D17" s="67" t="s">
        <v>116</v>
      </c>
      <c r="E17" s="67" t="s">
        <v>141</v>
      </c>
      <c r="F17" s="67" t="s">
        <v>142</v>
      </c>
      <c r="G17" s="67" t="s">
        <v>3</v>
      </c>
      <c r="H17" s="67" t="s">
        <v>142</v>
      </c>
      <c r="I17" s="67" t="s">
        <v>143</v>
      </c>
      <c r="J17" s="67" t="s">
        <v>70</v>
      </c>
      <c r="K17" s="68">
        <v>44999</v>
      </c>
      <c r="L17" s="68">
        <v>44999</v>
      </c>
      <c r="M17" s="68">
        <v>45274</v>
      </c>
      <c r="N17" s="67" t="s">
        <v>82</v>
      </c>
      <c r="O17" s="68"/>
      <c r="P17" s="68"/>
      <c r="Q17" s="68"/>
      <c r="R17" s="68"/>
      <c r="S17" s="68"/>
      <c r="T17" s="68"/>
      <c r="U17" s="67"/>
      <c r="V17" s="67"/>
      <c r="W17" s="67"/>
      <c r="X17" s="67" t="s">
        <v>72</v>
      </c>
      <c r="Y17" s="67" t="s">
        <v>144</v>
      </c>
      <c r="Z17" s="67" t="s">
        <v>145</v>
      </c>
      <c r="AA17" s="67" t="s">
        <v>116</v>
      </c>
      <c r="AB17" s="67"/>
      <c r="AC17" s="67"/>
      <c r="AD17" s="67"/>
      <c r="AE17" s="67" t="s">
        <v>146</v>
      </c>
      <c r="AF17" s="67" t="s">
        <v>147</v>
      </c>
      <c r="AG17" s="67" t="s">
        <v>148</v>
      </c>
      <c r="AH17" s="68" t="s">
        <v>123</v>
      </c>
      <c r="AI17" s="68">
        <v>45296</v>
      </c>
      <c r="AJ17" s="68">
        <v>45299</v>
      </c>
      <c r="AK17" s="67" t="s">
        <v>72</v>
      </c>
      <c r="AL17" s="67">
        <v>750000</v>
      </c>
      <c r="AM17" s="68">
        <v>45299</v>
      </c>
      <c r="AN17" s="68">
        <v>45299</v>
      </c>
      <c r="AO17" s="68"/>
      <c r="AP17" s="68">
        <v>45302</v>
      </c>
      <c r="AQ17" s="68">
        <v>45302</v>
      </c>
      <c r="AR17" s="68">
        <v>45360</v>
      </c>
      <c r="AS17" s="68">
        <v>45362</v>
      </c>
      <c r="AT17" s="67">
        <f t="shared" ca="1" si="6"/>
        <v>0</v>
      </c>
      <c r="AU17" s="79" t="str">
        <f t="shared" ca="1" si="7"/>
        <v/>
      </c>
      <c r="AV17" s="79" t="str" cm="1">
        <f t="array" aca="1" ref="AV17" ca="1">IFERROR(_xlfn.IFS($AU17="","",$AU17&lt;=15,"0-15",AND($AU17&gt;=16,$AU17&lt;=30),"16-30",AND($AU17&gt;=31,$AU17&lt;=45),"31-45",AND($AU17&gt;=46,$AU17&lt;=60),"46-60",AND($AU17&gt;=61,$AU17&lt;=90),"61-90",AND($AU17&gt;=91),"&gt; 90",AND($AU17&gt;=2000),""),"")</f>
        <v/>
      </c>
      <c r="AW17" s="79" cm="1">
        <f t="array" aca="1" ref="AW17" ca="1">IFERROR(_xlfn.IFS(OR($M17="",$AM17=""),"",OR($C17="Offered",$C17="Joined"),($AM17-$M17)-$AT17),"")</f>
        <v>25</v>
      </c>
      <c r="AX17" s="79" cm="1">
        <f t="array" aca="1" ref="AX17" ca="1">IFERROR(_xlfn.IFS(OR($M17="",$AS17=""),"",$C17="Joined",($AS17-$M17)-$AT17),"")</f>
        <v>88</v>
      </c>
      <c r="AY17" s="67" t="str">
        <f>IFERROR(IF(COUNTIFS('Candidate Tracker'!$E:$E,'Positions Tracker'!$B17,'Candidate Tracker'!$C:$C,"Offer Drop")=0,"",COUNTIFS('Candidate Tracker'!$E:$E,'Positions Tracker'!$B17,'Candidate Tracker'!$C:$C,"Offer Drop")),"")</f>
        <v/>
      </c>
      <c r="AZ17" s="80">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0.88111888111888115</v>
      </c>
      <c r="BA17" s="81" t="str">
        <f>IFERROR(IF(COUNTIFS('Candidate Tracker'!$E:$E,'Positions Tracker'!$B17,'Candidate Tracker'!$I:$I,"Female")=0,"",COUNTIFS('Candidate Tracker'!$E:$E,'Positions Tracker'!$B17,'Candidate Tracker'!$I:$I,"Female")),"")</f>
        <v/>
      </c>
      <c r="BB17" s="81">
        <f>IFERROR(IF(COUNTIFS('Candidate Tracker'!$E:$E,'Positions Tracker'!$B17,'Candidate Tracker'!$I:$I,"male")=0,"",COUNTIFS('Candidate Tracker'!$E:$E,'Positions Tracker'!$B17,'Candidate Tracker'!$I:$I,"male")),"")</f>
        <v>1</v>
      </c>
      <c r="BC17" s="80">
        <f>IFERROR(IF(COUNTIFS('Candidate Tracker'!$E:$E,'Positions Tracker'!$B17,'Candidate Tracker'!$C:$C,"&lt;&gt;WIP",'Candidate Tracker'!$C:$C,"&lt;&gt;Hold",'Candidate Tracker'!$C:$C,"&lt;&gt;Cancelled",'Candidate Tracker'!$C:$C,"&lt;&gt;Closed")/COUNTIFS('Candidate Tracker'!$E:$E,'Positions Tracker'!$B17)=0,"",COUNTIFS('Candidate Tracker'!$E:$E,'Positions Tracker'!$B17,'Candidate Tracker'!$C:$C,"&lt;&gt;WIP",'Candidate Tracker'!$C:$C,"&lt;&gt;Hold",'Candidate Tracker'!$C:$C,"&lt;&gt;Cancelled",'Candidate Tracker'!$C:$C,"&lt;&gt;Closed")/COUNTIFS('Candidate Tracker'!$E:$E,'Positions Tracker'!$B17)),"")</f>
        <v>1</v>
      </c>
      <c r="BD17" s="67" t="str">
        <f t="shared" si="1"/>
        <v>Dec-23</v>
      </c>
      <c r="BE17" s="67" t="str">
        <f t="shared" si="2"/>
        <v>Jan-24</v>
      </c>
      <c r="BF17" s="67" t="str">
        <f t="shared" si="3"/>
        <v>Jan-24</v>
      </c>
      <c r="BG17" s="67" t="str">
        <f t="shared" si="4"/>
        <v>Mar-24</v>
      </c>
    </row>
    <row r="18" spans="1:59">
      <c r="A18" s="67">
        <f t="shared" si="5"/>
        <v>17</v>
      </c>
      <c r="B18" s="67">
        <v>20235907</v>
      </c>
      <c r="C18" s="67" t="s">
        <v>116</v>
      </c>
      <c r="D18" s="67" t="s">
        <v>116</v>
      </c>
      <c r="E18" s="67" t="s">
        <v>149</v>
      </c>
      <c r="F18" s="67" t="s">
        <v>150</v>
      </c>
      <c r="G18" s="67" t="s">
        <v>3</v>
      </c>
      <c r="H18" s="67" t="s">
        <v>151</v>
      </c>
      <c r="I18" s="67" t="s">
        <v>152</v>
      </c>
      <c r="J18" s="67" t="s">
        <v>70</v>
      </c>
      <c r="K18" s="68">
        <v>45301</v>
      </c>
      <c r="L18" s="68">
        <v>45301</v>
      </c>
      <c r="M18" s="68">
        <v>45361</v>
      </c>
      <c r="N18" s="67" t="s">
        <v>153</v>
      </c>
      <c r="O18" s="68"/>
      <c r="P18" s="68"/>
      <c r="Q18" s="68"/>
      <c r="R18" s="68"/>
      <c r="S18" s="68"/>
      <c r="T18" s="68"/>
      <c r="U18" s="67"/>
      <c r="V18" s="67"/>
      <c r="W18" s="67"/>
      <c r="X18" s="67" t="s">
        <v>72</v>
      </c>
      <c r="Y18" s="67" t="s">
        <v>144</v>
      </c>
      <c r="Z18" s="67" t="s">
        <v>144</v>
      </c>
      <c r="AA18" s="67" t="s">
        <v>116</v>
      </c>
      <c r="AB18" s="67"/>
      <c r="AC18" s="67"/>
      <c r="AD18" s="67"/>
      <c r="AE18" s="67" t="s">
        <v>154</v>
      </c>
      <c r="AF18" s="67" t="s">
        <v>155</v>
      </c>
      <c r="AG18" s="67" t="s">
        <v>156</v>
      </c>
      <c r="AH18" s="68" t="s">
        <v>86</v>
      </c>
      <c r="AI18" s="68">
        <v>45443</v>
      </c>
      <c r="AJ18" s="68">
        <v>45384</v>
      </c>
      <c r="AK18" s="67" t="s">
        <v>72</v>
      </c>
      <c r="AL18" s="67">
        <v>2200000</v>
      </c>
      <c r="AM18" s="68">
        <v>45447</v>
      </c>
      <c r="AN18" s="68">
        <v>45384</v>
      </c>
      <c r="AO18" s="68"/>
      <c r="AP18" s="68">
        <v>45447</v>
      </c>
      <c r="AQ18" s="68">
        <v>45447</v>
      </c>
      <c r="AR18" s="68">
        <v>45445</v>
      </c>
      <c r="AS18" s="68">
        <v>45449</v>
      </c>
      <c r="AT18" s="67">
        <f t="shared" ca="1" si="6"/>
        <v>0</v>
      </c>
      <c r="AU18" s="79" t="str">
        <f t="shared" ca="1" si="7"/>
        <v/>
      </c>
      <c r="AV18" s="79" t="str" cm="1">
        <f t="array" aca="1" ref="AV18" ca="1">IFERROR(_xlfn.IFS($AU18="","",$AU18&lt;=15,"0-15",AND($AU18&gt;=16,$AU18&lt;=30),"16-30",AND($AU18&gt;=31,$AU18&lt;=45),"31-45",AND($AU18&gt;=46,$AU18&lt;=60),"46-60",AND($AU18&gt;=61,$AU18&lt;=90),"61-90",AND($AU18&gt;=91),"&gt; 90",AND($AU18&gt;=2000),""),"")</f>
        <v/>
      </c>
      <c r="AW18" s="79" cm="1">
        <f t="array" aca="1" ref="AW18" ca="1">IFERROR(_xlfn.IFS(OR($M18="",$AM18=""),"",OR($C18="Offered",$C18="Joined"),($AM18-$M18)-$AT18),"")</f>
        <v>86</v>
      </c>
      <c r="AX18" s="79" cm="1">
        <f t="array" aca="1" ref="AX18" ca="1">IFERROR(_xlfn.IFS(OR($M18="",$AS18=""),"",$C18="Joined",($AS18-$M18)-$AT18),"")</f>
        <v>88</v>
      </c>
      <c r="AY18" s="67" t="str">
        <f>IFERROR(IF(COUNTIFS('Candidate Tracker'!$E:$E,'Positions Tracker'!$B18,'Candidate Tracker'!$C:$C,"Offer Drop")=0,"",COUNTIFS('Candidate Tracker'!$E:$E,'Positions Tracker'!$B18,'Candidate Tracker'!$C:$C,"Offer Drop")),"")</f>
        <v/>
      </c>
      <c r="AZ18" s="80">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0.88111888111888115</v>
      </c>
      <c r="BA18" s="81">
        <f>IFERROR(IF(COUNTIFS('Candidate Tracker'!$E:$E,'Positions Tracker'!$B18,'Candidate Tracker'!$I:$I,"Female")=0,"",COUNTIFS('Candidate Tracker'!$E:$E,'Positions Tracker'!$B18,'Candidate Tracker'!$I:$I,"Female")),"")</f>
        <v>1</v>
      </c>
      <c r="BB18" s="81" t="str">
        <f>IFERROR(IF(COUNTIFS('Candidate Tracker'!$E:$E,'Positions Tracker'!$B18,'Candidate Tracker'!$I:$I,"male")=0,"",COUNTIFS('Candidate Tracker'!$E:$E,'Positions Tracker'!$B18,'Candidate Tracker'!$I:$I,"male")),"")</f>
        <v/>
      </c>
      <c r="BC18" s="80">
        <f>IFERROR(IF(COUNTIFS('Candidate Tracker'!$E:$E,'Positions Tracker'!$B18,'Candidate Tracker'!$C:$C,"&lt;&gt;WIP",'Candidate Tracker'!$C:$C,"&lt;&gt;Hold",'Candidate Tracker'!$C:$C,"&lt;&gt;Cancelled",'Candidate Tracker'!$C:$C,"&lt;&gt;Closed")/COUNTIFS('Candidate Tracker'!$E:$E,'Positions Tracker'!$B18)=0,"",COUNTIFS('Candidate Tracker'!$E:$E,'Positions Tracker'!$B18,'Candidate Tracker'!$C:$C,"&lt;&gt;WIP",'Candidate Tracker'!$C:$C,"&lt;&gt;Hold",'Candidate Tracker'!$C:$C,"&lt;&gt;Cancelled",'Candidate Tracker'!$C:$C,"&lt;&gt;Closed")/COUNTIFS('Candidate Tracker'!$E:$E,'Positions Tracker'!$B18)),"")</f>
        <v>1</v>
      </c>
      <c r="BD18" s="67" t="str">
        <f t="shared" si="1"/>
        <v>Mar-24</v>
      </c>
      <c r="BE18" s="67" t="str">
        <f t="shared" si="2"/>
        <v>May-24</v>
      </c>
      <c r="BF18" s="67" t="str">
        <f t="shared" si="3"/>
        <v>Jun-24</v>
      </c>
      <c r="BG18" s="67" t="str">
        <f t="shared" si="4"/>
        <v>Jun-24</v>
      </c>
    </row>
    <row r="19" spans="1:59">
      <c r="A19" s="67">
        <f t="shared" si="5"/>
        <v>18</v>
      </c>
      <c r="B19" s="67">
        <v>20246741</v>
      </c>
      <c r="C19" s="67" t="s">
        <v>64</v>
      </c>
      <c r="D19" s="67" t="s">
        <v>65</v>
      </c>
      <c r="E19" s="67" t="s">
        <v>157</v>
      </c>
      <c r="F19" s="67" t="s">
        <v>158</v>
      </c>
      <c r="G19" s="67" t="s">
        <v>3</v>
      </c>
      <c r="H19" s="67" t="s">
        <v>151</v>
      </c>
      <c r="I19" s="67" t="s">
        <v>159</v>
      </c>
      <c r="J19" s="67" t="s">
        <v>70</v>
      </c>
      <c r="K19" s="68">
        <v>45203</v>
      </c>
      <c r="L19" s="68">
        <v>45203</v>
      </c>
      <c r="M19" s="68">
        <v>45398</v>
      </c>
      <c r="N19" s="67"/>
      <c r="O19" s="68"/>
      <c r="P19" s="68"/>
      <c r="Q19" s="68"/>
      <c r="R19" s="68"/>
      <c r="S19" s="68"/>
      <c r="T19" s="68"/>
      <c r="U19" s="67"/>
      <c r="V19" s="67"/>
      <c r="W19" s="67"/>
      <c r="X19" s="67" t="s">
        <v>72</v>
      </c>
      <c r="Y19" s="67" t="s">
        <v>144</v>
      </c>
      <c r="Z19" s="67" t="s">
        <v>144</v>
      </c>
      <c r="AA19" s="67" t="s">
        <v>160</v>
      </c>
      <c r="AB19" s="67"/>
      <c r="AC19" s="67"/>
      <c r="AD19" s="67"/>
      <c r="AE19" s="67"/>
      <c r="AF19" s="67"/>
      <c r="AG19" s="67"/>
      <c r="AH19" s="68"/>
      <c r="AI19" s="68"/>
      <c r="AJ19" s="68"/>
      <c r="AK19" s="67"/>
      <c r="AL19" s="67"/>
      <c r="AM19" s="68"/>
      <c r="AN19" s="68"/>
      <c r="AO19" s="68"/>
      <c r="AP19" s="68"/>
      <c r="AQ19" s="68"/>
      <c r="AR19" s="68"/>
      <c r="AS19" s="68"/>
      <c r="AT19" s="67">
        <f t="shared" ca="1" si="6"/>
        <v>0</v>
      </c>
      <c r="AU19" s="79" t="str">
        <f t="shared" ca="1" si="7"/>
        <v/>
      </c>
      <c r="AV19" s="79" t="str" cm="1">
        <f t="array" aca="1" ref="AV19" ca="1">IFERROR(_xlfn.IFS($AU19="","",$AU19&lt;=15,"0-15",AND($AU19&gt;=16,$AU19&lt;=30),"16-30",AND($AU19&gt;=31,$AU19&lt;=45),"31-45",AND($AU19&gt;=46,$AU19&lt;=60),"46-60",AND($AU19&gt;=61,$AU19&lt;=90),"61-90",AND($AU19&gt;=91),"&gt; 90",AND($AU19&gt;=2000),""),"")</f>
        <v/>
      </c>
      <c r="AW19" s="79" t="str" cm="1">
        <f t="array" aca="1" ref="AW19" ca="1">IFERROR(_xlfn.IFS(OR($M19="",$AM19=""),"",OR($C19="Offered",$C19="Joined"),($AM19-$M19)-$AT19),"")</f>
        <v/>
      </c>
      <c r="AX19" s="79" t="str" cm="1">
        <f t="array" aca="1" ref="AX19" ca="1">IFERROR(_xlfn.IFS(OR($M19="",$AS19=""),"",$C19="Joined",($AS19-$M19)-$AT19),"")</f>
        <v/>
      </c>
      <c r="AY19" s="67" t="str">
        <f>IFERROR(IF(COUNTIFS('Candidate Tracker'!$E:$E,'Positions Tracker'!$B19,'Candidate Tracker'!$C:$C,"Offer Drop")=0,"",COUNTIFS('Candidate Tracker'!$E:$E,'Positions Tracker'!$B19,'Candidate Tracker'!$C:$C,"Offer Drop")),"")</f>
        <v/>
      </c>
      <c r="AZ19" s="80">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0.88111888111888115</v>
      </c>
      <c r="BA19" s="81">
        <f>IFERROR(IF(COUNTIFS('Candidate Tracker'!$E:$E,'Positions Tracker'!$B19,'Candidate Tracker'!$I:$I,"Female")=0,"",COUNTIFS('Candidate Tracker'!$E:$E,'Positions Tracker'!$B19,'Candidate Tracker'!$I:$I,"Female")),"")</f>
        <v>3</v>
      </c>
      <c r="BB19" s="81">
        <f>IFERROR(IF(COUNTIFS('Candidate Tracker'!$E:$E,'Positions Tracker'!$B19,'Candidate Tracker'!$I:$I,"male")=0,"",COUNTIFS('Candidate Tracker'!$E:$E,'Positions Tracker'!$B19,'Candidate Tracker'!$I:$I,"male")),"")</f>
        <v>7</v>
      </c>
      <c r="BC19" s="80" t="str">
        <f>IFERROR(IF(COUNTIFS('Candidate Tracker'!$E:$E,'Positions Tracker'!$B19,'Candidate Tracker'!$C:$C,"&lt;&gt;WIP",'Candidate Tracker'!$C:$C,"&lt;&gt;Hold",'Candidate Tracker'!$C:$C,"&lt;&gt;Cancelled",'Candidate Tracker'!$C:$C,"&lt;&gt;Closed")/COUNTIFS('Candidate Tracker'!$E:$E,'Positions Tracker'!$B19)=0,"",COUNTIFS('Candidate Tracker'!$E:$E,'Positions Tracker'!$B19,'Candidate Tracker'!$C:$C,"&lt;&gt;WIP",'Candidate Tracker'!$C:$C,"&lt;&gt;Hold",'Candidate Tracker'!$C:$C,"&lt;&gt;Cancelled",'Candidate Tracker'!$C:$C,"&lt;&gt;Closed")/COUNTIFS('Candidate Tracker'!$E:$E,'Positions Tracker'!$B19)),"")</f>
        <v/>
      </c>
      <c r="BD19" s="67" t="str">
        <f t="shared" si="1"/>
        <v>Apr-24</v>
      </c>
      <c r="BE19" s="67" t="str">
        <f t="shared" si="2"/>
        <v/>
      </c>
      <c r="BF19" s="67" t="str">
        <f t="shared" si="3"/>
        <v/>
      </c>
      <c r="BG19" s="67" t="str">
        <f t="shared" si="4"/>
        <v/>
      </c>
    </row>
    <row r="20" spans="1:59">
      <c r="A20" s="67">
        <f t="shared" si="5"/>
        <v>19</v>
      </c>
      <c r="B20" s="67">
        <v>20245072</v>
      </c>
      <c r="C20" s="67" t="s">
        <v>116</v>
      </c>
      <c r="D20" s="67" t="s">
        <v>116</v>
      </c>
      <c r="E20" s="67" t="s">
        <v>161</v>
      </c>
      <c r="F20" s="67" t="s">
        <v>158</v>
      </c>
      <c r="G20" s="67" t="s">
        <v>3</v>
      </c>
      <c r="H20" s="67" t="s">
        <v>68</v>
      </c>
      <c r="I20" s="67" t="s">
        <v>107</v>
      </c>
      <c r="J20" s="67" t="s">
        <v>70</v>
      </c>
      <c r="K20" s="68">
        <v>45181</v>
      </c>
      <c r="L20" s="68">
        <v>45181</v>
      </c>
      <c r="M20" s="68">
        <v>45488</v>
      </c>
      <c r="N20" s="67" t="s">
        <v>162</v>
      </c>
      <c r="O20" s="68"/>
      <c r="P20" s="68"/>
      <c r="Q20" s="68"/>
      <c r="R20" s="68"/>
      <c r="S20" s="68"/>
      <c r="T20" s="68"/>
      <c r="U20" s="67"/>
      <c r="V20" s="67"/>
      <c r="W20" s="67"/>
      <c r="X20" s="67" t="s">
        <v>72</v>
      </c>
      <c r="Y20" s="67" t="s">
        <v>144</v>
      </c>
      <c r="Z20" s="67" t="s">
        <v>144</v>
      </c>
      <c r="AA20" s="67" t="s">
        <v>116</v>
      </c>
      <c r="AB20" s="67"/>
      <c r="AC20" s="67"/>
      <c r="AD20" s="67"/>
      <c r="AE20" s="67" t="s">
        <v>163</v>
      </c>
      <c r="AF20" s="67" t="s">
        <v>164</v>
      </c>
      <c r="AG20" s="67" t="s">
        <v>165</v>
      </c>
      <c r="AH20" s="68" t="s">
        <v>123</v>
      </c>
      <c r="AI20" s="68">
        <v>45527</v>
      </c>
      <c r="AJ20" s="68">
        <v>45530</v>
      </c>
      <c r="AK20" s="67" t="s">
        <v>72</v>
      </c>
      <c r="AL20" s="67">
        <v>1100000</v>
      </c>
      <c r="AM20" s="68">
        <v>45541</v>
      </c>
      <c r="AN20" s="68">
        <v>45530</v>
      </c>
      <c r="AO20" s="68"/>
      <c r="AP20" s="68">
        <v>45541</v>
      </c>
      <c r="AQ20" s="68">
        <v>45541</v>
      </c>
      <c r="AR20" s="68">
        <v>45638</v>
      </c>
      <c r="AS20" s="68">
        <v>45642</v>
      </c>
      <c r="AT20" s="67">
        <f t="shared" ca="1" si="6"/>
        <v>0</v>
      </c>
      <c r="AU20" s="79" t="str">
        <f t="shared" ca="1" si="7"/>
        <v/>
      </c>
      <c r="AV20" s="79" t="str" cm="1">
        <f t="array" aca="1" ref="AV20" ca="1">IFERROR(_xlfn.IFS($AU20="","",$AU20&lt;=15,"0-15",AND($AU20&gt;=16,$AU20&lt;=30),"16-30",AND($AU20&gt;=31,$AU20&lt;=45),"31-45",AND($AU20&gt;=46,$AU20&lt;=60),"46-60",AND($AU20&gt;=61,$AU20&lt;=90),"61-90",AND($AU20&gt;=91),"&gt; 90",AND($AU20&gt;=2000),""),"")</f>
        <v/>
      </c>
      <c r="AW20" s="79" cm="1">
        <f t="array" aca="1" ref="AW20" ca="1">IFERROR(_xlfn.IFS(OR($M20="",$AM20=""),"",OR($C20="Offered",$C20="Joined"),($AM20-$M20)-$AT20),"")</f>
        <v>53</v>
      </c>
      <c r="AX20" s="79" cm="1">
        <f t="array" aca="1" ref="AX20" ca="1">IFERROR(_xlfn.IFS(OR($M20="",$AS20=""),"",$C20="Joined",($AS20-$M20)-$AT20),"")</f>
        <v>154</v>
      </c>
      <c r="AY20" s="67" t="str">
        <f>IFERROR(IF(COUNTIFS('Candidate Tracker'!$E:$E,'Positions Tracker'!$B20,'Candidate Tracker'!$C:$C,"Offer Drop")=0,"",COUNTIFS('Candidate Tracker'!$E:$E,'Positions Tracker'!$B20,'Candidate Tracker'!$C:$C,"Offer Drop")),"")</f>
        <v/>
      </c>
      <c r="AZ20" s="80">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0.88111888111888115</v>
      </c>
      <c r="BA20" s="81" t="str">
        <f>IFERROR(IF(COUNTIFS('Candidate Tracker'!$E:$E,'Positions Tracker'!$B20,'Candidate Tracker'!$I:$I,"Female")=0,"",COUNTIFS('Candidate Tracker'!$E:$E,'Positions Tracker'!$B20,'Candidate Tracker'!$I:$I,"Female")),"")</f>
        <v/>
      </c>
      <c r="BB20" s="81">
        <f>IFERROR(IF(COUNTIFS('Candidate Tracker'!$E:$E,'Positions Tracker'!$B20,'Candidate Tracker'!$I:$I,"male")=0,"",COUNTIFS('Candidate Tracker'!$E:$E,'Positions Tracker'!$B20,'Candidate Tracker'!$I:$I,"male")),"")</f>
        <v>1</v>
      </c>
      <c r="BC20" s="80">
        <f>IFERROR(IF(COUNTIFS('Candidate Tracker'!$E:$E,'Positions Tracker'!$B20,'Candidate Tracker'!$C:$C,"&lt;&gt;WIP",'Candidate Tracker'!$C:$C,"&lt;&gt;Hold",'Candidate Tracker'!$C:$C,"&lt;&gt;Cancelled",'Candidate Tracker'!$C:$C,"&lt;&gt;Closed")/COUNTIFS('Candidate Tracker'!$E:$E,'Positions Tracker'!$B20)=0,"",COUNTIFS('Candidate Tracker'!$E:$E,'Positions Tracker'!$B20,'Candidate Tracker'!$C:$C,"&lt;&gt;WIP",'Candidate Tracker'!$C:$C,"&lt;&gt;Hold",'Candidate Tracker'!$C:$C,"&lt;&gt;Cancelled",'Candidate Tracker'!$C:$C,"&lt;&gt;Closed")/COUNTIFS('Candidate Tracker'!$E:$E,'Positions Tracker'!$B20)),"")</f>
        <v>1</v>
      </c>
      <c r="BD20" s="67" t="str">
        <f t="shared" si="1"/>
        <v>Jul-24</v>
      </c>
      <c r="BE20" s="67" t="str">
        <f t="shared" si="2"/>
        <v>Aug-24</v>
      </c>
      <c r="BF20" s="67" t="str">
        <f t="shared" si="3"/>
        <v>Sep-24</v>
      </c>
      <c r="BG20" s="67" t="str">
        <f t="shared" si="4"/>
        <v>Dec-24</v>
      </c>
    </row>
    <row r="21" spans="1:59">
      <c r="A21" s="67">
        <f t="shared" si="5"/>
        <v>20</v>
      </c>
      <c r="B21" s="67" t="s">
        <v>166</v>
      </c>
      <c r="C21" s="67" t="s">
        <v>116</v>
      </c>
      <c r="D21" s="67" t="s">
        <v>116</v>
      </c>
      <c r="E21" s="67" t="s">
        <v>167</v>
      </c>
      <c r="F21" s="67" t="s">
        <v>168</v>
      </c>
      <c r="G21" s="67" t="s">
        <v>3</v>
      </c>
      <c r="H21" s="67" t="s">
        <v>142</v>
      </c>
      <c r="I21" s="67" t="s">
        <v>143</v>
      </c>
      <c r="J21" s="67" t="s">
        <v>70</v>
      </c>
      <c r="K21" s="68">
        <v>45327</v>
      </c>
      <c r="L21" s="68">
        <v>45327</v>
      </c>
      <c r="M21" s="68">
        <v>45327</v>
      </c>
      <c r="N21" s="67" t="s">
        <v>82</v>
      </c>
      <c r="O21" s="68"/>
      <c r="P21" s="68"/>
      <c r="Q21" s="68"/>
      <c r="R21" s="68"/>
      <c r="S21" s="68"/>
      <c r="T21" s="68"/>
      <c r="U21" s="67"/>
      <c r="V21" s="67"/>
      <c r="W21" s="67"/>
      <c r="X21" s="67" t="s">
        <v>72</v>
      </c>
      <c r="Y21" s="67" t="s">
        <v>144</v>
      </c>
      <c r="Z21" s="67" t="s">
        <v>144</v>
      </c>
      <c r="AA21" s="67" t="s">
        <v>116</v>
      </c>
      <c r="AB21" s="67"/>
      <c r="AC21" s="67"/>
      <c r="AD21" s="67"/>
      <c r="AE21" s="67" t="s">
        <v>169</v>
      </c>
      <c r="AF21" s="67" t="s">
        <v>170</v>
      </c>
      <c r="AG21" s="67" t="s">
        <v>171</v>
      </c>
      <c r="AH21" s="68" t="s">
        <v>123</v>
      </c>
      <c r="AI21" s="68">
        <v>45363</v>
      </c>
      <c r="AJ21" s="68">
        <v>45368</v>
      </c>
      <c r="AK21" s="67" t="s">
        <v>72</v>
      </c>
      <c r="AL21" s="67">
        <v>1500000</v>
      </c>
      <c r="AM21" s="68">
        <v>45383</v>
      </c>
      <c r="AN21" s="68">
        <v>45368</v>
      </c>
      <c r="AO21" s="68"/>
      <c r="AP21" s="68">
        <v>45383</v>
      </c>
      <c r="AQ21" s="68">
        <v>45383</v>
      </c>
      <c r="AR21" s="68">
        <v>45386</v>
      </c>
      <c r="AS21" s="68">
        <v>45390</v>
      </c>
      <c r="AT21" s="67">
        <f t="shared" ca="1" si="6"/>
        <v>0</v>
      </c>
      <c r="AU21" s="79" t="str">
        <f t="shared" ca="1" si="7"/>
        <v/>
      </c>
      <c r="AV21" s="79" t="str" cm="1">
        <f t="array" aca="1" ref="AV21" ca="1">IFERROR(_xlfn.IFS($AU21="","",$AU21&lt;=15,"0-15",AND($AU21&gt;=16,$AU21&lt;=30),"16-30",AND($AU21&gt;=31,$AU21&lt;=45),"31-45",AND($AU21&gt;=46,$AU21&lt;=60),"46-60",AND($AU21&gt;=61,$AU21&lt;=90),"61-90",AND($AU21&gt;=91),"&gt; 90",AND($AU21&gt;=2000),""),"")</f>
        <v/>
      </c>
      <c r="AW21" s="79" cm="1">
        <f t="array" aca="1" ref="AW21" ca="1">IFERROR(_xlfn.IFS(OR($M21="",$AM21=""),"",OR($C21="Offered",$C21="Joined"),($AM21-$M21)-$AT21),"")</f>
        <v>56</v>
      </c>
      <c r="AX21" s="79" cm="1">
        <f t="array" aca="1" ref="AX21" ca="1">IFERROR(_xlfn.IFS(OR($M21="",$AS21=""),"",$C21="Joined",($AS21-$M21)-$AT21),"")</f>
        <v>63</v>
      </c>
      <c r="AY21" s="67" t="str">
        <f>IFERROR(IF(COUNTIFS('Candidate Tracker'!$E:$E,'Positions Tracker'!$B21,'Candidate Tracker'!$C:$C,"Offer Drop")=0,"",COUNTIFS('Candidate Tracker'!$E:$E,'Positions Tracker'!$B21,'Candidate Tracker'!$C:$C,"Offer Drop")),"")</f>
        <v/>
      </c>
      <c r="AZ21" s="80">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0.88111888111888115</v>
      </c>
      <c r="BA21" s="81" t="str">
        <f>IFERROR(IF(COUNTIFS('Candidate Tracker'!$E:$E,'Positions Tracker'!$B21,'Candidate Tracker'!$I:$I,"Female")=0,"",COUNTIFS('Candidate Tracker'!$E:$E,'Positions Tracker'!$B21,'Candidate Tracker'!$I:$I,"Female")),"")</f>
        <v/>
      </c>
      <c r="BB21" s="81">
        <f>IFERROR(IF(COUNTIFS('Candidate Tracker'!$E:$E,'Positions Tracker'!$B21,'Candidate Tracker'!$I:$I,"male")=0,"",COUNTIFS('Candidate Tracker'!$E:$E,'Positions Tracker'!$B21,'Candidate Tracker'!$I:$I,"male")),"")</f>
        <v>1</v>
      </c>
      <c r="BC21" s="80">
        <f>IFERROR(IF(COUNTIFS('Candidate Tracker'!$E:$E,'Positions Tracker'!$B21,'Candidate Tracker'!$C:$C,"&lt;&gt;WIP",'Candidate Tracker'!$C:$C,"&lt;&gt;Hold",'Candidate Tracker'!$C:$C,"&lt;&gt;Cancelled",'Candidate Tracker'!$C:$C,"&lt;&gt;Closed")/COUNTIFS('Candidate Tracker'!$E:$E,'Positions Tracker'!$B21)=0,"",COUNTIFS('Candidate Tracker'!$E:$E,'Positions Tracker'!$B21,'Candidate Tracker'!$C:$C,"&lt;&gt;WIP",'Candidate Tracker'!$C:$C,"&lt;&gt;Hold",'Candidate Tracker'!$C:$C,"&lt;&gt;Cancelled",'Candidate Tracker'!$C:$C,"&lt;&gt;Closed")/COUNTIFS('Candidate Tracker'!$E:$E,'Positions Tracker'!$B21)),"")</f>
        <v>1</v>
      </c>
      <c r="BD21" s="67" t="str">
        <f t="shared" si="1"/>
        <v>Feb-24</v>
      </c>
      <c r="BE21" s="67" t="str">
        <f t="shared" si="2"/>
        <v>Mar-24</v>
      </c>
      <c r="BF21" s="67" t="str">
        <f t="shared" si="3"/>
        <v>Apr-24</v>
      </c>
      <c r="BG21" s="67" t="str">
        <f t="shared" si="4"/>
        <v>Apr-24</v>
      </c>
    </row>
    <row r="22" spans="1:59">
      <c r="A22" s="67">
        <f t="shared" si="5"/>
        <v>21</v>
      </c>
      <c r="B22" s="67">
        <v>20246912</v>
      </c>
      <c r="C22" s="67" t="s">
        <v>116</v>
      </c>
      <c r="D22" s="67" t="s">
        <v>116</v>
      </c>
      <c r="E22" s="67" t="s">
        <v>172</v>
      </c>
      <c r="F22" s="67" t="s">
        <v>173</v>
      </c>
      <c r="G22" s="67" t="s">
        <v>3</v>
      </c>
      <c r="H22" s="67" t="s">
        <v>151</v>
      </c>
      <c r="I22" s="67" t="s">
        <v>152</v>
      </c>
      <c r="J22" s="67" t="s">
        <v>70</v>
      </c>
      <c r="K22" s="68">
        <v>45301</v>
      </c>
      <c r="L22" s="68">
        <v>45301</v>
      </c>
      <c r="M22" s="68">
        <v>45545</v>
      </c>
      <c r="N22" s="67" t="s">
        <v>71</v>
      </c>
      <c r="O22" s="68"/>
      <c r="P22" s="68"/>
      <c r="Q22" s="68"/>
      <c r="R22" s="68"/>
      <c r="S22" s="68"/>
      <c r="T22" s="68"/>
      <c r="U22" s="67"/>
      <c r="V22" s="67"/>
      <c r="W22" s="67"/>
      <c r="X22" s="67" t="s">
        <v>72</v>
      </c>
      <c r="Y22" s="67" t="s">
        <v>144</v>
      </c>
      <c r="Z22" s="67" t="s">
        <v>144</v>
      </c>
      <c r="AA22" s="67" t="s">
        <v>116</v>
      </c>
      <c r="AB22" s="67"/>
      <c r="AC22" s="67"/>
      <c r="AD22" s="67"/>
      <c r="AE22" s="67" t="s">
        <v>174</v>
      </c>
      <c r="AF22" s="67" t="s">
        <v>175</v>
      </c>
      <c r="AG22" s="67" t="s">
        <v>176</v>
      </c>
      <c r="AH22" s="68" t="s">
        <v>86</v>
      </c>
      <c r="AI22" s="68">
        <v>45566</v>
      </c>
      <c r="AJ22" s="68">
        <v>45571</v>
      </c>
      <c r="AK22" s="67" t="s">
        <v>72</v>
      </c>
      <c r="AL22" s="67">
        <v>760000</v>
      </c>
      <c r="AM22" s="68">
        <v>45575</v>
      </c>
      <c r="AN22" s="68">
        <v>45571</v>
      </c>
      <c r="AO22" s="68"/>
      <c r="AP22" s="68">
        <v>45575</v>
      </c>
      <c r="AQ22" s="68">
        <v>45575</v>
      </c>
      <c r="AR22" s="68">
        <v>45631</v>
      </c>
      <c r="AS22" s="68">
        <v>45635</v>
      </c>
      <c r="AT22" s="67">
        <f t="shared" ca="1" si="6"/>
        <v>0</v>
      </c>
      <c r="AU22" s="79" t="str">
        <f t="shared" ca="1" si="7"/>
        <v/>
      </c>
      <c r="AV22" s="79" t="str" cm="1">
        <f t="array" aca="1" ref="AV22" ca="1">IFERROR(_xlfn.IFS($AU22="","",$AU22&lt;=15,"0-15",AND($AU22&gt;=16,$AU22&lt;=30),"16-30",AND($AU22&gt;=31,$AU22&lt;=45),"31-45",AND($AU22&gt;=46,$AU22&lt;=60),"46-60",AND($AU22&gt;=61,$AU22&lt;=90),"61-90",AND($AU22&gt;=91),"&gt; 90",AND($AU22&gt;=2000),""),"")</f>
        <v/>
      </c>
      <c r="AW22" s="79" cm="1">
        <f t="array" aca="1" ref="AW22" ca="1">IFERROR(_xlfn.IFS(OR($M22="",$AM22=""),"",OR($C22="Offered",$C22="Joined"),($AM22-$M22)-$AT22),"")</f>
        <v>30</v>
      </c>
      <c r="AX22" s="79" cm="1">
        <f t="array" aca="1" ref="AX22" ca="1">IFERROR(_xlfn.IFS(OR($M22="",$AS22=""),"",$C22="Joined",($AS22-$M22)-$AT22),"")</f>
        <v>90</v>
      </c>
      <c r="AY22" s="67" t="str">
        <f>IFERROR(IF(COUNTIFS('Candidate Tracker'!$E:$E,'Positions Tracker'!$B22,'Candidate Tracker'!$C:$C,"Offer Drop")=0,"",COUNTIFS('Candidate Tracker'!$E:$E,'Positions Tracker'!$B22,'Candidate Tracker'!$C:$C,"Offer Drop")),"")</f>
        <v/>
      </c>
      <c r="AZ22" s="80">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0.88111888111888115</v>
      </c>
      <c r="BA22" s="81">
        <f>IFERROR(IF(COUNTIFS('Candidate Tracker'!$E:$E,'Positions Tracker'!$B22,'Candidate Tracker'!$I:$I,"Female")=0,"",COUNTIFS('Candidate Tracker'!$E:$E,'Positions Tracker'!$B22,'Candidate Tracker'!$I:$I,"Female")),"")</f>
        <v>1</v>
      </c>
      <c r="BB22" s="81" t="str">
        <f>IFERROR(IF(COUNTIFS('Candidate Tracker'!$E:$E,'Positions Tracker'!$B22,'Candidate Tracker'!$I:$I,"male")=0,"",COUNTIFS('Candidate Tracker'!$E:$E,'Positions Tracker'!$B22,'Candidate Tracker'!$I:$I,"male")),"")</f>
        <v/>
      </c>
      <c r="BC22" s="80">
        <f>IFERROR(IF(COUNTIFS('Candidate Tracker'!$E:$E,'Positions Tracker'!$B22,'Candidate Tracker'!$C:$C,"&lt;&gt;WIP",'Candidate Tracker'!$C:$C,"&lt;&gt;Hold",'Candidate Tracker'!$C:$C,"&lt;&gt;Cancelled",'Candidate Tracker'!$C:$C,"&lt;&gt;Closed")/COUNTIFS('Candidate Tracker'!$E:$E,'Positions Tracker'!$B22)=0,"",COUNTIFS('Candidate Tracker'!$E:$E,'Positions Tracker'!$B22,'Candidate Tracker'!$C:$C,"&lt;&gt;WIP",'Candidate Tracker'!$C:$C,"&lt;&gt;Hold",'Candidate Tracker'!$C:$C,"&lt;&gt;Cancelled",'Candidate Tracker'!$C:$C,"&lt;&gt;Closed")/COUNTIFS('Candidate Tracker'!$E:$E,'Positions Tracker'!$B22)),"")</f>
        <v>1</v>
      </c>
      <c r="BD22" s="67" t="str">
        <f t="shared" si="1"/>
        <v>Sep-24</v>
      </c>
      <c r="BE22" s="67" t="str">
        <f t="shared" si="2"/>
        <v>Oct-24</v>
      </c>
      <c r="BF22" s="67" t="str">
        <f t="shared" si="3"/>
        <v>Oct-24</v>
      </c>
      <c r="BG22" s="67" t="str">
        <f t="shared" si="4"/>
        <v>Dec-24</v>
      </c>
    </row>
    <row r="23" spans="1:59">
      <c r="A23" s="67">
        <f t="shared" si="5"/>
        <v>22</v>
      </c>
      <c r="B23" s="67" t="s">
        <v>177</v>
      </c>
      <c r="C23" s="67" t="s">
        <v>116</v>
      </c>
      <c r="D23" s="67" t="s">
        <v>116</v>
      </c>
      <c r="E23" s="67" t="s">
        <v>178</v>
      </c>
      <c r="F23" s="67" t="s">
        <v>179</v>
      </c>
      <c r="G23" s="67" t="s">
        <v>3</v>
      </c>
      <c r="H23" s="67" t="s">
        <v>151</v>
      </c>
      <c r="I23" s="67" t="s">
        <v>152</v>
      </c>
      <c r="J23" s="67" t="s">
        <v>70</v>
      </c>
      <c r="K23" s="68">
        <v>45294</v>
      </c>
      <c r="L23" s="68">
        <v>45294</v>
      </c>
      <c r="M23" s="68">
        <v>45294</v>
      </c>
      <c r="N23" s="67" t="s">
        <v>82</v>
      </c>
      <c r="O23" s="68"/>
      <c r="P23" s="68"/>
      <c r="Q23" s="68"/>
      <c r="R23" s="68"/>
      <c r="S23" s="68"/>
      <c r="T23" s="68"/>
      <c r="U23" s="67"/>
      <c r="V23" s="67"/>
      <c r="W23" s="67"/>
      <c r="X23" s="67" t="s">
        <v>72</v>
      </c>
      <c r="Y23" s="67" t="s">
        <v>144</v>
      </c>
      <c r="Z23" s="67" t="s">
        <v>144</v>
      </c>
      <c r="AA23" s="67" t="s">
        <v>116</v>
      </c>
      <c r="AB23" s="67"/>
      <c r="AC23" s="67"/>
      <c r="AD23" s="67"/>
      <c r="AE23" s="67" t="s">
        <v>180</v>
      </c>
      <c r="AF23" s="67" t="s">
        <v>181</v>
      </c>
      <c r="AG23" s="67" t="s">
        <v>182</v>
      </c>
      <c r="AH23" s="68" t="s">
        <v>123</v>
      </c>
      <c r="AI23" s="68">
        <v>45252</v>
      </c>
      <c r="AJ23" s="68">
        <v>45257</v>
      </c>
      <c r="AK23" s="67" t="s">
        <v>72</v>
      </c>
      <c r="AL23" s="67">
        <v>1000000</v>
      </c>
      <c r="AM23" s="68">
        <v>45257</v>
      </c>
      <c r="AN23" s="68">
        <v>45257</v>
      </c>
      <c r="AO23" s="68"/>
      <c r="AP23" s="68">
        <v>45258</v>
      </c>
      <c r="AQ23" s="68">
        <v>45258</v>
      </c>
      <c r="AR23" s="68">
        <v>45267</v>
      </c>
      <c r="AS23" s="68">
        <v>45271</v>
      </c>
      <c r="AT23" s="67">
        <f t="shared" ca="1" si="6"/>
        <v>0</v>
      </c>
      <c r="AU23" s="79" t="str">
        <f t="shared" ca="1" si="7"/>
        <v/>
      </c>
      <c r="AV23" s="79" t="str" cm="1">
        <f t="array" aca="1" ref="AV23" ca="1">IFERROR(_xlfn.IFS($AU23="","",$AU23&lt;=15,"0-15",AND($AU23&gt;=16,$AU23&lt;=30),"16-30",AND($AU23&gt;=31,$AU23&lt;=45),"31-45",AND($AU23&gt;=46,$AU23&lt;=60),"46-60",AND($AU23&gt;=61,$AU23&lt;=90),"61-90",AND($AU23&gt;=91),"&gt; 90",AND($AU23&gt;=2000),""),"")</f>
        <v/>
      </c>
      <c r="AW23" s="79" cm="1">
        <f t="array" aca="1" ref="AW23" ca="1">IFERROR(_xlfn.IFS(OR($M23="",$AM23=""),"",OR($C23="Offered",$C23="Joined"),($AM23-$M23)-$AT23),"")</f>
        <v>-37</v>
      </c>
      <c r="AX23" s="79" cm="1">
        <f t="array" aca="1" ref="AX23" ca="1">IFERROR(_xlfn.IFS(OR($M23="",$AS23=""),"",$C23="Joined",($AS23-$M23)-$AT23),"")</f>
        <v>-23</v>
      </c>
      <c r="AY23" s="67" t="str">
        <f>IFERROR(IF(COUNTIFS('Candidate Tracker'!$E:$E,'Positions Tracker'!$B23,'Candidate Tracker'!$C:$C,"Offer Drop")=0,"",COUNTIFS('Candidate Tracker'!$E:$E,'Positions Tracker'!$B23,'Candidate Tracker'!$C:$C,"Offer Drop")),"")</f>
        <v/>
      </c>
      <c r="AZ23" s="80">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0.88111888111888115</v>
      </c>
      <c r="BA23" s="81" t="str">
        <f>IFERROR(IF(COUNTIFS('Candidate Tracker'!$E:$E,'Positions Tracker'!$B23,'Candidate Tracker'!$I:$I,"Female")=0,"",COUNTIFS('Candidate Tracker'!$E:$E,'Positions Tracker'!$B23,'Candidate Tracker'!$I:$I,"Female")),"")</f>
        <v/>
      </c>
      <c r="BB23" s="81">
        <f>IFERROR(IF(COUNTIFS('Candidate Tracker'!$E:$E,'Positions Tracker'!$B23,'Candidate Tracker'!$I:$I,"male")=0,"",COUNTIFS('Candidate Tracker'!$E:$E,'Positions Tracker'!$B23,'Candidate Tracker'!$I:$I,"male")),"")</f>
        <v>1</v>
      </c>
      <c r="BC23" s="80">
        <f>IFERROR(IF(COUNTIFS('Candidate Tracker'!$E:$E,'Positions Tracker'!$B23,'Candidate Tracker'!$C:$C,"&lt;&gt;WIP",'Candidate Tracker'!$C:$C,"&lt;&gt;Hold",'Candidate Tracker'!$C:$C,"&lt;&gt;Cancelled",'Candidate Tracker'!$C:$C,"&lt;&gt;Closed")/COUNTIFS('Candidate Tracker'!$E:$E,'Positions Tracker'!$B23)=0,"",COUNTIFS('Candidate Tracker'!$E:$E,'Positions Tracker'!$B23,'Candidate Tracker'!$C:$C,"&lt;&gt;WIP",'Candidate Tracker'!$C:$C,"&lt;&gt;Hold",'Candidate Tracker'!$C:$C,"&lt;&gt;Cancelled",'Candidate Tracker'!$C:$C,"&lt;&gt;Closed")/COUNTIFS('Candidate Tracker'!$E:$E,'Positions Tracker'!$B23)),"")</f>
        <v>1</v>
      </c>
      <c r="BD23" s="67" t="str">
        <f t="shared" si="1"/>
        <v>Jan-24</v>
      </c>
      <c r="BE23" s="67" t="str">
        <f t="shared" si="2"/>
        <v>Nov-23</v>
      </c>
      <c r="BF23" s="67" t="str">
        <f t="shared" si="3"/>
        <v>Nov-23</v>
      </c>
      <c r="BG23" s="67" t="str">
        <f t="shared" si="4"/>
        <v>Dec-23</v>
      </c>
    </row>
    <row r="24" spans="1:59">
      <c r="A24" s="67">
        <f t="shared" si="5"/>
        <v>23</v>
      </c>
      <c r="B24" s="67" t="s">
        <v>183</v>
      </c>
      <c r="C24" s="67" t="s">
        <v>116</v>
      </c>
      <c r="D24" s="67" t="s">
        <v>116</v>
      </c>
      <c r="E24" s="67" t="s">
        <v>178</v>
      </c>
      <c r="F24" s="67" t="s">
        <v>184</v>
      </c>
      <c r="G24" s="67" t="s">
        <v>3</v>
      </c>
      <c r="H24" s="67" t="s">
        <v>151</v>
      </c>
      <c r="I24" s="67" t="s">
        <v>152</v>
      </c>
      <c r="J24" s="67" t="s">
        <v>70</v>
      </c>
      <c r="K24" s="68">
        <v>45232</v>
      </c>
      <c r="L24" s="68">
        <v>45232</v>
      </c>
      <c r="M24" s="68">
        <v>45232</v>
      </c>
      <c r="N24" s="67" t="s">
        <v>82</v>
      </c>
      <c r="O24" s="68"/>
      <c r="P24" s="68"/>
      <c r="Q24" s="68"/>
      <c r="R24" s="68"/>
      <c r="S24" s="68"/>
      <c r="T24" s="68"/>
      <c r="U24" s="67"/>
      <c r="V24" s="67"/>
      <c r="W24" s="67"/>
      <c r="X24" s="67" t="s">
        <v>72</v>
      </c>
      <c r="Y24" s="67" t="s">
        <v>144</v>
      </c>
      <c r="Z24" s="67" t="s">
        <v>144</v>
      </c>
      <c r="AA24" s="67" t="s">
        <v>116</v>
      </c>
      <c r="AB24" s="67"/>
      <c r="AC24" s="67"/>
      <c r="AD24" s="67"/>
      <c r="AE24" s="67" t="s">
        <v>185</v>
      </c>
      <c r="AF24" s="67" t="s">
        <v>186</v>
      </c>
      <c r="AG24" s="67" t="s">
        <v>187</v>
      </c>
      <c r="AH24" s="68" t="s">
        <v>86</v>
      </c>
      <c r="AI24" s="68">
        <v>45257</v>
      </c>
      <c r="AJ24" s="68">
        <v>45260</v>
      </c>
      <c r="AK24" s="67" t="s">
        <v>72</v>
      </c>
      <c r="AL24" s="67">
        <v>1800000</v>
      </c>
      <c r="AM24" s="68">
        <v>45260</v>
      </c>
      <c r="AN24" s="68">
        <v>45260</v>
      </c>
      <c r="AO24" s="68"/>
      <c r="AP24" s="68">
        <v>45264</v>
      </c>
      <c r="AQ24" s="68">
        <v>45264</v>
      </c>
      <c r="AR24" s="68">
        <v>45267</v>
      </c>
      <c r="AS24" s="68">
        <v>45271</v>
      </c>
      <c r="AT24" s="67">
        <f t="shared" ca="1" si="6"/>
        <v>0</v>
      </c>
      <c r="AU24" s="79" t="str">
        <f t="shared" ca="1" si="7"/>
        <v/>
      </c>
      <c r="AV24" s="79" t="str" cm="1">
        <f t="array" aca="1" ref="AV24" ca="1">IFERROR(_xlfn.IFS($AU24="","",$AU24&lt;=15,"0-15",AND($AU24&gt;=16,$AU24&lt;=30),"16-30",AND($AU24&gt;=31,$AU24&lt;=45),"31-45",AND($AU24&gt;=46,$AU24&lt;=60),"46-60",AND($AU24&gt;=61,$AU24&lt;=90),"61-90",AND($AU24&gt;=91),"&gt; 90",AND($AU24&gt;=2000),""),"")</f>
        <v/>
      </c>
      <c r="AW24" s="79" cm="1">
        <f t="array" aca="1" ref="AW24" ca="1">IFERROR(_xlfn.IFS(OR($M24="",$AM24=""),"",OR($C24="Offered",$C24="Joined"),($AM24-$M24)-$AT24),"")</f>
        <v>28</v>
      </c>
      <c r="AX24" s="79" cm="1">
        <f t="array" aca="1" ref="AX24" ca="1">IFERROR(_xlfn.IFS(OR($M24="",$AS24=""),"",$C24="Joined",($AS24-$M24)-$AT24),"")</f>
        <v>39</v>
      </c>
      <c r="AY24" s="67" t="str">
        <f>IFERROR(IF(COUNTIFS('Candidate Tracker'!$E:$E,'Positions Tracker'!$B24,'Candidate Tracker'!$C:$C,"Offer Drop")=0,"",COUNTIFS('Candidate Tracker'!$E:$E,'Positions Tracker'!$B24,'Candidate Tracker'!$C:$C,"Offer Drop")),"")</f>
        <v/>
      </c>
      <c r="AZ24" s="80">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0.88111888111888115</v>
      </c>
      <c r="BA24" s="81">
        <f>IFERROR(IF(COUNTIFS('Candidate Tracker'!$E:$E,'Positions Tracker'!$B24,'Candidate Tracker'!$I:$I,"Female")=0,"",COUNTIFS('Candidate Tracker'!$E:$E,'Positions Tracker'!$B24,'Candidate Tracker'!$I:$I,"Female")),"")</f>
        <v>1</v>
      </c>
      <c r="BB24" s="81" t="str">
        <f>IFERROR(IF(COUNTIFS('Candidate Tracker'!$E:$E,'Positions Tracker'!$B24,'Candidate Tracker'!$I:$I,"male")=0,"",COUNTIFS('Candidate Tracker'!$E:$E,'Positions Tracker'!$B24,'Candidate Tracker'!$I:$I,"male")),"")</f>
        <v/>
      </c>
      <c r="BC24" s="80">
        <f>IFERROR(IF(COUNTIFS('Candidate Tracker'!$E:$E,'Positions Tracker'!$B24,'Candidate Tracker'!$C:$C,"&lt;&gt;WIP",'Candidate Tracker'!$C:$C,"&lt;&gt;Hold",'Candidate Tracker'!$C:$C,"&lt;&gt;Cancelled",'Candidate Tracker'!$C:$C,"&lt;&gt;Closed")/COUNTIFS('Candidate Tracker'!$E:$E,'Positions Tracker'!$B24)=0,"",COUNTIFS('Candidate Tracker'!$E:$E,'Positions Tracker'!$B24,'Candidate Tracker'!$C:$C,"&lt;&gt;WIP",'Candidate Tracker'!$C:$C,"&lt;&gt;Hold",'Candidate Tracker'!$C:$C,"&lt;&gt;Cancelled",'Candidate Tracker'!$C:$C,"&lt;&gt;Closed")/COUNTIFS('Candidate Tracker'!$E:$E,'Positions Tracker'!$B24)),"")</f>
        <v>1</v>
      </c>
      <c r="BD24" s="67" t="str">
        <f t="shared" si="1"/>
        <v>Nov-23</v>
      </c>
      <c r="BE24" s="67" t="str">
        <f t="shared" si="2"/>
        <v>Nov-23</v>
      </c>
      <c r="BF24" s="67" t="str">
        <f t="shared" si="3"/>
        <v>Nov-23</v>
      </c>
      <c r="BG24" s="67" t="str">
        <f t="shared" si="4"/>
        <v>Dec-23</v>
      </c>
    </row>
    <row r="25" spans="1:59">
      <c r="A25" s="67">
        <f t="shared" si="5"/>
        <v>24</v>
      </c>
      <c r="B25" s="67" t="s">
        <v>188</v>
      </c>
      <c r="C25" s="67" t="s">
        <v>116</v>
      </c>
      <c r="D25" s="67" t="s">
        <v>116</v>
      </c>
      <c r="E25" s="67" t="s">
        <v>189</v>
      </c>
      <c r="F25" s="67" t="s">
        <v>190</v>
      </c>
      <c r="G25" s="67" t="s">
        <v>3</v>
      </c>
      <c r="H25" s="67" t="s">
        <v>191</v>
      </c>
      <c r="I25" s="67" t="s">
        <v>192</v>
      </c>
      <c r="J25" s="67" t="s">
        <v>70</v>
      </c>
      <c r="K25" s="68">
        <v>45217</v>
      </c>
      <c r="L25" s="68">
        <v>45217</v>
      </c>
      <c r="M25" s="68">
        <v>45217</v>
      </c>
      <c r="N25" s="67" t="s">
        <v>153</v>
      </c>
      <c r="O25" s="68"/>
      <c r="P25" s="68"/>
      <c r="Q25" s="68"/>
      <c r="R25" s="68"/>
      <c r="S25" s="68"/>
      <c r="T25" s="68"/>
      <c r="U25" s="67"/>
      <c r="V25" s="67"/>
      <c r="W25" s="67"/>
      <c r="X25" s="67" t="s">
        <v>72</v>
      </c>
      <c r="Y25" s="67" t="s">
        <v>144</v>
      </c>
      <c r="Z25" s="67" t="s">
        <v>144</v>
      </c>
      <c r="AA25" s="67" t="s">
        <v>116</v>
      </c>
      <c r="AB25" s="67"/>
      <c r="AC25" s="67"/>
      <c r="AD25" s="67"/>
      <c r="AE25" s="67" t="s">
        <v>193</v>
      </c>
      <c r="AF25" s="67" t="s">
        <v>194</v>
      </c>
      <c r="AG25" s="67" t="s">
        <v>195</v>
      </c>
      <c r="AH25" s="68" t="s">
        <v>123</v>
      </c>
      <c r="AI25" s="68">
        <v>45257</v>
      </c>
      <c r="AJ25" s="68">
        <v>45260</v>
      </c>
      <c r="AK25" s="67" t="s">
        <v>72</v>
      </c>
      <c r="AL25" s="67">
        <v>2050000</v>
      </c>
      <c r="AM25" s="68">
        <v>45260</v>
      </c>
      <c r="AN25" s="68">
        <v>45260</v>
      </c>
      <c r="AO25" s="68"/>
      <c r="AP25" s="68">
        <v>45261</v>
      </c>
      <c r="AQ25" s="68">
        <v>45261</v>
      </c>
      <c r="AR25" s="68">
        <v>45344</v>
      </c>
      <c r="AS25" s="68">
        <v>45348</v>
      </c>
      <c r="AT25" s="67">
        <f t="shared" ca="1" si="6"/>
        <v>0</v>
      </c>
      <c r="AU25" s="79" t="str">
        <f t="shared" ca="1" si="7"/>
        <v/>
      </c>
      <c r="AV25" s="79" t="str" cm="1">
        <f t="array" aca="1" ref="AV25" ca="1">IFERROR(_xlfn.IFS($AU25="","",$AU25&lt;=15,"0-15",AND($AU25&gt;=16,$AU25&lt;=30),"16-30",AND($AU25&gt;=31,$AU25&lt;=45),"31-45",AND($AU25&gt;=46,$AU25&lt;=60),"46-60",AND($AU25&gt;=61,$AU25&lt;=90),"61-90",AND($AU25&gt;=91),"&gt; 90",AND($AU25&gt;=2000),""),"")</f>
        <v/>
      </c>
      <c r="AW25" s="79" cm="1">
        <f t="array" aca="1" ref="AW25" ca="1">IFERROR(_xlfn.IFS(OR($M25="",$AM25=""),"",OR($C25="Offered",$C25="Joined"),($AM25-$M25)-$AT25),"")</f>
        <v>43</v>
      </c>
      <c r="AX25" s="79" cm="1">
        <f t="array" aca="1" ref="AX25" ca="1">IFERROR(_xlfn.IFS(OR($M25="",$AS25=""),"",$C25="Joined",($AS25-$M25)-$AT25),"")</f>
        <v>131</v>
      </c>
      <c r="AY25" s="67" t="str">
        <f>IFERROR(IF(COUNTIFS('Candidate Tracker'!$E:$E,'Positions Tracker'!$B25,'Candidate Tracker'!$C:$C,"Offer Drop")=0,"",COUNTIFS('Candidate Tracker'!$E:$E,'Positions Tracker'!$B25,'Candidate Tracker'!$C:$C,"Offer Drop")),"")</f>
        <v/>
      </c>
      <c r="AZ25" s="80">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0.88111888111888115</v>
      </c>
      <c r="BA25" s="81" t="str">
        <f>IFERROR(IF(COUNTIFS('Candidate Tracker'!$E:$E,'Positions Tracker'!$B25,'Candidate Tracker'!$I:$I,"Female")=0,"",COUNTIFS('Candidate Tracker'!$E:$E,'Positions Tracker'!$B25,'Candidate Tracker'!$I:$I,"Female")),"")</f>
        <v/>
      </c>
      <c r="BB25" s="81">
        <f>IFERROR(IF(COUNTIFS('Candidate Tracker'!$E:$E,'Positions Tracker'!$B25,'Candidate Tracker'!$I:$I,"male")=0,"",COUNTIFS('Candidate Tracker'!$E:$E,'Positions Tracker'!$B25,'Candidate Tracker'!$I:$I,"male")),"")</f>
        <v>1</v>
      </c>
      <c r="BC25" s="80">
        <f>IFERROR(IF(COUNTIFS('Candidate Tracker'!$E:$E,'Positions Tracker'!$B25,'Candidate Tracker'!$C:$C,"&lt;&gt;WIP",'Candidate Tracker'!$C:$C,"&lt;&gt;Hold",'Candidate Tracker'!$C:$C,"&lt;&gt;Cancelled",'Candidate Tracker'!$C:$C,"&lt;&gt;Closed")/COUNTIFS('Candidate Tracker'!$E:$E,'Positions Tracker'!$B25)=0,"",COUNTIFS('Candidate Tracker'!$E:$E,'Positions Tracker'!$B25,'Candidate Tracker'!$C:$C,"&lt;&gt;WIP",'Candidate Tracker'!$C:$C,"&lt;&gt;Hold",'Candidate Tracker'!$C:$C,"&lt;&gt;Cancelled",'Candidate Tracker'!$C:$C,"&lt;&gt;Closed")/COUNTIFS('Candidate Tracker'!$E:$E,'Positions Tracker'!$B25)),"")</f>
        <v>1</v>
      </c>
      <c r="BD25" s="67" t="str">
        <f t="shared" si="1"/>
        <v>Oct-23</v>
      </c>
      <c r="BE25" s="67" t="str">
        <f t="shared" si="2"/>
        <v>Nov-23</v>
      </c>
      <c r="BF25" s="67" t="str">
        <f t="shared" si="3"/>
        <v>Nov-23</v>
      </c>
      <c r="BG25" s="67" t="str">
        <f t="shared" si="4"/>
        <v>Feb-24</v>
      </c>
    </row>
    <row r="26" spans="1:59">
      <c r="A26" s="67">
        <f t="shared" si="5"/>
        <v>25</v>
      </c>
      <c r="B26" s="67" t="s">
        <v>196</v>
      </c>
      <c r="C26" s="67" t="s">
        <v>116</v>
      </c>
      <c r="D26" s="67" t="s">
        <v>116</v>
      </c>
      <c r="E26" s="67" t="s">
        <v>197</v>
      </c>
      <c r="F26" s="67" t="s">
        <v>158</v>
      </c>
      <c r="G26" s="67" t="s">
        <v>3</v>
      </c>
      <c r="H26" s="67" t="s">
        <v>198</v>
      </c>
      <c r="I26" s="67" t="s">
        <v>199</v>
      </c>
      <c r="J26" s="67" t="s">
        <v>70</v>
      </c>
      <c r="K26" s="68">
        <v>45329</v>
      </c>
      <c r="L26" s="68">
        <v>45329</v>
      </c>
      <c r="M26" s="68">
        <v>45434</v>
      </c>
      <c r="N26" s="67" t="s">
        <v>200</v>
      </c>
      <c r="O26" s="68"/>
      <c r="P26" s="68"/>
      <c r="Q26" s="68"/>
      <c r="R26" s="68"/>
      <c r="S26" s="68"/>
      <c r="T26" s="68"/>
      <c r="U26" s="67"/>
      <c r="V26" s="67"/>
      <c r="W26" s="67"/>
      <c r="X26" s="67" t="s">
        <v>72</v>
      </c>
      <c r="Y26" s="67" t="s">
        <v>144</v>
      </c>
      <c r="Z26" s="67" t="s">
        <v>144</v>
      </c>
      <c r="AA26" s="67" t="s">
        <v>116</v>
      </c>
      <c r="AB26" s="67"/>
      <c r="AC26" s="67"/>
      <c r="AD26" s="67"/>
      <c r="AE26" s="67" t="s">
        <v>201</v>
      </c>
      <c r="AF26" s="67" t="s">
        <v>202</v>
      </c>
      <c r="AG26" s="67" t="s">
        <v>203</v>
      </c>
      <c r="AH26" s="68" t="s">
        <v>123</v>
      </c>
      <c r="AI26" s="68">
        <v>45392</v>
      </c>
      <c r="AJ26" s="68">
        <v>45397</v>
      </c>
      <c r="AK26" s="67" t="s">
        <v>72</v>
      </c>
      <c r="AL26" s="67">
        <v>3000000</v>
      </c>
      <c r="AM26" s="68">
        <v>45405</v>
      </c>
      <c r="AN26" s="68">
        <v>45397</v>
      </c>
      <c r="AO26" s="68"/>
      <c r="AP26" s="68">
        <v>45405</v>
      </c>
      <c r="AQ26" s="68">
        <v>45405</v>
      </c>
      <c r="AR26" s="68">
        <v>45498</v>
      </c>
      <c r="AS26" s="68">
        <v>45502</v>
      </c>
      <c r="AT26" s="67">
        <f t="shared" ca="1" si="6"/>
        <v>0</v>
      </c>
      <c r="AU26" s="79" t="str">
        <f t="shared" ca="1" si="7"/>
        <v/>
      </c>
      <c r="AV26" s="79" t="str" cm="1">
        <f t="array" aca="1" ref="AV26" ca="1">IFERROR(_xlfn.IFS($AU26="","",$AU26&lt;=15,"0-15",AND($AU26&gt;=16,$AU26&lt;=30),"16-30",AND($AU26&gt;=31,$AU26&lt;=45),"31-45",AND($AU26&gt;=46,$AU26&lt;=60),"46-60",AND($AU26&gt;=61,$AU26&lt;=90),"61-90",AND($AU26&gt;=91),"&gt; 90",AND($AU26&gt;=2000),""),"")</f>
        <v/>
      </c>
      <c r="AW26" s="79" cm="1">
        <f t="array" aca="1" ref="AW26" ca="1">IFERROR(_xlfn.IFS(OR($M26="",$AM26=""),"",OR($C26="Offered",$C26="Joined"),($AM26-$M26)-$AT26),"")</f>
        <v>-29</v>
      </c>
      <c r="AX26" s="79" cm="1">
        <f t="array" aca="1" ref="AX26" ca="1">IFERROR(_xlfn.IFS(OR($M26="",$AS26=""),"",$C26="Joined",($AS26-$M26)-$AT26),"")</f>
        <v>68</v>
      </c>
      <c r="AY26" s="67" t="str">
        <f>IFERROR(IF(COUNTIFS('Candidate Tracker'!$E:$E,'Positions Tracker'!$B26,'Candidate Tracker'!$C:$C,"Offer Drop")=0,"",COUNTIFS('Candidate Tracker'!$E:$E,'Positions Tracker'!$B26,'Candidate Tracker'!$C:$C,"Offer Drop")),"")</f>
        <v/>
      </c>
      <c r="AZ26" s="80">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0.88111888111888115</v>
      </c>
      <c r="BA26" s="81" t="str">
        <f>IFERROR(IF(COUNTIFS('Candidate Tracker'!$E:$E,'Positions Tracker'!$B26,'Candidate Tracker'!$I:$I,"Female")=0,"",COUNTIFS('Candidate Tracker'!$E:$E,'Positions Tracker'!$B26,'Candidate Tracker'!$I:$I,"Female")),"")</f>
        <v/>
      </c>
      <c r="BB26" s="81">
        <f>IFERROR(IF(COUNTIFS('Candidate Tracker'!$E:$E,'Positions Tracker'!$B26,'Candidate Tracker'!$I:$I,"male")=0,"",COUNTIFS('Candidate Tracker'!$E:$E,'Positions Tracker'!$B26,'Candidate Tracker'!$I:$I,"male")),"")</f>
        <v>1</v>
      </c>
      <c r="BC26" s="80">
        <f>IFERROR(IF(COUNTIFS('Candidate Tracker'!$E:$E,'Positions Tracker'!$B26,'Candidate Tracker'!$C:$C,"&lt;&gt;WIP",'Candidate Tracker'!$C:$C,"&lt;&gt;Hold",'Candidate Tracker'!$C:$C,"&lt;&gt;Cancelled",'Candidate Tracker'!$C:$C,"&lt;&gt;Closed")/COUNTIFS('Candidate Tracker'!$E:$E,'Positions Tracker'!$B26)=0,"",COUNTIFS('Candidate Tracker'!$E:$E,'Positions Tracker'!$B26,'Candidate Tracker'!$C:$C,"&lt;&gt;WIP",'Candidate Tracker'!$C:$C,"&lt;&gt;Hold",'Candidate Tracker'!$C:$C,"&lt;&gt;Cancelled",'Candidate Tracker'!$C:$C,"&lt;&gt;Closed")/COUNTIFS('Candidate Tracker'!$E:$E,'Positions Tracker'!$B26)),"")</f>
        <v>1</v>
      </c>
      <c r="BD26" s="67" t="str">
        <f t="shared" si="1"/>
        <v>May-24</v>
      </c>
      <c r="BE26" s="67" t="str">
        <f t="shared" si="2"/>
        <v>Apr-24</v>
      </c>
      <c r="BF26" s="67" t="str">
        <f t="shared" si="3"/>
        <v>Apr-24</v>
      </c>
      <c r="BG26" s="67" t="str">
        <f t="shared" si="4"/>
        <v>Jul-24</v>
      </c>
    </row>
    <row r="27" spans="1:59">
      <c r="A27" s="67">
        <f t="shared" si="5"/>
        <v>26</v>
      </c>
      <c r="B27" s="67" t="s">
        <v>204</v>
      </c>
      <c r="C27" s="67" t="s">
        <v>116</v>
      </c>
      <c r="D27" s="67" t="s">
        <v>116</v>
      </c>
      <c r="E27" s="67" t="s">
        <v>205</v>
      </c>
      <c r="F27" s="67" t="s">
        <v>158</v>
      </c>
      <c r="G27" s="67" t="s">
        <v>3</v>
      </c>
      <c r="H27" s="67" t="s">
        <v>198</v>
      </c>
      <c r="I27" s="67" t="s">
        <v>199</v>
      </c>
      <c r="J27" s="67" t="s">
        <v>70</v>
      </c>
      <c r="K27" s="68">
        <v>45261</v>
      </c>
      <c r="L27" s="68">
        <v>45261</v>
      </c>
      <c r="M27" s="68">
        <v>45292</v>
      </c>
      <c r="N27" s="67" t="s">
        <v>162</v>
      </c>
      <c r="O27" s="68"/>
      <c r="P27" s="68"/>
      <c r="Q27" s="68"/>
      <c r="R27" s="68"/>
      <c r="S27" s="68"/>
      <c r="T27" s="68"/>
      <c r="U27" s="67"/>
      <c r="V27" s="67"/>
      <c r="W27" s="67"/>
      <c r="X27" s="67" t="s">
        <v>72</v>
      </c>
      <c r="Y27" s="67" t="s">
        <v>144</v>
      </c>
      <c r="Z27" s="67" t="s">
        <v>144</v>
      </c>
      <c r="AA27" s="67" t="s">
        <v>116</v>
      </c>
      <c r="AB27" s="67"/>
      <c r="AC27" s="67"/>
      <c r="AD27" s="67"/>
      <c r="AE27" s="67" t="s">
        <v>206</v>
      </c>
      <c r="AF27" s="67" t="s">
        <v>207</v>
      </c>
      <c r="AG27" s="67" t="s">
        <v>208</v>
      </c>
      <c r="AH27" s="68" t="s">
        <v>86</v>
      </c>
      <c r="AI27" s="68">
        <v>45343</v>
      </c>
      <c r="AJ27" s="68">
        <v>45350</v>
      </c>
      <c r="AK27" s="67" t="s">
        <v>72</v>
      </c>
      <c r="AL27" s="67">
        <v>900000</v>
      </c>
      <c r="AM27" s="68">
        <v>45350</v>
      </c>
      <c r="AN27" s="68">
        <v>45350</v>
      </c>
      <c r="AO27" s="68"/>
      <c r="AP27" s="68">
        <v>45356</v>
      </c>
      <c r="AQ27" s="68">
        <v>45356</v>
      </c>
      <c r="AR27" s="68">
        <v>45428</v>
      </c>
      <c r="AS27" s="68">
        <v>45432</v>
      </c>
      <c r="AT27" s="67">
        <f t="shared" ca="1" si="6"/>
        <v>0</v>
      </c>
      <c r="AU27" s="79" t="str">
        <f t="shared" ca="1" si="7"/>
        <v/>
      </c>
      <c r="AV27" s="79" t="str" cm="1">
        <f t="array" aca="1" ref="AV27" ca="1">IFERROR(_xlfn.IFS($AU27="","",$AU27&lt;=15,"0-15",AND($AU27&gt;=16,$AU27&lt;=30),"16-30",AND($AU27&gt;=31,$AU27&lt;=45),"31-45",AND($AU27&gt;=46,$AU27&lt;=60),"46-60",AND($AU27&gt;=61,$AU27&lt;=90),"61-90",AND($AU27&gt;=91),"&gt; 90",AND($AU27&gt;=2000),""),"")</f>
        <v/>
      </c>
      <c r="AW27" s="79" cm="1">
        <f t="array" aca="1" ref="AW27" ca="1">IFERROR(_xlfn.IFS(OR($M27="",$AM27=""),"",OR($C27="Offered",$C27="Joined"),($AM27-$M27)-$AT27),"")</f>
        <v>58</v>
      </c>
      <c r="AX27" s="79" cm="1">
        <f t="array" aca="1" ref="AX27" ca="1">IFERROR(_xlfn.IFS(OR($M27="",$AS27=""),"",$C27="Joined",($AS27-$M27)-$AT27),"")</f>
        <v>140</v>
      </c>
      <c r="AY27" s="67" t="str">
        <f>IFERROR(IF(COUNTIFS('Candidate Tracker'!$E:$E,'Positions Tracker'!$B27,'Candidate Tracker'!$C:$C,"Offer Drop")=0,"",COUNTIFS('Candidate Tracker'!$E:$E,'Positions Tracker'!$B27,'Candidate Tracker'!$C:$C,"Offer Drop")),"")</f>
        <v/>
      </c>
      <c r="AZ27" s="80">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0.88111888111888115</v>
      </c>
      <c r="BA27" s="81">
        <f>IFERROR(IF(COUNTIFS('Candidate Tracker'!$E:$E,'Positions Tracker'!$B27,'Candidate Tracker'!$I:$I,"Female")=0,"",COUNTIFS('Candidate Tracker'!$E:$E,'Positions Tracker'!$B27,'Candidate Tracker'!$I:$I,"Female")),"")</f>
        <v>1</v>
      </c>
      <c r="BB27" s="81" t="str">
        <f>IFERROR(IF(COUNTIFS('Candidate Tracker'!$E:$E,'Positions Tracker'!$B27,'Candidate Tracker'!$I:$I,"male")=0,"",COUNTIFS('Candidate Tracker'!$E:$E,'Positions Tracker'!$B27,'Candidate Tracker'!$I:$I,"male")),"")</f>
        <v/>
      </c>
      <c r="BC27" s="80">
        <f>IFERROR(IF(COUNTIFS('Candidate Tracker'!$E:$E,'Positions Tracker'!$B27,'Candidate Tracker'!$C:$C,"&lt;&gt;WIP",'Candidate Tracker'!$C:$C,"&lt;&gt;Hold",'Candidate Tracker'!$C:$C,"&lt;&gt;Cancelled",'Candidate Tracker'!$C:$C,"&lt;&gt;Closed")/COUNTIFS('Candidate Tracker'!$E:$E,'Positions Tracker'!$B27)=0,"",COUNTIFS('Candidate Tracker'!$E:$E,'Positions Tracker'!$B27,'Candidate Tracker'!$C:$C,"&lt;&gt;WIP",'Candidate Tracker'!$C:$C,"&lt;&gt;Hold",'Candidate Tracker'!$C:$C,"&lt;&gt;Cancelled",'Candidate Tracker'!$C:$C,"&lt;&gt;Closed")/COUNTIFS('Candidate Tracker'!$E:$E,'Positions Tracker'!$B27)),"")</f>
        <v>1</v>
      </c>
      <c r="BD27" s="67" t="str">
        <f t="shared" si="1"/>
        <v>Jan-24</v>
      </c>
      <c r="BE27" s="67" t="str">
        <f t="shared" si="2"/>
        <v>Feb-24</v>
      </c>
      <c r="BF27" s="67" t="str">
        <f t="shared" si="3"/>
        <v>Feb-24</v>
      </c>
      <c r="BG27" s="67" t="str">
        <f t="shared" si="4"/>
        <v>May-24</v>
      </c>
    </row>
    <row r="28" spans="1:59">
      <c r="A28" s="67">
        <f t="shared" si="5"/>
        <v>27</v>
      </c>
      <c r="B28" s="67" t="s">
        <v>209</v>
      </c>
      <c r="C28" s="67" t="s">
        <v>116</v>
      </c>
      <c r="D28" s="67" t="s">
        <v>116</v>
      </c>
      <c r="E28" s="67" t="s">
        <v>210</v>
      </c>
      <c r="F28" s="67" t="s">
        <v>190</v>
      </c>
      <c r="G28" s="67" t="s">
        <v>3</v>
      </c>
      <c r="H28" s="67" t="s">
        <v>191</v>
      </c>
      <c r="I28" s="67" t="s">
        <v>192</v>
      </c>
      <c r="J28" s="67" t="s">
        <v>70</v>
      </c>
      <c r="K28" s="68">
        <v>45261</v>
      </c>
      <c r="L28" s="68">
        <v>45261</v>
      </c>
      <c r="M28" s="68">
        <v>45261</v>
      </c>
      <c r="N28" s="67" t="s">
        <v>211</v>
      </c>
      <c r="O28" s="68"/>
      <c r="P28" s="68"/>
      <c r="Q28" s="68"/>
      <c r="R28" s="68"/>
      <c r="S28" s="68"/>
      <c r="T28" s="68"/>
      <c r="U28" s="67"/>
      <c r="V28" s="67"/>
      <c r="W28" s="67"/>
      <c r="X28" s="67" t="s">
        <v>72</v>
      </c>
      <c r="Y28" s="67" t="s">
        <v>144</v>
      </c>
      <c r="Z28" s="67" t="s">
        <v>144</v>
      </c>
      <c r="AA28" s="67" t="s">
        <v>116</v>
      </c>
      <c r="AB28" s="67"/>
      <c r="AC28" s="67"/>
      <c r="AD28" s="67"/>
      <c r="AE28" s="67" t="s">
        <v>212</v>
      </c>
      <c r="AF28" s="67" t="s">
        <v>213</v>
      </c>
      <c r="AG28" s="67" t="s">
        <v>214</v>
      </c>
      <c r="AH28" s="68" t="s">
        <v>123</v>
      </c>
      <c r="AI28" s="68">
        <v>45300</v>
      </c>
      <c r="AJ28" s="68">
        <v>45306</v>
      </c>
      <c r="AK28" s="67" t="s">
        <v>72</v>
      </c>
      <c r="AL28" s="67">
        <v>1500000</v>
      </c>
      <c r="AM28" s="68">
        <v>45306</v>
      </c>
      <c r="AN28" s="68">
        <v>45306</v>
      </c>
      <c r="AO28" s="68"/>
      <c r="AP28" s="68">
        <v>45308</v>
      </c>
      <c r="AQ28" s="68">
        <v>45308</v>
      </c>
      <c r="AR28" s="68">
        <v>45358</v>
      </c>
      <c r="AS28" s="68">
        <v>45362</v>
      </c>
      <c r="AT28" s="67">
        <f t="shared" ca="1" si="6"/>
        <v>0</v>
      </c>
      <c r="AU28" s="79" t="str">
        <f t="shared" ca="1" si="7"/>
        <v/>
      </c>
      <c r="AV28" s="79" t="str" cm="1">
        <f t="array" aca="1" ref="AV28" ca="1">IFERROR(_xlfn.IFS($AU28="","",$AU28&lt;=15,"0-15",AND($AU28&gt;=16,$AU28&lt;=30),"16-30",AND($AU28&gt;=31,$AU28&lt;=45),"31-45",AND($AU28&gt;=46,$AU28&lt;=60),"46-60",AND($AU28&gt;=61,$AU28&lt;=90),"61-90",AND($AU28&gt;=91),"&gt; 90",AND($AU28&gt;=2000),""),"")</f>
        <v/>
      </c>
      <c r="AW28" s="79" cm="1">
        <f t="array" aca="1" ref="AW28" ca="1">IFERROR(_xlfn.IFS(OR($M28="",$AM28=""),"",OR($C28="Offered",$C28="Joined"),($AM28-$M28)-$AT28),"")</f>
        <v>45</v>
      </c>
      <c r="AX28" s="79" cm="1">
        <f t="array" aca="1" ref="AX28" ca="1">IFERROR(_xlfn.IFS(OR($M28="",$AS28=""),"",$C28="Joined",($AS28-$M28)-$AT28),"")</f>
        <v>101</v>
      </c>
      <c r="AY28" s="67" t="str">
        <f>IFERROR(IF(COUNTIFS('Candidate Tracker'!$E:$E,'Positions Tracker'!$B28,'Candidate Tracker'!$C:$C,"Offer Drop")=0,"",COUNTIFS('Candidate Tracker'!$E:$E,'Positions Tracker'!$B28,'Candidate Tracker'!$C:$C,"Offer Drop")),"")</f>
        <v/>
      </c>
      <c r="AZ28" s="80">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0.88111888111888115</v>
      </c>
      <c r="BA28" s="81" t="str">
        <f>IFERROR(IF(COUNTIFS('Candidate Tracker'!$E:$E,'Positions Tracker'!$B28,'Candidate Tracker'!$I:$I,"Female")=0,"",COUNTIFS('Candidate Tracker'!$E:$E,'Positions Tracker'!$B28,'Candidate Tracker'!$I:$I,"Female")),"")</f>
        <v/>
      </c>
      <c r="BB28" s="81">
        <f>IFERROR(IF(COUNTIFS('Candidate Tracker'!$E:$E,'Positions Tracker'!$B28,'Candidate Tracker'!$I:$I,"male")=0,"",COUNTIFS('Candidate Tracker'!$E:$E,'Positions Tracker'!$B28,'Candidate Tracker'!$I:$I,"male")),"")</f>
        <v>1</v>
      </c>
      <c r="BC28" s="80">
        <f>IFERROR(IF(COUNTIFS('Candidate Tracker'!$E:$E,'Positions Tracker'!$B28,'Candidate Tracker'!$C:$C,"&lt;&gt;WIP",'Candidate Tracker'!$C:$C,"&lt;&gt;Hold",'Candidate Tracker'!$C:$C,"&lt;&gt;Cancelled",'Candidate Tracker'!$C:$C,"&lt;&gt;Closed")/COUNTIFS('Candidate Tracker'!$E:$E,'Positions Tracker'!$B28)=0,"",COUNTIFS('Candidate Tracker'!$E:$E,'Positions Tracker'!$B28,'Candidate Tracker'!$C:$C,"&lt;&gt;WIP",'Candidate Tracker'!$C:$C,"&lt;&gt;Hold",'Candidate Tracker'!$C:$C,"&lt;&gt;Cancelled",'Candidate Tracker'!$C:$C,"&lt;&gt;Closed")/COUNTIFS('Candidate Tracker'!$E:$E,'Positions Tracker'!$B28)),"")</f>
        <v>1</v>
      </c>
      <c r="BD28" s="67" t="str">
        <f t="shared" si="1"/>
        <v>Dec-23</v>
      </c>
      <c r="BE28" s="67" t="str">
        <f t="shared" si="2"/>
        <v>Jan-24</v>
      </c>
      <c r="BF28" s="67" t="str">
        <f t="shared" si="3"/>
        <v>Jan-24</v>
      </c>
      <c r="BG28" s="67" t="str">
        <f t="shared" si="4"/>
        <v>Mar-24</v>
      </c>
    </row>
    <row r="29" spans="1:59">
      <c r="A29" s="67">
        <f t="shared" si="5"/>
        <v>28</v>
      </c>
      <c r="B29" s="67">
        <v>20246589</v>
      </c>
      <c r="C29" s="67" t="s">
        <v>116</v>
      </c>
      <c r="D29" s="67" t="s">
        <v>116</v>
      </c>
      <c r="E29" s="67" t="s">
        <v>215</v>
      </c>
      <c r="F29" s="67" t="s">
        <v>158</v>
      </c>
      <c r="G29" s="67" t="s">
        <v>3</v>
      </c>
      <c r="H29" s="67" t="s">
        <v>216</v>
      </c>
      <c r="I29" s="67" t="s">
        <v>217</v>
      </c>
      <c r="J29" s="67" t="s">
        <v>70</v>
      </c>
      <c r="K29" s="68">
        <v>45442</v>
      </c>
      <c r="L29" s="68">
        <v>45442</v>
      </c>
      <c r="M29" s="68">
        <v>45565</v>
      </c>
      <c r="N29" s="67" t="s">
        <v>211</v>
      </c>
      <c r="O29" s="68"/>
      <c r="P29" s="68"/>
      <c r="Q29" s="68"/>
      <c r="R29" s="68"/>
      <c r="S29" s="68"/>
      <c r="T29" s="68"/>
      <c r="U29" s="67"/>
      <c r="V29" s="67"/>
      <c r="W29" s="67"/>
      <c r="X29" s="67" t="s">
        <v>72</v>
      </c>
      <c r="Y29" s="67" t="s">
        <v>144</v>
      </c>
      <c r="Z29" s="67" t="s">
        <v>144</v>
      </c>
      <c r="AA29" s="67" t="s">
        <v>116</v>
      </c>
      <c r="AB29" s="67"/>
      <c r="AC29" s="67"/>
      <c r="AD29" s="67"/>
      <c r="AE29" s="67" t="s">
        <v>218</v>
      </c>
      <c r="AF29" s="67" t="s">
        <v>219</v>
      </c>
      <c r="AG29" s="67" t="s">
        <v>220</v>
      </c>
      <c r="AH29" s="68" t="s">
        <v>86</v>
      </c>
      <c r="AI29" s="68">
        <v>45576</v>
      </c>
      <c r="AJ29" s="68">
        <v>45578</v>
      </c>
      <c r="AK29" s="67" t="s">
        <v>72</v>
      </c>
      <c r="AL29" s="67">
        <v>4000000</v>
      </c>
      <c r="AM29" s="68">
        <v>45607</v>
      </c>
      <c r="AN29" s="68">
        <v>45578</v>
      </c>
      <c r="AO29" s="68"/>
      <c r="AP29" s="68">
        <v>45607</v>
      </c>
      <c r="AQ29" s="68">
        <v>45607</v>
      </c>
      <c r="AR29" s="68">
        <v>45708</v>
      </c>
      <c r="AS29" s="68">
        <v>45712</v>
      </c>
      <c r="AT29" s="67">
        <f t="shared" ca="1" si="6"/>
        <v>0</v>
      </c>
      <c r="AU29" s="79" t="str">
        <f t="shared" ca="1" si="7"/>
        <v/>
      </c>
      <c r="AV29" s="79" t="str" cm="1">
        <f t="array" aca="1" ref="AV29" ca="1">IFERROR(_xlfn.IFS($AU29="","",$AU29&lt;=15,"0-15",AND($AU29&gt;=16,$AU29&lt;=30),"16-30",AND($AU29&gt;=31,$AU29&lt;=45),"31-45",AND($AU29&gt;=46,$AU29&lt;=60),"46-60",AND($AU29&gt;=61,$AU29&lt;=90),"61-90",AND($AU29&gt;=91),"&gt; 90",AND($AU29&gt;=2000),""),"")</f>
        <v/>
      </c>
      <c r="AW29" s="79" cm="1">
        <f t="array" aca="1" ref="AW29" ca="1">IFERROR(_xlfn.IFS(OR($M29="",$AM29=""),"",OR($C29="Offered",$C29="Joined"),($AM29-$M29)-$AT29),"")</f>
        <v>42</v>
      </c>
      <c r="AX29" s="79" cm="1">
        <f t="array" aca="1" ref="AX29" ca="1">IFERROR(_xlfn.IFS(OR($M29="",$AS29=""),"",$C29="Joined",($AS29-$M29)-$AT29),"")</f>
        <v>147</v>
      </c>
      <c r="AY29" s="67" t="str">
        <f>IFERROR(IF(COUNTIFS('Candidate Tracker'!$E:$E,'Positions Tracker'!$B29,'Candidate Tracker'!$C:$C,"Offer Drop")=0,"",COUNTIFS('Candidate Tracker'!$E:$E,'Positions Tracker'!$B29,'Candidate Tracker'!$C:$C,"Offer Drop")),"")</f>
        <v/>
      </c>
      <c r="AZ29" s="80">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0.88111888111888115</v>
      </c>
      <c r="BA29" s="81">
        <f>IFERROR(IF(COUNTIFS('Candidate Tracker'!$E:$E,'Positions Tracker'!$B29,'Candidate Tracker'!$I:$I,"Female")=0,"",COUNTIFS('Candidate Tracker'!$E:$E,'Positions Tracker'!$B29,'Candidate Tracker'!$I:$I,"Female")),"")</f>
        <v>1</v>
      </c>
      <c r="BB29" s="81" t="str">
        <f>IFERROR(IF(COUNTIFS('Candidate Tracker'!$E:$E,'Positions Tracker'!$B29,'Candidate Tracker'!$I:$I,"male")=0,"",COUNTIFS('Candidate Tracker'!$E:$E,'Positions Tracker'!$B29,'Candidate Tracker'!$I:$I,"male")),"")</f>
        <v/>
      </c>
      <c r="BC29" s="80">
        <f>IFERROR(IF(COUNTIFS('Candidate Tracker'!$E:$E,'Positions Tracker'!$B29,'Candidate Tracker'!$C:$C,"&lt;&gt;WIP",'Candidate Tracker'!$C:$C,"&lt;&gt;Hold",'Candidate Tracker'!$C:$C,"&lt;&gt;Cancelled",'Candidate Tracker'!$C:$C,"&lt;&gt;Closed")/COUNTIFS('Candidate Tracker'!$E:$E,'Positions Tracker'!$B29)=0,"",COUNTIFS('Candidate Tracker'!$E:$E,'Positions Tracker'!$B29,'Candidate Tracker'!$C:$C,"&lt;&gt;WIP",'Candidate Tracker'!$C:$C,"&lt;&gt;Hold",'Candidate Tracker'!$C:$C,"&lt;&gt;Cancelled",'Candidate Tracker'!$C:$C,"&lt;&gt;Closed")/COUNTIFS('Candidate Tracker'!$E:$E,'Positions Tracker'!$B29)),"")</f>
        <v>1</v>
      </c>
      <c r="BD29" s="67" t="str">
        <f t="shared" si="1"/>
        <v>Sep-24</v>
      </c>
      <c r="BE29" s="67" t="str">
        <f t="shared" si="2"/>
        <v>Oct-24</v>
      </c>
      <c r="BF29" s="67" t="str">
        <f t="shared" si="3"/>
        <v>Nov-24</v>
      </c>
      <c r="BG29" s="67" t="str">
        <f t="shared" si="4"/>
        <v>Feb-25</v>
      </c>
    </row>
    <row r="30" spans="1:59">
      <c r="A30" s="67">
        <f t="shared" si="5"/>
        <v>29</v>
      </c>
      <c r="B30" s="67" t="s">
        <v>221</v>
      </c>
      <c r="C30" s="67" t="s">
        <v>116</v>
      </c>
      <c r="D30" s="67" t="s">
        <v>116</v>
      </c>
      <c r="E30" s="67" t="s">
        <v>197</v>
      </c>
      <c r="F30" s="67" t="s">
        <v>158</v>
      </c>
      <c r="G30" s="67" t="s">
        <v>3</v>
      </c>
      <c r="H30" s="67" t="s">
        <v>198</v>
      </c>
      <c r="I30" s="67" t="s">
        <v>199</v>
      </c>
      <c r="J30" s="67" t="s">
        <v>70</v>
      </c>
      <c r="K30" s="68">
        <v>45329</v>
      </c>
      <c r="L30" s="68">
        <v>45329</v>
      </c>
      <c r="M30" s="68">
        <v>45329</v>
      </c>
      <c r="N30" s="67" t="s">
        <v>82</v>
      </c>
      <c r="O30" s="68"/>
      <c r="P30" s="68"/>
      <c r="Q30" s="68"/>
      <c r="R30" s="68"/>
      <c r="S30" s="68"/>
      <c r="T30" s="68"/>
      <c r="U30" s="67"/>
      <c r="V30" s="67"/>
      <c r="W30" s="67"/>
      <c r="X30" s="67" t="s">
        <v>72</v>
      </c>
      <c r="Y30" s="67" t="s">
        <v>144</v>
      </c>
      <c r="Z30" s="67" t="s">
        <v>144</v>
      </c>
      <c r="AA30" s="67" t="s">
        <v>116</v>
      </c>
      <c r="AB30" s="67"/>
      <c r="AC30" s="67"/>
      <c r="AD30" s="67"/>
      <c r="AE30" s="67" t="s">
        <v>222</v>
      </c>
      <c r="AF30" s="67" t="s">
        <v>223</v>
      </c>
      <c r="AG30" s="67" t="s">
        <v>224</v>
      </c>
      <c r="AH30" s="68" t="s">
        <v>123</v>
      </c>
      <c r="AI30" s="68">
        <v>45372</v>
      </c>
      <c r="AJ30" s="68">
        <v>45376</v>
      </c>
      <c r="AK30" s="67" t="s">
        <v>72</v>
      </c>
      <c r="AL30" s="67">
        <v>1900000</v>
      </c>
      <c r="AM30" s="68">
        <v>45408</v>
      </c>
      <c r="AN30" s="68">
        <v>45376</v>
      </c>
      <c r="AO30" s="68"/>
      <c r="AP30" s="68">
        <v>45408</v>
      </c>
      <c r="AQ30" s="68">
        <v>45408</v>
      </c>
      <c r="AR30" s="68">
        <v>45442</v>
      </c>
      <c r="AS30" s="68">
        <v>45446</v>
      </c>
      <c r="AT30" s="67">
        <f t="shared" ca="1" si="6"/>
        <v>0</v>
      </c>
      <c r="AU30" s="79" t="str">
        <f t="shared" ca="1" si="7"/>
        <v/>
      </c>
      <c r="AV30" s="79" t="str" cm="1">
        <f t="array" aca="1" ref="AV30" ca="1">IFERROR(_xlfn.IFS($AU30="","",$AU30&lt;=15,"0-15",AND($AU30&gt;=16,$AU30&lt;=30),"16-30",AND($AU30&gt;=31,$AU30&lt;=45),"31-45",AND($AU30&gt;=46,$AU30&lt;=60),"46-60",AND($AU30&gt;=61,$AU30&lt;=90),"61-90",AND($AU30&gt;=91),"&gt; 90",AND($AU30&gt;=2000),""),"")</f>
        <v/>
      </c>
      <c r="AW30" s="79" cm="1">
        <f t="array" aca="1" ref="AW30" ca="1">IFERROR(_xlfn.IFS(OR($M30="",$AM30=""),"",OR($C30="Offered",$C30="Joined"),($AM30-$M30)-$AT30),"")</f>
        <v>79</v>
      </c>
      <c r="AX30" s="79" cm="1">
        <f t="array" aca="1" ref="AX30" ca="1">IFERROR(_xlfn.IFS(OR($M30="",$AS30=""),"",$C30="Joined",($AS30-$M30)-$AT30),"")</f>
        <v>117</v>
      </c>
      <c r="AY30" s="67" t="str">
        <f>IFERROR(IF(COUNTIFS('Candidate Tracker'!$E:$E,'Positions Tracker'!$B30,'Candidate Tracker'!$C:$C,"Offer Drop")=0,"",COUNTIFS('Candidate Tracker'!$E:$E,'Positions Tracker'!$B30,'Candidate Tracker'!$C:$C,"Offer Drop")),"")</f>
        <v/>
      </c>
      <c r="AZ30" s="80">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0.88111888111888115</v>
      </c>
      <c r="BA30" s="81" t="str">
        <f>IFERROR(IF(COUNTIFS('Candidate Tracker'!$E:$E,'Positions Tracker'!$B30,'Candidate Tracker'!$I:$I,"Female")=0,"",COUNTIFS('Candidate Tracker'!$E:$E,'Positions Tracker'!$B30,'Candidate Tracker'!$I:$I,"Female")),"")</f>
        <v/>
      </c>
      <c r="BB30" s="81">
        <f>IFERROR(IF(COUNTIFS('Candidate Tracker'!$E:$E,'Positions Tracker'!$B30,'Candidate Tracker'!$I:$I,"male")=0,"",COUNTIFS('Candidate Tracker'!$E:$E,'Positions Tracker'!$B30,'Candidate Tracker'!$I:$I,"male")),"")</f>
        <v>1</v>
      </c>
      <c r="BC30" s="80">
        <f>IFERROR(IF(COUNTIFS('Candidate Tracker'!$E:$E,'Positions Tracker'!$B30,'Candidate Tracker'!$C:$C,"&lt;&gt;WIP",'Candidate Tracker'!$C:$C,"&lt;&gt;Hold",'Candidate Tracker'!$C:$C,"&lt;&gt;Cancelled",'Candidate Tracker'!$C:$C,"&lt;&gt;Closed")/COUNTIFS('Candidate Tracker'!$E:$E,'Positions Tracker'!$B30)=0,"",COUNTIFS('Candidate Tracker'!$E:$E,'Positions Tracker'!$B30,'Candidate Tracker'!$C:$C,"&lt;&gt;WIP",'Candidate Tracker'!$C:$C,"&lt;&gt;Hold",'Candidate Tracker'!$C:$C,"&lt;&gt;Cancelled",'Candidate Tracker'!$C:$C,"&lt;&gt;Closed")/COUNTIFS('Candidate Tracker'!$E:$E,'Positions Tracker'!$B30)),"")</f>
        <v>1</v>
      </c>
      <c r="BD30" s="67" t="str">
        <f t="shared" si="1"/>
        <v>Feb-24</v>
      </c>
      <c r="BE30" s="67" t="str">
        <f t="shared" si="2"/>
        <v>Mar-24</v>
      </c>
      <c r="BF30" s="67" t="str">
        <f t="shared" si="3"/>
        <v>Apr-24</v>
      </c>
      <c r="BG30" s="67" t="str">
        <f t="shared" si="4"/>
        <v>Jun-24</v>
      </c>
    </row>
    <row r="31" spans="1:59">
      <c r="A31" s="67">
        <f t="shared" si="5"/>
        <v>30</v>
      </c>
      <c r="B31" s="67">
        <v>20248336</v>
      </c>
      <c r="C31" s="67" t="s">
        <v>64</v>
      </c>
      <c r="D31" s="67" t="s">
        <v>65</v>
      </c>
      <c r="E31" s="67" t="s">
        <v>225</v>
      </c>
      <c r="F31" s="67" t="s">
        <v>226</v>
      </c>
      <c r="G31" s="67" t="s">
        <v>3</v>
      </c>
      <c r="H31" s="67" t="s">
        <v>227</v>
      </c>
      <c r="I31" s="67" t="s">
        <v>228</v>
      </c>
      <c r="J31" s="67" t="s">
        <v>70</v>
      </c>
      <c r="K31" s="68">
        <v>45547</v>
      </c>
      <c r="L31" s="68">
        <v>45547</v>
      </c>
      <c r="M31" s="68">
        <v>45547</v>
      </c>
      <c r="N31" s="67"/>
      <c r="O31" s="68"/>
      <c r="P31" s="68"/>
      <c r="Q31" s="68"/>
      <c r="R31" s="68"/>
      <c r="S31" s="68"/>
      <c r="T31" s="68"/>
      <c r="U31" s="67"/>
      <c r="V31" s="67"/>
      <c r="W31" s="67"/>
      <c r="X31" s="67" t="s">
        <v>72</v>
      </c>
      <c r="Y31" s="67" t="s">
        <v>144</v>
      </c>
      <c r="Z31" s="67" t="s">
        <v>144</v>
      </c>
      <c r="AA31" s="67" t="s">
        <v>229</v>
      </c>
      <c r="AB31" s="67"/>
      <c r="AC31" s="67"/>
      <c r="AD31" s="67"/>
      <c r="AE31" s="67"/>
      <c r="AF31" s="67"/>
      <c r="AG31" s="67"/>
      <c r="AH31" s="68"/>
      <c r="AI31" s="68"/>
      <c r="AJ31" s="68"/>
      <c r="AK31" s="67"/>
      <c r="AL31" s="67"/>
      <c r="AM31" s="68"/>
      <c r="AN31" s="68"/>
      <c r="AO31" s="68"/>
      <c r="AP31" s="68"/>
      <c r="AQ31" s="68"/>
      <c r="AR31" s="68"/>
      <c r="AS31" s="68"/>
      <c r="AT31" s="67">
        <f t="shared" ca="1" si="6"/>
        <v>0</v>
      </c>
      <c r="AU31" s="79" t="str">
        <f t="shared" ca="1" si="7"/>
        <v/>
      </c>
      <c r="AV31" s="79" t="str" cm="1">
        <f t="array" aca="1" ref="AV31" ca="1">IFERROR(_xlfn.IFS($AU31="","",$AU31&lt;=15,"0-15",AND($AU31&gt;=16,$AU31&lt;=30),"16-30",AND($AU31&gt;=31,$AU31&lt;=45),"31-45",AND($AU31&gt;=46,$AU31&lt;=60),"46-60",AND($AU31&gt;=61,$AU31&lt;=90),"61-90",AND($AU31&gt;=91),"&gt; 90",AND($AU31&gt;=2000),""),"")</f>
        <v/>
      </c>
      <c r="AW31" s="79" t="str" cm="1">
        <f t="array" aca="1" ref="AW31" ca="1">IFERROR(_xlfn.IFS(OR($M31="",$AM31=""),"",OR($C31="Offered",$C31="Joined"),($AM31-$M31)-$AT31),"")</f>
        <v/>
      </c>
      <c r="AX31" s="79" t="str" cm="1">
        <f t="array" aca="1" ref="AX31" ca="1">IFERROR(_xlfn.IFS(OR($M31="",$AS31=""),"",$C31="Joined",($AS31-$M31)-$AT31),"")</f>
        <v/>
      </c>
      <c r="AY31" s="67" t="str">
        <f>IFERROR(IF(COUNTIFS('Candidate Tracker'!$E:$E,'Positions Tracker'!$B31,'Candidate Tracker'!$C:$C,"Offer Drop")=0,"",COUNTIFS('Candidate Tracker'!$E:$E,'Positions Tracker'!$B31,'Candidate Tracker'!$C:$C,"Offer Drop")),"")</f>
        <v/>
      </c>
      <c r="AZ31" s="80">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0.88111888111888115</v>
      </c>
      <c r="BA31" s="81" t="str">
        <f>IFERROR(IF(COUNTIFS('Candidate Tracker'!$E:$E,'Positions Tracker'!$B31,'Candidate Tracker'!$I:$I,"Female")=0,"",COUNTIFS('Candidate Tracker'!$E:$E,'Positions Tracker'!$B31,'Candidate Tracker'!$I:$I,"Female")),"")</f>
        <v/>
      </c>
      <c r="BB31" s="81" t="str">
        <f>IFERROR(IF(COUNTIFS('Candidate Tracker'!$E:$E,'Positions Tracker'!$B31,'Candidate Tracker'!$I:$I,"male")=0,"",COUNTIFS('Candidate Tracker'!$E:$E,'Positions Tracker'!$B31,'Candidate Tracker'!$I:$I,"male")),"")</f>
        <v/>
      </c>
      <c r="BC31" s="80" t="str">
        <f>IFERROR(IF(COUNTIFS('Candidate Tracker'!$E:$E,'Positions Tracker'!$B31,'Candidate Tracker'!$C:$C,"&lt;&gt;WIP",'Candidate Tracker'!$C:$C,"&lt;&gt;Hold",'Candidate Tracker'!$C:$C,"&lt;&gt;Cancelled",'Candidate Tracker'!$C:$C,"&lt;&gt;Closed")/COUNTIFS('Candidate Tracker'!$E:$E,'Positions Tracker'!$B31)=0,"",COUNTIFS('Candidate Tracker'!$E:$E,'Positions Tracker'!$B31,'Candidate Tracker'!$C:$C,"&lt;&gt;WIP",'Candidate Tracker'!$C:$C,"&lt;&gt;Hold",'Candidate Tracker'!$C:$C,"&lt;&gt;Cancelled",'Candidate Tracker'!$C:$C,"&lt;&gt;Closed")/COUNTIFS('Candidate Tracker'!$E:$E,'Positions Tracker'!$B31)),"")</f>
        <v/>
      </c>
      <c r="BD31" s="67" t="str">
        <f t="shared" si="1"/>
        <v>Sep-24</v>
      </c>
      <c r="BE31" s="67" t="str">
        <f t="shared" si="2"/>
        <v/>
      </c>
      <c r="BF31" s="67" t="str">
        <f t="shared" si="3"/>
        <v/>
      </c>
      <c r="BG31" s="67" t="str">
        <f t="shared" si="4"/>
        <v/>
      </c>
    </row>
    <row r="32" spans="1:59">
      <c r="A32" s="67">
        <f t="shared" si="5"/>
        <v>31</v>
      </c>
      <c r="B32" s="67">
        <v>20243791</v>
      </c>
      <c r="C32" s="67" t="s">
        <v>116</v>
      </c>
      <c r="D32" s="67" t="s">
        <v>116</v>
      </c>
      <c r="E32" s="67" t="s">
        <v>230</v>
      </c>
      <c r="F32" s="67" t="s">
        <v>158</v>
      </c>
      <c r="G32" s="67" t="s">
        <v>3</v>
      </c>
      <c r="H32" s="67" t="s">
        <v>216</v>
      </c>
      <c r="I32" s="67" t="s">
        <v>217</v>
      </c>
      <c r="J32" s="67" t="s">
        <v>70</v>
      </c>
      <c r="K32" s="68">
        <v>45442</v>
      </c>
      <c r="L32" s="68">
        <v>45442</v>
      </c>
      <c r="M32" s="68">
        <v>45442</v>
      </c>
      <c r="N32" s="67" t="s">
        <v>95</v>
      </c>
      <c r="O32" s="68"/>
      <c r="P32" s="68"/>
      <c r="Q32" s="68"/>
      <c r="R32" s="68"/>
      <c r="S32" s="68"/>
      <c r="T32" s="68"/>
      <c r="U32" s="67"/>
      <c r="V32" s="67"/>
      <c r="W32" s="67"/>
      <c r="X32" s="67" t="s">
        <v>72</v>
      </c>
      <c r="Y32" s="67" t="s">
        <v>144</v>
      </c>
      <c r="Z32" s="67" t="s">
        <v>144</v>
      </c>
      <c r="AA32" s="67" t="s">
        <v>116</v>
      </c>
      <c r="AB32" s="67"/>
      <c r="AC32" s="67"/>
      <c r="AD32" s="67"/>
      <c r="AE32" s="67" t="s">
        <v>231</v>
      </c>
      <c r="AF32" s="67" t="s">
        <v>232</v>
      </c>
      <c r="AG32" s="67" t="s">
        <v>233</v>
      </c>
      <c r="AH32" s="68" t="s">
        <v>123</v>
      </c>
      <c r="AI32" s="68">
        <v>45517</v>
      </c>
      <c r="AJ32" s="68">
        <v>45520</v>
      </c>
      <c r="AK32" s="67" t="s">
        <v>72</v>
      </c>
      <c r="AL32" s="67">
        <v>2500000</v>
      </c>
      <c r="AM32" s="68">
        <v>45533</v>
      </c>
      <c r="AN32" s="68">
        <v>45520</v>
      </c>
      <c r="AO32" s="68"/>
      <c r="AP32" s="68">
        <v>45533</v>
      </c>
      <c r="AQ32" s="68">
        <v>45533</v>
      </c>
      <c r="AR32" s="68">
        <v>45555</v>
      </c>
      <c r="AS32" s="68">
        <v>45559</v>
      </c>
      <c r="AT32" s="67">
        <f t="shared" ca="1" si="6"/>
        <v>0</v>
      </c>
      <c r="AU32" s="79" t="str">
        <f t="shared" ca="1" si="7"/>
        <v/>
      </c>
      <c r="AV32" s="79" t="str" cm="1">
        <f t="array" aca="1" ref="AV32" ca="1">IFERROR(_xlfn.IFS($AU32="","",$AU32&lt;=15,"0-15",AND($AU32&gt;=16,$AU32&lt;=30),"16-30",AND($AU32&gt;=31,$AU32&lt;=45),"31-45",AND($AU32&gt;=46,$AU32&lt;=60),"46-60",AND($AU32&gt;=61,$AU32&lt;=90),"61-90",AND($AU32&gt;=91),"&gt; 90",AND($AU32&gt;=2000),""),"")</f>
        <v/>
      </c>
      <c r="AW32" s="79" cm="1">
        <f t="array" aca="1" ref="AW32" ca="1">IFERROR(_xlfn.IFS(OR($M32="",$AM32=""),"",OR($C32="Offered",$C32="Joined"),($AM32-$M32)-$AT32),"")</f>
        <v>91</v>
      </c>
      <c r="AX32" s="79" cm="1">
        <f t="array" aca="1" ref="AX32" ca="1">IFERROR(_xlfn.IFS(OR($M32="",$AS32=""),"",$C32="Joined",($AS32-$M32)-$AT32),"")</f>
        <v>117</v>
      </c>
      <c r="AY32" s="67" t="str">
        <f>IFERROR(IF(COUNTIFS('Candidate Tracker'!$E:$E,'Positions Tracker'!$B32,'Candidate Tracker'!$C:$C,"Offer Drop")=0,"",COUNTIFS('Candidate Tracker'!$E:$E,'Positions Tracker'!$B32,'Candidate Tracker'!$C:$C,"Offer Drop")),"")</f>
        <v/>
      </c>
      <c r="AZ32" s="80">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0.88111888111888115</v>
      </c>
      <c r="BA32" s="81" t="str">
        <f>IFERROR(IF(COUNTIFS('Candidate Tracker'!$E:$E,'Positions Tracker'!$B32,'Candidate Tracker'!$I:$I,"Female")=0,"",COUNTIFS('Candidate Tracker'!$E:$E,'Positions Tracker'!$B32,'Candidate Tracker'!$I:$I,"Female")),"")</f>
        <v/>
      </c>
      <c r="BB32" s="81">
        <f>IFERROR(IF(COUNTIFS('Candidate Tracker'!$E:$E,'Positions Tracker'!$B32,'Candidate Tracker'!$I:$I,"male")=0,"",COUNTIFS('Candidate Tracker'!$E:$E,'Positions Tracker'!$B32,'Candidate Tracker'!$I:$I,"male")),"")</f>
        <v>1</v>
      </c>
      <c r="BC32" s="80">
        <f>IFERROR(IF(COUNTIFS('Candidate Tracker'!$E:$E,'Positions Tracker'!$B32,'Candidate Tracker'!$C:$C,"&lt;&gt;WIP",'Candidate Tracker'!$C:$C,"&lt;&gt;Hold",'Candidate Tracker'!$C:$C,"&lt;&gt;Cancelled",'Candidate Tracker'!$C:$C,"&lt;&gt;Closed")/COUNTIFS('Candidate Tracker'!$E:$E,'Positions Tracker'!$B32)=0,"",COUNTIFS('Candidate Tracker'!$E:$E,'Positions Tracker'!$B32,'Candidate Tracker'!$C:$C,"&lt;&gt;WIP",'Candidate Tracker'!$C:$C,"&lt;&gt;Hold",'Candidate Tracker'!$C:$C,"&lt;&gt;Cancelled",'Candidate Tracker'!$C:$C,"&lt;&gt;Closed")/COUNTIFS('Candidate Tracker'!$E:$E,'Positions Tracker'!$B32)),"")</f>
        <v>1</v>
      </c>
      <c r="BD32" s="67" t="str">
        <f t="shared" si="1"/>
        <v>May-24</v>
      </c>
      <c r="BE32" s="67" t="str">
        <f t="shared" si="2"/>
        <v>Aug-24</v>
      </c>
      <c r="BF32" s="67" t="str">
        <f t="shared" si="3"/>
        <v>Aug-24</v>
      </c>
      <c r="BG32" s="67" t="str">
        <f t="shared" si="4"/>
        <v>Sep-24</v>
      </c>
    </row>
    <row r="33" spans="1:59">
      <c r="A33" s="67">
        <f t="shared" si="5"/>
        <v>32</v>
      </c>
      <c r="B33" s="67" t="s">
        <v>234</v>
      </c>
      <c r="C33" s="67" t="s">
        <v>116</v>
      </c>
      <c r="D33" s="67" t="s">
        <v>116</v>
      </c>
      <c r="E33" s="67" t="s">
        <v>197</v>
      </c>
      <c r="F33" s="67" t="s">
        <v>158</v>
      </c>
      <c r="G33" s="67" t="s">
        <v>3</v>
      </c>
      <c r="H33" s="67" t="s">
        <v>198</v>
      </c>
      <c r="I33" s="67" t="s">
        <v>199</v>
      </c>
      <c r="J33" s="67" t="s">
        <v>70</v>
      </c>
      <c r="K33" s="68">
        <v>45329</v>
      </c>
      <c r="L33" s="68">
        <v>45329</v>
      </c>
      <c r="M33" s="68">
        <v>45434</v>
      </c>
      <c r="N33" s="67" t="s">
        <v>153</v>
      </c>
      <c r="O33" s="68"/>
      <c r="P33" s="68"/>
      <c r="Q33" s="68"/>
      <c r="R33" s="68"/>
      <c r="S33" s="68"/>
      <c r="T33" s="68"/>
      <c r="U33" s="67"/>
      <c r="V33" s="67"/>
      <c r="W33" s="67"/>
      <c r="X33" s="67" t="s">
        <v>72</v>
      </c>
      <c r="Y33" s="67" t="s">
        <v>144</v>
      </c>
      <c r="Z33" s="67" t="s">
        <v>144</v>
      </c>
      <c r="AA33" s="67" t="s">
        <v>116</v>
      </c>
      <c r="AB33" s="67"/>
      <c r="AC33" s="67"/>
      <c r="AD33" s="67"/>
      <c r="AE33" s="67" t="s">
        <v>235</v>
      </c>
      <c r="AF33" s="67" t="s">
        <v>236</v>
      </c>
      <c r="AG33" s="67" t="s">
        <v>237</v>
      </c>
      <c r="AH33" s="68" t="s">
        <v>123</v>
      </c>
      <c r="AI33" s="68">
        <v>45434</v>
      </c>
      <c r="AJ33" s="68">
        <v>45437</v>
      </c>
      <c r="AK33" s="67" t="s">
        <v>72</v>
      </c>
      <c r="AL33" s="67">
        <v>1800000</v>
      </c>
      <c r="AM33" s="68">
        <v>45447</v>
      </c>
      <c r="AN33" s="68">
        <v>45437</v>
      </c>
      <c r="AO33" s="68"/>
      <c r="AP33" s="68">
        <v>45447</v>
      </c>
      <c r="AQ33" s="68">
        <v>45447</v>
      </c>
      <c r="AR33" s="68">
        <v>45492</v>
      </c>
      <c r="AS33" s="68">
        <v>45495</v>
      </c>
      <c r="AT33" s="67">
        <f t="shared" ca="1" si="6"/>
        <v>0</v>
      </c>
      <c r="AU33" s="79" t="str">
        <f t="shared" ca="1" si="7"/>
        <v/>
      </c>
      <c r="AV33" s="79" t="str" cm="1">
        <f t="array" aca="1" ref="AV33" ca="1">IFERROR(_xlfn.IFS($AU33="","",$AU33&lt;=15,"0-15",AND($AU33&gt;=16,$AU33&lt;=30),"16-30",AND($AU33&gt;=31,$AU33&lt;=45),"31-45",AND($AU33&gt;=46,$AU33&lt;=60),"46-60",AND($AU33&gt;=61,$AU33&lt;=90),"61-90",AND($AU33&gt;=91),"&gt; 90",AND($AU33&gt;=2000),""),"")</f>
        <v/>
      </c>
      <c r="AW33" s="79" cm="1">
        <f t="array" aca="1" ref="AW33" ca="1">IFERROR(_xlfn.IFS(OR($M33="",$AM33=""),"",OR($C33="Offered",$C33="Joined"),($AM33-$M33)-$AT33),"")</f>
        <v>13</v>
      </c>
      <c r="AX33" s="79" cm="1">
        <f t="array" aca="1" ref="AX33" ca="1">IFERROR(_xlfn.IFS(OR($M33="",$AS33=""),"",$C33="Joined",($AS33-$M33)-$AT33),"")</f>
        <v>61</v>
      </c>
      <c r="AY33" s="67" t="str">
        <f>IFERROR(IF(COUNTIFS('Candidate Tracker'!$E:$E,'Positions Tracker'!$B33,'Candidate Tracker'!$C:$C,"Offer Drop")=0,"",COUNTIFS('Candidate Tracker'!$E:$E,'Positions Tracker'!$B33,'Candidate Tracker'!$C:$C,"Offer Drop")),"")</f>
        <v/>
      </c>
      <c r="AZ33" s="80">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0.88111888111888115</v>
      </c>
      <c r="BA33" s="81" t="str">
        <f>IFERROR(IF(COUNTIFS('Candidate Tracker'!$E:$E,'Positions Tracker'!$B33,'Candidate Tracker'!$I:$I,"Female")=0,"",COUNTIFS('Candidate Tracker'!$E:$E,'Positions Tracker'!$B33,'Candidate Tracker'!$I:$I,"Female")),"")</f>
        <v/>
      </c>
      <c r="BB33" s="81">
        <f>IFERROR(IF(COUNTIFS('Candidate Tracker'!$E:$E,'Positions Tracker'!$B33,'Candidate Tracker'!$I:$I,"male")=0,"",COUNTIFS('Candidate Tracker'!$E:$E,'Positions Tracker'!$B33,'Candidate Tracker'!$I:$I,"male")),"")</f>
        <v>1</v>
      </c>
      <c r="BC33" s="80">
        <f>IFERROR(IF(COUNTIFS('Candidate Tracker'!$E:$E,'Positions Tracker'!$B33,'Candidate Tracker'!$C:$C,"&lt;&gt;WIP",'Candidate Tracker'!$C:$C,"&lt;&gt;Hold",'Candidate Tracker'!$C:$C,"&lt;&gt;Cancelled",'Candidate Tracker'!$C:$C,"&lt;&gt;Closed")/COUNTIFS('Candidate Tracker'!$E:$E,'Positions Tracker'!$B33)=0,"",COUNTIFS('Candidate Tracker'!$E:$E,'Positions Tracker'!$B33,'Candidate Tracker'!$C:$C,"&lt;&gt;WIP",'Candidate Tracker'!$C:$C,"&lt;&gt;Hold",'Candidate Tracker'!$C:$C,"&lt;&gt;Cancelled",'Candidate Tracker'!$C:$C,"&lt;&gt;Closed")/COUNTIFS('Candidate Tracker'!$E:$E,'Positions Tracker'!$B33)),"")</f>
        <v>1</v>
      </c>
      <c r="BD33" s="67" t="str">
        <f t="shared" si="1"/>
        <v>May-24</v>
      </c>
      <c r="BE33" s="67" t="str">
        <f t="shared" si="2"/>
        <v>May-24</v>
      </c>
      <c r="BF33" s="67" t="str">
        <f t="shared" si="3"/>
        <v>Jun-24</v>
      </c>
      <c r="BG33" s="67" t="str">
        <f t="shared" si="4"/>
        <v>Jul-24</v>
      </c>
    </row>
    <row r="34" spans="1:59">
      <c r="A34" s="67">
        <f t="shared" si="5"/>
        <v>33</v>
      </c>
      <c r="B34" s="67">
        <v>20252505</v>
      </c>
      <c r="C34" s="67" t="s">
        <v>116</v>
      </c>
      <c r="D34" s="67" t="s">
        <v>116</v>
      </c>
      <c r="E34" s="67" t="s">
        <v>238</v>
      </c>
      <c r="F34" s="67" t="s">
        <v>239</v>
      </c>
      <c r="G34" s="67" t="s">
        <v>3</v>
      </c>
      <c r="H34" s="67" t="s">
        <v>227</v>
      </c>
      <c r="I34" s="67" t="s">
        <v>228</v>
      </c>
      <c r="J34" s="67" t="s">
        <v>94</v>
      </c>
      <c r="K34" s="68">
        <v>45531</v>
      </c>
      <c r="L34" s="68">
        <v>45450</v>
      </c>
      <c r="M34" s="68">
        <v>45623</v>
      </c>
      <c r="N34" s="67" t="s">
        <v>71</v>
      </c>
      <c r="O34" s="68"/>
      <c r="P34" s="68"/>
      <c r="Q34" s="68"/>
      <c r="R34" s="68"/>
      <c r="S34" s="68"/>
      <c r="T34" s="68"/>
      <c r="U34" s="67"/>
      <c r="V34" s="67"/>
      <c r="W34" s="67"/>
      <c r="X34" s="67" t="s">
        <v>72</v>
      </c>
      <c r="Y34" s="67" t="s">
        <v>144</v>
      </c>
      <c r="Z34" s="67" t="s">
        <v>94</v>
      </c>
      <c r="AA34" s="67" t="s">
        <v>240</v>
      </c>
      <c r="AB34" s="67"/>
      <c r="AC34" s="67"/>
      <c r="AD34" s="67"/>
      <c r="AE34" s="67" t="s">
        <v>241</v>
      </c>
      <c r="AF34" s="67" t="s">
        <v>242</v>
      </c>
      <c r="AG34" s="67" t="s">
        <v>243</v>
      </c>
      <c r="AH34" s="68" t="s">
        <v>86</v>
      </c>
      <c r="AI34" s="68">
        <v>45684</v>
      </c>
      <c r="AJ34" s="68">
        <v>45695</v>
      </c>
      <c r="AK34" s="67" t="s">
        <v>72</v>
      </c>
      <c r="AL34" s="67" t="s">
        <v>244</v>
      </c>
      <c r="AM34" s="68">
        <v>45695</v>
      </c>
      <c r="AN34" s="68">
        <v>45695</v>
      </c>
      <c r="AO34" s="68"/>
      <c r="AP34" s="68">
        <v>45697</v>
      </c>
      <c r="AQ34" s="68">
        <v>45697</v>
      </c>
      <c r="AR34" s="68"/>
      <c r="AS34" s="68">
        <v>45761</v>
      </c>
      <c r="AT34" s="67">
        <f t="shared" ca="1" si="6"/>
        <v>0</v>
      </c>
      <c r="AU34" s="79" t="str">
        <f t="shared" ca="1" si="7"/>
        <v/>
      </c>
      <c r="AV34" s="79" t="str" cm="1">
        <f t="array" aca="1" ref="AV34" ca="1">IFERROR(_xlfn.IFS($AU34="","",$AU34&lt;=15,"0-15",AND($AU34&gt;=16,$AU34&lt;=30),"16-30",AND($AU34&gt;=31,$AU34&lt;=45),"31-45",AND($AU34&gt;=46,$AU34&lt;=60),"46-60",AND($AU34&gt;=61,$AU34&lt;=90),"61-90",AND($AU34&gt;=91),"&gt; 90",AND($AU34&gt;=2000),""),"")</f>
        <v/>
      </c>
      <c r="AW34" s="79" cm="1">
        <f t="array" aca="1" ref="AW34" ca="1">IFERROR(_xlfn.IFS(OR($M34="",$AM34=""),"",OR($C34="Offered",$C34="Joined"),($AM34-$M34)-$AT34),"")</f>
        <v>72</v>
      </c>
      <c r="AX34" s="79" cm="1">
        <f t="array" aca="1" ref="AX34" ca="1">IFERROR(_xlfn.IFS(OR($M34="",$AS34=""),"",$C34="Joined",($AS34-$M34)-$AT34),"")</f>
        <v>138</v>
      </c>
      <c r="AY34" s="67" t="str">
        <f>IFERROR(IF(COUNTIFS('Candidate Tracker'!$E:$E,'Positions Tracker'!$B34,'Candidate Tracker'!$C:$C,"Offer Drop")=0,"",COUNTIFS('Candidate Tracker'!$E:$E,'Positions Tracker'!$B34,'Candidate Tracker'!$C:$C,"Offer Drop")),"")</f>
        <v/>
      </c>
      <c r="AZ34" s="80">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0.88111888111888115</v>
      </c>
      <c r="BA34" s="81" t="str">
        <f>IFERROR(IF(COUNTIFS('Candidate Tracker'!$E:$E,'Positions Tracker'!$B34,'Candidate Tracker'!$I:$I,"Female")=0,"",COUNTIFS('Candidate Tracker'!$E:$E,'Positions Tracker'!$B34,'Candidate Tracker'!$I:$I,"Female")),"")</f>
        <v/>
      </c>
      <c r="BB34" s="81" t="str">
        <f>IFERROR(IF(COUNTIFS('Candidate Tracker'!$E:$E,'Positions Tracker'!$B34,'Candidate Tracker'!$I:$I,"male")=0,"",COUNTIFS('Candidate Tracker'!$E:$E,'Positions Tracker'!$B34,'Candidate Tracker'!$I:$I,"male")),"")</f>
        <v/>
      </c>
      <c r="BC34" s="80" t="str">
        <f>IFERROR(IF(COUNTIFS('Candidate Tracker'!$E:$E,'Positions Tracker'!$B34,'Candidate Tracker'!$C:$C,"&lt;&gt;WIP",'Candidate Tracker'!$C:$C,"&lt;&gt;Hold",'Candidate Tracker'!$C:$C,"&lt;&gt;Cancelled",'Candidate Tracker'!$C:$C,"&lt;&gt;Closed")/COUNTIFS('Candidate Tracker'!$E:$E,'Positions Tracker'!$B34)=0,"",COUNTIFS('Candidate Tracker'!$E:$E,'Positions Tracker'!$B34,'Candidate Tracker'!$C:$C,"&lt;&gt;WIP",'Candidate Tracker'!$C:$C,"&lt;&gt;Hold",'Candidate Tracker'!$C:$C,"&lt;&gt;Cancelled",'Candidate Tracker'!$C:$C,"&lt;&gt;Closed")/COUNTIFS('Candidate Tracker'!$E:$E,'Positions Tracker'!$B34)),"")</f>
        <v/>
      </c>
      <c r="BD34" s="67" t="str">
        <f t="shared" si="1"/>
        <v>Nov-24</v>
      </c>
      <c r="BE34" s="67" t="str">
        <f t="shared" si="2"/>
        <v>Jan-25</v>
      </c>
      <c r="BF34" s="67" t="str">
        <f t="shared" si="3"/>
        <v>Feb-25</v>
      </c>
      <c r="BG34" s="67" t="str">
        <f t="shared" si="4"/>
        <v>Apr-25</v>
      </c>
    </row>
    <row r="35" spans="1:59">
      <c r="A35" s="67">
        <f t="shared" si="5"/>
        <v>34</v>
      </c>
      <c r="B35" s="67">
        <v>20246232</v>
      </c>
      <c r="C35" s="67" t="s">
        <v>55</v>
      </c>
      <c r="D35" s="67" t="s">
        <v>80</v>
      </c>
      <c r="E35" s="67" t="s">
        <v>225</v>
      </c>
      <c r="F35" s="67" t="s">
        <v>226</v>
      </c>
      <c r="G35" s="67" t="s">
        <v>3</v>
      </c>
      <c r="H35" s="67" t="s">
        <v>227</v>
      </c>
      <c r="I35" s="67" t="s">
        <v>228</v>
      </c>
      <c r="J35" s="67" t="s">
        <v>70</v>
      </c>
      <c r="K35" s="68">
        <v>45460</v>
      </c>
      <c r="L35" s="68">
        <v>45460</v>
      </c>
      <c r="M35" s="68">
        <v>45674</v>
      </c>
      <c r="N35" s="67"/>
      <c r="O35" s="68"/>
      <c r="P35" s="68"/>
      <c r="Q35" s="68"/>
      <c r="R35" s="68"/>
      <c r="S35" s="68"/>
      <c r="T35" s="68"/>
      <c r="U35" s="67"/>
      <c r="V35" s="67"/>
      <c r="W35" s="67"/>
      <c r="X35" s="67" t="s">
        <v>72</v>
      </c>
      <c r="Y35" s="67" t="s">
        <v>245</v>
      </c>
      <c r="Z35" s="67" t="s">
        <v>245</v>
      </c>
      <c r="AA35" s="67" t="s">
        <v>246</v>
      </c>
      <c r="AB35" s="67"/>
      <c r="AC35" s="67"/>
      <c r="AD35" s="67"/>
      <c r="AE35" s="67" t="s">
        <v>247</v>
      </c>
      <c r="AF35" s="67">
        <v>9767994726</v>
      </c>
      <c r="AG35" s="67"/>
      <c r="AH35" s="68" t="s">
        <v>123</v>
      </c>
      <c r="AI35" s="68">
        <v>45481</v>
      </c>
      <c r="AJ35" s="68">
        <v>45488</v>
      </c>
      <c r="AK35" s="67"/>
      <c r="AL35" s="67">
        <v>2700000</v>
      </c>
      <c r="AM35" s="68">
        <v>45488</v>
      </c>
      <c r="AN35" s="68"/>
      <c r="AO35" s="68"/>
      <c r="AP35" s="68"/>
      <c r="AQ35" s="68"/>
      <c r="AR35" s="68"/>
      <c r="AS35" s="68"/>
      <c r="AT35" s="67">
        <f t="shared" ca="1" si="6"/>
        <v>0</v>
      </c>
      <c r="AU35" s="79" t="str">
        <f t="shared" ca="1" si="7"/>
        <v/>
      </c>
      <c r="AV35" s="79" t="str" cm="1">
        <f t="array" aca="1" ref="AV35" ca="1">IFERROR(_xlfn.IFS($AU35="","",$AU35&lt;=15,"0-15",AND($AU35&gt;=16,$AU35&lt;=30),"16-30",AND($AU35&gt;=31,$AU35&lt;=45),"31-45",AND($AU35&gt;=46,$AU35&lt;=60),"46-60",AND($AU35&gt;=61,$AU35&lt;=90),"61-90",AND($AU35&gt;=91),"&gt; 90",AND($AU35&gt;=2000),""),"")</f>
        <v/>
      </c>
      <c r="AW35" s="79" t="str" cm="1">
        <f t="array" aca="1" ref="AW35" ca="1">IFERROR(_xlfn.IFS(OR($M35="",$AM35=""),"",OR($C35="Offered",$C35="Joined"),($AM35-$M35)-$AT35),"")</f>
        <v/>
      </c>
      <c r="AX35" s="79" t="str" cm="1">
        <f t="array" aca="1" ref="AX35" ca="1">IFERROR(_xlfn.IFS(OR($M35="",$AS35=""),"",$C35="Joined",($AS35-$M35)-$AT35),"")</f>
        <v/>
      </c>
      <c r="AY35" s="67" t="str">
        <f>IFERROR(IF(COUNTIFS('Candidate Tracker'!$E:$E,'Positions Tracker'!$B35,'Candidate Tracker'!$C:$C,"Offer Drop")=0,"",COUNTIFS('Candidate Tracker'!$E:$E,'Positions Tracker'!$B35,'Candidate Tracker'!$C:$C,"Offer Drop")),"")</f>
        <v/>
      </c>
      <c r="AZ35" s="80">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0.88111888111888115</v>
      </c>
      <c r="BA35" s="81" t="str">
        <f>IFERROR(IF(COUNTIFS('Candidate Tracker'!$E:$E,'Positions Tracker'!$B35,'Candidate Tracker'!$I:$I,"Female")=0,"",COUNTIFS('Candidate Tracker'!$E:$E,'Positions Tracker'!$B35,'Candidate Tracker'!$I:$I,"Female")),"")</f>
        <v/>
      </c>
      <c r="BB35" s="81">
        <f>IFERROR(IF(COUNTIFS('Candidate Tracker'!$E:$E,'Positions Tracker'!$B35,'Candidate Tracker'!$I:$I,"male")=0,"",COUNTIFS('Candidate Tracker'!$E:$E,'Positions Tracker'!$B35,'Candidate Tracker'!$I:$I,"male")),"")</f>
        <v>13</v>
      </c>
      <c r="BC35" s="80" t="str">
        <f>IFERROR(IF(COUNTIFS('Candidate Tracker'!$E:$E,'Positions Tracker'!$B35,'Candidate Tracker'!$C:$C,"&lt;&gt;WIP",'Candidate Tracker'!$C:$C,"&lt;&gt;Hold",'Candidate Tracker'!$C:$C,"&lt;&gt;Cancelled",'Candidate Tracker'!$C:$C,"&lt;&gt;Closed")/COUNTIFS('Candidate Tracker'!$E:$E,'Positions Tracker'!$B35)=0,"",COUNTIFS('Candidate Tracker'!$E:$E,'Positions Tracker'!$B35,'Candidate Tracker'!$C:$C,"&lt;&gt;WIP",'Candidate Tracker'!$C:$C,"&lt;&gt;Hold",'Candidate Tracker'!$C:$C,"&lt;&gt;Cancelled",'Candidate Tracker'!$C:$C,"&lt;&gt;Closed")/COUNTIFS('Candidate Tracker'!$E:$E,'Positions Tracker'!$B35)),"")</f>
        <v/>
      </c>
      <c r="BD35" s="67" t="str">
        <f t="shared" si="1"/>
        <v>Jan-25</v>
      </c>
      <c r="BE35" s="67" t="str">
        <f t="shared" si="2"/>
        <v>Jul-24</v>
      </c>
      <c r="BF35" s="67" t="str">
        <f t="shared" si="3"/>
        <v>Jul-24</v>
      </c>
      <c r="BG35" s="67" t="str">
        <f t="shared" si="4"/>
        <v/>
      </c>
    </row>
    <row r="36" spans="1:59">
      <c r="A36" s="67">
        <f t="shared" si="5"/>
        <v>35</v>
      </c>
      <c r="B36" s="67" t="s">
        <v>248</v>
      </c>
      <c r="C36" s="67" t="s">
        <v>116</v>
      </c>
      <c r="D36" s="67" t="s">
        <v>116</v>
      </c>
      <c r="E36" s="67" t="s">
        <v>230</v>
      </c>
      <c r="F36" s="67" t="s">
        <v>158</v>
      </c>
      <c r="G36" s="67" t="s">
        <v>3</v>
      </c>
      <c r="H36" s="67" t="s">
        <v>198</v>
      </c>
      <c r="I36" s="67" t="s">
        <v>199</v>
      </c>
      <c r="J36" s="67" t="s">
        <v>70</v>
      </c>
      <c r="K36" s="68">
        <v>45468</v>
      </c>
      <c r="L36" s="68">
        <v>45468</v>
      </c>
      <c r="M36" s="68">
        <v>45468</v>
      </c>
      <c r="N36" s="67" t="s">
        <v>211</v>
      </c>
      <c r="O36" s="68"/>
      <c r="P36" s="68"/>
      <c r="Q36" s="68"/>
      <c r="R36" s="68"/>
      <c r="S36" s="68"/>
      <c r="T36" s="68"/>
      <c r="U36" s="67"/>
      <c r="V36" s="67"/>
      <c r="W36" s="67"/>
      <c r="X36" s="67" t="s">
        <v>72</v>
      </c>
      <c r="Y36" s="67" t="s">
        <v>144</v>
      </c>
      <c r="Z36" s="67" t="s">
        <v>144</v>
      </c>
      <c r="AA36" s="67" t="s">
        <v>116</v>
      </c>
      <c r="AB36" s="67"/>
      <c r="AC36" s="67"/>
      <c r="AD36" s="67"/>
      <c r="AE36" s="67" t="s">
        <v>249</v>
      </c>
      <c r="AF36" s="67" t="s">
        <v>250</v>
      </c>
      <c r="AG36" s="67" t="s">
        <v>251</v>
      </c>
      <c r="AH36" s="68" t="s">
        <v>123</v>
      </c>
      <c r="AI36" s="68">
        <v>45392</v>
      </c>
      <c r="AJ36" s="68">
        <v>45394</v>
      </c>
      <c r="AK36" s="67" t="s">
        <v>72</v>
      </c>
      <c r="AL36" s="67">
        <v>2400000</v>
      </c>
      <c r="AM36" s="68">
        <v>45417</v>
      </c>
      <c r="AN36" s="68">
        <v>45394</v>
      </c>
      <c r="AO36" s="68"/>
      <c r="AP36" s="68">
        <v>45417</v>
      </c>
      <c r="AQ36" s="68">
        <v>45417</v>
      </c>
      <c r="AR36" s="68">
        <v>45484</v>
      </c>
      <c r="AS36" s="68">
        <v>45488</v>
      </c>
      <c r="AT36" s="67">
        <f t="shared" ca="1" si="6"/>
        <v>0</v>
      </c>
      <c r="AU36" s="79" t="str">
        <f t="shared" ca="1" si="7"/>
        <v/>
      </c>
      <c r="AV36" s="79" t="str" cm="1">
        <f t="array" aca="1" ref="AV36" ca="1">IFERROR(_xlfn.IFS($AU36="","",$AU36&lt;=15,"0-15",AND($AU36&gt;=16,$AU36&lt;=30),"16-30",AND($AU36&gt;=31,$AU36&lt;=45),"31-45",AND($AU36&gt;=46,$AU36&lt;=60),"46-60",AND($AU36&gt;=61,$AU36&lt;=90),"61-90",AND($AU36&gt;=91),"&gt; 90",AND($AU36&gt;=2000),""),"")</f>
        <v/>
      </c>
      <c r="AW36" s="79" cm="1">
        <f t="array" aca="1" ref="AW36" ca="1">IFERROR(_xlfn.IFS(OR($M36="",$AM36=""),"",OR($C36="Offered",$C36="Joined"),($AM36-$M36)-$AT36),"")</f>
        <v>-51</v>
      </c>
      <c r="AX36" s="79" cm="1">
        <f t="array" aca="1" ref="AX36" ca="1">IFERROR(_xlfn.IFS(OR($M36="",$AS36=""),"",$C36="Joined",($AS36-$M36)-$AT36),"")</f>
        <v>20</v>
      </c>
      <c r="AY36" s="67" t="str">
        <f>IFERROR(IF(COUNTIFS('Candidate Tracker'!$E:$E,'Positions Tracker'!$B36,'Candidate Tracker'!$C:$C,"Offer Drop")=0,"",COUNTIFS('Candidate Tracker'!$E:$E,'Positions Tracker'!$B36,'Candidate Tracker'!$C:$C,"Offer Drop")),"")</f>
        <v/>
      </c>
      <c r="AZ36" s="80">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0.88111888111888115</v>
      </c>
      <c r="BA36" s="81" t="str">
        <f>IFERROR(IF(COUNTIFS('Candidate Tracker'!$E:$E,'Positions Tracker'!$B36,'Candidate Tracker'!$I:$I,"Female")=0,"",COUNTIFS('Candidate Tracker'!$E:$E,'Positions Tracker'!$B36,'Candidate Tracker'!$I:$I,"Female")),"")</f>
        <v/>
      </c>
      <c r="BB36" s="81">
        <f>IFERROR(IF(COUNTIFS('Candidate Tracker'!$E:$E,'Positions Tracker'!$B36,'Candidate Tracker'!$I:$I,"male")=0,"",COUNTIFS('Candidate Tracker'!$E:$E,'Positions Tracker'!$B36,'Candidate Tracker'!$I:$I,"male")),"")</f>
        <v>1</v>
      </c>
      <c r="BC36" s="80">
        <f>IFERROR(IF(COUNTIFS('Candidate Tracker'!$E:$E,'Positions Tracker'!$B36,'Candidate Tracker'!$C:$C,"&lt;&gt;WIP",'Candidate Tracker'!$C:$C,"&lt;&gt;Hold",'Candidate Tracker'!$C:$C,"&lt;&gt;Cancelled",'Candidate Tracker'!$C:$C,"&lt;&gt;Closed")/COUNTIFS('Candidate Tracker'!$E:$E,'Positions Tracker'!$B36)=0,"",COUNTIFS('Candidate Tracker'!$E:$E,'Positions Tracker'!$B36,'Candidate Tracker'!$C:$C,"&lt;&gt;WIP",'Candidate Tracker'!$C:$C,"&lt;&gt;Hold",'Candidate Tracker'!$C:$C,"&lt;&gt;Cancelled",'Candidate Tracker'!$C:$C,"&lt;&gt;Closed")/COUNTIFS('Candidate Tracker'!$E:$E,'Positions Tracker'!$B36)),"")</f>
        <v>1</v>
      </c>
      <c r="BD36" s="67" t="str">
        <f t="shared" si="1"/>
        <v>Jun-24</v>
      </c>
      <c r="BE36" s="67" t="str">
        <f t="shared" si="2"/>
        <v>Apr-24</v>
      </c>
      <c r="BF36" s="67" t="str">
        <f t="shared" si="3"/>
        <v>May-24</v>
      </c>
      <c r="BG36" s="67" t="str">
        <f t="shared" si="4"/>
        <v>Jul-24</v>
      </c>
    </row>
    <row r="37" spans="1:59">
      <c r="A37" s="67">
        <f t="shared" si="5"/>
        <v>36</v>
      </c>
      <c r="B37" s="67">
        <v>20243901</v>
      </c>
      <c r="C37" s="67" t="s">
        <v>116</v>
      </c>
      <c r="D37" s="67" t="s">
        <v>116</v>
      </c>
      <c r="E37" s="67" t="s">
        <v>252</v>
      </c>
      <c r="F37" s="67" t="s">
        <v>253</v>
      </c>
      <c r="G37" s="67" t="s">
        <v>3</v>
      </c>
      <c r="H37" s="67" t="s">
        <v>254</v>
      </c>
      <c r="I37" s="67" t="s">
        <v>119</v>
      </c>
      <c r="J37" s="67" t="s">
        <v>70</v>
      </c>
      <c r="K37" s="68">
        <v>45476</v>
      </c>
      <c r="L37" s="68">
        <v>45476</v>
      </c>
      <c r="M37" s="68">
        <v>45476</v>
      </c>
      <c r="N37" s="67" t="s">
        <v>153</v>
      </c>
      <c r="O37" s="68"/>
      <c r="P37" s="68"/>
      <c r="Q37" s="68"/>
      <c r="R37" s="68"/>
      <c r="S37" s="68"/>
      <c r="T37" s="68"/>
      <c r="U37" s="67"/>
      <c r="V37" s="67"/>
      <c r="W37" s="67"/>
      <c r="X37" s="67" t="s">
        <v>72</v>
      </c>
      <c r="Y37" s="67" t="s">
        <v>144</v>
      </c>
      <c r="Z37" s="67" t="s">
        <v>144</v>
      </c>
      <c r="AA37" s="67" t="s">
        <v>116</v>
      </c>
      <c r="AB37" s="67"/>
      <c r="AC37" s="67"/>
      <c r="AD37" s="67"/>
      <c r="AE37" s="67" t="s">
        <v>255</v>
      </c>
      <c r="AF37" s="67" t="s">
        <v>256</v>
      </c>
      <c r="AG37" s="67" t="s">
        <v>257</v>
      </c>
      <c r="AH37" s="68" t="s">
        <v>123</v>
      </c>
      <c r="AI37" s="68">
        <v>45527</v>
      </c>
      <c r="AJ37" s="68">
        <v>45529</v>
      </c>
      <c r="AK37" s="67" t="s">
        <v>72</v>
      </c>
      <c r="AL37" s="67">
        <v>1650000</v>
      </c>
      <c r="AM37" s="68">
        <v>45538</v>
      </c>
      <c r="AN37" s="68">
        <v>45529</v>
      </c>
      <c r="AO37" s="68"/>
      <c r="AP37" s="68">
        <v>45538</v>
      </c>
      <c r="AQ37" s="68">
        <v>45538</v>
      </c>
      <c r="AR37" s="68">
        <v>45624</v>
      </c>
      <c r="AS37" s="68">
        <v>45628</v>
      </c>
      <c r="AT37" s="67">
        <f t="shared" ca="1" si="6"/>
        <v>0</v>
      </c>
      <c r="AU37" s="79" t="str">
        <f t="shared" ca="1" si="7"/>
        <v/>
      </c>
      <c r="AV37" s="79" t="str" cm="1">
        <f t="array" aca="1" ref="AV37" ca="1">IFERROR(_xlfn.IFS($AU37="","",$AU37&lt;=15,"0-15",AND($AU37&gt;=16,$AU37&lt;=30),"16-30",AND($AU37&gt;=31,$AU37&lt;=45),"31-45",AND($AU37&gt;=46,$AU37&lt;=60),"46-60",AND($AU37&gt;=61,$AU37&lt;=90),"61-90",AND($AU37&gt;=91),"&gt; 90",AND($AU37&gt;=2000),""),"")</f>
        <v/>
      </c>
      <c r="AW37" s="79" cm="1">
        <f t="array" aca="1" ref="AW37" ca="1">IFERROR(_xlfn.IFS(OR($M37="",$AM37=""),"",OR($C37="Offered",$C37="Joined"),($AM37-$M37)-$AT37),"")</f>
        <v>62</v>
      </c>
      <c r="AX37" s="79" cm="1">
        <f t="array" aca="1" ref="AX37" ca="1">IFERROR(_xlfn.IFS(OR($M37="",$AS37=""),"",$C37="Joined",($AS37-$M37)-$AT37),"")</f>
        <v>152</v>
      </c>
      <c r="AY37" s="67" t="str">
        <f>IFERROR(IF(COUNTIFS('Candidate Tracker'!$E:$E,'Positions Tracker'!$B37,'Candidate Tracker'!$C:$C,"Offer Drop")=0,"",COUNTIFS('Candidate Tracker'!$E:$E,'Positions Tracker'!$B37,'Candidate Tracker'!$C:$C,"Offer Drop")),"")</f>
        <v/>
      </c>
      <c r="AZ37" s="80">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0.88111888111888115</v>
      </c>
      <c r="BA37" s="81" t="str">
        <f>IFERROR(IF(COUNTIFS('Candidate Tracker'!$E:$E,'Positions Tracker'!$B37,'Candidate Tracker'!$I:$I,"Female")=0,"",COUNTIFS('Candidate Tracker'!$E:$E,'Positions Tracker'!$B37,'Candidate Tracker'!$I:$I,"Female")),"")</f>
        <v/>
      </c>
      <c r="BB37" s="81">
        <f>IFERROR(IF(COUNTIFS('Candidate Tracker'!$E:$E,'Positions Tracker'!$B37,'Candidate Tracker'!$I:$I,"male")=0,"",COUNTIFS('Candidate Tracker'!$E:$E,'Positions Tracker'!$B37,'Candidate Tracker'!$I:$I,"male")),"")</f>
        <v>1</v>
      </c>
      <c r="BC37" s="80">
        <f>IFERROR(IF(COUNTIFS('Candidate Tracker'!$E:$E,'Positions Tracker'!$B37,'Candidate Tracker'!$C:$C,"&lt;&gt;WIP",'Candidate Tracker'!$C:$C,"&lt;&gt;Hold",'Candidate Tracker'!$C:$C,"&lt;&gt;Cancelled",'Candidate Tracker'!$C:$C,"&lt;&gt;Closed")/COUNTIFS('Candidate Tracker'!$E:$E,'Positions Tracker'!$B37)=0,"",COUNTIFS('Candidate Tracker'!$E:$E,'Positions Tracker'!$B37,'Candidate Tracker'!$C:$C,"&lt;&gt;WIP",'Candidate Tracker'!$C:$C,"&lt;&gt;Hold",'Candidate Tracker'!$C:$C,"&lt;&gt;Cancelled",'Candidate Tracker'!$C:$C,"&lt;&gt;Closed")/COUNTIFS('Candidate Tracker'!$E:$E,'Positions Tracker'!$B37)),"")</f>
        <v>1</v>
      </c>
      <c r="BD37" s="67" t="str">
        <f t="shared" si="1"/>
        <v>Jul-24</v>
      </c>
      <c r="BE37" s="67" t="str">
        <f t="shared" si="2"/>
        <v>Aug-24</v>
      </c>
      <c r="BF37" s="67" t="str">
        <f t="shared" si="3"/>
        <v>Sep-24</v>
      </c>
      <c r="BG37" s="67" t="str">
        <f t="shared" si="4"/>
        <v>Dec-24</v>
      </c>
    </row>
    <row r="38" spans="1:59">
      <c r="A38" s="67">
        <f t="shared" si="5"/>
        <v>37</v>
      </c>
      <c r="B38" s="67">
        <v>20252486</v>
      </c>
      <c r="C38" s="67" t="s">
        <v>116</v>
      </c>
      <c r="D38" s="67" t="s">
        <v>116</v>
      </c>
      <c r="E38" s="67" t="s">
        <v>238</v>
      </c>
      <c r="F38" s="67" t="s">
        <v>239</v>
      </c>
      <c r="G38" s="67" t="s">
        <v>3</v>
      </c>
      <c r="H38" s="67" t="s">
        <v>227</v>
      </c>
      <c r="I38" s="67" t="s">
        <v>228</v>
      </c>
      <c r="J38" s="67" t="s">
        <v>94</v>
      </c>
      <c r="K38" s="68">
        <v>45562</v>
      </c>
      <c r="L38" s="68">
        <v>45562</v>
      </c>
      <c r="M38" s="68">
        <v>45623</v>
      </c>
      <c r="N38" s="67" t="s">
        <v>258</v>
      </c>
      <c r="O38" s="68"/>
      <c r="P38" s="68"/>
      <c r="Q38" s="68"/>
      <c r="R38" s="68"/>
      <c r="S38" s="68"/>
      <c r="T38" s="68"/>
      <c r="U38" s="67"/>
      <c r="V38" s="67"/>
      <c r="W38" s="67"/>
      <c r="X38" s="67" t="s">
        <v>72</v>
      </c>
      <c r="Y38" s="67" t="s">
        <v>144</v>
      </c>
      <c r="Z38" s="67" t="s">
        <v>94</v>
      </c>
      <c r="AA38" s="67" t="s">
        <v>259</v>
      </c>
      <c r="AB38" s="67"/>
      <c r="AC38" s="67"/>
      <c r="AD38" s="67"/>
      <c r="AE38" s="67" t="s">
        <v>260</v>
      </c>
      <c r="AF38" s="67" t="s">
        <v>261</v>
      </c>
      <c r="AG38" s="67" t="s">
        <v>262</v>
      </c>
      <c r="AH38" s="68" t="s">
        <v>123</v>
      </c>
      <c r="AI38" s="68">
        <v>45677</v>
      </c>
      <c r="AJ38" s="68">
        <v>45698</v>
      </c>
      <c r="AK38" s="67" t="s">
        <v>72</v>
      </c>
      <c r="AL38" s="67">
        <v>1600000</v>
      </c>
      <c r="AM38" s="68">
        <v>45698</v>
      </c>
      <c r="AN38" s="68">
        <v>45698</v>
      </c>
      <c r="AO38" s="68"/>
      <c r="AP38" s="68">
        <v>45700</v>
      </c>
      <c r="AQ38" s="68">
        <v>45700</v>
      </c>
      <c r="AR38" s="68"/>
      <c r="AS38" s="68">
        <v>45768</v>
      </c>
      <c r="AT38" s="67">
        <f t="shared" ca="1" si="6"/>
        <v>0</v>
      </c>
      <c r="AU38" s="79" t="str">
        <f t="shared" ca="1" si="7"/>
        <v/>
      </c>
      <c r="AV38" s="79" t="str" cm="1">
        <f t="array" aca="1" ref="AV38" ca="1">IFERROR(_xlfn.IFS($AU38="","",$AU38&lt;=15,"0-15",AND($AU38&gt;=16,$AU38&lt;=30),"16-30",AND($AU38&gt;=31,$AU38&lt;=45),"31-45",AND($AU38&gt;=46,$AU38&lt;=60),"46-60",AND($AU38&gt;=61,$AU38&lt;=90),"61-90",AND($AU38&gt;=91),"&gt; 90",AND($AU38&gt;=2000),""),"")</f>
        <v/>
      </c>
      <c r="AW38" s="79" cm="1">
        <f t="array" aca="1" ref="AW38" ca="1">IFERROR(_xlfn.IFS(OR($M38="",$AM38=""),"",OR($C38="Offered",$C38="Joined"),($AM38-$M38)-$AT38),"")</f>
        <v>75</v>
      </c>
      <c r="AX38" s="79" cm="1">
        <f t="array" aca="1" ref="AX38" ca="1">IFERROR(_xlfn.IFS(OR($M38="",$AS38=""),"",$C38="Joined",($AS38-$M38)-$AT38),"")</f>
        <v>145</v>
      </c>
      <c r="AY38" s="67" t="str">
        <f>IFERROR(IF(COUNTIFS('Candidate Tracker'!$E:$E,'Positions Tracker'!$B38,'Candidate Tracker'!$C:$C,"Offer Drop")=0,"",COUNTIFS('Candidate Tracker'!$E:$E,'Positions Tracker'!$B38,'Candidate Tracker'!$C:$C,"Offer Drop")),"")</f>
        <v/>
      </c>
      <c r="AZ38" s="80">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0.88111888111888115</v>
      </c>
      <c r="BA38" s="81" t="str">
        <f>IFERROR(IF(COUNTIFS('Candidate Tracker'!$E:$E,'Positions Tracker'!$B38,'Candidate Tracker'!$I:$I,"Female")=0,"",COUNTIFS('Candidate Tracker'!$E:$E,'Positions Tracker'!$B38,'Candidate Tracker'!$I:$I,"Female")),"")</f>
        <v/>
      </c>
      <c r="BB38" s="81" t="str">
        <f>IFERROR(IF(COUNTIFS('Candidate Tracker'!$E:$E,'Positions Tracker'!$B38,'Candidate Tracker'!$I:$I,"male")=0,"",COUNTIFS('Candidate Tracker'!$E:$E,'Positions Tracker'!$B38,'Candidate Tracker'!$I:$I,"male")),"")</f>
        <v/>
      </c>
      <c r="BC38" s="80" t="str">
        <f>IFERROR(IF(COUNTIFS('Candidate Tracker'!$E:$E,'Positions Tracker'!$B38,'Candidate Tracker'!$C:$C,"&lt;&gt;WIP",'Candidate Tracker'!$C:$C,"&lt;&gt;Hold",'Candidate Tracker'!$C:$C,"&lt;&gt;Cancelled",'Candidate Tracker'!$C:$C,"&lt;&gt;Closed")/COUNTIFS('Candidate Tracker'!$E:$E,'Positions Tracker'!$B38)=0,"",COUNTIFS('Candidate Tracker'!$E:$E,'Positions Tracker'!$B38,'Candidate Tracker'!$C:$C,"&lt;&gt;WIP",'Candidate Tracker'!$C:$C,"&lt;&gt;Hold",'Candidate Tracker'!$C:$C,"&lt;&gt;Cancelled",'Candidate Tracker'!$C:$C,"&lt;&gt;Closed")/COUNTIFS('Candidate Tracker'!$E:$E,'Positions Tracker'!$B38)),"")</f>
        <v/>
      </c>
      <c r="BD38" s="67" t="str">
        <f t="shared" si="1"/>
        <v>Nov-24</v>
      </c>
      <c r="BE38" s="67" t="str">
        <f t="shared" si="2"/>
        <v>Jan-25</v>
      </c>
      <c r="BF38" s="67" t="str">
        <f t="shared" si="3"/>
        <v>Feb-25</v>
      </c>
      <c r="BG38" s="67" t="str">
        <f t="shared" si="4"/>
        <v>Apr-25</v>
      </c>
    </row>
    <row r="39" spans="1:59">
      <c r="A39" s="67">
        <f t="shared" si="5"/>
        <v>38</v>
      </c>
      <c r="B39" s="67">
        <v>20246613</v>
      </c>
      <c r="C39" s="67" t="s">
        <v>116</v>
      </c>
      <c r="D39" s="67" t="s">
        <v>116</v>
      </c>
      <c r="E39" s="67" t="s">
        <v>141</v>
      </c>
      <c r="F39" s="67" t="s">
        <v>158</v>
      </c>
      <c r="G39" s="67" t="s">
        <v>3</v>
      </c>
      <c r="H39" s="67" t="s">
        <v>216</v>
      </c>
      <c r="I39" s="67" t="s">
        <v>217</v>
      </c>
      <c r="J39" s="67" t="s">
        <v>70</v>
      </c>
      <c r="K39" s="68">
        <v>45560</v>
      </c>
      <c r="L39" s="68">
        <v>45560</v>
      </c>
      <c r="M39" s="68">
        <v>45560</v>
      </c>
      <c r="N39" s="67" t="s">
        <v>95</v>
      </c>
      <c r="O39" s="68"/>
      <c r="P39" s="68"/>
      <c r="Q39" s="68"/>
      <c r="R39" s="68"/>
      <c r="S39" s="68"/>
      <c r="T39" s="68"/>
      <c r="U39" s="67"/>
      <c r="V39" s="67"/>
      <c r="W39" s="67"/>
      <c r="X39" s="67" t="s">
        <v>72</v>
      </c>
      <c r="Y39" s="67" t="s">
        <v>144</v>
      </c>
      <c r="Z39" s="67" t="s">
        <v>144</v>
      </c>
      <c r="AA39" s="67" t="s">
        <v>116</v>
      </c>
      <c r="AB39" s="67"/>
      <c r="AC39" s="67"/>
      <c r="AD39" s="67"/>
      <c r="AE39" s="67" t="s">
        <v>263</v>
      </c>
      <c r="AF39" s="67" t="s">
        <v>264</v>
      </c>
      <c r="AG39" s="67" t="s">
        <v>265</v>
      </c>
      <c r="AH39" s="68" t="s">
        <v>123</v>
      </c>
      <c r="AI39" s="68">
        <v>45588</v>
      </c>
      <c r="AJ39" s="68">
        <v>45591</v>
      </c>
      <c r="AK39" s="67" t="s">
        <v>72</v>
      </c>
      <c r="AL39" s="67">
        <v>2275000</v>
      </c>
      <c r="AM39" s="68">
        <v>45605</v>
      </c>
      <c r="AN39" s="68">
        <v>45591</v>
      </c>
      <c r="AO39" s="68"/>
      <c r="AP39" s="68">
        <v>45605</v>
      </c>
      <c r="AQ39" s="68">
        <v>45711</v>
      </c>
      <c r="AR39" s="68">
        <v>45672</v>
      </c>
      <c r="AS39" s="68">
        <v>45677</v>
      </c>
      <c r="AT39" s="67">
        <f t="shared" ca="1" si="6"/>
        <v>0</v>
      </c>
      <c r="AU39" s="79" t="str">
        <f t="shared" ca="1" si="7"/>
        <v/>
      </c>
      <c r="AV39" s="79" t="str" cm="1">
        <f t="array" aca="1" ref="AV39" ca="1">IFERROR(_xlfn.IFS($AU39="","",$AU39&lt;=15,"0-15",AND($AU39&gt;=16,$AU39&lt;=30),"16-30",AND($AU39&gt;=31,$AU39&lt;=45),"31-45",AND($AU39&gt;=46,$AU39&lt;=60),"46-60",AND($AU39&gt;=61,$AU39&lt;=90),"61-90",AND($AU39&gt;=91),"&gt; 90",AND($AU39&gt;=2000),""),"")</f>
        <v/>
      </c>
      <c r="AW39" s="79" cm="1">
        <f t="array" aca="1" ref="AW39" ca="1">IFERROR(_xlfn.IFS(OR($M39="",$AM39=""),"",OR($C39="Offered",$C39="Joined"),($AM39-$M39)-$AT39),"")</f>
        <v>45</v>
      </c>
      <c r="AX39" s="79" cm="1">
        <f t="array" aca="1" ref="AX39" ca="1">IFERROR(_xlfn.IFS(OR($M39="",$AS39=""),"",$C39="Joined",($AS39-$M39)-$AT39),"")</f>
        <v>117</v>
      </c>
      <c r="AY39" s="67" t="str">
        <f>IFERROR(IF(COUNTIFS('Candidate Tracker'!$E:$E,'Positions Tracker'!$B39,'Candidate Tracker'!$C:$C,"Offer Drop")=0,"",COUNTIFS('Candidate Tracker'!$E:$E,'Positions Tracker'!$B39,'Candidate Tracker'!$C:$C,"Offer Drop")),"")</f>
        <v/>
      </c>
      <c r="AZ39" s="80">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0.88111888111888115</v>
      </c>
      <c r="BA39" s="81" t="str">
        <f>IFERROR(IF(COUNTIFS('Candidate Tracker'!$E:$E,'Positions Tracker'!$B39,'Candidate Tracker'!$I:$I,"Female")=0,"",COUNTIFS('Candidate Tracker'!$E:$E,'Positions Tracker'!$B39,'Candidate Tracker'!$I:$I,"Female")),"")</f>
        <v/>
      </c>
      <c r="BB39" s="81">
        <f>IFERROR(IF(COUNTIFS('Candidate Tracker'!$E:$E,'Positions Tracker'!$B39,'Candidate Tracker'!$I:$I,"male")=0,"",COUNTIFS('Candidate Tracker'!$E:$E,'Positions Tracker'!$B39,'Candidate Tracker'!$I:$I,"male")),"")</f>
        <v>1</v>
      </c>
      <c r="BC39" s="80">
        <f>IFERROR(IF(COUNTIFS('Candidate Tracker'!$E:$E,'Positions Tracker'!$B39,'Candidate Tracker'!$C:$C,"&lt;&gt;WIP",'Candidate Tracker'!$C:$C,"&lt;&gt;Hold",'Candidate Tracker'!$C:$C,"&lt;&gt;Cancelled",'Candidate Tracker'!$C:$C,"&lt;&gt;Closed")/COUNTIFS('Candidate Tracker'!$E:$E,'Positions Tracker'!$B39)=0,"",COUNTIFS('Candidate Tracker'!$E:$E,'Positions Tracker'!$B39,'Candidate Tracker'!$C:$C,"&lt;&gt;WIP",'Candidate Tracker'!$C:$C,"&lt;&gt;Hold",'Candidate Tracker'!$C:$C,"&lt;&gt;Cancelled",'Candidate Tracker'!$C:$C,"&lt;&gt;Closed")/COUNTIFS('Candidate Tracker'!$E:$E,'Positions Tracker'!$B39)),"")</f>
        <v>1</v>
      </c>
      <c r="BD39" s="67" t="str">
        <f t="shared" si="1"/>
        <v>Sep-24</v>
      </c>
      <c r="BE39" s="67" t="str">
        <f t="shared" si="2"/>
        <v>Oct-24</v>
      </c>
      <c r="BF39" s="67" t="str">
        <f t="shared" si="3"/>
        <v>Nov-24</v>
      </c>
      <c r="BG39" s="67" t="str">
        <f t="shared" si="4"/>
        <v>Jan-25</v>
      </c>
    </row>
    <row r="40" spans="1:59">
      <c r="A40" s="67">
        <f t="shared" si="5"/>
        <v>39</v>
      </c>
      <c r="B40" s="67">
        <v>20245964</v>
      </c>
      <c r="C40" s="67" t="s">
        <v>116</v>
      </c>
      <c r="D40" s="67" t="s">
        <v>116</v>
      </c>
      <c r="E40" s="67" t="s">
        <v>266</v>
      </c>
      <c r="F40" s="67" t="s">
        <v>267</v>
      </c>
      <c r="G40" s="67" t="s">
        <v>3</v>
      </c>
      <c r="H40" s="67" t="s">
        <v>268</v>
      </c>
      <c r="I40" s="67" t="s">
        <v>269</v>
      </c>
      <c r="J40" s="67" t="s">
        <v>70</v>
      </c>
      <c r="K40" s="68">
        <v>45391</v>
      </c>
      <c r="L40" s="68">
        <v>45579</v>
      </c>
      <c r="M40" s="68">
        <v>45592</v>
      </c>
      <c r="N40" s="67" t="s">
        <v>95</v>
      </c>
      <c r="O40" s="68"/>
      <c r="P40" s="68"/>
      <c r="Q40" s="68"/>
      <c r="R40" s="68"/>
      <c r="S40" s="68"/>
      <c r="T40" s="68"/>
      <c r="U40" s="67"/>
      <c r="V40" s="67"/>
      <c r="W40" s="67"/>
      <c r="X40" s="67" t="s">
        <v>72</v>
      </c>
      <c r="Y40" s="67" t="s">
        <v>144</v>
      </c>
      <c r="Z40" s="67" t="s">
        <v>144</v>
      </c>
      <c r="AA40" s="67" t="s">
        <v>116</v>
      </c>
      <c r="AB40" s="67"/>
      <c r="AC40" s="67"/>
      <c r="AD40" s="67"/>
      <c r="AE40" s="67" t="s">
        <v>270</v>
      </c>
      <c r="AF40" s="67" t="s">
        <v>271</v>
      </c>
      <c r="AG40" s="67" t="s">
        <v>272</v>
      </c>
      <c r="AH40" s="68" t="s">
        <v>123</v>
      </c>
      <c r="AI40" s="68">
        <v>45611</v>
      </c>
      <c r="AJ40" s="68">
        <v>45613</v>
      </c>
      <c r="AK40" s="67" t="s">
        <v>72</v>
      </c>
      <c r="AL40" s="67">
        <v>1700000</v>
      </c>
      <c r="AM40" s="68">
        <v>45618</v>
      </c>
      <c r="AN40" s="68">
        <v>45613</v>
      </c>
      <c r="AO40" s="68"/>
      <c r="AP40" s="68">
        <v>45618</v>
      </c>
      <c r="AQ40" s="68">
        <v>45618</v>
      </c>
      <c r="AR40" s="68">
        <v>45680</v>
      </c>
      <c r="AS40" s="68">
        <v>45684</v>
      </c>
      <c r="AT40" s="67">
        <f t="shared" ca="1" si="6"/>
        <v>0</v>
      </c>
      <c r="AU40" s="79" t="str">
        <f t="shared" ca="1" si="7"/>
        <v/>
      </c>
      <c r="AV40" s="79" t="str" cm="1">
        <f t="array" aca="1" ref="AV40" ca="1">IFERROR(_xlfn.IFS($AU40="","",$AU40&lt;=15,"0-15",AND($AU40&gt;=16,$AU40&lt;=30),"16-30",AND($AU40&gt;=31,$AU40&lt;=45),"31-45",AND($AU40&gt;=46,$AU40&lt;=60),"46-60",AND($AU40&gt;=61,$AU40&lt;=90),"61-90",AND($AU40&gt;=91),"&gt; 90",AND($AU40&gt;=2000),""),"")</f>
        <v/>
      </c>
      <c r="AW40" s="79" cm="1">
        <f t="array" aca="1" ref="AW40" ca="1">IFERROR(_xlfn.IFS(OR($M40="",$AM40=""),"",OR($C40="Offered",$C40="Joined"),($AM40-$M40)-$AT40),"")</f>
        <v>26</v>
      </c>
      <c r="AX40" s="79" cm="1">
        <f t="array" aca="1" ref="AX40" ca="1">IFERROR(_xlfn.IFS(OR($M40="",$AS40=""),"",$C40="Joined",($AS40-$M40)-$AT40),"")</f>
        <v>92</v>
      </c>
      <c r="AY40" s="67" t="str">
        <f>IFERROR(IF(COUNTIFS('Candidate Tracker'!$E:$E,'Positions Tracker'!$B40,'Candidate Tracker'!$C:$C,"Offer Drop")=0,"",COUNTIFS('Candidate Tracker'!$E:$E,'Positions Tracker'!$B40,'Candidate Tracker'!$C:$C,"Offer Drop")),"")</f>
        <v/>
      </c>
      <c r="AZ40" s="80">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0.88111888111888115</v>
      </c>
      <c r="BA40" s="81" t="str">
        <f>IFERROR(IF(COUNTIFS('Candidate Tracker'!$E:$E,'Positions Tracker'!$B40,'Candidate Tracker'!$I:$I,"Female")=0,"",COUNTIFS('Candidate Tracker'!$E:$E,'Positions Tracker'!$B40,'Candidate Tracker'!$I:$I,"Female")),"")</f>
        <v/>
      </c>
      <c r="BB40" s="81">
        <f>IFERROR(IF(COUNTIFS('Candidate Tracker'!$E:$E,'Positions Tracker'!$B40,'Candidate Tracker'!$I:$I,"male")=0,"",COUNTIFS('Candidate Tracker'!$E:$E,'Positions Tracker'!$B40,'Candidate Tracker'!$I:$I,"male")),"")</f>
        <v>1</v>
      </c>
      <c r="BC40" s="80">
        <f>IFERROR(IF(COUNTIFS('Candidate Tracker'!$E:$E,'Positions Tracker'!$B40,'Candidate Tracker'!$C:$C,"&lt;&gt;WIP",'Candidate Tracker'!$C:$C,"&lt;&gt;Hold",'Candidate Tracker'!$C:$C,"&lt;&gt;Cancelled",'Candidate Tracker'!$C:$C,"&lt;&gt;Closed")/COUNTIFS('Candidate Tracker'!$E:$E,'Positions Tracker'!$B40)=0,"",COUNTIFS('Candidate Tracker'!$E:$E,'Positions Tracker'!$B40,'Candidate Tracker'!$C:$C,"&lt;&gt;WIP",'Candidate Tracker'!$C:$C,"&lt;&gt;Hold",'Candidate Tracker'!$C:$C,"&lt;&gt;Cancelled",'Candidate Tracker'!$C:$C,"&lt;&gt;Closed")/COUNTIFS('Candidate Tracker'!$E:$E,'Positions Tracker'!$B40)),"")</f>
        <v>1</v>
      </c>
      <c r="BD40" s="67" t="str">
        <f t="shared" si="1"/>
        <v>Oct-24</v>
      </c>
      <c r="BE40" s="67" t="str">
        <f t="shared" si="2"/>
        <v>Nov-24</v>
      </c>
      <c r="BF40" s="67" t="str">
        <f t="shared" si="3"/>
        <v>Nov-24</v>
      </c>
      <c r="BG40" s="67" t="str">
        <f t="shared" si="4"/>
        <v>Jan-25</v>
      </c>
    </row>
    <row r="41" spans="1:59">
      <c r="A41" s="67">
        <f t="shared" si="5"/>
        <v>40</v>
      </c>
      <c r="B41" s="67">
        <v>20248963</v>
      </c>
      <c r="C41" s="67" t="s">
        <v>116</v>
      </c>
      <c r="D41" s="67" t="s">
        <v>116</v>
      </c>
      <c r="E41" s="67" t="s">
        <v>141</v>
      </c>
      <c r="F41" s="67" t="s">
        <v>158</v>
      </c>
      <c r="G41" s="67" t="s">
        <v>3</v>
      </c>
      <c r="H41" s="67" t="s">
        <v>216</v>
      </c>
      <c r="I41" s="67" t="s">
        <v>217</v>
      </c>
      <c r="J41" s="67" t="s">
        <v>70</v>
      </c>
      <c r="K41" s="68">
        <v>45560</v>
      </c>
      <c r="L41" s="68">
        <v>45603</v>
      </c>
      <c r="M41" s="68">
        <v>45603</v>
      </c>
      <c r="N41" s="67" t="s">
        <v>82</v>
      </c>
      <c r="O41" s="68"/>
      <c r="P41" s="68"/>
      <c r="Q41" s="68"/>
      <c r="R41" s="68"/>
      <c r="S41" s="68"/>
      <c r="T41" s="68"/>
      <c r="U41" s="67"/>
      <c r="V41" s="67"/>
      <c r="W41" s="67"/>
      <c r="X41" s="67" t="s">
        <v>72</v>
      </c>
      <c r="Y41" s="67" t="s">
        <v>144</v>
      </c>
      <c r="Z41" s="67" t="s">
        <v>144</v>
      </c>
      <c r="AA41" s="67" t="s">
        <v>116</v>
      </c>
      <c r="AB41" s="67"/>
      <c r="AC41" s="67"/>
      <c r="AD41" s="67"/>
      <c r="AE41" s="67" t="s">
        <v>273</v>
      </c>
      <c r="AF41" s="67" t="s">
        <v>274</v>
      </c>
      <c r="AG41" s="67" t="s">
        <v>275</v>
      </c>
      <c r="AH41" s="68" t="s">
        <v>86</v>
      </c>
      <c r="AI41" s="68">
        <v>45617</v>
      </c>
      <c r="AJ41" s="68">
        <v>45620</v>
      </c>
      <c r="AK41" s="67" t="s">
        <v>72</v>
      </c>
      <c r="AL41" s="67">
        <v>2200000</v>
      </c>
      <c r="AM41" s="68">
        <v>45631</v>
      </c>
      <c r="AN41" s="68">
        <v>45620</v>
      </c>
      <c r="AO41" s="68"/>
      <c r="AP41" s="68">
        <v>45631</v>
      </c>
      <c r="AQ41" s="68">
        <v>45631</v>
      </c>
      <c r="AR41" s="68">
        <v>45638</v>
      </c>
      <c r="AS41" s="68">
        <v>45642</v>
      </c>
      <c r="AT41" s="67">
        <f t="shared" ca="1" si="6"/>
        <v>0</v>
      </c>
      <c r="AU41" s="79" t="str">
        <f t="shared" ca="1" si="7"/>
        <v/>
      </c>
      <c r="AV41" s="79" t="str" cm="1">
        <f t="array" aca="1" ref="AV41" ca="1">IFERROR(_xlfn.IFS($AU41="","",$AU41&lt;=15,"0-15",AND($AU41&gt;=16,$AU41&lt;=30),"16-30",AND($AU41&gt;=31,$AU41&lt;=45),"31-45",AND($AU41&gt;=46,$AU41&lt;=60),"46-60",AND($AU41&gt;=61,$AU41&lt;=90),"61-90",AND($AU41&gt;=91),"&gt; 90",AND($AU41&gt;=2000),""),"")</f>
        <v/>
      </c>
      <c r="AW41" s="79" cm="1">
        <f t="array" aca="1" ref="AW41" ca="1">IFERROR(_xlfn.IFS(OR($M41="",$AM41=""),"",OR($C41="Offered",$C41="Joined"),($AM41-$M41)-$AT41),"")</f>
        <v>28</v>
      </c>
      <c r="AX41" s="79" cm="1">
        <f t="array" aca="1" ref="AX41" ca="1">IFERROR(_xlfn.IFS(OR($M41="",$AS41=""),"",$C41="Joined",($AS41-$M41)-$AT41),"")</f>
        <v>39</v>
      </c>
      <c r="AY41" s="67" t="str">
        <f>IFERROR(IF(COUNTIFS('Candidate Tracker'!$E:$E,'Positions Tracker'!$B41,'Candidate Tracker'!$C:$C,"Offer Drop")=0,"",COUNTIFS('Candidate Tracker'!$E:$E,'Positions Tracker'!$B41,'Candidate Tracker'!$C:$C,"Offer Drop")),"")</f>
        <v/>
      </c>
      <c r="AZ41" s="80">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0.88111888111888115</v>
      </c>
      <c r="BA41" s="81">
        <f>IFERROR(IF(COUNTIFS('Candidate Tracker'!$E:$E,'Positions Tracker'!$B41,'Candidate Tracker'!$I:$I,"Female")=0,"",COUNTIFS('Candidate Tracker'!$E:$E,'Positions Tracker'!$B41,'Candidate Tracker'!$I:$I,"Female")),"")</f>
        <v>1</v>
      </c>
      <c r="BB41" s="81" t="str">
        <f>IFERROR(IF(COUNTIFS('Candidate Tracker'!$E:$E,'Positions Tracker'!$B41,'Candidate Tracker'!$I:$I,"male")=0,"",COUNTIFS('Candidate Tracker'!$E:$E,'Positions Tracker'!$B41,'Candidate Tracker'!$I:$I,"male")),"")</f>
        <v/>
      </c>
      <c r="BC41" s="80">
        <f>IFERROR(IF(COUNTIFS('Candidate Tracker'!$E:$E,'Positions Tracker'!$B41,'Candidate Tracker'!$C:$C,"&lt;&gt;WIP",'Candidate Tracker'!$C:$C,"&lt;&gt;Hold",'Candidate Tracker'!$C:$C,"&lt;&gt;Cancelled",'Candidate Tracker'!$C:$C,"&lt;&gt;Closed")/COUNTIFS('Candidate Tracker'!$E:$E,'Positions Tracker'!$B41)=0,"",COUNTIFS('Candidate Tracker'!$E:$E,'Positions Tracker'!$B41,'Candidate Tracker'!$C:$C,"&lt;&gt;WIP",'Candidate Tracker'!$C:$C,"&lt;&gt;Hold",'Candidate Tracker'!$C:$C,"&lt;&gt;Cancelled",'Candidate Tracker'!$C:$C,"&lt;&gt;Closed")/COUNTIFS('Candidate Tracker'!$E:$E,'Positions Tracker'!$B41)),"")</f>
        <v>1</v>
      </c>
      <c r="BD41" s="67" t="str">
        <f t="shared" si="1"/>
        <v>Nov-24</v>
      </c>
      <c r="BE41" s="67" t="str">
        <f t="shared" si="2"/>
        <v>Nov-24</v>
      </c>
      <c r="BF41" s="67" t="str">
        <f t="shared" si="3"/>
        <v>Dec-24</v>
      </c>
      <c r="BG41" s="67" t="str">
        <f t="shared" si="4"/>
        <v>Dec-24</v>
      </c>
    </row>
    <row r="42" spans="1:59" ht="29">
      <c r="A42" s="67">
        <f t="shared" si="5"/>
        <v>41</v>
      </c>
      <c r="B42" s="67">
        <v>20252855</v>
      </c>
      <c r="C42" s="67" t="s">
        <v>55</v>
      </c>
      <c r="D42" s="67" t="s">
        <v>80</v>
      </c>
      <c r="E42" s="67" t="s">
        <v>276</v>
      </c>
      <c r="F42" s="67" t="s">
        <v>184</v>
      </c>
      <c r="G42" s="67" t="s">
        <v>3</v>
      </c>
      <c r="H42" s="67" t="s">
        <v>227</v>
      </c>
      <c r="I42" s="67" t="s">
        <v>228</v>
      </c>
      <c r="J42" s="67" t="s">
        <v>70</v>
      </c>
      <c r="K42" s="68">
        <v>45625</v>
      </c>
      <c r="L42" s="68">
        <v>45625</v>
      </c>
      <c r="M42" s="68">
        <v>45625</v>
      </c>
      <c r="N42" s="67" t="s">
        <v>82</v>
      </c>
      <c r="O42" s="68"/>
      <c r="P42" s="68"/>
      <c r="Q42" s="68"/>
      <c r="R42" s="68"/>
      <c r="S42" s="68"/>
      <c r="T42" s="68"/>
      <c r="U42" s="67"/>
      <c r="V42" s="67"/>
      <c r="W42" s="67"/>
      <c r="X42" s="67" t="s">
        <v>72</v>
      </c>
      <c r="Y42" s="67" t="s">
        <v>144</v>
      </c>
      <c r="Z42" s="67" t="s">
        <v>144</v>
      </c>
      <c r="AA42" s="69" t="s">
        <v>277</v>
      </c>
      <c r="AB42" s="67"/>
      <c r="AC42" s="67"/>
      <c r="AD42" s="67"/>
      <c r="AE42" s="67" t="s">
        <v>278</v>
      </c>
      <c r="AF42" s="67" t="s">
        <v>279</v>
      </c>
      <c r="AG42" s="67" t="s">
        <v>280</v>
      </c>
      <c r="AH42" s="68" t="s">
        <v>123</v>
      </c>
      <c r="AI42" s="68">
        <v>45705</v>
      </c>
      <c r="AJ42" s="68">
        <v>45709</v>
      </c>
      <c r="AK42" s="67" t="s">
        <v>72</v>
      </c>
      <c r="AL42" s="67">
        <v>1600000</v>
      </c>
      <c r="AM42" s="68">
        <v>45709</v>
      </c>
      <c r="AN42" s="68">
        <v>45709</v>
      </c>
      <c r="AO42" s="68">
        <v>45733</v>
      </c>
      <c r="AP42" s="68">
        <v>45711</v>
      </c>
      <c r="AQ42" s="68">
        <v>45711</v>
      </c>
      <c r="AR42" s="68"/>
      <c r="AS42" s="68">
        <v>45740</v>
      </c>
      <c r="AT42" s="67">
        <f t="shared" ca="1" si="6"/>
        <v>0</v>
      </c>
      <c r="AU42" s="79" t="str">
        <f t="shared" ca="1" si="7"/>
        <v/>
      </c>
      <c r="AV42" s="79" t="str" cm="1">
        <f t="array" aca="1" ref="AV42" ca="1">IFERROR(_xlfn.IFS($AU42="","",$AU42&lt;=15,"0-15",AND($AU42&gt;=16,$AU42&lt;=30),"16-30",AND($AU42&gt;=31,$AU42&lt;=45),"31-45",AND($AU42&gt;=46,$AU42&lt;=60),"46-60",AND($AU42&gt;=61,$AU42&lt;=90),"61-90",AND($AU42&gt;=91),"&gt; 90",AND($AU42&gt;=2000),""),"")</f>
        <v/>
      </c>
      <c r="AW42" s="79" t="str" cm="1">
        <f t="array" aca="1" ref="AW42" ca="1">IFERROR(_xlfn.IFS(OR($M42="",$AM42=""),"",OR($C42="Offered",$C42="Joined"),($AM42-$M42)-$AT42),"")</f>
        <v/>
      </c>
      <c r="AX42" s="79" t="str" cm="1">
        <f t="array" aca="1" ref="AX42" ca="1">IFERROR(_xlfn.IFS(OR($M42="",$AS42=""),"",$C42="Joined",($AS42-$M42)-$AT42),"")</f>
        <v/>
      </c>
      <c r="AY42" s="67">
        <f>IFERROR(IF(COUNTIFS('Candidate Tracker'!$E:$E,'Positions Tracker'!$B42,'Candidate Tracker'!$C:$C,"Offer Drop")=0,"",COUNTIFS('Candidate Tracker'!$E:$E,'Positions Tracker'!$B42,'Candidate Tracker'!$C:$C,"Offer Drop")),"")</f>
        <v>1</v>
      </c>
      <c r="AZ42" s="80">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0.88111888111888115</v>
      </c>
      <c r="BA42" s="81">
        <f>IFERROR(IF(COUNTIFS('Candidate Tracker'!$E:$E,'Positions Tracker'!$B42,'Candidate Tracker'!$I:$I,"Female")=0,"",COUNTIFS('Candidate Tracker'!$E:$E,'Positions Tracker'!$B42,'Candidate Tracker'!$I:$I,"Female")),"")</f>
        <v>5</v>
      </c>
      <c r="BB42" s="81">
        <f>IFERROR(IF(COUNTIFS('Candidate Tracker'!$E:$E,'Positions Tracker'!$B42,'Candidate Tracker'!$I:$I,"male")=0,"",COUNTIFS('Candidate Tracker'!$E:$E,'Positions Tracker'!$B42,'Candidate Tracker'!$I:$I,"male")),"")</f>
        <v>24</v>
      </c>
      <c r="BC42" s="80">
        <f>IFERROR(IF(COUNTIFS('Candidate Tracker'!$E:$E,'Positions Tracker'!$B42,'Candidate Tracker'!$C:$C,"&lt;&gt;WIP",'Candidate Tracker'!$C:$C,"&lt;&gt;Hold",'Candidate Tracker'!$C:$C,"&lt;&gt;Cancelled",'Candidate Tracker'!$C:$C,"&lt;&gt;Closed")/COUNTIFS('Candidate Tracker'!$E:$E,'Positions Tracker'!$B42)=0,"",COUNTIFS('Candidate Tracker'!$E:$E,'Positions Tracker'!$B42,'Candidate Tracker'!$C:$C,"&lt;&gt;WIP",'Candidate Tracker'!$C:$C,"&lt;&gt;Hold",'Candidate Tracker'!$C:$C,"&lt;&gt;Cancelled",'Candidate Tracker'!$C:$C,"&lt;&gt;Closed")/COUNTIFS('Candidate Tracker'!$E:$E,'Positions Tracker'!$B42)),"")</f>
        <v>3.4482758620689655E-2</v>
      </c>
      <c r="BD42" s="67" t="str">
        <f t="shared" si="1"/>
        <v>Nov-24</v>
      </c>
      <c r="BE42" s="67" t="str">
        <f t="shared" si="2"/>
        <v>Feb-25</v>
      </c>
      <c r="BF42" s="67" t="str">
        <f t="shared" si="3"/>
        <v>Feb-25</v>
      </c>
      <c r="BG42" s="67" t="str">
        <f t="shared" si="4"/>
        <v>Mar-25</v>
      </c>
    </row>
    <row r="43" spans="1:59">
      <c r="A43" s="67">
        <f t="shared" si="5"/>
        <v>42</v>
      </c>
      <c r="B43" s="67">
        <v>20250681</v>
      </c>
      <c r="C43" s="67" t="s">
        <v>64</v>
      </c>
      <c r="D43" s="67" t="s">
        <v>65</v>
      </c>
      <c r="E43" s="67" t="s">
        <v>276</v>
      </c>
      <c r="F43" s="67" t="s">
        <v>184</v>
      </c>
      <c r="G43" s="67" t="s">
        <v>3</v>
      </c>
      <c r="H43" s="67" t="s">
        <v>227</v>
      </c>
      <c r="I43" s="67" t="s">
        <v>228</v>
      </c>
      <c r="J43" s="67" t="s">
        <v>70</v>
      </c>
      <c r="K43" s="68">
        <v>45625</v>
      </c>
      <c r="L43" s="68">
        <v>45625</v>
      </c>
      <c r="M43" s="68">
        <v>45625</v>
      </c>
      <c r="N43" s="67"/>
      <c r="O43" s="68"/>
      <c r="P43" s="68"/>
      <c r="Q43" s="68"/>
      <c r="R43" s="68"/>
      <c r="S43" s="68"/>
      <c r="T43" s="68"/>
      <c r="U43" s="67"/>
      <c r="V43" s="67"/>
      <c r="W43" s="67"/>
      <c r="X43" s="67" t="s">
        <v>72</v>
      </c>
      <c r="Y43" s="67" t="s">
        <v>144</v>
      </c>
      <c r="Z43" s="67" t="s">
        <v>144</v>
      </c>
      <c r="AA43" s="67" t="s">
        <v>229</v>
      </c>
      <c r="AB43" s="67"/>
      <c r="AC43" s="67"/>
      <c r="AD43" s="67"/>
      <c r="AE43" s="67"/>
      <c r="AF43" s="67"/>
      <c r="AG43" s="67"/>
      <c r="AH43" s="68"/>
      <c r="AI43" s="68"/>
      <c r="AJ43" s="68"/>
      <c r="AK43" s="67"/>
      <c r="AL43" s="67"/>
      <c r="AM43" s="68"/>
      <c r="AN43" s="68"/>
      <c r="AO43" s="68"/>
      <c r="AP43" s="68"/>
      <c r="AQ43" s="68"/>
      <c r="AR43" s="68"/>
      <c r="AS43" s="68"/>
      <c r="AT43" s="67">
        <f t="shared" ca="1" si="6"/>
        <v>0</v>
      </c>
      <c r="AU43" s="79" t="str">
        <f t="shared" ca="1" si="7"/>
        <v/>
      </c>
      <c r="AV43" s="79" t="str" cm="1">
        <f t="array" aca="1" ref="AV43" ca="1">IFERROR(_xlfn.IFS($AU43="","",$AU43&lt;=15,"0-15",AND($AU43&gt;=16,$AU43&lt;=30),"16-30",AND($AU43&gt;=31,$AU43&lt;=45),"31-45",AND($AU43&gt;=46,$AU43&lt;=60),"46-60",AND($AU43&gt;=61,$AU43&lt;=90),"61-90",AND($AU43&gt;=91),"&gt; 90",AND($AU43&gt;=2000),""),"")</f>
        <v/>
      </c>
      <c r="AW43" s="79" t="str" cm="1">
        <f t="array" aca="1" ref="AW43" ca="1">IFERROR(_xlfn.IFS(OR($M43="",$AM43=""),"",OR($C43="Offered",$C43="Joined"),($AM43-$M43)-$AT43),"")</f>
        <v/>
      </c>
      <c r="AX43" s="79" t="str" cm="1">
        <f t="array" aca="1" ref="AX43" ca="1">IFERROR(_xlfn.IFS(OR($M43="",$AS43=""),"",$C43="Joined",($AS43-$M43)-$AT43),"")</f>
        <v/>
      </c>
      <c r="AY43" s="67" t="str">
        <f>IFERROR(IF(COUNTIFS('Candidate Tracker'!$E:$E,'Positions Tracker'!$B43,'Candidate Tracker'!$C:$C,"Offer Drop")=0,"",COUNTIFS('Candidate Tracker'!$E:$E,'Positions Tracker'!$B43,'Candidate Tracker'!$C:$C,"Offer Drop")),"")</f>
        <v/>
      </c>
      <c r="AZ43" s="80">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0.88111888111888115</v>
      </c>
      <c r="BA43" s="81" t="str">
        <f>IFERROR(IF(COUNTIFS('Candidate Tracker'!$E:$E,'Positions Tracker'!$B43,'Candidate Tracker'!$I:$I,"Female")=0,"",COUNTIFS('Candidate Tracker'!$E:$E,'Positions Tracker'!$B43,'Candidate Tracker'!$I:$I,"Female")),"")</f>
        <v/>
      </c>
      <c r="BB43" s="81" t="str">
        <f>IFERROR(IF(COUNTIFS('Candidate Tracker'!$E:$E,'Positions Tracker'!$B43,'Candidate Tracker'!$I:$I,"male")=0,"",COUNTIFS('Candidate Tracker'!$E:$E,'Positions Tracker'!$B43,'Candidate Tracker'!$I:$I,"male")),"")</f>
        <v/>
      </c>
      <c r="BC43" s="80" t="str">
        <f>IFERROR(IF(COUNTIFS('Candidate Tracker'!$E:$E,'Positions Tracker'!$B43,'Candidate Tracker'!$C:$C,"&lt;&gt;WIP",'Candidate Tracker'!$C:$C,"&lt;&gt;Hold",'Candidate Tracker'!$C:$C,"&lt;&gt;Cancelled",'Candidate Tracker'!$C:$C,"&lt;&gt;Closed")/COUNTIFS('Candidate Tracker'!$E:$E,'Positions Tracker'!$B43)=0,"",COUNTIFS('Candidate Tracker'!$E:$E,'Positions Tracker'!$B43,'Candidate Tracker'!$C:$C,"&lt;&gt;WIP",'Candidate Tracker'!$C:$C,"&lt;&gt;Hold",'Candidate Tracker'!$C:$C,"&lt;&gt;Cancelled",'Candidate Tracker'!$C:$C,"&lt;&gt;Closed")/COUNTIFS('Candidate Tracker'!$E:$E,'Positions Tracker'!$B43)),"")</f>
        <v/>
      </c>
      <c r="BD43" s="67" t="str">
        <f t="shared" si="1"/>
        <v>Nov-24</v>
      </c>
      <c r="BE43" s="67" t="str">
        <f t="shared" si="2"/>
        <v/>
      </c>
      <c r="BF43" s="67" t="str">
        <f t="shared" si="3"/>
        <v/>
      </c>
      <c r="BG43" s="67" t="str">
        <f t="shared" si="4"/>
        <v/>
      </c>
    </row>
    <row r="44" spans="1:59">
      <c r="A44" s="67">
        <f t="shared" si="5"/>
        <v>43</v>
      </c>
      <c r="B44" s="67">
        <v>20249490</v>
      </c>
      <c r="C44" s="67" t="s">
        <v>64</v>
      </c>
      <c r="D44" s="67" t="s">
        <v>65</v>
      </c>
      <c r="E44" s="67" t="s">
        <v>276</v>
      </c>
      <c r="F44" s="67" t="s">
        <v>184</v>
      </c>
      <c r="G44" s="67" t="s">
        <v>3</v>
      </c>
      <c r="H44" s="67" t="s">
        <v>227</v>
      </c>
      <c r="I44" s="67" t="s">
        <v>228</v>
      </c>
      <c r="J44" s="67" t="s">
        <v>70</v>
      </c>
      <c r="K44" s="68">
        <v>45625</v>
      </c>
      <c r="L44" s="68">
        <v>45625</v>
      </c>
      <c r="M44" s="68">
        <v>45625</v>
      </c>
      <c r="N44" s="67"/>
      <c r="O44" s="68"/>
      <c r="P44" s="68"/>
      <c r="Q44" s="68"/>
      <c r="R44" s="68"/>
      <c r="S44" s="68"/>
      <c r="T44" s="68"/>
      <c r="U44" s="67"/>
      <c r="V44" s="67"/>
      <c r="W44" s="67"/>
      <c r="X44" s="67" t="s">
        <v>72</v>
      </c>
      <c r="Y44" s="67" t="s">
        <v>144</v>
      </c>
      <c r="Z44" s="67" t="s">
        <v>144</v>
      </c>
      <c r="AA44" s="67" t="s">
        <v>229</v>
      </c>
      <c r="AB44" s="67"/>
      <c r="AC44" s="67"/>
      <c r="AD44" s="67"/>
      <c r="AE44" s="67"/>
      <c r="AF44" s="67"/>
      <c r="AG44" s="67"/>
      <c r="AH44" s="68"/>
      <c r="AI44" s="68"/>
      <c r="AJ44" s="68"/>
      <c r="AK44" s="67"/>
      <c r="AL44" s="67"/>
      <c r="AM44" s="68"/>
      <c r="AN44" s="68"/>
      <c r="AO44" s="68"/>
      <c r="AP44" s="68"/>
      <c r="AQ44" s="68"/>
      <c r="AR44" s="68"/>
      <c r="AS44" s="68"/>
      <c r="AT44" s="67">
        <f t="shared" ca="1" si="6"/>
        <v>0</v>
      </c>
      <c r="AU44" s="79" t="str">
        <f t="shared" ca="1" si="7"/>
        <v/>
      </c>
      <c r="AV44" s="79" t="str" cm="1">
        <f t="array" aca="1" ref="AV44" ca="1">IFERROR(_xlfn.IFS($AU44="","",$AU44&lt;=15,"0-15",AND($AU44&gt;=16,$AU44&lt;=30),"16-30",AND($AU44&gt;=31,$AU44&lt;=45),"31-45",AND($AU44&gt;=46,$AU44&lt;=60),"46-60",AND($AU44&gt;=61,$AU44&lt;=90),"61-90",AND($AU44&gt;=91),"&gt; 90",AND($AU44&gt;=2000),""),"")</f>
        <v/>
      </c>
      <c r="AW44" s="79" t="str" cm="1">
        <f t="array" aca="1" ref="AW44" ca="1">IFERROR(_xlfn.IFS(OR($M44="",$AM44=""),"",OR($C44="Offered",$C44="Joined"),($AM44-$M44)-$AT44),"")</f>
        <v/>
      </c>
      <c r="AX44" s="79" t="str" cm="1">
        <f t="array" aca="1" ref="AX44" ca="1">IFERROR(_xlfn.IFS(OR($M44="",$AS44=""),"",$C44="Joined",($AS44-$M44)-$AT44),"")</f>
        <v/>
      </c>
      <c r="AY44" s="67" t="str">
        <f>IFERROR(IF(COUNTIFS('Candidate Tracker'!$E:$E,'Positions Tracker'!$B44,'Candidate Tracker'!$C:$C,"Offer Drop")=0,"",COUNTIFS('Candidate Tracker'!$E:$E,'Positions Tracker'!$B44,'Candidate Tracker'!$C:$C,"Offer Drop")),"")</f>
        <v/>
      </c>
      <c r="AZ44" s="80">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0.88111888111888115</v>
      </c>
      <c r="BA44" s="81" t="str">
        <f>IFERROR(IF(COUNTIFS('Candidate Tracker'!$E:$E,'Positions Tracker'!$B44,'Candidate Tracker'!$I:$I,"Female")=0,"",COUNTIFS('Candidate Tracker'!$E:$E,'Positions Tracker'!$B44,'Candidate Tracker'!$I:$I,"Female")),"")</f>
        <v/>
      </c>
      <c r="BB44" s="81" t="str">
        <f>IFERROR(IF(COUNTIFS('Candidate Tracker'!$E:$E,'Positions Tracker'!$B44,'Candidate Tracker'!$I:$I,"male")=0,"",COUNTIFS('Candidate Tracker'!$E:$E,'Positions Tracker'!$B44,'Candidate Tracker'!$I:$I,"male")),"")</f>
        <v/>
      </c>
      <c r="BC44" s="80" t="str">
        <f>IFERROR(IF(COUNTIFS('Candidate Tracker'!$E:$E,'Positions Tracker'!$B44,'Candidate Tracker'!$C:$C,"&lt;&gt;WIP",'Candidate Tracker'!$C:$C,"&lt;&gt;Hold",'Candidate Tracker'!$C:$C,"&lt;&gt;Cancelled",'Candidate Tracker'!$C:$C,"&lt;&gt;Closed")/COUNTIFS('Candidate Tracker'!$E:$E,'Positions Tracker'!$B44)=0,"",COUNTIFS('Candidate Tracker'!$E:$E,'Positions Tracker'!$B44,'Candidate Tracker'!$C:$C,"&lt;&gt;WIP",'Candidate Tracker'!$C:$C,"&lt;&gt;Hold",'Candidate Tracker'!$C:$C,"&lt;&gt;Cancelled",'Candidate Tracker'!$C:$C,"&lt;&gt;Closed")/COUNTIFS('Candidate Tracker'!$E:$E,'Positions Tracker'!$B44)),"")</f>
        <v/>
      </c>
      <c r="BD44" s="67" t="str">
        <f t="shared" si="1"/>
        <v>Nov-24</v>
      </c>
      <c r="BE44" s="67" t="str">
        <f t="shared" si="2"/>
        <v/>
      </c>
      <c r="BF44" s="67" t="str">
        <f t="shared" si="3"/>
        <v/>
      </c>
      <c r="BG44" s="67" t="str">
        <f t="shared" si="4"/>
        <v/>
      </c>
    </row>
    <row r="45" spans="1:59">
      <c r="A45" s="67">
        <f t="shared" si="5"/>
        <v>44</v>
      </c>
      <c r="B45" s="67">
        <v>20249317</v>
      </c>
      <c r="C45" s="67" t="s">
        <v>116</v>
      </c>
      <c r="D45" s="67" t="s">
        <v>116</v>
      </c>
      <c r="E45" s="67" t="s">
        <v>281</v>
      </c>
      <c r="F45" s="67" t="s">
        <v>190</v>
      </c>
      <c r="G45" s="67" t="s">
        <v>3</v>
      </c>
      <c r="H45" s="67" t="s">
        <v>191</v>
      </c>
      <c r="I45" s="67" t="s">
        <v>192</v>
      </c>
      <c r="J45" s="67" t="s">
        <v>70</v>
      </c>
      <c r="K45" s="68">
        <v>45617</v>
      </c>
      <c r="L45" s="68">
        <v>45617</v>
      </c>
      <c r="M45" s="68">
        <v>45647</v>
      </c>
      <c r="N45" s="67" t="s">
        <v>211</v>
      </c>
      <c r="O45" s="68"/>
      <c r="P45" s="68"/>
      <c r="Q45" s="68"/>
      <c r="R45" s="68"/>
      <c r="S45" s="68"/>
      <c r="T45" s="68"/>
      <c r="U45" s="67"/>
      <c r="V45" s="67"/>
      <c r="W45" s="67"/>
      <c r="X45" s="67" t="s">
        <v>72</v>
      </c>
      <c r="Y45" s="67" t="s">
        <v>282</v>
      </c>
      <c r="Z45" s="67" t="s">
        <v>282</v>
      </c>
      <c r="AA45" s="67" t="s">
        <v>283</v>
      </c>
      <c r="AB45" s="67"/>
      <c r="AC45" s="67"/>
      <c r="AD45" s="67"/>
      <c r="AE45" s="67" t="s">
        <v>284</v>
      </c>
      <c r="AF45" s="67">
        <v>9291588656</v>
      </c>
      <c r="AG45" s="67" t="s">
        <v>285</v>
      </c>
      <c r="AH45" s="68" t="s">
        <v>123</v>
      </c>
      <c r="AI45" s="68">
        <v>45716</v>
      </c>
      <c r="AJ45" s="68">
        <v>45716</v>
      </c>
      <c r="AK45" s="67" t="s">
        <v>72</v>
      </c>
      <c r="AL45" s="67">
        <v>4550000</v>
      </c>
      <c r="AM45" s="68">
        <v>45729</v>
      </c>
      <c r="AN45" s="68">
        <v>45733</v>
      </c>
      <c r="AO45" s="68"/>
      <c r="AP45" s="68">
        <v>45734</v>
      </c>
      <c r="AQ45" s="68">
        <v>45734</v>
      </c>
      <c r="AR45" s="68"/>
      <c r="AS45" s="68">
        <v>45859</v>
      </c>
      <c r="AT45" s="67">
        <f t="shared" ca="1" si="6"/>
        <v>0</v>
      </c>
      <c r="AU45" s="79" t="str">
        <f t="shared" ca="1" si="7"/>
        <v/>
      </c>
      <c r="AV45" s="79" t="str" cm="1">
        <f t="array" aca="1" ref="AV45" ca="1">IFERROR(_xlfn.IFS($AU45="","",$AU45&lt;=15,"0-15",AND($AU45&gt;=16,$AU45&lt;=30),"16-30",AND($AU45&gt;=31,$AU45&lt;=45),"31-45",AND($AU45&gt;=46,$AU45&lt;=60),"46-60",AND($AU45&gt;=61,$AU45&lt;=90),"61-90",AND($AU45&gt;=91),"&gt; 90",AND($AU45&gt;=2000),""),"")</f>
        <v/>
      </c>
      <c r="AW45" s="79" cm="1">
        <f t="array" aca="1" ref="AW45" ca="1">IFERROR(_xlfn.IFS(OR($M45="",$AM45=""),"",OR($C45="Offered",$C45="Joined"),($AM45-$M45)-$AT45),"")</f>
        <v>82</v>
      </c>
      <c r="AX45" s="79" cm="1">
        <f t="array" aca="1" ref="AX45" ca="1">IFERROR(_xlfn.IFS(OR($M45="",$AS45=""),"",$C45="Joined",($AS45-$M45)-$AT45),"")</f>
        <v>212</v>
      </c>
      <c r="AY45" s="67" t="str">
        <f>IFERROR(IF(COUNTIFS('Candidate Tracker'!$E:$E,'Positions Tracker'!$B45,'Candidate Tracker'!$C:$C,"Offer Drop")=0,"",COUNTIFS('Candidate Tracker'!$E:$E,'Positions Tracker'!$B45,'Candidate Tracker'!$C:$C,"Offer Drop")),"")</f>
        <v/>
      </c>
      <c r="AZ45" s="80">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0.88111888111888115</v>
      </c>
      <c r="BA45" s="81" t="str">
        <f>IFERROR(IF(COUNTIFS('Candidate Tracker'!$E:$E,'Positions Tracker'!$B45,'Candidate Tracker'!$I:$I,"Female")=0,"",COUNTIFS('Candidate Tracker'!$E:$E,'Positions Tracker'!$B45,'Candidate Tracker'!$I:$I,"Female")),"")</f>
        <v/>
      </c>
      <c r="BB45" s="81">
        <f>IFERROR(IF(COUNTIFS('Candidate Tracker'!$E:$E,'Positions Tracker'!$B45,'Candidate Tracker'!$I:$I,"male")=0,"",COUNTIFS('Candidate Tracker'!$E:$E,'Positions Tracker'!$B45,'Candidate Tracker'!$I:$I,"male")),"")</f>
        <v>16</v>
      </c>
      <c r="BC45" s="80">
        <f>IFERROR(IF(COUNTIFS('Candidate Tracker'!$E:$E,'Positions Tracker'!$B45,'Candidate Tracker'!$C:$C,"&lt;&gt;WIP",'Candidate Tracker'!$C:$C,"&lt;&gt;Hold",'Candidate Tracker'!$C:$C,"&lt;&gt;Cancelled",'Candidate Tracker'!$C:$C,"&lt;&gt;Closed")/COUNTIFS('Candidate Tracker'!$E:$E,'Positions Tracker'!$B45)=0,"",COUNTIFS('Candidate Tracker'!$E:$E,'Positions Tracker'!$B45,'Candidate Tracker'!$C:$C,"&lt;&gt;WIP",'Candidate Tracker'!$C:$C,"&lt;&gt;Hold",'Candidate Tracker'!$C:$C,"&lt;&gt;Cancelled",'Candidate Tracker'!$C:$C,"&lt;&gt;Closed")/COUNTIFS('Candidate Tracker'!$E:$E,'Positions Tracker'!$B45)),"")</f>
        <v>6.25E-2</v>
      </c>
      <c r="BD45" s="67" t="str">
        <f t="shared" si="1"/>
        <v>Dec-24</v>
      </c>
      <c r="BE45" s="67" t="str">
        <f t="shared" si="2"/>
        <v>Feb-25</v>
      </c>
      <c r="BF45" s="67" t="str">
        <f t="shared" si="3"/>
        <v>Mar-25</v>
      </c>
      <c r="BG45" s="67" t="str">
        <f t="shared" si="4"/>
        <v>Jul-25</v>
      </c>
    </row>
    <row r="46" spans="1:59">
      <c r="A46" s="67">
        <f t="shared" si="5"/>
        <v>45</v>
      </c>
      <c r="B46" s="67">
        <v>20247894</v>
      </c>
      <c r="C46" s="67" t="s">
        <v>116</v>
      </c>
      <c r="D46" s="67" t="s">
        <v>116</v>
      </c>
      <c r="E46" s="67" t="s">
        <v>286</v>
      </c>
      <c r="F46" s="67" t="s">
        <v>287</v>
      </c>
      <c r="G46" s="67" t="s">
        <v>3</v>
      </c>
      <c r="H46" s="67" t="s">
        <v>288</v>
      </c>
      <c r="I46" s="67" t="s">
        <v>289</v>
      </c>
      <c r="J46" s="67" t="s">
        <v>70</v>
      </c>
      <c r="K46" s="68">
        <v>45639</v>
      </c>
      <c r="L46" s="68">
        <v>45639</v>
      </c>
      <c r="M46" s="68">
        <v>45639</v>
      </c>
      <c r="N46" s="67" t="s">
        <v>95</v>
      </c>
      <c r="O46" s="68"/>
      <c r="P46" s="68"/>
      <c r="Q46" s="68"/>
      <c r="R46" s="68"/>
      <c r="S46" s="68"/>
      <c r="T46" s="68"/>
      <c r="U46" s="67"/>
      <c r="V46" s="67"/>
      <c r="W46" s="67"/>
      <c r="X46" s="67" t="s">
        <v>72</v>
      </c>
      <c r="Y46" s="67" t="s">
        <v>144</v>
      </c>
      <c r="Z46" s="67" t="s">
        <v>144</v>
      </c>
      <c r="AA46" s="67" t="s">
        <v>290</v>
      </c>
      <c r="AB46" s="67"/>
      <c r="AC46" s="67"/>
      <c r="AD46" s="67"/>
      <c r="AE46" s="67" t="s">
        <v>291</v>
      </c>
      <c r="AF46" s="67" t="s">
        <v>292</v>
      </c>
      <c r="AG46" s="67" t="s">
        <v>293</v>
      </c>
      <c r="AH46" s="68" t="s">
        <v>123</v>
      </c>
      <c r="AI46" s="68">
        <v>45684</v>
      </c>
      <c r="AJ46" s="68">
        <v>45689</v>
      </c>
      <c r="AK46" s="67" t="s">
        <v>72</v>
      </c>
      <c r="AL46" s="67" t="s">
        <v>294</v>
      </c>
      <c r="AM46" s="68">
        <v>45689</v>
      </c>
      <c r="AN46" s="68">
        <v>45689</v>
      </c>
      <c r="AO46" s="68"/>
      <c r="AP46" s="68">
        <v>45693</v>
      </c>
      <c r="AQ46" s="68">
        <v>45693</v>
      </c>
      <c r="AR46" s="68"/>
      <c r="AS46" s="68">
        <v>45768</v>
      </c>
      <c r="AT46" s="67">
        <f t="shared" ca="1" si="6"/>
        <v>0</v>
      </c>
      <c r="AU46" s="79" t="str">
        <f t="shared" ca="1" si="7"/>
        <v/>
      </c>
      <c r="AV46" s="79" t="str" cm="1">
        <f t="array" aca="1" ref="AV46" ca="1">IFERROR(_xlfn.IFS($AU46="","",$AU46&lt;=15,"0-15",AND($AU46&gt;=16,$AU46&lt;=30),"16-30",AND($AU46&gt;=31,$AU46&lt;=45),"31-45",AND($AU46&gt;=46,$AU46&lt;=60),"46-60",AND($AU46&gt;=61,$AU46&lt;=90),"61-90",AND($AU46&gt;=91),"&gt; 90",AND($AU46&gt;=2000),""),"")</f>
        <v/>
      </c>
      <c r="AW46" s="79" cm="1">
        <f t="array" aca="1" ref="AW46" ca="1">IFERROR(_xlfn.IFS(OR($M46="",$AM46=""),"",OR($C46="Offered",$C46="Joined"),($AM46-$M46)-$AT46),"")</f>
        <v>50</v>
      </c>
      <c r="AX46" s="79" cm="1">
        <f t="array" aca="1" ref="AX46" ca="1">IFERROR(_xlfn.IFS(OR($M46="",$AS46=""),"",$C46="Joined",($AS46-$M46)-$AT46),"")</f>
        <v>129</v>
      </c>
      <c r="AY46" s="67" t="str">
        <f>IFERROR(IF(COUNTIFS('Candidate Tracker'!$E:$E,'Positions Tracker'!$B46,'Candidate Tracker'!$C:$C,"Offer Drop")=0,"",COUNTIFS('Candidate Tracker'!$E:$E,'Positions Tracker'!$B46,'Candidate Tracker'!$C:$C,"Offer Drop")),"")</f>
        <v/>
      </c>
      <c r="AZ46" s="80">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0.88111888111888115</v>
      </c>
      <c r="BA46" s="81" t="str">
        <f>IFERROR(IF(COUNTIFS('Candidate Tracker'!$E:$E,'Positions Tracker'!$B46,'Candidate Tracker'!$I:$I,"Female")=0,"",COUNTIFS('Candidate Tracker'!$E:$E,'Positions Tracker'!$B46,'Candidate Tracker'!$I:$I,"Female")),"")</f>
        <v/>
      </c>
      <c r="BB46" s="81">
        <f>IFERROR(IF(COUNTIFS('Candidate Tracker'!$E:$E,'Positions Tracker'!$B46,'Candidate Tracker'!$I:$I,"male")=0,"",COUNTIFS('Candidate Tracker'!$E:$E,'Positions Tracker'!$B46,'Candidate Tracker'!$I:$I,"male")),"")</f>
        <v>1</v>
      </c>
      <c r="BC46" s="80">
        <f>IFERROR(IF(COUNTIFS('Candidate Tracker'!$E:$E,'Positions Tracker'!$B46,'Candidate Tracker'!$C:$C,"&lt;&gt;WIP",'Candidate Tracker'!$C:$C,"&lt;&gt;Hold",'Candidate Tracker'!$C:$C,"&lt;&gt;Cancelled",'Candidate Tracker'!$C:$C,"&lt;&gt;Closed")/COUNTIFS('Candidate Tracker'!$E:$E,'Positions Tracker'!$B46)=0,"",COUNTIFS('Candidate Tracker'!$E:$E,'Positions Tracker'!$B46,'Candidate Tracker'!$C:$C,"&lt;&gt;WIP",'Candidate Tracker'!$C:$C,"&lt;&gt;Hold",'Candidate Tracker'!$C:$C,"&lt;&gt;Cancelled",'Candidate Tracker'!$C:$C,"&lt;&gt;Closed")/COUNTIFS('Candidate Tracker'!$E:$E,'Positions Tracker'!$B46)),"")</f>
        <v>1</v>
      </c>
      <c r="BD46" s="67" t="str">
        <f t="shared" si="1"/>
        <v>Dec-24</v>
      </c>
      <c r="BE46" s="67" t="str">
        <f t="shared" si="2"/>
        <v>Jan-25</v>
      </c>
      <c r="BF46" s="67" t="str">
        <f t="shared" si="3"/>
        <v>Feb-25</v>
      </c>
      <c r="BG46" s="67" t="str">
        <f t="shared" si="4"/>
        <v>Apr-25</v>
      </c>
    </row>
    <row r="47" spans="1:59">
      <c r="A47" s="67">
        <f t="shared" si="5"/>
        <v>46</v>
      </c>
      <c r="B47" s="67">
        <v>20247973</v>
      </c>
      <c r="C47" s="67" t="s">
        <v>64</v>
      </c>
      <c r="D47" s="67" t="s">
        <v>65</v>
      </c>
      <c r="E47" s="67" t="s">
        <v>286</v>
      </c>
      <c r="F47" s="67" t="s">
        <v>287</v>
      </c>
      <c r="G47" s="67" t="s">
        <v>3</v>
      </c>
      <c r="H47" s="67" t="s">
        <v>288</v>
      </c>
      <c r="I47" s="67" t="s">
        <v>289</v>
      </c>
      <c r="J47" s="67" t="s">
        <v>70</v>
      </c>
      <c r="K47" s="68">
        <v>45639</v>
      </c>
      <c r="L47" s="68">
        <v>45639</v>
      </c>
      <c r="M47" s="68">
        <v>45639</v>
      </c>
      <c r="N47" s="67" t="s">
        <v>95</v>
      </c>
      <c r="O47" s="68"/>
      <c r="P47" s="68"/>
      <c r="Q47" s="68"/>
      <c r="R47" s="68"/>
      <c r="S47" s="68"/>
      <c r="T47" s="68"/>
      <c r="U47" s="67"/>
      <c r="V47" s="67"/>
      <c r="W47" s="67"/>
      <c r="X47" s="67" t="s">
        <v>72</v>
      </c>
      <c r="Y47" s="67" t="s">
        <v>282</v>
      </c>
      <c r="Z47" s="67" t="s">
        <v>282</v>
      </c>
      <c r="AA47" s="67" t="s">
        <v>295</v>
      </c>
      <c r="AB47" s="67"/>
      <c r="AC47" s="67"/>
      <c r="AD47" s="67"/>
      <c r="AE47" s="67" t="s">
        <v>296</v>
      </c>
      <c r="AF47" s="67">
        <v>8488997632</v>
      </c>
      <c r="AG47" s="67" t="s">
        <v>297</v>
      </c>
      <c r="AH47" s="68" t="s">
        <v>123</v>
      </c>
      <c r="AI47" s="68">
        <v>45677</v>
      </c>
      <c r="AJ47" s="68">
        <v>45686</v>
      </c>
      <c r="AK47" s="67" t="s">
        <v>72</v>
      </c>
      <c r="AL47" s="67" t="s">
        <v>298</v>
      </c>
      <c r="AM47" s="68">
        <v>45686</v>
      </c>
      <c r="AN47" s="68">
        <v>45686</v>
      </c>
      <c r="AO47" s="68"/>
      <c r="AP47" s="68">
        <v>45690</v>
      </c>
      <c r="AQ47" s="68">
        <v>45690</v>
      </c>
      <c r="AR47" s="68"/>
      <c r="AS47" s="68">
        <v>45782</v>
      </c>
      <c r="AT47" s="67">
        <f t="shared" ca="1" si="6"/>
        <v>0</v>
      </c>
      <c r="AU47" s="79" t="str">
        <f t="shared" ca="1" si="7"/>
        <v/>
      </c>
      <c r="AV47" s="79" t="str" cm="1">
        <f t="array" aca="1" ref="AV47" ca="1">IFERROR(_xlfn.IFS($AU47="","",$AU47&lt;=15,"0-15",AND($AU47&gt;=16,$AU47&lt;=30),"16-30",AND($AU47&gt;=31,$AU47&lt;=45),"31-45",AND($AU47&gt;=46,$AU47&lt;=60),"46-60",AND($AU47&gt;=61,$AU47&lt;=90),"61-90",AND($AU47&gt;=91),"&gt; 90",AND($AU47&gt;=2000),""),"")</f>
        <v/>
      </c>
      <c r="AW47" s="79" t="str" cm="1">
        <f t="array" aca="1" ref="AW47" ca="1">IFERROR(_xlfn.IFS(OR($M47="",$AM47=""),"",OR($C47="Offered",$C47="Joined"),($AM47-$M47)-$AT47),"")</f>
        <v/>
      </c>
      <c r="AX47" s="79" t="str" cm="1">
        <f t="array" aca="1" ref="AX47" ca="1">IFERROR(_xlfn.IFS(OR($M47="",$AS47=""),"",$C47="Joined",($AS47-$M47)-$AT47),"")</f>
        <v/>
      </c>
      <c r="AY47" s="67" t="str">
        <f>IFERROR(IF(COUNTIFS('Candidate Tracker'!$E:$E,'Positions Tracker'!$B47,'Candidate Tracker'!$C:$C,"Offer Drop")=0,"",COUNTIFS('Candidate Tracker'!$E:$E,'Positions Tracker'!$B47,'Candidate Tracker'!$C:$C,"Offer Drop")),"")</f>
        <v/>
      </c>
      <c r="AZ47" s="80">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0.88111888111888115</v>
      </c>
      <c r="BA47" s="81" t="str">
        <f>IFERROR(IF(COUNTIFS('Candidate Tracker'!$E:$E,'Positions Tracker'!$B47,'Candidate Tracker'!$I:$I,"Female")=0,"",COUNTIFS('Candidate Tracker'!$E:$E,'Positions Tracker'!$B47,'Candidate Tracker'!$I:$I,"Female")),"")</f>
        <v/>
      </c>
      <c r="BB47" s="81">
        <f>IFERROR(IF(COUNTIFS('Candidate Tracker'!$E:$E,'Positions Tracker'!$B47,'Candidate Tracker'!$I:$I,"male")=0,"",COUNTIFS('Candidate Tracker'!$E:$E,'Positions Tracker'!$B47,'Candidate Tracker'!$I:$I,"male")),"")</f>
        <v>4</v>
      </c>
      <c r="BC47" s="80">
        <f>IFERROR(IF(COUNTIFS('Candidate Tracker'!$E:$E,'Positions Tracker'!$B47,'Candidate Tracker'!$C:$C,"&lt;&gt;WIP",'Candidate Tracker'!$C:$C,"&lt;&gt;Hold",'Candidate Tracker'!$C:$C,"&lt;&gt;Cancelled",'Candidate Tracker'!$C:$C,"&lt;&gt;Closed")/COUNTIFS('Candidate Tracker'!$E:$E,'Positions Tracker'!$B47)=0,"",COUNTIFS('Candidate Tracker'!$E:$E,'Positions Tracker'!$B47,'Candidate Tracker'!$C:$C,"&lt;&gt;WIP",'Candidate Tracker'!$C:$C,"&lt;&gt;Hold",'Candidate Tracker'!$C:$C,"&lt;&gt;Cancelled",'Candidate Tracker'!$C:$C,"&lt;&gt;Closed")/COUNTIFS('Candidate Tracker'!$E:$E,'Positions Tracker'!$B47)),"")</f>
        <v>0.25</v>
      </c>
      <c r="BD47" s="67" t="str">
        <f t="shared" si="1"/>
        <v>Dec-24</v>
      </c>
      <c r="BE47" s="67" t="str">
        <f t="shared" si="2"/>
        <v>Jan-25</v>
      </c>
      <c r="BF47" s="67" t="str">
        <f t="shared" si="3"/>
        <v>Jan-25</v>
      </c>
      <c r="BG47" s="67" t="str">
        <f t="shared" si="4"/>
        <v>May-25</v>
      </c>
    </row>
    <row r="48" spans="1:59">
      <c r="A48" s="67">
        <f t="shared" si="5"/>
        <v>47</v>
      </c>
      <c r="B48" s="67">
        <v>20247804</v>
      </c>
      <c r="C48" s="67" t="s">
        <v>116</v>
      </c>
      <c r="D48" s="67" t="s">
        <v>116</v>
      </c>
      <c r="E48" s="67" t="s">
        <v>286</v>
      </c>
      <c r="F48" s="67" t="s">
        <v>287</v>
      </c>
      <c r="G48" s="67" t="s">
        <v>3</v>
      </c>
      <c r="H48" s="67" t="s">
        <v>288</v>
      </c>
      <c r="I48" s="67" t="s">
        <v>289</v>
      </c>
      <c r="J48" s="67" t="s">
        <v>70</v>
      </c>
      <c r="K48" s="68">
        <v>45639</v>
      </c>
      <c r="L48" s="68">
        <v>45639</v>
      </c>
      <c r="M48" s="68">
        <v>45639</v>
      </c>
      <c r="N48" s="67" t="s">
        <v>95</v>
      </c>
      <c r="O48" s="68"/>
      <c r="P48" s="68"/>
      <c r="Q48" s="68"/>
      <c r="R48" s="68"/>
      <c r="S48" s="68"/>
      <c r="T48" s="68"/>
      <c r="U48" s="67"/>
      <c r="V48" s="67"/>
      <c r="W48" s="67"/>
      <c r="X48" s="67" t="s">
        <v>72</v>
      </c>
      <c r="Y48" s="67" t="s">
        <v>144</v>
      </c>
      <c r="Z48" s="67" t="s">
        <v>144</v>
      </c>
      <c r="AA48" s="67" t="s">
        <v>299</v>
      </c>
      <c r="AB48" s="67"/>
      <c r="AC48" s="67"/>
      <c r="AD48" s="67"/>
      <c r="AE48" s="67" t="s">
        <v>300</v>
      </c>
      <c r="AF48" s="67" t="s">
        <v>301</v>
      </c>
      <c r="AG48" s="67" t="s">
        <v>302</v>
      </c>
      <c r="AH48" s="68" t="s">
        <v>123</v>
      </c>
      <c r="AI48" s="68">
        <v>45687</v>
      </c>
      <c r="AJ48" s="68">
        <v>45698</v>
      </c>
      <c r="AK48" s="67" t="s">
        <v>72</v>
      </c>
      <c r="AL48" s="67" t="s">
        <v>303</v>
      </c>
      <c r="AM48" s="68">
        <v>45698</v>
      </c>
      <c r="AN48" s="68">
        <v>45698</v>
      </c>
      <c r="AO48" s="68"/>
      <c r="AP48" s="68">
        <v>45701</v>
      </c>
      <c r="AQ48" s="68">
        <v>45701</v>
      </c>
      <c r="AR48" s="68"/>
      <c r="AS48" s="68">
        <v>45796</v>
      </c>
      <c r="AT48" s="67">
        <f t="shared" ca="1" si="6"/>
        <v>0</v>
      </c>
      <c r="AU48" s="79" t="str">
        <f t="shared" ca="1" si="7"/>
        <v/>
      </c>
      <c r="AV48" s="79" t="str" cm="1">
        <f t="array" aca="1" ref="AV48" ca="1">IFERROR(_xlfn.IFS($AU48="","",$AU48&lt;=15,"0-15",AND($AU48&gt;=16,$AU48&lt;=30),"16-30",AND($AU48&gt;=31,$AU48&lt;=45),"31-45",AND($AU48&gt;=46,$AU48&lt;=60),"46-60",AND($AU48&gt;=61,$AU48&lt;=90),"61-90",AND($AU48&gt;=91),"&gt; 90",AND($AU48&gt;=2000),""),"")</f>
        <v/>
      </c>
      <c r="AW48" s="79" cm="1">
        <f t="array" aca="1" ref="AW48" ca="1">IFERROR(_xlfn.IFS(OR($M48="",$AM48=""),"",OR($C48="Offered",$C48="Joined"),($AM48-$M48)-$AT48),"")</f>
        <v>59</v>
      </c>
      <c r="AX48" s="79" cm="1">
        <f t="array" aca="1" ref="AX48" ca="1">IFERROR(_xlfn.IFS(OR($M48="",$AS48=""),"",$C48="Joined",($AS48-$M48)-$AT48),"")</f>
        <v>157</v>
      </c>
      <c r="AY48" s="67" t="str">
        <f>IFERROR(IF(COUNTIFS('Candidate Tracker'!$E:$E,'Positions Tracker'!$B48,'Candidate Tracker'!$C:$C,"Offer Drop")=0,"",COUNTIFS('Candidate Tracker'!$E:$E,'Positions Tracker'!$B48,'Candidate Tracker'!$C:$C,"Offer Drop")),"")</f>
        <v/>
      </c>
      <c r="AZ48" s="80">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0.88111888111888115</v>
      </c>
      <c r="BA48" s="81" t="str">
        <f>IFERROR(IF(COUNTIFS('Candidate Tracker'!$E:$E,'Positions Tracker'!$B48,'Candidate Tracker'!$I:$I,"Female")=0,"",COUNTIFS('Candidate Tracker'!$E:$E,'Positions Tracker'!$B48,'Candidate Tracker'!$I:$I,"Female")),"")</f>
        <v/>
      </c>
      <c r="BB48" s="81">
        <f>IFERROR(IF(COUNTIFS('Candidate Tracker'!$E:$E,'Positions Tracker'!$B48,'Candidate Tracker'!$I:$I,"male")=0,"",COUNTIFS('Candidate Tracker'!$E:$E,'Positions Tracker'!$B48,'Candidate Tracker'!$I:$I,"male")),"")</f>
        <v>4</v>
      </c>
      <c r="BC48" s="80">
        <f>IFERROR(IF(COUNTIFS('Candidate Tracker'!$E:$E,'Positions Tracker'!$B48,'Candidate Tracker'!$C:$C,"&lt;&gt;WIP",'Candidate Tracker'!$C:$C,"&lt;&gt;Hold",'Candidate Tracker'!$C:$C,"&lt;&gt;Cancelled",'Candidate Tracker'!$C:$C,"&lt;&gt;Closed")/COUNTIFS('Candidate Tracker'!$E:$E,'Positions Tracker'!$B48)=0,"",COUNTIFS('Candidate Tracker'!$E:$E,'Positions Tracker'!$B48,'Candidate Tracker'!$C:$C,"&lt;&gt;WIP",'Candidate Tracker'!$C:$C,"&lt;&gt;Hold",'Candidate Tracker'!$C:$C,"&lt;&gt;Cancelled",'Candidate Tracker'!$C:$C,"&lt;&gt;Closed")/COUNTIFS('Candidate Tracker'!$E:$E,'Positions Tracker'!$B48)),"")</f>
        <v>0.25</v>
      </c>
      <c r="BD48" s="67" t="str">
        <f t="shared" si="1"/>
        <v>Dec-24</v>
      </c>
      <c r="BE48" s="67" t="str">
        <f t="shared" si="2"/>
        <v>Jan-25</v>
      </c>
      <c r="BF48" s="67" t="str">
        <f t="shared" si="3"/>
        <v>Feb-25</v>
      </c>
      <c r="BG48" s="67" t="str">
        <f t="shared" si="4"/>
        <v>May-25</v>
      </c>
    </row>
    <row r="49" spans="1:59">
      <c r="A49" s="67">
        <f t="shared" si="5"/>
        <v>48</v>
      </c>
      <c r="B49" s="67">
        <v>20251843</v>
      </c>
      <c r="C49" s="67" t="s">
        <v>116</v>
      </c>
      <c r="D49" s="67" t="s">
        <v>116</v>
      </c>
      <c r="E49" s="67" t="s">
        <v>304</v>
      </c>
      <c r="F49" s="67" t="s">
        <v>305</v>
      </c>
      <c r="G49" s="67" t="s">
        <v>3</v>
      </c>
      <c r="H49" s="67" t="s">
        <v>191</v>
      </c>
      <c r="I49" s="67" t="s">
        <v>306</v>
      </c>
      <c r="J49" s="67" t="s">
        <v>70</v>
      </c>
      <c r="K49" s="68">
        <v>45637</v>
      </c>
      <c r="L49" s="68">
        <v>45637</v>
      </c>
      <c r="M49" s="68">
        <v>45637</v>
      </c>
      <c r="N49" s="67" t="s">
        <v>82</v>
      </c>
      <c r="O49" s="68"/>
      <c r="P49" s="68"/>
      <c r="Q49" s="68"/>
      <c r="R49" s="68"/>
      <c r="S49" s="68"/>
      <c r="T49" s="68"/>
      <c r="U49" s="67"/>
      <c r="V49" s="67"/>
      <c r="W49" s="67"/>
      <c r="X49" s="67" t="s">
        <v>72</v>
      </c>
      <c r="Y49" s="67" t="s">
        <v>144</v>
      </c>
      <c r="Z49" s="67" t="s">
        <v>144</v>
      </c>
      <c r="AA49" s="67" t="s">
        <v>307</v>
      </c>
      <c r="AB49" s="67"/>
      <c r="AC49" s="67"/>
      <c r="AD49" s="67"/>
      <c r="AE49" s="67" t="s">
        <v>308</v>
      </c>
      <c r="AF49" s="67">
        <v>8669030508</v>
      </c>
      <c r="AG49" s="67" t="s">
        <v>309</v>
      </c>
      <c r="AH49" s="68" t="s">
        <v>123</v>
      </c>
      <c r="AI49" s="68">
        <v>45670</v>
      </c>
      <c r="AJ49" s="68">
        <v>45673</v>
      </c>
      <c r="AK49" s="67" t="s">
        <v>72</v>
      </c>
      <c r="AL49" s="67" t="s">
        <v>310</v>
      </c>
      <c r="AM49" s="68">
        <v>45673</v>
      </c>
      <c r="AN49" s="68">
        <v>45673</v>
      </c>
      <c r="AO49" s="68"/>
      <c r="AP49" s="68">
        <v>45674</v>
      </c>
      <c r="AQ49" s="68">
        <v>45674</v>
      </c>
      <c r="AR49" s="68"/>
      <c r="AS49" s="68">
        <v>45768</v>
      </c>
      <c r="AT49" s="67">
        <f t="shared" ca="1" si="6"/>
        <v>0</v>
      </c>
      <c r="AU49" s="79" t="str">
        <f t="shared" ca="1" si="7"/>
        <v/>
      </c>
      <c r="AV49" s="79" t="str" cm="1">
        <f t="array" aca="1" ref="AV49" ca="1">IFERROR(_xlfn.IFS($AU49="","",$AU49&lt;=15,"0-15",AND($AU49&gt;=16,$AU49&lt;=30),"16-30",AND($AU49&gt;=31,$AU49&lt;=45),"31-45",AND($AU49&gt;=46,$AU49&lt;=60),"46-60",AND($AU49&gt;=61,$AU49&lt;=90),"61-90",AND($AU49&gt;=91),"&gt; 90",AND($AU49&gt;=2000),""),"")</f>
        <v/>
      </c>
      <c r="AW49" s="79" cm="1">
        <f t="array" aca="1" ref="AW49" ca="1">IFERROR(_xlfn.IFS(OR($M49="",$AM49=""),"",OR($C49="Offered",$C49="Joined"),($AM49-$M49)-$AT49),"")</f>
        <v>36</v>
      </c>
      <c r="AX49" s="79" cm="1">
        <f t="array" aca="1" ref="AX49" ca="1">IFERROR(_xlfn.IFS(OR($M49="",$AS49=""),"",$C49="Joined",($AS49-$M49)-$AT49),"")</f>
        <v>131</v>
      </c>
      <c r="AY49" s="67" t="str">
        <f>IFERROR(IF(COUNTIFS('Candidate Tracker'!$E:$E,'Positions Tracker'!$B49,'Candidate Tracker'!$C:$C,"Offer Drop")=0,"",COUNTIFS('Candidate Tracker'!$E:$E,'Positions Tracker'!$B49,'Candidate Tracker'!$C:$C,"Offer Drop")),"")</f>
        <v/>
      </c>
      <c r="AZ49" s="80">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0.88111888111888115</v>
      </c>
      <c r="BA49" s="81" t="str">
        <f>IFERROR(IF(COUNTIFS('Candidate Tracker'!$E:$E,'Positions Tracker'!$B49,'Candidate Tracker'!$I:$I,"Female")=0,"",COUNTIFS('Candidate Tracker'!$E:$E,'Positions Tracker'!$B49,'Candidate Tracker'!$I:$I,"Female")),"")</f>
        <v/>
      </c>
      <c r="BB49" s="81">
        <f>IFERROR(IF(COUNTIFS('Candidate Tracker'!$E:$E,'Positions Tracker'!$B49,'Candidate Tracker'!$I:$I,"male")=0,"",COUNTIFS('Candidate Tracker'!$E:$E,'Positions Tracker'!$B49,'Candidate Tracker'!$I:$I,"male")),"")</f>
        <v>8</v>
      </c>
      <c r="BC49" s="80">
        <f>IFERROR(IF(COUNTIFS('Candidate Tracker'!$E:$E,'Positions Tracker'!$B49,'Candidate Tracker'!$C:$C,"&lt;&gt;WIP",'Candidate Tracker'!$C:$C,"&lt;&gt;Hold",'Candidate Tracker'!$C:$C,"&lt;&gt;Cancelled",'Candidate Tracker'!$C:$C,"&lt;&gt;Closed")/COUNTIFS('Candidate Tracker'!$E:$E,'Positions Tracker'!$B49)=0,"",COUNTIFS('Candidate Tracker'!$E:$E,'Positions Tracker'!$B49,'Candidate Tracker'!$C:$C,"&lt;&gt;WIP",'Candidate Tracker'!$C:$C,"&lt;&gt;Hold",'Candidate Tracker'!$C:$C,"&lt;&gt;Cancelled",'Candidate Tracker'!$C:$C,"&lt;&gt;Closed")/COUNTIFS('Candidate Tracker'!$E:$E,'Positions Tracker'!$B49)),"")</f>
        <v>0.125</v>
      </c>
      <c r="BD49" s="67" t="str">
        <f t="shared" si="1"/>
        <v>Dec-24</v>
      </c>
      <c r="BE49" s="67" t="str">
        <f t="shared" si="2"/>
        <v>Jan-25</v>
      </c>
      <c r="BF49" s="67" t="str">
        <f t="shared" si="3"/>
        <v>Jan-25</v>
      </c>
      <c r="BG49" s="67" t="str">
        <f t="shared" si="4"/>
        <v>Apr-25</v>
      </c>
    </row>
    <row r="50" spans="1:59">
      <c r="A50" s="67">
        <f t="shared" si="5"/>
        <v>49</v>
      </c>
      <c r="B50" s="67">
        <v>20251215</v>
      </c>
      <c r="C50" s="67" t="s">
        <v>116</v>
      </c>
      <c r="D50" s="67" t="s">
        <v>116</v>
      </c>
      <c r="E50" s="67" t="s">
        <v>311</v>
      </c>
      <c r="F50" s="67" t="s">
        <v>312</v>
      </c>
      <c r="G50" s="67" t="s">
        <v>3</v>
      </c>
      <c r="H50" s="67" t="s">
        <v>68</v>
      </c>
      <c r="I50" s="67" t="s">
        <v>313</v>
      </c>
      <c r="J50" s="67" t="s">
        <v>70</v>
      </c>
      <c r="K50" s="68">
        <v>45644</v>
      </c>
      <c r="L50" s="68">
        <v>45644</v>
      </c>
      <c r="M50" s="68">
        <v>45664</v>
      </c>
      <c r="N50" s="67" t="s">
        <v>71</v>
      </c>
      <c r="O50" s="68"/>
      <c r="P50" s="68"/>
      <c r="Q50" s="68"/>
      <c r="R50" s="68"/>
      <c r="S50" s="68"/>
      <c r="T50" s="68"/>
      <c r="U50" s="67"/>
      <c r="V50" s="67"/>
      <c r="W50" s="67"/>
      <c r="X50" s="67" t="s">
        <v>72</v>
      </c>
      <c r="Y50" s="67" t="s">
        <v>144</v>
      </c>
      <c r="Z50" s="67" t="s">
        <v>144</v>
      </c>
      <c r="AA50" s="67" t="s">
        <v>314</v>
      </c>
      <c r="AB50" s="67"/>
      <c r="AC50" s="67"/>
      <c r="AD50" s="67"/>
      <c r="AE50" s="67" t="s">
        <v>315</v>
      </c>
      <c r="AF50" s="67">
        <v>8329844440</v>
      </c>
      <c r="AG50" s="67" t="s">
        <v>316</v>
      </c>
      <c r="AH50" s="68" t="s">
        <v>123</v>
      </c>
      <c r="AI50" s="68">
        <v>45691</v>
      </c>
      <c r="AJ50" s="68">
        <v>45702</v>
      </c>
      <c r="AK50" s="67" t="s">
        <v>72</v>
      </c>
      <c r="AL50" s="67" t="s">
        <v>317</v>
      </c>
      <c r="AM50" s="68">
        <v>45702</v>
      </c>
      <c r="AN50" s="68">
        <v>45702</v>
      </c>
      <c r="AO50" s="68"/>
      <c r="AP50" s="68">
        <v>45704</v>
      </c>
      <c r="AQ50" s="68">
        <v>45704</v>
      </c>
      <c r="AR50" s="68"/>
      <c r="AS50" s="68">
        <v>45789</v>
      </c>
      <c r="AT50" s="67">
        <f t="shared" ca="1" si="6"/>
        <v>0</v>
      </c>
      <c r="AU50" s="79" t="str">
        <f t="shared" ca="1" si="7"/>
        <v/>
      </c>
      <c r="AV50" s="79" t="str" cm="1">
        <f t="array" aca="1" ref="AV50" ca="1">IFERROR(_xlfn.IFS($AU50="","",$AU50&lt;=15,"0-15",AND($AU50&gt;=16,$AU50&lt;=30),"16-30",AND($AU50&gt;=31,$AU50&lt;=45),"31-45",AND($AU50&gt;=46,$AU50&lt;=60),"46-60",AND($AU50&gt;=61,$AU50&lt;=90),"61-90",AND($AU50&gt;=91),"&gt; 90",AND($AU50&gt;=2000),""),"")</f>
        <v/>
      </c>
      <c r="AW50" s="79" cm="1">
        <f t="array" aca="1" ref="AW50" ca="1">IFERROR(_xlfn.IFS(OR($M50="",$AM50=""),"",OR($C50="Offered",$C50="Joined"),($AM50-$M50)-$AT50),"")</f>
        <v>38</v>
      </c>
      <c r="AX50" s="79" cm="1">
        <f t="array" aca="1" ref="AX50" ca="1">IFERROR(_xlfn.IFS(OR($M50="",$AS50=""),"",$C50="Joined",($AS50-$M50)-$AT50),"")</f>
        <v>125</v>
      </c>
      <c r="AY50" s="67" t="str">
        <f>IFERROR(IF(COUNTIFS('Candidate Tracker'!$E:$E,'Positions Tracker'!$B50,'Candidate Tracker'!$C:$C,"Offer Drop")=0,"",COUNTIFS('Candidate Tracker'!$E:$E,'Positions Tracker'!$B50,'Candidate Tracker'!$C:$C,"Offer Drop")),"")</f>
        <v/>
      </c>
      <c r="AZ50" s="80">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0.88111888111888115</v>
      </c>
      <c r="BA50" s="81" t="str">
        <f>IFERROR(IF(COUNTIFS('Candidate Tracker'!$E:$E,'Positions Tracker'!$B50,'Candidate Tracker'!$I:$I,"Female")=0,"",COUNTIFS('Candidate Tracker'!$E:$E,'Positions Tracker'!$B50,'Candidate Tracker'!$I:$I,"Female")),"")</f>
        <v/>
      </c>
      <c r="BB50" s="81">
        <f>IFERROR(IF(COUNTIFS('Candidate Tracker'!$E:$E,'Positions Tracker'!$B50,'Candidate Tracker'!$I:$I,"male")=0,"",COUNTIFS('Candidate Tracker'!$E:$E,'Positions Tracker'!$B50,'Candidate Tracker'!$I:$I,"male")),"")</f>
        <v>16</v>
      </c>
      <c r="BC50" s="80">
        <f>IFERROR(IF(COUNTIFS('Candidate Tracker'!$E:$E,'Positions Tracker'!$B50,'Candidate Tracker'!$C:$C,"&lt;&gt;WIP",'Candidate Tracker'!$C:$C,"&lt;&gt;Hold",'Candidate Tracker'!$C:$C,"&lt;&gt;Cancelled",'Candidate Tracker'!$C:$C,"&lt;&gt;Closed")/COUNTIFS('Candidate Tracker'!$E:$E,'Positions Tracker'!$B50)=0,"",COUNTIFS('Candidate Tracker'!$E:$E,'Positions Tracker'!$B50,'Candidate Tracker'!$C:$C,"&lt;&gt;WIP",'Candidate Tracker'!$C:$C,"&lt;&gt;Hold",'Candidate Tracker'!$C:$C,"&lt;&gt;Cancelled",'Candidate Tracker'!$C:$C,"&lt;&gt;Closed")/COUNTIFS('Candidate Tracker'!$E:$E,'Positions Tracker'!$B50)),"")</f>
        <v>0.125</v>
      </c>
      <c r="BD50" s="67" t="str">
        <f t="shared" si="1"/>
        <v>Jan-25</v>
      </c>
      <c r="BE50" s="67" t="str">
        <f t="shared" si="2"/>
        <v>Feb-25</v>
      </c>
      <c r="BF50" s="67" t="str">
        <f t="shared" si="3"/>
        <v>Feb-25</v>
      </c>
      <c r="BG50" s="67" t="str">
        <f t="shared" si="4"/>
        <v>May-25</v>
      </c>
    </row>
    <row r="51" spans="1:59">
      <c r="A51" s="67">
        <f t="shared" si="5"/>
        <v>50</v>
      </c>
      <c r="B51" s="67">
        <v>20252712</v>
      </c>
      <c r="C51" s="67" t="s">
        <v>116</v>
      </c>
      <c r="D51" s="67" t="s">
        <v>116</v>
      </c>
      <c r="E51" s="67" t="s">
        <v>318</v>
      </c>
      <c r="F51" s="67" t="s">
        <v>312</v>
      </c>
      <c r="G51" s="67" t="s">
        <v>3</v>
      </c>
      <c r="H51" s="67" t="s">
        <v>68</v>
      </c>
      <c r="I51" s="67" t="s">
        <v>313</v>
      </c>
      <c r="J51" s="67" t="s">
        <v>70</v>
      </c>
      <c r="K51" s="68">
        <v>45644</v>
      </c>
      <c r="L51" s="68">
        <v>45644</v>
      </c>
      <c r="M51" s="68">
        <v>45664</v>
      </c>
      <c r="N51" s="67" t="s">
        <v>162</v>
      </c>
      <c r="O51" s="68"/>
      <c r="P51" s="68"/>
      <c r="Q51" s="68"/>
      <c r="R51" s="68"/>
      <c r="S51" s="68"/>
      <c r="T51" s="68"/>
      <c r="U51" s="67"/>
      <c r="V51" s="67"/>
      <c r="W51" s="67"/>
      <c r="X51" s="67" t="s">
        <v>72</v>
      </c>
      <c r="Y51" s="67" t="s">
        <v>144</v>
      </c>
      <c r="Z51" s="67" t="s">
        <v>144</v>
      </c>
      <c r="AA51" s="67" t="s">
        <v>319</v>
      </c>
      <c r="AB51" s="67"/>
      <c r="AC51" s="67"/>
      <c r="AD51" s="67"/>
      <c r="AE51" s="67" t="s">
        <v>320</v>
      </c>
      <c r="AF51" s="67">
        <v>7972959010</v>
      </c>
      <c r="AG51" s="67" t="s">
        <v>321</v>
      </c>
      <c r="AH51" s="68" t="s">
        <v>123</v>
      </c>
      <c r="AI51" s="68">
        <v>45709</v>
      </c>
      <c r="AJ51" s="68">
        <v>45712</v>
      </c>
      <c r="AK51" s="67" t="s">
        <v>72</v>
      </c>
      <c r="AL51" s="67" t="s">
        <v>322</v>
      </c>
      <c r="AM51" s="68">
        <v>45712</v>
      </c>
      <c r="AN51" s="68">
        <v>45712</v>
      </c>
      <c r="AO51" s="68"/>
      <c r="AP51" s="68">
        <v>45714</v>
      </c>
      <c r="AQ51" s="68">
        <v>45714</v>
      </c>
      <c r="AR51" s="68"/>
      <c r="AS51" s="68">
        <v>45775</v>
      </c>
      <c r="AT51" s="67">
        <f t="shared" ca="1" si="6"/>
        <v>0</v>
      </c>
      <c r="AU51" s="79" t="str">
        <f t="shared" ca="1" si="7"/>
        <v/>
      </c>
      <c r="AV51" s="79" t="str" cm="1">
        <f t="array" aca="1" ref="AV51" ca="1">IFERROR(_xlfn.IFS($AU51="","",$AU51&lt;=15,"0-15",AND($AU51&gt;=16,$AU51&lt;=30),"16-30",AND($AU51&gt;=31,$AU51&lt;=45),"31-45",AND($AU51&gt;=46,$AU51&lt;=60),"46-60",AND($AU51&gt;=61,$AU51&lt;=90),"61-90",AND($AU51&gt;=91),"&gt; 90",AND($AU51&gt;=2000),""),"")</f>
        <v/>
      </c>
      <c r="AW51" s="79" cm="1">
        <f t="array" aca="1" ref="AW51" ca="1">IFERROR(_xlfn.IFS(OR($M51="",$AM51=""),"",OR($C51="Offered",$C51="Joined"),($AM51-$M51)-$AT51),"")</f>
        <v>48</v>
      </c>
      <c r="AX51" s="79" cm="1">
        <f t="array" aca="1" ref="AX51" ca="1">IFERROR(_xlfn.IFS(OR($M51="",$AS51=""),"",$C51="Joined",($AS51-$M51)-$AT51),"")</f>
        <v>111</v>
      </c>
      <c r="AY51" s="67" t="str">
        <f>IFERROR(IF(COUNTIFS('Candidate Tracker'!$E:$E,'Positions Tracker'!$B51,'Candidate Tracker'!$C:$C,"Offer Drop")=0,"",COUNTIFS('Candidate Tracker'!$E:$E,'Positions Tracker'!$B51,'Candidate Tracker'!$C:$C,"Offer Drop")),"")</f>
        <v/>
      </c>
      <c r="AZ51" s="80">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0.88111888111888115</v>
      </c>
      <c r="BA51" s="81" t="str">
        <f>IFERROR(IF(COUNTIFS('Candidate Tracker'!$E:$E,'Positions Tracker'!$B51,'Candidate Tracker'!$I:$I,"Female")=0,"",COUNTIFS('Candidate Tracker'!$E:$E,'Positions Tracker'!$B51,'Candidate Tracker'!$I:$I,"Female")),"")</f>
        <v/>
      </c>
      <c r="BB51" s="81" t="str">
        <f>IFERROR(IF(COUNTIFS('Candidate Tracker'!$E:$E,'Positions Tracker'!$B51,'Candidate Tracker'!$I:$I,"male")=0,"",COUNTIFS('Candidate Tracker'!$E:$E,'Positions Tracker'!$B51,'Candidate Tracker'!$I:$I,"male")),"")</f>
        <v/>
      </c>
      <c r="BC51" s="80" t="str">
        <f>IFERROR(IF(COUNTIFS('Candidate Tracker'!$E:$E,'Positions Tracker'!$B51,'Candidate Tracker'!$C:$C,"&lt;&gt;WIP",'Candidate Tracker'!$C:$C,"&lt;&gt;Hold",'Candidate Tracker'!$C:$C,"&lt;&gt;Cancelled",'Candidate Tracker'!$C:$C,"&lt;&gt;Closed")/COUNTIFS('Candidate Tracker'!$E:$E,'Positions Tracker'!$B51)=0,"",COUNTIFS('Candidate Tracker'!$E:$E,'Positions Tracker'!$B51,'Candidate Tracker'!$C:$C,"&lt;&gt;WIP",'Candidate Tracker'!$C:$C,"&lt;&gt;Hold",'Candidate Tracker'!$C:$C,"&lt;&gt;Cancelled",'Candidate Tracker'!$C:$C,"&lt;&gt;Closed")/COUNTIFS('Candidate Tracker'!$E:$E,'Positions Tracker'!$B51)),"")</f>
        <v/>
      </c>
      <c r="BD51" s="67" t="str">
        <f t="shared" si="1"/>
        <v>Jan-25</v>
      </c>
      <c r="BE51" s="67" t="str">
        <f t="shared" si="2"/>
        <v>Feb-25</v>
      </c>
      <c r="BF51" s="67" t="str">
        <f t="shared" si="3"/>
        <v>Feb-25</v>
      </c>
      <c r="BG51" s="67" t="str">
        <f t="shared" si="4"/>
        <v>Apr-25</v>
      </c>
    </row>
    <row r="52" spans="1:59">
      <c r="A52" s="67">
        <f t="shared" si="5"/>
        <v>51</v>
      </c>
      <c r="B52" s="67">
        <v>20251210</v>
      </c>
      <c r="C52" s="67" t="s">
        <v>55</v>
      </c>
      <c r="D52" s="67" t="s">
        <v>80</v>
      </c>
      <c r="E52" s="67" t="s">
        <v>323</v>
      </c>
      <c r="F52" s="67" t="s">
        <v>312</v>
      </c>
      <c r="G52" s="67" t="s">
        <v>3</v>
      </c>
      <c r="H52" s="67" t="s">
        <v>68</v>
      </c>
      <c r="I52" s="67" t="s">
        <v>313</v>
      </c>
      <c r="J52" s="67" t="s">
        <v>70</v>
      </c>
      <c r="K52" s="68">
        <v>45644</v>
      </c>
      <c r="L52" s="68">
        <v>45644</v>
      </c>
      <c r="M52" s="68">
        <v>45664</v>
      </c>
      <c r="N52" s="67" t="s">
        <v>82</v>
      </c>
      <c r="O52" s="68"/>
      <c r="P52" s="68"/>
      <c r="Q52" s="68"/>
      <c r="R52" s="68"/>
      <c r="S52" s="68"/>
      <c r="T52" s="68"/>
      <c r="U52" s="67"/>
      <c r="V52" s="67"/>
      <c r="W52" s="67"/>
      <c r="X52" s="67" t="s">
        <v>72</v>
      </c>
      <c r="Y52" s="67" t="s">
        <v>144</v>
      </c>
      <c r="Z52" s="67" t="s">
        <v>144</v>
      </c>
      <c r="AA52" s="69" t="s">
        <v>324</v>
      </c>
      <c r="AB52" s="67"/>
      <c r="AC52" s="67"/>
      <c r="AD52" s="67"/>
      <c r="AE52" s="67" t="s">
        <v>325</v>
      </c>
      <c r="AF52" s="67">
        <v>7406747353</v>
      </c>
      <c r="AG52" s="89" t="s">
        <v>326</v>
      </c>
      <c r="AH52" s="68" t="s">
        <v>123</v>
      </c>
      <c r="AI52" s="68">
        <v>45680</v>
      </c>
      <c r="AJ52" s="68">
        <v>45696</v>
      </c>
      <c r="AK52" s="67" t="s">
        <v>72</v>
      </c>
      <c r="AL52" s="67" t="s">
        <v>327</v>
      </c>
      <c r="AM52" s="68">
        <v>45696</v>
      </c>
      <c r="AN52" s="68">
        <v>45696</v>
      </c>
      <c r="AO52" s="68">
        <v>45762</v>
      </c>
      <c r="AP52" s="68">
        <v>45698</v>
      </c>
      <c r="AQ52" s="68">
        <v>45698</v>
      </c>
      <c r="AR52" s="68"/>
      <c r="AS52" s="68">
        <v>45782</v>
      </c>
      <c r="AT52" s="67">
        <f t="shared" ca="1" si="6"/>
        <v>0</v>
      </c>
      <c r="AU52" s="79" t="str">
        <f t="shared" ca="1" si="7"/>
        <v/>
      </c>
      <c r="AV52" s="79" t="str" cm="1">
        <f t="array" aca="1" ref="AV52" ca="1">IFERROR(_xlfn.IFS($AU52="","",$AU52&lt;=15,"0-15",AND($AU52&gt;=16,$AU52&lt;=30),"16-30",AND($AU52&gt;=31,$AU52&lt;=45),"31-45",AND($AU52&gt;=46,$AU52&lt;=60),"46-60",AND($AU52&gt;=61,$AU52&lt;=90),"61-90",AND($AU52&gt;=91),"&gt; 90",AND($AU52&gt;=2000),""),"")</f>
        <v/>
      </c>
      <c r="AW52" s="79" t="str" cm="1">
        <f t="array" aca="1" ref="AW52" ca="1">IFERROR(_xlfn.IFS(OR($M52="",$AM52=""),"",OR($C52="Offered",$C52="Joined"),($AM52-$M52)-$AT52),"")</f>
        <v/>
      </c>
      <c r="AX52" s="79" t="str" cm="1">
        <f t="array" aca="1" ref="AX52" ca="1">IFERROR(_xlfn.IFS(OR($M52="",$AS52=""),"",$C52="Joined",($AS52-$M52)-$AT52),"")</f>
        <v/>
      </c>
      <c r="AY52" s="67">
        <f>IFERROR(IF(COUNTIFS('Candidate Tracker'!$E:$E,'Positions Tracker'!$B52,'Candidate Tracker'!$C:$C,"Offer Drop")=0,"",COUNTIFS('Candidate Tracker'!$E:$E,'Positions Tracker'!$B52,'Candidate Tracker'!$C:$C,"Offer Drop")),"")</f>
        <v>1</v>
      </c>
      <c r="AZ52" s="80">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0.88111888111888115</v>
      </c>
      <c r="BA52" s="81" t="str">
        <f>IFERROR(IF(COUNTIFS('Candidate Tracker'!$E:$E,'Positions Tracker'!$B52,'Candidate Tracker'!$I:$I,"Female")=0,"",COUNTIFS('Candidate Tracker'!$E:$E,'Positions Tracker'!$B52,'Candidate Tracker'!$I:$I,"Female")),"")</f>
        <v/>
      </c>
      <c r="BB52" s="81">
        <f>IFERROR(IF(COUNTIFS('Candidate Tracker'!$E:$E,'Positions Tracker'!$B52,'Candidate Tracker'!$I:$I,"male")=0,"",COUNTIFS('Candidate Tracker'!$E:$E,'Positions Tracker'!$B52,'Candidate Tracker'!$I:$I,"male")),"")</f>
        <v>4</v>
      </c>
      <c r="BC52" s="80">
        <f>IFERROR(IF(COUNTIFS('Candidate Tracker'!$E:$E,'Positions Tracker'!$B52,'Candidate Tracker'!$C:$C,"&lt;&gt;WIP",'Candidate Tracker'!$C:$C,"&lt;&gt;Hold",'Candidate Tracker'!$C:$C,"&lt;&gt;Cancelled",'Candidate Tracker'!$C:$C,"&lt;&gt;Closed")/COUNTIFS('Candidate Tracker'!$E:$E,'Positions Tracker'!$B52)=0,"",COUNTIFS('Candidate Tracker'!$E:$E,'Positions Tracker'!$B52,'Candidate Tracker'!$C:$C,"&lt;&gt;WIP",'Candidate Tracker'!$C:$C,"&lt;&gt;Hold",'Candidate Tracker'!$C:$C,"&lt;&gt;Cancelled",'Candidate Tracker'!$C:$C,"&lt;&gt;Closed")/COUNTIFS('Candidate Tracker'!$E:$E,'Positions Tracker'!$B52)),"")</f>
        <v>0.25</v>
      </c>
      <c r="BD52" s="67" t="str">
        <f t="shared" si="1"/>
        <v>Jan-25</v>
      </c>
      <c r="BE52" s="67" t="str">
        <f t="shared" si="2"/>
        <v>Jan-25</v>
      </c>
      <c r="BF52" s="67" t="str">
        <f t="shared" si="3"/>
        <v>Feb-25</v>
      </c>
      <c r="BG52" s="67" t="str">
        <f t="shared" si="4"/>
        <v>May-25</v>
      </c>
    </row>
    <row r="53" spans="1:59">
      <c r="A53" s="67">
        <f t="shared" si="5"/>
        <v>52</v>
      </c>
      <c r="B53" s="67">
        <v>20251209</v>
      </c>
      <c r="C53" s="67" t="s">
        <v>55</v>
      </c>
      <c r="D53" s="67" t="s">
        <v>80</v>
      </c>
      <c r="E53" s="67" t="s">
        <v>328</v>
      </c>
      <c r="F53" s="67" t="s">
        <v>312</v>
      </c>
      <c r="G53" s="67" t="s">
        <v>3</v>
      </c>
      <c r="H53" s="67" t="s">
        <v>68</v>
      </c>
      <c r="I53" s="67" t="s">
        <v>313</v>
      </c>
      <c r="J53" s="67" t="s">
        <v>70</v>
      </c>
      <c r="K53" s="68">
        <v>45644</v>
      </c>
      <c r="L53" s="68">
        <v>45644</v>
      </c>
      <c r="M53" s="68">
        <v>45664</v>
      </c>
      <c r="N53" s="67" t="s">
        <v>95</v>
      </c>
      <c r="O53" s="68"/>
      <c r="P53" s="68"/>
      <c r="Q53" s="68"/>
      <c r="R53" s="68"/>
      <c r="S53" s="68"/>
      <c r="T53" s="68"/>
      <c r="U53" s="67"/>
      <c r="V53" s="67"/>
      <c r="W53" s="67"/>
      <c r="X53" s="67" t="s">
        <v>72</v>
      </c>
      <c r="Y53" s="67" t="s">
        <v>144</v>
      </c>
      <c r="Z53" s="67" t="s">
        <v>144</v>
      </c>
      <c r="AA53" s="69" t="s">
        <v>329</v>
      </c>
      <c r="AB53" s="67"/>
      <c r="AC53" s="67"/>
      <c r="AD53" s="67"/>
      <c r="AE53" s="67" t="s">
        <v>330</v>
      </c>
      <c r="AF53" s="67" t="s">
        <v>331</v>
      </c>
      <c r="AG53" s="67" t="s">
        <v>332</v>
      </c>
      <c r="AH53" s="68" t="s">
        <v>123</v>
      </c>
      <c r="AI53" s="68">
        <v>45709</v>
      </c>
      <c r="AJ53" s="68">
        <v>45712</v>
      </c>
      <c r="AK53" s="67" t="s">
        <v>72</v>
      </c>
      <c r="AL53" s="67">
        <v>1600000</v>
      </c>
      <c r="AM53" s="68">
        <v>45712</v>
      </c>
      <c r="AN53" s="68">
        <v>45712</v>
      </c>
      <c r="AO53" s="68">
        <v>45743</v>
      </c>
      <c r="AP53" s="68">
        <v>45715</v>
      </c>
      <c r="AQ53" s="68">
        <v>45715</v>
      </c>
      <c r="AR53" s="68"/>
      <c r="AS53" s="68">
        <v>45803</v>
      </c>
      <c r="AT53" s="67">
        <f t="shared" ca="1" si="6"/>
        <v>0</v>
      </c>
      <c r="AU53" s="79" t="str">
        <f t="shared" ca="1" si="7"/>
        <v/>
      </c>
      <c r="AV53" s="79" t="str" cm="1">
        <f t="array" aca="1" ref="AV53" ca="1">IFERROR(_xlfn.IFS($AU53="","",$AU53&lt;=15,"0-15",AND($AU53&gt;=16,$AU53&lt;=30),"16-30",AND($AU53&gt;=31,$AU53&lt;=45),"31-45",AND($AU53&gt;=46,$AU53&lt;=60),"46-60",AND($AU53&gt;=61,$AU53&lt;=90),"61-90",AND($AU53&gt;=91),"&gt; 90",AND($AU53&gt;=2000),""),"")</f>
        <v/>
      </c>
      <c r="AW53" s="79" t="str" cm="1">
        <f t="array" aca="1" ref="AW53" ca="1">IFERROR(_xlfn.IFS(OR($M53="",$AM53=""),"",OR($C53="Offered",$C53="Joined"),($AM53-$M53)-$AT53),"")</f>
        <v/>
      </c>
      <c r="AX53" s="79" t="str" cm="1">
        <f t="array" aca="1" ref="AX53" ca="1">IFERROR(_xlfn.IFS(OR($M53="",$AS53=""),"",$C53="Joined",($AS53-$M53)-$AT53),"")</f>
        <v/>
      </c>
      <c r="AY53" s="67" t="str">
        <f>IFERROR(IF(COUNTIFS('Candidate Tracker'!$E:$E,'Positions Tracker'!$B53,'Candidate Tracker'!$C:$C,"Offer Drop")=0,"",COUNTIFS('Candidate Tracker'!$E:$E,'Positions Tracker'!$B53,'Candidate Tracker'!$C:$C,"Offer Drop")),"")</f>
        <v/>
      </c>
      <c r="AZ53" s="80">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0.88111888111888115</v>
      </c>
      <c r="BA53" s="81" t="str">
        <f>IFERROR(IF(COUNTIFS('Candidate Tracker'!$E:$E,'Positions Tracker'!$B53,'Candidate Tracker'!$I:$I,"Female")=0,"",COUNTIFS('Candidate Tracker'!$E:$E,'Positions Tracker'!$B53,'Candidate Tracker'!$I:$I,"Female")),"")</f>
        <v/>
      </c>
      <c r="BB53" s="81">
        <f>IFERROR(IF(COUNTIFS('Candidate Tracker'!$E:$E,'Positions Tracker'!$B53,'Candidate Tracker'!$I:$I,"male")=0,"",COUNTIFS('Candidate Tracker'!$E:$E,'Positions Tracker'!$B53,'Candidate Tracker'!$I:$I,"male")),"")</f>
        <v>6</v>
      </c>
      <c r="BC53" s="80">
        <f>IFERROR(IF(COUNTIFS('Candidate Tracker'!$E:$E,'Positions Tracker'!$B53,'Candidate Tracker'!$C:$C,"&lt;&gt;WIP",'Candidate Tracker'!$C:$C,"&lt;&gt;Hold",'Candidate Tracker'!$C:$C,"&lt;&gt;Cancelled",'Candidate Tracker'!$C:$C,"&lt;&gt;Closed")/COUNTIFS('Candidate Tracker'!$E:$E,'Positions Tracker'!$B53)=0,"",COUNTIFS('Candidate Tracker'!$E:$E,'Positions Tracker'!$B53,'Candidate Tracker'!$C:$C,"&lt;&gt;WIP",'Candidate Tracker'!$C:$C,"&lt;&gt;Hold",'Candidate Tracker'!$C:$C,"&lt;&gt;Cancelled",'Candidate Tracker'!$C:$C,"&lt;&gt;Closed")/COUNTIFS('Candidate Tracker'!$E:$E,'Positions Tracker'!$B53)),"")</f>
        <v>0.16666666666666666</v>
      </c>
      <c r="BD53" s="67" t="str">
        <f t="shared" si="1"/>
        <v>Jan-25</v>
      </c>
      <c r="BE53" s="67" t="str">
        <f t="shared" si="2"/>
        <v>Feb-25</v>
      </c>
      <c r="BF53" s="67" t="str">
        <f t="shared" si="3"/>
        <v>Feb-25</v>
      </c>
      <c r="BG53" s="67" t="str">
        <f t="shared" si="4"/>
        <v>May-25</v>
      </c>
    </row>
    <row r="54" spans="1:59">
      <c r="A54" s="67">
        <f t="shared" si="5"/>
        <v>53</v>
      </c>
      <c r="B54" s="67">
        <v>20247717</v>
      </c>
      <c r="C54" s="67" t="s">
        <v>64</v>
      </c>
      <c r="D54" s="67" t="s">
        <v>65</v>
      </c>
      <c r="E54" s="67" t="s">
        <v>304</v>
      </c>
      <c r="F54" s="67" t="s">
        <v>333</v>
      </c>
      <c r="G54" s="67" t="s">
        <v>3</v>
      </c>
      <c r="H54" s="67" t="s">
        <v>191</v>
      </c>
      <c r="I54" s="67" t="s">
        <v>192</v>
      </c>
      <c r="J54" s="67" t="s">
        <v>70</v>
      </c>
      <c r="K54" s="68">
        <v>45637</v>
      </c>
      <c r="L54" s="68">
        <v>45637</v>
      </c>
      <c r="M54" s="68">
        <v>45637</v>
      </c>
      <c r="N54" s="67"/>
      <c r="O54" s="68"/>
      <c r="P54" s="68"/>
      <c r="Q54" s="68"/>
      <c r="R54" s="68"/>
      <c r="S54" s="68"/>
      <c r="T54" s="68"/>
      <c r="U54" s="67"/>
      <c r="V54" s="67"/>
      <c r="W54" s="67"/>
      <c r="X54" s="67" t="s">
        <v>72</v>
      </c>
      <c r="Y54" s="67" t="s">
        <v>144</v>
      </c>
      <c r="Z54" s="67" t="s">
        <v>144</v>
      </c>
      <c r="AA54" s="67" t="s">
        <v>229</v>
      </c>
      <c r="AB54" s="67"/>
      <c r="AC54" s="67"/>
      <c r="AD54" s="67"/>
      <c r="AE54" s="67"/>
      <c r="AF54" s="67"/>
      <c r="AG54" s="67"/>
      <c r="AH54" s="68"/>
      <c r="AI54" s="68"/>
      <c r="AJ54" s="68"/>
      <c r="AK54" s="67"/>
      <c r="AL54" s="67"/>
      <c r="AM54" s="68"/>
      <c r="AN54" s="68"/>
      <c r="AO54" s="68"/>
      <c r="AP54" s="68"/>
      <c r="AQ54" s="68"/>
      <c r="AR54" s="68"/>
      <c r="AS54" s="68"/>
      <c r="AT54" s="67">
        <f t="shared" ca="1" si="6"/>
        <v>0</v>
      </c>
      <c r="AU54" s="79" t="str">
        <f t="shared" ca="1" si="7"/>
        <v/>
      </c>
      <c r="AV54" s="79" t="str" cm="1">
        <f t="array" aca="1" ref="AV54" ca="1">IFERROR(_xlfn.IFS($AU54="","",$AU54&lt;=15,"0-15",AND($AU54&gt;=16,$AU54&lt;=30),"16-30",AND($AU54&gt;=31,$AU54&lt;=45),"31-45",AND($AU54&gt;=46,$AU54&lt;=60),"46-60",AND($AU54&gt;=61,$AU54&lt;=90),"61-90",AND($AU54&gt;=91),"&gt; 90",AND($AU54&gt;=2000),""),"")</f>
        <v/>
      </c>
      <c r="AW54" s="79" t="str" cm="1">
        <f t="array" aca="1" ref="AW54" ca="1">IFERROR(_xlfn.IFS(OR($M54="",$AM54=""),"",OR($C54="Offered",$C54="Joined"),($AM54-$M54)-$AT54),"")</f>
        <v/>
      </c>
      <c r="AX54" s="79" t="str" cm="1">
        <f t="array" aca="1" ref="AX54" ca="1">IFERROR(_xlfn.IFS(OR($M54="",$AS54=""),"",$C54="Joined",($AS54-$M54)-$AT54),"")</f>
        <v/>
      </c>
      <c r="AY54" s="67" t="str">
        <f>IFERROR(IF(COUNTIFS('Candidate Tracker'!$E:$E,'Positions Tracker'!$B54,'Candidate Tracker'!$C:$C,"Offer Drop")=0,"",COUNTIFS('Candidate Tracker'!$E:$E,'Positions Tracker'!$B54,'Candidate Tracker'!$C:$C,"Offer Drop")),"")</f>
        <v/>
      </c>
      <c r="AZ54" s="80">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0.88111888111888115</v>
      </c>
      <c r="BA54" s="81" t="str">
        <f>IFERROR(IF(COUNTIFS('Candidate Tracker'!$E:$E,'Positions Tracker'!$B54,'Candidate Tracker'!$I:$I,"Female")=0,"",COUNTIFS('Candidate Tracker'!$E:$E,'Positions Tracker'!$B54,'Candidate Tracker'!$I:$I,"Female")),"")</f>
        <v/>
      </c>
      <c r="BB54" s="81" t="str">
        <f>IFERROR(IF(COUNTIFS('Candidate Tracker'!$E:$E,'Positions Tracker'!$B54,'Candidate Tracker'!$I:$I,"male")=0,"",COUNTIFS('Candidate Tracker'!$E:$E,'Positions Tracker'!$B54,'Candidate Tracker'!$I:$I,"male")),"")</f>
        <v/>
      </c>
      <c r="BC54" s="80" t="str">
        <f>IFERROR(IF(COUNTIFS('Candidate Tracker'!$E:$E,'Positions Tracker'!$B54,'Candidate Tracker'!$C:$C,"&lt;&gt;WIP",'Candidate Tracker'!$C:$C,"&lt;&gt;Hold",'Candidate Tracker'!$C:$C,"&lt;&gt;Cancelled",'Candidate Tracker'!$C:$C,"&lt;&gt;Closed")/COUNTIFS('Candidate Tracker'!$E:$E,'Positions Tracker'!$B54)=0,"",COUNTIFS('Candidate Tracker'!$E:$E,'Positions Tracker'!$B54,'Candidate Tracker'!$C:$C,"&lt;&gt;WIP",'Candidate Tracker'!$C:$C,"&lt;&gt;Hold",'Candidate Tracker'!$C:$C,"&lt;&gt;Cancelled",'Candidate Tracker'!$C:$C,"&lt;&gt;Closed")/COUNTIFS('Candidate Tracker'!$E:$E,'Positions Tracker'!$B54)),"")</f>
        <v/>
      </c>
      <c r="BD54" s="67" t="str">
        <f t="shared" si="1"/>
        <v>Dec-24</v>
      </c>
      <c r="BE54" s="67" t="str">
        <f t="shared" si="2"/>
        <v/>
      </c>
      <c r="BF54" s="67" t="str">
        <f t="shared" si="3"/>
        <v/>
      </c>
      <c r="BG54" s="67" t="str">
        <f t="shared" si="4"/>
        <v/>
      </c>
    </row>
    <row r="55" spans="1:59">
      <c r="A55" s="67">
        <f t="shared" si="5"/>
        <v>54</v>
      </c>
      <c r="B55" s="67">
        <v>20250682</v>
      </c>
      <c r="C55" s="67" t="s">
        <v>64</v>
      </c>
      <c r="D55" s="67" t="s">
        <v>65</v>
      </c>
      <c r="E55" s="67" t="s">
        <v>276</v>
      </c>
      <c r="F55" s="67" t="s">
        <v>184</v>
      </c>
      <c r="G55" s="67" t="s">
        <v>3</v>
      </c>
      <c r="H55" s="67" t="s">
        <v>227</v>
      </c>
      <c r="I55" s="67" t="s">
        <v>228</v>
      </c>
      <c r="J55" s="67" t="s">
        <v>70</v>
      </c>
      <c r="K55" s="68">
        <v>45625</v>
      </c>
      <c r="L55" s="68">
        <v>45625</v>
      </c>
      <c r="M55" s="68">
        <v>45625</v>
      </c>
      <c r="N55" s="67"/>
      <c r="O55" s="68"/>
      <c r="P55" s="68"/>
      <c r="Q55" s="68"/>
      <c r="R55" s="68"/>
      <c r="S55" s="68"/>
      <c r="T55" s="68"/>
      <c r="U55" s="67"/>
      <c r="V55" s="67"/>
      <c r="W55" s="67"/>
      <c r="X55" s="67" t="s">
        <v>72</v>
      </c>
      <c r="Y55" s="67" t="s">
        <v>144</v>
      </c>
      <c r="Z55" s="67" t="s">
        <v>144</v>
      </c>
      <c r="AA55" s="67" t="s">
        <v>229</v>
      </c>
      <c r="AB55" s="67"/>
      <c r="AC55" s="67"/>
      <c r="AD55" s="67"/>
      <c r="AE55" s="67"/>
      <c r="AF55" s="67"/>
      <c r="AG55" s="67"/>
      <c r="AH55" s="68"/>
      <c r="AI55" s="68"/>
      <c r="AJ55" s="68"/>
      <c r="AK55" s="67"/>
      <c r="AL55" s="67"/>
      <c r="AM55" s="68"/>
      <c r="AN55" s="68"/>
      <c r="AO55" s="68"/>
      <c r="AP55" s="68"/>
      <c r="AQ55" s="68"/>
      <c r="AR55" s="68"/>
      <c r="AS55" s="68"/>
      <c r="AT55" s="67">
        <f t="shared" ca="1" si="6"/>
        <v>0</v>
      </c>
      <c r="AU55" s="79" t="str">
        <f t="shared" ca="1" si="7"/>
        <v/>
      </c>
      <c r="AV55" s="79" t="str" cm="1">
        <f t="array" aca="1" ref="AV55" ca="1">IFERROR(_xlfn.IFS($AU55="","",$AU55&lt;=15,"0-15",AND($AU55&gt;=16,$AU55&lt;=30),"16-30",AND($AU55&gt;=31,$AU55&lt;=45),"31-45",AND($AU55&gt;=46,$AU55&lt;=60),"46-60",AND($AU55&gt;=61,$AU55&lt;=90),"61-90",AND($AU55&gt;=91),"&gt; 90",AND($AU55&gt;=2000),""),"")</f>
        <v/>
      </c>
      <c r="AW55" s="79" t="str" cm="1">
        <f t="array" aca="1" ref="AW55" ca="1">IFERROR(_xlfn.IFS(OR($M55="",$AM55=""),"",OR($C55="Offered",$C55="Joined"),($AM55-$M55)-$AT55),"")</f>
        <v/>
      </c>
      <c r="AX55" s="79" t="str" cm="1">
        <f t="array" aca="1" ref="AX55" ca="1">IFERROR(_xlfn.IFS(OR($M55="",$AS55=""),"",$C55="Joined",($AS55-$M55)-$AT55),"")</f>
        <v/>
      </c>
      <c r="AY55" s="67" t="str">
        <f>IFERROR(IF(COUNTIFS('Candidate Tracker'!$E:$E,'Positions Tracker'!$B55,'Candidate Tracker'!$C:$C,"Offer Drop")=0,"",COUNTIFS('Candidate Tracker'!$E:$E,'Positions Tracker'!$B55,'Candidate Tracker'!$C:$C,"Offer Drop")),"")</f>
        <v/>
      </c>
      <c r="AZ55" s="80">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0.88111888111888115</v>
      </c>
      <c r="BA55" s="81" t="str">
        <f>IFERROR(IF(COUNTIFS('Candidate Tracker'!$E:$E,'Positions Tracker'!$B55,'Candidate Tracker'!$I:$I,"Female")=0,"",COUNTIFS('Candidate Tracker'!$E:$E,'Positions Tracker'!$B55,'Candidate Tracker'!$I:$I,"Female")),"")</f>
        <v/>
      </c>
      <c r="BB55" s="81" t="str">
        <f>IFERROR(IF(COUNTIFS('Candidate Tracker'!$E:$E,'Positions Tracker'!$B55,'Candidate Tracker'!$I:$I,"male")=0,"",COUNTIFS('Candidate Tracker'!$E:$E,'Positions Tracker'!$B55,'Candidate Tracker'!$I:$I,"male")),"")</f>
        <v/>
      </c>
      <c r="BC55" s="80" t="str">
        <f>IFERROR(IF(COUNTIFS('Candidate Tracker'!$E:$E,'Positions Tracker'!$B55,'Candidate Tracker'!$C:$C,"&lt;&gt;WIP",'Candidate Tracker'!$C:$C,"&lt;&gt;Hold",'Candidate Tracker'!$C:$C,"&lt;&gt;Cancelled",'Candidate Tracker'!$C:$C,"&lt;&gt;Closed")/COUNTIFS('Candidate Tracker'!$E:$E,'Positions Tracker'!$B55)=0,"",COUNTIFS('Candidate Tracker'!$E:$E,'Positions Tracker'!$B55,'Candidate Tracker'!$C:$C,"&lt;&gt;WIP",'Candidate Tracker'!$C:$C,"&lt;&gt;Hold",'Candidate Tracker'!$C:$C,"&lt;&gt;Cancelled",'Candidate Tracker'!$C:$C,"&lt;&gt;Closed")/COUNTIFS('Candidate Tracker'!$E:$E,'Positions Tracker'!$B55)),"")</f>
        <v/>
      </c>
      <c r="BD55" s="67" t="str">
        <f t="shared" si="1"/>
        <v>Nov-24</v>
      </c>
      <c r="BE55" s="67" t="str">
        <f t="shared" si="2"/>
        <v/>
      </c>
      <c r="BF55" s="67" t="str">
        <f t="shared" si="3"/>
        <v/>
      </c>
      <c r="BG55" s="67" t="str">
        <f t="shared" si="4"/>
        <v/>
      </c>
    </row>
    <row r="56" spans="1:59">
      <c r="A56" s="67">
        <f t="shared" si="5"/>
        <v>55</v>
      </c>
      <c r="B56" s="67">
        <v>20243789</v>
      </c>
      <c r="C56" s="67" t="s">
        <v>64</v>
      </c>
      <c r="D56" s="67" t="s">
        <v>65</v>
      </c>
      <c r="E56" s="67" t="s">
        <v>334</v>
      </c>
      <c r="F56" s="67" t="s">
        <v>335</v>
      </c>
      <c r="G56" s="67" t="s">
        <v>3</v>
      </c>
      <c r="H56" s="67" t="s">
        <v>68</v>
      </c>
      <c r="I56" s="67" t="s">
        <v>107</v>
      </c>
      <c r="J56" s="67" t="s">
        <v>70</v>
      </c>
      <c r="K56" s="68">
        <v>45580</v>
      </c>
      <c r="L56" s="68">
        <v>45580</v>
      </c>
      <c r="M56" s="68">
        <v>45583</v>
      </c>
      <c r="N56" s="67" t="s">
        <v>95</v>
      </c>
      <c r="O56" s="68"/>
      <c r="P56" s="68"/>
      <c r="Q56" s="68"/>
      <c r="R56" s="68"/>
      <c r="S56" s="68"/>
      <c r="T56" s="68"/>
      <c r="U56" s="67"/>
      <c r="V56" s="67"/>
      <c r="W56" s="67"/>
      <c r="X56" s="67" t="s">
        <v>72</v>
      </c>
      <c r="Y56" s="67" t="s">
        <v>74</v>
      </c>
      <c r="Z56" s="67" t="s">
        <v>74</v>
      </c>
      <c r="AA56" s="67" t="s">
        <v>336</v>
      </c>
      <c r="AB56" s="67"/>
      <c r="AC56" s="67"/>
      <c r="AD56" s="67"/>
      <c r="AE56" s="67"/>
      <c r="AF56" s="67"/>
      <c r="AG56" s="67"/>
      <c r="AH56" s="68"/>
      <c r="AI56" s="68"/>
      <c r="AJ56" s="68"/>
      <c r="AK56" s="67"/>
      <c r="AL56" s="67"/>
      <c r="AM56" s="68"/>
      <c r="AN56" s="68"/>
      <c r="AO56" s="68"/>
      <c r="AP56" s="68"/>
      <c r="AQ56" s="68"/>
      <c r="AR56" s="68"/>
      <c r="AS56" s="68"/>
      <c r="AT56" s="67">
        <f t="shared" ca="1" si="6"/>
        <v>0</v>
      </c>
      <c r="AU56" s="79" t="str">
        <f t="shared" ca="1" si="7"/>
        <v/>
      </c>
      <c r="AV56" s="79" t="str" cm="1">
        <f t="array" aca="1" ref="AV56" ca="1">IFERROR(_xlfn.IFS($AU56="","",$AU56&lt;=15,"0-15",AND($AU56&gt;=16,$AU56&lt;=30),"16-30",AND($AU56&gt;=31,$AU56&lt;=45),"31-45",AND($AU56&gt;=46,$AU56&lt;=60),"46-60",AND($AU56&gt;=61,$AU56&lt;=90),"61-90",AND($AU56&gt;=91),"&gt; 90",AND($AU56&gt;=2000),""),"")</f>
        <v/>
      </c>
      <c r="AW56" s="79" t="str" cm="1">
        <f t="array" aca="1" ref="AW56" ca="1">IFERROR(_xlfn.IFS(OR($M56="",$AM56=""),"",OR($C56="Offered",$C56="Joined"),($AM56-$M56)-$AT56),"")</f>
        <v/>
      </c>
      <c r="AX56" s="79" t="str" cm="1">
        <f t="array" aca="1" ref="AX56" ca="1">IFERROR(_xlfn.IFS(OR($M56="",$AS56=""),"",$C56="Joined",($AS56-$M56)-$AT56),"")</f>
        <v/>
      </c>
      <c r="AY56" s="67" t="str">
        <f>IFERROR(IF(COUNTIFS('Candidate Tracker'!$E:$E,'Positions Tracker'!$B56,'Candidate Tracker'!$C:$C,"Offer Drop")=0,"",COUNTIFS('Candidate Tracker'!$E:$E,'Positions Tracker'!$B56,'Candidate Tracker'!$C:$C,"Offer Drop")),"")</f>
        <v/>
      </c>
      <c r="AZ56" s="80">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0.88111888111888115</v>
      </c>
      <c r="BA56" s="81" t="str">
        <f>IFERROR(IF(COUNTIFS('Candidate Tracker'!$E:$E,'Positions Tracker'!$B56,'Candidate Tracker'!$I:$I,"Female")=0,"",COUNTIFS('Candidate Tracker'!$E:$E,'Positions Tracker'!$B56,'Candidate Tracker'!$I:$I,"Female")),"")</f>
        <v/>
      </c>
      <c r="BB56" s="81" t="str">
        <f>IFERROR(IF(COUNTIFS('Candidate Tracker'!$E:$E,'Positions Tracker'!$B56,'Candidate Tracker'!$I:$I,"male")=0,"",COUNTIFS('Candidate Tracker'!$E:$E,'Positions Tracker'!$B56,'Candidate Tracker'!$I:$I,"male")),"")</f>
        <v/>
      </c>
      <c r="BC56" s="80" t="str">
        <f>IFERROR(IF(COUNTIFS('Candidate Tracker'!$E:$E,'Positions Tracker'!$B56,'Candidate Tracker'!$C:$C,"&lt;&gt;WIP",'Candidate Tracker'!$C:$C,"&lt;&gt;Hold",'Candidate Tracker'!$C:$C,"&lt;&gt;Cancelled",'Candidate Tracker'!$C:$C,"&lt;&gt;Closed")/COUNTIFS('Candidate Tracker'!$E:$E,'Positions Tracker'!$B56)=0,"",COUNTIFS('Candidate Tracker'!$E:$E,'Positions Tracker'!$B56,'Candidate Tracker'!$C:$C,"&lt;&gt;WIP",'Candidate Tracker'!$C:$C,"&lt;&gt;Hold",'Candidate Tracker'!$C:$C,"&lt;&gt;Cancelled",'Candidate Tracker'!$C:$C,"&lt;&gt;Closed")/COUNTIFS('Candidate Tracker'!$E:$E,'Positions Tracker'!$B56)),"")</f>
        <v/>
      </c>
      <c r="BD56" s="67" t="str">
        <f t="shared" si="1"/>
        <v>Oct-24</v>
      </c>
      <c r="BE56" s="67" t="str">
        <f t="shared" si="2"/>
        <v/>
      </c>
      <c r="BF56" s="67" t="str">
        <f t="shared" si="3"/>
        <v/>
      </c>
      <c r="BG56" s="67" t="str">
        <f t="shared" si="4"/>
        <v/>
      </c>
    </row>
    <row r="57" spans="1:59">
      <c r="A57" s="67">
        <f t="shared" si="5"/>
        <v>56</v>
      </c>
      <c r="B57" s="67">
        <v>20243612</v>
      </c>
      <c r="C57" s="67" t="s">
        <v>64</v>
      </c>
      <c r="D57" s="67" t="s">
        <v>65</v>
      </c>
      <c r="E57" s="67" t="s">
        <v>337</v>
      </c>
      <c r="F57" s="67" t="s">
        <v>338</v>
      </c>
      <c r="G57" s="67" t="s">
        <v>1</v>
      </c>
      <c r="H57" s="67" t="s">
        <v>338</v>
      </c>
      <c r="I57" s="67" t="s">
        <v>339</v>
      </c>
      <c r="J57" s="67" t="s">
        <v>70</v>
      </c>
      <c r="K57" s="68">
        <v>45462</v>
      </c>
      <c r="L57" s="68">
        <v>45462</v>
      </c>
      <c r="M57" s="68">
        <v>45467</v>
      </c>
      <c r="N57" s="67"/>
      <c r="O57" s="68"/>
      <c r="P57" s="68"/>
      <c r="Q57" s="68"/>
      <c r="R57" s="68"/>
      <c r="S57" s="68"/>
      <c r="T57" s="68"/>
      <c r="U57" s="67"/>
      <c r="V57" s="67"/>
      <c r="W57" s="67"/>
      <c r="X57" s="67" t="s">
        <v>72</v>
      </c>
      <c r="Y57" s="67" t="s">
        <v>74</v>
      </c>
      <c r="Z57" s="67" t="s">
        <v>74</v>
      </c>
      <c r="AA57" s="67" t="s">
        <v>340</v>
      </c>
      <c r="AB57" s="67"/>
      <c r="AC57" s="67"/>
      <c r="AD57" s="67"/>
      <c r="AE57" s="67"/>
      <c r="AF57" s="67"/>
      <c r="AG57" s="67"/>
      <c r="AH57" s="68"/>
      <c r="AI57" s="68"/>
      <c r="AJ57" s="68"/>
      <c r="AK57" s="67"/>
      <c r="AL57" s="67"/>
      <c r="AM57" s="68"/>
      <c r="AN57" s="68"/>
      <c r="AO57" s="68"/>
      <c r="AP57" s="68"/>
      <c r="AQ57" s="68"/>
      <c r="AR57" s="68"/>
      <c r="AS57" s="68"/>
      <c r="AT57" s="67">
        <f t="shared" ca="1" si="6"/>
        <v>0</v>
      </c>
      <c r="AU57" s="79" t="str">
        <f t="shared" ca="1" si="7"/>
        <v/>
      </c>
      <c r="AV57" s="79" t="str" cm="1">
        <f t="array" aca="1" ref="AV57" ca="1">IFERROR(_xlfn.IFS($AU57="","",$AU57&lt;=15,"0-15",AND($AU57&gt;=16,$AU57&lt;=30),"16-30",AND($AU57&gt;=31,$AU57&lt;=45),"31-45",AND($AU57&gt;=46,$AU57&lt;=60),"46-60",AND($AU57&gt;=61,$AU57&lt;=90),"61-90",AND($AU57&gt;=91),"&gt; 90",AND($AU57&gt;=2000),""),"")</f>
        <v/>
      </c>
      <c r="AW57" s="79" t="str" cm="1">
        <f t="array" aca="1" ref="AW57" ca="1">IFERROR(_xlfn.IFS(OR($M57="",$AM57=""),"",OR($C57="Offered",$C57="Joined"),($AM57-$M57)-$AT57),"")</f>
        <v/>
      </c>
      <c r="AX57" s="79" t="str" cm="1">
        <f t="array" aca="1" ref="AX57" ca="1">IFERROR(_xlfn.IFS(OR($M57="",$AS57=""),"",$C57="Joined",($AS57-$M57)-$AT57),"")</f>
        <v/>
      </c>
      <c r="AY57" s="67" t="str">
        <f>IFERROR(IF(COUNTIFS('Candidate Tracker'!$E:$E,'Positions Tracker'!$B57,'Candidate Tracker'!$C:$C,"Offer Drop")=0,"",COUNTIFS('Candidate Tracker'!$E:$E,'Positions Tracker'!$B57,'Candidate Tracker'!$C:$C,"Offer Drop")),"")</f>
        <v/>
      </c>
      <c r="AZ57" s="80">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0.88111888111888115</v>
      </c>
      <c r="BA57" s="81" t="str">
        <f>IFERROR(IF(COUNTIFS('Candidate Tracker'!$E:$E,'Positions Tracker'!$B57,'Candidate Tracker'!$I:$I,"Female")=0,"",COUNTIFS('Candidate Tracker'!$E:$E,'Positions Tracker'!$B57,'Candidate Tracker'!$I:$I,"Female")),"")</f>
        <v/>
      </c>
      <c r="BB57" s="81" t="str">
        <f>IFERROR(IF(COUNTIFS('Candidate Tracker'!$E:$E,'Positions Tracker'!$B57,'Candidate Tracker'!$I:$I,"male")=0,"",COUNTIFS('Candidate Tracker'!$E:$E,'Positions Tracker'!$B57,'Candidate Tracker'!$I:$I,"male")),"")</f>
        <v/>
      </c>
      <c r="BC57" s="80" t="str">
        <f>IFERROR(IF(COUNTIFS('Candidate Tracker'!$E:$E,'Positions Tracker'!$B57,'Candidate Tracker'!$C:$C,"&lt;&gt;WIP",'Candidate Tracker'!$C:$C,"&lt;&gt;Hold",'Candidate Tracker'!$C:$C,"&lt;&gt;Cancelled",'Candidate Tracker'!$C:$C,"&lt;&gt;Closed")/COUNTIFS('Candidate Tracker'!$E:$E,'Positions Tracker'!$B57)=0,"",COUNTIFS('Candidate Tracker'!$E:$E,'Positions Tracker'!$B57,'Candidate Tracker'!$C:$C,"&lt;&gt;WIP",'Candidate Tracker'!$C:$C,"&lt;&gt;Hold",'Candidate Tracker'!$C:$C,"&lt;&gt;Cancelled",'Candidate Tracker'!$C:$C,"&lt;&gt;Closed")/COUNTIFS('Candidate Tracker'!$E:$E,'Positions Tracker'!$B57)),"")</f>
        <v/>
      </c>
      <c r="BD57" s="67" t="str">
        <f t="shared" si="1"/>
        <v>Jun-24</v>
      </c>
      <c r="BE57" s="67" t="str">
        <f t="shared" si="2"/>
        <v/>
      </c>
      <c r="BF57" s="67" t="str">
        <f t="shared" si="3"/>
        <v/>
      </c>
      <c r="BG57" s="67" t="str">
        <f t="shared" si="4"/>
        <v/>
      </c>
    </row>
    <row r="58" spans="1:59">
      <c r="A58" s="67">
        <f t="shared" si="5"/>
        <v>57</v>
      </c>
      <c r="B58" s="67">
        <v>20243613</v>
      </c>
      <c r="C58" s="67" t="s">
        <v>64</v>
      </c>
      <c r="D58" s="67" t="s">
        <v>65</v>
      </c>
      <c r="E58" s="67" t="s">
        <v>341</v>
      </c>
      <c r="F58" s="67" t="s">
        <v>342</v>
      </c>
      <c r="G58" s="67" t="s">
        <v>1</v>
      </c>
      <c r="H58" s="67" t="s">
        <v>342</v>
      </c>
      <c r="I58" s="67" t="s">
        <v>339</v>
      </c>
      <c r="J58" s="67" t="s">
        <v>70</v>
      </c>
      <c r="K58" s="68">
        <v>45462</v>
      </c>
      <c r="L58" s="68">
        <v>45462</v>
      </c>
      <c r="M58" s="68">
        <v>45467</v>
      </c>
      <c r="N58" s="67" t="s">
        <v>95</v>
      </c>
      <c r="O58" s="68"/>
      <c r="P58" s="68"/>
      <c r="Q58" s="68"/>
      <c r="R58" s="68"/>
      <c r="S58" s="68"/>
      <c r="T58" s="68"/>
      <c r="U58" s="67"/>
      <c r="V58" s="67"/>
      <c r="W58" s="67"/>
      <c r="X58" s="67" t="s">
        <v>72</v>
      </c>
      <c r="Y58" s="67" t="s">
        <v>74</v>
      </c>
      <c r="Z58" s="67" t="s">
        <v>74</v>
      </c>
      <c r="AA58" s="67" t="s">
        <v>340</v>
      </c>
      <c r="AB58" s="67"/>
      <c r="AC58" s="67"/>
      <c r="AD58" s="67"/>
      <c r="AE58" s="67"/>
      <c r="AF58" s="67"/>
      <c r="AG58" s="67"/>
      <c r="AH58" s="68"/>
      <c r="AI58" s="68"/>
      <c r="AJ58" s="68"/>
      <c r="AK58" s="67"/>
      <c r="AL58" s="67"/>
      <c r="AM58" s="68"/>
      <c r="AN58" s="68"/>
      <c r="AO58" s="68"/>
      <c r="AP58" s="68"/>
      <c r="AQ58" s="68"/>
      <c r="AR58" s="68"/>
      <c r="AS58" s="68"/>
      <c r="AT58" s="67">
        <f t="shared" ca="1" si="6"/>
        <v>0</v>
      </c>
      <c r="AU58" s="79" t="str">
        <f t="shared" ca="1" si="7"/>
        <v/>
      </c>
      <c r="AV58" s="79" t="str" cm="1">
        <f t="array" aca="1" ref="AV58" ca="1">IFERROR(_xlfn.IFS($AU58="","",$AU58&lt;=15,"0-15",AND($AU58&gt;=16,$AU58&lt;=30),"16-30",AND($AU58&gt;=31,$AU58&lt;=45),"31-45",AND($AU58&gt;=46,$AU58&lt;=60),"46-60",AND($AU58&gt;=61,$AU58&lt;=90),"61-90",AND($AU58&gt;=91),"&gt; 90",AND($AU58&gt;=2000),""),"")</f>
        <v/>
      </c>
      <c r="AW58" s="79" t="str" cm="1">
        <f t="array" aca="1" ref="AW58" ca="1">IFERROR(_xlfn.IFS(OR($M58="",$AM58=""),"",OR($C58="Offered",$C58="Joined"),($AM58-$M58)-$AT58),"")</f>
        <v/>
      </c>
      <c r="AX58" s="79" t="str" cm="1">
        <f t="array" aca="1" ref="AX58" ca="1">IFERROR(_xlfn.IFS(OR($M58="",$AS58=""),"",$C58="Joined",($AS58-$M58)-$AT58),"")</f>
        <v/>
      </c>
      <c r="AY58" s="67" t="str">
        <f>IFERROR(IF(COUNTIFS('Candidate Tracker'!$E:$E,'Positions Tracker'!$B58,'Candidate Tracker'!$C:$C,"Offer Drop")=0,"",COUNTIFS('Candidate Tracker'!$E:$E,'Positions Tracker'!$B58,'Candidate Tracker'!$C:$C,"Offer Drop")),"")</f>
        <v/>
      </c>
      <c r="AZ58" s="80">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0.88111888111888115</v>
      </c>
      <c r="BA58" s="81" t="str">
        <f>IFERROR(IF(COUNTIFS('Candidate Tracker'!$E:$E,'Positions Tracker'!$B58,'Candidate Tracker'!$I:$I,"Female")=0,"",COUNTIFS('Candidate Tracker'!$E:$E,'Positions Tracker'!$B58,'Candidate Tracker'!$I:$I,"Female")),"")</f>
        <v/>
      </c>
      <c r="BB58" s="81" t="str">
        <f>IFERROR(IF(COUNTIFS('Candidate Tracker'!$E:$E,'Positions Tracker'!$B58,'Candidate Tracker'!$I:$I,"male")=0,"",COUNTIFS('Candidate Tracker'!$E:$E,'Positions Tracker'!$B58,'Candidate Tracker'!$I:$I,"male")),"")</f>
        <v/>
      </c>
      <c r="BC58" s="80" t="str">
        <f>IFERROR(IF(COUNTIFS('Candidate Tracker'!$E:$E,'Positions Tracker'!$B58,'Candidate Tracker'!$C:$C,"&lt;&gt;WIP",'Candidate Tracker'!$C:$C,"&lt;&gt;Hold",'Candidate Tracker'!$C:$C,"&lt;&gt;Cancelled",'Candidate Tracker'!$C:$C,"&lt;&gt;Closed")/COUNTIFS('Candidate Tracker'!$E:$E,'Positions Tracker'!$B58)=0,"",COUNTIFS('Candidate Tracker'!$E:$E,'Positions Tracker'!$B58,'Candidate Tracker'!$C:$C,"&lt;&gt;WIP",'Candidate Tracker'!$C:$C,"&lt;&gt;Hold",'Candidate Tracker'!$C:$C,"&lt;&gt;Cancelled",'Candidate Tracker'!$C:$C,"&lt;&gt;Closed")/COUNTIFS('Candidate Tracker'!$E:$E,'Positions Tracker'!$B58)),"")</f>
        <v/>
      </c>
      <c r="BD58" s="67" t="str">
        <f t="shared" si="1"/>
        <v>Jun-24</v>
      </c>
      <c r="BE58" s="67" t="str">
        <f t="shared" si="2"/>
        <v/>
      </c>
      <c r="BF58" s="67" t="str">
        <f t="shared" si="3"/>
        <v/>
      </c>
      <c r="BG58" s="67" t="str">
        <f t="shared" si="4"/>
        <v/>
      </c>
    </row>
    <row r="59" spans="1:59">
      <c r="A59" s="67">
        <f t="shared" si="5"/>
        <v>58</v>
      </c>
      <c r="B59" s="67">
        <v>20243614</v>
      </c>
      <c r="C59" s="67" t="s">
        <v>87</v>
      </c>
      <c r="D59" s="67" t="s">
        <v>87</v>
      </c>
      <c r="E59" s="67" t="s">
        <v>341</v>
      </c>
      <c r="F59" s="67" t="s">
        <v>342</v>
      </c>
      <c r="G59" s="67" t="s">
        <v>1</v>
      </c>
      <c r="H59" s="67" t="s">
        <v>342</v>
      </c>
      <c r="I59" s="67" t="s">
        <v>339</v>
      </c>
      <c r="J59" s="67" t="s">
        <v>70</v>
      </c>
      <c r="K59" s="68">
        <v>45462</v>
      </c>
      <c r="L59" s="68">
        <v>45462</v>
      </c>
      <c r="M59" s="68">
        <v>45467</v>
      </c>
      <c r="N59" s="67" t="s">
        <v>95</v>
      </c>
      <c r="O59" s="68">
        <v>45492</v>
      </c>
      <c r="P59" s="68"/>
      <c r="Q59" s="68"/>
      <c r="R59" s="68"/>
      <c r="S59" s="68"/>
      <c r="T59" s="68"/>
      <c r="U59" s="67"/>
      <c r="V59" s="67"/>
      <c r="W59" s="67"/>
      <c r="X59" s="67" t="s">
        <v>72</v>
      </c>
      <c r="Y59" s="67" t="s">
        <v>74</v>
      </c>
      <c r="Z59" s="67" t="s">
        <v>74</v>
      </c>
      <c r="AA59" s="67" t="s">
        <v>340</v>
      </c>
      <c r="AB59" s="67"/>
      <c r="AC59" s="67"/>
      <c r="AD59" s="67"/>
      <c r="AE59" s="67"/>
      <c r="AF59" s="67"/>
      <c r="AG59" s="67"/>
      <c r="AH59" s="68"/>
      <c r="AI59" s="68"/>
      <c r="AJ59" s="68"/>
      <c r="AK59" s="67"/>
      <c r="AL59" s="67"/>
      <c r="AM59" s="68"/>
      <c r="AN59" s="68"/>
      <c r="AO59" s="68"/>
      <c r="AP59" s="68"/>
      <c r="AQ59" s="68"/>
      <c r="AR59" s="68"/>
      <c r="AS59" s="68"/>
      <c r="AT59" s="67">
        <f t="shared" ca="1" si="6"/>
        <v>509</v>
      </c>
      <c r="AU59" s="79" t="str">
        <f t="shared" ca="1" si="7"/>
        <v/>
      </c>
      <c r="AV59" s="79" t="str" cm="1">
        <f t="array" aca="1" ref="AV59" ca="1">IFERROR(_xlfn.IFS($AU59="","",$AU59&lt;=15,"0-15",AND($AU59&gt;=16,$AU59&lt;=30),"16-30",AND($AU59&gt;=31,$AU59&lt;=45),"31-45",AND($AU59&gt;=46,$AU59&lt;=60),"46-60",AND($AU59&gt;=61,$AU59&lt;=90),"61-90",AND($AU59&gt;=91),"&gt; 90",AND($AU59&gt;=2000),""),"")</f>
        <v/>
      </c>
      <c r="AW59" s="79" t="str" cm="1">
        <f t="array" aca="1" ref="AW59" ca="1">IFERROR(_xlfn.IFS(OR($M59="",$AM59=""),"",OR($C59="Offered",$C59="Joined"),($AM59-$M59)-$AT59),"")</f>
        <v/>
      </c>
      <c r="AX59" s="79" t="str" cm="1">
        <f t="array" aca="1" ref="AX59" ca="1">IFERROR(_xlfn.IFS(OR($M59="",$AS59=""),"",$C59="Joined",($AS59-$M59)-$AT59),"")</f>
        <v/>
      </c>
      <c r="AY59" s="67" t="str">
        <f>IFERROR(IF(COUNTIFS('Candidate Tracker'!$E:$E,'Positions Tracker'!$B59,'Candidate Tracker'!$C:$C,"Offer Drop")=0,"",COUNTIFS('Candidate Tracker'!$E:$E,'Positions Tracker'!$B59,'Candidate Tracker'!$C:$C,"Offer Drop")),"")</f>
        <v/>
      </c>
      <c r="AZ59" s="80">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0.88111888111888115</v>
      </c>
      <c r="BA59" s="81" t="str">
        <f>IFERROR(IF(COUNTIFS('Candidate Tracker'!$E:$E,'Positions Tracker'!$B59,'Candidate Tracker'!$I:$I,"Female")=0,"",COUNTIFS('Candidate Tracker'!$E:$E,'Positions Tracker'!$B59,'Candidate Tracker'!$I:$I,"Female")),"")</f>
        <v/>
      </c>
      <c r="BB59" s="81" t="str">
        <f>IFERROR(IF(COUNTIFS('Candidate Tracker'!$E:$E,'Positions Tracker'!$B59,'Candidate Tracker'!$I:$I,"male")=0,"",COUNTIFS('Candidate Tracker'!$E:$E,'Positions Tracker'!$B59,'Candidate Tracker'!$I:$I,"male")),"")</f>
        <v/>
      </c>
      <c r="BC59" s="80" t="str">
        <f>IFERROR(IF(COUNTIFS('Candidate Tracker'!$E:$E,'Positions Tracker'!$B59,'Candidate Tracker'!$C:$C,"&lt;&gt;WIP",'Candidate Tracker'!$C:$C,"&lt;&gt;Hold",'Candidate Tracker'!$C:$C,"&lt;&gt;Cancelled",'Candidate Tracker'!$C:$C,"&lt;&gt;Closed")/COUNTIFS('Candidate Tracker'!$E:$E,'Positions Tracker'!$B59)=0,"",COUNTIFS('Candidate Tracker'!$E:$E,'Positions Tracker'!$B59,'Candidate Tracker'!$C:$C,"&lt;&gt;WIP",'Candidate Tracker'!$C:$C,"&lt;&gt;Hold",'Candidate Tracker'!$C:$C,"&lt;&gt;Cancelled",'Candidate Tracker'!$C:$C,"&lt;&gt;Closed")/COUNTIFS('Candidate Tracker'!$E:$E,'Positions Tracker'!$B59)),"")</f>
        <v/>
      </c>
      <c r="BD59" s="67" t="str">
        <f t="shared" si="1"/>
        <v>Jun-24</v>
      </c>
      <c r="BE59" s="67" t="str">
        <f t="shared" si="2"/>
        <v/>
      </c>
      <c r="BF59" s="67" t="str">
        <f t="shared" si="3"/>
        <v/>
      </c>
      <c r="BG59" s="67" t="str">
        <f t="shared" si="4"/>
        <v/>
      </c>
    </row>
    <row r="60" spans="1:59">
      <c r="A60" s="67">
        <f t="shared" si="5"/>
        <v>59</v>
      </c>
      <c r="B60" s="67">
        <v>20243615</v>
      </c>
      <c r="C60" s="67" t="s">
        <v>87</v>
      </c>
      <c r="D60" s="67" t="s">
        <v>87</v>
      </c>
      <c r="E60" s="67" t="s">
        <v>343</v>
      </c>
      <c r="F60" s="67" t="s">
        <v>344</v>
      </c>
      <c r="G60" s="67" t="s">
        <v>1</v>
      </c>
      <c r="H60" s="67" t="s">
        <v>345</v>
      </c>
      <c r="I60" s="67" t="s">
        <v>339</v>
      </c>
      <c r="J60" s="67" t="s">
        <v>70</v>
      </c>
      <c r="K60" s="68">
        <v>45462</v>
      </c>
      <c r="L60" s="68">
        <v>45462</v>
      </c>
      <c r="M60" s="68">
        <v>45467</v>
      </c>
      <c r="N60" s="67"/>
      <c r="O60" s="68"/>
      <c r="P60" s="68"/>
      <c r="Q60" s="68"/>
      <c r="R60" s="68"/>
      <c r="S60" s="68"/>
      <c r="T60" s="68"/>
      <c r="U60" s="67"/>
      <c r="V60" s="67"/>
      <c r="W60" s="67"/>
      <c r="X60" s="67" t="s">
        <v>72</v>
      </c>
      <c r="Y60" s="67" t="s">
        <v>74</v>
      </c>
      <c r="Z60" s="67" t="s">
        <v>74</v>
      </c>
      <c r="AA60" s="67" t="s">
        <v>340</v>
      </c>
      <c r="AB60" s="67"/>
      <c r="AC60" s="67"/>
      <c r="AD60" s="67"/>
      <c r="AE60" s="67"/>
      <c r="AF60" s="67"/>
      <c r="AG60" s="67"/>
      <c r="AH60" s="68"/>
      <c r="AI60" s="68"/>
      <c r="AJ60" s="68"/>
      <c r="AK60" s="67"/>
      <c r="AL60" s="67"/>
      <c r="AM60" s="68"/>
      <c r="AN60" s="68"/>
      <c r="AO60" s="68"/>
      <c r="AP60" s="68"/>
      <c r="AQ60" s="68"/>
      <c r="AR60" s="68"/>
      <c r="AS60" s="68"/>
      <c r="AT60" s="67">
        <f t="shared" ca="1" si="6"/>
        <v>0</v>
      </c>
      <c r="AU60" s="79" t="str">
        <f t="shared" ca="1" si="7"/>
        <v/>
      </c>
      <c r="AV60" s="79" t="str" cm="1">
        <f t="array" aca="1" ref="AV60" ca="1">IFERROR(_xlfn.IFS($AU60="","",$AU60&lt;=15,"0-15",AND($AU60&gt;=16,$AU60&lt;=30),"16-30",AND($AU60&gt;=31,$AU60&lt;=45),"31-45",AND($AU60&gt;=46,$AU60&lt;=60),"46-60",AND($AU60&gt;=61,$AU60&lt;=90),"61-90",AND($AU60&gt;=91),"&gt; 90",AND($AU60&gt;=2000),""),"")</f>
        <v/>
      </c>
      <c r="AW60" s="79" t="str" cm="1">
        <f t="array" aca="1" ref="AW60" ca="1">IFERROR(_xlfn.IFS(OR($M60="",$AM60=""),"",OR($C60="Offered",$C60="Joined"),($AM60-$M60)-$AT60),"")</f>
        <v/>
      </c>
      <c r="AX60" s="79" t="str" cm="1">
        <f t="array" aca="1" ref="AX60" ca="1">IFERROR(_xlfn.IFS(OR($M60="",$AS60=""),"",$C60="Joined",($AS60-$M60)-$AT60),"")</f>
        <v/>
      </c>
      <c r="AY60" s="67" t="str">
        <f>IFERROR(IF(COUNTIFS('Candidate Tracker'!$E:$E,'Positions Tracker'!$B60,'Candidate Tracker'!$C:$C,"Offer Drop")=0,"",COUNTIFS('Candidate Tracker'!$E:$E,'Positions Tracker'!$B60,'Candidate Tracker'!$C:$C,"Offer Drop")),"")</f>
        <v/>
      </c>
      <c r="AZ60" s="80">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0.88111888111888115</v>
      </c>
      <c r="BA60" s="81" t="str">
        <f>IFERROR(IF(COUNTIFS('Candidate Tracker'!$E:$E,'Positions Tracker'!$B60,'Candidate Tracker'!$I:$I,"Female")=0,"",COUNTIFS('Candidate Tracker'!$E:$E,'Positions Tracker'!$B60,'Candidate Tracker'!$I:$I,"Female")),"")</f>
        <v/>
      </c>
      <c r="BB60" s="81" t="str">
        <f>IFERROR(IF(COUNTIFS('Candidate Tracker'!$E:$E,'Positions Tracker'!$B60,'Candidate Tracker'!$I:$I,"male")=0,"",COUNTIFS('Candidate Tracker'!$E:$E,'Positions Tracker'!$B60,'Candidate Tracker'!$I:$I,"male")),"")</f>
        <v/>
      </c>
      <c r="BC60" s="80" t="str">
        <f>IFERROR(IF(COUNTIFS('Candidate Tracker'!$E:$E,'Positions Tracker'!$B60,'Candidate Tracker'!$C:$C,"&lt;&gt;WIP",'Candidate Tracker'!$C:$C,"&lt;&gt;Hold",'Candidate Tracker'!$C:$C,"&lt;&gt;Cancelled",'Candidate Tracker'!$C:$C,"&lt;&gt;Closed")/COUNTIFS('Candidate Tracker'!$E:$E,'Positions Tracker'!$B60)=0,"",COUNTIFS('Candidate Tracker'!$E:$E,'Positions Tracker'!$B60,'Candidate Tracker'!$C:$C,"&lt;&gt;WIP",'Candidate Tracker'!$C:$C,"&lt;&gt;Hold",'Candidate Tracker'!$C:$C,"&lt;&gt;Cancelled",'Candidate Tracker'!$C:$C,"&lt;&gt;Closed")/COUNTIFS('Candidate Tracker'!$E:$E,'Positions Tracker'!$B60)),"")</f>
        <v/>
      </c>
      <c r="BD60" s="67" t="str">
        <f t="shared" si="1"/>
        <v>Jun-24</v>
      </c>
      <c r="BE60" s="67" t="str">
        <f t="shared" si="2"/>
        <v/>
      </c>
      <c r="BF60" s="67" t="str">
        <f t="shared" si="3"/>
        <v/>
      </c>
      <c r="BG60" s="67" t="str">
        <f t="shared" si="4"/>
        <v/>
      </c>
    </row>
    <row r="61" spans="1:59">
      <c r="A61" s="67">
        <f t="shared" si="5"/>
        <v>60</v>
      </c>
      <c r="B61" s="67">
        <v>20243678</v>
      </c>
      <c r="C61" s="67" t="s">
        <v>87</v>
      </c>
      <c r="D61" s="67" t="s">
        <v>87</v>
      </c>
      <c r="E61" s="67" t="s">
        <v>346</v>
      </c>
      <c r="F61" s="67" t="s">
        <v>347</v>
      </c>
      <c r="G61" s="67" t="s">
        <v>1</v>
      </c>
      <c r="H61" s="67" t="s">
        <v>347</v>
      </c>
      <c r="I61" s="67" t="s">
        <v>348</v>
      </c>
      <c r="J61" s="67" t="s">
        <v>70</v>
      </c>
      <c r="K61" s="68">
        <v>45462</v>
      </c>
      <c r="L61" s="68">
        <v>45462</v>
      </c>
      <c r="M61" s="68">
        <v>45463</v>
      </c>
      <c r="N61" s="67"/>
      <c r="O61" s="68">
        <v>45488</v>
      </c>
      <c r="P61" s="68"/>
      <c r="Q61" s="68"/>
      <c r="R61" s="68"/>
      <c r="S61" s="68"/>
      <c r="T61" s="68"/>
      <c r="U61" s="67"/>
      <c r="V61" s="67"/>
      <c r="W61" s="67"/>
      <c r="X61" s="67" t="s">
        <v>72</v>
      </c>
      <c r="Y61" s="67" t="s">
        <v>74</v>
      </c>
      <c r="Z61" s="67" t="s">
        <v>74</v>
      </c>
      <c r="AA61" s="67" t="s">
        <v>349</v>
      </c>
      <c r="AB61" s="67"/>
      <c r="AC61" s="67"/>
      <c r="AD61" s="67"/>
      <c r="AE61" s="67"/>
      <c r="AF61" s="67"/>
      <c r="AG61" s="67"/>
      <c r="AH61" s="68"/>
      <c r="AI61" s="68"/>
      <c r="AJ61" s="68"/>
      <c r="AK61" s="67"/>
      <c r="AL61" s="67"/>
      <c r="AM61" s="68"/>
      <c r="AN61" s="68"/>
      <c r="AO61" s="68"/>
      <c r="AP61" s="68"/>
      <c r="AQ61" s="68"/>
      <c r="AR61" s="68"/>
      <c r="AS61" s="68"/>
      <c r="AT61" s="67">
        <f t="shared" ca="1" si="6"/>
        <v>513</v>
      </c>
      <c r="AU61" s="79" t="str">
        <f t="shared" ca="1" si="7"/>
        <v/>
      </c>
      <c r="AV61" s="79" t="str" cm="1">
        <f t="array" aca="1" ref="AV61" ca="1">IFERROR(_xlfn.IFS($AU61="","",$AU61&lt;=15,"0-15",AND($AU61&gt;=16,$AU61&lt;=30),"16-30",AND($AU61&gt;=31,$AU61&lt;=45),"31-45",AND($AU61&gt;=46,$AU61&lt;=60),"46-60",AND($AU61&gt;=61,$AU61&lt;=90),"61-90",AND($AU61&gt;=91),"&gt; 90",AND($AU61&gt;=2000),""),"")</f>
        <v/>
      </c>
      <c r="AW61" s="79" t="str" cm="1">
        <f t="array" aca="1" ref="AW61" ca="1">IFERROR(_xlfn.IFS(OR($M61="",$AM61=""),"",OR($C61="Offered",$C61="Joined"),($AM61-$M61)-$AT61),"")</f>
        <v/>
      </c>
      <c r="AX61" s="79" t="str" cm="1">
        <f t="array" aca="1" ref="AX61" ca="1">IFERROR(_xlfn.IFS(OR($M61="",$AS61=""),"",$C61="Joined",($AS61-$M61)-$AT61),"")</f>
        <v/>
      </c>
      <c r="AY61" s="67" t="str">
        <f>IFERROR(IF(COUNTIFS('Candidate Tracker'!$E:$E,'Positions Tracker'!$B61,'Candidate Tracker'!$C:$C,"Offer Drop")=0,"",COUNTIFS('Candidate Tracker'!$E:$E,'Positions Tracker'!$B61,'Candidate Tracker'!$C:$C,"Offer Drop")),"")</f>
        <v/>
      </c>
      <c r="AZ61" s="80">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0.88111888111888115</v>
      </c>
      <c r="BA61" s="81" t="str">
        <f>IFERROR(IF(COUNTIFS('Candidate Tracker'!$E:$E,'Positions Tracker'!$B61,'Candidate Tracker'!$I:$I,"Female")=0,"",COUNTIFS('Candidate Tracker'!$E:$E,'Positions Tracker'!$B61,'Candidate Tracker'!$I:$I,"Female")),"")</f>
        <v/>
      </c>
      <c r="BB61" s="81" t="str">
        <f>IFERROR(IF(COUNTIFS('Candidate Tracker'!$E:$E,'Positions Tracker'!$B61,'Candidate Tracker'!$I:$I,"male")=0,"",COUNTIFS('Candidate Tracker'!$E:$E,'Positions Tracker'!$B61,'Candidate Tracker'!$I:$I,"male")),"")</f>
        <v/>
      </c>
      <c r="BC61" s="80" t="str">
        <f>IFERROR(IF(COUNTIFS('Candidate Tracker'!$E:$E,'Positions Tracker'!$B61,'Candidate Tracker'!$C:$C,"&lt;&gt;WIP",'Candidate Tracker'!$C:$C,"&lt;&gt;Hold",'Candidate Tracker'!$C:$C,"&lt;&gt;Cancelled",'Candidate Tracker'!$C:$C,"&lt;&gt;Closed")/COUNTIFS('Candidate Tracker'!$E:$E,'Positions Tracker'!$B61)=0,"",COUNTIFS('Candidate Tracker'!$E:$E,'Positions Tracker'!$B61,'Candidate Tracker'!$C:$C,"&lt;&gt;WIP",'Candidate Tracker'!$C:$C,"&lt;&gt;Hold",'Candidate Tracker'!$C:$C,"&lt;&gt;Cancelled",'Candidate Tracker'!$C:$C,"&lt;&gt;Closed")/COUNTIFS('Candidate Tracker'!$E:$E,'Positions Tracker'!$B61)),"")</f>
        <v/>
      </c>
      <c r="BD61" s="67" t="str">
        <f t="shared" si="1"/>
        <v>Jun-24</v>
      </c>
      <c r="BE61" s="67" t="str">
        <f t="shared" si="2"/>
        <v/>
      </c>
      <c r="BF61" s="67" t="str">
        <f t="shared" si="3"/>
        <v/>
      </c>
      <c r="BG61" s="67" t="str">
        <f t="shared" si="4"/>
        <v/>
      </c>
    </row>
    <row r="62" spans="1:59">
      <c r="A62" s="67">
        <f t="shared" si="5"/>
        <v>61</v>
      </c>
      <c r="B62" s="67">
        <v>20248908</v>
      </c>
      <c r="C62" s="67" t="s">
        <v>87</v>
      </c>
      <c r="D62" s="67" t="s">
        <v>87</v>
      </c>
      <c r="E62" s="67" t="s">
        <v>350</v>
      </c>
      <c r="F62" s="67" t="s">
        <v>351</v>
      </c>
      <c r="G62" s="67" t="s">
        <v>1</v>
      </c>
      <c r="H62" s="67" t="s">
        <v>351</v>
      </c>
      <c r="I62" s="67" t="s">
        <v>339</v>
      </c>
      <c r="J62" s="67" t="s">
        <v>70</v>
      </c>
      <c r="K62" s="68">
        <v>45602</v>
      </c>
      <c r="L62" s="68">
        <v>45602</v>
      </c>
      <c r="M62" s="68">
        <v>45604</v>
      </c>
      <c r="N62" s="67" t="s">
        <v>153</v>
      </c>
      <c r="O62" s="68">
        <v>45623</v>
      </c>
      <c r="P62" s="68">
        <v>45645</v>
      </c>
      <c r="Q62" s="68"/>
      <c r="R62" s="68"/>
      <c r="S62" s="68"/>
      <c r="T62" s="68"/>
      <c r="U62" s="67"/>
      <c r="V62" s="67"/>
      <c r="W62" s="67"/>
      <c r="X62" s="67" t="s">
        <v>72</v>
      </c>
      <c r="Y62" s="67" t="s">
        <v>74</v>
      </c>
      <c r="Z62" s="67" t="s">
        <v>74</v>
      </c>
      <c r="AA62" s="67" t="s">
        <v>340</v>
      </c>
      <c r="AB62" s="67"/>
      <c r="AC62" s="67"/>
      <c r="AD62" s="67"/>
      <c r="AE62" s="67"/>
      <c r="AF62" s="67"/>
      <c r="AG62" s="67"/>
      <c r="AH62" s="68"/>
      <c r="AI62" s="68"/>
      <c r="AJ62" s="68"/>
      <c r="AK62" s="67"/>
      <c r="AL62" s="67"/>
      <c r="AM62" s="68"/>
      <c r="AN62" s="68"/>
      <c r="AO62" s="68"/>
      <c r="AP62" s="68"/>
      <c r="AQ62" s="68"/>
      <c r="AR62" s="68"/>
      <c r="AS62" s="68"/>
      <c r="AT62" s="67">
        <f t="shared" ca="1" si="6"/>
        <v>734</v>
      </c>
      <c r="AU62" s="79" t="str">
        <f t="shared" ca="1" si="7"/>
        <v/>
      </c>
      <c r="AV62" s="79" t="str" cm="1">
        <f t="array" aca="1" ref="AV62" ca="1">IFERROR(_xlfn.IFS($AU62="","",$AU62&lt;=15,"0-15",AND($AU62&gt;=16,$AU62&lt;=30),"16-30",AND($AU62&gt;=31,$AU62&lt;=45),"31-45",AND($AU62&gt;=46,$AU62&lt;=60),"46-60",AND($AU62&gt;=61,$AU62&lt;=90),"61-90",AND($AU62&gt;=91),"&gt; 90",AND($AU62&gt;=2000),""),"")</f>
        <v/>
      </c>
      <c r="AW62" s="79" t="str" cm="1">
        <f t="array" aca="1" ref="AW62" ca="1">IFERROR(_xlfn.IFS(OR($M62="",$AM62=""),"",OR($C62="Offered",$C62="Joined"),($AM62-$M62)-$AT62),"")</f>
        <v/>
      </c>
      <c r="AX62" s="79" t="str" cm="1">
        <f t="array" aca="1" ref="AX62" ca="1">IFERROR(_xlfn.IFS(OR($M62="",$AS62=""),"",$C62="Joined",($AS62-$M62)-$AT62),"")</f>
        <v/>
      </c>
      <c r="AY62" s="67" t="str">
        <f>IFERROR(IF(COUNTIFS('Candidate Tracker'!$E:$E,'Positions Tracker'!$B62,'Candidate Tracker'!$C:$C,"Offer Drop")=0,"",COUNTIFS('Candidate Tracker'!$E:$E,'Positions Tracker'!$B62,'Candidate Tracker'!$C:$C,"Offer Drop")),"")</f>
        <v/>
      </c>
      <c r="AZ62" s="80">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0.88111888111888115</v>
      </c>
      <c r="BA62" s="81" t="str">
        <f>IFERROR(IF(COUNTIFS('Candidate Tracker'!$E:$E,'Positions Tracker'!$B62,'Candidate Tracker'!$I:$I,"Female")=0,"",COUNTIFS('Candidate Tracker'!$E:$E,'Positions Tracker'!$B62,'Candidate Tracker'!$I:$I,"Female")),"")</f>
        <v/>
      </c>
      <c r="BB62" s="81" t="str">
        <f>IFERROR(IF(COUNTIFS('Candidate Tracker'!$E:$E,'Positions Tracker'!$B62,'Candidate Tracker'!$I:$I,"male")=0,"",COUNTIFS('Candidate Tracker'!$E:$E,'Positions Tracker'!$B62,'Candidate Tracker'!$I:$I,"male")),"")</f>
        <v/>
      </c>
      <c r="BC62" s="80" t="str">
        <f>IFERROR(IF(COUNTIFS('Candidate Tracker'!$E:$E,'Positions Tracker'!$B62,'Candidate Tracker'!$C:$C,"&lt;&gt;WIP",'Candidate Tracker'!$C:$C,"&lt;&gt;Hold",'Candidate Tracker'!$C:$C,"&lt;&gt;Cancelled",'Candidate Tracker'!$C:$C,"&lt;&gt;Closed")/COUNTIFS('Candidate Tracker'!$E:$E,'Positions Tracker'!$B62)=0,"",COUNTIFS('Candidate Tracker'!$E:$E,'Positions Tracker'!$B62,'Candidate Tracker'!$C:$C,"&lt;&gt;WIP",'Candidate Tracker'!$C:$C,"&lt;&gt;Hold",'Candidate Tracker'!$C:$C,"&lt;&gt;Cancelled",'Candidate Tracker'!$C:$C,"&lt;&gt;Closed")/COUNTIFS('Candidate Tracker'!$E:$E,'Positions Tracker'!$B62)),"")</f>
        <v/>
      </c>
      <c r="BD62" s="67" t="str">
        <f t="shared" si="1"/>
        <v>Nov-24</v>
      </c>
      <c r="BE62" s="67" t="str">
        <f t="shared" si="2"/>
        <v/>
      </c>
      <c r="BF62" s="67" t="str">
        <f t="shared" si="3"/>
        <v/>
      </c>
      <c r="BG62" s="67" t="str">
        <f t="shared" si="4"/>
        <v/>
      </c>
    </row>
    <row r="63" spans="1:59">
      <c r="A63" s="67">
        <f t="shared" si="5"/>
        <v>62</v>
      </c>
      <c r="B63" s="67">
        <v>20240979</v>
      </c>
      <c r="C63" s="67" t="s">
        <v>64</v>
      </c>
      <c r="D63" s="67" t="s">
        <v>64</v>
      </c>
      <c r="E63" s="67" t="s">
        <v>352</v>
      </c>
      <c r="F63" s="67" t="s">
        <v>353</v>
      </c>
      <c r="G63" s="67" t="s">
        <v>3</v>
      </c>
      <c r="H63" s="67" t="s">
        <v>353</v>
      </c>
      <c r="I63" s="67" t="s">
        <v>354</v>
      </c>
      <c r="J63" s="67" t="s">
        <v>70</v>
      </c>
      <c r="K63" s="68">
        <v>45509</v>
      </c>
      <c r="L63" s="68">
        <v>45509</v>
      </c>
      <c r="M63" s="68">
        <v>45509</v>
      </c>
      <c r="N63" s="67" t="s">
        <v>71</v>
      </c>
      <c r="O63" s="68"/>
      <c r="P63" s="68"/>
      <c r="Q63" s="68"/>
      <c r="R63" s="68"/>
      <c r="S63" s="68"/>
      <c r="T63" s="68"/>
      <c r="U63" s="67"/>
      <c r="V63" s="67"/>
      <c r="W63" s="67"/>
      <c r="X63" s="67" t="s">
        <v>72</v>
      </c>
      <c r="Y63" s="67" t="s">
        <v>74</v>
      </c>
      <c r="Z63" s="67" t="s">
        <v>74</v>
      </c>
      <c r="AA63" s="67" t="s">
        <v>355</v>
      </c>
      <c r="AB63" s="67"/>
      <c r="AC63" s="67"/>
      <c r="AD63" s="67"/>
      <c r="AE63" s="67"/>
      <c r="AF63" s="67"/>
      <c r="AG63" s="67"/>
      <c r="AH63" s="68"/>
      <c r="AI63" s="68"/>
      <c r="AJ63" s="68"/>
      <c r="AK63" s="67"/>
      <c r="AL63" s="67"/>
      <c r="AM63" s="68"/>
      <c r="AN63" s="68"/>
      <c r="AO63" s="68"/>
      <c r="AP63" s="68"/>
      <c r="AQ63" s="68"/>
      <c r="AR63" s="68"/>
      <c r="AS63" s="68"/>
      <c r="AT63" s="67">
        <f t="shared" ca="1" si="6"/>
        <v>0</v>
      </c>
      <c r="AU63" s="79" t="str">
        <f t="shared" ca="1" si="7"/>
        <v/>
      </c>
      <c r="AV63" s="79" t="str" cm="1">
        <f t="array" aca="1" ref="AV63" ca="1">IFERROR(_xlfn.IFS($AU63="","",$AU63&lt;=15,"0-15",AND($AU63&gt;=16,$AU63&lt;=30),"16-30",AND($AU63&gt;=31,$AU63&lt;=45),"31-45",AND($AU63&gt;=46,$AU63&lt;=60),"46-60",AND($AU63&gt;=61,$AU63&lt;=90),"61-90",AND($AU63&gt;=91),"&gt; 90",AND($AU63&gt;=2000),""),"")</f>
        <v/>
      </c>
      <c r="AW63" s="79" t="str" cm="1">
        <f t="array" aca="1" ref="AW63" ca="1">IFERROR(_xlfn.IFS(OR($M63="",$AM63=""),"",OR($C63="Offered",$C63="Joined"),($AM63-$M63)-$AT63),"")</f>
        <v/>
      </c>
      <c r="AX63" s="79" t="str" cm="1">
        <f t="array" aca="1" ref="AX63" ca="1">IFERROR(_xlfn.IFS(OR($M63="",$AS63=""),"",$C63="Joined",($AS63-$M63)-$AT63),"")</f>
        <v/>
      </c>
      <c r="AY63" s="67" t="str">
        <f>IFERROR(IF(COUNTIFS('Candidate Tracker'!$E:$E,'Positions Tracker'!$B63,'Candidate Tracker'!$C:$C,"Offer Drop")=0,"",COUNTIFS('Candidate Tracker'!$E:$E,'Positions Tracker'!$B63,'Candidate Tracker'!$C:$C,"Offer Drop")),"")</f>
        <v/>
      </c>
      <c r="AZ63" s="80">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0.88111888111888115</v>
      </c>
      <c r="BA63" s="81" t="str">
        <f>IFERROR(IF(COUNTIFS('Candidate Tracker'!$E:$E,'Positions Tracker'!$B63,'Candidate Tracker'!$I:$I,"Female")=0,"",COUNTIFS('Candidate Tracker'!$E:$E,'Positions Tracker'!$B63,'Candidate Tracker'!$I:$I,"Female")),"")</f>
        <v/>
      </c>
      <c r="BB63" s="81" t="str">
        <f>IFERROR(IF(COUNTIFS('Candidate Tracker'!$E:$E,'Positions Tracker'!$B63,'Candidate Tracker'!$I:$I,"male")=0,"",COUNTIFS('Candidate Tracker'!$E:$E,'Positions Tracker'!$B63,'Candidate Tracker'!$I:$I,"male")),"")</f>
        <v/>
      </c>
      <c r="BC63" s="80" t="str">
        <f>IFERROR(IF(COUNTIFS('Candidate Tracker'!$E:$E,'Positions Tracker'!$B63,'Candidate Tracker'!$C:$C,"&lt;&gt;WIP",'Candidate Tracker'!$C:$C,"&lt;&gt;Hold",'Candidate Tracker'!$C:$C,"&lt;&gt;Cancelled",'Candidate Tracker'!$C:$C,"&lt;&gt;Closed")/COUNTIFS('Candidate Tracker'!$E:$E,'Positions Tracker'!$B63)=0,"",COUNTIFS('Candidate Tracker'!$E:$E,'Positions Tracker'!$B63,'Candidate Tracker'!$C:$C,"&lt;&gt;WIP",'Candidate Tracker'!$C:$C,"&lt;&gt;Hold",'Candidate Tracker'!$C:$C,"&lt;&gt;Cancelled",'Candidate Tracker'!$C:$C,"&lt;&gt;Closed")/COUNTIFS('Candidate Tracker'!$E:$E,'Positions Tracker'!$B63)),"")</f>
        <v/>
      </c>
      <c r="BD63" s="67" t="str">
        <f t="shared" si="1"/>
        <v>Aug-24</v>
      </c>
      <c r="BE63" s="67" t="str">
        <f t="shared" si="2"/>
        <v/>
      </c>
      <c r="BF63" s="67" t="str">
        <f t="shared" si="3"/>
        <v/>
      </c>
      <c r="BG63" s="67" t="str">
        <f t="shared" si="4"/>
        <v/>
      </c>
    </row>
    <row r="64" spans="1:59" ht="29">
      <c r="A64" s="67">
        <f t="shared" si="5"/>
        <v>63</v>
      </c>
      <c r="B64" s="67">
        <v>20240980</v>
      </c>
      <c r="C64" s="67" t="s">
        <v>55</v>
      </c>
      <c r="D64" s="67" t="s">
        <v>80</v>
      </c>
      <c r="E64" s="67" t="s">
        <v>352</v>
      </c>
      <c r="F64" s="67" t="s">
        <v>353</v>
      </c>
      <c r="G64" s="67" t="s">
        <v>3</v>
      </c>
      <c r="H64" s="67" t="s">
        <v>68</v>
      </c>
      <c r="I64" s="67" t="s">
        <v>356</v>
      </c>
      <c r="J64" s="67" t="s">
        <v>70</v>
      </c>
      <c r="K64" s="68">
        <v>45580</v>
      </c>
      <c r="L64" s="68">
        <v>45580</v>
      </c>
      <c r="M64" s="68">
        <v>45581</v>
      </c>
      <c r="N64" s="67" t="s">
        <v>71</v>
      </c>
      <c r="O64" s="68"/>
      <c r="P64" s="68"/>
      <c r="Q64" s="68"/>
      <c r="R64" s="68"/>
      <c r="S64" s="68"/>
      <c r="T64" s="68"/>
      <c r="U64" s="67"/>
      <c r="V64" s="67"/>
      <c r="W64" s="67"/>
      <c r="X64" s="67" t="s">
        <v>72</v>
      </c>
      <c r="Y64" s="67" t="s">
        <v>74</v>
      </c>
      <c r="Z64" s="67" t="s">
        <v>74</v>
      </c>
      <c r="AA64" s="69" t="s">
        <v>357</v>
      </c>
      <c r="AB64" s="67"/>
      <c r="AC64" s="67"/>
      <c r="AD64" s="67"/>
      <c r="AE64" s="67" t="s">
        <v>358</v>
      </c>
      <c r="AF64" s="67">
        <v>8421741813</v>
      </c>
      <c r="AG64" s="67" t="s">
        <v>359</v>
      </c>
      <c r="AH64" s="68" t="s">
        <v>86</v>
      </c>
      <c r="AI64" s="68">
        <v>45655</v>
      </c>
      <c r="AJ64" s="68">
        <v>45657</v>
      </c>
      <c r="AK64" s="67" t="s">
        <v>72</v>
      </c>
      <c r="AL64" s="67">
        <v>850000</v>
      </c>
      <c r="AM64" s="68">
        <v>45670</v>
      </c>
      <c r="AN64" s="68">
        <v>45670</v>
      </c>
      <c r="AO64" s="68">
        <v>45670</v>
      </c>
      <c r="AP64" s="68">
        <v>45672</v>
      </c>
      <c r="AQ64" s="68">
        <v>45672</v>
      </c>
      <c r="AR64" s="68">
        <v>45673</v>
      </c>
      <c r="AS64" s="68">
        <v>45677</v>
      </c>
      <c r="AT64" s="67">
        <f t="shared" ca="1" si="6"/>
        <v>0</v>
      </c>
      <c r="AU64" s="79" t="str">
        <f t="shared" ca="1" si="7"/>
        <v/>
      </c>
      <c r="AV64" s="79" t="str" cm="1">
        <f t="array" aca="1" ref="AV64" ca="1">IFERROR(_xlfn.IFS($AU64="","",$AU64&lt;=15,"0-15",AND($AU64&gt;=16,$AU64&lt;=30),"16-30",AND($AU64&gt;=31,$AU64&lt;=45),"31-45",AND($AU64&gt;=46,$AU64&lt;=60),"46-60",AND($AU64&gt;=61,$AU64&lt;=90),"61-90",AND($AU64&gt;=91),"&gt; 90",AND($AU64&gt;=2000),""),"")</f>
        <v/>
      </c>
      <c r="AW64" s="79" t="str" cm="1">
        <f t="array" aca="1" ref="AW64" ca="1">IFERROR(_xlfn.IFS(OR($M64="",$AM64=""),"",OR($C64="Offered",$C64="Joined"),($AM64-$M64)-$AT64),"")</f>
        <v/>
      </c>
      <c r="AX64" s="79" t="str" cm="1">
        <f t="array" aca="1" ref="AX64" ca="1">IFERROR(_xlfn.IFS(OR($M64="",$AS64=""),"",$C64="Joined",($AS64-$M64)-$AT64),"")</f>
        <v/>
      </c>
      <c r="AY64" s="67" t="str">
        <f>IFERROR(IF(COUNTIFS('Candidate Tracker'!$E:$E,'Positions Tracker'!$B64,'Candidate Tracker'!$C:$C,"Offer Drop")=0,"",COUNTIFS('Candidate Tracker'!$E:$E,'Positions Tracker'!$B64,'Candidate Tracker'!$C:$C,"Offer Drop")),"")</f>
        <v/>
      </c>
      <c r="AZ64" s="80">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0.88111888111888115</v>
      </c>
      <c r="BA64" s="81" t="str">
        <f>IFERROR(IF(COUNTIFS('Candidate Tracker'!$E:$E,'Positions Tracker'!$B64,'Candidate Tracker'!$I:$I,"Female")=0,"",COUNTIFS('Candidate Tracker'!$E:$E,'Positions Tracker'!$B64,'Candidate Tracker'!$I:$I,"Female")),"")</f>
        <v/>
      </c>
      <c r="BB64" s="81" t="str">
        <f>IFERROR(IF(COUNTIFS('Candidate Tracker'!$E:$E,'Positions Tracker'!$B64,'Candidate Tracker'!$I:$I,"male")=0,"",COUNTIFS('Candidate Tracker'!$E:$E,'Positions Tracker'!$B64,'Candidate Tracker'!$I:$I,"male")),"")</f>
        <v/>
      </c>
      <c r="BC64" s="80" t="str">
        <f>IFERROR(IF(COUNTIFS('Candidate Tracker'!$E:$E,'Positions Tracker'!$B64,'Candidate Tracker'!$C:$C,"&lt;&gt;WIP",'Candidate Tracker'!$C:$C,"&lt;&gt;Hold",'Candidate Tracker'!$C:$C,"&lt;&gt;Cancelled",'Candidate Tracker'!$C:$C,"&lt;&gt;Closed")/COUNTIFS('Candidate Tracker'!$E:$E,'Positions Tracker'!$B64)=0,"",COUNTIFS('Candidate Tracker'!$E:$E,'Positions Tracker'!$B64,'Candidate Tracker'!$C:$C,"&lt;&gt;WIP",'Candidate Tracker'!$C:$C,"&lt;&gt;Hold",'Candidate Tracker'!$C:$C,"&lt;&gt;Cancelled",'Candidate Tracker'!$C:$C,"&lt;&gt;Closed")/COUNTIFS('Candidate Tracker'!$E:$E,'Positions Tracker'!$B64)),"")</f>
        <v/>
      </c>
      <c r="BD64" s="67" t="str">
        <f t="shared" si="1"/>
        <v>Oct-24</v>
      </c>
      <c r="BE64" s="67" t="str">
        <f t="shared" si="2"/>
        <v>Dec-24</v>
      </c>
      <c r="BF64" s="67" t="str">
        <f t="shared" si="3"/>
        <v>Jan-25</v>
      </c>
      <c r="BG64" s="67" t="str">
        <f t="shared" si="4"/>
        <v>Jan-25</v>
      </c>
    </row>
    <row r="65" spans="1:59">
      <c r="A65" s="67">
        <f t="shared" si="5"/>
        <v>64</v>
      </c>
      <c r="B65" s="67">
        <v>20242136</v>
      </c>
      <c r="C65" s="67" t="s">
        <v>116</v>
      </c>
      <c r="D65" s="67" t="s">
        <v>116</v>
      </c>
      <c r="E65" s="67" t="s">
        <v>360</v>
      </c>
      <c r="F65" s="67" t="s">
        <v>361</v>
      </c>
      <c r="G65" s="67" t="s">
        <v>1</v>
      </c>
      <c r="H65" s="67" t="s">
        <v>361</v>
      </c>
      <c r="I65" s="67" t="s">
        <v>362</v>
      </c>
      <c r="J65" s="67" t="s">
        <v>70</v>
      </c>
      <c r="K65" s="68">
        <v>45518</v>
      </c>
      <c r="L65" s="68">
        <v>45518</v>
      </c>
      <c r="M65" s="68">
        <v>45520</v>
      </c>
      <c r="N65" s="67" t="s">
        <v>153</v>
      </c>
      <c r="O65" s="68"/>
      <c r="P65" s="68"/>
      <c r="Q65" s="68"/>
      <c r="R65" s="68"/>
      <c r="S65" s="68"/>
      <c r="T65" s="68"/>
      <c r="U65" s="67"/>
      <c r="V65" s="67"/>
      <c r="W65" s="67"/>
      <c r="X65" s="67" t="s">
        <v>72</v>
      </c>
      <c r="Y65" s="67" t="s">
        <v>74</v>
      </c>
      <c r="Z65" s="67" t="s">
        <v>74</v>
      </c>
      <c r="AA65" s="67" t="s">
        <v>363</v>
      </c>
      <c r="AB65" s="67"/>
      <c r="AC65" s="67"/>
      <c r="AD65" s="67"/>
      <c r="AE65" s="67" t="s">
        <v>364</v>
      </c>
      <c r="AF65" s="67">
        <v>9699429920</v>
      </c>
      <c r="AG65" s="67" t="s">
        <v>365</v>
      </c>
      <c r="AH65" s="68" t="s">
        <v>123</v>
      </c>
      <c r="AI65" s="68">
        <v>45617</v>
      </c>
      <c r="AJ65" s="68">
        <v>45619</v>
      </c>
      <c r="AK65" s="67" t="s">
        <v>72</v>
      </c>
      <c r="AL65" s="67">
        <v>1680000</v>
      </c>
      <c r="AM65" s="68">
        <v>45617</v>
      </c>
      <c r="AN65" s="68">
        <v>45624</v>
      </c>
      <c r="AO65" s="68"/>
      <c r="AP65" s="68">
        <v>45625</v>
      </c>
      <c r="AQ65" s="68">
        <v>45625</v>
      </c>
      <c r="AR65" s="68">
        <v>45626</v>
      </c>
      <c r="AS65" s="68">
        <v>45628</v>
      </c>
      <c r="AT65" s="67">
        <f t="shared" ca="1" si="6"/>
        <v>0</v>
      </c>
      <c r="AU65" s="79" t="str">
        <f t="shared" ca="1" si="7"/>
        <v/>
      </c>
      <c r="AV65" s="79" t="str" cm="1">
        <f t="array" aca="1" ref="AV65" ca="1">IFERROR(_xlfn.IFS($AU65="","",$AU65&lt;=15,"0-15",AND($AU65&gt;=16,$AU65&lt;=30),"16-30",AND($AU65&gt;=31,$AU65&lt;=45),"31-45",AND($AU65&gt;=46,$AU65&lt;=60),"46-60",AND($AU65&gt;=61,$AU65&lt;=90),"61-90",AND($AU65&gt;=91),"&gt; 90",AND($AU65&gt;=2000),""),"")</f>
        <v/>
      </c>
      <c r="AW65" s="79" cm="1">
        <f t="array" aca="1" ref="AW65" ca="1">IFERROR(_xlfn.IFS(OR($M65="",$AM65=""),"",OR($C65="Offered",$C65="Joined"),($AM65-$M65)-$AT65),"")</f>
        <v>97</v>
      </c>
      <c r="AX65" s="79" cm="1">
        <f t="array" aca="1" ref="AX65" ca="1">IFERROR(_xlfn.IFS(OR($M65="",$AS65=""),"",$C65="Joined",($AS65-$M65)-$AT65),"")</f>
        <v>108</v>
      </c>
      <c r="AY65" s="67" t="str">
        <f>IFERROR(IF(COUNTIFS('Candidate Tracker'!$E:$E,'Positions Tracker'!$B65,'Candidate Tracker'!$C:$C,"Offer Drop")=0,"",COUNTIFS('Candidate Tracker'!$E:$E,'Positions Tracker'!$B65,'Candidate Tracker'!$C:$C,"Offer Drop")),"")</f>
        <v/>
      </c>
      <c r="AZ65" s="80">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0.88111888111888115</v>
      </c>
      <c r="BA65" s="81" t="str">
        <f>IFERROR(IF(COUNTIFS('Candidate Tracker'!$E:$E,'Positions Tracker'!$B65,'Candidate Tracker'!$I:$I,"Female")=0,"",COUNTIFS('Candidate Tracker'!$E:$E,'Positions Tracker'!$B65,'Candidate Tracker'!$I:$I,"Female")),"")</f>
        <v/>
      </c>
      <c r="BB65" s="81">
        <f>IFERROR(IF(COUNTIFS('Candidate Tracker'!$E:$E,'Positions Tracker'!$B65,'Candidate Tracker'!$I:$I,"male")=0,"",COUNTIFS('Candidate Tracker'!$E:$E,'Positions Tracker'!$B65,'Candidate Tracker'!$I:$I,"male")),"")</f>
        <v>1</v>
      </c>
      <c r="BC65" s="80">
        <f>IFERROR(IF(COUNTIFS('Candidate Tracker'!$E:$E,'Positions Tracker'!$B65,'Candidate Tracker'!$C:$C,"&lt;&gt;WIP",'Candidate Tracker'!$C:$C,"&lt;&gt;Hold",'Candidate Tracker'!$C:$C,"&lt;&gt;Cancelled",'Candidate Tracker'!$C:$C,"&lt;&gt;Closed")/COUNTIFS('Candidate Tracker'!$E:$E,'Positions Tracker'!$B65)=0,"",COUNTIFS('Candidate Tracker'!$E:$E,'Positions Tracker'!$B65,'Candidate Tracker'!$C:$C,"&lt;&gt;WIP",'Candidate Tracker'!$C:$C,"&lt;&gt;Hold",'Candidate Tracker'!$C:$C,"&lt;&gt;Cancelled",'Candidate Tracker'!$C:$C,"&lt;&gt;Closed")/COUNTIFS('Candidate Tracker'!$E:$E,'Positions Tracker'!$B65)),"")</f>
        <v>1</v>
      </c>
      <c r="BD65" s="67" t="str">
        <f t="shared" si="1"/>
        <v>Aug-24</v>
      </c>
      <c r="BE65" s="67" t="str">
        <f t="shared" si="2"/>
        <v>Nov-24</v>
      </c>
      <c r="BF65" s="67" t="str">
        <f t="shared" si="3"/>
        <v>Nov-24</v>
      </c>
      <c r="BG65" s="67" t="str">
        <f t="shared" si="4"/>
        <v>Dec-24</v>
      </c>
    </row>
    <row r="66" spans="1:59">
      <c r="A66" s="67">
        <f t="shared" si="5"/>
        <v>65</v>
      </c>
      <c r="B66" s="67">
        <v>20242770</v>
      </c>
      <c r="C66" s="67" t="s">
        <v>64</v>
      </c>
      <c r="D66" s="67" t="s">
        <v>65</v>
      </c>
      <c r="E66" s="67" t="s">
        <v>366</v>
      </c>
      <c r="F66" s="67" t="s">
        <v>367</v>
      </c>
      <c r="G66" s="67" t="s">
        <v>1</v>
      </c>
      <c r="H66" s="67" t="s">
        <v>367</v>
      </c>
      <c r="I66" s="67" t="s">
        <v>368</v>
      </c>
      <c r="J66" s="67" t="s">
        <v>70</v>
      </c>
      <c r="K66" s="68">
        <v>45518</v>
      </c>
      <c r="L66" s="68">
        <v>45518</v>
      </c>
      <c r="M66" s="68">
        <v>45518</v>
      </c>
      <c r="N66" s="67"/>
      <c r="O66" s="68"/>
      <c r="P66" s="68"/>
      <c r="Q66" s="68"/>
      <c r="R66" s="68"/>
      <c r="S66" s="68"/>
      <c r="T66" s="68"/>
      <c r="U66" s="67"/>
      <c r="V66" s="67"/>
      <c r="W66" s="67"/>
      <c r="X66" s="67" t="s">
        <v>72</v>
      </c>
      <c r="Y66" s="67" t="s">
        <v>74</v>
      </c>
      <c r="Z66" s="67" t="s">
        <v>74</v>
      </c>
      <c r="AA66" s="67" t="s">
        <v>369</v>
      </c>
      <c r="AB66" s="67"/>
      <c r="AC66" s="67"/>
      <c r="AD66" s="67"/>
      <c r="AE66" s="67" t="s">
        <v>370</v>
      </c>
      <c r="AF66" s="67">
        <v>9850095704</v>
      </c>
      <c r="AG66" s="67" t="s">
        <v>371</v>
      </c>
      <c r="AH66" s="68" t="s">
        <v>123</v>
      </c>
      <c r="AI66" s="68"/>
      <c r="AJ66" s="68"/>
      <c r="AK66" s="67"/>
      <c r="AL66" s="67"/>
      <c r="AM66" s="68"/>
      <c r="AN66" s="68"/>
      <c r="AO66" s="68"/>
      <c r="AP66" s="68"/>
      <c r="AQ66" s="68"/>
      <c r="AR66" s="68"/>
      <c r="AS66" s="68"/>
      <c r="AT66" s="67">
        <f t="shared" ca="1" si="6"/>
        <v>0</v>
      </c>
      <c r="AU66" s="79" t="str">
        <f t="shared" ca="1" si="7"/>
        <v/>
      </c>
      <c r="AV66" s="79" t="str" cm="1">
        <f t="array" aca="1" ref="AV66" ca="1">IFERROR(_xlfn.IFS($AU66="","",$AU66&lt;=15,"0-15",AND($AU66&gt;=16,$AU66&lt;=30),"16-30",AND($AU66&gt;=31,$AU66&lt;=45),"31-45",AND($AU66&gt;=46,$AU66&lt;=60),"46-60",AND($AU66&gt;=61,$AU66&lt;=90),"61-90",AND($AU66&gt;=91),"&gt; 90",AND($AU66&gt;=2000),""),"")</f>
        <v/>
      </c>
      <c r="AW66" s="79" t="str" cm="1">
        <f t="array" aca="1" ref="AW66" ca="1">IFERROR(_xlfn.IFS(OR($M66="",$AM66=""),"",OR($C66="Offered",$C66="Joined"),($AM66-$M66)-$AT66),"")</f>
        <v/>
      </c>
      <c r="AX66" s="79" t="str" cm="1">
        <f t="array" aca="1" ref="AX66" ca="1">IFERROR(_xlfn.IFS(OR($M66="",$AS66=""),"",$C66="Joined",($AS66-$M66)-$AT66),"")</f>
        <v/>
      </c>
      <c r="AY66" s="67" t="str">
        <f>IFERROR(IF(COUNTIFS('Candidate Tracker'!$E:$E,'Positions Tracker'!$B66,'Candidate Tracker'!$C:$C,"Offer Drop")=0,"",COUNTIFS('Candidate Tracker'!$E:$E,'Positions Tracker'!$B66,'Candidate Tracker'!$C:$C,"Offer Drop")),"")</f>
        <v/>
      </c>
      <c r="AZ66" s="80">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0.88111888111888115</v>
      </c>
      <c r="BA66" s="81" t="str">
        <f>IFERROR(IF(COUNTIFS('Candidate Tracker'!$E:$E,'Positions Tracker'!$B66,'Candidate Tracker'!$I:$I,"Female")=0,"",COUNTIFS('Candidate Tracker'!$E:$E,'Positions Tracker'!$B66,'Candidate Tracker'!$I:$I,"Female")),"")</f>
        <v/>
      </c>
      <c r="BB66" s="81" t="str">
        <f>IFERROR(IF(COUNTIFS('Candidate Tracker'!$E:$E,'Positions Tracker'!$B66,'Candidate Tracker'!$I:$I,"male")=0,"",COUNTIFS('Candidate Tracker'!$E:$E,'Positions Tracker'!$B66,'Candidate Tracker'!$I:$I,"male")),"")</f>
        <v/>
      </c>
      <c r="BC66" s="80" t="str">
        <f>IFERROR(IF(COUNTIFS('Candidate Tracker'!$E:$E,'Positions Tracker'!$B66,'Candidate Tracker'!$C:$C,"&lt;&gt;WIP",'Candidate Tracker'!$C:$C,"&lt;&gt;Hold",'Candidate Tracker'!$C:$C,"&lt;&gt;Cancelled",'Candidate Tracker'!$C:$C,"&lt;&gt;Closed")/COUNTIFS('Candidate Tracker'!$E:$E,'Positions Tracker'!$B66)=0,"",COUNTIFS('Candidate Tracker'!$E:$E,'Positions Tracker'!$B66,'Candidate Tracker'!$C:$C,"&lt;&gt;WIP",'Candidate Tracker'!$C:$C,"&lt;&gt;Hold",'Candidate Tracker'!$C:$C,"&lt;&gt;Cancelled",'Candidate Tracker'!$C:$C,"&lt;&gt;Closed")/COUNTIFS('Candidate Tracker'!$E:$E,'Positions Tracker'!$B66)),"")</f>
        <v/>
      </c>
      <c r="BD66" s="67" t="str">
        <f t="shared" si="1"/>
        <v>Aug-24</v>
      </c>
      <c r="BE66" s="67" t="str">
        <f t="shared" si="2"/>
        <v/>
      </c>
      <c r="BF66" s="67" t="str">
        <f t="shared" si="3"/>
        <v/>
      </c>
      <c r="BG66" s="67" t="str">
        <f t="shared" si="4"/>
        <v/>
      </c>
    </row>
    <row r="67" spans="1:59">
      <c r="A67" s="67">
        <f t="shared" ref="A67:A130" si="8">A66+1</f>
        <v>66</v>
      </c>
      <c r="B67" s="67">
        <v>20245238</v>
      </c>
      <c r="C67" s="67" t="s">
        <v>64</v>
      </c>
      <c r="D67" s="67" t="s">
        <v>65</v>
      </c>
      <c r="E67" s="67" t="s">
        <v>372</v>
      </c>
      <c r="F67" s="67" t="s">
        <v>373</v>
      </c>
      <c r="G67" s="67" t="s">
        <v>1</v>
      </c>
      <c r="H67" s="67" t="s">
        <v>374</v>
      </c>
      <c r="I67" s="67" t="s">
        <v>375</v>
      </c>
      <c r="J67" s="67" t="s">
        <v>70</v>
      </c>
      <c r="K67" s="68">
        <v>45518</v>
      </c>
      <c r="L67" s="68">
        <v>45518</v>
      </c>
      <c r="M67" s="68">
        <v>45518</v>
      </c>
      <c r="N67" s="67"/>
      <c r="O67" s="68"/>
      <c r="P67" s="68"/>
      <c r="Q67" s="68"/>
      <c r="R67" s="68"/>
      <c r="S67" s="68"/>
      <c r="T67" s="68"/>
      <c r="U67" s="67"/>
      <c r="V67" s="67"/>
      <c r="W67" s="67"/>
      <c r="X67" s="67" t="s">
        <v>72</v>
      </c>
      <c r="Y67" s="67" t="s">
        <v>74</v>
      </c>
      <c r="Z67" s="67" t="s">
        <v>74</v>
      </c>
      <c r="AA67" s="67" t="s">
        <v>376</v>
      </c>
      <c r="AB67" s="67"/>
      <c r="AC67" s="67"/>
      <c r="AD67" s="67"/>
      <c r="AE67" s="67" t="s">
        <v>377</v>
      </c>
      <c r="AF67" s="67">
        <v>8237707010</v>
      </c>
      <c r="AG67" s="67" t="s">
        <v>378</v>
      </c>
      <c r="AH67" s="68" t="s">
        <v>123</v>
      </c>
      <c r="AI67" s="68">
        <v>45627</v>
      </c>
      <c r="AJ67" s="68">
        <v>45629</v>
      </c>
      <c r="AK67" s="67" t="s">
        <v>72</v>
      </c>
      <c r="AL67" s="67">
        <v>650000</v>
      </c>
      <c r="AM67" s="68">
        <v>45630</v>
      </c>
      <c r="AN67" s="68">
        <v>45630</v>
      </c>
      <c r="AO67" s="68"/>
      <c r="AP67" s="68">
        <v>45631</v>
      </c>
      <c r="AQ67" s="68">
        <v>45631</v>
      </c>
      <c r="AR67" s="68">
        <v>45634</v>
      </c>
      <c r="AS67" s="68">
        <v>45637</v>
      </c>
      <c r="AT67" s="67">
        <f t="shared" ref="AT67:AT130" ca="1" si="9">IFERROR(SUM(IF(AND(ISBLANK(T67),ISBLANK(Q67)),0,IF(T67="",TODAY()-Q67,T67-Q67))+IF(AND(ISBLANK(S67),ISBLANK(P67)),0,IF(S67="",TODAY()-P67,S67-P67))+IF(AND(ISBLANK(O67),ISBLANK(R67)),0,IF(R67="",TODAY()-O67,R67-O67))),"")</f>
        <v>0</v>
      </c>
      <c r="AU67" s="79" t="str">
        <f t="shared" ref="AU67:AU130" ca="1" si="10">IFERROR(IF(($M67=""),"",IF(OR(,$C67="Offer in Progress",$C67="WIP",$C67="WIP/Drop",$C67="WIP/New",$C67="WIP/Hold"),(TODAY()-$M67)-$AT67,"")),"")</f>
        <v/>
      </c>
      <c r="AV67" s="79" t="str" cm="1">
        <f t="array" aca="1" ref="AV67" ca="1">IFERROR(_xlfn.IFS($AU67="","",$AU67&lt;=15,"0-15",AND($AU67&gt;=16,$AU67&lt;=30),"16-30",AND($AU67&gt;=31,$AU67&lt;=45),"31-45",AND($AU67&gt;=46,$AU67&lt;=60),"46-60",AND($AU67&gt;=61,$AU67&lt;=90),"61-90",AND($AU67&gt;=91),"&gt; 90",AND($AU67&gt;=2000),""),"")</f>
        <v/>
      </c>
      <c r="AW67" s="79" t="str" cm="1">
        <f t="array" aca="1" ref="AW67" ca="1">IFERROR(_xlfn.IFS(OR($M67="",$AM67=""),"",OR($C67="Offered",$C67="Joined"),($AM67-$M67)-$AT67),"")</f>
        <v/>
      </c>
      <c r="AX67" s="79" t="str" cm="1">
        <f t="array" aca="1" ref="AX67" ca="1">IFERROR(_xlfn.IFS(OR($M67="",$AS67=""),"",$C67="Joined",($AS67-$M67)-$AT67),"")</f>
        <v/>
      </c>
      <c r="AY67" s="67" t="str">
        <f>IFERROR(IF(COUNTIFS('Candidate Tracker'!$E:$E,'Positions Tracker'!$B67,'Candidate Tracker'!$C:$C,"Offer Drop")=0,"",COUNTIFS('Candidate Tracker'!$E:$E,'Positions Tracker'!$B67,'Candidate Tracker'!$C:$C,"Offer Drop")),"")</f>
        <v/>
      </c>
      <c r="AZ67" s="80">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0.88111888111888115</v>
      </c>
      <c r="BA67" s="81" t="str">
        <f>IFERROR(IF(COUNTIFS('Candidate Tracker'!$E:$E,'Positions Tracker'!$B67,'Candidate Tracker'!$I:$I,"Female")=0,"",COUNTIFS('Candidate Tracker'!$E:$E,'Positions Tracker'!$B67,'Candidate Tracker'!$I:$I,"Female")),"")</f>
        <v/>
      </c>
      <c r="BB67" s="81" t="str">
        <f>IFERROR(IF(COUNTIFS('Candidate Tracker'!$E:$E,'Positions Tracker'!$B67,'Candidate Tracker'!$I:$I,"male")=0,"",COUNTIFS('Candidate Tracker'!$E:$E,'Positions Tracker'!$B67,'Candidate Tracker'!$I:$I,"male")),"")</f>
        <v/>
      </c>
      <c r="BC67" s="80" t="str">
        <f>IFERROR(IF(COUNTIFS('Candidate Tracker'!$E:$E,'Positions Tracker'!$B67,'Candidate Tracker'!$C:$C,"&lt;&gt;WIP",'Candidate Tracker'!$C:$C,"&lt;&gt;Hold",'Candidate Tracker'!$C:$C,"&lt;&gt;Cancelled",'Candidate Tracker'!$C:$C,"&lt;&gt;Closed")/COUNTIFS('Candidate Tracker'!$E:$E,'Positions Tracker'!$B67)=0,"",COUNTIFS('Candidate Tracker'!$E:$E,'Positions Tracker'!$B67,'Candidate Tracker'!$C:$C,"&lt;&gt;WIP",'Candidate Tracker'!$C:$C,"&lt;&gt;Hold",'Candidate Tracker'!$C:$C,"&lt;&gt;Cancelled",'Candidate Tracker'!$C:$C,"&lt;&gt;Closed")/COUNTIFS('Candidate Tracker'!$E:$E,'Positions Tracker'!$B67)),"")</f>
        <v/>
      </c>
      <c r="BD67" s="67" t="str">
        <f t="shared" si="1"/>
        <v>Aug-24</v>
      </c>
      <c r="BE67" s="67" t="str">
        <f t="shared" si="2"/>
        <v>Dec-24</v>
      </c>
      <c r="BF67" s="67" t="str">
        <f t="shared" si="3"/>
        <v>Dec-24</v>
      </c>
      <c r="BG67" s="67" t="str">
        <f t="shared" si="4"/>
        <v>Dec-24</v>
      </c>
    </row>
    <row r="68" spans="1:59">
      <c r="A68" s="67">
        <f t="shared" si="8"/>
        <v>67</v>
      </c>
      <c r="B68" s="67">
        <v>20245320</v>
      </c>
      <c r="C68" s="67" t="s">
        <v>87</v>
      </c>
      <c r="D68" s="67" t="s">
        <v>87</v>
      </c>
      <c r="E68" s="67" t="s">
        <v>379</v>
      </c>
      <c r="F68" s="67" t="s">
        <v>380</v>
      </c>
      <c r="G68" s="67" t="s">
        <v>1</v>
      </c>
      <c r="H68" s="67" t="s">
        <v>380</v>
      </c>
      <c r="I68" s="67" t="s">
        <v>381</v>
      </c>
      <c r="J68" s="67" t="s">
        <v>70</v>
      </c>
      <c r="K68" s="68">
        <v>45518</v>
      </c>
      <c r="L68" s="68">
        <v>45518</v>
      </c>
      <c r="M68" s="68">
        <v>45518</v>
      </c>
      <c r="N68" s="67"/>
      <c r="O68" s="68"/>
      <c r="P68" s="68">
        <v>45544</v>
      </c>
      <c r="Q68" s="68"/>
      <c r="R68" s="68"/>
      <c r="S68" s="68"/>
      <c r="T68" s="68"/>
      <c r="U68" s="67"/>
      <c r="V68" s="67"/>
      <c r="W68" s="67"/>
      <c r="X68" s="67" t="s">
        <v>72</v>
      </c>
      <c r="Y68" s="67" t="s">
        <v>74</v>
      </c>
      <c r="Z68" s="67" t="s">
        <v>74</v>
      </c>
      <c r="AA68" s="67" t="s">
        <v>382</v>
      </c>
      <c r="AB68" s="67"/>
      <c r="AC68" s="67"/>
      <c r="AD68" s="67"/>
      <c r="AE68" s="67"/>
      <c r="AF68" s="67"/>
      <c r="AG68" s="67"/>
      <c r="AH68" s="68"/>
      <c r="AI68" s="68"/>
      <c r="AJ68" s="68"/>
      <c r="AK68" s="67"/>
      <c r="AL68" s="67"/>
      <c r="AM68" s="68"/>
      <c r="AN68" s="68"/>
      <c r="AO68" s="68"/>
      <c r="AP68" s="68"/>
      <c r="AQ68" s="68"/>
      <c r="AR68" s="68"/>
      <c r="AS68" s="68"/>
      <c r="AT68" s="67">
        <f t="shared" ca="1" si="9"/>
        <v>457</v>
      </c>
      <c r="AU68" s="79" t="str">
        <f t="shared" ca="1" si="10"/>
        <v/>
      </c>
      <c r="AV68" s="79" t="str" cm="1">
        <f t="array" aca="1" ref="AV68" ca="1">IFERROR(_xlfn.IFS($AU68="","",$AU68&lt;=15,"0-15",AND($AU68&gt;=16,$AU68&lt;=30),"16-30",AND($AU68&gt;=31,$AU68&lt;=45),"31-45",AND($AU68&gt;=46,$AU68&lt;=60),"46-60",AND($AU68&gt;=61,$AU68&lt;=90),"61-90",AND($AU68&gt;=91),"&gt; 90",AND($AU68&gt;=2000),""),"")</f>
        <v/>
      </c>
      <c r="AW68" s="79" t="str" cm="1">
        <f t="array" aca="1" ref="AW68" ca="1">IFERROR(_xlfn.IFS(OR($M68="",$AM68=""),"",OR($C68="Offered",$C68="Joined"),($AM68-$M68)-$AT68),"")</f>
        <v/>
      </c>
      <c r="AX68" s="79" t="str" cm="1">
        <f t="array" aca="1" ref="AX68" ca="1">IFERROR(_xlfn.IFS(OR($M68="",$AS68=""),"",$C68="Joined",($AS68-$M68)-$AT68),"")</f>
        <v/>
      </c>
      <c r="AY68" s="67" t="str">
        <f>IFERROR(IF(COUNTIFS('Candidate Tracker'!$E:$E,'Positions Tracker'!$B68,'Candidate Tracker'!$C:$C,"Offer Drop")=0,"",COUNTIFS('Candidate Tracker'!$E:$E,'Positions Tracker'!$B68,'Candidate Tracker'!$C:$C,"Offer Drop")),"")</f>
        <v/>
      </c>
      <c r="AZ68" s="80">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0.88111888111888115</v>
      </c>
      <c r="BA68" s="81" t="str">
        <f>IFERROR(IF(COUNTIFS('Candidate Tracker'!$E:$E,'Positions Tracker'!$B68,'Candidate Tracker'!$I:$I,"Female")=0,"",COUNTIFS('Candidate Tracker'!$E:$E,'Positions Tracker'!$B68,'Candidate Tracker'!$I:$I,"Female")),"")</f>
        <v/>
      </c>
      <c r="BB68" s="81" t="str">
        <f>IFERROR(IF(COUNTIFS('Candidate Tracker'!$E:$E,'Positions Tracker'!$B68,'Candidate Tracker'!$I:$I,"male")=0,"",COUNTIFS('Candidate Tracker'!$E:$E,'Positions Tracker'!$B68,'Candidate Tracker'!$I:$I,"male")),"")</f>
        <v/>
      </c>
      <c r="BC68" s="80" t="str">
        <f>IFERROR(IF(COUNTIFS('Candidate Tracker'!$E:$E,'Positions Tracker'!$B68,'Candidate Tracker'!$C:$C,"&lt;&gt;WIP",'Candidate Tracker'!$C:$C,"&lt;&gt;Hold",'Candidate Tracker'!$C:$C,"&lt;&gt;Cancelled",'Candidate Tracker'!$C:$C,"&lt;&gt;Closed")/COUNTIFS('Candidate Tracker'!$E:$E,'Positions Tracker'!$B68)=0,"",COUNTIFS('Candidate Tracker'!$E:$E,'Positions Tracker'!$B68,'Candidate Tracker'!$C:$C,"&lt;&gt;WIP",'Candidate Tracker'!$C:$C,"&lt;&gt;Hold",'Candidate Tracker'!$C:$C,"&lt;&gt;Cancelled",'Candidate Tracker'!$C:$C,"&lt;&gt;Closed")/COUNTIFS('Candidate Tracker'!$E:$E,'Positions Tracker'!$B68)),"")</f>
        <v/>
      </c>
      <c r="BD68" s="67" t="str">
        <f t="shared" si="1"/>
        <v>Aug-24</v>
      </c>
      <c r="BE68" s="67" t="str">
        <f t="shared" si="2"/>
        <v/>
      </c>
      <c r="BF68" s="67" t="str">
        <f t="shared" si="3"/>
        <v/>
      </c>
      <c r="BG68" s="67" t="str">
        <f t="shared" si="4"/>
        <v/>
      </c>
    </row>
    <row r="69" spans="1:59">
      <c r="A69" s="67">
        <f t="shared" si="8"/>
        <v>68</v>
      </c>
      <c r="B69" s="67">
        <v>20244871</v>
      </c>
      <c r="C69" s="67" t="s">
        <v>116</v>
      </c>
      <c r="D69" s="67" t="s">
        <v>116</v>
      </c>
      <c r="E69" s="67" t="s">
        <v>383</v>
      </c>
      <c r="F69" s="67" t="s">
        <v>384</v>
      </c>
      <c r="G69" s="67" t="s">
        <v>3</v>
      </c>
      <c r="H69" s="67" t="s">
        <v>111</v>
      </c>
      <c r="I69" s="67" t="s">
        <v>385</v>
      </c>
      <c r="J69" s="67" t="s">
        <v>70</v>
      </c>
      <c r="K69" s="68">
        <v>45502</v>
      </c>
      <c r="L69" s="68">
        <v>45502</v>
      </c>
      <c r="M69" s="68">
        <v>45580</v>
      </c>
      <c r="N69" s="67" t="s">
        <v>136</v>
      </c>
      <c r="O69" s="68"/>
      <c r="P69" s="68"/>
      <c r="Q69" s="68"/>
      <c r="R69" s="68"/>
      <c r="S69" s="68"/>
      <c r="T69" s="68"/>
      <c r="U69" s="67"/>
      <c r="V69" s="67"/>
      <c r="W69" s="67"/>
      <c r="X69" s="67" t="s">
        <v>72</v>
      </c>
      <c r="Y69" s="67" t="s">
        <v>74</v>
      </c>
      <c r="Z69" s="67" t="s">
        <v>74</v>
      </c>
      <c r="AA69" s="67" t="s">
        <v>386</v>
      </c>
      <c r="AB69" s="67"/>
      <c r="AC69" s="67"/>
      <c r="AD69" s="67"/>
      <c r="AE69" s="67" t="s">
        <v>387</v>
      </c>
      <c r="AF69" s="67">
        <v>8169353813</v>
      </c>
      <c r="AG69" s="67" t="s">
        <v>388</v>
      </c>
      <c r="AH69" s="68" t="s">
        <v>123</v>
      </c>
      <c r="AI69" s="68">
        <v>45625</v>
      </c>
      <c r="AJ69" s="68">
        <v>45612</v>
      </c>
      <c r="AK69" s="67" t="s">
        <v>72</v>
      </c>
      <c r="AL69" s="67">
        <v>150000</v>
      </c>
      <c r="AM69" s="68">
        <v>45625</v>
      </c>
      <c r="AN69" s="68">
        <v>45622</v>
      </c>
      <c r="AO69" s="68"/>
      <c r="AP69" s="68">
        <v>45625</v>
      </c>
      <c r="AQ69" s="68">
        <v>45625</v>
      </c>
      <c r="AR69" s="68">
        <v>45579</v>
      </c>
      <c r="AS69" s="68">
        <v>45642</v>
      </c>
      <c r="AT69" s="67">
        <f t="shared" ca="1" si="9"/>
        <v>0</v>
      </c>
      <c r="AU69" s="79" t="str">
        <f t="shared" ca="1" si="10"/>
        <v/>
      </c>
      <c r="AV69" s="79" t="str" cm="1">
        <f t="array" aca="1" ref="AV69" ca="1">IFERROR(_xlfn.IFS($AU69="","",$AU69&lt;=15,"0-15",AND($AU69&gt;=16,$AU69&lt;=30),"16-30",AND($AU69&gt;=31,$AU69&lt;=45),"31-45",AND($AU69&gt;=46,$AU69&lt;=60),"46-60",AND($AU69&gt;=61,$AU69&lt;=90),"61-90",AND($AU69&gt;=91),"&gt; 90",AND($AU69&gt;=2000),""),"")</f>
        <v/>
      </c>
      <c r="AW69" s="79" cm="1">
        <f t="array" aca="1" ref="AW69" ca="1">IFERROR(_xlfn.IFS(OR($M69="",$AM69=""),"",OR($C69="Offered",$C69="Joined"),($AM69-$M69)-$AT69),"")</f>
        <v>45</v>
      </c>
      <c r="AX69" s="79" cm="1">
        <f t="array" aca="1" ref="AX69" ca="1">IFERROR(_xlfn.IFS(OR($M69="",$AS69=""),"",$C69="Joined",($AS69-$M69)-$AT69),"")</f>
        <v>62</v>
      </c>
      <c r="AY69" s="67" t="str">
        <f>IFERROR(IF(COUNTIFS('Candidate Tracker'!$E:$E,'Positions Tracker'!$B69,'Candidate Tracker'!$C:$C,"Offer Drop")=0,"",COUNTIFS('Candidate Tracker'!$E:$E,'Positions Tracker'!$B69,'Candidate Tracker'!$C:$C,"Offer Drop")),"")</f>
        <v/>
      </c>
      <c r="AZ69" s="80">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0.88111888111888115</v>
      </c>
      <c r="BA69" s="81" t="str">
        <f>IFERROR(IF(COUNTIFS('Candidate Tracker'!$E:$E,'Positions Tracker'!$B69,'Candidate Tracker'!$I:$I,"Female")=0,"",COUNTIFS('Candidate Tracker'!$E:$E,'Positions Tracker'!$B69,'Candidate Tracker'!$I:$I,"Female")),"")</f>
        <v/>
      </c>
      <c r="BB69" s="81">
        <f>IFERROR(IF(COUNTIFS('Candidate Tracker'!$E:$E,'Positions Tracker'!$B69,'Candidate Tracker'!$I:$I,"male")=0,"",COUNTIFS('Candidate Tracker'!$E:$E,'Positions Tracker'!$B69,'Candidate Tracker'!$I:$I,"male")),"")</f>
        <v>1</v>
      </c>
      <c r="BC69" s="80">
        <f>IFERROR(IF(COUNTIFS('Candidate Tracker'!$E:$E,'Positions Tracker'!$B69,'Candidate Tracker'!$C:$C,"&lt;&gt;WIP",'Candidate Tracker'!$C:$C,"&lt;&gt;Hold",'Candidate Tracker'!$C:$C,"&lt;&gt;Cancelled",'Candidate Tracker'!$C:$C,"&lt;&gt;Closed")/COUNTIFS('Candidate Tracker'!$E:$E,'Positions Tracker'!$B69)=0,"",COUNTIFS('Candidate Tracker'!$E:$E,'Positions Tracker'!$B69,'Candidate Tracker'!$C:$C,"&lt;&gt;WIP",'Candidate Tracker'!$C:$C,"&lt;&gt;Hold",'Candidate Tracker'!$C:$C,"&lt;&gt;Cancelled",'Candidate Tracker'!$C:$C,"&lt;&gt;Closed")/COUNTIFS('Candidate Tracker'!$E:$E,'Positions Tracker'!$B69)),"")</f>
        <v>1</v>
      </c>
      <c r="BD69" s="67" t="str">
        <f t="shared" si="1"/>
        <v>Oct-24</v>
      </c>
      <c r="BE69" s="67" t="str">
        <f t="shared" si="2"/>
        <v>Nov-24</v>
      </c>
      <c r="BF69" s="67" t="str">
        <f t="shared" si="3"/>
        <v>Nov-24</v>
      </c>
      <c r="BG69" s="67" t="str">
        <f t="shared" si="4"/>
        <v>Dec-24</v>
      </c>
    </row>
    <row r="70" spans="1:59">
      <c r="A70" s="67">
        <f t="shared" si="8"/>
        <v>69</v>
      </c>
      <c r="B70" s="67">
        <v>20245972</v>
      </c>
      <c r="C70" s="67" t="s">
        <v>64</v>
      </c>
      <c r="D70" s="67" t="s">
        <v>65</v>
      </c>
      <c r="E70" s="67" t="s">
        <v>389</v>
      </c>
      <c r="F70" s="67" t="s">
        <v>158</v>
      </c>
      <c r="G70" s="67" t="s">
        <v>3</v>
      </c>
      <c r="H70" s="67" t="s">
        <v>68</v>
      </c>
      <c r="I70" s="67" t="s">
        <v>107</v>
      </c>
      <c r="J70" s="67" t="s">
        <v>70</v>
      </c>
      <c r="K70" s="68">
        <v>45580</v>
      </c>
      <c r="L70" s="68">
        <v>45595</v>
      </c>
      <c r="M70" s="68">
        <v>45583</v>
      </c>
      <c r="N70" s="67" t="s">
        <v>95</v>
      </c>
      <c r="O70" s="68"/>
      <c r="P70" s="68"/>
      <c r="Q70" s="68"/>
      <c r="R70" s="68"/>
      <c r="S70" s="68"/>
      <c r="T70" s="68"/>
      <c r="U70" s="67"/>
      <c r="V70" s="67"/>
      <c r="W70" s="67"/>
      <c r="X70" s="67" t="s">
        <v>72</v>
      </c>
      <c r="Y70" s="67" t="s">
        <v>245</v>
      </c>
      <c r="Z70" s="67" t="s">
        <v>245</v>
      </c>
      <c r="AA70" s="67" t="s">
        <v>390</v>
      </c>
      <c r="AB70" s="67"/>
      <c r="AC70" s="67"/>
      <c r="AD70" s="67"/>
      <c r="AE70" s="67"/>
      <c r="AF70" s="67"/>
      <c r="AG70" s="67"/>
      <c r="AH70" s="68"/>
      <c r="AI70" s="68"/>
      <c r="AJ70" s="68"/>
      <c r="AK70" s="67"/>
      <c r="AL70" s="67"/>
      <c r="AM70" s="68"/>
      <c r="AN70" s="68"/>
      <c r="AO70" s="68"/>
      <c r="AP70" s="68"/>
      <c r="AQ70" s="68"/>
      <c r="AR70" s="68"/>
      <c r="AS70" s="68"/>
      <c r="AT70" s="67">
        <f t="shared" ca="1" si="9"/>
        <v>0</v>
      </c>
      <c r="AU70" s="79" t="str">
        <f t="shared" ca="1" si="10"/>
        <v/>
      </c>
      <c r="AV70" s="79" t="str" cm="1">
        <f t="array" aca="1" ref="AV70" ca="1">IFERROR(_xlfn.IFS($AU70="","",$AU70&lt;=15,"0-15",AND($AU70&gt;=16,$AU70&lt;=30),"16-30",AND($AU70&gt;=31,$AU70&lt;=45),"31-45",AND($AU70&gt;=46,$AU70&lt;=60),"46-60",AND($AU70&gt;=61,$AU70&lt;=90),"61-90",AND($AU70&gt;=91),"&gt; 90",AND($AU70&gt;=2000),""),"")</f>
        <v/>
      </c>
      <c r="AW70" s="79" t="str" cm="1">
        <f t="array" aca="1" ref="AW70" ca="1">IFERROR(_xlfn.IFS(OR($M70="",$AM70=""),"",OR($C70="Offered",$C70="Joined"),($AM70-$M70)-$AT70),"")</f>
        <v/>
      </c>
      <c r="AX70" s="79" t="str" cm="1">
        <f t="array" aca="1" ref="AX70" ca="1">IFERROR(_xlfn.IFS(OR($M70="",$AS70=""),"",$C70="Joined",($AS70-$M70)-$AT70),"")</f>
        <v/>
      </c>
      <c r="AY70" s="67" t="str">
        <f>IFERROR(IF(COUNTIFS('Candidate Tracker'!$E:$E,'Positions Tracker'!$B70,'Candidate Tracker'!$C:$C,"Offer Drop")=0,"",COUNTIFS('Candidate Tracker'!$E:$E,'Positions Tracker'!$B70,'Candidate Tracker'!$C:$C,"Offer Drop")),"")</f>
        <v/>
      </c>
      <c r="AZ70" s="80">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0.88111888111888115</v>
      </c>
      <c r="BA70" s="81" t="str">
        <f>IFERROR(IF(COUNTIFS('Candidate Tracker'!$E:$E,'Positions Tracker'!$B70,'Candidate Tracker'!$I:$I,"Female")=0,"",COUNTIFS('Candidate Tracker'!$E:$E,'Positions Tracker'!$B70,'Candidate Tracker'!$I:$I,"Female")),"")</f>
        <v/>
      </c>
      <c r="BB70" s="81" t="str">
        <f>IFERROR(IF(COUNTIFS('Candidate Tracker'!$E:$E,'Positions Tracker'!$B70,'Candidate Tracker'!$I:$I,"male")=0,"",COUNTIFS('Candidate Tracker'!$E:$E,'Positions Tracker'!$B70,'Candidate Tracker'!$I:$I,"male")),"")</f>
        <v/>
      </c>
      <c r="BC70" s="80" t="str">
        <f>IFERROR(IF(COUNTIFS('Candidate Tracker'!$E:$E,'Positions Tracker'!$B70,'Candidate Tracker'!$C:$C,"&lt;&gt;WIP",'Candidate Tracker'!$C:$C,"&lt;&gt;Hold",'Candidate Tracker'!$C:$C,"&lt;&gt;Cancelled",'Candidate Tracker'!$C:$C,"&lt;&gt;Closed")/COUNTIFS('Candidate Tracker'!$E:$E,'Positions Tracker'!$B70)=0,"",COUNTIFS('Candidate Tracker'!$E:$E,'Positions Tracker'!$B70,'Candidate Tracker'!$C:$C,"&lt;&gt;WIP",'Candidate Tracker'!$C:$C,"&lt;&gt;Hold",'Candidate Tracker'!$C:$C,"&lt;&gt;Cancelled",'Candidate Tracker'!$C:$C,"&lt;&gt;Closed")/COUNTIFS('Candidate Tracker'!$E:$E,'Positions Tracker'!$B70)),"")</f>
        <v/>
      </c>
      <c r="BD70" s="67" t="str">
        <f t="shared" si="1"/>
        <v>Oct-24</v>
      </c>
      <c r="BE70" s="67" t="str">
        <f t="shared" si="2"/>
        <v/>
      </c>
      <c r="BF70" s="67" t="str">
        <f t="shared" si="3"/>
        <v/>
      </c>
      <c r="BG70" s="67" t="str">
        <f t="shared" si="4"/>
        <v/>
      </c>
    </row>
    <row r="71" spans="1:59">
      <c r="A71" s="67">
        <f t="shared" si="8"/>
        <v>70</v>
      </c>
      <c r="B71" s="67">
        <v>20246740</v>
      </c>
      <c r="C71" s="67" t="s">
        <v>64</v>
      </c>
      <c r="D71" s="67" t="s">
        <v>65</v>
      </c>
      <c r="E71" s="67" t="s">
        <v>391</v>
      </c>
      <c r="F71" s="67" t="s">
        <v>158</v>
      </c>
      <c r="G71" s="67" t="s">
        <v>3</v>
      </c>
      <c r="H71" s="67" t="s">
        <v>68</v>
      </c>
      <c r="I71" s="67" t="s">
        <v>107</v>
      </c>
      <c r="J71" s="67" t="s">
        <v>70</v>
      </c>
      <c r="K71" s="68">
        <v>45085</v>
      </c>
      <c r="L71" s="68">
        <v>45337</v>
      </c>
      <c r="M71" s="68">
        <v>45337</v>
      </c>
      <c r="N71" s="67" t="s">
        <v>82</v>
      </c>
      <c r="O71" s="68"/>
      <c r="P71" s="68"/>
      <c r="Q71" s="68"/>
      <c r="R71" s="68"/>
      <c r="S71" s="68"/>
      <c r="T71" s="68"/>
      <c r="U71" s="67"/>
      <c r="V71" s="67"/>
      <c r="W71" s="67"/>
      <c r="X71" s="67" t="s">
        <v>72</v>
      </c>
      <c r="Y71" s="67" t="s">
        <v>245</v>
      </c>
      <c r="Z71" s="67" t="s">
        <v>245</v>
      </c>
      <c r="AA71" s="67" t="s">
        <v>392</v>
      </c>
      <c r="AB71" s="67"/>
      <c r="AC71" s="67"/>
      <c r="AD71" s="67"/>
      <c r="AE71" s="67"/>
      <c r="AF71" s="67"/>
      <c r="AG71" s="67"/>
      <c r="AH71" s="68"/>
      <c r="AI71" s="68"/>
      <c r="AJ71" s="68"/>
      <c r="AK71" s="67"/>
      <c r="AL71" s="67"/>
      <c r="AM71" s="68"/>
      <c r="AN71" s="68"/>
      <c r="AO71" s="68"/>
      <c r="AP71" s="68"/>
      <c r="AQ71" s="68"/>
      <c r="AR71" s="68"/>
      <c r="AS71" s="68"/>
      <c r="AT71" s="67">
        <f t="shared" ca="1" si="9"/>
        <v>0</v>
      </c>
      <c r="AU71" s="79" t="str">
        <f t="shared" ca="1" si="10"/>
        <v/>
      </c>
      <c r="AV71" s="79" t="str" cm="1">
        <f t="array" aca="1" ref="AV71" ca="1">IFERROR(_xlfn.IFS($AU71="","",$AU71&lt;=15,"0-15",AND($AU71&gt;=16,$AU71&lt;=30),"16-30",AND($AU71&gt;=31,$AU71&lt;=45),"31-45",AND($AU71&gt;=46,$AU71&lt;=60),"46-60",AND($AU71&gt;=61,$AU71&lt;=90),"61-90",AND($AU71&gt;=91),"&gt; 90",AND($AU71&gt;=2000),""),"")</f>
        <v/>
      </c>
      <c r="AW71" s="79" t="str" cm="1">
        <f t="array" aca="1" ref="AW71" ca="1">IFERROR(_xlfn.IFS(OR($M71="",$AM71=""),"",OR($C71="Offered",$C71="Joined"),($AM71-$M71)-$AT71),"")</f>
        <v/>
      </c>
      <c r="AX71" s="79" t="str" cm="1">
        <f t="array" aca="1" ref="AX71" ca="1">IFERROR(_xlfn.IFS(OR($M71="",$AS71=""),"",$C71="Joined",($AS71-$M71)-$AT71),"")</f>
        <v/>
      </c>
      <c r="AY71" s="67" t="str">
        <f>IFERROR(IF(COUNTIFS('Candidate Tracker'!$E:$E,'Positions Tracker'!$B71,'Candidate Tracker'!$C:$C,"Offer Drop")=0,"",COUNTIFS('Candidate Tracker'!$E:$E,'Positions Tracker'!$B71,'Candidate Tracker'!$C:$C,"Offer Drop")),"")</f>
        <v/>
      </c>
      <c r="AZ71" s="80">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0.88111888111888115</v>
      </c>
      <c r="BA71" s="81" t="str">
        <f>IFERROR(IF(COUNTIFS('Candidate Tracker'!$E:$E,'Positions Tracker'!$B71,'Candidate Tracker'!$I:$I,"Female")=0,"",COUNTIFS('Candidate Tracker'!$E:$E,'Positions Tracker'!$B71,'Candidate Tracker'!$I:$I,"Female")),"")</f>
        <v/>
      </c>
      <c r="BB71" s="81">
        <f>IFERROR(IF(COUNTIFS('Candidate Tracker'!$E:$E,'Positions Tracker'!$B71,'Candidate Tracker'!$I:$I,"male")=0,"",COUNTIFS('Candidate Tracker'!$E:$E,'Positions Tracker'!$B71,'Candidate Tracker'!$I:$I,"male")),"")</f>
        <v>1</v>
      </c>
      <c r="BC71" s="80">
        <f>IFERROR(IF(COUNTIFS('Candidate Tracker'!$E:$E,'Positions Tracker'!$B71,'Candidate Tracker'!$C:$C,"&lt;&gt;WIP",'Candidate Tracker'!$C:$C,"&lt;&gt;Hold",'Candidate Tracker'!$C:$C,"&lt;&gt;Cancelled",'Candidate Tracker'!$C:$C,"&lt;&gt;Closed")/COUNTIFS('Candidate Tracker'!$E:$E,'Positions Tracker'!$B71)=0,"",COUNTIFS('Candidate Tracker'!$E:$E,'Positions Tracker'!$B71,'Candidate Tracker'!$C:$C,"&lt;&gt;WIP",'Candidate Tracker'!$C:$C,"&lt;&gt;Hold",'Candidate Tracker'!$C:$C,"&lt;&gt;Cancelled",'Candidate Tracker'!$C:$C,"&lt;&gt;Closed")/COUNTIFS('Candidate Tracker'!$E:$E,'Positions Tracker'!$B71)),"")</f>
        <v>1</v>
      </c>
      <c r="BD71" s="67" t="str">
        <f t="shared" si="1"/>
        <v>Feb-24</v>
      </c>
      <c r="BE71" s="67" t="str">
        <f t="shared" si="2"/>
        <v/>
      </c>
      <c r="BF71" s="67" t="str">
        <f t="shared" si="3"/>
        <v/>
      </c>
      <c r="BG71" s="67" t="str">
        <f t="shared" si="4"/>
        <v/>
      </c>
    </row>
    <row r="72" spans="1:59">
      <c r="A72" s="67">
        <f t="shared" si="8"/>
        <v>71</v>
      </c>
      <c r="B72" s="67">
        <v>20245969</v>
      </c>
      <c r="C72" s="67" t="s">
        <v>116</v>
      </c>
      <c r="D72" s="67" t="s">
        <v>116</v>
      </c>
      <c r="E72" s="67" t="s">
        <v>393</v>
      </c>
      <c r="F72" s="67" t="s">
        <v>158</v>
      </c>
      <c r="G72" s="67" t="s">
        <v>3</v>
      </c>
      <c r="H72" s="67" t="s">
        <v>151</v>
      </c>
      <c r="I72" s="67" t="s">
        <v>159</v>
      </c>
      <c r="J72" s="67" t="s">
        <v>70</v>
      </c>
      <c r="K72" s="68">
        <v>45391</v>
      </c>
      <c r="L72" s="68">
        <v>45638</v>
      </c>
      <c r="M72" s="68">
        <v>45638</v>
      </c>
      <c r="N72" s="67" t="s">
        <v>82</v>
      </c>
      <c r="O72" s="68"/>
      <c r="P72" s="68"/>
      <c r="Q72" s="68"/>
      <c r="R72" s="68"/>
      <c r="S72" s="68"/>
      <c r="T72" s="68"/>
      <c r="U72" s="67"/>
      <c r="V72" s="67"/>
      <c r="W72" s="67"/>
      <c r="X72" s="67" t="s">
        <v>72</v>
      </c>
      <c r="Y72" s="67" t="s">
        <v>282</v>
      </c>
      <c r="Z72" s="67" t="s">
        <v>282</v>
      </c>
      <c r="AA72" s="67" t="s">
        <v>394</v>
      </c>
      <c r="AB72" s="67"/>
      <c r="AC72" s="67"/>
      <c r="AD72" s="67"/>
      <c r="AE72" s="67" t="s">
        <v>395</v>
      </c>
      <c r="AF72" s="67">
        <v>8421499897</v>
      </c>
      <c r="AG72" s="67" t="s">
        <v>396</v>
      </c>
      <c r="AH72" s="68" t="s">
        <v>123</v>
      </c>
      <c r="AI72" s="68">
        <v>45716</v>
      </c>
      <c r="AJ72" s="68">
        <v>45722</v>
      </c>
      <c r="AK72" s="67" t="s">
        <v>72</v>
      </c>
      <c r="AL72" s="67">
        <v>1200000</v>
      </c>
      <c r="AM72" s="68">
        <v>45726</v>
      </c>
      <c r="AN72" s="68">
        <v>45726</v>
      </c>
      <c r="AO72" s="68"/>
      <c r="AP72" s="68">
        <v>45732</v>
      </c>
      <c r="AQ72" s="68">
        <v>45732</v>
      </c>
      <c r="AR72" s="68"/>
      <c r="AS72" s="68">
        <v>45761</v>
      </c>
      <c r="AT72" s="67">
        <f t="shared" ca="1" si="9"/>
        <v>0</v>
      </c>
      <c r="AU72" s="79" t="str">
        <f t="shared" ca="1" si="10"/>
        <v/>
      </c>
      <c r="AV72" s="79" t="str" cm="1">
        <f t="array" aca="1" ref="AV72" ca="1">IFERROR(_xlfn.IFS($AU72="","",$AU72&lt;=15,"0-15",AND($AU72&gt;=16,$AU72&lt;=30),"16-30",AND($AU72&gt;=31,$AU72&lt;=45),"31-45",AND($AU72&gt;=46,$AU72&lt;=60),"46-60",AND($AU72&gt;=61,$AU72&lt;=90),"61-90",AND($AU72&gt;=91),"&gt; 90",AND($AU72&gt;=2000),""),"")</f>
        <v/>
      </c>
      <c r="AW72" s="79" cm="1">
        <f t="array" aca="1" ref="AW72" ca="1">IFERROR(_xlfn.IFS(OR($M72="",$AM72=""),"",OR($C72="Offered",$C72="Joined"),($AM72-$M72)-$AT72),"")</f>
        <v>88</v>
      </c>
      <c r="AX72" s="79" cm="1">
        <f t="array" aca="1" ref="AX72" ca="1">IFERROR(_xlfn.IFS(OR($M72="",$AS72=""),"",$C72="Joined",($AS72-$M72)-$AT72),"")</f>
        <v>123</v>
      </c>
      <c r="AY72" s="67" t="str">
        <f>IFERROR(IF(COUNTIFS('Candidate Tracker'!$E:$E,'Positions Tracker'!$B72,'Candidate Tracker'!$C:$C,"Offer Drop")=0,"",COUNTIFS('Candidate Tracker'!$E:$E,'Positions Tracker'!$B72,'Candidate Tracker'!$C:$C,"Offer Drop")),"")</f>
        <v/>
      </c>
      <c r="AZ72" s="80">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0.88111888111888115</v>
      </c>
      <c r="BA72" s="81">
        <f>IFERROR(IF(COUNTIFS('Candidate Tracker'!$E:$E,'Positions Tracker'!$B72,'Candidate Tracker'!$I:$I,"Female")=0,"",COUNTIFS('Candidate Tracker'!$E:$E,'Positions Tracker'!$B72,'Candidate Tracker'!$I:$I,"Female")),"")</f>
        <v>4</v>
      </c>
      <c r="BB72" s="81">
        <f>IFERROR(IF(COUNTIFS('Candidate Tracker'!$E:$E,'Positions Tracker'!$B72,'Candidate Tracker'!$I:$I,"male")=0,"",COUNTIFS('Candidate Tracker'!$E:$E,'Positions Tracker'!$B72,'Candidate Tracker'!$I:$I,"male")),"")</f>
        <v>15</v>
      </c>
      <c r="BC72" s="80" t="str">
        <f>IFERROR(IF(COUNTIFS('Candidate Tracker'!$E:$E,'Positions Tracker'!$B72,'Candidate Tracker'!$C:$C,"&lt;&gt;WIP",'Candidate Tracker'!$C:$C,"&lt;&gt;Hold",'Candidate Tracker'!$C:$C,"&lt;&gt;Cancelled",'Candidate Tracker'!$C:$C,"&lt;&gt;Closed")/COUNTIFS('Candidate Tracker'!$E:$E,'Positions Tracker'!$B72)=0,"",COUNTIFS('Candidate Tracker'!$E:$E,'Positions Tracker'!$B72,'Candidate Tracker'!$C:$C,"&lt;&gt;WIP",'Candidate Tracker'!$C:$C,"&lt;&gt;Hold",'Candidate Tracker'!$C:$C,"&lt;&gt;Cancelled",'Candidate Tracker'!$C:$C,"&lt;&gt;Closed")/COUNTIFS('Candidate Tracker'!$E:$E,'Positions Tracker'!$B72)),"")</f>
        <v/>
      </c>
      <c r="BD72" s="67" t="str">
        <f t="shared" si="1"/>
        <v>Dec-24</v>
      </c>
      <c r="BE72" s="67" t="str">
        <f t="shared" si="2"/>
        <v>Feb-25</v>
      </c>
      <c r="BF72" s="67" t="str">
        <f t="shared" si="3"/>
        <v>Mar-25</v>
      </c>
      <c r="BG72" s="67" t="str">
        <f t="shared" si="4"/>
        <v>Apr-25</v>
      </c>
    </row>
    <row r="73" spans="1:59">
      <c r="A73" s="67">
        <f t="shared" si="8"/>
        <v>72</v>
      </c>
      <c r="B73" s="67">
        <v>20245469</v>
      </c>
      <c r="C73" s="67" t="s">
        <v>64</v>
      </c>
      <c r="D73" s="67" t="s">
        <v>65</v>
      </c>
      <c r="E73" s="67" t="s">
        <v>397</v>
      </c>
      <c r="F73" s="67" t="s">
        <v>184</v>
      </c>
      <c r="G73" s="67" t="s">
        <v>3</v>
      </c>
      <c r="H73" s="67" t="s">
        <v>111</v>
      </c>
      <c r="I73" s="67" t="s">
        <v>228</v>
      </c>
      <c r="J73" s="67" t="s">
        <v>70</v>
      </c>
      <c r="K73" s="68">
        <v>45450</v>
      </c>
      <c r="L73" s="68">
        <v>45450</v>
      </c>
      <c r="M73" s="68">
        <v>45450</v>
      </c>
      <c r="N73" s="67" t="s">
        <v>398</v>
      </c>
      <c r="O73" s="68"/>
      <c r="P73" s="68"/>
      <c r="Q73" s="68"/>
      <c r="R73" s="68"/>
      <c r="S73" s="68"/>
      <c r="T73" s="68"/>
      <c r="U73" s="67"/>
      <c r="V73" s="67"/>
      <c r="W73" s="67"/>
      <c r="X73" s="67" t="s">
        <v>72</v>
      </c>
      <c r="Y73" s="67" t="s">
        <v>245</v>
      </c>
      <c r="Z73" s="67" t="s">
        <v>245</v>
      </c>
      <c r="AA73" s="67" t="s">
        <v>399</v>
      </c>
      <c r="AB73" s="67"/>
      <c r="AC73" s="67"/>
      <c r="AD73" s="67"/>
      <c r="AE73" s="67"/>
      <c r="AF73" s="67"/>
      <c r="AG73" s="67"/>
      <c r="AH73" s="68"/>
      <c r="AI73" s="68"/>
      <c r="AJ73" s="68"/>
      <c r="AK73" s="67"/>
      <c r="AL73" s="67"/>
      <c r="AM73" s="68"/>
      <c r="AN73" s="68"/>
      <c r="AO73" s="68"/>
      <c r="AP73" s="68"/>
      <c r="AQ73" s="68"/>
      <c r="AR73" s="68"/>
      <c r="AS73" s="68"/>
      <c r="AT73" s="67">
        <f t="shared" ca="1" si="9"/>
        <v>0</v>
      </c>
      <c r="AU73" s="79" t="str">
        <f t="shared" ca="1" si="10"/>
        <v/>
      </c>
      <c r="AV73" s="79" t="str" cm="1">
        <f t="array" aca="1" ref="AV73" ca="1">IFERROR(_xlfn.IFS($AU73="","",$AU73&lt;=15,"0-15",AND($AU73&gt;=16,$AU73&lt;=30),"16-30",AND($AU73&gt;=31,$AU73&lt;=45),"31-45",AND($AU73&gt;=46,$AU73&lt;=60),"46-60",AND($AU73&gt;=61,$AU73&lt;=90),"61-90",AND($AU73&gt;=91),"&gt; 90",AND($AU73&gt;=2000),""),"")</f>
        <v/>
      </c>
      <c r="AW73" s="79" t="str" cm="1">
        <f t="array" aca="1" ref="AW73" ca="1">IFERROR(_xlfn.IFS(OR($M73="",$AM73=""),"",OR($C73="Offered",$C73="Joined"),($AM73-$M73)-$AT73),"")</f>
        <v/>
      </c>
      <c r="AX73" s="79" t="str" cm="1">
        <f t="array" aca="1" ref="AX73" ca="1">IFERROR(_xlfn.IFS(OR($M73="",$AS73=""),"",$C73="Joined",($AS73-$M73)-$AT73),"")</f>
        <v/>
      </c>
      <c r="AY73" s="67" t="str">
        <f>IFERROR(IF(COUNTIFS('Candidate Tracker'!$E:$E,'Positions Tracker'!$B73,'Candidate Tracker'!$C:$C,"Offer Drop")=0,"",COUNTIFS('Candidate Tracker'!$E:$E,'Positions Tracker'!$B73,'Candidate Tracker'!$C:$C,"Offer Drop")),"")</f>
        <v/>
      </c>
      <c r="AZ73" s="80">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0.88111888111888115</v>
      </c>
      <c r="BA73" s="81">
        <f>IFERROR(IF(COUNTIFS('Candidate Tracker'!$E:$E,'Positions Tracker'!$B73,'Candidate Tracker'!$I:$I,"Female")=0,"",COUNTIFS('Candidate Tracker'!$E:$E,'Positions Tracker'!$B73,'Candidate Tracker'!$I:$I,"Female")),"")</f>
        <v>2</v>
      </c>
      <c r="BB73" s="81">
        <f>IFERROR(IF(COUNTIFS('Candidate Tracker'!$E:$E,'Positions Tracker'!$B73,'Candidate Tracker'!$I:$I,"male")=0,"",COUNTIFS('Candidate Tracker'!$E:$E,'Positions Tracker'!$B73,'Candidate Tracker'!$I:$I,"male")),"")</f>
        <v>6</v>
      </c>
      <c r="BC73" s="80" t="str">
        <f>IFERROR(IF(COUNTIFS('Candidate Tracker'!$E:$E,'Positions Tracker'!$B73,'Candidate Tracker'!$C:$C,"&lt;&gt;WIP",'Candidate Tracker'!$C:$C,"&lt;&gt;Hold",'Candidate Tracker'!$C:$C,"&lt;&gt;Cancelled",'Candidate Tracker'!$C:$C,"&lt;&gt;Closed")/COUNTIFS('Candidate Tracker'!$E:$E,'Positions Tracker'!$B73)=0,"",COUNTIFS('Candidate Tracker'!$E:$E,'Positions Tracker'!$B73,'Candidate Tracker'!$C:$C,"&lt;&gt;WIP",'Candidate Tracker'!$C:$C,"&lt;&gt;Hold",'Candidate Tracker'!$C:$C,"&lt;&gt;Cancelled",'Candidate Tracker'!$C:$C,"&lt;&gt;Closed")/COUNTIFS('Candidate Tracker'!$E:$E,'Positions Tracker'!$B73)),"")</f>
        <v/>
      </c>
      <c r="BD73" s="67" t="str">
        <f t="shared" si="1"/>
        <v>Jun-24</v>
      </c>
      <c r="BE73" s="67" t="str">
        <f t="shared" si="2"/>
        <v/>
      </c>
      <c r="BF73" s="67" t="str">
        <f t="shared" si="3"/>
        <v/>
      </c>
      <c r="BG73" s="67" t="str">
        <f t="shared" si="4"/>
        <v/>
      </c>
    </row>
    <row r="74" spans="1:59">
      <c r="A74" s="67">
        <f t="shared" si="8"/>
        <v>73</v>
      </c>
      <c r="B74" s="67">
        <v>20242407</v>
      </c>
      <c r="C74" s="67" t="s">
        <v>400</v>
      </c>
      <c r="D74" s="67" t="s">
        <v>80</v>
      </c>
      <c r="E74" s="67" t="s">
        <v>401</v>
      </c>
      <c r="F74" s="67" t="s">
        <v>402</v>
      </c>
      <c r="G74" s="67" t="s">
        <v>3</v>
      </c>
      <c r="H74" s="67" t="s">
        <v>68</v>
      </c>
      <c r="I74" s="67" t="s">
        <v>403</v>
      </c>
      <c r="J74" s="67" t="s">
        <v>70</v>
      </c>
      <c r="K74" s="68">
        <v>45594</v>
      </c>
      <c r="L74" s="68">
        <v>45603</v>
      </c>
      <c r="M74" s="68">
        <v>45629</v>
      </c>
      <c r="N74" s="67" t="s">
        <v>82</v>
      </c>
      <c r="O74" s="68"/>
      <c r="P74" s="68"/>
      <c r="Q74" s="68"/>
      <c r="R74" s="68"/>
      <c r="S74" s="68"/>
      <c r="T74" s="68"/>
      <c r="U74" s="67"/>
      <c r="V74" s="67"/>
      <c r="W74" s="67"/>
      <c r="X74" s="67" t="s">
        <v>72</v>
      </c>
      <c r="Y74" s="67" t="s">
        <v>282</v>
      </c>
      <c r="Z74" s="67" t="s">
        <v>282</v>
      </c>
      <c r="AA74" s="67" t="s">
        <v>404</v>
      </c>
      <c r="AB74" s="67"/>
      <c r="AC74" s="67"/>
      <c r="AD74" s="67"/>
      <c r="AE74" s="67" t="s">
        <v>405</v>
      </c>
      <c r="AF74" s="67">
        <v>9764938777</v>
      </c>
      <c r="AG74" s="67" t="s">
        <v>406</v>
      </c>
      <c r="AH74" s="68" t="s">
        <v>123</v>
      </c>
      <c r="AI74" s="68">
        <v>45722</v>
      </c>
      <c r="AJ74" s="68">
        <v>45727</v>
      </c>
      <c r="AK74" s="67" t="s">
        <v>72</v>
      </c>
      <c r="AL74" s="67">
        <v>1680000</v>
      </c>
      <c r="AM74" s="68">
        <v>45727</v>
      </c>
      <c r="AN74" s="68">
        <v>45727</v>
      </c>
      <c r="AO74" s="68"/>
      <c r="AP74" s="68">
        <v>45729</v>
      </c>
      <c r="AQ74" s="68">
        <v>45729</v>
      </c>
      <c r="AR74" s="68"/>
      <c r="AS74" s="68"/>
      <c r="AT74" s="67">
        <f t="shared" ca="1" si="9"/>
        <v>0</v>
      </c>
      <c r="AU74" s="79" t="str">
        <f t="shared" ca="1" si="10"/>
        <v/>
      </c>
      <c r="AV74" s="79" t="str" cm="1">
        <f t="array" aca="1" ref="AV74" ca="1">IFERROR(_xlfn.IFS($AU74="","",$AU74&lt;=15,"0-15",AND($AU74&gt;=16,$AU74&lt;=30),"16-30",AND($AU74&gt;=31,$AU74&lt;=45),"31-45",AND($AU74&gt;=46,$AU74&lt;=60),"46-60",AND($AU74&gt;=61,$AU74&lt;=90),"61-90",AND($AU74&gt;=91),"&gt; 90",AND($AU74&gt;=2000),""),"")</f>
        <v/>
      </c>
      <c r="AW74" s="79" cm="1">
        <f t="array" aca="1" ref="AW74" ca="1">IFERROR(_xlfn.IFS(OR($M74="",$AM74=""),"",OR($C74="Offered",$C74="Joined"),($AM74-$M74)-$AT74),"")</f>
        <v>98</v>
      </c>
      <c r="AX74" s="79" t="str" cm="1">
        <f t="array" aca="1" ref="AX74" ca="1">IFERROR(_xlfn.IFS(OR($M74="",$AS74=""),"",$C74="Joined",($AS74-$M74)-$AT74),"")</f>
        <v/>
      </c>
      <c r="AY74" s="67" t="str">
        <f>IFERROR(IF(COUNTIFS('Candidate Tracker'!$E:$E,'Positions Tracker'!$B74,'Candidate Tracker'!$C:$C,"Offer Drop")=0,"",COUNTIFS('Candidate Tracker'!$E:$E,'Positions Tracker'!$B74,'Candidate Tracker'!$C:$C,"Offer Drop")),"")</f>
        <v/>
      </c>
      <c r="AZ74" s="80">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0.88111888111888115</v>
      </c>
      <c r="BA74" s="81" t="str">
        <f>IFERROR(IF(COUNTIFS('Candidate Tracker'!$E:$E,'Positions Tracker'!$B74,'Candidate Tracker'!$I:$I,"Female")=0,"",COUNTIFS('Candidate Tracker'!$E:$E,'Positions Tracker'!$B74,'Candidate Tracker'!$I:$I,"Female")),"")</f>
        <v/>
      </c>
      <c r="BB74" s="81" t="str">
        <f>IFERROR(IF(COUNTIFS('Candidate Tracker'!$E:$E,'Positions Tracker'!$B74,'Candidate Tracker'!$I:$I,"male")=0,"",COUNTIFS('Candidate Tracker'!$E:$E,'Positions Tracker'!$B74,'Candidate Tracker'!$I:$I,"male")),"")</f>
        <v/>
      </c>
      <c r="BC74" s="80" t="str">
        <f>IFERROR(IF(COUNTIFS('Candidate Tracker'!$E:$E,'Positions Tracker'!$B74,'Candidate Tracker'!$C:$C,"&lt;&gt;WIP",'Candidate Tracker'!$C:$C,"&lt;&gt;Hold",'Candidate Tracker'!$C:$C,"&lt;&gt;Cancelled",'Candidate Tracker'!$C:$C,"&lt;&gt;Closed")/COUNTIFS('Candidate Tracker'!$E:$E,'Positions Tracker'!$B74)=0,"",COUNTIFS('Candidate Tracker'!$E:$E,'Positions Tracker'!$B74,'Candidate Tracker'!$C:$C,"&lt;&gt;WIP",'Candidate Tracker'!$C:$C,"&lt;&gt;Hold",'Candidate Tracker'!$C:$C,"&lt;&gt;Cancelled",'Candidate Tracker'!$C:$C,"&lt;&gt;Closed")/COUNTIFS('Candidate Tracker'!$E:$E,'Positions Tracker'!$B74)),"")</f>
        <v/>
      </c>
      <c r="BD74" s="67" t="str">
        <f t="shared" si="1"/>
        <v>Dec-24</v>
      </c>
      <c r="BE74" s="67" t="str">
        <f t="shared" si="2"/>
        <v>Mar-25</v>
      </c>
      <c r="BF74" s="67" t="str">
        <f t="shared" si="3"/>
        <v>Mar-25</v>
      </c>
      <c r="BG74" s="67" t="str">
        <f t="shared" si="4"/>
        <v/>
      </c>
    </row>
    <row r="75" spans="1:59">
      <c r="A75" s="67">
        <f t="shared" si="8"/>
        <v>74</v>
      </c>
      <c r="B75" s="67">
        <v>20243793</v>
      </c>
      <c r="C75" s="67" t="s">
        <v>64</v>
      </c>
      <c r="D75" s="67" t="s">
        <v>65</v>
      </c>
      <c r="E75" s="67" t="s">
        <v>407</v>
      </c>
      <c r="F75" s="67" t="s">
        <v>158</v>
      </c>
      <c r="G75" s="67" t="s">
        <v>3</v>
      </c>
      <c r="H75" s="67" t="s">
        <v>68</v>
      </c>
      <c r="I75" s="67" t="s">
        <v>107</v>
      </c>
      <c r="J75" s="67"/>
      <c r="K75" s="68">
        <v>45618</v>
      </c>
      <c r="L75" s="68">
        <v>45618</v>
      </c>
      <c r="M75" s="68">
        <v>45679</v>
      </c>
      <c r="N75" s="67" t="s">
        <v>82</v>
      </c>
      <c r="O75" s="68">
        <v>45771</v>
      </c>
      <c r="P75" s="68"/>
      <c r="Q75" s="68"/>
      <c r="R75" s="68">
        <v>45782</v>
      </c>
      <c r="S75" s="68"/>
      <c r="T75" s="68"/>
      <c r="U75" s="67"/>
      <c r="V75" s="67"/>
      <c r="W75" s="67"/>
      <c r="X75" s="67" t="s">
        <v>72</v>
      </c>
      <c r="Y75" s="67" t="s">
        <v>282</v>
      </c>
      <c r="Z75" s="67" t="s">
        <v>282</v>
      </c>
      <c r="AA75" s="67" t="s">
        <v>408</v>
      </c>
      <c r="AB75" s="67">
        <v>9</v>
      </c>
      <c r="AC75" s="67">
        <v>3</v>
      </c>
      <c r="AD75" s="67">
        <v>1</v>
      </c>
      <c r="AE75" s="67"/>
      <c r="AF75" s="67"/>
      <c r="AG75" s="67"/>
      <c r="AH75" s="68"/>
      <c r="AI75" s="68"/>
      <c r="AJ75" s="68"/>
      <c r="AK75" s="67"/>
      <c r="AL75" s="67"/>
      <c r="AM75" s="68"/>
      <c r="AN75" s="68"/>
      <c r="AO75" s="68"/>
      <c r="AP75" s="68"/>
      <c r="AQ75" s="68"/>
      <c r="AR75" s="68"/>
      <c r="AS75" s="68"/>
      <c r="AT75" s="67">
        <f t="shared" ca="1" si="9"/>
        <v>11</v>
      </c>
      <c r="AU75" s="79" t="str">
        <f t="shared" ca="1" si="10"/>
        <v/>
      </c>
      <c r="AV75" s="79" t="str" cm="1">
        <f t="array" aca="1" ref="AV75" ca="1">IFERROR(_xlfn.IFS($AU75="","",$AU75&lt;=15,"0-15",AND($AU75&gt;=16,$AU75&lt;=30),"16-30",AND($AU75&gt;=31,$AU75&lt;=45),"31-45",AND($AU75&gt;=46,$AU75&lt;=60),"46-60",AND($AU75&gt;=61,$AU75&lt;=90),"61-90",AND($AU75&gt;=91),"&gt; 90",AND($AU75&gt;=2000),""),"")</f>
        <v/>
      </c>
      <c r="AW75" s="79" t="str" cm="1">
        <f t="array" aca="1" ref="AW75" ca="1">IFERROR(_xlfn.IFS(OR($M75="",$AM75=""),"",OR($C75="Offered",$C75="Joined"),($AM75-$M75)-$AT75),"")</f>
        <v/>
      </c>
      <c r="AX75" s="79" t="str" cm="1">
        <f t="array" aca="1" ref="AX75" ca="1">IFERROR(_xlfn.IFS(OR($M75="",$AS75=""),"",$C75="Joined",($AS75-$M75)-$AT75),"")</f>
        <v/>
      </c>
      <c r="AY75" s="67" t="str">
        <f>IFERROR(IF(COUNTIFS('Candidate Tracker'!$E:$E,'Positions Tracker'!$B75,'Candidate Tracker'!$C:$C,"Offer Drop")=0,"",COUNTIFS('Candidate Tracker'!$E:$E,'Positions Tracker'!$B75,'Candidate Tracker'!$C:$C,"Offer Drop")),"")</f>
        <v/>
      </c>
      <c r="AZ75" s="80">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0.88111888111888115</v>
      </c>
      <c r="BA75" s="81">
        <f>IFERROR(IF(COUNTIFS('Candidate Tracker'!$E:$E,'Positions Tracker'!$B75,'Candidate Tracker'!$I:$I,"Female")=0,"",COUNTIFS('Candidate Tracker'!$E:$E,'Positions Tracker'!$B75,'Candidate Tracker'!$I:$I,"Female")),"")</f>
        <v>1</v>
      </c>
      <c r="BB75" s="81">
        <f>IFERROR(IF(COUNTIFS('Candidate Tracker'!$E:$E,'Positions Tracker'!$B75,'Candidate Tracker'!$I:$I,"male")=0,"",COUNTIFS('Candidate Tracker'!$E:$E,'Positions Tracker'!$B75,'Candidate Tracker'!$I:$I,"male")),"")</f>
        <v>13</v>
      </c>
      <c r="BC75" s="80" t="str">
        <f>IFERROR(IF(COUNTIFS('Candidate Tracker'!$E:$E,'Positions Tracker'!$B75,'Candidate Tracker'!$C:$C,"&lt;&gt;WIP",'Candidate Tracker'!$C:$C,"&lt;&gt;Hold",'Candidate Tracker'!$C:$C,"&lt;&gt;Cancelled",'Candidate Tracker'!$C:$C,"&lt;&gt;Closed")/COUNTIFS('Candidate Tracker'!$E:$E,'Positions Tracker'!$B75)=0,"",COUNTIFS('Candidate Tracker'!$E:$E,'Positions Tracker'!$B75,'Candidate Tracker'!$C:$C,"&lt;&gt;WIP",'Candidate Tracker'!$C:$C,"&lt;&gt;Hold",'Candidate Tracker'!$C:$C,"&lt;&gt;Cancelled",'Candidate Tracker'!$C:$C,"&lt;&gt;Closed")/COUNTIFS('Candidate Tracker'!$E:$E,'Positions Tracker'!$B75)),"")</f>
        <v/>
      </c>
      <c r="BD75" s="67" t="str">
        <f t="shared" si="1"/>
        <v>Jan-25</v>
      </c>
      <c r="BE75" s="67" t="str">
        <f t="shared" si="2"/>
        <v/>
      </c>
      <c r="BF75" s="67" t="str">
        <f t="shared" si="3"/>
        <v/>
      </c>
      <c r="BG75" s="67" t="str">
        <f t="shared" si="4"/>
        <v/>
      </c>
    </row>
    <row r="76" spans="1:59">
      <c r="A76" s="67">
        <f t="shared" si="8"/>
        <v>75</v>
      </c>
      <c r="B76" s="67">
        <v>20245966</v>
      </c>
      <c r="C76" s="67" t="s">
        <v>116</v>
      </c>
      <c r="D76" s="67" t="s">
        <v>116</v>
      </c>
      <c r="E76" s="67" t="s">
        <v>409</v>
      </c>
      <c r="F76" s="67" t="s">
        <v>410</v>
      </c>
      <c r="G76" s="67" t="s">
        <v>3</v>
      </c>
      <c r="H76" s="67" t="s">
        <v>68</v>
      </c>
      <c r="I76" s="67" t="s">
        <v>107</v>
      </c>
      <c r="J76" s="67" t="s">
        <v>70</v>
      </c>
      <c r="K76" s="68">
        <v>45618</v>
      </c>
      <c r="L76" s="68">
        <v>45618</v>
      </c>
      <c r="M76" s="68">
        <v>45648</v>
      </c>
      <c r="N76" s="67" t="s">
        <v>95</v>
      </c>
      <c r="O76" s="68"/>
      <c r="P76" s="68"/>
      <c r="Q76" s="68"/>
      <c r="R76" s="68"/>
      <c r="S76" s="68"/>
      <c r="T76" s="68"/>
      <c r="U76" s="67"/>
      <c r="V76" s="67"/>
      <c r="W76" s="67"/>
      <c r="X76" s="67" t="s">
        <v>72</v>
      </c>
      <c r="Y76" s="67" t="s">
        <v>282</v>
      </c>
      <c r="Z76" s="67" t="s">
        <v>282</v>
      </c>
      <c r="AA76" s="67" t="s">
        <v>411</v>
      </c>
      <c r="AB76" s="67"/>
      <c r="AC76" s="67"/>
      <c r="AD76" s="67"/>
      <c r="AE76" s="67" t="s">
        <v>412</v>
      </c>
      <c r="AF76" s="67">
        <v>8341238949</v>
      </c>
      <c r="AG76" s="67" t="s">
        <v>413</v>
      </c>
      <c r="AH76" s="68" t="s">
        <v>123</v>
      </c>
      <c r="AI76" s="68">
        <v>45761</v>
      </c>
      <c r="AJ76" s="68">
        <v>45762</v>
      </c>
      <c r="AK76" s="67" t="s">
        <v>72</v>
      </c>
      <c r="AL76" s="67">
        <v>1200000</v>
      </c>
      <c r="AM76" s="68">
        <v>45765</v>
      </c>
      <c r="AN76" s="68">
        <v>45765</v>
      </c>
      <c r="AO76" s="68"/>
      <c r="AP76" s="68">
        <v>45769</v>
      </c>
      <c r="AQ76" s="68">
        <v>45769</v>
      </c>
      <c r="AR76" s="68"/>
      <c r="AS76" s="68">
        <v>45775</v>
      </c>
      <c r="AT76" s="67">
        <f t="shared" ca="1" si="9"/>
        <v>0</v>
      </c>
      <c r="AU76" s="79" t="str">
        <f t="shared" ca="1" si="10"/>
        <v/>
      </c>
      <c r="AV76" s="79" t="str" cm="1">
        <f t="array" aca="1" ref="AV76" ca="1">IFERROR(_xlfn.IFS($AU76="","",$AU76&lt;=15,"0-15",AND($AU76&gt;=16,$AU76&lt;=30),"16-30",AND($AU76&gt;=31,$AU76&lt;=45),"31-45",AND($AU76&gt;=46,$AU76&lt;=60),"46-60",AND($AU76&gt;=61,$AU76&lt;=90),"61-90",AND($AU76&gt;=91),"&gt; 90",AND($AU76&gt;=2000),""),"")</f>
        <v/>
      </c>
      <c r="AW76" s="79" cm="1">
        <f t="array" aca="1" ref="AW76" ca="1">IFERROR(_xlfn.IFS(OR($M76="",$AM76=""),"",OR($C76="Offered",$C76="Joined"),($AM76-$M76)-$AT76),"")</f>
        <v>117</v>
      </c>
      <c r="AX76" s="79" cm="1">
        <f t="array" aca="1" ref="AX76" ca="1">IFERROR(_xlfn.IFS(OR($M76="",$AS76=""),"",$C76="Joined",($AS76-$M76)-$AT76),"")</f>
        <v>127</v>
      </c>
      <c r="AY76" s="67" t="str">
        <f>IFERROR(IF(COUNTIFS('Candidate Tracker'!$E:$E,'Positions Tracker'!$B76,'Candidate Tracker'!$C:$C,"Offer Drop")=0,"",COUNTIFS('Candidate Tracker'!$E:$E,'Positions Tracker'!$B76,'Candidate Tracker'!$C:$C,"Offer Drop")),"")</f>
        <v/>
      </c>
      <c r="AZ76" s="80">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0.88111888111888115</v>
      </c>
      <c r="BA76" s="81" t="str">
        <f>IFERROR(IF(COUNTIFS('Candidate Tracker'!$E:$E,'Positions Tracker'!$B76,'Candidate Tracker'!$I:$I,"Female")=0,"",COUNTIFS('Candidate Tracker'!$E:$E,'Positions Tracker'!$B76,'Candidate Tracker'!$I:$I,"Female")),"")</f>
        <v/>
      </c>
      <c r="BB76" s="81">
        <f>IFERROR(IF(COUNTIFS('Candidate Tracker'!$E:$E,'Positions Tracker'!$B76,'Candidate Tracker'!$I:$I,"male")=0,"",COUNTIFS('Candidate Tracker'!$E:$E,'Positions Tracker'!$B76,'Candidate Tracker'!$I:$I,"male")),"")</f>
        <v>5</v>
      </c>
      <c r="BC76" s="80" t="str">
        <f>IFERROR(IF(COUNTIFS('Candidate Tracker'!$E:$E,'Positions Tracker'!$B76,'Candidate Tracker'!$C:$C,"&lt;&gt;WIP",'Candidate Tracker'!$C:$C,"&lt;&gt;Hold",'Candidate Tracker'!$C:$C,"&lt;&gt;Cancelled",'Candidate Tracker'!$C:$C,"&lt;&gt;Closed")/COUNTIFS('Candidate Tracker'!$E:$E,'Positions Tracker'!$B76)=0,"",COUNTIFS('Candidate Tracker'!$E:$E,'Positions Tracker'!$B76,'Candidate Tracker'!$C:$C,"&lt;&gt;WIP",'Candidate Tracker'!$C:$C,"&lt;&gt;Hold",'Candidate Tracker'!$C:$C,"&lt;&gt;Cancelled",'Candidate Tracker'!$C:$C,"&lt;&gt;Closed")/COUNTIFS('Candidate Tracker'!$E:$E,'Positions Tracker'!$B76)),"")</f>
        <v/>
      </c>
      <c r="BD76" s="67" t="str">
        <f t="shared" si="1"/>
        <v>Dec-24</v>
      </c>
      <c r="BE76" s="67" t="str">
        <f t="shared" si="2"/>
        <v>Apr-25</v>
      </c>
      <c r="BF76" s="67" t="str">
        <f t="shared" si="3"/>
        <v>Apr-25</v>
      </c>
      <c r="BG76" s="67" t="str">
        <f t="shared" si="4"/>
        <v>Apr-25</v>
      </c>
    </row>
    <row r="77" spans="1:59">
      <c r="A77" s="67">
        <f t="shared" si="8"/>
        <v>76</v>
      </c>
      <c r="B77" s="67">
        <v>20242406</v>
      </c>
      <c r="C77" s="67" t="s">
        <v>64</v>
      </c>
      <c r="D77" s="67" t="s">
        <v>65</v>
      </c>
      <c r="E77" s="67" t="s">
        <v>414</v>
      </c>
      <c r="F77" s="67" t="s">
        <v>106</v>
      </c>
      <c r="G77" s="67" t="s">
        <v>3</v>
      </c>
      <c r="H77" s="67" t="s">
        <v>68</v>
      </c>
      <c r="I77" s="67" t="s">
        <v>415</v>
      </c>
      <c r="J77" s="67"/>
      <c r="K77" s="68">
        <v>45608</v>
      </c>
      <c r="L77" s="68">
        <v>45608</v>
      </c>
      <c r="M77" s="68">
        <v>45621</v>
      </c>
      <c r="N77" s="67" t="s">
        <v>82</v>
      </c>
      <c r="O77" s="68">
        <v>45613</v>
      </c>
      <c r="P77" s="68">
        <v>45670</v>
      </c>
      <c r="Q77" s="68"/>
      <c r="R77" s="68">
        <v>45673</v>
      </c>
      <c r="S77" s="68">
        <v>45717</v>
      </c>
      <c r="T77" s="68"/>
      <c r="U77" s="67"/>
      <c r="V77" s="67"/>
      <c r="W77" s="67"/>
      <c r="X77" s="67" t="s">
        <v>72</v>
      </c>
      <c r="Y77" s="67" t="s">
        <v>282</v>
      </c>
      <c r="Z77" s="67" t="s">
        <v>282</v>
      </c>
      <c r="AA77" s="67" t="s">
        <v>416</v>
      </c>
      <c r="AB77" s="67">
        <v>6</v>
      </c>
      <c r="AC77" s="67">
        <v>2</v>
      </c>
      <c r="AD77" s="67">
        <v>0</v>
      </c>
      <c r="AE77" s="67" t="s">
        <v>417</v>
      </c>
      <c r="AF77" s="67"/>
      <c r="AG77" s="67"/>
      <c r="AH77" s="68" t="s">
        <v>123</v>
      </c>
      <c r="AI77" s="68"/>
      <c r="AJ77" s="68"/>
      <c r="AK77" s="67"/>
      <c r="AL77" s="67"/>
      <c r="AM77" s="68"/>
      <c r="AN77" s="68"/>
      <c r="AO77" s="68"/>
      <c r="AP77" s="68"/>
      <c r="AQ77" s="68"/>
      <c r="AR77" s="68"/>
      <c r="AS77" s="68"/>
      <c r="AT77" s="67">
        <f t="shared" ca="1" si="9"/>
        <v>107</v>
      </c>
      <c r="AU77" s="79" t="str">
        <f t="shared" ca="1" si="10"/>
        <v/>
      </c>
      <c r="AV77" s="79" t="str" cm="1">
        <f t="array" aca="1" ref="AV77" ca="1">IFERROR(_xlfn.IFS($AU77="","",$AU77&lt;=15,"0-15",AND($AU77&gt;=16,$AU77&lt;=30),"16-30",AND($AU77&gt;=31,$AU77&lt;=45),"31-45",AND($AU77&gt;=46,$AU77&lt;=60),"46-60",AND($AU77&gt;=61,$AU77&lt;=90),"61-90",AND($AU77&gt;=91),"&gt; 90",AND($AU77&gt;=2000),""),"")</f>
        <v/>
      </c>
      <c r="AW77" s="79" t="str" cm="1">
        <f t="array" aca="1" ref="AW77" ca="1">IFERROR(_xlfn.IFS(OR($M77="",$AM77=""),"",OR($C77="Offered",$C77="Joined"),($AM77-$M77)-$AT77),"")</f>
        <v/>
      </c>
      <c r="AX77" s="79" t="str" cm="1">
        <f t="array" aca="1" ref="AX77" ca="1">IFERROR(_xlfn.IFS(OR($M77="",$AS77=""),"",$C77="Joined",($AS77-$M77)-$AT77),"")</f>
        <v/>
      </c>
      <c r="AY77" s="67" t="str">
        <f>IFERROR(IF(COUNTIFS('Candidate Tracker'!$E:$E,'Positions Tracker'!$B77,'Candidate Tracker'!$C:$C,"Offer Drop")=0,"",COUNTIFS('Candidate Tracker'!$E:$E,'Positions Tracker'!$B77,'Candidate Tracker'!$C:$C,"Offer Drop")),"")</f>
        <v/>
      </c>
      <c r="AZ77" s="80">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0.88111888111888115</v>
      </c>
      <c r="BA77" s="81">
        <f>IFERROR(IF(COUNTIFS('Candidate Tracker'!$E:$E,'Positions Tracker'!$B77,'Candidate Tracker'!$I:$I,"Female")=0,"",COUNTIFS('Candidate Tracker'!$E:$E,'Positions Tracker'!$B77,'Candidate Tracker'!$I:$I,"Female")),"")</f>
        <v>8</v>
      </c>
      <c r="BB77" s="81">
        <f>IFERROR(IF(COUNTIFS('Candidate Tracker'!$E:$E,'Positions Tracker'!$B77,'Candidate Tracker'!$I:$I,"male")=0,"",COUNTIFS('Candidate Tracker'!$E:$E,'Positions Tracker'!$B77,'Candidate Tracker'!$I:$I,"male")),"")</f>
        <v>19</v>
      </c>
      <c r="BC77" s="80" t="str">
        <f>IFERROR(IF(COUNTIFS('Candidate Tracker'!$E:$E,'Positions Tracker'!$B77,'Candidate Tracker'!$C:$C,"&lt;&gt;WIP",'Candidate Tracker'!$C:$C,"&lt;&gt;Hold",'Candidate Tracker'!$C:$C,"&lt;&gt;Cancelled",'Candidate Tracker'!$C:$C,"&lt;&gt;Closed")/COUNTIFS('Candidate Tracker'!$E:$E,'Positions Tracker'!$B77)=0,"",COUNTIFS('Candidate Tracker'!$E:$E,'Positions Tracker'!$B77,'Candidate Tracker'!$C:$C,"&lt;&gt;WIP",'Candidate Tracker'!$C:$C,"&lt;&gt;Hold",'Candidate Tracker'!$C:$C,"&lt;&gt;Cancelled",'Candidate Tracker'!$C:$C,"&lt;&gt;Closed")/COUNTIFS('Candidate Tracker'!$E:$E,'Positions Tracker'!$B77)),"")</f>
        <v/>
      </c>
      <c r="BD77" s="67" t="str">
        <f t="shared" si="1"/>
        <v>Nov-24</v>
      </c>
      <c r="BE77" s="67" t="str">
        <f t="shared" si="2"/>
        <v/>
      </c>
      <c r="BF77" s="67" t="str">
        <f t="shared" si="3"/>
        <v/>
      </c>
      <c r="BG77" s="67" t="str">
        <f t="shared" si="4"/>
        <v/>
      </c>
    </row>
    <row r="78" spans="1:59">
      <c r="A78" s="67">
        <f t="shared" si="8"/>
        <v>77</v>
      </c>
      <c r="B78" s="67">
        <v>20251975</v>
      </c>
      <c r="C78" s="67" t="s">
        <v>64</v>
      </c>
      <c r="D78" s="67" t="s">
        <v>65</v>
      </c>
      <c r="E78" s="67" t="s">
        <v>418</v>
      </c>
      <c r="F78" s="67" t="s">
        <v>419</v>
      </c>
      <c r="G78" s="67" t="s">
        <v>3</v>
      </c>
      <c r="H78" s="67" t="s">
        <v>68</v>
      </c>
      <c r="I78" s="67" t="s">
        <v>420</v>
      </c>
      <c r="J78" s="67"/>
      <c r="K78" s="68">
        <v>45686</v>
      </c>
      <c r="L78" s="68">
        <v>45686</v>
      </c>
      <c r="M78" s="68">
        <v>45756</v>
      </c>
      <c r="N78" s="67" t="s">
        <v>82</v>
      </c>
      <c r="O78" s="68"/>
      <c r="P78" s="68"/>
      <c r="Q78" s="68"/>
      <c r="R78" s="68"/>
      <c r="S78" s="68"/>
      <c r="T78" s="68"/>
      <c r="U78" s="67"/>
      <c r="V78" s="67"/>
      <c r="W78" s="67"/>
      <c r="X78" s="67" t="s">
        <v>72</v>
      </c>
      <c r="Y78" s="67" t="s">
        <v>74</v>
      </c>
      <c r="Z78" s="67" t="s">
        <v>74</v>
      </c>
      <c r="AA78" s="67" t="s">
        <v>421</v>
      </c>
      <c r="AB78" s="67">
        <v>8</v>
      </c>
      <c r="AC78" s="67">
        <v>2</v>
      </c>
      <c r="AD78" s="67">
        <v>2</v>
      </c>
      <c r="AE78" s="67"/>
      <c r="AF78" s="67"/>
      <c r="AG78" s="67"/>
      <c r="AH78" s="68"/>
      <c r="AI78" s="68"/>
      <c r="AJ78" s="68"/>
      <c r="AK78" s="67"/>
      <c r="AL78" s="67"/>
      <c r="AM78" s="68"/>
      <c r="AN78" s="68"/>
      <c r="AO78" s="68"/>
      <c r="AP78" s="68"/>
      <c r="AQ78" s="68"/>
      <c r="AR78" s="68"/>
      <c r="AS78" s="68"/>
      <c r="AT78" s="67">
        <f t="shared" ca="1" si="9"/>
        <v>0</v>
      </c>
      <c r="AU78" s="79" t="str">
        <f t="shared" ca="1" si="10"/>
        <v/>
      </c>
      <c r="AV78" s="79" t="str" cm="1">
        <f t="array" aca="1" ref="AV78" ca="1">IFERROR(_xlfn.IFS($AU78="","",$AU78&lt;=15,"0-15",AND($AU78&gt;=16,$AU78&lt;=30),"16-30",AND($AU78&gt;=31,$AU78&lt;=45),"31-45",AND($AU78&gt;=46,$AU78&lt;=60),"46-60",AND($AU78&gt;=61,$AU78&lt;=90),"61-90",AND($AU78&gt;=91),"&gt; 90",AND($AU78&gt;=2000),""),"")</f>
        <v/>
      </c>
      <c r="AW78" s="79" t="str" cm="1">
        <f t="array" aca="1" ref="AW78" ca="1">IFERROR(_xlfn.IFS(OR($M78="",$AM78=""),"",OR($C78="Offered",$C78="Joined"),($AM78-$M78)-$AT78),"")</f>
        <v/>
      </c>
      <c r="AX78" s="79" t="str" cm="1">
        <f t="array" aca="1" ref="AX78" ca="1">IFERROR(_xlfn.IFS(OR($M78="",$AS78=""),"",$C78="Joined",($AS78-$M78)-$AT78),"")</f>
        <v/>
      </c>
      <c r="AY78" s="67" t="str">
        <f>IFERROR(IF(COUNTIFS('Candidate Tracker'!$E:$E,'Positions Tracker'!$B78,'Candidate Tracker'!$C:$C,"Offer Drop")=0,"",COUNTIFS('Candidate Tracker'!$E:$E,'Positions Tracker'!$B78,'Candidate Tracker'!$C:$C,"Offer Drop")),"")</f>
        <v/>
      </c>
      <c r="AZ78" s="80">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0.88111888111888115</v>
      </c>
      <c r="BA78" s="81">
        <f>IFERROR(IF(COUNTIFS('Candidate Tracker'!$E:$E,'Positions Tracker'!$B78,'Candidate Tracker'!$I:$I,"Female")=0,"",COUNTIFS('Candidate Tracker'!$E:$E,'Positions Tracker'!$B78,'Candidate Tracker'!$I:$I,"Female")),"")</f>
        <v>1</v>
      </c>
      <c r="BB78" s="81">
        <f>IFERROR(IF(COUNTIFS('Candidate Tracker'!$E:$E,'Positions Tracker'!$B78,'Candidate Tracker'!$I:$I,"male")=0,"",COUNTIFS('Candidate Tracker'!$E:$E,'Positions Tracker'!$B78,'Candidate Tracker'!$I:$I,"male")),"")</f>
        <v>6</v>
      </c>
      <c r="BC78" s="80" t="str">
        <f>IFERROR(IF(COUNTIFS('Candidate Tracker'!$E:$E,'Positions Tracker'!$B78,'Candidate Tracker'!$C:$C,"&lt;&gt;WIP",'Candidate Tracker'!$C:$C,"&lt;&gt;Hold",'Candidate Tracker'!$C:$C,"&lt;&gt;Cancelled",'Candidate Tracker'!$C:$C,"&lt;&gt;Closed")/COUNTIFS('Candidate Tracker'!$E:$E,'Positions Tracker'!$B78)=0,"",COUNTIFS('Candidate Tracker'!$E:$E,'Positions Tracker'!$B78,'Candidate Tracker'!$C:$C,"&lt;&gt;WIP",'Candidate Tracker'!$C:$C,"&lt;&gt;Hold",'Candidate Tracker'!$C:$C,"&lt;&gt;Cancelled",'Candidate Tracker'!$C:$C,"&lt;&gt;Closed")/COUNTIFS('Candidate Tracker'!$E:$E,'Positions Tracker'!$B78)),"")</f>
        <v/>
      </c>
      <c r="BD78" s="67" t="str">
        <f t="shared" si="1"/>
        <v>Apr-25</v>
      </c>
      <c r="BE78" s="67" t="str">
        <f t="shared" si="2"/>
        <v/>
      </c>
      <c r="BF78" s="67" t="str">
        <f t="shared" si="3"/>
        <v/>
      </c>
      <c r="BG78" s="67" t="str">
        <f t="shared" si="4"/>
        <v/>
      </c>
    </row>
    <row r="79" spans="1:59">
      <c r="A79" s="67">
        <f t="shared" si="8"/>
        <v>78</v>
      </c>
      <c r="B79" s="67">
        <v>20251977</v>
      </c>
      <c r="C79" s="67" t="s">
        <v>64</v>
      </c>
      <c r="D79" s="67" t="s">
        <v>65</v>
      </c>
      <c r="E79" s="67" t="s">
        <v>422</v>
      </c>
      <c r="F79" s="67" t="s">
        <v>423</v>
      </c>
      <c r="G79" s="67" t="s">
        <v>3</v>
      </c>
      <c r="H79" s="67" t="s">
        <v>191</v>
      </c>
      <c r="I79" s="67" t="s">
        <v>424</v>
      </c>
      <c r="J79" s="67" t="s">
        <v>70</v>
      </c>
      <c r="K79" s="68">
        <v>45678</v>
      </c>
      <c r="L79" s="68">
        <v>45678</v>
      </c>
      <c r="M79" s="68">
        <v>45678</v>
      </c>
      <c r="N79" s="67" t="s">
        <v>211</v>
      </c>
      <c r="O79" s="68"/>
      <c r="P79" s="68"/>
      <c r="Q79" s="68"/>
      <c r="R79" s="68"/>
      <c r="S79" s="68"/>
      <c r="T79" s="68"/>
      <c r="U79" s="67"/>
      <c r="V79" s="67"/>
      <c r="W79" s="67"/>
      <c r="X79" s="67" t="s">
        <v>72</v>
      </c>
      <c r="Y79" s="67" t="s">
        <v>245</v>
      </c>
      <c r="Z79" s="67" t="s">
        <v>245</v>
      </c>
      <c r="AA79" s="67" t="s">
        <v>425</v>
      </c>
      <c r="AB79" s="67"/>
      <c r="AC79" s="67"/>
      <c r="AD79" s="67"/>
      <c r="AE79" s="67"/>
      <c r="AF79" s="67"/>
      <c r="AG79" s="67"/>
      <c r="AH79" s="68"/>
      <c r="AI79" s="68"/>
      <c r="AJ79" s="68"/>
      <c r="AK79" s="67"/>
      <c r="AL79" s="67"/>
      <c r="AM79" s="68"/>
      <c r="AN79" s="68"/>
      <c r="AO79" s="68"/>
      <c r="AP79" s="68"/>
      <c r="AQ79" s="68"/>
      <c r="AR79" s="68"/>
      <c r="AS79" s="68"/>
      <c r="AT79" s="67">
        <f t="shared" ca="1" si="9"/>
        <v>0</v>
      </c>
      <c r="AU79" s="79" t="str">
        <f t="shared" ca="1" si="10"/>
        <v/>
      </c>
      <c r="AV79" s="79" t="str" cm="1">
        <f t="array" aca="1" ref="AV79" ca="1">IFERROR(_xlfn.IFS($AU79="","",$AU79&lt;=15,"0-15",AND($AU79&gt;=16,$AU79&lt;=30),"16-30",AND($AU79&gt;=31,$AU79&lt;=45),"31-45",AND($AU79&gt;=46,$AU79&lt;=60),"46-60",AND($AU79&gt;=61,$AU79&lt;=90),"61-90",AND($AU79&gt;=91),"&gt; 90",AND($AU79&gt;=2000),""),"")</f>
        <v/>
      </c>
      <c r="AW79" s="79" t="str" cm="1">
        <f t="array" aca="1" ref="AW79" ca="1">IFERROR(_xlfn.IFS(OR($M79="",$AM79=""),"",OR($C79="Offered",$C79="Joined"),($AM79-$M79)-$AT79),"")</f>
        <v/>
      </c>
      <c r="AX79" s="79" t="str" cm="1">
        <f t="array" aca="1" ref="AX79" ca="1">IFERROR(_xlfn.IFS(OR($M79="",$AS79=""),"",$C79="Joined",($AS79-$M79)-$AT79),"")</f>
        <v/>
      </c>
      <c r="AY79" s="67" t="str">
        <f>IFERROR(IF(COUNTIFS('Candidate Tracker'!$E:$E,'Positions Tracker'!$B79,'Candidate Tracker'!$C:$C,"Offer Drop")=0,"",COUNTIFS('Candidate Tracker'!$E:$E,'Positions Tracker'!$B79,'Candidate Tracker'!$C:$C,"Offer Drop")),"")</f>
        <v/>
      </c>
      <c r="AZ79" s="80">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0.88111888111888115</v>
      </c>
      <c r="BA79" s="81">
        <f>IFERROR(IF(COUNTIFS('Candidate Tracker'!$E:$E,'Positions Tracker'!$B79,'Candidate Tracker'!$I:$I,"Female")=0,"",COUNTIFS('Candidate Tracker'!$E:$E,'Positions Tracker'!$B79,'Candidate Tracker'!$I:$I,"Female")),"")</f>
        <v>3</v>
      </c>
      <c r="BB79" s="81">
        <f>IFERROR(IF(COUNTIFS('Candidate Tracker'!$E:$E,'Positions Tracker'!$B79,'Candidate Tracker'!$I:$I,"male")=0,"",COUNTIFS('Candidate Tracker'!$E:$E,'Positions Tracker'!$B79,'Candidate Tracker'!$I:$I,"male")),"")</f>
        <v>16</v>
      </c>
      <c r="BC79" s="80" t="str">
        <f>IFERROR(IF(COUNTIFS('Candidate Tracker'!$E:$E,'Positions Tracker'!$B79,'Candidate Tracker'!$C:$C,"&lt;&gt;WIP",'Candidate Tracker'!$C:$C,"&lt;&gt;Hold",'Candidate Tracker'!$C:$C,"&lt;&gt;Cancelled",'Candidate Tracker'!$C:$C,"&lt;&gt;Closed")/COUNTIFS('Candidate Tracker'!$E:$E,'Positions Tracker'!$B79)=0,"",COUNTIFS('Candidate Tracker'!$E:$E,'Positions Tracker'!$B79,'Candidate Tracker'!$C:$C,"&lt;&gt;WIP",'Candidate Tracker'!$C:$C,"&lt;&gt;Hold",'Candidate Tracker'!$C:$C,"&lt;&gt;Cancelled",'Candidate Tracker'!$C:$C,"&lt;&gt;Closed")/COUNTIFS('Candidate Tracker'!$E:$E,'Positions Tracker'!$B79)),"")</f>
        <v/>
      </c>
      <c r="BD79" s="67" t="str">
        <f t="shared" si="1"/>
        <v>Jan-25</v>
      </c>
      <c r="BE79" s="67" t="str">
        <f t="shared" si="2"/>
        <v/>
      </c>
      <c r="BF79" s="67" t="str">
        <f t="shared" si="3"/>
        <v/>
      </c>
      <c r="BG79" s="67" t="str">
        <f t="shared" si="4"/>
        <v/>
      </c>
    </row>
    <row r="80" spans="1:59">
      <c r="A80" s="67">
        <f t="shared" si="8"/>
        <v>79</v>
      </c>
      <c r="B80" s="67">
        <v>20253004</v>
      </c>
      <c r="C80" s="67" t="s">
        <v>116</v>
      </c>
      <c r="D80" s="67" t="s">
        <v>116</v>
      </c>
      <c r="E80" s="67" t="s">
        <v>157</v>
      </c>
      <c r="F80" s="67" t="s">
        <v>158</v>
      </c>
      <c r="G80" s="67" t="s">
        <v>3</v>
      </c>
      <c r="H80" s="67" t="s">
        <v>68</v>
      </c>
      <c r="I80" s="67" t="s">
        <v>107</v>
      </c>
      <c r="J80" s="67" t="s">
        <v>70</v>
      </c>
      <c r="K80" s="68">
        <v>45337</v>
      </c>
      <c r="L80" s="68">
        <v>45566</v>
      </c>
      <c r="M80" s="68">
        <v>45627</v>
      </c>
      <c r="N80" s="67" t="s">
        <v>95</v>
      </c>
      <c r="O80" s="68"/>
      <c r="P80" s="68"/>
      <c r="Q80" s="68"/>
      <c r="R80" s="68"/>
      <c r="S80" s="68"/>
      <c r="T80" s="68"/>
      <c r="U80" s="67"/>
      <c r="V80" s="67"/>
      <c r="W80" s="67"/>
      <c r="X80" s="67" t="s">
        <v>72</v>
      </c>
      <c r="Y80" s="67" t="s">
        <v>282</v>
      </c>
      <c r="Z80" s="67" t="s">
        <v>282</v>
      </c>
      <c r="AA80" s="67" t="s">
        <v>426</v>
      </c>
      <c r="AB80" s="67"/>
      <c r="AC80" s="67"/>
      <c r="AD80" s="67"/>
      <c r="AE80" s="67" t="s">
        <v>427</v>
      </c>
      <c r="AF80" s="67">
        <v>9890193495</v>
      </c>
      <c r="AG80" s="67" t="s">
        <v>428</v>
      </c>
      <c r="AH80" s="68" t="s">
        <v>123</v>
      </c>
      <c r="AI80" s="68">
        <v>45707</v>
      </c>
      <c r="AJ80" s="68">
        <v>45720</v>
      </c>
      <c r="AK80" s="67" t="s">
        <v>72</v>
      </c>
      <c r="AL80" s="67">
        <v>2500000</v>
      </c>
      <c r="AM80" s="68">
        <v>45723</v>
      </c>
      <c r="AN80" s="68">
        <v>45723</v>
      </c>
      <c r="AO80" s="68"/>
      <c r="AP80" s="68">
        <v>45723</v>
      </c>
      <c r="AQ80" s="68">
        <v>45723</v>
      </c>
      <c r="AR80" s="68"/>
      <c r="AS80" s="68">
        <v>45789</v>
      </c>
      <c r="AT80" s="67">
        <f t="shared" ca="1" si="9"/>
        <v>0</v>
      </c>
      <c r="AU80" s="79" t="str">
        <f t="shared" ca="1" si="10"/>
        <v/>
      </c>
      <c r="AV80" s="79" t="str" cm="1">
        <f t="array" aca="1" ref="AV80" ca="1">IFERROR(_xlfn.IFS($AU80="","",$AU80&lt;=15,"0-15",AND($AU80&gt;=16,$AU80&lt;=30),"16-30",AND($AU80&gt;=31,$AU80&lt;=45),"31-45",AND($AU80&gt;=46,$AU80&lt;=60),"46-60",AND($AU80&gt;=61,$AU80&lt;=90),"61-90",AND($AU80&gt;=91),"&gt; 90",AND($AU80&gt;=2000),""),"")</f>
        <v/>
      </c>
      <c r="AW80" s="79" cm="1">
        <f t="array" aca="1" ref="AW80" ca="1">IFERROR(_xlfn.IFS(OR($M80="",$AM80=""),"",OR($C80="Offered",$C80="Joined"),($AM80-$M80)-$AT80),"")</f>
        <v>96</v>
      </c>
      <c r="AX80" s="79" cm="1">
        <f t="array" aca="1" ref="AX80" ca="1">IFERROR(_xlfn.IFS(OR($M80="",$AS80=""),"",$C80="Joined",($AS80-$M80)-$AT80),"")</f>
        <v>162</v>
      </c>
      <c r="AY80" s="67" t="str">
        <f>IFERROR(IF(COUNTIFS('Candidate Tracker'!$E:$E,'Positions Tracker'!$B80,'Candidate Tracker'!$C:$C,"Offer Drop")=0,"",COUNTIFS('Candidate Tracker'!$E:$E,'Positions Tracker'!$B80,'Candidate Tracker'!$C:$C,"Offer Drop")),"")</f>
        <v/>
      </c>
      <c r="AZ80" s="80">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0.88111888111888115</v>
      </c>
      <c r="BA80" s="81" t="str">
        <f>IFERROR(IF(COUNTIFS('Candidate Tracker'!$E:$E,'Positions Tracker'!$B80,'Candidate Tracker'!$I:$I,"Female")=0,"",COUNTIFS('Candidate Tracker'!$E:$E,'Positions Tracker'!$B80,'Candidate Tracker'!$I:$I,"Female")),"")</f>
        <v/>
      </c>
      <c r="BB80" s="81" t="str">
        <f>IFERROR(IF(COUNTIFS('Candidate Tracker'!$E:$E,'Positions Tracker'!$B80,'Candidate Tracker'!$I:$I,"male")=0,"",COUNTIFS('Candidate Tracker'!$E:$E,'Positions Tracker'!$B80,'Candidate Tracker'!$I:$I,"male")),"")</f>
        <v/>
      </c>
      <c r="BC80" s="80" t="str">
        <f>IFERROR(IF(COUNTIFS('Candidate Tracker'!$E:$E,'Positions Tracker'!$B80,'Candidate Tracker'!$C:$C,"&lt;&gt;WIP",'Candidate Tracker'!$C:$C,"&lt;&gt;Hold",'Candidate Tracker'!$C:$C,"&lt;&gt;Cancelled",'Candidate Tracker'!$C:$C,"&lt;&gt;Closed")/COUNTIFS('Candidate Tracker'!$E:$E,'Positions Tracker'!$B80)=0,"",COUNTIFS('Candidate Tracker'!$E:$E,'Positions Tracker'!$B80,'Candidate Tracker'!$C:$C,"&lt;&gt;WIP",'Candidate Tracker'!$C:$C,"&lt;&gt;Hold",'Candidate Tracker'!$C:$C,"&lt;&gt;Cancelled",'Candidate Tracker'!$C:$C,"&lt;&gt;Closed")/COUNTIFS('Candidate Tracker'!$E:$E,'Positions Tracker'!$B80)),"")</f>
        <v/>
      </c>
      <c r="BD80" s="67" t="str">
        <f t="shared" si="1"/>
        <v>Dec-24</v>
      </c>
      <c r="BE80" s="67" t="str">
        <f t="shared" si="2"/>
        <v>Feb-25</v>
      </c>
      <c r="BF80" s="67" t="str">
        <f t="shared" si="3"/>
        <v>Mar-25</v>
      </c>
      <c r="BG80" s="67" t="str">
        <f t="shared" si="4"/>
        <v>May-25</v>
      </c>
    </row>
    <row r="81" spans="1:59">
      <c r="A81" s="67">
        <f t="shared" si="8"/>
        <v>80</v>
      </c>
      <c r="B81" s="67">
        <v>20243903</v>
      </c>
      <c r="C81" s="67" t="s">
        <v>55</v>
      </c>
      <c r="D81" s="67" t="s">
        <v>80</v>
      </c>
      <c r="E81" s="67" t="s">
        <v>429</v>
      </c>
      <c r="F81" s="67" t="s">
        <v>430</v>
      </c>
      <c r="G81" s="67" t="s">
        <v>3</v>
      </c>
      <c r="H81" s="67" t="s">
        <v>68</v>
      </c>
      <c r="I81" s="67" t="s">
        <v>431</v>
      </c>
      <c r="J81" s="67" t="s">
        <v>70</v>
      </c>
      <c r="K81" s="68">
        <v>45485</v>
      </c>
      <c r="L81" s="68">
        <v>45485</v>
      </c>
      <c r="M81" s="68">
        <v>45547</v>
      </c>
      <c r="N81" s="67" t="s">
        <v>432</v>
      </c>
      <c r="O81" s="68"/>
      <c r="P81" s="68"/>
      <c r="Q81" s="68"/>
      <c r="R81" s="68"/>
      <c r="S81" s="68"/>
      <c r="T81" s="68"/>
      <c r="U81" s="67"/>
      <c r="V81" s="67"/>
      <c r="W81" s="67"/>
      <c r="X81" s="67" t="s">
        <v>72</v>
      </c>
      <c r="Y81" s="67" t="s">
        <v>245</v>
      </c>
      <c r="Z81" s="67" t="s">
        <v>245</v>
      </c>
      <c r="AA81" s="67" t="s">
        <v>433</v>
      </c>
      <c r="AB81" s="67"/>
      <c r="AC81" s="67"/>
      <c r="AD81" s="67"/>
      <c r="AE81" s="67" t="s">
        <v>434</v>
      </c>
      <c r="AF81" s="67">
        <v>8862086872</v>
      </c>
      <c r="AG81" s="67" t="s">
        <v>435</v>
      </c>
      <c r="AH81" s="68" t="s">
        <v>86</v>
      </c>
      <c r="AI81" s="68">
        <v>45651</v>
      </c>
      <c r="AJ81" s="68">
        <v>45664</v>
      </c>
      <c r="AK81" s="67" t="s">
        <v>72</v>
      </c>
      <c r="AL81" s="67">
        <v>950000</v>
      </c>
      <c r="AM81" s="68">
        <v>45664</v>
      </c>
      <c r="AN81" s="68">
        <v>45177</v>
      </c>
      <c r="AO81" s="68"/>
      <c r="AP81" s="68"/>
      <c r="AQ81" s="68"/>
      <c r="AR81" s="68"/>
      <c r="AS81" s="68">
        <v>45747</v>
      </c>
      <c r="AT81" s="67">
        <f t="shared" ca="1" si="9"/>
        <v>0</v>
      </c>
      <c r="AU81" s="79" t="str">
        <f t="shared" ca="1" si="10"/>
        <v/>
      </c>
      <c r="AV81" s="79" t="str" cm="1">
        <f t="array" aca="1" ref="AV81" ca="1">IFERROR(_xlfn.IFS($AU81="","",$AU81&lt;=15,"0-15",AND($AU81&gt;=16,$AU81&lt;=30),"16-30",AND($AU81&gt;=31,$AU81&lt;=45),"31-45",AND($AU81&gt;=46,$AU81&lt;=60),"46-60",AND($AU81&gt;=61,$AU81&lt;=90),"61-90",AND($AU81&gt;=91),"&gt; 90",AND($AU81&gt;=2000),""),"")</f>
        <v/>
      </c>
      <c r="AW81" s="79" t="str" cm="1">
        <f t="array" aca="1" ref="AW81" ca="1">IFERROR(_xlfn.IFS(OR($M81="",$AM81=""),"",OR($C81="Offered",$C81="Joined"),($AM81-$M81)-$AT81),"")</f>
        <v/>
      </c>
      <c r="AX81" s="79" t="str" cm="1">
        <f t="array" aca="1" ref="AX81" ca="1">IFERROR(_xlfn.IFS(OR($M81="",$AS81=""),"",$C81="Joined",($AS81-$M81)-$AT81),"")</f>
        <v/>
      </c>
      <c r="AY81" s="67" t="str">
        <f>IFERROR(IF(COUNTIFS('Candidate Tracker'!$E:$E,'Positions Tracker'!$B81,'Candidate Tracker'!$C:$C,"Offer Drop")=0,"",COUNTIFS('Candidate Tracker'!$E:$E,'Positions Tracker'!$B81,'Candidate Tracker'!$C:$C,"Offer Drop")),"")</f>
        <v/>
      </c>
      <c r="AZ81" s="80">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0.88111888111888115</v>
      </c>
      <c r="BA81" s="81">
        <f>IFERROR(IF(COUNTIFS('Candidate Tracker'!$E:$E,'Positions Tracker'!$B81,'Candidate Tracker'!$I:$I,"Female")=0,"",COUNTIFS('Candidate Tracker'!$E:$E,'Positions Tracker'!$B81,'Candidate Tracker'!$I:$I,"Female")),"")</f>
        <v>1</v>
      </c>
      <c r="BB81" s="81" t="str">
        <f>IFERROR(IF(COUNTIFS('Candidate Tracker'!$E:$E,'Positions Tracker'!$B81,'Candidate Tracker'!$I:$I,"male")=0,"",COUNTIFS('Candidate Tracker'!$E:$E,'Positions Tracker'!$B81,'Candidate Tracker'!$I:$I,"male")),"")</f>
        <v/>
      </c>
      <c r="BC81" s="80">
        <f>IFERROR(IF(COUNTIFS('Candidate Tracker'!$E:$E,'Positions Tracker'!$B81,'Candidate Tracker'!$C:$C,"&lt;&gt;WIP",'Candidate Tracker'!$C:$C,"&lt;&gt;Hold",'Candidate Tracker'!$C:$C,"&lt;&gt;Cancelled",'Candidate Tracker'!$C:$C,"&lt;&gt;Closed")/COUNTIFS('Candidate Tracker'!$E:$E,'Positions Tracker'!$B81)=0,"",COUNTIFS('Candidate Tracker'!$E:$E,'Positions Tracker'!$B81,'Candidate Tracker'!$C:$C,"&lt;&gt;WIP",'Candidate Tracker'!$C:$C,"&lt;&gt;Hold",'Candidate Tracker'!$C:$C,"&lt;&gt;Cancelled",'Candidate Tracker'!$C:$C,"&lt;&gt;Closed")/COUNTIFS('Candidate Tracker'!$E:$E,'Positions Tracker'!$B81)),"")</f>
        <v>1</v>
      </c>
      <c r="BD81" s="67" t="str">
        <f t="shared" si="1"/>
        <v>Sep-24</v>
      </c>
      <c r="BE81" s="67" t="str">
        <f t="shared" si="2"/>
        <v>Dec-24</v>
      </c>
      <c r="BF81" s="67" t="str">
        <f t="shared" si="3"/>
        <v>Jan-25</v>
      </c>
      <c r="BG81" s="67" t="str">
        <f t="shared" si="4"/>
        <v>Mar-25</v>
      </c>
    </row>
    <row r="82" spans="1:59">
      <c r="A82" s="67">
        <f t="shared" si="8"/>
        <v>81</v>
      </c>
      <c r="B82" s="67">
        <v>20244851</v>
      </c>
      <c r="C82" s="67" t="s">
        <v>116</v>
      </c>
      <c r="D82" s="67" t="s">
        <v>116</v>
      </c>
      <c r="E82" s="67" t="s">
        <v>436</v>
      </c>
      <c r="F82" s="67" t="s">
        <v>437</v>
      </c>
      <c r="G82" s="67" t="s">
        <v>3</v>
      </c>
      <c r="H82" s="67" t="s">
        <v>68</v>
      </c>
      <c r="I82" s="67" t="s">
        <v>438</v>
      </c>
      <c r="J82" s="67" t="s">
        <v>70</v>
      </c>
      <c r="K82" s="68">
        <v>45499</v>
      </c>
      <c r="L82" s="68">
        <v>45499</v>
      </c>
      <c r="M82" s="68">
        <v>45561</v>
      </c>
      <c r="N82" s="67" t="s">
        <v>71</v>
      </c>
      <c r="O82" s="68"/>
      <c r="P82" s="68"/>
      <c r="Q82" s="68"/>
      <c r="R82" s="68"/>
      <c r="S82" s="68"/>
      <c r="T82" s="68"/>
      <c r="U82" s="67"/>
      <c r="V82" s="67"/>
      <c r="W82" s="67"/>
      <c r="X82" s="67" t="s">
        <v>72</v>
      </c>
      <c r="Y82" s="67" t="s">
        <v>245</v>
      </c>
      <c r="Z82" s="67" t="s">
        <v>245</v>
      </c>
      <c r="AA82" s="67" t="s">
        <v>439</v>
      </c>
      <c r="AB82" s="67"/>
      <c r="AC82" s="67"/>
      <c r="AD82" s="67"/>
      <c r="AE82" s="67" t="s">
        <v>440</v>
      </c>
      <c r="AF82" s="67">
        <v>8668428223</v>
      </c>
      <c r="AG82" s="67" t="s">
        <v>441</v>
      </c>
      <c r="AH82" s="68" t="s">
        <v>123</v>
      </c>
      <c r="AI82" s="68">
        <v>45663</v>
      </c>
      <c r="AJ82" s="68">
        <v>45677</v>
      </c>
      <c r="AK82" s="67" t="s">
        <v>72</v>
      </c>
      <c r="AL82" s="67">
        <v>1000000</v>
      </c>
      <c r="AM82" s="68">
        <v>45677</v>
      </c>
      <c r="AN82" s="68">
        <v>45553</v>
      </c>
      <c r="AO82" s="68"/>
      <c r="AP82" s="68"/>
      <c r="AQ82" s="68"/>
      <c r="AR82" s="68"/>
      <c r="AS82" s="68">
        <v>45726</v>
      </c>
      <c r="AT82" s="67">
        <f t="shared" ca="1" si="9"/>
        <v>0</v>
      </c>
      <c r="AU82" s="79" t="str">
        <f t="shared" ca="1" si="10"/>
        <v/>
      </c>
      <c r="AV82" s="79" t="str" cm="1">
        <f t="array" aca="1" ref="AV82" ca="1">IFERROR(_xlfn.IFS($AU82="","",$AU82&lt;=15,"0-15",AND($AU82&gt;=16,$AU82&lt;=30),"16-30",AND($AU82&gt;=31,$AU82&lt;=45),"31-45",AND($AU82&gt;=46,$AU82&lt;=60),"46-60",AND($AU82&gt;=61,$AU82&lt;=90),"61-90",AND($AU82&gt;=91),"&gt; 90",AND($AU82&gt;=2000),""),"")</f>
        <v/>
      </c>
      <c r="AW82" s="79" cm="1">
        <f t="array" aca="1" ref="AW82" ca="1">IFERROR(_xlfn.IFS(OR($M82="",$AM82=""),"",OR($C82="Offered",$C82="Joined"),($AM82-$M82)-$AT82),"")</f>
        <v>116</v>
      </c>
      <c r="AX82" s="79" cm="1">
        <f t="array" aca="1" ref="AX82" ca="1">IFERROR(_xlfn.IFS(OR($M82="",$AS82=""),"",$C82="Joined",($AS82-$M82)-$AT82),"")</f>
        <v>165</v>
      </c>
      <c r="AY82" s="67" t="str">
        <f>IFERROR(IF(COUNTIFS('Candidate Tracker'!$E:$E,'Positions Tracker'!$B82,'Candidate Tracker'!$C:$C,"Offer Drop")=0,"",COUNTIFS('Candidate Tracker'!$E:$E,'Positions Tracker'!$B82,'Candidate Tracker'!$C:$C,"Offer Drop")),"")</f>
        <v/>
      </c>
      <c r="AZ82" s="80">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0.88111888111888115</v>
      </c>
      <c r="BA82" s="81" t="str">
        <f>IFERROR(IF(COUNTIFS('Candidate Tracker'!$E:$E,'Positions Tracker'!$B82,'Candidate Tracker'!$I:$I,"Female")=0,"",COUNTIFS('Candidate Tracker'!$E:$E,'Positions Tracker'!$B82,'Candidate Tracker'!$I:$I,"Female")),"")</f>
        <v/>
      </c>
      <c r="BB82" s="81">
        <f>IFERROR(IF(COUNTIFS('Candidate Tracker'!$E:$E,'Positions Tracker'!$B82,'Candidate Tracker'!$I:$I,"male")=0,"",COUNTIFS('Candidate Tracker'!$E:$E,'Positions Tracker'!$B82,'Candidate Tracker'!$I:$I,"male")),"")</f>
        <v>1</v>
      </c>
      <c r="BC82" s="80">
        <f>IFERROR(IF(COUNTIFS('Candidate Tracker'!$E:$E,'Positions Tracker'!$B82,'Candidate Tracker'!$C:$C,"&lt;&gt;WIP",'Candidate Tracker'!$C:$C,"&lt;&gt;Hold",'Candidate Tracker'!$C:$C,"&lt;&gt;Cancelled",'Candidate Tracker'!$C:$C,"&lt;&gt;Closed")/COUNTIFS('Candidate Tracker'!$E:$E,'Positions Tracker'!$B82)=0,"",COUNTIFS('Candidate Tracker'!$E:$E,'Positions Tracker'!$B82,'Candidate Tracker'!$C:$C,"&lt;&gt;WIP",'Candidate Tracker'!$C:$C,"&lt;&gt;Hold",'Candidate Tracker'!$C:$C,"&lt;&gt;Cancelled",'Candidate Tracker'!$C:$C,"&lt;&gt;Closed")/COUNTIFS('Candidate Tracker'!$E:$E,'Positions Tracker'!$B82)),"")</f>
        <v>1</v>
      </c>
      <c r="BD82" s="67" t="str">
        <f t="shared" si="1"/>
        <v>Sep-24</v>
      </c>
      <c r="BE82" s="67" t="str">
        <f t="shared" si="2"/>
        <v>Jan-25</v>
      </c>
      <c r="BF82" s="67" t="str">
        <f t="shared" si="3"/>
        <v>Jan-25</v>
      </c>
      <c r="BG82" s="67" t="str">
        <f t="shared" si="4"/>
        <v>Mar-25</v>
      </c>
    </row>
    <row r="83" spans="1:59">
      <c r="A83" s="67">
        <f t="shared" si="8"/>
        <v>82</v>
      </c>
      <c r="B83" s="67">
        <v>20243108</v>
      </c>
      <c r="C83" s="67" t="s">
        <v>116</v>
      </c>
      <c r="D83" s="67" t="s">
        <v>116</v>
      </c>
      <c r="E83" s="67" t="s">
        <v>442</v>
      </c>
      <c r="F83" s="67" t="s">
        <v>158</v>
      </c>
      <c r="G83" s="67" t="s">
        <v>3</v>
      </c>
      <c r="H83" s="67" t="s">
        <v>191</v>
      </c>
      <c r="I83" s="67" t="s">
        <v>424</v>
      </c>
      <c r="J83" s="67" t="s">
        <v>70</v>
      </c>
      <c r="K83" s="68">
        <v>45555</v>
      </c>
      <c r="L83" s="68">
        <v>45555</v>
      </c>
      <c r="M83" s="68">
        <v>45585</v>
      </c>
      <c r="N83" s="67" t="s">
        <v>211</v>
      </c>
      <c r="O83" s="68"/>
      <c r="P83" s="68"/>
      <c r="Q83" s="68"/>
      <c r="R83" s="68"/>
      <c r="S83" s="68"/>
      <c r="T83" s="68"/>
      <c r="U83" s="67"/>
      <c r="V83" s="67"/>
      <c r="W83" s="67"/>
      <c r="X83" s="67" t="s">
        <v>72</v>
      </c>
      <c r="Y83" s="67" t="s">
        <v>282</v>
      </c>
      <c r="Z83" s="67" t="s">
        <v>282</v>
      </c>
      <c r="AA83" s="67" t="s">
        <v>443</v>
      </c>
      <c r="AB83" s="67"/>
      <c r="AC83" s="67"/>
      <c r="AD83" s="67"/>
      <c r="AE83" s="67" t="s">
        <v>444</v>
      </c>
      <c r="AF83" s="67">
        <v>9871282834</v>
      </c>
      <c r="AG83" s="89" t="s">
        <v>445</v>
      </c>
      <c r="AH83" s="68" t="s">
        <v>123</v>
      </c>
      <c r="AI83" s="68">
        <v>45646</v>
      </c>
      <c r="AJ83" s="68">
        <v>45665</v>
      </c>
      <c r="AK83" s="67" t="s">
        <v>72</v>
      </c>
      <c r="AL83" s="67">
        <v>4380000</v>
      </c>
      <c r="AM83" s="68">
        <v>45665</v>
      </c>
      <c r="AN83" s="68">
        <v>45667</v>
      </c>
      <c r="AO83" s="68"/>
      <c r="AP83" s="68"/>
      <c r="AQ83" s="68"/>
      <c r="AR83" s="68"/>
      <c r="AS83" s="68">
        <v>45775</v>
      </c>
      <c r="AT83" s="67">
        <f t="shared" ca="1" si="9"/>
        <v>0</v>
      </c>
      <c r="AU83" s="79" t="str">
        <f t="shared" ca="1" si="10"/>
        <v/>
      </c>
      <c r="AV83" s="79" t="str" cm="1">
        <f t="array" aca="1" ref="AV83" ca="1">IFERROR(_xlfn.IFS($AU83="","",$AU83&lt;=15,"0-15",AND($AU83&gt;=16,$AU83&lt;=30),"16-30",AND($AU83&gt;=31,$AU83&lt;=45),"31-45",AND($AU83&gt;=46,$AU83&lt;=60),"46-60",AND($AU83&gt;=61,$AU83&lt;=90),"61-90",AND($AU83&gt;=91),"&gt; 90",AND($AU83&gt;=2000),""),"")</f>
        <v/>
      </c>
      <c r="AW83" s="79" cm="1">
        <f t="array" aca="1" ref="AW83" ca="1">IFERROR(_xlfn.IFS(OR($M83="",$AM83=""),"",OR($C83="Offered",$C83="Joined"),($AM83-$M83)-$AT83),"")</f>
        <v>80</v>
      </c>
      <c r="AX83" s="79" cm="1">
        <f t="array" aca="1" ref="AX83" ca="1">IFERROR(_xlfn.IFS(OR($M83="",$AS83=""),"",$C83="Joined",($AS83-$M83)-$AT83),"")</f>
        <v>190</v>
      </c>
      <c r="AY83" s="67" t="str">
        <f>IFERROR(IF(COUNTIFS('Candidate Tracker'!$E:$E,'Positions Tracker'!$B83,'Candidate Tracker'!$C:$C,"Offer Drop")=0,"",COUNTIFS('Candidate Tracker'!$E:$E,'Positions Tracker'!$B83,'Candidate Tracker'!$C:$C,"Offer Drop")),"")</f>
        <v/>
      </c>
      <c r="AZ83" s="80">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0.88111888111888115</v>
      </c>
      <c r="BA83" s="81" t="str">
        <f>IFERROR(IF(COUNTIFS('Candidate Tracker'!$E:$E,'Positions Tracker'!$B83,'Candidate Tracker'!$I:$I,"Female")=0,"",COUNTIFS('Candidate Tracker'!$E:$E,'Positions Tracker'!$B83,'Candidate Tracker'!$I:$I,"Female")),"")</f>
        <v/>
      </c>
      <c r="BB83" s="81">
        <f>IFERROR(IF(COUNTIFS('Candidate Tracker'!$E:$E,'Positions Tracker'!$B83,'Candidate Tracker'!$I:$I,"male")=0,"",COUNTIFS('Candidate Tracker'!$E:$E,'Positions Tracker'!$B83,'Candidate Tracker'!$I:$I,"male")),"")</f>
        <v>1</v>
      </c>
      <c r="BC83" s="80">
        <f>IFERROR(IF(COUNTIFS('Candidate Tracker'!$E:$E,'Positions Tracker'!$B83,'Candidate Tracker'!$C:$C,"&lt;&gt;WIP",'Candidate Tracker'!$C:$C,"&lt;&gt;Hold",'Candidate Tracker'!$C:$C,"&lt;&gt;Cancelled",'Candidate Tracker'!$C:$C,"&lt;&gt;Closed")/COUNTIFS('Candidate Tracker'!$E:$E,'Positions Tracker'!$B83)=0,"",COUNTIFS('Candidate Tracker'!$E:$E,'Positions Tracker'!$B83,'Candidate Tracker'!$C:$C,"&lt;&gt;WIP",'Candidate Tracker'!$C:$C,"&lt;&gt;Hold",'Candidate Tracker'!$C:$C,"&lt;&gt;Cancelled",'Candidate Tracker'!$C:$C,"&lt;&gt;Closed")/COUNTIFS('Candidate Tracker'!$E:$E,'Positions Tracker'!$B83)),"")</f>
        <v>1</v>
      </c>
      <c r="BD83" s="67" t="str">
        <f t="shared" si="1"/>
        <v>Oct-24</v>
      </c>
      <c r="BE83" s="67" t="str">
        <f t="shared" si="2"/>
        <v>Dec-24</v>
      </c>
      <c r="BF83" s="67" t="str">
        <f t="shared" si="3"/>
        <v>Jan-25</v>
      </c>
      <c r="BG83" s="67" t="str">
        <f t="shared" si="4"/>
        <v>Apr-25</v>
      </c>
    </row>
    <row r="84" spans="1:59">
      <c r="A84" s="67">
        <f t="shared" si="8"/>
        <v>83</v>
      </c>
      <c r="B84" s="67">
        <v>20252534</v>
      </c>
      <c r="C84" s="67" t="s">
        <v>116</v>
      </c>
      <c r="D84" s="67" t="s">
        <v>116</v>
      </c>
      <c r="E84" s="67" t="s">
        <v>446</v>
      </c>
      <c r="F84" s="67" t="s">
        <v>437</v>
      </c>
      <c r="G84" s="67" t="s">
        <v>3</v>
      </c>
      <c r="H84" s="67" t="s">
        <v>68</v>
      </c>
      <c r="I84" s="67" t="s">
        <v>447</v>
      </c>
      <c r="J84" s="67" t="s">
        <v>70</v>
      </c>
      <c r="K84" s="68">
        <v>45649</v>
      </c>
      <c r="L84" s="68">
        <v>45649</v>
      </c>
      <c r="M84" s="68">
        <v>45649</v>
      </c>
      <c r="N84" s="67" t="s">
        <v>162</v>
      </c>
      <c r="O84" s="68"/>
      <c r="P84" s="68"/>
      <c r="Q84" s="68"/>
      <c r="R84" s="68"/>
      <c r="S84" s="68"/>
      <c r="T84" s="68"/>
      <c r="U84" s="67"/>
      <c r="V84" s="67"/>
      <c r="W84" s="67"/>
      <c r="X84" s="67" t="s">
        <v>72</v>
      </c>
      <c r="Y84" s="67" t="s">
        <v>245</v>
      </c>
      <c r="Z84" s="67" t="s">
        <v>245</v>
      </c>
      <c r="AA84" s="67" t="s">
        <v>448</v>
      </c>
      <c r="AB84" s="67"/>
      <c r="AC84" s="67"/>
      <c r="AD84" s="67"/>
      <c r="AE84" s="67" t="s">
        <v>449</v>
      </c>
      <c r="AF84" s="67">
        <v>8446493765</v>
      </c>
      <c r="AG84" s="67" t="s">
        <v>450</v>
      </c>
      <c r="AH84" s="68" t="s">
        <v>123</v>
      </c>
      <c r="AI84" s="68">
        <v>45695</v>
      </c>
      <c r="AJ84" s="68">
        <v>45712</v>
      </c>
      <c r="AK84" s="67" t="s">
        <v>72</v>
      </c>
      <c r="AL84" s="67">
        <v>830000</v>
      </c>
      <c r="AM84" s="68">
        <v>45712</v>
      </c>
      <c r="AN84" s="68">
        <v>45712</v>
      </c>
      <c r="AO84" s="68"/>
      <c r="AP84" s="68">
        <v>45714</v>
      </c>
      <c r="AQ84" s="68">
        <v>45714</v>
      </c>
      <c r="AR84" s="68"/>
      <c r="AS84" s="68">
        <v>45775</v>
      </c>
      <c r="AT84" s="67">
        <f t="shared" ca="1" si="9"/>
        <v>0</v>
      </c>
      <c r="AU84" s="79" t="str">
        <f t="shared" ca="1" si="10"/>
        <v/>
      </c>
      <c r="AV84" s="79" t="str" cm="1">
        <f t="array" aca="1" ref="AV84" ca="1">IFERROR(_xlfn.IFS($AU84="","",$AU84&lt;=15,"0-15",AND($AU84&gt;=16,$AU84&lt;=30),"16-30",AND($AU84&gt;=31,$AU84&lt;=45),"31-45",AND($AU84&gt;=46,$AU84&lt;=60),"46-60",AND($AU84&gt;=61,$AU84&lt;=90),"61-90",AND($AU84&gt;=91),"&gt; 90",AND($AU84&gt;=2000),""),"")</f>
        <v/>
      </c>
      <c r="AW84" s="79" cm="1">
        <f t="array" aca="1" ref="AW84" ca="1">IFERROR(_xlfn.IFS(OR($M84="",$AM84=""),"",OR($C84="Offered",$C84="Joined"),($AM84-$M84)-$AT84),"")</f>
        <v>63</v>
      </c>
      <c r="AX84" s="79" cm="1">
        <f t="array" aca="1" ref="AX84" ca="1">IFERROR(_xlfn.IFS(OR($M84="",$AS84=""),"",$C84="Joined",($AS84-$M84)-$AT84),"")</f>
        <v>126</v>
      </c>
      <c r="AY84" s="67" t="str">
        <f>IFERROR(IF(COUNTIFS('Candidate Tracker'!$E:$E,'Positions Tracker'!$B84,'Candidate Tracker'!$C:$C,"Offer Drop")=0,"",COUNTIFS('Candidate Tracker'!$E:$E,'Positions Tracker'!$B84,'Candidate Tracker'!$C:$C,"Offer Drop")),"")</f>
        <v/>
      </c>
      <c r="AZ84" s="80">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0.88111888111888115</v>
      </c>
      <c r="BA84" s="81" t="str">
        <f>IFERROR(IF(COUNTIFS('Candidate Tracker'!$E:$E,'Positions Tracker'!$B84,'Candidate Tracker'!$I:$I,"Female")=0,"",COUNTIFS('Candidate Tracker'!$E:$E,'Positions Tracker'!$B84,'Candidate Tracker'!$I:$I,"Female")),"")</f>
        <v/>
      </c>
      <c r="BB84" s="81" t="str">
        <f>IFERROR(IF(COUNTIFS('Candidate Tracker'!$E:$E,'Positions Tracker'!$B84,'Candidate Tracker'!$I:$I,"male")=0,"",COUNTIFS('Candidate Tracker'!$E:$E,'Positions Tracker'!$B84,'Candidate Tracker'!$I:$I,"male")),"")</f>
        <v/>
      </c>
      <c r="BC84" s="80" t="str">
        <f>IFERROR(IF(COUNTIFS('Candidate Tracker'!$E:$E,'Positions Tracker'!$B84,'Candidate Tracker'!$C:$C,"&lt;&gt;WIP",'Candidate Tracker'!$C:$C,"&lt;&gt;Hold",'Candidate Tracker'!$C:$C,"&lt;&gt;Cancelled",'Candidate Tracker'!$C:$C,"&lt;&gt;Closed")/COUNTIFS('Candidate Tracker'!$E:$E,'Positions Tracker'!$B84)=0,"",COUNTIFS('Candidate Tracker'!$E:$E,'Positions Tracker'!$B84,'Candidate Tracker'!$C:$C,"&lt;&gt;WIP",'Candidate Tracker'!$C:$C,"&lt;&gt;Hold",'Candidate Tracker'!$C:$C,"&lt;&gt;Cancelled",'Candidate Tracker'!$C:$C,"&lt;&gt;Closed")/COUNTIFS('Candidate Tracker'!$E:$E,'Positions Tracker'!$B84)),"")</f>
        <v/>
      </c>
      <c r="BD84" s="67" t="str">
        <f t="shared" si="1"/>
        <v>Dec-24</v>
      </c>
      <c r="BE84" s="67" t="str">
        <f t="shared" si="2"/>
        <v>Feb-25</v>
      </c>
      <c r="BF84" s="67" t="str">
        <f t="shared" si="3"/>
        <v>Feb-25</v>
      </c>
      <c r="BG84" s="67" t="str">
        <f t="shared" si="4"/>
        <v>Apr-25</v>
      </c>
    </row>
    <row r="85" spans="1:59">
      <c r="A85" s="67">
        <f t="shared" si="8"/>
        <v>84</v>
      </c>
      <c r="B85" s="67" t="s">
        <v>451</v>
      </c>
      <c r="C85" s="67" t="s">
        <v>116</v>
      </c>
      <c r="D85" s="67" t="s">
        <v>116</v>
      </c>
      <c r="E85" s="67" t="s">
        <v>452</v>
      </c>
      <c r="F85" s="67" t="s">
        <v>453</v>
      </c>
      <c r="G85" s="67" t="s">
        <v>3</v>
      </c>
      <c r="H85" s="67" t="s">
        <v>345</v>
      </c>
      <c r="I85" s="67" t="s">
        <v>454</v>
      </c>
      <c r="J85" s="67" t="s">
        <v>70</v>
      </c>
      <c r="K85" s="68">
        <v>45098</v>
      </c>
      <c r="L85" s="68">
        <v>45098</v>
      </c>
      <c r="M85" s="68">
        <v>45098</v>
      </c>
      <c r="N85" s="67"/>
      <c r="O85" s="68"/>
      <c r="P85" s="68"/>
      <c r="Q85" s="68"/>
      <c r="R85" s="68"/>
      <c r="S85" s="68"/>
      <c r="T85" s="68"/>
      <c r="U85" s="67"/>
      <c r="V85" s="67"/>
      <c r="W85" s="67"/>
      <c r="X85" s="67" t="s">
        <v>72</v>
      </c>
      <c r="Y85" s="67" t="s">
        <v>245</v>
      </c>
      <c r="Z85" s="67" t="s">
        <v>245</v>
      </c>
      <c r="AA85" s="67" t="s">
        <v>116</v>
      </c>
      <c r="AB85" s="67"/>
      <c r="AC85" s="67"/>
      <c r="AD85" s="67"/>
      <c r="AE85" s="67" t="s">
        <v>455</v>
      </c>
      <c r="AF85" s="67">
        <v>9082352201</v>
      </c>
      <c r="AG85" s="67" t="s">
        <v>456</v>
      </c>
      <c r="AH85" s="68" t="s">
        <v>123</v>
      </c>
      <c r="AI85" s="68">
        <v>45117</v>
      </c>
      <c r="AJ85" s="68">
        <v>45124</v>
      </c>
      <c r="AK85" s="67" t="s">
        <v>72</v>
      </c>
      <c r="AL85" s="67">
        <v>1150000</v>
      </c>
      <c r="AM85" s="68">
        <f>AN85</f>
        <v>45124</v>
      </c>
      <c r="AN85" s="68">
        <v>45124</v>
      </c>
      <c r="AO85" s="68"/>
      <c r="AP85" s="68"/>
      <c r="AQ85" s="68"/>
      <c r="AR85" s="68"/>
      <c r="AS85" s="68">
        <v>45138</v>
      </c>
      <c r="AT85" s="67">
        <f t="shared" ca="1" si="9"/>
        <v>0</v>
      </c>
      <c r="AU85" s="79" t="str">
        <f t="shared" ca="1" si="10"/>
        <v/>
      </c>
      <c r="AV85" s="79" t="str" cm="1">
        <f t="array" aca="1" ref="AV85" ca="1">IFERROR(_xlfn.IFS($AU85="","",$AU85&lt;=15,"0-15",AND($AU85&gt;=16,$AU85&lt;=30),"16-30",AND($AU85&gt;=31,$AU85&lt;=45),"31-45",AND($AU85&gt;=46,$AU85&lt;=60),"46-60",AND($AU85&gt;=61,$AU85&lt;=90),"61-90",AND($AU85&gt;=91),"&gt; 90",AND($AU85&gt;=2000),""),"")</f>
        <v/>
      </c>
      <c r="AW85" s="79" cm="1">
        <f t="array" aca="1" ref="AW85" ca="1">IFERROR(_xlfn.IFS(OR($M85="",$AM85=""),"",OR($C85="Offered",$C85="Joined"),($AM85-$M85)-$AT85),"")</f>
        <v>26</v>
      </c>
      <c r="AX85" s="79" cm="1">
        <f t="array" aca="1" ref="AX85" ca="1">IFERROR(_xlfn.IFS(OR($M85="",$AS85=""),"",$C85="Joined",($AS85-$M85)-$AT85),"")</f>
        <v>40</v>
      </c>
      <c r="AY85" s="67" t="str">
        <f>IFERROR(IF(COUNTIFS('Candidate Tracker'!$E:$E,'Positions Tracker'!$B85,'Candidate Tracker'!$C:$C,"Offer Drop")=0,"",COUNTIFS('Candidate Tracker'!$E:$E,'Positions Tracker'!$B85,'Candidate Tracker'!$C:$C,"Offer Drop")),"")</f>
        <v/>
      </c>
      <c r="AZ85" s="80">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0.88111888111888115</v>
      </c>
      <c r="BA85" s="81" t="str">
        <f>IFERROR(IF(COUNTIFS('Candidate Tracker'!$E:$E,'Positions Tracker'!$B85,'Candidate Tracker'!$I:$I,"Female")=0,"",COUNTIFS('Candidate Tracker'!$E:$E,'Positions Tracker'!$B85,'Candidate Tracker'!$I:$I,"Female")),"")</f>
        <v/>
      </c>
      <c r="BB85" s="81">
        <f>IFERROR(IF(COUNTIFS('Candidate Tracker'!$E:$E,'Positions Tracker'!$B85,'Candidate Tracker'!$I:$I,"male")=0,"",COUNTIFS('Candidate Tracker'!$E:$E,'Positions Tracker'!$B85,'Candidate Tracker'!$I:$I,"male")),"")</f>
        <v>2</v>
      </c>
      <c r="BC85" s="80">
        <f>IFERROR(IF(COUNTIFS('Candidate Tracker'!$E:$E,'Positions Tracker'!$B85,'Candidate Tracker'!$C:$C,"&lt;&gt;WIP",'Candidate Tracker'!$C:$C,"&lt;&gt;Hold",'Candidate Tracker'!$C:$C,"&lt;&gt;Cancelled",'Candidate Tracker'!$C:$C,"&lt;&gt;Closed")/COUNTIFS('Candidate Tracker'!$E:$E,'Positions Tracker'!$B85)=0,"",COUNTIFS('Candidate Tracker'!$E:$E,'Positions Tracker'!$B85,'Candidate Tracker'!$C:$C,"&lt;&gt;WIP",'Candidate Tracker'!$C:$C,"&lt;&gt;Hold",'Candidate Tracker'!$C:$C,"&lt;&gt;Cancelled",'Candidate Tracker'!$C:$C,"&lt;&gt;Closed")/COUNTIFS('Candidate Tracker'!$E:$E,'Positions Tracker'!$B85)),"")</f>
        <v>1</v>
      </c>
      <c r="BD85" s="67" t="str">
        <f t="shared" si="1"/>
        <v>Jun-23</v>
      </c>
      <c r="BE85" s="67" t="str">
        <f t="shared" si="2"/>
        <v>Jul-23</v>
      </c>
      <c r="BF85" s="67" t="str">
        <f t="shared" si="3"/>
        <v>Jul-23</v>
      </c>
      <c r="BG85" s="67" t="str">
        <f t="shared" si="4"/>
        <v>Jul-23</v>
      </c>
    </row>
    <row r="86" spans="1:59">
      <c r="A86" s="67">
        <f t="shared" si="8"/>
        <v>85</v>
      </c>
      <c r="B86" s="67" t="s">
        <v>457</v>
      </c>
      <c r="C86" s="67" t="s">
        <v>116</v>
      </c>
      <c r="D86" s="67" t="s">
        <v>116</v>
      </c>
      <c r="E86" s="67" t="s">
        <v>458</v>
      </c>
      <c r="F86" s="67" t="s">
        <v>342</v>
      </c>
      <c r="G86" s="67" t="s">
        <v>3</v>
      </c>
      <c r="H86" s="67" t="s">
        <v>68</v>
      </c>
      <c r="I86" s="67" t="s">
        <v>459</v>
      </c>
      <c r="J86" s="67" t="s">
        <v>70</v>
      </c>
      <c r="K86" s="68">
        <v>45167</v>
      </c>
      <c r="L86" s="68">
        <v>45099</v>
      </c>
      <c r="M86" s="68">
        <v>45099</v>
      </c>
      <c r="N86" s="67"/>
      <c r="O86" s="68"/>
      <c r="P86" s="68"/>
      <c r="Q86" s="68"/>
      <c r="R86" s="68"/>
      <c r="S86" s="68"/>
      <c r="T86" s="68"/>
      <c r="U86" s="67"/>
      <c r="V86" s="67"/>
      <c r="W86" s="67"/>
      <c r="X86" s="67" t="s">
        <v>72</v>
      </c>
      <c r="Y86" s="67" t="s">
        <v>245</v>
      </c>
      <c r="Z86" s="67" t="s">
        <v>245</v>
      </c>
      <c r="AA86" s="67" t="s">
        <v>116</v>
      </c>
      <c r="AB86" s="67"/>
      <c r="AC86" s="67"/>
      <c r="AD86" s="67"/>
      <c r="AE86" s="67" t="s">
        <v>460</v>
      </c>
      <c r="AF86" s="67">
        <v>8237231584</v>
      </c>
      <c r="AG86" s="67" t="s">
        <v>461</v>
      </c>
      <c r="AH86" s="68" t="s">
        <v>123</v>
      </c>
      <c r="AI86" s="68">
        <v>45167</v>
      </c>
      <c r="AJ86" s="68">
        <v>45177</v>
      </c>
      <c r="AK86" s="67" t="s">
        <v>72</v>
      </c>
      <c r="AL86" s="67">
        <v>900000</v>
      </c>
      <c r="AM86" s="68">
        <f t="shared" ref="AM86:AM88" si="11">AN86</f>
        <v>45177</v>
      </c>
      <c r="AN86" s="68">
        <v>45177</v>
      </c>
      <c r="AO86" s="68"/>
      <c r="AP86" s="68"/>
      <c r="AQ86" s="68"/>
      <c r="AR86" s="68"/>
      <c r="AS86" s="68">
        <v>45208</v>
      </c>
      <c r="AT86" s="67">
        <f t="shared" ca="1" si="9"/>
        <v>0</v>
      </c>
      <c r="AU86" s="79" t="str">
        <f t="shared" ca="1" si="10"/>
        <v/>
      </c>
      <c r="AV86" s="79" t="str" cm="1">
        <f t="array" aca="1" ref="AV86" ca="1">IFERROR(_xlfn.IFS($AU86="","",$AU86&lt;=15,"0-15",AND($AU86&gt;=16,$AU86&lt;=30),"16-30",AND($AU86&gt;=31,$AU86&lt;=45),"31-45",AND($AU86&gt;=46,$AU86&lt;=60),"46-60",AND($AU86&gt;=61,$AU86&lt;=90),"61-90",AND($AU86&gt;=91),"&gt; 90",AND($AU86&gt;=2000),""),"")</f>
        <v/>
      </c>
      <c r="AW86" s="79" cm="1">
        <f t="array" aca="1" ref="AW86" ca="1">IFERROR(_xlfn.IFS(OR($M86="",$AM86=""),"",OR($C86="Offered",$C86="Joined"),($AM86-$M86)-$AT86),"")</f>
        <v>78</v>
      </c>
      <c r="AX86" s="79" cm="1">
        <f t="array" aca="1" ref="AX86" ca="1">IFERROR(_xlfn.IFS(OR($M86="",$AS86=""),"",$C86="Joined",($AS86-$M86)-$AT86),"")</f>
        <v>109</v>
      </c>
      <c r="AY86" s="67" t="str">
        <f>IFERROR(IF(COUNTIFS('Candidate Tracker'!$E:$E,'Positions Tracker'!$B86,'Candidate Tracker'!$C:$C,"Offer Drop")=0,"",COUNTIFS('Candidate Tracker'!$E:$E,'Positions Tracker'!$B86,'Candidate Tracker'!$C:$C,"Offer Drop")),"")</f>
        <v/>
      </c>
      <c r="AZ86" s="80">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0.88111888111888115</v>
      </c>
      <c r="BA86" s="81" t="str">
        <f>IFERROR(IF(COUNTIFS('Candidate Tracker'!$E:$E,'Positions Tracker'!$B86,'Candidate Tracker'!$I:$I,"Female")=0,"",COUNTIFS('Candidate Tracker'!$E:$E,'Positions Tracker'!$B86,'Candidate Tracker'!$I:$I,"Female")),"")</f>
        <v/>
      </c>
      <c r="BB86" s="81">
        <f>IFERROR(IF(COUNTIFS('Candidate Tracker'!$E:$E,'Positions Tracker'!$B86,'Candidate Tracker'!$I:$I,"male")=0,"",COUNTIFS('Candidate Tracker'!$E:$E,'Positions Tracker'!$B86,'Candidate Tracker'!$I:$I,"male")),"")</f>
        <v>1</v>
      </c>
      <c r="BC86" s="80">
        <f>IFERROR(IF(COUNTIFS('Candidate Tracker'!$E:$E,'Positions Tracker'!$B86,'Candidate Tracker'!$C:$C,"&lt;&gt;WIP",'Candidate Tracker'!$C:$C,"&lt;&gt;Hold",'Candidate Tracker'!$C:$C,"&lt;&gt;Cancelled",'Candidate Tracker'!$C:$C,"&lt;&gt;Closed")/COUNTIFS('Candidate Tracker'!$E:$E,'Positions Tracker'!$B86)=0,"",COUNTIFS('Candidate Tracker'!$E:$E,'Positions Tracker'!$B86,'Candidate Tracker'!$C:$C,"&lt;&gt;WIP",'Candidate Tracker'!$C:$C,"&lt;&gt;Hold",'Candidate Tracker'!$C:$C,"&lt;&gt;Cancelled",'Candidate Tracker'!$C:$C,"&lt;&gt;Closed")/COUNTIFS('Candidate Tracker'!$E:$E,'Positions Tracker'!$B86)),"")</f>
        <v>1</v>
      </c>
      <c r="BD86" s="67" t="str">
        <f t="shared" si="1"/>
        <v>Jun-23</v>
      </c>
      <c r="BE86" s="67" t="str">
        <f t="shared" si="2"/>
        <v>Aug-23</v>
      </c>
      <c r="BF86" s="67" t="str">
        <f t="shared" si="3"/>
        <v>Sep-23</v>
      </c>
      <c r="BG86" s="67" t="str">
        <f t="shared" si="4"/>
        <v>Oct-23</v>
      </c>
    </row>
    <row r="87" spans="1:59">
      <c r="A87" s="67">
        <f t="shared" si="8"/>
        <v>86</v>
      </c>
      <c r="B87" s="67" t="s">
        <v>462</v>
      </c>
      <c r="C87" s="67" t="s">
        <v>116</v>
      </c>
      <c r="D87" s="67" t="s">
        <v>116</v>
      </c>
      <c r="E87" s="67" t="s">
        <v>463</v>
      </c>
      <c r="F87" s="67" t="s">
        <v>453</v>
      </c>
      <c r="G87" s="67" t="s">
        <v>3</v>
      </c>
      <c r="H87" s="67" t="s">
        <v>111</v>
      </c>
      <c r="I87" s="67" t="s">
        <v>228</v>
      </c>
      <c r="J87" s="67" t="s">
        <v>70</v>
      </c>
      <c r="K87" s="68">
        <v>45068</v>
      </c>
      <c r="L87" s="68">
        <v>45068</v>
      </c>
      <c r="M87" s="68">
        <v>45160</v>
      </c>
      <c r="N87" s="67"/>
      <c r="O87" s="68"/>
      <c r="P87" s="68"/>
      <c r="Q87" s="68"/>
      <c r="R87" s="68"/>
      <c r="S87" s="68"/>
      <c r="T87" s="68"/>
      <c r="U87" s="67"/>
      <c r="V87" s="67"/>
      <c r="W87" s="67"/>
      <c r="X87" s="67" t="s">
        <v>72</v>
      </c>
      <c r="Y87" s="67" t="s">
        <v>245</v>
      </c>
      <c r="Z87" s="67" t="s">
        <v>245</v>
      </c>
      <c r="AA87" s="67" t="s">
        <v>116</v>
      </c>
      <c r="AB87" s="67"/>
      <c r="AC87" s="67"/>
      <c r="AD87" s="67"/>
      <c r="AE87" s="67" t="s">
        <v>464</v>
      </c>
      <c r="AF87" s="67">
        <v>7050402981</v>
      </c>
      <c r="AG87" s="67" t="s">
        <v>465</v>
      </c>
      <c r="AH87" s="68" t="s">
        <v>123</v>
      </c>
      <c r="AI87" s="68">
        <v>45182</v>
      </c>
      <c r="AJ87" s="68">
        <v>45187</v>
      </c>
      <c r="AK87" s="67" t="s">
        <v>72</v>
      </c>
      <c r="AL87" s="67">
        <v>900000</v>
      </c>
      <c r="AM87" s="68">
        <f t="shared" si="11"/>
        <v>45187</v>
      </c>
      <c r="AN87" s="68">
        <v>45187</v>
      </c>
      <c r="AO87" s="68"/>
      <c r="AP87" s="68"/>
      <c r="AQ87" s="68"/>
      <c r="AR87" s="68"/>
      <c r="AS87" s="68">
        <v>45293</v>
      </c>
      <c r="AT87" s="67">
        <f t="shared" ca="1" si="9"/>
        <v>0</v>
      </c>
      <c r="AU87" s="79" t="str">
        <f t="shared" ca="1" si="10"/>
        <v/>
      </c>
      <c r="AV87" s="79" t="str" cm="1">
        <f t="array" aca="1" ref="AV87" ca="1">IFERROR(_xlfn.IFS($AU87="","",$AU87&lt;=15,"0-15",AND($AU87&gt;=16,$AU87&lt;=30),"16-30",AND($AU87&gt;=31,$AU87&lt;=45),"31-45",AND($AU87&gt;=46,$AU87&lt;=60),"46-60",AND($AU87&gt;=61,$AU87&lt;=90),"61-90",AND($AU87&gt;=91),"&gt; 90",AND($AU87&gt;=2000),""),"")</f>
        <v/>
      </c>
      <c r="AW87" s="79" cm="1">
        <f t="array" aca="1" ref="AW87" ca="1">IFERROR(_xlfn.IFS(OR($M87="",$AM87=""),"",OR($C87="Offered",$C87="Joined"),($AM87-$M87)-$AT87),"")</f>
        <v>27</v>
      </c>
      <c r="AX87" s="79" cm="1">
        <f t="array" aca="1" ref="AX87" ca="1">IFERROR(_xlfn.IFS(OR($M87="",$AS87=""),"",$C87="Joined",($AS87-$M87)-$AT87),"")</f>
        <v>133</v>
      </c>
      <c r="AY87" s="67" t="str">
        <f>IFERROR(IF(COUNTIFS('Candidate Tracker'!$E:$E,'Positions Tracker'!$B87,'Candidate Tracker'!$C:$C,"Offer Drop")=0,"",COUNTIFS('Candidate Tracker'!$E:$E,'Positions Tracker'!$B87,'Candidate Tracker'!$C:$C,"Offer Drop")),"")</f>
        <v/>
      </c>
      <c r="AZ87" s="80">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0.88111888111888115</v>
      </c>
      <c r="BA87" s="81" t="str">
        <f>IFERROR(IF(COUNTIFS('Candidate Tracker'!$E:$E,'Positions Tracker'!$B87,'Candidate Tracker'!$I:$I,"Female")=0,"",COUNTIFS('Candidate Tracker'!$E:$E,'Positions Tracker'!$B87,'Candidate Tracker'!$I:$I,"Female")),"")</f>
        <v/>
      </c>
      <c r="BB87" s="81">
        <f>IFERROR(IF(COUNTIFS('Candidate Tracker'!$E:$E,'Positions Tracker'!$B87,'Candidate Tracker'!$I:$I,"male")=0,"",COUNTIFS('Candidate Tracker'!$E:$E,'Positions Tracker'!$B87,'Candidate Tracker'!$I:$I,"male")),"")</f>
        <v>1</v>
      </c>
      <c r="BC87" s="80">
        <f>IFERROR(IF(COUNTIFS('Candidate Tracker'!$E:$E,'Positions Tracker'!$B87,'Candidate Tracker'!$C:$C,"&lt;&gt;WIP",'Candidate Tracker'!$C:$C,"&lt;&gt;Hold",'Candidate Tracker'!$C:$C,"&lt;&gt;Cancelled",'Candidate Tracker'!$C:$C,"&lt;&gt;Closed")/COUNTIFS('Candidate Tracker'!$E:$E,'Positions Tracker'!$B87)=0,"",COUNTIFS('Candidate Tracker'!$E:$E,'Positions Tracker'!$B87,'Candidate Tracker'!$C:$C,"&lt;&gt;WIP",'Candidate Tracker'!$C:$C,"&lt;&gt;Hold",'Candidate Tracker'!$C:$C,"&lt;&gt;Cancelled",'Candidate Tracker'!$C:$C,"&lt;&gt;Closed")/COUNTIFS('Candidate Tracker'!$E:$E,'Positions Tracker'!$B87)),"")</f>
        <v>1</v>
      </c>
      <c r="BD87" s="67" t="str">
        <f t="shared" si="1"/>
        <v>Aug-23</v>
      </c>
      <c r="BE87" s="67" t="str">
        <f t="shared" si="2"/>
        <v>Sep-23</v>
      </c>
      <c r="BF87" s="67" t="str">
        <f t="shared" si="3"/>
        <v>Sep-23</v>
      </c>
      <c r="BG87" s="67" t="str">
        <f t="shared" si="4"/>
        <v>Jan-24</v>
      </c>
    </row>
    <row r="88" spans="1:59">
      <c r="A88" s="67">
        <f t="shared" si="8"/>
        <v>87</v>
      </c>
      <c r="B88" s="67" t="s">
        <v>466</v>
      </c>
      <c r="C88" s="67" t="s">
        <v>116</v>
      </c>
      <c r="D88" s="67" t="s">
        <v>116</v>
      </c>
      <c r="E88" s="67" t="s">
        <v>467</v>
      </c>
      <c r="F88" s="67" t="s">
        <v>468</v>
      </c>
      <c r="G88" s="67" t="s">
        <v>3</v>
      </c>
      <c r="H88" s="67" t="s">
        <v>68</v>
      </c>
      <c r="I88" s="67" t="s">
        <v>107</v>
      </c>
      <c r="J88" s="67" t="s">
        <v>70</v>
      </c>
      <c r="K88" s="68">
        <v>45085</v>
      </c>
      <c r="L88" s="68">
        <v>45085</v>
      </c>
      <c r="M88" s="68">
        <v>45146</v>
      </c>
      <c r="N88" s="67"/>
      <c r="O88" s="68"/>
      <c r="P88" s="68"/>
      <c r="Q88" s="68"/>
      <c r="R88" s="68"/>
      <c r="S88" s="68"/>
      <c r="T88" s="68"/>
      <c r="U88" s="67"/>
      <c r="V88" s="67"/>
      <c r="W88" s="67"/>
      <c r="X88" s="67" t="s">
        <v>72</v>
      </c>
      <c r="Y88" s="67" t="s">
        <v>245</v>
      </c>
      <c r="Z88" s="67" t="s">
        <v>245</v>
      </c>
      <c r="AA88" s="67" t="s">
        <v>116</v>
      </c>
      <c r="AB88" s="67"/>
      <c r="AC88" s="67"/>
      <c r="AD88" s="67"/>
      <c r="AE88" s="67" t="s">
        <v>469</v>
      </c>
      <c r="AF88" s="67">
        <v>7620790404</v>
      </c>
      <c r="AG88" s="67" t="s">
        <v>470</v>
      </c>
      <c r="AH88" s="68" t="s">
        <v>123</v>
      </c>
      <c r="AI88" s="68">
        <v>45194</v>
      </c>
      <c r="AJ88" s="68">
        <v>45202</v>
      </c>
      <c r="AK88" s="67" t="s">
        <v>72</v>
      </c>
      <c r="AL88" s="67">
        <v>1500000</v>
      </c>
      <c r="AM88" s="68">
        <f t="shared" si="11"/>
        <v>45202</v>
      </c>
      <c r="AN88" s="68">
        <v>45202</v>
      </c>
      <c r="AO88" s="68"/>
      <c r="AP88" s="68"/>
      <c r="AQ88" s="68"/>
      <c r="AR88" s="68"/>
      <c r="AS88" s="68">
        <v>45271</v>
      </c>
      <c r="AT88" s="67">
        <f t="shared" ca="1" si="9"/>
        <v>0</v>
      </c>
      <c r="AU88" s="79" t="str">
        <f t="shared" ca="1" si="10"/>
        <v/>
      </c>
      <c r="AV88" s="79" t="str" cm="1">
        <f t="array" aca="1" ref="AV88" ca="1">IFERROR(_xlfn.IFS($AU88="","",$AU88&lt;=15,"0-15",AND($AU88&gt;=16,$AU88&lt;=30),"16-30",AND($AU88&gt;=31,$AU88&lt;=45),"31-45",AND($AU88&gt;=46,$AU88&lt;=60),"46-60",AND($AU88&gt;=61,$AU88&lt;=90),"61-90",AND($AU88&gt;=91),"&gt; 90",AND($AU88&gt;=2000),""),"")</f>
        <v/>
      </c>
      <c r="AW88" s="79" cm="1">
        <f t="array" aca="1" ref="AW88" ca="1">IFERROR(_xlfn.IFS(OR($M88="",$AM88=""),"",OR($C88="Offered",$C88="Joined"),($AM88-$M88)-$AT88),"")</f>
        <v>56</v>
      </c>
      <c r="AX88" s="79" cm="1">
        <f t="array" aca="1" ref="AX88" ca="1">IFERROR(_xlfn.IFS(OR($M88="",$AS88=""),"",$C88="Joined",($AS88-$M88)-$AT88),"")</f>
        <v>125</v>
      </c>
      <c r="AY88" s="67" t="str">
        <f>IFERROR(IF(COUNTIFS('Candidate Tracker'!$E:$E,'Positions Tracker'!$B88,'Candidate Tracker'!$C:$C,"Offer Drop")=0,"",COUNTIFS('Candidate Tracker'!$E:$E,'Positions Tracker'!$B88,'Candidate Tracker'!$C:$C,"Offer Drop")),"")</f>
        <v/>
      </c>
      <c r="AZ88" s="80">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0.88111888111888115</v>
      </c>
      <c r="BA88" s="81" t="str">
        <f>IFERROR(IF(COUNTIFS('Candidate Tracker'!$E:$E,'Positions Tracker'!$B88,'Candidate Tracker'!$I:$I,"Female")=0,"",COUNTIFS('Candidate Tracker'!$E:$E,'Positions Tracker'!$B88,'Candidate Tracker'!$I:$I,"Female")),"")</f>
        <v/>
      </c>
      <c r="BB88" s="81">
        <f>IFERROR(IF(COUNTIFS('Candidate Tracker'!$E:$E,'Positions Tracker'!$B88,'Candidate Tracker'!$I:$I,"male")=0,"",COUNTIFS('Candidate Tracker'!$E:$E,'Positions Tracker'!$B88,'Candidate Tracker'!$I:$I,"male")),"")</f>
        <v>1</v>
      </c>
      <c r="BC88" s="80">
        <f>IFERROR(IF(COUNTIFS('Candidate Tracker'!$E:$E,'Positions Tracker'!$B88,'Candidate Tracker'!$C:$C,"&lt;&gt;WIP",'Candidate Tracker'!$C:$C,"&lt;&gt;Hold",'Candidate Tracker'!$C:$C,"&lt;&gt;Cancelled",'Candidate Tracker'!$C:$C,"&lt;&gt;Closed")/COUNTIFS('Candidate Tracker'!$E:$E,'Positions Tracker'!$B88)=0,"",COUNTIFS('Candidate Tracker'!$E:$E,'Positions Tracker'!$B88,'Candidate Tracker'!$C:$C,"&lt;&gt;WIP",'Candidate Tracker'!$C:$C,"&lt;&gt;Hold",'Candidate Tracker'!$C:$C,"&lt;&gt;Cancelled",'Candidate Tracker'!$C:$C,"&lt;&gt;Closed")/COUNTIFS('Candidate Tracker'!$E:$E,'Positions Tracker'!$B88)),"")</f>
        <v>1</v>
      </c>
      <c r="BD88" s="67" t="str">
        <f t="shared" si="1"/>
        <v>Aug-23</v>
      </c>
      <c r="BE88" s="67" t="str">
        <f t="shared" si="2"/>
        <v>Sep-23</v>
      </c>
      <c r="BF88" s="67" t="str">
        <f t="shared" si="3"/>
        <v>Oct-23</v>
      </c>
      <c r="BG88" s="67" t="str">
        <f t="shared" si="4"/>
        <v>Dec-23</v>
      </c>
    </row>
    <row r="89" spans="1:59">
      <c r="A89" s="67">
        <f t="shared" si="8"/>
        <v>88</v>
      </c>
      <c r="B89" s="67" t="s">
        <v>471</v>
      </c>
      <c r="C89" s="67" t="s">
        <v>116</v>
      </c>
      <c r="D89" s="67" t="s">
        <v>116</v>
      </c>
      <c r="E89" s="67" t="s">
        <v>472</v>
      </c>
      <c r="F89" s="67" t="s">
        <v>468</v>
      </c>
      <c r="G89" s="67" t="s">
        <v>3</v>
      </c>
      <c r="H89" s="67" t="s">
        <v>68</v>
      </c>
      <c r="I89" s="67" t="s">
        <v>459</v>
      </c>
      <c r="J89" s="67" t="s">
        <v>70</v>
      </c>
      <c r="K89" s="68">
        <v>45203</v>
      </c>
      <c r="L89" s="68">
        <v>45442</v>
      </c>
      <c r="M89" s="68">
        <v>45565</v>
      </c>
      <c r="N89" s="67"/>
      <c r="O89" s="68"/>
      <c r="P89" s="68"/>
      <c r="Q89" s="68"/>
      <c r="R89" s="68"/>
      <c r="S89" s="68"/>
      <c r="T89" s="68"/>
      <c r="U89" s="67"/>
      <c r="V89" s="67"/>
      <c r="W89" s="67"/>
      <c r="X89" s="67" t="s">
        <v>72</v>
      </c>
      <c r="Y89" s="67" t="s">
        <v>245</v>
      </c>
      <c r="Z89" s="67" t="s">
        <v>245</v>
      </c>
      <c r="AA89" s="67" t="s">
        <v>116</v>
      </c>
      <c r="AB89" s="67"/>
      <c r="AC89" s="67"/>
      <c r="AD89" s="67"/>
      <c r="AE89" s="67" t="s">
        <v>473</v>
      </c>
      <c r="AF89" s="67">
        <v>8839262451</v>
      </c>
      <c r="AG89" s="67" t="s">
        <v>474</v>
      </c>
      <c r="AH89" s="68" t="s">
        <v>123</v>
      </c>
      <c r="AI89" s="68">
        <v>45578</v>
      </c>
      <c r="AJ89" s="68">
        <v>45597</v>
      </c>
      <c r="AK89" s="67" t="s">
        <v>72</v>
      </c>
      <c r="AL89" s="67">
        <v>600000</v>
      </c>
      <c r="AM89" s="68">
        <v>45597</v>
      </c>
      <c r="AN89" s="68">
        <v>45597</v>
      </c>
      <c r="AO89" s="68"/>
      <c r="AP89" s="68"/>
      <c r="AQ89" s="68"/>
      <c r="AR89" s="68"/>
      <c r="AS89" s="68">
        <v>45616</v>
      </c>
      <c r="AT89" s="67">
        <f t="shared" ca="1" si="9"/>
        <v>0</v>
      </c>
      <c r="AU89" s="79" t="str">
        <f t="shared" ca="1" si="10"/>
        <v/>
      </c>
      <c r="AV89" s="79" t="str" cm="1">
        <f t="array" aca="1" ref="AV89" ca="1">IFERROR(_xlfn.IFS($AU89="","",$AU89&lt;=15,"0-15",AND($AU89&gt;=16,$AU89&lt;=30),"16-30",AND($AU89&gt;=31,$AU89&lt;=45),"31-45",AND($AU89&gt;=46,$AU89&lt;=60),"46-60",AND($AU89&gt;=61,$AU89&lt;=90),"61-90",AND($AU89&gt;=91),"&gt; 90",AND($AU89&gt;=2000),""),"")</f>
        <v/>
      </c>
      <c r="AW89" s="79" cm="1">
        <f t="array" aca="1" ref="AW89" ca="1">IFERROR(_xlfn.IFS(OR($M89="",$AM89=""),"",OR($C89="Offered",$C89="Joined"),($AM89-$M89)-$AT89),"")</f>
        <v>32</v>
      </c>
      <c r="AX89" s="79" cm="1">
        <f t="array" aca="1" ref="AX89" ca="1">IFERROR(_xlfn.IFS(OR($M89="",$AS89=""),"",$C89="Joined",($AS89-$M89)-$AT89),"")</f>
        <v>51</v>
      </c>
      <c r="AY89" s="67" t="str">
        <f>IFERROR(IF(COUNTIFS('Candidate Tracker'!$E:$E,'Positions Tracker'!$B89,'Candidate Tracker'!$C:$C,"Offer Drop")=0,"",COUNTIFS('Candidate Tracker'!$E:$E,'Positions Tracker'!$B89,'Candidate Tracker'!$C:$C,"Offer Drop")),"")</f>
        <v/>
      </c>
      <c r="AZ89" s="80">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0.88111888111888115</v>
      </c>
      <c r="BA89" s="81" t="str">
        <f>IFERROR(IF(COUNTIFS('Candidate Tracker'!$E:$E,'Positions Tracker'!$B89,'Candidate Tracker'!$I:$I,"Female")=0,"",COUNTIFS('Candidate Tracker'!$E:$E,'Positions Tracker'!$B89,'Candidate Tracker'!$I:$I,"Female")),"")</f>
        <v/>
      </c>
      <c r="BB89" s="81">
        <f>IFERROR(IF(COUNTIFS('Candidate Tracker'!$E:$E,'Positions Tracker'!$B89,'Candidate Tracker'!$I:$I,"male")=0,"",COUNTIFS('Candidate Tracker'!$E:$E,'Positions Tracker'!$B89,'Candidate Tracker'!$I:$I,"male")),"")</f>
        <v>1</v>
      </c>
      <c r="BC89" s="80">
        <f>IFERROR(IF(COUNTIFS('Candidate Tracker'!$E:$E,'Positions Tracker'!$B89,'Candidate Tracker'!$C:$C,"&lt;&gt;WIP",'Candidate Tracker'!$C:$C,"&lt;&gt;Hold",'Candidate Tracker'!$C:$C,"&lt;&gt;Cancelled",'Candidate Tracker'!$C:$C,"&lt;&gt;Closed")/COUNTIFS('Candidate Tracker'!$E:$E,'Positions Tracker'!$B89)=0,"",COUNTIFS('Candidate Tracker'!$E:$E,'Positions Tracker'!$B89,'Candidate Tracker'!$C:$C,"&lt;&gt;WIP",'Candidate Tracker'!$C:$C,"&lt;&gt;Hold",'Candidate Tracker'!$C:$C,"&lt;&gt;Cancelled",'Candidate Tracker'!$C:$C,"&lt;&gt;Closed")/COUNTIFS('Candidate Tracker'!$E:$E,'Positions Tracker'!$B89)),"")</f>
        <v>1</v>
      </c>
      <c r="BD89" s="67" t="str">
        <f t="shared" si="1"/>
        <v>Sep-24</v>
      </c>
      <c r="BE89" s="67" t="str">
        <f t="shared" si="2"/>
        <v>Oct-24</v>
      </c>
      <c r="BF89" s="67" t="str">
        <f t="shared" si="3"/>
        <v>Nov-24</v>
      </c>
      <c r="BG89" s="67" t="str">
        <f t="shared" si="4"/>
        <v>Nov-24</v>
      </c>
    </row>
    <row r="90" spans="1:59">
      <c r="A90" s="67">
        <f t="shared" si="8"/>
        <v>89</v>
      </c>
      <c r="B90" s="67" t="s">
        <v>475</v>
      </c>
      <c r="C90" s="67" t="s">
        <v>116</v>
      </c>
      <c r="D90" s="67" t="s">
        <v>116</v>
      </c>
      <c r="E90" s="67" t="s">
        <v>476</v>
      </c>
      <c r="F90" s="67" t="s">
        <v>468</v>
      </c>
      <c r="G90" s="67" t="s">
        <v>3</v>
      </c>
      <c r="H90" s="67" t="s">
        <v>345</v>
      </c>
      <c r="I90" s="67" t="s">
        <v>454</v>
      </c>
      <c r="J90" s="67" t="s">
        <v>70</v>
      </c>
      <c r="K90" s="68">
        <v>45254</v>
      </c>
      <c r="L90" s="68">
        <v>45254</v>
      </c>
      <c r="M90" s="68">
        <v>45254</v>
      </c>
      <c r="N90" s="67"/>
      <c r="O90" s="68"/>
      <c r="P90" s="68"/>
      <c r="Q90" s="68"/>
      <c r="R90" s="68"/>
      <c r="S90" s="68"/>
      <c r="T90" s="68"/>
      <c r="U90" s="67"/>
      <c r="V90" s="67"/>
      <c r="W90" s="67"/>
      <c r="X90" s="67" t="s">
        <v>72</v>
      </c>
      <c r="Y90" s="67" t="s">
        <v>245</v>
      </c>
      <c r="Z90" s="67" t="s">
        <v>245</v>
      </c>
      <c r="AA90" s="67" t="s">
        <v>116</v>
      </c>
      <c r="AB90" s="67"/>
      <c r="AC90" s="67"/>
      <c r="AD90" s="67"/>
      <c r="AE90" s="67" t="s">
        <v>477</v>
      </c>
      <c r="AF90" s="67">
        <v>9449880713</v>
      </c>
      <c r="AG90" s="67" t="s">
        <v>478</v>
      </c>
      <c r="AH90" s="68" t="s">
        <v>123</v>
      </c>
      <c r="AI90" s="68">
        <v>45215</v>
      </c>
      <c r="AJ90" s="68">
        <v>45231</v>
      </c>
      <c r="AK90" s="67" t="s">
        <v>72</v>
      </c>
      <c r="AL90" s="67">
        <v>850000</v>
      </c>
      <c r="AM90" s="68">
        <f t="shared" ref="AM90:AM93" si="12">AN90</f>
        <v>45231</v>
      </c>
      <c r="AN90" s="68">
        <v>45231</v>
      </c>
      <c r="AO90" s="68"/>
      <c r="AP90" s="68"/>
      <c r="AQ90" s="68"/>
      <c r="AR90" s="68"/>
      <c r="AS90" s="68">
        <v>45299</v>
      </c>
      <c r="AT90" s="67">
        <f t="shared" ca="1" si="9"/>
        <v>0</v>
      </c>
      <c r="AU90" s="79" t="str">
        <f t="shared" ca="1" si="10"/>
        <v/>
      </c>
      <c r="AV90" s="79" t="str" cm="1">
        <f t="array" aca="1" ref="AV90" ca="1">IFERROR(_xlfn.IFS($AU90="","",$AU90&lt;=15,"0-15",AND($AU90&gt;=16,$AU90&lt;=30),"16-30",AND($AU90&gt;=31,$AU90&lt;=45),"31-45",AND($AU90&gt;=46,$AU90&lt;=60),"46-60",AND($AU90&gt;=61,$AU90&lt;=90),"61-90",AND($AU90&gt;=91),"&gt; 90",AND($AU90&gt;=2000),""),"")</f>
        <v/>
      </c>
      <c r="AW90" s="79" cm="1">
        <f t="array" aca="1" ref="AW90" ca="1">IFERROR(_xlfn.IFS(OR($M90="",$AM90=""),"",OR($C90="Offered",$C90="Joined"),($AM90-$M90)-$AT90),"")</f>
        <v>-23</v>
      </c>
      <c r="AX90" s="79" cm="1">
        <f t="array" aca="1" ref="AX90" ca="1">IFERROR(_xlfn.IFS(OR($M90="",$AS90=""),"",$C90="Joined",($AS90-$M90)-$AT90),"")</f>
        <v>45</v>
      </c>
      <c r="AY90" s="67" t="str">
        <f>IFERROR(IF(COUNTIFS('Candidate Tracker'!$E:$E,'Positions Tracker'!$B90,'Candidate Tracker'!$C:$C,"Offer Drop")=0,"",COUNTIFS('Candidate Tracker'!$E:$E,'Positions Tracker'!$B90,'Candidate Tracker'!$C:$C,"Offer Drop")),"")</f>
        <v/>
      </c>
      <c r="AZ90" s="80">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0.88111888111888115</v>
      </c>
      <c r="BA90" s="81" t="str">
        <f>IFERROR(IF(COUNTIFS('Candidate Tracker'!$E:$E,'Positions Tracker'!$B90,'Candidate Tracker'!$I:$I,"Female")=0,"",COUNTIFS('Candidate Tracker'!$E:$E,'Positions Tracker'!$B90,'Candidate Tracker'!$I:$I,"Female")),"")</f>
        <v/>
      </c>
      <c r="BB90" s="81">
        <f>IFERROR(IF(COUNTIFS('Candidate Tracker'!$E:$E,'Positions Tracker'!$B90,'Candidate Tracker'!$I:$I,"male")=0,"",COUNTIFS('Candidate Tracker'!$E:$E,'Positions Tracker'!$B90,'Candidate Tracker'!$I:$I,"male")),"")</f>
        <v>1</v>
      </c>
      <c r="BC90" s="80">
        <f>IFERROR(IF(COUNTIFS('Candidate Tracker'!$E:$E,'Positions Tracker'!$B90,'Candidate Tracker'!$C:$C,"&lt;&gt;WIP",'Candidate Tracker'!$C:$C,"&lt;&gt;Hold",'Candidate Tracker'!$C:$C,"&lt;&gt;Cancelled",'Candidate Tracker'!$C:$C,"&lt;&gt;Closed")/COUNTIFS('Candidate Tracker'!$E:$E,'Positions Tracker'!$B90)=0,"",COUNTIFS('Candidate Tracker'!$E:$E,'Positions Tracker'!$B90,'Candidate Tracker'!$C:$C,"&lt;&gt;WIP",'Candidate Tracker'!$C:$C,"&lt;&gt;Hold",'Candidate Tracker'!$C:$C,"&lt;&gt;Cancelled",'Candidate Tracker'!$C:$C,"&lt;&gt;Closed")/COUNTIFS('Candidate Tracker'!$E:$E,'Positions Tracker'!$B90)),"")</f>
        <v>1</v>
      </c>
      <c r="BD90" s="67" t="str">
        <f t="shared" si="1"/>
        <v>Nov-23</v>
      </c>
      <c r="BE90" s="67" t="str">
        <f t="shared" si="2"/>
        <v>Oct-23</v>
      </c>
      <c r="BF90" s="67" t="str">
        <f t="shared" si="3"/>
        <v>Nov-23</v>
      </c>
      <c r="BG90" s="67" t="str">
        <f t="shared" si="4"/>
        <v>Jan-24</v>
      </c>
    </row>
    <row r="91" spans="1:59">
      <c r="A91" s="67">
        <f t="shared" si="8"/>
        <v>90</v>
      </c>
      <c r="B91" s="67" t="s">
        <v>479</v>
      </c>
      <c r="C91" s="67" t="s">
        <v>116</v>
      </c>
      <c r="D91" s="67" t="s">
        <v>116</v>
      </c>
      <c r="E91" s="67" t="s">
        <v>476</v>
      </c>
      <c r="F91" s="67" t="s">
        <v>468</v>
      </c>
      <c r="G91" s="67" t="s">
        <v>3</v>
      </c>
      <c r="H91" s="67" t="s">
        <v>345</v>
      </c>
      <c r="I91" s="67" t="s">
        <v>454</v>
      </c>
      <c r="J91" s="67" t="s">
        <v>70</v>
      </c>
      <c r="K91" s="68">
        <v>45213</v>
      </c>
      <c r="L91" s="68">
        <v>45254</v>
      </c>
      <c r="M91" s="68">
        <v>45254</v>
      </c>
      <c r="N91" s="67"/>
      <c r="O91" s="68"/>
      <c r="P91" s="68"/>
      <c r="Q91" s="68"/>
      <c r="R91" s="68"/>
      <c r="S91" s="68"/>
      <c r="T91" s="68"/>
      <c r="U91" s="67"/>
      <c r="V91" s="67"/>
      <c r="W91" s="67"/>
      <c r="X91" s="67" t="s">
        <v>72</v>
      </c>
      <c r="Y91" s="67" t="s">
        <v>245</v>
      </c>
      <c r="Z91" s="67" t="s">
        <v>245</v>
      </c>
      <c r="AA91" s="67" t="s">
        <v>116</v>
      </c>
      <c r="AB91" s="67"/>
      <c r="AC91" s="67"/>
      <c r="AD91" s="67"/>
      <c r="AE91" s="67" t="s">
        <v>480</v>
      </c>
      <c r="AF91" s="67">
        <v>8805766463</v>
      </c>
      <c r="AG91" s="67" t="s">
        <v>481</v>
      </c>
      <c r="AH91" s="68" t="s">
        <v>123</v>
      </c>
      <c r="AI91" s="68">
        <v>45231</v>
      </c>
      <c r="AJ91" s="68">
        <v>45231</v>
      </c>
      <c r="AK91" s="67" t="s">
        <v>72</v>
      </c>
      <c r="AL91" s="67">
        <v>800000</v>
      </c>
      <c r="AM91" s="68">
        <f t="shared" si="12"/>
        <v>45231</v>
      </c>
      <c r="AN91" s="68">
        <v>45231</v>
      </c>
      <c r="AO91" s="68"/>
      <c r="AP91" s="68"/>
      <c r="AQ91" s="68"/>
      <c r="AR91" s="68"/>
      <c r="AS91" s="68">
        <v>45327</v>
      </c>
      <c r="AT91" s="67">
        <f t="shared" ca="1" si="9"/>
        <v>0</v>
      </c>
      <c r="AU91" s="79" t="str">
        <f t="shared" ca="1" si="10"/>
        <v/>
      </c>
      <c r="AV91" s="79" t="str" cm="1">
        <f t="array" aca="1" ref="AV91" ca="1">IFERROR(_xlfn.IFS($AU91="","",$AU91&lt;=15,"0-15",AND($AU91&gt;=16,$AU91&lt;=30),"16-30",AND($AU91&gt;=31,$AU91&lt;=45),"31-45",AND($AU91&gt;=46,$AU91&lt;=60),"46-60",AND($AU91&gt;=61,$AU91&lt;=90),"61-90",AND($AU91&gt;=91),"&gt; 90",AND($AU91&gt;=2000),""),"")</f>
        <v/>
      </c>
      <c r="AW91" s="79" cm="1">
        <f t="array" aca="1" ref="AW91" ca="1">IFERROR(_xlfn.IFS(OR($M91="",$AM91=""),"",OR($C91="Offered",$C91="Joined"),($AM91-$M91)-$AT91),"")</f>
        <v>-23</v>
      </c>
      <c r="AX91" s="79" cm="1">
        <f t="array" aca="1" ref="AX91" ca="1">IFERROR(_xlfn.IFS(OR($M91="",$AS91=""),"",$C91="Joined",($AS91-$M91)-$AT91),"")</f>
        <v>73</v>
      </c>
      <c r="AY91" s="67" t="str">
        <f>IFERROR(IF(COUNTIFS('Candidate Tracker'!$E:$E,'Positions Tracker'!$B91,'Candidate Tracker'!$C:$C,"Offer Drop")=0,"",COUNTIFS('Candidate Tracker'!$E:$E,'Positions Tracker'!$B91,'Candidate Tracker'!$C:$C,"Offer Drop")),"")</f>
        <v/>
      </c>
      <c r="AZ91" s="80">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0.88111888111888115</v>
      </c>
      <c r="BA91" s="81" t="str">
        <f>IFERROR(IF(COUNTIFS('Candidate Tracker'!$E:$E,'Positions Tracker'!$B91,'Candidate Tracker'!$I:$I,"Female")=0,"",COUNTIFS('Candidate Tracker'!$E:$E,'Positions Tracker'!$B91,'Candidate Tracker'!$I:$I,"Female")),"")</f>
        <v/>
      </c>
      <c r="BB91" s="81">
        <f>IFERROR(IF(COUNTIFS('Candidate Tracker'!$E:$E,'Positions Tracker'!$B91,'Candidate Tracker'!$I:$I,"male")=0,"",COUNTIFS('Candidate Tracker'!$E:$E,'Positions Tracker'!$B91,'Candidate Tracker'!$I:$I,"male")),"")</f>
        <v>1</v>
      </c>
      <c r="BC91" s="80">
        <f>IFERROR(IF(COUNTIFS('Candidate Tracker'!$E:$E,'Positions Tracker'!$B91,'Candidate Tracker'!$C:$C,"&lt;&gt;WIP",'Candidate Tracker'!$C:$C,"&lt;&gt;Hold",'Candidate Tracker'!$C:$C,"&lt;&gt;Cancelled",'Candidate Tracker'!$C:$C,"&lt;&gt;Closed")/COUNTIFS('Candidate Tracker'!$E:$E,'Positions Tracker'!$B91)=0,"",COUNTIFS('Candidate Tracker'!$E:$E,'Positions Tracker'!$B91,'Candidate Tracker'!$C:$C,"&lt;&gt;WIP",'Candidate Tracker'!$C:$C,"&lt;&gt;Hold",'Candidate Tracker'!$C:$C,"&lt;&gt;Cancelled",'Candidate Tracker'!$C:$C,"&lt;&gt;Closed")/COUNTIFS('Candidate Tracker'!$E:$E,'Positions Tracker'!$B91)),"")</f>
        <v>1</v>
      </c>
      <c r="BD91" s="67" t="str">
        <f t="shared" si="1"/>
        <v>Nov-23</v>
      </c>
      <c r="BE91" s="67" t="str">
        <f t="shared" si="2"/>
        <v>Nov-23</v>
      </c>
      <c r="BF91" s="67" t="str">
        <f t="shared" si="3"/>
        <v>Nov-23</v>
      </c>
      <c r="BG91" s="67" t="str">
        <f t="shared" si="4"/>
        <v>Feb-24</v>
      </c>
    </row>
    <row r="92" spans="1:59">
      <c r="A92" s="67">
        <f t="shared" si="8"/>
        <v>91</v>
      </c>
      <c r="B92" s="67" t="s">
        <v>482</v>
      </c>
      <c r="C92" s="67" t="s">
        <v>116</v>
      </c>
      <c r="D92" s="67" t="s">
        <v>116</v>
      </c>
      <c r="E92" s="67" t="s">
        <v>483</v>
      </c>
      <c r="F92" s="67" t="s">
        <v>342</v>
      </c>
      <c r="G92" s="67" t="s">
        <v>3</v>
      </c>
      <c r="H92" s="67" t="s">
        <v>68</v>
      </c>
      <c r="I92" s="67" t="s">
        <v>69</v>
      </c>
      <c r="J92" s="67" t="s">
        <v>70</v>
      </c>
      <c r="K92" s="68">
        <v>45594</v>
      </c>
      <c r="L92" s="68">
        <v>45224</v>
      </c>
      <c r="M92" s="68">
        <v>45224</v>
      </c>
      <c r="N92" s="67"/>
      <c r="O92" s="68"/>
      <c r="P92" s="68"/>
      <c r="Q92" s="68"/>
      <c r="R92" s="68"/>
      <c r="S92" s="68"/>
      <c r="T92" s="68"/>
      <c r="U92" s="67"/>
      <c r="V92" s="67"/>
      <c r="W92" s="67"/>
      <c r="X92" s="67" t="s">
        <v>72</v>
      </c>
      <c r="Y92" s="67" t="s">
        <v>245</v>
      </c>
      <c r="Z92" s="67" t="s">
        <v>245</v>
      </c>
      <c r="AA92" s="67" t="s">
        <v>116</v>
      </c>
      <c r="AB92" s="67"/>
      <c r="AC92" s="67"/>
      <c r="AD92" s="67"/>
      <c r="AE92" s="67" t="s">
        <v>484</v>
      </c>
      <c r="AF92" s="67">
        <v>9637167353</v>
      </c>
      <c r="AG92" s="67" t="s">
        <v>485</v>
      </c>
      <c r="AH92" s="68" t="s">
        <v>123</v>
      </c>
      <c r="AI92" s="68">
        <v>45231</v>
      </c>
      <c r="AJ92" s="68">
        <v>45246</v>
      </c>
      <c r="AK92" s="67" t="s">
        <v>72</v>
      </c>
      <c r="AL92" s="67">
        <v>1200000</v>
      </c>
      <c r="AM92" s="68">
        <f t="shared" si="12"/>
        <v>45246</v>
      </c>
      <c r="AN92" s="68">
        <v>45246</v>
      </c>
      <c r="AO92" s="68"/>
      <c r="AP92" s="68"/>
      <c r="AQ92" s="68"/>
      <c r="AR92" s="68"/>
      <c r="AS92" s="68">
        <v>45351</v>
      </c>
      <c r="AT92" s="67">
        <f t="shared" ca="1" si="9"/>
        <v>0</v>
      </c>
      <c r="AU92" s="79" t="str">
        <f t="shared" ca="1" si="10"/>
        <v/>
      </c>
      <c r="AV92" s="79" t="str" cm="1">
        <f t="array" aca="1" ref="AV92" ca="1">IFERROR(_xlfn.IFS($AU92="","",$AU92&lt;=15,"0-15",AND($AU92&gt;=16,$AU92&lt;=30),"16-30",AND($AU92&gt;=31,$AU92&lt;=45),"31-45",AND($AU92&gt;=46,$AU92&lt;=60),"46-60",AND($AU92&gt;=61,$AU92&lt;=90),"61-90",AND($AU92&gt;=91),"&gt; 90",AND($AU92&gt;=2000),""),"")</f>
        <v/>
      </c>
      <c r="AW92" s="79" cm="1">
        <f t="array" aca="1" ref="AW92" ca="1">IFERROR(_xlfn.IFS(OR($M92="",$AM92=""),"",OR($C92="Offered",$C92="Joined"),($AM92-$M92)-$AT92),"")</f>
        <v>22</v>
      </c>
      <c r="AX92" s="79" cm="1">
        <f t="array" aca="1" ref="AX92" ca="1">IFERROR(_xlfn.IFS(OR($M92="",$AS92=""),"",$C92="Joined",($AS92-$M92)-$AT92),"")</f>
        <v>127</v>
      </c>
      <c r="AY92" s="67" t="str">
        <f>IFERROR(IF(COUNTIFS('Candidate Tracker'!$E:$E,'Positions Tracker'!$B92,'Candidate Tracker'!$C:$C,"Offer Drop")=0,"",COUNTIFS('Candidate Tracker'!$E:$E,'Positions Tracker'!$B92,'Candidate Tracker'!$C:$C,"Offer Drop")),"")</f>
        <v/>
      </c>
      <c r="AZ92" s="80">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0.88111888111888115</v>
      </c>
      <c r="BA92" s="81" t="str">
        <f>IFERROR(IF(COUNTIFS('Candidate Tracker'!$E:$E,'Positions Tracker'!$B92,'Candidate Tracker'!$I:$I,"Female")=0,"",COUNTIFS('Candidate Tracker'!$E:$E,'Positions Tracker'!$B92,'Candidate Tracker'!$I:$I,"Female")),"")</f>
        <v/>
      </c>
      <c r="BB92" s="81">
        <f>IFERROR(IF(COUNTIFS('Candidate Tracker'!$E:$E,'Positions Tracker'!$B92,'Candidate Tracker'!$I:$I,"male")=0,"",COUNTIFS('Candidate Tracker'!$E:$E,'Positions Tracker'!$B92,'Candidate Tracker'!$I:$I,"male")),"")</f>
        <v>2</v>
      </c>
      <c r="BC92" s="80">
        <f>IFERROR(IF(COUNTIFS('Candidate Tracker'!$E:$E,'Positions Tracker'!$B92,'Candidate Tracker'!$C:$C,"&lt;&gt;WIP",'Candidate Tracker'!$C:$C,"&lt;&gt;Hold",'Candidate Tracker'!$C:$C,"&lt;&gt;Cancelled",'Candidate Tracker'!$C:$C,"&lt;&gt;Closed")/COUNTIFS('Candidate Tracker'!$E:$E,'Positions Tracker'!$B92)=0,"",COUNTIFS('Candidate Tracker'!$E:$E,'Positions Tracker'!$B92,'Candidate Tracker'!$C:$C,"&lt;&gt;WIP",'Candidate Tracker'!$C:$C,"&lt;&gt;Hold",'Candidate Tracker'!$C:$C,"&lt;&gt;Cancelled",'Candidate Tracker'!$C:$C,"&lt;&gt;Closed")/COUNTIFS('Candidate Tracker'!$E:$E,'Positions Tracker'!$B92)),"")</f>
        <v>1</v>
      </c>
      <c r="BD92" s="67" t="str">
        <f t="shared" si="1"/>
        <v>Oct-23</v>
      </c>
      <c r="BE92" s="67" t="str">
        <f t="shared" si="2"/>
        <v>Nov-23</v>
      </c>
      <c r="BF92" s="67" t="str">
        <f t="shared" si="3"/>
        <v>Nov-23</v>
      </c>
      <c r="BG92" s="67" t="str">
        <f t="shared" si="4"/>
        <v>Feb-24</v>
      </c>
    </row>
    <row r="93" spans="1:59">
      <c r="A93" s="67">
        <f t="shared" si="8"/>
        <v>92</v>
      </c>
      <c r="B93" s="67" t="s">
        <v>486</v>
      </c>
      <c r="C93" s="67" t="s">
        <v>116</v>
      </c>
      <c r="D93" s="67" t="s">
        <v>116</v>
      </c>
      <c r="E93" s="67" t="s">
        <v>487</v>
      </c>
      <c r="F93" s="67" t="s">
        <v>342</v>
      </c>
      <c r="G93" s="67" t="s">
        <v>3</v>
      </c>
      <c r="H93" s="67" t="s">
        <v>68</v>
      </c>
      <c r="I93" s="67" t="s">
        <v>69</v>
      </c>
      <c r="J93" s="67" t="s">
        <v>70</v>
      </c>
      <c r="K93" s="68">
        <v>45442</v>
      </c>
      <c r="L93" s="68">
        <v>45162</v>
      </c>
      <c r="M93" s="68">
        <v>45162</v>
      </c>
      <c r="N93" s="67"/>
      <c r="O93" s="68"/>
      <c r="P93" s="68"/>
      <c r="Q93" s="68"/>
      <c r="R93" s="68"/>
      <c r="S93" s="68"/>
      <c r="T93" s="68"/>
      <c r="U93" s="67"/>
      <c r="V93" s="67"/>
      <c r="W93" s="67"/>
      <c r="X93" s="67" t="s">
        <v>72</v>
      </c>
      <c r="Y93" s="67" t="s">
        <v>245</v>
      </c>
      <c r="Z93" s="67" t="s">
        <v>245</v>
      </c>
      <c r="AA93" s="67" t="s">
        <v>116</v>
      </c>
      <c r="AB93" s="67"/>
      <c r="AC93" s="67"/>
      <c r="AD93" s="67"/>
      <c r="AE93" s="67" t="s">
        <v>488</v>
      </c>
      <c r="AF93" s="67">
        <v>9130333075</v>
      </c>
      <c r="AG93" s="67" t="s">
        <v>489</v>
      </c>
      <c r="AH93" s="68" t="s">
        <v>86</v>
      </c>
      <c r="AI93" s="68">
        <v>45231</v>
      </c>
      <c r="AJ93" s="68">
        <v>45234</v>
      </c>
      <c r="AK93" s="67" t="s">
        <v>72</v>
      </c>
      <c r="AL93" s="67">
        <v>850000</v>
      </c>
      <c r="AM93" s="68">
        <f t="shared" si="12"/>
        <v>45234</v>
      </c>
      <c r="AN93" s="68">
        <v>45234</v>
      </c>
      <c r="AO93" s="68"/>
      <c r="AP93" s="68"/>
      <c r="AQ93" s="68"/>
      <c r="AR93" s="68"/>
      <c r="AS93" s="68">
        <v>45250</v>
      </c>
      <c r="AT93" s="67">
        <f t="shared" ca="1" si="9"/>
        <v>0</v>
      </c>
      <c r="AU93" s="79" t="str">
        <f t="shared" ca="1" si="10"/>
        <v/>
      </c>
      <c r="AV93" s="79" t="str" cm="1">
        <f t="array" aca="1" ref="AV93" ca="1">IFERROR(_xlfn.IFS($AU93="","",$AU93&lt;=15,"0-15",AND($AU93&gt;=16,$AU93&lt;=30),"16-30",AND($AU93&gt;=31,$AU93&lt;=45),"31-45",AND($AU93&gt;=46,$AU93&lt;=60),"46-60",AND($AU93&gt;=61,$AU93&lt;=90),"61-90",AND($AU93&gt;=91),"&gt; 90",AND($AU93&gt;=2000),""),"")</f>
        <v/>
      </c>
      <c r="AW93" s="79" cm="1">
        <f t="array" aca="1" ref="AW93" ca="1">IFERROR(_xlfn.IFS(OR($M93="",$AM93=""),"",OR($C93="Offered",$C93="Joined"),($AM93-$M93)-$AT93),"")</f>
        <v>72</v>
      </c>
      <c r="AX93" s="79" cm="1">
        <f t="array" aca="1" ref="AX93" ca="1">IFERROR(_xlfn.IFS(OR($M93="",$AS93=""),"",$C93="Joined",($AS93-$M93)-$AT93),"")</f>
        <v>88</v>
      </c>
      <c r="AY93" s="67" t="str">
        <f>IFERROR(IF(COUNTIFS('Candidate Tracker'!$E:$E,'Positions Tracker'!$B93,'Candidate Tracker'!$C:$C,"Offer Drop")=0,"",COUNTIFS('Candidate Tracker'!$E:$E,'Positions Tracker'!$B93,'Candidate Tracker'!$C:$C,"Offer Drop")),"")</f>
        <v/>
      </c>
      <c r="AZ93" s="80">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0.88111888111888115</v>
      </c>
      <c r="BA93" s="81">
        <f>IFERROR(IF(COUNTIFS('Candidate Tracker'!$E:$E,'Positions Tracker'!$B93,'Candidate Tracker'!$I:$I,"Female")=0,"",COUNTIFS('Candidate Tracker'!$E:$E,'Positions Tracker'!$B93,'Candidate Tracker'!$I:$I,"Female")),"")</f>
        <v>1</v>
      </c>
      <c r="BB93" s="81" t="str">
        <f>IFERROR(IF(COUNTIFS('Candidate Tracker'!$E:$E,'Positions Tracker'!$B93,'Candidate Tracker'!$I:$I,"male")=0,"",COUNTIFS('Candidate Tracker'!$E:$E,'Positions Tracker'!$B93,'Candidate Tracker'!$I:$I,"male")),"")</f>
        <v/>
      </c>
      <c r="BC93" s="80">
        <f>IFERROR(IF(COUNTIFS('Candidate Tracker'!$E:$E,'Positions Tracker'!$B93,'Candidate Tracker'!$C:$C,"&lt;&gt;WIP",'Candidate Tracker'!$C:$C,"&lt;&gt;Hold",'Candidate Tracker'!$C:$C,"&lt;&gt;Cancelled",'Candidate Tracker'!$C:$C,"&lt;&gt;Closed")/COUNTIFS('Candidate Tracker'!$E:$E,'Positions Tracker'!$B93)=0,"",COUNTIFS('Candidate Tracker'!$E:$E,'Positions Tracker'!$B93,'Candidate Tracker'!$C:$C,"&lt;&gt;WIP",'Candidate Tracker'!$C:$C,"&lt;&gt;Hold",'Candidate Tracker'!$C:$C,"&lt;&gt;Cancelled",'Candidate Tracker'!$C:$C,"&lt;&gt;Closed")/COUNTIFS('Candidate Tracker'!$E:$E,'Positions Tracker'!$B93)),"")</f>
        <v>1</v>
      </c>
      <c r="BD93" s="67" t="str">
        <f t="shared" si="1"/>
        <v>Aug-23</v>
      </c>
      <c r="BE93" s="67" t="str">
        <f t="shared" si="2"/>
        <v>Nov-23</v>
      </c>
      <c r="BF93" s="67" t="str">
        <f t="shared" si="3"/>
        <v>Nov-23</v>
      </c>
      <c r="BG93" s="67" t="str">
        <f t="shared" si="4"/>
        <v>Nov-23</v>
      </c>
    </row>
    <row r="94" spans="1:59">
      <c r="A94" s="67">
        <f t="shared" si="8"/>
        <v>93</v>
      </c>
      <c r="B94" s="67" t="s">
        <v>490</v>
      </c>
      <c r="C94" s="67" t="s">
        <v>116</v>
      </c>
      <c r="D94" s="67" t="s">
        <v>116</v>
      </c>
      <c r="E94" s="67" t="s">
        <v>476</v>
      </c>
      <c r="F94" s="67" t="s">
        <v>468</v>
      </c>
      <c r="G94" s="67" t="s">
        <v>3</v>
      </c>
      <c r="H94" s="67" t="s">
        <v>151</v>
      </c>
      <c r="I94" s="67" t="s">
        <v>159</v>
      </c>
      <c r="J94" s="67" t="s">
        <v>70</v>
      </c>
      <c r="K94" s="68">
        <v>45058</v>
      </c>
      <c r="L94" s="68">
        <v>45058</v>
      </c>
      <c r="M94" s="68">
        <v>45242</v>
      </c>
      <c r="N94" s="67"/>
      <c r="O94" s="68"/>
      <c r="P94" s="68"/>
      <c r="Q94" s="68"/>
      <c r="R94" s="68"/>
      <c r="S94" s="68"/>
      <c r="T94" s="68"/>
      <c r="U94" s="67"/>
      <c r="V94" s="67"/>
      <c r="W94" s="67"/>
      <c r="X94" s="67" t="s">
        <v>72</v>
      </c>
      <c r="Y94" s="67" t="s">
        <v>245</v>
      </c>
      <c r="Z94" s="67" t="s">
        <v>245</v>
      </c>
      <c r="AA94" s="67" t="s">
        <v>116</v>
      </c>
      <c r="AB94" s="67"/>
      <c r="AC94" s="67"/>
      <c r="AD94" s="67"/>
      <c r="AE94" s="67" t="s">
        <v>491</v>
      </c>
      <c r="AF94" s="67">
        <v>8796289621</v>
      </c>
      <c r="AG94" s="67" t="s">
        <v>489</v>
      </c>
      <c r="AH94" s="68" t="s">
        <v>123</v>
      </c>
      <c r="AI94" s="68">
        <v>45266</v>
      </c>
      <c r="AJ94" s="68">
        <v>45268</v>
      </c>
      <c r="AK94" s="67" t="s">
        <v>72</v>
      </c>
      <c r="AL94" s="67">
        <f>1200000+50000</f>
        <v>1250000</v>
      </c>
      <c r="AM94" s="68">
        <v>45268</v>
      </c>
      <c r="AN94" s="68">
        <v>45268</v>
      </c>
      <c r="AO94" s="68"/>
      <c r="AP94" s="68"/>
      <c r="AQ94" s="68"/>
      <c r="AR94" s="68"/>
      <c r="AS94" s="68">
        <v>45293</v>
      </c>
      <c r="AT94" s="67">
        <f t="shared" ca="1" si="9"/>
        <v>0</v>
      </c>
      <c r="AU94" s="79" t="str">
        <f t="shared" ca="1" si="10"/>
        <v/>
      </c>
      <c r="AV94" s="79" t="str" cm="1">
        <f t="array" aca="1" ref="AV94" ca="1">IFERROR(_xlfn.IFS($AU94="","",$AU94&lt;=15,"0-15",AND($AU94&gt;=16,$AU94&lt;=30),"16-30",AND($AU94&gt;=31,$AU94&lt;=45),"31-45",AND($AU94&gt;=46,$AU94&lt;=60),"46-60",AND($AU94&gt;=61,$AU94&lt;=90),"61-90",AND($AU94&gt;=91),"&gt; 90",AND($AU94&gt;=2000),""),"")</f>
        <v/>
      </c>
      <c r="AW94" s="79" cm="1">
        <f t="array" aca="1" ref="AW94" ca="1">IFERROR(_xlfn.IFS(OR($M94="",$AM94=""),"",OR($C94="Offered",$C94="Joined"),($AM94-$M94)-$AT94),"")</f>
        <v>26</v>
      </c>
      <c r="AX94" s="79" cm="1">
        <f t="array" aca="1" ref="AX94" ca="1">IFERROR(_xlfn.IFS(OR($M94="",$AS94=""),"",$C94="Joined",($AS94-$M94)-$AT94),"")</f>
        <v>51</v>
      </c>
      <c r="AY94" s="67" t="str">
        <f>IFERROR(IF(COUNTIFS('Candidate Tracker'!$E:$E,'Positions Tracker'!$B94,'Candidate Tracker'!$C:$C,"Offer Drop")=0,"",COUNTIFS('Candidate Tracker'!$E:$E,'Positions Tracker'!$B94,'Candidate Tracker'!$C:$C,"Offer Drop")),"")</f>
        <v/>
      </c>
      <c r="AZ94" s="80">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0.88111888111888115</v>
      </c>
      <c r="BA94" s="81" t="str">
        <f>IFERROR(IF(COUNTIFS('Candidate Tracker'!$E:$E,'Positions Tracker'!$B94,'Candidate Tracker'!$I:$I,"Female")=0,"",COUNTIFS('Candidate Tracker'!$E:$E,'Positions Tracker'!$B94,'Candidate Tracker'!$I:$I,"Female")),"")</f>
        <v/>
      </c>
      <c r="BB94" s="81">
        <f>IFERROR(IF(COUNTIFS('Candidate Tracker'!$E:$E,'Positions Tracker'!$B94,'Candidate Tracker'!$I:$I,"male")=0,"",COUNTIFS('Candidate Tracker'!$E:$E,'Positions Tracker'!$B94,'Candidate Tracker'!$I:$I,"male")),"")</f>
        <v>1</v>
      </c>
      <c r="BC94" s="80">
        <f>IFERROR(IF(COUNTIFS('Candidate Tracker'!$E:$E,'Positions Tracker'!$B94,'Candidate Tracker'!$C:$C,"&lt;&gt;WIP",'Candidate Tracker'!$C:$C,"&lt;&gt;Hold",'Candidate Tracker'!$C:$C,"&lt;&gt;Cancelled",'Candidate Tracker'!$C:$C,"&lt;&gt;Closed")/COUNTIFS('Candidate Tracker'!$E:$E,'Positions Tracker'!$B94)=0,"",COUNTIFS('Candidate Tracker'!$E:$E,'Positions Tracker'!$B94,'Candidate Tracker'!$C:$C,"&lt;&gt;WIP",'Candidate Tracker'!$C:$C,"&lt;&gt;Hold",'Candidate Tracker'!$C:$C,"&lt;&gt;Cancelled",'Candidate Tracker'!$C:$C,"&lt;&gt;Closed")/COUNTIFS('Candidate Tracker'!$E:$E,'Positions Tracker'!$B94)),"")</f>
        <v>1</v>
      </c>
      <c r="BD94" s="67" t="str">
        <f t="shared" si="1"/>
        <v>Nov-23</v>
      </c>
      <c r="BE94" s="67" t="str">
        <f t="shared" si="2"/>
        <v>Dec-23</v>
      </c>
      <c r="BF94" s="67" t="str">
        <f t="shared" si="3"/>
        <v>Dec-23</v>
      </c>
      <c r="BG94" s="67" t="str">
        <f t="shared" si="4"/>
        <v>Jan-24</v>
      </c>
    </row>
    <row r="95" spans="1:59">
      <c r="A95" s="67">
        <f t="shared" si="8"/>
        <v>94</v>
      </c>
      <c r="B95" s="67" t="s">
        <v>493</v>
      </c>
      <c r="C95" s="67" t="s">
        <v>116</v>
      </c>
      <c r="D95" s="67" t="s">
        <v>116</v>
      </c>
      <c r="E95" s="67" t="s">
        <v>476</v>
      </c>
      <c r="F95" s="67" t="s">
        <v>468</v>
      </c>
      <c r="G95" s="67" t="s">
        <v>3</v>
      </c>
      <c r="H95" s="67" t="s">
        <v>68</v>
      </c>
      <c r="I95" s="67" t="s">
        <v>69</v>
      </c>
      <c r="J95" s="67" t="s">
        <v>70</v>
      </c>
      <c r="K95" s="68">
        <v>45213</v>
      </c>
      <c r="L95" s="68">
        <v>45213</v>
      </c>
      <c r="M95" s="68">
        <v>45213</v>
      </c>
      <c r="N95" s="67"/>
      <c r="O95" s="68"/>
      <c r="P95" s="68"/>
      <c r="Q95" s="68"/>
      <c r="R95" s="68"/>
      <c r="S95" s="68"/>
      <c r="T95" s="68"/>
      <c r="U95" s="67"/>
      <c r="V95" s="67"/>
      <c r="W95" s="67"/>
      <c r="X95" s="67" t="s">
        <v>72</v>
      </c>
      <c r="Y95" s="67" t="s">
        <v>245</v>
      </c>
      <c r="Z95" s="67" t="s">
        <v>245</v>
      </c>
      <c r="AA95" s="67" t="s">
        <v>116</v>
      </c>
      <c r="AB95" s="67"/>
      <c r="AC95" s="67"/>
      <c r="AD95" s="67"/>
      <c r="AE95" s="67" t="s">
        <v>494</v>
      </c>
      <c r="AF95" s="67">
        <v>9041199799</v>
      </c>
      <c r="AG95" s="67" t="s">
        <v>495</v>
      </c>
      <c r="AH95" s="68" t="s">
        <v>123</v>
      </c>
      <c r="AI95" s="68">
        <v>45257</v>
      </c>
      <c r="AJ95" s="68">
        <v>45272</v>
      </c>
      <c r="AK95" s="67" t="s">
        <v>72</v>
      </c>
      <c r="AL95" s="67">
        <v>2550000</v>
      </c>
      <c r="AM95" s="68">
        <f t="shared" ref="AM95:AM103" si="13">AN95</f>
        <v>45272</v>
      </c>
      <c r="AN95" s="68">
        <v>45272</v>
      </c>
      <c r="AO95" s="68"/>
      <c r="AP95" s="68"/>
      <c r="AQ95" s="68"/>
      <c r="AR95" s="68"/>
      <c r="AS95" s="68">
        <v>45306</v>
      </c>
      <c r="AT95" s="67">
        <f t="shared" ca="1" si="9"/>
        <v>0</v>
      </c>
      <c r="AU95" s="79" t="str">
        <f t="shared" ca="1" si="10"/>
        <v/>
      </c>
      <c r="AV95" s="79" t="str" cm="1">
        <f t="array" aca="1" ref="AV95" ca="1">IFERROR(_xlfn.IFS($AU95="","",$AU95&lt;=15,"0-15",AND($AU95&gt;=16,$AU95&lt;=30),"16-30",AND($AU95&gt;=31,$AU95&lt;=45),"31-45",AND($AU95&gt;=46,$AU95&lt;=60),"46-60",AND($AU95&gt;=61,$AU95&lt;=90),"61-90",AND($AU95&gt;=91),"&gt; 90",AND($AU95&gt;=2000),""),"")</f>
        <v/>
      </c>
      <c r="AW95" s="79" cm="1">
        <f t="array" aca="1" ref="AW95" ca="1">IFERROR(_xlfn.IFS(OR($M95="",$AM95=""),"",OR($C95="Offered",$C95="Joined"),($AM95-$M95)-$AT95),"")</f>
        <v>59</v>
      </c>
      <c r="AX95" s="79" cm="1">
        <f t="array" aca="1" ref="AX95" ca="1">IFERROR(_xlfn.IFS(OR($M95="",$AS95=""),"",$C95="Joined",($AS95-$M95)-$AT95),"")</f>
        <v>93</v>
      </c>
      <c r="AY95" s="67" t="str">
        <f>IFERROR(IF(COUNTIFS('Candidate Tracker'!$E:$E,'Positions Tracker'!$B95,'Candidate Tracker'!$C:$C,"Offer Drop")=0,"",COUNTIFS('Candidate Tracker'!$E:$E,'Positions Tracker'!$B95,'Candidate Tracker'!$C:$C,"Offer Drop")),"")</f>
        <v/>
      </c>
      <c r="AZ95" s="80">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0.88111888111888115</v>
      </c>
      <c r="BA95" s="81" t="str">
        <f>IFERROR(IF(COUNTIFS('Candidate Tracker'!$E:$E,'Positions Tracker'!$B95,'Candidate Tracker'!$I:$I,"Female")=0,"",COUNTIFS('Candidate Tracker'!$E:$E,'Positions Tracker'!$B95,'Candidate Tracker'!$I:$I,"Female")),"")</f>
        <v/>
      </c>
      <c r="BB95" s="81">
        <f>IFERROR(IF(COUNTIFS('Candidate Tracker'!$E:$E,'Positions Tracker'!$B95,'Candidate Tracker'!$I:$I,"male")=0,"",COUNTIFS('Candidate Tracker'!$E:$E,'Positions Tracker'!$B95,'Candidate Tracker'!$I:$I,"male")),"")</f>
        <v>1</v>
      </c>
      <c r="BC95" s="80">
        <f>IFERROR(IF(COUNTIFS('Candidate Tracker'!$E:$E,'Positions Tracker'!$B95,'Candidate Tracker'!$C:$C,"&lt;&gt;WIP",'Candidate Tracker'!$C:$C,"&lt;&gt;Hold",'Candidate Tracker'!$C:$C,"&lt;&gt;Cancelled",'Candidate Tracker'!$C:$C,"&lt;&gt;Closed")/COUNTIFS('Candidate Tracker'!$E:$E,'Positions Tracker'!$B95)=0,"",COUNTIFS('Candidate Tracker'!$E:$E,'Positions Tracker'!$B95,'Candidate Tracker'!$C:$C,"&lt;&gt;WIP",'Candidate Tracker'!$C:$C,"&lt;&gt;Hold",'Candidate Tracker'!$C:$C,"&lt;&gt;Cancelled",'Candidate Tracker'!$C:$C,"&lt;&gt;Closed")/COUNTIFS('Candidate Tracker'!$E:$E,'Positions Tracker'!$B95)),"")</f>
        <v>1</v>
      </c>
      <c r="BD95" s="67" t="str">
        <f t="shared" si="1"/>
        <v>Oct-23</v>
      </c>
      <c r="BE95" s="67" t="str">
        <f t="shared" si="2"/>
        <v>Nov-23</v>
      </c>
      <c r="BF95" s="67" t="str">
        <f t="shared" si="3"/>
        <v>Dec-23</v>
      </c>
      <c r="BG95" s="67" t="str">
        <f t="shared" si="4"/>
        <v>Jan-24</v>
      </c>
    </row>
    <row r="96" spans="1:59">
      <c r="A96" s="67">
        <f t="shared" si="8"/>
        <v>95</v>
      </c>
      <c r="B96" s="67" t="s">
        <v>496</v>
      </c>
      <c r="C96" s="67" t="s">
        <v>116</v>
      </c>
      <c r="D96" s="67" t="s">
        <v>116</v>
      </c>
      <c r="E96" s="67" t="s">
        <v>497</v>
      </c>
      <c r="F96" s="67" t="s">
        <v>468</v>
      </c>
      <c r="G96" s="67" t="s">
        <v>3</v>
      </c>
      <c r="H96" s="67" t="s">
        <v>68</v>
      </c>
      <c r="I96" s="67" t="s">
        <v>69</v>
      </c>
      <c r="J96" s="67" t="s">
        <v>70</v>
      </c>
      <c r="K96" s="68">
        <v>45213</v>
      </c>
      <c r="L96" s="68">
        <v>45213</v>
      </c>
      <c r="M96" s="68">
        <v>45274</v>
      </c>
      <c r="N96" s="67"/>
      <c r="O96" s="68"/>
      <c r="P96" s="68"/>
      <c r="Q96" s="68"/>
      <c r="R96" s="68"/>
      <c r="S96" s="68"/>
      <c r="T96" s="68"/>
      <c r="U96" s="67"/>
      <c r="V96" s="67"/>
      <c r="W96" s="67"/>
      <c r="X96" s="67" t="s">
        <v>72</v>
      </c>
      <c r="Y96" s="67" t="s">
        <v>245</v>
      </c>
      <c r="Z96" s="67" t="s">
        <v>245</v>
      </c>
      <c r="AA96" s="67" t="s">
        <v>116</v>
      </c>
      <c r="AB96" s="67"/>
      <c r="AC96" s="67"/>
      <c r="AD96" s="67"/>
      <c r="AE96" s="67" t="s">
        <v>498</v>
      </c>
      <c r="AF96" s="67">
        <v>9561479035</v>
      </c>
      <c r="AG96" s="67" t="s">
        <v>499</v>
      </c>
      <c r="AH96" s="68" t="s">
        <v>123</v>
      </c>
      <c r="AI96" s="68">
        <v>45306</v>
      </c>
      <c r="AJ96" s="68">
        <v>45328</v>
      </c>
      <c r="AK96" s="67" t="s">
        <v>72</v>
      </c>
      <c r="AL96" s="67">
        <v>1000000</v>
      </c>
      <c r="AM96" s="68">
        <f t="shared" si="13"/>
        <v>45328</v>
      </c>
      <c r="AN96" s="68">
        <v>45328</v>
      </c>
      <c r="AO96" s="68"/>
      <c r="AP96" s="68"/>
      <c r="AQ96" s="68"/>
      <c r="AR96" s="68"/>
      <c r="AS96" s="68">
        <v>45397</v>
      </c>
      <c r="AT96" s="67">
        <f t="shared" ca="1" si="9"/>
        <v>0</v>
      </c>
      <c r="AU96" s="79" t="str">
        <f t="shared" ca="1" si="10"/>
        <v/>
      </c>
      <c r="AV96" s="79" t="str" cm="1">
        <f t="array" aca="1" ref="AV96" ca="1">IFERROR(_xlfn.IFS($AU96="","",$AU96&lt;=15,"0-15",AND($AU96&gt;=16,$AU96&lt;=30),"16-30",AND($AU96&gt;=31,$AU96&lt;=45),"31-45",AND($AU96&gt;=46,$AU96&lt;=60),"46-60",AND($AU96&gt;=61,$AU96&lt;=90),"61-90",AND($AU96&gt;=91),"&gt; 90",AND($AU96&gt;=2000),""),"")</f>
        <v/>
      </c>
      <c r="AW96" s="79" cm="1">
        <f t="array" aca="1" ref="AW96" ca="1">IFERROR(_xlfn.IFS(OR($M96="",$AM96=""),"",OR($C96="Offered",$C96="Joined"),($AM96-$M96)-$AT96),"")</f>
        <v>54</v>
      </c>
      <c r="AX96" s="79" cm="1">
        <f t="array" aca="1" ref="AX96" ca="1">IFERROR(_xlfn.IFS(OR($M96="",$AS96=""),"",$C96="Joined",($AS96-$M96)-$AT96),"")</f>
        <v>123</v>
      </c>
      <c r="AY96" s="67" t="str">
        <f>IFERROR(IF(COUNTIFS('Candidate Tracker'!$E:$E,'Positions Tracker'!$B96,'Candidate Tracker'!$C:$C,"Offer Drop")=0,"",COUNTIFS('Candidate Tracker'!$E:$E,'Positions Tracker'!$B96,'Candidate Tracker'!$C:$C,"Offer Drop")),"")</f>
        <v/>
      </c>
      <c r="AZ96" s="80">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0.88111888111888115</v>
      </c>
      <c r="BA96" s="81" t="str">
        <f>IFERROR(IF(COUNTIFS('Candidate Tracker'!$E:$E,'Positions Tracker'!$B96,'Candidate Tracker'!$I:$I,"Female")=0,"",COUNTIFS('Candidate Tracker'!$E:$E,'Positions Tracker'!$B96,'Candidate Tracker'!$I:$I,"Female")),"")</f>
        <v/>
      </c>
      <c r="BB96" s="81">
        <f>IFERROR(IF(COUNTIFS('Candidate Tracker'!$E:$E,'Positions Tracker'!$B96,'Candidate Tracker'!$I:$I,"male")=0,"",COUNTIFS('Candidate Tracker'!$E:$E,'Positions Tracker'!$B96,'Candidate Tracker'!$I:$I,"male")),"")</f>
        <v>1</v>
      </c>
      <c r="BC96" s="80">
        <f>IFERROR(IF(COUNTIFS('Candidate Tracker'!$E:$E,'Positions Tracker'!$B96,'Candidate Tracker'!$C:$C,"&lt;&gt;WIP",'Candidate Tracker'!$C:$C,"&lt;&gt;Hold",'Candidate Tracker'!$C:$C,"&lt;&gt;Cancelled",'Candidate Tracker'!$C:$C,"&lt;&gt;Closed")/COUNTIFS('Candidate Tracker'!$E:$E,'Positions Tracker'!$B96)=0,"",COUNTIFS('Candidate Tracker'!$E:$E,'Positions Tracker'!$B96,'Candidate Tracker'!$C:$C,"&lt;&gt;WIP",'Candidate Tracker'!$C:$C,"&lt;&gt;Hold",'Candidate Tracker'!$C:$C,"&lt;&gt;Cancelled",'Candidate Tracker'!$C:$C,"&lt;&gt;Closed")/COUNTIFS('Candidate Tracker'!$E:$E,'Positions Tracker'!$B96)),"")</f>
        <v>1</v>
      </c>
      <c r="BD96" s="67" t="str">
        <f t="shared" si="1"/>
        <v>Dec-23</v>
      </c>
      <c r="BE96" s="67" t="str">
        <f t="shared" si="2"/>
        <v>Jan-24</v>
      </c>
      <c r="BF96" s="67" t="str">
        <f t="shared" si="3"/>
        <v>Feb-24</v>
      </c>
      <c r="BG96" s="67" t="str">
        <f t="shared" si="4"/>
        <v>Apr-24</v>
      </c>
    </row>
    <row r="97" spans="1:59">
      <c r="A97" s="67">
        <f t="shared" si="8"/>
        <v>96</v>
      </c>
      <c r="B97" s="67" t="s">
        <v>500</v>
      </c>
      <c r="C97" s="67" t="s">
        <v>116</v>
      </c>
      <c r="D97" s="67" t="s">
        <v>116</v>
      </c>
      <c r="E97" s="67" t="s">
        <v>501</v>
      </c>
      <c r="F97" s="67" t="s">
        <v>468</v>
      </c>
      <c r="G97" s="67" t="s">
        <v>3</v>
      </c>
      <c r="H97" s="67" t="s">
        <v>68</v>
      </c>
      <c r="I97" s="67" t="s">
        <v>69</v>
      </c>
      <c r="J97" s="67" t="s">
        <v>70</v>
      </c>
      <c r="K97" s="68">
        <v>45213</v>
      </c>
      <c r="L97" s="68">
        <v>45213</v>
      </c>
      <c r="M97" s="68">
        <v>45274</v>
      </c>
      <c r="N97" s="67"/>
      <c r="O97" s="68"/>
      <c r="P97" s="68"/>
      <c r="Q97" s="68"/>
      <c r="R97" s="68"/>
      <c r="S97" s="68"/>
      <c r="T97" s="68"/>
      <c r="U97" s="67"/>
      <c r="V97" s="67"/>
      <c r="W97" s="67"/>
      <c r="X97" s="67" t="s">
        <v>72</v>
      </c>
      <c r="Y97" s="67" t="s">
        <v>245</v>
      </c>
      <c r="Z97" s="67" t="s">
        <v>245</v>
      </c>
      <c r="AA97" s="67" t="s">
        <v>116</v>
      </c>
      <c r="AB97" s="67"/>
      <c r="AC97" s="67"/>
      <c r="AD97" s="67"/>
      <c r="AE97" s="67" t="s">
        <v>502</v>
      </c>
      <c r="AF97" s="67">
        <v>9041199799</v>
      </c>
      <c r="AG97" s="67" t="s">
        <v>503</v>
      </c>
      <c r="AH97" s="68" t="s">
        <v>123</v>
      </c>
      <c r="AI97" s="68">
        <v>45321</v>
      </c>
      <c r="AJ97" s="68">
        <v>45327</v>
      </c>
      <c r="AK97" s="67" t="s">
        <v>72</v>
      </c>
      <c r="AL97" s="67">
        <v>1150000</v>
      </c>
      <c r="AM97" s="68">
        <f t="shared" si="13"/>
        <v>45327</v>
      </c>
      <c r="AN97" s="68">
        <v>45327</v>
      </c>
      <c r="AO97" s="68"/>
      <c r="AP97" s="68"/>
      <c r="AQ97" s="68"/>
      <c r="AR97" s="68"/>
      <c r="AS97" s="68">
        <v>45334</v>
      </c>
      <c r="AT97" s="67">
        <f t="shared" ca="1" si="9"/>
        <v>0</v>
      </c>
      <c r="AU97" s="79" t="str">
        <f t="shared" ca="1" si="10"/>
        <v/>
      </c>
      <c r="AV97" s="79" t="str" cm="1">
        <f t="array" aca="1" ref="AV97" ca="1">IFERROR(_xlfn.IFS($AU97="","",$AU97&lt;=15,"0-15",AND($AU97&gt;=16,$AU97&lt;=30),"16-30",AND($AU97&gt;=31,$AU97&lt;=45),"31-45",AND($AU97&gt;=46,$AU97&lt;=60),"46-60",AND($AU97&gt;=61,$AU97&lt;=90),"61-90",AND($AU97&gt;=91),"&gt; 90",AND($AU97&gt;=2000),""),"")</f>
        <v/>
      </c>
      <c r="AW97" s="79" cm="1">
        <f t="array" aca="1" ref="AW97" ca="1">IFERROR(_xlfn.IFS(OR($M97="",$AM97=""),"",OR($C97="Offered",$C97="Joined"),($AM97-$M97)-$AT97),"")</f>
        <v>53</v>
      </c>
      <c r="AX97" s="79" cm="1">
        <f t="array" aca="1" ref="AX97" ca="1">IFERROR(_xlfn.IFS(OR($M97="",$AS97=""),"",$C97="Joined",($AS97-$M97)-$AT97),"")</f>
        <v>60</v>
      </c>
      <c r="AY97" s="67" t="str">
        <f>IFERROR(IF(COUNTIFS('Candidate Tracker'!$E:$E,'Positions Tracker'!$B97,'Candidate Tracker'!$C:$C,"Offer Drop")=0,"",COUNTIFS('Candidate Tracker'!$E:$E,'Positions Tracker'!$B97,'Candidate Tracker'!$C:$C,"Offer Drop")),"")</f>
        <v/>
      </c>
      <c r="AZ97" s="80">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0.88111888111888115</v>
      </c>
      <c r="BA97" s="81" t="str">
        <f>IFERROR(IF(COUNTIFS('Candidate Tracker'!$E:$E,'Positions Tracker'!$B97,'Candidate Tracker'!$I:$I,"Female")=0,"",COUNTIFS('Candidate Tracker'!$E:$E,'Positions Tracker'!$B97,'Candidate Tracker'!$I:$I,"Female")),"")</f>
        <v/>
      </c>
      <c r="BB97" s="81">
        <f>IFERROR(IF(COUNTIFS('Candidate Tracker'!$E:$E,'Positions Tracker'!$B97,'Candidate Tracker'!$I:$I,"male")=0,"",COUNTIFS('Candidate Tracker'!$E:$E,'Positions Tracker'!$B97,'Candidate Tracker'!$I:$I,"male")),"")</f>
        <v>1</v>
      </c>
      <c r="BC97" s="80">
        <f>IFERROR(IF(COUNTIFS('Candidate Tracker'!$E:$E,'Positions Tracker'!$B97,'Candidate Tracker'!$C:$C,"&lt;&gt;WIP",'Candidate Tracker'!$C:$C,"&lt;&gt;Hold",'Candidate Tracker'!$C:$C,"&lt;&gt;Cancelled",'Candidate Tracker'!$C:$C,"&lt;&gt;Closed")/COUNTIFS('Candidate Tracker'!$E:$E,'Positions Tracker'!$B97)=0,"",COUNTIFS('Candidate Tracker'!$E:$E,'Positions Tracker'!$B97,'Candidate Tracker'!$C:$C,"&lt;&gt;WIP",'Candidate Tracker'!$C:$C,"&lt;&gt;Hold",'Candidate Tracker'!$C:$C,"&lt;&gt;Cancelled",'Candidate Tracker'!$C:$C,"&lt;&gt;Closed")/COUNTIFS('Candidate Tracker'!$E:$E,'Positions Tracker'!$B97)),"")</f>
        <v>1</v>
      </c>
      <c r="BD97" s="67" t="str">
        <f t="shared" si="1"/>
        <v>Dec-23</v>
      </c>
      <c r="BE97" s="67" t="str">
        <f t="shared" si="2"/>
        <v>Jan-24</v>
      </c>
      <c r="BF97" s="67" t="str">
        <f t="shared" si="3"/>
        <v>Feb-24</v>
      </c>
      <c r="BG97" s="67" t="str">
        <f t="shared" si="4"/>
        <v>Feb-24</v>
      </c>
    </row>
    <row r="98" spans="1:59">
      <c r="A98" s="67">
        <f t="shared" si="8"/>
        <v>97</v>
      </c>
      <c r="B98" s="67" t="s">
        <v>504</v>
      </c>
      <c r="C98" s="67" t="s">
        <v>116</v>
      </c>
      <c r="D98" s="67" t="s">
        <v>116</v>
      </c>
      <c r="E98" s="67" t="s">
        <v>505</v>
      </c>
      <c r="F98" s="67" t="s">
        <v>184</v>
      </c>
      <c r="G98" s="67" t="s">
        <v>3</v>
      </c>
      <c r="H98" s="67" t="s">
        <v>68</v>
      </c>
      <c r="I98" s="67" t="s">
        <v>69</v>
      </c>
      <c r="J98" s="67" t="s">
        <v>70</v>
      </c>
      <c r="K98" s="68">
        <v>45213</v>
      </c>
      <c r="L98" s="68">
        <v>45213</v>
      </c>
      <c r="M98" s="68">
        <v>45274</v>
      </c>
      <c r="N98" s="67"/>
      <c r="O98" s="68"/>
      <c r="P98" s="68"/>
      <c r="Q98" s="68"/>
      <c r="R98" s="68"/>
      <c r="S98" s="68"/>
      <c r="T98" s="68"/>
      <c r="U98" s="67"/>
      <c r="V98" s="67"/>
      <c r="W98" s="67"/>
      <c r="X98" s="67" t="s">
        <v>72</v>
      </c>
      <c r="Y98" s="67" t="s">
        <v>245</v>
      </c>
      <c r="Z98" s="67" t="s">
        <v>245</v>
      </c>
      <c r="AA98" s="67" t="s">
        <v>116</v>
      </c>
      <c r="AB98" s="67"/>
      <c r="AC98" s="67"/>
      <c r="AD98" s="67"/>
      <c r="AE98" s="67" t="s">
        <v>506</v>
      </c>
      <c r="AF98" s="67">
        <v>9595590095</v>
      </c>
      <c r="AG98" s="67" t="s">
        <v>507</v>
      </c>
      <c r="AH98" s="68" t="s">
        <v>123</v>
      </c>
      <c r="AI98" s="68">
        <v>45329</v>
      </c>
      <c r="AJ98" s="68">
        <v>45343</v>
      </c>
      <c r="AK98" s="67" t="s">
        <v>72</v>
      </c>
      <c r="AL98" s="67">
        <v>700000</v>
      </c>
      <c r="AM98" s="68">
        <f t="shared" si="13"/>
        <v>45343</v>
      </c>
      <c r="AN98" s="68">
        <v>45343</v>
      </c>
      <c r="AO98" s="68"/>
      <c r="AP98" s="68"/>
      <c r="AQ98" s="68"/>
      <c r="AR98" s="68"/>
      <c r="AS98" s="68">
        <v>45378</v>
      </c>
      <c r="AT98" s="67">
        <f t="shared" ca="1" si="9"/>
        <v>0</v>
      </c>
      <c r="AU98" s="79" t="str">
        <f t="shared" ca="1" si="10"/>
        <v/>
      </c>
      <c r="AV98" s="79" t="str" cm="1">
        <f t="array" aca="1" ref="AV98" ca="1">IFERROR(_xlfn.IFS($AU98="","",$AU98&lt;=15,"0-15",AND($AU98&gt;=16,$AU98&lt;=30),"16-30",AND($AU98&gt;=31,$AU98&lt;=45),"31-45",AND($AU98&gt;=46,$AU98&lt;=60),"46-60",AND($AU98&gt;=61,$AU98&lt;=90),"61-90",AND($AU98&gt;=91),"&gt; 90",AND($AU98&gt;=2000),""),"")</f>
        <v/>
      </c>
      <c r="AW98" s="79" cm="1">
        <f t="array" aca="1" ref="AW98" ca="1">IFERROR(_xlfn.IFS(OR($M98="",$AM98=""),"",OR($C98="Offered",$C98="Joined"),($AM98-$M98)-$AT98),"")</f>
        <v>69</v>
      </c>
      <c r="AX98" s="79" cm="1">
        <f t="array" aca="1" ref="AX98" ca="1">IFERROR(_xlfn.IFS(OR($M98="",$AS98=""),"",$C98="Joined",($AS98-$M98)-$AT98),"")</f>
        <v>104</v>
      </c>
      <c r="AY98" s="67" t="str">
        <f>IFERROR(IF(COUNTIFS('Candidate Tracker'!$E:$E,'Positions Tracker'!$B98,'Candidate Tracker'!$C:$C,"Offer Drop")=0,"",COUNTIFS('Candidate Tracker'!$E:$E,'Positions Tracker'!$B98,'Candidate Tracker'!$C:$C,"Offer Drop")),"")</f>
        <v/>
      </c>
      <c r="AZ98" s="80">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0.88111888111888115</v>
      </c>
      <c r="BA98" s="81" t="str">
        <f>IFERROR(IF(COUNTIFS('Candidate Tracker'!$E:$E,'Positions Tracker'!$B98,'Candidate Tracker'!$I:$I,"Female")=0,"",COUNTIFS('Candidate Tracker'!$E:$E,'Positions Tracker'!$B98,'Candidate Tracker'!$I:$I,"Female")),"")</f>
        <v/>
      </c>
      <c r="BB98" s="81">
        <f>IFERROR(IF(COUNTIFS('Candidate Tracker'!$E:$E,'Positions Tracker'!$B98,'Candidate Tracker'!$I:$I,"male")=0,"",COUNTIFS('Candidate Tracker'!$E:$E,'Positions Tracker'!$B98,'Candidate Tracker'!$I:$I,"male")),"")</f>
        <v>1</v>
      </c>
      <c r="BC98" s="80">
        <f>IFERROR(IF(COUNTIFS('Candidate Tracker'!$E:$E,'Positions Tracker'!$B98,'Candidate Tracker'!$C:$C,"&lt;&gt;WIP",'Candidate Tracker'!$C:$C,"&lt;&gt;Hold",'Candidate Tracker'!$C:$C,"&lt;&gt;Cancelled",'Candidate Tracker'!$C:$C,"&lt;&gt;Closed")/COUNTIFS('Candidate Tracker'!$E:$E,'Positions Tracker'!$B98)=0,"",COUNTIFS('Candidate Tracker'!$E:$E,'Positions Tracker'!$B98,'Candidate Tracker'!$C:$C,"&lt;&gt;WIP",'Candidate Tracker'!$C:$C,"&lt;&gt;Hold",'Candidate Tracker'!$C:$C,"&lt;&gt;Cancelled",'Candidate Tracker'!$C:$C,"&lt;&gt;Closed")/COUNTIFS('Candidate Tracker'!$E:$E,'Positions Tracker'!$B98)),"")</f>
        <v>1</v>
      </c>
      <c r="BD98" s="67" t="str">
        <f t="shared" si="1"/>
        <v>Dec-23</v>
      </c>
      <c r="BE98" s="67" t="str">
        <f t="shared" si="2"/>
        <v>Feb-24</v>
      </c>
      <c r="BF98" s="67" t="str">
        <f t="shared" si="3"/>
        <v>Feb-24</v>
      </c>
      <c r="BG98" s="67" t="str">
        <f t="shared" si="4"/>
        <v>Mar-24</v>
      </c>
    </row>
    <row r="99" spans="1:59">
      <c r="A99" s="67">
        <f t="shared" si="8"/>
        <v>98</v>
      </c>
      <c r="B99" s="67" t="s">
        <v>508</v>
      </c>
      <c r="C99" s="67" t="s">
        <v>116</v>
      </c>
      <c r="D99" s="67" t="s">
        <v>116</v>
      </c>
      <c r="E99" s="67" t="s">
        <v>476</v>
      </c>
      <c r="F99" s="67" t="s">
        <v>468</v>
      </c>
      <c r="G99" s="67" t="s">
        <v>3</v>
      </c>
      <c r="H99" s="67" t="s">
        <v>111</v>
      </c>
      <c r="I99" s="67" t="s">
        <v>228</v>
      </c>
      <c r="J99" s="67" t="s">
        <v>70</v>
      </c>
      <c r="K99" s="68">
        <v>45198</v>
      </c>
      <c r="L99" s="68">
        <v>45198</v>
      </c>
      <c r="M99" s="68">
        <v>45289</v>
      </c>
      <c r="N99" s="67"/>
      <c r="O99" s="68"/>
      <c r="P99" s="68"/>
      <c r="Q99" s="68"/>
      <c r="R99" s="68"/>
      <c r="S99" s="68"/>
      <c r="T99" s="68"/>
      <c r="U99" s="67"/>
      <c r="V99" s="67"/>
      <c r="W99" s="67"/>
      <c r="X99" s="67" t="s">
        <v>72</v>
      </c>
      <c r="Y99" s="67" t="s">
        <v>245</v>
      </c>
      <c r="Z99" s="67" t="s">
        <v>245</v>
      </c>
      <c r="AA99" s="67" t="s">
        <v>116</v>
      </c>
      <c r="AB99" s="67"/>
      <c r="AC99" s="67"/>
      <c r="AD99" s="67"/>
      <c r="AE99" s="67" t="s">
        <v>509</v>
      </c>
      <c r="AF99" s="67">
        <v>9561479035</v>
      </c>
      <c r="AG99" s="67" t="s">
        <v>510</v>
      </c>
      <c r="AH99" s="68" t="s">
        <v>123</v>
      </c>
      <c r="AI99" s="68">
        <v>45303</v>
      </c>
      <c r="AJ99" s="68">
        <v>45329</v>
      </c>
      <c r="AK99" s="67" t="s">
        <v>72</v>
      </c>
      <c r="AL99" s="67">
        <v>2300000</v>
      </c>
      <c r="AM99" s="68">
        <f t="shared" si="13"/>
        <v>45329</v>
      </c>
      <c r="AN99" s="68">
        <v>45329</v>
      </c>
      <c r="AO99" s="68"/>
      <c r="AP99" s="68"/>
      <c r="AQ99" s="68"/>
      <c r="AR99" s="68"/>
      <c r="AS99" s="68">
        <v>45397</v>
      </c>
      <c r="AT99" s="67">
        <f t="shared" ca="1" si="9"/>
        <v>0</v>
      </c>
      <c r="AU99" s="79" t="str">
        <f t="shared" ca="1" si="10"/>
        <v/>
      </c>
      <c r="AV99" s="79" t="str" cm="1">
        <f t="array" aca="1" ref="AV99" ca="1">IFERROR(_xlfn.IFS($AU99="","",$AU99&lt;=15,"0-15",AND($AU99&gt;=16,$AU99&lt;=30),"16-30",AND($AU99&gt;=31,$AU99&lt;=45),"31-45",AND($AU99&gt;=46,$AU99&lt;=60),"46-60",AND($AU99&gt;=61,$AU99&lt;=90),"61-90",AND($AU99&gt;=91),"&gt; 90",AND($AU99&gt;=2000),""),"")</f>
        <v/>
      </c>
      <c r="AW99" s="79" cm="1">
        <f t="array" aca="1" ref="AW99" ca="1">IFERROR(_xlfn.IFS(OR($M99="",$AM99=""),"",OR($C99="Offered",$C99="Joined"),($AM99-$M99)-$AT99),"")</f>
        <v>40</v>
      </c>
      <c r="AX99" s="79" cm="1">
        <f t="array" aca="1" ref="AX99" ca="1">IFERROR(_xlfn.IFS(OR($M99="",$AS99=""),"",$C99="Joined",($AS99-$M99)-$AT99),"")</f>
        <v>108</v>
      </c>
      <c r="AY99" s="67" t="str">
        <f>IFERROR(IF(COUNTIFS('Candidate Tracker'!$E:$E,'Positions Tracker'!$B99,'Candidate Tracker'!$C:$C,"Offer Drop")=0,"",COUNTIFS('Candidate Tracker'!$E:$E,'Positions Tracker'!$B99,'Candidate Tracker'!$C:$C,"Offer Drop")),"")</f>
        <v/>
      </c>
      <c r="AZ99" s="80">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0.88111888111888115</v>
      </c>
      <c r="BA99" s="81" t="str">
        <f>IFERROR(IF(COUNTIFS('Candidate Tracker'!$E:$E,'Positions Tracker'!$B99,'Candidate Tracker'!$I:$I,"Female")=0,"",COUNTIFS('Candidate Tracker'!$E:$E,'Positions Tracker'!$B99,'Candidate Tracker'!$I:$I,"Female")),"")</f>
        <v/>
      </c>
      <c r="BB99" s="81">
        <f>IFERROR(IF(COUNTIFS('Candidate Tracker'!$E:$E,'Positions Tracker'!$B99,'Candidate Tracker'!$I:$I,"male")=0,"",COUNTIFS('Candidate Tracker'!$E:$E,'Positions Tracker'!$B99,'Candidate Tracker'!$I:$I,"male")),"")</f>
        <v>1</v>
      </c>
      <c r="BC99" s="80">
        <f>IFERROR(IF(COUNTIFS('Candidate Tracker'!$E:$E,'Positions Tracker'!$B99,'Candidate Tracker'!$C:$C,"&lt;&gt;WIP",'Candidate Tracker'!$C:$C,"&lt;&gt;Hold",'Candidate Tracker'!$C:$C,"&lt;&gt;Cancelled",'Candidate Tracker'!$C:$C,"&lt;&gt;Closed")/COUNTIFS('Candidate Tracker'!$E:$E,'Positions Tracker'!$B99)=0,"",COUNTIFS('Candidate Tracker'!$E:$E,'Positions Tracker'!$B99,'Candidate Tracker'!$C:$C,"&lt;&gt;WIP",'Candidate Tracker'!$C:$C,"&lt;&gt;Hold",'Candidate Tracker'!$C:$C,"&lt;&gt;Cancelled",'Candidate Tracker'!$C:$C,"&lt;&gt;Closed")/COUNTIFS('Candidate Tracker'!$E:$E,'Positions Tracker'!$B99)),"")</f>
        <v>1</v>
      </c>
      <c r="BD99" s="67" t="str">
        <f t="shared" si="1"/>
        <v>Dec-23</v>
      </c>
      <c r="BE99" s="67" t="str">
        <f t="shared" si="2"/>
        <v>Jan-24</v>
      </c>
      <c r="BF99" s="67" t="str">
        <f t="shared" si="3"/>
        <v>Feb-24</v>
      </c>
      <c r="BG99" s="67" t="str">
        <f t="shared" si="4"/>
        <v>Apr-24</v>
      </c>
    </row>
    <row r="100" spans="1:59">
      <c r="A100" s="67">
        <f t="shared" si="8"/>
        <v>99</v>
      </c>
      <c r="B100" s="67" t="s">
        <v>511</v>
      </c>
      <c r="C100" s="67" t="s">
        <v>116</v>
      </c>
      <c r="D100" s="67" t="s">
        <v>116</v>
      </c>
      <c r="E100" s="67" t="s">
        <v>512</v>
      </c>
      <c r="F100" s="67" t="s">
        <v>184</v>
      </c>
      <c r="G100" s="67" t="s">
        <v>3</v>
      </c>
      <c r="H100" s="67" t="s">
        <v>111</v>
      </c>
      <c r="I100" s="67" t="s">
        <v>228</v>
      </c>
      <c r="J100" s="67" t="s">
        <v>70</v>
      </c>
      <c r="K100" s="68">
        <v>45068</v>
      </c>
      <c r="L100" s="68">
        <v>45068</v>
      </c>
      <c r="M100" s="68">
        <v>45344</v>
      </c>
      <c r="N100" s="67"/>
      <c r="O100" s="68"/>
      <c r="P100" s="68"/>
      <c r="Q100" s="68"/>
      <c r="R100" s="68"/>
      <c r="S100" s="68"/>
      <c r="T100" s="68"/>
      <c r="U100" s="67"/>
      <c r="V100" s="67"/>
      <c r="W100" s="67"/>
      <c r="X100" s="67" t="s">
        <v>72</v>
      </c>
      <c r="Y100" s="67" t="s">
        <v>245</v>
      </c>
      <c r="Z100" s="67" t="s">
        <v>245</v>
      </c>
      <c r="AA100" s="67" t="s">
        <v>116</v>
      </c>
      <c r="AB100" s="67"/>
      <c r="AC100" s="67"/>
      <c r="AD100" s="67"/>
      <c r="AE100" s="67" t="s">
        <v>513</v>
      </c>
      <c r="AF100" s="67">
        <v>8983603275</v>
      </c>
      <c r="AG100" s="67" t="s">
        <v>514</v>
      </c>
      <c r="AH100" s="68" t="s">
        <v>123</v>
      </c>
      <c r="AI100" s="68">
        <v>45398</v>
      </c>
      <c r="AJ100" s="68">
        <v>45420</v>
      </c>
      <c r="AK100" s="67" t="s">
        <v>72</v>
      </c>
      <c r="AL100" s="67">
        <v>2000000</v>
      </c>
      <c r="AM100" s="68">
        <f t="shared" si="13"/>
        <v>45420</v>
      </c>
      <c r="AN100" s="68">
        <v>45420</v>
      </c>
      <c r="AO100" s="68"/>
      <c r="AP100" s="68"/>
      <c r="AQ100" s="68"/>
      <c r="AR100" s="68"/>
      <c r="AS100" s="68">
        <v>45397</v>
      </c>
      <c r="AT100" s="67">
        <f t="shared" ca="1" si="9"/>
        <v>0</v>
      </c>
      <c r="AU100" s="79" t="str">
        <f t="shared" ca="1" si="10"/>
        <v/>
      </c>
      <c r="AV100" s="79" t="str" cm="1">
        <f t="array" aca="1" ref="AV100" ca="1">IFERROR(_xlfn.IFS($AU100="","",$AU100&lt;=15,"0-15",AND($AU100&gt;=16,$AU100&lt;=30),"16-30",AND($AU100&gt;=31,$AU100&lt;=45),"31-45",AND($AU100&gt;=46,$AU100&lt;=60),"46-60",AND($AU100&gt;=61,$AU100&lt;=90),"61-90",AND($AU100&gt;=91),"&gt; 90",AND($AU100&gt;=2000),""),"")</f>
        <v/>
      </c>
      <c r="AW100" s="79" cm="1">
        <f t="array" aca="1" ref="AW100" ca="1">IFERROR(_xlfn.IFS(OR($M100="",$AM100=""),"",OR($C100="Offered",$C100="Joined"),($AM100-$M100)-$AT100),"")</f>
        <v>76</v>
      </c>
      <c r="AX100" s="79" cm="1">
        <f t="array" aca="1" ref="AX100" ca="1">IFERROR(_xlfn.IFS(OR($M100="",$AS100=""),"",$C100="Joined",($AS100-$M100)-$AT100),"")</f>
        <v>53</v>
      </c>
      <c r="AY100" s="67" t="str">
        <f>IFERROR(IF(COUNTIFS('Candidate Tracker'!$E:$E,'Positions Tracker'!$B100,'Candidate Tracker'!$C:$C,"Offer Drop")=0,"",COUNTIFS('Candidate Tracker'!$E:$E,'Positions Tracker'!$B100,'Candidate Tracker'!$C:$C,"Offer Drop")),"")</f>
        <v/>
      </c>
      <c r="AZ100" s="80">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0.88111888111888115</v>
      </c>
      <c r="BA100" s="81" t="str">
        <f>IFERROR(IF(COUNTIFS('Candidate Tracker'!$E:$E,'Positions Tracker'!$B100,'Candidate Tracker'!$I:$I,"Female")=0,"",COUNTIFS('Candidate Tracker'!$E:$E,'Positions Tracker'!$B100,'Candidate Tracker'!$I:$I,"Female")),"")</f>
        <v/>
      </c>
      <c r="BB100" s="81">
        <f>IFERROR(IF(COUNTIFS('Candidate Tracker'!$E:$E,'Positions Tracker'!$B100,'Candidate Tracker'!$I:$I,"male")=0,"",COUNTIFS('Candidate Tracker'!$E:$E,'Positions Tracker'!$B100,'Candidate Tracker'!$I:$I,"male")),"")</f>
        <v>1</v>
      </c>
      <c r="BC100" s="80">
        <f>IFERROR(IF(COUNTIFS('Candidate Tracker'!$E:$E,'Positions Tracker'!$B100,'Candidate Tracker'!$C:$C,"&lt;&gt;WIP",'Candidate Tracker'!$C:$C,"&lt;&gt;Hold",'Candidate Tracker'!$C:$C,"&lt;&gt;Cancelled",'Candidate Tracker'!$C:$C,"&lt;&gt;Closed")/COUNTIFS('Candidate Tracker'!$E:$E,'Positions Tracker'!$B100)=0,"",COUNTIFS('Candidate Tracker'!$E:$E,'Positions Tracker'!$B100,'Candidate Tracker'!$C:$C,"&lt;&gt;WIP",'Candidate Tracker'!$C:$C,"&lt;&gt;Hold",'Candidate Tracker'!$C:$C,"&lt;&gt;Cancelled",'Candidate Tracker'!$C:$C,"&lt;&gt;Closed")/COUNTIFS('Candidate Tracker'!$E:$E,'Positions Tracker'!$B100)),"")</f>
        <v>1</v>
      </c>
      <c r="BD100" s="67" t="str">
        <f t="shared" si="1"/>
        <v>Feb-24</v>
      </c>
      <c r="BE100" s="67" t="str">
        <f t="shared" si="2"/>
        <v>Apr-24</v>
      </c>
      <c r="BF100" s="67" t="str">
        <f t="shared" si="3"/>
        <v>May-24</v>
      </c>
      <c r="BG100" s="67" t="str">
        <f t="shared" si="4"/>
        <v>Apr-24</v>
      </c>
    </row>
    <row r="101" spans="1:59">
      <c r="A101" s="67">
        <f t="shared" si="8"/>
        <v>100</v>
      </c>
      <c r="B101" s="67" t="s">
        <v>515</v>
      </c>
      <c r="C101" s="67" t="s">
        <v>116</v>
      </c>
      <c r="D101" s="67" t="s">
        <v>116</v>
      </c>
      <c r="E101" s="67" t="s">
        <v>476</v>
      </c>
      <c r="F101" s="67" t="s">
        <v>468</v>
      </c>
      <c r="G101" s="67" t="s">
        <v>3</v>
      </c>
      <c r="H101" s="67" t="s">
        <v>111</v>
      </c>
      <c r="I101" s="67" t="s">
        <v>228</v>
      </c>
      <c r="J101" s="67" t="s">
        <v>70</v>
      </c>
      <c r="K101" s="68">
        <v>45177</v>
      </c>
      <c r="L101" s="68">
        <v>45177</v>
      </c>
      <c r="M101" s="68">
        <v>45299</v>
      </c>
      <c r="N101" s="67"/>
      <c r="O101" s="68"/>
      <c r="P101" s="68"/>
      <c r="Q101" s="68"/>
      <c r="R101" s="68"/>
      <c r="S101" s="68"/>
      <c r="T101" s="68"/>
      <c r="U101" s="67"/>
      <c r="V101" s="67"/>
      <c r="W101" s="67"/>
      <c r="X101" s="67" t="s">
        <v>72</v>
      </c>
      <c r="Y101" s="67" t="s">
        <v>245</v>
      </c>
      <c r="Z101" s="67" t="s">
        <v>245</v>
      </c>
      <c r="AA101" s="67" t="s">
        <v>116</v>
      </c>
      <c r="AB101" s="67"/>
      <c r="AC101" s="67"/>
      <c r="AD101" s="67"/>
      <c r="AE101" s="67" t="s">
        <v>516</v>
      </c>
      <c r="AF101" s="67" t="s">
        <v>517</v>
      </c>
      <c r="AG101" s="67" t="s">
        <v>518</v>
      </c>
      <c r="AH101" s="68" t="s">
        <v>123</v>
      </c>
      <c r="AI101" s="68">
        <v>45373</v>
      </c>
      <c r="AJ101" s="68">
        <v>45390</v>
      </c>
      <c r="AK101" s="67" t="s">
        <v>72</v>
      </c>
      <c r="AL101" s="67">
        <v>900000</v>
      </c>
      <c r="AM101" s="68">
        <f t="shared" si="13"/>
        <v>45390</v>
      </c>
      <c r="AN101" s="68">
        <v>45390</v>
      </c>
      <c r="AO101" s="68"/>
      <c r="AP101" s="68"/>
      <c r="AQ101" s="68"/>
      <c r="AR101" s="68"/>
      <c r="AS101" s="68">
        <v>45432</v>
      </c>
      <c r="AT101" s="67">
        <f t="shared" ca="1" si="9"/>
        <v>0</v>
      </c>
      <c r="AU101" s="79" t="str">
        <f t="shared" ca="1" si="10"/>
        <v/>
      </c>
      <c r="AV101" s="79" t="str" cm="1">
        <f t="array" aca="1" ref="AV101" ca="1">IFERROR(_xlfn.IFS($AU101="","",$AU101&lt;=15,"0-15",AND($AU101&gt;=16,$AU101&lt;=30),"16-30",AND($AU101&gt;=31,$AU101&lt;=45),"31-45",AND($AU101&gt;=46,$AU101&lt;=60),"46-60",AND($AU101&gt;=61,$AU101&lt;=90),"61-90",AND($AU101&gt;=91),"&gt; 90",AND($AU101&gt;=2000),""),"")</f>
        <v/>
      </c>
      <c r="AW101" s="79" cm="1">
        <f t="array" aca="1" ref="AW101" ca="1">IFERROR(_xlfn.IFS(OR($M101="",$AM101=""),"",OR($C101="Offered",$C101="Joined"),($AM101-$M101)-$AT101),"")</f>
        <v>91</v>
      </c>
      <c r="AX101" s="79" cm="1">
        <f t="array" aca="1" ref="AX101" ca="1">IFERROR(_xlfn.IFS(OR($M101="",$AS101=""),"",$C101="Joined",($AS101-$M101)-$AT101),"")</f>
        <v>133</v>
      </c>
      <c r="AY101" s="67" t="str">
        <f>IFERROR(IF(COUNTIFS('Candidate Tracker'!$E:$E,'Positions Tracker'!$B101,'Candidate Tracker'!$C:$C,"Offer Drop")=0,"",COUNTIFS('Candidate Tracker'!$E:$E,'Positions Tracker'!$B101,'Candidate Tracker'!$C:$C,"Offer Drop")),"")</f>
        <v/>
      </c>
      <c r="AZ101" s="80">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0.88111888111888115</v>
      </c>
      <c r="BA101" s="81" t="str">
        <f>IFERROR(IF(COUNTIFS('Candidate Tracker'!$E:$E,'Positions Tracker'!$B101,'Candidate Tracker'!$I:$I,"Female")=0,"",COUNTIFS('Candidate Tracker'!$E:$E,'Positions Tracker'!$B101,'Candidate Tracker'!$I:$I,"Female")),"")</f>
        <v/>
      </c>
      <c r="BB101" s="81">
        <f>IFERROR(IF(COUNTIFS('Candidate Tracker'!$E:$E,'Positions Tracker'!$B101,'Candidate Tracker'!$I:$I,"male")=0,"",COUNTIFS('Candidate Tracker'!$E:$E,'Positions Tracker'!$B101,'Candidate Tracker'!$I:$I,"male")),"")</f>
        <v>1</v>
      </c>
      <c r="BC101" s="80">
        <f>IFERROR(IF(COUNTIFS('Candidate Tracker'!$E:$E,'Positions Tracker'!$B101,'Candidate Tracker'!$C:$C,"&lt;&gt;WIP",'Candidate Tracker'!$C:$C,"&lt;&gt;Hold",'Candidate Tracker'!$C:$C,"&lt;&gt;Cancelled",'Candidate Tracker'!$C:$C,"&lt;&gt;Closed")/COUNTIFS('Candidate Tracker'!$E:$E,'Positions Tracker'!$B101)=0,"",COUNTIFS('Candidate Tracker'!$E:$E,'Positions Tracker'!$B101,'Candidate Tracker'!$C:$C,"&lt;&gt;WIP",'Candidate Tracker'!$C:$C,"&lt;&gt;Hold",'Candidate Tracker'!$C:$C,"&lt;&gt;Cancelled",'Candidate Tracker'!$C:$C,"&lt;&gt;Closed")/COUNTIFS('Candidate Tracker'!$E:$E,'Positions Tracker'!$B101)),"")</f>
        <v>1</v>
      </c>
      <c r="BD101" s="67" t="str">
        <f t="shared" si="1"/>
        <v>Jan-24</v>
      </c>
      <c r="BE101" s="67" t="str">
        <f t="shared" si="2"/>
        <v>Mar-24</v>
      </c>
      <c r="BF101" s="67" t="str">
        <f t="shared" si="3"/>
        <v>Apr-24</v>
      </c>
      <c r="BG101" s="67" t="str">
        <f t="shared" si="4"/>
        <v>May-24</v>
      </c>
    </row>
    <row r="102" spans="1:59">
      <c r="A102" s="67">
        <f t="shared" si="8"/>
        <v>101</v>
      </c>
      <c r="B102" s="67" t="s">
        <v>519</v>
      </c>
      <c r="C102" s="67" t="s">
        <v>116</v>
      </c>
      <c r="D102" s="67" t="s">
        <v>116</v>
      </c>
      <c r="E102" s="67" t="s">
        <v>472</v>
      </c>
      <c r="F102" s="67" t="s">
        <v>468</v>
      </c>
      <c r="G102" s="67" t="s">
        <v>3</v>
      </c>
      <c r="H102" s="67" t="s">
        <v>68</v>
      </c>
      <c r="I102" s="67" t="s">
        <v>69</v>
      </c>
      <c r="J102" s="67" t="s">
        <v>70</v>
      </c>
      <c r="K102" s="68">
        <v>45203</v>
      </c>
      <c r="L102" s="68">
        <v>45203</v>
      </c>
      <c r="M102" s="68">
        <v>45295</v>
      </c>
      <c r="N102" s="67"/>
      <c r="O102" s="68"/>
      <c r="P102" s="68"/>
      <c r="Q102" s="68"/>
      <c r="R102" s="68"/>
      <c r="S102" s="68"/>
      <c r="T102" s="68"/>
      <c r="U102" s="67"/>
      <c r="V102" s="67"/>
      <c r="W102" s="67"/>
      <c r="X102" s="67" t="s">
        <v>72</v>
      </c>
      <c r="Y102" s="67" t="s">
        <v>245</v>
      </c>
      <c r="Z102" s="67" t="s">
        <v>245</v>
      </c>
      <c r="AA102" s="67" t="s">
        <v>116</v>
      </c>
      <c r="AB102" s="67"/>
      <c r="AC102" s="67"/>
      <c r="AD102" s="67"/>
      <c r="AE102" s="67" t="s">
        <v>520</v>
      </c>
      <c r="AF102" s="67">
        <v>9720572067</v>
      </c>
      <c r="AG102" s="67" t="s">
        <v>521</v>
      </c>
      <c r="AH102" s="68" t="s">
        <v>123</v>
      </c>
      <c r="AI102" s="68">
        <v>45357</v>
      </c>
      <c r="AJ102" s="68">
        <v>45371</v>
      </c>
      <c r="AK102" s="67" t="s">
        <v>72</v>
      </c>
      <c r="AL102" s="67">
        <v>2400000</v>
      </c>
      <c r="AM102" s="68">
        <f t="shared" si="13"/>
        <v>45371</v>
      </c>
      <c r="AN102" s="68">
        <v>45371</v>
      </c>
      <c r="AO102" s="68"/>
      <c r="AP102" s="68"/>
      <c r="AQ102" s="68"/>
      <c r="AR102" s="68"/>
      <c r="AS102" s="68">
        <v>45433</v>
      </c>
      <c r="AT102" s="67">
        <f t="shared" ca="1" si="9"/>
        <v>0</v>
      </c>
      <c r="AU102" s="79" t="str">
        <f t="shared" ca="1" si="10"/>
        <v/>
      </c>
      <c r="AV102" s="79" t="str" cm="1">
        <f t="array" aca="1" ref="AV102" ca="1">IFERROR(_xlfn.IFS($AU102="","",$AU102&lt;=15,"0-15",AND($AU102&gt;=16,$AU102&lt;=30),"16-30",AND($AU102&gt;=31,$AU102&lt;=45),"31-45",AND($AU102&gt;=46,$AU102&lt;=60),"46-60",AND($AU102&gt;=61,$AU102&lt;=90),"61-90",AND($AU102&gt;=91),"&gt; 90",AND($AU102&gt;=2000),""),"")</f>
        <v/>
      </c>
      <c r="AW102" s="79" cm="1">
        <f t="array" aca="1" ref="AW102" ca="1">IFERROR(_xlfn.IFS(OR($M102="",$AM102=""),"",OR($C102="Offered",$C102="Joined"),($AM102-$M102)-$AT102),"")</f>
        <v>76</v>
      </c>
      <c r="AX102" s="79" cm="1">
        <f t="array" aca="1" ref="AX102" ca="1">IFERROR(_xlfn.IFS(OR($M102="",$AS102=""),"",$C102="Joined",($AS102-$M102)-$AT102),"")</f>
        <v>138</v>
      </c>
      <c r="AY102" s="67" t="str">
        <f>IFERROR(IF(COUNTIFS('Candidate Tracker'!$E:$E,'Positions Tracker'!$B102,'Candidate Tracker'!$C:$C,"Offer Drop")=0,"",COUNTIFS('Candidate Tracker'!$E:$E,'Positions Tracker'!$B102,'Candidate Tracker'!$C:$C,"Offer Drop")),"")</f>
        <v/>
      </c>
      <c r="AZ102" s="80">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0.88111888111888115</v>
      </c>
      <c r="BA102" s="81">
        <f>IFERROR(IF(COUNTIFS('Candidate Tracker'!$E:$E,'Positions Tracker'!$B102,'Candidate Tracker'!$I:$I,"Female")=0,"",COUNTIFS('Candidate Tracker'!$E:$E,'Positions Tracker'!$B102,'Candidate Tracker'!$I:$I,"Female")),"")</f>
        <v>1</v>
      </c>
      <c r="BB102" s="81" t="str">
        <f>IFERROR(IF(COUNTIFS('Candidate Tracker'!$E:$E,'Positions Tracker'!$B102,'Candidate Tracker'!$I:$I,"male")=0,"",COUNTIFS('Candidate Tracker'!$E:$E,'Positions Tracker'!$B102,'Candidate Tracker'!$I:$I,"male")),"")</f>
        <v/>
      </c>
      <c r="BC102" s="80">
        <f>IFERROR(IF(COUNTIFS('Candidate Tracker'!$E:$E,'Positions Tracker'!$B102,'Candidate Tracker'!$C:$C,"&lt;&gt;WIP",'Candidate Tracker'!$C:$C,"&lt;&gt;Hold",'Candidate Tracker'!$C:$C,"&lt;&gt;Cancelled",'Candidate Tracker'!$C:$C,"&lt;&gt;Closed")/COUNTIFS('Candidate Tracker'!$E:$E,'Positions Tracker'!$B102)=0,"",COUNTIFS('Candidate Tracker'!$E:$E,'Positions Tracker'!$B102,'Candidate Tracker'!$C:$C,"&lt;&gt;WIP",'Candidate Tracker'!$C:$C,"&lt;&gt;Hold",'Candidate Tracker'!$C:$C,"&lt;&gt;Cancelled",'Candidate Tracker'!$C:$C,"&lt;&gt;Closed")/COUNTIFS('Candidate Tracker'!$E:$E,'Positions Tracker'!$B102)),"")</f>
        <v>1</v>
      </c>
      <c r="BD102" s="67" t="str">
        <f t="shared" si="1"/>
        <v>Jan-24</v>
      </c>
      <c r="BE102" s="67" t="str">
        <f t="shared" si="2"/>
        <v>Mar-24</v>
      </c>
      <c r="BF102" s="67" t="str">
        <f t="shared" si="3"/>
        <v>Mar-24</v>
      </c>
      <c r="BG102" s="67" t="str">
        <f t="shared" si="4"/>
        <v>May-24</v>
      </c>
    </row>
    <row r="103" spans="1:59">
      <c r="A103" s="67">
        <f t="shared" si="8"/>
        <v>102</v>
      </c>
      <c r="B103" s="67" t="s">
        <v>522</v>
      </c>
      <c r="C103" s="67" t="s">
        <v>116</v>
      </c>
      <c r="D103" s="67" t="s">
        <v>116</v>
      </c>
      <c r="E103" s="67" t="s">
        <v>523</v>
      </c>
      <c r="F103" s="67" t="s">
        <v>468</v>
      </c>
      <c r="G103" s="67" t="s">
        <v>3</v>
      </c>
      <c r="H103" s="67" t="s">
        <v>68</v>
      </c>
      <c r="I103" s="67" t="s">
        <v>69</v>
      </c>
      <c r="J103" s="67" t="s">
        <v>70</v>
      </c>
      <c r="K103" s="68">
        <v>45264</v>
      </c>
      <c r="L103" s="68">
        <v>45264</v>
      </c>
      <c r="M103" s="68">
        <v>45355</v>
      </c>
      <c r="N103" s="67"/>
      <c r="O103" s="68"/>
      <c r="P103" s="68"/>
      <c r="Q103" s="68"/>
      <c r="R103" s="68"/>
      <c r="S103" s="68"/>
      <c r="T103" s="68"/>
      <c r="U103" s="67"/>
      <c r="V103" s="67"/>
      <c r="W103" s="67"/>
      <c r="X103" s="67" t="s">
        <v>72</v>
      </c>
      <c r="Y103" s="67" t="s">
        <v>245</v>
      </c>
      <c r="Z103" s="67" t="s">
        <v>245</v>
      </c>
      <c r="AA103" s="67" t="s">
        <v>116</v>
      </c>
      <c r="AB103" s="67"/>
      <c r="AC103" s="67"/>
      <c r="AD103" s="67"/>
      <c r="AE103" s="67" t="s">
        <v>524</v>
      </c>
      <c r="AF103" s="67">
        <v>8237253283</v>
      </c>
      <c r="AG103" s="67" t="s">
        <v>525</v>
      </c>
      <c r="AH103" s="68" t="s">
        <v>123</v>
      </c>
      <c r="AI103" s="68">
        <v>45421</v>
      </c>
      <c r="AJ103" s="68">
        <v>45428</v>
      </c>
      <c r="AK103" s="67" t="s">
        <v>72</v>
      </c>
      <c r="AL103" s="67">
        <v>2500000</v>
      </c>
      <c r="AM103" s="68">
        <f t="shared" si="13"/>
        <v>45428</v>
      </c>
      <c r="AN103" s="68">
        <v>45428</v>
      </c>
      <c r="AO103" s="68"/>
      <c r="AP103" s="68"/>
      <c r="AQ103" s="68"/>
      <c r="AR103" s="68"/>
      <c r="AS103" s="68">
        <v>45418</v>
      </c>
      <c r="AT103" s="67">
        <f t="shared" ca="1" si="9"/>
        <v>0</v>
      </c>
      <c r="AU103" s="79" t="str">
        <f t="shared" ca="1" si="10"/>
        <v/>
      </c>
      <c r="AV103" s="79" t="str" cm="1">
        <f t="array" aca="1" ref="AV103" ca="1">IFERROR(_xlfn.IFS($AU103="","",$AU103&lt;=15,"0-15",AND($AU103&gt;=16,$AU103&lt;=30),"16-30",AND($AU103&gt;=31,$AU103&lt;=45),"31-45",AND($AU103&gt;=46,$AU103&lt;=60),"46-60",AND($AU103&gt;=61,$AU103&lt;=90),"61-90",AND($AU103&gt;=91),"&gt; 90",AND($AU103&gt;=2000),""),"")</f>
        <v/>
      </c>
      <c r="AW103" s="79" cm="1">
        <f t="array" aca="1" ref="AW103" ca="1">IFERROR(_xlfn.IFS(OR($M103="",$AM103=""),"",OR($C103="Offered",$C103="Joined"),($AM103-$M103)-$AT103),"")</f>
        <v>73</v>
      </c>
      <c r="AX103" s="79" cm="1">
        <f t="array" aca="1" ref="AX103" ca="1">IFERROR(_xlfn.IFS(OR($M103="",$AS103=""),"",$C103="Joined",($AS103-$M103)-$AT103),"")</f>
        <v>63</v>
      </c>
      <c r="AY103" s="67" t="str">
        <f>IFERROR(IF(COUNTIFS('Candidate Tracker'!$E:$E,'Positions Tracker'!$B103,'Candidate Tracker'!$C:$C,"Offer Drop")=0,"",COUNTIFS('Candidate Tracker'!$E:$E,'Positions Tracker'!$B103,'Candidate Tracker'!$C:$C,"Offer Drop")),"")</f>
        <v/>
      </c>
      <c r="AZ103" s="80">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0.88111888111888115</v>
      </c>
      <c r="BA103" s="81" t="str">
        <f>IFERROR(IF(COUNTIFS('Candidate Tracker'!$E:$E,'Positions Tracker'!$B103,'Candidate Tracker'!$I:$I,"Female")=0,"",COUNTIFS('Candidate Tracker'!$E:$E,'Positions Tracker'!$B103,'Candidate Tracker'!$I:$I,"Female")),"")</f>
        <v/>
      </c>
      <c r="BB103" s="81">
        <f>IFERROR(IF(COUNTIFS('Candidate Tracker'!$E:$E,'Positions Tracker'!$B103,'Candidate Tracker'!$I:$I,"male")=0,"",COUNTIFS('Candidate Tracker'!$E:$E,'Positions Tracker'!$B103,'Candidate Tracker'!$I:$I,"male")),"")</f>
        <v>1</v>
      </c>
      <c r="BC103" s="80">
        <f>IFERROR(IF(COUNTIFS('Candidate Tracker'!$E:$E,'Positions Tracker'!$B103,'Candidate Tracker'!$C:$C,"&lt;&gt;WIP",'Candidate Tracker'!$C:$C,"&lt;&gt;Hold",'Candidate Tracker'!$C:$C,"&lt;&gt;Cancelled",'Candidate Tracker'!$C:$C,"&lt;&gt;Closed")/COUNTIFS('Candidate Tracker'!$E:$E,'Positions Tracker'!$B103)=0,"",COUNTIFS('Candidate Tracker'!$E:$E,'Positions Tracker'!$B103,'Candidate Tracker'!$C:$C,"&lt;&gt;WIP",'Candidate Tracker'!$C:$C,"&lt;&gt;Hold",'Candidate Tracker'!$C:$C,"&lt;&gt;Cancelled",'Candidate Tracker'!$C:$C,"&lt;&gt;Closed")/COUNTIFS('Candidate Tracker'!$E:$E,'Positions Tracker'!$B103)),"")</f>
        <v>1</v>
      </c>
      <c r="BD103" s="67" t="str">
        <f t="shared" si="1"/>
        <v>Mar-24</v>
      </c>
      <c r="BE103" s="67" t="str">
        <f t="shared" si="2"/>
        <v>May-24</v>
      </c>
      <c r="BF103" s="67" t="str">
        <f t="shared" si="3"/>
        <v>May-24</v>
      </c>
      <c r="BG103" s="67" t="str">
        <f t="shared" si="4"/>
        <v>May-24</v>
      </c>
    </row>
    <row r="104" spans="1:59">
      <c r="A104" s="67">
        <f t="shared" si="8"/>
        <v>103</v>
      </c>
      <c r="B104" s="67" t="s">
        <v>526</v>
      </c>
      <c r="C104" s="67" t="s">
        <v>116</v>
      </c>
      <c r="D104" s="67" t="s">
        <v>116</v>
      </c>
      <c r="E104" s="67" t="s">
        <v>393</v>
      </c>
      <c r="F104" s="67" t="s">
        <v>158</v>
      </c>
      <c r="G104" s="67" t="s">
        <v>3</v>
      </c>
      <c r="H104" s="67" t="s">
        <v>111</v>
      </c>
      <c r="I104" s="67" t="s">
        <v>228</v>
      </c>
      <c r="J104" s="67" t="s">
        <v>70</v>
      </c>
      <c r="K104" s="68">
        <v>45226</v>
      </c>
      <c r="L104" s="68">
        <v>45226</v>
      </c>
      <c r="M104" s="68">
        <v>45349</v>
      </c>
      <c r="N104" s="67"/>
      <c r="O104" s="68"/>
      <c r="P104" s="68"/>
      <c r="Q104" s="68"/>
      <c r="R104" s="68"/>
      <c r="S104" s="68"/>
      <c r="T104" s="68"/>
      <c r="U104" s="67"/>
      <c r="V104" s="67"/>
      <c r="W104" s="67"/>
      <c r="X104" s="67" t="s">
        <v>72</v>
      </c>
      <c r="Y104" s="67" t="s">
        <v>245</v>
      </c>
      <c r="Z104" s="67" t="s">
        <v>245</v>
      </c>
      <c r="AA104" s="67" t="s">
        <v>116</v>
      </c>
      <c r="AB104" s="67"/>
      <c r="AC104" s="67"/>
      <c r="AD104" s="67"/>
      <c r="AE104" s="67" t="s">
        <v>527</v>
      </c>
      <c r="AF104" s="67">
        <v>9813929007</v>
      </c>
      <c r="AG104" s="67"/>
      <c r="AH104" s="68" t="s">
        <v>123</v>
      </c>
      <c r="AI104" s="68">
        <v>45398</v>
      </c>
      <c r="AJ104" s="68">
        <v>45384</v>
      </c>
      <c r="AK104" s="67" t="s">
        <v>72</v>
      </c>
      <c r="AL104" s="67">
        <v>800000</v>
      </c>
      <c r="AM104" s="68">
        <v>45420</v>
      </c>
      <c r="AN104" s="68">
        <v>45384</v>
      </c>
      <c r="AO104" s="68"/>
      <c r="AP104" s="68"/>
      <c r="AQ104" s="68"/>
      <c r="AR104" s="68"/>
      <c r="AS104" s="68">
        <v>45427</v>
      </c>
      <c r="AT104" s="67">
        <f t="shared" ca="1" si="9"/>
        <v>0</v>
      </c>
      <c r="AU104" s="79" t="str">
        <f t="shared" ca="1" si="10"/>
        <v/>
      </c>
      <c r="AV104" s="79" t="str" cm="1">
        <f t="array" aca="1" ref="AV104" ca="1">IFERROR(_xlfn.IFS($AU104="","",$AU104&lt;=15,"0-15",AND($AU104&gt;=16,$AU104&lt;=30),"16-30",AND($AU104&gt;=31,$AU104&lt;=45),"31-45",AND($AU104&gt;=46,$AU104&lt;=60),"46-60",AND($AU104&gt;=61,$AU104&lt;=90),"61-90",AND($AU104&gt;=91),"&gt; 90",AND($AU104&gt;=2000),""),"")</f>
        <v/>
      </c>
      <c r="AW104" s="79" cm="1">
        <f t="array" aca="1" ref="AW104" ca="1">IFERROR(_xlfn.IFS(OR($M104="",$AM104=""),"",OR($C104="Offered",$C104="Joined"),($AM104-$M104)-$AT104),"")</f>
        <v>71</v>
      </c>
      <c r="AX104" s="79" cm="1">
        <f t="array" aca="1" ref="AX104" ca="1">IFERROR(_xlfn.IFS(OR($M104="",$AS104=""),"",$C104="Joined",($AS104-$M104)-$AT104),"")</f>
        <v>78</v>
      </c>
      <c r="AY104" s="67" t="str">
        <f>IFERROR(IF(COUNTIFS('Candidate Tracker'!$E:$E,'Positions Tracker'!$B104,'Candidate Tracker'!$C:$C,"Offer Drop")=0,"",COUNTIFS('Candidate Tracker'!$E:$E,'Positions Tracker'!$B104,'Candidate Tracker'!$C:$C,"Offer Drop")),"")</f>
        <v/>
      </c>
      <c r="AZ104" s="80">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0.88111888111888115</v>
      </c>
      <c r="BA104" s="81" t="str">
        <f>IFERROR(IF(COUNTIFS('Candidate Tracker'!$E:$E,'Positions Tracker'!$B104,'Candidate Tracker'!$I:$I,"Female")=0,"",COUNTIFS('Candidate Tracker'!$E:$E,'Positions Tracker'!$B104,'Candidate Tracker'!$I:$I,"Female")),"")</f>
        <v/>
      </c>
      <c r="BB104" s="81">
        <f>IFERROR(IF(COUNTIFS('Candidate Tracker'!$E:$E,'Positions Tracker'!$B104,'Candidate Tracker'!$I:$I,"male")=0,"",COUNTIFS('Candidate Tracker'!$E:$E,'Positions Tracker'!$B104,'Candidate Tracker'!$I:$I,"male")),"")</f>
        <v>1</v>
      </c>
      <c r="BC104" s="80">
        <f>IFERROR(IF(COUNTIFS('Candidate Tracker'!$E:$E,'Positions Tracker'!$B104,'Candidate Tracker'!$C:$C,"&lt;&gt;WIP",'Candidate Tracker'!$C:$C,"&lt;&gt;Hold",'Candidate Tracker'!$C:$C,"&lt;&gt;Cancelled",'Candidate Tracker'!$C:$C,"&lt;&gt;Closed")/COUNTIFS('Candidate Tracker'!$E:$E,'Positions Tracker'!$B104)=0,"",COUNTIFS('Candidate Tracker'!$E:$E,'Positions Tracker'!$B104,'Candidate Tracker'!$C:$C,"&lt;&gt;WIP",'Candidate Tracker'!$C:$C,"&lt;&gt;Hold",'Candidate Tracker'!$C:$C,"&lt;&gt;Cancelled",'Candidate Tracker'!$C:$C,"&lt;&gt;Closed")/COUNTIFS('Candidate Tracker'!$E:$E,'Positions Tracker'!$B104)),"")</f>
        <v>1</v>
      </c>
      <c r="BD104" s="67" t="str">
        <f t="shared" si="1"/>
        <v>Feb-24</v>
      </c>
      <c r="BE104" s="67" t="str">
        <f t="shared" si="2"/>
        <v>Apr-24</v>
      </c>
      <c r="BF104" s="67" t="str">
        <f t="shared" si="3"/>
        <v>May-24</v>
      </c>
      <c r="BG104" s="67" t="str">
        <f t="shared" si="4"/>
        <v>May-24</v>
      </c>
    </row>
    <row r="105" spans="1:59">
      <c r="A105" s="67">
        <f t="shared" si="8"/>
        <v>104</v>
      </c>
      <c r="B105" s="67" t="s">
        <v>528</v>
      </c>
      <c r="C105" s="67" t="s">
        <v>116</v>
      </c>
      <c r="D105" s="67" t="s">
        <v>116</v>
      </c>
      <c r="E105" s="67" t="s">
        <v>529</v>
      </c>
      <c r="F105" s="67" t="s">
        <v>453</v>
      </c>
      <c r="G105" s="67" t="s">
        <v>3</v>
      </c>
      <c r="H105" s="67" t="s">
        <v>345</v>
      </c>
      <c r="I105" s="67" t="s">
        <v>530</v>
      </c>
      <c r="J105" s="67" t="s">
        <v>70</v>
      </c>
      <c r="K105" s="68">
        <v>45282</v>
      </c>
      <c r="L105" s="68">
        <v>45282</v>
      </c>
      <c r="M105" s="68">
        <v>45313</v>
      </c>
      <c r="N105" s="67"/>
      <c r="O105" s="68"/>
      <c r="P105" s="68"/>
      <c r="Q105" s="68"/>
      <c r="R105" s="68"/>
      <c r="S105" s="68"/>
      <c r="T105" s="68"/>
      <c r="U105" s="67"/>
      <c r="V105" s="67"/>
      <c r="W105" s="67"/>
      <c r="X105" s="67" t="s">
        <v>72</v>
      </c>
      <c r="Y105" s="67" t="s">
        <v>245</v>
      </c>
      <c r="Z105" s="67" t="s">
        <v>245</v>
      </c>
      <c r="AA105" s="67" t="s">
        <v>116</v>
      </c>
      <c r="AB105" s="67"/>
      <c r="AC105" s="67"/>
      <c r="AD105" s="67"/>
      <c r="AE105" s="67" t="s">
        <v>531</v>
      </c>
      <c r="AF105" s="67">
        <v>9510446790</v>
      </c>
      <c r="AG105" s="67" t="s">
        <v>532</v>
      </c>
      <c r="AH105" s="68" t="s">
        <v>123</v>
      </c>
      <c r="AI105" s="68">
        <v>45373</v>
      </c>
      <c r="AJ105" s="68">
        <v>45390</v>
      </c>
      <c r="AK105" s="67" t="s">
        <v>72</v>
      </c>
      <c r="AL105" s="67">
        <v>2575000</v>
      </c>
      <c r="AM105" s="68">
        <v>45390</v>
      </c>
      <c r="AN105" s="68">
        <v>45390</v>
      </c>
      <c r="AO105" s="68"/>
      <c r="AP105" s="68"/>
      <c r="AQ105" s="68"/>
      <c r="AR105" s="68"/>
      <c r="AS105" s="68">
        <v>45432</v>
      </c>
      <c r="AT105" s="67">
        <f t="shared" ca="1" si="9"/>
        <v>0</v>
      </c>
      <c r="AU105" s="79" t="str">
        <f t="shared" ca="1" si="10"/>
        <v/>
      </c>
      <c r="AV105" s="79" t="str" cm="1">
        <f t="array" aca="1" ref="AV105" ca="1">IFERROR(_xlfn.IFS($AU105="","",$AU105&lt;=15,"0-15",AND($AU105&gt;=16,$AU105&lt;=30),"16-30",AND($AU105&gt;=31,$AU105&lt;=45),"31-45",AND($AU105&gt;=46,$AU105&lt;=60),"46-60",AND($AU105&gt;=61,$AU105&lt;=90),"61-90",AND($AU105&gt;=91),"&gt; 90",AND($AU105&gt;=2000),""),"")</f>
        <v/>
      </c>
      <c r="AW105" s="79" cm="1">
        <f t="array" aca="1" ref="AW105" ca="1">IFERROR(_xlfn.IFS(OR($M105="",$AM105=""),"",OR($C105="Offered",$C105="Joined"),($AM105-$M105)-$AT105),"")</f>
        <v>77</v>
      </c>
      <c r="AX105" s="79" cm="1">
        <f t="array" aca="1" ref="AX105" ca="1">IFERROR(_xlfn.IFS(OR($M105="",$AS105=""),"",$C105="Joined",($AS105-$M105)-$AT105),"")</f>
        <v>119</v>
      </c>
      <c r="AY105" s="67" t="str">
        <f>IFERROR(IF(COUNTIFS('Candidate Tracker'!$E:$E,'Positions Tracker'!$B105,'Candidate Tracker'!$C:$C,"Offer Drop")=0,"",COUNTIFS('Candidate Tracker'!$E:$E,'Positions Tracker'!$B105,'Candidate Tracker'!$C:$C,"Offer Drop")),"")</f>
        <v/>
      </c>
      <c r="AZ105" s="80">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0.88111888111888115</v>
      </c>
      <c r="BA105" s="81" t="str">
        <f>IFERROR(IF(COUNTIFS('Candidate Tracker'!$E:$E,'Positions Tracker'!$B105,'Candidate Tracker'!$I:$I,"Female")=0,"",COUNTIFS('Candidate Tracker'!$E:$E,'Positions Tracker'!$B105,'Candidate Tracker'!$I:$I,"Female")),"")</f>
        <v/>
      </c>
      <c r="BB105" s="81">
        <f>IFERROR(IF(COUNTIFS('Candidate Tracker'!$E:$E,'Positions Tracker'!$B105,'Candidate Tracker'!$I:$I,"male")=0,"",COUNTIFS('Candidate Tracker'!$E:$E,'Positions Tracker'!$B105,'Candidate Tracker'!$I:$I,"male")),"")</f>
        <v>1</v>
      </c>
      <c r="BC105" s="80">
        <f>IFERROR(IF(COUNTIFS('Candidate Tracker'!$E:$E,'Positions Tracker'!$B105,'Candidate Tracker'!$C:$C,"&lt;&gt;WIP",'Candidate Tracker'!$C:$C,"&lt;&gt;Hold",'Candidate Tracker'!$C:$C,"&lt;&gt;Cancelled",'Candidate Tracker'!$C:$C,"&lt;&gt;Closed")/COUNTIFS('Candidate Tracker'!$E:$E,'Positions Tracker'!$B105)=0,"",COUNTIFS('Candidate Tracker'!$E:$E,'Positions Tracker'!$B105,'Candidate Tracker'!$C:$C,"&lt;&gt;WIP",'Candidate Tracker'!$C:$C,"&lt;&gt;Hold",'Candidate Tracker'!$C:$C,"&lt;&gt;Cancelled",'Candidate Tracker'!$C:$C,"&lt;&gt;Closed")/COUNTIFS('Candidate Tracker'!$E:$E,'Positions Tracker'!$B105)),"")</f>
        <v>1</v>
      </c>
      <c r="BD105" s="67" t="str">
        <f t="shared" si="1"/>
        <v>Jan-24</v>
      </c>
      <c r="BE105" s="67" t="str">
        <f t="shared" si="2"/>
        <v>Mar-24</v>
      </c>
      <c r="BF105" s="67" t="str">
        <f t="shared" si="3"/>
        <v>Apr-24</v>
      </c>
      <c r="BG105" s="67" t="str">
        <f t="shared" si="4"/>
        <v>May-24</v>
      </c>
    </row>
    <row r="106" spans="1:59">
      <c r="A106" s="67">
        <f t="shared" si="8"/>
        <v>105</v>
      </c>
      <c r="B106" s="67" t="s">
        <v>533</v>
      </c>
      <c r="C106" s="67" t="s">
        <v>116</v>
      </c>
      <c r="D106" s="67" t="s">
        <v>116</v>
      </c>
      <c r="E106" s="67" t="s">
        <v>534</v>
      </c>
      <c r="F106" s="67" t="s">
        <v>535</v>
      </c>
      <c r="G106" s="67" t="s">
        <v>3</v>
      </c>
      <c r="H106" s="67" t="s">
        <v>68</v>
      </c>
      <c r="I106" s="67" t="s">
        <v>69</v>
      </c>
      <c r="J106" s="67" t="s">
        <v>70</v>
      </c>
      <c r="K106" s="68">
        <v>45442</v>
      </c>
      <c r="L106" s="68">
        <v>45442</v>
      </c>
      <c r="M106" s="68">
        <v>45442</v>
      </c>
      <c r="N106" s="67"/>
      <c r="O106" s="68"/>
      <c r="P106" s="68"/>
      <c r="Q106" s="68"/>
      <c r="R106" s="68"/>
      <c r="S106" s="68"/>
      <c r="T106" s="68"/>
      <c r="U106" s="67"/>
      <c r="V106" s="67"/>
      <c r="W106" s="67"/>
      <c r="X106" s="67" t="s">
        <v>72</v>
      </c>
      <c r="Y106" s="67" t="s">
        <v>245</v>
      </c>
      <c r="Z106" s="67" t="s">
        <v>245</v>
      </c>
      <c r="AA106" s="67" t="s">
        <v>116</v>
      </c>
      <c r="AB106" s="67"/>
      <c r="AC106" s="67"/>
      <c r="AD106" s="67"/>
      <c r="AE106" s="67" t="s">
        <v>536</v>
      </c>
      <c r="AF106" s="67">
        <v>9096014822</v>
      </c>
      <c r="AG106" s="67" t="s">
        <v>537</v>
      </c>
      <c r="AH106" s="68" t="s">
        <v>123</v>
      </c>
      <c r="AI106" s="68">
        <v>45361</v>
      </c>
      <c r="AJ106" s="68">
        <v>45384</v>
      </c>
      <c r="AK106" s="67" t="s">
        <v>72</v>
      </c>
      <c r="AL106" s="67">
        <v>1000000</v>
      </c>
      <c r="AM106" s="68">
        <f>AN106</f>
        <v>45384</v>
      </c>
      <c r="AN106" s="68">
        <v>45384</v>
      </c>
      <c r="AO106" s="68"/>
      <c r="AP106" s="68"/>
      <c r="AQ106" s="68"/>
      <c r="AR106" s="68"/>
      <c r="AS106" s="68">
        <v>45433</v>
      </c>
      <c r="AT106" s="67">
        <f t="shared" ca="1" si="9"/>
        <v>0</v>
      </c>
      <c r="AU106" s="79" t="str">
        <f t="shared" ca="1" si="10"/>
        <v/>
      </c>
      <c r="AV106" s="79" t="str" cm="1">
        <f t="array" aca="1" ref="AV106" ca="1">IFERROR(_xlfn.IFS($AU106="","",$AU106&lt;=15,"0-15",AND($AU106&gt;=16,$AU106&lt;=30),"16-30",AND($AU106&gt;=31,$AU106&lt;=45),"31-45",AND($AU106&gt;=46,$AU106&lt;=60),"46-60",AND($AU106&gt;=61,$AU106&lt;=90),"61-90",AND($AU106&gt;=91),"&gt; 90",AND($AU106&gt;=2000),""),"")</f>
        <v/>
      </c>
      <c r="AW106" s="79" cm="1">
        <f t="array" aca="1" ref="AW106" ca="1">IFERROR(_xlfn.IFS(OR($M106="",$AM106=""),"",OR($C106="Offered",$C106="Joined"),($AM106-$M106)-$AT106),"")</f>
        <v>-58</v>
      </c>
      <c r="AX106" s="79" cm="1">
        <f t="array" aca="1" ref="AX106" ca="1">IFERROR(_xlfn.IFS(OR($M106="",$AS106=""),"",$C106="Joined",($AS106-$M106)-$AT106),"")</f>
        <v>-9</v>
      </c>
      <c r="AY106" s="67" t="str">
        <f>IFERROR(IF(COUNTIFS('Candidate Tracker'!$E:$E,'Positions Tracker'!$B106,'Candidate Tracker'!$C:$C,"Offer Drop")=0,"",COUNTIFS('Candidate Tracker'!$E:$E,'Positions Tracker'!$B106,'Candidate Tracker'!$C:$C,"Offer Drop")),"")</f>
        <v/>
      </c>
      <c r="AZ106" s="80">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0.88111888111888115</v>
      </c>
      <c r="BA106" s="81" t="str">
        <f>IFERROR(IF(COUNTIFS('Candidate Tracker'!$E:$E,'Positions Tracker'!$B106,'Candidate Tracker'!$I:$I,"Female")=0,"",COUNTIFS('Candidate Tracker'!$E:$E,'Positions Tracker'!$B106,'Candidate Tracker'!$I:$I,"Female")),"")</f>
        <v/>
      </c>
      <c r="BB106" s="81">
        <f>IFERROR(IF(COUNTIFS('Candidate Tracker'!$E:$E,'Positions Tracker'!$B106,'Candidate Tracker'!$I:$I,"male")=0,"",COUNTIFS('Candidate Tracker'!$E:$E,'Positions Tracker'!$B106,'Candidate Tracker'!$I:$I,"male")),"")</f>
        <v>1</v>
      </c>
      <c r="BC106" s="80">
        <f>IFERROR(IF(COUNTIFS('Candidate Tracker'!$E:$E,'Positions Tracker'!$B106,'Candidate Tracker'!$C:$C,"&lt;&gt;WIP",'Candidate Tracker'!$C:$C,"&lt;&gt;Hold",'Candidate Tracker'!$C:$C,"&lt;&gt;Cancelled",'Candidate Tracker'!$C:$C,"&lt;&gt;Closed")/COUNTIFS('Candidate Tracker'!$E:$E,'Positions Tracker'!$B106)=0,"",COUNTIFS('Candidate Tracker'!$E:$E,'Positions Tracker'!$B106,'Candidate Tracker'!$C:$C,"&lt;&gt;WIP",'Candidate Tracker'!$C:$C,"&lt;&gt;Hold",'Candidate Tracker'!$C:$C,"&lt;&gt;Cancelled",'Candidate Tracker'!$C:$C,"&lt;&gt;Closed")/COUNTIFS('Candidate Tracker'!$E:$E,'Positions Tracker'!$B106)),"")</f>
        <v>1</v>
      </c>
      <c r="BD106" s="67" t="str">
        <f t="shared" si="1"/>
        <v>May-24</v>
      </c>
      <c r="BE106" s="67" t="str">
        <f t="shared" si="2"/>
        <v>Mar-24</v>
      </c>
      <c r="BF106" s="67" t="str">
        <f t="shared" si="3"/>
        <v>Apr-24</v>
      </c>
      <c r="BG106" s="67" t="str">
        <f t="shared" si="4"/>
        <v>May-24</v>
      </c>
    </row>
    <row r="107" spans="1:59">
      <c r="A107" s="67">
        <f t="shared" si="8"/>
        <v>106</v>
      </c>
      <c r="B107" s="67" t="s">
        <v>538</v>
      </c>
      <c r="C107" s="67" t="s">
        <v>116</v>
      </c>
      <c r="D107" s="67" t="s">
        <v>116</v>
      </c>
      <c r="E107" s="67" t="s">
        <v>539</v>
      </c>
      <c r="F107" s="67" t="s">
        <v>468</v>
      </c>
      <c r="G107" s="67" t="s">
        <v>3</v>
      </c>
      <c r="H107" s="67" t="s">
        <v>68</v>
      </c>
      <c r="I107" s="67" t="s">
        <v>69</v>
      </c>
      <c r="J107" s="67" t="s">
        <v>70</v>
      </c>
      <c r="K107" s="68">
        <v>45322</v>
      </c>
      <c r="L107" s="68">
        <v>45322</v>
      </c>
      <c r="M107" s="68">
        <v>45322</v>
      </c>
      <c r="N107" s="67"/>
      <c r="O107" s="68"/>
      <c r="P107" s="68"/>
      <c r="Q107" s="68"/>
      <c r="R107" s="68"/>
      <c r="S107" s="68"/>
      <c r="T107" s="68"/>
      <c r="U107" s="67"/>
      <c r="V107" s="67"/>
      <c r="W107" s="67"/>
      <c r="X107" s="67" t="s">
        <v>72</v>
      </c>
      <c r="Y107" s="67" t="s">
        <v>245</v>
      </c>
      <c r="Z107" s="67" t="s">
        <v>245</v>
      </c>
      <c r="AA107" s="67" t="s">
        <v>116</v>
      </c>
      <c r="AB107" s="67"/>
      <c r="AC107" s="67"/>
      <c r="AD107" s="67"/>
      <c r="AE107" s="67" t="s">
        <v>540</v>
      </c>
      <c r="AF107" s="67">
        <v>9657208855</v>
      </c>
      <c r="AG107" s="67" t="s">
        <v>541</v>
      </c>
      <c r="AH107" s="68" t="s">
        <v>123</v>
      </c>
      <c r="AI107" s="68">
        <v>45421</v>
      </c>
      <c r="AJ107" s="68">
        <v>45454</v>
      </c>
      <c r="AK107" s="67" t="s">
        <v>72</v>
      </c>
      <c r="AL107" s="67">
        <v>757000</v>
      </c>
      <c r="AM107" s="68">
        <v>45428</v>
      </c>
      <c r="AN107" s="68">
        <v>45454</v>
      </c>
      <c r="AO107" s="68"/>
      <c r="AP107" s="68"/>
      <c r="AQ107" s="68"/>
      <c r="AR107" s="68"/>
      <c r="AS107" s="68">
        <v>45433</v>
      </c>
      <c r="AT107" s="67">
        <f t="shared" ca="1" si="9"/>
        <v>0</v>
      </c>
      <c r="AU107" s="79" t="str">
        <f t="shared" ca="1" si="10"/>
        <v/>
      </c>
      <c r="AV107" s="79" t="str" cm="1">
        <f t="array" aca="1" ref="AV107" ca="1">IFERROR(_xlfn.IFS($AU107="","",$AU107&lt;=15,"0-15",AND($AU107&gt;=16,$AU107&lt;=30),"16-30",AND($AU107&gt;=31,$AU107&lt;=45),"31-45",AND($AU107&gt;=46,$AU107&lt;=60),"46-60",AND($AU107&gt;=61,$AU107&lt;=90),"61-90",AND($AU107&gt;=91),"&gt; 90",AND($AU107&gt;=2000),""),"")</f>
        <v/>
      </c>
      <c r="AW107" s="79" cm="1">
        <f t="array" aca="1" ref="AW107" ca="1">IFERROR(_xlfn.IFS(OR($M107="",$AM107=""),"",OR($C107="Offered",$C107="Joined"),($AM107-$M107)-$AT107),"")</f>
        <v>106</v>
      </c>
      <c r="AX107" s="79" cm="1">
        <f t="array" aca="1" ref="AX107" ca="1">IFERROR(_xlfn.IFS(OR($M107="",$AS107=""),"",$C107="Joined",($AS107-$M107)-$AT107),"")</f>
        <v>111</v>
      </c>
      <c r="AY107" s="67" t="str">
        <f>IFERROR(IF(COUNTIFS('Candidate Tracker'!$E:$E,'Positions Tracker'!$B107,'Candidate Tracker'!$C:$C,"Offer Drop")=0,"",COUNTIFS('Candidate Tracker'!$E:$E,'Positions Tracker'!$B107,'Candidate Tracker'!$C:$C,"Offer Drop")),"")</f>
        <v/>
      </c>
      <c r="AZ107" s="80">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0.88111888111888115</v>
      </c>
      <c r="BA107" s="81" t="str">
        <f>IFERROR(IF(COUNTIFS('Candidate Tracker'!$E:$E,'Positions Tracker'!$B107,'Candidate Tracker'!$I:$I,"Female")=0,"",COUNTIFS('Candidate Tracker'!$E:$E,'Positions Tracker'!$B107,'Candidate Tracker'!$I:$I,"Female")),"")</f>
        <v/>
      </c>
      <c r="BB107" s="81">
        <f>IFERROR(IF(COUNTIFS('Candidate Tracker'!$E:$E,'Positions Tracker'!$B107,'Candidate Tracker'!$I:$I,"male")=0,"",COUNTIFS('Candidate Tracker'!$E:$E,'Positions Tracker'!$B107,'Candidate Tracker'!$I:$I,"male")),"")</f>
        <v>1</v>
      </c>
      <c r="BC107" s="80">
        <f>IFERROR(IF(COUNTIFS('Candidate Tracker'!$E:$E,'Positions Tracker'!$B107,'Candidate Tracker'!$C:$C,"&lt;&gt;WIP",'Candidate Tracker'!$C:$C,"&lt;&gt;Hold",'Candidate Tracker'!$C:$C,"&lt;&gt;Cancelled",'Candidate Tracker'!$C:$C,"&lt;&gt;Closed")/COUNTIFS('Candidate Tracker'!$E:$E,'Positions Tracker'!$B107)=0,"",COUNTIFS('Candidate Tracker'!$E:$E,'Positions Tracker'!$B107,'Candidate Tracker'!$C:$C,"&lt;&gt;WIP",'Candidate Tracker'!$C:$C,"&lt;&gt;Hold",'Candidate Tracker'!$C:$C,"&lt;&gt;Cancelled",'Candidate Tracker'!$C:$C,"&lt;&gt;Closed")/COUNTIFS('Candidate Tracker'!$E:$E,'Positions Tracker'!$B107)),"")</f>
        <v>1</v>
      </c>
      <c r="BD107" s="67" t="str">
        <f t="shared" si="1"/>
        <v>Jan-24</v>
      </c>
      <c r="BE107" s="67" t="str">
        <f t="shared" si="2"/>
        <v>May-24</v>
      </c>
      <c r="BF107" s="67" t="str">
        <f t="shared" si="3"/>
        <v>May-24</v>
      </c>
      <c r="BG107" s="67" t="str">
        <f t="shared" si="4"/>
        <v>May-24</v>
      </c>
    </row>
    <row r="108" spans="1:59">
      <c r="A108" s="67">
        <f t="shared" si="8"/>
        <v>107</v>
      </c>
      <c r="B108" s="67" t="s">
        <v>542</v>
      </c>
      <c r="C108" s="67" t="s">
        <v>116</v>
      </c>
      <c r="D108" s="67" t="s">
        <v>116</v>
      </c>
      <c r="E108" s="67" t="s">
        <v>543</v>
      </c>
      <c r="F108" s="67" t="s">
        <v>453</v>
      </c>
      <c r="G108" s="67" t="s">
        <v>3</v>
      </c>
      <c r="H108" s="67" t="s">
        <v>345</v>
      </c>
      <c r="I108" s="67" t="s">
        <v>544</v>
      </c>
      <c r="J108" s="67" t="s">
        <v>70</v>
      </c>
      <c r="K108" s="68">
        <v>45335</v>
      </c>
      <c r="L108" s="68">
        <v>45335</v>
      </c>
      <c r="M108" s="68">
        <v>45335</v>
      </c>
      <c r="N108" s="67"/>
      <c r="O108" s="68"/>
      <c r="P108" s="68"/>
      <c r="Q108" s="68"/>
      <c r="R108" s="68"/>
      <c r="S108" s="68"/>
      <c r="T108" s="68"/>
      <c r="U108" s="67"/>
      <c r="V108" s="67"/>
      <c r="W108" s="67"/>
      <c r="X108" s="67" t="s">
        <v>72</v>
      </c>
      <c r="Y108" s="67" t="s">
        <v>245</v>
      </c>
      <c r="Z108" s="67" t="s">
        <v>245</v>
      </c>
      <c r="AA108" s="67" t="s">
        <v>116</v>
      </c>
      <c r="AB108" s="67"/>
      <c r="AC108" s="67"/>
      <c r="AD108" s="67"/>
      <c r="AE108" s="67" t="s">
        <v>545</v>
      </c>
      <c r="AF108" s="67">
        <v>9374432607</v>
      </c>
      <c r="AG108" s="67" t="s">
        <v>546</v>
      </c>
      <c r="AH108" s="68" t="s">
        <v>123</v>
      </c>
      <c r="AI108" s="68">
        <v>45436</v>
      </c>
      <c r="AJ108" s="68">
        <v>45455</v>
      </c>
      <c r="AK108" s="67" t="s">
        <v>72</v>
      </c>
      <c r="AL108" s="67">
        <v>2425000</v>
      </c>
      <c r="AM108" s="68">
        <v>45384</v>
      </c>
      <c r="AN108" s="68">
        <v>45455</v>
      </c>
      <c r="AO108" s="68"/>
      <c r="AP108" s="68"/>
      <c r="AQ108" s="68"/>
      <c r="AR108" s="68"/>
      <c r="AS108" s="68">
        <v>45453</v>
      </c>
      <c r="AT108" s="67">
        <f t="shared" ca="1" si="9"/>
        <v>0</v>
      </c>
      <c r="AU108" s="79" t="str">
        <f t="shared" ca="1" si="10"/>
        <v/>
      </c>
      <c r="AV108" s="79" t="str" cm="1">
        <f t="array" aca="1" ref="AV108" ca="1">IFERROR(_xlfn.IFS($AU108="","",$AU108&lt;=15,"0-15",AND($AU108&gt;=16,$AU108&lt;=30),"16-30",AND($AU108&gt;=31,$AU108&lt;=45),"31-45",AND($AU108&gt;=46,$AU108&lt;=60),"46-60",AND($AU108&gt;=61,$AU108&lt;=90),"61-90",AND($AU108&gt;=91),"&gt; 90",AND($AU108&gt;=2000),""),"")</f>
        <v/>
      </c>
      <c r="AW108" s="79" cm="1">
        <f t="array" aca="1" ref="AW108" ca="1">IFERROR(_xlfn.IFS(OR($M108="",$AM108=""),"",OR($C108="Offered",$C108="Joined"),($AM108-$M108)-$AT108),"")</f>
        <v>49</v>
      </c>
      <c r="AX108" s="79" cm="1">
        <f t="array" aca="1" ref="AX108" ca="1">IFERROR(_xlfn.IFS(OR($M108="",$AS108=""),"",$C108="Joined",($AS108-$M108)-$AT108),"")</f>
        <v>118</v>
      </c>
      <c r="AY108" s="67" t="str">
        <f>IFERROR(IF(COUNTIFS('Candidate Tracker'!$E:$E,'Positions Tracker'!$B108,'Candidate Tracker'!$C:$C,"Offer Drop")=0,"",COUNTIFS('Candidate Tracker'!$E:$E,'Positions Tracker'!$B108,'Candidate Tracker'!$C:$C,"Offer Drop")),"")</f>
        <v/>
      </c>
      <c r="AZ108" s="80">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0.88111888111888115</v>
      </c>
      <c r="BA108" s="81" t="str">
        <f>IFERROR(IF(COUNTIFS('Candidate Tracker'!$E:$E,'Positions Tracker'!$B108,'Candidate Tracker'!$I:$I,"Female")=0,"",COUNTIFS('Candidate Tracker'!$E:$E,'Positions Tracker'!$B108,'Candidate Tracker'!$I:$I,"Female")),"")</f>
        <v/>
      </c>
      <c r="BB108" s="81">
        <f>IFERROR(IF(COUNTIFS('Candidate Tracker'!$E:$E,'Positions Tracker'!$B108,'Candidate Tracker'!$I:$I,"male")=0,"",COUNTIFS('Candidate Tracker'!$E:$E,'Positions Tracker'!$B108,'Candidate Tracker'!$I:$I,"male")),"")</f>
        <v>1</v>
      </c>
      <c r="BC108" s="80">
        <f>IFERROR(IF(COUNTIFS('Candidate Tracker'!$E:$E,'Positions Tracker'!$B108,'Candidate Tracker'!$C:$C,"&lt;&gt;WIP",'Candidate Tracker'!$C:$C,"&lt;&gt;Hold",'Candidate Tracker'!$C:$C,"&lt;&gt;Cancelled",'Candidate Tracker'!$C:$C,"&lt;&gt;Closed")/COUNTIFS('Candidate Tracker'!$E:$E,'Positions Tracker'!$B108)=0,"",COUNTIFS('Candidate Tracker'!$E:$E,'Positions Tracker'!$B108,'Candidate Tracker'!$C:$C,"&lt;&gt;WIP",'Candidate Tracker'!$C:$C,"&lt;&gt;Hold",'Candidate Tracker'!$C:$C,"&lt;&gt;Cancelled",'Candidate Tracker'!$C:$C,"&lt;&gt;Closed")/COUNTIFS('Candidate Tracker'!$E:$E,'Positions Tracker'!$B108)),"")</f>
        <v>1</v>
      </c>
      <c r="BD108" s="67" t="str">
        <f t="shared" si="1"/>
        <v>Feb-24</v>
      </c>
      <c r="BE108" s="67" t="str">
        <f t="shared" si="2"/>
        <v>May-24</v>
      </c>
      <c r="BF108" s="67" t="str">
        <f t="shared" si="3"/>
        <v>Apr-24</v>
      </c>
      <c r="BG108" s="67" t="str">
        <f t="shared" si="4"/>
        <v>Jun-24</v>
      </c>
    </row>
    <row r="109" spans="1:59">
      <c r="A109" s="67">
        <f t="shared" si="8"/>
        <v>108</v>
      </c>
      <c r="B109" s="67" t="s">
        <v>547</v>
      </c>
      <c r="C109" s="67" t="s">
        <v>116</v>
      </c>
      <c r="D109" s="67" t="s">
        <v>116</v>
      </c>
      <c r="E109" s="67" t="s">
        <v>548</v>
      </c>
      <c r="F109" s="67" t="s">
        <v>184</v>
      </c>
      <c r="G109" s="67" t="s">
        <v>3</v>
      </c>
      <c r="H109" s="67" t="s">
        <v>111</v>
      </c>
      <c r="I109" s="67" t="s">
        <v>228</v>
      </c>
      <c r="J109" s="67" t="s">
        <v>70</v>
      </c>
      <c r="K109" s="68">
        <v>45344</v>
      </c>
      <c r="L109" s="68">
        <v>45344</v>
      </c>
      <c r="M109" s="68">
        <v>45404</v>
      </c>
      <c r="N109" s="67"/>
      <c r="O109" s="68"/>
      <c r="P109" s="68"/>
      <c r="Q109" s="68"/>
      <c r="R109" s="68"/>
      <c r="S109" s="68"/>
      <c r="T109" s="68"/>
      <c r="U109" s="67"/>
      <c r="V109" s="67"/>
      <c r="W109" s="67"/>
      <c r="X109" s="67" t="s">
        <v>72</v>
      </c>
      <c r="Y109" s="67" t="s">
        <v>245</v>
      </c>
      <c r="Z109" s="67" t="s">
        <v>245</v>
      </c>
      <c r="AA109" s="67" t="s">
        <v>116</v>
      </c>
      <c r="AB109" s="67"/>
      <c r="AC109" s="67"/>
      <c r="AD109" s="67"/>
      <c r="AE109" s="67" t="s">
        <v>549</v>
      </c>
      <c r="AF109" s="67">
        <v>9922091330</v>
      </c>
      <c r="AG109" s="67"/>
      <c r="AH109" s="68" t="s">
        <v>123</v>
      </c>
      <c r="AI109" s="68">
        <v>45463</v>
      </c>
      <c r="AJ109" s="68">
        <v>45470</v>
      </c>
      <c r="AK109" s="67" t="s">
        <v>72</v>
      </c>
      <c r="AL109" s="67">
        <v>2800000</v>
      </c>
      <c r="AM109" s="68">
        <f>AN109</f>
        <v>45470</v>
      </c>
      <c r="AN109" s="68">
        <v>45470</v>
      </c>
      <c r="AO109" s="68"/>
      <c r="AP109" s="68"/>
      <c r="AQ109" s="68"/>
      <c r="AR109" s="68"/>
      <c r="AS109" s="68">
        <v>45460</v>
      </c>
      <c r="AT109" s="67">
        <f t="shared" ca="1" si="9"/>
        <v>0</v>
      </c>
      <c r="AU109" s="79" t="str">
        <f t="shared" ca="1" si="10"/>
        <v/>
      </c>
      <c r="AV109" s="79" t="str" cm="1">
        <f t="array" aca="1" ref="AV109" ca="1">IFERROR(_xlfn.IFS($AU109="","",$AU109&lt;=15,"0-15",AND($AU109&gt;=16,$AU109&lt;=30),"16-30",AND($AU109&gt;=31,$AU109&lt;=45),"31-45",AND($AU109&gt;=46,$AU109&lt;=60),"46-60",AND($AU109&gt;=61,$AU109&lt;=90),"61-90",AND($AU109&gt;=91),"&gt; 90",AND($AU109&gt;=2000),""),"")</f>
        <v/>
      </c>
      <c r="AW109" s="79" cm="1">
        <f t="array" aca="1" ref="AW109" ca="1">IFERROR(_xlfn.IFS(OR($M109="",$AM109=""),"",OR($C109="Offered",$C109="Joined"),($AM109-$M109)-$AT109),"")</f>
        <v>66</v>
      </c>
      <c r="AX109" s="79" cm="1">
        <f t="array" aca="1" ref="AX109" ca="1">IFERROR(_xlfn.IFS(OR($M109="",$AS109=""),"",$C109="Joined",($AS109-$M109)-$AT109),"")</f>
        <v>56</v>
      </c>
      <c r="AY109" s="67" t="str">
        <f>IFERROR(IF(COUNTIFS('Candidate Tracker'!$E:$E,'Positions Tracker'!$B109,'Candidate Tracker'!$C:$C,"Offer Drop")=0,"",COUNTIFS('Candidate Tracker'!$E:$E,'Positions Tracker'!$B109,'Candidate Tracker'!$C:$C,"Offer Drop")),"")</f>
        <v/>
      </c>
      <c r="AZ109" s="80">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0.88111888111888115</v>
      </c>
      <c r="BA109" s="81" t="str">
        <f>IFERROR(IF(COUNTIFS('Candidate Tracker'!$E:$E,'Positions Tracker'!$B109,'Candidate Tracker'!$I:$I,"Female")=0,"",COUNTIFS('Candidate Tracker'!$E:$E,'Positions Tracker'!$B109,'Candidate Tracker'!$I:$I,"Female")),"")</f>
        <v/>
      </c>
      <c r="BB109" s="81">
        <f>IFERROR(IF(COUNTIFS('Candidate Tracker'!$E:$E,'Positions Tracker'!$B109,'Candidate Tracker'!$I:$I,"male")=0,"",COUNTIFS('Candidate Tracker'!$E:$E,'Positions Tracker'!$B109,'Candidate Tracker'!$I:$I,"male")),"")</f>
        <v>1</v>
      </c>
      <c r="BC109" s="80">
        <f>IFERROR(IF(COUNTIFS('Candidate Tracker'!$E:$E,'Positions Tracker'!$B109,'Candidate Tracker'!$C:$C,"&lt;&gt;WIP",'Candidate Tracker'!$C:$C,"&lt;&gt;Hold",'Candidate Tracker'!$C:$C,"&lt;&gt;Cancelled",'Candidate Tracker'!$C:$C,"&lt;&gt;Closed")/COUNTIFS('Candidate Tracker'!$E:$E,'Positions Tracker'!$B109)=0,"",COUNTIFS('Candidate Tracker'!$E:$E,'Positions Tracker'!$B109,'Candidate Tracker'!$C:$C,"&lt;&gt;WIP",'Candidate Tracker'!$C:$C,"&lt;&gt;Hold",'Candidate Tracker'!$C:$C,"&lt;&gt;Cancelled",'Candidate Tracker'!$C:$C,"&lt;&gt;Closed")/COUNTIFS('Candidate Tracker'!$E:$E,'Positions Tracker'!$B109)),"")</f>
        <v>1</v>
      </c>
      <c r="BD109" s="67" t="str">
        <f t="shared" si="1"/>
        <v>Apr-24</v>
      </c>
      <c r="BE109" s="67" t="str">
        <f t="shared" si="2"/>
        <v>Jun-24</v>
      </c>
      <c r="BF109" s="67" t="str">
        <f t="shared" si="3"/>
        <v>Jun-24</v>
      </c>
      <c r="BG109" s="67" t="str">
        <f t="shared" si="4"/>
        <v>Jun-24</v>
      </c>
    </row>
    <row r="110" spans="1:59">
      <c r="A110" s="67">
        <f t="shared" si="8"/>
        <v>109</v>
      </c>
      <c r="B110" s="67" t="s">
        <v>550</v>
      </c>
      <c r="C110" s="67" t="s">
        <v>116</v>
      </c>
      <c r="D110" s="67" t="s">
        <v>116</v>
      </c>
      <c r="E110" s="67" t="s">
        <v>551</v>
      </c>
      <c r="F110" s="67" t="s">
        <v>453</v>
      </c>
      <c r="G110" s="67" t="s">
        <v>3</v>
      </c>
      <c r="H110" s="67" t="s">
        <v>68</v>
      </c>
      <c r="I110" s="67" t="s">
        <v>552</v>
      </c>
      <c r="J110" s="67" t="s">
        <v>70</v>
      </c>
      <c r="K110" s="68">
        <v>45295</v>
      </c>
      <c r="L110" s="68">
        <v>45295</v>
      </c>
      <c r="M110" s="68">
        <v>45416</v>
      </c>
      <c r="N110" s="67"/>
      <c r="O110" s="68"/>
      <c r="P110" s="68"/>
      <c r="Q110" s="68"/>
      <c r="R110" s="68"/>
      <c r="S110" s="68"/>
      <c r="T110" s="68"/>
      <c r="U110" s="67"/>
      <c r="V110" s="67"/>
      <c r="W110" s="67"/>
      <c r="X110" s="67" t="s">
        <v>72</v>
      </c>
      <c r="Y110" s="67" t="s">
        <v>245</v>
      </c>
      <c r="Z110" s="67" t="s">
        <v>245</v>
      </c>
      <c r="AA110" s="67" t="s">
        <v>116</v>
      </c>
      <c r="AB110" s="67"/>
      <c r="AC110" s="67"/>
      <c r="AD110" s="67"/>
      <c r="AE110" s="67" t="s">
        <v>553</v>
      </c>
      <c r="AF110" s="67">
        <v>9833314105</v>
      </c>
      <c r="AG110" s="67" t="s">
        <v>554</v>
      </c>
      <c r="AH110" s="68" t="s">
        <v>86</v>
      </c>
      <c r="AI110" s="68">
        <v>45497</v>
      </c>
      <c r="AJ110" s="68">
        <v>45513</v>
      </c>
      <c r="AK110" s="67" t="s">
        <v>72</v>
      </c>
      <c r="AL110" s="67">
        <v>3050000</v>
      </c>
      <c r="AM110" s="68">
        <v>45384</v>
      </c>
      <c r="AN110" s="68">
        <v>45513</v>
      </c>
      <c r="AO110" s="68"/>
      <c r="AP110" s="68"/>
      <c r="AQ110" s="68"/>
      <c r="AR110" s="68"/>
      <c r="AS110" s="68">
        <v>45460</v>
      </c>
      <c r="AT110" s="67">
        <f t="shared" ca="1" si="9"/>
        <v>0</v>
      </c>
      <c r="AU110" s="79" t="str">
        <f t="shared" ca="1" si="10"/>
        <v/>
      </c>
      <c r="AV110" s="79" t="str" cm="1">
        <f t="array" aca="1" ref="AV110" ca="1">IFERROR(_xlfn.IFS($AU110="","",$AU110&lt;=15,"0-15",AND($AU110&gt;=16,$AU110&lt;=30),"16-30",AND($AU110&gt;=31,$AU110&lt;=45),"31-45",AND($AU110&gt;=46,$AU110&lt;=60),"46-60",AND($AU110&gt;=61,$AU110&lt;=90),"61-90",AND($AU110&gt;=91),"&gt; 90",AND($AU110&gt;=2000),""),"")</f>
        <v/>
      </c>
      <c r="AW110" s="79" cm="1">
        <f t="array" aca="1" ref="AW110" ca="1">IFERROR(_xlfn.IFS(OR($M110="",$AM110=""),"",OR($C110="Offered",$C110="Joined"),($AM110-$M110)-$AT110),"")</f>
        <v>-32</v>
      </c>
      <c r="AX110" s="79" cm="1">
        <f t="array" aca="1" ref="AX110" ca="1">IFERROR(_xlfn.IFS(OR($M110="",$AS110=""),"",$C110="Joined",($AS110-$M110)-$AT110),"")</f>
        <v>44</v>
      </c>
      <c r="AY110" s="67" t="str">
        <f>IFERROR(IF(COUNTIFS('Candidate Tracker'!$E:$E,'Positions Tracker'!$B110,'Candidate Tracker'!$C:$C,"Offer Drop")=0,"",COUNTIFS('Candidate Tracker'!$E:$E,'Positions Tracker'!$B110,'Candidate Tracker'!$C:$C,"Offer Drop")),"")</f>
        <v/>
      </c>
      <c r="AZ110" s="80">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0.88111888111888115</v>
      </c>
      <c r="BA110" s="81" t="str">
        <f>IFERROR(IF(COUNTIFS('Candidate Tracker'!$E:$E,'Positions Tracker'!$B110,'Candidate Tracker'!$I:$I,"Female")=0,"",COUNTIFS('Candidate Tracker'!$E:$E,'Positions Tracker'!$B110,'Candidate Tracker'!$I:$I,"Female")),"")</f>
        <v/>
      </c>
      <c r="BB110" s="81">
        <f>IFERROR(IF(COUNTIFS('Candidate Tracker'!$E:$E,'Positions Tracker'!$B110,'Candidate Tracker'!$I:$I,"male")=0,"",COUNTIFS('Candidate Tracker'!$E:$E,'Positions Tracker'!$B110,'Candidate Tracker'!$I:$I,"male")),"")</f>
        <v>1</v>
      </c>
      <c r="BC110" s="80">
        <f>IFERROR(IF(COUNTIFS('Candidate Tracker'!$E:$E,'Positions Tracker'!$B110,'Candidate Tracker'!$C:$C,"&lt;&gt;WIP",'Candidate Tracker'!$C:$C,"&lt;&gt;Hold",'Candidate Tracker'!$C:$C,"&lt;&gt;Cancelled",'Candidate Tracker'!$C:$C,"&lt;&gt;Closed")/COUNTIFS('Candidate Tracker'!$E:$E,'Positions Tracker'!$B110)=0,"",COUNTIFS('Candidate Tracker'!$E:$E,'Positions Tracker'!$B110,'Candidate Tracker'!$C:$C,"&lt;&gt;WIP",'Candidate Tracker'!$C:$C,"&lt;&gt;Hold",'Candidate Tracker'!$C:$C,"&lt;&gt;Cancelled",'Candidate Tracker'!$C:$C,"&lt;&gt;Closed")/COUNTIFS('Candidate Tracker'!$E:$E,'Positions Tracker'!$B110)),"")</f>
        <v>1</v>
      </c>
      <c r="BD110" s="67" t="str">
        <f t="shared" si="1"/>
        <v>May-24</v>
      </c>
      <c r="BE110" s="67" t="str">
        <f t="shared" si="2"/>
        <v>Jul-24</v>
      </c>
      <c r="BF110" s="67" t="str">
        <f t="shared" si="3"/>
        <v>Apr-24</v>
      </c>
      <c r="BG110" s="67" t="str">
        <f t="shared" si="4"/>
        <v>Jun-24</v>
      </c>
    </row>
    <row r="111" spans="1:59">
      <c r="A111" s="67">
        <f t="shared" si="8"/>
        <v>110</v>
      </c>
      <c r="B111" s="67" t="s">
        <v>555</v>
      </c>
      <c r="C111" s="67" t="s">
        <v>116</v>
      </c>
      <c r="D111" s="67" t="s">
        <v>116</v>
      </c>
      <c r="E111" s="67" t="s">
        <v>556</v>
      </c>
      <c r="F111" s="67" t="s">
        <v>226</v>
      </c>
      <c r="G111" s="67" t="s">
        <v>3</v>
      </c>
      <c r="H111" s="67" t="s">
        <v>111</v>
      </c>
      <c r="I111" s="67" t="s">
        <v>228</v>
      </c>
      <c r="J111" s="67" t="s">
        <v>70</v>
      </c>
      <c r="K111" s="68">
        <v>45358</v>
      </c>
      <c r="L111" s="68">
        <v>45358</v>
      </c>
      <c r="M111" s="68">
        <v>45419</v>
      </c>
      <c r="N111" s="67"/>
      <c r="O111" s="68"/>
      <c r="P111" s="68"/>
      <c r="Q111" s="68"/>
      <c r="R111" s="68"/>
      <c r="S111" s="68"/>
      <c r="T111" s="68"/>
      <c r="U111" s="67"/>
      <c r="V111" s="67"/>
      <c r="W111" s="67"/>
      <c r="X111" s="67" t="s">
        <v>72</v>
      </c>
      <c r="Y111" s="67" t="s">
        <v>245</v>
      </c>
      <c r="Z111" s="67" t="s">
        <v>245</v>
      </c>
      <c r="AA111" s="67" t="s">
        <v>116</v>
      </c>
      <c r="AB111" s="67"/>
      <c r="AC111" s="67"/>
      <c r="AD111" s="67"/>
      <c r="AE111" s="67" t="s">
        <v>557</v>
      </c>
      <c r="AF111" s="67">
        <v>8200390283</v>
      </c>
      <c r="AG111" s="67"/>
      <c r="AH111" s="68" t="s">
        <v>123</v>
      </c>
      <c r="AI111" s="68">
        <v>45447</v>
      </c>
      <c r="AJ111" s="68">
        <v>45502</v>
      </c>
      <c r="AK111" s="67" t="s">
        <v>72</v>
      </c>
      <c r="AL111" s="67">
        <v>950000</v>
      </c>
      <c r="AM111" s="68">
        <v>45454</v>
      </c>
      <c r="AN111" s="68">
        <v>45502</v>
      </c>
      <c r="AO111" s="68"/>
      <c r="AP111" s="68"/>
      <c r="AQ111" s="68"/>
      <c r="AR111" s="68"/>
      <c r="AS111" s="68">
        <v>45460</v>
      </c>
      <c r="AT111" s="67">
        <f t="shared" ca="1" si="9"/>
        <v>0</v>
      </c>
      <c r="AU111" s="79" t="str">
        <f t="shared" ca="1" si="10"/>
        <v/>
      </c>
      <c r="AV111" s="79" t="str" cm="1">
        <f t="array" aca="1" ref="AV111" ca="1">IFERROR(_xlfn.IFS($AU111="","",$AU111&lt;=15,"0-15",AND($AU111&gt;=16,$AU111&lt;=30),"16-30",AND($AU111&gt;=31,$AU111&lt;=45),"31-45",AND($AU111&gt;=46,$AU111&lt;=60),"46-60",AND($AU111&gt;=61,$AU111&lt;=90),"61-90",AND($AU111&gt;=91),"&gt; 90",AND($AU111&gt;=2000),""),"")</f>
        <v/>
      </c>
      <c r="AW111" s="79" cm="1">
        <f t="array" aca="1" ref="AW111" ca="1">IFERROR(_xlfn.IFS(OR($M111="",$AM111=""),"",OR($C111="Offered",$C111="Joined"),($AM111-$M111)-$AT111),"")</f>
        <v>35</v>
      </c>
      <c r="AX111" s="79" cm="1">
        <f t="array" aca="1" ref="AX111" ca="1">IFERROR(_xlfn.IFS(OR($M111="",$AS111=""),"",$C111="Joined",($AS111-$M111)-$AT111),"")</f>
        <v>41</v>
      </c>
      <c r="AY111" s="67" t="str">
        <f>IFERROR(IF(COUNTIFS('Candidate Tracker'!$E:$E,'Positions Tracker'!$B111,'Candidate Tracker'!$C:$C,"Offer Drop")=0,"",COUNTIFS('Candidate Tracker'!$E:$E,'Positions Tracker'!$B111,'Candidate Tracker'!$C:$C,"Offer Drop")),"")</f>
        <v/>
      </c>
      <c r="AZ111" s="80">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0.88111888111888115</v>
      </c>
      <c r="BA111" s="81" t="str">
        <f>IFERROR(IF(COUNTIFS('Candidate Tracker'!$E:$E,'Positions Tracker'!$B111,'Candidate Tracker'!$I:$I,"Female")=0,"",COUNTIFS('Candidate Tracker'!$E:$E,'Positions Tracker'!$B111,'Candidate Tracker'!$I:$I,"Female")),"")</f>
        <v/>
      </c>
      <c r="BB111" s="81">
        <f>IFERROR(IF(COUNTIFS('Candidate Tracker'!$E:$E,'Positions Tracker'!$B111,'Candidate Tracker'!$I:$I,"male")=0,"",COUNTIFS('Candidate Tracker'!$E:$E,'Positions Tracker'!$B111,'Candidate Tracker'!$I:$I,"male")),"")</f>
        <v>1</v>
      </c>
      <c r="BC111" s="80">
        <f>IFERROR(IF(COUNTIFS('Candidate Tracker'!$E:$E,'Positions Tracker'!$B111,'Candidate Tracker'!$C:$C,"&lt;&gt;WIP",'Candidate Tracker'!$C:$C,"&lt;&gt;Hold",'Candidate Tracker'!$C:$C,"&lt;&gt;Cancelled",'Candidate Tracker'!$C:$C,"&lt;&gt;Closed")/COUNTIFS('Candidate Tracker'!$E:$E,'Positions Tracker'!$B111)=0,"",COUNTIFS('Candidate Tracker'!$E:$E,'Positions Tracker'!$B111,'Candidate Tracker'!$C:$C,"&lt;&gt;WIP",'Candidate Tracker'!$C:$C,"&lt;&gt;Hold",'Candidate Tracker'!$C:$C,"&lt;&gt;Cancelled",'Candidate Tracker'!$C:$C,"&lt;&gt;Closed")/COUNTIFS('Candidate Tracker'!$E:$E,'Positions Tracker'!$B111)),"")</f>
        <v>1</v>
      </c>
      <c r="BD111" s="67" t="str">
        <f t="shared" si="1"/>
        <v>May-24</v>
      </c>
      <c r="BE111" s="67" t="str">
        <f t="shared" si="2"/>
        <v>Jun-24</v>
      </c>
      <c r="BF111" s="67" t="str">
        <f t="shared" si="3"/>
        <v>Jun-24</v>
      </c>
      <c r="BG111" s="67" t="str">
        <f t="shared" si="4"/>
        <v>Jun-24</v>
      </c>
    </row>
    <row r="112" spans="1:59">
      <c r="A112" s="67">
        <f t="shared" si="8"/>
        <v>111</v>
      </c>
      <c r="B112" s="67" t="s">
        <v>558</v>
      </c>
      <c r="C112" s="67" t="s">
        <v>116</v>
      </c>
      <c r="D112" s="67" t="s">
        <v>116</v>
      </c>
      <c r="E112" s="67" t="s">
        <v>559</v>
      </c>
      <c r="F112" s="67" t="s">
        <v>184</v>
      </c>
      <c r="G112" s="67" t="s">
        <v>3</v>
      </c>
      <c r="H112" s="67" t="s">
        <v>111</v>
      </c>
      <c r="I112" s="67" t="s">
        <v>228</v>
      </c>
      <c r="J112" s="67" t="s">
        <v>70</v>
      </c>
      <c r="K112" s="68">
        <v>45389</v>
      </c>
      <c r="L112" s="68">
        <v>45389</v>
      </c>
      <c r="M112" s="68">
        <v>45389</v>
      </c>
      <c r="N112" s="67"/>
      <c r="O112" s="68"/>
      <c r="P112" s="68"/>
      <c r="Q112" s="68"/>
      <c r="R112" s="68"/>
      <c r="S112" s="68"/>
      <c r="T112" s="68"/>
      <c r="U112" s="67"/>
      <c r="V112" s="67"/>
      <c r="W112" s="67"/>
      <c r="X112" s="67" t="s">
        <v>72</v>
      </c>
      <c r="Y112" s="67" t="s">
        <v>245</v>
      </c>
      <c r="Z112" s="67" t="s">
        <v>245</v>
      </c>
      <c r="AA112" s="67" t="s">
        <v>116</v>
      </c>
      <c r="AB112" s="67"/>
      <c r="AC112" s="67"/>
      <c r="AD112" s="67"/>
      <c r="AE112" s="67" t="s">
        <v>560</v>
      </c>
      <c r="AF112" s="67">
        <v>9960435181</v>
      </c>
      <c r="AG112" s="67" t="s">
        <v>561</v>
      </c>
      <c r="AH112" s="68" t="s">
        <v>123</v>
      </c>
      <c r="AI112" s="68">
        <v>45436</v>
      </c>
      <c r="AJ112" s="68">
        <v>45504</v>
      </c>
      <c r="AK112" s="67" t="s">
        <v>72</v>
      </c>
      <c r="AL112" s="67">
        <v>1700000</v>
      </c>
      <c r="AM112" s="68">
        <v>45455</v>
      </c>
      <c r="AN112" s="68">
        <v>45504</v>
      </c>
      <c r="AO112" s="68"/>
      <c r="AP112" s="68"/>
      <c r="AQ112" s="68"/>
      <c r="AR112" s="68"/>
      <c r="AS112" s="68">
        <v>45468</v>
      </c>
      <c r="AT112" s="67">
        <f t="shared" ca="1" si="9"/>
        <v>0</v>
      </c>
      <c r="AU112" s="79" t="str">
        <f t="shared" ca="1" si="10"/>
        <v/>
      </c>
      <c r="AV112" s="79" t="str" cm="1">
        <f t="array" aca="1" ref="AV112" ca="1">IFERROR(_xlfn.IFS($AU112="","",$AU112&lt;=15,"0-15",AND($AU112&gt;=16,$AU112&lt;=30),"16-30",AND($AU112&gt;=31,$AU112&lt;=45),"31-45",AND($AU112&gt;=46,$AU112&lt;=60),"46-60",AND($AU112&gt;=61,$AU112&lt;=90),"61-90",AND($AU112&gt;=91),"&gt; 90",AND($AU112&gt;=2000),""),"")</f>
        <v/>
      </c>
      <c r="AW112" s="79" cm="1">
        <f t="array" aca="1" ref="AW112" ca="1">IFERROR(_xlfn.IFS(OR($M112="",$AM112=""),"",OR($C112="Offered",$C112="Joined"),($AM112-$M112)-$AT112),"")</f>
        <v>66</v>
      </c>
      <c r="AX112" s="79" cm="1">
        <f t="array" aca="1" ref="AX112" ca="1">IFERROR(_xlfn.IFS(OR($M112="",$AS112=""),"",$C112="Joined",($AS112-$M112)-$AT112),"")</f>
        <v>79</v>
      </c>
      <c r="AY112" s="67" t="str">
        <f>IFERROR(IF(COUNTIFS('Candidate Tracker'!$E:$E,'Positions Tracker'!$B112,'Candidate Tracker'!$C:$C,"Offer Drop")=0,"",COUNTIFS('Candidate Tracker'!$E:$E,'Positions Tracker'!$B112,'Candidate Tracker'!$C:$C,"Offer Drop")),"")</f>
        <v/>
      </c>
      <c r="AZ112" s="80">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0.88111888111888115</v>
      </c>
      <c r="BA112" s="81" t="str">
        <f>IFERROR(IF(COUNTIFS('Candidate Tracker'!$E:$E,'Positions Tracker'!$B112,'Candidate Tracker'!$I:$I,"Female")=0,"",COUNTIFS('Candidate Tracker'!$E:$E,'Positions Tracker'!$B112,'Candidate Tracker'!$I:$I,"Female")),"")</f>
        <v/>
      </c>
      <c r="BB112" s="81">
        <f>IFERROR(IF(COUNTIFS('Candidate Tracker'!$E:$E,'Positions Tracker'!$B112,'Candidate Tracker'!$I:$I,"male")=0,"",COUNTIFS('Candidate Tracker'!$E:$E,'Positions Tracker'!$B112,'Candidate Tracker'!$I:$I,"male")),"")</f>
        <v>1</v>
      </c>
      <c r="BC112" s="80">
        <f>IFERROR(IF(COUNTIFS('Candidate Tracker'!$E:$E,'Positions Tracker'!$B112,'Candidate Tracker'!$C:$C,"&lt;&gt;WIP",'Candidate Tracker'!$C:$C,"&lt;&gt;Hold",'Candidate Tracker'!$C:$C,"&lt;&gt;Cancelled",'Candidate Tracker'!$C:$C,"&lt;&gt;Closed")/COUNTIFS('Candidate Tracker'!$E:$E,'Positions Tracker'!$B112)=0,"",COUNTIFS('Candidate Tracker'!$E:$E,'Positions Tracker'!$B112,'Candidate Tracker'!$C:$C,"&lt;&gt;WIP",'Candidate Tracker'!$C:$C,"&lt;&gt;Hold",'Candidate Tracker'!$C:$C,"&lt;&gt;Cancelled",'Candidate Tracker'!$C:$C,"&lt;&gt;Closed")/COUNTIFS('Candidate Tracker'!$E:$E,'Positions Tracker'!$B112)),"")</f>
        <v>1</v>
      </c>
      <c r="BD112" s="67" t="str">
        <f t="shared" si="1"/>
        <v>Apr-24</v>
      </c>
      <c r="BE112" s="67" t="str">
        <f t="shared" si="2"/>
        <v>May-24</v>
      </c>
      <c r="BF112" s="67" t="str">
        <f t="shared" si="3"/>
        <v>Jun-24</v>
      </c>
      <c r="BG112" s="67" t="str">
        <f t="shared" si="4"/>
        <v>Jun-24</v>
      </c>
    </row>
    <row r="113" spans="1:59">
      <c r="A113" s="67">
        <f t="shared" si="8"/>
        <v>112</v>
      </c>
      <c r="B113" s="67" t="s">
        <v>562</v>
      </c>
      <c r="C113" s="67" t="s">
        <v>116</v>
      </c>
      <c r="D113" s="67" t="s">
        <v>116</v>
      </c>
      <c r="E113" s="67" t="s">
        <v>563</v>
      </c>
      <c r="F113" s="67" t="s">
        <v>564</v>
      </c>
      <c r="G113" s="67" t="s">
        <v>3</v>
      </c>
      <c r="H113" s="67" t="s">
        <v>151</v>
      </c>
      <c r="I113" s="67" t="s">
        <v>159</v>
      </c>
      <c r="J113" s="67" t="s">
        <v>70</v>
      </c>
      <c r="K113" s="68">
        <v>45388</v>
      </c>
      <c r="L113" s="68">
        <v>45388</v>
      </c>
      <c r="M113" s="68">
        <v>45418</v>
      </c>
      <c r="N113" s="67"/>
      <c r="O113" s="68"/>
      <c r="P113" s="68"/>
      <c r="Q113" s="68"/>
      <c r="R113" s="68"/>
      <c r="S113" s="68"/>
      <c r="T113" s="68"/>
      <c r="U113" s="67"/>
      <c r="V113" s="67"/>
      <c r="W113" s="67"/>
      <c r="X113" s="67" t="s">
        <v>72</v>
      </c>
      <c r="Y113" s="67" t="s">
        <v>245</v>
      </c>
      <c r="Z113" s="67" t="s">
        <v>245</v>
      </c>
      <c r="AA113" s="67" t="s">
        <v>116</v>
      </c>
      <c r="AB113" s="67"/>
      <c r="AC113" s="67"/>
      <c r="AD113" s="67"/>
      <c r="AE113" s="67" t="s">
        <v>565</v>
      </c>
      <c r="AF113" s="67">
        <v>7666280966</v>
      </c>
      <c r="AG113" s="67" t="s">
        <v>566</v>
      </c>
      <c r="AH113" s="68" t="s">
        <v>123</v>
      </c>
      <c r="AI113" s="68">
        <v>45463</v>
      </c>
      <c r="AJ113" s="68">
        <v>45538</v>
      </c>
      <c r="AK113" s="67" t="s">
        <v>72</v>
      </c>
      <c r="AL113" s="67">
        <v>1600000</v>
      </c>
      <c r="AM113" s="68">
        <v>45470</v>
      </c>
      <c r="AN113" s="68">
        <v>45538</v>
      </c>
      <c r="AO113" s="68"/>
      <c r="AP113" s="68"/>
      <c r="AQ113" s="68"/>
      <c r="AR113" s="68"/>
      <c r="AS113" s="68">
        <v>45516</v>
      </c>
      <c r="AT113" s="67">
        <f t="shared" ca="1" si="9"/>
        <v>0</v>
      </c>
      <c r="AU113" s="79" t="str">
        <f t="shared" ca="1" si="10"/>
        <v/>
      </c>
      <c r="AV113" s="79" t="str" cm="1">
        <f t="array" aca="1" ref="AV113" ca="1">IFERROR(_xlfn.IFS($AU113="","",$AU113&lt;=15,"0-15",AND($AU113&gt;=16,$AU113&lt;=30),"16-30",AND($AU113&gt;=31,$AU113&lt;=45),"31-45",AND($AU113&gt;=46,$AU113&lt;=60),"46-60",AND($AU113&gt;=61,$AU113&lt;=90),"61-90",AND($AU113&gt;=91),"&gt; 90",AND($AU113&gt;=2000),""),"")</f>
        <v/>
      </c>
      <c r="AW113" s="79" cm="1">
        <f t="array" aca="1" ref="AW113" ca="1">IFERROR(_xlfn.IFS(OR($M113="",$AM113=""),"",OR($C113="Offered",$C113="Joined"),($AM113-$M113)-$AT113),"")</f>
        <v>52</v>
      </c>
      <c r="AX113" s="79" cm="1">
        <f t="array" aca="1" ref="AX113" ca="1">IFERROR(_xlfn.IFS(OR($M113="",$AS113=""),"",$C113="Joined",($AS113-$M113)-$AT113),"")</f>
        <v>98</v>
      </c>
      <c r="AY113" s="67" t="str">
        <f>IFERROR(IF(COUNTIFS('Candidate Tracker'!$E:$E,'Positions Tracker'!$B113,'Candidate Tracker'!$C:$C,"Offer Drop")=0,"",COUNTIFS('Candidate Tracker'!$E:$E,'Positions Tracker'!$B113,'Candidate Tracker'!$C:$C,"Offer Drop")),"")</f>
        <v/>
      </c>
      <c r="AZ113" s="80">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0.88111888111888115</v>
      </c>
      <c r="BA113" s="81" t="str">
        <f>IFERROR(IF(COUNTIFS('Candidate Tracker'!$E:$E,'Positions Tracker'!$B113,'Candidate Tracker'!$I:$I,"Female")=0,"",COUNTIFS('Candidate Tracker'!$E:$E,'Positions Tracker'!$B113,'Candidate Tracker'!$I:$I,"Female")),"")</f>
        <v/>
      </c>
      <c r="BB113" s="81">
        <f>IFERROR(IF(COUNTIFS('Candidate Tracker'!$E:$E,'Positions Tracker'!$B113,'Candidate Tracker'!$I:$I,"male")=0,"",COUNTIFS('Candidate Tracker'!$E:$E,'Positions Tracker'!$B113,'Candidate Tracker'!$I:$I,"male")),"")</f>
        <v>1</v>
      </c>
      <c r="BC113" s="80">
        <f>IFERROR(IF(COUNTIFS('Candidate Tracker'!$E:$E,'Positions Tracker'!$B113,'Candidate Tracker'!$C:$C,"&lt;&gt;WIP",'Candidate Tracker'!$C:$C,"&lt;&gt;Hold",'Candidate Tracker'!$C:$C,"&lt;&gt;Cancelled",'Candidate Tracker'!$C:$C,"&lt;&gt;Closed")/COUNTIFS('Candidate Tracker'!$E:$E,'Positions Tracker'!$B113)=0,"",COUNTIFS('Candidate Tracker'!$E:$E,'Positions Tracker'!$B113,'Candidate Tracker'!$C:$C,"&lt;&gt;WIP",'Candidate Tracker'!$C:$C,"&lt;&gt;Hold",'Candidate Tracker'!$C:$C,"&lt;&gt;Cancelled",'Candidate Tracker'!$C:$C,"&lt;&gt;Closed")/COUNTIFS('Candidate Tracker'!$E:$E,'Positions Tracker'!$B113)),"")</f>
        <v>1</v>
      </c>
      <c r="BD113" s="67" t="str">
        <f t="shared" si="1"/>
        <v>May-24</v>
      </c>
      <c r="BE113" s="67" t="str">
        <f t="shared" si="2"/>
        <v>Jun-24</v>
      </c>
      <c r="BF113" s="67" t="str">
        <f t="shared" si="3"/>
        <v>Jun-24</v>
      </c>
      <c r="BG113" s="67" t="str">
        <f t="shared" si="4"/>
        <v>Aug-24</v>
      </c>
    </row>
    <row r="114" spans="1:59">
      <c r="A114" s="67">
        <f t="shared" si="8"/>
        <v>113</v>
      </c>
      <c r="B114" s="67" t="s">
        <v>567</v>
      </c>
      <c r="C114" s="67" t="s">
        <v>116</v>
      </c>
      <c r="D114" s="67" t="s">
        <v>116</v>
      </c>
      <c r="E114" s="67" t="s">
        <v>568</v>
      </c>
      <c r="F114" s="67" t="s">
        <v>226</v>
      </c>
      <c r="G114" s="67" t="s">
        <v>3</v>
      </c>
      <c r="H114" s="67" t="s">
        <v>111</v>
      </c>
      <c r="I114" s="67" t="s">
        <v>228</v>
      </c>
      <c r="J114" s="67" t="s">
        <v>94</v>
      </c>
      <c r="K114" s="68">
        <v>45440</v>
      </c>
      <c r="L114" s="68">
        <v>45440</v>
      </c>
      <c r="M114" s="68">
        <v>45440</v>
      </c>
      <c r="N114" s="67"/>
      <c r="O114" s="68"/>
      <c r="P114" s="68"/>
      <c r="Q114" s="68"/>
      <c r="R114" s="68"/>
      <c r="S114" s="68"/>
      <c r="T114" s="68"/>
      <c r="U114" s="67"/>
      <c r="V114" s="67"/>
      <c r="W114" s="67"/>
      <c r="X114" s="67" t="s">
        <v>72</v>
      </c>
      <c r="Y114" s="67" t="s">
        <v>245</v>
      </c>
      <c r="Z114" s="67" t="s">
        <v>245</v>
      </c>
      <c r="AA114" s="67" t="s">
        <v>116</v>
      </c>
      <c r="AB114" s="67"/>
      <c r="AC114" s="67"/>
      <c r="AD114" s="67"/>
      <c r="AE114" s="67" t="s">
        <v>569</v>
      </c>
      <c r="AF114" s="67" t="s">
        <v>570</v>
      </c>
      <c r="AG114" s="67" t="s">
        <v>571</v>
      </c>
      <c r="AH114" s="68" t="s">
        <v>123</v>
      </c>
      <c r="AI114" s="68">
        <v>45497</v>
      </c>
      <c r="AJ114" s="68">
        <v>45504</v>
      </c>
      <c r="AK114" s="67" t="s">
        <v>72</v>
      </c>
      <c r="AL114" s="67">
        <v>756077</v>
      </c>
      <c r="AM114" s="68">
        <v>45513</v>
      </c>
      <c r="AN114" s="68">
        <v>45504</v>
      </c>
      <c r="AO114" s="68"/>
      <c r="AP114" s="68"/>
      <c r="AQ114" s="68"/>
      <c r="AR114" s="68"/>
      <c r="AS114" s="68">
        <v>45607</v>
      </c>
      <c r="AT114" s="67">
        <f t="shared" ca="1" si="9"/>
        <v>0</v>
      </c>
      <c r="AU114" s="79" t="str">
        <f t="shared" ca="1" si="10"/>
        <v/>
      </c>
      <c r="AV114" s="79" t="str" cm="1">
        <f t="array" aca="1" ref="AV114" ca="1">IFERROR(_xlfn.IFS($AU114="","",$AU114&lt;=15,"0-15",AND($AU114&gt;=16,$AU114&lt;=30),"16-30",AND($AU114&gt;=31,$AU114&lt;=45),"31-45",AND($AU114&gt;=46,$AU114&lt;=60),"46-60",AND($AU114&gt;=61,$AU114&lt;=90),"61-90",AND($AU114&gt;=91),"&gt; 90",AND($AU114&gt;=2000),""),"")</f>
        <v/>
      </c>
      <c r="AW114" s="79" cm="1">
        <f t="array" aca="1" ref="AW114" ca="1">IFERROR(_xlfn.IFS(OR($M114="",$AM114=""),"",OR($C114="Offered",$C114="Joined"),($AM114-$M114)-$AT114),"")</f>
        <v>73</v>
      </c>
      <c r="AX114" s="79" cm="1">
        <f t="array" aca="1" ref="AX114" ca="1">IFERROR(_xlfn.IFS(OR($M114="",$AS114=""),"",$C114="Joined",($AS114-$M114)-$AT114),"")</f>
        <v>167</v>
      </c>
      <c r="AY114" s="67" t="str">
        <f>IFERROR(IF(COUNTIFS('Candidate Tracker'!$E:$E,'Positions Tracker'!$B114,'Candidate Tracker'!$C:$C,"Offer Drop")=0,"",COUNTIFS('Candidate Tracker'!$E:$E,'Positions Tracker'!$B114,'Candidate Tracker'!$C:$C,"Offer Drop")),"")</f>
        <v/>
      </c>
      <c r="AZ114" s="80">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0.88111888111888115</v>
      </c>
      <c r="BA114" s="81" t="str">
        <f>IFERROR(IF(COUNTIFS('Candidate Tracker'!$E:$E,'Positions Tracker'!$B114,'Candidate Tracker'!$I:$I,"Female")=0,"",COUNTIFS('Candidate Tracker'!$E:$E,'Positions Tracker'!$B114,'Candidate Tracker'!$I:$I,"Female")),"")</f>
        <v/>
      </c>
      <c r="BB114" s="81">
        <f>IFERROR(IF(COUNTIFS('Candidate Tracker'!$E:$E,'Positions Tracker'!$B114,'Candidate Tracker'!$I:$I,"male")=0,"",COUNTIFS('Candidate Tracker'!$E:$E,'Positions Tracker'!$B114,'Candidate Tracker'!$I:$I,"male")),"")</f>
        <v>1</v>
      </c>
      <c r="BC114" s="80">
        <f>IFERROR(IF(COUNTIFS('Candidate Tracker'!$E:$E,'Positions Tracker'!$B114,'Candidate Tracker'!$C:$C,"&lt;&gt;WIP",'Candidate Tracker'!$C:$C,"&lt;&gt;Hold",'Candidate Tracker'!$C:$C,"&lt;&gt;Cancelled",'Candidate Tracker'!$C:$C,"&lt;&gt;Closed")/COUNTIFS('Candidate Tracker'!$E:$E,'Positions Tracker'!$B114)=0,"",COUNTIFS('Candidate Tracker'!$E:$E,'Positions Tracker'!$B114,'Candidate Tracker'!$C:$C,"&lt;&gt;WIP",'Candidate Tracker'!$C:$C,"&lt;&gt;Hold",'Candidate Tracker'!$C:$C,"&lt;&gt;Cancelled",'Candidate Tracker'!$C:$C,"&lt;&gt;Closed")/COUNTIFS('Candidate Tracker'!$E:$E,'Positions Tracker'!$B114)),"")</f>
        <v>1</v>
      </c>
      <c r="BD114" s="67" t="str">
        <f t="shared" si="1"/>
        <v>May-24</v>
      </c>
      <c r="BE114" s="67" t="str">
        <f t="shared" si="2"/>
        <v>Jul-24</v>
      </c>
      <c r="BF114" s="67" t="str">
        <f t="shared" si="3"/>
        <v>Aug-24</v>
      </c>
      <c r="BG114" s="67" t="str">
        <f t="shared" si="4"/>
        <v>Nov-24</v>
      </c>
    </row>
    <row r="115" spans="1:59">
      <c r="A115" s="67">
        <f t="shared" si="8"/>
        <v>114</v>
      </c>
      <c r="B115" s="67" t="s">
        <v>572</v>
      </c>
      <c r="C115" s="67" t="s">
        <v>116</v>
      </c>
      <c r="D115" s="67" t="s">
        <v>116</v>
      </c>
      <c r="E115" s="67" t="s">
        <v>573</v>
      </c>
      <c r="F115" s="67" t="s">
        <v>437</v>
      </c>
      <c r="G115" s="67" t="s">
        <v>3</v>
      </c>
      <c r="H115" s="67" t="s">
        <v>68</v>
      </c>
      <c r="I115" s="67" t="s">
        <v>438</v>
      </c>
      <c r="J115" s="67" t="s">
        <v>94</v>
      </c>
      <c r="K115" s="68">
        <v>45453</v>
      </c>
      <c r="L115" s="68">
        <v>45453</v>
      </c>
      <c r="M115" s="68">
        <v>45453</v>
      </c>
      <c r="N115" s="67"/>
      <c r="O115" s="68"/>
      <c r="P115" s="68"/>
      <c r="Q115" s="68"/>
      <c r="R115" s="68"/>
      <c r="S115" s="68"/>
      <c r="T115" s="68"/>
      <c r="U115" s="67"/>
      <c r="V115" s="67"/>
      <c r="W115" s="67"/>
      <c r="X115" s="67" t="s">
        <v>72</v>
      </c>
      <c r="Y115" s="67" t="s">
        <v>245</v>
      </c>
      <c r="Z115" s="67" t="s">
        <v>245</v>
      </c>
      <c r="AA115" s="67" t="s">
        <v>116</v>
      </c>
      <c r="AB115" s="67"/>
      <c r="AC115" s="67"/>
      <c r="AD115" s="67"/>
      <c r="AE115" s="67" t="s">
        <v>574</v>
      </c>
      <c r="AF115" s="67">
        <v>9552498454</v>
      </c>
      <c r="AG115" s="67"/>
      <c r="AH115" s="68" t="s">
        <v>123</v>
      </c>
      <c r="AI115" s="68">
        <v>45491</v>
      </c>
      <c r="AJ115" s="68">
        <v>45533</v>
      </c>
      <c r="AK115" s="67" t="s">
        <v>72</v>
      </c>
      <c r="AL115" s="67">
        <v>650000</v>
      </c>
      <c r="AM115" s="68">
        <v>45502</v>
      </c>
      <c r="AN115" s="68">
        <v>45533</v>
      </c>
      <c r="AO115" s="68"/>
      <c r="AP115" s="68"/>
      <c r="AQ115" s="68"/>
      <c r="AR115" s="68"/>
      <c r="AS115" s="68">
        <v>45516</v>
      </c>
      <c r="AT115" s="67">
        <f t="shared" ca="1" si="9"/>
        <v>0</v>
      </c>
      <c r="AU115" s="79" t="str">
        <f t="shared" ca="1" si="10"/>
        <v/>
      </c>
      <c r="AV115" s="79" t="str" cm="1">
        <f t="array" aca="1" ref="AV115" ca="1">IFERROR(_xlfn.IFS($AU115="","",$AU115&lt;=15,"0-15",AND($AU115&gt;=16,$AU115&lt;=30),"16-30",AND($AU115&gt;=31,$AU115&lt;=45),"31-45",AND($AU115&gt;=46,$AU115&lt;=60),"46-60",AND($AU115&gt;=61,$AU115&lt;=90),"61-90",AND($AU115&gt;=91),"&gt; 90",AND($AU115&gt;=2000),""),"")</f>
        <v/>
      </c>
      <c r="AW115" s="79" cm="1">
        <f t="array" aca="1" ref="AW115" ca="1">IFERROR(_xlfn.IFS(OR($M115="",$AM115=""),"",OR($C115="Offered",$C115="Joined"),($AM115-$M115)-$AT115),"")</f>
        <v>49</v>
      </c>
      <c r="AX115" s="79" cm="1">
        <f t="array" aca="1" ref="AX115" ca="1">IFERROR(_xlfn.IFS(OR($M115="",$AS115=""),"",$C115="Joined",($AS115-$M115)-$AT115),"")</f>
        <v>63</v>
      </c>
      <c r="AY115" s="67" t="str">
        <f>IFERROR(IF(COUNTIFS('Candidate Tracker'!$E:$E,'Positions Tracker'!$B115,'Candidate Tracker'!$C:$C,"Offer Drop")=0,"",COUNTIFS('Candidate Tracker'!$E:$E,'Positions Tracker'!$B115,'Candidate Tracker'!$C:$C,"Offer Drop")),"")</f>
        <v/>
      </c>
      <c r="AZ115" s="80">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0.88111888111888115</v>
      </c>
      <c r="BA115" s="81" t="str">
        <f>IFERROR(IF(COUNTIFS('Candidate Tracker'!$E:$E,'Positions Tracker'!$B115,'Candidate Tracker'!$I:$I,"Female")=0,"",COUNTIFS('Candidate Tracker'!$E:$E,'Positions Tracker'!$B115,'Candidate Tracker'!$I:$I,"Female")),"")</f>
        <v/>
      </c>
      <c r="BB115" s="81">
        <f>IFERROR(IF(COUNTIFS('Candidate Tracker'!$E:$E,'Positions Tracker'!$B115,'Candidate Tracker'!$I:$I,"male")=0,"",COUNTIFS('Candidate Tracker'!$E:$E,'Positions Tracker'!$B115,'Candidate Tracker'!$I:$I,"male")),"")</f>
        <v>1</v>
      </c>
      <c r="BC115" s="80">
        <f>IFERROR(IF(COUNTIFS('Candidate Tracker'!$E:$E,'Positions Tracker'!$B115,'Candidate Tracker'!$C:$C,"&lt;&gt;WIP",'Candidate Tracker'!$C:$C,"&lt;&gt;Hold",'Candidate Tracker'!$C:$C,"&lt;&gt;Cancelled",'Candidate Tracker'!$C:$C,"&lt;&gt;Closed")/COUNTIFS('Candidate Tracker'!$E:$E,'Positions Tracker'!$B115)=0,"",COUNTIFS('Candidate Tracker'!$E:$E,'Positions Tracker'!$B115,'Candidate Tracker'!$C:$C,"&lt;&gt;WIP",'Candidate Tracker'!$C:$C,"&lt;&gt;Hold",'Candidate Tracker'!$C:$C,"&lt;&gt;Cancelled",'Candidate Tracker'!$C:$C,"&lt;&gt;Closed")/COUNTIFS('Candidate Tracker'!$E:$E,'Positions Tracker'!$B115)),"")</f>
        <v>1</v>
      </c>
      <c r="BD115" s="67" t="str">
        <f t="shared" si="1"/>
        <v>Jun-24</v>
      </c>
      <c r="BE115" s="67" t="str">
        <f t="shared" si="2"/>
        <v>Jul-24</v>
      </c>
      <c r="BF115" s="67" t="str">
        <f t="shared" si="3"/>
        <v>Jul-24</v>
      </c>
      <c r="BG115" s="67" t="str">
        <f t="shared" si="4"/>
        <v>Aug-24</v>
      </c>
    </row>
    <row r="116" spans="1:59">
      <c r="A116" s="67">
        <f t="shared" si="8"/>
        <v>115</v>
      </c>
      <c r="B116" s="67" t="s">
        <v>575</v>
      </c>
      <c r="C116" s="67" t="s">
        <v>116</v>
      </c>
      <c r="D116" s="67" t="s">
        <v>116</v>
      </c>
      <c r="E116" s="67" t="s">
        <v>391</v>
      </c>
      <c r="F116" s="67" t="s">
        <v>158</v>
      </c>
      <c r="G116" s="67" t="s">
        <v>3</v>
      </c>
      <c r="H116" s="67" t="s">
        <v>68</v>
      </c>
      <c r="I116" s="67" t="s">
        <v>576</v>
      </c>
      <c r="J116" s="67" t="s">
        <v>70</v>
      </c>
      <c r="K116" s="68">
        <v>45460</v>
      </c>
      <c r="L116" s="68">
        <v>45460</v>
      </c>
      <c r="M116" s="68">
        <v>45460</v>
      </c>
      <c r="N116" s="67"/>
      <c r="O116" s="68"/>
      <c r="P116" s="68"/>
      <c r="Q116" s="68"/>
      <c r="R116" s="68"/>
      <c r="S116" s="68"/>
      <c r="T116" s="68"/>
      <c r="U116" s="67"/>
      <c r="V116" s="67"/>
      <c r="W116" s="67"/>
      <c r="X116" s="67" t="s">
        <v>72</v>
      </c>
      <c r="Y116" s="67" t="s">
        <v>245</v>
      </c>
      <c r="Z116" s="67" t="s">
        <v>245</v>
      </c>
      <c r="AA116" s="67" t="s">
        <v>116</v>
      </c>
      <c r="AB116" s="67"/>
      <c r="AC116" s="67"/>
      <c r="AD116" s="67"/>
      <c r="AE116" s="67" t="s">
        <v>577</v>
      </c>
      <c r="AF116" s="67">
        <v>8013201104</v>
      </c>
      <c r="AG116" s="67" t="s">
        <v>578</v>
      </c>
      <c r="AH116" s="68" t="s">
        <v>123</v>
      </c>
      <c r="AI116" s="68">
        <v>45491</v>
      </c>
      <c r="AJ116" s="68">
        <v>45527</v>
      </c>
      <c r="AK116" s="67" t="s">
        <v>72</v>
      </c>
      <c r="AL116" s="67">
        <v>1250000</v>
      </c>
      <c r="AM116" s="68">
        <v>45504</v>
      </c>
      <c r="AN116" s="68">
        <v>45527</v>
      </c>
      <c r="AO116" s="68"/>
      <c r="AP116" s="68"/>
      <c r="AQ116" s="68"/>
      <c r="AR116" s="68"/>
      <c r="AS116" s="68">
        <v>45537</v>
      </c>
      <c r="AT116" s="67">
        <f t="shared" ca="1" si="9"/>
        <v>0</v>
      </c>
      <c r="AU116" s="79" t="str">
        <f t="shared" ca="1" si="10"/>
        <v/>
      </c>
      <c r="AV116" s="79" t="str" cm="1">
        <f t="array" aca="1" ref="AV116" ca="1">IFERROR(_xlfn.IFS($AU116="","",$AU116&lt;=15,"0-15",AND($AU116&gt;=16,$AU116&lt;=30),"16-30",AND($AU116&gt;=31,$AU116&lt;=45),"31-45",AND($AU116&gt;=46,$AU116&lt;=60),"46-60",AND($AU116&gt;=61,$AU116&lt;=90),"61-90",AND($AU116&gt;=91),"&gt; 90",AND($AU116&gt;=2000),""),"")</f>
        <v/>
      </c>
      <c r="AW116" s="79" cm="1">
        <f t="array" aca="1" ref="AW116" ca="1">IFERROR(_xlfn.IFS(OR($M116="",$AM116=""),"",OR($C116="Offered",$C116="Joined"),($AM116-$M116)-$AT116),"")</f>
        <v>44</v>
      </c>
      <c r="AX116" s="79" cm="1">
        <f t="array" aca="1" ref="AX116" ca="1">IFERROR(_xlfn.IFS(OR($M116="",$AS116=""),"",$C116="Joined",($AS116-$M116)-$AT116),"")</f>
        <v>77</v>
      </c>
      <c r="AY116" s="67" t="str">
        <f>IFERROR(IF(COUNTIFS('Candidate Tracker'!$E:$E,'Positions Tracker'!$B116,'Candidate Tracker'!$C:$C,"Offer Drop")=0,"",COUNTIFS('Candidate Tracker'!$E:$E,'Positions Tracker'!$B116,'Candidate Tracker'!$C:$C,"Offer Drop")),"")</f>
        <v/>
      </c>
      <c r="AZ116" s="80">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0.88111888111888115</v>
      </c>
      <c r="BA116" s="81" t="str">
        <f>IFERROR(IF(COUNTIFS('Candidate Tracker'!$E:$E,'Positions Tracker'!$B116,'Candidate Tracker'!$I:$I,"Female")=0,"",COUNTIFS('Candidate Tracker'!$E:$E,'Positions Tracker'!$B116,'Candidate Tracker'!$I:$I,"Female")),"")</f>
        <v/>
      </c>
      <c r="BB116" s="81" t="str">
        <f>IFERROR(IF(COUNTIFS('Candidate Tracker'!$E:$E,'Positions Tracker'!$B116,'Candidate Tracker'!$I:$I,"male")=0,"",COUNTIFS('Candidate Tracker'!$E:$E,'Positions Tracker'!$B116,'Candidate Tracker'!$I:$I,"male")),"")</f>
        <v/>
      </c>
      <c r="BC116" s="80" t="str">
        <f>IFERROR(IF(COUNTIFS('Candidate Tracker'!$E:$E,'Positions Tracker'!$B116,'Candidate Tracker'!$C:$C,"&lt;&gt;WIP",'Candidate Tracker'!$C:$C,"&lt;&gt;Hold",'Candidate Tracker'!$C:$C,"&lt;&gt;Cancelled",'Candidate Tracker'!$C:$C,"&lt;&gt;Closed")/COUNTIFS('Candidate Tracker'!$E:$E,'Positions Tracker'!$B116)=0,"",COUNTIFS('Candidate Tracker'!$E:$E,'Positions Tracker'!$B116,'Candidate Tracker'!$C:$C,"&lt;&gt;WIP",'Candidate Tracker'!$C:$C,"&lt;&gt;Hold",'Candidate Tracker'!$C:$C,"&lt;&gt;Cancelled",'Candidate Tracker'!$C:$C,"&lt;&gt;Closed")/COUNTIFS('Candidate Tracker'!$E:$E,'Positions Tracker'!$B116)),"")</f>
        <v/>
      </c>
      <c r="BD116" s="67" t="str">
        <f t="shared" si="1"/>
        <v>Jun-24</v>
      </c>
      <c r="BE116" s="67" t="str">
        <f t="shared" si="2"/>
        <v>Jul-24</v>
      </c>
      <c r="BF116" s="67" t="str">
        <f t="shared" si="3"/>
        <v>Jul-24</v>
      </c>
      <c r="BG116" s="67" t="str">
        <f t="shared" si="4"/>
        <v>Sep-24</v>
      </c>
    </row>
    <row r="117" spans="1:59">
      <c r="A117" s="67">
        <f t="shared" si="8"/>
        <v>116</v>
      </c>
      <c r="B117" s="67" t="s">
        <v>579</v>
      </c>
      <c r="C117" s="67" t="s">
        <v>116</v>
      </c>
      <c r="D117" s="67" t="s">
        <v>116</v>
      </c>
      <c r="E117" s="67" t="s">
        <v>580</v>
      </c>
      <c r="F117" s="67" t="s">
        <v>581</v>
      </c>
      <c r="G117" s="67" t="s">
        <v>3</v>
      </c>
      <c r="H117" s="67" t="s">
        <v>345</v>
      </c>
      <c r="I117" s="67" t="s">
        <v>544</v>
      </c>
      <c r="J117" s="67" t="s">
        <v>70</v>
      </c>
      <c r="K117" s="68">
        <v>45477</v>
      </c>
      <c r="L117" s="68">
        <v>45477</v>
      </c>
      <c r="M117" s="68">
        <v>45477</v>
      </c>
      <c r="N117" s="67"/>
      <c r="O117" s="68"/>
      <c r="P117" s="68"/>
      <c r="Q117" s="68"/>
      <c r="R117" s="68"/>
      <c r="S117" s="68"/>
      <c r="T117" s="68"/>
      <c r="U117" s="67"/>
      <c r="V117" s="67"/>
      <c r="W117" s="67"/>
      <c r="X117" s="67" t="s">
        <v>72</v>
      </c>
      <c r="Y117" s="67" t="s">
        <v>245</v>
      </c>
      <c r="Z117" s="67" t="s">
        <v>245</v>
      </c>
      <c r="AA117" s="67" t="s">
        <v>116</v>
      </c>
      <c r="AB117" s="67"/>
      <c r="AC117" s="67"/>
      <c r="AD117" s="67"/>
      <c r="AE117" s="67" t="s">
        <v>582</v>
      </c>
      <c r="AF117" s="67">
        <v>7666280966</v>
      </c>
      <c r="AG117" s="67" t="s">
        <v>583</v>
      </c>
      <c r="AH117" s="68" t="s">
        <v>123</v>
      </c>
      <c r="AI117" s="68">
        <v>45533</v>
      </c>
      <c r="AJ117" s="68">
        <v>45552</v>
      </c>
      <c r="AK117" s="67" t="s">
        <v>72</v>
      </c>
      <c r="AL117" s="67">
        <v>750000</v>
      </c>
      <c r="AM117" s="68">
        <v>45538</v>
      </c>
      <c r="AN117" s="68">
        <v>45552</v>
      </c>
      <c r="AO117" s="68"/>
      <c r="AP117" s="68"/>
      <c r="AQ117" s="68"/>
      <c r="AR117" s="68"/>
      <c r="AS117" s="68">
        <v>45544</v>
      </c>
      <c r="AT117" s="67">
        <f t="shared" ca="1" si="9"/>
        <v>0</v>
      </c>
      <c r="AU117" s="79" t="str">
        <f t="shared" ca="1" si="10"/>
        <v/>
      </c>
      <c r="AV117" s="79" t="str" cm="1">
        <f t="array" aca="1" ref="AV117" ca="1">IFERROR(_xlfn.IFS($AU117="","",$AU117&lt;=15,"0-15",AND($AU117&gt;=16,$AU117&lt;=30),"16-30",AND($AU117&gt;=31,$AU117&lt;=45),"31-45",AND($AU117&gt;=46,$AU117&lt;=60),"46-60",AND($AU117&gt;=61,$AU117&lt;=90),"61-90",AND($AU117&gt;=91),"&gt; 90",AND($AU117&gt;=2000),""),"")</f>
        <v/>
      </c>
      <c r="AW117" s="79" cm="1">
        <f t="array" aca="1" ref="AW117" ca="1">IFERROR(_xlfn.IFS(OR($M117="",$AM117=""),"",OR($C117="Offered",$C117="Joined"),($AM117-$M117)-$AT117),"")</f>
        <v>61</v>
      </c>
      <c r="AX117" s="79" cm="1">
        <f t="array" aca="1" ref="AX117" ca="1">IFERROR(_xlfn.IFS(OR($M117="",$AS117=""),"",$C117="Joined",($AS117-$M117)-$AT117),"")</f>
        <v>67</v>
      </c>
      <c r="AY117" s="67" t="str">
        <f>IFERROR(IF(COUNTIFS('Candidate Tracker'!$E:$E,'Positions Tracker'!$B117,'Candidate Tracker'!$C:$C,"Offer Drop")=0,"",COUNTIFS('Candidate Tracker'!$E:$E,'Positions Tracker'!$B117,'Candidate Tracker'!$C:$C,"Offer Drop")),"")</f>
        <v/>
      </c>
      <c r="AZ117" s="80">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0.88111888111888115</v>
      </c>
      <c r="BA117" s="81" t="str">
        <f>IFERROR(IF(COUNTIFS('Candidate Tracker'!$E:$E,'Positions Tracker'!$B117,'Candidate Tracker'!$I:$I,"Female")=0,"",COUNTIFS('Candidate Tracker'!$E:$E,'Positions Tracker'!$B117,'Candidate Tracker'!$I:$I,"Female")),"")</f>
        <v/>
      </c>
      <c r="BB117" s="81">
        <f>IFERROR(IF(COUNTIFS('Candidate Tracker'!$E:$E,'Positions Tracker'!$B117,'Candidate Tracker'!$I:$I,"male")=0,"",COUNTIFS('Candidate Tracker'!$E:$E,'Positions Tracker'!$B117,'Candidate Tracker'!$I:$I,"male")),"")</f>
        <v>1</v>
      </c>
      <c r="BC117" s="80">
        <f>IFERROR(IF(COUNTIFS('Candidate Tracker'!$E:$E,'Positions Tracker'!$B117,'Candidate Tracker'!$C:$C,"&lt;&gt;WIP",'Candidate Tracker'!$C:$C,"&lt;&gt;Hold",'Candidate Tracker'!$C:$C,"&lt;&gt;Cancelled",'Candidate Tracker'!$C:$C,"&lt;&gt;Closed")/COUNTIFS('Candidate Tracker'!$E:$E,'Positions Tracker'!$B117)=0,"",COUNTIFS('Candidate Tracker'!$E:$E,'Positions Tracker'!$B117,'Candidate Tracker'!$C:$C,"&lt;&gt;WIP",'Candidate Tracker'!$C:$C,"&lt;&gt;Hold",'Candidate Tracker'!$C:$C,"&lt;&gt;Cancelled",'Candidate Tracker'!$C:$C,"&lt;&gt;Closed")/COUNTIFS('Candidate Tracker'!$E:$E,'Positions Tracker'!$B117)),"")</f>
        <v>1</v>
      </c>
      <c r="BD117" s="67" t="str">
        <f t="shared" si="1"/>
        <v>Jul-24</v>
      </c>
      <c r="BE117" s="67" t="str">
        <f t="shared" si="2"/>
        <v>Aug-24</v>
      </c>
      <c r="BF117" s="67" t="str">
        <f t="shared" si="3"/>
        <v>Sep-24</v>
      </c>
      <c r="BG117" s="67" t="str">
        <f t="shared" si="4"/>
        <v>Sep-24</v>
      </c>
    </row>
    <row r="118" spans="1:59">
      <c r="A118" s="67">
        <f t="shared" si="8"/>
        <v>117</v>
      </c>
      <c r="B118" s="67" t="s">
        <v>584</v>
      </c>
      <c r="C118" s="67" t="s">
        <v>116</v>
      </c>
      <c r="D118" s="67" t="s">
        <v>116</v>
      </c>
      <c r="E118" s="67" t="s">
        <v>472</v>
      </c>
      <c r="F118" s="67" t="s">
        <v>468</v>
      </c>
      <c r="G118" s="67" t="s">
        <v>3</v>
      </c>
      <c r="H118" s="67" t="s">
        <v>111</v>
      </c>
      <c r="I118" s="67" t="s">
        <v>228</v>
      </c>
      <c r="J118" s="67" t="s">
        <v>70</v>
      </c>
      <c r="K118" s="68">
        <v>45588</v>
      </c>
      <c r="L118" s="68">
        <v>45588</v>
      </c>
      <c r="M118" s="68">
        <v>45588</v>
      </c>
      <c r="N118" s="67"/>
      <c r="O118" s="68"/>
      <c r="P118" s="68"/>
      <c r="Q118" s="68"/>
      <c r="R118" s="68"/>
      <c r="S118" s="68"/>
      <c r="T118" s="68"/>
      <c r="U118" s="67"/>
      <c r="V118" s="67"/>
      <c r="W118" s="67"/>
      <c r="X118" s="67" t="s">
        <v>72</v>
      </c>
      <c r="Y118" s="67" t="s">
        <v>245</v>
      </c>
      <c r="Z118" s="67" t="s">
        <v>245</v>
      </c>
      <c r="AA118" s="67" t="s">
        <v>116</v>
      </c>
      <c r="AB118" s="67"/>
      <c r="AC118" s="67"/>
      <c r="AD118" s="67"/>
      <c r="AE118" s="67" t="s">
        <v>585</v>
      </c>
      <c r="AF118" s="67">
        <v>8004906910</v>
      </c>
      <c r="AG118" s="67" t="s">
        <v>586</v>
      </c>
      <c r="AH118" s="68" t="s">
        <v>123</v>
      </c>
      <c r="AI118" s="68">
        <v>45498</v>
      </c>
      <c r="AJ118" s="68">
        <v>45566</v>
      </c>
      <c r="AK118" s="67" t="s">
        <v>72</v>
      </c>
      <c r="AL118" s="67">
        <v>2100000</v>
      </c>
      <c r="AM118" s="68">
        <v>45504</v>
      </c>
      <c r="AN118" s="68">
        <v>45566</v>
      </c>
      <c r="AO118" s="68"/>
      <c r="AP118" s="68"/>
      <c r="AQ118" s="68"/>
      <c r="AR118" s="68"/>
      <c r="AS118" s="68">
        <v>45551</v>
      </c>
      <c r="AT118" s="67">
        <f t="shared" ca="1" si="9"/>
        <v>0</v>
      </c>
      <c r="AU118" s="79" t="str">
        <f t="shared" ca="1" si="10"/>
        <v/>
      </c>
      <c r="AV118" s="79" t="str" cm="1">
        <f t="array" aca="1" ref="AV118" ca="1">IFERROR(_xlfn.IFS($AU118="","",$AU118&lt;=15,"0-15",AND($AU118&gt;=16,$AU118&lt;=30),"16-30",AND($AU118&gt;=31,$AU118&lt;=45),"31-45",AND($AU118&gt;=46,$AU118&lt;=60),"46-60",AND($AU118&gt;=61,$AU118&lt;=90),"61-90",AND($AU118&gt;=91),"&gt; 90",AND($AU118&gt;=2000),""),"")</f>
        <v/>
      </c>
      <c r="AW118" s="79" cm="1">
        <f t="array" aca="1" ref="AW118" ca="1">IFERROR(_xlfn.IFS(OR($M118="",$AM118=""),"",OR($C118="Offered",$C118="Joined"),($AM118-$M118)-$AT118),"")</f>
        <v>-84</v>
      </c>
      <c r="AX118" s="79" cm="1">
        <f t="array" aca="1" ref="AX118" ca="1">IFERROR(_xlfn.IFS(OR($M118="",$AS118=""),"",$C118="Joined",($AS118-$M118)-$AT118),"")</f>
        <v>-37</v>
      </c>
      <c r="AY118" s="67" t="str">
        <f>IFERROR(IF(COUNTIFS('Candidate Tracker'!$E:$E,'Positions Tracker'!$B118,'Candidate Tracker'!$C:$C,"Offer Drop")=0,"",COUNTIFS('Candidate Tracker'!$E:$E,'Positions Tracker'!$B118,'Candidate Tracker'!$C:$C,"Offer Drop")),"")</f>
        <v/>
      </c>
      <c r="AZ118" s="80">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0.88111888111888115</v>
      </c>
      <c r="BA118" s="81" t="str">
        <f>IFERROR(IF(COUNTIFS('Candidate Tracker'!$E:$E,'Positions Tracker'!$B118,'Candidate Tracker'!$I:$I,"Female")=0,"",COUNTIFS('Candidate Tracker'!$E:$E,'Positions Tracker'!$B118,'Candidate Tracker'!$I:$I,"Female")),"")</f>
        <v/>
      </c>
      <c r="BB118" s="81">
        <f>IFERROR(IF(COUNTIFS('Candidate Tracker'!$E:$E,'Positions Tracker'!$B118,'Candidate Tracker'!$I:$I,"male")=0,"",COUNTIFS('Candidate Tracker'!$E:$E,'Positions Tracker'!$B118,'Candidate Tracker'!$I:$I,"male")),"")</f>
        <v>1</v>
      </c>
      <c r="BC118" s="80">
        <f>IFERROR(IF(COUNTIFS('Candidate Tracker'!$E:$E,'Positions Tracker'!$B118,'Candidate Tracker'!$C:$C,"&lt;&gt;WIP",'Candidate Tracker'!$C:$C,"&lt;&gt;Hold",'Candidate Tracker'!$C:$C,"&lt;&gt;Cancelled",'Candidate Tracker'!$C:$C,"&lt;&gt;Closed")/COUNTIFS('Candidate Tracker'!$E:$E,'Positions Tracker'!$B118)=0,"",COUNTIFS('Candidate Tracker'!$E:$E,'Positions Tracker'!$B118,'Candidate Tracker'!$C:$C,"&lt;&gt;WIP",'Candidate Tracker'!$C:$C,"&lt;&gt;Hold",'Candidate Tracker'!$C:$C,"&lt;&gt;Cancelled",'Candidate Tracker'!$C:$C,"&lt;&gt;Closed")/COUNTIFS('Candidate Tracker'!$E:$E,'Positions Tracker'!$B118)),"")</f>
        <v>1</v>
      </c>
      <c r="BD118" s="67" t="str">
        <f t="shared" si="1"/>
        <v>Oct-24</v>
      </c>
      <c r="BE118" s="67" t="str">
        <f t="shared" si="2"/>
        <v>Jul-24</v>
      </c>
      <c r="BF118" s="67" t="str">
        <f t="shared" si="3"/>
        <v>Jul-24</v>
      </c>
      <c r="BG118" s="67" t="str">
        <f t="shared" si="4"/>
        <v>Sep-24</v>
      </c>
    </row>
    <row r="119" spans="1:59">
      <c r="A119" s="67">
        <f t="shared" si="8"/>
        <v>118</v>
      </c>
      <c r="B119" s="67" t="s">
        <v>587</v>
      </c>
      <c r="C119" s="67" t="s">
        <v>116</v>
      </c>
      <c r="D119" s="67" t="s">
        <v>116</v>
      </c>
      <c r="E119" s="67" t="s">
        <v>588</v>
      </c>
      <c r="F119" s="67" t="s">
        <v>589</v>
      </c>
      <c r="G119" s="67" t="s">
        <v>3</v>
      </c>
      <c r="H119" s="67" t="s">
        <v>68</v>
      </c>
      <c r="I119" s="67" t="s">
        <v>101</v>
      </c>
      <c r="J119" s="67" t="s">
        <v>70</v>
      </c>
      <c r="K119" s="68">
        <v>45588</v>
      </c>
      <c r="L119" s="68">
        <v>45588</v>
      </c>
      <c r="M119" s="68">
        <v>45505</v>
      </c>
      <c r="N119" s="67">
        <v>45474</v>
      </c>
      <c r="O119" s="68"/>
      <c r="P119" s="68"/>
      <c r="Q119" s="68"/>
      <c r="R119" s="68"/>
      <c r="S119" s="68"/>
      <c r="T119" s="68"/>
      <c r="U119" s="67"/>
      <c r="V119" s="67"/>
      <c r="W119" s="67"/>
      <c r="X119" s="67" t="s">
        <v>72</v>
      </c>
      <c r="Y119" s="67" t="s">
        <v>245</v>
      </c>
      <c r="Z119" s="67" t="s">
        <v>245</v>
      </c>
      <c r="AA119" s="67" t="s">
        <v>116</v>
      </c>
      <c r="AB119" s="67"/>
      <c r="AC119" s="67"/>
      <c r="AD119" s="67"/>
      <c r="AE119" s="67" t="s">
        <v>590</v>
      </c>
      <c r="AF119" s="67">
        <v>9552498454</v>
      </c>
      <c r="AG119" s="67" t="s">
        <v>591</v>
      </c>
      <c r="AH119" s="68" t="s">
        <v>86</v>
      </c>
      <c r="AI119" s="68">
        <v>45525</v>
      </c>
      <c r="AJ119" s="68">
        <v>45628</v>
      </c>
      <c r="AK119" s="67" t="s">
        <v>72</v>
      </c>
      <c r="AL119" s="67">
        <v>800000</v>
      </c>
      <c r="AM119" s="68">
        <v>45533</v>
      </c>
      <c r="AN119" s="68">
        <v>45628</v>
      </c>
      <c r="AO119" s="68"/>
      <c r="AP119" s="68"/>
      <c r="AQ119" s="68"/>
      <c r="AR119" s="68"/>
      <c r="AS119" s="68">
        <v>45586</v>
      </c>
      <c r="AT119" s="67">
        <f t="shared" ca="1" si="9"/>
        <v>0</v>
      </c>
      <c r="AU119" s="79" t="str">
        <f t="shared" ca="1" si="10"/>
        <v/>
      </c>
      <c r="AV119" s="79" t="str" cm="1">
        <f t="array" aca="1" ref="AV119" ca="1">IFERROR(_xlfn.IFS($AU119="","",$AU119&lt;=15,"0-15",AND($AU119&gt;=16,$AU119&lt;=30),"16-30",AND($AU119&gt;=31,$AU119&lt;=45),"31-45",AND($AU119&gt;=46,$AU119&lt;=60),"46-60",AND($AU119&gt;=61,$AU119&lt;=90),"61-90",AND($AU119&gt;=91),"&gt; 90",AND($AU119&gt;=2000),""),"")</f>
        <v/>
      </c>
      <c r="AW119" s="79" cm="1">
        <f t="array" aca="1" ref="AW119" ca="1">IFERROR(_xlfn.IFS(OR($M119="",$AM119=""),"",OR($C119="Offered",$C119="Joined"),($AM119-$M119)-$AT119),"")</f>
        <v>28</v>
      </c>
      <c r="AX119" s="79" cm="1">
        <f t="array" aca="1" ref="AX119" ca="1">IFERROR(_xlfn.IFS(OR($M119="",$AS119=""),"",$C119="Joined",($AS119-$M119)-$AT119),"")</f>
        <v>81</v>
      </c>
      <c r="AY119" s="67" t="str">
        <f>IFERROR(IF(COUNTIFS('Candidate Tracker'!$E:$E,'Positions Tracker'!$B119,'Candidate Tracker'!$C:$C,"Offer Drop")=0,"",COUNTIFS('Candidate Tracker'!$E:$E,'Positions Tracker'!$B119,'Candidate Tracker'!$C:$C,"Offer Drop")),"")</f>
        <v/>
      </c>
      <c r="AZ119" s="80">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0.88111888111888115</v>
      </c>
      <c r="BA119" s="81">
        <f>IFERROR(IF(COUNTIFS('Candidate Tracker'!$E:$E,'Positions Tracker'!$B119,'Candidate Tracker'!$I:$I,"Female")=0,"",COUNTIFS('Candidate Tracker'!$E:$E,'Positions Tracker'!$B119,'Candidate Tracker'!$I:$I,"Female")),"")</f>
        <v>1</v>
      </c>
      <c r="BB119" s="81" t="str">
        <f>IFERROR(IF(COUNTIFS('Candidate Tracker'!$E:$E,'Positions Tracker'!$B119,'Candidate Tracker'!$I:$I,"male")=0,"",COUNTIFS('Candidate Tracker'!$E:$E,'Positions Tracker'!$B119,'Candidate Tracker'!$I:$I,"male")),"")</f>
        <v/>
      </c>
      <c r="BC119" s="80">
        <f>IFERROR(IF(COUNTIFS('Candidate Tracker'!$E:$E,'Positions Tracker'!$B119,'Candidate Tracker'!$C:$C,"&lt;&gt;WIP",'Candidate Tracker'!$C:$C,"&lt;&gt;Hold",'Candidate Tracker'!$C:$C,"&lt;&gt;Cancelled",'Candidate Tracker'!$C:$C,"&lt;&gt;Closed")/COUNTIFS('Candidate Tracker'!$E:$E,'Positions Tracker'!$B119)=0,"",COUNTIFS('Candidate Tracker'!$E:$E,'Positions Tracker'!$B119,'Candidate Tracker'!$C:$C,"&lt;&gt;WIP",'Candidate Tracker'!$C:$C,"&lt;&gt;Hold",'Candidate Tracker'!$C:$C,"&lt;&gt;Cancelled",'Candidate Tracker'!$C:$C,"&lt;&gt;Closed")/COUNTIFS('Candidate Tracker'!$E:$E,'Positions Tracker'!$B119)),"")</f>
        <v>1</v>
      </c>
      <c r="BD119" s="67" t="str">
        <f t="shared" si="1"/>
        <v>Aug-24</v>
      </c>
      <c r="BE119" s="67" t="str">
        <f t="shared" si="2"/>
        <v>Aug-24</v>
      </c>
      <c r="BF119" s="67" t="str">
        <f t="shared" si="3"/>
        <v>Aug-24</v>
      </c>
      <c r="BG119" s="67" t="str">
        <f t="shared" si="4"/>
        <v>Oct-24</v>
      </c>
    </row>
    <row r="120" spans="1:59">
      <c r="A120" s="67">
        <f t="shared" si="8"/>
        <v>119</v>
      </c>
      <c r="B120" s="67" t="s">
        <v>592</v>
      </c>
      <c r="C120" s="67" t="s">
        <v>116</v>
      </c>
      <c r="D120" s="67" t="s">
        <v>116</v>
      </c>
      <c r="E120" s="67" t="s">
        <v>593</v>
      </c>
      <c r="F120" s="67" t="s">
        <v>589</v>
      </c>
      <c r="G120" s="67" t="s">
        <v>3</v>
      </c>
      <c r="H120" s="67" t="s">
        <v>68</v>
      </c>
      <c r="I120" s="67" t="s">
        <v>101</v>
      </c>
      <c r="J120" s="67" t="s">
        <v>94</v>
      </c>
      <c r="K120" s="68">
        <v>45450</v>
      </c>
      <c r="L120" s="68">
        <v>45588</v>
      </c>
      <c r="M120" s="68">
        <v>45511</v>
      </c>
      <c r="N120" s="67" t="s">
        <v>95</v>
      </c>
      <c r="O120" s="68"/>
      <c r="P120" s="68"/>
      <c r="Q120" s="68"/>
      <c r="R120" s="68"/>
      <c r="S120" s="68"/>
      <c r="T120" s="68"/>
      <c r="U120" s="67"/>
      <c r="V120" s="67"/>
      <c r="W120" s="67"/>
      <c r="X120" s="67" t="s">
        <v>72</v>
      </c>
      <c r="Y120" s="67" t="s">
        <v>245</v>
      </c>
      <c r="Z120" s="67" t="s">
        <v>245</v>
      </c>
      <c r="AA120" s="67" t="s">
        <v>116</v>
      </c>
      <c r="AB120" s="67"/>
      <c r="AC120" s="67"/>
      <c r="AD120" s="67"/>
      <c r="AE120" s="67" t="s">
        <v>594</v>
      </c>
      <c r="AF120" s="67">
        <v>6383231342</v>
      </c>
      <c r="AG120" s="67" t="s">
        <v>595</v>
      </c>
      <c r="AH120" s="68" t="s">
        <v>123</v>
      </c>
      <c r="AI120" s="68">
        <v>45518</v>
      </c>
      <c r="AJ120" s="68">
        <v>45624</v>
      </c>
      <c r="AK120" s="67" t="s">
        <v>72</v>
      </c>
      <c r="AL120" s="67">
        <v>850000</v>
      </c>
      <c r="AM120" s="68">
        <v>45527</v>
      </c>
      <c r="AN120" s="68">
        <v>45624</v>
      </c>
      <c r="AO120" s="68"/>
      <c r="AP120" s="68"/>
      <c r="AQ120" s="68"/>
      <c r="AR120" s="68"/>
      <c r="AS120" s="68">
        <v>45593</v>
      </c>
      <c r="AT120" s="67">
        <f t="shared" ca="1" si="9"/>
        <v>0</v>
      </c>
      <c r="AU120" s="79" t="str">
        <f t="shared" ca="1" si="10"/>
        <v/>
      </c>
      <c r="AV120" s="79" t="str" cm="1">
        <f t="array" aca="1" ref="AV120" ca="1">IFERROR(_xlfn.IFS($AU120="","",$AU120&lt;=15,"0-15",AND($AU120&gt;=16,$AU120&lt;=30),"16-30",AND($AU120&gt;=31,$AU120&lt;=45),"31-45",AND($AU120&gt;=46,$AU120&lt;=60),"46-60",AND($AU120&gt;=61,$AU120&lt;=90),"61-90",AND($AU120&gt;=91),"&gt; 90",AND($AU120&gt;=2000),""),"")</f>
        <v/>
      </c>
      <c r="AW120" s="79" cm="1">
        <f t="array" aca="1" ref="AW120" ca="1">IFERROR(_xlfn.IFS(OR($M120="",$AM120=""),"",OR($C120="Offered",$C120="Joined"),($AM120-$M120)-$AT120),"")</f>
        <v>16</v>
      </c>
      <c r="AX120" s="79" cm="1">
        <f t="array" aca="1" ref="AX120" ca="1">IFERROR(_xlfn.IFS(OR($M120="",$AS120=""),"",$C120="Joined",($AS120-$M120)-$AT120),"")</f>
        <v>82</v>
      </c>
      <c r="AY120" s="67" t="str">
        <f>IFERROR(IF(COUNTIFS('Candidate Tracker'!$E:$E,'Positions Tracker'!$B120,'Candidate Tracker'!$C:$C,"Offer Drop")=0,"",COUNTIFS('Candidate Tracker'!$E:$E,'Positions Tracker'!$B120,'Candidate Tracker'!$C:$C,"Offer Drop")),"")</f>
        <v/>
      </c>
      <c r="AZ120" s="80">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0.88111888111888115</v>
      </c>
      <c r="BA120" s="81" t="str">
        <f>IFERROR(IF(COUNTIFS('Candidate Tracker'!$E:$E,'Positions Tracker'!$B120,'Candidate Tracker'!$I:$I,"Female")=0,"",COUNTIFS('Candidate Tracker'!$E:$E,'Positions Tracker'!$B120,'Candidate Tracker'!$I:$I,"Female")),"")</f>
        <v/>
      </c>
      <c r="BB120" s="81">
        <f>IFERROR(IF(COUNTIFS('Candidate Tracker'!$E:$E,'Positions Tracker'!$B120,'Candidate Tracker'!$I:$I,"male")=0,"",COUNTIFS('Candidate Tracker'!$E:$E,'Positions Tracker'!$B120,'Candidate Tracker'!$I:$I,"male")),"")</f>
        <v>1</v>
      </c>
      <c r="BC120" s="80">
        <f>IFERROR(IF(COUNTIFS('Candidate Tracker'!$E:$E,'Positions Tracker'!$B120,'Candidate Tracker'!$C:$C,"&lt;&gt;WIP",'Candidate Tracker'!$C:$C,"&lt;&gt;Hold",'Candidate Tracker'!$C:$C,"&lt;&gt;Cancelled",'Candidate Tracker'!$C:$C,"&lt;&gt;Closed")/COUNTIFS('Candidate Tracker'!$E:$E,'Positions Tracker'!$B120)=0,"",COUNTIFS('Candidate Tracker'!$E:$E,'Positions Tracker'!$B120,'Candidate Tracker'!$C:$C,"&lt;&gt;WIP",'Candidate Tracker'!$C:$C,"&lt;&gt;Hold",'Candidate Tracker'!$C:$C,"&lt;&gt;Cancelled",'Candidate Tracker'!$C:$C,"&lt;&gt;Closed")/COUNTIFS('Candidate Tracker'!$E:$E,'Positions Tracker'!$B120)),"")</f>
        <v>1</v>
      </c>
      <c r="BD120" s="67" t="str">
        <f t="shared" si="1"/>
        <v>Aug-24</v>
      </c>
      <c r="BE120" s="67" t="str">
        <f t="shared" si="2"/>
        <v>Aug-24</v>
      </c>
      <c r="BF120" s="67" t="str">
        <f t="shared" si="3"/>
        <v>Aug-24</v>
      </c>
      <c r="BG120" s="67" t="str">
        <f t="shared" si="4"/>
        <v>Oct-24</v>
      </c>
    </row>
    <row r="121" spans="1:59">
      <c r="A121" s="67">
        <f t="shared" si="8"/>
        <v>120</v>
      </c>
      <c r="B121" s="67" t="s">
        <v>596</v>
      </c>
      <c r="C121" s="67" t="s">
        <v>116</v>
      </c>
      <c r="D121" s="67" t="s">
        <v>116</v>
      </c>
      <c r="E121" s="67" t="s">
        <v>597</v>
      </c>
      <c r="F121" s="67" t="s">
        <v>598</v>
      </c>
      <c r="G121" s="67" t="s">
        <v>3</v>
      </c>
      <c r="H121" s="67" t="s">
        <v>111</v>
      </c>
      <c r="I121" s="67" t="s">
        <v>228</v>
      </c>
      <c r="J121" s="67" t="s">
        <v>70</v>
      </c>
      <c r="K121" s="68">
        <v>45477</v>
      </c>
      <c r="L121" s="68">
        <v>45603</v>
      </c>
      <c r="M121" s="68">
        <v>45593</v>
      </c>
      <c r="N121" s="67" t="s">
        <v>71</v>
      </c>
      <c r="O121" s="68"/>
      <c r="P121" s="68"/>
      <c r="Q121" s="68"/>
      <c r="R121" s="68"/>
      <c r="S121" s="68"/>
      <c r="T121" s="68"/>
      <c r="U121" s="67"/>
      <c r="V121" s="67"/>
      <c r="W121" s="67"/>
      <c r="X121" s="67" t="s">
        <v>72</v>
      </c>
      <c r="Y121" s="67" t="s">
        <v>245</v>
      </c>
      <c r="Z121" s="67" t="s">
        <v>245</v>
      </c>
      <c r="AA121" s="67" t="s">
        <v>116</v>
      </c>
      <c r="AB121" s="67"/>
      <c r="AC121" s="67"/>
      <c r="AD121" s="67"/>
      <c r="AE121" s="67" t="s">
        <v>599</v>
      </c>
      <c r="AF121" s="67">
        <v>8333002363</v>
      </c>
      <c r="AG121" s="67" t="s">
        <v>600</v>
      </c>
      <c r="AH121" s="68" t="s">
        <v>86</v>
      </c>
      <c r="AI121" s="68">
        <v>45546</v>
      </c>
      <c r="AJ121" s="68">
        <v>45677</v>
      </c>
      <c r="AK121" s="67" t="s">
        <v>72</v>
      </c>
      <c r="AL121" s="67">
        <v>850000</v>
      </c>
      <c r="AM121" s="68">
        <v>45552</v>
      </c>
      <c r="AN121" s="68">
        <v>45677</v>
      </c>
      <c r="AO121" s="68"/>
      <c r="AP121" s="68"/>
      <c r="AQ121" s="68"/>
      <c r="AR121" s="68"/>
      <c r="AS121" s="68">
        <v>45614</v>
      </c>
      <c r="AT121" s="67">
        <f t="shared" ca="1" si="9"/>
        <v>0</v>
      </c>
      <c r="AU121" s="79" t="str">
        <f t="shared" ca="1" si="10"/>
        <v/>
      </c>
      <c r="AV121" s="79" t="str" cm="1">
        <f t="array" aca="1" ref="AV121" ca="1">IFERROR(_xlfn.IFS($AU121="","",$AU121&lt;=15,"0-15",AND($AU121&gt;=16,$AU121&lt;=30),"16-30",AND($AU121&gt;=31,$AU121&lt;=45),"31-45",AND($AU121&gt;=46,$AU121&lt;=60),"46-60",AND($AU121&gt;=61,$AU121&lt;=90),"61-90",AND($AU121&gt;=91),"&gt; 90",AND($AU121&gt;=2000),""),"")</f>
        <v/>
      </c>
      <c r="AW121" s="79" cm="1">
        <f t="array" aca="1" ref="AW121" ca="1">IFERROR(_xlfn.IFS(OR($M121="",$AM121=""),"",OR($C121="Offered",$C121="Joined"),($AM121-$M121)-$AT121),"")</f>
        <v>-41</v>
      </c>
      <c r="AX121" s="79" cm="1">
        <f t="array" aca="1" ref="AX121" ca="1">IFERROR(_xlfn.IFS(OR($M121="",$AS121=""),"",$C121="Joined",($AS121-$M121)-$AT121),"")</f>
        <v>21</v>
      </c>
      <c r="AY121" s="67" t="str">
        <f>IFERROR(IF(COUNTIFS('Candidate Tracker'!$E:$E,'Positions Tracker'!$B121,'Candidate Tracker'!$C:$C,"Offer Drop")=0,"",COUNTIFS('Candidate Tracker'!$E:$E,'Positions Tracker'!$B121,'Candidate Tracker'!$C:$C,"Offer Drop")),"")</f>
        <v/>
      </c>
      <c r="AZ121" s="80">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0.88111888111888115</v>
      </c>
      <c r="BA121" s="81" t="str">
        <f>IFERROR(IF(COUNTIFS('Candidate Tracker'!$E:$E,'Positions Tracker'!$B121,'Candidate Tracker'!$I:$I,"Female")=0,"",COUNTIFS('Candidate Tracker'!$E:$E,'Positions Tracker'!$B121,'Candidate Tracker'!$I:$I,"Female")),"")</f>
        <v/>
      </c>
      <c r="BB121" s="81">
        <f>IFERROR(IF(COUNTIFS('Candidate Tracker'!$E:$E,'Positions Tracker'!$B121,'Candidate Tracker'!$I:$I,"male")=0,"",COUNTIFS('Candidate Tracker'!$E:$E,'Positions Tracker'!$B121,'Candidate Tracker'!$I:$I,"male")),"")</f>
        <v>1</v>
      </c>
      <c r="BC121" s="80">
        <f>IFERROR(IF(COUNTIFS('Candidate Tracker'!$E:$E,'Positions Tracker'!$B121,'Candidate Tracker'!$C:$C,"&lt;&gt;WIP",'Candidate Tracker'!$C:$C,"&lt;&gt;Hold",'Candidate Tracker'!$C:$C,"&lt;&gt;Cancelled",'Candidate Tracker'!$C:$C,"&lt;&gt;Closed")/COUNTIFS('Candidate Tracker'!$E:$E,'Positions Tracker'!$B121)=0,"",COUNTIFS('Candidate Tracker'!$E:$E,'Positions Tracker'!$B121,'Candidate Tracker'!$C:$C,"&lt;&gt;WIP",'Candidate Tracker'!$C:$C,"&lt;&gt;Hold",'Candidate Tracker'!$C:$C,"&lt;&gt;Cancelled",'Candidate Tracker'!$C:$C,"&lt;&gt;Closed")/COUNTIFS('Candidate Tracker'!$E:$E,'Positions Tracker'!$B121)),"")</f>
        <v>1</v>
      </c>
      <c r="BD121" s="67" t="str">
        <f t="shared" si="1"/>
        <v>Oct-24</v>
      </c>
      <c r="BE121" s="67" t="str">
        <f t="shared" si="2"/>
        <v>Sep-24</v>
      </c>
      <c r="BF121" s="67" t="str">
        <f t="shared" si="3"/>
        <v>Sep-24</v>
      </c>
      <c r="BG121" s="67" t="str">
        <f t="shared" si="4"/>
        <v>Nov-24</v>
      </c>
    </row>
    <row r="122" spans="1:59">
      <c r="A122" s="67">
        <f t="shared" si="8"/>
        <v>121</v>
      </c>
      <c r="B122" s="67" t="s">
        <v>601</v>
      </c>
      <c r="C122" s="67" t="s">
        <v>64</v>
      </c>
      <c r="D122" s="67" t="s">
        <v>65</v>
      </c>
      <c r="E122" s="67" t="s">
        <v>602</v>
      </c>
      <c r="F122" s="67" t="s">
        <v>437</v>
      </c>
      <c r="G122" s="67" t="s">
        <v>3</v>
      </c>
      <c r="H122" s="67" t="s">
        <v>68</v>
      </c>
      <c r="I122" s="67" t="s">
        <v>438</v>
      </c>
      <c r="J122" s="67" t="s">
        <v>70</v>
      </c>
      <c r="K122" s="68">
        <v>45717</v>
      </c>
      <c r="L122" s="68">
        <v>45717</v>
      </c>
      <c r="M122" s="68">
        <v>45717</v>
      </c>
      <c r="N122" s="67" t="s">
        <v>95</v>
      </c>
      <c r="O122" s="68"/>
      <c r="P122" s="68"/>
      <c r="Q122" s="68"/>
      <c r="R122" s="68"/>
      <c r="S122" s="68"/>
      <c r="T122" s="68"/>
      <c r="U122" s="67"/>
      <c r="V122" s="67"/>
      <c r="W122" s="67"/>
      <c r="X122" s="67" t="s">
        <v>72</v>
      </c>
      <c r="Y122" s="67" t="s">
        <v>245</v>
      </c>
      <c r="Z122" s="67" t="s">
        <v>245</v>
      </c>
      <c r="AA122" s="67" t="s">
        <v>603</v>
      </c>
      <c r="AB122" s="67"/>
      <c r="AC122" s="67"/>
      <c r="AD122" s="67"/>
      <c r="AE122" s="67"/>
      <c r="AF122" s="67"/>
      <c r="AG122" s="67"/>
      <c r="AH122" s="68"/>
      <c r="AI122" s="68"/>
      <c r="AJ122" s="68"/>
      <c r="AK122" s="67"/>
      <c r="AL122" s="67"/>
      <c r="AM122" s="68"/>
      <c r="AN122" s="68"/>
      <c r="AO122" s="68"/>
      <c r="AP122" s="68"/>
      <c r="AQ122" s="68"/>
      <c r="AR122" s="68"/>
      <c r="AS122" s="68">
        <v>45624</v>
      </c>
      <c r="AT122" s="67">
        <f t="shared" ca="1" si="9"/>
        <v>0</v>
      </c>
      <c r="AU122" s="79" t="str">
        <f t="shared" ca="1" si="10"/>
        <v/>
      </c>
      <c r="AV122" s="79" t="str" cm="1">
        <f t="array" aca="1" ref="AV122" ca="1">IFERROR(_xlfn.IFS($AU122="","",$AU122&lt;=15,"0-15",AND($AU122&gt;=16,$AU122&lt;=30),"16-30",AND($AU122&gt;=31,$AU122&lt;=45),"31-45",AND($AU122&gt;=46,$AU122&lt;=60),"46-60",AND($AU122&gt;=61,$AU122&lt;=90),"61-90",AND($AU122&gt;=91),"&gt; 90",AND($AU122&gt;=2000),""),"")</f>
        <v/>
      </c>
      <c r="AW122" s="79" t="str" cm="1">
        <f t="array" aca="1" ref="AW122" ca="1">IFERROR(_xlfn.IFS(OR($M122="",$AM122=""),"",OR($C122="Offered",$C122="Joined"),($AM122-$M122)-$AT122),"")</f>
        <v/>
      </c>
      <c r="AX122" s="79" t="str" cm="1">
        <f t="array" aca="1" ref="AX122" ca="1">IFERROR(_xlfn.IFS(OR($M122="",$AS122=""),"",$C122="Joined",($AS122-$M122)-$AT122),"")</f>
        <v/>
      </c>
      <c r="AY122" s="67" t="str">
        <f>IFERROR(IF(COUNTIFS('Candidate Tracker'!$E:$E,'Positions Tracker'!$B122,'Candidate Tracker'!$C:$C,"Offer Drop")=0,"",COUNTIFS('Candidate Tracker'!$E:$E,'Positions Tracker'!$B122,'Candidate Tracker'!$C:$C,"Offer Drop")),"")</f>
        <v/>
      </c>
      <c r="AZ122" s="80">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0.88111888111888115</v>
      </c>
      <c r="BA122" s="81" t="str">
        <f>IFERROR(IF(COUNTIFS('Candidate Tracker'!$E:$E,'Positions Tracker'!$B122,'Candidate Tracker'!$I:$I,"Female")=0,"",COUNTIFS('Candidate Tracker'!$E:$E,'Positions Tracker'!$B122,'Candidate Tracker'!$I:$I,"Female")),"")</f>
        <v/>
      </c>
      <c r="BB122" s="81">
        <f>IFERROR(IF(COUNTIFS('Candidate Tracker'!$E:$E,'Positions Tracker'!$B122,'Candidate Tracker'!$I:$I,"male")=0,"",COUNTIFS('Candidate Tracker'!$E:$E,'Positions Tracker'!$B122,'Candidate Tracker'!$I:$I,"male")),"")</f>
        <v>10</v>
      </c>
      <c r="BC122" s="80" t="str">
        <f>IFERROR(IF(COUNTIFS('Candidate Tracker'!$E:$E,'Positions Tracker'!$B122,'Candidate Tracker'!$C:$C,"&lt;&gt;WIP",'Candidate Tracker'!$C:$C,"&lt;&gt;Hold",'Candidate Tracker'!$C:$C,"&lt;&gt;Cancelled",'Candidate Tracker'!$C:$C,"&lt;&gt;Closed")/COUNTIFS('Candidate Tracker'!$E:$E,'Positions Tracker'!$B122)=0,"",COUNTIFS('Candidate Tracker'!$E:$E,'Positions Tracker'!$B122,'Candidate Tracker'!$C:$C,"&lt;&gt;WIP",'Candidate Tracker'!$C:$C,"&lt;&gt;Hold",'Candidate Tracker'!$C:$C,"&lt;&gt;Cancelled",'Candidate Tracker'!$C:$C,"&lt;&gt;Closed")/COUNTIFS('Candidate Tracker'!$E:$E,'Positions Tracker'!$B122)),"")</f>
        <v/>
      </c>
      <c r="BD122" s="67" t="str">
        <f t="shared" si="1"/>
        <v>Mar-25</v>
      </c>
      <c r="BE122" s="67" t="str">
        <f t="shared" si="2"/>
        <v/>
      </c>
      <c r="BF122" s="67" t="str">
        <f t="shared" si="3"/>
        <v/>
      </c>
      <c r="BG122" s="67" t="str">
        <f t="shared" si="4"/>
        <v>Nov-24</v>
      </c>
    </row>
    <row r="123" spans="1:59" ht="29">
      <c r="A123" s="67">
        <f t="shared" si="8"/>
        <v>122</v>
      </c>
      <c r="B123" s="67">
        <v>20254427</v>
      </c>
      <c r="C123" s="67" t="s">
        <v>55</v>
      </c>
      <c r="D123" s="67" t="s">
        <v>80</v>
      </c>
      <c r="E123" s="67" t="s">
        <v>604</v>
      </c>
      <c r="F123" s="67" t="s">
        <v>605</v>
      </c>
      <c r="G123" s="67" t="s">
        <v>3</v>
      </c>
      <c r="H123" s="67" t="s">
        <v>111</v>
      </c>
      <c r="I123" s="67" t="s">
        <v>228</v>
      </c>
      <c r="J123" s="67" t="s">
        <v>70</v>
      </c>
      <c r="K123" s="68">
        <v>45350</v>
      </c>
      <c r="L123" s="68">
        <v>45485</v>
      </c>
      <c r="M123" s="68">
        <v>45669</v>
      </c>
      <c r="N123" s="67" t="s">
        <v>95</v>
      </c>
      <c r="O123" s="68"/>
      <c r="P123" s="68"/>
      <c r="Q123" s="68"/>
      <c r="R123" s="68"/>
      <c r="S123" s="68"/>
      <c r="T123" s="68"/>
      <c r="U123" s="67"/>
      <c r="V123" s="67"/>
      <c r="W123" s="67"/>
      <c r="X123" s="67" t="s">
        <v>72</v>
      </c>
      <c r="Y123" s="67" t="s">
        <v>74</v>
      </c>
      <c r="Z123" s="67" t="s">
        <v>74</v>
      </c>
      <c r="AA123" s="69" t="s">
        <v>606</v>
      </c>
      <c r="AB123" s="67"/>
      <c r="AC123" s="67"/>
      <c r="AD123" s="67"/>
      <c r="AE123" s="67" t="s">
        <v>607</v>
      </c>
      <c r="AF123" s="67">
        <v>9913164111</v>
      </c>
      <c r="AG123" s="67" t="s">
        <v>608</v>
      </c>
      <c r="AH123" s="68" t="s">
        <v>86</v>
      </c>
      <c r="AI123" s="68">
        <v>45757</v>
      </c>
      <c r="AJ123" s="68">
        <v>45761</v>
      </c>
      <c r="AK123" s="67" t="s">
        <v>72</v>
      </c>
      <c r="AL123" s="67">
        <v>1500000</v>
      </c>
      <c r="AM123" s="68">
        <v>45761</v>
      </c>
      <c r="AN123" s="68">
        <v>45762</v>
      </c>
      <c r="AO123" s="68">
        <v>45803</v>
      </c>
      <c r="AP123" s="68">
        <v>45765</v>
      </c>
      <c r="AQ123" s="68">
        <v>45766</v>
      </c>
      <c r="AR123" s="68">
        <v>45813</v>
      </c>
      <c r="AS123" s="68">
        <v>45817</v>
      </c>
      <c r="AT123" s="67">
        <f t="shared" ca="1" si="9"/>
        <v>0</v>
      </c>
      <c r="AU123" s="79" t="str">
        <f t="shared" ca="1" si="10"/>
        <v/>
      </c>
      <c r="AV123" s="79" t="str" cm="1">
        <f t="array" aca="1" ref="AV123" ca="1">IFERROR(_xlfn.IFS($AU123="","",$AU123&lt;=15,"0-15",AND($AU123&gt;=16,$AU123&lt;=30),"16-30",AND($AU123&gt;=31,$AU123&lt;=45),"31-45",AND($AU123&gt;=46,$AU123&lt;=60),"46-60",AND($AU123&gt;=61,$AU123&lt;=90),"61-90",AND($AU123&gt;=91),"&gt; 90",AND($AU123&gt;=2000),""),"")</f>
        <v/>
      </c>
      <c r="AW123" s="79" t="str" cm="1">
        <f t="array" aca="1" ref="AW123" ca="1">IFERROR(_xlfn.IFS(OR($M123="",$AM123=""),"",OR($C123="Offered",$C123="Joined"),($AM123-$M123)-$AT123),"")</f>
        <v/>
      </c>
      <c r="AX123" s="79" t="str" cm="1">
        <f t="array" aca="1" ref="AX123" ca="1">IFERROR(_xlfn.IFS(OR($M123="",$AS123=""),"",$C123="Joined",($AS123-$M123)-$AT123),"")</f>
        <v/>
      </c>
      <c r="AY123" s="67" t="str">
        <f>IFERROR(IF(COUNTIFS('Candidate Tracker'!$E:$E,'Positions Tracker'!$B123,'Candidate Tracker'!$C:$C,"Offer Drop")=0,"",COUNTIFS('Candidate Tracker'!$E:$E,'Positions Tracker'!$B123,'Candidate Tracker'!$C:$C,"Offer Drop")),"")</f>
        <v/>
      </c>
      <c r="AZ123" s="80">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0.88111888111888115</v>
      </c>
      <c r="BA123" s="81" t="str">
        <f>IFERROR(IF(COUNTIFS('Candidate Tracker'!$E:$E,'Positions Tracker'!$B123,'Candidate Tracker'!$I:$I,"Female")=0,"",COUNTIFS('Candidate Tracker'!$E:$E,'Positions Tracker'!$B123,'Candidate Tracker'!$I:$I,"Female")),"")</f>
        <v/>
      </c>
      <c r="BB123" s="81" t="str">
        <f>IFERROR(IF(COUNTIFS('Candidate Tracker'!$E:$E,'Positions Tracker'!$B123,'Candidate Tracker'!$I:$I,"male")=0,"",COUNTIFS('Candidate Tracker'!$E:$E,'Positions Tracker'!$B123,'Candidate Tracker'!$I:$I,"male")),"")</f>
        <v/>
      </c>
      <c r="BC123" s="80" t="str">
        <f>IFERROR(IF(COUNTIFS('Candidate Tracker'!$E:$E,'Positions Tracker'!$B123,'Candidate Tracker'!$C:$C,"&lt;&gt;WIP",'Candidate Tracker'!$C:$C,"&lt;&gt;Hold",'Candidate Tracker'!$C:$C,"&lt;&gt;Cancelled",'Candidate Tracker'!$C:$C,"&lt;&gt;Closed")/COUNTIFS('Candidate Tracker'!$E:$E,'Positions Tracker'!$B123)=0,"",COUNTIFS('Candidate Tracker'!$E:$E,'Positions Tracker'!$B123,'Candidate Tracker'!$C:$C,"&lt;&gt;WIP",'Candidate Tracker'!$C:$C,"&lt;&gt;Hold",'Candidate Tracker'!$C:$C,"&lt;&gt;Cancelled",'Candidate Tracker'!$C:$C,"&lt;&gt;Closed")/COUNTIFS('Candidate Tracker'!$E:$E,'Positions Tracker'!$B123)),"")</f>
        <v/>
      </c>
      <c r="BD123" s="67" t="str">
        <f t="shared" si="1"/>
        <v>Jan-25</v>
      </c>
      <c r="BE123" s="67" t="str">
        <f t="shared" si="2"/>
        <v>Apr-25</v>
      </c>
      <c r="BF123" s="67" t="str">
        <f t="shared" si="3"/>
        <v>Apr-25</v>
      </c>
      <c r="BG123" s="67" t="str">
        <f t="shared" si="4"/>
        <v>Jun-25</v>
      </c>
    </row>
    <row r="124" spans="1:59">
      <c r="A124" s="67">
        <f t="shared" si="8"/>
        <v>123</v>
      </c>
      <c r="B124" s="67" t="s">
        <v>609</v>
      </c>
      <c r="C124" s="67" t="s">
        <v>116</v>
      </c>
      <c r="D124" s="67" t="s">
        <v>116</v>
      </c>
      <c r="E124" s="67" t="s">
        <v>610</v>
      </c>
      <c r="F124" s="67" t="s">
        <v>611</v>
      </c>
      <c r="G124" s="67" t="s">
        <v>1</v>
      </c>
      <c r="H124" s="67" t="s">
        <v>612</v>
      </c>
      <c r="I124" s="67" t="s">
        <v>101</v>
      </c>
      <c r="J124" s="67" t="s">
        <v>70</v>
      </c>
      <c r="K124" s="68">
        <v>45580</v>
      </c>
      <c r="L124" s="68">
        <v>45621</v>
      </c>
      <c r="M124" s="68">
        <v>45556</v>
      </c>
      <c r="N124" s="67" t="s">
        <v>613</v>
      </c>
      <c r="O124" s="68"/>
      <c r="P124" s="68"/>
      <c r="Q124" s="68"/>
      <c r="R124" s="68"/>
      <c r="S124" s="68"/>
      <c r="T124" s="68"/>
      <c r="U124" s="67"/>
      <c r="V124" s="67"/>
      <c r="W124" s="67"/>
      <c r="X124" s="67" t="s">
        <v>72</v>
      </c>
      <c r="Y124" s="67" t="s">
        <v>245</v>
      </c>
      <c r="Z124" s="67" t="s">
        <v>245</v>
      </c>
      <c r="AA124" s="67" t="s">
        <v>116</v>
      </c>
      <c r="AB124" s="67"/>
      <c r="AC124" s="67"/>
      <c r="AD124" s="67"/>
      <c r="AE124" s="67" t="s">
        <v>614</v>
      </c>
      <c r="AF124" s="67">
        <v>7992308690</v>
      </c>
      <c r="AG124" s="67" t="s">
        <v>615</v>
      </c>
      <c r="AH124" s="68" t="s">
        <v>123</v>
      </c>
      <c r="AI124" s="68">
        <v>45618</v>
      </c>
      <c r="AJ124" s="68">
        <v>45562</v>
      </c>
      <c r="AK124" s="67" t="s">
        <v>72</v>
      </c>
      <c r="AL124" s="67">
        <v>850000</v>
      </c>
      <c r="AM124" s="68">
        <v>45624</v>
      </c>
      <c r="AN124" s="68">
        <v>45588</v>
      </c>
      <c r="AO124" s="68"/>
      <c r="AP124" s="68">
        <v>45589</v>
      </c>
      <c r="AQ124" s="68">
        <v>45589</v>
      </c>
      <c r="AR124" s="68">
        <v>45590</v>
      </c>
      <c r="AS124" s="68">
        <v>45649</v>
      </c>
      <c r="AT124" s="67">
        <f t="shared" ca="1" si="9"/>
        <v>0</v>
      </c>
      <c r="AU124" s="79" t="str">
        <f t="shared" ca="1" si="10"/>
        <v/>
      </c>
      <c r="AV124" s="79" t="str" cm="1">
        <f t="array" aca="1" ref="AV124" ca="1">IFERROR(_xlfn.IFS($AU124="","",$AU124&lt;=15,"0-15",AND($AU124&gt;=16,$AU124&lt;=30),"16-30",AND($AU124&gt;=31,$AU124&lt;=45),"31-45",AND($AU124&gt;=46,$AU124&lt;=60),"46-60",AND($AU124&gt;=61,$AU124&lt;=90),"61-90",AND($AU124&gt;=91),"&gt; 90",AND($AU124&gt;=2000),""),"")</f>
        <v/>
      </c>
      <c r="AW124" s="79" cm="1">
        <f t="array" aca="1" ref="AW124" ca="1">IFERROR(_xlfn.IFS(OR($M124="",$AM124=""),"",OR($C124="Offered",$C124="Joined"),($AM124-$M124)-$AT124),"")</f>
        <v>68</v>
      </c>
      <c r="AX124" s="79" cm="1">
        <f t="array" aca="1" ref="AX124" ca="1">IFERROR(_xlfn.IFS(OR($M124="",$AS124=""),"",$C124="Joined",($AS124-$M124)-$AT124),"")</f>
        <v>93</v>
      </c>
      <c r="AY124" s="67" t="str">
        <f>IFERROR(IF(COUNTIFS('Candidate Tracker'!$E:$E,'Positions Tracker'!$B124,'Candidate Tracker'!$C:$C,"Offer Drop")=0,"",COUNTIFS('Candidate Tracker'!$E:$E,'Positions Tracker'!$B124,'Candidate Tracker'!$C:$C,"Offer Drop")),"")</f>
        <v/>
      </c>
      <c r="AZ124" s="80">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0.88111888111888115</v>
      </c>
      <c r="BA124" s="81" t="str">
        <f>IFERROR(IF(COUNTIFS('Candidate Tracker'!$E:$E,'Positions Tracker'!$B124,'Candidate Tracker'!$I:$I,"Female")=0,"",COUNTIFS('Candidate Tracker'!$E:$E,'Positions Tracker'!$B124,'Candidate Tracker'!$I:$I,"Female")),"")</f>
        <v/>
      </c>
      <c r="BB124" s="81">
        <f>IFERROR(IF(COUNTIFS('Candidate Tracker'!$E:$E,'Positions Tracker'!$B124,'Candidate Tracker'!$I:$I,"male")=0,"",COUNTIFS('Candidate Tracker'!$E:$E,'Positions Tracker'!$B124,'Candidate Tracker'!$I:$I,"male")),"")</f>
        <v>1</v>
      </c>
      <c r="BC124" s="80">
        <f>IFERROR(IF(COUNTIFS('Candidate Tracker'!$E:$E,'Positions Tracker'!$B124,'Candidate Tracker'!$C:$C,"&lt;&gt;WIP",'Candidate Tracker'!$C:$C,"&lt;&gt;Hold",'Candidate Tracker'!$C:$C,"&lt;&gt;Cancelled",'Candidate Tracker'!$C:$C,"&lt;&gt;Closed")/COUNTIFS('Candidate Tracker'!$E:$E,'Positions Tracker'!$B124)=0,"",COUNTIFS('Candidate Tracker'!$E:$E,'Positions Tracker'!$B124,'Candidate Tracker'!$C:$C,"&lt;&gt;WIP",'Candidate Tracker'!$C:$C,"&lt;&gt;Hold",'Candidate Tracker'!$C:$C,"&lt;&gt;Cancelled",'Candidate Tracker'!$C:$C,"&lt;&gt;Closed")/COUNTIFS('Candidate Tracker'!$E:$E,'Positions Tracker'!$B124)),"")</f>
        <v>1</v>
      </c>
      <c r="BD124" s="67" t="str">
        <f t="shared" si="1"/>
        <v>Sep-24</v>
      </c>
      <c r="BE124" s="67" t="str">
        <f t="shared" si="2"/>
        <v>Nov-24</v>
      </c>
      <c r="BF124" s="67" t="str">
        <f t="shared" si="3"/>
        <v>Nov-24</v>
      </c>
      <c r="BG124" s="67" t="str">
        <f t="shared" si="4"/>
        <v>Dec-24</v>
      </c>
    </row>
    <row r="125" spans="1:59">
      <c r="A125" s="67">
        <f t="shared" si="8"/>
        <v>124</v>
      </c>
      <c r="B125" s="67" t="s">
        <v>451</v>
      </c>
      <c r="C125" s="67" t="s">
        <v>116</v>
      </c>
      <c r="D125" s="67" t="s">
        <v>116</v>
      </c>
      <c r="E125" s="67" t="s">
        <v>610</v>
      </c>
      <c r="F125" s="67" t="s">
        <v>611</v>
      </c>
      <c r="G125" s="67" t="s">
        <v>3</v>
      </c>
      <c r="H125" s="67" t="s">
        <v>616</v>
      </c>
      <c r="I125" s="67" t="s">
        <v>617</v>
      </c>
      <c r="J125" s="67" t="s">
        <v>70</v>
      </c>
      <c r="K125" s="68">
        <v>45580</v>
      </c>
      <c r="L125" s="68">
        <v>45580</v>
      </c>
      <c r="M125" s="68">
        <v>45580</v>
      </c>
      <c r="N125" s="67" t="s">
        <v>613</v>
      </c>
      <c r="O125" s="68"/>
      <c r="P125" s="68"/>
      <c r="Q125" s="68"/>
      <c r="R125" s="68"/>
      <c r="S125" s="68"/>
      <c r="T125" s="68"/>
      <c r="U125" s="67"/>
      <c r="V125" s="67"/>
      <c r="W125" s="67"/>
      <c r="X125" s="67" t="s">
        <v>72</v>
      </c>
      <c r="Y125" s="67" t="s">
        <v>245</v>
      </c>
      <c r="Z125" s="67" t="s">
        <v>245</v>
      </c>
      <c r="AA125" s="67" t="s">
        <v>116</v>
      </c>
      <c r="AB125" s="67"/>
      <c r="AC125" s="67"/>
      <c r="AD125" s="67"/>
      <c r="AE125" s="67" t="s">
        <v>618</v>
      </c>
      <c r="AF125" s="67">
        <v>8197463496</v>
      </c>
      <c r="AG125" s="67" t="s">
        <v>619</v>
      </c>
      <c r="AH125" s="68" t="s">
        <v>123</v>
      </c>
      <c r="AI125" s="68">
        <v>45663</v>
      </c>
      <c r="AJ125" s="68">
        <v>45558</v>
      </c>
      <c r="AK125" s="67" t="s">
        <v>72</v>
      </c>
      <c r="AL125" s="67">
        <v>850000</v>
      </c>
      <c r="AM125" s="68">
        <v>45677</v>
      </c>
      <c r="AN125" s="68">
        <v>45560</v>
      </c>
      <c r="AO125" s="68"/>
      <c r="AP125" s="68">
        <v>45568</v>
      </c>
      <c r="AQ125" s="68">
        <v>45568</v>
      </c>
      <c r="AR125" s="68">
        <v>45570</v>
      </c>
      <c r="AS125" s="68">
        <v>45684</v>
      </c>
      <c r="AT125" s="67">
        <f t="shared" ca="1" si="9"/>
        <v>0</v>
      </c>
      <c r="AU125" s="79" t="str">
        <f t="shared" ca="1" si="10"/>
        <v/>
      </c>
      <c r="AV125" s="79" t="str" cm="1">
        <f t="array" aca="1" ref="AV125" ca="1">IFERROR(_xlfn.IFS($AU125="","",$AU125&lt;=15,"0-15",AND($AU125&gt;=16,$AU125&lt;=30),"16-30",AND($AU125&gt;=31,$AU125&lt;=45),"31-45",AND($AU125&gt;=46,$AU125&lt;=60),"46-60",AND($AU125&gt;=61,$AU125&lt;=90),"61-90",AND($AU125&gt;=91),"&gt; 90",AND($AU125&gt;=2000),""),"")</f>
        <v/>
      </c>
      <c r="AW125" s="79" cm="1">
        <f t="array" aca="1" ref="AW125" ca="1">IFERROR(_xlfn.IFS(OR($M125="",$AM125=""),"",OR($C125="Offered",$C125="Joined"),($AM125-$M125)-$AT125),"")</f>
        <v>97</v>
      </c>
      <c r="AX125" s="79" cm="1">
        <f t="array" aca="1" ref="AX125" ca="1">IFERROR(_xlfn.IFS(OR($M125="",$AS125=""),"",$C125="Joined",($AS125-$M125)-$AT125),"")</f>
        <v>104</v>
      </c>
      <c r="AY125" s="67" t="str">
        <f>IFERROR(IF(COUNTIFS('Candidate Tracker'!$E:$E,'Positions Tracker'!$B125,'Candidate Tracker'!$C:$C,"Offer Drop")=0,"",COUNTIFS('Candidate Tracker'!$E:$E,'Positions Tracker'!$B125,'Candidate Tracker'!$C:$C,"Offer Drop")),"")</f>
        <v/>
      </c>
      <c r="AZ125" s="80">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0.88111888111888115</v>
      </c>
      <c r="BA125" s="81" t="str">
        <f>IFERROR(IF(COUNTIFS('Candidate Tracker'!$E:$E,'Positions Tracker'!$B125,'Candidate Tracker'!$I:$I,"Female")=0,"",COUNTIFS('Candidate Tracker'!$E:$E,'Positions Tracker'!$B125,'Candidate Tracker'!$I:$I,"Female")),"")</f>
        <v/>
      </c>
      <c r="BB125" s="81">
        <f>IFERROR(IF(COUNTIFS('Candidate Tracker'!$E:$E,'Positions Tracker'!$B125,'Candidate Tracker'!$I:$I,"male")=0,"",COUNTIFS('Candidate Tracker'!$E:$E,'Positions Tracker'!$B125,'Candidate Tracker'!$I:$I,"male")),"")</f>
        <v>2</v>
      </c>
      <c r="BC125" s="80">
        <f>IFERROR(IF(COUNTIFS('Candidate Tracker'!$E:$E,'Positions Tracker'!$B125,'Candidate Tracker'!$C:$C,"&lt;&gt;WIP",'Candidate Tracker'!$C:$C,"&lt;&gt;Hold",'Candidate Tracker'!$C:$C,"&lt;&gt;Cancelled",'Candidate Tracker'!$C:$C,"&lt;&gt;Closed")/COUNTIFS('Candidate Tracker'!$E:$E,'Positions Tracker'!$B125)=0,"",COUNTIFS('Candidate Tracker'!$E:$E,'Positions Tracker'!$B125,'Candidate Tracker'!$C:$C,"&lt;&gt;WIP",'Candidate Tracker'!$C:$C,"&lt;&gt;Hold",'Candidate Tracker'!$C:$C,"&lt;&gt;Cancelled",'Candidate Tracker'!$C:$C,"&lt;&gt;Closed")/COUNTIFS('Candidate Tracker'!$E:$E,'Positions Tracker'!$B125)),"")</f>
        <v>1</v>
      </c>
      <c r="BD125" s="67" t="str">
        <f t="shared" si="1"/>
        <v>Oct-24</v>
      </c>
      <c r="BE125" s="67" t="str">
        <f t="shared" si="2"/>
        <v>Jan-25</v>
      </c>
      <c r="BF125" s="67" t="str">
        <f t="shared" si="3"/>
        <v>Jan-25</v>
      </c>
      <c r="BG125" s="67" t="str">
        <f t="shared" si="4"/>
        <v>Jan-25</v>
      </c>
    </row>
    <row r="126" spans="1:59">
      <c r="A126" s="67">
        <f t="shared" si="8"/>
        <v>125</v>
      </c>
      <c r="B126" s="67">
        <v>20248561</v>
      </c>
      <c r="C126" s="67" t="s">
        <v>116</v>
      </c>
      <c r="D126" s="67" t="s">
        <v>116</v>
      </c>
      <c r="E126" s="67" t="s">
        <v>620</v>
      </c>
      <c r="F126" s="67" t="s">
        <v>342</v>
      </c>
      <c r="G126" s="67" t="s">
        <v>3</v>
      </c>
      <c r="H126" s="67" t="s">
        <v>68</v>
      </c>
      <c r="I126" s="67" t="s">
        <v>228</v>
      </c>
      <c r="J126" s="67" t="s">
        <v>70</v>
      </c>
      <c r="K126" s="68">
        <v>45588</v>
      </c>
      <c r="L126" s="68">
        <v>45588</v>
      </c>
      <c r="M126" s="68">
        <v>45619</v>
      </c>
      <c r="N126" s="67" t="s">
        <v>71</v>
      </c>
      <c r="O126" s="68"/>
      <c r="P126" s="68"/>
      <c r="Q126" s="68"/>
      <c r="R126" s="68"/>
      <c r="S126" s="68"/>
      <c r="T126" s="68"/>
      <c r="U126" s="67"/>
      <c r="V126" s="67"/>
      <c r="W126" s="67"/>
      <c r="X126" s="67" t="s">
        <v>72</v>
      </c>
      <c r="Y126" s="67" t="s">
        <v>245</v>
      </c>
      <c r="Z126" s="67" t="s">
        <v>245</v>
      </c>
      <c r="AA126" s="67" t="s">
        <v>116</v>
      </c>
      <c r="AB126" s="67"/>
      <c r="AC126" s="67"/>
      <c r="AD126" s="67"/>
      <c r="AE126" s="67" t="s">
        <v>621</v>
      </c>
      <c r="AF126" s="67">
        <v>6301261188</v>
      </c>
      <c r="AG126" s="67" t="s">
        <v>622</v>
      </c>
      <c r="AH126" s="68" t="s">
        <v>123</v>
      </c>
      <c r="AI126" s="68">
        <v>45680</v>
      </c>
      <c r="AJ126" s="68">
        <v>45695</v>
      </c>
      <c r="AK126" s="67" t="s">
        <v>72</v>
      </c>
      <c r="AL126" s="67">
        <v>825000</v>
      </c>
      <c r="AM126" s="68">
        <v>45695</v>
      </c>
      <c r="AN126" s="68">
        <v>45695</v>
      </c>
      <c r="AO126" s="68"/>
      <c r="AP126" s="68"/>
      <c r="AQ126" s="68"/>
      <c r="AR126" s="68"/>
      <c r="AS126" s="68">
        <v>45698</v>
      </c>
      <c r="AT126" s="67">
        <f t="shared" ca="1" si="9"/>
        <v>0</v>
      </c>
      <c r="AU126" s="79" t="str">
        <f t="shared" ca="1" si="10"/>
        <v/>
      </c>
      <c r="AV126" s="79" t="str" cm="1">
        <f t="array" aca="1" ref="AV126" ca="1">IFERROR(_xlfn.IFS($AU126="","",$AU126&lt;=15,"0-15",AND($AU126&gt;=16,$AU126&lt;=30),"16-30",AND($AU126&gt;=31,$AU126&lt;=45),"31-45",AND($AU126&gt;=46,$AU126&lt;=60),"46-60",AND($AU126&gt;=61,$AU126&lt;=90),"61-90",AND($AU126&gt;=91),"&gt; 90",AND($AU126&gt;=2000),""),"")</f>
        <v/>
      </c>
      <c r="AW126" s="79" cm="1">
        <f t="array" aca="1" ref="AW126" ca="1">IFERROR(_xlfn.IFS(OR($M126="",$AM126=""),"",OR($C126="Offered",$C126="Joined"),($AM126-$M126)-$AT126),"")</f>
        <v>76</v>
      </c>
      <c r="AX126" s="79" cm="1">
        <f t="array" aca="1" ref="AX126" ca="1">IFERROR(_xlfn.IFS(OR($M126="",$AS126=""),"",$C126="Joined",($AS126-$M126)-$AT126),"")</f>
        <v>79</v>
      </c>
      <c r="AY126" s="67" t="str">
        <f>IFERROR(IF(COUNTIFS('Candidate Tracker'!$E:$E,'Positions Tracker'!$B126,'Candidate Tracker'!$C:$C,"Offer Drop")=0,"",COUNTIFS('Candidate Tracker'!$E:$E,'Positions Tracker'!$B126,'Candidate Tracker'!$C:$C,"Offer Drop")),"")</f>
        <v/>
      </c>
      <c r="AZ126" s="80">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0.88111888111888115</v>
      </c>
      <c r="BA126" s="81" t="str">
        <f>IFERROR(IF(COUNTIFS('Candidate Tracker'!$E:$E,'Positions Tracker'!$B126,'Candidate Tracker'!$I:$I,"Female")=0,"",COUNTIFS('Candidate Tracker'!$E:$E,'Positions Tracker'!$B126,'Candidate Tracker'!$I:$I,"Female")),"")</f>
        <v/>
      </c>
      <c r="BB126" s="81">
        <f>IFERROR(IF(COUNTIFS('Candidate Tracker'!$E:$E,'Positions Tracker'!$B126,'Candidate Tracker'!$I:$I,"male")=0,"",COUNTIFS('Candidate Tracker'!$E:$E,'Positions Tracker'!$B126,'Candidate Tracker'!$I:$I,"male")),"")</f>
        <v>1</v>
      </c>
      <c r="BC126" s="80">
        <f>IFERROR(IF(COUNTIFS('Candidate Tracker'!$E:$E,'Positions Tracker'!$B126,'Candidate Tracker'!$C:$C,"&lt;&gt;WIP",'Candidate Tracker'!$C:$C,"&lt;&gt;Hold",'Candidate Tracker'!$C:$C,"&lt;&gt;Cancelled",'Candidate Tracker'!$C:$C,"&lt;&gt;Closed")/COUNTIFS('Candidate Tracker'!$E:$E,'Positions Tracker'!$B126)=0,"",COUNTIFS('Candidate Tracker'!$E:$E,'Positions Tracker'!$B126,'Candidate Tracker'!$C:$C,"&lt;&gt;WIP",'Candidate Tracker'!$C:$C,"&lt;&gt;Hold",'Candidate Tracker'!$C:$C,"&lt;&gt;Cancelled",'Candidate Tracker'!$C:$C,"&lt;&gt;Closed")/COUNTIFS('Candidate Tracker'!$E:$E,'Positions Tracker'!$B126)),"")</f>
        <v>1</v>
      </c>
      <c r="BD126" s="67" t="str">
        <f t="shared" si="1"/>
        <v>Nov-24</v>
      </c>
      <c r="BE126" s="67" t="str">
        <f t="shared" si="2"/>
        <v>Jan-25</v>
      </c>
      <c r="BF126" s="67" t="str">
        <f t="shared" si="3"/>
        <v>Feb-25</v>
      </c>
      <c r="BG126" s="67" t="str">
        <f t="shared" si="4"/>
        <v>Feb-25</v>
      </c>
    </row>
    <row r="127" spans="1:59">
      <c r="A127" s="67">
        <f t="shared" si="8"/>
        <v>126</v>
      </c>
      <c r="B127" s="67">
        <v>20246232</v>
      </c>
      <c r="C127" s="67" t="s">
        <v>64</v>
      </c>
      <c r="D127" s="67" t="s">
        <v>65</v>
      </c>
      <c r="E127" s="67" t="s">
        <v>225</v>
      </c>
      <c r="F127" s="67" t="s">
        <v>226</v>
      </c>
      <c r="G127" s="67" t="s">
        <v>3</v>
      </c>
      <c r="H127" s="67" t="s">
        <v>227</v>
      </c>
      <c r="I127" s="67" t="s">
        <v>228</v>
      </c>
      <c r="J127" s="67"/>
      <c r="K127" s="68">
        <v>45460</v>
      </c>
      <c r="L127" s="68">
        <v>45708</v>
      </c>
      <c r="M127" s="68">
        <v>45714</v>
      </c>
      <c r="N127" s="67" t="s">
        <v>211</v>
      </c>
      <c r="O127" s="68"/>
      <c r="P127" s="68"/>
      <c r="Q127" s="68"/>
      <c r="R127" s="68"/>
      <c r="S127" s="68"/>
      <c r="T127" s="68"/>
      <c r="U127" s="67"/>
      <c r="V127" s="67"/>
      <c r="W127" s="67"/>
      <c r="X127" s="67" t="s">
        <v>72</v>
      </c>
      <c r="Y127" s="67" t="s">
        <v>282</v>
      </c>
      <c r="Z127" s="67" t="s">
        <v>282</v>
      </c>
      <c r="AA127" s="67" t="s">
        <v>623</v>
      </c>
      <c r="AB127" s="67">
        <v>11</v>
      </c>
      <c r="AC127" s="67">
        <v>6</v>
      </c>
      <c r="AD127" s="67">
        <v>2</v>
      </c>
      <c r="AE127" s="67"/>
      <c r="AF127" s="67"/>
      <c r="AG127" s="67"/>
      <c r="AH127" s="68"/>
      <c r="AI127" s="68"/>
      <c r="AJ127" s="68"/>
      <c r="AK127" s="67"/>
      <c r="AL127" s="67"/>
      <c r="AM127" s="68"/>
      <c r="AN127" s="68"/>
      <c r="AO127" s="68"/>
      <c r="AP127" s="68"/>
      <c r="AQ127" s="68"/>
      <c r="AR127" s="68"/>
      <c r="AS127" s="68"/>
      <c r="AT127" s="67">
        <f t="shared" ca="1" si="9"/>
        <v>0</v>
      </c>
      <c r="AU127" s="79" t="str">
        <f t="shared" ca="1" si="10"/>
        <v/>
      </c>
      <c r="AV127" s="79" t="str" cm="1">
        <f t="array" aca="1" ref="AV127" ca="1">IFERROR(_xlfn.IFS($AU127="","",$AU127&lt;=15,"0-15",AND($AU127&gt;=16,$AU127&lt;=30),"16-30",AND($AU127&gt;=31,$AU127&lt;=45),"31-45",AND($AU127&gt;=46,$AU127&lt;=60),"46-60",AND($AU127&gt;=61,$AU127&lt;=90),"61-90",AND($AU127&gt;=91),"&gt; 90",AND($AU127&gt;=2000),""),"")</f>
        <v/>
      </c>
      <c r="AW127" s="79" t="str" cm="1">
        <f t="array" aca="1" ref="AW127" ca="1">IFERROR(_xlfn.IFS(OR($M127="",$AM127=""),"",OR($C127="Offered",$C127="Joined"),($AM127-$M127)-$AT127),"")</f>
        <v/>
      </c>
      <c r="AX127" s="79" t="str" cm="1">
        <f t="array" aca="1" ref="AX127" ca="1">IFERROR(_xlfn.IFS(OR($M127="",$AS127=""),"",$C127="Joined",($AS127-$M127)-$AT127),"")</f>
        <v/>
      </c>
      <c r="AY127" s="67" t="str">
        <f>IFERROR(IF(COUNTIFS('Candidate Tracker'!$E:$E,'Positions Tracker'!$B127,'Candidate Tracker'!$C:$C,"Offer Drop")=0,"",COUNTIFS('Candidate Tracker'!$E:$E,'Positions Tracker'!$B127,'Candidate Tracker'!$C:$C,"Offer Drop")),"")</f>
        <v/>
      </c>
      <c r="AZ127" s="80">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0.88111888111888115</v>
      </c>
      <c r="BA127" s="81" t="str">
        <f>IFERROR(IF(COUNTIFS('Candidate Tracker'!$E:$E,'Positions Tracker'!$B127,'Candidate Tracker'!$I:$I,"Female")=0,"",COUNTIFS('Candidate Tracker'!$E:$E,'Positions Tracker'!$B127,'Candidate Tracker'!$I:$I,"Female")),"")</f>
        <v/>
      </c>
      <c r="BB127" s="81">
        <f>IFERROR(IF(COUNTIFS('Candidate Tracker'!$E:$E,'Positions Tracker'!$B127,'Candidate Tracker'!$I:$I,"male")=0,"",COUNTIFS('Candidate Tracker'!$E:$E,'Positions Tracker'!$B127,'Candidate Tracker'!$I:$I,"male")),"")</f>
        <v>13</v>
      </c>
      <c r="BC127" s="80" t="str">
        <f>IFERROR(IF(COUNTIFS('Candidate Tracker'!$E:$E,'Positions Tracker'!$B127,'Candidate Tracker'!$C:$C,"&lt;&gt;WIP",'Candidate Tracker'!$C:$C,"&lt;&gt;Hold",'Candidate Tracker'!$C:$C,"&lt;&gt;Cancelled",'Candidate Tracker'!$C:$C,"&lt;&gt;Closed")/COUNTIFS('Candidate Tracker'!$E:$E,'Positions Tracker'!$B127)=0,"",COUNTIFS('Candidate Tracker'!$E:$E,'Positions Tracker'!$B127,'Candidate Tracker'!$C:$C,"&lt;&gt;WIP",'Candidate Tracker'!$C:$C,"&lt;&gt;Hold",'Candidate Tracker'!$C:$C,"&lt;&gt;Cancelled",'Candidate Tracker'!$C:$C,"&lt;&gt;Closed")/COUNTIFS('Candidate Tracker'!$E:$E,'Positions Tracker'!$B127)),"")</f>
        <v/>
      </c>
      <c r="BD127" s="67" t="str">
        <f t="shared" si="1"/>
        <v>Feb-25</v>
      </c>
      <c r="BE127" s="67" t="str">
        <f t="shared" si="2"/>
        <v/>
      </c>
      <c r="BF127" s="67" t="str">
        <f t="shared" si="3"/>
        <v/>
      </c>
      <c r="BG127" s="67" t="str">
        <f t="shared" si="4"/>
        <v/>
      </c>
    </row>
    <row r="128" spans="1:59" ht="43.5">
      <c r="A128" s="67">
        <f t="shared" si="8"/>
        <v>127</v>
      </c>
      <c r="B128" s="67">
        <v>20242178</v>
      </c>
      <c r="C128" s="67" t="s">
        <v>55</v>
      </c>
      <c r="D128" s="67" t="s">
        <v>80</v>
      </c>
      <c r="E128" s="67" t="s">
        <v>624</v>
      </c>
      <c r="F128" s="67" t="s">
        <v>184</v>
      </c>
      <c r="G128" s="67" t="s">
        <v>3</v>
      </c>
      <c r="H128" s="67" t="s">
        <v>111</v>
      </c>
      <c r="I128" s="67" t="s">
        <v>228</v>
      </c>
      <c r="J128" s="67" t="s">
        <v>70</v>
      </c>
      <c r="K128" s="68">
        <v>45461</v>
      </c>
      <c r="L128" s="68">
        <v>45461</v>
      </c>
      <c r="M128" s="68">
        <v>45715</v>
      </c>
      <c r="N128" s="67" t="s">
        <v>82</v>
      </c>
      <c r="O128" s="68"/>
      <c r="P128" s="68"/>
      <c r="Q128" s="68"/>
      <c r="R128" s="68"/>
      <c r="S128" s="68"/>
      <c r="T128" s="68"/>
      <c r="U128" s="67"/>
      <c r="V128" s="67"/>
      <c r="W128" s="67"/>
      <c r="X128" s="67" t="s">
        <v>72</v>
      </c>
      <c r="Y128" s="67" t="s">
        <v>245</v>
      </c>
      <c r="Z128" s="67" t="s">
        <v>245</v>
      </c>
      <c r="AA128" s="69" t="s">
        <v>625</v>
      </c>
      <c r="AB128" s="67"/>
      <c r="AC128" s="67"/>
      <c r="AD128" s="67"/>
      <c r="AE128" s="67" t="s">
        <v>626</v>
      </c>
      <c r="AF128" s="67">
        <v>9284123234</v>
      </c>
      <c r="AG128" s="67"/>
      <c r="AH128" s="68" t="s">
        <v>86</v>
      </c>
      <c r="AI128" s="68">
        <v>45677</v>
      </c>
      <c r="AJ128" s="68">
        <v>45628</v>
      </c>
      <c r="AK128" s="67" t="s">
        <v>72</v>
      </c>
      <c r="AL128" s="67">
        <v>2200000</v>
      </c>
      <c r="AM128" s="68">
        <v>45703</v>
      </c>
      <c r="AN128" s="68">
        <v>45703</v>
      </c>
      <c r="AO128" s="68">
        <v>45710</v>
      </c>
      <c r="AP128" s="68">
        <v>45703</v>
      </c>
      <c r="AQ128" s="68"/>
      <c r="AR128" s="68"/>
      <c r="AS128" s="68">
        <v>45713</v>
      </c>
      <c r="AT128" s="67">
        <f t="shared" ca="1" si="9"/>
        <v>0</v>
      </c>
      <c r="AU128" s="79" t="str">
        <f t="shared" ca="1" si="10"/>
        <v/>
      </c>
      <c r="AV128" s="79" t="str" cm="1">
        <f t="array" aca="1" ref="AV128" ca="1">IFERROR(_xlfn.IFS($AU128="","",$AU128&lt;=15,"0-15",AND($AU128&gt;=16,$AU128&lt;=30),"16-30",AND($AU128&gt;=31,$AU128&lt;=45),"31-45",AND($AU128&gt;=46,$AU128&lt;=60),"46-60",AND($AU128&gt;=61,$AU128&lt;=90),"61-90",AND($AU128&gt;=91),"&gt; 90",AND($AU128&gt;=2000),""),"")</f>
        <v/>
      </c>
      <c r="AW128" s="79" t="str" cm="1">
        <f t="array" aca="1" ref="AW128" ca="1">IFERROR(_xlfn.IFS(OR($M128="",$AM128=""),"",OR($C128="Offered",$C128="Joined"),($AM128-$M128)-$AT128),"")</f>
        <v/>
      </c>
      <c r="AX128" s="79" t="str" cm="1">
        <f t="array" aca="1" ref="AX128" ca="1">IFERROR(_xlfn.IFS(OR($M128="",$AS128=""),"",$C128="Joined",($AS128-$M128)-$AT128),"")</f>
        <v/>
      </c>
      <c r="AY128" s="67" t="str">
        <f>IFERROR(IF(COUNTIFS('Candidate Tracker'!$E:$E,'Positions Tracker'!$B128,'Candidate Tracker'!$C:$C,"Offer Drop")=0,"",COUNTIFS('Candidate Tracker'!$E:$E,'Positions Tracker'!$B128,'Candidate Tracker'!$C:$C,"Offer Drop")),"")</f>
        <v/>
      </c>
      <c r="AZ128" s="80">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0.88111888111888115</v>
      </c>
      <c r="BA128" s="81">
        <f>IFERROR(IF(COUNTIFS('Candidate Tracker'!$E:$E,'Positions Tracker'!$B128,'Candidate Tracker'!$I:$I,"Female")=0,"",COUNTIFS('Candidate Tracker'!$E:$E,'Positions Tracker'!$B128,'Candidate Tracker'!$I:$I,"Female")),"")</f>
        <v>1</v>
      </c>
      <c r="BB128" s="81">
        <f>IFERROR(IF(COUNTIFS('Candidate Tracker'!$E:$E,'Positions Tracker'!$B128,'Candidate Tracker'!$I:$I,"male")=0,"",COUNTIFS('Candidate Tracker'!$E:$E,'Positions Tracker'!$B128,'Candidate Tracker'!$I:$I,"male")),"")</f>
        <v>3</v>
      </c>
      <c r="BC128" s="80" t="str">
        <f>IFERROR(IF(COUNTIFS('Candidate Tracker'!$E:$E,'Positions Tracker'!$B128,'Candidate Tracker'!$C:$C,"&lt;&gt;WIP",'Candidate Tracker'!$C:$C,"&lt;&gt;Hold",'Candidate Tracker'!$C:$C,"&lt;&gt;Cancelled",'Candidate Tracker'!$C:$C,"&lt;&gt;Closed")/COUNTIFS('Candidate Tracker'!$E:$E,'Positions Tracker'!$B128)=0,"",COUNTIFS('Candidate Tracker'!$E:$E,'Positions Tracker'!$B128,'Candidate Tracker'!$C:$C,"&lt;&gt;WIP",'Candidate Tracker'!$C:$C,"&lt;&gt;Hold",'Candidate Tracker'!$C:$C,"&lt;&gt;Cancelled",'Candidate Tracker'!$C:$C,"&lt;&gt;Closed")/COUNTIFS('Candidate Tracker'!$E:$E,'Positions Tracker'!$B128)),"")</f>
        <v/>
      </c>
      <c r="BD128" s="67" t="str">
        <f t="shared" si="1"/>
        <v>Feb-25</v>
      </c>
      <c r="BE128" s="67" t="str">
        <f t="shared" si="2"/>
        <v>Jan-25</v>
      </c>
      <c r="BF128" s="67" t="str">
        <f t="shared" si="3"/>
        <v>Feb-25</v>
      </c>
      <c r="BG128" s="67" t="str">
        <f t="shared" si="4"/>
        <v>Feb-25</v>
      </c>
    </row>
    <row r="129" spans="1:59">
      <c r="A129" s="67">
        <f t="shared" si="8"/>
        <v>128</v>
      </c>
      <c r="B129" s="67">
        <v>20252743</v>
      </c>
      <c r="C129" s="67" t="s">
        <v>116</v>
      </c>
      <c r="D129" s="67" t="s">
        <v>116</v>
      </c>
      <c r="E129" s="67" t="s">
        <v>352</v>
      </c>
      <c r="F129" s="67" t="s">
        <v>353</v>
      </c>
      <c r="G129" s="67" t="s">
        <v>3</v>
      </c>
      <c r="H129" s="67" t="s">
        <v>353</v>
      </c>
      <c r="I129" s="67" t="s">
        <v>356</v>
      </c>
      <c r="J129" s="67" t="s">
        <v>70</v>
      </c>
      <c r="K129" s="68">
        <v>45714</v>
      </c>
      <c r="L129" s="68">
        <v>45714</v>
      </c>
      <c r="M129" s="68">
        <v>45715</v>
      </c>
      <c r="N129" s="67" t="s">
        <v>71</v>
      </c>
      <c r="O129" s="68"/>
      <c r="P129" s="68"/>
      <c r="Q129" s="68"/>
      <c r="R129" s="68"/>
      <c r="S129" s="68"/>
      <c r="T129" s="68"/>
      <c r="U129" s="67"/>
      <c r="V129" s="67"/>
      <c r="W129" s="67"/>
      <c r="X129" s="67" t="s">
        <v>72</v>
      </c>
      <c r="Y129" s="67" t="s">
        <v>74</v>
      </c>
      <c r="Z129" s="67" t="s">
        <v>74</v>
      </c>
      <c r="AA129" s="67" t="s">
        <v>627</v>
      </c>
      <c r="AB129" s="67"/>
      <c r="AC129" s="67"/>
      <c r="AD129" s="67"/>
      <c r="AE129" s="67" t="s">
        <v>628</v>
      </c>
      <c r="AF129" s="67">
        <v>8551988617</v>
      </c>
      <c r="AG129" s="67" t="s">
        <v>629</v>
      </c>
      <c r="AH129" s="68" t="s">
        <v>123</v>
      </c>
      <c r="AI129" s="68">
        <v>45733</v>
      </c>
      <c r="AJ129" s="68">
        <v>45734</v>
      </c>
      <c r="AK129" s="67" t="s">
        <v>72</v>
      </c>
      <c r="AL129" s="67" t="s">
        <v>630</v>
      </c>
      <c r="AM129" s="68">
        <v>45734</v>
      </c>
      <c r="AN129" s="68">
        <v>45736</v>
      </c>
      <c r="AO129" s="68"/>
      <c r="AP129" s="68">
        <v>45736</v>
      </c>
      <c r="AQ129" s="68">
        <v>45736</v>
      </c>
      <c r="AR129" s="68">
        <v>45737</v>
      </c>
      <c r="AS129" s="68">
        <v>45740</v>
      </c>
      <c r="AT129" s="67">
        <f t="shared" ca="1" si="9"/>
        <v>0</v>
      </c>
      <c r="AU129" s="79" t="str">
        <f t="shared" ca="1" si="10"/>
        <v/>
      </c>
      <c r="AV129" s="79" t="str" cm="1">
        <f t="array" aca="1" ref="AV129" ca="1">IFERROR(_xlfn.IFS($AU129="","",$AU129&lt;=15,"0-15",AND($AU129&gt;=16,$AU129&lt;=30),"16-30",AND($AU129&gt;=31,$AU129&lt;=45),"31-45",AND($AU129&gt;=46,$AU129&lt;=60),"46-60",AND($AU129&gt;=61,$AU129&lt;=90),"61-90",AND($AU129&gt;=91),"&gt; 90",AND($AU129&gt;=2000),""),"")</f>
        <v/>
      </c>
      <c r="AW129" s="79" cm="1">
        <f t="array" aca="1" ref="AW129" ca="1">IFERROR(_xlfn.IFS(OR($M129="",$AM129=""),"",OR($C129="Offered",$C129="Joined"),($AM129-$M129)-$AT129),"")</f>
        <v>19</v>
      </c>
      <c r="AX129" s="79" cm="1">
        <f t="array" aca="1" ref="AX129" ca="1">IFERROR(_xlfn.IFS(OR($M129="",$AS129=""),"",$C129="Joined",($AS129-$M129)-$AT129),"")</f>
        <v>25</v>
      </c>
      <c r="AY129" s="67" t="str">
        <f>IFERROR(IF(COUNTIFS('Candidate Tracker'!$E:$E,'Positions Tracker'!$B129,'Candidate Tracker'!$C:$C,"Offer Drop")=0,"",COUNTIFS('Candidate Tracker'!$E:$E,'Positions Tracker'!$B129,'Candidate Tracker'!$C:$C,"Offer Drop")),"")</f>
        <v/>
      </c>
      <c r="AZ129" s="80">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0.88111888111888115</v>
      </c>
      <c r="BA129" s="81" t="str">
        <f>IFERROR(IF(COUNTIFS('Candidate Tracker'!$E:$E,'Positions Tracker'!$B129,'Candidate Tracker'!$I:$I,"Female")=0,"",COUNTIFS('Candidate Tracker'!$E:$E,'Positions Tracker'!$B129,'Candidate Tracker'!$I:$I,"Female")),"")</f>
        <v/>
      </c>
      <c r="BB129" s="81">
        <f>IFERROR(IF(COUNTIFS('Candidate Tracker'!$E:$E,'Positions Tracker'!$B129,'Candidate Tracker'!$I:$I,"male")=0,"",COUNTIFS('Candidate Tracker'!$E:$E,'Positions Tracker'!$B129,'Candidate Tracker'!$I:$I,"male")),"")</f>
        <v>7</v>
      </c>
      <c r="BC129" s="80">
        <f>IFERROR(IF(COUNTIFS('Candidate Tracker'!$E:$E,'Positions Tracker'!$B129,'Candidate Tracker'!$C:$C,"&lt;&gt;WIP",'Candidate Tracker'!$C:$C,"&lt;&gt;Hold",'Candidate Tracker'!$C:$C,"&lt;&gt;Cancelled",'Candidate Tracker'!$C:$C,"&lt;&gt;Closed")/COUNTIFS('Candidate Tracker'!$E:$E,'Positions Tracker'!$B129)=0,"",COUNTIFS('Candidate Tracker'!$E:$E,'Positions Tracker'!$B129,'Candidate Tracker'!$C:$C,"&lt;&gt;WIP",'Candidate Tracker'!$C:$C,"&lt;&gt;Hold",'Candidate Tracker'!$C:$C,"&lt;&gt;Cancelled",'Candidate Tracker'!$C:$C,"&lt;&gt;Closed")/COUNTIFS('Candidate Tracker'!$E:$E,'Positions Tracker'!$B129)),"")</f>
        <v>0.14285714285714285</v>
      </c>
      <c r="BD129" s="67" t="str">
        <f t="shared" si="1"/>
        <v>Feb-25</v>
      </c>
      <c r="BE129" s="67" t="str">
        <f t="shared" si="2"/>
        <v>Mar-25</v>
      </c>
      <c r="BF129" s="67" t="str">
        <f t="shared" si="3"/>
        <v>Mar-25</v>
      </c>
      <c r="BG129" s="67" t="str">
        <f t="shared" si="4"/>
        <v>Mar-25</v>
      </c>
    </row>
    <row r="130" spans="1:59">
      <c r="A130" s="67">
        <f t="shared" si="8"/>
        <v>129</v>
      </c>
      <c r="B130" s="67">
        <v>20242178</v>
      </c>
      <c r="C130" s="67" t="s">
        <v>64</v>
      </c>
      <c r="D130" s="67" t="s">
        <v>65</v>
      </c>
      <c r="E130" s="67" t="s">
        <v>624</v>
      </c>
      <c r="F130" s="67" t="s">
        <v>184</v>
      </c>
      <c r="G130" s="67" t="s">
        <v>3</v>
      </c>
      <c r="H130" s="67" t="s">
        <v>111</v>
      </c>
      <c r="I130" s="67" t="s">
        <v>228</v>
      </c>
      <c r="J130" s="67" t="s">
        <v>70</v>
      </c>
      <c r="K130" s="68">
        <v>45715</v>
      </c>
      <c r="L130" s="68">
        <v>45715</v>
      </c>
      <c r="M130" s="68">
        <v>45715</v>
      </c>
      <c r="N130" s="67" t="s">
        <v>82</v>
      </c>
      <c r="O130" s="68"/>
      <c r="P130" s="68"/>
      <c r="Q130" s="68"/>
      <c r="R130" s="68"/>
      <c r="S130" s="68"/>
      <c r="T130" s="68"/>
      <c r="U130" s="67"/>
      <c r="V130" s="67"/>
      <c r="W130" s="67"/>
      <c r="X130" s="67" t="s">
        <v>72</v>
      </c>
      <c r="Y130" s="67" t="s">
        <v>245</v>
      </c>
      <c r="Z130" s="67" t="s">
        <v>245</v>
      </c>
      <c r="AA130" s="67" t="s">
        <v>631</v>
      </c>
      <c r="AB130" s="67"/>
      <c r="AC130" s="67"/>
      <c r="AD130" s="67"/>
      <c r="AE130" s="67"/>
      <c r="AF130" s="67"/>
      <c r="AG130" s="67"/>
      <c r="AH130" s="68"/>
      <c r="AI130" s="68"/>
      <c r="AJ130" s="68"/>
      <c r="AK130" s="67"/>
      <c r="AL130" s="67"/>
      <c r="AM130" s="68"/>
      <c r="AN130" s="68"/>
      <c r="AO130" s="68"/>
      <c r="AP130" s="68"/>
      <c r="AQ130" s="68"/>
      <c r="AR130" s="68"/>
      <c r="AS130" s="68"/>
      <c r="AT130" s="67">
        <f t="shared" ca="1" si="9"/>
        <v>0</v>
      </c>
      <c r="AU130" s="79" t="str">
        <f t="shared" ca="1" si="10"/>
        <v/>
      </c>
      <c r="AV130" s="79" t="str" cm="1">
        <f t="array" aca="1" ref="AV130" ca="1">IFERROR(_xlfn.IFS($AU130="","",$AU130&lt;=15,"0-15",AND($AU130&gt;=16,$AU130&lt;=30),"16-30",AND($AU130&gt;=31,$AU130&lt;=45),"31-45",AND($AU130&gt;=46,$AU130&lt;=60),"46-60",AND($AU130&gt;=61,$AU130&lt;=90),"61-90",AND($AU130&gt;=91),"&gt; 90",AND($AU130&gt;=2000),""),"")</f>
        <v/>
      </c>
      <c r="AW130" s="79" t="str" cm="1">
        <f t="array" aca="1" ref="AW130" ca="1">IFERROR(_xlfn.IFS(OR($M130="",$AM130=""),"",OR($C130="Offered",$C130="Joined"),($AM130-$M130)-$AT130),"")</f>
        <v/>
      </c>
      <c r="AX130" s="79" t="str" cm="1">
        <f t="array" aca="1" ref="AX130" ca="1">IFERROR(_xlfn.IFS(OR($M130="",$AS130=""),"",$C130="Joined",($AS130-$M130)-$AT130),"")</f>
        <v/>
      </c>
      <c r="AY130" s="67" t="str">
        <f>IFERROR(IF(COUNTIFS('Candidate Tracker'!$E:$E,'Positions Tracker'!$B130,'Candidate Tracker'!$C:$C,"Offer Drop")=0,"",COUNTIFS('Candidate Tracker'!$E:$E,'Positions Tracker'!$B130,'Candidate Tracker'!$C:$C,"Offer Drop")),"")</f>
        <v/>
      </c>
      <c r="AZ130" s="80">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0.88111888111888115</v>
      </c>
      <c r="BA130" s="81">
        <f>IFERROR(IF(COUNTIFS('Candidate Tracker'!$E:$E,'Positions Tracker'!$B130,'Candidate Tracker'!$I:$I,"Female")=0,"",COUNTIFS('Candidate Tracker'!$E:$E,'Positions Tracker'!$B130,'Candidate Tracker'!$I:$I,"Female")),"")</f>
        <v>1</v>
      </c>
      <c r="BB130" s="81">
        <f>IFERROR(IF(COUNTIFS('Candidate Tracker'!$E:$E,'Positions Tracker'!$B130,'Candidate Tracker'!$I:$I,"male")=0,"",COUNTIFS('Candidate Tracker'!$E:$E,'Positions Tracker'!$B130,'Candidate Tracker'!$I:$I,"male")),"")</f>
        <v>3</v>
      </c>
      <c r="BC130" s="80" t="str">
        <f>IFERROR(IF(COUNTIFS('Candidate Tracker'!$E:$E,'Positions Tracker'!$B130,'Candidate Tracker'!$C:$C,"&lt;&gt;WIP",'Candidate Tracker'!$C:$C,"&lt;&gt;Hold",'Candidate Tracker'!$C:$C,"&lt;&gt;Cancelled",'Candidate Tracker'!$C:$C,"&lt;&gt;Closed")/COUNTIFS('Candidate Tracker'!$E:$E,'Positions Tracker'!$B130)=0,"",COUNTIFS('Candidate Tracker'!$E:$E,'Positions Tracker'!$B130,'Candidate Tracker'!$C:$C,"&lt;&gt;WIP",'Candidate Tracker'!$C:$C,"&lt;&gt;Hold",'Candidate Tracker'!$C:$C,"&lt;&gt;Cancelled",'Candidate Tracker'!$C:$C,"&lt;&gt;Closed")/COUNTIFS('Candidate Tracker'!$E:$E,'Positions Tracker'!$B130)),"")</f>
        <v/>
      </c>
      <c r="BD130" s="67" t="str">
        <f t="shared" si="1"/>
        <v>Feb-25</v>
      </c>
      <c r="BE130" s="67" t="str">
        <f t="shared" si="2"/>
        <v/>
      </c>
      <c r="BF130" s="67" t="str">
        <f t="shared" si="3"/>
        <v/>
      </c>
      <c r="BG130" s="67" t="str">
        <f t="shared" si="4"/>
        <v/>
      </c>
    </row>
    <row r="131" spans="1:59">
      <c r="A131" s="67">
        <f t="shared" ref="A131:A194" si="14">A130+1</f>
        <v>130</v>
      </c>
      <c r="B131" s="67" t="s">
        <v>482</v>
      </c>
      <c r="C131" s="67" t="s">
        <v>116</v>
      </c>
      <c r="D131" s="67" t="s">
        <v>116</v>
      </c>
      <c r="E131" s="67" t="s">
        <v>632</v>
      </c>
      <c r="F131" s="67" t="s">
        <v>347</v>
      </c>
      <c r="G131" s="67" t="s">
        <v>1</v>
      </c>
      <c r="H131" s="67" t="s">
        <v>345</v>
      </c>
      <c r="I131" s="67" t="s">
        <v>135</v>
      </c>
      <c r="J131" s="67" t="s">
        <v>94</v>
      </c>
      <c r="K131" s="68">
        <v>45551</v>
      </c>
      <c r="L131" s="68">
        <v>45551</v>
      </c>
      <c r="M131" s="68">
        <v>45551</v>
      </c>
      <c r="N131" s="67" t="s">
        <v>613</v>
      </c>
      <c r="O131" s="68"/>
      <c r="P131" s="68"/>
      <c r="Q131" s="68"/>
      <c r="R131" s="68"/>
      <c r="S131" s="68"/>
      <c r="T131" s="68"/>
      <c r="U131" s="67"/>
      <c r="V131" s="67"/>
      <c r="W131" s="67"/>
      <c r="X131" s="67" t="s">
        <v>72</v>
      </c>
      <c r="Y131" s="67" t="s">
        <v>74</v>
      </c>
      <c r="Z131" s="67" t="s">
        <v>74</v>
      </c>
      <c r="AA131" s="67" t="s">
        <v>116</v>
      </c>
      <c r="AB131" s="67"/>
      <c r="AC131" s="67"/>
      <c r="AD131" s="67"/>
      <c r="AE131" s="67" t="s">
        <v>633</v>
      </c>
      <c r="AF131" s="67">
        <v>8237707010</v>
      </c>
      <c r="AG131" s="67" t="s">
        <v>378</v>
      </c>
      <c r="AH131" s="68" t="s">
        <v>123</v>
      </c>
      <c r="AI131" s="68">
        <v>45539</v>
      </c>
      <c r="AJ131" s="68">
        <v>45582</v>
      </c>
      <c r="AK131" s="67" t="s">
        <v>72</v>
      </c>
      <c r="AL131" s="67">
        <v>650000</v>
      </c>
      <c r="AM131" s="68">
        <v>45556</v>
      </c>
      <c r="AN131" s="68">
        <v>45582</v>
      </c>
      <c r="AO131" s="68"/>
      <c r="AP131" s="68">
        <v>45590</v>
      </c>
      <c r="AQ131" s="68">
        <v>45593</v>
      </c>
      <c r="AR131" s="68">
        <v>45970</v>
      </c>
      <c r="AS131" s="68">
        <v>45593</v>
      </c>
      <c r="AT131" s="67">
        <f t="shared" ref="AT131:AT194" ca="1" si="15">IFERROR(SUM(IF(AND(ISBLANK(T131),ISBLANK(Q131)),0,IF(T131="",TODAY()-Q131,T131-Q131))+IF(AND(ISBLANK(S131),ISBLANK(P131)),0,IF(S131="",TODAY()-P131,S131-P131))+IF(AND(ISBLANK(O131),ISBLANK(R131)),0,IF(R131="",TODAY()-O131,R131-O131))),"")</f>
        <v>0</v>
      </c>
      <c r="AU131" s="79" t="str">
        <f t="shared" ref="AU131:AU194" ca="1" si="16">IFERROR(IF(($M131=""),"",IF(OR(,$C131="Offer in Progress",$C131="WIP",$C131="WIP/Drop",$C131="WIP/New",$C131="WIP/Hold"),(TODAY()-$M131)-$AT131,"")),"")</f>
        <v/>
      </c>
      <c r="AV131" s="79" t="str" cm="1">
        <f t="array" aca="1" ref="AV131" ca="1">IFERROR(_xlfn.IFS($AU131="","",$AU131&lt;=15,"0-15",AND($AU131&gt;=16,$AU131&lt;=30),"16-30",AND($AU131&gt;=31,$AU131&lt;=45),"31-45",AND($AU131&gt;=46,$AU131&lt;=60),"46-60",AND($AU131&gt;=61,$AU131&lt;=90),"61-90",AND($AU131&gt;=91),"&gt; 90",AND($AU131&gt;=2000),""),"")</f>
        <v/>
      </c>
      <c r="AW131" s="79" cm="1">
        <f t="array" aca="1" ref="AW131" ca="1">IFERROR(_xlfn.IFS(OR($M131="",$AM131=""),"",OR($C131="Offered",$C131="Joined"),($AM131-$M131)-$AT131),"")</f>
        <v>5</v>
      </c>
      <c r="AX131" s="79" cm="1">
        <f t="array" aca="1" ref="AX131" ca="1">IFERROR(_xlfn.IFS(OR($M131="",$AS131=""),"",$C131="Joined",($AS131-$M131)-$AT131),"")</f>
        <v>42</v>
      </c>
      <c r="AY131" s="67" t="str">
        <f>IFERROR(IF(COUNTIFS('Candidate Tracker'!$E:$E,'Positions Tracker'!$B131,'Candidate Tracker'!$C:$C,"Offer Drop")=0,"",COUNTIFS('Candidate Tracker'!$E:$E,'Positions Tracker'!$B131,'Candidate Tracker'!$C:$C,"Offer Drop")),"")</f>
        <v/>
      </c>
      <c r="AZ131" s="80">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0.88111888111888115</v>
      </c>
      <c r="BA131" s="81" t="str">
        <f>IFERROR(IF(COUNTIFS('Candidate Tracker'!$E:$E,'Positions Tracker'!$B131,'Candidate Tracker'!$I:$I,"Female")=0,"",COUNTIFS('Candidate Tracker'!$E:$E,'Positions Tracker'!$B131,'Candidate Tracker'!$I:$I,"Female")),"")</f>
        <v/>
      </c>
      <c r="BB131" s="81">
        <f>IFERROR(IF(COUNTIFS('Candidate Tracker'!$E:$E,'Positions Tracker'!$B131,'Candidate Tracker'!$I:$I,"male")=0,"",COUNTIFS('Candidate Tracker'!$E:$E,'Positions Tracker'!$B131,'Candidate Tracker'!$I:$I,"male")),"")</f>
        <v>2</v>
      </c>
      <c r="BC131" s="80">
        <f>IFERROR(IF(COUNTIFS('Candidate Tracker'!$E:$E,'Positions Tracker'!$B131,'Candidate Tracker'!$C:$C,"&lt;&gt;WIP",'Candidate Tracker'!$C:$C,"&lt;&gt;Hold",'Candidate Tracker'!$C:$C,"&lt;&gt;Cancelled",'Candidate Tracker'!$C:$C,"&lt;&gt;Closed")/COUNTIFS('Candidate Tracker'!$E:$E,'Positions Tracker'!$B131)=0,"",COUNTIFS('Candidate Tracker'!$E:$E,'Positions Tracker'!$B131,'Candidate Tracker'!$C:$C,"&lt;&gt;WIP",'Candidate Tracker'!$C:$C,"&lt;&gt;Hold",'Candidate Tracker'!$C:$C,"&lt;&gt;Cancelled",'Candidate Tracker'!$C:$C,"&lt;&gt;Closed")/COUNTIFS('Candidate Tracker'!$E:$E,'Positions Tracker'!$B131)),"")</f>
        <v>1</v>
      </c>
      <c r="BD131" s="67" t="str">
        <f t="shared" si="1"/>
        <v>Sep-24</v>
      </c>
      <c r="BE131" s="67" t="str">
        <f t="shared" si="2"/>
        <v>Sep-24</v>
      </c>
      <c r="BF131" s="67" t="str">
        <f t="shared" si="3"/>
        <v>Sep-24</v>
      </c>
      <c r="BG131" s="67" t="str">
        <f t="shared" si="4"/>
        <v>Oct-24</v>
      </c>
    </row>
    <row r="132" spans="1:59">
      <c r="A132" s="67">
        <f t="shared" si="14"/>
        <v>131</v>
      </c>
      <c r="B132" s="67" t="s">
        <v>634</v>
      </c>
      <c r="C132" s="67" t="s">
        <v>116</v>
      </c>
      <c r="D132" s="67" t="s">
        <v>116</v>
      </c>
      <c r="E132" s="67" t="s">
        <v>472</v>
      </c>
      <c r="F132" s="67" t="s">
        <v>468</v>
      </c>
      <c r="G132" s="67" t="s">
        <v>3</v>
      </c>
      <c r="H132" s="67" t="s">
        <v>68</v>
      </c>
      <c r="I132" s="67" t="s">
        <v>576</v>
      </c>
      <c r="J132" s="67" t="s">
        <v>70</v>
      </c>
      <c r="K132" s="68">
        <v>45442</v>
      </c>
      <c r="L132" s="68">
        <v>45322</v>
      </c>
      <c r="M132" s="68">
        <v>45322</v>
      </c>
      <c r="N132" s="67" t="s">
        <v>635</v>
      </c>
      <c r="O132" s="68"/>
      <c r="P132" s="68"/>
      <c r="Q132" s="68"/>
      <c r="R132" s="68"/>
      <c r="S132" s="68"/>
      <c r="T132" s="68"/>
      <c r="U132" s="67"/>
      <c r="V132" s="67"/>
      <c r="W132" s="67"/>
      <c r="X132" s="67" t="s">
        <v>72</v>
      </c>
      <c r="Y132" s="67" t="s">
        <v>245</v>
      </c>
      <c r="Z132" s="67" t="s">
        <v>245</v>
      </c>
      <c r="AA132" s="67" t="s">
        <v>636</v>
      </c>
      <c r="AB132" s="67"/>
      <c r="AC132" s="67"/>
      <c r="AD132" s="67"/>
      <c r="AE132" s="67" t="s">
        <v>637</v>
      </c>
      <c r="AF132" s="67">
        <v>7018665972</v>
      </c>
      <c r="AG132" s="67"/>
      <c r="AH132" s="68" t="s">
        <v>123</v>
      </c>
      <c r="AI132" s="68">
        <v>45399</v>
      </c>
      <c r="AJ132" s="68"/>
      <c r="AK132" s="67" t="s">
        <v>72</v>
      </c>
      <c r="AL132" s="67">
        <v>750000</v>
      </c>
      <c r="AM132" s="68">
        <v>45426</v>
      </c>
      <c r="AN132" s="68"/>
      <c r="AO132" s="68"/>
      <c r="AP132" s="68"/>
      <c r="AQ132" s="68"/>
      <c r="AR132" s="68"/>
      <c r="AS132" s="68">
        <v>45453</v>
      </c>
      <c r="AT132" s="67">
        <f t="shared" ca="1" si="15"/>
        <v>0</v>
      </c>
      <c r="AU132" s="79" t="str">
        <f t="shared" ca="1" si="16"/>
        <v/>
      </c>
      <c r="AV132" s="79" t="str" cm="1">
        <f t="array" aca="1" ref="AV132" ca="1">IFERROR(_xlfn.IFS($AU132="","",$AU132&lt;=15,"0-15",AND($AU132&gt;=16,$AU132&lt;=30),"16-30",AND($AU132&gt;=31,$AU132&lt;=45),"31-45",AND($AU132&gt;=46,$AU132&lt;=60),"46-60",AND($AU132&gt;=61,$AU132&lt;=90),"61-90",AND($AU132&gt;=91),"&gt; 90",AND($AU132&gt;=2000),""),"")</f>
        <v/>
      </c>
      <c r="AW132" s="79" cm="1">
        <f t="array" aca="1" ref="AW132" ca="1">IFERROR(_xlfn.IFS(OR($M132="",$AM132=""),"",OR($C132="Offered",$C132="Joined"),($AM132-$M132)-$AT132),"")</f>
        <v>104</v>
      </c>
      <c r="AX132" s="79" cm="1">
        <f t="array" aca="1" ref="AX132" ca="1">IFERROR(_xlfn.IFS(OR($M132="",$AS132=""),"",$C132="Joined",($AS132-$M132)-$AT132),"")</f>
        <v>131</v>
      </c>
      <c r="AY132" s="67" t="str">
        <f>IFERROR(IF(COUNTIFS('Candidate Tracker'!$E:$E,'Positions Tracker'!$B132,'Candidate Tracker'!$C:$C,"Offer Drop")=0,"",COUNTIFS('Candidate Tracker'!$E:$E,'Positions Tracker'!$B132,'Candidate Tracker'!$C:$C,"Offer Drop")),"")</f>
        <v/>
      </c>
      <c r="AZ132" s="80">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0.88111888111888115</v>
      </c>
      <c r="BA132" s="81">
        <f>IFERROR(IF(COUNTIFS('Candidate Tracker'!$E:$E,'Positions Tracker'!$B132,'Candidate Tracker'!$I:$I,"Female")=0,"",COUNTIFS('Candidate Tracker'!$E:$E,'Positions Tracker'!$B132,'Candidate Tracker'!$I:$I,"Female")),"")</f>
        <v>1</v>
      </c>
      <c r="BB132" s="81">
        <f>IFERROR(IF(COUNTIFS('Candidate Tracker'!$E:$E,'Positions Tracker'!$B132,'Candidate Tracker'!$I:$I,"male")=0,"",COUNTIFS('Candidate Tracker'!$E:$E,'Positions Tracker'!$B132,'Candidate Tracker'!$I:$I,"male")),"")</f>
        <v>1</v>
      </c>
      <c r="BC132" s="80">
        <f>IFERROR(IF(COUNTIFS('Candidate Tracker'!$E:$E,'Positions Tracker'!$B132,'Candidate Tracker'!$C:$C,"&lt;&gt;WIP",'Candidate Tracker'!$C:$C,"&lt;&gt;Hold",'Candidate Tracker'!$C:$C,"&lt;&gt;Cancelled",'Candidate Tracker'!$C:$C,"&lt;&gt;Closed")/COUNTIFS('Candidate Tracker'!$E:$E,'Positions Tracker'!$B132)=0,"",COUNTIFS('Candidate Tracker'!$E:$E,'Positions Tracker'!$B132,'Candidate Tracker'!$C:$C,"&lt;&gt;WIP",'Candidate Tracker'!$C:$C,"&lt;&gt;Hold",'Candidate Tracker'!$C:$C,"&lt;&gt;Cancelled",'Candidate Tracker'!$C:$C,"&lt;&gt;Closed")/COUNTIFS('Candidate Tracker'!$E:$E,'Positions Tracker'!$B132)),"")</f>
        <v>0.5</v>
      </c>
      <c r="BD132" s="67" t="str">
        <f t="shared" si="1"/>
        <v>Jan-24</v>
      </c>
      <c r="BE132" s="67" t="str">
        <f t="shared" si="2"/>
        <v>Apr-24</v>
      </c>
      <c r="BF132" s="67" t="str">
        <f t="shared" si="3"/>
        <v>May-24</v>
      </c>
      <c r="BG132" s="67" t="str">
        <f t="shared" si="4"/>
        <v>Jun-24</v>
      </c>
    </row>
    <row r="133" spans="1:59">
      <c r="A133" s="67">
        <f t="shared" si="14"/>
        <v>132</v>
      </c>
      <c r="B133" s="67" t="s">
        <v>638</v>
      </c>
      <c r="C133" s="67" t="s">
        <v>64</v>
      </c>
      <c r="D133" s="67" t="s">
        <v>65</v>
      </c>
      <c r="E133" s="67" t="s">
        <v>639</v>
      </c>
      <c r="F133" s="67" t="s">
        <v>437</v>
      </c>
      <c r="G133" s="67" t="s">
        <v>3</v>
      </c>
      <c r="H133" s="67" t="s">
        <v>68</v>
      </c>
      <c r="I133" s="67" t="s">
        <v>438</v>
      </c>
      <c r="J133" s="67" t="s">
        <v>94</v>
      </c>
      <c r="K133" s="68">
        <v>45602</v>
      </c>
      <c r="L133" s="68">
        <v>45602</v>
      </c>
      <c r="M133" s="68">
        <v>45602</v>
      </c>
      <c r="N133" s="67" t="s">
        <v>95</v>
      </c>
      <c r="O133" s="68"/>
      <c r="P133" s="68"/>
      <c r="Q133" s="68"/>
      <c r="R133" s="68"/>
      <c r="S133" s="68"/>
      <c r="T133" s="68"/>
      <c r="U133" s="67"/>
      <c r="V133" s="67"/>
      <c r="W133" s="67"/>
      <c r="X133" s="67" t="s">
        <v>72</v>
      </c>
      <c r="Y133" s="67" t="s">
        <v>245</v>
      </c>
      <c r="Z133" s="67" t="s">
        <v>245</v>
      </c>
      <c r="AA133" s="67" t="s">
        <v>636</v>
      </c>
      <c r="AB133" s="67"/>
      <c r="AC133" s="67"/>
      <c r="AD133" s="67"/>
      <c r="AE133" s="67" t="s">
        <v>640</v>
      </c>
      <c r="AF133" s="67">
        <v>9096150394</v>
      </c>
      <c r="AG133" s="67"/>
      <c r="AH133" s="68" t="s">
        <v>123</v>
      </c>
      <c r="AI133" s="68">
        <v>45618</v>
      </c>
      <c r="AJ133" s="68"/>
      <c r="AK133" s="67" t="s">
        <v>72</v>
      </c>
      <c r="AL133" s="67">
        <v>2000000</v>
      </c>
      <c r="AM133" s="68">
        <v>45624</v>
      </c>
      <c r="AN133" s="68">
        <v>45624</v>
      </c>
      <c r="AO133" s="68"/>
      <c r="AP133" s="68"/>
      <c r="AQ133" s="68"/>
      <c r="AR133" s="68"/>
      <c r="AS133" s="68">
        <v>45628</v>
      </c>
      <c r="AT133" s="67">
        <f t="shared" ca="1" si="15"/>
        <v>0</v>
      </c>
      <c r="AU133" s="79" t="str">
        <f t="shared" ca="1" si="16"/>
        <v/>
      </c>
      <c r="AV133" s="79" t="str" cm="1">
        <f t="array" aca="1" ref="AV133" ca="1">IFERROR(_xlfn.IFS($AU133="","",$AU133&lt;=15,"0-15",AND($AU133&gt;=16,$AU133&lt;=30),"16-30",AND($AU133&gt;=31,$AU133&lt;=45),"31-45",AND($AU133&gt;=46,$AU133&lt;=60),"46-60",AND($AU133&gt;=61,$AU133&lt;=90),"61-90",AND($AU133&gt;=91),"&gt; 90",AND($AU133&gt;=2000),""),"")</f>
        <v/>
      </c>
      <c r="AW133" s="79" t="str" cm="1">
        <f t="array" aca="1" ref="AW133" ca="1">IFERROR(_xlfn.IFS(OR($M133="",$AM133=""),"",OR($C133="Offered",$C133="Joined"),($AM133-$M133)-$AT133),"")</f>
        <v/>
      </c>
      <c r="AX133" s="79" t="str" cm="1">
        <f t="array" aca="1" ref="AX133" ca="1">IFERROR(_xlfn.IFS(OR($M133="",$AS133=""),"",$C133="Joined",($AS133-$M133)-$AT133),"")</f>
        <v/>
      </c>
      <c r="AY133" s="67" t="str">
        <f>IFERROR(IF(COUNTIFS('Candidate Tracker'!$E:$E,'Positions Tracker'!$B133,'Candidate Tracker'!$C:$C,"Offer Drop")=0,"",COUNTIFS('Candidate Tracker'!$E:$E,'Positions Tracker'!$B133,'Candidate Tracker'!$C:$C,"Offer Drop")),"")</f>
        <v/>
      </c>
      <c r="AZ133" s="80">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0.88111888111888115</v>
      </c>
      <c r="BA133" s="81" t="str">
        <f>IFERROR(IF(COUNTIFS('Candidate Tracker'!$E:$E,'Positions Tracker'!$B133,'Candidate Tracker'!$I:$I,"Female")=0,"",COUNTIFS('Candidate Tracker'!$E:$E,'Positions Tracker'!$B133,'Candidate Tracker'!$I:$I,"Female")),"")</f>
        <v/>
      </c>
      <c r="BB133" s="81">
        <f>IFERROR(IF(COUNTIFS('Candidate Tracker'!$E:$E,'Positions Tracker'!$B133,'Candidate Tracker'!$I:$I,"male")=0,"",COUNTIFS('Candidate Tracker'!$E:$E,'Positions Tracker'!$B133,'Candidate Tracker'!$I:$I,"male")),"")</f>
        <v>1</v>
      </c>
      <c r="BC133" s="80" t="str">
        <f>IFERROR(IF(COUNTIFS('Candidate Tracker'!$E:$E,'Positions Tracker'!$B133,'Candidate Tracker'!$C:$C,"&lt;&gt;WIP",'Candidate Tracker'!$C:$C,"&lt;&gt;Hold",'Candidate Tracker'!$C:$C,"&lt;&gt;Cancelled",'Candidate Tracker'!$C:$C,"&lt;&gt;Closed")/COUNTIFS('Candidate Tracker'!$E:$E,'Positions Tracker'!$B133)=0,"",COUNTIFS('Candidate Tracker'!$E:$E,'Positions Tracker'!$B133,'Candidate Tracker'!$C:$C,"&lt;&gt;WIP",'Candidate Tracker'!$C:$C,"&lt;&gt;Hold",'Candidate Tracker'!$C:$C,"&lt;&gt;Cancelled",'Candidate Tracker'!$C:$C,"&lt;&gt;Closed")/COUNTIFS('Candidate Tracker'!$E:$E,'Positions Tracker'!$B133)),"")</f>
        <v/>
      </c>
      <c r="BD133" s="67" t="str">
        <f t="shared" si="1"/>
        <v>Nov-24</v>
      </c>
      <c r="BE133" s="67" t="str">
        <f t="shared" si="2"/>
        <v>Nov-24</v>
      </c>
      <c r="BF133" s="67" t="str">
        <f t="shared" si="3"/>
        <v>Nov-24</v>
      </c>
      <c r="BG133" s="67" t="str">
        <f t="shared" si="4"/>
        <v>Dec-24</v>
      </c>
    </row>
    <row r="134" spans="1:59">
      <c r="A134" s="67">
        <f t="shared" si="14"/>
        <v>133</v>
      </c>
      <c r="B134" s="67"/>
      <c r="C134" s="67" t="s">
        <v>55</v>
      </c>
      <c r="D134" s="67" t="s">
        <v>80</v>
      </c>
      <c r="E134" s="67" t="s">
        <v>472</v>
      </c>
      <c r="F134" s="67" t="s">
        <v>468</v>
      </c>
      <c r="G134" s="67" t="s">
        <v>3</v>
      </c>
      <c r="H134" s="67" t="s">
        <v>68</v>
      </c>
      <c r="I134" s="67" t="s">
        <v>576</v>
      </c>
      <c r="J134" s="67" t="s">
        <v>70</v>
      </c>
      <c r="K134" s="68">
        <v>45295</v>
      </c>
      <c r="L134" s="68">
        <v>45329</v>
      </c>
      <c r="M134" s="68">
        <v>45628</v>
      </c>
      <c r="N134" s="67"/>
      <c r="O134" s="68"/>
      <c r="P134" s="68"/>
      <c r="Q134" s="68"/>
      <c r="R134" s="68"/>
      <c r="S134" s="68"/>
      <c r="T134" s="68"/>
      <c r="U134" s="67"/>
      <c r="V134" s="67"/>
      <c r="W134" s="67"/>
      <c r="X134" s="67" t="s">
        <v>72</v>
      </c>
      <c r="Y134" s="67" t="s">
        <v>245</v>
      </c>
      <c r="Z134" s="67" t="s">
        <v>245</v>
      </c>
      <c r="AA134" s="67" t="s">
        <v>641</v>
      </c>
      <c r="AB134" s="67"/>
      <c r="AC134" s="67"/>
      <c r="AD134" s="67"/>
      <c r="AE134" s="67" t="s">
        <v>642</v>
      </c>
      <c r="AF134" s="67">
        <v>8675138938</v>
      </c>
      <c r="AG134" s="67"/>
      <c r="AH134" s="68" t="s">
        <v>123</v>
      </c>
      <c r="AI134" s="68">
        <v>45279</v>
      </c>
      <c r="AJ134" s="68"/>
      <c r="AK134" s="67" t="s">
        <v>72</v>
      </c>
      <c r="AL134" s="67">
        <v>800000</v>
      </c>
      <c r="AM134" s="68"/>
      <c r="AN134" s="68"/>
      <c r="AO134" s="68"/>
      <c r="AP134" s="68">
        <v>45289</v>
      </c>
      <c r="AQ134" s="68"/>
      <c r="AR134" s="68"/>
      <c r="AS134" s="68">
        <v>45397</v>
      </c>
      <c r="AT134" s="67">
        <f t="shared" ca="1" si="15"/>
        <v>0</v>
      </c>
      <c r="AU134" s="79" t="str">
        <f t="shared" ca="1" si="16"/>
        <v/>
      </c>
      <c r="AV134" s="79" t="str" cm="1">
        <f t="array" aca="1" ref="AV134" ca="1">IFERROR(_xlfn.IFS($AU134="","",$AU134&lt;=15,"0-15",AND($AU134&gt;=16,$AU134&lt;=30),"16-30",AND($AU134&gt;=31,$AU134&lt;=45),"31-45",AND($AU134&gt;=46,$AU134&lt;=60),"46-60",AND($AU134&gt;=61,$AU134&lt;=90),"61-90",AND($AU134&gt;=91),"&gt; 90",AND($AU134&gt;=2000),""),"")</f>
        <v/>
      </c>
      <c r="AW134" s="79" t="str" cm="1">
        <f t="array" aca="1" ref="AW134" ca="1">IFERROR(_xlfn.IFS(OR($M134="",$AM134=""),"",OR($C134="Offered",$C134="Joined"),($AM134-$M134)-$AT134),"")</f>
        <v/>
      </c>
      <c r="AX134" s="79" t="str" cm="1">
        <f t="array" aca="1" ref="AX134" ca="1">IFERROR(_xlfn.IFS(OR($M134="",$AS134=""),"",$C134="Joined",($AS134-$M134)-$AT134),"")</f>
        <v/>
      </c>
      <c r="AY134" s="67" t="str">
        <f>IFERROR(IF(COUNTIFS('Candidate Tracker'!$E:$E,'Positions Tracker'!$B134,'Candidate Tracker'!$C:$C,"Offer Drop")=0,"",COUNTIFS('Candidate Tracker'!$E:$E,'Positions Tracker'!$B134,'Candidate Tracker'!$C:$C,"Offer Drop")),"")</f>
        <v/>
      </c>
      <c r="AZ134" s="80">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0.88111888111888115</v>
      </c>
      <c r="BA134" s="81" t="str">
        <f>IFERROR(IF(COUNTIFS('Candidate Tracker'!$E:$E,'Positions Tracker'!$B134,'Candidate Tracker'!$I:$I,"Female")=0,"",COUNTIFS('Candidate Tracker'!$E:$E,'Positions Tracker'!$B134,'Candidate Tracker'!$I:$I,"Female")),"")</f>
        <v/>
      </c>
      <c r="BB134" s="81" t="str">
        <f>IFERROR(IF(COUNTIFS('Candidate Tracker'!$E:$E,'Positions Tracker'!$B134,'Candidate Tracker'!$I:$I,"male")=0,"",COUNTIFS('Candidate Tracker'!$E:$E,'Positions Tracker'!$B134,'Candidate Tracker'!$I:$I,"male")),"")</f>
        <v/>
      </c>
      <c r="BC134" s="80" t="str">
        <f>IFERROR(IF(COUNTIFS('Candidate Tracker'!$E:$E,'Positions Tracker'!$B134,'Candidate Tracker'!$C:$C,"&lt;&gt;WIP",'Candidate Tracker'!$C:$C,"&lt;&gt;Hold",'Candidate Tracker'!$C:$C,"&lt;&gt;Cancelled",'Candidate Tracker'!$C:$C,"&lt;&gt;Closed")/COUNTIFS('Candidate Tracker'!$E:$E,'Positions Tracker'!$B134)=0,"",COUNTIFS('Candidate Tracker'!$E:$E,'Positions Tracker'!$B134,'Candidate Tracker'!$C:$C,"&lt;&gt;WIP",'Candidate Tracker'!$C:$C,"&lt;&gt;Hold",'Candidate Tracker'!$C:$C,"&lt;&gt;Cancelled",'Candidate Tracker'!$C:$C,"&lt;&gt;Closed")/COUNTIFS('Candidate Tracker'!$E:$E,'Positions Tracker'!$B134)),"")</f>
        <v/>
      </c>
      <c r="BD134" s="67" t="str">
        <f t="shared" si="1"/>
        <v>Dec-24</v>
      </c>
      <c r="BE134" s="67" t="str">
        <f t="shared" si="2"/>
        <v>Dec-23</v>
      </c>
      <c r="BF134" s="67" t="str">
        <f t="shared" si="3"/>
        <v/>
      </c>
      <c r="BG134" s="67" t="str">
        <f t="shared" si="4"/>
        <v>Apr-24</v>
      </c>
    </row>
    <row r="135" spans="1:59">
      <c r="A135" s="67">
        <f t="shared" si="14"/>
        <v>134</v>
      </c>
      <c r="B135" s="67"/>
      <c r="C135" s="67" t="s">
        <v>55</v>
      </c>
      <c r="D135" s="67" t="s">
        <v>80</v>
      </c>
      <c r="E135" s="67" t="s">
        <v>643</v>
      </c>
      <c r="F135" s="67" t="s">
        <v>158</v>
      </c>
      <c r="G135" s="67"/>
      <c r="H135" s="67"/>
      <c r="I135" s="67" t="s">
        <v>644</v>
      </c>
      <c r="J135" s="67" t="s">
        <v>70</v>
      </c>
      <c r="K135" s="68"/>
      <c r="L135" s="68">
        <v>45294</v>
      </c>
      <c r="M135" s="68">
        <v>45337</v>
      </c>
      <c r="N135" s="67"/>
      <c r="O135" s="68"/>
      <c r="P135" s="68"/>
      <c r="Q135" s="68"/>
      <c r="R135" s="68"/>
      <c r="S135" s="68"/>
      <c r="T135" s="68"/>
      <c r="U135" s="67"/>
      <c r="V135" s="67"/>
      <c r="W135" s="67"/>
      <c r="X135" s="67" t="s">
        <v>72</v>
      </c>
      <c r="Y135" s="67" t="s">
        <v>144</v>
      </c>
      <c r="Z135" s="67" t="s">
        <v>144</v>
      </c>
      <c r="AA135" s="67" t="s">
        <v>645</v>
      </c>
      <c r="AB135" s="67"/>
      <c r="AC135" s="67"/>
      <c r="AD135" s="67"/>
      <c r="AE135" s="67" t="s">
        <v>646</v>
      </c>
      <c r="AF135" s="67">
        <v>9920212883</v>
      </c>
      <c r="AG135" s="67"/>
      <c r="AH135" s="68" t="s">
        <v>123</v>
      </c>
      <c r="AI135" s="68">
        <v>45273</v>
      </c>
      <c r="AJ135" s="68"/>
      <c r="AK135" s="67" t="s">
        <v>72</v>
      </c>
      <c r="AL135" s="67">
        <v>5300000</v>
      </c>
      <c r="AM135" s="68"/>
      <c r="AN135" s="68"/>
      <c r="AO135" s="68">
        <v>45290</v>
      </c>
      <c r="AP135" s="68">
        <v>45295</v>
      </c>
      <c r="AQ135" s="68"/>
      <c r="AR135" s="68"/>
      <c r="AS135" s="68">
        <v>45404</v>
      </c>
      <c r="AT135" s="67">
        <f t="shared" ca="1" si="15"/>
        <v>0</v>
      </c>
      <c r="AU135" s="79" t="str">
        <f t="shared" ca="1" si="16"/>
        <v/>
      </c>
      <c r="AV135" s="79" t="str" cm="1">
        <f t="array" aca="1" ref="AV135" ca="1">IFERROR(_xlfn.IFS($AU135="","",$AU135&lt;=15,"0-15",AND($AU135&gt;=16,$AU135&lt;=30),"16-30",AND($AU135&gt;=31,$AU135&lt;=45),"31-45",AND($AU135&gt;=46,$AU135&lt;=60),"46-60",AND($AU135&gt;=61,$AU135&lt;=90),"61-90",AND($AU135&gt;=91),"&gt; 90",AND($AU135&gt;=2000),""),"")</f>
        <v/>
      </c>
      <c r="AW135" s="79" t="str" cm="1">
        <f t="array" aca="1" ref="AW135" ca="1">IFERROR(_xlfn.IFS(OR($M135="",$AM135=""),"",OR($C135="Offered",$C135="Joined"),($AM135-$M135)-$AT135),"")</f>
        <v/>
      </c>
      <c r="AX135" s="79" t="str" cm="1">
        <f t="array" aca="1" ref="AX135" ca="1">IFERROR(_xlfn.IFS(OR($M135="",$AS135=""),"",$C135="Joined",($AS135-$M135)-$AT135),"")</f>
        <v/>
      </c>
      <c r="AY135" s="67" t="str">
        <f>IFERROR(IF(COUNTIFS('Candidate Tracker'!$E:$E,'Positions Tracker'!$B135,'Candidate Tracker'!$C:$C,"Offer Drop")=0,"",COUNTIFS('Candidate Tracker'!$E:$E,'Positions Tracker'!$B135,'Candidate Tracker'!$C:$C,"Offer Drop")),"")</f>
        <v/>
      </c>
      <c r="AZ135" s="80">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0.88111888111888115</v>
      </c>
      <c r="BA135" s="81" t="str">
        <f>IFERROR(IF(COUNTIFS('Candidate Tracker'!$E:$E,'Positions Tracker'!$B135,'Candidate Tracker'!$I:$I,"Female")=0,"",COUNTIFS('Candidate Tracker'!$E:$E,'Positions Tracker'!$B135,'Candidate Tracker'!$I:$I,"Female")),"")</f>
        <v/>
      </c>
      <c r="BB135" s="81" t="str">
        <f>IFERROR(IF(COUNTIFS('Candidate Tracker'!$E:$E,'Positions Tracker'!$B135,'Candidate Tracker'!$I:$I,"male")=0,"",COUNTIFS('Candidate Tracker'!$E:$E,'Positions Tracker'!$B135,'Candidate Tracker'!$I:$I,"male")),"")</f>
        <v/>
      </c>
      <c r="BC135" s="80" t="str">
        <f>IFERROR(IF(COUNTIFS('Candidate Tracker'!$E:$E,'Positions Tracker'!$B135,'Candidate Tracker'!$C:$C,"&lt;&gt;WIP",'Candidate Tracker'!$C:$C,"&lt;&gt;Hold",'Candidate Tracker'!$C:$C,"&lt;&gt;Cancelled",'Candidate Tracker'!$C:$C,"&lt;&gt;Closed")/COUNTIFS('Candidate Tracker'!$E:$E,'Positions Tracker'!$B135)=0,"",COUNTIFS('Candidate Tracker'!$E:$E,'Positions Tracker'!$B135,'Candidate Tracker'!$C:$C,"&lt;&gt;WIP",'Candidate Tracker'!$C:$C,"&lt;&gt;Hold",'Candidate Tracker'!$C:$C,"&lt;&gt;Cancelled",'Candidate Tracker'!$C:$C,"&lt;&gt;Closed")/COUNTIFS('Candidate Tracker'!$E:$E,'Positions Tracker'!$B135)),"")</f>
        <v/>
      </c>
      <c r="BD135" s="67" t="str">
        <f t="shared" si="1"/>
        <v>Feb-24</v>
      </c>
      <c r="BE135" s="67" t="str">
        <f t="shared" si="2"/>
        <v>Dec-23</v>
      </c>
      <c r="BF135" s="67" t="str">
        <f t="shared" si="3"/>
        <v/>
      </c>
      <c r="BG135" s="67" t="str">
        <f t="shared" si="4"/>
        <v>Apr-24</v>
      </c>
    </row>
    <row r="136" spans="1:59">
      <c r="A136" s="67">
        <f t="shared" si="14"/>
        <v>135</v>
      </c>
      <c r="B136" s="67"/>
      <c r="C136" s="67" t="s">
        <v>55</v>
      </c>
      <c r="D136" s="67" t="s">
        <v>80</v>
      </c>
      <c r="E136" s="67" t="s">
        <v>647</v>
      </c>
      <c r="F136" s="67" t="s">
        <v>648</v>
      </c>
      <c r="G136" s="67" t="s">
        <v>3</v>
      </c>
      <c r="H136" s="67" t="s">
        <v>111</v>
      </c>
      <c r="I136" s="67" t="s">
        <v>228</v>
      </c>
      <c r="J136" s="67" t="s">
        <v>70</v>
      </c>
      <c r="K136" s="68"/>
      <c r="L136" s="68">
        <v>45383</v>
      </c>
      <c r="M136" s="68">
        <v>45383</v>
      </c>
      <c r="N136" s="67"/>
      <c r="O136" s="68"/>
      <c r="P136" s="68"/>
      <c r="Q136" s="68"/>
      <c r="R136" s="68"/>
      <c r="S136" s="68"/>
      <c r="T136" s="68"/>
      <c r="U136" s="67"/>
      <c r="V136" s="67"/>
      <c r="W136" s="67"/>
      <c r="X136" s="67" t="s">
        <v>72</v>
      </c>
      <c r="Y136" s="67" t="s">
        <v>245</v>
      </c>
      <c r="Z136" s="67" t="s">
        <v>245</v>
      </c>
      <c r="AA136" s="67" t="s">
        <v>641</v>
      </c>
      <c r="AB136" s="67"/>
      <c r="AC136" s="67"/>
      <c r="AD136" s="67"/>
      <c r="AE136" s="67" t="s">
        <v>649</v>
      </c>
      <c r="AF136" s="67">
        <v>7615801234</v>
      </c>
      <c r="AG136" s="67"/>
      <c r="AH136" s="68" t="s">
        <v>86</v>
      </c>
      <c r="AI136" s="68">
        <v>45342</v>
      </c>
      <c r="AJ136" s="68">
        <v>45350</v>
      </c>
      <c r="AK136" s="67" t="s">
        <v>72</v>
      </c>
      <c r="AL136" s="67">
        <v>1700000</v>
      </c>
      <c r="AM136" s="68">
        <v>45350</v>
      </c>
      <c r="AN136" s="68">
        <v>45350</v>
      </c>
      <c r="AO136" s="68">
        <v>45380</v>
      </c>
      <c r="AP136" s="68">
        <v>45350</v>
      </c>
      <c r="AQ136" s="68"/>
      <c r="AR136" s="68"/>
      <c r="AS136" s="68">
        <v>45383</v>
      </c>
      <c r="AT136" s="67">
        <f t="shared" ca="1" si="15"/>
        <v>0</v>
      </c>
      <c r="AU136" s="79" t="str">
        <f t="shared" ca="1" si="16"/>
        <v/>
      </c>
      <c r="AV136" s="79" t="str" cm="1">
        <f t="array" aca="1" ref="AV136" ca="1">IFERROR(_xlfn.IFS($AU136="","",$AU136&lt;=15,"0-15",AND($AU136&gt;=16,$AU136&lt;=30),"16-30",AND($AU136&gt;=31,$AU136&lt;=45),"31-45",AND($AU136&gt;=46,$AU136&lt;=60),"46-60",AND($AU136&gt;=61,$AU136&lt;=90),"61-90",AND($AU136&gt;=91),"&gt; 90",AND($AU136&gt;=2000),""),"")</f>
        <v/>
      </c>
      <c r="AW136" s="79" t="str" cm="1">
        <f t="array" aca="1" ref="AW136" ca="1">IFERROR(_xlfn.IFS(OR($M136="",$AM136=""),"",OR($C136="Offered",$C136="Joined"),($AM136-$M136)-$AT136),"")</f>
        <v/>
      </c>
      <c r="AX136" s="79" t="str" cm="1">
        <f t="array" aca="1" ref="AX136" ca="1">IFERROR(_xlfn.IFS(OR($M136="",$AS136=""),"",$C136="Joined",($AS136-$M136)-$AT136),"")</f>
        <v/>
      </c>
      <c r="AY136" s="67" t="str">
        <f>IFERROR(IF(COUNTIFS('Candidate Tracker'!$E:$E,'Positions Tracker'!$B136,'Candidate Tracker'!$C:$C,"Offer Drop")=0,"",COUNTIFS('Candidate Tracker'!$E:$E,'Positions Tracker'!$B136,'Candidate Tracker'!$C:$C,"Offer Drop")),"")</f>
        <v/>
      </c>
      <c r="AZ136" s="80">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0.88111888111888115</v>
      </c>
      <c r="BA136" s="81" t="str">
        <f>IFERROR(IF(COUNTIFS('Candidate Tracker'!$E:$E,'Positions Tracker'!$B136,'Candidate Tracker'!$I:$I,"Female")=0,"",COUNTIFS('Candidate Tracker'!$E:$E,'Positions Tracker'!$B136,'Candidate Tracker'!$I:$I,"Female")),"")</f>
        <v/>
      </c>
      <c r="BB136" s="81" t="str">
        <f>IFERROR(IF(COUNTIFS('Candidate Tracker'!$E:$E,'Positions Tracker'!$B136,'Candidate Tracker'!$I:$I,"male")=0,"",COUNTIFS('Candidate Tracker'!$E:$E,'Positions Tracker'!$B136,'Candidate Tracker'!$I:$I,"male")),"")</f>
        <v/>
      </c>
      <c r="BC136" s="80" t="str">
        <f>IFERROR(IF(COUNTIFS('Candidate Tracker'!$E:$E,'Positions Tracker'!$B136,'Candidate Tracker'!$C:$C,"&lt;&gt;WIP",'Candidate Tracker'!$C:$C,"&lt;&gt;Hold",'Candidate Tracker'!$C:$C,"&lt;&gt;Cancelled",'Candidate Tracker'!$C:$C,"&lt;&gt;Closed")/COUNTIFS('Candidate Tracker'!$E:$E,'Positions Tracker'!$B136)=0,"",COUNTIFS('Candidate Tracker'!$E:$E,'Positions Tracker'!$B136,'Candidate Tracker'!$C:$C,"&lt;&gt;WIP",'Candidate Tracker'!$C:$C,"&lt;&gt;Hold",'Candidate Tracker'!$C:$C,"&lt;&gt;Cancelled",'Candidate Tracker'!$C:$C,"&lt;&gt;Closed")/COUNTIFS('Candidate Tracker'!$E:$E,'Positions Tracker'!$B136)),"")</f>
        <v/>
      </c>
      <c r="BD136" s="67" t="str">
        <f t="shared" si="1"/>
        <v>Apr-24</v>
      </c>
      <c r="BE136" s="67" t="str">
        <f t="shared" si="2"/>
        <v>Feb-24</v>
      </c>
      <c r="BF136" s="67" t="str">
        <f t="shared" si="3"/>
        <v>Feb-24</v>
      </c>
      <c r="BG136" s="67" t="str">
        <f t="shared" si="4"/>
        <v>Apr-24</v>
      </c>
    </row>
    <row r="137" spans="1:59">
      <c r="A137" s="67">
        <f t="shared" si="14"/>
        <v>136</v>
      </c>
      <c r="B137" s="67"/>
      <c r="C137" s="67" t="s">
        <v>55</v>
      </c>
      <c r="D137" s="67" t="s">
        <v>80</v>
      </c>
      <c r="E137" s="67" t="s">
        <v>650</v>
      </c>
      <c r="F137" s="67" t="s">
        <v>651</v>
      </c>
      <c r="G137" s="67"/>
      <c r="H137" s="67"/>
      <c r="I137" s="67" t="s">
        <v>652</v>
      </c>
      <c r="J137" s="67" t="s">
        <v>70</v>
      </c>
      <c r="K137" s="68"/>
      <c r="L137" s="68">
        <v>45301</v>
      </c>
      <c r="M137" s="68">
        <v>45301</v>
      </c>
      <c r="N137" s="67"/>
      <c r="O137" s="68"/>
      <c r="P137" s="68"/>
      <c r="Q137" s="68"/>
      <c r="R137" s="68"/>
      <c r="S137" s="68"/>
      <c r="T137" s="68"/>
      <c r="U137" s="67"/>
      <c r="V137" s="67"/>
      <c r="W137" s="67"/>
      <c r="X137" s="67" t="s">
        <v>72</v>
      </c>
      <c r="Y137" s="67" t="s">
        <v>144</v>
      </c>
      <c r="Z137" s="67" t="s">
        <v>144</v>
      </c>
      <c r="AA137" s="67" t="s">
        <v>653</v>
      </c>
      <c r="AB137" s="67"/>
      <c r="AC137" s="67"/>
      <c r="AD137" s="67"/>
      <c r="AE137" s="67" t="s">
        <v>654</v>
      </c>
      <c r="AF137" s="67">
        <v>9665330108</v>
      </c>
      <c r="AG137" s="67"/>
      <c r="AH137" s="68" t="s">
        <v>123</v>
      </c>
      <c r="AI137" s="68">
        <v>45306</v>
      </c>
      <c r="AJ137" s="68"/>
      <c r="AK137" s="67" t="s">
        <v>72</v>
      </c>
      <c r="AL137" s="67">
        <v>1600000</v>
      </c>
      <c r="AM137" s="68">
        <f>AN137</f>
        <v>45433</v>
      </c>
      <c r="AN137" s="68">
        <v>45433</v>
      </c>
      <c r="AO137" s="68">
        <v>45401</v>
      </c>
      <c r="AP137" s="68">
        <v>45307</v>
      </c>
      <c r="AQ137" s="68"/>
      <c r="AR137" s="68"/>
      <c r="AS137" s="68">
        <v>45404</v>
      </c>
      <c r="AT137" s="67">
        <f t="shared" ca="1" si="15"/>
        <v>0</v>
      </c>
      <c r="AU137" s="79" t="str">
        <f t="shared" ca="1" si="16"/>
        <v/>
      </c>
      <c r="AV137" s="79" t="str" cm="1">
        <f t="array" aca="1" ref="AV137" ca="1">IFERROR(_xlfn.IFS($AU137="","",$AU137&lt;=15,"0-15",AND($AU137&gt;=16,$AU137&lt;=30),"16-30",AND($AU137&gt;=31,$AU137&lt;=45),"31-45",AND($AU137&gt;=46,$AU137&lt;=60),"46-60",AND($AU137&gt;=61,$AU137&lt;=90),"61-90",AND($AU137&gt;=91),"&gt; 90",AND($AU137&gt;=2000),""),"")</f>
        <v/>
      </c>
      <c r="AW137" s="79" t="str" cm="1">
        <f t="array" aca="1" ref="AW137" ca="1">IFERROR(_xlfn.IFS(OR($M137="",$AM137=""),"",OR($C137="Offered",$C137="Joined"),($AM137-$M137)-$AT137),"")</f>
        <v/>
      </c>
      <c r="AX137" s="79" t="str" cm="1">
        <f t="array" aca="1" ref="AX137" ca="1">IFERROR(_xlfn.IFS(OR($M137="",$AS137=""),"",$C137="Joined",($AS137-$M137)-$AT137),"")</f>
        <v/>
      </c>
      <c r="AY137" s="67" t="str">
        <f>IFERROR(IF(COUNTIFS('Candidate Tracker'!$E:$E,'Positions Tracker'!$B137,'Candidate Tracker'!$C:$C,"Offer Drop")=0,"",COUNTIFS('Candidate Tracker'!$E:$E,'Positions Tracker'!$B137,'Candidate Tracker'!$C:$C,"Offer Drop")),"")</f>
        <v/>
      </c>
      <c r="AZ137" s="80">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0.88111888111888115</v>
      </c>
      <c r="BA137" s="81" t="str">
        <f>IFERROR(IF(COUNTIFS('Candidate Tracker'!$E:$E,'Positions Tracker'!$B137,'Candidate Tracker'!$I:$I,"Female")=0,"",COUNTIFS('Candidate Tracker'!$E:$E,'Positions Tracker'!$B137,'Candidate Tracker'!$I:$I,"Female")),"")</f>
        <v/>
      </c>
      <c r="BB137" s="81" t="str">
        <f>IFERROR(IF(COUNTIFS('Candidate Tracker'!$E:$E,'Positions Tracker'!$B137,'Candidate Tracker'!$I:$I,"male")=0,"",COUNTIFS('Candidate Tracker'!$E:$E,'Positions Tracker'!$B137,'Candidate Tracker'!$I:$I,"male")),"")</f>
        <v/>
      </c>
      <c r="BC137" s="80" t="str">
        <f>IFERROR(IF(COUNTIFS('Candidate Tracker'!$E:$E,'Positions Tracker'!$B137,'Candidate Tracker'!$C:$C,"&lt;&gt;WIP",'Candidate Tracker'!$C:$C,"&lt;&gt;Hold",'Candidate Tracker'!$C:$C,"&lt;&gt;Cancelled",'Candidate Tracker'!$C:$C,"&lt;&gt;Closed")/COUNTIFS('Candidate Tracker'!$E:$E,'Positions Tracker'!$B137)=0,"",COUNTIFS('Candidate Tracker'!$E:$E,'Positions Tracker'!$B137,'Candidate Tracker'!$C:$C,"&lt;&gt;WIP",'Candidate Tracker'!$C:$C,"&lt;&gt;Hold",'Candidate Tracker'!$C:$C,"&lt;&gt;Cancelled",'Candidate Tracker'!$C:$C,"&lt;&gt;Closed")/COUNTIFS('Candidate Tracker'!$E:$E,'Positions Tracker'!$B137)),"")</f>
        <v/>
      </c>
      <c r="BD137" s="67" t="str">
        <f t="shared" si="1"/>
        <v>Jan-24</v>
      </c>
      <c r="BE137" s="67" t="str">
        <f t="shared" si="2"/>
        <v>Jan-24</v>
      </c>
      <c r="BF137" s="67" t="str">
        <f t="shared" si="3"/>
        <v>May-24</v>
      </c>
      <c r="BG137" s="67" t="str">
        <f t="shared" si="4"/>
        <v>Apr-24</v>
      </c>
    </row>
    <row r="138" spans="1:59">
      <c r="A138" s="67">
        <f t="shared" si="14"/>
        <v>137</v>
      </c>
      <c r="B138" s="67">
        <v>20245321</v>
      </c>
      <c r="C138" s="67" t="s">
        <v>55</v>
      </c>
      <c r="D138" s="67" t="s">
        <v>80</v>
      </c>
      <c r="E138" s="67" t="s">
        <v>114</v>
      </c>
      <c r="F138" s="67" t="s">
        <v>655</v>
      </c>
      <c r="G138" s="67" t="s">
        <v>3</v>
      </c>
      <c r="H138" s="67" t="s">
        <v>111</v>
      </c>
      <c r="I138" s="67" t="s">
        <v>656</v>
      </c>
      <c r="J138" s="67" t="s">
        <v>70</v>
      </c>
      <c r="K138" s="68">
        <v>45531</v>
      </c>
      <c r="L138" s="68">
        <v>45531</v>
      </c>
      <c r="M138" s="68">
        <v>45531</v>
      </c>
      <c r="N138" s="67" t="s">
        <v>95</v>
      </c>
      <c r="O138" s="68"/>
      <c r="P138" s="68"/>
      <c r="Q138" s="68"/>
      <c r="R138" s="68"/>
      <c r="S138" s="68"/>
      <c r="T138" s="68"/>
      <c r="U138" s="67"/>
      <c r="V138" s="67"/>
      <c r="W138" s="67"/>
      <c r="X138" s="67" t="s">
        <v>72</v>
      </c>
      <c r="Y138" s="67" t="s">
        <v>74</v>
      </c>
      <c r="Z138" s="67" t="s">
        <v>657</v>
      </c>
      <c r="AA138" s="67" t="s">
        <v>658</v>
      </c>
      <c r="AB138" s="67"/>
      <c r="AC138" s="67"/>
      <c r="AD138" s="67"/>
      <c r="AE138" s="67" t="s">
        <v>656</v>
      </c>
      <c r="AF138" s="67">
        <v>9049427594</v>
      </c>
      <c r="AG138" s="67" t="s">
        <v>659</v>
      </c>
      <c r="AH138" s="68" t="s">
        <v>123</v>
      </c>
      <c r="AI138" s="68">
        <v>45318</v>
      </c>
      <c r="AJ138" s="68">
        <v>45320</v>
      </c>
      <c r="AK138" s="67" t="s">
        <v>72</v>
      </c>
      <c r="AL138" s="67">
        <v>1700000</v>
      </c>
      <c r="AM138" s="68">
        <v>45320</v>
      </c>
      <c r="AN138" s="68">
        <v>45352</v>
      </c>
      <c r="AO138" s="68">
        <v>45364</v>
      </c>
      <c r="AP138" s="68">
        <v>45363</v>
      </c>
      <c r="AQ138" s="68">
        <v>45363</v>
      </c>
      <c r="AR138" s="68">
        <v>45423</v>
      </c>
      <c r="AS138" s="68">
        <v>45426</v>
      </c>
      <c r="AT138" s="67">
        <f t="shared" ca="1" si="15"/>
        <v>0</v>
      </c>
      <c r="AU138" s="79" t="str">
        <f t="shared" ca="1" si="16"/>
        <v/>
      </c>
      <c r="AV138" s="79" t="str" cm="1">
        <f t="array" aca="1" ref="AV138" ca="1">IFERROR(_xlfn.IFS($AU138="","",$AU138&lt;=15,"0-15",AND($AU138&gt;=16,$AU138&lt;=30),"16-30",AND($AU138&gt;=31,$AU138&lt;=45),"31-45",AND($AU138&gt;=46,$AU138&lt;=60),"46-60",AND($AU138&gt;=61,$AU138&lt;=90),"61-90",AND($AU138&gt;=91),"&gt; 90",AND($AU138&gt;=2000),""),"")</f>
        <v/>
      </c>
      <c r="AW138" s="79" t="str" cm="1">
        <f t="array" aca="1" ref="AW138" ca="1">IFERROR(_xlfn.IFS(OR($M138="",$AM138=""),"",OR($C138="Offered",$C138="Joined"),($AM138-$M138)-$AT138),"")</f>
        <v/>
      </c>
      <c r="AX138" s="79" t="str" cm="1">
        <f t="array" aca="1" ref="AX138" ca="1">IFERROR(_xlfn.IFS(OR($M138="",$AS138=""),"",$C138="Joined",($AS138-$M138)-$AT138),"")</f>
        <v/>
      </c>
      <c r="AY138" s="67" t="str">
        <f>IFERROR(IF(COUNTIFS('Candidate Tracker'!$E:$E,'Positions Tracker'!$B138,'Candidate Tracker'!$C:$C,"Offer Drop")=0,"",COUNTIFS('Candidate Tracker'!$E:$E,'Positions Tracker'!$B138,'Candidate Tracker'!$C:$C,"Offer Drop")),"")</f>
        <v/>
      </c>
      <c r="AZ138" s="80">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0.88111888111888115</v>
      </c>
      <c r="BA138" s="81">
        <f>IFERROR(IF(COUNTIFS('Candidate Tracker'!$E:$E,'Positions Tracker'!$B138,'Candidate Tracker'!$I:$I,"Female")=0,"",COUNTIFS('Candidate Tracker'!$E:$E,'Positions Tracker'!$B138,'Candidate Tracker'!$I:$I,"Female")),"")</f>
        <v>9</v>
      </c>
      <c r="BB138" s="81">
        <f>IFERROR(IF(COUNTIFS('Candidate Tracker'!$E:$E,'Positions Tracker'!$B138,'Candidate Tracker'!$I:$I,"male")=0,"",COUNTIFS('Candidate Tracker'!$E:$E,'Positions Tracker'!$B138,'Candidate Tracker'!$I:$I,"male")),"")</f>
        <v>18</v>
      </c>
      <c r="BC138" s="80" t="str">
        <f>IFERROR(IF(COUNTIFS('Candidate Tracker'!$E:$E,'Positions Tracker'!$B138,'Candidate Tracker'!$C:$C,"&lt;&gt;WIP",'Candidate Tracker'!$C:$C,"&lt;&gt;Hold",'Candidate Tracker'!$C:$C,"&lt;&gt;Cancelled",'Candidate Tracker'!$C:$C,"&lt;&gt;Closed")/COUNTIFS('Candidate Tracker'!$E:$E,'Positions Tracker'!$B138)=0,"",COUNTIFS('Candidate Tracker'!$E:$E,'Positions Tracker'!$B138,'Candidate Tracker'!$C:$C,"&lt;&gt;WIP",'Candidate Tracker'!$C:$C,"&lt;&gt;Hold",'Candidate Tracker'!$C:$C,"&lt;&gt;Cancelled",'Candidate Tracker'!$C:$C,"&lt;&gt;Closed")/COUNTIFS('Candidate Tracker'!$E:$E,'Positions Tracker'!$B138)),"")</f>
        <v/>
      </c>
      <c r="BD138" s="67" t="str">
        <f t="shared" si="1"/>
        <v>Aug-24</v>
      </c>
      <c r="BE138" s="67" t="str">
        <f t="shared" si="2"/>
        <v>Jan-24</v>
      </c>
      <c r="BF138" s="67" t="str">
        <f t="shared" si="3"/>
        <v>Jan-24</v>
      </c>
      <c r="BG138" s="67" t="str">
        <f t="shared" si="4"/>
        <v>May-24</v>
      </c>
    </row>
    <row r="139" spans="1:59">
      <c r="A139" s="67">
        <f t="shared" si="14"/>
        <v>138</v>
      </c>
      <c r="B139" s="67"/>
      <c r="C139" s="67" t="s">
        <v>55</v>
      </c>
      <c r="D139" s="67" t="s">
        <v>80</v>
      </c>
      <c r="E139" s="67" t="s">
        <v>472</v>
      </c>
      <c r="F139" s="67" t="s">
        <v>468</v>
      </c>
      <c r="G139" s="67" t="s">
        <v>3</v>
      </c>
      <c r="H139" s="67" t="s">
        <v>68</v>
      </c>
      <c r="I139" s="67" t="s">
        <v>576</v>
      </c>
      <c r="J139" s="67" t="s">
        <v>70</v>
      </c>
      <c r="K139" s="68">
        <v>45203</v>
      </c>
      <c r="L139" s="68">
        <v>45329</v>
      </c>
      <c r="M139" s="68">
        <v>45329</v>
      </c>
      <c r="N139" s="67"/>
      <c r="O139" s="68"/>
      <c r="P139" s="68"/>
      <c r="Q139" s="68"/>
      <c r="R139" s="68"/>
      <c r="S139" s="68"/>
      <c r="T139" s="68"/>
      <c r="U139" s="67"/>
      <c r="V139" s="67"/>
      <c r="W139" s="67"/>
      <c r="X139" s="67" t="s">
        <v>72</v>
      </c>
      <c r="Y139" s="67" t="s">
        <v>245</v>
      </c>
      <c r="Z139" s="67" t="s">
        <v>245</v>
      </c>
      <c r="AA139" s="67" t="s">
        <v>641</v>
      </c>
      <c r="AB139" s="67"/>
      <c r="AC139" s="67"/>
      <c r="AD139" s="67"/>
      <c r="AE139" s="67" t="s">
        <v>660</v>
      </c>
      <c r="AF139" s="67">
        <v>8919867402</v>
      </c>
      <c r="AG139" s="67"/>
      <c r="AH139" s="68" t="s">
        <v>123</v>
      </c>
      <c r="AI139" s="68">
        <v>45302</v>
      </c>
      <c r="AJ139" s="68"/>
      <c r="AK139" s="67" t="s">
        <v>72</v>
      </c>
      <c r="AL139" s="67">
        <v>800000</v>
      </c>
      <c r="AM139" s="68">
        <f>AN139</f>
        <v>45488</v>
      </c>
      <c r="AN139" s="68">
        <v>45488</v>
      </c>
      <c r="AO139" s="68"/>
      <c r="AP139" s="68">
        <v>45320</v>
      </c>
      <c r="AQ139" s="68"/>
      <c r="AR139" s="68"/>
      <c r="AS139" s="68">
        <v>45418</v>
      </c>
      <c r="AT139" s="67">
        <f t="shared" ca="1" si="15"/>
        <v>0</v>
      </c>
      <c r="AU139" s="79" t="str">
        <f t="shared" ca="1" si="16"/>
        <v/>
      </c>
      <c r="AV139" s="79" t="str" cm="1">
        <f t="array" aca="1" ref="AV139" ca="1">IFERROR(_xlfn.IFS($AU139="","",$AU139&lt;=15,"0-15",AND($AU139&gt;=16,$AU139&lt;=30),"16-30",AND($AU139&gt;=31,$AU139&lt;=45),"31-45",AND($AU139&gt;=46,$AU139&lt;=60),"46-60",AND($AU139&gt;=61,$AU139&lt;=90),"61-90",AND($AU139&gt;=91),"&gt; 90",AND($AU139&gt;=2000),""),"")</f>
        <v/>
      </c>
      <c r="AW139" s="79" t="str" cm="1">
        <f t="array" aca="1" ref="AW139" ca="1">IFERROR(_xlfn.IFS(OR($M139="",$AM139=""),"",OR($C139="Offered",$C139="Joined"),($AM139-$M139)-$AT139),"")</f>
        <v/>
      </c>
      <c r="AX139" s="79" t="str" cm="1">
        <f t="array" aca="1" ref="AX139" ca="1">IFERROR(_xlfn.IFS(OR($M139="",$AS139=""),"",$C139="Joined",($AS139-$M139)-$AT139),"")</f>
        <v/>
      </c>
      <c r="AY139" s="67" t="str">
        <f>IFERROR(IF(COUNTIFS('Candidate Tracker'!$E:$E,'Positions Tracker'!$B139,'Candidate Tracker'!$C:$C,"Offer Drop")=0,"",COUNTIFS('Candidate Tracker'!$E:$E,'Positions Tracker'!$B139,'Candidate Tracker'!$C:$C,"Offer Drop")),"")</f>
        <v/>
      </c>
      <c r="AZ139" s="80">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0.88111888111888115</v>
      </c>
      <c r="BA139" s="81" t="str">
        <f>IFERROR(IF(COUNTIFS('Candidate Tracker'!$E:$E,'Positions Tracker'!$B139,'Candidate Tracker'!$I:$I,"Female")=0,"",COUNTIFS('Candidate Tracker'!$E:$E,'Positions Tracker'!$B139,'Candidate Tracker'!$I:$I,"Female")),"")</f>
        <v/>
      </c>
      <c r="BB139" s="81" t="str">
        <f>IFERROR(IF(COUNTIFS('Candidate Tracker'!$E:$E,'Positions Tracker'!$B139,'Candidate Tracker'!$I:$I,"male")=0,"",COUNTIFS('Candidate Tracker'!$E:$E,'Positions Tracker'!$B139,'Candidate Tracker'!$I:$I,"male")),"")</f>
        <v/>
      </c>
      <c r="BC139" s="80" t="str">
        <f>IFERROR(IF(COUNTIFS('Candidate Tracker'!$E:$E,'Positions Tracker'!$B139,'Candidate Tracker'!$C:$C,"&lt;&gt;WIP",'Candidate Tracker'!$C:$C,"&lt;&gt;Hold",'Candidate Tracker'!$C:$C,"&lt;&gt;Cancelled",'Candidate Tracker'!$C:$C,"&lt;&gt;Closed")/COUNTIFS('Candidate Tracker'!$E:$E,'Positions Tracker'!$B139)=0,"",COUNTIFS('Candidate Tracker'!$E:$E,'Positions Tracker'!$B139,'Candidate Tracker'!$C:$C,"&lt;&gt;WIP",'Candidate Tracker'!$C:$C,"&lt;&gt;Hold",'Candidate Tracker'!$C:$C,"&lt;&gt;Cancelled",'Candidate Tracker'!$C:$C,"&lt;&gt;Closed")/COUNTIFS('Candidate Tracker'!$E:$E,'Positions Tracker'!$B139)),"")</f>
        <v/>
      </c>
      <c r="BD139" s="67" t="str">
        <f t="shared" si="1"/>
        <v>Feb-24</v>
      </c>
      <c r="BE139" s="67" t="str">
        <f t="shared" si="2"/>
        <v>Jan-24</v>
      </c>
      <c r="BF139" s="67" t="str">
        <f t="shared" si="3"/>
        <v>Jul-24</v>
      </c>
      <c r="BG139" s="67" t="str">
        <f t="shared" si="4"/>
        <v>May-24</v>
      </c>
    </row>
    <row r="140" spans="1:59">
      <c r="A140" s="67">
        <f t="shared" si="14"/>
        <v>139</v>
      </c>
      <c r="B140" s="67">
        <v>20242803</v>
      </c>
      <c r="C140" s="67" t="s">
        <v>55</v>
      </c>
      <c r="D140" s="67" t="s">
        <v>80</v>
      </c>
      <c r="E140" s="67" t="s">
        <v>109</v>
      </c>
      <c r="F140" s="67" t="s">
        <v>648</v>
      </c>
      <c r="G140" s="67" t="s">
        <v>3</v>
      </c>
      <c r="H140" s="67" t="s">
        <v>111</v>
      </c>
      <c r="I140" s="67" t="s">
        <v>228</v>
      </c>
      <c r="J140" s="67" t="s">
        <v>70</v>
      </c>
      <c r="K140" s="68">
        <v>45485</v>
      </c>
      <c r="L140" s="68">
        <v>45485</v>
      </c>
      <c r="M140" s="68">
        <v>45485</v>
      </c>
      <c r="N140" s="67"/>
      <c r="O140" s="68"/>
      <c r="P140" s="68"/>
      <c r="Q140" s="68"/>
      <c r="R140" s="68"/>
      <c r="S140" s="68"/>
      <c r="T140" s="68"/>
      <c r="U140" s="67"/>
      <c r="V140" s="67"/>
      <c r="W140" s="67"/>
      <c r="X140" s="67" t="s">
        <v>72</v>
      </c>
      <c r="Y140" s="67" t="s">
        <v>74</v>
      </c>
      <c r="Z140" s="67" t="s">
        <v>657</v>
      </c>
      <c r="AA140" s="67" t="s">
        <v>658</v>
      </c>
      <c r="AB140" s="67"/>
      <c r="AC140" s="67"/>
      <c r="AD140" s="67"/>
      <c r="AE140" s="67" t="s">
        <v>661</v>
      </c>
      <c r="AF140" s="67">
        <v>6394873934</v>
      </c>
      <c r="AG140" s="67" t="s">
        <v>662</v>
      </c>
      <c r="AH140" s="68" t="s">
        <v>123</v>
      </c>
      <c r="AI140" s="68">
        <v>45343</v>
      </c>
      <c r="AJ140" s="68">
        <v>45343</v>
      </c>
      <c r="AK140" s="67" t="s">
        <v>72</v>
      </c>
      <c r="AL140" s="67">
        <v>1000000</v>
      </c>
      <c r="AM140" s="68">
        <v>45366</v>
      </c>
      <c r="AN140" s="68">
        <v>45478</v>
      </c>
      <c r="AO140" s="68">
        <v>45378</v>
      </c>
      <c r="AP140" s="68">
        <v>45370</v>
      </c>
      <c r="AQ140" s="68">
        <v>45370</v>
      </c>
      <c r="AR140" s="68">
        <v>45378</v>
      </c>
      <c r="AS140" s="68">
        <v>45383</v>
      </c>
      <c r="AT140" s="67">
        <f t="shared" ca="1" si="15"/>
        <v>0</v>
      </c>
      <c r="AU140" s="79" t="str">
        <f t="shared" ca="1" si="16"/>
        <v/>
      </c>
      <c r="AV140" s="79" t="str" cm="1">
        <f t="array" aca="1" ref="AV140" ca="1">IFERROR(_xlfn.IFS($AU140="","",$AU140&lt;=15,"0-15",AND($AU140&gt;=16,$AU140&lt;=30),"16-30",AND($AU140&gt;=31,$AU140&lt;=45),"31-45",AND($AU140&gt;=46,$AU140&lt;=60),"46-60",AND($AU140&gt;=61,$AU140&lt;=90),"61-90",AND($AU140&gt;=91),"&gt; 90",AND($AU140&gt;=2000),""),"")</f>
        <v/>
      </c>
      <c r="AW140" s="79" t="str" cm="1">
        <f t="array" aca="1" ref="AW140" ca="1">IFERROR(_xlfn.IFS(OR($M140="",$AM140=""),"",OR($C140="Offered",$C140="Joined"),($AM140-$M140)-$AT140),"")</f>
        <v/>
      </c>
      <c r="AX140" s="79" t="str" cm="1">
        <f t="array" aca="1" ref="AX140" ca="1">IFERROR(_xlfn.IFS(OR($M140="",$AS140=""),"",$C140="Joined",($AS140-$M140)-$AT140),"")</f>
        <v/>
      </c>
      <c r="AY140" s="67" t="str">
        <f>IFERROR(IF(COUNTIFS('Candidate Tracker'!$E:$E,'Positions Tracker'!$B140,'Candidate Tracker'!$C:$C,"Offer Drop")=0,"",COUNTIFS('Candidate Tracker'!$E:$E,'Positions Tracker'!$B140,'Candidate Tracker'!$C:$C,"Offer Drop")),"")</f>
        <v/>
      </c>
      <c r="AZ140" s="80">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0.88111888111888115</v>
      </c>
      <c r="BA140" s="81">
        <f>IFERROR(IF(COUNTIFS('Candidate Tracker'!$E:$E,'Positions Tracker'!$B140,'Candidate Tracker'!$I:$I,"Female")=0,"",COUNTIFS('Candidate Tracker'!$E:$E,'Positions Tracker'!$B140,'Candidate Tracker'!$I:$I,"Female")),"")</f>
        <v>14</v>
      </c>
      <c r="BB140" s="81">
        <f>IFERROR(IF(COUNTIFS('Candidate Tracker'!$E:$E,'Positions Tracker'!$B140,'Candidate Tracker'!$I:$I,"male")=0,"",COUNTIFS('Candidate Tracker'!$E:$E,'Positions Tracker'!$B140,'Candidate Tracker'!$I:$I,"male")),"")</f>
        <v>31</v>
      </c>
      <c r="BC140" s="80" t="str">
        <f>IFERROR(IF(COUNTIFS('Candidate Tracker'!$E:$E,'Positions Tracker'!$B140,'Candidate Tracker'!$C:$C,"&lt;&gt;WIP",'Candidate Tracker'!$C:$C,"&lt;&gt;Hold",'Candidate Tracker'!$C:$C,"&lt;&gt;Cancelled",'Candidate Tracker'!$C:$C,"&lt;&gt;Closed")/COUNTIFS('Candidate Tracker'!$E:$E,'Positions Tracker'!$B140)=0,"",COUNTIFS('Candidate Tracker'!$E:$E,'Positions Tracker'!$B140,'Candidate Tracker'!$C:$C,"&lt;&gt;WIP",'Candidate Tracker'!$C:$C,"&lt;&gt;Hold",'Candidate Tracker'!$C:$C,"&lt;&gt;Cancelled",'Candidate Tracker'!$C:$C,"&lt;&gt;Closed")/COUNTIFS('Candidate Tracker'!$E:$E,'Positions Tracker'!$B140)),"")</f>
        <v/>
      </c>
      <c r="BD140" s="67" t="str">
        <f t="shared" si="1"/>
        <v>Jul-24</v>
      </c>
      <c r="BE140" s="67" t="str">
        <f t="shared" si="2"/>
        <v>Feb-24</v>
      </c>
      <c r="BF140" s="67" t="str">
        <f t="shared" si="3"/>
        <v>Mar-24</v>
      </c>
      <c r="BG140" s="67" t="str">
        <f t="shared" si="4"/>
        <v>Apr-24</v>
      </c>
    </row>
    <row r="141" spans="1:59">
      <c r="A141" s="67">
        <f t="shared" si="14"/>
        <v>140</v>
      </c>
      <c r="B141" s="67"/>
      <c r="C141" s="67" t="s">
        <v>55</v>
      </c>
      <c r="D141" s="67" t="s">
        <v>80</v>
      </c>
      <c r="E141" s="67" t="s">
        <v>663</v>
      </c>
      <c r="F141" s="67" t="s">
        <v>664</v>
      </c>
      <c r="G141" s="67" t="s">
        <v>3</v>
      </c>
      <c r="H141" s="67" t="s">
        <v>345</v>
      </c>
      <c r="I141" s="67" t="s">
        <v>652</v>
      </c>
      <c r="J141" s="67" t="s">
        <v>70</v>
      </c>
      <c r="K141" s="68"/>
      <c r="L141" s="68">
        <v>45432</v>
      </c>
      <c r="M141" s="68">
        <v>45432</v>
      </c>
      <c r="N141" s="67"/>
      <c r="O141" s="68"/>
      <c r="P141" s="68"/>
      <c r="Q141" s="68"/>
      <c r="R141" s="68"/>
      <c r="S141" s="68"/>
      <c r="T141" s="68"/>
      <c r="U141" s="67"/>
      <c r="V141" s="67"/>
      <c r="W141" s="67"/>
      <c r="X141" s="67" t="s">
        <v>72</v>
      </c>
      <c r="Y141" s="67" t="s">
        <v>245</v>
      </c>
      <c r="Z141" s="67" t="s">
        <v>245</v>
      </c>
      <c r="AA141" s="67" t="s">
        <v>641</v>
      </c>
      <c r="AB141" s="67"/>
      <c r="AC141" s="67"/>
      <c r="AD141" s="67"/>
      <c r="AE141" s="67" t="s">
        <v>665</v>
      </c>
      <c r="AF141" s="67">
        <v>6367563676</v>
      </c>
      <c r="AG141" s="67"/>
      <c r="AH141" s="68" t="s">
        <v>86</v>
      </c>
      <c r="AI141" s="68">
        <v>45429</v>
      </c>
      <c r="AJ141" s="68">
        <v>45433</v>
      </c>
      <c r="AK141" s="67" t="s">
        <v>72</v>
      </c>
      <c r="AL141" s="67">
        <v>2800000</v>
      </c>
      <c r="AM141" s="68">
        <v>45433</v>
      </c>
      <c r="AN141" s="68">
        <v>45433</v>
      </c>
      <c r="AO141" s="68">
        <v>45436</v>
      </c>
      <c r="AP141" s="68">
        <v>45433</v>
      </c>
      <c r="AQ141" s="68"/>
      <c r="AR141" s="68"/>
      <c r="AS141" s="68">
        <v>45439</v>
      </c>
      <c r="AT141" s="67">
        <f t="shared" ca="1" si="15"/>
        <v>0</v>
      </c>
      <c r="AU141" s="79" t="str">
        <f t="shared" ca="1" si="16"/>
        <v/>
      </c>
      <c r="AV141" s="79" t="str" cm="1">
        <f t="array" aca="1" ref="AV141" ca="1">IFERROR(_xlfn.IFS($AU141="","",$AU141&lt;=15,"0-15",AND($AU141&gt;=16,$AU141&lt;=30),"16-30",AND($AU141&gt;=31,$AU141&lt;=45),"31-45",AND($AU141&gt;=46,$AU141&lt;=60),"46-60",AND($AU141&gt;=61,$AU141&lt;=90),"61-90",AND($AU141&gt;=91),"&gt; 90",AND($AU141&gt;=2000),""),"")</f>
        <v/>
      </c>
      <c r="AW141" s="79" t="str" cm="1">
        <f t="array" aca="1" ref="AW141" ca="1">IFERROR(_xlfn.IFS(OR($M141="",$AM141=""),"",OR($C141="Offered",$C141="Joined"),($AM141-$M141)-$AT141),"")</f>
        <v/>
      </c>
      <c r="AX141" s="79" t="str" cm="1">
        <f t="array" aca="1" ref="AX141" ca="1">IFERROR(_xlfn.IFS(OR($M141="",$AS141=""),"",$C141="Joined",($AS141-$M141)-$AT141),"")</f>
        <v/>
      </c>
      <c r="AY141" s="67" t="str">
        <f>IFERROR(IF(COUNTIFS('Candidate Tracker'!$E:$E,'Positions Tracker'!$B141,'Candidate Tracker'!$C:$C,"Offer Drop")=0,"",COUNTIFS('Candidate Tracker'!$E:$E,'Positions Tracker'!$B141,'Candidate Tracker'!$C:$C,"Offer Drop")),"")</f>
        <v/>
      </c>
      <c r="AZ141" s="80">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0.88111888111888115</v>
      </c>
      <c r="BA141" s="81" t="str">
        <f>IFERROR(IF(COUNTIFS('Candidate Tracker'!$E:$E,'Positions Tracker'!$B141,'Candidate Tracker'!$I:$I,"Female")=0,"",COUNTIFS('Candidate Tracker'!$E:$E,'Positions Tracker'!$B141,'Candidate Tracker'!$I:$I,"Female")),"")</f>
        <v/>
      </c>
      <c r="BB141" s="81" t="str">
        <f>IFERROR(IF(COUNTIFS('Candidate Tracker'!$E:$E,'Positions Tracker'!$B141,'Candidate Tracker'!$I:$I,"male")=0,"",COUNTIFS('Candidate Tracker'!$E:$E,'Positions Tracker'!$B141,'Candidate Tracker'!$I:$I,"male")),"")</f>
        <v/>
      </c>
      <c r="BC141" s="80" t="str">
        <f>IFERROR(IF(COUNTIFS('Candidate Tracker'!$E:$E,'Positions Tracker'!$B141,'Candidate Tracker'!$C:$C,"&lt;&gt;WIP",'Candidate Tracker'!$C:$C,"&lt;&gt;Hold",'Candidate Tracker'!$C:$C,"&lt;&gt;Cancelled",'Candidate Tracker'!$C:$C,"&lt;&gt;Closed")/COUNTIFS('Candidate Tracker'!$E:$E,'Positions Tracker'!$B141)=0,"",COUNTIFS('Candidate Tracker'!$E:$E,'Positions Tracker'!$B141,'Candidate Tracker'!$C:$C,"&lt;&gt;WIP",'Candidate Tracker'!$C:$C,"&lt;&gt;Hold",'Candidate Tracker'!$C:$C,"&lt;&gt;Cancelled",'Candidate Tracker'!$C:$C,"&lt;&gt;Closed")/COUNTIFS('Candidate Tracker'!$E:$E,'Positions Tracker'!$B141)),"")</f>
        <v/>
      </c>
      <c r="BD141" s="67" t="str">
        <f t="shared" si="1"/>
        <v>May-24</v>
      </c>
      <c r="BE141" s="67" t="str">
        <f t="shared" si="2"/>
        <v>May-24</v>
      </c>
      <c r="BF141" s="67" t="str">
        <f t="shared" si="3"/>
        <v>May-24</v>
      </c>
      <c r="BG141" s="67" t="str">
        <f t="shared" si="4"/>
        <v>May-24</v>
      </c>
    </row>
    <row r="142" spans="1:59">
      <c r="A142" s="67">
        <f t="shared" si="14"/>
        <v>141</v>
      </c>
      <c r="B142" s="67"/>
      <c r="C142" s="67" t="s">
        <v>55</v>
      </c>
      <c r="D142" s="67" t="s">
        <v>80</v>
      </c>
      <c r="E142" s="67" t="s">
        <v>647</v>
      </c>
      <c r="F142" s="67" t="s">
        <v>648</v>
      </c>
      <c r="G142" s="67" t="s">
        <v>3</v>
      </c>
      <c r="H142" s="67" t="s">
        <v>111</v>
      </c>
      <c r="I142" s="67" t="s">
        <v>228</v>
      </c>
      <c r="J142" s="67" t="s">
        <v>70</v>
      </c>
      <c r="K142" s="68"/>
      <c r="L142" s="68">
        <v>45383</v>
      </c>
      <c r="M142" s="68">
        <v>45383</v>
      </c>
      <c r="N142" s="67"/>
      <c r="O142" s="68"/>
      <c r="P142" s="68"/>
      <c r="Q142" s="68"/>
      <c r="R142" s="68"/>
      <c r="S142" s="68"/>
      <c r="T142" s="68"/>
      <c r="U142" s="67"/>
      <c r="V142" s="67"/>
      <c r="W142" s="67"/>
      <c r="X142" s="67" t="s">
        <v>72</v>
      </c>
      <c r="Y142" s="67" t="s">
        <v>245</v>
      </c>
      <c r="Z142" s="67" t="s">
        <v>245</v>
      </c>
      <c r="AA142" s="67" t="s">
        <v>641</v>
      </c>
      <c r="AB142" s="67"/>
      <c r="AC142" s="67"/>
      <c r="AD142" s="67"/>
      <c r="AE142" s="67" t="s">
        <v>666</v>
      </c>
      <c r="AF142" s="67">
        <v>9730996626</v>
      </c>
      <c r="AG142" s="67"/>
      <c r="AH142" s="68" t="s">
        <v>123</v>
      </c>
      <c r="AI142" s="68">
        <v>45348</v>
      </c>
      <c r="AJ142" s="68">
        <v>45352</v>
      </c>
      <c r="AK142" s="67" t="s">
        <v>72</v>
      </c>
      <c r="AL142" s="67">
        <v>2200000</v>
      </c>
      <c r="AM142" s="68">
        <v>45352</v>
      </c>
      <c r="AN142" s="68">
        <v>45352</v>
      </c>
      <c r="AO142" s="68">
        <v>45450</v>
      </c>
      <c r="AP142" s="68">
        <v>45356</v>
      </c>
      <c r="AQ142" s="68"/>
      <c r="AR142" s="68"/>
      <c r="AS142" s="68">
        <v>45453</v>
      </c>
      <c r="AT142" s="67">
        <f t="shared" ca="1" si="15"/>
        <v>0</v>
      </c>
      <c r="AU142" s="79" t="str">
        <f t="shared" ca="1" si="16"/>
        <v/>
      </c>
      <c r="AV142" s="79" t="str" cm="1">
        <f t="array" aca="1" ref="AV142" ca="1">IFERROR(_xlfn.IFS($AU142="","",$AU142&lt;=15,"0-15",AND($AU142&gt;=16,$AU142&lt;=30),"16-30",AND($AU142&gt;=31,$AU142&lt;=45),"31-45",AND($AU142&gt;=46,$AU142&lt;=60),"46-60",AND($AU142&gt;=61,$AU142&lt;=90),"61-90",AND($AU142&gt;=91),"&gt; 90",AND($AU142&gt;=2000),""),"")</f>
        <v/>
      </c>
      <c r="AW142" s="79" t="str" cm="1">
        <f t="array" aca="1" ref="AW142" ca="1">IFERROR(_xlfn.IFS(OR($M142="",$AM142=""),"",OR($C142="Offered",$C142="Joined"),($AM142-$M142)-$AT142),"")</f>
        <v/>
      </c>
      <c r="AX142" s="79" t="str" cm="1">
        <f t="array" aca="1" ref="AX142" ca="1">IFERROR(_xlfn.IFS(OR($M142="",$AS142=""),"",$C142="Joined",($AS142-$M142)-$AT142),"")</f>
        <v/>
      </c>
      <c r="AY142" s="67" t="str">
        <f>IFERROR(IF(COUNTIFS('Candidate Tracker'!$E:$E,'Positions Tracker'!$B142,'Candidate Tracker'!$C:$C,"Offer Drop")=0,"",COUNTIFS('Candidate Tracker'!$E:$E,'Positions Tracker'!$B142,'Candidate Tracker'!$C:$C,"Offer Drop")),"")</f>
        <v/>
      </c>
      <c r="AZ142" s="80">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0.88111888111888115</v>
      </c>
      <c r="BA142" s="81" t="str">
        <f>IFERROR(IF(COUNTIFS('Candidate Tracker'!$E:$E,'Positions Tracker'!$B142,'Candidate Tracker'!$I:$I,"Female")=0,"",COUNTIFS('Candidate Tracker'!$E:$E,'Positions Tracker'!$B142,'Candidate Tracker'!$I:$I,"Female")),"")</f>
        <v/>
      </c>
      <c r="BB142" s="81" t="str">
        <f>IFERROR(IF(COUNTIFS('Candidate Tracker'!$E:$E,'Positions Tracker'!$B142,'Candidate Tracker'!$I:$I,"male")=0,"",COUNTIFS('Candidate Tracker'!$E:$E,'Positions Tracker'!$B142,'Candidate Tracker'!$I:$I,"male")),"")</f>
        <v/>
      </c>
      <c r="BC142" s="80" t="str">
        <f>IFERROR(IF(COUNTIFS('Candidate Tracker'!$E:$E,'Positions Tracker'!$B142,'Candidate Tracker'!$C:$C,"&lt;&gt;WIP",'Candidate Tracker'!$C:$C,"&lt;&gt;Hold",'Candidate Tracker'!$C:$C,"&lt;&gt;Cancelled",'Candidate Tracker'!$C:$C,"&lt;&gt;Closed")/COUNTIFS('Candidate Tracker'!$E:$E,'Positions Tracker'!$B142)=0,"",COUNTIFS('Candidate Tracker'!$E:$E,'Positions Tracker'!$B142,'Candidate Tracker'!$C:$C,"&lt;&gt;WIP",'Candidate Tracker'!$C:$C,"&lt;&gt;Hold",'Candidate Tracker'!$C:$C,"&lt;&gt;Cancelled",'Candidate Tracker'!$C:$C,"&lt;&gt;Closed")/COUNTIFS('Candidate Tracker'!$E:$E,'Positions Tracker'!$B142)),"")</f>
        <v/>
      </c>
      <c r="BD142" s="67" t="str">
        <f t="shared" si="1"/>
        <v>Apr-24</v>
      </c>
      <c r="BE142" s="67" t="str">
        <f t="shared" si="2"/>
        <v>Feb-24</v>
      </c>
      <c r="BF142" s="67" t="str">
        <f t="shared" si="3"/>
        <v>Mar-24</v>
      </c>
      <c r="BG142" s="67" t="str">
        <f t="shared" si="4"/>
        <v>Jun-24</v>
      </c>
    </row>
    <row r="143" spans="1:59">
      <c r="A143" s="67">
        <f t="shared" si="14"/>
        <v>142</v>
      </c>
      <c r="B143" s="67"/>
      <c r="C143" s="67" t="s">
        <v>55</v>
      </c>
      <c r="D143" s="67" t="s">
        <v>80</v>
      </c>
      <c r="E143" s="67" t="s">
        <v>667</v>
      </c>
      <c r="F143" s="67" t="s">
        <v>668</v>
      </c>
      <c r="G143" s="67"/>
      <c r="H143" s="67"/>
      <c r="I143" s="67" t="s">
        <v>652</v>
      </c>
      <c r="J143" s="67" t="s">
        <v>70</v>
      </c>
      <c r="K143" s="68"/>
      <c r="L143" s="68">
        <v>45301</v>
      </c>
      <c r="M143" s="68">
        <v>45306</v>
      </c>
      <c r="N143" s="67"/>
      <c r="O143" s="68"/>
      <c r="P143" s="68"/>
      <c r="Q143" s="68"/>
      <c r="R143" s="68"/>
      <c r="S143" s="68"/>
      <c r="T143" s="68"/>
      <c r="U143" s="67"/>
      <c r="V143" s="67"/>
      <c r="W143" s="67"/>
      <c r="X143" s="67" t="s">
        <v>72</v>
      </c>
      <c r="Y143" s="67" t="s">
        <v>144</v>
      </c>
      <c r="Z143" s="67" t="s">
        <v>144</v>
      </c>
      <c r="AA143" s="67" t="s">
        <v>653</v>
      </c>
      <c r="AB143" s="67"/>
      <c r="AC143" s="67"/>
      <c r="AD143" s="67"/>
      <c r="AE143" s="67" t="s">
        <v>669</v>
      </c>
      <c r="AF143" s="67">
        <v>8308308193</v>
      </c>
      <c r="AG143" s="67"/>
      <c r="AH143" s="68" t="s">
        <v>123</v>
      </c>
      <c r="AI143" s="68">
        <v>45405</v>
      </c>
      <c r="AJ143" s="68"/>
      <c r="AK143" s="67" t="s">
        <v>72</v>
      </c>
      <c r="AL143" s="67">
        <v>1875000</v>
      </c>
      <c r="AM143" s="68">
        <v>45439</v>
      </c>
      <c r="AN143" s="68"/>
      <c r="AO143" s="68">
        <v>45470</v>
      </c>
      <c r="AP143" s="68">
        <v>45439</v>
      </c>
      <c r="AQ143" s="68"/>
      <c r="AR143" s="68"/>
      <c r="AS143" s="68">
        <v>45488</v>
      </c>
      <c r="AT143" s="67">
        <f t="shared" ca="1" si="15"/>
        <v>0</v>
      </c>
      <c r="AU143" s="79" t="str">
        <f t="shared" ca="1" si="16"/>
        <v/>
      </c>
      <c r="AV143" s="79" t="str" cm="1">
        <f t="array" aca="1" ref="AV143" ca="1">IFERROR(_xlfn.IFS($AU143="","",$AU143&lt;=15,"0-15",AND($AU143&gt;=16,$AU143&lt;=30),"16-30",AND($AU143&gt;=31,$AU143&lt;=45),"31-45",AND($AU143&gt;=46,$AU143&lt;=60),"46-60",AND($AU143&gt;=61,$AU143&lt;=90),"61-90",AND($AU143&gt;=91),"&gt; 90",AND($AU143&gt;=2000),""),"")</f>
        <v/>
      </c>
      <c r="AW143" s="79" t="str" cm="1">
        <f t="array" aca="1" ref="AW143" ca="1">IFERROR(_xlfn.IFS(OR($M143="",$AM143=""),"",OR($C143="Offered",$C143="Joined"),($AM143-$M143)-$AT143),"")</f>
        <v/>
      </c>
      <c r="AX143" s="79" t="str" cm="1">
        <f t="array" aca="1" ref="AX143" ca="1">IFERROR(_xlfn.IFS(OR($M143="",$AS143=""),"",$C143="Joined",($AS143-$M143)-$AT143),"")</f>
        <v/>
      </c>
      <c r="AY143" s="67" t="str">
        <f>IFERROR(IF(COUNTIFS('Candidate Tracker'!$E:$E,'Positions Tracker'!$B143,'Candidate Tracker'!$C:$C,"Offer Drop")=0,"",COUNTIFS('Candidate Tracker'!$E:$E,'Positions Tracker'!$B143,'Candidate Tracker'!$C:$C,"Offer Drop")),"")</f>
        <v/>
      </c>
      <c r="AZ143" s="80">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0.88111888111888115</v>
      </c>
      <c r="BA143" s="81" t="str">
        <f>IFERROR(IF(COUNTIFS('Candidate Tracker'!$E:$E,'Positions Tracker'!$B143,'Candidate Tracker'!$I:$I,"Female")=0,"",COUNTIFS('Candidate Tracker'!$E:$E,'Positions Tracker'!$B143,'Candidate Tracker'!$I:$I,"Female")),"")</f>
        <v/>
      </c>
      <c r="BB143" s="81" t="str">
        <f>IFERROR(IF(COUNTIFS('Candidate Tracker'!$E:$E,'Positions Tracker'!$B143,'Candidate Tracker'!$I:$I,"male")=0,"",COUNTIFS('Candidate Tracker'!$E:$E,'Positions Tracker'!$B143,'Candidate Tracker'!$I:$I,"male")),"")</f>
        <v/>
      </c>
      <c r="BC143" s="80" t="str">
        <f>IFERROR(IF(COUNTIFS('Candidate Tracker'!$E:$E,'Positions Tracker'!$B143,'Candidate Tracker'!$C:$C,"&lt;&gt;WIP",'Candidate Tracker'!$C:$C,"&lt;&gt;Hold",'Candidate Tracker'!$C:$C,"&lt;&gt;Cancelled",'Candidate Tracker'!$C:$C,"&lt;&gt;Closed")/COUNTIFS('Candidate Tracker'!$E:$E,'Positions Tracker'!$B143)=0,"",COUNTIFS('Candidate Tracker'!$E:$E,'Positions Tracker'!$B143,'Candidate Tracker'!$C:$C,"&lt;&gt;WIP",'Candidate Tracker'!$C:$C,"&lt;&gt;Hold",'Candidate Tracker'!$C:$C,"&lt;&gt;Cancelled",'Candidate Tracker'!$C:$C,"&lt;&gt;Closed")/COUNTIFS('Candidate Tracker'!$E:$E,'Positions Tracker'!$B143)),"")</f>
        <v/>
      </c>
      <c r="BD143" s="67" t="str">
        <f t="shared" si="1"/>
        <v>Jan-24</v>
      </c>
      <c r="BE143" s="67" t="str">
        <f t="shared" si="2"/>
        <v>Apr-24</v>
      </c>
      <c r="BF143" s="67" t="str">
        <f t="shared" si="3"/>
        <v>May-24</v>
      </c>
      <c r="BG143" s="67" t="str">
        <f t="shared" si="4"/>
        <v>Jul-24</v>
      </c>
    </row>
    <row r="144" spans="1:59">
      <c r="A144" s="67">
        <f t="shared" si="14"/>
        <v>143</v>
      </c>
      <c r="B144" s="67"/>
      <c r="C144" s="67" t="s">
        <v>55</v>
      </c>
      <c r="D144" s="67" t="s">
        <v>80</v>
      </c>
      <c r="E144" s="67" t="s">
        <v>670</v>
      </c>
      <c r="F144" s="67" t="s">
        <v>651</v>
      </c>
      <c r="G144" s="67"/>
      <c r="H144" s="67"/>
      <c r="I144" s="67" t="s">
        <v>652</v>
      </c>
      <c r="J144" s="67" t="s">
        <v>70</v>
      </c>
      <c r="K144" s="68"/>
      <c r="L144" s="68">
        <v>45301</v>
      </c>
      <c r="M144" s="68">
        <v>45306</v>
      </c>
      <c r="N144" s="67"/>
      <c r="O144" s="68"/>
      <c r="P144" s="68"/>
      <c r="Q144" s="68"/>
      <c r="R144" s="68"/>
      <c r="S144" s="68"/>
      <c r="T144" s="68"/>
      <c r="U144" s="67"/>
      <c r="V144" s="67"/>
      <c r="W144" s="67"/>
      <c r="X144" s="67" t="s">
        <v>72</v>
      </c>
      <c r="Y144" s="67" t="s">
        <v>144</v>
      </c>
      <c r="Z144" s="67" t="s">
        <v>144</v>
      </c>
      <c r="AA144" s="67" t="s">
        <v>653</v>
      </c>
      <c r="AB144" s="67"/>
      <c r="AC144" s="67"/>
      <c r="AD144" s="67"/>
      <c r="AE144" s="67" t="s">
        <v>671</v>
      </c>
      <c r="AF144" s="67">
        <v>8446262499</v>
      </c>
      <c r="AG144" s="67"/>
      <c r="AH144" s="68" t="s">
        <v>123</v>
      </c>
      <c r="AI144" s="68">
        <v>45390</v>
      </c>
      <c r="AJ144" s="68"/>
      <c r="AK144" s="67" t="s">
        <v>72</v>
      </c>
      <c r="AL144" s="67">
        <v>2000000</v>
      </c>
      <c r="AM144" s="68">
        <v>45394</v>
      </c>
      <c r="AN144" s="68"/>
      <c r="AO144" s="68">
        <v>45426</v>
      </c>
      <c r="AP144" s="68">
        <v>45394</v>
      </c>
      <c r="AQ144" s="68"/>
      <c r="AR144" s="68"/>
      <c r="AS144" s="68">
        <v>45432</v>
      </c>
      <c r="AT144" s="67">
        <f t="shared" ca="1" si="15"/>
        <v>0</v>
      </c>
      <c r="AU144" s="79" t="str">
        <f t="shared" ca="1" si="16"/>
        <v/>
      </c>
      <c r="AV144" s="79" t="str" cm="1">
        <f t="array" aca="1" ref="AV144" ca="1">IFERROR(_xlfn.IFS($AU144="","",$AU144&lt;=15,"0-15",AND($AU144&gt;=16,$AU144&lt;=30),"16-30",AND($AU144&gt;=31,$AU144&lt;=45),"31-45",AND($AU144&gt;=46,$AU144&lt;=60),"46-60",AND($AU144&gt;=61,$AU144&lt;=90),"61-90",AND($AU144&gt;=91),"&gt; 90",AND($AU144&gt;=2000),""),"")</f>
        <v/>
      </c>
      <c r="AW144" s="79" t="str" cm="1">
        <f t="array" aca="1" ref="AW144" ca="1">IFERROR(_xlfn.IFS(OR($M144="",$AM144=""),"",OR($C144="Offered",$C144="Joined"),($AM144-$M144)-$AT144),"")</f>
        <v/>
      </c>
      <c r="AX144" s="79" t="str" cm="1">
        <f t="array" aca="1" ref="AX144" ca="1">IFERROR(_xlfn.IFS(OR($M144="",$AS144=""),"",$C144="Joined",($AS144-$M144)-$AT144),"")</f>
        <v/>
      </c>
      <c r="AY144" s="67" t="str">
        <f>IFERROR(IF(COUNTIFS('Candidate Tracker'!$E:$E,'Positions Tracker'!$B144,'Candidate Tracker'!$C:$C,"Offer Drop")=0,"",COUNTIFS('Candidate Tracker'!$E:$E,'Positions Tracker'!$B144,'Candidate Tracker'!$C:$C,"Offer Drop")),"")</f>
        <v/>
      </c>
      <c r="AZ144" s="80">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0.88111888111888115</v>
      </c>
      <c r="BA144" s="81" t="str">
        <f>IFERROR(IF(COUNTIFS('Candidate Tracker'!$E:$E,'Positions Tracker'!$B144,'Candidate Tracker'!$I:$I,"Female")=0,"",COUNTIFS('Candidate Tracker'!$E:$E,'Positions Tracker'!$B144,'Candidate Tracker'!$I:$I,"Female")),"")</f>
        <v/>
      </c>
      <c r="BB144" s="81" t="str">
        <f>IFERROR(IF(COUNTIFS('Candidate Tracker'!$E:$E,'Positions Tracker'!$B144,'Candidate Tracker'!$I:$I,"male")=0,"",COUNTIFS('Candidate Tracker'!$E:$E,'Positions Tracker'!$B144,'Candidate Tracker'!$I:$I,"male")),"")</f>
        <v/>
      </c>
      <c r="BC144" s="80" t="str">
        <f>IFERROR(IF(COUNTIFS('Candidate Tracker'!$E:$E,'Positions Tracker'!$B144,'Candidate Tracker'!$C:$C,"&lt;&gt;WIP",'Candidate Tracker'!$C:$C,"&lt;&gt;Hold",'Candidate Tracker'!$C:$C,"&lt;&gt;Cancelled",'Candidate Tracker'!$C:$C,"&lt;&gt;Closed")/COUNTIFS('Candidate Tracker'!$E:$E,'Positions Tracker'!$B144)=0,"",COUNTIFS('Candidate Tracker'!$E:$E,'Positions Tracker'!$B144,'Candidate Tracker'!$C:$C,"&lt;&gt;WIP",'Candidate Tracker'!$C:$C,"&lt;&gt;Hold",'Candidate Tracker'!$C:$C,"&lt;&gt;Cancelled",'Candidate Tracker'!$C:$C,"&lt;&gt;Closed")/COUNTIFS('Candidate Tracker'!$E:$E,'Positions Tracker'!$B144)),"")</f>
        <v/>
      </c>
      <c r="BD144" s="67" t="str">
        <f t="shared" si="1"/>
        <v>Jan-24</v>
      </c>
      <c r="BE144" s="67" t="str">
        <f t="shared" si="2"/>
        <v>Apr-24</v>
      </c>
      <c r="BF144" s="67" t="str">
        <f t="shared" si="3"/>
        <v>Apr-24</v>
      </c>
      <c r="BG144" s="67" t="str">
        <f t="shared" si="4"/>
        <v>May-24</v>
      </c>
    </row>
    <row r="145" spans="1:59">
      <c r="A145" s="67">
        <f t="shared" si="14"/>
        <v>144</v>
      </c>
      <c r="B145" s="67"/>
      <c r="C145" s="67" t="s">
        <v>55</v>
      </c>
      <c r="D145" s="67" t="s">
        <v>80</v>
      </c>
      <c r="E145" s="67" t="s">
        <v>672</v>
      </c>
      <c r="F145" s="67" t="s">
        <v>651</v>
      </c>
      <c r="G145" s="67"/>
      <c r="H145" s="67"/>
      <c r="I145" s="67" t="s">
        <v>652</v>
      </c>
      <c r="J145" s="67" t="s">
        <v>70</v>
      </c>
      <c r="K145" s="68"/>
      <c r="L145" s="68">
        <v>45301</v>
      </c>
      <c r="M145" s="68">
        <v>45306</v>
      </c>
      <c r="N145" s="67"/>
      <c r="O145" s="68"/>
      <c r="P145" s="68"/>
      <c r="Q145" s="68"/>
      <c r="R145" s="68"/>
      <c r="S145" s="68"/>
      <c r="T145" s="68"/>
      <c r="U145" s="67"/>
      <c r="V145" s="67"/>
      <c r="W145" s="67"/>
      <c r="X145" s="67" t="s">
        <v>72</v>
      </c>
      <c r="Y145" s="67" t="s">
        <v>144</v>
      </c>
      <c r="Z145" s="67" t="s">
        <v>144</v>
      </c>
      <c r="AA145" s="67" t="s">
        <v>653</v>
      </c>
      <c r="AB145" s="67"/>
      <c r="AC145" s="67"/>
      <c r="AD145" s="67"/>
      <c r="AE145" s="67" t="s">
        <v>673</v>
      </c>
      <c r="AF145" s="67">
        <v>8830045879</v>
      </c>
      <c r="AG145" s="67"/>
      <c r="AH145" s="68" t="s">
        <v>123</v>
      </c>
      <c r="AI145" s="68">
        <v>45446</v>
      </c>
      <c r="AJ145" s="68"/>
      <c r="AK145" s="67" t="s">
        <v>72</v>
      </c>
      <c r="AL145" s="67">
        <v>2600000</v>
      </c>
      <c r="AM145" s="68">
        <v>45448</v>
      </c>
      <c r="AN145" s="68"/>
      <c r="AO145" s="68">
        <v>45458</v>
      </c>
      <c r="AP145" s="68">
        <v>45448</v>
      </c>
      <c r="AQ145" s="68"/>
      <c r="AR145" s="68"/>
      <c r="AS145" s="68">
        <v>45461</v>
      </c>
      <c r="AT145" s="67">
        <f t="shared" ca="1" si="15"/>
        <v>0</v>
      </c>
      <c r="AU145" s="79" t="str">
        <f t="shared" ca="1" si="16"/>
        <v/>
      </c>
      <c r="AV145" s="79" t="str" cm="1">
        <f t="array" aca="1" ref="AV145" ca="1">IFERROR(_xlfn.IFS($AU145="","",$AU145&lt;=15,"0-15",AND($AU145&gt;=16,$AU145&lt;=30),"16-30",AND($AU145&gt;=31,$AU145&lt;=45),"31-45",AND($AU145&gt;=46,$AU145&lt;=60),"46-60",AND($AU145&gt;=61,$AU145&lt;=90),"61-90",AND($AU145&gt;=91),"&gt; 90",AND($AU145&gt;=2000),""),"")</f>
        <v/>
      </c>
      <c r="AW145" s="79" t="str" cm="1">
        <f t="array" aca="1" ref="AW145" ca="1">IFERROR(_xlfn.IFS(OR($M145="",$AM145=""),"",OR($C145="Offered",$C145="Joined"),($AM145-$M145)-$AT145),"")</f>
        <v/>
      </c>
      <c r="AX145" s="79" t="str" cm="1">
        <f t="array" aca="1" ref="AX145" ca="1">IFERROR(_xlfn.IFS(OR($M145="",$AS145=""),"",$C145="Joined",($AS145-$M145)-$AT145),"")</f>
        <v/>
      </c>
      <c r="AY145" s="67" t="str">
        <f>IFERROR(IF(COUNTIFS('Candidate Tracker'!$E:$E,'Positions Tracker'!$B145,'Candidate Tracker'!$C:$C,"Offer Drop")=0,"",COUNTIFS('Candidate Tracker'!$E:$E,'Positions Tracker'!$B145,'Candidate Tracker'!$C:$C,"Offer Drop")),"")</f>
        <v/>
      </c>
      <c r="AZ145" s="80">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0.88111888111888115</v>
      </c>
      <c r="BA145" s="81" t="str">
        <f>IFERROR(IF(COUNTIFS('Candidate Tracker'!$E:$E,'Positions Tracker'!$B145,'Candidate Tracker'!$I:$I,"Female")=0,"",COUNTIFS('Candidate Tracker'!$E:$E,'Positions Tracker'!$B145,'Candidate Tracker'!$I:$I,"Female")),"")</f>
        <v/>
      </c>
      <c r="BB145" s="81" t="str">
        <f>IFERROR(IF(COUNTIFS('Candidate Tracker'!$E:$E,'Positions Tracker'!$B145,'Candidate Tracker'!$I:$I,"male")=0,"",COUNTIFS('Candidate Tracker'!$E:$E,'Positions Tracker'!$B145,'Candidate Tracker'!$I:$I,"male")),"")</f>
        <v/>
      </c>
      <c r="BC145" s="80" t="str">
        <f>IFERROR(IF(COUNTIFS('Candidate Tracker'!$E:$E,'Positions Tracker'!$B145,'Candidate Tracker'!$C:$C,"&lt;&gt;WIP",'Candidate Tracker'!$C:$C,"&lt;&gt;Hold",'Candidate Tracker'!$C:$C,"&lt;&gt;Cancelled",'Candidate Tracker'!$C:$C,"&lt;&gt;Closed")/COUNTIFS('Candidate Tracker'!$E:$E,'Positions Tracker'!$B145)=0,"",COUNTIFS('Candidate Tracker'!$E:$E,'Positions Tracker'!$B145,'Candidate Tracker'!$C:$C,"&lt;&gt;WIP",'Candidate Tracker'!$C:$C,"&lt;&gt;Hold",'Candidate Tracker'!$C:$C,"&lt;&gt;Cancelled",'Candidate Tracker'!$C:$C,"&lt;&gt;Closed")/COUNTIFS('Candidate Tracker'!$E:$E,'Positions Tracker'!$B145)),"")</f>
        <v/>
      </c>
      <c r="BD145" s="67" t="str">
        <f t="shared" si="1"/>
        <v>Jan-24</v>
      </c>
      <c r="BE145" s="67" t="str">
        <f t="shared" si="2"/>
        <v>Jun-24</v>
      </c>
      <c r="BF145" s="67" t="str">
        <f t="shared" si="3"/>
        <v>Jun-24</v>
      </c>
      <c r="BG145" s="67" t="str">
        <f t="shared" si="4"/>
        <v>Jun-24</v>
      </c>
    </row>
    <row r="146" spans="1:59">
      <c r="A146" s="67">
        <f t="shared" si="14"/>
        <v>145</v>
      </c>
      <c r="B146" s="67"/>
      <c r="C146" s="67" t="s">
        <v>55</v>
      </c>
      <c r="D146" s="67" t="s">
        <v>80</v>
      </c>
      <c r="E146" s="67" t="s">
        <v>141</v>
      </c>
      <c r="F146" s="67" t="s">
        <v>158</v>
      </c>
      <c r="G146" s="67"/>
      <c r="H146" s="67"/>
      <c r="I146" s="67" t="s">
        <v>159</v>
      </c>
      <c r="J146" s="67" t="s">
        <v>70</v>
      </c>
      <c r="K146" s="68"/>
      <c r="L146" s="68">
        <v>45398</v>
      </c>
      <c r="M146" s="68">
        <v>45399</v>
      </c>
      <c r="N146" s="67"/>
      <c r="O146" s="68"/>
      <c r="P146" s="68"/>
      <c r="Q146" s="68"/>
      <c r="R146" s="68"/>
      <c r="S146" s="68"/>
      <c r="T146" s="68"/>
      <c r="U146" s="67"/>
      <c r="V146" s="67"/>
      <c r="W146" s="67"/>
      <c r="X146" s="67" t="s">
        <v>72</v>
      </c>
      <c r="Y146" s="67" t="s">
        <v>144</v>
      </c>
      <c r="Z146" s="67" t="s">
        <v>144</v>
      </c>
      <c r="AA146" s="67" t="s">
        <v>653</v>
      </c>
      <c r="AB146" s="67"/>
      <c r="AC146" s="67"/>
      <c r="AD146" s="67"/>
      <c r="AE146" s="67" t="s">
        <v>674</v>
      </c>
      <c r="AF146" s="67">
        <v>8501876868</v>
      </c>
      <c r="AG146" s="67"/>
      <c r="AH146" s="68" t="s">
        <v>123</v>
      </c>
      <c r="AI146" s="68">
        <v>45454</v>
      </c>
      <c r="AJ146" s="68"/>
      <c r="AK146" s="67" t="s">
        <v>72</v>
      </c>
      <c r="AL146" s="67">
        <v>900000</v>
      </c>
      <c r="AM146" s="68">
        <v>45463</v>
      </c>
      <c r="AN146" s="68"/>
      <c r="AO146" s="68">
        <v>45555</v>
      </c>
      <c r="AP146" s="68">
        <v>45463</v>
      </c>
      <c r="AQ146" s="68"/>
      <c r="AR146" s="68"/>
      <c r="AS146" s="68">
        <v>45565</v>
      </c>
      <c r="AT146" s="67">
        <f t="shared" ca="1" si="15"/>
        <v>0</v>
      </c>
      <c r="AU146" s="79" t="str">
        <f t="shared" ca="1" si="16"/>
        <v/>
      </c>
      <c r="AV146" s="79" t="str" cm="1">
        <f t="array" aca="1" ref="AV146" ca="1">IFERROR(_xlfn.IFS($AU146="","",$AU146&lt;=15,"0-15",AND($AU146&gt;=16,$AU146&lt;=30),"16-30",AND($AU146&gt;=31,$AU146&lt;=45),"31-45",AND($AU146&gt;=46,$AU146&lt;=60),"46-60",AND($AU146&gt;=61,$AU146&lt;=90),"61-90",AND($AU146&gt;=91),"&gt; 90",AND($AU146&gt;=2000),""),"")</f>
        <v/>
      </c>
      <c r="AW146" s="79" t="str" cm="1">
        <f t="array" aca="1" ref="AW146" ca="1">IFERROR(_xlfn.IFS(OR($M146="",$AM146=""),"",OR($C146="Offered",$C146="Joined"),($AM146-$M146)-$AT146),"")</f>
        <v/>
      </c>
      <c r="AX146" s="79" t="str" cm="1">
        <f t="array" aca="1" ref="AX146" ca="1">IFERROR(_xlfn.IFS(OR($M146="",$AS146=""),"",$C146="Joined",($AS146-$M146)-$AT146),"")</f>
        <v/>
      </c>
      <c r="AY146" s="67" t="str">
        <f>IFERROR(IF(COUNTIFS('Candidate Tracker'!$E:$E,'Positions Tracker'!$B146,'Candidate Tracker'!$C:$C,"Offer Drop")=0,"",COUNTIFS('Candidate Tracker'!$E:$E,'Positions Tracker'!$B146,'Candidate Tracker'!$C:$C,"Offer Drop")),"")</f>
        <v/>
      </c>
      <c r="AZ146" s="80">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0.88111888111888115</v>
      </c>
      <c r="BA146" s="81" t="str">
        <f>IFERROR(IF(COUNTIFS('Candidate Tracker'!$E:$E,'Positions Tracker'!$B146,'Candidate Tracker'!$I:$I,"Female")=0,"",COUNTIFS('Candidate Tracker'!$E:$E,'Positions Tracker'!$B146,'Candidate Tracker'!$I:$I,"Female")),"")</f>
        <v/>
      </c>
      <c r="BB146" s="81" t="str">
        <f>IFERROR(IF(COUNTIFS('Candidate Tracker'!$E:$E,'Positions Tracker'!$B146,'Candidate Tracker'!$I:$I,"male")=0,"",COUNTIFS('Candidate Tracker'!$E:$E,'Positions Tracker'!$B146,'Candidate Tracker'!$I:$I,"male")),"")</f>
        <v/>
      </c>
      <c r="BC146" s="80" t="str">
        <f>IFERROR(IF(COUNTIFS('Candidate Tracker'!$E:$E,'Positions Tracker'!$B146,'Candidate Tracker'!$C:$C,"&lt;&gt;WIP",'Candidate Tracker'!$C:$C,"&lt;&gt;Hold",'Candidate Tracker'!$C:$C,"&lt;&gt;Cancelled",'Candidate Tracker'!$C:$C,"&lt;&gt;Closed")/COUNTIFS('Candidate Tracker'!$E:$E,'Positions Tracker'!$B146)=0,"",COUNTIFS('Candidate Tracker'!$E:$E,'Positions Tracker'!$B146,'Candidate Tracker'!$C:$C,"&lt;&gt;WIP",'Candidate Tracker'!$C:$C,"&lt;&gt;Hold",'Candidate Tracker'!$C:$C,"&lt;&gt;Cancelled",'Candidate Tracker'!$C:$C,"&lt;&gt;Closed")/COUNTIFS('Candidate Tracker'!$E:$E,'Positions Tracker'!$B146)),"")</f>
        <v/>
      </c>
      <c r="BD146" s="67" t="str">
        <f t="shared" si="1"/>
        <v>Apr-24</v>
      </c>
      <c r="BE146" s="67" t="str">
        <f t="shared" si="2"/>
        <v>Jun-24</v>
      </c>
      <c r="BF146" s="67" t="str">
        <f t="shared" si="3"/>
        <v>Jun-24</v>
      </c>
      <c r="BG146" s="67" t="str">
        <f t="shared" si="4"/>
        <v>Sep-24</v>
      </c>
    </row>
    <row r="147" spans="1:59">
      <c r="A147" s="67">
        <f t="shared" si="14"/>
        <v>146</v>
      </c>
      <c r="B147" s="67"/>
      <c r="C147" s="67" t="s">
        <v>55</v>
      </c>
      <c r="D147" s="67" t="s">
        <v>80</v>
      </c>
      <c r="E147" s="67" t="s">
        <v>675</v>
      </c>
      <c r="F147" s="67" t="s">
        <v>168</v>
      </c>
      <c r="G147" s="67"/>
      <c r="H147" s="67"/>
      <c r="I147" s="67" t="s">
        <v>676</v>
      </c>
      <c r="J147" s="67" t="s">
        <v>70</v>
      </c>
      <c r="K147" s="68"/>
      <c r="L147" s="68">
        <v>45411</v>
      </c>
      <c r="M147" s="68">
        <v>45414</v>
      </c>
      <c r="N147" s="67"/>
      <c r="O147" s="68"/>
      <c r="P147" s="68"/>
      <c r="Q147" s="68"/>
      <c r="R147" s="68"/>
      <c r="S147" s="68"/>
      <c r="T147" s="68"/>
      <c r="U147" s="67"/>
      <c r="V147" s="67"/>
      <c r="W147" s="67"/>
      <c r="X147" s="67" t="s">
        <v>677</v>
      </c>
      <c r="Y147" s="67" t="s">
        <v>144</v>
      </c>
      <c r="Z147" s="67" t="s">
        <v>144</v>
      </c>
      <c r="AA147" s="67" t="s">
        <v>645</v>
      </c>
      <c r="AB147" s="67"/>
      <c r="AC147" s="67"/>
      <c r="AD147" s="67"/>
      <c r="AE147" s="67" t="s">
        <v>678</v>
      </c>
      <c r="AF147" s="67">
        <v>9890836550</v>
      </c>
      <c r="AG147" s="67"/>
      <c r="AH147" s="68" t="s">
        <v>86</v>
      </c>
      <c r="AI147" s="68">
        <v>45462</v>
      </c>
      <c r="AJ147" s="68"/>
      <c r="AK147" s="67" t="s">
        <v>72</v>
      </c>
      <c r="AL147" s="67">
        <v>1507989</v>
      </c>
      <c r="AM147" s="68">
        <v>45463</v>
      </c>
      <c r="AN147" s="68"/>
      <c r="AO147" s="68">
        <v>45506</v>
      </c>
      <c r="AP147" s="68">
        <v>45463</v>
      </c>
      <c r="AQ147" s="68"/>
      <c r="AR147" s="68"/>
      <c r="AS147" s="68">
        <v>45509</v>
      </c>
      <c r="AT147" s="67">
        <f t="shared" ca="1" si="15"/>
        <v>0</v>
      </c>
      <c r="AU147" s="79" t="str">
        <f t="shared" ca="1" si="16"/>
        <v/>
      </c>
      <c r="AV147" s="79" t="str" cm="1">
        <f t="array" aca="1" ref="AV147" ca="1">IFERROR(_xlfn.IFS($AU147="","",$AU147&lt;=15,"0-15",AND($AU147&gt;=16,$AU147&lt;=30),"16-30",AND($AU147&gt;=31,$AU147&lt;=45),"31-45",AND($AU147&gt;=46,$AU147&lt;=60),"46-60",AND($AU147&gt;=61,$AU147&lt;=90),"61-90",AND($AU147&gt;=91),"&gt; 90",AND($AU147&gt;=2000),""),"")</f>
        <v/>
      </c>
      <c r="AW147" s="79" t="str" cm="1">
        <f t="array" aca="1" ref="AW147" ca="1">IFERROR(_xlfn.IFS(OR($M147="",$AM147=""),"",OR($C147="Offered",$C147="Joined"),($AM147-$M147)-$AT147),"")</f>
        <v/>
      </c>
      <c r="AX147" s="79" t="str" cm="1">
        <f t="array" aca="1" ref="AX147" ca="1">IFERROR(_xlfn.IFS(OR($M147="",$AS147=""),"",$C147="Joined",($AS147-$M147)-$AT147),"")</f>
        <v/>
      </c>
      <c r="AY147" s="67" t="str">
        <f>IFERROR(IF(COUNTIFS('Candidate Tracker'!$E:$E,'Positions Tracker'!$B147,'Candidate Tracker'!$C:$C,"Offer Drop")=0,"",COUNTIFS('Candidate Tracker'!$E:$E,'Positions Tracker'!$B147,'Candidate Tracker'!$C:$C,"Offer Drop")),"")</f>
        <v/>
      </c>
      <c r="AZ147" s="80">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0.88111888111888115</v>
      </c>
      <c r="BA147" s="81" t="str">
        <f>IFERROR(IF(COUNTIFS('Candidate Tracker'!$E:$E,'Positions Tracker'!$B147,'Candidate Tracker'!$I:$I,"Female")=0,"",COUNTIFS('Candidate Tracker'!$E:$E,'Positions Tracker'!$B147,'Candidate Tracker'!$I:$I,"Female")),"")</f>
        <v/>
      </c>
      <c r="BB147" s="81" t="str">
        <f>IFERROR(IF(COUNTIFS('Candidate Tracker'!$E:$E,'Positions Tracker'!$B147,'Candidate Tracker'!$I:$I,"male")=0,"",COUNTIFS('Candidate Tracker'!$E:$E,'Positions Tracker'!$B147,'Candidate Tracker'!$I:$I,"male")),"")</f>
        <v/>
      </c>
      <c r="BC147" s="80" t="str">
        <f>IFERROR(IF(COUNTIFS('Candidate Tracker'!$E:$E,'Positions Tracker'!$B147,'Candidate Tracker'!$C:$C,"&lt;&gt;WIP",'Candidate Tracker'!$C:$C,"&lt;&gt;Hold",'Candidate Tracker'!$C:$C,"&lt;&gt;Cancelled",'Candidate Tracker'!$C:$C,"&lt;&gt;Closed")/COUNTIFS('Candidate Tracker'!$E:$E,'Positions Tracker'!$B147)=0,"",COUNTIFS('Candidate Tracker'!$E:$E,'Positions Tracker'!$B147,'Candidate Tracker'!$C:$C,"&lt;&gt;WIP",'Candidate Tracker'!$C:$C,"&lt;&gt;Hold",'Candidate Tracker'!$C:$C,"&lt;&gt;Cancelled",'Candidate Tracker'!$C:$C,"&lt;&gt;Closed")/COUNTIFS('Candidate Tracker'!$E:$E,'Positions Tracker'!$B147)),"")</f>
        <v/>
      </c>
      <c r="BD147" s="67" t="str">
        <f t="shared" si="1"/>
        <v>May-24</v>
      </c>
      <c r="BE147" s="67" t="str">
        <f t="shared" si="2"/>
        <v>Jun-24</v>
      </c>
      <c r="BF147" s="67" t="str">
        <f t="shared" si="3"/>
        <v>Jun-24</v>
      </c>
      <c r="BG147" s="67" t="str">
        <f t="shared" si="4"/>
        <v>Aug-24</v>
      </c>
    </row>
    <row r="148" spans="1:59">
      <c r="A148" s="67">
        <f t="shared" si="14"/>
        <v>147</v>
      </c>
      <c r="B148" s="67"/>
      <c r="C148" s="67" t="s">
        <v>55</v>
      </c>
      <c r="D148" s="67" t="s">
        <v>80</v>
      </c>
      <c r="E148" s="67" t="s">
        <v>679</v>
      </c>
      <c r="F148" s="67" t="s">
        <v>226</v>
      </c>
      <c r="G148" s="67" t="s">
        <v>3</v>
      </c>
      <c r="H148" s="67" t="s">
        <v>111</v>
      </c>
      <c r="I148" s="67" t="s">
        <v>680</v>
      </c>
      <c r="J148" s="67" t="s">
        <v>70</v>
      </c>
      <c r="K148" s="68"/>
      <c r="L148" s="68">
        <v>45833</v>
      </c>
      <c r="M148" s="68">
        <v>45468</v>
      </c>
      <c r="N148" s="67"/>
      <c r="O148" s="68"/>
      <c r="P148" s="68"/>
      <c r="Q148" s="68"/>
      <c r="R148" s="68"/>
      <c r="S148" s="68"/>
      <c r="T148" s="68"/>
      <c r="U148" s="67"/>
      <c r="V148" s="67"/>
      <c r="W148" s="67"/>
      <c r="X148" s="67" t="s">
        <v>72</v>
      </c>
      <c r="Y148" s="67" t="s">
        <v>245</v>
      </c>
      <c r="Z148" s="67" t="s">
        <v>245</v>
      </c>
      <c r="AA148" s="67" t="s">
        <v>641</v>
      </c>
      <c r="AB148" s="67"/>
      <c r="AC148" s="67"/>
      <c r="AD148" s="67"/>
      <c r="AE148" s="67" t="s">
        <v>247</v>
      </c>
      <c r="AF148" s="67">
        <v>9767994726</v>
      </c>
      <c r="AG148" s="67"/>
      <c r="AH148" s="68" t="s">
        <v>123</v>
      </c>
      <c r="AI148" s="68">
        <v>45481</v>
      </c>
      <c r="AJ148" s="68">
        <v>45488</v>
      </c>
      <c r="AK148" s="67" t="s">
        <v>72</v>
      </c>
      <c r="AL148" s="67">
        <v>2700000</v>
      </c>
      <c r="AM148" s="68">
        <v>45488</v>
      </c>
      <c r="AN148" s="68">
        <v>45488</v>
      </c>
      <c r="AO148" s="68">
        <v>45499</v>
      </c>
      <c r="AP148" s="68">
        <v>45488</v>
      </c>
      <c r="AQ148" s="68"/>
      <c r="AR148" s="68"/>
      <c r="AS148" s="68">
        <v>45502</v>
      </c>
      <c r="AT148" s="67">
        <f t="shared" ca="1" si="15"/>
        <v>0</v>
      </c>
      <c r="AU148" s="79" t="str">
        <f t="shared" ca="1" si="16"/>
        <v/>
      </c>
      <c r="AV148" s="79" t="str" cm="1">
        <f t="array" aca="1" ref="AV148" ca="1">IFERROR(_xlfn.IFS($AU148="","",$AU148&lt;=15,"0-15",AND($AU148&gt;=16,$AU148&lt;=30),"16-30",AND($AU148&gt;=31,$AU148&lt;=45),"31-45",AND($AU148&gt;=46,$AU148&lt;=60),"46-60",AND($AU148&gt;=61,$AU148&lt;=90),"61-90",AND($AU148&gt;=91),"&gt; 90",AND($AU148&gt;=2000),""),"")</f>
        <v/>
      </c>
      <c r="AW148" s="79" t="str" cm="1">
        <f t="array" aca="1" ref="AW148" ca="1">IFERROR(_xlfn.IFS(OR($M148="",$AM148=""),"",OR($C148="Offered",$C148="Joined"),($AM148-$M148)-$AT148),"")</f>
        <v/>
      </c>
      <c r="AX148" s="79" t="str" cm="1">
        <f t="array" aca="1" ref="AX148" ca="1">IFERROR(_xlfn.IFS(OR($M148="",$AS148=""),"",$C148="Joined",($AS148-$M148)-$AT148),"")</f>
        <v/>
      </c>
      <c r="AY148" s="67" t="str">
        <f>IFERROR(IF(COUNTIFS('Candidate Tracker'!$E:$E,'Positions Tracker'!$B148,'Candidate Tracker'!$C:$C,"Offer Drop")=0,"",COUNTIFS('Candidate Tracker'!$E:$E,'Positions Tracker'!$B148,'Candidate Tracker'!$C:$C,"Offer Drop")),"")</f>
        <v/>
      </c>
      <c r="AZ148" s="80">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0.88111888111888115</v>
      </c>
      <c r="BA148" s="81" t="str">
        <f>IFERROR(IF(COUNTIFS('Candidate Tracker'!$E:$E,'Positions Tracker'!$B148,'Candidate Tracker'!$I:$I,"Female")=0,"",COUNTIFS('Candidate Tracker'!$E:$E,'Positions Tracker'!$B148,'Candidate Tracker'!$I:$I,"Female")),"")</f>
        <v/>
      </c>
      <c r="BB148" s="81" t="str">
        <f>IFERROR(IF(COUNTIFS('Candidate Tracker'!$E:$E,'Positions Tracker'!$B148,'Candidate Tracker'!$I:$I,"male")=0,"",COUNTIFS('Candidate Tracker'!$E:$E,'Positions Tracker'!$B148,'Candidate Tracker'!$I:$I,"male")),"")</f>
        <v/>
      </c>
      <c r="BC148" s="80" t="str">
        <f>IFERROR(IF(COUNTIFS('Candidate Tracker'!$E:$E,'Positions Tracker'!$B148,'Candidate Tracker'!$C:$C,"&lt;&gt;WIP",'Candidate Tracker'!$C:$C,"&lt;&gt;Hold",'Candidate Tracker'!$C:$C,"&lt;&gt;Cancelled",'Candidate Tracker'!$C:$C,"&lt;&gt;Closed")/COUNTIFS('Candidate Tracker'!$E:$E,'Positions Tracker'!$B148)=0,"",COUNTIFS('Candidate Tracker'!$E:$E,'Positions Tracker'!$B148,'Candidate Tracker'!$C:$C,"&lt;&gt;WIP",'Candidate Tracker'!$C:$C,"&lt;&gt;Hold",'Candidate Tracker'!$C:$C,"&lt;&gt;Cancelled",'Candidate Tracker'!$C:$C,"&lt;&gt;Closed")/COUNTIFS('Candidate Tracker'!$E:$E,'Positions Tracker'!$B148)),"")</f>
        <v/>
      </c>
      <c r="BD148" s="67" t="str">
        <f t="shared" si="1"/>
        <v>Jun-24</v>
      </c>
      <c r="BE148" s="67" t="str">
        <f t="shared" si="2"/>
        <v>Jul-24</v>
      </c>
      <c r="BF148" s="67" t="str">
        <f t="shared" si="3"/>
        <v>Jul-24</v>
      </c>
      <c r="BG148" s="67" t="str">
        <f t="shared" si="4"/>
        <v>Jul-24</v>
      </c>
    </row>
    <row r="149" spans="1:59">
      <c r="A149" s="67">
        <f t="shared" si="14"/>
        <v>148</v>
      </c>
      <c r="B149" s="67"/>
      <c r="C149" s="67" t="s">
        <v>55</v>
      </c>
      <c r="D149" s="67" t="s">
        <v>80</v>
      </c>
      <c r="E149" s="67" t="s">
        <v>681</v>
      </c>
      <c r="F149" s="67" t="s">
        <v>158</v>
      </c>
      <c r="G149" s="67"/>
      <c r="H149" s="67"/>
      <c r="I149" s="67" t="s">
        <v>217</v>
      </c>
      <c r="J149" s="67" t="s">
        <v>70</v>
      </c>
      <c r="K149" s="68"/>
      <c r="L149" s="68">
        <v>45442</v>
      </c>
      <c r="M149" s="68">
        <v>45444</v>
      </c>
      <c r="N149" s="67"/>
      <c r="O149" s="68"/>
      <c r="P149" s="68"/>
      <c r="Q149" s="68"/>
      <c r="R149" s="68"/>
      <c r="S149" s="68"/>
      <c r="T149" s="68"/>
      <c r="U149" s="67"/>
      <c r="V149" s="67"/>
      <c r="W149" s="67"/>
      <c r="X149" s="67" t="s">
        <v>72</v>
      </c>
      <c r="Y149" s="67" t="s">
        <v>144</v>
      </c>
      <c r="Z149" s="67" t="s">
        <v>144</v>
      </c>
      <c r="AA149" s="67" t="s">
        <v>653</v>
      </c>
      <c r="AB149" s="67"/>
      <c r="AC149" s="67"/>
      <c r="AD149" s="67"/>
      <c r="AE149" s="67" t="s">
        <v>682</v>
      </c>
      <c r="AF149" s="67">
        <v>7026301698</v>
      </c>
      <c r="AG149" s="67"/>
      <c r="AH149" s="68" t="s">
        <v>86</v>
      </c>
      <c r="AI149" s="68">
        <v>45470</v>
      </c>
      <c r="AJ149" s="68"/>
      <c r="AK149" s="67" t="s">
        <v>72</v>
      </c>
      <c r="AL149" s="67">
        <v>2000000</v>
      </c>
      <c r="AM149" s="68">
        <v>45476</v>
      </c>
      <c r="AN149" s="68"/>
      <c r="AO149" s="68">
        <v>45509</v>
      </c>
      <c r="AP149" s="68">
        <v>45476</v>
      </c>
      <c r="AQ149" s="68"/>
      <c r="AR149" s="68"/>
      <c r="AS149" s="68">
        <v>45544</v>
      </c>
      <c r="AT149" s="67">
        <f t="shared" ca="1" si="15"/>
        <v>0</v>
      </c>
      <c r="AU149" s="79" t="str">
        <f t="shared" ca="1" si="16"/>
        <v/>
      </c>
      <c r="AV149" s="79" t="str" cm="1">
        <f t="array" aca="1" ref="AV149" ca="1">IFERROR(_xlfn.IFS($AU149="","",$AU149&lt;=15,"0-15",AND($AU149&gt;=16,$AU149&lt;=30),"16-30",AND($AU149&gt;=31,$AU149&lt;=45),"31-45",AND($AU149&gt;=46,$AU149&lt;=60),"46-60",AND($AU149&gt;=61,$AU149&lt;=90),"61-90",AND($AU149&gt;=91),"&gt; 90",AND($AU149&gt;=2000),""),"")</f>
        <v/>
      </c>
      <c r="AW149" s="79" t="str" cm="1">
        <f t="array" aca="1" ref="AW149" ca="1">IFERROR(_xlfn.IFS(OR($M149="",$AM149=""),"",OR($C149="Offered",$C149="Joined"),($AM149-$M149)-$AT149),"")</f>
        <v/>
      </c>
      <c r="AX149" s="79" t="str" cm="1">
        <f t="array" aca="1" ref="AX149" ca="1">IFERROR(_xlfn.IFS(OR($M149="",$AS149=""),"",$C149="Joined",($AS149-$M149)-$AT149),"")</f>
        <v/>
      </c>
      <c r="AY149" s="67" t="str">
        <f>IFERROR(IF(COUNTIFS('Candidate Tracker'!$E:$E,'Positions Tracker'!$B149,'Candidate Tracker'!$C:$C,"Offer Drop")=0,"",COUNTIFS('Candidate Tracker'!$E:$E,'Positions Tracker'!$B149,'Candidate Tracker'!$C:$C,"Offer Drop")),"")</f>
        <v/>
      </c>
      <c r="AZ149" s="80">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0.88111888111888115</v>
      </c>
      <c r="BA149" s="81" t="str">
        <f>IFERROR(IF(COUNTIFS('Candidate Tracker'!$E:$E,'Positions Tracker'!$B149,'Candidate Tracker'!$I:$I,"Female")=0,"",COUNTIFS('Candidate Tracker'!$E:$E,'Positions Tracker'!$B149,'Candidate Tracker'!$I:$I,"Female")),"")</f>
        <v/>
      </c>
      <c r="BB149" s="81" t="str">
        <f>IFERROR(IF(COUNTIFS('Candidate Tracker'!$E:$E,'Positions Tracker'!$B149,'Candidate Tracker'!$I:$I,"male")=0,"",COUNTIFS('Candidate Tracker'!$E:$E,'Positions Tracker'!$B149,'Candidate Tracker'!$I:$I,"male")),"")</f>
        <v/>
      </c>
      <c r="BC149" s="80" t="str">
        <f>IFERROR(IF(COUNTIFS('Candidate Tracker'!$E:$E,'Positions Tracker'!$B149,'Candidate Tracker'!$C:$C,"&lt;&gt;WIP",'Candidate Tracker'!$C:$C,"&lt;&gt;Hold",'Candidate Tracker'!$C:$C,"&lt;&gt;Cancelled",'Candidate Tracker'!$C:$C,"&lt;&gt;Closed")/COUNTIFS('Candidate Tracker'!$E:$E,'Positions Tracker'!$B149)=0,"",COUNTIFS('Candidate Tracker'!$E:$E,'Positions Tracker'!$B149,'Candidate Tracker'!$C:$C,"&lt;&gt;WIP",'Candidate Tracker'!$C:$C,"&lt;&gt;Hold",'Candidate Tracker'!$C:$C,"&lt;&gt;Cancelled",'Candidate Tracker'!$C:$C,"&lt;&gt;Closed")/COUNTIFS('Candidate Tracker'!$E:$E,'Positions Tracker'!$B149)),"")</f>
        <v/>
      </c>
      <c r="BD149" s="67" t="str">
        <f t="shared" si="1"/>
        <v>Jun-24</v>
      </c>
      <c r="BE149" s="67" t="str">
        <f t="shared" si="2"/>
        <v>Jun-24</v>
      </c>
      <c r="BF149" s="67" t="str">
        <f t="shared" si="3"/>
        <v>Jul-24</v>
      </c>
      <c r="BG149" s="67" t="str">
        <f t="shared" si="4"/>
        <v>Sep-24</v>
      </c>
    </row>
    <row r="150" spans="1:59">
      <c r="A150" s="67">
        <f t="shared" si="14"/>
        <v>149</v>
      </c>
      <c r="B150" s="67"/>
      <c r="C150" s="67" t="s">
        <v>55</v>
      </c>
      <c r="D150" s="67" t="s">
        <v>80</v>
      </c>
      <c r="E150" s="67" t="s">
        <v>683</v>
      </c>
      <c r="F150" s="67" t="s">
        <v>648</v>
      </c>
      <c r="G150" s="67" t="s">
        <v>3</v>
      </c>
      <c r="H150" s="67" t="s">
        <v>111</v>
      </c>
      <c r="I150" s="67" t="s">
        <v>680</v>
      </c>
      <c r="J150" s="67" t="s">
        <v>70</v>
      </c>
      <c r="K150" s="68"/>
      <c r="L150" s="68">
        <v>45439</v>
      </c>
      <c r="M150" s="68">
        <v>45439</v>
      </c>
      <c r="N150" s="67"/>
      <c r="O150" s="68"/>
      <c r="P150" s="68"/>
      <c r="Q150" s="68"/>
      <c r="R150" s="68"/>
      <c r="S150" s="68"/>
      <c r="T150" s="68"/>
      <c r="U150" s="67"/>
      <c r="V150" s="67"/>
      <c r="W150" s="67"/>
      <c r="X150" s="67" t="s">
        <v>72</v>
      </c>
      <c r="Y150" s="67" t="s">
        <v>245</v>
      </c>
      <c r="Z150" s="67" t="s">
        <v>245</v>
      </c>
      <c r="AA150" s="67" t="s">
        <v>645</v>
      </c>
      <c r="AB150" s="67"/>
      <c r="AC150" s="67"/>
      <c r="AD150" s="67"/>
      <c r="AE150" s="67" t="s">
        <v>684</v>
      </c>
      <c r="AF150" s="67">
        <v>7709279174</v>
      </c>
      <c r="AG150" s="67"/>
      <c r="AH150" s="68" t="s">
        <v>86</v>
      </c>
      <c r="AI150" s="68">
        <v>45471</v>
      </c>
      <c r="AJ150" s="68">
        <v>45478</v>
      </c>
      <c r="AK150" s="67" t="s">
        <v>72</v>
      </c>
      <c r="AL150" s="67">
        <v>2000000</v>
      </c>
      <c r="AM150" s="68">
        <v>45478</v>
      </c>
      <c r="AN150" s="68">
        <v>45478</v>
      </c>
      <c r="AO150" s="68">
        <v>45513</v>
      </c>
      <c r="AP150" s="68">
        <v>45488</v>
      </c>
      <c r="AQ150" s="68"/>
      <c r="AR150" s="68"/>
      <c r="AS150" s="68">
        <v>45516</v>
      </c>
      <c r="AT150" s="67">
        <f t="shared" ca="1" si="15"/>
        <v>0</v>
      </c>
      <c r="AU150" s="79" t="str">
        <f t="shared" ca="1" si="16"/>
        <v/>
      </c>
      <c r="AV150" s="79" t="str" cm="1">
        <f t="array" aca="1" ref="AV150" ca="1">IFERROR(_xlfn.IFS($AU150="","",$AU150&lt;=15,"0-15",AND($AU150&gt;=16,$AU150&lt;=30),"16-30",AND($AU150&gt;=31,$AU150&lt;=45),"31-45",AND($AU150&gt;=46,$AU150&lt;=60),"46-60",AND($AU150&gt;=61,$AU150&lt;=90),"61-90",AND($AU150&gt;=91),"&gt; 90",AND($AU150&gt;=2000),""),"")</f>
        <v/>
      </c>
      <c r="AW150" s="79" t="str" cm="1">
        <f t="array" aca="1" ref="AW150" ca="1">IFERROR(_xlfn.IFS(OR($M150="",$AM150=""),"",OR($C150="Offered",$C150="Joined"),($AM150-$M150)-$AT150),"")</f>
        <v/>
      </c>
      <c r="AX150" s="79" t="str" cm="1">
        <f t="array" aca="1" ref="AX150" ca="1">IFERROR(_xlfn.IFS(OR($M150="",$AS150=""),"",$C150="Joined",($AS150-$M150)-$AT150),"")</f>
        <v/>
      </c>
      <c r="AY150" s="67" t="str">
        <f>IFERROR(IF(COUNTIFS('Candidate Tracker'!$E:$E,'Positions Tracker'!$B150,'Candidate Tracker'!$C:$C,"Offer Drop")=0,"",COUNTIFS('Candidate Tracker'!$E:$E,'Positions Tracker'!$B150,'Candidate Tracker'!$C:$C,"Offer Drop")),"")</f>
        <v/>
      </c>
      <c r="AZ150" s="80">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0.88111888111888115</v>
      </c>
      <c r="BA150" s="81" t="str">
        <f>IFERROR(IF(COUNTIFS('Candidate Tracker'!$E:$E,'Positions Tracker'!$B150,'Candidate Tracker'!$I:$I,"Female")=0,"",COUNTIFS('Candidate Tracker'!$E:$E,'Positions Tracker'!$B150,'Candidate Tracker'!$I:$I,"Female")),"")</f>
        <v/>
      </c>
      <c r="BB150" s="81" t="str">
        <f>IFERROR(IF(COUNTIFS('Candidate Tracker'!$E:$E,'Positions Tracker'!$B150,'Candidate Tracker'!$I:$I,"male")=0,"",COUNTIFS('Candidate Tracker'!$E:$E,'Positions Tracker'!$B150,'Candidate Tracker'!$I:$I,"male")),"")</f>
        <v/>
      </c>
      <c r="BC150" s="80" t="str">
        <f>IFERROR(IF(COUNTIFS('Candidate Tracker'!$E:$E,'Positions Tracker'!$B150,'Candidate Tracker'!$C:$C,"&lt;&gt;WIP",'Candidate Tracker'!$C:$C,"&lt;&gt;Hold",'Candidate Tracker'!$C:$C,"&lt;&gt;Cancelled",'Candidate Tracker'!$C:$C,"&lt;&gt;Closed")/COUNTIFS('Candidate Tracker'!$E:$E,'Positions Tracker'!$B150)=0,"",COUNTIFS('Candidate Tracker'!$E:$E,'Positions Tracker'!$B150,'Candidate Tracker'!$C:$C,"&lt;&gt;WIP",'Candidate Tracker'!$C:$C,"&lt;&gt;Hold",'Candidate Tracker'!$C:$C,"&lt;&gt;Cancelled",'Candidate Tracker'!$C:$C,"&lt;&gt;Closed")/COUNTIFS('Candidate Tracker'!$E:$E,'Positions Tracker'!$B150)),"")</f>
        <v/>
      </c>
      <c r="BD150" s="67" t="str">
        <f t="shared" si="1"/>
        <v>May-24</v>
      </c>
      <c r="BE150" s="67" t="str">
        <f t="shared" si="2"/>
        <v>Jun-24</v>
      </c>
      <c r="BF150" s="67" t="str">
        <f t="shared" si="3"/>
        <v>Jul-24</v>
      </c>
      <c r="BG150" s="67" t="str">
        <f t="shared" si="4"/>
        <v>Aug-24</v>
      </c>
    </row>
    <row r="151" spans="1:59">
      <c r="A151" s="67">
        <f t="shared" si="14"/>
        <v>150</v>
      </c>
      <c r="B151" s="67">
        <v>20251179</v>
      </c>
      <c r="C151" s="67" t="s">
        <v>55</v>
      </c>
      <c r="D151" s="67" t="s">
        <v>80</v>
      </c>
      <c r="E151" s="67" t="s">
        <v>685</v>
      </c>
      <c r="F151" s="67" t="s">
        <v>686</v>
      </c>
      <c r="G151" s="67" t="s">
        <v>3</v>
      </c>
      <c r="H151" s="67" t="s">
        <v>111</v>
      </c>
      <c r="I151" s="67" t="s">
        <v>107</v>
      </c>
      <c r="J151" s="67" t="s">
        <v>70</v>
      </c>
      <c r="K151" s="68">
        <v>45453</v>
      </c>
      <c r="L151" s="68">
        <v>45453</v>
      </c>
      <c r="M151" s="68">
        <v>45453</v>
      </c>
      <c r="N151" s="67"/>
      <c r="O151" s="68"/>
      <c r="P151" s="68"/>
      <c r="Q151" s="68"/>
      <c r="R151" s="68"/>
      <c r="S151" s="68"/>
      <c r="T151" s="68"/>
      <c r="U151" s="67"/>
      <c r="V151" s="67"/>
      <c r="W151" s="67"/>
      <c r="X151" s="67" t="s">
        <v>72</v>
      </c>
      <c r="Y151" s="67" t="s">
        <v>74</v>
      </c>
      <c r="Z151" s="67" t="s">
        <v>74</v>
      </c>
      <c r="AA151" s="67" t="s">
        <v>687</v>
      </c>
      <c r="AB151" s="67"/>
      <c r="AC151" s="67"/>
      <c r="AD151" s="67"/>
      <c r="AE151" s="67" t="s">
        <v>688</v>
      </c>
      <c r="AF151" s="67" t="s">
        <v>689</v>
      </c>
      <c r="AG151" s="67" t="s">
        <v>690</v>
      </c>
      <c r="AH151" s="68" t="s">
        <v>123</v>
      </c>
      <c r="AI151" s="68">
        <v>45495</v>
      </c>
      <c r="AJ151" s="68">
        <v>45495</v>
      </c>
      <c r="AK151" s="67" t="s">
        <v>72</v>
      </c>
      <c r="AL151" s="67">
        <v>1600000</v>
      </c>
      <c r="AM151" s="68">
        <v>45507</v>
      </c>
      <c r="AN151" s="68">
        <v>45507</v>
      </c>
      <c r="AO151" s="68">
        <v>45518</v>
      </c>
      <c r="AP151" s="68">
        <v>45507</v>
      </c>
      <c r="AQ151" s="68">
        <v>45509</v>
      </c>
      <c r="AR151" s="68">
        <v>45533</v>
      </c>
      <c r="AS151" s="68">
        <v>45537</v>
      </c>
      <c r="AT151" s="67">
        <f t="shared" ca="1" si="15"/>
        <v>0</v>
      </c>
      <c r="AU151" s="79" t="str">
        <f t="shared" ca="1" si="16"/>
        <v/>
      </c>
      <c r="AV151" s="79" t="str" cm="1">
        <f t="array" aca="1" ref="AV151" ca="1">IFERROR(_xlfn.IFS($AU151="","",$AU151&lt;=15,"0-15",AND($AU151&gt;=16,$AU151&lt;=30),"16-30",AND($AU151&gt;=31,$AU151&lt;=45),"31-45",AND($AU151&gt;=46,$AU151&lt;=60),"46-60",AND($AU151&gt;=61,$AU151&lt;=90),"61-90",AND($AU151&gt;=91),"&gt; 90",AND($AU151&gt;=2000),""),"")</f>
        <v/>
      </c>
      <c r="AW151" s="79" t="str" cm="1">
        <f t="array" aca="1" ref="AW151" ca="1">IFERROR(_xlfn.IFS(OR($M151="",$AM151=""),"",OR($C151="Offered",$C151="Joined"),($AM151-$M151)-$AT151),"")</f>
        <v/>
      </c>
      <c r="AX151" s="79" t="str" cm="1">
        <f t="array" aca="1" ref="AX151" ca="1">IFERROR(_xlfn.IFS(OR($M151="",$AS151=""),"",$C151="Joined",($AS151-$M151)-$AT151),"")</f>
        <v/>
      </c>
      <c r="AY151" s="67" t="str">
        <f>IFERROR(IF(COUNTIFS('Candidate Tracker'!$E:$E,'Positions Tracker'!$B151,'Candidate Tracker'!$C:$C,"Offer Drop")=0,"",COUNTIFS('Candidate Tracker'!$E:$E,'Positions Tracker'!$B151,'Candidate Tracker'!$C:$C,"Offer Drop")),"")</f>
        <v/>
      </c>
      <c r="AZ151" s="80">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0.88111888111888115</v>
      </c>
      <c r="BA151" s="81" t="str">
        <f>IFERROR(IF(COUNTIFS('Candidate Tracker'!$E:$E,'Positions Tracker'!$B151,'Candidate Tracker'!$I:$I,"Female")=0,"",COUNTIFS('Candidate Tracker'!$E:$E,'Positions Tracker'!$B151,'Candidate Tracker'!$I:$I,"Female")),"")</f>
        <v/>
      </c>
      <c r="BB151" s="81" t="str">
        <f>IFERROR(IF(COUNTIFS('Candidate Tracker'!$E:$E,'Positions Tracker'!$B151,'Candidate Tracker'!$I:$I,"male")=0,"",COUNTIFS('Candidate Tracker'!$E:$E,'Positions Tracker'!$B151,'Candidate Tracker'!$I:$I,"male")),"")</f>
        <v/>
      </c>
      <c r="BC151" s="80" t="str">
        <f>IFERROR(IF(COUNTIFS('Candidate Tracker'!$E:$E,'Positions Tracker'!$B151,'Candidate Tracker'!$C:$C,"&lt;&gt;WIP",'Candidate Tracker'!$C:$C,"&lt;&gt;Hold",'Candidate Tracker'!$C:$C,"&lt;&gt;Cancelled",'Candidate Tracker'!$C:$C,"&lt;&gt;Closed")/COUNTIFS('Candidate Tracker'!$E:$E,'Positions Tracker'!$B151)=0,"",COUNTIFS('Candidate Tracker'!$E:$E,'Positions Tracker'!$B151,'Candidate Tracker'!$C:$C,"&lt;&gt;WIP",'Candidate Tracker'!$C:$C,"&lt;&gt;Hold",'Candidate Tracker'!$C:$C,"&lt;&gt;Cancelled",'Candidate Tracker'!$C:$C,"&lt;&gt;Closed")/COUNTIFS('Candidate Tracker'!$E:$E,'Positions Tracker'!$B151)),"")</f>
        <v/>
      </c>
      <c r="BD151" s="67" t="str">
        <f t="shared" si="1"/>
        <v>Jun-24</v>
      </c>
      <c r="BE151" s="67" t="str">
        <f t="shared" si="2"/>
        <v>Jul-24</v>
      </c>
      <c r="BF151" s="67" t="str">
        <f t="shared" si="3"/>
        <v>Aug-24</v>
      </c>
      <c r="BG151" s="67" t="str">
        <f t="shared" si="4"/>
        <v>Sep-24</v>
      </c>
    </row>
    <row r="152" spans="1:59">
      <c r="A152" s="67">
        <f t="shared" si="14"/>
        <v>151</v>
      </c>
      <c r="B152" s="67"/>
      <c r="C152" s="67" t="s">
        <v>55</v>
      </c>
      <c r="D152" s="67" t="s">
        <v>80</v>
      </c>
      <c r="E152" s="67" t="s">
        <v>691</v>
      </c>
      <c r="F152" s="67" t="s">
        <v>648</v>
      </c>
      <c r="G152" s="67" t="s">
        <v>3</v>
      </c>
      <c r="H152" s="67" t="s">
        <v>111</v>
      </c>
      <c r="I152" s="67" t="s">
        <v>228</v>
      </c>
      <c r="J152" s="67" t="s">
        <v>70</v>
      </c>
      <c r="K152" s="68"/>
      <c r="L152" s="68">
        <v>45460</v>
      </c>
      <c r="M152" s="68">
        <v>45714</v>
      </c>
      <c r="N152" s="67"/>
      <c r="O152" s="68"/>
      <c r="P152" s="68"/>
      <c r="Q152" s="68"/>
      <c r="R152" s="68"/>
      <c r="S152" s="68"/>
      <c r="T152" s="68"/>
      <c r="U152" s="67"/>
      <c r="V152" s="67"/>
      <c r="W152" s="67"/>
      <c r="X152" s="67" t="s">
        <v>72</v>
      </c>
      <c r="Y152" s="67" t="s">
        <v>245</v>
      </c>
      <c r="Z152" s="67" t="s">
        <v>245</v>
      </c>
      <c r="AA152" s="67"/>
      <c r="AB152" s="67"/>
      <c r="AC152" s="67"/>
      <c r="AD152" s="67"/>
      <c r="AE152" s="67" t="s">
        <v>692</v>
      </c>
      <c r="AF152" s="67">
        <v>9921799008</v>
      </c>
      <c r="AG152" s="67"/>
      <c r="AH152" s="68" t="s">
        <v>123</v>
      </c>
      <c r="AI152" s="68">
        <v>45503</v>
      </c>
      <c r="AJ152" s="68">
        <v>45503</v>
      </c>
      <c r="AK152" s="67" t="s">
        <v>72</v>
      </c>
      <c r="AL152" s="67">
        <v>1400000</v>
      </c>
      <c r="AM152" s="68">
        <v>45517</v>
      </c>
      <c r="AN152" s="68">
        <v>45517</v>
      </c>
      <c r="AO152" s="68">
        <v>45530</v>
      </c>
      <c r="AP152" s="68">
        <v>45517</v>
      </c>
      <c r="AQ152" s="68"/>
      <c r="AR152" s="68"/>
      <c r="AS152" s="68">
        <v>45530</v>
      </c>
      <c r="AT152" s="67">
        <f t="shared" ca="1" si="15"/>
        <v>0</v>
      </c>
      <c r="AU152" s="79" t="str">
        <f t="shared" ca="1" si="16"/>
        <v/>
      </c>
      <c r="AV152" s="79" t="str" cm="1">
        <f t="array" aca="1" ref="AV152" ca="1">IFERROR(_xlfn.IFS($AU152="","",$AU152&lt;=15,"0-15",AND($AU152&gt;=16,$AU152&lt;=30),"16-30",AND($AU152&gt;=31,$AU152&lt;=45),"31-45",AND($AU152&gt;=46,$AU152&lt;=60),"46-60",AND($AU152&gt;=61,$AU152&lt;=90),"61-90",AND($AU152&gt;=91),"&gt; 90",AND($AU152&gt;=2000),""),"")</f>
        <v/>
      </c>
      <c r="AW152" s="79" t="str" cm="1">
        <f t="array" aca="1" ref="AW152" ca="1">IFERROR(_xlfn.IFS(OR($M152="",$AM152=""),"",OR($C152="Offered",$C152="Joined"),($AM152-$M152)-$AT152),"")</f>
        <v/>
      </c>
      <c r="AX152" s="79" t="str" cm="1">
        <f t="array" aca="1" ref="AX152" ca="1">IFERROR(_xlfn.IFS(OR($M152="",$AS152=""),"",$C152="Joined",($AS152-$M152)-$AT152),"")</f>
        <v/>
      </c>
      <c r="AY152" s="67" t="str">
        <f>IFERROR(IF(COUNTIFS('Candidate Tracker'!$E:$E,'Positions Tracker'!$B152,'Candidate Tracker'!$C:$C,"Offer Drop")=0,"",COUNTIFS('Candidate Tracker'!$E:$E,'Positions Tracker'!$B152,'Candidate Tracker'!$C:$C,"Offer Drop")),"")</f>
        <v/>
      </c>
      <c r="AZ152" s="80">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0.88111888111888115</v>
      </c>
      <c r="BA152" s="81" t="str">
        <f>IFERROR(IF(COUNTIFS('Candidate Tracker'!$E:$E,'Positions Tracker'!$B152,'Candidate Tracker'!$I:$I,"Female")=0,"",COUNTIFS('Candidate Tracker'!$E:$E,'Positions Tracker'!$B152,'Candidate Tracker'!$I:$I,"Female")),"")</f>
        <v/>
      </c>
      <c r="BB152" s="81" t="str">
        <f>IFERROR(IF(COUNTIFS('Candidate Tracker'!$E:$E,'Positions Tracker'!$B152,'Candidate Tracker'!$I:$I,"male")=0,"",COUNTIFS('Candidate Tracker'!$E:$E,'Positions Tracker'!$B152,'Candidate Tracker'!$I:$I,"male")),"")</f>
        <v/>
      </c>
      <c r="BC152" s="80" t="str">
        <f>IFERROR(IF(COUNTIFS('Candidate Tracker'!$E:$E,'Positions Tracker'!$B152,'Candidate Tracker'!$C:$C,"&lt;&gt;WIP",'Candidate Tracker'!$C:$C,"&lt;&gt;Hold",'Candidate Tracker'!$C:$C,"&lt;&gt;Cancelled",'Candidate Tracker'!$C:$C,"&lt;&gt;Closed")/COUNTIFS('Candidate Tracker'!$E:$E,'Positions Tracker'!$B152)=0,"",COUNTIFS('Candidate Tracker'!$E:$E,'Positions Tracker'!$B152,'Candidate Tracker'!$C:$C,"&lt;&gt;WIP",'Candidate Tracker'!$C:$C,"&lt;&gt;Hold",'Candidate Tracker'!$C:$C,"&lt;&gt;Cancelled",'Candidate Tracker'!$C:$C,"&lt;&gt;Closed")/COUNTIFS('Candidate Tracker'!$E:$E,'Positions Tracker'!$B152)),"")</f>
        <v/>
      </c>
      <c r="BD152" s="67" t="str">
        <f t="shared" si="1"/>
        <v>Feb-25</v>
      </c>
      <c r="BE152" s="67" t="str">
        <f t="shared" si="2"/>
        <v>Jul-24</v>
      </c>
      <c r="BF152" s="67" t="str">
        <f t="shared" si="3"/>
        <v>Aug-24</v>
      </c>
      <c r="BG152" s="67" t="str">
        <f t="shared" si="4"/>
        <v>Aug-24</v>
      </c>
    </row>
    <row r="153" spans="1:59">
      <c r="A153" s="67">
        <f t="shared" si="14"/>
        <v>152</v>
      </c>
      <c r="B153" s="67"/>
      <c r="C153" s="67" t="s">
        <v>55</v>
      </c>
      <c r="D153" s="67" t="s">
        <v>80</v>
      </c>
      <c r="E153" s="67" t="s">
        <v>683</v>
      </c>
      <c r="F153" s="67" t="s">
        <v>648</v>
      </c>
      <c r="G153" s="67" t="s">
        <v>3</v>
      </c>
      <c r="H153" s="67" t="s">
        <v>111</v>
      </c>
      <c r="I153" s="67" t="s">
        <v>228</v>
      </c>
      <c r="J153" s="67" t="s">
        <v>70</v>
      </c>
      <c r="K153" s="68"/>
      <c r="L153" s="68">
        <v>45439</v>
      </c>
      <c r="M153" s="68">
        <v>45439</v>
      </c>
      <c r="N153" s="67"/>
      <c r="O153" s="68"/>
      <c r="P153" s="68"/>
      <c r="Q153" s="68"/>
      <c r="R153" s="68"/>
      <c r="S153" s="68"/>
      <c r="T153" s="68"/>
      <c r="U153" s="67"/>
      <c r="V153" s="67"/>
      <c r="W153" s="67"/>
      <c r="X153" s="67" t="s">
        <v>72</v>
      </c>
      <c r="Y153" s="67" t="s">
        <v>245</v>
      </c>
      <c r="Z153" s="67" t="s">
        <v>245</v>
      </c>
      <c r="AA153" s="67"/>
      <c r="AB153" s="67"/>
      <c r="AC153" s="67"/>
      <c r="AD153" s="67"/>
      <c r="AE153" s="67" t="s">
        <v>693</v>
      </c>
      <c r="AF153" s="67">
        <v>9049471475</v>
      </c>
      <c r="AG153" s="67"/>
      <c r="AH153" s="68" t="s">
        <v>86</v>
      </c>
      <c r="AI153" s="68">
        <v>45504</v>
      </c>
      <c r="AJ153" s="68">
        <v>45504</v>
      </c>
      <c r="AK153" s="67" t="s">
        <v>72</v>
      </c>
      <c r="AL153" s="67">
        <v>2100000</v>
      </c>
      <c r="AM153" s="68">
        <v>45504</v>
      </c>
      <c r="AN153" s="68">
        <v>45504</v>
      </c>
      <c r="AO153" s="68">
        <v>45527</v>
      </c>
      <c r="AP153" s="68">
        <v>45506</v>
      </c>
      <c r="AQ153" s="68"/>
      <c r="AR153" s="68"/>
      <c r="AS153" s="68">
        <v>45530</v>
      </c>
      <c r="AT153" s="67">
        <f t="shared" ca="1" si="15"/>
        <v>0</v>
      </c>
      <c r="AU153" s="79" t="str">
        <f t="shared" ca="1" si="16"/>
        <v/>
      </c>
      <c r="AV153" s="79" t="str" cm="1">
        <f t="array" aca="1" ref="AV153" ca="1">IFERROR(_xlfn.IFS($AU153="","",$AU153&lt;=15,"0-15",AND($AU153&gt;=16,$AU153&lt;=30),"16-30",AND($AU153&gt;=31,$AU153&lt;=45),"31-45",AND($AU153&gt;=46,$AU153&lt;=60),"46-60",AND($AU153&gt;=61,$AU153&lt;=90),"61-90",AND($AU153&gt;=91),"&gt; 90",AND($AU153&gt;=2000),""),"")</f>
        <v/>
      </c>
      <c r="AW153" s="79" t="str" cm="1">
        <f t="array" aca="1" ref="AW153" ca="1">IFERROR(_xlfn.IFS(OR($M153="",$AM153=""),"",OR($C153="Offered",$C153="Joined"),($AM153-$M153)-$AT153),"")</f>
        <v/>
      </c>
      <c r="AX153" s="79" t="str" cm="1">
        <f t="array" aca="1" ref="AX153" ca="1">IFERROR(_xlfn.IFS(OR($M153="",$AS153=""),"",$C153="Joined",($AS153-$M153)-$AT153),"")</f>
        <v/>
      </c>
      <c r="AY153" s="67" t="str">
        <f>IFERROR(IF(COUNTIFS('Candidate Tracker'!$E:$E,'Positions Tracker'!$B153,'Candidate Tracker'!$C:$C,"Offer Drop")=0,"",COUNTIFS('Candidate Tracker'!$E:$E,'Positions Tracker'!$B153,'Candidate Tracker'!$C:$C,"Offer Drop")),"")</f>
        <v/>
      </c>
      <c r="AZ153" s="80">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0.88111888111888115</v>
      </c>
      <c r="BA153" s="81" t="str">
        <f>IFERROR(IF(COUNTIFS('Candidate Tracker'!$E:$E,'Positions Tracker'!$B153,'Candidate Tracker'!$I:$I,"Female")=0,"",COUNTIFS('Candidate Tracker'!$E:$E,'Positions Tracker'!$B153,'Candidate Tracker'!$I:$I,"Female")),"")</f>
        <v/>
      </c>
      <c r="BB153" s="81" t="str">
        <f>IFERROR(IF(COUNTIFS('Candidate Tracker'!$E:$E,'Positions Tracker'!$B153,'Candidate Tracker'!$I:$I,"male")=0,"",COUNTIFS('Candidate Tracker'!$E:$E,'Positions Tracker'!$B153,'Candidate Tracker'!$I:$I,"male")),"")</f>
        <v/>
      </c>
      <c r="BC153" s="80" t="str">
        <f>IFERROR(IF(COUNTIFS('Candidate Tracker'!$E:$E,'Positions Tracker'!$B153,'Candidate Tracker'!$C:$C,"&lt;&gt;WIP",'Candidate Tracker'!$C:$C,"&lt;&gt;Hold",'Candidate Tracker'!$C:$C,"&lt;&gt;Cancelled",'Candidate Tracker'!$C:$C,"&lt;&gt;Closed")/COUNTIFS('Candidate Tracker'!$E:$E,'Positions Tracker'!$B153)=0,"",COUNTIFS('Candidate Tracker'!$E:$E,'Positions Tracker'!$B153,'Candidate Tracker'!$C:$C,"&lt;&gt;WIP",'Candidate Tracker'!$C:$C,"&lt;&gt;Hold",'Candidate Tracker'!$C:$C,"&lt;&gt;Cancelled",'Candidate Tracker'!$C:$C,"&lt;&gt;Closed")/COUNTIFS('Candidate Tracker'!$E:$E,'Positions Tracker'!$B153)),"")</f>
        <v/>
      </c>
      <c r="BD153" s="67" t="str">
        <f t="shared" si="1"/>
        <v>May-24</v>
      </c>
      <c r="BE153" s="67" t="str">
        <f t="shared" si="2"/>
        <v>Jul-24</v>
      </c>
      <c r="BF153" s="67" t="str">
        <f t="shared" si="3"/>
        <v>Jul-24</v>
      </c>
      <c r="BG153" s="67" t="str">
        <f t="shared" si="4"/>
        <v>Aug-24</v>
      </c>
    </row>
    <row r="154" spans="1:59">
      <c r="A154" s="67">
        <f t="shared" si="14"/>
        <v>153</v>
      </c>
      <c r="B154" s="67"/>
      <c r="C154" s="67" t="s">
        <v>55</v>
      </c>
      <c r="D154" s="67" t="s">
        <v>80</v>
      </c>
      <c r="E154" s="67" t="s">
        <v>694</v>
      </c>
      <c r="F154" s="67" t="s">
        <v>648</v>
      </c>
      <c r="G154" s="67" t="s">
        <v>3</v>
      </c>
      <c r="H154" s="67" t="s">
        <v>111</v>
      </c>
      <c r="I154" s="67" t="s">
        <v>228</v>
      </c>
      <c r="J154" s="67" t="s">
        <v>70</v>
      </c>
      <c r="K154" s="68"/>
      <c r="L154" s="68">
        <v>45524</v>
      </c>
      <c r="M154" s="68">
        <v>45524</v>
      </c>
      <c r="N154" s="67"/>
      <c r="O154" s="68"/>
      <c r="P154" s="68"/>
      <c r="Q154" s="68"/>
      <c r="R154" s="68"/>
      <c r="S154" s="68"/>
      <c r="T154" s="68"/>
      <c r="U154" s="67"/>
      <c r="V154" s="67"/>
      <c r="W154" s="67"/>
      <c r="X154" s="67" t="s">
        <v>72</v>
      </c>
      <c r="Y154" s="67" t="s">
        <v>245</v>
      </c>
      <c r="Z154" s="67" t="s">
        <v>245</v>
      </c>
      <c r="AA154" s="67"/>
      <c r="AB154" s="67"/>
      <c r="AC154" s="67"/>
      <c r="AD154" s="67"/>
      <c r="AE154" s="67" t="s">
        <v>695</v>
      </c>
      <c r="AF154" s="67">
        <v>9860623634</v>
      </c>
      <c r="AG154" s="67"/>
      <c r="AH154" s="68" t="s">
        <v>123</v>
      </c>
      <c r="AI154" s="68">
        <v>45512</v>
      </c>
      <c r="AJ154" s="68">
        <v>45512</v>
      </c>
      <c r="AK154" s="67" t="s">
        <v>72</v>
      </c>
      <c r="AL154" s="67">
        <v>2000000</v>
      </c>
      <c r="AM154" s="68">
        <v>45533</v>
      </c>
      <c r="AN154" s="68">
        <v>45533</v>
      </c>
      <c r="AO154" s="68">
        <v>45611</v>
      </c>
      <c r="AP154" s="68">
        <v>45533</v>
      </c>
      <c r="AQ154" s="68"/>
      <c r="AR154" s="68"/>
      <c r="AS154" s="68">
        <v>45628</v>
      </c>
      <c r="AT154" s="67">
        <f t="shared" ca="1" si="15"/>
        <v>0</v>
      </c>
      <c r="AU154" s="79" t="str">
        <f t="shared" ca="1" si="16"/>
        <v/>
      </c>
      <c r="AV154" s="79" t="str" cm="1">
        <f t="array" aca="1" ref="AV154" ca="1">IFERROR(_xlfn.IFS($AU154="","",$AU154&lt;=15,"0-15",AND($AU154&gt;=16,$AU154&lt;=30),"16-30",AND($AU154&gt;=31,$AU154&lt;=45),"31-45",AND($AU154&gt;=46,$AU154&lt;=60),"46-60",AND($AU154&gt;=61,$AU154&lt;=90),"61-90",AND($AU154&gt;=91),"&gt; 90",AND($AU154&gt;=2000),""),"")</f>
        <v/>
      </c>
      <c r="AW154" s="79" t="str" cm="1">
        <f t="array" aca="1" ref="AW154" ca="1">IFERROR(_xlfn.IFS(OR($M154="",$AM154=""),"",OR($C154="Offered",$C154="Joined"),($AM154-$M154)-$AT154),"")</f>
        <v/>
      </c>
      <c r="AX154" s="79" t="str" cm="1">
        <f t="array" aca="1" ref="AX154" ca="1">IFERROR(_xlfn.IFS(OR($M154="",$AS154=""),"",$C154="Joined",($AS154-$M154)-$AT154),"")</f>
        <v/>
      </c>
      <c r="AY154" s="67" t="str">
        <f>IFERROR(IF(COUNTIFS('Candidate Tracker'!$E:$E,'Positions Tracker'!$B154,'Candidate Tracker'!$C:$C,"Offer Drop")=0,"",COUNTIFS('Candidate Tracker'!$E:$E,'Positions Tracker'!$B154,'Candidate Tracker'!$C:$C,"Offer Drop")),"")</f>
        <v/>
      </c>
      <c r="AZ154" s="80">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0.88111888111888115</v>
      </c>
      <c r="BA154" s="81" t="str">
        <f>IFERROR(IF(COUNTIFS('Candidate Tracker'!$E:$E,'Positions Tracker'!$B154,'Candidate Tracker'!$I:$I,"Female")=0,"",COUNTIFS('Candidate Tracker'!$E:$E,'Positions Tracker'!$B154,'Candidate Tracker'!$I:$I,"Female")),"")</f>
        <v/>
      </c>
      <c r="BB154" s="81" t="str">
        <f>IFERROR(IF(COUNTIFS('Candidate Tracker'!$E:$E,'Positions Tracker'!$B154,'Candidate Tracker'!$I:$I,"male")=0,"",COUNTIFS('Candidate Tracker'!$E:$E,'Positions Tracker'!$B154,'Candidate Tracker'!$I:$I,"male")),"")</f>
        <v/>
      </c>
      <c r="BC154" s="80" t="str">
        <f>IFERROR(IF(COUNTIFS('Candidate Tracker'!$E:$E,'Positions Tracker'!$B154,'Candidate Tracker'!$C:$C,"&lt;&gt;WIP",'Candidate Tracker'!$C:$C,"&lt;&gt;Hold",'Candidate Tracker'!$C:$C,"&lt;&gt;Cancelled",'Candidate Tracker'!$C:$C,"&lt;&gt;Closed")/COUNTIFS('Candidate Tracker'!$E:$E,'Positions Tracker'!$B154)=0,"",COUNTIFS('Candidate Tracker'!$E:$E,'Positions Tracker'!$B154,'Candidate Tracker'!$C:$C,"&lt;&gt;WIP",'Candidate Tracker'!$C:$C,"&lt;&gt;Hold",'Candidate Tracker'!$C:$C,"&lt;&gt;Cancelled",'Candidate Tracker'!$C:$C,"&lt;&gt;Closed")/COUNTIFS('Candidate Tracker'!$E:$E,'Positions Tracker'!$B154)),"")</f>
        <v/>
      </c>
      <c r="BD154" s="67" t="str">
        <f t="shared" si="1"/>
        <v>Aug-24</v>
      </c>
      <c r="BE154" s="67" t="str">
        <f t="shared" si="2"/>
        <v>Aug-24</v>
      </c>
      <c r="BF154" s="67" t="str">
        <f t="shared" si="3"/>
        <v>Aug-24</v>
      </c>
      <c r="BG154" s="67" t="str">
        <f t="shared" si="4"/>
        <v>Dec-24</v>
      </c>
    </row>
    <row r="155" spans="1:59">
      <c r="A155" s="67">
        <f t="shared" si="14"/>
        <v>154</v>
      </c>
      <c r="B155" s="67"/>
      <c r="C155" s="67" t="s">
        <v>55</v>
      </c>
      <c r="D155" s="67" t="s">
        <v>80</v>
      </c>
      <c r="E155" s="67" t="s">
        <v>696</v>
      </c>
      <c r="F155" s="67" t="s">
        <v>668</v>
      </c>
      <c r="G155" s="67"/>
      <c r="H155" s="67"/>
      <c r="I155" s="67" t="s">
        <v>652</v>
      </c>
      <c r="J155" s="67" t="s">
        <v>70</v>
      </c>
      <c r="K155" s="68"/>
      <c r="L155" s="68">
        <v>45301</v>
      </c>
      <c r="M155" s="68">
        <v>45391</v>
      </c>
      <c r="N155" s="67"/>
      <c r="O155" s="68"/>
      <c r="P155" s="68"/>
      <c r="Q155" s="68"/>
      <c r="R155" s="68"/>
      <c r="S155" s="68"/>
      <c r="T155" s="68"/>
      <c r="U155" s="67"/>
      <c r="V155" s="67"/>
      <c r="W155" s="67"/>
      <c r="X155" s="67" t="s">
        <v>72</v>
      </c>
      <c r="Y155" s="67" t="s">
        <v>144</v>
      </c>
      <c r="Z155" s="67" t="s">
        <v>144</v>
      </c>
      <c r="AA155" s="67" t="s">
        <v>697</v>
      </c>
      <c r="AB155" s="67"/>
      <c r="AC155" s="67"/>
      <c r="AD155" s="67"/>
      <c r="AE155" s="67" t="s">
        <v>698</v>
      </c>
      <c r="AF155" s="67">
        <v>9503932201</v>
      </c>
      <c r="AG155" s="67"/>
      <c r="AH155" s="68" t="s">
        <v>86</v>
      </c>
      <c r="AI155" s="68">
        <v>45514</v>
      </c>
      <c r="AJ155" s="68">
        <v>45525</v>
      </c>
      <c r="AK155" s="67" t="s">
        <v>72</v>
      </c>
      <c r="AL155" s="67">
        <v>2450000</v>
      </c>
      <c r="AM155" s="68">
        <v>45518</v>
      </c>
      <c r="AN155" s="68"/>
      <c r="AO155" s="68">
        <v>45537</v>
      </c>
      <c r="AP155" s="68">
        <v>45518</v>
      </c>
      <c r="AQ155" s="68"/>
      <c r="AR155" s="68"/>
      <c r="AS155" s="68">
        <v>45544</v>
      </c>
      <c r="AT155" s="67">
        <f t="shared" ca="1" si="15"/>
        <v>0</v>
      </c>
      <c r="AU155" s="79" t="str">
        <f t="shared" ca="1" si="16"/>
        <v/>
      </c>
      <c r="AV155" s="79" t="str" cm="1">
        <f t="array" aca="1" ref="AV155" ca="1">IFERROR(_xlfn.IFS($AU155="","",$AU155&lt;=15,"0-15",AND($AU155&gt;=16,$AU155&lt;=30),"16-30",AND($AU155&gt;=31,$AU155&lt;=45),"31-45",AND($AU155&gt;=46,$AU155&lt;=60),"46-60",AND($AU155&gt;=61,$AU155&lt;=90),"61-90",AND($AU155&gt;=91),"&gt; 90",AND($AU155&gt;=2000),""),"")</f>
        <v/>
      </c>
      <c r="AW155" s="79" t="str" cm="1">
        <f t="array" aca="1" ref="AW155" ca="1">IFERROR(_xlfn.IFS(OR($M155="",$AM155=""),"",OR($C155="Offered",$C155="Joined"),($AM155-$M155)-$AT155),"")</f>
        <v/>
      </c>
      <c r="AX155" s="79" t="str" cm="1">
        <f t="array" aca="1" ref="AX155" ca="1">IFERROR(_xlfn.IFS(OR($M155="",$AS155=""),"",$C155="Joined",($AS155-$M155)-$AT155),"")</f>
        <v/>
      </c>
      <c r="AY155" s="67" t="str">
        <f>IFERROR(IF(COUNTIFS('Candidate Tracker'!$E:$E,'Positions Tracker'!$B155,'Candidate Tracker'!$C:$C,"Offer Drop")=0,"",COUNTIFS('Candidate Tracker'!$E:$E,'Positions Tracker'!$B155,'Candidate Tracker'!$C:$C,"Offer Drop")),"")</f>
        <v/>
      </c>
      <c r="AZ155" s="80">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0.88111888111888115</v>
      </c>
      <c r="BA155" s="81" t="str">
        <f>IFERROR(IF(COUNTIFS('Candidate Tracker'!$E:$E,'Positions Tracker'!$B155,'Candidate Tracker'!$I:$I,"Female")=0,"",COUNTIFS('Candidate Tracker'!$E:$E,'Positions Tracker'!$B155,'Candidate Tracker'!$I:$I,"Female")),"")</f>
        <v/>
      </c>
      <c r="BB155" s="81" t="str">
        <f>IFERROR(IF(COUNTIFS('Candidate Tracker'!$E:$E,'Positions Tracker'!$B155,'Candidate Tracker'!$I:$I,"male")=0,"",COUNTIFS('Candidate Tracker'!$E:$E,'Positions Tracker'!$B155,'Candidate Tracker'!$I:$I,"male")),"")</f>
        <v/>
      </c>
      <c r="BC155" s="80" t="str">
        <f>IFERROR(IF(COUNTIFS('Candidate Tracker'!$E:$E,'Positions Tracker'!$B155,'Candidate Tracker'!$C:$C,"&lt;&gt;WIP",'Candidate Tracker'!$C:$C,"&lt;&gt;Hold",'Candidate Tracker'!$C:$C,"&lt;&gt;Cancelled",'Candidate Tracker'!$C:$C,"&lt;&gt;Closed")/COUNTIFS('Candidate Tracker'!$E:$E,'Positions Tracker'!$B155)=0,"",COUNTIFS('Candidate Tracker'!$E:$E,'Positions Tracker'!$B155,'Candidate Tracker'!$C:$C,"&lt;&gt;WIP",'Candidate Tracker'!$C:$C,"&lt;&gt;Hold",'Candidate Tracker'!$C:$C,"&lt;&gt;Cancelled",'Candidate Tracker'!$C:$C,"&lt;&gt;Closed")/COUNTIFS('Candidate Tracker'!$E:$E,'Positions Tracker'!$B155)),"")</f>
        <v/>
      </c>
      <c r="BD155" s="67" t="str">
        <f t="shared" si="1"/>
        <v>Apr-24</v>
      </c>
      <c r="BE155" s="67" t="str">
        <f t="shared" si="2"/>
        <v>Aug-24</v>
      </c>
      <c r="BF155" s="67" t="str">
        <f t="shared" si="3"/>
        <v>Aug-24</v>
      </c>
      <c r="BG155" s="67" t="str">
        <f t="shared" si="4"/>
        <v>Sep-24</v>
      </c>
    </row>
    <row r="156" spans="1:59">
      <c r="A156" s="67">
        <f t="shared" si="14"/>
        <v>155</v>
      </c>
      <c r="B156" s="67"/>
      <c r="C156" s="67" t="s">
        <v>55</v>
      </c>
      <c r="D156" s="67" t="s">
        <v>80</v>
      </c>
      <c r="E156" s="67" t="s">
        <v>699</v>
      </c>
      <c r="F156" s="67" t="s">
        <v>158</v>
      </c>
      <c r="G156" s="67" t="s">
        <v>3</v>
      </c>
      <c r="H156" s="67" t="s">
        <v>345</v>
      </c>
      <c r="I156" s="67" t="s">
        <v>159</v>
      </c>
      <c r="J156" s="67" t="s">
        <v>70</v>
      </c>
      <c r="K156" s="68"/>
      <c r="L156" s="68">
        <v>45391</v>
      </c>
      <c r="M156" s="68">
        <v>45391</v>
      </c>
      <c r="N156" s="67"/>
      <c r="O156" s="68"/>
      <c r="P156" s="68"/>
      <c r="Q156" s="68"/>
      <c r="R156" s="68"/>
      <c r="S156" s="68"/>
      <c r="T156" s="68"/>
      <c r="U156" s="67"/>
      <c r="V156" s="67"/>
      <c r="W156" s="67"/>
      <c r="X156" s="67" t="s">
        <v>72</v>
      </c>
      <c r="Y156" s="67" t="s">
        <v>245</v>
      </c>
      <c r="Z156" s="67" t="s">
        <v>245</v>
      </c>
      <c r="AA156" s="67"/>
      <c r="AB156" s="67"/>
      <c r="AC156" s="67"/>
      <c r="AD156" s="67"/>
      <c r="AE156" s="67" t="s">
        <v>700</v>
      </c>
      <c r="AF156" s="67">
        <v>8983738157</v>
      </c>
      <c r="AG156" s="67"/>
      <c r="AH156" s="68" t="s">
        <v>123</v>
      </c>
      <c r="AI156" s="68">
        <v>45525</v>
      </c>
      <c r="AJ156" s="68">
        <v>45525</v>
      </c>
      <c r="AK156" s="67" t="s">
        <v>72</v>
      </c>
      <c r="AL156" s="67">
        <v>1300000</v>
      </c>
      <c r="AM156" s="68">
        <v>45540</v>
      </c>
      <c r="AN156" s="68">
        <v>45540</v>
      </c>
      <c r="AO156" s="68">
        <v>45606</v>
      </c>
      <c r="AP156" s="68">
        <v>45540</v>
      </c>
      <c r="AQ156" s="68"/>
      <c r="AR156" s="68"/>
      <c r="AS156" s="68">
        <v>45586</v>
      </c>
      <c r="AT156" s="67">
        <f t="shared" ca="1" si="15"/>
        <v>0</v>
      </c>
      <c r="AU156" s="79" t="str">
        <f t="shared" ca="1" si="16"/>
        <v/>
      </c>
      <c r="AV156" s="79" t="str" cm="1">
        <f t="array" aca="1" ref="AV156" ca="1">IFERROR(_xlfn.IFS($AU156="","",$AU156&lt;=15,"0-15",AND($AU156&gt;=16,$AU156&lt;=30),"16-30",AND($AU156&gt;=31,$AU156&lt;=45),"31-45",AND($AU156&gt;=46,$AU156&lt;=60),"46-60",AND($AU156&gt;=61,$AU156&lt;=90),"61-90",AND($AU156&gt;=91),"&gt; 90",AND($AU156&gt;=2000),""),"")</f>
        <v/>
      </c>
      <c r="AW156" s="79" t="str" cm="1">
        <f t="array" aca="1" ref="AW156" ca="1">IFERROR(_xlfn.IFS(OR($M156="",$AM156=""),"",OR($C156="Offered",$C156="Joined"),($AM156-$M156)-$AT156),"")</f>
        <v/>
      </c>
      <c r="AX156" s="79" t="str" cm="1">
        <f t="array" aca="1" ref="AX156" ca="1">IFERROR(_xlfn.IFS(OR($M156="",$AS156=""),"",$C156="Joined",($AS156-$M156)-$AT156),"")</f>
        <v/>
      </c>
      <c r="AY156" s="67" t="str">
        <f>IFERROR(IF(COUNTIFS('Candidate Tracker'!$E:$E,'Positions Tracker'!$B156,'Candidate Tracker'!$C:$C,"Offer Drop")=0,"",COUNTIFS('Candidate Tracker'!$E:$E,'Positions Tracker'!$B156,'Candidate Tracker'!$C:$C,"Offer Drop")),"")</f>
        <v/>
      </c>
      <c r="AZ156" s="80">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0.88111888111888115</v>
      </c>
      <c r="BA156" s="81" t="str">
        <f>IFERROR(IF(COUNTIFS('Candidate Tracker'!$E:$E,'Positions Tracker'!$B156,'Candidate Tracker'!$I:$I,"Female")=0,"",COUNTIFS('Candidate Tracker'!$E:$E,'Positions Tracker'!$B156,'Candidate Tracker'!$I:$I,"Female")),"")</f>
        <v/>
      </c>
      <c r="BB156" s="81" t="str">
        <f>IFERROR(IF(COUNTIFS('Candidate Tracker'!$E:$E,'Positions Tracker'!$B156,'Candidate Tracker'!$I:$I,"male")=0,"",COUNTIFS('Candidate Tracker'!$E:$E,'Positions Tracker'!$B156,'Candidate Tracker'!$I:$I,"male")),"")</f>
        <v/>
      </c>
      <c r="BC156" s="80" t="str">
        <f>IFERROR(IF(COUNTIFS('Candidate Tracker'!$E:$E,'Positions Tracker'!$B156,'Candidate Tracker'!$C:$C,"&lt;&gt;WIP",'Candidate Tracker'!$C:$C,"&lt;&gt;Hold",'Candidate Tracker'!$C:$C,"&lt;&gt;Cancelled",'Candidate Tracker'!$C:$C,"&lt;&gt;Closed")/COUNTIFS('Candidate Tracker'!$E:$E,'Positions Tracker'!$B156)=0,"",COUNTIFS('Candidate Tracker'!$E:$E,'Positions Tracker'!$B156,'Candidate Tracker'!$C:$C,"&lt;&gt;WIP",'Candidate Tracker'!$C:$C,"&lt;&gt;Hold",'Candidate Tracker'!$C:$C,"&lt;&gt;Cancelled",'Candidate Tracker'!$C:$C,"&lt;&gt;Closed")/COUNTIFS('Candidate Tracker'!$E:$E,'Positions Tracker'!$B156)),"")</f>
        <v/>
      </c>
      <c r="BD156" s="67" t="str">
        <f t="shared" si="1"/>
        <v>Apr-24</v>
      </c>
      <c r="BE156" s="67" t="str">
        <f t="shared" si="2"/>
        <v>Aug-24</v>
      </c>
      <c r="BF156" s="67" t="str">
        <f t="shared" si="3"/>
        <v>Sep-24</v>
      </c>
      <c r="BG156" s="67" t="str">
        <f t="shared" si="4"/>
        <v>Oct-24</v>
      </c>
    </row>
    <row r="157" spans="1:59">
      <c r="A157" s="67">
        <f t="shared" si="14"/>
        <v>156</v>
      </c>
      <c r="B157" s="67"/>
      <c r="C157" s="67" t="s">
        <v>55</v>
      </c>
      <c r="D157" s="67" t="s">
        <v>80</v>
      </c>
      <c r="E157" s="67" t="s">
        <v>472</v>
      </c>
      <c r="F157" s="67" t="s">
        <v>468</v>
      </c>
      <c r="G157" s="67" t="s">
        <v>3</v>
      </c>
      <c r="H157" s="67" t="s">
        <v>68</v>
      </c>
      <c r="I157" s="67" t="s">
        <v>576</v>
      </c>
      <c r="J157" s="67" t="s">
        <v>70</v>
      </c>
      <c r="K157" s="68"/>
      <c r="L157" s="68">
        <v>45534</v>
      </c>
      <c r="M157" s="68">
        <v>45460</v>
      </c>
      <c r="N157" s="67"/>
      <c r="O157" s="68"/>
      <c r="P157" s="68"/>
      <c r="Q157" s="68"/>
      <c r="R157" s="68"/>
      <c r="S157" s="68"/>
      <c r="T157" s="68"/>
      <c r="U157" s="67"/>
      <c r="V157" s="67"/>
      <c r="W157" s="67"/>
      <c r="X157" s="67" t="s">
        <v>72</v>
      </c>
      <c r="Y157" s="67" t="s">
        <v>144</v>
      </c>
      <c r="Z157" s="67" t="s">
        <v>144</v>
      </c>
      <c r="AA157" s="67" t="s">
        <v>645</v>
      </c>
      <c r="AB157" s="67"/>
      <c r="AC157" s="67"/>
      <c r="AD157" s="67"/>
      <c r="AE157" s="67" t="s">
        <v>701</v>
      </c>
      <c r="AF157" s="67">
        <v>7219565365</v>
      </c>
      <c r="AG157" s="67"/>
      <c r="AH157" s="68" t="s">
        <v>123</v>
      </c>
      <c r="AI157" s="68">
        <v>45546</v>
      </c>
      <c r="AJ157" s="68"/>
      <c r="AK157" s="67" t="s">
        <v>72</v>
      </c>
      <c r="AL157" s="67">
        <v>800000</v>
      </c>
      <c r="AM157" s="68">
        <v>45551</v>
      </c>
      <c r="AN157" s="68"/>
      <c r="AO157" s="68">
        <v>45649</v>
      </c>
      <c r="AP157" s="68">
        <v>45551</v>
      </c>
      <c r="AQ157" s="68"/>
      <c r="AR157" s="68"/>
      <c r="AS157" s="68">
        <v>45649</v>
      </c>
      <c r="AT157" s="67">
        <f t="shared" ca="1" si="15"/>
        <v>0</v>
      </c>
      <c r="AU157" s="79" t="str">
        <f t="shared" ca="1" si="16"/>
        <v/>
      </c>
      <c r="AV157" s="79" t="str" cm="1">
        <f t="array" aca="1" ref="AV157" ca="1">IFERROR(_xlfn.IFS($AU157="","",$AU157&lt;=15,"0-15",AND($AU157&gt;=16,$AU157&lt;=30),"16-30",AND($AU157&gt;=31,$AU157&lt;=45),"31-45",AND($AU157&gt;=46,$AU157&lt;=60),"46-60",AND($AU157&gt;=61,$AU157&lt;=90),"61-90",AND($AU157&gt;=91),"&gt; 90",AND($AU157&gt;=2000),""),"")</f>
        <v/>
      </c>
      <c r="AW157" s="79" t="str" cm="1">
        <f t="array" aca="1" ref="AW157" ca="1">IFERROR(_xlfn.IFS(OR($M157="",$AM157=""),"",OR($C157="Offered",$C157="Joined"),($AM157-$M157)-$AT157),"")</f>
        <v/>
      </c>
      <c r="AX157" s="79" t="str" cm="1">
        <f t="array" aca="1" ref="AX157" ca="1">IFERROR(_xlfn.IFS(OR($M157="",$AS157=""),"",$C157="Joined",($AS157-$M157)-$AT157),"")</f>
        <v/>
      </c>
      <c r="AY157" s="67" t="str">
        <f>IFERROR(IF(COUNTIFS('Candidate Tracker'!$E:$E,'Positions Tracker'!$B157,'Candidate Tracker'!$C:$C,"Offer Drop")=0,"",COUNTIFS('Candidate Tracker'!$E:$E,'Positions Tracker'!$B157,'Candidate Tracker'!$C:$C,"Offer Drop")),"")</f>
        <v/>
      </c>
      <c r="AZ157" s="80">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0.88111888111888115</v>
      </c>
      <c r="BA157" s="81" t="str">
        <f>IFERROR(IF(COUNTIFS('Candidate Tracker'!$E:$E,'Positions Tracker'!$B157,'Candidate Tracker'!$I:$I,"Female")=0,"",COUNTIFS('Candidate Tracker'!$E:$E,'Positions Tracker'!$B157,'Candidate Tracker'!$I:$I,"Female")),"")</f>
        <v/>
      </c>
      <c r="BB157" s="81" t="str">
        <f>IFERROR(IF(COUNTIFS('Candidate Tracker'!$E:$E,'Positions Tracker'!$B157,'Candidate Tracker'!$I:$I,"male")=0,"",COUNTIFS('Candidate Tracker'!$E:$E,'Positions Tracker'!$B157,'Candidate Tracker'!$I:$I,"male")),"")</f>
        <v/>
      </c>
      <c r="BC157" s="80" t="str">
        <f>IFERROR(IF(COUNTIFS('Candidate Tracker'!$E:$E,'Positions Tracker'!$B157,'Candidate Tracker'!$C:$C,"&lt;&gt;WIP",'Candidate Tracker'!$C:$C,"&lt;&gt;Hold",'Candidate Tracker'!$C:$C,"&lt;&gt;Cancelled",'Candidate Tracker'!$C:$C,"&lt;&gt;Closed")/COUNTIFS('Candidate Tracker'!$E:$E,'Positions Tracker'!$B157)=0,"",COUNTIFS('Candidate Tracker'!$E:$E,'Positions Tracker'!$B157,'Candidate Tracker'!$C:$C,"&lt;&gt;WIP",'Candidate Tracker'!$C:$C,"&lt;&gt;Hold",'Candidate Tracker'!$C:$C,"&lt;&gt;Cancelled",'Candidate Tracker'!$C:$C,"&lt;&gt;Closed")/COUNTIFS('Candidate Tracker'!$E:$E,'Positions Tracker'!$B157)),"")</f>
        <v/>
      </c>
      <c r="BD157" s="67" t="str">
        <f t="shared" si="1"/>
        <v>Jun-24</v>
      </c>
      <c r="BE157" s="67" t="str">
        <f t="shared" si="2"/>
        <v>Sep-24</v>
      </c>
      <c r="BF157" s="67" t="str">
        <f t="shared" si="3"/>
        <v>Sep-24</v>
      </c>
      <c r="BG157" s="67" t="str">
        <f t="shared" si="4"/>
        <v>Dec-24</v>
      </c>
    </row>
    <row r="158" spans="1:59">
      <c r="A158" s="67">
        <f t="shared" si="14"/>
        <v>157</v>
      </c>
      <c r="B158" s="67">
        <v>20240980</v>
      </c>
      <c r="C158" s="67" t="s">
        <v>55</v>
      </c>
      <c r="D158" s="67" t="s">
        <v>80</v>
      </c>
      <c r="E158" s="67" t="s">
        <v>353</v>
      </c>
      <c r="F158" s="67" t="s">
        <v>702</v>
      </c>
      <c r="G158" s="67" t="s">
        <v>3</v>
      </c>
      <c r="H158" s="67" t="s">
        <v>68</v>
      </c>
      <c r="I158" s="67" t="s">
        <v>703</v>
      </c>
      <c r="J158" s="67" t="s">
        <v>70</v>
      </c>
      <c r="K158" s="68">
        <v>45615</v>
      </c>
      <c r="L158" s="68">
        <v>45615</v>
      </c>
      <c r="M158" s="68">
        <v>45615</v>
      </c>
      <c r="N158" s="67"/>
      <c r="O158" s="68"/>
      <c r="P158" s="68"/>
      <c r="Q158" s="68"/>
      <c r="R158" s="68"/>
      <c r="S158" s="68"/>
      <c r="T158" s="68"/>
      <c r="U158" s="67"/>
      <c r="V158" s="67"/>
      <c r="W158" s="67"/>
      <c r="X158" s="67" t="s">
        <v>72</v>
      </c>
      <c r="Y158" s="67" t="s">
        <v>74</v>
      </c>
      <c r="Z158" s="67" t="s">
        <v>74</v>
      </c>
      <c r="AA158" s="67" t="s">
        <v>658</v>
      </c>
      <c r="AB158" s="67"/>
      <c r="AC158" s="67"/>
      <c r="AD158" s="67"/>
      <c r="AE158" s="67" t="s">
        <v>704</v>
      </c>
      <c r="AF158" s="67">
        <v>9075234382</v>
      </c>
      <c r="AG158" s="89" t="s">
        <v>705</v>
      </c>
      <c r="AH158" s="68" t="s">
        <v>86</v>
      </c>
      <c r="AI158" s="68">
        <v>45593</v>
      </c>
      <c r="AJ158" s="68">
        <v>45593</v>
      </c>
      <c r="AK158" s="67" t="s">
        <v>72</v>
      </c>
      <c r="AL158" s="67">
        <v>800000</v>
      </c>
      <c r="AM158" s="68">
        <v>45603</v>
      </c>
      <c r="AN158" s="68">
        <v>45603</v>
      </c>
      <c r="AO158" s="68">
        <v>45611</v>
      </c>
      <c r="AP158" s="68">
        <v>45603</v>
      </c>
      <c r="AQ158" s="68">
        <v>45603</v>
      </c>
      <c r="AR158" s="68">
        <v>45590</v>
      </c>
      <c r="AS158" s="68">
        <v>45593</v>
      </c>
      <c r="AT158" s="67">
        <f t="shared" ca="1" si="15"/>
        <v>0</v>
      </c>
      <c r="AU158" s="79" t="str">
        <f t="shared" ca="1" si="16"/>
        <v/>
      </c>
      <c r="AV158" s="79" t="str" cm="1">
        <f t="array" aca="1" ref="AV158" ca="1">IFERROR(_xlfn.IFS($AU158="","",$AU158&lt;=15,"0-15",AND($AU158&gt;=16,$AU158&lt;=30),"16-30",AND($AU158&gt;=31,$AU158&lt;=45),"31-45",AND($AU158&gt;=46,$AU158&lt;=60),"46-60",AND($AU158&gt;=61,$AU158&lt;=90),"61-90",AND($AU158&gt;=91),"&gt; 90",AND($AU158&gt;=2000),""),"")</f>
        <v/>
      </c>
      <c r="AW158" s="79" t="str" cm="1">
        <f t="array" aca="1" ref="AW158" ca="1">IFERROR(_xlfn.IFS(OR($M158="",$AM158=""),"",OR($C158="Offered",$C158="Joined"),($AM158-$M158)-$AT158),"")</f>
        <v/>
      </c>
      <c r="AX158" s="79" t="str" cm="1">
        <f t="array" aca="1" ref="AX158" ca="1">IFERROR(_xlfn.IFS(OR($M158="",$AS158=""),"",$C158="Joined",($AS158-$M158)-$AT158),"")</f>
        <v/>
      </c>
      <c r="AY158" s="67" t="str">
        <f>IFERROR(IF(COUNTIFS('Candidate Tracker'!$E:$E,'Positions Tracker'!$B158,'Candidate Tracker'!$C:$C,"Offer Drop")=0,"",COUNTIFS('Candidate Tracker'!$E:$E,'Positions Tracker'!$B158,'Candidate Tracker'!$C:$C,"Offer Drop")),"")</f>
        <v/>
      </c>
      <c r="AZ158" s="80">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0.88111888111888115</v>
      </c>
      <c r="BA158" s="81" t="str">
        <f>IFERROR(IF(COUNTIFS('Candidate Tracker'!$E:$E,'Positions Tracker'!$B158,'Candidate Tracker'!$I:$I,"Female")=0,"",COUNTIFS('Candidate Tracker'!$E:$E,'Positions Tracker'!$B158,'Candidate Tracker'!$I:$I,"Female")),"")</f>
        <v/>
      </c>
      <c r="BB158" s="81" t="str">
        <f>IFERROR(IF(COUNTIFS('Candidate Tracker'!$E:$E,'Positions Tracker'!$B158,'Candidate Tracker'!$I:$I,"male")=0,"",COUNTIFS('Candidate Tracker'!$E:$E,'Positions Tracker'!$B158,'Candidate Tracker'!$I:$I,"male")),"")</f>
        <v/>
      </c>
      <c r="BC158" s="80" t="str">
        <f>IFERROR(IF(COUNTIFS('Candidate Tracker'!$E:$E,'Positions Tracker'!$B158,'Candidate Tracker'!$C:$C,"&lt;&gt;WIP",'Candidate Tracker'!$C:$C,"&lt;&gt;Hold",'Candidate Tracker'!$C:$C,"&lt;&gt;Cancelled",'Candidate Tracker'!$C:$C,"&lt;&gt;Closed")/COUNTIFS('Candidate Tracker'!$E:$E,'Positions Tracker'!$B158)=0,"",COUNTIFS('Candidate Tracker'!$E:$E,'Positions Tracker'!$B158,'Candidate Tracker'!$C:$C,"&lt;&gt;WIP",'Candidate Tracker'!$C:$C,"&lt;&gt;Hold",'Candidate Tracker'!$C:$C,"&lt;&gt;Cancelled",'Candidate Tracker'!$C:$C,"&lt;&gt;Closed")/COUNTIFS('Candidate Tracker'!$E:$E,'Positions Tracker'!$B158)),"")</f>
        <v/>
      </c>
      <c r="BD158" s="67" t="str">
        <f t="shared" si="1"/>
        <v>Nov-24</v>
      </c>
      <c r="BE158" s="67" t="str">
        <f t="shared" si="2"/>
        <v>Oct-24</v>
      </c>
      <c r="BF158" s="67" t="str">
        <f t="shared" si="3"/>
        <v>Nov-24</v>
      </c>
      <c r="BG158" s="67" t="str">
        <f t="shared" si="4"/>
        <v>Oct-24</v>
      </c>
    </row>
    <row r="159" spans="1:59">
      <c r="A159" s="67">
        <f t="shared" si="14"/>
        <v>158</v>
      </c>
      <c r="B159" s="67" t="s">
        <v>706</v>
      </c>
      <c r="C159" s="67" t="s">
        <v>55</v>
      </c>
      <c r="D159" s="67" t="s">
        <v>80</v>
      </c>
      <c r="E159" s="67" t="s">
        <v>707</v>
      </c>
      <c r="F159" s="67" t="s">
        <v>437</v>
      </c>
      <c r="G159" s="67" t="s">
        <v>3</v>
      </c>
      <c r="H159" s="67" t="s">
        <v>68</v>
      </c>
      <c r="I159" s="67" t="s">
        <v>438</v>
      </c>
      <c r="J159" s="67" t="s">
        <v>94</v>
      </c>
      <c r="K159" s="68">
        <v>45607</v>
      </c>
      <c r="L159" s="68">
        <v>45499</v>
      </c>
      <c r="M159" s="68">
        <v>45499</v>
      </c>
      <c r="N159" s="67"/>
      <c r="O159" s="68"/>
      <c r="P159" s="68"/>
      <c r="Q159" s="68"/>
      <c r="R159" s="68"/>
      <c r="S159" s="68"/>
      <c r="T159" s="68"/>
      <c r="U159" s="67"/>
      <c r="V159" s="67"/>
      <c r="W159" s="67"/>
      <c r="X159" s="67" t="s">
        <v>708</v>
      </c>
      <c r="Y159" s="67" t="s">
        <v>245</v>
      </c>
      <c r="Z159" s="67" t="s">
        <v>245</v>
      </c>
      <c r="AA159" s="67"/>
      <c r="AB159" s="67"/>
      <c r="AC159" s="67"/>
      <c r="AD159" s="67"/>
      <c r="AE159" s="67" t="s">
        <v>709</v>
      </c>
      <c r="AF159" s="67">
        <v>8679145436</v>
      </c>
      <c r="AG159" s="67"/>
      <c r="AH159" s="68" t="s">
        <v>123</v>
      </c>
      <c r="AI159" s="68">
        <v>45558</v>
      </c>
      <c r="AJ159" s="68"/>
      <c r="AK159" s="67" t="s">
        <v>72</v>
      </c>
      <c r="AL159" s="67">
        <v>1150000</v>
      </c>
      <c r="AM159" s="68">
        <v>45573</v>
      </c>
      <c r="AN159" s="68"/>
      <c r="AO159" s="68"/>
      <c r="AP159" s="68">
        <v>45573</v>
      </c>
      <c r="AQ159" s="68"/>
      <c r="AR159" s="68"/>
      <c r="AS159" s="68">
        <v>45677</v>
      </c>
      <c r="AT159" s="67">
        <f t="shared" ca="1" si="15"/>
        <v>0</v>
      </c>
      <c r="AU159" s="79" t="str">
        <f t="shared" ca="1" si="16"/>
        <v/>
      </c>
      <c r="AV159" s="79" t="str" cm="1">
        <f t="array" aca="1" ref="AV159" ca="1">IFERROR(_xlfn.IFS($AU159="","",$AU159&lt;=15,"0-15",AND($AU159&gt;=16,$AU159&lt;=30),"16-30",AND($AU159&gt;=31,$AU159&lt;=45),"31-45",AND($AU159&gt;=46,$AU159&lt;=60),"46-60",AND($AU159&gt;=61,$AU159&lt;=90),"61-90",AND($AU159&gt;=91),"&gt; 90",AND($AU159&gt;=2000),""),"")</f>
        <v/>
      </c>
      <c r="AW159" s="79" t="str" cm="1">
        <f t="array" aca="1" ref="AW159" ca="1">IFERROR(_xlfn.IFS(OR($M159="",$AM159=""),"",OR($C159="Offered",$C159="Joined"),($AM159-$M159)-$AT159),"")</f>
        <v/>
      </c>
      <c r="AX159" s="79" t="str" cm="1">
        <f t="array" aca="1" ref="AX159" ca="1">IFERROR(_xlfn.IFS(OR($M159="",$AS159=""),"",$C159="Joined",($AS159-$M159)-$AT159),"")</f>
        <v/>
      </c>
      <c r="AY159" s="67" t="str">
        <f>IFERROR(IF(COUNTIFS('Candidate Tracker'!$E:$E,'Positions Tracker'!$B159,'Candidate Tracker'!$C:$C,"Offer Drop")=0,"",COUNTIFS('Candidate Tracker'!$E:$E,'Positions Tracker'!$B159,'Candidate Tracker'!$C:$C,"Offer Drop")),"")</f>
        <v/>
      </c>
      <c r="AZ159" s="80">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0.88111888111888115</v>
      </c>
      <c r="BA159" s="81" t="str">
        <f>IFERROR(IF(COUNTIFS('Candidate Tracker'!$E:$E,'Positions Tracker'!$B159,'Candidate Tracker'!$I:$I,"Female")=0,"",COUNTIFS('Candidate Tracker'!$E:$E,'Positions Tracker'!$B159,'Candidate Tracker'!$I:$I,"Female")),"")</f>
        <v/>
      </c>
      <c r="BB159" s="81" t="str">
        <f>IFERROR(IF(COUNTIFS('Candidate Tracker'!$E:$E,'Positions Tracker'!$B159,'Candidate Tracker'!$I:$I,"male")=0,"",COUNTIFS('Candidate Tracker'!$E:$E,'Positions Tracker'!$B159,'Candidate Tracker'!$I:$I,"male")),"")</f>
        <v/>
      </c>
      <c r="BC159" s="80" t="str">
        <f>IFERROR(IF(COUNTIFS('Candidate Tracker'!$E:$E,'Positions Tracker'!$B159,'Candidate Tracker'!$C:$C,"&lt;&gt;WIP",'Candidate Tracker'!$C:$C,"&lt;&gt;Hold",'Candidate Tracker'!$C:$C,"&lt;&gt;Cancelled",'Candidate Tracker'!$C:$C,"&lt;&gt;Closed")/COUNTIFS('Candidate Tracker'!$E:$E,'Positions Tracker'!$B159)=0,"",COUNTIFS('Candidate Tracker'!$E:$E,'Positions Tracker'!$B159,'Candidate Tracker'!$C:$C,"&lt;&gt;WIP",'Candidate Tracker'!$C:$C,"&lt;&gt;Hold",'Candidate Tracker'!$C:$C,"&lt;&gt;Cancelled",'Candidate Tracker'!$C:$C,"&lt;&gt;Closed")/COUNTIFS('Candidate Tracker'!$E:$E,'Positions Tracker'!$B159)),"")</f>
        <v/>
      </c>
      <c r="BD159" s="67" t="str">
        <f t="shared" si="1"/>
        <v>Jul-24</v>
      </c>
      <c r="BE159" s="67" t="str">
        <f t="shared" si="2"/>
        <v>Sep-24</v>
      </c>
      <c r="BF159" s="67" t="str">
        <f t="shared" si="3"/>
        <v>Oct-24</v>
      </c>
      <c r="BG159" s="67" t="str">
        <f t="shared" si="4"/>
        <v>Jan-25</v>
      </c>
    </row>
    <row r="160" spans="1:59">
      <c r="A160" s="67">
        <f t="shared" si="14"/>
        <v>159</v>
      </c>
      <c r="B160" s="67"/>
      <c r="C160" s="67" t="s">
        <v>55</v>
      </c>
      <c r="D160" s="67" t="s">
        <v>80</v>
      </c>
      <c r="E160" s="67" t="s">
        <v>710</v>
      </c>
      <c r="F160" s="67" t="s">
        <v>226</v>
      </c>
      <c r="G160" s="67" t="s">
        <v>3</v>
      </c>
      <c r="H160" s="67" t="s">
        <v>111</v>
      </c>
      <c r="I160" s="67" t="s">
        <v>228</v>
      </c>
      <c r="J160" s="67" t="s">
        <v>70</v>
      </c>
      <c r="K160" s="68"/>
      <c r="L160" s="68">
        <v>45460</v>
      </c>
      <c r="M160" s="68">
        <v>45460</v>
      </c>
      <c r="N160" s="67"/>
      <c r="O160" s="68"/>
      <c r="P160" s="68"/>
      <c r="Q160" s="68"/>
      <c r="R160" s="68"/>
      <c r="S160" s="68"/>
      <c r="T160" s="68"/>
      <c r="U160" s="67"/>
      <c r="V160" s="67"/>
      <c r="W160" s="67"/>
      <c r="X160" s="67" t="s">
        <v>72</v>
      </c>
      <c r="Y160" s="67" t="s">
        <v>245</v>
      </c>
      <c r="Z160" s="67" t="s">
        <v>245</v>
      </c>
      <c r="AA160" s="67"/>
      <c r="AB160" s="67"/>
      <c r="AC160" s="67"/>
      <c r="AD160" s="67"/>
      <c r="AE160" s="67" t="s">
        <v>711</v>
      </c>
      <c r="AF160" s="67">
        <v>7057507933</v>
      </c>
      <c r="AG160" s="67"/>
      <c r="AH160" s="68" t="s">
        <v>123</v>
      </c>
      <c r="AI160" s="68">
        <v>45566</v>
      </c>
      <c r="AJ160" s="68">
        <v>45566</v>
      </c>
      <c r="AK160" s="67" t="s">
        <v>72</v>
      </c>
      <c r="AL160" s="67">
        <v>2100000</v>
      </c>
      <c r="AM160" s="68">
        <v>45586</v>
      </c>
      <c r="AN160" s="68">
        <v>45586</v>
      </c>
      <c r="AO160" s="68">
        <v>45594</v>
      </c>
      <c r="AP160" s="68">
        <v>45586</v>
      </c>
      <c r="AQ160" s="68"/>
      <c r="AR160" s="68"/>
      <c r="AS160" s="68">
        <v>45607</v>
      </c>
      <c r="AT160" s="67">
        <f t="shared" ca="1" si="15"/>
        <v>0</v>
      </c>
      <c r="AU160" s="79" t="str">
        <f t="shared" ca="1" si="16"/>
        <v/>
      </c>
      <c r="AV160" s="79" t="str" cm="1">
        <f t="array" aca="1" ref="AV160" ca="1">IFERROR(_xlfn.IFS($AU160="","",$AU160&lt;=15,"0-15",AND($AU160&gt;=16,$AU160&lt;=30),"16-30",AND($AU160&gt;=31,$AU160&lt;=45),"31-45",AND($AU160&gt;=46,$AU160&lt;=60),"46-60",AND($AU160&gt;=61,$AU160&lt;=90),"61-90",AND($AU160&gt;=91),"&gt; 90",AND($AU160&gt;=2000),""),"")</f>
        <v/>
      </c>
      <c r="AW160" s="79" t="str" cm="1">
        <f t="array" aca="1" ref="AW160" ca="1">IFERROR(_xlfn.IFS(OR($M160="",$AM160=""),"",OR($C160="Offered",$C160="Joined"),($AM160-$M160)-$AT160),"")</f>
        <v/>
      </c>
      <c r="AX160" s="79" t="str" cm="1">
        <f t="array" aca="1" ref="AX160" ca="1">IFERROR(_xlfn.IFS(OR($M160="",$AS160=""),"",$C160="Joined",($AS160-$M160)-$AT160),"")</f>
        <v/>
      </c>
      <c r="AY160" s="67" t="str">
        <f>IFERROR(IF(COUNTIFS('Candidate Tracker'!$E:$E,'Positions Tracker'!$B160,'Candidate Tracker'!$C:$C,"Offer Drop")=0,"",COUNTIFS('Candidate Tracker'!$E:$E,'Positions Tracker'!$B160,'Candidate Tracker'!$C:$C,"Offer Drop")),"")</f>
        <v/>
      </c>
      <c r="AZ160" s="80">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0.88111888111888115</v>
      </c>
      <c r="BA160" s="81" t="str">
        <f>IFERROR(IF(COUNTIFS('Candidate Tracker'!$E:$E,'Positions Tracker'!$B160,'Candidate Tracker'!$I:$I,"Female")=0,"",COUNTIFS('Candidate Tracker'!$E:$E,'Positions Tracker'!$B160,'Candidate Tracker'!$I:$I,"Female")),"")</f>
        <v/>
      </c>
      <c r="BB160" s="81" t="str">
        <f>IFERROR(IF(COUNTIFS('Candidate Tracker'!$E:$E,'Positions Tracker'!$B160,'Candidate Tracker'!$I:$I,"male")=0,"",COUNTIFS('Candidate Tracker'!$E:$E,'Positions Tracker'!$B160,'Candidate Tracker'!$I:$I,"male")),"")</f>
        <v/>
      </c>
      <c r="BC160" s="80" t="str">
        <f>IFERROR(IF(COUNTIFS('Candidate Tracker'!$E:$E,'Positions Tracker'!$B160,'Candidate Tracker'!$C:$C,"&lt;&gt;WIP",'Candidate Tracker'!$C:$C,"&lt;&gt;Hold",'Candidate Tracker'!$C:$C,"&lt;&gt;Cancelled",'Candidate Tracker'!$C:$C,"&lt;&gt;Closed")/COUNTIFS('Candidate Tracker'!$E:$E,'Positions Tracker'!$B160)=0,"",COUNTIFS('Candidate Tracker'!$E:$E,'Positions Tracker'!$B160,'Candidate Tracker'!$C:$C,"&lt;&gt;WIP",'Candidate Tracker'!$C:$C,"&lt;&gt;Hold",'Candidate Tracker'!$C:$C,"&lt;&gt;Cancelled",'Candidate Tracker'!$C:$C,"&lt;&gt;Closed")/COUNTIFS('Candidate Tracker'!$E:$E,'Positions Tracker'!$B160)),"")</f>
        <v/>
      </c>
      <c r="BD160" s="67" t="str">
        <f t="shared" si="1"/>
        <v>Jun-24</v>
      </c>
      <c r="BE160" s="67" t="str">
        <f t="shared" si="2"/>
        <v>Oct-24</v>
      </c>
      <c r="BF160" s="67" t="str">
        <f t="shared" si="3"/>
        <v>Oct-24</v>
      </c>
      <c r="BG160" s="67" t="str">
        <f t="shared" si="4"/>
        <v>Nov-24</v>
      </c>
    </row>
    <row r="161" spans="1:59">
      <c r="A161" s="67">
        <f t="shared" si="14"/>
        <v>160</v>
      </c>
      <c r="B161" s="67">
        <v>20242803</v>
      </c>
      <c r="C161" s="67" t="s">
        <v>55</v>
      </c>
      <c r="D161" s="67" t="s">
        <v>80</v>
      </c>
      <c r="E161" s="67" t="s">
        <v>712</v>
      </c>
      <c r="F161" s="67" t="s">
        <v>110</v>
      </c>
      <c r="G161" s="67" t="s">
        <v>3</v>
      </c>
      <c r="H161" s="67" t="s">
        <v>111</v>
      </c>
      <c r="I161" s="67" t="s">
        <v>713</v>
      </c>
      <c r="J161" s="67" t="s">
        <v>70</v>
      </c>
      <c r="K161" s="68">
        <v>45580</v>
      </c>
      <c r="L161" s="68">
        <v>45580</v>
      </c>
      <c r="M161" s="68">
        <v>45580</v>
      </c>
      <c r="N161" s="67"/>
      <c r="O161" s="68"/>
      <c r="P161" s="68"/>
      <c r="Q161" s="68"/>
      <c r="R161" s="68"/>
      <c r="S161" s="68"/>
      <c r="T161" s="68"/>
      <c r="U161" s="67"/>
      <c r="V161" s="67"/>
      <c r="W161" s="67"/>
      <c r="X161" s="67" t="s">
        <v>714</v>
      </c>
      <c r="Y161" s="67" t="s">
        <v>74</v>
      </c>
      <c r="Z161" s="67" t="s">
        <v>74</v>
      </c>
      <c r="AA161" s="67" t="s">
        <v>658</v>
      </c>
      <c r="AB161" s="67"/>
      <c r="AC161" s="67"/>
      <c r="AD161" s="67"/>
      <c r="AE161" s="67" t="s">
        <v>715</v>
      </c>
      <c r="AF161" s="67">
        <v>8466889501</v>
      </c>
      <c r="AG161" s="67" t="s">
        <v>716</v>
      </c>
      <c r="AH161" s="68" t="s">
        <v>123</v>
      </c>
      <c r="AI161" s="68">
        <v>45639</v>
      </c>
      <c r="AJ161" s="68">
        <v>45639</v>
      </c>
      <c r="AK161" s="67" t="s">
        <v>72</v>
      </c>
      <c r="AL161" s="67">
        <v>1400000</v>
      </c>
      <c r="AM161" s="68">
        <v>45639</v>
      </c>
      <c r="AN161" s="68">
        <v>45639</v>
      </c>
      <c r="AO161" s="68">
        <v>45656</v>
      </c>
      <c r="AP161" s="68">
        <v>45639</v>
      </c>
      <c r="AQ161" s="68">
        <v>45642</v>
      </c>
      <c r="AR161" s="68">
        <v>45715</v>
      </c>
      <c r="AS161" s="68">
        <v>45719</v>
      </c>
      <c r="AT161" s="67">
        <f t="shared" ca="1" si="15"/>
        <v>0</v>
      </c>
      <c r="AU161" s="79" t="str">
        <f t="shared" ca="1" si="16"/>
        <v/>
      </c>
      <c r="AV161" s="79" t="str" cm="1">
        <f t="array" aca="1" ref="AV161" ca="1">IFERROR(_xlfn.IFS($AU161="","",$AU161&lt;=15,"0-15",AND($AU161&gt;=16,$AU161&lt;=30),"16-30",AND($AU161&gt;=31,$AU161&lt;=45),"31-45",AND($AU161&gt;=46,$AU161&lt;=60),"46-60",AND($AU161&gt;=61,$AU161&lt;=90),"61-90",AND($AU161&gt;=91),"&gt; 90",AND($AU161&gt;=2000),""),"")</f>
        <v/>
      </c>
      <c r="AW161" s="79" t="str" cm="1">
        <f t="array" aca="1" ref="AW161" ca="1">IFERROR(_xlfn.IFS(OR($M161="",$AM161=""),"",OR($C161="Offered",$C161="Joined"),($AM161-$M161)-$AT161),"")</f>
        <v/>
      </c>
      <c r="AX161" s="79" t="str" cm="1">
        <f t="array" aca="1" ref="AX161" ca="1">IFERROR(_xlfn.IFS(OR($M161="",$AS161=""),"",$C161="Joined",($AS161-$M161)-$AT161),"")</f>
        <v/>
      </c>
      <c r="AY161" s="67" t="str">
        <f>IFERROR(IF(COUNTIFS('Candidate Tracker'!$E:$E,'Positions Tracker'!$B161,'Candidate Tracker'!$C:$C,"Offer Drop")=0,"",COUNTIFS('Candidate Tracker'!$E:$E,'Positions Tracker'!$B161,'Candidate Tracker'!$C:$C,"Offer Drop")),"")</f>
        <v/>
      </c>
      <c r="AZ161" s="80">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0.88111888111888115</v>
      </c>
      <c r="BA161" s="81">
        <f>IFERROR(IF(COUNTIFS('Candidate Tracker'!$E:$E,'Positions Tracker'!$B161,'Candidate Tracker'!$I:$I,"Female")=0,"",COUNTIFS('Candidate Tracker'!$E:$E,'Positions Tracker'!$B161,'Candidate Tracker'!$I:$I,"Female")),"")</f>
        <v>14</v>
      </c>
      <c r="BB161" s="81">
        <f>IFERROR(IF(COUNTIFS('Candidate Tracker'!$E:$E,'Positions Tracker'!$B161,'Candidate Tracker'!$I:$I,"male")=0,"",COUNTIFS('Candidate Tracker'!$E:$E,'Positions Tracker'!$B161,'Candidate Tracker'!$I:$I,"male")),"")</f>
        <v>31</v>
      </c>
      <c r="BC161" s="80" t="str">
        <f>IFERROR(IF(COUNTIFS('Candidate Tracker'!$E:$E,'Positions Tracker'!$B161,'Candidate Tracker'!$C:$C,"&lt;&gt;WIP",'Candidate Tracker'!$C:$C,"&lt;&gt;Hold",'Candidate Tracker'!$C:$C,"&lt;&gt;Cancelled",'Candidate Tracker'!$C:$C,"&lt;&gt;Closed")/COUNTIFS('Candidate Tracker'!$E:$E,'Positions Tracker'!$B161)=0,"",COUNTIFS('Candidate Tracker'!$E:$E,'Positions Tracker'!$B161,'Candidate Tracker'!$C:$C,"&lt;&gt;WIP",'Candidate Tracker'!$C:$C,"&lt;&gt;Hold",'Candidate Tracker'!$C:$C,"&lt;&gt;Cancelled",'Candidate Tracker'!$C:$C,"&lt;&gt;Closed")/COUNTIFS('Candidate Tracker'!$E:$E,'Positions Tracker'!$B161)),"")</f>
        <v/>
      </c>
      <c r="BD161" s="67" t="str">
        <f t="shared" si="1"/>
        <v>Oct-24</v>
      </c>
      <c r="BE161" s="67" t="str">
        <f t="shared" si="2"/>
        <v>Dec-24</v>
      </c>
      <c r="BF161" s="67" t="str">
        <f t="shared" si="3"/>
        <v>Dec-24</v>
      </c>
      <c r="BG161" s="67" t="str">
        <f t="shared" si="4"/>
        <v>Mar-25</v>
      </c>
    </row>
    <row r="162" spans="1:59">
      <c r="A162" s="67">
        <f t="shared" si="14"/>
        <v>161</v>
      </c>
      <c r="B162" s="67">
        <v>20241431</v>
      </c>
      <c r="C162" s="67" t="s">
        <v>55</v>
      </c>
      <c r="D162" s="67" t="s">
        <v>80</v>
      </c>
      <c r="E162" s="67" t="s">
        <v>717</v>
      </c>
      <c r="F162" s="67" t="s">
        <v>718</v>
      </c>
      <c r="G162" s="67" t="s">
        <v>3</v>
      </c>
      <c r="H162" s="67" t="s">
        <v>111</v>
      </c>
      <c r="I162" s="67" t="s">
        <v>228</v>
      </c>
      <c r="J162" s="67" t="s">
        <v>70</v>
      </c>
      <c r="K162" s="68">
        <v>45615</v>
      </c>
      <c r="L162" s="68">
        <v>45615</v>
      </c>
      <c r="M162" s="68">
        <v>45615</v>
      </c>
      <c r="N162" s="67"/>
      <c r="O162" s="68"/>
      <c r="P162" s="68"/>
      <c r="Q162" s="68"/>
      <c r="R162" s="68"/>
      <c r="S162" s="68"/>
      <c r="T162" s="68"/>
      <c r="U162" s="67"/>
      <c r="V162" s="67"/>
      <c r="W162" s="67"/>
      <c r="X162" s="67" t="s">
        <v>72</v>
      </c>
      <c r="Y162" s="67" t="s">
        <v>74</v>
      </c>
      <c r="Z162" s="67" t="s">
        <v>74</v>
      </c>
      <c r="AA162" s="69" t="s">
        <v>658</v>
      </c>
      <c r="AB162" s="67"/>
      <c r="AC162" s="67"/>
      <c r="AD162" s="67"/>
      <c r="AE162" s="67" t="s">
        <v>719</v>
      </c>
      <c r="AF162" s="67">
        <v>9604794548</v>
      </c>
      <c r="AG162" s="67" t="s">
        <v>720</v>
      </c>
      <c r="AH162" s="68" t="s">
        <v>123</v>
      </c>
      <c r="AI162" s="68">
        <v>45663</v>
      </c>
      <c r="AJ162" s="68">
        <v>45663</v>
      </c>
      <c r="AK162" s="67" t="s">
        <v>72</v>
      </c>
      <c r="AL162" s="67">
        <v>1500000</v>
      </c>
      <c r="AM162" s="68">
        <v>45664</v>
      </c>
      <c r="AN162" s="68">
        <v>45664</v>
      </c>
      <c r="AO162" s="68">
        <v>45708</v>
      </c>
      <c r="AP162" s="68">
        <v>45664</v>
      </c>
      <c r="AQ162" s="68">
        <v>45666</v>
      </c>
      <c r="AR162" s="68">
        <v>45694</v>
      </c>
      <c r="AS162" s="68">
        <v>45698</v>
      </c>
      <c r="AT162" s="67">
        <f t="shared" ca="1" si="15"/>
        <v>0</v>
      </c>
      <c r="AU162" s="79" t="str">
        <f t="shared" ca="1" si="16"/>
        <v/>
      </c>
      <c r="AV162" s="79" t="str" cm="1">
        <f t="array" aca="1" ref="AV162" ca="1">IFERROR(_xlfn.IFS($AU162="","",$AU162&lt;=15,"0-15",AND($AU162&gt;=16,$AU162&lt;=30),"16-30",AND($AU162&gt;=31,$AU162&lt;=45),"31-45",AND($AU162&gt;=46,$AU162&lt;=60),"46-60",AND($AU162&gt;=61,$AU162&lt;=90),"61-90",AND($AU162&gt;=91),"&gt; 90",AND($AU162&gt;=2000),""),"")</f>
        <v/>
      </c>
      <c r="AW162" s="79" t="str" cm="1">
        <f t="array" aca="1" ref="AW162" ca="1">IFERROR(_xlfn.IFS(OR($M162="",$AM162=""),"",OR($C162="Offered",$C162="Joined"),($AM162-$M162)-$AT162),"")</f>
        <v/>
      </c>
      <c r="AX162" s="79" t="str" cm="1">
        <f t="array" aca="1" ref="AX162" ca="1">IFERROR(_xlfn.IFS(OR($M162="",$AS162=""),"",$C162="Joined",($AS162-$M162)-$AT162),"")</f>
        <v/>
      </c>
      <c r="AY162" s="67" t="str">
        <f>IFERROR(IF(COUNTIFS('Candidate Tracker'!$E:$E,'Positions Tracker'!$B162,'Candidate Tracker'!$C:$C,"Offer Drop")=0,"",COUNTIFS('Candidate Tracker'!$E:$E,'Positions Tracker'!$B162,'Candidate Tracker'!$C:$C,"Offer Drop")),"")</f>
        <v/>
      </c>
      <c r="AZ162" s="80">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0.88111888111888115</v>
      </c>
      <c r="BA162" s="81">
        <f>IFERROR(IF(COUNTIFS('Candidate Tracker'!$E:$E,'Positions Tracker'!$B162,'Candidate Tracker'!$I:$I,"Female")=0,"",COUNTIFS('Candidate Tracker'!$E:$E,'Positions Tracker'!$B162,'Candidate Tracker'!$I:$I,"Female")),"")</f>
        <v>12</v>
      </c>
      <c r="BB162" s="81">
        <f>IFERROR(IF(COUNTIFS('Candidate Tracker'!$E:$E,'Positions Tracker'!$B162,'Candidate Tracker'!$I:$I,"male")=0,"",COUNTIFS('Candidate Tracker'!$E:$E,'Positions Tracker'!$B162,'Candidate Tracker'!$I:$I,"male")),"")</f>
        <v>28</v>
      </c>
      <c r="BC162" s="80">
        <f>IFERROR(IF(COUNTIFS('Candidate Tracker'!$E:$E,'Positions Tracker'!$B162,'Candidate Tracker'!$C:$C,"&lt;&gt;WIP",'Candidate Tracker'!$C:$C,"&lt;&gt;Hold",'Candidate Tracker'!$C:$C,"&lt;&gt;Cancelled",'Candidate Tracker'!$C:$C,"&lt;&gt;Closed")/COUNTIFS('Candidate Tracker'!$E:$E,'Positions Tracker'!$B162)=0,"",COUNTIFS('Candidate Tracker'!$E:$E,'Positions Tracker'!$B162,'Candidate Tracker'!$C:$C,"&lt;&gt;WIP",'Candidate Tracker'!$C:$C,"&lt;&gt;Hold",'Candidate Tracker'!$C:$C,"&lt;&gt;Cancelled",'Candidate Tracker'!$C:$C,"&lt;&gt;Closed")/COUNTIFS('Candidate Tracker'!$E:$E,'Positions Tracker'!$B162)),"")</f>
        <v>2.5000000000000001E-2</v>
      </c>
      <c r="BD162" s="67" t="str">
        <f t="shared" si="1"/>
        <v>Nov-24</v>
      </c>
      <c r="BE162" s="67" t="str">
        <f t="shared" si="2"/>
        <v>Jan-25</v>
      </c>
      <c r="BF162" s="67" t="str">
        <f t="shared" si="3"/>
        <v>Jan-25</v>
      </c>
      <c r="BG162" s="67" t="str">
        <f t="shared" si="4"/>
        <v>Feb-25</v>
      </c>
    </row>
    <row r="163" spans="1:59">
      <c r="A163" s="67">
        <f t="shared" si="14"/>
        <v>162</v>
      </c>
      <c r="B163" s="67">
        <v>20241946</v>
      </c>
      <c r="C163" s="67" t="s">
        <v>116</v>
      </c>
      <c r="D163" s="67" t="s">
        <v>116</v>
      </c>
      <c r="E163" s="67" t="s">
        <v>683</v>
      </c>
      <c r="F163" s="67" t="s">
        <v>648</v>
      </c>
      <c r="G163" s="67" t="s">
        <v>3</v>
      </c>
      <c r="H163" s="67" t="s">
        <v>111</v>
      </c>
      <c r="I163" s="67" t="s">
        <v>228</v>
      </c>
      <c r="J163" s="67" t="s">
        <v>70</v>
      </c>
      <c r="K163" s="68">
        <v>45177</v>
      </c>
      <c r="L163" s="68">
        <v>45383</v>
      </c>
      <c r="M163" s="68">
        <v>45505</v>
      </c>
      <c r="N163" s="67"/>
      <c r="O163" s="68"/>
      <c r="P163" s="68"/>
      <c r="Q163" s="68"/>
      <c r="R163" s="68"/>
      <c r="S163" s="68"/>
      <c r="T163" s="68"/>
      <c r="U163" s="67"/>
      <c r="V163" s="67"/>
      <c r="W163" s="67"/>
      <c r="X163" s="67" t="s">
        <v>72</v>
      </c>
      <c r="Y163" s="67" t="s">
        <v>245</v>
      </c>
      <c r="Z163" s="67" t="s">
        <v>245</v>
      </c>
      <c r="AA163" s="67"/>
      <c r="AB163" s="67"/>
      <c r="AC163" s="67"/>
      <c r="AD163" s="67"/>
      <c r="AE163" s="67" t="s">
        <v>721</v>
      </c>
      <c r="AF163" s="67">
        <v>9657633373</v>
      </c>
      <c r="AG163" s="67"/>
      <c r="AH163" s="68" t="s">
        <v>123</v>
      </c>
      <c r="AI163" s="68">
        <v>45559</v>
      </c>
      <c r="AJ163" s="68">
        <v>45566</v>
      </c>
      <c r="AK163" s="67" t="s">
        <v>72</v>
      </c>
      <c r="AL163" s="67">
        <v>2100000</v>
      </c>
      <c r="AM163" s="68">
        <v>45566</v>
      </c>
      <c r="AN163" s="68">
        <v>45695</v>
      </c>
      <c r="AO163" s="68"/>
      <c r="AP163" s="68"/>
      <c r="AQ163" s="68"/>
      <c r="AR163" s="68"/>
      <c r="AS163" s="68">
        <v>45624</v>
      </c>
      <c r="AT163" s="67">
        <f t="shared" ca="1" si="15"/>
        <v>0</v>
      </c>
      <c r="AU163" s="79" t="str">
        <f t="shared" ca="1" si="16"/>
        <v/>
      </c>
      <c r="AV163" s="79" t="str" cm="1">
        <f t="array" aca="1" ref="AV163" ca="1">IFERROR(_xlfn.IFS($AU163="","",$AU163&lt;=15,"0-15",AND($AU163&gt;=16,$AU163&lt;=30),"16-30",AND($AU163&gt;=31,$AU163&lt;=45),"31-45",AND($AU163&gt;=46,$AU163&lt;=60),"46-60",AND($AU163&gt;=61,$AU163&lt;=90),"61-90",AND($AU163&gt;=91),"&gt; 90",AND($AU163&gt;=2000),""),"")</f>
        <v/>
      </c>
      <c r="AW163" s="79" cm="1">
        <f t="array" aca="1" ref="AW163" ca="1">IFERROR(_xlfn.IFS(OR($M163="",$AM163=""),"",OR($C163="Offered",$C163="Joined"),($AM163-$M163)-$AT163),"")</f>
        <v>61</v>
      </c>
      <c r="AX163" s="79" cm="1">
        <f t="array" aca="1" ref="AX163" ca="1">IFERROR(_xlfn.IFS(OR($M163="",$AS163=""),"",$C163="Joined",($AS163-$M163)-$AT163),"")</f>
        <v>119</v>
      </c>
      <c r="AY163" s="67" t="str">
        <f>IFERROR(IF(COUNTIFS('Candidate Tracker'!$E:$E,'Positions Tracker'!$B163,'Candidate Tracker'!$C:$C,"Offer Drop")=0,"",COUNTIFS('Candidate Tracker'!$E:$E,'Positions Tracker'!$B163,'Candidate Tracker'!$C:$C,"Offer Drop")),"")</f>
        <v/>
      </c>
      <c r="AZ163" s="80">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0.88111888111888115</v>
      </c>
      <c r="BA163" s="81" t="str">
        <f>IFERROR(IF(COUNTIFS('Candidate Tracker'!$E:$E,'Positions Tracker'!$B163,'Candidate Tracker'!$I:$I,"Female")=0,"",COUNTIFS('Candidate Tracker'!$E:$E,'Positions Tracker'!$B163,'Candidate Tracker'!$I:$I,"Female")),"")</f>
        <v/>
      </c>
      <c r="BB163" s="81">
        <f>IFERROR(IF(COUNTIFS('Candidate Tracker'!$E:$E,'Positions Tracker'!$B163,'Candidate Tracker'!$I:$I,"male")=0,"",COUNTIFS('Candidate Tracker'!$E:$E,'Positions Tracker'!$B163,'Candidate Tracker'!$I:$I,"male")),"")</f>
        <v>1</v>
      </c>
      <c r="BC163" s="80">
        <f>IFERROR(IF(COUNTIFS('Candidate Tracker'!$E:$E,'Positions Tracker'!$B163,'Candidate Tracker'!$C:$C,"&lt;&gt;WIP",'Candidate Tracker'!$C:$C,"&lt;&gt;Hold",'Candidate Tracker'!$C:$C,"&lt;&gt;Cancelled",'Candidate Tracker'!$C:$C,"&lt;&gt;Closed")/COUNTIFS('Candidate Tracker'!$E:$E,'Positions Tracker'!$B163)=0,"",COUNTIFS('Candidate Tracker'!$E:$E,'Positions Tracker'!$B163,'Candidate Tracker'!$C:$C,"&lt;&gt;WIP",'Candidate Tracker'!$C:$C,"&lt;&gt;Hold",'Candidate Tracker'!$C:$C,"&lt;&gt;Cancelled",'Candidate Tracker'!$C:$C,"&lt;&gt;Closed")/COUNTIFS('Candidate Tracker'!$E:$E,'Positions Tracker'!$B163)),"")</f>
        <v>1</v>
      </c>
      <c r="BD163" s="67" t="str">
        <f t="shared" si="1"/>
        <v>Aug-24</v>
      </c>
      <c r="BE163" s="67" t="str">
        <f t="shared" si="2"/>
        <v>Sep-24</v>
      </c>
      <c r="BF163" s="67" t="str">
        <f t="shared" si="3"/>
        <v>Oct-24</v>
      </c>
      <c r="BG163" s="67" t="str">
        <f t="shared" si="4"/>
        <v>Nov-24</v>
      </c>
    </row>
    <row r="164" spans="1:59">
      <c r="A164" s="67">
        <f t="shared" si="14"/>
        <v>163</v>
      </c>
      <c r="B164" s="67"/>
      <c r="C164" s="67" t="s">
        <v>116</v>
      </c>
      <c r="D164" s="67" t="s">
        <v>116</v>
      </c>
      <c r="E164" s="67" t="s">
        <v>391</v>
      </c>
      <c r="F164" s="67"/>
      <c r="G164" s="67"/>
      <c r="H164" s="67"/>
      <c r="I164" s="67" t="s">
        <v>722</v>
      </c>
      <c r="J164" s="67" t="s">
        <v>70</v>
      </c>
      <c r="K164" s="68"/>
      <c r="L164" s="68">
        <v>45304</v>
      </c>
      <c r="M164" s="68">
        <v>45305</v>
      </c>
      <c r="N164" s="67"/>
      <c r="O164" s="68"/>
      <c r="P164" s="68"/>
      <c r="Q164" s="68"/>
      <c r="R164" s="68"/>
      <c r="S164" s="68"/>
      <c r="T164" s="68"/>
      <c r="U164" s="67"/>
      <c r="V164" s="67"/>
      <c r="W164" s="67"/>
      <c r="X164" s="67" t="s">
        <v>72</v>
      </c>
      <c r="Y164" s="67" t="s">
        <v>723</v>
      </c>
      <c r="Z164" s="67" t="s">
        <v>723</v>
      </c>
      <c r="AA164" s="67" t="s">
        <v>724</v>
      </c>
      <c r="AB164" s="67"/>
      <c r="AC164" s="67"/>
      <c r="AD164" s="67"/>
      <c r="AE164" s="67" t="s">
        <v>725</v>
      </c>
      <c r="AF164" s="67">
        <v>9890710884</v>
      </c>
      <c r="AG164" s="67"/>
      <c r="AH164" s="68" t="s">
        <v>86</v>
      </c>
      <c r="AI164" s="68">
        <v>45350</v>
      </c>
      <c r="AJ164" s="68"/>
      <c r="AK164" s="67"/>
      <c r="AL164" s="67">
        <v>1550000</v>
      </c>
      <c r="AM164" s="68">
        <v>45370</v>
      </c>
      <c r="AN164" s="68"/>
      <c r="AO164" s="68"/>
      <c r="AP164" s="68"/>
      <c r="AQ164" s="68"/>
      <c r="AR164" s="68"/>
      <c r="AS164" s="68">
        <v>45404</v>
      </c>
      <c r="AT164" s="67">
        <f t="shared" ca="1" si="15"/>
        <v>0</v>
      </c>
      <c r="AU164" s="79" t="str">
        <f t="shared" ca="1" si="16"/>
        <v/>
      </c>
      <c r="AV164" s="79" t="str" cm="1">
        <f t="array" aca="1" ref="AV164" ca="1">IFERROR(_xlfn.IFS($AU164="","",$AU164&lt;=15,"0-15",AND($AU164&gt;=16,$AU164&lt;=30),"16-30",AND($AU164&gt;=31,$AU164&lt;=45),"31-45",AND($AU164&gt;=46,$AU164&lt;=60),"46-60",AND($AU164&gt;=61,$AU164&lt;=90),"61-90",AND($AU164&gt;=91),"&gt; 90",AND($AU164&gt;=2000),""),"")</f>
        <v/>
      </c>
      <c r="AW164" s="79" cm="1">
        <f t="array" aca="1" ref="AW164" ca="1">IFERROR(_xlfn.IFS(OR($M164="",$AM164=""),"",OR($C164="Offered",$C164="Joined"),($AM164-$M164)-$AT164),"")</f>
        <v>65</v>
      </c>
      <c r="AX164" s="79" cm="1">
        <f t="array" aca="1" ref="AX164" ca="1">IFERROR(_xlfn.IFS(OR($M164="",$AS164=""),"",$C164="Joined",($AS164-$M164)-$AT164),"")</f>
        <v>99</v>
      </c>
      <c r="AY164" s="67" t="str">
        <f>IFERROR(IF(COUNTIFS('Candidate Tracker'!$E:$E,'Positions Tracker'!$B164,'Candidate Tracker'!$C:$C,"Offer Drop")=0,"",COUNTIFS('Candidate Tracker'!$E:$E,'Positions Tracker'!$B164,'Candidate Tracker'!$C:$C,"Offer Drop")),"")</f>
        <v/>
      </c>
      <c r="AZ164" s="80">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0.88111888111888115</v>
      </c>
      <c r="BA164" s="81" t="str">
        <f>IFERROR(IF(COUNTIFS('Candidate Tracker'!$E:$E,'Positions Tracker'!$B164,'Candidate Tracker'!$I:$I,"Female")=0,"",COUNTIFS('Candidate Tracker'!$E:$E,'Positions Tracker'!$B164,'Candidate Tracker'!$I:$I,"Female")),"")</f>
        <v/>
      </c>
      <c r="BB164" s="81" t="str">
        <f>IFERROR(IF(COUNTIFS('Candidate Tracker'!$E:$E,'Positions Tracker'!$B164,'Candidate Tracker'!$I:$I,"male")=0,"",COUNTIFS('Candidate Tracker'!$E:$E,'Positions Tracker'!$B164,'Candidate Tracker'!$I:$I,"male")),"")</f>
        <v/>
      </c>
      <c r="BC164" s="80" t="str">
        <f>IFERROR(IF(COUNTIFS('Candidate Tracker'!$E:$E,'Positions Tracker'!$B164,'Candidate Tracker'!$C:$C,"&lt;&gt;WIP",'Candidate Tracker'!$C:$C,"&lt;&gt;Hold",'Candidate Tracker'!$C:$C,"&lt;&gt;Cancelled",'Candidate Tracker'!$C:$C,"&lt;&gt;Closed")/COUNTIFS('Candidate Tracker'!$E:$E,'Positions Tracker'!$B164)=0,"",COUNTIFS('Candidate Tracker'!$E:$E,'Positions Tracker'!$B164,'Candidate Tracker'!$C:$C,"&lt;&gt;WIP",'Candidate Tracker'!$C:$C,"&lt;&gt;Hold",'Candidate Tracker'!$C:$C,"&lt;&gt;Cancelled",'Candidate Tracker'!$C:$C,"&lt;&gt;Closed")/COUNTIFS('Candidate Tracker'!$E:$E,'Positions Tracker'!$B164)),"")</f>
        <v/>
      </c>
      <c r="BD164" s="67" t="str">
        <f t="shared" si="1"/>
        <v>Jan-24</v>
      </c>
      <c r="BE164" s="67" t="str">
        <f t="shared" si="2"/>
        <v>Feb-24</v>
      </c>
      <c r="BF164" s="67" t="str">
        <f t="shared" si="3"/>
        <v>Mar-24</v>
      </c>
      <c r="BG164" s="67" t="str">
        <f t="shared" si="4"/>
        <v>Apr-24</v>
      </c>
    </row>
    <row r="165" spans="1:59">
      <c r="A165" s="67">
        <f t="shared" si="14"/>
        <v>164</v>
      </c>
      <c r="B165" s="67"/>
      <c r="C165" s="67" t="s">
        <v>116</v>
      </c>
      <c r="D165" s="67" t="s">
        <v>116</v>
      </c>
      <c r="E165" s="67" t="s">
        <v>726</v>
      </c>
      <c r="F165" s="67"/>
      <c r="G165" s="67"/>
      <c r="H165" s="67"/>
      <c r="I165" s="67" t="s">
        <v>727</v>
      </c>
      <c r="J165" s="67" t="s">
        <v>70</v>
      </c>
      <c r="K165" s="68"/>
      <c r="L165" s="68">
        <v>45367</v>
      </c>
      <c r="M165" s="68">
        <v>45368</v>
      </c>
      <c r="N165" s="67"/>
      <c r="O165" s="68"/>
      <c r="P165" s="68"/>
      <c r="Q165" s="68"/>
      <c r="R165" s="68"/>
      <c r="S165" s="68"/>
      <c r="T165" s="68"/>
      <c r="U165" s="67"/>
      <c r="V165" s="67"/>
      <c r="W165" s="67"/>
      <c r="X165" s="67" t="s">
        <v>72</v>
      </c>
      <c r="Y165" s="67" t="s">
        <v>723</v>
      </c>
      <c r="Z165" s="67" t="s">
        <v>728</v>
      </c>
      <c r="AA165" s="67"/>
      <c r="AB165" s="67"/>
      <c r="AC165" s="67"/>
      <c r="AD165" s="67"/>
      <c r="AE165" s="67" t="s">
        <v>424</v>
      </c>
      <c r="AF165" s="67">
        <v>9880259924</v>
      </c>
      <c r="AG165" s="67"/>
      <c r="AH165" s="68" t="s">
        <v>123</v>
      </c>
      <c r="AI165" s="68">
        <v>45384</v>
      </c>
      <c r="AJ165" s="68"/>
      <c r="AK165" s="67"/>
      <c r="AL165" s="67">
        <v>5150000</v>
      </c>
      <c r="AM165" s="68">
        <v>45446</v>
      </c>
      <c r="AN165" s="68"/>
      <c r="AO165" s="68"/>
      <c r="AP165" s="68"/>
      <c r="AQ165" s="68"/>
      <c r="AR165" s="68"/>
      <c r="AS165" s="68">
        <v>45453</v>
      </c>
      <c r="AT165" s="67">
        <f t="shared" ca="1" si="15"/>
        <v>0</v>
      </c>
      <c r="AU165" s="79" t="str">
        <f t="shared" ca="1" si="16"/>
        <v/>
      </c>
      <c r="AV165" s="79" t="str" cm="1">
        <f t="array" aca="1" ref="AV165" ca="1">IFERROR(_xlfn.IFS($AU165="","",$AU165&lt;=15,"0-15",AND($AU165&gt;=16,$AU165&lt;=30),"16-30",AND($AU165&gt;=31,$AU165&lt;=45),"31-45",AND($AU165&gt;=46,$AU165&lt;=60),"46-60",AND($AU165&gt;=61,$AU165&lt;=90),"61-90",AND($AU165&gt;=91),"&gt; 90",AND($AU165&gt;=2000),""),"")</f>
        <v/>
      </c>
      <c r="AW165" s="79" cm="1">
        <f t="array" aca="1" ref="AW165" ca="1">IFERROR(_xlfn.IFS(OR($M165="",$AM165=""),"",OR($C165="Offered",$C165="Joined"),($AM165-$M165)-$AT165),"")</f>
        <v>78</v>
      </c>
      <c r="AX165" s="79" cm="1">
        <f t="array" aca="1" ref="AX165" ca="1">IFERROR(_xlfn.IFS(OR($M165="",$AS165=""),"",$C165="Joined",($AS165-$M165)-$AT165),"")</f>
        <v>85</v>
      </c>
      <c r="AY165" s="67" t="str">
        <f>IFERROR(IF(COUNTIFS('Candidate Tracker'!$E:$E,'Positions Tracker'!$B165,'Candidate Tracker'!$C:$C,"Offer Drop")=0,"",COUNTIFS('Candidate Tracker'!$E:$E,'Positions Tracker'!$B165,'Candidate Tracker'!$C:$C,"Offer Drop")),"")</f>
        <v/>
      </c>
      <c r="AZ165" s="80">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0.88111888111888115</v>
      </c>
      <c r="BA165" s="81" t="str">
        <f>IFERROR(IF(COUNTIFS('Candidate Tracker'!$E:$E,'Positions Tracker'!$B165,'Candidate Tracker'!$I:$I,"Female")=0,"",COUNTIFS('Candidate Tracker'!$E:$E,'Positions Tracker'!$B165,'Candidate Tracker'!$I:$I,"Female")),"")</f>
        <v/>
      </c>
      <c r="BB165" s="81" t="str">
        <f>IFERROR(IF(COUNTIFS('Candidate Tracker'!$E:$E,'Positions Tracker'!$B165,'Candidate Tracker'!$I:$I,"male")=0,"",COUNTIFS('Candidate Tracker'!$E:$E,'Positions Tracker'!$B165,'Candidate Tracker'!$I:$I,"male")),"")</f>
        <v/>
      </c>
      <c r="BC165" s="80" t="str">
        <f>IFERROR(IF(COUNTIFS('Candidate Tracker'!$E:$E,'Positions Tracker'!$B165,'Candidate Tracker'!$C:$C,"&lt;&gt;WIP",'Candidate Tracker'!$C:$C,"&lt;&gt;Hold",'Candidate Tracker'!$C:$C,"&lt;&gt;Cancelled",'Candidate Tracker'!$C:$C,"&lt;&gt;Closed")/COUNTIFS('Candidate Tracker'!$E:$E,'Positions Tracker'!$B165)=0,"",COUNTIFS('Candidate Tracker'!$E:$E,'Positions Tracker'!$B165,'Candidate Tracker'!$C:$C,"&lt;&gt;WIP",'Candidate Tracker'!$C:$C,"&lt;&gt;Hold",'Candidate Tracker'!$C:$C,"&lt;&gt;Cancelled",'Candidate Tracker'!$C:$C,"&lt;&gt;Closed")/COUNTIFS('Candidate Tracker'!$E:$E,'Positions Tracker'!$B165)),"")</f>
        <v/>
      </c>
      <c r="BD165" s="67" t="str">
        <f t="shared" si="1"/>
        <v>Mar-24</v>
      </c>
      <c r="BE165" s="67" t="str">
        <f t="shared" si="2"/>
        <v>Apr-24</v>
      </c>
      <c r="BF165" s="67" t="str">
        <f t="shared" si="3"/>
        <v>Jun-24</v>
      </c>
      <c r="BG165" s="67" t="str">
        <f t="shared" si="4"/>
        <v>Jun-24</v>
      </c>
    </row>
    <row r="166" spans="1:59">
      <c r="A166" s="67">
        <f t="shared" si="14"/>
        <v>165</v>
      </c>
      <c r="B166" s="67"/>
      <c r="C166" s="67" t="s">
        <v>116</v>
      </c>
      <c r="D166" s="67" t="s">
        <v>116</v>
      </c>
      <c r="E166" s="67" t="s">
        <v>729</v>
      </c>
      <c r="F166" s="67"/>
      <c r="G166" s="67"/>
      <c r="H166" s="67"/>
      <c r="I166" s="67" t="s">
        <v>107</v>
      </c>
      <c r="J166" s="67" t="s">
        <v>70</v>
      </c>
      <c r="K166" s="68"/>
      <c r="L166" s="68">
        <v>45418</v>
      </c>
      <c r="M166" s="68">
        <v>45419</v>
      </c>
      <c r="N166" s="67"/>
      <c r="O166" s="68"/>
      <c r="P166" s="68"/>
      <c r="Q166" s="68"/>
      <c r="R166" s="68"/>
      <c r="S166" s="68"/>
      <c r="T166" s="68"/>
      <c r="U166" s="67"/>
      <c r="V166" s="67"/>
      <c r="W166" s="67"/>
      <c r="X166" s="67" t="s">
        <v>708</v>
      </c>
      <c r="Y166" s="67" t="s">
        <v>723</v>
      </c>
      <c r="Z166" s="67" t="s">
        <v>94</v>
      </c>
      <c r="AA166" s="67"/>
      <c r="AB166" s="67"/>
      <c r="AC166" s="67"/>
      <c r="AD166" s="67"/>
      <c r="AE166" s="67" t="s">
        <v>730</v>
      </c>
      <c r="AF166" s="67">
        <v>7738454383</v>
      </c>
      <c r="AG166" s="67"/>
      <c r="AH166" s="68" t="s">
        <v>123</v>
      </c>
      <c r="AI166" s="68">
        <v>45449</v>
      </c>
      <c r="AJ166" s="68"/>
      <c r="AK166" s="67"/>
      <c r="AL166" s="67">
        <v>775000</v>
      </c>
      <c r="AM166" s="68">
        <v>45457</v>
      </c>
      <c r="AN166" s="68"/>
      <c r="AO166" s="68"/>
      <c r="AP166" s="68"/>
      <c r="AQ166" s="68"/>
      <c r="AR166" s="68"/>
      <c r="AS166" s="68">
        <v>45461</v>
      </c>
      <c r="AT166" s="67">
        <f t="shared" ca="1" si="15"/>
        <v>0</v>
      </c>
      <c r="AU166" s="79" t="str">
        <f t="shared" ca="1" si="16"/>
        <v/>
      </c>
      <c r="AV166" s="79" t="str" cm="1">
        <f t="array" aca="1" ref="AV166" ca="1">IFERROR(_xlfn.IFS($AU166="","",$AU166&lt;=15,"0-15",AND($AU166&gt;=16,$AU166&lt;=30),"16-30",AND($AU166&gt;=31,$AU166&lt;=45),"31-45",AND($AU166&gt;=46,$AU166&lt;=60),"46-60",AND($AU166&gt;=61,$AU166&lt;=90),"61-90",AND($AU166&gt;=91),"&gt; 90",AND($AU166&gt;=2000),""),"")</f>
        <v/>
      </c>
      <c r="AW166" s="79" cm="1">
        <f t="array" aca="1" ref="AW166" ca="1">IFERROR(_xlfn.IFS(OR($M166="",$AM166=""),"",OR($C166="Offered",$C166="Joined"),($AM166-$M166)-$AT166),"")</f>
        <v>38</v>
      </c>
      <c r="AX166" s="79" cm="1">
        <f t="array" aca="1" ref="AX166" ca="1">IFERROR(_xlfn.IFS(OR($M166="",$AS166=""),"",$C166="Joined",($AS166-$M166)-$AT166),"")</f>
        <v>42</v>
      </c>
      <c r="AY166" s="67" t="str">
        <f>IFERROR(IF(COUNTIFS('Candidate Tracker'!$E:$E,'Positions Tracker'!$B166,'Candidate Tracker'!$C:$C,"Offer Drop")=0,"",COUNTIFS('Candidate Tracker'!$E:$E,'Positions Tracker'!$B166,'Candidate Tracker'!$C:$C,"Offer Drop")),"")</f>
        <v/>
      </c>
      <c r="AZ166" s="80">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0.88111888111888115</v>
      </c>
      <c r="BA166" s="81" t="str">
        <f>IFERROR(IF(COUNTIFS('Candidate Tracker'!$E:$E,'Positions Tracker'!$B166,'Candidate Tracker'!$I:$I,"Female")=0,"",COUNTIFS('Candidate Tracker'!$E:$E,'Positions Tracker'!$B166,'Candidate Tracker'!$I:$I,"Female")),"")</f>
        <v/>
      </c>
      <c r="BB166" s="81" t="str">
        <f>IFERROR(IF(COUNTIFS('Candidate Tracker'!$E:$E,'Positions Tracker'!$B166,'Candidate Tracker'!$I:$I,"male")=0,"",COUNTIFS('Candidate Tracker'!$E:$E,'Positions Tracker'!$B166,'Candidate Tracker'!$I:$I,"male")),"")</f>
        <v/>
      </c>
      <c r="BC166" s="80" t="str">
        <f>IFERROR(IF(COUNTIFS('Candidate Tracker'!$E:$E,'Positions Tracker'!$B166,'Candidate Tracker'!$C:$C,"&lt;&gt;WIP",'Candidate Tracker'!$C:$C,"&lt;&gt;Hold",'Candidate Tracker'!$C:$C,"&lt;&gt;Cancelled",'Candidate Tracker'!$C:$C,"&lt;&gt;Closed")/COUNTIFS('Candidate Tracker'!$E:$E,'Positions Tracker'!$B166)=0,"",COUNTIFS('Candidate Tracker'!$E:$E,'Positions Tracker'!$B166,'Candidate Tracker'!$C:$C,"&lt;&gt;WIP",'Candidate Tracker'!$C:$C,"&lt;&gt;Hold",'Candidate Tracker'!$C:$C,"&lt;&gt;Cancelled",'Candidate Tracker'!$C:$C,"&lt;&gt;Closed")/COUNTIFS('Candidate Tracker'!$E:$E,'Positions Tracker'!$B166)),"")</f>
        <v/>
      </c>
      <c r="BD166" s="67" t="str">
        <f t="shared" si="1"/>
        <v>May-24</v>
      </c>
      <c r="BE166" s="67" t="str">
        <f t="shared" si="2"/>
        <v>Jun-24</v>
      </c>
      <c r="BF166" s="67" t="str">
        <f t="shared" si="3"/>
        <v>Jun-24</v>
      </c>
      <c r="BG166" s="67" t="str">
        <f t="shared" si="4"/>
        <v>Jun-24</v>
      </c>
    </row>
    <row r="167" spans="1:59">
      <c r="A167" s="67">
        <f t="shared" si="14"/>
        <v>166</v>
      </c>
      <c r="B167" s="67"/>
      <c r="C167" s="67" t="s">
        <v>116</v>
      </c>
      <c r="D167" s="67" t="s">
        <v>116</v>
      </c>
      <c r="E167" s="67" t="s">
        <v>731</v>
      </c>
      <c r="F167" s="67"/>
      <c r="G167" s="67"/>
      <c r="H167" s="67"/>
      <c r="I167" s="67" t="s">
        <v>732</v>
      </c>
      <c r="J167" s="67" t="s">
        <v>70</v>
      </c>
      <c r="K167" s="68"/>
      <c r="L167" s="68">
        <v>45428</v>
      </c>
      <c r="M167" s="68">
        <v>45429</v>
      </c>
      <c r="N167" s="67"/>
      <c r="O167" s="68"/>
      <c r="P167" s="68"/>
      <c r="Q167" s="68"/>
      <c r="R167" s="68"/>
      <c r="S167" s="68"/>
      <c r="T167" s="68"/>
      <c r="U167" s="67"/>
      <c r="V167" s="67"/>
      <c r="W167" s="67"/>
      <c r="X167" s="67" t="s">
        <v>733</v>
      </c>
      <c r="Y167" s="67" t="s">
        <v>723</v>
      </c>
      <c r="Z167" s="67" t="s">
        <v>94</v>
      </c>
      <c r="AA167" s="67"/>
      <c r="AB167" s="67"/>
      <c r="AC167" s="67"/>
      <c r="AD167" s="67"/>
      <c r="AE167" s="67" t="s">
        <v>734</v>
      </c>
      <c r="AF167" s="67">
        <v>7709590172</v>
      </c>
      <c r="AG167" s="67"/>
      <c r="AH167" s="68" t="s">
        <v>123</v>
      </c>
      <c r="AI167" s="68">
        <v>45474</v>
      </c>
      <c r="AJ167" s="68"/>
      <c r="AK167" s="67"/>
      <c r="AL167" s="67">
        <v>1400000</v>
      </c>
      <c r="AM167" s="68">
        <v>45476</v>
      </c>
      <c r="AN167" s="68"/>
      <c r="AO167" s="68"/>
      <c r="AP167" s="68"/>
      <c r="AQ167" s="68"/>
      <c r="AR167" s="68"/>
      <c r="AS167" s="68">
        <v>45502</v>
      </c>
      <c r="AT167" s="67">
        <f t="shared" ca="1" si="15"/>
        <v>0</v>
      </c>
      <c r="AU167" s="79" t="str">
        <f t="shared" ca="1" si="16"/>
        <v/>
      </c>
      <c r="AV167" s="79" t="str" cm="1">
        <f t="array" aca="1" ref="AV167" ca="1">IFERROR(_xlfn.IFS($AU167="","",$AU167&lt;=15,"0-15",AND($AU167&gt;=16,$AU167&lt;=30),"16-30",AND($AU167&gt;=31,$AU167&lt;=45),"31-45",AND($AU167&gt;=46,$AU167&lt;=60),"46-60",AND($AU167&gt;=61,$AU167&lt;=90),"61-90",AND($AU167&gt;=91),"&gt; 90",AND($AU167&gt;=2000),""),"")</f>
        <v/>
      </c>
      <c r="AW167" s="79" cm="1">
        <f t="array" aca="1" ref="AW167" ca="1">IFERROR(_xlfn.IFS(OR($M167="",$AM167=""),"",OR($C167="Offered",$C167="Joined"),($AM167-$M167)-$AT167),"")</f>
        <v>47</v>
      </c>
      <c r="AX167" s="79" cm="1">
        <f t="array" aca="1" ref="AX167" ca="1">IFERROR(_xlfn.IFS(OR($M167="",$AS167=""),"",$C167="Joined",($AS167-$M167)-$AT167),"")</f>
        <v>73</v>
      </c>
      <c r="AY167" s="67" t="str">
        <f>IFERROR(IF(COUNTIFS('Candidate Tracker'!$E:$E,'Positions Tracker'!$B167,'Candidate Tracker'!$C:$C,"Offer Drop")=0,"",COUNTIFS('Candidate Tracker'!$E:$E,'Positions Tracker'!$B167,'Candidate Tracker'!$C:$C,"Offer Drop")),"")</f>
        <v/>
      </c>
      <c r="AZ167" s="80">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0.88111888111888115</v>
      </c>
      <c r="BA167" s="81" t="str">
        <f>IFERROR(IF(COUNTIFS('Candidate Tracker'!$E:$E,'Positions Tracker'!$B167,'Candidate Tracker'!$I:$I,"Female")=0,"",COUNTIFS('Candidate Tracker'!$E:$E,'Positions Tracker'!$B167,'Candidate Tracker'!$I:$I,"Female")),"")</f>
        <v/>
      </c>
      <c r="BB167" s="81" t="str">
        <f>IFERROR(IF(COUNTIFS('Candidate Tracker'!$E:$E,'Positions Tracker'!$B167,'Candidate Tracker'!$I:$I,"male")=0,"",COUNTIFS('Candidate Tracker'!$E:$E,'Positions Tracker'!$B167,'Candidate Tracker'!$I:$I,"male")),"")</f>
        <v/>
      </c>
      <c r="BC167" s="80" t="str">
        <f>IFERROR(IF(COUNTIFS('Candidate Tracker'!$E:$E,'Positions Tracker'!$B167,'Candidate Tracker'!$C:$C,"&lt;&gt;WIP",'Candidate Tracker'!$C:$C,"&lt;&gt;Hold",'Candidate Tracker'!$C:$C,"&lt;&gt;Cancelled",'Candidate Tracker'!$C:$C,"&lt;&gt;Closed")/COUNTIFS('Candidate Tracker'!$E:$E,'Positions Tracker'!$B167)=0,"",COUNTIFS('Candidate Tracker'!$E:$E,'Positions Tracker'!$B167,'Candidate Tracker'!$C:$C,"&lt;&gt;WIP",'Candidate Tracker'!$C:$C,"&lt;&gt;Hold",'Candidate Tracker'!$C:$C,"&lt;&gt;Cancelled",'Candidate Tracker'!$C:$C,"&lt;&gt;Closed")/COUNTIFS('Candidate Tracker'!$E:$E,'Positions Tracker'!$B167)),"")</f>
        <v/>
      </c>
      <c r="BD167" s="67" t="str">
        <f t="shared" si="1"/>
        <v>May-24</v>
      </c>
      <c r="BE167" s="67" t="str">
        <f t="shared" si="2"/>
        <v>Jul-24</v>
      </c>
      <c r="BF167" s="67" t="str">
        <f t="shared" si="3"/>
        <v>Jul-24</v>
      </c>
      <c r="BG167" s="67" t="str">
        <f t="shared" si="4"/>
        <v>Jul-24</v>
      </c>
    </row>
    <row r="168" spans="1:59">
      <c r="A168" s="67">
        <f t="shared" si="14"/>
        <v>167</v>
      </c>
      <c r="B168" s="67"/>
      <c r="C168" s="67" t="s">
        <v>116</v>
      </c>
      <c r="D168" s="67" t="s">
        <v>116</v>
      </c>
      <c r="E168" s="67" t="s">
        <v>735</v>
      </c>
      <c r="F168" s="67"/>
      <c r="G168" s="67"/>
      <c r="H168" s="67"/>
      <c r="I168" s="67" t="s">
        <v>732</v>
      </c>
      <c r="J168" s="67" t="s">
        <v>70</v>
      </c>
      <c r="K168" s="68"/>
      <c r="L168" s="68">
        <v>45445</v>
      </c>
      <c r="M168" s="68">
        <v>45446</v>
      </c>
      <c r="N168" s="67"/>
      <c r="O168" s="68"/>
      <c r="P168" s="68"/>
      <c r="Q168" s="68"/>
      <c r="R168" s="68"/>
      <c r="S168" s="68"/>
      <c r="T168" s="68"/>
      <c r="U168" s="67"/>
      <c r="V168" s="67"/>
      <c r="W168" s="67"/>
      <c r="X168" s="67" t="s">
        <v>733</v>
      </c>
      <c r="Y168" s="67" t="s">
        <v>723</v>
      </c>
      <c r="Z168" s="67" t="s">
        <v>94</v>
      </c>
      <c r="AA168" s="67"/>
      <c r="AB168" s="67"/>
      <c r="AC168" s="67"/>
      <c r="AD168" s="67"/>
      <c r="AE168" s="67" t="s">
        <v>736</v>
      </c>
      <c r="AF168" s="67">
        <v>9769864001</v>
      </c>
      <c r="AG168" s="67"/>
      <c r="AH168" s="68" t="s">
        <v>123</v>
      </c>
      <c r="AI168" s="68">
        <v>45491</v>
      </c>
      <c r="AJ168" s="68"/>
      <c r="AK168" s="67"/>
      <c r="AL168" s="67">
        <v>9500000</v>
      </c>
      <c r="AM168" s="68">
        <v>45495</v>
      </c>
      <c r="AN168" s="68"/>
      <c r="AO168" s="68"/>
      <c r="AP168" s="68"/>
      <c r="AQ168" s="68"/>
      <c r="AR168" s="68"/>
      <c r="AS168" s="68">
        <v>45502</v>
      </c>
      <c r="AT168" s="67">
        <f t="shared" ca="1" si="15"/>
        <v>0</v>
      </c>
      <c r="AU168" s="79" t="str">
        <f t="shared" ca="1" si="16"/>
        <v/>
      </c>
      <c r="AV168" s="79" t="str" cm="1">
        <f t="array" aca="1" ref="AV168" ca="1">IFERROR(_xlfn.IFS($AU168="","",$AU168&lt;=15,"0-15",AND($AU168&gt;=16,$AU168&lt;=30),"16-30",AND($AU168&gt;=31,$AU168&lt;=45),"31-45",AND($AU168&gt;=46,$AU168&lt;=60),"46-60",AND($AU168&gt;=61,$AU168&lt;=90),"61-90",AND($AU168&gt;=91),"&gt; 90",AND($AU168&gt;=2000),""),"")</f>
        <v/>
      </c>
      <c r="AW168" s="79" cm="1">
        <f t="array" aca="1" ref="AW168" ca="1">IFERROR(_xlfn.IFS(OR($M168="",$AM168=""),"",OR($C168="Offered",$C168="Joined"),($AM168-$M168)-$AT168),"")</f>
        <v>49</v>
      </c>
      <c r="AX168" s="79" cm="1">
        <f t="array" aca="1" ref="AX168" ca="1">IFERROR(_xlfn.IFS(OR($M168="",$AS168=""),"",$C168="Joined",($AS168-$M168)-$AT168),"")</f>
        <v>56</v>
      </c>
      <c r="AY168" s="67" t="str">
        <f>IFERROR(IF(COUNTIFS('Candidate Tracker'!$E:$E,'Positions Tracker'!$B168,'Candidate Tracker'!$C:$C,"Offer Drop")=0,"",COUNTIFS('Candidate Tracker'!$E:$E,'Positions Tracker'!$B168,'Candidate Tracker'!$C:$C,"Offer Drop")),"")</f>
        <v/>
      </c>
      <c r="AZ168" s="80">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0.88111888111888115</v>
      </c>
      <c r="BA168" s="81" t="str">
        <f>IFERROR(IF(COUNTIFS('Candidate Tracker'!$E:$E,'Positions Tracker'!$B168,'Candidate Tracker'!$I:$I,"Female")=0,"",COUNTIFS('Candidate Tracker'!$E:$E,'Positions Tracker'!$B168,'Candidate Tracker'!$I:$I,"Female")),"")</f>
        <v/>
      </c>
      <c r="BB168" s="81" t="str">
        <f>IFERROR(IF(COUNTIFS('Candidate Tracker'!$E:$E,'Positions Tracker'!$B168,'Candidate Tracker'!$I:$I,"male")=0,"",COUNTIFS('Candidate Tracker'!$E:$E,'Positions Tracker'!$B168,'Candidate Tracker'!$I:$I,"male")),"")</f>
        <v/>
      </c>
      <c r="BC168" s="80" t="str">
        <f>IFERROR(IF(COUNTIFS('Candidate Tracker'!$E:$E,'Positions Tracker'!$B168,'Candidate Tracker'!$C:$C,"&lt;&gt;WIP",'Candidate Tracker'!$C:$C,"&lt;&gt;Hold",'Candidate Tracker'!$C:$C,"&lt;&gt;Cancelled",'Candidate Tracker'!$C:$C,"&lt;&gt;Closed")/COUNTIFS('Candidate Tracker'!$E:$E,'Positions Tracker'!$B168)=0,"",COUNTIFS('Candidate Tracker'!$E:$E,'Positions Tracker'!$B168,'Candidate Tracker'!$C:$C,"&lt;&gt;WIP",'Candidate Tracker'!$C:$C,"&lt;&gt;Hold",'Candidate Tracker'!$C:$C,"&lt;&gt;Cancelled",'Candidate Tracker'!$C:$C,"&lt;&gt;Closed")/COUNTIFS('Candidate Tracker'!$E:$E,'Positions Tracker'!$B168)),"")</f>
        <v/>
      </c>
      <c r="BD168" s="67" t="str">
        <f t="shared" si="1"/>
        <v>Jun-24</v>
      </c>
      <c r="BE168" s="67" t="str">
        <f t="shared" si="2"/>
        <v>Jul-24</v>
      </c>
      <c r="BF168" s="67" t="str">
        <f t="shared" si="3"/>
        <v>Jul-24</v>
      </c>
      <c r="BG168" s="67" t="str">
        <f t="shared" si="4"/>
        <v>Jul-24</v>
      </c>
    </row>
    <row r="169" spans="1:59">
      <c r="A169" s="67">
        <f t="shared" si="14"/>
        <v>168</v>
      </c>
      <c r="B169" s="67"/>
      <c r="C169" s="67" t="s">
        <v>116</v>
      </c>
      <c r="D169" s="67" t="s">
        <v>116</v>
      </c>
      <c r="E169" s="67" t="s">
        <v>737</v>
      </c>
      <c r="F169" s="67"/>
      <c r="G169" s="67"/>
      <c r="H169" s="67"/>
      <c r="I169" s="67" t="s">
        <v>339</v>
      </c>
      <c r="J169" s="67" t="s">
        <v>70</v>
      </c>
      <c r="K169" s="68"/>
      <c r="L169" s="68">
        <v>45448</v>
      </c>
      <c r="M169" s="68">
        <v>45449</v>
      </c>
      <c r="N169" s="67"/>
      <c r="O169" s="68"/>
      <c r="P169" s="68"/>
      <c r="Q169" s="68"/>
      <c r="R169" s="68"/>
      <c r="S169" s="68"/>
      <c r="T169" s="68"/>
      <c r="U169" s="67"/>
      <c r="V169" s="67"/>
      <c r="W169" s="67"/>
      <c r="X169" s="67" t="s">
        <v>733</v>
      </c>
      <c r="Y169" s="67" t="s">
        <v>723</v>
      </c>
      <c r="Z169" s="67" t="s">
        <v>94</v>
      </c>
      <c r="AA169" s="67"/>
      <c r="AB169" s="67"/>
      <c r="AC169" s="67"/>
      <c r="AD169" s="67"/>
      <c r="AE169" s="67" t="s">
        <v>738</v>
      </c>
      <c r="AF169" s="67">
        <v>7875758471</v>
      </c>
      <c r="AG169" s="67"/>
      <c r="AH169" s="68" t="s">
        <v>123</v>
      </c>
      <c r="AI169" s="68">
        <v>45484</v>
      </c>
      <c r="AJ169" s="68"/>
      <c r="AK169" s="67"/>
      <c r="AL169" s="67">
        <v>2700000</v>
      </c>
      <c r="AM169" s="68">
        <v>45495</v>
      </c>
      <c r="AN169" s="68"/>
      <c r="AO169" s="68"/>
      <c r="AP169" s="68"/>
      <c r="AQ169" s="68"/>
      <c r="AR169" s="68"/>
      <c r="AS169" s="68">
        <v>45509</v>
      </c>
      <c r="AT169" s="67">
        <f t="shared" ca="1" si="15"/>
        <v>0</v>
      </c>
      <c r="AU169" s="79" t="str">
        <f t="shared" ca="1" si="16"/>
        <v/>
      </c>
      <c r="AV169" s="79" t="str" cm="1">
        <f t="array" aca="1" ref="AV169" ca="1">IFERROR(_xlfn.IFS($AU169="","",$AU169&lt;=15,"0-15",AND($AU169&gt;=16,$AU169&lt;=30),"16-30",AND($AU169&gt;=31,$AU169&lt;=45),"31-45",AND($AU169&gt;=46,$AU169&lt;=60),"46-60",AND($AU169&gt;=61,$AU169&lt;=90),"61-90",AND($AU169&gt;=91),"&gt; 90",AND($AU169&gt;=2000),""),"")</f>
        <v/>
      </c>
      <c r="AW169" s="79" cm="1">
        <f t="array" aca="1" ref="AW169" ca="1">IFERROR(_xlfn.IFS(OR($M169="",$AM169=""),"",OR($C169="Offered",$C169="Joined"),($AM169-$M169)-$AT169),"")</f>
        <v>46</v>
      </c>
      <c r="AX169" s="79" cm="1">
        <f t="array" aca="1" ref="AX169" ca="1">IFERROR(_xlfn.IFS(OR($M169="",$AS169=""),"",$C169="Joined",($AS169-$M169)-$AT169),"")</f>
        <v>60</v>
      </c>
      <c r="AY169" s="67" t="str">
        <f>IFERROR(IF(COUNTIFS('Candidate Tracker'!$E:$E,'Positions Tracker'!$B169,'Candidate Tracker'!$C:$C,"Offer Drop")=0,"",COUNTIFS('Candidate Tracker'!$E:$E,'Positions Tracker'!$B169,'Candidate Tracker'!$C:$C,"Offer Drop")),"")</f>
        <v/>
      </c>
      <c r="AZ169" s="80">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0.88111888111888115</v>
      </c>
      <c r="BA169" s="81" t="str">
        <f>IFERROR(IF(COUNTIFS('Candidate Tracker'!$E:$E,'Positions Tracker'!$B169,'Candidate Tracker'!$I:$I,"Female")=0,"",COUNTIFS('Candidate Tracker'!$E:$E,'Positions Tracker'!$B169,'Candidate Tracker'!$I:$I,"Female")),"")</f>
        <v/>
      </c>
      <c r="BB169" s="81" t="str">
        <f>IFERROR(IF(COUNTIFS('Candidate Tracker'!$E:$E,'Positions Tracker'!$B169,'Candidate Tracker'!$I:$I,"male")=0,"",COUNTIFS('Candidate Tracker'!$E:$E,'Positions Tracker'!$B169,'Candidate Tracker'!$I:$I,"male")),"")</f>
        <v/>
      </c>
      <c r="BC169" s="80" t="str">
        <f>IFERROR(IF(COUNTIFS('Candidate Tracker'!$E:$E,'Positions Tracker'!$B169,'Candidate Tracker'!$C:$C,"&lt;&gt;WIP",'Candidate Tracker'!$C:$C,"&lt;&gt;Hold",'Candidate Tracker'!$C:$C,"&lt;&gt;Cancelled",'Candidate Tracker'!$C:$C,"&lt;&gt;Closed")/COUNTIFS('Candidate Tracker'!$E:$E,'Positions Tracker'!$B169)=0,"",COUNTIFS('Candidate Tracker'!$E:$E,'Positions Tracker'!$B169,'Candidate Tracker'!$C:$C,"&lt;&gt;WIP",'Candidate Tracker'!$C:$C,"&lt;&gt;Hold",'Candidate Tracker'!$C:$C,"&lt;&gt;Cancelled",'Candidate Tracker'!$C:$C,"&lt;&gt;Closed")/COUNTIFS('Candidate Tracker'!$E:$E,'Positions Tracker'!$B169)),"")</f>
        <v/>
      </c>
      <c r="BD169" s="67" t="str">
        <f t="shared" si="1"/>
        <v>Jun-24</v>
      </c>
      <c r="BE169" s="67" t="str">
        <f t="shared" si="2"/>
        <v>Jul-24</v>
      </c>
      <c r="BF169" s="67" t="str">
        <f t="shared" si="3"/>
        <v>Jul-24</v>
      </c>
      <c r="BG169" s="67" t="str">
        <f t="shared" si="4"/>
        <v>Aug-24</v>
      </c>
    </row>
    <row r="170" spans="1:59">
      <c r="A170" s="67">
        <f t="shared" si="14"/>
        <v>169</v>
      </c>
      <c r="B170" s="67"/>
      <c r="C170" s="67" t="s">
        <v>116</v>
      </c>
      <c r="D170" s="67" t="s">
        <v>116</v>
      </c>
      <c r="E170" s="67" t="s">
        <v>739</v>
      </c>
      <c r="F170" s="67"/>
      <c r="G170" s="67"/>
      <c r="H170" s="67"/>
      <c r="I170" s="67" t="s">
        <v>740</v>
      </c>
      <c r="J170" s="67" t="s">
        <v>70</v>
      </c>
      <c r="K170" s="68"/>
      <c r="L170" s="68">
        <v>45454</v>
      </c>
      <c r="M170" s="68">
        <v>45455</v>
      </c>
      <c r="N170" s="67"/>
      <c r="O170" s="68"/>
      <c r="P170" s="68"/>
      <c r="Q170" s="68"/>
      <c r="R170" s="68"/>
      <c r="S170" s="68"/>
      <c r="T170" s="68"/>
      <c r="U170" s="67"/>
      <c r="V170" s="67"/>
      <c r="W170" s="67"/>
      <c r="X170" s="67" t="s">
        <v>733</v>
      </c>
      <c r="Y170" s="67" t="s">
        <v>723</v>
      </c>
      <c r="Z170" s="67" t="s">
        <v>94</v>
      </c>
      <c r="AA170" s="67" t="s">
        <v>116</v>
      </c>
      <c r="AB170" s="67"/>
      <c r="AC170" s="67"/>
      <c r="AD170" s="67"/>
      <c r="AE170" s="67" t="s">
        <v>741</v>
      </c>
      <c r="AF170" s="67">
        <v>9527115478</v>
      </c>
      <c r="AG170" s="67"/>
      <c r="AH170" s="68" t="s">
        <v>123</v>
      </c>
      <c r="AI170" s="68">
        <v>45500</v>
      </c>
      <c r="AJ170" s="68"/>
      <c r="AK170" s="67"/>
      <c r="AL170" s="67">
        <v>650000</v>
      </c>
      <c r="AM170" s="68">
        <v>45511</v>
      </c>
      <c r="AN170" s="68"/>
      <c r="AO170" s="68"/>
      <c r="AP170" s="68"/>
      <c r="AQ170" s="68"/>
      <c r="AR170" s="68"/>
      <c r="AS170" s="68">
        <v>45537</v>
      </c>
      <c r="AT170" s="67">
        <f t="shared" ca="1" si="15"/>
        <v>0</v>
      </c>
      <c r="AU170" s="79" t="str">
        <f t="shared" ca="1" si="16"/>
        <v/>
      </c>
      <c r="AV170" s="79" t="str" cm="1">
        <f t="array" aca="1" ref="AV170" ca="1">IFERROR(_xlfn.IFS($AU170="","",$AU170&lt;=15,"0-15",AND($AU170&gt;=16,$AU170&lt;=30),"16-30",AND($AU170&gt;=31,$AU170&lt;=45),"31-45",AND($AU170&gt;=46,$AU170&lt;=60),"46-60",AND($AU170&gt;=61,$AU170&lt;=90),"61-90",AND($AU170&gt;=91),"&gt; 90",AND($AU170&gt;=2000),""),"")</f>
        <v/>
      </c>
      <c r="AW170" s="79" cm="1">
        <f t="array" aca="1" ref="AW170" ca="1">IFERROR(_xlfn.IFS(OR($M170="",$AM170=""),"",OR($C170="Offered",$C170="Joined"),($AM170-$M170)-$AT170),"")</f>
        <v>56</v>
      </c>
      <c r="AX170" s="79" cm="1">
        <f t="array" aca="1" ref="AX170" ca="1">IFERROR(_xlfn.IFS(OR($M170="",$AS170=""),"",$C170="Joined",($AS170-$M170)-$AT170),"")</f>
        <v>82</v>
      </c>
      <c r="AY170" s="67" t="str">
        <f>IFERROR(IF(COUNTIFS('Candidate Tracker'!$E:$E,'Positions Tracker'!$B170,'Candidate Tracker'!$C:$C,"Offer Drop")=0,"",COUNTIFS('Candidate Tracker'!$E:$E,'Positions Tracker'!$B170,'Candidate Tracker'!$C:$C,"Offer Drop")),"")</f>
        <v/>
      </c>
      <c r="AZ170" s="80">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0.88111888111888115</v>
      </c>
      <c r="BA170" s="81" t="str">
        <f>IFERROR(IF(COUNTIFS('Candidate Tracker'!$E:$E,'Positions Tracker'!$B170,'Candidate Tracker'!$I:$I,"Female")=0,"",COUNTIFS('Candidate Tracker'!$E:$E,'Positions Tracker'!$B170,'Candidate Tracker'!$I:$I,"Female")),"")</f>
        <v/>
      </c>
      <c r="BB170" s="81" t="str">
        <f>IFERROR(IF(COUNTIFS('Candidate Tracker'!$E:$E,'Positions Tracker'!$B170,'Candidate Tracker'!$I:$I,"male")=0,"",COUNTIFS('Candidate Tracker'!$E:$E,'Positions Tracker'!$B170,'Candidate Tracker'!$I:$I,"male")),"")</f>
        <v/>
      </c>
      <c r="BC170" s="80" t="str">
        <f>IFERROR(IF(COUNTIFS('Candidate Tracker'!$E:$E,'Positions Tracker'!$B170,'Candidate Tracker'!$C:$C,"&lt;&gt;WIP",'Candidate Tracker'!$C:$C,"&lt;&gt;Hold",'Candidate Tracker'!$C:$C,"&lt;&gt;Cancelled",'Candidate Tracker'!$C:$C,"&lt;&gt;Closed")/COUNTIFS('Candidate Tracker'!$E:$E,'Positions Tracker'!$B170)=0,"",COUNTIFS('Candidate Tracker'!$E:$E,'Positions Tracker'!$B170,'Candidate Tracker'!$C:$C,"&lt;&gt;WIP",'Candidate Tracker'!$C:$C,"&lt;&gt;Hold",'Candidate Tracker'!$C:$C,"&lt;&gt;Cancelled",'Candidate Tracker'!$C:$C,"&lt;&gt;Closed")/COUNTIFS('Candidate Tracker'!$E:$E,'Positions Tracker'!$B170)),"")</f>
        <v/>
      </c>
      <c r="BD170" s="67" t="str">
        <f t="shared" si="1"/>
        <v>Jun-24</v>
      </c>
      <c r="BE170" s="67" t="str">
        <f t="shared" si="2"/>
        <v>Jul-24</v>
      </c>
      <c r="BF170" s="67" t="str">
        <f t="shared" si="3"/>
        <v>Aug-24</v>
      </c>
      <c r="BG170" s="67" t="str">
        <f t="shared" si="4"/>
        <v>Sep-24</v>
      </c>
    </row>
    <row r="171" spans="1:59">
      <c r="A171" s="67">
        <f t="shared" si="14"/>
        <v>170</v>
      </c>
      <c r="B171" s="67"/>
      <c r="C171" s="67" t="s">
        <v>116</v>
      </c>
      <c r="D171" s="67" t="s">
        <v>116</v>
      </c>
      <c r="E171" s="67" t="s">
        <v>742</v>
      </c>
      <c r="F171" s="67"/>
      <c r="G171" s="67"/>
      <c r="H171" s="67"/>
      <c r="I171" s="67" t="s">
        <v>732</v>
      </c>
      <c r="J171" s="67" t="s">
        <v>70</v>
      </c>
      <c r="K171" s="68"/>
      <c r="L171" s="68">
        <v>45429</v>
      </c>
      <c r="M171" s="68">
        <v>45430</v>
      </c>
      <c r="N171" s="67"/>
      <c r="O171" s="68"/>
      <c r="P171" s="68"/>
      <c r="Q171" s="68"/>
      <c r="R171" s="68"/>
      <c r="S171" s="68"/>
      <c r="T171" s="68"/>
      <c r="U171" s="67"/>
      <c r="V171" s="67"/>
      <c r="W171" s="67"/>
      <c r="X171" s="67" t="s">
        <v>733</v>
      </c>
      <c r="Y171" s="67" t="s">
        <v>723</v>
      </c>
      <c r="Z171" s="67" t="s">
        <v>94</v>
      </c>
      <c r="AA171" s="67" t="s">
        <v>116</v>
      </c>
      <c r="AB171" s="67"/>
      <c r="AC171" s="67"/>
      <c r="AD171" s="67"/>
      <c r="AE171" s="67" t="s">
        <v>743</v>
      </c>
      <c r="AF171" s="67">
        <v>9004565630</v>
      </c>
      <c r="AG171" s="67"/>
      <c r="AH171" s="68" t="s">
        <v>123</v>
      </c>
      <c r="AI171" s="68">
        <v>45475</v>
      </c>
      <c r="AJ171" s="68"/>
      <c r="AK171" s="67"/>
      <c r="AL171" s="67">
        <v>1300000</v>
      </c>
      <c r="AM171" s="68">
        <v>45476</v>
      </c>
      <c r="AN171" s="68"/>
      <c r="AO171" s="68"/>
      <c r="AP171" s="68"/>
      <c r="AQ171" s="68"/>
      <c r="AR171" s="68"/>
      <c r="AS171" s="68">
        <v>45551</v>
      </c>
      <c r="AT171" s="67">
        <f t="shared" ca="1" si="15"/>
        <v>0</v>
      </c>
      <c r="AU171" s="79" t="str">
        <f t="shared" ca="1" si="16"/>
        <v/>
      </c>
      <c r="AV171" s="79" t="str" cm="1">
        <f t="array" aca="1" ref="AV171" ca="1">IFERROR(_xlfn.IFS($AU171="","",$AU171&lt;=15,"0-15",AND($AU171&gt;=16,$AU171&lt;=30),"16-30",AND($AU171&gt;=31,$AU171&lt;=45),"31-45",AND($AU171&gt;=46,$AU171&lt;=60),"46-60",AND($AU171&gt;=61,$AU171&lt;=90),"61-90",AND($AU171&gt;=91),"&gt; 90",AND($AU171&gt;=2000),""),"")</f>
        <v/>
      </c>
      <c r="AW171" s="79" cm="1">
        <f t="array" aca="1" ref="AW171" ca="1">IFERROR(_xlfn.IFS(OR($M171="",$AM171=""),"",OR($C171="Offered",$C171="Joined"),($AM171-$M171)-$AT171),"")</f>
        <v>46</v>
      </c>
      <c r="AX171" s="79" cm="1">
        <f t="array" aca="1" ref="AX171" ca="1">IFERROR(_xlfn.IFS(OR($M171="",$AS171=""),"",$C171="Joined",($AS171-$M171)-$AT171),"")</f>
        <v>121</v>
      </c>
      <c r="AY171" s="67" t="str">
        <f>IFERROR(IF(COUNTIFS('Candidate Tracker'!$E:$E,'Positions Tracker'!$B171,'Candidate Tracker'!$C:$C,"Offer Drop")=0,"",COUNTIFS('Candidate Tracker'!$E:$E,'Positions Tracker'!$B171,'Candidate Tracker'!$C:$C,"Offer Drop")),"")</f>
        <v/>
      </c>
      <c r="AZ171" s="80">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0.88111888111888115</v>
      </c>
      <c r="BA171" s="81" t="str">
        <f>IFERROR(IF(COUNTIFS('Candidate Tracker'!$E:$E,'Positions Tracker'!$B171,'Candidate Tracker'!$I:$I,"Female")=0,"",COUNTIFS('Candidate Tracker'!$E:$E,'Positions Tracker'!$B171,'Candidate Tracker'!$I:$I,"Female")),"")</f>
        <v/>
      </c>
      <c r="BB171" s="81" t="str">
        <f>IFERROR(IF(COUNTIFS('Candidate Tracker'!$E:$E,'Positions Tracker'!$B171,'Candidate Tracker'!$I:$I,"male")=0,"",COUNTIFS('Candidate Tracker'!$E:$E,'Positions Tracker'!$B171,'Candidate Tracker'!$I:$I,"male")),"")</f>
        <v/>
      </c>
      <c r="BC171" s="80" t="str">
        <f>IFERROR(IF(COUNTIFS('Candidate Tracker'!$E:$E,'Positions Tracker'!$B171,'Candidate Tracker'!$C:$C,"&lt;&gt;WIP",'Candidate Tracker'!$C:$C,"&lt;&gt;Hold",'Candidate Tracker'!$C:$C,"&lt;&gt;Cancelled",'Candidate Tracker'!$C:$C,"&lt;&gt;Closed")/COUNTIFS('Candidate Tracker'!$E:$E,'Positions Tracker'!$B171)=0,"",COUNTIFS('Candidate Tracker'!$E:$E,'Positions Tracker'!$B171,'Candidate Tracker'!$C:$C,"&lt;&gt;WIP",'Candidate Tracker'!$C:$C,"&lt;&gt;Hold",'Candidate Tracker'!$C:$C,"&lt;&gt;Cancelled",'Candidate Tracker'!$C:$C,"&lt;&gt;Closed")/COUNTIFS('Candidate Tracker'!$E:$E,'Positions Tracker'!$B171)),"")</f>
        <v/>
      </c>
      <c r="BD171" s="67" t="str">
        <f t="shared" si="1"/>
        <v>May-24</v>
      </c>
      <c r="BE171" s="67" t="str">
        <f t="shared" si="2"/>
        <v>Jul-24</v>
      </c>
      <c r="BF171" s="67" t="str">
        <f t="shared" si="3"/>
        <v>Jul-24</v>
      </c>
      <c r="BG171" s="67" t="str">
        <f t="shared" si="4"/>
        <v>Sep-24</v>
      </c>
    </row>
    <row r="172" spans="1:59">
      <c r="A172" s="67">
        <f t="shared" si="14"/>
        <v>171</v>
      </c>
      <c r="B172" s="67"/>
      <c r="C172" s="67" t="s">
        <v>116</v>
      </c>
      <c r="D172" s="67" t="s">
        <v>116</v>
      </c>
      <c r="E172" s="67" t="s">
        <v>744</v>
      </c>
      <c r="F172" s="67"/>
      <c r="G172" s="67"/>
      <c r="H172" s="67"/>
      <c r="I172" s="67" t="s">
        <v>339</v>
      </c>
      <c r="J172" s="67" t="s">
        <v>70</v>
      </c>
      <c r="K172" s="68"/>
      <c r="L172" s="68">
        <v>45448</v>
      </c>
      <c r="M172" s="68">
        <v>45449</v>
      </c>
      <c r="N172" s="67"/>
      <c r="O172" s="68"/>
      <c r="P172" s="68"/>
      <c r="Q172" s="68"/>
      <c r="R172" s="68"/>
      <c r="S172" s="68"/>
      <c r="T172" s="68"/>
      <c r="U172" s="67"/>
      <c r="V172" s="67"/>
      <c r="W172" s="67"/>
      <c r="X172" s="67" t="s">
        <v>733</v>
      </c>
      <c r="Y172" s="67" t="s">
        <v>723</v>
      </c>
      <c r="Z172" s="67" t="s">
        <v>94</v>
      </c>
      <c r="AA172" s="67" t="s">
        <v>116</v>
      </c>
      <c r="AB172" s="67"/>
      <c r="AC172" s="67"/>
      <c r="AD172" s="67"/>
      <c r="AE172" s="67" t="s">
        <v>745</v>
      </c>
      <c r="AF172" s="67">
        <v>9503153306</v>
      </c>
      <c r="AG172" s="67"/>
      <c r="AH172" s="68" t="s">
        <v>123</v>
      </c>
      <c r="AI172" s="68">
        <v>45484</v>
      </c>
      <c r="AJ172" s="68"/>
      <c r="AK172" s="67"/>
      <c r="AL172" s="67">
        <v>1300000</v>
      </c>
      <c r="AM172" s="68">
        <v>45495</v>
      </c>
      <c r="AN172" s="68"/>
      <c r="AO172" s="68"/>
      <c r="AP172" s="68"/>
      <c r="AQ172" s="68"/>
      <c r="AR172" s="68"/>
      <c r="AS172" s="68">
        <v>45565</v>
      </c>
      <c r="AT172" s="67">
        <f t="shared" ca="1" si="15"/>
        <v>0</v>
      </c>
      <c r="AU172" s="79" t="str">
        <f t="shared" ca="1" si="16"/>
        <v/>
      </c>
      <c r="AV172" s="79" t="str" cm="1">
        <f t="array" aca="1" ref="AV172" ca="1">IFERROR(_xlfn.IFS($AU172="","",$AU172&lt;=15,"0-15",AND($AU172&gt;=16,$AU172&lt;=30),"16-30",AND($AU172&gt;=31,$AU172&lt;=45),"31-45",AND($AU172&gt;=46,$AU172&lt;=60),"46-60",AND($AU172&gt;=61,$AU172&lt;=90),"61-90",AND($AU172&gt;=91),"&gt; 90",AND($AU172&gt;=2000),""),"")</f>
        <v/>
      </c>
      <c r="AW172" s="79" cm="1">
        <f t="array" aca="1" ref="AW172" ca="1">IFERROR(_xlfn.IFS(OR($M172="",$AM172=""),"",OR($C172="Offered",$C172="Joined"),($AM172-$M172)-$AT172),"")</f>
        <v>46</v>
      </c>
      <c r="AX172" s="79" cm="1">
        <f t="array" aca="1" ref="AX172" ca="1">IFERROR(_xlfn.IFS(OR($M172="",$AS172=""),"",$C172="Joined",($AS172-$M172)-$AT172),"")</f>
        <v>116</v>
      </c>
      <c r="AY172" s="67" t="str">
        <f>IFERROR(IF(COUNTIFS('Candidate Tracker'!$E:$E,'Positions Tracker'!$B172,'Candidate Tracker'!$C:$C,"Offer Drop")=0,"",COUNTIFS('Candidate Tracker'!$E:$E,'Positions Tracker'!$B172,'Candidate Tracker'!$C:$C,"Offer Drop")),"")</f>
        <v/>
      </c>
      <c r="AZ172" s="80">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0.88111888111888115</v>
      </c>
      <c r="BA172" s="81" t="str">
        <f>IFERROR(IF(COUNTIFS('Candidate Tracker'!$E:$E,'Positions Tracker'!$B172,'Candidate Tracker'!$I:$I,"Female")=0,"",COUNTIFS('Candidate Tracker'!$E:$E,'Positions Tracker'!$B172,'Candidate Tracker'!$I:$I,"Female")),"")</f>
        <v/>
      </c>
      <c r="BB172" s="81" t="str">
        <f>IFERROR(IF(COUNTIFS('Candidate Tracker'!$E:$E,'Positions Tracker'!$B172,'Candidate Tracker'!$I:$I,"male")=0,"",COUNTIFS('Candidate Tracker'!$E:$E,'Positions Tracker'!$B172,'Candidate Tracker'!$I:$I,"male")),"")</f>
        <v/>
      </c>
      <c r="BC172" s="80" t="str">
        <f>IFERROR(IF(COUNTIFS('Candidate Tracker'!$E:$E,'Positions Tracker'!$B172,'Candidate Tracker'!$C:$C,"&lt;&gt;WIP",'Candidate Tracker'!$C:$C,"&lt;&gt;Hold",'Candidate Tracker'!$C:$C,"&lt;&gt;Cancelled",'Candidate Tracker'!$C:$C,"&lt;&gt;Closed")/COUNTIFS('Candidate Tracker'!$E:$E,'Positions Tracker'!$B172)=0,"",COUNTIFS('Candidate Tracker'!$E:$E,'Positions Tracker'!$B172,'Candidate Tracker'!$C:$C,"&lt;&gt;WIP",'Candidate Tracker'!$C:$C,"&lt;&gt;Hold",'Candidate Tracker'!$C:$C,"&lt;&gt;Cancelled",'Candidate Tracker'!$C:$C,"&lt;&gt;Closed")/COUNTIFS('Candidate Tracker'!$E:$E,'Positions Tracker'!$B172)),"")</f>
        <v/>
      </c>
      <c r="BD172" s="67" t="str">
        <f t="shared" si="1"/>
        <v>Jun-24</v>
      </c>
      <c r="BE172" s="67" t="str">
        <f t="shared" si="2"/>
        <v>Jul-24</v>
      </c>
      <c r="BF172" s="67" t="str">
        <f t="shared" si="3"/>
        <v>Jul-24</v>
      </c>
      <c r="BG172" s="67" t="str">
        <f t="shared" si="4"/>
        <v>Sep-24</v>
      </c>
    </row>
    <row r="173" spans="1:59">
      <c r="A173" s="67">
        <f t="shared" si="14"/>
        <v>172</v>
      </c>
      <c r="B173" s="67"/>
      <c r="C173" s="67" t="s">
        <v>116</v>
      </c>
      <c r="D173" s="67" t="s">
        <v>116</v>
      </c>
      <c r="E173" s="67" t="s">
        <v>588</v>
      </c>
      <c r="F173" s="67"/>
      <c r="G173" s="67"/>
      <c r="H173" s="67"/>
      <c r="I173" s="67" t="s">
        <v>746</v>
      </c>
      <c r="J173" s="67" t="s">
        <v>70</v>
      </c>
      <c r="K173" s="68"/>
      <c r="L173" s="68">
        <v>45451</v>
      </c>
      <c r="M173" s="68">
        <v>45452</v>
      </c>
      <c r="N173" s="67"/>
      <c r="O173" s="68"/>
      <c r="P173" s="68"/>
      <c r="Q173" s="68"/>
      <c r="R173" s="68"/>
      <c r="S173" s="68"/>
      <c r="T173" s="68"/>
      <c r="U173" s="67"/>
      <c r="V173" s="67"/>
      <c r="W173" s="67"/>
      <c r="X173" s="67" t="s">
        <v>72</v>
      </c>
      <c r="Y173" s="67" t="s">
        <v>723</v>
      </c>
      <c r="Z173" s="67" t="s">
        <v>94</v>
      </c>
      <c r="AA173" s="67" t="s">
        <v>116</v>
      </c>
      <c r="AB173" s="67"/>
      <c r="AC173" s="67"/>
      <c r="AD173" s="67"/>
      <c r="AE173" s="67" t="s">
        <v>747</v>
      </c>
      <c r="AF173" s="67">
        <v>7974582540</v>
      </c>
      <c r="AG173" s="67"/>
      <c r="AH173" s="68" t="s">
        <v>86</v>
      </c>
      <c r="AI173" s="68">
        <v>45491</v>
      </c>
      <c r="AJ173" s="68"/>
      <c r="AK173" s="67"/>
      <c r="AL173" s="67">
        <v>650000</v>
      </c>
      <c r="AM173" s="68">
        <v>45505</v>
      </c>
      <c r="AN173" s="68"/>
      <c r="AO173" s="68"/>
      <c r="AP173" s="68"/>
      <c r="AQ173" s="68"/>
      <c r="AR173" s="68"/>
      <c r="AS173" s="68">
        <v>45565</v>
      </c>
      <c r="AT173" s="67">
        <f t="shared" ca="1" si="15"/>
        <v>0</v>
      </c>
      <c r="AU173" s="79" t="str">
        <f t="shared" ca="1" si="16"/>
        <v/>
      </c>
      <c r="AV173" s="79" t="str" cm="1">
        <f t="array" aca="1" ref="AV173" ca="1">IFERROR(_xlfn.IFS($AU173="","",$AU173&lt;=15,"0-15",AND($AU173&gt;=16,$AU173&lt;=30),"16-30",AND($AU173&gt;=31,$AU173&lt;=45),"31-45",AND($AU173&gt;=46,$AU173&lt;=60),"46-60",AND($AU173&gt;=61,$AU173&lt;=90),"61-90",AND($AU173&gt;=91),"&gt; 90",AND($AU173&gt;=2000),""),"")</f>
        <v/>
      </c>
      <c r="AW173" s="79" cm="1">
        <f t="array" aca="1" ref="AW173" ca="1">IFERROR(_xlfn.IFS(OR($M173="",$AM173=""),"",OR($C173="Offered",$C173="Joined"),($AM173-$M173)-$AT173),"")</f>
        <v>53</v>
      </c>
      <c r="AX173" s="79" cm="1">
        <f t="array" aca="1" ref="AX173" ca="1">IFERROR(_xlfn.IFS(OR($M173="",$AS173=""),"",$C173="Joined",($AS173-$M173)-$AT173),"")</f>
        <v>113</v>
      </c>
      <c r="AY173" s="67" t="str">
        <f>IFERROR(IF(COUNTIFS('Candidate Tracker'!$E:$E,'Positions Tracker'!$B173,'Candidate Tracker'!$C:$C,"Offer Drop")=0,"",COUNTIFS('Candidate Tracker'!$E:$E,'Positions Tracker'!$B173,'Candidate Tracker'!$C:$C,"Offer Drop")),"")</f>
        <v/>
      </c>
      <c r="AZ173" s="80">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0.88111888111888115</v>
      </c>
      <c r="BA173" s="81" t="str">
        <f>IFERROR(IF(COUNTIFS('Candidate Tracker'!$E:$E,'Positions Tracker'!$B173,'Candidate Tracker'!$I:$I,"Female")=0,"",COUNTIFS('Candidate Tracker'!$E:$E,'Positions Tracker'!$B173,'Candidate Tracker'!$I:$I,"Female")),"")</f>
        <v/>
      </c>
      <c r="BB173" s="81" t="str">
        <f>IFERROR(IF(COUNTIFS('Candidate Tracker'!$E:$E,'Positions Tracker'!$B173,'Candidate Tracker'!$I:$I,"male")=0,"",COUNTIFS('Candidate Tracker'!$E:$E,'Positions Tracker'!$B173,'Candidate Tracker'!$I:$I,"male")),"")</f>
        <v/>
      </c>
      <c r="BC173" s="80" t="str">
        <f>IFERROR(IF(COUNTIFS('Candidate Tracker'!$E:$E,'Positions Tracker'!$B173,'Candidate Tracker'!$C:$C,"&lt;&gt;WIP",'Candidate Tracker'!$C:$C,"&lt;&gt;Hold",'Candidate Tracker'!$C:$C,"&lt;&gt;Cancelled",'Candidate Tracker'!$C:$C,"&lt;&gt;Closed")/COUNTIFS('Candidate Tracker'!$E:$E,'Positions Tracker'!$B173)=0,"",COUNTIFS('Candidate Tracker'!$E:$E,'Positions Tracker'!$B173,'Candidate Tracker'!$C:$C,"&lt;&gt;WIP",'Candidate Tracker'!$C:$C,"&lt;&gt;Hold",'Candidate Tracker'!$C:$C,"&lt;&gt;Cancelled",'Candidate Tracker'!$C:$C,"&lt;&gt;Closed")/COUNTIFS('Candidate Tracker'!$E:$E,'Positions Tracker'!$B173)),"")</f>
        <v/>
      </c>
      <c r="BD173" s="67" t="str">
        <f t="shared" si="1"/>
        <v>Jun-24</v>
      </c>
      <c r="BE173" s="67" t="str">
        <f t="shared" si="2"/>
        <v>Jul-24</v>
      </c>
      <c r="BF173" s="67" t="str">
        <f t="shared" si="3"/>
        <v>Aug-24</v>
      </c>
      <c r="BG173" s="67" t="str">
        <f t="shared" si="4"/>
        <v>Sep-24</v>
      </c>
    </row>
    <row r="174" spans="1:59">
      <c r="A174" s="67">
        <f t="shared" si="14"/>
        <v>173</v>
      </c>
      <c r="B174" s="67"/>
      <c r="C174" s="67" t="s">
        <v>116</v>
      </c>
      <c r="D174" s="67" t="s">
        <v>116</v>
      </c>
      <c r="E174" s="67" t="s">
        <v>748</v>
      </c>
      <c r="F174" s="67"/>
      <c r="G174" s="67"/>
      <c r="H174" s="67"/>
      <c r="I174" s="67" t="s">
        <v>749</v>
      </c>
      <c r="J174" s="67" t="s">
        <v>70</v>
      </c>
      <c r="K174" s="68"/>
      <c r="L174" s="68">
        <v>45453</v>
      </c>
      <c r="M174" s="68">
        <v>45454</v>
      </c>
      <c r="N174" s="67"/>
      <c r="O174" s="68"/>
      <c r="P174" s="68"/>
      <c r="Q174" s="68"/>
      <c r="R174" s="68"/>
      <c r="S174" s="68"/>
      <c r="T174" s="68"/>
      <c r="U174" s="67"/>
      <c r="V174" s="67"/>
      <c r="W174" s="67"/>
      <c r="X174" s="67" t="s">
        <v>733</v>
      </c>
      <c r="Y174" s="67" t="s">
        <v>723</v>
      </c>
      <c r="Z174" s="67" t="s">
        <v>94</v>
      </c>
      <c r="AA174" s="67" t="s">
        <v>116</v>
      </c>
      <c r="AB174" s="67"/>
      <c r="AC174" s="67"/>
      <c r="AD174" s="67"/>
      <c r="AE174" s="67" t="s">
        <v>750</v>
      </c>
      <c r="AF174" s="67">
        <v>7875176601</v>
      </c>
      <c r="AG174" s="67"/>
      <c r="AH174" s="68" t="s">
        <v>123</v>
      </c>
      <c r="AI174" s="68">
        <v>45491</v>
      </c>
      <c r="AJ174" s="68"/>
      <c r="AK174" s="67"/>
      <c r="AL174" s="67">
        <v>830000</v>
      </c>
      <c r="AM174" s="68">
        <v>45533</v>
      </c>
      <c r="AN174" s="68"/>
      <c r="AO174" s="68"/>
      <c r="AP174" s="68"/>
      <c r="AQ174" s="68"/>
      <c r="AR174" s="68"/>
      <c r="AS174" s="68">
        <v>45565</v>
      </c>
      <c r="AT174" s="67">
        <f t="shared" ca="1" si="15"/>
        <v>0</v>
      </c>
      <c r="AU174" s="79" t="str">
        <f t="shared" ca="1" si="16"/>
        <v/>
      </c>
      <c r="AV174" s="79" t="str" cm="1">
        <f t="array" aca="1" ref="AV174" ca="1">IFERROR(_xlfn.IFS($AU174="","",$AU174&lt;=15,"0-15",AND($AU174&gt;=16,$AU174&lt;=30),"16-30",AND($AU174&gt;=31,$AU174&lt;=45),"31-45",AND($AU174&gt;=46,$AU174&lt;=60),"46-60",AND($AU174&gt;=61,$AU174&lt;=90),"61-90",AND($AU174&gt;=91),"&gt; 90",AND($AU174&gt;=2000),""),"")</f>
        <v/>
      </c>
      <c r="AW174" s="79" cm="1">
        <f t="array" aca="1" ref="AW174" ca="1">IFERROR(_xlfn.IFS(OR($M174="",$AM174=""),"",OR($C174="Offered",$C174="Joined"),($AM174-$M174)-$AT174),"")</f>
        <v>79</v>
      </c>
      <c r="AX174" s="79" cm="1">
        <f t="array" aca="1" ref="AX174" ca="1">IFERROR(_xlfn.IFS(OR($M174="",$AS174=""),"",$C174="Joined",($AS174-$M174)-$AT174),"")</f>
        <v>111</v>
      </c>
      <c r="AY174" s="67" t="str">
        <f>IFERROR(IF(COUNTIFS('Candidate Tracker'!$E:$E,'Positions Tracker'!$B174,'Candidate Tracker'!$C:$C,"Offer Drop")=0,"",COUNTIFS('Candidate Tracker'!$E:$E,'Positions Tracker'!$B174,'Candidate Tracker'!$C:$C,"Offer Drop")),"")</f>
        <v/>
      </c>
      <c r="AZ174" s="80">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0.88111888111888115</v>
      </c>
      <c r="BA174" s="81" t="str">
        <f>IFERROR(IF(COUNTIFS('Candidate Tracker'!$E:$E,'Positions Tracker'!$B174,'Candidate Tracker'!$I:$I,"Female")=0,"",COUNTIFS('Candidate Tracker'!$E:$E,'Positions Tracker'!$B174,'Candidate Tracker'!$I:$I,"Female")),"")</f>
        <v/>
      </c>
      <c r="BB174" s="81" t="str">
        <f>IFERROR(IF(COUNTIFS('Candidate Tracker'!$E:$E,'Positions Tracker'!$B174,'Candidate Tracker'!$I:$I,"male")=0,"",COUNTIFS('Candidate Tracker'!$E:$E,'Positions Tracker'!$B174,'Candidate Tracker'!$I:$I,"male")),"")</f>
        <v/>
      </c>
      <c r="BC174" s="80" t="str">
        <f>IFERROR(IF(COUNTIFS('Candidate Tracker'!$E:$E,'Positions Tracker'!$B174,'Candidate Tracker'!$C:$C,"&lt;&gt;WIP",'Candidate Tracker'!$C:$C,"&lt;&gt;Hold",'Candidate Tracker'!$C:$C,"&lt;&gt;Cancelled",'Candidate Tracker'!$C:$C,"&lt;&gt;Closed")/COUNTIFS('Candidate Tracker'!$E:$E,'Positions Tracker'!$B174)=0,"",COUNTIFS('Candidate Tracker'!$E:$E,'Positions Tracker'!$B174,'Candidate Tracker'!$C:$C,"&lt;&gt;WIP",'Candidate Tracker'!$C:$C,"&lt;&gt;Hold",'Candidate Tracker'!$C:$C,"&lt;&gt;Cancelled",'Candidate Tracker'!$C:$C,"&lt;&gt;Closed")/COUNTIFS('Candidate Tracker'!$E:$E,'Positions Tracker'!$B174)),"")</f>
        <v/>
      </c>
      <c r="BD174" s="67" t="str">
        <f t="shared" si="1"/>
        <v>Jun-24</v>
      </c>
      <c r="BE174" s="67" t="str">
        <f t="shared" si="2"/>
        <v>Jul-24</v>
      </c>
      <c r="BF174" s="67" t="str">
        <f t="shared" si="3"/>
        <v>Aug-24</v>
      </c>
      <c r="BG174" s="67" t="str">
        <f t="shared" si="4"/>
        <v>Sep-24</v>
      </c>
    </row>
    <row r="175" spans="1:59">
      <c r="A175" s="67">
        <f t="shared" si="14"/>
        <v>174</v>
      </c>
      <c r="B175" s="67"/>
      <c r="C175" s="67" t="s">
        <v>116</v>
      </c>
      <c r="D175" s="67" t="s">
        <v>116</v>
      </c>
      <c r="E175" s="67" t="s">
        <v>751</v>
      </c>
      <c r="F175" s="67" t="s">
        <v>752</v>
      </c>
      <c r="G175" s="67" t="s">
        <v>3</v>
      </c>
      <c r="H175" s="67" t="s">
        <v>68</v>
      </c>
      <c r="I175" s="67" t="s">
        <v>617</v>
      </c>
      <c r="J175" s="67" t="s">
        <v>70</v>
      </c>
      <c r="K175" s="68">
        <v>45580</v>
      </c>
      <c r="L175" s="68">
        <v>45580</v>
      </c>
      <c r="M175" s="68">
        <v>45580</v>
      </c>
      <c r="N175" s="67"/>
      <c r="O175" s="68"/>
      <c r="P175" s="68"/>
      <c r="Q175" s="68"/>
      <c r="R175" s="68"/>
      <c r="S175" s="68"/>
      <c r="T175" s="68"/>
      <c r="U175" s="67"/>
      <c r="V175" s="67"/>
      <c r="W175" s="67"/>
      <c r="X175" s="67" t="s">
        <v>72</v>
      </c>
      <c r="Y175" s="67" t="s">
        <v>74</v>
      </c>
      <c r="Z175" s="67" t="s">
        <v>74</v>
      </c>
      <c r="AA175" s="67" t="s">
        <v>116</v>
      </c>
      <c r="AB175" s="67"/>
      <c r="AC175" s="67"/>
      <c r="AD175" s="67"/>
      <c r="AE175" s="67" t="s">
        <v>753</v>
      </c>
      <c r="AF175" s="67" t="s">
        <v>754</v>
      </c>
      <c r="AG175" s="67" t="s">
        <v>755</v>
      </c>
      <c r="AH175" s="68" t="s">
        <v>123</v>
      </c>
      <c r="AI175" s="68">
        <v>45492</v>
      </c>
      <c r="AJ175" s="68">
        <v>45492</v>
      </c>
      <c r="AK175" s="67" t="s">
        <v>72</v>
      </c>
      <c r="AL175" s="67">
        <v>1100000</v>
      </c>
      <c r="AM175" s="68">
        <v>45507</v>
      </c>
      <c r="AN175" s="68">
        <v>45391</v>
      </c>
      <c r="AO175" s="68"/>
      <c r="AP175" s="68">
        <v>45391</v>
      </c>
      <c r="AQ175" s="68">
        <v>45393</v>
      </c>
      <c r="AR175" s="68">
        <v>45568</v>
      </c>
      <c r="AS175" s="68">
        <v>45572</v>
      </c>
      <c r="AT175" s="67">
        <f t="shared" ca="1" si="15"/>
        <v>0</v>
      </c>
      <c r="AU175" s="79" t="str">
        <f t="shared" ca="1" si="16"/>
        <v/>
      </c>
      <c r="AV175" s="79" t="str" cm="1">
        <f t="array" aca="1" ref="AV175" ca="1">IFERROR(_xlfn.IFS($AU175="","",$AU175&lt;=15,"0-15",AND($AU175&gt;=16,$AU175&lt;=30),"16-30",AND($AU175&gt;=31,$AU175&lt;=45),"31-45",AND($AU175&gt;=46,$AU175&lt;=60),"46-60",AND($AU175&gt;=61,$AU175&lt;=90),"61-90",AND($AU175&gt;=91),"&gt; 90",AND($AU175&gt;=2000),""),"")</f>
        <v/>
      </c>
      <c r="AW175" s="79" cm="1">
        <f t="array" aca="1" ref="AW175" ca="1">IFERROR(_xlfn.IFS(OR($M175="",$AM175=""),"",OR($C175="Offered",$C175="Joined"),($AM175-$M175)-$AT175),"")</f>
        <v>-73</v>
      </c>
      <c r="AX175" s="79" cm="1">
        <f t="array" aca="1" ref="AX175" ca="1">IFERROR(_xlfn.IFS(OR($M175="",$AS175=""),"",$C175="Joined",($AS175-$M175)-$AT175),"")</f>
        <v>-8</v>
      </c>
      <c r="AY175" s="67" t="str">
        <f>IFERROR(IF(COUNTIFS('Candidate Tracker'!$E:$E,'Positions Tracker'!$B175,'Candidate Tracker'!$C:$C,"Offer Drop")=0,"",COUNTIFS('Candidate Tracker'!$E:$E,'Positions Tracker'!$B175,'Candidate Tracker'!$C:$C,"Offer Drop")),"")</f>
        <v/>
      </c>
      <c r="AZ175" s="80">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0.88111888111888115</v>
      </c>
      <c r="BA175" s="81" t="str">
        <f>IFERROR(IF(COUNTIFS('Candidate Tracker'!$E:$E,'Positions Tracker'!$B175,'Candidate Tracker'!$I:$I,"Female")=0,"",COUNTIFS('Candidate Tracker'!$E:$E,'Positions Tracker'!$B175,'Candidate Tracker'!$I:$I,"Female")),"")</f>
        <v/>
      </c>
      <c r="BB175" s="81" t="str">
        <f>IFERROR(IF(COUNTIFS('Candidate Tracker'!$E:$E,'Positions Tracker'!$B175,'Candidate Tracker'!$I:$I,"male")=0,"",COUNTIFS('Candidate Tracker'!$E:$E,'Positions Tracker'!$B175,'Candidate Tracker'!$I:$I,"male")),"")</f>
        <v/>
      </c>
      <c r="BC175" s="80" t="str">
        <f>IFERROR(IF(COUNTIFS('Candidate Tracker'!$E:$E,'Positions Tracker'!$B175,'Candidate Tracker'!$C:$C,"&lt;&gt;WIP",'Candidate Tracker'!$C:$C,"&lt;&gt;Hold",'Candidate Tracker'!$C:$C,"&lt;&gt;Cancelled",'Candidate Tracker'!$C:$C,"&lt;&gt;Closed")/COUNTIFS('Candidate Tracker'!$E:$E,'Positions Tracker'!$B175)=0,"",COUNTIFS('Candidate Tracker'!$E:$E,'Positions Tracker'!$B175,'Candidate Tracker'!$C:$C,"&lt;&gt;WIP",'Candidate Tracker'!$C:$C,"&lt;&gt;Hold",'Candidate Tracker'!$C:$C,"&lt;&gt;Cancelled",'Candidate Tracker'!$C:$C,"&lt;&gt;Closed")/COUNTIFS('Candidate Tracker'!$E:$E,'Positions Tracker'!$B175)),"")</f>
        <v/>
      </c>
      <c r="BD175" s="67" t="str">
        <f t="shared" si="1"/>
        <v>Oct-24</v>
      </c>
      <c r="BE175" s="67" t="str">
        <f t="shared" si="2"/>
        <v>Jul-24</v>
      </c>
      <c r="BF175" s="67" t="str">
        <f t="shared" si="3"/>
        <v>Aug-24</v>
      </c>
      <c r="BG175" s="67" t="str">
        <f t="shared" si="4"/>
        <v>Oct-24</v>
      </c>
    </row>
    <row r="176" spans="1:59">
      <c r="A176" s="67">
        <f t="shared" si="14"/>
        <v>175</v>
      </c>
      <c r="B176" s="67"/>
      <c r="C176" s="67" t="s">
        <v>116</v>
      </c>
      <c r="D176" s="67" t="s">
        <v>116</v>
      </c>
      <c r="E176" s="67" t="s">
        <v>756</v>
      </c>
      <c r="F176" s="67" t="s">
        <v>757</v>
      </c>
      <c r="G176" s="67" t="s">
        <v>3</v>
      </c>
      <c r="H176" s="67" t="s">
        <v>111</v>
      </c>
      <c r="I176" s="67" t="s">
        <v>228</v>
      </c>
      <c r="J176" s="67" t="s">
        <v>70</v>
      </c>
      <c r="K176" s="68">
        <v>45628</v>
      </c>
      <c r="L176" s="68">
        <v>45628</v>
      </c>
      <c r="M176" s="68">
        <v>45628</v>
      </c>
      <c r="N176" s="67" t="s">
        <v>82</v>
      </c>
      <c r="O176" s="68"/>
      <c r="P176" s="68"/>
      <c r="Q176" s="68"/>
      <c r="R176" s="68"/>
      <c r="S176" s="68"/>
      <c r="T176" s="68"/>
      <c r="U176" s="67"/>
      <c r="V176" s="67"/>
      <c r="W176" s="67"/>
      <c r="X176" s="67" t="s">
        <v>72</v>
      </c>
      <c r="Y176" s="67" t="s">
        <v>245</v>
      </c>
      <c r="Z176" s="67" t="s">
        <v>245</v>
      </c>
      <c r="AA176" s="67" t="s">
        <v>724</v>
      </c>
      <c r="AB176" s="67"/>
      <c r="AC176" s="67"/>
      <c r="AD176" s="67"/>
      <c r="AE176" s="67" t="s">
        <v>758</v>
      </c>
      <c r="AF176" s="67">
        <v>9766899143</v>
      </c>
      <c r="AG176" s="67"/>
      <c r="AH176" s="68" t="s">
        <v>86</v>
      </c>
      <c r="AI176" s="68">
        <v>45600</v>
      </c>
      <c r="AJ176" s="68"/>
      <c r="AK176" s="67"/>
      <c r="AL176" s="67">
        <v>800000</v>
      </c>
      <c r="AM176" s="68">
        <v>45628</v>
      </c>
      <c r="AN176" s="68"/>
      <c r="AO176" s="68"/>
      <c r="AP176" s="68"/>
      <c r="AQ176" s="68"/>
      <c r="AR176" s="68"/>
      <c r="AS176" s="68">
        <v>45628</v>
      </c>
      <c r="AT176" s="67">
        <f t="shared" ca="1" si="15"/>
        <v>0</v>
      </c>
      <c r="AU176" s="79" t="str">
        <f t="shared" ca="1" si="16"/>
        <v/>
      </c>
      <c r="AV176" s="79" t="str" cm="1">
        <f t="array" aca="1" ref="AV176" ca="1">IFERROR(_xlfn.IFS($AU176="","",$AU176&lt;=15,"0-15",AND($AU176&gt;=16,$AU176&lt;=30),"16-30",AND($AU176&gt;=31,$AU176&lt;=45),"31-45",AND($AU176&gt;=46,$AU176&lt;=60),"46-60",AND($AU176&gt;=61,$AU176&lt;=90),"61-90",AND($AU176&gt;=91),"&gt; 90",AND($AU176&gt;=2000),""),"")</f>
        <v/>
      </c>
      <c r="AW176" s="79" cm="1">
        <f t="array" aca="1" ref="AW176" ca="1">IFERROR(_xlfn.IFS(OR($M176="",$AM176=""),"",OR($C176="Offered",$C176="Joined"),($AM176-$M176)-$AT176),"")</f>
        <v>0</v>
      </c>
      <c r="AX176" s="79" cm="1">
        <f t="array" aca="1" ref="AX176" ca="1">IFERROR(_xlfn.IFS(OR($M176="",$AS176=""),"",$C176="Joined",($AS176-$M176)-$AT176),"")</f>
        <v>0</v>
      </c>
      <c r="AY176" s="67" t="str">
        <f>IFERROR(IF(COUNTIFS('Candidate Tracker'!$E:$E,'Positions Tracker'!$B176,'Candidate Tracker'!$C:$C,"Offer Drop")=0,"",COUNTIFS('Candidate Tracker'!$E:$E,'Positions Tracker'!$B176,'Candidate Tracker'!$C:$C,"Offer Drop")),"")</f>
        <v/>
      </c>
      <c r="AZ176" s="80">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0.88111888111888115</v>
      </c>
      <c r="BA176" s="81" t="str">
        <f>IFERROR(IF(COUNTIFS('Candidate Tracker'!$E:$E,'Positions Tracker'!$B176,'Candidate Tracker'!$I:$I,"Female")=0,"",COUNTIFS('Candidate Tracker'!$E:$E,'Positions Tracker'!$B176,'Candidate Tracker'!$I:$I,"Female")),"")</f>
        <v/>
      </c>
      <c r="BB176" s="81" t="str">
        <f>IFERROR(IF(COUNTIFS('Candidate Tracker'!$E:$E,'Positions Tracker'!$B176,'Candidate Tracker'!$I:$I,"male")=0,"",COUNTIFS('Candidate Tracker'!$E:$E,'Positions Tracker'!$B176,'Candidate Tracker'!$I:$I,"male")),"")</f>
        <v/>
      </c>
      <c r="BC176" s="80" t="str">
        <f>IFERROR(IF(COUNTIFS('Candidate Tracker'!$E:$E,'Positions Tracker'!$B176,'Candidate Tracker'!$C:$C,"&lt;&gt;WIP",'Candidate Tracker'!$C:$C,"&lt;&gt;Hold",'Candidate Tracker'!$C:$C,"&lt;&gt;Cancelled",'Candidate Tracker'!$C:$C,"&lt;&gt;Closed")/COUNTIFS('Candidate Tracker'!$E:$E,'Positions Tracker'!$B176)=0,"",COUNTIFS('Candidate Tracker'!$E:$E,'Positions Tracker'!$B176,'Candidate Tracker'!$C:$C,"&lt;&gt;WIP",'Candidate Tracker'!$C:$C,"&lt;&gt;Hold",'Candidate Tracker'!$C:$C,"&lt;&gt;Cancelled",'Candidate Tracker'!$C:$C,"&lt;&gt;Closed")/COUNTIFS('Candidate Tracker'!$E:$E,'Positions Tracker'!$B176)),"")</f>
        <v/>
      </c>
      <c r="BD176" s="67" t="str">
        <f t="shared" si="1"/>
        <v>Dec-24</v>
      </c>
      <c r="BE176" s="67" t="str">
        <f t="shared" si="2"/>
        <v>Nov-24</v>
      </c>
      <c r="BF176" s="67" t="str">
        <f t="shared" si="3"/>
        <v>Dec-24</v>
      </c>
      <c r="BG176" s="67" t="str">
        <f t="shared" si="4"/>
        <v>Dec-24</v>
      </c>
    </row>
    <row r="177" spans="1:59">
      <c r="A177" s="67">
        <f t="shared" si="14"/>
        <v>176</v>
      </c>
      <c r="B177" s="67"/>
      <c r="C177" s="67" t="s">
        <v>55</v>
      </c>
      <c r="D177" s="67" t="s">
        <v>80</v>
      </c>
      <c r="E177" s="67" t="s">
        <v>759</v>
      </c>
      <c r="F177" s="67" t="s">
        <v>760</v>
      </c>
      <c r="G177" s="67"/>
      <c r="H177" s="67"/>
      <c r="I177" s="67" t="s">
        <v>617</v>
      </c>
      <c r="J177" s="67" t="s">
        <v>70</v>
      </c>
      <c r="K177" s="68"/>
      <c r="L177" s="68">
        <v>45347</v>
      </c>
      <c r="M177" s="68">
        <v>45348</v>
      </c>
      <c r="N177" s="67"/>
      <c r="O177" s="68"/>
      <c r="P177" s="68"/>
      <c r="Q177" s="68"/>
      <c r="R177" s="68"/>
      <c r="S177" s="68"/>
      <c r="T177" s="68"/>
      <c r="U177" s="67"/>
      <c r="V177" s="67"/>
      <c r="W177" s="67"/>
      <c r="X177" s="67" t="s">
        <v>72</v>
      </c>
      <c r="Y177" s="67" t="s">
        <v>723</v>
      </c>
      <c r="Z177" s="67" t="s">
        <v>723</v>
      </c>
      <c r="AA177" s="67" t="s">
        <v>687</v>
      </c>
      <c r="AB177" s="67"/>
      <c r="AC177" s="67"/>
      <c r="AD177" s="67"/>
      <c r="AE177" s="67" t="s">
        <v>761</v>
      </c>
      <c r="AF177" s="67">
        <v>9686010922</v>
      </c>
      <c r="AG177" s="67"/>
      <c r="AH177" s="68" t="s">
        <v>123</v>
      </c>
      <c r="AI177" s="68">
        <v>45393</v>
      </c>
      <c r="AJ177" s="68"/>
      <c r="AK177" s="67"/>
      <c r="AL177" s="67">
        <v>1100000</v>
      </c>
      <c r="AM177" s="68">
        <v>45427</v>
      </c>
      <c r="AN177" s="68"/>
      <c r="AO177" s="68"/>
      <c r="AP177" s="68"/>
      <c r="AQ177" s="68"/>
      <c r="AR177" s="68"/>
      <c r="AS177" s="68"/>
      <c r="AT177" s="67">
        <f t="shared" ca="1" si="15"/>
        <v>0</v>
      </c>
      <c r="AU177" s="79" t="str">
        <f t="shared" ca="1" si="16"/>
        <v/>
      </c>
      <c r="AV177" s="79" t="str" cm="1">
        <f t="array" aca="1" ref="AV177" ca="1">IFERROR(_xlfn.IFS($AU177="","",$AU177&lt;=15,"0-15",AND($AU177&gt;=16,$AU177&lt;=30),"16-30",AND($AU177&gt;=31,$AU177&lt;=45),"31-45",AND($AU177&gt;=46,$AU177&lt;=60),"46-60",AND($AU177&gt;=61,$AU177&lt;=90),"61-90",AND($AU177&gt;=91),"&gt; 90",AND($AU177&gt;=2000),""),"")</f>
        <v/>
      </c>
      <c r="AW177" s="79" t="str" cm="1">
        <f t="array" aca="1" ref="AW177" ca="1">IFERROR(_xlfn.IFS(OR($M177="",$AM177=""),"",OR($C177="Offered",$C177="Joined"),($AM177-$M177)-$AT177),"")</f>
        <v/>
      </c>
      <c r="AX177" s="79" t="str" cm="1">
        <f t="array" aca="1" ref="AX177" ca="1">IFERROR(_xlfn.IFS(OR($M177="",$AS177=""),"",$C177="Joined",($AS177-$M177)-$AT177),"")</f>
        <v/>
      </c>
      <c r="AY177" s="67" t="str">
        <f>IFERROR(IF(COUNTIFS('Candidate Tracker'!$E:$E,'Positions Tracker'!$B177,'Candidate Tracker'!$C:$C,"Offer Drop")=0,"",COUNTIFS('Candidate Tracker'!$E:$E,'Positions Tracker'!$B177,'Candidate Tracker'!$C:$C,"Offer Drop")),"")</f>
        <v/>
      </c>
      <c r="AZ177" s="80">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0.88111888111888115</v>
      </c>
      <c r="BA177" s="81" t="str">
        <f>IFERROR(IF(COUNTIFS('Candidate Tracker'!$E:$E,'Positions Tracker'!$B177,'Candidate Tracker'!$I:$I,"Female")=0,"",COUNTIFS('Candidate Tracker'!$E:$E,'Positions Tracker'!$B177,'Candidate Tracker'!$I:$I,"Female")),"")</f>
        <v/>
      </c>
      <c r="BB177" s="81" t="str">
        <f>IFERROR(IF(COUNTIFS('Candidate Tracker'!$E:$E,'Positions Tracker'!$B177,'Candidate Tracker'!$I:$I,"male")=0,"",COUNTIFS('Candidate Tracker'!$E:$E,'Positions Tracker'!$B177,'Candidate Tracker'!$I:$I,"male")),"")</f>
        <v/>
      </c>
      <c r="BC177" s="80" t="str">
        <f>IFERROR(IF(COUNTIFS('Candidate Tracker'!$E:$E,'Positions Tracker'!$B177,'Candidate Tracker'!$C:$C,"&lt;&gt;WIP",'Candidate Tracker'!$C:$C,"&lt;&gt;Hold",'Candidate Tracker'!$C:$C,"&lt;&gt;Cancelled",'Candidate Tracker'!$C:$C,"&lt;&gt;Closed")/COUNTIFS('Candidate Tracker'!$E:$E,'Positions Tracker'!$B177)=0,"",COUNTIFS('Candidate Tracker'!$E:$E,'Positions Tracker'!$B177,'Candidate Tracker'!$C:$C,"&lt;&gt;WIP",'Candidate Tracker'!$C:$C,"&lt;&gt;Hold",'Candidate Tracker'!$C:$C,"&lt;&gt;Cancelled",'Candidate Tracker'!$C:$C,"&lt;&gt;Closed")/COUNTIFS('Candidate Tracker'!$E:$E,'Positions Tracker'!$B177)),"")</f>
        <v/>
      </c>
      <c r="BD177" s="67" t="str">
        <f t="shared" si="1"/>
        <v>Feb-24</v>
      </c>
      <c r="BE177" s="67" t="str">
        <f t="shared" si="2"/>
        <v>Apr-24</v>
      </c>
      <c r="BF177" s="67" t="str">
        <f t="shared" si="3"/>
        <v>May-24</v>
      </c>
      <c r="BG177" s="67" t="str">
        <f t="shared" si="4"/>
        <v/>
      </c>
    </row>
    <row r="178" spans="1:59">
      <c r="A178" s="67">
        <f t="shared" si="14"/>
        <v>177</v>
      </c>
      <c r="B178" s="67"/>
      <c r="C178" s="67" t="s">
        <v>55</v>
      </c>
      <c r="D178" s="67" t="s">
        <v>80</v>
      </c>
      <c r="E178" s="67" t="s">
        <v>593</v>
      </c>
      <c r="F178" s="67" t="s">
        <v>762</v>
      </c>
      <c r="G178" s="67"/>
      <c r="H178" s="67"/>
      <c r="I178" s="67" t="s">
        <v>746</v>
      </c>
      <c r="J178" s="67" t="s">
        <v>70</v>
      </c>
      <c r="K178" s="68"/>
      <c r="L178" s="68">
        <v>45433</v>
      </c>
      <c r="M178" s="68">
        <v>45434</v>
      </c>
      <c r="N178" s="67"/>
      <c r="O178" s="68"/>
      <c r="P178" s="68"/>
      <c r="Q178" s="68"/>
      <c r="R178" s="68"/>
      <c r="S178" s="68"/>
      <c r="T178" s="68"/>
      <c r="U178" s="67"/>
      <c r="V178" s="67"/>
      <c r="W178" s="67"/>
      <c r="X178" s="67" t="s">
        <v>72</v>
      </c>
      <c r="Y178" s="67" t="s">
        <v>723</v>
      </c>
      <c r="Z178" s="67" t="s">
        <v>723</v>
      </c>
      <c r="AA178" s="67" t="s">
        <v>763</v>
      </c>
      <c r="AB178" s="67"/>
      <c r="AC178" s="67"/>
      <c r="AD178" s="67"/>
      <c r="AE178" s="67" t="s">
        <v>764</v>
      </c>
      <c r="AF178" s="67">
        <v>7893435617</v>
      </c>
      <c r="AG178" s="67"/>
      <c r="AH178" s="68" t="s">
        <v>123</v>
      </c>
      <c r="AI178" s="68">
        <v>45471</v>
      </c>
      <c r="AJ178" s="68"/>
      <c r="AK178" s="67"/>
      <c r="AL178" s="67">
        <v>1200000</v>
      </c>
      <c r="AM178" s="68">
        <v>45475</v>
      </c>
      <c r="AN178" s="68"/>
      <c r="AO178" s="68"/>
      <c r="AP178" s="68"/>
      <c r="AQ178" s="68"/>
      <c r="AR178" s="68"/>
      <c r="AS178" s="68"/>
      <c r="AT178" s="67">
        <f t="shared" ca="1" si="15"/>
        <v>0</v>
      </c>
      <c r="AU178" s="79" t="str">
        <f t="shared" ca="1" si="16"/>
        <v/>
      </c>
      <c r="AV178" s="79" t="str" cm="1">
        <f t="array" aca="1" ref="AV178" ca="1">IFERROR(_xlfn.IFS($AU178="","",$AU178&lt;=15,"0-15",AND($AU178&gt;=16,$AU178&lt;=30),"16-30",AND($AU178&gt;=31,$AU178&lt;=45),"31-45",AND($AU178&gt;=46,$AU178&lt;=60),"46-60",AND($AU178&gt;=61,$AU178&lt;=90),"61-90",AND($AU178&gt;=91),"&gt; 90",AND($AU178&gt;=2000),""),"")</f>
        <v/>
      </c>
      <c r="AW178" s="79" t="str" cm="1">
        <f t="array" aca="1" ref="AW178" ca="1">IFERROR(_xlfn.IFS(OR($M178="",$AM178=""),"",OR($C178="Offered",$C178="Joined"),($AM178-$M178)-$AT178),"")</f>
        <v/>
      </c>
      <c r="AX178" s="79" t="str" cm="1">
        <f t="array" aca="1" ref="AX178" ca="1">IFERROR(_xlfn.IFS(OR($M178="",$AS178=""),"",$C178="Joined",($AS178-$M178)-$AT178),"")</f>
        <v/>
      </c>
      <c r="AY178" s="67" t="str">
        <f>IFERROR(IF(COUNTIFS('Candidate Tracker'!$E:$E,'Positions Tracker'!$B178,'Candidate Tracker'!$C:$C,"Offer Drop")=0,"",COUNTIFS('Candidate Tracker'!$E:$E,'Positions Tracker'!$B178,'Candidate Tracker'!$C:$C,"Offer Drop")),"")</f>
        <v/>
      </c>
      <c r="AZ178" s="80">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0.88111888111888115</v>
      </c>
      <c r="BA178" s="81" t="str">
        <f>IFERROR(IF(COUNTIFS('Candidate Tracker'!$E:$E,'Positions Tracker'!$B178,'Candidate Tracker'!$I:$I,"Female")=0,"",COUNTIFS('Candidate Tracker'!$E:$E,'Positions Tracker'!$B178,'Candidate Tracker'!$I:$I,"Female")),"")</f>
        <v/>
      </c>
      <c r="BB178" s="81" t="str">
        <f>IFERROR(IF(COUNTIFS('Candidate Tracker'!$E:$E,'Positions Tracker'!$B178,'Candidate Tracker'!$I:$I,"male")=0,"",COUNTIFS('Candidate Tracker'!$E:$E,'Positions Tracker'!$B178,'Candidate Tracker'!$I:$I,"male")),"")</f>
        <v/>
      </c>
      <c r="BC178" s="80" t="str">
        <f>IFERROR(IF(COUNTIFS('Candidate Tracker'!$E:$E,'Positions Tracker'!$B178,'Candidate Tracker'!$C:$C,"&lt;&gt;WIP",'Candidate Tracker'!$C:$C,"&lt;&gt;Hold",'Candidate Tracker'!$C:$C,"&lt;&gt;Cancelled",'Candidate Tracker'!$C:$C,"&lt;&gt;Closed")/COUNTIFS('Candidate Tracker'!$E:$E,'Positions Tracker'!$B178)=0,"",COUNTIFS('Candidate Tracker'!$E:$E,'Positions Tracker'!$B178,'Candidate Tracker'!$C:$C,"&lt;&gt;WIP",'Candidate Tracker'!$C:$C,"&lt;&gt;Hold",'Candidate Tracker'!$C:$C,"&lt;&gt;Cancelled",'Candidate Tracker'!$C:$C,"&lt;&gt;Closed")/COUNTIFS('Candidate Tracker'!$E:$E,'Positions Tracker'!$B178)),"")</f>
        <v/>
      </c>
      <c r="BD178" s="67" t="str">
        <f t="shared" si="1"/>
        <v>May-24</v>
      </c>
      <c r="BE178" s="67" t="str">
        <f t="shared" si="2"/>
        <v>Jun-24</v>
      </c>
      <c r="BF178" s="67" t="str">
        <f t="shared" si="3"/>
        <v>Jul-24</v>
      </c>
      <c r="BG178" s="67" t="str">
        <f t="shared" si="4"/>
        <v/>
      </c>
    </row>
    <row r="179" spans="1:59">
      <c r="A179" s="67">
        <f t="shared" si="14"/>
        <v>178</v>
      </c>
      <c r="B179" s="67"/>
      <c r="C179" s="67" t="s">
        <v>55</v>
      </c>
      <c r="D179" s="67" t="s">
        <v>80</v>
      </c>
      <c r="E179" s="67" t="s">
        <v>765</v>
      </c>
      <c r="F179" s="67" t="s">
        <v>766</v>
      </c>
      <c r="G179" s="67"/>
      <c r="H179" s="67"/>
      <c r="I179" s="67" t="s">
        <v>767</v>
      </c>
      <c r="J179" s="67" t="s">
        <v>70</v>
      </c>
      <c r="K179" s="68"/>
      <c r="L179" s="68">
        <v>45428</v>
      </c>
      <c r="M179" s="68">
        <v>45429</v>
      </c>
      <c r="N179" s="67"/>
      <c r="O179" s="68"/>
      <c r="P179" s="68"/>
      <c r="Q179" s="68"/>
      <c r="R179" s="68"/>
      <c r="S179" s="68"/>
      <c r="T179" s="68"/>
      <c r="U179" s="67"/>
      <c r="V179" s="67"/>
      <c r="W179" s="67"/>
      <c r="X179" s="67" t="s">
        <v>733</v>
      </c>
      <c r="Y179" s="67" t="s">
        <v>723</v>
      </c>
      <c r="Z179" s="67" t="s">
        <v>94</v>
      </c>
      <c r="AA179" s="67" t="s">
        <v>763</v>
      </c>
      <c r="AB179" s="67"/>
      <c r="AC179" s="67"/>
      <c r="AD179" s="67"/>
      <c r="AE179" s="67" t="s">
        <v>768</v>
      </c>
      <c r="AF179" s="67">
        <v>9766185092</v>
      </c>
      <c r="AG179" s="67"/>
      <c r="AH179" s="68" t="s">
        <v>86</v>
      </c>
      <c r="AI179" s="68">
        <v>45474</v>
      </c>
      <c r="AJ179" s="68"/>
      <c r="AK179" s="67"/>
      <c r="AL179" s="67">
        <v>1680000</v>
      </c>
      <c r="AM179" s="68">
        <v>45476</v>
      </c>
      <c r="AN179" s="68"/>
      <c r="AO179" s="68"/>
      <c r="AP179" s="68"/>
      <c r="AQ179" s="68"/>
      <c r="AR179" s="68"/>
      <c r="AS179" s="68"/>
      <c r="AT179" s="67">
        <f t="shared" ca="1" si="15"/>
        <v>0</v>
      </c>
      <c r="AU179" s="79" t="str">
        <f t="shared" ca="1" si="16"/>
        <v/>
      </c>
      <c r="AV179" s="79" t="str" cm="1">
        <f t="array" aca="1" ref="AV179" ca="1">IFERROR(_xlfn.IFS($AU179="","",$AU179&lt;=15,"0-15",AND($AU179&gt;=16,$AU179&lt;=30),"16-30",AND($AU179&gt;=31,$AU179&lt;=45),"31-45",AND($AU179&gt;=46,$AU179&lt;=60),"46-60",AND($AU179&gt;=61,$AU179&lt;=90),"61-90",AND($AU179&gt;=91),"&gt; 90",AND($AU179&gt;=2000),""),"")</f>
        <v/>
      </c>
      <c r="AW179" s="79" t="str" cm="1">
        <f t="array" aca="1" ref="AW179" ca="1">IFERROR(_xlfn.IFS(OR($M179="",$AM179=""),"",OR($C179="Offered",$C179="Joined"),($AM179-$M179)-$AT179),"")</f>
        <v/>
      </c>
      <c r="AX179" s="79" t="str" cm="1">
        <f t="array" aca="1" ref="AX179" ca="1">IFERROR(_xlfn.IFS(OR($M179="",$AS179=""),"",$C179="Joined",($AS179-$M179)-$AT179),"")</f>
        <v/>
      </c>
      <c r="AY179" s="67" t="str">
        <f>IFERROR(IF(COUNTIFS('Candidate Tracker'!$E:$E,'Positions Tracker'!$B179,'Candidate Tracker'!$C:$C,"Offer Drop")=0,"",COUNTIFS('Candidate Tracker'!$E:$E,'Positions Tracker'!$B179,'Candidate Tracker'!$C:$C,"Offer Drop")),"")</f>
        <v/>
      </c>
      <c r="AZ179" s="80">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0.88111888111888115</v>
      </c>
      <c r="BA179" s="81" t="str">
        <f>IFERROR(IF(COUNTIFS('Candidate Tracker'!$E:$E,'Positions Tracker'!$B179,'Candidate Tracker'!$I:$I,"Female")=0,"",COUNTIFS('Candidate Tracker'!$E:$E,'Positions Tracker'!$B179,'Candidate Tracker'!$I:$I,"Female")),"")</f>
        <v/>
      </c>
      <c r="BB179" s="81" t="str">
        <f>IFERROR(IF(COUNTIFS('Candidate Tracker'!$E:$E,'Positions Tracker'!$B179,'Candidate Tracker'!$I:$I,"male")=0,"",COUNTIFS('Candidate Tracker'!$E:$E,'Positions Tracker'!$B179,'Candidate Tracker'!$I:$I,"male")),"")</f>
        <v/>
      </c>
      <c r="BC179" s="80" t="str">
        <f>IFERROR(IF(COUNTIFS('Candidate Tracker'!$E:$E,'Positions Tracker'!$B179,'Candidate Tracker'!$C:$C,"&lt;&gt;WIP",'Candidate Tracker'!$C:$C,"&lt;&gt;Hold",'Candidate Tracker'!$C:$C,"&lt;&gt;Cancelled",'Candidate Tracker'!$C:$C,"&lt;&gt;Closed")/COUNTIFS('Candidate Tracker'!$E:$E,'Positions Tracker'!$B179)=0,"",COUNTIFS('Candidate Tracker'!$E:$E,'Positions Tracker'!$B179,'Candidate Tracker'!$C:$C,"&lt;&gt;WIP",'Candidate Tracker'!$C:$C,"&lt;&gt;Hold",'Candidate Tracker'!$C:$C,"&lt;&gt;Cancelled",'Candidate Tracker'!$C:$C,"&lt;&gt;Closed")/COUNTIFS('Candidate Tracker'!$E:$E,'Positions Tracker'!$B179)),"")</f>
        <v/>
      </c>
      <c r="BD179" s="67" t="str">
        <f t="shared" si="1"/>
        <v>May-24</v>
      </c>
      <c r="BE179" s="67" t="str">
        <f t="shared" si="2"/>
        <v>Jul-24</v>
      </c>
      <c r="BF179" s="67" t="str">
        <f t="shared" si="3"/>
        <v>Jul-24</v>
      </c>
      <c r="BG179" s="67" t="str">
        <f t="shared" si="4"/>
        <v/>
      </c>
    </row>
    <row r="180" spans="1:59">
      <c r="A180" s="67">
        <f t="shared" si="14"/>
        <v>179</v>
      </c>
      <c r="B180" s="67"/>
      <c r="C180" s="67" t="s">
        <v>55</v>
      </c>
      <c r="D180" s="67" t="s">
        <v>80</v>
      </c>
      <c r="E180" s="67" t="s">
        <v>769</v>
      </c>
      <c r="F180" s="67" t="s">
        <v>158</v>
      </c>
      <c r="G180" s="67" t="s">
        <v>3</v>
      </c>
      <c r="H180" s="67" t="s">
        <v>68</v>
      </c>
      <c r="I180" s="67" t="s">
        <v>107</v>
      </c>
      <c r="J180" s="67" t="s">
        <v>70</v>
      </c>
      <c r="K180" s="68">
        <v>45085</v>
      </c>
      <c r="L180" s="68">
        <v>45337</v>
      </c>
      <c r="M180" s="68">
        <v>45665</v>
      </c>
      <c r="N180" s="67" t="s">
        <v>82</v>
      </c>
      <c r="O180" s="68"/>
      <c r="P180" s="68"/>
      <c r="Q180" s="68"/>
      <c r="R180" s="68"/>
      <c r="S180" s="68"/>
      <c r="T180" s="68"/>
      <c r="U180" s="67"/>
      <c r="V180" s="67"/>
      <c r="W180" s="67"/>
      <c r="X180" s="67" t="s">
        <v>708</v>
      </c>
      <c r="Y180" s="67" t="s">
        <v>245</v>
      </c>
      <c r="Z180" s="67" t="s">
        <v>245</v>
      </c>
      <c r="AA180" s="67"/>
      <c r="AB180" s="67"/>
      <c r="AC180" s="67"/>
      <c r="AD180" s="67"/>
      <c r="AE180" s="67" t="s">
        <v>770</v>
      </c>
      <c r="AF180" s="67">
        <v>8087022494</v>
      </c>
      <c r="AG180" s="67"/>
      <c r="AH180" s="68" t="s">
        <v>123</v>
      </c>
      <c r="AI180" s="68">
        <v>45561</v>
      </c>
      <c r="AJ180" s="68"/>
      <c r="AK180" s="67"/>
      <c r="AL180" s="67">
        <v>1600000</v>
      </c>
      <c r="AM180" s="68">
        <v>45574</v>
      </c>
      <c r="AN180" s="68"/>
      <c r="AO180" s="68"/>
      <c r="AP180" s="68"/>
      <c r="AQ180" s="68"/>
      <c r="AR180" s="68"/>
      <c r="AS180" s="68">
        <v>45311</v>
      </c>
      <c r="AT180" s="67">
        <f t="shared" ca="1" si="15"/>
        <v>0</v>
      </c>
      <c r="AU180" s="79" t="str">
        <f t="shared" ca="1" si="16"/>
        <v/>
      </c>
      <c r="AV180" s="79" t="str" cm="1">
        <f t="array" aca="1" ref="AV180" ca="1">IFERROR(_xlfn.IFS($AU180="","",$AU180&lt;=15,"0-15",AND($AU180&gt;=16,$AU180&lt;=30),"16-30",AND($AU180&gt;=31,$AU180&lt;=45),"31-45",AND($AU180&gt;=46,$AU180&lt;=60),"46-60",AND($AU180&gt;=61,$AU180&lt;=90),"61-90",AND($AU180&gt;=91),"&gt; 90",AND($AU180&gt;=2000),""),"")</f>
        <v/>
      </c>
      <c r="AW180" s="79" t="str" cm="1">
        <f t="array" aca="1" ref="AW180" ca="1">IFERROR(_xlfn.IFS(OR($M180="",$AM180=""),"",OR($C180="Offered",$C180="Joined"),($AM180-$M180)-$AT180),"")</f>
        <v/>
      </c>
      <c r="AX180" s="79" t="str" cm="1">
        <f t="array" aca="1" ref="AX180" ca="1">IFERROR(_xlfn.IFS(OR($M180="",$AS180=""),"",$C180="Joined",($AS180-$M180)-$AT180),"")</f>
        <v/>
      </c>
      <c r="AY180" s="67" t="str">
        <f>IFERROR(IF(COUNTIFS('Candidate Tracker'!$E:$E,'Positions Tracker'!$B180,'Candidate Tracker'!$C:$C,"Offer Drop")=0,"",COUNTIFS('Candidate Tracker'!$E:$E,'Positions Tracker'!$B180,'Candidate Tracker'!$C:$C,"Offer Drop")),"")</f>
        <v/>
      </c>
      <c r="AZ180" s="80">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0.88111888111888115</v>
      </c>
      <c r="BA180" s="81" t="str">
        <f>IFERROR(IF(COUNTIFS('Candidate Tracker'!$E:$E,'Positions Tracker'!$B180,'Candidate Tracker'!$I:$I,"Female")=0,"",COUNTIFS('Candidate Tracker'!$E:$E,'Positions Tracker'!$B180,'Candidate Tracker'!$I:$I,"Female")),"")</f>
        <v/>
      </c>
      <c r="BB180" s="81" t="str">
        <f>IFERROR(IF(COUNTIFS('Candidate Tracker'!$E:$E,'Positions Tracker'!$B180,'Candidate Tracker'!$I:$I,"male")=0,"",COUNTIFS('Candidate Tracker'!$E:$E,'Positions Tracker'!$B180,'Candidate Tracker'!$I:$I,"male")),"")</f>
        <v/>
      </c>
      <c r="BC180" s="80" t="str">
        <f>IFERROR(IF(COUNTIFS('Candidate Tracker'!$E:$E,'Positions Tracker'!$B180,'Candidate Tracker'!$C:$C,"&lt;&gt;WIP",'Candidate Tracker'!$C:$C,"&lt;&gt;Hold",'Candidate Tracker'!$C:$C,"&lt;&gt;Cancelled",'Candidate Tracker'!$C:$C,"&lt;&gt;Closed")/COUNTIFS('Candidate Tracker'!$E:$E,'Positions Tracker'!$B180)=0,"",COUNTIFS('Candidate Tracker'!$E:$E,'Positions Tracker'!$B180,'Candidate Tracker'!$C:$C,"&lt;&gt;WIP",'Candidate Tracker'!$C:$C,"&lt;&gt;Hold",'Candidate Tracker'!$C:$C,"&lt;&gt;Cancelled",'Candidate Tracker'!$C:$C,"&lt;&gt;Closed")/COUNTIFS('Candidate Tracker'!$E:$E,'Positions Tracker'!$B180)),"")</f>
        <v/>
      </c>
      <c r="BD180" s="67" t="str">
        <f t="shared" si="1"/>
        <v>Jan-25</v>
      </c>
      <c r="BE180" s="67" t="str">
        <f t="shared" si="2"/>
        <v>Sep-24</v>
      </c>
      <c r="BF180" s="67" t="str">
        <f t="shared" si="3"/>
        <v>Oct-24</v>
      </c>
      <c r="BG180" s="67" t="str">
        <f t="shared" si="4"/>
        <v>Jan-24</v>
      </c>
    </row>
    <row r="181" spans="1:59">
      <c r="A181" s="67">
        <f t="shared" si="14"/>
        <v>180</v>
      </c>
      <c r="B181" s="67"/>
      <c r="C181" s="67" t="s">
        <v>55</v>
      </c>
      <c r="D181" s="67" t="s">
        <v>80</v>
      </c>
      <c r="E181" s="67" t="s">
        <v>771</v>
      </c>
      <c r="F181" s="67" t="s">
        <v>190</v>
      </c>
      <c r="G181" s="67" t="s">
        <v>3</v>
      </c>
      <c r="H181" s="67" t="s">
        <v>68</v>
      </c>
      <c r="I181" s="67" t="s">
        <v>119</v>
      </c>
      <c r="J181" s="67" t="s">
        <v>70</v>
      </c>
      <c r="K181" s="68">
        <v>45526</v>
      </c>
      <c r="L181" s="68">
        <v>45520</v>
      </c>
      <c r="M181" s="68">
        <v>45521</v>
      </c>
      <c r="N181" s="67"/>
      <c r="O181" s="68"/>
      <c r="P181" s="68"/>
      <c r="Q181" s="68"/>
      <c r="R181" s="68"/>
      <c r="S181" s="68"/>
      <c r="T181" s="68"/>
      <c r="U181" s="67"/>
      <c r="V181" s="67"/>
      <c r="W181" s="67"/>
      <c r="X181" s="67" t="s">
        <v>72</v>
      </c>
      <c r="Y181" s="67" t="s">
        <v>144</v>
      </c>
      <c r="Z181" s="67" t="s">
        <v>144</v>
      </c>
      <c r="AA181" s="67" t="s">
        <v>645</v>
      </c>
      <c r="AB181" s="67"/>
      <c r="AC181" s="67"/>
      <c r="AD181" s="67"/>
      <c r="AE181" s="67" t="s">
        <v>772</v>
      </c>
      <c r="AF181" s="67">
        <v>7741956595</v>
      </c>
      <c r="AG181" s="67"/>
      <c r="AH181" s="68" t="s">
        <v>86</v>
      </c>
      <c r="AI181" s="68">
        <v>45566</v>
      </c>
      <c r="AJ181" s="68"/>
      <c r="AK181" s="67"/>
      <c r="AL181" s="67">
        <v>825000</v>
      </c>
      <c r="AM181" s="68">
        <v>45580</v>
      </c>
      <c r="AN181" s="68">
        <v>45728</v>
      </c>
      <c r="AO181" s="68"/>
      <c r="AP181" s="68">
        <v>45730</v>
      </c>
      <c r="AQ181" s="68">
        <v>45730</v>
      </c>
      <c r="AR181" s="68"/>
      <c r="AS181" s="68">
        <v>45304</v>
      </c>
      <c r="AT181" s="67">
        <f t="shared" ca="1" si="15"/>
        <v>0</v>
      </c>
      <c r="AU181" s="79" t="str">
        <f t="shared" ca="1" si="16"/>
        <v/>
      </c>
      <c r="AV181" s="79" t="str" cm="1">
        <f t="array" aca="1" ref="AV181" ca="1">IFERROR(_xlfn.IFS($AU181="","",$AU181&lt;=15,"0-15",AND($AU181&gt;=16,$AU181&lt;=30),"16-30",AND($AU181&gt;=31,$AU181&lt;=45),"31-45",AND($AU181&gt;=46,$AU181&lt;=60),"46-60",AND($AU181&gt;=61,$AU181&lt;=90),"61-90",AND($AU181&gt;=91),"&gt; 90",AND($AU181&gt;=2000),""),"")</f>
        <v/>
      </c>
      <c r="AW181" s="79" t="str" cm="1">
        <f t="array" aca="1" ref="AW181" ca="1">IFERROR(_xlfn.IFS(OR($M181="",$AM181=""),"",OR($C181="Offered",$C181="Joined"),($AM181-$M181)-$AT181),"")</f>
        <v/>
      </c>
      <c r="AX181" s="79" t="str" cm="1">
        <f t="array" aca="1" ref="AX181" ca="1">IFERROR(_xlfn.IFS(OR($M181="",$AS181=""),"",$C181="Joined",($AS181-$M181)-$AT181),"")</f>
        <v/>
      </c>
      <c r="AY181" s="67" t="str">
        <f>IFERROR(IF(COUNTIFS('Candidate Tracker'!$E:$E,'Positions Tracker'!$B181,'Candidate Tracker'!$C:$C,"Offer Drop")=0,"",COUNTIFS('Candidate Tracker'!$E:$E,'Positions Tracker'!$B181,'Candidate Tracker'!$C:$C,"Offer Drop")),"")</f>
        <v/>
      </c>
      <c r="AZ181" s="80">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0.88111888111888115</v>
      </c>
      <c r="BA181" s="81" t="str">
        <f>IFERROR(IF(COUNTIFS('Candidate Tracker'!$E:$E,'Positions Tracker'!$B181,'Candidate Tracker'!$I:$I,"Female")=0,"",COUNTIFS('Candidate Tracker'!$E:$E,'Positions Tracker'!$B181,'Candidate Tracker'!$I:$I,"Female")),"")</f>
        <v/>
      </c>
      <c r="BB181" s="81" t="str">
        <f>IFERROR(IF(COUNTIFS('Candidate Tracker'!$E:$E,'Positions Tracker'!$B181,'Candidate Tracker'!$I:$I,"male")=0,"",COUNTIFS('Candidate Tracker'!$E:$E,'Positions Tracker'!$B181,'Candidate Tracker'!$I:$I,"male")),"")</f>
        <v/>
      </c>
      <c r="BC181" s="80" t="str">
        <f>IFERROR(IF(COUNTIFS('Candidate Tracker'!$E:$E,'Positions Tracker'!$B181,'Candidate Tracker'!$C:$C,"&lt;&gt;WIP",'Candidate Tracker'!$C:$C,"&lt;&gt;Hold",'Candidate Tracker'!$C:$C,"&lt;&gt;Cancelled",'Candidate Tracker'!$C:$C,"&lt;&gt;Closed")/COUNTIFS('Candidate Tracker'!$E:$E,'Positions Tracker'!$B181)=0,"",COUNTIFS('Candidate Tracker'!$E:$E,'Positions Tracker'!$B181,'Candidate Tracker'!$C:$C,"&lt;&gt;WIP",'Candidate Tracker'!$C:$C,"&lt;&gt;Hold",'Candidate Tracker'!$C:$C,"&lt;&gt;Cancelled",'Candidate Tracker'!$C:$C,"&lt;&gt;Closed")/COUNTIFS('Candidate Tracker'!$E:$E,'Positions Tracker'!$B181)),"")</f>
        <v/>
      </c>
      <c r="BD181" s="67" t="str">
        <f t="shared" si="1"/>
        <v>Aug-24</v>
      </c>
      <c r="BE181" s="67" t="str">
        <f t="shared" si="2"/>
        <v>Oct-24</v>
      </c>
      <c r="BF181" s="67" t="str">
        <f t="shared" si="3"/>
        <v>Oct-24</v>
      </c>
      <c r="BG181" s="67" t="str">
        <f t="shared" si="4"/>
        <v>Jan-24</v>
      </c>
    </row>
    <row r="182" spans="1:59">
      <c r="A182" s="67">
        <f t="shared" si="14"/>
        <v>181</v>
      </c>
      <c r="B182" s="67"/>
      <c r="C182" s="67" t="s">
        <v>55</v>
      </c>
      <c r="D182" s="67"/>
      <c r="E182" s="67" t="s">
        <v>726</v>
      </c>
      <c r="F182" s="67"/>
      <c r="G182" s="67"/>
      <c r="H182" s="67"/>
      <c r="I182" s="67" t="s">
        <v>727</v>
      </c>
      <c r="J182" s="67" t="s">
        <v>70</v>
      </c>
      <c r="K182" s="68"/>
      <c r="L182" s="68">
        <v>45366</v>
      </c>
      <c r="M182" s="68">
        <v>45367</v>
      </c>
      <c r="N182" s="67"/>
      <c r="O182" s="68"/>
      <c r="P182" s="68"/>
      <c r="Q182" s="68"/>
      <c r="R182" s="68"/>
      <c r="S182" s="68"/>
      <c r="T182" s="68"/>
      <c r="U182" s="67"/>
      <c r="V182" s="67"/>
      <c r="W182" s="67"/>
      <c r="X182" s="67" t="s">
        <v>72</v>
      </c>
      <c r="Y182" s="67" t="s">
        <v>723</v>
      </c>
      <c r="Z182" s="67" t="s">
        <v>723</v>
      </c>
      <c r="AA182" s="67" t="s">
        <v>763</v>
      </c>
      <c r="AB182" s="67"/>
      <c r="AC182" s="67"/>
      <c r="AD182" s="67"/>
      <c r="AE182" s="67" t="s">
        <v>773</v>
      </c>
      <c r="AF182" s="67">
        <v>7756091692</v>
      </c>
      <c r="AG182" s="67"/>
      <c r="AH182" s="68" t="s">
        <v>123</v>
      </c>
      <c r="AI182" s="68">
        <v>45407</v>
      </c>
      <c r="AJ182" s="68"/>
      <c r="AK182" s="67"/>
      <c r="AL182" s="67">
        <v>5300000</v>
      </c>
      <c r="AM182" s="68"/>
      <c r="AN182" s="68"/>
      <c r="AO182" s="68"/>
      <c r="AP182" s="68"/>
      <c r="AQ182" s="68"/>
      <c r="AR182" s="68"/>
      <c r="AS182" s="68"/>
      <c r="AT182" s="67">
        <f t="shared" ca="1" si="15"/>
        <v>0</v>
      </c>
      <c r="AU182" s="79" t="str">
        <f t="shared" ca="1" si="16"/>
        <v/>
      </c>
      <c r="AV182" s="79" t="str" cm="1">
        <f t="array" aca="1" ref="AV182" ca="1">IFERROR(_xlfn.IFS($AU182="","",$AU182&lt;=15,"0-15",AND($AU182&gt;=16,$AU182&lt;=30),"16-30",AND($AU182&gt;=31,$AU182&lt;=45),"31-45",AND($AU182&gt;=46,$AU182&lt;=60),"46-60",AND($AU182&gt;=61,$AU182&lt;=90),"61-90",AND($AU182&gt;=91),"&gt; 90",AND($AU182&gt;=2000),""),"")</f>
        <v/>
      </c>
      <c r="AW182" s="79" t="str" cm="1">
        <f t="array" aca="1" ref="AW182" ca="1">IFERROR(_xlfn.IFS(OR($M182="",$AM182=""),"",OR($C182="Offered",$C182="Joined"),($AM182-$M182)-$AT182),"")</f>
        <v/>
      </c>
      <c r="AX182" s="79" t="str" cm="1">
        <f t="array" aca="1" ref="AX182" ca="1">IFERROR(_xlfn.IFS(OR($M182="",$AS182=""),"",$C182="Joined",($AS182-$M182)-$AT182),"")</f>
        <v/>
      </c>
      <c r="AY182" s="67" t="str">
        <f>IFERROR(IF(COUNTIFS('Candidate Tracker'!$E:$E,'Positions Tracker'!$B182,'Candidate Tracker'!$C:$C,"Offer Drop")=0,"",COUNTIFS('Candidate Tracker'!$E:$E,'Positions Tracker'!$B182,'Candidate Tracker'!$C:$C,"Offer Drop")),"")</f>
        <v/>
      </c>
      <c r="AZ182" s="80">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0.88111888111888115</v>
      </c>
      <c r="BA182" s="81" t="str">
        <f>IFERROR(IF(COUNTIFS('Candidate Tracker'!$E:$E,'Positions Tracker'!$B182,'Candidate Tracker'!$I:$I,"Female")=0,"",COUNTIFS('Candidate Tracker'!$E:$E,'Positions Tracker'!$B182,'Candidate Tracker'!$I:$I,"Female")),"")</f>
        <v/>
      </c>
      <c r="BB182" s="81" t="str">
        <f>IFERROR(IF(COUNTIFS('Candidate Tracker'!$E:$E,'Positions Tracker'!$B182,'Candidate Tracker'!$I:$I,"male")=0,"",COUNTIFS('Candidate Tracker'!$E:$E,'Positions Tracker'!$B182,'Candidate Tracker'!$I:$I,"male")),"")</f>
        <v/>
      </c>
      <c r="BC182" s="80" t="str">
        <f>IFERROR(IF(COUNTIFS('Candidate Tracker'!$E:$E,'Positions Tracker'!$B182,'Candidate Tracker'!$C:$C,"&lt;&gt;WIP",'Candidate Tracker'!$C:$C,"&lt;&gt;Hold",'Candidate Tracker'!$C:$C,"&lt;&gt;Cancelled",'Candidate Tracker'!$C:$C,"&lt;&gt;Closed")/COUNTIFS('Candidate Tracker'!$E:$E,'Positions Tracker'!$B182)=0,"",COUNTIFS('Candidate Tracker'!$E:$E,'Positions Tracker'!$B182,'Candidate Tracker'!$C:$C,"&lt;&gt;WIP",'Candidate Tracker'!$C:$C,"&lt;&gt;Hold",'Candidate Tracker'!$C:$C,"&lt;&gt;Cancelled",'Candidate Tracker'!$C:$C,"&lt;&gt;Closed")/COUNTIFS('Candidate Tracker'!$E:$E,'Positions Tracker'!$B182)),"")</f>
        <v/>
      </c>
      <c r="BD182" s="67" t="str">
        <f t="shared" si="1"/>
        <v>Mar-24</v>
      </c>
      <c r="BE182" s="67" t="str">
        <f t="shared" si="2"/>
        <v>Apr-24</v>
      </c>
      <c r="BF182" s="67" t="str">
        <f t="shared" si="3"/>
        <v/>
      </c>
      <c r="BG182" s="67" t="str">
        <f t="shared" si="4"/>
        <v/>
      </c>
    </row>
    <row r="183" spans="1:59">
      <c r="A183" s="67">
        <f t="shared" si="14"/>
        <v>182</v>
      </c>
      <c r="B183" s="67"/>
      <c r="C183" s="67" t="s">
        <v>55</v>
      </c>
      <c r="D183" s="67"/>
      <c r="E183" s="67" t="s">
        <v>350</v>
      </c>
      <c r="F183" s="67"/>
      <c r="G183" s="67"/>
      <c r="H183" s="67"/>
      <c r="I183" s="67" t="s">
        <v>339</v>
      </c>
      <c r="J183" s="67" t="s">
        <v>70</v>
      </c>
      <c r="K183" s="68"/>
      <c r="L183" s="68">
        <v>45450</v>
      </c>
      <c r="M183" s="68">
        <v>45451</v>
      </c>
      <c r="N183" s="67"/>
      <c r="O183" s="68"/>
      <c r="P183" s="68"/>
      <c r="Q183" s="68"/>
      <c r="R183" s="68"/>
      <c r="S183" s="68"/>
      <c r="T183" s="68"/>
      <c r="U183" s="67"/>
      <c r="V183" s="67"/>
      <c r="W183" s="67"/>
      <c r="X183" s="67" t="s">
        <v>733</v>
      </c>
      <c r="Y183" s="67" t="s">
        <v>723</v>
      </c>
      <c r="Z183" s="67" t="s">
        <v>723</v>
      </c>
      <c r="AA183" s="67" t="s">
        <v>687</v>
      </c>
      <c r="AB183" s="67"/>
      <c r="AC183" s="67"/>
      <c r="AD183" s="67"/>
      <c r="AE183" s="67" t="s">
        <v>774</v>
      </c>
      <c r="AF183" s="67">
        <v>7406222114</v>
      </c>
      <c r="AG183" s="67"/>
      <c r="AH183" s="68" t="s">
        <v>123</v>
      </c>
      <c r="AI183" s="68">
        <v>45484</v>
      </c>
      <c r="AJ183" s="68"/>
      <c r="AK183" s="67"/>
      <c r="AL183" s="67">
        <v>1800000</v>
      </c>
      <c r="AM183" s="68"/>
      <c r="AN183" s="68"/>
      <c r="AO183" s="68"/>
      <c r="AP183" s="68"/>
      <c r="AQ183" s="68"/>
      <c r="AR183" s="68"/>
      <c r="AS183" s="68"/>
      <c r="AT183" s="67">
        <f t="shared" ca="1" si="15"/>
        <v>0</v>
      </c>
      <c r="AU183" s="79" t="str">
        <f t="shared" ca="1" si="16"/>
        <v/>
      </c>
      <c r="AV183" s="79" t="str" cm="1">
        <f t="array" aca="1" ref="AV183" ca="1">IFERROR(_xlfn.IFS($AU183="","",$AU183&lt;=15,"0-15",AND($AU183&gt;=16,$AU183&lt;=30),"16-30",AND($AU183&gt;=31,$AU183&lt;=45),"31-45",AND($AU183&gt;=46,$AU183&lt;=60),"46-60",AND($AU183&gt;=61,$AU183&lt;=90),"61-90",AND($AU183&gt;=91),"&gt; 90",AND($AU183&gt;=2000),""),"")</f>
        <v/>
      </c>
      <c r="AW183" s="79" t="str" cm="1">
        <f t="array" aca="1" ref="AW183" ca="1">IFERROR(_xlfn.IFS(OR($M183="",$AM183=""),"",OR($C183="Offered",$C183="Joined"),($AM183-$M183)-$AT183),"")</f>
        <v/>
      </c>
      <c r="AX183" s="79" t="str" cm="1">
        <f t="array" aca="1" ref="AX183" ca="1">IFERROR(_xlfn.IFS(OR($M183="",$AS183=""),"",$C183="Joined",($AS183-$M183)-$AT183),"")</f>
        <v/>
      </c>
      <c r="AY183" s="67" t="str">
        <f>IFERROR(IF(COUNTIFS('Candidate Tracker'!$E:$E,'Positions Tracker'!$B183,'Candidate Tracker'!$C:$C,"Offer Drop")=0,"",COUNTIFS('Candidate Tracker'!$E:$E,'Positions Tracker'!$B183,'Candidate Tracker'!$C:$C,"Offer Drop")),"")</f>
        <v/>
      </c>
      <c r="AZ183" s="80">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0.88111888111888115</v>
      </c>
      <c r="BA183" s="81" t="str">
        <f>IFERROR(IF(COUNTIFS('Candidate Tracker'!$E:$E,'Positions Tracker'!$B183,'Candidate Tracker'!$I:$I,"Female")=0,"",COUNTIFS('Candidate Tracker'!$E:$E,'Positions Tracker'!$B183,'Candidate Tracker'!$I:$I,"Female")),"")</f>
        <v/>
      </c>
      <c r="BB183" s="81" t="str">
        <f>IFERROR(IF(COUNTIFS('Candidate Tracker'!$E:$E,'Positions Tracker'!$B183,'Candidate Tracker'!$I:$I,"male")=0,"",COUNTIFS('Candidate Tracker'!$E:$E,'Positions Tracker'!$B183,'Candidate Tracker'!$I:$I,"male")),"")</f>
        <v/>
      </c>
      <c r="BC183" s="80" t="str">
        <f>IFERROR(IF(COUNTIFS('Candidate Tracker'!$E:$E,'Positions Tracker'!$B183,'Candidate Tracker'!$C:$C,"&lt;&gt;WIP",'Candidate Tracker'!$C:$C,"&lt;&gt;Hold",'Candidate Tracker'!$C:$C,"&lt;&gt;Cancelled",'Candidate Tracker'!$C:$C,"&lt;&gt;Closed")/COUNTIFS('Candidate Tracker'!$E:$E,'Positions Tracker'!$B183)=0,"",COUNTIFS('Candidate Tracker'!$E:$E,'Positions Tracker'!$B183,'Candidate Tracker'!$C:$C,"&lt;&gt;WIP",'Candidate Tracker'!$C:$C,"&lt;&gt;Hold",'Candidate Tracker'!$C:$C,"&lt;&gt;Cancelled",'Candidate Tracker'!$C:$C,"&lt;&gt;Closed")/COUNTIFS('Candidate Tracker'!$E:$E,'Positions Tracker'!$B183)),"")</f>
        <v/>
      </c>
      <c r="BD183" s="67" t="str">
        <f t="shared" si="1"/>
        <v>Jun-24</v>
      </c>
      <c r="BE183" s="67" t="str">
        <f t="shared" si="2"/>
        <v>Jul-24</v>
      </c>
      <c r="BF183" s="67" t="str">
        <f t="shared" si="3"/>
        <v/>
      </c>
      <c r="BG183" s="67" t="str">
        <f t="shared" si="4"/>
        <v/>
      </c>
    </row>
    <row r="184" spans="1:59">
      <c r="A184" s="67">
        <f t="shared" si="14"/>
        <v>183</v>
      </c>
      <c r="B184" s="67">
        <v>20250696</v>
      </c>
      <c r="C184" s="67" t="s">
        <v>64</v>
      </c>
      <c r="D184" s="67" t="s">
        <v>64</v>
      </c>
      <c r="E184" s="67" t="s">
        <v>775</v>
      </c>
      <c r="F184" s="67" t="s">
        <v>776</v>
      </c>
      <c r="G184" s="67" t="s">
        <v>3</v>
      </c>
      <c r="H184" s="67" t="s">
        <v>68</v>
      </c>
      <c r="I184" s="67" t="s">
        <v>101</v>
      </c>
      <c r="J184" s="67" t="s">
        <v>70</v>
      </c>
      <c r="K184" s="68">
        <v>45625</v>
      </c>
      <c r="L184" s="68">
        <v>45625</v>
      </c>
      <c r="M184" s="68">
        <v>45625</v>
      </c>
      <c r="N184" s="67"/>
      <c r="O184" s="68"/>
      <c r="P184" s="68"/>
      <c r="Q184" s="68"/>
      <c r="R184" s="68"/>
      <c r="S184" s="68"/>
      <c r="T184" s="68"/>
      <c r="U184" s="67"/>
      <c r="V184" s="67"/>
      <c r="W184" s="67"/>
      <c r="X184" s="67" t="s">
        <v>72</v>
      </c>
      <c r="Y184" s="67" t="s">
        <v>74</v>
      </c>
      <c r="Z184" s="67" t="s">
        <v>74</v>
      </c>
      <c r="AA184" s="69" t="s">
        <v>658</v>
      </c>
      <c r="AB184" s="67"/>
      <c r="AC184" s="67"/>
      <c r="AD184" s="67"/>
      <c r="AE184" s="67" t="s">
        <v>777</v>
      </c>
      <c r="AF184" s="67">
        <v>7350560768</v>
      </c>
      <c r="AG184" s="89" t="s">
        <v>778</v>
      </c>
      <c r="AH184" s="68" t="s">
        <v>123</v>
      </c>
      <c r="AI184" s="68">
        <v>45695</v>
      </c>
      <c r="AJ184" s="68">
        <v>45695</v>
      </c>
      <c r="AK184" s="67" t="s">
        <v>72</v>
      </c>
      <c r="AL184" s="67">
        <v>1500000</v>
      </c>
      <c r="AM184" s="68">
        <v>45695</v>
      </c>
      <c r="AN184" s="68">
        <v>45695</v>
      </c>
      <c r="AO184" s="68">
        <v>45695</v>
      </c>
      <c r="AP184" s="68">
        <v>45695</v>
      </c>
      <c r="AQ184" s="68">
        <v>45695</v>
      </c>
      <c r="AR184" s="68">
        <v>45695</v>
      </c>
      <c r="AS184" s="68">
        <v>45695</v>
      </c>
      <c r="AT184" s="67">
        <f t="shared" ca="1" si="15"/>
        <v>0</v>
      </c>
      <c r="AU184" s="79" t="str">
        <f t="shared" ca="1" si="16"/>
        <v/>
      </c>
      <c r="AV184" s="79" t="str" cm="1">
        <f t="array" aca="1" ref="AV184" ca="1">IFERROR(_xlfn.IFS($AU184="","",$AU184&lt;=15,"0-15",AND($AU184&gt;=16,$AU184&lt;=30),"16-30",AND($AU184&gt;=31,$AU184&lt;=45),"31-45",AND($AU184&gt;=46,$AU184&lt;=60),"46-60",AND($AU184&gt;=61,$AU184&lt;=90),"61-90",AND($AU184&gt;=91),"&gt; 90",AND($AU184&gt;=2000),""),"")</f>
        <v/>
      </c>
      <c r="AW184" s="79" t="str" cm="1">
        <f t="array" aca="1" ref="AW184" ca="1">IFERROR(_xlfn.IFS(OR($M184="",$AM184=""),"",OR($C184="Offered",$C184="Joined"),($AM184-$M184)-$AT184),"")</f>
        <v/>
      </c>
      <c r="AX184" s="79" t="str" cm="1">
        <f t="array" aca="1" ref="AX184" ca="1">IFERROR(_xlfn.IFS(OR($M184="",$AS184=""),"",$C184="Joined",($AS184-$M184)-$AT184),"")</f>
        <v/>
      </c>
      <c r="AY184" s="67" t="str">
        <f>IFERROR(IF(COUNTIFS('Candidate Tracker'!$E:$E,'Positions Tracker'!$B184,'Candidate Tracker'!$C:$C,"Offer Drop")=0,"",COUNTIFS('Candidate Tracker'!$E:$E,'Positions Tracker'!$B184,'Candidate Tracker'!$C:$C,"Offer Drop")),"")</f>
        <v/>
      </c>
      <c r="AZ184" s="80">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0.88111888111888115</v>
      </c>
      <c r="BA184" s="81">
        <f>IFERROR(IF(COUNTIFS('Candidate Tracker'!$E:$E,'Positions Tracker'!$B184,'Candidate Tracker'!$I:$I,"Female")=0,"",COUNTIFS('Candidate Tracker'!$E:$E,'Positions Tracker'!$B184,'Candidate Tracker'!$I:$I,"Female")),"")</f>
        <v>2</v>
      </c>
      <c r="BB184" s="81">
        <f>IFERROR(IF(COUNTIFS('Candidate Tracker'!$E:$E,'Positions Tracker'!$B184,'Candidate Tracker'!$I:$I,"male")=0,"",COUNTIFS('Candidate Tracker'!$E:$E,'Positions Tracker'!$B184,'Candidate Tracker'!$I:$I,"male")),"")</f>
        <v>10</v>
      </c>
      <c r="BC184" s="80" t="str">
        <f>IFERROR(IF(COUNTIFS('Candidate Tracker'!$E:$E,'Positions Tracker'!$B184,'Candidate Tracker'!$C:$C,"&lt;&gt;WIP",'Candidate Tracker'!$C:$C,"&lt;&gt;Hold",'Candidate Tracker'!$C:$C,"&lt;&gt;Cancelled",'Candidate Tracker'!$C:$C,"&lt;&gt;Closed")/COUNTIFS('Candidate Tracker'!$E:$E,'Positions Tracker'!$B184)=0,"",COUNTIFS('Candidate Tracker'!$E:$E,'Positions Tracker'!$B184,'Candidate Tracker'!$C:$C,"&lt;&gt;WIP",'Candidate Tracker'!$C:$C,"&lt;&gt;Hold",'Candidate Tracker'!$C:$C,"&lt;&gt;Cancelled",'Candidate Tracker'!$C:$C,"&lt;&gt;Closed")/COUNTIFS('Candidate Tracker'!$E:$E,'Positions Tracker'!$B184)),"")</f>
        <v/>
      </c>
      <c r="BD184" s="67" t="str">
        <f t="shared" si="1"/>
        <v>Nov-24</v>
      </c>
      <c r="BE184" s="67" t="str">
        <f t="shared" si="2"/>
        <v>Feb-25</v>
      </c>
      <c r="BF184" s="67" t="str">
        <f t="shared" si="3"/>
        <v>Feb-25</v>
      </c>
      <c r="BG184" s="67" t="str">
        <f t="shared" si="4"/>
        <v>Feb-25</v>
      </c>
    </row>
    <row r="185" spans="1:59">
      <c r="A185" s="67">
        <f t="shared" si="14"/>
        <v>184</v>
      </c>
      <c r="B185" s="67">
        <v>20250721</v>
      </c>
      <c r="C185" s="67" t="s">
        <v>64</v>
      </c>
      <c r="D185" s="67" t="s">
        <v>64</v>
      </c>
      <c r="E185" s="67" t="s">
        <v>779</v>
      </c>
      <c r="F185" s="67" t="s">
        <v>780</v>
      </c>
      <c r="G185" s="67" t="s">
        <v>3</v>
      </c>
      <c r="H185" s="67" t="s">
        <v>68</v>
      </c>
      <c r="I185" s="67" t="s">
        <v>569</v>
      </c>
      <c r="J185" s="67" t="s">
        <v>70</v>
      </c>
      <c r="K185" s="68">
        <v>45631</v>
      </c>
      <c r="L185" s="68">
        <v>45631</v>
      </c>
      <c r="M185" s="68">
        <v>45631</v>
      </c>
      <c r="N185" s="67" t="s">
        <v>71</v>
      </c>
      <c r="O185" s="68"/>
      <c r="P185" s="68"/>
      <c r="Q185" s="68"/>
      <c r="R185" s="68"/>
      <c r="S185" s="68"/>
      <c r="T185" s="68"/>
      <c r="U185" s="67"/>
      <c r="V185" s="67"/>
      <c r="W185" s="67"/>
      <c r="X185" s="67" t="s">
        <v>72</v>
      </c>
      <c r="Y185" s="67" t="s">
        <v>74</v>
      </c>
      <c r="Z185" s="67" t="s">
        <v>74</v>
      </c>
      <c r="AA185" s="69" t="s">
        <v>658</v>
      </c>
      <c r="AB185" s="67"/>
      <c r="AC185" s="67"/>
      <c r="AD185" s="67"/>
      <c r="AE185" s="67" t="s">
        <v>781</v>
      </c>
      <c r="AF185" s="67">
        <v>8390870079</v>
      </c>
      <c r="AG185" s="67" t="s">
        <v>782</v>
      </c>
      <c r="AH185" s="68" t="s">
        <v>86</v>
      </c>
      <c r="AI185" s="68">
        <v>45695</v>
      </c>
      <c r="AJ185" s="68">
        <v>45695</v>
      </c>
      <c r="AK185" s="67" t="s">
        <v>72</v>
      </c>
      <c r="AL185" s="67">
        <v>800000</v>
      </c>
      <c r="AM185" s="68">
        <v>45695</v>
      </c>
      <c r="AN185" s="68">
        <v>45695</v>
      </c>
      <c r="AO185" s="68">
        <v>45695</v>
      </c>
      <c r="AP185" s="68">
        <v>45695</v>
      </c>
      <c r="AQ185" s="68">
        <v>45695</v>
      </c>
      <c r="AR185" s="68">
        <v>45695</v>
      </c>
      <c r="AS185" s="68">
        <v>45695</v>
      </c>
      <c r="AT185" s="67">
        <f t="shared" ca="1" si="15"/>
        <v>0</v>
      </c>
      <c r="AU185" s="79" t="str">
        <f t="shared" ca="1" si="16"/>
        <v/>
      </c>
      <c r="AV185" s="79" t="str" cm="1">
        <f t="array" aca="1" ref="AV185" ca="1">IFERROR(_xlfn.IFS($AU185="","",$AU185&lt;=15,"0-15",AND($AU185&gt;=16,$AU185&lt;=30),"16-30",AND($AU185&gt;=31,$AU185&lt;=45),"31-45",AND($AU185&gt;=46,$AU185&lt;=60),"46-60",AND($AU185&gt;=61,$AU185&lt;=90),"61-90",AND($AU185&gt;=91),"&gt; 90",AND($AU185&gt;=2000),""),"")</f>
        <v/>
      </c>
      <c r="AW185" s="79" t="str" cm="1">
        <f t="array" aca="1" ref="AW185" ca="1">IFERROR(_xlfn.IFS(OR($M185="",$AM185=""),"",OR($C185="Offered",$C185="Joined"),($AM185-$M185)-$AT185),"")</f>
        <v/>
      </c>
      <c r="AX185" s="79" t="str" cm="1">
        <f t="array" aca="1" ref="AX185" ca="1">IFERROR(_xlfn.IFS(OR($M185="",$AS185=""),"",$C185="Joined",($AS185-$M185)-$AT185),"")</f>
        <v/>
      </c>
      <c r="AY185" s="67" t="str">
        <f>IFERROR(IF(COUNTIFS('Candidate Tracker'!$E:$E,'Positions Tracker'!$B185,'Candidate Tracker'!$C:$C,"Offer Drop")=0,"",COUNTIFS('Candidate Tracker'!$E:$E,'Positions Tracker'!$B185,'Candidate Tracker'!$C:$C,"Offer Drop")),"")</f>
        <v/>
      </c>
      <c r="AZ185" s="80">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0.88111888111888115</v>
      </c>
      <c r="BA185" s="81" t="str">
        <f>IFERROR(IF(COUNTIFS('Candidate Tracker'!$E:$E,'Positions Tracker'!$B185,'Candidate Tracker'!$I:$I,"Female")=0,"",COUNTIFS('Candidate Tracker'!$E:$E,'Positions Tracker'!$B185,'Candidate Tracker'!$I:$I,"Female")),"")</f>
        <v/>
      </c>
      <c r="BB185" s="81">
        <f>IFERROR(IF(COUNTIFS('Candidate Tracker'!$E:$E,'Positions Tracker'!$B185,'Candidate Tracker'!$I:$I,"male")=0,"",COUNTIFS('Candidate Tracker'!$E:$E,'Positions Tracker'!$B185,'Candidate Tracker'!$I:$I,"male")),"")</f>
        <v>9</v>
      </c>
      <c r="BC185" s="80" t="str">
        <f>IFERROR(IF(COUNTIFS('Candidate Tracker'!$E:$E,'Positions Tracker'!$B185,'Candidate Tracker'!$C:$C,"&lt;&gt;WIP",'Candidate Tracker'!$C:$C,"&lt;&gt;Hold",'Candidate Tracker'!$C:$C,"&lt;&gt;Cancelled",'Candidate Tracker'!$C:$C,"&lt;&gt;Closed")/COUNTIFS('Candidate Tracker'!$E:$E,'Positions Tracker'!$B185)=0,"",COUNTIFS('Candidate Tracker'!$E:$E,'Positions Tracker'!$B185,'Candidate Tracker'!$C:$C,"&lt;&gt;WIP",'Candidate Tracker'!$C:$C,"&lt;&gt;Hold",'Candidate Tracker'!$C:$C,"&lt;&gt;Cancelled",'Candidate Tracker'!$C:$C,"&lt;&gt;Closed")/COUNTIFS('Candidate Tracker'!$E:$E,'Positions Tracker'!$B185)),"")</f>
        <v/>
      </c>
      <c r="BD185" s="67" t="str">
        <f t="shared" si="1"/>
        <v>Dec-24</v>
      </c>
      <c r="BE185" s="67" t="str">
        <f t="shared" si="2"/>
        <v>Feb-25</v>
      </c>
      <c r="BF185" s="67" t="str">
        <f t="shared" si="3"/>
        <v>Feb-25</v>
      </c>
      <c r="BG185" s="67" t="str">
        <f t="shared" si="4"/>
        <v>Feb-25</v>
      </c>
    </row>
    <row r="186" spans="1:59">
      <c r="A186" s="67">
        <f t="shared" si="14"/>
        <v>185</v>
      </c>
      <c r="B186" s="67">
        <v>20253265</v>
      </c>
      <c r="C186" s="67" t="s">
        <v>116</v>
      </c>
      <c r="D186" s="67" t="s">
        <v>116</v>
      </c>
      <c r="E186" s="67" t="s">
        <v>323</v>
      </c>
      <c r="F186" s="67" t="s">
        <v>312</v>
      </c>
      <c r="G186" s="67" t="s">
        <v>3</v>
      </c>
      <c r="H186" s="67" t="s">
        <v>68</v>
      </c>
      <c r="I186" s="67" t="s">
        <v>313</v>
      </c>
      <c r="J186" s="67" t="s">
        <v>70</v>
      </c>
      <c r="K186" s="68">
        <v>45667</v>
      </c>
      <c r="L186" s="68">
        <v>45667</v>
      </c>
      <c r="M186" s="68">
        <v>45667</v>
      </c>
      <c r="N186" s="67" t="s">
        <v>613</v>
      </c>
      <c r="O186" s="68"/>
      <c r="P186" s="68"/>
      <c r="Q186" s="68"/>
      <c r="R186" s="68"/>
      <c r="S186" s="68"/>
      <c r="T186" s="68"/>
      <c r="U186" s="67"/>
      <c r="V186" s="67"/>
      <c r="W186" s="67"/>
      <c r="X186" s="67" t="s">
        <v>72</v>
      </c>
      <c r="Y186" s="67" t="s">
        <v>144</v>
      </c>
      <c r="Z186" s="67" t="s">
        <v>94</v>
      </c>
      <c r="AA186" s="67" t="s">
        <v>783</v>
      </c>
      <c r="AB186" s="67"/>
      <c r="AC186" s="67"/>
      <c r="AD186" s="67"/>
      <c r="AE186" s="67" t="s">
        <v>784</v>
      </c>
      <c r="AF186" s="67">
        <v>9421392992</v>
      </c>
      <c r="AG186" s="67" t="s">
        <v>785</v>
      </c>
      <c r="AH186" s="68" t="s">
        <v>123</v>
      </c>
      <c r="AI186" s="68">
        <v>45723</v>
      </c>
      <c r="AJ186" s="68">
        <v>45726</v>
      </c>
      <c r="AK186" s="67" t="s">
        <v>72</v>
      </c>
      <c r="AL186" s="67">
        <v>1100000</v>
      </c>
      <c r="AM186" s="68">
        <v>45726</v>
      </c>
      <c r="AN186" s="68">
        <v>45726</v>
      </c>
      <c r="AO186" s="68"/>
      <c r="AP186" s="68">
        <v>45730</v>
      </c>
      <c r="AQ186" s="68">
        <v>45730</v>
      </c>
      <c r="AR186" s="68"/>
      <c r="AS186" s="68">
        <v>45782</v>
      </c>
      <c r="AT186" s="67">
        <f t="shared" ca="1" si="15"/>
        <v>0</v>
      </c>
      <c r="AU186" s="79" t="str">
        <f t="shared" ca="1" si="16"/>
        <v/>
      </c>
      <c r="AV186" s="79" t="str" cm="1">
        <f t="array" aca="1" ref="AV186" ca="1">IFERROR(_xlfn.IFS($AU186="","",$AU186&lt;=15,"0-15",AND($AU186&gt;=16,$AU186&lt;=30),"16-30",AND($AU186&gt;=31,$AU186&lt;=45),"31-45",AND($AU186&gt;=46,$AU186&lt;=60),"46-60",AND($AU186&gt;=61,$AU186&lt;=90),"61-90",AND($AU186&gt;=91),"&gt; 90",AND($AU186&gt;=2000),""),"")</f>
        <v/>
      </c>
      <c r="AW186" s="79" cm="1">
        <f t="array" aca="1" ref="AW186" ca="1">IFERROR(_xlfn.IFS(OR($M186="",$AM186=""),"",OR($C186="Offered",$C186="Joined"),($AM186-$M186)-$AT186),"")</f>
        <v>59</v>
      </c>
      <c r="AX186" s="79" cm="1">
        <f t="array" aca="1" ref="AX186" ca="1">IFERROR(_xlfn.IFS(OR($M186="",$AS186=""),"",$C186="Joined",($AS186-$M186)-$AT186),"")</f>
        <v>115</v>
      </c>
      <c r="AY186" s="67" t="str">
        <f>IFERROR(IF(COUNTIFS('Candidate Tracker'!$E:$E,'Positions Tracker'!$B186,'Candidate Tracker'!$C:$C,"Offer Drop")=0,"",COUNTIFS('Candidate Tracker'!$E:$E,'Positions Tracker'!$B186,'Candidate Tracker'!$C:$C,"Offer Drop")),"")</f>
        <v/>
      </c>
      <c r="AZ186" s="80">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0.88111888111888115</v>
      </c>
      <c r="BA186" s="81" t="str">
        <f>IFERROR(IF(COUNTIFS('Candidate Tracker'!$E:$E,'Positions Tracker'!$B186,'Candidate Tracker'!$I:$I,"Female")=0,"",COUNTIFS('Candidate Tracker'!$E:$E,'Positions Tracker'!$B186,'Candidate Tracker'!$I:$I,"Female")),"")</f>
        <v/>
      </c>
      <c r="BB186" s="81" t="str">
        <f>IFERROR(IF(COUNTIFS('Candidate Tracker'!$E:$E,'Positions Tracker'!$B186,'Candidate Tracker'!$I:$I,"male")=0,"",COUNTIFS('Candidate Tracker'!$E:$E,'Positions Tracker'!$B186,'Candidate Tracker'!$I:$I,"male")),"")</f>
        <v/>
      </c>
      <c r="BC186" s="80" t="str">
        <f>IFERROR(IF(COUNTIFS('Candidate Tracker'!$E:$E,'Positions Tracker'!$B186,'Candidate Tracker'!$C:$C,"&lt;&gt;WIP",'Candidate Tracker'!$C:$C,"&lt;&gt;Hold",'Candidate Tracker'!$C:$C,"&lt;&gt;Cancelled",'Candidate Tracker'!$C:$C,"&lt;&gt;Closed")/COUNTIFS('Candidate Tracker'!$E:$E,'Positions Tracker'!$B186)=0,"",COUNTIFS('Candidate Tracker'!$E:$E,'Positions Tracker'!$B186,'Candidate Tracker'!$C:$C,"&lt;&gt;WIP",'Candidate Tracker'!$C:$C,"&lt;&gt;Hold",'Candidate Tracker'!$C:$C,"&lt;&gt;Cancelled",'Candidate Tracker'!$C:$C,"&lt;&gt;Closed")/COUNTIFS('Candidate Tracker'!$E:$E,'Positions Tracker'!$B186)),"")</f>
        <v/>
      </c>
      <c r="BD186" s="67" t="str">
        <f t="shared" si="1"/>
        <v>Jan-25</v>
      </c>
      <c r="BE186" s="67" t="str">
        <f t="shared" si="2"/>
        <v>Mar-25</v>
      </c>
      <c r="BF186" s="67" t="str">
        <f t="shared" si="3"/>
        <v>Mar-25</v>
      </c>
      <c r="BG186" s="67" t="str">
        <f t="shared" si="4"/>
        <v>May-25</v>
      </c>
    </row>
    <row r="187" spans="1:59">
      <c r="A187" s="67">
        <f t="shared" si="14"/>
        <v>186</v>
      </c>
      <c r="B187" s="67">
        <v>20249759</v>
      </c>
      <c r="C187" s="67" t="s">
        <v>64</v>
      </c>
      <c r="D187" s="67" t="s">
        <v>786</v>
      </c>
      <c r="E187" s="67" t="s">
        <v>787</v>
      </c>
      <c r="F187" s="67" t="s">
        <v>380</v>
      </c>
      <c r="G187" s="67" t="s">
        <v>3</v>
      </c>
      <c r="H187" s="67"/>
      <c r="I187" s="67" t="s">
        <v>788</v>
      </c>
      <c r="J187" s="67" t="s">
        <v>94</v>
      </c>
      <c r="K187" s="68">
        <v>45734</v>
      </c>
      <c r="L187" s="68">
        <v>45734</v>
      </c>
      <c r="M187" s="68">
        <v>45734</v>
      </c>
      <c r="N187" s="67"/>
      <c r="O187" s="68"/>
      <c r="P187" s="68"/>
      <c r="Q187" s="68"/>
      <c r="R187" s="68"/>
      <c r="S187" s="68"/>
      <c r="T187" s="68"/>
      <c r="U187" s="67"/>
      <c r="V187" s="67"/>
      <c r="W187" s="67"/>
      <c r="X187" s="67" t="s">
        <v>72</v>
      </c>
      <c r="Y187" s="67" t="s">
        <v>73</v>
      </c>
      <c r="Z187" s="67" t="s">
        <v>73</v>
      </c>
      <c r="AA187" s="67" t="s">
        <v>789</v>
      </c>
      <c r="AB187" s="67"/>
      <c r="AC187" s="67"/>
      <c r="AD187" s="67"/>
      <c r="AE187" s="67"/>
      <c r="AF187" s="67"/>
      <c r="AG187" s="67"/>
      <c r="AH187" s="68"/>
      <c r="AI187" s="68"/>
      <c r="AJ187" s="68"/>
      <c r="AK187" s="67"/>
      <c r="AL187" s="67"/>
      <c r="AM187" s="68"/>
      <c r="AN187" s="68"/>
      <c r="AO187" s="68"/>
      <c r="AP187" s="68"/>
      <c r="AQ187" s="68"/>
      <c r="AR187" s="68"/>
      <c r="AS187" s="68"/>
      <c r="AT187" s="67">
        <f t="shared" ca="1" si="15"/>
        <v>0</v>
      </c>
      <c r="AU187" s="79" t="str">
        <f t="shared" ca="1" si="16"/>
        <v/>
      </c>
      <c r="AV187" s="79" t="str" cm="1">
        <f t="array" aca="1" ref="AV187" ca="1">IFERROR(_xlfn.IFS($AU187="","",$AU187&lt;=15,"0-15",AND($AU187&gt;=16,$AU187&lt;=30),"16-30",AND($AU187&gt;=31,$AU187&lt;=45),"31-45",AND($AU187&gt;=46,$AU187&lt;=60),"46-60",AND($AU187&gt;=61,$AU187&lt;=90),"61-90",AND($AU187&gt;=91),"&gt; 90",AND($AU187&gt;=2000),""),"")</f>
        <v/>
      </c>
      <c r="AW187" s="79" t="str" cm="1">
        <f t="array" aca="1" ref="AW187" ca="1">IFERROR(_xlfn.IFS(OR($M187="",$AM187=""),"",OR($C187="Offered",$C187="Joined"),($AM187-$M187)-$AT187),"")</f>
        <v/>
      </c>
      <c r="AX187" s="79" t="str" cm="1">
        <f t="array" aca="1" ref="AX187" ca="1">IFERROR(_xlfn.IFS(OR($M187="",$AS187=""),"",$C187="Joined",($AS187-$M187)-$AT187),"")</f>
        <v/>
      </c>
      <c r="AY187" s="67" t="str">
        <f>IFERROR(IF(COUNTIFS('Candidate Tracker'!$E:$E,'Positions Tracker'!$B187,'Candidate Tracker'!$C:$C,"Offer Drop")=0,"",COUNTIFS('Candidate Tracker'!$E:$E,'Positions Tracker'!$B187,'Candidate Tracker'!$C:$C,"Offer Drop")),"")</f>
        <v/>
      </c>
      <c r="AZ187" s="80">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0.88111888111888115</v>
      </c>
      <c r="BA187" s="81" t="str">
        <f>IFERROR(IF(COUNTIFS('Candidate Tracker'!$E:$E,'Positions Tracker'!$B187,'Candidate Tracker'!$I:$I,"Female")=0,"",COUNTIFS('Candidate Tracker'!$E:$E,'Positions Tracker'!$B187,'Candidate Tracker'!$I:$I,"Female")),"")</f>
        <v/>
      </c>
      <c r="BB187" s="81" t="str">
        <f>IFERROR(IF(COUNTIFS('Candidate Tracker'!$E:$E,'Positions Tracker'!$B187,'Candidate Tracker'!$I:$I,"male")=0,"",COUNTIFS('Candidate Tracker'!$E:$E,'Positions Tracker'!$B187,'Candidate Tracker'!$I:$I,"male")),"")</f>
        <v/>
      </c>
      <c r="BC187" s="80" t="str">
        <f>IFERROR(IF(COUNTIFS('Candidate Tracker'!$E:$E,'Positions Tracker'!$B187,'Candidate Tracker'!$C:$C,"&lt;&gt;WIP",'Candidate Tracker'!$C:$C,"&lt;&gt;Hold",'Candidate Tracker'!$C:$C,"&lt;&gt;Cancelled",'Candidate Tracker'!$C:$C,"&lt;&gt;Closed")/COUNTIFS('Candidate Tracker'!$E:$E,'Positions Tracker'!$B187)=0,"",COUNTIFS('Candidate Tracker'!$E:$E,'Positions Tracker'!$B187,'Candidate Tracker'!$C:$C,"&lt;&gt;WIP",'Candidate Tracker'!$C:$C,"&lt;&gt;Hold",'Candidate Tracker'!$C:$C,"&lt;&gt;Cancelled",'Candidate Tracker'!$C:$C,"&lt;&gt;Closed")/COUNTIFS('Candidate Tracker'!$E:$E,'Positions Tracker'!$B187)),"")</f>
        <v/>
      </c>
      <c r="BD187" s="67" t="str">
        <f t="shared" si="1"/>
        <v>Mar-25</v>
      </c>
      <c r="BE187" s="67" t="str">
        <f t="shared" si="2"/>
        <v/>
      </c>
      <c r="BF187" s="67" t="str">
        <f t="shared" si="3"/>
        <v/>
      </c>
      <c r="BG187" s="67" t="str">
        <f t="shared" si="4"/>
        <v/>
      </c>
    </row>
    <row r="188" spans="1:59">
      <c r="A188" s="67">
        <f t="shared" si="14"/>
        <v>187</v>
      </c>
      <c r="B188" s="67">
        <v>20252855</v>
      </c>
      <c r="C188" s="67" t="s">
        <v>116</v>
      </c>
      <c r="D188" s="67" t="s">
        <v>116</v>
      </c>
      <c r="E188" s="67" t="s">
        <v>276</v>
      </c>
      <c r="F188" s="67" t="s">
        <v>184</v>
      </c>
      <c r="G188" s="67" t="s">
        <v>3</v>
      </c>
      <c r="H188" s="67" t="s">
        <v>227</v>
      </c>
      <c r="I188" s="67" t="s">
        <v>228</v>
      </c>
      <c r="J188" s="67" t="s">
        <v>70</v>
      </c>
      <c r="K188" s="68">
        <v>45625</v>
      </c>
      <c r="L188" s="68">
        <v>45625</v>
      </c>
      <c r="M188" s="68">
        <v>45733</v>
      </c>
      <c r="N188" s="67" t="s">
        <v>82</v>
      </c>
      <c r="O188" s="68">
        <v>45769</v>
      </c>
      <c r="P188" s="68"/>
      <c r="Q188" s="68"/>
      <c r="R188" s="68">
        <v>45782</v>
      </c>
      <c r="S188" s="68"/>
      <c r="T188" s="68"/>
      <c r="U188" s="67"/>
      <c r="V188" s="67"/>
      <c r="W188" s="67"/>
      <c r="X188" s="67" t="s">
        <v>72</v>
      </c>
      <c r="Y188" s="67" t="s">
        <v>282</v>
      </c>
      <c r="Z188" s="67" t="s">
        <v>282</v>
      </c>
      <c r="AA188" s="67" t="s">
        <v>790</v>
      </c>
      <c r="AB188" s="67">
        <v>30</v>
      </c>
      <c r="AC188" s="67">
        <v>21</v>
      </c>
      <c r="AD188" s="67">
        <v>8</v>
      </c>
      <c r="AE188" s="67" t="s">
        <v>791</v>
      </c>
      <c r="AF188" s="67" t="s">
        <v>792</v>
      </c>
      <c r="AG188" s="67" t="s">
        <v>793</v>
      </c>
      <c r="AH188" s="68" t="s">
        <v>86</v>
      </c>
      <c r="AI188" s="68"/>
      <c r="AJ188" s="68"/>
      <c r="AK188" s="67"/>
      <c r="AL188" s="67"/>
      <c r="AM188" s="68"/>
      <c r="AN188" s="68"/>
      <c r="AO188" s="68"/>
      <c r="AP188" s="68"/>
      <c r="AQ188" s="68"/>
      <c r="AR188" s="68"/>
      <c r="AS188" s="68">
        <v>45915</v>
      </c>
      <c r="AT188" s="67">
        <f t="shared" ca="1" si="15"/>
        <v>13</v>
      </c>
      <c r="AU188" s="79" t="str">
        <f t="shared" ca="1" si="16"/>
        <v/>
      </c>
      <c r="AV188" s="79" t="str" cm="1">
        <f t="array" aca="1" ref="AV188" ca="1">IFERROR(_xlfn.IFS($AU188="","",$AU188&lt;=15,"0-15",AND($AU188&gt;=16,$AU188&lt;=30),"16-30",AND($AU188&gt;=31,$AU188&lt;=45),"31-45",AND($AU188&gt;=46,$AU188&lt;=60),"46-60",AND($AU188&gt;=61,$AU188&lt;=90),"61-90",AND($AU188&gt;=91),"&gt; 90",AND($AU188&gt;=2000),""),"")</f>
        <v/>
      </c>
      <c r="AW188" s="79" t="str" cm="1">
        <f t="array" aca="1" ref="AW188" ca="1">IFERROR(_xlfn.IFS(OR($M188="",$AM188=""),"",OR($C188="Offered",$C188="Joined"),($AM188-$M188)-$AT188),"")</f>
        <v/>
      </c>
      <c r="AX188" s="79" cm="1">
        <f t="array" aca="1" ref="AX188" ca="1">IFERROR(_xlfn.IFS(OR($M188="",$AS188=""),"",$C188="Joined",($AS188-$M188)-$AT188),"")</f>
        <v>169</v>
      </c>
      <c r="AY188" s="67">
        <f>IFERROR(IF(COUNTIFS('Candidate Tracker'!$E:$E,'Positions Tracker'!$B188,'Candidate Tracker'!$C:$C,"Offer Drop")=0,"",COUNTIFS('Candidate Tracker'!$E:$E,'Positions Tracker'!$B188,'Candidate Tracker'!$C:$C,"Offer Drop")),"")</f>
        <v>1</v>
      </c>
      <c r="AZ188" s="80">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0.88111888111888115</v>
      </c>
      <c r="BA188" s="81">
        <f>IFERROR(IF(COUNTIFS('Candidate Tracker'!$E:$E,'Positions Tracker'!$B188,'Candidate Tracker'!$I:$I,"Female")=0,"",COUNTIFS('Candidate Tracker'!$E:$E,'Positions Tracker'!$B188,'Candidate Tracker'!$I:$I,"Female")),"")</f>
        <v>5</v>
      </c>
      <c r="BB188" s="81">
        <f>IFERROR(IF(COUNTIFS('Candidate Tracker'!$E:$E,'Positions Tracker'!$B188,'Candidate Tracker'!$I:$I,"male")=0,"",COUNTIFS('Candidate Tracker'!$E:$E,'Positions Tracker'!$B188,'Candidate Tracker'!$I:$I,"male")),"")</f>
        <v>24</v>
      </c>
      <c r="BC188" s="80">
        <f>IFERROR(IF(COUNTIFS('Candidate Tracker'!$E:$E,'Positions Tracker'!$B188,'Candidate Tracker'!$C:$C,"&lt;&gt;WIP",'Candidate Tracker'!$C:$C,"&lt;&gt;Hold",'Candidate Tracker'!$C:$C,"&lt;&gt;Cancelled",'Candidate Tracker'!$C:$C,"&lt;&gt;Closed")/COUNTIFS('Candidate Tracker'!$E:$E,'Positions Tracker'!$B188)=0,"",COUNTIFS('Candidate Tracker'!$E:$E,'Positions Tracker'!$B188,'Candidate Tracker'!$C:$C,"&lt;&gt;WIP",'Candidate Tracker'!$C:$C,"&lt;&gt;Hold",'Candidate Tracker'!$C:$C,"&lt;&gt;Cancelled",'Candidate Tracker'!$C:$C,"&lt;&gt;Closed")/COUNTIFS('Candidate Tracker'!$E:$E,'Positions Tracker'!$B188)),"")</f>
        <v>3.4482758620689655E-2</v>
      </c>
      <c r="BD188" s="67" t="str">
        <f t="shared" si="1"/>
        <v>Mar-25</v>
      </c>
      <c r="BE188" s="67" t="str">
        <f t="shared" si="2"/>
        <v/>
      </c>
      <c r="BF188" s="67" t="str">
        <f t="shared" si="3"/>
        <v/>
      </c>
      <c r="BG188" s="67" t="str">
        <f t="shared" si="4"/>
        <v>Sep-25</v>
      </c>
    </row>
    <row r="189" spans="1:59">
      <c r="A189" s="67">
        <f t="shared" si="14"/>
        <v>188</v>
      </c>
      <c r="B189" s="67">
        <v>20251209</v>
      </c>
      <c r="C189" s="67" t="s">
        <v>116</v>
      </c>
      <c r="D189" s="67" t="s">
        <v>116</v>
      </c>
      <c r="E189" s="67" t="s">
        <v>328</v>
      </c>
      <c r="F189" s="67" t="s">
        <v>312</v>
      </c>
      <c r="G189" s="67" t="s">
        <v>3</v>
      </c>
      <c r="H189" s="67" t="s">
        <v>68</v>
      </c>
      <c r="I189" s="67" t="s">
        <v>313</v>
      </c>
      <c r="J189" s="67" t="s">
        <v>70</v>
      </c>
      <c r="K189" s="68">
        <v>45644</v>
      </c>
      <c r="L189" s="68">
        <v>45644</v>
      </c>
      <c r="M189" s="68">
        <v>45755</v>
      </c>
      <c r="N189" s="67" t="s">
        <v>95</v>
      </c>
      <c r="O189" s="68"/>
      <c r="P189" s="68"/>
      <c r="Q189" s="68"/>
      <c r="R189" s="68"/>
      <c r="S189" s="68"/>
      <c r="T189" s="68"/>
      <c r="U189" s="67"/>
      <c r="V189" s="67"/>
      <c r="W189" s="67"/>
      <c r="X189" s="67" t="s">
        <v>72</v>
      </c>
      <c r="Y189" s="67" t="s">
        <v>282</v>
      </c>
      <c r="Z189" s="67" t="s">
        <v>282</v>
      </c>
      <c r="AA189" s="67" t="s">
        <v>794</v>
      </c>
      <c r="AB189" s="67">
        <v>14</v>
      </c>
      <c r="AC189" s="67">
        <v>2</v>
      </c>
      <c r="AD189" s="67">
        <v>4</v>
      </c>
      <c r="AE189" s="67" t="s">
        <v>795</v>
      </c>
      <c r="AF189" s="67">
        <v>9960412200</v>
      </c>
      <c r="AG189" s="67" t="s">
        <v>796</v>
      </c>
      <c r="AH189" s="68" t="s">
        <v>123</v>
      </c>
      <c r="AI189" s="68">
        <v>45825</v>
      </c>
      <c r="AJ189" s="68">
        <v>45827</v>
      </c>
      <c r="AK189" s="67"/>
      <c r="AL189" s="67">
        <v>1800000</v>
      </c>
      <c r="AM189" s="68">
        <v>45827</v>
      </c>
      <c r="AN189" s="68">
        <v>45831</v>
      </c>
      <c r="AO189" s="68"/>
      <c r="AP189" s="68">
        <v>45831</v>
      </c>
      <c r="AQ189" s="68">
        <v>45831</v>
      </c>
      <c r="AR189" s="68"/>
      <c r="AS189" s="68">
        <v>45929</v>
      </c>
      <c r="AT189" s="67">
        <f t="shared" ca="1" si="15"/>
        <v>0</v>
      </c>
      <c r="AU189" s="79" t="str">
        <f t="shared" ca="1" si="16"/>
        <v/>
      </c>
      <c r="AV189" s="79" t="str" cm="1">
        <f t="array" aca="1" ref="AV189" ca="1">IFERROR(_xlfn.IFS($AU189="","",$AU189&lt;=15,"0-15",AND($AU189&gt;=16,$AU189&lt;=30),"16-30",AND($AU189&gt;=31,$AU189&lt;=45),"31-45",AND($AU189&gt;=46,$AU189&lt;=60),"46-60",AND($AU189&gt;=61,$AU189&lt;=90),"61-90",AND($AU189&gt;=91),"&gt; 90",AND($AU189&gt;=2000),""),"")</f>
        <v/>
      </c>
      <c r="AW189" s="79" cm="1">
        <f t="array" aca="1" ref="AW189" ca="1">IFERROR(_xlfn.IFS(OR($M189="",$AM189=""),"",OR($C189="Offered",$C189="Joined"),($AM189-$M189)-$AT189),"")</f>
        <v>72</v>
      </c>
      <c r="AX189" s="79" cm="1">
        <f t="array" aca="1" ref="AX189" ca="1">IFERROR(_xlfn.IFS(OR($M189="",$AS189=""),"",$C189="Joined",($AS189-$M189)-$AT189),"")</f>
        <v>174</v>
      </c>
      <c r="AY189" s="67" t="str">
        <f>IFERROR(IF(COUNTIFS('Candidate Tracker'!$E:$E,'Positions Tracker'!$B189,'Candidate Tracker'!$C:$C,"Offer Drop")=0,"",COUNTIFS('Candidate Tracker'!$E:$E,'Positions Tracker'!$B189,'Candidate Tracker'!$C:$C,"Offer Drop")),"")</f>
        <v/>
      </c>
      <c r="AZ189" s="80">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0.88111888111888115</v>
      </c>
      <c r="BA189" s="81" t="str">
        <f>IFERROR(IF(COUNTIFS('Candidate Tracker'!$E:$E,'Positions Tracker'!$B189,'Candidate Tracker'!$I:$I,"Female")=0,"",COUNTIFS('Candidate Tracker'!$E:$E,'Positions Tracker'!$B189,'Candidate Tracker'!$I:$I,"Female")),"")</f>
        <v/>
      </c>
      <c r="BB189" s="81">
        <f>IFERROR(IF(COUNTIFS('Candidate Tracker'!$E:$E,'Positions Tracker'!$B189,'Candidate Tracker'!$I:$I,"male")=0,"",COUNTIFS('Candidate Tracker'!$E:$E,'Positions Tracker'!$B189,'Candidate Tracker'!$I:$I,"male")),"")</f>
        <v>6</v>
      </c>
      <c r="BC189" s="80">
        <f>IFERROR(IF(COUNTIFS('Candidate Tracker'!$E:$E,'Positions Tracker'!$B189,'Candidate Tracker'!$C:$C,"&lt;&gt;WIP",'Candidate Tracker'!$C:$C,"&lt;&gt;Hold",'Candidate Tracker'!$C:$C,"&lt;&gt;Cancelled",'Candidate Tracker'!$C:$C,"&lt;&gt;Closed")/COUNTIFS('Candidate Tracker'!$E:$E,'Positions Tracker'!$B189)=0,"",COUNTIFS('Candidate Tracker'!$E:$E,'Positions Tracker'!$B189,'Candidate Tracker'!$C:$C,"&lt;&gt;WIP",'Candidate Tracker'!$C:$C,"&lt;&gt;Hold",'Candidate Tracker'!$C:$C,"&lt;&gt;Cancelled",'Candidate Tracker'!$C:$C,"&lt;&gt;Closed")/COUNTIFS('Candidate Tracker'!$E:$E,'Positions Tracker'!$B189)),"")</f>
        <v>0.16666666666666666</v>
      </c>
      <c r="BD189" s="67" t="str">
        <f t="shared" si="1"/>
        <v>Apr-25</v>
      </c>
      <c r="BE189" s="67" t="str">
        <f t="shared" si="2"/>
        <v>Jun-25</v>
      </c>
      <c r="BF189" s="67" t="str">
        <f t="shared" si="3"/>
        <v>Jun-25</v>
      </c>
      <c r="BG189" s="67" t="str">
        <f t="shared" si="4"/>
        <v>Sep-25</v>
      </c>
    </row>
    <row r="190" spans="1:59">
      <c r="A190" s="67">
        <f t="shared" si="14"/>
        <v>189</v>
      </c>
      <c r="B190" s="67">
        <v>20251210</v>
      </c>
      <c r="C190" s="67" t="s">
        <v>87</v>
      </c>
      <c r="D190" s="67" t="s">
        <v>87</v>
      </c>
      <c r="E190" s="67" t="s">
        <v>797</v>
      </c>
      <c r="F190" s="67" t="s">
        <v>347</v>
      </c>
      <c r="G190" s="67" t="s">
        <v>1</v>
      </c>
      <c r="H190" s="67"/>
      <c r="I190" s="67" t="s">
        <v>798</v>
      </c>
      <c r="J190" s="67" t="s">
        <v>70</v>
      </c>
      <c r="K190" s="68">
        <v>45677</v>
      </c>
      <c r="L190" s="68">
        <v>45743</v>
      </c>
      <c r="M190" s="68">
        <v>45743</v>
      </c>
      <c r="N190" s="67"/>
      <c r="O190" s="68"/>
      <c r="P190" s="68"/>
      <c r="Q190" s="68"/>
      <c r="R190" s="68"/>
      <c r="S190" s="68"/>
      <c r="T190" s="68"/>
      <c r="U190" s="67"/>
      <c r="V190" s="67"/>
      <c r="W190" s="67"/>
      <c r="X190" s="67" t="s">
        <v>72</v>
      </c>
      <c r="Y190" s="67" t="s">
        <v>73</v>
      </c>
      <c r="Z190" s="67" t="s">
        <v>73</v>
      </c>
      <c r="AA190" s="67" t="s">
        <v>799</v>
      </c>
      <c r="AB190" s="67"/>
      <c r="AC190" s="67"/>
      <c r="AD190" s="67"/>
      <c r="AE190" s="67"/>
      <c r="AF190" s="67"/>
      <c r="AG190" s="67"/>
      <c r="AH190" s="68"/>
      <c r="AI190" s="68"/>
      <c r="AJ190" s="68"/>
      <c r="AK190" s="67"/>
      <c r="AL190" s="67"/>
      <c r="AM190" s="68"/>
      <c r="AN190" s="68"/>
      <c r="AO190" s="68"/>
      <c r="AP190" s="68"/>
      <c r="AQ190" s="68"/>
      <c r="AR190" s="68"/>
      <c r="AS190" s="68"/>
      <c r="AT190" s="67">
        <f t="shared" ca="1" si="15"/>
        <v>0</v>
      </c>
      <c r="AU190" s="79" t="str">
        <f t="shared" ca="1" si="16"/>
        <v/>
      </c>
      <c r="AV190" s="79" t="str" cm="1">
        <f t="array" aca="1" ref="AV190" ca="1">IFERROR(_xlfn.IFS($AU190="","",$AU190&lt;=15,"0-15",AND($AU190&gt;=16,$AU190&lt;=30),"16-30",AND($AU190&gt;=31,$AU190&lt;=45),"31-45",AND($AU190&gt;=46,$AU190&lt;=60),"46-60",AND($AU190&gt;=61,$AU190&lt;=90),"61-90",AND($AU190&gt;=91),"&gt; 90",AND($AU190&gt;=2000),""),"")</f>
        <v/>
      </c>
      <c r="AW190" s="79" t="str" cm="1">
        <f t="array" aca="1" ref="AW190" ca="1">IFERROR(_xlfn.IFS(OR($M190="",$AM190=""),"",OR($C190="Offered",$C190="Joined"),($AM190-$M190)-$AT190),"")</f>
        <v/>
      </c>
      <c r="AX190" s="79" t="str" cm="1">
        <f t="array" aca="1" ref="AX190" ca="1">IFERROR(_xlfn.IFS(OR($M190="",$AS190=""),"",$C190="Joined",($AS190-$M190)-$AT190),"")</f>
        <v/>
      </c>
      <c r="AY190" s="67">
        <f>IFERROR(IF(COUNTIFS('Candidate Tracker'!$E:$E,'Positions Tracker'!$B190,'Candidate Tracker'!$C:$C,"Offer Drop")=0,"",COUNTIFS('Candidate Tracker'!$E:$E,'Positions Tracker'!$B190,'Candidate Tracker'!$C:$C,"Offer Drop")),"")</f>
        <v>1</v>
      </c>
      <c r="AZ190" s="80">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0.88111888111888115</v>
      </c>
      <c r="BA190" s="81" t="str">
        <f>IFERROR(IF(COUNTIFS('Candidate Tracker'!$E:$E,'Positions Tracker'!$B190,'Candidate Tracker'!$I:$I,"Female")=0,"",COUNTIFS('Candidate Tracker'!$E:$E,'Positions Tracker'!$B190,'Candidate Tracker'!$I:$I,"Female")),"")</f>
        <v/>
      </c>
      <c r="BB190" s="81">
        <f>IFERROR(IF(COUNTIFS('Candidate Tracker'!$E:$E,'Positions Tracker'!$B190,'Candidate Tracker'!$I:$I,"male")=0,"",COUNTIFS('Candidate Tracker'!$E:$E,'Positions Tracker'!$B190,'Candidate Tracker'!$I:$I,"male")),"")</f>
        <v>4</v>
      </c>
      <c r="BC190" s="80">
        <f>IFERROR(IF(COUNTIFS('Candidate Tracker'!$E:$E,'Positions Tracker'!$B190,'Candidate Tracker'!$C:$C,"&lt;&gt;WIP",'Candidate Tracker'!$C:$C,"&lt;&gt;Hold",'Candidate Tracker'!$C:$C,"&lt;&gt;Cancelled",'Candidate Tracker'!$C:$C,"&lt;&gt;Closed")/COUNTIFS('Candidate Tracker'!$E:$E,'Positions Tracker'!$B190)=0,"",COUNTIFS('Candidate Tracker'!$E:$E,'Positions Tracker'!$B190,'Candidate Tracker'!$C:$C,"&lt;&gt;WIP",'Candidate Tracker'!$C:$C,"&lt;&gt;Hold",'Candidate Tracker'!$C:$C,"&lt;&gt;Cancelled",'Candidate Tracker'!$C:$C,"&lt;&gt;Closed")/COUNTIFS('Candidate Tracker'!$E:$E,'Positions Tracker'!$B190)),"")</f>
        <v>0.25</v>
      </c>
      <c r="BD190" s="67" t="str">
        <f t="shared" si="1"/>
        <v>Mar-25</v>
      </c>
      <c r="BE190" s="67" t="str">
        <f t="shared" si="2"/>
        <v/>
      </c>
      <c r="BF190" s="67" t="str">
        <f t="shared" si="3"/>
        <v/>
      </c>
      <c r="BG190" s="67" t="str">
        <f t="shared" si="4"/>
        <v/>
      </c>
    </row>
    <row r="191" spans="1:59">
      <c r="A191" s="67">
        <f t="shared" si="14"/>
        <v>190</v>
      </c>
      <c r="B191" s="67">
        <v>20243903</v>
      </c>
      <c r="C191" s="67" t="s">
        <v>116</v>
      </c>
      <c r="D191" s="67" t="s">
        <v>116</v>
      </c>
      <c r="E191" s="67" t="s">
        <v>800</v>
      </c>
      <c r="F191" s="67" t="s">
        <v>801</v>
      </c>
      <c r="G191" s="67" t="s">
        <v>3</v>
      </c>
      <c r="H191" s="67" t="s">
        <v>68</v>
      </c>
      <c r="I191" s="67" t="s">
        <v>431</v>
      </c>
      <c r="J191" s="67" t="s">
        <v>70</v>
      </c>
      <c r="K191" s="68">
        <v>45485</v>
      </c>
      <c r="L191" s="68">
        <v>45485</v>
      </c>
      <c r="M191" s="68">
        <v>45747</v>
      </c>
      <c r="N191" s="67" t="s">
        <v>432</v>
      </c>
      <c r="O191" s="68">
        <v>45770</v>
      </c>
      <c r="P191" s="68"/>
      <c r="Q191" s="68"/>
      <c r="R191" s="68">
        <v>45782</v>
      </c>
      <c r="S191" s="68"/>
      <c r="T191" s="68"/>
      <c r="U191" s="67"/>
      <c r="V191" s="67"/>
      <c r="W191" s="67"/>
      <c r="X191" s="67" t="s">
        <v>72</v>
      </c>
      <c r="Y191" s="67" t="s">
        <v>282</v>
      </c>
      <c r="Z191" s="67" t="s">
        <v>282</v>
      </c>
      <c r="AA191" s="67" t="s">
        <v>802</v>
      </c>
      <c r="AB191" s="67"/>
      <c r="AC191" s="67"/>
      <c r="AD191" s="67"/>
      <c r="AE191" s="67" t="s">
        <v>803</v>
      </c>
      <c r="AF191" s="67" t="s">
        <v>804</v>
      </c>
      <c r="AG191" s="67" t="s">
        <v>805</v>
      </c>
      <c r="AH191" s="68" t="s">
        <v>123</v>
      </c>
      <c r="AI191" s="68">
        <v>45838</v>
      </c>
      <c r="AJ191" s="68">
        <v>45856</v>
      </c>
      <c r="AK191" s="67" t="s">
        <v>72</v>
      </c>
      <c r="AL191" s="67">
        <v>850000</v>
      </c>
      <c r="AM191" s="68">
        <v>45859</v>
      </c>
      <c r="AN191" s="68">
        <v>45859</v>
      </c>
      <c r="AO191" s="68"/>
      <c r="AP191" s="68">
        <v>45860</v>
      </c>
      <c r="AQ191" s="68">
        <v>45861</v>
      </c>
      <c r="AR191" s="68"/>
      <c r="AS191" s="68">
        <v>45957</v>
      </c>
      <c r="AT191" s="67">
        <f t="shared" ca="1" si="15"/>
        <v>12</v>
      </c>
      <c r="AU191" s="79" t="str">
        <f t="shared" ca="1" si="16"/>
        <v/>
      </c>
      <c r="AV191" s="79" t="str" cm="1">
        <f t="array" aca="1" ref="AV191" ca="1">IFERROR(_xlfn.IFS($AU191="","",$AU191&lt;=15,"0-15",AND($AU191&gt;=16,$AU191&lt;=30),"16-30",AND($AU191&gt;=31,$AU191&lt;=45),"31-45",AND($AU191&gt;=46,$AU191&lt;=60),"46-60",AND($AU191&gt;=61,$AU191&lt;=90),"61-90",AND($AU191&gt;=91),"&gt; 90",AND($AU191&gt;=2000),""),"")</f>
        <v/>
      </c>
      <c r="AW191" s="79" cm="1">
        <f t="array" aca="1" ref="AW191" ca="1">IFERROR(_xlfn.IFS(OR($M191="",$AM191=""),"",OR($C191="Offered",$C191="Joined"),($AM191-$M191)-$AT191),"")</f>
        <v>100</v>
      </c>
      <c r="AX191" s="79" cm="1">
        <f t="array" aca="1" ref="AX191" ca="1">IFERROR(_xlfn.IFS(OR($M191="",$AS191=""),"",$C191="Joined",($AS191-$M191)-$AT191),"")</f>
        <v>198</v>
      </c>
      <c r="AY191" s="67" t="str">
        <f>IFERROR(IF(COUNTIFS('Candidate Tracker'!$E:$E,'Positions Tracker'!$B191,'Candidate Tracker'!$C:$C,"Offer Drop")=0,"",COUNTIFS('Candidate Tracker'!$E:$E,'Positions Tracker'!$B191,'Candidate Tracker'!$C:$C,"Offer Drop")),"")</f>
        <v/>
      </c>
      <c r="AZ191" s="80">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0.88111888111888115</v>
      </c>
      <c r="BA191" s="81">
        <f>IFERROR(IF(COUNTIFS('Candidate Tracker'!$E:$E,'Positions Tracker'!$B191,'Candidate Tracker'!$I:$I,"Female")=0,"",COUNTIFS('Candidate Tracker'!$E:$E,'Positions Tracker'!$B191,'Candidate Tracker'!$I:$I,"Female")),"")</f>
        <v>1</v>
      </c>
      <c r="BB191" s="81" t="str">
        <f>IFERROR(IF(COUNTIFS('Candidate Tracker'!$E:$E,'Positions Tracker'!$B191,'Candidate Tracker'!$I:$I,"male")=0,"",COUNTIFS('Candidate Tracker'!$E:$E,'Positions Tracker'!$B191,'Candidate Tracker'!$I:$I,"male")),"")</f>
        <v/>
      </c>
      <c r="BC191" s="80">
        <f>IFERROR(IF(COUNTIFS('Candidate Tracker'!$E:$E,'Positions Tracker'!$B191,'Candidate Tracker'!$C:$C,"&lt;&gt;WIP",'Candidate Tracker'!$C:$C,"&lt;&gt;Hold",'Candidate Tracker'!$C:$C,"&lt;&gt;Cancelled",'Candidate Tracker'!$C:$C,"&lt;&gt;Closed")/COUNTIFS('Candidate Tracker'!$E:$E,'Positions Tracker'!$B191)=0,"",COUNTIFS('Candidate Tracker'!$E:$E,'Positions Tracker'!$B191,'Candidate Tracker'!$C:$C,"&lt;&gt;WIP",'Candidate Tracker'!$C:$C,"&lt;&gt;Hold",'Candidate Tracker'!$C:$C,"&lt;&gt;Cancelled",'Candidate Tracker'!$C:$C,"&lt;&gt;Closed")/COUNTIFS('Candidate Tracker'!$E:$E,'Positions Tracker'!$B191)),"")</f>
        <v>1</v>
      </c>
      <c r="BD191" s="67" t="str">
        <f t="shared" si="1"/>
        <v>Mar-25</v>
      </c>
      <c r="BE191" s="67" t="str">
        <f t="shared" si="2"/>
        <v>Jun-25</v>
      </c>
      <c r="BF191" s="67" t="str">
        <f t="shared" si="3"/>
        <v>Jul-25</v>
      </c>
      <c r="BG191" s="67" t="str">
        <f t="shared" si="4"/>
        <v>Oct-25</v>
      </c>
    </row>
    <row r="192" spans="1:59">
      <c r="A192" s="67">
        <f t="shared" si="14"/>
        <v>191</v>
      </c>
      <c r="B192" s="67">
        <v>20256299</v>
      </c>
      <c r="C192" s="67" t="s">
        <v>87</v>
      </c>
      <c r="D192" s="67" t="s">
        <v>87</v>
      </c>
      <c r="E192" s="67" t="s">
        <v>81</v>
      </c>
      <c r="F192" s="67" t="s">
        <v>77</v>
      </c>
      <c r="G192" s="67" t="s">
        <v>3</v>
      </c>
      <c r="H192" s="67" t="s">
        <v>68</v>
      </c>
      <c r="I192" s="67" t="s">
        <v>89</v>
      </c>
      <c r="J192" s="67"/>
      <c r="K192" s="68">
        <v>45625</v>
      </c>
      <c r="L192" s="68">
        <v>45625</v>
      </c>
      <c r="M192" s="68">
        <v>45761</v>
      </c>
      <c r="N192" s="67" t="s">
        <v>82</v>
      </c>
      <c r="O192" s="68"/>
      <c r="P192" s="68"/>
      <c r="Q192" s="68"/>
      <c r="R192" s="68"/>
      <c r="S192" s="68"/>
      <c r="T192" s="68"/>
      <c r="U192" s="67"/>
      <c r="V192" s="67"/>
      <c r="W192" s="67"/>
      <c r="X192" s="67" t="s">
        <v>72</v>
      </c>
      <c r="Y192" s="67" t="s">
        <v>74</v>
      </c>
      <c r="Z192" s="67" t="s">
        <v>74</v>
      </c>
      <c r="AA192" s="67" t="s">
        <v>806</v>
      </c>
      <c r="AB192" s="67">
        <v>11</v>
      </c>
      <c r="AC192" s="67">
        <v>8</v>
      </c>
      <c r="AD192" s="67">
        <v>2</v>
      </c>
      <c r="AE192" s="67"/>
      <c r="AF192" s="67"/>
      <c r="AG192" s="67"/>
      <c r="AH192" s="68"/>
      <c r="AI192" s="68"/>
      <c r="AJ192" s="68"/>
      <c r="AK192" s="67"/>
      <c r="AL192" s="67"/>
      <c r="AM192" s="68"/>
      <c r="AN192" s="68"/>
      <c r="AO192" s="68"/>
      <c r="AP192" s="68"/>
      <c r="AQ192" s="68"/>
      <c r="AR192" s="68"/>
      <c r="AS192" s="68"/>
      <c r="AT192" s="67">
        <f t="shared" ca="1" si="15"/>
        <v>0</v>
      </c>
      <c r="AU192" s="79" t="str">
        <f t="shared" ca="1" si="16"/>
        <v/>
      </c>
      <c r="AV192" s="79" t="str" cm="1">
        <f t="array" aca="1" ref="AV192" ca="1">IFERROR(_xlfn.IFS($AU192="","",$AU192&lt;=15,"0-15",AND($AU192&gt;=16,$AU192&lt;=30),"16-30",AND($AU192&gt;=31,$AU192&lt;=45),"31-45",AND($AU192&gt;=46,$AU192&lt;=60),"46-60",AND($AU192&gt;=61,$AU192&lt;=90),"61-90",AND($AU192&gt;=91),"&gt; 90",AND($AU192&gt;=2000),""),"")</f>
        <v/>
      </c>
      <c r="AW192" s="79" t="str" cm="1">
        <f t="array" aca="1" ref="AW192" ca="1">IFERROR(_xlfn.IFS(OR($M192="",$AM192=""),"",OR($C192="Offered",$C192="Joined"),($AM192-$M192)-$AT192),"")</f>
        <v/>
      </c>
      <c r="AX192" s="79" t="str" cm="1">
        <f t="array" aca="1" ref="AX192" ca="1">IFERROR(_xlfn.IFS(OR($M192="",$AS192=""),"",$C192="Joined",($AS192-$M192)-$AT192),"")</f>
        <v/>
      </c>
      <c r="AY192" s="67" t="str">
        <f>IFERROR(IF(COUNTIFS('Candidate Tracker'!$E:$E,'Positions Tracker'!$B192,'Candidate Tracker'!$C:$C,"Offer Drop")=0,"",COUNTIFS('Candidate Tracker'!$E:$E,'Positions Tracker'!$B192,'Candidate Tracker'!$C:$C,"Offer Drop")),"")</f>
        <v/>
      </c>
      <c r="AZ192" s="80">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0.88111888111888115</v>
      </c>
      <c r="BA192" s="81" t="str">
        <f>IFERROR(IF(COUNTIFS('Candidate Tracker'!$E:$E,'Positions Tracker'!$B192,'Candidate Tracker'!$I:$I,"Female")=0,"",COUNTIFS('Candidate Tracker'!$E:$E,'Positions Tracker'!$B192,'Candidate Tracker'!$I:$I,"Female")),"")</f>
        <v/>
      </c>
      <c r="BB192" s="81" t="str">
        <f>IFERROR(IF(COUNTIFS('Candidate Tracker'!$E:$E,'Positions Tracker'!$B192,'Candidate Tracker'!$I:$I,"male")=0,"",COUNTIFS('Candidate Tracker'!$E:$E,'Positions Tracker'!$B192,'Candidate Tracker'!$I:$I,"male")),"")</f>
        <v/>
      </c>
      <c r="BC192" s="80" t="str">
        <f>IFERROR(IF(COUNTIFS('Candidate Tracker'!$E:$E,'Positions Tracker'!$B192,'Candidate Tracker'!$C:$C,"&lt;&gt;WIP",'Candidate Tracker'!$C:$C,"&lt;&gt;Hold",'Candidate Tracker'!$C:$C,"&lt;&gt;Cancelled",'Candidate Tracker'!$C:$C,"&lt;&gt;Closed")/COUNTIFS('Candidate Tracker'!$E:$E,'Positions Tracker'!$B192)=0,"",COUNTIFS('Candidate Tracker'!$E:$E,'Positions Tracker'!$B192,'Candidate Tracker'!$C:$C,"&lt;&gt;WIP",'Candidate Tracker'!$C:$C,"&lt;&gt;Hold",'Candidate Tracker'!$C:$C,"&lt;&gt;Cancelled",'Candidate Tracker'!$C:$C,"&lt;&gt;Closed")/COUNTIFS('Candidate Tracker'!$E:$E,'Positions Tracker'!$B192)),"")</f>
        <v/>
      </c>
      <c r="BD192" s="67" t="str">
        <f t="shared" si="1"/>
        <v>Apr-25</v>
      </c>
      <c r="BE192" s="67" t="str">
        <f t="shared" si="2"/>
        <v/>
      </c>
      <c r="BF192" s="67" t="str">
        <f t="shared" si="3"/>
        <v/>
      </c>
      <c r="BG192" s="67" t="str">
        <f t="shared" si="4"/>
        <v/>
      </c>
    </row>
    <row r="193" spans="1:59">
      <c r="A193" s="67">
        <f t="shared" si="14"/>
        <v>192</v>
      </c>
      <c r="B193" s="67">
        <v>20253370</v>
      </c>
      <c r="C193" s="67" t="s">
        <v>64</v>
      </c>
      <c r="D193" s="67" t="s">
        <v>65</v>
      </c>
      <c r="E193" s="67" t="s">
        <v>807</v>
      </c>
      <c r="F193" s="67" t="s">
        <v>158</v>
      </c>
      <c r="G193" s="67" t="s">
        <v>3</v>
      </c>
      <c r="H193" s="67" t="s">
        <v>68</v>
      </c>
      <c r="I193" s="67" t="s">
        <v>107</v>
      </c>
      <c r="J193" s="67"/>
      <c r="K193" s="68">
        <v>45733</v>
      </c>
      <c r="L193" s="68">
        <v>45763</v>
      </c>
      <c r="M193" s="68">
        <v>45765</v>
      </c>
      <c r="N193" s="67" t="s">
        <v>82</v>
      </c>
      <c r="O193" s="68"/>
      <c r="P193" s="68"/>
      <c r="Q193" s="68"/>
      <c r="R193" s="68"/>
      <c r="S193" s="68"/>
      <c r="T193" s="68"/>
      <c r="U193" s="67"/>
      <c r="V193" s="67"/>
      <c r="W193" s="67"/>
      <c r="X193" s="67" t="s">
        <v>72</v>
      </c>
      <c r="Y193" s="67" t="s">
        <v>282</v>
      </c>
      <c r="Z193" s="67" t="s">
        <v>282</v>
      </c>
      <c r="AA193" s="67" t="s">
        <v>808</v>
      </c>
      <c r="AB193" s="67"/>
      <c r="AC193" s="67"/>
      <c r="AD193" s="67"/>
      <c r="AE193" s="67"/>
      <c r="AF193" s="67"/>
      <c r="AG193" s="67"/>
      <c r="AH193" s="68"/>
      <c r="AI193" s="68"/>
      <c r="AJ193" s="68"/>
      <c r="AK193" s="67"/>
      <c r="AL193" s="67"/>
      <c r="AM193" s="68"/>
      <c r="AN193" s="68"/>
      <c r="AO193" s="68"/>
      <c r="AP193" s="68"/>
      <c r="AQ193" s="68"/>
      <c r="AR193" s="68"/>
      <c r="AS193" s="68"/>
      <c r="AT193" s="67">
        <f t="shared" ca="1" si="15"/>
        <v>0</v>
      </c>
      <c r="AU193" s="79" t="str">
        <f t="shared" ca="1" si="16"/>
        <v/>
      </c>
      <c r="AV193" s="79" t="str" cm="1">
        <f t="array" aca="1" ref="AV193" ca="1">IFERROR(_xlfn.IFS($AU193="","",$AU193&lt;=15,"0-15",AND($AU193&gt;=16,$AU193&lt;=30),"16-30",AND($AU193&gt;=31,$AU193&lt;=45),"31-45",AND($AU193&gt;=46,$AU193&lt;=60),"46-60",AND($AU193&gt;=61,$AU193&lt;=90),"61-90",AND($AU193&gt;=91),"&gt; 90",AND($AU193&gt;=2000),""),"")</f>
        <v/>
      </c>
      <c r="AW193" s="79" t="str" cm="1">
        <f t="array" aca="1" ref="AW193" ca="1">IFERROR(_xlfn.IFS(OR($M193="",$AM193=""),"",OR($C193="Offered",$C193="Joined"),($AM193-$M193)-$AT193),"")</f>
        <v/>
      </c>
      <c r="AX193" s="79" t="str" cm="1">
        <f t="array" aca="1" ref="AX193" ca="1">IFERROR(_xlfn.IFS(OR($M193="",$AS193=""),"",$C193="Joined",($AS193-$M193)-$AT193),"")</f>
        <v/>
      </c>
      <c r="AY193" s="67" t="str">
        <f>IFERROR(IF(COUNTIFS('Candidate Tracker'!$E:$E,'Positions Tracker'!$B193,'Candidate Tracker'!$C:$C,"Offer Drop")=0,"",COUNTIFS('Candidate Tracker'!$E:$E,'Positions Tracker'!$B193,'Candidate Tracker'!$C:$C,"Offer Drop")),"")</f>
        <v/>
      </c>
      <c r="AZ193" s="80">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0.88111888111888115</v>
      </c>
      <c r="BA193" s="81" t="str">
        <f>IFERROR(IF(COUNTIFS('Candidate Tracker'!$E:$E,'Positions Tracker'!$B193,'Candidate Tracker'!$I:$I,"Female")=0,"",COUNTIFS('Candidate Tracker'!$E:$E,'Positions Tracker'!$B193,'Candidate Tracker'!$I:$I,"Female")),"")</f>
        <v/>
      </c>
      <c r="BB193" s="81" t="str">
        <f>IFERROR(IF(COUNTIFS('Candidate Tracker'!$E:$E,'Positions Tracker'!$B193,'Candidate Tracker'!$I:$I,"male")=0,"",COUNTIFS('Candidate Tracker'!$E:$E,'Positions Tracker'!$B193,'Candidate Tracker'!$I:$I,"male")),"")</f>
        <v/>
      </c>
      <c r="BC193" s="80" t="str">
        <f>IFERROR(IF(COUNTIFS('Candidate Tracker'!$E:$E,'Positions Tracker'!$B193,'Candidate Tracker'!$C:$C,"&lt;&gt;WIP",'Candidate Tracker'!$C:$C,"&lt;&gt;Hold",'Candidate Tracker'!$C:$C,"&lt;&gt;Cancelled",'Candidate Tracker'!$C:$C,"&lt;&gt;Closed")/COUNTIFS('Candidate Tracker'!$E:$E,'Positions Tracker'!$B193)=0,"",COUNTIFS('Candidate Tracker'!$E:$E,'Positions Tracker'!$B193,'Candidate Tracker'!$C:$C,"&lt;&gt;WIP",'Candidate Tracker'!$C:$C,"&lt;&gt;Hold",'Candidate Tracker'!$C:$C,"&lt;&gt;Cancelled",'Candidate Tracker'!$C:$C,"&lt;&gt;Closed")/COUNTIFS('Candidate Tracker'!$E:$E,'Positions Tracker'!$B193)),"")</f>
        <v/>
      </c>
      <c r="BD193" s="67" t="str">
        <f t="shared" si="1"/>
        <v>Apr-25</v>
      </c>
      <c r="BE193" s="67" t="str">
        <f t="shared" si="2"/>
        <v/>
      </c>
      <c r="BF193" s="67" t="str">
        <f t="shared" si="3"/>
        <v/>
      </c>
      <c r="BG193" s="67" t="str">
        <f t="shared" si="4"/>
        <v/>
      </c>
    </row>
    <row r="194" spans="1:59">
      <c r="A194" s="67">
        <f t="shared" si="14"/>
        <v>193</v>
      </c>
      <c r="B194" s="67">
        <v>20253386</v>
      </c>
      <c r="C194" s="67" t="s">
        <v>809</v>
      </c>
      <c r="D194" s="67" t="s">
        <v>786</v>
      </c>
      <c r="E194" s="67" t="s">
        <v>810</v>
      </c>
      <c r="F194" s="67" t="s">
        <v>184</v>
      </c>
      <c r="G194" s="67" t="s">
        <v>3</v>
      </c>
      <c r="H194" s="67" t="s">
        <v>227</v>
      </c>
      <c r="I194" s="67" t="s">
        <v>228</v>
      </c>
      <c r="J194" s="67"/>
      <c r="K194" s="68">
        <v>45665</v>
      </c>
      <c r="L194" s="68">
        <v>45764</v>
      </c>
      <c r="M194" s="68">
        <v>45765</v>
      </c>
      <c r="N194" s="67" t="s">
        <v>258</v>
      </c>
      <c r="O194" s="68"/>
      <c r="P194" s="68"/>
      <c r="Q194" s="68"/>
      <c r="R194" s="68"/>
      <c r="S194" s="68"/>
      <c r="T194" s="68"/>
      <c r="U194" s="67"/>
      <c r="V194" s="67"/>
      <c r="W194" s="67"/>
      <c r="X194" s="67" t="s">
        <v>72</v>
      </c>
      <c r="Y194" s="67" t="s">
        <v>282</v>
      </c>
      <c r="Z194" s="67" t="s">
        <v>282</v>
      </c>
      <c r="AA194" s="67" t="s">
        <v>811</v>
      </c>
      <c r="AB194" s="67"/>
      <c r="AC194" s="67"/>
      <c r="AD194" s="67"/>
      <c r="AE194" s="67"/>
      <c r="AF194" s="67"/>
      <c r="AG194" s="67"/>
      <c r="AH194" s="68"/>
      <c r="AI194" s="68"/>
      <c r="AJ194" s="68"/>
      <c r="AK194" s="67"/>
      <c r="AL194" s="67"/>
      <c r="AM194" s="68"/>
      <c r="AN194" s="68"/>
      <c r="AO194" s="68"/>
      <c r="AP194" s="68"/>
      <c r="AQ194" s="68"/>
      <c r="AR194" s="68"/>
      <c r="AS194" s="68"/>
      <c r="AT194" s="67">
        <f t="shared" ca="1" si="15"/>
        <v>0</v>
      </c>
      <c r="AU194" s="79" t="str">
        <f t="shared" ca="1" si="16"/>
        <v/>
      </c>
      <c r="AV194" s="79" t="str" cm="1">
        <f t="array" aca="1" ref="AV194" ca="1">IFERROR(_xlfn.IFS($AU194="","",$AU194&lt;=15,"0-15",AND($AU194&gt;=16,$AU194&lt;=30),"16-30",AND($AU194&gt;=31,$AU194&lt;=45),"31-45",AND($AU194&gt;=46,$AU194&lt;=60),"46-60",AND($AU194&gt;=61,$AU194&lt;=90),"61-90",AND($AU194&gt;=91),"&gt; 90",AND($AU194&gt;=2000),""),"")</f>
        <v/>
      </c>
      <c r="AW194" s="79" t="str" cm="1">
        <f t="array" aca="1" ref="AW194" ca="1">IFERROR(_xlfn.IFS(OR($M194="",$AM194=""),"",OR($C194="Offered",$C194="Joined"),($AM194-$M194)-$AT194),"")</f>
        <v/>
      </c>
      <c r="AX194" s="79" t="str" cm="1">
        <f t="array" aca="1" ref="AX194" ca="1">IFERROR(_xlfn.IFS(OR($M194="",$AS194=""),"",$C194="Joined",($AS194-$M194)-$AT194),"")</f>
        <v/>
      </c>
      <c r="AY194" s="67" t="str">
        <f>IFERROR(IF(COUNTIFS('Candidate Tracker'!$E:$E,'Positions Tracker'!$B194,'Candidate Tracker'!$C:$C,"Offer Drop")=0,"",COUNTIFS('Candidate Tracker'!$E:$E,'Positions Tracker'!$B194,'Candidate Tracker'!$C:$C,"Offer Drop")),"")</f>
        <v/>
      </c>
      <c r="AZ194" s="80">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0.88111888111888115</v>
      </c>
      <c r="BA194" s="81" t="str">
        <f>IFERROR(IF(COUNTIFS('Candidate Tracker'!$E:$E,'Positions Tracker'!$B194,'Candidate Tracker'!$I:$I,"Female")=0,"",COUNTIFS('Candidate Tracker'!$E:$E,'Positions Tracker'!$B194,'Candidate Tracker'!$I:$I,"Female")),"")</f>
        <v/>
      </c>
      <c r="BB194" s="81" t="str">
        <f>IFERROR(IF(COUNTIFS('Candidate Tracker'!$E:$E,'Positions Tracker'!$B194,'Candidate Tracker'!$I:$I,"male")=0,"",COUNTIFS('Candidate Tracker'!$E:$E,'Positions Tracker'!$B194,'Candidate Tracker'!$I:$I,"male")),"")</f>
        <v/>
      </c>
      <c r="BC194" s="80" t="str">
        <f>IFERROR(IF(COUNTIFS('Candidate Tracker'!$E:$E,'Positions Tracker'!$B194,'Candidate Tracker'!$C:$C,"&lt;&gt;WIP",'Candidate Tracker'!$C:$C,"&lt;&gt;Hold",'Candidate Tracker'!$C:$C,"&lt;&gt;Cancelled",'Candidate Tracker'!$C:$C,"&lt;&gt;Closed")/COUNTIFS('Candidate Tracker'!$E:$E,'Positions Tracker'!$B194)=0,"",COUNTIFS('Candidate Tracker'!$E:$E,'Positions Tracker'!$B194,'Candidate Tracker'!$C:$C,"&lt;&gt;WIP",'Candidate Tracker'!$C:$C,"&lt;&gt;Hold",'Candidate Tracker'!$C:$C,"&lt;&gt;Cancelled",'Candidate Tracker'!$C:$C,"&lt;&gt;Closed")/COUNTIFS('Candidate Tracker'!$E:$E,'Positions Tracker'!$B194)),"")</f>
        <v/>
      </c>
      <c r="BD194" s="67" t="str">
        <f t="shared" ref="BD194:BD256" si="17">IFERROR(IF($M194="","",TEXT($M194,"MMM-YY")),"")</f>
        <v>Apr-25</v>
      </c>
      <c r="BE194" s="67" t="str">
        <f t="shared" ref="BE194:BE256" si="18">IFERROR(IF($AI194="","",TEXT($AI194,"MMM-YY")),"")</f>
        <v/>
      </c>
      <c r="BF194" s="67" t="str">
        <f t="shared" ref="BF194:BF256" si="19">IFERROR(IF($AM194="","",TEXT($AM194,"MMM-YY")),"")</f>
        <v/>
      </c>
      <c r="BG194" s="67" t="str">
        <f t="shared" ref="BG194:BG256" si="20">IFERROR(IF($AS194="","",TEXT($AS194,"MMM-YY")),"")</f>
        <v/>
      </c>
    </row>
    <row r="195" spans="1:59">
      <c r="A195" s="67">
        <f t="shared" ref="A195:A247" si="21">A194+1</f>
        <v>194</v>
      </c>
      <c r="B195" s="67">
        <v>20254576</v>
      </c>
      <c r="C195" s="67" t="s">
        <v>809</v>
      </c>
      <c r="D195" s="67" t="s">
        <v>786</v>
      </c>
      <c r="E195" s="67" t="s">
        <v>812</v>
      </c>
      <c r="F195" s="67" t="s">
        <v>813</v>
      </c>
      <c r="G195" s="67" t="s">
        <v>1</v>
      </c>
      <c r="H195" s="67"/>
      <c r="I195" s="67" t="s">
        <v>814</v>
      </c>
      <c r="J195" s="67"/>
      <c r="K195" s="68">
        <v>45914</v>
      </c>
      <c r="L195" s="68">
        <v>45770</v>
      </c>
      <c r="M195" s="68">
        <v>45770</v>
      </c>
      <c r="N195" s="67" t="s">
        <v>815</v>
      </c>
      <c r="O195" s="68"/>
      <c r="P195" s="68"/>
      <c r="Q195" s="68"/>
      <c r="R195" s="68"/>
      <c r="S195" s="68"/>
      <c r="T195" s="68"/>
      <c r="U195" s="67"/>
      <c r="V195" s="67"/>
      <c r="W195" s="67"/>
      <c r="X195" s="67" t="s">
        <v>708</v>
      </c>
      <c r="Y195" s="67" t="s">
        <v>73</v>
      </c>
      <c r="Z195" s="67" t="s">
        <v>73</v>
      </c>
      <c r="AA195" s="67" t="s">
        <v>816</v>
      </c>
      <c r="AB195" s="67"/>
      <c r="AC195" s="67"/>
      <c r="AD195" s="67"/>
      <c r="AE195" s="67"/>
      <c r="AF195" s="67"/>
      <c r="AG195" s="67"/>
      <c r="AH195" s="68"/>
      <c r="AI195" s="68"/>
      <c r="AJ195" s="68"/>
      <c r="AK195" s="67"/>
      <c r="AL195" s="67"/>
      <c r="AM195" s="68"/>
      <c r="AN195" s="68"/>
      <c r="AO195" s="68"/>
      <c r="AP195" s="68"/>
      <c r="AQ195" s="68"/>
      <c r="AR195" s="68"/>
      <c r="AS195" s="68"/>
      <c r="AT195" s="67">
        <f t="shared" ref="AT195:AT257" ca="1" si="22">IFERROR(SUM(IF(AND(ISBLANK(T195),ISBLANK(Q195)),0,IF(T195="",TODAY()-Q195,T195-Q195))+IF(AND(ISBLANK(S195),ISBLANK(P195)),0,IF(S195="",TODAY()-P195,S195-P195))+IF(AND(ISBLANK(O195),ISBLANK(R195)),0,IF(R195="",TODAY()-O195,R195-O195))),"")</f>
        <v>0</v>
      </c>
      <c r="AU195" s="79" t="str">
        <f t="shared" ref="AU195:AU257" ca="1" si="23">IFERROR(IF(($M195=""),"",IF(OR(,$C195="Offer in Progress",$C195="WIP",$C195="WIP/Drop",$C195="WIP/New",$C195="WIP/Hold"),(TODAY()-$M195)-$AT195,"")),"")</f>
        <v/>
      </c>
      <c r="AV195" s="79" t="str" cm="1">
        <f t="array" aca="1" ref="AV195" ca="1">IFERROR(_xlfn.IFS($AU195="","",$AU195&lt;=15,"0-15",AND($AU195&gt;=16,$AU195&lt;=30),"16-30",AND($AU195&gt;=31,$AU195&lt;=45),"31-45",AND($AU195&gt;=46,$AU195&lt;=60),"46-60",AND($AU195&gt;=61,$AU195&lt;=90),"61-90",AND($AU195&gt;=91),"&gt; 90",AND($AU195&gt;=2000),""),"")</f>
        <v/>
      </c>
      <c r="AW195" s="79" t="str" cm="1">
        <f t="array" aca="1" ref="AW195" ca="1">IFERROR(_xlfn.IFS(OR($M195="",$AM195=""),"",OR($C195="Offered",$C195="Joined"),($AM195-$M195)-$AT195),"")</f>
        <v/>
      </c>
      <c r="AX195" s="79" t="str" cm="1">
        <f t="array" aca="1" ref="AX195" ca="1">IFERROR(_xlfn.IFS(OR($M195="",$AS195=""),"",$C195="Joined",($AS195-$M195)-$AT195),"")</f>
        <v/>
      </c>
      <c r="AY195" s="67" t="str">
        <f>IFERROR(IF(COUNTIFS('Candidate Tracker'!$E:$E,'Positions Tracker'!$B195,'Candidate Tracker'!$C:$C,"Offer Drop")=0,"",COUNTIFS('Candidate Tracker'!$E:$E,'Positions Tracker'!$B195,'Candidate Tracker'!$C:$C,"Offer Drop")),"")</f>
        <v/>
      </c>
      <c r="AZ195" s="80">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0.88111888111888115</v>
      </c>
      <c r="BA195" s="81" t="str">
        <f>IFERROR(IF(COUNTIFS('Candidate Tracker'!$E:$E,'Positions Tracker'!$B195,'Candidate Tracker'!$I:$I,"Female")=0,"",COUNTIFS('Candidate Tracker'!$E:$E,'Positions Tracker'!$B195,'Candidate Tracker'!$I:$I,"Female")),"")</f>
        <v/>
      </c>
      <c r="BB195" s="81" t="str">
        <f>IFERROR(IF(COUNTIFS('Candidate Tracker'!$E:$E,'Positions Tracker'!$B195,'Candidate Tracker'!$I:$I,"male")=0,"",COUNTIFS('Candidate Tracker'!$E:$E,'Positions Tracker'!$B195,'Candidate Tracker'!$I:$I,"male")),"")</f>
        <v/>
      </c>
      <c r="BC195" s="80" t="str">
        <f>IFERROR(IF(COUNTIFS('Candidate Tracker'!$E:$E,'Positions Tracker'!$B195,'Candidate Tracker'!$C:$C,"&lt;&gt;WIP",'Candidate Tracker'!$C:$C,"&lt;&gt;Hold",'Candidate Tracker'!$C:$C,"&lt;&gt;Cancelled",'Candidate Tracker'!$C:$C,"&lt;&gt;Closed")/COUNTIFS('Candidate Tracker'!$E:$E,'Positions Tracker'!$B195)=0,"",COUNTIFS('Candidate Tracker'!$E:$E,'Positions Tracker'!$B195,'Candidate Tracker'!$C:$C,"&lt;&gt;WIP",'Candidate Tracker'!$C:$C,"&lt;&gt;Hold",'Candidate Tracker'!$C:$C,"&lt;&gt;Cancelled",'Candidate Tracker'!$C:$C,"&lt;&gt;Closed")/COUNTIFS('Candidate Tracker'!$E:$E,'Positions Tracker'!$B195)),"")</f>
        <v/>
      </c>
      <c r="BD195" s="67" t="str">
        <f t="shared" si="17"/>
        <v>Apr-25</v>
      </c>
      <c r="BE195" s="67" t="str">
        <f t="shared" si="18"/>
        <v/>
      </c>
      <c r="BF195" s="67" t="str">
        <f t="shared" si="19"/>
        <v/>
      </c>
      <c r="BG195" s="67" t="str">
        <f t="shared" si="20"/>
        <v/>
      </c>
    </row>
    <row r="196" spans="1:59">
      <c r="A196" s="67">
        <f t="shared" si="21"/>
        <v>195</v>
      </c>
      <c r="B196" s="67">
        <v>20254506</v>
      </c>
      <c r="C196" s="67" t="s">
        <v>809</v>
      </c>
      <c r="D196" s="67" t="s">
        <v>786</v>
      </c>
      <c r="E196" s="67" t="s">
        <v>812</v>
      </c>
      <c r="F196" s="67" t="s">
        <v>813</v>
      </c>
      <c r="G196" s="67" t="s">
        <v>1</v>
      </c>
      <c r="H196" s="67"/>
      <c r="I196" s="67" t="s">
        <v>814</v>
      </c>
      <c r="J196" s="67" t="s">
        <v>70</v>
      </c>
      <c r="K196" s="68">
        <v>45913</v>
      </c>
      <c r="L196" s="68">
        <v>45771</v>
      </c>
      <c r="M196" s="68">
        <v>45771</v>
      </c>
      <c r="N196" s="67" t="s">
        <v>815</v>
      </c>
      <c r="O196" s="68"/>
      <c r="P196" s="68"/>
      <c r="Q196" s="68"/>
      <c r="R196" s="68"/>
      <c r="S196" s="68"/>
      <c r="T196" s="68"/>
      <c r="U196" s="67"/>
      <c r="V196" s="67"/>
      <c r="W196" s="67"/>
      <c r="X196" s="67" t="s">
        <v>708</v>
      </c>
      <c r="Y196" s="67" t="s">
        <v>73</v>
      </c>
      <c r="Z196" s="67" t="s">
        <v>73</v>
      </c>
      <c r="AA196" s="67" t="s">
        <v>816</v>
      </c>
      <c r="AB196" s="67"/>
      <c r="AC196" s="67"/>
      <c r="AD196" s="67"/>
      <c r="AE196" s="67"/>
      <c r="AF196" s="67"/>
      <c r="AG196" s="67"/>
      <c r="AH196" s="68"/>
      <c r="AI196" s="68"/>
      <c r="AJ196" s="68"/>
      <c r="AK196" s="67"/>
      <c r="AL196" s="67"/>
      <c r="AM196" s="68"/>
      <c r="AN196" s="68"/>
      <c r="AO196" s="68"/>
      <c r="AP196" s="68"/>
      <c r="AQ196" s="68"/>
      <c r="AR196" s="68"/>
      <c r="AS196" s="68"/>
      <c r="AT196" s="67">
        <f t="shared" ca="1" si="22"/>
        <v>0</v>
      </c>
      <c r="AU196" s="79" t="str">
        <f t="shared" ca="1" si="23"/>
        <v/>
      </c>
      <c r="AV196" s="79" t="str" cm="1">
        <f t="array" aca="1" ref="AV196" ca="1">IFERROR(_xlfn.IFS($AU196="","",$AU196&lt;=15,"0-15",AND($AU196&gt;=16,$AU196&lt;=30),"16-30",AND($AU196&gt;=31,$AU196&lt;=45),"31-45",AND($AU196&gt;=46,$AU196&lt;=60),"46-60",AND($AU196&gt;=61,$AU196&lt;=90),"61-90",AND($AU196&gt;=91),"&gt; 90",AND($AU196&gt;=2000),""),"")</f>
        <v/>
      </c>
      <c r="AW196" s="79" t="str" cm="1">
        <f t="array" aca="1" ref="AW196" ca="1">IFERROR(_xlfn.IFS(OR($M196="",$AM196=""),"",OR($C196="Offered",$C196="Joined"),($AM196-$M196)-$AT196),"")</f>
        <v/>
      </c>
      <c r="AX196" s="79" t="str" cm="1">
        <f t="array" aca="1" ref="AX196" ca="1">IFERROR(_xlfn.IFS(OR($M196="",$AS196=""),"",$C196="Joined",($AS196-$M196)-$AT196),"")</f>
        <v/>
      </c>
      <c r="AY196" s="67" t="str">
        <f>IFERROR(IF(COUNTIFS('Candidate Tracker'!$E:$E,'Positions Tracker'!$B196,'Candidate Tracker'!$C:$C,"Offer Drop")=0,"",COUNTIFS('Candidate Tracker'!$E:$E,'Positions Tracker'!$B196,'Candidate Tracker'!$C:$C,"Offer Drop")),"")</f>
        <v/>
      </c>
      <c r="AZ196" s="80">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0.88111888111888115</v>
      </c>
      <c r="BA196" s="81" t="str">
        <f>IFERROR(IF(COUNTIFS('Candidate Tracker'!$E:$E,'Positions Tracker'!$B196,'Candidate Tracker'!$I:$I,"Female")=0,"",COUNTIFS('Candidate Tracker'!$E:$E,'Positions Tracker'!$B196,'Candidate Tracker'!$I:$I,"Female")),"")</f>
        <v/>
      </c>
      <c r="BB196" s="81" t="str">
        <f>IFERROR(IF(COUNTIFS('Candidate Tracker'!$E:$E,'Positions Tracker'!$B196,'Candidate Tracker'!$I:$I,"male")=0,"",COUNTIFS('Candidate Tracker'!$E:$E,'Positions Tracker'!$B196,'Candidate Tracker'!$I:$I,"male")),"")</f>
        <v/>
      </c>
      <c r="BC196" s="80" t="str">
        <f>IFERROR(IF(COUNTIFS('Candidate Tracker'!$E:$E,'Positions Tracker'!$B196,'Candidate Tracker'!$C:$C,"&lt;&gt;WIP",'Candidate Tracker'!$C:$C,"&lt;&gt;Hold",'Candidate Tracker'!$C:$C,"&lt;&gt;Cancelled",'Candidate Tracker'!$C:$C,"&lt;&gt;Closed")/COUNTIFS('Candidate Tracker'!$E:$E,'Positions Tracker'!$B196)=0,"",COUNTIFS('Candidate Tracker'!$E:$E,'Positions Tracker'!$B196,'Candidate Tracker'!$C:$C,"&lt;&gt;WIP",'Candidate Tracker'!$C:$C,"&lt;&gt;Hold",'Candidate Tracker'!$C:$C,"&lt;&gt;Cancelled",'Candidate Tracker'!$C:$C,"&lt;&gt;Closed")/COUNTIFS('Candidate Tracker'!$E:$E,'Positions Tracker'!$B196)),"")</f>
        <v/>
      </c>
      <c r="BD196" s="67" t="str">
        <f t="shared" si="17"/>
        <v>Apr-25</v>
      </c>
      <c r="BE196" s="67" t="str">
        <f t="shared" si="18"/>
        <v/>
      </c>
      <c r="BF196" s="67" t="str">
        <f t="shared" si="19"/>
        <v/>
      </c>
      <c r="BG196" s="67" t="str">
        <f t="shared" si="20"/>
        <v/>
      </c>
    </row>
    <row r="197" spans="1:59">
      <c r="A197" s="67">
        <f t="shared" si="21"/>
        <v>196</v>
      </c>
      <c r="B197" s="67">
        <v>20256774</v>
      </c>
      <c r="C197" s="67" t="s">
        <v>116</v>
      </c>
      <c r="D197" s="67" t="s">
        <v>116</v>
      </c>
      <c r="E197" s="67" t="s">
        <v>817</v>
      </c>
      <c r="F197" s="67" t="s">
        <v>818</v>
      </c>
      <c r="G197" s="67" t="s">
        <v>1</v>
      </c>
      <c r="H197" s="67" t="s">
        <v>612</v>
      </c>
      <c r="I197" s="67" t="s">
        <v>819</v>
      </c>
      <c r="J197" s="67" t="s">
        <v>70</v>
      </c>
      <c r="K197" s="68">
        <v>45909</v>
      </c>
      <c r="L197" s="68">
        <v>45770</v>
      </c>
      <c r="M197" s="68">
        <v>45770</v>
      </c>
      <c r="N197" s="67" t="s">
        <v>815</v>
      </c>
      <c r="O197" s="68"/>
      <c r="P197" s="68"/>
      <c r="Q197" s="68"/>
      <c r="R197" s="68"/>
      <c r="S197" s="68"/>
      <c r="T197" s="68"/>
      <c r="U197" s="67"/>
      <c r="V197" s="67"/>
      <c r="W197" s="67"/>
      <c r="X197" s="67" t="s">
        <v>72</v>
      </c>
      <c r="Y197" s="67" t="s">
        <v>73</v>
      </c>
      <c r="Z197" s="67" t="s">
        <v>73</v>
      </c>
      <c r="AA197" s="67" t="s">
        <v>820</v>
      </c>
      <c r="AB197" s="67"/>
      <c r="AC197" s="67"/>
      <c r="AD197" s="67"/>
      <c r="AE197" s="67" t="s">
        <v>821</v>
      </c>
      <c r="AF197" s="67">
        <v>8788816293</v>
      </c>
      <c r="AG197" s="67" t="s">
        <v>822</v>
      </c>
      <c r="AH197" s="68" t="s">
        <v>123</v>
      </c>
      <c r="AI197" s="68">
        <v>45805</v>
      </c>
      <c r="AJ197" s="68">
        <v>45818</v>
      </c>
      <c r="AK197" s="67"/>
      <c r="AL197" s="67">
        <v>1000000</v>
      </c>
      <c r="AM197" s="68">
        <v>45811</v>
      </c>
      <c r="AN197" s="68">
        <v>45818</v>
      </c>
      <c r="AO197" s="68"/>
      <c r="AP197" s="68">
        <v>45821</v>
      </c>
      <c r="AQ197" s="68">
        <v>45821</v>
      </c>
      <c r="AR197" s="68"/>
      <c r="AS197" s="68">
        <v>45838</v>
      </c>
      <c r="AT197" s="67">
        <f t="shared" ca="1" si="22"/>
        <v>0</v>
      </c>
      <c r="AU197" s="79" t="str">
        <f t="shared" ca="1" si="23"/>
        <v/>
      </c>
      <c r="AV197" s="79" t="str" cm="1">
        <f t="array" aca="1" ref="AV197" ca="1">IFERROR(_xlfn.IFS($AU197="","",$AU197&lt;=15,"0-15",AND($AU197&gt;=16,$AU197&lt;=30),"16-30",AND($AU197&gt;=31,$AU197&lt;=45),"31-45",AND($AU197&gt;=46,$AU197&lt;=60),"46-60",AND($AU197&gt;=61,$AU197&lt;=90),"61-90",AND($AU197&gt;=91),"&gt; 90",AND($AU197&gt;=2000),""),"")</f>
        <v/>
      </c>
      <c r="AW197" s="79" cm="1">
        <f t="array" aca="1" ref="AW197" ca="1">IFERROR(_xlfn.IFS(OR($M197="",$AM197=""),"",OR($C197="Offered",$C197="Joined"),($AM197-$M197)-$AT197),"")</f>
        <v>41</v>
      </c>
      <c r="AX197" s="79" cm="1">
        <f t="array" aca="1" ref="AX197" ca="1">IFERROR(_xlfn.IFS(OR($M197="",$AS197=""),"",$C197="Joined",($AS197-$M197)-$AT197),"")</f>
        <v>68</v>
      </c>
      <c r="AY197" s="67" t="str">
        <f>IFERROR(IF(COUNTIFS('Candidate Tracker'!$E:$E,'Positions Tracker'!$B197,'Candidate Tracker'!$C:$C,"Offer Drop")=0,"",COUNTIFS('Candidate Tracker'!$E:$E,'Positions Tracker'!$B197,'Candidate Tracker'!$C:$C,"Offer Drop")),"")</f>
        <v/>
      </c>
      <c r="AZ197" s="80">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0.88111888111888115</v>
      </c>
      <c r="BA197" s="81" t="str">
        <f>IFERROR(IF(COUNTIFS('Candidate Tracker'!$E:$E,'Positions Tracker'!$B197,'Candidate Tracker'!$I:$I,"Female")=0,"",COUNTIFS('Candidate Tracker'!$E:$E,'Positions Tracker'!$B197,'Candidate Tracker'!$I:$I,"Female")),"")</f>
        <v/>
      </c>
      <c r="BB197" s="81" t="str">
        <f>IFERROR(IF(COUNTIFS('Candidate Tracker'!$E:$E,'Positions Tracker'!$B197,'Candidate Tracker'!$I:$I,"male")=0,"",COUNTIFS('Candidate Tracker'!$E:$E,'Positions Tracker'!$B197,'Candidate Tracker'!$I:$I,"male")),"")</f>
        <v/>
      </c>
      <c r="BC197" s="80" t="str">
        <f>IFERROR(IF(COUNTIFS('Candidate Tracker'!$E:$E,'Positions Tracker'!$B197,'Candidate Tracker'!$C:$C,"&lt;&gt;WIP",'Candidate Tracker'!$C:$C,"&lt;&gt;Hold",'Candidate Tracker'!$C:$C,"&lt;&gt;Cancelled",'Candidate Tracker'!$C:$C,"&lt;&gt;Closed")/COUNTIFS('Candidate Tracker'!$E:$E,'Positions Tracker'!$B197)=0,"",COUNTIFS('Candidate Tracker'!$E:$E,'Positions Tracker'!$B197,'Candidate Tracker'!$C:$C,"&lt;&gt;WIP",'Candidate Tracker'!$C:$C,"&lt;&gt;Hold",'Candidate Tracker'!$C:$C,"&lt;&gt;Cancelled",'Candidate Tracker'!$C:$C,"&lt;&gt;Closed")/COUNTIFS('Candidate Tracker'!$E:$E,'Positions Tracker'!$B197)),"")</f>
        <v/>
      </c>
      <c r="BD197" s="67" t="str">
        <f t="shared" si="17"/>
        <v>Apr-25</v>
      </c>
      <c r="BE197" s="67" t="str">
        <f t="shared" si="18"/>
        <v>May-25</v>
      </c>
      <c r="BF197" s="67" t="str">
        <f t="shared" si="19"/>
        <v>Jun-25</v>
      </c>
      <c r="BG197" s="67" t="str">
        <f t="shared" si="20"/>
        <v>Jun-25</v>
      </c>
    </row>
    <row r="198" spans="1:59">
      <c r="A198" s="67">
        <f t="shared" si="21"/>
        <v>197</v>
      </c>
      <c r="B198" s="67">
        <v>20251762</v>
      </c>
      <c r="C198" s="67" t="s">
        <v>64</v>
      </c>
      <c r="D198" s="67" t="s">
        <v>823</v>
      </c>
      <c r="E198" s="67" t="s">
        <v>824</v>
      </c>
      <c r="F198" s="67" t="s">
        <v>825</v>
      </c>
      <c r="G198" s="67" t="s">
        <v>1</v>
      </c>
      <c r="H198" s="67"/>
      <c r="I198" s="67" t="s">
        <v>826</v>
      </c>
      <c r="J198" s="67" t="s">
        <v>70</v>
      </c>
      <c r="K198" s="68"/>
      <c r="L198" s="68">
        <v>45855</v>
      </c>
      <c r="M198" s="68">
        <v>45855</v>
      </c>
      <c r="N198" s="67" t="s">
        <v>827</v>
      </c>
      <c r="O198" s="68"/>
      <c r="P198" s="68"/>
      <c r="Q198" s="68"/>
      <c r="R198" s="68"/>
      <c r="S198" s="68"/>
      <c r="T198" s="68"/>
      <c r="U198" s="67"/>
      <c r="V198" s="67"/>
      <c r="W198" s="67"/>
      <c r="X198" s="67" t="s">
        <v>72</v>
      </c>
      <c r="Y198" s="67" t="s">
        <v>73</v>
      </c>
      <c r="Z198" s="67" t="s">
        <v>73</v>
      </c>
      <c r="AA198" s="67" t="s">
        <v>828</v>
      </c>
      <c r="AB198" s="67"/>
      <c r="AC198" s="67"/>
      <c r="AD198" s="67"/>
      <c r="AE198" s="67"/>
      <c r="AF198" s="67"/>
      <c r="AG198" s="67"/>
      <c r="AH198" s="68"/>
      <c r="AI198" s="68"/>
      <c r="AJ198" s="68"/>
      <c r="AK198" s="67"/>
      <c r="AL198" s="67"/>
      <c r="AM198" s="68"/>
      <c r="AN198" s="68"/>
      <c r="AO198" s="68"/>
      <c r="AP198" s="68"/>
      <c r="AQ198" s="68"/>
      <c r="AR198" s="68"/>
      <c r="AS198" s="68"/>
      <c r="AT198" s="67">
        <f t="shared" ca="1" si="22"/>
        <v>0</v>
      </c>
      <c r="AU198" s="79" t="str">
        <f t="shared" ca="1" si="23"/>
        <v/>
      </c>
      <c r="AV198" s="79" t="str" cm="1">
        <f t="array" aca="1" ref="AV198" ca="1">IFERROR(_xlfn.IFS($AU198="","",$AU198&lt;=15,"0-15",AND($AU198&gt;=16,$AU198&lt;=30),"16-30",AND($AU198&gt;=31,$AU198&lt;=45),"31-45",AND($AU198&gt;=46,$AU198&lt;=60),"46-60",AND($AU198&gt;=61,$AU198&lt;=90),"61-90",AND($AU198&gt;=91),"&gt; 90",AND($AU198&gt;=2000),""),"")</f>
        <v/>
      </c>
      <c r="AW198" s="79" t="str" cm="1">
        <f t="array" aca="1" ref="AW198" ca="1">IFERROR(_xlfn.IFS(OR($M198="",$AM198=""),"",OR($C198="Offered",$C198="Joined"),($AM198-$M198)-$AT198),"")</f>
        <v/>
      </c>
      <c r="AX198" s="79" t="str" cm="1">
        <f t="array" aca="1" ref="AX198" ca="1">IFERROR(_xlfn.IFS(OR($M198="",$AS198=""),"",$C198="Joined",($AS198-$M198)-$AT198),"")</f>
        <v/>
      </c>
      <c r="AY198" s="67" t="str">
        <f>IFERROR(IF(COUNTIFS('Candidate Tracker'!$E:$E,'Positions Tracker'!$B198,'Candidate Tracker'!$C:$C,"Offer Drop")=0,"",COUNTIFS('Candidate Tracker'!$E:$E,'Positions Tracker'!$B198,'Candidate Tracker'!$C:$C,"Offer Drop")),"")</f>
        <v/>
      </c>
      <c r="AZ198" s="80">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0.88111888111888115</v>
      </c>
      <c r="BA198" s="81" t="str">
        <f>IFERROR(IF(COUNTIFS('Candidate Tracker'!$E:$E,'Positions Tracker'!$B198,'Candidate Tracker'!$I:$I,"Female")=0,"",COUNTIFS('Candidate Tracker'!$E:$E,'Positions Tracker'!$B198,'Candidate Tracker'!$I:$I,"Female")),"")</f>
        <v/>
      </c>
      <c r="BB198" s="81" t="str">
        <f>IFERROR(IF(COUNTIFS('Candidate Tracker'!$E:$E,'Positions Tracker'!$B198,'Candidate Tracker'!$I:$I,"male")=0,"",COUNTIFS('Candidate Tracker'!$E:$E,'Positions Tracker'!$B198,'Candidate Tracker'!$I:$I,"male")),"")</f>
        <v/>
      </c>
      <c r="BC198" s="80" t="str">
        <f>IFERROR(IF(COUNTIFS('Candidate Tracker'!$E:$E,'Positions Tracker'!$B198,'Candidate Tracker'!$C:$C,"&lt;&gt;WIP",'Candidate Tracker'!$C:$C,"&lt;&gt;Hold",'Candidate Tracker'!$C:$C,"&lt;&gt;Cancelled",'Candidate Tracker'!$C:$C,"&lt;&gt;Closed")/COUNTIFS('Candidate Tracker'!$E:$E,'Positions Tracker'!$B198)=0,"",COUNTIFS('Candidate Tracker'!$E:$E,'Positions Tracker'!$B198,'Candidate Tracker'!$C:$C,"&lt;&gt;WIP",'Candidate Tracker'!$C:$C,"&lt;&gt;Hold",'Candidate Tracker'!$C:$C,"&lt;&gt;Cancelled",'Candidate Tracker'!$C:$C,"&lt;&gt;Closed")/COUNTIFS('Candidate Tracker'!$E:$E,'Positions Tracker'!$B198)),"")</f>
        <v/>
      </c>
      <c r="BD198" s="67" t="str">
        <f t="shared" si="17"/>
        <v>Jul-25</v>
      </c>
      <c r="BE198" s="67" t="str">
        <f t="shared" si="18"/>
        <v/>
      </c>
      <c r="BF198" s="67" t="str">
        <f t="shared" si="19"/>
        <v/>
      </c>
      <c r="BG198" s="67" t="str">
        <f t="shared" si="20"/>
        <v/>
      </c>
    </row>
    <row r="199" spans="1:59">
      <c r="A199" s="67">
        <f t="shared" si="21"/>
        <v>198</v>
      </c>
      <c r="B199" s="67">
        <v>20249772</v>
      </c>
      <c r="C199" s="67" t="s">
        <v>809</v>
      </c>
      <c r="D199" s="67" t="s">
        <v>786</v>
      </c>
      <c r="E199" s="67" t="s">
        <v>829</v>
      </c>
      <c r="F199" s="67" t="s">
        <v>830</v>
      </c>
      <c r="G199" s="67" t="s">
        <v>3</v>
      </c>
      <c r="H199" s="67" t="s">
        <v>68</v>
      </c>
      <c r="I199" s="67" t="s">
        <v>431</v>
      </c>
      <c r="J199" s="67"/>
      <c r="K199" s="68">
        <v>45782</v>
      </c>
      <c r="L199" s="68">
        <v>45855</v>
      </c>
      <c r="M199" s="68">
        <v>45782</v>
      </c>
      <c r="N199" s="67" t="s">
        <v>162</v>
      </c>
      <c r="O199" s="68"/>
      <c r="P199" s="68"/>
      <c r="Q199" s="68"/>
      <c r="R199" s="68"/>
      <c r="S199" s="68"/>
      <c r="T199" s="68"/>
      <c r="U199" s="67"/>
      <c r="V199" s="67"/>
      <c r="W199" s="67"/>
      <c r="X199" s="67" t="s">
        <v>72</v>
      </c>
      <c r="Y199" s="67" t="s">
        <v>282</v>
      </c>
      <c r="Z199" s="67" t="s">
        <v>282</v>
      </c>
      <c r="AA199" s="67" t="s">
        <v>831</v>
      </c>
      <c r="AB199" s="67"/>
      <c r="AC199" s="67"/>
      <c r="AD199" s="67"/>
      <c r="AE199" s="67" t="s">
        <v>832</v>
      </c>
      <c r="AF199" s="67">
        <v>9657836126</v>
      </c>
      <c r="AG199" s="67" t="s">
        <v>833</v>
      </c>
      <c r="AH199" s="68" t="s">
        <v>123</v>
      </c>
      <c r="AI199" s="68"/>
      <c r="AJ199" s="68"/>
      <c r="AK199" s="67"/>
      <c r="AL199" s="67"/>
      <c r="AM199" s="68"/>
      <c r="AN199" s="68"/>
      <c r="AO199" s="68"/>
      <c r="AP199" s="68"/>
      <c r="AQ199" s="68"/>
      <c r="AR199" s="68"/>
      <c r="AS199" s="68"/>
      <c r="AT199" s="67">
        <f t="shared" ca="1" si="22"/>
        <v>0</v>
      </c>
      <c r="AU199" s="79" t="str">
        <f t="shared" ca="1" si="23"/>
        <v/>
      </c>
      <c r="AV199" s="79" t="str" cm="1">
        <f t="array" aca="1" ref="AV199" ca="1">IFERROR(_xlfn.IFS($AU199="","",$AU199&lt;=15,"0-15",AND($AU199&gt;=16,$AU199&lt;=30),"16-30",AND($AU199&gt;=31,$AU199&lt;=45),"31-45",AND($AU199&gt;=46,$AU199&lt;=60),"46-60",AND($AU199&gt;=61,$AU199&lt;=90),"61-90",AND($AU199&gt;=91),"&gt; 90",AND($AU199&gt;=2000),""),"")</f>
        <v/>
      </c>
      <c r="AW199" s="79" t="str" cm="1">
        <f t="array" aca="1" ref="AW199" ca="1">IFERROR(_xlfn.IFS(OR($M199="",$AM199=""),"",OR($C199="Offered",$C199="Joined"),($AM199-$M199)-$AT199),"")</f>
        <v/>
      </c>
      <c r="AX199" s="79" t="str" cm="1">
        <f t="array" aca="1" ref="AX199" ca="1">IFERROR(_xlfn.IFS(OR($M199="",$AS199=""),"",$C199="Joined",($AS199-$M199)-$AT199),"")</f>
        <v/>
      </c>
      <c r="AY199" s="67" t="str">
        <f>IFERROR(IF(COUNTIFS('Candidate Tracker'!$E:$E,'Positions Tracker'!$B199,'Candidate Tracker'!$C:$C,"Offer Drop")=0,"",COUNTIFS('Candidate Tracker'!$E:$E,'Positions Tracker'!$B199,'Candidate Tracker'!$C:$C,"Offer Drop")),"")</f>
        <v/>
      </c>
      <c r="AZ199" s="80">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0.88111888111888115</v>
      </c>
      <c r="BA199" s="81" t="str">
        <f>IFERROR(IF(COUNTIFS('Candidate Tracker'!$E:$E,'Positions Tracker'!$B199,'Candidate Tracker'!$I:$I,"Female")=0,"",COUNTIFS('Candidate Tracker'!$E:$E,'Positions Tracker'!$B199,'Candidate Tracker'!$I:$I,"Female")),"")</f>
        <v/>
      </c>
      <c r="BB199" s="81" t="str">
        <f>IFERROR(IF(COUNTIFS('Candidate Tracker'!$E:$E,'Positions Tracker'!$B199,'Candidate Tracker'!$I:$I,"male")=0,"",COUNTIFS('Candidate Tracker'!$E:$E,'Positions Tracker'!$B199,'Candidate Tracker'!$I:$I,"male")),"")</f>
        <v/>
      </c>
      <c r="BC199" s="80" t="str">
        <f>IFERROR(IF(COUNTIFS('Candidate Tracker'!$E:$E,'Positions Tracker'!$B199,'Candidate Tracker'!$C:$C,"&lt;&gt;WIP",'Candidate Tracker'!$C:$C,"&lt;&gt;Hold",'Candidate Tracker'!$C:$C,"&lt;&gt;Cancelled",'Candidate Tracker'!$C:$C,"&lt;&gt;Closed")/COUNTIFS('Candidate Tracker'!$E:$E,'Positions Tracker'!$B199)=0,"",COUNTIFS('Candidate Tracker'!$E:$E,'Positions Tracker'!$B199,'Candidate Tracker'!$C:$C,"&lt;&gt;WIP",'Candidate Tracker'!$C:$C,"&lt;&gt;Hold",'Candidate Tracker'!$C:$C,"&lt;&gt;Cancelled",'Candidate Tracker'!$C:$C,"&lt;&gt;Closed")/COUNTIFS('Candidate Tracker'!$E:$E,'Positions Tracker'!$B199)),"")</f>
        <v/>
      </c>
      <c r="BD199" s="67" t="str">
        <f t="shared" si="17"/>
        <v>May-25</v>
      </c>
      <c r="BE199" s="67" t="str">
        <f t="shared" si="18"/>
        <v/>
      </c>
      <c r="BF199" s="67" t="str">
        <f t="shared" si="19"/>
        <v/>
      </c>
      <c r="BG199" s="67" t="str">
        <f t="shared" si="20"/>
        <v/>
      </c>
    </row>
    <row r="200" spans="1:59">
      <c r="A200" s="67">
        <f t="shared" si="21"/>
        <v>199</v>
      </c>
      <c r="B200" s="67">
        <v>20254244</v>
      </c>
      <c r="C200" s="67" t="s">
        <v>834</v>
      </c>
      <c r="D200" s="67" t="s">
        <v>834</v>
      </c>
      <c r="E200" s="67" t="s">
        <v>835</v>
      </c>
      <c r="F200" s="67" t="s">
        <v>836</v>
      </c>
      <c r="G200" s="67" t="s">
        <v>3</v>
      </c>
      <c r="H200" s="67" t="s">
        <v>68</v>
      </c>
      <c r="I200" s="67" t="s">
        <v>89</v>
      </c>
      <c r="J200" s="67" t="s">
        <v>70</v>
      </c>
      <c r="K200" s="68">
        <v>45784</v>
      </c>
      <c r="L200" s="68">
        <v>45848</v>
      </c>
      <c r="M200" s="68">
        <v>45784</v>
      </c>
      <c r="N200" s="67" t="s">
        <v>82</v>
      </c>
      <c r="O200" s="68"/>
      <c r="P200" s="68"/>
      <c r="Q200" s="68"/>
      <c r="R200" s="68"/>
      <c r="S200" s="68"/>
      <c r="T200" s="68"/>
      <c r="U200" s="67"/>
      <c r="V200" s="67"/>
      <c r="W200" s="67"/>
      <c r="X200" s="67" t="s">
        <v>72</v>
      </c>
      <c r="Y200" s="67" t="s">
        <v>282</v>
      </c>
      <c r="Z200" s="67" t="s">
        <v>282</v>
      </c>
      <c r="AA200" s="67" t="s">
        <v>837</v>
      </c>
      <c r="AB200" s="67"/>
      <c r="AC200" s="67"/>
      <c r="AD200" s="67"/>
      <c r="AE200" s="67" t="s">
        <v>838</v>
      </c>
      <c r="AF200" s="67">
        <v>7083858333</v>
      </c>
      <c r="AG200" s="67" t="s">
        <v>839</v>
      </c>
      <c r="AH200" s="68" t="s">
        <v>123</v>
      </c>
      <c r="AI200" s="68">
        <v>45784</v>
      </c>
      <c r="AJ200" s="68">
        <v>45786</v>
      </c>
      <c r="AK200" s="67" t="s">
        <v>72</v>
      </c>
      <c r="AL200" s="67">
        <v>1600000</v>
      </c>
      <c r="AM200" s="68">
        <v>45786</v>
      </c>
      <c r="AN200" s="68">
        <v>45786</v>
      </c>
      <c r="AO200" s="68"/>
      <c r="AP200" s="68">
        <v>45789</v>
      </c>
      <c r="AQ200" s="68">
        <v>45789</v>
      </c>
      <c r="AR200" s="68">
        <v>45862</v>
      </c>
      <c r="AS200" s="68">
        <v>45887</v>
      </c>
      <c r="AT200" s="67">
        <f t="shared" ca="1" si="22"/>
        <v>0</v>
      </c>
      <c r="AU200" s="79" t="str">
        <f t="shared" ca="1" si="23"/>
        <v/>
      </c>
      <c r="AV200" s="79" t="str" cm="1">
        <f t="array" aca="1" ref="AV200" ca="1">IFERROR(_xlfn.IFS($AU200="","",$AU200&lt;=15,"0-15",AND($AU200&gt;=16,$AU200&lt;=30),"16-30",AND($AU200&gt;=31,$AU200&lt;=45),"31-45",AND($AU200&gt;=46,$AU200&lt;=60),"46-60",AND($AU200&gt;=61,$AU200&lt;=90),"61-90",AND($AU200&gt;=91),"&gt; 90",AND($AU200&gt;=2000),""),"")</f>
        <v/>
      </c>
      <c r="AW200" s="79" cm="1">
        <f t="array" aca="1" ref="AW200" ca="1">IFERROR(_xlfn.IFS(OR($M200="",$AM200=""),"",OR($C200="Offered",$C200="Joined"),($AM200-$M200)-$AT200),"")</f>
        <v>2</v>
      </c>
      <c r="AX200" s="79" cm="1">
        <f t="array" aca="1" ref="AX200" ca="1">IFERROR(_xlfn.IFS(OR($M200="",$AS200=""),"",$C200="Joined",($AS200-$M200)-$AT200),"")</f>
        <v>103</v>
      </c>
      <c r="AY200" s="67" t="str">
        <f>IFERROR(IF(COUNTIFS('Candidate Tracker'!$E:$E,'Positions Tracker'!$B200,'Candidate Tracker'!$C:$C,"Offer Drop")=0,"",COUNTIFS('Candidate Tracker'!$E:$E,'Positions Tracker'!$B200,'Candidate Tracker'!$C:$C,"Offer Drop")),"")</f>
        <v/>
      </c>
      <c r="AZ200" s="80">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0.88111888111888115</v>
      </c>
      <c r="BA200" s="81" t="str">
        <f>IFERROR(IF(COUNTIFS('Candidate Tracker'!$E:$E,'Positions Tracker'!$B200,'Candidate Tracker'!$I:$I,"Female")=0,"",COUNTIFS('Candidate Tracker'!$E:$E,'Positions Tracker'!$B200,'Candidate Tracker'!$I:$I,"Female")),"")</f>
        <v/>
      </c>
      <c r="BB200" s="81" t="str">
        <f>IFERROR(IF(COUNTIFS('Candidate Tracker'!$E:$E,'Positions Tracker'!$B200,'Candidate Tracker'!$I:$I,"male")=0,"",COUNTIFS('Candidate Tracker'!$E:$E,'Positions Tracker'!$B200,'Candidate Tracker'!$I:$I,"male")),"")</f>
        <v/>
      </c>
      <c r="BC200" s="80" t="str">
        <f>IFERROR(IF(COUNTIFS('Candidate Tracker'!$E:$E,'Positions Tracker'!$B200,'Candidate Tracker'!$C:$C,"&lt;&gt;WIP",'Candidate Tracker'!$C:$C,"&lt;&gt;Hold",'Candidate Tracker'!$C:$C,"&lt;&gt;Cancelled",'Candidate Tracker'!$C:$C,"&lt;&gt;Closed")/COUNTIFS('Candidate Tracker'!$E:$E,'Positions Tracker'!$B200)=0,"",COUNTIFS('Candidate Tracker'!$E:$E,'Positions Tracker'!$B200,'Candidate Tracker'!$C:$C,"&lt;&gt;WIP",'Candidate Tracker'!$C:$C,"&lt;&gt;Hold",'Candidate Tracker'!$C:$C,"&lt;&gt;Cancelled",'Candidate Tracker'!$C:$C,"&lt;&gt;Closed")/COUNTIFS('Candidate Tracker'!$E:$E,'Positions Tracker'!$B200)),"")</f>
        <v/>
      </c>
      <c r="BD200" s="67" t="str">
        <f t="shared" si="17"/>
        <v>May-25</v>
      </c>
      <c r="BE200" s="67" t="str">
        <f t="shared" si="18"/>
        <v>May-25</v>
      </c>
      <c r="BF200" s="67" t="str">
        <f t="shared" si="19"/>
        <v>May-25</v>
      </c>
      <c r="BG200" s="67" t="str">
        <f t="shared" si="20"/>
        <v>Aug-25</v>
      </c>
    </row>
    <row r="201" spans="1:59">
      <c r="A201" s="67">
        <f t="shared" si="21"/>
        <v>200</v>
      </c>
      <c r="B201" s="67">
        <v>20254805</v>
      </c>
      <c r="C201" s="67" t="s">
        <v>64</v>
      </c>
      <c r="D201" s="67" t="s">
        <v>65</v>
      </c>
      <c r="E201" s="67" t="s">
        <v>840</v>
      </c>
      <c r="F201" s="67" t="s">
        <v>841</v>
      </c>
      <c r="G201" s="67" t="s">
        <v>3</v>
      </c>
      <c r="H201" s="67" t="s">
        <v>68</v>
      </c>
      <c r="I201" s="67" t="s">
        <v>842</v>
      </c>
      <c r="J201" s="67" t="s">
        <v>70</v>
      </c>
      <c r="K201" s="68">
        <v>45784</v>
      </c>
      <c r="L201" s="68">
        <v>45784</v>
      </c>
      <c r="M201" s="68">
        <v>45784</v>
      </c>
      <c r="N201" s="67" t="s">
        <v>95</v>
      </c>
      <c r="O201" s="68"/>
      <c r="P201" s="68"/>
      <c r="Q201" s="68"/>
      <c r="R201" s="68"/>
      <c r="S201" s="68"/>
      <c r="T201" s="68"/>
      <c r="U201" s="67"/>
      <c r="V201" s="67"/>
      <c r="W201" s="67"/>
      <c r="X201" s="67" t="s">
        <v>72</v>
      </c>
      <c r="Y201" s="67" t="s">
        <v>74</v>
      </c>
      <c r="Z201" s="67" t="s">
        <v>74</v>
      </c>
      <c r="AA201" s="67" t="s">
        <v>843</v>
      </c>
      <c r="AB201" s="67"/>
      <c r="AC201" s="67"/>
      <c r="AD201" s="67"/>
      <c r="AE201" s="67" t="s">
        <v>844</v>
      </c>
      <c r="AF201" s="67"/>
      <c r="AG201" s="67"/>
      <c r="AH201" s="68" t="s">
        <v>123</v>
      </c>
      <c r="AI201" s="68">
        <v>45789</v>
      </c>
      <c r="AJ201" s="68"/>
      <c r="AK201" s="67"/>
      <c r="AL201" s="67"/>
      <c r="AM201" s="68"/>
      <c r="AN201" s="68"/>
      <c r="AO201" s="68"/>
      <c r="AP201" s="68"/>
      <c r="AQ201" s="68"/>
      <c r="AR201" s="68"/>
      <c r="AS201" s="68"/>
      <c r="AT201" s="67">
        <f t="shared" ca="1" si="22"/>
        <v>0</v>
      </c>
      <c r="AU201" s="79" t="str">
        <f t="shared" ca="1" si="23"/>
        <v/>
      </c>
      <c r="AV201" s="79" t="str" cm="1">
        <f t="array" aca="1" ref="AV201" ca="1">IFERROR(_xlfn.IFS($AU201="","",$AU201&lt;=15,"0-15",AND($AU201&gt;=16,$AU201&lt;=30),"16-30",AND($AU201&gt;=31,$AU201&lt;=45),"31-45",AND($AU201&gt;=46,$AU201&lt;=60),"46-60",AND($AU201&gt;=61,$AU201&lt;=90),"61-90",AND($AU201&gt;=91),"&gt; 90",AND($AU201&gt;=2000),""),"")</f>
        <v/>
      </c>
      <c r="AW201" s="79" t="str" cm="1">
        <f t="array" aca="1" ref="AW201" ca="1">IFERROR(_xlfn.IFS(OR($M201="",$AM201=""),"",OR($C201="Offered",$C201="Joined"),($AM201-$M201)-$AT201),"")</f>
        <v/>
      </c>
      <c r="AX201" s="79" t="str" cm="1">
        <f t="array" aca="1" ref="AX201" ca="1">IFERROR(_xlfn.IFS(OR($M201="",$AS201=""),"",$C201="Joined",($AS201-$M201)-$AT201),"")</f>
        <v/>
      </c>
      <c r="AY201" s="67" t="str">
        <f>IFERROR(IF(COUNTIFS('Candidate Tracker'!$E:$E,'Positions Tracker'!$B201,'Candidate Tracker'!$C:$C,"Offer Drop")=0,"",COUNTIFS('Candidate Tracker'!$E:$E,'Positions Tracker'!$B201,'Candidate Tracker'!$C:$C,"Offer Drop")),"")</f>
        <v/>
      </c>
      <c r="AZ201" s="80">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0.88111888111888115</v>
      </c>
      <c r="BA201" s="81" t="str">
        <f>IFERROR(IF(COUNTIFS('Candidate Tracker'!$E:$E,'Positions Tracker'!$B201,'Candidate Tracker'!$I:$I,"Female")=0,"",COUNTIFS('Candidate Tracker'!$E:$E,'Positions Tracker'!$B201,'Candidate Tracker'!$I:$I,"Female")),"")</f>
        <v/>
      </c>
      <c r="BB201" s="81" t="str">
        <f>IFERROR(IF(COUNTIFS('Candidate Tracker'!$E:$E,'Positions Tracker'!$B201,'Candidate Tracker'!$I:$I,"male")=0,"",COUNTIFS('Candidate Tracker'!$E:$E,'Positions Tracker'!$B201,'Candidate Tracker'!$I:$I,"male")),"")</f>
        <v/>
      </c>
      <c r="BC201" s="80" t="str">
        <f>IFERROR(IF(COUNTIFS('Candidate Tracker'!$E:$E,'Positions Tracker'!$B201,'Candidate Tracker'!$C:$C,"&lt;&gt;WIP",'Candidate Tracker'!$C:$C,"&lt;&gt;Hold",'Candidate Tracker'!$C:$C,"&lt;&gt;Cancelled",'Candidate Tracker'!$C:$C,"&lt;&gt;Closed")/COUNTIFS('Candidate Tracker'!$E:$E,'Positions Tracker'!$B201)=0,"",COUNTIFS('Candidate Tracker'!$E:$E,'Positions Tracker'!$B201,'Candidate Tracker'!$C:$C,"&lt;&gt;WIP",'Candidate Tracker'!$C:$C,"&lt;&gt;Hold",'Candidate Tracker'!$C:$C,"&lt;&gt;Cancelled",'Candidate Tracker'!$C:$C,"&lt;&gt;Closed")/COUNTIFS('Candidate Tracker'!$E:$E,'Positions Tracker'!$B201)),"")</f>
        <v/>
      </c>
      <c r="BD201" s="67" t="str">
        <f t="shared" si="17"/>
        <v>May-25</v>
      </c>
      <c r="BE201" s="67" t="str">
        <f t="shared" si="18"/>
        <v>May-25</v>
      </c>
      <c r="BF201" s="67" t="str">
        <f t="shared" si="19"/>
        <v/>
      </c>
      <c r="BG201" s="67" t="str">
        <f t="shared" si="20"/>
        <v/>
      </c>
    </row>
    <row r="202" spans="1:59">
      <c r="A202" s="67">
        <f t="shared" si="21"/>
        <v>201</v>
      </c>
      <c r="B202" s="67">
        <v>20255532</v>
      </c>
      <c r="C202" s="67" t="s">
        <v>2</v>
      </c>
      <c r="D202" s="67" t="s">
        <v>845</v>
      </c>
      <c r="E202" s="67" t="s">
        <v>846</v>
      </c>
      <c r="F202" s="67" t="s">
        <v>847</v>
      </c>
      <c r="G202" s="67" t="s">
        <v>1</v>
      </c>
      <c r="H202" s="67" t="s">
        <v>374</v>
      </c>
      <c r="I202" s="67" t="s">
        <v>848</v>
      </c>
      <c r="J202" s="67" t="s">
        <v>70</v>
      </c>
      <c r="K202" s="68">
        <v>45796</v>
      </c>
      <c r="L202" s="68">
        <v>45796</v>
      </c>
      <c r="M202" s="68">
        <v>45789</v>
      </c>
      <c r="N202" s="67" t="s">
        <v>849</v>
      </c>
      <c r="O202" s="68"/>
      <c r="P202" s="68"/>
      <c r="Q202" s="68"/>
      <c r="R202" s="68"/>
      <c r="S202" s="68"/>
      <c r="T202" s="68"/>
      <c r="U202" s="67"/>
      <c r="V202" s="67"/>
      <c r="W202" s="67"/>
      <c r="X202" s="67" t="s">
        <v>850</v>
      </c>
      <c r="Y202" s="67" t="s">
        <v>73</v>
      </c>
      <c r="Z202" s="67" t="s">
        <v>73</v>
      </c>
      <c r="AA202" s="67" t="s">
        <v>851</v>
      </c>
      <c r="AB202" s="67"/>
      <c r="AC202" s="67"/>
      <c r="AD202" s="67"/>
      <c r="AE202" s="67"/>
      <c r="AF202"/>
      <c r="AG202" s="67"/>
      <c r="AH202" s="68"/>
      <c r="AI202" s="68"/>
      <c r="AJ202" s="68"/>
      <c r="AK202" s="67"/>
      <c r="AL202" s="70"/>
      <c r="AM202" s="68"/>
      <c r="AN202" s="68"/>
      <c r="AO202" s="68"/>
      <c r="AP202" s="68"/>
      <c r="AQ202" s="68"/>
      <c r="AR202" s="68"/>
      <c r="AS202" s="68"/>
      <c r="AT202" s="67">
        <f t="shared" ca="1" si="22"/>
        <v>0</v>
      </c>
      <c r="AU202" s="79">
        <f t="shared" ca="1" si="23"/>
        <v>212</v>
      </c>
      <c r="AV202" s="79" t="str" cm="1">
        <f t="array" aca="1" ref="AV202" ca="1">IFERROR(_xlfn.IFS($AU202="","",$AU202&lt;=15,"0-15",AND($AU202&gt;=16,$AU202&lt;=30),"16-30",AND($AU202&gt;=31,$AU202&lt;=45),"31-45",AND($AU202&gt;=46,$AU202&lt;=60),"46-60",AND($AU202&gt;=61,$AU202&lt;=90),"61-90",AND($AU202&gt;=91),"&gt; 90",AND($AU202&gt;=2000),""),"")</f>
        <v>&gt; 90</v>
      </c>
      <c r="AW202" s="79" t="str" cm="1">
        <f t="array" aca="1" ref="AW202" ca="1">IFERROR(_xlfn.IFS(OR($M202="",$AM202=""),"",OR($C202="Offered",$C202="Joined"),($AM202-$M202)-$AT202),"")</f>
        <v/>
      </c>
      <c r="AX202" s="79" t="str" cm="1">
        <f t="array" aca="1" ref="AX202" ca="1">IFERROR(_xlfn.IFS(OR($M202="",$AS202=""),"",$C202="Joined",($AS202-$M202)-$AT202),"")</f>
        <v/>
      </c>
      <c r="AY202" s="67" t="str">
        <f>IFERROR(IF(COUNTIFS('Candidate Tracker'!$E:$E,'Positions Tracker'!$B202,'Candidate Tracker'!$C:$C,"Offer Drop")=0,"",COUNTIFS('Candidate Tracker'!$E:$E,'Positions Tracker'!$B202,'Candidate Tracker'!$C:$C,"Offer Drop")),"")</f>
        <v/>
      </c>
      <c r="AZ202" s="80">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0.88111888111888115</v>
      </c>
      <c r="BA202" s="81" t="str">
        <f>IFERROR(IF(COUNTIFS('Candidate Tracker'!$E:$E,'Positions Tracker'!$B202,'Candidate Tracker'!$I:$I,"Female")=0,"",COUNTIFS('Candidate Tracker'!$E:$E,'Positions Tracker'!$B202,'Candidate Tracker'!$I:$I,"Female")),"")</f>
        <v/>
      </c>
      <c r="BB202" s="81" t="str">
        <f>IFERROR(IF(COUNTIFS('Candidate Tracker'!$E:$E,'Positions Tracker'!$B202,'Candidate Tracker'!$I:$I,"male")=0,"",COUNTIFS('Candidate Tracker'!$E:$E,'Positions Tracker'!$B202,'Candidate Tracker'!$I:$I,"male")),"")</f>
        <v/>
      </c>
      <c r="BC202" s="80" t="str">
        <f>IFERROR(IF(COUNTIFS('Candidate Tracker'!$E:$E,'Positions Tracker'!$B202,'Candidate Tracker'!$C:$C,"&lt;&gt;WIP",'Candidate Tracker'!$C:$C,"&lt;&gt;Hold",'Candidate Tracker'!$C:$C,"&lt;&gt;Cancelled",'Candidate Tracker'!$C:$C,"&lt;&gt;Closed")/COUNTIFS('Candidate Tracker'!$E:$E,'Positions Tracker'!$B202)=0,"",COUNTIFS('Candidate Tracker'!$E:$E,'Positions Tracker'!$B202,'Candidate Tracker'!$C:$C,"&lt;&gt;WIP",'Candidate Tracker'!$C:$C,"&lt;&gt;Hold",'Candidate Tracker'!$C:$C,"&lt;&gt;Cancelled",'Candidate Tracker'!$C:$C,"&lt;&gt;Closed")/COUNTIFS('Candidate Tracker'!$E:$E,'Positions Tracker'!$B202)),"")</f>
        <v/>
      </c>
      <c r="BD202" s="67" t="str">
        <f t="shared" si="17"/>
        <v>May-25</v>
      </c>
      <c r="BE202" s="67" t="str">
        <f t="shared" si="18"/>
        <v/>
      </c>
      <c r="BF202" s="67" t="str">
        <f t="shared" si="19"/>
        <v/>
      </c>
      <c r="BG202" s="67" t="str">
        <f t="shared" si="20"/>
        <v/>
      </c>
    </row>
    <row r="203" spans="1:59">
      <c r="A203" s="67">
        <f t="shared" si="21"/>
        <v>202</v>
      </c>
      <c r="B203" s="67">
        <v>20255415</v>
      </c>
      <c r="C203" s="67" t="s">
        <v>116</v>
      </c>
      <c r="D203" s="67" t="s">
        <v>116</v>
      </c>
      <c r="E203" s="67" t="s">
        <v>846</v>
      </c>
      <c r="F203" s="67" t="s">
        <v>847</v>
      </c>
      <c r="G203" s="67" t="s">
        <v>1</v>
      </c>
      <c r="H203" s="67" t="s">
        <v>374</v>
      </c>
      <c r="I203" s="67" t="s">
        <v>852</v>
      </c>
      <c r="J203" s="67" t="s">
        <v>853</v>
      </c>
      <c r="K203" s="68">
        <v>45796</v>
      </c>
      <c r="L203" s="68">
        <v>45796</v>
      </c>
      <c r="M203" s="68">
        <v>45796</v>
      </c>
      <c r="N203" s="67" t="s">
        <v>815</v>
      </c>
      <c r="O203" s="68"/>
      <c r="P203" s="68"/>
      <c r="Q203" s="68"/>
      <c r="R203" s="68"/>
      <c r="S203" s="68"/>
      <c r="T203" s="68"/>
      <c r="U203" s="67" t="s">
        <v>854</v>
      </c>
      <c r="V203" s="67"/>
      <c r="W203" s="67"/>
      <c r="X203" s="67" t="s">
        <v>850</v>
      </c>
      <c r="Y203" s="67" t="s">
        <v>73</v>
      </c>
      <c r="Z203" s="67" t="s">
        <v>73</v>
      </c>
      <c r="AA203" s="67" t="s">
        <v>855</v>
      </c>
      <c r="AB203" s="67"/>
      <c r="AC203" s="67"/>
      <c r="AD203" s="67"/>
      <c r="AE203" s="67" t="s">
        <v>856</v>
      </c>
      <c r="AF203" s="67">
        <v>9561853724</v>
      </c>
      <c r="AG203" s="67" t="s">
        <v>857</v>
      </c>
      <c r="AH203" s="68" t="s">
        <v>123</v>
      </c>
      <c r="AI203" s="68">
        <v>45825</v>
      </c>
      <c r="AJ203" s="68">
        <v>45853</v>
      </c>
      <c r="AK203" s="67" t="s">
        <v>72</v>
      </c>
      <c r="AL203" s="67">
        <v>971942</v>
      </c>
      <c r="AM203" s="68">
        <v>45856</v>
      </c>
      <c r="AN203" s="68">
        <v>45853</v>
      </c>
      <c r="AO203" s="68" t="s">
        <v>858</v>
      </c>
      <c r="AP203" s="68">
        <v>45856</v>
      </c>
      <c r="AQ203" s="68">
        <v>45859</v>
      </c>
      <c r="AR203" s="68" t="s">
        <v>858</v>
      </c>
      <c r="AS203" s="68">
        <v>45894</v>
      </c>
      <c r="AT203" s="67">
        <f t="shared" ca="1" si="22"/>
        <v>0</v>
      </c>
      <c r="AU203" s="79" t="str">
        <f t="shared" ca="1" si="23"/>
        <v/>
      </c>
      <c r="AV203" s="79" t="str" cm="1">
        <f t="array" aca="1" ref="AV203" ca="1">IFERROR(_xlfn.IFS($AU203="","",$AU203&lt;=15,"0-15",AND($AU203&gt;=16,$AU203&lt;=30),"16-30",AND($AU203&gt;=31,$AU203&lt;=45),"31-45",AND($AU203&gt;=46,$AU203&lt;=60),"46-60",AND($AU203&gt;=61,$AU203&lt;=90),"61-90",AND($AU203&gt;=91),"&gt; 90",AND($AU203&gt;=2000),""),"")</f>
        <v/>
      </c>
      <c r="AW203" s="79" cm="1">
        <f t="array" aca="1" ref="AW203" ca="1">IFERROR(_xlfn.IFS(OR($M203="",$AM203=""),"",OR($C203="Offered",$C203="Joined"),($AM203-$M203)-$AT203),"")</f>
        <v>60</v>
      </c>
      <c r="AX203" s="79" cm="1">
        <f t="array" aca="1" ref="AX203" ca="1">IFERROR(_xlfn.IFS(OR($M203="",$AS203=""),"",$C203="Joined",($AS203-$M203)-$AT203),"")</f>
        <v>98</v>
      </c>
      <c r="AY203" s="67" t="str">
        <f>IFERROR(IF(COUNTIFS('Candidate Tracker'!$E:$E,'Positions Tracker'!$B203,'Candidate Tracker'!$C:$C,"Offer Drop")=0,"",COUNTIFS('Candidate Tracker'!$E:$E,'Positions Tracker'!$B203,'Candidate Tracker'!$C:$C,"Offer Drop")),"")</f>
        <v/>
      </c>
      <c r="AZ203" s="80">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0.88111888111888115</v>
      </c>
      <c r="BA203" s="81" t="str">
        <f>IFERROR(IF(COUNTIFS('Candidate Tracker'!$E:$E,'Positions Tracker'!$B203,'Candidate Tracker'!$I:$I,"Female")=0,"",COUNTIFS('Candidate Tracker'!$E:$E,'Positions Tracker'!$B203,'Candidate Tracker'!$I:$I,"Female")),"")</f>
        <v/>
      </c>
      <c r="BB203" s="81" t="str">
        <f>IFERROR(IF(COUNTIFS('Candidate Tracker'!$E:$E,'Positions Tracker'!$B203,'Candidate Tracker'!$I:$I,"male")=0,"",COUNTIFS('Candidate Tracker'!$E:$E,'Positions Tracker'!$B203,'Candidate Tracker'!$I:$I,"male")),"")</f>
        <v/>
      </c>
      <c r="BC203" s="80" t="str">
        <f>IFERROR(IF(COUNTIFS('Candidate Tracker'!$E:$E,'Positions Tracker'!$B203,'Candidate Tracker'!$C:$C,"&lt;&gt;WIP",'Candidate Tracker'!$C:$C,"&lt;&gt;Hold",'Candidate Tracker'!$C:$C,"&lt;&gt;Cancelled",'Candidate Tracker'!$C:$C,"&lt;&gt;Closed")/COUNTIFS('Candidate Tracker'!$E:$E,'Positions Tracker'!$B203)=0,"",COUNTIFS('Candidate Tracker'!$E:$E,'Positions Tracker'!$B203,'Candidate Tracker'!$C:$C,"&lt;&gt;WIP",'Candidate Tracker'!$C:$C,"&lt;&gt;Hold",'Candidate Tracker'!$C:$C,"&lt;&gt;Cancelled",'Candidate Tracker'!$C:$C,"&lt;&gt;Closed")/COUNTIFS('Candidate Tracker'!$E:$E,'Positions Tracker'!$B203)),"")</f>
        <v/>
      </c>
      <c r="BD203" s="67" t="str">
        <f t="shared" si="17"/>
        <v>May-25</v>
      </c>
      <c r="BE203" s="67" t="str">
        <f t="shared" si="18"/>
        <v>Jun-25</v>
      </c>
      <c r="BF203" s="67" t="str">
        <f t="shared" si="19"/>
        <v>Jul-25</v>
      </c>
      <c r="BG203" s="67" t="str">
        <f t="shared" si="20"/>
        <v>Aug-25</v>
      </c>
    </row>
    <row r="204" spans="1:59">
      <c r="A204" s="67">
        <f t="shared" si="21"/>
        <v>203</v>
      </c>
      <c r="B204" s="67">
        <v>20254804</v>
      </c>
      <c r="C204" s="67" t="s">
        <v>64</v>
      </c>
      <c r="D204" s="67" t="s">
        <v>65</v>
      </c>
      <c r="E204" s="67" t="s">
        <v>859</v>
      </c>
      <c r="F204" s="67" t="s">
        <v>860</v>
      </c>
      <c r="G204" s="67" t="s">
        <v>3</v>
      </c>
      <c r="H204" s="67" t="s">
        <v>68</v>
      </c>
      <c r="I204" s="67" t="s">
        <v>228</v>
      </c>
      <c r="J204" s="67" t="s">
        <v>70</v>
      </c>
      <c r="K204" s="68">
        <v>45796</v>
      </c>
      <c r="L204" s="68">
        <v>45823</v>
      </c>
      <c r="M204" s="68">
        <v>45805</v>
      </c>
      <c r="N204" s="67"/>
      <c r="O204" s="68"/>
      <c r="P204" s="68"/>
      <c r="Q204" s="68"/>
      <c r="R204" s="68"/>
      <c r="S204" s="68"/>
      <c r="T204" s="68"/>
      <c r="U204" s="67"/>
      <c r="V204" s="67"/>
      <c r="W204" s="67"/>
      <c r="X204" s="67" t="s">
        <v>72</v>
      </c>
      <c r="Y204" s="67" t="s">
        <v>282</v>
      </c>
      <c r="Z204" s="67" t="s">
        <v>282</v>
      </c>
      <c r="AA204" s="67" t="s">
        <v>861</v>
      </c>
      <c r="AB204" s="67"/>
      <c r="AC204" s="67"/>
      <c r="AD204" s="67"/>
      <c r="AE204" s="67"/>
      <c r="AF204" s="67"/>
      <c r="AG204" s="67"/>
      <c r="AH204" s="68"/>
      <c r="AI204" s="68"/>
      <c r="AJ204" s="68"/>
      <c r="AK204" s="67"/>
      <c r="AL204" s="67"/>
      <c r="AM204" s="68"/>
      <c r="AN204" s="68"/>
      <c r="AO204" s="68"/>
      <c r="AP204" s="68"/>
      <c r="AQ204" s="68"/>
      <c r="AR204" s="68"/>
      <c r="AS204" s="68"/>
      <c r="AT204" s="67">
        <f t="shared" ca="1" si="22"/>
        <v>0</v>
      </c>
      <c r="AU204" s="79" t="str">
        <f t="shared" ca="1" si="23"/>
        <v/>
      </c>
      <c r="AV204" s="79" t="str" cm="1">
        <f t="array" aca="1" ref="AV204" ca="1">IFERROR(_xlfn.IFS($AU204="","",$AU204&lt;=15,"0-15",AND($AU204&gt;=16,$AU204&lt;=30),"16-30",AND($AU204&gt;=31,$AU204&lt;=45),"31-45",AND($AU204&gt;=46,$AU204&lt;=60),"46-60",AND($AU204&gt;=61,$AU204&lt;=90),"61-90",AND($AU204&gt;=91),"&gt; 90",AND($AU204&gt;=2000),""),"")</f>
        <v/>
      </c>
      <c r="AW204" s="79" t="str" cm="1">
        <f t="array" aca="1" ref="AW204" ca="1">IFERROR(_xlfn.IFS(OR($M204="",$AM204=""),"",OR($C204="Offered",$C204="Joined"),($AM204-$M204)-$AT204),"")</f>
        <v/>
      </c>
      <c r="AX204" s="79" t="str" cm="1">
        <f t="array" aca="1" ref="AX204" ca="1">IFERROR(_xlfn.IFS(OR($M204="",$AS204=""),"",$C204="Joined",($AS204-$M204)-$AT204),"")</f>
        <v/>
      </c>
      <c r="AY204" s="67" t="str">
        <f>IFERROR(IF(COUNTIFS('Candidate Tracker'!$E:$E,'Positions Tracker'!$B204,'Candidate Tracker'!$C:$C,"Offer Drop")=0,"",COUNTIFS('Candidate Tracker'!$E:$E,'Positions Tracker'!$B204,'Candidate Tracker'!$C:$C,"Offer Drop")),"")</f>
        <v/>
      </c>
      <c r="AZ204" s="80">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0.88111888111888115</v>
      </c>
      <c r="BA204" s="81" t="str">
        <f>IFERROR(IF(COUNTIFS('Candidate Tracker'!$E:$E,'Positions Tracker'!$B204,'Candidate Tracker'!$I:$I,"Female")=0,"",COUNTIFS('Candidate Tracker'!$E:$E,'Positions Tracker'!$B204,'Candidate Tracker'!$I:$I,"Female")),"")</f>
        <v/>
      </c>
      <c r="BB204" s="81" t="str">
        <f>IFERROR(IF(COUNTIFS('Candidate Tracker'!$E:$E,'Positions Tracker'!$B204,'Candidate Tracker'!$I:$I,"male")=0,"",COUNTIFS('Candidate Tracker'!$E:$E,'Positions Tracker'!$B204,'Candidate Tracker'!$I:$I,"male")),"")</f>
        <v/>
      </c>
      <c r="BC204" s="80" t="str">
        <f>IFERROR(IF(COUNTIFS('Candidate Tracker'!$E:$E,'Positions Tracker'!$B204,'Candidate Tracker'!$C:$C,"&lt;&gt;WIP",'Candidate Tracker'!$C:$C,"&lt;&gt;Hold",'Candidate Tracker'!$C:$C,"&lt;&gt;Cancelled",'Candidate Tracker'!$C:$C,"&lt;&gt;Closed")/COUNTIFS('Candidate Tracker'!$E:$E,'Positions Tracker'!$B204)=0,"",COUNTIFS('Candidate Tracker'!$E:$E,'Positions Tracker'!$B204,'Candidate Tracker'!$C:$C,"&lt;&gt;WIP",'Candidate Tracker'!$C:$C,"&lt;&gt;Hold",'Candidate Tracker'!$C:$C,"&lt;&gt;Cancelled",'Candidate Tracker'!$C:$C,"&lt;&gt;Closed")/COUNTIFS('Candidate Tracker'!$E:$E,'Positions Tracker'!$B204)),"")</f>
        <v/>
      </c>
      <c r="BD204" s="67" t="str">
        <f t="shared" si="17"/>
        <v>May-25</v>
      </c>
      <c r="BE204" s="67" t="str">
        <f t="shared" si="18"/>
        <v/>
      </c>
      <c r="BF204" s="67" t="str">
        <f t="shared" si="19"/>
        <v/>
      </c>
      <c r="BG204" s="67" t="str">
        <f t="shared" si="20"/>
        <v/>
      </c>
    </row>
    <row r="205" spans="1:59">
      <c r="A205" s="67">
        <f t="shared" si="21"/>
        <v>204</v>
      </c>
      <c r="B205" s="67">
        <v>20256274</v>
      </c>
      <c r="C205" s="67" t="s">
        <v>809</v>
      </c>
      <c r="D205" s="67" t="s">
        <v>786</v>
      </c>
      <c r="E205" s="67" t="s">
        <v>862</v>
      </c>
      <c r="F205" s="67"/>
      <c r="G205" s="67" t="s">
        <v>3</v>
      </c>
      <c r="H205" s="67" t="s">
        <v>68</v>
      </c>
      <c r="I205" s="67" t="s">
        <v>431</v>
      </c>
      <c r="J205" s="67"/>
      <c r="K205" s="68"/>
      <c r="L205" s="68">
        <v>45830</v>
      </c>
      <c r="M205" s="68"/>
      <c r="N205" s="67"/>
      <c r="O205" s="68"/>
      <c r="P205" s="68"/>
      <c r="Q205" s="68"/>
      <c r="R205" s="68"/>
      <c r="S205" s="68"/>
      <c r="T205" s="68"/>
      <c r="U205" s="67"/>
      <c r="V205" s="67"/>
      <c r="W205" s="67"/>
      <c r="X205" s="67"/>
      <c r="Y205" s="67" t="s">
        <v>282</v>
      </c>
      <c r="Z205" s="67" t="s">
        <v>282</v>
      </c>
      <c r="AA205" s="67" t="s">
        <v>863</v>
      </c>
      <c r="AB205" s="67"/>
      <c r="AC205" s="67"/>
      <c r="AD205" s="67"/>
      <c r="AE205" s="67" t="s">
        <v>832</v>
      </c>
      <c r="AF205" s="67">
        <v>9657836126</v>
      </c>
      <c r="AG205" s="67" t="s">
        <v>833</v>
      </c>
      <c r="AH205" s="68" t="s">
        <v>123</v>
      </c>
      <c r="AI205" s="68"/>
      <c r="AJ205" s="68"/>
      <c r="AK205" s="67"/>
      <c r="AL205" s="67"/>
      <c r="AM205" s="68"/>
      <c r="AN205" s="68"/>
      <c r="AO205" s="68"/>
      <c r="AP205" s="68"/>
      <c r="AQ205" s="68"/>
      <c r="AR205" s="68"/>
      <c r="AS205" s="68"/>
      <c r="AT205" s="67">
        <f t="shared" ca="1" si="22"/>
        <v>0</v>
      </c>
      <c r="AU205" s="79" t="str">
        <f t="shared" ca="1" si="23"/>
        <v/>
      </c>
      <c r="AV205" s="79" t="str" cm="1">
        <f t="array" aca="1" ref="AV205" ca="1">IFERROR(_xlfn.IFS($AU205="","",$AU205&lt;=15,"0-15",AND($AU205&gt;=16,$AU205&lt;=30),"16-30",AND($AU205&gt;=31,$AU205&lt;=45),"31-45",AND($AU205&gt;=46,$AU205&lt;=60),"46-60",AND($AU205&gt;=61,$AU205&lt;=90),"61-90",AND($AU205&gt;=91),"&gt; 90",AND($AU205&gt;=2000),""),"")</f>
        <v/>
      </c>
      <c r="AW205" s="79" t="str" cm="1">
        <f t="array" aca="1" ref="AW205" ca="1">IFERROR(_xlfn.IFS(OR($M205="",$AM205=""),"",OR($C205="Offered",$C205="Joined"),($AM205-$M205)-$AT205),"")</f>
        <v/>
      </c>
      <c r="AX205" s="79" t="str" cm="1">
        <f t="array" aca="1" ref="AX205" ca="1">IFERROR(_xlfn.IFS(OR($M205="",$AS205=""),"",$C205="Joined",($AS205-$M205)-$AT205),"")</f>
        <v/>
      </c>
      <c r="AY205" s="67" t="str">
        <f>IFERROR(IF(COUNTIFS('Candidate Tracker'!$E:$E,'Positions Tracker'!$B205,'Candidate Tracker'!$C:$C,"Offer Drop")=0,"",COUNTIFS('Candidate Tracker'!$E:$E,'Positions Tracker'!$B205,'Candidate Tracker'!$C:$C,"Offer Drop")),"")</f>
        <v/>
      </c>
      <c r="AZ205" s="80">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0.88111888111888115</v>
      </c>
      <c r="BA205" s="81" t="str">
        <f>IFERROR(IF(COUNTIFS('Candidate Tracker'!$E:$E,'Positions Tracker'!$B205,'Candidate Tracker'!$I:$I,"Female")=0,"",COUNTIFS('Candidate Tracker'!$E:$E,'Positions Tracker'!$B205,'Candidate Tracker'!$I:$I,"Female")),"")</f>
        <v/>
      </c>
      <c r="BB205" s="81" t="str">
        <f>IFERROR(IF(COUNTIFS('Candidate Tracker'!$E:$E,'Positions Tracker'!$B205,'Candidate Tracker'!$I:$I,"male")=0,"",COUNTIFS('Candidate Tracker'!$E:$E,'Positions Tracker'!$B205,'Candidate Tracker'!$I:$I,"male")),"")</f>
        <v/>
      </c>
      <c r="BC205" s="80" t="str">
        <f>IFERROR(IF(COUNTIFS('Candidate Tracker'!$E:$E,'Positions Tracker'!$B205,'Candidate Tracker'!$C:$C,"&lt;&gt;WIP",'Candidate Tracker'!$C:$C,"&lt;&gt;Hold",'Candidate Tracker'!$C:$C,"&lt;&gt;Cancelled",'Candidate Tracker'!$C:$C,"&lt;&gt;Closed")/COUNTIFS('Candidate Tracker'!$E:$E,'Positions Tracker'!$B205)=0,"",COUNTIFS('Candidate Tracker'!$E:$E,'Positions Tracker'!$B205,'Candidate Tracker'!$C:$C,"&lt;&gt;WIP",'Candidate Tracker'!$C:$C,"&lt;&gt;Hold",'Candidate Tracker'!$C:$C,"&lt;&gt;Cancelled",'Candidate Tracker'!$C:$C,"&lt;&gt;Closed")/COUNTIFS('Candidate Tracker'!$E:$E,'Positions Tracker'!$B205)),"")</f>
        <v/>
      </c>
      <c r="BD205" s="67" t="str">
        <f t="shared" si="17"/>
        <v/>
      </c>
      <c r="BE205" s="67" t="str">
        <f t="shared" si="18"/>
        <v/>
      </c>
      <c r="BF205" s="67" t="str">
        <f t="shared" si="19"/>
        <v/>
      </c>
      <c r="BG205" s="67" t="str">
        <f t="shared" si="20"/>
        <v/>
      </c>
    </row>
    <row r="206" spans="1:59">
      <c r="A206" s="67">
        <f t="shared" si="21"/>
        <v>205</v>
      </c>
      <c r="B206" s="67">
        <v>20255285</v>
      </c>
      <c r="C206" s="67" t="s">
        <v>834</v>
      </c>
      <c r="D206" s="67" t="s">
        <v>834</v>
      </c>
      <c r="E206" s="67" t="s">
        <v>864</v>
      </c>
      <c r="F206" s="67" t="s">
        <v>865</v>
      </c>
      <c r="G206" s="67" t="s">
        <v>1</v>
      </c>
      <c r="H206" s="67" t="s">
        <v>374</v>
      </c>
      <c r="I206" s="67" t="s">
        <v>866</v>
      </c>
      <c r="J206" s="67" t="s">
        <v>70</v>
      </c>
      <c r="K206" s="68">
        <v>45823</v>
      </c>
      <c r="L206" s="68">
        <v>45823</v>
      </c>
      <c r="M206" s="68">
        <v>45823</v>
      </c>
      <c r="N206" s="67" t="s">
        <v>827</v>
      </c>
      <c r="O206" s="68"/>
      <c r="P206" s="68"/>
      <c r="Q206" s="68"/>
      <c r="R206" s="68"/>
      <c r="S206" s="68"/>
      <c r="T206" s="68"/>
      <c r="U206" s="67"/>
      <c r="V206" s="67"/>
      <c r="W206" s="67"/>
      <c r="X206" s="67" t="s">
        <v>708</v>
      </c>
      <c r="Y206" s="67" t="s">
        <v>73</v>
      </c>
      <c r="Z206" s="67" t="s">
        <v>73</v>
      </c>
      <c r="AA206" s="67" t="s">
        <v>867</v>
      </c>
      <c r="AB206" s="67"/>
      <c r="AC206" s="67"/>
      <c r="AD206" s="67"/>
      <c r="AE206" s="67" t="s">
        <v>868</v>
      </c>
      <c r="AF206" s="67">
        <v>8879526630</v>
      </c>
      <c r="AG206" s="67" t="s">
        <v>869</v>
      </c>
      <c r="AH206" s="68" t="s">
        <v>123</v>
      </c>
      <c r="AI206" s="68">
        <v>45831</v>
      </c>
      <c r="AJ206" s="68">
        <v>45854</v>
      </c>
      <c r="AK206" s="67" t="s">
        <v>870</v>
      </c>
      <c r="AL206" s="67">
        <v>820000</v>
      </c>
      <c r="AM206" s="68">
        <v>45852</v>
      </c>
      <c r="AN206" s="68">
        <v>45854</v>
      </c>
      <c r="AO206" s="68"/>
      <c r="AP206" s="68">
        <v>45875</v>
      </c>
      <c r="AQ206" s="68">
        <v>45881</v>
      </c>
      <c r="AR206" s="68" t="s">
        <v>858</v>
      </c>
      <c r="AS206" s="68">
        <v>45887</v>
      </c>
      <c r="AT206" s="67">
        <f t="shared" ca="1" si="22"/>
        <v>0</v>
      </c>
      <c r="AU206" s="79" t="str">
        <f t="shared" ca="1" si="23"/>
        <v/>
      </c>
      <c r="AV206" s="79" t="str" cm="1">
        <f t="array" aca="1" ref="AV206" ca="1">IFERROR(_xlfn.IFS($AU206="","",$AU206&lt;=15,"0-15",AND($AU206&gt;=16,$AU206&lt;=30),"16-30",AND($AU206&gt;=31,$AU206&lt;=45),"31-45",AND($AU206&gt;=46,$AU206&lt;=60),"46-60",AND($AU206&gt;=61,$AU206&lt;=90),"61-90",AND($AU206&gt;=91),"&gt; 90",AND($AU206&gt;=2000),""),"")</f>
        <v/>
      </c>
      <c r="AW206" s="79" cm="1">
        <f t="array" aca="1" ref="AW206" ca="1">IFERROR(_xlfn.IFS(OR($M206="",$AM206=""),"",OR($C206="Offered",$C206="Joined"),($AM206-$M206)-$AT206),"")</f>
        <v>29</v>
      </c>
      <c r="AX206" s="79" cm="1">
        <f t="array" aca="1" ref="AX206" ca="1">IFERROR(_xlfn.IFS(OR($M206="",$AS206=""),"",$C206="Joined",($AS206-$M206)-$AT206),"")</f>
        <v>64</v>
      </c>
      <c r="AY206" s="67" t="str">
        <f>IFERROR(IF(COUNTIFS('Candidate Tracker'!$E:$E,'Positions Tracker'!$B206,'Candidate Tracker'!$C:$C,"Offer Drop")=0,"",COUNTIFS('Candidate Tracker'!$E:$E,'Positions Tracker'!$B206,'Candidate Tracker'!$C:$C,"Offer Drop")),"")</f>
        <v/>
      </c>
      <c r="AZ206" s="80">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0.88111888111888115</v>
      </c>
      <c r="BA206" s="81" t="str">
        <f>IFERROR(IF(COUNTIFS('Candidate Tracker'!$E:$E,'Positions Tracker'!$B206,'Candidate Tracker'!$I:$I,"Female")=0,"",COUNTIFS('Candidate Tracker'!$E:$E,'Positions Tracker'!$B206,'Candidate Tracker'!$I:$I,"Female")),"")</f>
        <v/>
      </c>
      <c r="BB206" s="81" t="str">
        <f>IFERROR(IF(COUNTIFS('Candidate Tracker'!$E:$E,'Positions Tracker'!$B206,'Candidate Tracker'!$I:$I,"male")=0,"",COUNTIFS('Candidate Tracker'!$E:$E,'Positions Tracker'!$B206,'Candidate Tracker'!$I:$I,"male")),"")</f>
        <v/>
      </c>
      <c r="BC206" s="80" t="str">
        <f>IFERROR(IF(COUNTIFS('Candidate Tracker'!$E:$E,'Positions Tracker'!$B206,'Candidate Tracker'!$C:$C,"&lt;&gt;WIP",'Candidate Tracker'!$C:$C,"&lt;&gt;Hold",'Candidate Tracker'!$C:$C,"&lt;&gt;Cancelled",'Candidate Tracker'!$C:$C,"&lt;&gt;Closed")/COUNTIFS('Candidate Tracker'!$E:$E,'Positions Tracker'!$B206)=0,"",COUNTIFS('Candidate Tracker'!$E:$E,'Positions Tracker'!$B206,'Candidate Tracker'!$C:$C,"&lt;&gt;WIP",'Candidate Tracker'!$C:$C,"&lt;&gt;Hold",'Candidate Tracker'!$C:$C,"&lt;&gt;Cancelled",'Candidate Tracker'!$C:$C,"&lt;&gt;Closed")/COUNTIFS('Candidate Tracker'!$E:$E,'Positions Tracker'!$B206)),"")</f>
        <v/>
      </c>
      <c r="BD206" s="67" t="str">
        <f t="shared" si="17"/>
        <v>Jun-25</v>
      </c>
      <c r="BE206" s="67" t="str">
        <f t="shared" si="18"/>
        <v>Jun-25</v>
      </c>
      <c r="BF206" s="67" t="str">
        <f t="shared" si="19"/>
        <v>Jul-25</v>
      </c>
      <c r="BG206" s="67" t="str">
        <f t="shared" si="20"/>
        <v>Aug-25</v>
      </c>
    </row>
    <row r="207" spans="1:59">
      <c r="A207" s="67">
        <f t="shared" si="21"/>
        <v>206</v>
      </c>
      <c r="B207" s="67">
        <v>20255515</v>
      </c>
      <c r="C207" s="67" t="s">
        <v>116</v>
      </c>
      <c r="D207" s="67" t="s">
        <v>116</v>
      </c>
      <c r="E207" s="67" t="s">
        <v>871</v>
      </c>
      <c r="F207" s="67" t="s">
        <v>872</v>
      </c>
      <c r="G207" s="67" t="s">
        <v>1</v>
      </c>
      <c r="H207" s="67"/>
      <c r="I207" s="67" t="s">
        <v>852</v>
      </c>
      <c r="J207" s="67"/>
      <c r="K207" s="68">
        <v>45830</v>
      </c>
      <c r="L207" s="68">
        <v>45855</v>
      </c>
      <c r="M207" s="68">
        <v>45820</v>
      </c>
      <c r="N207" s="67"/>
      <c r="O207" s="68"/>
      <c r="P207" s="68"/>
      <c r="Q207" s="68"/>
      <c r="R207" s="68"/>
      <c r="S207" s="68"/>
      <c r="T207" s="68"/>
      <c r="U207" s="67"/>
      <c r="V207" s="67"/>
      <c r="W207" s="67"/>
      <c r="X207" s="67"/>
      <c r="Y207" s="67" t="s">
        <v>73</v>
      </c>
      <c r="Z207" s="67" t="s">
        <v>73</v>
      </c>
      <c r="AA207" s="67" t="s">
        <v>873</v>
      </c>
      <c r="AB207" s="67"/>
      <c r="AC207" s="67"/>
      <c r="AD207" s="67"/>
      <c r="AE207" s="67" t="s">
        <v>874</v>
      </c>
      <c r="AF207" s="67"/>
      <c r="AG207" s="67"/>
      <c r="AH207" s="68"/>
      <c r="AI207" s="68"/>
      <c r="AJ207" s="68"/>
      <c r="AK207" s="67"/>
      <c r="AL207" s="67"/>
      <c r="AM207" s="68"/>
      <c r="AN207" s="68"/>
      <c r="AO207" s="68"/>
      <c r="AP207" s="68"/>
      <c r="AQ207" s="68"/>
      <c r="AR207" s="68"/>
      <c r="AS207" s="68">
        <v>45936</v>
      </c>
      <c r="AT207" s="67">
        <f t="shared" ca="1" si="22"/>
        <v>0</v>
      </c>
      <c r="AU207" s="79" t="str">
        <f t="shared" ca="1" si="23"/>
        <v/>
      </c>
      <c r="AV207" s="79" t="str" cm="1">
        <f t="array" aca="1" ref="AV207" ca="1">IFERROR(_xlfn.IFS($AU207="","",$AU207&lt;=15,"0-15",AND($AU207&gt;=16,$AU207&lt;=30),"16-30",AND($AU207&gt;=31,$AU207&lt;=45),"31-45",AND($AU207&gt;=46,$AU207&lt;=60),"46-60",AND($AU207&gt;=61,$AU207&lt;=90),"61-90",AND($AU207&gt;=91),"&gt; 90",AND($AU207&gt;=2000),""),"")</f>
        <v/>
      </c>
      <c r="AW207" s="79" t="str" cm="1">
        <f t="array" aca="1" ref="AW207" ca="1">IFERROR(_xlfn.IFS(OR($M207="",$AM207=""),"",OR($C207="Offered",$C207="Joined"),($AM207-$M207)-$AT207),"")</f>
        <v/>
      </c>
      <c r="AX207" s="79" cm="1">
        <f t="array" aca="1" ref="AX207" ca="1">IFERROR(_xlfn.IFS(OR($M207="",$AS207=""),"",$C207="Joined",($AS207-$M207)-$AT207),"")</f>
        <v>116</v>
      </c>
      <c r="AY207" s="67" t="str">
        <f>IFERROR(IF(COUNTIFS('Candidate Tracker'!$E:$E,'Positions Tracker'!$B207,'Candidate Tracker'!$C:$C,"Offer Drop")=0,"",COUNTIFS('Candidate Tracker'!$E:$E,'Positions Tracker'!$B207,'Candidate Tracker'!$C:$C,"Offer Drop")),"")</f>
        <v/>
      </c>
      <c r="AZ207" s="80">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0.88111888111888115</v>
      </c>
      <c r="BA207" s="81" t="str">
        <f>IFERROR(IF(COUNTIFS('Candidate Tracker'!$E:$E,'Positions Tracker'!$B207,'Candidate Tracker'!$I:$I,"Female")=0,"",COUNTIFS('Candidate Tracker'!$E:$E,'Positions Tracker'!$B207,'Candidate Tracker'!$I:$I,"Female")),"")</f>
        <v/>
      </c>
      <c r="BB207" s="81" t="str">
        <f>IFERROR(IF(COUNTIFS('Candidate Tracker'!$E:$E,'Positions Tracker'!$B207,'Candidate Tracker'!$I:$I,"male")=0,"",COUNTIFS('Candidate Tracker'!$E:$E,'Positions Tracker'!$B207,'Candidate Tracker'!$I:$I,"male")),"")</f>
        <v/>
      </c>
      <c r="BC207" s="80" t="str">
        <f>IFERROR(IF(COUNTIFS('Candidate Tracker'!$E:$E,'Positions Tracker'!$B207,'Candidate Tracker'!$C:$C,"&lt;&gt;WIP",'Candidate Tracker'!$C:$C,"&lt;&gt;Hold",'Candidate Tracker'!$C:$C,"&lt;&gt;Cancelled",'Candidate Tracker'!$C:$C,"&lt;&gt;Closed")/COUNTIFS('Candidate Tracker'!$E:$E,'Positions Tracker'!$B207)=0,"",COUNTIFS('Candidate Tracker'!$E:$E,'Positions Tracker'!$B207,'Candidate Tracker'!$C:$C,"&lt;&gt;WIP",'Candidate Tracker'!$C:$C,"&lt;&gt;Hold",'Candidate Tracker'!$C:$C,"&lt;&gt;Cancelled",'Candidate Tracker'!$C:$C,"&lt;&gt;Closed")/COUNTIFS('Candidate Tracker'!$E:$E,'Positions Tracker'!$B207)),"")</f>
        <v/>
      </c>
      <c r="BD207" s="67" t="str">
        <f t="shared" si="17"/>
        <v>Jun-25</v>
      </c>
      <c r="BE207" s="67" t="str">
        <f t="shared" si="18"/>
        <v/>
      </c>
      <c r="BF207" s="67" t="str">
        <f t="shared" si="19"/>
        <v/>
      </c>
      <c r="BG207" s="67" t="str">
        <f t="shared" si="20"/>
        <v>Oct-25</v>
      </c>
    </row>
    <row r="208" spans="1:59">
      <c r="A208" s="67">
        <f t="shared" si="21"/>
        <v>207</v>
      </c>
      <c r="B208" s="67">
        <v>20258491</v>
      </c>
      <c r="C208" s="67" t="s">
        <v>400</v>
      </c>
      <c r="D208" s="67" t="s">
        <v>116</v>
      </c>
      <c r="E208" s="67" t="s">
        <v>875</v>
      </c>
      <c r="F208" s="67" t="s">
        <v>876</v>
      </c>
      <c r="G208" s="67" t="s">
        <v>1</v>
      </c>
      <c r="H208" s="67" t="s">
        <v>374</v>
      </c>
      <c r="I208" s="67" t="s">
        <v>877</v>
      </c>
      <c r="J208" s="67" t="s">
        <v>70</v>
      </c>
      <c r="K208" s="68">
        <v>45855</v>
      </c>
      <c r="L208" s="68">
        <v>45848</v>
      </c>
      <c r="M208" s="68">
        <v>45826</v>
      </c>
      <c r="N208" s="67" t="s">
        <v>878</v>
      </c>
      <c r="O208" s="68"/>
      <c r="P208" s="68"/>
      <c r="Q208" s="68"/>
      <c r="R208" s="68"/>
      <c r="S208" s="68"/>
      <c r="T208" s="68"/>
      <c r="U208" s="67" t="s">
        <v>879</v>
      </c>
      <c r="V208" s="67"/>
      <c r="W208" s="67"/>
      <c r="X208" s="67" t="s">
        <v>72</v>
      </c>
      <c r="Y208" s="67" t="s">
        <v>73</v>
      </c>
      <c r="Z208" s="67" t="s">
        <v>73</v>
      </c>
      <c r="AA208" s="67" t="s">
        <v>880</v>
      </c>
      <c r="AB208" s="67"/>
      <c r="AC208" s="67"/>
      <c r="AD208" s="67"/>
      <c r="AE208" s="109" t="s">
        <v>881</v>
      </c>
      <c r="AF208" s="107" t="s">
        <v>882</v>
      </c>
      <c r="AG208" s="101" t="s">
        <v>883</v>
      </c>
      <c r="AH208" s="68" t="s">
        <v>123</v>
      </c>
      <c r="AI208" s="68">
        <v>45888</v>
      </c>
      <c r="AJ208" s="68">
        <v>45909</v>
      </c>
      <c r="AK208" s="67" t="s">
        <v>72</v>
      </c>
      <c r="AL208" s="113">
        <v>1800000</v>
      </c>
      <c r="AM208" s="68">
        <v>45889</v>
      </c>
      <c r="AN208" s="68">
        <v>45909</v>
      </c>
      <c r="AO208" s="68" t="s">
        <v>858</v>
      </c>
      <c r="AP208" s="68">
        <v>45918</v>
      </c>
      <c r="AQ208" s="68">
        <v>45918</v>
      </c>
      <c r="AR208" s="68"/>
      <c r="AS208" s="68">
        <v>45964</v>
      </c>
      <c r="AT208" s="67">
        <f t="shared" ca="1" si="22"/>
        <v>0</v>
      </c>
      <c r="AU208" s="79" t="str">
        <f t="shared" ca="1" si="23"/>
        <v/>
      </c>
      <c r="AV208" s="79" t="str" cm="1">
        <f t="array" aca="1" ref="AV208" ca="1">IFERROR(_xlfn.IFS($AU208="","",$AU208&lt;=15,"0-15",AND($AU208&gt;=16,$AU208&lt;=30),"16-30",AND($AU208&gt;=31,$AU208&lt;=45),"31-45",AND($AU208&gt;=46,$AU208&lt;=60),"46-60",AND($AU208&gt;=61,$AU208&lt;=90),"61-90",AND($AU208&gt;=91),"&gt; 90",AND($AU208&gt;=2000),""),"")</f>
        <v/>
      </c>
      <c r="AW208" s="79" cm="1">
        <f t="array" aca="1" ref="AW208" ca="1">IFERROR(_xlfn.IFS(OR($M208="",$AM208=""),"",OR($C208="Offered",$C208="Joined"),($AM208-$M208)-$AT208),"")</f>
        <v>63</v>
      </c>
      <c r="AX208" s="79" t="str" cm="1">
        <f t="array" aca="1" ref="AX208" ca="1">IFERROR(_xlfn.IFS(OR($M208="",$AS208=""),"",$C208="Joined",($AS208-$M208)-$AT208),"")</f>
        <v/>
      </c>
      <c r="AY208" s="67" t="str">
        <f>IFERROR(IF(COUNTIFS('Candidate Tracker'!$E:$E,'Positions Tracker'!$B208,'Candidate Tracker'!$C:$C,"Offer Drop")=0,"",COUNTIFS('Candidate Tracker'!$E:$E,'Positions Tracker'!$B208,'Candidate Tracker'!$C:$C,"Offer Drop")),"")</f>
        <v/>
      </c>
      <c r="AZ208" s="80">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0.88111888111888115</v>
      </c>
      <c r="BA208" s="81" t="str">
        <f>IFERROR(IF(COUNTIFS('Candidate Tracker'!$E:$E,'Positions Tracker'!$B208,'Candidate Tracker'!$I:$I,"Female")=0,"",COUNTIFS('Candidate Tracker'!$E:$E,'Positions Tracker'!$B208,'Candidate Tracker'!$I:$I,"Female")),"")</f>
        <v/>
      </c>
      <c r="BB208" s="81" t="str">
        <f>IFERROR(IF(COUNTIFS('Candidate Tracker'!$E:$E,'Positions Tracker'!$B208,'Candidate Tracker'!$I:$I,"male")=0,"",COUNTIFS('Candidate Tracker'!$E:$E,'Positions Tracker'!$B208,'Candidate Tracker'!$I:$I,"male")),"")</f>
        <v/>
      </c>
      <c r="BC208" s="80" t="str">
        <f>IFERROR(IF(COUNTIFS('Candidate Tracker'!$E:$E,'Positions Tracker'!$B208,'Candidate Tracker'!$C:$C,"&lt;&gt;WIP",'Candidate Tracker'!$C:$C,"&lt;&gt;Hold",'Candidate Tracker'!$C:$C,"&lt;&gt;Cancelled",'Candidate Tracker'!$C:$C,"&lt;&gt;Closed")/COUNTIFS('Candidate Tracker'!$E:$E,'Positions Tracker'!$B208)=0,"",COUNTIFS('Candidate Tracker'!$E:$E,'Positions Tracker'!$B208,'Candidate Tracker'!$C:$C,"&lt;&gt;WIP",'Candidate Tracker'!$C:$C,"&lt;&gt;Hold",'Candidate Tracker'!$C:$C,"&lt;&gt;Cancelled",'Candidate Tracker'!$C:$C,"&lt;&gt;Closed")/COUNTIFS('Candidate Tracker'!$E:$E,'Positions Tracker'!$B208)),"")</f>
        <v/>
      </c>
      <c r="BD208" s="67" t="str">
        <f t="shared" si="17"/>
        <v>Jun-25</v>
      </c>
      <c r="BE208" s="67" t="str">
        <f t="shared" si="18"/>
        <v>Aug-25</v>
      </c>
      <c r="BF208" s="67" t="str">
        <f t="shared" si="19"/>
        <v>Aug-25</v>
      </c>
      <c r="BG208" s="67" t="str">
        <f t="shared" si="20"/>
        <v>Nov-25</v>
      </c>
    </row>
    <row r="209" spans="1:59">
      <c r="A209" s="67">
        <f t="shared" si="21"/>
        <v>208</v>
      </c>
      <c r="B209" s="67" t="s">
        <v>884</v>
      </c>
      <c r="C209" s="67" t="s">
        <v>885</v>
      </c>
      <c r="D209" s="67" t="s">
        <v>886</v>
      </c>
      <c r="E209" s="67" t="s">
        <v>887</v>
      </c>
      <c r="F209" s="67" t="s">
        <v>888</v>
      </c>
      <c r="G209" s="67" t="s">
        <v>1</v>
      </c>
      <c r="H209" s="67" t="s">
        <v>612</v>
      </c>
      <c r="I209" s="67" t="s">
        <v>889</v>
      </c>
      <c r="J209" s="67" t="s">
        <v>853</v>
      </c>
      <c r="K209" s="68">
        <v>45795</v>
      </c>
      <c r="L209" s="68">
        <v>45831</v>
      </c>
      <c r="M209" s="68">
        <v>45831</v>
      </c>
      <c r="N209" s="67" t="s">
        <v>849</v>
      </c>
      <c r="O209" s="68"/>
      <c r="P209" s="68"/>
      <c r="Q209" s="68"/>
      <c r="R209" s="68"/>
      <c r="S209" s="68"/>
      <c r="T209" s="68"/>
      <c r="U209" s="67" t="s">
        <v>890</v>
      </c>
      <c r="V209" s="67"/>
      <c r="W209" s="67"/>
      <c r="X209" s="67" t="s">
        <v>72</v>
      </c>
      <c r="Y209" s="67" t="s">
        <v>73</v>
      </c>
      <c r="Z209" s="67" t="s">
        <v>73</v>
      </c>
      <c r="AA209" s="69" t="s">
        <v>891</v>
      </c>
      <c r="AB209" s="67"/>
      <c r="AC209" s="67"/>
      <c r="AD209" s="67"/>
      <c r="AE209" s="67" t="s">
        <v>892</v>
      </c>
      <c r="AF209">
        <v>9112111515</v>
      </c>
      <c r="AG209" s="67" t="s">
        <v>893</v>
      </c>
      <c r="AH209" s="68" t="s">
        <v>123</v>
      </c>
      <c r="AI209" s="68">
        <v>45948</v>
      </c>
      <c r="AJ209" s="68"/>
      <c r="AK209" s="67" t="s">
        <v>72</v>
      </c>
      <c r="AL209" s="70">
        <v>1300000</v>
      </c>
      <c r="AM209" s="68">
        <v>45961</v>
      </c>
      <c r="AN209" s="68"/>
      <c r="AO209" s="68"/>
      <c r="AP209" s="68"/>
      <c r="AQ209" s="68"/>
      <c r="AR209" s="68"/>
      <c r="AS209" s="68"/>
      <c r="AT209" s="67">
        <f t="shared" ca="1" si="22"/>
        <v>0</v>
      </c>
      <c r="AU209" s="79">
        <f t="shared" ca="1" si="23"/>
        <v>170</v>
      </c>
      <c r="AV209" s="79" t="str" cm="1">
        <f t="array" aca="1" ref="AV209" ca="1">IFERROR(_xlfn.IFS($AU209="","",$AU209&lt;=15,"0-15",AND($AU209&gt;=16,$AU209&lt;=30),"16-30",AND($AU209&gt;=31,$AU209&lt;=45),"31-45",AND($AU209&gt;=46,$AU209&lt;=60),"46-60",AND($AU209&gt;=61,$AU209&lt;=90),"61-90",AND($AU209&gt;=91),"&gt; 90",AND($AU209&gt;=2000),""),"")</f>
        <v>&gt; 90</v>
      </c>
      <c r="AW209" s="79" t="str" cm="1">
        <f t="array" aca="1" ref="AW209" ca="1">IFERROR(_xlfn.IFS(OR($M209="",$AM209=""),"",OR($C209="Offered",$C209="Joined"),($AM209-$M209)-$AT209),"")</f>
        <v/>
      </c>
      <c r="AX209" s="79" t="str" cm="1">
        <f t="array" aca="1" ref="AX209" ca="1">IFERROR(_xlfn.IFS(OR($M209="",$AS209=""),"",$C209="Joined",($AS209-$M209)-$AT209),"")</f>
        <v/>
      </c>
      <c r="AY209" s="67" t="str">
        <f>IFERROR(IF(COUNTIFS('Candidate Tracker'!$E:$E,'Positions Tracker'!$B209,'Candidate Tracker'!$C:$C,"Offer Drop")=0,"",COUNTIFS('Candidate Tracker'!$E:$E,'Positions Tracker'!$B209,'Candidate Tracker'!$C:$C,"Offer Drop")),"")</f>
        <v/>
      </c>
      <c r="AZ209" s="80">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0.88111888111888115</v>
      </c>
      <c r="BA209" s="81" t="str">
        <f>IFERROR(IF(COUNTIFS('Candidate Tracker'!$E:$E,'Positions Tracker'!$B209,'Candidate Tracker'!$I:$I,"Female")=0,"",COUNTIFS('Candidate Tracker'!$E:$E,'Positions Tracker'!$B209,'Candidate Tracker'!$I:$I,"Female")),"")</f>
        <v/>
      </c>
      <c r="BB209" s="81" t="str">
        <f>IFERROR(IF(COUNTIFS('Candidate Tracker'!$E:$E,'Positions Tracker'!$B209,'Candidate Tracker'!$I:$I,"male")=0,"",COUNTIFS('Candidate Tracker'!$E:$E,'Positions Tracker'!$B209,'Candidate Tracker'!$I:$I,"male")),"")</f>
        <v/>
      </c>
      <c r="BC209" s="80" t="str">
        <f>IFERROR(IF(COUNTIFS('Candidate Tracker'!$E:$E,'Positions Tracker'!$B209,'Candidate Tracker'!$C:$C,"&lt;&gt;WIP",'Candidate Tracker'!$C:$C,"&lt;&gt;Hold",'Candidate Tracker'!$C:$C,"&lt;&gt;Cancelled",'Candidate Tracker'!$C:$C,"&lt;&gt;Closed")/COUNTIFS('Candidate Tracker'!$E:$E,'Positions Tracker'!$B209)=0,"",COUNTIFS('Candidate Tracker'!$E:$E,'Positions Tracker'!$B209,'Candidate Tracker'!$C:$C,"&lt;&gt;WIP",'Candidate Tracker'!$C:$C,"&lt;&gt;Hold",'Candidate Tracker'!$C:$C,"&lt;&gt;Cancelled",'Candidate Tracker'!$C:$C,"&lt;&gt;Closed")/COUNTIFS('Candidate Tracker'!$E:$E,'Positions Tracker'!$B209)),"")</f>
        <v/>
      </c>
      <c r="BD209" s="67" t="str">
        <f t="shared" si="17"/>
        <v>Jun-25</v>
      </c>
      <c r="BE209" s="115">
        <v>45931</v>
      </c>
      <c r="BF209" s="115">
        <v>45962</v>
      </c>
      <c r="BG209" s="67" t="str">
        <f t="shared" si="20"/>
        <v/>
      </c>
    </row>
    <row r="210" spans="1:59">
      <c r="A210" s="67">
        <f t="shared" si="21"/>
        <v>209</v>
      </c>
      <c r="B210" s="67">
        <v>20255771</v>
      </c>
      <c r="C210" s="67" t="s">
        <v>116</v>
      </c>
      <c r="D210" s="67" t="s">
        <v>116</v>
      </c>
      <c r="E210" s="67" t="s">
        <v>894</v>
      </c>
      <c r="F210" s="67" t="s">
        <v>888</v>
      </c>
      <c r="G210" s="67" t="s">
        <v>1</v>
      </c>
      <c r="H210" s="67" t="s">
        <v>612</v>
      </c>
      <c r="I210" s="67" t="s">
        <v>889</v>
      </c>
      <c r="J210" s="67" t="s">
        <v>70</v>
      </c>
      <c r="K210" s="68">
        <v>45848</v>
      </c>
      <c r="L210" s="68">
        <v>45855</v>
      </c>
      <c r="M210" s="68">
        <v>45855</v>
      </c>
      <c r="N210" s="67" t="s">
        <v>815</v>
      </c>
      <c r="O210" s="68"/>
      <c r="P210" s="68"/>
      <c r="Q210" s="68"/>
      <c r="R210" s="68"/>
      <c r="S210" s="68"/>
      <c r="T210" s="68"/>
      <c r="U210" s="67" t="s">
        <v>895</v>
      </c>
      <c r="V210" s="67"/>
      <c r="W210" s="67"/>
      <c r="X210" s="67" t="s">
        <v>72</v>
      </c>
      <c r="Y210" s="67" t="s">
        <v>73</v>
      </c>
      <c r="Z210" s="67" t="s">
        <v>73</v>
      </c>
      <c r="AA210" s="67" t="s">
        <v>896</v>
      </c>
      <c r="AB210" s="67"/>
      <c r="AC210" s="67"/>
      <c r="AD210" s="67"/>
      <c r="AE210" s="67" t="s">
        <v>897</v>
      </c>
      <c r="AF210" s="67">
        <v>7972374547</v>
      </c>
      <c r="AG210" s="67" t="s">
        <v>898</v>
      </c>
      <c r="AH210" s="68" t="s">
        <v>123</v>
      </c>
      <c r="AI210" s="68">
        <v>45868</v>
      </c>
      <c r="AJ210" s="68">
        <v>45870</v>
      </c>
      <c r="AK210" s="67" t="s">
        <v>72</v>
      </c>
      <c r="AL210" s="67">
        <v>1250000</v>
      </c>
      <c r="AM210" s="68">
        <v>45868</v>
      </c>
      <c r="AN210" s="68">
        <v>45870</v>
      </c>
      <c r="AO210" s="68" t="s">
        <v>858</v>
      </c>
      <c r="AP210" s="68">
        <v>45876</v>
      </c>
      <c r="AQ210" s="68">
        <v>45877</v>
      </c>
      <c r="AR210" s="68" t="s">
        <v>858</v>
      </c>
      <c r="AS210" s="68">
        <v>45915</v>
      </c>
      <c r="AT210" s="67">
        <f t="shared" ca="1" si="22"/>
        <v>0</v>
      </c>
      <c r="AU210" s="79" t="str">
        <f t="shared" ca="1" si="23"/>
        <v/>
      </c>
      <c r="AV210" s="79" t="str" cm="1">
        <f t="array" aca="1" ref="AV210" ca="1">IFERROR(_xlfn.IFS($AU210="","",$AU210&lt;=15,"0-15",AND($AU210&gt;=16,$AU210&lt;=30),"16-30",AND($AU210&gt;=31,$AU210&lt;=45),"31-45",AND($AU210&gt;=46,$AU210&lt;=60),"46-60",AND($AU210&gt;=61,$AU210&lt;=90),"61-90",AND($AU210&gt;=91),"&gt; 90",AND($AU210&gt;=2000),""),"")</f>
        <v/>
      </c>
      <c r="AW210" s="79" cm="1">
        <f t="array" aca="1" ref="AW210" ca="1">IFERROR(_xlfn.IFS(OR($M210="",$AM210=""),"",OR($C210="Offered",$C210="Joined"),($AM210-$M210)-$AT210),"")</f>
        <v>13</v>
      </c>
      <c r="AX210" s="79" cm="1">
        <f t="array" aca="1" ref="AX210" ca="1">IFERROR(_xlfn.IFS(OR($M210="",$AS210=""),"",$C210="Joined",($AS210-$M210)-$AT210),"")</f>
        <v>60</v>
      </c>
      <c r="AY210" s="67" t="str">
        <f>IFERROR(IF(COUNTIFS('Candidate Tracker'!$E:$E,'Positions Tracker'!$B210,'Candidate Tracker'!$C:$C,"Offer Drop")=0,"",COUNTIFS('Candidate Tracker'!$E:$E,'Positions Tracker'!$B210,'Candidate Tracker'!$C:$C,"Offer Drop")),"")</f>
        <v/>
      </c>
      <c r="AZ210" s="80">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0.88111888111888115</v>
      </c>
      <c r="BA210" s="81" t="str">
        <f>IFERROR(IF(COUNTIFS('Candidate Tracker'!$E:$E,'Positions Tracker'!$B210,'Candidate Tracker'!$I:$I,"Female")=0,"",COUNTIFS('Candidate Tracker'!$E:$E,'Positions Tracker'!$B210,'Candidate Tracker'!$I:$I,"Female")),"")</f>
        <v/>
      </c>
      <c r="BB210" s="81" t="str">
        <f>IFERROR(IF(COUNTIFS('Candidate Tracker'!$E:$E,'Positions Tracker'!$B210,'Candidate Tracker'!$I:$I,"male")=0,"",COUNTIFS('Candidate Tracker'!$E:$E,'Positions Tracker'!$B210,'Candidate Tracker'!$I:$I,"male")),"")</f>
        <v/>
      </c>
      <c r="BC210" s="80" t="str">
        <f>IFERROR(IF(COUNTIFS('Candidate Tracker'!$E:$E,'Positions Tracker'!$B210,'Candidate Tracker'!$C:$C,"&lt;&gt;WIP",'Candidate Tracker'!$C:$C,"&lt;&gt;Hold",'Candidate Tracker'!$C:$C,"&lt;&gt;Cancelled",'Candidate Tracker'!$C:$C,"&lt;&gt;Closed")/COUNTIFS('Candidate Tracker'!$E:$E,'Positions Tracker'!$B210)=0,"",COUNTIFS('Candidate Tracker'!$E:$E,'Positions Tracker'!$B210,'Candidate Tracker'!$C:$C,"&lt;&gt;WIP",'Candidate Tracker'!$C:$C,"&lt;&gt;Hold",'Candidate Tracker'!$C:$C,"&lt;&gt;Cancelled",'Candidate Tracker'!$C:$C,"&lt;&gt;Closed")/COUNTIFS('Candidate Tracker'!$E:$E,'Positions Tracker'!$B210)),"")</f>
        <v/>
      </c>
      <c r="BD210" s="67" t="str">
        <f t="shared" si="17"/>
        <v>Jul-25</v>
      </c>
      <c r="BE210" s="67" t="str">
        <f t="shared" si="18"/>
        <v>Jul-25</v>
      </c>
      <c r="BF210" s="67" t="str">
        <f t="shared" si="19"/>
        <v>Jul-25</v>
      </c>
      <c r="BG210" s="67" t="str">
        <f t="shared" si="20"/>
        <v>Sep-25</v>
      </c>
    </row>
    <row r="211" spans="1:59">
      <c r="A211" s="67">
        <f t="shared" si="21"/>
        <v>210</v>
      </c>
      <c r="B211" s="67">
        <v>20251380</v>
      </c>
      <c r="C211" s="67" t="s">
        <v>116</v>
      </c>
      <c r="D211" s="67" t="s">
        <v>116</v>
      </c>
      <c r="E211" s="67" t="s">
        <v>899</v>
      </c>
      <c r="F211" s="67" t="s">
        <v>342</v>
      </c>
      <c r="G211" s="67" t="s">
        <v>1</v>
      </c>
      <c r="H211" s="67" t="s">
        <v>374</v>
      </c>
      <c r="I211" s="67" t="s">
        <v>900</v>
      </c>
      <c r="J211" s="67" t="s">
        <v>70</v>
      </c>
      <c r="K211" s="68">
        <v>45795</v>
      </c>
      <c r="L211" s="68">
        <v>45795</v>
      </c>
      <c r="M211" s="68">
        <v>45795</v>
      </c>
      <c r="N211" s="67" t="s">
        <v>162</v>
      </c>
      <c r="O211" s="68"/>
      <c r="P211" s="68"/>
      <c r="Q211" s="68"/>
      <c r="R211" s="68"/>
      <c r="S211" s="68"/>
      <c r="T211" s="68"/>
      <c r="U211" s="67" t="s">
        <v>901</v>
      </c>
      <c r="V211" s="67"/>
      <c r="W211" s="67"/>
      <c r="X211" s="67" t="s">
        <v>902</v>
      </c>
      <c r="Y211" s="67" t="s">
        <v>73</v>
      </c>
      <c r="Z211" s="67" t="s">
        <v>73</v>
      </c>
      <c r="AA211" s="67" t="s">
        <v>903</v>
      </c>
      <c r="AB211" s="67"/>
      <c r="AC211" s="67"/>
      <c r="AD211" s="67"/>
      <c r="AE211" s="67" t="s">
        <v>904</v>
      </c>
      <c r="AF211" s="67">
        <v>9675964521</v>
      </c>
      <c r="AG211" s="67" t="s">
        <v>905</v>
      </c>
      <c r="AH211" s="68" t="s">
        <v>123</v>
      </c>
      <c r="AI211" s="68">
        <v>45821</v>
      </c>
      <c r="AJ211" s="68">
        <v>45831</v>
      </c>
      <c r="AK211" s="67" t="s">
        <v>902</v>
      </c>
      <c r="AL211" s="67">
        <v>1100002</v>
      </c>
      <c r="AM211" s="68">
        <v>45840</v>
      </c>
      <c r="AN211" s="68">
        <v>45831</v>
      </c>
      <c r="AO211" s="68" t="s">
        <v>858</v>
      </c>
      <c r="AP211" s="68">
        <v>45840</v>
      </c>
      <c r="AQ211" s="68">
        <v>45843</v>
      </c>
      <c r="AR211" s="68" t="s">
        <v>858</v>
      </c>
      <c r="AS211" s="68">
        <v>45929</v>
      </c>
      <c r="AT211" s="67">
        <f t="shared" ca="1" si="22"/>
        <v>0</v>
      </c>
      <c r="AU211" s="79" t="str">
        <f t="shared" ca="1" si="23"/>
        <v/>
      </c>
      <c r="AV211" s="79" t="str" cm="1">
        <f t="array" aca="1" ref="AV211" ca="1">IFERROR(_xlfn.IFS($AU211="","",$AU211&lt;=15,"0-15",AND($AU211&gt;=16,$AU211&lt;=30),"16-30",AND($AU211&gt;=31,$AU211&lt;=45),"31-45",AND($AU211&gt;=46,$AU211&lt;=60),"46-60",AND($AU211&gt;=61,$AU211&lt;=90),"61-90",AND($AU211&gt;=91),"&gt; 90",AND($AU211&gt;=2000),""),"")</f>
        <v/>
      </c>
      <c r="AW211" s="79" cm="1">
        <f t="array" aca="1" ref="AW211" ca="1">IFERROR(_xlfn.IFS(OR($M211="",$AM211=""),"",OR($C211="Offered",$C211="Joined"),($AM211-$M211)-$AT211),"")</f>
        <v>45</v>
      </c>
      <c r="AX211" s="79" cm="1">
        <f t="array" aca="1" ref="AX211" ca="1">IFERROR(_xlfn.IFS(OR($M211="",$AS211=""),"",$C211="Joined",($AS211-$M211)-$AT211),"")</f>
        <v>134</v>
      </c>
      <c r="AY211" s="67" t="str">
        <f>IFERROR(IF(COUNTIFS('Candidate Tracker'!$E:$E,'Positions Tracker'!$B211,'Candidate Tracker'!$C:$C,"Offer Drop")=0,"",COUNTIFS('Candidate Tracker'!$E:$E,'Positions Tracker'!$B211,'Candidate Tracker'!$C:$C,"Offer Drop")),"")</f>
        <v/>
      </c>
      <c r="AZ211" s="80">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0.88111888111888115</v>
      </c>
      <c r="BA211" s="81" t="str">
        <f>IFERROR(IF(COUNTIFS('Candidate Tracker'!$E:$E,'Positions Tracker'!$B211,'Candidate Tracker'!$I:$I,"Female")=0,"",COUNTIFS('Candidate Tracker'!$E:$E,'Positions Tracker'!$B211,'Candidate Tracker'!$I:$I,"Female")),"")</f>
        <v/>
      </c>
      <c r="BB211" s="81" t="str">
        <f>IFERROR(IF(COUNTIFS('Candidate Tracker'!$E:$E,'Positions Tracker'!$B211,'Candidate Tracker'!$I:$I,"male")=0,"",COUNTIFS('Candidate Tracker'!$E:$E,'Positions Tracker'!$B211,'Candidate Tracker'!$I:$I,"male")),"")</f>
        <v/>
      </c>
      <c r="BC211" s="80" t="str">
        <f>IFERROR(IF(COUNTIFS('Candidate Tracker'!$E:$E,'Positions Tracker'!$B211,'Candidate Tracker'!$C:$C,"&lt;&gt;WIP",'Candidate Tracker'!$C:$C,"&lt;&gt;Hold",'Candidate Tracker'!$C:$C,"&lt;&gt;Cancelled",'Candidate Tracker'!$C:$C,"&lt;&gt;Closed")/COUNTIFS('Candidate Tracker'!$E:$E,'Positions Tracker'!$B211)=0,"",COUNTIFS('Candidate Tracker'!$E:$E,'Positions Tracker'!$B211,'Candidate Tracker'!$C:$C,"&lt;&gt;WIP",'Candidate Tracker'!$C:$C,"&lt;&gt;Hold",'Candidate Tracker'!$C:$C,"&lt;&gt;Cancelled",'Candidate Tracker'!$C:$C,"&lt;&gt;Closed")/COUNTIFS('Candidate Tracker'!$E:$E,'Positions Tracker'!$B211)),"")</f>
        <v/>
      </c>
      <c r="BD211" s="67" t="str">
        <f t="shared" si="17"/>
        <v>May-25</v>
      </c>
      <c r="BE211" s="67" t="str">
        <f t="shared" si="18"/>
        <v>Jun-25</v>
      </c>
      <c r="BF211" s="67" t="str">
        <f t="shared" si="19"/>
        <v>Jul-25</v>
      </c>
      <c r="BG211" s="67" t="str">
        <f t="shared" si="20"/>
        <v>Sep-25</v>
      </c>
    </row>
    <row r="212" spans="1:59">
      <c r="A212" s="67">
        <f t="shared" si="21"/>
        <v>211</v>
      </c>
      <c r="B212" s="67">
        <v>20256771</v>
      </c>
      <c r="C212" s="67" t="s">
        <v>116</v>
      </c>
      <c r="D212" s="67" t="s">
        <v>116</v>
      </c>
      <c r="E212" s="67" t="s">
        <v>906</v>
      </c>
      <c r="F212" s="67"/>
      <c r="G212" s="67" t="s">
        <v>3</v>
      </c>
      <c r="H212" s="67" t="s">
        <v>68</v>
      </c>
      <c r="I212" s="67" t="s">
        <v>89</v>
      </c>
      <c r="J212" s="67" t="s">
        <v>70</v>
      </c>
      <c r="K212" s="68">
        <v>45848</v>
      </c>
      <c r="L212" s="68">
        <v>45469</v>
      </c>
      <c r="M212" s="68">
        <v>45469</v>
      </c>
      <c r="N212" s="67" t="s">
        <v>82</v>
      </c>
      <c r="O212" s="68"/>
      <c r="P212" s="68"/>
      <c r="Q212" s="68"/>
      <c r="R212" s="68"/>
      <c r="S212" s="68"/>
      <c r="T212" s="68"/>
      <c r="U212" s="67"/>
      <c r="V212" s="67"/>
      <c r="W212" s="67"/>
      <c r="X212" s="67"/>
      <c r="Y212" s="67" t="s">
        <v>74</v>
      </c>
      <c r="Z212" s="67" t="s">
        <v>74</v>
      </c>
      <c r="AA212" s="67" t="s">
        <v>907</v>
      </c>
      <c r="AB212" s="67"/>
      <c r="AC212" s="67"/>
      <c r="AD212" s="67"/>
      <c r="AE212" s="67" t="s">
        <v>908</v>
      </c>
      <c r="AF212" s="67">
        <v>9887669947</v>
      </c>
      <c r="AG212" s="67" t="s">
        <v>909</v>
      </c>
      <c r="AH212" s="68" t="s">
        <v>123</v>
      </c>
      <c r="AI212" s="68">
        <v>45828</v>
      </c>
      <c r="AJ212" s="68">
        <v>45834</v>
      </c>
      <c r="AK212" s="67" t="s">
        <v>72</v>
      </c>
      <c r="AL212" s="67">
        <v>1200000</v>
      </c>
      <c r="AM212" s="68">
        <v>45834</v>
      </c>
      <c r="AN212" s="68">
        <v>45834</v>
      </c>
      <c r="AO212" s="68"/>
      <c r="AP212" s="68">
        <v>45835</v>
      </c>
      <c r="AQ212" s="68">
        <v>45835</v>
      </c>
      <c r="AR212" s="68">
        <v>45841</v>
      </c>
      <c r="AS212" s="68">
        <v>45852</v>
      </c>
      <c r="AT212" s="67">
        <f t="shared" ca="1" si="22"/>
        <v>0</v>
      </c>
      <c r="AU212" s="79" t="str">
        <f t="shared" ca="1" si="23"/>
        <v/>
      </c>
      <c r="AV212" s="79" t="str" cm="1">
        <f t="array" aca="1" ref="AV212" ca="1">IFERROR(_xlfn.IFS($AU212="","",$AU212&lt;=15,"0-15",AND($AU212&gt;=16,$AU212&lt;=30),"16-30",AND($AU212&gt;=31,$AU212&lt;=45),"31-45",AND($AU212&gt;=46,$AU212&lt;=60),"46-60",AND($AU212&gt;=61,$AU212&lt;=90),"61-90",AND($AU212&gt;=91),"&gt; 90",AND($AU212&gt;=2000),""),"")</f>
        <v/>
      </c>
      <c r="AW212" s="79" cm="1">
        <f t="array" aca="1" ref="AW212" ca="1">IFERROR(_xlfn.IFS(OR($M212="",$AM212=""),"",OR($C212="Offered",$C212="Joined"),($AM212-$M212)-$AT212),"")</f>
        <v>365</v>
      </c>
      <c r="AX212" s="79" cm="1">
        <f t="array" aca="1" ref="AX212" ca="1">IFERROR(_xlfn.IFS(OR($M212="",$AS212=""),"",$C212="Joined",($AS212-$M212)-$AT212),"")</f>
        <v>383</v>
      </c>
      <c r="AY212" s="67" t="str">
        <f>IFERROR(IF(COUNTIFS('Candidate Tracker'!$E:$E,'Positions Tracker'!$B212,'Candidate Tracker'!$C:$C,"Offer Drop")=0,"",COUNTIFS('Candidate Tracker'!$E:$E,'Positions Tracker'!$B212,'Candidate Tracker'!$C:$C,"Offer Drop")),"")</f>
        <v/>
      </c>
      <c r="AZ212" s="80">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0.88111888111888115</v>
      </c>
      <c r="BA212" s="81" t="str">
        <f>IFERROR(IF(COUNTIFS('Candidate Tracker'!$E:$E,'Positions Tracker'!$B212,'Candidate Tracker'!$I:$I,"Female")=0,"",COUNTIFS('Candidate Tracker'!$E:$E,'Positions Tracker'!$B212,'Candidate Tracker'!$I:$I,"Female")),"")</f>
        <v/>
      </c>
      <c r="BB212" s="81" t="str">
        <f>IFERROR(IF(COUNTIFS('Candidate Tracker'!$E:$E,'Positions Tracker'!$B212,'Candidate Tracker'!$I:$I,"male")=0,"",COUNTIFS('Candidate Tracker'!$E:$E,'Positions Tracker'!$B212,'Candidate Tracker'!$I:$I,"male")),"")</f>
        <v/>
      </c>
      <c r="BC212" s="80" t="str">
        <f>IFERROR(IF(COUNTIFS('Candidate Tracker'!$E:$E,'Positions Tracker'!$B212,'Candidate Tracker'!$C:$C,"&lt;&gt;WIP",'Candidate Tracker'!$C:$C,"&lt;&gt;Hold",'Candidate Tracker'!$C:$C,"&lt;&gt;Cancelled",'Candidate Tracker'!$C:$C,"&lt;&gt;Closed")/COUNTIFS('Candidate Tracker'!$E:$E,'Positions Tracker'!$B212)=0,"",COUNTIFS('Candidate Tracker'!$E:$E,'Positions Tracker'!$B212,'Candidate Tracker'!$C:$C,"&lt;&gt;WIP",'Candidate Tracker'!$C:$C,"&lt;&gt;Hold",'Candidate Tracker'!$C:$C,"&lt;&gt;Cancelled",'Candidate Tracker'!$C:$C,"&lt;&gt;Closed")/COUNTIFS('Candidate Tracker'!$E:$E,'Positions Tracker'!$B212)),"")</f>
        <v/>
      </c>
      <c r="BD212" s="67" t="str">
        <f t="shared" si="17"/>
        <v>Jun-24</v>
      </c>
      <c r="BE212" s="67" t="str">
        <f t="shared" si="18"/>
        <v>Jun-25</v>
      </c>
      <c r="BF212" s="67" t="str">
        <f t="shared" si="19"/>
        <v>Jun-25</v>
      </c>
      <c r="BG212" s="67" t="str">
        <f t="shared" si="20"/>
        <v>Jul-25</v>
      </c>
    </row>
    <row r="213" spans="1:59">
      <c r="A213" s="67">
        <f t="shared" si="21"/>
        <v>212</v>
      </c>
      <c r="B213" s="67">
        <v>20255335</v>
      </c>
      <c r="C213" s="67" t="s">
        <v>116</v>
      </c>
      <c r="D213" s="67" t="s">
        <v>116</v>
      </c>
      <c r="E213" s="67" t="s">
        <v>910</v>
      </c>
      <c r="F213" s="67" t="s">
        <v>430</v>
      </c>
      <c r="G213" s="67" t="s">
        <v>3</v>
      </c>
      <c r="H213" s="67" t="s">
        <v>68</v>
      </c>
      <c r="I213" s="67" t="s">
        <v>431</v>
      </c>
      <c r="J213" s="67" t="s">
        <v>70</v>
      </c>
      <c r="K213" s="68">
        <v>45485</v>
      </c>
      <c r="L213" s="68">
        <v>45850</v>
      </c>
      <c r="M213" s="68">
        <v>45820</v>
      </c>
      <c r="N213" s="67" t="s">
        <v>82</v>
      </c>
      <c r="O213" s="68"/>
      <c r="P213" s="68"/>
      <c r="Q213" s="68"/>
      <c r="R213" s="68"/>
      <c r="S213" s="68"/>
      <c r="T213" s="68"/>
      <c r="U213" s="67"/>
      <c r="V213" s="67"/>
      <c r="W213" s="67"/>
      <c r="X213" s="67"/>
      <c r="Y213" s="67" t="s">
        <v>282</v>
      </c>
      <c r="Z213" s="67" t="s">
        <v>282</v>
      </c>
      <c r="AA213" s="67" t="s">
        <v>911</v>
      </c>
      <c r="AB213" s="67"/>
      <c r="AC213" s="67"/>
      <c r="AD213" s="67"/>
      <c r="AE213" s="67" t="s">
        <v>912</v>
      </c>
      <c r="AF213" s="67">
        <v>7776882724</v>
      </c>
      <c r="AG213" s="67" t="s">
        <v>913</v>
      </c>
      <c r="AH213" s="68" t="s">
        <v>123</v>
      </c>
      <c r="AI213" s="68">
        <v>45838</v>
      </c>
      <c r="AJ213" s="68">
        <v>45845</v>
      </c>
      <c r="AK213" s="67" t="s">
        <v>72</v>
      </c>
      <c r="AL213" s="67">
        <v>1200000</v>
      </c>
      <c r="AM213" s="68">
        <v>45846</v>
      </c>
      <c r="AN213" s="68">
        <v>45848</v>
      </c>
      <c r="AO213" s="68"/>
      <c r="AP213" s="68"/>
      <c r="AQ213" s="68"/>
      <c r="AR213" s="68"/>
      <c r="AS213" s="68">
        <v>45852</v>
      </c>
      <c r="AT213" s="67">
        <f t="shared" ca="1" si="22"/>
        <v>0</v>
      </c>
      <c r="AU213" s="79" t="str">
        <f t="shared" ca="1" si="23"/>
        <v/>
      </c>
      <c r="AV213" s="79" t="str" cm="1">
        <f t="array" aca="1" ref="AV213" ca="1">IFERROR(_xlfn.IFS($AU213="","",$AU213&lt;=15,"0-15",AND($AU213&gt;=16,$AU213&lt;=30),"16-30",AND($AU213&gt;=31,$AU213&lt;=45),"31-45",AND($AU213&gt;=46,$AU213&lt;=60),"46-60",AND($AU213&gt;=61,$AU213&lt;=90),"61-90",AND($AU213&gt;=91),"&gt; 90",AND($AU213&gt;=2000),""),"")</f>
        <v/>
      </c>
      <c r="AW213" s="79" cm="1">
        <f t="array" aca="1" ref="AW213" ca="1">IFERROR(_xlfn.IFS(OR($M213="",$AM213=""),"",OR($C213="Offered",$C213="Joined"),($AM213-$M213)-$AT213),"")</f>
        <v>26</v>
      </c>
      <c r="AX213" s="79" cm="1">
        <f t="array" aca="1" ref="AX213" ca="1">IFERROR(_xlfn.IFS(OR($M213="",$AS213=""),"",$C213="Joined",($AS213-$M213)-$AT213),"")</f>
        <v>32</v>
      </c>
      <c r="AY213" s="67" t="str">
        <f>IFERROR(IF(COUNTIFS('Candidate Tracker'!$E:$E,'Positions Tracker'!$B213,'Candidate Tracker'!$C:$C,"Offer Drop")=0,"",COUNTIFS('Candidate Tracker'!$E:$E,'Positions Tracker'!$B213,'Candidate Tracker'!$C:$C,"Offer Drop")),"")</f>
        <v/>
      </c>
      <c r="AZ213" s="80">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0.88111888111888115</v>
      </c>
      <c r="BA213" s="81" t="str">
        <f>IFERROR(IF(COUNTIFS('Candidate Tracker'!$E:$E,'Positions Tracker'!$B213,'Candidate Tracker'!$I:$I,"Female")=0,"",COUNTIFS('Candidate Tracker'!$E:$E,'Positions Tracker'!$B213,'Candidate Tracker'!$I:$I,"Female")),"")</f>
        <v/>
      </c>
      <c r="BB213" s="81" t="str">
        <f>IFERROR(IF(COUNTIFS('Candidate Tracker'!$E:$E,'Positions Tracker'!$B213,'Candidate Tracker'!$I:$I,"male")=0,"",COUNTIFS('Candidate Tracker'!$E:$E,'Positions Tracker'!$B213,'Candidate Tracker'!$I:$I,"male")),"")</f>
        <v/>
      </c>
      <c r="BC213" s="80" t="str">
        <f>IFERROR(IF(COUNTIFS('Candidate Tracker'!$E:$E,'Positions Tracker'!$B213,'Candidate Tracker'!$C:$C,"&lt;&gt;WIP",'Candidate Tracker'!$C:$C,"&lt;&gt;Hold",'Candidate Tracker'!$C:$C,"&lt;&gt;Cancelled",'Candidate Tracker'!$C:$C,"&lt;&gt;Closed")/COUNTIFS('Candidate Tracker'!$E:$E,'Positions Tracker'!$B213)=0,"",COUNTIFS('Candidate Tracker'!$E:$E,'Positions Tracker'!$B213,'Candidate Tracker'!$C:$C,"&lt;&gt;WIP",'Candidate Tracker'!$C:$C,"&lt;&gt;Hold",'Candidate Tracker'!$C:$C,"&lt;&gt;Cancelled",'Candidate Tracker'!$C:$C,"&lt;&gt;Closed")/COUNTIFS('Candidate Tracker'!$E:$E,'Positions Tracker'!$B213)),"")</f>
        <v/>
      </c>
      <c r="BD213" s="67" t="str">
        <f t="shared" si="17"/>
        <v>Jun-25</v>
      </c>
      <c r="BE213" s="67" t="str">
        <f t="shared" si="18"/>
        <v>Jun-25</v>
      </c>
      <c r="BF213" s="67" t="str">
        <f t="shared" si="19"/>
        <v>Jul-25</v>
      </c>
      <c r="BG213" s="67" t="str">
        <f t="shared" si="20"/>
        <v>Jul-25</v>
      </c>
    </row>
    <row r="214" spans="1:59">
      <c r="A214" s="67">
        <f t="shared" si="21"/>
        <v>213</v>
      </c>
      <c r="B214" s="67">
        <v>20256678</v>
      </c>
      <c r="C214" s="67" t="s">
        <v>116</v>
      </c>
      <c r="D214" s="67" t="s">
        <v>116</v>
      </c>
      <c r="E214" s="67" t="s">
        <v>914</v>
      </c>
      <c r="F214" s="67" t="s">
        <v>915</v>
      </c>
      <c r="G214" s="67" t="s">
        <v>3</v>
      </c>
      <c r="H214" s="67" t="s">
        <v>374</v>
      </c>
      <c r="I214" s="67" t="s">
        <v>916</v>
      </c>
      <c r="J214" s="67" t="s">
        <v>70</v>
      </c>
      <c r="K214" s="68">
        <v>45848</v>
      </c>
      <c r="L214" s="68">
        <v>45848</v>
      </c>
      <c r="M214" s="68">
        <v>45848</v>
      </c>
      <c r="N214" s="67" t="s">
        <v>153</v>
      </c>
      <c r="O214" s="68"/>
      <c r="P214" s="68"/>
      <c r="Q214" s="68"/>
      <c r="R214" s="68"/>
      <c r="S214" s="68"/>
      <c r="T214" s="68"/>
      <c r="U214" s="67"/>
      <c r="V214" s="67"/>
      <c r="W214" s="67"/>
      <c r="X214" s="67" t="s">
        <v>72</v>
      </c>
      <c r="Y214" s="67" t="s">
        <v>73</v>
      </c>
      <c r="Z214" s="67" t="s">
        <v>73</v>
      </c>
      <c r="AA214" s="67" t="s">
        <v>917</v>
      </c>
      <c r="AB214" s="67"/>
      <c r="AC214" s="67"/>
      <c r="AD214" s="67"/>
      <c r="AE214" s="67" t="s">
        <v>918</v>
      </c>
      <c r="AF214" s="67">
        <v>7350896820</v>
      </c>
      <c r="AG214" s="67" t="s">
        <v>919</v>
      </c>
      <c r="AH214" s="68" t="s">
        <v>123</v>
      </c>
      <c r="AI214" s="68">
        <v>45831</v>
      </c>
      <c r="AJ214" s="68">
        <v>45856</v>
      </c>
      <c r="AK214" s="67" t="s">
        <v>72</v>
      </c>
      <c r="AL214" s="67">
        <v>2289225</v>
      </c>
      <c r="AM214" s="68">
        <v>45854</v>
      </c>
      <c r="AN214" s="68">
        <v>45856</v>
      </c>
      <c r="AO214" s="68" t="s">
        <v>858</v>
      </c>
      <c r="AP214" s="68">
        <v>45860</v>
      </c>
      <c r="AQ214" s="68">
        <v>45871</v>
      </c>
      <c r="AR214" s="68" t="s">
        <v>858</v>
      </c>
      <c r="AS214" s="68">
        <v>45943</v>
      </c>
      <c r="AT214" s="67">
        <f t="shared" ca="1" si="22"/>
        <v>0</v>
      </c>
      <c r="AU214" s="79" t="str">
        <f t="shared" ca="1" si="23"/>
        <v/>
      </c>
      <c r="AV214" s="79" t="str" cm="1">
        <f t="array" aca="1" ref="AV214" ca="1">IFERROR(_xlfn.IFS($AU214="","",$AU214&lt;=15,"0-15",AND($AU214&gt;=16,$AU214&lt;=30),"16-30",AND($AU214&gt;=31,$AU214&lt;=45),"31-45",AND($AU214&gt;=46,$AU214&lt;=60),"46-60",AND($AU214&gt;=61,$AU214&lt;=90),"61-90",AND($AU214&gt;=91),"&gt; 90",AND($AU214&gt;=2000),""),"")</f>
        <v/>
      </c>
      <c r="AW214" s="79" cm="1">
        <f t="array" aca="1" ref="AW214" ca="1">IFERROR(_xlfn.IFS(OR($M214="",$AM214=""),"",OR($C214="Offered",$C214="Joined"),($AM214-$M214)-$AT214),"")</f>
        <v>6</v>
      </c>
      <c r="AX214" s="79" cm="1">
        <f t="array" aca="1" ref="AX214" ca="1">IFERROR(_xlfn.IFS(OR($M214="",$AS214=""),"",$C214="Joined",($AS214-$M214)-$AT214),"")</f>
        <v>95</v>
      </c>
      <c r="AY214" s="67" t="str">
        <f>IFERROR(IF(COUNTIFS('Candidate Tracker'!$E:$E,'Positions Tracker'!$B214,'Candidate Tracker'!$C:$C,"Offer Drop")=0,"",COUNTIFS('Candidate Tracker'!$E:$E,'Positions Tracker'!$B214,'Candidate Tracker'!$C:$C,"Offer Drop")),"")</f>
        <v/>
      </c>
      <c r="AZ214" s="80">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0.88111888111888115</v>
      </c>
      <c r="BA214" s="81" t="str">
        <f>IFERROR(IF(COUNTIFS('Candidate Tracker'!$E:$E,'Positions Tracker'!$B214,'Candidate Tracker'!$I:$I,"Female")=0,"",COUNTIFS('Candidate Tracker'!$E:$E,'Positions Tracker'!$B214,'Candidate Tracker'!$I:$I,"Female")),"")</f>
        <v/>
      </c>
      <c r="BB214" s="81" t="str">
        <f>IFERROR(IF(COUNTIFS('Candidate Tracker'!$E:$E,'Positions Tracker'!$B214,'Candidate Tracker'!$I:$I,"male")=0,"",COUNTIFS('Candidate Tracker'!$E:$E,'Positions Tracker'!$B214,'Candidate Tracker'!$I:$I,"male")),"")</f>
        <v/>
      </c>
      <c r="BC214" s="80" t="str">
        <f>IFERROR(IF(COUNTIFS('Candidate Tracker'!$E:$E,'Positions Tracker'!$B214,'Candidate Tracker'!$C:$C,"&lt;&gt;WIP",'Candidate Tracker'!$C:$C,"&lt;&gt;Hold",'Candidate Tracker'!$C:$C,"&lt;&gt;Cancelled",'Candidate Tracker'!$C:$C,"&lt;&gt;Closed")/COUNTIFS('Candidate Tracker'!$E:$E,'Positions Tracker'!$B214)=0,"",COUNTIFS('Candidate Tracker'!$E:$E,'Positions Tracker'!$B214,'Candidate Tracker'!$C:$C,"&lt;&gt;WIP",'Candidate Tracker'!$C:$C,"&lt;&gt;Hold",'Candidate Tracker'!$C:$C,"&lt;&gt;Cancelled",'Candidate Tracker'!$C:$C,"&lt;&gt;Closed")/COUNTIFS('Candidate Tracker'!$E:$E,'Positions Tracker'!$B214)),"")</f>
        <v/>
      </c>
      <c r="BD214" s="67" t="str">
        <f t="shared" si="17"/>
        <v>Jul-25</v>
      </c>
      <c r="BE214" s="67" t="str">
        <f t="shared" si="18"/>
        <v>Jun-25</v>
      </c>
      <c r="BF214" s="67" t="str">
        <f t="shared" si="19"/>
        <v>Jul-25</v>
      </c>
      <c r="BG214" s="67" t="str">
        <f t="shared" si="20"/>
        <v>Oct-25</v>
      </c>
    </row>
    <row r="215" spans="1:59">
      <c r="A215" s="67">
        <f t="shared" si="21"/>
        <v>214</v>
      </c>
      <c r="B215" s="67">
        <v>20256964</v>
      </c>
      <c r="C215" s="67" t="s">
        <v>2</v>
      </c>
      <c r="D215" s="67" t="s">
        <v>845</v>
      </c>
      <c r="E215" s="67" t="s">
        <v>920</v>
      </c>
      <c r="F215" s="67" t="s">
        <v>921</v>
      </c>
      <c r="G215" s="67" t="s">
        <v>3</v>
      </c>
      <c r="H215" s="67" t="s">
        <v>68</v>
      </c>
      <c r="I215" s="67" t="s">
        <v>922</v>
      </c>
      <c r="J215" s="67" t="s">
        <v>70</v>
      </c>
      <c r="K215" s="68">
        <v>45873</v>
      </c>
      <c r="L215" s="68">
        <v>45870</v>
      </c>
      <c r="M215" s="68">
        <v>45875</v>
      </c>
      <c r="N215" s="67" t="s">
        <v>153</v>
      </c>
      <c r="O215" s="68"/>
      <c r="P215" s="68"/>
      <c r="Q215" s="68"/>
      <c r="R215" s="68"/>
      <c r="S215" s="68"/>
      <c r="T215" s="68"/>
      <c r="U215" s="67"/>
      <c r="V215" s="67"/>
      <c r="W215" s="67"/>
      <c r="X215" s="67" t="s">
        <v>923</v>
      </c>
      <c r="Y215" s="67" t="s">
        <v>282</v>
      </c>
      <c r="Z215" s="67" t="s">
        <v>282</v>
      </c>
      <c r="AA215" s="67" t="s">
        <v>924</v>
      </c>
      <c r="AB215" s="67"/>
      <c r="AC215" s="67"/>
      <c r="AD215" s="67"/>
      <c r="AE215" s="67"/>
      <c r="AF215" s="67"/>
      <c r="AG215" s="67"/>
      <c r="AH215" s="68"/>
      <c r="AI215" s="68"/>
      <c r="AJ215" s="68"/>
      <c r="AK215" s="67"/>
      <c r="AL215" s="67"/>
      <c r="AM215" s="68"/>
      <c r="AN215" s="68"/>
      <c r="AO215" s="68"/>
      <c r="AP215" s="68"/>
      <c r="AQ215" s="68"/>
      <c r="AR215" s="68"/>
      <c r="AS215" s="68"/>
      <c r="AT215" s="67">
        <f t="shared" ca="1" si="22"/>
        <v>0</v>
      </c>
      <c r="AU215" s="79">
        <f t="shared" ca="1" si="23"/>
        <v>126</v>
      </c>
      <c r="AV215" s="79" t="str" cm="1">
        <f t="array" aca="1" ref="AV215" ca="1">IFERROR(_xlfn.IFS($AU215="","",$AU215&lt;=15,"0-15",AND($AU215&gt;=16,$AU215&lt;=30),"16-30",AND($AU215&gt;=31,$AU215&lt;=45),"31-45",AND($AU215&gt;=46,$AU215&lt;=60),"46-60",AND($AU215&gt;=61,$AU215&lt;=90),"61-90",AND($AU215&gt;=91),"&gt; 90",AND($AU215&gt;=2000),""),"")</f>
        <v>&gt; 90</v>
      </c>
      <c r="AW215" s="79" t="str" cm="1">
        <f t="array" aca="1" ref="AW215" ca="1">IFERROR(_xlfn.IFS(OR($M215="",$AM215=""),"",OR($C215="Offered",$C215="Joined"),($AM215-$M215)-$AT215),"")</f>
        <v/>
      </c>
      <c r="AX215" s="79" t="str" cm="1">
        <f t="array" aca="1" ref="AX215" ca="1">IFERROR(_xlfn.IFS(OR($M215="",$AS215=""),"",$C215="Joined",($AS215-$M215)-$AT215),"")</f>
        <v/>
      </c>
      <c r="AY215" s="67" t="str">
        <f>IFERROR(IF(COUNTIFS('Candidate Tracker'!$E:$E,'Positions Tracker'!$B215,'Candidate Tracker'!$C:$C,"Offer Drop")=0,"",COUNTIFS('Candidate Tracker'!$E:$E,'Positions Tracker'!$B215,'Candidate Tracker'!$C:$C,"Offer Drop")),"")</f>
        <v/>
      </c>
      <c r="AZ215" s="80">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0.88111888111888115</v>
      </c>
      <c r="BA215" s="81" t="str">
        <f>IFERROR(IF(COUNTIFS('Candidate Tracker'!$E:$E,'Positions Tracker'!$B215,'Candidate Tracker'!$I:$I,"Female")=0,"",COUNTIFS('Candidate Tracker'!$E:$E,'Positions Tracker'!$B215,'Candidate Tracker'!$I:$I,"Female")),"")</f>
        <v/>
      </c>
      <c r="BB215" s="81" t="str">
        <f>IFERROR(IF(COUNTIFS('Candidate Tracker'!$E:$E,'Positions Tracker'!$B215,'Candidate Tracker'!$I:$I,"male")=0,"",COUNTIFS('Candidate Tracker'!$E:$E,'Positions Tracker'!$B215,'Candidate Tracker'!$I:$I,"male")),"")</f>
        <v/>
      </c>
      <c r="BC215" s="80" t="str">
        <f>IFERROR(IF(COUNTIFS('Candidate Tracker'!$E:$E,'Positions Tracker'!$B215,'Candidate Tracker'!$C:$C,"&lt;&gt;WIP",'Candidate Tracker'!$C:$C,"&lt;&gt;Hold",'Candidate Tracker'!$C:$C,"&lt;&gt;Cancelled",'Candidate Tracker'!$C:$C,"&lt;&gt;Closed")/COUNTIFS('Candidate Tracker'!$E:$E,'Positions Tracker'!$B215)=0,"",COUNTIFS('Candidate Tracker'!$E:$E,'Positions Tracker'!$B215,'Candidate Tracker'!$C:$C,"&lt;&gt;WIP",'Candidate Tracker'!$C:$C,"&lt;&gt;Hold",'Candidate Tracker'!$C:$C,"&lt;&gt;Cancelled",'Candidate Tracker'!$C:$C,"&lt;&gt;Closed")/COUNTIFS('Candidate Tracker'!$E:$E,'Positions Tracker'!$B215)),"")</f>
        <v/>
      </c>
      <c r="BD215" s="67" t="str">
        <f t="shared" si="17"/>
        <v>Aug-25</v>
      </c>
      <c r="BE215" s="67" t="str">
        <f t="shared" si="18"/>
        <v/>
      </c>
      <c r="BF215" s="67" t="str">
        <f t="shared" si="19"/>
        <v/>
      </c>
      <c r="BG215" s="67" t="str">
        <f t="shared" si="20"/>
        <v/>
      </c>
    </row>
    <row r="216" spans="1:59">
      <c r="A216" s="67">
        <f t="shared" si="21"/>
        <v>215</v>
      </c>
      <c r="B216" s="67">
        <v>20257257</v>
      </c>
      <c r="C216" s="67" t="s">
        <v>400</v>
      </c>
      <c r="D216" s="67" t="s">
        <v>116</v>
      </c>
      <c r="E216" s="67" t="s">
        <v>925</v>
      </c>
      <c r="F216" s="67" t="s">
        <v>926</v>
      </c>
      <c r="G216" s="67" t="s">
        <v>1</v>
      </c>
      <c r="H216" s="67" t="s">
        <v>612</v>
      </c>
      <c r="I216" s="67" t="s">
        <v>927</v>
      </c>
      <c r="J216" s="67" t="s">
        <v>853</v>
      </c>
      <c r="K216" s="68">
        <v>45861</v>
      </c>
      <c r="L216" s="68">
        <v>45860</v>
      </c>
      <c r="M216" s="68">
        <v>45861</v>
      </c>
      <c r="N216" s="67" t="s">
        <v>827</v>
      </c>
      <c r="O216" s="68"/>
      <c r="P216" s="68"/>
      <c r="Q216" s="68"/>
      <c r="R216" s="68"/>
      <c r="S216" s="68"/>
      <c r="T216" s="68"/>
      <c r="U216" s="67"/>
      <c r="V216" s="67"/>
      <c r="W216" s="67"/>
      <c r="X216" s="67" t="s">
        <v>72</v>
      </c>
      <c r="Y216" s="67" t="s">
        <v>73</v>
      </c>
      <c r="Z216" s="67" t="s">
        <v>73</v>
      </c>
      <c r="AA216" s="67" t="s">
        <v>928</v>
      </c>
      <c r="AB216" s="67"/>
      <c r="AC216" s="67"/>
      <c r="AD216" s="67"/>
      <c r="AE216" s="109" t="s">
        <v>929</v>
      </c>
      <c r="AF216" s="107">
        <v>9922774823</v>
      </c>
      <c r="AG216" s="101" t="s">
        <v>930</v>
      </c>
      <c r="AH216" s="68" t="s">
        <v>123</v>
      </c>
      <c r="AI216" s="68">
        <v>45888</v>
      </c>
      <c r="AJ216" s="68">
        <v>45905</v>
      </c>
      <c r="AK216" s="67" t="s">
        <v>72</v>
      </c>
      <c r="AL216" s="114">
        <v>658933</v>
      </c>
      <c r="AM216" s="68">
        <v>45889</v>
      </c>
      <c r="AN216" s="68">
        <v>45905</v>
      </c>
      <c r="AO216" s="68" t="s">
        <v>858</v>
      </c>
      <c r="AP216" s="68">
        <v>45912</v>
      </c>
      <c r="AQ216" s="68">
        <v>45916</v>
      </c>
      <c r="AR216" s="68" t="s">
        <v>858</v>
      </c>
      <c r="AS216" s="68">
        <v>45964</v>
      </c>
      <c r="AT216" s="67">
        <f t="shared" ca="1" si="22"/>
        <v>0</v>
      </c>
      <c r="AU216" s="79" t="str">
        <f t="shared" ca="1" si="23"/>
        <v/>
      </c>
      <c r="AV216" s="79" t="str" cm="1">
        <f t="array" aca="1" ref="AV216" ca="1">IFERROR(_xlfn.IFS($AU216="","",$AU216&lt;=15,"0-15",AND($AU216&gt;=16,$AU216&lt;=30),"16-30",AND($AU216&gt;=31,$AU216&lt;=45),"31-45",AND($AU216&gt;=46,$AU216&lt;=60),"46-60",AND($AU216&gt;=61,$AU216&lt;=90),"61-90",AND($AU216&gt;=91),"&gt; 90",AND($AU216&gt;=2000),""),"")</f>
        <v/>
      </c>
      <c r="AW216" s="79" cm="1">
        <f t="array" aca="1" ref="AW216" ca="1">IFERROR(_xlfn.IFS(OR($M216="",$AM216=""),"",OR($C216="Offered",$C216="Joined"),($AM216-$M216)-$AT216),"")</f>
        <v>28</v>
      </c>
      <c r="AX216" s="79" t="str" cm="1">
        <f t="array" aca="1" ref="AX216" ca="1">IFERROR(_xlfn.IFS(OR($M216="",$AS216=""),"",$C216="Joined",($AS216-$M216)-$AT216),"")</f>
        <v/>
      </c>
      <c r="AY216" s="67" t="str">
        <f>IFERROR(IF(COUNTIFS('Candidate Tracker'!$E:$E,'Positions Tracker'!$B216,'Candidate Tracker'!$C:$C,"Offer Drop")=0,"",COUNTIFS('Candidate Tracker'!$E:$E,'Positions Tracker'!$B216,'Candidate Tracker'!$C:$C,"Offer Drop")),"")</f>
        <v/>
      </c>
      <c r="AZ216" s="80">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0.88111888111888115</v>
      </c>
      <c r="BA216" s="81" t="str">
        <f>IFERROR(IF(COUNTIFS('Candidate Tracker'!$E:$E,'Positions Tracker'!$B216,'Candidate Tracker'!$I:$I,"Female")=0,"",COUNTIFS('Candidate Tracker'!$E:$E,'Positions Tracker'!$B216,'Candidate Tracker'!$I:$I,"Female")),"")</f>
        <v/>
      </c>
      <c r="BB216" s="81" t="str">
        <f>IFERROR(IF(COUNTIFS('Candidate Tracker'!$E:$E,'Positions Tracker'!$B216,'Candidate Tracker'!$I:$I,"male")=0,"",COUNTIFS('Candidate Tracker'!$E:$E,'Positions Tracker'!$B216,'Candidate Tracker'!$I:$I,"male")),"")</f>
        <v/>
      </c>
      <c r="BC216" s="80" t="str">
        <f>IFERROR(IF(COUNTIFS('Candidate Tracker'!$E:$E,'Positions Tracker'!$B216,'Candidate Tracker'!$C:$C,"&lt;&gt;WIP",'Candidate Tracker'!$C:$C,"&lt;&gt;Hold",'Candidate Tracker'!$C:$C,"&lt;&gt;Cancelled",'Candidate Tracker'!$C:$C,"&lt;&gt;Closed")/COUNTIFS('Candidate Tracker'!$E:$E,'Positions Tracker'!$B216)=0,"",COUNTIFS('Candidate Tracker'!$E:$E,'Positions Tracker'!$B216,'Candidate Tracker'!$C:$C,"&lt;&gt;WIP",'Candidate Tracker'!$C:$C,"&lt;&gt;Hold",'Candidate Tracker'!$C:$C,"&lt;&gt;Cancelled",'Candidate Tracker'!$C:$C,"&lt;&gt;Closed")/COUNTIFS('Candidate Tracker'!$E:$E,'Positions Tracker'!$B216)),"")</f>
        <v/>
      </c>
      <c r="BD216" s="67" t="str">
        <f t="shared" si="17"/>
        <v>Jul-25</v>
      </c>
      <c r="BE216" s="67" t="str">
        <f t="shared" si="18"/>
        <v>Aug-25</v>
      </c>
      <c r="BF216" s="67" t="str">
        <f t="shared" si="19"/>
        <v>Aug-25</v>
      </c>
      <c r="BG216" s="67" t="str">
        <f t="shared" si="20"/>
        <v>Nov-25</v>
      </c>
    </row>
    <row r="217" spans="1:59">
      <c r="A217" s="67">
        <f t="shared" si="21"/>
        <v>216</v>
      </c>
      <c r="B217" s="67">
        <v>20257309</v>
      </c>
      <c r="C217" s="67" t="s">
        <v>809</v>
      </c>
      <c r="D217" s="67" t="s">
        <v>786</v>
      </c>
      <c r="E217" s="67" t="s">
        <v>899</v>
      </c>
      <c r="F217" s="67" t="s">
        <v>926</v>
      </c>
      <c r="G217" s="67" t="s">
        <v>1</v>
      </c>
      <c r="H217" s="67" t="s">
        <v>612</v>
      </c>
      <c r="I217" s="67" t="s">
        <v>931</v>
      </c>
      <c r="J217" s="67" t="s">
        <v>70</v>
      </c>
      <c r="K217" s="68">
        <v>45861</v>
      </c>
      <c r="L217" s="68">
        <v>45858</v>
      </c>
      <c r="M217" s="68">
        <v>45861</v>
      </c>
      <c r="N217" s="67" t="s">
        <v>162</v>
      </c>
      <c r="O217" s="68"/>
      <c r="P217" s="68"/>
      <c r="Q217" s="68"/>
      <c r="R217" s="68"/>
      <c r="S217" s="68"/>
      <c r="T217" s="68"/>
      <c r="U217" s="67"/>
      <c r="V217" s="67"/>
      <c r="W217" s="67"/>
      <c r="X217" s="67" t="s">
        <v>72</v>
      </c>
      <c r="Y217" s="67" t="s">
        <v>73</v>
      </c>
      <c r="Z217" s="67" t="s">
        <v>73</v>
      </c>
      <c r="AA217" s="67" t="s">
        <v>932</v>
      </c>
      <c r="AB217" s="67"/>
      <c r="AC217" s="67"/>
      <c r="AD217" s="67"/>
      <c r="AE217" s="67"/>
      <c r="AF217" s="108"/>
      <c r="AG217" s="67"/>
      <c r="AH217" s="68"/>
      <c r="AI217" s="68"/>
      <c r="AJ217" s="68"/>
      <c r="AK217" s="67"/>
      <c r="AL217" s="67"/>
      <c r="AM217" s="68"/>
      <c r="AN217" s="68"/>
      <c r="AO217" s="68"/>
      <c r="AP217" s="68"/>
      <c r="AQ217" s="68"/>
      <c r="AR217" s="68"/>
      <c r="AS217" s="68"/>
      <c r="AT217" s="67">
        <f t="shared" ca="1" si="22"/>
        <v>0</v>
      </c>
      <c r="AU217" s="79" t="str">
        <f t="shared" ca="1" si="23"/>
        <v/>
      </c>
      <c r="AV217" s="79" t="str" cm="1">
        <f t="array" aca="1" ref="AV217" ca="1">IFERROR(_xlfn.IFS($AU217="","",$AU217&lt;=15,"0-15",AND($AU217&gt;=16,$AU217&lt;=30),"16-30",AND($AU217&gt;=31,$AU217&lt;=45),"31-45",AND($AU217&gt;=46,$AU217&lt;=60),"46-60",AND($AU217&gt;=61,$AU217&lt;=90),"61-90",AND($AU217&gt;=91),"&gt; 90",AND($AU217&gt;=2000),""),"")</f>
        <v/>
      </c>
      <c r="AW217" s="79" t="str" cm="1">
        <f t="array" aca="1" ref="AW217" ca="1">IFERROR(_xlfn.IFS(OR($M217="",$AM217=""),"",OR($C217="Offered",$C217="Joined"),($AM217-$M217)-$AT217),"")</f>
        <v/>
      </c>
      <c r="AX217" s="79" t="str" cm="1">
        <f t="array" aca="1" ref="AX217" ca="1">IFERROR(_xlfn.IFS(OR($M217="",$AS217=""),"",$C217="Joined",($AS217-$M217)-$AT217),"")</f>
        <v/>
      </c>
      <c r="AY217" s="67" t="str">
        <f>IFERROR(IF(COUNTIFS('Candidate Tracker'!$E:$E,'Positions Tracker'!$B217,'Candidate Tracker'!$C:$C,"Offer Drop")=0,"",COUNTIFS('Candidate Tracker'!$E:$E,'Positions Tracker'!$B217,'Candidate Tracker'!$C:$C,"Offer Drop")),"")</f>
        <v/>
      </c>
      <c r="AZ217" s="80">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0.88111888111888115</v>
      </c>
      <c r="BA217" s="81" t="str">
        <f>IFERROR(IF(COUNTIFS('Candidate Tracker'!$E:$E,'Positions Tracker'!$B217,'Candidate Tracker'!$I:$I,"Female")=0,"",COUNTIFS('Candidate Tracker'!$E:$E,'Positions Tracker'!$B217,'Candidate Tracker'!$I:$I,"Female")),"")</f>
        <v/>
      </c>
      <c r="BB217" s="81" t="str">
        <f>IFERROR(IF(COUNTIFS('Candidate Tracker'!$E:$E,'Positions Tracker'!$B217,'Candidate Tracker'!$I:$I,"male")=0,"",COUNTIFS('Candidate Tracker'!$E:$E,'Positions Tracker'!$B217,'Candidate Tracker'!$I:$I,"male")),"")</f>
        <v/>
      </c>
      <c r="BC217" s="80" t="str">
        <f>IFERROR(IF(COUNTIFS('Candidate Tracker'!$E:$E,'Positions Tracker'!$B217,'Candidate Tracker'!$C:$C,"&lt;&gt;WIP",'Candidate Tracker'!$C:$C,"&lt;&gt;Hold",'Candidate Tracker'!$C:$C,"&lt;&gt;Cancelled",'Candidate Tracker'!$C:$C,"&lt;&gt;Closed")/COUNTIFS('Candidate Tracker'!$E:$E,'Positions Tracker'!$B217)=0,"",COUNTIFS('Candidate Tracker'!$E:$E,'Positions Tracker'!$B217,'Candidate Tracker'!$C:$C,"&lt;&gt;WIP",'Candidate Tracker'!$C:$C,"&lt;&gt;Hold",'Candidate Tracker'!$C:$C,"&lt;&gt;Cancelled",'Candidate Tracker'!$C:$C,"&lt;&gt;Closed")/COUNTIFS('Candidate Tracker'!$E:$E,'Positions Tracker'!$B217)),"")</f>
        <v/>
      </c>
      <c r="BD217" s="67" t="str">
        <f t="shared" si="17"/>
        <v>Jul-25</v>
      </c>
      <c r="BE217" s="67" t="str">
        <f t="shared" si="18"/>
        <v/>
      </c>
      <c r="BF217" s="67" t="str">
        <f t="shared" si="19"/>
        <v/>
      </c>
      <c r="BG217" s="67" t="str">
        <f t="shared" si="20"/>
        <v/>
      </c>
    </row>
    <row r="218" spans="1:59">
      <c r="A218" s="67">
        <f t="shared" si="21"/>
        <v>217</v>
      </c>
      <c r="B218" s="67">
        <v>20257438</v>
      </c>
      <c r="C218" s="67" t="s">
        <v>809</v>
      </c>
      <c r="D218" s="67" t="s">
        <v>786</v>
      </c>
      <c r="E218" s="67" t="s">
        <v>933</v>
      </c>
      <c r="F218" s="67" t="s">
        <v>934</v>
      </c>
      <c r="G218" s="67" t="s">
        <v>1</v>
      </c>
      <c r="H218" s="67" t="s">
        <v>612</v>
      </c>
      <c r="I218" s="67" t="s">
        <v>935</v>
      </c>
      <c r="J218" s="67" t="s">
        <v>70</v>
      </c>
      <c r="K218" s="68">
        <v>45863</v>
      </c>
      <c r="L218" s="68">
        <v>45860</v>
      </c>
      <c r="M218" s="68">
        <v>45863</v>
      </c>
      <c r="N218" s="67" t="s">
        <v>136</v>
      </c>
      <c r="O218" s="68"/>
      <c r="P218" s="68"/>
      <c r="Q218" s="68"/>
      <c r="R218" s="68"/>
      <c r="S218" s="68"/>
      <c r="T218" s="68"/>
      <c r="U218" s="67"/>
      <c r="V218" s="67"/>
      <c r="W218" s="67"/>
      <c r="X218" s="67" t="s">
        <v>708</v>
      </c>
      <c r="Y218" s="67" t="s">
        <v>73</v>
      </c>
      <c r="Z218" s="67" t="s">
        <v>73</v>
      </c>
      <c r="AA218" s="67" t="s">
        <v>936</v>
      </c>
      <c r="AB218" s="67"/>
      <c r="AC218" s="67"/>
      <c r="AD218" s="67"/>
      <c r="AE218" s="67"/>
      <c r="AF218" s="67"/>
      <c r="AG218" s="67"/>
      <c r="AH218" s="68"/>
      <c r="AI218" s="68"/>
      <c r="AJ218" s="68"/>
      <c r="AK218" s="67"/>
      <c r="AL218" s="67"/>
      <c r="AM218" s="68"/>
      <c r="AN218" s="68"/>
      <c r="AO218" s="68"/>
      <c r="AP218" s="68"/>
      <c r="AQ218" s="68"/>
      <c r="AR218" s="68"/>
      <c r="AS218" s="68"/>
      <c r="AT218" s="67">
        <f t="shared" ca="1" si="22"/>
        <v>0</v>
      </c>
      <c r="AU218" s="79" t="str">
        <f t="shared" ca="1" si="23"/>
        <v/>
      </c>
      <c r="AV218" s="79" t="str" cm="1">
        <f t="array" aca="1" ref="AV218" ca="1">IFERROR(_xlfn.IFS($AU218="","",$AU218&lt;=15,"0-15",AND($AU218&gt;=16,$AU218&lt;=30),"16-30",AND($AU218&gt;=31,$AU218&lt;=45),"31-45",AND($AU218&gt;=46,$AU218&lt;=60),"46-60",AND($AU218&gt;=61,$AU218&lt;=90),"61-90",AND($AU218&gt;=91),"&gt; 90",AND($AU218&gt;=2000),""),"")</f>
        <v/>
      </c>
      <c r="AW218" s="79" t="str" cm="1">
        <f t="array" aca="1" ref="AW218" ca="1">IFERROR(_xlfn.IFS(OR($M218="",$AM218=""),"",OR($C218="Offered",$C218="Joined"),($AM218-$M218)-$AT218),"")</f>
        <v/>
      </c>
      <c r="AX218" s="79" t="str" cm="1">
        <f t="array" aca="1" ref="AX218" ca="1">IFERROR(_xlfn.IFS(OR($M218="",$AS218=""),"",$C218="Joined",($AS218-$M218)-$AT218),"")</f>
        <v/>
      </c>
      <c r="AY218" s="67" t="str">
        <f>IFERROR(IF(COUNTIFS('Candidate Tracker'!$E:$E,'Positions Tracker'!$B218,'Candidate Tracker'!$C:$C,"Offer Drop")=0,"",COUNTIFS('Candidate Tracker'!$E:$E,'Positions Tracker'!$B218,'Candidate Tracker'!$C:$C,"Offer Drop")),"")</f>
        <v/>
      </c>
      <c r="AZ218" s="80">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0.88111888111888115</v>
      </c>
      <c r="BA218" s="81" t="str">
        <f>IFERROR(IF(COUNTIFS('Candidate Tracker'!$E:$E,'Positions Tracker'!$B218,'Candidate Tracker'!$I:$I,"Female")=0,"",COUNTIFS('Candidate Tracker'!$E:$E,'Positions Tracker'!$B218,'Candidate Tracker'!$I:$I,"Female")),"")</f>
        <v/>
      </c>
      <c r="BB218" s="81" t="str">
        <f>IFERROR(IF(COUNTIFS('Candidate Tracker'!$E:$E,'Positions Tracker'!$B218,'Candidate Tracker'!$I:$I,"male")=0,"",COUNTIFS('Candidate Tracker'!$E:$E,'Positions Tracker'!$B218,'Candidate Tracker'!$I:$I,"male")),"")</f>
        <v/>
      </c>
      <c r="BC218" s="80" t="str">
        <f>IFERROR(IF(COUNTIFS('Candidate Tracker'!$E:$E,'Positions Tracker'!$B218,'Candidate Tracker'!$C:$C,"&lt;&gt;WIP",'Candidate Tracker'!$C:$C,"&lt;&gt;Hold",'Candidate Tracker'!$C:$C,"&lt;&gt;Cancelled",'Candidate Tracker'!$C:$C,"&lt;&gt;Closed")/COUNTIFS('Candidate Tracker'!$E:$E,'Positions Tracker'!$B218)=0,"",COUNTIFS('Candidate Tracker'!$E:$E,'Positions Tracker'!$B218,'Candidate Tracker'!$C:$C,"&lt;&gt;WIP",'Candidate Tracker'!$C:$C,"&lt;&gt;Hold",'Candidate Tracker'!$C:$C,"&lt;&gt;Cancelled",'Candidate Tracker'!$C:$C,"&lt;&gt;Closed")/COUNTIFS('Candidate Tracker'!$E:$E,'Positions Tracker'!$B218)),"")</f>
        <v/>
      </c>
      <c r="BD218" s="67" t="str">
        <f t="shared" si="17"/>
        <v>Jul-25</v>
      </c>
      <c r="BE218" s="67" t="str">
        <f t="shared" si="18"/>
        <v/>
      </c>
      <c r="BF218" s="67" t="str">
        <f t="shared" si="19"/>
        <v/>
      </c>
      <c r="BG218" s="67" t="str">
        <f t="shared" si="20"/>
        <v/>
      </c>
    </row>
    <row r="219" spans="1:59">
      <c r="A219" s="67">
        <f t="shared" si="21"/>
        <v>218</v>
      </c>
      <c r="B219" s="67">
        <v>20257439</v>
      </c>
      <c r="C219" s="67" t="s">
        <v>64</v>
      </c>
      <c r="D219" s="67" t="s">
        <v>87</v>
      </c>
      <c r="E219" s="67" t="s">
        <v>937</v>
      </c>
      <c r="F219" s="67"/>
      <c r="G219" s="67" t="s">
        <v>1</v>
      </c>
      <c r="H219" s="67"/>
      <c r="I219" s="67" t="s">
        <v>935</v>
      </c>
      <c r="J219" s="67" t="s">
        <v>70</v>
      </c>
      <c r="K219" s="68">
        <v>45861</v>
      </c>
      <c r="L219" s="68">
        <v>45861</v>
      </c>
      <c r="M219" s="68">
        <v>45863</v>
      </c>
      <c r="N219" s="67"/>
      <c r="O219" s="68"/>
      <c r="P219" s="68"/>
      <c r="Q219" s="68"/>
      <c r="R219" s="68"/>
      <c r="S219" s="68"/>
      <c r="T219" s="68"/>
      <c r="U219" s="67"/>
      <c r="V219" s="67"/>
      <c r="W219" s="67"/>
      <c r="X219" s="67"/>
      <c r="Y219" s="67" t="s">
        <v>73</v>
      </c>
      <c r="Z219" s="67" t="s">
        <v>73</v>
      </c>
      <c r="AA219" s="67" t="s">
        <v>938</v>
      </c>
      <c r="AB219" s="67"/>
      <c r="AC219" s="67"/>
      <c r="AD219" s="67"/>
      <c r="AE219" s="67"/>
      <c r="AF219" s="67"/>
      <c r="AG219" s="67"/>
      <c r="AH219" s="68"/>
      <c r="AI219" s="68"/>
      <c r="AJ219" s="68"/>
      <c r="AK219" s="67"/>
      <c r="AL219" s="67"/>
      <c r="AM219" s="68"/>
      <c r="AN219" s="68"/>
      <c r="AO219" s="68"/>
      <c r="AP219" s="68"/>
      <c r="AQ219" s="68"/>
      <c r="AR219" s="68"/>
      <c r="AS219" s="68"/>
      <c r="AT219" s="67">
        <f t="shared" ca="1" si="22"/>
        <v>0</v>
      </c>
      <c r="AU219" s="79" t="str">
        <f t="shared" ca="1" si="23"/>
        <v/>
      </c>
      <c r="AV219" s="79" t="str" cm="1">
        <f t="array" aca="1" ref="AV219" ca="1">IFERROR(_xlfn.IFS($AU219="","",$AU219&lt;=15,"0-15",AND($AU219&gt;=16,$AU219&lt;=30),"16-30",AND($AU219&gt;=31,$AU219&lt;=45),"31-45",AND($AU219&gt;=46,$AU219&lt;=60),"46-60",AND($AU219&gt;=61,$AU219&lt;=90),"61-90",AND($AU219&gt;=91),"&gt; 90",AND($AU219&gt;=2000),""),"")</f>
        <v/>
      </c>
      <c r="AW219" s="79" t="str" cm="1">
        <f t="array" aca="1" ref="AW219" ca="1">IFERROR(_xlfn.IFS(OR($M219="",$AM219=""),"",OR($C219="Offered",$C219="Joined"),($AM219-$M219)-$AT219),"")</f>
        <v/>
      </c>
      <c r="AX219" s="79" t="str" cm="1">
        <f t="array" aca="1" ref="AX219" ca="1">IFERROR(_xlfn.IFS(OR($M219="",$AS219=""),"",$C219="Joined",($AS219-$M219)-$AT219),"")</f>
        <v/>
      </c>
      <c r="AY219" s="67" t="str">
        <f>IFERROR(IF(COUNTIFS('Candidate Tracker'!$E:$E,'Positions Tracker'!$B219,'Candidate Tracker'!$C:$C,"Offer Drop")=0,"",COUNTIFS('Candidate Tracker'!$E:$E,'Positions Tracker'!$B219,'Candidate Tracker'!$C:$C,"Offer Drop")),"")</f>
        <v/>
      </c>
      <c r="AZ219" s="80">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0.88111888111888115</v>
      </c>
      <c r="BA219" s="81" t="str">
        <f>IFERROR(IF(COUNTIFS('Candidate Tracker'!$E:$E,'Positions Tracker'!$B219,'Candidate Tracker'!$I:$I,"Female")=0,"",COUNTIFS('Candidate Tracker'!$E:$E,'Positions Tracker'!$B219,'Candidate Tracker'!$I:$I,"Female")),"")</f>
        <v/>
      </c>
      <c r="BB219" s="81" t="str">
        <f>IFERROR(IF(COUNTIFS('Candidate Tracker'!$E:$E,'Positions Tracker'!$B219,'Candidate Tracker'!$I:$I,"male")=0,"",COUNTIFS('Candidate Tracker'!$E:$E,'Positions Tracker'!$B219,'Candidate Tracker'!$I:$I,"male")),"")</f>
        <v/>
      </c>
      <c r="BC219" s="80" t="str">
        <f>IFERROR(IF(COUNTIFS('Candidate Tracker'!$E:$E,'Positions Tracker'!$B219,'Candidate Tracker'!$C:$C,"&lt;&gt;WIP",'Candidate Tracker'!$C:$C,"&lt;&gt;Hold",'Candidate Tracker'!$C:$C,"&lt;&gt;Cancelled",'Candidate Tracker'!$C:$C,"&lt;&gt;Closed")/COUNTIFS('Candidate Tracker'!$E:$E,'Positions Tracker'!$B219)=0,"",COUNTIFS('Candidate Tracker'!$E:$E,'Positions Tracker'!$B219,'Candidate Tracker'!$C:$C,"&lt;&gt;WIP",'Candidate Tracker'!$C:$C,"&lt;&gt;Hold",'Candidate Tracker'!$C:$C,"&lt;&gt;Cancelled",'Candidate Tracker'!$C:$C,"&lt;&gt;Closed")/COUNTIFS('Candidate Tracker'!$E:$E,'Positions Tracker'!$B219)),"")</f>
        <v/>
      </c>
      <c r="BD219" s="67" t="str">
        <f t="shared" si="17"/>
        <v>Jul-25</v>
      </c>
      <c r="BE219" s="67" t="str">
        <f t="shared" si="18"/>
        <v/>
      </c>
      <c r="BF219" s="67" t="str">
        <f t="shared" si="19"/>
        <v/>
      </c>
      <c r="BG219" s="67" t="str">
        <f t="shared" si="20"/>
        <v/>
      </c>
    </row>
    <row r="220" spans="1:59">
      <c r="A220" s="67">
        <f t="shared" si="21"/>
        <v>219</v>
      </c>
      <c r="B220" s="67">
        <v>20256738</v>
      </c>
      <c r="C220" s="67" t="s">
        <v>116</v>
      </c>
      <c r="D220" s="67" t="s">
        <v>116</v>
      </c>
      <c r="E220" s="67" t="s">
        <v>925</v>
      </c>
      <c r="F220" s="67" t="s">
        <v>926</v>
      </c>
      <c r="G220" s="67" t="s">
        <v>1</v>
      </c>
      <c r="H220" s="67" t="s">
        <v>612</v>
      </c>
      <c r="I220" s="67" t="s">
        <v>927</v>
      </c>
      <c r="J220" s="67" t="s">
        <v>70</v>
      </c>
      <c r="K220" s="68">
        <v>45861</v>
      </c>
      <c r="L220" s="68">
        <v>45861</v>
      </c>
      <c r="M220" s="68">
        <v>45861</v>
      </c>
      <c r="N220" s="67" t="s">
        <v>827</v>
      </c>
      <c r="O220" s="68"/>
      <c r="P220" s="68"/>
      <c r="Q220" s="68"/>
      <c r="R220" s="68"/>
      <c r="S220" s="68"/>
      <c r="T220" s="68"/>
      <c r="U220" s="67"/>
      <c r="V220" s="67"/>
      <c r="W220" s="67"/>
      <c r="X220" s="67" t="s">
        <v>72</v>
      </c>
      <c r="Y220" s="67" t="s">
        <v>73</v>
      </c>
      <c r="Z220" s="67" t="s">
        <v>73</v>
      </c>
      <c r="AA220" s="67" t="s">
        <v>939</v>
      </c>
      <c r="AB220" s="67"/>
      <c r="AC220" s="67"/>
      <c r="AD220" s="67"/>
      <c r="AE220" s="67" t="s">
        <v>940</v>
      </c>
      <c r="AF220" s="67">
        <v>8888097747</v>
      </c>
      <c r="AG220" s="67" t="s">
        <v>941</v>
      </c>
      <c r="AH220" s="68" t="s">
        <v>123</v>
      </c>
      <c r="AI220" s="68">
        <v>45888</v>
      </c>
      <c r="AJ220" s="68">
        <v>45905</v>
      </c>
      <c r="AK220" s="67" t="s">
        <v>72</v>
      </c>
      <c r="AL220" s="93">
        <v>700041</v>
      </c>
      <c r="AM220" s="68">
        <v>45889</v>
      </c>
      <c r="AN220" s="68">
        <v>45905</v>
      </c>
      <c r="AO220" s="68" t="s">
        <v>858</v>
      </c>
      <c r="AP220" s="68">
        <v>45909</v>
      </c>
      <c r="AQ220" s="68">
        <v>45911</v>
      </c>
      <c r="AR220" s="68" t="s">
        <v>858</v>
      </c>
      <c r="AS220" s="68">
        <v>45936</v>
      </c>
      <c r="AT220" s="67">
        <f t="shared" ca="1" si="22"/>
        <v>0</v>
      </c>
      <c r="AU220" s="79" t="str">
        <f t="shared" ca="1" si="23"/>
        <v/>
      </c>
      <c r="AV220" s="79" t="str" cm="1">
        <f t="array" aca="1" ref="AV220" ca="1">IFERROR(_xlfn.IFS($AU220="","",$AU220&lt;=15,"0-15",AND($AU220&gt;=16,$AU220&lt;=30),"16-30",AND($AU220&gt;=31,$AU220&lt;=45),"31-45",AND($AU220&gt;=46,$AU220&lt;=60),"46-60",AND($AU220&gt;=61,$AU220&lt;=90),"61-90",AND($AU220&gt;=91),"&gt; 90",AND($AU220&gt;=2000),""),"")</f>
        <v/>
      </c>
      <c r="AW220" s="79" cm="1">
        <f t="array" aca="1" ref="AW220" ca="1">IFERROR(_xlfn.IFS(OR($M220="",$AM220=""),"",OR($C220="Offered",$C220="Joined"),($AM220-$M220)-$AT220),"")</f>
        <v>28</v>
      </c>
      <c r="AX220" s="79" cm="1">
        <f t="array" aca="1" ref="AX220" ca="1">IFERROR(_xlfn.IFS(OR($M220="",$AS220=""),"",$C220="Joined",($AS220-$M220)-$AT220),"")</f>
        <v>75</v>
      </c>
      <c r="AY220" s="67" t="str">
        <f>IFERROR(IF(COUNTIFS('Candidate Tracker'!$E:$E,'Positions Tracker'!$B220,'Candidate Tracker'!$C:$C,"Offer Drop")=0,"",COUNTIFS('Candidate Tracker'!$E:$E,'Positions Tracker'!$B220,'Candidate Tracker'!$C:$C,"Offer Drop")),"")</f>
        <v/>
      </c>
      <c r="AZ220" s="80">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0.88111888111888115</v>
      </c>
      <c r="BA220" s="81" t="str">
        <f>IFERROR(IF(COUNTIFS('Candidate Tracker'!$E:$E,'Positions Tracker'!$B220,'Candidate Tracker'!$I:$I,"Female")=0,"",COUNTIFS('Candidate Tracker'!$E:$E,'Positions Tracker'!$B220,'Candidate Tracker'!$I:$I,"Female")),"")</f>
        <v/>
      </c>
      <c r="BB220" s="81" t="str">
        <f>IFERROR(IF(COUNTIFS('Candidate Tracker'!$E:$E,'Positions Tracker'!$B220,'Candidate Tracker'!$I:$I,"male")=0,"",COUNTIFS('Candidate Tracker'!$E:$E,'Positions Tracker'!$B220,'Candidate Tracker'!$I:$I,"male")),"")</f>
        <v/>
      </c>
      <c r="BC220" s="80" t="str">
        <f>IFERROR(IF(COUNTIFS('Candidate Tracker'!$E:$E,'Positions Tracker'!$B220,'Candidate Tracker'!$C:$C,"&lt;&gt;WIP",'Candidate Tracker'!$C:$C,"&lt;&gt;Hold",'Candidate Tracker'!$C:$C,"&lt;&gt;Cancelled",'Candidate Tracker'!$C:$C,"&lt;&gt;Closed")/COUNTIFS('Candidate Tracker'!$E:$E,'Positions Tracker'!$B220)=0,"",COUNTIFS('Candidate Tracker'!$E:$E,'Positions Tracker'!$B220,'Candidate Tracker'!$C:$C,"&lt;&gt;WIP",'Candidate Tracker'!$C:$C,"&lt;&gt;Hold",'Candidate Tracker'!$C:$C,"&lt;&gt;Cancelled",'Candidate Tracker'!$C:$C,"&lt;&gt;Closed")/COUNTIFS('Candidate Tracker'!$E:$E,'Positions Tracker'!$B220)),"")</f>
        <v/>
      </c>
      <c r="BD220" s="67" t="str">
        <f t="shared" si="17"/>
        <v>Jul-25</v>
      </c>
      <c r="BE220" s="67" t="str">
        <f t="shared" si="18"/>
        <v>Aug-25</v>
      </c>
      <c r="BF220" s="67" t="str">
        <f t="shared" si="19"/>
        <v>Aug-25</v>
      </c>
      <c r="BG220" s="67" t="str">
        <f t="shared" si="20"/>
        <v>Oct-25</v>
      </c>
    </row>
    <row r="221" spans="1:59">
      <c r="A221" s="67">
        <f t="shared" si="21"/>
        <v>220</v>
      </c>
      <c r="B221" s="67">
        <v>20255510</v>
      </c>
      <c r="C221" s="67" t="s">
        <v>0</v>
      </c>
      <c r="D221" s="67" t="s">
        <v>87</v>
      </c>
      <c r="E221" s="67" t="s">
        <v>942</v>
      </c>
      <c r="F221" s="67" t="s">
        <v>943</v>
      </c>
      <c r="G221" s="67" t="s">
        <v>1</v>
      </c>
      <c r="H221" s="67" t="s">
        <v>374</v>
      </c>
      <c r="I221" s="67" t="s">
        <v>944</v>
      </c>
      <c r="J221" s="67" t="s">
        <v>70</v>
      </c>
      <c r="K221" s="68">
        <v>45846</v>
      </c>
      <c r="L221" s="68">
        <v>45846</v>
      </c>
      <c r="M221" s="68">
        <v>45846</v>
      </c>
      <c r="N221" s="67" t="s">
        <v>849</v>
      </c>
      <c r="O221" s="68"/>
      <c r="P221" s="68"/>
      <c r="Q221" s="68"/>
      <c r="R221" s="68"/>
      <c r="S221" s="68"/>
      <c r="T221" s="68"/>
      <c r="U221" s="67"/>
      <c r="V221" s="67"/>
      <c r="W221" s="67"/>
      <c r="X221" s="67" t="s">
        <v>72</v>
      </c>
      <c r="Y221" s="67" t="s">
        <v>73</v>
      </c>
      <c r="Z221" s="67" t="s">
        <v>73</v>
      </c>
      <c r="AA221" s="67" t="s">
        <v>945</v>
      </c>
      <c r="AB221" s="67"/>
      <c r="AC221" s="67"/>
      <c r="AD221" s="67"/>
      <c r="AE221" s="69" t="s">
        <v>946</v>
      </c>
      <c r="AF221" s="71">
        <v>8378998970</v>
      </c>
      <c r="AG221" s="71" t="s">
        <v>947</v>
      </c>
      <c r="AH221" s="68" t="s">
        <v>123</v>
      </c>
      <c r="AI221" s="68">
        <v>45912</v>
      </c>
      <c r="AJ221" s="68"/>
      <c r="AK221" s="67" t="s">
        <v>72</v>
      </c>
      <c r="AL221" s="67"/>
      <c r="AM221" s="68">
        <v>45903</v>
      </c>
      <c r="AN221" s="68"/>
      <c r="AO221" s="68"/>
      <c r="AP221" s="68"/>
      <c r="AQ221" s="68"/>
      <c r="AR221" s="68"/>
      <c r="AS221" s="68"/>
      <c r="AT221" s="67">
        <f t="shared" ca="1" si="22"/>
        <v>0</v>
      </c>
      <c r="AU221" s="79">
        <f t="shared" ca="1" si="23"/>
        <v>155</v>
      </c>
      <c r="AV221" s="79" t="str" cm="1">
        <f t="array" aca="1" ref="AV221" ca="1">IFERROR(_xlfn.IFS($AU221="","",$AU221&lt;=15,"0-15",AND($AU221&gt;=16,$AU221&lt;=30),"16-30",AND($AU221&gt;=31,$AU221&lt;=45),"31-45",AND($AU221&gt;=46,$AU221&lt;=60),"46-60",AND($AU221&gt;=61,$AU221&lt;=90),"61-90",AND($AU221&gt;=91),"&gt; 90",AND($AU221&gt;=2000),""),"")</f>
        <v>&gt; 90</v>
      </c>
      <c r="AW221" s="79" t="str" cm="1">
        <f t="array" aca="1" ref="AW221" ca="1">IFERROR(_xlfn.IFS(OR($M221="",$AM221=""),"",OR($C221="Offered",$C221="Joined"),($AM221-$M221)-$AT221),"")</f>
        <v/>
      </c>
      <c r="AX221" s="79" t="str" cm="1">
        <f t="array" aca="1" ref="AX221" ca="1">IFERROR(_xlfn.IFS(OR($M221="",$AS221=""),"",$C221="Joined",($AS221-$M221)-$AT221),"")</f>
        <v/>
      </c>
      <c r="AY221" s="67" t="str">
        <f>IFERROR(IF(COUNTIFS('Candidate Tracker'!$E:$E,'Positions Tracker'!$B221,'Candidate Tracker'!$C:$C,"Offer Drop")=0,"",COUNTIFS('Candidate Tracker'!$E:$E,'Positions Tracker'!$B221,'Candidate Tracker'!$C:$C,"Offer Drop")),"")</f>
        <v/>
      </c>
      <c r="AZ221" s="80">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0.88111888111888115</v>
      </c>
      <c r="BA221" s="81" t="str">
        <f>IFERROR(IF(COUNTIFS('Candidate Tracker'!$E:$E,'Positions Tracker'!$B221,'Candidate Tracker'!$I:$I,"Female")=0,"",COUNTIFS('Candidate Tracker'!$E:$E,'Positions Tracker'!$B221,'Candidate Tracker'!$I:$I,"Female")),"")</f>
        <v/>
      </c>
      <c r="BB221" s="81" t="str">
        <f>IFERROR(IF(COUNTIFS('Candidate Tracker'!$E:$E,'Positions Tracker'!$B221,'Candidate Tracker'!$I:$I,"male")=0,"",COUNTIFS('Candidate Tracker'!$E:$E,'Positions Tracker'!$B221,'Candidate Tracker'!$I:$I,"male")),"")</f>
        <v/>
      </c>
      <c r="BC221" s="80" t="str">
        <f>IFERROR(IF(COUNTIFS('Candidate Tracker'!$E:$E,'Positions Tracker'!$B221,'Candidate Tracker'!$C:$C,"&lt;&gt;WIP",'Candidate Tracker'!$C:$C,"&lt;&gt;Hold",'Candidate Tracker'!$C:$C,"&lt;&gt;Cancelled",'Candidate Tracker'!$C:$C,"&lt;&gt;Closed")/COUNTIFS('Candidate Tracker'!$E:$E,'Positions Tracker'!$B221)=0,"",COUNTIFS('Candidate Tracker'!$E:$E,'Positions Tracker'!$B221,'Candidate Tracker'!$C:$C,"&lt;&gt;WIP",'Candidate Tracker'!$C:$C,"&lt;&gt;Hold",'Candidate Tracker'!$C:$C,"&lt;&gt;Cancelled",'Candidate Tracker'!$C:$C,"&lt;&gt;Closed")/COUNTIFS('Candidate Tracker'!$E:$E,'Positions Tracker'!$B221)),"")</f>
        <v/>
      </c>
      <c r="BD221" s="67" t="str">
        <f t="shared" si="17"/>
        <v>Jul-25</v>
      </c>
      <c r="BE221" s="67" t="str">
        <f t="shared" si="18"/>
        <v>Sep-25</v>
      </c>
      <c r="BF221" s="67" t="str">
        <f t="shared" si="19"/>
        <v>Sep-25</v>
      </c>
      <c r="BG221" s="67" t="str">
        <f t="shared" si="20"/>
        <v/>
      </c>
    </row>
    <row r="222" spans="1:59">
      <c r="A222" s="67">
        <f t="shared" si="21"/>
        <v>221</v>
      </c>
      <c r="B222" s="67">
        <v>20255595</v>
      </c>
      <c r="C222" s="67" t="s">
        <v>0</v>
      </c>
      <c r="D222" s="67" t="s">
        <v>87</v>
      </c>
      <c r="E222" s="67" t="s">
        <v>942</v>
      </c>
      <c r="F222" s="67" t="s">
        <v>948</v>
      </c>
      <c r="G222" s="67" t="s">
        <v>1</v>
      </c>
      <c r="H222" s="67" t="s">
        <v>374</v>
      </c>
      <c r="I222" s="67" t="s">
        <v>944</v>
      </c>
      <c r="J222" s="67" t="s">
        <v>853</v>
      </c>
      <c r="K222" s="68">
        <v>45846</v>
      </c>
      <c r="L222" s="68">
        <v>45846</v>
      </c>
      <c r="M222" s="68">
        <v>45846</v>
      </c>
      <c r="N222" s="67" t="s">
        <v>849</v>
      </c>
      <c r="O222" s="68"/>
      <c r="P222" s="68"/>
      <c r="Q222" s="68"/>
      <c r="R222" s="68"/>
      <c r="S222" s="68"/>
      <c r="T222" s="68"/>
      <c r="U222" s="67"/>
      <c r="V222" s="67"/>
      <c r="W222" s="67"/>
      <c r="X222" s="67" t="s">
        <v>72</v>
      </c>
      <c r="Y222" s="67" t="s">
        <v>73</v>
      </c>
      <c r="Z222" s="67" t="s">
        <v>73</v>
      </c>
      <c r="AA222" s="67" t="s">
        <v>949</v>
      </c>
      <c r="AB222" s="67"/>
      <c r="AC222" s="67"/>
      <c r="AD222" s="67"/>
      <c r="AE222" s="67" t="s">
        <v>950</v>
      </c>
      <c r="AF222" s="67">
        <v>8128125983</v>
      </c>
      <c r="AG222" s="67" t="s">
        <v>951</v>
      </c>
      <c r="AH222" s="68" t="s">
        <v>123</v>
      </c>
      <c r="AI222" s="68">
        <v>45898</v>
      </c>
      <c r="AJ222" s="68"/>
      <c r="AK222" s="67" t="s">
        <v>72</v>
      </c>
      <c r="AL222" s="70">
        <v>1100000</v>
      </c>
      <c r="AM222" s="68">
        <v>45902</v>
      </c>
      <c r="AN222" s="68"/>
      <c r="AO222" s="68"/>
      <c r="AP222" s="68"/>
      <c r="AQ222" s="68"/>
      <c r="AR222" s="68"/>
      <c r="AS222" s="68"/>
      <c r="AT222" s="67">
        <f t="shared" ca="1" si="22"/>
        <v>0</v>
      </c>
      <c r="AU222" s="79">
        <f t="shared" ca="1" si="23"/>
        <v>155</v>
      </c>
      <c r="AV222" s="79" t="str" cm="1">
        <f t="array" aca="1" ref="AV222" ca="1">IFERROR(_xlfn.IFS($AU222="","",$AU222&lt;=15,"0-15",AND($AU222&gt;=16,$AU222&lt;=30),"16-30",AND($AU222&gt;=31,$AU222&lt;=45),"31-45",AND($AU222&gt;=46,$AU222&lt;=60),"46-60",AND($AU222&gt;=61,$AU222&lt;=90),"61-90",AND($AU222&gt;=91),"&gt; 90",AND($AU222&gt;=2000),""),"")</f>
        <v>&gt; 90</v>
      </c>
      <c r="AW222" s="79" t="str" cm="1">
        <f t="array" aca="1" ref="AW222" ca="1">IFERROR(_xlfn.IFS(OR($M222="",$AM222=""),"",OR($C222="Offered",$C222="Joined"),($AM222-$M222)-$AT222),"")</f>
        <v/>
      </c>
      <c r="AX222" s="79" t="str" cm="1">
        <f t="array" aca="1" ref="AX222" ca="1">IFERROR(_xlfn.IFS(OR($M222="",$AS222=""),"",$C222="Joined",($AS222-$M222)-$AT222),"")</f>
        <v/>
      </c>
      <c r="AY222" s="67" t="str">
        <f>IFERROR(IF(COUNTIFS('Candidate Tracker'!$E:$E,'Positions Tracker'!$B222,'Candidate Tracker'!$C:$C,"Offer Drop")=0,"",COUNTIFS('Candidate Tracker'!$E:$E,'Positions Tracker'!$B222,'Candidate Tracker'!$C:$C,"Offer Drop")),"")</f>
        <v/>
      </c>
      <c r="AZ222" s="80">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0.88111888111888115</v>
      </c>
      <c r="BA222" s="81" t="str">
        <f>IFERROR(IF(COUNTIFS('Candidate Tracker'!$E:$E,'Positions Tracker'!$B222,'Candidate Tracker'!$I:$I,"Female")=0,"",COUNTIFS('Candidate Tracker'!$E:$E,'Positions Tracker'!$B222,'Candidate Tracker'!$I:$I,"Female")),"")</f>
        <v/>
      </c>
      <c r="BB222" s="81" t="str">
        <f>IFERROR(IF(COUNTIFS('Candidate Tracker'!$E:$E,'Positions Tracker'!$B222,'Candidate Tracker'!$I:$I,"male")=0,"",COUNTIFS('Candidate Tracker'!$E:$E,'Positions Tracker'!$B222,'Candidate Tracker'!$I:$I,"male")),"")</f>
        <v/>
      </c>
      <c r="BC222" s="80" t="str">
        <f>IFERROR(IF(COUNTIFS('Candidate Tracker'!$E:$E,'Positions Tracker'!$B222,'Candidate Tracker'!$C:$C,"&lt;&gt;WIP",'Candidate Tracker'!$C:$C,"&lt;&gt;Hold",'Candidate Tracker'!$C:$C,"&lt;&gt;Cancelled",'Candidate Tracker'!$C:$C,"&lt;&gt;Closed")/COUNTIFS('Candidate Tracker'!$E:$E,'Positions Tracker'!$B222)=0,"",COUNTIFS('Candidate Tracker'!$E:$E,'Positions Tracker'!$B222,'Candidate Tracker'!$C:$C,"&lt;&gt;WIP",'Candidate Tracker'!$C:$C,"&lt;&gt;Hold",'Candidate Tracker'!$C:$C,"&lt;&gt;Cancelled",'Candidate Tracker'!$C:$C,"&lt;&gt;Closed")/COUNTIFS('Candidate Tracker'!$E:$E,'Positions Tracker'!$B222)),"")</f>
        <v/>
      </c>
      <c r="BD222" s="67" t="str">
        <f t="shared" si="17"/>
        <v>Jul-25</v>
      </c>
      <c r="BE222" s="67" t="str">
        <f t="shared" si="18"/>
        <v>Aug-25</v>
      </c>
      <c r="BF222" s="67" t="str">
        <f t="shared" si="19"/>
        <v>Sep-25</v>
      </c>
      <c r="BG222" s="67" t="str">
        <f t="shared" si="20"/>
        <v/>
      </c>
    </row>
    <row r="223" spans="1:59">
      <c r="A223" s="67">
        <f t="shared" si="21"/>
        <v>222</v>
      </c>
      <c r="B223" s="67">
        <v>20258326</v>
      </c>
      <c r="C223" s="67" t="s">
        <v>400</v>
      </c>
      <c r="D223" s="67" t="s">
        <v>952</v>
      </c>
      <c r="E223" s="67" t="s">
        <v>925</v>
      </c>
      <c r="F223" s="67" t="s">
        <v>926</v>
      </c>
      <c r="G223" s="67" t="s">
        <v>1</v>
      </c>
      <c r="H223" s="67" t="s">
        <v>612</v>
      </c>
      <c r="I223" s="67" t="s">
        <v>927</v>
      </c>
      <c r="J223" s="67" t="s">
        <v>70</v>
      </c>
      <c r="K223" s="68">
        <v>45888</v>
      </c>
      <c r="L223" s="68">
        <v>45888</v>
      </c>
      <c r="M223" s="68">
        <v>45888</v>
      </c>
      <c r="N223" s="67" t="s">
        <v>827</v>
      </c>
      <c r="O223" s="68"/>
      <c r="P223" s="68"/>
      <c r="Q223" s="68"/>
      <c r="R223" s="68"/>
      <c r="S223" s="68"/>
      <c r="T223" s="68"/>
      <c r="U223" s="67"/>
      <c r="V223" s="67"/>
      <c r="W223" s="67"/>
      <c r="X223" s="67" t="s">
        <v>72</v>
      </c>
      <c r="Y223" s="67" t="s">
        <v>73</v>
      </c>
      <c r="Z223" s="67" t="s">
        <v>73</v>
      </c>
      <c r="AA223" s="67" t="s">
        <v>953</v>
      </c>
      <c r="AB223" s="67"/>
      <c r="AC223" s="67"/>
      <c r="AD223" s="67"/>
      <c r="AE223" s="109" t="s">
        <v>954</v>
      </c>
      <c r="AF223" s="107">
        <v>9130362727</v>
      </c>
      <c r="AG223" s="101" t="s">
        <v>955</v>
      </c>
      <c r="AH223" s="68" t="s">
        <v>123</v>
      </c>
      <c r="AI223" s="68">
        <v>45888</v>
      </c>
      <c r="AJ223" s="68">
        <v>45905</v>
      </c>
      <c r="AK223" s="67" t="s">
        <v>72</v>
      </c>
      <c r="AL223" s="114">
        <v>590757</v>
      </c>
      <c r="AM223" s="68">
        <v>45889</v>
      </c>
      <c r="AN223" s="68">
        <v>45905</v>
      </c>
      <c r="AO223" s="68" t="s">
        <v>858</v>
      </c>
      <c r="AP223" s="68">
        <v>45909</v>
      </c>
      <c r="AQ223" s="68">
        <v>45911</v>
      </c>
      <c r="AR223" s="68" t="s">
        <v>858</v>
      </c>
      <c r="AS223" s="68">
        <v>45999</v>
      </c>
      <c r="AT223" s="67">
        <f t="shared" ca="1" si="22"/>
        <v>0</v>
      </c>
      <c r="AU223" s="79" t="str">
        <f t="shared" ca="1" si="23"/>
        <v/>
      </c>
      <c r="AV223" s="79" t="str" cm="1">
        <f t="array" aca="1" ref="AV223" ca="1">IFERROR(_xlfn.IFS($AU223="","",$AU223&lt;=15,"0-15",AND($AU223&gt;=16,$AU223&lt;=30),"16-30",AND($AU223&gt;=31,$AU223&lt;=45),"31-45",AND($AU223&gt;=46,$AU223&lt;=60),"46-60",AND($AU223&gt;=61,$AU223&lt;=90),"61-90",AND($AU223&gt;=91),"&gt; 90",AND($AU223&gt;=2000),""),"")</f>
        <v/>
      </c>
      <c r="AW223" s="79" cm="1">
        <f t="array" aca="1" ref="AW223" ca="1">IFERROR(_xlfn.IFS(OR($M223="",$AM223=""),"",OR($C223="Offered",$C223="Joined"),($AM223-$M223)-$AT223),"")</f>
        <v>1</v>
      </c>
      <c r="AX223" s="79" t="str" cm="1">
        <f t="array" aca="1" ref="AX223" ca="1">IFERROR(_xlfn.IFS(OR($M223="",$AS223=""),"",$C223="Joined",($AS223-$M223)-$AT223),"")</f>
        <v/>
      </c>
      <c r="AY223" s="67" t="str">
        <f>IFERROR(IF(COUNTIFS('Candidate Tracker'!$E:$E,'Positions Tracker'!$B223,'Candidate Tracker'!$C:$C,"Offer Drop")=0,"",COUNTIFS('Candidate Tracker'!$E:$E,'Positions Tracker'!$B223,'Candidate Tracker'!$C:$C,"Offer Drop")),"")</f>
        <v/>
      </c>
      <c r="AZ223" s="80">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0.88111888111888115</v>
      </c>
      <c r="BA223" s="81" t="str">
        <f>IFERROR(IF(COUNTIFS('Candidate Tracker'!$E:$E,'Positions Tracker'!$B223,'Candidate Tracker'!$I:$I,"Female")=0,"",COUNTIFS('Candidate Tracker'!$E:$E,'Positions Tracker'!$B223,'Candidate Tracker'!$I:$I,"Female")),"")</f>
        <v/>
      </c>
      <c r="BB223" s="81" t="str">
        <f>IFERROR(IF(COUNTIFS('Candidate Tracker'!$E:$E,'Positions Tracker'!$B223,'Candidate Tracker'!$I:$I,"male")=0,"",COUNTIFS('Candidate Tracker'!$E:$E,'Positions Tracker'!$B223,'Candidate Tracker'!$I:$I,"male")),"")</f>
        <v/>
      </c>
      <c r="BC223" s="80" t="str">
        <f>IFERROR(IF(COUNTIFS('Candidate Tracker'!$E:$E,'Positions Tracker'!$B223,'Candidate Tracker'!$C:$C,"&lt;&gt;WIP",'Candidate Tracker'!$C:$C,"&lt;&gt;Hold",'Candidate Tracker'!$C:$C,"&lt;&gt;Cancelled",'Candidate Tracker'!$C:$C,"&lt;&gt;Closed")/COUNTIFS('Candidate Tracker'!$E:$E,'Positions Tracker'!$B223)=0,"",COUNTIFS('Candidate Tracker'!$E:$E,'Positions Tracker'!$B223,'Candidate Tracker'!$C:$C,"&lt;&gt;WIP",'Candidate Tracker'!$C:$C,"&lt;&gt;Hold",'Candidate Tracker'!$C:$C,"&lt;&gt;Cancelled",'Candidate Tracker'!$C:$C,"&lt;&gt;Closed")/COUNTIFS('Candidate Tracker'!$E:$E,'Positions Tracker'!$B223)),"")</f>
        <v/>
      </c>
      <c r="BD223" s="67" t="str">
        <f t="shared" si="17"/>
        <v>Aug-25</v>
      </c>
      <c r="BE223" s="67" t="str">
        <f t="shared" si="18"/>
        <v>Aug-25</v>
      </c>
      <c r="BF223" s="67" t="str">
        <f t="shared" si="19"/>
        <v>Aug-25</v>
      </c>
      <c r="BG223" s="67" t="str">
        <f t="shared" si="20"/>
        <v>Dec-25</v>
      </c>
    </row>
    <row r="224" spans="1:59">
      <c r="A224" s="67">
        <f t="shared" si="21"/>
        <v>223</v>
      </c>
      <c r="B224" s="67">
        <v>20257268</v>
      </c>
      <c r="C224" s="67" t="s">
        <v>885</v>
      </c>
      <c r="D224" s="67" t="s">
        <v>886</v>
      </c>
      <c r="E224" s="67" t="s">
        <v>956</v>
      </c>
      <c r="F224" s="67" t="s">
        <v>957</v>
      </c>
      <c r="G224" s="67" t="s">
        <v>1</v>
      </c>
      <c r="H224" s="67" t="s">
        <v>374</v>
      </c>
      <c r="I224" s="67" t="s">
        <v>848</v>
      </c>
      <c r="J224" s="67" t="s">
        <v>70</v>
      </c>
      <c r="K224" s="68">
        <v>45881</v>
      </c>
      <c r="L224" s="68">
        <v>45881</v>
      </c>
      <c r="M224" s="68">
        <v>45881</v>
      </c>
      <c r="N224" s="67" t="s">
        <v>815</v>
      </c>
      <c r="O224" s="68"/>
      <c r="P224" s="68"/>
      <c r="Q224" s="68"/>
      <c r="R224" s="68"/>
      <c r="S224" s="68"/>
      <c r="T224" s="68"/>
      <c r="U224" s="67"/>
      <c r="V224" s="67"/>
      <c r="W224" s="67"/>
      <c r="X224" s="67" t="s">
        <v>708</v>
      </c>
      <c r="Y224" s="67" t="s">
        <v>73</v>
      </c>
      <c r="Z224" s="67" t="s">
        <v>73</v>
      </c>
      <c r="AA224" s="67" t="s">
        <v>958</v>
      </c>
      <c r="AB224" s="67"/>
      <c r="AC224" s="67"/>
      <c r="AD224" s="67"/>
      <c r="AE224" s="67" t="s">
        <v>959</v>
      </c>
      <c r="AF224">
        <v>9029872019</v>
      </c>
      <c r="AG224" s="67" t="s">
        <v>960</v>
      </c>
      <c r="AH224" s="68" t="s">
        <v>123</v>
      </c>
      <c r="AI224" s="68">
        <v>45967</v>
      </c>
      <c r="AJ224" s="68"/>
      <c r="AK224" s="67" t="s">
        <v>708</v>
      </c>
      <c r="AL224" s="70">
        <v>1000003</v>
      </c>
      <c r="AM224" s="68">
        <v>45967</v>
      </c>
      <c r="AN224" s="68"/>
      <c r="AO224" s="68"/>
      <c r="AP224" s="68"/>
      <c r="AQ224" s="68"/>
      <c r="AR224" s="68"/>
      <c r="AS224" s="68"/>
      <c r="AT224" s="67">
        <f t="shared" ca="1" si="22"/>
        <v>0</v>
      </c>
      <c r="AU224" s="79">
        <f t="shared" ca="1" si="23"/>
        <v>120</v>
      </c>
      <c r="AV224" s="79" t="str" cm="1">
        <f t="array" aca="1" ref="AV224" ca="1">IFERROR(_xlfn.IFS($AU224="","",$AU224&lt;=15,"0-15",AND($AU224&gt;=16,$AU224&lt;=30),"16-30",AND($AU224&gt;=31,$AU224&lt;=45),"31-45",AND($AU224&gt;=46,$AU224&lt;=60),"46-60",AND($AU224&gt;=61,$AU224&lt;=90),"61-90",AND($AU224&gt;=91),"&gt; 90",AND($AU224&gt;=2000),""),"")</f>
        <v>&gt; 90</v>
      </c>
      <c r="AW224" s="79" t="str" cm="1">
        <f t="array" aca="1" ref="AW224" ca="1">IFERROR(_xlfn.IFS(OR($M224="",$AM224=""),"",OR($C224="Offered",$C224="Joined"),($AM224-$M224)-$AT224),"")</f>
        <v/>
      </c>
      <c r="AX224" s="79" t="str" cm="1">
        <f t="array" aca="1" ref="AX224" ca="1">IFERROR(_xlfn.IFS(OR($M224="",$AS224=""),"",$C224="Joined",($AS224-$M224)-$AT224),"")</f>
        <v/>
      </c>
      <c r="AY224" s="67" t="str">
        <f>IFERROR(IF(COUNTIFS('Candidate Tracker'!$E:$E,'Positions Tracker'!$B224,'Candidate Tracker'!$C:$C,"Offer Drop")=0,"",COUNTIFS('Candidate Tracker'!$E:$E,'Positions Tracker'!$B224,'Candidate Tracker'!$C:$C,"Offer Drop")),"")</f>
        <v/>
      </c>
      <c r="AZ224" s="80">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0.88111888111888115</v>
      </c>
      <c r="BA224" s="81" t="str">
        <f>IFERROR(IF(COUNTIFS('Candidate Tracker'!$E:$E,'Positions Tracker'!$B224,'Candidate Tracker'!$I:$I,"Female")=0,"",COUNTIFS('Candidate Tracker'!$E:$E,'Positions Tracker'!$B224,'Candidate Tracker'!$I:$I,"Female")),"")</f>
        <v/>
      </c>
      <c r="BB224" s="81" t="str">
        <f>IFERROR(IF(COUNTIFS('Candidate Tracker'!$E:$E,'Positions Tracker'!$B224,'Candidate Tracker'!$I:$I,"male")=0,"",COUNTIFS('Candidate Tracker'!$E:$E,'Positions Tracker'!$B224,'Candidate Tracker'!$I:$I,"male")),"")</f>
        <v/>
      </c>
      <c r="BC224" s="80" t="str">
        <f>IFERROR(IF(COUNTIFS('Candidate Tracker'!$E:$E,'Positions Tracker'!$B224,'Candidate Tracker'!$C:$C,"&lt;&gt;WIP",'Candidate Tracker'!$C:$C,"&lt;&gt;Hold",'Candidate Tracker'!$C:$C,"&lt;&gt;Cancelled",'Candidate Tracker'!$C:$C,"&lt;&gt;Closed")/COUNTIFS('Candidate Tracker'!$E:$E,'Positions Tracker'!$B224)=0,"",COUNTIFS('Candidate Tracker'!$E:$E,'Positions Tracker'!$B224,'Candidate Tracker'!$C:$C,"&lt;&gt;WIP",'Candidate Tracker'!$C:$C,"&lt;&gt;Hold",'Candidate Tracker'!$C:$C,"&lt;&gt;Cancelled",'Candidate Tracker'!$C:$C,"&lt;&gt;Closed")/COUNTIFS('Candidate Tracker'!$E:$E,'Positions Tracker'!$B224)),"")</f>
        <v/>
      </c>
      <c r="BD224" s="67" t="str">
        <f t="shared" si="17"/>
        <v>Aug-25</v>
      </c>
      <c r="BE224" s="67" t="str">
        <f t="shared" si="18"/>
        <v>Nov-25</v>
      </c>
      <c r="BF224" s="67" t="str">
        <f t="shared" si="19"/>
        <v>Nov-25</v>
      </c>
      <c r="BG224" s="67" t="str">
        <f t="shared" si="20"/>
        <v/>
      </c>
    </row>
    <row r="225" spans="1:59">
      <c r="A225" s="67">
        <f t="shared" si="21"/>
        <v>224</v>
      </c>
      <c r="B225" s="67">
        <v>20258047</v>
      </c>
      <c r="C225" s="67" t="s">
        <v>2</v>
      </c>
      <c r="D225" s="67" t="s">
        <v>961</v>
      </c>
      <c r="E225" s="67" t="s">
        <v>962</v>
      </c>
      <c r="F225" s="67" t="s">
        <v>158</v>
      </c>
      <c r="G225" s="67" t="s">
        <v>3</v>
      </c>
      <c r="H225" s="67" t="s">
        <v>68</v>
      </c>
      <c r="I225" s="67" t="s">
        <v>963</v>
      </c>
      <c r="J225" s="67"/>
      <c r="K225" s="68">
        <v>45889</v>
      </c>
      <c r="L225" s="68">
        <v>45889</v>
      </c>
      <c r="M225" s="68">
        <v>45894</v>
      </c>
      <c r="N225" s="67" t="s">
        <v>153</v>
      </c>
      <c r="O225" s="68"/>
      <c r="P225" s="68"/>
      <c r="Q225" s="68"/>
      <c r="R225" s="68"/>
      <c r="S225" s="68"/>
      <c r="T225" s="68"/>
      <c r="U225" s="67"/>
      <c r="V225" s="67"/>
      <c r="W225" s="67"/>
      <c r="X225" s="67" t="s">
        <v>72</v>
      </c>
      <c r="Y225" s="67" t="s">
        <v>282</v>
      </c>
      <c r="Z225" s="67" t="s">
        <v>282</v>
      </c>
      <c r="AA225" s="67" t="s">
        <v>964</v>
      </c>
      <c r="AB225" s="67"/>
      <c r="AC225" s="67"/>
      <c r="AD225" s="67"/>
      <c r="AE225" s="67"/>
      <c r="AF225" s="67"/>
      <c r="AG225" s="67"/>
      <c r="AH225" s="68"/>
      <c r="AI225" s="68"/>
      <c r="AJ225" s="68"/>
      <c r="AK225" s="67"/>
      <c r="AL225" s="67"/>
      <c r="AM225" s="68"/>
      <c r="AN225" s="68"/>
      <c r="AO225" s="68"/>
      <c r="AP225" s="68"/>
      <c r="AQ225" s="68"/>
      <c r="AR225" s="68"/>
      <c r="AS225" s="68"/>
      <c r="AT225" s="67">
        <f t="shared" ca="1" si="22"/>
        <v>0</v>
      </c>
      <c r="AU225" s="79">
        <f t="shared" ca="1" si="23"/>
        <v>107</v>
      </c>
      <c r="AV225" s="79" t="str" cm="1">
        <f t="array" aca="1" ref="AV225" ca="1">IFERROR(_xlfn.IFS($AU225="","",$AU225&lt;=15,"0-15",AND($AU225&gt;=16,$AU225&lt;=30),"16-30",AND($AU225&gt;=31,$AU225&lt;=45),"31-45",AND($AU225&gt;=46,$AU225&lt;=60),"46-60",AND($AU225&gt;=61,$AU225&lt;=90),"61-90",AND($AU225&gt;=91),"&gt; 90",AND($AU225&gt;=2000),""),"")</f>
        <v>&gt; 90</v>
      </c>
      <c r="AW225" s="79" t="str" cm="1">
        <f t="array" aca="1" ref="AW225" ca="1">IFERROR(_xlfn.IFS(OR($M225="",$AM225=""),"",OR($C225="Offered",$C225="Joined"),($AM225-$M225)-$AT225),"")</f>
        <v/>
      </c>
      <c r="AX225" s="79" t="str" cm="1">
        <f t="array" aca="1" ref="AX225" ca="1">IFERROR(_xlfn.IFS(OR($M225="",$AS225=""),"",$C225="Joined",($AS225-$M225)-$AT225),"")</f>
        <v/>
      </c>
      <c r="AY225" s="67" t="str">
        <f>IFERROR(IF(COUNTIFS('Candidate Tracker'!$E:$E,'Positions Tracker'!$B225,'Candidate Tracker'!$C:$C,"Offer Drop")=0,"",COUNTIFS('Candidate Tracker'!$E:$E,'Positions Tracker'!$B225,'Candidate Tracker'!$C:$C,"Offer Drop")),"")</f>
        <v/>
      </c>
      <c r="AZ225" s="80">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0.88111888111888115</v>
      </c>
      <c r="BA225" s="81" t="str">
        <f>IFERROR(IF(COUNTIFS('Candidate Tracker'!$E:$E,'Positions Tracker'!$B225,'Candidate Tracker'!$I:$I,"Female")=0,"",COUNTIFS('Candidate Tracker'!$E:$E,'Positions Tracker'!$B225,'Candidate Tracker'!$I:$I,"Female")),"")</f>
        <v/>
      </c>
      <c r="BB225" s="81" t="str">
        <f>IFERROR(IF(COUNTIFS('Candidate Tracker'!$E:$E,'Positions Tracker'!$B225,'Candidate Tracker'!$I:$I,"male")=0,"",COUNTIFS('Candidate Tracker'!$E:$E,'Positions Tracker'!$B225,'Candidate Tracker'!$I:$I,"male")),"")</f>
        <v/>
      </c>
      <c r="BC225" s="80" t="str">
        <f>IFERROR(IF(COUNTIFS('Candidate Tracker'!$E:$E,'Positions Tracker'!$B225,'Candidate Tracker'!$C:$C,"&lt;&gt;WIP",'Candidate Tracker'!$C:$C,"&lt;&gt;Hold",'Candidate Tracker'!$C:$C,"&lt;&gt;Cancelled",'Candidate Tracker'!$C:$C,"&lt;&gt;Closed")/COUNTIFS('Candidate Tracker'!$E:$E,'Positions Tracker'!$B225)=0,"",COUNTIFS('Candidate Tracker'!$E:$E,'Positions Tracker'!$B225,'Candidate Tracker'!$C:$C,"&lt;&gt;WIP",'Candidate Tracker'!$C:$C,"&lt;&gt;Hold",'Candidate Tracker'!$C:$C,"&lt;&gt;Cancelled",'Candidate Tracker'!$C:$C,"&lt;&gt;Closed")/COUNTIFS('Candidate Tracker'!$E:$E,'Positions Tracker'!$B225)),"")</f>
        <v/>
      </c>
      <c r="BD225" s="67" t="str">
        <f t="shared" si="17"/>
        <v>Aug-25</v>
      </c>
      <c r="BE225" s="67" t="str">
        <f t="shared" si="18"/>
        <v/>
      </c>
      <c r="BF225" s="67" t="str">
        <f t="shared" si="19"/>
        <v/>
      </c>
      <c r="BG225" s="67" t="str">
        <f t="shared" si="20"/>
        <v/>
      </c>
    </row>
    <row r="226" spans="1:59">
      <c r="A226" s="67">
        <f t="shared" si="21"/>
        <v>225</v>
      </c>
      <c r="B226" s="67">
        <v>20258148</v>
      </c>
      <c r="C226" s="67" t="s">
        <v>64</v>
      </c>
      <c r="D226" s="67" t="s">
        <v>65</v>
      </c>
      <c r="E226" s="67" t="s">
        <v>965</v>
      </c>
      <c r="F226" s="67"/>
      <c r="G226" s="67" t="s">
        <v>3</v>
      </c>
      <c r="H226" s="67" t="s">
        <v>198</v>
      </c>
      <c r="I226" s="67" t="s">
        <v>966</v>
      </c>
      <c r="J226" s="67"/>
      <c r="K226" s="68">
        <v>45895</v>
      </c>
      <c r="L226" s="68">
        <v>45895</v>
      </c>
      <c r="M226" s="68">
        <v>45895</v>
      </c>
      <c r="N226" s="67" t="s">
        <v>849</v>
      </c>
      <c r="O226" s="68"/>
      <c r="P226" s="68"/>
      <c r="Q226" s="68"/>
      <c r="R226" s="68"/>
      <c r="S226" s="68"/>
      <c r="T226" s="68"/>
      <c r="U226" s="67"/>
      <c r="V226" s="67"/>
      <c r="W226" s="67"/>
      <c r="X226" s="67" t="s">
        <v>72</v>
      </c>
      <c r="Y226" s="67" t="s">
        <v>282</v>
      </c>
      <c r="Z226" s="67" t="s">
        <v>282</v>
      </c>
      <c r="AA226" s="67"/>
      <c r="AB226" s="67"/>
      <c r="AC226" s="67"/>
      <c r="AD226" s="67"/>
      <c r="AE226" s="67"/>
      <c r="AF226" s="67"/>
      <c r="AG226" s="67"/>
      <c r="AH226" s="68"/>
      <c r="AI226" s="68"/>
      <c r="AJ226" s="68"/>
      <c r="AK226" s="67"/>
      <c r="AL226" s="67"/>
      <c r="AM226" s="68"/>
      <c r="AN226" s="68"/>
      <c r="AO226" s="68"/>
      <c r="AP226" s="68"/>
      <c r="AQ226" s="68"/>
      <c r="AR226" s="68"/>
      <c r="AS226" s="68"/>
      <c r="AT226" s="67">
        <f t="shared" ca="1" si="22"/>
        <v>0</v>
      </c>
      <c r="AU226" s="79" t="str">
        <f t="shared" ca="1" si="23"/>
        <v/>
      </c>
      <c r="AV226" s="79" t="str" cm="1">
        <f t="array" aca="1" ref="AV226" ca="1">IFERROR(_xlfn.IFS($AU226="","",$AU226&lt;=15,"0-15",AND($AU226&gt;=16,$AU226&lt;=30),"16-30",AND($AU226&gt;=31,$AU226&lt;=45),"31-45",AND($AU226&gt;=46,$AU226&lt;=60),"46-60",AND($AU226&gt;=61,$AU226&lt;=90),"61-90",AND($AU226&gt;=91),"&gt; 90",AND($AU226&gt;=2000),""),"")</f>
        <v/>
      </c>
      <c r="AW226" s="79" t="str" cm="1">
        <f t="array" aca="1" ref="AW226" ca="1">IFERROR(_xlfn.IFS(OR($M226="",$AM226=""),"",OR($C226="Offered",$C226="Joined"),($AM226-$M226)-$AT226),"")</f>
        <v/>
      </c>
      <c r="AX226" s="79" t="str" cm="1">
        <f t="array" aca="1" ref="AX226" ca="1">IFERROR(_xlfn.IFS(OR($M226="",$AS226=""),"",$C226="Joined",($AS226-$M226)-$AT226),"")</f>
        <v/>
      </c>
      <c r="AY226" s="67" t="str">
        <f>IFERROR(IF(COUNTIFS('Candidate Tracker'!$E:$E,'Positions Tracker'!$B226,'Candidate Tracker'!$C:$C,"Offer Drop")=0,"",COUNTIFS('Candidate Tracker'!$E:$E,'Positions Tracker'!$B226,'Candidate Tracker'!$C:$C,"Offer Drop")),"")</f>
        <v/>
      </c>
      <c r="AZ226" s="80">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0.88111888111888115</v>
      </c>
      <c r="BA226" s="81" t="str">
        <f>IFERROR(IF(COUNTIFS('Candidate Tracker'!$E:$E,'Positions Tracker'!$B226,'Candidate Tracker'!$I:$I,"Female")=0,"",COUNTIFS('Candidate Tracker'!$E:$E,'Positions Tracker'!$B226,'Candidate Tracker'!$I:$I,"Female")),"")</f>
        <v/>
      </c>
      <c r="BB226" s="81" t="str">
        <f>IFERROR(IF(COUNTIFS('Candidate Tracker'!$E:$E,'Positions Tracker'!$B226,'Candidate Tracker'!$I:$I,"male")=0,"",COUNTIFS('Candidate Tracker'!$E:$E,'Positions Tracker'!$B226,'Candidate Tracker'!$I:$I,"male")),"")</f>
        <v/>
      </c>
      <c r="BC226" s="80" t="str">
        <f>IFERROR(IF(COUNTIFS('Candidate Tracker'!$E:$E,'Positions Tracker'!$B226,'Candidate Tracker'!$C:$C,"&lt;&gt;WIP",'Candidate Tracker'!$C:$C,"&lt;&gt;Hold",'Candidate Tracker'!$C:$C,"&lt;&gt;Cancelled",'Candidate Tracker'!$C:$C,"&lt;&gt;Closed")/COUNTIFS('Candidate Tracker'!$E:$E,'Positions Tracker'!$B226)=0,"",COUNTIFS('Candidate Tracker'!$E:$E,'Positions Tracker'!$B226,'Candidate Tracker'!$C:$C,"&lt;&gt;WIP",'Candidate Tracker'!$C:$C,"&lt;&gt;Hold",'Candidate Tracker'!$C:$C,"&lt;&gt;Cancelled",'Candidate Tracker'!$C:$C,"&lt;&gt;Closed")/COUNTIFS('Candidate Tracker'!$E:$E,'Positions Tracker'!$B226)),"")</f>
        <v/>
      </c>
      <c r="BD226" s="67" t="str">
        <f t="shared" si="17"/>
        <v>Aug-25</v>
      </c>
      <c r="BE226" s="67" t="str">
        <f t="shared" si="18"/>
        <v/>
      </c>
      <c r="BF226" s="67" t="str">
        <f t="shared" si="19"/>
        <v/>
      </c>
      <c r="BG226" s="67" t="str">
        <f t="shared" si="20"/>
        <v/>
      </c>
    </row>
    <row r="227" spans="1:59">
      <c r="A227" s="67">
        <f t="shared" si="21"/>
        <v>226</v>
      </c>
      <c r="B227" s="67">
        <v>20257157</v>
      </c>
      <c r="C227" s="67" t="s">
        <v>64</v>
      </c>
      <c r="D227" s="67" t="s">
        <v>65</v>
      </c>
      <c r="E227" s="67" t="s">
        <v>899</v>
      </c>
      <c r="F227" s="67" t="s">
        <v>926</v>
      </c>
      <c r="G227" s="67" t="s">
        <v>1</v>
      </c>
      <c r="H227" s="67" t="s">
        <v>876</v>
      </c>
      <c r="I227" s="67" t="s">
        <v>967</v>
      </c>
      <c r="J227" s="67" t="s">
        <v>70</v>
      </c>
      <c r="K227" s="68">
        <v>45874</v>
      </c>
      <c r="L227" s="68">
        <v>45874</v>
      </c>
      <c r="M227" s="68">
        <v>45874</v>
      </c>
      <c r="N227" s="67" t="s">
        <v>162</v>
      </c>
      <c r="O227" s="68"/>
      <c r="P227" s="68"/>
      <c r="Q227" s="68"/>
      <c r="R227" s="68"/>
      <c r="S227" s="68"/>
      <c r="T227" s="68"/>
      <c r="U227" s="67"/>
      <c r="V227" s="67"/>
      <c r="W227" s="67"/>
      <c r="X227" s="67" t="s">
        <v>72</v>
      </c>
      <c r="Y227" s="67" t="s">
        <v>73</v>
      </c>
      <c r="Z227" s="67" t="s">
        <v>73</v>
      </c>
      <c r="AA227" s="67" t="s">
        <v>968</v>
      </c>
      <c r="AB227" s="67"/>
      <c r="AC227" s="67"/>
      <c r="AD227" s="67"/>
      <c r="AE227" s="67"/>
      <c r="AF227" s="67"/>
      <c r="AG227" s="67"/>
      <c r="AH227" s="68"/>
      <c r="AI227" s="68"/>
      <c r="AJ227" s="68"/>
      <c r="AK227" s="67"/>
      <c r="AL227" s="67"/>
      <c r="AM227" s="68"/>
      <c r="AN227" s="68"/>
      <c r="AO227" s="68"/>
      <c r="AP227" s="68"/>
      <c r="AQ227" s="68"/>
      <c r="AR227" s="68"/>
      <c r="AS227" s="68"/>
      <c r="AT227" s="67">
        <f t="shared" ca="1" si="22"/>
        <v>0</v>
      </c>
      <c r="AU227" s="79" t="str">
        <f t="shared" ca="1" si="23"/>
        <v/>
      </c>
      <c r="AV227" s="79" t="str" cm="1">
        <f t="array" aca="1" ref="AV227" ca="1">IFERROR(_xlfn.IFS($AU227="","",$AU227&lt;=15,"0-15",AND($AU227&gt;=16,$AU227&lt;=30),"16-30",AND($AU227&gt;=31,$AU227&lt;=45),"31-45",AND($AU227&gt;=46,$AU227&lt;=60),"46-60",AND($AU227&gt;=61,$AU227&lt;=90),"61-90",AND($AU227&gt;=91),"&gt; 90",AND($AU227&gt;=2000),""),"")</f>
        <v/>
      </c>
      <c r="AW227" s="79" t="str" cm="1">
        <f t="array" aca="1" ref="AW227" ca="1">IFERROR(_xlfn.IFS(OR($M227="",$AM227=""),"",OR($C227="Offered",$C227="Joined"),($AM227-$M227)-$AT227),"")</f>
        <v/>
      </c>
      <c r="AX227" s="79" t="str" cm="1">
        <f t="array" aca="1" ref="AX227" ca="1">IFERROR(_xlfn.IFS(OR($M227="",$AS227=""),"",$C227="Joined",($AS227-$M227)-$AT227),"")</f>
        <v/>
      </c>
      <c r="AY227" s="67" t="str">
        <f>IFERROR(IF(COUNTIFS('Candidate Tracker'!$E:$E,'Positions Tracker'!$B227,'Candidate Tracker'!$C:$C,"Offer Drop")=0,"",COUNTIFS('Candidate Tracker'!$E:$E,'Positions Tracker'!$B227,'Candidate Tracker'!$C:$C,"Offer Drop")),"")</f>
        <v/>
      </c>
      <c r="AZ227" s="80">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0.88111888111888115</v>
      </c>
      <c r="BA227" s="81" t="str">
        <f>IFERROR(IF(COUNTIFS('Candidate Tracker'!$E:$E,'Positions Tracker'!$B227,'Candidate Tracker'!$I:$I,"Female")=0,"",COUNTIFS('Candidate Tracker'!$E:$E,'Positions Tracker'!$B227,'Candidate Tracker'!$I:$I,"Female")),"")</f>
        <v/>
      </c>
      <c r="BB227" s="81" t="str">
        <f>IFERROR(IF(COUNTIFS('Candidate Tracker'!$E:$E,'Positions Tracker'!$B227,'Candidate Tracker'!$I:$I,"male")=0,"",COUNTIFS('Candidate Tracker'!$E:$E,'Positions Tracker'!$B227,'Candidate Tracker'!$I:$I,"male")),"")</f>
        <v/>
      </c>
      <c r="BC227" s="80" t="str">
        <f>IFERROR(IF(COUNTIFS('Candidate Tracker'!$E:$E,'Positions Tracker'!$B227,'Candidate Tracker'!$C:$C,"&lt;&gt;WIP",'Candidate Tracker'!$C:$C,"&lt;&gt;Hold",'Candidate Tracker'!$C:$C,"&lt;&gt;Cancelled",'Candidate Tracker'!$C:$C,"&lt;&gt;Closed")/COUNTIFS('Candidate Tracker'!$E:$E,'Positions Tracker'!$B227)=0,"",COUNTIFS('Candidate Tracker'!$E:$E,'Positions Tracker'!$B227,'Candidate Tracker'!$C:$C,"&lt;&gt;WIP",'Candidate Tracker'!$C:$C,"&lt;&gt;Hold",'Candidate Tracker'!$C:$C,"&lt;&gt;Cancelled",'Candidate Tracker'!$C:$C,"&lt;&gt;Closed")/COUNTIFS('Candidate Tracker'!$E:$E,'Positions Tracker'!$B227)),"")</f>
        <v/>
      </c>
      <c r="BD227" s="67" t="str">
        <f t="shared" si="17"/>
        <v>Aug-25</v>
      </c>
      <c r="BE227" s="67" t="str">
        <f t="shared" si="18"/>
        <v/>
      </c>
      <c r="BF227" s="67" t="str">
        <f t="shared" si="19"/>
        <v/>
      </c>
      <c r="BG227" s="67" t="str">
        <f t="shared" si="20"/>
        <v/>
      </c>
    </row>
    <row r="228" spans="1:59">
      <c r="A228" s="67">
        <f t="shared" si="21"/>
        <v>227</v>
      </c>
      <c r="B228" s="67">
        <v>20258230</v>
      </c>
      <c r="C228" s="67" t="s">
        <v>400</v>
      </c>
      <c r="D228" s="67" t="s">
        <v>952</v>
      </c>
      <c r="E228" s="67" t="s">
        <v>969</v>
      </c>
      <c r="F228" s="67" t="s">
        <v>888</v>
      </c>
      <c r="G228" s="67" t="s">
        <v>1</v>
      </c>
      <c r="H228" s="67" t="s">
        <v>612</v>
      </c>
      <c r="I228" s="67" t="s">
        <v>970</v>
      </c>
      <c r="J228" s="67" t="s">
        <v>70</v>
      </c>
      <c r="K228" s="68">
        <v>45895</v>
      </c>
      <c r="L228" s="68">
        <v>45895</v>
      </c>
      <c r="M228" s="68">
        <v>45895</v>
      </c>
      <c r="N228" s="67" t="s">
        <v>827</v>
      </c>
      <c r="O228" s="68"/>
      <c r="P228" s="68"/>
      <c r="Q228" s="68"/>
      <c r="R228" s="68"/>
      <c r="S228" s="68"/>
      <c r="T228" s="68"/>
      <c r="U228" s="67"/>
      <c r="V228" s="67"/>
      <c r="W228" s="67"/>
      <c r="X228" s="67" t="s">
        <v>72</v>
      </c>
      <c r="Y228" s="67" t="s">
        <v>73</v>
      </c>
      <c r="Z228" s="67" t="s">
        <v>73</v>
      </c>
      <c r="AA228" s="67" t="s">
        <v>971</v>
      </c>
      <c r="AB228" s="67"/>
      <c r="AC228" s="67"/>
      <c r="AD228" s="67"/>
      <c r="AE228" s="109" t="s">
        <v>972</v>
      </c>
      <c r="AF228" s="110">
        <v>9527863294</v>
      </c>
      <c r="AG228" s="101" t="s">
        <v>973</v>
      </c>
      <c r="AH228" s="68" t="s">
        <v>123</v>
      </c>
      <c r="AI228" s="68">
        <v>45923</v>
      </c>
      <c r="AJ228" s="68">
        <v>45926</v>
      </c>
      <c r="AK228" s="67" t="s">
        <v>72</v>
      </c>
      <c r="AL228" s="114">
        <v>1077526</v>
      </c>
      <c r="AM228" s="68">
        <v>45925</v>
      </c>
      <c r="AN228" s="68">
        <v>45926</v>
      </c>
      <c r="AO228" s="68" t="s">
        <v>858</v>
      </c>
      <c r="AP228" s="68">
        <v>45930</v>
      </c>
      <c r="AQ228" s="68">
        <v>45933</v>
      </c>
      <c r="AR228" s="68"/>
      <c r="AS228" s="68">
        <v>46020</v>
      </c>
      <c r="AT228" s="67">
        <f t="shared" ca="1" si="22"/>
        <v>0</v>
      </c>
      <c r="AU228" s="79" t="str">
        <f t="shared" ca="1" si="23"/>
        <v/>
      </c>
      <c r="AV228" s="79" t="str" cm="1">
        <f t="array" aca="1" ref="AV228" ca="1">IFERROR(_xlfn.IFS($AU228="","",$AU228&lt;=15,"0-15",AND($AU228&gt;=16,$AU228&lt;=30),"16-30",AND($AU228&gt;=31,$AU228&lt;=45),"31-45",AND($AU228&gt;=46,$AU228&lt;=60),"46-60",AND($AU228&gt;=61,$AU228&lt;=90),"61-90",AND($AU228&gt;=91),"&gt; 90",AND($AU228&gt;=2000),""),"")</f>
        <v/>
      </c>
      <c r="AW228" s="79" cm="1">
        <f t="array" aca="1" ref="AW228" ca="1">IFERROR(_xlfn.IFS(OR($M228="",$AM228=""),"",OR($C228="Offered",$C228="Joined"),($AM228-$M228)-$AT228),"")</f>
        <v>30</v>
      </c>
      <c r="AX228" s="79" t="str" cm="1">
        <f t="array" aca="1" ref="AX228" ca="1">IFERROR(_xlfn.IFS(OR($M228="",$AS228=""),"",$C228="Joined",($AS228-$M228)-$AT228),"")</f>
        <v/>
      </c>
      <c r="AY228" s="67" t="str">
        <f>IFERROR(IF(COUNTIFS('Candidate Tracker'!$E:$E,'Positions Tracker'!$B228,'Candidate Tracker'!$C:$C,"Offer Drop")=0,"",COUNTIFS('Candidate Tracker'!$E:$E,'Positions Tracker'!$B228,'Candidate Tracker'!$C:$C,"Offer Drop")),"")</f>
        <v/>
      </c>
      <c r="AZ228" s="80">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0.88111888111888115</v>
      </c>
      <c r="BA228" s="81" t="str">
        <f>IFERROR(IF(COUNTIFS('Candidate Tracker'!$E:$E,'Positions Tracker'!$B228,'Candidate Tracker'!$I:$I,"Female")=0,"",COUNTIFS('Candidate Tracker'!$E:$E,'Positions Tracker'!$B228,'Candidate Tracker'!$I:$I,"Female")),"")</f>
        <v/>
      </c>
      <c r="BB228" s="81" t="str">
        <f>IFERROR(IF(COUNTIFS('Candidate Tracker'!$E:$E,'Positions Tracker'!$B228,'Candidate Tracker'!$I:$I,"male")=0,"",COUNTIFS('Candidate Tracker'!$E:$E,'Positions Tracker'!$B228,'Candidate Tracker'!$I:$I,"male")),"")</f>
        <v/>
      </c>
      <c r="BC228" s="80" t="str">
        <f>IFERROR(IF(COUNTIFS('Candidate Tracker'!$E:$E,'Positions Tracker'!$B228,'Candidate Tracker'!$C:$C,"&lt;&gt;WIP",'Candidate Tracker'!$C:$C,"&lt;&gt;Hold",'Candidate Tracker'!$C:$C,"&lt;&gt;Cancelled",'Candidate Tracker'!$C:$C,"&lt;&gt;Closed")/COUNTIFS('Candidate Tracker'!$E:$E,'Positions Tracker'!$B228)=0,"",COUNTIFS('Candidate Tracker'!$E:$E,'Positions Tracker'!$B228,'Candidate Tracker'!$C:$C,"&lt;&gt;WIP",'Candidate Tracker'!$C:$C,"&lt;&gt;Hold",'Candidate Tracker'!$C:$C,"&lt;&gt;Cancelled",'Candidate Tracker'!$C:$C,"&lt;&gt;Closed")/COUNTIFS('Candidate Tracker'!$E:$E,'Positions Tracker'!$B228)),"")</f>
        <v/>
      </c>
      <c r="BD228" s="67" t="str">
        <f t="shared" si="17"/>
        <v>Aug-25</v>
      </c>
      <c r="BE228" s="67" t="str">
        <f t="shared" si="18"/>
        <v>Sep-25</v>
      </c>
      <c r="BF228" s="67" t="str">
        <f t="shared" si="19"/>
        <v>Sep-25</v>
      </c>
      <c r="BG228" s="67" t="str">
        <f t="shared" si="20"/>
        <v>Dec-25</v>
      </c>
    </row>
    <row r="229" spans="1:59" ht="17.25" customHeight="1">
      <c r="A229" s="67">
        <f t="shared" si="21"/>
        <v>228</v>
      </c>
      <c r="B229" s="67">
        <v>20258603</v>
      </c>
      <c r="C229" s="67" t="s">
        <v>2</v>
      </c>
      <c r="D229" s="67" t="s">
        <v>974</v>
      </c>
      <c r="E229" s="67" t="s">
        <v>975</v>
      </c>
      <c r="F229" s="67" t="s">
        <v>976</v>
      </c>
      <c r="G229" s="67" t="s">
        <v>3</v>
      </c>
      <c r="H229" s="67" t="s">
        <v>68</v>
      </c>
      <c r="I229" s="67" t="s">
        <v>977</v>
      </c>
      <c r="J229" s="67"/>
      <c r="K229" s="68">
        <v>45897</v>
      </c>
      <c r="L229" s="68">
        <v>45897</v>
      </c>
      <c r="M229" s="68">
        <v>45901</v>
      </c>
      <c r="N229" s="67" t="s">
        <v>153</v>
      </c>
      <c r="O229" s="68"/>
      <c r="P229" s="68"/>
      <c r="Q229" s="68"/>
      <c r="R229" s="68"/>
      <c r="S229" s="68"/>
      <c r="T229" s="68"/>
      <c r="U229" s="67"/>
      <c r="V229" s="67"/>
      <c r="W229" s="67"/>
      <c r="X229" s="67" t="s">
        <v>72</v>
      </c>
      <c r="Y229" s="67" t="s">
        <v>282</v>
      </c>
      <c r="Z229" s="67" t="s">
        <v>282</v>
      </c>
      <c r="AA229" s="69" t="s">
        <v>978</v>
      </c>
      <c r="AB229" s="67"/>
      <c r="AC229" s="67"/>
      <c r="AD229" s="67"/>
      <c r="AE229" s="67"/>
      <c r="AF229" s="108"/>
      <c r="AG229" s="67"/>
      <c r="AH229" s="68"/>
      <c r="AI229" s="68"/>
      <c r="AJ229" s="68"/>
      <c r="AK229" s="67"/>
      <c r="AL229" s="67"/>
      <c r="AM229" s="68"/>
      <c r="AN229" s="68"/>
      <c r="AO229" s="68"/>
      <c r="AP229" s="68"/>
      <c r="AQ229" s="68"/>
      <c r="AR229" s="68"/>
      <c r="AS229" s="68"/>
      <c r="AT229" s="67">
        <f t="shared" ca="1" si="22"/>
        <v>0</v>
      </c>
      <c r="AU229" s="79">
        <f t="shared" ca="1" si="23"/>
        <v>100</v>
      </c>
      <c r="AV229" s="79" t="str" cm="1">
        <f t="array" aca="1" ref="AV229" ca="1">IFERROR(_xlfn.IFS($AU229="","",$AU229&lt;=15,"0-15",AND($AU229&gt;=16,$AU229&lt;=30),"16-30",AND($AU229&gt;=31,$AU229&lt;=45),"31-45",AND($AU229&gt;=46,$AU229&lt;=60),"46-60",AND($AU229&gt;=61,$AU229&lt;=90),"61-90",AND($AU229&gt;=91),"&gt; 90",AND($AU229&gt;=2000),""),"")</f>
        <v>&gt; 90</v>
      </c>
      <c r="AW229" s="79" t="str" cm="1">
        <f t="array" aca="1" ref="AW229" ca="1">IFERROR(_xlfn.IFS(OR($M229="",$AM229=""),"",OR($C229="Offered",$C229="Joined"),($AM229-$M229)-$AT229),"")</f>
        <v/>
      </c>
      <c r="AX229" s="79" t="str" cm="1">
        <f t="array" aca="1" ref="AX229" ca="1">IFERROR(_xlfn.IFS(OR($M229="",$AS229=""),"",$C229="Joined",($AS229-$M229)-$AT229),"")</f>
        <v/>
      </c>
      <c r="AY229" s="67" t="str">
        <f>IFERROR(IF(COUNTIFS('Candidate Tracker'!$E:$E,'Positions Tracker'!$B229,'Candidate Tracker'!$C:$C,"Offer Drop")=0,"",COUNTIFS('Candidate Tracker'!$E:$E,'Positions Tracker'!$B229,'Candidate Tracker'!$C:$C,"Offer Drop")),"")</f>
        <v/>
      </c>
      <c r="AZ229" s="80">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0.88111888111888115</v>
      </c>
      <c r="BA229" s="81" t="str">
        <f>IFERROR(IF(COUNTIFS('Candidate Tracker'!$E:$E,'Positions Tracker'!$B229,'Candidate Tracker'!$I:$I,"Female")=0,"",COUNTIFS('Candidate Tracker'!$E:$E,'Positions Tracker'!$B229,'Candidate Tracker'!$I:$I,"Female")),"")</f>
        <v/>
      </c>
      <c r="BB229" s="81" t="str">
        <f>IFERROR(IF(COUNTIFS('Candidate Tracker'!$E:$E,'Positions Tracker'!$B229,'Candidate Tracker'!$I:$I,"male")=0,"",COUNTIFS('Candidate Tracker'!$E:$E,'Positions Tracker'!$B229,'Candidate Tracker'!$I:$I,"male")),"")</f>
        <v/>
      </c>
      <c r="BC229" s="80" t="str">
        <f>IFERROR(IF(COUNTIFS('Candidate Tracker'!$E:$E,'Positions Tracker'!$B229,'Candidate Tracker'!$C:$C,"&lt;&gt;WIP",'Candidate Tracker'!$C:$C,"&lt;&gt;Hold",'Candidate Tracker'!$C:$C,"&lt;&gt;Cancelled",'Candidate Tracker'!$C:$C,"&lt;&gt;Closed")/COUNTIFS('Candidate Tracker'!$E:$E,'Positions Tracker'!$B229)=0,"",COUNTIFS('Candidate Tracker'!$E:$E,'Positions Tracker'!$B229,'Candidate Tracker'!$C:$C,"&lt;&gt;WIP",'Candidate Tracker'!$C:$C,"&lt;&gt;Hold",'Candidate Tracker'!$C:$C,"&lt;&gt;Cancelled",'Candidate Tracker'!$C:$C,"&lt;&gt;Closed")/COUNTIFS('Candidate Tracker'!$E:$E,'Positions Tracker'!$B229)),"")</f>
        <v/>
      </c>
      <c r="BD229" s="67" t="str">
        <f t="shared" si="17"/>
        <v>Sep-25</v>
      </c>
      <c r="BE229" s="67" t="str">
        <f t="shared" si="18"/>
        <v/>
      </c>
      <c r="BF229" s="67" t="str">
        <f t="shared" si="19"/>
        <v/>
      </c>
      <c r="BG229" s="67" t="str">
        <f t="shared" si="20"/>
        <v/>
      </c>
    </row>
    <row r="230" spans="1:59">
      <c r="A230" s="67">
        <f t="shared" si="21"/>
        <v>229</v>
      </c>
      <c r="B230" s="67">
        <v>20258602</v>
      </c>
      <c r="C230" s="67" t="s">
        <v>2</v>
      </c>
      <c r="D230" s="67" t="s">
        <v>845</v>
      </c>
      <c r="E230" s="67" t="s">
        <v>391</v>
      </c>
      <c r="F230" s="67" t="s">
        <v>158</v>
      </c>
      <c r="G230" s="67" t="s">
        <v>3</v>
      </c>
      <c r="H230" s="67" t="s">
        <v>68</v>
      </c>
      <c r="I230" s="67" t="s">
        <v>977</v>
      </c>
      <c r="J230" s="82"/>
      <c r="K230" s="68">
        <v>45905</v>
      </c>
      <c r="L230" s="68">
        <v>45911</v>
      </c>
      <c r="M230" s="68">
        <v>45915</v>
      </c>
      <c r="N230" s="67" t="s">
        <v>153</v>
      </c>
      <c r="O230" s="67"/>
      <c r="P230" s="67"/>
      <c r="Q230" s="67"/>
      <c r="R230" s="67"/>
      <c r="S230" s="67"/>
      <c r="T230" s="67"/>
      <c r="U230" s="67"/>
      <c r="V230" s="67"/>
      <c r="W230" s="67"/>
      <c r="X230" s="67" t="s">
        <v>72</v>
      </c>
      <c r="Y230" s="67" t="s">
        <v>282</v>
      </c>
      <c r="Z230" s="67" t="s">
        <v>282</v>
      </c>
      <c r="AA230" s="67" t="s">
        <v>979</v>
      </c>
      <c r="AB230" s="67"/>
      <c r="AC230" s="67"/>
      <c r="AD230" s="67"/>
      <c r="AE230" s="67"/>
      <c r="AF230" s="67"/>
      <c r="AG230" s="67"/>
      <c r="AH230" s="67"/>
      <c r="AI230" s="68"/>
      <c r="AJ230" s="67"/>
      <c r="AK230" s="67"/>
      <c r="AL230" s="67"/>
      <c r="AM230" s="68"/>
      <c r="AN230" s="68"/>
      <c r="AO230" s="67"/>
      <c r="AP230" s="67"/>
      <c r="AQ230" s="68"/>
      <c r="AR230" s="68"/>
      <c r="AS230" s="68"/>
      <c r="AT230" s="67">
        <f t="shared" ca="1" si="22"/>
        <v>0</v>
      </c>
      <c r="AU230" s="79">
        <f t="shared" ca="1" si="23"/>
        <v>86</v>
      </c>
      <c r="AV230" s="79" t="str" cm="1">
        <f t="array" aca="1" ref="AV230" ca="1">IFERROR(_xlfn.IFS($AU230="","",$AU230&lt;=15,"0-15",AND($AU230&gt;=16,$AU230&lt;=30),"16-30",AND($AU230&gt;=31,$AU230&lt;=45),"31-45",AND($AU230&gt;=46,$AU230&lt;=60),"46-60",AND($AU230&gt;=61,$AU230&lt;=90),"61-90",AND($AU230&gt;=91),"&gt; 90",AND($AU230&gt;=2000),""),"")</f>
        <v>61-90</v>
      </c>
      <c r="AW230" s="79" t="str" cm="1">
        <f t="array" aca="1" ref="AW230" ca="1">IFERROR(_xlfn.IFS(OR($M230="",$AM230=""),"",OR($C230="Offered",$C230="Joined"),($AM230-$M230)-$AT230),"")</f>
        <v/>
      </c>
      <c r="AX230" s="79" t="str" cm="1">
        <f t="array" aca="1" ref="AX230" ca="1">IFERROR(_xlfn.IFS(OR($M230="",$AS230=""),"",$C230="Joined",($AS230-$M230)-$AT230),"")</f>
        <v/>
      </c>
      <c r="AY230" s="67" t="str">
        <f>IFERROR(IF(COUNTIFS('Candidate Tracker'!$E:$E,'Positions Tracker'!$B230,'Candidate Tracker'!$C:$C,"Offer Drop")=0,"",COUNTIFS('Candidate Tracker'!$E:$E,'Positions Tracker'!$B230,'Candidate Tracker'!$C:$C,"Offer Drop")),"")</f>
        <v/>
      </c>
      <c r="AZ230" s="80">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0.88111888111888115</v>
      </c>
      <c r="BA230" s="81" t="str">
        <f>IFERROR(IF(COUNTIFS('Candidate Tracker'!$E:$E,'Positions Tracker'!$B230,'Candidate Tracker'!$I:$I,"Female")=0,"",COUNTIFS('Candidate Tracker'!$E:$E,'Positions Tracker'!$B230,'Candidate Tracker'!$I:$I,"Female")),"")</f>
        <v/>
      </c>
      <c r="BB230" s="81" t="str">
        <f>IFERROR(IF(COUNTIFS('Candidate Tracker'!$E:$E,'Positions Tracker'!$B230,'Candidate Tracker'!$I:$I,"male")=0,"",COUNTIFS('Candidate Tracker'!$E:$E,'Positions Tracker'!$B230,'Candidate Tracker'!$I:$I,"male")),"")</f>
        <v/>
      </c>
      <c r="BC230" s="80" t="str">
        <f>IFERROR(IF(COUNTIFS('Candidate Tracker'!$E:$E,'Positions Tracker'!$B230,'Candidate Tracker'!$C:$C,"&lt;&gt;WIP",'Candidate Tracker'!$C:$C,"&lt;&gt;Hold",'Candidate Tracker'!$C:$C,"&lt;&gt;Cancelled",'Candidate Tracker'!$C:$C,"&lt;&gt;Closed")/COUNTIFS('Candidate Tracker'!$E:$E,'Positions Tracker'!$B230)=0,"",COUNTIFS('Candidate Tracker'!$E:$E,'Positions Tracker'!$B230,'Candidate Tracker'!$C:$C,"&lt;&gt;WIP",'Candidate Tracker'!$C:$C,"&lt;&gt;Hold",'Candidate Tracker'!$C:$C,"&lt;&gt;Cancelled",'Candidate Tracker'!$C:$C,"&lt;&gt;Closed")/COUNTIFS('Candidate Tracker'!$E:$E,'Positions Tracker'!$B230)),"")</f>
        <v/>
      </c>
      <c r="BD230" s="67" t="str">
        <f t="shared" si="17"/>
        <v>Sep-25</v>
      </c>
      <c r="BE230" s="67" t="str">
        <f t="shared" si="18"/>
        <v/>
      </c>
      <c r="BF230" s="67" t="str">
        <f t="shared" si="19"/>
        <v/>
      </c>
      <c r="BG230" s="67" t="str">
        <f t="shared" si="20"/>
        <v/>
      </c>
    </row>
    <row r="231" spans="1:59">
      <c r="A231" s="67">
        <f t="shared" si="21"/>
        <v>230</v>
      </c>
      <c r="B231" s="67">
        <v>20258486</v>
      </c>
      <c r="C231" s="67" t="s">
        <v>885</v>
      </c>
      <c r="D231" s="67" t="s">
        <v>886</v>
      </c>
      <c r="E231" s="67" t="s">
        <v>980</v>
      </c>
      <c r="F231" s="67" t="s">
        <v>981</v>
      </c>
      <c r="G231" s="67" t="s">
        <v>1</v>
      </c>
      <c r="H231" s="67" t="s">
        <v>982</v>
      </c>
      <c r="I231" s="67" t="s">
        <v>983</v>
      </c>
      <c r="J231" s="67" t="s">
        <v>70</v>
      </c>
      <c r="K231" s="68">
        <v>45905</v>
      </c>
      <c r="L231" s="68">
        <v>45905</v>
      </c>
      <c r="M231" s="68">
        <v>45905</v>
      </c>
      <c r="N231" s="67" t="s">
        <v>815</v>
      </c>
      <c r="O231" s="67"/>
      <c r="P231" s="67"/>
      <c r="Q231" s="67"/>
      <c r="R231" s="67"/>
      <c r="S231" s="67"/>
      <c r="T231" s="67"/>
      <c r="U231" s="67"/>
      <c r="V231" s="67"/>
      <c r="W231" s="67"/>
      <c r="X231" s="67" t="s">
        <v>72</v>
      </c>
      <c r="Y231" s="67" t="s">
        <v>73</v>
      </c>
      <c r="Z231" s="67" t="s">
        <v>73</v>
      </c>
      <c r="AA231" s="67" t="s">
        <v>984</v>
      </c>
      <c r="AB231" s="67"/>
      <c r="AC231" s="67"/>
      <c r="AD231" s="67"/>
      <c r="AE231" s="67" t="s">
        <v>985</v>
      </c>
      <c r="AF231">
        <v>9775773844</v>
      </c>
      <c r="AG231" s="67" t="s">
        <v>986</v>
      </c>
      <c r="AH231" s="67" t="s">
        <v>123</v>
      </c>
      <c r="AI231" s="68">
        <v>45961</v>
      </c>
      <c r="AJ231" s="67"/>
      <c r="AK231" s="67" t="s">
        <v>708</v>
      </c>
      <c r="AL231" s="70">
        <v>830000</v>
      </c>
      <c r="AM231" s="68">
        <v>45966</v>
      </c>
      <c r="AN231" s="68"/>
      <c r="AO231" s="67"/>
      <c r="AP231" s="67"/>
      <c r="AQ231" s="68"/>
      <c r="AR231" s="68"/>
      <c r="AS231" s="68"/>
      <c r="AT231" s="67">
        <f t="shared" ca="1" si="22"/>
        <v>0</v>
      </c>
      <c r="AU231" s="79">
        <f t="shared" ca="1" si="23"/>
        <v>96</v>
      </c>
      <c r="AV231" s="79" t="str" cm="1">
        <f t="array" aca="1" ref="AV231" ca="1">IFERROR(_xlfn.IFS($AU231="","",$AU231&lt;=15,"0-15",AND($AU231&gt;=16,$AU231&lt;=30),"16-30",AND($AU231&gt;=31,$AU231&lt;=45),"31-45",AND($AU231&gt;=46,$AU231&lt;=60),"46-60",AND($AU231&gt;=61,$AU231&lt;=90),"61-90",AND($AU231&gt;=91),"&gt; 90",AND($AU231&gt;=2000),""),"")</f>
        <v>&gt; 90</v>
      </c>
      <c r="AW231" s="79" t="str" cm="1">
        <f t="array" aca="1" ref="AW231" ca="1">IFERROR(_xlfn.IFS(OR($M231="",$AM231=""),"",OR($C231="Offered",$C231="Joined"),($AM231-$M231)-$AT231),"")</f>
        <v/>
      </c>
      <c r="AX231" s="79" t="str" cm="1">
        <f t="array" aca="1" ref="AX231" ca="1">IFERROR(_xlfn.IFS(OR($M231="",$AS231=""),"",$C231="Joined",($AS231-$M231)-$AT231),"")</f>
        <v/>
      </c>
      <c r="AY231" s="67" t="str">
        <f>IFERROR(IF(COUNTIFS('Candidate Tracker'!$E:$E,'Positions Tracker'!$B231,'Candidate Tracker'!$C:$C,"Offer Drop")=0,"",COUNTIFS('Candidate Tracker'!$E:$E,'Positions Tracker'!$B231,'Candidate Tracker'!$C:$C,"Offer Drop")),"")</f>
        <v/>
      </c>
      <c r="AZ231" s="80">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0.88111888111888115</v>
      </c>
      <c r="BA231" s="81" t="str">
        <f>IFERROR(IF(COUNTIFS('Candidate Tracker'!$E:$E,'Positions Tracker'!$B231,'Candidate Tracker'!$I:$I,"Female")=0,"",COUNTIFS('Candidate Tracker'!$E:$E,'Positions Tracker'!$B231,'Candidate Tracker'!$I:$I,"Female")),"")</f>
        <v/>
      </c>
      <c r="BB231" s="81" t="str">
        <f>IFERROR(IF(COUNTIFS('Candidate Tracker'!$E:$E,'Positions Tracker'!$B231,'Candidate Tracker'!$I:$I,"male")=0,"",COUNTIFS('Candidate Tracker'!$E:$E,'Positions Tracker'!$B231,'Candidate Tracker'!$I:$I,"male")),"")</f>
        <v/>
      </c>
      <c r="BC231" s="80" t="str">
        <f>IFERROR(IF(COUNTIFS('Candidate Tracker'!$E:$E,'Positions Tracker'!$B231,'Candidate Tracker'!$C:$C,"&lt;&gt;WIP",'Candidate Tracker'!$C:$C,"&lt;&gt;Hold",'Candidate Tracker'!$C:$C,"&lt;&gt;Cancelled",'Candidate Tracker'!$C:$C,"&lt;&gt;Closed")/COUNTIFS('Candidate Tracker'!$E:$E,'Positions Tracker'!$B231)=0,"",COUNTIFS('Candidate Tracker'!$E:$E,'Positions Tracker'!$B231,'Candidate Tracker'!$C:$C,"&lt;&gt;WIP",'Candidate Tracker'!$C:$C,"&lt;&gt;Hold",'Candidate Tracker'!$C:$C,"&lt;&gt;Cancelled",'Candidate Tracker'!$C:$C,"&lt;&gt;Closed")/COUNTIFS('Candidate Tracker'!$E:$E,'Positions Tracker'!$B231)),"")</f>
        <v/>
      </c>
      <c r="BD231" s="67" t="str">
        <f t="shared" si="17"/>
        <v>Sep-25</v>
      </c>
      <c r="BE231" s="115">
        <v>45931</v>
      </c>
      <c r="BF231" s="115">
        <v>45962</v>
      </c>
      <c r="BG231" s="67" t="str">
        <f t="shared" si="20"/>
        <v/>
      </c>
    </row>
    <row r="232" spans="1:59">
      <c r="A232" s="67">
        <f t="shared" si="21"/>
        <v>231</v>
      </c>
      <c r="B232" s="67">
        <v>20258495</v>
      </c>
      <c r="C232" s="67" t="s">
        <v>400</v>
      </c>
      <c r="D232" s="67" t="s">
        <v>952</v>
      </c>
      <c r="E232" s="67" t="s">
        <v>133</v>
      </c>
      <c r="F232" s="67" t="s">
        <v>987</v>
      </c>
      <c r="G232" s="67" t="s">
        <v>1</v>
      </c>
      <c r="H232" s="67" t="s">
        <v>982</v>
      </c>
      <c r="I232" s="67" t="s">
        <v>988</v>
      </c>
      <c r="J232" s="82" t="s">
        <v>70</v>
      </c>
      <c r="K232" s="68">
        <v>45904</v>
      </c>
      <c r="L232" s="68">
        <v>45904</v>
      </c>
      <c r="M232" s="68">
        <v>45904</v>
      </c>
      <c r="N232" s="67" t="s">
        <v>136</v>
      </c>
      <c r="O232" s="67"/>
      <c r="P232" s="67"/>
      <c r="Q232" s="67"/>
      <c r="R232" s="67"/>
      <c r="S232" s="67"/>
      <c r="T232" s="67"/>
      <c r="U232" s="67"/>
      <c r="V232" s="67"/>
      <c r="W232" s="67"/>
      <c r="X232" s="67" t="s">
        <v>72</v>
      </c>
      <c r="Y232" s="67" t="s">
        <v>73</v>
      </c>
      <c r="Z232" s="67" t="s">
        <v>73</v>
      </c>
      <c r="AA232" s="67" t="s">
        <v>989</v>
      </c>
      <c r="AB232" s="67"/>
      <c r="AC232" s="67"/>
      <c r="AD232" s="67"/>
      <c r="AE232" s="109" t="s">
        <v>990</v>
      </c>
      <c r="AF232" s="111">
        <v>7391040582</v>
      </c>
      <c r="AG232" s="94" t="s">
        <v>991</v>
      </c>
      <c r="AH232" s="67" t="s">
        <v>123</v>
      </c>
      <c r="AI232" s="68">
        <v>45938</v>
      </c>
      <c r="AJ232" s="68">
        <v>45945</v>
      </c>
      <c r="AK232" s="67" t="s">
        <v>72</v>
      </c>
      <c r="AL232" s="113">
        <v>2000000</v>
      </c>
      <c r="AM232" s="68">
        <v>45940</v>
      </c>
      <c r="AN232" s="68">
        <v>45945</v>
      </c>
      <c r="AO232" s="68" t="s">
        <v>858</v>
      </c>
      <c r="AP232" s="112">
        <v>45947</v>
      </c>
      <c r="AQ232" s="68">
        <v>45954</v>
      </c>
      <c r="AR232" s="68"/>
      <c r="AS232" s="68">
        <v>46009</v>
      </c>
      <c r="AT232" s="67">
        <f t="shared" ca="1" si="22"/>
        <v>0</v>
      </c>
      <c r="AU232" s="79" t="str">
        <f t="shared" ca="1" si="23"/>
        <v/>
      </c>
      <c r="AV232" s="79" t="str" cm="1">
        <f t="array" aca="1" ref="AV232" ca="1">IFERROR(_xlfn.IFS($AU232="","",$AU232&lt;=15,"0-15",AND($AU232&gt;=16,$AU232&lt;=30),"16-30",AND($AU232&gt;=31,$AU232&lt;=45),"31-45",AND($AU232&gt;=46,$AU232&lt;=60),"46-60",AND($AU232&gt;=61,$AU232&lt;=90),"61-90",AND($AU232&gt;=91),"&gt; 90",AND($AU232&gt;=2000),""),"")</f>
        <v/>
      </c>
      <c r="AW232" s="79" cm="1">
        <f t="array" aca="1" ref="AW232" ca="1">IFERROR(_xlfn.IFS(OR($M232="",$AM232=""),"",OR($C232="Offered",$C232="Joined"),($AM232-$M232)-$AT232),"")</f>
        <v>36</v>
      </c>
      <c r="AX232" s="79" t="str" cm="1">
        <f t="array" aca="1" ref="AX232" ca="1">IFERROR(_xlfn.IFS(OR($M232="",$AS232=""),"",$C232="Joined",($AS232-$M232)-$AT232),"")</f>
        <v/>
      </c>
      <c r="AY232" s="67" t="str">
        <f>IFERROR(IF(COUNTIFS('Candidate Tracker'!$E:$E,'Positions Tracker'!$B232,'Candidate Tracker'!$C:$C,"Offer Drop")=0,"",COUNTIFS('Candidate Tracker'!$E:$E,'Positions Tracker'!$B232,'Candidate Tracker'!$C:$C,"Offer Drop")),"")</f>
        <v/>
      </c>
      <c r="AZ232" s="80">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0.88111888111888115</v>
      </c>
      <c r="BA232" s="81" t="str">
        <f>IFERROR(IF(COUNTIFS('Candidate Tracker'!$E:$E,'Positions Tracker'!$B232,'Candidate Tracker'!$I:$I,"Female")=0,"",COUNTIFS('Candidate Tracker'!$E:$E,'Positions Tracker'!$B232,'Candidate Tracker'!$I:$I,"Female")),"")</f>
        <v/>
      </c>
      <c r="BB232" s="81" t="str">
        <f>IFERROR(IF(COUNTIFS('Candidate Tracker'!$E:$E,'Positions Tracker'!$B232,'Candidate Tracker'!$I:$I,"male")=0,"",COUNTIFS('Candidate Tracker'!$E:$E,'Positions Tracker'!$B232,'Candidate Tracker'!$I:$I,"male")),"")</f>
        <v/>
      </c>
      <c r="BC232" s="80" t="str">
        <f>IFERROR(IF(COUNTIFS('Candidate Tracker'!$E:$E,'Positions Tracker'!$B232,'Candidate Tracker'!$C:$C,"&lt;&gt;WIP",'Candidate Tracker'!$C:$C,"&lt;&gt;Hold",'Candidate Tracker'!$C:$C,"&lt;&gt;Cancelled",'Candidate Tracker'!$C:$C,"&lt;&gt;Closed")/COUNTIFS('Candidate Tracker'!$E:$E,'Positions Tracker'!$B232)=0,"",COUNTIFS('Candidate Tracker'!$E:$E,'Positions Tracker'!$B232,'Candidate Tracker'!$C:$C,"&lt;&gt;WIP",'Candidate Tracker'!$C:$C,"&lt;&gt;Hold",'Candidate Tracker'!$C:$C,"&lt;&gt;Cancelled",'Candidate Tracker'!$C:$C,"&lt;&gt;Closed")/COUNTIFS('Candidate Tracker'!$E:$E,'Positions Tracker'!$B232)),"")</f>
        <v/>
      </c>
      <c r="BD232" s="67" t="str">
        <f t="shared" si="17"/>
        <v>Sep-25</v>
      </c>
      <c r="BE232" s="67" t="str">
        <f t="shared" si="18"/>
        <v>Oct-25</v>
      </c>
      <c r="BF232" s="67" t="str">
        <f t="shared" si="19"/>
        <v>Oct-25</v>
      </c>
      <c r="BG232" s="67" t="str">
        <f t="shared" si="20"/>
        <v>Dec-25</v>
      </c>
    </row>
    <row r="233" spans="1:59">
      <c r="A233" s="67">
        <f t="shared" si="21"/>
        <v>232</v>
      </c>
      <c r="B233" s="55">
        <v>20242407</v>
      </c>
      <c r="C233" s="55" t="s">
        <v>400</v>
      </c>
      <c r="D233" s="55" t="s">
        <v>952</v>
      </c>
      <c r="E233" s="55" t="s">
        <v>401</v>
      </c>
      <c r="F233" s="86" t="s">
        <v>402</v>
      </c>
      <c r="G233" s="86" t="s">
        <v>3</v>
      </c>
      <c r="H233" s="87" t="s">
        <v>68</v>
      </c>
      <c r="I233" s="67" t="s">
        <v>403</v>
      </c>
      <c r="J233" s="90" t="s">
        <v>70</v>
      </c>
      <c r="K233" s="91">
        <v>45594</v>
      </c>
      <c r="L233" s="92">
        <v>45603</v>
      </c>
      <c r="M233" s="92">
        <v>45629</v>
      </c>
      <c r="N233" s="90" t="s">
        <v>82</v>
      </c>
      <c r="O233" s="55"/>
      <c r="P233" s="55"/>
      <c r="Q233" s="55"/>
      <c r="R233" s="55"/>
      <c r="S233" s="55"/>
      <c r="T233" s="55"/>
      <c r="U233" s="55"/>
      <c r="V233" s="55"/>
      <c r="W233" s="55"/>
      <c r="X233" s="67" t="s">
        <v>72</v>
      </c>
      <c r="Y233" s="67" t="s">
        <v>282</v>
      </c>
      <c r="Z233" s="67" t="s">
        <v>282</v>
      </c>
      <c r="AA233" s="67" t="s">
        <v>404</v>
      </c>
      <c r="AB233" s="55"/>
      <c r="AC233" s="55"/>
      <c r="AD233" s="55"/>
      <c r="AE233" s="55" t="s">
        <v>992</v>
      </c>
      <c r="AF233" s="55"/>
      <c r="AG233" s="88" t="s">
        <v>993</v>
      </c>
      <c r="AH233" s="55" t="s">
        <v>123</v>
      </c>
      <c r="AI233" s="58">
        <v>45895</v>
      </c>
      <c r="AJ233" s="58">
        <v>45898</v>
      </c>
      <c r="AK233" s="55" t="s">
        <v>72</v>
      </c>
      <c r="AL233" s="55">
        <v>1500000</v>
      </c>
      <c r="AM233" s="58">
        <v>45901</v>
      </c>
      <c r="AN233" s="58">
        <v>45932</v>
      </c>
      <c r="AO233" s="55"/>
      <c r="AP233" s="58">
        <v>45912</v>
      </c>
      <c r="AQ233" s="58">
        <v>45912</v>
      </c>
      <c r="AR233" s="58"/>
      <c r="AS233" s="58">
        <v>46006</v>
      </c>
      <c r="AT233" s="67">
        <f t="shared" ca="1" si="22"/>
        <v>0</v>
      </c>
      <c r="AU233" s="79" t="str">
        <f t="shared" ca="1" si="23"/>
        <v/>
      </c>
      <c r="AV233" s="79" t="str" cm="1">
        <f t="array" aca="1" ref="AV233" ca="1">IFERROR(_xlfn.IFS($AU233="","",$AU233&lt;=15,"0-15",AND($AU233&gt;=16,$AU233&lt;=30),"16-30",AND($AU233&gt;=31,$AU233&lt;=45),"31-45",AND($AU233&gt;=46,$AU233&lt;=60),"46-60",AND($AU233&gt;=61,$AU233&lt;=90),"61-90",AND($AU233&gt;=91),"&gt; 90",AND($AU233&gt;=2000),""),"")</f>
        <v/>
      </c>
      <c r="AW233" s="79" cm="1">
        <f t="array" aca="1" ref="AW233" ca="1">IFERROR(_xlfn.IFS(OR($M233="",$AM233=""),"",OR($C233="Offered",$C233="Joined"),($AM233-$M233)-$AT233),"")</f>
        <v>272</v>
      </c>
      <c r="AX233" s="79" t="str" cm="1">
        <f t="array" aca="1" ref="AX233" ca="1">IFERROR(_xlfn.IFS(OR($M233="",$AS233=""),"",$C233="Joined",($AS233-$M233)-$AT233),"")</f>
        <v/>
      </c>
      <c r="AY233" s="67" t="str">
        <f>IFERROR(IF(COUNTIFS('Candidate Tracker'!$E:$E,'Positions Tracker'!$B233,'Candidate Tracker'!$C:$C,"Offer Drop")=0,"",COUNTIFS('Candidate Tracker'!$E:$E,'Positions Tracker'!$B233,'Candidate Tracker'!$C:$C,"Offer Drop")),"")</f>
        <v/>
      </c>
      <c r="AZ233" s="80">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0.88111888111888115</v>
      </c>
      <c r="BA233" s="81" t="str">
        <f>IFERROR(IF(COUNTIFS('Candidate Tracker'!$E:$E,'Positions Tracker'!$B233,'Candidate Tracker'!$I:$I,"Female")=0,"",COUNTIFS('Candidate Tracker'!$E:$E,'Positions Tracker'!$B233,'Candidate Tracker'!$I:$I,"Female")),"")</f>
        <v/>
      </c>
      <c r="BB233" s="81" t="str">
        <f>IFERROR(IF(COUNTIFS('Candidate Tracker'!$E:$E,'Positions Tracker'!$B233,'Candidate Tracker'!$I:$I,"male")=0,"",COUNTIFS('Candidate Tracker'!$E:$E,'Positions Tracker'!$B233,'Candidate Tracker'!$I:$I,"male")),"")</f>
        <v/>
      </c>
      <c r="BC233" s="80" t="str">
        <f>IFERROR(IF(COUNTIFS('Candidate Tracker'!$E:$E,'Positions Tracker'!$B233,'Candidate Tracker'!$C:$C,"&lt;&gt;WIP",'Candidate Tracker'!$C:$C,"&lt;&gt;Hold",'Candidate Tracker'!$C:$C,"&lt;&gt;Cancelled",'Candidate Tracker'!$C:$C,"&lt;&gt;Closed")/COUNTIFS('Candidate Tracker'!$E:$E,'Positions Tracker'!$B233)=0,"",COUNTIFS('Candidate Tracker'!$E:$E,'Positions Tracker'!$B233,'Candidate Tracker'!$C:$C,"&lt;&gt;WIP",'Candidate Tracker'!$C:$C,"&lt;&gt;Hold",'Candidate Tracker'!$C:$C,"&lt;&gt;Cancelled",'Candidate Tracker'!$C:$C,"&lt;&gt;Closed")/COUNTIFS('Candidate Tracker'!$E:$E,'Positions Tracker'!$B233)),"")</f>
        <v/>
      </c>
      <c r="BD233" s="67" t="str">
        <f t="shared" si="17"/>
        <v>Dec-24</v>
      </c>
      <c r="BE233" s="67" t="str">
        <f t="shared" si="18"/>
        <v>Aug-25</v>
      </c>
      <c r="BF233" s="67" t="str">
        <f t="shared" si="19"/>
        <v>Sep-25</v>
      </c>
      <c r="BG233" s="67" t="str">
        <f t="shared" si="20"/>
        <v>Dec-25</v>
      </c>
    </row>
    <row r="234" spans="1:59">
      <c r="A234" s="67">
        <f t="shared" si="21"/>
        <v>233</v>
      </c>
      <c r="B234" s="95">
        <v>20257807</v>
      </c>
      <c r="C234" s="64" t="s">
        <v>55</v>
      </c>
      <c r="D234" s="56" t="s">
        <v>80</v>
      </c>
      <c r="E234" s="95" t="s">
        <v>994</v>
      </c>
      <c r="F234" s="56" t="s">
        <v>801</v>
      </c>
      <c r="G234" s="56" t="s">
        <v>3</v>
      </c>
      <c r="H234" s="56" t="s">
        <v>68</v>
      </c>
      <c r="I234" s="67" t="s">
        <v>431</v>
      </c>
      <c r="J234" s="6" t="s">
        <v>94</v>
      </c>
      <c r="K234" s="57"/>
      <c r="L234" s="57"/>
      <c r="M234" s="57"/>
      <c r="N234" s="56"/>
      <c r="O234" s="56"/>
      <c r="P234" s="56"/>
      <c r="Q234" s="56"/>
      <c r="R234" s="56"/>
      <c r="S234" s="56"/>
      <c r="T234" s="56"/>
      <c r="U234" s="56"/>
      <c r="V234" s="56"/>
      <c r="W234" s="56"/>
      <c r="X234" s="56" t="s">
        <v>72</v>
      </c>
      <c r="Y234" s="56" t="s">
        <v>282</v>
      </c>
      <c r="Z234" s="56" t="s">
        <v>282</v>
      </c>
      <c r="AA234" s="56"/>
      <c r="AB234" s="56"/>
      <c r="AC234" s="56"/>
      <c r="AD234" s="56"/>
      <c r="AE234" s="95" t="s">
        <v>995</v>
      </c>
      <c r="AF234" s="95">
        <v>9487405532</v>
      </c>
      <c r="AG234" s="95" t="s">
        <v>996</v>
      </c>
      <c r="AH234" s="56" t="s">
        <v>123</v>
      </c>
      <c r="AI234" s="58">
        <v>45869</v>
      </c>
      <c r="AJ234" s="57">
        <v>45876</v>
      </c>
      <c r="AK234" s="56" t="s">
        <v>72</v>
      </c>
      <c r="AL234" s="56">
        <v>1200000</v>
      </c>
      <c r="AM234" s="57">
        <v>45879</v>
      </c>
      <c r="AN234" s="57">
        <v>45880</v>
      </c>
      <c r="AO234" s="57">
        <v>45954</v>
      </c>
      <c r="AP234" s="57">
        <v>45887</v>
      </c>
      <c r="AQ234" s="57">
        <v>45887</v>
      </c>
      <c r="AR234" s="57"/>
      <c r="AS234" s="57">
        <v>45957</v>
      </c>
      <c r="AT234" s="67">
        <f t="shared" ca="1" si="22"/>
        <v>0</v>
      </c>
      <c r="AU234" s="79" t="str">
        <f t="shared" ca="1" si="23"/>
        <v/>
      </c>
      <c r="AV234" s="79" t="str" cm="1">
        <f t="array" aca="1" ref="AV234" ca="1">IFERROR(_xlfn.IFS($AU234="","",$AU234&lt;=15,"0-15",AND($AU234&gt;=16,$AU234&lt;=30),"16-30",AND($AU234&gt;=31,$AU234&lt;=45),"31-45",AND($AU234&gt;=46,$AU234&lt;=60),"46-60",AND($AU234&gt;=61,$AU234&lt;=90),"61-90",AND($AU234&gt;=91),"&gt; 90",AND($AU234&gt;=2000),""),"")</f>
        <v/>
      </c>
      <c r="AW234" s="79" t="str" cm="1">
        <f t="array" aca="1" ref="AW234" ca="1">IFERROR(_xlfn.IFS(OR($M234="",$AM234=""),"",OR($C234="Offered",$C234="Joined"),($AM234-$M234)-$AT234),"")</f>
        <v/>
      </c>
      <c r="AX234" s="79" t="str" cm="1">
        <f t="array" aca="1" ref="AX234" ca="1">IFERROR(_xlfn.IFS(OR($M234="",$AS234=""),"",$C234="Joined",($AS234-$M234)-$AT234),"")</f>
        <v/>
      </c>
      <c r="AY234" s="67" t="str">
        <f>IFERROR(IF(COUNTIFS('Candidate Tracker'!$E:$E,'Positions Tracker'!$B234,'Candidate Tracker'!$C:$C,"Offer Drop")=0,"",COUNTIFS('Candidate Tracker'!$E:$E,'Positions Tracker'!$B234,'Candidate Tracker'!$C:$C,"Offer Drop")),"")</f>
        <v/>
      </c>
      <c r="AZ234" s="80">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0.88111888111888115</v>
      </c>
      <c r="BA234" s="81" t="str">
        <f>IFERROR(IF(COUNTIFS('Candidate Tracker'!$E:$E,'Positions Tracker'!$B234,'Candidate Tracker'!$I:$I,"Female")=0,"",COUNTIFS('Candidate Tracker'!$E:$E,'Positions Tracker'!$B234,'Candidate Tracker'!$I:$I,"Female")),"")</f>
        <v/>
      </c>
      <c r="BB234" s="81" t="str">
        <f>IFERROR(IF(COUNTIFS('Candidate Tracker'!$E:$E,'Positions Tracker'!$B234,'Candidate Tracker'!$I:$I,"male")=0,"",COUNTIFS('Candidate Tracker'!$E:$E,'Positions Tracker'!$B234,'Candidate Tracker'!$I:$I,"male")),"")</f>
        <v/>
      </c>
      <c r="BC234" s="80" t="str">
        <f>IFERROR(IF(COUNTIFS('Candidate Tracker'!$E:$E,'Positions Tracker'!$B234,'Candidate Tracker'!$C:$C,"&lt;&gt;WIP",'Candidate Tracker'!$C:$C,"&lt;&gt;Hold",'Candidate Tracker'!$C:$C,"&lt;&gt;Cancelled",'Candidate Tracker'!$C:$C,"&lt;&gt;Closed")/COUNTIFS('Candidate Tracker'!$E:$E,'Positions Tracker'!$B234)=0,"",COUNTIFS('Candidate Tracker'!$E:$E,'Positions Tracker'!$B234,'Candidate Tracker'!$C:$C,"&lt;&gt;WIP",'Candidate Tracker'!$C:$C,"&lt;&gt;Hold",'Candidate Tracker'!$C:$C,"&lt;&gt;Cancelled",'Candidate Tracker'!$C:$C,"&lt;&gt;Closed")/COUNTIFS('Candidate Tracker'!$E:$E,'Positions Tracker'!$B234)),"")</f>
        <v/>
      </c>
      <c r="BD234" s="67" t="str">
        <f t="shared" si="17"/>
        <v/>
      </c>
      <c r="BE234" s="67" t="str">
        <f t="shared" si="18"/>
        <v>Jul-25</v>
      </c>
      <c r="BF234" s="67" t="str">
        <f t="shared" si="19"/>
        <v>Aug-25</v>
      </c>
      <c r="BG234" s="67" t="str">
        <f t="shared" si="20"/>
        <v>Oct-25</v>
      </c>
    </row>
    <row r="235" spans="1:59" ht="15" thickBot="1">
      <c r="A235" s="67">
        <f t="shared" si="21"/>
        <v>234</v>
      </c>
      <c r="B235" s="98">
        <v>20259624</v>
      </c>
      <c r="C235" s="67" t="s">
        <v>0</v>
      </c>
      <c r="D235" s="101" t="s">
        <v>87</v>
      </c>
      <c r="E235" s="56" t="s">
        <v>925</v>
      </c>
      <c r="F235" s="56" t="s">
        <v>926</v>
      </c>
      <c r="G235" s="56" t="s">
        <v>1</v>
      </c>
      <c r="H235" s="67" t="s">
        <v>982</v>
      </c>
      <c r="I235" s="67" t="s">
        <v>997</v>
      </c>
      <c r="J235" s="67" t="s">
        <v>70</v>
      </c>
      <c r="K235" s="57">
        <v>45575</v>
      </c>
      <c r="L235" s="57">
        <v>45944</v>
      </c>
      <c r="M235" s="57">
        <v>45944</v>
      </c>
      <c r="N235" s="56" t="s">
        <v>998</v>
      </c>
      <c r="O235" s="56"/>
      <c r="P235" s="56"/>
      <c r="Q235" s="56"/>
      <c r="R235" s="56"/>
      <c r="S235" s="56"/>
      <c r="T235" s="56"/>
      <c r="U235" s="56"/>
      <c r="V235" s="56"/>
      <c r="W235" s="56"/>
      <c r="X235" s="56" t="s">
        <v>870</v>
      </c>
      <c r="Y235" s="56" t="s">
        <v>73</v>
      </c>
      <c r="Z235" s="56" t="s">
        <v>73</v>
      </c>
      <c r="AA235" s="103" t="s">
        <v>999</v>
      </c>
      <c r="AB235" s="56"/>
      <c r="AC235" s="56"/>
      <c r="AD235" s="56"/>
      <c r="AE235" s="56"/>
      <c r="AF235" s="56"/>
      <c r="AG235" s="56"/>
      <c r="AH235" s="56"/>
      <c r="AI235" s="58"/>
      <c r="AJ235" s="56"/>
      <c r="AK235" s="56"/>
      <c r="AL235" s="56"/>
      <c r="AM235" s="57"/>
      <c r="AN235" s="57"/>
      <c r="AO235" s="56"/>
      <c r="AP235" s="56"/>
      <c r="AQ235" s="57"/>
      <c r="AR235" s="57"/>
      <c r="AS235" s="57"/>
      <c r="AT235" s="67">
        <f t="shared" ca="1" si="22"/>
        <v>0</v>
      </c>
      <c r="AU235" s="79">
        <f t="shared" ca="1" si="23"/>
        <v>57</v>
      </c>
      <c r="AV235" s="79" t="str" cm="1">
        <f t="array" aca="1" ref="AV235" ca="1">IFERROR(_xlfn.IFS($AU235="","",$AU235&lt;=15,"0-15",AND($AU235&gt;=16,$AU235&lt;=30),"16-30",AND($AU235&gt;=31,$AU235&lt;=45),"31-45",AND($AU235&gt;=46,$AU235&lt;=60),"46-60",AND($AU235&gt;=61,$AU235&lt;=90),"61-90",AND($AU235&gt;=91),"&gt; 90",AND($AU235&gt;=2000),""),"")</f>
        <v>46-60</v>
      </c>
      <c r="AW235" s="79" t="str" cm="1">
        <f t="array" aca="1" ref="AW235" ca="1">IFERROR(_xlfn.IFS(OR($M235="",$AM235=""),"",OR($C235="Offered",$C235="Joined"),($AM235-$M235)-$AT235),"")</f>
        <v/>
      </c>
      <c r="AX235" s="79" t="str" cm="1">
        <f t="array" aca="1" ref="AX235" ca="1">IFERROR(_xlfn.IFS(OR($M235="",$AS235=""),"",$C235="Joined",($AS235-$M235)-$AT235),"")</f>
        <v/>
      </c>
      <c r="AY235" s="67" t="str">
        <f>IFERROR(IF(COUNTIFS('Candidate Tracker'!$E:$E,'Positions Tracker'!$B235,'Candidate Tracker'!$C:$C,"Offer Drop")=0,"",COUNTIFS('Candidate Tracker'!$E:$E,'Positions Tracker'!$B235,'Candidate Tracker'!$C:$C,"Offer Drop")),"")</f>
        <v/>
      </c>
      <c r="AZ235" s="80">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0.88111888111888115</v>
      </c>
      <c r="BA235" s="81" t="str">
        <f>IFERROR(IF(COUNTIFS('Candidate Tracker'!$E:$E,'Positions Tracker'!$B235,'Candidate Tracker'!$I:$I,"Female")=0,"",COUNTIFS('Candidate Tracker'!$E:$E,'Positions Tracker'!$B235,'Candidate Tracker'!$I:$I,"Female")),"")</f>
        <v/>
      </c>
      <c r="BB235" s="81" t="str">
        <f>IFERROR(IF(COUNTIFS('Candidate Tracker'!$E:$E,'Positions Tracker'!$B235,'Candidate Tracker'!$I:$I,"male")=0,"",COUNTIFS('Candidate Tracker'!$E:$E,'Positions Tracker'!$B235,'Candidate Tracker'!$I:$I,"male")),"")</f>
        <v/>
      </c>
      <c r="BC235" s="80" t="str">
        <f>IFERROR(IF(COUNTIFS('Candidate Tracker'!$E:$E,'Positions Tracker'!$B235,'Candidate Tracker'!$C:$C,"&lt;&gt;WIP",'Candidate Tracker'!$C:$C,"&lt;&gt;Hold",'Candidate Tracker'!$C:$C,"&lt;&gt;Cancelled",'Candidate Tracker'!$C:$C,"&lt;&gt;Closed")/COUNTIFS('Candidate Tracker'!$E:$E,'Positions Tracker'!$B235)=0,"",COUNTIFS('Candidate Tracker'!$E:$E,'Positions Tracker'!$B235,'Candidate Tracker'!$C:$C,"&lt;&gt;WIP",'Candidate Tracker'!$C:$C,"&lt;&gt;Hold",'Candidate Tracker'!$C:$C,"&lt;&gt;Cancelled",'Candidate Tracker'!$C:$C,"&lt;&gt;Closed")/COUNTIFS('Candidate Tracker'!$E:$E,'Positions Tracker'!$B235)),"")</f>
        <v/>
      </c>
      <c r="BD235" s="67" t="str">
        <f t="shared" si="17"/>
        <v>Oct-25</v>
      </c>
      <c r="BE235" s="67" t="str">
        <f t="shared" si="18"/>
        <v/>
      </c>
      <c r="BF235" s="67" t="str">
        <f t="shared" si="19"/>
        <v/>
      </c>
      <c r="BG235" s="67" t="str">
        <f t="shared" si="20"/>
        <v/>
      </c>
    </row>
    <row r="236" spans="1:59" ht="15" thickBot="1">
      <c r="A236" s="67">
        <f t="shared" si="21"/>
        <v>235</v>
      </c>
      <c r="B236" s="99">
        <v>20259440</v>
      </c>
      <c r="C236" s="67" t="s">
        <v>2</v>
      </c>
      <c r="D236" s="102" t="s">
        <v>961</v>
      </c>
      <c r="E236" s="96" t="s">
        <v>1000</v>
      </c>
      <c r="F236" s="56" t="s">
        <v>926</v>
      </c>
      <c r="G236" s="56" t="s">
        <v>1</v>
      </c>
      <c r="H236" s="67" t="s">
        <v>982</v>
      </c>
      <c r="I236" s="96" t="s">
        <v>1001</v>
      </c>
      <c r="J236" s="67" t="s">
        <v>70</v>
      </c>
      <c r="K236" s="57">
        <v>45958</v>
      </c>
      <c r="L236" s="57">
        <v>45958</v>
      </c>
      <c r="M236" s="57">
        <v>45959</v>
      </c>
      <c r="N236" s="56" t="s">
        <v>1002</v>
      </c>
      <c r="O236" s="56"/>
      <c r="P236" s="56"/>
      <c r="Q236" s="56"/>
      <c r="R236" s="56"/>
      <c r="S236" s="56"/>
      <c r="T236" s="56"/>
      <c r="U236" s="56"/>
      <c r="V236" s="56"/>
      <c r="W236" s="56"/>
      <c r="X236" s="56" t="s">
        <v>870</v>
      </c>
      <c r="Y236" s="56" t="s">
        <v>73</v>
      </c>
      <c r="Z236" s="56" t="s">
        <v>73</v>
      </c>
      <c r="AA236" s="104" t="s">
        <v>1003</v>
      </c>
      <c r="AB236" s="56"/>
      <c r="AC236" s="56"/>
      <c r="AD236" s="56"/>
      <c r="AE236" s="56"/>
      <c r="AF236" s="56"/>
      <c r="AG236" s="56"/>
      <c r="AH236" s="56"/>
      <c r="AI236" s="58"/>
      <c r="AJ236" s="56"/>
      <c r="AK236" s="56"/>
      <c r="AL236" s="56"/>
      <c r="AM236" s="57"/>
      <c r="AN236" s="57"/>
      <c r="AO236" s="56"/>
      <c r="AP236" s="56"/>
      <c r="AQ236" s="57"/>
      <c r="AR236" s="57"/>
      <c r="AS236" s="57"/>
      <c r="AT236" s="67">
        <f t="shared" ca="1" si="22"/>
        <v>0</v>
      </c>
      <c r="AU236" s="79">
        <f t="shared" ca="1" si="23"/>
        <v>42</v>
      </c>
      <c r="AV236" s="79" t="str" cm="1">
        <f t="array" aca="1" ref="AV236" ca="1">IFERROR(_xlfn.IFS($AU236="","",$AU236&lt;=15,"0-15",AND($AU236&gt;=16,$AU236&lt;=30),"16-30",AND($AU236&gt;=31,$AU236&lt;=45),"31-45",AND($AU236&gt;=46,$AU236&lt;=60),"46-60",AND($AU236&gt;=61,$AU236&lt;=90),"61-90",AND($AU236&gt;=91),"&gt; 90",AND($AU236&gt;=2000),""),"")</f>
        <v>31-45</v>
      </c>
      <c r="AW236" s="79" t="str" cm="1">
        <f t="array" aca="1" ref="AW236" ca="1">IFERROR(_xlfn.IFS(OR($M236="",$AM236=""),"",OR($C236="Offered",$C236="Joined"),($AM236-$M236)-$AT236),"")</f>
        <v/>
      </c>
      <c r="AX236" s="79" t="str" cm="1">
        <f t="array" aca="1" ref="AX236" ca="1">IFERROR(_xlfn.IFS(OR($M236="",$AS236=""),"",$C236="Joined",($AS236-$M236)-$AT236),"")</f>
        <v/>
      </c>
      <c r="AY236" s="67" t="str">
        <f>IFERROR(IF(COUNTIFS('Candidate Tracker'!$E:$E,'Positions Tracker'!$B236,'Candidate Tracker'!$C:$C,"Offer Drop")=0,"",COUNTIFS('Candidate Tracker'!$E:$E,'Positions Tracker'!$B236,'Candidate Tracker'!$C:$C,"Offer Drop")),"")</f>
        <v/>
      </c>
      <c r="AZ236" s="80">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0.88111888111888115</v>
      </c>
      <c r="BA236" s="81" t="str">
        <f>IFERROR(IF(COUNTIFS('Candidate Tracker'!$E:$E,'Positions Tracker'!$B236,'Candidate Tracker'!$I:$I,"Female")=0,"",COUNTIFS('Candidate Tracker'!$E:$E,'Positions Tracker'!$B236,'Candidate Tracker'!$I:$I,"Female")),"")</f>
        <v/>
      </c>
      <c r="BB236" s="81" t="str">
        <f>IFERROR(IF(COUNTIFS('Candidate Tracker'!$E:$E,'Positions Tracker'!$B236,'Candidate Tracker'!$I:$I,"male")=0,"",COUNTIFS('Candidate Tracker'!$E:$E,'Positions Tracker'!$B236,'Candidate Tracker'!$I:$I,"male")),"")</f>
        <v/>
      </c>
      <c r="BC236" s="80" t="str">
        <f>IFERROR(IF(COUNTIFS('Candidate Tracker'!$E:$E,'Positions Tracker'!$B236,'Candidate Tracker'!$C:$C,"&lt;&gt;WIP",'Candidate Tracker'!$C:$C,"&lt;&gt;Hold",'Candidate Tracker'!$C:$C,"&lt;&gt;Cancelled",'Candidate Tracker'!$C:$C,"&lt;&gt;Closed")/COUNTIFS('Candidate Tracker'!$E:$E,'Positions Tracker'!$B236)=0,"",COUNTIFS('Candidate Tracker'!$E:$E,'Positions Tracker'!$B236,'Candidate Tracker'!$C:$C,"&lt;&gt;WIP",'Candidate Tracker'!$C:$C,"&lt;&gt;Hold",'Candidate Tracker'!$C:$C,"&lt;&gt;Cancelled",'Candidate Tracker'!$C:$C,"&lt;&gt;Closed")/COUNTIFS('Candidate Tracker'!$E:$E,'Positions Tracker'!$B236)),"")</f>
        <v/>
      </c>
      <c r="BD236" s="67" t="str">
        <f t="shared" si="17"/>
        <v>Oct-25</v>
      </c>
      <c r="BE236" s="67" t="str">
        <f t="shared" si="18"/>
        <v/>
      </c>
      <c r="BF236" s="67" t="str">
        <f t="shared" si="19"/>
        <v/>
      </c>
      <c r="BG236" s="67" t="str">
        <f t="shared" si="20"/>
        <v/>
      </c>
    </row>
    <row r="237" spans="1:59" ht="15" thickBot="1">
      <c r="A237" s="67">
        <f t="shared" si="21"/>
        <v>236</v>
      </c>
      <c r="B237" s="100">
        <v>20259441</v>
      </c>
      <c r="C237" s="67" t="s">
        <v>2</v>
      </c>
      <c r="D237" s="102" t="s">
        <v>961</v>
      </c>
      <c r="E237" s="97" t="s">
        <v>1000</v>
      </c>
      <c r="F237" s="56" t="s">
        <v>926</v>
      </c>
      <c r="G237" s="56" t="s">
        <v>1</v>
      </c>
      <c r="H237" s="67" t="s">
        <v>982</v>
      </c>
      <c r="I237" s="97" t="s">
        <v>1001</v>
      </c>
      <c r="J237" s="67" t="s">
        <v>70</v>
      </c>
      <c r="K237" s="57">
        <v>45958</v>
      </c>
      <c r="L237" s="57">
        <v>45958</v>
      </c>
      <c r="M237" s="57">
        <v>45959</v>
      </c>
      <c r="N237" s="56" t="s">
        <v>1002</v>
      </c>
      <c r="O237" s="56"/>
      <c r="P237" s="56"/>
      <c r="Q237" s="56"/>
      <c r="R237" s="56"/>
      <c r="S237" s="56"/>
      <c r="T237" s="56"/>
      <c r="U237" s="56"/>
      <c r="V237" s="56"/>
      <c r="W237" s="56"/>
      <c r="X237" s="56" t="s">
        <v>870</v>
      </c>
      <c r="Y237" s="56" t="s">
        <v>73</v>
      </c>
      <c r="Z237" s="56" t="s">
        <v>73</v>
      </c>
      <c r="AA237" s="104" t="s">
        <v>1003</v>
      </c>
      <c r="AB237" s="56"/>
      <c r="AC237" s="56"/>
      <c r="AD237" s="56"/>
      <c r="AE237" s="56"/>
      <c r="AF237" s="56"/>
      <c r="AG237" s="56"/>
      <c r="AH237" s="56"/>
      <c r="AI237" s="58"/>
      <c r="AJ237" s="56"/>
      <c r="AK237" s="56"/>
      <c r="AL237" s="56"/>
      <c r="AM237" s="57"/>
      <c r="AN237" s="57"/>
      <c r="AO237" s="56"/>
      <c r="AP237" s="56"/>
      <c r="AQ237" s="57"/>
      <c r="AR237" s="57"/>
      <c r="AS237" s="57"/>
      <c r="AT237" s="67">
        <f t="shared" ca="1" si="22"/>
        <v>0</v>
      </c>
      <c r="AU237" s="79">
        <f t="shared" ca="1" si="23"/>
        <v>42</v>
      </c>
      <c r="AV237" s="79" t="str" cm="1">
        <f t="array" aca="1" ref="AV237" ca="1">IFERROR(_xlfn.IFS($AU237="","",$AU237&lt;=15,"0-15",AND($AU237&gt;=16,$AU237&lt;=30),"16-30",AND($AU237&gt;=31,$AU237&lt;=45),"31-45",AND($AU237&gt;=46,$AU237&lt;=60),"46-60",AND($AU237&gt;=61,$AU237&lt;=90),"61-90",AND($AU237&gt;=91),"&gt; 90",AND($AU237&gt;=2000),""),"")</f>
        <v>31-45</v>
      </c>
      <c r="AW237" s="79" t="str" cm="1">
        <f t="array" aca="1" ref="AW237" ca="1">IFERROR(_xlfn.IFS(OR($M237="",$AM237=""),"",OR($C237="Offered",$C237="Joined"),($AM237-$M237)-$AT237),"")</f>
        <v/>
      </c>
      <c r="AX237" s="79" t="str" cm="1">
        <f t="array" aca="1" ref="AX237" ca="1">IFERROR(_xlfn.IFS(OR($M237="",$AS237=""),"",$C237="Joined",($AS237-$M237)-$AT237),"")</f>
        <v/>
      </c>
      <c r="AY237" s="67" t="str">
        <f>IFERROR(IF(COUNTIFS('Candidate Tracker'!$E:$E,'Positions Tracker'!$B237,'Candidate Tracker'!$C:$C,"Offer Drop")=0,"",COUNTIFS('Candidate Tracker'!$E:$E,'Positions Tracker'!$B237,'Candidate Tracker'!$C:$C,"Offer Drop")),"")</f>
        <v/>
      </c>
      <c r="AZ237" s="80">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0.88111888111888115</v>
      </c>
      <c r="BA237" s="81" t="str">
        <f>IFERROR(IF(COUNTIFS('Candidate Tracker'!$E:$E,'Positions Tracker'!$B237,'Candidate Tracker'!$I:$I,"Female")=0,"",COUNTIFS('Candidate Tracker'!$E:$E,'Positions Tracker'!$B237,'Candidate Tracker'!$I:$I,"Female")),"")</f>
        <v/>
      </c>
      <c r="BB237" s="81" t="str">
        <f>IFERROR(IF(COUNTIFS('Candidate Tracker'!$E:$E,'Positions Tracker'!$B237,'Candidate Tracker'!$I:$I,"male")=0,"",COUNTIFS('Candidate Tracker'!$E:$E,'Positions Tracker'!$B237,'Candidate Tracker'!$I:$I,"male")),"")</f>
        <v/>
      </c>
      <c r="BC237" s="80" t="str">
        <f>IFERROR(IF(COUNTIFS('Candidate Tracker'!$E:$E,'Positions Tracker'!$B237,'Candidate Tracker'!$C:$C,"&lt;&gt;WIP",'Candidate Tracker'!$C:$C,"&lt;&gt;Hold",'Candidate Tracker'!$C:$C,"&lt;&gt;Cancelled",'Candidate Tracker'!$C:$C,"&lt;&gt;Closed")/COUNTIFS('Candidate Tracker'!$E:$E,'Positions Tracker'!$B237)=0,"",COUNTIFS('Candidate Tracker'!$E:$E,'Positions Tracker'!$B237,'Candidate Tracker'!$C:$C,"&lt;&gt;WIP",'Candidate Tracker'!$C:$C,"&lt;&gt;Hold",'Candidate Tracker'!$C:$C,"&lt;&gt;Cancelled",'Candidate Tracker'!$C:$C,"&lt;&gt;Closed")/COUNTIFS('Candidate Tracker'!$E:$E,'Positions Tracker'!$B237)),"")</f>
        <v/>
      </c>
      <c r="BD237" s="67" t="str">
        <f t="shared" si="17"/>
        <v>Oct-25</v>
      </c>
      <c r="BE237" s="67" t="str">
        <f t="shared" si="18"/>
        <v/>
      </c>
      <c r="BF237" s="67" t="str">
        <f t="shared" si="19"/>
        <v/>
      </c>
      <c r="BG237" s="67" t="str">
        <f t="shared" si="20"/>
        <v/>
      </c>
    </row>
    <row r="238" spans="1:59" ht="15" thickBot="1">
      <c r="A238" s="67">
        <f t="shared" si="21"/>
        <v>237</v>
      </c>
      <c r="B238" s="100">
        <v>20259592</v>
      </c>
      <c r="C238" s="67" t="s">
        <v>885</v>
      </c>
      <c r="D238" s="102" t="s">
        <v>1004</v>
      </c>
      <c r="E238" s="97" t="s">
        <v>925</v>
      </c>
      <c r="F238" s="56" t="s">
        <v>926</v>
      </c>
      <c r="G238" s="56" t="s">
        <v>1</v>
      </c>
      <c r="H238" s="67" t="s">
        <v>982</v>
      </c>
      <c r="I238" s="97" t="s">
        <v>1001</v>
      </c>
      <c r="J238" s="67" t="s">
        <v>70</v>
      </c>
      <c r="K238" s="57">
        <v>45958</v>
      </c>
      <c r="L238" s="57">
        <v>45958</v>
      </c>
      <c r="M238" s="57">
        <v>45958</v>
      </c>
      <c r="N238" s="56" t="s">
        <v>998</v>
      </c>
      <c r="O238" s="56"/>
      <c r="P238" s="56"/>
      <c r="Q238" s="56"/>
      <c r="R238" s="56"/>
      <c r="S238" s="56"/>
      <c r="T238" s="56"/>
      <c r="U238" s="56"/>
      <c r="V238" s="56"/>
      <c r="W238" s="56"/>
      <c r="X238" s="56" t="s">
        <v>870</v>
      </c>
      <c r="Y238" s="56" t="s">
        <v>73</v>
      </c>
      <c r="Z238" s="56" t="s">
        <v>73</v>
      </c>
      <c r="AA238" s="103" t="s">
        <v>1005</v>
      </c>
      <c r="AB238" s="56"/>
      <c r="AC238" s="56"/>
      <c r="AD238" s="56"/>
      <c r="AE238" s="64" t="s">
        <v>1006</v>
      </c>
      <c r="AF238">
        <v>9607019210</v>
      </c>
      <c r="AG238" s="64" t="s">
        <v>1007</v>
      </c>
      <c r="AH238" s="64" t="s">
        <v>123</v>
      </c>
      <c r="AI238" s="63">
        <v>45971</v>
      </c>
      <c r="AJ238" s="56"/>
      <c r="AK238" s="56" t="s">
        <v>708</v>
      </c>
      <c r="AL238" s="56"/>
      <c r="AM238" s="57"/>
      <c r="AN238" s="57"/>
      <c r="AO238" s="56"/>
      <c r="AP238" s="56"/>
      <c r="AQ238" s="57"/>
      <c r="AR238" s="57"/>
      <c r="AS238" s="57"/>
      <c r="AT238" s="67">
        <f t="shared" ca="1" si="22"/>
        <v>0</v>
      </c>
      <c r="AU238" s="79">
        <f t="shared" ca="1" si="23"/>
        <v>43</v>
      </c>
      <c r="AV238" s="79" t="str" cm="1">
        <f t="array" aca="1" ref="AV238" ca="1">IFERROR(_xlfn.IFS($AU238="","",$AU238&lt;=15,"0-15",AND($AU238&gt;=16,$AU238&lt;=30),"16-30",AND($AU238&gt;=31,$AU238&lt;=45),"31-45",AND($AU238&gt;=46,$AU238&lt;=60),"46-60",AND($AU238&gt;=61,$AU238&lt;=90),"61-90",AND($AU238&gt;=91),"&gt; 90",AND($AU238&gt;=2000),""),"")</f>
        <v>31-45</v>
      </c>
      <c r="AW238" s="79" t="str" cm="1">
        <f t="array" aca="1" ref="AW238" ca="1">IFERROR(_xlfn.IFS(OR($M238="",$AM238=""),"",OR($C238="Offered",$C238="Joined"),($AM238-$M238)-$AT238),"")</f>
        <v/>
      </c>
      <c r="AX238" s="79" t="str" cm="1">
        <f t="array" aca="1" ref="AX238" ca="1">IFERROR(_xlfn.IFS(OR($M238="",$AS238=""),"",$C238="Joined",($AS238-$M238)-$AT238),"")</f>
        <v/>
      </c>
      <c r="AY238" s="67" t="str">
        <f>IFERROR(IF(COUNTIFS('Candidate Tracker'!$E:$E,'Positions Tracker'!$B238,'Candidate Tracker'!$C:$C,"Offer Drop")=0,"",COUNTIFS('Candidate Tracker'!$E:$E,'Positions Tracker'!$B238,'Candidate Tracker'!$C:$C,"Offer Drop")),"")</f>
        <v/>
      </c>
      <c r="AZ238" s="80">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0.88111888111888115</v>
      </c>
      <c r="BA238" s="81" t="str">
        <f>IFERROR(IF(COUNTIFS('Candidate Tracker'!$E:$E,'Positions Tracker'!$B238,'Candidate Tracker'!$I:$I,"Female")=0,"",COUNTIFS('Candidate Tracker'!$E:$E,'Positions Tracker'!$B238,'Candidate Tracker'!$I:$I,"Female")),"")</f>
        <v/>
      </c>
      <c r="BB238" s="81" t="str">
        <f>IFERROR(IF(COUNTIFS('Candidate Tracker'!$E:$E,'Positions Tracker'!$B238,'Candidate Tracker'!$I:$I,"male")=0,"",COUNTIFS('Candidate Tracker'!$E:$E,'Positions Tracker'!$B238,'Candidate Tracker'!$I:$I,"male")),"")</f>
        <v/>
      </c>
      <c r="BC238" s="80" t="str">
        <f>IFERROR(IF(COUNTIFS('Candidate Tracker'!$E:$E,'Positions Tracker'!$B238,'Candidate Tracker'!$C:$C,"&lt;&gt;WIP",'Candidate Tracker'!$C:$C,"&lt;&gt;Hold",'Candidate Tracker'!$C:$C,"&lt;&gt;Cancelled",'Candidate Tracker'!$C:$C,"&lt;&gt;Closed")/COUNTIFS('Candidate Tracker'!$E:$E,'Positions Tracker'!$B238)=0,"",COUNTIFS('Candidate Tracker'!$E:$E,'Positions Tracker'!$B238,'Candidate Tracker'!$C:$C,"&lt;&gt;WIP",'Candidate Tracker'!$C:$C,"&lt;&gt;Hold",'Candidate Tracker'!$C:$C,"&lt;&gt;Cancelled",'Candidate Tracker'!$C:$C,"&lt;&gt;Closed")/COUNTIFS('Candidate Tracker'!$E:$E,'Positions Tracker'!$B238)),"")</f>
        <v/>
      </c>
      <c r="BD238" s="67" t="str">
        <f t="shared" si="17"/>
        <v>Oct-25</v>
      </c>
      <c r="BE238" s="67" t="str">
        <f t="shared" si="18"/>
        <v>Nov-25</v>
      </c>
      <c r="BF238" s="67" t="str">
        <f t="shared" si="19"/>
        <v/>
      </c>
      <c r="BG238" s="67" t="str">
        <f t="shared" si="20"/>
        <v/>
      </c>
    </row>
    <row r="239" spans="1:59" ht="15" thickBot="1">
      <c r="A239" s="67">
        <f t="shared" si="21"/>
        <v>238</v>
      </c>
      <c r="B239" s="100">
        <v>20260252</v>
      </c>
      <c r="C239" s="67" t="s">
        <v>885</v>
      </c>
      <c r="D239" s="102" t="s">
        <v>1004</v>
      </c>
      <c r="E239" s="97" t="s">
        <v>925</v>
      </c>
      <c r="F239" s="56" t="s">
        <v>380</v>
      </c>
      <c r="G239" s="56" t="s">
        <v>1</v>
      </c>
      <c r="H239" s="67" t="s">
        <v>982</v>
      </c>
      <c r="I239" s="97" t="s">
        <v>1008</v>
      </c>
      <c r="J239" s="67" t="s">
        <v>70</v>
      </c>
      <c r="K239" s="57">
        <v>45957</v>
      </c>
      <c r="L239" s="57">
        <v>45957</v>
      </c>
      <c r="M239" s="57">
        <v>45957</v>
      </c>
      <c r="N239" s="56" t="s">
        <v>998</v>
      </c>
      <c r="O239" s="56"/>
      <c r="P239" s="56"/>
      <c r="Q239" s="56"/>
      <c r="R239" s="56"/>
      <c r="S239" s="56"/>
      <c r="T239" s="56"/>
      <c r="U239" s="56"/>
      <c r="V239" s="56"/>
      <c r="W239" s="56"/>
      <c r="X239" s="56" t="s">
        <v>870</v>
      </c>
      <c r="Y239" s="56" t="s">
        <v>73</v>
      </c>
      <c r="Z239" s="56" t="s">
        <v>73</v>
      </c>
      <c r="AA239" s="103" t="s">
        <v>1009</v>
      </c>
      <c r="AB239" s="56"/>
      <c r="AC239" s="56"/>
      <c r="AD239" s="98"/>
      <c r="AE239" s="116" t="s">
        <v>1010</v>
      </c>
      <c r="AF239" s="116">
        <v>7350964050</v>
      </c>
      <c r="AG239" s="117" t="s">
        <v>1011</v>
      </c>
      <c r="AH239" s="117" t="s">
        <v>123</v>
      </c>
      <c r="AI239" s="118">
        <v>45968</v>
      </c>
      <c r="AJ239" s="102"/>
      <c r="AK239" s="56" t="s">
        <v>708</v>
      </c>
      <c r="AL239" s="56"/>
      <c r="AM239" s="57"/>
      <c r="AN239" s="57"/>
      <c r="AO239" s="56"/>
      <c r="AP239" s="56"/>
      <c r="AQ239" s="57"/>
      <c r="AR239" s="57"/>
      <c r="AS239" s="57"/>
      <c r="AT239" s="67">
        <f t="shared" ca="1" si="22"/>
        <v>0</v>
      </c>
      <c r="AU239" s="79">
        <f t="shared" ca="1" si="23"/>
        <v>44</v>
      </c>
      <c r="AV239" s="79" t="str" cm="1">
        <f t="array" aca="1" ref="AV239" ca="1">IFERROR(_xlfn.IFS($AU239="","",$AU239&lt;=15,"0-15",AND($AU239&gt;=16,$AU239&lt;=30),"16-30",AND($AU239&gt;=31,$AU239&lt;=45),"31-45",AND($AU239&gt;=46,$AU239&lt;=60),"46-60",AND($AU239&gt;=61,$AU239&lt;=90),"61-90",AND($AU239&gt;=91),"&gt; 90",AND($AU239&gt;=2000),""),"")</f>
        <v>31-45</v>
      </c>
      <c r="AW239" s="79" t="str" cm="1">
        <f t="array" aca="1" ref="AW239" ca="1">IFERROR(_xlfn.IFS(OR($M239="",$AM239=""),"",OR($C239="Offered",$C239="Joined"),($AM239-$M239)-$AT239),"")</f>
        <v/>
      </c>
      <c r="AX239" s="79" t="str" cm="1">
        <f t="array" aca="1" ref="AX239" ca="1">IFERROR(_xlfn.IFS(OR($M239="",$AS239=""),"",$C239="Joined",($AS239-$M239)-$AT239),"")</f>
        <v/>
      </c>
      <c r="AY239" s="67" t="str">
        <f>IFERROR(IF(COUNTIFS('Candidate Tracker'!$E:$E,'Positions Tracker'!$B239,'Candidate Tracker'!$C:$C,"Offer Drop")=0,"",COUNTIFS('Candidate Tracker'!$E:$E,'Positions Tracker'!$B239,'Candidate Tracker'!$C:$C,"Offer Drop")),"")</f>
        <v/>
      </c>
      <c r="AZ239" s="80">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0.88111888111888115</v>
      </c>
      <c r="BA239" s="81" t="str">
        <f>IFERROR(IF(COUNTIFS('Candidate Tracker'!$E:$E,'Positions Tracker'!$B239,'Candidate Tracker'!$I:$I,"Female")=0,"",COUNTIFS('Candidate Tracker'!$E:$E,'Positions Tracker'!$B239,'Candidate Tracker'!$I:$I,"Female")),"")</f>
        <v/>
      </c>
      <c r="BB239" s="81" t="str">
        <f>IFERROR(IF(COUNTIFS('Candidate Tracker'!$E:$E,'Positions Tracker'!$B239,'Candidate Tracker'!$I:$I,"male")=0,"",COUNTIFS('Candidate Tracker'!$E:$E,'Positions Tracker'!$B239,'Candidate Tracker'!$I:$I,"male")),"")</f>
        <v/>
      </c>
      <c r="BC239" s="80" t="str">
        <f>IFERROR(IF(COUNTIFS('Candidate Tracker'!$E:$E,'Positions Tracker'!$B239,'Candidate Tracker'!$C:$C,"&lt;&gt;WIP",'Candidate Tracker'!$C:$C,"&lt;&gt;Hold",'Candidate Tracker'!$C:$C,"&lt;&gt;Cancelled",'Candidate Tracker'!$C:$C,"&lt;&gt;Closed")/COUNTIFS('Candidate Tracker'!$E:$E,'Positions Tracker'!$B239)=0,"",COUNTIFS('Candidate Tracker'!$E:$E,'Positions Tracker'!$B239,'Candidate Tracker'!$C:$C,"&lt;&gt;WIP",'Candidate Tracker'!$C:$C,"&lt;&gt;Hold",'Candidate Tracker'!$C:$C,"&lt;&gt;Cancelled",'Candidate Tracker'!$C:$C,"&lt;&gt;Closed")/COUNTIFS('Candidate Tracker'!$E:$E,'Positions Tracker'!$B239)),"")</f>
        <v/>
      </c>
      <c r="BD239" s="67" t="str">
        <f t="shared" si="17"/>
        <v>Oct-25</v>
      </c>
      <c r="BE239" s="67" t="str">
        <f t="shared" si="18"/>
        <v>Nov-25</v>
      </c>
      <c r="BF239" s="67" t="str">
        <f t="shared" si="19"/>
        <v/>
      </c>
      <c r="BG239" s="67" t="str">
        <f t="shared" si="20"/>
        <v/>
      </c>
    </row>
    <row r="240" spans="1:59" ht="15" thickBot="1">
      <c r="A240" s="67">
        <f t="shared" si="21"/>
        <v>239</v>
      </c>
      <c r="B240" s="100">
        <v>20259624</v>
      </c>
      <c r="C240" s="67" t="s">
        <v>885</v>
      </c>
      <c r="D240" s="102" t="s">
        <v>1004</v>
      </c>
      <c r="E240" s="97" t="s">
        <v>925</v>
      </c>
      <c r="F240" s="56" t="s">
        <v>926</v>
      </c>
      <c r="G240" s="56" t="s">
        <v>1</v>
      </c>
      <c r="H240" s="67" t="s">
        <v>982</v>
      </c>
      <c r="I240" s="97" t="s">
        <v>1001</v>
      </c>
      <c r="J240" s="67" t="s">
        <v>853</v>
      </c>
      <c r="K240" s="57">
        <v>45958</v>
      </c>
      <c r="L240" s="57">
        <v>45958</v>
      </c>
      <c r="M240" s="57">
        <v>45959</v>
      </c>
      <c r="N240" s="56" t="s">
        <v>1002</v>
      </c>
      <c r="O240" s="56"/>
      <c r="P240" s="56"/>
      <c r="Q240" s="56"/>
      <c r="R240" s="56"/>
      <c r="S240" s="56"/>
      <c r="T240" s="56"/>
      <c r="U240" s="56"/>
      <c r="V240" s="56"/>
      <c r="W240" s="56"/>
      <c r="X240" s="56" t="s">
        <v>870</v>
      </c>
      <c r="Y240" s="56" t="s">
        <v>73</v>
      </c>
      <c r="Z240" s="56" t="s">
        <v>73</v>
      </c>
      <c r="AA240" s="103" t="s">
        <v>1005</v>
      </c>
      <c r="AB240" s="56"/>
      <c r="AC240" s="56"/>
      <c r="AD240" s="56"/>
      <c r="AE240" t="s">
        <v>1012</v>
      </c>
      <c r="AF240">
        <v>9867056033</v>
      </c>
      <c r="AG240" s="55" t="s">
        <v>1013</v>
      </c>
      <c r="AH240" s="55" t="s">
        <v>123</v>
      </c>
      <c r="AI240" s="118">
        <v>45968</v>
      </c>
      <c r="AJ240" s="56"/>
      <c r="AK240" s="56" t="s">
        <v>708</v>
      </c>
      <c r="AL240" s="56"/>
      <c r="AM240" s="57"/>
      <c r="AN240" s="57"/>
      <c r="AO240" s="56"/>
      <c r="AP240" s="56"/>
      <c r="AQ240" s="57"/>
      <c r="AR240" s="57"/>
      <c r="AS240" s="57"/>
      <c r="AT240" s="67">
        <f t="shared" ca="1" si="22"/>
        <v>0</v>
      </c>
      <c r="AU240" s="79">
        <f t="shared" ca="1" si="23"/>
        <v>42</v>
      </c>
      <c r="AV240" s="79" t="str" cm="1">
        <f t="array" aca="1" ref="AV240" ca="1">IFERROR(_xlfn.IFS($AU240="","",$AU240&lt;=15,"0-15",AND($AU240&gt;=16,$AU240&lt;=30),"16-30",AND($AU240&gt;=31,$AU240&lt;=45),"31-45",AND($AU240&gt;=46,$AU240&lt;=60),"46-60",AND($AU240&gt;=61,$AU240&lt;=90),"61-90",AND($AU240&gt;=91),"&gt; 90",AND($AU240&gt;=2000),""),"")</f>
        <v>31-45</v>
      </c>
      <c r="AW240" s="79" t="str" cm="1">
        <f t="array" aca="1" ref="AW240" ca="1">IFERROR(_xlfn.IFS(OR($M240="",$AM240=""),"",OR($C240="Offered",$C240="Joined"),($AM240-$M240)-$AT240),"")</f>
        <v/>
      </c>
      <c r="AX240" s="79" t="str" cm="1">
        <f t="array" aca="1" ref="AX240" ca="1">IFERROR(_xlfn.IFS(OR($M240="",$AS240=""),"",$C240="Joined",($AS240-$M240)-$AT240),"")</f>
        <v/>
      </c>
      <c r="AY240" s="67" t="str">
        <f>IFERROR(IF(COUNTIFS('Candidate Tracker'!$E:$E,'Positions Tracker'!$B240,'Candidate Tracker'!$C:$C,"Offer Drop")=0,"",COUNTIFS('Candidate Tracker'!$E:$E,'Positions Tracker'!$B240,'Candidate Tracker'!$C:$C,"Offer Drop")),"")</f>
        <v/>
      </c>
      <c r="AZ240" s="80">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0.88111888111888115</v>
      </c>
      <c r="BA240" s="81" t="str">
        <f>IFERROR(IF(COUNTIFS('Candidate Tracker'!$E:$E,'Positions Tracker'!$B240,'Candidate Tracker'!$I:$I,"Female")=0,"",COUNTIFS('Candidate Tracker'!$E:$E,'Positions Tracker'!$B240,'Candidate Tracker'!$I:$I,"Female")),"")</f>
        <v/>
      </c>
      <c r="BB240" s="81" t="str">
        <f>IFERROR(IF(COUNTIFS('Candidate Tracker'!$E:$E,'Positions Tracker'!$B240,'Candidate Tracker'!$I:$I,"male")=0,"",COUNTIFS('Candidate Tracker'!$E:$E,'Positions Tracker'!$B240,'Candidate Tracker'!$I:$I,"male")),"")</f>
        <v/>
      </c>
      <c r="BC240" s="80" t="str">
        <f>IFERROR(IF(COUNTIFS('Candidate Tracker'!$E:$E,'Positions Tracker'!$B240,'Candidate Tracker'!$C:$C,"&lt;&gt;WIP",'Candidate Tracker'!$C:$C,"&lt;&gt;Hold",'Candidate Tracker'!$C:$C,"&lt;&gt;Cancelled",'Candidate Tracker'!$C:$C,"&lt;&gt;Closed")/COUNTIFS('Candidate Tracker'!$E:$E,'Positions Tracker'!$B240)=0,"",COUNTIFS('Candidate Tracker'!$E:$E,'Positions Tracker'!$B240,'Candidate Tracker'!$C:$C,"&lt;&gt;WIP",'Candidate Tracker'!$C:$C,"&lt;&gt;Hold",'Candidate Tracker'!$C:$C,"&lt;&gt;Cancelled",'Candidate Tracker'!$C:$C,"&lt;&gt;Closed")/COUNTIFS('Candidate Tracker'!$E:$E,'Positions Tracker'!$B240)),"")</f>
        <v/>
      </c>
      <c r="BD240" s="67" t="str">
        <f t="shared" si="17"/>
        <v>Oct-25</v>
      </c>
      <c r="BE240" s="67" t="str">
        <f t="shared" si="18"/>
        <v>Nov-25</v>
      </c>
      <c r="BF240" s="67" t="str">
        <f t="shared" si="19"/>
        <v/>
      </c>
      <c r="BG240" s="67" t="str">
        <f t="shared" si="20"/>
        <v/>
      </c>
    </row>
    <row r="241" spans="1:59" ht="15" thickBot="1">
      <c r="A241" s="67">
        <f t="shared" si="21"/>
        <v>240</v>
      </c>
      <c r="B241" s="100">
        <v>20261131</v>
      </c>
      <c r="C241" s="67" t="s">
        <v>2</v>
      </c>
      <c r="D241" s="102" t="s">
        <v>845</v>
      </c>
      <c r="E241" s="97" t="s">
        <v>350</v>
      </c>
      <c r="F241" s="56" t="s">
        <v>134</v>
      </c>
      <c r="G241" s="56" t="s">
        <v>1</v>
      </c>
      <c r="H241" s="67" t="s">
        <v>982</v>
      </c>
      <c r="I241" s="97" t="s">
        <v>1014</v>
      </c>
      <c r="J241" s="67" t="s">
        <v>70</v>
      </c>
      <c r="K241" s="57">
        <v>45957</v>
      </c>
      <c r="L241" s="57">
        <v>45957</v>
      </c>
      <c r="M241" s="57">
        <v>45958</v>
      </c>
      <c r="N241" s="56" t="s">
        <v>998</v>
      </c>
      <c r="O241" s="56"/>
      <c r="P241" s="56"/>
      <c r="Q241" s="56"/>
      <c r="R241" s="56"/>
      <c r="S241" s="56"/>
      <c r="T241" s="56"/>
      <c r="U241" s="56"/>
      <c r="V241" s="56"/>
      <c r="W241" s="56"/>
      <c r="X241" s="56" t="s">
        <v>870</v>
      </c>
      <c r="Y241" s="56" t="s">
        <v>73</v>
      </c>
      <c r="Z241" s="56" t="s">
        <v>73</v>
      </c>
      <c r="AA241" s="103" t="s">
        <v>1009</v>
      </c>
      <c r="AB241" s="56"/>
      <c r="AC241" s="56"/>
      <c r="AD241" s="56"/>
      <c r="AE241" s="56"/>
      <c r="AF241" s="56"/>
      <c r="AG241" s="56"/>
      <c r="AH241" s="56"/>
      <c r="AI241" s="58"/>
      <c r="AJ241" s="56"/>
      <c r="AK241" s="56"/>
      <c r="AL241" s="56"/>
      <c r="AM241" s="57"/>
      <c r="AN241" s="57"/>
      <c r="AO241" s="56"/>
      <c r="AP241" s="56"/>
      <c r="AQ241" s="57"/>
      <c r="AR241" s="57"/>
      <c r="AS241" s="57"/>
      <c r="AT241" s="67">
        <f t="shared" ca="1" si="22"/>
        <v>0</v>
      </c>
      <c r="AU241" s="79">
        <f t="shared" ca="1" si="23"/>
        <v>43</v>
      </c>
      <c r="AV241" s="79" t="str" cm="1">
        <f t="array" aca="1" ref="AV241" ca="1">IFERROR(_xlfn.IFS($AU241="","",$AU241&lt;=15,"0-15",AND($AU241&gt;=16,$AU241&lt;=30),"16-30",AND($AU241&gt;=31,$AU241&lt;=45),"31-45",AND($AU241&gt;=46,$AU241&lt;=60),"46-60",AND($AU241&gt;=61,$AU241&lt;=90),"61-90",AND($AU241&gt;=91),"&gt; 90",AND($AU241&gt;=2000),""),"")</f>
        <v>31-45</v>
      </c>
      <c r="AW241" s="79" t="str" cm="1">
        <f t="array" aca="1" ref="AW241" ca="1">IFERROR(_xlfn.IFS(OR($M241="",$AM241=""),"",OR($C241="Offered",$C241="Joined"),($AM241-$M241)-$AT241),"")</f>
        <v/>
      </c>
      <c r="AX241" s="79" t="str" cm="1">
        <f t="array" aca="1" ref="AX241" ca="1">IFERROR(_xlfn.IFS(OR($M241="",$AS241=""),"",$C241="Joined",($AS241-$M241)-$AT241),"")</f>
        <v/>
      </c>
      <c r="AY241" s="67" t="str">
        <f>IFERROR(IF(COUNTIFS('Candidate Tracker'!$E:$E,'Positions Tracker'!$B241,'Candidate Tracker'!$C:$C,"Offer Drop")=0,"",COUNTIFS('Candidate Tracker'!$E:$E,'Positions Tracker'!$B241,'Candidate Tracker'!$C:$C,"Offer Drop")),"")</f>
        <v/>
      </c>
      <c r="AZ241" s="80">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0.88111888111888115</v>
      </c>
      <c r="BA241" s="81" t="str">
        <f>IFERROR(IF(COUNTIFS('Candidate Tracker'!$E:$E,'Positions Tracker'!$B241,'Candidate Tracker'!$I:$I,"Female")=0,"",COUNTIFS('Candidate Tracker'!$E:$E,'Positions Tracker'!$B241,'Candidate Tracker'!$I:$I,"Female")),"")</f>
        <v/>
      </c>
      <c r="BB241" s="81" t="str">
        <f>IFERROR(IF(COUNTIFS('Candidate Tracker'!$E:$E,'Positions Tracker'!$B241,'Candidate Tracker'!$I:$I,"male")=0,"",COUNTIFS('Candidate Tracker'!$E:$E,'Positions Tracker'!$B241,'Candidate Tracker'!$I:$I,"male")),"")</f>
        <v/>
      </c>
      <c r="BC241" s="80" t="str">
        <f>IFERROR(IF(COUNTIFS('Candidate Tracker'!$E:$E,'Positions Tracker'!$B241,'Candidate Tracker'!$C:$C,"&lt;&gt;WIP",'Candidate Tracker'!$C:$C,"&lt;&gt;Hold",'Candidate Tracker'!$C:$C,"&lt;&gt;Cancelled",'Candidate Tracker'!$C:$C,"&lt;&gt;Closed")/COUNTIFS('Candidate Tracker'!$E:$E,'Positions Tracker'!$B241)=0,"",COUNTIFS('Candidate Tracker'!$E:$E,'Positions Tracker'!$B241,'Candidate Tracker'!$C:$C,"&lt;&gt;WIP",'Candidate Tracker'!$C:$C,"&lt;&gt;Hold",'Candidate Tracker'!$C:$C,"&lt;&gt;Cancelled",'Candidate Tracker'!$C:$C,"&lt;&gt;Closed")/COUNTIFS('Candidate Tracker'!$E:$E,'Positions Tracker'!$B241)),"")</f>
        <v/>
      </c>
      <c r="BD241" s="67" t="str">
        <f t="shared" si="17"/>
        <v>Oct-25</v>
      </c>
      <c r="BE241" s="67" t="str">
        <f t="shared" si="18"/>
        <v/>
      </c>
      <c r="BF241" s="67" t="str">
        <f t="shared" si="19"/>
        <v/>
      </c>
      <c r="BG241" s="67" t="str">
        <f t="shared" si="20"/>
        <v/>
      </c>
    </row>
    <row r="242" spans="1:59" ht="15" thickBot="1">
      <c r="A242" s="67">
        <f t="shared" si="21"/>
        <v>241</v>
      </c>
      <c r="B242" s="100">
        <v>20261824</v>
      </c>
      <c r="C242" s="55" t="s">
        <v>0</v>
      </c>
      <c r="D242" s="56" t="s">
        <v>961</v>
      </c>
      <c r="E242" s="56" t="s">
        <v>1015</v>
      </c>
      <c r="F242" s="56" t="s">
        <v>106</v>
      </c>
      <c r="G242" s="56" t="s">
        <v>3</v>
      </c>
      <c r="H242" s="56"/>
      <c r="I242" s="6" t="s">
        <v>415</v>
      </c>
      <c r="J242" s="6"/>
      <c r="K242" s="57">
        <v>45960</v>
      </c>
      <c r="L242" s="57">
        <v>45960</v>
      </c>
      <c r="M242" s="57">
        <v>45960</v>
      </c>
      <c r="N242" s="56" t="s">
        <v>1016</v>
      </c>
      <c r="O242" s="56"/>
      <c r="P242" s="56"/>
      <c r="Q242" s="56"/>
      <c r="R242" s="56"/>
      <c r="S242" s="56"/>
      <c r="T242" s="56"/>
      <c r="U242" s="56"/>
      <c r="V242" s="56"/>
      <c r="W242" s="56"/>
      <c r="X242" s="56" t="s">
        <v>72</v>
      </c>
      <c r="Y242" s="56" t="s">
        <v>282</v>
      </c>
      <c r="Z242" s="56" t="s">
        <v>282</v>
      </c>
      <c r="AA242" s="56" t="s">
        <v>1017</v>
      </c>
      <c r="AB242" s="56"/>
      <c r="AC242" s="56"/>
      <c r="AD242" s="56"/>
      <c r="AE242" s="56"/>
      <c r="AF242" s="56"/>
      <c r="AG242" s="56"/>
      <c r="AH242" s="56"/>
      <c r="AI242" s="58"/>
      <c r="AJ242" s="56"/>
      <c r="AK242" s="56"/>
      <c r="AL242" s="56"/>
      <c r="AM242" s="57"/>
      <c r="AN242" s="57"/>
      <c r="AO242" s="56"/>
      <c r="AP242" s="56"/>
      <c r="AQ242" s="57"/>
      <c r="AR242" s="57"/>
      <c r="AS242" s="57"/>
      <c r="AT242" s="67">
        <f t="shared" ca="1" si="22"/>
        <v>0</v>
      </c>
      <c r="AU242" s="79">
        <f t="shared" ca="1" si="23"/>
        <v>41</v>
      </c>
      <c r="AV242" s="79" t="str" cm="1">
        <f t="array" aca="1" ref="AV242" ca="1">IFERROR(_xlfn.IFS($AU242="","",$AU242&lt;=15,"0-15",AND($AU242&gt;=16,$AU242&lt;=30),"16-30",AND($AU242&gt;=31,$AU242&lt;=45),"31-45",AND($AU242&gt;=46,$AU242&lt;=60),"46-60",AND($AU242&gt;=61,$AU242&lt;=90),"61-90",AND($AU242&gt;=91),"&gt; 90",AND($AU242&gt;=2000),""),"")</f>
        <v>31-45</v>
      </c>
      <c r="AW242" s="79" t="str" cm="1">
        <f t="array" aca="1" ref="AW242" ca="1">IFERROR(_xlfn.IFS(OR($M242="",$AM242=""),"",OR($C242="Offered",$C242="Joined"),($AM242-$M242)-$AT242),"")</f>
        <v/>
      </c>
      <c r="AX242" s="79" t="str" cm="1">
        <f t="array" aca="1" ref="AX242" ca="1">IFERROR(_xlfn.IFS(OR($M242="",$AS242=""),"",$C242="Joined",($AS242-$M242)-$AT242),"")</f>
        <v/>
      </c>
      <c r="AY242" s="67" t="str">
        <f>IFERROR(IF(COUNTIFS('Candidate Tracker'!$E:$E,'Positions Tracker'!$B242,'Candidate Tracker'!$C:$C,"Offer Drop")=0,"",COUNTIFS('Candidate Tracker'!$E:$E,'Positions Tracker'!$B242,'Candidate Tracker'!$C:$C,"Offer Drop")),"")</f>
        <v/>
      </c>
      <c r="AZ242" s="80">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0.88111888111888115</v>
      </c>
      <c r="BA242" s="81" t="str">
        <f>IFERROR(IF(COUNTIFS('Candidate Tracker'!$E:$E,'Positions Tracker'!$B242,'Candidate Tracker'!$I:$I,"Female")=0,"",COUNTIFS('Candidate Tracker'!$E:$E,'Positions Tracker'!$B242,'Candidate Tracker'!$I:$I,"Female")),"")</f>
        <v/>
      </c>
      <c r="BB242" s="81" t="str">
        <f>IFERROR(IF(COUNTIFS('Candidate Tracker'!$E:$E,'Positions Tracker'!$B242,'Candidate Tracker'!$I:$I,"male")=0,"",COUNTIFS('Candidate Tracker'!$E:$E,'Positions Tracker'!$B242,'Candidate Tracker'!$I:$I,"male")),"")</f>
        <v/>
      </c>
      <c r="BC242" s="80" t="str">
        <f>IFERROR(IF(COUNTIFS('Candidate Tracker'!$E:$E,'Positions Tracker'!$B242,'Candidate Tracker'!$C:$C,"&lt;&gt;WIP",'Candidate Tracker'!$C:$C,"&lt;&gt;Hold",'Candidate Tracker'!$C:$C,"&lt;&gt;Cancelled",'Candidate Tracker'!$C:$C,"&lt;&gt;Closed")/COUNTIFS('Candidate Tracker'!$E:$E,'Positions Tracker'!$B242)=0,"",COUNTIFS('Candidate Tracker'!$E:$E,'Positions Tracker'!$B242,'Candidate Tracker'!$C:$C,"&lt;&gt;WIP",'Candidate Tracker'!$C:$C,"&lt;&gt;Hold",'Candidate Tracker'!$C:$C,"&lt;&gt;Cancelled",'Candidate Tracker'!$C:$C,"&lt;&gt;Closed")/COUNTIFS('Candidate Tracker'!$E:$E,'Positions Tracker'!$B242)),"")</f>
        <v/>
      </c>
      <c r="BD242" s="67" t="str">
        <f t="shared" si="17"/>
        <v>Oct-25</v>
      </c>
      <c r="BE242" s="67" t="str">
        <f t="shared" si="18"/>
        <v/>
      </c>
      <c r="BF242" s="67" t="str">
        <f t="shared" si="19"/>
        <v/>
      </c>
      <c r="BG242" s="67" t="str">
        <f t="shared" si="20"/>
        <v/>
      </c>
    </row>
    <row r="243" spans="1:59">
      <c r="A243" s="67">
        <f t="shared" si="21"/>
        <v>242</v>
      </c>
      <c r="B243" s="56">
        <v>20261823</v>
      </c>
      <c r="C243" s="56" t="s">
        <v>2</v>
      </c>
      <c r="D243" s="56" t="s">
        <v>961</v>
      </c>
      <c r="E243" s="56" t="s">
        <v>1018</v>
      </c>
      <c r="F243" s="56" t="s">
        <v>158</v>
      </c>
      <c r="G243" s="56" t="s">
        <v>3</v>
      </c>
      <c r="H243" s="56" t="s">
        <v>68</v>
      </c>
      <c r="I243" s="6" t="s">
        <v>107</v>
      </c>
      <c r="J243" s="6"/>
      <c r="K243" s="57">
        <v>45960</v>
      </c>
      <c r="L243" s="57">
        <v>45960</v>
      </c>
      <c r="M243" s="57">
        <v>45960</v>
      </c>
      <c r="N243" s="56" t="s">
        <v>82</v>
      </c>
      <c r="O243" s="56"/>
      <c r="P243" s="56"/>
      <c r="Q243" s="56"/>
      <c r="R243" s="56"/>
      <c r="S243" s="56"/>
      <c r="T243" s="56"/>
      <c r="U243" s="56"/>
      <c r="V243" s="56"/>
      <c r="W243" s="56"/>
      <c r="X243" s="56" t="s">
        <v>850</v>
      </c>
      <c r="Y243" s="56" t="s">
        <v>282</v>
      </c>
      <c r="Z243" s="56" t="s">
        <v>282</v>
      </c>
      <c r="AA243" s="56"/>
      <c r="AB243" s="56"/>
      <c r="AC243" s="56"/>
      <c r="AD243" s="56"/>
      <c r="AE243" s="56"/>
      <c r="AF243" s="56"/>
      <c r="AG243" s="56"/>
      <c r="AH243" s="56"/>
      <c r="AI243" s="58"/>
      <c r="AJ243" s="56"/>
      <c r="AK243" s="56"/>
      <c r="AL243" s="56"/>
      <c r="AM243" s="57"/>
      <c r="AN243" s="57"/>
      <c r="AO243" s="56"/>
      <c r="AP243" s="56"/>
      <c r="AQ243" s="57"/>
      <c r="AR243" s="57"/>
      <c r="AS243" s="57"/>
      <c r="AT243" s="67">
        <f t="shared" ca="1" si="22"/>
        <v>0</v>
      </c>
      <c r="AU243" s="79">
        <f t="shared" ca="1" si="23"/>
        <v>41</v>
      </c>
      <c r="AV243" s="79" t="str" cm="1">
        <f t="array" aca="1" ref="AV243" ca="1">IFERROR(_xlfn.IFS($AU243="","",$AU243&lt;=15,"0-15",AND($AU243&gt;=16,$AU243&lt;=30),"16-30",AND($AU243&gt;=31,$AU243&lt;=45),"31-45",AND($AU243&gt;=46,$AU243&lt;=60),"46-60",AND($AU243&gt;=61,$AU243&lt;=90),"61-90",AND($AU243&gt;=91),"&gt; 90",AND($AU243&gt;=2000),""),"")</f>
        <v>31-45</v>
      </c>
      <c r="AW243" s="79" t="str" cm="1">
        <f t="array" aca="1" ref="AW243" ca="1">IFERROR(_xlfn.IFS(OR($M243="",$AM243=""),"",OR($C243="Offered",$C243="Joined"),($AM243-$M243)-$AT243),"")</f>
        <v/>
      </c>
      <c r="AX243" s="79" t="str" cm="1">
        <f t="array" aca="1" ref="AX243" ca="1">IFERROR(_xlfn.IFS(OR($M243="",$AS243=""),"",$C243="Joined",($AS243-$M243)-$AT243),"")</f>
        <v/>
      </c>
      <c r="AY243" s="67" t="str">
        <f>IFERROR(IF(COUNTIFS('Candidate Tracker'!$E:$E,'Positions Tracker'!$B243,'Candidate Tracker'!$C:$C,"Offer Drop")=0,"",COUNTIFS('Candidate Tracker'!$E:$E,'Positions Tracker'!$B243,'Candidate Tracker'!$C:$C,"Offer Drop")),"")</f>
        <v/>
      </c>
      <c r="AZ243" s="80">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0.88111888111888115</v>
      </c>
      <c r="BA243" s="81" t="str">
        <f>IFERROR(IF(COUNTIFS('Candidate Tracker'!$E:$E,'Positions Tracker'!$B243,'Candidate Tracker'!$I:$I,"Female")=0,"",COUNTIFS('Candidate Tracker'!$E:$E,'Positions Tracker'!$B243,'Candidate Tracker'!$I:$I,"Female")),"")</f>
        <v/>
      </c>
      <c r="BB243" s="81" t="str">
        <f>IFERROR(IF(COUNTIFS('Candidate Tracker'!$E:$E,'Positions Tracker'!$B243,'Candidate Tracker'!$I:$I,"male")=0,"",COUNTIFS('Candidate Tracker'!$E:$E,'Positions Tracker'!$B243,'Candidate Tracker'!$I:$I,"male")),"")</f>
        <v/>
      </c>
      <c r="BC243" s="80" t="str">
        <f>IFERROR(IF(COUNTIFS('Candidate Tracker'!$E:$E,'Positions Tracker'!$B243,'Candidate Tracker'!$C:$C,"&lt;&gt;WIP",'Candidate Tracker'!$C:$C,"&lt;&gt;Hold",'Candidate Tracker'!$C:$C,"&lt;&gt;Cancelled",'Candidate Tracker'!$C:$C,"&lt;&gt;Closed")/COUNTIFS('Candidate Tracker'!$E:$E,'Positions Tracker'!$B243)=0,"",COUNTIFS('Candidate Tracker'!$E:$E,'Positions Tracker'!$B243,'Candidate Tracker'!$C:$C,"&lt;&gt;WIP",'Candidate Tracker'!$C:$C,"&lt;&gt;Hold",'Candidate Tracker'!$C:$C,"&lt;&gt;Cancelled",'Candidate Tracker'!$C:$C,"&lt;&gt;Closed")/COUNTIFS('Candidate Tracker'!$E:$E,'Positions Tracker'!$B243)),"")</f>
        <v/>
      </c>
      <c r="BD243" s="67" t="str">
        <f t="shared" si="17"/>
        <v>Oct-25</v>
      </c>
      <c r="BE243" s="67" t="str">
        <f t="shared" si="18"/>
        <v/>
      </c>
      <c r="BF243" s="67" t="str">
        <f t="shared" si="19"/>
        <v/>
      </c>
      <c r="BG243" s="67" t="str">
        <f t="shared" si="20"/>
        <v/>
      </c>
    </row>
    <row r="244" spans="1:59">
      <c r="A244" s="67">
        <f t="shared" si="21"/>
        <v>243</v>
      </c>
      <c r="B244" s="56">
        <v>20257807</v>
      </c>
      <c r="C244" s="56" t="s">
        <v>400</v>
      </c>
      <c r="D244" s="56" t="s">
        <v>1004</v>
      </c>
      <c r="E244" s="56" t="s">
        <v>1019</v>
      </c>
      <c r="F244" s="56" t="s">
        <v>801</v>
      </c>
      <c r="G244" s="56" t="s">
        <v>3</v>
      </c>
      <c r="H244" s="56" t="s">
        <v>68</v>
      </c>
      <c r="I244" s="6" t="s">
        <v>431</v>
      </c>
      <c r="J244" s="6"/>
      <c r="K244" s="57">
        <v>45960</v>
      </c>
      <c r="L244" s="57">
        <v>45960</v>
      </c>
      <c r="M244" s="57">
        <v>45960</v>
      </c>
      <c r="N244" s="56"/>
      <c r="O244" s="56"/>
      <c r="P244" s="56"/>
      <c r="Q244" s="56"/>
      <c r="R244" s="56"/>
      <c r="S244" s="56"/>
      <c r="T244" s="56"/>
      <c r="U244" s="56"/>
      <c r="V244" s="56"/>
      <c r="W244" s="56"/>
      <c r="X244" s="56" t="s">
        <v>850</v>
      </c>
      <c r="Y244" s="56" t="s">
        <v>282</v>
      </c>
      <c r="Z244" s="56" t="s">
        <v>282</v>
      </c>
      <c r="AA244" s="56"/>
      <c r="AB244" s="56"/>
      <c r="AC244" s="56"/>
      <c r="AD244" s="56"/>
      <c r="AE244" s="56" t="s">
        <v>1020</v>
      </c>
      <c r="AF244" s="56">
        <v>9686519984</v>
      </c>
      <c r="AG244" s="106" t="s">
        <v>1021</v>
      </c>
      <c r="AH244" s="56" t="s">
        <v>123</v>
      </c>
      <c r="AI244" s="58">
        <v>45965</v>
      </c>
      <c r="AJ244" s="57">
        <v>45967</v>
      </c>
      <c r="AK244" s="56" t="s">
        <v>72</v>
      </c>
      <c r="AL244" s="56">
        <v>1200000</v>
      </c>
      <c r="AM244" s="57">
        <v>45971</v>
      </c>
      <c r="AN244" s="57">
        <v>45971</v>
      </c>
      <c r="AO244" s="56" t="s">
        <v>858</v>
      </c>
      <c r="AP244" s="56"/>
      <c r="AQ244" s="57"/>
      <c r="AR244" s="57"/>
      <c r="AS244" s="57"/>
      <c r="AT244" s="67">
        <f t="shared" ca="1" si="22"/>
        <v>0</v>
      </c>
      <c r="AU244" s="79" t="str">
        <f t="shared" ca="1" si="23"/>
        <v/>
      </c>
      <c r="AV244" s="79" t="str" cm="1">
        <f t="array" aca="1" ref="AV244" ca="1">IFERROR(_xlfn.IFS($AU244="","",$AU244&lt;=15,"0-15",AND($AU244&gt;=16,$AU244&lt;=30),"16-30",AND($AU244&gt;=31,$AU244&lt;=45),"31-45",AND($AU244&gt;=46,$AU244&lt;=60),"46-60",AND($AU244&gt;=61,$AU244&lt;=90),"61-90",AND($AU244&gt;=91),"&gt; 90",AND($AU244&gt;=2000),""),"")</f>
        <v/>
      </c>
      <c r="AW244" s="79" cm="1">
        <f t="array" aca="1" ref="AW244" ca="1">IFERROR(_xlfn.IFS(OR($M244="",$AM244=""),"",OR($C244="Offered",$C244="Joined"),($AM244-$M244)-$AT244),"")</f>
        <v>11</v>
      </c>
      <c r="AX244" s="79" t="str" cm="1">
        <f t="array" aca="1" ref="AX244" ca="1">IFERROR(_xlfn.IFS(OR($M244="",$AS244=""),"",$C244="Joined",($AS244-$M244)-$AT244),"")</f>
        <v/>
      </c>
      <c r="AY244" s="67" t="str">
        <f>IFERROR(IF(COUNTIFS('Candidate Tracker'!$E:$E,'Positions Tracker'!$B244,'Candidate Tracker'!$C:$C,"Offer Drop")=0,"",COUNTIFS('Candidate Tracker'!$E:$E,'Positions Tracker'!$B244,'Candidate Tracker'!$C:$C,"Offer Drop")),"")</f>
        <v/>
      </c>
      <c r="AZ244" s="80">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0.88111888111888115</v>
      </c>
      <c r="BA244" s="81" t="str">
        <f>IFERROR(IF(COUNTIFS('Candidate Tracker'!$E:$E,'Positions Tracker'!$B244,'Candidate Tracker'!$I:$I,"Female")=0,"",COUNTIFS('Candidate Tracker'!$E:$E,'Positions Tracker'!$B244,'Candidate Tracker'!$I:$I,"Female")),"")</f>
        <v/>
      </c>
      <c r="BB244" s="81" t="str">
        <f>IFERROR(IF(COUNTIFS('Candidate Tracker'!$E:$E,'Positions Tracker'!$B244,'Candidate Tracker'!$I:$I,"male")=0,"",COUNTIFS('Candidate Tracker'!$E:$E,'Positions Tracker'!$B244,'Candidate Tracker'!$I:$I,"male")),"")</f>
        <v/>
      </c>
      <c r="BC244" s="80" t="str">
        <f>IFERROR(IF(COUNTIFS('Candidate Tracker'!$E:$E,'Positions Tracker'!$B244,'Candidate Tracker'!$C:$C,"&lt;&gt;WIP",'Candidate Tracker'!$C:$C,"&lt;&gt;Hold",'Candidate Tracker'!$C:$C,"&lt;&gt;Cancelled",'Candidate Tracker'!$C:$C,"&lt;&gt;Closed")/COUNTIFS('Candidate Tracker'!$E:$E,'Positions Tracker'!$B244)=0,"",COUNTIFS('Candidate Tracker'!$E:$E,'Positions Tracker'!$B244,'Candidate Tracker'!$C:$C,"&lt;&gt;WIP",'Candidate Tracker'!$C:$C,"&lt;&gt;Hold",'Candidate Tracker'!$C:$C,"&lt;&gt;Cancelled",'Candidate Tracker'!$C:$C,"&lt;&gt;Closed")/COUNTIFS('Candidate Tracker'!$E:$E,'Positions Tracker'!$B244)),"")</f>
        <v/>
      </c>
      <c r="BD244" s="67" t="str">
        <f t="shared" si="17"/>
        <v>Oct-25</v>
      </c>
      <c r="BE244" s="67" t="str">
        <f t="shared" si="18"/>
        <v>Nov-25</v>
      </c>
      <c r="BF244" s="67" t="str">
        <f t="shared" si="19"/>
        <v>Nov-25</v>
      </c>
      <c r="BG244" s="67" t="str">
        <f t="shared" si="20"/>
        <v/>
      </c>
    </row>
    <row r="245" spans="1:59">
      <c r="A245" s="67">
        <f t="shared" si="21"/>
        <v>244</v>
      </c>
      <c r="B245" s="105">
        <v>20259014</v>
      </c>
      <c r="C245" s="56" t="s">
        <v>0</v>
      </c>
      <c r="D245" s="56" t="s">
        <v>845</v>
      </c>
      <c r="E245" s="56" t="s">
        <v>1022</v>
      </c>
      <c r="F245" s="56" t="s">
        <v>312</v>
      </c>
      <c r="G245" s="56" t="s">
        <v>3</v>
      </c>
      <c r="H245" s="56" t="s">
        <v>68</v>
      </c>
      <c r="I245" s="6" t="s">
        <v>415</v>
      </c>
      <c r="J245" s="6"/>
      <c r="K245" s="57">
        <v>45965</v>
      </c>
      <c r="L245" s="57">
        <v>45965</v>
      </c>
      <c r="M245" s="57">
        <v>45965</v>
      </c>
      <c r="N245" s="56" t="s">
        <v>136</v>
      </c>
      <c r="O245" s="56"/>
      <c r="P245" s="56"/>
      <c r="Q245" s="56"/>
      <c r="R245" s="56"/>
      <c r="S245" s="56"/>
      <c r="T245" s="56"/>
      <c r="U245" s="56"/>
      <c r="V245" s="56"/>
      <c r="W245" s="56"/>
      <c r="X245" s="56" t="s">
        <v>850</v>
      </c>
      <c r="Y245" s="56" t="s">
        <v>282</v>
      </c>
      <c r="Z245" s="56" t="s">
        <v>282</v>
      </c>
      <c r="AA245" s="56" t="s">
        <v>1023</v>
      </c>
      <c r="AB245" s="56"/>
      <c r="AC245" s="56"/>
      <c r="AD245" s="56"/>
      <c r="AE245" s="56"/>
      <c r="AF245" s="56"/>
      <c r="AG245" s="56"/>
      <c r="AH245" s="56"/>
      <c r="AI245" s="58"/>
      <c r="AJ245" s="56"/>
      <c r="AK245" s="56"/>
      <c r="AL245" s="56"/>
      <c r="AM245" s="57"/>
      <c r="AN245" s="57"/>
      <c r="AO245" s="56"/>
      <c r="AP245" s="56"/>
      <c r="AQ245" s="57"/>
      <c r="AR245" s="57"/>
      <c r="AS245" s="57"/>
      <c r="AT245" s="67">
        <f t="shared" ca="1" si="22"/>
        <v>0</v>
      </c>
      <c r="AU245" s="79">
        <f t="shared" ca="1" si="23"/>
        <v>36</v>
      </c>
      <c r="AV245" s="79" t="str" cm="1">
        <f t="array" aca="1" ref="AV245" ca="1">IFERROR(_xlfn.IFS($AU245="","",$AU245&lt;=15,"0-15",AND($AU245&gt;=16,$AU245&lt;=30),"16-30",AND($AU245&gt;=31,$AU245&lt;=45),"31-45",AND($AU245&gt;=46,$AU245&lt;=60),"46-60",AND($AU245&gt;=61,$AU245&lt;=90),"61-90",AND($AU245&gt;=91),"&gt; 90",AND($AU245&gt;=2000),""),"")</f>
        <v>31-45</v>
      </c>
      <c r="AW245" s="79" t="str" cm="1">
        <f t="array" aca="1" ref="AW245" ca="1">IFERROR(_xlfn.IFS(OR($M245="",$AM245=""),"",OR($C245="Offered",$C245="Joined"),($AM245-$M245)-$AT245),"")</f>
        <v/>
      </c>
      <c r="AX245" s="79" t="str" cm="1">
        <f t="array" aca="1" ref="AX245" ca="1">IFERROR(_xlfn.IFS(OR($M245="",$AS245=""),"",$C245="Joined",($AS245-$M245)-$AT245),"")</f>
        <v/>
      </c>
      <c r="AY245" s="67" t="str">
        <f>IFERROR(IF(COUNTIFS('Candidate Tracker'!$E:$E,'Positions Tracker'!$B245,'Candidate Tracker'!$C:$C,"Offer Drop")=0,"",COUNTIFS('Candidate Tracker'!$E:$E,'Positions Tracker'!$B245,'Candidate Tracker'!$C:$C,"Offer Drop")),"")</f>
        <v/>
      </c>
      <c r="AZ245" s="80">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0.88111888111888115</v>
      </c>
      <c r="BA245" s="81" t="str">
        <f>IFERROR(IF(COUNTIFS('Candidate Tracker'!$E:$E,'Positions Tracker'!$B245,'Candidate Tracker'!$I:$I,"Female")=0,"",COUNTIFS('Candidate Tracker'!$E:$E,'Positions Tracker'!$B245,'Candidate Tracker'!$I:$I,"Female")),"")</f>
        <v/>
      </c>
      <c r="BB245" s="81" t="str">
        <f>IFERROR(IF(COUNTIFS('Candidate Tracker'!$E:$E,'Positions Tracker'!$B245,'Candidate Tracker'!$I:$I,"male")=0,"",COUNTIFS('Candidate Tracker'!$E:$E,'Positions Tracker'!$B245,'Candidate Tracker'!$I:$I,"male")),"")</f>
        <v/>
      </c>
      <c r="BC245" s="80" t="str">
        <f>IFERROR(IF(COUNTIFS('Candidate Tracker'!$E:$E,'Positions Tracker'!$B245,'Candidate Tracker'!$C:$C,"&lt;&gt;WIP",'Candidate Tracker'!$C:$C,"&lt;&gt;Hold",'Candidate Tracker'!$C:$C,"&lt;&gt;Cancelled",'Candidate Tracker'!$C:$C,"&lt;&gt;Closed")/COUNTIFS('Candidate Tracker'!$E:$E,'Positions Tracker'!$B245)=0,"",COUNTIFS('Candidate Tracker'!$E:$E,'Positions Tracker'!$B245,'Candidate Tracker'!$C:$C,"&lt;&gt;WIP",'Candidate Tracker'!$C:$C,"&lt;&gt;Hold",'Candidate Tracker'!$C:$C,"&lt;&gt;Cancelled",'Candidate Tracker'!$C:$C,"&lt;&gt;Closed")/COUNTIFS('Candidate Tracker'!$E:$E,'Positions Tracker'!$B245)),"")</f>
        <v/>
      </c>
      <c r="BD245" s="67" t="str">
        <f t="shared" si="17"/>
        <v>Nov-25</v>
      </c>
      <c r="BE245" s="67" t="str">
        <f t="shared" si="18"/>
        <v/>
      </c>
      <c r="BF245" s="67" t="str">
        <f t="shared" si="19"/>
        <v/>
      </c>
      <c r="BG245" s="67" t="str">
        <f t="shared" si="20"/>
        <v/>
      </c>
    </row>
    <row r="246" spans="1:59">
      <c r="A246" s="67">
        <f t="shared" si="21"/>
        <v>245</v>
      </c>
      <c r="B246" s="105">
        <v>20259506</v>
      </c>
      <c r="C246" s="56" t="s">
        <v>2</v>
      </c>
      <c r="D246" s="56" t="s">
        <v>961</v>
      </c>
      <c r="E246" s="56" t="s">
        <v>864</v>
      </c>
      <c r="F246" s="56" t="s">
        <v>1024</v>
      </c>
      <c r="G246" s="56" t="s">
        <v>1</v>
      </c>
      <c r="H246" s="56" t="s">
        <v>374</v>
      </c>
      <c r="I246" s="56" t="s">
        <v>852</v>
      </c>
      <c r="J246" s="6"/>
      <c r="K246" s="57">
        <v>45972</v>
      </c>
      <c r="L246" s="57">
        <v>45971</v>
      </c>
      <c r="M246" s="57">
        <v>45972</v>
      </c>
      <c r="N246" s="56" t="s">
        <v>827</v>
      </c>
      <c r="O246" s="56"/>
      <c r="P246" s="56"/>
      <c r="Q246" s="56"/>
      <c r="R246" s="56"/>
      <c r="S246" s="56"/>
      <c r="T246" s="56"/>
      <c r="U246" s="56"/>
      <c r="V246" s="56"/>
      <c r="W246" s="56"/>
      <c r="X246" s="56" t="s">
        <v>850</v>
      </c>
      <c r="Y246" s="56" t="s">
        <v>73</v>
      </c>
      <c r="Z246" s="56" t="s">
        <v>73</v>
      </c>
      <c r="AA246" s="56" t="s">
        <v>1025</v>
      </c>
      <c r="AB246" s="56"/>
      <c r="AC246" s="56"/>
      <c r="AD246" s="56"/>
      <c r="AE246" s="56"/>
      <c r="AF246" s="56"/>
      <c r="AG246" s="56"/>
      <c r="AH246" s="56"/>
      <c r="AI246" s="58"/>
      <c r="AJ246" s="56"/>
      <c r="AK246" s="56"/>
      <c r="AL246" s="56"/>
      <c r="AM246" s="57"/>
      <c r="AN246" s="57"/>
      <c r="AO246" s="56"/>
      <c r="AP246" s="56"/>
      <c r="AQ246" s="57"/>
      <c r="AR246" s="57"/>
      <c r="AS246" s="57"/>
      <c r="AT246" s="67">
        <f t="shared" ca="1" si="22"/>
        <v>0</v>
      </c>
      <c r="AU246" s="79">
        <f t="shared" ca="1" si="23"/>
        <v>29</v>
      </c>
      <c r="AV246" s="79" t="str" cm="1">
        <f t="array" aca="1" ref="AV246" ca="1">IFERROR(_xlfn.IFS($AU246="","",$AU246&lt;=15,"0-15",AND($AU246&gt;=16,$AU246&lt;=30),"16-30",AND($AU246&gt;=31,$AU246&lt;=45),"31-45",AND($AU246&gt;=46,$AU246&lt;=60),"46-60",AND($AU246&gt;=61,$AU246&lt;=90),"61-90",AND($AU246&gt;=91),"&gt; 90",AND($AU246&gt;=2000),""),"")</f>
        <v>16-30</v>
      </c>
      <c r="AW246" s="79" t="str" cm="1">
        <f t="array" aca="1" ref="AW246" ca="1">IFERROR(_xlfn.IFS(OR($M246="",$AM246=""),"",OR($C246="Offered",$C246="Joined"),($AM246-$M246)-$AT246),"")</f>
        <v/>
      </c>
      <c r="AX246" s="79" t="str" cm="1">
        <f t="array" aca="1" ref="AX246" ca="1">IFERROR(_xlfn.IFS(OR($M246="",$AS246=""),"",$C246="Joined",($AS246-$M246)-$AT246),"")</f>
        <v/>
      </c>
      <c r="AY246" s="67" t="str">
        <f>IFERROR(IF(COUNTIFS('Candidate Tracker'!$E:$E,'Positions Tracker'!$B246,'Candidate Tracker'!$C:$C,"Offer Drop")=0,"",COUNTIFS('Candidate Tracker'!$E:$E,'Positions Tracker'!$B246,'Candidate Tracker'!$C:$C,"Offer Drop")),"")</f>
        <v/>
      </c>
      <c r="AZ246" s="80">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0.88111888111888115</v>
      </c>
      <c r="BA246" s="81" t="str">
        <f>IFERROR(IF(COUNTIFS('Candidate Tracker'!$E:$E,'Positions Tracker'!$B246,'Candidate Tracker'!$I:$I,"Female")=0,"",COUNTIFS('Candidate Tracker'!$E:$E,'Positions Tracker'!$B246,'Candidate Tracker'!$I:$I,"Female")),"")</f>
        <v/>
      </c>
      <c r="BB246" s="81" t="str">
        <f>IFERROR(IF(COUNTIFS('Candidate Tracker'!$E:$E,'Positions Tracker'!$B246,'Candidate Tracker'!$I:$I,"male")=0,"",COUNTIFS('Candidate Tracker'!$E:$E,'Positions Tracker'!$B246,'Candidate Tracker'!$I:$I,"male")),"")</f>
        <v/>
      </c>
      <c r="BC246" s="80" t="str">
        <f>IFERROR(IF(COUNTIFS('Candidate Tracker'!$E:$E,'Positions Tracker'!$B246,'Candidate Tracker'!$C:$C,"&lt;&gt;WIP",'Candidate Tracker'!$C:$C,"&lt;&gt;Hold",'Candidate Tracker'!$C:$C,"&lt;&gt;Cancelled",'Candidate Tracker'!$C:$C,"&lt;&gt;Closed")/COUNTIFS('Candidate Tracker'!$E:$E,'Positions Tracker'!$B246)=0,"",COUNTIFS('Candidate Tracker'!$E:$E,'Positions Tracker'!$B246,'Candidate Tracker'!$C:$C,"&lt;&gt;WIP",'Candidate Tracker'!$C:$C,"&lt;&gt;Hold",'Candidate Tracker'!$C:$C,"&lt;&gt;Cancelled",'Candidate Tracker'!$C:$C,"&lt;&gt;Closed")/COUNTIFS('Candidate Tracker'!$E:$E,'Positions Tracker'!$B246)),"")</f>
        <v/>
      </c>
      <c r="BD246" s="67" t="str">
        <f t="shared" si="17"/>
        <v>Nov-25</v>
      </c>
      <c r="BE246" s="67" t="str">
        <f t="shared" si="18"/>
        <v/>
      </c>
      <c r="BF246" s="67" t="str">
        <f t="shared" si="19"/>
        <v/>
      </c>
      <c r="BG246" s="67" t="str">
        <f t="shared" si="20"/>
        <v/>
      </c>
    </row>
    <row r="247" spans="1:59">
      <c r="A247" s="67">
        <f t="shared" si="21"/>
        <v>246</v>
      </c>
      <c r="B247" s="105">
        <v>20258206</v>
      </c>
      <c r="C247" s="56" t="s">
        <v>2</v>
      </c>
      <c r="D247" s="56" t="s">
        <v>1026</v>
      </c>
      <c r="E247" s="56" t="s">
        <v>1027</v>
      </c>
      <c r="F247" s="56" t="s">
        <v>847</v>
      </c>
      <c r="G247" s="56" t="s">
        <v>1</v>
      </c>
      <c r="H247" s="56" t="s">
        <v>374</v>
      </c>
      <c r="I247" s="6" t="s">
        <v>848</v>
      </c>
      <c r="J247" s="6"/>
      <c r="K247" s="57">
        <v>45973</v>
      </c>
      <c r="L247" s="57">
        <v>45972</v>
      </c>
      <c r="M247" s="57">
        <v>45973</v>
      </c>
      <c r="N247" s="56" t="s">
        <v>849</v>
      </c>
      <c r="O247" s="56"/>
      <c r="P247" s="56"/>
      <c r="Q247" s="56"/>
      <c r="R247" s="56"/>
      <c r="S247" s="56"/>
      <c r="T247" s="56"/>
      <c r="U247" s="56"/>
      <c r="V247" s="56"/>
      <c r="W247" s="56"/>
      <c r="X247" s="56" t="s">
        <v>708</v>
      </c>
      <c r="Y247" s="56" t="s">
        <v>73</v>
      </c>
      <c r="Z247" s="56" t="s">
        <v>73</v>
      </c>
      <c r="AA247" s="56" t="s">
        <v>1028</v>
      </c>
      <c r="AB247" s="56"/>
      <c r="AC247" s="56"/>
      <c r="AD247" s="56"/>
      <c r="AE247" s="56"/>
      <c r="AF247" s="56"/>
      <c r="AG247" s="56"/>
      <c r="AH247" s="56"/>
      <c r="AI247" s="58"/>
      <c r="AJ247" s="56"/>
      <c r="AK247" s="56"/>
      <c r="AL247" s="56"/>
      <c r="AM247" s="57"/>
      <c r="AN247" s="57"/>
      <c r="AO247" s="56"/>
      <c r="AP247" s="56"/>
      <c r="AQ247" s="57"/>
      <c r="AR247" s="57"/>
      <c r="AS247" s="57"/>
      <c r="AT247" s="67">
        <f t="shared" ca="1" si="22"/>
        <v>0</v>
      </c>
      <c r="AU247" s="79">
        <f t="shared" ca="1" si="23"/>
        <v>28</v>
      </c>
      <c r="AV247" s="79" t="str" cm="1">
        <f t="array" aca="1" ref="AV247" ca="1">IFERROR(_xlfn.IFS($AU247="","",$AU247&lt;=15,"0-15",AND($AU247&gt;=16,$AU247&lt;=30),"16-30",AND($AU247&gt;=31,$AU247&lt;=45),"31-45",AND($AU247&gt;=46,$AU247&lt;=60),"46-60",AND($AU247&gt;=61,$AU247&lt;=90),"61-90",AND($AU247&gt;=91),"&gt; 90",AND($AU247&gt;=2000),""),"")</f>
        <v>16-30</v>
      </c>
      <c r="AW247" s="79" t="str" cm="1">
        <f t="array" aca="1" ref="AW247" ca="1">IFERROR(_xlfn.IFS(OR($M247="",$AM247=""),"",OR($C247="Offered",$C247="Joined"),($AM247-$M247)-$AT247),"")</f>
        <v/>
      </c>
      <c r="AX247" s="79" t="str" cm="1">
        <f t="array" aca="1" ref="AX247" ca="1">IFERROR(_xlfn.IFS(OR($M247="",$AS247=""),"",$C247="Joined",($AS247-$M247)-$AT247),"")</f>
        <v/>
      </c>
      <c r="AY247" s="67" t="str">
        <f>IFERROR(IF(COUNTIFS('Candidate Tracker'!$E:$E,'Positions Tracker'!$B247,'Candidate Tracker'!$C:$C,"Offer Drop")=0,"",COUNTIFS('Candidate Tracker'!$E:$E,'Positions Tracker'!$B247,'Candidate Tracker'!$C:$C,"Offer Drop")),"")</f>
        <v/>
      </c>
      <c r="AZ247" s="80">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0.88111888111888115</v>
      </c>
      <c r="BA247" s="81" t="str">
        <f>IFERROR(IF(COUNTIFS('Candidate Tracker'!$E:$E,'Positions Tracker'!$B247,'Candidate Tracker'!$I:$I,"Female")=0,"",COUNTIFS('Candidate Tracker'!$E:$E,'Positions Tracker'!$B247,'Candidate Tracker'!$I:$I,"Female")),"")</f>
        <v/>
      </c>
      <c r="BB247" s="81" t="str">
        <f>IFERROR(IF(COUNTIFS('Candidate Tracker'!$E:$E,'Positions Tracker'!$B247,'Candidate Tracker'!$I:$I,"male")=0,"",COUNTIFS('Candidate Tracker'!$E:$E,'Positions Tracker'!$B247,'Candidate Tracker'!$I:$I,"male")),"")</f>
        <v/>
      </c>
      <c r="BC247" s="80" t="str">
        <f>IFERROR(IF(COUNTIFS('Candidate Tracker'!$E:$E,'Positions Tracker'!$B247,'Candidate Tracker'!$C:$C,"&lt;&gt;WIP",'Candidate Tracker'!$C:$C,"&lt;&gt;Hold",'Candidate Tracker'!$C:$C,"&lt;&gt;Cancelled",'Candidate Tracker'!$C:$C,"&lt;&gt;Closed")/COUNTIFS('Candidate Tracker'!$E:$E,'Positions Tracker'!$B247)=0,"",COUNTIFS('Candidate Tracker'!$E:$E,'Positions Tracker'!$B247,'Candidate Tracker'!$C:$C,"&lt;&gt;WIP",'Candidate Tracker'!$C:$C,"&lt;&gt;Hold",'Candidate Tracker'!$C:$C,"&lt;&gt;Cancelled",'Candidate Tracker'!$C:$C,"&lt;&gt;Closed")/COUNTIFS('Candidate Tracker'!$E:$E,'Positions Tracker'!$B247)),"")</f>
        <v/>
      </c>
      <c r="BD247" s="67" t="str">
        <f t="shared" si="17"/>
        <v>Nov-25</v>
      </c>
      <c r="BE247" s="67" t="str">
        <f t="shared" si="18"/>
        <v/>
      </c>
      <c r="BF247" s="67" t="str">
        <f t="shared" si="19"/>
        <v/>
      </c>
      <c r="BG247" s="67" t="str">
        <f t="shared" si="20"/>
        <v/>
      </c>
    </row>
    <row r="248" spans="1:59">
      <c r="A248" s="55"/>
      <c r="B248" s="56"/>
      <c r="C248" s="56"/>
      <c r="D248" s="56"/>
      <c r="E248" s="56"/>
      <c r="F248" s="56"/>
      <c r="G248" s="56"/>
      <c r="H248" s="56"/>
      <c r="I248" s="6"/>
      <c r="J248" s="6"/>
      <c r="K248" s="57"/>
      <c r="L248" s="57"/>
      <c r="M248" s="57"/>
      <c r="N248" s="56"/>
      <c r="O248" s="56"/>
      <c r="P248" s="56"/>
      <c r="Q248" s="56"/>
      <c r="R248" s="56"/>
      <c r="S248" s="56"/>
      <c r="T248" s="56"/>
      <c r="U248" s="56"/>
      <c r="V248" s="56"/>
      <c r="W248" s="56"/>
      <c r="X248" s="56"/>
      <c r="Y248" s="56"/>
      <c r="Z248" s="56"/>
      <c r="AA248" s="56"/>
      <c r="AB248" s="56"/>
      <c r="AC248" s="56"/>
      <c r="AD248" s="56"/>
      <c r="AE248" s="56"/>
      <c r="AF248" s="56"/>
      <c r="AG248" s="56"/>
      <c r="AH248" s="56"/>
      <c r="AI248" s="58"/>
      <c r="AJ248" s="56"/>
      <c r="AK248" s="56"/>
      <c r="AL248" s="56"/>
      <c r="AM248" s="57"/>
      <c r="AN248" s="57"/>
      <c r="AO248" s="56"/>
      <c r="AP248" s="56"/>
      <c r="AQ248" s="57"/>
      <c r="AR248" s="57"/>
      <c r="AS248" s="57"/>
      <c r="AT248" s="67">
        <f t="shared" ca="1" si="22"/>
        <v>0</v>
      </c>
      <c r="AU248" s="79" t="str">
        <f t="shared" ca="1" si="23"/>
        <v/>
      </c>
      <c r="AV248" s="79" t="str" cm="1">
        <f t="array" aca="1" ref="AV248" ca="1">IFERROR(_xlfn.IFS($AU248="","",$AU248&lt;=15,"0-15",AND($AU248&gt;=16,$AU248&lt;=30),"16-30",AND($AU248&gt;=31,$AU248&lt;=45),"31-45",AND($AU248&gt;=46,$AU248&lt;=60),"46-60",AND($AU248&gt;=61,$AU248&lt;=90),"61-90",AND($AU248&gt;=91),"&gt; 90",AND($AU248&gt;=2000),""),"")</f>
        <v/>
      </c>
      <c r="AW248" s="79" t="str" cm="1">
        <f t="array" aca="1" ref="AW248" ca="1">IFERROR(_xlfn.IFS(OR($M248="",$AM248=""),"",OR($C248="Offered",$C248="Joined"),($AM248-$M248)-$AT248),"")</f>
        <v/>
      </c>
      <c r="AX248" s="79" t="str" cm="1">
        <f t="array" aca="1" ref="AX248" ca="1">IFERROR(_xlfn.IFS(OR($M248="",$AS248=""),"",$C248="Joined",($AS248-$M248)-$AT248),"")</f>
        <v/>
      </c>
      <c r="AY248" s="67" t="str">
        <f>IFERROR(IF(COUNTIFS('Candidate Tracker'!$E:$E,'Positions Tracker'!$B248,'Candidate Tracker'!$C:$C,"Offer Drop")=0,"",COUNTIFS('Candidate Tracker'!$E:$E,'Positions Tracker'!$B248,'Candidate Tracker'!$C:$C,"Offer Drop")),"")</f>
        <v/>
      </c>
      <c r="AZ248" s="80">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0.88111888111888115</v>
      </c>
      <c r="BA248" s="81" t="str">
        <f>IFERROR(IF(COUNTIFS('Candidate Tracker'!$E:$E,'Positions Tracker'!$B248,'Candidate Tracker'!$I:$I,"Female")=0,"",COUNTIFS('Candidate Tracker'!$E:$E,'Positions Tracker'!$B248,'Candidate Tracker'!$I:$I,"Female")),"")</f>
        <v/>
      </c>
      <c r="BB248" s="81" t="str">
        <f>IFERROR(IF(COUNTIFS('Candidate Tracker'!$E:$E,'Positions Tracker'!$B248,'Candidate Tracker'!$I:$I,"male")=0,"",COUNTIFS('Candidate Tracker'!$E:$E,'Positions Tracker'!$B248,'Candidate Tracker'!$I:$I,"male")),"")</f>
        <v/>
      </c>
      <c r="BC248" s="80" t="str">
        <f>IFERROR(IF(COUNTIFS('Candidate Tracker'!$E:$E,'Positions Tracker'!$B248,'Candidate Tracker'!$C:$C,"&lt;&gt;WIP",'Candidate Tracker'!$C:$C,"&lt;&gt;Hold",'Candidate Tracker'!$C:$C,"&lt;&gt;Cancelled",'Candidate Tracker'!$C:$C,"&lt;&gt;Closed")/COUNTIFS('Candidate Tracker'!$E:$E,'Positions Tracker'!$B248)=0,"",COUNTIFS('Candidate Tracker'!$E:$E,'Positions Tracker'!$B248,'Candidate Tracker'!$C:$C,"&lt;&gt;WIP",'Candidate Tracker'!$C:$C,"&lt;&gt;Hold",'Candidate Tracker'!$C:$C,"&lt;&gt;Cancelled",'Candidate Tracker'!$C:$C,"&lt;&gt;Closed")/COUNTIFS('Candidate Tracker'!$E:$E,'Positions Tracker'!$B248)),"")</f>
        <v/>
      </c>
      <c r="BD248" s="67" t="str">
        <f t="shared" si="17"/>
        <v/>
      </c>
      <c r="BE248" s="67" t="str">
        <f t="shared" si="18"/>
        <v/>
      </c>
      <c r="BF248" s="67" t="str">
        <f t="shared" si="19"/>
        <v/>
      </c>
      <c r="BG248" s="67" t="str">
        <f t="shared" si="20"/>
        <v/>
      </c>
    </row>
    <row r="249" spans="1:59">
      <c r="A249" s="55"/>
      <c r="B249" s="56"/>
      <c r="C249" s="56"/>
      <c r="D249" s="56"/>
      <c r="E249" s="56"/>
      <c r="F249" s="56"/>
      <c r="G249" s="56"/>
      <c r="H249" s="56"/>
      <c r="I249" s="6"/>
      <c r="J249" s="6"/>
      <c r="K249" s="57"/>
      <c r="L249" s="57"/>
      <c r="M249" s="57"/>
      <c r="N249" s="56"/>
      <c r="O249" s="56"/>
      <c r="P249" s="56"/>
      <c r="Q249" s="56"/>
      <c r="R249" s="56"/>
      <c r="S249" s="56"/>
      <c r="T249" s="56"/>
      <c r="U249" s="56"/>
      <c r="V249" s="56"/>
      <c r="W249" s="56"/>
      <c r="X249" s="56"/>
      <c r="Y249" s="56"/>
      <c r="Z249" s="56"/>
      <c r="AA249" s="56"/>
      <c r="AB249" s="56"/>
      <c r="AC249" s="56"/>
      <c r="AD249" s="56"/>
      <c r="AE249" s="56"/>
      <c r="AF249" s="56"/>
      <c r="AG249" s="56"/>
      <c r="AH249" s="56"/>
      <c r="AI249" s="58"/>
      <c r="AJ249" s="56"/>
      <c r="AK249" s="56"/>
      <c r="AL249" s="56"/>
      <c r="AM249" s="57"/>
      <c r="AN249" s="57"/>
      <c r="AO249" s="56"/>
      <c r="AP249" s="56"/>
      <c r="AQ249" s="57"/>
      <c r="AR249" s="57"/>
      <c r="AS249" s="57"/>
      <c r="AT249" s="67">
        <f t="shared" ca="1" si="22"/>
        <v>0</v>
      </c>
      <c r="AU249" s="79" t="str">
        <f t="shared" ca="1" si="23"/>
        <v/>
      </c>
      <c r="AV249" s="79" t="str" cm="1">
        <f t="array" aca="1" ref="AV249" ca="1">IFERROR(_xlfn.IFS($AU249="","",$AU249&lt;=15,"0-15",AND($AU249&gt;=16,$AU249&lt;=30),"16-30",AND($AU249&gt;=31,$AU249&lt;=45),"31-45",AND($AU249&gt;=46,$AU249&lt;=60),"46-60",AND($AU249&gt;=61,$AU249&lt;=90),"61-90",AND($AU249&gt;=91),"&gt; 90",AND($AU249&gt;=2000),""),"")</f>
        <v/>
      </c>
      <c r="AW249" s="79" t="str" cm="1">
        <f t="array" aca="1" ref="AW249" ca="1">IFERROR(_xlfn.IFS(OR($M249="",$AM249=""),"",OR($C249="Offered",$C249="Joined"),($AM249-$M249)-$AT249),"")</f>
        <v/>
      </c>
      <c r="AX249" s="79" t="str" cm="1">
        <f t="array" aca="1" ref="AX249" ca="1">IFERROR(_xlfn.IFS(OR($M249="",$AS249=""),"",$C249="Joined",($AS249-$M249)-$AT249),"")</f>
        <v/>
      </c>
      <c r="AY249" s="67" t="str">
        <f>IFERROR(IF(COUNTIFS('Candidate Tracker'!$E:$E,'Positions Tracker'!$B249,'Candidate Tracker'!$C:$C,"Offer Drop")=0,"",COUNTIFS('Candidate Tracker'!$E:$E,'Positions Tracker'!$B249,'Candidate Tracker'!$C:$C,"Offer Drop")),"")</f>
        <v/>
      </c>
      <c r="AZ249" s="80">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0.88111888111888115</v>
      </c>
      <c r="BA249" s="81" t="str">
        <f>IFERROR(IF(COUNTIFS('Candidate Tracker'!$E:$E,'Positions Tracker'!$B249,'Candidate Tracker'!$I:$I,"Female")=0,"",COUNTIFS('Candidate Tracker'!$E:$E,'Positions Tracker'!$B249,'Candidate Tracker'!$I:$I,"Female")),"")</f>
        <v/>
      </c>
      <c r="BB249" s="81" t="str">
        <f>IFERROR(IF(COUNTIFS('Candidate Tracker'!$E:$E,'Positions Tracker'!$B249,'Candidate Tracker'!$I:$I,"male")=0,"",COUNTIFS('Candidate Tracker'!$E:$E,'Positions Tracker'!$B249,'Candidate Tracker'!$I:$I,"male")),"")</f>
        <v/>
      </c>
      <c r="BC249" s="80" t="str">
        <f>IFERROR(IF(COUNTIFS('Candidate Tracker'!$E:$E,'Positions Tracker'!$B249,'Candidate Tracker'!$C:$C,"&lt;&gt;WIP",'Candidate Tracker'!$C:$C,"&lt;&gt;Hold",'Candidate Tracker'!$C:$C,"&lt;&gt;Cancelled",'Candidate Tracker'!$C:$C,"&lt;&gt;Closed")/COUNTIFS('Candidate Tracker'!$E:$E,'Positions Tracker'!$B249)=0,"",COUNTIFS('Candidate Tracker'!$E:$E,'Positions Tracker'!$B249,'Candidate Tracker'!$C:$C,"&lt;&gt;WIP",'Candidate Tracker'!$C:$C,"&lt;&gt;Hold",'Candidate Tracker'!$C:$C,"&lt;&gt;Cancelled",'Candidate Tracker'!$C:$C,"&lt;&gt;Closed")/COUNTIFS('Candidate Tracker'!$E:$E,'Positions Tracker'!$B249)),"")</f>
        <v/>
      </c>
      <c r="BD249" s="67" t="str">
        <f t="shared" si="17"/>
        <v/>
      </c>
      <c r="BE249" s="67" t="str">
        <f t="shared" si="18"/>
        <v/>
      </c>
      <c r="BF249" s="67" t="str">
        <f t="shared" si="19"/>
        <v/>
      </c>
      <c r="BG249" s="67" t="str">
        <f t="shared" si="20"/>
        <v/>
      </c>
    </row>
    <row r="250" spans="1:59">
      <c r="A250" s="55"/>
      <c r="B250" s="56"/>
      <c r="C250" s="56"/>
      <c r="D250" s="56"/>
      <c r="E250" s="56"/>
      <c r="F250" s="56"/>
      <c r="G250" s="56"/>
      <c r="H250" s="56"/>
      <c r="I250" s="6"/>
      <c r="J250" s="6"/>
      <c r="K250" s="57"/>
      <c r="L250" s="57"/>
      <c r="M250" s="57"/>
      <c r="N250" s="56"/>
      <c r="O250" s="56"/>
      <c r="P250" s="56"/>
      <c r="Q250" s="56"/>
      <c r="R250" s="56"/>
      <c r="S250" s="56"/>
      <c r="T250" s="56"/>
      <c r="U250" s="56"/>
      <c r="V250" s="56"/>
      <c r="W250" s="56"/>
      <c r="X250" s="56"/>
      <c r="Y250" s="56"/>
      <c r="Z250" s="56"/>
      <c r="AA250" s="56"/>
      <c r="AB250" s="56"/>
      <c r="AC250" s="56"/>
      <c r="AD250" s="56"/>
      <c r="AE250" s="56"/>
      <c r="AF250" s="56"/>
      <c r="AG250" s="56"/>
      <c r="AH250" s="56"/>
      <c r="AI250" s="58"/>
      <c r="AJ250" s="56"/>
      <c r="AK250" s="56"/>
      <c r="AL250" s="56"/>
      <c r="AM250" s="57"/>
      <c r="AN250" s="57"/>
      <c r="AO250" s="56"/>
      <c r="AP250" s="56"/>
      <c r="AQ250" s="57"/>
      <c r="AR250" s="57"/>
      <c r="AS250" s="57"/>
      <c r="AT250" s="67">
        <f t="shared" ca="1" si="22"/>
        <v>0</v>
      </c>
      <c r="AU250" s="79" t="str">
        <f t="shared" ca="1" si="23"/>
        <v/>
      </c>
      <c r="AV250" s="79" t="str" cm="1">
        <f t="array" aca="1" ref="AV250" ca="1">IFERROR(_xlfn.IFS($AU250="","",$AU250&lt;=15,"0-15",AND($AU250&gt;=16,$AU250&lt;=30),"16-30",AND($AU250&gt;=31,$AU250&lt;=45),"31-45",AND($AU250&gt;=46,$AU250&lt;=60),"46-60",AND($AU250&gt;=61,$AU250&lt;=90),"61-90",AND($AU250&gt;=91),"&gt; 90",AND($AU250&gt;=2000),""),"")</f>
        <v/>
      </c>
      <c r="AW250" s="79" t="str" cm="1">
        <f t="array" aca="1" ref="AW250" ca="1">IFERROR(_xlfn.IFS(OR($M250="",$AM250=""),"",OR($C250="Offered",$C250="Joined"),($AM250-$M250)-$AT250),"")</f>
        <v/>
      </c>
      <c r="AX250" s="79" t="str" cm="1">
        <f t="array" aca="1" ref="AX250" ca="1">IFERROR(_xlfn.IFS(OR($M250="",$AS250=""),"",$C250="Joined",($AS250-$M250)-$AT250),"")</f>
        <v/>
      </c>
      <c r="AY250" s="67" t="str">
        <f>IFERROR(IF(COUNTIFS('Candidate Tracker'!$E:$E,'Positions Tracker'!$B250,'Candidate Tracker'!$C:$C,"Offer Drop")=0,"",COUNTIFS('Candidate Tracker'!$E:$E,'Positions Tracker'!$B250,'Candidate Tracker'!$C:$C,"Offer Drop")),"")</f>
        <v/>
      </c>
      <c r="AZ250" s="80">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0.88111888111888115</v>
      </c>
      <c r="BA250" s="81" t="str">
        <f>IFERROR(IF(COUNTIFS('Candidate Tracker'!$E:$E,'Positions Tracker'!$B250,'Candidate Tracker'!$I:$I,"Female")=0,"",COUNTIFS('Candidate Tracker'!$E:$E,'Positions Tracker'!$B250,'Candidate Tracker'!$I:$I,"Female")),"")</f>
        <v/>
      </c>
      <c r="BB250" s="81" t="str">
        <f>IFERROR(IF(COUNTIFS('Candidate Tracker'!$E:$E,'Positions Tracker'!$B250,'Candidate Tracker'!$I:$I,"male")=0,"",COUNTIFS('Candidate Tracker'!$E:$E,'Positions Tracker'!$B250,'Candidate Tracker'!$I:$I,"male")),"")</f>
        <v/>
      </c>
      <c r="BC250" s="80" t="str">
        <f>IFERROR(IF(COUNTIFS('Candidate Tracker'!$E:$E,'Positions Tracker'!$B250,'Candidate Tracker'!$C:$C,"&lt;&gt;WIP",'Candidate Tracker'!$C:$C,"&lt;&gt;Hold",'Candidate Tracker'!$C:$C,"&lt;&gt;Cancelled",'Candidate Tracker'!$C:$C,"&lt;&gt;Closed")/COUNTIFS('Candidate Tracker'!$E:$E,'Positions Tracker'!$B250)=0,"",COUNTIFS('Candidate Tracker'!$E:$E,'Positions Tracker'!$B250,'Candidate Tracker'!$C:$C,"&lt;&gt;WIP",'Candidate Tracker'!$C:$C,"&lt;&gt;Hold",'Candidate Tracker'!$C:$C,"&lt;&gt;Cancelled",'Candidate Tracker'!$C:$C,"&lt;&gt;Closed")/COUNTIFS('Candidate Tracker'!$E:$E,'Positions Tracker'!$B250)),"")</f>
        <v/>
      </c>
      <c r="BD250" s="67" t="str">
        <f t="shared" si="17"/>
        <v/>
      </c>
      <c r="BE250" s="67" t="str">
        <f t="shared" si="18"/>
        <v/>
      </c>
      <c r="BF250" s="67" t="str">
        <f t="shared" si="19"/>
        <v/>
      </c>
      <c r="BG250" s="67" t="str">
        <f t="shared" si="20"/>
        <v/>
      </c>
    </row>
    <row r="251" spans="1:59">
      <c r="A251" s="55"/>
      <c r="B251" s="56"/>
      <c r="C251" s="56"/>
      <c r="D251" s="56"/>
      <c r="E251" s="56"/>
      <c r="F251" s="56"/>
      <c r="G251" s="56"/>
      <c r="H251" s="56"/>
      <c r="I251" s="6"/>
      <c r="J251" s="6"/>
      <c r="K251" s="57"/>
      <c r="L251" s="57"/>
      <c r="M251" s="57"/>
      <c r="N251" s="56"/>
      <c r="O251" s="56"/>
      <c r="P251" s="56"/>
      <c r="Q251" s="56"/>
      <c r="R251" s="56"/>
      <c r="S251" s="56"/>
      <c r="T251" s="56"/>
      <c r="U251" s="56"/>
      <c r="V251" s="56"/>
      <c r="W251" s="56"/>
      <c r="X251" s="56"/>
      <c r="Y251" s="56"/>
      <c r="Z251" s="56"/>
      <c r="AA251" s="56"/>
      <c r="AB251" s="56"/>
      <c r="AC251" s="56"/>
      <c r="AD251" s="56"/>
      <c r="AE251" s="56"/>
      <c r="AF251" s="56"/>
      <c r="AG251" s="56"/>
      <c r="AH251" s="56"/>
      <c r="AI251" s="58"/>
      <c r="AJ251" s="56"/>
      <c r="AK251" s="56"/>
      <c r="AL251" s="56"/>
      <c r="AM251" s="57"/>
      <c r="AN251" s="57"/>
      <c r="AO251" s="56"/>
      <c r="AP251" s="56"/>
      <c r="AQ251" s="57"/>
      <c r="AR251" s="57"/>
      <c r="AS251" s="57"/>
      <c r="AT251" s="67">
        <f t="shared" ca="1" si="22"/>
        <v>0</v>
      </c>
      <c r="AU251" s="79" t="str">
        <f t="shared" ca="1" si="23"/>
        <v/>
      </c>
      <c r="AV251" s="79" t="str" cm="1">
        <f t="array" aca="1" ref="AV251" ca="1">IFERROR(_xlfn.IFS($AU251="","",$AU251&lt;=15,"0-15",AND($AU251&gt;=16,$AU251&lt;=30),"16-30",AND($AU251&gt;=31,$AU251&lt;=45),"31-45",AND($AU251&gt;=46,$AU251&lt;=60),"46-60",AND($AU251&gt;=61,$AU251&lt;=90),"61-90",AND($AU251&gt;=91),"&gt; 90",AND($AU251&gt;=2000),""),"")</f>
        <v/>
      </c>
      <c r="AW251" s="79" t="str" cm="1">
        <f t="array" aca="1" ref="AW251" ca="1">IFERROR(_xlfn.IFS(OR($M251="",$AM251=""),"",OR($C251="Offered",$C251="Joined"),($AM251-$M251)-$AT251),"")</f>
        <v/>
      </c>
      <c r="AX251" s="79" t="str" cm="1">
        <f t="array" aca="1" ref="AX251" ca="1">IFERROR(_xlfn.IFS(OR($M251="",$AS251=""),"",$C251="Joined",($AS251-$M251)-$AT251),"")</f>
        <v/>
      </c>
      <c r="AY251" s="67" t="str">
        <f>IFERROR(IF(COUNTIFS('Candidate Tracker'!$E:$E,'Positions Tracker'!$B251,'Candidate Tracker'!$C:$C,"Offer Drop")=0,"",COUNTIFS('Candidate Tracker'!$E:$E,'Positions Tracker'!$B251,'Candidate Tracker'!$C:$C,"Offer Drop")),"")</f>
        <v/>
      </c>
      <c r="AZ251" s="80">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0.88111888111888115</v>
      </c>
      <c r="BA251" s="81" t="str">
        <f>IFERROR(IF(COUNTIFS('Candidate Tracker'!$E:$E,'Positions Tracker'!$B251,'Candidate Tracker'!$I:$I,"Female")=0,"",COUNTIFS('Candidate Tracker'!$E:$E,'Positions Tracker'!$B251,'Candidate Tracker'!$I:$I,"Female")),"")</f>
        <v/>
      </c>
      <c r="BB251" s="81" t="str">
        <f>IFERROR(IF(COUNTIFS('Candidate Tracker'!$E:$E,'Positions Tracker'!$B251,'Candidate Tracker'!$I:$I,"male")=0,"",COUNTIFS('Candidate Tracker'!$E:$E,'Positions Tracker'!$B251,'Candidate Tracker'!$I:$I,"male")),"")</f>
        <v/>
      </c>
      <c r="BC251" s="80" t="str">
        <f>IFERROR(IF(COUNTIFS('Candidate Tracker'!$E:$E,'Positions Tracker'!$B251,'Candidate Tracker'!$C:$C,"&lt;&gt;WIP",'Candidate Tracker'!$C:$C,"&lt;&gt;Hold",'Candidate Tracker'!$C:$C,"&lt;&gt;Cancelled",'Candidate Tracker'!$C:$C,"&lt;&gt;Closed")/COUNTIFS('Candidate Tracker'!$E:$E,'Positions Tracker'!$B251)=0,"",COUNTIFS('Candidate Tracker'!$E:$E,'Positions Tracker'!$B251,'Candidate Tracker'!$C:$C,"&lt;&gt;WIP",'Candidate Tracker'!$C:$C,"&lt;&gt;Hold",'Candidate Tracker'!$C:$C,"&lt;&gt;Cancelled",'Candidate Tracker'!$C:$C,"&lt;&gt;Closed")/COUNTIFS('Candidate Tracker'!$E:$E,'Positions Tracker'!$B251)),"")</f>
        <v/>
      </c>
      <c r="BD251" s="67" t="str">
        <f t="shared" si="17"/>
        <v/>
      </c>
      <c r="BE251" s="67" t="str">
        <f t="shared" si="18"/>
        <v/>
      </c>
      <c r="BF251" s="67" t="str">
        <f t="shared" si="19"/>
        <v/>
      </c>
      <c r="BG251" s="67" t="str">
        <f t="shared" si="20"/>
        <v/>
      </c>
    </row>
    <row r="252" spans="1:59">
      <c r="A252" s="55"/>
      <c r="B252" s="56"/>
      <c r="C252" s="56"/>
      <c r="D252" s="56"/>
      <c r="E252" s="56"/>
      <c r="F252" s="56"/>
      <c r="G252" s="56"/>
      <c r="H252" s="56"/>
      <c r="I252" s="6"/>
      <c r="J252" s="6"/>
      <c r="K252" s="57"/>
      <c r="L252" s="57"/>
      <c r="M252" s="57"/>
      <c r="N252" s="56"/>
      <c r="O252" s="56"/>
      <c r="P252" s="56"/>
      <c r="Q252" s="56"/>
      <c r="R252" s="56"/>
      <c r="S252" s="56"/>
      <c r="T252" s="56"/>
      <c r="U252" s="56"/>
      <c r="V252" s="56"/>
      <c r="W252" s="56"/>
      <c r="X252" s="56"/>
      <c r="Y252" s="56"/>
      <c r="Z252" s="56"/>
      <c r="AA252" s="56"/>
      <c r="AB252" s="56"/>
      <c r="AC252" s="56"/>
      <c r="AD252" s="56"/>
      <c r="AE252" s="56"/>
      <c r="AF252" s="56"/>
      <c r="AG252" s="56"/>
      <c r="AH252" s="56"/>
      <c r="AI252" s="58"/>
      <c r="AJ252" s="56"/>
      <c r="AK252" s="56"/>
      <c r="AL252" s="56"/>
      <c r="AM252" s="57"/>
      <c r="AN252" s="57"/>
      <c r="AO252" s="56"/>
      <c r="AP252" s="56"/>
      <c r="AQ252" s="57"/>
      <c r="AR252" s="57"/>
      <c r="AS252" s="57"/>
      <c r="AT252" s="67">
        <f t="shared" ca="1" si="22"/>
        <v>0</v>
      </c>
      <c r="AU252" s="79" t="str">
        <f t="shared" ca="1" si="23"/>
        <v/>
      </c>
      <c r="AV252" s="79" t="str" cm="1">
        <f t="array" aca="1" ref="AV252" ca="1">IFERROR(_xlfn.IFS($AU252="","",$AU252&lt;=15,"0-15",AND($AU252&gt;=16,$AU252&lt;=30),"16-30",AND($AU252&gt;=31,$AU252&lt;=45),"31-45",AND($AU252&gt;=46,$AU252&lt;=60),"46-60",AND($AU252&gt;=61,$AU252&lt;=90),"61-90",AND($AU252&gt;=91),"&gt; 90",AND($AU252&gt;=2000),""),"")</f>
        <v/>
      </c>
      <c r="AW252" s="79" t="str" cm="1">
        <f t="array" aca="1" ref="AW252" ca="1">IFERROR(_xlfn.IFS(OR($M252="",$AM252=""),"",OR($C252="Offered",$C252="Joined"),($AM252-$M252)-$AT252),"")</f>
        <v/>
      </c>
      <c r="AX252" s="79" t="str" cm="1">
        <f t="array" aca="1" ref="AX252" ca="1">IFERROR(_xlfn.IFS(OR($M252="",$AS252=""),"",$C252="Joined",($AS252-$M252)-$AT252),"")</f>
        <v/>
      </c>
      <c r="AY252" s="67" t="str">
        <f>IFERROR(IF(COUNTIFS('Candidate Tracker'!$E:$E,'Positions Tracker'!$B252,'Candidate Tracker'!$C:$C,"Offer Drop")=0,"",COUNTIFS('Candidate Tracker'!$E:$E,'Positions Tracker'!$B252,'Candidate Tracker'!$C:$C,"Offer Drop")),"")</f>
        <v/>
      </c>
      <c r="AZ252" s="80">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0.88111888111888115</v>
      </c>
      <c r="BA252" s="81" t="str">
        <f>IFERROR(IF(COUNTIFS('Candidate Tracker'!$E:$E,'Positions Tracker'!$B252,'Candidate Tracker'!$I:$I,"Female")=0,"",COUNTIFS('Candidate Tracker'!$E:$E,'Positions Tracker'!$B252,'Candidate Tracker'!$I:$I,"Female")),"")</f>
        <v/>
      </c>
      <c r="BB252" s="81" t="str">
        <f>IFERROR(IF(COUNTIFS('Candidate Tracker'!$E:$E,'Positions Tracker'!$B252,'Candidate Tracker'!$I:$I,"male")=0,"",COUNTIFS('Candidate Tracker'!$E:$E,'Positions Tracker'!$B252,'Candidate Tracker'!$I:$I,"male")),"")</f>
        <v/>
      </c>
      <c r="BC252" s="80" t="str">
        <f>IFERROR(IF(COUNTIFS('Candidate Tracker'!$E:$E,'Positions Tracker'!$B252,'Candidate Tracker'!$C:$C,"&lt;&gt;WIP",'Candidate Tracker'!$C:$C,"&lt;&gt;Hold",'Candidate Tracker'!$C:$C,"&lt;&gt;Cancelled",'Candidate Tracker'!$C:$C,"&lt;&gt;Closed")/COUNTIFS('Candidate Tracker'!$E:$E,'Positions Tracker'!$B252)=0,"",COUNTIFS('Candidate Tracker'!$E:$E,'Positions Tracker'!$B252,'Candidate Tracker'!$C:$C,"&lt;&gt;WIP",'Candidate Tracker'!$C:$C,"&lt;&gt;Hold",'Candidate Tracker'!$C:$C,"&lt;&gt;Cancelled",'Candidate Tracker'!$C:$C,"&lt;&gt;Closed")/COUNTIFS('Candidate Tracker'!$E:$E,'Positions Tracker'!$B252)),"")</f>
        <v/>
      </c>
      <c r="BD252" s="67" t="str">
        <f t="shared" si="17"/>
        <v/>
      </c>
      <c r="BE252" s="67" t="str">
        <f t="shared" si="18"/>
        <v/>
      </c>
      <c r="BF252" s="67" t="str">
        <f t="shared" si="19"/>
        <v/>
      </c>
      <c r="BG252" s="67" t="str">
        <f t="shared" si="20"/>
        <v/>
      </c>
    </row>
    <row r="253" spans="1:59">
      <c r="A253" s="55"/>
      <c r="B253" s="56"/>
      <c r="C253" s="56"/>
      <c r="D253" s="56"/>
      <c r="E253" s="56"/>
      <c r="F253" s="56"/>
      <c r="G253" s="56"/>
      <c r="H253" s="56"/>
      <c r="I253" s="6"/>
      <c r="J253" s="6"/>
      <c r="K253" s="57"/>
      <c r="L253" s="57"/>
      <c r="M253" s="57"/>
      <c r="N253" s="56"/>
      <c r="O253" s="56"/>
      <c r="P253" s="56"/>
      <c r="Q253" s="56"/>
      <c r="R253" s="56"/>
      <c r="S253" s="56"/>
      <c r="T253" s="56"/>
      <c r="U253" s="56"/>
      <c r="V253" s="56"/>
      <c r="W253" s="56"/>
      <c r="X253" s="56"/>
      <c r="Y253" s="56"/>
      <c r="Z253" s="56"/>
      <c r="AA253" s="56"/>
      <c r="AB253" s="56"/>
      <c r="AC253" s="56"/>
      <c r="AD253" s="56"/>
      <c r="AE253" s="56"/>
      <c r="AF253" s="56"/>
      <c r="AG253" s="56"/>
      <c r="AH253" s="56"/>
      <c r="AI253" s="58"/>
      <c r="AJ253" s="56"/>
      <c r="AK253" s="56"/>
      <c r="AL253" s="56"/>
      <c r="AM253" s="57"/>
      <c r="AN253" s="57"/>
      <c r="AO253" s="56"/>
      <c r="AP253" s="56"/>
      <c r="AQ253" s="57"/>
      <c r="AR253" s="57"/>
      <c r="AS253" s="57"/>
      <c r="AT253" s="67">
        <f t="shared" ca="1" si="22"/>
        <v>0</v>
      </c>
      <c r="AU253" s="79" t="str">
        <f t="shared" ca="1" si="23"/>
        <v/>
      </c>
      <c r="AV253" s="79" t="str" cm="1">
        <f t="array" aca="1" ref="AV253" ca="1">IFERROR(_xlfn.IFS($AU253="","",$AU253&lt;=15,"0-15",AND($AU253&gt;=16,$AU253&lt;=30),"16-30",AND($AU253&gt;=31,$AU253&lt;=45),"31-45",AND($AU253&gt;=46,$AU253&lt;=60),"46-60",AND($AU253&gt;=61,$AU253&lt;=90),"61-90",AND($AU253&gt;=91),"&gt; 90",AND($AU253&gt;=2000),""),"")</f>
        <v/>
      </c>
      <c r="AW253" s="79" t="str" cm="1">
        <f t="array" aca="1" ref="AW253" ca="1">IFERROR(_xlfn.IFS(OR($M253="",$AM253=""),"",OR($C253="Offered",$C253="Joined"),($AM253-$M253)-$AT253),"")</f>
        <v/>
      </c>
      <c r="AX253" s="79" t="str" cm="1">
        <f t="array" aca="1" ref="AX253" ca="1">IFERROR(_xlfn.IFS(OR($M253="",$AS253=""),"",$C253="Joined",($AS253-$M253)-$AT253),"")</f>
        <v/>
      </c>
      <c r="AY253" s="67" t="str">
        <f>IFERROR(IF(COUNTIFS('Candidate Tracker'!$E:$E,'Positions Tracker'!$B253,'Candidate Tracker'!$C:$C,"Offer Drop")=0,"",COUNTIFS('Candidate Tracker'!$E:$E,'Positions Tracker'!$B253,'Candidate Tracker'!$C:$C,"Offer Drop")),"")</f>
        <v/>
      </c>
      <c r="AZ253" s="80">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0.88111888111888115</v>
      </c>
      <c r="BA253" s="81" t="str">
        <f>IFERROR(IF(COUNTIFS('Candidate Tracker'!$E:$E,'Positions Tracker'!$B253,'Candidate Tracker'!$I:$I,"Female")=0,"",COUNTIFS('Candidate Tracker'!$E:$E,'Positions Tracker'!$B253,'Candidate Tracker'!$I:$I,"Female")),"")</f>
        <v/>
      </c>
      <c r="BB253" s="81" t="str">
        <f>IFERROR(IF(COUNTIFS('Candidate Tracker'!$E:$E,'Positions Tracker'!$B253,'Candidate Tracker'!$I:$I,"male")=0,"",COUNTIFS('Candidate Tracker'!$E:$E,'Positions Tracker'!$B253,'Candidate Tracker'!$I:$I,"male")),"")</f>
        <v/>
      </c>
      <c r="BC253" s="80" t="str">
        <f>IFERROR(IF(COUNTIFS('Candidate Tracker'!$E:$E,'Positions Tracker'!$B253,'Candidate Tracker'!$C:$C,"&lt;&gt;WIP",'Candidate Tracker'!$C:$C,"&lt;&gt;Hold",'Candidate Tracker'!$C:$C,"&lt;&gt;Cancelled",'Candidate Tracker'!$C:$C,"&lt;&gt;Closed")/COUNTIFS('Candidate Tracker'!$E:$E,'Positions Tracker'!$B253)=0,"",COUNTIFS('Candidate Tracker'!$E:$E,'Positions Tracker'!$B253,'Candidate Tracker'!$C:$C,"&lt;&gt;WIP",'Candidate Tracker'!$C:$C,"&lt;&gt;Hold",'Candidate Tracker'!$C:$C,"&lt;&gt;Cancelled",'Candidate Tracker'!$C:$C,"&lt;&gt;Closed")/COUNTIFS('Candidate Tracker'!$E:$E,'Positions Tracker'!$B253)),"")</f>
        <v/>
      </c>
      <c r="BD253" s="67" t="str">
        <f t="shared" si="17"/>
        <v/>
      </c>
      <c r="BE253" s="67" t="str">
        <f t="shared" si="18"/>
        <v/>
      </c>
      <c r="BF253" s="67" t="str">
        <f t="shared" si="19"/>
        <v/>
      </c>
      <c r="BG253" s="67" t="str">
        <f t="shared" si="20"/>
        <v/>
      </c>
    </row>
    <row r="254" spans="1:59">
      <c r="A254" s="55"/>
      <c r="B254" s="56"/>
      <c r="C254" s="56"/>
      <c r="D254" s="56"/>
      <c r="E254" s="56"/>
      <c r="F254" s="56"/>
      <c r="G254" s="56"/>
      <c r="H254" s="56"/>
      <c r="I254" s="6"/>
      <c r="J254" s="6"/>
      <c r="K254" s="57"/>
      <c r="L254" s="57"/>
      <c r="M254" s="57"/>
      <c r="N254" s="56"/>
      <c r="O254" s="56"/>
      <c r="P254" s="56"/>
      <c r="Q254" s="56"/>
      <c r="R254" s="56"/>
      <c r="S254" s="56"/>
      <c r="T254" s="56"/>
      <c r="U254" s="56"/>
      <c r="V254" s="56"/>
      <c r="W254" s="56"/>
      <c r="X254" s="56"/>
      <c r="Y254" s="56"/>
      <c r="Z254" s="56"/>
      <c r="AA254" s="56"/>
      <c r="AB254" s="56"/>
      <c r="AC254" s="56"/>
      <c r="AD254" s="56"/>
      <c r="AE254" s="56"/>
      <c r="AF254" s="56"/>
      <c r="AG254" s="56"/>
      <c r="AH254" s="56"/>
      <c r="AI254" s="58"/>
      <c r="AJ254" s="56"/>
      <c r="AK254" s="56"/>
      <c r="AL254" s="56"/>
      <c r="AM254" s="57"/>
      <c r="AN254" s="57"/>
      <c r="AO254" s="56"/>
      <c r="AP254" s="56"/>
      <c r="AQ254" s="57"/>
      <c r="AR254" s="57"/>
      <c r="AS254" s="57"/>
      <c r="AT254" s="67">
        <f t="shared" ca="1" si="22"/>
        <v>0</v>
      </c>
      <c r="AU254" s="79" t="str">
        <f t="shared" ca="1" si="23"/>
        <v/>
      </c>
      <c r="AV254" s="79" t="str" cm="1">
        <f t="array" aca="1" ref="AV254" ca="1">IFERROR(_xlfn.IFS($AU254="","",$AU254&lt;=15,"0-15",AND($AU254&gt;=16,$AU254&lt;=30),"16-30",AND($AU254&gt;=31,$AU254&lt;=45),"31-45",AND($AU254&gt;=46,$AU254&lt;=60),"46-60",AND($AU254&gt;=61,$AU254&lt;=90),"61-90",AND($AU254&gt;=91),"&gt; 90",AND($AU254&gt;=2000),""),"")</f>
        <v/>
      </c>
      <c r="AW254" s="79" t="str" cm="1">
        <f t="array" aca="1" ref="AW254" ca="1">IFERROR(_xlfn.IFS(OR($M254="",$AM254=""),"",OR($C254="Offered",$C254="Joined"),($AM254-$M254)-$AT254),"")</f>
        <v/>
      </c>
      <c r="AX254" s="79" t="str" cm="1">
        <f t="array" aca="1" ref="AX254" ca="1">IFERROR(_xlfn.IFS(OR($M254="",$AS254=""),"",$C254="Joined",($AS254-$M254)-$AT254),"")</f>
        <v/>
      </c>
      <c r="AY254" s="67" t="str">
        <f>IFERROR(IF(COUNTIFS('Candidate Tracker'!$E:$E,'Positions Tracker'!$B254,'Candidate Tracker'!$C:$C,"Offer Drop")=0,"",COUNTIFS('Candidate Tracker'!$E:$E,'Positions Tracker'!$B254,'Candidate Tracker'!$C:$C,"Offer Drop")),"")</f>
        <v/>
      </c>
      <c r="AZ254" s="80">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0.88111888111888115</v>
      </c>
      <c r="BA254" s="81" t="str">
        <f>IFERROR(IF(COUNTIFS('Candidate Tracker'!$E:$E,'Positions Tracker'!$B254,'Candidate Tracker'!$I:$I,"Female")=0,"",COUNTIFS('Candidate Tracker'!$E:$E,'Positions Tracker'!$B254,'Candidate Tracker'!$I:$I,"Female")),"")</f>
        <v/>
      </c>
      <c r="BB254" s="81" t="str">
        <f>IFERROR(IF(COUNTIFS('Candidate Tracker'!$E:$E,'Positions Tracker'!$B254,'Candidate Tracker'!$I:$I,"male")=0,"",COUNTIFS('Candidate Tracker'!$E:$E,'Positions Tracker'!$B254,'Candidate Tracker'!$I:$I,"male")),"")</f>
        <v/>
      </c>
      <c r="BC254" s="80" t="str">
        <f>IFERROR(IF(COUNTIFS('Candidate Tracker'!$E:$E,'Positions Tracker'!$B254,'Candidate Tracker'!$C:$C,"&lt;&gt;WIP",'Candidate Tracker'!$C:$C,"&lt;&gt;Hold",'Candidate Tracker'!$C:$C,"&lt;&gt;Cancelled",'Candidate Tracker'!$C:$C,"&lt;&gt;Closed")/COUNTIFS('Candidate Tracker'!$E:$E,'Positions Tracker'!$B254)=0,"",COUNTIFS('Candidate Tracker'!$E:$E,'Positions Tracker'!$B254,'Candidate Tracker'!$C:$C,"&lt;&gt;WIP",'Candidate Tracker'!$C:$C,"&lt;&gt;Hold",'Candidate Tracker'!$C:$C,"&lt;&gt;Cancelled",'Candidate Tracker'!$C:$C,"&lt;&gt;Closed")/COUNTIFS('Candidate Tracker'!$E:$E,'Positions Tracker'!$B254)),"")</f>
        <v/>
      </c>
      <c r="BD254" s="67" t="str">
        <f t="shared" si="17"/>
        <v/>
      </c>
      <c r="BE254" s="67" t="str">
        <f t="shared" si="18"/>
        <v/>
      </c>
      <c r="BF254" s="67" t="str">
        <f t="shared" si="19"/>
        <v/>
      </c>
      <c r="BG254" s="67" t="str">
        <f t="shared" si="20"/>
        <v/>
      </c>
    </row>
    <row r="255" spans="1:59">
      <c r="A255" s="55"/>
      <c r="B255" s="56"/>
      <c r="C255" s="56"/>
      <c r="D255" s="56"/>
      <c r="E255" s="56"/>
      <c r="F255" s="56"/>
      <c r="G255" s="56"/>
      <c r="H255" s="56"/>
      <c r="I255" s="6"/>
      <c r="J255" s="6"/>
      <c r="K255" s="57"/>
      <c r="L255" s="57"/>
      <c r="M255" s="57"/>
      <c r="N255" s="56"/>
      <c r="O255" s="56"/>
      <c r="P255" s="56"/>
      <c r="Q255" s="56"/>
      <c r="R255" s="56"/>
      <c r="S255" s="56"/>
      <c r="T255" s="56"/>
      <c r="U255" s="56"/>
      <c r="V255" s="56"/>
      <c r="W255" s="56"/>
      <c r="X255" s="56"/>
      <c r="Y255" s="56"/>
      <c r="Z255" s="56"/>
      <c r="AA255" s="56"/>
      <c r="AB255" s="56"/>
      <c r="AC255" s="56"/>
      <c r="AD255" s="56"/>
      <c r="AE255" s="56"/>
      <c r="AF255" s="56"/>
      <c r="AG255" s="56"/>
      <c r="AH255" s="56"/>
      <c r="AI255" s="58"/>
      <c r="AJ255" s="56"/>
      <c r="AK255" s="56"/>
      <c r="AL255" s="56"/>
      <c r="AM255" s="57"/>
      <c r="AN255" s="57"/>
      <c r="AO255" s="56"/>
      <c r="AP255" s="56"/>
      <c r="AQ255" s="57"/>
      <c r="AR255" s="57"/>
      <c r="AS255" s="57"/>
      <c r="AT255" s="67">
        <f t="shared" ca="1" si="22"/>
        <v>0</v>
      </c>
      <c r="AU255" s="79" t="str">
        <f t="shared" ca="1" si="23"/>
        <v/>
      </c>
      <c r="AV255" s="79" t="str" cm="1">
        <f t="array" aca="1" ref="AV255" ca="1">IFERROR(_xlfn.IFS($AU255="","",$AU255&lt;=15,"0-15",AND($AU255&gt;=16,$AU255&lt;=30),"16-30",AND($AU255&gt;=31,$AU255&lt;=45),"31-45",AND($AU255&gt;=46,$AU255&lt;=60),"46-60",AND($AU255&gt;=61,$AU255&lt;=90),"61-90",AND($AU255&gt;=91),"&gt; 90",AND($AU255&gt;=2000),""),"")</f>
        <v/>
      </c>
      <c r="AW255" s="79" t="str" cm="1">
        <f t="array" aca="1" ref="AW255" ca="1">IFERROR(_xlfn.IFS(OR($M255="",$AM255=""),"",OR($C255="Offered",$C255="Joined"),($AM255-$M255)-$AT255),"")</f>
        <v/>
      </c>
      <c r="AX255" s="79" t="str" cm="1">
        <f t="array" aca="1" ref="AX255" ca="1">IFERROR(_xlfn.IFS(OR($M255="",$AS255=""),"",$C255="Joined",($AS255-$M255)-$AT255),"")</f>
        <v/>
      </c>
      <c r="AY255" s="67" t="str">
        <f>IFERROR(IF(COUNTIFS('Candidate Tracker'!$E:$E,'Positions Tracker'!$B255,'Candidate Tracker'!$C:$C,"Offer Drop")=0,"",COUNTIFS('Candidate Tracker'!$E:$E,'Positions Tracker'!$B255,'Candidate Tracker'!$C:$C,"Offer Drop")),"")</f>
        <v/>
      </c>
      <c r="AZ255" s="80">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0.88111888111888115</v>
      </c>
      <c r="BA255" s="81" t="str">
        <f>IFERROR(IF(COUNTIFS('Candidate Tracker'!$E:$E,'Positions Tracker'!$B255,'Candidate Tracker'!$I:$I,"Female")=0,"",COUNTIFS('Candidate Tracker'!$E:$E,'Positions Tracker'!$B255,'Candidate Tracker'!$I:$I,"Female")),"")</f>
        <v/>
      </c>
      <c r="BB255" s="81" t="str">
        <f>IFERROR(IF(COUNTIFS('Candidate Tracker'!$E:$E,'Positions Tracker'!$B255,'Candidate Tracker'!$I:$I,"male")=0,"",COUNTIFS('Candidate Tracker'!$E:$E,'Positions Tracker'!$B255,'Candidate Tracker'!$I:$I,"male")),"")</f>
        <v/>
      </c>
      <c r="BC255" s="80" t="str">
        <f>IFERROR(IF(COUNTIFS('Candidate Tracker'!$E:$E,'Positions Tracker'!$B255,'Candidate Tracker'!$C:$C,"&lt;&gt;WIP",'Candidate Tracker'!$C:$C,"&lt;&gt;Hold",'Candidate Tracker'!$C:$C,"&lt;&gt;Cancelled",'Candidate Tracker'!$C:$C,"&lt;&gt;Closed")/COUNTIFS('Candidate Tracker'!$E:$E,'Positions Tracker'!$B255)=0,"",COUNTIFS('Candidate Tracker'!$E:$E,'Positions Tracker'!$B255,'Candidate Tracker'!$C:$C,"&lt;&gt;WIP",'Candidate Tracker'!$C:$C,"&lt;&gt;Hold",'Candidate Tracker'!$C:$C,"&lt;&gt;Cancelled",'Candidate Tracker'!$C:$C,"&lt;&gt;Closed")/COUNTIFS('Candidate Tracker'!$E:$E,'Positions Tracker'!$B255)),"")</f>
        <v/>
      </c>
      <c r="BD255" s="67" t="str">
        <f t="shared" si="17"/>
        <v/>
      </c>
      <c r="BE255" s="67" t="str">
        <f t="shared" si="18"/>
        <v/>
      </c>
      <c r="BF255" s="67" t="str">
        <f t="shared" si="19"/>
        <v/>
      </c>
      <c r="BG255" s="67" t="str">
        <f t="shared" si="20"/>
        <v/>
      </c>
    </row>
    <row r="256" spans="1:59">
      <c r="A256" s="55"/>
      <c r="B256" s="56"/>
      <c r="C256" s="56"/>
      <c r="D256" s="56"/>
      <c r="E256" s="56"/>
      <c r="F256" s="56"/>
      <c r="G256" s="56"/>
      <c r="H256" s="56"/>
      <c r="I256" s="6"/>
      <c r="J256" s="6"/>
      <c r="K256" s="57"/>
      <c r="L256" s="57"/>
      <c r="M256" s="57"/>
      <c r="N256" s="56"/>
      <c r="O256" s="56"/>
      <c r="P256" s="56"/>
      <c r="Q256" s="56"/>
      <c r="R256" s="56"/>
      <c r="S256" s="56"/>
      <c r="T256" s="56"/>
      <c r="U256" s="56"/>
      <c r="V256" s="56"/>
      <c r="W256" s="56"/>
      <c r="X256" s="56"/>
      <c r="Y256" s="56"/>
      <c r="Z256" s="56"/>
      <c r="AA256" s="56"/>
      <c r="AB256" s="56"/>
      <c r="AC256" s="56"/>
      <c r="AD256" s="56"/>
      <c r="AE256" s="56"/>
      <c r="AF256" s="56"/>
      <c r="AG256" s="56"/>
      <c r="AH256" s="56"/>
      <c r="AI256" s="58"/>
      <c r="AJ256" s="56"/>
      <c r="AK256" s="56"/>
      <c r="AL256" s="56"/>
      <c r="AM256" s="57"/>
      <c r="AN256" s="57"/>
      <c r="AO256" s="56"/>
      <c r="AP256" s="56"/>
      <c r="AQ256" s="57"/>
      <c r="AR256" s="57"/>
      <c r="AS256" s="57"/>
      <c r="AT256" s="67">
        <f t="shared" ca="1" si="22"/>
        <v>0</v>
      </c>
      <c r="AU256" s="79" t="str">
        <f t="shared" ca="1" si="23"/>
        <v/>
      </c>
      <c r="AV256" s="79" t="str" cm="1">
        <f t="array" aca="1" ref="AV256" ca="1">IFERROR(_xlfn.IFS($AU256="","",$AU256&lt;=15,"0-15",AND($AU256&gt;=16,$AU256&lt;=30),"16-30",AND($AU256&gt;=31,$AU256&lt;=45),"31-45",AND($AU256&gt;=46,$AU256&lt;=60),"46-60",AND($AU256&gt;=61,$AU256&lt;=90),"61-90",AND($AU256&gt;=91),"&gt; 90",AND($AU256&gt;=2000),""),"")</f>
        <v/>
      </c>
      <c r="AW256" s="79" t="str" cm="1">
        <f t="array" aca="1" ref="AW256" ca="1">IFERROR(_xlfn.IFS(OR($M256="",$AM256=""),"",OR($C256="Offered",$C256="Joined"),($AM256-$M256)-$AT256),"")</f>
        <v/>
      </c>
      <c r="AX256" s="79" t="str" cm="1">
        <f t="array" aca="1" ref="AX256" ca="1">IFERROR(_xlfn.IFS(OR($M256="",$AS256=""),"",$C256="Joined",($AS256-$M256)-$AT256),"")</f>
        <v/>
      </c>
      <c r="AY256" s="67" t="str">
        <f>IFERROR(IF(COUNTIFS('Candidate Tracker'!$E:$E,'Positions Tracker'!$B256,'Candidate Tracker'!$C:$C,"Offer Drop")=0,"",COUNTIFS('Candidate Tracker'!$E:$E,'Positions Tracker'!$B256,'Candidate Tracker'!$C:$C,"Offer Drop")),"")</f>
        <v/>
      </c>
      <c r="AZ256" s="80">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0.88111888111888115</v>
      </c>
      <c r="BA256" s="81" t="str">
        <f>IFERROR(IF(COUNTIFS('Candidate Tracker'!$E:$E,'Positions Tracker'!$B256,'Candidate Tracker'!$I:$I,"Female")=0,"",COUNTIFS('Candidate Tracker'!$E:$E,'Positions Tracker'!$B256,'Candidate Tracker'!$I:$I,"Female")),"")</f>
        <v/>
      </c>
      <c r="BB256" s="81" t="str">
        <f>IFERROR(IF(COUNTIFS('Candidate Tracker'!$E:$E,'Positions Tracker'!$B256,'Candidate Tracker'!$I:$I,"male")=0,"",COUNTIFS('Candidate Tracker'!$E:$E,'Positions Tracker'!$B256,'Candidate Tracker'!$I:$I,"male")),"")</f>
        <v/>
      </c>
      <c r="BC256" s="80" t="str">
        <f>IFERROR(IF(COUNTIFS('Candidate Tracker'!$E:$E,'Positions Tracker'!$B256,'Candidate Tracker'!$C:$C,"&lt;&gt;WIP",'Candidate Tracker'!$C:$C,"&lt;&gt;Hold",'Candidate Tracker'!$C:$C,"&lt;&gt;Cancelled",'Candidate Tracker'!$C:$C,"&lt;&gt;Closed")/COUNTIFS('Candidate Tracker'!$E:$E,'Positions Tracker'!$B256)=0,"",COUNTIFS('Candidate Tracker'!$E:$E,'Positions Tracker'!$B256,'Candidate Tracker'!$C:$C,"&lt;&gt;WIP",'Candidate Tracker'!$C:$C,"&lt;&gt;Hold",'Candidate Tracker'!$C:$C,"&lt;&gt;Cancelled",'Candidate Tracker'!$C:$C,"&lt;&gt;Closed")/COUNTIFS('Candidate Tracker'!$E:$E,'Positions Tracker'!$B256)),"")</f>
        <v/>
      </c>
      <c r="BD256" s="67" t="str">
        <f t="shared" si="17"/>
        <v/>
      </c>
      <c r="BE256" s="67" t="str">
        <f t="shared" si="18"/>
        <v/>
      </c>
      <c r="BF256" s="67" t="str">
        <f t="shared" si="19"/>
        <v/>
      </c>
      <c r="BG256" s="67" t="str">
        <f t="shared" si="20"/>
        <v/>
      </c>
    </row>
    <row r="257" spans="1:59">
      <c r="A257" s="55"/>
      <c r="B257" s="56"/>
      <c r="C257" s="56"/>
      <c r="D257" s="56"/>
      <c r="E257" s="56"/>
      <c r="F257" s="56"/>
      <c r="G257" s="56"/>
      <c r="H257" s="56"/>
      <c r="I257" s="6"/>
      <c r="J257" s="6"/>
      <c r="K257" s="57"/>
      <c r="L257" s="57"/>
      <c r="M257" s="57"/>
      <c r="N257" s="56"/>
      <c r="O257" s="56"/>
      <c r="P257" s="56"/>
      <c r="Q257" s="56"/>
      <c r="R257" s="56"/>
      <c r="S257" s="56"/>
      <c r="T257" s="56"/>
      <c r="U257" s="56"/>
      <c r="V257" s="56"/>
      <c r="W257" s="56"/>
      <c r="X257" s="56"/>
      <c r="Y257" s="56"/>
      <c r="Z257" s="56"/>
      <c r="AA257" s="56"/>
      <c r="AB257" s="56"/>
      <c r="AC257" s="56"/>
      <c r="AD257" s="56"/>
      <c r="AE257" s="56"/>
      <c r="AF257" s="56"/>
      <c r="AG257" s="56"/>
      <c r="AH257" s="56"/>
      <c r="AI257" s="58"/>
      <c r="AJ257" s="56"/>
      <c r="AK257" s="56"/>
      <c r="AL257" s="56"/>
      <c r="AM257" s="57"/>
      <c r="AN257" s="57"/>
      <c r="AO257" s="56"/>
      <c r="AP257" s="56"/>
      <c r="AQ257" s="57"/>
      <c r="AR257" s="57"/>
      <c r="AS257" s="57"/>
      <c r="AT257" s="67">
        <f t="shared" ca="1" si="22"/>
        <v>0</v>
      </c>
      <c r="AU257" s="79" t="str">
        <f t="shared" ca="1" si="23"/>
        <v/>
      </c>
      <c r="AV257" s="79" t="str" cm="1">
        <f t="array" aca="1" ref="AV257" ca="1">IFERROR(_xlfn.IFS($AU257="","",$AU257&lt;=15,"0-15",AND($AU257&gt;=16,$AU257&lt;=30),"16-30",AND($AU257&gt;=31,$AU257&lt;=45),"31-45",AND($AU257&gt;=46,$AU257&lt;=60),"46-60",AND($AU257&gt;=61,$AU257&lt;=90),"61-90",AND($AU257&gt;=91),"&gt; 90",AND($AU257&gt;=2000),""),"")</f>
        <v/>
      </c>
      <c r="AW257" s="79" t="str" cm="1">
        <f t="array" aca="1" ref="AW257" ca="1">IFERROR(_xlfn.IFS(OR($M257="",$AM257=""),"",OR($C257="Offered",$C257="Joined"),($AM257-$M257)-$AT257),"")</f>
        <v/>
      </c>
      <c r="AX257" s="79" t="str" cm="1">
        <f t="array" aca="1" ref="AX257" ca="1">IFERROR(_xlfn.IFS(OR($M257="",$AS257=""),"",$C257="Joined",($AS257-$M257)-$AT257),"")</f>
        <v/>
      </c>
      <c r="AY257" s="67" t="str">
        <f>IFERROR(IF(COUNTIFS('Candidate Tracker'!$E:$E,'Positions Tracker'!$B257,'Candidate Tracker'!$C:$C,"Offer Drop")=0,"",COUNTIFS('Candidate Tracker'!$E:$E,'Positions Tracker'!$B257,'Candidate Tracker'!$C:$C,"Offer Drop")),"")</f>
        <v/>
      </c>
      <c r="AZ257" s="80">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0.88111888111888115</v>
      </c>
      <c r="BA257" s="81" t="str">
        <f>IFERROR(IF(COUNTIFS('Candidate Tracker'!$E:$E,'Positions Tracker'!$B257,'Candidate Tracker'!$I:$I,"Female")=0,"",COUNTIFS('Candidate Tracker'!$E:$E,'Positions Tracker'!$B257,'Candidate Tracker'!$I:$I,"Female")),"")</f>
        <v/>
      </c>
      <c r="BB257" s="81" t="str">
        <f>IFERROR(IF(COUNTIFS('Candidate Tracker'!$E:$E,'Positions Tracker'!$B257,'Candidate Tracker'!$I:$I,"male")=0,"",COUNTIFS('Candidate Tracker'!$E:$E,'Positions Tracker'!$B257,'Candidate Tracker'!$I:$I,"male")),"")</f>
        <v/>
      </c>
      <c r="BC257" s="80" t="str">
        <f>IFERROR(IF(COUNTIFS('Candidate Tracker'!$E:$E,'Positions Tracker'!$B257,'Candidate Tracker'!$C:$C,"&lt;&gt;WIP",'Candidate Tracker'!$C:$C,"&lt;&gt;Hold",'Candidate Tracker'!$C:$C,"&lt;&gt;Cancelled",'Candidate Tracker'!$C:$C,"&lt;&gt;Closed")/COUNTIFS('Candidate Tracker'!$E:$E,'Positions Tracker'!$B257)=0,"",COUNTIFS('Candidate Tracker'!$E:$E,'Positions Tracker'!$B257,'Candidate Tracker'!$C:$C,"&lt;&gt;WIP",'Candidate Tracker'!$C:$C,"&lt;&gt;Hold",'Candidate Tracker'!$C:$C,"&lt;&gt;Cancelled",'Candidate Tracker'!$C:$C,"&lt;&gt;Closed")/COUNTIFS('Candidate Tracker'!$E:$E,'Positions Tracker'!$B257)),"")</f>
        <v/>
      </c>
      <c r="BD257" s="67" t="str">
        <f t="shared" ref="BD257:BD320" si="24">IFERROR(IF($M257="","",TEXT($M257,"MMM-YY")),"")</f>
        <v/>
      </c>
      <c r="BE257" s="67" t="str">
        <f t="shared" ref="BE257:BE320" si="25">IFERROR(IF($AI257="","",TEXT($AI257,"MMM-YY")),"")</f>
        <v/>
      </c>
      <c r="BF257" s="67" t="str">
        <f t="shared" ref="BF257:BF320" si="26">IFERROR(IF($AM257="","",TEXT($AM257,"MMM-YY")),"")</f>
        <v/>
      </c>
      <c r="BG257" s="67" t="str">
        <f t="shared" ref="BG257:BG320" si="27">IFERROR(IF($AS257="","",TEXT($AS257,"MMM-YY")),"")</f>
        <v/>
      </c>
    </row>
    <row r="258" spans="1:59">
      <c r="A258" s="55"/>
      <c r="B258" s="56"/>
      <c r="C258" s="56"/>
      <c r="D258" s="56"/>
      <c r="E258" s="56"/>
      <c r="F258" s="56"/>
      <c r="G258" s="56"/>
      <c r="H258" s="56"/>
      <c r="I258" s="6"/>
      <c r="J258" s="6"/>
      <c r="K258" s="57"/>
      <c r="L258" s="57"/>
      <c r="M258" s="57"/>
      <c r="N258" s="56"/>
      <c r="O258" s="56"/>
      <c r="P258" s="56"/>
      <c r="Q258" s="56"/>
      <c r="R258" s="56"/>
      <c r="S258" s="56"/>
      <c r="T258" s="56"/>
      <c r="U258" s="56"/>
      <c r="V258" s="56"/>
      <c r="W258" s="56"/>
      <c r="X258" s="56"/>
      <c r="Y258" s="56"/>
      <c r="Z258" s="56"/>
      <c r="AA258" s="56"/>
      <c r="AB258" s="56"/>
      <c r="AC258" s="56"/>
      <c r="AD258" s="56"/>
      <c r="AE258" s="56"/>
      <c r="AF258" s="56"/>
      <c r="AG258" s="56"/>
      <c r="AH258" s="56"/>
      <c r="AI258" s="58"/>
      <c r="AJ258" s="56"/>
      <c r="AK258" s="56"/>
      <c r="AL258" s="56"/>
      <c r="AM258" s="57"/>
      <c r="AN258" s="57"/>
      <c r="AO258" s="56"/>
      <c r="AP258" s="56"/>
      <c r="AQ258" s="57"/>
      <c r="AR258" s="57"/>
      <c r="AS258" s="57"/>
      <c r="AT258" s="67">
        <f t="shared" ref="AT258:AT321" ca="1" si="28">IFERROR(SUM(IF(AND(ISBLANK(T258),ISBLANK(Q258)),0,IF(T258="",TODAY()-Q258,T258-Q258))+IF(AND(ISBLANK(S258),ISBLANK(P258)),0,IF(S258="",TODAY()-P258,S258-P258))+IF(AND(ISBLANK(O258),ISBLANK(R258)),0,IF(R258="",TODAY()-O258,R258-O258))),"")</f>
        <v>0</v>
      </c>
      <c r="AU258" s="79" t="str">
        <f t="shared" ref="AU258:AU321" ca="1" si="29">IFERROR(IF(($M258=""),"",IF(OR(,$C258="Offer in Progress",$C258="WIP",$C258="WIP/Drop",$C258="WIP/New",$C258="WIP/Hold"),(TODAY()-$M258)-$AT258,"")),"")</f>
        <v/>
      </c>
      <c r="AV258" s="79" t="str" cm="1">
        <f t="array" aca="1" ref="AV258" ca="1">IFERROR(_xlfn.IFS($AU258="","",$AU258&lt;=15,"0-15",AND($AU258&gt;=16,$AU258&lt;=30),"16-30",AND($AU258&gt;=31,$AU258&lt;=45),"31-45",AND($AU258&gt;=46,$AU258&lt;=60),"46-60",AND($AU258&gt;=61,$AU258&lt;=90),"61-90",AND($AU258&gt;=91),"&gt; 90",AND($AU258&gt;=2000),""),"")</f>
        <v/>
      </c>
      <c r="AW258" s="79" t="str" cm="1">
        <f t="array" aca="1" ref="AW258" ca="1">IFERROR(_xlfn.IFS(OR($M258="",$AM258=""),"",OR($C258="Offered",$C258="Joined"),($AM258-$M258)-$AT258),"")</f>
        <v/>
      </c>
      <c r="AX258" s="79" t="str" cm="1">
        <f t="array" aca="1" ref="AX258" ca="1">IFERROR(_xlfn.IFS(OR($M258="",$AS258=""),"",$C258="Joined",($AS258-$M258)-$AT258),"")</f>
        <v/>
      </c>
      <c r="AY258" s="67" t="str">
        <f>IFERROR(IF(COUNTIFS('Candidate Tracker'!$E:$E,'Positions Tracker'!$B258,'Candidate Tracker'!$C:$C,"Offer Drop")=0,"",COUNTIFS('Candidate Tracker'!$E:$E,'Positions Tracker'!$B258,'Candidate Tracker'!$C:$C,"Offer Drop")),"")</f>
        <v/>
      </c>
      <c r="AZ258" s="80">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0.88111888111888115</v>
      </c>
      <c r="BA258" s="81" t="str">
        <f>IFERROR(IF(COUNTIFS('Candidate Tracker'!$E:$E,'Positions Tracker'!$B258,'Candidate Tracker'!$I:$I,"Female")=0,"",COUNTIFS('Candidate Tracker'!$E:$E,'Positions Tracker'!$B258,'Candidate Tracker'!$I:$I,"Female")),"")</f>
        <v/>
      </c>
      <c r="BB258" s="81" t="str">
        <f>IFERROR(IF(COUNTIFS('Candidate Tracker'!$E:$E,'Positions Tracker'!$B258,'Candidate Tracker'!$I:$I,"male")=0,"",COUNTIFS('Candidate Tracker'!$E:$E,'Positions Tracker'!$B258,'Candidate Tracker'!$I:$I,"male")),"")</f>
        <v/>
      </c>
      <c r="BC258" s="80" t="str">
        <f>IFERROR(IF(COUNTIFS('Candidate Tracker'!$E:$E,'Positions Tracker'!$B258,'Candidate Tracker'!$C:$C,"&lt;&gt;WIP",'Candidate Tracker'!$C:$C,"&lt;&gt;Hold",'Candidate Tracker'!$C:$C,"&lt;&gt;Cancelled",'Candidate Tracker'!$C:$C,"&lt;&gt;Closed")/COUNTIFS('Candidate Tracker'!$E:$E,'Positions Tracker'!$B258)=0,"",COUNTIFS('Candidate Tracker'!$E:$E,'Positions Tracker'!$B258,'Candidate Tracker'!$C:$C,"&lt;&gt;WIP",'Candidate Tracker'!$C:$C,"&lt;&gt;Hold",'Candidate Tracker'!$C:$C,"&lt;&gt;Cancelled",'Candidate Tracker'!$C:$C,"&lt;&gt;Closed")/COUNTIFS('Candidate Tracker'!$E:$E,'Positions Tracker'!$B258)),"")</f>
        <v/>
      </c>
      <c r="BD258" s="67" t="str">
        <f t="shared" si="24"/>
        <v/>
      </c>
      <c r="BE258" s="67" t="str">
        <f t="shared" si="25"/>
        <v/>
      </c>
      <c r="BF258" s="67" t="str">
        <f t="shared" si="26"/>
        <v/>
      </c>
      <c r="BG258" s="67" t="str">
        <f t="shared" si="27"/>
        <v/>
      </c>
    </row>
    <row r="259" spans="1:59">
      <c r="A259" s="55"/>
      <c r="B259" s="56"/>
      <c r="C259" s="56"/>
      <c r="D259" s="56"/>
      <c r="E259" s="56"/>
      <c r="F259" s="56"/>
      <c r="G259" s="56"/>
      <c r="H259" s="56"/>
      <c r="I259" s="6"/>
      <c r="J259" s="6"/>
      <c r="K259" s="57"/>
      <c r="L259" s="57"/>
      <c r="M259" s="57"/>
      <c r="N259" s="56"/>
      <c r="O259" s="56"/>
      <c r="P259" s="56"/>
      <c r="Q259" s="56"/>
      <c r="R259" s="56"/>
      <c r="S259" s="56"/>
      <c r="T259" s="56"/>
      <c r="U259" s="56"/>
      <c r="V259" s="56"/>
      <c r="W259" s="56"/>
      <c r="X259" s="56"/>
      <c r="Y259" s="56"/>
      <c r="Z259" s="56"/>
      <c r="AA259" s="56"/>
      <c r="AB259" s="56"/>
      <c r="AC259" s="56"/>
      <c r="AD259" s="56"/>
      <c r="AE259" s="56"/>
      <c r="AF259" s="56"/>
      <c r="AG259" s="56"/>
      <c r="AH259" s="56"/>
      <c r="AI259" s="58"/>
      <c r="AJ259" s="56"/>
      <c r="AK259" s="56"/>
      <c r="AL259" s="56"/>
      <c r="AM259" s="57"/>
      <c r="AN259" s="57"/>
      <c r="AO259" s="56"/>
      <c r="AP259" s="56"/>
      <c r="AQ259" s="57"/>
      <c r="AR259" s="57"/>
      <c r="AS259" s="57"/>
      <c r="AT259" s="67">
        <f t="shared" ca="1" si="28"/>
        <v>0</v>
      </c>
      <c r="AU259" s="79" t="str">
        <f t="shared" ca="1" si="29"/>
        <v/>
      </c>
      <c r="AV259" s="79" t="str" cm="1">
        <f t="array" aca="1" ref="AV259" ca="1">IFERROR(_xlfn.IFS($AU259="","",$AU259&lt;=15,"0-15",AND($AU259&gt;=16,$AU259&lt;=30),"16-30",AND($AU259&gt;=31,$AU259&lt;=45),"31-45",AND($AU259&gt;=46,$AU259&lt;=60),"46-60",AND($AU259&gt;=61,$AU259&lt;=90),"61-90",AND($AU259&gt;=91),"&gt; 90",AND($AU259&gt;=2000),""),"")</f>
        <v/>
      </c>
      <c r="AW259" s="79" t="str" cm="1">
        <f t="array" aca="1" ref="AW259" ca="1">IFERROR(_xlfn.IFS(OR($M259="",$AM259=""),"",OR($C259="Offered",$C259="Joined"),($AM259-$M259)-$AT259),"")</f>
        <v/>
      </c>
      <c r="AX259" s="79" t="str" cm="1">
        <f t="array" aca="1" ref="AX259" ca="1">IFERROR(_xlfn.IFS(OR($M259="",$AS259=""),"",$C259="Joined",($AS259-$M259)-$AT259),"")</f>
        <v/>
      </c>
      <c r="AY259" s="67" t="str">
        <f>IFERROR(IF(COUNTIFS('Candidate Tracker'!$E:$E,'Positions Tracker'!$B259,'Candidate Tracker'!$C:$C,"Offer Drop")=0,"",COUNTIFS('Candidate Tracker'!$E:$E,'Positions Tracker'!$B259,'Candidate Tracker'!$C:$C,"Offer Drop")),"")</f>
        <v/>
      </c>
      <c r="AZ259" s="80">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0.88111888111888115</v>
      </c>
      <c r="BA259" s="81" t="str">
        <f>IFERROR(IF(COUNTIFS('Candidate Tracker'!$E:$E,'Positions Tracker'!$B259,'Candidate Tracker'!$I:$I,"Female")=0,"",COUNTIFS('Candidate Tracker'!$E:$E,'Positions Tracker'!$B259,'Candidate Tracker'!$I:$I,"Female")),"")</f>
        <v/>
      </c>
      <c r="BB259" s="81" t="str">
        <f>IFERROR(IF(COUNTIFS('Candidate Tracker'!$E:$E,'Positions Tracker'!$B259,'Candidate Tracker'!$I:$I,"male")=0,"",COUNTIFS('Candidate Tracker'!$E:$E,'Positions Tracker'!$B259,'Candidate Tracker'!$I:$I,"male")),"")</f>
        <v/>
      </c>
      <c r="BC259" s="80" t="str">
        <f>IFERROR(IF(COUNTIFS('Candidate Tracker'!$E:$E,'Positions Tracker'!$B259,'Candidate Tracker'!$C:$C,"&lt;&gt;WIP",'Candidate Tracker'!$C:$C,"&lt;&gt;Hold",'Candidate Tracker'!$C:$C,"&lt;&gt;Cancelled",'Candidate Tracker'!$C:$C,"&lt;&gt;Closed")/COUNTIFS('Candidate Tracker'!$E:$E,'Positions Tracker'!$B259)=0,"",COUNTIFS('Candidate Tracker'!$E:$E,'Positions Tracker'!$B259,'Candidate Tracker'!$C:$C,"&lt;&gt;WIP",'Candidate Tracker'!$C:$C,"&lt;&gt;Hold",'Candidate Tracker'!$C:$C,"&lt;&gt;Cancelled",'Candidate Tracker'!$C:$C,"&lt;&gt;Closed")/COUNTIFS('Candidate Tracker'!$E:$E,'Positions Tracker'!$B259)),"")</f>
        <v/>
      </c>
      <c r="BD259" s="67" t="str">
        <f t="shared" si="24"/>
        <v/>
      </c>
      <c r="BE259" s="67" t="str">
        <f t="shared" si="25"/>
        <v/>
      </c>
      <c r="BF259" s="67" t="str">
        <f t="shared" si="26"/>
        <v/>
      </c>
      <c r="BG259" s="67" t="str">
        <f t="shared" si="27"/>
        <v/>
      </c>
    </row>
    <row r="260" spans="1:59">
      <c r="A260" s="55"/>
      <c r="B260" s="56"/>
      <c r="C260" s="56"/>
      <c r="D260" s="56"/>
      <c r="E260" s="56"/>
      <c r="F260" s="56"/>
      <c r="G260" s="56"/>
      <c r="H260" s="56"/>
      <c r="I260" s="6"/>
      <c r="J260" s="6"/>
      <c r="K260" s="57"/>
      <c r="L260" s="57"/>
      <c r="M260" s="57"/>
      <c r="N260" s="56"/>
      <c r="O260" s="56"/>
      <c r="P260" s="56"/>
      <c r="Q260" s="56"/>
      <c r="R260" s="56"/>
      <c r="S260" s="56"/>
      <c r="T260" s="56"/>
      <c r="U260" s="56"/>
      <c r="V260" s="56"/>
      <c r="W260" s="56"/>
      <c r="X260" s="56"/>
      <c r="Y260" s="56"/>
      <c r="Z260" s="56"/>
      <c r="AA260" s="56"/>
      <c r="AB260" s="56"/>
      <c r="AC260" s="56"/>
      <c r="AD260" s="56"/>
      <c r="AE260" s="56"/>
      <c r="AF260" s="56"/>
      <c r="AG260" s="56"/>
      <c r="AH260" s="56"/>
      <c r="AI260" s="58"/>
      <c r="AJ260" s="56"/>
      <c r="AK260" s="56"/>
      <c r="AL260" s="56"/>
      <c r="AM260" s="57"/>
      <c r="AN260" s="57"/>
      <c r="AO260" s="56"/>
      <c r="AP260" s="56"/>
      <c r="AQ260" s="57"/>
      <c r="AR260" s="57"/>
      <c r="AS260" s="57"/>
      <c r="AT260" s="67">
        <f t="shared" ca="1" si="28"/>
        <v>0</v>
      </c>
      <c r="AU260" s="79" t="str">
        <f t="shared" ca="1" si="29"/>
        <v/>
      </c>
      <c r="AV260" s="79" t="str" cm="1">
        <f t="array" aca="1" ref="AV260" ca="1">IFERROR(_xlfn.IFS($AU260="","",$AU260&lt;=15,"0-15",AND($AU260&gt;=16,$AU260&lt;=30),"16-30",AND($AU260&gt;=31,$AU260&lt;=45),"31-45",AND($AU260&gt;=46,$AU260&lt;=60),"46-60",AND($AU260&gt;=61,$AU260&lt;=90),"61-90",AND($AU260&gt;=91),"&gt; 90",AND($AU260&gt;=2000),""),"")</f>
        <v/>
      </c>
      <c r="AW260" s="79" t="str" cm="1">
        <f t="array" aca="1" ref="AW260" ca="1">IFERROR(_xlfn.IFS(OR($M260="",$AM260=""),"",OR($C260="Offered",$C260="Joined"),($AM260-$M260)-$AT260),"")</f>
        <v/>
      </c>
      <c r="AX260" s="79" t="str" cm="1">
        <f t="array" aca="1" ref="AX260" ca="1">IFERROR(_xlfn.IFS(OR($M260="",$AS260=""),"",$C260="Joined",($AS260-$M260)-$AT260),"")</f>
        <v/>
      </c>
      <c r="AY260" s="67" t="str">
        <f>IFERROR(IF(COUNTIFS('Candidate Tracker'!$E:$E,'Positions Tracker'!$B260,'Candidate Tracker'!$C:$C,"Offer Drop")=0,"",COUNTIFS('Candidate Tracker'!$E:$E,'Positions Tracker'!$B260,'Candidate Tracker'!$C:$C,"Offer Drop")),"")</f>
        <v/>
      </c>
      <c r="AZ260" s="80">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0.88111888111888115</v>
      </c>
      <c r="BA260" s="81" t="str">
        <f>IFERROR(IF(COUNTIFS('Candidate Tracker'!$E:$E,'Positions Tracker'!$B260,'Candidate Tracker'!$I:$I,"Female")=0,"",COUNTIFS('Candidate Tracker'!$E:$E,'Positions Tracker'!$B260,'Candidate Tracker'!$I:$I,"Female")),"")</f>
        <v/>
      </c>
      <c r="BB260" s="81" t="str">
        <f>IFERROR(IF(COUNTIFS('Candidate Tracker'!$E:$E,'Positions Tracker'!$B260,'Candidate Tracker'!$I:$I,"male")=0,"",COUNTIFS('Candidate Tracker'!$E:$E,'Positions Tracker'!$B260,'Candidate Tracker'!$I:$I,"male")),"")</f>
        <v/>
      </c>
      <c r="BC260" s="80" t="str">
        <f>IFERROR(IF(COUNTIFS('Candidate Tracker'!$E:$E,'Positions Tracker'!$B260,'Candidate Tracker'!$C:$C,"&lt;&gt;WIP",'Candidate Tracker'!$C:$C,"&lt;&gt;Hold",'Candidate Tracker'!$C:$C,"&lt;&gt;Cancelled",'Candidate Tracker'!$C:$C,"&lt;&gt;Closed")/COUNTIFS('Candidate Tracker'!$E:$E,'Positions Tracker'!$B260)=0,"",COUNTIFS('Candidate Tracker'!$E:$E,'Positions Tracker'!$B260,'Candidate Tracker'!$C:$C,"&lt;&gt;WIP",'Candidate Tracker'!$C:$C,"&lt;&gt;Hold",'Candidate Tracker'!$C:$C,"&lt;&gt;Cancelled",'Candidate Tracker'!$C:$C,"&lt;&gt;Closed")/COUNTIFS('Candidate Tracker'!$E:$E,'Positions Tracker'!$B260)),"")</f>
        <v/>
      </c>
      <c r="BD260" s="67" t="str">
        <f t="shared" si="24"/>
        <v/>
      </c>
      <c r="BE260" s="67" t="str">
        <f t="shared" si="25"/>
        <v/>
      </c>
      <c r="BF260" s="67" t="str">
        <f t="shared" si="26"/>
        <v/>
      </c>
      <c r="BG260" s="67" t="str">
        <f t="shared" si="27"/>
        <v/>
      </c>
    </row>
    <row r="261" spans="1:59">
      <c r="A261" s="55"/>
      <c r="B261" s="56"/>
      <c r="C261" s="56"/>
      <c r="D261" s="56"/>
      <c r="E261" s="56"/>
      <c r="F261" s="56"/>
      <c r="G261" s="56"/>
      <c r="H261" s="56"/>
      <c r="I261" s="6"/>
      <c r="J261" s="6"/>
      <c r="K261" s="57"/>
      <c r="L261" s="57"/>
      <c r="M261" s="57"/>
      <c r="N261" s="56"/>
      <c r="O261" s="56"/>
      <c r="P261" s="56"/>
      <c r="Q261" s="56"/>
      <c r="R261" s="56"/>
      <c r="S261" s="56"/>
      <c r="T261" s="56"/>
      <c r="U261" s="56"/>
      <c r="V261" s="56"/>
      <c r="W261" s="56"/>
      <c r="X261" s="56"/>
      <c r="Y261" s="56"/>
      <c r="Z261" s="56"/>
      <c r="AA261" s="56"/>
      <c r="AB261" s="56"/>
      <c r="AC261" s="56"/>
      <c r="AD261" s="56"/>
      <c r="AE261" s="56"/>
      <c r="AF261" s="56"/>
      <c r="AG261" s="56"/>
      <c r="AH261" s="56"/>
      <c r="AI261" s="58"/>
      <c r="AJ261" s="56"/>
      <c r="AK261" s="56"/>
      <c r="AL261" s="56"/>
      <c r="AM261" s="57"/>
      <c r="AN261" s="57"/>
      <c r="AO261" s="56"/>
      <c r="AP261" s="56"/>
      <c r="AQ261" s="57"/>
      <c r="AR261" s="57"/>
      <c r="AS261" s="57"/>
      <c r="AT261" s="67">
        <f t="shared" ca="1" si="28"/>
        <v>0</v>
      </c>
      <c r="AU261" s="79" t="str">
        <f t="shared" ca="1" si="29"/>
        <v/>
      </c>
      <c r="AV261" s="79" t="str" cm="1">
        <f t="array" aca="1" ref="AV261" ca="1">IFERROR(_xlfn.IFS($AU261="","",$AU261&lt;=15,"0-15",AND($AU261&gt;=16,$AU261&lt;=30),"16-30",AND($AU261&gt;=31,$AU261&lt;=45),"31-45",AND($AU261&gt;=46,$AU261&lt;=60),"46-60",AND($AU261&gt;=61,$AU261&lt;=90),"61-90",AND($AU261&gt;=91),"&gt; 90",AND($AU261&gt;=2000),""),"")</f>
        <v/>
      </c>
      <c r="AW261" s="79" t="str" cm="1">
        <f t="array" aca="1" ref="AW261" ca="1">IFERROR(_xlfn.IFS(OR($M261="",$AM261=""),"",OR($C261="Offered",$C261="Joined"),($AM261-$M261)-$AT261),"")</f>
        <v/>
      </c>
      <c r="AX261" s="79" t="str" cm="1">
        <f t="array" aca="1" ref="AX261" ca="1">IFERROR(_xlfn.IFS(OR($M261="",$AS261=""),"",$C261="Joined",($AS261-$M261)-$AT261),"")</f>
        <v/>
      </c>
      <c r="AY261" s="67" t="str">
        <f>IFERROR(IF(COUNTIFS('Candidate Tracker'!$E:$E,'Positions Tracker'!$B261,'Candidate Tracker'!$C:$C,"Offer Drop")=0,"",COUNTIFS('Candidate Tracker'!$E:$E,'Positions Tracker'!$B261,'Candidate Tracker'!$C:$C,"Offer Drop")),"")</f>
        <v/>
      </c>
      <c r="AZ261" s="80">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0.88111888111888115</v>
      </c>
      <c r="BA261" s="81" t="str">
        <f>IFERROR(IF(COUNTIFS('Candidate Tracker'!$E:$E,'Positions Tracker'!$B261,'Candidate Tracker'!$I:$I,"Female")=0,"",COUNTIFS('Candidate Tracker'!$E:$E,'Positions Tracker'!$B261,'Candidate Tracker'!$I:$I,"Female")),"")</f>
        <v/>
      </c>
      <c r="BB261" s="81" t="str">
        <f>IFERROR(IF(COUNTIFS('Candidate Tracker'!$E:$E,'Positions Tracker'!$B261,'Candidate Tracker'!$I:$I,"male")=0,"",COUNTIFS('Candidate Tracker'!$E:$E,'Positions Tracker'!$B261,'Candidate Tracker'!$I:$I,"male")),"")</f>
        <v/>
      </c>
      <c r="BC261" s="80" t="str">
        <f>IFERROR(IF(COUNTIFS('Candidate Tracker'!$E:$E,'Positions Tracker'!$B261,'Candidate Tracker'!$C:$C,"&lt;&gt;WIP",'Candidate Tracker'!$C:$C,"&lt;&gt;Hold",'Candidate Tracker'!$C:$C,"&lt;&gt;Cancelled",'Candidate Tracker'!$C:$C,"&lt;&gt;Closed")/COUNTIFS('Candidate Tracker'!$E:$E,'Positions Tracker'!$B261)=0,"",COUNTIFS('Candidate Tracker'!$E:$E,'Positions Tracker'!$B261,'Candidate Tracker'!$C:$C,"&lt;&gt;WIP",'Candidate Tracker'!$C:$C,"&lt;&gt;Hold",'Candidate Tracker'!$C:$C,"&lt;&gt;Cancelled",'Candidate Tracker'!$C:$C,"&lt;&gt;Closed")/COUNTIFS('Candidate Tracker'!$E:$E,'Positions Tracker'!$B261)),"")</f>
        <v/>
      </c>
      <c r="BD261" s="67" t="str">
        <f t="shared" si="24"/>
        <v/>
      </c>
      <c r="BE261" s="67" t="str">
        <f t="shared" si="25"/>
        <v/>
      </c>
      <c r="BF261" s="67" t="str">
        <f t="shared" si="26"/>
        <v/>
      </c>
      <c r="BG261" s="67" t="str">
        <f t="shared" si="27"/>
        <v/>
      </c>
    </row>
    <row r="262" spans="1:59">
      <c r="A262" s="55"/>
      <c r="B262" s="56"/>
      <c r="C262" s="56"/>
      <c r="D262" s="56"/>
      <c r="E262" s="56"/>
      <c r="F262" s="56"/>
      <c r="G262" s="56"/>
      <c r="H262" s="56"/>
      <c r="I262" s="6"/>
      <c r="J262" s="6"/>
      <c r="K262" s="57"/>
      <c r="L262" s="57"/>
      <c r="M262" s="57"/>
      <c r="N262" s="56"/>
      <c r="O262" s="56"/>
      <c r="P262" s="56"/>
      <c r="Q262" s="56"/>
      <c r="R262" s="56"/>
      <c r="S262" s="56"/>
      <c r="T262" s="56"/>
      <c r="U262" s="56"/>
      <c r="V262" s="56"/>
      <c r="W262" s="56"/>
      <c r="X262" s="56"/>
      <c r="Y262" s="56"/>
      <c r="Z262" s="56"/>
      <c r="AA262" s="56"/>
      <c r="AB262" s="56"/>
      <c r="AC262" s="56"/>
      <c r="AD262" s="56"/>
      <c r="AE262" s="56"/>
      <c r="AF262" s="56"/>
      <c r="AG262" s="56"/>
      <c r="AH262" s="56"/>
      <c r="AI262" s="58"/>
      <c r="AJ262" s="56"/>
      <c r="AK262" s="56"/>
      <c r="AL262" s="56"/>
      <c r="AM262" s="57"/>
      <c r="AN262" s="57"/>
      <c r="AO262" s="56"/>
      <c r="AP262" s="56"/>
      <c r="AQ262" s="57"/>
      <c r="AR262" s="57"/>
      <c r="AS262" s="57"/>
      <c r="AT262" s="67">
        <f t="shared" ca="1" si="28"/>
        <v>0</v>
      </c>
      <c r="AU262" s="79" t="str">
        <f t="shared" ca="1" si="29"/>
        <v/>
      </c>
      <c r="AV262" s="79" t="str" cm="1">
        <f t="array" aca="1" ref="AV262" ca="1">IFERROR(_xlfn.IFS($AU262="","",$AU262&lt;=15,"0-15",AND($AU262&gt;=16,$AU262&lt;=30),"16-30",AND($AU262&gt;=31,$AU262&lt;=45),"31-45",AND($AU262&gt;=46,$AU262&lt;=60),"46-60",AND($AU262&gt;=61,$AU262&lt;=90),"61-90",AND($AU262&gt;=91),"&gt; 90",AND($AU262&gt;=2000),""),"")</f>
        <v/>
      </c>
      <c r="AW262" s="79" t="str" cm="1">
        <f t="array" aca="1" ref="AW262" ca="1">IFERROR(_xlfn.IFS(OR($M262="",$AM262=""),"",OR($C262="Offered",$C262="Joined"),($AM262-$M262)-$AT262),"")</f>
        <v/>
      </c>
      <c r="AX262" s="79" t="str" cm="1">
        <f t="array" aca="1" ref="AX262" ca="1">IFERROR(_xlfn.IFS(OR($M262="",$AS262=""),"",$C262="Joined",($AS262-$M262)-$AT262),"")</f>
        <v/>
      </c>
      <c r="AY262" s="67" t="str">
        <f>IFERROR(IF(COUNTIFS('Candidate Tracker'!$E:$E,'Positions Tracker'!$B262,'Candidate Tracker'!$C:$C,"Offer Drop")=0,"",COUNTIFS('Candidate Tracker'!$E:$E,'Positions Tracker'!$B262,'Candidate Tracker'!$C:$C,"Offer Drop")),"")</f>
        <v/>
      </c>
      <c r="AZ262" s="80">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0.88111888111888115</v>
      </c>
      <c r="BA262" s="81" t="str">
        <f>IFERROR(IF(COUNTIFS('Candidate Tracker'!$E:$E,'Positions Tracker'!$B262,'Candidate Tracker'!$I:$I,"Female")=0,"",COUNTIFS('Candidate Tracker'!$E:$E,'Positions Tracker'!$B262,'Candidate Tracker'!$I:$I,"Female")),"")</f>
        <v/>
      </c>
      <c r="BB262" s="81" t="str">
        <f>IFERROR(IF(COUNTIFS('Candidate Tracker'!$E:$E,'Positions Tracker'!$B262,'Candidate Tracker'!$I:$I,"male")=0,"",COUNTIFS('Candidate Tracker'!$E:$E,'Positions Tracker'!$B262,'Candidate Tracker'!$I:$I,"male")),"")</f>
        <v/>
      </c>
      <c r="BC262" s="80" t="str">
        <f>IFERROR(IF(COUNTIFS('Candidate Tracker'!$E:$E,'Positions Tracker'!$B262,'Candidate Tracker'!$C:$C,"&lt;&gt;WIP",'Candidate Tracker'!$C:$C,"&lt;&gt;Hold",'Candidate Tracker'!$C:$C,"&lt;&gt;Cancelled",'Candidate Tracker'!$C:$C,"&lt;&gt;Closed")/COUNTIFS('Candidate Tracker'!$E:$E,'Positions Tracker'!$B262)=0,"",COUNTIFS('Candidate Tracker'!$E:$E,'Positions Tracker'!$B262,'Candidate Tracker'!$C:$C,"&lt;&gt;WIP",'Candidate Tracker'!$C:$C,"&lt;&gt;Hold",'Candidate Tracker'!$C:$C,"&lt;&gt;Cancelled",'Candidate Tracker'!$C:$C,"&lt;&gt;Closed")/COUNTIFS('Candidate Tracker'!$E:$E,'Positions Tracker'!$B262)),"")</f>
        <v/>
      </c>
      <c r="BD262" s="67" t="str">
        <f t="shared" si="24"/>
        <v/>
      </c>
      <c r="BE262" s="67" t="str">
        <f t="shared" si="25"/>
        <v/>
      </c>
      <c r="BF262" s="67" t="str">
        <f t="shared" si="26"/>
        <v/>
      </c>
      <c r="BG262" s="67" t="str">
        <f t="shared" si="27"/>
        <v/>
      </c>
    </row>
    <row r="263" spans="1:59">
      <c r="A263" s="55"/>
      <c r="B263" s="56"/>
      <c r="C263" s="56"/>
      <c r="D263" s="56"/>
      <c r="E263" s="56"/>
      <c r="F263" s="56"/>
      <c r="G263" s="56"/>
      <c r="H263" s="56"/>
      <c r="I263" s="6"/>
      <c r="J263" s="6"/>
      <c r="K263" s="57"/>
      <c r="L263" s="57"/>
      <c r="M263" s="57"/>
      <c r="N263" s="56"/>
      <c r="O263" s="56"/>
      <c r="P263" s="56"/>
      <c r="Q263" s="56"/>
      <c r="R263" s="56"/>
      <c r="S263" s="56"/>
      <c r="T263" s="56"/>
      <c r="U263" s="56"/>
      <c r="V263" s="56"/>
      <c r="W263" s="56"/>
      <c r="X263" s="56"/>
      <c r="Y263" s="56"/>
      <c r="Z263" s="56"/>
      <c r="AA263" s="56"/>
      <c r="AB263" s="56"/>
      <c r="AC263" s="56"/>
      <c r="AD263" s="56"/>
      <c r="AE263" s="56"/>
      <c r="AF263" s="56"/>
      <c r="AG263" s="56"/>
      <c r="AH263" s="56"/>
      <c r="AI263" s="58"/>
      <c r="AJ263" s="56"/>
      <c r="AK263" s="56"/>
      <c r="AL263" s="56"/>
      <c r="AM263" s="57"/>
      <c r="AN263" s="57"/>
      <c r="AO263" s="56"/>
      <c r="AP263" s="56"/>
      <c r="AQ263" s="57"/>
      <c r="AR263" s="57"/>
      <c r="AS263" s="57"/>
      <c r="AT263" s="67">
        <f t="shared" ca="1" si="28"/>
        <v>0</v>
      </c>
      <c r="AU263" s="79" t="str">
        <f t="shared" ca="1" si="29"/>
        <v/>
      </c>
      <c r="AV263" s="79" t="str" cm="1">
        <f t="array" aca="1" ref="AV263" ca="1">IFERROR(_xlfn.IFS($AU263="","",$AU263&lt;=15,"0-15",AND($AU263&gt;=16,$AU263&lt;=30),"16-30",AND($AU263&gt;=31,$AU263&lt;=45),"31-45",AND($AU263&gt;=46,$AU263&lt;=60),"46-60",AND($AU263&gt;=61,$AU263&lt;=90),"61-90",AND($AU263&gt;=91),"&gt; 90",AND($AU263&gt;=2000),""),"")</f>
        <v/>
      </c>
      <c r="AW263" s="79" t="str" cm="1">
        <f t="array" aca="1" ref="AW263" ca="1">IFERROR(_xlfn.IFS(OR($M263="",$AM263=""),"",OR($C263="Offered",$C263="Joined"),($AM263-$M263)-$AT263),"")</f>
        <v/>
      </c>
      <c r="AX263" s="79" t="str" cm="1">
        <f t="array" aca="1" ref="AX263" ca="1">IFERROR(_xlfn.IFS(OR($M263="",$AS263=""),"",$C263="Joined",($AS263-$M263)-$AT263),"")</f>
        <v/>
      </c>
      <c r="AY263" s="67" t="str">
        <f>IFERROR(IF(COUNTIFS('Candidate Tracker'!$E:$E,'Positions Tracker'!$B263,'Candidate Tracker'!$C:$C,"Offer Drop")=0,"",COUNTIFS('Candidate Tracker'!$E:$E,'Positions Tracker'!$B263,'Candidate Tracker'!$C:$C,"Offer Drop")),"")</f>
        <v/>
      </c>
      <c r="AZ263" s="80">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0.88111888111888115</v>
      </c>
      <c r="BA263" s="81" t="str">
        <f>IFERROR(IF(COUNTIFS('Candidate Tracker'!$E:$E,'Positions Tracker'!$B263,'Candidate Tracker'!$I:$I,"Female")=0,"",COUNTIFS('Candidate Tracker'!$E:$E,'Positions Tracker'!$B263,'Candidate Tracker'!$I:$I,"Female")),"")</f>
        <v/>
      </c>
      <c r="BB263" s="81" t="str">
        <f>IFERROR(IF(COUNTIFS('Candidate Tracker'!$E:$E,'Positions Tracker'!$B263,'Candidate Tracker'!$I:$I,"male")=0,"",COUNTIFS('Candidate Tracker'!$E:$E,'Positions Tracker'!$B263,'Candidate Tracker'!$I:$I,"male")),"")</f>
        <v/>
      </c>
      <c r="BC263" s="80" t="str">
        <f>IFERROR(IF(COUNTIFS('Candidate Tracker'!$E:$E,'Positions Tracker'!$B263,'Candidate Tracker'!$C:$C,"&lt;&gt;WIP",'Candidate Tracker'!$C:$C,"&lt;&gt;Hold",'Candidate Tracker'!$C:$C,"&lt;&gt;Cancelled",'Candidate Tracker'!$C:$C,"&lt;&gt;Closed")/COUNTIFS('Candidate Tracker'!$E:$E,'Positions Tracker'!$B263)=0,"",COUNTIFS('Candidate Tracker'!$E:$E,'Positions Tracker'!$B263,'Candidate Tracker'!$C:$C,"&lt;&gt;WIP",'Candidate Tracker'!$C:$C,"&lt;&gt;Hold",'Candidate Tracker'!$C:$C,"&lt;&gt;Cancelled",'Candidate Tracker'!$C:$C,"&lt;&gt;Closed")/COUNTIFS('Candidate Tracker'!$E:$E,'Positions Tracker'!$B263)),"")</f>
        <v/>
      </c>
      <c r="BD263" s="67" t="str">
        <f t="shared" si="24"/>
        <v/>
      </c>
      <c r="BE263" s="67" t="str">
        <f t="shared" si="25"/>
        <v/>
      </c>
      <c r="BF263" s="67" t="str">
        <f t="shared" si="26"/>
        <v/>
      </c>
      <c r="BG263" s="67" t="str">
        <f t="shared" si="27"/>
        <v/>
      </c>
    </row>
    <row r="264" spans="1:59">
      <c r="A264" s="55"/>
      <c r="B264" s="56"/>
      <c r="C264" s="56"/>
      <c r="D264" s="56"/>
      <c r="E264" s="56"/>
      <c r="F264" s="56"/>
      <c r="G264" s="56"/>
      <c r="H264" s="56"/>
      <c r="I264" s="6"/>
      <c r="J264" s="6"/>
      <c r="K264" s="57"/>
      <c r="L264" s="57"/>
      <c r="M264" s="57"/>
      <c r="N264" s="56"/>
      <c r="O264" s="56"/>
      <c r="P264" s="56"/>
      <c r="Q264" s="56"/>
      <c r="R264" s="56"/>
      <c r="S264" s="56"/>
      <c r="T264" s="56"/>
      <c r="U264" s="56"/>
      <c r="V264" s="56"/>
      <c r="W264" s="56"/>
      <c r="X264" s="56"/>
      <c r="Y264" s="56"/>
      <c r="Z264" s="56"/>
      <c r="AA264" s="56"/>
      <c r="AB264" s="56"/>
      <c r="AC264" s="56"/>
      <c r="AD264" s="56"/>
      <c r="AE264" s="56"/>
      <c r="AF264" s="56"/>
      <c r="AG264" s="56"/>
      <c r="AH264" s="56"/>
      <c r="AI264" s="58"/>
      <c r="AJ264" s="56"/>
      <c r="AK264" s="56"/>
      <c r="AL264" s="56"/>
      <c r="AM264" s="57"/>
      <c r="AN264" s="57"/>
      <c r="AO264" s="56"/>
      <c r="AP264" s="56"/>
      <c r="AQ264" s="57"/>
      <c r="AR264" s="57"/>
      <c r="AS264" s="57"/>
      <c r="AT264" s="67">
        <f t="shared" ca="1" si="28"/>
        <v>0</v>
      </c>
      <c r="AU264" s="79" t="str">
        <f t="shared" ca="1" si="29"/>
        <v/>
      </c>
      <c r="AV264" s="79" t="str" cm="1">
        <f t="array" aca="1" ref="AV264" ca="1">IFERROR(_xlfn.IFS($AU264="","",$AU264&lt;=15,"0-15",AND($AU264&gt;=16,$AU264&lt;=30),"16-30",AND($AU264&gt;=31,$AU264&lt;=45),"31-45",AND($AU264&gt;=46,$AU264&lt;=60),"46-60",AND($AU264&gt;=61,$AU264&lt;=90),"61-90",AND($AU264&gt;=91),"&gt; 90",AND($AU264&gt;=2000),""),"")</f>
        <v/>
      </c>
      <c r="AW264" s="79" t="str" cm="1">
        <f t="array" aca="1" ref="AW264" ca="1">IFERROR(_xlfn.IFS(OR($M264="",$AM264=""),"",OR($C264="Offered",$C264="Joined"),($AM264-$M264)-$AT264),"")</f>
        <v/>
      </c>
      <c r="AX264" s="79" t="str" cm="1">
        <f t="array" aca="1" ref="AX264" ca="1">IFERROR(_xlfn.IFS(OR($M264="",$AS264=""),"",$C264="Joined",($AS264-$M264)-$AT264),"")</f>
        <v/>
      </c>
      <c r="AY264" s="67" t="str">
        <f>IFERROR(IF(COUNTIFS('Candidate Tracker'!$E:$E,'Positions Tracker'!$B264,'Candidate Tracker'!$C:$C,"Offer Drop")=0,"",COUNTIFS('Candidate Tracker'!$E:$E,'Positions Tracker'!$B264,'Candidate Tracker'!$C:$C,"Offer Drop")),"")</f>
        <v/>
      </c>
      <c r="AZ264" s="80">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0.88111888111888115</v>
      </c>
      <c r="BA264" s="81" t="str">
        <f>IFERROR(IF(COUNTIFS('Candidate Tracker'!$E:$E,'Positions Tracker'!$B264,'Candidate Tracker'!$I:$I,"Female")=0,"",COUNTIFS('Candidate Tracker'!$E:$E,'Positions Tracker'!$B264,'Candidate Tracker'!$I:$I,"Female")),"")</f>
        <v/>
      </c>
      <c r="BB264" s="81" t="str">
        <f>IFERROR(IF(COUNTIFS('Candidate Tracker'!$E:$E,'Positions Tracker'!$B264,'Candidate Tracker'!$I:$I,"male")=0,"",COUNTIFS('Candidate Tracker'!$E:$E,'Positions Tracker'!$B264,'Candidate Tracker'!$I:$I,"male")),"")</f>
        <v/>
      </c>
      <c r="BC264" s="80" t="str">
        <f>IFERROR(IF(COUNTIFS('Candidate Tracker'!$E:$E,'Positions Tracker'!$B264,'Candidate Tracker'!$C:$C,"&lt;&gt;WIP",'Candidate Tracker'!$C:$C,"&lt;&gt;Hold",'Candidate Tracker'!$C:$C,"&lt;&gt;Cancelled",'Candidate Tracker'!$C:$C,"&lt;&gt;Closed")/COUNTIFS('Candidate Tracker'!$E:$E,'Positions Tracker'!$B264)=0,"",COUNTIFS('Candidate Tracker'!$E:$E,'Positions Tracker'!$B264,'Candidate Tracker'!$C:$C,"&lt;&gt;WIP",'Candidate Tracker'!$C:$C,"&lt;&gt;Hold",'Candidate Tracker'!$C:$C,"&lt;&gt;Cancelled",'Candidate Tracker'!$C:$C,"&lt;&gt;Closed")/COUNTIFS('Candidate Tracker'!$E:$E,'Positions Tracker'!$B264)),"")</f>
        <v/>
      </c>
      <c r="BD264" s="67" t="str">
        <f t="shared" si="24"/>
        <v/>
      </c>
      <c r="BE264" s="67" t="str">
        <f t="shared" si="25"/>
        <v/>
      </c>
      <c r="BF264" s="67" t="str">
        <f t="shared" si="26"/>
        <v/>
      </c>
      <c r="BG264" s="67" t="str">
        <f t="shared" si="27"/>
        <v/>
      </c>
    </row>
    <row r="265" spans="1:59">
      <c r="A265" s="55"/>
      <c r="B265" s="56"/>
      <c r="C265" s="56"/>
      <c r="D265" s="56"/>
      <c r="E265" s="56"/>
      <c r="F265" s="56"/>
      <c r="G265" s="56"/>
      <c r="H265" s="56"/>
      <c r="I265" s="6"/>
      <c r="J265" s="6"/>
      <c r="K265" s="57"/>
      <c r="L265" s="57"/>
      <c r="M265" s="57"/>
      <c r="N265" s="56"/>
      <c r="O265" s="56"/>
      <c r="P265" s="56"/>
      <c r="Q265" s="56"/>
      <c r="R265" s="56"/>
      <c r="S265" s="56"/>
      <c r="T265" s="56"/>
      <c r="U265" s="56"/>
      <c r="V265" s="56"/>
      <c r="W265" s="56"/>
      <c r="X265" s="56"/>
      <c r="Y265" s="56"/>
      <c r="Z265" s="56"/>
      <c r="AA265" s="56"/>
      <c r="AB265" s="56"/>
      <c r="AC265" s="56"/>
      <c r="AD265" s="56"/>
      <c r="AE265" s="56"/>
      <c r="AF265" s="56"/>
      <c r="AG265" s="56"/>
      <c r="AH265" s="56"/>
      <c r="AI265" s="58"/>
      <c r="AJ265" s="56"/>
      <c r="AK265" s="56"/>
      <c r="AL265" s="56"/>
      <c r="AM265" s="57"/>
      <c r="AN265" s="57"/>
      <c r="AO265" s="56"/>
      <c r="AP265" s="56"/>
      <c r="AQ265" s="57"/>
      <c r="AR265" s="57"/>
      <c r="AS265" s="57"/>
      <c r="AT265" s="67">
        <f t="shared" ca="1" si="28"/>
        <v>0</v>
      </c>
      <c r="AU265" s="79" t="str">
        <f t="shared" ca="1" si="29"/>
        <v/>
      </c>
      <c r="AV265" s="79" t="str" cm="1">
        <f t="array" aca="1" ref="AV265" ca="1">IFERROR(_xlfn.IFS($AU265="","",$AU265&lt;=15,"0-15",AND($AU265&gt;=16,$AU265&lt;=30),"16-30",AND($AU265&gt;=31,$AU265&lt;=45),"31-45",AND($AU265&gt;=46,$AU265&lt;=60),"46-60",AND($AU265&gt;=61,$AU265&lt;=90),"61-90",AND($AU265&gt;=91),"&gt; 90",AND($AU265&gt;=2000),""),"")</f>
        <v/>
      </c>
      <c r="AW265" s="79" t="str" cm="1">
        <f t="array" aca="1" ref="AW265" ca="1">IFERROR(_xlfn.IFS(OR($M265="",$AM265=""),"",OR($C265="Offered",$C265="Joined"),($AM265-$M265)-$AT265),"")</f>
        <v/>
      </c>
      <c r="AX265" s="79" t="str" cm="1">
        <f t="array" aca="1" ref="AX265" ca="1">IFERROR(_xlfn.IFS(OR($M265="",$AS265=""),"",$C265="Joined",($AS265-$M265)-$AT265),"")</f>
        <v/>
      </c>
      <c r="AY265" s="67" t="str">
        <f>IFERROR(IF(COUNTIFS('Candidate Tracker'!$E:$E,'Positions Tracker'!$B265,'Candidate Tracker'!$C:$C,"Offer Drop")=0,"",COUNTIFS('Candidate Tracker'!$E:$E,'Positions Tracker'!$B265,'Candidate Tracker'!$C:$C,"Offer Drop")),"")</f>
        <v/>
      </c>
      <c r="AZ265" s="80">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0.88111888111888115</v>
      </c>
      <c r="BA265" s="81" t="str">
        <f>IFERROR(IF(COUNTIFS('Candidate Tracker'!$E:$E,'Positions Tracker'!$B265,'Candidate Tracker'!$I:$I,"Female")=0,"",COUNTIFS('Candidate Tracker'!$E:$E,'Positions Tracker'!$B265,'Candidate Tracker'!$I:$I,"Female")),"")</f>
        <v/>
      </c>
      <c r="BB265" s="81" t="str">
        <f>IFERROR(IF(COUNTIFS('Candidate Tracker'!$E:$E,'Positions Tracker'!$B265,'Candidate Tracker'!$I:$I,"male")=0,"",COUNTIFS('Candidate Tracker'!$E:$E,'Positions Tracker'!$B265,'Candidate Tracker'!$I:$I,"male")),"")</f>
        <v/>
      </c>
      <c r="BC265" s="80" t="str">
        <f>IFERROR(IF(COUNTIFS('Candidate Tracker'!$E:$E,'Positions Tracker'!$B265,'Candidate Tracker'!$C:$C,"&lt;&gt;WIP",'Candidate Tracker'!$C:$C,"&lt;&gt;Hold",'Candidate Tracker'!$C:$C,"&lt;&gt;Cancelled",'Candidate Tracker'!$C:$C,"&lt;&gt;Closed")/COUNTIFS('Candidate Tracker'!$E:$E,'Positions Tracker'!$B265)=0,"",COUNTIFS('Candidate Tracker'!$E:$E,'Positions Tracker'!$B265,'Candidate Tracker'!$C:$C,"&lt;&gt;WIP",'Candidate Tracker'!$C:$C,"&lt;&gt;Hold",'Candidate Tracker'!$C:$C,"&lt;&gt;Cancelled",'Candidate Tracker'!$C:$C,"&lt;&gt;Closed")/COUNTIFS('Candidate Tracker'!$E:$E,'Positions Tracker'!$B265)),"")</f>
        <v/>
      </c>
      <c r="BD265" s="67" t="str">
        <f t="shared" si="24"/>
        <v/>
      </c>
      <c r="BE265" s="67" t="str">
        <f t="shared" si="25"/>
        <v/>
      </c>
      <c r="BF265" s="67" t="str">
        <f t="shared" si="26"/>
        <v/>
      </c>
      <c r="BG265" s="67" t="str">
        <f t="shared" si="27"/>
        <v/>
      </c>
    </row>
    <row r="266" spans="1:59">
      <c r="A266" s="55"/>
      <c r="B266" s="56"/>
      <c r="C266" s="56"/>
      <c r="D266" s="56"/>
      <c r="E266" s="56"/>
      <c r="F266" s="56"/>
      <c r="G266" s="56"/>
      <c r="H266" s="56"/>
      <c r="I266" s="6"/>
      <c r="J266" s="6"/>
      <c r="K266" s="57"/>
      <c r="L266" s="57"/>
      <c r="M266" s="57"/>
      <c r="N266" s="56"/>
      <c r="O266" s="56"/>
      <c r="P266" s="56"/>
      <c r="Q266" s="56"/>
      <c r="R266" s="56"/>
      <c r="S266" s="56"/>
      <c r="T266" s="56"/>
      <c r="U266" s="56"/>
      <c r="V266" s="56"/>
      <c r="W266" s="56"/>
      <c r="X266" s="56"/>
      <c r="Y266" s="56"/>
      <c r="Z266" s="56"/>
      <c r="AA266" s="56"/>
      <c r="AB266" s="56"/>
      <c r="AC266" s="56"/>
      <c r="AD266" s="56"/>
      <c r="AE266" s="56"/>
      <c r="AF266" s="56"/>
      <c r="AG266" s="56"/>
      <c r="AH266" s="56"/>
      <c r="AI266" s="58"/>
      <c r="AJ266" s="56"/>
      <c r="AK266" s="56"/>
      <c r="AL266" s="56"/>
      <c r="AM266" s="57"/>
      <c r="AN266" s="57"/>
      <c r="AO266" s="56"/>
      <c r="AP266" s="56"/>
      <c r="AQ266" s="57"/>
      <c r="AR266" s="57"/>
      <c r="AS266" s="57"/>
      <c r="AT266" s="67">
        <f t="shared" ca="1" si="28"/>
        <v>0</v>
      </c>
      <c r="AU266" s="79" t="str">
        <f t="shared" ca="1" si="29"/>
        <v/>
      </c>
      <c r="AV266" s="79" t="str" cm="1">
        <f t="array" aca="1" ref="AV266" ca="1">IFERROR(_xlfn.IFS($AU266="","",$AU266&lt;=15,"0-15",AND($AU266&gt;=16,$AU266&lt;=30),"16-30",AND($AU266&gt;=31,$AU266&lt;=45),"31-45",AND($AU266&gt;=46,$AU266&lt;=60),"46-60",AND($AU266&gt;=61,$AU266&lt;=90),"61-90",AND($AU266&gt;=91),"&gt; 90",AND($AU266&gt;=2000),""),"")</f>
        <v/>
      </c>
      <c r="AW266" s="79" t="str" cm="1">
        <f t="array" aca="1" ref="AW266" ca="1">IFERROR(_xlfn.IFS(OR($M266="",$AM266=""),"",OR($C266="Offered",$C266="Joined"),($AM266-$M266)-$AT266),"")</f>
        <v/>
      </c>
      <c r="AX266" s="79" t="str" cm="1">
        <f t="array" aca="1" ref="AX266" ca="1">IFERROR(_xlfn.IFS(OR($M266="",$AS266=""),"",$C266="Joined",($AS266-$M266)-$AT266),"")</f>
        <v/>
      </c>
      <c r="AY266" s="67" t="str">
        <f>IFERROR(IF(COUNTIFS('Candidate Tracker'!$E:$E,'Positions Tracker'!$B266,'Candidate Tracker'!$C:$C,"Offer Drop")=0,"",COUNTIFS('Candidate Tracker'!$E:$E,'Positions Tracker'!$B266,'Candidate Tracker'!$C:$C,"Offer Drop")),"")</f>
        <v/>
      </c>
      <c r="AZ266" s="80">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0.88111888111888115</v>
      </c>
      <c r="BA266" s="81" t="str">
        <f>IFERROR(IF(COUNTIFS('Candidate Tracker'!$E:$E,'Positions Tracker'!$B266,'Candidate Tracker'!$I:$I,"Female")=0,"",COUNTIFS('Candidate Tracker'!$E:$E,'Positions Tracker'!$B266,'Candidate Tracker'!$I:$I,"Female")),"")</f>
        <v/>
      </c>
      <c r="BB266" s="81" t="str">
        <f>IFERROR(IF(COUNTIFS('Candidate Tracker'!$E:$E,'Positions Tracker'!$B266,'Candidate Tracker'!$I:$I,"male")=0,"",COUNTIFS('Candidate Tracker'!$E:$E,'Positions Tracker'!$B266,'Candidate Tracker'!$I:$I,"male")),"")</f>
        <v/>
      </c>
      <c r="BC266" s="80" t="str">
        <f>IFERROR(IF(COUNTIFS('Candidate Tracker'!$E:$E,'Positions Tracker'!$B266,'Candidate Tracker'!$C:$C,"&lt;&gt;WIP",'Candidate Tracker'!$C:$C,"&lt;&gt;Hold",'Candidate Tracker'!$C:$C,"&lt;&gt;Cancelled",'Candidate Tracker'!$C:$C,"&lt;&gt;Closed")/COUNTIFS('Candidate Tracker'!$E:$E,'Positions Tracker'!$B266)=0,"",COUNTIFS('Candidate Tracker'!$E:$E,'Positions Tracker'!$B266,'Candidate Tracker'!$C:$C,"&lt;&gt;WIP",'Candidate Tracker'!$C:$C,"&lt;&gt;Hold",'Candidate Tracker'!$C:$C,"&lt;&gt;Cancelled",'Candidate Tracker'!$C:$C,"&lt;&gt;Closed")/COUNTIFS('Candidate Tracker'!$E:$E,'Positions Tracker'!$B266)),"")</f>
        <v/>
      </c>
      <c r="BD266" s="67" t="str">
        <f t="shared" si="24"/>
        <v/>
      </c>
      <c r="BE266" s="67" t="str">
        <f t="shared" si="25"/>
        <v/>
      </c>
      <c r="BF266" s="67" t="str">
        <f t="shared" si="26"/>
        <v/>
      </c>
      <c r="BG266" s="67" t="str">
        <f t="shared" si="27"/>
        <v/>
      </c>
    </row>
    <row r="267" spans="1:59">
      <c r="A267" s="55"/>
      <c r="B267" s="56"/>
      <c r="C267" s="56"/>
      <c r="D267" s="56"/>
      <c r="E267" s="56"/>
      <c r="F267" s="56"/>
      <c r="G267" s="56"/>
      <c r="H267" s="56"/>
      <c r="I267" s="6"/>
      <c r="J267" s="6"/>
      <c r="K267" s="57"/>
      <c r="L267" s="57"/>
      <c r="M267" s="57"/>
      <c r="N267" s="56"/>
      <c r="O267" s="56"/>
      <c r="P267" s="56"/>
      <c r="Q267" s="56"/>
      <c r="R267" s="56"/>
      <c r="S267" s="56"/>
      <c r="T267" s="56"/>
      <c r="U267" s="56"/>
      <c r="V267" s="56"/>
      <c r="W267" s="56"/>
      <c r="X267" s="56"/>
      <c r="Y267" s="56"/>
      <c r="Z267" s="56"/>
      <c r="AA267" s="56"/>
      <c r="AB267" s="56"/>
      <c r="AC267" s="56"/>
      <c r="AD267" s="56"/>
      <c r="AE267" s="56"/>
      <c r="AF267" s="56"/>
      <c r="AG267" s="56"/>
      <c r="AH267" s="56"/>
      <c r="AI267" s="58"/>
      <c r="AJ267" s="56"/>
      <c r="AK267" s="56"/>
      <c r="AL267" s="56"/>
      <c r="AM267" s="57"/>
      <c r="AN267" s="57"/>
      <c r="AO267" s="56"/>
      <c r="AP267" s="56"/>
      <c r="AQ267" s="57"/>
      <c r="AR267" s="57"/>
      <c r="AS267" s="57"/>
      <c r="AT267" s="67">
        <f t="shared" ca="1" si="28"/>
        <v>0</v>
      </c>
      <c r="AU267" s="79" t="str">
        <f t="shared" ca="1" si="29"/>
        <v/>
      </c>
      <c r="AV267" s="79" t="str" cm="1">
        <f t="array" aca="1" ref="AV267" ca="1">IFERROR(_xlfn.IFS($AU267="","",$AU267&lt;=15,"0-15",AND($AU267&gt;=16,$AU267&lt;=30),"16-30",AND($AU267&gt;=31,$AU267&lt;=45),"31-45",AND($AU267&gt;=46,$AU267&lt;=60),"46-60",AND($AU267&gt;=61,$AU267&lt;=90),"61-90",AND($AU267&gt;=91),"&gt; 90",AND($AU267&gt;=2000),""),"")</f>
        <v/>
      </c>
      <c r="AW267" s="79" t="str" cm="1">
        <f t="array" aca="1" ref="AW267" ca="1">IFERROR(_xlfn.IFS(OR($M267="",$AM267=""),"",OR($C267="Offered",$C267="Joined"),($AM267-$M267)-$AT267),"")</f>
        <v/>
      </c>
      <c r="AX267" s="79" t="str" cm="1">
        <f t="array" aca="1" ref="AX267" ca="1">IFERROR(_xlfn.IFS(OR($M267="",$AS267=""),"",$C267="Joined",($AS267-$M267)-$AT267),"")</f>
        <v/>
      </c>
      <c r="AY267" s="67" t="str">
        <f>IFERROR(IF(COUNTIFS('Candidate Tracker'!$E:$E,'Positions Tracker'!$B267,'Candidate Tracker'!$C:$C,"Offer Drop")=0,"",COUNTIFS('Candidate Tracker'!$E:$E,'Positions Tracker'!$B267,'Candidate Tracker'!$C:$C,"Offer Drop")),"")</f>
        <v/>
      </c>
      <c r="AZ267" s="80">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0.88111888111888115</v>
      </c>
      <c r="BA267" s="81" t="str">
        <f>IFERROR(IF(COUNTIFS('Candidate Tracker'!$E:$E,'Positions Tracker'!$B267,'Candidate Tracker'!$I:$I,"Female")=0,"",COUNTIFS('Candidate Tracker'!$E:$E,'Positions Tracker'!$B267,'Candidate Tracker'!$I:$I,"Female")),"")</f>
        <v/>
      </c>
      <c r="BB267" s="81" t="str">
        <f>IFERROR(IF(COUNTIFS('Candidate Tracker'!$E:$E,'Positions Tracker'!$B267,'Candidate Tracker'!$I:$I,"male")=0,"",COUNTIFS('Candidate Tracker'!$E:$E,'Positions Tracker'!$B267,'Candidate Tracker'!$I:$I,"male")),"")</f>
        <v/>
      </c>
      <c r="BC267" s="80" t="str">
        <f>IFERROR(IF(COUNTIFS('Candidate Tracker'!$E:$E,'Positions Tracker'!$B267,'Candidate Tracker'!$C:$C,"&lt;&gt;WIP",'Candidate Tracker'!$C:$C,"&lt;&gt;Hold",'Candidate Tracker'!$C:$C,"&lt;&gt;Cancelled",'Candidate Tracker'!$C:$C,"&lt;&gt;Closed")/COUNTIFS('Candidate Tracker'!$E:$E,'Positions Tracker'!$B267)=0,"",COUNTIFS('Candidate Tracker'!$E:$E,'Positions Tracker'!$B267,'Candidate Tracker'!$C:$C,"&lt;&gt;WIP",'Candidate Tracker'!$C:$C,"&lt;&gt;Hold",'Candidate Tracker'!$C:$C,"&lt;&gt;Cancelled",'Candidate Tracker'!$C:$C,"&lt;&gt;Closed")/COUNTIFS('Candidate Tracker'!$E:$E,'Positions Tracker'!$B267)),"")</f>
        <v/>
      </c>
      <c r="BD267" s="67" t="str">
        <f t="shared" si="24"/>
        <v/>
      </c>
      <c r="BE267" s="67" t="str">
        <f t="shared" si="25"/>
        <v/>
      </c>
      <c r="BF267" s="67" t="str">
        <f t="shared" si="26"/>
        <v/>
      </c>
      <c r="BG267" s="67" t="str">
        <f t="shared" si="27"/>
        <v/>
      </c>
    </row>
    <row r="268" spans="1:59">
      <c r="A268" s="55"/>
      <c r="B268" s="56"/>
      <c r="C268" s="56"/>
      <c r="D268" s="56"/>
      <c r="E268" s="56"/>
      <c r="F268" s="56"/>
      <c r="G268" s="56"/>
      <c r="H268" s="56"/>
      <c r="I268" s="6"/>
      <c r="J268" s="6"/>
      <c r="K268" s="57"/>
      <c r="L268" s="57"/>
      <c r="M268" s="57"/>
      <c r="N268" s="56"/>
      <c r="O268" s="56"/>
      <c r="P268" s="56"/>
      <c r="Q268" s="56"/>
      <c r="R268" s="56"/>
      <c r="S268" s="56"/>
      <c r="T268" s="56"/>
      <c r="U268" s="56"/>
      <c r="V268" s="56"/>
      <c r="W268" s="56"/>
      <c r="X268" s="56"/>
      <c r="Y268" s="56"/>
      <c r="Z268" s="56"/>
      <c r="AA268" s="56"/>
      <c r="AB268" s="56"/>
      <c r="AC268" s="56"/>
      <c r="AD268" s="56"/>
      <c r="AE268" s="56"/>
      <c r="AF268" s="56"/>
      <c r="AG268" s="56"/>
      <c r="AH268" s="56"/>
      <c r="AI268" s="58"/>
      <c r="AJ268" s="56"/>
      <c r="AK268" s="56"/>
      <c r="AL268" s="56"/>
      <c r="AM268" s="57"/>
      <c r="AN268" s="57"/>
      <c r="AO268" s="56"/>
      <c r="AP268" s="56"/>
      <c r="AQ268" s="57"/>
      <c r="AR268" s="57"/>
      <c r="AS268" s="57"/>
      <c r="AT268" s="67">
        <f t="shared" ca="1" si="28"/>
        <v>0</v>
      </c>
      <c r="AU268" s="79" t="str">
        <f t="shared" ca="1" si="29"/>
        <v/>
      </c>
      <c r="AV268" s="79" t="str" cm="1">
        <f t="array" aca="1" ref="AV268" ca="1">IFERROR(_xlfn.IFS($AU268="","",$AU268&lt;=15,"0-15",AND($AU268&gt;=16,$AU268&lt;=30),"16-30",AND($AU268&gt;=31,$AU268&lt;=45),"31-45",AND($AU268&gt;=46,$AU268&lt;=60),"46-60",AND($AU268&gt;=61,$AU268&lt;=90),"61-90",AND($AU268&gt;=91),"&gt; 90",AND($AU268&gt;=2000),""),"")</f>
        <v/>
      </c>
      <c r="AW268" s="79" t="str" cm="1">
        <f t="array" aca="1" ref="AW268" ca="1">IFERROR(_xlfn.IFS(OR($M268="",$AM268=""),"",OR($C268="Offered",$C268="Joined"),($AM268-$M268)-$AT268),"")</f>
        <v/>
      </c>
      <c r="AX268" s="79" t="str" cm="1">
        <f t="array" aca="1" ref="AX268" ca="1">IFERROR(_xlfn.IFS(OR($M268="",$AS268=""),"",$C268="Joined",($AS268-$M268)-$AT268),"")</f>
        <v/>
      </c>
      <c r="AY268" s="67" t="str">
        <f>IFERROR(IF(COUNTIFS('Candidate Tracker'!$E:$E,'Positions Tracker'!$B268,'Candidate Tracker'!$C:$C,"Offer Drop")=0,"",COUNTIFS('Candidate Tracker'!$E:$E,'Positions Tracker'!$B268,'Candidate Tracker'!$C:$C,"Offer Drop")),"")</f>
        <v/>
      </c>
      <c r="AZ268" s="80">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0.88111888111888115</v>
      </c>
      <c r="BA268" s="81" t="str">
        <f>IFERROR(IF(COUNTIFS('Candidate Tracker'!$E:$E,'Positions Tracker'!$B268,'Candidate Tracker'!$I:$I,"Female")=0,"",COUNTIFS('Candidate Tracker'!$E:$E,'Positions Tracker'!$B268,'Candidate Tracker'!$I:$I,"Female")),"")</f>
        <v/>
      </c>
      <c r="BB268" s="81" t="str">
        <f>IFERROR(IF(COUNTIFS('Candidate Tracker'!$E:$E,'Positions Tracker'!$B268,'Candidate Tracker'!$I:$I,"male")=0,"",COUNTIFS('Candidate Tracker'!$E:$E,'Positions Tracker'!$B268,'Candidate Tracker'!$I:$I,"male")),"")</f>
        <v/>
      </c>
      <c r="BC268" s="80" t="str">
        <f>IFERROR(IF(COUNTIFS('Candidate Tracker'!$E:$E,'Positions Tracker'!$B268,'Candidate Tracker'!$C:$C,"&lt;&gt;WIP",'Candidate Tracker'!$C:$C,"&lt;&gt;Hold",'Candidate Tracker'!$C:$C,"&lt;&gt;Cancelled",'Candidate Tracker'!$C:$C,"&lt;&gt;Closed")/COUNTIFS('Candidate Tracker'!$E:$E,'Positions Tracker'!$B268)=0,"",COUNTIFS('Candidate Tracker'!$E:$E,'Positions Tracker'!$B268,'Candidate Tracker'!$C:$C,"&lt;&gt;WIP",'Candidate Tracker'!$C:$C,"&lt;&gt;Hold",'Candidate Tracker'!$C:$C,"&lt;&gt;Cancelled",'Candidate Tracker'!$C:$C,"&lt;&gt;Closed")/COUNTIFS('Candidate Tracker'!$E:$E,'Positions Tracker'!$B268)),"")</f>
        <v/>
      </c>
      <c r="BD268" s="67" t="str">
        <f t="shared" si="24"/>
        <v/>
      </c>
      <c r="BE268" s="67" t="str">
        <f t="shared" si="25"/>
        <v/>
      </c>
      <c r="BF268" s="67" t="str">
        <f t="shared" si="26"/>
        <v/>
      </c>
      <c r="BG268" s="67" t="str">
        <f t="shared" si="27"/>
        <v/>
      </c>
    </row>
    <row r="269" spans="1:59">
      <c r="A269" s="55"/>
      <c r="B269" s="56"/>
      <c r="C269" s="56"/>
      <c r="D269" s="56"/>
      <c r="E269" s="56"/>
      <c r="F269" s="56"/>
      <c r="G269" s="56"/>
      <c r="H269" s="56"/>
      <c r="I269" s="6"/>
      <c r="J269" s="6"/>
      <c r="K269" s="57"/>
      <c r="L269" s="57"/>
      <c r="M269" s="57"/>
      <c r="N269" s="56"/>
      <c r="O269" s="56"/>
      <c r="P269" s="56"/>
      <c r="Q269" s="56"/>
      <c r="R269" s="56"/>
      <c r="S269" s="56"/>
      <c r="T269" s="56"/>
      <c r="U269" s="56"/>
      <c r="V269" s="56"/>
      <c r="W269" s="56"/>
      <c r="X269" s="56"/>
      <c r="Y269" s="56"/>
      <c r="Z269" s="56"/>
      <c r="AA269" s="56"/>
      <c r="AB269" s="56"/>
      <c r="AC269" s="56"/>
      <c r="AD269" s="56"/>
      <c r="AE269" s="56"/>
      <c r="AF269" s="56"/>
      <c r="AG269" s="56"/>
      <c r="AH269" s="56"/>
      <c r="AI269" s="58"/>
      <c r="AJ269" s="56"/>
      <c r="AK269" s="56"/>
      <c r="AL269" s="56"/>
      <c r="AM269" s="57"/>
      <c r="AN269" s="57"/>
      <c r="AO269" s="56"/>
      <c r="AP269" s="56"/>
      <c r="AQ269" s="57"/>
      <c r="AR269" s="57"/>
      <c r="AS269" s="57"/>
      <c r="AT269" s="67">
        <f t="shared" ca="1" si="28"/>
        <v>0</v>
      </c>
      <c r="AU269" s="79" t="str">
        <f t="shared" ca="1" si="29"/>
        <v/>
      </c>
      <c r="AV269" s="79" t="str" cm="1">
        <f t="array" aca="1" ref="AV269" ca="1">IFERROR(_xlfn.IFS($AU269="","",$AU269&lt;=15,"0-15",AND($AU269&gt;=16,$AU269&lt;=30),"16-30",AND($AU269&gt;=31,$AU269&lt;=45),"31-45",AND($AU269&gt;=46,$AU269&lt;=60),"46-60",AND($AU269&gt;=61,$AU269&lt;=90),"61-90",AND($AU269&gt;=91),"&gt; 90",AND($AU269&gt;=2000),""),"")</f>
        <v/>
      </c>
      <c r="AW269" s="79" t="str" cm="1">
        <f t="array" aca="1" ref="AW269" ca="1">IFERROR(_xlfn.IFS(OR($M269="",$AM269=""),"",OR($C269="Offered",$C269="Joined"),($AM269-$M269)-$AT269),"")</f>
        <v/>
      </c>
      <c r="AX269" s="79" t="str" cm="1">
        <f t="array" aca="1" ref="AX269" ca="1">IFERROR(_xlfn.IFS(OR($M269="",$AS269=""),"",$C269="Joined",($AS269-$M269)-$AT269),"")</f>
        <v/>
      </c>
      <c r="AY269" s="67" t="str">
        <f>IFERROR(IF(COUNTIFS('Candidate Tracker'!$E:$E,'Positions Tracker'!$B269,'Candidate Tracker'!$C:$C,"Offer Drop")=0,"",COUNTIFS('Candidate Tracker'!$E:$E,'Positions Tracker'!$B269,'Candidate Tracker'!$C:$C,"Offer Drop")),"")</f>
        <v/>
      </c>
      <c r="AZ269" s="80">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0.88111888111888115</v>
      </c>
      <c r="BA269" s="81" t="str">
        <f>IFERROR(IF(COUNTIFS('Candidate Tracker'!$E:$E,'Positions Tracker'!$B269,'Candidate Tracker'!$I:$I,"Female")=0,"",COUNTIFS('Candidate Tracker'!$E:$E,'Positions Tracker'!$B269,'Candidate Tracker'!$I:$I,"Female")),"")</f>
        <v/>
      </c>
      <c r="BB269" s="81" t="str">
        <f>IFERROR(IF(COUNTIFS('Candidate Tracker'!$E:$E,'Positions Tracker'!$B269,'Candidate Tracker'!$I:$I,"male")=0,"",COUNTIFS('Candidate Tracker'!$E:$E,'Positions Tracker'!$B269,'Candidate Tracker'!$I:$I,"male")),"")</f>
        <v/>
      </c>
      <c r="BC269" s="80" t="str">
        <f>IFERROR(IF(COUNTIFS('Candidate Tracker'!$E:$E,'Positions Tracker'!$B269,'Candidate Tracker'!$C:$C,"&lt;&gt;WIP",'Candidate Tracker'!$C:$C,"&lt;&gt;Hold",'Candidate Tracker'!$C:$C,"&lt;&gt;Cancelled",'Candidate Tracker'!$C:$C,"&lt;&gt;Closed")/COUNTIFS('Candidate Tracker'!$E:$E,'Positions Tracker'!$B269)=0,"",COUNTIFS('Candidate Tracker'!$E:$E,'Positions Tracker'!$B269,'Candidate Tracker'!$C:$C,"&lt;&gt;WIP",'Candidate Tracker'!$C:$C,"&lt;&gt;Hold",'Candidate Tracker'!$C:$C,"&lt;&gt;Cancelled",'Candidate Tracker'!$C:$C,"&lt;&gt;Closed")/COUNTIFS('Candidate Tracker'!$E:$E,'Positions Tracker'!$B269)),"")</f>
        <v/>
      </c>
      <c r="BD269" s="67" t="str">
        <f t="shared" si="24"/>
        <v/>
      </c>
      <c r="BE269" s="67" t="str">
        <f t="shared" si="25"/>
        <v/>
      </c>
      <c r="BF269" s="67" t="str">
        <f t="shared" si="26"/>
        <v/>
      </c>
      <c r="BG269" s="67" t="str">
        <f t="shared" si="27"/>
        <v/>
      </c>
    </row>
    <row r="270" spans="1:59">
      <c r="A270" s="55"/>
      <c r="B270" s="56"/>
      <c r="C270" s="56"/>
      <c r="D270" s="56"/>
      <c r="E270" s="56"/>
      <c r="F270" s="56"/>
      <c r="G270" s="56"/>
      <c r="H270" s="56"/>
      <c r="I270" s="6"/>
      <c r="J270" s="6"/>
      <c r="K270" s="57"/>
      <c r="L270" s="57"/>
      <c r="M270" s="57"/>
      <c r="N270" s="56"/>
      <c r="O270" s="56"/>
      <c r="P270" s="56"/>
      <c r="Q270" s="56"/>
      <c r="R270" s="56"/>
      <c r="S270" s="56"/>
      <c r="T270" s="56"/>
      <c r="U270" s="56"/>
      <c r="V270" s="56"/>
      <c r="W270" s="56"/>
      <c r="X270" s="56"/>
      <c r="Y270" s="56"/>
      <c r="Z270" s="56"/>
      <c r="AA270" s="56"/>
      <c r="AB270" s="56"/>
      <c r="AC270" s="56"/>
      <c r="AD270" s="56"/>
      <c r="AE270" s="56"/>
      <c r="AF270" s="56"/>
      <c r="AG270" s="56"/>
      <c r="AH270" s="56"/>
      <c r="AI270" s="58"/>
      <c r="AJ270" s="56"/>
      <c r="AK270" s="56"/>
      <c r="AL270" s="56"/>
      <c r="AM270" s="57"/>
      <c r="AN270" s="57"/>
      <c r="AO270" s="56"/>
      <c r="AP270" s="56"/>
      <c r="AQ270" s="57"/>
      <c r="AR270" s="57"/>
      <c r="AS270" s="57"/>
      <c r="AT270" s="67">
        <f t="shared" ca="1" si="28"/>
        <v>0</v>
      </c>
      <c r="AU270" s="79" t="str">
        <f t="shared" ca="1" si="29"/>
        <v/>
      </c>
      <c r="AV270" s="79" t="str" cm="1">
        <f t="array" aca="1" ref="AV270" ca="1">IFERROR(_xlfn.IFS($AU270="","",$AU270&lt;=15,"0-15",AND($AU270&gt;=16,$AU270&lt;=30),"16-30",AND($AU270&gt;=31,$AU270&lt;=45),"31-45",AND($AU270&gt;=46,$AU270&lt;=60),"46-60",AND($AU270&gt;=61,$AU270&lt;=90),"61-90",AND($AU270&gt;=91),"&gt; 90",AND($AU270&gt;=2000),""),"")</f>
        <v/>
      </c>
      <c r="AW270" s="79" t="str" cm="1">
        <f t="array" aca="1" ref="AW270" ca="1">IFERROR(_xlfn.IFS(OR($M270="",$AM270=""),"",OR($C270="Offered",$C270="Joined"),($AM270-$M270)-$AT270),"")</f>
        <v/>
      </c>
      <c r="AX270" s="79" t="str" cm="1">
        <f t="array" aca="1" ref="AX270" ca="1">IFERROR(_xlfn.IFS(OR($M270="",$AS270=""),"",$C270="Joined",($AS270-$M270)-$AT270),"")</f>
        <v/>
      </c>
      <c r="AY270" s="67" t="str">
        <f>IFERROR(IF(COUNTIFS('Candidate Tracker'!$E:$E,'Positions Tracker'!$B270,'Candidate Tracker'!$C:$C,"Offer Drop")=0,"",COUNTIFS('Candidate Tracker'!$E:$E,'Positions Tracker'!$B270,'Candidate Tracker'!$C:$C,"Offer Drop")),"")</f>
        <v/>
      </c>
      <c r="AZ270" s="80">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0.88111888111888115</v>
      </c>
      <c r="BA270" s="81" t="str">
        <f>IFERROR(IF(COUNTIFS('Candidate Tracker'!$E:$E,'Positions Tracker'!$B270,'Candidate Tracker'!$I:$I,"Female")=0,"",COUNTIFS('Candidate Tracker'!$E:$E,'Positions Tracker'!$B270,'Candidate Tracker'!$I:$I,"Female")),"")</f>
        <v/>
      </c>
      <c r="BB270" s="81" t="str">
        <f>IFERROR(IF(COUNTIFS('Candidate Tracker'!$E:$E,'Positions Tracker'!$B270,'Candidate Tracker'!$I:$I,"male")=0,"",COUNTIFS('Candidate Tracker'!$E:$E,'Positions Tracker'!$B270,'Candidate Tracker'!$I:$I,"male")),"")</f>
        <v/>
      </c>
      <c r="BC270" s="80" t="str">
        <f>IFERROR(IF(COUNTIFS('Candidate Tracker'!$E:$E,'Positions Tracker'!$B270,'Candidate Tracker'!$C:$C,"&lt;&gt;WIP",'Candidate Tracker'!$C:$C,"&lt;&gt;Hold",'Candidate Tracker'!$C:$C,"&lt;&gt;Cancelled",'Candidate Tracker'!$C:$C,"&lt;&gt;Closed")/COUNTIFS('Candidate Tracker'!$E:$E,'Positions Tracker'!$B270)=0,"",COUNTIFS('Candidate Tracker'!$E:$E,'Positions Tracker'!$B270,'Candidate Tracker'!$C:$C,"&lt;&gt;WIP",'Candidate Tracker'!$C:$C,"&lt;&gt;Hold",'Candidate Tracker'!$C:$C,"&lt;&gt;Cancelled",'Candidate Tracker'!$C:$C,"&lt;&gt;Closed")/COUNTIFS('Candidate Tracker'!$E:$E,'Positions Tracker'!$B270)),"")</f>
        <v/>
      </c>
      <c r="BD270" s="67" t="str">
        <f t="shared" si="24"/>
        <v/>
      </c>
      <c r="BE270" s="67" t="str">
        <f t="shared" si="25"/>
        <v/>
      </c>
      <c r="BF270" s="67" t="str">
        <f t="shared" si="26"/>
        <v/>
      </c>
      <c r="BG270" s="67" t="str">
        <f t="shared" si="27"/>
        <v/>
      </c>
    </row>
    <row r="271" spans="1:59">
      <c r="A271" s="55"/>
      <c r="B271" s="56"/>
      <c r="C271" s="56"/>
      <c r="D271" s="56"/>
      <c r="E271" s="56"/>
      <c r="F271" s="56"/>
      <c r="G271" s="56"/>
      <c r="H271" s="56"/>
      <c r="I271" s="6"/>
      <c r="J271" s="6"/>
      <c r="K271" s="57"/>
      <c r="L271" s="57"/>
      <c r="M271" s="57"/>
      <c r="N271" s="56"/>
      <c r="O271" s="56"/>
      <c r="P271" s="56"/>
      <c r="Q271" s="56"/>
      <c r="R271" s="56"/>
      <c r="S271" s="56"/>
      <c r="T271" s="56"/>
      <c r="U271" s="56"/>
      <c r="V271" s="56"/>
      <c r="W271" s="56"/>
      <c r="X271" s="56"/>
      <c r="Y271" s="56"/>
      <c r="Z271" s="56"/>
      <c r="AA271" s="56"/>
      <c r="AB271" s="56"/>
      <c r="AC271" s="56"/>
      <c r="AD271" s="56"/>
      <c r="AE271" s="56"/>
      <c r="AF271" s="56"/>
      <c r="AG271" s="56"/>
      <c r="AH271" s="56"/>
      <c r="AI271" s="58"/>
      <c r="AJ271" s="56"/>
      <c r="AK271" s="56"/>
      <c r="AL271" s="56"/>
      <c r="AM271" s="57"/>
      <c r="AN271" s="57"/>
      <c r="AO271" s="56"/>
      <c r="AP271" s="56"/>
      <c r="AQ271" s="57"/>
      <c r="AR271" s="57"/>
      <c r="AS271" s="57"/>
      <c r="AT271" s="67">
        <f t="shared" ca="1" si="28"/>
        <v>0</v>
      </c>
      <c r="AU271" s="79" t="str">
        <f t="shared" ca="1" si="29"/>
        <v/>
      </c>
      <c r="AV271" s="79" t="str" cm="1">
        <f t="array" aca="1" ref="AV271" ca="1">IFERROR(_xlfn.IFS($AU271="","",$AU271&lt;=15,"0-15",AND($AU271&gt;=16,$AU271&lt;=30),"16-30",AND($AU271&gt;=31,$AU271&lt;=45),"31-45",AND($AU271&gt;=46,$AU271&lt;=60),"46-60",AND($AU271&gt;=61,$AU271&lt;=90),"61-90",AND($AU271&gt;=91),"&gt; 90",AND($AU271&gt;=2000),""),"")</f>
        <v/>
      </c>
      <c r="AW271" s="79" t="str" cm="1">
        <f t="array" aca="1" ref="AW271" ca="1">IFERROR(_xlfn.IFS(OR($M271="",$AM271=""),"",OR($C271="Offered",$C271="Joined"),($AM271-$M271)-$AT271),"")</f>
        <v/>
      </c>
      <c r="AX271" s="79" t="str" cm="1">
        <f t="array" aca="1" ref="AX271" ca="1">IFERROR(_xlfn.IFS(OR($M271="",$AS271=""),"",$C271="Joined",($AS271-$M271)-$AT271),"")</f>
        <v/>
      </c>
      <c r="AY271" s="67" t="str">
        <f>IFERROR(IF(COUNTIFS('Candidate Tracker'!$E:$E,'Positions Tracker'!$B271,'Candidate Tracker'!$C:$C,"Offer Drop")=0,"",COUNTIFS('Candidate Tracker'!$E:$E,'Positions Tracker'!$B271,'Candidate Tracker'!$C:$C,"Offer Drop")),"")</f>
        <v/>
      </c>
      <c r="AZ271" s="80">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0.88111888111888115</v>
      </c>
      <c r="BA271" s="81" t="str">
        <f>IFERROR(IF(COUNTIFS('Candidate Tracker'!$E:$E,'Positions Tracker'!$B271,'Candidate Tracker'!$I:$I,"Female")=0,"",COUNTIFS('Candidate Tracker'!$E:$E,'Positions Tracker'!$B271,'Candidate Tracker'!$I:$I,"Female")),"")</f>
        <v/>
      </c>
      <c r="BB271" s="81" t="str">
        <f>IFERROR(IF(COUNTIFS('Candidate Tracker'!$E:$E,'Positions Tracker'!$B271,'Candidate Tracker'!$I:$I,"male")=0,"",COUNTIFS('Candidate Tracker'!$E:$E,'Positions Tracker'!$B271,'Candidate Tracker'!$I:$I,"male")),"")</f>
        <v/>
      </c>
      <c r="BC271" s="80" t="str">
        <f>IFERROR(IF(COUNTIFS('Candidate Tracker'!$E:$E,'Positions Tracker'!$B271,'Candidate Tracker'!$C:$C,"&lt;&gt;WIP",'Candidate Tracker'!$C:$C,"&lt;&gt;Hold",'Candidate Tracker'!$C:$C,"&lt;&gt;Cancelled",'Candidate Tracker'!$C:$C,"&lt;&gt;Closed")/COUNTIFS('Candidate Tracker'!$E:$E,'Positions Tracker'!$B271)=0,"",COUNTIFS('Candidate Tracker'!$E:$E,'Positions Tracker'!$B271,'Candidate Tracker'!$C:$C,"&lt;&gt;WIP",'Candidate Tracker'!$C:$C,"&lt;&gt;Hold",'Candidate Tracker'!$C:$C,"&lt;&gt;Cancelled",'Candidate Tracker'!$C:$C,"&lt;&gt;Closed")/COUNTIFS('Candidate Tracker'!$E:$E,'Positions Tracker'!$B271)),"")</f>
        <v/>
      </c>
      <c r="BD271" s="67" t="str">
        <f t="shared" si="24"/>
        <v/>
      </c>
      <c r="BE271" s="67" t="str">
        <f t="shared" si="25"/>
        <v/>
      </c>
      <c r="BF271" s="67" t="str">
        <f t="shared" si="26"/>
        <v/>
      </c>
      <c r="BG271" s="67" t="str">
        <f t="shared" si="27"/>
        <v/>
      </c>
    </row>
    <row r="272" spans="1:59">
      <c r="A272" s="55"/>
      <c r="B272" s="56"/>
      <c r="C272" s="56"/>
      <c r="D272" s="56"/>
      <c r="E272" s="56"/>
      <c r="F272" s="56"/>
      <c r="G272" s="56"/>
      <c r="H272" s="56"/>
      <c r="I272" s="6"/>
      <c r="J272" s="6"/>
      <c r="K272" s="57"/>
      <c r="L272" s="57"/>
      <c r="M272" s="57"/>
      <c r="N272" s="56"/>
      <c r="O272" s="56"/>
      <c r="P272" s="56"/>
      <c r="Q272" s="56"/>
      <c r="R272" s="56"/>
      <c r="S272" s="56"/>
      <c r="T272" s="56"/>
      <c r="U272" s="56"/>
      <c r="V272" s="56"/>
      <c r="W272" s="56"/>
      <c r="X272" s="56"/>
      <c r="Y272" s="56"/>
      <c r="Z272" s="56"/>
      <c r="AA272" s="56"/>
      <c r="AB272" s="56"/>
      <c r="AC272" s="56"/>
      <c r="AD272" s="56"/>
      <c r="AE272" s="56"/>
      <c r="AF272" s="56"/>
      <c r="AG272" s="56"/>
      <c r="AH272" s="56"/>
      <c r="AI272" s="58"/>
      <c r="AJ272" s="56"/>
      <c r="AK272" s="56"/>
      <c r="AL272" s="56"/>
      <c r="AM272" s="57"/>
      <c r="AN272" s="57"/>
      <c r="AO272" s="56"/>
      <c r="AP272" s="56"/>
      <c r="AQ272" s="57"/>
      <c r="AR272" s="57"/>
      <c r="AS272" s="57"/>
      <c r="AT272" s="67">
        <f t="shared" ca="1" si="28"/>
        <v>0</v>
      </c>
      <c r="AU272" s="79" t="str">
        <f t="shared" ca="1" si="29"/>
        <v/>
      </c>
      <c r="AV272" s="79" t="str" cm="1">
        <f t="array" aca="1" ref="AV272" ca="1">IFERROR(_xlfn.IFS($AU272="","",$AU272&lt;=15,"0-15",AND($AU272&gt;=16,$AU272&lt;=30),"16-30",AND($AU272&gt;=31,$AU272&lt;=45),"31-45",AND($AU272&gt;=46,$AU272&lt;=60),"46-60",AND($AU272&gt;=61,$AU272&lt;=90),"61-90",AND($AU272&gt;=91),"&gt; 90",AND($AU272&gt;=2000),""),"")</f>
        <v/>
      </c>
      <c r="AW272" s="79" t="str" cm="1">
        <f t="array" aca="1" ref="AW272" ca="1">IFERROR(_xlfn.IFS(OR($M272="",$AM272=""),"",OR($C272="Offered",$C272="Joined"),($AM272-$M272)-$AT272),"")</f>
        <v/>
      </c>
      <c r="AX272" s="79" t="str" cm="1">
        <f t="array" aca="1" ref="AX272" ca="1">IFERROR(_xlfn.IFS(OR($M272="",$AS272=""),"",$C272="Joined",($AS272-$M272)-$AT272),"")</f>
        <v/>
      </c>
      <c r="AY272" s="67" t="str">
        <f>IFERROR(IF(COUNTIFS('Candidate Tracker'!$E:$E,'Positions Tracker'!$B272,'Candidate Tracker'!$C:$C,"Offer Drop")=0,"",COUNTIFS('Candidate Tracker'!$E:$E,'Positions Tracker'!$B272,'Candidate Tracker'!$C:$C,"Offer Drop")),"")</f>
        <v/>
      </c>
      <c r="AZ272" s="80">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0.88111888111888115</v>
      </c>
      <c r="BA272" s="81" t="str">
        <f>IFERROR(IF(COUNTIFS('Candidate Tracker'!$E:$E,'Positions Tracker'!$B272,'Candidate Tracker'!$I:$I,"Female")=0,"",COUNTIFS('Candidate Tracker'!$E:$E,'Positions Tracker'!$B272,'Candidate Tracker'!$I:$I,"Female")),"")</f>
        <v/>
      </c>
      <c r="BB272" s="81" t="str">
        <f>IFERROR(IF(COUNTIFS('Candidate Tracker'!$E:$E,'Positions Tracker'!$B272,'Candidate Tracker'!$I:$I,"male")=0,"",COUNTIFS('Candidate Tracker'!$E:$E,'Positions Tracker'!$B272,'Candidate Tracker'!$I:$I,"male")),"")</f>
        <v/>
      </c>
      <c r="BC272" s="80" t="str">
        <f>IFERROR(IF(COUNTIFS('Candidate Tracker'!$E:$E,'Positions Tracker'!$B272,'Candidate Tracker'!$C:$C,"&lt;&gt;WIP",'Candidate Tracker'!$C:$C,"&lt;&gt;Hold",'Candidate Tracker'!$C:$C,"&lt;&gt;Cancelled",'Candidate Tracker'!$C:$C,"&lt;&gt;Closed")/COUNTIFS('Candidate Tracker'!$E:$E,'Positions Tracker'!$B272)=0,"",COUNTIFS('Candidate Tracker'!$E:$E,'Positions Tracker'!$B272,'Candidate Tracker'!$C:$C,"&lt;&gt;WIP",'Candidate Tracker'!$C:$C,"&lt;&gt;Hold",'Candidate Tracker'!$C:$C,"&lt;&gt;Cancelled",'Candidate Tracker'!$C:$C,"&lt;&gt;Closed")/COUNTIFS('Candidate Tracker'!$E:$E,'Positions Tracker'!$B272)),"")</f>
        <v/>
      </c>
      <c r="BD272" s="67" t="str">
        <f t="shared" si="24"/>
        <v/>
      </c>
      <c r="BE272" s="67" t="str">
        <f t="shared" si="25"/>
        <v/>
      </c>
      <c r="BF272" s="67" t="str">
        <f t="shared" si="26"/>
        <v/>
      </c>
      <c r="BG272" s="67" t="str">
        <f t="shared" si="27"/>
        <v/>
      </c>
    </row>
    <row r="273" spans="1:59">
      <c r="A273" s="55"/>
      <c r="B273" s="56"/>
      <c r="C273" s="56"/>
      <c r="D273" s="56"/>
      <c r="E273" s="56"/>
      <c r="F273" s="56"/>
      <c r="G273" s="56"/>
      <c r="H273" s="56"/>
      <c r="I273" s="6"/>
      <c r="J273" s="6"/>
      <c r="K273" s="57"/>
      <c r="L273" s="57"/>
      <c r="M273" s="57"/>
      <c r="N273" s="56"/>
      <c r="O273" s="56"/>
      <c r="P273" s="56"/>
      <c r="Q273" s="56"/>
      <c r="R273" s="56"/>
      <c r="S273" s="56"/>
      <c r="T273" s="56"/>
      <c r="U273" s="56"/>
      <c r="V273" s="56"/>
      <c r="W273" s="56"/>
      <c r="X273" s="56"/>
      <c r="Y273" s="56"/>
      <c r="Z273" s="56"/>
      <c r="AA273" s="56"/>
      <c r="AB273" s="56"/>
      <c r="AC273" s="56"/>
      <c r="AD273" s="56"/>
      <c r="AE273" s="56"/>
      <c r="AF273" s="56"/>
      <c r="AG273" s="56"/>
      <c r="AH273" s="56"/>
      <c r="AI273" s="58"/>
      <c r="AJ273" s="56"/>
      <c r="AK273" s="56"/>
      <c r="AL273" s="56"/>
      <c r="AM273" s="57"/>
      <c r="AN273" s="57"/>
      <c r="AO273" s="56"/>
      <c r="AP273" s="56"/>
      <c r="AQ273" s="57"/>
      <c r="AR273" s="57"/>
      <c r="AS273" s="57"/>
      <c r="AT273" s="67">
        <f t="shared" ca="1" si="28"/>
        <v>0</v>
      </c>
      <c r="AU273" s="79" t="str">
        <f t="shared" ca="1" si="29"/>
        <v/>
      </c>
      <c r="AV273" s="79" t="str" cm="1">
        <f t="array" aca="1" ref="AV273" ca="1">IFERROR(_xlfn.IFS($AU273="","",$AU273&lt;=15,"0-15",AND($AU273&gt;=16,$AU273&lt;=30),"16-30",AND($AU273&gt;=31,$AU273&lt;=45),"31-45",AND($AU273&gt;=46,$AU273&lt;=60),"46-60",AND($AU273&gt;=61,$AU273&lt;=90),"61-90",AND($AU273&gt;=91),"&gt; 90",AND($AU273&gt;=2000),""),"")</f>
        <v/>
      </c>
      <c r="AW273" s="79" t="str" cm="1">
        <f t="array" aca="1" ref="AW273" ca="1">IFERROR(_xlfn.IFS(OR($M273="",$AM273=""),"",OR($C273="Offered",$C273="Joined"),($AM273-$M273)-$AT273),"")</f>
        <v/>
      </c>
      <c r="AX273" s="79" t="str" cm="1">
        <f t="array" aca="1" ref="AX273" ca="1">IFERROR(_xlfn.IFS(OR($M273="",$AS273=""),"",$C273="Joined",($AS273-$M273)-$AT273),"")</f>
        <v/>
      </c>
      <c r="AY273" s="67" t="str">
        <f>IFERROR(IF(COUNTIFS('Candidate Tracker'!$E:$E,'Positions Tracker'!$B273,'Candidate Tracker'!$C:$C,"Offer Drop")=0,"",COUNTIFS('Candidate Tracker'!$E:$E,'Positions Tracker'!$B273,'Candidate Tracker'!$C:$C,"Offer Drop")),"")</f>
        <v/>
      </c>
      <c r="AZ273" s="80">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0.88111888111888115</v>
      </c>
      <c r="BA273" s="81" t="str">
        <f>IFERROR(IF(COUNTIFS('Candidate Tracker'!$E:$E,'Positions Tracker'!$B273,'Candidate Tracker'!$I:$I,"Female")=0,"",COUNTIFS('Candidate Tracker'!$E:$E,'Positions Tracker'!$B273,'Candidate Tracker'!$I:$I,"Female")),"")</f>
        <v/>
      </c>
      <c r="BB273" s="81" t="str">
        <f>IFERROR(IF(COUNTIFS('Candidate Tracker'!$E:$E,'Positions Tracker'!$B273,'Candidate Tracker'!$I:$I,"male")=0,"",COUNTIFS('Candidate Tracker'!$E:$E,'Positions Tracker'!$B273,'Candidate Tracker'!$I:$I,"male")),"")</f>
        <v/>
      </c>
      <c r="BC273" s="80" t="str">
        <f>IFERROR(IF(COUNTIFS('Candidate Tracker'!$E:$E,'Positions Tracker'!$B273,'Candidate Tracker'!$C:$C,"&lt;&gt;WIP",'Candidate Tracker'!$C:$C,"&lt;&gt;Hold",'Candidate Tracker'!$C:$C,"&lt;&gt;Cancelled",'Candidate Tracker'!$C:$C,"&lt;&gt;Closed")/COUNTIFS('Candidate Tracker'!$E:$E,'Positions Tracker'!$B273)=0,"",COUNTIFS('Candidate Tracker'!$E:$E,'Positions Tracker'!$B273,'Candidate Tracker'!$C:$C,"&lt;&gt;WIP",'Candidate Tracker'!$C:$C,"&lt;&gt;Hold",'Candidate Tracker'!$C:$C,"&lt;&gt;Cancelled",'Candidate Tracker'!$C:$C,"&lt;&gt;Closed")/COUNTIFS('Candidate Tracker'!$E:$E,'Positions Tracker'!$B273)),"")</f>
        <v/>
      </c>
      <c r="BD273" s="67" t="str">
        <f t="shared" si="24"/>
        <v/>
      </c>
      <c r="BE273" s="67" t="str">
        <f t="shared" si="25"/>
        <v/>
      </c>
      <c r="BF273" s="67" t="str">
        <f t="shared" si="26"/>
        <v/>
      </c>
      <c r="BG273" s="67" t="str">
        <f t="shared" si="27"/>
        <v/>
      </c>
    </row>
    <row r="274" spans="1:59">
      <c r="A274" s="55"/>
      <c r="B274" s="56"/>
      <c r="C274" s="56"/>
      <c r="D274" s="56"/>
      <c r="E274" s="56"/>
      <c r="F274" s="56"/>
      <c r="G274" s="56"/>
      <c r="H274" s="56"/>
      <c r="I274" s="6"/>
      <c r="J274" s="6"/>
      <c r="K274" s="57"/>
      <c r="L274" s="57"/>
      <c r="M274" s="57"/>
      <c r="N274" s="56"/>
      <c r="O274" s="56"/>
      <c r="P274" s="56"/>
      <c r="Q274" s="56"/>
      <c r="R274" s="56"/>
      <c r="S274" s="56"/>
      <c r="T274" s="56"/>
      <c r="U274" s="56"/>
      <c r="V274" s="56"/>
      <c r="W274" s="56"/>
      <c r="X274" s="56"/>
      <c r="Y274" s="56"/>
      <c r="Z274" s="56"/>
      <c r="AA274" s="56"/>
      <c r="AB274" s="56"/>
      <c r="AC274" s="56"/>
      <c r="AD274" s="56"/>
      <c r="AE274" s="56"/>
      <c r="AF274" s="56"/>
      <c r="AG274" s="56"/>
      <c r="AH274" s="56"/>
      <c r="AI274" s="58"/>
      <c r="AJ274" s="56"/>
      <c r="AK274" s="56"/>
      <c r="AL274" s="56"/>
      <c r="AM274" s="57"/>
      <c r="AN274" s="57"/>
      <c r="AO274" s="56"/>
      <c r="AP274" s="56"/>
      <c r="AQ274" s="57"/>
      <c r="AR274" s="57"/>
      <c r="AS274" s="57"/>
      <c r="AT274" s="67">
        <f t="shared" ca="1" si="28"/>
        <v>0</v>
      </c>
      <c r="AU274" s="79" t="str">
        <f t="shared" ca="1" si="29"/>
        <v/>
      </c>
      <c r="AV274" s="79" t="str" cm="1">
        <f t="array" aca="1" ref="AV274" ca="1">IFERROR(_xlfn.IFS($AU274="","",$AU274&lt;=15,"0-15",AND($AU274&gt;=16,$AU274&lt;=30),"16-30",AND($AU274&gt;=31,$AU274&lt;=45),"31-45",AND($AU274&gt;=46,$AU274&lt;=60),"46-60",AND($AU274&gt;=61,$AU274&lt;=90),"61-90",AND($AU274&gt;=91),"&gt; 90",AND($AU274&gt;=2000),""),"")</f>
        <v/>
      </c>
      <c r="AW274" s="79" t="str" cm="1">
        <f t="array" aca="1" ref="AW274" ca="1">IFERROR(_xlfn.IFS(OR($M274="",$AM274=""),"",OR($C274="Offered",$C274="Joined"),($AM274-$M274)-$AT274),"")</f>
        <v/>
      </c>
      <c r="AX274" s="79" t="str" cm="1">
        <f t="array" aca="1" ref="AX274" ca="1">IFERROR(_xlfn.IFS(OR($M274="",$AS274=""),"",$C274="Joined",($AS274-$M274)-$AT274),"")</f>
        <v/>
      </c>
      <c r="AY274" s="67" t="str">
        <f>IFERROR(IF(COUNTIFS('Candidate Tracker'!$E:$E,'Positions Tracker'!$B274,'Candidate Tracker'!$C:$C,"Offer Drop")=0,"",COUNTIFS('Candidate Tracker'!$E:$E,'Positions Tracker'!$B274,'Candidate Tracker'!$C:$C,"Offer Drop")),"")</f>
        <v/>
      </c>
      <c r="AZ274" s="80">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0.88111888111888115</v>
      </c>
      <c r="BA274" s="81" t="str">
        <f>IFERROR(IF(COUNTIFS('Candidate Tracker'!$E:$E,'Positions Tracker'!$B274,'Candidate Tracker'!$I:$I,"Female")=0,"",COUNTIFS('Candidate Tracker'!$E:$E,'Positions Tracker'!$B274,'Candidate Tracker'!$I:$I,"Female")),"")</f>
        <v/>
      </c>
      <c r="BB274" s="81" t="str">
        <f>IFERROR(IF(COUNTIFS('Candidate Tracker'!$E:$E,'Positions Tracker'!$B274,'Candidate Tracker'!$I:$I,"male")=0,"",COUNTIFS('Candidate Tracker'!$E:$E,'Positions Tracker'!$B274,'Candidate Tracker'!$I:$I,"male")),"")</f>
        <v/>
      </c>
      <c r="BC274" s="80" t="str">
        <f>IFERROR(IF(COUNTIFS('Candidate Tracker'!$E:$E,'Positions Tracker'!$B274,'Candidate Tracker'!$C:$C,"&lt;&gt;WIP",'Candidate Tracker'!$C:$C,"&lt;&gt;Hold",'Candidate Tracker'!$C:$C,"&lt;&gt;Cancelled",'Candidate Tracker'!$C:$C,"&lt;&gt;Closed")/COUNTIFS('Candidate Tracker'!$E:$E,'Positions Tracker'!$B274)=0,"",COUNTIFS('Candidate Tracker'!$E:$E,'Positions Tracker'!$B274,'Candidate Tracker'!$C:$C,"&lt;&gt;WIP",'Candidate Tracker'!$C:$C,"&lt;&gt;Hold",'Candidate Tracker'!$C:$C,"&lt;&gt;Cancelled",'Candidate Tracker'!$C:$C,"&lt;&gt;Closed")/COUNTIFS('Candidate Tracker'!$E:$E,'Positions Tracker'!$B274)),"")</f>
        <v/>
      </c>
      <c r="BD274" s="67" t="str">
        <f t="shared" si="24"/>
        <v/>
      </c>
      <c r="BE274" s="67" t="str">
        <f t="shared" si="25"/>
        <v/>
      </c>
      <c r="BF274" s="67" t="str">
        <f t="shared" si="26"/>
        <v/>
      </c>
      <c r="BG274" s="67" t="str">
        <f t="shared" si="27"/>
        <v/>
      </c>
    </row>
    <row r="275" spans="1:59">
      <c r="A275" s="55"/>
      <c r="B275" s="56"/>
      <c r="C275" s="56"/>
      <c r="D275" s="56"/>
      <c r="E275" s="56"/>
      <c r="F275" s="56"/>
      <c r="G275" s="56"/>
      <c r="H275" s="56"/>
      <c r="I275" s="6"/>
      <c r="J275" s="6"/>
      <c r="K275" s="57"/>
      <c r="L275" s="57"/>
      <c r="M275" s="57"/>
      <c r="N275" s="56"/>
      <c r="O275" s="56"/>
      <c r="P275" s="56"/>
      <c r="Q275" s="56"/>
      <c r="R275" s="56"/>
      <c r="S275" s="56"/>
      <c r="T275" s="56"/>
      <c r="U275" s="56"/>
      <c r="V275" s="56"/>
      <c r="W275" s="56"/>
      <c r="X275" s="56"/>
      <c r="Y275" s="56"/>
      <c r="Z275" s="56"/>
      <c r="AA275" s="56"/>
      <c r="AB275" s="56"/>
      <c r="AC275" s="56"/>
      <c r="AD275" s="56"/>
      <c r="AE275" s="56"/>
      <c r="AF275" s="56"/>
      <c r="AG275" s="56"/>
      <c r="AH275" s="56"/>
      <c r="AI275" s="58"/>
      <c r="AJ275" s="56"/>
      <c r="AK275" s="56"/>
      <c r="AL275" s="56"/>
      <c r="AM275" s="57"/>
      <c r="AN275" s="57"/>
      <c r="AO275" s="56"/>
      <c r="AP275" s="56"/>
      <c r="AQ275" s="57"/>
      <c r="AR275" s="57"/>
      <c r="AS275" s="57"/>
      <c r="AT275" s="67">
        <f t="shared" ca="1" si="28"/>
        <v>0</v>
      </c>
      <c r="AU275" s="79" t="str">
        <f t="shared" ca="1" si="29"/>
        <v/>
      </c>
      <c r="AV275" s="79" t="str" cm="1">
        <f t="array" aca="1" ref="AV275" ca="1">IFERROR(_xlfn.IFS($AU275="","",$AU275&lt;=15,"0-15",AND($AU275&gt;=16,$AU275&lt;=30),"16-30",AND($AU275&gt;=31,$AU275&lt;=45),"31-45",AND($AU275&gt;=46,$AU275&lt;=60),"46-60",AND($AU275&gt;=61,$AU275&lt;=90),"61-90",AND($AU275&gt;=91),"&gt; 90",AND($AU275&gt;=2000),""),"")</f>
        <v/>
      </c>
      <c r="AW275" s="79" t="str" cm="1">
        <f t="array" aca="1" ref="AW275" ca="1">IFERROR(_xlfn.IFS(OR($M275="",$AM275=""),"",OR($C275="Offered",$C275="Joined"),($AM275-$M275)-$AT275),"")</f>
        <v/>
      </c>
      <c r="AX275" s="79" t="str" cm="1">
        <f t="array" aca="1" ref="AX275" ca="1">IFERROR(_xlfn.IFS(OR($M275="",$AS275=""),"",$C275="Joined",($AS275-$M275)-$AT275),"")</f>
        <v/>
      </c>
      <c r="AY275" s="67" t="str">
        <f>IFERROR(IF(COUNTIFS('Candidate Tracker'!$E:$E,'Positions Tracker'!$B275,'Candidate Tracker'!$C:$C,"Offer Drop")=0,"",COUNTIFS('Candidate Tracker'!$E:$E,'Positions Tracker'!$B275,'Candidate Tracker'!$C:$C,"Offer Drop")),"")</f>
        <v/>
      </c>
      <c r="AZ275" s="80">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0.88111888111888115</v>
      </c>
      <c r="BA275" s="81" t="str">
        <f>IFERROR(IF(COUNTIFS('Candidate Tracker'!$E:$E,'Positions Tracker'!$B275,'Candidate Tracker'!$I:$I,"Female")=0,"",COUNTIFS('Candidate Tracker'!$E:$E,'Positions Tracker'!$B275,'Candidate Tracker'!$I:$I,"Female")),"")</f>
        <v/>
      </c>
      <c r="BB275" s="81" t="str">
        <f>IFERROR(IF(COUNTIFS('Candidate Tracker'!$E:$E,'Positions Tracker'!$B275,'Candidate Tracker'!$I:$I,"male")=0,"",COUNTIFS('Candidate Tracker'!$E:$E,'Positions Tracker'!$B275,'Candidate Tracker'!$I:$I,"male")),"")</f>
        <v/>
      </c>
      <c r="BC275" s="80" t="str">
        <f>IFERROR(IF(COUNTIFS('Candidate Tracker'!$E:$E,'Positions Tracker'!$B275,'Candidate Tracker'!$C:$C,"&lt;&gt;WIP",'Candidate Tracker'!$C:$C,"&lt;&gt;Hold",'Candidate Tracker'!$C:$C,"&lt;&gt;Cancelled",'Candidate Tracker'!$C:$C,"&lt;&gt;Closed")/COUNTIFS('Candidate Tracker'!$E:$E,'Positions Tracker'!$B275)=0,"",COUNTIFS('Candidate Tracker'!$E:$E,'Positions Tracker'!$B275,'Candidate Tracker'!$C:$C,"&lt;&gt;WIP",'Candidate Tracker'!$C:$C,"&lt;&gt;Hold",'Candidate Tracker'!$C:$C,"&lt;&gt;Cancelled",'Candidate Tracker'!$C:$C,"&lt;&gt;Closed")/COUNTIFS('Candidate Tracker'!$E:$E,'Positions Tracker'!$B275)),"")</f>
        <v/>
      </c>
      <c r="BD275" s="67" t="str">
        <f t="shared" si="24"/>
        <v/>
      </c>
      <c r="BE275" s="67" t="str">
        <f t="shared" si="25"/>
        <v/>
      </c>
      <c r="BF275" s="67" t="str">
        <f t="shared" si="26"/>
        <v/>
      </c>
      <c r="BG275" s="67" t="str">
        <f t="shared" si="27"/>
        <v/>
      </c>
    </row>
    <row r="276" spans="1:59">
      <c r="A276" s="55"/>
      <c r="B276" s="56"/>
      <c r="C276" s="56"/>
      <c r="D276" s="56"/>
      <c r="E276" s="56"/>
      <c r="F276" s="56"/>
      <c r="G276" s="56"/>
      <c r="H276" s="56"/>
      <c r="I276" s="6"/>
      <c r="J276" s="6"/>
      <c r="K276" s="57"/>
      <c r="L276" s="57"/>
      <c r="M276" s="57"/>
      <c r="N276" s="56"/>
      <c r="O276" s="56"/>
      <c r="P276" s="56"/>
      <c r="Q276" s="56"/>
      <c r="R276" s="56"/>
      <c r="S276" s="56"/>
      <c r="T276" s="56"/>
      <c r="U276" s="56"/>
      <c r="V276" s="56"/>
      <c r="W276" s="56"/>
      <c r="X276" s="56"/>
      <c r="Y276" s="56"/>
      <c r="Z276" s="56"/>
      <c r="AA276" s="56"/>
      <c r="AB276" s="56"/>
      <c r="AC276" s="56"/>
      <c r="AD276" s="56"/>
      <c r="AE276" s="56"/>
      <c r="AF276" s="56"/>
      <c r="AG276" s="56"/>
      <c r="AH276" s="56"/>
      <c r="AI276" s="58"/>
      <c r="AJ276" s="56"/>
      <c r="AK276" s="56"/>
      <c r="AL276" s="56"/>
      <c r="AM276" s="57"/>
      <c r="AN276" s="57"/>
      <c r="AO276" s="56"/>
      <c r="AP276" s="56"/>
      <c r="AQ276" s="57"/>
      <c r="AR276" s="57"/>
      <c r="AS276" s="57"/>
      <c r="AT276" s="67">
        <f t="shared" ca="1" si="28"/>
        <v>0</v>
      </c>
      <c r="AU276" s="79" t="str">
        <f t="shared" ca="1" si="29"/>
        <v/>
      </c>
      <c r="AV276" s="79" t="str" cm="1">
        <f t="array" aca="1" ref="AV276" ca="1">IFERROR(_xlfn.IFS($AU276="","",$AU276&lt;=15,"0-15",AND($AU276&gt;=16,$AU276&lt;=30),"16-30",AND($AU276&gt;=31,$AU276&lt;=45),"31-45",AND($AU276&gt;=46,$AU276&lt;=60),"46-60",AND($AU276&gt;=61,$AU276&lt;=90),"61-90",AND($AU276&gt;=91),"&gt; 90",AND($AU276&gt;=2000),""),"")</f>
        <v/>
      </c>
      <c r="AW276" s="79" t="str" cm="1">
        <f t="array" aca="1" ref="AW276" ca="1">IFERROR(_xlfn.IFS(OR($M276="",$AM276=""),"",OR($C276="Offered",$C276="Joined"),($AM276-$M276)-$AT276),"")</f>
        <v/>
      </c>
      <c r="AX276" s="79" t="str" cm="1">
        <f t="array" aca="1" ref="AX276" ca="1">IFERROR(_xlfn.IFS(OR($M276="",$AS276=""),"",$C276="Joined",($AS276-$M276)-$AT276),"")</f>
        <v/>
      </c>
      <c r="AY276" s="67" t="str">
        <f>IFERROR(IF(COUNTIFS('Candidate Tracker'!$E:$E,'Positions Tracker'!$B276,'Candidate Tracker'!$C:$C,"Offer Drop")=0,"",COUNTIFS('Candidate Tracker'!$E:$E,'Positions Tracker'!$B276,'Candidate Tracker'!$C:$C,"Offer Drop")),"")</f>
        <v/>
      </c>
      <c r="AZ276" s="80">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0.88111888111888115</v>
      </c>
      <c r="BA276" s="81" t="str">
        <f>IFERROR(IF(COUNTIFS('Candidate Tracker'!$E:$E,'Positions Tracker'!$B276,'Candidate Tracker'!$I:$I,"Female")=0,"",COUNTIFS('Candidate Tracker'!$E:$E,'Positions Tracker'!$B276,'Candidate Tracker'!$I:$I,"Female")),"")</f>
        <v/>
      </c>
      <c r="BB276" s="81" t="str">
        <f>IFERROR(IF(COUNTIFS('Candidate Tracker'!$E:$E,'Positions Tracker'!$B276,'Candidate Tracker'!$I:$I,"male")=0,"",COUNTIFS('Candidate Tracker'!$E:$E,'Positions Tracker'!$B276,'Candidate Tracker'!$I:$I,"male")),"")</f>
        <v/>
      </c>
      <c r="BC276" s="80" t="str">
        <f>IFERROR(IF(COUNTIFS('Candidate Tracker'!$E:$E,'Positions Tracker'!$B276,'Candidate Tracker'!$C:$C,"&lt;&gt;WIP",'Candidate Tracker'!$C:$C,"&lt;&gt;Hold",'Candidate Tracker'!$C:$C,"&lt;&gt;Cancelled",'Candidate Tracker'!$C:$C,"&lt;&gt;Closed")/COUNTIFS('Candidate Tracker'!$E:$E,'Positions Tracker'!$B276)=0,"",COUNTIFS('Candidate Tracker'!$E:$E,'Positions Tracker'!$B276,'Candidate Tracker'!$C:$C,"&lt;&gt;WIP",'Candidate Tracker'!$C:$C,"&lt;&gt;Hold",'Candidate Tracker'!$C:$C,"&lt;&gt;Cancelled",'Candidate Tracker'!$C:$C,"&lt;&gt;Closed")/COUNTIFS('Candidate Tracker'!$E:$E,'Positions Tracker'!$B276)),"")</f>
        <v/>
      </c>
      <c r="BD276" s="67" t="str">
        <f t="shared" si="24"/>
        <v/>
      </c>
      <c r="BE276" s="67" t="str">
        <f t="shared" si="25"/>
        <v/>
      </c>
      <c r="BF276" s="67" t="str">
        <f t="shared" si="26"/>
        <v/>
      </c>
      <c r="BG276" s="67" t="str">
        <f t="shared" si="27"/>
        <v/>
      </c>
    </row>
    <row r="277" spans="1:59">
      <c r="A277" s="55"/>
      <c r="B277" s="56"/>
      <c r="C277" s="56"/>
      <c r="D277" s="56"/>
      <c r="E277" s="56"/>
      <c r="F277" s="56"/>
      <c r="G277" s="56"/>
      <c r="H277" s="56"/>
      <c r="I277" s="6"/>
      <c r="J277" s="6"/>
      <c r="K277" s="57"/>
      <c r="L277" s="57"/>
      <c r="M277" s="57"/>
      <c r="N277" s="56"/>
      <c r="O277" s="56"/>
      <c r="P277" s="56"/>
      <c r="Q277" s="56"/>
      <c r="R277" s="56"/>
      <c r="S277" s="56"/>
      <c r="T277" s="56"/>
      <c r="U277" s="56"/>
      <c r="V277" s="56"/>
      <c r="W277" s="56"/>
      <c r="X277" s="56"/>
      <c r="Y277" s="56"/>
      <c r="Z277" s="56"/>
      <c r="AA277" s="56"/>
      <c r="AB277" s="56"/>
      <c r="AC277" s="56"/>
      <c r="AD277" s="56"/>
      <c r="AE277" s="56"/>
      <c r="AF277" s="56"/>
      <c r="AG277" s="56"/>
      <c r="AH277" s="56"/>
      <c r="AI277" s="58"/>
      <c r="AJ277" s="56"/>
      <c r="AK277" s="56"/>
      <c r="AL277" s="56"/>
      <c r="AM277" s="57"/>
      <c r="AN277" s="57"/>
      <c r="AO277" s="56"/>
      <c r="AP277" s="56"/>
      <c r="AQ277" s="57"/>
      <c r="AR277" s="57"/>
      <c r="AS277" s="57"/>
      <c r="AT277" s="67">
        <f t="shared" ca="1" si="28"/>
        <v>0</v>
      </c>
      <c r="AU277" s="79" t="str">
        <f t="shared" ca="1" si="29"/>
        <v/>
      </c>
      <c r="AV277" s="79" t="str" cm="1">
        <f t="array" aca="1" ref="AV277" ca="1">IFERROR(_xlfn.IFS($AU277="","",$AU277&lt;=15,"0-15",AND($AU277&gt;=16,$AU277&lt;=30),"16-30",AND($AU277&gt;=31,$AU277&lt;=45),"31-45",AND($AU277&gt;=46,$AU277&lt;=60),"46-60",AND($AU277&gt;=61,$AU277&lt;=90),"61-90",AND($AU277&gt;=91),"&gt; 90",AND($AU277&gt;=2000),""),"")</f>
        <v/>
      </c>
      <c r="AW277" s="79" t="str" cm="1">
        <f t="array" aca="1" ref="AW277" ca="1">IFERROR(_xlfn.IFS(OR($M277="",$AM277=""),"",OR($C277="Offered",$C277="Joined"),($AM277-$M277)-$AT277),"")</f>
        <v/>
      </c>
      <c r="AX277" s="79" t="str" cm="1">
        <f t="array" aca="1" ref="AX277" ca="1">IFERROR(_xlfn.IFS(OR($M277="",$AS277=""),"",$C277="Joined",($AS277-$M277)-$AT277),"")</f>
        <v/>
      </c>
      <c r="AY277" s="67" t="str">
        <f>IFERROR(IF(COUNTIFS('Candidate Tracker'!$E:$E,'Positions Tracker'!$B277,'Candidate Tracker'!$C:$C,"Offer Drop")=0,"",COUNTIFS('Candidate Tracker'!$E:$E,'Positions Tracker'!$B277,'Candidate Tracker'!$C:$C,"Offer Drop")),"")</f>
        <v/>
      </c>
      <c r="AZ277" s="80">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0.88111888111888115</v>
      </c>
      <c r="BA277" s="81" t="str">
        <f>IFERROR(IF(COUNTIFS('Candidate Tracker'!$E:$E,'Positions Tracker'!$B277,'Candidate Tracker'!$I:$I,"Female")=0,"",COUNTIFS('Candidate Tracker'!$E:$E,'Positions Tracker'!$B277,'Candidate Tracker'!$I:$I,"Female")),"")</f>
        <v/>
      </c>
      <c r="BB277" s="81" t="str">
        <f>IFERROR(IF(COUNTIFS('Candidate Tracker'!$E:$E,'Positions Tracker'!$B277,'Candidate Tracker'!$I:$I,"male")=0,"",COUNTIFS('Candidate Tracker'!$E:$E,'Positions Tracker'!$B277,'Candidate Tracker'!$I:$I,"male")),"")</f>
        <v/>
      </c>
      <c r="BC277" s="80" t="str">
        <f>IFERROR(IF(COUNTIFS('Candidate Tracker'!$E:$E,'Positions Tracker'!$B277,'Candidate Tracker'!$C:$C,"&lt;&gt;WIP",'Candidate Tracker'!$C:$C,"&lt;&gt;Hold",'Candidate Tracker'!$C:$C,"&lt;&gt;Cancelled",'Candidate Tracker'!$C:$C,"&lt;&gt;Closed")/COUNTIFS('Candidate Tracker'!$E:$E,'Positions Tracker'!$B277)=0,"",COUNTIFS('Candidate Tracker'!$E:$E,'Positions Tracker'!$B277,'Candidate Tracker'!$C:$C,"&lt;&gt;WIP",'Candidate Tracker'!$C:$C,"&lt;&gt;Hold",'Candidate Tracker'!$C:$C,"&lt;&gt;Cancelled",'Candidate Tracker'!$C:$C,"&lt;&gt;Closed")/COUNTIFS('Candidate Tracker'!$E:$E,'Positions Tracker'!$B277)),"")</f>
        <v/>
      </c>
      <c r="BD277" s="67" t="str">
        <f t="shared" si="24"/>
        <v/>
      </c>
      <c r="BE277" s="67" t="str">
        <f t="shared" si="25"/>
        <v/>
      </c>
      <c r="BF277" s="67" t="str">
        <f t="shared" si="26"/>
        <v/>
      </c>
      <c r="BG277" s="67" t="str">
        <f t="shared" si="27"/>
        <v/>
      </c>
    </row>
    <row r="278" spans="1:59">
      <c r="A278" s="55"/>
      <c r="B278" s="56"/>
      <c r="C278" s="56"/>
      <c r="D278" s="56"/>
      <c r="E278" s="56"/>
      <c r="F278" s="56"/>
      <c r="G278" s="56"/>
      <c r="H278" s="56"/>
      <c r="I278" s="6"/>
      <c r="J278" s="6"/>
      <c r="K278" s="57"/>
      <c r="L278" s="57"/>
      <c r="M278" s="57"/>
      <c r="N278" s="56"/>
      <c r="O278" s="56"/>
      <c r="P278" s="56"/>
      <c r="Q278" s="56"/>
      <c r="R278" s="56"/>
      <c r="S278" s="56"/>
      <c r="T278" s="56"/>
      <c r="U278" s="56"/>
      <c r="V278" s="56"/>
      <c r="W278" s="56"/>
      <c r="X278" s="56"/>
      <c r="Y278" s="56"/>
      <c r="Z278" s="56"/>
      <c r="AA278" s="56"/>
      <c r="AB278" s="56"/>
      <c r="AC278" s="56"/>
      <c r="AD278" s="56"/>
      <c r="AE278" s="56"/>
      <c r="AF278" s="56"/>
      <c r="AG278" s="56"/>
      <c r="AH278" s="56"/>
      <c r="AI278" s="58"/>
      <c r="AJ278" s="56"/>
      <c r="AK278" s="56"/>
      <c r="AL278" s="56"/>
      <c r="AM278" s="57"/>
      <c r="AN278" s="57"/>
      <c r="AO278" s="56"/>
      <c r="AP278" s="56"/>
      <c r="AQ278" s="57"/>
      <c r="AR278" s="57"/>
      <c r="AS278" s="57"/>
      <c r="AT278" s="67">
        <f t="shared" ca="1" si="28"/>
        <v>0</v>
      </c>
      <c r="AU278" s="79" t="str">
        <f t="shared" ca="1" si="29"/>
        <v/>
      </c>
      <c r="AV278" s="79" t="str" cm="1">
        <f t="array" aca="1" ref="AV278" ca="1">IFERROR(_xlfn.IFS($AU278="","",$AU278&lt;=15,"0-15",AND($AU278&gt;=16,$AU278&lt;=30),"16-30",AND($AU278&gt;=31,$AU278&lt;=45),"31-45",AND($AU278&gt;=46,$AU278&lt;=60),"46-60",AND($AU278&gt;=61,$AU278&lt;=90),"61-90",AND($AU278&gt;=91),"&gt; 90",AND($AU278&gt;=2000),""),"")</f>
        <v/>
      </c>
      <c r="AW278" s="79" t="str" cm="1">
        <f t="array" aca="1" ref="AW278" ca="1">IFERROR(_xlfn.IFS(OR($M278="",$AM278=""),"",OR($C278="Offered",$C278="Joined"),($AM278-$M278)-$AT278),"")</f>
        <v/>
      </c>
      <c r="AX278" s="79" t="str" cm="1">
        <f t="array" aca="1" ref="AX278" ca="1">IFERROR(_xlfn.IFS(OR($M278="",$AS278=""),"",$C278="Joined",($AS278-$M278)-$AT278),"")</f>
        <v/>
      </c>
      <c r="AY278" s="67" t="str">
        <f>IFERROR(IF(COUNTIFS('Candidate Tracker'!$E:$E,'Positions Tracker'!$B278,'Candidate Tracker'!$C:$C,"Offer Drop")=0,"",COUNTIFS('Candidate Tracker'!$E:$E,'Positions Tracker'!$B278,'Candidate Tracker'!$C:$C,"Offer Drop")),"")</f>
        <v/>
      </c>
      <c r="AZ278" s="80">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0.88111888111888115</v>
      </c>
      <c r="BA278" s="81" t="str">
        <f>IFERROR(IF(COUNTIFS('Candidate Tracker'!$E:$E,'Positions Tracker'!$B278,'Candidate Tracker'!$I:$I,"Female")=0,"",COUNTIFS('Candidate Tracker'!$E:$E,'Positions Tracker'!$B278,'Candidate Tracker'!$I:$I,"Female")),"")</f>
        <v/>
      </c>
      <c r="BB278" s="81" t="str">
        <f>IFERROR(IF(COUNTIFS('Candidate Tracker'!$E:$E,'Positions Tracker'!$B278,'Candidate Tracker'!$I:$I,"male")=0,"",COUNTIFS('Candidate Tracker'!$E:$E,'Positions Tracker'!$B278,'Candidate Tracker'!$I:$I,"male")),"")</f>
        <v/>
      </c>
      <c r="BC278" s="80" t="str">
        <f>IFERROR(IF(COUNTIFS('Candidate Tracker'!$E:$E,'Positions Tracker'!$B278,'Candidate Tracker'!$C:$C,"&lt;&gt;WIP",'Candidate Tracker'!$C:$C,"&lt;&gt;Hold",'Candidate Tracker'!$C:$C,"&lt;&gt;Cancelled",'Candidate Tracker'!$C:$C,"&lt;&gt;Closed")/COUNTIFS('Candidate Tracker'!$E:$E,'Positions Tracker'!$B278)=0,"",COUNTIFS('Candidate Tracker'!$E:$E,'Positions Tracker'!$B278,'Candidate Tracker'!$C:$C,"&lt;&gt;WIP",'Candidate Tracker'!$C:$C,"&lt;&gt;Hold",'Candidate Tracker'!$C:$C,"&lt;&gt;Cancelled",'Candidate Tracker'!$C:$C,"&lt;&gt;Closed")/COUNTIFS('Candidate Tracker'!$E:$E,'Positions Tracker'!$B278)),"")</f>
        <v/>
      </c>
      <c r="BD278" s="67" t="str">
        <f t="shared" si="24"/>
        <v/>
      </c>
      <c r="BE278" s="67" t="str">
        <f t="shared" si="25"/>
        <v/>
      </c>
      <c r="BF278" s="67" t="str">
        <f t="shared" si="26"/>
        <v/>
      </c>
      <c r="BG278" s="67" t="str">
        <f t="shared" si="27"/>
        <v/>
      </c>
    </row>
    <row r="279" spans="1:59">
      <c r="A279" s="55"/>
      <c r="B279" s="56"/>
      <c r="C279" s="56"/>
      <c r="D279" s="56"/>
      <c r="E279" s="56"/>
      <c r="F279" s="56"/>
      <c r="G279" s="56"/>
      <c r="H279" s="56"/>
      <c r="I279" s="6"/>
      <c r="J279" s="6"/>
      <c r="K279" s="57"/>
      <c r="L279" s="57"/>
      <c r="M279" s="57"/>
      <c r="N279" s="56"/>
      <c r="O279" s="56"/>
      <c r="P279" s="56"/>
      <c r="Q279" s="56"/>
      <c r="R279" s="56"/>
      <c r="S279" s="56"/>
      <c r="T279" s="56"/>
      <c r="U279" s="56"/>
      <c r="V279" s="56"/>
      <c r="W279" s="56"/>
      <c r="X279" s="56"/>
      <c r="Y279" s="56"/>
      <c r="Z279" s="56"/>
      <c r="AA279" s="56"/>
      <c r="AB279" s="56"/>
      <c r="AC279" s="56"/>
      <c r="AD279" s="56"/>
      <c r="AE279" s="56"/>
      <c r="AF279" s="56"/>
      <c r="AG279" s="56"/>
      <c r="AH279" s="56"/>
      <c r="AI279" s="58"/>
      <c r="AJ279" s="56"/>
      <c r="AK279" s="56"/>
      <c r="AL279" s="56"/>
      <c r="AM279" s="57"/>
      <c r="AN279" s="57"/>
      <c r="AO279" s="56"/>
      <c r="AP279" s="56"/>
      <c r="AQ279" s="57"/>
      <c r="AR279" s="57"/>
      <c r="AS279" s="57"/>
      <c r="AT279" s="67">
        <f t="shared" ca="1" si="28"/>
        <v>0</v>
      </c>
      <c r="AU279" s="79" t="str">
        <f t="shared" ca="1" si="29"/>
        <v/>
      </c>
      <c r="AV279" s="79" t="str" cm="1">
        <f t="array" aca="1" ref="AV279" ca="1">IFERROR(_xlfn.IFS($AU279="","",$AU279&lt;=15,"0-15",AND($AU279&gt;=16,$AU279&lt;=30),"16-30",AND($AU279&gt;=31,$AU279&lt;=45),"31-45",AND($AU279&gt;=46,$AU279&lt;=60),"46-60",AND($AU279&gt;=61,$AU279&lt;=90),"61-90",AND($AU279&gt;=91),"&gt; 90",AND($AU279&gt;=2000),""),"")</f>
        <v/>
      </c>
      <c r="AW279" s="79" t="str" cm="1">
        <f t="array" aca="1" ref="AW279" ca="1">IFERROR(_xlfn.IFS(OR($M279="",$AM279=""),"",OR($C279="Offered",$C279="Joined"),($AM279-$M279)-$AT279),"")</f>
        <v/>
      </c>
      <c r="AX279" s="79" t="str" cm="1">
        <f t="array" aca="1" ref="AX279" ca="1">IFERROR(_xlfn.IFS(OR($M279="",$AS279=""),"",$C279="Joined",($AS279-$M279)-$AT279),"")</f>
        <v/>
      </c>
      <c r="AY279" s="67" t="str">
        <f>IFERROR(IF(COUNTIFS('Candidate Tracker'!$E:$E,'Positions Tracker'!$B279,'Candidate Tracker'!$C:$C,"Offer Drop")=0,"",COUNTIFS('Candidate Tracker'!$E:$E,'Positions Tracker'!$B279,'Candidate Tracker'!$C:$C,"Offer Drop")),"")</f>
        <v/>
      </c>
      <c r="AZ279" s="80">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0.88111888111888115</v>
      </c>
      <c r="BA279" s="81" t="str">
        <f>IFERROR(IF(COUNTIFS('Candidate Tracker'!$E:$E,'Positions Tracker'!$B279,'Candidate Tracker'!$I:$I,"Female")=0,"",COUNTIFS('Candidate Tracker'!$E:$E,'Positions Tracker'!$B279,'Candidate Tracker'!$I:$I,"Female")),"")</f>
        <v/>
      </c>
      <c r="BB279" s="81" t="str">
        <f>IFERROR(IF(COUNTIFS('Candidate Tracker'!$E:$E,'Positions Tracker'!$B279,'Candidate Tracker'!$I:$I,"male")=0,"",COUNTIFS('Candidate Tracker'!$E:$E,'Positions Tracker'!$B279,'Candidate Tracker'!$I:$I,"male")),"")</f>
        <v/>
      </c>
      <c r="BC279" s="80" t="str">
        <f>IFERROR(IF(COUNTIFS('Candidate Tracker'!$E:$E,'Positions Tracker'!$B279,'Candidate Tracker'!$C:$C,"&lt;&gt;WIP",'Candidate Tracker'!$C:$C,"&lt;&gt;Hold",'Candidate Tracker'!$C:$C,"&lt;&gt;Cancelled",'Candidate Tracker'!$C:$C,"&lt;&gt;Closed")/COUNTIFS('Candidate Tracker'!$E:$E,'Positions Tracker'!$B279)=0,"",COUNTIFS('Candidate Tracker'!$E:$E,'Positions Tracker'!$B279,'Candidate Tracker'!$C:$C,"&lt;&gt;WIP",'Candidate Tracker'!$C:$C,"&lt;&gt;Hold",'Candidate Tracker'!$C:$C,"&lt;&gt;Cancelled",'Candidate Tracker'!$C:$C,"&lt;&gt;Closed")/COUNTIFS('Candidate Tracker'!$E:$E,'Positions Tracker'!$B279)),"")</f>
        <v/>
      </c>
      <c r="BD279" s="67" t="str">
        <f t="shared" si="24"/>
        <v/>
      </c>
      <c r="BE279" s="67" t="str">
        <f t="shared" si="25"/>
        <v/>
      </c>
      <c r="BF279" s="67" t="str">
        <f t="shared" si="26"/>
        <v/>
      </c>
      <c r="BG279" s="67" t="str">
        <f t="shared" si="27"/>
        <v/>
      </c>
    </row>
    <row r="280" spans="1:59">
      <c r="A280" s="55"/>
      <c r="B280" s="56"/>
      <c r="C280" s="56"/>
      <c r="D280" s="56"/>
      <c r="E280" s="56"/>
      <c r="F280" s="56"/>
      <c r="G280" s="56"/>
      <c r="H280" s="56"/>
      <c r="I280" s="6"/>
      <c r="J280" s="6"/>
      <c r="K280" s="57"/>
      <c r="L280" s="57"/>
      <c r="M280" s="57"/>
      <c r="N280" s="56"/>
      <c r="O280" s="56"/>
      <c r="P280" s="56"/>
      <c r="Q280" s="56"/>
      <c r="R280" s="56"/>
      <c r="S280" s="56"/>
      <c r="T280" s="56"/>
      <c r="U280" s="56"/>
      <c r="V280" s="56"/>
      <c r="W280" s="56"/>
      <c r="X280" s="56"/>
      <c r="Y280" s="56"/>
      <c r="Z280" s="56"/>
      <c r="AA280" s="56"/>
      <c r="AB280" s="56"/>
      <c r="AC280" s="56"/>
      <c r="AD280" s="56"/>
      <c r="AE280" s="56"/>
      <c r="AF280" s="56"/>
      <c r="AG280" s="56"/>
      <c r="AH280" s="56"/>
      <c r="AI280" s="58"/>
      <c r="AJ280" s="56"/>
      <c r="AK280" s="56"/>
      <c r="AL280" s="56"/>
      <c r="AM280" s="57"/>
      <c r="AN280" s="57"/>
      <c r="AO280" s="56"/>
      <c r="AP280" s="56"/>
      <c r="AQ280" s="57"/>
      <c r="AR280" s="57"/>
      <c r="AS280" s="57"/>
      <c r="AT280" s="67">
        <f t="shared" ca="1" si="28"/>
        <v>0</v>
      </c>
      <c r="AU280" s="79" t="str">
        <f t="shared" ca="1" si="29"/>
        <v/>
      </c>
      <c r="AV280" s="79" t="str" cm="1">
        <f t="array" aca="1" ref="AV280" ca="1">IFERROR(_xlfn.IFS($AU280="","",$AU280&lt;=15,"0-15",AND($AU280&gt;=16,$AU280&lt;=30),"16-30",AND($AU280&gt;=31,$AU280&lt;=45),"31-45",AND($AU280&gt;=46,$AU280&lt;=60),"46-60",AND($AU280&gt;=61,$AU280&lt;=90),"61-90",AND($AU280&gt;=91),"&gt; 90",AND($AU280&gt;=2000),""),"")</f>
        <v/>
      </c>
      <c r="AW280" s="79" t="str" cm="1">
        <f t="array" aca="1" ref="AW280" ca="1">IFERROR(_xlfn.IFS(OR($M280="",$AM280=""),"",OR($C280="Offered",$C280="Joined"),($AM280-$M280)-$AT280),"")</f>
        <v/>
      </c>
      <c r="AX280" s="79" t="str" cm="1">
        <f t="array" aca="1" ref="AX280" ca="1">IFERROR(_xlfn.IFS(OR($M280="",$AS280=""),"",$C280="Joined",($AS280-$M280)-$AT280),"")</f>
        <v/>
      </c>
      <c r="AY280" s="67" t="str">
        <f>IFERROR(IF(COUNTIFS('Candidate Tracker'!$E:$E,'Positions Tracker'!$B280,'Candidate Tracker'!$C:$C,"Offer Drop")=0,"",COUNTIFS('Candidate Tracker'!$E:$E,'Positions Tracker'!$B280,'Candidate Tracker'!$C:$C,"Offer Drop")),"")</f>
        <v/>
      </c>
      <c r="AZ280" s="80">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0.88111888111888115</v>
      </c>
      <c r="BA280" s="81" t="str">
        <f>IFERROR(IF(COUNTIFS('Candidate Tracker'!$E:$E,'Positions Tracker'!$B280,'Candidate Tracker'!$I:$I,"Female")=0,"",COUNTIFS('Candidate Tracker'!$E:$E,'Positions Tracker'!$B280,'Candidate Tracker'!$I:$I,"Female")),"")</f>
        <v/>
      </c>
      <c r="BB280" s="81" t="str">
        <f>IFERROR(IF(COUNTIFS('Candidate Tracker'!$E:$E,'Positions Tracker'!$B280,'Candidate Tracker'!$I:$I,"male")=0,"",COUNTIFS('Candidate Tracker'!$E:$E,'Positions Tracker'!$B280,'Candidate Tracker'!$I:$I,"male")),"")</f>
        <v/>
      </c>
      <c r="BC280" s="80" t="str">
        <f>IFERROR(IF(COUNTIFS('Candidate Tracker'!$E:$E,'Positions Tracker'!$B280,'Candidate Tracker'!$C:$C,"&lt;&gt;WIP",'Candidate Tracker'!$C:$C,"&lt;&gt;Hold",'Candidate Tracker'!$C:$C,"&lt;&gt;Cancelled",'Candidate Tracker'!$C:$C,"&lt;&gt;Closed")/COUNTIFS('Candidate Tracker'!$E:$E,'Positions Tracker'!$B280)=0,"",COUNTIFS('Candidate Tracker'!$E:$E,'Positions Tracker'!$B280,'Candidate Tracker'!$C:$C,"&lt;&gt;WIP",'Candidate Tracker'!$C:$C,"&lt;&gt;Hold",'Candidate Tracker'!$C:$C,"&lt;&gt;Cancelled",'Candidate Tracker'!$C:$C,"&lt;&gt;Closed")/COUNTIFS('Candidate Tracker'!$E:$E,'Positions Tracker'!$B280)),"")</f>
        <v/>
      </c>
      <c r="BD280" s="67" t="str">
        <f t="shared" si="24"/>
        <v/>
      </c>
      <c r="BE280" s="67" t="str">
        <f t="shared" si="25"/>
        <v/>
      </c>
      <c r="BF280" s="67" t="str">
        <f t="shared" si="26"/>
        <v/>
      </c>
      <c r="BG280" s="67" t="str">
        <f t="shared" si="27"/>
        <v/>
      </c>
    </row>
    <row r="281" spans="1:59">
      <c r="A281" s="55"/>
      <c r="B281" s="56"/>
      <c r="C281" s="56"/>
      <c r="D281" s="56"/>
      <c r="E281" s="56"/>
      <c r="F281" s="56"/>
      <c r="G281" s="56"/>
      <c r="H281" s="56"/>
      <c r="I281" s="6"/>
      <c r="J281" s="6"/>
      <c r="K281" s="57"/>
      <c r="L281" s="57"/>
      <c r="M281" s="57"/>
      <c r="N281" s="56"/>
      <c r="O281" s="56"/>
      <c r="P281" s="56"/>
      <c r="Q281" s="56"/>
      <c r="R281" s="56"/>
      <c r="S281" s="56"/>
      <c r="T281" s="56"/>
      <c r="U281" s="56"/>
      <c r="V281" s="56"/>
      <c r="W281" s="56"/>
      <c r="X281" s="56"/>
      <c r="Y281" s="56"/>
      <c r="Z281" s="56"/>
      <c r="AA281" s="56"/>
      <c r="AB281" s="56"/>
      <c r="AC281" s="56"/>
      <c r="AD281" s="56"/>
      <c r="AE281" s="56"/>
      <c r="AF281" s="56"/>
      <c r="AG281" s="56"/>
      <c r="AH281" s="56"/>
      <c r="AI281" s="58"/>
      <c r="AJ281" s="56"/>
      <c r="AK281" s="56"/>
      <c r="AL281" s="56"/>
      <c r="AM281" s="57"/>
      <c r="AN281" s="57"/>
      <c r="AO281" s="56"/>
      <c r="AP281" s="56"/>
      <c r="AQ281" s="57"/>
      <c r="AR281" s="57"/>
      <c r="AS281" s="57"/>
      <c r="AT281" s="67">
        <f t="shared" ca="1" si="28"/>
        <v>0</v>
      </c>
      <c r="AU281" s="79" t="str">
        <f t="shared" ca="1" si="29"/>
        <v/>
      </c>
      <c r="AV281" s="79" t="str" cm="1">
        <f t="array" aca="1" ref="AV281" ca="1">IFERROR(_xlfn.IFS($AU281="","",$AU281&lt;=15,"0-15",AND($AU281&gt;=16,$AU281&lt;=30),"16-30",AND($AU281&gt;=31,$AU281&lt;=45),"31-45",AND($AU281&gt;=46,$AU281&lt;=60),"46-60",AND($AU281&gt;=61,$AU281&lt;=90),"61-90",AND($AU281&gt;=91),"&gt; 90",AND($AU281&gt;=2000),""),"")</f>
        <v/>
      </c>
      <c r="AW281" s="79" t="str" cm="1">
        <f t="array" aca="1" ref="AW281" ca="1">IFERROR(_xlfn.IFS(OR($M281="",$AM281=""),"",OR($C281="Offered",$C281="Joined"),($AM281-$M281)-$AT281),"")</f>
        <v/>
      </c>
      <c r="AX281" s="79" t="str" cm="1">
        <f t="array" aca="1" ref="AX281" ca="1">IFERROR(_xlfn.IFS(OR($M281="",$AS281=""),"",$C281="Joined",($AS281-$M281)-$AT281),"")</f>
        <v/>
      </c>
      <c r="AY281" s="67" t="str">
        <f>IFERROR(IF(COUNTIFS('Candidate Tracker'!$E:$E,'Positions Tracker'!$B281,'Candidate Tracker'!$C:$C,"Offer Drop")=0,"",COUNTIFS('Candidate Tracker'!$E:$E,'Positions Tracker'!$B281,'Candidate Tracker'!$C:$C,"Offer Drop")),"")</f>
        <v/>
      </c>
      <c r="AZ281" s="80">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0.88111888111888115</v>
      </c>
      <c r="BA281" s="81" t="str">
        <f>IFERROR(IF(COUNTIFS('Candidate Tracker'!$E:$E,'Positions Tracker'!$B281,'Candidate Tracker'!$I:$I,"Female")=0,"",COUNTIFS('Candidate Tracker'!$E:$E,'Positions Tracker'!$B281,'Candidate Tracker'!$I:$I,"Female")),"")</f>
        <v/>
      </c>
      <c r="BB281" s="81" t="str">
        <f>IFERROR(IF(COUNTIFS('Candidate Tracker'!$E:$E,'Positions Tracker'!$B281,'Candidate Tracker'!$I:$I,"male")=0,"",COUNTIFS('Candidate Tracker'!$E:$E,'Positions Tracker'!$B281,'Candidate Tracker'!$I:$I,"male")),"")</f>
        <v/>
      </c>
      <c r="BC281" s="80" t="str">
        <f>IFERROR(IF(COUNTIFS('Candidate Tracker'!$E:$E,'Positions Tracker'!$B281,'Candidate Tracker'!$C:$C,"&lt;&gt;WIP",'Candidate Tracker'!$C:$C,"&lt;&gt;Hold",'Candidate Tracker'!$C:$C,"&lt;&gt;Cancelled",'Candidate Tracker'!$C:$C,"&lt;&gt;Closed")/COUNTIFS('Candidate Tracker'!$E:$E,'Positions Tracker'!$B281)=0,"",COUNTIFS('Candidate Tracker'!$E:$E,'Positions Tracker'!$B281,'Candidate Tracker'!$C:$C,"&lt;&gt;WIP",'Candidate Tracker'!$C:$C,"&lt;&gt;Hold",'Candidate Tracker'!$C:$C,"&lt;&gt;Cancelled",'Candidate Tracker'!$C:$C,"&lt;&gt;Closed")/COUNTIFS('Candidate Tracker'!$E:$E,'Positions Tracker'!$B281)),"")</f>
        <v/>
      </c>
      <c r="BD281" s="67" t="str">
        <f t="shared" si="24"/>
        <v/>
      </c>
      <c r="BE281" s="67" t="str">
        <f t="shared" si="25"/>
        <v/>
      </c>
      <c r="BF281" s="67" t="str">
        <f t="shared" si="26"/>
        <v/>
      </c>
      <c r="BG281" s="67" t="str">
        <f t="shared" si="27"/>
        <v/>
      </c>
    </row>
    <row r="282" spans="1:59">
      <c r="A282" s="55"/>
      <c r="B282" s="56"/>
      <c r="C282" s="56"/>
      <c r="D282" s="56"/>
      <c r="E282" s="56"/>
      <c r="F282" s="56"/>
      <c r="G282" s="56"/>
      <c r="H282" s="56"/>
      <c r="I282" s="6"/>
      <c r="J282" s="6"/>
      <c r="K282" s="57"/>
      <c r="L282" s="57"/>
      <c r="M282" s="57"/>
      <c r="N282" s="56"/>
      <c r="O282" s="56"/>
      <c r="P282" s="56"/>
      <c r="Q282" s="56"/>
      <c r="R282" s="56"/>
      <c r="S282" s="56"/>
      <c r="T282" s="56"/>
      <c r="U282" s="56"/>
      <c r="V282" s="56"/>
      <c r="W282" s="56"/>
      <c r="X282" s="56"/>
      <c r="Y282" s="56"/>
      <c r="Z282" s="56"/>
      <c r="AA282" s="56"/>
      <c r="AB282" s="56"/>
      <c r="AC282" s="56"/>
      <c r="AD282" s="56"/>
      <c r="AE282" s="56"/>
      <c r="AF282" s="56"/>
      <c r="AG282" s="56"/>
      <c r="AH282" s="56"/>
      <c r="AI282" s="58"/>
      <c r="AJ282" s="56"/>
      <c r="AK282" s="56"/>
      <c r="AL282" s="56"/>
      <c r="AM282" s="57"/>
      <c r="AN282" s="57"/>
      <c r="AO282" s="56"/>
      <c r="AP282" s="56"/>
      <c r="AQ282" s="57"/>
      <c r="AR282" s="57"/>
      <c r="AS282" s="57"/>
      <c r="AT282" s="67">
        <f t="shared" ca="1" si="28"/>
        <v>0</v>
      </c>
      <c r="AU282" s="79" t="str">
        <f t="shared" ca="1" si="29"/>
        <v/>
      </c>
      <c r="AV282" s="79" t="str" cm="1">
        <f t="array" aca="1" ref="AV282" ca="1">IFERROR(_xlfn.IFS($AU282="","",$AU282&lt;=15,"0-15",AND($AU282&gt;=16,$AU282&lt;=30),"16-30",AND($AU282&gt;=31,$AU282&lt;=45),"31-45",AND($AU282&gt;=46,$AU282&lt;=60),"46-60",AND($AU282&gt;=61,$AU282&lt;=90),"61-90",AND($AU282&gt;=91),"&gt; 90",AND($AU282&gt;=2000),""),"")</f>
        <v/>
      </c>
      <c r="AW282" s="79" t="str" cm="1">
        <f t="array" aca="1" ref="AW282" ca="1">IFERROR(_xlfn.IFS(OR($M282="",$AM282=""),"",OR($C282="Offered",$C282="Joined"),($AM282-$M282)-$AT282),"")</f>
        <v/>
      </c>
      <c r="AX282" s="79" t="str" cm="1">
        <f t="array" aca="1" ref="AX282" ca="1">IFERROR(_xlfn.IFS(OR($M282="",$AS282=""),"",$C282="Joined",($AS282-$M282)-$AT282),"")</f>
        <v/>
      </c>
      <c r="AY282" s="67" t="str">
        <f>IFERROR(IF(COUNTIFS('Candidate Tracker'!$E:$E,'Positions Tracker'!$B282,'Candidate Tracker'!$C:$C,"Offer Drop")=0,"",COUNTIFS('Candidate Tracker'!$E:$E,'Positions Tracker'!$B282,'Candidate Tracker'!$C:$C,"Offer Drop")),"")</f>
        <v/>
      </c>
      <c r="AZ282" s="80">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0.88111888111888115</v>
      </c>
      <c r="BA282" s="81" t="str">
        <f>IFERROR(IF(COUNTIFS('Candidate Tracker'!$E:$E,'Positions Tracker'!$B282,'Candidate Tracker'!$I:$I,"Female")=0,"",COUNTIFS('Candidate Tracker'!$E:$E,'Positions Tracker'!$B282,'Candidate Tracker'!$I:$I,"Female")),"")</f>
        <v/>
      </c>
      <c r="BB282" s="81" t="str">
        <f>IFERROR(IF(COUNTIFS('Candidate Tracker'!$E:$E,'Positions Tracker'!$B282,'Candidate Tracker'!$I:$I,"male")=0,"",COUNTIFS('Candidate Tracker'!$E:$E,'Positions Tracker'!$B282,'Candidate Tracker'!$I:$I,"male")),"")</f>
        <v/>
      </c>
      <c r="BC282" s="80" t="str">
        <f>IFERROR(IF(COUNTIFS('Candidate Tracker'!$E:$E,'Positions Tracker'!$B282,'Candidate Tracker'!$C:$C,"&lt;&gt;WIP",'Candidate Tracker'!$C:$C,"&lt;&gt;Hold",'Candidate Tracker'!$C:$C,"&lt;&gt;Cancelled",'Candidate Tracker'!$C:$C,"&lt;&gt;Closed")/COUNTIFS('Candidate Tracker'!$E:$E,'Positions Tracker'!$B282)=0,"",COUNTIFS('Candidate Tracker'!$E:$E,'Positions Tracker'!$B282,'Candidate Tracker'!$C:$C,"&lt;&gt;WIP",'Candidate Tracker'!$C:$C,"&lt;&gt;Hold",'Candidate Tracker'!$C:$C,"&lt;&gt;Cancelled",'Candidate Tracker'!$C:$C,"&lt;&gt;Closed")/COUNTIFS('Candidate Tracker'!$E:$E,'Positions Tracker'!$B282)),"")</f>
        <v/>
      </c>
      <c r="BD282" s="67" t="str">
        <f t="shared" si="24"/>
        <v/>
      </c>
      <c r="BE282" s="67" t="str">
        <f t="shared" si="25"/>
        <v/>
      </c>
      <c r="BF282" s="67" t="str">
        <f t="shared" si="26"/>
        <v/>
      </c>
      <c r="BG282" s="67" t="str">
        <f t="shared" si="27"/>
        <v/>
      </c>
    </row>
    <row r="283" spans="1:59">
      <c r="A283" s="55"/>
      <c r="B283" s="56"/>
      <c r="C283" s="56"/>
      <c r="D283" s="56"/>
      <c r="E283" s="56"/>
      <c r="F283" s="56"/>
      <c r="G283" s="56"/>
      <c r="H283" s="56"/>
      <c r="I283" s="6"/>
      <c r="J283" s="6"/>
      <c r="K283" s="57"/>
      <c r="L283" s="57"/>
      <c r="M283" s="57"/>
      <c r="N283" s="56"/>
      <c r="O283" s="56"/>
      <c r="P283" s="56"/>
      <c r="Q283" s="56"/>
      <c r="R283" s="56"/>
      <c r="S283" s="56"/>
      <c r="T283" s="56"/>
      <c r="U283" s="56"/>
      <c r="V283" s="56"/>
      <c r="W283" s="56"/>
      <c r="X283" s="56"/>
      <c r="Y283" s="56"/>
      <c r="Z283" s="56"/>
      <c r="AA283" s="56"/>
      <c r="AB283" s="56"/>
      <c r="AC283" s="56"/>
      <c r="AD283" s="56"/>
      <c r="AE283" s="56"/>
      <c r="AF283" s="56"/>
      <c r="AG283" s="56"/>
      <c r="AH283" s="56"/>
      <c r="AI283" s="58"/>
      <c r="AJ283" s="56"/>
      <c r="AK283" s="56"/>
      <c r="AL283" s="56"/>
      <c r="AM283" s="57"/>
      <c r="AN283" s="57"/>
      <c r="AO283" s="56"/>
      <c r="AP283" s="56"/>
      <c r="AQ283" s="57"/>
      <c r="AR283" s="57"/>
      <c r="AS283" s="57"/>
      <c r="AT283" s="67">
        <f t="shared" ca="1" si="28"/>
        <v>0</v>
      </c>
      <c r="AU283" s="79" t="str">
        <f t="shared" ca="1" si="29"/>
        <v/>
      </c>
      <c r="AV283" s="79" t="str" cm="1">
        <f t="array" aca="1" ref="AV283" ca="1">IFERROR(_xlfn.IFS($AU283="","",$AU283&lt;=15,"0-15",AND($AU283&gt;=16,$AU283&lt;=30),"16-30",AND($AU283&gt;=31,$AU283&lt;=45),"31-45",AND($AU283&gt;=46,$AU283&lt;=60),"46-60",AND($AU283&gt;=61,$AU283&lt;=90),"61-90",AND($AU283&gt;=91),"&gt; 90",AND($AU283&gt;=2000),""),"")</f>
        <v/>
      </c>
      <c r="AW283" s="79" t="str" cm="1">
        <f t="array" aca="1" ref="AW283" ca="1">IFERROR(_xlfn.IFS(OR($M283="",$AM283=""),"",OR($C283="Offered",$C283="Joined"),($AM283-$M283)-$AT283),"")</f>
        <v/>
      </c>
      <c r="AX283" s="79" t="str" cm="1">
        <f t="array" aca="1" ref="AX283" ca="1">IFERROR(_xlfn.IFS(OR($M283="",$AS283=""),"",$C283="Joined",($AS283-$M283)-$AT283),"")</f>
        <v/>
      </c>
      <c r="AY283" s="67" t="str">
        <f>IFERROR(IF(COUNTIFS('Candidate Tracker'!$E:$E,'Positions Tracker'!$B283,'Candidate Tracker'!$C:$C,"Offer Drop")=0,"",COUNTIFS('Candidate Tracker'!$E:$E,'Positions Tracker'!$B283,'Candidate Tracker'!$C:$C,"Offer Drop")),"")</f>
        <v/>
      </c>
      <c r="AZ283" s="80">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0.88111888111888115</v>
      </c>
      <c r="BA283" s="81" t="str">
        <f>IFERROR(IF(COUNTIFS('Candidate Tracker'!$E:$E,'Positions Tracker'!$B283,'Candidate Tracker'!$I:$I,"Female")=0,"",COUNTIFS('Candidate Tracker'!$E:$E,'Positions Tracker'!$B283,'Candidate Tracker'!$I:$I,"Female")),"")</f>
        <v/>
      </c>
      <c r="BB283" s="81" t="str">
        <f>IFERROR(IF(COUNTIFS('Candidate Tracker'!$E:$E,'Positions Tracker'!$B283,'Candidate Tracker'!$I:$I,"male")=0,"",COUNTIFS('Candidate Tracker'!$E:$E,'Positions Tracker'!$B283,'Candidate Tracker'!$I:$I,"male")),"")</f>
        <v/>
      </c>
      <c r="BC283" s="80" t="str">
        <f>IFERROR(IF(COUNTIFS('Candidate Tracker'!$E:$E,'Positions Tracker'!$B283,'Candidate Tracker'!$C:$C,"&lt;&gt;WIP",'Candidate Tracker'!$C:$C,"&lt;&gt;Hold",'Candidate Tracker'!$C:$C,"&lt;&gt;Cancelled",'Candidate Tracker'!$C:$C,"&lt;&gt;Closed")/COUNTIFS('Candidate Tracker'!$E:$E,'Positions Tracker'!$B283)=0,"",COUNTIFS('Candidate Tracker'!$E:$E,'Positions Tracker'!$B283,'Candidate Tracker'!$C:$C,"&lt;&gt;WIP",'Candidate Tracker'!$C:$C,"&lt;&gt;Hold",'Candidate Tracker'!$C:$C,"&lt;&gt;Cancelled",'Candidate Tracker'!$C:$C,"&lt;&gt;Closed")/COUNTIFS('Candidate Tracker'!$E:$E,'Positions Tracker'!$B283)),"")</f>
        <v/>
      </c>
      <c r="BD283" s="67" t="str">
        <f t="shared" si="24"/>
        <v/>
      </c>
      <c r="BE283" s="67" t="str">
        <f t="shared" si="25"/>
        <v/>
      </c>
      <c r="BF283" s="67" t="str">
        <f t="shared" si="26"/>
        <v/>
      </c>
      <c r="BG283" s="67" t="str">
        <f t="shared" si="27"/>
        <v/>
      </c>
    </row>
    <row r="284" spans="1:59">
      <c r="A284" s="55"/>
      <c r="B284" s="56"/>
      <c r="C284" s="56"/>
      <c r="D284" s="56"/>
      <c r="E284" s="56"/>
      <c r="F284" s="56"/>
      <c r="G284" s="56"/>
      <c r="H284" s="56"/>
      <c r="I284" s="6"/>
      <c r="J284" s="6"/>
      <c r="K284" s="57"/>
      <c r="L284" s="57"/>
      <c r="M284" s="57"/>
      <c r="N284" s="56"/>
      <c r="O284" s="56"/>
      <c r="P284" s="56"/>
      <c r="Q284" s="56"/>
      <c r="R284" s="56"/>
      <c r="S284" s="56"/>
      <c r="T284" s="56"/>
      <c r="U284" s="56"/>
      <c r="V284" s="56"/>
      <c r="W284" s="56"/>
      <c r="X284" s="56"/>
      <c r="Y284" s="56"/>
      <c r="Z284" s="56"/>
      <c r="AA284" s="56"/>
      <c r="AB284" s="56"/>
      <c r="AC284" s="56"/>
      <c r="AD284" s="56"/>
      <c r="AE284" s="56"/>
      <c r="AF284" s="56"/>
      <c r="AG284" s="56"/>
      <c r="AH284" s="56"/>
      <c r="AI284" s="58"/>
      <c r="AJ284" s="56"/>
      <c r="AK284" s="56"/>
      <c r="AL284" s="56"/>
      <c r="AM284" s="57"/>
      <c r="AN284" s="57"/>
      <c r="AO284" s="56"/>
      <c r="AP284" s="56"/>
      <c r="AQ284" s="57"/>
      <c r="AR284" s="57"/>
      <c r="AS284" s="57"/>
      <c r="AT284" s="67">
        <f t="shared" ca="1" si="28"/>
        <v>0</v>
      </c>
      <c r="AU284" s="79" t="str">
        <f t="shared" ca="1" si="29"/>
        <v/>
      </c>
      <c r="AV284" s="79" t="str" cm="1">
        <f t="array" aca="1" ref="AV284" ca="1">IFERROR(_xlfn.IFS($AU284="","",$AU284&lt;=15,"0-15",AND($AU284&gt;=16,$AU284&lt;=30),"16-30",AND($AU284&gt;=31,$AU284&lt;=45),"31-45",AND($AU284&gt;=46,$AU284&lt;=60),"46-60",AND($AU284&gt;=61,$AU284&lt;=90),"61-90",AND($AU284&gt;=91),"&gt; 90",AND($AU284&gt;=2000),""),"")</f>
        <v/>
      </c>
      <c r="AW284" s="79" t="str" cm="1">
        <f t="array" aca="1" ref="AW284" ca="1">IFERROR(_xlfn.IFS(OR($M284="",$AM284=""),"",OR($C284="Offered",$C284="Joined"),($AM284-$M284)-$AT284),"")</f>
        <v/>
      </c>
      <c r="AX284" s="79" t="str" cm="1">
        <f t="array" aca="1" ref="AX284" ca="1">IFERROR(_xlfn.IFS(OR($M284="",$AS284=""),"",$C284="Joined",($AS284-$M284)-$AT284),"")</f>
        <v/>
      </c>
      <c r="AY284" s="67" t="str">
        <f>IFERROR(IF(COUNTIFS('Candidate Tracker'!$E:$E,'Positions Tracker'!$B284,'Candidate Tracker'!$C:$C,"Offer Drop")=0,"",COUNTIFS('Candidate Tracker'!$E:$E,'Positions Tracker'!$B284,'Candidate Tracker'!$C:$C,"Offer Drop")),"")</f>
        <v/>
      </c>
      <c r="AZ284" s="80">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0.88111888111888115</v>
      </c>
      <c r="BA284" s="81" t="str">
        <f>IFERROR(IF(COUNTIFS('Candidate Tracker'!$E:$E,'Positions Tracker'!$B284,'Candidate Tracker'!$I:$I,"Female")=0,"",COUNTIFS('Candidate Tracker'!$E:$E,'Positions Tracker'!$B284,'Candidate Tracker'!$I:$I,"Female")),"")</f>
        <v/>
      </c>
      <c r="BB284" s="81" t="str">
        <f>IFERROR(IF(COUNTIFS('Candidate Tracker'!$E:$E,'Positions Tracker'!$B284,'Candidate Tracker'!$I:$I,"male")=0,"",COUNTIFS('Candidate Tracker'!$E:$E,'Positions Tracker'!$B284,'Candidate Tracker'!$I:$I,"male")),"")</f>
        <v/>
      </c>
      <c r="BC284" s="80" t="str">
        <f>IFERROR(IF(COUNTIFS('Candidate Tracker'!$E:$E,'Positions Tracker'!$B284,'Candidate Tracker'!$C:$C,"&lt;&gt;WIP",'Candidate Tracker'!$C:$C,"&lt;&gt;Hold",'Candidate Tracker'!$C:$C,"&lt;&gt;Cancelled",'Candidate Tracker'!$C:$C,"&lt;&gt;Closed")/COUNTIFS('Candidate Tracker'!$E:$E,'Positions Tracker'!$B284)=0,"",COUNTIFS('Candidate Tracker'!$E:$E,'Positions Tracker'!$B284,'Candidate Tracker'!$C:$C,"&lt;&gt;WIP",'Candidate Tracker'!$C:$C,"&lt;&gt;Hold",'Candidate Tracker'!$C:$C,"&lt;&gt;Cancelled",'Candidate Tracker'!$C:$C,"&lt;&gt;Closed")/COUNTIFS('Candidate Tracker'!$E:$E,'Positions Tracker'!$B284)),"")</f>
        <v/>
      </c>
      <c r="BD284" s="67" t="str">
        <f t="shared" si="24"/>
        <v/>
      </c>
      <c r="BE284" s="67" t="str">
        <f t="shared" si="25"/>
        <v/>
      </c>
      <c r="BF284" s="67" t="str">
        <f t="shared" si="26"/>
        <v/>
      </c>
      <c r="BG284" s="67" t="str">
        <f t="shared" si="27"/>
        <v/>
      </c>
    </row>
    <row r="285" spans="1:59">
      <c r="A285" s="55"/>
      <c r="B285" s="56"/>
      <c r="C285" s="56"/>
      <c r="D285" s="56"/>
      <c r="E285" s="56"/>
      <c r="F285" s="56"/>
      <c r="G285" s="56"/>
      <c r="H285" s="56"/>
      <c r="I285" s="6"/>
      <c r="J285" s="6"/>
      <c r="K285" s="57"/>
      <c r="L285" s="57"/>
      <c r="M285" s="57"/>
      <c r="N285" s="56"/>
      <c r="O285" s="56"/>
      <c r="P285" s="56"/>
      <c r="Q285" s="56"/>
      <c r="R285" s="56"/>
      <c r="S285" s="56"/>
      <c r="T285" s="56"/>
      <c r="U285" s="56"/>
      <c r="V285" s="56"/>
      <c r="W285" s="56"/>
      <c r="X285" s="56"/>
      <c r="Y285" s="56"/>
      <c r="Z285" s="56"/>
      <c r="AA285" s="56"/>
      <c r="AB285" s="56"/>
      <c r="AC285" s="56"/>
      <c r="AD285" s="56"/>
      <c r="AE285" s="56"/>
      <c r="AF285" s="56"/>
      <c r="AG285" s="56"/>
      <c r="AH285" s="56"/>
      <c r="AI285" s="58"/>
      <c r="AJ285" s="56"/>
      <c r="AK285" s="56"/>
      <c r="AL285" s="56"/>
      <c r="AM285" s="57"/>
      <c r="AN285" s="57"/>
      <c r="AO285" s="56"/>
      <c r="AP285" s="56"/>
      <c r="AQ285" s="57"/>
      <c r="AR285" s="57"/>
      <c r="AS285" s="57"/>
      <c r="AT285" s="67">
        <f t="shared" ca="1" si="28"/>
        <v>0</v>
      </c>
      <c r="AU285" s="79" t="str">
        <f t="shared" ca="1" si="29"/>
        <v/>
      </c>
      <c r="AV285" s="79" t="str" cm="1">
        <f t="array" aca="1" ref="AV285" ca="1">IFERROR(_xlfn.IFS($AU285="","",$AU285&lt;=15,"0-15",AND($AU285&gt;=16,$AU285&lt;=30),"16-30",AND($AU285&gt;=31,$AU285&lt;=45),"31-45",AND($AU285&gt;=46,$AU285&lt;=60),"46-60",AND($AU285&gt;=61,$AU285&lt;=90),"61-90",AND($AU285&gt;=91),"&gt; 90",AND($AU285&gt;=2000),""),"")</f>
        <v/>
      </c>
      <c r="AW285" s="79" t="str" cm="1">
        <f t="array" aca="1" ref="AW285" ca="1">IFERROR(_xlfn.IFS(OR($M285="",$AM285=""),"",OR($C285="Offered",$C285="Joined"),($AM285-$M285)-$AT285),"")</f>
        <v/>
      </c>
      <c r="AX285" s="79" t="str" cm="1">
        <f t="array" aca="1" ref="AX285" ca="1">IFERROR(_xlfn.IFS(OR($M285="",$AS285=""),"",$C285="Joined",($AS285-$M285)-$AT285),"")</f>
        <v/>
      </c>
      <c r="AY285" s="67" t="str">
        <f>IFERROR(IF(COUNTIFS('Candidate Tracker'!$E:$E,'Positions Tracker'!$B285,'Candidate Tracker'!$C:$C,"Offer Drop")=0,"",COUNTIFS('Candidate Tracker'!$E:$E,'Positions Tracker'!$B285,'Candidate Tracker'!$C:$C,"Offer Drop")),"")</f>
        <v/>
      </c>
      <c r="AZ285" s="80">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0.88111888111888115</v>
      </c>
      <c r="BA285" s="81" t="str">
        <f>IFERROR(IF(COUNTIFS('Candidate Tracker'!$E:$E,'Positions Tracker'!$B285,'Candidate Tracker'!$I:$I,"Female")=0,"",COUNTIFS('Candidate Tracker'!$E:$E,'Positions Tracker'!$B285,'Candidate Tracker'!$I:$I,"Female")),"")</f>
        <v/>
      </c>
      <c r="BB285" s="81" t="str">
        <f>IFERROR(IF(COUNTIFS('Candidate Tracker'!$E:$E,'Positions Tracker'!$B285,'Candidate Tracker'!$I:$I,"male")=0,"",COUNTIFS('Candidate Tracker'!$E:$E,'Positions Tracker'!$B285,'Candidate Tracker'!$I:$I,"male")),"")</f>
        <v/>
      </c>
      <c r="BC285" s="80" t="str">
        <f>IFERROR(IF(COUNTIFS('Candidate Tracker'!$E:$E,'Positions Tracker'!$B285,'Candidate Tracker'!$C:$C,"&lt;&gt;WIP",'Candidate Tracker'!$C:$C,"&lt;&gt;Hold",'Candidate Tracker'!$C:$C,"&lt;&gt;Cancelled",'Candidate Tracker'!$C:$C,"&lt;&gt;Closed")/COUNTIFS('Candidate Tracker'!$E:$E,'Positions Tracker'!$B285)=0,"",COUNTIFS('Candidate Tracker'!$E:$E,'Positions Tracker'!$B285,'Candidate Tracker'!$C:$C,"&lt;&gt;WIP",'Candidate Tracker'!$C:$C,"&lt;&gt;Hold",'Candidate Tracker'!$C:$C,"&lt;&gt;Cancelled",'Candidate Tracker'!$C:$C,"&lt;&gt;Closed")/COUNTIFS('Candidate Tracker'!$E:$E,'Positions Tracker'!$B285)),"")</f>
        <v/>
      </c>
      <c r="BD285" s="67" t="str">
        <f t="shared" si="24"/>
        <v/>
      </c>
      <c r="BE285" s="67" t="str">
        <f t="shared" si="25"/>
        <v/>
      </c>
      <c r="BF285" s="67" t="str">
        <f t="shared" si="26"/>
        <v/>
      </c>
      <c r="BG285" s="67" t="str">
        <f t="shared" si="27"/>
        <v/>
      </c>
    </row>
    <row r="286" spans="1:59">
      <c r="A286" s="55"/>
      <c r="B286" s="56"/>
      <c r="C286" s="56"/>
      <c r="D286" s="56"/>
      <c r="E286" s="56"/>
      <c r="F286" s="56"/>
      <c r="G286" s="56"/>
      <c r="H286" s="56"/>
      <c r="I286" s="6"/>
      <c r="J286" s="6"/>
      <c r="K286" s="57"/>
      <c r="L286" s="57"/>
      <c r="M286" s="57"/>
      <c r="N286" s="56"/>
      <c r="O286" s="56"/>
      <c r="P286" s="56"/>
      <c r="Q286" s="56"/>
      <c r="R286" s="56"/>
      <c r="S286" s="56"/>
      <c r="T286" s="56"/>
      <c r="U286" s="56"/>
      <c r="V286" s="56"/>
      <c r="W286" s="56"/>
      <c r="X286" s="56"/>
      <c r="Y286" s="56"/>
      <c r="Z286" s="56"/>
      <c r="AA286" s="56"/>
      <c r="AB286" s="56"/>
      <c r="AC286" s="56"/>
      <c r="AD286" s="56"/>
      <c r="AE286" s="56"/>
      <c r="AF286" s="56"/>
      <c r="AG286" s="56"/>
      <c r="AH286" s="56"/>
      <c r="AI286" s="58"/>
      <c r="AJ286" s="56"/>
      <c r="AK286" s="56"/>
      <c r="AL286" s="56"/>
      <c r="AM286" s="57"/>
      <c r="AN286" s="57"/>
      <c r="AO286" s="56"/>
      <c r="AP286" s="56"/>
      <c r="AQ286" s="57"/>
      <c r="AR286" s="57"/>
      <c r="AS286" s="57"/>
      <c r="AT286" s="67">
        <f t="shared" ca="1" si="28"/>
        <v>0</v>
      </c>
      <c r="AU286" s="79" t="str">
        <f t="shared" ca="1" si="29"/>
        <v/>
      </c>
      <c r="AV286" s="79" t="str" cm="1">
        <f t="array" aca="1" ref="AV286" ca="1">IFERROR(_xlfn.IFS($AU286="","",$AU286&lt;=15,"0-15",AND($AU286&gt;=16,$AU286&lt;=30),"16-30",AND($AU286&gt;=31,$AU286&lt;=45),"31-45",AND($AU286&gt;=46,$AU286&lt;=60),"46-60",AND($AU286&gt;=61,$AU286&lt;=90),"61-90",AND($AU286&gt;=91),"&gt; 90",AND($AU286&gt;=2000),""),"")</f>
        <v/>
      </c>
      <c r="AW286" s="79" t="str" cm="1">
        <f t="array" aca="1" ref="AW286" ca="1">IFERROR(_xlfn.IFS(OR($M286="",$AM286=""),"",OR($C286="Offered",$C286="Joined"),($AM286-$M286)-$AT286),"")</f>
        <v/>
      </c>
      <c r="AX286" s="79" t="str" cm="1">
        <f t="array" aca="1" ref="AX286" ca="1">IFERROR(_xlfn.IFS(OR($M286="",$AS286=""),"",$C286="Joined",($AS286-$M286)-$AT286),"")</f>
        <v/>
      </c>
      <c r="AY286" s="67" t="str">
        <f>IFERROR(IF(COUNTIFS('Candidate Tracker'!$E:$E,'Positions Tracker'!$B286,'Candidate Tracker'!$C:$C,"Offer Drop")=0,"",COUNTIFS('Candidate Tracker'!$E:$E,'Positions Tracker'!$B286,'Candidate Tracker'!$C:$C,"Offer Drop")),"")</f>
        <v/>
      </c>
      <c r="AZ286" s="80">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0.88111888111888115</v>
      </c>
      <c r="BA286" s="81" t="str">
        <f>IFERROR(IF(COUNTIFS('Candidate Tracker'!$E:$E,'Positions Tracker'!$B286,'Candidate Tracker'!$I:$I,"Female")=0,"",COUNTIFS('Candidate Tracker'!$E:$E,'Positions Tracker'!$B286,'Candidate Tracker'!$I:$I,"Female")),"")</f>
        <v/>
      </c>
      <c r="BB286" s="81" t="str">
        <f>IFERROR(IF(COUNTIFS('Candidate Tracker'!$E:$E,'Positions Tracker'!$B286,'Candidate Tracker'!$I:$I,"male")=0,"",COUNTIFS('Candidate Tracker'!$E:$E,'Positions Tracker'!$B286,'Candidate Tracker'!$I:$I,"male")),"")</f>
        <v/>
      </c>
      <c r="BC286" s="80" t="str">
        <f>IFERROR(IF(COUNTIFS('Candidate Tracker'!$E:$E,'Positions Tracker'!$B286,'Candidate Tracker'!$C:$C,"&lt;&gt;WIP",'Candidate Tracker'!$C:$C,"&lt;&gt;Hold",'Candidate Tracker'!$C:$C,"&lt;&gt;Cancelled",'Candidate Tracker'!$C:$C,"&lt;&gt;Closed")/COUNTIFS('Candidate Tracker'!$E:$E,'Positions Tracker'!$B286)=0,"",COUNTIFS('Candidate Tracker'!$E:$E,'Positions Tracker'!$B286,'Candidate Tracker'!$C:$C,"&lt;&gt;WIP",'Candidate Tracker'!$C:$C,"&lt;&gt;Hold",'Candidate Tracker'!$C:$C,"&lt;&gt;Cancelled",'Candidate Tracker'!$C:$C,"&lt;&gt;Closed")/COUNTIFS('Candidate Tracker'!$E:$E,'Positions Tracker'!$B286)),"")</f>
        <v/>
      </c>
      <c r="BD286" s="67" t="str">
        <f t="shared" si="24"/>
        <v/>
      </c>
      <c r="BE286" s="67" t="str">
        <f t="shared" si="25"/>
        <v/>
      </c>
      <c r="BF286" s="67" t="str">
        <f t="shared" si="26"/>
        <v/>
      </c>
      <c r="BG286" s="67" t="str">
        <f t="shared" si="27"/>
        <v/>
      </c>
    </row>
    <row r="287" spans="1:59">
      <c r="A287" s="55"/>
      <c r="B287" s="56"/>
      <c r="C287" s="56"/>
      <c r="D287" s="56"/>
      <c r="E287" s="56"/>
      <c r="F287" s="56"/>
      <c r="G287" s="56"/>
      <c r="H287" s="56"/>
      <c r="I287" s="6"/>
      <c r="J287" s="6"/>
      <c r="K287" s="57"/>
      <c r="L287" s="57"/>
      <c r="M287" s="57"/>
      <c r="N287" s="56"/>
      <c r="O287" s="56"/>
      <c r="P287" s="56"/>
      <c r="Q287" s="56"/>
      <c r="R287" s="56"/>
      <c r="S287" s="56"/>
      <c r="T287" s="56"/>
      <c r="U287" s="56"/>
      <c r="V287" s="56"/>
      <c r="W287" s="56"/>
      <c r="X287" s="56"/>
      <c r="Y287" s="56"/>
      <c r="Z287" s="56"/>
      <c r="AA287" s="56"/>
      <c r="AB287" s="56"/>
      <c r="AC287" s="56"/>
      <c r="AD287" s="56"/>
      <c r="AE287" s="56"/>
      <c r="AF287" s="56"/>
      <c r="AG287" s="56"/>
      <c r="AH287" s="56"/>
      <c r="AI287" s="58"/>
      <c r="AJ287" s="56"/>
      <c r="AK287" s="56"/>
      <c r="AL287" s="56"/>
      <c r="AM287" s="57"/>
      <c r="AN287" s="57"/>
      <c r="AO287" s="56"/>
      <c r="AP287" s="56"/>
      <c r="AQ287" s="57"/>
      <c r="AR287" s="57"/>
      <c r="AS287" s="57"/>
      <c r="AT287" s="67">
        <f t="shared" ca="1" si="28"/>
        <v>0</v>
      </c>
      <c r="AU287" s="79" t="str">
        <f t="shared" ca="1" si="29"/>
        <v/>
      </c>
      <c r="AV287" s="79" t="str" cm="1">
        <f t="array" aca="1" ref="AV287" ca="1">IFERROR(_xlfn.IFS($AU287="","",$AU287&lt;=15,"0-15",AND($AU287&gt;=16,$AU287&lt;=30),"16-30",AND($AU287&gt;=31,$AU287&lt;=45),"31-45",AND($AU287&gt;=46,$AU287&lt;=60),"46-60",AND($AU287&gt;=61,$AU287&lt;=90),"61-90",AND($AU287&gt;=91),"&gt; 90",AND($AU287&gt;=2000),""),"")</f>
        <v/>
      </c>
      <c r="AW287" s="79" t="str" cm="1">
        <f t="array" aca="1" ref="AW287" ca="1">IFERROR(_xlfn.IFS(OR($M287="",$AM287=""),"",OR($C287="Offered",$C287="Joined"),($AM287-$M287)-$AT287),"")</f>
        <v/>
      </c>
      <c r="AX287" s="79" t="str" cm="1">
        <f t="array" aca="1" ref="AX287" ca="1">IFERROR(_xlfn.IFS(OR($M287="",$AS287=""),"",$C287="Joined",($AS287-$M287)-$AT287),"")</f>
        <v/>
      </c>
      <c r="AY287" s="67" t="str">
        <f>IFERROR(IF(COUNTIFS('Candidate Tracker'!$E:$E,'Positions Tracker'!$B287,'Candidate Tracker'!$C:$C,"Offer Drop")=0,"",COUNTIFS('Candidate Tracker'!$E:$E,'Positions Tracker'!$B287,'Candidate Tracker'!$C:$C,"Offer Drop")),"")</f>
        <v/>
      </c>
      <c r="AZ287" s="80">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0.88111888111888115</v>
      </c>
      <c r="BA287" s="81" t="str">
        <f>IFERROR(IF(COUNTIFS('Candidate Tracker'!$E:$E,'Positions Tracker'!$B287,'Candidate Tracker'!$I:$I,"Female")=0,"",COUNTIFS('Candidate Tracker'!$E:$E,'Positions Tracker'!$B287,'Candidate Tracker'!$I:$I,"Female")),"")</f>
        <v/>
      </c>
      <c r="BB287" s="81" t="str">
        <f>IFERROR(IF(COUNTIFS('Candidate Tracker'!$E:$E,'Positions Tracker'!$B287,'Candidate Tracker'!$I:$I,"male")=0,"",COUNTIFS('Candidate Tracker'!$E:$E,'Positions Tracker'!$B287,'Candidate Tracker'!$I:$I,"male")),"")</f>
        <v/>
      </c>
      <c r="BC287" s="80" t="str">
        <f>IFERROR(IF(COUNTIFS('Candidate Tracker'!$E:$E,'Positions Tracker'!$B287,'Candidate Tracker'!$C:$C,"&lt;&gt;WIP",'Candidate Tracker'!$C:$C,"&lt;&gt;Hold",'Candidate Tracker'!$C:$C,"&lt;&gt;Cancelled",'Candidate Tracker'!$C:$C,"&lt;&gt;Closed")/COUNTIFS('Candidate Tracker'!$E:$E,'Positions Tracker'!$B287)=0,"",COUNTIFS('Candidate Tracker'!$E:$E,'Positions Tracker'!$B287,'Candidate Tracker'!$C:$C,"&lt;&gt;WIP",'Candidate Tracker'!$C:$C,"&lt;&gt;Hold",'Candidate Tracker'!$C:$C,"&lt;&gt;Cancelled",'Candidate Tracker'!$C:$C,"&lt;&gt;Closed")/COUNTIFS('Candidate Tracker'!$E:$E,'Positions Tracker'!$B287)),"")</f>
        <v/>
      </c>
      <c r="BD287" s="67" t="str">
        <f t="shared" si="24"/>
        <v/>
      </c>
      <c r="BE287" s="67" t="str">
        <f t="shared" si="25"/>
        <v/>
      </c>
      <c r="BF287" s="67" t="str">
        <f t="shared" si="26"/>
        <v/>
      </c>
      <c r="BG287" s="67" t="str">
        <f t="shared" si="27"/>
        <v/>
      </c>
    </row>
    <row r="288" spans="1:59">
      <c r="A288" s="55"/>
      <c r="B288" s="56"/>
      <c r="C288" s="56"/>
      <c r="D288" s="56"/>
      <c r="E288" s="56"/>
      <c r="F288" s="56"/>
      <c r="G288" s="56"/>
      <c r="H288" s="56"/>
      <c r="I288" s="6"/>
      <c r="J288" s="6"/>
      <c r="K288" s="57"/>
      <c r="L288" s="57"/>
      <c r="M288" s="57"/>
      <c r="N288" s="56"/>
      <c r="O288" s="56"/>
      <c r="P288" s="56"/>
      <c r="Q288" s="56"/>
      <c r="R288" s="56"/>
      <c r="S288" s="56"/>
      <c r="T288" s="56"/>
      <c r="U288" s="56"/>
      <c r="V288" s="56"/>
      <c r="W288" s="56"/>
      <c r="X288" s="56"/>
      <c r="Y288" s="56"/>
      <c r="Z288" s="56"/>
      <c r="AA288" s="56"/>
      <c r="AB288" s="56"/>
      <c r="AC288" s="56"/>
      <c r="AD288" s="56"/>
      <c r="AE288" s="56"/>
      <c r="AF288" s="56"/>
      <c r="AG288" s="56"/>
      <c r="AH288" s="56"/>
      <c r="AI288" s="58"/>
      <c r="AJ288" s="56"/>
      <c r="AK288" s="56"/>
      <c r="AL288" s="56"/>
      <c r="AM288" s="57"/>
      <c r="AN288" s="57"/>
      <c r="AO288" s="56"/>
      <c r="AP288" s="56"/>
      <c r="AQ288" s="57"/>
      <c r="AR288" s="57"/>
      <c r="AS288" s="57"/>
      <c r="AT288" s="67">
        <f t="shared" ca="1" si="28"/>
        <v>0</v>
      </c>
      <c r="AU288" s="79" t="str">
        <f t="shared" ca="1" si="29"/>
        <v/>
      </c>
      <c r="AV288" s="79" t="str" cm="1">
        <f t="array" aca="1" ref="AV288" ca="1">IFERROR(_xlfn.IFS($AU288="","",$AU288&lt;=15,"0-15",AND($AU288&gt;=16,$AU288&lt;=30),"16-30",AND($AU288&gt;=31,$AU288&lt;=45),"31-45",AND($AU288&gt;=46,$AU288&lt;=60),"46-60",AND($AU288&gt;=61,$AU288&lt;=90),"61-90",AND($AU288&gt;=91),"&gt; 90",AND($AU288&gt;=2000),""),"")</f>
        <v/>
      </c>
      <c r="AW288" s="79" t="str" cm="1">
        <f t="array" aca="1" ref="AW288" ca="1">IFERROR(_xlfn.IFS(OR($M288="",$AM288=""),"",OR($C288="Offered",$C288="Joined"),($AM288-$M288)-$AT288),"")</f>
        <v/>
      </c>
      <c r="AX288" s="79" t="str" cm="1">
        <f t="array" aca="1" ref="AX288" ca="1">IFERROR(_xlfn.IFS(OR($M288="",$AS288=""),"",$C288="Joined",($AS288-$M288)-$AT288),"")</f>
        <v/>
      </c>
      <c r="AY288" s="67" t="str">
        <f>IFERROR(IF(COUNTIFS('Candidate Tracker'!$E:$E,'Positions Tracker'!$B288,'Candidate Tracker'!$C:$C,"Offer Drop")=0,"",COUNTIFS('Candidate Tracker'!$E:$E,'Positions Tracker'!$B288,'Candidate Tracker'!$C:$C,"Offer Drop")),"")</f>
        <v/>
      </c>
      <c r="AZ288" s="80">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0.88111888111888115</v>
      </c>
      <c r="BA288" s="81" t="str">
        <f>IFERROR(IF(COUNTIFS('Candidate Tracker'!$E:$E,'Positions Tracker'!$B288,'Candidate Tracker'!$I:$I,"Female")=0,"",COUNTIFS('Candidate Tracker'!$E:$E,'Positions Tracker'!$B288,'Candidate Tracker'!$I:$I,"Female")),"")</f>
        <v/>
      </c>
      <c r="BB288" s="81" t="str">
        <f>IFERROR(IF(COUNTIFS('Candidate Tracker'!$E:$E,'Positions Tracker'!$B288,'Candidate Tracker'!$I:$I,"male")=0,"",COUNTIFS('Candidate Tracker'!$E:$E,'Positions Tracker'!$B288,'Candidate Tracker'!$I:$I,"male")),"")</f>
        <v/>
      </c>
      <c r="BC288" s="80" t="str">
        <f>IFERROR(IF(COUNTIFS('Candidate Tracker'!$E:$E,'Positions Tracker'!$B288,'Candidate Tracker'!$C:$C,"&lt;&gt;WIP",'Candidate Tracker'!$C:$C,"&lt;&gt;Hold",'Candidate Tracker'!$C:$C,"&lt;&gt;Cancelled",'Candidate Tracker'!$C:$C,"&lt;&gt;Closed")/COUNTIFS('Candidate Tracker'!$E:$E,'Positions Tracker'!$B288)=0,"",COUNTIFS('Candidate Tracker'!$E:$E,'Positions Tracker'!$B288,'Candidate Tracker'!$C:$C,"&lt;&gt;WIP",'Candidate Tracker'!$C:$C,"&lt;&gt;Hold",'Candidate Tracker'!$C:$C,"&lt;&gt;Cancelled",'Candidate Tracker'!$C:$C,"&lt;&gt;Closed")/COUNTIFS('Candidate Tracker'!$E:$E,'Positions Tracker'!$B288)),"")</f>
        <v/>
      </c>
      <c r="BD288" s="67" t="str">
        <f t="shared" si="24"/>
        <v/>
      </c>
      <c r="BE288" s="67" t="str">
        <f t="shared" si="25"/>
        <v/>
      </c>
      <c r="BF288" s="67" t="str">
        <f t="shared" si="26"/>
        <v/>
      </c>
      <c r="BG288" s="67" t="str">
        <f t="shared" si="27"/>
        <v/>
      </c>
    </row>
    <row r="289" spans="1:59">
      <c r="A289" s="55"/>
      <c r="B289" s="56"/>
      <c r="C289" s="56"/>
      <c r="D289" s="56"/>
      <c r="E289" s="56"/>
      <c r="F289" s="56"/>
      <c r="G289" s="56"/>
      <c r="H289" s="56"/>
      <c r="I289" s="6"/>
      <c r="J289" s="6"/>
      <c r="K289" s="57"/>
      <c r="L289" s="57"/>
      <c r="M289" s="57"/>
      <c r="N289" s="56"/>
      <c r="O289" s="56"/>
      <c r="P289" s="56"/>
      <c r="Q289" s="56"/>
      <c r="R289" s="56"/>
      <c r="S289" s="56"/>
      <c r="T289" s="56"/>
      <c r="U289" s="56"/>
      <c r="V289" s="56"/>
      <c r="W289" s="56"/>
      <c r="X289" s="56"/>
      <c r="Y289" s="56"/>
      <c r="Z289" s="56"/>
      <c r="AA289" s="56"/>
      <c r="AB289" s="56"/>
      <c r="AC289" s="56"/>
      <c r="AD289" s="56"/>
      <c r="AE289" s="56"/>
      <c r="AF289" s="56"/>
      <c r="AG289" s="56"/>
      <c r="AH289" s="56"/>
      <c r="AI289" s="58"/>
      <c r="AJ289" s="56"/>
      <c r="AK289" s="56"/>
      <c r="AL289" s="56"/>
      <c r="AM289" s="57"/>
      <c r="AN289" s="57"/>
      <c r="AO289" s="56"/>
      <c r="AP289" s="56"/>
      <c r="AQ289" s="57"/>
      <c r="AR289" s="57"/>
      <c r="AS289" s="57"/>
      <c r="AT289" s="67">
        <f t="shared" ca="1" si="28"/>
        <v>0</v>
      </c>
      <c r="AU289" s="79" t="str">
        <f t="shared" ca="1" si="29"/>
        <v/>
      </c>
      <c r="AV289" s="79" t="str" cm="1">
        <f t="array" aca="1" ref="AV289" ca="1">IFERROR(_xlfn.IFS($AU289="","",$AU289&lt;=15,"0-15",AND($AU289&gt;=16,$AU289&lt;=30),"16-30",AND($AU289&gt;=31,$AU289&lt;=45),"31-45",AND($AU289&gt;=46,$AU289&lt;=60),"46-60",AND($AU289&gt;=61,$AU289&lt;=90),"61-90",AND($AU289&gt;=91),"&gt; 90",AND($AU289&gt;=2000),""),"")</f>
        <v/>
      </c>
      <c r="AW289" s="79" t="str" cm="1">
        <f t="array" aca="1" ref="AW289" ca="1">IFERROR(_xlfn.IFS(OR($M289="",$AM289=""),"",OR($C289="Offered",$C289="Joined"),($AM289-$M289)-$AT289),"")</f>
        <v/>
      </c>
      <c r="AX289" s="79" t="str" cm="1">
        <f t="array" aca="1" ref="AX289" ca="1">IFERROR(_xlfn.IFS(OR($M289="",$AS289=""),"",$C289="Joined",($AS289-$M289)-$AT289),"")</f>
        <v/>
      </c>
      <c r="AY289" s="67" t="str">
        <f>IFERROR(IF(COUNTIFS('Candidate Tracker'!$E:$E,'Positions Tracker'!$B289,'Candidate Tracker'!$C:$C,"Offer Drop")=0,"",COUNTIFS('Candidate Tracker'!$E:$E,'Positions Tracker'!$B289,'Candidate Tracker'!$C:$C,"Offer Drop")),"")</f>
        <v/>
      </c>
      <c r="AZ289" s="80">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0.88111888111888115</v>
      </c>
      <c r="BA289" s="81" t="str">
        <f>IFERROR(IF(COUNTIFS('Candidate Tracker'!$E:$E,'Positions Tracker'!$B289,'Candidate Tracker'!$I:$I,"Female")=0,"",COUNTIFS('Candidate Tracker'!$E:$E,'Positions Tracker'!$B289,'Candidate Tracker'!$I:$I,"Female")),"")</f>
        <v/>
      </c>
      <c r="BB289" s="81" t="str">
        <f>IFERROR(IF(COUNTIFS('Candidate Tracker'!$E:$E,'Positions Tracker'!$B289,'Candidate Tracker'!$I:$I,"male")=0,"",COUNTIFS('Candidate Tracker'!$E:$E,'Positions Tracker'!$B289,'Candidate Tracker'!$I:$I,"male")),"")</f>
        <v/>
      </c>
      <c r="BC289" s="80" t="str">
        <f>IFERROR(IF(COUNTIFS('Candidate Tracker'!$E:$E,'Positions Tracker'!$B289,'Candidate Tracker'!$C:$C,"&lt;&gt;WIP",'Candidate Tracker'!$C:$C,"&lt;&gt;Hold",'Candidate Tracker'!$C:$C,"&lt;&gt;Cancelled",'Candidate Tracker'!$C:$C,"&lt;&gt;Closed")/COUNTIFS('Candidate Tracker'!$E:$E,'Positions Tracker'!$B289)=0,"",COUNTIFS('Candidate Tracker'!$E:$E,'Positions Tracker'!$B289,'Candidate Tracker'!$C:$C,"&lt;&gt;WIP",'Candidate Tracker'!$C:$C,"&lt;&gt;Hold",'Candidate Tracker'!$C:$C,"&lt;&gt;Cancelled",'Candidate Tracker'!$C:$C,"&lt;&gt;Closed")/COUNTIFS('Candidate Tracker'!$E:$E,'Positions Tracker'!$B289)),"")</f>
        <v/>
      </c>
      <c r="BD289" s="67" t="str">
        <f t="shared" si="24"/>
        <v/>
      </c>
      <c r="BE289" s="67" t="str">
        <f t="shared" si="25"/>
        <v/>
      </c>
      <c r="BF289" s="67" t="str">
        <f t="shared" si="26"/>
        <v/>
      </c>
      <c r="BG289" s="67" t="str">
        <f t="shared" si="27"/>
        <v/>
      </c>
    </row>
    <row r="290" spans="1:59">
      <c r="A290" s="55"/>
      <c r="B290" s="56"/>
      <c r="C290" s="56"/>
      <c r="D290" s="56"/>
      <c r="E290" s="56"/>
      <c r="F290" s="56"/>
      <c r="G290" s="56"/>
      <c r="H290" s="56"/>
      <c r="I290" s="6"/>
      <c r="J290" s="6"/>
      <c r="K290" s="57"/>
      <c r="L290" s="57"/>
      <c r="M290" s="57"/>
      <c r="N290" s="56"/>
      <c r="O290" s="56"/>
      <c r="P290" s="56"/>
      <c r="Q290" s="56"/>
      <c r="R290" s="56"/>
      <c r="S290" s="56"/>
      <c r="T290" s="56"/>
      <c r="U290" s="56"/>
      <c r="V290" s="56"/>
      <c r="W290" s="56"/>
      <c r="X290" s="56"/>
      <c r="Y290" s="56"/>
      <c r="Z290" s="56"/>
      <c r="AA290" s="56"/>
      <c r="AB290" s="56"/>
      <c r="AC290" s="56"/>
      <c r="AD290" s="56"/>
      <c r="AE290" s="56"/>
      <c r="AF290" s="56"/>
      <c r="AG290" s="56"/>
      <c r="AH290" s="56"/>
      <c r="AI290" s="58"/>
      <c r="AJ290" s="56"/>
      <c r="AK290" s="56"/>
      <c r="AL290" s="56"/>
      <c r="AM290" s="57"/>
      <c r="AN290" s="57"/>
      <c r="AO290" s="56"/>
      <c r="AP290" s="56"/>
      <c r="AQ290" s="57"/>
      <c r="AR290" s="57"/>
      <c r="AS290" s="57"/>
      <c r="AT290" s="67">
        <f t="shared" ca="1" si="28"/>
        <v>0</v>
      </c>
      <c r="AU290" s="79" t="str">
        <f t="shared" ca="1" si="29"/>
        <v/>
      </c>
      <c r="AV290" s="79" t="str" cm="1">
        <f t="array" aca="1" ref="AV290" ca="1">IFERROR(_xlfn.IFS($AU290="","",$AU290&lt;=15,"0-15",AND($AU290&gt;=16,$AU290&lt;=30),"16-30",AND($AU290&gt;=31,$AU290&lt;=45),"31-45",AND($AU290&gt;=46,$AU290&lt;=60),"46-60",AND($AU290&gt;=61,$AU290&lt;=90),"61-90",AND($AU290&gt;=91),"&gt; 90",AND($AU290&gt;=2000),""),"")</f>
        <v/>
      </c>
      <c r="AW290" s="79" t="str" cm="1">
        <f t="array" aca="1" ref="AW290" ca="1">IFERROR(_xlfn.IFS(OR($M290="",$AM290=""),"",OR($C290="Offered",$C290="Joined"),($AM290-$M290)-$AT290),"")</f>
        <v/>
      </c>
      <c r="AX290" s="79" t="str" cm="1">
        <f t="array" aca="1" ref="AX290" ca="1">IFERROR(_xlfn.IFS(OR($M290="",$AS290=""),"",$C290="Joined",($AS290-$M290)-$AT290),"")</f>
        <v/>
      </c>
      <c r="AY290" s="67" t="str">
        <f>IFERROR(IF(COUNTIFS('Candidate Tracker'!$E:$E,'Positions Tracker'!$B290,'Candidate Tracker'!$C:$C,"Offer Drop")=0,"",COUNTIFS('Candidate Tracker'!$E:$E,'Positions Tracker'!$B290,'Candidate Tracker'!$C:$C,"Offer Drop")),"")</f>
        <v/>
      </c>
      <c r="AZ290" s="80">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0.88111888111888115</v>
      </c>
      <c r="BA290" s="81" t="str">
        <f>IFERROR(IF(COUNTIFS('Candidate Tracker'!$E:$E,'Positions Tracker'!$B290,'Candidate Tracker'!$I:$I,"Female")=0,"",COUNTIFS('Candidate Tracker'!$E:$E,'Positions Tracker'!$B290,'Candidate Tracker'!$I:$I,"Female")),"")</f>
        <v/>
      </c>
      <c r="BB290" s="81" t="str">
        <f>IFERROR(IF(COUNTIFS('Candidate Tracker'!$E:$E,'Positions Tracker'!$B290,'Candidate Tracker'!$I:$I,"male")=0,"",COUNTIFS('Candidate Tracker'!$E:$E,'Positions Tracker'!$B290,'Candidate Tracker'!$I:$I,"male")),"")</f>
        <v/>
      </c>
      <c r="BC290" s="80" t="str">
        <f>IFERROR(IF(COUNTIFS('Candidate Tracker'!$E:$E,'Positions Tracker'!$B290,'Candidate Tracker'!$C:$C,"&lt;&gt;WIP",'Candidate Tracker'!$C:$C,"&lt;&gt;Hold",'Candidate Tracker'!$C:$C,"&lt;&gt;Cancelled",'Candidate Tracker'!$C:$C,"&lt;&gt;Closed")/COUNTIFS('Candidate Tracker'!$E:$E,'Positions Tracker'!$B290)=0,"",COUNTIFS('Candidate Tracker'!$E:$E,'Positions Tracker'!$B290,'Candidate Tracker'!$C:$C,"&lt;&gt;WIP",'Candidate Tracker'!$C:$C,"&lt;&gt;Hold",'Candidate Tracker'!$C:$C,"&lt;&gt;Cancelled",'Candidate Tracker'!$C:$C,"&lt;&gt;Closed")/COUNTIFS('Candidate Tracker'!$E:$E,'Positions Tracker'!$B290)),"")</f>
        <v/>
      </c>
      <c r="BD290" s="67" t="str">
        <f t="shared" si="24"/>
        <v/>
      </c>
      <c r="BE290" s="67" t="str">
        <f t="shared" si="25"/>
        <v/>
      </c>
      <c r="BF290" s="67" t="str">
        <f t="shared" si="26"/>
        <v/>
      </c>
      <c r="BG290" s="67" t="str">
        <f t="shared" si="27"/>
        <v/>
      </c>
    </row>
    <row r="291" spans="1:59">
      <c r="A291" s="55"/>
      <c r="B291" s="56"/>
      <c r="C291" s="56"/>
      <c r="D291" s="56"/>
      <c r="E291" s="56"/>
      <c r="F291" s="56"/>
      <c r="G291" s="56"/>
      <c r="H291" s="56"/>
      <c r="I291" s="6"/>
      <c r="J291" s="6"/>
      <c r="K291" s="57"/>
      <c r="L291" s="57"/>
      <c r="M291" s="57"/>
      <c r="N291" s="56"/>
      <c r="O291" s="56"/>
      <c r="P291" s="56"/>
      <c r="Q291" s="56"/>
      <c r="R291" s="56"/>
      <c r="S291" s="56"/>
      <c r="T291" s="56"/>
      <c r="U291" s="56"/>
      <c r="V291" s="56"/>
      <c r="W291" s="56"/>
      <c r="X291" s="56"/>
      <c r="Y291" s="56"/>
      <c r="Z291" s="56"/>
      <c r="AA291" s="56"/>
      <c r="AB291" s="56"/>
      <c r="AC291" s="56"/>
      <c r="AD291" s="56"/>
      <c r="AE291" s="56"/>
      <c r="AF291" s="56"/>
      <c r="AG291" s="56"/>
      <c r="AH291" s="56"/>
      <c r="AI291" s="58"/>
      <c r="AJ291" s="56"/>
      <c r="AK291" s="56"/>
      <c r="AL291" s="56"/>
      <c r="AM291" s="57"/>
      <c r="AN291" s="57"/>
      <c r="AO291" s="56"/>
      <c r="AP291" s="56"/>
      <c r="AQ291" s="57"/>
      <c r="AR291" s="57"/>
      <c r="AS291" s="57"/>
      <c r="AT291" s="67">
        <f t="shared" ca="1" si="28"/>
        <v>0</v>
      </c>
      <c r="AU291" s="79" t="str">
        <f t="shared" ca="1" si="29"/>
        <v/>
      </c>
      <c r="AV291" s="79" t="str" cm="1">
        <f t="array" aca="1" ref="AV291" ca="1">IFERROR(_xlfn.IFS($AU291="","",$AU291&lt;=15,"0-15",AND($AU291&gt;=16,$AU291&lt;=30),"16-30",AND($AU291&gt;=31,$AU291&lt;=45),"31-45",AND($AU291&gt;=46,$AU291&lt;=60),"46-60",AND($AU291&gt;=61,$AU291&lt;=90),"61-90",AND($AU291&gt;=91),"&gt; 90",AND($AU291&gt;=2000),""),"")</f>
        <v/>
      </c>
      <c r="AW291" s="79" t="str" cm="1">
        <f t="array" aca="1" ref="AW291" ca="1">IFERROR(_xlfn.IFS(OR($M291="",$AM291=""),"",OR($C291="Offered",$C291="Joined"),($AM291-$M291)-$AT291),"")</f>
        <v/>
      </c>
      <c r="AX291" s="79" t="str" cm="1">
        <f t="array" aca="1" ref="AX291" ca="1">IFERROR(_xlfn.IFS(OR($M291="",$AS291=""),"",$C291="Joined",($AS291-$M291)-$AT291),"")</f>
        <v/>
      </c>
      <c r="AY291" s="67" t="str">
        <f>IFERROR(IF(COUNTIFS('Candidate Tracker'!$E:$E,'Positions Tracker'!$B291,'Candidate Tracker'!$C:$C,"Offer Drop")=0,"",COUNTIFS('Candidate Tracker'!$E:$E,'Positions Tracker'!$B291,'Candidate Tracker'!$C:$C,"Offer Drop")),"")</f>
        <v/>
      </c>
      <c r="AZ291" s="80">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0.88111888111888115</v>
      </c>
      <c r="BA291" s="81" t="str">
        <f>IFERROR(IF(COUNTIFS('Candidate Tracker'!$E:$E,'Positions Tracker'!$B291,'Candidate Tracker'!$I:$I,"Female")=0,"",COUNTIFS('Candidate Tracker'!$E:$E,'Positions Tracker'!$B291,'Candidate Tracker'!$I:$I,"Female")),"")</f>
        <v/>
      </c>
      <c r="BB291" s="81" t="str">
        <f>IFERROR(IF(COUNTIFS('Candidate Tracker'!$E:$E,'Positions Tracker'!$B291,'Candidate Tracker'!$I:$I,"male")=0,"",COUNTIFS('Candidate Tracker'!$E:$E,'Positions Tracker'!$B291,'Candidate Tracker'!$I:$I,"male")),"")</f>
        <v/>
      </c>
      <c r="BC291" s="80" t="str">
        <f>IFERROR(IF(COUNTIFS('Candidate Tracker'!$E:$E,'Positions Tracker'!$B291,'Candidate Tracker'!$C:$C,"&lt;&gt;WIP",'Candidate Tracker'!$C:$C,"&lt;&gt;Hold",'Candidate Tracker'!$C:$C,"&lt;&gt;Cancelled",'Candidate Tracker'!$C:$C,"&lt;&gt;Closed")/COUNTIFS('Candidate Tracker'!$E:$E,'Positions Tracker'!$B291)=0,"",COUNTIFS('Candidate Tracker'!$E:$E,'Positions Tracker'!$B291,'Candidate Tracker'!$C:$C,"&lt;&gt;WIP",'Candidate Tracker'!$C:$C,"&lt;&gt;Hold",'Candidate Tracker'!$C:$C,"&lt;&gt;Cancelled",'Candidate Tracker'!$C:$C,"&lt;&gt;Closed")/COUNTIFS('Candidate Tracker'!$E:$E,'Positions Tracker'!$B291)),"")</f>
        <v/>
      </c>
      <c r="BD291" s="67" t="str">
        <f t="shared" si="24"/>
        <v/>
      </c>
      <c r="BE291" s="67" t="str">
        <f t="shared" si="25"/>
        <v/>
      </c>
      <c r="BF291" s="67" t="str">
        <f t="shared" si="26"/>
        <v/>
      </c>
      <c r="BG291" s="67" t="str">
        <f t="shared" si="27"/>
        <v/>
      </c>
    </row>
    <row r="292" spans="1:59">
      <c r="A292" s="55"/>
      <c r="B292" s="56"/>
      <c r="C292" s="56"/>
      <c r="D292" s="56"/>
      <c r="E292" s="56"/>
      <c r="F292" s="56"/>
      <c r="G292" s="56"/>
      <c r="H292" s="56"/>
      <c r="I292" s="6"/>
      <c r="J292" s="6"/>
      <c r="K292" s="57"/>
      <c r="L292" s="57"/>
      <c r="M292" s="57"/>
      <c r="N292" s="56"/>
      <c r="O292" s="56"/>
      <c r="P292" s="56"/>
      <c r="Q292" s="56"/>
      <c r="R292" s="56"/>
      <c r="S292" s="56"/>
      <c r="T292" s="56"/>
      <c r="U292" s="56"/>
      <c r="V292" s="56"/>
      <c r="W292" s="56"/>
      <c r="X292" s="56"/>
      <c r="Y292" s="56"/>
      <c r="Z292" s="56"/>
      <c r="AA292" s="56"/>
      <c r="AB292" s="56"/>
      <c r="AC292" s="56"/>
      <c r="AD292" s="56"/>
      <c r="AE292" s="56"/>
      <c r="AF292" s="56"/>
      <c r="AG292" s="56"/>
      <c r="AH292" s="56"/>
      <c r="AI292" s="58"/>
      <c r="AJ292" s="56"/>
      <c r="AK292" s="56"/>
      <c r="AL292" s="56"/>
      <c r="AM292" s="57"/>
      <c r="AN292" s="57"/>
      <c r="AO292" s="56"/>
      <c r="AP292" s="56"/>
      <c r="AQ292" s="57"/>
      <c r="AR292" s="57"/>
      <c r="AS292" s="57"/>
      <c r="AT292" s="67">
        <f t="shared" ca="1" si="28"/>
        <v>0</v>
      </c>
      <c r="AU292" s="79" t="str">
        <f t="shared" ca="1" si="29"/>
        <v/>
      </c>
      <c r="AV292" s="79" t="str" cm="1">
        <f t="array" aca="1" ref="AV292" ca="1">IFERROR(_xlfn.IFS($AU292="","",$AU292&lt;=15,"0-15",AND($AU292&gt;=16,$AU292&lt;=30),"16-30",AND($AU292&gt;=31,$AU292&lt;=45),"31-45",AND($AU292&gt;=46,$AU292&lt;=60),"46-60",AND($AU292&gt;=61,$AU292&lt;=90),"61-90",AND($AU292&gt;=91),"&gt; 90",AND($AU292&gt;=2000),""),"")</f>
        <v/>
      </c>
      <c r="AW292" s="79" t="str" cm="1">
        <f t="array" aca="1" ref="AW292" ca="1">IFERROR(_xlfn.IFS(OR($M292="",$AM292=""),"",OR($C292="Offered",$C292="Joined"),($AM292-$M292)-$AT292),"")</f>
        <v/>
      </c>
      <c r="AX292" s="79" t="str" cm="1">
        <f t="array" aca="1" ref="AX292" ca="1">IFERROR(_xlfn.IFS(OR($M292="",$AS292=""),"",$C292="Joined",($AS292-$M292)-$AT292),"")</f>
        <v/>
      </c>
      <c r="AY292" s="67" t="str">
        <f>IFERROR(IF(COUNTIFS('Candidate Tracker'!$E:$E,'Positions Tracker'!$B292,'Candidate Tracker'!$C:$C,"Offer Drop")=0,"",COUNTIFS('Candidate Tracker'!$E:$E,'Positions Tracker'!$B292,'Candidate Tracker'!$C:$C,"Offer Drop")),"")</f>
        <v/>
      </c>
      <c r="AZ292" s="80">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0.88111888111888115</v>
      </c>
      <c r="BA292" s="81" t="str">
        <f>IFERROR(IF(COUNTIFS('Candidate Tracker'!$E:$E,'Positions Tracker'!$B292,'Candidate Tracker'!$I:$I,"Female")=0,"",COUNTIFS('Candidate Tracker'!$E:$E,'Positions Tracker'!$B292,'Candidate Tracker'!$I:$I,"Female")),"")</f>
        <v/>
      </c>
      <c r="BB292" s="81" t="str">
        <f>IFERROR(IF(COUNTIFS('Candidate Tracker'!$E:$E,'Positions Tracker'!$B292,'Candidate Tracker'!$I:$I,"male")=0,"",COUNTIFS('Candidate Tracker'!$E:$E,'Positions Tracker'!$B292,'Candidate Tracker'!$I:$I,"male")),"")</f>
        <v/>
      </c>
      <c r="BC292" s="80" t="str">
        <f>IFERROR(IF(COUNTIFS('Candidate Tracker'!$E:$E,'Positions Tracker'!$B292,'Candidate Tracker'!$C:$C,"&lt;&gt;WIP",'Candidate Tracker'!$C:$C,"&lt;&gt;Hold",'Candidate Tracker'!$C:$C,"&lt;&gt;Cancelled",'Candidate Tracker'!$C:$C,"&lt;&gt;Closed")/COUNTIFS('Candidate Tracker'!$E:$E,'Positions Tracker'!$B292)=0,"",COUNTIFS('Candidate Tracker'!$E:$E,'Positions Tracker'!$B292,'Candidate Tracker'!$C:$C,"&lt;&gt;WIP",'Candidate Tracker'!$C:$C,"&lt;&gt;Hold",'Candidate Tracker'!$C:$C,"&lt;&gt;Cancelled",'Candidate Tracker'!$C:$C,"&lt;&gt;Closed")/COUNTIFS('Candidate Tracker'!$E:$E,'Positions Tracker'!$B292)),"")</f>
        <v/>
      </c>
      <c r="BD292" s="67" t="str">
        <f t="shared" si="24"/>
        <v/>
      </c>
      <c r="BE292" s="67" t="str">
        <f t="shared" si="25"/>
        <v/>
      </c>
      <c r="BF292" s="67" t="str">
        <f t="shared" si="26"/>
        <v/>
      </c>
      <c r="BG292" s="67" t="str">
        <f t="shared" si="27"/>
        <v/>
      </c>
    </row>
    <row r="293" spans="1:59">
      <c r="A293" s="55"/>
      <c r="B293" s="56"/>
      <c r="C293" s="56"/>
      <c r="D293" s="56"/>
      <c r="E293" s="56"/>
      <c r="F293" s="56"/>
      <c r="G293" s="56"/>
      <c r="H293" s="56"/>
      <c r="I293" s="6"/>
      <c r="J293" s="6"/>
      <c r="K293" s="57"/>
      <c r="L293" s="57"/>
      <c r="M293" s="57"/>
      <c r="N293" s="56"/>
      <c r="O293" s="56"/>
      <c r="P293" s="56"/>
      <c r="Q293" s="56"/>
      <c r="R293" s="56"/>
      <c r="S293" s="56"/>
      <c r="T293" s="56"/>
      <c r="U293" s="56"/>
      <c r="V293" s="56"/>
      <c r="W293" s="56"/>
      <c r="X293" s="56"/>
      <c r="Y293" s="56"/>
      <c r="Z293" s="56"/>
      <c r="AA293" s="56"/>
      <c r="AB293" s="56"/>
      <c r="AC293" s="56"/>
      <c r="AD293" s="56"/>
      <c r="AE293" s="56"/>
      <c r="AF293" s="56"/>
      <c r="AG293" s="56"/>
      <c r="AH293" s="56"/>
      <c r="AI293" s="58"/>
      <c r="AJ293" s="56"/>
      <c r="AK293" s="56"/>
      <c r="AL293" s="56"/>
      <c r="AM293" s="57"/>
      <c r="AN293" s="57"/>
      <c r="AO293" s="56"/>
      <c r="AP293" s="56"/>
      <c r="AQ293" s="57"/>
      <c r="AR293" s="57"/>
      <c r="AS293" s="57"/>
      <c r="AT293" s="67">
        <f t="shared" ca="1" si="28"/>
        <v>0</v>
      </c>
      <c r="AU293" s="79" t="str">
        <f t="shared" ca="1" si="29"/>
        <v/>
      </c>
      <c r="AV293" s="79" t="str" cm="1">
        <f t="array" aca="1" ref="AV293" ca="1">IFERROR(_xlfn.IFS($AU293="","",$AU293&lt;=15,"0-15",AND($AU293&gt;=16,$AU293&lt;=30),"16-30",AND($AU293&gt;=31,$AU293&lt;=45),"31-45",AND($AU293&gt;=46,$AU293&lt;=60),"46-60",AND($AU293&gt;=61,$AU293&lt;=90),"61-90",AND($AU293&gt;=91),"&gt; 90",AND($AU293&gt;=2000),""),"")</f>
        <v/>
      </c>
      <c r="AW293" s="79" t="str" cm="1">
        <f t="array" aca="1" ref="AW293" ca="1">IFERROR(_xlfn.IFS(OR($M293="",$AM293=""),"",OR($C293="Offered",$C293="Joined"),($AM293-$M293)-$AT293),"")</f>
        <v/>
      </c>
      <c r="AX293" s="79" t="str" cm="1">
        <f t="array" aca="1" ref="AX293" ca="1">IFERROR(_xlfn.IFS(OR($M293="",$AS293=""),"",$C293="Joined",($AS293-$M293)-$AT293),"")</f>
        <v/>
      </c>
      <c r="AY293" s="67" t="str">
        <f>IFERROR(IF(COUNTIFS('Candidate Tracker'!$E:$E,'Positions Tracker'!$B293,'Candidate Tracker'!$C:$C,"Offer Drop")=0,"",COUNTIFS('Candidate Tracker'!$E:$E,'Positions Tracker'!$B293,'Candidate Tracker'!$C:$C,"Offer Drop")),"")</f>
        <v/>
      </c>
      <c r="AZ293" s="80">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0.88111888111888115</v>
      </c>
      <c r="BA293" s="81" t="str">
        <f>IFERROR(IF(COUNTIFS('Candidate Tracker'!$E:$E,'Positions Tracker'!$B293,'Candidate Tracker'!$I:$I,"Female")=0,"",COUNTIFS('Candidate Tracker'!$E:$E,'Positions Tracker'!$B293,'Candidate Tracker'!$I:$I,"Female")),"")</f>
        <v/>
      </c>
      <c r="BB293" s="81" t="str">
        <f>IFERROR(IF(COUNTIFS('Candidate Tracker'!$E:$E,'Positions Tracker'!$B293,'Candidate Tracker'!$I:$I,"male")=0,"",COUNTIFS('Candidate Tracker'!$E:$E,'Positions Tracker'!$B293,'Candidate Tracker'!$I:$I,"male")),"")</f>
        <v/>
      </c>
      <c r="BC293" s="80" t="str">
        <f>IFERROR(IF(COUNTIFS('Candidate Tracker'!$E:$E,'Positions Tracker'!$B293,'Candidate Tracker'!$C:$C,"&lt;&gt;WIP",'Candidate Tracker'!$C:$C,"&lt;&gt;Hold",'Candidate Tracker'!$C:$C,"&lt;&gt;Cancelled",'Candidate Tracker'!$C:$C,"&lt;&gt;Closed")/COUNTIFS('Candidate Tracker'!$E:$E,'Positions Tracker'!$B293)=0,"",COUNTIFS('Candidate Tracker'!$E:$E,'Positions Tracker'!$B293,'Candidate Tracker'!$C:$C,"&lt;&gt;WIP",'Candidate Tracker'!$C:$C,"&lt;&gt;Hold",'Candidate Tracker'!$C:$C,"&lt;&gt;Cancelled",'Candidate Tracker'!$C:$C,"&lt;&gt;Closed")/COUNTIFS('Candidate Tracker'!$E:$E,'Positions Tracker'!$B293)),"")</f>
        <v/>
      </c>
      <c r="BD293" s="67" t="str">
        <f t="shared" si="24"/>
        <v/>
      </c>
      <c r="BE293" s="67" t="str">
        <f t="shared" si="25"/>
        <v/>
      </c>
      <c r="BF293" s="67" t="str">
        <f t="shared" si="26"/>
        <v/>
      </c>
      <c r="BG293" s="67" t="str">
        <f t="shared" si="27"/>
        <v/>
      </c>
    </row>
    <row r="294" spans="1:59">
      <c r="A294" s="55"/>
      <c r="B294" s="56"/>
      <c r="C294" s="56"/>
      <c r="D294" s="56"/>
      <c r="E294" s="56"/>
      <c r="F294" s="56"/>
      <c r="G294" s="56"/>
      <c r="H294" s="56"/>
      <c r="I294" s="6"/>
      <c r="J294" s="6"/>
      <c r="K294" s="57"/>
      <c r="L294" s="57"/>
      <c r="M294" s="57"/>
      <c r="N294" s="56"/>
      <c r="O294" s="56"/>
      <c r="P294" s="56"/>
      <c r="Q294" s="56"/>
      <c r="R294" s="56"/>
      <c r="S294" s="56"/>
      <c r="T294" s="56"/>
      <c r="U294" s="56"/>
      <c r="V294" s="56"/>
      <c r="W294" s="56"/>
      <c r="X294" s="56"/>
      <c r="Y294" s="56"/>
      <c r="Z294" s="56"/>
      <c r="AA294" s="56"/>
      <c r="AB294" s="56"/>
      <c r="AC294" s="56"/>
      <c r="AD294" s="56"/>
      <c r="AE294" s="56"/>
      <c r="AF294" s="56"/>
      <c r="AG294" s="56"/>
      <c r="AH294" s="56"/>
      <c r="AI294" s="58"/>
      <c r="AJ294" s="56"/>
      <c r="AK294" s="56"/>
      <c r="AL294" s="56"/>
      <c r="AM294" s="57"/>
      <c r="AN294" s="57"/>
      <c r="AO294" s="56"/>
      <c r="AP294" s="56"/>
      <c r="AQ294" s="57"/>
      <c r="AR294" s="57"/>
      <c r="AS294" s="57"/>
      <c r="AT294" s="67">
        <f t="shared" ca="1" si="28"/>
        <v>0</v>
      </c>
      <c r="AU294" s="79" t="str">
        <f t="shared" ca="1" si="29"/>
        <v/>
      </c>
      <c r="AV294" s="79" t="str" cm="1">
        <f t="array" aca="1" ref="AV294" ca="1">IFERROR(_xlfn.IFS($AU294="","",$AU294&lt;=15,"0-15",AND($AU294&gt;=16,$AU294&lt;=30),"16-30",AND($AU294&gt;=31,$AU294&lt;=45),"31-45",AND($AU294&gt;=46,$AU294&lt;=60),"46-60",AND($AU294&gt;=61,$AU294&lt;=90),"61-90",AND($AU294&gt;=91),"&gt; 90",AND($AU294&gt;=2000),""),"")</f>
        <v/>
      </c>
      <c r="AW294" s="79" t="str" cm="1">
        <f t="array" aca="1" ref="AW294" ca="1">IFERROR(_xlfn.IFS(OR($M294="",$AM294=""),"",OR($C294="Offered",$C294="Joined"),($AM294-$M294)-$AT294),"")</f>
        <v/>
      </c>
      <c r="AX294" s="79" t="str" cm="1">
        <f t="array" aca="1" ref="AX294" ca="1">IFERROR(_xlfn.IFS(OR($M294="",$AS294=""),"",$C294="Joined",($AS294-$M294)-$AT294),"")</f>
        <v/>
      </c>
      <c r="AY294" s="67" t="str">
        <f>IFERROR(IF(COUNTIFS('Candidate Tracker'!$E:$E,'Positions Tracker'!$B294,'Candidate Tracker'!$C:$C,"Offer Drop")=0,"",COUNTIFS('Candidate Tracker'!$E:$E,'Positions Tracker'!$B294,'Candidate Tracker'!$C:$C,"Offer Drop")),"")</f>
        <v/>
      </c>
      <c r="AZ294" s="80">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0.88111888111888115</v>
      </c>
      <c r="BA294" s="81" t="str">
        <f>IFERROR(IF(COUNTIFS('Candidate Tracker'!$E:$E,'Positions Tracker'!$B294,'Candidate Tracker'!$I:$I,"Female")=0,"",COUNTIFS('Candidate Tracker'!$E:$E,'Positions Tracker'!$B294,'Candidate Tracker'!$I:$I,"Female")),"")</f>
        <v/>
      </c>
      <c r="BB294" s="81" t="str">
        <f>IFERROR(IF(COUNTIFS('Candidate Tracker'!$E:$E,'Positions Tracker'!$B294,'Candidate Tracker'!$I:$I,"male")=0,"",COUNTIFS('Candidate Tracker'!$E:$E,'Positions Tracker'!$B294,'Candidate Tracker'!$I:$I,"male")),"")</f>
        <v/>
      </c>
      <c r="BC294" s="80" t="str">
        <f>IFERROR(IF(COUNTIFS('Candidate Tracker'!$E:$E,'Positions Tracker'!$B294,'Candidate Tracker'!$C:$C,"&lt;&gt;WIP",'Candidate Tracker'!$C:$C,"&lt;&gt;Hold",'Candidate Tracker'!$C:$C,"&lt;&gt;Cancelled",'Candidate Tracker'!$C:$C,"&lt;&gt;Closed")/COUNTIFS('Candidate Tracker'!$E:$E,'Positions Tracker'!$B294)=0,"",COUNTIFS('Candidate Tracker'!$E:$E,'Positions Tracker'!$B294,'Candidate Tracker'!$C:$C,"&lt;&gt;WIP",'Candidate Tracker'!$C:$C,"&lt;&gt;Hold",'Candidate Tracker'!$C:$C,"&lt;&gt;Cancelled",'Candidate Tracker'!$C:$C,"&lt;&gt;Closed")/COUNTIFS('Candidate Tracker'!$E:$E,'Positions Tracker'!$B294)),"")</f>
        <v/>
      </c>
      <c r="BD294" s="67" t="str">
        <f t="shared" si="24"/>
        <v/>
      </c>
      <c r="BE294" s="67" t="str">
        <f t="shared" si="25"/>
        <v/>
      </c>
      <c r="BF294" s="67" t="str">
        <f t="shared" si="26"/>
        <v/>
      </c>
      <c r="BG294" s="67" t="str">
        <f t="shared" si="27"/>
        <v/>
      </c>
    </row>
    <row r="295" spans="1:59">
      <c r="A295" s="55"/>
      <c r="B295" s="56"/>
      <c r="C295" s="56"/>
      <c r="D295" s="56"/>
      <c r="E295" s="56"/>
      <c r="F295" s="56"/>
      <c r="G295" s="56"/>
      <c r="H295" s="56"/>
      <c r="I295" s="6"/>
      <c r="J295" s="6"/>
      <c r="K295" s="57"/>
      <c r="L295" s="57"/>
      <c r="M295" s="57"/>
      <c r="N295" s="56"/>
      <c r="O295" s="56"/>
      <c r="P295" s="56"/>
      <c r="Q295" s="56"/>
      <c r="R295" s="56"/>
      <c r="S295" s="56"/>
      <c r="T295" s="56"/>
      <c r="U295" s="56"/>
      <c r="V295" s="56"/>
      <c r="W295" s="56"/>
      <c r="X295" s="56"/>
      <c r="Y295" s="56"/>
      <c r="Z295" s="56"/>
      <c r="AA295" s="56"/>
      <c r="AB295" s="56"/>
      <c r="AC295" s="56"/>
      <c r="AD295" s="56"/>
      <c r="AE295" s="56"/>
      <c r="AF295" s="56"/>
      <c r="AG295" s="56"/>
      <c r="AH295" s="56"/>
      <c r="AI295" s="58"/>
      <c r="AJ295" s="56"/>
      <c r="AK295" s="56"/>
      <c r="AL295" s="56"/>
      <c r="AM295" s="57"/>
      <c r="AN295" s="57"/>
      <c r="AO295" s="56"/>
      <c r="AP295" s="56"/>
      <c r="AQ295" s="57"/>
      <c r="AR295" s="57"/>
      <c r="AS295" s="57"/>
      <c r="AT295" s="67">
        <f t="shared" ca="1" si="28"/>
        <v>0</v>
      </c>
      <c r="AU295" s="79" t="str">
        <f t="shared" ca="1" si="29"/>
        <v/>
      </c>
      <c r="AV295" s="79" t="str" cm="1">
        <f t="array" aca="1" ref="AV295" ca="1">IFERROR(_xlfn.IFS($AU295="","",$AU295&lt;=15,"0-15",AND($AU295&gt;=16,$AU295&lt;=30),"16-30",AND($AU295&gt;=31,$AU295&lt;=45),"31-45",AND($AU295&gt;=46,$AU295&lt;=60),"46-60",AND($AU295&gt;=61,$AU295&lt;=90),"61-90",AND($AU295&gt;=91),"&gt; 90",AND($AU295&gt;=2000),""),"")</f>
        <v/>
      </c>
      <c r="AW295" s="79" t="str" cm="1">
        <f t="array" aca="1" ref="AW295" ca="1">IFERROR(_xlfn.IFS(OR($M295="",$AM295=""),"",OR($C295="Offered",$C295="Joined"),($AM295-$M295)-$AT295),"")</f>
        <v/>
      </c>
      <c r="AX295" s="79" t="str" cm="1">
        <f t="array" aca="1" ref="AX295" ca="1">IFERROR(_xlfn.IFS(OR($M295="",$AS295=""),"",$C295="Joined",($AS295-$M295)-$AT295),"")</f>
        <v/>
      </c>
      <c r="AY295" s="67" t="str">
        <f>IFERROR(IF(COUNTIFS('Candidate Tracker'!$E:$E,'Positions Tracker'!$B295,'Candidate Tracker'!$C:$C,"Offer Drop")=0,"",COUNTIFS('Candidate Tracker'!$E:$E,'Positions Tracker'!$B295,'Candidate Tracker'!$C:$C,"Offer Drop")),"")</f>
        <v/>
      </c>
      <c r="AZ295" s="80">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0.88111888111888115</v>
      </c>
      <c r="BA295" s="81" t="str">
        <f>IFERROR(IF(COUNTIFS('Candidate Tracker'!$E:$E,'Positions Tracker'!$B295,'Candidate Tracker'!$I:$I,"Female")=0,"",COUNTIFS('Candidate Tracker'!$E:$E,'Positions Tracker'!$B295,'Candidate Tracker'!$I:$I,"Female")),"")</f>
        <v/>
      </c>
      <c r="BB295" s="81" t="str">
        <f>IFERROR(IF(COUNTIFS('Candidate Tracker'!$E:$E,'Positions Tracker'!$B295,'Candidate Tracker'!$I:$I,"male")=0,"",COUNTIFS('Candidate Tracker'!$E:$E,'Positions Tracker'!$B295,'Candidate Tracker'!$I:$I,"male")),"")</f>
        <v/>
      </c>
      <c r="BC295" s="80" t="str">
        <f>IFERROR(IF(COUNTIFS('Candidate Tracker'!$E:$E,'Positions Tracker'!$B295,'Candidate Tracker'!$C:$C,"&lt;&gt;WIP",'Candidate Tracker'!$C:$C,"&lt;&gt;Hold",'Candidate Tracker'!$C:$C,"&lt;&gt;Cancelled",'Candidate Tracker'!$C:$C,"&lt;&gt;Closed")/COUNTIFS('Candidate Tracker'!$E:$E,'Positions Tracker'!$B295)=0,"",COUNTIFS('Candidate Tracker'!$E:$E,'Positions Tracker'!$B295,'Candidate Tracker'!$C:$C,"&lt;&gt;WIP",'Candidate Tracker'!$C:$C,"&lt;&gt;Hold",'Candidate Tracker'!$C:$C,"&lt;&gt;Cancelled",'Candidate Tracker'!$C:$C,"&lt;&gt;Closed")/COUNTIFS('Candidate Tracker'!$E:$E,'Positions Tracker'!$B295)),"")</f>
        <v/>
      </c>
      <c r="BD295" s="67" t="str">
        <f t="shared" si="24"/>
        <v/>
      </c>
      <c r="BE295" s="67" t="str">
        <f t="shared" si="25"/>
        <v/>
      </c>
      <c r="BF295" s="67" t="str">
        <f t="shared" si="26"/>
        <v/>
      </c>
      <c r="BG295" s="67" t="str">
        <f t="shared" si="27"/>
        <v/>
      </c>
    </row>
    <row r="296" spans="1:59">
      <c r="A296" s="55"/>
      <c r="B296" s="56"/>
      <c r="C296" s="56"/>
      <c r="D296" s="56"/>
      <c r="E296" s="56"/>
      <c r="F296" s="56"/>
      <c r="G296" s="56"/>
      <c r="H296" s="56"/>
      <c r="I296" s="6"/>
      <c r="J296" s="6"/>
      <c r="K296" s="57"/>
      <c r="L296" s="57"/>
      <c r="M296" s="57"/>
      <c r="N296" s="56"/>
      <c r="O296" s="56"/>
      <c r="P296" s="56"/>
      <c r="Q296" s="56"/>
      <c r="R296" s="56"/>
      <c r="S296" s="56"/>
      <c r="T296" s="56"/>
      <c r="U296" s="56"/>
      <c r="V296" s="56"/>
      <c r="W296" s="56"/>
      <c r="X296" s="56"/>
      <c r="Y296" s="56"/>
      <c r="Z296" s="56"/>
      <c r="AA296" s="56"/>
      <c r="AB296" s="56"/>
      <c r="AC296" s="56"/>
      <c r="AD296" s="56"/>
      <c r="AE296" s="56"/>
      <c r="AF296" s="56"/>
      <c r="AG296" s="56"/>
      <c r="AH296" s="56"/>
      <c r="AI296" s="58"/>
      <c r="AJ296" s="56"/>
      <c r="AK296" s="56"/>
      <c r="AL296" s="56"/>
      <c r="AM296" s="57"/>
      <c r="AN296" s="57"/>
      <c r="AO296" s="56"/>
      <c r="AP296" s="56"/>
      <c r="AQ296" s="57"/>
      <c r="AR296" s="57"/>
      <c r="AS296" s="57"/>
      <c r="AT296" s="67">
        <f t="shared" ca="1" si="28"/>
        <v>0</v>
      </c>
      <c r="AU296" s="79" t="str">
        <f t="shared" ca="1" si="29"/>
        <v/>
      </c>
      <c r="AV296" s="79" t="str" cm="1">
        <f t="array" aca="1" ref="AV296" ca="1">IFERROR(_xlfn.IFS($AU296="","",$AU296&lt;=15,"0-15",AND($AU296&gt;=16,$AU296&lt;=30),"16-30",AND($AU296&gt;=31,$AU296&lt;=45),"31-45",AND($AU296&gt;=46,$AU296&lt;=60),"46-60",AND($AU296&gt;=61,$AU296&lt;=90),"61-90",AND($AU296&gt;=91),"&gt; 90",AND($AU296&gt;=2000),""),"")</f>
        <v/>
      </c>
      <c r="AW296" s="79" t="str" cm="1">
        <f t="array" aca="1" ref="AW296" ca="1">IFERROR(_xlfn.IFS(OR($M296="",$AM296=""),"",OR($C296="Offered",$C296="Joined"),($AM296-$M296)-$AT296),"")</f>
        <v/>
      </c>
      <c r="AX296" s="79" t="str" cm="1">
        <f t="array" aca="1" ref="AX296" ca="1">IFERROR(_xlfn.IFS(OR($M296="",$AS296=""),"",$C296="Joined",($AS296-$M296)-$AT296),"")</f>
        <v/>
      </c>
      <c r="AY296" s="67" t="str">
        <f>IFERROR(IF(COUNTIFS('Candidate Tracker'!$E:$E,'Positions Tracker'!$B296,'Candidate Tracker'!$C:$C,"Offer Drop")=0,"",COUNTIFS('Candidate Tracker'!$E:$E,'Positions Tracker'!$B296,'Candidate Tracker'!$C:$C,"Offer Drop")),"")</f>
        <v/>
      </c>
      <c r="AZ296" s="80">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0.88111888111888115</v>
      </c>
      <c r="BA296" s="81" t="str">
        <f>IFERROR(IF(COUNTIFS('Candidate Tracker'!$E:$E,'Positions Tracker'!$B296,'Candidate Tracker'!$I:$I,"Female")=0,"",COUNTIFS('Candidate Tracker'!$E:$E,'Positions Tracker'!$B296,'Candidate Tracker'!$I:$I,"Female")),"")</f>
        <v/>
      </c>
      <c r="BB296" s="81" t="str">
        <f>IFERROR(IF(COUNTIFS('Candidate Tracker'!$E:$E,'Positions Tracker'!$B296,'Candidate Tracker'!$I:$I,"male")=0,"",COUNTIFS('Candidate Tracker'!$E:$E,'Positions Tracker'!$B296,'Candidate Tracker'!$I:$I,"male")),"")</f>
        <v/>
      </c>
      <c r="BC296" s="80" t="str">
        <f>IFERROR(IF(COUNTIFS('Candidate Tracker'!$E:$E,'Positions Tracker'!$B296,'Candidate Tracker'!$C:$C,"&lt;&gt;WIP",'Candidate Tracker'!$C:$C,"&lt;&gt;Hold",'Candidate Tracker'!$C:$C,"&lt;&gt;Cancelled",'Candidate Tracker'!$C:$C,"&lt;&gt;Closed")/COUNTIFS('Candidate Tracker'!$E:$E,'Positions Tracker'!$B296)=0,"",COUNTIFS('Candidate Tracker'!$E:$E,'Positions Tracker'!$B296,'Candidate Tracker'!$C:$C,"&lt;&gt;WIP",'Candidate Tracker'!$C:$C,"&lt;&gt;Hold",'Candidate Tracker'!$C:$C,"&lt;&gt;Cancelled",'Candidate Tracker'!$C:$C,"&lt;&gt;Closed")/COUNTIFS('Candidate Tracker'!$E:$E,'Positions Tracker'!$B296)),"")</f>
        <v/>
      </c>
      <c r="BD296" s="67" t="str">
        <f t="shared" si="24"/>
        <v/>
      </c>
      <c r="BE296" s="67" t="str">
        <f t="shared" si="25"/>
        <v/>
      </c>
      <c r="BF296" s="67" t="str">
        <f t="shared" si="26"/>
        <v/>
      </c>
      <c r="BG296" s="67" t="str">
        <f t="shared" si="27"/>
        <v/>
      </c>
    </row>
    <row r="297" spans="1:59">
      <c r="A297" s="55"/>
      <c r="B297" s="56"/>
      <c r="C297" s="56"/>
      <c r="D297" s="56"/>
      <c r="E297" s="56"/>
      <c r="F297" s="56"/>
      <c r="G297" s="56"/>
      <c r="H297" s="56"/>
      <c r="I297" s="6"/>
      <c r="J297" s="6"/>
      <c r="K297" s="57"/>
      <c r="L297" s="57"/>
      <c r="M297" s="57"/>
      <c r="N297" s="56"/>
      <c r="O297" s="56"/>
      <c r="P297" s="56"/>
      <c r="Q297" s="56"/>
      <c r="R297" s="56"/>
      <c r="S297" s="56"/>
      <c r="T297" s="56"/>
      <c r="U297" s="56"/>
      <c r="V297" s="56"/>
      <c r="W297" s="56"/>
      <c r="X297" s="56"/>
      <c r="Y297" s="56"/>
      <c r="Z297" s="56"/>
      <c r="AA297" s="56"/>
      <c r="AB297" s="56"/>
      <c r="AC297" s="56"/>
      <c r="AD297" s="56"/>
      <c r="AE297" s="56"/>
      <c r="AF297" s="56"/>
      <c r="AG297" s="56"/>
      <c r="AH297" s="56"/>
      <c r="AI297" s="58"/>
      <c r="AJ297" s="56"/>
      <c r="AK297" s="56"/>
      <c r="AL297" s="56"/>
      <c r="AM297" s="57"/>
      <c r="AN297" s="57"/>
      <c r="AO297" s="56"/>
      <c r="AP297" s="56"/>
      <c r="AQ297" s="57"/>
      <c r="AR297" s="57"/>
      <c r="AS297" s="57"/>
      <c r="AT297" s="67">
        <f t="shared" ca="1" si="28"/>
        <v>0</v>
      </c>
      <c r="AU297" s="79" t="str">
        <f t="shared" ca="1" si="29"/>
        <v/>
      </c>
      <c r="AV297" s="79" t="str" cm="1">
        <f t="array" aca="1" ref="AV297" ca="1">IFERROR(_xlfn.IFS($AU297="","",$AU297&lt;=15,"0-15",AND($AU297&gt;=16,$AU297&lt;=30),"16-30",AND($AU297&gt;=31,$AU297&lt;=45),"31-45",AND($AU297&gt;=46,$AU297&lt;=60),"46-60",AND($AU297&gt;=61,$AU297&lt;=90),"61-90",AND($AU297&gt;=91),"&gt; 90",AND($AU297&gt;=2000),""),"")</f>
        <v/>
      </c>
      <c r="AW297" s="79" t="str" cm="1">
        <f t="array" aca="1" ref="AW297" ca="1">IFERROR(_xlfn.IFS(OR($M297="",$AM297=""),"",OR($C297="Offered",$C297="Joined"),($AM297-$M297)-$AT297),"")</f>
        <v/>
      </c>
      <c r="AX297" s="79" t="str" cm="1">
        <f t="array" aca="1" ref="AX297" ca="1">IFERROR(_xlfn.IFS(OR($M297="",$AS297=""),"",$C297="Joined",($AS297-$M297)-$AT297),"")</f>
        <v/>
      </c>
      <c r="AY297" s="67" t="str">
        <f>IFERROR(IF(COUNTIFS('Candidate Tracker'!$E:$E,'Positions Tracker'!$B297,'Candidate Tracker'!$C:$C,"Offer Drop")=0,"",COUNTIFS('Candidate Tracker'!$E:$E,'Positions Tracker'!$B297,'Candidate Tracker'!$C:$C,"Offer Drop")),"")</f>
        <v/>
      </c>
      <c r="AZ297" s="80">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0.88111888111888115</v>
      </c>
      <c r="BA297" s="81" t="str">
        <f>IFERROR(IF(COUNTIFS('Candidate Tracker'!$E:$E,'Positions Tracker'!$B297,'Candidate Tracker'!$I:$I,"Female")=0,"",COUNTIFS('Candidate Tracker'!$E:$E,'Positions Tracker'!$B297,'Candidate Tracker'!$I:$I,"Female")),"")</f>
        <v/>
      </c>
      <c r="BB297" s="81" t="str">
        <f>IFERROR(IF(COUNTIFS('Candidate Tracker'!$E:$E,'Positions Tracker'!$B297,'Candidate Tracker'!$I:$I,"male")=0,"",COUNTIFS('Candidate Tracker'!$E:$E,'Positions Tracker'!$B297,'Candidate Tracker'!$I:$I,"male")),"")</f>
        <v/>
      </c>
      <c r="BC297" s="80" t="str">
        <f>IFERROR(IF(COUNTIFS('Candidate Tracker'!$E:$E,'Positions Tracker'!$B297,'Candidate Tracker'!$C:$C,"&lt;&gt;WIP",'Candidate Tracker'!$C:$C,"&lt;&gt;Hold",'Candidate Tracker'!$C:$C,"&lt;&gt;Cancelled",'Candidate Tracker'!$C:$C,"&lt;&gt;Closed")/COUNTIFS('Candidate Tracker'!$E:$E,'Positions Tracker'!$B297)=0,"",COUNTIFS('Candidate Tracker'!$E:$E,'Positions Tracker'!$B297,'Candidate Tracker'!$C:$C,"&lt;&gt;WIP",'Candidate Tracker'!$C:$C,"&lt;&gt;Hold",'Candidate Tracker'!$C:$C,"&lt;&gt;Cancelled",'Candidate Tracker'!$C:$C,"&lt;&gt;Closed")/COUNTIFS('Candidate Tracker'!$E:$E,'Positions Tracker'!$B297)),"")</f>
        <v/>
      </c>
      <c r="BD297" s="67" t="str">
        <f t="shared" si="24"/>
        <v/>
      </c>
      <c r="BE297" s="67" t="str">
        <f t="shared" si="25"/>
        <v/>
      </c>
      <c r="BF297" s="67" t="str">
        <f t="shared" si="26"/>
        <v/>
      </c>
      <c r="BG297" s="67" t="str">
        <f t="shared" si="27"/>
        <v/>
      </c>
    </row>
    <row r="298" spans="1:59">
      <c r="A298" s="55"/>
      <c r="B298" s="56"/>
      <c r="C298" s="56"/>
      <c r="D298" s="56"/>
      <c r="E298" s="56"/>
      <c r="F298" s="56"/>
      <c r="G298" s="56"/>
      <c r="H298" s="56"/>
      <c r="I298" s="6"/>
      <c r="J298" s="6"/>
      <c r="K298" s="57"/>
      <c r="L298" s="57"/>
      <c r="M298" s="57"/>
      <c r="N298" s="56"/>
      <c r="O298" s="56"/>
      <c r="P298" s="56"/>
      <c r="Q298" s="56"/>
      <c r="R298" s="56"/>
      <c r="S298" s="56"/>
      <c r="T298" s="56"/>
      <c r="U298" s="56"/>
      <c r="V298" s="56"/>
      <c r="W298" s="56"/>
      <c r="X298" s="56"/>
      <c r="Y298" s="56"/>
      <c r="Z298" s="56"/>
      <c r="AA298" s="56"/>
      <c r="AB298" s="56"/>
      <c r="AC298" s="56"/>
      <c r="AD298" s="56"/>
      <c r="AE298" s="56"/>
      <c r="AF298" s="56"/>
      <c r="AG298" s="56"/>
      <c r="AH298" s="56"/>
      <c r="AI298" s="58"/>
      <c r="AJ298" s="56"/>
      <c r="AK298" s="56"/>
      <c r="AL298" s="56"/>
      <c r="AM298" s="57"/>
      <c r="AN298" s="57"/>
      <c r="AO298" s="56"/>
      <c r="AP298" s="56"/>
      <c r="AQ298" s="57"/>
      <c r="AR298" s="57"/>
      <c r="AS298" s="57"/>
      <c r="AT298" s="67">
        <f t="shared" ca="1" si="28"/>
        <v>0</v>
      </c>
      <c r="AU298" s="79" t="str">
        <f t="shared" ca="1" si="29"/>
        <v/>
      </c>
      <c r="AV298" s="79" t="str" cm="1">
        <f t="array" aca="1" ref="AV298" ca="1">IFERROR(_xlfn.IFS($AU298="","",$AU298&lt;=15,"0-15",AND($AU298&gt;=16,$AU298&lt;=30),"16-30",AND($AU298&gt;=31,$AU298&lt;=45),"31-45",AND($AU298&gt;=46,$AU298&lt;=60),"46-60",AND($AU298&gt;=61,$AU298&lt;=90),"61-90",AND($AU298&gt;=91),"&gt; 90",AND($AU298&gt;=2000),""),"")</f>
        <v/>
      </c>
      <c r="AW298" s="79" t="str" cm="1">
        <f t="array" aca="1" ref="AW298" ca="1">IFERROR(_xlfn.IFS(OR($M298="",$AM298=""),"",OR($C298="Offered",$C298="Joined"),($AM298-$M298)-$AT298),"")</f>
        <v/>
      </c>
      <c r="AX298" s="79" t="str" cm="1">
        <f t="array" aca="1" ref="AX298" ca="1">IFERROR(_xlfn.IFS(OR($M298="",$AS298=""),"",$C298="Joined",($AS298-$M298)-$AT298),"")</f>
        <v/>
      </c>
      <c r="AY298" s="67" t="str">
        <f>IFERROR(IF(COUNTIFS('Candidate Tracker'!$E:$E,'Positions Tracker'!$B298,'Candidate Tracker'!$C:$C,"Offer Drop")=0,"",COUNTIFS('Candidate Tracker'!$E:$E,'Positions Tracker'!$B298,'Candidate Tracker'!$C:$C,"Offer Drop")),"")</f>
        <v/>
      </c>
      <c r="AZ298" s="80">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0.88111888111888115</v>
      </c>
      <c r="BA298" s="81" t="str">
        <f>IFERROR(IF(COUNTIFS('Candidate Tracker'!$E:$E,'Positions Tracker'!$B298,'Candidate Tracker'!$I:$I,"Female")=0,"",COUNTIFS('Candidate Tracker'!$E:$E,'Positions Tracker'!$B298,'Candidate Tracker'!$I:$I,"Female")),"")</f>
        <v/>
      </c>
      <c r="BB298" s="81" t="str">
        <f>IFERROR(IF(COUNTIFS('Candidate Tracker'!$E:$E,'Positions Tracker'!$B298,'Candidate Tracker'!$I:$I,"male")=0,"",COUNTIFS('Candidate Tracker'!$E:$E,'Positions Tracker'!$B298,'Candidate Tracker'!$I:$I,"male")),"")</f>
        <v/>
      </c>
      <c r="BC298" s="80" t="str">
        <f>IFERROR(IF(COUNTIFS('Candidate Tracker'!$E:$E,'Positions Tracker'!$B298,'Candidate Tracker'!$C:$C,"&lt;&gt;WIP",'Candidate Tracker'!$C:$C,"&lt;&gt;Hold",'Candidate Tracker'!$C:$C,"&lt;&gt;Cancelled",'Candidate Tracker'!$C:$C,"&lt;&gt;Closed")/COUNTIFS('Candidate Tracker'!$E:$E,'Positions Tracker'!$B298)=0,"",COUNTIFS('Candidate Tracker'!$E:$E,'Positions Tracker'!$B298,'Candidate Tracker'!$C:$C,"&lt;&gt;WIP",'Candidate Tracker'!$C:$C,"&lt;&gt;Hold",'Candidate Tracker'!$C:$C,"&lt;&gt;Cancelled",'Candidate Tracker'!$C:$C,"&lt;&gt;Closed")/COUNTIFS('Candidate Tracker'!$E:$E,'Positions Tracker'!$B298)),"")</f>
        <v/>
      </c>
      <c r="BD298" s="67" t="str">
        <f t="shared" si="24"/>
        <v/>
      </c>
      <c r="BE298" s="67" t="str">
        <f t="shared" si="25"/>
        <v/>
      </c>
      <c r="BF298" s="67" t="str">
        <f t="shared" si="26"/>
        <v/>
      </c>
      <c r="BG298" s="67" t="str">
        <f t="shared" si="27"/>
        <v/>
      </c>
    </row>
    <row r="299" spans="1:59">
      <c r="A299" s="55"/>
      <c r="B299" s="56"/>
      <c r="C299" s="56"/>
      <c r="D299" s="56"/>
      <c r="E299" s="56"/>
      <c r="F299" s="56"/>
      <c r="G299" s="56"/>
      <c r="H299" s="56"/>
      <c r="I299" s="6"/>
      <c r="J299" s="6"/>
      <c r="K299" s="57"/>
      <c r="L299" s="57"/>
      <c r="M299" s="57"/>
      <c r="N299" s="56"/>
      <c r="O299" s="56"/>
      <c r="P299" s="56"/>
      <c r="Q299" s="56"/>
      <c r="R299" s="56"/>
      <c r="S299" s="56"/>
      <c r="T299" s="56"/>
      <c r="U299" s="56"/>
      <c r="V299" s="56"/>
      <c r="W299" s="56"/>
      <c r="X299" s="56"/>
      <c r="Y299" s="56"/>
      <c r="Z299" s="56"/>
      <c r="AA299" s="56"/>
      <c r="AB299" s="56"/>
      <c r="AC299" s="56"/>
      <c r="AD299" s="56"/>
      <c r="AE299" s="56"/>
      <c r="AF299" s="56"/>
      <c r="AG299" s="56"/>
      <c r="AH299" s="56"/>
      <c r="AI299" s="58"/>
      <c r="AJ299" s="56"/>
      <c r="AK299" s="56"/>
      <c r="AL299" s="56"/>
      <c r="AM299" s="57"/>
      <c r="AN299" s="57"/>
      <c r="AO299" s="56"/>
      <c r="AP299" s="56"/>
      <c r="AQ299" s="57"/>
      <c r="AR299" s="57"/>
      <c r="AS299" s="57"/>
      <c r="AT299" s="67">
        <f t="shared" ca="1" si="28"/>
        <v>0</v>
      </c>
      <c r="AU299" s="79" t="str">
        <f t="shared" ca="1" si="29"/>
        <v/>
      </c>
      <c r="AV299" s="79" t="str" cm="1">
        <f t="array" aca="1" ref="AV299" ca="1">IFERROR(_xlfn.IFS($AU299="","",$AU299&lt;=15,"0-15",AND($AU299&gt;=16,$AU299&lt;=30),"16-30",AND($AU299&gt;=31,$AU299&lt;=45),"31-45",AND($AU299&gt;=46,$AU299&lt;=60),"46-60",AND($AU299&gt;=61,$AU299&lt;=90),"61-90",AND($AU299&gt;=91),"&gt; 90",AND($AU299&gt;=2000),""),"")</f>
        <v/>
      </c>
      <c r="AW299" s="79" t="str" cm="1">
        <f t="array" aca="1" ref="AW299" ca="1">IFERROR(_xlfn.IFS(OR($M299="",$AM299=""),"",OR($C299="Offered",$C299="Joined"),($AM299-$M299)-$AT299),"")</f>
        <v/>
      </c>
      <c r="AX299" s="79" t="str" cm="1">
        <f t="array" aca="1" ref="AX299" ca="1">IFERROR(_xlfn.IFS(OR($M299="",$AS299=""),"",$C299="Joined",($AS299-$M299)-$AT299),"")</f>
        <v/>
      </c>
      <c r="AY299" s="67" t="str">
        <f>IFERROR(IF(COUNTIFS('Candidate Tracker'!$E:$E,'Positions Tracker'!$B299,'Candidate Tracker'!$C:$C,"Offer Drop")=0,"",COUNTIFS('Candidate Tracker'!$E:$E,'Positions Tracker'!$B299,'Candidate Tracker'!$C:$C,"Offer Drop")),"")</f>
        <v/>
      </c>
      <c r="AZ299" s="80">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0.88111888111888115</v>
      </c>
      <c r="BA299" s="81" t="str">
        <f>IFERROR(IF(COUNTIFS('Candidate Tracker'!$E:$E,'Positions Tracker'!$B299,'Candidate Tracker'!$I:$I,"Female")=0,"",COUNTIFS('Candidate Tracker'!$E:$E,'Positions Tracker'!$B299,'Candidate Tracker'!$I:$I,"Female")),"")</f>
        <v/>
      </c>
      <c r="BB299" s="81" t="str">
        <f>IFERROR(IF(COUNTIFS('Candidate Tracker'!$E:$E,'Positions Tracker'!$B299,'Candidate Tracker'!$I:$I,"male")=0,"",COUNTIFS('Candidate Tracker'!$E:$E,'Positions Tracker'!$B299,'Candidate Tracker'!$I:$I,"male")),"")</f>
        <v/>
      </c>
      <c r="BC299" s="80" t="str">
        <f>IFERROR(IF(COUNTIFS('Candidate Tracker'!$E:$E,'Positions Tracker'!$B299,'Candidate Tracker'!$C:$C,"&lt;&gt;WIP",'Candidate Tracker'!$C:$C,"&lt;&gt;Hold",'Candidate Tracker'!$C:$C,"&lt;&gt;Cancelled",'Candidate Tracker'!$C:$C,"&lt;&gt;Closed")/COUNTIFS('Candidate Tracker'!$E:$E,'Positions Tracker'!$B299)=0,"",COUNTIFS('Candidate Tracker'!$E:$E,'Positions Tracker'!$B299,'Candidate Tracker'!$C:$C,"&lt;&gt;WIP",'Candidate Tracker'!$C:$C,"&lt;&gt;Hold",'Candidate Tracker'!$C:$C,"&lt;&gt;Cancelled",'Candidate Tracker'!$C:$C,"&lt;&gt;Closed")/COUNTIFS('Candidate Tracker'!$E:$E,'Positions Tracker'!$B299)),"")</f>
        <v/>
      </c>
      <c r="BD299" s="67" t="str">
        <f t="shared" si="24"/>
        <v/>
      </c>
      <c r="BE299" s="67" t="str">
        <f t="shared" si="25"/>
        <v/>
      </c>
      <c r="BF299" s="67" t="str">
        <f t="shared" si="26"/>
        <v/>
      </c>
      <c r="BG299" s="67" t="str">
        <f t="shared" si="27"/>
        <v/>
      </c>
    </row>
    <row r="300" spans="1:59">
      <c r="A300" s="55"/>
      <c r="B300" s="56"/>
      <c r="C300" s="56"/>
      <c r="D300" s="56"/>
      <c r="E300" s="56"/>
      <c r="F300" s="56"/>
      <c r="G300" s="56"/>
      <c r="H300" s="56"/>
      <c r="I300" s="6"/>
      <c r="J300" s="6"/>
      <c r="K300" s="57"/>
      <c r="L300" s="57"/>
      <c r="M300" s="57"/>
      <c r="N300" s="56"/>
      <c r="O300" s="56"/>
      <c r="P300" s="56"/>
      <c r="Q300" s="56"/>
      <c r="R300" s="56"/>
      <c r="S300" s="56"/>
      <c r="T300" s="56"/>
      <c r="U300" s="56"/>
      <c r="V300" s="56"/>
      <c r="W300" s="56"/>
      <c r="X300" s="56"/>
      <c r="Y300" s="56"/>
      <c r="Z300" s="56"/>
      <c r="AA300" s="56"/>
      <c r="AB300" s="56"/>
      <c r="AC300" s="56"/>
      <c r="AD300" s="56"/>
      <c r="AE300" s="56"/>
      <c r="AF300" s="56"/>
      <c r="AG300" s="56"/>
      <c r="AH300" s="56"/>
      <c r="AI300" s="58"/>
      <c r="AJ300" s="56"/>
      <c r="AK300" s="56"/>
      <c r="AL300" s="56"/>
      <c r="AM300" s="57"/>
      <c r="AN300" s="57"/>
      <c r="AO300" s="56"/>
      <c r="AP300" s="56"/>
      <c r="AQ300" s="57"/>
      <c r="AR300" s="57"/>
      <c r="AS300" s="57"/>
      <c r="AT300" s="67">
        <f t="shared" ca="1" si="28"/>
        <v>0</v>
      </c>
      <c r="AU300" s="79" t="str">
        <f t="shared" ca="1" si="29"/>
        <v/>
      </c>
      <c r="AV300" s="79" t="str" cm="1">
        <f t="array" aca="1" ref="AV300" ca="1">IFERROR(_xlfn.IFS($AU300="","",$AU300&lt;=15,"0-15",AND($AU300&gt;=16,$AU300&lt;=30),"16-30",AND($AU300&gt;=31,$AU300&lt;=45),"31-45",AND($AU300&gt;=46,$AU300&lt;=60),"46-60",AND($AU300&gt;=61,$AU300&lt;=90),"61-90",AND($AU300&gt;=91),"&gt; 90",AND($AU300&gt;=2000),""),"")</f>
        <v/>
      </c>
      <c r="AW300" s="79" t="str" cm="1">
        <f t="array" aca="1" ref="AW300" ca="1">IFERROR(_xlfn.IFS(OR($M300="",$AM300=""),"",OR($C300="Offered",$C300="Joined"),($AM300-$M300)-$AT300),"")</f>
        <v/>
      </c>
      <c r="AX300" s="79" t="str" cm="1">
        <f t="array" aca="1" ref="AX300" ca="1">IFERROR(_xlfn.IFS(OR($M300="",$AS300=""),"",$C300="Joined",($AS300-$M300)-$AT300),"")</f>
        <v/>
      </c>
      <c r="AY300" s="67" t="str">
        <f>IFERROR(IF(COUNTIFS('Candidate Tracker'!$E:$E,'Positions Tracker'!$B300,'Candidate Tracker'!$C:$C,"Offer Drop")=0,"",COUNTIFS('Candidate Tracker'!$E:$E,'Positions Tracker'!$B300,'Candidate Tracker'!$C:$C,"Offer Drop")),"")</f>
        <v/>
      </c>
      <c r="AZ300" s="80">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0.88111888111888115</v>
      </c>
      <c r="BA300" s="81" t="str">
        <f>IFERROR(IF(COUNTIFS('Candidate Tracker'!$E:$E,'Positions Tracker'!$B300,'Candidate Tracker'!$I:$I,"Female")=0,"",COUNTIFS('Candidate Tracker'!$E:$E,'Positions Tracker'!$B300,'Candidate Tracker'!$I:$I,"Female")),"")</f>
        <v/>
      </c>
      <c r="BB300" s="81" t="str">
        <f>IFERROR(IF(COUNTIFS('Candidate Tracker'!$E:$E,'Positions Tracker'!$B300,'Candidate Tracker'!$I:$I,"male")=0,"",COUNTIFS('Candidate Tracker'!$E:$E,'Positions Tracker'!$B300,'Candidate Tracker'!$I:$I,"male")),"")</f>
        <v/>
      </c>
      <c r="BC300" s="80" t="str">
        <f>IFERROR(IF(COUNTIFS('Candidate Tracker'!$E:$E,'Positions Tracker'!$B300,'Candidate Tracker'!$C:$C,"&lt;&gt;WIP",'Candidate Tracker'!$C:$C,"&lt;&gt;Hold",'Candidate Tracker'!$C:$C,"&lt;&gt;Cancelled",'Candidate Tracker'!$C:$C,"&lt;&gt;Closed")/COUNTIFS('Candidate Tracker'!$E:$E,'Positions Tracker'!$B300)=0,"",COUNTIFS('Candidate Tracker'!$E:$E,'Positions Tracker'!$B300,'Candidate Tracker'!$C:$C,"&lt;&gt;WIP",'Candidate Tracker'!$C:$C,"&lt;&gt;Hold",'Candidate Tracker'!$C:$C,"&lt;&gt;Cancelled",'Candidate Tracker'!$C:$C,"&lt;&gt;Closed")/COUNTIFS('Candidate Tracker'!$E:$E,'Positions Tracker'!$B300)),"")</f>
        <v/>
      </c>
      <c r="BD300" s="67" t="str">
        <f t="shared" si="24"/>
        <v/>
      </c>
      <c r="BE300" s="67" t="str">
        <f t="shared" si="25"/>
        <v/>
      </c>
      <c r="BF300" s="67" t="str">
        <f t="shared" si="26"/>
        <v/>
      </c>
      <c r="BG300" s="67" t="str">
        <f t="shared" si="27"/>
        <v/>
      </c>
    </row>
    <row r="301" spans="1:59">
      <c r="A301" s="55"/>
      <c r="B301" s="56"/>
      <c r="C301" s="56"/>
      <c r="D301" s="56"/>
      <c r="E301" s="56"/>
      <c r="F301" s="56"/>
      <c r="G301" s="56"/>
      <c r="H301" s="56"/>
      <c r="I301" s="6"/>
      <c r="J301" s="6"/>
      <c r="K301" s="57"/>
      <c r="L301" s="57"/>
      <c r="M301" s="57"/>
      <c r="N301" s="56"/>
      <c r="O301" s="56"/>
      <c r="P301" s="56"/>
      <c r="Q301" s="56"/>
      <c r="R301" s="56"/>
      <c r="S301" s="56"/>
      <c r="T301" s="56"/>
      <c r="U301" s="56"/>
      <c r="V301" s="56"/>
      <c r="W301" s="56"/>
      <c r="X301" s="56"/>
      <c r="Y301" s="56"/>
      <c r="Z301" s="56"/>
      <c r="AA301" s="56"/>
      <c r="AB301" s="56"/>
      <c r="AC301" s="56"/>
      <c r="AD301" s="56"/>
      <c r="AE301" s="56"/>
      <c r="AF301" s="56"/>
      <c r="AG301" s="56"/>
      <c r="AH301" s="56"/>
      <c r="AI301" s="58"/>
      <c r="AJ301" s="56"/>
      <c r="AK301" s="56"/>
      <c r="AL301" s="56"/>
      <c r="AM301" s="57"/>
      <c r="AN301" s="57"/>
      <c r="AO301" s="56"/>
      <c r="AP301" s="56"/>
      <c r="AQ301" s="57"/>
      <c r="AR301" s="57"/>
      <c r="AS301" s="57"/>
      <c r="AT301" s="67">
        <f t="shared" ca="1" si="28"/>
        <v>0</v>
      </c>
      <c r="AU301" s="79" t="str">
        <f t="shared" ca="1" si="29"/>
        <v/>
      </c>
      <c r="AV301" s="79" t="str" cm="1">
        <f t="array" aca="1" ref="AV301" ca="1">IFERROR(_xlfn.IFS($AU301="","",$AU301&lt;=15,"0-15",AND($AU301&gt;=16,$AU301&lt;=30),"16-30",AND($AU301&gt;=31,$AU301&lt;=45),"31-45",AND($AU301&gt;=46,$AU301&lt;=60),"46-60",AND($AU301&gt;=61,$AU301&lt;=90),"61-90",AND($AU301&gt;=91),"&gt; 90",AND($AU301&gt;=2000),""),"")</f>
        <v/>
      </c>
      <c r="AW301" s="79" t="str" cm="1">
        <f t="array" aca="1" ref="AW301" ca="1">IFERROR(_xlfn.IFS(OR($M301="",$AM301=""),"",OR($C301="Offered",$C301="Joined"),($AM301-$M301)-$AT301),"")</f>
        <v/>
      </c>
      <c r="AX301" s="79" t="str" cm="1">
        <f t="array" aca="1" ref="AX301" ca="1">IFERROR(_xlfn.IFS(OR($M301="",$AS301=""),"",$C301="Joined",($AS301-$M301)-$AT301),"")</f>
        <v/>
      </c>
      <c r="AY301" s="67" t="str">
        <f>IFERROR(IF(COUNTIFS('Candidate Tracker'!$E:$E,'Positions Tracker'!$B301,'Candidate Tracker'!$C:$C,"Offer Drop")=0,"",COUNTIFS('Candidate Tracker'!$E:$E,'Positions Tracker'!$B301,'Candidate Tracker'!$C:$C,"Offer Drop")),"")</f>
        <v/>
      </c>
      <c r="AZ301" s="80">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0.88111888111888115</v>
      </c>
      <c r="BA301" s="81" t="str">
        <f>IFERROR(IF(COUNTIFS('Candidate Tracker'!$E:$E,'Positions Tracker'!$B301,'Candidate Tracker'!$I:$I,"Female")=0,"",COUNTIFS('Candidate Tracker'!$E:$E,'Positions Tracker'!$B301,'Candidate Tracker'!$I:$I,"Female")),"")</f>
        <v/>
      </c>
      <c r="BB301" s="81" t="str">
        <f>IFERROR(IF(COUNTIFS('Candidate Tracker'!$E:$E,'Positions Tracker'!$B301,'Candidate Tracker'!$I:$I,"male")=0,"",COUNTIFS('Candidate Tracker'!$E:$E,'Positions Tracker'!$B301,'Candidate Tracker'!$I:$I,"male")),"")</f>
        <v/>
      </c>
      <c r="BC301" s="80" t="str">
        <f>IFERROR(IF(COUNTIFS('Candidate Tracker'!$E:$E,'Positions Tracker'!$B301,'Candidate Tracker'!$C:$C,"&lt;&gt;WIP",'Candidate Tracker'!$C:$C,"&lt;&gt;Hold",'Candidate Tracker'!$C:$C,"&lt;&gt;Cancelled",'Candidate Tracker'!$C:$C,"&lt;&gt;Closed")/COUNTIFS('Candidate Tracker'!$E:$E,'Positions Tracker'!$B301)=0,"",COUNTIFS('Candidate Tracker'!$E:$E,'Positions Tracker'!$B301,'Candidate Tracker'!$C:$C,"&lt;&gt;WIP",'Candidate Tracker'!$C:$C,"&lt;&gt;Hold",'Candidate Tracker'!$C:$C,"&lt;&gt;Cancelled",'Candidate Tracker'!$C:$C,"&lt;&gt;Closed")/COUNTIFS('Candidate Tracker'!$E:$E,'Positions Tracker'!$B301)),"")</f>
        <v/>
      </c>
      <c r="BD301" s="67" t="str">
        <f t="shared" si="24"/>
        <v/>
      </c>
      <c r="BE301" s="67" t="str">
        <f t="shared" si="25"/>
        <v/>
      </c>
      <c r="BF301" s="67" t="str">
        <f t="shared" si="26"/>
        <v/>
      </c>
      <c r="BG301" s="67" t="str">
        <f t="shared" si="27"/>
        <v/>
      </c>
    </row>
    <row r="302" spans="1:59">
      <c r="A302" s="55"/>
      <c r="B302" s="56"/>
      <c r="C302" s="56"/>
      <c r="D302" s="56"/>
      <c r="E302" s="56"/>
      <c r="F302" s="56"/>
      <c r="G302" s="56"/>
      <c r="H302" s="56"/>
      <c r="I302" s="6"/>
      <c r="J302" s="6"/>
      <c r="K302" s="57"/>
      <c r="L302" s="57"/>
      <c r="M302" s="57"/>
      <c r="N302" s="56"/>
      <c r="O302" s="56"/>
      <c r="P302" s="56"/>
      <c r="Q302" s="56"/>
      <c r="R302" s="56"/>
      <c r="S302" s="56"/>
      <c r="T302" s="56"/>
      <c r="U302" s="56"/>
      <c r="V302" s="56"/>
      <c r="W302" s="56"/>
      <c r="X302" s="56"/>
      <c r="Y302" s="56"/>
      <c r="Z302" s="56"/>
      <c r="AA302" s="56"/>
      <c r="AB302" s="56"/>
      <c r="AC302" s="56"/>
      <c r="AD302" s="56"/>
      <c r="AE302" s="56"/>
      <c r="AF302" s="56"/>
      <c r="AG302" s="56"/>
      <c r="AH302" s="56"/>
      <c r="AI302" s="58"/>
      <c r="AJ302" s="56"/>
      <c r="AK302" s="56"/>
      <c r="AL302" s="56"/>
      <c r="AM302" s="57"/>
      <c r="AN302" s="57"/>
      <c r="AO302" s="56"/>
      <c r="AP302" s="56"/>
      <c r="AQ302" s="57"/>
      <c r="AR302" s="57"/>
      <c r="AS302" s="57"/>
      <c r="AT302" s="67">
        <f t="shared" ca="1" si="28"/>
        <v>0</v>
      </c>
      <c r="AU302" s="79" t="str">
        <f t="shared" ca="1" si="29"/>
        <v/>
      </c>
      <c r="AV302" s="79" t="str" cm="1">
        <f t="array" aca="1" ref="AV302" ca="1">IFERROR(_xlfn.IFS($AU302="","",$AU302&lt;=15,"0-15",AND($AU302&gt;=16,$AU302&lt;=30),"16-30",AND($AU302&gt;=31,$AU302&lt;=45),"31-45",AND($AU302&gt;=46,$AU302&lt;=60),"46-60",AND($AU302&gt;=61,$AU302&lt;=90),"61-90",AND($AU302&gt;=91),"&gt; 90",AND($AU302&gt;=2000),""),"")</f>
        <v/>
      </c>
      <c r="AW302" s="79" t="str" cm="1">
        <f t="array" aca="1" ref="AW302" ca="1">IFERROR(_xlfn.IFS(OR($M302="",$AM302=""),"",OR($C302="Offered",$C302="Joined"),($AM302-$M302)-$AT302),"")</f>
        <v/>
      </c>
      <c r="AX302" s="79" t="str" cm="1">
        <f t="array" aca="1" ref="AX302" ca="1">IFERROR(_xlfn.IFS(OR($M302="",$AS302=""),"",$C302="Joined",($AS302-$M302)-$AT302),"")</f>
        <v/>
      </c>
      <c r="AY302" s="67" t="str">
        <f>IFERROR(IF(COUNTIFS('Candidate Tracker'!$E:$E,'Positions Tracker'!$B302,'Candidate Tracker'!$C:$C,"Offer Drop")=0,"",COUNTIFS('Candidate Tracker'!$E:$E,'Positions Tracker'!$B302,'Candidate Tracker'!$C:$C,"Offer Drop")),"")</f>
        <v/>
      </c>
      <c r="AZ302" s="80">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0.88111888111888115</v>
      </c>
      <c r="BA302" s="81" t="str">
        <f>IFERROR(IF(COUNTIFS('Candidate Tracker'!$E:$E,'Positions Tracker'!$B302,'Candidate Tracker'!$I:$I,"Female")=0,"",COUNTIFS('Candidate Tracker'!$E:$E,'Positions Tracker'!$B302,'Candidate Tracker'!$I:$I,"Female")),"")</f>
        <v/>
      </c>
      <c r="BB302" s="81" t="str">
        <f>IFERROR(IF(COUNTIFS('Candidate Tracker'!$E:$E,'Positions Tracker'!$B302,'Candidate Tracker'!$I:$I,"male")=0,"",COUNTIFS('Candidate Tracker'!$E:$E,'Positions Tracker'!$B302,'Candidate Tracker'!$I:$I,"male")),"")</f>
        <v/>
      </c>
      <c r="BC302" s="80" t="str">
        <f>IFERROR(IF(COUNTIFS('Candidate Tracker'!$E:$E,'Positions Tracker'!$B302,'Candidate Tracker'!$C:$C,"&lt;&gt;WIP",'Candidate Tracker'!$C:$C,"&lt;&gt;Hold",'Candidate Tracker'!$C:$C,"&lt;&gt;Cancelled",'Candidate Tracker'!$C:$C,"&lt;&gt;Closed")/COUNTIFS('Candidate Tracker'!$E:$E,'Positions Tracker'!$B302)=0,"",COUNTIFS('Candidate Tracker'!$E:$E,'Positions Tracker'!$B302,'Candidate Tracker'!$C:$C,"&lt;&gt;WIP",'Candidate Tracker'!$C:$C,"&lt;&gt;Hold",'Candidate Tracker'!$C:$C,"&lt;&gt;Cancelled",'Candidate Tracker'!$C:$C,"&lt;&gt;Closed")/COUNTIFS('Candidate Tracker'!$E:$E,'Positions Tracker'!$B302)),"")</f>
        <v/>
      </c>
      <c r="BD302" s="67" t="str">
        <f t="shared" si="24"/>
        <v/>
      </c>
      <c r="BE302" s="67" t="str">
        <f t="shared" si="25"/>
        <v/>
      </c>
      <c r="BF302" s="67" t="str">
        <f t="shared" si="26"/>
        <v/>
      </c>
      <c r="BG302" s="67" t="str">
        <f t="shared" si="27"/>
        <v/>
      </c>
    </row>
    <row r="303" spans="1:59">
      <c r="A303" s="55"/>
      <c r="B303" s="56"/>
      <c r="C303" s="56"/>
      <c r="D303" s="56"/>
      <c r="E303" s="56"/>
      <c r="F303" s="56"/>
      <c r="G303" s="56"/>
      <c r="H303" s="56"/>
      <c r="I303" s="6"/>
      <c r="J303" s="6"/>
      <c r="K303" s="57"/>
      <c r="L303" s="57"/>
      <c r="M303" s="57"/>
      <c r="N303" s="56"/>
      <c r="O303" s="56"/>
      <c r="P303" s="56"/>
      <c r="Q303" s="56"/>
      <c r="R303" s="56"/>
      <c r="S303" s="56"/>
      <c r="T303" s="56"/>
      <c r="U303" s="56"/>
      <c r="V303" s="56"/>
      <c r="W303" s="56"/>
      <c r="X303" s="56"/>
      <c r="Y303" s="56"/>
      <c r="Z303" s="56"/>
      <c r="AA303" s="56"/>
      <c r="AB303" s="56"/>
      <c r="AC303" s="56"/>
      <c r="AD303" s="56"/>
      <c r="AE303" s="56"/>
      <c r="AF303" s="56"/>
      <c r="AG303" s="56"/>
      <c r="AH303" s="56"/>
      <c r="AI303" s="58"/>
      <c r="AJ303" s="56"/>
      <c r="AK303" s="56"/>
      <c r="AL303" s="56"/>
      <c r="AM303" s="57"/>
      <c r="AN303" s="57"/>
      <c r="AO303" s="56"/>
      <c r="AP303" s="56"/>
      <c r="AQ303" s="57"/>
      <c r="AR303" s="57"/>
      <c r="AS303" s="57"/>
      <c r="AT303" s="67">
        <f t="shared" ca="1" si="28"/>
        <v>0</v>
      </c>
      <c r="AU303" s="79" t="str">
        <f t="shared" ca="1" si="29"/>
        <v/>
      </c>
      <c r="AV303" s="79" t="str" cm="1">
        <f t="array" aca="1" ref="AV303" ca="1">IFERROR(_xlfn.IFS($AU303="","",$AU303&lt;=15,"0-15",AND($AU303&gt;=16,$AU303&lt;=30),"16-30",AND($AU303&gt;=31,$AU303&lt;=45),"31-45",AND($AU303&gt;=46,$AU303&lt;=60),"46-60",AND($AU303&gt;=61,$AU303&lt;=90),"61-90",AND($AU303&gt;=91),"&gt; 90",AND($AU303&gt;=2000),""),"")</f>
        <v/>
      </c>
      <c r="AW303" s="79" t="str" cm="1">
        <f t="array" aca="1" ref="AW303" ca="1">IFERROR(_xlfn.IFS(OR($M303="",$AM303=""),"",OR($C303="Offered",$C303="Joined"),($AM303-$M303)-$AT303),"")</f>
        <v/>
      </c>
      <c r="AX303" s="79" t="str" cm="1">
        <f t="array" aca="1" ref="AX303" ca="1">IFERROR(_xlfn.IFS(OR($M303="",$AS303=""),"",$C303="Joined",($AS303-$M303)-$AT303),"")</f>
        <v/>
      </c>
      <c r="AY303" s="67" t="str">
        <f>IFERROR(IF(COUNTIFS('Candidate Tracker'!$E:$E,'Positions Tracker'!$B303,'Candidate Tracker'!$C:$C,"Offer Drop")=0,"",COUNTIFS('Candidate Tracker'!$E:$E,'Positions Tracker'!$B303,'Candidate Tracker'!$C:$C,"Offer Drop")),"")</f>
        <v/>
      </c>
      <c r="AZ303" s="80">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0.88111888111888115</v>
      </c>
      <c r="BA303" s="81" t="str">
        <f>IFERROR(IF(COUNTIFS('Candidate Tracker'!$E:$E,'Positions Tracker'!$B303,'Candidate Tracker'!$I:$I,"Female")=0,"",COUNTIFS('Candidate Tracker'!$E:$E,'Positions Tracker'!$B303,'Candidate Tracker'!$I:$I,"Female")),"")</f>
        <v/>
      </c>
      <c r="BB303" s="81" t="str">
        <f>IFERROR(IF(COUNTIFS('Candidate Tracker'!$E:$E,'Positions Tracker'!$B303,'Candidate Tracker'!$I:$I,"male")=0,"",COUNTIFS('Candidate Tracker'!$E:$E,'Positions Tracker'!$B303,'Candidate Tracker'!$I:$I,"male")),"")</f>
        <v/>
      </c>
      <c r="BC303" s="80" t="str">
        <f>IFERROR(IF(COUNTIFS('Candidate Tracker'!$E:$E,'Positions Tracker'!$B303,'Candidate Tracker'!$C:$C,"&lt;&gt;WIP",'Candidate Tracker'!$C:$C,"&lt;&gt;Hold",'Candidate Tracker'!$C:$C,"&lt;&gt;Cancelled",'Candidate Tracker'!$C:$C,"&lt;&gt;Closed")/COUNTIFS('Candidate Tracker'!$E:$E,'Positions Tracker'!$B303)=0,"",COUNTIFS('Candidate Tracker'!$E:$E,'Positions Tracker'!$B303,'Candidate Tracker'!$C:$C,"&lt;&gt;WIP",'Candidate Tracker'!$C:$C,"&lt;&gt;Hold",'Candidate Tracker'!$C:$C,"&lt;&gt;Cancelled",'Candidate Tracker'!$C:$C,"&lt;&gt;Closed")/COUNTIFS('Candidate Tracker'!$E:$E,'Positions Tracker'!$B303)),"")</f>
        <v/>
      </c>
      <c r="BD303" s="67" t="str">
        <f t="shared" si="24"/>
        <v/>
      </c>
      <c r="BE303" s="67" t="str">
        <f t="shared" si="25"/>
        <v/>
      </c>
      <c r="BF303" s="67" t="str">
        <f t="shared" si="26"/>
        <v/>
      </c>
      <c r="BG303" s="67" t="str">
        <f t="shared" si="27"/>
        <v/>
      </c>
    </row>
    <row r="304" spans="1:59">
      <c r="A304" s="55"/>
      <c r="B304" s="56"/>
      <c r="C304" s="56"/>
      <c r="D304" s="56"/>
      <c r="E304" s="56"/>
      <c r="F304" s="56"/>
      <c r="G304" s="56"/>
      <c r="H304" s="56"/>
      <c r="I304" s="6"/>
      <c r="J304" s="6"/>
      <c r="K304" s="57"/>
      <c r="L304" s="57"/>
      <c r="M304" s="57"/>
      <c r="N304" s="56"/>
      <c r="O304" s="56"/>
      <c r="P304" s="56"/>
      <c r="Q304" s="56"/>
      <c r="R304" s="56"/>
      <c r="S304" s="56"/>
      <c r="T304" s="56"/>
      <c r="U304" s="56"/>
      <c r="V304" s="56"/>
      <c r="W304" s="56"/>
      <c r="X304" s="56"/>
      <c r="Y304" s="56"/>
      <c r="Z304" s="56"/>
      <c r="AA304" s="56"/>
      <c r="AB304" s="56"/>
      <c r="AC304" s="56"/>
      <c r="AD304" s="56"/>
      <c r="AE304" s="56"/>
      <c r="AF304" s="56"/>
      <c r="AG304" s="56"/>
      <c r="AH304" s="56"/>
      <c r="AI304" s="58"/>
      <c r="AJ304" s="56"/>
      <c r="AK304" s="56"/>
      <c r="AL304" s="56"/>
      <c r="AM304" s="57"/>
      <c r="AN304" s="57"/>
      <c r="AO304" s="56"/>
      <c r="AP304" s="56"/>
      <c r="AQ304" s="57"/>
      <c r="AR304" s="57"/>
      <c r="AS304" s="57"/>
      <c r="AT304" s="67">
        <f t="shared" ca="1" si="28"/>
        <v>0</v>
      </c>
      <c r="AU304" s="79" t="str">
        <f t="shared" ca="1" si="29"/>
        <v/>
      </c>
      <c r="AV304" s="79" t="str" cm="1">
        <f t="array" aca="1" ref="AV304" ca="1">IFERROR(_xlfn.IFS($AU304="","",$AU304&lt;=15,"0-15",AND($AU304&gt;=16,$AU304&lt;=30),"16-30",AND($AU304&gt;=31,$AU304&lt;=45),"31-45",AND($AU304&gt;=46,$AU304&lt;=60),"46-60",AND($AU304&gt;=61,$AU304&lt;=90),"61-90",AND($AU304&gt;=91),"&gt; 90",AND($AU304&gt;=2000),""),"")</f>
        <v/>
      </c>
      <c r="AW304" s="79" t="str" cm="1">
        <f t="array" aca="1" ref="AW304" ca="1">IFERROR(_xlfn.IFS(OR($M304="",$AM304=""),"",OR($C304="Offered",$C304="Joined"),($AM304-$M304)-$AT304),"")</f>
        <v/>
      </c>
      <c r="AX304" s="79" t="str" cm="1">
        <f t="array" aca="1" ref="AX304" ca="1">IFERROR(_xlfn.IFS(OR($M304="",$AS304=""),"",$C304="Joined",($AS304-$M304)-$AT304),"")</f>
        <v/>
      </c>
      <c r="AY304" s="67" t="str">
        <f>IFERROR(IF(COUNTIFS('Candidate Tracker'!$E:$E,'Positions Tracker'!$B304,'Candidate Tracker'!$C:$C,"Offer Drop")=0,"",COUNTIFS('Candidate Tracker'!$E:$E,'Positions Tracker'!$B304,'Candidate Tracker'!$C:$C,"Offer Drop")),"")</f>
        <v/>
      </c>
      <c r="AZ304" s="80">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0.88111888111888115</v>
      </c>
      <c r="BA304" s="81" t="str">
        <f>IFERROR(IF(COUNTIFS('Candidate Tracker'!$E:$E,'Positions Tracker'!$B304,'Candidate Tracker'!$I:$I,"Female")=0,"",COUNTIFS('Candidate Tracker'!$E:$E,'Positions Tracker'!$B304,'Candidate Tracker'!$I:$I,"Female")),"")</f>
        <v/>
      </c>
      <c r="BB304" s="81" t="str">
        <f>IFERROR(IF(COUNTIFS('Candidate Tracker'!$E:$E,'Positions Tracker'!$B304,'Candidate Tracker'!$I:$I,"male")=0,"",COUNTIFS('Candidate Tracker'!$E:$E,'Positions Tracker'!$B304,'Candidate Tracker'!$I:$I,"male")),"")</f>
        <v/>
      </c>
      <c r="BC304" s="80" t="str">
        <f>IFERROR(IF(COUNTIFS('Candidate Tracker'!$E:$E,'Positions Tracker'!$B304,'Candidate Tracker'!$C:$C,"&lt;&gt;WIP",'Candidate Tracker'!$C:$C,"&lt;&gt;Hold",'Candidate Tracker'!$C:$C,"&lt;&gt;Cancelled",'Candidate Tracker'!$C:$C,"&lt;&gt;Closed")/COUNTIFS('Candidate Tracker'!$E:$E,'Positions Tracker'!$B304)=0,"",COUNTIFS('Candidate Tracker'!$E:$E,'Positions Tracker'!$B304,'Candidate Tracker'!$C:$C,"&lt;&gt;WIP",'Candidate Tracker'!$C:$C,"&lt;&gt;Hold",'Candidate Tracker'!$C:$C,"&lt;&gt;Cancelled",'Candidate Tracker'!$C:$C,"&lt;&gt;Closed")/COUNTIFS('Candidate Tracker'!$E:$E,'Positions Tracker'!$B304)),"")</f>
        <v/>
      </c>
      <c r="BD304" s="67" t="str">
        <f t="shared" si="24"/>
        <v/>
      </c>
      <c r="BE304" s="67" t="str">
        <f t="shared" si="25"/>
        <v/>
      </c>
      <c r="BF304" s="67" t="str">
        <f t="shared" si="26"/>
        <v/>
      </c>
      <c r="BG304" s="67" t="str">
        <f t="shared" si="27"/>
        <v/>
      </c>
    </row>
    <row r="305" spans="1:59">
      <c r="A305" s="55"/>
      <c r="B305" s="56"/>
      <c r="C305" s="56"/>
      <c r="D305" s="56"/>
      <c r="E305" s="56"/>
      <c r="F305" s="56"/>
      <c r="G305" s="56"/>
      <c r="H305" s="56"/>
      <c r="I305" s="6"/>
      <c r="J305" s="6"/>
      <c r="K305" s="57"/>
      <c r="L305" s="57"/>
      <c r="M305" s="57"/>
      <c r="N305" s="56"/>
      <c r="O305" s="56"/>
      <c r="P305" s="56"/>
      <c r="Q305" s="56"/>
      <c r="R305" s="56"/>
      <c r="S305" s="56"/>
      <c r="T305" s="56"/>
      <c r="U305" s="56"/>
      <c r="V305" s="56"/>
      <c r="W305" s="56"/>
      <c r="X305" s="56"/>
      <c r="Y305" s="56"/>
      <c r="Z305" s="56"/>
      <c r="AA305" s="56"/>
      <c r="AB305" s="56"/>
      <c r="AC305" s="56"/>
      <c r="AD305" s="56"/>
      <c r="AE305" s="56"/>
      <c r="AF305" s="56"/>
      <c r="AG305" s="56"/>
      <c r="AH305" s="56"/>
      <c r="AI305" s="58"/>
      <c r="AJ305" s="56"/>
      <c r="AK305" s="56"/>
      <c r="AL305" s="56"/>
      <c r="AM305" s="57"/>
      <c r="AN305" s="57"/>
      <c r="AO305" s="56"/>
      <c r="AP305" s="56"/>
      <c r="AQ305" s="57"/>
      <c r="AR305" s="57"/>
      <c r="AS305" s="57"/>
      <c r="AT305" s="67">
        <f t="shared" ca="1" si="28"/>
        <v>0</v>
      </c>
      <c r="AU305" s="79" t="str">
        <f t="shared" ca="1" si="29"/>
        <v/>
      </c>
      <c r="AV305" s="79" t="str" cm="1">
        <f t="array" aca="1" ref="AV305" ca="1">IFERROR(_xlfn.IFS($AU305="","",$AU305&lt;=15,"0-15",AND($AU305&gt;=16,$AU305&lt;=30),"16-30",AND($AU305&gt;=31,$AU305&lt;=45),"31-45",AND($AU305&gt;=46,$AU305&lt;=60),"46-60",AND($AU305&gt;=61,$AU305&lt;=90),"61-90",AND($AU305&gt;=91),"&gt; 90",AND($AU305&gt;=2000),""),"")</f>
        <v/>
      </c>
      <c r="AW305" s="79" t="str" cm="1">
        <f t="array" aca="1" ref="AW305" ca="1">IFERROR(_xlfn.IFS(OR($M305="",$AM305=""),"",OR($C305="Offered",$C305="Joined"),($AM305-$M305)-$AT305),"")</f>
        <v/>
      </c>
      <c r="AX305" s="79" t="str" cm="1">
        <f t="array" aca="1" ref="AX305" ca="1">IFERROR(_xlfn.IFS(OR($M305="",$AS305=""),"",$C305="Joined",($AS305-$M305)-$AT305),"")</f>
        <v/>
      </c>
      <c r="AY305" s="67" t="str">
        <f>IFERROR(IF(COUNTIFS('Candidate Tracker'!$E:$E,'Positions Tracker'!$B305,'Candidate Tracker'!$C:$C,"Offer Drop")=0,"",COUNTIFS('Candidate Tracker'!$E:$E,'Positions Tracker'!$B305,'Candidate Tracker'!$C:$C,"Offer Drop")),"")</f>
        <v/>
      </c>
      <c r="AZ305" s="80">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0.88111888111888115</v>
      </c>
      <c r="BA305" s="81" t="str">
        <f>IFERROR(IF(COUNTIFS('Candidate Tracker'!$E:$E,'Positions Tracker'!$B305,'Candidate Tracker'!$I:$I,"Female")=0,"",COUNTIFS('Candidate Tracker'!$E:$E,'Positions Tracker'!$B305,'Candidate Tracker'!$I:$I,"Female")),"")</f>
        <v/>
      </c>
      <c r="BB305" s="81" t="str">
        <f>IFERROR(IF(COUNTIFS('Candidate Tracker'!$E:$E,'Positions Tracker'!$B305,'Candidate Tracker'!$I:$I,"male")=0,"",COUNTIFS('Candidate Tracker'!$E:$E,'Positions Tracker'!$B305,'Candidate Tracker'!$I:$I,"male")),"")</f>
        <v/>
      </c>
      <c r="BC305" s="80" t="str">
        <f>IFERROR(IF(COUNTIFS('Candidate Tracker'!$E:$E,'Positions Tracker'!$B305,'Candidate Tracker'!$C:$C,"&lt;&gt;WIP",'Candidate Tracker'!$C:$C,"&lt;&gt;Hold",'Candidate Tracker'!$C:$C,"&lt;&gt;Cancelled",'Candidate Tracker'!$C:$C,"&lt;&gt;Closed")/COUNTIFS('Candidate Tracker'!$E:$E,'Positions Tracker'!$B305)=0,"",COUNTIFS('Candidate Tracker'!$E:$E,'Positions Tracker'!$B305,'Candidate Tracker'!$C:$C,"&lt;&gt;WIP",'Candidate Tracker'!$C:$C,"&lt;&gt;Hold",'Candidate Tracker'!$C:$C,"&lt;&gt;Cancelled",'Candidate Tracker'!$C:$C,"&lt;&gt;Closed")/COUNTIFS('Candidate Tracker'!$E:$E,'Positions Tracker'!$B305)),"")</f>
        <v/>
      </c>
      <c r="BD305" s="67" t="str">
        <f t="shared" si="24"/>
        <v/>
      </c>
      <c r="BE305" s="67" t="str">
        <f t="shared" si="25"/>
        <v/>
      </c>
      <c r="BF305" s="67" t="str">
        <f t="shared" si="26"/>
        <v/>
      </c>
      <c r="BG305" s="67" t="str">
        <f t="shared" si="27"/>
        <v/>
      </c>
    </row>
    <row r="306" spans="1:59">
      <c r="A306" s="55"/>
      <c r="B306" s="56"/>
      <c r="C306" s="56"/>
      <c r="D306" s="56"/>
      <c r="E306" s="56"/>
      <c r="F306" s="56"/>
      <c r="G306" s="56"/>
      <c r="H306" s="56"/>
      <c r="I306" s="6"/>
      <c r="J306" s="6"/>
      <c r="K306" s="57"/>
      <c r="L306" s="57"/>
      <c r="M306" s="57"/>
      <c r="N306" s="56"/>
      <c r="O306" s="56"/>
      <c r="P306" s="56"/>
      <c r="Q306" s="56"/>
      <c r="R306" s="56"/>
      <c r="S306" s="56"/>
      <c r="T306" s="56"/>
      <c r="U306" s="56"/>
      <c r="V306" s="56"/>
      <c r="W306" s="56"/>
      <c r="X306" s="56"/>
      <c r="Y306" s="56"/>
      <c r="Z306" s="56"/>
      <c r="AA306" s="56"/>
      <c r="AB306" s="56"/>
      <c r="AC306" s="56"/>
      <c r="AD306" s="56"/>
      <c r="AE306" s="56"/>
      <c r="AF306" s="56"/>
      <c r="AG306" s="56"/>
      <c r="AH306" s="56"/>
      <c r="AI306" s="58"/>
      <c r="AJ306" s="56"/>
      <c r="AK306" s="56"/>
      <c r="AL306" s="56"/>
      <c r="AM306" s="57"/>
      <c r="AN306" s="57"/>
      <c r="AO306" s="56"/>
      <c r="AP306" s="56"/>
      <c r="AQ306" s="57"/>
      <c r="AR306" s="57"/>
      <c r="AS306" s="57"/>
      <c r="AT306" s="67">
        <f t="shared" ca="1" si="28"/>
        <v>0</v>
      </c>
      <c r="AU306" s="79" t="str">
        <f t="shared" ca="1" si="29"/>
        <v/>
      </c>
      <c r="AV306" s="79" t="str" cm="1">
        <f t="array" aca="1" ref="AV306" ca="1">IFERROR(_xlfn.IFS($AU306="","",$AU306&lt;=15,"0-15",AND($AU306&gt;=16,$AU306&lt;=30),"16-30",AND($AU306&gt;=31,$AU306&lt;=45),"31-45",AND($AU306&gt;=46,$AU306&lt;=60),"46-60",AND($AU306&gt;=61,$AU306&lt;=90),"61-90",AND($AU306&gt;=91),"&gt; 90",AND($AU306&gt;=2000),""),"")</f>
        <v/>
      </c>
      <c r="AW306" s="79" t="str" cm="1">
        <f t="array" aca="1" ref="AW306" ca="1">IFERROR(_xlfn.IFS(OR($M306="",$AM306=""),"",OR($C306="Offered",$C306="Joined"),($AM306-$M306)-$AT306),"")</f>
        <v/>
      </c>
      <c r="AX306" s="79" t="str" cm="1">
        <f t="array" aca="1" ref="AX306" ca="1">IFERROR(_xlfn.IFS(OR($M306="",$AS306=""),"",$C306="Joined",($AS306-$M306)-$AT306),"")</f>
        <v/>
      </c>
      <c r="AY306" s="67" t="str">
        <f>IFERROR(IF(COUNTIFS('Candidate Tracker'!$E:$E,'Positions Tracker'!$B306,'Candidate Tracker'!$C:$C,"Offer Drop")=0,"",COUNTIFS('Candidate Tracker'!$E:$E,'Positions Tracker'!$B306,'Candidate Tracker'!$C:$C,"Offer Drop")),"")</f>
        <v/>
      </c>
      <c r="AZ306" s="80">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0.88111888111888115</v>
      </c>
      <c r="BA306" s="81" t="str">
        <f>IFERROR(IF(COUNTIFS('Candidate Tracker'!$E:$E,'Positions Tracker'!$B306,'Candidate Tracker'!$I:$I,"Female")=0,"",COUNTIFS('Candidate Tracker'!$E:$E,'Positions Tracker'!$B306,'Candidate Tracker'!$I:$I,"Female")),"")</f>
        <v/>
      </c>
      <c r="BB306" s="81" t="str">
        <f>IFERROR(IF(COUNTIFS('Candidate Tracker'!$E:$E,'Positions Tracker'!$B306,'Candidate Tracker'!$I:$I,"male")=0,"",COUNTIFS('Candidate Tracker'!$E:$E,'Positions Tracker'!$B306,'Candidate Tracker'!$I:$I,"male")),"")</f>
        <v/>
      </c>
      <c r="BC306" s="80" t="str">
        <f>IFERROR(IF(COUNTIFS('Candidate Tracker'!$E:$E,'Positions Tracker'!$B306,'Candidate Tracker'!$C:$C,"&lt;&gt;WIP",'Candidate Tracker'!$C:$C,"&lt;&gt;Hold",'Candidate Tracker'!$C:$C,"&lt;&gt;Cancelled",'Candidate Tracker'!$C:$C,"&lt;&gt;Closed")/COUNTIFS('Candidate Tracker'!$E:$E,'Positions Tracker'!$B306)=0,"",COUNTIFS('Candidate Tracker'!$E:$E,'Positions Tracker'!$B306,'Candidate Tracker'!$C:$C,"&lt;&gt;WIP",'Candidate Tracker'!$C:$C,"&lt;&gt;Hold",'Candidate Tracker'!$C:$C,"&lt;&gt;Cancelled",'Candidate Tracker'!$C:$C,"&lt;&gt;Closed")/COUNTIFS('Candidate Tracker'!$E:$E,'Positions Tracker'!$B306)),"")</f>
        <v/>
      </c>
      <c r="BD306" s="67" t="str">
        <f t="shared" si="24"/>
        <v/>
      </c>
      <c r="BE306" s="67" t="str">
        <f t="shared" si="25"/>
        <v/>
      </c>
      <c r="BF306" s="67" t="str">
        <f t="shared" si="26"/>
        <v/>
      </c>
      <c r="BG306" s="67" t="str">
        <f t="shared" si="27"/>
        <v/>
      </c>
    </row>
    <row r="307" spans="1:59">
      <c r="A307" s="55"/>
      <c r="B307" s="56"/>
      <c r="C307" s="56"/>
      <c r="D307" s="56"/>
      <c r="E307" s="56"/>
      <c r="F307" s="56"/>
      <c r="G307" s="56"/>
      <c r="H307" s="56"/>
      <c r="I307" s="6"/>
      <c r="J307" s="6"/>
      <c r="K307" s="57"/>
      <c r="L307" s="57"/>
      <c r="M307" s="57"/>
      <c r="N307" s="56"/>
      <c r="O307" s="56"/>
      <c r="P307" s="56"/>
      <c r="Q307" s="56"/>
      <c r="R307" s="56"/>
      <c r="S307" s="56"/>
      <c r="T307" s="56"/>
      <c r="U307" s="56"/>
      <c r="V307" s="56"/>
      <c r="W307" s="56"/>
      <c r="X307" s="56"/>
      <c r="Y307" s="56"/>
      <c r="Z307" s="56"/>
      <c r="AA307" s="56"/>
      <c r="AB307" s="56"/>
      <c r="AC307" s="56"/>
      <c r="AD307" s="56"/>
      <c r="AE307" s="56"/>
      <c r="AF307" s="56"/>
      <c r="AG307" s="56"/>
      <c r="AH307" s="56"/>
      <c r="AI307" s="58"/>
      <c r="AJ307" s="56"/>
      <c r="AK307" s="56"/>
      <c r="AL307" s="56"/>
      <c r="AM307" s="57"/>
      <c r="AN307" s="57"/>
      <c r="AO307" s="56"/>
      <c r="AP307" s="56"/>
      <c r="AQ307" s="57"/>
      <c r="AR307" s="57"/>
      <c r="AS307" s="57"/>
      <c r="AT307" s="67">
        <f t="shared" ca="1" si="28"/>
        <v>0</v>
      </c>
      <c r="AU307" s="79" t="str">
        <f t="shared" ca="1" si="29"/>
        <v/>
      </c>
      <c r="AV307" s="79" t="str" cm="1">
        <f t="array" aca="1" ref="AV307" ca="1">IFERROR(_xlfn.IFS($AU307="","",$AU307&lt;=15,"0-15",AND($AU307&gt;=16,$AU307&lt;=30),"16-30",AND($AU307&gt;=31,$AU307&lt;=45),"31-45",AND($AU307&gt;=46,$AU307&lt;=60),"46-60",AND($AU307&gt;=61,$AU307&lt;=90),"61-90",AND($AU307&gt;=91),"&gt; 90",AND($AU307&gt;=2000),""),"")</f>
        <v/>
      </c>
      <c r="AW307" s="79" t="str" cm="1">
        <f t="array" aca="1" ref="AW307" ca="1">IFERROR(_xlfn.IFS(OR($M307="",$AM307=""),"",OR($C307="Offered",$C307="Joined"),($AM307-$M307)-$AT307),"")</f>
        <v/>
      </c>
      <c r="AX307" s="79" t="str" cm="1">
        <f t="array" aca="1" ref="AX307" ca="1">IFERROR(_xlfn.IFS(OR($M307="",$AS307=""),"",$C307="Joined",($AS307-$M307)-$AT307),"")</f>
        <v/>
      </c>
      <c r="AY307" s="67" t="str">
        <f>IFERROR(IF(COUNTIFS('Candidate Tracker'!$E:$E,'Positions Tracker'!$B307,'Candidate Tracker'!$C:$C,"Offer Drop")=0,"",COUNTIFS('Candidate Tracker'!$E:$E,'Positions Tracker'!$B307,'Candidate Tracker'!$C:$C,"Offer Drop")),"")</f>
        <v/>
      </c>
      <c r="AZ307" s="80">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0.88111888111888115</v>
      </c>
      <c r="BA307" s="81" t="str">
        <f>IFERROR(IF(COUNTIFS('Candidate Tracker'!$E:$E,'Positions Tracker'!$B307,'Candidate Tracker'!$I:$I,"Female")=0,"",COUNTIFS('Candidate Tracker'!$E:$E,'Positions Tracker'!$B307,'Candidate Tracker'!$I:$I,"Female")),"")</f>
        <v/>
      </c>
      <c r="BB307" s="81" t="str">
        <f>IFERROR(IF(COUNTIFS('Candidate Tracker'!$E:$E,'Positions Tracker'!$B307,'Candidate Tracker'!$I:$I,"male")=0,"",COUNTIFS('Candidate Tracker'!$E:$E,'Positions Tracker'!$B307,'Candidate Tracker'!$I:$I,"male")),"")</f>
        <v/>
      </c>
      <c r="BC307" s="80" t="str">
        <f>IFERROR(IF(COUNTIFS('Candidate Tracker'!$E:$E,'Positions Tracker'!$B307,'Candidate Tracker'!$C:$C,"&lt;&gt;WIP",'Candidate Tracker'!$C:$C,"&lt;&gt;Hold",'Candidate Tracker'!$C:$C,"&lt;&gt;Cancelled",'Candidate Tracker'!$C:$C,"&lt;&gt;Closed")/COUNTIFS('Candidate Tracker'!$E:$E,'Positions Tracker'!$B307)=0,"",COUNTIFS('Candidate Tracker'!$E:$E,'Positions Tracker'!$B307,'Candidate Tracker'!$C:$C,"&lt;&gt;WIP",'Candidate Tracker'!$C:$C,"&lt;&gt;Hold",'Candidate Tracker'!$C:$C,"&lt;&gt;Cancelled",'Candidate Tracker'!$C:$C,"&lt;&gt;Closed")/COUNTIFS('Candidate Tracker'!$E:$E,'Positions Tracker'!$B307)),"")</f>
        <v/>
      </c>
      <c r="BD307" s="67" t="str">
        <f t="shared" si="24"/>
        <v/>
      </c>
      <c r="BE307" s="67" t="str">
        <f t="shared" si="25"/>
        <v/>
      </c>
      <c r="BF307" s="67" t="str">
        <f t="shared" si="26"/>
        <v/>
      </c>
      <c r="BG307" s="67" t="str">
        <f t="shared" si="27"/>
        <v/>
      </c>
    </row>
    <row r="308" spans="1:59">
      <c r="A308" s="55"/>
      <c r="B308" s="56"/>
      <c r="C308" s="56"/>
      <c r="D308" s="56"/>
      <c r="E308" s="56"/>
      <c r="F308" s="56"/>
      <c r="G308" s="56"/>
      <c r="H308" s="56"/>
      <c r="I308" s="6"/>
      <c r="J308" s="6"/>
      <c r="K308" s="57"/>
      <c r="L308" s="57"/>
      <c r="M308" s="57"/>
      <c r="N308" s="56"/>
      <c r="O308" s="56"/>
      <c r="P308" s="56"/>
      <c r="Q308" s="56"/>
      <c r="R308" s="56"/>
      <c r="S308" s="56"/>
      <c r="T308" s="56"/>
      <c r="U308" s="56"/>
      <c r="V308" s="56"/>
      <c r="W308" s="56"/>
      <c r="X308" s="56"/>
      <c r="Y308" s="56"/>
      <c r="Z308" s="56"/>
      <c r="AA308" s="56"/>
      <c r="AB308" s="56"/>
      <c r="AC308" s="56"/>
      <c r="AD308" s="56"/>
      <c r="AE308" s="56"/>
      <c r="AF308" s="56"/>
      <c r="AG308" s="56"/>
      <c r="AH308" s="56"/>
      <c r="AI308" s="58"/>
      <c r="AJ308" s="56"/>
      <c r="AK308" s="56"/>
      <c r="AL308" s="56"/>
      <c r="AM308" s="57"/>
      <c r="AN308" s="57"/>
      <c r="AO308" s="56"/>
      <c r="AP308" s="56"/>
      <c r="AQ308" s="57"/>
      <c r="AR308" s="57"/>
      <c r="AS308" s="57"/>
      <c r="AT308" s="67">
        <f t="shared" ca="1" si="28"/>
        <v>0</v>
      </c>
      <c r="AU308" s="79" t="str">
        <f t="shared" ca="1" si="29"/>
        <v/>
      </c>
      <c r="AV308" s="79" t="str" cm="1">
        <f t="array" aca="1" ref="AV308" ca="1">IFERROR(_xlfn.IFS($AU308="","",$AU308&lt;=15,"0-15",AND($AU308&gt;=16,$AU308&lt;=30),"16-30",AND($AU308&gt;=31,$AU308&lt;=45),"31-45",AND($AU308&gt;=46,$AU308&lt;=60),"46-60",AND($AU308&gt;=61,$AU308&lt;=90),"61-90",AND($AU308&gt;=91),"&gt; 90",AND($AU308&gt;=2000),""),"")</f>
        <v/>
      </c>
      <c r="AW308" s="79" t="str" cm="1">
        <f t="array" aca="1" ref="AW308" ca="1">IFERROR(_xlfn.IFS(OR($M308="",$AM308=""),"",OR($C308="Offered",$C308="Joined"),($AM308-$M308)-$AT308),"")</f>
        <v/>
      </c>
      <c r="AX308" s="79" t="str" cm="1">
        <f t="array" aca="1" ref="AX308" ca="1">IFERROR(_xlfn.IFS(OR($M308="",$AS308=""),"",$C308="Joined",($AS308-$M308)-$AT308),"")</f>
        <v/>
      </c>
      <c r="AY308" s="67" t="str">
        <f>IFERROR(IF(COUNTIFS('Candidate Tracker'!$E:$E,'Positions Tracker'!$B308,'Candidate Tracker'!$C:$C,"Offer Drop")=0,"",COUNTIFS('Candidate Tracker'!$E:$E,'Positions Tracker'!$B308,'Candidate Tracker'!$C:$C,"Offer Drop")),"")</f>
        <v/>
      </c>
      <c r="AZ308" s="80">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0.88111888111888115</v>
      </c>
      <c r="BA308" s="81" t="str">
        <f>IFERROR(IF(COUNTIFS('Candidate Tracker'!$E:$E,'Positions Tracker'!$B308,'Candidate Tracker'!$I:$I,"Female")=0,"",COUNTIFS('Candidate Tracker'!$E:$E,'Positions Tracker'!$B308,'Candidate Tracker'!$I:$I,"Female")),"")</f>
        <v/>
      </c>
      <c r="BB308" s="81" t="str">
        <f>IFERROR(IF(COUNTIFS('Candidate Tracker'!$E:$E,'Positions Tracker'!$B308,'Candidate Tracker'!$I:$I,"male")=0,"",COUNTIFS('Candidate Tracker'!$E:$E,'Positions Tracker'!$B308,'Candidate Tracker'!$I:$I,"male")),"")</f>
        <v/>
      </c>
      <c r="BC308" s="80" t="str">
        <f>IFERROR(IF(COUNTIFS('Candidate Tracker'!$E:$E,'Positions Tracker'!$B308,'Candidate Tracker'!$C:$C,"&lt;&gt;WIP",'Candidate Tracker'!$C:$C,"&lt;&gt;Hold",'Candidate Tracker'!$C:$C,"&lt;&gt;Cancelled",'Candidate Tracker'!$C:$C,"&lt;&gt;Closed")/COUNTIFS('Candidate Tracker'!$E:$E,'Positions Tracker'!$B308)=0,"",COUNTIFS('Candidate Tracker'!$E:$E,'Positions Tracker'!$B308,'Candidate Tracker'!$C:$C,"&lt;&gt;WIP",'Candidate Tracker'!$C:$C,"&lt;&gt;Hold",'Candidate Tracker'!$C:$C,"&lt;&gt;Cancelled",'Candidate Tracker'!$C:$C,"&lt;&gt;Closed")/COUNTIFS('Candidate Tracker'!$E:$E,'Positions Tracker'!$B308)),"")</f>
        <v/>
      </c>
      <c r="BD308" s="67" t="str">
        <f t="shared" si="24"/>
        <v/>
      </c>
      <c r="BE308" s="67" t="str">
        <f t="shared" si="25"/>
        <v/>
      </c>
      <c r="BF308" s="67" t="str">
        <f t="shared" si="26"/>
        <v/>
      </c>
      <c r="BG308" s="67" t="str">
        <f t="shared" si="27"/>
        <v/>
      </c>
    </row>
    <row r="309" spans="1:59">
      <c r="A309" s="55"/>
      <c r="B309" s="56"/>
      <c r="C309" s="56"/>
      <c r="D309" s="56"/>
      <c r="E309" s="56"/>
      <c r="F309" s="56"/>
      <c r="G309" s="56"/>
      <c r="H309" s="56"/>
      <c r="I309" s="6"/>
      <c r="J309" s="6"/>
      <c r="K309" s="57"/>
      <c r="L309" s="57"/>
      <c r="M309" s="57"/>
      <c r="N309" s="56"/>
      <c r="O309" s="56"/>
      <c r="P309" s="56"/>
      <c r="Q309" s="56"/>
      <c r="R309" s="56"/>
      <c r="S309" s="56"/>
      <c r="T309" s="56"/>
      <c r="U309" s="56"/>
      <c r="V309" s="56"/>
      <c r="W309" s="56"/>
      <c r="X309" s="56"/>
      <c r="Y309" s="56"/>
      <c r="Z309" s="56"/>
      <c r="AA309" s="56"/>
      <c r="AB309" s="56"/>
      <c r="AC309" s="56"/>
      <c r="AD309" s="56"/>
      <c r="AE309" s="56"/>
      <c r="AF309" s="56"/>
      <c r="AG309" s="56"/>
      <c r="AH309" s="56"/>
      <c r="AI309" s="58"/>
      <c r="AJ309" s="56"/>
      <c r="AK309" s="56"/>
      <c r="AL309" s="56"/>
      <c r="AM309" s="57"/>
      <c r="AN309" s="57"/>
      <c r="AO309" s="56"/>
      <c r="AP309" s="56"/>
      <c r="AQ309" s="57"/>
      <c r="AR309" s="57"/>
      <c r="AS309" s="57"/>
      <c r="AT309" s="67">
        <f t="shared" ca="1" si="28"/>
        <v>0</v>
      </c>
      <c r="AU309" s="79" t="str">
        <f t="shared" ca="1" si="29"/>
        <v/>
      </c>
      <c r="AV309" s="79" t="str" cm="1">
        <f t="array" aca="1" ref="AV309" ca="1">IFERROR(_xlfn.IFS($AU309="","",$AU309&lt;=15,"0-15",AND($AU309&gt;=16,$AU309&lt;=30),"16-30",AND($AU309&gt;=31,$AU309&lt;=45),"31-45",AND($AU309&gt;=46,$AU309&lt;=60),"46-60",AND($AU309&gt;=61,$AU309&lt;=90),"61-90",AND($AU309&gt;=91),"&gt; 90",AND($AU309&gt;=2000),""),"")</f>
        <v/>
      </c>
      <c r="AW309" s="79" t="str" cm="1">
        <f t="array" aca="1" ref="AW309" ca="1">IFERROR(_xlfn.IFS(OR($M309="",$AM309=""),"",OR($C309="Offered",$C309="Joined"),($AM309-$M309)-$AT309),"")</f>
        <v/>
      </c>
      <c r="AX309" s="79" t="str" cm="1">
        <f t="array" aca="1" ref="AX309" ca="1">IFERROR(_xlfn.IFS(OR($M309="",$AS309=""),"",$C309="Joined",($AS309-$M309)-$AT309),"")</f>
        <v/>
      </c>
      <c r="AY309" s="67" t="str">
        <f>IFERROR(IF(COUNTIFS('Candidate Tracker'!$E:$E,'Positions Tracker'!$B309,'Candidate Tracker'!$C:$C,"Offer Drop")=0,"",COUNTIFS('Candidate Tracker'!$E:$E,'Positions Tracker'!$B309,'Candidate Tracker'!$C:$C,"Offer Drop")),"")</f>
        <v/>
      </c>
      <c r="AZ309" s="80">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0.88111888111888115</v>
      </c>
      <c r="BA309" s="81" t="str">
        <f>IFERROR(IF(COUNTIFS('Candidate Tracker'!$E:$E,'Positions Tracker'!$B309,'Candidate Tracker'!$I:$I,"Female")=0,"",COUNTIFS('Candidate Tracker'!$E:$E,'Positions Tracker'!$B309,'Candidate Tracker'!$I:$I,"Female")),"")</f>
        <v/>
      </c>
      <c r="BB309" s="81" t="str">
        <f>IFERROR(IF(COUNTIFS('Candidate Tracker'!$E:$E,'Positions Tracker'!$B309,'Candidate Tracker'!$I:$I,"male")=0,"",COUNTIFS('Candidate Tracker'!$E:$E,'Positions Tracker'!$B309,'Candidate Tracker'!$I:$I,"male")),"")</f>
        <v/>
      </c>
      <c r="BC309" s="80" t="str">
        <f>IFERROR(IF(COUNTIFS('Candidate Tracker'!$E:$E,'Positions Tracker'!$B309,'Candidate Tracker'!$C:$C,"&lt;&gt;WIP",'Candidate Tracker'!$C:$C,"&lt;&gt;Hold",'Candidate Tracker'!$C:$C,"&lt;&gt;Cancelled",'Candidate Tracker'!$C:$C,"&lt;&gt;Closed")/COUNTIFS('Candidate Tracker'!$E:$E,'Positions Tracker'!$B309)=0,"",COUNTIFS('Candidate Tracker'!$E:$E,'Positions Tracker'!$B309,'Candidate Tracker'!$C:$C,"&lt;&gt;WIP",'Candidate Tracker'!$C:$C,"&lt;&gt;Hold",'Candidate Tracker'!$C:$C,"&lt;&gt;Cancelled",'Candidate Tracker'!$C:$C,"&lt;&gt;Closed")/COUNTIFS('Candidate Tracker'!$E:$E,'Positions Tracker'!$B309)),"")</f>
        <v/>
      </c>
      <c r="BD309" s="67" t="str">
        <f t="shared" si="24"/>
        <v/>
      </c>
      <c r="BE309" s="67" t="str">
        <f t="shared" si="25"/>
        <v/>
      </c>
      <c r="BF309" s="67" t="str">
        <f t="shared" si="26"/>
        <v/>
      </c>
      <c r="BG309" s="67" t="str">
        <f t="shared" si="27"/>
        <v/>
      </c>
    </row>
    <row r="310" spans="1:59">
      <c r="A310" s="55"/>
      <c r="B310" s="56"/>
      <c r="C310" s="56"/>
      <c r="D310" s="56"/>
      <c r="E310" s="56"/>
      <c r="F310" s="56"/>
      <c r="G310" s="56"/>
      <c r="H310" s="56"/>
      <c r="I310" s="6"/>
      <c r="J310" s="6"/>
      <c r="K310" s="57"/>
      <c r="L310" s="57"/>
      <c r="M310" s="57"/>
      <c r="N310" s="56"/>
      <c r="O310" s="56"/>
      <c r="P310" s="56"/>
      <c r="Q310" s="56"/>
      <c r="R310" s="56"/>
      <c r="S310" s="56"/>
      <c r="T310" s="56"/>
      <c r="U310" s="56"/>
      <c r="V310" s="56"/>
      <c r="W310" s="56"/>
      <c r="X310" s="56"/>
      <c r="Y310" s="56"/>
      <c r="Z310" s="56"/>
      <c r="AA310" s="56"/>
      <c r="AB310" s="56"/>
      <c r="AC310" s="56"/>
      <c r="AD310" s="56"/>
      <c r="AE310" s="56"/>
      <c r="AF310" s="56"/>
      <c r="AG310" s="56"/>
      <c r="AH310" s="56"/>
      <c r="AI310" s="58"/>
      <c r="AJ310" s="56"/>
      <c r="AK310" s="56"/>
      <c r="AL310" s="56"/>
      <c r="AM310" s="57"/>
      <c r="AN310" s="57"/>
      <c r="AO310" s="56"/>
      <c r="AP310" s="56"/>
      <c r="AQ310" s="57"/>
      <c r="AR310" s="57"/>
      <c r="AS310" s="57"/>
      <c r="AT310" s="67">
        <f t="shared" ca="1" si="28"/>
        <v>0</v>
      </c>
      <c r="AU310" s="79" t="str">
        <f t="shared" ca="1" si="29"/>
        <v/>
      </c>
      <c r="AV310" s="79" t="str" cm="1">
        <f t="array" aca="1" ref="AV310" ca="1">IFERROR(_xlfn.IFS($AU310="","",$AU310&lt;=15,"0-15",AND($AU310&gt;=16,$AU310&lt;=30),"16-30",AND($AU310&gt;=31,$AU310&lt;=45),"31-45",AND($AU310&gt;=46,$AU310&lt;=60),"46-60",AND($AU310&gt;=61,$AU310&lt;=90),"61-90",AND($AU310&gt;=91),"&gt; 90",AND($AU310&gt;=2000),""),"")</f>
        <v/>
      </c>
      <c r="AW310" s="79" t="str" cm="1">
        <f t="array" aca="1" ref="AW310" ca="1">IFERROR(_xlfn.IFS(OR($M310="",$AM310=""),"",OR($C310="Offered",$C310="Joined"),($AM310-$M310)-$AT310),"")</f>
        <v/>
      </c>
      <c r="AX310" s="79" t="str" cm="1">
        <f t="array" aca="1" ref="AX310" ca="1">IFERROR(_xlfn.IFS(OR($M310="",$AS310=""),"",$C310="Joined",($AS310-$M310)-$AT310),"")</f>
        <v/>
      </c>
      <c r="AY310" s="67" t="str">
        <f>IFERROR(IF(COUNTIFS('Candidate Tracker'!$E:$E,'Positions Tracker'!$B310,'Candidate Tracker'!$C:$C,"Offer Drop")=0,"",COUNTIFS('Candidate Tracker'!$E:$E,'Positions Tracker'!$B310,'Candidate Tracker'!$C:$C,"Offer Drop")),"")</f>
        <v/>
      </c>
      <c r="AZ310" s="80">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0.88111888111888115</v>
      </c>
      <c r="BA310" s="81" t="str">
        <f>IFERROR(IF(COUNTIFS('Candidate Tracker'!$E:$E,'Positions Tracker'!$B310,'Candidate Tracker'!$I:$I,"Female")=0,"",COUNTIFS('Candidate Tracker'!$E:$E,'Positions Tracker'!$B310,'Candidate Tracker'!$I:$I,"Female")),"")</f>
        <v/>
      </c>
      <c r="BB310" s="81" t="str">
        <f>IFERROR(IF(COUNTIFS('Candidate Tracker'!$E:$E,'Positions Tracker'!$B310,'Candidate Tracker'!$I:$I,"male")=0,"",COUNTIFS('Candidate Tracker'!$E:$E,'Positions Tracker'!$B310,'Candidate Tracker'!$I:$I,"male")),"")</f>
        <v/>
      </c>
      <c r="BC310" s="80" t="str">
        <f>IFERROR(IF(COUNTIFS('Candidate Tracker'!$E:$E,'Positions Tracker'!$B310,'Candidate Tracker'!$C:$C,"&lt;&gt;WIP",'Candidate Tracker'!$C:$C,"&lt;&gt;Hold",'Candidate Tracker'!$C:$C,"&lt;&gt;Cancelled",'Candidate Tracker'!$C:$C,"&lt;&gt;Closed")/COUNTIFS('Candidate Tracker'!$E:$E,'Positions Tracker'!$B310)=0,"",COUNTIFS('Candidate Tracker'!$E:$E,'Positions Tracker'!$B310,'Candidate Tracker'!$C:$C,"&lt;&gt;WIP",'Candidate Tracker'!$C:$C,"&lt;&gt;Hold",'Candidate Tracker'!$C:$C,"&lt;&gt;Cancelled",'Candidate Tracker'!$C:$C,"&lt;&gt;Closed")/COUNTIFS('Candidate Tracker'!$E:$E,'Positions Tracker'!$B310)),"")</f>
        <v/>
      </c>
      <c r="BD310" s="67" t="str">
        <f t="shared" si="24"/>
        <v/>
      </c>
      <c r="BE310" s="67" t="str">
        <f t="shared" si="25"/>
        <v/>
      </c>
      <c r="BF310" s="67" t="str">
        <f t="shared" si="26"/>
        <v/>
      </c>
      <c r="BG310" s="67" t="str">
        <f t="shared" si="27"/>
        <v/>
      </c>
    </row>
    <row r="311" spans="1:59">
      <c r="A311" s="55"/>
      <c r="B311" s="56"/>
      <c r="C311" s="56"/>
      <c r="D311" s="56"/>
      <c r="E311" s="56"/>
      <c r="F311" s="56"/>
      <c r="G311" s="56"/>
      <c r="H311" s="56"/>
      <c r="I311" s="6"/>
      <c r="J311" s="6"/>
      <c r="K311" s="57"/>
      <c r="L311" s="57"/>
      <c r="M311" s="57"/>
      <c r="N311" s="56"/>
      <c r="O311" s="56"/>
      <c r="P311" s="56"/>
      <c r="Q311" s="56"/>
      <c r="R311" s="56"/>
      <c r="S311" s="56"/>
      <c r="T311" s="56"/>
      <c r="U311" s="56"/>
      <c r="V311" s="56"/>
      <c r="W311" s="56"/>
      <c r="X311" s="56"/>
      <c r="Y311" s="56"/>
      <c r="Z311" s="56"/>
      <c r="AA311" s="56"/>
      <c r="AB311" s="56"/>
      <c r="AC311" s="56"/>
      <c r="AD311" s="56"/>
      <c r="AE311" s="56"/>
      <c r="AF311" s="56"/>
      <c r="AG311" s="56"/>
      <c r="AH311" s="56"/>
      <c r="AI311" s="58"/>
      <c r="AJ311" s="56"/>
      <c r="AK311" s="56"/>
      <c r="AL311" s="56"/>
      <c r="AM311" s="57"/>
      <c r="AN311" s="57"/>
      <c r="AO311" s="56"/>
      <c r="AP311" s="56"/>
      <c r="AQ311" s="57"/>
      <c r="AR311" s="57"/>
      <c r="AS311" s="57"/>
      <c r="AT311" s="67">
        <f t="shared" ca="1" si="28"/>
        <v>0</v>
      </c>
      <c r="AU311" s="79" t="str">
        <f t="shared" ca="1" si="29"/>
        <v/>
      </c>
      <c r="AV311" s="79" t="str" cm="1">
        <f t="array" aca="1" ref="AV311" ca="1">IFERROR(_xlfn.IFS($AU311="","",$AU311&lt;=15,"0-15",AND($AU311&gt;=16,$AU311&lt;=30),"16-30",AND($AU311&gt;=31,$AU311&lt;=45),"31-45",AND($AU311&gt;=46,$AU311&lt;=60),"46-60",AND($AU311&gt;=61,$AU311&lt;=90),"61-90",AND($AU311&gt;=91),"&gt; 90",AND($AU311&gt;=2000),""),"")</f>
        <v/>
      </c>
      <c r="AW311" s="79" t="str" cm="1">
        <f t="array" aca="1" ref="AW311" ca="1">IFERROR(_xlfn.IFS(OR($M311="",$AM311=""),"",OR($C311="Offered",$C311="Joined"),($AM311-$M311)-$AT311),"")</f>
        <v/>
      </c>
      <c r="AX311" s="79" t="str" cm="1">
        <f t="array" aca="1" ref="AX311" ca="1">IFERROR(_xlfn.IFS(OR($M311="",$AS311=""),"",$C311="Joined",($AS311-$M311)-$AT311),"")</f>
        <v/>
      </c>
      <c r="AY311" s="67" t="str">
        <f>IFERROR(IF(COUNTIFS('Candidate Tracker'!$E:$E,'Positions Tracker'!$B311,'Candidate Tracker'!$C:$C,"Offer Drop")=0,"",COUNTIFS('Candidate Tracker'!$E:$E,'Positions Tracker'!$B311,'Candidate Tracker'!$C:$C,"Offer Drop")),"")</f>
        <v/>
      </c>
      <c r="AZ311" s="80">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0.88111888111888115</v>
      </c>
      <c r="BA311" s="81" t="str">
        <f>IFERROR(IF(COUNTIFS('Candidate Tracker'!$E:$E,'Positions Tracker'!$B311,'Candidate Tracker'!$I:$I,"Female")=0,"",COUNTIFS('Candidate Tracker'!$E:$E,'Positions Tracker'!$B311,'Candidate Tracker'!$I:$I,"Female")),"")</f>
        <v/>
      </c>
      <c r="BB311" s="81" t="str">
        <f>IFERROR(IF(COUNTIFS('Candidate Tracker'!$E:$E,'Positions Tracker'!$B311,'Candidate Tracker'!$I:$I,"male")=0,"",COUNTIFS('Candidate Tracker'!$E:$E,'Positions Tracker'!$B311,'Candidate Tracker'!$I:$I,"male")),"")</f>
        <v/>
      </c>
      <c r="BC311" s="80" t="str">
        <f>IFERROR(IF(COUNTIFS('Candidate Tracker'!$E:$E,'Positions Tracker'!$B311,'Candidate Tracker'!$C:$C,"&lt;&gt;WIP",'Candidate Tracker'!$C:$C,"&lt;&gt;Hold",'Candidate Tracker'!$C:$C,"&lt;&gt;Cancelled",'Candidate Tracker'!$C:$C,"&lt;&gt;Closed")/COUNTIFS('Candidate Tracker'!$E:$E,'Positions Tracker'!$B311)=0,"",COUNTIFS('Candidate Tracker'!$E:$E,'Positions Tracker'!$B311,'Candidate Tracker'!$C:$C,"&lt;&gt;WIP",'Candidate Tracker'!$C:$C,"&lt;&gt;Hold",'Candidate Tracker'!$C:$C,"&lt;&gt;Cancelled",'Candidate Tracker'!$C:$C,"&lt;&gt;Closed")/COUNTIFS('Candidate Tracker'!$E:$E,'Positions Tracker'!$B311)),"")</f>
        <v/>
      </c>
      <c r="BD311" s="67" t="str">
        <f t="shared" si="24"/>
        <v/>
      </c>
      <c r="BE311" s="67" t="str">
        <f t="shared" si="25"/>
        <v/>
      </c>
      <c r="BF311" s="67" t="str">
        <f t="shared" si="26"/>
        <v/>
      </c>
      <c r="BG311" s="67" t="str">
        <f t="shared" si="27"/>
        <v/>
      </c>
    </row>
    <row r="312" spans="1:59">
      <c r="A312" s="55"/>
      <c r="B312" s="56"/>
      <c r="C312" s="56"/>
      <c r="D312" s="56"/>
      <c r="E312" s="56"/>
      <c r="F312" s="56"/>
      <c r="G312" s="56"/>
      <c r="H312" s="56"/>
      <c r="I312" s="6"/>
      <c r="J312" s="6"/>
      <c r="K312" s="57"/>
      <c r="L312" s="57"/>
      <c r="M312" s="57"/>
      <c r="N312" s="56"/>
      <c r="O312" s="56"/>
      <c r="P312" s="56"/>
      <c r="Q312" s="56"/>
      <c r="R312" s="56"/>
      <c r="S312" s="56"/>
      <c r="T312" s="56"/>
      <c r="U312" s="56"/>
      <c r="V312" s="56"/>
      <c r="W312" s="56"/>
      <c r="X312" s="56"/>
      <c r="Y312" s="56"/>
      <c r="Z312" s="56"/>
      <c r="AA312" s="56"/>
      <c r="AB312" s="56"/>
      <c r="AC312" s="56"/>
      <c r="AD312" s="56"/>
      <c r="AE312" s="56"/>
      <c r="AF312" s="56"/>
      <c r="AG312" s="56"/>
      <c r="AH312" s="56"/>
      <c r="AI312" s="58"/>
      <c r="AJ312" s="56"/>
      <c r="AK312" s="56"/>
      <c r="AL312" s="56"/>
      <c r="AM312" s="57"/>
      <c r="AN312" s="57"/>
      <c r="AO312" s="56"/>
      <c r="AP312" s="56"/>
      <c r="AQ312" s="57"/>
      <c r="AR312" s="57"/>
      <c r="AS312" s="57"/>
      <c r="AT312" s="67">
        <f t="shared" ca="1" si="28"/>
        <v>0</v>
      </c>
      <c r="AU312" s="79" t="str">
        <f t="shared" ca="1" si="29"/>
        <v/>
      </c>
      <c r="AV312" s="79" t="str" cm="1">
        <f t="array" aca="1" ref="AV312" ca="1">IFERROR(_xlfn.IFS($AU312="","",$AU312&lt;=15,"0-15",AND($AU312&gt;=16,$AU312&lt;=30),"16-30",AND($AU312&gt;=31,$AU312&lt;=45),"31-45",AND($AU312&gt;=46,$AU312&lt;=60),"46-60",AND($AU312&gt;=61,$AU312&lt;=90),"61-90",AND($AU312&gt;=91),"&gt; 90",AND($AU312&gt;=2000),""),"")</f>
        <v/>
      </c>
      <c r="AW312" s="79" t="str" cm="1">
        <f t="array" aca="1" ref="AW312" ca="1">IFERROR(_xlfn.IFS(OR($M312="",$AM312=""),"",OR($C312="Offered",$C312="Joined"),($AM312-$M312)-$AT312),"")</f>
        <v/>
      </c>
      <c r="AX312" s="79" t="str" cm="1">
        <f t="array" aca="1" ref="AX312" ca="1">IFERROR(_xlfn.IFS(OR($M312="",$AS312=""),"",$C312="Joined",($AS312-$M312)-$AT312),"")</f>
        <v/>
      </c>
      <c r="AY312" s="67" t="str">
        <f>IFERROR(IF(COUNTIFS('Candidate Tracker'!$E:$E,'Positions Tracker'!$B312,'Candidate Tracker'!$C:$C,"Offer Drop")=0,"",COUNTIFS('Candidate Tracker'!$E:$E,'Positions Tracker'!$B312,'Candidate Tracker'!$C:$C,"Offer Drop")),"")</f>
        <v/>
      </c>
      <c r="AZ312" s="80">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0.88111888111888115</v>
      </c>
      <c r="BA312" s="81" t="str">
        <f>IFERROR(IF(COUNTIFS('Candidate Tracker'!$E:$E,'Positions Tracker'!$B312,'Candidate Tracker'!$I:$I,"Female")=0,"",COUNTIFS('Candidate Tracker'!$E:$E,'Positions Tracker'!$B312,'Candidate Tracker'!$I:$I,"Female")),"")</f>
        <v/>
      </c>
      <c r="BB312" s="81" t="str">
        <f>IFERROR(IF(COUNTIFS('Candidate Tracker'!$E:$E,'Positions Tracker'!$B312,'Candidate Tracker'!$I:$I,"male")=0,"",COUNTIFS('Candidate Tracker'!$E:$E,'Positions Tracker'!$B312,'Candidate Tracker'!$I:$I,"male")),"")</f>
        <v/>
      </c>
      <c r="BC312" s="80" t="str">
        <f>IFERROR(IF(COUNTIFS('Candidate Tracker'!$E:$E,'Positions Tracker'!$B312,'Candidate Tracker'!$C:$C,"&lt;&gt;WIP",'Candidate Tracker'!$C:$C,"&lt;&gt;Hold",'Candidate Tracker'!$C:$C,"&lt;&gt;Cancelled",'Candidate Tracker'!$C:$C,"&lt;&gt;Closed")/COUNTIFS('Candidate Tracker'!$E:$E,'Positions Tracker'!$B312)=0,"",COUNTIFS('Candidate Tracker'!$E:$E,'Positions Tracker'!$B312,'Candidate Tracker'!$C:$C,"&lt;&gt;WIP",'Candidate Tracker'!$C:$C,"&lt;&gt;Hold",'Candidate Tracker'!$C:$C,"&lt;&gt;Cancelled",'Candidate Tracker'!$C:$C,"&lt;&gt;Closed")/COUNTIFS('Candidate Tracker'!$E:$E,'Positions Tracker'!$B312)),"")</f>
        <v/>
      </c>
      <c r="BD312" s="67" t="str">
        <f t="shared" si="24"/>
        <v/>
      </c>
      <c r="BE312" s="67" t="str">
        <f t="shared" si="25"/>
        <v/>
      </c>
      <c r="BF312" s="67" t="str">
        <f t="shared" si="26"/>
        <v/>
      </c>
      <c r="BG312" s="67" t="str">
        <f t="shared" si="27"/>
        <v/>
      </c>
    </row>
    <row r="313" spans="1:59">
      <c r="A313" s="55"/>
      <c r="B313" s="56"/>
      <c r="C313" s="56"/>
      <c r="D313" s="56"/>
      <c r="E313" s="56"/>
      <c r="F313" s="56"/>
      <c r="G313" s="56"/>
      <c r="H313" s="56"/>
      <c r="I313" s="6"/>
      <c r="J313" s="6"/>
      <c r="K313" s="57"/>
      <c r="L313" s="57"/>
      <c r="M313" s="57"/>
      <c r="N313" s="56"/>
      <c r="O313" s="56"/>
      <c r="P313" s="56"/>
      <c r="Q313" s="56"/>
      <c r="R313" s="56"/>
      <c r="S313" s="56"/>
      <c r="T313" s="56"/>
      <c r="U313" s="56"/>
      <c r="V313" s="56"/>
      <c r="W313" s="56"/>
      <c r="X313" s="56"/>
      <c r="Y313" s="56"/>
      <c r="Z313" s="56"/>
      <c r="AA313" s="56"/>
      <c r="AB313" s="56"/>
      <c r="AC313" s="56"/>
      <c r="AD313" s="56"/>
      <c r="AE313" s="56"/>
      <c r="AF313" s="56"/>
      <c r="AG313" s="56"/>
      <c r="AH313" s="56"/>
      <c r="AI313" s="58"/>
      <c r="AJ313" s="56"/>
      <c r="AK313" s="56"/>
      <c r="AL313" s="56"/>
      <c r="AM313" s="57"/>
      <c r="AN313" s="57"/>
      <c r="AO313" s="56"/>
      <c r="AP313" s="56"/>
      <c r="AQ313" s="57"/>
      <c r="AR313" s="57"/>
      <c r="AS313" s="57"/>
      <c r="AT313" s="67">
        <f t="shared" ca="1" si="28"/>
        <v>0</v>
      </c>
      <c r="AU313" s="79" t="str">
        <f t="shared" ca="1" si="29"/>
        <v/>
      </c>
      <c r="AV313" s="79" t="str" cm="1">
        <f t="array" aca="1" ref="AV313" ca="1">IFERROR(_xlfn.IFS($AU313="","",$AU313&lt;=15,"0-15",AND($AU313&gt;=16,$AU313&lt;=30),"16-30",AND($AU313&gt;=31,$AU313&lt;=45),"31-45",AND($AU313&gt;=46,$AU313&lt;=60),"46-60",AND($AU313&gt;=61,$AU313&lt;=90),"61-90",AND($AU313&gt;=91),"&gt; 90",AND($AU313&gt;=2000),""),"")</f>
        <v/>
      </c>
      <c r="AW313" s="79" t="str" cm="1">
        <f t="array" aca="1" ref="AW313" ca="1">IFERROR(_xlfn.IFS(OR($M313="",$AM313=""),"",OR($C313="Offered",$C313="Joined"),($AM313-$M313)-$AT313),"")</f>
        <v/>
      </c>
      <c r="AX313" s="79" t="str" cm="1">
        <f t="array" aca="1" ref="AX313" ca="1">IFERROR(_xlfn.IFS(OR($M313="",$AS313=""),"",$C313="Joined",($AS313-$M313)-$AT313),"")</f>
        <v/>
      </c>
      <c r="AY313" s="67" t="str">
        <f>IFERROR(IF(COUNTIFS('Candidate Tracker'!$E:$E,'Positions Tracker'!$B313,'Candidate Tracker'!$C:$C,"Offer Drop")=0,"",COUNTIFS('Candidate Tracker'!$E:$E,'Positions Tracker'!$B313,'Candidate Tracker'!$C:$C,"Offer Drop")),"")</f>
        <v/>
      </c>
      <c r="AZ313" s="80">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0.88111888111888115</v>
      </c>
      <c r="BA313" s="81" t="str">
        <f>IFERROR(IF(COUNTIFS('Candidate Tracker'!$E:$E,'Positions Tracker'!$B313,'Candidate Tracker'!$I:$I,"Female")=0,"",COUNTIFS('Candidate Tracker'!$E:$E,'Positions Tracker'!$B313,'Candidate Tracker'!$I:$I,"Female")),"")</f>
        <v/>
      </c>
      <c r="BB313" s="81" t="str">
        <f>IFERROR(IF(COUNTIFS('Candidate Tracker'!$E:$E,'Positions Tracker'!$B313,'Candidate Tracker'!$I:$I,"male")=0,"",COUNTIFS('Candidate Tracker'!$E:$E,'Positions Tracker'!$B313,'Candidate Tracker'!$I:$I,"male")),"")</f>
        <v/>
      </c>
      <c r="BC313" s="80" t="str">
        <f>IFERROR(IF(COUNTIFS('Candidate Tracker'!$E:$E,'Positions Tracker'!$B313,'Candidate Tracker'!$C:$C,"&lt;&gt;WIP",'Candidate Tracker'!$C:$C,"&lt;&gt;Hold",'Candidate Tracker'!$C:$C,"&lt;&gt;Cancelled",'Candidate Tracker'!$C:$C,"&lt;&gt;Closed")/COUNTIFS('Candidate Tracker'!$E:$E,'Positions Tracker'!$B313)=0,"",COUNTIFS('Candidate Tracker'!$E:$E,'Positions Tracker'!$B313,'Candidate Tracker'!$C:$C,"&lt;&gt;WIP",'Candidate Tracker'!$C:$C,"&lt;&gt;Hold",'Candidate Tracker'!$C:$C,"&lt;&gt;Cancelled",'Candidate Tracker'!$C:$C,"&lt;&gt;Closed")/COUNTIFS('Candidate Tracker'!$E:$E,'Positions Tracker'!$B313)),"")</f>
        <v/>
      </c>
      <c r="BD313" s="67" t="str">
        <f t="shared" si="24"/>
        <v/>
      </c>
      <c r="BE313" s="67" t="str">
        <f t="shared" si="25"/>
        <v/>
      </c>
      <c r="BF313" s="67" t="str">
        <f t="shared" si="26"/>
        <v/>
      </c>
      <c r="BG313" s="67" t="str">
        <f t="shared" si="27"/>
        <v/>
      </c>
    </row>
    <row r="314" spans="1:59">
      <c r="A314" s="55"/>
      <c r="B314" s="56"/>
      <c r="C314" s="56"/>
      <c r="D314" s="56"/>
      <c r="E314" s="56"/>
      <c r="F314" s="56"/>
      <c r="G314" s="56"/>
      <c r="H314" s="56"/>
      <c r="I314" s="6"/>
      <c r="J314" s="6"/>
      <c r="K314" s="57"/>
      <c r="L314" s="57"/>
      <c r="M314" s="57"/>
      <c r="N314" s="56"/>
      <c r="O314" s="56"/>
      <c r="P314" s="56"/>
      <c r="Q314" s="56"/>
      <c r="R314" s="56"/>
      <c r="S314" s="56"/>
      <c r="T314" s="56"/>
      <c r="U314" s="56"/>
      <c r="V314" s="56"/>
      <c r="W314" s="56"/>
      <c r="X314" s="56"/>
      <c r="Y314" s="56"/>
      <c r="Z314" s="56"/>
      <c r="AA314" s="56"/>
      <c r="AB314" s="56"/>
      <c r="AC314" s="56"/>
      <c r="AD314" s="56"/>
      <c r="AE314" s="56"/>
      <c r="AF314" s="56"/>
      <c r="AG314" s="56"/>
      <c r="AH314" s="56"/>
      <c r="AI314" s="58"/>
      <c r="AJ314" s="56"/>
      <c r="AK314" s="56"/>
      <c r="AL314" s="56"/>
      <c r="AM314" s="57"/>
      <c r="AN314" s="57"/>
      <c r="AO314" s="56"/>
      <c r="AP314" s="56"/>
      <c r="AQ314" s="57"/>
      <c r="AR314" s="57"/>
      <c r="AS314" s="57"/>
      <c r="AT314" s="67">
        <f t="shared" ca="1" si="28"/>
        <v>0</v>
      </c>
      <c r="AU314" s="79" t="str">
        <f t="shared" ca="1" si="29"/>
        <v/>
      </c>
      <c r="AV314" s="79" t="str" cm="1">
        <f t="array" aca="1" ref="AV314" ca="1">IFERROR(_xlfn.IFS($AU314="","",$AU314&lt;=15,"0-15",AND($AU314&gt;=16,$AU314&lt;=30),"16-30",AND($AU314&gt;=31,$AU314&lt;=45),"31-45",AND($AU314&gt;=46,$AU314&lt;=60),"46-60",AND($AU314&gt;=61,$AU314&lt;=90),"61-90",AND($AU314&gt;=91),"&gt; 90",AND($AU314&gt;=2000),""),"")</f>
        <v/>
      </c>
      <c r="AW314" s="79" t="str" cm="1">
        <f t="array" aca="1" ref="AW314" ca="1">IFERROR(_xlfn.IFS(OR($M314="",$AM314=""),"",OR($C314="Offered",$C314="Joined"),($AM314-$M314)-$AT314),"")</f>
        <v/>
      </c>
      <c r="AX314" s="79" t="str" cm="1">
        <f t="array" aca="1" ref="AX314" ca="1">IFERROR(_xlfn.IFS(OR($M314="",$AS314=""),"",$C314="Joined",($AS314-$M314)-$AT314),"")</f>
        <v/>
      </c>
      <c r="AY314" s="67" t="str">
        <f>IFERROR(IF(COUNTIFS('Candidate Tracker'!$E:$E,'Positions Tracker'!$B314,'Candidate Tracker'!$C:$C,"Offer Drop")=0,"",COUNTIFS('Candidate Tracker'!$E:$E,'Positions Tracker'!$B314,'Candidate Tracker'!$C:$C,"Offer Drop")),"")</f>
        <v/>
      </c>
      <c r="AZ314" s="80">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0.88111888111888115</v>
      </c>
      <c r="BA314" s="81" t="str">
        <f>IFERROR(IF(COUNTIFS('Candidate Tracker'!$E:$E,'Positions Tracker'!$B314,'Candidate Tracker'!$I:$I,"Female")=0,"",COUNTIFS('Candidate Tracker'!$E:$E,'Positions Tracker'!$B314,'Candidate Tracker'!$I:$I,"Female")),"")</f>
        <v/>
      </c>
      <c r="BB314" s="81" t="str">
        <f>IFERROR(IF(COUNTIFS('Candidate Tracker'!$E:$E,'Positions Tracker'!$B314,'Candidate Tracker'!$I:$I,"male")=0,"",COUNTIFS('Candidate Tracker'!$E:$E,'Positions Tracker'!$B314,'Candidate Tracker'!$I:$I,"male")),"")</f>
        <v/>
      </c>
      <c r="BC314" s="80" t="str">
        <f>IFERROR(IF(COUNTIFS('Candidate Tracker'!$E:$E,'Positions Tracker'!$B314,'Candidate Tracker'!$C:$C,"&lt;&gt;WIP",'Candidate Tracker'!$C:$C,"&lt;&gt;Hold",'Candidate Tracker'!$C:$C,"&lt;&gt;Cancelled",'Candidate Tracker'!$C:$C,"&lt;&gt;Closed")/COUNTIFS('Candidate Tracker'!$E:$E,'Positions Tracker'!$B314)=0,"",COUNTIFS('Candidate Tracker'!$E:$E,'Positions Tracker'!$B314,'Candidate Tracker'!$C:$C,"&lt;&gt;WIP",'Candidate Tracker'!$C:$C,"&lt;&gt;Hold",'Candidate Tracker'!$C:$C,"&lt;&gt;Cancelled",'Candidate Tracker'!$C:$C,"&lt;&gt;Closed")/COUNTIFS('Candidate Tracker'!$E:$E,'Positions Tracker'!$B314)),"")</f>
        <v/>
      </c>
      <c r="BD314" s="67" t="str">
        <f t="shared" si="24"/>
        <v/>
      </c>
      <c r="BE314" s="67" t="str">
        <f t="shared" si="25"/>
        <v/>
      </c>
      <c r="BF314" s="67" t="str">
        <f t="shared" si="26"/>
        <v/>
      </c>
      <c r="BG314" s="67" t="str">
        <f t="shared" si="27"/>
        <v/>
      </c>
    </row>
    <row r="315" spans="1:59">
      <c r="A315" s="55"/>
      <c r="B315" s="56"/>
      <c r="C315" s="56"/>
      <c r="D315" s="56"/>
      <c r="E315" s="56"/>
      <c r="F315" s="56"/>
      <c r="G315" s="56"/>
      <c r="H315" s="56"/>
      <c r="I315" s="6"/>
      <c r="J315" s="6"/>
      <c r="K315" s="57"/>
      <c r="L315" s="57"/>
      <c r="M315" s="57"/>
      <c r="N315" s="56"/>
      <c r="O315" s="56"/>
      <c r="P315" s="56"/>
      <c r="Q315" s="56"/>
      <c r="R315" s="56"/>
      <c r="S315" s="56"/>
      <c r="T315" s="56"/>
      <c r="U315" s="56"/>
      <c r="V315" s="56"/>
      <c r="W315" s="56"/>
      <c r="X315" s="56"/>
      <c r="Y315" s="56"/>
      <c r="Z315" s="56"/>
      <c r="AA315" s="56"/>
      <c r="AB315" s="56"/>
      <c r="AC315" s="56"/>
      <c r="AD315" s="56"/>
      <c r="AE315" s="56"/>
      <c r="AF315" s="56"/>
      <c r="AG315" s="56"/>
      <c r="AH315" s="56"/>
      <c r="AI315" s="58"/>
      <c r="AJ315" s="56"/>
      <c r="AK315" s="56"/>
      <c r="AL315" s="56"/>
      <c r="AM315" s="57"/>
      <c r="AN315" s="57"/>
      <c r="AO315" s="56"/>
      <c r="AP315" s="56"/>
      <c r="AQ315" s="57"/>
      <c r="AR315" s="57"/>
      <c r="AS315" s="57"/>
      <c r="AT315" s="67">
        <f t="shared" ca="1" si="28"/>
        <v>0</v>
      </c>
      <c r="AU315" s="79" t="str">
        <f t="shared" ca="1" si="29"/>
        <v/>
      </c>
      <c r="AV315" s="79" t="str" cm="1">
        <f t="array" aca="1" ref="AV315" ca="1">IFERROR(_xlfn.IFS($AU315="","",$AU315&lt;=15,"0-15",AND($AU315&gt;=16,$AU315&lt;=30),"16-30",AND($AU315&gt;=31,$AU315&lt;=45),"31-45",AND($AU315&gt;=46,$AU315&lt;=60),"46-60",AND($AU315&gt;=61,$AU315&lt;=90),"61-90",AND($AU315&gt;=91),"&gt; 90",AND($AU315&gt;=2000),""),"")</f>
        <v/>
      </c>
      <c r="AW315" s="79" t="str" cm="1">
        <f t="array" aca="1" ref="AW315" ca="1">IFERROR(_xlfn.IFS(OR($M315="",$AM315=""),"",OR($C315="Offered",$C315="Joined"),($AM315-$M315)-$AT315),"")</f>
        <v/>
      </c>
      <c r="AX315" s="79" t="str" cm="1">
        <f t="array" aca="1" ref="AX315" ca="1">IFERROR(_xlfn.IFS(OR($M315="",$AS315=""),"",$C315="Joined",($AS315-$M315)-$AT315),"")</f>
        <v/>
      </c>
      <c r="AY315" s="67" t="str">
        <f>IFERROR(IF(COUNTIFS('Candidate Tracker'!$E:$E,'Positions Tracker'!$B315,'Candidate Tracker'!$C:$C,"Offer Drop")=0,"",COUNTIFS('Candidate Tracker'!$E:$E,'Positions Tracker'!$B315,'Candidate Tracker'!$C:$C,"Offer Drop")),"")</f>
        <v/>
      </c>
      <c r="AZ315" s="80">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0.88111888111888115</v>
      </c>
      <c r="BA315" s="81" t="str">
        <f>IFERROR(IF(COUNTIFS('Candidate Tracker'!$E:$E,'Positions Tracker'!$B315,'Candidate Tracker'!$I:$I,"Female")=0,"",COUNTIFS('Candidate Tracker'!$E:$E,'Positions Tracker'!$B315,'Candidate Tracker'!$I:$I,"Female")),"")</f>
        <v/>
      </c>
      <c r="BB315" s="81" t="str">
        <f>IFERROR(IF(COUNTIFS('Candidate Tracker'!$E:$E,'Positions Tracker'!$B315,'Candidate Tracker'!$I:$I,"male")=0,"",COUNTIFS('Candidate Tracker'!$E:$E,'Positions Tracker'!$B315,'Candidate Tracker'!$I:$I,"male")),"")</f>
        <v/>
      </c>
      <c r="BC315" s="80" t="str">
        <f>IFERROR(IF(COUNTIFS('Candidate Tracker'!$E:$E,'Positions Tracker'!$B315,'Candidate Tracker'!$C:$C,"&lt;&gt;WIP",'Candidate Tracker'!$C:$C,"&lt;&gt;Hold",'Candidate Tracker'!$C:$C,"&lt;&gt;Cancelled",'Candidate Tracker'!$C:$C,"&lt;&gt;Closed")/COUNTIFS('Candidate Tracker'!$E:$E,'Positions Tracker'!$B315)=0,"",COUNTIFS('Candidate Tracker'!$E:$E,'Positions Tracker'!$B315,'Candidate Tracker'!$C:$C,"&lt;&gt;WIP",'Candidate Tracker'!$C:$C,"&lt;&gt;Hold",'Candidate Tracker'!$C:$C,"&lt;&gt;Cancelled",'Candidate Tracker'!$C:$C,"&lt;&gt;Closed")/COUNTIFS('Candidate Tracker'!$E:$E,'Positions Tracker'!$B315)),"")</f>
        <v/>
      </c>
      <c r="BD315" s="67" t="str">
        <f t="shared" si="24"/>
        <v/>
      </c>
      <c r="BE315" s="67" t="str">
        <f t="shared" si="25"/>
        <v/>
      </c>
      <c r="BF315" s="67" t="str">
        <f t="shared" si="26"/>
        <v/>
      </c>
      <c r="BG315" s="67" t="str">
        <f t="shared" si="27"/>
        <v/>
      </c>
    </row>
    <row r="316" spans="1:59">
      <c r="A316" s="55"/>
      <c r="B316" s="56"/>
      <c r="C316" s="56"/>
      <c r="D316" s="56"/>
      <c r="E316" s="56"/>
      <c r="F316" s="56"/>
      <c r="G316" s="56"/>
      <c r="H316" s="56"/>
      <c r="I316" s="6"/>
      <c r="J316" s="6"/>
      <c r="K316" s="57"/>
      <c r="L316" s="57"/>
      <c r="M316" s="57"/>
      <c r="N316" s="56"/>
      <c r="O316" s="56"/>
      <c r="P316" s="56"/>
      <c r="Q316" s="56"/>
      <c r="R316" s="56"/>
      <c r="S316" s="56"/>
      <c r="T316" s="56"/>
      <c r="U316" s="56"/>
      <c r="V316" s="56"/>
      <c r="W316" s="56"/>
      <c r="X316" s="56"/>
      <c r="Y316" s="56"/>
      <c r="Z316" s="56"/>
      <c r="AA316" s="56"/>
      <c r="AB316" s="56"/>
      <c r="AC316" s="56"/>
      <c r="AD316" s="56"/>
      <c r="AE316" s="56"/>
      <c r="AF316" s="56"/>
      <c r="AG316" s="56"/>
      <c r="AH316" s="56"/>
      <c r="AI316" s="58"/>
      <c r="AJ316" s="56"/>
      <c r="AK316" s="56"/>
      <c r="AL316" s="56"/>
      <c r="AM316" s="57"/>
      <c r="AN316" s="57"/>
      <c r="AO316" s="56"/>
      <c r="AP316" s="56"/>
      <c r="AQ316" s="57"/>
      <c r="AR316" s="57"/>
      <c r="AS316" s="57"/>
      <c r="AT316" s="67">
        <f t="shared" ca="1" si="28"/>
        <v>0</v>
      </c>
      <c r="AU316" s="79" t="str">
        <f t="shared" ca="1" si="29"/>
        <v/>
      </c>
      <c r="AV316" s="79" t="str" cm="1">
        <f t="array" aca="1" ref="AV316" ca="1">IFERROR(_xlfn.IFS($AU316="","",$AU316&lt;=15,"0-15",AND($AU316&gt;=16,$AU316&lt;=30),"16-30",AND($AU316&gt;=31,$AU316&lt;=45),"31-45",AND($AU316&gt;=46,$AU316&lt;=60),"46-60",AND($AU316&gt;=61,$AU316&lt;=90),"61-90",AND($AU316&gt;=91),"&gt; 90",AND($AU316&gt;=2000),""),"")</f>
        <v/>
      </c>
      <c r="AW316" s="79" t="str" cm="1">
        <f t="array" aca="1" ref="AW316" ca="1">IFERROR(_xlfn.IFS(OR($M316="",$AM316=""),"",OR($C316="Offered",$C316="Joined"),($AM316-$M316)-$AT316),"")</f>
        <v/>
      </c>
      <c r="AX316" s="79" t="str" cm="1">
        <f t="array" aca="1" ref="AX316" ca="1">IFERROR(_xlfn.IFS(OR($M316="",$AS316=""),"",$C316="Joined",($AS316-$M316)-$AT316),"")</f>
        <v/>
      </c>
      <c r="AY316" s="67" t="str">
        <f>IFERROR(IF(COUNTIFS('Candidate Tracker'!$E:$E,'Positions Tracker'!$B316,'Candidate Tracker'!$C:$C,"Offer Drop")=0,"",COUNTIFS('Candidate Tracker'!$E:$E,'Positions Tracker'!$B316,'Candidate Tracker'!$C:$C,"Offer Drop")),"")</f>
        <v/>
      </c>
      <c r="AZ316" s="80">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0.88111888111888115</v>
      </c>
      <c r="BA316" s="81" t="str">
        <f>IFERROR(IF(COUNTIFS('Candidate Tracker'!$E:$E,'Positions Tracker'!$B316,'Candidate Tracker'!$I:$I,"Female")=0,"",COUNTIFS('Candidate Tracker'!$E:$E,'Positions Tracker'!$B316,'Candidate Tracker'!$I:$I,"Female")),"")</f>
        <v/>
      </c>
      <c r="BB316" s="81" t="str">
        <f>IFERROR(IF(COUNTIFS('Candidate Tracker'!$E:$E,'Positions Tracker'!$B316,'Candidate Tracker'!$I:$I,"male")=0,"",COUNTIFS('Candidate Tracker'!$E:$E,'Positions Tracker'!$B316,'Candidate Tracker'!$I:$I,"male")),"")</f>
        <v/>
      </c>
      <c r="BC316" s="80" t="str">
        <f>IFERROR(IF(COUNTIFS('Candidate Tracker'!$E:$E,'Positions Tracker'!$B316,'Candidate Tracker'!$C:$C,"&lt;&gt;WIP",'Candidate Tracker'!$C:$C,"&lt;&gt;Hold",'Candidate Tracker'!$C:$C,"&lt;&gt;Cancelled",'Candidate Tracker'!$C:$C,"&lt;&gt;Closed")/COUNTIFS('Candidate Tracker'!$E:$E,'Positions Tracker'!$B316)=0,"",COUNTIFS('Candidate Tracker'!$E:$E,'Positions Tracker'!$B316,'Candidate Tracker'!$C:$C,"&lt;&gt;WIP",'Candidate Tracker'!$C:$C,"&lt;&gt;Hold",'Candidate Tracker'!$C:$C,"&lt;&gt;Cancelled",'Candidate Tracker'!$C:$C,"&lt;&gt;Closed")/COUNTIFS('Candidate Tracker'!$E:$E,'Positions Tracker'!$B316)),"")</f>
        <v/>
      </c>
      <c r="BD316" s="67" t="str">
        <f t="shared" si="24"/>
        <v/>
      </c>
      <c r="BE316" s="67" t="str">
        <f t="shared" si="25"/>
        <v/>
      </c>
      <c r="BF316" s="67" t="str">
        <f t="shared" si="26"/>
        <v/>
      </c>
      <c r="BG316" s="67" t="str">
        <f t="shared" si="27"/>
        <v/>
      </c>
    </row>
    <row r="317" spans="1:59">
      <c r="A317" s="55"/>
      <c r="B317" s="56"/>
      <c r="C317" s="56"/>
      <c r="D317" s="56"/>
      <c r="E317" s="56"/>
      <c r="F317" s="56"/>
      <c r="G317" s="56"/>
      <c r="H317" s="56"/>
      <c r="I317" s="6"/>
      <c r="J317" s="6"/>
      <c r="K317" s="57"/>
      <c r="L317" s="57"/>
      <c r="M317" s="57"/>
      <c r="N317" s="56"/>
      <c r="O317" s="56"/>
      <c r="P317" s="56"/>
      <c r="Q317" s="56"/>
      <c r="R317" s="56"/>
      <c r="S317" s="56"/>
      <c r="T317" s="56"/>
      <c r="U317" s="56"/>
      <c r="V317" s="56"/>
      <c r="W317" s="56"/>
      <c r="X317" s="56"/>
      <c r="Y317" s="56"/>
      <c r="Z317" s="56"/>
      <c r="AA317" s="56"/>
      <c r="AB317" s="56"/>
      <c r="AC317" s="56"/>
      <c r="AD317" s="56"/>
      <c r="AE317" s="56"/>
      <c r="AF317" s="56"/>
      <c r="AG317" s="56"/>
      <c r="AH317" s="56"/>
      <c r="AI317" s="58"/>
      <c r="AJ317" s="56"/>
      <c r="AK317" s="56"/>
      <c r="AL317" s="56"/>
      <c r="AM317" s="57"/>
      <c r="AN317" s="57"/>
      <c r="AO317" s="56"/>
      <c r="AP317" s="56"/>
      <c r="AQ317" s="57"/>
      <c r="AR317" s="57"/>
      <c r="AS317" s="57"/>
      <c r="AT317" s="67">
        <f t="shared" ca="1" si="28"/>
        <v>0</v>
      </c>
      <c r="AU317" s="79" t="str">
        <f t="shared" ca="1" si="29"/>
        <v/>
      </c>
      <c r="AV317" s="79" t="str" cm="1">
        <f t="array" aca="1" ref="AV317" ca="1">IFERROR(_xlfn.IFS($AU317="","",$AU317&lt;=15,"0-15",AND($AU317&gt;=16,$AU317&lt;=30),"16-30",AND($AU317&gt;=31,$AU317&lt;=45),"31-45",AND($AU317&gt;=46,$AU317&lt;=60),"46-60",AND($AU317&gt;=61,$AU317&lt;=90),"61-90",AND($AU317&gt;=91),"&gt; 90",AND($AU317&gt;=2000),""),"")</f>
        <v/>
      </c>
      <c r="AW317" s="79" t="str" cm="1">
        <f t="array" aca="1" ref="AW317" ca="1">IFERROR(_xlfn.IFS(OR($M317="",$AM317=""),"",OR($C317="Offered",$C317="Joined"),($AM317-$M317)-$AT317),"")</f>
        <v/>
      </c>
      <c r="AX317" s="79" t="str" cm="1">
        <f t="array" aca="1" ref="AX317" ca="1">IFERROR(_xlfn.IFS(OR($M317="",$AS317=""),"",$C317="Joined",($AS317-$M317)-$AT317),"")</f>
        <v/>
      </c>
      <c r="AY317" s="67" t="str">
        <f>IFERROR(IF(COUNTIFS('Candidate Tracker'!$E:$E,'Positions Tracker'!$B317,'Candidate Tracker'!$C:$C,"Offer Drop")=0,"",COUNTIFS('Candidate Tracker'!$E:$E,'Positions Tracker'!$B317,'Candidate Tracker'!$C:$C,"Offer Drop")),"")</f>
        <v/>
      </c>
      <c r="AZ317" s="80">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0.88111888111888115</v>
      </c>
      <c r="BA317" s="81" t="str">
        <f>IFERROR(IF(COUNTIFS('Candidate Tracker'!$E:$E,'Positions Tracker'!$B317,'Candidate Tracker'!$I:$I,"Female")=0,"",COUNTIFS('Candidate Tracker'!$E:$E,'Positions Tracker'!$B317,'Candidate Tracker'!$I:$I,"Female")),"")</f>
        <v/>
      </c>
      <c r="BB317" s="81" t="str">
        <f>IFERROR(IF(COUNTIFS('Candidate Tracker'!$E:$E,'Positions Tracker'!$B317,'Candidate Tracker'!$I:$I,"male")=0,"",COUNTIFS('Candidate Tracker'!$E:$E,'Positions Tracker'!$B317,'Candidate Tracker'!$I:$I,"male")),"")</f>
        <v/>
      </c>
      <c r="BC317" s="80" t="str">
        <f>IFERROR(IF(COUNTIFS('Candidate Tracker'!$E:$E,'Positions Tracker'!$B317,'Candidate Tracker'!$C:$C,"&lt;&gt;WIP",'Candidate Tracker'!$C:$C,"&lt;&gt;Hold",'Candidate Tracker'!$C:$C,"&lt;&gt;Cancelled",'Candidate Tracker'!$C:$C,"&lt;&gt;Closed")/COUNTIFS('Candidate Tracker'!$E:$E,'Positions Tracker'!$B317)=0,"",COUNTIFS('Candidate Tracker'!$E:$E,'Positions Tracker'!$B317,'Candidate Tracker'!$C:$C,"&lt;&gt;WIP",'Candidate Tracker'!$C:$C,"&lt;&gt;Hold",'Candidate Tracker'!$C:$C,"&lt;&gt;Cancelled",'Candidate Tracker'!$C:$C,"&lt;&gt;Closed")/COUNTIFS('Candidate Tracker'!$E:$E,'Positions Tracker'!$B317)),"")</f>
        <v/>
      </c>
      <c r="BD317" s="67" t="str">
        <f t="shared" si="24"/>
        <v/>
      </c>
      <c r="BE317" s="67" t="str">
        <f t="shared" si="25"/>
        <v/>
      </c>
      <c r="BF317" s="67" t="str">
        <f t="shared" si="26"/>
        <v/>
      </c>
      <c r="BG317" s="67" t="str">
        <f t="shared" si="27"/>
        <v/>
      </c>
    </row>
    <row r="318" spans="1:59">
      <c r="A318" s="55"/>
      <c r="B318" s="56"/>
      <c r="C318" s="56"/>
      <c r="D318" s="56"/>
      <c r="E318" s="56"/>
      <c r="F318" s="56"/>
      <c r="G318" s="56"/>
      <c r="H318" s="56"/>
      <c r="I318" s="6"/>
      <c r="J318" s="6"/>
      <c r="K318" s="57"/>
      <c r="L318" s="57"/>
      <c r="M318" s="57"/>
      <c r="N318" s="56"/>
      <c r="O318" s="56"/>
      <c r="P318" s="56"/>
      <c r="Q318" s="56"/>
      <c r="R318" s="56"/>
      <c r="S318" s="56"/>
      <c r="T318" s="56"/>
      <c r="U318" s="56"/>
      <c r="V318" s="56"/>
      <c r="W318" s="56"/>
      <c r="X318" s="56"/>
      <c r="Y318" s="56"/>
      <c r="Z318" s="56"/>
      <c r="AA318" s="56"/>
      <c r="AB318" s="56"/>
      <c r="AC318" s="56"/>
      <c r="AD318" s="56"/>
      <c r="AE318" s="56"/>
      <c r="AF318" s="56"/>
      <c r="AG318" s="56"/>
      <c r="AH318" s="56"/>
      <c r="AI318" s="58"/>
      <c r="AJ318" s="56"/>
      <c r="AK318" s="56"/>
      <c r="AL318" s="56"/>
      <c r="AM318" s="57"/>
      <c r="AN318" s="57"/>
      <c r="AO318" s="56"/>
      <c r="AP318" s="56"/>
      <c r="AQ318" s="57"/>
      <c r="AR318" s="57"/>
      <c r="AS318" s="57"/>
      <c r="AT318" s="67">
        <f t="shared" ca="1" si="28"/>
        <v>0</v>
      </c>
      <c r="AU318" s="79" t="str">
        <f t="shared" ca="1" si="29"/>
        <v/>
      </c>
      <c r="AV318" s="79" t="str" cm="1">
        <f t="array" aca="1" ref="AV318" ca="1">IFERROR(_xlfn.IFS($AU318="","",$AU318&lt;=15,"0-15",AND($AU318&gt;=16,$AU318&lt;=30),"16-30",AND($AU318&gt;=31,$AU318&lt;=45),"31-45",AND($AU318&gt;=46,$AU318&lt;=60),"46-60",AND($AU318&gt;=61,$AU318&lt;=90),"61-90",AND($AU318&gt;=91),"&gt; 90",AND($AU318&gt;=2000),""),"")</f>
        <v/>
      </c>
      <c r="AW318" s="79" t="str" cm="1">
        <f t="array" aca="1" ref="AW318" ca="1">IFERROR(_xlfn.IFS(OR($M318="",$AM318=""),"",OR($C318="Offered",$C318="Joined"),($AM318-$M318)-$AT318),"")</f>
        <v/>
      </c>
      <c r="AX318" s="79" t="str" cm="1">
        <f t="array" aca="1" ref="AX318" ca="1">IFERROR(_xlfn.IFS(OR($M318="",$AS318=""),"",$C318="Joined",($AS318-$M318)-$AT318),"")</f>
        <v/>
      </c>
      <c r="AY318" s="67" t="str">
        <f>IFERROR(IF(COUNTIFS('Candidate Tracker'!$E:$E,'Positions Tracker'!$B318,'Candidate Tracker'!$C:$C,"Offer Drop")=0,"",COUNTIFS('Candidate Tracker'!$E:$E,'Positions Tracker'!$B318,'Candidate Tracker'!$C:$C,"Offer Drop")),"")</f>
        <v/>
      </c>
      <c r="AZ318" s="80">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0.88111888111888115</v>
      </c>
      <c r="BA318" s="81" t="str">
        <f>IFERROR(IF(COUNTIFS('Candidate Tracker'!$E:$E,'Positions Tracker'!$B318,'Candidate Tracker'!$I:$I,"Female")=0,"",COUNTIFS('Candidate Tracker'!$E:$E,'Positions Tracker'!$B318,'Candidate Tracker'!$I:$I,"Female")),"")</f>
        <v/>
      </c>
      <c r="BB318" s="81" t="str">
        <f>IFERROR(IF(COUNTIFS('Candidate Tracker'!$E:$E,'Positions Tracker'!$B318,'Candidate Tracker'!$I:$I,"male")=0,"",COUNTIFS('Candidate Tracker'!$E:$E,'Positions Tracker'!$B318,'Candidate Tracker'!$I:$I,"male")),"")</f>
        <v/>
      </c>
      <c r="BC318" s="80" t="str">
        <f>IFERROR(IF(COUNTIFS('Candidate Tracker'!$E:$E,'Positions Tracker'!$B318,'Candidate Tracker'!$C:$C,"&lt;&gt;WIP",'Candidate Tracker'!$C:$C,"&lt;&gt;Hold",'Candidate Tracker'!$C:$C,"&lt;&gt;Cancelled",'Candidate Tracker'!$C:$C,"&lt;&gt;Closed")/COUNTIFS('Candidate Tracker'!$E:$E,'Positions Tracker'!$B318)=0,"",COUNTIFS('Candidate Tracker'!$E:$E,'Positions Tracker'!$B318,'Candidate Tracker'!$C:$C,"&lt;&gt;WIP",'Candidate Tracker'!$C:$C,"&lt;&gt;Hold",'Candidate Tracker'!$C:$C,"&lt;&gt;Cancelled",'Candidate Tracker'!$C:$C,"&lt;&gt;Closed")/COUNTIFS('Candidate Tracker'!$E:$E,'Positions Tracker'!$B318)),"")</f>
        <v/>
      </c>
      <c r="BD318" s="67" t="str">
        <f t="shared" si="24"/>
        <v/>
      </c>
      <c r="BE318" s="67" t="str">
        <f t="shared" si="25"/>
        <v/>
      </c>
      <c r="BF318" s="67" t="str">
        <f t="shared" si="26"/>
        <v/>
      </c>
      <c r="BG318" s="67" t="str">
        <f t="shared" si="27"/>
        <v/>
      </c>
    </row>
    <row r="319" spans="1:59">
      <c r="A319" s="55"/>
      <c r="B319" s="56"/>
      <c r="C319" s="56"/>
      <c r="D319" s="56"/>
      <c r="E319" s="56"/>
      <c r="F319" s="56"/>
      <c r="G319" s="56"/>
      <c r="H319" s="56"/>
      <c r="I319" s="6"/>
      <c r="J319" s="6"/>
      <c r="K319" s="57"/>
      <c r="L319" s="57"/>
      <c r="M319" s="57"/>
      <c r="N319" s="56"/>
      <c r="O319" s="56"/>
      <c r="P319" s="56"/>
      <c r="Q319" s="56"/>
      <c r="R319" s="56"/>
      <c r="S319" s="56"/>
      <c r="T319" s="56"/>
      <c r="U319" s="56"/>
      <c r="V319" s="56"/>
      <c r="W319" s="56"/>
      <c r="X319" s="56"/>
      <c r="Y319" s="56"/>
      <c r="Z319" s="56"/>
      <c r="AA319" s="56"/>
      <c r="AB319" s="56"/>
      <c r="AC319" s="56"/>
      <c r="AD319" s="56"/>
      <c r="AE319" s="56"/>
      <c r="AF319" s="56"/>
      <c r="AG319" s="56"/>
      <c r="AH319" s="56"/>
      <c r="AI319" s="58"/>
      <c r="AJ319" s="56"/>
      <c r="AK319" s="56"/>
      <c r="AL319" s="56"/>
      <c r="AM319" s="57"/>
      <c r="AN319" s="57"/>
      <c r="AO319" s="56"/>
      <c r="AP319" s="56"/>
      <c r="AQ319" s="57"/>
      <c r="AR319" s="57"/>
      <c r="AS319" s="57"/>
      <c r="AT319" s="67">
        <f t="shared" ca="1" si="28"/>
        <v>0</v>
      </c>
      <c r="AU319" s="79" t="str">
        <f t="shared" ca="1" si="29"/>
        <v/>
      </c>
      <c r="AV319" s="79" t="str" cm="1">
        <f t="array" aca="1" ref="AV319" ca="1">IFERROR(_xlfn.IFS($AU319="","",$AU319&lt;=15,"0-15",AND($AU319&gt;=16,$AU319&lt;=30),"16-30",AND($AU319&gt;=31,$AU319&lt;=45),"31-45",AND($AU319&gt;=46,$AU319&lt;=60),"46-60",AND($AU319&gt;=61,$AU319&lt;=90),"61-90",AND($AU319&gt;=91),"&gt; 90",AND($AU319&gt;=2000),""),"")</f>
        <v/>
      </c>
      <c r="AW319" s="79" t="str" cm="1">
        <f t="array" aca="1" ref="AW319" ca="1">IFERROR(_xlfn.IFS(OR($M319="",$AM319=""),"",OR($C319="Offered",$C319="Joined"),($AM319-$M319)-$AT319),"")</f>
        <v/>
      </c>
      <c r="AX319" s="79" t="str" cm="1">
        <f t="array" aca="1" ref="AX319" ca="1">IFERROR(_xlfn.IFS(OR($M319="",$AS319=""),"",$C319="Joined",($AS319-$M319)-$AT319),"")</f>
        <v/>
      </c>
      <c r="AY319" s="67" t="str">
        <f>IFERROR(IF(COUNTIFS('Candidate Tracker'!$E:$E,'Positions Tracker'!$B319,'Candidate Tracker'!$C:$C,"Offer Drop")=0,"",COUNTIFS('Candidate Tracker'!$E:$E,'Positions Tracker'!$B319,'Candidate Tracker'!$C:$C,"Offer Drop")),"")</f>
        <v/>
      </c>
      <c r="AZ319" s="80">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0.88111888111888115</v>
      </c>
      <c r="BA319" s="81" t="str">
        <f>IFERROR(IF(COUNTIFS('Candidate Tracker'!$E:$E,'Positions Tracker'!$B319,'Candidate Tracker'!$I:$I,"Female")=0,"",COUNTIFS('Candidate Tracker'!$E:$E,'Positions Tracker'!$B319,'Candidate Tracker'!$I:$I,"Female")),"")</f>
        <v/>
      </c>
      <c r="BB319" s="81" t="str">
        <f>IFERROR(IF(COUNTIFS('Candidate Tracker'!$E:$E,'Positions Tracker'!$B319,'Candidate Tracker'!$I:$I,"male")=0,"",COUNTIFS('Candidate Tracker'!$E:$E,'Positions Tracker'!$B319,'Candidate Tracker'!$I:$I,"male")),"")</f>
        <v/>
      </c>
      <c r="BC319" s="80" t="str">
        <f>IFERROR(IF(COUNTIFS('Candidate Tracker'!$E:$E,'Positions Tracker'!$B319,'Candidate Tracker'!$C:$C,"&lt;&gt;WIP",'Candidate Tracker'!$C:$C,"&lt;&gt;Hold",'Candidate Tracker'!$C:$C,"&lt;&gt;Cancelled",'Candidate Tracker'!$C:$C,"&lt;&gt;Closed")/COUNTIFS('Candidate Tracker'!$E:$E,'Positions Tracker'!$B319)=0,"",COUNTIFS('Candidate Tracker'!$E:$E,'Positions Tracker'!$B319,'Candidate Tracker'!$C:$C,"&lt;&gt;WIP",'Candidate Tracker'!$C:$C,"&lt;&gt;Hold",'Candidate Tracker'!$C:$C,"&lt;&gt;Cancelled",'Candidate Tracker'!$C:$C,"&lt;&gt;Closed")/COUNTIFS('Candidate Tracker'!$E:$E,'Positions Tracker'!$B319)),"")</f>
        <v/>
      </c>
      <c r="BD319" s="67" t="str">
        <f t="shared" si="24"/>
        <v/>
      </c>
      <c r="BE319" s="67" t="str">
        <f t="shared" si="25"/>
        <v/>
      </c>
      <c r="BF319" s="67" t="str">
        <f t="shared" si="26"/>
        <v/>
      </c>
      <c r="BG319" s="67" t="str">
        <f t="shared" si="27"/>
        <v/>
      </c>
    </row>
    <row r="320" spans="1:59">
      <c r="A320" s="55"/>
      <c r="B320" s="56"/>
      <c r="C320" s="56"/>
      <c r="D320" s="56"/>
      <c r="E320" s="56"/>
      <c r="F320" s="56"/>
      <c r="G320" s="56"/>
      <c r="H320" s="56"/>
      <c r="I320" s="6"/>
      <c r="J320" s="6"/>
      <c r="K320" s="57"/>
      <c r="L320" s="57"/>
      <c r="M320" s="57"/>
      <c r="N320" s="56"/>
      <c r="O320" s="56"/>
      <c r="P320" s="56"/>
      <c r="Q320" s="56"/>
      <c r="R320" s="56"/>
      <c r="S320" s="56"/>
      <c r="T320" s="56"/>
      <c r="U320" s="56"/>
      <c r="V320" s="56"/>
      <c r="W320" s="56"/>
      <c r="X320" s="56"/>
      <c r="Y320" s="56"/>
      <c r="Z320" s="56"/>
      <c r="AA320" s="56"/>
      <c r="AB320" s="56"/>
      <c r="AC320" s="56"/>
      <c r="AD320" s="56"/>
      <c r="AE320" s="56"/>
      <c r="AF320" s="56"/>
      <c r="AG320" s="56"/>
      <c r="AH320" s="56"/>
      <c r="AI320" s="58"/>
      <c r="AJ320" s="56"/>
      <c r="AK320" s="56"/>
      <c r="AL320" s="56"/>
      <c r="AM320" s="57"/>
      <c r="AN320" s="57"/>
      <c r="AO320" s="56"/>
      <c r="AP320" s="56"/>
      <c r="AQ320" s="57"/>
      <c r="AR320" s="57"/>
      <c r="AS320" s="57"/>
      <c r="AT320" s="67">
        <f t="shared" ca="1" si="28"/>
        <v>0</v>
      </c>
      <c r="AU320" s="79" t="str">
        <f t="shared" ca="1" si="29"/>
        <v/>
      </c>
      <c r="AV320" s="79" t="str" cm="1">
        <f t="array" aca="1" ref="AV320" ca="1">IFERROR(_xlfn.IFS($AU320="","",$AU320&lt;=15,"0-15",AND($AU320&gt;=16,$AU320&lt;=30),"16-30",AND($AU320&gt;=31,$AU320&lt;=45),"31-45",AND($AU320&gt;=46,$AU320&lt;=60),"46-60",AND($AU320&gt;=61,$AU320&lt;=90),"61-90",AND($AU320&gt;=91),"&gt; 90",AND($AU320&gt;=2000),""),"")</f>
        <v/>
      </c>
      <c r="AW320" s="79" t="str" cm="1">
        <f t="array" aca="1" ref="AW320" ca="1">IFERROR(_xlfn.IFS(OR($M320="",$AM320=""),"",OR($C320="Offered",$C320="Joined"),($AM320-$M320)-$AT320),"")</f>
        <v/>
      </c>
      <c r="AX320" s="79" t="str" cm="1">
        <f t="array" aca="1" ref="AX320" ca="1">IFERROR(_xlfn.IFS(OR($M320="",$AS320=""),"",$C320="Joined",($AS320-$M320)-$AT320),"")</f>
        <v/>
      </c>
      <c r="AY320" s="67" t="str">
        <f>IFERROR(IF(COUNTIFS('Candidate Tracker'!$E:$E,'Positions Tracker'!$B320,'Candidate Tracker'!$C:$C,"Offer Drop")=0,"",COUNTIFS('Candidate Tracker'!$E:$E,'Positions Tracker'!$B320,'Candidate Tracker'!$C:$C,"Offer Drop")),"")</f>
        <v/>
      </c>
      <c r="AZ320" s="80">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0.88111888111888115</v>
      </c>
      <c r="BA320" s="81" t="str">
        <f>IFERROR(IF(COUNTIFS('Candidate Tracker'!$E:$E,'Positions Tracker'!$B320,'Candidate Tracker'!$I:$I,"Female")=0,"",COUNTIFS('Candidate Tracker'!$E:$E,'Positions Tracker'!$B320,'Candidate Tracker'!$I:$I,"Female")),"")</f>
        <v/>
      </c>
      <c r="BB320" s="81" t="str">
        <f>IFERROR(IF(COUNTIFS('Candidate Tracker'!$E:$E,'Positions Tracker'!$B320,'Candidate Tracker'!$I:$I,"male")=0,"",COUNTIFS('Candidate Tracker'!$E:$E,'Positions Tracker'!$B320,'Candidate Tracker'!$I:$I,"male")),"")</f>
        <v/>
      </c>
      <c r="BC320" s="80" t="str">
        <f>IFERROR(IF(COUNTIFS('Candidate Tracker'!$E:$E,'Positions Tracker'!$B320,'Candidate Tracker'!$C:$C,"&lt;&gt;WIP",'Candidate Tracker'!$C:$C,"&lt;&gt;Hold",'Candidate Tracker'!$C:$C,"&lt;&gt;Cancelled",'Candidate Tracker'!$C:$C,"&lt;&gt;Closed")/COUNTIFS('Candidate Tracker'!$E:$E,'Positions Tracker'!$B320)=0,"",COUNTIFS('Candidate Tracker'!$E:$E,'Positions Tracker'!$B320,'Candidate Tracker'!$C:$C,"&lt;&gt;WIP",'Candidate Tracker'!$C:$C,"&lt;&gt;Hold",'Candidate Tracker'!$C:$C,"&lt;&gt;Cancelled",'Candidate Tracker'!$C:$C,"&lt;&gt;Closed")/COUNTIFS('Candidate Tracker'!$E:$E,'Positions Tracker'!$B320)),"")</f>
        <v/>
      </c>
      <c r="BD320" s="67" t="str">
        <f t="shared" si="24"/>
        <v/>
      </c>
      <c r="BE320" s="67" t="str">
        <f t="shared" si="25"/>
        <v/>
      </c>
      <c r="BF320" s="67" t="str">
        <f t="shared" si="26"/>
        <v/>
      </c>
      <c r="BG320" s="67" t="str">
        <f t="shared" si="27"/>
        <v/>
      </c>
    </row>
    <row r="321" spans="1:59">
      <c r="A321" s="55"/>
      <c r="B321" s="56"/>
      <c r="C321" s="56"/>
      <c r="D321" s="56"/>
      <c r="E321" s="56"/>
      <c r="F321" s="56"/>
      <c r="G321" s="56"/>
      <c r="H321" s="56"/>
      <c r="I321" s="6"/>
      <c r="J321" s="6"/>
      <c r="K321" s="57"/>
      <c r="L321" s="57"/>
      <c r="M321" s="57"/>
      <c r="N321" s="56"/>
      <c r="O321" s="56"/>
      <c r="P321" s="56"/>
      <c r="Q321" s="56"/>
      <c r="R321" s="56"/>
      <c r="S321" s="56"/>
      <c r="T321" s="56"/>
      <c r="U321" s="56"/>
      <c r="V321" s="56"/>
      <c r="W321" s="56"/>
      <c r="X321" s="56"/>
      <c r="Y321" s="56"/>
      <c r="Z321" s="56"/>
      <c r="AA321" s="56"/>
      <c r="AB321" s="56"/>
      <c r="AC321" s="56"/>
      <c r="AD321" s="56"/>
      <c r="AE321" s="56"/>
      <c r="AF321" s="56"/>
      <c r="AG321" s="56"/>
      <c r="AH321" s="56"/>
      <c r="AI321" s="58"/>
      <c r="AJ321" s="56"/>
      <c r="AK321" s="56"/>
      <c r="AL321" s="56"/>
      <c r="AM321" s="57"/>
      <c r="AN321" s="57"/>
      <c r="AO321" s="56"/>
      <c r="AP321" s="56"/>
      <c r="AQ321" s="57"/>
      <c r="AR321" s="57"/>
      <c r="AS321" s="57"/>
      <c r="AT321" s="67">
        <f t="shared" ca="1" si="28"/>
        <v>0</v>
      </c>
      <c r="AU321" s="79" t="str">
        <f t="shared" ca="1" si="29"/>
        <v/>
      </c>
      <c r="AV321" s="79" t="str" cm="1">
        <f t="array" aca="1" ref="AV321" ca="1">IFERROR(_xlfn.IFS($AU321="","",$AU321&lt;=15,"0-15",AND($AU321&gt;=16,$AU321&lt;=30),"16-30",AND($AU321&gt;=31,$AU321&lt;=45),"31-45",AND($AU321&gt;=46,$AU321&lt;=60),"46-60",AND($AU321&gt;=61,$AU321&lt;=90),"61-90",AND($AU321&gt;=91),"&gt; 90",AND($AU321&gt;=2000),""),"")</f>
        <v/>
      </c>
      <c r="AW321" s="79" t="str" cm="1">
        <f t="array" aca="1" ref="AW321" ca="1">IFERROR(_xlfn.IFS(OR($M321="",$AM321=""),"",OR($C321="Offered",$C321="Joined"),($AM321-$M321)-$AT321),"")</f>
        <v/>
      </c>
      <c r="AX321" s="79" t="str" cm="1">
        <f t="array" aca="1" ref="AX321" ca="1">IFERROR(_xlfn.IFS(OR($M321="",$AS321=""),"",$C321="Joined",($AS321-$M321)-$AT321),"")</f>
        <v/>
      </c>
      <c r="AY321" s="67" t="str">
        <f>IFERROR(IF(COUNTIFS('Candidate Tracker'!$E:$E,'Positions Tracker'!$B321,'Candidate Tracker'!$C:$C,"Offer Drop")=0,"",COUNTIFS('Candidate Tracker'!$E:$E,'Positions Tracker'!$B321,'Candidate Tracker'!$C:$C,"Offer Drop")),"")</f>
        <v/>
      </c>
      <c r="AZ321" s="80">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0.88111888111888115</v>
      </c>
      <c r="BA321" s="81" t="str">
        <f>IFERROR(IF(COUNTIFS('Candidate Tracker'!$E:$E,'Positions Tracker'!$B321,'Candidate Tracker'!$I:$I,"Female")=0,"",COUNTIFS('Candidate Tracker'!$E:$E,'Positions Tracker'!$B321,'Candidate Tracker'!$I:$I,"Female")),"")</f>
        <v/>
      </c>
      <c r="BB321" s="81" t="str">
        <f>IFERROR(IF(COUNTIFS('Candidate Tracker'!$E:$E,'Positions Tracker'!$B321,'Candidate Tracker'!$I:$I,"male")=0,"",COUNTIFS('Candidate Tracker'!$E:$E,'Positions Tracker'!$B321,'Candidate Tracker'!$I:$I,"male")),"")</f>
        <v/>
      </c>
      <c r="BC321" s="80" t="str">
        <f>IFERROR(IF(COUNTIFS('Candidate Tracker'!$E:$E,'Positions Tracker'!$B321,'Candidate Tracker'!$C:$C,"&lt;&gt;WIP",'Candidate Tracker'!$C:$C,"&lt;&gt;Hold",'Candidate Tracker'!$C:$C,"&lt;&gt;Cancelled",'Candidate Tracker'!$C:$C,"&lt;&gt;Closed")/COUNTIFS('Candidate Tracker'!$E:$E,'Positions Tracker'!$B321)=0,"",COUNTIFS('Candidate Tracker'!$E:$E,'Positions Tracker'!$B321,'Candidate Tracker'!$C:$C,"&lt;&gt;WIP",'Candidate Tracker'!$C:$C,"&lt;&gt;Hold",'Candidate Tracker'!$C:$C,"&lt;&gt;Cancelled",'Candidate Tracker'!$C:$C,"&lt;&gt;Closed")/COUNTIFS('Candidate Tracker'!$E:$E,'Positions Tracker'!$B321)),"")</f>
        <v/>
      </c>
      <c r="BD321" s="67" t="str">
        <f t="shared" ref="BD321:BD384" si="30">IFERROR(IF($M321="","",TEXT($M321,"MMM-YY")),"")</f>
        <v/>
      </c>
      <c r="BE321" s="67" t="str">
        <f t="shared" ref="BE321:BE384" si="31">IFERROR(IF($AI321="","",TEXT($AI321,"MMM-YY")),"")</f>
        <v/>
      </c>
      <c r="BF321" s="67" t="str">
        <f t="shared" ref="BF321:BF384" si="32">IFERROR(IF($AM321="","",TEXT($AM321,"MMM-YY")),"")</f>
        <v/>
      </c>
      <c r="BG321" s="67" t="str">
        <f t="shared" ref="BG321:BG384" si="33">IFERROR(IF($AS321="","",TEXT($AS321,"MMM-YY")),"")</f>
        <v/>
      </c>
    </row>
    <row r="322" spans="1:59">
      <c r="A322" s="55"/>
      <c r="B322" s="56"/>
      <c r="C322" s="56"/>
      <c r="D322" s="56"/>
      <c r="E322" s="56"/>
      <c r="F322" s="56"/>
      <c r="G322" s="56"/>
      <c r="H322" s="56"/>
      <c r="I322" s="6"/>
      <c r="J322" s="6"/>
      <c r="K322" s="57"/>
      <c r="L322" s="57"/>
      <c r="M322" s="57"/>
      <c r="N322" s="56"/>
      <c r="O322" s="56"/>
      <c r="P322" s="56"/>
      <c r="Q322" s="56"/>
      <c r="R322" s="56"/>
      <c r="S322" s="56"/>
      <c r="T322" s="56"/>
      <c r="U322" s="56"/>
      <c r="V322" s="56"/>
      <c r="W322" s="56"/>
      <c r="X322" s="56"/>
      <c r="Y322" s="56"/>
      <c r="Z322" s="56"/>
      <c r="AA322" s="56"/>
      <c r="AB322" s="56"/>
      <c r="AC322" s="56"/>
      <c r="AD322" s="56"/>
      <c r="AE322" s="56"/>
      <c r="AF322" s="56"/>
      <c r="AG322" s="56"/>
      <c r="AH322" s="56"/>
      <c r="AI322" s="58"/>
      <c r="AJ322" s="56"/>
      <c r="AK322" s="56"/>
      <c r="AL322" s="56"/>
      <c r="AM322" s="57"/>
      <c r="AN322" s="57"/>
      <c r="AO322" s="56"/>
      <c r="AP322" s="56"/>
      <c r="AQ322" s="57"/>
      <c r="AR322" s="57"/>
      <c r="AS322" s="57"/>
      <c r="AT322" s="67">
        <f t="shared" ref="AT322:AT385" ca="1" si="34">IFERROR(SUM(IF(AND(ISBLANK(T322),ISBLANK(Q322)),0,IF(T322="",TODAY()-Q322,T322-Q322))+IF(AND(ISBLANK(S322),ISBLANK(P322)),0,IF(S322="",TODAY()-P322,S322-P322))+IF(AND(ISBLANK(O322),ISBLANK(R322)),0,IF(R322="",TODAY()-O322,R322-O322))),"")</f>
        <v>0</v>
      </c>
      <c r="AU322" s="79" t="str">
        <f t="shared" ref="AU322:AU385" ca="1" si="35">IFERROR(IF(($M322=""),"",IF(OR(,$C322="Offer in Progress",$C322="WIP",$C322="WIP/Drop",$C322="WIP/New",$C322="WIP/Hold"),(TODAY()-$M322)-$AT322,"")),"")</f>
        <v/>
      </c>
      <c r="AV322" s="79" t="str" cm="1">
        <f t="array" aca="1" ref="AV322" ca="1">IFERROR(_xlfn.IFS($AU322="","",$AU322&lt;=15,"0-15",AND($AU322&gt;=16,$AU322&lt;=30),"16-30",AND($AU322&gt;=31,$AU322&lt;=45),"31-45",AND($AU322&gt;=46,$AU322&lt;=60),"46-60",AND($AU322&gt;=61,$AU322&lt;=90),"61-90",AND($AU322&gt;=91),"&gt; 90",AND($AU322&gt;=2000),""),"")</f>
        <v/>
      </c>
      <c r="AW322" s="79" t="str" cm="1">
        <f t="array" aca="1" ref="AW322" ca="1">IFERROR(_xlfn.IFS(OR($M322="",$AM322=""),"",OR($C322="Offered",$C322="Joined"),($AM322-$M322)-$AT322),"")</f>
        <v/>
      </c>
      <c r="AX322" s="79" t="str" cm="1">
        <f t="array" aca="1" ref="AX322" ca="1">IFERROR(_xlfn.IFS(OR($M322="",$AS322=""),"",$C322="Joined",($AS322-$M322)-$AT322),"")</f>
        <v/>
      </c>
      <c r="AY322" s="67" t="str">
        <f>IFERROR(IF(COUNTIFS('Candidate Tracker'!$E:$E,'Positions Tracker'!$B322,'Candidate Tracker'!$C:$C,"Offer Drop")=0,"",COUNTIFS('Candidate Tracker'!$E:$E,'Positions Tracker'!$B322,'Candidate Tracker'!$C:$C,"Offer Drop")),"")</f>
        <v/>
      </c>
      <c r="AZ322" s="80">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0.88111888111888115</v>
      </c>
      <c r="BA322" s="81" t="str">
        <f>IFERROR(IF(COUNTIFS('Candidate Tracker'!$E:$E,'Positions Tracker'!$B322,'Candidate Tracker'!$I:$I,"Female")=0,"",COUNTIFS('Candidate Tracker'!$E:$E,'Positions Tracker'!$B322,'Candidate Tracker'!$I:$I,"Female")),"")</f>
        <v/>
      </c>
      <c r="BB322" s="81" t="str">
        <f>IFERROR(IF(COUNTIFS('Candidate Tracker'!$E:$E,'Positions Tracker'!$B322,'Candidate Tracker'!$I:$I,"male")=0,"",COUNTIFS('Candidate Tracker'!$E:$E,'Positions Tracker'!$B322,'Candidate Tracker'!$I:$I,"male")),"")</f>
        <v/>
      </c>
      <c r="BC322" s="80" t="str">
        <f>IFERROR(IF(COUNTIFS('Candidate Tracker'!$E:$E,'Positions Tracker'!$B322,'Candidate Tracker'!$C:$C,"&lt;&gt;WIP",'Candidate Tracker'!$C:$C,"&lt;&gt;Hold",'Candidate Tracker'!$C:$C,"&lt;&gt;Cancelled",'Candidate Tracker'!$C:$C,"&lt;&gt;Closed")/COUNTIFS('Candidate Tracker'!$E:$E,'Positions Tracker'!$B322)=0,"",COUNTIFS('Candidate Tracker'!$E:$E,'Positions Tracker'!$B322,'Candidate Tracker'!$C:$C,"&lt;&gt;WIP",'Candidate Tracker'!$C:$C,"&lt;&gt;Hold",'Candidate Tracker'!$C:$C,"&lt;&gt;Cancelled",'Candidate Tracker'!$C:$C,"&lt;&gt;Closed")/COUNTIFS('Candidate Tracker'!$E:$E,'Positions Tracker'!$B322)),"")</f>
        <v/>
      </c>
      <c r="BD322" s="67" t="str">
        <f t="shared" si="30"/>
        <v/>
      </c>
      <c r="BE322" s="67" t="str">
        <f t="shared" si="31"/>
        <v/>
      </c>
      <c r="BF322" s="67" t="str">
        <f t="shared" si="32"/>
        <v/>
      </c>
      <c r="BG322" s="67" t="str">
        <f t="shared" si="33"/>
        <v/>
      </c>
    </row>
    <row r="323" spans="1:59">
      <c r="A323" s="55"/>
      <c r="B323" s="56"/>
      <c r="C323" s="56"/>
      <c r="D323" s="56"/>
      <c r="E323" s="56"/>
      <c r="F323" s="56"/>
      <c r="G323" s="56"/>
      <c r="H323" s="56"/>
      <c r="I323" s="6"/>
      <c r="J323" s="6"/>
      <c r="K323" s="57"/>
      <c r="L323" s="57"/>
      <c r="M323" s="57"/>
      <c r="N323" s="56"/>
      <c r="O323" s="56"/>
      <c r="P323" s="56"/>
      <c r="Q323" s="56"/>
      <c r="R323" s="56"/>
      <c r="S323" s="56"/>
      <c r="T323" s="56"/>
      <c r="U323" s="56"/>
      <c r="V323" s="56"/>
      <c r="W323" s="56"/>
      <c r="X323" s="56"/>
      <c r="Y323" s="56"/>
      <c r="Z323" s="56"/>
      <c r="AA323" s="56"/>
      <c r="AB323" s="56"/>
      <c r="AC323" s="56"/>
      <c r="AD323" s="56"/>
      <c r="AE323" s="56"/>
      <c r="AF323" s="56"/>
      <c r="AG323" s="56"/>
      <c r="AH323" s="56"/>
      <c r="AI323" s="58"/>
      <c r="AJ323" s="56"/>
      <c r="AK323" s="56"/>
      <c r="AL323" s="56"/>
      <c r="AM323" s="57"/>
      <c r="AN323" s="57"/>
      <c r="AO323" s="56"/>
      <c r="AP323" s="56"/>
      <c r="AQ323" s="57"/>
      <c r="AR323" s="57"/>
      <c r="AS323" s="57"/>
      <c r="AT323" s="67">
        <f t="shared" ca="1" si="34"/>
        <v>0</v>
      </c>
      <c r="AU323" s="79" t="str">
        <f t="shared" ca="1" si="35"/>
        <v/>
      </c>
      <c r="AV323" s="79" t="str" cm="1">
        <f t="array" aca="1" ref="AV323" ca="1">IFERROR(_xlfn.IFS($AU323="","",$AU323&lt;=15,"0-15",AND($AU323&gt;=16,$AU323&lt;=30),"16-30",AND($AU323&gt;=31,$AU323&lt;=45),"31-45",AND($AU323&gt;=46,$AU323&lt;=60),"46-60",AND($AU323&gt;=61,$AU323&lt;=90),"61-90",AND($AU323&gt;=91),"&gt; 90",AND($AU323&gt;=2000),""),"")</f>
        <v/>
      </c>
      <c r="AW323" s="79" t="str" cm="1">
        <f t="array" aca="1" ref="AW323" ca="1">IFERROR(_xlfn.IFS(OR($M323="",$AM323=""),"",OR($C323="Offered",$C323="Joined"),($AM323-$M323)-$AT323),"")</f>
        <v/>
      </c>
      <c r="AX323" s="79" t="str" cm="1">
        <f t="array" aca="1" ref="AX323" ca="1">IFERROR(_xlfn.IFS(OR($M323="",$AS323=""),"",$C323="Joined",($AS323-$M323)-$AT323),"")</f>
        <v/>
      </c>
      <c r="AY323" s="67" t="str">
        <f>IFERROR(IF(COUNTIFS('Candidate Tracker'!$E:$E,'Positions Tracker'!$B323,'Candidate Tracker'!$C:$C,"Offer Drop")=0,"",COUNTIFS('Candidate Tracker'!$E:$E,'Positions Tracker'!$B323,'Candidate Tracker'!$C:$C,"Offer Drop")),"")</f>
        <v/>
      </c>
      <c r="AZ323" s="80">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0.88111888111888115</v>
      </c>
      <c r="BA323" s="81" t="str">
        <f>IFERROR(IF(COUNTIFS('Candidate Tracker'!$E:$E,'Positions Tracker'!$B323,'Candidate Tracker'!$I:$I,"Female")=0,"",COUNTIFS('Candidate Tracker'!$E:$E,'Positions Tracker'!$B323,'Candidate Tracker'!$I:$I,"Female")),"")</f>
        <v/>
      </c>
      <c r="BB323" s="81" t="str">
        <f>IFERROR(IF(COUNTIFS('Candidate Tracker'!$E:$E,'Positions Tracker'!$B323,'Candidate Tracker'!$I:$I,"male")=0,"",COUNTIFS('Candidate Tracker'!$E:$E,'Positions Tracker'!$B323,'Candidate Tracker'!$I:$I,"male")),"")</f>
        <v/>
      </c>
      <c r="BC323" s="80" t="str">
        <f>IFERROR(IF(COUNTIFS('Candidate Tracker'!$E:$E,'Positions Tracker'!$B323,'Candidate Tracker'!$C:$C,"&lt;&gt;WIP",'Candidate Tracker'!$C:$C,"&lt;&gt;Hold",'Candidate Tracker'!$C:$C,"&lt;&gt;Cancelled",'Candidate Tracker'!$C:$C,"&lt;&gt;Closed")/COUNTIFS('Candidate Tracker'!$E:$E,'Positions Tracker'!$B323)=0,"",COUNTIFS('Candidate Tracker'!$E:$E,'Positions Tracker'!$B323,'Candidate Tracker'!$C:$C,"&lt;&gt;WIP",'Candidate Tracker'!$C:$C,"&lt;&gt;Hold",'Candidate Tracker'!$C:$C,"&lt;&gt;Cancelled",'Candidate Tracker'!$C:$C,"&lt;&gt;Closed")/COUNTIFS('Candidate Tracker'!$E:$E,'Positions Tracker'!$B323)),"")</f>
        <v/>
      </c>
      <c r="BD323" s="67" t="str">
        <f t="shared" si="30"/>
        <v/>
      </c>
      <c r="BE323" s="67" t="str">
        <f t="shared" si="31"/>
        <v/>
      </c>
      <c r="BF323" s="67" t="str">
        <f t="shared" si="32"/>
        <v/>
      </c>
      <c r="BG323" s="67" t="str">
        <f t="shared" si="33"/>
        <v/>
      </c>
    </row>
    <row r="324" spans="1:59">
      <c r="A324" s="55"/>
      <c r="B324" s="56"/>
      <c r="C324" s="56"/>
      <c r="D324" s="56"/>
      <c r="E324" s="56"/>
      <c r="F324" s="56"/>
      <c r="G324" s="56"/>
      <c r="H324" s="56"/>
      <c r="I324" s="6"/>
      <c r="J324" s="6"/>
      <c r="K324" s="57"/>
      <c r="L324" s="57"/>
      <c r="M324" s="57"/>
      <c r="N324" s="56"/>
      <c r="O324" s="56"/>
      <c r="P324" s="56"/>
      <c r="Q324" s="56"/>
      <c r="R324" s="56"/>
      <c r="S324" s="56"/>
      <c r="T324" s="56"/>
      <c r="U324" s="56"/>
      <c r="V324" s="56"/>
      <c r="W324" s="56"/>
      <c r="X324" s="56"/>
      <c r="Y324" s="56"/>
      <c r="Z324" s="56"/>
      <c r="AA324" s="56"/>
      <c r="AB324" s="56"/>
      <c r="AC324" s="56"/>
      <c r="AD324" s="56"/>
      <c r="AE324" s="56"/>
      <c r="AF324" s="56"/>
      <c r="AG324" s="56"/>
      <c r="AH324" s="56"/>
      <c r="AI324" s="58"/>
      <c r="AJ324" s="56"/>
      <c r="AK324" s="56"/>
      <c r="AL324" s="56"/>
      <c r="AM324" s="57"/>
      <c r="AN324" s="57"/>
      <c r="AO324" s="56"/>
      <c r="AP324" s="56"/>
      <c r="AQ324" s="57"/>
      <c r="AR324" s="57"/>
      <c r="AS324" s="57"/>
      <c r="AT324" s="67">
        <f t="shared" ca="1" si="34"/>
        <v>0</v>
      </c>
      <c r="AU324" s="79" t="str">
        <f t="shared" ca="1" si="35"/>
        <v/>
      </c>
      <c r="AV324" s="79" t="str" cm="1">
        <f t="array" aca="1" ref="AV324" ca="1">IFERROR(_xlfn.IFS($AU324="","",$AU324&lt;=15,"0-15",AND($AU324&gt;=16,$AU324&lt;=30),"16-30",AND($AU324&gt;=31,$AU324&lt;=45),"31-45",AND($AU324&gt;=46,$AU324&lt;=60),"46-60",AND($AU324&gt;=61,$AU324&lt;=90),"61-90",AND($AU324&gt;=91),"&gt; 90",AND($AU324&gt;=2000),""),"")</f>
        <v/>
      </c>
      <c r="AW324" s="79" t="str" cm="1">
        <f t="array" aca="1" ref="AW324" ca="1">IFERROR(_xlfn.IFS(OR($M324="",$AM324=""),"",OR($C324="Offered",$C324="Joined"),($AM324-$M324)-$AT324),"")</f>
        <v/>
      </c>
      <c r="AX324" s="79" t="str" cm="1">
        <f t="array" aca="1" ref="AX324" ca="1">IFERROR(_xlfn.IFS(OR($M324="",$AS324=""),"",$C324="Joined",($AS324-$M324)-$AT324),"")</f>
        <v/>
      </c>
      <c r="AY324" s="67" t="str">
        <f>IFERROR(IF(COUNTIFS('Candidate Tracker'!$E:$E,'Positions Tracker'!$B324,'Candidate Tracker'!$C:$C,"Offer Drop")=0,"",COUNTIFS('Candidate Tracker'!$E:$E,'Positions Tracker'!$B324,'Candidate Tracker'!$C:$C,"Offer Drop")),"")</f>
        <v/>
      </c>
      <c r="AZ324" s="80">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0.88111888111888115</v>
      </c>
      <c r="BA324" s="81" t="str">
        <f>IFERROR(IF(COUNTIFS('Candidate Tracker'!$E:$E,'Positions Tracker'!$B324,'Candidate Tracker'!$I:$I,"Female")=0,"",COUNTIFS('Candidate Tracker'!$E:$E,'Positions Tracker'!$B324,'Candidate Tracker'!$I:$I,"Female")),"")</f>
        <v/>
      </c>
      <c r="BB324" s="81" t="str">
        <f>IFERROR(IF(COUNTIFS('Candidate Tracker'!$E:$E,'Positions Tracker'!$B324,'Candidate Tracker'!$I:$I,"male")=0,"",COUNTIFS('Candidate Tracker'!$E:$E,'Positions Tracker'!$B324,'Candidate Tracker'!$I:$I,"male")),"")</f>
        <v/>
      </c>
      <c r="BC324" s="80" t="str">
        <f>IFERROR(IF(COUNTIFS('Candidate Tracker'!$E:$E,'Positions Tracker'!$B324,'Candidate Tracker'!$C:$C,"&lt;&gt;WIP",'Candidate Tracker'!$C:$C,"&lt;&gt;Hold",'Candidate Tracker'!$C:$C,"&lt;&gt;Cancelled",'Candidate Tracker'!$C:$C,"&lt;&gt;Closed")/COUNTIFS('Candidate Tracker'!$E:$E,'Positions Tracker'!$B324)=0,"",COUNTIFS('Candidate Tracker'!$E:$E,'Positions Tracker'!$B324,'Candidate Tracker'!$C:$C,"&lt;&gt;WIP",'Candidate Tracker'!$C:$C,"&lt;&gt;Hold",'Candidate Tracker'!$C:$C,"&lt;&gt;Cancelled",'Candidate Tracker'!$C:$C,"&lt;&gt;Closed")/COUNTIFS('Candidate Tracker'!$E:$E,'Positions Tracker'!$B324)),"")</f>
        <v/>
      </c>
      <c r="BD324" s="67" t="str">
        <f t="shared" si="30"/>
        <v/>
      </c>
      <c r="BE324" s="67" t="str">
        <f t="shared" si="31"/>
        <v/>
      </c>
      <c r="BF324" s="67" t="str">
        <f t="shared" si="32"/>
        <v/>
      </c>
      <c r="BG324" s="67" t="str">
        <f t="shared" si="33"/>
        <v/>
      </c>
    </row>
    <row r="325" spans="1:59">
      <c r="A325" s="55"/>
      <c r="B325" s="56"/>
      <c r="C325" s="56"/>
      <c r="D325" s="56"/>
      <c r="E325" s="56"/>
      <c r="F325" s="56"/>
      <c r="G325" s="56"/>
      <c r="H325" s="56"/>
      <c r="I325" s="6"/>
      <c r="J325" s="6"/>
      <c r="K325" s="57"/>
      <c r="L325" s="57"/>
      <c r="M325" s="57"/>
      <c r="N325" s="56"/>
      <c r="O325" s="56"/>
      <c r="P325" s="56"/>
      <c r="Q325" s="56"/>
      <c r="R325" s="56"/>
      <c r="S325" s="56"/>
      <c r="T325" s="56"/>
      <c r="U325" s="56"/>
      <c r="V325" s="56"/>
      <c r="W325" s="56"/>
      <c r="X325" s="56"/>
      <c r="Y325" s="56"/>
      <c r="Z325" s="56"/>
      <c r="AA325" s="56"/>
      <c r="AB325" s="56"/>
      <c r="AC325" s="56"/>
      <c r="AD325" s="56"/>
      <c r="AE325" s="56"/>
      <c r="AF325" s="56"/>
      <c r="AG325" s="56"/>
      <c r="AH325" s="56"/>
      <c r="AI325" s="58"/>
      <c r="AJ325" s="56"/>
      <c r="AK325" s="56"/>
      <c r="AL325" s="56"/>
      <c r="AM325" s="57"/>
      <c r="AN325" s="57"/>
      <c r="AO325" s="56"/>
      <c r="AP325" s="56"/>
      <c r="AQ325" s="57"/>
      <c r="AR325" s="57"/>
      <c r="AS325" s="57"/>
      <c r="AT325" s="67">
        <f t="shared" ca="1" si="34"/>
        <v>0</v>
      </c>
      <c r="AU325" s="79" t="str">
        <f t="shared" ca="1" si="35"/>
        <v/>
      </c>
      <c r="AV325" s="79" t="str" cm="1">
        <f t="array" aca="1" ref="AV325" ca="1">IFERROR(_xlfn.IFS($AU325="","",$AU325&lt;=15,"0-15",AND($AU325&gt;=16,$AU325&lt;=30),"16-30",AND($AU325&gt;=31,$AU325&lt;=45),"31-45",AND($AU325&gt;=46,$AU325&lt;=60),"46-60",AND($AU325&gt;=61,$AU325&lt;=90),"61-90",AND($AU325&gt;=91),"&gt; 90",AND($AU325&gt;=2000),""),"")</f>
        <v/>
      </c>
      <c r="AW325" s="79" t="str" cm="1">
        <f t="array" aca="1" ref="AW325" ca="1">IFERROR(_xlfn.IFS(OR($M325="",$AM325=""),"",OR($C325="Offered",$C325="Joined"),($AM325-$M325)-$AT325),"")</f>
        <v/>
      </c>
      <c r="AX325" s="79" t="str" cm="1">
        <f t="array" aca="1" ref="AX325" ca="1">IFERROR(_xlfn.IFS(OR($M325="",$AS325=""),"",$C325="Joined",($AS325-$M325)-$AT325),"")</f>
        <v/>
      </c>
      <c r="AY325" s="67" t="str">
        <f>IFERROR(IF(COUNTIFS('Candidate Tracker'!$E:$E,'Positions Tracker'!$B325,'Candidate Tracker'!$C:$C,"Offer Drop")=0,"",COUNTIFS('Candidate Tracker'!$E:$E,'Positions Tracker'!$B325,'Candidate Tracker'!$C:$C,"Offer Drop")),"")</f>
        <v/>
      </c>
      <c r="AZ325" s="80">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0.88111888111888115</v>
      </c>
      <c r="BA325" s="81" t="str">
        <f>IFERROR(IF(COUNTIFS('Candidate Tracker'!$E:$E,'Positions Tracker'!$B325,'Candidate Tracker'!$I:$I,"Female")=0,"",COUNTIFS('Candidate Tracker'!$E:$E,'Positions Tracker'!$B325,'Candidate Tracker'!$I:$I,"Female")),"")</f>
        <v/>
      </c>
      <c r="BB325" s="81" t="str">
        <f>IFERROR(IF(COUNTIFS('Candidate Tracker'!$E:$E,'Positions Tracker'!$B325,'Candidate Tracker'!$I:$I,"male")=0,"",COUNTIFS('Candidate Tracker'!$E:$E,'Positions Tracker'!$B325,'Candidate Tracker'!$I:$I,"male")),"")</f>
        <v/>
      </c>
      <c r="BC325" s="80" t="str">
        <f>IFERROR(IF(COUNTIFS('Candidate Tracker'!$E:$E,'Positions Tracker'!$B325,'Candidate Tracker'!$C:$C,"&lt;&gt;WIP",'Candidate Tracker'!$C:$C,"&lt;&gt;Hold",'Candidate Tracker'!$C:$C,"&lt;&gt;Cancelled",'Candidate Tracker'!$C:$C,"&lt;&gt;Closed")/COUNTIFS('Candidate Tracker'!$E:$E,'Positions Tracker'!$B325)=0,"",COUNTIFS('Candidate Tracker'!$E:$E,'Positions Tracker'!$B325,'Candidate Tracker'!$C:$C,"&lt;&gt;WIP",'Candidate Tracker'!$C:$C,"&lt;&gt;Hold",'Candidate Tracker'!$C:$C,"&lt;&gt;Cancelled",'Candidate Tracker'!$C:$C,"&lt;&gt;Closed")/COUNTIFS('Candidate Tracker'!$E:$E,'Positions Tracker'!$B325)),"")</f>
        <v/>
      </c>
      <c r="BD325" s="67" t="str">
        <f t="shared" si="30"/>
        <v/>
      </c>
      <c r="BE325" s="67" t="str">
        <f t="shared" si="31"/>
        <v/>
      </c>
      <c r="BF325" s="67" t="str">
        <f t="shared" si="32"/>
        <v/>
      </c>
      <c r="BG325" s="67" t="str">
        <f t="shared" si="33"/>
        <v/>
      </c>
    </row>
    <row r="326" spans="1:59">
      <c r="A326" s="55"/>
      <c r="B326" s="56"/>
      <c r="C326" s="56"/>
      <c r="D326" s="56"/>
      <c r="E326" s="56"/>
      <c r="F326" s="56"/>
      <c r="G326" s="56"/>
      <c r="H326" s="56"/>
      <c r="I326" s="6"/>
      <c r="J326" s="6"/>
      <c r="K326" s="57"/>
      <c r="L326" s="57"/>
      <c r="M326" s="57"/>
      <c r="N326" s="56"/>
      <c r="O326" s="56"/>
      <c r="P326" s="56"/>
      <c r="Q326" s="56"/>
      <c r="R326" s="56"/>
      <c r="S326" s="56"/>
      <c r="T326" s="56"/>
      <c r="U326" s="56"/>
      <c r="V326" s="56"/>
      <c r="W326" s="56"/>
      <c r="X326" s="56"/>
      <c r="Y326" s="56"/>
      <c r="Z326" s="56"/>
      <c r="AA326" s="56"/>
      <c r="AB326" s="56"/>
      <c r="AC326" s="56"/>
      <c r="AD326" s="56"/>
      <c r="AE326" s="56"/>
      <c r="AF326" s="56"/>
      <c r="AG326" s="56"/>
      <c r="AH326" s="56"/>
      <c r="AI326" s="58"/>
      <c r="AJ326" s="56"/>
      <c r="AK326" s="56"/>
      <c r="AL326" s="56"/>
      <c r="AM326" s="57"/>
      <c r="AN326" s="57"/>
      <c r="AO326" s="56"/>
      <c r="AP326" s="56"/>
      <c r="AQ326" s="57"/>
      <c r="AR326" s="57"/>
      <c r="AS326" s="57"/>
      <c r="AT326" s="67">
        <f t="shared" ca="1" si="34"/>
        <v>0</v>
      </c>
      <c r="AU326" s="79" t="str">
        <f t="shared" ca="1" si="35"/>
        <v/>
      </c>
      <c r="AV326" s="79" t="str" cm="1">
        <f t="array" aca="1" ref="AV326" ca="1">IFERROR(_xlfn.IFS($AU326="","",$AU326&lt;=15,"0-15",AND($AU326&gt;=16,$AU326&lt;=30),"16-30",AND($AU326&gt;=31,$AU326&lt;=45),"31-45",AND($AU326&gt;=46,$AU326&lt;=60),"46-60",AND($AU326&gt;=61,$AU326&lt;=90),"61-90",AND($AU326&gt;=91),"&gt; 90",AND($AU326&gt;=2000),""),"")</f>
        <v/>
      </c>
      <c r="AW326" s="79" t="str" cm="1">
        <f t="array" aca="1" ref="AW326" ca="1">IFERROR(_xlfn.IFS(OR($M326="",$AM326=""),"",OR($C326="Offered",$C326="Joined"),($AM326-$M326)-$AT326),"")</f>
        <v/>
      </c>
      <c r="AX326" s="79" t="str" cm="1">
        <f t="array" aca="1" ref="AX326" ca="1">IFERROR(_xlfn.IFS(OR($M326="",$AS326=""),"",$C326="Joined",($AS326-$M326)-$AT326),"")</f>
        <v/>
      </c>
      <c r="AY326" s="67" t="str">
        <f>IFERROR(IF(COUNTIFS('Candidate Tracker'!$E:$E,'Positions Tracker'!$B326,'Candidate Tracker'!$C:$C,"Offer Drop")=0,"",COUNTIFS('Candidate Tracker'!$E:$E,'Positions Tracker'!$B326,'Candidate Tracker'!$C:$C,"Offer Drop")),"")</f>
        <v/>
      </c>
      <c r="AZ326" s="80">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0.88111888111888115</v>
      </c>
      <c r="BA326" s="81" t="str">
        <f>IFERROR(IF(COUNTIFS('Candidate Tracker'!$E:$E,'Positions Tracker'!$B326,'Candidate Tracker'!$I:$I,"Female")=0,"",COUNTIFS('Candidate Tracker'!$E:$E,'Positions Tracker'!$B326,'Candidate Tracker'!$I:$I,"Female")),"")</f>
        <v/>
      </c>
      <c r="BB326" s="81" t="str">
        <f>IFERROR(IF(COUNTIFS('Candidate Tracker'!$E:$E,'Positions Tracker'!$B326,'Candidate Tracker'!$I:$I,"male")=0,"",COUNTIFS('Candidate Tracker'!$E:$E,'Positions Tracker'!$B326,'Candidate Tracker'!$I:$I,"male")),"")</f>
        <v/>
      </c>
      <c r="BC326" s="80" t="str">
        <f>IFERROR(IF(COUNTIFS('Candidate Tracker'!$E:$E,'Positions Tracker'!$B326,'Candidate Tracker'!$C:$C,"&lt;&gt;WIP",'Candidate Tracker'!$C:$C,"&lt;&gt;Hold",'Candidate Tracker'!$C:$C,"&lt;&gt;Cancelled",'Candidate Tracker'!$C:$C,"&lt;&gt;Closed")/COUNTIFS('Candidate Tracker'!$E:$E,'Positions Tracker'!$B326)=0,"",COUNTIFS('Candidate Tracker'!$E:$E,'Positions Tracker'!$B326,'Candidate Tracker'!$C:$C,"&lt;&gt;WIP",'Candidate Tracker'!$C:$C,"&lt;&gt;Hold",'Candidate Tracker'!$C:$C,"&lt;&gt;Cancelled",'Candidate Tracker'!$C:$C,"&lt;&gt;Closed")/COUNTIFS('Candidate Tracker'!$E:$E,'Positions Tracker'!$B326)),"")</f>
        <v/>
      </c>
      <c r="BD326" s="67" t="str">
        <f t="shared" si="30"/>
        <v/>
      </c>
      <c r="BE326" s="67" t="str">
        <f t="shared" si="31"/>
        <v/>
      </c>
      <c r="BF326" s="67" t="str">
        <f t="shared" si="32"/>
        <v/>
      </c>
      <c r="BG326" s="67" t="str">
        <f t="shared" si="33"/>
        <v/>
      </c>
    </row>
    <row r="327" spans="1:59">
      <c r="A327" s="55"/>
      <c r="B327" s="56"/>
      <c r="C327" s="56"/>
      <c r="D327" s="56"/>
      <c r="E327" s="56"/>
      <c r="F327" s="56"/>
      <c r="G327" s="56"/>
      <c r="H327" s="56"/>
      <c r="I327" s="6"/>
      <c r="J327" s="6"/>
      <c r="K327" s="57"/>
      <c r="L327" s="57"/>
      <c r="M327" s="57"/>
      <c r="N327" s="56"/>
      <c r="O327" s="56"/>
      <c r="P327" s="56"/>
      <c r="Q327" s="56"/>
      <c r="R327" s="56"/>
      <c r="S327" s="56"/>
      <c r="T327" s="56"/>
      <c r="U327" s="56"/>
      <c r="V327" s="56"/>
      <c r="W327" s="56"/>
      <c r="X327" s="56"/>
      <c r="Y327" s="56"/>
      <c r="Z327" s="56"/>
      <c r="AA327" s="56"/>
      <c r="AB327" s="56"/>
      <c r="AC327" s="56"/>
      <c r="AD327" s="56"/>
      <c r="AE327" s="56"/>
      <c r="AF327" s="56"/>
      <c r="AG327" s="56"/>
      <c r="AH327" s="56"/>
      <c r="AI327" s="58"/>
      <c r="AJ327" s="56"/>
      <c r="AK327" s="56"/>
      <c r="AL327" s="56"/>
      <c r="AM327" s="57"/>
      <c r="AN327" s="57"/>
      <c r="AO327" s="56"/>
      <c r="AP327" s="56"/>
      <c r="AQ327" s="57"/>
      <c r="AR327" s="57"/>
      <c r="AS327" s="57"/>
      <c r="AT327" s="67">
        <f t="shared" ca="1" si="34"/>
        <v>0</v>
      </c>
      <c r="AU327" s="79" t="str">
        <f t="shared" ca="1" si="35"/>
        <v/>
      </c>
      <c r="AV327" s="79" t="str" cm="1">
        <f t="array" aca="1" ref="AV327" ca="1">IFERROR(_xlfn.IFS($AU327="","",$AU327&lt;=15,"0-15",AND($AU327&gt;=16,$AU327&lt;=30),"16-30",AND($AU327&gt;=31,$AU327&lt;=45),"31-45",AND($AU327&gt;=46,$AU327&lt;=60),"46-60",AND($AU327&gt;=61,$AU327&lt;=90),"61-90",AND($AU327&gt;=91),"&gt; 90",AND($AU327&gt;=2000),""),"")</f>
        <v/>
      </c>
      <c r="AW327" s="79" t="str" cm="1">
        <f t="array" aca="1" ref="AW327" ca="1">IFERROR(_xlfn.IFS(OR($M327="",$AM327=""),"",OR($C327="Offered",$C327="Joined"),($AM327-$M327)-$AT327),"")</f>
        <v/>
      </c>
      <c r="AX327" s="79" t="str" cm="1">
        <f t="array" aca="1" ref="AX327" ca="1">IFERROR(_xlfn.IFS(OR($M327="",$AS327=""),"",$C327="Joined",($AS327-$M327)-$AT327),"")</f>
        <v/>
      </c>
      <c r="AY327" s="67" t="str">
        <f>IFERROR(IF(COUNTIFS('Candidate Tracker'!$E:$E,'Positions Tracker'!$B327,'Candidate Tracker'!$C:$C,"Offer Drop")=0,"",COUNTIFS('Candidate Tracker'!$E:$E,'Positions Tracker'!$B327,'Candidate Tracker'!$C:$C,"Offer Drop")),"")</f>
        <v/>
      </c>
      <c r="AZ327" s="80">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0.88111888111888115</v>
      </c>
      <c r="BA327" s="81" t="str">
        <f>IFERROR(IF(COUNTIFS('Candidate Tracker'!$E:$E,'Positions Tracker'!$B327,'Candidate Tracker'!$I:$I,"Female")=0,"",COUNTIFS('Candidate Tracker'!$E:$E,'Positions Tracker'!$B327,'Candidate Tracker'!$I:$I,"Female")),"")</f>
        <v/>
      </c>
      <c r="BB327" s="81" t="str">
        <f>IFERROR(IF(COUNTIFS('Candidate Tracker'!$E:$E,'Positions Tracker'!$B327,'Candidate Tracker'!$I:$I,"male")=0,"",COUNTIFS('Candidate Tracker'!$E:$E,'Positions Tracker'!$B327,'Candidate Tracker'!$I:$I,"male")),"")</f>
        <v/>
      </c>
      <c r="BC327" s="80" t="str">
        <f>IFERROR(IF(COUNTIFS('Candidate Tracker'!$E:$E,'Positions Tracker'!$B327,'Candidate Tracker'!$C:$C,"&lt;&gt;WIP",'Candidate Tracker'!$C:$C,"&lt;&gt;Hold",'Candidate Tracker'!$C:$C,"&lt;&gt;Cancelled",'Candidate Tracker'!$C:$C,"&lt;&gt;Closed")/COUNTIFS('Candidate Tracker'!$E:$E,'Positions Tracker'!$B327)=0,"",COUNTIFS('Candidate Tracker'!$E:$E,'Positions Tracker'!$B327,'Candidate Tracker'!$C:$C,"&lt;&gt;WIP",'Candidate Tracker'!$C:$C,"&lt;&gt;Hold",'Candidate Tracker'!$C:$C,"&lt;&gt;Cancelled",'Candidate Tracker'!$C:$C,"&lt;&gt;Closed")/COUNTIFS('Candidate Tracker'!$E:$E,'Positions Tracker'!$B327)),"")</f>
        <v/>
      </c>
      <c r="BD327" s="67" t="str">
        <f t="shared" si="30"/>
        <v/>
      </c>
      <c r="BE327" s="67" t="str">
        <f t="shared" si="31"/>
        <v/>
      </c>
      <c r="BF327" s="67" t="str">
        <f t="shared" si="32"/>
        <v/>
      </c>
      <c r="BG327" s="67" t="str">
        <f t="shared" si="33"/>
        <v/>
      </c>
    </row>
    <row r="328" spans="1:59">
      <c r="A328" s="55"/>
      <c r="B328" s="56"/>
      <c r="C328" s="56"/>
      <c r="D328" s="56"/>
      <c r="E328" s="56"/>
      <c r="F328" s="56"/>
      <c r="G328" s="56"/>
      <c r="H328" s="56"/>
      <c r="I328" s="6"/>
      <c r="J328" s="6"/>
      <c r="K328" s="57"/>
      <c r="L328" s="57"/>
      <c r="M328" s="57"/>
      <c r="N328" s="56"/>
      <c r="O328" s="56"/>
      <c r="P328" s="56"/>
      <c r="Q328" s="56"/>
      <c r="R328" s="56"/>
      <c r="S328" s="56"/>
      <c r="T328" s="56"/>
      <c r="U328" s="56"/>
      <c r="V328" s="56"/>
      <c r="W328" s="56"/>
      <c r="X328" s="56"/>
      <c r="Y328" s="56"/>
      <c r="Z328" s="56"/>
      <c r="AA328" s="56"/>
      <c r="AB328" s="56"/>
      <c r="AC328" s="56"/>
      <c r="AD328" s="56"/>
      <c r="AE328" s="56"/>
      <c r="AF328" s="56"/>
      <c r="AG328" s="56"/>
      <c r="AH328" s="56"/>
      <c r="AI328" s="58"/>
      <c r="AJ328" s="56"/>
      <c r="AK328" s="56"/>
      <c r="AL328" s="56"/>
      <c r="AM328" s="57"/>
      <c r="AN328" s="57"/>
      <c r="AO328" s="56"/>
      <c r="AP328" s="56"/>
      <c r="AQ328" s="57"/>
      <c r="AR328" s="57"/>
      <c r="AS328" s="57"/>
      <c r="AT328" s="67">
        <f t="shared" ca="1" si="34"/>
        <v>0</v>
      </c>
      <c r="AU328" s="79" t="str">
        <f t="shared" ca="1" si="35"/>
        <v/>
      </c>
      <c r="AV328" s="79" t="str" cm="1">
        <f t="array" aca="1" ref="AV328" ca="1">IFERROR(_xlfn.IFS($AU328="","",$AU328&lt;=15,"0-15",AND($AU328&gt;=16,$AU328&lt;=30),"16-30",AND($AU328&gt;=31,$AU328&lt;=45),"31-45",AND($AU328&gt;=46,$AU328&lt;=60),"46-60",AND($AU328&gt;=61,$AU328&lt;=90),"61-90",AND($AU328&gt;=91),"&gt; 90",AND($AU328&gt;=2000),""),"")</f>
        <v/>
      </c>
      <c r="AW328" s="79" t="str" cm="1">
        <f t="array" aca="1" ref="AW328" ca="1">IFERROR(_xlfn.IFS(OR($M328="",$AM328=""),"",OR($C328="Offered",$C328="Joined"),($AM328-$M328)-$AT328),"")</f>
        <v/>
      </c>
      <c r="AX328" s="79" t="str" cm="1">
        <f t="array" aca="1" ref="AX328" ca="1">IFERROR(_xlfn.IFS(OR($M328="",$AS328=""),"",$C328="Joined",($AS328-$M328)-$AT328),"")</f>
        <v/>
      </c>
      <c r="AY328" s="67" t="str">
        <f>IFERROR(IF(COUNTIFS('Candidate Tracker'!$E:$E,'Positions Tracker'!$B328,'Candidate Tracker'!$C:$C,"Offer Drop")=0,"",COUNTIFS('Candidate Tracker'!$E:$E,'Positions Tracker'!$B328,'Candidate Tracker'!$C:$C,"Offer Drop")),"")</f>
        <v/>
      </c>
      <c r="AZ328" s="80">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0.88111888111888115</v>
      </c>
      <c r="BA328" s="81" t="str">
        <f>IFERROR(IF(COUNTIFS('Candidate Tracker'!$E:$E,'Positions Tracker'!$B328,'Candidate Tracker'!$I:$I,"Female")=0,"",COUNTIFS('Candidate Tracker'!$E:$E,'Positions Tracker'!$B328,'Candidate Tracker'!$I:$I,"Female")),"")</f>
        <v/>
      </c>
      <c r="BB328" s="81" t="str">
        <f>IFERROR(IF(COUNTIFS('Candidate Tracker'!$E:$E,'Positions Tracker'!$B328,'Candidate Tracker'!$I:$I,"male")=0,"",COUNTIFS('Candidate Tracker'!$E:$E,'Positions Tracker'!$B328,'Candidate Tracker'!$I:$I,"male")),"")</f>
        <v/>
      </c>
      <c r="BC328" s="80" t="str">
        <f>IFERROR(IF(COUNTIFS('Candidate Tracker'!$E:$E,'Positions Tracker'!$B328,'Candidate Tracker'!$C:$C,"&lt;&gt;WIP",'Candidate Tracker'!$C:$C,"&lt;&gt;Hold",'Candidate Tracker'!$C:$C,"&lt;&gt;Cancelled",'Candidate Tracker'!$C:$C,"&lt;&gt;Closed")/COUNTIFS('Candidate Tracker'!$E:$E,'Positions Tracker'!$B328)=0,"",COUNTIFS('Candidate Tracker'!$E:$E,'Positions Tracker'!$B328,'Candidate Tracker'!$C:$C,"&lt;&gt;WIP",'Candidate Tracker'!$C:$C,"&lt;&gt;Hold",'Candidate Tracker'!$C:$C,"&lt;&gt;Cancelled",'Candidate Tracker'!$C:$C,"&lt;&gt;Closed")/COUNTIFS('Candidate Tracker'!$E:$E,'Positions Tracker'!$B328)),"")</f>
        <v/>
      </c>
      <c r="BD328" s="67" t="str">
        <f t="shared" si="30"/>
        <v/>
      </c>
      <c r="BE328" s="67" t="str">
        <f t="shared" si="31"/>
        <v/>
      </c>
      <c r="BF328" s="67" t="str">
        <f t="shared" si="32"/>
        <v/>
      </c>
      <c r="BG328" s="67" t="str">
        <f t="shared" si="33"/>
        <v/>
      </c>
    </row>
    <row r="329" spans="1:59">
      <c r="A329" s="55"/>
      <c r="B329" s="56"/>
      <c r="C329" s="56"/>
      <c r="D329" s="56"/>
      <c r="E329" s="56"/>
      <c r="F329" s="56"/>
      <c r="G329" s="56"/>
      <c r="H329" s="56"/>
      <c r="I329" s="6"/>
      <c r="J329" s="6"/>
      <c r="K329" s="57"/>
      <c r="L329" s="57"/>
      <c r="M329" s="57"/>
      <c r="N329" s="56"/>
      <c r="O329" s="56"/>
      <c r="P329" s="56"/>
      <c r="Q329" s="56"/>
      <c r="R329" s="56"/>
      <c r="S329" s="56"/>
      <c r="T329" s="56"/>
      <c r="U329" s="56"/>
      <c r="V329" s="56"/>
      <c r="W329" s="56"/>
      <c r="X329" s="56"/>
      <c r="Y329" s="56"/>
      <c r="Z329" s="56"/>
      <c r="AA329" s="56"/>
      <c r="AB329" s="56"/>
      <c r="AC329" s="56"/>
      <c r="AD329" s="56"/>
      <c r="AE329" s="56"/>
      <c r="AF329" s="56"/>
      <c r="AG329" s="56"/>
      <c r="AH329" s="56"/>
      <c r="AI329" s="58"/>
      <c r="AJ329" s="56"/>
      <c r="AK329" s="56"/>
      <c r="AL329" s="56"/>
      <c r="AM329" s="57"/>
      <c r="AN329" s="57"/>
      <c r="AO329" s="56"/>
      <c r="AP329" s="56"/>
      <c r="AQ329" s="57"/>
      <c r="AR329" s="57"/>
      <c r="AS329" s="57"/>
      <c r="AT329" s="67">
        <f t="shared" ca="1" si="34"/>
        <v>0</v>
      </c>
      <c r="AU329" s="79" t="str">
        <f t="shared" ca="1" si="35"/>
        <v/>
      </c>
      <c r="AV329" s="79" t="str" cm="1">
        <f t="array" aca="1" ref="AV329" ca="1">IFERROR(_xlfn.IFS($AU329="","",$AU329&lt;=15,"0-15",AND($AU329&gt;=16,$AU329&lt;=30),"16-30",AND($AU329&gt;=31,$AU329&lt;=45),"31-45",AND($AU329&gt;=46,$AU329&lt;=60),"46-60",AND($AU329&gt;=61,$AU329&lt;=90),"61-90",AND($AU329&gt;=91),"&gt; 90",AND($AU329&gt;=2000),""),"")</f>
        <v/>
      </c>
      <c r="AW329" s="79" t="str" cm="1">
        <f t="array" aca="1" ref="AW329" ca="1">IFERROR(_xlfn.IFS(OR($M329="",$AM329=""),"",OR($C329="Offered",$C329="Joined"),($AM329-$M329)-$AT329),"")</f>
        <v/>
      </c>
      <c r="AX329" s="79" t="str" cm="1">
        <f t="array" aca="1" ref="AX329" ca="1">IFERROR(_xlfn.IFS(OR($M329="",$AS329=""),"",$C329="Joined",($AS329-$M329)-$AT329),"")</f>
        <v/>
      </c>
      <c r="AY329" s="67" t="str">
        <f>IFERROR(IF(COUNTIFS('Candidate Tracker'!$E:$E,'Positions Tracker'!$B329,'Candidate Tracker'!$C:$C,"Offer Drop")=0,"",COUNTIFS('Candidate Tracker'!$E:$E,'Positions Tracker'!$B329,'Candidate Tracker'!$C:$C,"Offer Drop")),"")</f>
        <v/>
      </c>
      <c r="AZ329" s="80">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0.88111888111888115</v>
      </c>
      <c r="BA329" s="81" t="str">
        <f>IFERROR(IF(COUNTIFS('Candidate Tracker'!$E:$E,'Positions Tracker'!$B329,'Candidate Tracker'!$I:$I,"Female")=0,"",COUNTIFS('Candidate Tracker'!$E:$E,'Positions Tracker'!$B329,'Candidate Tracker'!$I:$I,"Female")),"")</f>
        <v/>
      </c>
      <c r="BB329" s="81" t="str">
        <f>IFERROR(IF(COUNTIFS('Candidate Tracker'!$E:$E,'Positions Tracker'!$B329,'Candidate Tracker'!$I:$I,"male")=0,"",COUNTIFS('Candidate Tracker'!$E:$E,'Positions Tracker'!$B329,'Candidate Tracker'!$I:$I,"male")),"")</f>
        <v/>
      </c>
      <c r="BC329" s="80" t="str">
        <f>IFERROR(IF(COUNTIFS('Candidate Tracker'!$E:$E,'Positions Tracker'!$B329,'Candidate Tracker'!$C:$C,"&lt;&gt;WIP",'Candidate Tracker'!$C:$C,"&lt;&gt;Hold",'Candidate Tracker'!$C:$C,"&lt;&gt;Cancelled",'Candidate Tracker'!$C:$C,"&lt;&gt;Closed")/COUNTIFS('Candidate Tracker'!$E:$E,'Positions Tracker'!$B329)=0,"",COUNTIFS('Candidate Tracker'!$E:$E,'Positions Tracker'!$B329,'Candidate Tracker'!$C:$C,"&lt;&gt;WIP",'Candidate Tracker'!$C:$C,"&lt;&gt;Hold",'Candidate Tracker'!$C:$C,"&lt;&gt;Cancelled",'Candidate Tracker'!$C:$C,"&lt;&gt;Closed")/COUNTIFS('Candidate Tracker'!$E:$E,'Positions Tracker'!$B329)),"")</f>
        <v/>
      </c>
      <c r="BD329" s="67" t="str">
        <f t="shared" si="30"/>
        <v/>
      </c>
      <c r="BE329" s="67" t="str">
        <f t="shared" si="31"/>
        <v/>
      </c>
      <c r="BF329" s="67" t="str">
        <f t="shared" si="32"/>
        <v/>
      </c>
      <c r="BG329" s="67" t="str">
        <f t="shared" si="33"/>
        <v/>
      </c>
    </row>
    <row r="330" spans="1:59">
      <c r="A330" s="55"/>
      <c r="B330" s="56"/>
      <c r="C330" s="56"/>
      <c r="D330" s="56"/>
      <c r="E330" s="56"/>
      <c r="F330" s="56"/>
      <c r="G330" s="56"/>
      <c r="H330" s="56"/>
      <c r="I330" s="6"/>
      <c r="J330" s="6"/>
      <c r="K330" s="57"/>
      <c r="L330" s="57"/>
      <c r="M330" s="57"/>
      <c r="N330" s="56"/>
      <c r="O330" s="56"/>
      <c r="P330" s="56"/>
      <c r="Q330" s="56"/>
      <c r="R330" s="56"/>
      <c r="S330" s="56"/>
      <c r="T330" s="56"/>
      <c r="U330" s="56"/>
      <c r="V330" s="56"/>
      <c r="W330" s="56"/>
      <c r="X330" s="56"/>
      <c r="Y330" s="56"/>
      <c r="Z330" s="56"/>
      <c r="AA330" s="56"/>
      <c r="AB330" s="56"/>
      <c r="AC330" s="56"/>
      <c r="AD330" s="56"/>
      <c r="AE330" s="56"/>
      <c r="AF330" s="56"/>
      <c r="AG330" s="56"/>
      <c r="AH330" s="56"/>
      <c r="AI330" s="58"/>
      <c r="AJ330" s="56"/>
      <c r="AK330" s="56"/>
      <c r="AL330" s="56"/>
      <c r="AM330" s="57"/>
      <c r="AN330" s="57"/>
      <c r="AO330" s="56"/>
      <c r="AP330" s="56"/>
      <c r="AQ330" s="57"/>
      <c r="AR330" s="57"/>
      <c r="AS330" s="57"/>
      <c r="AT330" s="67">
        <f t="shared" ca="1" si="34"/>
        <v>0</v>
      </c>
      <c r="AU330" s="79" t="str">
        <f t="shared" ca="1" si="35"/>
        <v/>
      </c>
      <c r="AV330" s="79" t="str" cm="1">
        <f t="array" aca="1" ref="AV330" ca="1">IFERROR(_xlfn.IFS($AU330="","",$AU330&lt;=15,"0-15",AND($AU330&gt;=16,$AU330&lt;=30),"16-30",AND($AU330&gt;=31,$AU330&lt;=45),"31-45",AND($AU330&gt;=46,$AU330&lt;=60),"46-60",AND($AU330&gt;=61,$AU330&lt;=90),"61-90",AND($AU330&gt;=91),"&gt; 90",AND($AU330&gt;=2000),""),"")</f>
        <v/>
      </c>
      <c r="AW330" s="79" t="str" cm="1">
        <f t="array" aca="1" ref="AW330" ca="1">IFERROR(_xlfn.IFS(OR($M330="",$AM330=""),"",OR($C330="Offered",$C330="Joined"),($AM330-$M330)-$AT330),"")</f>
        <v/>
      </c>
      <c r="AX330" s="79" t="str" cm="1">
        <f t="array" aca="1" ref="AX330" ca="1">IFERROR(_xlfn.IFS(OR($M330="",$AS330=""),"",$C330="Joined",($AS330-$M330)-$AT330),"")</f>
        <v/>
      </c>
      <c r="AY330" s="67" t="str">
        <f>IFERROR(IF(COUNTIFS('Candidate Tracker'!$E:$E,'Positions Tracker'!$B330,'Candidate Tracker'!$C:$C,"Offer Drop")=0,"",COUNTIFS('Candidate Tracker'!$E:$E,'Positions Tracker'!$B330,'Candidate Tracker'!$C:$C,"Offer Drop")),"")</f>
        <v/>
      </c>
      <c r="AZ330" s="80">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0.88111888111888115</v>
      </c>
      <c r="BA330" s="81" t="str">
        <f>IFERROR(IF(COUNTIFS('Candidate Tracker'!$E:$E,'Positions Tracker'!$B330,'Candidate Tracker'!$I:$I,"Female")=0,"",COUNTIFS('Candidate Tracker'!$E:$E,'Positions Tracker'!$B330,'Candidate Tracker'!$I:$I,"Female")),"")</f>
        <v/>
      </c>
      <c r="BB330" s="81" t="str">
        <f>IFERROR(IF(COUNTIFS('Candidate Tracker'!$E:$E,'Positions Tracker'!$B330,'Candidate Tracker'!$I:$I,"male")=0,"",COUNTIFS('Candidate Tracker'!$E:$E,'Positions Tracker'!$B330,'Candidate Tracker'!$I:$I,"male")),"")</f>
        <v/>
      </c>
      <c r="BC330" s="80" t="str">
        <f>IFERROR(IF(COUNTIFS('Candidate Tracker'!$E:$E,'Positions Tracker'!$B330,'Candidate Tracker'!$C:$C,"&lt;&gt;WIP",'Candidate Tracker'!$C:$C,"&lt;&gt;Hold",'Candidate Tracker'!$C:$C,"&lt;&gt;Cancelled",'Candidate Tracker'!$C:$C,"&lt;&gt;Closed")/COUNTIFS('Candidate Tracker'!$E:$E,'Positions Tracker'!$B330)=0,"",COUNTIFS('Candidate Tracker'!$E:$E,'Positions Tracker'!$B330,'Candidate Tracker'!$C:$C,"&lt;&gt;WIP",'Candidate Tracker'!$C:$C,"&lt;&gt;Hold",'Candidate Tracker'!$C:$C,"&lt;&gt;Cancelled",'Candidate Tracker'!$C:$C,"&lt;&gt;Closed")/COUNTIFS('Candidate Tracker'!$E:$E,'Positions Tracker'!$B330)),"")</f>
        <v/>
      </c>
      <c r="BD330" s="67" t="str">
        <f t="shared" si="30"/>
        <v/>
      </c>
      <c r="BE330" s="67" t="str">
        <f t="shared" si="31"/>
        <v/>
      </c>
      <c r="BF330" s="67" t="str">
        <f t="shared" si="32"/>
        <v/>
      </c>
      <c r="BG330" s="67" t="str">
        <f t="shared" si="33"/>
        <v/>
      </c>
    </row>
    <row r="331" spans="1:59">
      <c r="A331" s="55"/>
      <c r="B331" s="56"/>
      <c r="C331" s="56"/>
      <c r="D331" s="56"/>
      <c r="E331" s="56"/>
      <c r="F331" s="56"/>
      <c r="G331" s="56"/>
      <c r="H331" s="56"/>
      <c r="I331" s="6"/>
      <c r="J331" s="6"/>
      <c r="K331" s="57"/>
      <c r="L331" s="57"/>
      <c r="M331" s="57"/>
      <c r="N331" s="56"/>
      <c r="O331" s="56"/>
      <c r="P331" s="56"/>
      <c r="Q331" s="56"/>
      <c r="R331" s="56"/>
      <c r="S331" s="56"/>
      <c r="T331" s="56"/>
      <c r="U331" s="56"/>
      <c r="V331" s="56"/>
      <c r="W331" s="56"/>
      <c r="X331" s="56"/>
      <c r="Y331" s="56"/>
      <c r="Z331" s="56"/>
      <c r="AA331" s="56"/>
      <c r="AB331" s="56"/>
      <c r="AC331" s="56"/>
      <c r="AD331" s="56"/>
      <c r="AE331" s="56"/>
      <c r="AF331" s="56"/>
      <c r="AG331" s="56"/>
      <c r="AH331" s="56"/>
      <c r="AI331" s="58"/>
      <c r="AJ331" s="56"/>
      <c r="AK331" s="56"/>
      <c r="AL331" s="56"/>
      <c r="AM331" s="57"/>
      <c r="AN331" s="57"/>
      <c r="AO331" s="56"/>
      <c r="AP331" s="56"/>
      <c r="AQ331" s="57"/>
      <c r="AR331" s="57"/>
      <c r="AS331" s="57"/>
      <c r="AT331" s="67">
        <f t="shared" ca="1" si="34"/>
        <v>0</v>
      </c>
      <c r="AU331" s="79" t="str">
        <f t="shared" ca="1" si="35"/>
        <v/>
      </c>
      <c r="AV331" s="79" t="str" cm="1">
        <f t="array" aca="1" ref="AV331" ca="1">IFERROR(_xlfn.IFS($AU331="","",$AU331&lt;=15,"0-15",AND($AU331&gt;=16,$AU331&lt;=30),"16-30",AND($AU331&gt;=31,$AU331&lt;=45),"31-45",AND($AU331&gt;=46,$AU331&lt;=60),"46-60",AND($AU331&gt;=61,$AU331&lt;=90),"61-90",AND($AU331&gt;=91),"&gt; 90",AND($AU331&gt;=2000),""),"")</f>
        <v/>
      </c>
      <c r="AW331" s="79" t="str" cm="1">
        <f t="array" aca="1" ref="AW331" ca="1">IFERROR(_xlfn.IFS(OR($M331="",$AM331=""),"",OR($C331="Offered",$C331="Joined"),($AM331-$M331)-$AT331),"")</f>
        <v/>
      </c>
      <c r="AX331" s="79" t="str" cm="1">
        <f t="array" aca="1" ref="AX331" ca="1">IFERROR(_xlfn.IFS(OR($M331="",$AS331=""),"",$C331="Joined",($AS331-$M331)-$AT331),"")</f>
        <v/>
      </c>
      <c r="AY331" s="67" t="str">
        <f>IFERROR(IF(COUNTIFS('Candidate Tracker'!$E:$E,'Positions Tracker'!$B331,'Candidate Tracker'!$C:$C,"Offer Drop")=0,"",COUNTIFS('Candidate Tracker'!$E:$E,'Positions Tracker'!$B331,'Candidate Tracker'!$C:$C,"Offer Drop")),"")</f>
        <v/>
      </c>
      <c r="AZ331" s="80">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0.88111888111888115</v>
      </c>
      <c r="BA331" s="81" t="str">
        <f>IFERROR(IF(COUNTIFS('Candidate Tracker'!$E:$E,'Positions Tracker'!$B331,'Candidate Tracker'!$I:$I,"Female")=0,"",COUNTIFS('Candidate Tracker'!$E:$E,'Positions Tracker'!$B331,'Candidate Tracker'!$I:$I,"Female")),"")</f>
        <v/>
      </c>
      <c r="BB331" s="81" t="str">
        <f>IFERROR(IF(COUNTIFS('Candidate Tracker'!$E:$E,'Positions Tracker'!$B331,'Candidate Tracker'!$I:$I,"male")=0,"",COUNTIFS('Candidate Tracker'!$E:$E,'Positions Tracker'!$B331,'Candidate Tracker'!$I:$I,"male")),"")</f>
        <v/>
      </c>
      <c r="BC331" s="80" t="str">
        <f>IFERROR(IF(COUNTIFS('Candidate Tracker'!$E:$E,'Positions Tracker'!$B331,'Candidate Tracker'!$C:$C,"&lt;&gt;WIP",'Candidate Tracker'!$C:$C,"&lt;&gt;Hold",'Candidate Tracker'!$C:$C,"&lt;&gt;Cancelled",'Candidate Tracker'!$C:$C,"&lt;&gt;Closed")/COUNTIFS('Candidate Tracker'!$E:$E,'Positions Tracker'!$B331)=0,"",COUNTIFS('Candidate Tracker'!$E:$E,'Positions Tracker'!$B331,'Candidate Tracker'!$C:$C,"&lt;&gt;WIP",'Candidate Tracker'!$C:$C,"&lt;&gt;Hold",'Candidate Tracker'!$C:$C,"&lt;&gt;Cancelled",'Candidate Tracker'!$C:$C,"&lt;&gt;Closed")/COUNTIFS('Candidate Tracker'!$E:$E,'Positions Tracker'!$B331)),"")</f>
        <v/>
      </c>
      <c r="BD331" s="67" t="str">
        <f t="shared" si="30"/>
        <v/>
      </c>
      <c r="BE331" s="67" t="str">
        <f t="shared" si="31"/>
        <v/>
      </c>
      <c r="BF331" s="67" t="str">
        <f t="shared" si="32"/>
        <v/>
      </c>
      <c r="BG331" s="67" t="str">
        <f t="shared" si="33"/>
        <v/>
      </c>
    </row>
    <row r="332" spans="1:59">
      <c r="A332" s="55"/>
      <c r="B332" s="56"/>
      <c r="C332" s="56"/>
      <c r="D332" s="56"/>
      <c r="E332" s="56"/>
      <c r="F332" s="56"/>
      <c r="G332" s="56"/>
      <c r="H332" s="56"/>
      <c r="I332" s="6"/>
      <c r="J332" s="6"/>
      <c r="K332" s="57"/>
      <c r="L332" s="57"/>
      <c r="M332" s="57"/>
      <c r="N332" s="56"/>
      <c r="O332" s="56"/>
      <c r="P332" s="56"/>
      <c r="Q332" s="56"/>
      <c r="R332" s="56"/>
      <c r="S332" s="56"/>
      <c r="T332" s="56"/>
      <c r="U332" s="56"/>
      <c r="V332" s="56"/>
      <c r="W332" s="56"/>
      <c r="X332" s="56"/>
      <c r="Y332" s="56"/>
      <c r="Z332" s="56"/>
      <c r="AA332" s="56"/>
      <c r="AB332" s="56"/>
      <c r="AC332" s="56"/>
      <c r="AD332" s="56"/>
      <c r="AE332" s="56"/>
      <c r="AF332" s="56"/>
      <c r="AG332" s="56"/>
      <c r="AH332" s="56"/>
      <c r="AI332" s="58"/>
      <c r="AJ332" s="56"/>
      <c r="AK332" s="56"/>
      <c r="AL332" s="56"/>
      <c r="AM332" s="57"/>
      <c r="AN332" s="57"/>
      <c r="AO332" s="56"/>
      <c r="AP332" s="56"/>
      <c r="AQ332" s="57"/>
      <c r="AR332" s="57"/>
      <c r="AS332" s="57"/>
      <c r="AT332" s="67">
        <f t="shared" ca="1" si="34"/>
        <v>0</v>
      </c>
      <c r="AU332" s="79" t="str">
        <f t="shared" ca="1" si="35"/>
        <v/>
      </c>
      <c r="AV332" s="79" t="str" cm="1">
        <f t="array" aca="1" ref="AV332" ca="1">IFERROR(_xlfn.IFS($AU332="","",$AU332&lt;=15,"0-15",AND($AU332&gt;=16,$AU332&lt;=30),"16-30",AND($AU332&gt;=31,$AU332&lt;=45),"31-45",AND($AU332&gt;=46,$AU332&lt;=60),"46-60",AND($AU332&gt;=61,$AU332&lt;=90),"61-90",AND($AU332&gt;=91),"&gt; 90",AND($AU332&gt;=2000),""),"")</f>
        <v/>
      </c>
      <c r="AW332" s="79" t="str" cm="1">
        <f t="array" aca="1" ref="AW332" ca="1">IFERROR(_xlfn.IFS(OR($M332="",$AM332=""),"",OR($C332="Offered",$C332="Joined"),($AM332-$M332)-$AT332),"")</f>
        <v/>
      </c>
      <c r="AX332" s="79" t="str" cm="1">
        <f t="array" aca="1" ref="AX332" ca="1">IFERROR(_xlfn.IFS(OR($M332="",$AS332=""),"",$C332="Joined",($AS332-$M332)-$AT332),"")</f>
        <v/>
      </c>
      <c r="AY332" s="67" t="str">
        <f>IFERROR(IF(COUNTIFS('Candidate Tracker'!$E:$E,'Positions Tracker'!$B332,'Candidate Tracker'!$C:$C,"Offer Drop")=0,"",COUNTIFS('Candidate Tracker'!$E:$E,'Positions Tracker'!$B332,'Candidate Tracker'!$C:$C,"Offer Drop")),"")</f>
        <v/>
      </c>
      <c r="AZ332" s="80">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0.88111888111888115</v>
      </c>
      <c r="BA332" s="81" t="str">
        <f>IFERROR(IF(COUNTIFS('Candidate Tracker'!$E:$E,'Positions Tracker'!$B332,'Candidate Tracker'!$I:$I,"Female")=0,"",COUNTIFS('Candidate Tracker'!$E:$E,'Positions Tracker'!$B332,'Candidate Tracker'!$I:$I,"Female")),"")</f>
        <v/>
      </c>
      <c r="BB332" s="81" t="str">
        <f>IFERROR(IF(COUNTIFS('Candidate Tracker'!$E:$E,'Positions Tracker'!$B332,'Candidate Tracker'!$I:$I,"male")=0,"",COUNTIFS('Candidate Tracker'!$E:$E,'Positions Tracker'!$B332,'Candidate Tracker'!$I:$I,"male")),"")</f>
        <v/>
      </c>
      <c r="BC332" s="80" t="str">
        <f>IFERROR(IF(COUNTIFS('Candidate Tracker'!$E:$E,'Positions Tracker'!$B332,'Candidate Tracker'!$C:$C,"&lt;&gt;WIP",'Candidate Tracker'!$C:$C,"&lt;&gt;Hold",'Candidate Tracker'!$C:$C,"&lt;&gt;Cancelled",'Candidate Tracker'!$C:$C,"&lt;&gt;Closed")/COUNTIFS('Candidate Tracker'!$E:$E,'Positions Tracker'!$B332)=0,"",COUNTIFS('Candidate Tracker'!$E:$E,'Positions Tracker'!$B332,'Candidate Tracker'!$C:$C,"&lt;&gt;WIP",'Candidate Tracker'!$C:$C,"&lt;&gt;Hold",'Candidate Tracker'!$C:$C,"&lt;&gt;Cancelled",'Candidate Tracker'!$C:$C,"&lt;&gt;Closed")/COUNTIFS('Candidate Tracker'!$E:$E,'Positions Tracker'!$B332)),"")</f>
        <v/>
      </c>
      <c r="BD332" s="67" t="str">
        <f t="shared" si="30"/>
        <v/>
      </c>
      <c r="BE332" s="67" t="str">
        <f t="shared" si="31"/>
        <v/>
      </c>
      <c r="BF332" s="67" t="str">
        <f t="shared" si="32"/>
        <v/>
      </c>
      <c r="BG332" s="67" t="str">
        <f t="shared" si="33"/>
        <v/>
      </c>
    </row>
    <row r="333" spans="1:59">
      <c r="A333" s="55"/>
      <c r="B333" s="56"/>
      <c r="C333" s="56"/>
      <c r="D333" s="56"/>
      <c r="E333" s="56"/>
      <c r="F333" s="56"/>
      <c r="G333" s="56"/>
      <c r="H333" s="56"/>
      <c r="I333" s="6"/>
      <c r="J333" s="6"/>
      <c r="K333" s="57"/>
      <c r="L333" s="57"/>
      <c r="M333" s="57"/>
      <c r="N333" s="56"/>
      <c r="O333" s="56"/>
      <c r="P333" s="56"/>
      <c r="Q333" s="56"/>
      <c r="R333" s="56"/>
      <c r="S333" s="56"/>
      <c r="T333" s="56"/>
      <c r="U333" s="56"/>
      <c r="V333" s="56"/>
      <c r="W333" s="56"/>
      <c r="X333" s="56"/>
      <c r="Y333" s="56"/>
      <c r="Z333" s="56"/>
      <c r="AA333" s="56"/>
      <c r="AB333" s="56"/>
      <c r="AC333" s="56"/>
      <c r="AD333" s="56"/>
      <c r="AE333" s="56"/>
      <c r="AF333" s="56"/>
      <c r="AG333" s="56"/>
      <c r="AH333" s="56"/>
      <c r="AI333" s="58"/>
      <c r="AJ333" s="56"/>
      <c r="AK333" s="56"/>
      <c r="AL333" s="56"/>
      <c r="AM333" s="57"/>
      <c r="AN333" s="57"/>
      <c r="AO333" s="56"/>
      <c r="AP333" s="56"/>
      <c r="AQ333" s="57"/>
      <c r="AR333" s="57"/>
      <c r="AS333" s="57"/>
      <c r="AT333" s="67">
        <f t="shared" ca="1" si="34"/>
        <v>0</v>
      </c>
      <c r="AU333" s="79" t="str">
        <f t="shared" ca="1" si="35"/>
        <v/>
      </c>
      <c r="AV333" s="79" t="str" cm="1">
        <f t="array" aca="1" ref="AV333" ca="1">IFERROR(_xlfn.IFS($AU333="","",$AU333&lt;=15,"0-15",AND($AU333&gt;=16,$AU333&lt;=30),"16-30",AND($AU333&gt;=31,$AU333&lt;=45),"31-45",AND($AU333&gt;=46,$AU333&lt;=60),"46-60",AND($AU333&gt;=61,$AU333&lt;=90),"61-90",AND($AU333&gt;=91),"&gt; 90",AND($AU333&gt;=2000),""),"")</f>
        <v/>
      </c>
      <c r="AW333" s="79" t="str" cm="1">
        <f t="array" aca="1" ref="AW333" ca="1">IFERROR(_xlfn.IFS(OR($M333="",$AM333=""),"",OR($C333="Offered",$C333="Joined"),($AM333-$M333)-$AT333),"")</f>
        <v/>
      </c>
      <c r="AX333" s="79" t="str" cm="1">
        <f t="array" aca="1" ref="AX333" ca="1">IFERROR(_xlfn.IFS(OR($M333="",$AS333=""),"",$C333="Joined",($AS333-$M333)-$AT333),"")</f>
        <v/>
      </c>
      <c r="AY333" s="67" t="str">
        <f>IFERROR(IF(COUNTIFS('Candidate Tracker'!$E:$E,'Positions Tracker'!$B333,'Candidate Tracker'!$C:$C,"Offer Drop")=0,"",COUNTIFS('Candidate Tracker'!$E:$E,'Positions Tracker'!$B333,'Candidate Tracker'!$C:$C,"Offer Drop")),"")</f>
        <v/>
      </c>
      <c r="AZ333" s="80">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0.88111888111888115</v>
      </c>
      <c r="BA333" s="81" t="str">
        <f>IFERROR(IF(COUNTIFS('Candidate Tracker'!$E:$E,'Positions Tracker'!$B333,'Candidate Tracker'!$I:$I,"Female")=0,"",COUNTIFS('Candidate Tracker'!$E:$E,'Positions Tracker'!$B333,'Candidate Tracker'!$I:$I,"Female")),"")</f>
        <v/>
      </c>
      <c r="BB333" s="81" t="str">
        <f>IFERROR(IF(COUNTIFS('Candidate Tracker'!$E:$E,'Positions Tracker'!$B333,'Candidate Tracker'!$I:$I,"male")=0,"",COUNTIFS('Candidate Tracker'!$E:$E,'Positions Tracker'!$B333,'Candidate Tracker'!$I:$I,"male")),"")</f>
        <v/>
      </c>
      <c r="BC333" s="80" t="str">
        <f>IFERROR(IF(COUNTIFS('Candidate Tracker'!$E:$E,'Positions Tracker'!$B333,'Candidate Tracker'!$C:$C,"&lt;&gt;WIP",'Candidate Tracker'!$C:$C,"&lt;&gt;Hold",'Candidate Tracker'!$C:$C,"&lt;&gt;Cancelled",'Candidate Tracker'!$C:$C,"&lt;&gt;Closed")/COUNTIFS('Candidate Tracker'!$E:$E,'Positions Tracker'!$B333)=0,"",COUNTIFS('Candidate Tracker'!$E:$E,'Positions Tracker'!$B333,'Candidate Tracker'!$C:$C,"&lt;&gt;WIP",'Candidate Tracker'!$C:$C,"&lt;&gt;Hold",'Candidate Tracker'!$C:$C,"&lt;&gt;Cancelled",'Candidate Tracker'!$C:$C,"&lt;&gt;Closed")/COUNTIFS('Candidate Tracker'!$E:$E,'Positions Tracker'!$B333)),"")</f>
        <v/>
      </c>
      <c r="BD333" s="67" t="str">
        <f t="shared" si="30"/>
        <v/>
      </c>
      <c r="BE333" s="67" t="str">
        <f t="shared" si="31"/>
        <v/>
      </c>
      <c r="BF333" s="67" t="str">
        <f t="shared" si="32"/>
        <v/>
      </c>
      <c r="BG333" s="67" t="str">
        <f t="shared" si="33"/>
        <v/>
      </c>
    </row>
    <row r="334" spans="1:59">
      <c r="A334" s="55"/>
      <c r="B334" s="56"/>
      <c r="C334" s="56"/>
      <c r="D334" s="56"/>
      <c r="E334" s="56"/>
      <c r="F334" s="56"/>
      <c r="G334" s="56"/>
      <c r="H334" s="56"/>
      <c r="I334" s="6"/>
      <c r="J334" s="6"/>
      <c r="K334" s="57"/>
      <c r="L334" s="57"/>
      <c r="M334" s="57"/>
      <c r="N334" s="56"/>
      <c r="O334" s="56"/>
      <c r="P334" s="56"/>
      <c r="Q334" s="56"/>
      <c r="R334" s="56"/>
      <c r="S334" s="56"/>
      <c r="T334" s="56"/>
      <c r="U334" s="56"/>
      <c r="V334" s="56"/>
      <c r="W334" s="56"/>
      <c r="X334" s="56"/>
      <c r="Y334" s="56"/>
      <c r="Z334" s="56"/>
      <c r="AA334" s="56"/>
      <c r="AB334" s="56"/>
      <c r="AC334" s="56"/>
      <c r="AD334" s="56"/>
      <c r="AE334" s="56"/>
      <c r="AF334" s="56"/>
      <c r="AG334" s="56"/>
      <c r="AH334" s="56"/>
      <c r="AI334" s="58"/>
      <c r="AJ334" s="56"/>
      <c r="AK334" s="56"/>
      <c r="AL334" s="56"/>
      <c r="AM334" s="57"/>
      <c r="AN334" s="57"/>
      <c r="AO334" s="56"/>
      <c r="AP334" s="56"/>
      <c r="AQ334" s="57"/>
      <c r="AR334" s="57"/>
      <c r="AS334" s="57"/>
      <c r="AT334" s="67">
        <f t="shared" ca="1" si="34"/>
        <v>0</v>
      </c>
      <c r="AU334" s="79" t="str">
        <f t="shared" ca="1" si="35"/>
        <v/>
      </c>
      <c r="AV334" s="79" t="str" cm="1">
        <f t="array" aca="1" ref="AV334" ca="1">IFERROR(_xlfn.IFS($AU334="","",$AU334&lt;=15,"0-15",AND($AU334&gt;=16,$AU334&lt;=30),"16-30",AND($AU334&gt;=31,$AU334&lt;=45),"31-45",AND($AU334&gt;=46,$AU334&lt;=60),"46-60",AND($AU334&gt;=61,$AU334&lt;=90),"61-90",AND($AU334&gt;=91),"&gt; 90",AND($AU334&gt;=2000),""),"")</f>
        <v/>
      </c>
      <c r="AW334" s="79" t="str" cm="1">
        <f t="array" aca="1" ref="AW334" ca="1">IFERROR(_xlfn.IFS(OR($M334="",$AM334=""),"",OR($C334="Offered",$C334="Joined"),($AM334-$M334)-$AT334),"")</f>
        <v/>
      </c>
      <c r="AX334" s="79" t="str" cm="1">
        <f t="array" aca="1" ref="AX334" ca="1">IFERROR(_xlfn.IFS(OR($M334="",$AS334=""),"",$C334="Joined",($AS334-$M334)-$AT334),"")</f>
        <v/>
      </c>
      <c r="AY334" s="67" t="str">
        <f>IFERROR(IF(COUNTIFS('Candidate Tracker'!$E:$E,'Positions Tracker'!$B334,'Candidate Tracker'!$C:$C,"Offer Drop")=0,"",COUNTIFS('Candidate Tracker'!$E:$E,'Positions Tracker'!$B334,'Candidate Tracker'!$C:$C,"Offer Drop")),"")</f>
        <v/>
      </c>
      <c r="AZ334" s="80">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0.88111888111888115</v>
      </c>
      <c r="BA334" s="81" t="str">
        <f>IFERROR(IF(COUNTIFS('Candidate Tracker'!$E:$E,'Positions Tracker'!$B334,'Candidate Tracker'!$I:$I,"Female")=0,"",COUNTIFS('Candidate Tracker'!$E:$E,'Positions Tracker'!$B334,'Candidate Tracker'!$I:$I,"Female")),"")</f>
        <v/>
      </c>
      <c r="BB334" s="81" t="str">
        <f>IFERROR(IF(COUNTIFS('Candidate Tracker'!$E:$E,'Positions Tracker'!$B334,'Candidate Tracker'!$I:$I,"male")=0,"",COUNTIFS('Candidate Tracker'!$E:$E,'Positions Tracker'!$B334,'Candidate Tracker'!$I:$I,"male")),"")</f>
        <v/>
      </c>
      <c r="BC334" s="80" t="str">
        <f>IFERROR(IF(COUNTIFS('Candidate Tracker'!$E:$E,'Positions Tracker'!$B334,'Candidate Tracker'!$C:$C,"&lt;&gt;WIP",'Candidate Tracker'!$C:$C,"&lt;&gt;Hold",'Candidate Tracker'!$C:$C,"&lt;&gt;Cancelled",'Candidate Tracker'!$C:$C,"&lt;&gt;Closed")/COUNTIFS('Candidate Tracker'!$E:$E,'Positions Tracker'!$B334)=0,"",COUNTIFS('Candidate Tracker'!$E:$E,'Positions Tracker'!$B334,'Candidate Tracker'!$C:$C,"&lt;&gt;WIP",'Candidate Tracker'!$C:$C,"&lt;&gt;Hold",'Candidate Tracker'!$C:$C,"&lt;&gt;Cancelled",'Candidate Tracker'!$C:$C,"&lt;&gt;Closed")/COUNTIFS('Candidate Tracker'!$E:$E,'Positions Tracker'!$B334)),"")</f>
        <v/>
      </c>
      <c r="BD334" s="67" t="str">
        <f t="shared" si="30"/>
        <v/>
      </c>
      <c r="BE334" s="67" t="str">
        <f t="shared" si="31"/>
        <v/>
      </c>
      <c r="BF334" s="67" t="str">
        <f t="shared" si="32"/>
        <v/>
      </c>
      <c r="BG334" s="67" t="str">
        <f t="shared" si="33"/>
        <v/>
      </c>
    </row>
    <row r="335" spans="1:59">
      <c r="A335" s="55"/>
      <c r="B335" s="56"/>
      <c r="C335" s="56"/>
      <c r="D335" s="56"/>
      <c r="E335" s="56"/>
      <c r="F335" s="56"/>
      <c r="G335" s="56"/>
      <c r="H335" s="56"/>
      <c r="I335" s="6"/>
      <c r="J335" s="6"/>
      <c r="K335" s="57"/>
      <c r="L335" s="57"/>
      <c r="M335" s="57"/>
      <c r="N335" s="56"/>
      <c r="O335" s="56"/>
      <c r="P335" s="56"/>
      <c r="Q335" s="56"/>
      <c r="R335" s="56"/>
      <c r="S335" s="56"/>
      <c r="T335" s="56"/>
      <c r="U335" s="56"/>
      <c r="V335" s="56"/>
      <c r="W335" s="56"/>
      <c r="X335" s="56"/>
      <c r="Y335" s="56"/>
      <c r="Z335" s="56"/>
      <c r="AA335" s="56"/>
      <c r="AB335" s="56"/>
      <c r="AC335" s="56"/>
      <c r="AD335" s="56"/>
      <c r="AE335" s="56"/>
      <c r="AF335" s="56"/>
      <c r="AG335" s="56"/>
      <c r="AH335" s="56"/>
      <c r="AI335" s="58"/>
      <c r="AJ335" s="56"/>
      <c r="AK335" s="56"/>
      <c r="AL335" s="56"/>
      <c r="AM335" s="57"/>
      <c r="AN335" s="57"/>
      <c r="AO335" s="56"/>
      <c r="AP335" s="56"/>
      <c r="AQ335" s="57"/>
      <c r="AR335" s="57"/>
      <c r="AS335" s="57"/>
      <c r="AT335" s="67">
        <f t="shared" ca="1" si="34"/>
        <v>0</v>
      </c>
      <c r="AU335" s="79" t="str">
        <f t="shared" ca="1" si="35"/>
        <v/>
      </c>
      <c r="AV335" s="79" t="str" cm="1">
        <f t="array" aca="1" ref="AV335" ca="1">IFERROR(_xlfn.IFS($AU335="","",$AU335&lt;=15,"0-15",AND($AU335&gt;=16,$AU335&lt;=30),"16-30",AND($AU335&gt;=31,$AU335&lt;=45),"31-45",AND($AU335&gt;=46,$AU335&lt;=60),"46-60",AND($AU335&gt;=61,$AU335&lt;=90),"61-90",AND($AU335&gt;=91),"&gt; 90",AND($AU335&gt;=2000),""),"")</f>
        <v/>
      </c>
      <c r="AW335" s="79" t="str" cm="1">
        <f t="array" aca="1" ref="AW335" ca="1">IFERROR(_xlfn.IFS(OR($M335="",$AM335=""),"",OR($C335="Offered",$C335="Joined"),($AM335-$M335)-$AT335),"")</f>
        <v/>
      </c>
      <c r="AX335" s="79" t="str" cm="1">
        <f t="array" aca="1" ref="AX335" ca="1">IFERROR(_xlfn.IFS(OR($M335="",$AS335=""),"",$C335="Joined",($AS335-$M335)-$AT335),"")</f>
        <v/>
      </c>
      <c r="AY335" s="67" t="str">
        <f>IFERROR(IF(COUNTIFS('Candidate Tracker'!$E:$E,'Positions Tracker'!$B335,'Candidate Tracker'!$C:$C,"Offer Drop")=0,"",COUNTIFS('Candidate Tracker'!$E:$E,'Positions Tracker'!$B335,'Candidate Tracker'!$C:$C,"Offer Drop")),"")</f>
        <v/>
      </c>
      <c r="AZ335" s="80">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0.88111888111888115</v>
      </c>
      <c r="BA335" s="81" t="str">
        <f>IFERROR(IF(COUNTIFS('Candidate Tracker'!$E:$E,'Positions Tracker'!$B335,'Candidate Tracker'!$I:$I,"Female")=0,"",COUNTIFS('Candidate Tracker'!$E:$E,'Positions Tracker'!$B335,'Candidate Tracker'!$I:$I,"Female")),"")</f>
        <v/>
      </c>
      <c r="BB335" s="81" t="str">
        <f>IFERROR(IF(COUNTIFS('Candidate Tracker'!$E:$E,'Positions Tracker'!$B335,'Candidate Tracker'!$I:$I,"male")=0,"",COUNTIFS('Candidate Tracker'!$E:$E,'Positions Tracker'!$B335,'Candidate Tracker'!$I:$I,"male")),"")</f>
        <v/>
      </c>
      <c r="BC335" s="80" t="str">
        <f>IFERROR(IF(COUNTIFS('Candidate Tracker'!$E:$E,'Positions Tracker'!$B335,'Candidate Tracker'!$C:$C,"&lt;&gt;WIP",'Candidate Tracker'!$C:$C,"&lt;&gt;Hold",'Candidate Tracker'!$C:$C,"&lt;&gt;Cancelled",'Candidate Tracker'!$C:$C,"&lt;&gt;Closed")/COUNTIFS('Candidate Tracker'!$E:$E,'Positions Tracker'!$B335)=0,"",COUNTIFS('Candidate Tracker'!$E:$E,'Positions Tracker'!$B335,'Candidate Tracker'!$C:$C,"&lt;&gt;WIP",'Candidate Tracker'!$C:$C,"&lt;&gt;Hold",'Candidate Tracker'!$C:$C,"&lt;&gt;Cancelled",'Candidate Tracker'!$C:$C,"&lt;&gt;Closed")/COUNTIFS('Candidate Tracker'!$E:$E,'Positions Tracker'!$B335)),"")</f>
        <v/>
      </c>
      <c r="BD335" s="67" t="str">
        <f t="shared" si="30"/>
        <v/>
      </c>
      <c r="BE335" s="67" t="str">
        <f t="shared" si="31"/>
        <v/>
      </c>
      <c r="BF335" s="67" t="str">
        <f t="shared" si="32"/>
        <v/>
      </c>
      <c r="BG335" s="67" t="str">
        <f t="shared" si="33"/>
        <v/>
      </c>
    </row>
    <row r="336" spans="1:59">
      <c r="A336" s="55"/>
      <c r="B336" s="56"/>
      <c r="C336" s="56"/>
      <c r="D336" s="56"/>
      <c r="E336" s="56"/>
      <c r="F336" s="56"/>
      <c r="G336" s="56"/>
      <c r="H336" s="56"/>
      <c r="I336" s="6"/>
      <c r="J336" s="6"/>
      <c r="K336" s="57"/>
      <c r="L336" s="57"/>
      <c r="M336" s="57"/>
      <c r="N336" s="56"/>
      <c r="O336" s="56"/>
      <c r="P336" s="56"/>
      <c r="Q336" s="56"/>
      <c r="R336" s="56"/>
      <c r="S336" s="56"/>
      <c r="T336" s="56"/>
      <c r="U336" s="56"/>
      <c r="V336" s="56"/>
      <c r="W336" s="56"/>
      <c r="X336" s="56"/>
      <c r="Y336" s="56"/>
      <c r="Z336" s="56"/>
      <c r="AA336" s="56"/>
      <c r="AB336" s="56"/>
      <c r="AC336" s="56"/>
      <c r="AD336" s="56"/>
      <c r="AE336" s="56"/>
      <c r="AF336" s="56"/>
      <c r="AG336" s="56"/>
      <c r="AH336" s="56"/>
      <c r="AI336" s="58"/>
      <c r="AJ336" s="56"/>
      <c r="AK336" s="56"/>
      <c r="AL336" s="56"/>
      <c r="AM336" s="57"/>
      <c r="AN336" s="57"/>
      <c r="AO336" s="56"/>
      <c r="AP336" s="56"/>
      <c r="AQ336" s="57"/>
      <c r="AR336" s="57"/>
      <c r="AS336" s="57"/>
      <c r="AT336" s="67">
        <f t="shared" ca="1" si="34"/>
        <v>0</v>
      </c>
      <c r="AU336" s="79" t="str">
        <f t="shared" ca="1" si="35"/>
        <v/>
      </c>
      <c r="AV336" s="79" t="str" cm="1">
        <f t="array" aca="1" ref="AV336" ca="1">IFERROR(_xlfn.IFS($AU336="","",$AU336&lt;=15,"0-15",AND($AU336&gt;=16,$AU336&lt;=30),"16-30",AND($AU336&gt;=31,$AU336&lt;=45),"31-45",AND($AU336&gt;=46,$AU336&lt;=60),"46-60",AND($AU336&gt;=61,$AU336&lt;=90),"61-90",AND($AU336&gt;=91),"&gt; 90",AND($AU336&gt;=2000),""),"")</f>
        <v/>
      </c>
      <c r="AW336" s="79" t="str" cm="1">
        <f t="array" aca="1" ref="AW336" ca="1">IFERROR(_xlfn.IFS(OR($M336="",$AM336=""),"",OR($C336="Offered",$C336="Joined"),($AM336-$M336)-$AT336),"")</f>
        <v/>
      </c>
      <c r="AX336" s="79" t="str" cm="1">
        <f t="array" aca="1" ref="AX336" ca="1">IFERROR(_xlfn.IFS(OR($M336="",$AS336=""),"",$C336="Joined",($AS336-$M336)-$AT336),"")</f>
        <v/>
      </c>
      <c r="AY336" s="67" t="str">
        <f>IFERROR(IF(COUNTIFS('Candidate Tracker'!$E:$E,'Positions Tracker'!$B336,'Candidate Tracker'!$C:$C,"Offer Drop")=0,"",COUNTIFS('Candidate Tracker'!$E:$E,'Positions Tracker'!$B336,'Candidate Tracker'!$C:$C,"Offer Drop")),"")</f>
        <v/>
      </c>
      <c r="AZ336" s="80">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0.88111888111888115</v>
      </c>
      <c r="BA336" s="81" t="str">
        <f>IFERROR(IF(COUNTIFS('Candidate Tracker'!$E:$E,'Positions Tracker'!$B336,'Candidate Tracker'!$I:$I,"Female")=0,"",COUNTIFS('Candidate Tracker'!$E:$E,'Positions Tracker'!$B336,'Candidate Tracker'!$I:$I,"Female")),"")</f>
        <v/>
      </c>
      <c r="BB336" s="81" t="str">
        <f>IFERROR(IF(COUNTIFS('Candidate Tracker'!$E:$E,'Positions Tracker'!$B336,'Candidate Tracker'!$I:$I,"male")=0,"",COUNTIFS('Candidate Tracker'!$E:$E,'Positions Tracker'!$B336,'Candidate Tracker'!$I:$I,"male")),"")</f>
        <v/>
      </c>
      <c r="BC336" s="80" t="str">
        <f>IFERROR(IF(COUNTIFS('Candidate Tracker'!$E:$E,'Positions Tracker'!$B336,'Candidate Tracker'!$C:$C,"&lt;&gt;WIP",'Candidate Tracker'!$C:$C,"&lt;&gt;Hold",'Candidate Tracker'!$C:$C,"&lt;&gt;Cancelled",'Candidate Tracker'!$C:$C,"&lt;&gt;Closed")/COUNTIFS('Candidate Tracker'!$E:$E,'Positions Tracker'!$B336)=0,"",COUNTIFS('Candidate Tracker'!$E:$E,'Positions Tracker'!$B336,'Candidate Tracker'!$C:$C,"&lt;&gt;WIP",'Candidate Tracker'!$C:$C,"&lt;&gt;Hold",'Candidate Tracker'!$C:$C,"&lt;&gt;Cancelled",'Candidate Tracker'!$C:$C,"&lt;&gt;Closed")/COUNTIFS('Candidate Tracker'!$E:$E,'Positions Tracker'!$B336)),"")</f>
        <v/>
      </c>
      <c r="BD336" s="67" t="str">
        <f t="shared" si="30"/>
        <v/>
      </c>
      <c r="BE336" s="67" t="str">
        <f t="shared" si="31"/>
        <v/>
      </c>
      <c r="BF336" s="67" t="str">
        <f t="shared" si="32"/>
        <v/>
      </c>
      <c r="BG336" s="67" t="str">
        <f t="shared" si="33"/>
        <v/>
      </c>
    </row>
    <row r="337" spans="1:59">
      <c r="A337" s="55"/>
      <c r="B337" s="56"/>
      <c r="C337" s="56"/>
      <c r="D337" s="56"/>
      <c r="E337" s="56"/>
      <c r="F337" s="56"/>
      <c r="G337" s="56"/>
      <c r="H337" s="56"/>
      <c r="I337" s="6"/>
      <c r="J337" s="6"/>
      <c r="K337" s="57"/>
      <c r="L337" s="57"/>
      <c r="M337" s="57"/>
      <c r="N337" s="56"/>
      <c r="O337" s="56"/>
      <c r="P337" s="56"/>
      <c r="Q337" s="56"/>
      <c r="R337" s="56"/>
      <c r="S337" s="56"/>
      <c r="T337" s="56"/>
      <c r="U337" s="56"/>
      <c r="V337" s="56"/>
      <c r="W337" s="56"/>
      <c r="X337" s="56"/>
      <c r="Y337" s="56"/>
      <c r="Z337" s="56"/>
      <c r="AA337" s="56"/>
      <c r="AB337" s="56"/>
      <c r="AC337" s="56"/>
      <c r="AD337" s="56"/>
      <c r="AE337" s="56"/>
      <c r="AF337" s="56"/>
      <c r="AG337" s="56"/>
      <c r="AH337" s="56"/>
      <c r="AI337" s="58"/>
      <c r="AJ337" s="56"/>
      <c r="AK337" s="56"/>
      <c r="AL337" s="56"/>
      <c r="AM337" s="57"/>
      <c r="AN337" s="57"/>
      <c r="AO337" s="56"/>
      <c r="AP337" s="56"/>
      <c r="AQ337" s="57"/>
      <c r="AR337" s="57"/>
      <c r="AS337" s="57"/>
      <c r="AT337" s="67">
        <f t="shared" ca="1" si="34"/>
        <v>0</v>
      </c>
      <c r="AU337" s="79" t="str">
        <f t="shared" ca="1" si="35"/>
        <v/>
      </c>
      <c r="AV337" s="79" t="str" cm="1">
        <f t="array" aca="1" ref="AV337" ca="1">IFERROR(_xlfn.IFS($AU337="","",$AU337&lt;=15,"0-15",AND($AU337&gt;=16,$AU337&lt;=30),"16-30",AND($AU337&gt;=31,$AU337&lt;=45),"31-45",AND($AU337&gt;=46,$AU337&lt;=60),"46-60",AND($AU337&gt;=61,$AU337&lt;=90),"61-90",AND($AU337&gt;=91),"&gt; 90",AND($AU337&gt;=2000),""),"")</f>
        <v/>
      </c>
      <c r="AW337" s="79" t="str" cm="1">
        <f t="array" aca="1" ref="AW337" ca="1">IFERROR(_xlfn.IFS(OR($M337="",$AM337=""),"",OR($C337="Offered",$C337="Joined"),($AM337-$M337)-$AT337),"")</f>
        <v/>
      </c>
      <c r="AX337" s="79" t="str" cm="1">
        <f t="array" aca="1" ref="AX337" ca="1">IFERROR(_xlfn.IFS(OR($M337="",$AS337=""),"",$C337="Joined",($AS337-$M337)-$AT337),"")</f>
        <v/>
      </c>
      <c r="AY337" s="67" t="str">
        <f>IFERROR(IF(COUNTIFS('Candidate Tracker'!$E:$E,'Positions Tracker'!$B337,'Candidate Tracker'!$C:$C,"Offer Drop")=0,"",COUNTIFS('Candidate Tracker'!$E:$E,'Positions Tracker'!$B337,'Candidate Tracker'!$C:$C,"Offer Drop")),"")</f>
        <v/>
      </c>
      <c r="AZ337" s="80">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0.88111888111888115</v>
      </c>
      <c r="BA337" s="81" t="str">
        <f>IFERROR(IF(COUNTIFS('Candidate Tracker'!$E:$E,'Positions Tracker'!$B337,'Candidate Tracker'!$I:$I,"Female")=0,"",COUNTIFS('Candidate Tracker'!$E:$E,'Positions Tracker'!$B337,'Candidate Tracker'!$I:$I,"Female")),"")</f>
        <v/>
      </c>
      <c r="BB337" s="81" t="str">
        <f>IFERROR(IF(COUNTIFS('Candidate Tracker'!$E:$E,'Positions Tracker'!$B337,'Candidate Tracker'!$I:$I,"male")=0,"",COUNTIFS('Candidate Tracker'!$E:$E,'Positions Tracker'!$B337,'Candidate Tracker'!$I:$I,"male")),"")</f>
        <v/>
      </c>
      <c r="BC337" s="80" t="str">
        <f>IFERROR(IF(COUNTIFS('Candidate Tracker'!$E:$E,'Positions Tracker'!$B337,'Candidate Tracker'!$C:$C,"&lt;&gt;WIP",'Candidate Tracker'!$C:$C,"&lt;&gt;Hold",'Candidate Tracker'!$C:$C,"&lt;&gt;Cancelled",'Candidate Tracker'!$C:$C,"&lt;&gt;Closed")/COUNTIFS('Candidate Tracker'!$E:$E,'Positions Tracker'!$B337)=0,"",COUNTIFS('Candidate Tracker'!$E:$E,'Positions Tracker'!$B337,'Candidate Tracker'!$C:$C,"&lt;&gt;WIP",'Candidate Tracker'!$C:$C,"&lt;&gt;Hold",'Candidate Tracker'!$C:$C,"&lt;&gt;Cancelled",'Candidate Tracker'!$C:$C,"&lt;&gt;Closed")/COUNTIFS('Candidate Tracker'!$E:$E,'Positions Tracker'!$B337)),"")</f>
        <v/>
      </c>
      <c r="BD337" s="67" t="str">
        <f t="shared" si="30"/>
        <v/>
      </c>
      <c r="BE337" s="67" t="str">
        <f t="shared" si="31"/>
        <v/>
      </c>
      <c r="BF337" s="67" t="str">
        <f t="shared" si="32"/>
        <v/>
      </c>
      <c r="BG337" s="67" t="str">
        <f t="shared" si="33"/>
        <v/>
      </c>
    </row>
    <row r="338" spans="1:59">
      <c r="A338" s="55"/>
      <c r="B338" s="56"/>
      <c r="C338" s="56"/>
      <c r="D338" s="56"/>
      <c r="E338" s="56"/>
      <c r="F338" s="56"/>
      <c r="G338" s="56"/>
      <c r="H338" s="56"/>
      <c r="I338" s="6"/>
      <c r="J338" s="6"/>
      <c r="K338" s="57"/>
      <c r="L338" s="57"/>
      <c r="M338" s="57"/>
      <c r="N338" s="56"/>
      <c r="O338" s="56"/>
      <c r="P338" s="56"/>
      <c r="Q338" s="56"/>
      <c r="R338" s="56"/>
      <c r="S338" s="56"/>
      <c r="T338" s="56"/>
      <c r="U338" s="56"/>
      <c r="V338" s="56"/>
      <c r="W338" s="56"/>
      <c r="X338" s="56"/>
      <c r="Y338" s="56"/>
      <c r="Z338" s="56"/>
      <c r="AA338" s="56"/>
      <c r="AB338" s="56"/>
      <c r="AC338" s="56"/>
      <c r="AD338" s="56"/>
      <c r="AE338" s="56"/>
      <c r="AF338" s="56"/>
      <c r="AG338" s="56"/>
      <c r="AH338" s="56"/>
      <c r="AI338" s="58"/>
      <c r="AJ338" s="56"/>
      <c r="AK338" s="56"/>
      <c r="AL338" s="56"/>
      <c r="AM338" s="57"/>
      <c r="AN338" s="57"/>
      <c r="AO338" s="56"/>
      <c r="AP338" s="56"/>
      <c r="AQ338" s="57"/>
      <c r="AR338" s="57"/>
      <c r="AS338" s="57"/>
      <c r="AT338" s="67">
        <f t="shared" ca="1" si="34"/>
        <v>0</v>
      </c>
      <c r="AU338" s="79" t="str">
        <f t="shared" ca="1" si="35"/>
        <v/>
      </c>
      <c r="AV338" s="79" t="str" cm="1">
        <f t="array" aca="1" ref="AV338" ca="1">IFERROR(_xlfn.IFS($AU338="","",$AU338&lt;=15,"0-15",AND($AU338&gt;=16,$AU338&lt;=30),"16-30",AND($AU338&gt;=31,$AU338&lt;=45),"31-45",AND($AU338&gt;=46,$AU338&lt;=60),"46-60",AND($AU338&gt;=61,$AU338&lt;=90),"61-90",AND($AU338&gt;=91),"&gt; 90",AND($AU338&gt;=2000),""),"")</f>
        <v/>
      </c>
      <c r="AW338" s="79" t="str" cm="1">
        <f t="array" aca="1" ref="AW338" ca="1">IFERROR(_xlfn.IFS(OR($M338="",$AM338=""),"",OR($C338="Offered",$C338="Joined"),($AM338-$M338)-$AT338),"")</f>
        <v/>
      </c>
      <c r="AX338" s="79" t="str" cm="1">
        <f t="array" aca="1" ref="AX338" ca="1">IFERROR(_xlfn.IFS(OR($M338="",$AS338=""),"",$C338="Joined",($AS338-$M338)-$AT338),"")</f>
        <v/>
      </c>
      <c r="AY338" s="67" t="str">
        <f>IFERROR(IF(COUNTIFS('Candidate Tracker'!$E:$E,'Positions Tracker'!$B338,'Candidate Tracker'!$C:$C,"Offer Drop")=0,"",COUNTIFS('Candidate Tracker'!$E:$E,'Positions Tracker'!$B338,'Candidate Tracker'!$C:$C,"Offer Drop")),"")</f>
        <v/>
      </c>
      <c r="AZ338" s="80">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0.88111888111888115</v>
      </c>
      <c r="BA338" s="81" t="str">
        <f>IFERROR(IF(COUNTIFS('Candidate Tracker'!$E:$E,'Positions Tracker'!$B338,'Candidate Tracker'!$I:$I,"Female")=0,"",COUNTIFS('Candidate Tracker'!$E:$E,'Positions Tracker'!$B338,'Candidate Tracker'!$I:$I,"Female")),"")</f>
        <v/>
      </c>
      <c r="BB338" s="81" t="str">
        <f>IFERROR(IF(COUNTIFS('Candidate Tracker'!$E:$E,'Positions Tracker'!$B338,'Candidate Tracker'!$I:$I,"male")=0,"",COUNTIFS('Candidate Tracker'!$E:$E,'Positions Tracker'!$B338,'Candidate Tracker'!$I:$I,"male")),"")</f>
        <v/>
      </c>
      <c r="BC338" s="80" t="str">
        <f>IFERROR(IF(COUNTIFS('Candidate Tracker'!$E:$E,'Positions Tracker'!$B338,'Candidate Tracker'!$C:$C,"&lt;&gt;WIP",'Candidate Tracker'!$C:$C,"&lt;&gt;Hold",'Candidate Tracker'!$C:$C,"&lt;&gt;Cancelled",'Candidate Tracker'!$C:$C,"&lt;&gt;Closed")/COUNTIFS('Candidate Tracker'!$E:$E,'Positions Tracker'!$B338)=0,"",COUNTIFS('Candidate Tracker'!$E:$E,'Positions Tracker'!$B338,'Candidate Tracker'!$C:$C,"&lt;&gt;WIP",'Candidate Tracker'!$C:$C,"&lt;&gt;Hold",'Candidate Tracker'!$C:$C,"&lt;&gt;Cancelled",'Candidate Tracker'!$C:$C,"&lt;&gt;Closed")/COUNTIFS('Candidate Tracker'!$E:$E,'Positions Tracker'!$B338)),"")</f>
        <v/>
      </c>
      <c r="BD338" s="67" t="str">
        <f t="shared" si="30"/>
        <v/>
      </c>
      <c r="BE338" s="67" t="str">
        <f t="shared" si="31"/>
        <v/>
      </c>
      <c r="BF338" s="67" t="str">
        <f t="shared" si="32"/>
        <v/>
      </c>
      <c r="BG338" s="67" t="str">
        <f t="shared" si="33"/>
        <v/>
      </c>
    </row>
    <row r="339" spans="1:59">
      <c r="A339" s="55"/>
      <c r="B339" s="56"/>
      <c r="C339" s="56"/>
      <c r="D339" s="56"/>
      <c r="E339" s="56"/>
      <c r="F339" s="56"/>
      <c r="G339" s="56"/>
      <c r="H339" s="56"/>
      <c r="I339" s="6"/>
      <c r="J339" s="6"/>
      <c r="K339" s="57"/>
      <c r="L339" s="57"/>
      <c r="M339" s="57"/>
      <c r="N339" s="56"/>
      <c r="O339" s="56"/>
      <c r="P339" s="56"/>
      <c r="Q339" s="56"/>
      <c r="R339" s="56"/>
      <c r="S339" s="56"/>
      <c r="T339" s="56"/>
      <c r="U339" s="56"/>
      <c r="V339" s="56"/>
      <c r="W339" s="56"/>
      <c r="X339" s="56"/>
      <c r="Y339" s="56"/>
      <c r="Z339" s="56"/>
      <c r="AA339" s="56"/>
      <c r="AB339" s="56"/>
      <c r="AC339" s="56"/>
      <c r="AD339" s="56"/>
      <c r="AE339" s="56"/>
      <c r="AF339" s="56"/>
      <c r="AG339" s="56"/>
      <c r="AH339" s="56"/>
      <c r="AI339" s="58"/>
      <c r="AJ339" s="56"/>
      <c r="AK339" s="56"/>
      <c r="AL339" s="56"/>
      <c r="AM339" s="57"/>
      <c r="AN339" s="57"/>
      <c r="AO339" s="56"/>
      <c r="AP339" s="56"/>
      <c r="AQ339" s="57"/>
      <c r="AR339" s="57"/>
      <c r="AS339" s="57"/>
      <c r="AT339" s="67">
        <f t="shared" ca="1" si="34"/>
        <v>0</v>
      </c>
      <c r="AU339" s="79" t="str">
        <f t="shared" ca="1" si="35"/>
        <v/>
      </c>
      <c r="AV339" s="79" t="str" cm="1">
        <f t="array" aca="1" ref="AV339" ca="1">IFERROR(_xlfn.IFS($AU339="","",$AU339&lt;=15,"0-15",AND($AU339&gt;=16,$AU339&lt;=30),"16-30",AND($AU339&gt;=31,$AU339&lt;=45),"31-45",AND($AU339&gt;=46,$AU339&lt;=60),"46-60",AND($AU339&gt;=61,$AU339&lt;=90),"61-90",AND($AU339&gt;=91),"&gt; 90",AND($AU339&gt;=2000),""),"")</f>
        <v/>
      </c>
      <c r="AW339" s="79" t="str" cm="1">
        <f t="array" aca="1" ref="AW339" ca="1">IFERROR(_xlfn.IFS(OR($M339="",$AM339=""),"",OR($C339="Offered",$C339="Joined"),($AM339-$M339)-$AT339),"")</f>
        <v/>
      </c>
      <c r="AX339" s="79" t="str" cm="1">
        <f t="array" aca="1" ref="AX339" ca="1">IFERROR(_xlfn.IFS(OR($M339="",$AS339=""),"",$C339="Joined",($AS339-$M339)-$AT339),"")</f>
        <v/>
      </c>
      <c r="AY339" s="67" t="str">
        <f>IFERROR(IF(COUNTIFS('Candidate Tracker'!$E:$E,'Positions Tracker'!$B339,'Candidate Tracker'!$C:$C,"Offer Drop")=0,"",COUNTIFS('Candidate Tracker'!$E:$E,'Positions Tracker'!$B339,'Candidate Tracker'!$C:$C,"Offer Drop")),"")</f>
        <v/>
      </c>
      <c r="AZ339" s="80">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0.88111888111888115</v>
      </c>
      <c r="BA339" s="81" t="str">
        <f>IFERROR(IF(COUNTIFS('Candidate Tracker'!$E:$E,'Positions Tracker'!$B339,'Candidate Tracker'!$I:$I,"Female")=0,"",COUNTIFS('Candidate Tracker'!$E:$E,'Positions Tracker'!$B339,'Candidate Tracker'!$I:$I,"Female")),"")</f>
        <v/>
      </c>
      <c r="BB339" s="81" t="str">
        <f>IFERROR(IF(COUNTIFS('Candidate Tracker'!$E:$E,'Positions Tracker'!$B339,'Candidate Tracker'!$I:$I,"male")=0,"",COUNTIFS('Candidate Tracker'!$E:$E,'Positions Tracker'!$B339,'Candidate Tracker'!$I:$I,"male")),"")</f>
        <v/>
      </c>
      <c r="BC339" s="80" t="str">
        <f>IFERROR(IF(COUNTIFS('Candidate Tracker'!$E:$E,'Positions Tracker'!$B339,'Candidate Tracker'!$C:$C,"&lt;&gt;WIP",'Candidate Tracker'!$C:$C,"&lt;&gt;Hold",'Candidate Tracker'!$C:$C,"&lt;&gt;Cancelled",'Candidate Tracker'!$C:$C,"&lt;&gt;Closed")/COUNTIFS('Candidate Tracker'!$E:$E,'Positions Tracker'!$B339)=0,"",COUNTIFS('Candidate Tracker'!$E:$E,'Positions Tracker'!$B339,'Candidate Tracker'!$C:$C,"&lt;&gt;WIP",'Candidate Tracker'!$C:$C,"&lt;&gt;Hold",'Candidate Tracker'!$C:$C,"&lt;&gt;Cancelled",'Candidate Tracker'!$C:$C,"&lt;&gt;Closed")/COUNTIFS('Candidate Tracker'!$E:$E,'Positions Tracker'!$B339)),"")</f>
        <v/>
      </c>
      <c r="BD339" s="67" t="str">
        <f t="shared" si="30"/>
        <v/>
      </c>
      <c r="BE339" s="67" t="str">
        <f t="shared" si="31"/>
        <v/>
      </c>
      <c r="BF339" s="67" t="str">
        <f t="shared" si="32"/>
        <v/>
      </c>
      <c r="BG339" s="67" t="str">
        <f t="shared" si="33"/>
        <v/>
      </c>
    </row>
    <row r="340" spans="1:59">
      <c r="A340" s="55"/>
      <c r="B340" s="56"/>
      <c r="C340" s="56"/>
      <c r="D340" s="56"/>
      <c r="E340" s="56"/>
      <c r="F340" s="56"/>
      <c r="G340" s="56"/>
      <c r="H340" s="56"/>
      <c r="I340" s="6"/>
      <c r="J340" s="6"/>
      <c r="K340" s="57"/>
      <c r="L340" s="57"/>
      <c r="M340" s="57"/>
      <c r="N340" s="56"/>
      <c r="O340" s="56"/>
      <c r="P340" s="56"/>
      <c r="Q340" s="56"/>
      <c r="R340" s="56"/>
      <c r="S340" s="56"/>
      <c r="T340" s="56"/>
      <c r="U340" s="56"/>
      <c r="V340" s="56"/>
      <c r="W340" s="56"/>
      <c r="X340" s="56"/>
      <c r="Y340" s="56"/>
      <c r="Z340" s="56"/>
      <c r="AA340" s="56"/>
      <c r="AB340" s="56"/>
      <c r="AC340" s="56"/>
      <c r="AD340" s="56"/>
      <c r="AE340" s="56"/>
      <c r="AF340" s="56"/>
      <c r="AG340" s="56"/>
      <c r="AH340" s="56"/>
      <c r="AI340" s="58"/>
      <c r="AJ340" s="56"/>
      <c r="AK340" s="56"/>
      <c r="AL340" s="56"/>
      <c r="AM340" s="57"/>
      <c r="AN340" s="57"/>
      <c r="AO340" s="56"/>
      <c r="AP340" s="56"/>
      <c r="AQ340" s="57"/>
      <c r="AR340" s="57"/>
      <c r="AS340" s="57"/>
      <c r="AT340" s="67">
        <f t="shared" ca="1" si="34"/>
        <v>0</v>
      </c>
      <c r="AU340" s="79" t="str">
        <f t="shared" ca="1" si="35"/>
        <v/>
      </c>
      <c r="AV340" s="79" t="str" cm="1">
        <f t="array" aca="1" ref="AV340" ca="1">IFERROR(_xlfn.IFS($AU340="","",$AU340&lt;=15,"0-15",AND($AU340&gt;=16,$AU340&lt;=30),"16-30",AND($AU340&gt;=31,$AU340&lt;=45),"31-45",AND($AU340&gt;=46,$AU340&lt;=60),"46-60",AND($AU340&gt;=61,$AU340&lt;=90),"61-90",AND($AU340&gt;=91),"&gt; 90",AND($AU340&gt;=2000),""),"")</f>
        <v/>
      </c>
      <c r="AW340" s="79" t="str" cm="1">
        <f t="array" aca="1" ref="AW340" ca="1">IFERROR(_xlfn.IFS(OR($M340="",$AM340=""),"",OR($C340="Offered",$C340="Joined"),($AM340-$M340)-$AT340),"")</f>
        <v/>
      </c>
      <c r="AX340" s="79" t="str" cm="1">
        <f t="array" aca="1" ref="AX340" ca="1">IFERROR(_xlfn.IFS(OR($M340="",$AS340=""),"",$C340="Joined",($AS340-$M340)-$AT340),"")</f>
        <v/>
      </c>
      <c r="AY340" s="67" t="str">
        <f>IFERROR(IF(COUNTIFS('Candidate Tracker'!$E:$E,'Positions Tracker'!$B340,'Candidate Tracker'!$C:$C,"Offer Drop")=0,"",COUNTIFS('Candidate Tracker'!$E:$E,'Positions Tracker'!$B340,'Candidate Tracker'!$C:$C,"Offer Drop")),"")</f>
        <v/>
      </c>
      <c r="AZ340" s="80">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0.88111888111888115</v>
      </c>
      <c r="BA340" s="81" t="str">
        <f>IFERROR(IF(COUNTIFS('Candidate Tracker'!$E:$E,'Positions Tracker'!$B340,'Candidate Tracker'!$I:$I,"Female")=0,"",COUNTIFS('Candidate Tracker'!$E:$E,'Positions Tracker'!$B340,'Candidate Tracker'!$I:$I,"Female")),"")</f>
        <v/>
      </c>
      <c r="BB340" s="81" t="str">
        <f>IFERROR(IF(COUNTIFS('Candidate Tracker'!$E:$E,'Positions Tracker'!$B340,'Candidate Tracker'!$I:$I,"male")=0,"",COUNTIFS('Candidate Tracker'!$E:$E,'Positions Tracker'!$B340,'Candidate Tracker'!$I:$I,"male")),"")</f>
        <v/>
      </c>
      <c r="BC340" s="80" t="str">
        <f>IFERROR(IF(COUNTIFS('Candidate Tracker'!$E:$E,'Positions Tracker'!$B340,'Candidate Tracker'!$C:$C,"&lt;&gt;WIP",'Candidate Tracker'!$C:$C,"&lt;&gt;Hold",'Candidate Tracker'!$C:$C,"&lt;&gt;Cancelled",'Candidate Tracker'!$C:$C,"&lt;&gt;Closed")/COUNTIFS('Candidate Tracker'!$E:$E,'Positions Tracker'!$B340)=0,"",COUNTIFS('Candidate Tracker'!$E:$E,'Positions Tracker'!$B340,'Candidate Tracker'!$C:$C,"&lt;&gt;WIP",'Candidate Tracker'!$C:$C,"&lt;&gt;Hold",'Candidate Tracker'!$C:$C,"&lt;&gt;Cancelled",'Candidate Tracker'!$C:$C,"&lt;&gt;Closed")/COUNTIFS('Candidate Tracker'!$E:$E,'Positions Tracker'!$B340)),"")</f>
        <v/>
      </c>
      <c r="BD340" s="67" t="str">
        <f t="shared" si="30"/>
        <v/>
      </c>
      <c r="BE340" s="67" t="str">
        <f t="shared" si="31"/>
        <v/>
      </c>
      <c r="BF340" s="67" t="str">
        <f t="shared" si="32"/>
        <v/>
      </c>
      <c r="BG340" s="67" t="str">
        <f t="shared" si="33"/>
        <v/>
      </c>
    </row>
    <row r="341" spans="1:59">
      <c r="A341" s="55"/>
      <c r="B341" s="56"/>
      <c r="C341" s="56"/>
      <c r="D341" s="56"/>
      <c r="E341" s="56"/>
      <c r="F341" s="56"/>
      <c r="G341" s="56"/>
      <c r="H341" s="56"/>
      <c r="I341" s="6"/>
      <c r="J341" s="6"/>
      <c r="K341" s="57"/>
      <c r="L341" s="57"/>
      <c r="M341" s="57"/>
      <c r="N341" s="56"/>
      <c r="O341" s="56"/>
      <c r="P341" s="56"/>
      <c r="Q341" s="56"/>
      <c r="R341" s="56"/>
      <c r="S341" s="56"/>
      <c r="T341" s="56"/>
      <c r="U341" s="56"/>
      <c r="V341" s="56"/>
      <c r="W341" s="56"/>
      <c r="X341" s="56"/>
      <c r="Y341" s="56"/>
      <c r="Z341" s="56"/>
      <c r="AA341" s="56"/>
      <c r="AB341" s="56"/>
      <c r="AC341" s="56"/>
      <c r="AD341" s="56"/>
      <c r="AE341" s="56"/>
      <c r="AF341" s="56"/>
      <c r="AG341" s="56"/>
      <c r="AH341" s="56"/>
      <c r="AI341" s="58"/>
      <c r="AJ341" s="56"/>
      <c r="AK341" s="56"/>
      <c r="AL341" s="56"/>
      <c r="AM341" s="57"/>
      <c r="AN341" s="57"/>
      <c r="AO341" s="56"/>
      <c r="AP341" s="56"/>
      <c r="AQ341" s="57"/>
      <c r="AR341" s="57"/>
      <c r="AS341" s="57"/>
      <c r="AT341" s="67">
        <f t="shared" ca="1" si="34"/>
        <v>0</v>
      </c>
      <c r="AU341" s="79" t="str">
        <f t="shared" ca="1" si="35"/>
        <v/>
      </c>
      <c r="AV341" s="79" t="str" cm="1">
        <f t="array" aca="1" ref="AV341" ca="1">IFERROR(_xlfn.IFS($AU341="","",$AU341&lt;=15,"0-15",AND($AU341&gt;=16,$AU341&lt;=30),"16-30",AND($AU341&gt;=31,$AU341&lt;=45),"31-45",AND($AU341&gt;=46,$AU341&lt;=60),"46-60",AND($AU341&gt;=61,$AU341&lt;=90),"61-90",AND($AU341&gt;=91),"&gt; 90",AND($AU341&gt;=2000),""),"")</f>
        <v/>
      </c>
      <c r="AW341" s="79" t="str" cm="1">
        <f t="array" aca="1" ref="AW341" ca="1">IFERROR(_xlfn.IFS(OR($M341="",$AM341=""),"",OR($C341="Offered",$C341="Joined"),($AM341-$M341)-$AT341),"")</f>
        <v/>
      </c>
      <c r="AX341" s="79" t="str" cm="1">
        <f t="array" aca="1" ref="AX341" ca="1">IFERROR(_xlfn.IFS(OR($M341="",$AS341=""),"",$C341="Joined",($AS341-$M341)-$AT341),"")</f>
        <v/>
      </c>
      <c r="AY341" s="67" t="str">
        <f>IFERROR(IF(COUNTIFS('Candidate Tracker'!$E:$E,'Positions Tracker'!$B341,'Candidate Tracker'!$C:$C,"Offer Drop")=0,"",COUNTIFS('Candidate Tracker'!$E:$E,'Positions Tracker'!$B341,'Candidate Tracker'!$C:$C,"Offer Drop")),"")</f>
        <v/>
      </c>
      <c r="AZ341" s="80">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0.88111888111888115</v>
      </c>
      <c r="BA341" s="81" t="str">
        <f>IFERROR(IF(COUNTIFS('Candidate Tracker'!$E:$E,'Positions Tracker'!$B341,'Candidate Tracker'!$I:$I,"Female")=0,"",COUNTIFS('Candidate Tracker'!$E:$E,'Positions Tracker'!$B341,'Candidate Tracker'!$I:$I,"Female")),"")</f>
        <v/>
      </c>
      <c r="BB341" s="81" t="str">
        <f>IFERROR(IF(COUNTIFS('Candidate Tracker'!$E:$E,'Positions Tracker'!$B341,'Candidate Tracker'!$I:$I,"male")=0,"",COUNTIFS('Candidate Tracker'!$E:$E,'Positions Tracker'!$B341,'Candidate Tracker'!$I:$I,"male")),"")</f>
        <v/>
      </c>
      <c r="BC341" s="80" t="str">
        <f>IFERROR(IF(COUNTIFS('Candidate Tracker'!$E:$E,'Positions Tracker'!$B341,'Candidate Tracker'!$C:$C,"&lt;&gt;WIP",'Candidate Tracker'!$C:$C,"&lt;&gt;Hold",'Candidate Tracker'!$C:$C,"&lt;&gt;Cancelled",'Candidate Tracker'!$C:$C,"&lt;&gt;Closed")/COUNTIFS('Candidate Tracker'!$E:$E,'Positions Tracker'!$B341)=0,"",COUNTIFS('Candidate Tracker'!$E:$E,'Positions Tracker'!$B341,'Candidate Tracker'!$C:$C,"&lt;&gt;WIP",'Candidate Tracker'!$C:$C,"&lt;&gt;Hold",'Candidate Tracker'!$C:$C,"&lt;&gt;Cancelled",'Candidate Tracker'!$C:$C,"&lt;&gt;Closed")/COUNTIFS('Candidate Tracker'!$E:$E,'Positions Tracker'!$B341)),"")</f>
        <v/>
      </c>
      <c r="BD341" s="67" t="str">
        <f t="shared" si="30"/>
        <v/>
      </c>
      <c r="BE341" s="67" t="str">
        <f t="shared" si="31"/>
        <v/>
      </c>
      <c r="BF341" s="67" t="str">
        <f t="shared" si="32"/>
        <v/>
      </c>
      <c r="BG341" s="67" t="str">
        <f t="shared" si="33"/>
        <v/>
      </c>
    </row>
    <row r="342" spans="1:59">
      <c r="A342" s="55"/>
      <c r="B342" s="56"/>
      <c r="C342" s="56"/>
      <c r="D342" s="56"/>
      <c r="E342" s="56"/>
      <c r="F342" s="56"/>
      <c r="G342" s="56"/>
      <c r="H342" s="56"/>
      <c r="I342" s="6"/>
      <c r="J342" s="6"/>
      <c r="K342" s="57"/>
      <c r="L342" s="57"/>
      <c r="M342" s="57"/>
      <c r="N342" s="56"/>
      <c r="O342" s="56"/>
      <c r="P342" s="56"/>
      <c r="Q342" s="56"/>
      <c r="R342" s="56"/>
      <c r="S342" s="56"/>
      <c r="T342" s="56"/>
      <c r="U342" s="56"/>
      <c r="V342" s="56"/>
      <c r="W342" s="56"/>
      <c r="X342" s="56"/>
      <c r="Y342" s="56"/>
      <c r="Z342" s="56"/>
      <c r="AA342" s="56"/>
      <c r="AB342" s="56"/>
      <c r="AC342" s="56"/>
      <c r="AD342" s="56"/>
      <c r="AE342" s="56"/>
      <c r="AF342" s="56"/>
      <c r="AG342" s="56"/>
      <c r="AH342" s="56"/>
      <c r="AI342" s="58"/>
      <c r="AJ342" s="56"/>
      <c r="AK342" s="56"/>
      <c r="AL342" s="56"/>
      <c r="AM342" s="57"/>
      <c r="AN342" s="57"/>
      <c r="AO342" s="56"/>
      <c r="AP342" s="56"/>
      <c r="AQ342" s="57"/>
      <c r="AR342" s="57"/>
      <c r="AS342" s="57"/>
      <c r="AT342" s="67">
        <f t="shared" ca="1" si="34"/>
        <v>0</v>
      </c>
      <c r="AU342" s="79" t="str">
        <f t="shared" ca="1" si="35"/>
        <v/>
      </c>
      <c r="AV342" s="79" t="str" cm="1">
        <f t="array" aca="1" ref="AV342" ca="1">IFERROR(_xlfn.IFS($AU342="","",$AU342&lt;=15,"0-15",AND($AU342&gt;=16,$AU342&lt;=30),"16-30",AND($AU342&gt;=31,$AU342&lt;=45),"31-45",AND($AU342&gt;=46,$AU342&lt;=60),"46-60",AND($AU342&gt;=61,$AU342&lt;=90),"61-90",AND($AU342&gt;=91),"&gt; 90",AND($AU342&gt;=2000),""),"")</f>
        <v/>
      </c>
      <c r="AW342" s="79" t="str" cm="1">
        <f t="array" aca="1" ref="AW342" ca="1">IFERROR(_xlfn.IFS(OR($M342="",$AM342=""),"",OR($C342="Offered",$C342="Joined"),($AM342-$M342)-$AT342),"")</f>
        <v/>
      </c>
      <c r="AX342" s="79" t="str" cm="1">
        <f t="array" aca="1" ref="AX342" ca="1">IFERROR(_xlfn.IFS(OR($M342="",$AS342=""),"",$C342="Joined",($AS342-$M342)-$AT342),"")</f>
        <v/>
      </c>
      <c r="AY342" s="67" t="str">
        <f>IFERROR(IF(COUNTIFS('Candidate Tracker'!$E:$E,'Positions Tracker'!$B342,'Candidate Tracker'!$C:$C,"Offer Drop")=0,"",COUNTIFS('Candidate Tracker'!$E:$E,'Positions Tracker'!$B342,'Candidate Tracker'!$C:$C,"Offer Drop")),"")</f>
        <v/>
      </c>
      <c r="AZ342" s="80">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0.88111888111888115</v>
      </c>
      <c r="BA342" s="81" t="str">
        <f>IFERROR(IF(COUNTIFS('Candidate Tracker'!$E:$E,'Positions Tracker'!$B342,'Candidate Tracker'!$I:$I,"Female")=0,"",COUNTIFS('Candidate Tracker'!$E:$E,'Positions Tracker'!$B342,'Candidate Tracker'!$I:$I,"Female")),"")</f>
        <v/>
      </c>
      <c r="BB342" s="81" t="str">
        <f>IFERROR(IF(COUNTIFS('Candidate Tracker'!$E:$E,'Positions Tracker'!$B342,'Candidate Tracker'!$I:$I,"male")=0,"",COUNTIFS('Candidate Tracker'!$E:$E,'Positions Tracker'!$B342,'Candidate Tracker'!$I:$I,"male")),"")</f>
        <v/>
      </c>
      <c r="BC342" s="80" t="str">
        <f>IFERROR(IF(COUNTIFS('Candidate Tracker'!$E:$E,'Positions Tracker'!$B342,'Candidate Tracker'!$C:$C,"&lt;&gt;WIP",'Candidate Tracker'!$C:$C,"&lt;&gt;Hold",'Candidate Tracker'!$C:$C,"&lt;&gt;Cancelled",'Candidate Tracker'!$C:$C,"&lt;&gt;Closed")/COUNTIFS('Candidate Tracker'!$E:$E,'Positions Tracker'!$B342)=0,"",COUNTIFS('Candidate Tracker'!$E:$E,'Positions Tracker'!$B342,'Candidate Tracker'!$C:$C,"&lt;&gt;WIP",'Candidate Tracker'!$C:$C,"&lt;&gt;Hold",'Candidate Tracker'!$C:$C,"&lt;&gt;Cancelled",'Candidate Tracker'!$C:$C,"&lt;&gt;Closed")/COUNTIFS('Candidate Tracker'!$E:$E,'Positions Tracker'!$B342)),"")</f>
        <v/>
      </c>
      <c r="BD342" s="67" t="str">
        <f t="shared" si="30"/>
        <v/>
      </c>
      <c r="BE342" s="67" t="str">
        <f t="shared" si="31"/>
        <v/>
      </c>
      <c r="BF342" s="67" t="str">
        <f t="shared" si="32"/>
        <v/>
      </c>
      <c r="BG342" s="67" t="str">
        <f t="shared" si="33"/>
        <v/>
      </c>
    </row>
    <row r="343" spans="1:59">
      <c r="A343" s="55"/>
      <c r="B343" s="56"/>
      <c r="C343" s="56"/>
      <c r="D343" s="56"/>
      <c r="E343" s="56"/>
      <c r="F343" s="56"/>
      <c r="G343" s="56"/>
      <c r="H343" s="56"/>
      <c r="I343" s="6"/>
      <c r="J343" s="6"/>
      <c r="K343" s="57"/>
      <c r="L343" s="57"/>
      <c r="M343" s="57"/>
      <c r="N343" s="56"/>
      <c r="O343" s="56"/>
      <c r="P343" s="56"/>
      <c r="Q343" s="56"/>
      <c r="R343" s="56"/>
      <c r="S343" s="56"/>
      <c r="T343" s="56"/>
      <c r="U343" s="56"/>
      <c r="V343" s="56"/>
      <c r="W343" s="56"/>
      <c r="X343" s="56"/>
      <c r="Y343" s="56"/>
      <c r="Z343" s="56"/>
      <c r="AA343" s="56"/>
      <c r="AB343" s="56"/>
      <c r="AC343" s="56"/>
      <c r="AD343" s="56"/>
      <c r="AE343" s="56"/>
      <c r="AF343" s="56"/>
      <c r="AG343" s="56"/>
      <c r="AH343" s="56"/>
      <c r="AI343" s="58"/>
      <c r="AJ343" s="56"/>
      <c r="AK343" s="56"/>
      <c r="AL343" s="56"/>
      <c r="AM343" s="57"/>
      <c r="AN343" s="57"/>
      <c r="AO343" s="56"/>
      <c r="AP343" s="56"/>
      <c r="AQ343" s="57"/>
      <c r="AR343" s="57"/>
      <c r="AS343" s="57"/>
      <c r="AT343" s="67">
        <f t="shared" ca="1" si="34"/>
        <v>0</v>
      </c>
      <c r="AU343" s="79" t="str">
        <f t="shared" ca="1" si="35"/>
        <v/>
      </c>
      <c r="AV343" s="79" t="str" cm="1">
        <f t="array" aca="1" ref="AV343" ca="1">IFERROR(_xlfn.IFS($AU343="","",$AU343&lt;=15,"0-15",AND($AU343&gt;=16,$AU343&lt;=30),"16-30",AND($AU343&gt;=31,$AU343&lt;=45),"31-45",AND($AU343&gt;=46,$AU343&lt;=60),"46-60",AND($AU343&gt;=61,$AU343&lt;=90),"61-90",AND($AU343&gt;=91),"&gt; 90",AND($AU343&gt;=2000),""),"")</f>
        <v/>
      </c>
      <c r="AW343" s="79" t="str" cm="1">
        <f t="array" aca="1" ref="AW343" ca="1">IFERROR(_xlfn.IFS(OR($M343="",$AM343=""),"",OR($C343="Offered",$C343="Joined"),($AM343-$M343)-$AT343),"")</f>
        <v/>
      </c>
      <c r="AX343" s="79" t="str" cm="1">
        <f t="array" aca="1" ref="AX343" ca="1">IFERROR(_xlfn.IFS(OR($M343="",$AS343=""),"",$C343="Joined",($AS343-$M343)-$AT343),"")</f>
        <v/>
      </c>
      <c r="AY343" s="67" t="str">
        <f>IFERROR(IF(COUNTIFS('Candidate Tracker'!$E:$E,'Positions Tracker'!$B343,'Candidate Tracker'!$C:$C,"Offer Drop")=0,"",COUNTIFS('Candidate Tracker'!$E:$E,'Positions Tracker'!$B343,'Candidate Tracker'!$C:$C,"Offer Drop")),"")</f>
        <v/>
      </c>
      <c r="AZ343" s="80">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0.88111888111888115</v>
      </c>
      <c r="BA343" s="81" t="str">
        <f>IFERROR(IF(COUNTIFS('Candidate Tracker'!$E:$E,'Positions Tracker'!$B343,'Candidate Tracker'!$I:$I,"Female")=0,"",COUNTIFS('Candidate Tracker'!$E:$E,'Positions Tracker'!$B343,'Candidate Tracker'!$I:$I,"Female")),"")</f>
        <v/>
      </c>
      <c r="BB343" s="81" t="str">
        <f>IFERROR(IF(COUNTIFS('Candidate Tracker'!$E:$E,'Positions Tracker'!$B343,'Candidate Tracker'!$I:$I,"male")=0,"",COUNTIFS('Candidate Tracker'!$E:$E,'Positions Tracker'!$B343,'Candidate Tracker'!$I:$I,"male")),"")</f>
        <v/>
      </c>
      <c r="BC343" s="80" t="str">
        <f>IFERROR(IF(COUNTIFS('Candidate Tracker'!$E:$E,'Positions Tracker'!$B343,'Candidate Tracker'!$C:$C,"&lt;&gt;WIP",'Candidate Tracker'!$C:$C,"&lt;&gt;Hold",'Candidate Tracker'!$C:$C,"&lt;&gt;Cancelled",'Candidate Tracker'!$C:$C,"&lt;&gt;Closed")/COUNTIFS('Candidate Tracker'!$E:$E,'Positions Tracker'!$B343)=0,"",COUNTIFS('Candidate Tracker'!$E:$E,'Positions Tracker'!$B343,'Candidate Tracker'!$C:$C,"&lt;&gt;WIP",'Candidate Tracker'!$C:$C,"&lt;&gt;Hold",'Candidate Tracker'!$C:$C,"&lt;&gt;Cancelled",'Candidate Tracker'!$C:$C,"&lt;&gt;Closed")/COUNTIFS('Candidate Tracker'!$E:$E,'Positions Tracker'!$B343)),"")</f>
        <v/>
      </c>
      <c r="BD343" s="67" t="str">
        <f t="shared" si="30"/>
        <v/>
      </c>
      <c r="BE343" s="67" t="str">
        <f t="shared" si="31"/>
        <v/>
      </c>
      <c r="BF343" s="67" t="str">
        <f t="shared" si="32"/>
        <v/>
      </c>
      <c r="BG343" s="67" t="str">
        <f t="shared" si="33"/>
        <v/>
      </c>
    </row>
    <row r="344" spans="1:59">
      <c r="A344" s="55"/>
      <c r="B344" s="56"/>
      <c r="C344" s="56"/>
      <c r="D344" s="56"/>
      <c r="E344" s="56"/>
      <c r="F344" s="56"/>
      <c r="G344" s="56"/>
      <c r="H344" s="56"/>
      <c r="I344" s="6"/>
      <c r="J344" s="6"/>
      <c r="K344" s="57"/>
      <c r="L344" s="57"/>
      <c r="M344" s="57"/>
      <c r="N344" s="56"/>
      <c r="O344" s="56"/>
      <c r="P344" s="56"/>
      <c r="Q344" s="56"/>
      <c r="R344" s="56"/>
      <c r="S344" s="56"/>
      <c r="T344" s="56"/>
      <c r="U344" s="56"/>
      <c r="V344" s="56"/>
      <c r="W344" s="56"/>
      <c r="X344" s="56"/>
      <c r="Y344" s="56"/>
      <c r="Z344" s="56"/>
      <c r="AA344" s="56"/>
      <c r="AB344" s="56"/>
      <c r="AC344" s="56"/>
      <c r="AD344" s="56"/>
      <c r="AE344" s="56"/>
      <c r="AF344" s="56"/>
      <c r="AG344" s="56"/>
      <c r="AH344" s="56"/>
      <c r="AI344" s="58"/>
      <c r="AJ344" s="56"/>
      <c r="AK344" s="56"/>
      <c r="AL344" s="56"/>
      <c r="AM344" s="57"/>
      <c r="AN344" s="57"/>
      <c r="AO344" s="56"/>
      <c r="AP344" s="56"/>
      <c r="AQ344" s="57"/>
      <c r="AR344" s="57"/>
      <c r="AS344" s="57"/>
      <c r="AT344" s="67">
        <f t="shared" ca="1" si="34"/>
        <v>0</v>
      </c>
      <c r="AU344" s="79" t="str">
        <f t="shared" ca="1" si="35"/>
        <v/>
      </c>
      <c r="AV344" s="79" t="str" cm="1">
        <f t="array" aca="1" ref="AV344" ca="1">IFERROR(_xlfn.IFS($AU344="","",$AU344&lt;=15,"0-15",AND($AU344&gt;=16,$AU344&lt;=30),"16-30",AND($AU344&gt;=31,$AU344&lt;=45),"31-45",AND($AU344&gt;=46,$AU344&lt;=60),"46-60",AND($AU344&gt;=61,$AU344&lt;=90),"61-90",AND($AU344&gt;=91),"&gt; 90",AND($AU344&gt;=2000),""),"")</f>
        <v/>
      </c>
      <c r="AW344" s="79" t="str" cm="1">
        <f t="array" aca="1" ref="AW344" ca="1">IFERROR(_xlfn.IFS(OR($M344="",$AM344=""),"",OR($C344="Offered",$C344="Joined"),($AM344-$M344)-$AT344),"")</f>
        <v/>
      </c>
      <c r="AX344" s="79" t="str" cm="1">
        <f t="array" aca="1" ref="AX344" ca="1">IFERROR(_xlfn.IFS(OR($M344="",$AS344=""),"",$C344="Joined",($AS344-$M344)-$AT344),"")</f>
        <v/>
      </c>
      <c r="AY344" s="67" t="str">
        <f>IFERROR(IF(COUNTIFS('Candidate Tracker'!$E:$E,'Positions Tracker'!$B344,'Candidate Tracker'!$C:$C,"Offer Drop")=0,"",COUNTIFS('Candidate Tracker'!$E:$E,'Positions Tracker'!$B344,'Candidate Tracker'!$C:$C,"Offer Drop")),"")</f>
        <v/>
      </c>
      <c r="AZ344" s="80">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0.88111888111888115</v>
      </c>
      <c r="BA344" s="81" t="str">
        <f>IFERROR(IF(COUNTIFS('Candidate Tracker'!$E:$E,'Positions Tracker'!$B344,'Candidate Tracker'!$I:$I,"Female")=0,"",COUNTIFS('Candidate Tracker'!$E:$E,'Positions Tracker'!$B344,'Candidate Tracker'!$I:$I,"Female")),"")</f>
        <v/>
      </c>
      <c r="BB344" s="81" t="str">
        <f>IFERROR(IF(COUNTIFS('Candidate Tracker'!$E:$E,'Positions Tracker'!$B344,'Candidate Tracker'!$I:$I,"male")=0,"",COUNTIFS('Candidate Tracker'!$E:$E,'Positions Tracker'!$B344,'Candidate Tracker'!$I:$I,"male")),"")</f>
        <v/>
      </c>
      <c r="BC344" s="80" t="str">
        <f>IFERROR(IF(COUNTIFS('Candidate Tracker'!$E:$E,'Positions Tracker'!$B344,'Candidate Tracker'!$C:$C,"&lt;&gt;WIP",'Candidate Tracker'!$C:$C,"&lt;&gt;Hold",'Candidate Tracker'!$C:$C,"&lt;&gt;Cancelled",'Candidate Tracker'!$C:$C,"&lt;&gt;Closed")/COUNTIFS('Candidate Tracker'!$E:$E,'Positions Tracker'!$B344)=0,"",COUNTIFS('Candidate Tracker'!$E:$E,'Positions Tracker'!$B344,'Candidate Tracker'!$C:$C,"&lt;&gt;WIP",'Candidate Tracker'!$C:$C,"&lt;&gt;Hold",'Candidate Tracker'!$C:$C,"&lt;&gt;Cancelled",'Candidate Tracker'!$C:$C,"&lt;&gt;Closed")/COUNTIFS('Candidate Tracker'!$E:$E,'Positions Tracker'!$B344)),"")</f>
        <v/>
      </c>
      <c r="BD344" s="67" t="str">
        <f t="shared" si="30"/>
        <v/>
      </c>
      <c r="BE344" s="67" t="str">
        <f t="shared" si="31"/>
        <v/>
      </c>
      <c r="BF344" s="67" t="str">
        <f t="shared" si="32"/>
        <v/>
      </c>
      <c r="BG344" s="67" t="str">
        <f t="shared" si="33"/>
        <v/>
      </c>
    </row>
    <row r="345" spans="1:59">
      <c r="A345" s="55"/>
      <c r="B345" s="56"/>
      <c r="C345" s="56"/>
      <c r="D345" s="56"/>
      <c r="E345" s="56"/>
      <c r="F345" s="56"/>
      <c r="G345" s="56"/>
      <c r="H345" s="56"/>
      <c r="I345" s="6"/>
      <c r="J345" s="6"/>
      <c r="K345" s="57"/>
      <c r="L345" s="57"/>
      <c r="M345" s="57"/>
      <c r="N345" s="56"/>
      <c r="O345" s="56"/>
      <c r="P345" s="56"/>
      <c r="Q345" s="56"/>
      <c r="R345" s="56"/>
      <c r="S345" s="56"/>
      <c r="T345" s="56"/>
      <c r="U345" s="56"/>
      <c r="V345" s="56"/>
      <c r="W345" s="56"/>
      <c r="X345" s="56"/>
      <c r="Y345" s="56"/>
      <c r="Z345" s="56"/>
      <c r="AA345" s="56"/>
      <c r="AB345" s="56"/>
      <c r="AC345" s="56"/>
      <c r="AD345" s="56"/>
      <c r="AE345" s="56"/>
      <c r="AF345" s="56"/>
      <c r="AG345" s="56"/>
      <c r="AH345" s="56"/>
      <c r="AI345" s="58"/>
      <c r="AJ345" s="56"/>
      <c r="AK345" s="56"/>
      <c r="AL345" s="56"/>
      <c r="AM345" s="57"/>
      <c r="AN345" s="57"/>
      <c r="AO345" s="56"/>
      <c r="AP345" s="56"/>
      <c r="AQ345" s="57"/>
      <c r="AR345" s="57"/>
      <c r="AS345" s="57"/>
      <c r="AT345" s="67">
        <f t="shared" ca="1" si="34"/>
        <v>0</v>
      </c>
      <c r="AU345" s="79" t="str">
        <f t="shared" ca="1" si="35"/>
        <v/>
      </c>
      <c r="AV345" s="79" t="str" cm="1">
        <f t="array" aca="1" ref="AV345" ca="1">IFERROR(_xlfn.IFS($AU345="","",$AU345&lt;=15,"0-15",AND($AU345&gt;=16,$AU345&lt;=30),"16-30",AND($AU345&gt;=31,$AU345&lt;=45),"31-45",AND($AU345&gt;=46,$AU345&lt;=60),"46-60",AND($AU345&gt;=61,$AU345&lt;=90),"61-90",AND($AU345&gt;=91),"&gt; 90",AND($AU345&gt;=2000),""),"")</f>
        <v/>
      </c>
      <c r="AW345" s="79" t="str" cm="1">
        <f t="array" aca="1" ref="AW345" ca="1">IFERROR(_xlfn.IFS(OR($M345="",$AM345=""),"",OR($C345="Offered",$C345="Joined"),($AM345-$M345)-$AT345),"")</f>
        <v/>
      </c>
      <c r="AX345" s="79" t="str" cm="1">
        <f t="array" aca="1" ref="AX345" ca="1">IFERROR(_xlfn.IFS(OR($M345="",$AS345=""),"",$C345="Joined",($AS345-$M345)-$AT345),"")</f>
        <v/>
      </c>
      <c r="AY345" s="67" t="str">
        <f>IFERROR(IF(COUNTIFS('Candidate Tracker'!$E:$E,'Positions Tracker'!$B345,'Candidate Tracker'!$C:$C,"Offer Drop")=0,"",COUNTIFS('Candidate Tracker'!$E:$E,'Positions Tracker'!$B345,'Candidate Tracker'!$C:$C,"Offer Drop")),"")</f>
        <v/>
      </c>
      <c r="AZ345" s="80">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0.88111888111888115</v>
      </c>
      <c r="BA345" s="81" t="str">
        <f>IFERROR(IF(COUNTIFS('Candidate Tracker'!$E:$E,'Positions Tracker'!$B345,'Candidate Tracker'!$I:$I,"Female")=0,"",COUNTIFS('Candidate Tracker'!$E:$E,'Positions Tracker'!$B345,'Candidate Tracker'!$I:$I,"Female")),"")</f>
        <v/>
      </c>
      <c r="BB345" s="81" t="str">
        <f>IFERROR(IF(COUNTIFS('Candidate Tracker'!$E:$E,'Positions Tracker'!$B345,'Candidate Tracker'!$I:$I,"male")=0,"",COUNTIFS('Candidate Tracker'!$E:$E,'Positions Tracker'!$B345,'Candidate Tracker'!$I:$I,"male")),"")</f>
        <v/>
      </c>
      <c r="BC345" s="80" t="str">
        <f>IFERROR(IF(COUNTIFS('Candidate Tracker'!$E:$E,'Positions Tracker'!$B345,'Candidate Tracker'!$C:$C,"&lt;&gt;WIP",'Candidate Tracker'!$C:$C,"&lt;&gt;Hold",'Candidate Tracker'!$C:$C,"&lt;&gt;Cancelled",'Candidate Tracker'!$C:$C,"&lt;&gt;Closed")/COUNTIFS('Candidate Tracker'!$E:$E,'Positions Tracker'!$B345)=0,"",COUNTIFS('Candidate Tracker'!$E:$E,'Positions Tracker'!$B345,'Candidate Tracker'!$C:$C,"&lt;&gt;WIP",'Candidate Tracker'!$C:$C,"&lt;&gt;Hold",'Candidate Tracker'!$C:$C,"&lt;&gt;Cancelled",'Candidate Tracker'!$C:$C,"&lt;&gt;Closed")/COUNTIFS('Candidate Tracker'!$E:$E,'Positions Tracker'!$B345)),"")</f>
        <v/>
      </c>
      <c r="BD345" s="67" t="str">
        <f t="shared" si="30"/>
        <v/>
      </c>
      <c r="BE345" s="67" t="str">
        <f t="shared" si="31"/>
        <v/>
      </c>
      <c r="BF345" s="67" t="str">
        <f t="shared" si="32"/>
        <v/>
      </c>
      <c r="BG345" s="67" t="str">
        <f t="shared" si="33"/>
        <v/>
      </c>
    </row>
    <row r="346" spans="1:59">
      <c r="A346" s="55"/>
      <c r="B346" s="56"/>
      <c r="C346" s="56"/>
      <c r="D346" s="56"/>
      <c r="E346" s="56"/>
      <c r="F346" s="56"/>
      <c r="G346" s="56"/>
      <c r="H346" s="56"/>
      <c r="I346" s="6"/>
      <c r="J346" s="6"/>
      <c r="K346" s="57"/>
      <c r="L346" s="57"/>
      <c r="M346" s="57"/>
      <c r="N346" s="56"/>
      <c r="O346" s="56"/>
      <c r="P346" s="56"/>
      <c r="Q346" s="56"/>
      <c r="R346" s="56"/>
      <c r="S346" s="56"/>
      <c r="T346" s="56"/>
      <c r="U346" s="56"/>
      <c r="V346" s="56"/>
      <c r="W346" s="56"/>
      <c r="X346" s="56"/>
      <c r="Y346" s="56"/>
      <c r="Z346" s="56"/>
      <c r="AA346" s="56"/>
      <c r="AB346" s="56"/>
      <c r="AC346" s="56"/>
      <c r="AD346" s="56"/>
      <c r="AE346" s="56"/>
      <c r="AF346" s="56"/>
      <c r="AG346" s="56"/>
      <c r="AH346" s="56"/>
      <c r="AI346" s="58"/>
      <c r="AJ346" s="56"/>
      <c r="AK346" s="56"/>
      <c r="AL346" s="56"/>
      <c r="AM346" s="57"/>
      <c r="AN346" s="57"/>
      <c r="AO346" s="56"/>
      <c r="AP346" s="56"/>
      <c r="AQ346" s="57"/>
      <c r="AR346" s="57"/>
      <c r="AS346" s="57"/>
      <c r="AT346" s="67">
        <f t="shared" ca="1" si="34"/>
        <v>0</v>
      </c>
      <c r="AU346" s="79" t="str">
        <f t="shared" ca="1" si="35"/>
        <v/>
      </c>
      <c r="AV346" s="79" t="str" cm="1">
        <f t="array" aca="1" ref="AV346" ca="1">IFERROR(_xlfn.IFS($AU346="","",$AU346&lt;=15,"0-15",AND($AU346&gt;=16,$AU346&lt;=30),"16-30",AND($AU346&gt;=31,$AU346&lt;=45),"31-45",AND($AU346&gt;=46,$AU346&lt;=60),"46-60",AND($AU346&gt;=61,$AU346&lt;=90),"61-90",AND($AU346&gt;=91),"&gt; 90",AND($AU346&gt;=2000),""),"")</f>
        <v/>
      </c>
      <c r="AW346" s="79" t="str" cm="1">
        <f t="array" aca="1" ref="AW346" ca="1">IFERROR(_xlfn.IFS(OR($M346="",$AM346=""),"",OR($C346="Offered",$C346="Joined"),($AM346-$M346)-$AT346),"")</f>
        <v/>
      </c>
      <c r="AX346" s="79" t="str" cm="1">
        <f t="array" aca="1" ref="AX346" ca="1">IFERROR(_xlfn.IFS(OR($M346="",$AS346=""),"",$C346="Joined",($AS346-$M346)-$AT346),"")</f>
        <v/>
      </c>
      <c r="AY346" s="67" t="str">
        <f>IFERROR(IF(COUNTIFS('Candidate Tracker'!$E:$E,'Positions Tracker'!$B346,'Candidate Tracker'!$C:$C,"Offer Drop")=0,"",COUNTIFS('Candidate Tracker'!$E:$E,'Positions Tracker'!$B346,'Candidate Tracker'!$C:$C,"Offer Drop")),"")</f>
        <v/>
      </c>
      <c r="AZ346" s="80">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0.88111888111888115</v>
      </c>
      <c r="BA346" s="81" t="str">
        <f>IFERROR(IF(COUNTIFS('Candidate Tracker'!$E:$E,'Positions Tracker'!$B346,'Candidate Tracker'!$I:$I,"Female")=0,"",COUNTIFS('Candidate Tracker'!$E:$E,'Positions Tracker'!$B346,'Candidate Tracker'!$I:$I,"Female")),"")</f>
        <v/>
      </c>
      <c r="BB346" s="81" t="str">
        <f>IFERROR(IF(COUNTIFS('Candidate Tracker'!$E:$E,'Positions Tracker'!$B346,'Candidate Tracker'!$I:$I,"male")=0,"",COUNTIFS('Candidate Tracker'!$E:$E,'Positions Tracker'!$B346,'Candidate Tracker'!$I:$I,"male")),"")</f>
        <v/>
      </c>
      <c r="BC346" s="80" t="str">
        <f>IFERROR(IF(COUNTIFS('Candidate Tracker'!$E:$E,'Positions Tracker'!$B346,'Candidate Tracker'!$C:$C,"&lt;&gt;WIP",'Candidate Tracker'!$C:$C,"&lt;&gt;Hold",'Candidate Tracker'!$C:$C,"&lt;&gt;Cancelled",'Candidate Tracker'!$C:$C,"&lt;&gt;Closed")/COUNTIFS('Candidate Tracker'!$E:$E,'Positions Tracker'!$B346)=0,"",COUNTIFS('Candidate Tracker'!$E:$E,'Positions Tracker'!$B346,'Candidate Tracker'!$C:$C,"&lt;&gt;WIP",'Candidate Tracker'!$C:$C,"&lt;&gt;Hold",'Candidate Tracker'!$C:$C,"&lt;&gt;Cancelled",'Candidate Tracker'!$C:$C,"&lt;&gt;Closed")/COUNTIFS('Candidate Tracker'!$E:$E,'Positions Tracker'!$B346)),"")</f>
        <v/>
      </c>
      <c r="BD346" s="67" t="str">
        <f t="shared" si="30"/>
        <v/>
      </c>
      <c r="BE346" s="67" t="str">
        <f t="shared" si="31"/>
        <v/>
      </c>
      <c r="BF346" s="67" t="str">
        <f t="shared" si="32"/>
        <v/>
      </c>
      <c r="BG346" s="67" t="str">
        <f t="shared" si="33"/>
        <v/>
      </c>
    </row>
    <row r="347" spans="1:59">
      <c r="A347" s="55"/>
      <c r="B347" s="56"/>
      <c r="C347" s="56"/>
      <c r="D347" s="56"/>
      <c r="E347" s="56"/>
      <c r="F347" s="56"/>
      <c r="G347" s="56"/>
      <c r="H347" s="56"/>
      <c r="I347" s="6"/>
      <c r="J347" s="6"/>
      <c r="K347" s="57"/>
      <c r="L347" s="57"/>
      <c r="M347" s="57"/>
      <c r="N347" s="56"/>
      <c r="O347" s="56"/>
      <c r="P347" s="56"/>
      <c r="Q347" s="56"/>
      <c r="R347" s="56"/>
      <c r="S347" s="56"/>
      <c r="T347" s="56"/>
      <c r="U347" s="56"/>
      <c r="V347" s="56"/>
      <c r="W347" s="56"/>
      <c r="X347" s="56"/>
      <c r="Y347" s="56"/>
      <c r="Z347" s="56"/>
      <c r="AA347" s="56"/>
      <c r="AB347" s="56"/>
      <c r="AC347" s="56"/>
      <c r="AD347" s="56"/>
      <c r="AE347" s="56"/>
      <c r="AF347" s="56"/>
      <c r="AG347" s="56"/>
      <c r="AH347" s="56"/>
      <c r="AI347" s="58"/>
      <c r="AJ347" s="56"/>
      <c r="AK347" s="56"/>
      <c r="AL347" s="56"/>
      <c r="AM347" s="57"/>
      <c r="AN347" s="57"/>
      <c r="AO347" s="56"/>
      <c r="AP347" s="56"/>
      <c r="AQ347" s="57"/>
      <c r="AR347" s="57"/>
      <c r="AS347" s="57"/>
      <c r="AT347" s="67">
        <f t="shared" ca="1" si="34"/>
        <v>0</v>
      </c>
      <c r="AU347" s="79" t="str">
        <f t="shared" ca="1" si="35"/>
        <v/>
      </c>
      <c r="AV347" s="79" t="str" cm="1">
        <f t="array" aca="1" ref="AV347" ca="1">IFERROR(_xlfn.IFS($AU347="","",$AU347&lt;=15,"0-15",AND($AU347&gt;=16,$AU347&lt;=30),"16-30",AND($AU347&gt;=31,$AU347&lt;=45),"31-45",AND($AU347&gt;=46,$AU347&lt;=60),"46-60",AND($AU347&gt;=61,$AU347&lt;=90),"61-90",AND($AU347&gt;=91),"&gt; 90",AND($AU347&gt;=2000),""),"")</f>
        <v/>
      </c>
      <c r="AW347" s="79" t="str" cm="1">
        <f t="array" aca="1" ref="AW347" ca="1">IFERROR(_xlfn.IFS(OR($M347="",$AM347=""),"",OR($C347="Offered",$C347="Joined"),($AM347-$M347)-$AT347),"")</f>
        <v/>
      </c>
      <c r="AX347" s="79" t="str" cm="1">
        <f t="array" aca="1" ref="AX347" ca="1">IFERROR(_xlfn.IFS(OR($M347="",$AS347=""),"",$C347="Joined",($AS347-$M347)-$AT347),"")</f>
        <v/>
      </c>
      <c r="AY347" s="67" t="str">
        <f>IFERROR(IF(COUNTIFS('Candidate Tracker'!$E:$E,'Positions Tracker'!$B347,'Candidate Tracker'!$C:$C,"Offer Drop")=0,"",COUNTIFS('Candidate Tracker'!$E:$E,'Positions Tracker'!$B347,'Candidate Tracker'!$C:$C,"Offer Drop")),"")</f>
        <v/>
      </c>
      <c r="AZ347" s="80">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0.88111888111888115</v>
      </c>
      <c r="BA347" s="81" t="str">
        <f>IFERROR(IF(COUNTIFS('Candidate Tracker'!$E:$E,'Positions Tracker'!$B347,'Candidate Tracker'!$I:$I,"Female")=0,"",COUNTIFS('Candidate Tracker'!$E:$E,'Positions Tracker'!$B347,'Candidate Tracker'!$I:$I,"Female")),"")</f>
        <v/>
      </c>
      <c r="BB347" s="81" t="str">
        <f>IFERROR(IF(COUNTIFS('Candidate Tracker'!$E:$E,'Positions Tracker'!$B347,'Candidate Tracker'!$I:$I,"male")=0,"",COUNTIFS('Candidate Tracker'!$E:$E,'Positions Tracker'!$B347,'Candidate Tracker'!$I:$I,"male")),"")</f>
        <v/>
      </c>
      <c r="BC347" s="80" t="str">
        <f>IFERROR(IF(COUNTIFS('Candidate Tracker'!$E:$E,'Positions Tracker'!$B347,'Candidate Tracker'!$C:$C,"&lt;&gt;WIP",'Candidate Tracker'!$C:$C,"&lt;&gt;Hold",'Candidate Tracker'!$C:$C,"&lt;&gt;Cancelled",'Candidate Tracker'!$C:$C,"&lt;&gt;Closed")/COUNTIFS('Candidate Tracker'!$E:$E,'Positions Tracker'!$B347)=0,"",COUNTIFS('Candidate Tracker'!$E:$E,'Positions Tracker'!$B347,'Candidate Tracker'!$C:$C,"&lt;&gt;WIP",'Candidate Tracker'!$C:$C,"&lt;&gt;Hold",'Candidate Tracker'!$C:$C,"&lt;&gt;Cancelled",'Candidate Tracker'!$C:$C,"&lt;&gt;Closed")/COUNTIFS('Candidate Tracker'!$E:$E,'Positions Tracker'!$B347)),"")</f>
        <v/>
      </c>
      <c r="BD347" s="67" t="str">
        <f t="shared" si="30"/>
        <v/>
      </c>
      <c r="BE347" s="67" t="str">
        <f t="shared" si="31"/>
        <v/>
      </c>
      <c r="BF347" s="67" t="str">
        <f t="shared" si="32"/>
        <v/>
      </c>
      <c r="BG347" s="67" t="str">
        <f t="shared" si="33"/>
        <v/>
      </c>
    </row>
    <row r="348" spans="1:59">
      <c r="A348" s="55"/>
      <c r="B348" s="56"/>
      <c r="C348" s="56"/>
      <c r="D348" s="56"/>
      <c r="E348" s="56"/>
      <c r="F348" s="56"/>
      <c r="G348" s="56"/>
      <c r="H348" s="56"/>
      <c r="I348" s="6"/>
      <c r="J348" s="6"/>
      <c r="K348" s="57"/>
      <c r="L348" s="57"/>
      <c r="M348" s="57"/>
      <c r="N348" s="56"/>
      <c r="O348" s="56"/>
      <c r="P348" s="56"/>
      <c r="Q348" s="56"/>
      <c r="R348" s="56"/>
      <c r="S348" s="56"/>
      <c r="T348" s="56"/>
      <c r="U348" s="56"/>
      <c r="V348" s="56"/>
      <c r="W348" s="56"/>
      <c r="X348" s="56"/>
      <c r="Y348" s="56"/>
      <c r="Z348" s="56"/>
      <c r="AA348" s="56"/>
      <c r="AB348" s="56"/>
      <c r="AC348" s="56"/>
      <c r="AD348" s="56"/>
      <c r="AE348" s="56"/>
      <c r="AF348" s="56"/>
      <c r="AG348" s="56"/>
      <c r="AH348" s="56"/>
      <c r="AI348" s="58"/>
      <c r="AJ348" s="56"/>
      <c r="AK348" s="56"/>
      <c r="AL348" s="56"/>
      <c r="AM348" s="57"/>
      <c r="AN348" s="57"/>
      <c r="AO348" s="56"/>
      <c r="AP348" s="56"/>
      <c r="AQ348" s="57"/>
      <c r="AR348" s="57"/>
      <c r="AS348" s="57"/>
      <c r="AT348" s="67">
        <f t="shared" ca="1" si="34"/>
        <v>0</v>
      </c>
      <c r="AU348" s="79" t="str">
        <f t="shared" ca="1" si="35"/>
        <v/>
      </c>
      <c r="AV348" s="79" t="str" cm="1">
        <f t="array" aca="1" ref="AV348" ca="1">IFERROR(_xlfn.IFS($AU348="","",$AU348&lt;=15,"0-15",AND($AU348&gt;=16,$AU348&lt;=30),"16-30",AND($AU348&gt;=31,$AU348&lt;=45),"31-45",AND($AU348&gt;=46,$AU348&lt;=60),"46-60",AND($AU348&gt;=61,$AU348&lt;=90),"61-90",AND($AU348&gt;=91),"&gt; 90",AND($AU348&gt;=2000),""),"")</f>
        <v/>
      </c>
      <c r="AW348" s="79" t="str" cm="1">
        <f t="array" aca="1" ref="AW348" ca="1">IFERROR(_xlfn.IFS(OR($M348="",$AM348=""),"",OR($C348="Offered",$C348="Joined"),($AM348-$M348)-$AT348),"")</f>
        <v/>
      </c>
      <c r="AX348" s="79" t="str" cm="1">
        <f t="array" aca="1" ref="AX348" ca="1">IFERROR(_xlfn.IFS(OR($M348="",$AS348=""),"",$C348="Joined",($AS348-$M348)-$AT348),"")</f>
        <v/>
      </c>
      <c r="AY348" s="67" t="str">
        <f>IFERROR(IF(COUNTIFS('Candidate Tracker'!$E:$E,'Positions Tracker'!$B348,'Candidate Tracker'!$C:$C,"Offer Drop")=0,"",COUNTIFS('Candidate Tracker'!$E:$E,'Positions Tracker'!$B348,'Candidate Tracker'!$C:$C,"Offer Drop")),"")</f>
        <v/>
      </c>
      <c r="AZ348" s="80">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0.88111888111888115</v>
      </c>
      <c r="BA348" s="81" t="str">
        <f>IFERROR(IF(COUNTIFS('Candidate Tracker'!$E:$E,'Positions Tracker'!$B348,'Candidate Tracker'!$I:$I,"Female")=0,"",COUNTIFS('Candidate Tracker'!$E:$E,'Positions Tracker'!$B348,'Candidate Tracker'!$I:$I,"Female")),"")</f>
        <v/>
      </c>
      <c r="BB348" s="81" t="str">
        <f>IFERROR(IF(COUNTIFS('Candidate Tracker'!$E:$E,'Positions Tracker'!$B348,'Candidate Tracker'!$I:$I,"male")=0,"",COUNTIFS('Candidate Tracker'!$E:$E,'Positions Tracker'!$B348,'Candidate Tracker'!$I:$I,"male")),"")</f>
        <v/>
      </c>
      <c r="BC348" s="80" t="str">
        <f>IFERROR(IF(COUNTIFS('Candidate Tracker'!$E:$E,'Positions Tracker'!$B348,'Candidate Tracker'!$C:$C,"&lt;&gt;WIP",'Candidate Tracker'!$C:$C,"&lt;&gt;Hold",'Candidate Tracker'!$C:$C,"&lt;&gt;Cancelled",'Candidate Tracker'!$C:$C,"&lt;&gt;Closed")/COUNTIFS('Candidate Tracker'!$E:$E,'Positions Tracker'!$B348)=0,"",COUNTIFS('Candidate Tracker'!$E:$E,'Positions Tracker'!$B348,'Candidate Tracker'!$C:$C,"&lt;&gt;WIP",'Candidate Tracker'!$C:$C,"&lt;&gt;Hold",'Candidate Tracker'!$C:$C,"&lt;&gt;Cancelled",'Candidate Tracker'!$C:$C,"&lt;&gt;Closed")/COUNTIFS('Candidate Tracker'!$E:$E,'Positions Tracker'!$B348)),"")</f>
        <v/>
      </c>
      <c r="BD348" s="67" t="str">
        <f t="shared" si="30"/>
        <v/>
      </c>
      <c r="BE348" s="67" t="str">
        <f t="shared" si="31"/>
        <v/>
      </c>
      <c r="BF348" s="67" t="str">
        <f t="shared" si="32"/>
        <v/>
      </c>
      <c r="BG348" s="67" t="str">
        <f t="shared" si="33"/>
        <v/>
      </c>
    </row>
    <row r="349" spans="1:59">
      <c r="A349" s="55"/>
      <c r="B349" s="56"/>
      <c r="C349" s="56"/>
      <c r="D349" s="56"/>
      <c r="E349" s="56"/>
      <c r="F349" s="56"/>
      <c r="G349" s="56"/>
      <c r="H349" s="56"/>
      <c r="I349" s="6"/>
      <c r="J349" s="6"/>
      <c r="K349" s="57"/>
      <c r="L349" s="57"/>
      <c r="M349" s="57"/>
      <c r="N349" s="56"/>
      <c r="O349" s="56"/>
      <c r="P349" s="56"/>
      <c r="Q349" s="56"/>
      <c r="R349" s="56"/>
      <c r="S349" s="56"/>
      <c r="T349" s="56"/>
      <c r="U349" s="56"/>
      <c r="V349" s="56"/>
      <c r="W349" s="56"/>
      <c r="X349" s="56"/>
      <c r="Y349" s="56"/>
      <c r="Z349" s="56"/>
      <c r="AA349" s="56"/>
      <c r="AB349" s="56"/>
      <c r="AC349" s="56"/>
      <c r="AD349" s="56"/>
      <c r="AE349" s="56"/>
      <c r="AF349" s="56"/>
      <c r="AG349" s="56"/>
      <c r="AH349" s="56"/>
      <c r="AI349" s="58"/>
      <c r="AJ349" s="56"/>
      <c r="AK349" s="56"/>
      <c r="AL349" s="56"/>
      <c r="AM349" s="57"/>
      <c r="AN349" s="57"/>
      <c r="AO349" s="56"/>
      <c r="AP349" s="56"/>
      <c r="AQ349" s="57"/>
      <c r="AR349" s="57"/>
      <c r="AS349" s="57"/>
      <c r="AT349" s="67">
        <f t="shared" ca="1" si="34"/>
        <v>0</v>
      </c>
      <c r="AU349" s="79" t="str">
        <f t="shared" ca="1" si="35"/>
        <v/>
      </c>
      <c r="AV349" s="79" t="str" cm="1">
        <f t="array" aca="1" ref="AV349" ca="1">IFERROR(_xlfn.IFS($AU349="","",$AU349&lt;=15,"0-15",AND($AU349&gt;=16,$AU349&lt;=30),"16-30",AND($AU349&gt;=31,$AU349&lt;=45),"31-45",AND($AU349&gt;=46,$AU349&lt;=60),"46-60",AND($AU349&gt;=61,$AU349&lt;=90),"61-90",AND($AU349&gt;=91),"&gt; 90",AND($AU349&gt;=2000),""),"")</f>
        <v/>
      </c>
      <c r="AW349" s="79" t="str" cm="1">
        <f t="array" aca="1" ref="AW349" ca="1">IFERROR(_xlfn.IFS(OR($M349="",$AM349=""),"",OR($C349="Offered",$C349="Joined"),($AM349-$M349)-$AT349),"")</f>
        <v/>
      </c>
      <c r="AX349" s="79" t="str" cm="1">
        <f t="array" aca="1" ref="AX349" ca="1">IFERROR(_xlfn.IFS(OR($M349="",$AS349=""),"",$C349="Joined",($AS349-$M349)-$AT349),"")</f>
        <v/>
      </c>
      <c r="AY349" s="67" t="str">
        <f>IFERROR(IF(COUNTIFS('Candidate Tracker'!$E:$E,'Positions Tracker'!$B349,'Candidate Tracker'!$C:$C,"Offer Drop")=0,"",COUNTIFS('Candidate Tracker'!$E:$E,'Positions Tracker'!$B349,'Candidate Tracker'!$C:$C,"Offer Drop")),"")</f>
        <v/>
      </c>
      <c r="AZ349" s="80">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0.88111888111888115</v>
      </c>
      <c r="BA349" s="81" t="str">
        <f>IFERROR(IF(COUNTIFS('Candidate Tracker'!$E:$E,'Positions Tracker'!$B349,'Candidate Tracker'!$I:$I,"Female")=0,"",COUNTIFS('Candidate Tracker'!$E:$E,'Positions Tracker'!$B349,'Candidate Tracker'!$I:$I,"Female")),"")</f>
        <v/>
      </c>
      <c r="BB349" s="81" t="str">
        <f>IFERROR(IF(COUNTIFS('Candidate Tracker'!$E:$E,'Positions Tracker'!$B349,'Candidate Tracker'!$I:$I,"male")=0,"",COUNTIFS('Candidate Tracker'!$E:$E,'Positions Tracker'!$B349,'Candidate Tracker'!$I:$I,"male")),"")</f>
        <v/>
      </c>
      <c r="BC349" s="80" t="str">
        <f>IFERROR(IF(COUNTIFS('Candidate Tracker'!$E:$E,'Positions Tracker'!$B349,'Candidate Tracker'!$C:$C,"&lt;&gt;WIP",'Candidate Tracker'!$C:$C,"&lt;&gt;Hold",'Candidate Tracker'!$C:$C,"&lt;&gt;Cancelled",'Candidate Tracker'!$C:$C,"&lt;&gt;Closed")/COUNTIFS('Candidate Tracker'!$E:$E,'Positions Tracker'!$B349)=0,"",COUNTIFS('Candidate Tracker'!$E:$E,'Positions Tracker'!$B349,'Candidate Tracker'!$C:$C,"&lt;&gt;WIP",'Candidate Tracker'!$C:$C,"&lt;&gt;Hold",'Candidate Tracker'!$C:$C,"&lt;&gt;Cancelled",'Candidate Tracker'!$C:$C,"&lt;&gt;Closed")/COUNTIFS('Candidate Tracker'!$E:$E,'Positions Tracker'!$B349)),"")</f>
        <v/>
      </c>
      <c r="BD349" s="67" t="str">
        <f t="shared" si="30"/>
        <v/>
      </c>
      <c r="BE349" s="67" t="str">
        <f t="shared" si="31"/>
        <v/>
      </c>
      <c r="BF349" s="67" t="str">
        <f t="shared" si="32"/>
        <v/>
      </c>
      <c r="BG349" s="67" t="str">
        <f t="shared" si="33"/>
        <v/>
      </c>
    </row>
    <row r="350" spans="1:59">
      <c r="A350" s="55"/>
      <c r="B350" s="56"/>
      <c r="C350" s="56"/>
      <c r="D350" s="56"/>
      <c r="E350" s="56"/>
      <c r="F350" s="56"/>
      <c r="G350" s="56"/>
      <c r="H350" s="56"/>
      <c r="I350" s="6"/>
      <c r="J350" s="6"/>
      <c r="K350" s="57"/>
      <c r="L350" s="57"/>
      <c r="M350" s="57"/>
      <c r="N350" s="56"/>
      <c r="O350" s="56"/>
      <c r="P350" s="56"/>
      <c r="Q350" s="56"/>
      <c r="R350" s="56"/>
      <c r="S350" s="56"/>
      <c r="T350" s="56"/>
      <c r="U350" s="56"/>
      <c r="V350" s="56"/>
      <c r="W350" s="56"/>
      <c r="X350" s="56"/>
      <c r="Y350" s="56"/>
      <c r="Z350" s="56"/>
      <c r="AA350" s="56"/>
      <c r="AB350" s="56"/>
      <c r="AC350" s="56"/>
      <c r="AD350" s="56"/>
      <c r="AE350" s="56"/>
      <c r="AF350" s="56"/>
      <c r="AG350" s="56"/>
      <c r="AH350" s="56"/>
      <c r="AI350" s="58"/>
      <c r="AJ350" s="56"/>
      <c r="AK350" s="56"/>
      <c r="AL350" s="56"/>
      <c r="AM350" s="57"/>
      <c r="AN350" s="57"/>
      <c r="AO350" s="56"/>
      <c r="AP350" s="56"/>
      <c r="AQ350" s="57"/>
      <c r="AR350" s="57"/>
      <c r="AS350" s="57"/>
      <c r="AT350" s="67">
        <f t="shared" ca="1" si="34"/>
        <v>0</v>
      </c>
      <c r="AU350" s="79" t="str">
        <f t="shared" ca="1" si="35"/>
        <v/>
      </c>
      <c r="AV350" s="79" t="str" cm="1">
        <f t="array" aca="1" ref="AV350" ca="1">IFERROR(_xlfn.IFS($AU350="","",$AU350&lt;=15,"0-15",AND($AU350&gt;=16,$AU350&lt;=30),"16-30",AND($AU350&gt;=31,$AU350&lt;=45),"31-45",AND($AU350&gt;=46,$AU350&lt;=60),"46-60",AND($AU350&gt;=61,$AU350&lt;=90),"61-90",AND($AU350&gt;=91),"&gt; 90",AND($AU350&gt;=2000),""),"")</f>
        <v/>
      </c>
      <c r="AW350" s="79" t="str" cm="1">
        <f t="array" aca="1" ref="AW350" ca="1">IFERROR(_xlfn.IFS(OR($M350="",$AM350=""),"",OR($C350="Offered",$C350="Joined"),($AM350-$M350)-$AT350),"")</f>
        <v/>
      </c>
      <c r="AX350" s="79" t="str" cm="1">
        <f t="array" aca="1" ref="AX350" ca="1">IFERROR(_xlfn.IFS(OR($M350="",$AS350=""),"",$C350="Joined",($AS350-$M350)-$AT350),"")</f>
        <v/>
      </c>
      <c r="AY350" s="67" t="str">
        <f>IFERROR(IF(COUNTIFS('Candidate Tracker'!$E:$E,'Positions Tracker'!$B350,'Candidate Tracker'!$C:$C,"Offer Drop")=0,"",COUNTIFS('Candidate Tracker'!$E:$E,'Positions Tracker'!$B350,'Candidate Tracker'!$C:$C,"Offer Drop")),"")</f>
        <v/>
      </c>
      <c r="AZ350" s="80">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0.88111888111888115</v>
      </c>
      <c r="BA350" s="81" t="str">
        <f>IFERROR(IF(COUNTIFS('Candidate Tracker'!$E:$E,'Positions Tracker'!$B350,'Candidate Tracker'!$I:$I,"Female")=0,"",COUNTIFS('Candidate Tracker'!$E:$E,'Positions Tracker'!$B350,'Candidate Tracker'!$I:$I,"Female")),"")</f>
        <v/>
      </c>
      <c r="BB350" s="81" t="str">
        <f>IFERROR(IF(COUNTIFS('Candidate Tracker'!$E:$E,'Positions Tracker'!$B350,'Candidate Tracker'!$I:$I,"male")=0,"",COUNTIFS('Candidate Tracker'!$E:$E,'Positions Tracker'!$B350,'Candidate Tracker'!$I:$I,"male")),"")</f>
        <v/>
      </c>
      <c r="BC350" s="80" t="str">
        <f>IFERROR(IF(COUNTIFS('Candidate Tracker'!$E:$E,'Positions Tracker'!$B350,'Candidate Tracker'!$C:$C,"&lt;&gt;WIP",'Candidate Tracker'!$C:$C,"&lt;&gt;Hold",'Candidate Tracker'!$C:$C,"&lt;&gt;Cancelled",'Candidate Tracker'!$C:$C,"&lt;&gt;Closed")/COUNTIFS('Candidate Tracker'!$E:$E,'Positions Tracker'!$B350)=0,"",COUNTIFS('Candidate Tracker'!$E:$E,'Positions Tracker'!$B350,'Candidate Tracker'!$C:$C,"&lt;&gt;WIP",'Candidate Tracker'!$C:$C,"&lt;&gt;Hold",'Candidate Tracker'!$C:$C,"&lt;&gt;Cancelled",'Candidate Tracker'!$C:$C,"&lt;&gt;Closed")/COUNTIFS('Candidate Tracker'!$E:$E,'Positions Tracker'!$B350)),"")</f>
        <v/>
      </c>
      <c r="BD350" s="67" t="str">
        <f t="shared" si="30"/>
        <v/>
      </c>
      <c r="BE350" s="67" t="str">
        <f t="shared" si="31"/>
        <v/>
      </c>
      <c r="BF350" s="67" t="str">
        <f t="shared" si="32"/>
        <v/>
      </c>
      <c r="BG350" s="67" t="str">
        <f t="shared" si="33"/>
        <v/>
      </c>
    </row>
    <row r="351" spans="1:59">
      <c r="A351" s="55"/>
      <c r="B351" s="56"/>
      <c r="C351" s="56"/>
      <c r="D351" s="56"/>
      <c r="E351" s="56"/>
      <c r="F351" s="56"/>
      <c r="G351" s="56"/>
      <c r="H351" s="56"/>
      <c r="I351" s="6"/>
      <c r="J351" s="6"/>
      <c r="K351" s="57"/>
      <c r="L351" s="57"/>
      <c r="M351" s="57"/>
      <c r="N351" s="56"/>
      <c r="O351" s="56"/>
      <c r="P351" s="56"/>
      <c r="Q351" s="56"/>
      <c r="R351" s="56"/>
      <c r="S351" s="56"/>
      <c r="T351" s="56"/>
      <c r="U351" s="56"/>
      <c r="V351" s="56"/>
      <c r="W351" s="56"/>
      <c r="X351" s="56"/>
      <c r="Y351" s="56"/>
      <c r="Z351" s="56"/>
      <c r="AA351" s="56"/>
      <c r="AB351" s="56"/>
      <c r="AC351" s="56"/>
      <c r="AD351" s="56"/>
      <c r="AE351" s="56"/>
      <c r="AF351" s="56"/>
      <c r="AG351" s="56"/>
      <c r="AH351" s="56"/>
      <c r="AI351" s="58"/>
      <c r="AJ351" s="56"/>
      <c r="AK351" s="56"/>
      <c r="AL351" s="56"/>
      <c r="AM351" s="57"/>
      <c r="AN351" s="57"/>
      <c r="AO351" s="56"/>
      <c r="AP351" s="56"/>
      <c r="AQ351" s="57"/>
      <c r="AR351" s="57"/>
      <c r="AS351" s="57"/>
      <c r="AT351" s="67">
        <f t="shared" ca="1" si="34"/>
        <v>0</v>
      </c>
      <c r="AU351" s="79" t="str">
        <f t="shared" ca="1" si="35"/>
        <v/>
      </c>
      <c r="AV351" s="79" t="str" cm="1">
        <f t="array" aca="1" ref="AV351" ca="1">IFERROR(_xlfn.IFS($AU351="","",$AU351&lt;=15,"0-15",AND($AU351&gt;=16,$AU351&lt;=30),"16-30",AND($AU351&gt;=31,$AU351&lt;=45),"31-45",AND($AU351&gt;=46,$AU351&lt;=60),"46-60",AND($AU351&gt;=61,$AU351&lt;=90),"61-90",AND($AU351&gt;=91),"&gt; 90",AND($AU351&gt;=2000),""),"")</f>
        <v/>
      </c>
      <c r="AW351" s="79" t="str" cm="1">
        <f t="array" aca="1" ref="AW351" ca="1">IFERROR(_xlfn.IFS(OR($M351="",$AM351=""),"",OR($C351="Offered",$C351="Joined"),($AM351-$M351)-$AT351),"")</f>
        <v/>
      </c>
      <c r="AX351" s="79" t="str" cm="1">
        <f t="array" aca="1" ref="AX351" ca="1">IFERROR(_xlfn.IFS(OR($M351="",$AS351=""),"",$C351="Joined",($AS351-$M351)-$AT351),"")</f>
        <v/>
      </c>
      <c r="AY351" s="67" t="str">
        <f>IFERROR(IF(COUNTIFS('Candidate Tracker'!$E:$E,'Positions Tracker'!$B351,'Candidate Tracker'!$C:$C,"Offer Drop")=0,"",COUNTIFS('Candidate Tracker'!$E:$E,'Positions Tracker'!$B351,'Candidate Tracker'!$C:$C,"Offer Drop")),"")</f>
        <v/>
      </c>
      <c r="AZ351" s="80">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0.88111888111888115</v>
      </c>
      <c r="BA351" s="81" t="str">
        <f>IFERROR(IF(COUNTIFS('Candidate Tracker'!$E:$E,'Positions Tracker'!$B351,'Candidate Tracker'!$I:$I,"Female")=0,"",COUNTIFS('Candidate Tracker'!$E:$E,'Positions Tracker'!$B351,'Candidate Tracker'!$I:$I,"Female")),"")</f>
        <v/>
      </c>
      <c r="BB351" s="81" t="str">
        <f>IFERROR(IF(COUNTIFS('Candidate Tracker'!$E:$E,'Positions Tracker'!$B351,'Candidate Tracker'!$I:$I,"male")=0,"",COUNTIFS('Candidate Tracker'!$E:$E,'Positions Tracker'!$B351,'Candidate Tracker'!$I:$I,"male")),"")</f>
        <v/>
      </c>
      <c r="BC351" s="80" t="str">
        <f>IFERROR(IF(COUNTIFS('Candidate Tracker'!$E:$E,'Positions Tracker'!$B351,'Candidate Tracker'!$C:$C,"&lt;&gt;WIP",'Candidate Tracker'!$C:$C,"&lt;&gt;Hold",'Candidate Tracker'!$C:$C,"&lt;&gt;Cancelled",'Candidate Tracker'!$C:$C,"&lt;&gt;Closed")/COUNTIFS('Candidate Tracker'!$E:$E,'Positions Tracker'!$B351)=0,"",COUNTIFS('Candidate Tracker'!$E:$E,'Positions Tracker'!$B351,'Candidate Tracker'!$C:$C,"&lt;&gt;WIP",'Candidate Tracker'!$C:$C,"&lt;&gt;Hold",'Candidate Tracker'!$C:$C,"&lt;&gt;Cancelled",'Candidate Tracker'!$C:$C,"&lt;&gt;Closed")/COUNTIFS('Candidate Tracker'!$E:$E,'Positions Tracker'!$B351)),"")</f>
        <v/>
      </c>
      <c r="BD351" s="67" t="str">
        <f t="shared" si="30"/>
        <v/>
      </c>
      <c r="BE351" s="67" t="str">
        <f t="shared" si="31"/>
        <v/>
      </c>
      <c r="BF351" s="67" t="str">
        <f t="shared" si="32"/>
        <v/>
      </c>
      <c r="BG351" s="67" t="str">
        <f t="shared" si="33"/>
        <v/>
      </c>
    </row>
    <row r="352" spans="1:59">
      <c r="A352" s="55"/>
      <c r="B352" s="56"/>
      <c r="C352" s="56"/>
      <c r="D352" s="56"/>
      <c r="E352" s="56"/>
      <c r="F352" s="56"/>
      <c r="G352" s="56"/>
      <c r="H352" s="56"/>
      <c r="I352" s="6"/>
      <c r="J352" s="6"/>
      <c r="K352" s="57"/>
      <c r="L352" s="57"/>
      <c r="M352" s="57"/>
      <c r="N352" s="56"/>
      <c r="O352" s="56"/>
      <c r="P352" s="56"/>
      <c r="Q352" s="56"/>
      <c r="R352" s="56"/>
      <c r="S352" s="56"/>
      <c r="T352" s="56"/>
      <c r="U352" s="56"/>
      <c r="V352" s="56"/>
      <c r="W352" s="56"/>
      <c r="X352" s="56"/>
      <c r="Y352" s="56"/>
      <c r="Z352" s="56"/>
      <c r="AA352" s="56"/>
      <c r="AB352" s="56"/>
      <c r="AC352" s="56"/>
      <c r="AD352" s="56"/>
      <c r="AE352" s="56"/>
      <c r="AF352" s="56"/>
      <c r="AG352" s="56"/>
      <c r="AH352" s="56"/>
      <c r="AI352" s="58"/>
      <c r="AJ352" s="56"/>
      <c r="AK352" s="56"/>
      <c r="AL352" s="56"/>
      <c r="AM352" s="57"/>
      <c r="AN352" s="57"/>
      <c r="AO352" s="56"/>
      <c r="AP352" s="56"/>
      <c r="AQ352" s="57"/>
      <c r="AR352" s="57"/>
      <c r="AS352" s="57"/>
      <c r="AT352" s="67">
        <f t="shared" ca="1" si="34"/>
        <v>0</v>
      </c>
      <c r="AU352" s="79" t="str">
        <f t="shared" ca="1" si="35"/>
        <v/>
      </c>
      <c r="AV352" s="79" t="str" cm="1">
        <f t="array" aca="1" ref="AV352" ca="1">IFERROR(_xlfn.IFS($AU352="","",$AU352&lt;=15,"0-15",AND($AU352&gt;=16,$AU352&lt;=30),"16-30",AND($AU352&gt;=31,$AU352&lt;=45),"31-45",AND($AU352&gt;=46,$AU352&lt;=60),"46-60",AND($AU352&gt;=61,$AU352&lt;=90),"61-90",AND($AU352&gt;=91),"&gt; 90",AND($AU352&gt;=2000),""),"")</f>
        <v/>
      </c>
      <c r="AW352" s="79" t="str" cm="1">
        <f t="array" aca="1" ref="AW352" ca="1">IFERROR(_xlfn.IFS(OR($M352="",$AM352=""),"",OR($C352="Offered",$C352="Joined"),($AM352-$M352)-$AT352),"")</f>
        <v/>
      </c>
      <c r="AX352" s="79" t="str" cm="1">
        <f t="array" aca="1" ref="AX352" ca="1">IFERROR(_xlfn.IFS(OR($M352="",$AS352=""),"",$C352="Joined",($AS352-$M352)-$AT352),"")</f>
        <v/>
      </c>
      <c r="AY352" s="67" t="str">
        <f>IFERROR(IF(COUNTIFS('Candidate Tracker'!$E:$E,'Positions Tracker'!$B352,'Candidate Tracker'!$C:$C,"Offer Drop")=0,"",COUNTIFS('Candidate Tracker'!$E:$E,'Positions Tracker'!$B352,'Candidate Tracker'!$C:$C,"Offer Drop")),"")</f>
        <v/>
      </c>
      <c r="AZ352" s="80">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0.88111888111888115</v>
      </c>
      <c r="BA352" s="81" t="str">
        <f>IFERROR(IF(COUNTIFS('Candidate Tracker'!$E:$E,'Positions Tracker'!$B352,'Candidate Tracker'!$I:$I,"Female")=0,"",COUNTIFS('Candidate Tracker'!$E:$E,'Positions Tracker'!$B352,'Candidate Tracker'!$I:$I,"Female")),"")</f>
        <v/>
      </c>
      <c r="BB352" s="81" t="str">
        <f>IFERROR(IF(COUNTIFS('Candidate Tracker'!$E:$E,'Positions Tracker'!$B352,'Candidate Tracker'!$I:$I,"male")=0,"",COUNTIFS('Candidate Tracker'!$E:$E,'Positions Tracker'!$B352,'Candidate Tracker'!$I:$I,"male")),"")</f>
        <v/>
      </c>
      <c r="BC352" s="80" t="str">
        <f>IFERROR(IF(COUNTIFS('Candidate Tracker'!$E:$E,'Positions Tracker'!$B352,'Candidate Tracker'!$C:$C,"&lt;&gt;WIP",'Candidate Tracker'!$C:$C,"&lt;&gt;Hold",'Candidate Tracker'!$C:$C,"&lt;&gt;Cancelled",'Candidate Tracker'!$C:$C,"&lt;&gt;Closed")/COUNTIFS('Candidate Tracker'!$E:$E,'Positions Tracker'!$B352)=0,"",COUNTIFS('Candidate Tracker'!$E:$E,'Positions Tracker'!$B352,'Candidate Tracker'!$C:$C,"&lt;&gt;WIP",'Candidate Tracker'!$C:$C,"&lt;&gt;Hold",'Candidate Tracker'!$C:$C,"&lt;&gt;Cancelled",'Candidate Tracker'!$C:$C,"&lt;&gt;Closed")/COUNTIFS('Candidate Tracker'!$E:$E,'Positions Tracker'!$B352)),"")</f>
        <v/>
      </c>
      <c r="BD352" s="67" t="str">
        <f t="shared" si="30"/>
        <v/>
      </c>
      <c r="BE352" s="67" t="str">
        <f t="shared" si="31"/>
        <v/>
      </c>
      <c r="BF352" s="67" t="str">
        <f t="shared" si="32"/>
        <v/>
      </c>
      <c r="BG352" s="67" t="str">
        <f t="shared" si="33"/>
        <v/>
      </c>
    </row>
    <row r="353" spans="1:59">
      <c r="A353" s="55"/>
      <c r="B353" s="56"/>
      <c r="C353" s="56"/>
      <c r="D353" s="56"/>
      <c r="E353" s="56"/>
      <c r="F353" s="56"/>
      <c r="G353" s="56"/>
      <c r="H353" s="56"/>
      <c r="I353" s="6"/>
      <c r="J353" s="6"/>
      <c r="K353" s="57"/>
      <c r="L353" s="57"/>
      <c r="M353" s="57"/>
      <c r="N353" s="56"/>
      <c r="O353" s="56"/>
      <c r="P353" s="56"/>
      <c r="Q353" s="56"/>
      <c r="R353" s="56"/>
      <c r="S353" s="56"/>
      <c r="T353" s="56"/>
      <c r="U353" s="56"/>
      <c r="V353" s="56"/>
      <c r="W353" s="56"/>
      <c r="X353" s="56"/>
      <c r="Y353" s="56"/>
      <c r="Z353" s="56"/>
      <c r="AA353" s="56"/>
      <c r="AB353" s="56"/>
      <c r="AC353" s="56"/>
      <c r="AD353" s="56"/>
      <c r="AE353" s="56"/>
      <c r="AF353" s="56"/>
      <c r="AG353" s="56"/>
      <c r="AH353" s="56"/>
      <c r="AI353" s="58"/>
      <c r="AJ353" s="56"/>
      <c r="AK353" s="56"/>
      <c r="AL353" s="56"/>
      <c r="AM353" s="57"/>
      <c r="AN353" s="57"/>
      <c r="AO353" s="56"/>
      <c r="AP353" s="56"/>
      <c r="AQ353" s="57"/>
      <c r="AR353" s="57"/>
      <c r="AS353" s="57"/>
      <c r="AT353" s="67">
        <f t="shared" ca="1" si="34"/>
        <v>0</v>
      </c>
      <c r="AU353" s="79" t="str">
        <f t="shared" ca="1" si="35"/>
        <v/>
      </c>
      <c r="AV353" s="79" t="str" cm="1">
        <f t="array" aca="1" ref="AV353" ca="1">IFERROR(_xlfn.IFS($AU353="","",$AU353&lt;=15,"0-15",AND($AU353&gt;=16,$AU353&lt;=30),"16-30",AND($AU353&gt;=31,$AU353&lt;=45),"31-45",AND($AU353&gt;=46,$AU353&lt;=60),"46-60",AND($AU353&gt;=61,$AU353&lt;=90),"61-90",AND($AU353&gt;=91),"&gt; 90",AND($AU353&gt;=2000),""),"")</f>
        <v/>
      </c>
      <c r="AW353" s="79" t="str" cm="1">
        <f t="array" aca="1" ref="AW353" ca="1">IFERROR(_xlfn.IFS(OR($M353="",$AM353=""),"",OR($C353="Offered",$C353="Joined"),($AM353-$M353)-$AT353),"")</f>
        <v/>
      </c>
      <c r="AX353" s="79" t="str" cm="1">
        <f t="array" aca="1" ref="AX353" ca="1">IFERROR(_xlfn.IFS(OR($M353="",$AS353=""),"",$C353="Joined",($AS353-$M353)-$AT353),"")</f>
        <v/>
      </c>
      <c r="AY353" s="67" t="str">
        <f>IFERROR(IF(COUNTIFS('Candidate Tracker'!$E:$E,'Positions Tracker'!$B353,'Candidate Tracker'!$C:$C,"Offer Drop")=0,"",COUNTIFS('Candidate Tracker'!$E:$E,'Positions Tracker'!$B353,'Candidate Tracker'!$C:$C,"Offer Drop")),"")</f>
        <v/>
      </c>
      <c r="AZ353" s="80">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0.88111888111888115</v>
      </c>
      <c r="BA353" s="81" t="str">
        <f>IFERROR(IF(COUNTIFS('Candidate Tracker'!$E:$E,'Positions Tracker'!$B353,'Candidate Tracker'!$I:$I,"Female")=0,"",COUNTIFS('Candidate Tracker'!$E:$E,'Positions Tracker'!$B353,'Candidate Tracker'!$I:$I,"Female")),"")</f>
        <v/>
      </c>
      <c r="BB353" s="81" t="str">
        <f>IFERROR(IF(COUNTIFS('Candidate Tracker'!$E:$E,'Positions Tracker'!$B353,'Candidate Tracker'!$I:$I,"male")=0,"",COUNTIFS('Candidate Tracker'!$E:$E,'Positions Tracker'!$B353,'Candidate Tracker'!$I:$I,"male")),"")</f>
        <v/>
      </c>
      <c r="BC353" s="80" t="str">
        <f>IFERROR(IF(COUNTIFS('Candidate Tracker'!$E:$E,'Positions Tracker'!$B353,'Candidate Tracker'!$C:$C,"&lt;&gt;WIP",'Candidate Tracker'!$C:$C,"&lt;&gt;Hold",'Candidate Tracker'!$C:$C,"&lt;&gt;Cancelled",'Candidate Tracker'!$C:$C,"&lt;&gt;Closed")/COUNTIFS('Candidate Tracker'!$E:$E,'Positions Tracker'!$B353)=0,"",COUNTIFS('Candidate Tracker'!$E:$E,'Positions Tracker'!$B353,'Candidate Tracker'!$C:$C,"&lt;&gt;WIP",'Candidate Tracker'!$C:$C,"&lt;&gt;Hold",'Candidate Tracker'!$C:$C,"&lt;&gt;Cancelled",'Candidate Tracker'!$C:$C,"&lt;&gt;Closed")/COUNTIFS('Candidate Tracker'!$E:$E,'Positions Tracker'!$B353)),"")</f>
        <v/>
      </c>
      <c r="BD353" s="67" t="str">
        <f t="shared" si="30"/>
        <v/>
      </c>
      <c r="BE353" s="67" t="str">
        <f t="shared" si="31"/>
        <v/>
      </c>
      <c r="BF353" s="67" t="str">
        <f t="shared" si="32"/>
        <v/>
      </c>
      <c r="BG353" s="67" t="str">
        <f t="shared" si="33"/>
        <v/>
      </c>
    </row>
    <row r="354" spans="1:59">
      <c r="A354" s="55"/>
      <c r="B354" s="56"/>
      <c r="C354" s="56"/>
      <c r="D354" s="56"/>
      <c r="E354" s="56"/>
      <c r="F354" s="56"/>
      <c r="G354" s="56"/>
      <c r="H354" s="56"/>
      <c r="I354" s="6"/>
      <c r="J354" s="6"/>
      <c r="K354" s="57"/>
      <c r="L354" s="57"/>
      <c r="M354" s="57"/>
      <c r="N354" s="56"/>
      <c r="O354" s="56"/>
      <c r="P354" s="56"/>
      <c r="Q354" s="56"/>
      <c r="R354" s="56"/>
      <c r="S354" s="56"/>
      <c r="T354" s="56"/>
      <c r="U354" s="56"/>
      <c r="V354" s="56"/>
      <c r="W354" s="56"/>
      <c r="X354" s="56"/>
      <c r="Y354" s="56"/>
      <c r="Z354" s="56"/>
      <c r="AA354" s="56"/>
      <c r="AB354" s="56"/>
      <c r="AC354" s="56"/>
      <c r="AD354" s="56"/>
      <c r="AE354" s="56"/>
      <c r="AF354" s="56"/>
      <c r="AG354" s="56"/>
      <c r="AH354" s="56"/>
      <c r="AI354" s="58"/>
      <c r="AJ354" s="56"/>
      <c r="AK354" s="56"/>
      <c r="AL354" s="56"/>
      <c r="AM354" s="57"/>
      <c r="AN354" s="57"/>
      <c r="AO354" s="56"/>
      <c r="AP354" s="56"/>
      <c r="AQ354" s="57"/>
      <c r="AR354" s="57"/>
      <c r="AS354" s="57"/>
      <c r="AT354" s="67">
        <f t="shared" ca="1" si="34"/>
        <v>0</v>
      </c>
      <c r="AU354" s="79" t="str">
        <f t="shared" ca="1" si="35"/>
        <v/>
      </c>
      <c r="AV354" s="79" t="str" cm="1">
        <f t="array" aca="1" ref="AV354" ca="1">IFERROR(_xlfn.IFS($AU354="","",$AU354&lt;=15,"0-15",AND($AU354&gt;=16,$AU354&lt;=30),"16-30",AND($AU354&gt;=31,$AU354&lt;=45),"31-45",AND($AU354&gt;=46,$AU354&lt;=60),"46-60",AND($AU354&gt;=61,$AU354&lt;=90),"61-90",AND($AU354&gt;=91),"&gt; 90",AND($AU354&gt;=2000),""),"")</f>
        <v/>
      </c>
      <c r="AW354" s="79" t="str" cm="1">
        <f t="array" aca="1" ref="AW354" ca="1">IFERROR(_xlfn.IFS(OR($M354="",$AM354=""),"",OR($C354="Offered",$C354="Joined"),($AM354-$M354)-$AT354),"")</f>
        <v/>
      </c>
      <c r="AX354" s="79" t="str" cm="1">
        <f t="array" aca="1" ref="AX354" ca="1">IFERROR(_xlfn.IFS(OR($M354="",$AS354=""),"",$C354="Joined",($AS354-$M354)-$AT354),"")</f>
        <v/>
      </c>
      <c r="AY354" s="67" t="str">
        <f>IFERROR(IF(COUNTIFS('Candidate Tracker'!$E:$E,'Positions Tracker'!$B354,'Candidate Tracker'!$C:$C,"Offer Drop")=0,"",COUNTIFS('Candidate Tracker'!$E:$E,'Positions Tracker'!$B354,'Candidate Tracker'!$C:$C,"Offer Drop")),"")</f>
        <v/>
      </c>
      <c r="AZ354" s="80">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0.88111888111888115</v>
      </c>
      <c r="BA354" s="81" t="str">
        <f>IFERROR(IF(COUNTIFS('Candidate Tracker'!$E:$E,'Positions Tracker'!$B354,'Candidate Tracker'!$I:$I,"Female")=0,"",COUNTIFS('Candidate Tracker'!$E:$E,'Positions Tracker'!$B354,'Candidate Tracker'!$I:$I,"Female")),"")</f>
        <v/>
      </c>
      <c r="BB354" s="81" t="str">
        <f>IFERROR(IF(COUNTIFS('Candidate Tracker'!$E:$E,'Positions Tracker'!$B354,'Candidate Tracker'!$I:$I,"male")=0,"",COUNTIFS('Candidate Tracker'!$E:$E,'Positions Tracker'!$B354,'Candidate Tracker'!$I:$I,"male")),"")</f>
        <v/>
      </c>
      <c r="BC354" s="80" t="str">
        <f>IFERROR(IF(COUNTIFS('Candidate Tracker'!$E:$E,'Positions Tracker'!$B354,'Candidate Tracker'!$C:$C,"&lt;&gt;WIP",'Candidate Tracker'!$C:$C,"&lt;&gt;Hold",'Candidate Tracker'!$C:$C,"&lt;&gt;Cancelled",'Candidate Tracker'!$C:$C,"&lt;&gt;Closed")/COUNTIFS('Candidate Tracker'!$E:$E,'Positions Tracker'!$B354)=0,"",COUNTIFS('Candidate Tracker'!$E:$E,'Positions Tracker'!$B354,'Candidate Tracker'!$C:$C,"&lt;&gt;WIP",'Candidate Tracker'!$C:$C,"&lt;&gt;Hold",'Candidate Tracker'!$C:$C,"&lt;&gt;Cancelled",'Candidate Tracker'!$C:$C,"&lt;&gt;Closed")/COUNTIFS('Candidate Tracker'!$E:$E,'Positions Tracker'!$B354)),"")</f>
        <v/>
      </c>
      <c r="BD354" s="67" t="str">
        <f t="shared" si="30"/>
        <v/>
      </c>
      <c r="BE354" s="67" t="str">
        <f t="shared" si="31"/>
        <v/>
      </c>
      <c r="BF354" s="67" t="str">
        <f t="shared" si="32"/>
        <v/>
      </c>
      <c r="BG354" s="67" t="str">
        <f t="shared" si="33"/>
        <v/>
      </c>
    </row>
    <row r="355" spans="1:59">
      <c r="A355" s="55"/>
      <c r="B355" s="56"/>
      <c r="C355" s="56"/>
      <c r="D355" s="56"/>
      <c r="E355" s="56"/>
      <c r="F355" s="56"/>
      <c r="G355" s="56"/>
      <c r="H355" s="56"/>
      <c r="I355" s="6"/>
      <c r="J355" s="6"/>
      <c r="K355" s="57"/>
      <c r="L355" s="57"/>
      <c r="M355" s="57"/>
      <c r="N355" s="56"/>
      <c r="O355" s="56"/>
      <c r="P355" s="56"/>
      <c r="Q355" s="56"/>
      <c r="R355" s="56"/>
      <c r="S355" s="56"/>
      <c r="T355" s="56"/>
      <c r="U355" s="56"/>
      <c r="V355" s="56"/>
      <c r="W355" s="56"/>
      <c r="X355" s="56"/>
      <c r="Y355" s="56"/>
      <c r="Z355" s="56"/>
      <c r="AA355" s="56"/>
      <c r="AB355" s="56"/>
      <c r="AC355" s="56"/>
      <c r="AD355" s="56"/>
      <c r="AE355" s="56"/>
      <c r="AF355" s="56"/>
      <c r="AG355" s="56"/>
      <c r="AH355" s="56"/>
      <c r="AI355" s="58"/>
      <c r="AJ355" s="56"/>
      <c r="AK355" s="56"/>
      <c r="AL355" s="56"/>
      <c r="AM355" s="57"/>
      <c r="AN355" s="57"/>
      <c r="AO355" s="56"/>
      <c r="AP355" s="56"/>
      <c r="AQ355" s="57"/>
      <c r="AR355" s="57"/>
      <c r="AS355" s="57"/>
      <c r="AT355" s="67">
        <f t="shared" ca="1" si="34"/>
        <v>0</v>
      </c>
      <c r="AU355" s="79" t="str">
        <f t="shared" ca="1" si="35"/>
        <v/>
      </c>
      <c r="AV355" s="79" t="str" cm="1">
        <f t="array" aca="1" ref="AV355" ca="1">IFERROR(_xlfn.IFS($AU355="","",$AU355&lt;=15,"0-15",AND($AU355&gt;=16,$AU355&lt;=30),"16-30",AND($AU355&gt;=31,$AU355&lt;=45),"31-45",AND($AU355&gt;=46,$AU355&lt;=60),"46-60",AND($AU355&gt;=61,$AU355&lt;=90),"61-90",AND($AU355&gt;=91),"&gt; 90",AND($AU355&gt;=2000),""),"")</f>
        <v/>
      </c>
      <c r="AW355" s="79" t="str" cm="1">
        <f t="array" aca="1" ref="AW355" ca="1">IFERROR(_xlfn.IFS(OR($M355="",$AM355=""),"",OR($C355="Offered",$C355="Joined"),($AM355-$M355)-$AT355),"")</f>
        <v/>
      </c>
      <c r="AX355" s="79" t="str" cm="1">
        <f t="array" aca="1" ref="AX355" ca="1">IFERROR(_xlfn.IFS(OR($M355="",$AS355=""),"",$C355="Joined",($AS355-$M355)-$AT355),"")</f>
        <v/>
      </c>
      <c r="AY355" s="67" t="str">
        <f>IFERROR(IF(COUNTIFS('Candidate Tracker'!$E:$E,'Positions Tracker'!$B355,'Candidate Tracker'!$C:$C,"Offer Drop")=0,"",COUNTIFS('Candidate Tracker'!$E:$E,'Positions Tracker'!$B355,'Candidate Tracker'!$C:$C,"Offer Drop")),"")</f>
        <v/>
      </c>
      <c r="AZ355" s="80">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0.88111888111888115</v>
      </c>
      <c r="BA355" s="81" t="str">
        <f>IFERROR(IF(COUNTIFS('Candidate Tracker'!$E:$E,'Positions Tracker'!$B355,'Candidate Tracker'!$I:$I,"Female")=0,"",COUNTIFS('Candidate Tracker'!$E:$E,'Positions Tracker'!$B355,'Candidate Tracker'!$I:$I,"Female")),"")</f>
        <v/>
      </c>
      <c r="BB355" s="81" t="str">
        <f>IFERROR(IF(COUNTIFS('Candidate Tracker'!$E:$E,'Positions Tracker'!$B355,'Candidate Tracker'!$I:$I,"male")=0,"",COUNTIFS('Candidate Tracker'!$E:$E,'Positions Tracker'!$B355,'Candidate Tracker'!$I:$I,"male")),"")</f>
        <v/>
      </c>
      <c r="BC355" s="80" t="str">
        <f>IFERROR(IF(COUNTIFS('Candidate Tracker'!$E:$E,'Positions Tracker'!$B355,'Candidate Tracker'!$C:$C,"&lt;&gt;WIP",'Candidate Tracker'!$C:$C,"&lt;&gt;Hold",'Candidate Tracker'!$C:$C,"&lt;&gt;Cancelled",'Candidate Tracker'!$C:$C,"&lt;&gt;Closed")/COUNTIFS('Candidate Tracker'!$E:$E,'Positions Tracker'!$B355)=0,"",COUNTIFS('Candidate Tracker'!$E:$E,'Positions Tracker'!$B355,'Candidate Tracker'!$C:$C,"&lt;&gt;WIP",'Candidate Tracker'!$C:$C,"&lt;&gt;Hold",'Candidate Tracker'!$C:$C,"&lt;&gt;Cancelled",'Candidate Tracker'!$C:$C,"&lt;&gt;Closed")/COUNTIFS('Candidate Tracker'!$E:$E,'Positions Tracker'!$B355)),"")</f>
        <v/>
      </c>
      <c r="BD355" s="67" t="str">
        <f t="shared" si="30"/>
        <v/>
      </c>
      <c r="BE355" s="67" t="str">
        <f t="shared" si="31"/>
        <v/>
      </c>
      <c r="BF355" s="67" t="str">
        <f t="shared" si="32"/>
        <v/>
      </c>
      <c r="BG355" s="67" t="str">
        <f t="shared" si="33"/>
        <v/>
      </c>
    </row>
    <row r="356" spans="1:59">
      <c r="A356" s="55"/>
      <c r="B356" s="56"/>
      <c r="C356" s="56"/>
      <c r="D356" s="56"/>
      <c r="E356" s="56"/>
      <c r="F356" s="56"/>
      <c r="G356" s="56"/>
      <c r="H356" s="56"/>
      <c r="I356" s="6"/>
      <c r="J356" s="6"/>
      <c r="K356" s="57"/>
      <c r="L356" s="57"/>
      <c r="M356" s="57"/>
      <c r="N356" s="56"/>
      <c r="O356" s="56"/>
      <c r="P356" s="56"/>
      <c r="Q356" s="56"/>
      <c r="R356" s="56"/>
      <c r="S356" s="56"/>
      <c r="T356" s="56"/>
      <c r="U356" s="56"/>
      <c r="V356" s="56"/>
      <c r="W356" s="56"/>
      <c r="X356" s="56"/>
      <c r="Y356" s="56"/>
      <c r="Z356" s="56"/>
      <c r="AA356" s="56"/>
      <c r="AB356" s="56"/>
      <c r="AC356" s="56"/>
      <c r="AD356" s="56"/>
      <c r="AE356" s="56"/>
      <c r="AF356" s="56"/>
      <c r="AG356" s="56"/>
      <c r="AH356" s="56"/>
      <c r="AI356" s="58"/>
      <c r="AJ356" s="56"/>
      <c r="AK356" s="56"/>
      <c r="AL356" s="56"/>
      <c r="AM356" s="57"/>
      <c r="AN356" s="57"/>
      <c r="AO356" s="56"/>
      <c r="AP356" s="56"/>
      <c r="AQ356" s="57"/>
      <c r="AR356" s="57"/>
      <c r="AS356" s="57"/>
      <c r="AT356" s="67">
        <f t="shared" ca="1" si="34"/>
        <v>0</v>
      </c>
      <c r="AU356" s="79" t="str">
        <f t="shared" ca="1" si="35"/>
        <v/>
      </c>
      <c r="AV356" s="79" t="str" cm="1">
        <f t="array" aca="1" ref="AV356" ca="1">IFERROR(_xlfn.IFS($AU356="","",$AU356&lt;=15,"0-15",AND($AU356&gt;=16,$AU356&lt;=30),"16-30",AND($AU356&gt;=31,$AU356&lt;=45),"31-45",AND($AU356&gt;=46,$AU356&lt;=60),"46-60",AND($AU356&gt;=61,$AU356&lt;=90),"61-90",AND($AU356&gt;=91),"&gt; 90",AND($AU356&gt;=2000),""),"")</f>
        <v/>
      </c>
      <c r="AW356" s="79" t="str" cm="1">
        <f t="array" aca="1" ref="AW356" ca="1">IFERROR(_xlfn.IFS(OR($M356="",$AM356=""),"",OR($C356="Offered",$C356="Joined"),($AM356-$M356)-$AT356),"")</f>
        <v/>
      </c>
      <c r="AX356" s="79" t="str" cm="1">
        <f t="array" aca="1" ref="AX356" ca="1">IFERROR(_xlfn.IFS(OR($M356="",$AS356=""),"",$C356="Joined",($AS356-$M356)-$AT356),"")</f>
        <v/>
      </c>
      <c r="AY356" s="67" t="str">
        <f>IFERROR(IF(COUNTIFS('Candidate Tracker'!$E:$E,'Positions Tracker'!$B356,'Candidate Tracker'!$C:$C,"Offer Drop")=0,"",COUNTIFS('Candidate Tracker'!$E:$E,'Positions Tracker'!$B356,'Candidate Tracker'!$C:$C,"Offer Drop")),"")</f>
        <v/>
      </c>
      <c r="AZ356" s="80">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0.88111888111888115</v>
      </c>
      <c r="BA356" s="81" t="str">
        <f>IFERROR(IF(COUNTIFS('Candidate Tracker'!$E:$E,'Positions Tracker'!$B356,'Candidate Tracker'!$I:$I,"Female")=0,"",COUNTIFS('Candidate Tracker'!$E:$E,'Positions Tracker'!$B356,'Candidate Tracker'!$I:$I,"Female")),"")</f>
        <v/>
      </c>
      <c r="BB356" s="81" t="str">
        <f>IFERROR(IF(COUNTIFS('Candidate Tracker'!$E:$E,'Positions Tracker'!$B356,'Candidate Tracker'!$I:$I,"male")=0,"",COUNTIFS('Candidate Tracker'!$E:$E,'Positions Tracker'!$B356,'Candidate Tracker'!$I:$I,"male")),"")</f>
        <v/>
      </c>
      <c r="BC356" s="80" t="str">
        <f>IFERROR(IF(COUNTIFS('Candidate Tracker'!$E:$E,'Positions Tracker'!$B356,'Candidate Tracker'!$C:$C,"&lt;&gt;WIP",'Candidate Tracker'!$C:$C,"&lt;&gt;Hold",'Candidate Tracker'!$C:$C,"&lt;&gt;Cancelled",'Candidate Tracker'!$C:$C,"&lt;&gt;Closed")/COUNTIFS('Candidate Tracker'!$E:$E,'Positions Tracker'!$B356)=0,"",COUNTIFS('Candidate Tracker'!$E:$E,'Positions Tracker'!$B356,'Candidate Tracker'!$C:$C,"&lt;&gt;WIP",'Candidate Tracker'!$C:$C,"&lt;&gt;Hold",'Candidate Tracker'!$C:$C,"&lt;&gt;Cancelled",'Candidate Tracker'!$C:$C,"&lt;&gt;Closed")/COUNTIFS('Candidate Tracker'!$E:$E,'Positions Tracker'!$B356)),"")</f>
        <v/>
      </c>
      <c r="BD356" s="67" t="str">
        <f t="shared" si="30"/>
        <v/>
      </c>
      <c r="BE356" s="67" t="str">
        <f t="shared" si="31"/>
        <v/>
      </c>
      <c r="BF356" s="67" t="str">
        <f t="shared" si="32"/>
        <v/>
      </c>
      <c r="BG356" s="67" t="str">
        <f t="shared" si="33"/>
        <v/>
      </c>
    </row>
    <row r="357" spans="1:59">
      <c r="A357" s="55"/>
      <c r="B357" s="56"/>
      <c r="C357" s="56"/>
      <c r="D357" s="56"/>
      <c r="E357" s="56"/>
      <c r="F357" s="56"/>
      <c r="G357" s="56"/>
      <c r="H357" s="56"/>
      <c r="I357" s="6"/>
      <c r="J357" s="6"/>
      <c r="K357" s="57"/>
      <c r="L357" s="57"/>
      <c r="M357" s="57"/>
      <c r="N357" s="56"/>
      <c r="O357" s="56"/>
      <c r="P357" s="56"/>
      <c r="Q357" s="56"/>
      <c r="R357" s="56"/>
      <c r="S357" s="56"/>
      <c r="T357" s="56"/>
      <c r="U357" s="56"/>
      <c r="V357" s="56"/>
      <c r="W357" s="56"/>
      <c r="X357" s="56"/>
      <c r="Y357" s="56"/>
      <c r="Z357" s="56"/>
      <c r="AA357" s="56"/>
      <c r="AB357" s="56"/>
      <c r="AC357" s="56"/>
      <c r="AD357" s="56"/>
      <c r="AE357" s="56"/>
      <c r="AF357" s="56"/>
      <c r="AG357" s="56"/>
      <c r="AH357" s="56"/>
      <c r="AI357" s="58"/>
      <c r="AJ357" s="56"/>
      <c r="AK357" s="56"/>
      <c r="AL357" s="56"/>
      <c r="AM357" s="57"/>
      <c r="AN357" s="57"/>
      <c r="AO357" s="56"/>
      <c r="AP357" s="56"/>
      <c r="AQ357" s="57"/>
      <c r="AR357" s="57"/>
      <c r="AS357" s="57"/>
      <c r="AT357" s="67">
        <f t="shared" ca="1" si="34"/>
        <v>0</v>
      </c>
      <c r="AU357" s="79" t="str">
        <f t="shared" ca="1" si="35"/>
        <v/>
      </c>
      <c r="AV357" s="79" t="str" cm="1">
        <f t="array" aca="1" ref="AV357" ca="1">IFERROR(_xlfn.IFS($AU357="","",$AU357&lt;=15,"0-15",AND($AU357&gt;=16,$AU357&lt;=30),"16-30",AND($AU357&gt;=31,$AU357&lt;=45),"31-45",AND($AU357&gt;=46,$AU357&lt;=60),"46-60",AND($AU357&gt;=61,$AU357&lt;=90),"61-90",AND($AU357&gt;=91),"&gt; 90",AND($AU357&gt;=2000),""),"")</f>
        <v/>
      </c>
      <c r="AW357" s="79" t="str" cm="1">
        <f t="array" aca="1" ref="AW357" ca="1">IFERROR(_xlfn.IFS(OR($M357="",$AM357=""),"",OR($C357="Offered",$C357="Joined"),($AM357-$M357)-$AT357),"")</f>
        <v/>
      </c>
      <c r="AX357" s="79" t="str" cm="1">
        <f t="array" aca="1" ref="AX357" ca="1">IFERROR(_xlfn.IFS(OR($M357="",$AS357=""),"",$C357="Joined",($AS357-$M357)-$AT357),"")</f>
        <v/>
      </c>
      <c r="AY357" s="67" t="str">
        <f>IFERROR(IF(COUNTIFS('Candidate Tracker'!$E:$E,'Positions Tracker'!$B357,'Candidate Tracker'!$C:$C,"Offer Drop")=0,"",COUNTIFS('Candidate Tracker'!$E:$E,'Positions Tracker'!$B357,'Candidate Tracker'!$C:$C,"Offer Drop")),"")</f>
        <v/>
      </c>
      <c r="AZ357" s="80">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0.88111888111888115</v>
      </c>
      <c r="BA357" s="81" t="str">
        <f>IFERROR(IF(COUNTIFS('Candidate Tracker'!$E:$E,'Positions Tracker'!$B357,'Candidate Tracker'!$I:$I,"Female")=0,"",COUNTIFS('Candidate Tracker'!$E:$E,'Positions Tracker'!$B357,'Candidate Tracker'!$I:$I,"Female")),"")</f>
        <v/>
      </c>
      <c r="BB357" s="81" t="str">
        <f>IFERROR(IF(COUNTIFS('Candidate Tracker'!$E:$E,'Positions Tracker'!$B357,'Candidate Tracker'!$I:$I,"male")=0,"",COUNTIFS('Candidate Tracker'!$E:$E,'Positions Tracker'!$B357,'Candidate Tracker'!$I:$I,"male")),"")</f>
        <v/>
      </c>
      <c r="BC357" s="80" t="str">
        <f>IFERROR(IF(COUNTIFS('Candidate Tracker'!$E:$E,'Positions Tracker'!$B357,'Candidate Tracker'!$C:$C,"&lt;&gt;WIP",'Candidate Tracker'!$C:$C,"&lt;&gt;Hold",'Candidate Tracker'!$C:$C,"&lt;&gt;Cancelled",'Candidate Tracker'!$C:$C,"&lt;&gt;Closed")/COUNTIFS('Candidate Tracker'!$E:$E,'Positions Tracker'!$B357)=0,"",COUNTIFS('Candidate Tracker'!$E:$E,'Positions Tracker'!$B357,'Candidate Tracker'!$C:$C,"&lt;&gt;WIP",'Candidate Tracker'!$C:$C,"&lt;&gt;Hold",'Candidate Tracker'!$C:$C,"&lt;&gt;Cancelled",'Candidate Tracker'!$C:$C,"&lt;&gt;Closed")/COUNTIFS('Candidate Tracker'!$E:$E,'Positions Tracker'!$B357)),"")</f>
        <v/>
      </c>
      <c r="BD357" s="67" t="str">
        <f t="shared" si="30"/>
        <v/>
      </c>
      <c r="BE357" s="67" t="str">
        <f t="shared" si="31"/>
        <v/>
      </c>
      <c r="BF357" s="67" t="str">
        <f t="shared" si="32"/>
        <v/>
      </c>
      <c r="BG357" s="67" t="str">
        <f t="shared" si="33"/>
        <v/>
      </c>
    </row>
    <row r="358" spans="1:59">
      <c r="A358" s="55"/>
      <c r="B358" s="56"/>
      <c r="C358" s="56"/>
      <c r="D358" s="56"/>
      <c r="E358" s="56"/>
      <c r="F358" s="56"/>
      <c r="G358" s="56"/>
      <c r="H358" s="56"/>
      <c r="I358" s="6"/>
      <c r="J358" s="6"/>
      <c r="K358" s="57"/>
      <c r="L358" s="57"/>
      <c r="M358" s="57"/>
      <c r="N358" s="56"/>
      <c r="O358" s="56"/>
      <c r="P358" s="56"/>
      <c r="Q358" s="56"/>
      <c r="R358" s="56"/>
      <c r="S358" s="56"/>
      <c r="T358" s="56"/>
      <c r="U358" s="56"/>
      <c r="V358" s="56"/>
      <c r="W358" s="56"/>
      <c r="X358" s="56"/>
      <c r="Y358" s="56"/>
      <c r="Z358" s="56"/>
      <c r="AA358" s="56"/>
      <c r="AB358" s="56"/>
      <c r="AC358" s="56"/>
      <c r="AD358" s="56"/>
      <c r="AE358" s="56"/>
      <c r="AF358" s="56"/>
      <c r="AG358" s="56"/>
      <c r="AH358" s="56"/>
      <c r="AI358" s="58"/>
      <c r="AJ358" s="56"/>
      <c r="AK358" s="56"/>
      <c r="AL358" s="56"/>
      <c r="AM358" s="57"/>
      <c r="AN358" s="57"/>
      <c r="AO358" s="56"/>
      <c r="AP358" s="56"/>
      <c r="AQ358" s="57"/>
      <c r="AR358" s="57"/>
      <c r="AS358" s="57"/>
      <c r="AT358" s="67">
        <f t="shared" ca="1" si="34"/>
        <v>0</v>
      </c>
      <c r="AU358" s="79" t="str">
        <f t="shared" ca="1" si="35"/>
        <v/>
      </c>
      <c r="AV358" s="79" t="str" cm="1">
        <f t="array" aca="1" ref="AV358" ca="1">IFERROR(_xlfn.IFS($AU358="","",$AU358&lt;=15,"0-15",AND($AU358&gt;=16,$AU358&lt;=30),"16-30",AND($AU358&gt;=31,$AU358&lt;=45),"31-45",AND($AU358&gt;=46,$AU358&lt;=60),"46-60",AND($AU358&gt;=61,$AU358&lt;=90),"61-90",AND($AU358&gt;=91),"&gt; 90",AND($AU358&gt;=2000),""),"")</f>
        <v/>
      </c>
      <c r="AW358" s="79" t="str" cm="1">
        <f t="array" aca="1" ref="AW358" ca="1">IFERROR(_xlfn.IFS(OR($M358="",$AM358=""),"",OR($C358="Offered",$C358="Joined"),($AM358-$M358)-$AT358),"")</f>
        <v/>
      </c>
      <c r="AX358" s="79" t="str" cm="1">
        <f t="array" aca="1" ref="AX358" ca="1">IFERROR(_xlfn.IFS(OR($M358="",$AS358=""),"",$C358="Joined",($AS358-$M358)-$AT358),"")</f>
        <v/>
      </c>
      <c r="AY358" s="67" t="str">
        <f>IFERROR(IF(COUNTIFS('Candidate Tracker'!$E:$E,'Positions Tracker'!$B358,'Candidate Tracker'!$C:$C,"Offer Drop")=0,"",COUNTIFS('Candidate Tracker'!$E:$E,'Positions Tracker'!$B358,'Candidate Tracker'!$C:$C,"Offer Drop")),"")</f>
        <v/>
      </c>
      <c r="AZ358" s="80">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0.88111888111888115</v>
      </c>
      <c r="BA358" s="81" t="str">
        <f>IFERROR(IF(COUNTIFS('Candidate Tracker'!$E:$E,'Positions Tracker'!$B358,'Candidate Tracker'!$I:$I,"Female")=0,"",COUNTIFS('Candidate Tracker'!$E:$E,'Positions Tracker'!$B358,'Candidate Tracker'!$I:$I,"Female")),"")</f>
        <v/>
      </c>
      <c r="BB358" s="81" t="str">
        <f>IFERROR(IF(COUNTIFS('Candidate Tracker'!$E:$E,'Positions Tracker'!$B358,'Candidate Tracker'!$I:$I,"male")=0,"",COUNTIFS('Candidate Tracker'!$E:$E,'Positions Tracker'!$B358,'Candidate Tracker'!$I:$I,"male")),"")</f>
        <v/>
      </c>
      <c r="BC358" s="80" t="str">
        <f>IFERROR(IF(COUNTIFS('Candidate Tracker'!$E:$E,'Positions Tracker'!$B358,'Candidate Tracker'!$C:$C,"&lt;&gt;WIP",'Candidate Tracker'!$C:$C,"&lt;&gt;Hold",'Candidate Tracker'!$C:$C,"&lt;&gt;Cancelled",'Candidate Tracker'!$C:$C,"&lt;&gt;Closed")/COUNTIFS('Candidate Tracker'!$E:$E,'Positions Tracker'!$B358)=0,"",COUNTIFS('Candidate Tracker'!$E:$E,'Positions Tracker'!$B358,'Candidate Tracker'!$C:$C,"&lt;&gt;WIP",'Candidate Tracker'!$C:$C,"&lt;&gt;Hold",'Candidate Tracker'!$C:$C,"&lt;&gt;Cancelled",'Candidate Tracker'!$C:$C,"&lt;&gt;Closed")/COUNTIFS('Candidate Tracker'!$E:$E,'Positions Tracker'!$B358)),"")</f>
        <v/>
      </c>
      <c r="BD358" s="67" t="str">
        <f t="shared" si="30"/>
        <v/>
      </c>
      <c r="BE358" s="67" t="str">
        <f t="shared" si="31"/>
        <v/>
      </c>
      <c r="BF358" s="67" t="str">
        <f t="shared" si="32"/>
        <v/>
      </c>
      <c r="BG358" s="67" t="str">
        <f t="shared" si="33"/>
        <v/>
      </c>
    </row>
    <row r="359" spans="1:59">
      <c r="A359" s="55"/>
      <c r="B359" s="56"/>
      <c r="C359" s="56"/>
      <c r="D359" s="56"/>
      <c r="E359" s="56"/>
      <c r="F359" s="56"/>
      <c r="G359" s="56"/>
      <c r="H359" s="56"/>
      <c r="I359" s="6"/>
      <c r="J359" s="6"/>
      <c r="K359" s="57"/>
      <c r="L359" s="57"/>
      <c r="M359" s="57"/>
      <c r="N359" s="56"/>
      <c r="O359" s="56"/>
      <c r="P359" s="56"/>
      <c r="Q359" s="56"/>
      <c r="R359" s="56"/>
      <c r="S359" s="56"/>
      <c r="T359" s="56"/>
      <c r="U359" s="56"/>
      <c r="V359" s="56"/>
      <c r="W359" s="56"/>
      <c r="X359" s="56"/>
      <c r="Y359" s="56"/>
      <c r="Z359" s="56"/>
      <c r="AA359" s="56"/>
      <c r="AB359" s="56"/>
      <c r="AC359" s="56"/>
      <c r="AD359" s="56"/>
      <c r="AE359" s="56"/>
      <c r="AF359" s="56"/>
      <c r="AG359" s="56"/>
      <c r="AH359" s="56"/>
      <c r="AI359" s="58"/>
      <c r="AJ359" s="56"/>
      <c r="AK359" s="56"/>
      <c r="AL359" s="56"/>
      <c r="AM359" s="57"/>
      <c r="AN359" s="57"/>
      <c r="AO359" s="56"/>
      <c r="AP359" s="56"/>
      <c r="AQ359" s="57"/>
      <c r="AR359" s="57"/>
      <c r="AS359" s="57"/>
      <c r="AT359" s="67">
        <f t="shared" ca="1" si="34"/>
        <v>0</v>
      </c>
      <c r="AU359" s="79" t="str">
        <f t="shared" ca="1" si="35"/>
        <v/>
      </c>
      <c r="AV359" s="79" t="str" cm="1">
        <f t="array" aca="1" ref="AV359" ca="1">IFERROR(_xlfn.IFS($AU359="","",$AU359&lt;=15,"0-15",AND($AU359&gt;=16,$AU359&lt;=30),"16-30",AND($AU359&gt;=31,$AU359&lt;=45),"31-45",AND($AU359&gt;=46,$AU359&lt;=60),"46-60",AND($AU359&gt;=61,$AU359&lt;=90),"61-90",AND($AU359&gt;=91),"&gt; 90",AND($AU359&gt;=2000),""),"")</f>
        <v/>
      </c>
      <c r="AW359" s="79" t="str" cm="1">
        <f t="array" aca="1" ref="AW359" ca="1">IFERROR(_xlfn.IFS(OR($M359="",$AM359=""),"",OR($C359="Offered",$C359="Joined"),($AM359-$M359)-$AT359),"")</f>
        <v/>
      </c>
      <c r="AX359" s="79" t="str" cm="1">
        <f t="array" aca="1" ref="AX359" ca="1">IFERROR(_xlfn.IFS(OR($M359="",$AS359=""),"",$C359="Joined",($AS359-$M359)-$AT359),"")</f>
        <v/>
      </c>
      <c r="AY359" s="67" t="str">
        <f>IFERROR(IF(COUNTIFS('Candidate Tracker'!$E:$E,'Positions Tracker'!$B359,'Candidate Tracker'!$C:$C,"Offer Drop")=0,"",COUNTIFS('Candidate Tracker'!$E:$E,'Positions Tracker'!$B359,'Candidate Tracker'!$C:$C,"Offer Drop")),"")</f>
        <v/>
      </c>
      <c r="AZ359" s="80">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0.88111888111888115</v>
      </c>
      <c r="BA359" s="81" t="str">
        <f>IFERROR(IF(COUNTIFS('Candidate Tracker'!$E:$E,'Positions Tracker'!$B359,'Candidate Tracker'!$I:$I,"Female")=0,"",COUNTIFS('Candidate Tracker'!$E:$E,'Positions Tracker'!$B359,'Candidate Tracker'!$I:$I,"Female")),"")</f>
        <v/>
      </c>
      <c r="BB359" s="81" t="str">
        <f>IFERROR(IF(COUNTIFS('Candidate Tracker'!$E:$E,'Positions Tracker'!$B359,'Candidate Tracker'!$I:$I,"male")=0,"",COUNTIFS('Candidate Tracker'!$E:$E,'Positions Tracker'!$B359,'Candidate Tracker'!$I:$I,"male")),"")</f>
        <v/>
      </c>
      <c r="BC359" s="80" t="str">
        <f>IFERROR(IF(COUNTIFS('Candidate Tracker'!$E:$E,'Positions Tracker'!$B359,'Candidate Tracker'!$C:$C,"&lt;&gt;WIP",'Candidate Tracker'!$C:$C,"&lt;&gt;Hold",'Candidate Tracker'!$C:$C,"&lt;&gt;Cancelled",'Candidate Tracker'!$C:$C,"&lt;&gt;Closed")/COUNTIFS('Candidate Tracker'!$E:$E,'Positions Tracker'!$B359)=0,"",COUNTIFS('Candidate Tracker'!$E:$E,'Positions Tracker'!$B359,'Candidate Tracker'!$C:$C,"&lt;&gt;WIP",'Candidate Tracker'!$C:$C,"&lt;&gt;Hold",'Candidate Tracker'!$C:$C,"&lt;&gt;Cancelled",'Candidate Tracker'!$C:$C,"&lt;&gt;Closed")/COUNTIFS('Candidate Tracker'!$E:$E,'Positions Tracker'!$B359)),"")</f>
        <v/>
      </c>
      <c r="BD359" s="67" t="str">
        <f t="shared" si="30"/>
        <v/>
      </c>
      <c r="BE359" s="67" t="str">
        <f t="shared" si="31"/>
        <v/>
      </c>
      <c r="BF359" s="67" t="str">
        <f t="shared" si="32"/>
        <v/>
      </c>
      <c r="BG359" s="67" t="str">
        <f t="shared" si="33"/>
        <v/>
      </c>
    </row>
    <row r="360" spans="1:59">
      <c r="A360" s="55"/>
      <c r="B360" s="56"/>
      <c r="C360" s="56"/>
      <c r="D360" s="56"/>
      <c r="E360" s="56"/>
      <c r="F360" s="56"/>
      <c r="G360" s="56"/>
      <c r="H360" s="56"/>
      <c r="I360" s="6"/>
      <c r="J360" s="6"/>
      <c r="K360" s="57"/>
      <c r="L360" s="57"/>
      <c r="M360" s="57"/>
      <c r="N360" s="56"/>
      <c r="O360" s="56"/>
      <c r="P360" s="56"/>
      <c r="Q360" s="56"/>
      <c r="R360" s="56"/>
      <c r="S360" s="56"/>
      <c r="T360" s="56"/>
      <c r="U360" s="56"/>
      <c r="V360" s="56"/>
      <c r="W360" s="56"/>
      <c r="X360" s="56"/>
      <c r="Y360" s="56"/>
      <c r="Z360" s="56"/>
      <c r="AA360" s="56"/>
      <c r="AB360" s="56"/>
      <c r="AC360" s="56"/>
      <c r="AD360" s="56"/>
      <c r="AE360" s="56"/>
      <c r="AF360" s="56"/>
      <c r="AG360" s="56"/>
      <c r="AH360" s="56"/>
      <c r="AI360" s="58"/>
      <c r="AJ360" s="56"/>
      <c r="AK360" s="56"/>
      <c r="AL360" s="56"/>
      <c r="AM360" s="57"/>
      <c r="AN360" s="57"/>
      <c r="AO360" s="56"/>
      <c r="AP360" s="56"/>
      <c r="AQ360" s="57"/>
      <c r="AR360" s="57"/>
      <c r="AS360" s="57"/>
      <c r="AT360" s="67">
        <f t="shared" ca="1" si="34"/>
        <v>0</v>
      </c>
      <c r="AU360" s="79" t="str">
        <f t="shared" ca="1" si="35"/>
        <v/>
      </c>
      <c r="AV360" s="79" t="str" cm="1">
        <f t="array" aca="1" ref="AV360" ca="1">IFERROR(_xlfn.IFS($AU360="","",$AU360&lt;=15,"0-15",AND($AU360&gt;=16,$AU360&lt;=30),"16-30",AND($AU360&gt;=31,$AU360&lt;=45),"31-45",AND($AU360&gt;=46,$AU360&lt;=60),"46-60",AND($AU360&gt;=61,$AU360&lt;=90),"61-90",AND($AU360&gt;=91),"&gt; 90",AND($AU360&gt;=2000),""),"")</f>
        <v/>
      </c>
      <c r="AW360" s="79" t="str" cm="1">
        <f t="array" aca="1" ref="AW360" ca="1">IFERROR(_xlfn.IFS(OR($M360="",$AM360=""),"",OR($C360="Offered",$C360="Joined"),($AM360-$M360)-$AT360),"")</f>
        <v/>
      </c>
      <c r="AX360" s="79" t="str" cm="1">
        <f t="array" aca="1" ref="AX360" ca="1">IFERROR(_xlfn.IFS(OR($M360="",$AS360=""),"",$C360="Joined",($AS360-$M360)-$AT360),"")</f>
        <v/>
      </c>
      <c r="AY360" s="67" t="str">
        <f>IFERROR(IF(COUNTIFS('Candidate Tracker'!$E:$E,'Positions Tracker'!$B360,'Candidate Tracker'!$C:$C,"Offer Drop")=0,"",COUNTIFS('Candidate Tracker'!$E:$E,'Positions Tracker'!$B360,'Candidate Tracker'!$C:$C,"Offer Drop")),"")</f>
        <v/>
      </c>
      <c r="AZ360" s="80">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0.88111888111888115</v>
      </c>
      <c r="BA360" s="81" t="str">
        <f>IFERROR(IF(COUNTIFS('Candidate Tracker'!$E:$E,'Positions Tracker'!$B360,'Candidate Tracker'!$I:$I,"Female")=0,"",COUNTIFS('Candidate Tracker'!$E:$E,'Positions Tracker'!$B360,'Candidate Tracker'!$I:$I,"Female")),"")</f>
        <v/>
      </c>
      <c r="BB360" s="81" t="str">
        <f>IFERROR(IF(COUNTIFS('Candidate Tracker'!$E:$E,'Positions Tracker'!$B360,'Candidate Tracker'!$I:$I,"male")=0,"",COUNTIFS('Candidate Tracker'!$E:$E,'Positions Tracker'!$B360,'Candidate Tracker'!$I:$I,"male")),"")</f>
        <v/>
      </c>
      <c r="BC360" s="80" t="str">
        <f>IFERROR(IF(COUNTIFS('Candidate Tracker'!$E:$E,'Positions Tracker'!$B360,'Candidate Tracker'!$C:$C,"&lt;&gt;WIP",'Candidate Tracker'!$C:$C,"&lt;&gt;Hold",'Candidate Tracker'!$C:$C,"&lt;&gt;Cancelled",'Candidate Tracker'!$C:$C,"&lt;&gt;Closed")/COUNTIFS('Candidate Tracker'!$E:$E,'Positions Tracker'!$B360)=0,"",COUNTIFS('Candidate Tracker'!$E:$E,'Positions Tracker'!$B360,'Candidate Tracker'!$C:$C,"&lt;&gt;WIP",'Candidate Tracker'!$C:$C,"&lt;&gt;Hold",'Candidate Tracker'!$C:$C,"&lt;&gt;Cancelled",'Candidate Tracker'!$C:$C,"&lt;&gt;Closed")/COUNTIFS('Candidate Tracker'!$E:$E,'Positions Tracker'!$B360)),"")</f>
        <v/>
      </c>
      <c r="BD360" s="67" t="str">
        <f t="shared" si="30"/>
        <v/>
      </c>
      <c r="BE360" s="67" t="str">
        <f t="shared" si="31"/>
        <v/>
      </c>
      <c r="BF360" s="67" t="str">
        <f t="shared" si="32"/>
        <v/>
      </c>
      <c r="BG360" s="67" t="str">
        <f t="shared" si="33"/>
        <v/>
      </c>
    </row>
    <row r="361" spans="1:59">
      <c r="A361" s="55"/>
      <c r="B361" s="56"/>
      <c r="C361" s="56"/>
      <c r="D361" s="56"/>
      <c r="E361" s="56"/>
      <c r="F361" s="56"/>
      <c r="G361" s="56"/>
      <c r="H361" s="56"/>
      <c r="I361" s="6"/>
      <c r="J361" s="6"/>
      <c r="K361" s="57"/>
      <c r="L361" s="57"/>
      <c r="M361" s="57"/>
      <c r="N361" s="56"/>
      <c r="O361" s="56"/>
      <c r="P361" s="56"/>
      <c r="Q361" s="56"/>
      <c r="R361" s="56"/>
      <c r="S361" s="56"/>
      <c r="T361" s="56"/>
      <c r="U361" s="56"/>
      <c r="V361" s="56"/>
      <c r="W361" s="56"/>
      <c r="X361" s="56"/>
      <c r="Y361" s="56"/>
      <c r="Z361" s="56"/>
      <c r="AA361" s="56"/>
      <c r="AB361" s="56"/>
      <c r="AC361" s="56"/>
      <c r="AD361" s="56"/>
      <c r="AE361" s="56"/>
      <c r="AF361" s="56"/>
      <c r="AG361" s="56"/>
      <c r="AH361" s="56"/>
      <c r="AI361" s="58"/>
      <c r="AJ361" s="56"/>
      <c r="AK361" s="56"/>
      <c r="AL361" s="56"/>
      <c r="AM361" s="57"/>
      <c r="AN361" s="57"/>
      <c r="AO361" s="56"/>
      <c r="AP361" s="56"/>
      <c r="AQ361" s="57"/>
      <c r="AR361" s="57"/>
      <c r="AS361" s="57"/>
      <c r="AT361" s="67">
        <f t="shared" ca="1" si="34"/>
        <v>0</v>
      </c>
      <c r="AU361" s="79" t="str">
        <f t="shared" ca="1" si="35"/>
        <v/>
      </c>
      <c r="AV361" s="79" t="str" cm="1">
        <f t="array" aca="1" ref="AV361" ca="1">IFERROR(_xlfn.IFS($AU361="","",$AU361&lt;=15,"0-15",AND($AU361&gt;=16,$AU361&lt;=30),"16-30",AND($AU361&gt;=31,$AU361&lt;=45),"31-45",AND($AU361&gt;=46,$AU361&lt;=60),"46-60",AND($AU361&gt;=61,$AU361&lt;=90),"61-90",AND($AU361&gt;=91),"&gt; 90",AND($AU361&gt;=2000),""),"")</f>
        <v/>
      </c>
      <c r="AW361" s="79" t="str" cm="1">
        <f t="array" aca="1" ref="AW361" ca="1">IFERROR(_xlfn.IFS(OR($M361="",$AM361=""),"",OR($C361="Offered",$C361="Joined"),($AM361-$M361)-$AT361),"")</f>
        <v/>
      </c>
      <c r="AX361" s="79" t="str" cm="1">
        <f t="array" aca="1" ref="AX361" ca="1">IFERROR(_xlfn.IFS(OR($M361="",$AS361=""),"",$C361="Joined",($AS361-$M361)-$AT361),"")</f>
        <v/>
      </c>
      <c r="AY361" s="67" t="str">
        <f>IFERROR(IF(COUNTIFS('Candidate Tracker'!$E:$E,'Positions Tracker'!$B361,'Candidate Tracker'!$C:$C,"Offer Drop")=0,"",COUNTIFS('Candidate Tracker'!$E:$E,'Positions Tracker'!$B361,'Candidate Tracker'!$C:$C,"Offer Drop")),"")</f>
        <v/>
      </c>
      <c r="AZ361" s="80">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0.88111888111888115</v>
      </c>
      <c r="BA361" s="81" t="str">
        <f>IFERROR(IF(COUNTIFS('Candidate Tracker'!$E:$E,'Positions Tracker'!$B361,'Candidate Tracker'!$I:$I,"Female")=0,"",COUNTIFS('Candidate Tracker'!$E:$E,'Positions Tracker'!$B361,'Candidate Tracker'!$I:$I,"Female")),"")</f>
        <v/>
      </c>
      <c r="BB361" s="81" t="str">
        <f>IFERROR(IF(COUNTIFS('Candidate Tracker'!$E:$E,'Positions Tracker'!$B361,'Candidate Tracker'!$I:$I,"male")=0,"",COUNTIFS('Candidate Tracker'!$E:$E,'Positions Tracker'!$B361,'Candidate Tracker'!$I:$I,"male")),"")</f>
        <v/>
      </c>
      <c r="BC361" s="80" t="str">
        <f>IFERROR(IF(COUNTIFS('Candidate Tracker'!$E:$E,'Positions Tracker'!$B361,'Candidate Tracker'!$C:$C,"&lt;&gt;WIP",'Candidate Tracker'!$C:$C,"&lt;&gt;Hold",'Candidate Tracker'!$C:$C,"&lt;&gt;Cancelled",'Candidate Tracker'!$C:$C,"&lt;&gt;Closed")/COUNTIFS('Candidate Tracker'!$E:$E,'Positions Tracker'!$B361)=0,"",COUNTIFS('Candidate Tracker'!$E:$E,'Positions Tracker'!$B361,'Candidate Tracker'!$C:$C,"&lt;&gt;WIP",'Candidate Tracker'!$C:$C,"&lt;&gt;Hold",'Candidate Tracker'!$C:$C,"&lt;&gt;Cancelled",'Candidate Tracker'!$C:$C,"&lt;&gt;Closed")/COUNTIFS('Candidate Tracker'!$E:$E,'Positions Tracker'!$B361)),"")</f>
        <v/>
      </c>
      <c r="BD361" s="67" t="str">
        <f t="shared" si="30"/>
        <v/>
      </c>
      <c r="BE361" s="67" t="str">
        <f t="shared" si="31"/>
        <v/>
      </c>
      <c r="BF361" s="67" t="str">
        <f t="shared" si="32"/>
        <v/>
      </c>
      <c r="BG361" s="67" t="str">
        <f t="shared" si="33"/>
        <v/>
      </c>
    </row>
    <row r="362" spans="1:59">
      <c r="A362" s="55"/>
      <c r="B362" s="56"/>
      <c r="C362" s="56"/>
      <c r="D362" s="56"/>
      <c r="E362" s="56"/>
      <c r="F362" s="56"/>
      <c r="G362" s="56"/>
      <c r="H362" s="56"/>
      <c r="I362" s="6"/>
      <c r="J362" s="6"/>
      <c r="K362" s="57"/>
      <c r="L362" s="57"/>
      <c r="M362" s="57"/>
      <c r="N362" s="56"/>
      <c r="O362" s="56"/>
      <c r="P362" s="56"/>
      <c r="Q362" s="56"/>
      <c r="R362" s="56"/>
      <c r="S362" s="56"/>
      <c r="T362" s="56"/>
      <c r="U362" s="56"/>
      <c r="V362" s="56"/>
      <c r="W362" s="56"/>
      <c r="X362" s="56"/>
      <c r="Y362" s="56"/>
      <c r="Z362" s="56"/>
      <c r="AA362" s="56"/>
      <c r="AB362" s="56"/>
      <c r="AC362" s="56"/>
      <c r="AD362" s="56"/>
      <c r="AE362" s="56"/>
      <c r="AF362" s="56"/>
      <c r="AG362" s="56"/>
      <c r="AH362" s="56"/>
      <c r="AI362" s="58"/>
      <c r="AJ362" s="56"/>
      <c r="AK362" s="56"/>
      <c r="AL362" s="56"/>
      <c r="AM362" s="57"/>
      <c r="AN362" s="57"/>
      <c r="AO362" s="56"/>
      <c r="AP362" s="56"/>
      <c r="AQ362" s="57"/>
      <c r="AR362" s="57"/>
      <c r="AS362" s="57"/>
      <c r="AT362" s="67">
        <f t="shared" ca="1" si="34"/>
        <v>0</v>
      </c>
      <c r="AU362" s="79" t="str">
        <f t="shared" ca="1" si="35"/>
        <v/>
      </c>
      <c r="AV362" s="79" t="str" cm="1">
        <f t="array" aca="1" ref="AV362" ca="1">IFERROR(_xlfn.IFS($AU362="","",$AU362&lt;=15,"0-15",AND($AU362&gt;=16,$AU362&lt;=30),"16-30",AND($AU362&gt;=31,$AU362&lt;=45),"31-45",AND($AU362&gt;=46,$AU362&lt;=60),"46-60",AND($AU362&gt;=61,$AU362&lt;=90),"61-90",AND($AU362&gt;=91),"&gt; 90",AND($AU362&gt;=2000),""),"")</f>
        <v/>
      </c>
      <c r="AW362" s="79" t="str" cm="1">
        <f t="array" aca="1" ref="AW362" ca="1">IFERROR(_xlfn.IFS(OR($M362="",$AM362=""),"",OR($C362="Offered",$C362="Joined"),($AM362-$M362)-$AT362),"")</f>
        <v/>
      </c>
      <c r="AX362" s="79" t="str" cm="1">
        <f t="array" aca="1" ref="AX362" ca="1">IFERROR(_xlfn.IFS(OR($M362="",$AS362=""),"",$C362="Joined",($AS362-$M362)-$AT362),"")</f>
        <v/>
      </c>
      <c r="AY362" s="67" t="str">
        <f>IFERROR(IF(COUNTIFS('Candidate Tracker'!$E:$E,'Positions Tracker'!$B362,'Candidate Tracker'!$C:$C,"Offer Drop")=0,"",COUNTIFS('Candidate Tracker'!$E:$E,'Positions Tracker'!$B362,'Candidate Tracker'!$C:$C,"Offer Drop")),"")</f>
        <v/>
      </c>
      <c r="AZ362" s="80">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0.88111888111888115</v>
      </c>
      <c r="BA362" s="81" t="str">
        <f>IFERROR(IF(COUNTIFS('Candidate Tracker'!$E:$E,'Positions Tracker'!$B362,'Candidate Tracker'!$I:$I,"Female")=0,"",COUNTIFS('Candidate Tracker'!$E:$E,'Positions Tracker'!$B362,'Candidate Tracker'!$I:$I,"Female")),"")</f>
        <v/>
      </c>
      <c r="BB362" s="81" t="str">
        <f>IFERROR(IF(COUNTIFS('Candidate Tracker'!$E:$E,'Positions Tracker'!$B362,'Candidate Tracker'!$I:$I,"male")=0,"",COUNTIFS('Candidate Tracker'!$E:$E,'Positions Tracker'!$B362,'Candidate Tracker'!$I:$I,"male")),"")</f>
        <v/>
      </c>
      <c r="BC362" s="80" t="str">
        <f>IFERROR(IF(COUNTIFS('Candidate Tracker'!$E:$E,'Positions Tracker'!$B362,'Candidate Tracker'!$C:$C,"&lt;&gt;WIP",'Candidate Tracker'!$C:$C,"&lt;&gt;Hold",'Candidate Tracker'!$C:$C,"&lt;&gt;Cancelled",'Candidate Tracker'!$C:$C,"&lt;&gt;Closed")/COUNTIFS('Candidate Tracker'!$E:$E,'Positions Tracker'!$B362)=0,"",COUNTIFS('Candidate Tracker'!$E:$E,'Positions Tracker'!$B362,'Candidate Tracker'!$C:$C,"&lt;&gt;WIP",'Candidate Tracker'!$C:$C,"&lt;&gt;Hold",'Candidate Tracker'!$C:$C,"&lt;&gt;Cancelled",'Candidate Tracker'!$C:$C,"&lt;&gt;Closed")/COUNTIFS('Candidate Tracker'!$E:$E,'Positions Tracker'!$B362)),"")</f>
        <v/>
      </c>
      <c r="BD362" s="67" t="str">
        <f t="shared" si="30"/>
        <v/>
      </c>
      <c r="BE362" s="67" t="str">
        <f t="shared" si="31"/>
        <v/>
      </c>
      <c r="BF362" s="67" t="str">
        <f t="shared" si="32"/>
        <v/>
      </c>
      <c r="BG362" s="67" t="str">
        <f t="shared" si="33"/>
        <v/>
      </c>
    </row>
    <row r="363" spans="1:59">
      <c r="A363" s="55"/>
      <c r="B363" s="56"/>
      <c r="C363" s="56"/>
      <c r="D363" s="56"/>
      <c r="E363" s="56"/>
      <c r="F363" s="56"/>
      <c r="G363" s="56"/>
      <c r="H363" s="56"/>
      <c r="I363" s="6"/>
      <c r="J363" s="6"/>
      <c r="K363" s="57"/>
      <c r="L363" s="57"/>
      <c r="M363" s="57"/>
      <c r="N363" s="56"/>
      <c r="O363" s="56"/>
      <c r="P363" s="56"/>
      <c r="Q363" s="56"/>
      <c r="R363" s="56"/>
      <c r="S363" s="56"/>
      <c r="T363" s="56"/>
      <c r="U363" s="56"/>
      <c r="V363" s="56"/>
      <c r="W363" s="56"/>
      <c r="X363" s="56"/>
      <c r="Y363" s="56"/>
      <c r="Z363" s="56"/>
      <c r="AA363" s="56"/>
      <c r="AB363" s="56"/>
      <c r="AC363" s="56"/>
      <c r="AD363" s="56"/>
      <c r="AE363" s="56"/>
      <c r="AF363" s="56"/>
      <c r="AG363" s="56"/>
      <c r="AH363" s="56"/>
      <c r="AI363" s="58"/>
      <c r="AJ363" s="56"/>
      <c r="AK363" s="56"/>
      <c r="AL363" s="56"/>
      <c r="AM363" s="57"/>
      <c r="AN363" s="57"/>
      <c r="AO363" s="56"/>
      <c r="AP363" s="56"/>
      <c r="AQ363" s="57"/>
      <c r="AR363" s="57"/>
      <c r="AS363" s="57"/>
      <c r="AT363" s="67">
        <f t="shared" ca="1" si="34"/>
        <v>0</v>
      </c>
      <c r="AU363" s="79" t="str">
        <f t="shared" ca="1" si="35"/>
        <v/>
      </c>
      <c r="AV363" s="79" t="str" cm="1">
        <f t="array" aca="1" ref="AV363" ca="1">IFERROR(_xlfn.IFS($AU363="","",$AU363&lt;=15,"0-15",AND($AU363&gt;=16,$AU363&lt;=30),"16-30",AND($AU363&gt;=31,$AU363&lt;=45),"31-45",AND($AU363&gt;=46,$AU363&lt;=60),"46-60",AND($AU363&gt;=61,$AU363&lt;=90),"61-90",AND($AU363&gt;=91),"&gt; 90",AND($AU363&gt;=2000),""),"")</f>
        <v/>
      </c>
      <c r="AW363" s="79" t="str" cm="1">
        <f t="array" aca="1" ref="AW363" ca="1">IFERROR(_xlfn.IFS(OR($M363="",$AM363=""),"",OR($C363="Offered",$C363="Joined"),($AM363-$M363)-$AT363),"")</f>
        <v/>
      </c>
      <c r="AX363" s="79" t="str" cm="1">
        <f t="array" aca="1" ref="AX363" ca="1">IFERROR(_xlfn.IFS(OR($M363="",$AS363=""),"",$C363="Joined",($AS363-$M363)-$AT363),"")</f>
        <v/>
      </c>
      <c r="AY363" s="67" t="str">
        <f>IFERROR(IF(COUNTIFS('Candidate Tracker'!$E:$E,'Positions Tracker'!$B363,'Candidate Tracker'!$C:$C,"Offer Drop")=0,"",COUNTIFS('Candidate Tracker'!$E:$E,'Positions Tracker'!$B363,'Candidate Tracker'!$C:$C,"Offer Drop")),"")</f>
        <v/>
      </c>
      <c r="AZ363" s="80">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0.88111888111888115</v>
      </c>
      <c r="BA363" s="81" t="str">
        <f>IFERROR(IF(COUNTIFS('Candidate Tracker'!$E:$E,'Positions Tracker'!$B363,'Candidate Tracker'!$I:$I,"Female")=0,"",COUNTIFS('Candidate Tracker'!$E:$E,'Positions Tracker'!$B363,'Candidate Tracker'!$I:$I,"Female")),"")</f>
        <v/>
      </c>
      <c r="BB363" s="81" t="str">
        <f>IFERROR(IF(COUNTIFS('Candidate Tracker'!$E:$E,'Positions Tracker'!$B363,'Candidate Tracker'!$I:$I,"male")=0,"",COUNTIFS('Candidate Tracker'!$E:$E,'Positions Tracker'!$B363,'Candidate Tracker'!$I:$I,"male")),"")</f>
        <v/>
      </c>
      <c r="BC363" s="80" t="str">
        <f>IFERROR(IF(COUNTIFS('Candidate Tracker'!$E:$E,'Positions Tracker'!$B363,'Candidate Tracker'!$C:$C,"&lt;&gt;WIP",'Candidate Tracker'!$C:$C,"&lt;&gt;Hold",'Candidate Tracker'!$C:$C,"&lt;&gt;Cancelled",'Candidate Tracker'!$C:$C,"&lt;&gt;Closed")/COUNTIFS('Candidate Tracker'!$E:$E,'Positions Tracker'!$B363)=0,"",COUNTIFS('Candidate Tracker'!$E:$E,'Positions Tracker'!$B363,'Candidate Tracker'!$C:$C,"&lt;&gt;WIP",'Candidate Tracker'!$C:$C,"&lt;&gt;Hold",'Candidate Tracker'!$C:$C,"&lt;&gt;Cancelled",'Candidate Tracker'!$C:$C,"&lt;&gt;Closed")/COUNTIFS('Candidate Tracker'!$E:$E,'Positions Tracker'!$B363)),"")</f>
        <v/>
      </c>
      <c r="BD363" s="67" t="str">
        <f t="shared" si="30"/>
        <v/>
      </c>
      <c r="BE363" s="67" t="str">
        <f t="shared" si="31"/>
        <v/>
      </c>
      <c r="BF363" s="67" t="str">
        <f t="shared" si="32"/>
        <v/>
      </c>
      <c r="BG363" s="67" t="str">
        <f t="shared" si="33"/>
        <v/>
      </c>
    </row>
    <row r="364" spans="1:59">
      <c r="A364" s="55"/>
      <c r="B364" s="56"/>
      <c r="C364" s="56"/>
      <c r="D364" s="56"/>
      <c r="E364" s="56"/>
      <c r="F364" s="56"/>
      <c r="G364" s="56"/>
      <c r="H364" s="56"/>
      <c r="I364" s="6"/>
      <c r="J364" s="6"/>
      <c r="K364" s="57"/>
      <c r="L364" s="57"/>
      <c r="M364" s="57"/>
      <c r="N364" s="56"/>
      <c r="O364" s="56"/>
      <c r="P364" s="56"/>
      <c r="Q364" s="56"/>
      <c r="R364" s="56"/>
      <c r="S364" s="56"/>
      <c r="T364" s="56"/>
      <c r="U364" s="56"/>
      <c r="V364" s="56"/>
      <c r="W364" s="56"/>
      <c r="X364" s="56"/>
      <c r="Y364" s="56"/>
      <c r="Z364" s="56"/>
      <c r="AA364" s="56"/>
      <c r="AB364" s="56"/>
      <c r="AC364" s="56"/>
      <c r="AD364" s="56"/>
      <c r="AE364" s="56"/>
      <c r="AF364" s="56"/>
      <c r="AG364" s="56"/>
      <c r="AH364" s="56"/>
      <c r="AI364" s="58"/>
      <c r="AJ364" s="56"/>
      <c r="AK364" s="56"/>
      <c r="AL364" s="56"/>
      <c r="AM364" s="57"/>
      <c r="AN364" s="57"/>
      <c r="AO364" s="56"/>
      <c r="AP364" s="56"/>
      <c r="AQ364" s="57"/>
      <c r="AR364" s="57"/>
      <c r="AS364" s="57"/>
      <c r="AT364" s="67">
        <f t="shared" ca="1" si="34"/>
        <v>0</v>
      </c>
      <c r="AU364" s="79" t="str">
        <f t="shared" ca="1" si="35"/>
        <v/>
      </c>
      <c r="AV364" s="79" t="str" cm="1">
        <f t="array" aca="1" ref="AV364" ca="1">IFERROR(_xlfn.IFS($AU364="","",$AU364&lt;=15,"0-15",AND($AU364&gt;=16,$AU364&lt;=30),"16-30",AND($AU364&gt;=31,$AU364&lt;=45),"31-45",AND($AU364&gt;=46,$AU364&lt;=60),"46-60",AND($AU364&gt;=61,$AU364&lt;=90),"61-90",AND($AU364&gt;=91),"&gt; 90",AND($AU364&gt;=2000),""),"")</f>
        <v/>
      </c>
      <c r="AW364" s="79" t="str" cm="1">
        <f t="array" aca="1" ref="AW364" ca="1">IFERROR(_xlfn.IFS(OR($M364="",$AM364=""),"",OR($C364="Offered",$C364="Joined"),($AM364-$M364)-$AT364),"")</f>
        <v/>
      </c>
      <c r="AX364" s="79" t="str" cm="1">
        <f t="array" aca="1" ref="AX364" ca="1">IFERROR(_xlfn.IFS(OR($M364="",$AS364=""),"",$C364="Joined",($AS364-$M364)-$AT364),"")</f>
        <v/>
      </c>
      <c r="AY364" s="67" t="str">
        <f>IFERROR(IF(COUNTIFS('Candidate Tracker'!$E:$E,'Positions Tracker'!$B364,'Candidate Tracker'!$C:$C,"Offer Drop")=0,"",COUNTIFS('Candidate Tracker'!$E:$E,'Positions Tracker'!$B364,'Candidate Tracker'!$C:$C,"Offer Drop")),"")</f>
        <v/>
      </c>
      <c r="AZ364" s="80">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0.88111888111888115</v>
      </c>
      <c r="BA364" s="81" t="str">
        <f>IFERROR(IF(COUNTIFS('Candidate Tracker'!$E:$E,'Positions Tracker'!$B364,'Candidate Tracker'!$I:$I,"Female")=0,"",COUNTIFS('Candidate Tracker'!$E:$E,'Positions Tracker'!$B364,'Candidate Tracker'!$I:$I,"Female")),"")</f>
        <v/>
      </c>
      <c r="BB364" s="81" t="str">
        <f>IFERROR(IF(COUNTIFS('Candidate Tracker'!$E:$E,'Positions Tracker'!$B364,'Candidate Tracker'!$I:$I,"male")=0,"",COUNTIFS('Candidate Tracker'!$E:$E,'Positions Tracker'!$B364,'Candidate Tracker'!$I:$I,"male")),"")</f>
        <v/>
      </c>
      <c r="BC364" s="80" t="str">
        <f>IFERROR(IF(COUNTIFS('Candidate Tracker'!$E:$E,'Positions Tracker'!$B364,'Candidate Tracker'!$C:$C,"&lt;&gt;WIP",'Candidate Tracker'!$C:$C,"&lt;&gt;Hold",'Candidate Tracker'!$C:$C,"&lt;&gt;Cancelled",'Candidate Tracker'!$C:$C,"&lt;&gt;Closed")/COUNTIFS('Candidate Tracker'!$E:$E,'Positions Tracker'!$B364)=0,"",COUNTIFS('Candidate Tracker'!$E:$E,'Positions Tracker'!$B364,'Candidate Tracker'!$C:$C,"&lt;&gt;WIP",'Candidate Tracker'!$C:$C,"&lt;&gt;Hold",'Candidate Tracker'!$C:$C,"&lt;&gt;Cancelled",'Candidate Tracker'!$C:$C,"&lt;&gt;Closed")/COUNTIFS('Candidate Tracker'!$E:$E,'Positions Tracker'!$B364)),"")</f>
        <v/>
      </c>
      <c r="BD364" s="67" t="str">
        <f t="shared" si="30"/>
        <v/>
      </c>
      <c r="BE364" s="67" t="str">
        <f t="shared" si="31"/>
        <v/>
      </c>
      <c r="BF364" s="67" t="str">
        <f t="shared" si="32"/>
        <v/>
      </c>
      <c r="BG364" s="67" t="str">
        <f t="shared" si="33"/>
        <v/>
      </c>
    </row>
    <row r="365" spans="1:59">
      <c r="A365" s="55"/>
      <c r="B365" s="56"/>
      <c r="C365" s="56"/>
      <c r="D365" s="56"/>
      <c r="E365" s="56"/>
      <c r="F365" s="56"/>
      <c r="G365" s="56"/>
      <c r="H365" s="56"/>
      <c r="I365" s="6"/>
      <c r="J365" s="6"/>
      <c r="K365" s="57"/>
      <c r="L365" s="57"/>
      <c r="M365" s="57"/>
      <c r="N365" s="56"/>
      <c r="O365" s="56"/>
      <c r="P365" s="56"/>
      <c r="Q365" s="56"/>
      <c r="R365" s="56"/>
      <c r="S365" s="56"/>
      <c r="T365" s="56"/>
      <c r="U365" s="56"/>
      <c r="V365" s="56"/>
      <c r="W365" s="56"/>
      <c r="X365" s="56"/>
      <c r="Y365" s="56"/>
      <c r="Z365" s="56"/>
      <c r="AA365" s="56"/>
      <c r="AB365" s="56"/>
      <c r="AC365" s="56"/>
      <c r="AD365" s="56"/>
      <c r="AE365" s="56"/>
      <c r="AF365" s="56"/>
      <c r="AG365" s="56"/>
      <c r="AH365" s="56"/>
      <c r="AI365" s="58"/>
      <c r="AJ365" s="56"/>
      <c r="AK365" s="56"/>
      <c r="AL365" s="56"/>
      <c r="AM365" s="57"/>
      <c r="AN365" s="57"/>
      <c r="AO365" s="56"/>
      <c r="AP365" s="56"/>
      <c r="AQ365" s="57"/>
      <c r="AR365" s="57"/>
      <c r="AS365" s="57"/>
      <c r="AT365" s="67">
        <f t="shared" ca="1" si="34"/>
        <v>0</v>
      </c>
      <c r="AU365" s="79" t="str">
        <f t="shared" ca="1" si="35"/>
        <v/>
      </c>
      <c r="AV365" s="79" t="str" cm="1">
        <f t="array" aca="1" ref="AV365" ca="1">IFERROR(_xlfn.IFS($AU365="","",$AU365&lt;=15,"0-15",AND($AU365&gt;=16,$AU365&lt;=30),"16-30",AND($AU365&gt;=31,$AU365&lt;=45),"31-45",AND($AU365&gt;=46,$AU365&lt;=60),"46-60",AND($AU365&gt;=61,$AU365&lt;=90),"61-90",AND($AU365&gt;=91),"&gt; 90",AND($AU365&gt;=2000),""),"")</f>
        <v/>
      </c>
      <c r="AW365" s="79" t="str" cm="1">
        <f t="array" aca="1" ref="AW365" ca="1">IFERROR(_xlfn.IFS(OR($M365="",$AM365=""),"",OR($C365="Offered",$C365="Joined"),($AM365-$M365)-$AT365),"")</f>
        <v/>
      </c>
      <c r="AX365" s="79" t="str" cm="1">
        <f t="array" aca="1" ref="AX365" ca="1">IFERROR(_xlfn.IFS(OR($M365="",$AS365=""),"",$C365="Joined",($AS365-$M365)-$AT365),"")</f>
        <v/>
      </c>
      <c r="AY365" s="67" t="str">
        <f>IFERROR(IF(COUNTIFS('Candidate Tracker'!$E:$E,'Positions Tracker'!$B365,'Candidate Tracker'!$C:$C,"Offer Drop")=0,"",COUNTIFS('Candidate Tracker'!$E:$E,'Positions Tracker'!$B365,'Candidate Tracker'!$C:$C,"Offer Drop")),"")</f>
        <v/>
      </c>
      <c r="AZ365" s="80">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0.88111888111888115</v>
      </c>
      <c r="BA365" s="81" t="str">
        <f>IFERROR(IF(COUNTIFS('Candidate Tracker'!$E:$E,'Positions Tracker'!$B365,'Candidate Tracker'!$I:$I,"Female")=0,"",COUNTIFS('Candidate Tracker'!$E:$E,'Positions Tracker'!$B365,'Candidate Tracker'!$I:$I,"Female")),"")</f>
        <v/>
      </c>
      <c r="BB365" s="81" t="str">
        <f>IFERROR(IF(COUNTIFS('Candidate Tracker'!$E:$E,'Positions Tracker'!$B365,'Candidate Tracker'!$I:$I,"male")=0,"",COUNTIFS('Candidate Tracker'!$E:$E,'Positions Tracker'!$B365,'Candidate Tracker'!$I:$I,"male")),"")</f>
        <v/>
      </c>
      <c r="BC365" s="80" t="str">
        <f>IFERROR(IF(COUNTIFS('Candidate Tracker'!$E:$E,'Positions Tracker'!$B365,'Candidate Tracker'!$C:$C,"&lt;&gt;WIP",'Candidate Tracker'!$C:$C,"&lt;&gt;Hold",'Candidate Tracker'!$C:$C,"&lt;&gt;Cancelled",'Candidate Tracker'!$C:$C,"&lt;&gt;Closed")/COUNTIFS('Candidate Tracker'!$E:$E,'Positions Tracker'!$B365)=0,"",COUNTIFS('Candidate Tracker'!$E:$E,'Positions Tracker'!$B365,'Candidate Tracker'!$C:$C,"&lt;&gt;WIP",'Candidate Tracker'!$C:$C,"&lt;&gt;Hold",'Candidate Tracker'!$C:$C,"&lt;&gt;Cancelled",'Candidate Tracker'!$C:$C,"&lt;&gt;Closed")/COUNTIFS('Candidate Tracker'!$E:$E,'Positions Tracker'!$B365)),"")</f>
        <v/>
      </c>
      <c r="BD365" s="67" t="str">
        <f t="shared" si="30"/>
        <v/>
      </c>
      <c r="BE365" s="67" t="str">
        <f t="shared" si="31"/>
        <v/>
      </c>
      <c r="BF365" s="67" t="str">
        <f t="shared" si="32"/>
        <v/>
      </c>
      <c r="BG365" s="67" t="str">
        <f t="shared" si="33"/>
        <v/>
      </c>
    </row>
    <row r="366" spans="1:59">
      <c r="A366" s="55"/>
      <c r="B366" s="56"/>
      <c r="C366" s="56"/>
      <c r="D366" s="56"/>
      <c r="E366" s="56"/>
      <c r="F366" s="56"/>
      <c r="G366" s="56"/>
      <c r="H366" s="56"/>
      <c r="I366" s="6"/>
      <c r="J366" s="6"/>
      <c r="K366" s="57"/>
      <c r="L366" s="57"/>
      <c r="M366" s="57"/>
      <c r="N366" s="56"/>
      <c r="O366" s="56"/>
      <c r="P366" s="56"/>
      <c r="Q366" s="56"/>
      <c r="R366" s="56"/>
      <c r="S366" s="56"/>
      <c r="T366" s="56"/>
      <c r="U366" s="56"/>
      <c r="V366" s="56"/>
      <c r="W366" s="56"/>
      <c r="X366" s="56"/>
      <c r="Y366" s="56"/>
      <c r="Z366" s="56"/>
      <c r="AA366" s="56"/>
      <c r="AB366" s="56"/>
      <c r="AC366" s="56"/>
      <c r="AD366" s="56"/>
      <c r="AE366" s="56"/>
      <c r="AF366" s="56"/>
      <c r="AG366" s="56"/>
      <c r="AH366" s="56"/>
      <c r="AI366" s="58"/>
      <c r="AJ366" s="56"/>
      <c r="AK366" s="56"/>
      <c r="AL366" s="56"/>
      <c r="AM366" s="57"/>
      <c r="AN366" s="57"/>
      <c r="AO366" s="56"/>
      <c r="AP366" s="56"/>
      <c r="AQ366" s="57"/>
      <c r="AR366" s="57"/>
      <c r="AS366" s="57"/>
      <c r="AT366" s="67">
        <f t="shared" ca="1" si="34"/>
        <v>0</v>
      </c>
      <c r="AU366" s="79" t="str">
        <f t="shared" ca="1" si="35"/>
        <v/>
      </c>
      <c r="AV366" s="79" t="str" cm="1">
        <f t="array" aca="1" ref="AV366" ca="1">IFERROR(_xlfn.IFS($AU366="","",$AU366&lt;=15,"0-15",AND($AU366&gt;=16,$AU366&lt;=30),"16-30",AND($AU366&gt;=31,$AU366&lt;=45),"31-45",AND($AU366&gt;=46,$AU366&lt;=60),"46-60",AND($AU366&gt;=61,$AU366&lt;=90),"61-90",AND($AU366&gt;=91),"&gt; 90",AND($AU366&gt;=2000),""),"")</f>
        <v/>
      </c>
      <c r="AW366" s="79" t="str" cm="1">
        <f t="array" aca="1" ref="AW366" ca="1">IFERROR(_xlfn.IFS(OR($M366="",$AM366=""),"",OR($C366="Offered",$C366="Joined"),($AM366-$M366)-$AT366),"")</f>
        <v/>
      </c>
      <c r="AX366" s="79" t="str" cm="1">
        <f t="array" aca="1" ref="AX366" ca="1">IFERROR(_xlfn.IFS(OR($M366="",$AS366=""),"",$C366="Joined",($AS366-$M366)-$AT366),"")</f>
        <v/>
      </c>
      <c r="AY366" s="67" t="str">
        <f>IFERROR(IF(COUNTIFS('Candidate Tracker'!$E:$E,'Positions Tracker'!$B366,'Candidate Tracker'!$C:$C,"Offer Drop")=0,"",COUNTIFS('Candidate Tracker'!$E:$E,'Positions Tracker'!$B366,'Candidate Tracker'!$C:$C,"Offer Drop")),"")</f>
        <v/>
      </c>
      <c r="AZ366" s="80">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0.88111888111888115</v>
      </c>
      <c r="BA366" s="81" t="str">
        <f>IFERROR(IF(COUNTIFS('Candidate Tracker'!$E:$E,'Positions Tracker'!$B366,'Candidate Tracker'!$I:$I,"Female")=0,"",COUNTIFS('Candidate Tracker'!$E:$E,'Positions Tracker'!$B366,'Candidate Tracker'!$I:$I,"Female")),"")</f>
        <v/>
      </c>
      <c r="BB366" s="81" t="str">
        <f>IFERROR(IF(COUNTIFS('Candidate Tracker'!$E:$E,'Positions Tracker'!$B366,'Candidate Tracker'!$I:$I,"male")=0,"",COUNTIFS('Candidate Tracker'!$E:$E,'Positions Tracker'!$B366,'Candidate Tracker'!$I:$I,"male")),"")</f>
        <v/>
      </c>
      <c r="BC366" s="80" t="str">
        <f>IFERROR(IF(COUNTIFS('Candidate Tracker'!$E:$E,'Positions Tracker'!$B366,'Candidate Tracker'!$C:$C,"&lt;&gt;WIP",'Candidate Tracker'!$C:$C,"&lt;&gt;Hold",'Candidate Tracker'!$C:$C,"&lt;&gt;Cancelled",'Candidate Tracker'!$C:$C,"&lt;&gt;Closed")/COUNTIFS('Candidate Tracker'!$E:$E,'Positions Tracker'!$B366)=0,"",COUNTIFS('Candidate Tracker'!$E:$E,'Positions Tracker'!$B366,'Candidate Tracker'!$C:$C,"&lt;&gt;WIP",'Candidate Tracker'!$C:$C,"&lt;&gt;Hold",'Candidate Tracker'!$C:$C,"&lt;&gt;Cancelled",'Candidate Tracker'!$C:$C,"&lt;&gt;Closed")/COUNTIFS('Candidate Tracker'!$E:$E,'Positions Tracker'!$B366)),"")</f>
        <v/>
      </c>
      <c r="BD366" s="67" t="str">
        <f t="shared" si="30"/>
        <v/>
      </c>
      <c r="BE366" s="67" t="str">
        <f t="shared" si="31"/>
        <v/>
      </c>
      <c r="BF366" s="67" t="str">
        <f t="shared" si="32"/>
        <v/>
      </c>
      <c r="BG366" s="67" t="str">
        <f t="shared" si="33"/>
        <v/>
      </c>
    </row>
    <row r="367" spans="1:59">
      <c r="A367" s="55"/>
      <c r="B367" s="56"/>
      <c r="C367" s="56"/>
      <c r="D367" s="56"/>
      <c r="E367" s="56"/>
      <c r="F367" s="56"/>
      <c r="G367" s="56"/>
      <c r="H367" s="56"/>
      <c r="I367" s="6"/>
      <c r="J367" s="6"/>
      <c r="K367" s="57"/>
      <c r="L367" s="57"/>
      <c r="M367" s="57"/>
      <c r="N367" s="56"/>
      <c r="O367" s="56"/>
      <c r="P367" s="56"/>
      <c r="Q367" s="56"/>
      <c r="R367" s="56"/>
      <c r="S367" s="56"/>
      <c r="T367" s="56"/>
      <c r="U367" s="56"/>
      <c r="V367" s="56"/>
      <c r="W367" s="56"/>
      <c r="X367" s="56"/>
      <c r="Y367" s="56"/>
      <c r="Z367" s="56"/>
      <c r="AA367" s="56"/>
      <c r="AB367" s="56"/>
      <c r="AC367" s="56"/>
      <c r="AD367" s="56"/>
      <c r="AE367" s="56"/>
      <c r="AF367" s="56"/>
      <c r="AG367" s="56"/>
      <c r="AH367" s="56"/>
      <c r="AI367" s="58"/>
      <c r="AJ367" s="56"/>
      <c r="AK367" s="56"/>
      <c r="AL367" s="56"/>
      <c r="AM367" s="57"/>
      <c r="AN367" s="57"/>
      <c r="AO367" s="56"/>
      <c r="AP367" s="56"/>
      <c r="AQ367" s="57"/>
      <c r="AR367" s="57"/>
      <c r="AS367" s="57"/>
      <c r="AT367" s="67">
        <f t="shared" ca="1" si="34"/>
        <v>0</v>
      </c>
      <c r="AU367" s="79" t="str">
        <f t="shared" ca="1" si="35"/>
        <v/>
      </c>
      <c r="AV367" s="79" t="str" cm="1">
        <f t="array" aca="1" ref="AV367" ca="1">IFERROR(_xlfn.IFS($AU367="","",$AU367&lt;=15,"0-15",AND($AU367&gt;=16,$AU367&lt;=30),"16-30",AND($AU367&gt;=31,$AU367&lt;=45),"31-45",AND($AU367&gt;=46,$AU367&lt;=60),"46-60",AND($AU367&gt;=61,$AU367&lt;=90),"61-90",AND($AU367&gt;=91),"&gt; 90",AND($AU367&gt;=2000),""),"")</f>
        <v/>
      </c>
      <c r="AW367" s="79" t="str" cm="1">
        <f t="array" aca="1" ref="AW367" ca="1">IFERROR(_xlfn.IFS(OR($M367="",$AM367=""),"",OR($C367="Offered",$C367="Joined"),($AM367-$M367)-$AT367),"")</f>
        <v/>
      </c>
      <c r="AX367" s="79" t="str" cm="1">
        <f t="array" aca="1" ref="AX367" ca="1">IFERROR(_xlfn.IFS(OR($M367="",$AS367=""),"",$C367="Joined",($AS367-$M367)-$AT367),"")</f>
        <v/>
      </c>
      <c r="AY367" s="67" t="str">
        <f>IFERROR(IF(COUNTIFS('Candidate Tracker'!$E:$E,'Positions Tracker'!$B367,'Candidate Tracker'!$C:$C,"Offer Drop")=0,"",COUNTIFS('Candidate Tracker'!$E:$E,'Positions Tracker'!$B367,'Candidate Tracker'!$C:$C,"Offer Drop")),"")</f>
        <v/>
      </c>
      <c r="AZ367" s="80">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0.88111888111888115</v>
      </c>
      <c r="BA367" s="81" t="str">
        <f>IFERROR(IF(COUNTIFS('Candidate Tracker'!$E:$E,'Positions Tracker'!$B367,'Candidate Tracker'!$I:$I,"Female")=0,"",COUNTIFS('Candidate Tracker'!$E:$E,'Positions Tracker'!$B367,'Candidate Tracker'!$I:$I,"Female")),"")</f>
        <v/>
      </c>
      <c r="BB367" s="81" t="str">
        <f>IFERROR(IF(COUNTIFS('Candidate Tracker'!$E:$E,'Positions Tracker'!$B367,'Candidate Tracker'!$I:$I,"male")=0,"",COUNTIFS('Candidate Tracker'!$E:$E,'Positions Tracker'!$B367,'Candidate Tracker'!$I:$I,"male")),"")</f>
        <v/>
      </c>
      <c r="BC367" s="80" t="str">
        <f>IFERROR(IF(COUNTIFS('Candidate Tracker'!$E:$E,'Positions Tracker'!$B367,'Candidate Tracker'!$C:$C,"&lt;&gt;WIP",'Candidate Tracker'!$C:$C,"&lt;&gt;Hold",'Candidate Tracker'!$C:$C,"&lt;&gt;Cancelled",'Candidate Tracker'!$C:$C,"&lt;&gt;Closed")/COUNTIFS('Candidate Tracker'!$E:$E,'Positions Tracker'!$B367)=0,"",COUNTIFS('Candidate Tracker'!$E:$E,'Positions Tracker'!$B367,'Candidate Tracker'!$C:$C,"&lt;&gt;WIP",'Candidate Tracker'!$C:$C,"&lt;&gt;Hold",'Candidate Tracker'!$C:$C,"&lt;&gt;Cancelled",'Candidate Tracker'!$C:$C,"&lt;&gt;Closed")/COUNTIFS('Candidate Tracker'!$E:$E,'Positions Tracker'!$B367)),"")</f>
        <v/>
      </c>
      <c r="BD367" s="67" t="str">
        <f t="shared" si="30"/>
        <v/>
      </c>
      <c r="BE367" s="67" t="str">
        <f t="shared" si="31"/>
        <v/>
      </c>
      <c r="BF367" s="67" t="str">
        <f t="shared" si="32"/>
        <v/>
      </c>
      <c r="BG367" s="67" t="str">
        <f t="shared" si="33"/>
        <v/>
      </c>
    </row>
    <row r="368" spans="1:59">
      <c r="A368" s="55"/>
      <c r="B368" s="56"/>
      <c r="C368" s="56"/>
      <c r="D368" s="56"/>
      <c r="E368" s="56"/>
      <c r="F368" s="56"/>
      <c r="G368" s="56"/>
      <c r="H368" s="56"/>
      <c r="I368" s="6"/>
      <c r="J368" s="6"/>
      <c r="K368" s="57"/>
      <c r="L368" s="57"/>
      <c r="M368" s="57"/>
      <c r="N368" s="56"/>
      <c r="O368" s="56"/>
      <c r="P368" s="56"/>
      <c r="Q368" s="56"/>
      <c r="R368" s="56"/>
      <c r="S368" s="56"/>
      <c r="T368" s="56"/>
      <c r="U368" s="56"/>
      <c r="V368" s="56"/>
      <c r="W368" s="56"/>
      <c r="X368" s="56"/>
      <c r="Y368" s="56"/>
      <c r="Z368" s="56"/>
      <c r="AA368" s="56"/>
      <c r="AB368" s="56"/>
      <c r="AC368" s="56"/>
      <c r="AD368" s="56"/>
      <c r="AE368" s="56"/>
      <c r="AF368" s="56"/>
      <c r="AG368" s="56"/>
      <c r="AH368" s="56"/>
      <c r="AI368" s="58"/>
      <c r="AJ368" s="56"/>
      <c r="AK368" s="56"/>
      <c r="AL368" s="56"/>
      <c r="AM368" s="57"/>
      <c r="AN368" s="57"/>
      <c r="AO368" s="56"/>
      <c r="AP368" s="56"/>
      <c r="AQ368" s="57"/>
      <c r="AR368" s="57"/>
      <c r="AS368" s="57"/>
      <c r="AT368" s="67">
        <f t="shared" ca="1" si="34"/>
        <v>0</v>
      </c>
      <c r="AU368" s="79" t="str">
        <f t="shared" ca="1" si="35"/>
        <v/>
      </c>
      <c r="AV368" s="79" t="str" cm="1">
        <f t="array" aca="1" ref="AV368" ca="1">IFERROR(_xlfn.IFS($AU368="","",$AU368&lt;=15,"0-15",AND($AU368&gt;=16,$AU368&lt;=30),"16-30",AND($AU368&gt;=31,$AU368&lt;=45),"31-45",AND($AU368&gt;=46,$AU368&lt;=60),"46-60",AND($AU368&gt;=61,$AU368&lt;=90),"61-90",AND($AU368&gt;=91),"&gt; 90",AND($AU368&gt;=2000),""),"")</f>
        <v/>
      </c>
      <c r="AW368" s="79" t="str" cm="1">
        <f t="array" aca="1" ref="AW368" ca="1">IFERROR(_xlfn.IFS(OR($M368="",$AM368=""),"",OR($C368="Offered",$C368="Joined"),($AM368-$M368)-$AT368),"")</f>
        <v/>
      </c>
      <c r="AX368" s="79" t="str" cm="1">
        <f t="array" aca="1" ref="AX368" ca="1">IFERROR(_xlfn.IFS(OR($M368="",$AS368=""),"",$C368="Joined",($AS368-$M368)-$AT368),"")</f>
        <v/>
      </c>
      <c r="AY368" s="67" t="str">
        <f>IFERROR(IF(COUNTIFS('Candidate Tracker'!$E:$E,'Positions Tracker'!$B368,'Candidate Tracker'!$C:$C,"Offer Drop")=0,"",COUNTIFS('Candidate Tracker'!$E:$E,'Positions Tracker'!$B368,'Candidate Tracker'!$C:$C,"Offer Drop")),"")</f>
        <v/>
      </c>
      <c r="AZ368" s="80">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0.88111888111888115</v>
      </c>
      <c r="BA368" s="81" t="str">
        <f>IFERROR(IF(COUNTIFS('Candidate Tracker'!$E:$E,'Positions Tracker'!$B368,'Candidate Tracker'!$I:$I,"Female")=0,"",COUNTIFS('Candidate Tracker'!$E:$E,'Positions Tracker'!$B368,'Candidate Tracker'!$I:$I,"Female")),"")</f>
        <v/>
      </c>
      <c r="BB368" s="81" t="str">
        <f>IFERROR(IF(COUNTIFS('Candidate Tracker'!$E:$E,'Positions Tracker'!$B368,'Candidate Tracker'!$I:$I,"male")=0,"",COUNTIFS('Candidate Tracker'!$E:$E,'Positions Tracker'!$B368,'Candidate Tracker'!$I:$I,"male")),"")</f>
        <v/>
      </c>
      <c r="BC368" s="80" t="str">
        <f>IFERROR(IF(COUNTIFS('Candidate Tracker'!$E:$E,'Positions Tracker'!$B368,'Candidate Tracker'!$C:$C,"&lt;&gt;WIP",'Candidate Tracker'!$C:$C,"&lt;&gt;Hold",'Candidate Tracker'!$C:$C,"&lt;&gt;Cancelled",'Candidate Tracker'!$C:$C,"&lt;&gt;Closed")/COUNTIFS('Candidate Tracker'!$E:$E,'Positions Tracker'!$B368)=0,"",COUNTIFS('Candidate Tracker'!$E:$E,'Positions Tracker'!$B368,'Candidate Tracker'!$C:$C,"&lt;&gt;WIP",'Candidate Tracker'!$C:$C,"&lt;&gt;Hold",'Candidate Tracker'!$C:$C,"&lt;&gt;Cancelled",'Candidate Tracker'!$C:$C,"&lt;&gt;Closed")/COUNTIFS('Candidate Tracker'!$E:$E,'Positions Tracker'!$B368)),"")</f>
        <v/>
      </c>
      <c r="BD368" s="67" t="str">
        <f t="shared" si="30"/>
        <v/>
      </c>
      <c r="BE368" s="67" t="str">
        <f t="shared" si="31"/>
        <v/>
      </c>
      <c r="BF368" s="67" t="str">
        <f t="shared" si="32"/>
        <v/>
      </c>
      <c r="BG368" s="67" t="str">
        <f t="shared" si="33"/>
        <v/>
      </c>
    </row>
    <row r="369" spans="1:59">
      <c r="A369" s="55"/>
      <c r="B369" s="56"/>
      <c r="C369" s="56"/>
      <c r="D369" s="56"/>
      <c r="E369" s="56"/>
      <c r="F369" s="56"/>
      <c r="G369" s="56"/>
      <c r="H369" s="56"/>
      <c r="I369" s="6"/>
      <c r="J369" s="6"/>
      <c r="K369" s="57"/>
      <c r="L369" s="57"/>
      <c r="M369" s="57"/>
      <c r="N369" s="56"/>
      <c r="O369" s="56"/>
      <c r="P369" s="56"/>
      <c r="Q369" s="56"/>
      <c r="R369" s="56"/>
      <c r="S369" s="56"/>
      <c r="T369" s="56"/>
      <c r="U369" s="56"/>
      <c r="V369" s="56"/>
      <c r="W369" s="56"/>
      <c r="X369" s="56"/>
      <c r="Y369" s="56"/>
      <c r="Z369" s="56"/>
      <c r="AA369" s="56"/>
      <c r="AB369" s="56"/>
      <c r="AC369" s="56"/>
      <c r="AD369" s="56"/>
      <c r="AE369" s="56"/>
      <c r="AF369" s="56"/>
      <c r="AG369" s="56"/>
      <c r="AH369" s="56"/>
      <c r="AI369" s="58"/>
      <c r="AJ369" s="56"/>
      <c r="AK369" s="56"/>
      <c r="AL369" s="56"/>
      <c r="AM369" s="57"/>
      <c r="AN369" s="57"/>
      <c r="AO369" s="56"/>
      <c r="AP369" s="56"/>
      <c r="AQ369" s="57"/>
      <c r="AR369" s="57"/>
      <c r="AS369" s="57"/>
      <c r="AT369" s="67">
        <f t="shared" ca="1" si="34"/>
        <v>0</v>
      </c>
      <c r="AU369" s="79" t="str">
        <f t="shared" ca="1" si="35"/>
        <v/>
      </c>
      <c r="AV369" s="79" t="str" cm="1">
        <f t="array" aca="1" ref="AV369" ca="1">IFERROR(_xlfn.IFS($AU369="","",$AU369&lt;=15,"0-15",AND($AU369&gt;=16,$AU369&lt;=30),"16-30",AND($AU369&gt;=31,$AU369&lt;=45),"31-45",AND($AU369&gt;=46,$AU369&lt;=60),"46-60",AND($AU369&gt;=61,$AU369&lt;=90),"61-90",AND($AU369&gt;=91),"&gt; 90",AND($AU369&gt;=2000),""),"")</f>
        <v/>
      </c>
      <c r="AW369" s="79" t="str" cm="1">
        <f t="array" aca="1" ref="AW369" ca="1">IFERROR(_xlfn.IFS(OR($M369="",$AM369=""),"",OR($C369="Offered",$C369="Joined"),($AM369-$M369)-$AT369),"")</f>
        <v/>
      </c>
      <c r="AX369" s="79" t="str" cm="1">
        <f t="array" aca="1" ref="AX369" ca="1">IFERROR(_xlfn.IFS(OR($M369="",$AS369=""),"",$C369="Joined",($AS369-$M369)-$AT369),"")</f>
        <v/>
      </c>
      <c r="AY369" s="67" t="str">
        <f>IFERROR(IF(COUNTIFS('Candidate Tracker'!$E:$E,'Positions Tracker'!$B369,'Candidate Tracker'!$C:$C,"Offer Drop")=0,"",COUNTIFS('Candidate Tracker'!$E:$E,'Positions Tracker'!$B369,'Candidate Tracker'!$C:$C,"Offer Drop")),"")</f>
        <v/>
      </c>
      <c r="AZ369" s="80">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0.88111888111888115</v>
      </c>
      <c r="BA369" s="81" t="str">
        <f>IFERROR(IF(COUNTIFS('Candidate Tracker'!$E:$E,'Positions Tracker'!$B369,'Candidate Tracker'!$I:$I,"Female")=0,"",COUNTIFS('Candidate Tracker'!$E:$E,'Positions Tracker'!$B369,'Candidate Tracker'!$I:$I,"Female")),"")</f>
        <v/>
      </c>
      <c r="BB369" s="81" t="str">
        <f>IFERROR(IF(COUNTIFS('Candidate Tracker'!$E:$E,'Positions Tracker'!$B369,'Candidate Tracker'!$I:$I,"male")=0,"",COUNTIFS('Candidate Tracker'!$E:$E,'Positions Tracker'!$B369,'Candidate Tracker'!$I:$I,"male")),"")</f>
        <v/>
      </c>
      <c r="BC369" s="80" t="str">
        <f>IFERROR(IF(COUNTIFS('Candidate Tracker'!$E:$E,'Positions Tracker'!$B369,'Candidate Tracker'!$C:$C,"&lt;&gt;WIP",'Candidate Tracker'!$C:$C,"&lt;&gt;Hold",'Candidate Tracker'!$C:$C,"&lt;&gt;Cancelled",'Candidate Tracker'!$C:$C,"&lt;&gt;Closed")/COUNTIFS('Candidate Tracker'!$E:$E,'Positions Tracker'!$B369)=0,"",COUNTIFS('Candidate Tracker'!$E:$E,'Positions Tracker'!$B369,'Candidate Tracker'!$C:$C,"&lt;&gt;WIP",'Candidate Tracker'!$C:$C,"&lt;&gt;Hold",'Candidate Tracker'!$C:$C,"&lt;&gt;Cancelled",'Candidate Tracker'!$C:$C,"&lt;&gt;Closed")/COUNTIFS('Candidate Tracker'!$E:$E,'Positions Tracker'!$B369)),"")</f>
        <v/>
      </c>
      <c r="BD369" s="67" t="str">
        <f t="shared" si="30"/>
        <v/>
      </c>
      <c r="BE369" s="67" t="str">
        <f t="shared" si="31"/>
        <v/>
      </c>
      <c r="BF369" s="67" t="str">
        <f t="shared" si="32"/>
        <v/>
      </c>
      <c r="BG369" s="67" t="str">
        <f t="shared" si="33"/>
        <v/>
      </c>
    </row>
    <row r="370" spans="1:59">
      <c r="A370" s="55"/>
      <c r="B370" s="56"/>
      <c r="C370" s="56"/>
      <c r="D370" s="56"/>
      <c r="E370" s="56"/>
      <c r="F370" s="56"/>
      <c r="G370" s="56"/>
      <c r="H370" s="56"/>
      <c r="I370" s="6"/>
      <c r="J370" s="6"/>
      <c r="K370" s="57"/>
      <c r="L370" s="57"/>
      <c r="M370" s="57"/>
      <c r="N370" s="56"/>
      <c r="O370" s="56"/>
      <c r="P370" s="56"/>
      <c r="Q370" s="56"/>
      <c r="R370" s="56"/>
      <c r="S370" s="56"/>
      <c r="T370" s="56"/>
      <c r="U370" s="56"/>
      <c r="V370" s="56"/>
      <c r="W370" s="56"/>
      <c r="X370" s="56"/>
      <c r="Y370" s="56"/>
      <c r="Z370" s="56"/>
      <c r="AA370" s="56"/>
      <c r="AB370" s="56"/>
      <c r="AC370" s="56"/>
      <c r="AD370" s="56"/>
      <c r="AE370" s="56"/>
      <c r="AF370" s="56"/>
      <c r="AG370" s="56"/>
      <c r="AH370" s="56"/>
      <c r="AI370" s="58"/>
      <c r="AJ370" s="56"/>
      <c r="AK370" s="56"/>
      <c r="AL370" s="56"/>
      <c r="AM370" s="57"/>
      <c r="AN370" s="57"/>
      <c r="AO370" s="56"/>
      <c r="AP370" s="56"/>
      <c r="AQ370" s="57"/>
      <c r="AR370" s="57"/>
      <c r="AS370" s="57"/>
      <c r="AT370" s="67">
        <f t="shared" ca="1" si="34"/>
        <v>0</v>
      </c>
      <c r="AU370" s="79" t="str">
        <f t="shared" ca="1" si="35"/>
        <v/>
      </c>
      <c r="AV370" s="79" t="str" cm="1">
        <f t="array" aca="1" ref="AV370" ca="1">IFERROR(_xlfn.IFS($AU370="","",$AU370&lt;=15,"0-15",AND($AU370&gt;=16,$AU370&lt;=30),"16-30",AND($AU370&gt;=31,$AU370&lt;=45),"31-45",AND($AU370&gt;=46,$AU370&lt;=60),"46-60",AND($AU370&gt;=61,$AU370&lt;=90),"61-90",AND($AU370&gt;=91),"&gt; 90",AND($AU370&gt;=2000),""),"")</f>
        <v/>
      </c>
      <c r="AW370" s="79" t="str" cm="1">
        <f t="array" aca="1" ref="AW370" ca="1">IFERROR(_xlfn.IFS(OR($M370="",$AM370=""),"",OR($C370="Offered",$C370="Joined"),($AM370-$M370)-$AT370),"")</f>
        <v/>
      </c>
      <c r="AX370" s="79" t="str" cm="1">
        <f t="array" aca="1" ref="AX370" ca="1">IFERROR(_xlfn.IFS(OR($M370="",$AS370=""),"",$C370="Joined",($AS370-$M370)-$AT370),"")</f>
        <v/>
      </c>
      <c r="AY370" s="67" t="str">
        <f>IFERROR(IF(COUNTIFS('Candidate Tracker'!$E:$E,'Positions Tracker'!$B370,'Candidate Tracker'!$C:$C,"Offer Drop")=0,"",COUNTIFS('Candidate Tracker'!$E:$E,'Positions Tracker'!$B370,'Candidate Tracker'!$C:$C,"Offer Drop")),"")</f>
        <v/>
      </c>
      <c r="AZ370" s="80">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0.88111888111888115</v>
      </c>
      <c r="BA370" s="81" t="str">
        <f>IFERROR(IF(COUNTIFS('Candidate Tracker'!$E:$E,'Positions Tracker'!$B370,'Candidate Tracker'!$I:$I,"Female")=0,"",COUNTIFS('Candidate Tracker'!$E:$E,'Positions Tracker'!$B370,'Candidate Tracker'!$I:$I,"Female")),"")</f>
        <v/>
      </c>
      <c r="BB370" s="81" t="str">
        <f>IFERROR(IF(COUNTIFS('Candidate Tracker'!$E:$E,'Positions Tracker'!$B370,'Candidate Tracker'!$I:$I,"male")=0,"",COUNTIFS('Candidate Tracker'!$E:$E,'Positions Tracker'!$B370,'Candidate Tracker'!$I:$I,"male")),"")</f>
        <v/>
      </c>
      <c r="BC370" s="80" t="str">
        <f>IFERROR(IF(COUNTIFS('Candidate Tracker'!$E:$E,'Positions Tracker'!$B370,'Candidate Tracker'!$C:$C,"&lt;&gt;WIP",'Candidate Tracker'!$C:$C,"&lt;&gt;Hold",'Candidate Tracker'!$C:$C,"&lt;&gt;Cancelled",'Candidate Tracker'!$C:$C,"&lt;&gt;Closed")/COUNTIFS('Candidate Tracker'!$E:$E,'Positions Tracker'!$B370)=0,"",COUNTIFS('Candidate Tracker'!$E:$E,'Positions Tracker'!$B370,'Candidate Tracker'!$C:$C,"&lt;&gt;WIP",'Candidate Tracker'!$C:$C,"&lt;&gt;Hold",'Candidate Tracker'!$C:$C,"&lt;&gt;Cancelled",'Candidate Tracker'!$C:$C,"&lt;&gt;Closed")/COUNTIFS('Candidate Tracker'!$E:$E,'Positions Tracker'!$B370)),"")</f>
        <v/>
      </c>
      <c r="BD370" s="67" t="str">
        <f t="shared" si="30"/>
        <v/>
      </c>
      <c r="BE370" s="67" t="str">
        <f t="shared" si="31"/>
        <v/>
      </c>
      <c r="BF370" s="67" t="str">
        <f t="shared" si="32"/>
        <v/>
      </c>
      <c r="BG370" s="67" t="str">
        <f t="shared" si="33"/>
        <v/>
      </c>
    </row>
    <row r="371" spans="1:59">
      <c r="A371" s="55"/>
      <c r="B371" s="56"/>
      <c r="C371" s="56"/>
      <c r="D371" s="56"/>
      <c r="E371" s="56"/>
      <c r="F371" s="56"/>
      <c r="G371" s="56"/>
      <c r="H371" s="56"/>
      <c r="I371" s="6"/>
      <c r="J371" s="6"/>
      <c r="K371" s="57"/>
      <c r="L371" s="57"/>
      <c r="M371" s="57"/>
      <c r="N371" s="56"/>
      <c r="O371" s="56"/>
      <c r="P371" s="56"/>
      <c r="Q371" s="56"/>
      <c r="R371" s="56"/>
      <c r="S371" s="56"/>
      <c r="T371" s="56"/>
      <c r="U371" s="56"/>
      <c r="V371" s="56"/>
      <c r="W371" s="56"/>
      <c r="X371" s="56"/>
      <c r="Y371" s="56"/>
      <c r="Z371" s="56"/>
      <c r="AA371" s="56"/>
      <c r="AB371" s="56"/>
      <c r="AC371" s="56"/>
      <c r="AD371" s="56"/>
      <c r="AE371" s="56"/>
      <c r="AF371" s="56"/>
      <c r="AG371" s="56"/>
      <c r="AH371" s="56"/>
      <c r="AI371" s="58"/>
      <c r="AJ371" s="56"/>
      <c r="AK371" s="56"/>
      <c r="AL371" s="56"/>
      <c r="AM371" s="57"/>
      <c r="AN371" s="57"/>
      <c r="AO371" s="56"/>
      <c r="AP371" s="56"/>
      <c r="AQ371" s="57"/>
      <c r="AR371" s="57"/>
      <c r="AS371" s="57"/>
      <c r="AT371" s="67">
        <f t="shared" ca="1" si="34"/>
        <v>0</v>
      </c>
      <c r="AU371" s="79" t="str">
        <f t="shared" ca="1" si="35"/>
        <v/>
      </c>
      <c r="AV371" s="79" t="str" cm="1">
        <f t="array" aca="1" ref="AV371" ca="1">IFERROR(_xlfn.IFS($AU371="","",$AU371&lt;=15,"0-15",AND($AU371&gt;=16,$AU371&lt;=30),"16-30",AND($AU371&gt;=31,$AU371&lt;=45),"31-45",AND($AU371&gt;=46,$AU371&lt;=60),"46-60",AND($AU371&gt;=61,$AU371&lt;=90),"61-90",AND($AU371&gt;=91),"&gt; 90",AND($AU371&gt;=2000),""),"")</f>
        <v/>
      </c>
      <c r="AW371" s="79" t="str" cm="1">
        <f t="array" aca="1" ref="AW371" ca="1">IFERROR(_xlfn.IFS(OR($M371="",$AM371=""),"",OR($C371="Offered",$C371="Joined"),($AM371-$M371)-$AT371),"")</f>
        <v/>
      </c>
      <c r="AX371" s="79" t="str" cm="1">
        <f t="array" aca="1" ref="AX371" ca="1">IFERROR(_xlfn.IFS(OR($M371="",$AS371=""),"",$C371="Joined",($AS371-$M371)-$AT371),"")</f>
        <v/>
      </c>
      <c r="AY371" s="67" t="str">
        <f>IFERROR(IF(COUNTIFS('Candidate Tracker'!$E:$E,'Positions Tracker'!$B371,'Candidate Tracker'!$C:$C,"Offer Drop")=0,"",COUNTIFS('Candidate Tracker'!$E:$E,'Positions Tracker'!$B371,'Candidate Tracker'!$C:$C,"Offer Drop")),"")</f>
        <v/>
      </c>
      <c r="AZ371" s="80">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0.88111888111888115</v>
      </c>
      <c r="BA371" s="81" t="str">
        <f>IFERROR(IF(COUNTIFS('Candidate Tracker'!$E:$E,'Positions Tracker'!$B371,'Candidate Tracker'!$I:$I,"Female")=0,"",COUNTIFS('Candidate Tracker'!$E:$E,'Positions Tracker'!$B371,'Candidate Tracker'!$I:$I,"Female")),"")</f>
        <v/>
      </c>
      <c r="BB371" s="81" t="str">
        <f>IFERROR(IF(COUNTIFS('Candidate Tracker'!$E:$E,'Positions Tracker'!$B371,'Candidate Tracker'!$I:$I,"male")=0,"",COUNTIFS('Candidate Tracker'!$E:$E,'Positions Tracker'!$B371,'Candidate Tracker'!$I:$I,"male")),"")</f>
        <v/>
      </c>
      <c r="BC371" s="80" t="str">
        <f>IFERROR(IF(COUNTIFS('Candidate Tracker'!$E:$E,'Positions Tracker'!$B371,'Candidate Tracker'!$C:$C,"&lt;&gt;WIP",'Candidate Tracker'!$C:$C,"&lt;&gt;Hold",'Candidate Tracker'!$C:$C,"&lt;&gt;Cancelled",'Candidate Tracker'!$C:$C,"&lt;&gt;Closed")/COUNTIFS('Candidate Tracker'!$E:$E,'Positions Tracker'!$B371)=0,"",COUNTIFS('Candidate Tracker'!$E:$E,'Positions Tracker'!$B371,'Candidate Tracker'!$C:$C,"&lt;&gt;WIP",'Candidate Tracker'!$C:$C,"&lt;&gt;Hold",'Candidate Tracker'!$C:$C,"&lt;&gt;Cancelled",'Candidate Tracker'!$C:$C,"&lt;&gt;Closed")/COUNTIFS('Candidate Tracker'!$E:$E,'Positions Tracker'!$B371)),"")</f>
        <v/>
      </c>
      <c r="BD371" s="67" t="str">
        <f t="shared" si="30"/>
        <v/>
      </c>
      <c r="BE371" s="67" t="str">
        <f t="shared" si="31"/>
        <v/>
      </c>
      <c r="BF371" s="67" t="str">
        <f t="shared" si="32"/>
        <v/>
      </c>
      <c r="BG371" s="67" t="str">
        <f t="shared" si="33"/>
        <v/>
      </c>
    </row>
    <row r="372" spans="1:59">
      <c r="A372" s="55"/>
      <c r="B372" s="56"/>
      <c r="C372" s="56"/>
      <c r="D372" s="56"/>
      <c r="E372" s="56"/>
      <c r="F372" s="56"/>
      <c r="G372" s="56"/>
      <c r="H372" s="56"/>
      <c r="I372" s="6"/>
      <c r="J372" s="6"/>
      <c r="K372" s="57"/>
      <c r="L372" s="57"/>
      <c r="M372" s="57"/>
      <c r="N372" s="56"/>
      <c r="O372" s="56"/>
      <c r="P372" s="56"/>
      <c r="Q372" s="56"/>
      <c r="R372" s="56"/>
      <c r="S372" s="56"/>
      <c r="T372" s="56"/>
      <c r="U372" s="56"/>
      <c r="V372" s="56"/>
      <c r="W372" s="56"/>
      <c r="X372" s="56"/>
      <c r="Y372" s="56"/>
      <c r="Z372" s="56"/>
      <c r="AA372" s="56"/>
      <c r="AB372" s="56"/>
      <c r="AC372" s="56"/>
      <c r="AD372" s="56"/>
      <c r="AE372" s="56"/>
      <c r="AF372" s="56"/>
      <c r="AG372" s="56"/>
      <c r="AH372" s="56"/>
      <c r="AI372" s="58"/>
      <c r="AJ372" s="56"/>
      <c r="AK372" s="56"/>
      <c r="AL372" s="56"/>
      <c r="AM372" s="57"/>
      <c r="AN372" s="57"/>
      <c r="AO372" s="56"/>
      <c r="AP372" s="56"/>
      <c r="AQ372" s="57"/>
      <c r="AR372" s="57"/>
      <c r="AS372" s="57"/>
      <c r="AT372" s="67">
        <f t="shared" ca="1" si="34"/>
        <v>0</v>
      </c>
      <c r="AU372" s="79" t="str">
        <f t="shared" ca="1" si="35"/>
        <v/>
      </c>
      <c r="AV372" s="79" t="str" cm="1">
        <f t="array" aca="1" ref="AV372" ca="1">IFERROR(_xlfn.IFS($AU372="","",$AU372&lt;=15,"0-15",AND($AU372&gt;=16,$AU372&lt;=30),"16-30",AND($AU372&gt;=31,$AU372&lt;=45),"31-45",AND($AU372&gt;=46,$AU372&lt;=60),"46-60",AND($AU372&gt;=61,$AU372&lt;=90),"61-90",AND($AU372&gt;=91),"&gt; 90",AND($AU372&gt;=2000),""),"")</f>
        <v/>
      </c>
      <c r="AW372" s="79" t="str" cm="1">
        <f t="array" aca="1" ref="AW372" ca="1">IFERROR(_xlfn.IFS(OR($M372="",$AM372=""),"",OR($C372="Offered",$C372="Joined"),($AM372-$M372)-$AT372),"")</f>
        <v/>
      </c>
      <c r="AX372" s="79" t="str" cm="1">
        <f t="array" aca="1" ref="AX372" ca="1">IFERROR(_xlfn.IFS(OR($M372="",$AS372=""),"",$C372="Joined",($AS372-$M372)-$AT372),"")</f>
        <v/>
      </c>
      <c r="AY372" s="67" t="str">
        <f>IFERROR(IF(COUNTIFS('Candidate Tracker'!$E:$E,'Positions Tracker'!$B372,'Candidate Tracker'!$C:$C,"Offer Drop")=0,"",COUNTIFS('Candidate Tracker'!$E:$E,'Positions Tracker'!$B372,'Candidate Tracker'!$C:$C,"Offer Drop")),"")</f>
        <v/>
      </c>
      <c r="AZ372" s="80">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0.88111888111888115</v>
      </c>
      <c r="BA372" s="81" t="str">
        <f>IFERROR(IF(COUNTIFS('Candidate Tracker'!$E:$E,'Positions Tracker'!$B372,'Candidate Tracker'!$I:$I,"Female")=0,"",COUNTIFS('Candidate Tracker'!$E:$E,'Positions Tracker'!$B372,'Candidate Tracker'!$I:$I,"Female")),"")</f>
        <v/>
      </c>
      <c r="BB372" s="81" t="str">
        <f>IFERROR(IF(COUNTIFS('Candidate Tracker'!$E:$E,'Positions Tracker'!$B372,'Candidate Tracker'!$I:$I,"male")=0,"",COUNTIFS('Candidate Tracker'!$E:$E,'Positions Tracker'!$B372,'Candidate Tracker'!$I:$I,"male")),"")</f>
        <v/>
      </c>
      <c r="BC372" s="80" t="str">
        <f>IFERROR(IF(COUNTIFS('Candidate Tracker'!$E:$E,'Positions Tracker'!$B372,'Candidate Tracker'!$C:$C,"&lt;&gt;WIP",'Candidate Tracker'!$C:$C,"&lt;&gt;Hold",'Candidate Tracker'!$C:$C,"&lt;&gt;Cancelled",'Candidate Tracker'!$C:$C,"&lt;&gt;Closed")/COUNTIFS('Candidate Tracker'!$E:$E,'Positions Tracker'!$B372)=0,"",COUNTIFS('Candidate Tracker'!$E:$E,'Positions Tracker'!$B372,'Candidate Tracker'!$C:$C,"&lt;&gt;WIP",'Candidate Tracker'!$C:$C,"&lt;&gt;Hold",'Candidate Tracker'!$C:$C,"&lt;&gt;Cancelled",'Candidate Tracker'!$C:$C,"&lt;&gt;Closed")/COUNTIFS('Candidate Tracker'!$E:$E,'Positions Tracker'!$B372)),"")</f>
        <v/>
      </c>
      <c r="BD372" s="67" t="str">
        <f t="shared" si="30"/>
        <v/>
      </c>
      <c r="BE372" s="67" t="str">
        <f t="shared" si="31"/>
        <v/>
      </c>
      <c r="BF372" s="67" t="str">
        <f t="shared" si="32"/>
        <v/>
      </c>
      <c r="BG372" s="67" t="str">
        <f t="shared" si="33"/>
        <v/>
      </c>
    </row>
    <row r="373" spans="1:59">
      <c r="A373" s="55"/>
      <c r="B373" s="56"/>
      <c r="C373" s="56"/>
      <c r="D373" s="56"/>
      <c r="E373" s="56"/>
      <c r="F373" s="56"/>
      <c r="G373" s="56"/>
      <c r="H373" s="56"/>
      <c r="I373" s="6"/>
      <c r="J373" s="6"/>
      <c r="K373" s="57"/>
      <c r="L373" s="57"/>
      <c r="M373" s="57"/>
      <c r="N373" s="56"/>
      <c r="O373" s="56"/>
      <c r="P373" s="56"/>
      <c r="Q373" s="56"/>
      <c r="R373" s="56"/>
      <c r="S373" s="56"/>
      <c r="T373" s="56"/>
      <c r="U373" s="56"/>
      <c r="V373" s="56"/>
      <c r="W373" s="56"/>
      <c r="X373" s="56"/>
      <c r="Y373" s="56"/>
      <c r="Z373" s="56"/>
      <c r="AA373" s="56"/>
      <c r="AB373" s="56"/>
      <c r="AC373" s="56"/>
      <c r="AD373" s="56"/>
      <c r="AE373" s="56"/>
      <c r="AF373" s="56"/>
      <c r="AG373" s="56"/>
      <c r="AH373" s="56"/>
      <c r="AI373" s="58"/>
      <c r="AJ373" s="56"/>
      <c r="AK373" s="56"/>
      <c r="AL373" s="56"/>
      <c r="AM373" s="57"/>
      <c r="AN373" s="57"/>
      <c r="AO373" s="56"/>
      <c r="AP373" s="56"/>
      <c r="AQ373" s="57"/>
      <c r="AR373" s="57"/>
      <c r="AS373" s="57"/>
      <c r="AT373" s="67">
        <f t="shared" ca="1" si="34"/>
        <v>0</v>
      </c>
      <c r="AU373" s="79" t="str">
        <f t="shared" ca="1" si="35"/>
        <v/>
      </c>
      <c r="AV373" s="79" t="str" cm="1">
        <f t="array" aca="1" ref="AV373" ca="1">IFERROR(_xlfn.IFS($AU373="","",$AU373&lt;=15,"0-15",AND($AU373&gt;=16,$AU373&lt;=30),"16-30",AND($AU373&gt;=31,$AU373&lt;=45),"31-45",AND($AU373&gt;=46,$AU373&lt;=60),"46-60",AND($AU373&gt;=61,$AU373&lt;=90),"61-90",AND($AU373&gt;=91),"&gt; 90",AND($AU373&gt;=2000),""),"")</f>
        <v/>
      </c>
      <c r="AW373" s="79" t="str" cm="1">
        <f t="array" aca="1" ref="AW373" ca="1">IFERROR(_xlfn.IFS(OR($M373="",$AM373=""),"",OR($C373="Offered",$C373="Joined"),($AM373-$M373)-$AT373),"")</f>
        <v/>
      </c>
      <c r="AX373" s="79" t="str" cm="1">
        <f t="array" aca="1" ref="AX373" ca="1">IFERROR(_xlfn.IFS(OR($M373="",$AS373=""),"",$C373="Joined",($AS373-$M373)-$AT373),"")</f>
        <v/>
      </c>
      <c r="AY373" s="67" t="str">
        <f>IFERROR(IF(COUNTIFS('Candidate Tracker'!$E:$E,'Positions Tracker'!$B373,'Candidate Tracker'!$C:$C,"Offer Drop")=0,"",COUNTIFS('Candidate Tracker'!$E:$E,'Positions Tracker'!$B373,'Candidate Tracker'!$C:$C,"Offer Drop")),"")</f>
        <v/>
      </c>
      <c r="AZ373" s="80">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0.88111888111888115</v>
      </c>
      <c r="BA373" s="81" t="str">
        <f>IFERROR(IF(COUNTIFS('Candidate Tracker'!$E:$E,'Positions Tracker'!$B373,'Candidate Tracker'!$I:$I,"Female")=0,"",COUNTIFS('Candidate Tracker'!$E:$E,'Positions Tracker'!$B373,'Candidate Tracker'!$I:$I,"Female")),"")</f>
        <v/>
      </c>
      <c r="BB373" s="81" t="str">
        <f>IFERROR(IF(COUNTIFS('Candidate Tracker'!$E:$E,'Positions Tracker'!$B373,'Candidate Tracker'!$I:$I,"male")=0,"",COUNTIFS('Candidate Tracker'!$E:$E,'Positions Tracker'!$B373,'Candidate Tracker'!$I:$I,"male")),"")</f>
        <v/>
      </c>
      <c r="BC373" s="80" t="str">
        <f>IFERROR(IF(COUNTIFS('Candidate Tracker'!$E:$E,'Positions Tracker'!$B373,'Candidate Tracker'!$C:$C,"&lt;&gt;WIP",'Candidate Tracker'!$C:$C,"&lt;&gt;Hold",'Candidate Tracker'!$C:$C,"&lt;&gt;Cancelled",'Candidate Tracker'!$C:$C,"&lt;&gt;Closed")/COUNTIFS('Candidate Tracker'!$E:$E,'Positions Tracker'!$B373)=0,"",COUNTIFS('Candidate Tracker'!$E:$E,'Positions Tracker'!$B373,'Candidate Tracker'!$C:$C,"&lt;&gt;WIP",'Candidate Tracker'!$C:$C,"&lt;&gt;Hold",'Candidate Tracker'!$C:$C,"&lt;&gt;Cancelled",'Candidate Tracker'!$C:$C,"&lt;&gt;Closed")/COUNTIFS('Candidate Tracker'!$E:$E,'Positions Tracker'!$B373)),"")</f>
        <v/>
      </c>
      <c r="BD373" s="67" t="str">
        <f t="shared" si="30"/>
        <v/>
      </c>
      <c r="BE373" s="67" t="str">
        <f t="shared" si="31"/>
        <v/>
      </c>
      <c r="BF373" s="67" t="str">
        <f t="shared" si="32"/>
        <v/>
      </c>
      <c r="BG373" s="67" t="str">
        <f t="shared" si="33"/>
        <v/>
      </c>
    </row>
    <row r="374" spans="1:59">
      <c r="A374" s="55"/>
      <c r="B374" s="56"/>
      <c r="C374" s="56"/>
      <c r="D374" s="56"/>
      <c r="E374" s="56"/>
      <c r="F374" s="56"/>
      <c r="G374" s="56"/>
      <c r="H374" s="56"/>
      <c r="I374" s="6"/>
      <c r="J374" s="6"/>
      <c r="K374" s="57"/>
      <c r="L374" s="57"/>
      <c r="M374" s="57"/>
      <c r="N374" s="56"/>
      <c r="O374" s="56"/>
      <c r="P374" s="56"/>
      <c r="Q374" s="56"/>
      <c r="R374" s="56"/>
      <c r="S374" s="56"/>
      <c r="T374" s="56"/>
      <c r="U374" s="56"/>
      <c r="V374" s="56"/>
      <c r="W374" s="56"/>
      <c r="X374" s="56"/>
      <c r="Y374" s="56"/>
      <c r="Z374" s="56"/>
      <c r="AA374" s="56"/>
      <c r="AB374" s="56"/>
      <c r="AC374" s="56"/>
      <c r="AD374" s="56"/>
      <c r="AE374" s="56"/>
      <c r="AF374" s="56"/>
      <c r="AG374" s="56"/>
      <c r="AH374" s="56"/>
      <c r="AI374" s="58"/>
      <c r="AJ374" s="56"/>
      <c r="AK374" s="56"/>
      <c r="AL374" s="56"/>
      <c r="AM374" s="57"/>
      <c r="AN374" s="57"/>
      <c r="AO374" s="56"/>
      <c r="AP374" s="56"/>
      <c r="AQ374" s="57"/>
      <c r="AR374" s="57"/>
      <c r="AS374" s="57"/>
      <c r="AT374" s="67">
        <f t="shared" ca="1" si="34"/>
        <v>0</v>
      </c>
      <c r="AU374" s="79" t="str">
        <f t="shared" ca="1" si="35"/>
        <v/>
      </c>
      <c r="AV374" s="79" t="str" cm="1">
        <f t="array" aca="1" ref="AV374" ca="1">IFERROR(_xlfn.IFS($AU374="","",$AU374&lt;=15,"0-15",AND($AU374&gt;=16,$AU374&lt;=30),"16-30",AND($AU374&gt;=31,$AU374&lt;=45),"31-45",AND($AU374&gt;=46,$AU374&lt;=60),"46-60",AND($AU374&gt;=61,$AU374&lt;=90),"61-90",AND($AU374&gt;=91),"&gt; 90",AND($AU374&gt;=2000),""),"")</f>
        <v/>
      </c>
      <c r="AW374" s="79" t="str" cm="1">
        <f t="array" aca="1" ref="AW374" ca="1">IFERROR(_xlfn.IFS(OR($M374="",$AM374=""),"",OR($C374="Offered",$C374="Joined"),($AM374-$M374)-$AT374),"")</f>
        <v/>
      </c>
      <c r="AX374" s="79" t="str" cm="1">
        <f t="array" aca="1" ref="AX374" ca="1">IFERROR(_xlfn.IFS(OR($M374="",$AS374=""),"",$C374="Joined",($AS374-$M374)-$AT374),"")</f>
        <v/>
      </c>
      <c r="AY374" s="67" t="str">
        <f>IFERROR(IF(COUNTIFS('Candidate Tracker'!$E:$E,'Positions Tracker'!$B374,'Candidate Tracker'!$C:$C,"Offer Drop")=0,"",COUNTIFS('Candidate Tracker'!$E:$E,'Positions Tracker'!$B374,'Candidate Tracker'!$C:$C,"Offer Drop")),"")</f>
        <v/>
      </c>
      <c r="AZ374" s="80">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0.88111888111888115</v>
      </c>
      <c r="BA374" s="81" t="str">
        <f>IFERROR(IF(COUNTIFS('Candidate Tracker'!$E:$E,'Positions Tracker'!$B374,'Candidate Tracker'!$I:$I,"Female")=0,"",COUNTIFS('Candidate Tracker'!$E:$E,'Positions Tracker'!$B374,'Candidate Tracker'!$I:$I,"Female")),"")</f>
        <v/>
      </c>
      <c r="BB374" s="81" t="str">
        <f>IFERROR(IF(COUNTIFS('Candidate Tracker'!$E:$E,'Positions Tracker'!$B374,'Candidate Tracker'!$I:$I,"male")=0,"",COUNTIFS('Candidate Tracker'!$E:$E,'Positions Tracker'!$B374,'Candidate Tracker'!$I:$I,"male")),"")</f>
        <v/>
      </c>
      <c r="BC374" s="80" t="str">
        <f>IFERROR(IF(COUNTIFS('Candidate Tracker'!$E:$E,'Positions Tracker'!$B374,'Candidate Tracker'!$C:$C,"&lt;&gt;WIP",'Candidate Tracker'!$C:$C,"&lt;&gt;Hold",'Candidate Tracker'!$C:$C,"&lt;&gt;Cancelled",'Candidate Tracker'!$C:$C,"&lt;&gt;Closed")/COUNTIFS('Candidate Tracker'!$E:$E,'Positions Tracker'!$B374)=0,"",COUNTIFS('Candidate Tracker'!$E:$E,'Positions Tracker'!$B374,'Candidate Tracker'!$C:$C,"&lt;&gt;WIP",'Candidate Tracker'!$C:$C,"&lt;&gt;Hold",'Candidate Tracker'!$C:$C,"&lt;&gt;Cancelled",'Candidate Tracker'!$C:$C,"&lt;&gt;Closed")/COUNTIFS('Candidate Tracker'!$E:$E,'Positions Tracker'!$B374)),"")</f>
        <v/>
      </c>
      <c r="BD374" s="67" t="str">
        <f t="shared" si="30"/>
        <v/>
      </c>
      <c r="BE374" s="67" t="str">
        <f t="shared" si="31"/>
        <v/>
      </c>
      <c r="BF374" s="67" t="str">
        <f t="shared" si="32"/>
        <v/>
      </c>
      <c r="BG374" s="67" t="str">
        <f t="shared" si="33"/>
        <v/>
      </c>
    </row>
    <row r="375" spans="1:59">
      <c r="A375" s="55"/>
      <c r="B375" s="56"/>
      <c r="C375" s="56"/>
      <c r="D375" s="56"/>
      <c r="E375" s="56"/>
      <c r="F375" s="56"/>
      <c r="G375" s="56"/>
      <c r="H375" s="56"/>
      <c r="I375" s="6"/>
      <c r="J375" s="6"/>
      <c r="K375" s="57"/>
      <c r="L375" s="57"/>
      <c r="M375" s="57"/>
      <c r="N375" s="56"/>
      <c r="O375" s="56"/>
      <c r="P375" s="56"/>
      <c r="Q375" s="56"/>
      <c r="R375" s="56"/>
      <c r="S375" s="56"/>
      <c r="T375" s="56"/>
      <c r="U375" s="56"/>
      <c r="V375" s="56"/>
      <c r="W375" s="56"/>
      <c r="X375" s="56"/>
      <c r="Y375" s="56"/>
      <c r="Z375" s="56"/>
      <c r="AA375" s="56"/>
      <c r="AB375" s="56"/>
      <c r="AC375" s="56"/>
      <c r="AD375" s="56"/>
      <c r="AE375" s="56"/>
      <c r="AF375" s="56"/>
      <c r="AG375" s="56"/>
      <c r="AH375" s="56"/>
      <c r="AI375" s="58"/>
      <c r="AJ375" s="56"/>
      <c r="AK375" s="56"/>
      <c r="AL375" s="56"/>
      <c r="AM375" s="57"/>
      <c r="AN375" s="57"/>
      <c r="AO375" s="56"/>
      <c r="AP375" s="56"/>
      <c r="AQ375" s="57"/>
      <c r="AR375" s="57"/>
      <c r="AS375" s="57"/>
      <c r="AT375" s="67">
        <f t="shared" ca="1" si="34"/>
        <v>0</v>
      </c>
      <c r="AU375" s="79" t="str">
        <f t="shared" ca="1" si="35"/>
        <v/>
      </c>
      <c r="AV375" s="79" t="str" cm="1">
        <f t="array" aca="1" ref="AV375" ca="1">IFERROR(_xlfn.IFS($AU375="","",$AU375&lt;=15,"0-15",AND($AU375&gt;=16,$AU375&lt;=30),"16-30",AND($AU375&gt;=31,$AU375&lt;=45),"31-45",AND($AU375&gt;=46,$AU375&lt;=60),"46-60",AND($AU375&gt;=61,$AU375&lt;=90),"61-90",AND($AU375&gt;=91),"&gt; 90",AND($AU375&gt;=2000),""),"")</f>
        <v/>
      </c>
      <c r="AW375" s="79" t="str" cm="1">
        <f t="array" aca="1" ref="AW375" ca="1">IFERROR(_xlfn.IFS(OR($M375="",$AM375=""),"",OR($C375="Offered",$C375="Joined"),($AM375-$M375)-$AT375),"")</f>
        <v/>
      </c>
      <c r="AX375" s="79" t="str" cm="1">
        <f t="array" aca="1" ref="AX375" ca="1">IFERROR(_xlfn.IFS(OR($M375="",$AS375=""),"",$C375="Joined",($AS375-$M375)-$AT375),"")</f>
        <v/>
      </c>
      <c r="AY375" s="67" t="str">
        <f>IFERROR(IF(COUNTIFS('Candidate Tracker'!$E:$E,'Positions Tracker'!$B375,'Candidate Tracker'!$C:$C,"Offer Drop")=0,"",COUNTIFS('Candidate Tracker'!$E:$E,'Positions Tracker'!$B375,'Candidate Tracker'!$C:$C,"Offer Drop")),"")</f>
        <v/>
      </c>
      <c r="AZ375" s="80">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0.88111888111888115</v>
      </c>
      <c r="BA375" s="81" t="str">
        <f>IFERROR(IF(COUNTIFS('Candidate Tracker'!$E:$E,'Positions Tracker'!$B375,'Candidate Tracker'!$I:$I,"Female")=0,"",COUNTIFS('Candidate Tracker'!$E:$E,'Positions Tracker'!$B375,'Candidate Tracker'!$I:$I,"Female")),"")</f>
        <v/>
      </c>
      <c r="BB375" s="81" t="str">
        <f>IFERROR(IF(COUNTIFS('Candidate Tracker'!$E:$E,'Positions Tracker'!$B375,'Candidate Tracker'!$I:$I,"male")=0,"",COUNTIFS('Candidate Tracker'!$E:$E,'Positions Tracker'!$B375,'Candidate Tracker'!$I:$I,"male")),"")</f>
        <v/>
      </c>
      <c r="BC375" s="80" t="str">
        <f>IFERROR(IF(COUNTIFS('Candidate Tracker'!$E:$E,'Positions Tracker'!$B375,'Candidate Tracker'!$C:$C,"&lt;&gt;WIP",'Candidate Tracker'!$C:$C,"&lt;&gt;Hold",'Candidate Tracker'!$C:$C,"&lt;&gt;Cancelled",'Candidate Tracker'!$C:$C,"&lt;&gt;Closed")/COUNTIFS('Candidate Tracker'!$E:$E,'Positions Tracker'!$B375)=0,"",COUNTIFS('Candidate Tracker'!$E:$E,'Positions Tracker'!$B375,'Candidate Tracker'!$C:$C,"&lt;&gt;WIP",'Candidate Tracker'!$C:$C,"&lt;&gt;Hold",'Candidate Tracker'!$C:$C,"&lt;&gt;Cancelled",'Candidate Tracker'!$C:$C,"&lt;&gt;Closed")/COUNTIFS('Candidate Tracker'!$E:$E,'Positions Tracker'!$B375)),"")</f>
        <v/>
      </c>
      <c r="BD375" s="67" t="str">
        <f t="shared" si="30"/>
        <v/>
      </c>
      <c r="BE375" s="67" t="str">
        <f t="shared" si="31"/>
        <v/>
      </c>
      <c r="BF375" s="67" t="str">
        <f t="shared" si="32"/>
        <v/>
      </c>
      <c r="BG375" s="67" t="str">
        <f t="shared" si="33"/>
        <v/>
      </c>
    </row>
    <row r="376" spans="1:59">
      <c r="A376" s="55"/>
      <c r="B376" s="56"/>
      <c r="C376" s="56"/>
      <c r="D376" s="56"/>
      <c r="E376" s="56"/>
      <c r="F376" s="56"/>
      <c r="G376" s="56"/>
      <c r="H376" s="56"/>
      <c r="I376" s="6"/>
      <c r="J376" s="6"/>
      <c r="K376" s="57"/>
      <c r="L376" s="57"/>
      <c r="M376" s="57"/>
      <c r="N376" s="56"/>
      <c r="O376" s="56"/>
      <c r="P376" s="56"/>
      <c r="Q376" s="56"/>
      <c r="R376" s="56"/>
      <c r="S376" s="56"/>
      <c r="T376" s="56"/>
      <c r="U376" s="56"/>
      <c r="V376" s="56"/>
      <c r="W376" s="56"/>
      <c r="X376" s="56"/>
      <c r="Y376" s="56"/>
      <c r="Z376" s="56"/>
      <c r="AA376" s="56"/>
      <c r="AB376" s="56"/>
      <c r="AC376" s="56"/>
      <c r="AD376" s="56"/>
      <c r="AE376" s="56"/>
      <c r="AF376" s="56"/>
      <c r="AG376" s="56"/>
      <c r="AH376" s="56"/>
      <c r="AI376" s="58"/>
      <c r="AJ376" s="56"/>
      <c r="AK376" s="56"/>
      <c r="AL376" s="56"/>
      <c r="AM376" s="57"/>
      <c r="AN376" s="57"/>
      <c r="AO376" s="56"/>
      <c r="AP376" s="56"/>
      <c r="AQ376" s="57"/>
      <c r="AR376" s="57"/>
      <c r="AS376" s="57"/>
      <c r="AT376" s="67">
        <f t="shared" ca="1" si="34"/>
        <v>0</v>
      </c>
      <c r="AU376" s="79" t="str">
        <f t="shared" ca="1" si="35"/>
        <v/>
      </c>
      <c r="AV376" s="79" t="str" cm="1">
        <f t="array" aca="1" ref="AV376" ca="1">IFERROR(_xlfn.IFS($AU376="","",$AU376&lt;=15,"0-15",AND($AU376&gt;=16,$AU376&lt;=30),"16-30",AND($AU376&gt;=31,$AU376&lt;=45),"31-45",AND($AU376&gt;=46,$AU376&lt;=60),"46-60",AND($AU376&gt;=61,$AU376&lt;=90),"61-90",AND($AU376&gt;=91),"&gt; 90",AND($AU376&gt;=2000),""),"")</f>
        <v/>
      </c>
      <c r="AW376" s="79" t="str" cm="1">
        <f t="array" aca="1" ref="AW376" ca="1">IFERROR(_xlfn.IFS(OR($M376="",$AM376=""),"",OR($C376="Offered",$C376="Joined"),($AM376-$M376)-$AT376),"")</f>
        <v/>
      </c>
      <c r="AX376" s="79" t="str" cm="1">
        <f t="array" aca="1" ref="AX376" ca="1">IFERROR(_xlfn.IFS(OR($M376="",$AS376=""),"",$C376="Joined",($AS376-$M376)-$AT376),"")</f>
        <v/>
      </c>
      <c r="AY376" s="67" t="str">
        <f>IFERROR(IF(COUNTIFS('Candidate Tracker'!$E:$E,'Positions Tracker'!$B376,'Candidate Tracker'!$C:$C,"Offer Drop")=0,"",COUNTIFS('Candidate Tracker'!$E:$E,'Positions Tracker'!$B376,'Candidate Tracker'!$C:$C,"Offer Drop")),"")</f>
        <v/>
      </c>
      <c r="AZ376" s="80">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0.88111888111888115</v>
      </c>
      <c r="BA376" s="81" t="str">
        <f>IFERROR(IF(COUNTIFS('Candidate Tracker'!$E:$E,'Positions Tracker'!$B376,'Candidate Tracker'!$I:$I,"Female")=0,"",COUNTIFS('Candidate Tracker'!$E:$E,'Positions Tracker'!$B376,'Candidate Tracker'!$I:$I,"Female")),"")</f>
        <v/>
      </c>
      <c r="BB376" s="81" t="str">
        <f>IFERROR(IF(COUNTIFS('Candidate Tracker'!$E:$E,'Positions Tracker'!$B376,'Candidate Tracker'!$I:$I,"male")=0,"",COUNTIFS('Candidate Tracker'!$E:$E,'Positions Tracker'!$B376,'Candidate Tracker'!$I:$I,"male")),"")</f>
        <v/>
      </c>
      <c r="BC376" s="80" t="str">
        <f>IFERROR(IF(COUNTIFS('Candidate Tracker'!$E:$E,'Positions Tracker'!$B376,'Candidate Tracker'!$C:$C,"&lt;&gt;WIP",'Candidate Tracker'!$C:$C,"&lt;&gt;Hold",'Candidate Tracker'!$C:$C,"&lt;&gt;Cancelled",'Candidate Tracker'!$C:$C,"&lt;&gt;Closed")/COUNTIFS('Candidate Tracker'!$E:$E,'Positions Tracker'!$B376)=0,"",COUNTIFS('Candidate Tracker'!$E:$E,'Positions Tracker'!$B376,'Candidate Tracker'!$C:$C,"&lt;&gt;WIP",'Candidate Tracker'!$C:$C,"&lt;&gt;Hold",'Candidate Tracker'!$C:$C,"&lt;&gt;Cancelled",'Candidate Tracker'!$C:$C,"&lt;&gt;Closed")/COUNTIFS('Candidate Tracker'!$E:$E,'Positions Tracker'!$B376)),"")</f>
        <v/>
      </c>
      <c r="BD376" s="67" t="str">
        <f t="shared" si="30"/>
        <v/>
      </c>
      <c r="BE376" s="67" t="str">
        <f t="shared" si="31"/>
        <v/>
      </c>
      <c r="BF376" s="67" t="str">
        <f t="shared" si="32"/>
        <v/>
      </c>
      <c r="BG376" s="67" t="str">
        <f t="shared" si="33"/>
        <v/>
      </c>
    </row>
    <row r="377" spans="1:59">
      <c r="A377" s="55"/>
      <c r="B377" s="56"/>
      <c r="C377" s="56"/>
      <c r="D377" s="56"/>
      <c r="E377" s="56"/>
      <c r="F377" s="56"/>
      <c r="G377" s="56"/>
      <c r="H377" s="56"/>
      <c r="I377" s="6"/>
      <c r="J377" s="6"/>
      <c r="K377" s="57"/>
      <c r="L377" s="57"/>
      <c r="M377" s="57"/>
      <c r="N377" s="56"/>
      <c r="O377" s="56"/>
      <c r="P377" s="56"/>
      <c r="Q377" s="56"/>
      <c r="R377" s="56"/>
      <c r="S377" s="56"/>
      <c r="T377" s="56"/>
      <c r="U377" s="56"/>
      <c r="V377" s="56"/>
      <c r="W377" s="56"/>
      <c r="X377" s="56"/>
      <c r="Y377" s="56"/>
      <c r="Z377" s="56"/>
      <c r="AA377" s="56"/>
      <c r="AB377" s="56"/>
      <c r="AC377" s="56"/>
      <c r="AD377" s="56"/>
      <c r="AE377" s="56"/>
      <c r="AF377" s="56"/>
      <c r="AG377" s="56"/>
      <c r="AH377" s="56"/>
      <c r="AI377" s="58"/>
      <c r="AJ377" s="56"/>
      <c r="AK377" s="56"/>
      <c r="AL377" s="56"/>
      <c r="AM377" s="57"/>
      <c r="AN377" s="57"/>
      <c r="AO377" s="56"/>
      <c r="AP377" s="56"/>
      <c r="AQ377" s="57"/>
      <c r="AR377" s="57"/>
      <c r="AS377" s="57"/>
      <c r="AT377" s="67">
        <f t="shared" ca="1" si="34"/>
        <v>0</v>
      </c>
      <c r="AU377" s="79" t="str">
        <f t="shared" ca="1" si="35"/>
        <v/>
      </c>
      <c r="AV377" s="79" t="str" cm="1">
        <f t="array" aca="1" ref="AV377" ca="1">IFERROR(_xlfn.IFS($AU377="","",$AU377&lt;=15,"0-15",AND($AU377&gt;=16,$AU377&lt;=30),"16-30",AND($AU377&gt;=31,$AU377&lt;=45),"31-45",AND($AU377&gt;=46,$AU377&lt;=60),"46-60",AND($AU377&gt;=61,$AU377&lt;=90),"61-90",AND($AU377&gt;=91),"&gt; 90",AND($AU377&gt;=2000),""),"")</f>
        <v/>
      </c>
      <c r="AW377" s="79" t="str" cm="1">
        <f t="array" aca="1" ref="AW377" ca="1">IFERROR(_xlfn.IFS(OR($M377="",$AM377=""),"",OR($C377="Offered",$C377="Joined"),($AM377-$M377)-$AT377),"")</f>
        <v/>
      </c>
      <c r="AX377" s="79" t="str" cm="1">
        <f t="array" aca="1" ref="AX377" ca="1">IFERROR(_xlfn.IFS(OR($M377="",$AS377=""),"",$C377="Joined",($AS377-$M377)-$AT377),"")</f>
        <v/>
      </c>
      <c r="AY377" s="67" t="str">
        <f>IFERROR(IF(COUNTIFS('Candidate Tracker'!$E:$E,'Positions Tracker'!$B377,'Candidate Tracker'!$C:$C,"Offer Drop")=0,"",COUNTIFS('Candidate Tracker'!$E:$E,'Positions Tracker'!$B377,'Candidate Tracker'!$C:$C,"Offer Drop")),"")</f>
        <v/>
      </c>
      <c r="AZ377" s="80">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0.88111888111888115</v>
      </c>
      <c r="BA377" s="81" t="str">
        <f>IFERROR(IF(COUNTIFS('Candidate Tracker'!$E:$E,'Positions Tracker'!$B377,'Candidate Tracker'!$I:$I,"Female")=0,"",COUNTIFS('Candidate Tracker'!$E:$E,'Positions Tracker'!$B377,'Candidate Tracker'!$I:$I,"Female")),"")</f>
        <v/>
      </c>
      <c r="BB377" s="81" t="str">
        <f>IFERROR(IF(COUNTIFS('Candidate Tracker'!$E:$E,'Positions Tracker'!$B377,'Candidate Tracker'!$I:$I,"male")=0,"",COUNTIFS('Candidate Tracker'!$E:$E,'Positions Tracker'!$B377,'Candidate Tracker'!$I:$I,"male")),"")</f>
        <v/>
      </c>
      <c r="BC377" s="80" t="str">
        <f>IFERROR(IF(COUNTIFS('Candidate Tracker'!$E:$E,'Positions Tracker'!$B377,'Candidate Tracker'!$C:$C,"&lt;&gt;WIP",'Candidate Tracker'!$C:$C,"&lt;&gt;Hold",'Candidate Tracker'!$C:$C,"&lt;&gt;Cancelled",'Candidate Tracker'!$C:$C,"&lt;&gt;Closed")/COUNTIFS('Candidate Tracker'!$E:$E,'Positions Tracker'!$B377)=0,"",COUNTIFS('Candidate Tracker'!$E:$E,'Positions Tracker'!$B377,'Candidate Tracker'!$C:$C,"&lt;&gt;WIP",'Candidate Tracker'!$C:$C,"&lt;&gt;Hold",'Candidate Tracker'!$C:$C,"&lt;&gt;Cancelled",'Candidate Tracker'!$C:$C,"&lt;&gt;Closed")/COUNTIFS('Candidate Tracker'!$E:$E,'Positions Tracker'!$B377)),"")</f>
        <v/>
      </c>
      <c r="BD377" s="67" t="str">
        <f t="shared" si="30"/>
        <v/>
      </c>
      <c r="BE377" s="67" t="str">
        <f t="shared" si="31"/>
        <v/>
      </c>
      <c r="BF377" s="67" t="str">
        <f t="shared" si="32"/>
        <v/>
      </c>
      <c r="BG377" s="67" t="str">
        <f t="shared" si="33"/>
        <v/>
      </c>
    </row>
    <row r="378" spans="1:59">
      <c r="A378" s="55"/>
      <c r="B378" s="56"/>
      <c r="C378" s="56"/>
      <c r="D378" s="56"/>
      <c r="E378" s="56"/>
      <c r="F378" s="56"/>
      <c r="G378" s="56"/>
      <c r="H378" s="56"/>
      <c r="I378" s="6"/>
      <c r="J378" s="6"/>
      <c r="K378" s="57"/>
      <c r="L378" s="57"/>
      <c r="M378" s="57"/>
      <c r="N378" s="56"/>
      <c r="O378" s="56"/>
      <c r="P378" s="56"/>
      <c r="Q378" s="56"/>
      <c r="R378" s="56"/>
      <c r="S378" s="56"/>
      <c r="T378" s="56"/>
      <c r="U378" s="56"/>
      <c r="V378" s="56"/>
      <c r="W378" s="56"/>
      <c r="X378" s="56"/>
      <c r="Y378" s="56"/>
      <c r="Z378" s="56"/>
      <c r="AA378" s="56"/>
      <c r="AB378" s="56"/>
      <c r="AC378" s="56"/>
      <c r="AD378" s="56"/>
      <c r="AE378" s="56"/>
      <c r="AF378" s="56"/>
      <c r="AG378" s="56"/>
      <c r="AH378" s="56"/>
      <c r="AI378" s="58"/>
      <c r="AJ378" s="56"/>
      <c r="AK378" s="56"/>
      <c r="AL378" s="56"/>
      <c r="AM378" s="57"/>
      <c r="AN378" s="57"/>
      <c r="AO378" s="56"/>
      <c r="AP378" s="56"/>
      <c r="AQ378" s="57"/>
      <c r="AR378" s="57"/>
      <c r="AS378" s="57"/>
      <c r="AT378" s="67">
        <f t="shared" ca="1" si="34"/>
        <v>0</v>
      </c>
      <c r="AU378" s="79" t="str">
        <f t="shared" ca="1" si="35"/>
        <v/>
      </c>
      <c r="AV378" s="79" t="str" cm="1">
        <f t="array" aca="1" ref="AV378" ca="1">IFERROR(_xlfn.IFS($AU378="","",$AU378&lt;=15,"0-15",AND($AU378&gt;=16,$AU378&lt;=30),"16-30",AND($AU378&gt;=31,$AU378&lt;=45),"31-45",AND($AU378&gt;=46,$AU378&lt;=60),"46-60",AND($AU378&gt;=61,$AU378&lt;=90),"61-90",AND($AU378&gt;=91),"&gt; 90",AND($AU378&gt;=2000),""),"")</f>
        <v/>
      </c>
      <c r="AW378" s="79" t="str" cm="1">
        <f t="array" aca="1" ref="AW378" ca="1">IFERROR(_xlfn.IFS(OR($M378="",$AM378=""),"",OR($C378="Offered",$C378="Joined"),($AM378-$M378)-$AT378),"")</f>
        <v/>
      </c>
      <c r="AX378" s="79" t="str" cm="1">
        <f t="array" aca="1" ref="AX378" ca="1">IFERROR(_xlfn.IFS(OR($M378="",$AS378=""),"",$C378="Joined",($AS378-$M378)-$AT378),"")</f>
        <v/>
      </c>
      <c r="AY378" s="67" t="str">
        <f>IFERROR(IF(COUNTIFS('Candidate Tracker'!$E:$E,'Positions Tracker'!$B378,'Candidate Tracker'!$C:$C,"Offer Drop")=0,"",COUNTIFS('Candidate Tracker'!$E:$E,'Positions Tracker'!$B378,'Candidate Tracker'!$C:$C,"Offer Drop")),"")</f>
        <v/>
      </c>
      <c r="AZ378" s="80">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0.88111888111888115</v>
      </c>
      <c r="BA378" s="81" t="str">
        <f>IFERROR(IF(COUNTIFS('Candidate Tracker'!$E:$E,'Positions Tracker'!$B378,'Candidate Tracker'!$I:$I,"Female")=0,"",COUNTIFS('Candidate Tracker'!$E:$E,'Positions Tracker'!$B378,'Candidate Tracker'!$I:$I,"Female")),"")</f>
        <v/>
      </c>
      <c r="BB378" s="81" t="str">
        <f>IFERROR(IF(COUNTIFS('Candidate Tracker'!$E:$E,'Positions Tracker'!$B378,'Candidate Tracker'!$I:$I,"male")=0,"",COUNTIFS('Candidate Tracker'!$E:$E,'Positions Tracker'!$B378,'Candidate Tracker'!$I:$I,"male")),"")</f>
        <v/>
      </c>
      <c r="BC378" s="80" t="str">
        <f>IFERROR(IF(COUNTIFS('Candidate Tracker'!$E:$E,'Positions Tracker'!$B378,'Candidate Tracker'!$C:$C,"&lt;&gt;WIP",'Candidate Tracker'!$C:$C,"&lt;&gt;Hold",'Candidate Tracker'!$C:$C,"&lt;&gt;Cancelled",'Candidate Tracker'!$C:$C,"&lt;&gt;Closed")/COUNTIFS('Candidate Tracker'!$E:$E,'Positions Tracker'!$B378)=0,"",COUNTIFS('Candidate Tracker'!$E:$E,'Positions Tracker'!$B378,'Candidate Tracker'!$C:$C,"&lt;&gt;WIP",'Candidate Tracker'!$C:$C,"&lt;&gt;Hold",'Candidate Tracker'!$C:$C,"&lt;&gt;Cancelled",'Candidate Tracker'!$C:$C,"&lt;&gt;Closed")/COUNTIFS('Candidate Tracker'!$E:$E,'Positions Tracker'!$B378)),"")</f>
        <v/>
      </c>
      <c r="BD378" s="67" t="str">
        <f t="shared" si="30"/>
        <v/>
      </c>
      <c r="BE378" s="67" t="str">
        <f t="shared" si="31"/>
        <v/>
      </c>
      <c r="BF378" s="67" t="str">
        <f t="shared" si="32"/>
        <v/>
      </c>
      <c r="BG378" s="67" t="str">
        <f t="shared" si="33"/>
        <v/>
      </c>
    </row>
    <row r="379" spans="1:59">
      <c r="A379" s="55"/>
      <c r="B379" s="56"/>
      <c r="C379" s="56"/>
      <c r="D379" s="56"/>
      <c r="E379" s="56"/>
      <c r="F379" s="56"/>
      <c r="G379" s="56"/>
      <c r="H379" s="56"/>
      <c r="I379" s="6"/>
      <c r="J379" s="6"/>
      <c r="K379" s="57"/>
      <c r="L379" s="57"/>
      <c r="M379" s="57"/>
      <c r="N379" s="56"/>
      <c r="O379" s="56"/>
      <c r="P379" s="56"/>
      <c r="Q379" s="56"/>
      <c r="R379" s="56"/>
      <c r="S379" s="56"/>
      <c r="T379" s="56"/>
      <c r="U379" s="56"/>
      <c r="V379" s="56"/>
      <c r="W379" s="56"/>
      <c r="X379" s="56"/>
      <c r="Y379" s="56"/>
      <c r="Z379" s="56"/>
      <c r="AA379" s="56"/>
      <c r="AB379" s="56"/>
      <c r="AC379" s="56"/>
      <c r="AD379" s="56"/>
      <c r="AE379" s="56"/>
      <c r="AF379" s="56"/>
      <c r="AG379" s="56"/>
      <c r="AH379" s="56"/>
      <c r="AI379" s="58"/>
      <c r="AJ379" s="56"/>
      <c r="AK379" s="56"/>
      <c r="AL379" s="56"/>
      <c r="AM379" s="57"/>
      <c r="AN379" s="57"/>
      <c r="AO379" s="56"/>
      <c r="AP379" s="56"/>
      <c r="AQ379" s="57"/>
      <c r="AR379" s="57"/>
      <c r="AS379" s="57"/>
      <c r="AT379" s="67">
        <f t="shared" ca="1" si="34"/>
        <v>0</v>
      </c>
      <c r="AU379" s="79" t="str">
        <f t="shared" ca="1" si="35"/>
        <v/>
      </c>
      <c r="AV379" s="79" t="str" cm="1">
        <f t="array" aca="1" ref="AV379" ca="1">IFERROR(_xlfn.IFS($AU379="","",$AU379&lt;=15,"0-15",AND($AU379&gt;=16,$AU379&lt;=30),"16-30",AND($AU379&gt;=31,$AU379&lt;=45),"31-45",AND($AU379&gt;=46,$AU379&lt;=60),"46-60",AND($AU379&gt;=61,$AU379&lt;=90),"61-90",AND($AU379&gt;=91),"&gt; 90",AND($AU379&gt;=2000),""),"")</f>
        <v/>
      </c>
      <c r="AW379" s="79" t="str" cm="1">
        <f t="array" aca="1" ref="AW379" ca="1">IFERROR(_xlfn.IFS(OR($M379="",$AM379=""),"",OR($C379="Offered",$C379="Joined"),($AM379-$M379)-$AT379),"")</f>
        <v/>
      </c>
      <c r="AX379" s="79" t="str" cm="1">
        <f t="array" aca="1" ref="AX379" ca="1">IFERROR(_xlfn.IFS(OR($M379="",$AS379=""),"",$C379="Joined",($AS379-$M379)-$AT379),"")</f>
        <v/>
      </c>
      <c r="AY379" s="67" t="str">
        <f>IFERROR(IF(COUNTIFS('Candidate Tracker'!$E:$E,'Positions Tracker'!$B379,'Candidate Tracker'!$C:$C,"Offer Drop")=0,"",COUNTIFS('Candidate Tracker'!$E:$E,'Positions Tracker'!$B379,'Candidate Tracker'!$C:$C,"Offer Drop")),"")</f>
        <v/>
      </c>
      <c r="AZ379" s="80">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0.88111888111888115</v>
      </c>
      <c r="BA379" s="81" t="str">
        <f>IFERROR(IF(COUNTIFS('Candidate Tracker'!$E:$E,'Positions Tracker'!$B379,'Candidate Tracker'!$I:$I,"Female")=0,"",COUNTIFS('Candidate Tracker'!$E:$E,'Positions Tracker'!$B379,'Candidate Tracker'!$I:$I,"Female")),"")</f>
        <v/>
      </c>
      <c r="BB379" s="81" t="str">
        <f>IFERROR(IF(COUNTIFS('Candidate Tracker'!$E:$E,'Positions Tracker'!$B379,'Candidate Tracker'!$I:$I,"male")=0,"",COUNTIFS('Candidate Tracker'!$E:$E,'Positions Tracker'!$B379,'Candidate Tracker'!$I:$I,"male")),"")</f>
        <v/>
      </c>
      <c r="BC379" s="80" t="str">
        <f>IFERROR(IF(COUNTIFS('Candidate Tracker'!$E:$E,'Positions Tracker'!$B379,'Candidate Tracker'!$C:$C,"&lt;&gt;WIP",'Candidate Tracker'!$C:$C,"&lt;&gt;Hold",'Candidate Tracker'!$C:$C,"&lt;&gt;Cancelled",'Candidate Tracker'!$C:$C,"&lt;&gt;Closed")/COUNTIFS('Candidate Tracker'!$E:$E,'Positions Tracker'!$B379)=0,"",COUNTIFS('Candidate Tracker'!$E:$E,'Positions Tracker'!$B379,'Candidate Tracker'!$C:$C,"&lt;&gt;WIP",'Candidate Tracker'!$C:$C,"&lt;&gt;Hold",'Candidate Tracker'!$C:$C,"&lt;&gt;Cancelled",'Candidate Tracker'!$C:$C,"&lt;&gt;Closed")/COUNTIFS('Candidate Tracker'!$E:$E,'Positions Tracker'!$B379)),"")</f>
        <v/>
      </c>
      <c r="BD379" s="67" t="str">
        <f t="shared" si="30"/>
        <v/>
      </c>
      <c r="BE379" s="67" t="str">
        <f t="shared" si="31"/>
        <v/>
      </c>
      <c r="BF379" s="67" t="str">
        <f t="shared" si="32"/>
        <v/>
      </c>
      <c r="BG379" s="67" t="str">
        <f t="shared" si="33"/>
        <v/>
      </c>
    </row>
    <row r="380" spans="1:59">
      <c r="A380" s="55"/>
      <c r="B380" s="56"/>
      <c r="C380" s="56"/>
      <c r="D380" s="56"/>
      <c r="E380" s="56"/>
      <c r="F380" s="56"/>
      <c r="G380" s="56"/>
      <c r="H380" s="56"/>
      <c r="I380" s="6"/>
      <c r="J380" s="6"/>
      <c r="K380" s="57"/>
      <c r="L380" s="57"/>
      <c r="M380" s="57"/>
      <c r="N380" s="56"/>
      <c r="O380" s="56"/>
      <c r="P380" s="56"/>
      <c r="Q380" s="56"/>
      <c r="R380" s="56"/>
      <c r="S380" s="56"/>
      <c r="T380" s="56"/>
      <c r="U380" s="56"/>
      <c r="V380" s="56"/>
      <c r="W380" s="56"/>
      <c r="X380" s="56"/>
      <c r="Y380" s="56"/>
      <c r="Z380" s="56"/>
      <c r="AA380" s="56"/>
      <c r="AB380" s="56"/>
      <c r="AC380" s="56"/>
      <c r="AD380" s="56"/>
      <c r="AE380" s="56"/>
      <c r="AF380" s="56"/>
      <c r="AG380" s="56"/>
      <c r="AH380" s="56"/>
      <c r="AI380" s="58"/>
      <c r="AJ380" s="56"/>
      <c r="AK380" s="56"/>
      <c r="AL380" s="56"/>
      <c r="AM380" s="57"/>
      <c r="AN380" s="57"/>
      <c r="AO380" s="56"/>
      <c r="AP380" s="56"/>
      <c r="AQ380" s="57"/>
      <c r="AR380" s="57"/>
      <c r="AS380" s="57"/>
      <c r="AT380" s="67">
        <f t="shared" ca="1" si="34"/>
        <v>0</v>
      </c>
      <c r="AU380" s="79" t="str">
        <f t="shared" ca="1" si="35"/>
        <v/>
      </c>
      <c r="AV380" s="79" t="str" cm="1">
        <f t="array" aca="1" ref="AV380" ca="1">IFERROR(_xlfn.IFS($AU380="","",$AU380&lt;=15,"0-15",AND($AU380&gt;=16,$AU380&lt;=30),"16-30",AND($AU380&gt;=31,$AU380&lt;=45),"31-45",AND($AU380&gt;=46,$AU380&lt;=60),"46-60",AND($AU380&gt;=61,$AU380&lt;=90),"61-90",AND($AU380&gt;=91),"&gt; 90",AND($AU380&gt;=2000),""),"")</f>
        <v/>
      </c>
      <c r="AW380" s="79" t="str" cm="1">
        <f t="array" aca="1" ref="AW380" ca="1">IFERROR(_xlfn.IFS(OR($M380="",$AM380=""),"",OR($C380="Offered",$C380="Joined"),($AM380-$M380)-$AT380),"")</f>
        <v/>
      </c>
      <c r="AX380" s="79" t="str" cm="1">
        <f t="array" aca="1" ref="AX380" ca="1">IFERROR(_xlfn.IFS(OR($M380="",$AS380=""),"",$C380="Joined",($AS380-$M380)-$AT380),"")</f>
        <v/>
      </c>
      <c r="AY380" s="67" t="str">
        <f>IFERROR(IF(COUNTIFS('Candidate Tracker'!$E:$E,'Positions Tracker'!$B380,'Candidate Tracker'!$C:$C,"Offer Drop")=0,"",COUNTIFS('Candidate Tracker'!$E:$E,'Positions Tracker'!$B380,'Candidate Tracker'!$C:$C,"Offer Drop")),"")</f>
        <v/>
      </c>
      <c r="AZ380" s="80">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0.88111888111888115</v>
      </c>
      <c r="BA380" s="81" t="str">
        <f>IFERROR(IF(COUNTIFS('Candidate Tracker'!$E:$E,'Positions Tracker'!$B380,'Candidate Tracker'!$I:$I,"Female")=0,"",COUNTIFS('Candidate Tracker'!$E:$E,'Positions Tracker'!$B380,'Candidate Tracker'!$I:$I,"Female")),"")</f>
        <v/>
      </c>
      <c r="BB380" s="81" t="str">
        <f>IFERROR(IF(COUNTIFS('Candidate Tracker'!$E:$E,'Positions Tracker'!$B380,'Candidate Tracker'!$I:$I,"male")=0,"",COUNTIFS('Candidate Tracker'!$E:$E,'Positions Tracker'!$B380,'Candidate Tracker'!$I:$I,"male")),"")</f>
        <v/>
      </c>
      <c r="BC380" s="80" t="str">
        <f>IFERROR(IF(COUNTIFS('Candidate Tracker'!$E:$E,'Positions Tracker'!$B380,'Candidate Tracker'!$C:$C,"&lt;&gt;WIP",'Candidate Tracker'!$C:$C,"&lt;&gt;Hold",'Candidate Tracker'!$C:$C,"&lt;&gt;Cancelled",'Candidate Tracker'!$C:$C,"&lt;&gt;Closed")/COUNTIFS('Candidate Tracker'!$E:$E,'Positions Tracker'!$B380)=0,"",COUNTIFS('Candidate Tracker'!$E:$E,'Positions Tracker'!$B380,'Candidate Tracker'!$C:$C,"&lt;&gt;WIP",'Candidate Tracker'!$C:$C,"&lt;&gt;Hold",'Candidate Tracker'!$C:$C,"&lt;&gt;Cancelled",'Candidate Tracker'!$C:$C,"&lt;&gt;Closed")/COUNTIFS('Candidate Tracker'!$E:$E,'Positions Tracker'!$B380)),"")</f>
        <v/>
      </c>
      <c r="BD380" s="67" t="str">
        <f t="shared" si="30"/>
        <v/>
      </c>
      <c r="BE380" s="67" t="str">
        <f t="shared" si="31"/>
        <v/>
      </c>
      <c r="BF380" s="67" t="str">
        <f t="shared" si="32"/>
        <v/>
      </c>
      <c r="BG380" s="67" t="str">
        <f t="shared" si="33"/>
        <v/>
      </c>
    </row>
    <row r="381" spans="1:59">
      <c r="A381" s="55"/>
      <c r="B381" s="56"/>
      <c r="C381" s="56"/>
      <c r="D381" s="56"/>
      <c r="E381" s="56"/>
      <c r="F381" s="56"/>
      <c r="G381" s="56"/>
      <c r="H381" s="56"/>
      <c r="I381" s="6"/>
      <c r="J381" s="6"/>
      <c r="K381" s="57"/>
      <c r="L381" s="57"/>
      <c r="M381" s="57"/>
      <c r="N381" s="56"/>
      <c r="O381" s="56"/>
      <c r="P381" s="56"/>
      <c r="Q381" s="56"/>
      <c r="R381" s="56"/>
      <c r="S381" s="56"/>
      <c r="T381" s="56"/>
      <c r="U381" s="56"/>
      <c r="V381" s="56"/>
      <c r="W381" s="56"/>
      <c r="X381" s="56"/>
      <c r="Y381" s="56"/>
      <c r="Z381" s="56"/>
      <c r="AA381" s="56"/>
      <c r="AB381" s="56"/>
      <c r="AC381" s="56"/>
      <c r="AD381" s="56"/>
      <c r="AE381" s="56"/>
      <c r="AF381" s="56"/>
      <c r="AG381" s="56"/>
      <c r="AH381" s="56"/>
      <c r="AI381" s="58"/>
      <c r="AJ381" s="56"/>
      <c r="AK381" s="56"/>
      <c r="AL381" s="56"/>
      <c r="AM381" s="57"/>
      <c r="AN381" s="57"/>
      <c r="AO381" s="56"/>
      <c r="AP381" s="56"/>
      <c r="AQ381" s="57"/>
      <c r="AR381" s="57"/>
      <c r="AS381" s="57"/>
      <c r="AT381" s="67">
        <f t="shared" ca="1" si="34"/>
        <v>0</v>
      </c>
      <c r="AU381" s="79" t="str">
        <f t="shared" ca="1" si="35"/>
        <v/>
      </c>
      <c r="AV381" s="79" t="str" cm="1">
        <f t="array" aca="1" ref="AV381" ca="1">IFERROR(_xlfn.IFS($AU381="","",$AU381&lt;=15,"0-15",AND($AU381&gt;=16,$AU381&lt;=30),"16-30",AND($AU381&gt;=31,$AU381&lt;=45),"31-45",AND($AU381&gt;=46,$AU381&lt;=60),"46-60",AND($AU381&gt;=61,$AU381&lt;=90),"61-90",AND($AU381&gt;=91),"&gt; 90",AND($AU381&gt;=2000),""),"")</f>
        <v/>
      </c>
      <c r="AW381" s="79" t="str" cm="1">
        <f t="array" aca="1" ref="AW381" ca="1">IFERROR(_xlfn.IFS(OR($M381="",$AM381=""),"",OR($C381="Offered",$C381="Joined"),($AM381-$M381)-$AT381),"")</f>
        <v/>
      </c>
      <c r="AX381" s="79" t="str" cm="1">
        <f t="array" aca="1" ref="AX381" ca="1">IFERROR(_xlfn.IFS(OR($M381="",$AS381=""),"",$C381="Joined",($AS381-$M381)-$AT381),"")</f>
        <v/>
      </c>
      <c r="AY381" s="67" t="str">
        <f>IFERROR(IF(COUNTIFS('Candidate Tracker'!$E:$E,'Positions Tracker'!$B381,'Candidate Tracker'!$C:$C,"Offer Drop")=0,"",COUNTIFS('Candidate Tracker'!$E:$E,'Positions Tracker'!$B381,'Candidate Tracker'!$C:$C,"Offer Drop")),"")</f>
        <v/>
      </c>
      <c r="AZ381" s="80">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0.88111888111888115</v>
      </c>
      <c r="BA381" s="81" t="str">
        <f>IFERROR(IF(COUNTIFS('Candidate Tracker'!$E:$E,'Positions Tracker'!$B381,'Candidate Tracker'!$I:$I,"Female")=0,"",COUNTIFS('Candidate Tracker'!$E:$E,'Positions Tracker'!$B381,'Candidate Tracker'!$I:$I,"Female")),"")</f>
        <v/>
      </c>
      <c r="BB381" s="81" t="str">
        <f>IFERROR(IF(COUNTIFS('Candidate Tracker'!$E:$E,'Positions Tracker'!$B381,'Candidate Tracker'!$I:$I,"male")=0,"",COUNTIFS('Candidate Tracker'!$E:$E,'Positions Tracker'!$B381,'Candidate Tracker'!$I:$I,"male")),"")</f>
        <v/>
      </c>
      <c r="BC381" s="80" t="str">
        <f>IFERROR(IF(COUNTIFS('Candidate Tracker'!$E:$E,'Positions Tracker'!$B381,'Candidate Tracker'!$C:$C,"&lt;&gt;WIP",'Candidate Tracker'!$C:$C,"&lt;&gt;Hold",'Candidate Tracker'!$C:$C,"&lt;&gt;Cancelled",'Candidate Tracker'!$C:$C,"&lt;&gt;Closed")/COUNTIFS('Candidate Tracker'!$E:$E,'Positions Tracker'!$B381)=0,"",COUNTIFS('Candidate Tracker'!$E:$E,'Positions Tracker'!$B381,'Candidate Tracker'!$C:$C,"&lt;&gt;WIP",'Candidate Tracker'!$C:$C,"&lt;&gt;Hold",'Candidate Tracker'!$C:$C,"&lt;&gt;Cancelled",'Candidate Tracker'!$C:$C,"&lt;&gt;Closed")/COUNTIFS('Candidate Tracker'!$E:$E,'Positions Tracker'!$B381)),"")</f>
        <v/>
      </c>
      <c r="BD381" s="67" t="str">
        <f t="shared" si="30"/>
        <v/>
      </c>
      <c r="BE381" s="67" t="str">
        <f t="shared" si="31"/>
        <v/>
      </c>
      <c r="BF381" s="67" t="str">
        <f t="shared" si="32"/>
        <v/>
      </c>
      <c r="BG381" s="67" t="str">
        <f t="shared" si="33"/>
        <v/>
      </c>
    </row>
    <row r="382" spans="1:59">
      <c r="A382" s="55"/>
      <c r="B382" s="56"/>
      <c r="C382" s="56"/>
      <c r="D382" s="56"/>
      <c r="E382" s="56"/>
      <c r="F382" s="56"/>
      <c r="G382" s="56"/>
      <c r="H382" s="56"/>
      <c r="I382" s="6"/>
      <c r="J382" s="6"/>
      <c r="K382" s="57"/>
      <c r="L382" s="57"/>
      <c r="M382" s="57"/>
      <c r="N382" s="56"/>
      <c r="O382" s="56"/>
      <c r="P382" s="56"/>
      <c r="Q382" s="56"/>
      <c r="R382" s="56"/>
      <c r="S382" s="56"/>
      <c r="T382" s="56"/>
      <c r="U382" s="56"/>
      <c r="V382" s="56"/>
      <c r="W382" s="56"/>
      <c r="X382" s="56"/>
      <c r="Y382" s="56"/>
      <c r="Z382" s="56"/>
      <c r="AA382" s="56"/>
      <c r="AB382" s="56"/>
      <c r="AC382" s="56"/>
      <c r="AD382" s="56"/>
      <c r="AE382" s="56"/>
      <c r="AF382" s="56"/>
      <c r="AG382" s="56"/>
      <c r="AH382" s="56"/>
      <c r="AI382" s="58"/>
      <c r="AJ382" s="56"/>
      <c r="AK382" s="56"/>
      <c r="AL382" s="56"/>
      <c r="AM382" s="57"/>
      <c r="AN382" s="57"/>
      <c r="AO382" s="56"/>
      <c r="AP382" s="56"/>
      <c r="AQ382" s="57"/>
      <c r="AR382" s="57"/>
      <c r="AS382" s="57"/>
      <c r="AT382" s="67">
        <f t="shared" ca="1" si="34"/>
        <v>0</v>
      </c>
      <c r="AU382" s="79" t="str">
        <f t="shared" ca="1" si="35"/>
        <v/>
      </c>
      <c r="AV382" s="79" t="str" cm="1">
        <f t="array" aca="1" ref="AV382" ca="1">IFERROR(_xlfn.IFS($AU382="","",$AU382&lt;=15,"0-15",AND($AU382&gt;=16,$AU382&lt;=30),"16-30",AND($AU382&gt;=31,$AU382&lt;=45),"31-45",AND($AU382&gt;=46,$AU382&lt;=60),"46-60",AND($AU382&gt;=61,$AU382&lt;=90),"61-90",AND($AU382&gt;=91),"&gt; 90",AND($AU382&gt;=2000),""),"")</f>
        <v/>
      </c>
      <c r="AW382" s="79" t="str" cm="1">
        <f t="array" aca="1" ref="AW382" ca="1">IFERROR(_xlfn.IFS(OR($M382="",$AM382=""),"",OR($C382="Offered",$C382="Joined"),($AM382-$M382)-$AT382),"")</f>
        <v/>
      </c>
      <c r="AX382" s="79" t="str" cm="1">
        <f t="array" aca="1" ref="AX382" ca="1">IFERROR(_xlfn.IFS(OR($M382="",$AS382=""),"",$C382="Joined",($AS382-$M382)-$AT382),"")</f>
        <v/>
      </c>
      <c r="AY382" s="67" t="str">
        <f>IFERROR(IF(COUNTIFS('Candidate Tracker'!$E:$E,'Positions Tracker'!$B382,'Candidate Tracker'!$C:$C,"Offer Drop")=0,"",COUNTIFS('Candidate Tracker'!$E:$E,'Positions Tracker'!$B382,'Candidate Tracker'!$C:$C,"Offer Drop")),"")</f>
        <v/>
      </c>
      <c r="AZ382" s="80">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0.88111888111888115</v>
      </c>
      <c r="BA382" s="81" t="str">
        <f>IFERROR(IF(COUNTIFS('Candidate Tracker'!$E:$E,'Positions Tracker'!$B382,'Candidate Tracker'!$I:$I,"Female")=0,"",COUNTIFS('Candidate Tracker'!$E:$E,'Positions Tracker'!$B382,'Candidate Tracker'!$I:$I,"Female")),"")</f>
        <v/>
      </c>
      <c r="BB382" s="81" t="str">
        <f>IFERROR(IF(COUNTIFS('Candidate Tracker'!$E:$E,'Positions Tracker'!$B382,'Candidate Tracker'!$I:$I,"male")=0,"",COUNTIFS('Candidate Tracker'!$E:$E,'Positions Tracker'!$B382,'Candidate Tracker'!$I:$I,"male")),"")</f>
        <v/>
      </c>
      <c r="BC382" s="80" t="str">
        <f>IFERROR(IF(COUNTIFS('Candidate Tracker'!$E:$E,'Positions Tracker'!$B382,'Candidate Tracker'!$C:$C,"&lt;&gt;WIP",'Candidate Tracker'!$C:$C,"&lt;&gt;Hold",'Candidate Tracker'!$C:$C,"&lt;&gt;Cancelled",'Candidate Tracker'!$C:$C,"&lt;&gt;Closed")/COUNTIFS('Candidate Tracker'!$E:$E,'Positions Tracker'!$B382)=0,"",COUNTIFS('Candidate Tracker'!$E:$E,'Positions Tracker'!$B382,'Candidate Tracker'!$C:$C,"&lt;&gt;WIP",'Candidate Tracker'!$C:$C,"&lt;&gt;Hold",'Candidate Tracker'!$C:$C,"&lt;&gt;Cancelled",'Candidate Tracker'!$C:$C,"&lt;&gt;Closed")/COUNTIFS('Candidate Tracker'!$E:$E,'Positions Tracker'!$B382)),"")</f>
        <v/>
      </c>
      <c r="BD382" s="67" t="str">
        <f t="shared" si="30"/>
        <v/>
      </c>
      <c r="BE382" s="67" t="str">
        <f t="shared" si="31"/>
        <v/>
      </c>
      <c r="BF382" s="67" t="str">
        <f t="shared" si="32"/>
        <v/>
      </c>
      <c r="BG382" s="67" t="str">
        <f t="shared" si="33"/>
        <v/>
      </c>
    </row>
    <row r="383" spans="1:59">
      <c r="A383" s="55"/>
      <c r="B383" s="56"/>
      <c r="C383" s="56"/>
      <c r="D383" s="56"/>
      <c r="E383" s="56"/>
      <c r="F383" s="56"/>
      <c r="G383" s="56"/>
      <c r="H383" s="56"/>
      <c r="I383" s="6"/>
      <c r="J383" s="6"/>
      <c r="K383" s="57"/>
      <c r="L383" s="57"/>
      <c r="M383" s="57"/>
      <c r="N383" s="56"/>
      <c r="O383" s="56"/>
      <c r="P383" s="56"/>
      <c r="Q383" s="56"/>
      <c r="R383" s="56"/>
      <c r="S383" s="56"/>
      <c r="T383" s="56"/>
      <c r="U383" s="56"/>
      <c r="V383" s="56"/>
      <c r="W383" s="56"/>
      <c r="X383" s="56"/>
      <c r="Y383" s="56"/>
      <c r="Z383" s="56"/>
      <c r="AA383" s="56"/>
      <c r="AB383" s="56"/>
      <c r="AC383" s="56"/>
      <c r="AD383" s="56"/>
      <c r="AE383" s="56"/>
      <c r="AF383" s="56"/>
      <c r="AG383" s="56"/>
      <c r="AH383" s="56"/>
      <c r="AI383" s="58"/>
      <c r="AJ383" s="56"/>
      <c r="AK383" s="56"/>
      <c r="AL383" s="56"/>
      <c r="AM383" s="57"/>
      <c r="AN383" s="57"/>
      <c r="AO383" s="56"/>
      <c r="AP383" s="56"/>
      <c r="AQ383" s="57"/>
      <c r="AR383" s="57"/>
      <c r="AS383" s="57"/>
      <c r="AT383" s="67">
        <f t="shared" ca="1" si="34"/>
        <v>0</v>
      </c>
      <c r="AU383" s="79" t="str">
        <f t="shared" ca="1" si="35"/>
        <v/>
      </c>
      <c r="AV383" s="79" t="str" cm="1">
        <f t="array" aca="1" ref="AV383" ca="1">IFERROR(_xlfn.IFS($AU383="","",$AU383&lt;=15,"0-15",AND($AU383&gt;=16,$AU383&lt;=30),"16-30",AND($AU383&gt;=31,$AU383&lt;=45),"31-45",AND($AU383&gt;=46,$AU383&lt;=60),"46-60",AND($AU383&gt;=61,$AU383&lt;=90),"61-90",AND($AU383&gt;=91),"&gt; 90",AND($AU383&gt;=2000),""),"")</f>
        <v/>
      </c>
      <c r="AW383" s="79" t="str" cm="1">
        <f t="array" aca="1" ref="AW383" ca="1">IFERROR(_xlfn.IFS(OR($M383="",$AM383=""),"",OR($C383="Offered",$C383="Joined"),($AM383-$M383)-$AT383),"")</f>
        <v/>
      </c>
      <c r="AX383" s="79" t="str" cm="1">
        <f t="array" aca="1" ref="AX383" ca="1">IFERROR(_xlfn.IFS(OR($M383="",$AS383=""),"",$C383="Joined",($AS383-$M383)-$AT383),"")</f>
        <v/>
      </c>
      <c r="AY383" s="67" t="str">
        <f>IFERROR(IF(COUNTIFS('Candidate Tracker'!$E:$E,'Positions Tracker'!$B383,'Candidate Tracker'!$C:$C,"Offer Drop")=0,"",COUNTIFS('Candidate Tracker'!$E:$E,'Positions Tracker'!$B383,'Candidate Tracker'!$C:$C,"Offer Drop")),"")</f>
        <v/>
      </c>
      <c r="AZ383" s="80">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0.88111888111888115</v>
      </c>
      <c r="BA383" s="81" t="str">
        <f>IFERROR(IF(COUNTIFS('Candidate Tracker'!$E:$E,'Positions Tracker'!$B383,'Candidate Tracker'!$I:$I,"Female")=0,"",COUNTIFS('Candidate Tracker'!$E:$E,'Positions Tracker'!$B383,'Candidate Tracker'!$I:$I,"Female")),"")</f>
        <v/>
      </c>
      <c r="BB383" s="81" t="str">
        <f>IFERROR(IF(COUNTIFS('Candidate Tracker'!$E:$E,'Positions Tracker'!$B383,'Candidate Tracker'!$I:$I,"male")=0,"",COUNTIFS('Candidate Tracker'!$E:$E,'Positions Tracker'!$B383,'Candidate Tracker'!$I:$I,"male")),"")</f>
        <v/>
      </c>
      <c r="BC383" s="80" t="str">
        <f>IFERROR(IF(COUNTIFS('Candidate Tracker'!$E:$E,'Positions Tracker'!$B383,'Candidate Tracker'!$C:$C,"&lt;&gt;WIP",'Candidate Tracker'!$C:$C,"&lt;&gt;Hold",'Candidate Tracker'!$C:$C,"&lt;&gt;Cancelled",'Candidate Tracker'!$C:$C,"&lt;&gt;Closed")/COUNTIFS('Candidate Tracker'!$E:$E,'Positions Tracker'!$B383)=0,"",COUNTIFS('Candidate Tracker'!$E:$E,'Positions Tracker'!$B383,'Candidate Tracker'!$C:$C,"&lt;&gt;WIP",'Candidate Tracker'!$C:$C,"&lt;&gt;Hold",'Candidate Tracker'!$C:$C,"&lt;&gt;Cancelled",'Candidate Tracker'!$C:$C,"&lt;&gt;Closed")/COUNTIFS('Candidate Tracker'!$E:$E,'Positions Tracker'!$B383)),"")</f>
        <v/>
      </c>
      <c r="BD383" s="67" t="str">
        <f t="shared" si="30"/>
        <v/>
      </c>
      <c r="BE383" s="67" t="str">
        <f t="shared" si="31"/>
        <v/>
      </c>
      <c r="BF383" s="67" t="str">
        <f t="shared" si="32"/>
        <v/>
      </c>
      <c r="BG383" s="67" t="str">
        <f t="shared" si="33"/>
        <v/>
      </c>
    </row>
    <row r="384" spans="1:59">
      <c r="A384" s="55"/>
      <c r="B384" s="56"/>
      <c r="C384" s="56"/>
      <c r="D384" s="56"/>
      <c r="E384" s="56"/>
      <c r="F384" s="56"/>
      <c r="G384" s="56"/>
      <c r="H384" s="56"/>
      <c r="I384" s="6"/>
      <c r="J384" s="6"/>
      <c r="K384" s="57"/>
      <c r="L384" s="57"/>
      <c r="M384" s="57"/>
      <c r="N384" s="56"/>
      <c r="O384" s="56"/>
      <c r="P384" s="56"/>
      <c r="Q384" s="56"/>
      <c r="R384" s="56"/>
      <c r="S384" s="56"/>
      <c r="T384" s="56"/>
      <c r="U384" s="56"/>
      <c r="V384" s="56"/>
      <c r="W384" s="56"/>
      <c r="X384" s="56"/>
      <c r="Y384" s="56"/>
      <c r="Z384" s="56"/>
      <c r="AA384" s="56"/>
      <c r="AB384" s="56"/>
      <c r="AC384" s="56"/>
      <c r="AD384" s="56"/>
      <c r="AE384" s="56"/>
      <c r="AF384" s="56"/>
      <c r="AG384" s="56"/>
      <c r="AH384" s="56"/>
      <c r="AI384" s="58"/>
      <c r="AJ384" s="56"/>
      <c r="AK384" s="56"/>
      <c r="AL384" s="56"/>
      <c r="AM384" s="57"/>
      <c r="AN384" s="57"/>
      <c r="AO384" s="56"/>
      <c r="AP384" s="56"/>
      <c r="AQ384" s="57"/>
      <c r="AR384" s="57"/>
      <c r="AS384" s="57"/>
      <c r="AT384" s="67">
        <f t="shared" ca="1" si="34"/>
        <v>0</v>
      </c>
      <c r="AU384" s="79" t="str">
        <f t="shared" ca="1" si="35"/>
        <v/>
      </c>
      <c r="AV384" s="79" t="str" cm="1">
        <f t="array" aca="1" ref="AV384" ca="1">IFERROR(_xlfn.IFS($AU384="","",$AU384&lt;=15,"0-15",AND($AU384&gt;=16,$AU384&lt;=30),"16-30",AND($AU384&gt;=31,$AU384&lt;=45),"31-45",AND($AU384&gt;=46,$AU384&lt;=60),"46-60",AND($AU384&gt;=61,$AU384&lt;=90),"61-90",AND($AU384&gt;=91),"&gt; 90",AND($AU384&gt;=2000),""),"")</f>
        <v/>
      </c>
      <c r="AW384" s="79" t="str" cm="1">
        <f t="array" aca="1" ref="AW384" ca="1">IFERROR(_xlfn.IFS(OR($M384="",$AM384=""),"",OR($C384="Offered",$C384="Joined"),($AM384-$M384)-$AT384),"")</f>
        <v/>
      </c>
      <c r="AX384" s="79" t="str" cm="1">
        <f t="array" aca="1" ref="AX384" ca="1">IFERROR(_xlfn.IFS(OR($M384="",$AS384=""),"",$C384="Joined",($AS384-$M384)-$AT384),"")</f>
        <v/>
      </c>
      <c r="AY384" s="67" t="str">
        <f>IFERROR(IF(COUNTIFS('Candidate Tracker'!$E:$E,'Positions Tracker'!$B384,'Candidate Tracker'!$C:$C,"Offer Drop")=0,"",COUNTIFS('Candidate Tracker'!$E:$E,'Positions Tracker'!$B384,'Candidate Tracker'!$C:$C,"Offer Drop")),"")</f>
        <v/>
      </c>
      <c r="AZ384" s="80">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0.88111888111888115</v>
      </c>
      <c r="BA384" s="81" t="str">
        <f>IFERROR(IF(COUNTIFS('Candidate Tracker'!$E:$E,'Positions Tracker'!$B384,'Candidate Tracker'!$I:$I,"Female")=0,"",COUNTIFS('Candidate Tracker'!$E:$E,'Positions Tracker'!$B384,'Candidate Tracker'!$I:$I,"Female")),"")</f>
        <v/>
      </c>
      <c r="BB384" s="81" t="str">
        <f>IFERROR(IF(COUNTIFS('Candidate Tracker'!$E:$E,'Positions Tracker'!$B384,'Candidate Tracker'!$I:$I,"male")=0,"",COUNTIFS('Candidate Tracker'!$E:$E,'Positions Tracker'!$B384,'Candidate Tracker'!$I:$I,"male")),"")</f>
        <v/>
      </c>
      <c r="BC384" s="80" t="str">
        <f>IFERROR(IF(COUNTIFS('Candidate Tracker'!$E:$E,'Positions Tracker'!$B384,'Candidate Tracker'!$C:$C,"&lt;&gt;WIP",'Candidate Tracker'!$C:$C,"&lt;&gt;Hold",'Candidate Tracker'!$C:$C,"&lt;&gt;Cancelled",'Candidate Tracker'!$C:$C,"&lt;&gt;Closed")/COUNTIFS('Candidate Tracker'!$E:$E,'Positions Tracker'!$B384)=0,"",COUNTIFS('Candidate Tracker'!$E:$E,'Positions Tracker'!$B384,'Candidate Tracker'!$C:$C,"&lt;&gt;WIP",'Candidate Tracker'!$C:$C,"&lt;&gt;Hold",'Candidate Tracker'!$C:$C,"&lt;&gt;Cancelled",'Candidate Tracker'!$C:$C,"&lt;&gt;Closed")/COUNTIFS('Candidate Tracker'!$E:$E,'Positions Tracker'!$B384)),"")</f>
        <v/>
      </c>
      <c r="BD384" s="67" t="str">
        <f t="shared" si="30"/>
        <v/>
      </c>
      <c r="BE384" s="67" t="str">
        <f t="shared" si="31"/>
        <v/>
      </c>
      <c r="BF384" s="67" t="str">
        <f t="shared" si="32"/>
        <v/>
      </c>
      <c r="BG384" s="67" t="str">
        <f t="shared" si="33"/>
        <v/>
      </c>
    </row>
    <row r="385" spans="1:59">
      <c r="A385" s="55"/>
      <c r="B385" s="56"/>
      <c r="C385" s="56"/>
      <c r="D385" s="56"/>
      <c r="E385" s="56"/>
      <c r="F385" s="56"/>
      <c r="G385" s="56"/>
      <c r="H385" s="56"/>
      <c r="I385" s="6"/>
      <c r="J385" s="6"/>
      <c r="K385" s="57"/>
      <c r="L385" s="57"/>
      <c r="M385" s="57"/>
      <c r="N385" s="56"/>
      <c r="O385" s="56"/>
      <c r="P385" s="56"/>
      <c r="Q385" s="56"/>
      <c r="R385" s="56"/>
      <c r="S385" s="56"/>
      <c r="T385" s="56"/>
      <c r="U385" s="56"/>
      <c r="V385" s="56"/>
      <c r="W385" s="56"/>
      <c r="X385" s="56"/>
      <c r="Y385" s="56"/>
      <c r="Z385" s="56"/>
      <c r="AA385" s="56"/>
      <c r="AB385" s="56"/>
      <c r="AC385" s="56"/>
      <c r="AD385" s="56"/>
      <c r="AE385" s="56"/>
      <c r="AF385" s="56"/>
      <c r="AG385" s="56"/>
      <c r="AH385" s="56"/>
      <c r="AI385" s="58"/>
      <c r="AJ385" s="56"/>
      <c r="AK385" s="56"/>
      <c r="AL385" s="56"/>
      <c r="AM385" s="57"/>
      <c r="AN385" s="57"/>
      <c r="AO385" s="56"/>
      <c r="AP385" s="56"/>
      <c r="AQ385" s="57"/>
      <c r="AR385" s="57"/>
      <c r="AS385" s="57"/>
      <c r="AT385" s="67">
        <f t="shared" ca="1" si="34"/>
        <v>0</v>
      </c>
      <c r="AU385" s="79" t="str">
        <f t="shared" ca="1" si="35"/>
        <v/>
      </c>
      <c r="AV385" s="79" t="str" cm="1">
        <f t="array" aca="1" ref="AV385" ca="1">IFERROR(_xlfn.IFS($AU385="","",$AU385&lt;=15,"0-15",AND($AU385&gt;=16,$AU385&lt;=30),"16-30",AND($AU385&gt;=31,$AU385&lt;=45),"31-45",AND($AU385&gt;=46,$AU385&lt;=60),"46-60",AND($AU385&gt;=61,$AU385&lt;=90),"61-90",AND($AU385&gt;=91),"&gt; 90",AND($AU385&gt;=2000),""),"")</f>
        <v/>
      </c>
      <c r="AW385" s="79" t="str" cm="1">
        <f t="array" aca="1" ref="AW385" ca="1">IFERROR(_xlfn.IFS(OR($M385="",$AM385=""),"",OR($C385="Offered",$C385="Joined"),($AM385-$M385)-$AT385),"")</f>
        <v/>
      </c>
      <c r="AX385" s="79" t="str" cm="1">
        <f t="array" aca="1" ref="AX385" ca="1">IFERROR(_xlfn.IFS(OR($M385="",$AS385=""),"",$C385="Joined",($AS385-$M385)-$AT385),"")</f>
        <v/>
      </c>
      <c r="AY385" s="67" t="str">
        <f>IFERROR(IF(COUNTIFS('Candidate Tracker'!$E:$E,'Positions Tracker'!$B385,'Candidate Tracker'!$C:$C,"Offer Drop")=0,"",COUNTIFS('Candidate Tracker'!$E:$E,'Positions Tracker'!$B385,'Candidate Tracker'!$C:$C,"Offer Drop")),"")</f>
        <v/>
      </c>
      <c r="AZ385" s="80">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0.88111888111888115</v>
      </c>
      <c r="BA385" s="81" t="str">
        <f>IFERROR(IF(COUNTIFS('Candidate Tracker'!$E:$E,'Positions Tracker'!$B385,'Candidate Tracker'!$I:$I,"Female")=0,"",COUNTIFS('Candidate Tracker'!$E:$E,'Positions Tracker'!$B385,'Candidate Tracker'!$I:$I,"Female")),"")</f>
        <v/>
      </c>
      <c r="BB385" s="81" t="str">
        <f>IFERROR(IF(COUNTIFS('Candidate Tracker'!$E:$E,'Positions Tracker'!$B385,'Candidate Tracker'!$I:$I,"male")=0,"",COUNTIFS('Candidate Tracker'!$E:$E,'Positions Tracker'!$B385,'Candidate Tracker'!$I:$I,"male")),"")</f>
        <v/>
      </c>
      <c r="BC385" s="80" t="str">
        <f>IFERROR(IF(COUNTIFS('Candidate Tracker'!$E:$E,'Positions Tracker'!$B385,'Candidate Tracker'!$C:$C,"&lt;&gt;WIP",'Candidate Tracker'!$C:$C,"&lt;&gt;Hold",'Candidate Tracker'!$C:$C,"&lt;&gt;Cancelled",'Candidate Tracker'!$C:$C,"&lt;&gt;Closed")/COUNTIFS('Candidate Tracker'!$E:$E,'Positions Tracker'!$B385)=0,"",COUNTIFS('Candidate Tracker'!$E:$E,'Positions Tracker'!$B385,'Candidate Tracker'!$C:$C,"&lt;&gt;WIP",'Candidate Tracker'!$C:$C,"&lt;&gt;Hold",'Candidate Tracker'!$C:$C,"&lt;&gt;Cancelled",'Candidate Tracker'!$C:$C,"&lt;&gt;Closed")/COUNTIFS('Candidate Tracker'!$E:$E,'Positions Tracker'!$B385)),"")</f>
        <v/>
      </c>
      <c r="BD385" s="67" t="str">
        <f t="shared" ref="BD385:BD448" si="36">IFERROR(IF($M385="","",TEXT($M385,"MMM-YY")),"")</f>
        <v/>
      </c>
      <c r="BE385" s="67" t="str">
        <f t="shared" ref="BE385:BE448" si="37">IFERROR(IF($AI385="","",TEXT($AI385,"MMM-YY")),"")</f>
        <v/>
      </c>
      <c r="BF385" s="67" t="str">
        <f t="shared" ref="BF385:BF448" si="38">IFERROR(IF($AM385="","",TEXT($AM385,"MMM-YY")),"")</f>
        <v/>
      </c>
      <c r="BG385" s="67" t="str">
        <f t="shared" ref="BG385:BG448" si="39">IFERROR(IF($AS385="","",TEXT($AS385,"MMM-YY")),"")</f>
        <v/>
      </c>
    </row>
    <row r="386" spans="1:59">
      <c r="A386" s="55"/>
      <c r="B386" s="56"/>
      <c r="C386" s="56"/>
      <c r="D386" s="56"/>
      <c r="E386" s="56"/>
      <c r="F386" s="56"/>
      <c r="G386" s="56"/>
      <c r="H386" s="56"/>
      <c r="I386" s="6"/>
      <c r="J386" s="6"/>
      <c r="K386" s="57"/>
      <c r="L386" s="57"/>
      <c r="M386" s="57"/>
      <c r="N386" s="56"/>
      <c r="O386" s="56"/>
      <c r="P386" s="56"/>
      <c r="Q386" s="56"/>
      <c r="R386" s="56"/>
      <c r="S386" s="56"/>
      <c r="T386" s="56"/>
      <c r="U386" s="56"/>
      <c r="V386" s="56"/>
      <c r="W386" s="56"/>
      <c r="X386" s="56"/>
      <c r="Y386" s="56"/>
      <c r="Z386" s="56"/>
      <c r="AA386" s="56"/>
      <c r="AB386" s="56"/>
      <c r="AC386" s="56"/>
      <c r="AD386" s="56"/>
      <c r="AE386" s="56"/>
      <c r="AF386" s="56"/>
      <c r="AG386" s="56"/>
      <c r="AH386" s="56"/>
      <c r="AI386" s="58"/>
      <c r="AJ386" s="56"/>
      <c r="AK386" s="56"/>
      <c r="AL386" s="56"/>
      <c r="AM386" s="57"/>
      <c r="AN386" s="57"/>
      <c r="AO386" s="56"/>
      <c r="AP386" s="56"/>
      <c r="AQ386" s="57"/>
      <c r="AR386" s="57"/>
      <c r="AS386" s="57"/>
      <c r="AT386" s="67">
        <f t="shared" ref="AT386:AT449" ca="1" si="40">IFERROR(SUM(IF(AND(ISBLANK(T386),ISBLANK(Q386)),0,IF(T386="",TODAY()-Q386,T386-Q386))+IF(AND(ISBLANK(S386),ISBLANK(P386)),0,IF(S386="",TODAY()-P386,S386-P386))+IF(AND(ISBLANK(O386),ISBLANK(R386)),0,IF(R386="",TODAY()-O386,R386-O386))),"")</f>
        <v>0</v>
      </c>
      <c r="AU386" s="79" t="str">
        <f t="shared" ref="AU386:AU449" ca="1" si="41">IFERROR(IF(($M386=""),"",IF(OR(,$C386="Offer in Progress",$C386="WIP",$C386="WIP/Drop",$C386="WIP/New",$C386="WIP/Hold"),(TODAY()-$M386)-$AT386,"")),"")</f>
        <v/>
      </c>
      <c r="AV386" s="79" t="str" cm="1">
        <f t="array" aca="1" ref="AV386" ca="1">IFERROR(_xlfn.IFS($AU386="","",$AU386&lt;=15,"0-15",AND($AU386&gt;=16,$AU386&lt;=30),"16-30",AND($AU386&gt;=31,$AU386&lt;=45),"31-45",AND($AU386&gt;=46,$AU386&lt;=60),"46-60",AND($AU386&gt;=61,$AU386&lt;=90),"61-90",AND($AU386&gt;=91),"&gt; 90",AND($AU386&gt;=2000),""),"")</f>
        <v/>
      </c>
      <c r="AW386" s="79" t="str" cm="1">
        <f t="array" aca="1" ref="AW386" ca="1">IFERROR(_xlfn.IFS(OR($M386="",$AM386=""),"",OR($C386="Offered",$C386="Joined"),($AM386-$M386)-$AT386),"")</f>
        <v/>
      </c>
      <c r="AX386" s="79" t="str" cm="1">
        <f t="array" aca="1" ref="AX386" ca="1">IFERROR(_xlfn.IFS(OR($M386="",$AS386=""),"",$C386="Joined",($AS386-$M386)-$AT386),"")</f>
        <v/>
      </c>
      <c r="AY386" s="67" t="str">
        <f>IFERROR(IF(COUNTIFS('Candidate Tracker'!$E:$E,'Positions Tracker'!$B386,'Candidate Tracker'!$C:$C,"Offer Drop")=0,"",COUNTIFS('Candidate Tracker'!$E:$E,'Positions Tracker'!$B386,'Candidate Tracker'!$C:$C,"Offer Drop")),"")</f>
        <v/>
      </c>
      <c r="AZ386" s="80">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0.88111888111888115</v>
      </c>
      <c r="BA386" s="81" t="str">
        <f>IFERROR(IF(COUNTIFS('Candidate Tracker'!$E:$E,'Positions Tracker'!$B386,'Candidate Tracker'!$I:$I,"Female")=0,"",COUNTIFS('Candidate Tracker'!$E:$E,'Positions Tracker'!$B386,'Candidate Tracker'!$I:$I,"Female")),"")</f>
        <v/>
      </c>
      <c r="BB386" s="81" t="str">
        <f>IFERROR(IF(COUNTIFS('Candidate Tracker'!$E:$E,'Positions Tracker'!$B386,'Candidate Tracker'!$I:$I,"male")=0,"",COUNTIFS('Candidate Tracker'!$E:$E,'Positions Tracker'!$B386,'Candidate Tracker'!$I:$I,"male")),"")</f>
        <v/>
      </c>
      <c r="BC386" s="80" t="str">
        <f>IFERROR(IF(COUNTIFS('Candidate Tracker'!$E:$E,'Positions Tracker'!$B386,'Candidate Tracker'!$C:$C,"&lt;&gt;WIP",'Candidate Tracker'!$C:$C,"&lt;&gt;Hold",'Candidate Tracker'!$C:$C,"&lt;&gt;Cancelled",'Candidate Tracker'!$C:$C,"&lt;&gt;Closed")/COUNTIFS('Candidate Tracker'!$E:$E,'Positions Tracker'!$B386)=0,"",COUNTIFS('Candidate Tracker'!$E:$E,'Positions Tracker'!$B386,'Candidate Tracker'!$C:$C,"&lt;&gt;WIP",'Candidate Tracker'!$C:$C,"&lt;&gt;Hold",'Candidate Tracker'!$C:$C,"&lt;&gt;Cancelled",'Candidate Tracker'!$C:$C,"&lt;&gt;Closed")/COUNTIFS('Candidate Tracker'!$E:$E,'Positions Tracker'!$B386)),"")</f>
        <v/>
      </c>
      <c r="BD386" s="67" t="str">
        <f t="shared" si="36"/>
        <v/>
      </c>
      <c r="BE386" s="67" t="str">
        <f t="shared" si="37"/>
        <v/>
      </c>
      <c r="BF386" s="67" t="str">
        <f t="shared" si="38"/>
        <v/>
      </c>
      <c r="BG386" s="67" t="str">
        <f t="shared" si="39"/>
        <v/>
      </c>
    </row>
    <row r="387" spans="1:59">
      <c r="A387" s="55"/>
      <c r="B387" s="56"/>
      <c r="C387" s="56"/>
      <c r="D387" s="56"/>
      <c r="E387" s="56"/>
      <c r="F387" s="56"/>
      <c r="G387" s="56"/>
      <c r="H387" s="56"/>
      <c r="I387" s="6"/>
      <c r="J387" s="6"/>
      <c r="K387" s="57"/>
      <c r="L387" s="57"/>
      <c r="M387" s="57"/>
      <c r="N387" s="56"/>
      <c r="O387" s="56"/>
      <c r="P387" s="56"/>
      <c r="Q387" s="56"/>
      <c r="R387" s="56"/>
      <c r="S387" s="56"/>
      <c r="T387" s="56"/>
      <c r="U387" s="56"/>
      <c r="V387" s="56"/>
      <c r="W387" s="56"/>
      <c r="X387" s="56"/>
      <c r="Y387" s="56"/>
      <c r="Z387" s="56"/>
      <c r="AA387" s="56"/>
      <c r="AB387" s="56"/>
      <c r="AC387" s="56"/>
      <c r="AD387" s="56"/>
      <c r="AE387" s="56"/>
      <c r="AF387" s="56"/>
      <c r="AG387" s="56"/>
      <c r="AH387" s="56"/>
      <c r="AI387" s="58"/>
      <c r="AJ387" s="56"/>
      <c r="AK387" s="56"/>
      <c r="AL387" s="56"/>
      <c r="AM387" s="57"/>
      <c r="AN387" s="57"/>
      <c r="AO387" s="56"/>
      <c r="AP387" s="56"/>
      <c r="AQ387" s="57"/>
      <c r="AR387" s="57"/>
      <c r="AS387" s="57"/>
      <c r="AT387" s="67">
        <f t="shared" ca="1" si="40"/>
        <v>0</v>
      </c>
      <c r="AU387" s="79" t="str">
        <f t="shared" ca="1" si="41"/>
        <v/>
      </c>
      <c r="AV387" s="79" t="str" cm="1">
        <f t="array" aca="1" ref="AV387" ca="1">IFERROR(_xlfn.IFS($AU387="","",$AU387&lt;=15,"0-15",AND($AU387&gt;=16,$AU387&lt;=30),"16-30",AND($AU387&gt;=31,$AU387&lt;=45),"31-45",AND($AU387&gt;=46,$AU387&lt;=60),"46-60",AND($AU387&gt;=61,$AU387&lt;=90),"61-90",AND($AU387&gt;=91),"&gt; 90",AND($AU387&gt;=2000),""),"")</f>
        <v/>
      </c>
      <c r="AW387" s="79" t="str" cm="1">
        <f t="array" aca="1" ref="AW387" ca="1">IFERROR(_xlfn.IFS(OR($M387="",$AM387=""),"",OR($C387="Offered",$C387="Joined"),($AM387-$M387)-$AT387),"")</f>
        <v/>
      </c>
      <c r="AX387" s="79" t="str" cm="1">
        <f t="array" aca="1" ref="AX387" ca="1">IFERROR(_xlfn.IFS(OR($M387="",$AS387=""),"",$C387="Joined",($AS387-$M387)-$AT387),"")</f>
        <v/>
      </c>
      <c r="AY387" s="67" t="str">
        <f>IFERROR(IF(COUNTIFS('Candidate Tracker'!$E:$E,'Positions Tracker'!$B387,'Candidate Tracker'!$C:$C,"Offer Drop")=0,"",COUNTIFS('Candidate Tracker'!$E:$E,'Positions Tracker'!$B387,'Candidate Tracker'!$C:$C,"Offer Drop")),"")</f>
        <v/>
      </c>
      <c r="AZ387" s="80">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0.88111888111888115</v>
      </c>
      <c r="BA387" s="81" t="str">
        <f>IFERROR(IF(COUNTIFS('Candidate Tracker'!$E:$E,'Positions Tracker'!$B387,'Candidate Tracker'!$I:$I,"Female")=0,"",COUNTIFS('Candidate Tracker'!$E:$E,'Positions Tracker'!$B387,'Candidate Tracker'!$I:$I,"Female")),"")</f>
        <v/>
      </c>
      <c r="BB387" s="81" t="str">
        <f>IFERROR(IF(COUNTIFS('Candidate Tracker'!$E:$E,'Positions Tracker'!$B387,'Candidate Tracker'!$I:$I,"male")=0,"",COUNTIFS('Candidate Tracker'!$E:$E,'Positions Tracker'!$B387,'Candidate Tracker'!$I:$I,"male")),"")</f>
        <v/>
      </c>
      <c r="BC387" s="80" t="str">
        <f>IFERROR(IF(COUNTIFS('Candidate Tracker'!$E:$E,'Positions Tracker'!$B387,'Candidate Tracker'!$C:$C,"&lt;&gt;WIP",'Candidate Tracker'!$C:$C,"&lt;&gt;Hold",'Candidate Tracker'!$C:$C,"&lt;&gt;Cancelled",'Candidate Tracker'!$C:$C,"&lt;&gt;Closed")/COUNTIFS('Candidate Tracker'!$E:$E,'Positions Tracker'!$B387)=0,"",COUNTIFS('Candidate Tracker'!$E:$E,'Positions Tracker'!$B387,'Candidate Tracker'!$C:$C,"&lt;&gt;WIP",'Candidate Tracker'!$C:$C,"&lt;&gt;Hold",'Candidate Tracker'!$C:$C,"&lt;&gt;Cancelled",'Candidate Tracker'!$C:$C,"&lt;&gt;Closed")/COUNTIFS('Candidate Tracker'!$E:$E,'Positions Tracker'!$B387)),"")</f>
        <v/>
      </c>
      <c r="BD387" s="67" t="str">
        <f t="shared" si="36"/>
        <v/>
      </c>
      <c r="BE387" s="67" t="str">
        <f t="shared" si="37"/>
        <v/>
      </c>
      <c r="BF387" s="67" t="str">
        <f t="shared" si="38"/>
        <v/>
      </c>
      <c r="BG387" s="67" t="str">
        <f t="shared" si="39"/>
        <v/>
      </c>
    </row>
    <row r="388" spans="1:59">
      <c r="A388" s="55"/>
      <c r="B388" s="56"/>
      <c r="C388" s="56"/>
      <c r="D388" s="56"/>
      <c r="E388" s="56"/>
      <c r="F388" s="56"/>
      <c r="G388" s="56"/>
      <c r="H388" s="56"/>
      <c r="I388" s="6"/>
      <c r="J388" s="6"/>
      <c r="K388" s="57"/>
      <c r="L388" s="57"/>
      <c r="M388" s="57"/>
      <c r="N388" s="56"/>
      <c r="O388" s="56"/>
      <c r="P388" s="56"/>
      <c r="Q388" s="56"/>
      <c r="R388" s="56"/>
      <c r="S388" s="56"/>
      <c r="T388" s="56"/>
      <c r="U388" s="56"/>
      <c r="V388" s="56"/>
      <c r="W388" s="56"/>
      <c r="X388" s="56"/>
      <c r="Y388" s="56"/>
      <c r="Z388" s="56"/>
      <c r="AA388" s="56"/>
      <c r="AB388" s="56"/>
      <c r="AC388" s="56"/>
      <c r="AD388" s="56"/>
      <c r="AE388" s="56"/>
      <c r="AF388" s="56"/>
      <c r="AG388" s="56"/>
      <c r="AH388" s="56"/>
      <c r="AI388" s="58"/>
      <c r="AJ388" s="56"/>
      <c r="AK388" s="56"/>
      <c r="AL388" s="56"/>
      <c r="AM388" s="57"/>
      <c r="AN388" s="57"/>
      <c r="AO388" s="56"/>
      <c r="AP388" s="56"/>
      <c r="AQ388" s="57"/>
      <c r="AR388" s="57"/>
      <c r="AS388" s="57"/>
      <c r="AT388" s="67">
        <f t="shared" ca="1" si="40"/>
        <v>0</v>
      </c>
      <c r="AU388" s="79" t="str">
        <f t="shared" ca="1" si="41"/>
        <v/>
      </c>
      <c r="AV388" s="79" t="str" cm="1">
        <f t="array" aca="1" ref="AV388" ca="1">IFERROR(_xlfn.IFS($AU388="","",$AU388&lt;=15,"0-15",AND($AU388&gt;=16,$AU388&lt;=30),"16-30",AND($AU388&gt;=31,$AU388&lt;=45),"31-45",AND($AU388&gt;=46,$AU388&lt;=60),"46-60",AND($AU388&gt;=61,$AU388&lt;=90),"61-90",AND($AU388&gt;=91),"&gt; 90",AND($AU388&gt;=2000),""),"")</f>
        <v/>
      </c>
      <c r="AW388" s="79" t="str" cm="1">
        <f t="array" aca="1" ref="AW388" ca="1">IFERROR(_xlfn.IFS(OR($M388="",$AM388=""),"",OR($C388="Offered",$C388="Joined"),($AM388-$M388)-$AT388),"")</f>
        <v/>
      </c>
      <c r="AX388" s="79" t="str" cm="1">
        <f t="array" aca="1" ref="AX388" ca="1">IFERROR(_xlfn.IFS(OR($M388="",$AS388=""),"",$C388="Joined",($AS388-$M388)-$AT388),"")</f>
        <v/>
      </c>
      <c r="AY388" s="67" t="str">
        <f>IFERROR(IF(COUNTIFS('Candidate Tracker'!$E:$E,'Positions Tracker'!$B388,'Candidate Tracker'!$C:$C,"Offer Drop")=0,"",COUNTIFS('Candidate Tracker'!$E:$E,'Positions Tracker'!$B388,'Candidate Tracker'!$C:$C,"Offer Drop")),"")</f>
        <v/>
      </c>
      <c r="AZ388" s="80">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0.88111888111888115</v>
      </c>
      <c r="BA388" s="81" t="str">
        <f>IFERROR(IF(COUNTIFS('Candidate Tracker'!$E:$E,'Positions Tracker'!$B388,'Candidate Tracker'!$I:$I,"Female")=0,"",COUNTIFS('Candidate Tracker'!$E:$E,'Positions Tracker'!$B388,'Candidate Tracker'!$I:$I,"Female")),"")</f>
        <v/>
      </c>
      <c r="BB388" s="81" t="str">
        <f>IFERROR(IF(COUNTIFS('Candidate Tracker'!$E:$E,'Positions Tracker'!$B388,'Candidate Tracker'!$I:$I,"male")=0,"",COUNTIFS('Candidate Tracker'!$E:$E,'Positions Tracker'!$B388,'Candidate Tracker'!$I:$I,"male")),"")</f>
        <v/>
      </c>
      <c r="BC388" s="80" t="str">
        <f>IFERROR(IF(COUNTIFS('Candidate Tracker'!$E:$E,'Positions Tracker'!$B388,'Candidate Tracker'!$C:$C,"&lt;&gt;WIP",'Candidate Tracker'!$C:$C,"&lt;&gt;Hold",'Candidate Tracker'!$C:$C,"&lt;&gt;Cancelled",'Candidate Tracker'!$C:$C,"&lt;&gt;Closed")/COUNTIFS('Candidate Tracker'!$E:$E,'Positions Tracker'!$B388)=0,"",COUNTIFS('Candidate Tracker'!$E:$E,'Positions Tracker'!$B388,'Candidate Tracker'!$C:$C,"&lt;&gt;WIP",'Candidate Tracker'!$C:$C,"&lt;&gt;Hold",'Candidate Tracker'!$C:$C,"&lt;&gt;Cancelled",'Candidate Tracker'!$C:$C,"&lt;&gt;Closed")/COUNTIFS('Candidate Tracker'!$E:$E,'Positions Tracker'!$B388)),"")</f>
        <v/>
      </c>
      <c r="BD388" s="67" t="str">
        <f t="shared" si="36"/>
        <v/>
      </c>
      <c r="BE388" s="67" t="str">
        <f t="shared" si="37"/>
        <v/>
      </c>
      <c r="BF388" s="67" t="str">
        <f t="shared" si="38"/>
        <v/>
      </c>
      <c r="BG388" s="67" t="str">
        <f t="shared" si="39"/>
        <v/>
      </c>
    </row>
    <row r="389" spans="1:59">
      <c r="A389" s="55"/>
      <c r="B389" s="56"/>
      <c r="C389" s="56"/>
      <c r="D389" s="56"/>
      <c r="E389" s="56"/>
      <c r="F389" s="56"/>
      <c r="G389" s="56"/>
      <c r="H389" s="56"/>
      <c r="I389" s="6"/>
      <c r="J389" s="6"/>
      <c r="K389" s="57"/>
      <c r="L389" s="57"/>
      <c r="M389" s="57"/>
      <c r="N389" s="56"/>
      <c r="O389" s="56"/>
      <c r="P389" s="56"/>
      <c r="Q389" s="56"/>
      <c r="R389" s="56"/>
      <c r="S389" s="56"/>
      <c r="T389" s="56"/>
      <c r="U389" s="56"/>
      <c r="V389" s="56"/>
      <c r="W389" s="56"/>
      <c r="X389" s="56"/>
      <c r="Y389" s="56"/>
      <c r="Z389" s="56"/>
      <c r="AA389" s="56"/>
      <c r="AB389" s="56"/>
      <c r="AC389" s="56"/>
      <c r="AD389" s="56"/>
      <c r="AE389" s="56"/>
      <c r="AF389" s="56"/>
      <c r="AG389" s="56"/>
      <c r="AH389" s="56"/>
      <c r="AI389" s="58"/>
      <c r="AJ389" s="56"/>
      <c r="AK389" s="56"/>
      <c r="AL389" s="56"/>
      <c r="AM389" s="57"/>
      <c r="AN389" s="57"/>
      <c r="AO389" s="56"/>
      <c r="AP389" s="56"/>
      <c r="AQ389" s="57"/>
      <c r="AR389" s="57"/>
      <c r="AS389" s="57"/>
      <c r="AT389" s="67">
        <f t="shared" ca="1" si="40"/>
        <v>0</v>
      </c>
      <c r="AU389" s="79" t="str">
        <f t="shared" ca="1" si="41"/>
        <v/>
      </c>
      <c r="AV389" s="79" t="str" cm="1">
        <f t="array" aca="1" ref="AV389" ca="1">IFERROR(_xlfn.IFS($AU389="","",$AU389&lt;=15,"0-15",AND($AU389&gt;=16,$AU389&lt;=30),"16-30",AND($AU389&gt;=31,$AU389&lt;=45),"31-45",AND($AU389&gt;=46,$AU389&lt;=60),"46-60",AND($AU389&gt;=61,$AU389&lt;=90),"61-90",AND($AU389&gt;=91),"&gt; 90",AND($AU389&gt;=2000),""),"")</f>
        <v/>
      </c>
      <c r="AW389" s="79" t="str" cm="1">
        <f t="array" aca="1" ref="AW389" ca="1">IFERROR(_xlfn.IFS(OR($M389="",$AM389=""),"",OR($C389="Offered",$C389="Joined"),($AM389-$M389)-$AT389),"")</f>
        <v/>
      </c>
      <c r="AX389" s="79" t="str" cm="1">
        <f t="array" aca="1" ref="AX389" ca="1">IFERROR(_xlfn.IFS(OR($M389="",$AS389=""),"",$C389="Joined",($AS389-$M389)-$AT389),"")</f>
        <v/>
      </c>
      <c r="AY389" s="67" t="str">
        <f>IFERROR(IF(COUNTIFS('Candidate Tracker'!$E:$E,'Positions Tracker'!$B389,'Candidate Tracker'!$C:$C,"Offer Drop")=0,"",COUNTIFS('Candidate Tracker'!$E:$E,'Positions Tracker'!$B389,'Candidate Tracker'!$C:$C,"Offer Drop")),"")</f>
        <v/>
      </c>
      <c r="AZ389" s="80">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0.88111888111888115</v>
      </c>
      <c r="BA389" s="81" t="str">
        <f>IFERROR(IF(COUNTIFS('Candidate Tracker'!$E:$E,'Positions Tracker'!$B389,'Candidate Tracker'!$I:$I,"Female")=0,"",COUNTIFS('Candidate Tracker'!$E:$E,'Positions Tracker'!$B389,'Candidate Tracker'!$I:$I,"Female")),"")</f>
        <v/>
      </c>
      <c r="BB389" s="81" t="str">
        <f>IFERROR(IF(COUNTIFS('Candidate Tracker'!$E:$E,'Positions Tracker'!$B389,'Candidate Tracker'!$I:$I,"male")=0,"",COUNTIFS('Candidate Tracker'!$E:$E,'Positions Tracker'!$B389,'Candidate Tracker'!$I:$I,"male")),"")</f>
        <v/>
      </c>
      <c r="BC389" s="80" t="str">
        <f>IFERROR(IF(COUNTIFS('Candidate Tracker'!$E:$E,'Positions Tracker'!$B389,'Candidate Tracker'!$C:$C,"&lt;&gt;WIP",'Candidate Tracker'!$C:$C,"&lt;&gt;Hold",'Candidate Tracker'!$C:$C,"&lt;&gt;Cancelled",'Candidate Tracker'!$C:$C,"&lt;&gt;Closed")/COUNTIFS('Candidate Tracker'!$E:$E,'Positions Tracker'!$B389)=0,"",COUNTIFS('Candidate Tracker'!$E:$E,'Positions Tracker'!$B389,'Candidate Tracker'!$C:$C,"&lt;&gt;WIP",'Candidate Tracker'!$C:$C,"&lt;&gt;Hold",'Candidate Tracker'!$C:$C,"&lt;&gt;Cancelled",'Candidate Tracker'!$C:$C,"&lt;&gt;Closed")/COUNTIFS('Candidate Tracker'!$E:$E,'Positions Tracker'!$B389)),"")</f>
        <v/>
      </c>
      <c r="BD389" s="67" t="str">
        <f t="shared" si="36"/>
        <v/>
      </c>
      <c r="BE389" s="67" t="str">
        <f t="shared" si="37"/>
        <v/>
      </c>
      <c r="BF389" s="67" t="str">
        <f t="shared" si="38"/>
        <v/>
      </c>
      <c r="BG389" s="67" t="str">
        <f t="shared" si="39"/>
        <v/>
      </c>
    </row>
    <row r="390" spans="1:59">
      <c r="A390" s="55"/>
      <c r="B390" s="56"/>
      <c r="C390" s="56"/>
      <c r="D390" s="56"/>
      <c r="E390" s="56"/>
      <c r="F390" s="56"/>
      <c r="G390" s="56"/>
      <c r="H390" s="56"/>
      <c r="I390" s="6"/>
      <c r="J390" s="6"/>
      <c r="K390" s="57"/>
      <c r="L390" s="57"/>
      <c r="M390" s="57"/>
      <c r="N390" s="56"/>
      <c r="O390" s="56"/>
      <c r="P390" s="56"/>
      <c r="Q390" s="56"/>
      <c r="R390" s="56"/>
      <c r="S390" s="56"/>
      <c r="T390" s="56"/>
      <c r="U390" s="56"/>
      <c r="V390" s="56"/>
      <c r="W390" s="56"/>
      <c r="X390" s="56"/>
      <c r="Y390" s="56"/>
      <c r="Z390" s="56"/>
      <c r="AA390" s="56"/>
      <c r="AB390" s="56"/>
      <c r="AC390" s="56"/>
      <c r="AD390" s="56"/>
      <c r="AE390" s="56"/>
      <c r="AF390" s="56"/>
      <c r="AG390" s="56"/>
      <c r="AH390" s="56"/>
      <c r="AI390" s="58"/>
      <c r="AJ390" s="56"/>
      <c r="AK390" s="56"/>
      <c r="AL390" s="56"/>
      <c r="AM390" s="57"/>
      <c r="AN390" s="57"/>
      <c r="AO390" s="56"/>
      <c r="AP390" s="56"/>
      <c r="AQ390" s="57"/>
      <c r="AR390" s="57"/>
      <c r="AS390" s="57"/>
      <c r="AT390" s="67">
        <f t="shared" ca="1" si="40"/>
        <v>0</v>
      </c>
      <c r="AU390" s="79" t="str">
        <f t="shared" ca="1" si="41"/>
        <v/>
      </c>
      <c r="AV390" s="79" t="str" cm="1">
        <f t="array" aca="1" ref="AV390" ca="1">IFERROR(_xlfn.IFS($AU390="","",$AU390&lt;=15,"0-15",AND($AU390&gt;=16,$AU390&lt;=30),"16-30",AND($AU390&gt;=31,$AU390&lt;=45),"31-45",AND($AU390&gt;=46,$AU390&lt;=60),"46-60",AND($AU390&gt;=61,$AU390&lt;=90),"61-90",AND($AU390&gt;=91),"&gt; 90",AND($AU390&gt;=2000),""),"")</f>
        <v/>
      </c>
      <c r="AW390" s="79" t="str" cm="1">
        <f t="array" aca="1" ref="AW390" ca="1">IFERROR(_xlfn.IFS(OR($M390="",$AM390=""),"",OR($C390="Offered",$C390="Joined"),($AM390-$M390)-$AT390),"")</f>
        <v/>
      </c>
      <c r="AX390" s="79" t="str" cm="1">
        <f t="array" aca="1" ref="AX390" ca="1">IFERROR(_xlfn.IFS(OR($M390="",$AS390=""),"",$C390="Joined",($AS390-$M390)-$AT390),"")</f>
        <v/>
      </c>
      <c r="AY390" s="67" t="str">
        <f>IFERROR(IF(COUNTIFS('Candidate Tracker'!$E:$E,'Positions Tracker'!$B390,'Candidate Tracker'!$C:$C,"Offer Drop")=0,"",COUNTIFS('Candidate Tracker'!$E:$E,'Positions Tracker'!$B390,'Candidate Tracker'!$C:$C,"Offer Drop")),"")</f>
        <v/>
      </c>
      <c r="AZ390" s="80">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0.88111888111888115</v>
      </c>
      <c r="BA390" s="81" t="str">
        <f>IFERROR(IF(COUNTIFS('Candidate Tracker'!$E:$E,'Positions Tracker'!$B390,'Candidate Tracker'!$I:$I,"Female")=0,"",COUNTIFS('Candidate Tracker'!$E:$E,'Positions Tracker'!$B390,'Candidate Tracker'!$I:$I,"Female")),"")</f>
        <v/>
      </c>
      <c r="BB390" s="81" t="str">
        <f>IFERROR(IF(COUNTIFS('Candidate Tracker'!$E:$E,'Positions Tracker'!$B390,'Candidate Tracker'!$I:$I,"male")=0,"",COUNTIFS('Candidate Tracker'!$E:$E,'Positions Tracker'!$B390,'Candidate Tracker'!$I:$I,"male")),"")</f>
        <v/>
      </c>
      <c r="BC390" s="80" t="str">
        <f>IFERROR(IF(COUNTIFS('Candidate Tracker'!$E:$E,'Positions Tracker'!$B390,'Candidate Tracker'!$C:$C,"&lt;&gt;WIP",'Candidate Tracker'!$C:$C,"&lt;&gt;Hold",'Candidate Tracker'!$C:$C,"&lt;&gt;Cancelled",'Candidate Tracker'!$C:$C,"&lt;&gt;Closed")/COUNTIFS('Candidate Tracker'!$E:$E,'Positions Tracker'!$B390)=0,"",COUNTIFS('Candidate Tracker'!$E:$E,'Positions Tracker'!$B390,'Candidate Tracker'!$C:$C,"&lt;&gt;WIP",'Candidate Tracker'!$C:$C,"&lt;&gt;Hold",'Candidate Tracker'!$C:$C,"&lt;&gt;Cancelled",'Candidate Tracker'!$C:$C,"&lt;&gt;Closed")/COUNTIFS('Candidate Tracker'!$E:$E,'Positions Tracker'!$B390)),"")</f>
        <v/>
      </c>
      <c r="BD390" s="67" t="str">
        <f t="shared" si="36"/>
        <v/>
      </c>
      <c r="BE390" s="67" t="str">
        <f t="shared" si="37"/>
        <v/>
      </c>
      <c r="BF390" s="67" t="str">
        <f t="shared" si="38"/>
        <v/>
      </c>
      <c r="BG390" s="67" t="str">
        <f t="shared" si="39"/>
        <v/>
      </c>
    </row>
    <row r="391" spans="1:59">
      <c r="A391" s="55"/>
      <c r="B391" s="56"/>
      <c r="C391" s="56"/>
      <c r="D391" s="56"/>
      <c r="E391" s="56"/>
      <c r="F391" s="56"/>
      <c r="G391" s="56"/>
      <c r="H391" s="56"/>
      <c r="I391" s="6"/>
      <c r="J391" s="6"/>
      <c r="K391" s="57"/>
      <c r="L391" s="57"/>
      <c r="M391" s="57"/>
      <c r="N391" s="56"/>
      <c r="O391" s="56"/>
      <c r="P391" s="56"/>
      <c r="Q391" s="56"/>
      <c r="R391" s="56"/>
      <c r="S391" s="56"/>
      <c r="T391" s="56"/>
      <c r="U391" s="56"/>
      <c r="V391" s="56"/>
      <c r="W391" s="56"/>
      <c r="X391" s="56"/>
      <c r="Y391" s="56"/>
      <c r="Z391" s="56"/>
      <c r="AA391" s="56"/>
      <c r="AB391" s="56"/>
      <c r="AC391" s="56"/>
      <c r="AD391" s="56"/>
      <c r="AE391" s="56"/>
      <c r="AF391" s="56"/>
      <c r="AG391" s="56"/>
      <c r="AH391" s="56"/>
      <c r="AI391" s="58"/>
      <c r="AJ391" s="56"/>
      <c r="AK391" s="56"/>
      <c r="AL391" s="56"/>
      <c r="AM391" s="57"/>
      <c r="AN391" s="57"/>
      <c r="AO391" s="56"/>
      <c r="AP391" s="56"/>
      <c r="AQ391" s="57"/>
      <c r="AR391" s="57"/>
      <c r="AS391" s="57"/>
      <c r="AT391" s="67">
        <f t="shared" ca="1" si="40"/>
        <v>0</v>
      </c>
      <c r="AU391" s="79" t="str">
        <f t="shared" ca="1" si="41"/>
        <v/>
      </c>
      <c r="AV391" s="79" t="str" cm="1">
        <f t="array" aca="1" ref="AV391" ca="1">IFERROR(_xlfn.IFS($AU391="","",$AU391&lt;=15,"0-15",AND($AU391&gt;=16,$AU391&lt;=30),"16-30",AND($AU391&gt;=31,$AU391&lt;=45),"31-45",AND($AU391&gt;=46,$AU391&lt;=60),"46-60",AND($AU391&gt;=61,$AU391&lt;=90),"61-90",AND($AU391&gt;=91),"&gt; 90",AND($AU391&gt;=2000),""),"")</f>
        <v/>
      </c>
      <c r="AW391" s="79" t="str" cm="1">
        <f t="array" aca="1" ref="AW391" ca="1">IFERROR(_xlfn.IFS(OR($M391="",$AM391=""),"",OR($C391="Offered",$C391="Joined"),($AM391-$M391)-$AT391),"")</f>
        <v/>
      </c>
      <c r="AX391" s="79" t="str" cm="1">
        <f t="array" aca="1" ref="AX391" ca="1">IFERROR(_xlfn.IFS(OR($M391="",$AS391=""),"",$C391="Joined",($AS391-$M391)-$AT391),"")</f>
        <v/>
      </c>
      <c r="AY391" s="67" t="str">
        <f>IFERROR(IF(COUNTIFS('Candidate Tracker'!$E:$E,'Positions Tracker'!$B391,'Candidate Tracker'!$C:$C,"Offer Drop")=0,"",COUNTIFS('Candidate Tracker'!$E:$E,'Positions Tracker'!$B391,'Candidate Tracker'!$C:$C,"Offer Drop")),"")</f>
        <v/>
      </c>
      <c r="AZ391" s="80">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0.88111888111888115</v>
      </c>
      <c r="BA391" s="81" t="str">
        <f>IFERROR(IF(COUNTIFS('Candidate Tracker'!$E:$E,'Positions Tracker'!$B391,'Candidate Tracker'!$I:$I,"Female")=0,"",COUNTIFS('Candidate Tracker'!$E:$E,'Positions Tracker'!$B391,'Candidate Tracker'!$I:$I,"Female")),"")</f>
        <v/>
      </c>
      <c r="BB391" s="81" t="str">
        <f>IFERROR(IF(COUNTIFS('Candidate Tracker'!$E:$E,'Positions Tracker'!$B391,'Candidate Tracker'!$I:$I,"male")=0,"",COUNTIFS('Candidate Tracker'!$E:$E,'Positions Tracker'!$B391,'Candidate Tracker'!$I:$I,"male")),"")</f>
        <v/>
      </c>
      <c r="BC391" s="80" t="str">
        <f>IFERROR(IF(COUNTIFS('Candidate Tracker'!$E:$E,'Positions Tracker'!$B391,'Candidate Tracker'!$C:$C,"&lt;&gt;WIP",'Candidate Tracker'!$C:$C,"&lt;&gt;Hold",'Candidate Tracker'!$C:$C,"&lt;&gt;Cancelled",'Candidate Tracker'!$C:$C,"&lt;&gt;Closed")/COUNTIFS('Candidate Tracker'!$E:$E,'Positions Tracker'!$B391)=0,"",COUNTIFS('Candidate Tracker'!$E:$E,'Positions Tracker'!$B391,'Candidate Tracker'!$C:$C,"&lt;&gt;WIP",'Candidate Tracker'!$C:$C,"&lt;&gt;Hold",'Candidate Tracker'!$C:$C,"&lt;&gt;Cancelled",'Candidate Tracker'!$C:$C,"&lt;&gt;Closed")/COUNTIFS('Candidate Tracker'!$E:$E,'Positions Tracker'!$B391)),"")</f>
        <v/>
      </c>
      <c r="BD391" s="67" t="str">
        <f t="shared" si="36"/>
        <v/>
      </c>
      <c r="BE391" s="67" t="str">
        <f t="shared" si="37"/>
        <v/>
      </c>
      <c r="BF391" s="67" t="str">
        <f t="shared" si="38"/>
        <v/>
      </c>
      <c r="BG391" s="67" t="str">
        <f t="shared" si="39"/>
        <v/>
      </c>
    </row>
    <row r="392" spans="1:59">
      <c r="A392" s="55"/>
      <c r="B392" s="56"/>
      <c r="C392" s="56"/>
      <c r="D392" s="56"/>
      <c r="E392" s="56"/>
      <c r="F392" s="56"/>
      <c r="G392" s="56"/>
      <c r="H392" s="56"/>
      <c r="I392" s="6"/>
      <c r="J392" s="6"/>
      <c r="K392" s="57"/>
      <c r="L392" s="57"/>
      <c r="M392" s="57"/>
      <c r="N392" s="56"/>
      <c r="O392" s="56"/>
      <c r="P392" s="56"/>
      <c r="Q392" s="56"/>
      <c r="R392" s="56"/>
      <c r="S392" s="56"/>
      <c r="T392" s="56"/>
      <c r="U392" s="56"/>
      <c r="V392" s="56"/>
      <c r="W392" s="56"/>
      <c r="X392" s="56"/>
      <c r="Y392" s="56"/>
      <c r="Z392" s="56"/>
      <c r="AA392" s="56"/>
      <c r="AB392" s="56"/>
      <c r="AC392" s="56"/>
      <c r="AD392" s="56"/>
      <c r="AE392" s="56"/>
      <c r="AF392" s="56"/>
      <c r="AG392" s="56"/>
      <c r="AH392" s="56"/>
      <c r="AI392" s="58"/>
      <c r="AJ392" s="56"/>
      <c r="AK392" s="56"/>
      <c r="AL392" s="56"/>
      <c r="AM392" s="57"/>
      <c r="AN392" s="57"/>
      <c r="AO392" s="56"/>
      <c r="AP392" s="56"/>
      <c r="AQ392" s="57"/>
      <c r="AR392" s="57"/>
      <c r="AS392" s="57"/>
      <c r="AT392" s="67">
        <f t="shared" ca="1" si="40"/>
        <v>0</v>
      </c>
      <c r="AU392" s="79" t="str">
        <f t="shared" ca="1" si="41"/>
        <v/>
      </c>
      <c r="AV392" s="79" t="str" cm="1">
        <f t="array" aca="1" ref="AV392" ca="1">IFERROR(_xlfn.IFS($AU392="","",$AU392&lt;=15,"0-15",AND($AU392&gt;=16,$AU392&lt;=30),"16-30",AND($AU392&gt;=31,$AU392&lt;=45),"31-45",AND($AU392&gt;=46,$AU392&lt;=60),"46-60",AND($AU392&gt;=61,$AU392&lt;=90),"61-90",AND($AU392&gt;=91),"&gt; 90",AND($AU392&gt;=2000),""),"")</f>
        <v/>
      </c>
      <c r="AW392" s="79" t="str" cm="1">
        <f t="array" aca="1" ref="AW392" ca="1">IFERROR(_xlfn.IFS(OR($M392="",$AM392=""),"",OR($C392="Offered",$C392="Joined"),($AM392-$M392)-$AT392),"")</f>
        <v/>
      </c>
      <c r="AX392" s="79" t="str" cm="1">
        <f t="array" aca="1" ref="AX392" ca="1">IFERROR(_xlfn.IFS(OR($M392="",$AS392=""),"",$C392="Joined",($AS392-$M392)-$AT392),"")</f>
        <v/>
      </c>
      <c r="AY392" s="67" t="str">
        <f>IFERROR(IF(COUNTIFS('Candidate Tracker'!$E:$E,'Positions Tracker'!$B392,'Candidate Tracker'!$C:$C,"Offer Drop")=0,"",COUNTIFS('Candidate Tracker'!$E:$E,'Positions Tracker'!$B392,'Candidate Tracker'!$C:$C,"Offer Drop")),"")</f>
        <v/>
      </c>
      <c r="AZ392" s="80">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0.88111888111888115</v>
      </c>
      <c r="BA392" s="81" t="str">
        <f>IFERROR(IF(COUNTIFS('Candidate Tracker'!$E:$E,'Positions Tracker'!$B392,'Candidate Tracker'!$I:$I,"Female")=0,"",COUNTIFS('Candidate Tracker'!$E:$E,'Positions Tracker'!$B392,'Candidate Tracker'!$I:$I,"Female")),"")</f>
        <v/>
      </c>
      <c r="BB392" s="81" t="str">
        <f>IFERROR(IF(COUNTIFS('Candidate Tracker'!$E:$E,'Positions Tracker'!$B392,'Candidate Tracker'!$I:$I,"male")=0,"",COUNTIFS('Candidate Tracker'!$E:$E,'Positions Tracker'!$B392,'Candidate Tracker'!$I:$I,"male")),"")</f>
        <v/>
      </c>
      <c r="BC392" s="80" t="str">
        <f>IFERROR(IF(COUNTIFS('Candidate Tracker'!$E:$E,'Positions Tracker'!$B392,'Candidate Tracker'!$C:$C,"&lt;&gt;WIP",'Candidate Tracker'!$C:$C,"&lt;&gt;Hold",'Candidate Tracker'!$C:$C,"&lt;&gt;Cancelled",'Candidate Tracker'!$C:$C,"&lt;&gt;Closed")/COUNTIFS('Candidate Tracker'!$E:$E,'Positions Tracker'!$B392)=0,"",COUNTIFS('Candidate Tracker'!$E:$E,'Positions Tracker'!$B392,'Candidate Tracker'!$C:$C,"&lt;&gt;WIP",'Candidate Tracker'!$C:$C,"&lt;&gt;Hold",'Candidate Tracker'!$C:$C,"&lt;&gt;Cancelled",'Candidate Tracker'!$C:$C,"&lt;&gt;Closed")/COUNTIFS('Candidate Tracker'!$E:$E,'Positions Tracker'!$B392)),"")</f>
        <v/>
      </c>
      <c r="BD392" s="67" t="str">
        <f t="shared" si="36"/>
        <v/>
      </c>
      <c r="BE392" s="67" t="str">
        <f t="shared" si="37"/>
        <v/>
      </c>
      <c r="BF392" s="67" t="str">
        <f t="shared" si="38"/>
        <v/>
      </c>
      <c r="BG392" s="67" t="str">
        <f t="shared" si="39"/>
        <v/>
      </c>
    </row>
    <row r="393" spans="1:59">
      <c r="A393" s="55"/>
      <c r="B393" s="56"/>
      <c r="C393" s="56"/>
      <c r="D393" s="56"/>
      <c r="E393" s="56"/>
      <c r="F393" s="56"/>
      <c r="G393" s="56"/>
      <c r="H393" s="56"/>
      <c r="I393" s="6"/>
      <c r="J393" s="6"/>
      <c r="K393" s="57"/>
      <c r="L393" s="57"/>
      <c r="M393" s="57"/>
      <c r="N393" s="56"/>
      <c r="O393" s="56"/>
      <c r="P393" s="56"/>
      <c r="Q393" s="56"/>
      <c r="R393" s="56"/>
      <c r="S393" s="56"/>
      <c r="T393" s="56"/>
      <c r="U393" s="56"/>
      <c r="V393" s="56"/>
      <c r="W393" s="56"/>
      <c r="X393" s="56"/>
      <c r="Y393" s="56"/>
      <c r="Z393" s="56"/>
      <c r="AA393" s="56"/>
      <c r="AB393" s="56"/>
      <c r="AC393" s="56"/>
      <c r="AD393" s="56"/>
      <c r="AE393" s="56"/>
      <c r="AF393" s="56"/>
      <c r="AG393" s="56"/>
      <c r="AH393" s="56"/>
      <c r="AI393" s="58"/>
      <c r="AJ393" s="56"/>
      <c r="AK393" s="56"/>
      <c r="AL393" s="56"/>
      <c r="AM393" s="57"/>
      <c r="AN393" s="57"/>
      <c r="AO393" s="56"/>
      <c r="AP393" s="56"/>
      <c r="AQ393" s="57"/>
      <c r="AR393" s="57"/>
      <c r="AS393" s="57"/>
      <c r="AT393" s="67">
        <f t="shared" ca="1" si="40"/>
        <v>0</v>
      </c>
      <c r="AU393" s="79" t="str">
        <f t="shared" ca="1" si="41"/>
        <v/>
      </c>
      <c r="AV393" s="79" t="str" cm="1">
        <f t="array" aca="1" ref="AV393" ca="1">IFERROR(_xlfn.IFS($AU393="","",$AU393&lt;=15,"0-15",AND($AU393&gt;=16,$AU393&lt;=30),"16-30",AND($AU393&gt;=31,$AU393&lt;=45),"31-45",AND($AU393&gt;=46,$AU393&lt;=60),"46-60",AND($AU393&gt;=61,$AU393&lt;=90),"61-90",AND($AU393&gt;=91),"&gt; 90",AND($AU393&gt;=2000),""),"")</f>
        <v/>
      </c>
      <c r="AW393" s="79" t="str" cm="1">
        <f t="array" aca="1" ref="AW393" ca="1">IFERROR(_xlfn.IFS(OR($M393="",$AM393=""),"",OR($C393="Offered",$C393="Joined"),($AM393-$M393)-$AT393),"")</f>
        <v/>
      </c>
      <c r="AX393" s="79" t="str" cm="1">
        <f t="array" aca="1" ref="AX393" ca="1">IFERROR(_xlfn.IFS(OR($M393="",$AS393=""),"",$C393="Joined",($AS393-$M393)-$AT393),"")</f>
        <v/>
      </c>
      <c r="AY393" s="67" t="str">
        <f>IFERROR(IF(COUNTIFS('Candidate Tracker'!$E:$E,'Positions Tracker'!$B393,'Candidate Tracker'!$C:$C,"Offer Drop")=0,"",COUNTIFS('Candidate Tracker'!$E:$E,'Positions Tracker'!$B393,'Candidate Tracker'!$C:$C,"Offer Drop")),"")</f>
        <v/>
      </c>
      <c r="AZ393" s="80">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0.88111888111888115</v>
      </c>
      <c r="BA393" s="81" t="str">
        <f>IFERROR(IF(COUNTIFS('Candidate Tracker'!$E:$E,'Positions Tracker'!$B393,'Candidate Tracker'!$I:$I,"Female")=0,"",COUNTIFS('Candidate Tracker'!$E:$E,'Positions Tracker'!$B393,'Candidate Tracker'!$I:$I,"Female")),"")</f>
        <v/>
      </c>
      <c r="BB393" s="81" t="str">
        <f>IFERROR(IF(COUNTIFS('Candidate Tracker'!$E:$E,'Positions Tracker'!$B393,'Candidate Tracker'!$I:$I,"male")=0,"",COUNTIFS('Candidate Tracker'!$E:$E,'Positions Tracker'!$B393,'Candidate Tracker'!$I:$I,"male")),"")</f>
        <v/>
      </c>
      <c r="BC393" s="80" t="str">
        <f>IFERROR(IF(COUNTIFS('Candidate Tracker'!$E:$E,'Positions Tracker'!$B393,'Candidate Tracker'!$C:$C,"&lt;&gt;WIP",'Candidate Tracker'!$C:$C,"&lt;&gt;Hold",'Candidate Tracker'!$C:$C,"&lt;&gt;Cancelled",'Candidate Tracker'!$C:$C,"&lt;&gt;Closed")/COUNTIFS('Candidate Tracker'!$E:$E,'Positions Tracker'!$B393)=0,"",COUNTIFS('Candidate Tracker'!$E:$E,'Positions Tracker'!$B393,'Candidate Tracker'!$C:$C,"&lt;&gt;WIP",'Candidate Tracker'!$C:$C,"&lt;&gt;Hold",'Candidate Tracker'!$C:$C,"&lt;&gt;Cancelled",'Candidate Tracker'!$C:$C,"&lt;&gt;Closed")/COUNTIFS('Candidate Tracker'!$E:$E,'Positions Tracker'!$B393)),"")</f>
        <v/>
      </c>
      <c r="BD393" s="67" t="str">
        <f t="shared" si="36"/>
        <v/>
      </c>
      <c r="BE393" s="67" t="str">
        <f t="shared" si="37"/>
        <v/>
      </c>
      <c r="BF393" s="67" t="str">
        <f t="shared" si="38"/>
        <v/>
      </c>
      <c r="BG393" s="67" t="str">
        <f t="shared" si="39"/>
        <v/>
      </c>
    </row>
    <row r="394" spans="1:59">
      <c r="A394" s="55"/>
      <c r="B394" s="56"/>
      <c r="C394" s="56"/>
      <c r="D394" s="56"/>
      <c r="E394" s="56"/>
      <c r="F394" s="56"/>
      <c r="G394" s="56"/>
      <c r="H394" s="56"/>
      <c r="I394" s="6"/>
      <c r="J394" s="6"/>
      <c r="K394" s="57"/>
      <c r="L394" s="57"/>
      <c r="M394" s="57"/>
      <c r="N394" s="56"/>
      <c r="O394" s="56"/>
      <c r="P394" s="56"/>
      <c r="Q394" s="56"/>
      <c r="R394" s="56"/>
      <c r="S394" s="56"/>
      <c r="T394" s="56"/>
      <c r="U394" s="56"/>
      <c r="V394" s="56"/>
      <c r="W394" s="56"/>
      <c r="X394" s="56"/>
      <c r="Y394" s="56"/>
      <c r="Z394" s="56"/>
      <c r="AA394" s="56"/>
      <c r="AB394" s="56"/>
      <c r="AC394" s="56"/>
      <c r="AD394" s="56"/>
      <c r="AE394" s="56"/>
      <c r="AF394" s="56"/>
      <c r="AG394" s="56"/>
      <c r="AH394" s="56"/>
      <c r="AI394" s="58"/>
      <c r="AJ394" s="56"/>
      <c r="AK394" s="56"/>
      <c r="AL394" s="56"/>
      <c r="AM394" s="57"/>
      <c r="AN394" s="57"/>
      <c r="AO394" s="56"/>
      <c r="AP394" s="56"/>
      <c r="AQ394" s="57"/>
      <c r="AR394" s="57"/>
      <c r="AS394" s="57"/>
      <c r="AT394" s="67">
        <f t="shared" ca="1" si="40"/>
        <v>0</v>
      </c>
      <c r="AU394" s="79" t="str">
        <f t="shared" ca="1" si="41"/>
        <v/>
      </c>
      <c r="AV394" s="79" t="str" cm="1">
        <f t="array" aca="1" ref="AV394" ca="1">IFERROR(_xlfn.IFS($AU394="","",$AU394&lt;=15,"0-15",AND($AU394&gt;=16,$AU394&lt;=30),"16-30",AND($AU394&gt;=31,$AU394&lt;=45),"31-45",AND($AU394&gt;=46,$AU394&lt;=60),"46-60",AND($AU394&gt;=61,$AU394&lt;=90),"61-90",AND($AU394&gt;=91),"&gt; 90",AND($AU394&gt;=2000),""),"")</f>
        <v/>
      </c>
      <c r="AW394" s="79" t="str" cm="1">
        <f t="array" aca="1" ref="AW394" ca="1">IFERROR(_xlfn.IFS(OR($M394="",$AM394=""),"",OR($C394="Offered",$C394="Joined"),($AM394-$M394)-$AT394),"")</f>
        <v/>
      </c>
      <c r="AX394" s="79" t="str" cm="1">
        <f t="array" aca="1" ref="AX394" ca="1">IFERROR(_xlfn.IFS(OR($M394="",$AS394=""),"",$C394="Joined",($AS394-$M394)-$AT394),"")</f>
        <v/>
      </c>
      <c r="AY394" s="67" t="str">
        <f>IFERROR(IF(COUNTIFS('Candidate Tracker'!$E:$E,'Positions Tracker'!$B394,'Candidate Tracker'!$C:$C,"Offer Drop")=0,"",COUNTIFS('Candidate Tracker'!$E:$E,'Positions Tracker'!$B394,'Candidate Tracker'!$C:$C,"Offer Drop")),"")</f>
        <v/>
      </c>
      <c r="AZ394" s="80">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0.88111888111888115</v>
      </c>
      <c r="BA394" s="81" t="str">
        <f>IFERROR(IF(COUNTIFS('Candidate Tracker'!$E:$E,'Positions Tracker'!$B394,'Candidate Tracker'!$I:$I,"Female")=0,"",COUNTIFS('Candidate Tracker'!$E:$E,'Positions Tracker'!$B394,'Candidate Tracker'!$I:$I,"Female")),"")</f>
        <v/>
      </c>
      <c r="BB394" s="81" t="str">
        <f>IFERROR(IF(COUNTIFS('Candidate Tracker'!$E:$E,'Positions Tracker'!$B394,'Candidate Tracker'!$I:$I,"male")=0,"",COUNTIFS('Candidate Tracker'!$E:$E,'Positions Tracker'!$B394,'Candidate Tracker'!$I:$I,"male")),"")</f>
        <v/>
      </c>
      <c r="BC394" s="80" t="str">
        <f>IFERROR(IF(COUNTIFS('Candidate Tracker'!$E:$E,'Positions Tracker'!$B394,'Candidate Tracker'!$C:$C,"&lt;&gt;WIP",'Candidate Tracker'!$C:$C,"&lt;&gt;Hold",'Candidate Tracker'!$C:$C,"&lt;&gt;Cancelled",'Candidate Tracker'!$C:$C,"&lt;&gt;Closed")/COUNTIFS('Candidate Tracker'!$E:$E,'Positions Tracker'!$B394)=0,"",COUNTIFS('Candidate Tracker'!$E:$E,'Positions Tracker'!$B394,'Candidate Tracker'!$C:$C,"&lt;&gt;WIP",'Candidate Tracker'!$C:$C,"&lt;&gt;Hold",'Candidate Tracker'!$C:$C,"&lt;&gt;Cancelled",'Candidate Tracker'!$C:$C,"&lt;&gt;Closed")/COUNTIFS('Candidate Tracker'!$E:$E,'Positions Tracker'!$B394)),"")</f>
        <v/>
      </c>
      <c r="BD394" s="67" t="str">
        <f t="shared" si="36"/>
        <v/>
      </c>
      <c r="BE394" s="67" t="str">
        <f t="shared" si="37"/>
        <v/>
      </c>
      <c r="BF394" s="67" t="str">
        <f t="shared" si="38"/>
        <v/>
      </c>
      <c r="BG394" s="67" t="str">
        <f t="shared" si="39"/>
        <v/>
      </c>
    </row>
    <row r="395" spans="1:59">
      <c r="A395" s="55"/>
      <c r="B395" s="56"/>
      <c r="C395" s="56"/>
      <c r="D395" s="56"/>
      <c r="E395" s="56"/>
      <c r="F395" s="56"/>
      <c r="G395" s="56"/>
      <c r="H395" s="56"/>
      <c r="I395" s="6"/>
      <c r="J395" s="6"/>
      <c r="K395" s="57"/>
      <c r="L395" s="57"/>
      <c r="M395" s="57"/>
      <c r="N395" s="56"/>
      <c r="O395" s="56"/>
      <c r="P395" s="56"/>
      <c r="Q395" s="56"/>
      <c r="R395" s="56"/>
      <c r="S395" s="56"/>
      <c r="T395" s="56"/>
      <c r="U395" s="56"/>
      <c r="V395" s="56"/>
      <c r="W395" s="56"/>
      <c r="X395" s="56"/>
      <c r="Y395" s="56"/>
      <c r="Z395" s="56"/>
      <c r="AA395" s="56"/>
      <c r="AB395" s="56"/>
      <c r="AC395" s="56"/>
      <c r="AD395" s="56"/>
      <c r="AE395" s="56"/>
      <c r="AF395" s="56"/>
      <c r="AG395" s="56"/>
      <c r="AH395" s="56"/>
      <c r="AI395" s="58"/>
      <c r="AJ395" s="56"/>
      <c r="AK395" s="56"/>
      <c r="AL395" s="56"/>
      <c r="AM395" s="57"/>
      <c r="AN395" s="57"/>
      <c r="AO395" s="56"/>
      <c r="AP395" s="56"/>
      <c r="AQ395" s="57"/>
      <c r="AR395" s="57"/>
      <c r="AS395" s="57"/>
      <c r="AT395" s="67">
        <f t="shared" ca="1" si="40"/>
        <v>0</v>
      </c>
      <c r="AU395" s="79" t="str">
        <f t="shared" ca="1" si="41"/>
        <v/>
      </c>
      <c r="AV395" s="79" t="str" cm="1">
        <f t="array" aca="1" ref="AV395" ca="1">IFERROR(_xlfn.IFS($AU395="","",$AU395&lt;=15,"0-15",AND($AU395&gt;=16,$AU395&lt;=30),"16-30",AND($AU395&gt;=31,$AU395&lt;=45),"31-45",AND($AU395&gt;=46,$AU395&lt;=60),"46-60",AND($AU395&gt;=61,$AU395&lt;=90),"61-90",AND($AU395&gt;=91),"&gt; 90",AND($AU395&gt;=2000),""),"")</f>
        <v/>
      </c>
      <c r="AW395" s="79" t="str" cm="1">
        <f t="array" aca="1" ref="AW395" ca="1">IFERROR(_xlfn.IFS(OR($M395="",$AM395=""),"",OR($C395="Offered",$C395="Joined"),($AM395-$M395)-$AT395),"")</f>
        <v/>
      </c>
      <c r="AX395" s="79" t="str" cm="1">
        <f t="array" aca="1" ref="AX395" ca="1">IFERROR(_xlfn.IFS(OR($M395="",$AS395=""),"",$C395="Joined",($AS395-$M395)-$AT395),"")</f>
        <v/>
      </c>
      <c r="AY395" s="67" t="str">
        <f>IFERROR(IF(COUNTIFS('Candidate Tracker'!$E:$E,'Positions Tracker'!$B395,'Candidate Tracker'!$C:$C,"Offer Drop")=0,"",COUNTIFS('Candidate Tracker'!$E:$E,'Positions Tracker'!$B395,'Candidate Tracker'!$C:$C,"Offer Drop")),"")</f>
        <v/>
      </c>
      <c r="AZ395" s="80">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0.88111888111888115</v>
      </c>
      <c r="BA395" s="81" t="str">
        <f>IFERROR(IF(COUNTIFS('Candidate Tracker'!$E:$E,'Positions Tracker'!$B395,'Candidate Tracker'!$I:$I,"Female")=0,"",COUNTIFS('Candidate Tracker'!$E:$E,'Positions Tracker'!$B395,'Candidate Tracker'!$I:$I,"Female")),"")</f>
        <v/>
      </c>
      <c r="BB395" s="81" t="str">
        <f>IFERROR(IF(COUNTIFS('Candidate Tracker'!$E:$E,'Positions Tracker'!$B395,'Candidate Tracker'!$I:$I,"male")=0,"",COUNTIFS('Candidate Tracker'!$E:$E,'Positions Tracker'!$B395,'Candidate Tracker'!$I:$I,"male")),"")</f>
        <v/>
      </c>
      <c r="BC395" s="80" t="str">
        <f>IFERROR(IF(COUNTIFS('Candidate Tracker'!$E:$E,'Positions Tracker'!$B395,'Candidate Tracker'!$C:$C,"&lt;&gt;WIP",'Candidate Tracker'!$C:$C,"&lt;&gt;Hold",'Candidate Tracker'!$C:$C,"&lt;&gt;Cancelled",'Candidate Tracker'!$C:$C,"&lt;&gt;Closed")/COUNTIFS('Candidate Tracker'!$E:$E,'Positions Tracker'!$B395)=0,"",COUNTIFS('Candidate Tracker'!$E:$E,'Positions Tracker'!$B395,'Candidate Tracker'!$C:$C,"&lt;&gt;WIP",'Candidate Tracker'!$C:$C,"&lt;&gt;Hold",'Candidate Tracker'!$C:$C,"&lt;&gt;Cancelled",'Candidate Tracker'!$C:$C,"&lt;&gt;Closed")/COUNTIFS('Candidate Tracker'!$E:$E,'Positions Tracker'!$B395)),"")</f>
        <v/>
      </c>
      <c r="BD395" s="67" t="str">
        <f t="shared" si="36"/>
        <v/>
      </c>
      <c r="BE395" s="67" t="str">
        <f t="shared" si="37"/>
        <v/>
      </c>
      <c r="BF395" s="67" t="str">
        <f t="shared" si="38"/>
        <v/>
      </c>
      <c r="BG395" s="67" t="str">
        <f t="shared" si="39"/>
        <v/>
      </c>
    </row>
    <row r="396" spans="1:59">
      <c r="A396" s="55"/>
      <c r="B396" s="56"/>
      <c r="C396" s="56"/>
      <c r="D396" s="56"/>
      <c r="E396" s="56"/>
      <c r="F396" s="56"/>
      <c r="G396" s="56"/>
      <c r="H396" s="56"/>
      <c r="I396" s="6"/>
      <c r="J396" s="6"/>
      <c r="K396" s="57"/>
      <c r="L396" s="57"/>
      <c r="M396" s="57"/>
      <c r="N396" s="56"/>
      <c r="O396" s="56"/>
      <c r="P396" s="56"/>
      <c r="Q396" s="56"/>
      <c r="R396" s="56"/>
      <c r="S396" s="56"/>
      <c r="T396" s="56"/>
      <c r="U396" s="56"/>
      <c r="V396" s="56"/>
      <c r="W396" s="56"/>
      <c r="X396" s="56"/>
      <c r="Y396" s="56"/>
      <c r="Z396" s="56"/>
      <c r="AA396" s="56"/>
      <c r="AB396" s="56"/>
      <c r="AC396" s="56"/>
      <c r="AD396" s="56"/>
      <c r="AE396" s="56"/>
      <c r="AF396" s="56"/>
      <c r="AG396" s="56"/>
      <c r="AH396" s="56"/>
      <c r="AI396" s="58"/>
      <c r="AJ396" s="56"/>
      <c r="AK396" s="56"/>
      <c r="AL396" s="56"/>
      <c r="AM396" s="57"/>
      <c r="AN396" s="57"/>
      <c r="AO396" s="56"/>
      <c r="AP396" s="56"/>
      <c r="AQ396" s="57"/>
      <c r="AR396" s="57"/>
      <c r="AS396" s="57"/>
      <c r="AT396" s="67">
        <f t="shared" ca="1" si="40"/>
        <v>0</v>
      </c>
      <c r="AU396" s="79" t="str">
        <f t="shared" ca="1" si="41"/>
        <v/>
      </c>
      <c r="AV396" s="79" t="str" cm="1">
        <f t="array" aca="1" ref="AV396" ca="1">IFERROR(_xlfn.IFS($AU396="","",$AU396&lt;=15,"0-15",AND($AU396&gt;=16,$AU396&lt;=30),"16-30",AND($AU396&gt;=31,$AU396&lt;=45),"31-45",AND($AU396&gt;=46,$AU396&lt;=60),"46-60",AND($AU396&gt;=61,$AU396&lt;=90),"61-90",AND($AU396&gt;=91),"&gt; 90",AND($AU396&gt;=2000),""),"")</f>
        <v/>
      </c>
      <c r="AW396" s="79" t="str" cm="1">
        <f t="array" aca="1" ref="AW396" ca="1">IFERROR(_xlfn.IFS(OR($M396="",$AM396=""),"",OR($C396="Offered",$C396="Joined"),($AM396-$M396)-$AT396),"")</f>
        <v/>
      </c>
      <c r="AX396" s="79" t="str" cm="1">
        <f t="array" aca="1" ref="AX396" ca="1">IFERROR(_xlfn.IFS(OR($M396="",$AS396=""),"",$C396="Joined",($AS396-$M396)-$AT396),"")</f>
        <v/>
      </c>
      <c r="AY396" s="67" t="str">
        <f>IFERROR(IF(COUNTIFS('Candidate Tracker'!$E:$E,'Positions Tracker'!$B396,'Candidate Tracker'!$C:$C,"Offer Drop")=0,"",COUNTIFS('Candidate Tracker'!$E:$E,'Positions Tracker'!$B396,'Candidate Tracker'!$C:$C,"Offer Drop")),"")</f>
        <v/>
      </c>
      <c r="AZ396" s="80">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0.88111888111888115</v>
      </c>
      <c r="BA396" s="81" t="str">
        <f>IFERROR(IF(COUNTIFS('Candidate Tracker'!$E:$E,'Positions Tracker'!$B396,'Candidate Tracker'!$I:$I,"Female")=0,"",COUNTIFS('Candidate Tracker'!$E:$E,'Positions Tracker'!$B396,'Candidate Tracker'!$I:$I,"Female")),"")</f>
        <v/>
      </c>
      <c r="BB396" s="81" t="str">
        <f>IFERROR(IF(COUNTIFS('Candidate Tracker'!$E:$E,'Positions Tracker'!$B396,'Candidate Tracker'!$I:$I,"male")=0,"",COUNTIFS('Candidate Tracker'!$E:$E,'Positions Tracker'!$B396,'Candidate Tracker'!$I:$I,"male")),"")</f>
        <v/>
      </c>
      <c r="BC396" s="80" t="str">
        <f>IFERROR(IF(COUNTIFS('Candidate Tracker'!$E:$E,'Positions Tracker'!$B396,'Candidate Tracker'!$C:$C,"&lt;&gt;WIP",'Candidate Tracker'!$C:$C,"&lt;&gt;Hold",'Candidate Tracker'!$C:$C,"&lt;&gt;Cancelled",'Candidate Tracker'!$C:$C,"&lt;&gt;Closed")/COUNTIFS('Candidate Tracker'!$E:$E,'Positions Tracker'!$B396)=0,"",COUNTIFS('Candidate Tracker'!$E:$E,'Positions Tracker'!$B396,'Candidate Tracker'!$C:$C,"&lt;&gt;WIP",'Candidate Tracker'!$C:$C,"&lt;&gt;Hold",'Candidate Tracker'!$C:$C,"&lt;&gt;Cancelled",'Candidate Tracker'!$C:$C,"&lt;&gt;Closed")/COUNTIFS('Candidate Tracker'!$E:$E,'Positions Tracker'!$B396)),"")</f>
        <v/>
      </c>
      <c r="BD396" s="67" t="str">
        <f t="shared" si="36"/>
        <v/>
      </c>
      <c r="BE396" s="67" t="str">
        <f t="shared" si="37"/>
        <v/>
      </c>
      <c r="BF396" s="67" t="str">
        <f t="shared" si="38"/>
        <v/>
      </c>
      <c r="BG396" s="67" t="str">
        <f t="shared" si="39"/>
        <v/>
      </c>
    </row>
    <row r="397" spans="1:59">
      <c r="A397" s="55"/>
      <c r="B397" s="56"/>
      <c r="C397" s="56"/>
      <c r="D397" s="56"/>
      <c r="E397" s="56"/>
      <c r="F397" s="56"/>
      <c r="G397" s="56"/>
      <c r="H397" s="56"/>
      <c r="I397" s="6"/>
      <c r="J397" s="6"/>
      <c r="K397" s="57"/>
      <c r="L397" s="57"/>
      <c r="M397" s="57"/>
      <c r="N397" s="56"/>
      <c r="O397" s="56"/>
      <c r="P397" s="56"/>
      <c r="Q397" s="56"/>
      <c r="R397" s="56"/>
      <c r="S397" s="56"/>
      <c r="T397" s="56"/>
      <c r="U397" s="56"/>
      <c r="V397" s="56"/>
      <c r="W397" s="56"/>
      <c r="X397" s="56"/>
      <c r="Y397" s="56"/>
      <c r="Z397" s="56"/>
      <c r="AA397" s="56"/>
      <c r="AB397" s="56"/>
      <c r="AC397" s="56"/>
      <c r="AD397" s="56"/>
      <c r="AE397" s="56"/>
      <c r="AF397" s="56"/>
      <c r="AG397" s="56"/>
      <c r="AH397" s="56"/>
      <c r="AI397" s="58"/>
      <c r="AJ397" s="56"/>
      <c r="AK397" s="56"/>
      <c r="AL397" s="56"/>
      <c r="AM397" s="57"/>
      <c r="AN397" s="57"/>
      <c r="AO397" s="56"/>
      <c r="AP397" s="56"/>
      <c r="AQ397" s="57"/>
      <c r="AR397" s="57"/>
      <c r="AS397" s="57"/>
      <c r="AT397" s="67">
        <f t="shared" ca="1" si="40"/>
        <v>0</v>
      </c>
      <c r="AU397" s="79" t="str">
        <f t="shared" ca="1" si="41"/>
        <v/>
      </c>
      <c r="AV397" s="79" t="str" cm="1">
        <f t="array" aca="1" ref="AV397" ca="1">IFERROR(_xlfn.IFS($AU397="","",$AU397&lt;=15,"0-15",AND($AU397&gt;=16,$AU397&lt;=30),"16-30",AND($AU397&gt;=31,$AU397&lt;=45),"31-45",AND($AU397&gt;=46,$AU397&lt;=60),"46-60",AND($AU397&gt;=61,$AU397&lt;=90),"61-90",AND($AU397&gt;=91),"&gt; 90",AND($AU397&gt;=2000),""),"")</f>
        <v/>
      </c>
      <c r="AW397" s="79" t="str" cm="1">
        <f t="array" aca="1" ref="AW397" ca="1">IFERROR(_xlfn.IFS(OR($M397="",$AM397=""),"",OR($C397="Offered",$C397="Joined"),($AM397-$M397)-$AT397),"")</f>
        <v/>
      </c>
      <c r="AX397" s="79" t="str" cm="1">
        <f t="array" aca="1" ref="AX397" ca="1">IFERROR(_xlfn.IFS(OR($M397="",$AS397=""),"",$C397="Joined",($AS397-$M397)-$AT397),"")</f>
        <v/>
      </c>
      <c r="AY397" s="67" t="str">
        <f>IFERROR(IF(COUNTIFS('Candidate Tracker'!$E:$E,'Positions Tracker'!$B397,'Candidate Tracker'!$C:$C,"Offer Drop")=0,"",COUNTIFS('Candidate Tracker'!$E:$E,'Positions Tracker'!$B397,'Candidate Tracker'!$C:$C,"Offer Drop")),"")</f>
        <v/>
      </c>
      <c r="AZ397" s="80">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0.88111888111888115</v>
      </c>
      <c r="BA397" s="81" t="str">
        <f>IFERROR(IF(COUNTIFS('Candidate Tracker'!$E:$E,'Positions Tracker'!$B397,'Candidate Tracker'!$I:$I,"Female")=0,"",COUNTIFS('Candidate Tracker'!$E:$E,'Positions Tracker'!$B397,'Candidate Tracker'!$I:$I,"Female")),"")</f>
        <v/>
      </c>
      <c r="BB397" s="81" t="str">
        <f>IFERROR(IF(COUNTIFS('Candidate Tracker'!$E:$E,'Positions Tracker'!$B397,'Candidate Tracker'!$I:$I,"male")=0,"",COUNTIFS('Candidate Tracker'!$E:$E,'Positions Tracker'!$B397,'Candidate Tracker'!$I:$I,"male")),"")</f>
        <v/>
      </c>
      <c r="BC397" s="80" t="str">
        <f>IFERROR(IF(COUNTIFS('Candidate Tracker'!$E:$E,'Positions Tracker'!$B397,'Candidate Tracker'!$C:$C,"&lt;&gt;WIP",'Candidate Tracker'!$C:$C,"&lt;&gt;Hold",'Candidate Tracker'!$C:$C,"&lt;&gt;Cancelled",'Candidate Tracker'!$C:$C,"&lt;&gt;Closed")/COUNTIFS('Candidate Tracker'!$E:$E,'Positions Tracker'!$B397)=0,"",COUNTIFS('Candidate Tracker'!$E:$E,'Positions Tracker'!$B397,'Candidate Tracker'!$C:$C,"&lt;&gt;WIP",'Candidate Tracker'!$C:$C,"&lt;&gt;Hold",'Candidate Tracker'!$C:$C,"&lt;&gt;Cancelled",'Candidate Tracker'!$C:$C,"&lt;&gt;Closed")/COUNTIFS('Candidate Tracker'!$E:$E,'Positions Tracker'!$B397)),"")</f>
        <v/>
      </c>
      <c r="BD397" s="67" t="str">
        <f t="shared" si="36"/>
        <v/>
      </c>
      <c r="BE397" s="67" t="str">
        <f t="shared" si="37"/>
        <v/>
      </c>
      <c r="BF397" s="67" t="str">
        <f t="shared" si="38"/>
        <v/>
      </c>
      <c r="BG397" s="67" t="str">
        <f t="shared" si="39"/>
        <v/>
      </c>
    </row>
    <row r="398" spans="1:59">
      <c r="A398" s="55"/>
      <c r="B398" s="56"/>
      <c r="C398" s="56"/>
      <c r="D398" s="56"/>
      <c r="E398" s="56"/>
      <c r="F398" s="56"/>
      <c r="G398" s="56"/>
      <c r="H398" s="56"/>
      <c r="I398" s="6"/>
      <c r="J398" s="6"/>
      <c r="K398" s="57"/>
      <c r="L398" s="57"/>
      <c r="M398" s="57"/>
      <c r="N398" s="56"/>
      <c r="O398" s="56"/>
      <c r="P398" s="56"/>
      <c r="Q398" s="56"/>
      <c r="R398" s="56"/>
      <c r="S398" s="56"/>
      <c r="T398" s="56"/>
      <c r="U398" s="56"/>
      <c r="V398" s="56"/>
      <c r="W398" s="56"/>
      <c r="X398" s="56"/>
      <c r="Y398" s="56"/>
      <c r="Z398" s="56"/>
      <c r="AA398" s="56"/>
      <c r="AB398" s="56"/>
      <c r="AC398" s="56"/>
      <c r="AD398" s="56"/>
      <c r="AE398" s="56"/>
      <c r="AF398" s="56"/>
      <c r="AG398" s="56"/>
      <c r="AH398" s="56"/>
      <c r="AI398" s="58"/>
      <c r="AJ398" s="56"/>
      <c r="AK398" s="56"/>
      <c r="AL398" s="56"/>
      <c r="AM398" s="57"/>
      <c r="AN398" s="57"/>
      <c r="AO398" s="56"/>
      <c r="AP398" s="56"/>
      <c r="AQ398" s="57"/>
      <c r="AR398" s="57"/>
      <c r="AS398" s="57"/>
      <c r="AT398" s="67">
        <f t="shared" ca="1" si="40"/>
        <v>0</v>
      </c>
      <c r="AU398" s="79" t="str">
        <f t="shared" ca="1" si="41"/>
        <v/>
      </c>
      <c r="AV398" s="79" t="str" cm="1">
        <f t="array" aca="1" ref="AV398" ca="1">IFERROR(_xlfn.IFS($AU398="","",$AU398&lt;=15,"0-15",AND($AU398&gt;=16,$AU398&lt;=30),"16-30",AND($AU398&gt;=31,$AU398&lt;=45),"31-45",AND($AU398&gt;=46,$AU398&lt;=60),"46-60",AND($AU398&gt;=61,$AU398&lt;=90),"61-90",AND($AU398&gt;=91),"&gt; 90",AND($AU398&gt;=2000),""),"")</f>
        <v/>
      </c>
      <c r="AW398" s="79" t="str" cm="1">
        <f t="array" aca="1" ref="AW398" ca="1">IFERROR(_xlfn.IFS(OR($M398="",$AM398=""),"",OR($C398="Offered",$C398="Joined"),($AM398-$M398)-$AT398),"")</f>
        <v/>
      </c>
      <c r="AX398" s="79" t="str" cm="1">
        <f t="array" aca="1" ref="AX398" ca="1">IFERROR(_xlfn.IFS(OR($M398="",$AS398=""),"",$C398="Joined",($AS398-$M398)-$AT398),"")</f>
        <v/>
      </c>
      <c r="AY398" s="67" t="str">
        <f>IFERROR(IF(COUNTIFS('Candidate Tracker'!$E:$E,'Positions Tracker'!$B398,'Candidate Tracker'!$C:$C,"Offer Drop")=0,"",COUNTIFS('Candidate Tracker'!$E:$E,'Positions Tracker'!$B398,'Candidate Tracker'!$C:$C,"Offer Drop")),"")</f>
        <v/>
      </c>
      <c r="AZ398" s="80">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0.88111888111888115</v>
      </c>
      <c r="BA398" s="81" t="str">
        <f>IFERROR(IF(COUNTIFS('Candidate Tracker'!$E:$E,'Positions Tracker'!$B398,'Candidate Tracker'!$I:$I,"Female")=0,"",COUNTIFS('Candidate Tracker'!$E:$E,'Positions Tracker'!$B398,'Candidate Tracker'!$I:$I,"Female")),"")</f>
        <v/>
      </c>
      <c r="BB398" s="81" t="str">
        <f>IFERROR(IF(COUNTIFS('Candidate Tracker'!$E:$E,'Positions Tracker'!$B398,'Candidate Tracker'!$I:$I,"male")=0,"",COUNTIFS('Candidate Tracker'!$E:$E,'Positions Tracker'!$B398,'Candidate Tracker'!$I:$I,"male")),"")</f>
        <v/>
      </c>
      <c r="BC398" s="80" t="str">
        <f>IFERROR(IF(COUNTIFS('Candidate Tracker'!$E:$E,'Positions Tracker'!$B398,'Candidate Tracker'!$C:$C,"&lt;&gt;WIP",'Candidate Tracker'!$C:$C,"&lt;&gt;Hold",'Candidate Tracker'!$C:$C,"&lt;&gt;Cancelled",'Candidate Tracker'!$C:$C,"&lt;&gt;Closed")/COUNTIFS('Candidate Tracker'!$E:$E,'Positions Tracker'!$B398)=0,"",COUNTIFS('Candidate Tracker'!$E:$E,'Positions Tracker'!$B398,'Candidate Tracker'!$C:$C,"&lt;&gt;WIP",'Candidate Tracker'!$C:$C,"&lt;&gt;Hold",'Candidate Tracker'!$C:$C,"&lt;&gt;Cancelled",'Candidate Tracker'!$C:$C,"&lt;&gt;Closed")/COUNTIFS('Candidate Tracker'!$E:$E,'Positions Tracker'!$B398)),"")</f>
        <v/>
      </c>
      <c r="BD398" s="67" t="str">
        <f t="shared" si="36"/>
        <v/>
      </c>
      <c r="BE398" s="67" t="str">
        <f t="shared" si="37"/>
        <v/>
      </c>
      <c r="BF398" s="67" t="str">
        <f t="shared" si="38"/>
        <v/>
      </c>
      <c r="BG398" s="67" t="str">
        <f t="shared" si="39"/>
        <v/>
      </c>
    </row>
    <row r="399" spans="1:59">
      <c r="A399" s="55"/>
      <c r="B399" s="56"/>
      <c r="C399" s="56"/>
      <c r="D399" s="56"/>
      <c r="E399" s="56"/>
      <c r="F399" s="56"/>
      <c r="G399" s="56"/>
      <c r="H399" s="56"/>
      <c r="I399" s="6"/>
      <c r="J399" s="6"/>
      <c r="K399" s="57"/>
      <c r="L399" s="57"/>
      <c r="M399" s="57"/>
      <c r="N399" s="56"/>
      <c r="O399" s="56"/>
      <c r="P399" s="56"/>
      <c r="Q399" s="56"/>
      <c r="R399" s="56"/>
      <c r="S399" s="56"/>
      <c r="T399" s="56"/>
      <c r="U399" s="56"/>
      <c r="V399" s="56"/>
      <c r="W399" s="56"/>
      <c r="X399" s="56"/>
      <c r="Y399" s="56"/>
      <c r="Z399" s="56"/>
      <c r="AA399" s="56"/>
      <c r="AB399" s="56"/>
      <c r="AC399" s="56"/>
      <c r="AD399" s="56"/>
      <c r="AE399" s="56"/>
      <c r="AF399" s="56"/>
      <c r="AG399" s="56"/>
      <c r="AH399" s="56"/>
      <c r="AI399" s="58"/>
      <c r="AJ399" s="56"/>
      <c r="AK399" s="56"/>
      <c r="AL399" s="56"/>
      <c r="AM399" s="57"/>
      <c r="AN399" s="57"/>
      <c r="AO399" s="56"/>
      <c r="AP399" s="56"/>
      <c r="AQ399" s="57"/>
      <c r="AR399" s="57"/>
      <c r="AS399" s="57"/>
      <c r="AT399" s="67">
        <f t="shared" ca="1" si="40"/>
        <v>0</v>
      </c>
      <c r="AU399" s="79" t="str">
        <f t="shared" ca="1" si="41"/>
        <v/>
      </c>
      <c r="AV399" s="79" t="str" cm="1">
        <f t="array" aca="1" ref="AV399" ca="1">IFERROR(_xlfn.IFS($AU399="","",$AU399&lt;=15,"0-15",AND($AU399&gt;=16,$AU399&lt;=30),"16-30",AND($AU399&gt;=31,$AU399&lt;=45),"31-45",AND($AU399&gt;=46,$AU399&lt;=60),"46-60",AND($AU399&gt;=61,$AU399&lt;=90),"61-90",AND($AU399&gt;=91),"&gt; 90",AND($AU399&gt;=2000),""),"")</f>
        <v/>
      </c>
      <c r="AW399" s="79" t="str" cm="1">
        <f t="array" aca="1" ref="AW399" ca="1">IFERROR(_xlfn.IFS(OR($M399="",$AM399=""),"",OR($C399="Offered",$C399="Joined"),($AM399-$M399)-$AT399),"")</f>
        <v/>
      </c>
      <c r="AX399" s="79" t="str" cm="1">
        <f t="array" aca="1" ref="AX399" ca="1">IFERROR(_xlfn.IFS(OR($M399="",$AS399=""),"",$C399="Joined",($AS399-$M399)-$AT399),"")</f>
        <v/>
      </c>
      <c r="AY399" s="67" t="str">
        <f>IFERROR(IF(COUNTIFS('Candidate Tracker'!$E:$E,'Positions Tracker'!$B399,'Candidate Tracker'!$C:$C,"Offer Drop")=0,"",COUNTIFS('Candidate Tracker'!$E:$E,'Positions Tracker'!$B399,'Candidate Tracker'!$C:$C,"Offer Drop")),"")</f>
        <v/>
      </c>
      <c r="AZ399" s="80">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0.88111888111888115</v>
      </c>
      <c r="BA399" s="81" t="str">
        <f>IFERROR(IF(COUNTIFS('Candidate Tracker'!$E:$E,'Positions Tracker'!$B399,'Candidate Tracker'!$I:$I,"Female")=0,"",COUNTIFS('Candidate Tracker'!$E:$E,'Positions Tracker'!$B399,'Candidate Tracker'!$I:$I,"Female")),"")</f>
        <v/>
      </c>
      <c r="BB399" s="81" t="str">
        <f>IFERROR(IF(COUNTIFS('Candidate Tracker'!$E:$E,'Positions Tracker'!$B399,'Candidate Tracker'!$I:$I,"male")=0,"",COUNTIFS('Candidate Tracker'!$E:$E,'Positions Tracker'!$B399,'Candidate Tracker'!$I:$I,"male")),"")</f>
        <v/>
      </c>
      <c r="BC399" s="80" t="str">
        <f>IFERROR(IF(COUNTIFS('Candidate Tracker'!$E:$E,'Positions Tracker'!$B399,'Candidate Tracker'!$C:$C,"&lt;&gt;WIP",'Candidate Tracker'!$C:$C,"&lt;&gt;Hold",'Candidate Tracker'!$C:$C,"&lt;&gt;Cancelled",'Candidate Tracker'!$C:$C,"&lt;&gt;Closed")/COUNTIFS('Candidate Tracker'!$E:$E,'Positions Tracker'!$B399)=0,"",COUNTIFS('Candidate Tracker'!$E:$E,'Positions Tracker'!$B399,'Candidate Tracker'!$C:$C,"&lt;&gt;WIP",'Candidate Tracker'!$C:$C,"&lt;&gt;Hold",'Candidate Tracker'!$C:$C,"&lt;&gt;Cancelled",'Candidate Tracker'!$C:$C,"&lt;&gt;Closed")/COUNTIFS('Candidate Tracker'!$E:$E,'Positions Tracker'!$B399)),"")</f>
        <v/>
      </c>
      <c r="BD399" s="67" t="str">
        <f t="shared" si="36"/>
        <v/>
      </c>
      <c r="BE399" s="67" t="str">
        <f t="shared" si="37"/>
        <v/>
      </c>
      <c r="BF399" s="67" t="str">
        <f t="shared" si="38"/>
        <v/>
      </c>
      <c r="BG399" s="67" t="str">
        <f t="shared" si="39"/>
        <v/>
      </c>
    </row>
    <row r="400" spans="1:59">
      <c r="A400" s="55"/>
      <c r="B400" s="56"/>
      <c r="C400" s="56"/>
      <c r="D400" s="56"/>
      <c r="E400" s="56"/>
      <c r="F400" s="56"/>
      <c r="G400" s="56"/>
      <c r="H400" s="56"/>
      <c r="I400" s="6"/>
      <c r="J400" s="6"/>
      <c r="K400" s="57"/>
      <c r="L400" s="57"/>
      <c r="M400" s="57"/>
      <c r="N400" s="56"/>
      <c r="O400" s="56"/>
      <c r="P400" s="56"/>
      <c r="Q400" s="56"/>
      <c r="R400" s="56"/>
      <c r="S400" s="56"/>
      <c r="T400" s="56"/>
      <c r="U400" s="56"/>
      <c r="V400" s="56"/>
      <c r="W400" s="56"/>
      <c r="X400" s="56"/>
      <c r="Y400" s="56"/>
      <c r="Z400" s="56"/>
      <c r="AA400" s="56"/>
      <c r="AB400" s="56"/>
      <c r="AC400" s="56"/>
      <c r="AD400" s="56"/>
      <c r="AE400" s="56"/>
      <c r="AF400" s="56"/>
      <c r="AG400" s="56"/>
      <c r="AH400" s="56"/>
      <c r="AI400" s="58"/>
      <c r="AJ400" s="56"/>
      <c r="AK400" s="56"/>
      <c r="AL400" s="56"/>
      <c r="AM400" s="57"/>
      <c r="AN400" s="57"/>
      <c r="AO400" s="56"/>
      <c r="AP400" s="56"/>
      <c r="AQ400" s="57"/>
      <c r="AR400" s="57"/>
      <c r="AS400" s="57"/>
      <c r="AT400" s="67">
        <f t="shared" ca="1" si="40"/>
        <v>0</v>
      </c>
      <c r="AU400" s="79" t="str">
        <f t="shared" ca="1" si="41"/>
        <v/>
      </c>
      <c r="AV400" s="79" t="str" cm="1">
        <f t="array" aca="1" ref="AV400" ca="1">IFERROR(_xlfn.IFS($AU400="","",$AU400&lt;=15,"0-15",AND($AU400&gt;=16,$AU400&lt;=30),"16-30",AND($AU400&gt;=31,$AU400&lt;=45),"31-45",AND($AU400&gt;=46,$AU400&lt;=60),"46-60",AND($AU400&gt;=61,$AU400&lt;=90),"61-90",AND($AU400&gt;=91),"&gt; 90",AND($AU400&gt;=2000),""),"")</f>
        <v/>
      </c>
      <c r="AW400" s="79" t="str" cm="1">
        <f t="array" aca="1" ref="AW400" ca="1">IFERROR(_xlfn.IFS(OR($M400="",$AM400=""),"",OR($C400="Offered",$C400="Joined"),($AM400-$M400)-$AT400),"")</f>
        <v/>
      </c>
      <c r="AX400" s="79" t="str" cm="1">
        <f t="array" aca="1" ref="AX400" ca="1">IFERROR(_xlfn.IFS(OR($M400="",$AS400=""),"",$C400="Joined",($AS400-$M400)-$AT400),"")</f>
        <v/>
      </c>
      <c r="AY400" s="67" t="str">
        <f>IFERROR(IF(COUNTIFS('Candidate Tracker'!$E:$E,'Positions Tracker'!$B400,'Candidate Tracker'!$C:$C,"Offer Drop")=0,"",COUNTIFS('Candidate Tracker'!$E:$E,'Positions Tracker'!$B400,'Candidate Tracker'!$C:$C,"Offer Drop")),"")</f>
        <v/>
      </c>
      <c r="AZ400" s="80">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0.88111888111888115</v>
      </c>
      <c r="BA400" s="81" t="str">
        <f>IFERROR(IF(COUNTIFS('Candidate Tracker'!$E:$E,'Positions Tracker'!$B400,'Candidate Tracker'!$I:$I,"Female")=0,"",COUNTIFS('Candidate Tracker'!$E:$E,'Positions Tracker'!$B400,'Candidate Tracker'!$I:$I,"Female")),"")</f>
        <v/>
      </c>
      <c r="BB400" s="81" t="str">
        <f>IFERROR(IF(COUNTIFS('Candidate Tracker'!$E:$E,'Positions Tracker'!$B400,'Candidate Tracker'!$I:$I,"male")=0,"",COUNTIFS('Candidate Tracker'!$E:$E,'Positions Tracker'!$B400,'Candidate Tracker'!$I:$I,"male")),"")</f>
        <v/>
      </c>
      <c r="BC400" s="80" t="str">
        <f>IFERROR(IF(COUNTIFS('Candidate Tracker'!$E:$E,'Positions Tracker'!$B400,'Candidate Tracker'!$C:$C,"&lt;&gt;WIP",'Candidate Tracker'!$C:$C,"&lt;&gt;Hold",'Candidate Tracker'!$C:$C,"&lt;&gt;Cancelled",'Candidate Tracker'!$C:$C,"&lt;&gt;Closed")/COUNTIFS('Candidate Tracker'!$E:$E,'Positions Tracker'!$B400)=0,"",COUNTIFS('Candidate Tracker'!$E:$E,'Positions Tracker'!$B400,'Candidate Tracker'!$C:$C,"&lt;&gt;WIP",'Candidate Tracker'!$C:$C,"&lt;&gt;Hold",'Candidate Tracker'!$C:$C,"&lt;&gt;Cancelled",'Candidate Tracker'!$C:$C,"&lt;&gt;Closed")/COUNTIFS('Candidate Tracker'!$E:$E,'Positions Tracker'!$B400)),"")</f>
        <v/>
      </c>
      <c r="BD400" s="67" t="str">
        <f t="shared" si="36"/>
        <v/>
      </c>
      <c r="BE400" s="67" t="str">
        <f t="shared" si="37"/>
        <v/>
      </c>
      <c r="BF400" s="67" t="str">
        <f t="shared" si="38"/>
        <v/>
      </c>
      <c r="BG400" s="67" t="str">
        <f t="shared" si="39"/>
        <v/>
      </c>
    </row>
    <row r="401" spans="1:59">
      <c r="A401" s="55"/>
      <c r="B401" s="56"/>
      <c r="C401" s="56"/>
      <c r="D401" s="56"/>
      <c r="E401" s="56"/>
      <c r="F401" s="56"/>
      <c r="G401" s="56"/>
      <c r="H401" s="56"/>
      <c r="I401" s="6"/>
      <c r="J401" s="6"/>
      <c r="K401" s="57"/>
      <c r="L401" s="57"/>
      <c r="M401" s="57"/>
      <c r="N401" s="56"/>
      <c r="O401" s="56"/>
      <c r="P401" s="56"/>
      <c r="Q401" s="56"/>
      <c r="R401" s="56"/>
      <c r="S401" s="56"/>
      <c r="T401" s="56"/>
      <c r="U401" s="56"/>
      <c r="V401" s="56"/>
      <c r="W401" s="56"/>
      <c r="X401" s="56"/>
      <c r="Y401" s="56"/>
      <c r="Z401" s="56"/>
      <c r="AA401" s="56"/>
      <c r="AB401" s="56"/>
      <c r="AC401" s="56"/>
      <c r="AD401" s="56"/>
      <c r="AE401" s="56"/>
      <c r="AF401" s="56"/>
      <c r="AG401" s="56"/>
      <c r="AH401" s="56"/>
      <c r="AI401" s="58"/>
      <c r="AJ401" s="56"/>
      <c r="AK401" s="56"/>
      <c r="AL401" s="56"/>
      <c r="AM401" s="57"/>
      <c r="AN401" s="57"/>
      <c r="AO401" s="56"/>
      <c r="AP401" s="56"/>
      <c r="AQ401" s="57"/>
      <c r="AR401" s="57"/>
      <c r="AS401" s="57"/>
      <c r="AT401" s="67">
        <f t="shared" ca="1" si="40"/>
        <v>0</v>
      </c>
      <c r="AU401" s="79" t="str">
        <f t="shared" ca="1" si="41"/>
        <v/>
      </c>
      <c r="AV401" s="79" t="str" cm="1">
        <f t="array" aca="1" ref="AV401" ca="1">IFERROR(_xlfn.IFS($AU401="","",$AU401&lt;=15,"0-15",AND($AU401&gt;=16,$AU401&lt;=30),"16-30",AND($AU401&gt;=31,$AU401&lt;=45),"31-45",AND($AU401&gt;=46,$AU401&lt;=60),"46-60",AND($AU401&gt;=61,$AU401&lt;=90),"61-90",AND($AU401&gt;=91),"&gt; 90",AND($AU401&gt;=2000),""),"")</f>
        <v/>
      </c>
      <c r="AW401" s="79" t="str" cm="1">
        <f t="array" aca="1" ref="AW401" ca="1">IFERROR(_xlfn.IFS(OR($M401="",$AM401=""),"",OR($C401="Offered",$C401="Joined"),($AM401-$M401)-$AT401),"")</f>
        <v/>
      </c>
      <c r="AX401" s="79" t="str" cm="1">
        <f t="array" aca="1" ref="AX401" ca="1">IFERROR(_xlfn.IFS(OR($M401="",$AS401=""),"",$C401="Joined",($AS401-$M401)-$AT401),"")</f>
        <v/>
      </c>
      <c r="AY401" s="67" t="str">
        <f>IFERROR(IF(COUNTIFS('Candidate Tracker'!$E:$E,'Positions Tracker'!$B401,'Candidate Tracker'!$C:$C,"Offer Drop")=0,"",COUNTIFS('Candidate Tracker'!$E:$E,'Positions Tracker'!$B401,'Candidate Tracker'!$C:$C,"Offer Drop")),"")</f>
        <v/>
      </c>
      <c r="AZ401" s="80">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0.88111888111888115</v>
      </c>
      <c r="BA401" s="81" t="str">
        <f>IFERROR(IF(COUNTIFS('Candidate Tracker'!$E:$E,'Positions Tracker'!$B401,'Candidate Tracker'!$I:$I,"Female")=0,"",COUNTIFS('Candidate Tracker'!$E:$E,'Positions Tracker'!$B401,'Candidate Tracker'!$I:$I,"Female")),"")</f>
        <v/>
      </c>
      <c r="BB401" s="81" t="str">
        <f>IFERROR(IF(COUNTIFS('Candidate Tracker'!$E:$E,'Positions Tracker'!$B401,'Candidate Tracker'!$I:$I,"male")=0,"",COUNTIFS('Candidate Tracker'!$E:$E,'Positions Tracker'!$B401,'Candidate Tracker'!$I:$I,"male")),"")</f>
        <v/>
      </c>
      <c r="BC401" s="80" t="str">
        <f>IFERROR(IF(COUNTIFS('Candidate Tracker'!$E:$E,'Positions Tracker'!$B401,'Candidate Tracker'!$C:$C,"&lt;&gt;WIP",'Candidate Tracker'!$C:$C,"&lt;&gt;Hold",'Candidate Tracker'!$C:$C,"&lt;&gt;Cancelled",'Candidate Tracker'!$C:$C,"&lt;&gt;Closed")/COUNTIFS('Candidate Tracker'!$E:$E,'Positions Tracker'!$B401)=0,"",COUNTIFS('Candidate Tracker'!$E:$E,'Positions Tracker'!$B401,'Candidate Tracker'!$C:$C,"&lt;&gt;WIP",'Candidate Tracker'!$C:$C,"&lt;&gt;Hold",'Candidate Tracker'!$C:$C,"&lt;&gt;Cancelled",'Candidate Tracker'!$C:$C,"&lt;&gt;Closed")/COUNTIFS('Candidate Tracker'!$E:$E,'Positions Tracker'!$B401)),"")</f>
        <v/>
      </c>
      <c r="BD401" s="67" t="str">
        <f t="shared" si="36"/>
        <v/>
      </c>
      <c r="BE401" s="67" t="str">
        <f t="shared" si="37"/>
        <v/>
      </c>
      <c r="BF401" s="67" t="str">
        <f t="shared" si="38"/>
        <v/>
      </c>
      <c r="BG401" s="67" t="str">
        <f t="shared" si="39"/>
        <v/>
      </c>
    </row>
    <row r="402" spans="1:59">
      <c r="A402" s="55"/>
      <c r="B402" s="56"/>
      <c r="C402" s="56"/>
      <c r="D402" s="56"/>
      <c r="E402" s="56"/>
      <c r="F402" s="56"/>
      <c r="G402" s="56"/>
      <c r="H402" s="56"/>
      <c r="I402" s="6"/>
      <c r="J402" s="6"/>
      <c r="K402" s="57"/>
      <c r="L402" s="57"/>
      <c r="M402" s="57"/>
      <c r="N402" s="56"/>
      <c r="O402" s="56"/>
      <c r="P402" s="56"/>
      <c r="Q402" s="56"/>
      <c r="R402" s="56"/>
      <c r="S402" s="56"/>
      <c r="T402" s="56"/>
      <c r="U402" s="56"/>
      <c r="V402" s="56"/>
      <c r="W402" s="56"/>
      <c r="X402" s="56"/>
      <c r="Y402" s="56"/>
      <c r="Z402" s="56"/>
      <c r="AA402" s="56"/>
      <c r="AB402" s="56"/>
      <c r="AC402" s="56"/>
      <c r="AD402" s="56"/>
      <c r="AE402" s="56"/>
      <c r="AF402" s="56"/>
      <c r="AG402" s="56"/>
      <c r="AH402" s="56"/>
      <c r="AI402" s="58"/>
      <c r="AJ402" s="56"/>
      <c r="AK402" s="56"/>
      <c r="AL402" s="56"/>
      <c r="AM402" s="57"/>
      <c r="AN402" s="57"/>
      <c r="AO402" s="56"/>
      <c r="AP402" s="56"/>
      <c r="AQ402" s="57"/>
      <c r="AR402" s="57"/>
      <c r="AS402" s="57"/>
      <c r="AT402" s="67">
        <f t="shared" ca="1" si="40"/>
        <v>0</v>
      </c>
      <c r="AU402" s="79" t="str">
        <f t="shared" ca="1" si="41"/>
        <v/>
      </c>
      <c r="AV402" s="79" t="str" cm="1">
        <f t="array" aca="1" ref="AV402" ca="1">IFERROR(_xlfn.IFS($AU402="","",$AU402&lt;=15,"0-15",AND($AU402&gt;=16,$AU402&lt;=30),"16-30",AND($AU402&gt;=31,$AU402&lt;=45),"31-45",AND($AU402&gt;=46,$AU402&lt;=60),"46-60",AND($AU402&gt;=61,$AU402&lt;=90),"61-90",AND($AU402&gt;=91),"&gt; 90",AND($AU402&gt;=2000),""),"")</f>
        <v/>
      </c>
      <c r="AW402" s="79" t="str" cm="1">
        <f t="array" aca="1" ref="AW402" ca="1">IFERROR(_xlfn.IFS(OR($M402="",$AM402=""),"",OR($C402="Offered",$C402="Joined"),($AM402-$M402)-$AT402),"")</f>
        <v/>
      </c>
      <c r="AX402" s="79" t="str" cm="1">
        <f t="array" aca="1" ref="AX402" ca="1">IFERROR(_xlfn.IFS(OR($M402="",$AS402=""),"",$C402="Joined",($AS402-$M402)-$AT402),"")</f>
        <v/>
      </c>
      <c r="AY402" s="67" t="str">
        <f>IFERROR(IF(COUNTIFS('Candidate Tracker'!$E:$E,'Positions Tracker'!$B402,'Candidate Tracker'!$C:$C,"Offer Drop")=0,"",COUNTIFS('Candidate Tracker'!$E:$E,'Positions Tracker'!$B402,'Candidate Tracker'!$C:$C,"Offer Drop")),"")</f>
        <v/>
      </c>
      <c r="AZ402" s="80">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0.88111888111888115</v>
      </c>
      <c r="BA402" s="81" t="str">
        <f>IFERROR(IF(COUNTIFS('Candidate Tracker'!$E:$E,'Positions Tracker'!$B402,'Candidate Tracker'!$I:$I,"Female")=0,"",COUNTIFS('Candidate Tracker'!$E:$E,'Positions Tracker'!$B402,'Candidate Tracker'!$I:$I,"Female")),"")</f>
        <v/>
      </c>
      <c r="BB402" s="81" t="str">
        <f>IFERROR(IF(COUNTIFS('Candidate Tracker'!$E:$E,'Positions Tracker'!$B402,'Candidate Tracker'!$I:$I,"male")=0,"",COUNTIFS('Candidate Tracker'!$E:$E,'Positions Tracker'!$B402,'Candidate Tracker'!$I:$I,"male")),"")</f>
        <v/>
      </c>
      <c r="BC402" s="80" t="str">
        <f>IFERROR(IF(COUNTIFS('Candidate Tracker'!$E:$E,'Positions Tracker'!$B402,'Candidate Tracker'!$C:$C,"&lt;&gt;WIP",'Candidate Tracker'!$C:$C,"&lt;&gt;Hold",'Candidate Tracker'!$C:$C,"&lt;&gt;Cancelled",'Candidate Tracker'!$C:$C,"&lt;&gt;Closed")/COUNTIFS('Candidate Tracker'!$E:$E,'Positions Tracker'!$B402)=0,"",COUNTIFS('Candidate Tracker'!$E:$E,'Positions Tracker'!$B402,'Candidate Tracker'!$C:$C,"&lt;&gt;WIP",'Candidate Tracker'!$C:$C,"&lt;&gt;Hold",'Candidate Tracker'!$C:$C,"&lt;&gt;Cancelled",'Candidate Tracker'!$C:$C,"&lt;&gt;Closed")/COUNTIFS('Candidate Tracker'!$E:$E,'Positions Tracker'!$B402)),"")</f>
        <v/>
      </c>
      <c r="BD402" s="67" t="str">
        <f t="shared" si="36"/>
        <v/>
      </c>
      <c r="BE402" s="67" t="str">
        <f t="shared" si="37"/>
        <v/>
      </c>
      <c r="BF402" s="67" t="str">
        <f t="shared" si="38"/>
        <v/>
      </c>
      <c r="BG402" s="67" t="str">
        <f t="shared" si="39"/>
        <v/>
      </c>
    </row>
    <row r="403" spans="1:59">
      <c r="A403" s="55"/>
      <c r="B403" s="56"/>
      <c r="C403" s="56"/>
      <c r="D403" s="56"/>
      <c r="E403" s="56"/>
      <c r="F403" s="56"/>
      <c r="G403" s="56"/>
      <c r="H403" s="56"/>
      <c r="I403" s="6"/>
      <c r="J403" s="6"/>
      <c r="K403" s="57"/>
      <c r="L403" s="57"/>
      <c r="M403" s="57"/>
      <c r="N403" s="56"/>
      <c r="O403" s="56"/>
      <c r="P403" s="56"/>
      <c r="Q403" s="56"/>
      <c r="R403" s="56"/>
      <c r="S403" s="56"/>
      <c r="T403" s="56"/>
      <c r="U403" s="56"/>
      <c r="V403" s="56"/>
      <c r="W403" s="56"/>
      <c r="X403" s="56"/>
      <c r="Y403" s="56"/>
      <c r="Z403" s="56"/>
      <c r="AA403" s="56"/>
      <c r="AB403" s="56"/>
      <c r="AC403" s="56"/>
      <c r="AD403" s="56"/>
      <c r="AE403" s="56"/>
      <c r="AF403" s="56"/>
      <c r="AG403" s="56"/>
      <c r="AH403" s="56"/>
      <c r="AI403" s="58"/>
      <c r="AJ403" s="56"/>
      <c r="AK403" s="56"/>
      <c r="AL403" s="56"/>
      <c r="AM403" s="57"/>
      <c r="AN403" s="57"/>
      <c r="AO403" s="56"/>
      <c r="AP403" s="56"/>
      <c r="AQ403" s="57"/>
      <c r="AR403" s="57"/>
      <c r="AS403" s="57"/>
      <c r="AT403" s="67">
        <f t="shared" ca="1" si="40"/>
        <v>0</v>
      </c>
      <c r="AU403" s="79" t="str">
        <f t="shared" ca="1" si="41"/>
        <v/>
      </c>
      <c r="AV403" s="79" t="str" cm="1">
        <f t="array" aca="1" ref="AV403" ca="1">IFERROR(_xlfn.IFS($AU403="","",$AU403&lt;=15,"0-15",AND($AU403&gt;=16,$AU403&lt;=30),"16-30",AND($AU403&gt;=31,$AU403&lt;=45),"31-45",AND($AU403&gt;=46,$AU403&lt;=60),"46-60",AND($AU403&gt;=61,$AU403&lt;=90),"61-90",AND($AU403&gt;=91),"&gt; 90",AND($AU403&gt;=2000),""),"")</f>
        <v/>
      </c>
      <c r="AW403" s="79" t="str" cm="1">
        <f t="array" aca="1" ref="AW403" ca="1">IFERROR(_xlfn.IFS(OR($M403="",$AM403=""),"",OR($C403="Offered",$C403="Joined"),($AM403-$M403)-$AT403),"")</f>
        <v/>
      </c>
      <c r="AX403" s="79" t="str" cm="1">
        <f t="array" aca="1" ref="AX403" ca="1">IFERROR(_xlfn.IFS(OR($M403="",$AS403=""),"",$C403="Joined",($AS403-$M403)-$AT403),"")</f>
        <v/>
      </c>
      <c r="AY403" s="67" t="str">
        <f>IFERROR(IF(COUNTIFS('Candidate Tracker'!$E:$E,'Positions Tracker'!$B403,'Candidate Tracker'!$C:$C,"Offer Drop")=0,"",COUNTIFS('Candidate Tracker'!$E:$E,'Positions Tracker'!$B403,'Candidate Tracker'!$C:$C,"Offer Drop")),"")</f>
        <v/>
      </c>
      <c r="AZ403" s="80">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0.88111888111888115</v>
      </c>
      <c r="BA403" s="81" t="str">
        <f>IFERROR(IF(COUNTIFS('Candidate Tracker'!$E:$E,'Positions Tracker'!$B403,'Candidate Tracker'!$I:$I,"Female")=0,"",COUNTIFS('Candidate Tracker'!$E:$E,'Positions Tracker'!$B403,'Candidate Tracker'!$I:$I,"Female")),"")</f>
        <v/>
      </c>
      <c r="BB403" s="81" t="str">
        <f>IFERROR(IF(COUNTIFS('Candidate Tracker'!$E:$E,'Positions Tracker'!$B403,'Candidate Tracker'!$I:$I,"male")=0,"",COUNTIFS('Candidate Tracker'!$E:$E,'Positions Tracker'!$B403,'Candidate Tracker'!$I:$I,"male")),"")</f>
        <v/>
      </c>
      <c r="BC403" s="80" t="str">
        <f>IFERROR(IF(COUNTIFS('Candidate Tracker'!$E:$E,'Positions Tracker'!$B403,'Candidate Tracker'!$C:$C,"&lt;&gt;WIP",'Candidate Tracker'!$C:$C,"&lt;&gt;Hold",'Candidate Tracker'!$C:$C,"&lt;&gt;Cancelled",'Candidate Tracker'!$C:$C,"&lt;&gt;Closed")/COUNTIFS('Candidate Tracker'!$E:$E,'Positions Tracker'!$B403)=0,"",COUNTIFS('Candidate Tracker'!$E:$E,'Positions Tracker'!$B403,'Candidate Tracker'!$C:$C,"&lt;&gt;WIP",'Candidate Tracker'!$C:$C,"&lt;&gt;Hold",'Candidate Tracker'!$C:$C,"&lt;&gt;Cancelled",'Candidate Tracker'!$C:$C,"&lt;&gt;Closed")/COUNTIFS('Candidate Tracker'!$E:$E,'Positions Tracker'!$B403)),"")</f>
        <v/>
      </c>
      <c r="BD403" s="67" t="str">
        <f t="shared" si="36"/>
        <v/>
      </c>
      <c r="BE403" s="67" t="str">
        <f t="shared" si="37"/>
        <v/>
      </c>
      <c r="BF403" s="67" t="str">
        <f t="shared" si="38"/>
        <v/>
      </c>
      <c r="BG403" s="67" t="str">
        <f t="shared" si="39"/>
        <v/>
      </c>
    </row>
    <row r="404" spans="1:59">
      <c r="A404" s="55"/>
      <c r="B404" s="56"/>
      <c r="C404" s="56"/>
      <c r="D404" s="56"/>
      <c r="E404" s="56"/>
      <c r="F404" s="56"/>
      <c r="G404" s="56"/>
      <c r="H404" s="56"/>
      <c r="I404" s="6"/>
      <c r="J404" s="6"/>
      <c r="K404" s="57"/>
      <c r="L404" s="57"/>
      <c r="M404" s="57"/>
      <c r="N404" s="56"/>
      <c r="O404" s="56"/>
      <c r="P404" s="56"/>
      <c r="Q404" s="56"/>
      <c r="R404" s="56"/>
      <c r="S404" s="56"/>
      <c r="T404" s="56"/>
      <c r="U404" s="56"/>
      <c r="V404" s="56"/>
      <c r="W404" s="56"/>
      <c r="X404" s="56"/>
      <c r="Y404" s="56"/>
      <c r="Z404" s="56"/>
      <c r="AA404" s="56"/>
      <c r="AB404" s="56"/>
      <c r="AC404" s="56"/>
      <c r="AD404" s="56"/>
      <c r="AE404" s="56"/>
      <c r="AF404" s="56"/>
      <c r="AG404" s="56"/>
      <c r="AH404" s="56"/>
      <c r="AI404" s="58"/>
      <c r="AJ404" s="56"/>
      <c r="AK404" s="56"/>
      <c r="AL404" s="56"/>
      <c r="AM404" s="57"/>
      <c r="AN404" s="57"/>
      <c r="AO404" s="56"/>
      <c r="AP404" s="56"/>
      <c r="AQ404" s="57"/>
      <c r="AR404" s="57"/>
      <c r="AS404" s="57"/>
      <c r="AT404" s="67">
        <f t="shared" ca="1" si="40"/>
        <v>0</v>
      </c>
      <c r="AU404" s="79" t="str">
        <f t="shared" ca="1" si="41"/>
        <v/>
      </c>
      <c r="AV404" s="79" t="str" cm="1">
        <f t="array" aca="1" ref="AV404" ca="1">IFERROR(_xlfn.IFS($AU404="","",$AU404&lt;=15,"0-15",AND($AU404&gt;=16,$AU404&lt;=30),"16-30",AND($AU404&gt;=31,$AU404&lt;=45),"31-45",AND($AU404&gt;=46,$AU404&lt;=60),"46-60",AND($AU404&gt;=61,$AU404&lt;=90),"61-90",AND($AU404&gt;=91),"&gt; 90",AND($AU404&gt;=2000),""),"")</f>
        <v/>
      </c>
      <c r="AW404" s="79" t="str" cm="1">
        <f t="array" aca="1" ref="AW404" ca="1">IFERROR(_xlfn.IFS(OR($M404="",$AM404=""),"",OR($C404="Offered",$C404="Joined"),($AM404-$M404)-$AT404),"")</f>
        <v/>
      </c>
      <c r="AX404" s="79" t="str" cm="1">
        <f t="array" aca="1" ref="AX404" ca="1">IFERROR(_xlfn.IFS(OR($M404="",$AS404=""),"",$C404="Joined",($AS404-$M404)-$AT404),"")</f>
        <v/>
      </c>
      <c r="AY404" s="67" t="str">
        <f>IFERROR(IF(COUNTIFS('Candidate Tracker'!$E:$E,'Positions Tracker'!$B404,'Candidate Tracker'!$C:$C,"Offer Drop")=0,"",COUNTIFS('Candidate Tracker'!$E:$E,'Positions Tracker'!$B404,'Candidate Tracker'!$C:$C,"Offer Drop")),"")</f>
        <v/>
      </c>
      <c r="AZ404" s="80">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0.88111888111888115</v>
      </c>
      <c r="BA404" s="81" t="str">
        <f>IFERROR(IF(COUNTIFS('Candidate Tracker'!$E:$E,'Positions Tracker'!$B404,'Candidate Tracker'!$I:$I,"Female")=0,"",COUNTIFS('Candidate Tracker'!$E:$E,'Positions Tracker'!$B404,'Candidate Tracker'!$I:$I,"Female")),"")</f>
        <v/>
      </c>
      <c r="BB404" s="81" t="str">
        <f>IFERROR(IF(COUNTIFS('Candidate Tracker'!$E:$E,'Positions Tracker'!$B404,'Candidate Tracker'!$I:$I,"male")=0,"",COUNTIFS('Candidate Tracker'!$E:$E,'Positions Tracker'!$B404,'Candidate Tracker'!$I:$I,"male")),"")</f>
        <v/>
      </c>
      <c r="BC404" s="80" t="str">
        <f>IFERROR(IF(COUNTIFS('Candidate Tracker'!$E:$E,'Positions Tracker'!$B404,'Candidate Tracker'!$C:$C,"&lt;&gt;WIP",'Candidate Tracker'!$C:$C,"&lt;&gt;Hold",'Candidate Tracker'!$C:$C,"&lt;&gt;Cancelled",'Candidate Tracker'!$C:$C,"&lt;&gt;Closed")/COUNTIFS('Candidate Tracker'!$E:$E,'Positions Tracker'!$B404)=0,"",COUNTIFS('Candidate Tracker'!$E:$E,'Positions Tracker'!$B404,'Candidate Tracker'!$C:$C,"&lt;&gt;WIP",'Candidate Tracker'!$C:$C,"&lt;&gt;Hold",'Candidate Tracker'!$C:$C,"&lt;&gt;Cancelled",'Candidate Tracker'!$C:$C,"&lt;&gt;Closed")/COUNTIFS('Candidate Tracker'!$E:$E,'Positions Tracker'!$B404)),"")</f>
        <v/>
      </c>
      <c r="BD404" s="67" t="str">
        <f t="shared" si="36"/>
        <v/>
      </c>
      <c r="BE404" s="67" t="str">
        <f t="shared" si="37"/>
        <v/>
      </c>
      <c r="BF404" s="67" t="str">
        <f t="shared" si="38"/>
        <v/>
      </c>
      <c r="BG404" s="67" t="str">
        <f t="shared" si="39"/>
        <v/>
      </c>
    </row>
    <row r="405" spans="1:59">
      <c r="A405" s="55"/>
      <c r="B405" s="56"/>
      <c r="C405" s="56"/>
      <c r="D405" s="56"/>
      <c r="E405" s="56"/>
      <c r="F405" s="56"/>
      <c r="G405" s="56"/>
      <c r="H405" s="56"/>
      <c r="I405" s="6"/>
      <c r="J405" s="6"/>
      <c r="K405" s="57"/>
      <c r="L405" s="57"/>
      <c r="M405" s="57"/>
      <c r="N405" s="56"/>
      <c r="O405" s="56"/>
      <c r="P405" s="56"/>
      <c r="Q405" s="56"/>
      <c r="R405" s="56"/>
      <c r="S405" s="56"/>
      <c r="T405" s="56"/>
      <c r="U405" s="56"/>
      <c r="V405" s="56"/>
      <c r="W405" s="56"/>
      <c r="X405" s="56"/>
      <c r="Y405" s="56"/>
      <c r="Z405" s="56"/>
      <c r="AA405" s="56"/>
      <c r="AB405" s="56"/>
      <c r="AC405" s="56"/>
      <c r="AD405" s="56"/>
      <c r="AE405" s="56"/>
      <c r="AF405" s="56"/>
      <c r="AG405" s="56"/>
      <c r="AH405" s="56"/>
      <c r="AI405" s="58"/>
      <c r="AJ405" s="56"/>
      <c r="AK405" s="56"/>
      <c r="AL405" s="56"/>
      <c r="AM405" s="57"/>
      <c r="AN405" s="57"/>
      <c r="AO405" s="56"/>
      <c r="AP405" s="56"/>
      <c r="AQ405" s="57"/>
      <c r="AR405" s="57"/>
      <c r="AS405" s="57"/>
      <c r="AT405" s="67">
        <f t="shared" ca="1" si="40"/>
        <v>0</v>
      </c>
      <c r="AU405" s="79" t="str">
        <f t="shared" ca="1" si="41"/>
        <v/>
      </c>
      <c r="AV405" s="79" t="str" cm="1">
        <f t="array" aca="1" ref="AV405" ca="1">IFERROR(_xlfn.IFS($AU405="","",$AU405&lt;=15,"0-15",AND($AU405&gt;=16,$AU405&lt;=30),"16-30",AND($AU405&gt;=31,$AU405&lt;=45),"31-45",AND($AU405&gt;=46,$AU405&lt;=60),"46-60",AND($AU405&gt;=61,$AU405&lt;=90),"61-90",AND($AU405&gt;=91),"&gt; 90",AND($AU405&gt;=2000),""),"")</f>
        <v/>
      </c>
      <c r="AW405" s="79" t="str" cm="1">
        <f t="array" aca="1" ref="AW405" ca="1">IFERROR(_xlfn.IFS(OR($M405="",$AM405=""),"",OR($C405="Offered",$C405="Joined"),($AM405-$M405)-$AT405),"")</f>
        <v/>
      </c>
      <c r="AX405" s="79" t="str" cm="1">
        <f t="array" aca="1" ref="AX405" ca="1">IFERROR(_xlfn.IFS(OR($M405="",$AS405=""),"",$C405="Joined",($AS405-$M405)-$AT405),"")</f>
        <v/>
      </c>
      <c r="AY405" s="67" t="str">
        <f>IFERROR(IF(COUNTIFS('Candidate Tracker'!$E:$E,'Positions Tracker'!$B405,'Candidate Tracker'!$C:$C,"Offer Drop")=0,"",COUNTIFS('Candidate Tracker'!$E:$E,'Positions Tracker'!$B405,'Candidate Tracker'!$C:$C,"Offer Drop")),"")</f>
        <v/>
      </c>
      <c r="AZ405" s="80">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0.88111888111888115</v>
      </c>
      <c r="BA405" s="81" t="str">
        <f>IFERROR(IF(COUNTIFS('Candidate Tracker'!$E:$E,'Positions Tracker'!$B405,'Candidate Tracker'!$I:$I,"Female")=0,"",COUNTIFS('Candidate Tracker'!$E:$E,'Positions Tracker'!$B405,'Candidate Tracker'!$I:$I,"Female")),"")</f>
        <v/>
      </c>
      <c r="BB405" s="81" t="str">
        <f>IFERROR(IF(COUNTIFS('Candidate Tracker'!$E:$E,'Positions Tracker'!$B405,'Candidate Tracker'!$I:$I,"male")=0,"",COUNTIFS('Candidate Tracker'!$E:$E,'Positions Tracker'!$B405,'Candidate Tracker'!$I:$I,"male")),"")</f>
        <v/>
      </c>
      <c r="BC405" s="80" t="str">
        <f>IFERROR(IF(COUNTIFS('Candidate Tracker'!$E:$E,'Positions Tracker'!$B405,'Candidate Tracker'!$C:$C,"&lt;&gt;WIP",'Candidate Tracker'!$C:$C,"&lt;&gt;Hold",'Candidate Tracker'!$C:$C,"&lt;&gt;Cancelled",'Candidate Tracker'!$C:$C,"&lt;&gt;Closed")/COUNTIFS('Candidate Tracker'!$E:$E,'Positions Tracker'!$B405)=0,"",COUNTIFS('Candidate Tracker'!$E:$E,'Positions Tracker'!$B405,'Candidate Tracker'!$C:$C,"&lt;&gt;WIP",'Candidate Tracker'!$C:$C,"&lt;&gt;Hold",'Candidate Tracker'!$C:$C,"&lt;&gt;Cancelled",'Candidate Tracker'!$C:$C,"&lt;&gt;Closed")/COUNTIFS('Candidate Tracker'!$E:$E,'Positions Tracker'!$B405)),"")</f>
        <v/>
      </c>
      <c r="BD405" s="67" t="str">
        <f t="shared" si="36"/>
        <v/>
      </c>
      <c r="BE405" s="67" t="str">
        <f t="shared" si="37"/>
        <v/>
      </c>
      <c r="BF405" s="67" t="str">
        <f t="shared" si="38"/>
        <v/>
      </c>
      <c r="BG405" s="67" t="str">
        <f t="shared" si="39"/>
        <v/>
      </c>
    </row>
    <row r="406" spans="1:59">
      <c r="A406" s="55"/>
      <c r="B406" s="56"/>
      <c r="C406" s="56"/>
      <c r="D406" s="56"/>
      <c r="E406" s="56"/>
      <c r="F406" s="56"/>
      <c r="G406" s="56"/>
      <c r="H406" s="56"/>
      <c r="I406" s="6"/>
      <c r="J406" s="6"/>
      <c r="K406" s="57"/>
      <c r="L406" s="57"/>
      <c r="M406" s="57"/>
      <c r="N406" s="56"/>
      <c r="O406" s="56"/>
      <c r="P406" s="56"/>
      <c r="Q406" s="56"/>
      <c r="R406" s="56"/>
      <c r="S406" s="56"/>
      <c r="T406" s="56"/>
      <c r="U406" s="56"/>
      <c r="V406" s="56"/>
      <c r="W406" s="56"/>
      <c r="X406" s="56"/>
      <c r="Y406" s="56"/>
      <c r="Z406" s="56"/>
      <c r="AA406" s="56"/>
      <c r="AB406" s="56"/>
      <c r="AC406" s="56"/>
      <c r="AD406" s="56"/>
      <c r="AE406" s="56"/>
      <c r="AF406" s="56"/>
      <c r="AG406" s="56"/>
      <c r="AH406" s="56"/>
      <c r="AI406" s="58"/>
      <c r="AJ406" s="56"/>
      <c r="AK406" s="56"/>
      <c r="AL406" s="56"/>
      <c r="AM406" s="57"/>
      <c r="AN406" s="57"/>
      <c r="AO406" s="56"/>
      <c r="AP406" s="56"/>
      <c r="AQ406" s="57"/>
      <c r="AR406" s="57"/>
      <c r="AS406" s="57"/>
      <c r="AT406" s="67">
        <f t="shared" ca="1" si="40"/>
        <v>0</v>
      </c>
      <c r="AU406" s="79" t="str">
        <f t="shared" ca="1" si="41"/>
        <v/>
      </c>
      <c r="AV406" s="79" t="str" cm="1">
        <f t="array" aca="1" ref="AV406" ca="1">IFERROR(_xlfn.IFS($AU406="","",$AU406&lt;=15,"0-15",AND($AU406&gt;=16,$AU406&lt;=30),"16-30",AND($AU406&gt;=31,$AU406&lt;=45),"31-45",AND($AU406&gt;=46,$AU406&lt;=60),"46-60",AND($AU406&gt;=61,$AU406&lt;=90),"61-90",AND($AU406&gt;=91),"&gt; 90",AND($AU406&gt;=2000),""),"")</f>
        <v/>
      </c>
      <c r="AW406" s="79" t="str" cm="1">
        <f t="array" aca="1" ref="AW406" ca="1">IFERROR(_xlfn.IFS(OR($M406="",$AM406=""),"",OR($C406="Offered",$C406="Joined"),($AM406-$M406)-$AT406),"")</f>
        <v/>
      </c>
      <c r="AX406" s="79" t="str" cm="1">
        <f t="array" aca="1" ref="AX406" ca="1">IFERROR(_xlfn.IFS(OR($M406="",$AS406=""),"",$C406="Joined",($AS406-$M406)-$AT406),"")</f>
        <v/>
      </c>
      <c r="AY406" s="67" t="str">
        <f>IFERROR(IF(COUNTIFS('Candidate Tracker'!$E:$E,'Positions Tracker'!$B406,'Candidate Tracker'!$C:$C,"Offer Drop")=0,"",COUNTIFS('Candidate Tracker'!$E:$E,'Positions Tracker'!$B406,'Candidate Tracker'!$C:$C,"Offer Drop")),"")</f>
        <v/>
      </c>
      <c r="AZ406" s="80">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0.88111888111888115</v>
      </c>
      <c r="BA406" s="81" t="str">
        <f>IFERROR(IF(COUNTIFS('Candidate Tracker'!$E:$E,'Positions Tracker'!$B406,'Candidate Tracker'!$I:$I,"Female")=0,"",COUNTIFS('Candidate Tracker'!$E:$E,'Positions Tracker'!$B406,'Candidate Tracker'!$I:$I,"Female")),"")</f>
        <v/>
      </c>
      <c r="BB406" s="81" t="str">
        <f>IFERROR(IF(COUNTIFS('Candidate Tracker'!$E:$E,'Positions Tracker'!$B406,'Candidate Tracker'!$I:$I,"male")=0,"",COUNTIFS('Candidate Tracker'!$E:$E,'Positions Tracker'!$B406,'Candidate Tracker'!$I:$I,"male")),"")</f>
        <v/>
      </c>
      <c r="BC406" s="80" t="str">
        <f>IFERROR(IF(COUNTIFS('Candidate Tracker'!$E:$E,'Positions Tracker'!$B406,'Candidate Tracker'!$C:$C,"&lt;&gt;WIP",'Candidate Tracker'!$C:$C,"&lt;&gt;Hold",'Candidate Tracker'!$C:$C,"&lt;&gt;Cancelled",'Candidate Tracker'!$C:$C,"&lt;&gt;Closed")/COUNTIFS('Candidate Tracker'!$E:$E,'Positions Tracker'!$B406)=0,"",COUNTIFS('Candidate Tracker'!$E:$E,'Positions Tracker'!$B406,'Candidate Tracker'!$C:$C,"&lt;&gt;WIP",'Candidate Tracker'!$C:$C,"&lt;&gt;Hold",'Candidate Tracker'!$C:$C,"&lt;&gt;Cancelled",'Candidate Tracker'!$C:$C,"&lt;&gt;Closed")/COUNTIFS('Candidate Tracker'!$E:$E,'Positions Tracker'!$B406)),"")</f>
        <v/>
      </c>
      <c r="BD406" s="67" t="str">
        <f t="shared" si="36"/>
        <v/>
      </c>
      <c r="BE406" s="67" t="str">
        <f t="shared" si="37"/>
        <v/>
      </c>
      <c r="BF406" s="67" t="str">
        <f t="shared" si="38"/>
        <v/>
      </c>
      <c r="BG406" s="67" t="str">
        <f t="shared" si="39"/>
        <v/>
      </c>
    </row>
    <row r="407" spans="1:59">
      <c r="A407" s="55"/>
      <c r="B407" s="56"/>
      <c r="C407" s="56"/>
      <c r="D407" s="56"/>
      <c r="E407" s="56"/>
      <c r="F407" s="56"/>
      <c r="G407" s="56"/>
      <c r="H407" s="56"/>
      <c r="I407" s="6"/>
      <c r="J407" s="6"/>
      <c r="K407" s="57"/>
      <c r="L407" s="57"/>
      <c r="M407" s="57"/>
      <c r="N407" s="56"/>
      <c r="O407" s="56"/>
      <c r="P407" s="56"/>
      <c r="Q407" s="56"/>
      <c r="R407" s="56"/>
      <c r="S407" s="56"/>
      <c r="T407" s="56"/>
      <c r="U407" s="56"/>
      <c r="V407" s="56"/>
      <c r="W407" s="56"/>
      <c r="X407" s="56"/>
      <c r="Y407" s="56"/>
      <c r="Z407" s="56"/>
      <c r="AA407" s="56"/>
      <c r="AB407" s="56"/>
      <c r="AC407" s="56"/>
      <c r="AD407" s="56"/>
      <c r="AE407" s="56"/>
      <c r="AF407" s="56"/>
      <c r="AG407" s="56"/>
      <c r="AH407" s="56"/>
      <c r="AI407" s="58"/>
      <c r="AJ407" s="56"/>
      <c r="AK407" s="56"/>
      <c r="AL407" s="56"/>
      <c r="AM407" s="57"/>
      <c r="AN407" s="57"/>
      <c r="AO407" s="56"/>
      <c r="AP407" s="56"/>
      <c r="AQ407" s="57"/>
      <c r="AR407" s="57"/>
      <c r="AS407" s="57"/>
      <c r="AT407" s="67">
        <f t="shared" ca="1" si="40"/>
        <v>0</v>
      </c>
      <c r="AU407" s="79" t="str">
        <f t="shared" ca="1" si="41"/>
        <v/>
      </c>
      <c r="AV407" s="79" t="str" cm="1">
        <f t="array" aca="1" ref="AV407" ca="1">IFERROR(_xlfn.IFS($AU407="","",$AU407&lt;=15,"0-15",AND($AU407&gt;=16,$AU407&lt;=30),"16-30",AND($AU407&gt;=31,$AU407&lt;=45),"31-45",AND($AU407&gt;=46,$AU407&lt;=60),"46-60",AND($AU407&gt;=61,$AU407&lt;=90),"61-90",AND($AU407&gt;=91),"&gt; 90",AND($AU407&gt;=2000),""),"")</f>
        <v/>
      </c>
      <c r="AW407" s="79" t="str" cm="1">
        <f t="array" aca="1" ref="AW407" ca="1">IFERROR(_xlfn.IFS(OR($M407="",$AM407=""),"",OR($C407="Offered",$C407="Joined"),($AM407-$M407)-$AT407),"")</f>
        <v/>
      </c>
      <c r="AX407" s="79" t="str" cm="1">
        <f t="array" aca="1" ref="AX407" ca="1">IFERROR(_xlfn.IFS(OR($M407="",$AS407=""),"",$C407="Joined",($AS407-$M407)-$AT407),"")</f>
        <v/>
      </c>
      <c r="AY407" s="67" t="str">
        <f>IFERROR(IF(COUNTIFS('Candidate Tracker'!$E:$E,'Positions Tracker'!$B407,'Candidate Tracker'!$C:$C,"Offer Drop")=0,"",COUNTIFS('Candidate Tracker'!$E:$E,'Positions Tracker'!$B407,'Candidate Tracker'!$C:$C,"Offer Drop")),"")</f>
        <v/>
      </c>
      <c r="AZ407" s="80">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0.88111888111888115</v>
      </c>
      <c r="BA407" s="81" t="str">
        <f>IFERROR(IF(COUNTIFS('Candidate Tracker'!$E:$E,'Positions Tracker'!$B407,'Candidate Tracker'!$I:$I,"Female")=0,"",COUNTIFS('Candidate Tracker'!$E:$E,'Positions Tracker'!$B407,'Candidate Tracker'!$I:$I,"Female")),"")</f>
        <v/>
      </c>
      <c r="BB407" s="81" t="str">
        <f>IFERROR(IF(COUNTIFS('Candidate Tracker'!$E:$E,'Positions Tracker'!$B407,'Candidate Tracker'!$I:$I,"male")=0,"",COUNTIFS('Candidate Tracker'!$E:$E,'Positions Tracker'!$B407,'Candidate Tracker'!$I:$I,"male")),"")</f>
        <v/>
      </c>
      <c r="BC407" s="80" t="str">
        <f>IFERROR(IF(COUNTIFS('Candidate Tracker'!$E:$E,'Positions Tracker'!$B407,'Candidate Tracker'!$C:$C,"&lt;&gt;WIP",'Candidate Tracker'!$C:$C,"&lt;&gt;Hold",'Candidate Tracker'!$C:$C,"&lt;&gt;Cancelled",'Candidate Tracker'!$C:$C,"&lt;&gt;Closed")/COUNTIFS('Candidate Tracker'!$E:$E,'Positions Tracker'!$B407)=0,"",COUNTIFS('Candidate Tracker'!$E:$E,'Positions Tracker'!$B407,'Candidate Tracker'!$C:$C,"&lt;&gt;WIP",'Candidate Tracker'!$C:$C,"&lt;&gt;Hold",'Candidate Tracker'!$C:$C,"&lt;&gt;Cancelled",'Candidate Tracker'!$C:$C,"&lt;&gt;Closed")/COUNTIFS('Candidate Tracker'!$E:$E,'Positions Tracker'!$B407)),"")</f>
        <v/>
      </c>
      <c r="BD407" s="67" t="str">
        <f t="shared" si="36"/>
        <v/>
      </c>
      <c r="BE407" s="67" t="str">
        <f t="shared" si="37"/>
        <v/>
      </c>
      <c r="BF407" s="67" t="str">
        <f t="shared" si="38"/>
        <v/>
      </c>
      <c r="BG407" s="67" t="str">
        <f t="shared" si="39"/>
        <v/>
      </c>
    </row>
    <row r="408" spans="1:59">
      <c r="A408" s="55"/>
      <c r="B408" s="56"/>
      <c r="C408" s="56"/>
      <c r="D408" s="56"/>
      <c r="E408" s="56"/>
      <c r="F408" s="56"/>
      <c r="G408" s="56"/>
      <c r="H408" s="56"/>
      <c r="I408" s="6"/>
      <c r="J408" s="6"/>
      <c r="K408" s="57"/>
      <c r="L408" s="57"/>
      <c r="M408" s="57"/>
      <c r="N408" s="56"/>
      <c r="O408" s="56"/>
      <c r="P408" s="56"/>
      <c r="Q408" s="56"/>
      <c r="R408" s="56"/>
      <c r="S408" s="56"/>
      <c r="T408" s="56"/>
      <c r="U408" s="56"/>
      <c r="V408" s="56"/>
      <c r="W408" s="56"/>
      <c r="X408" s="56"/>
      <c r="Y408" s="56"/>
      <c r="Z408" s="56"/>
      <c r="AA408" s="56"/>
      <c r="AB408" s="56"/>
      <c r="AC408" s="56"/>
      <c r="AD408" s="56"/>
      <c r="AE408" s="56"/>
      <c r="AF408" s="56"/>
      <c r="AG408" s="56"/>
      <c r="AH408" s="56"/>
      <c r="AI408" s="58"/>
      <c r="AJ408" s="56"/>
      <c r="AK408" s="56"/>
      <c r="AL408" s="56"/>
      <c r="AM408" s="57"/>
      <c r="AN408" s="57"/>
      <c r="AO408" s="56"/>
      <c r="AP408" s="56"/>
      <c r="AQ408" s="57"/>
      <c r="AR408" s="57"/>
      <c r="AS408" s="57"/>
      <c r="AT408" s="67">
        <f t="shared" ca="1" si="40"/>
        <v>0</v>
      </c>
      <c r="AU408" s="79" t="str">
        <f t="shared" ca="1" si="41"/>
        <v/>
      </c>
      <c r="AV408" s="79" t="str" cm="1">
        <f t="array" aca="1" ref="AV408" ca="1">IFERROR(_xlfn.IFS($AU408="","",$AU408&lt;=15,"0-15",AND($AU408&gt;=16,$AU408&lt;=30),"16-30",AND($AU408&gt;=31,$AU408&lt;=45),"31-45",AND($AU408&gt;=46,$AU408&lt;=60),"46-60",AND($AU408&gt;=61,$AU408&lt;=90),"61-90",AND($AU408&gt;=91),"&gt; 90",AND($AU408&gt;=2000),""),"")</f>
        <v/>
      </c>
      <c r="AW408" s="79" t="str" cm="1">
        <f t="array" aca="1" ref="AW408" ca="1">IFERROR(_xlfn.IFS(OR($M408="",$AM408=""),"",OR($C408="Offered",$C408="Joined"),($AM408-$M408)-$AT408),"")</f>
        <v/>
      </c>
      <c r="AX408" s="79" t="str" cm="1">
        <f t="array" aca="1" ref="AX408" ca="1">IFERROR(_xlfn.IFS(OR($M408="",$AS408=""),"",$C408="Joined",($AS408-$M408)-$AT408),"")</f>
        <v/>
      </c>
      <c r="AY408" s="67" t="str">
        <f>IFERROR(IF(COUNTIFS('Candidate Tracker'!$E:$E,'Positions Tracker'!$B408,'Candidate Tracker'!$C:$C,"Offer Drop")=0,"",COUNTIFS('Candidate Tracker'!$E:$E,'Positions Tracker'!$B408,'Candidate Tracker'!$C:$C,"Offer Drop")),"")</f>
        <v/>
      </c>
      <c r="AZ408" s="80">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0.88111888111888115</v>
      </c>
      <c r="BA408" s="81" t="str">
        <f>IFERROR(IF(COUNTIFS('Candidate Tracker'!$E:$E,'Positions Tracker'!$B408,'Candidate Tracker'!$I:$I,"Female")=0,"",COUNTIFS('Candidate Tracker'!$E:$E,'Positions Tracker'!$B408,'Candidate Tracker'!$I:$I,"Female")),"")</f>
        <v/>
      </c>
      <c r="BB408" s="81" t="str">
        <f>IFERROR(IF(COUNTIFS('Candidate Tracker'!$E:$E,'Positions Tracker'!$B408,'Candidate Tracker'!$I:$I,"male")=0,"",COUNTIFS('Candidate Tracker'!$E:$E,'Positions Tracker'!$B408,'Candidate Tracker'!$I:$I,"male")),"")</f>
        <v/>
      </c>
      <c r="BC408" s="80" t="str">
        <f>IFERROR(IF(COUNTIFS('Candidate Tracker'!$E:$E,'Positions Tracker'!$B408,'Candidate Tracker'!$C:$C,"&lt;&gt;WIP",'Candidate Tracker'!$C:$C,"&lt;&gt;Hold",'Candidate Tracker'!$C:$C,"&lt;&gt;Cancelled",'Candidate Tracker'!$C:$C,"&lt;&gt;Closed")/COUNTIFS('Candidate Tracker'!$E:$E,'Positions Tracker'!$B408)=0,"",COUNTIFS('Candidate Tracker'!$E:$E,'Positions Tracker'!$B408,'Candidate Tracker'!$C:$C,"&lt;&gt;WIP",'Candidate Tracker'!$C:$C,"&lt;&gt;Hold",'Candidate Tracker'!$C:$C,"&lt;&gt;Cancelled",'Candidate Tracker'!$C:$C,"&lt;&gt;Closed")/COUNTIFS('Candidate Tracker'!$E:$E,'Positions Tracker'!$B408)),"")</f>
        <v/>
      </c>
      <c r="BD408" s="67" t="str">
        <f t="shared" si="36"/>
        <v/>
      </c>
      <c r="BE408" s="67" t="str">
        <f t="shared" si="37"/>
        <v/>
      </c>
      <c r="BF408" s="67" t="str">
        <f t="shared" si="38"/>
        <v/>
      </c>
      <c r="BG408" s="67" t="str">
        <f t="shared" si="39"/>
        <v/>
      </c>
    </row>
    <row r="409" spans="1:59">
      <c r="A409" s="55"/>
      <c r="B409" s="56"/>
      <c r="C409" s="56"/>
      <c r="D409" s="56"/>
      <c r="E409" s="56"/>
      <c r="F409" s="56"/>
      <c r="G409" s="56"/>
      <c r="H409" s="56"/>
      <c r="I409" s="6"/>
      <c r="J409" s="6"/>
      <c r="K409" s="57"/>
      <c r="L409" s="57"/>
      <c r="M409" s="57"/>
      <c r="N409" s="56"/>
      <c r="O409" s="56"/>
      <c r="P409" s="56"/>
      <c r="Q409" s="56"/>
      <c r="R409" s="56"/>
      <c r="S409" s="56"/>
      <c r="T409" s="56"/>
      <c r="U409" s="56"/>
      <c r="V409" s="56"/>
      <c r="W409" s="56"/>
      <c r="X409" s="56"/>
      <c r="Y409" s="56"/>
      <c r="Z409" s="56"/>
      <c r="AA409" s="56"/>
      <c r="AB409" s="56"/>
      <c r="AC409" s="56"/>
      <c r="AD409" s="56"/>
      <c r="AE409" s="56"/>
      <c r="AF409" s="56"/>
      <c r="AG409" s="56"/>
      <c r="AH409" s="56"/>
      <c r="AI409" s="58"/>
      <c r="AJ409" s="56"/>
      <c r="AK409" s="56"/>
      <c r="AL409" s="56"/>
      <c r="AM409" s="57"/>
      <c r="AN409" s="57"/>
      <c r="AO409" s="56"/>
      <c r="AP409" s="56"/>
      <c r="AQ409" s="57"/>
      <c r="AR409" s="57"/>
      <c r="AS409" s="57"/>
      <c r="AT409" s="67">
        <f t="shared" ca="1" si="40"/>
        <v>0</v>
      </c>
      <c r="AU409" s="79" t="str">
        <f t="shared" ca="1" si="41"/>
        <v/>
      </c>
      <c r="AV409" s="79" t="str" cm="1">
        <f t="array" aca="1" ref="AV409" ca="1">IFERROR(_xlfn.IFS($AU409="","",$AU409&lt;=15,"0-15",AND($AU409&gt;=16,$AU409&lt;=30),"16-30",AND($AU409&gt;=31,$AU409&lt;=45),"31-45",AND($AU409&gt;=46,$AU409&lt;=60),"46-60",AND($AU409&gt;=61,$AU409&lt;=90),"61-90",AND($AU409&gt;=91),"&gt; 90",AND($AU409&gt;=2000),""),"")</f>
        <v/>
      </c>
      <c r="AW409" s="79" t="str" cm="1">
        <f t="array" aca="1" ref="AW409" ca="1">IFERROR(_xlfn.IFS(OR($M409="",$AM409=""),"",OR($C409="Offered",$C409="Joined"),($AM409-$M409)-$AT409),"")</f>
        <v/>
      </c>
      <c r="AX409" s="79" t="str" cm="1">
        <f t="array" aca="1" ref="AX409" ca="1">IFERROR(_xlfn.IFS(OR($M409="",$AS409=""),"",$C409="Joined",($AS409-$M409)-$AT409),"")</f>
        <v/>
      </c>
      <c r="AY409" s="67" t="str">
        <f>IFERROR(IF(COUNTIFS('Candidate Tracker'!$E:$E,'Positions Tracker'!$B409,'Candidate Tracker'!$C:$C,"Offer Drop")=0,"",COUNTIFS('Candidate Tracker'!$E:$E,'Positions Tracker'!$B409,'Candidate Tracker'!$C:$C,"Offer Drop")),"")</f>
        <v/>
      </c>
      <c r="AZ409" s="80">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0.88111888111888115</v>
      </c>
      <c r="BA409" s="81" t="str">
        <f>IFERROR(IF(COUNTIFS('Candidate Tracker'!$E:$E,'Positions Tracker'!$B409,'Candidate Tracker'!$I:$I,"Female")=0,"",COUNTIFS('Candidate Tracker'!$E:$E,'Positions Tracker'!$B409,'Candidate Tracker'!$I:$I,"Female")),"")</f>
        <v/>
      </c>
      <c r="BB409" s="81" t="str">
        <f>IFERROR(IF(COUNTIFS('Candidate Tracker'!$E:$E,'Positions Tracker'!$B409,'Candidate Tracker'!$I:$I,"male")=0,"",COUNTIFS('Candidate Tracker'!$E:$E,'Positions Tracker'!$B409,'Candidate Tracker'!$I:$I,"male")),"")</f>
        <v/>
      </c>
      <c r="BC409" s="80" t="str">
        <f>IFERROR(IF(COUNTIFS('Candidate Tracker'!$E:$E,'Positions Tracker'!$B409,'Candidate Tracker'!$C:$C,"&lt;&gt;WIP",'Candidate Tracker'!$C:$C,"&lt;&gt;Hold",'Candidate Tracker'!$C:$C,"&lt;&gt;Cancelled",'Candidate Tracker'!$C:$C,"&lt;&gt;Closed")/COUNTIFS('Candidate Tracker'!$E:$E,'Positions Tracker'!$B409)=0,"",COUNTIFS('Candidate Tracker'!$E:$E,'Positions Tracker'!$B409,'Candidate Tracker'!$C:$C,"&lt;&gt;WIP",'Candidate Tracker'!$C:$C,"&lt;&gt;Hold",'Candidate Tracker'!$C:$C,"&lt;&gt;Cancelled",'Candidate Tracker'!$C:$C,"&lt;&gt;Closed")/COUNTIFS('Candidate Tracker'!$E:$E,'Positions Tracker'!$B409)),"")</f>
        <v/>
      </c>
      <c r="BD409" s="67" t="str">
        <f t="shared" si="36"/>
        <v/>
      </c>
      <c r="BE409" s="67" t="str">
        <f t="shared" si="37"/>
        <v/>
      </c>
      <c r="BF409" s="67" t="str">
        <f t="shared" si="38"/>
        <v/>
      </c>
      <c r="BG409" s="67" t="str">
        <f t="shared" si="39"/>
        <v/>
      </c>
    </row>
    <row r="410" spans="1:59">
      <c r="A410" s="55"/>
      <c r="B410" s="56"/>
      <c r="C410" s="56"/>
      <c r="D410" s="56"/>
      <c r="E410" s="56"/>
      <c r="F410" s="56"/>
      <c r="G410" s="56"/>
      <c r="H410" s="56"/>
      <c r="I410" s="6"/>
      <c r="J410" s="6"/>
      <c r="K410" s="57"/>
      <c r="L410" s="57"/>
      <c r="M410" s="57"/>
      <c r="N410" s="56"/>
      <c r="O410" s="56"/>
      <c r="P410" s="56"/>
      <c r="Q410" s="56"/>
      <c r="R410" s="56"/>
      <c r="S410" s="56"/>
      <c r="T410" s="56"/>
      <c r="U410" s="56"/>
      <c r="V410" s="56"/>
      <c r="W410" s="56"/>
      <c r="X410" s="56"/>
      <c r="Y410" s="56"/>
      <c r="Z410" s="56"/>
      <c r="AA410" s="56"/>
      <c r="AB410" s="56"/>
      <c r="AC410" s="56"/>
      <c r="AD410" s="56"/>
      <c r="AE410" s="56"/>
      <c r="AF410" s="56"/>
      <c r="AG410" s="56"/>
      <c r="AH410" s="56"/>
      <c r="AI410" s="58"/>
      <c r="AJ410" s="56"/>
      <c r="AK410" s="56"/>
      <c r="AL410" s="56"/>
      <c r="AM410" s="57"/>
      <c r="AN410" s="57"/>
      <c r="AO410" s="56"/>
      <c r="AP410" s="56"/>
      <c r="AQ410" s="57"/>
      <c r="AR410" s="57"/>
      <c r="AS410" s="57"/>
      <c r="AT410" s="67">
        <f t="shared" ca="1" si="40"/>
        <v>0</v>
      </c>
      <c r="AU410" s="79" t="str">
        <f t="shared" ca="1" si="41"/>
        <v/>
      </c>
      <c r="AV410" s="79" t="str" cm="1">
        <f t="array" aca="1" ref="AV410" ca="1">IFERROR(_xlfn.IFS($AU410="","",$AU410&lt;=15,"0-15",AND($AU410&gt;=16,$AU410&lt;=30),"16-30",AND($AU410&gt;=31,$AU410&lt;=45),"31-45",AND($AU410&gt;=46,$AU410&lt;=60),"46-60",AND($AU410&gt;=61,$AU410&lt;=90),"61-90",AND($AU410&gt;=91),"&gt; 90",AND($AU410&gt;=2000),""),"")</f>
        <v/>
      </c>
      <c r="AW410" s="79" t="str" cm="1">
        <f t="array" aca="1" ref="AW410" ca="1">IFERROR(_xlfn.IFS(OR($M410="",$AM410=""),"",OR($C410="Offered",$C410="Joined"),($AM410-$M410)-$AT410),"")</f>
        <v/>
      </c>
      <c r="AX410" s="79" t="str" cm="1">
        <f t="array" aca="1" ref="AX410" ca="1">IFERROR(_xlfn.IFS(OR($M410="",$AS410=""),"",$C410="Joined",($AS410-$M410)-$AT410),"")</f>
        <v/>
      </c>
      <c r="AY410" s="67" t="str">
        <f>IFERROR(IF(COUNTIFS('Candidate Tracker'!$E:$E,'Positions Tracker'!$B410,'Candidate Tracker'!$C:$C,"Offer Drop")=0,"",COUNTIFS('Candidate Tracker'!$E:$E,'Positions Tracker'!$B410,'Candidate Tracker'!$C:$C,"Offer Drop")),"")</f>
        <v/>
      </c>
      <c r="AZ410" s="80">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0.88111888111888115</v>
      </c>
      <c r="BA410" s="81" t="str">
        <f>IFERROR(IF(COUNTIFS('Candidate Tracker'!$E:$E,'Positions Tracker'!$B410,'Candidate Tracker'!$I:$I,"Female")=0,"",COUNTIFS('Candidate Tracker'!$E:$E,'Positions Tracker'!$B410,'Candidate Tracker'!$I:$I,"Female")),"")</f>
        <v/>
      </c>
      <c r="BB410" s="81" t="str">
        <f>IFERROR(IF(COUNTIFS('Candidate Tracker'!$E:$E,'Positions Tracker'!$B410,'Candidate Tracker'!$I:$I,"male")=0,"",COUNTIFS('Candidate Tracker'!$E:$E,'Positions Tracker'!$B410,'Candidate Tracker'!$I:$I,"male")),"")</f>
        <v/>
      </c>
      <c r="BC410" s="80" t="str">
        <f>IFERROR(IF(COUNTIFS('Candidate Tracker'!$E:$E,'Positions Tracker'!$B410,'Candidate Tracker'!$C:$C,"&lt;&gt;WIP",'Candidate Tracker'!$C:$C,"&lt;&gt;Hold",'Candidate Tracker'!$C:$C,"&lt;&gt;Cancelled",'Candidate Tracker'!$C:$C,"&lt;&gt;Closed")/COUNTIFS('Candidate Tracker'!$E:$E,'Positions Tracker'!$B410)=0,"",COUNTIFS('Candidate Tracker'!$E:$E,'Positions Tracker'!$B410,'Candidate Tracker'!$C:$C,"&lt;&gt;WIP",'Candidate Tracker'!$C:$C,"&lt;&gt;Hold",'Candidate Tracker'!$C:$C,"&lt;&gt;Cancelled",'Candidate Tracker'!$C:$C,"&lt;&gt;Closed")/COUNTIFS('Candidate Tracker'!$E:$E,'Positions Tracker'!$B410)),"")</f>
        <v/>
      </c>
      <c r="BD410" s="67" t="str">
        <f t="shared" si="36"/>
        <v/>
      </c>
      <c r="BE410" s="67" t="str">
        <f t="shared" si="37"/>
        <v/>
      </c>
      <c r="BF410" s="67" t="str">
        <f t="shared" si="38"/>
        <v/>
      </c>
      <c r="BG410" s="67" t="str">
        <f t="shared" si="39"/>
        <v/>
      </c>
    </row>
    <row r="411" spans="1:59">
      <c r="A411" s="55"/>
      <c r="B411" s="56"/>
      <c r="C411" s="56"/>
      <c r="D411" s="56"/>
      <c r="E411" s="56"/>
      <c r="F411" s="56"/>
      <c r="G411" s="56"/>
      <c r="H411" s="56"/>
      <c r="I411" s="6"/>
      <c r="J411" s="6"/>
      <c r="K411" s="57"/>
      <c r="L411" s="57"/>
      <c r="M411" s="57"/>
      <c r="N411" s="56"/>
      <c r="O411" s="56"/>
      <c r="P411" s="56"/>
      <c r="Q411" s="56"/>
      <c r="R411" s="56"/>
      <c r="S411" s="56"/>
      <c r="T411" s="56"/>
      <c r="U411" s="56"/>
      <c r="V411" s="56"/>
      <c r="W411" s="56"/>
      <c r="X411" s="56"/>
      <c r="Y411" s="56"/>
      <c r="Z411" s="56"/>
      <c r="AA411" s="56"/>
      <c r="AB411" s="56"/>
      <c r="AC411" s="56"/>
      <c r="AD411" s="56"/>
      <c r="AE411" s="56"/>
      <c r="AF411" s="56"/>
      <c r="AG411" s="56"/>
      <c r="AH411" s="56"/>
      <c r="AI411" s="58"/>
      <c r="AJ411" s="56"/>
      <c r="AK411" s="56"/>
      <c r="AL411" s="56"/>
      <c r="AM411" s="57"/>
      <c r="AN411" s="57"/>
      <c r="AO411" s="56"/>
      <c r="AP411" s="56"/>
      <c r="AQ411" s="57"/>
      <c r="AR411" s="57"/>
      <c r="AS411" s="57"/>
      <c r="AT411" s="67">
        <f t="shared" ca="1" si="40"/>
        <v>0</v>
      </c>
      <c r="AU411" s="79" t="str">
        <f t="shared" ca="1" si="41"/>
        <v/>
      </c>
      <c r="AV411" s="79" t="str" cm="1">
        <f t="array" aca="1" ref="AV411" ca="1">IFERROR(_xlfn.IFS($AU411="","",$AU411&lt;=15,"0-15",AND($AU411&gt;=16,$AU411&lt;=30),"16-30",AND($AU411&gt;=31,$AU411&lt;=45),"31-45",AND($AU411&gt;=46,$AU411&lt;=60),"46-60",AND($AU411&gt;=61,$AU411&lt;=90),"61-90",AND($AU411&gt;=91),"&gt; 90",AND($AU411&gt;=2000),""),"")</f>
        <v/>
      </c>
      <c r="AW411" s="79" t="str" cm="1">
        <f t="array" aca="1" ref="AW411" ca="1">IFERROR(_xlfn.IFS(OR($M411="",$AM411=""),"",OR($C411="Offered",$C411="Joined"),($AM411-$M411)-$AT411),"")</f>
        <v/>
      </c>
      <c r="AX411" s="79" t="str" cm="1">
        <f t="array" aca="1" ref="AX411" ca="1">IFERROR(_xlfn.IFS(OR($M411="",$AS411=""),"",$C411="Joined",($AS411-$M411)-$AT411),"")</f>
        <v/>
      </c>
      <c r="AY411" s="67" t="str">
        <f>IFERROR(IF(COUNTIFS('Candidate Tracker'!$E:$E,'Positions Tracker'!$B411,'Candidate Tracker'!$C:$C,"Offer Drop")=0,"",COUNTIFS('Candidate Tracker'!$E:$E,'Positions Tracker'!$B411,'Candidate Tracker'!$C:$C,"Offer Drop")),"")</f>
        <v/>
      </c>
      <c r="AZ411" s="80">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0.88111888111888115</v>
      </c>
      <c r="BA411" s="81" t="str">
        <f>IFERROR(IF(COUNTIFS('Candidate Tracker'!$E:$E,'Positions Tracker'!$B411,'Candidate Tracker'!$I:$I,"Female")=0,"",COUNTIFS('Candidate Tracker'!$E:$E,'Positions Tracker'!$B411,'Candidate Tracker'!$I:$I,"Female")),"")</f>
        <v/>
      </c>
      <c r="BB411" s="81" t="str">
        <f>IFERROR(IF(COUNTIFS('Candidate Tracker'!$E:$E,'Positions Tracker'!$B411,'Candidate Tracker'!$I:$I,"male")=0,"",COUNTIFS('Candidate Tracker'!$E:$E,'Positions Tracker'!$B411,'Candidate Tracker'!$I:$I,"male")),"")</f>
        <v/>
      </c>
      <c r="BC411" s="80" t="str">
        <f>IFERROR(IF(COUNTIFS('Candidate Tracker'!$E:$E,'Positions Tracker'!$B411,'Candidate Tracker'!$C:$C,"&lt;&gt;WIP",'Candidate Tracker'!$C:$C,"&lt;&gt;Hold",'Candidate Tracker'!$C:$C,"&lt;&gt;Cancelled",'Candidate Tracker'!$C:$C,"&lt;&gt;Closed")/COUNTIFS('Candidate Tracker'!$E:$E,'Positions Tracker'!$B411)=0,"",COUNTIFS('Candidate Tracker'!$E:$E,'Positions Tracker'!$B411,'Candidate Tracker'!$C:$C,"&lt;&gt;WIP",'Candidate Tracker'!$C:$C,"&lt;&gt;Hold",'Candidate Tracker'!$C:$C,"&lt;&gt;Cancelled",'Candidate Tracker'!$C:$C,"&lt;&gt;Closed")/COUNTIFS('Candidate Tracker'!$E:$E,'Positions Tracker'!$B411)),"")</f>
        <v/>
      </c>
      <c r="BD411" s="67" t="str">
        <f t="shared" si="36"/>
        <v/>
      </c>
      <c r="BE411" s="67" t="str">
        <f t="shared" si="37"/>
        <v/>
      </c>
      <c r="BF411" s="67" t="str">
        <f t="shared" si="38"/>
        <v/>
      </c>
      <c r="BG411" s="67" t="str">
        <f t="shared" si="39"/>
        <v/>
      </c>
    </row>
    <row r="412" spans="1:59">
      <c r="A412" s="55"/>
      <c r="B412" s="56"/>
      <c r="C412" s="56"/>
      <c r="D412" s="56"/>
      <c r="E412" s="56"/>
      <c r="F412" s="56"/>
      <c r="G412" s="56"/>
      <c r="H412" s="56"/>
      <c r="I412" s="6"/>
      <c r="J412" s="6"/>
      <c r="K412" s="57"/>
      <c r="L412" s="57"/>
      <c r="M412" s="57"/>
      <c r="N412" s="56"/>
      <c r="O412" s="56"/>
      <c r="P412" s="56"/>
      <c r="Q412" s="56"/>
      <c r="R412" s="56"/>
      <c r="S412" s="56"/>
      <c r="T412" s="56"/>
      <c r="U412" s="56"/>
      <c r="V412" s="56"/>
      <c r="W412" s="56"/>
      <c r="X412" s="56"/>
      <c r="Y412" s="56"/>
      <c r="Z412" s="56"/>
      <c r="AA412" s="56"/>
      <c r="AB412" s="56"/>
      <c r="AC412" s="56"/>
      <c r="AD412" s="56"/>
      <c r="AE412" s="56"/>
      <c r="AF412" s="56"/>
      <c r="AG412" s="56"/>
      <c r="AH412" s="56"/>
      <c r="AI412" s="58"/>
      <c r="AJ412" s="56"/>
      <c r="AK412" s="56"/>
      <c r="AL412" s="56"/>
      <c r="AM412" s="57"/>
      <c r="AN412" s="57"/>
      <c r="AO412" s="56"/>
      <c r="AP412" s="56"/>
      <c r="AQ412" s="57"/>
      <c r="AR412" s="57"/>
      <c r="AS412" s="57"/>
      <c r="AT412" s="67">
        <f t="shared" ca="1" si="40"/>
        <v>0</v>
      </c>
      <c r="AU412" s="79" t="str">
        <f t="shared" ca="1" si="41"/>
        <v/>
      </c>
      <c r="AV412" s="79" t="str" cm="1">
        <f t="array" aca="1" ref="AV412" ca="1">IFERROR(_xlfn.IFS($AU412="","",$AU412&lt;=15,"0-15",AND($AU412&gt;=16,$AU412&lt;=30),"16-30",AND($AU412&gt;=31,$AU412&lt;=45),"31-45",AND($AU412&gt;=46,$AU412&lt;=60),"46-60",AND($AU412&gt;=61,$AU412&lt;=90),"61-90",AND($AU412&gt;=91),"&gt; 90",AND($AU412&gt;=2000),""),"")</f>
        <v/>
      </c>
      <c r="AW412" s="79" t="str" cm="1">
        <f t="array" aca="1" ref="AW412" ca="1">IFERROR(_xlfn.IFS(OR($M412="",$AM412=""),"",OR($C412="Offered",$C412="Joined"),($AM412-$M412)-$AT412),"")</f>
        <v/>
      </c>
      <c r="AX412" s="79" t="str" cm="1">
        <f t="array" aca="1" ref="AX412" ca="1">IFERROR(_xlfn.IFS(OR($M412="",$AS412=""),"",$C412="Joined",($AS412-$M412)-$AT412),"")</f>
        <v/>
      </c>
      <c r="AY412" s="67" t="str">
        <f>IFERROR(IF(COUNTIFS('Candidate Tracker'!$E:$E,'Positions Tracker'!$B412,'Candidate Tracker'!$C:$C,"Offer Drop")=0,"",COUNTIFS('Candidate Tracker'!$E:$E,'Positions Tracker'!$B412,'Candidate Tracker'!$C:$C,"Offer Drop")),"")</f>
        <v/>
      </c>
      <c r="AZ412" s="80">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0.88111888111888115</v>
      </c>
      <c r="BA412" s="81" t="str">
        <f>IFERROR(IF(COUNTIFS('Candidate Tracker'!$E:$E,'Positions Tracker'!$B412,'Candidate Tracker'!$I:$I,"Female")=0,"",COUNTIFS('Candidate Tracker'!$E:$E,'Positions Tracker'!$B412,'Candidate Tracker'!$I:$I,"Female")),"")</f>
        <v/>
      </c>
      <c r="BB412" s="81" t="str">
        <f>IFERROR(IF(COUNTIFS('Candidate Tracker'!$E:$E,'Positions Tracker'!$B412,'Candidate Tracker'!$I:$I,"male")=0,"",COUNTIFS('Candidate Tracker'!$E:$E,'Positions Tracker'!$B412,'Candidate Tracker'!$I:$I,"male")),"")</f>
        <v/>
      </c>
      <c r="BC412" s="80" t="str">
        <f>IFERROR(IF(COUNTIFS('Candidate Tracker'!$E:$E,'Positions Tracker'!$B412,'Candidate Tracker'!$C:$C,"&lt;&gt;WIP",'Candidate Tracker'!$C:$C,"&lt;&gt;Hold",'Candidate Tracker'!$C:$C,"&lt;&gt;Cancelled",'Candidate Tracker'!$C:$C,"&lt;&gt;Closed")/COUNTIFS('Candidate Tracker'!$E:$E,'Positions Tracker'!$B412)=0,"",COUNTIFS('Candidate Tracker'!$E:$E,'Positions Tracker'!$B412,'Candidate Tracker'!$C:$C,"&lt;&gt;WIP",'Candidate Tracker'!$C:$C,"&lt;&gt;Hold",'Candidate Tracker'!$C:$C,"&lt;&gt;Cancelled",'Candidate Tracker'!$C:$C,"&lt;&gt;Closed")/COUNTIFS('Candidate Tracker'!$E:$E,'Positions Tracker'!$B412)),"")</f>
        <v/>
      </c>
      <c r="BD412" s="67" t="str">
        <f t="shared" si="36"/>
        <v/>
      </c>
      <c r="BE412" s="67" t="str">
        <f t="shared" si="37"/>
        <v/>
      </c>
      <c r="BF412" s="67" t="str">
        <f t="shared" si="38"/>
        <v/>
      </c>
      <c r="BG412" s="67" t="str">
        <f t="shared" si="39"/>
        <v/>
      </c>
    </row>
    <row r="413" spans="1:59">
      <c r="A413" s="55"/>
      <c r="B413" s="56"/>
      <c r="C413" s="56"/>
      <c r="D413" s="56"/>
      <c r="E413" s="56"/>
      <c r="F413" s="56"/>
      <c r="G413" s="56"/>
      <c r="H413" s="56"/>
      <c r="I413" s="6"/>
      <c r="J413" s="6"/>
      <c r="K413" s="57"/>
      <c r="L413" s="57"/>
      <c r="M413" s="57"/>
      <c r="N413" s="56"/>
      <c r="O413" s="56"/>
      <c r="P413" s="56"/>
      <c r="Q413" s="56"/>
      <c r="R413" s="56"/>
      <c r="S413" s="56"/>
      <c r="T413" s="56"/>
      <c r="U413" s="56"/>
      <c r="V413" s="56"/>
      <c r="W413" s="56"/>
      <c r="X413" s="56"/>
      <c r="Y413" s="56"/>
      <c r="Z413" s="56"/>
      <c r="AA413" s="56"/>
      <c r="AB413" s="56"/>
      <c r="AC413" s="56"/>
      <c r="AD413" s="56"/>
      <c r="AE413" s="56"/>
      <c r="AF413" s="56"/>
      <c r="AG413" s="56"/>
      <c r="AH413" s="56"/>
      <c r="AI413" s="58"/>
      <c r="AJ413" s="56"/>
      <c r="AK413" s="56"/>
      <c r="AL413" s="56"/>
      <c r="AM413" s="57"/>
      <c r="AN413" s="57"/>
      <c r="AO413" s="56"/>
      <c r="AP413" s="56"/>
      <c r="AQ413" s="57"/>
      <c r="AR413" s="57"/>
      <c r="AS413" s="57"/>
      <c r="AT413" s="67">
        <f t="shared" ca="1" si="40"/>
        <v>0</v>
      </c>
      <c r="AU413" s="79" t="str">
        <f t="shared" ca="1" si="41"/>
        <v/>
      </c>
      <c r="AV413" s="79" t="str" cm="1">
        <f t="array" aca="1" ref="AV413" ca="1">IFERROR(_xlfn.IFS($AU413="","",$AU413&lt;=15,"0-15",AND($AU413&gt;=16,$AU413&lt;=30),"16-30",AND($AU413&gt;=31,$AU413&lt;=45),"31-45",AND($AU413&gt;=46,$AU413&lt;=60),"46-60",AND($AU413&gt;=61,$AU413&lt;=90),"61-90",AND($AU413&gt;=91),"&gt; 90",AND($AU413&gt;=2000),""),"")</f>
        <v/>
      </c>
      <c r="AW413" s="79" t="str" cm="1">
        <f t="array" aca="1" ref="AW413" ca="1">IFERROR(_xlfn.IFS(OR($M413="",$AM413=""),"",OR($C413="Offered",$C413="Joined"),($AM413-$M413)-$AT413),"")</f>
        <v/>
      </c>
      <c r="AX413" s="79" t="str" cm="1">
        <f t="array" aca="1" ref="AX413" ca="1">IFERROR(_xlfn.IFS(OR($M413="",$AS413=""),"",$C413="Joined",($AS413-$M413)-$AT413),"")</f>
        <v/>
      </c>
      <c r="AY413" s="67" t="str">
        <f>IFERROR(IF(COUNTIFS('Candidate Tracker'!$E:$E,'Positions Tracker'!$B413,'Candidate Tracker'!$C:$C,"Offer Drop")=0,"",COUNTIFS('Candidate Tracker'!$E:$E,'Positions Tracker'!$B413,'Candidate Tracker'!$C:$C,"Offer Drop")),"")</f>
        <v/>
      </c>
      <c r="AZ413" s="80">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0.88111888111888115</v>
      </c>
      <c r="BA413" s="81" t="str">
        <f>IFERROR(IF(COUNTIFS('Candidate Tracker'!$E:$E,'Positions Tracker'!$B413,'Candidate Tracker'!$I:$I,"Female")=0,"",COUNTIFS('Candidate Tracker'!$E:$E,'Positions Tracker'!$B413,'Candidate Tracker'!$I:$I,"Female")),"")</f>
        <v/>
      </c>
      <c r="BB413" s="81" t="str">
        <f>IFERROR(IF(COUNTIFS('Candidate Tracker'!$E:$E,'Positions Tracker'!$B413,'Candidate Tracker'!$I:$I,"male")=0,"",COUNTIFS('Candidate Tracker'!$E:$E,'Positions Tracker'!$B413,'Candidate Tracker'!$I:$I,"male")),"")</f>
        <v/>
      </c>
      <c r="BC413" s="80" t="str">
        <f>IFERROR(IF(COUNTIFS('Candidate Tracker'!$E:$E,'Positions Tracker'!$B413,'Candidate Tracker'!$C:$C,"&lt;&gt;WIP",'Candidate Tracker'!$C:$C,"&lt;&gt;Hold",'Candidate Tracker'!$C:$C,"&lt;&gt;Cancelled",'Candidate Tracker'!$C:$C,"&lt;&gt;Closed")/COUNTIFS('Candidate Tracker'!$E:$E,'Positions Tracker'!$B413)=0,"",COUNTIFS('Candidate Tracker'!$E:$E,'Positions Tracker'!$B413,'Candidate Tracker'!$C:$C,"&lt;&gt;WIP",'Candidate Tracker'!$C:$C,"&lt;&gt;Hold",'Candidate Tracker'!$C:$C,"&lt;&gt;Cancelled",'Candidate Tracker'!$C:$C,"&lt;&gt;Closed")/COUNTIFS('Candidate Tracker'!$E:$E,'Positions Tracker'!$B413)),"")</f>
        <v/>
      </c>
      <c r="BD413" s="67" t="str">
        <f t="shared" si="36"/>
        <v/>
      </c>
      <c r="BE413" s="67" t="str">
        <f t="shared" si="37"/>
        <v/>
      </c>
      <c r="BF413" s="67" t="str">
        <f t="shared" si="38"/>
        <v/>
      </c>
      <c r="BG413" s="67" t="str">
        <f t="shared" si="39"/>
        <v/>
      </c>
    </row>
    <row r="414" spans="1:59">
      <c r="A414" s="55"/>
      <c r="B414" s="56"/>
      <c r="C414" s="56"/>
      <c r="D414" s="56"/>
      <c r="E414" s="56"/>
      <c r="F414" s="56"/>
      <c r="G414" s="56"/>
      <c r="H414" s="56"/>
      <c r="I414" s="6"/>
      <c r="J414" s="6"/>
      <c r="K414" s="57"/>
      <c r="L414" s="57"/>
      <c r="M414" s="57"/>
      <c r="N414" s="56"/>
      <c r="O414" s="56"/>
      <c r="P414" s="56"/>
      <c r="Q414" s="56"/>
      <c r="R414" s="56"/>
      <c r="S414" s="56"/>
      <c r="T414" s="56"/>
      <c r="U414" s="56"/>
      <c r="V414" s="56"/>
      <c r="W414" s="56"/>
      <c r="X414" s="56"/>
      <c r="Y414" s="56"/>
      <c r="Z414" s="56"/>
      <c r="AA414" s="56"/>
      <c r="AB414" s="56"/>
      <c r="AC414" s="56"/>
      <c r="AD414" s="56"/>
      <c r="AE414" s="56"/>
      <c r="AF414" s="56"/>
      <c r="AG414" s="56"/>
      <c r="AH414" s="56"/>
      <c r="AI414" s="58"/>
      <c r="AJ414" s="56"/>
      <c r="AK414" s="56"/>
      <c r="AL414" s="56"/>
      <c r="AM414" s="57"/>
      <c r="AN414" s="57"/>
      <c r="AO414" s="56"/>
      <c r="AP414" s="56"/>
      <c r="AQ414" s="57"/>
      <c r="AR414" s="57"/>
      <c r="AS414" s="57"/>
      <c r="AT414" s="67">
        <f t="shared" ca="1" si="40"/>
        <v>0</v>
      </c>
      <c r="AU414" s="79" t="str">
        <f t="shared" ca="1" si="41"/>
        <v/>
      </c>
      <c r="AV414" s="79" t="str" cm="1">
        <f t="array" aca="1" ref="AV414" ca="1">IFERROR(_xlfn.IFS($AU414="","",$AU414&lt;=15,"0-15",AND($AU414&gt;=16,$AU414&lt;=30),"16-30",AND($AU414&gt;=31,$AU414&lt;=45),"31-45",AND($AU414&gt;=46,$AU414&lt;=60),"46-60",AND($AU414&gt;=61,$AU414&lt;=90),"61-90",AND($AU414&gt;=91),"&gt; 90",AND($AU414&gt;=2000),""),"")</f>
        <v/>
      </c>
      <c r="AW414" s="79" t="str" cm="1">
        <f t="array" aca="1" ref="AW414" ca="1">IFERROR(_xlfn.IFS(OR($M414="",$AM414=""),"",OR($C414="Offered",$C414="Joined"),($AM414-$M414)-$AT414),"")</f>
        <v/>
      </c>
      <c r="AX414" s="79" t="str" cm="1">
        <f t="array" aca="1" ref="AX414" ca="1">IFERROR(_xlfn.IFS(OR($M414="",$AS414=""),"",$C414="Joined",($AS414-$M414)-$AT414),"")</f>
        <v/>
      </c>
      <c r="AY414" s="67" t="str">
        <f>IFERROR(IF(COUNTIFS('Candidate Tracker'!$E:$E,'Positions Tracker'!$B414,'Candidate Tracker'!$C:$C,"Offer Drop")=0,"",COUNTIFS('Candidate Tracker'!$E:$E,'Positions Tracker'!$B414,'Candidate Tracker'!$C:$C,"Offer Drop")),"")</f>
        <v/>
      </c>
      <c r="AZ414" s="80">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0.88111888111888115</v>
      </c>
      <c r="BA414" s="81" t="str">
        <f>IFERROR(IF(COUNTIFS('Candidate Tracker'!$E:$E,'Positions Tracker'!$B414,'Candidate Tracker'!$I:$I,"Female")=0,"",COUNTIFS('Candidate Tracker'!$E:$E,'Positions Tracker'!$B414,'Candidate Tracker'!$I:$I,"Female")),"")</f>
        <v/>
      </c>
      <c r="BB414" s="81" t="str">
        <f>IFERROR(IF(COUNTIFS('Candidate Tracker'!$E:$E,'Positions Tracker'!$B414,'Candidate Tracker'!$I:$I,"male")=0,"",COUNTIFS('Candidate Tracker'!$E:$E,'Positions Tracker'!$B414,'Candidate Tracker'!$I:$I,"male")),"")</f>
        <v/>
      </c>
      <c r="BC414" s="80" t="str">
        <f>IFERROR(IF(COUNTIFS('Candidate Tracker'!$E:$E,'Positions Tracker'!$B414,'Candidate Tracker'!$C:$C,"&lt;&gt;WIP",'Candidate Tracker'!$C:$C,"&lt;&gt;Hold",'Candidate Tracker'!$C:$C,"&lt;&gt;Cancelled",'Candidate Tracker'!$C:$C,"&lt;&gt;Closed")/COUNTIFS('Candidate Tracker'!$E:$E,'Positions Tracker'!$B414)=0,"",COUNTIFS('Candidate Tracker'!$E:$E,'Positions Tracker'!$B414,'Candidate Tracker'!$C:$C,"&lt;&gt;WIP",'Candidate Tracker'!$C:$C,"&lt;&gt;Hold",'Candidate Tracker'!$C:$C,"&lt;&gt;Cancelled",'Candidate Tracker'!$C:$C,"&lt;&gt;Closed")/COUNTIFS('Candidate Tracker'!$E:$E,'Positions Tracker'!$B414)),"")</f>
        <v/>
      </c>
      <c r="BD414" s="67" t="str">
        <f t="shared" si="36"/>
        <v/>
      </c>
      <c r="BE414" s="67" t="str">
        <f t="shared" si="37"/>
        <v/>
      </c>
      <c r="BF414" s="67" t="str">
        <f t="shared" si="38"/>
        <v/>
      </c>
      <c r="BG414" s="67" t="str">
        <f t="shared" si="39"/>
        <v/>
      </c>
    </row>
    <row r="415" spans="1:59">
      <c r="A415" s="55"/>
      <c r="B415" s="56"/>
      <c r="C415" s="56"/>
      <c r="D415" s="56"/>
      <c r="E415" s="56"/>
      <c r="F415" s="56"/>
      <c r="G415" s="56"/>
      <c r="H415" s="56"/>
      <c r="I415" s="6"/>
      <c r="J415" s="6"/>
      <c r="K415" s="57"/>
      <c r="L415" s="57"/>
      <c r="M415" s="57"/>
      <c r="N415" s="56"/>
      <c r="O415" s="56"/>
      <c r="P415" s="56"/>
      <c r="Q415" s="56"/>
      <c r="R415" s="56"/>
      <c r="S415" s="56"/>
      <c r="T415" s="56"/>
      <c r="U415" s="56"/>
      <c r="V415" s="56"/>
      <c r="W415" s="56"/>
      <c r="X415" s="56"/>
      <c r="Y415" s="56"/>
      <c r="Z415" s="56"/>
      <c r="AA415" s="56"/>
      <c r="AB415" s="56"/>
      <c r="AC415" s="56"/>
      <c r="AD415" s="56"/>
      <c r="AE415" s="56"/>
      <c r="AF415" s="56"/>
      <c r="AG415" s="56"/>
      <c r="AH415" s="56"/>
      <c r="AI415" s="58"/>
      <c r="AJ415" s="56"/>
      <c r="AK415" s="56"/>
      <c r="AL415" s="56"/>
      <c r="AM415" s="57"/>
      <c r="AN415" s="57"/>
      <c r="AO415" s="56"/>
      <c r="AP415" s="56"/>
      <c r="AQ415" s="57"/>
      <c r="AR415" s="57"/>
      <c r="AS415" s="57"/>
      <c r="AT415" s="67">
        <f t="shared" ca="1" si="40"/>
        <v>0</v>
      </c>
      <c r="AU415" s="79" t="str">
        <f t="shared" ca="1" si="41"/>
        <v/>
      </c>
      <c r="AV415" s="79" t="str" cm="1">
        <f t="array" aca="1" ref="AV415" ca="1">IFERROR(_xlfn.IFS($AU415="","",$AU415&lt;=15,"0-15",AND($AU415&gt;=16,$AU415&lt;=30),"16-30",AND($AU415&gt;=31,$AU415&lt;=45),"31-45",AND($AU415&gt;=46,$AU415&lt;=60),"46-60",AND($AU415&gt;=61,$AU415&lt;=90),"61-90",AND($AU415&gt;=91),"&gt; 90",AND($AU415&gt;=2000),""),"")</f>
        <v/>
      </c>
      <c r="AW415" s="79" t="str" cm="1">
        <f t="array" aca="1" ref="AW415" ca="1">IFERROR(_xlfn.IFS(OR($M415="",$AM415=""),"",OR($C415="Offered",$C415="Joined"),($AM415-$M415)-$AT415),"")</f>
        <v/>
      </c>
      <c r="AX415" s="79" t="str" cm="1">
        <f t="array" aca="1" ref="AX415" ca="1">IFERROR(_xlfn.IFS(OR($M415="",$AS415=""),"",$C415="Joined",($AS415-$M415)-$AT415),"")</f>
        <v/>
      </c>
      <c r="AY415" s="67" t="str">
        <f>IFERROR(IF(COUNTIFS('Candidate Tracker'!$E:$E,'Positions Tracker'!$B415,'Candidate Tracker'!$C:$C,"Offer Drop")=0,"",COUNTIFS('Candidate Tracker'!$E:$E,'Positions Tracker'!$B415,'Candidate Tracker'!$C:$C,"Offer Drop")),"")</f>
        <v/>
      </c>
      <c r="AZ415" s="80">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0.88111888111888115</v>
      </c>
      <c r="BA415" s="81" t="str">
        <f>IFERROR(IF(COUNTIFS('Candidate Tracker'!$E:$E,'Positions Tracker'!$B415,'Candidate Tracker'!$I:$I,"Female")=0,"",COUNTIFS('Candidate Tracker'!$E:$E,'Positions Tracker'!$B415,'Candidate Tracker'!$I:$I,"Female")),"")</f>
        <v/>
      </c>
      <c r="BB415" s="81" t="str">
        <f>IFERROR(IF(COUNTIFS('Candidate Tracker'!$E:$E,'Positions Tracker'!$B415,'Candidate Tracker'!$I:$I,"male")=0,"",COUNTIFS('Candidate Tracker'!$E:$E,'Positions Tracker'!$B415,'Candidate Tracker'!$I:$I,"male")),"")</f>
        <v/>
      </c>
      <c r="BC415" s="80" t="str">
        <f>IFERROR(IF(COUNTIFS('Candidate Tracker'!$E:$E,'Positions Tracker'!$B415,'Candidate Tracker'!$C:$C,"&lt;&gt;WIP",'Candidate Tracker'!$C:$C,"&lt;&gt;Hold",'Candidate Tracker'!$C:$C,"&lt;&gt;Cancelled",'Candidate Tracker'!$C:$C,"&lt;&gt;Closed")/COUNTIFS('Candidate Tracker'!$E:$E,'Positions Tracker'!$B415)=0,"",COUNTIFS('Candidate Tracker'!$E:$E,'Positions Tracker'!$B415,'Candidate Tracker'!$C:$C,"&lt;&gt;WIP",'Candidate Tracker'!$C:$C,"&lt;&gt;Hold",'Candidate Tracker'!$C:$C,"&lt;&gt;Cancelled",'Candidate Tracker'!$C:$C,"&lt;&gt;Closed")/COUNTIFS('Candidate Tracker'!$E:$E,'Positions Tracker'!$B415)),"")</f>
        <v/>
      </c>
      <c r="BD415" s="67" t="str">
        <f t="shared" si="36"/>
        <v/>
      </c>
      <c r="BE415" s="67" t="str">
        <f t="shared" si="37"/>
        <v/>
      </c>
      <c r="BF415" s="67" t="str">
        <f t="shared" si="38"/>
        <v/>
      </c>
      <c r="BG415" s="67" t="str">
        <f t="shared" si="39"/>
        <v/>
      </c>
    </row>
    <row r="416" spans="1:59">
      <c r="A416" s="55"/>
      <c r="B416" s="56"/>
      <c r="C416" s="56"/>
      <c r="D416" s="56"/>
      <c r="E416" s="56"/>
      <c r="F416" s="56"/>
      <c r="G416" s="56"/>
      <c r="H416" s="56"/>
      <c r="I416" s="6"/>
      <c r="J416" s="6"/>
      <c r="K416" s="57"/>
      <c r="L416" s="57"/>
      <c r="M416" s="57"/>
      <c r="N416" s="56"/>
      <c r="O416" s="56"/>
      <c r="P416" s="56"/>
      <c r="Q416" s="56"/>
      <c r="R416" s="56"/>
      <c r="S416" s="56"/>
      <c r="T416" s="56"/>
      <c r="U416" s="56"/>
      <c r="V416" s="56"/>
      <c r="W416" s="56"/>
      <c r="X416" s="56"/>
      <c r="Y416" s="56"/>
      <c r="Z416" s="56"/>
      <c r="AA416" s="56"/>
      <c r="AB416" s="56"/>
      <c r="AC416" s="56"/>
      <c r="AD416" s="56"/>
      <c r="AE416" s="56"/>
      <c r="AF416" s="56"/>
      <c r="AG416" s="56"/>
      <c r="AH416" s="56"/>
      <c r="AI416" s="58"/>
      <c r="AJ416" s="56"/>
      <c r="AK416" s="56"/>
      <c r="AL416" s="56"/>
      <c r="AM416" s="57"/>
      <c r="AN416" s="57"/>
      <c r="AO416" s="56"/>
      <c r="AP416" s="56"/>
      <c r="AQ416" s="57"/>
      <c r="AR416" s="57"/>
      <c r="AS416" s="57"/>
      <c r="AT416" s="67">
        <f t="shared" ca="1" si="40"/>
        <v>0</v>
      </c>
      <c r="AU416" s="79" t="str">
        <f t="shared" ca="1" si="41"/>
        <v/>
      </c>
      <c r="AV416" s="79" t="str" cm="1">
        <f t="array" aca="1" ref="AV416" ca="1">IFERROR(_xlfn.IFS($AU416="","",$AU416&lt;=15,"0-15",AND($AU416&gt;=16,$AU416&lt;=30),"16-30",AND($AU416&gt;=31,$AU416&lt;=45),"31-45",AND($AU416&gt;=46,$AU416&lt;=60),"46-60",AND($AU416&gt;=61,$AU416&lt;=90),"61-90",AND($AU416&gt;=91),"&gt; 90",AND($AU416&gt;=2000),""),"")</f>
        <v/>
      </c>
      <c r="AW416" s="79" t="str" cm="1">
        <f t="array" aca="1" ref="AW416" ca="1">IFERROR(_xlfn.IFS(OR($M416="",$AM416=""),"",OR($C416="Offered",$C416="Joined"),($AM416-$M416)-$AT416),"")</f>
        <v/>
      </c>
      <c r="AX416" s="79" t="str" cm="1">
        <f t="array" aca="1" ref="AX416" ca="1">IFERROR(_xlfn.IFS(OR($M416="",$AS416=""),"",$C416="Joined",($AS416-$M416)-$AT416),"")</f>
        <v/>
      </c>
      <c r="AY416" s="67" t="str">
        <f>IFERROR(IF(COUNTIFS('Candidate Tracker'!$E:$E,'Positions Tracker'!$B416,'Candidate Tracker'!$C:$C,"Offer Drop")=0,"",COUNTIFS('Candidate Tracker'!$E:$E,'Positions Tracker'!$B416,'Candidate Tracker'!$C:$C,"Offer Drop")),"")</f>
        <v/>
      </c>
      <c r="AZ416" s="80">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0.88111888111888115</v>
      </c>
      <c r="BA416" s="81" t="str">
        <f>IFERROR(IF(COUNTIFS('Candidate Tracker'!$E:$E,'Positions Tracker'!$B416,'Candidate Tracker'!$I:$I,"Female")=0,"",COUNTIFS('Candidate Tracker'!$E:$E,'Positions Tracker'!$B416,'Candidate Tracker'!$I:$I,"Female")),"")</f>
        <v/>
      </c>
      <c r="BB416" s="81" t="str">
        <f>IFERROR(IF(COUNTIFS('Candidate Tracker'!$E:$E,'Positions Tracker'!$B416,'Candidate Tracker'!$I:$I,"male")=0,"",COUNTIFS('Candidate Tracker'!$E:$E,'Positions Tracker'!$B416,'Candidate Tracker'!$I:$I,"male")),"")</f>
        <v/>
      </c>
      <c r="BC416" s="80" t="str">
        <f>IFERROR(IF(COUNTIFS('Candidate Tracker'!$E:$E,'Positions Tracker'!$B416,'Candidate Tracker'!$C:$C,"&lt;&gt;WIP",'Candidate Tracker'!$C:$C,"&lt;&gt;Hold",'Candidate Tracker'!$C:$C,"&lt;&gt;Cancelled",'Candidate Tracker'!$C:$C,"&lt;&gt;Closed")/COUNTIFS('Candidate Tracker'!$E:$E,'Positions Tracker'!$B416)=0,"",COUNTIFS('Candidate Tracker'!$E:$E,'Positions Tracker'!$B416,'Candidate Tracker'!$C:$C,"&lt;&gt;WIP",'Candidate Tracker'!$C:$C,"&lt;&gt;Hold",'Candidate Tracker'!$C:$C,"&lt;&gt;Cancelled",'Candidate Tracker'!$C:$C,"&lt;&gt;Closed")/COUNTIFS('Candidate Tracker'!$E:$E,'Positions Tracker'!$B416)),"")</f>
        <v/>
      </c>
      <c r="BD416" s="67" t="str">
        <f t="shared" si="36"/>
        <v/>
      </c>
      <c r="BE416" s="67" t="str">
        <f t="shared" si="37"/>
        <v/>
      </c>
      <c r="BF416" s="67" t="str">
        <f t="shared" si="38"/>
        <v/>
      </c>
      <c r="BG416" s="67" t="str">
        <f t="shared" si="39"/>
        <v/>
      </c>
    </row>
    <row r="417" spans="1:59">
      <c r="A417" s="55"/>
      <c r="B417" s="56"/>
      <c r="C417" s="56"/>
      <c r="D417" s="56"/>
      <c r="E417" s="56"/>
      <c r="F417" s="56"/>
      <c r="G417" s="56"/>
      <c r="H417" s="56"/>
      <c r="I417" s="6"/>
      <c r="J417" s="6"/>
      <c r="K417" s="57"/>
      <c r="L417" s="57"/>
      <c r="M417" s="57"/>
      <c r="N417" s="56"/>
      <c r="O417" s="56"/>
      <c r="P417" s="56"/>
      <c r="Q417" s="56"/>
      <c r="R417" s="56"/>
      <c r="S417" s="56"/>
      <c r="T417" s="56"/>
      <c r="U417" s="56"/>
      <c r="V417" s="56"/>
      <c r="W417" s="56"/>
      <c r="X417" s="56"/>
      <c r="Y417" s="56"/>
      <c r="Z417" s="56"/>
      <c r="AA417" s="56"/>
      <c r="AB417" s="56"/>
      <c r="AC417" s="56"/>
      <c r="AD417" s="56"/>
      <c r="AE417" s="56"/>
      <c r="AF417" s="56"/>
      <c r="AG417" s="56"/>
      <c r="AH417" s="56"/>
      <c r="AI417" s="58"/>
      <c r="AJ417" s="56"/>
      <c r="AK417" s="56"/>
      <c r="AL417" s="56"/>
      <c r="AM417" s="57"/>
      <c r="AN417" s="57"/>
      <c r="AO417" s="56"/>
      <c r="AP417" s="56"/>
      <c r="AQ417" s="57"/>
      <c r="AR417" s="57"/>
      <c r="AS417" s="57"/>
      <c r="AT417" s="67">
        <f t="shared" ca="1" si="40"/>
        <v>0</v>
      </c>
      <c r="AU417" s="79" t="str">
        <f t="shared" ca="1" si="41"/>
        <v/>
      </c>
      <c r="AV417" s="79" t="str" cm="1">
        <f t="array" aca="1" ref="AV417" ca="1">IFERROR(_xlfn.IFS($AU417="","",$AU417&lt;=15,"0-15",AND($AU417&gt;=16,$AU417&lt;=30),"16-30",AND($AU417&gt;=31,$AU417&lt;=45),"31-45",AND($AU417&gt;=46,$AU417&lt;=60),"46-60",AND($AU417&gt;=61,$AU417&lt;=90),"61-90",AND($AU417&gt;=91),"&gt; 90",AND($AU417&gt;=2000),""),"")</f>
        <v/>
      </c>
      <c r="AW417" s="79" t="str" cm="1">
        <f t="array" aca="1" ref="AW417" ca="1">IFERROR(_xlfn.IFS(OR($M417="",$AM417=""),"",OR($C417="Offered",$C417="Joined"),($AM417-$M417)-$AT417),"")</f>
        <v/>
      </c>
      <c r="AX417" s="79" t="str" cm="1">
        <f t="array" aca="1" ref="AX417" ca="1">IFERROR(_xlfn.IFS(OR($M417="",$AS417=""),"",$C417="Joined",($AS417-$M417)-$AT417),"")</f>
        <v/>
      </c>
      <c r="AY417" s="67" t="str">
        <f>IFERROR(IF(COUNTIFS('Candidate Tracker'!$E:$E,'Positions Tracker'!$B417,'Candidate Tracker'!$C:$C,"Offer Drop")=0,"",COUNTIFS('Candidate Tracker'!$E:$E,'Positions Tracker'!$B417,'Candidate Tracker'!$C:$C,"Offer Drop")),"")</f>
        <v/>
      </c>
      <c r="AZ417" s="80">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0.88111888111888115</v>
      </c>
      <c r="BA417" s="81" t="str">
        <f>IFERROR(IF(COUNTIFS('Candidate Tracker'!$E:$E,'Positions Tracker'!$B417,'Candidate Tracker'!$I:$I,"Female")=0,"",COUNTIFS('Candidate Tracker'!$E:$E,'Positions Tracker'!$B417,'Candidate Tracker'!$I:$I,"Female")),"")</f>
        <v/>
      </c>
      <c r="BB417" s="81" t="str">
        <f>IFERROR(IF(COUNTIFS('Candidate Tracker'!$E:$E,'Positions Tracker'!$B417,'Candidate Tracker'!$I:$I,"male")=0,"",COUNTIFS('Candidate Tracker'!$E:$E,'Positions Tracker'!$B417,'Candidate Tracker'!$I:$I,"male")),"")</f>
        <v/>
      </c>
      <c r="BC417" s="80" t="str">
        <f>IFERROR(IF(COUNTIFS('Candidate Tracker'!$E:$E,'Positions Tracker'!$B417,'Candidate Tracker'!$C:$C,"&lt;&gt;WIP",'Candidate Tracker'!$C:$C,"&lt;&gt;Hold",'Candidate Tracker'!$C:$C,"&lt;&gt;Cancelled",'Candidate Tracker'!$C:$C,"&lt;&gt;Closed")/COUNTIFS('Candidate Tracker'!$E:$E,'Positions Tracker'!$B417)=0,"",COUNTIFS('Candidate Tracker'!$E:$E,'Positions Tracker'!$B417,'Candidate Tracker'!$C:$C,"&lt;&gt;WIP",'Candidate Tracker'!$C:$C,"&lt;&gt;Hold",'Candidate Tracker'!$C:$C,"&lt;&gt;Cancelled",'Candidate Tracker'!$C:$C,"&lt;&gt;Closed")/COUNTIFS('Candidate Tracker'!$E:$E,'Positions Tracker'!$B417)),"")</f>
        <v/>
      </c>
      <c r="BD417" s="67" t="str">
        <f t="shared" si="36"/>
        <v/>
      </c>
      <c r="BE417" s="67" t="str">
        <f t="shared" si="37"/>
        <v/>
      </c>
      <c r="BF417" s="67" t="str">
        <f t="shared" si="38"/>
        <v/>
      </c>
      <c r="BG417" s="67" t="str">
        <f t="shared" si="39"/>
        <v/>
      </c>
    </row>
    <row r="418" spans="1:59">
      <c r="A418" s="55"/>
      <c r="B418" s="56"/>
      <c r="C418" s="56"/>
      <c r="D418" s="56"/>
      <c r="E418" s="56"/>
      <c r="F418" s="56"/>
      <c r="G418" s="56"/>
      <c r="H418" s="56"/>
      <c r="I418" s="6"/>
      <c r="J418" s="6"/>
      <c r="K418" s="57"/>
      <c r="L418" s="57"/>
      <c r="M418" s="57"/>
      <c r="N418" s="56"/>
      <c r="O418" s="56"/>
      <c r="P418" s="56"/>
      <c r="Q418" s="56"/>
      <c r="R418" s="56"/>
      <c r="S418" s="56"/>
      <c r="T418" s="56"/>
      <c r="U418" s="56"/>
      <c r="V418" s="56"/>
      <c r="W418" s="56"/>
      <c r="X418" s="56"/>
      <c r="Y418" s="56"/>
      <c r="Z418" s="56"/>
      <c r="AA418" s="56"/>
      <c r="AB418" s="56"/>
      <c r="AC418" s="56"/>
      <c r="AD418" s="56"/>
      <c r="AE418" s="56"/>
      <c r="AF418" s="56"/>
      <c r="AG418" s="56"/>
      <c r="AH418" s="56"/>
      <c r="AI418" s="58"/>
      <c r="AJ418" s="56"/>
      <c r="AK418" s="56"/>
      <c r="AL418" s="56"/>
      <c r="AM418" s="57"/>
      <c r="AN418" s="57"/>
      <c r="AO418" s="56"/>
      <c r="AP418" s="56"/>
      <c r="AQ418" s="57"/>
      <c r="AR418" s="57"/>
      <c r="AS418" s="57"/>
      <c r="AT418" s="67">
        <f t="shared" ca="1" si="40"/>
        <v>0</v>
      </c>
      <c r="AU418" s="79" t="str">
        <f t="shared" ca="1" si="41"/>
        <v/>
      </c>
      <c r="AV418" s="79" t="str" cm="1">
        <f t="array" aca="1" ref="AV418" ca="1">IFERROR(_xlfn.IFS($AU418="","",$AU418&lt;=15,"0-15",AND($AU418&gt;=16,$AU418&lt;=30),"16-30",AND($AU418&gt;=31,$AU418&lt;=45),"31-45",AND($AU418&gt;=46,$AU418&lt;=60),"46-60",AND($AU418&gt;=61,$AU418&lt;=90),"61-90",AND($AU418&gt;=91),"&gt; 90",AND($AU418&gt;=2000),""),"")</f>
        <v/>
      </c>
      <c r="AW418" s="79" t="str" cm="1">
        <f t="array" aca="1" ref="AW418" ca="1">IFERROR(_xlfn.IFS(OR($M418="",$AM418=""),"",OR($C418="Offered",$C418="Joined"),($AM418-$M418)-$AT418),"")</f>
        <v/>
      </c>
      <c r="AX418" s="79" t="str" cm="1">
        <f t="array" aca="1" ref="AX418" ca="1">IFERROR(_xlfn.IFS(OR($M418="",$AS418=""),"",$C418="Joined",($AS418-$M418)-$AT418),"")</f>
        <v/>
      </c>
      <c r="AY418" s="67" t="str">
        <f>IFERROR(IF(COUNTIFS('Candidate Tracker'!$E:$E,'Positions Tracker'!$B418,'Candidate Tracker'!$C:$C,"Offer Drop")=0,"",COUNTIFS('Candidate Tracker'!$E:$E,'Positions Tracker'!$B418,'Candidate Tracker'!$C:$C,"Offer Drop")),"")</f>
        <v/>
      </c>
      <c r="AZ418" s="80">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0.88111888111888115</v>
      </c>
      <c r="BA418" s="81" t="str">
        <f>IFERROR(IF(COUNTIFS('Candidate Tracker'!$E:$E,'Positions Tracker'!$B418,'Candidate Tracker'!$I:$I,"Female")=0,"",COUNTIFS('Candidate Tracker'!$E:$E,'Positions Tracker'!$B418,'Candidate Tracker'!$I:$I,"Female")),"")</f>
        <v/>
      </c>
      <c r="BB418" s="81" t="str">
        <f>IFERROR(IF(COUNTIFS('Candidate Tracker'!$E:$E,'Positions Tracker'!$B418,'Candidate Tracker'!$I:$I,"male")=0,"",COUNTIFS('Candidate Tracker'!$E:$E,'Positions Tracker'!$B418,'Candidate Tracker'!$I:$I,"male")),"")</f>
        <v/>
      </c>
      <c r="BC418" s="80" t="str">
        <f>IFERROR(IF(COUNTIFS('Candidate Tracker'!$E:$E,'Positions Tracker'!$B418,'Candidate Tracker'!$C:$C,"&lt;&gt;WIP",'Candidate Tracker'!$C:$C,"&lt;&gt;Hold",'Candidate Tracker'!$C:$C,"&lt;&gt;Cancelled",'Candidate Tracker'!$C:$C,"&lt;&gt;Closed")/COUNTIFS('Candidate Tracker'!$E:$E,'Positions Tracker'!$B418)=0,"",COUNTIFS('Candidate Tracker'!$E:$E,'Positions Tracker'!$B418,'Candidate Tracker'!$C:$C,"&lt;&gt;WIP",'Candidate Tracker'!$C:$C,"&lt;&gt;Hold",'Candidate Tracker'!$C:$C,"&lt;&gt;Cancelled",'Candidate Tracker'!$C:$C,"&lt;&gt;Closed")/COUNTIFS('Candidate Tracker'!$E:$E,'Positions Tracker'!$B418)),"")</f>
        <v/>
      </c>
      <c r="BD418" s="67" t="str">
        <f t="shared" si="36"/>
        <v/>
      </c>
      <c r="BE418" s="67" t="str">
        <f t="shared" si="37"/>
        <v/>
      </c>
      <c r="BF418" s="67" t="str">
        <f t="shared" si="38"/>
        <v/>
      </c>
      <c r="BG418" s="67" t="str">
        <f t="shared" si="39"/>
        <v/>
      </c>
    </row>
    <row r="419" spans="1:59">
      <c r="A419" s="55"/>
      <c r="B419" s="56"/>
      <c r="C419" s="56"/>
      <c r="D419" s="56"/>
      <c r="E419" s="56"/>
      <c r="F419" s="56"/>
      <c r="G419" s="56"/>
      <c r="H419" s="56"/>
      <c r="I419" s="6"/>
      <c r="J419" s="6"/>
      <c r="K419" s="57"/>
      <c r="L419" s="57"/>
      <c r="M419" s="57"/>
      <c r="N419" s="56"/>
      <c r="O419" s="56"/>
      <c r="P419" s="56"/>
      <c r="Q419" s="56"/>
      <c r="R419" s="56"/>
      <c r="S419" s="56"/>
      <c r="T419" s="56"/>
      <c r="U419" s="56"/>
      <c r="V419" s="56"/>
      <c r="W419" s="56"/>
      <c r="X419" s="56"/>
      <c r="Y419" s="56"/>
      <c r="Z419" s="56"/>
      <c r="AA419" s="56"/>
      <c r="AB419" s="56"/>
      <c r="AC419" s="56"/>
      <c r="AD419" s="56"/>
      <c r="AE419" s="56"/>
      <c r="AF419" s="56"/>
      <c r="AG419" s="56"/>
      <c r="AH419" s="56"/>
      <c r="AI419" s="58"/>
      <c r="AJ419" s="56"/>
      <c r="AK419" s="56"/>
      <c r="AL419" s="56"/>
      <c r="AM419" s="57"/>
      <c r="AN419" s="57"/>
      <c r="AO419" s="56"/>
      <c r="AP419" s="56"/>
      <c r="AQ419" s="57"/>
      <c r="AR419" s="57"/>
      <c r="AS419" s="57"/>
      <c r="AT419" s="67">
        <f t="shared" ca="1" si="40"/>
        <v>0</v>
      </c>
      <c r="AU419" s="79" t="str">
        <f t="shared" ca="1" si="41"/>
        <v/>
      </c>
      <c r="AV419" s="79" t="str" cm="1">
        <f t="array" aca="1" ref="AV419" ca="1">IFERROR(_xlfn.IFS($AU419="","",$AU419&lt;=15,"0-15",AND($AU419&gt;=16,$AU419&lt;=30),"16-30",AND($AU419&gt;=31,$AU419&lt;=45),"31-45",AND($AU419&gt;=46,$AU419&lt;=60),"46-60",AND($AU419&gt;=61,$AU419&lt;=90),"61-90",AND($AU419&gt;=91),"&gt; 90",AND($AU419&gt;=2000),""),"")</f>
        <v/>
      </c>
      <c r="AW419" s="79" t="str" cm="1">
        <f t="array" aca="1" ref="AW419" ca="1">IFERROR(_xlfn.IFS(OR($M419="",$AM419=""),"",OR($C419="Offered",$C419="Joined"),($AM419-$M419)-$AT419),"")</f>
        <v/>
      </c>
      <c r="AX419" s="79" t="str" cm="1">
        <f t="array" aca="1" ref="AX419" ca="1">IFERROR(_xlfn.IFS(OR($M419="",$AS419=""),"",$C419="Joined",($AS419-$M419)-$AT419),"")</f>
        <v/>
      </c>
      <c r="AY419" s="67" t="str">
        <f>IFERROR(IF(COUNTIFS('Candidate Tracker'!$E:$E,'Positions Tracker'!$B419,'Candidate Tracker'!$C:$C,"Offer Drop")=0,"",COUNTIFS('Candidate Tracker'!$E:$E,'Positions Tracker'!$B419,'Candidate Tracker'!$C:$C,"Offer Drop")),"")</f>
        <v/>
      </c>
      <c r="AZ419" s="80">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0.88111888111888115</v>
      </c>
      <c r="BA419" s="81" t="str">
        <f>IFERROR(IF(COUNTIFS('Candidate Tracker'!$E:$E,'Positions Tracker'!$B419,'Candidate Tracker'!$I:$I,"Female")=0,"",COUNTIFS('Candidate Tracker'!$E:$E,'Positions Tracker'!$B419,'Candidate Tracker'!$I:$I,"Female")),"")</f>
        <v/>
      </c>
      <c r="BB419" s="81" t="str">
        <f>IFERROR(IF(COUNTIFS('Candidate Tracker'!$E:$E,'Positions Tracker'!$B419,'Candidate Tracker'!$I:$I,"male")=0,"",COUNTIFS('Candidate Tracker'!$E:$E,'Positions Tracker'!$B419,'Candidate Tracker'!$I:$I,"male")),"")</f>
        <v/>
      </c>
      <c r="BC419" s="80" t="str">
        <f>IFERROR(IF(COUNTIFS('Candidate Tracker'!$E:$E,'Positions Tracker'!$B419,'Candidate Tracker'!$C:$C,"&lt;&gt;WIP",'Candidate Tracker'!$C:$C,"&lt;&gt;Hold",'Candidate Tracker'!$C:$C,"&lt;&gt;Cancelled",'Candidate Tracker'!$C:$C,"&lt;&gt;Closed")/COUNTIFS('Candidate Tracker'!$E:$E,'Positions Tracker'!$B419)=0,"",COUNTIFS('Candidate Tracker'!$E:$E,'Positions Tracker'!$B419,'Candidate Tracker'!$C:$C,"&lt;&gt;WIP",'Candidate Tracker'!$C:$C,"&lt;&gt;Hold",'Candidate Tracker'!$C:$C,"&lt;&gt;Cancelled",'Candidate Tracker'!$C:$C,"&lt;&gt;Closed")/COUNTIFS('Candidate Tracker'!$E:$E,'Positions Tracker'!$B419)),"")</f>
        <v/>
      </c>
      <c r="BD419" s="67" t="str">
        <f t="shared" si="36"/>
        <v/>
      </c>
      <c r="BE419" s="67" t="str">
        <f t="shared" si="37"/>
        <v/>
      </c>
      <c r="BF419" s="67" t="str">
        <f t="shared" si="38"/>
        <v/>
      </c>
      <c r="BG419" s="67" t="str">
        <f t="shared" si="39"/>
        <v/>
      </c>
    </row>
    <row r="420" spans="1:59">
      <c r="A420" s="55"/>
      <c r="B420" s="56"/>
      <c r="C420" s="56"/>
      <c r="D420" s="56"/>
      <c r="E420" s="56"/>
      <c r="F420" s="56"/>
      <c r="G420" s="56"/>
      <c r="H420" s="56"/>
      <c r="I420" s="6"/>
      <c r="J420" s="6"/>
      <c r="K420" s="57"/>
      <c r="L420" s="57"/>
      <c r="M420" s="57"/>
      <c r="N420" s="56"/>
      <c r="O420" s="56"/>
      <c r="P420" s="56"/>
      <c r="Q420" s="56"/>
      <c r="R420" s="56"/>
      <c r="S420" s="56"/>
      <c r="T420" s="56"/>
      <c r="U420" s="56"/>
      <c r="V420" s="56"/>
      <c r="W420" s="56"/>
      <c r="X420" s="56"/>
      <c r="Y420" s="56"/>
      <c r="Z420" s="56"/>
      <c r="AA420" s="56"/>
      <c r="AB420" s="56"/>
      <c r="AC420" s="56"/>
      <c r="AD420" s="56"/>
      <c r="AE420" s="56"/>
      <c r="AF420" s="56"/>
      <c r="AG420" s="56"/>
      <c r="AH420" s="56"/>
      <c r="AI420" s="58"/>
      <c r="AJ420" s="56"/>
      <c r="AK420" s="56"/>
      <c r="AL420" s="56"/>
      <c r="AM420" s="57"/>
      <c r="AN420" s="57"/>
      <c r="AO420" s="56"/>
      <c r="AP420" s="56"/>
      <c r="AQ420" s="57"/>
      <c r="AR420" s="57"/>
      <c r="AS420" s="57"/>
      <c r="AT420" s="67">
        <f t="shared" ca="1" si="40"/>
        <v>0</v>
      </c>
      <c r="AU420" s="79" t="str">
        <f t="shared" ca="1" si="41"/>
        <v/>
      </c>
      <c r="AV420" s="79" t="str" cm="1">
        <f t="array" aca="1" ref="AV420" ca="1">IFERROR(_xlfn.IFS($AU420="","",$AU420&lt;=15,"0-15",AND($AU420&gt;=16,$AU420&lt;=30),"16-30",AND($AU420&gt;=31,$AU420&lt;=45),"31-45",AND($AU420&gt;=46,$AU420&lt;=60),"46-60",AND($AU420&gt;=61,$AU420&lt;=90),"61-90",AND($AU420&gt;=91),"&gt; 90",AND($AU420&gt;=2000),""),"")</f>
        <v/>
      </c>
      <c r="AW420" s="79" t="str" cm="1">
        <f t="array" aca="1" ref="AW420" ca="1">IFERROR(_xlfn.IFS(OR($M420="",$AM420=""),"",OR($C420="Offered",$C420="Joined"),($AM420-$M420)-$AT420),"")</f>
        <v/>
      </c>
      <c r="AX420" s="79" t="str" cm="1">
        <f t="array" aca="1" ref="AX420" ca="1">IFERROR(_xlfn.IFS(OR($M420="",$AS420=""),"",$C420="Joined",($AS420-$M420)-$AT420),"")</f>
        <v/>
      </c>
      <c r="AY420" s="67" t="str">
        <f>IFERROR(IF(COUNTIFS('Candidate Tracker'!$E:$E,'Positions Tracker'!$B420,'Candidate Tracker'!$C:$C,"Offer Drop")=0,"",COUNTIFS('Candidate Tracker'!$E:$E,'Positions Tracker'!$B420,'Candidate Tracker'!$C:$C,"Offer Drop")),"")</f>
        <v/>
      </c>
      <c r="AZ420" s="80">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0.88111888111888115</v>
      </c>
      <c r="BA420" s="81" t="str">
        <f>IFERROR(IF(COUNTIFS('Candidate Tracker'!$E:$E,'Positions Tracker'!$B420,'Candidate Tracker'!$I:$I,"Female")=0,"",COUNTIFS('Candidate Tracker'!$E:$E,'Positions Tracker'!$B420,'Candidate Tracker'!$I:$I,"Female")),"")</f>
        <v/>
      </c>
      <c r="BB420" s="81" t="str">
        <f>IFERROR(IF(COUNTIFS('Candidate Tracker'!$E:$E,'Positions Tracker'!$B420,'Candidate Tracker'!$I:$I,"male")=0,"",COUNTIFS('Candidate Tracker'!$E:$E,'Positions Tracker'!$B420,'Candidate Tracker'!$I:$I,"male")),"")</f>
        <v/>
      </c>
      <c r="BC420" s="80" t="str">
        <f>IFERROR(IF(COUNTIFS('Candidate Tracker'!$E:$E,'Positions Tracker'!$B420,'Candidate Tracker'!$C:$C,"&lt;&gt;WIP",'Candidate Tracker'!$C:$C,"&lt;&gt;Hold",'Candidate Tracker'!$C:$C,"&lt;&gt;Cancelled",'Candidate Tracker'!$C:$C,"&lt;&gt;Closed")/COUNTIFS('Candidate Tracker'!$E:$E,'Positions Tracker'!$B420)=0,"",COUNTIFS('Candidate Tracker'!$E:$E,'Positions Tracker'!$B420,'Candidate Tracker'!$C:$C,"&lt;&gt;WIP",'Candidate Tracker'!$C:$C,"&lt;&gt;Hold",'Candidate Tracker'!$C:$C,"&lt;&gt;Cancelled",'Candidate Tracker'!$C:$C,"&lt;&gt;Closed")/COUNTIFS('Candidate Tracker'!$E:$E,'Positions Tracker'!$B420)),"")</f>
        <v/>
      </c>
      <c r="BD420" s="67" t="str">
        <f t="shared" si="36"/>
        <v/>
      </c>
      <c r="BE420" s="67" t="str">
        <f t="shared" si="37"/>
        <v/>
      </c>
      <c r="BF420" s="67" t="str">
        <f t="shared" si="38"/>
        <v/>
      </c>
      <c r="BG420" s="67" t="str">
        <f t="shared" si="39"/>
        <v/>
      </c>
    </row>
    <row r="421" spans="1:59">
      <c r="A421" s="55"/>
      <c r="B421" s="56"/>
      <c r="C421" s="56"/>
      <c r="D421" s="56"/>
      <c r="E421" s="56"/>
      <c r="F421" s="56"/>
      <c r="G421" s="56"/>
      <c r="H421" s="56"/>
      <c r="I421" s="6"/>
      <c r="J421" s="6"/>
      <c r="K421" s="57"/>
      <c r="L421" s="57"/>
      <c r="M421" s="57"/>
      <c r="N421" s="56"/>
      <c r="O421" s="56"/>
      <c r="P421" s="56"/>
      <c r="Q421" s="56"/>
      <c r="R421" s="56"/>
      <c r="S421" s="56"/>
      <c r="T421" s="56"/>
      <c r="U421" s="56"/>
      <c r="V421" s="56"/>
      <c r="W421" s="56"/>
      <c r="X421" s="56"/>
      <c r="Y421" s="56"/>
      <c r="Z421" s="56"/>
      <c r="AA421" s="56"/>
      <c r="AB421" s="56"/>
      <c r="AC421" s="56"/>
      <c r="AD421" s="56"/>
      <c r="AE421" s="56"/>
      <c r="AF421" s="56"/>
      <c r="AG421" s="56"/>
      <c r="AH421" s="56"/>
      <c r="AI421" s="58"/>
      <c r="AJ421" s="56"/>
      <c r="AK421" s="56"/>
      <c r="AL421" s="56"/>
      <c r="AM421" s="57"/>
      <c r="AN421" s="57"/>
      <c r="AO421" s="56"/>
      <c r="AP421" s="56"/>
      <c r="AQ421" s="57"/>
      <c r="AR421" s="57"/>
      <c r="AS421" s="57"/>
      <c r="AT421" s="67">
        <f t="shared" ca="1" si="40"/>
        <v>0</v>
      </c>
      <c r="AU421" s="79" t="str">
        <f t="shared" ca="1" si="41"/>
        <v/>
      </c>
      <c r="AV421" s="79" t="str" cm="1">
        <f t="array" aca="1" ref="AV421" ca="1">IFERROR(_xlfn.IFS($AU421="","",$AU421&lt;=15,"0-15",AND($AU421&gt;=16,$AU421&lt;=30),"16-30",AND($AU421&gt;=31,$AU421&lt;=45),"31-45",AND($AU421&gt;=46,$AU421&lt;=60),"46-60",AND($AU421&gt;=61,$AU421&lt;=90),"61-90",AND($AU421&gt;=91),"&gt; 90",AND($AU421&gt;=2000),""),"")</f>
        <v/>
      </c>
      <c r="AW421" s="79" t="str" cm="1">
        <f t="array" aca="1" ref="AW421" ca="1">IFERROR(_xlfn.IFS(OR($M421="",$AM421=""),"",OR($C421="Offered",$C421="Joined"),($AM421-$M421)-$AT421),"")</f>
        <v/>
      </c>
      <c r="AX421" s="79" t="str" cm="1">
        <f t="array" aca="1" ref="AX421" ca="1">IFERROR(_xlfn.IFS(OR($M421="",$AS421=""),"",$C421="Joined",($AS421-$M421)-$AT421),"")</f>
        <v/>
      </c>
      <c r="AY421" s="67" t="str">
        <f>IFERROR(IF(COUNTIFS('Candidate Tracker'!$E:$E,'Positions Tracker'!$B421,'Candidate Tracker'!$C:$C,"Offer Drop")=0,"",COUNTIFS('Candidate Tracker'!$E:$E,'Positions Tracker'!$B421,'Candidate Tracker'!$C:$C,"Offer Drop")),"")</f>
        <v/>
      </c>
      <c r="AZ421" s="80">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0.88111888111888115</v>
      </c>
      <c r="BA421" s="81" t="str">
        <f>IFERROR(IF(COUNTIFS('Candidate Tracker'!$E:$E,'Positions Tracker'!$B421,'Candidate Tracker'!$I:$I,"Female")=0,"",COUNTIFS('Candidate Tracker'!$E:$E,'Positions Tracker'!$B421,'Candidate Tracker'!$I:$I,"Female")),"")</f>
        <v/>
      </c>
      <c r="BB421" s="81" t="str">
        <f>IFERROR(IF(COUNTIFS('Candidate Tracker'!$E:$E,'Positions Tracker'!$B421,'Candidate Tracker'!$I:$I,"male")=0,"",COUNTIFS('Candidate Tracker'!$E:$E,'Positions Tracker'!$B421,'Candidate Tracker'!$I:$I,"male")),"")</f>
        <v/>
      </c>
      <c r="BC421" s="80" t="str">
        <f>IFERROR(IF(COUNTIFS('Candidate Tracker'!$E:$E,'Positions Tracker'!$B421,'Candidate Tracker'!$C:$C,"&lt;&gt;WIP",'Candidate Tracker'!$C:$C,"&lt;&gt;Hold",'Candidate Tracker'!$C:$C,"&lt;&gt;Cancelled",'Candidate Tracker'!$C:$C,"&lt;&gt;Closed")/COUNTIFS('Candidate Tracker'!$E:$E,'Positions Tracker'!$B421)=0,"",COUNTIFS('Candidate Tracker'!$E:$E,'Positions Tracker'!$B421,'Candidate Tracker'!$C:$C,"&lt;&gt;WIP",'Candidate Tracker'!$C:$C,"&lt;&gt;Hold",'Candidate Tracker'!$C:$C,"&lt;&gt;Cancelled",'Candidate Tracker'!$C:$C,"&lt;&gt;Closed")/COUNTIFS('Candidate Tracker'!$E:$E,'Positions Tracker'!$B421)),"")</f>
        <v/>
      </c>
      <c r="BD421" s="67" t="str">
        <f t="shared" si="36"/>
        <v/>
      </c>
      <c r="BE421" s="67" t="str">
        <f t="shared" si="37"/>
        <v/>
      </c>
      <c r="BF421" s="67" t="str">
        <f t="shared" si="38"/>
        <v/>
      </c>
      <c r="BG421" s="67" t="str">
        <f t="shared" si="39"/>
        <v/>
      </c>
    </row>
    <row r="422" spans="1:59">
      <c r="A422" s="55"/>
      <c r="B422" s="56"/>
      <c r="C422" s="56"/>
      <c r="D422" s="56"/>
      <c r="E422" s="56"/>
      <c r="F422" s="56"/>
      <c r="G422" s="56"/>
      <c r="H422" s="56"/>
      <c r="I422" s="6"/>
      <c r="J422" s="6"/>
      <c r="K422" s="57"/>
      <c r="L422" s="57"/>
      <c r="M422" s="57"/>
      <c r="N422" s="56"/>
      <c r="O422" s="56"/>
      <c r="P422" s="56"/>
      <c r="Q422" s="56"/>
      <c r="R422" s="56"/>
      <c r="S422" s="56"/>
      <c r="T422" s="56"/>
      <c r="U422" s="56"/>
      <c r="V422" s="56"/>
      <c r="W422" s="56"/>
      <c r="X422" s="56"/>
      <c r="Y422" s="56"/>
      <c r="Z422" s="56"/>
      <c r="AA422" s="56"/>
      <c r="AB422" s="56"/>
      <c r="AC422" s="56"/>
      <c r="AD422" s="56"/>
      <c r="AE422" s="56"/>
      <c r="AF422" s="56"/>
      <c r="AG422" s="56"/>
      <c r="AH422" s="56"/>
      <c r="AI422" s="58"/>
      <c r="AJ422" s="56"/>
      <c r="AK422" s="56"/>
      <c r="AL422" s="56"/>
      <c r="AM422" s="57"/>
      <c r="AN422" s="57"/>
      <c r="AO422" s="56"/>
      <c r="AP422" s="56"/>
      <c r="AQ422" s="57"/>
      <c r="AR422" s="57"/>
      <c r="AS422" s="57"/>
      <c r="AT422" s="67">
        <f t="shared" ca="1" si="40"/>
        <v>0</v>
      </c>
      <c r="AU422" s="79" t="str">
        <f t="shared" ca="1" si="41"/>
        <v/>
      </c>
      <c r="AV422" s="79" t="str" cm="1">
        <f t="array" aca="1" ref="AV422" ca="1">IFERROR(_xlfn.IFS($AU422="","",$AU422&lt;=15,"0-15",AND($AU422&gt;=16,$AU422&lt;=30),"16-30",AND($AU422&gt;=31,$AU422&lt;=45),"31-45",AND($AU422&gt;=46,$AU422&lt;=60),"46-60",AND($AU422&gt;=61,$AU422&lt;=90),"61-90",AND($AU422&gt;=91),"&gt; 90",AND($AU422&gt;=2000),""),"")</f>
        <v/>
      </c>
      <c r="AW422" s="79" t="str" cm="1">
        <f t="array" aca="1" ref="AW422" ca="1">IFERROR(_xlfn.IFS(OR($M422="",$AM422=""),"",OR($C422="Offered",$C422="Joined"),($AM422-$M422)-$AT422),"")</f>
        <v/>
      </c>
      <c r="AX422" s="79" t="str" cm="1">
        <f t="array" aca="1" ref="AX422" ca="1">IFERROR(_xlfn.IFS(OR($M422="",$AS422=""),"",$C422="Joined",($AS422-$M422)-$AT422),"")</f>
        <v/>
      </c>
      <c r="AY422" s="67" t="str">
        <f>IFERROR(IF(COUNTIFS('Candidate Tracker'!$E:$E,'Positions Tracker'!$B422,'Candidate Tracker'!$C:$C,"Offer Drop")=0,"",COUNTIFS('Candidate Tracker'!$E:$E,'Positions Tracker'!$B422,'Candidate Tracker'!$C:$C,"Offer Drop")),"")</f>
        <v/>
      </c>
      <c r="AZ422" s="80">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0.88111888111888115</v>
      </c>
      <c r="BA422" s="81" t="str">
        <f>IFERROR(IF(COUNTIFS('Candidate Tracker'!$E:$E,'Positions Tracker'!$B422,'Candidate Tracker'!$I:$I,"Female")=0,"",COUNTIFS('Candidate Tracker'!$E:$E,'Positions Tracker'!$B422,'Candidate Tracker'!$I:$I,"Female")),"")</f>
        <v/>
      </c>
      <c r="BB422" s="81" t="str">
        <f>IFERROR(IF(COUNTIFS('Candidate Tracker'!$E:$E,'Positions Tracker'!$B422,'Candidate Tracker'!$I:$I,"male")=0,"",COUNTIFS('Candidate Tracker'!$E:$E,'Positions Tracker'!$B422,'Candidate Tracker'!$I:$I,"male")),"")</f>
        <v/>
      </c>
      <c r="BC422" s="80" t="str">
        <f>IFERROR(IF(COUNTIFS('Candidate Tracker'!$E:$E,'Positions Tracker'!$B422,'Candidate Tracker'!$C:$C,"&lt;&gt;WIP",'Candidate Tracker'!$C:$C,"&lt;&gt;Hold",'Candidate Tracker'!$C:$C,"&lt;&gt;Cancelled",'Candidate Tracker'!$C:$C,"&lt;&gt;Closed")/COUNTIFS('Candidate Tracker'!$E:$E,'Positions Tracker'!$B422)=0,"",COUNTIFS('Candidate Tracker'!$E:$E,'Positions Tracker'!$B422,'Candidate Tracker'!$C:$C,"&lt;&gt;WIP",'Candidate Tracker'!$C:$C,"&lt;&gt;Hold",'Candidate Tracker'!$C:$C,"&lt;&gt;Cancelled",'Candidate Tracker'!$C:$C,"&lt;&gt;Closed")/COUNTIFS('Candidate Tracker'!$E:$E,'Positions Tracker'!$B422)),"")</f>
        <v/>
      </c>
      <c r="BD422" s="67" t="str">
        <f t="shared" si="36"/>
        <v/>
      </c>
      <c r="BE422" s="67" t="str">
        <f t="shared" si="37"/>
        <v/>
      </c>
      <c r="BF422" s="67" t="str">
        <f t="shared" si="38"/>
        <v/>
      </c>
      <c r="BG422" s="67" t="str">
        <f t="shared" si="39"/>
        <v/>
      </c>
    </row>
    <row r="423" spans="1:59">
      <c r="A423" s="55"/>
      <c r="B423" s="56"/>
      <c r="C423" s="56"/>
      <c r="D423" s="56"/>
      <c r="E423" s="56"/>
      <c r="F423" s="56"/>
      <c r="G423" s="56"/>
      <c r="H423" s="56"/>
      <c r="I423" s="6"/>
      <c r="J423" s="6"/>
      <c r="K423" s="57"/>
      <c r="L423" s="57"/>
      <c r="M423" s="57"/>
      <c r="N423" s="56"/>
      <c r="O423" s="56"/>
      <c r="P423" s="56"/>
      <c r="Q423" s="56"/>
      <c r="R423" s="56"/>
      <c r="S423" s="56"/>
      <c r="T423" s="56"/>
      <c r="U423" s="56"/>
      <c r="V423" s="56"/>
      <c r="W423" s="56"/>
      <c r="X423" s="56"/>
      <c r="Y423" s="56"/>
      <c r="Z423" s="56"/>
      <c r="AA423" s="56"/>
      <c r="AB423" s="56"/>
      <c r="AC423" s="56"/>
      <c r="AD423" s="56"/>
      <c r="AE423" s="56"/>
      <c r="AF423" s="56"/>
      <c r="AG423" s="56"/>
      <c r="AH423" s="56"/>
      <c r="AI423" s="58"/>
      <c r="AJ423" s="56"/>
      <c r="AK423" s="56"/>
      <c r="AL423" s="56"/>
      <c r="AM423" s="57"/>
      <c r="AN423" s="57"/>
      <c r="AO423" s="56"/>
      <c r="AP423" s="56"/>
      <c r="AQ423" s="57"/>
      <c r="AR423" s="57"/>
      <c r="AS423" s="57"/>
      <c r="AT423" s="67">
        <f t="shared" ca="1" si="40"/>
        <v>0</v>
      </c>
      <c r="AU423" s="79" t="str">
        <f t="shared" ca="1" si="41"/>
        <v/>
      </c>
      <c r="AV423" s="79" t="str" cm="1">
        <f t="array" aca="1" ref="AV423" ca="1">IFERROR(_xlfn.IFS($AU423="","",$AU423&lt;=15,"0-15",AND($AU423&gt;=16,$AU423&lt;=30),"16-30",AND($AU423&gt;=31,$AU423&lt;=45),"31-45",AND($AU423&gt;=46,$AU423&lt;=60),"46-60",AND($AU423&gt;=61,$AU423&lt;=90),"61-90",AND($AU423&gt;=91),"&gt; 90",AND($AU423&gt;=2000),""),"")</f>
        <v/>
      </c>
      <c r="AW423" s="79" t="str" cm="1">
        <f t="array" aca="1" ref="AW423" ca="1">IFERROR(_xlfn.IFS(OR($M423="",$AM423=""),"",OR($C423="Offered",$C423="Joined"),($AM423-$M423)-$AT423),"")</f>
        <v/>
      </c>
      <c r="AX423" s="79" t="str" cm="1">
        <f t="array" aca="1" ref="AX423" ca="1">IFERROR(_xlfn.IFS(OR($M423="",$AS423=""),"",$C423="Joined",($AS423-$M423)-$AT423),"")</f>
        <v/>
      </c>
      <c r="AY423" s="67" t="str">
        <f>IFERROR(IF(COUNTIFS('Candidate Tracker'!$E:$E,'Positions Tracker'!$B423,'Candidate Tracker'!$C:$C,"Offer Drop")=0,"",COUNTIFS('Candidate Tracker'!$E:$E,'Positions Tracker'!$B423,'Candidate Tracker'!$C:$C,"Offer Drop")),"")</f>
        <v/>
      </c>
      <c r="AZ423" s="80">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0.88111888111888115</v>
      </c>
      <c r="BA423" s="81" t="str">
        <f>IFERROR(IF(COUNTIFS('Candidate Tracker'!$E:$E,'Positions Tracker'!$B423,'Candidate Tracker'!$I:$I,"Female")=0,"",COUNTIFS('Candidate Tracker'!$E:$E,'Positions Tracker'!$B423,'Candidate Tracker'!$I:$I,"Female")),"")</f>
        <v/>
      </c>
      <c r="BB423" s="81" t="str">
        <f>IFERROR(IF(COUNTIFS('Candidate Tracker'!$E:$E,'Positions Tracker'!$B423,'Candidate Tracker'!$I:$I,"male")=0,"",COUNTIFS('Candidate Tracker'!$E:$E,'Positions Tracker'!$B423,'Candidate Tracker'!$I:$I,"male")),"")</f>
        <v/>
      </c>
      <c r="BC423" s="80" t="str">
        <f>IFERROR(IF(COUNTIFS('Candidate Tracker'!$E:$E,'Positions Tracker'!$B423,'Candidate Tracker'!$C:$C,"&lt;&gt;WIP",'Candidate Tracker'!$C:$C,"&lt;&gt;Hold",'Candidate Tracker'!$C:$C,"&lt;&gt;Cancelled",'Candidate Tracker'!$C:$C,"&lt;&gt;Closed")/COUNTIFS('Candidate Tracker'!$E:$E,'Positions Tracker'!$B423)=0,"",COUNTIFS('Candidate Tracker'!$E:$E,'Positions Tracker'!$B423,'Candidate Tracker'!$C:$C,"&lt;&gt;WIP",'Candidate Tracker'!$C:$C,"&lt;&gt;Hold",'Candidate Tracker'!$C:$C,"&lt;&gt;Cancelled",'Candidate Tracker'!$C:$C,"&lt;&gt;Closed")/COUNTIFS('Candidate Tracker'!$E:$E,'Positions Tracker'!$B423)),"")</f>
        <v/>
      </c>
      <c r="BD423" s="67" t="str">
        <f t="shared" si="36"/>
        <v/>
      </c>
      <c r="BE423" s="67" t="str">
        <f t="shared" si="37"/>
        <v/>
      </c>
      <c r="BF423" s="67" t="str">
        <f t="shared" si="38"/>
        <v/>
      </c>
      <c r="BG423" s="67" t="str">
        <f t="shared" si="39"/>
        <v/>
      </c>
    </row>
    <row r="424" spans="1:59">
      <c r="A424" s="55"/>
      <c r="B424" s="56"/>
      <c r="C424" s="56"/>
      <c r="D424" s="56"/>
      <c r="E424" s="56"/>
      <c r="F424" s="56"/>
      <c r="G424" s="56"/>
      <c r="H424" s="56"/>
      <c r="I424" s="6"/>
      <c r="J424" s="6"/>
      <c r="K424" s="57"/>
      <c r="L424" s="57"/>
      <c r="M424" s="57"/>
      <c r="N424" s="56"/>
      <c r="O424" s="56"/>
      <c r="P424" s="56"/>
      <c r="Q424" s="56"/>
      <c r="R424" s="56"/>
      <c r="S424" s="56"/>
      <c r="T424" s="56"/>
      <c r="U424" s="56"/>
      <c r="V424" s="56"/>
      <c r="W424" s="56"/>
      <c r="X424" s="56"/>
      <c r="Y424" s="56"/>
      <c r="Z424" s="56"/>
      <c r="AA424" s="56"/>
      <c r="AB424" s="56"/>
      <c r="AC424" s="56"/>
      <c r="AD424" s="56"/>
      <c r="AE424" s="56"/>
      <c r="AF424" s="56"/>
      <c r="AG424" s="56"/>
      <c r="AH424" s="56"/>
      <c r="AI424" s="58"/>
      <c r="AJ424" s="56"/>
      <c r="AK424" s="56"/>
      <c r="AL424" s="56"/>
      <c r="AM424" s="57"/>
      <c r="AN424" s="57"/>
      <c r="AO424" s="56"/>
      <c r="AP424" s="56"/>
      <c r="AQ424" s="57"/>
      <c r="AR424" s="57"/>
      <c r="AS424" s="57"/>
      <c r="AT424" s="67">
        <f t="shared" ca="1" si="40"/>
        <v>0</v>
      </c>
      <c r="AU424" s="79" t="str">
        <f t="shared" ca="1" si="41"/>
        <v/>
      </c>
      <c r="AV424" s="79" t="str" cm="1">
        <f t="array" aca="1" ref="AV424" ca="1">IFERROR(_xlfn.IFS($AU424="","",$AU424&lt;=15,"0-15",AND($AU424&gt;=16,$AU424&lt;=30),"16-30",AND($AU424&gt;=31,$AU424&lt;=45),"31-45",AND($AU424&gt;=46,$AU424&lt;=60),"46-60",AND($AU424&gt;=61,$AU424&lt;=90),"61-90",AND($AU424&gt;=91),"&gt; 90",AND($AU424&gt;=2000),""),"")</f>
        <v/>
      </c>
      <c r="AW424" s="79" t="str" cm="1">
        <f t="array" aca="1" ref="AW424" ca="1">IFERROR(_xlfn.IFS(OR($M424="",$AM424=""),"",OR($C424="Offered",$C424="Joined"),($AM424-$M424)-$AT424),"")</f>
        <v/>
      </c>
      <c r="AX424" s="79" t="str" cm="1">
        <f t="array" aca="1" ref="AX424" ca="1">IFERROR(_xlfn.IFS(OR($M424="",$AS424=""),"",$C424="Joined",($AS424-$M424)-$AT424),"")</f>
        <v/>
      </c>
      <c r="AY424" s="67" t="str">
        <f>IFERROR(IF(COUNTIFS('Candidate Tracker'!$E:$E,'Positions Tracker'!$B424,'Candidate Tracker'!$C:$C,"Offer Drop")=0,"",COUNTIFS('Candidate Tracker'!$E:$E,'Positions Tracker'!$B424,'Candidate Tracker'!$C:$C,"Offer Drop")),"")</f>
        <v/>
      </c>
      <c r="AZ424" s="80">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0.88111888111888115</v>
      </c>
      <c r="BA424" s="81" t="str">
        <f>IFERROR(IF(COUNTIFS('Candidate Tracker'!$E:$E,'Positions Tracker'!$B424,'Candidate Tracker'!$I:$I,"Female")=0,"",COUNTIFS('Candidate Tracker'!$E:$E,'Positions Tracker'!$B424,'Candidate Tracker'!$I:$I,"Female")),"")</f>
        <v/>
      </c>
      <c r="BB424" s="81" t="str">
        <f>IFERROR(IF(COUNTIFS('Candidate Tracker'!$E:$E,'Positions Tracker'!$B424,'Candidate Tracker'!$I:$I,"male")=0,"",COUNTIFS('Candidate Tracker'!$E:$E,'Positions Tracker'!$B424,'Candidate Tracker'!$I:$I,"male")),"")</f>
        <v/>
      </c>
      <c r="BC424" s="80" t="str">
        <f>IFERROR(IF(COUNTIFS('Candidate Tracker'!$E:$E,'Positions Tracker'!$B424,'Candidate Tracker'!$C:$C,"&lt;&gt;WIP",'Candidate Tracker'!$C:$C,"&lt;&gt;Hold",'Candidate Tracker'!$C:$C,"&lt;&gt;Cancelled",'Candidate Tracker'!$C:$C,"&lt;&gt;Closed")/COUNTIFS('Candidate Tracker'!$E:$E,'Positions Tracker'!$B424)=0,"",COUNTIFS('Candidate Tracker'!$E:$E,'Positions Tracker'!$B424,'Candidate Tracker'!$C:$C,"&lt;&gt;WIP",'Candidate Tracker'!$C:$C,"&lt;&gt;Hold",'Candidate Tracker'!$C:$C,"&lt;&gt;Cancelled",'Candidate Tracker'!$C:$C,"&lt;&gt;Closed")/COUNTIFS('Candidate Tracker'!$E:$E,'Positions Tracker'!$B424)),"")</f>
        <v/>
      </c>
      <c r="BD424" s="67" t="str">
        <f t="shared" si="36"/>
        <v/>
      </c>
      <c r="BE424" s="67" t="str">
        <f t="shared" si="37"/>
        <v/>
      </c>
      <c r="BF424" s="67" t="str">
        <f t="shared" si="38"/>
        <v/>
      </c>
      <c r="BG424" s="67" t="str">
        <f t="shared" si="39"/>
        <v/>
      </c>
    </row>
    <row r="425" spans="1:59">
      <c r="A425" s="55"/>
      <c r="B425" s="56"/>
      <c r="C425" s="56"/>
      <c r="D425" s="56"/>
      <c r="E425" s="56"/>
      <c r="F425" s="56"/>
      <c r="G425" s="56"/>
      <c r="H425" s="56"/>
      <c r="I425" s="6"/>
      <c r="J425" s="6"/>
      <c r="K425" s="57"/>
      <c r="L425" s="57"/>
      <c r="M425" s="57"/>
      <c r="N425" s="56"/>
      <c r="O425" s="56"/>
      <c r="P425" s="56"/>
      <c r="Q425" s="56"/>
      <c r="R425" s="56"/>
      <c r="S425" s="56"/>
      <c r="T425" s="56"/>
      <c r="U425" s="56"/>
      <c r="V425" s="56"/>
      <c r="W425" s="56"/>
      <c r="X425" s="56"/>
      <c r="Y425" s="56"/>
      <c r="Z425" s="56"/>
      <c r="AA425" s="56"/>
      <c r="AB425" s="56"/>
      <c r="AC425" s="56"/>
      <c r="AD425" s="56"/>
      <c r="AE425" s="56"/>
      <c r="AF425" s="56"/>
      <c r="AG425" s="56"/>
      <c r="AH425" s="56"/>
      <c r="AI425" s="58"/>
      <c r="AJ425" s="56"/>
      <c r="AK425" s="56"/>
      <c r="AL425" s="56"/>
      <c r="AM425" s="57"/>
      <c r="AN425" s="57"/>
      <c r="AO425" s="56"/>
      <c r="AP425" s="56"/>
      <c r="AQ425" s="57"/>
      <c r="AR425" s="57"/>
      <c r="AS425" s="57"/>
      <c r="AT425" s="67">
        <f t="shared" ca="1" si="40"/>
        <v>0</v>
      </c>
      <c r="AU425" s="79" t="str">
        <f t="shared" ca="1" si="41"/>
        <v/>
      </c>
      <c r="AV425" s="79" t="str" cm="1">
        <f t="array" aca="1" ref="AV425" ca="1">IFERROR(_xlfn.IFS($AU425="","",$AU425&lt;=15,"0-15",AND($AU425&gt;=16,$AU425&lt;=30),"16-30",AND($AU425&gt;=31,$AU425&lt;=45),"31-45",AND($AU425&gt;=46,$AU425&lt;=60),"46-60",AND($AU425&gt;=61,$AU425&lt;=90),"61-90",AND($AU425&gt;=91),"&gt; 90",AND($AU425&gt;=2000),""),"")</f>
        <v/>
      </c>
      <c r="AW425" s="79" t="str" cm="1">
        <f t="array" aca="1" ref="AW425" ca="1">IFERROR(_xlfn.IFS(OR($M425="",$AM425=""),"",OR($C425="Offered",$C425="Joined"),($AM425-$M425)-$AT425),"")</f>
        <v/>
      </c>
      <c r="AX425" s="79" t="str" cm="1">
        <f t="array" aca="1" ref="AX425" ca="1">IFERROR(_xlfn.IFS(OR($M425="",$AS425=""),"",$C425="Joined",($AS425-$M425)-$AT425),"")</f>
        <v/>
      </c>
      <c r="AY425" s="67" t="str">
        <f>IFERROR(IF(COUNTIFS('Candidate Tracker'!$E:$E,'Positions Tracker'!$B425,'Candidate Tracker'!$C:$C,"Offer Drop")=0,"",COUNTIFS('Candidate Tracker'!$E:$E,'Positions Tracker'!$B425,'Candidate Tracker'!$C:$C,"Offer Drop")),"")</f>
        <v/>
      </c>
      <c r="AZ425" s="80">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0.88111888111888115</v>
      </c>
      <c r="BA425" s="81" t="str">
        <f>IFERROR(IF(COUNTIFS('Candidate Tracker'!$E:$E,'Positions Tracker'!$B425,'Candidate Tracker'!$I:$I,"Female")=0,"",COUNTIFS('Candidate Tracker'!$E:$E,'Positions Tracker'!$B425,'Candidate Tracker'!$I:$I,"Female")),"")</f>
        <v/>
      </c>
      <c r="BB425" s="81" t="str">
        <f>IFERROR(IF(COUNTIFS('Candidate Tracker'!$E:$E,'Positions Tracker'!$B425,'Candidate Tracker'!$I:$I,"male")=0,"",COUNTIFS('Candidate Tracker'!$E:$E,'Positions Tracker'!$B425,'Candidate Tracker'!$I:$I,"male")),"")</f>
        <v/>
      </c>
      <c r="BC425" s="80" t="str">
        <f>IFERROR(IF(COUNTIFS('Candidate Tracker'!$E:$E,'Positions Tracker'!$B425,'Candidate Tracker'!$C:$C,"&lt;&gt;WIP",'Candidate Tracker'!$C:$C,"&lt;&gt;Hold",'Candidate Tracker'!$C:$C,"&lt;&gt;Cancelled",'Candidate Tracker'!$C:$C,"&lt;&gt;Closed")/COUNTIFS('Candidate Tracker'!$E:$E,'Positions Tracker'!$B425)=0,"",COUNTIFS('Candidate Tracker'!$E:$E,'Positions Tracker'!$B425,'Candidate Tracker'!$C:$C,"&lt;&gt;WIP",'Candidate Tracker'!$C:$C,"&lt;&gt;Hold",'Candidate Tracker'!$C:$C,"&lt;&gt;Cancelled",'Candidate Tracker'!$C:$C,"&lt;&gt;Closed")/COUNTIFS('Candidate Tracker'!$E:$E,'Positions Tracker'!$B425)),"")</f>
        <v/>
      </c>
      <c r="BD425" s="67" t="str">
        <f t="shared" si="36"/>
        <v/>
      </c>
      <c r="BE425" s="67" t="str">
        <f t="shared" si="37"/>
        <v/>
      </c>
      <c r="BF425" s="67" t="str">
        <f t="shared" si="38"/>
        <v/>
      </c>
      <c r="BG425" s="67" t="str">
        <f t="shared" si="39"/>
        <v/>
      </c>
    </row>
    <row r="426" spans="1:59">
      <c r="A426" s="55"/>
      <c r="B426" s="56"/>
      <c r="C426" s="56"/>
      <c r="D426" s="56"/>
      <c r="E426" s="56"/>
      <c r="F426" s="56"/>
      <c r="G426" s="56"/>
      <c r="H426" s="56"/>
      <c r="I426" s="6"/>
      <c r="J426" s="6"/>
      <c r="K426" s="57"/>
      <c r="L426" s="57"/>
      <c r="M426" s="57"/>
      <c r="N426" s="56"/>
      <c r="O426" s="56"/>
      <c r="P426" s="56"/>
      <c r="Q426" s="56"/>
      <c r="R426" s="56"/>
      <c r="S426" s="56"/>
      <c r="T426" s="56"/>
      <c r="U426" s="56"/>
      <c r="V426" s="56"/>
      <c r="W426" s="56"/>
      <c r="X426" s="56"/>
      <c r="Y426" s="56"/>
      <c r="Z426" s="56"/>
      <c r="AA426" s="56"/>
      <c r="AB426" s="56"/>
      <c r="AC426" s="56"/>
      <c r="AD426" s="56"/>
      <c r="AE426" s="56"/>
      <c r="AF426" s="56"/>
      <c r="AG426" s="56"/>
      <c r="AH426" s="56"/>
      <c r="AI426" s="58"/>
      <c r="AJ426" s="56"/>
      <c r="AK426" s="56"/>
      <c r="AL426" s="56"/>
      <c r="AM426" s="57"/>
      <c r="AN426" s="57"/>
      <c r="AO426" s="56"/>
      <c r="AP426" s="56"/>
      <c r="AQ426" s="57"/>
      <c r="AR426" s="57"/>
      <c r="AS426" s="57"/>
      <c r="AT426" s="67">
        <f t="shared" ca="1" si="40"/>
        <v>0</v>
      </c>
      <c r="AU426" s="79" t="str">
        <f t="shared" ca="1" si="41"/>
        <v/>
      </c>
      <c r="AV426" s="79" t="str" cm="1">
        <f t="array" aca="1" ref="AV426" ca="1">IFERROR(_xlfn.IFS($AU426="","",$AU426&lt;=15,"0-15",AND($AU426&gt;=16,$AU426&lt;=30),"16-30",AND($AU426&gt;=31,$AU426&lt;=45),"31-45",AND($AU426&gt;=46,$AU426&lt;=60),"46-60",AND($AU426&gt;=61,$AU426&lt;=90),"61-90",AND($AU426&gt;=91),"&gt; 90",AND($AU426&gt;=2000),""),"")</f>
        <v/>
      </c>
      <c r="AW426" s="79" t="str" cm="1">
        <f t="array" aca="1" ref="AW426" ca="1">IFERROR(_xlfn.IFS(OR($M426="",$AM426=""),"",OR($C426="Offered",$C426="Joined"),($AM426-$M426)-$AT426),"")</f>
        <v/>
      </c>
      <c r="AX426" s="79" t="str" cm="1">
        <f t="array" aca="1" ref="AX426" ca="1">IFERROR(_xlfn.IFS(OR($M426="",$AS426=""),"",$C426="Joined",($AS426-$M426)-$AT426),"")</f>
        <v/>
      </c>
      <c r="AY426" s="67" t="str">
        <f>IFERROR(IF(COUNTIFS('Candidate Tracker'!$E:$E,'Positions Tracker'!$B426,'Candidate Tracker'!$C:$C,"Offer Drop")=0,"",COUNTIFS('Candidate Tracker'!$E:$E,'Positions Tracker'!$B426,'Candidate Tracker'!$C:$C,"Offer Drop")),"")</f>
        <v/>
      </c>
      <c r="AZ426" s="80">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0.88111888111888115</v>
      </c>
      <c r="BA426" s="81" t="str">
        <f>IFERROR(IF(COUNTIFS('Candidate Tracker'!$E:$E,'Positions Tracker'!$B426,'Candidate Tracker'!$I:$I,"Female")=0,"",COUNTIFS('Candidate Tracker'!$E:$E,'Positions Tracker'!$B426,'Candidate Tracker'!$I:$I,"Female")),"")</f>
        <v/>
      </c>
      <c r="BB426" s="81" t="str">
        <f>IFERROR(IF(COUNTIFS('Candidate Tracker'!$E:$E,'Positions Tracker'!$B426,'Candidate Tracker'!$I:$I,"male")=0,"",COUNTIFS('Candidate Tracker'!$E:$E,'Positions Tracker'!$B426,'Candidate Tracker'!$I:$I,"male")),"")</f>
        <v/>
      </c>
      <c r="BC426" s="80" t="str">
        <f>IFERROR(IF(COUNTIFS('Candidate Tracker'!$E:$E,'Positions Tracker'!$B426,'Candidate Tracker'!$C:$C,"&lt;&gt;WIP",'Candidate Tracker'!$C:$C,"&lt;&gt;Hold",'Candidate Tracker'!$C:$C,"&lt;&gt;Cancelled",'Candidate Tracker'!$C:$C,"&lt;&gt;Closed")/COUNTIFS('Candidate Tracker'!$E:$E,'Positions Tracker'!$B426)=0,"",COUNTIFS('Candidate Tracker'!$E:$E,'Positions Tracker'!$B426,'Candidate Tracker'!$C:$C,"&lt;&gt;WIP",'Candidate Tracker'!$C:$C,"&lt;&gt;Hold",'Candidate Tracker'!$C:$C,"&lt;&gt;Cancelled",'Candidate Tracker'!$C:$C,"&lt;&gt;Closed")/COUNTIFS('Candidate Tracker'!$E:$E,'Positions Tracker'!$B426)),"")</f>
        <v/>
      </c>
      <c r="BD426" s="67" t="str">
        <f t="shared" si="36"/>
        <v/>
      </c>
      <c r="BE426" s="67" t="str">
        <f t="shared" si="37"/>
        <v/>
      </c>
      <c r="BF426" s="67" t="str">
        <f t="shared" si="38"/>
        <v/>
      </c>
      <c r="BG426" s="67" t="str">
        <f t="shared" si="39"/>
        <v/>
      </c>
    </row>
    <row r="427" spans="1:59">
      <c r="A427" s="55"/>
      <c r="B427" s="56"/>
      <c r="C427" s="56"/>
      <c r="D427" s="56"/>
      <c r="E427" s="56"/>
      <c r="F427" s="56"/>
      <c r="G427" s="56"/>
      <c r="H427" s="56"/>
      <c r="I427" s="6"/>
      <c r="J427" s="6"/>
      <c r="K427" s="57"/>
      <c r="L427" s="57"/>
      <c r="M427" s="57"/>
      <c r="N427" s="56"/>
      <c r="O427" s="56"/>
      <c r="P427" s="56"/>
      <c r="Q427" s="56"/>
      <c r="R427" s="56"/>
      <c r="S427" s="56"/>
      <c r="T427" s="56"/>
      <c r="U427" s="56"/>
      <c r="V427" s="56"/>
      <c r="W427" s="56"/>
      <c r="X427" s="56"/>
      <c r="Y427" s="56"/>
      <c r="Z427" s="56"/>
      <c r="AA427" s="56"/>
      <c r="AB427" s="56"/>
      <c r="AC427" s="56"/>
      <c r="AD427" s="56"/>
      <c r="AE427" s="56"/>
      <c r="AF427" s="56"/>
      <c r="AG427" s="56"/>
      <c r="AH427" s="56"/>
      <c r="AI427" s="58"/>
      <c r="AJ427" s="56"/>
      <c r="AK427" s="56"/>
      <c r="AL427" s="56"/>
      <c r="AM427" s="57"/>
      <c r="AN427" s="57"/>
      <c r="AO427" s="56"/>
      <c r="AP427" s="56"/>
      <c r="AQ427" s="57"/>
      <c r="AR427" s="57"/>
      <c r="AS427" s="57"/>
      <c r="AT427" s="67">
        <f t="shared" ca="1" si="40"/>
        <v>0</v>
      </c>
      <c r="AU427" s="79" t="str">
        <f t="shared" ca="1" si="41"/>
        <v/>
      </c>
      <c r="AV427" s="79" t="str" cm="1">
        <f t="array" aca="1" ref="AV427" ca="1">IFERROR(_xlfn.IFS($AU427="","",$AU427&lt;=15,"0-15",AND($AU427&gt;=16,$AU427&lt;=30),"16-30",AND($AU427&gt;=31,$AU427&lt;=45),"31-45",AND($AU427&gt;=46,$AU427&lt;=60),"46-60",AND($AU427&gt;=61,$AU427&lt;=90),"61-90",AND($AU427&gt;=91),"&gt; 90",AND($AU427&gt;=2000),""),"")</f>
        <v/>
      </c>
      <c r="AW427" s="79" t="str" cm="1">
        <f t="array" aca="1" ref="AW427" ca="1">IFERROR(_xlfn.IFS(OR($M427="",$AM427=""),"",OR($C427="Offered",$C427="Joined"),($AM427-$M427)-$AT427),"")</f>
        <v/>
      </c>
      <c r="AX427" s="79" t="str" cm="1">
        <f t="array" aca="1" ref="AX427" ca="1">IFERROR(_xlfn.IFS(OR($M427="",$AS427=""),"",$C427="Joined",($AS427-$M427)-$AT427),"")</f>
        <v/>
      </c>
      <c r="AY427" s="67" t="str">
        <f>IFERROR(IF(COUNTIFS('Candidate Tracker'!$E:$E,'Positions Tracker'!$B427,'Candidate Tracker'!$C:$C,"Offer Drop")=0,"",COUNTIFS('Candidate Tracker'!$E:$E,'Positions Tracker'!$B427,'Candidate Tracker'!$C:$C,"Offer Drop")),"")</f>
        <v/>
      </c>
      <c r="AZ427" s="80">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0.88111888111888115</v>
      </c>
      <c r="BA427" s="81" t="str">
        <f>IFERROR(IF(COUNTIFS('Candidate Tracker'!$E:$E,'Positions Tracker'!$B427,'Candidate Tracker'!$I:$I,"Female")=0,"",COUNTIFS('Candidate Tracker'!$E:$E,'Positions Tracker'!$B427,'Candidate Tracker'!$I:$I,"Female")),"")</f>
        <v/>
      </c>
      <c r="BB427" s="81" t="str">
        <f>IFERROR(IF(COUNTIFS('Candidate Tracker'!$E:$E,'Positions Tracker'!$B427,'Candidate Tracker'!$I:$I,"male")=0,"",COUNTIFS('Candidate Tracker'!$E:$E,'Positions Tracker'!$B427,'Candidate Tracker'!$I:$I,"male")),"")</f>
        <v/>
      </c>
      <c r="BC427" s="80" t="str">
        <f>IFERROR(IF(COUNTIFS('Candidate Tracker'!$E:$E,'Positions Tracker'!$B427,'Candidate Tracker'!$C:$C,"&lt;&gt;WIP",'Candidate Tracker'!$C:$C,"&lt;&gt;Hold",'Candidate Tracker'!$C:$C,"&lt;&gt;Cancelled",'Candidate Tracker'!$C:$C,"&lt;&gt;Closed")/COUNTIFS('Candidate Tracker'!$E:$E,'Positions Tracker'!$B427)=0,"",COUNTIFS('Candidate Tracker'!$E:$E,'Positions Tracker'!$B427,'Candidate Tracker'!$C:$C,"&lt;&gt;WIP",'Candidate Tracker'!$C:$C,"&lt;&gt;Hold",'Candidate Tracker'!$C:$C,"&lt;&gt;Cancelled",'Candidate Tracker'!$C:$C,"&lt;&gt;Closed")/COUNTIFS('Candidate Tracker'!$E:$E,'Positions Tracker'!$B427)),"")</f>
        <v/>
      </c>
      <c r="BD427" s="67" t="str">
        <f t="shared" si="36"/>
        <v/>
      </c>
      <c r="BE427" s="67" t="str">
        <f t="shared" si="37"/>
        <v/>
      </c>
      <c r="BF427" s="67" t="str">
        <f t="shared" si="38"/>
        <v/>
      </c>
      <c r="BG427" s="67" t="str">
        <f t="shared" si="39"/>
        <v/>
      </c>
    </row>
    <row r="428" spans="1:59">
      <c r="A428" s="55"/>
      <c r="B428" s="56"/>
      <c r="C428" s="56"/>
      <c r="D428" s="56"/>
      <c r="E428" s="56"/>
      <c r="F428" s="56"/>
      <c r="G428" s="56"/>
      <c r="H428" s="56"/>
      <c r="I428" s="6"/>
      <c r="J428" s="6"/>
      <c r="K428" s="57"/>
      <c r="L428" s="57"/>
      <c r="M428" s="57"/>
      <c r="N428" s="56"/>
      <c r="O428" s="56"/>
      <c r="P428" s="56"/>
      <c r="Q428" s="56"/>
      <c r="R428" s="56"/>
      <c r="S428" s="56"/>
      <c r="T428" s="56"/>
      <c r="U428" s="56"/>
      <c r="V428" s="56"/>
      <c r="W428" s="56"/>
      <c r="X428" s="56"/>
      <c r="Y428" s="56"/>
      <c r="Z428" s="56"/>
      <c r="AA428" s="56"/>
      <c r="AB428" s="56"/>
      <c r="AC428" s="56"/>
      <c r="AD428" s="56"/>
      <c r="AE428" s="56"/>
      <c r="AF428" s="56"/>
      <c r="AG428" s="56"/>
      <c r="AH428" s="56"/>
      <c r="AI428" s="58"/>
      <c r="AJ428" s="56"/>
      <c r="AK428" s="56"/>
      <c r="AL428" s="56"/>
      <c r="AM428" s="57"/>
      <c r="AN428" s="57"/>
      <c r="AO428" s="56"/>
      <c r="AP428" s="56"/>
      <c r="AQ428" s="57"/>
      <c r="AR428" s="57"/>
      <c r="AS428" s="57"/>
      <c r="AT428" s="67">
        <f t="shared" ca="1" si="40"/>
        <v>0</v>
      </c>
      <c r="AU428" s="79" t="str">
        <f t="shared" ca="1" si="41"/>
        <v/>
      </c>
      <c r="AV428" s="79" t="str" cm="1">
        <f t="array" aca="1" ref="AV428" ca="1">IFERROR(_xlfn.IFS($AU428="","",$AU428&lt;=15,"0-15",AND($AU428&gt;=16,$AU428&lt;=30),"16-30",AND($AU428&gt;=31,$AU428&lt;=45),"31-45",AND($AU428&gt;=46,$AU428&lt;=60),"46-60",AND($AU428&gt;=61,$AU428&lt;=90),"61-90",AND($AU428&gt;=91),"&gt; 90",AND($AU428&gt;=2000),""),"")</f>
        <v/>
      </c>
      <c r="AW428" s="79" t="str" cm="1">
        <f t="array" aca="1" ref="AW428" ca="1">IFERROR(_xlfn.IFS(OR($M428="",$AM428=""),"",OR($C428="Offered",$C428="Joined"),($AM428-$M428)-$AT428),"")</f>
        <v/>
      </c>
      <c r="AX428" s="79" t="str" cm="1">
        <f t="array" aca="1" ref="AX428" ca="1">IFERROR(_xlfn.IFS(OR($M428="",$AS428=""),"",$C428="Joined",($AS428-$M428)-$AT428),"")</f>
        <v/>
      </c>
      <c r="AY428" s="67" t="str">
        <f>IFERROR(IF(COUNTIFS('Candidate Tracker'!$E:$E,'Positions Tracker'!$B428,'Candidate Tracker'!$C:$C,"Offer Drop")=0,"",COUNTIFS('Candidate Tracker'!$E:$E,'Positions Tracker'!$B428,'Candidate Tracker'!$C:$C,"Offer Drop")),"")</f>
        <v/>
      </c>
      <c r="AZ428" s="80">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0.88111888111888115</v>
      </c>
      <c r="BA428" s="81" t="str">
        <f>IFERROR(IF(COUNTIFS('Candidate Tracker'!$E:$E,'Positions Tracker'!$B428,'Candidate Tracker'!$I:$I,"Female")=0,"",COUNTIFS('Candidate Tracker'!$E:$E,'Positions Tracker'!$B428,'Candidate Tracker'!$I:$I,"Female")),"")</f>
        <v/>
      </c>
      <c r="BB428" s="81" t="str">
        <f>IFERROR(IF(COUNTIFS('Candidate Tracker'!$E:$E,'Positions Tracker'!$B428,'Candidate Tracker'!$I:$I,"male")=0,"",COUNTIFS('Candidate Tracker'!$E:$E,'Positions Tracker'!$B428,'Candidate Tracker'!$I:$I,"male")),"")</f>
        <v/>
      </c>
      <c r="BC428" s="80" t="str">
        <f>IFERROR(IF(COUNTIFS('Candidate Tracker'!$E:$E,'Positions Tracker'!$B428,'Candidate Tracker'!$C:$C,"&lt;&gt;WIP",'Candidate Tracker'!$C:$C,"&lt;&gt;Hold",'Candidate Tracker'!$C:$C,"&lt;&gt;Cancelled",'Candidate Tracker'!$C:$C,"&lt;&gt;Closed")/COUNTIFS('Candidate Tracker'!$E:$E,'Positions Tracker'!$B428)=0,"",COUNTIFS('Candidate Tracker'!$E:$E,'Positions Tracker'!$B428,'Candidate Tracker'!$C:$C,"&lt;&gt;WIP",'Candidate Tracker'!$C:$C,"&lt;&gt;Hold",'Candidate Tracker'!$C:$C,"&lt;&gt;Cancelled",'Candidate Tracker'!$C:$C,"&lt;&gt;Closed")/COUNTIFS('Candidate Tracker'!$E:$E,'Positions Tracker'!$B428)),"")</f>
        <v/>
      </c>
      <c r="BD428" s="67" t="str">
        <f t="shared" si="36"/>
        <v/>
      </c>
      <c r="BE428" s="67" t="str">
        <f t="shared" si="37"/>
        <v/>
      </c>
      <c r="BF428" s="67" t="str">
        <f t="shared" si="38"/>
        <v/>
      </c>
      <c r="BG428" s="67" t="str">
        <f t="shared" si="39"/>
        <v/>
      </c>
    </row>
    <row r="429" spans="1:59">
      <c r="A429" s="55"/>
      <c r="B429" s="56"/>
      <c r="C429" s="56"/>
      <c r="D429" s="56"/>
      <c r="E429" s="56"/>
      <c r="F429" s="56"/>
      <c r="G429" s="56"/>
      <c r="H429" s="56"/>
      <c r="I429" s="6"/>
      <c r="J429" s="6"/>
      <c r="K429" s="57"/>
      <c r="L429" s="57"/>
      <c r="M429" s="57"/>
      <c r="N429" s="56"/>
      <c r="O429" s="56"/>
      <c r="P429" s="56"/>
      <c r="Q429" s="56"/>
      <c r="R429" s="56"/>
      <c r="S429" s="56"/>
      <c r="T429" s="56"/>
      <c r="U429" s="56"/>
      <c r="V429" s="56"/>
      <c r="W429" s="56"/>
      <c r="X429" s="56"/>
      <c r="Y429" s="56"/>
      <c r="Z429" s="56"/>
      <c r="AA429" s="56"/>
      <c r="AB429" s="56"/>
      <c r="AC429" s="56"/>
      <c r="AD429" s="56"/>
      <c r="AE429" s="56"/>
      <c r="AF429" s="56"/>
      <c r="AG429" s="56"/>
      <c r="AH429" s="56"/>
      <c r="AI429" s="58"/>
      <c r="AJ429" s="56"/>
      <c r="AK429" s="56"/>
      <c r="AL429" s="56"/>
      <c r="AM429" s="57"/>
      <c r="AN429" s="57"/>
      <c r="AO429" s="56"/>
      <c r="AP429" s="56"/>
      <c r="AQ429" s="57"/>
      <c r="AR429" s="57"/>
      <c r="AS429" s="57"/>
      <c r="AT429" s="67">
        <f t="shared" ca="1" si="40"/>
        <v>0</v>
      </c>
      <c r="AU429" s="79" t="str">
        <f t="shared" ca="1" si="41"/>
        <v/>
      </c>
      <c r="AV429" s="79" t="str" cm="1">
        <f t="array" aca="1" ref="AV429" ca="1">IFERROR(_xlfn.IFS($AU429="","",$AU429&lt;=15,"0-15",AND($AU429&gt;=16,$AU429&lt;=30),"16-30",AND($AU429&gt;=31,$AU429&lt;=45),"31-45",AND($AU429&gt;=46,$AU429&lt;=60),"46-60",AND($AU429&gt;=61,$AU429&lt;=90),"61-90",AND($AU429&gt;=91),"&gt; 90",AND($AU429&gt;=2000),""),"")</f>
        <v/>
      </c>
      <c r="AW429" s="79" t="str" cm="1">
        <f t="array" aca="1" ref="AW429" ca="1">IFERROR(_xlfn.IFS(OR($M429="",$AM429=""),"",OR($C429="Offered",$C429="Joined"),($AM429-$M429)-$AT429),"")</f>
        <v/>
      </c>
      <c r="AX429" s="79" t="str" cm="1">
        <f t="array" aca="1" ref="AX429" ca="1">IFERROR(_xlfn.IFS(OR($M429="",$AS429=""),"",$C429="Joined",($AS429-$M429)-$AT429),"")</f>
        <v/>
      </c>
      <c r="AY429" s="67" t="str">
        <f>IFERROR(IF(COUNTIFS('Candidate Tracker'!$E:$E,'Positions Tracker'!$B429,'Candidate Tracker'!$C:$C,"Offer Drop")=0,"",COUNTIFS('Candidate Tracker'!$E:$E,'Positions Tracker'!$B429,'Candidate Tracker'!$C:$C,"Offer Drop")),"")</f>
        <v/>
      </c>
      <c r="AZ429" s="80">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0.88111888111888115</v>
      </c>
      <c r="BA429" s="81" t="str">
        <f>IFERROR(IF(COUNTIFS('Candidate Tracker'!$E:$E,'Positions Tracker'!$B429,'Candidate Tracker'!$I:$I,"Female")=0,"",COUNTIFS('Candidate Tracker'!$E:$E,'Positions Tracker'!$B429,'Candidate Tracker'!$I:$I,"Female")),"")</f>
        <v/>
      </c>
      <c r="BB429" s="81" t="str">
        <f>IFERROR(IF(COUNTIFS('Candidate Tracker'!$E:$E,'Positions Tracker'!$B429,'Candidate Tracker'!$I:$I,"male")=0,"",COUNTIFS('Candidate Tracker'!$E:$E,'Positions Tracker'!$B429,'Candidate Tracker'!$I:$I,"male")),"")</f>
        <v/>
      </c>
      <c r="BC429" s="80" t="str">
        <f>IFERROR(IF(COUNTIFS('Candidate Tracker'!$E:$E,'Positions Tracker'!$B429,'Candidate Tracker'!$C:$C,"&lt;&gt;WIP",'Candidate Tracker'!$C:$C,"&lt;&gt;Hold",'Candidate Tracker'!$C:$C,"&lt;&gt;Cancelled",'Candidate Tracker'!$C:$C,"&lt;&gt;Closed")/COUNTIFS('Candidate Tracker'!$E:$E,'Positions Tracker'!$B429)=0,"",COUNTIFS('Candidate Tracker'!$E:$E,'Positions Tracker'!$B429,'Candidate Tracker'!$C:$C,"&lt;&gt;WIP",'Candidate Tracker'!$C:$C,"&lt;&gt;Hold",'Candidate Tracker'!$C:$C,"&lt;&gt;Cancelled",'Candidate Tracker'!$C:$C,"&lt;&gt;Closed")/COUNTIFS('Candidate Tracker'!$E:$E,'Positions Tracker'!$B429)),"")</f>
        <v/>
      </c>
      <c r="BD429" s="67" t="str">
        <f t="shared" si="36"/>
        <v/>
      </c>
      <c r="BE429" s="67" t="str">
        <f t="shared" si="37"/>
        <v/>
      </c>
      <c r="BF429" s="67" t="str">
        <f t="shared" si="38"/>
        <v/>
      </c>
      <c r="BG429" s="67" t="str">
        <f t="shared" si="39"/>
        <v/>
      </c>
    </row>
    <row r="430" spans="1:59">
      <c r="A430" s="55"/>
      <c r="B430" s="56"/>
      <c r="C430" s="56"/>
      <c r="D430" s="56"/>
      <c r="E430" s="56"/>
      <c r="F430" s="56"/>
      <c r="G430" s="56"/>
      <c r="H430" s="56"/>
      <c r="I430" s="6"/>
      <c r="J430" s="6"/>
      <c r="K430" s="57"/>
      <c r="L430" s="57"/>
      <c r="M430" s="57"/>
      <c r="N430" s="56"/>
      <c r="O430" s="56"/>
      <c r="P430" s="56"/>
      <c r="Q430" s="56"/>
      <c r="R430" s="56"/>
      <c r="S430" s="56"/>
      <c r="T430" s="56"/>
      <c r="U430" s="56"/>
      <c r="V430" s="56"/>
      <c r="W430" s="56"/>
      <c r="X430" s="56"/>
      <c r="Y430" s="56"/>
      <c r="Z430" s="56"/>
      <c r="AA430" s="56"/>
      <c r="AB430" s="56"/>
      <c r="AC430" s="56"/>
      <c r="AD430" s="56"/>
      <c r="AE430" s="56"/>
      <c r="AF430" s="56"/>
      <c r="AG430" s="56"/>
      <c r="AH430" s="56"/>
      <c r="AI430" s="58"/>
      <c r="AJ430" s="56"/>
      <c r="AK430" s="56"/>
      <c r="AL430" s="56"/>
      <c r="AM430" s="57"/>
      <c r="AN430" s="57"/>
      <c r="AO430" s="56"/>
      <c r="AP430" s="56"/>
      <c r="AQ430" s="57"/>
      <c r="AR430" s="57"/>
      <c r="AS430" s="57"/>
      <c r="AT430" s="67">
        <f t="shared" ca="1" si="40"/>
        <v>0</v>
      </c>
      <c r="AU430" s="79" t="str">
        <f t="shared" ca="1" si="41"/>
        <v/>
      </c>
      <c r="AV430" s="79" t="str" cm="1">
        <f t="array" aca="1" ref="AV430" ca="1">IFERROR(_xlfn.IFS($AU430="","",$AU430&lt;=15,"0-15",AND($AU430&gt;=16,$AU430&lt;=30),"16-30",AND($AU430&gt;=31,$AU430&lt;=45),"31-45",AND($AU430&gt;=46,$AU430&lt;=60),"46-60",AND($AU430&gt;=61,$AU430&lt;=90),"61-90",AND($AU430&gt;=91),"&gt; 90",AND($AU430&gt;=2000),""),"")</f>
        <v/>
      </c>
      <c r="AW430" s="79" t="str" cm="1">
        <f t="array" aca="1" ref="AW430" ca="1">IFERROR(_xlfn.IFS(OR($M430="",$AM430=""),"",OR($C430="Offered",$C430="Joined"),($AM430-$M430)-$AT430),"")</f>
        <v/>
      </c>
      <c r="AX430" s="79" t="str" cm="1">
        <f t="array" aca="1" ref="AX430" ca="1">IFERROR(_xlfn.IFS(OR($M430="",$AS430=""),"",$C430="Joined",($AS430-$M430)-$AT430),"")</f>
        <v/>
      </c>
      <c r="AY430" s="67" t="str">
        <f>IFERROR(IF(COUNTIFS('Candidate Tracker'!$E:$E,'Positions Tracker'!$B430,'Candidate Tracker'!$C:$C,"Offer Drop")=0,"",COUNTIFS('Candidate Tracker'!$E:$E,'Positions Tracker'!$B430,'Candidate Tracker'!$C:$C,"Offer Drop")),"")</f>
        <v/>
      </c>
      <c r="AZ430" s="80">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0.88111888111888115</v>
      </c>
      <c r="BA430" s="81" t="str">
        <f>IFERROR(IF(COUNTIFS('Candidate Tracker'!$E:$E,'Positions Tracker'!$B430,'Candidate Tracker'!$I:$I,"Female")=0,"",COUNTIFS('Candidate Tracker'!$E:$E,'Positions Tracker'!$B430,'Candidate Tracker'!$I:$I,"Female")),"")</f>
        <v/>
      </c>
      <c r="BB430" s="81" t="str">
        <f>IFERROR(IF(COUNTIFS('Candidate Tracker'!$E:$E,'Positions Tracker'!$B430,'Candidate Tracker'!$I:$I,"male")=0,"",COUNTIFS('Candidate Tracker'!$E:$E,'Positions Tracker'!$B430,'Candidate Tracker'!$I:$I,"male")),"")</f>
        <v/>
      </c>
      <c r="BC430" s="80" t="str">
        <f>IFERROR(IF(COUNTIFS('Candidate Tracker'!$E:$E,'Positions Tracker'!$B430,'Candidate Tracker'!$C:$C,"&lt;&gt;WIP",'Candidate Tracker'!$C:$C,"&lt;&gt;Hold",'Candidate Tracker'!$C:$C,"&lt;&gt;Cancelled",'Candidate Tracker'!$C:$C,"&lt;&gt;Closed")/COUNTIFS('Candidate Tracker'!$E:$E,'Positions Tracker'!$B430)=0,"",COUNTIFS('Candidate Tracker'!$E:$E,'Positions Tracker'!$B430,'Candidate Tracker'!$C:$C,"&lt;&gt;WIP",'Candidate Tracker'!$C:$C,"&lt;&gt;Hold",'Candidate Tracker'!$C:$C,"&lt;&gt;Cancelled",'Candidate Tracker'!$C:$C,"&lt;&gt;Closed")/COUNTIFS('Candidate Tracker'!$E:$E,'Positions Tracker'!$B430)),"")</f>
        <v/>
      </c>
      <c r="BD430" s="67" t="str">
        <f t="shared" si="36"/>
        <v/>
      </c>
      <c r="BE430" s="67" t="str">
        <f t="shared" si="37"/>
        <v/>
      </c>
      <c r="BF430" s="67" t="str">
        <f t="shared" si="38"/>
        <v/>
      </c>
      <c r="BG430" s="67" t="str">
        <f t="shared" si="39"/>
        <v/>
      </c>
    </row>
    <row r="431" spans="1:59">
      <c r="A431" s="55"/>
      <c r="B431" s="56"/>
      <c r="C431" s="56"/>
      <c r="D431" s="56"/>
      <c r="E431" s="56"/>
      <c r="F431" s="56"/>
      <c r="G431" s="56"/>
      <c r="H431" s="56"/>
      <c r="I431" s="6"/>
      <c r="J431" s="6"/>
      <c r="K431" s="57"/>
      <c r="L431" s="57"/>
      <c r="M431" s="57"/>
      <c r="N431" s="56"/>
      <c r="O431" s="56"/>
      <c r="P431" s="56"/>
      <c r="Q431" s="56"/>
      <c r="R431" s="56"/>
      <c r="S431" s="56"/>
      <c r="T431" s="56"/>
      <c r="U431" s="56"/>
      <c r="V431" s="56"/>
      <c r="W431" s="56"/>
      <c r="X431" s="56"/>
      <c r="Y431" s="56"/>
      <c r="Z431" s="56"/>
      <c r="AA431" s="56"/>
      <c r="AB431" s="56"/>
      <c r="AC431" s="56"/>
      <c r="AD431" s="56"/>
      <c r="AE431" s="56"/>
      <c r="AF431" s="56"/>
      <c r="AG431" s="56"/>
      <c r="AH431" s="56"/>
      <c r="AI431" s="58"/>
      <c r="AJ431" s="56"/>
      <c r="AK431" s="56"/>
      <c r="AL431" s="56"/>
      <c r="AM431" s="57"/>
      <c r="AN431" s="57"/>
      <c r="AO431" s="56"/>
      <c r="AP431" s="56"/>
      <c r="AQ431" s="57"/>
      <c r="AR431" s="57"/>
      <c r="AS431" s="57"/>
      <c r="AT431" s="67">
        <f t="shared" ca="1" si="40"/>
        <v>0</v>
      </c>
      <c r="AU431" s="79" t="str">
        <f t="shared" ca="1" si="41"/>
        <v/>
      </c>
      <c r="AV431" s="79" t="str" cm="1">
        <f t="array" aca="1" ref="AV431" ca="1">IFERROR(_xlfn.IFS($AU431="","",$AU431&lt;=15,"0-15",AND($AU431&gt;=16,$AU431&lt;=30),"16-30",AND($AU431&gt;=31,$AU431&lt;=45),"31-45",AND($AU431&gt;=46,$AU431&lt;=60),"46-60",AND($AU431&gt;=61,$AU431&lt;=90),"61-90",AND($AU431&gt;=91),"&gt; 90",AND($AU431&gt;=2000),""),"")</f>
        <v/>
      </c>
      <c r="AW431" s="79" t="str" cm="1">
        <f t="array" aca="1" ref="AW431" ca="1">IFERROR(_xlfn.IFS(OR($M431="",$AM431=""),"",OR($C431="Offered",$C431="Joined"),($AM431-$M431)-$AT431),"")</f>
        <v/>
      </c>
      <c r="AX431" s="79" t="str" cm="1">
        <f t="array" aca="1" ref="AX431" ca="1">IFERROR(_xlfn.IFS(OR($M431="",$AS431=""),"",$C431="Joined",($AS431-$M431)-$AT431),"")</f>
        <v/>
      </c>
      <c r="AY431" s="67" t="str">
        <f>IFERROR(IF(COUNTIFS('Candidate Tracker'!$E:$E,'Positions Tracker'!$B431,'Candidate Tracker'!$C:$C,"Offer Drop")=0,"",COUNTIFS('Candidate Tracker'!$E:$E,'Positions Tracker'!$B431,'Candidate Tracker'!$C:$C,"Offer Drop")),"")</f>
        <v/>
      </c>
      <c r="AZ431" s="80">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0.88111888111888115</v>
      </c>
      <c r="BA431" s="81" t="str">
        <f>IFERROR(IF(COUNTIFS('Candidate Tracker'!$E:$E,'Positions Tracker'!$B431,'Candidate Tracker'!$I:$I,"Female")=0,"",COUNTIFS('Candidate Tracker'!$E:$E,'Positions Tracker'!$B431,'Candidate Tracker'!$I:$I,"Female")),"")</f>
        <v/>
      </c>
      <c r="BB431" s="81" t="str">
        <f>IFERROR(IF(COUNTIFS('Candidate Tracker'!$E:$E,'Positions Tracker'!$B431,'Candidate Tracker'!$I:$I,"male")=0,"",COUNTIFS('Candidate Tracker'!$E:$E,'Positions Tracker'!$B431,'Candidate Tracker'!$I:$I,"male")),"")</f>
        <v/>
      </c>
      <c r="BC431" s="80" t="str">
        <f>IFERROR(IF(COUNTIFS('Candidate Tracker'!$E:$E,'Positions Tracker'!$B431,'Candidate Tracker'!$C:$C,"&lt;&gt;WIP",'Candidate Tracker'!$C:$C,"&lt;&gt;Hold",'Candidate Tracker'!$C:$C,"&lt;&gt;Cancelled",'Candidate Tracker'!$C:$C,"&lt;&gt;Closed")/COUNTIFS('Candidate Tracker'!$E:$E,'Positions Tracker'!$B431)=0,"",COUNTIFS('Candidate Tracker'!$E:$E,'Positions Tracker'!$B431,'Candidate Tracker'!$C:$C,"&lt;&gt;WIP",'Candidate Tracker'!$C:$C,"&lt;&gt;Hold",'Candidate Tracker'!$C:$C,"&lt;&gt;Cancelled",'Candidate Tracker'!$C:$C,"&lt;&gt;Closed")/COUNTIFS('Candidate Tracker'!$E:$E,'Positions Tracker'!$B431)),"")</f>
        <v/>
      </c>
      <c r="BD431" s="67" t="str">
        <f t="shared" si="36"/>
        <v/>
      </c>
      <c r="BE431" s="67" t="str">
        <f t="shared" si="37"/>
        <v/>
      </c>
      <c r="BF431" s="67" t="str">
        <f t="shared" si="38"/>
        <v/>
      </c>
      <c r="BG431" s="67" t="str">
        <f t="shared" si="39"/>
        <v/>
      </c>
    </row>
    <row r="432" spans="1:59">
      <c r="A432" s="55"/>
      <c r="B432" s="56"/>
      <c r="C432" s="56"/>
      <c r="D432" s="56"/>
      <c r="E432" s="56"/>
      <c r="F432" s="56"/>
      <c r="G432" s="56"/>
      <c r="H432" s="56"/>
      <c r="I432" s="6"/>
      <c r="J432" s="6"/>
      <c r="K432" s="57"/>
      <c r="L432" s="57"/>
      <c r="M432" s="57"/>
      <c r="N432" s="56"/>
      <c r="O432" s="56"/>
      <c r="P432" s="56"/>
      <c r="Q432" s="56"/>
      <c r="R432" s="56"/>
      <c r="S432" s="56"/>
      <c r="T432" s="56"/>
      <c r="U432" s="56"/>
      <c r="V432" s="56"/>
      <c r="W432" s="56"/>
      <c r="X432" s="56"/>
      <c r="Y432" s="56"/>
      <c r="Z432" s="56"/>
      <c r="AA432" s="56"/>
      <c r="AB432" s="56"/>
      <c r="AC432" s="56"/>
      <c r="AD432" s="56"/>
      <c r="AE432" s="56"/>
      <c r="AF432" s="56"/>
      <c r="AG432" s="56"/>
      <c r="AH432" s="56"/>
      <c r="AI432" s="58"/>
      <c r="AJ432" s="56"/>
      <c r="AK432" s="56"/>
      <c r="AL432" s="56"/>
      <c r="AM432" s="57"/>
      <c r="AN432" s="57"/>
      <c r="AO432" s="56"/>
      <c r="AP432" s="56"/>
      <c r="AQ432" s="57"/>
      <c r="AR432" s="57"/>
      <c r="AS432" s="57"/>
      <c r="AT432" s="67">
        <f t="shared" ca="1" si="40"/>
        <v>0</v>
      </c>
      <c r="AU432" s="79" t="str">
        <f t="shared" ca="1" si="41"/>
        <v/>
      </c>
      <c r="AV432" s="79" t="str" cm="1">
        <f t="array" aca="1" ref="AV432" ca="1">IFERROR(_xlfn.IFS($AU432="","",$AU432&lt;=15,"0-15",AND($AU432&gt;=16,$AU432&lt;=30),"16-30",AND($AU432&gt;=31,$AU432&lt;=45),"31-45",AND($AU432&gt;=46,$AU432&lt;=60),"46-60",AND($AU432&gt;=61,$AU432&lt;=90),"61-90",AND($AU432&gt;=91),"&gt; 90",AND($AU432&gt;=2000),""),"")</f>
        <v/>
      </c>
      <c r="AW432" s="79" t="str" cm="1">
        <f t="array" aca="1" ref="AW432" ca="1">IFERROR(_xlfn.IFS(OR($M432="",$AM432=""),"",OR($C432="Offered",$C432="Joined"),($AM432-$M432)-$AT432),"")</f>
        <v/>
      </c>
      <c r="AX432" s="79" t="str" cm="1">
        <f t="array" aca="1" ref="AX432" ca="1">IFERROR(_xlfn.IFS(OR($M432="",$AS432=""),"",$C432="Joined",($AS432-$M432)-$AT432),"")</f>
        <v/>
      </c>
      <c r="AY432" s="67" t="str">
        <f>IFERROR(IF(COUNTIFS('Candidate Tracker'!$E:$E,'Positions Tracker'!$B432,'Candidate Tracker'!$C:$C,"Offer Drop")=0,"",COUNTIFS('Candidate Tracker'!$E:$E,'Positions Tracker'!$B432,'Candidate Tracker'!$C:$C,"Offer Drop")),"")</f>
        <v/>
      </c>
      <c r="AZ432" s="80">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0.88111888111888115</v>
      </c>
      <c r="BA432" s="81" t="str">
        <f>IFERROR(IF(COUNTIFS('Candidate Tracker'!$E:$E,'Positions Tracker'!$B432,'Candidate Tracker'!$I:$I,"Female")=0,"",COUNTIFS('Candidate Tracker'!$E:$E,'Positions Tracker'!$B432,'Candidate Tracker'!$I:$I,"Female")),"")</f>
        <v/>
      </c>
      <c r="BB432" s="81" t="str">
        <f>IFERROR(IF(COUNTIFS('Candidate Tracker'!$E:$E,'Positions Tracker'!$B432,'Candidate Tracker'!$I:$I,"male")=0,"",COUNTIFS('Candidate Tracker'!$E:$E,'Positions Tracker'!$B432,'Candidate Tracker'!$I:$I,"male")),"")</f>
        <v/>
      </c>
      <c r="BC432" s="80" t="str">
        <f>IFERROR(IF(COUNTIFS('Candidate Tracker'!$E:$E,'Positions Tracker'!$B432,'Candidate Tracker'!$C:$C,"&lt;&gt;WIP",'Candidate Tracker'!$C:$C,"&lt;&gt;Hold",'Candidate Tracker'!$C:$C,"&lt;&gt;Cancelled",'Candidate Tracker'!$C:$C,"&lt;&gt;Closed")/COUNTIFS('Candidate Tracker'!$E:$E,'Positions Tracker'!$B432)=0,"",COUNTIFS('Candidate Tracker'!$E:$E,'Positions Tracker'!$B432,'Candidate Tracker'!$C:$C,"&lt;&gt;WIP",'Candidate Tracker'!$C:$C,"&lt;&gt;Hold",'Candidate Tracker'!$C:$C,"&lt;&gt;Cancelled",'Candidate Tracker'!$C:$C,"&lt;&gt;Closed")/COUNTIFS('Candidate Tracker'!$E:$E,'Positions Tracker'!$B432)),"")</f>
        <v/>
      </c>
      <c r="BD432" s="67" t="str">
        <f t="shared" si="36"/>
        <v/>
      </c>
      <c r="BE432" s="67" t="str">
        <f t="shared" si="37"/>
        <v/>
      </c>
      <c r="BF432" s="67" t="str">
        <f t="shared" si="38"/>
        <v/>
      </c>
      <c r="BG432" s="67" t="str">
        <f t="shared" si="39"/>
        <v/>
      </c>
    </row>
    <row r="433" spans="1:59">
      <c r="A433" s="55"/>
      <c r="B433" s="56"/>
      <c r="C433" s="56"/>
      <c r="D433" s="56"/>
      <c r="E433" s="56"/>
      <c r="F433" s="56"/>
      <c r="G433" s="56"/>
      <c r="H433" s="56"/>
      <c r="I433" s="6"/>
      <c r="J433" s="6"/>
      <c r="K433" s="57"/>
      <c r="L433" s="57"/>
      <c r="M433" s="57"/>
      <c r="N433" s="56"/>
      <c r="O433" s="56"/>
      <c r="P433" s="56"/>
      <c r="Q433" s="56"/>
      <c r="R433" s="56"/>
      <c r="S433" s="56"/>
      <c r="T433" s="56"/>
      <c r="U433" s="56"/>
      <c r="V433" s="56"/>
      <c r="W433" s="56"/>
      <c r="X433" s="56"/>
      <c r="Y433" s="56"/>
      <c r="Z433" s="56"/>
      <c r="AA433" s="56"/>
      <c r="AB433" s="56"/>
      <c r="AC433" s="56"/>
      <c r="AD433" s="56"/>
      <c r="AE433" s="56"/>
      <c r="AF433" s="56"/>
      <c r="AG433" s="56"/>
      <c r="AH433" s="56"/>
      <c r="AI433" s="58"/>
      <c r="AJ433" s="56"/>
      <c r="AK433" s="56"/>
      <c r="AL433" s="56"/>
      <c r="AM433" s="57"/>
      <c r="AN433" s="57"/>
      <c r="AO433" s="56"/>
      <c r="AP433" s="56"/>
      <c r="AQ433" s="57"/>
      <c r="AR433" s="57"/>
      <c r="AS433" s="57"/>
      <c r="AT433" s="67">
        <f t="shared" ca="1" si="40"/>
        <v>0</v>
      </c>
      <c r="AU433" s="79" t="str">
        <f t="shared" ca="1" si="41"/>
        <v/>
      </c>
      <c r="AV433" s="79" t="str" cm="1">
        <f t="array" aca="1" ref="AV433" ca="1">IFERROR(_xlfn.IFS($AU433="","",$AU433&lt;=15,"0-15",AND($AU433&gt;=16,$AU433&lt;=30),"16-30",AND($AU433&gt;=31,$AU433&lt;=45),"31-45",AND($AU433&gt;=46,$AU433&lt;=60),"46-60",AND($AU433&gt;=61,$AU433&lt;=90),"61-90",AND($AU433&gt;=91),"&gt; 90",AND($AU433&gt;=2000),""),"")</f>
        <v/>
      </c>
      <c r="AW433" s="79" t="str" cm="1">
        <f t="array" aca="1" ref="AW433" ca="1">IFERROR(_xlfn.IFS(OR($M433="",$AM433=""),"",OR($C433="Offered",$C433="Joined"),($AM433-$M433)-$AT433),"")</f>
        <v/>
      </c>
      <c r="AX433" s="79" t="str" cm="1">
        <f t="array" aca="1" ref="AX433" ca="1">IFERROR(_xlfn.IFS(OR($M433="",$AS433=""),"",$C433="Joined",($AS433-$M433)-$AT433),"")</f>
        <v/>
      </c>
      <c r="AY433" s="67" t="str">
        <f>IFERROR(IF(COUNTIFS('Candidate Tracker'!$E:$E,'Positions Tracker'!$B433,'Candidate Tracker'!$C:$C,"Offer Drop")=0,"",COUNTIFS('Candidate Tracker'!$E:$E,'Positions Tracker'!$B433,'Candidate Tracker'!$C:$C,"Offer Drop")),"")</f>
        <v/>
      </c>
      <c r="AZ433" s="80">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0.88111888111888115</v>
      </c>
      <c r="BA433" s="81" t="str">
        <f>IFERROR(IF(COUNTIFS('Candidate Tracker'!$E:$E,'Positions Tracker'!$B433,'Candidate Tracker'!$I:$I,"Female")=0,"",COUNTIFS('Candidate Tracker'!$E:$E,'Positions Tracker'!$B433,'Candidate Tracker'!$I:$I,"Female")),"")</f>
        <v/>
      </c>
      <c r="BB433" s="81" t="str">
        <f>IFERROR(IF(COUNTIFS('Candidate Tracker'!$E:$E,'Positions Tracker'!$B433,'Candidate Tracker'!$I:$I,"male")=0,"",COUNTIFS('Candidate Tracker'!$E:$E,'Positions Tracker'!$B433,'Candidate Tracker'!$I:$I,"male")),"")</f>
        <v/>
      </c>
      <c r="BC433" s="80" t="str">
        <f>IFERROR(IF(COUNTIFS('Candidate Tracker'!$E:$E,'Positions Tracker'!$B433,'Candidate Tracker'!$C:$C,"&lt;&gt;WIP",'Candidate Tracker'!$C:$C,"&lt;&gt;Hold",'Candidate Tracker'!$C:$C,"&lt;&gt;Cancelled",'Candidate Tracker'!$C:$C,"&lt;&gt;Closed")/COUNTIFS('Candidate Tracker'!$E:$E,'Positions Tracker'!$B433)=0,"",COUNTIFS('Candidate Tracker'!$E:$E,'Positions Tracker'!$B433,'Candidate Tracker'!$C:$C,"&lt;&gt;WIP",'Candidate Tracker'!$C:$C,"&lt;&gt;Hold",'Candidate Tracker'!$C:$C,"&lt;&gt;Cancelled",'Candidate Tracker'!$C:$C,"&lt;&gt;Closed")/COUNTIFS('Candidate Tracker'!$E:$E,'Positions Tracker'!$B433)),"")</f>
        <v/>
      </c>
      <c r="BD433" s="67" t="str">
        <f t="shared" si="36"/>
        <v/>
      </c>
      <c r="BE433" s="67" t="str">
        <f t="shared" si="37"/>
        <v/>
      </c>
      <c r="BF433" s="67" t="str">
        <f t="shared" si="38"/>
        <v/>
      </c>
      <c r="BG433" s="67" t="str">
        <f t="shared" si="39"/>
        <v/>
      </c>
    </row>
    <row r="434" spans="1:59">
      <c r="A434" s="55"/>
      <c r="B434" s="56"/>
      <c r="C434" s="56"/>
      <c r="D434" s="56"/>
      <c r="E434" s="56"/>
      <c r="F434" s="56"/>
      <c r="G434" s="56"/>
      <c r="H434" s="56"/>
      <c r="I434" s="6"/>
      <c r="J434" s="6"/>
      <c r="K434" s="57"/>
      <c r="L434" s="57"/>
      <c r="M434" s="57"/>
      <c r="N434" s="56"/>
      <c r="O434" s="56"/>
      <c r="P434" s="56"/>
      <c r="Q434" s="56"/>
      <c r="R434" s="56"/>
      <c r="S434" s="56"/>
      <c r="T434" s="56"/>
      <c r="U434" s="56"/>
      <c r="V434" s="56"/>
      <c r="W434" s="56"/>
      <c r="X434" s="56"/>
      <c r="Y434" s="56"/>
      <c r="Z434" s="56"/>
      <c r="AA434" s="56"/>
      <c r="AB434" s="56"/>
      <c r="AC434" s="56"/>
      <c r="AD434" s="56"/>
      <c r="AE434" s="56"/>
      <c r="AF434" s="56"/>
      <c r="AG434" s="56"/>
      <c r="AH434" s="56"/>
      <c r="AI434" s="58"/>
      <c r="AJ434" s="56"/>
      <c r="AK434" s="56"/>
      <c r="AL434" s="56"/>
      <c r="AM434" s="57"/>
      <c r="AN434" s="57"/>
      <c r="AO434" s="56"/>
      <c r="AP434" s="56"/>
      <c r="AQ434" s="57"/>
      <c r="AR434" s="57"/>
      <c r="AS434" s="57"/>
      <c r="AT434" s="67">
        <f t="shared" ca="1" si="40"/>
        <v>0</v>
      </c>
      <c r="AU434" s="79" t="str">
        <f t="shared" ca="1" si="41"/>
        <v/>
      </c>
      <c r="AV434" s="79" t="str" cm="1">
        <f t="array" aca="1" ref="AV434" ca="1">IFERROR(_xlfn.IFS($AU434="","",$AU434&lt;=15,"0-15",AND($AU434&gt;=16,$AU434&lt;=30),"16-30",AND($AU434&gt;=31,$AU434&lt;=45),"31-45",AND($AU434&gt;=46,$AU434&lt;=60),"46-60",AND($AU434&gt;=61,$AU434&lt;=90),"61-90",AND($AU434&gt;=91),"&gt; 90",AND($AU434&gt;=2000),""),"")</f>
        <v/>
      </c>
      <c r="AW434" s="79" t="str" cm="1">
        <f t="array" aca="1" ref="AW434" ca="1">IFERROR(_xlfn.IFS(OR($M434="",$AM434=""),"",OR($C434="Offered",$C434="Joined"),($AM434-$M434)-$AT434),"")</f>
        <v/>
      </c>
      <c r="AX434" s="79" t="str" cm="1">
        <f t="array" aca="1" ref="AX434" ca="1">IFERROR(_xlfn.IFS(OR($M434="",$AS434=""),"",$C434="Joined",($AS434-$M434)-$AT434),"")</f>
        <v/>
      </c>
      <c r="AY434" s="67" t="str">
        <f>IFERROR(IF(COUNTIFS('Candidate Tracker'!$E:$E,'Positions Tracker'!$B434,'Candidate Tracker'!$C:$C,"Offer Drop")=0,"",COUNTIFS('Candidate Tracker'!$E:$E,'Positions Tracker'!$B434,'Candidate Tracker'!$C:$C,"Offer Drop")),"")</f>
        <v/>
      </c>
      <c r="AZ434" s="80">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0.88111888111888115</v>
      </c>
      <c r="BA434" s="81" t="str">
        <f>IFERROR(IF(COUNTIFS('Candidate Tracker'!$E:$E,'Positions Tracker'!$B434,'Candidate Tracker'!$I:$I,"Female")=0,"",COUNTIFS('Candidate Tracker'!$E:$E,'Positions Tracker'!$B434,'Candidate Tracker'!$I:$I,"Female")),"")</f>
        <v/>
      </c>
      <c r="BB434" s="81" t="str">
        <f>IFERROR(IF(COUNTIFS('Candidate Tracker'!$E:$E,'Positions Tracker'!$B434,'Candidate Tracker'!$I:$I,"male")=0,"",COUNTIFS('Candidate Tracker'!$E:$E,'Positions Tracker'!$B434,'Candidate Tracker'!$I:$I,"male")),"")</f>
        <v/>
      </c>
      <c r="BC434" s="80" t="str">
        <f>IFERROR(IF(COUNTIFS('Candidate Tracker'!$E:$E,'Positions Tracker'!$B434,'Candidate Tracker'!$C:$C,"&lt;&gt;WIP",'Candidate Tracker'!$C:$C,"&lt;&gt;Hold",'Candidate Tracker'!$C:$C,"&lt;&gt;Cancelled",'Candidate Tracker'!$C:$C,"&lt;&gt;Closed")/COUNTIFS('Candidate Tracker'!$E:$E,'Positions Tracker'!$B434)=0,"",COUNTIFS('Candidate Tracker'!$E:$E,'Positions Tracker'!$B434,'Candidate Tracker'!$C:$C,"&lt;&gt;WIP",'Candidate Tracker'!$C:$C,"&lt;&gt;Hold",'Candidate Tracker'!$C:$C,"&lt;&gt;Cancelled",'Candidate Tracker'!$C:$C,"&lt;&gt;Closed")/COUNTIFS('Candidate Tracker'!$E:$E,'Positions Tracker'!$B434)),"")</f>
        <v/>
      </c>
      <c r="BD434" s="67" t="str">
        <f t="shared" si="36"/>
        <v/>
      </c>
      <c r="BE434" s="67" t="str">
        <f t="shared" si="37"/>
        <v/>
      </c>
      <c r="BF434" s="67" t="str">
        <f t="shared" si="38"/>
        <v/>
      </c>
      <c r="BG434" s="67" t="str">
        <f t="shared" si="39"/>
        <v/>
      </c>
    </row>
    <row r="435" spans="1:59">
      <c r="A435" s="55"/>
      <c r="B435" s="56"/>
      <c r="C435" s="56"/>
      <c r="D435" s="56"/>
      <c r="E435" s="56"/>
      <c r="F435" s="56"/>
      <c r="G435" s="56"/>
      <c r="H435" s="56"/>
      <c r="I435" s="6"/>
      <c r="J435" s="6"/>
      <c r="K435" s="57"/>
      <c r="L435" s="57"/>
      <c r="M435" s="57"/>
      <c r="N435" s="56"/>
      <c r="O435" s="56"/>
      <c r="P435" s="56"/>
      <c r="Q435" s="56"/>
      <c r="R435" s="56"/>
      <c r="S435" s="56"/>
      <c r="T435" s="56"/>
      <c r="U435" s="56"/>
      <c r="V435" s="56"/>
      <c r="W435" s="56"/>
      <c r="X435" s="56"/>
      <c r="Y435" s="56"/>
      <c r="Z435" s="56"/>
      <c r="AA435" s="56"/>
      <c r="AB435" s="56"/>
      <c r="AC435" s="56"/>
      <c r="AD435" s="56"/>
      <c r="AE435" s="56"/>
      <c r="AF435" s="56"/>
      <c r="AG435" s="56"/>
      <c r="AH435" s="56"/>
      <c r="AI435" s="58"/>
      <c r="AJ435" s="56"/>
      <c r="AK435" s="56"/>
      <c r="AL435" s="56"/>
      <c r="AM435" s="57"/>
      <c r="AN435" s="57"/>
      <c r="AO435" s="56"/>
      <c r="AP435" s="56"/>
      <c r="AQ435" s="57"/>
      <c r="AR435" s="57"/>
      <c r="AS435" s="57"/>
      <c r="AT435" s="67">
        <f t="shared" ca="1" si="40"/>
        <v>0</v>
      </c>
      <c r="AU435" s="79" t="str">
        <f t="shared" ca="1" si="41"/>
        <v/>
      </c>
      <c r="AV435" s="79" t="str" cm="1">
        <f t="array" aca="1" ref="AV435" ca="1">IFERROR(_xlfn.IFS($AU435="","",$AU435&lt;=15,"0-15",AND($AU435&gt;=16,$AU435&lt;=30),"16-30",AND($AU435&gt;=31,$AU435&lt;=45),"31-45",AND($AU435&gt;=46,$AU435&lt;=60),"46-60",AND($AU435&gt;=61,$AU435&lt;=90),"61-90",AND($AU435&gt;=91),"&gt; 90",AND($AU435&gt;=2000),""),"")</f>
        <v/>
      </c>
      <c r="AW435" s="79" t="str" cm="1">
        <f t="array" aca="1" ref="AW435" ca="1">IFERROR(_xlfn.IFS(OR($M435="",$AM435=""),"",OR($C435="Offered",$C435="Joined"),($AM435-$M435)-$AT435),"")</f>
        <v/>
      </c>
      <c r="AX435" s="79" t="str" cm="1">
        <f t="array" aca="1" ref="AX435" ca="1">IFERROR(_xlfn.IFS(OR($M435="",$AS435=""),"",$C435="Joined",($AS435-$M435)-$AT435),"")</f>
        <v/>
      </c>
      <c r="AY435" s="67" t="str">
        <f>IFERROR(IF(COUNTIFS('Candidate Tracker'!$E:$E,'Positions Tracker'!$B435,'Candidate Tracker'!$C:$C,"Offer Drop")=0,"",COUNTIFS('Candidate Tracker'!$E:$E,'Positions Tracker'!$B435,'Candidate Tracker'!$C:$C,"Offer Drop")),"")</f>
        <v/>
      </c>
      <c r="AZ435" s="80">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0.88111888111888115</v>
      </c>
      <c r="BA435" s="81" t="str">
        <f>IFERROR(IF(COUNTIFS('Candidate Tracker'!$E:$E,'Positions Tracker'!$B435,'Candidate Tracker'!$I:$I,"Female")=0,"",COUNTIFS('Candidate Tracker'!$E:$E,'Positions Tracker'!$B435,'Candidate Tracker'!$I:$I,"Female")),"")</f>
        <v/>
      </c>
      <c r="BB435" s="81" t="str">
        <f>IFERROR(IF(COUNTIFS('Candidate Tracker'!$E:$E,'Positions Tracker'!$B435,'Candidate Tracker'!$I:$I,"male")=0,"",COUNTIFS('Candidate Tracker'!$E:$E,'Positions Tracker'!$B435,'Candidate Tracker'!$I:$I,"male")),"")</f>
        <v/>
      </c>
      <c r="BC435" s="80" t="str">
        <f>IFERROR(IF(COUNTIFS('Candidate Tracker'!$E:$E,'Positions Tracker'!$B435,'Candidate Tracker'!$C:$C,"&lt;&gt;WIP",'Candidate Tracker'!$C:$C,"&lt;&gt;Hold",'Candidate Tracker'!$C:$C,"&lt;&gt;Cancelled",'Candidate Tracker'!$C:$C,"&lt;&gt;Closed")/COUNTIFS('Candidate Tracker'!$E:$E,'Positions Tracker'!$B435)=0,"",COUNTIFS('Candidate Tracker'!$E:$E,'Positions Tracker'!$B435,'Candidate Tracker'!$C:$C,"&lt;&gt;WIP",'Candidate Tracker'!$C:$C,"&lt;&gt;Hold",'Candidate Tracker'!$C:$C,"&lt;&gt;Cancelled",'Candidate Tracker'!$C:$C,"&lt;&gt;Closed")/COUNTIFS('Candidate Tracker'!$E:$E,'Positions Tracker'!$B435)),"")</f>
        <v/>
      </c>
      <c r="BD435" s="67" t="str">
        <f t="shared" si="36"/>
        <v/>
      </c>
      <c r="BE435" s="67" t="str">
        <f t="shared" si="37"/>
        <v/>
      </c>
      <c r="BF435" s="67" t="str">
        <f t="shared" si="38"/>
        <v/>
      </c>
      <c r="BG435" s="67" t="str">
        <f t="shared" si="39"/>
        <v/>
      </c>
    </row>
    <row r="436" spans="1:59">
      <c r="A436" s="55"/>
      <c r="B436" s="56"/>
      <c r="C436" s="56"/>
      <c r="D436" s="56"/>
      <c r="E436" s="56"/>
      <c r="F436" s="56"/>
      <c r="G436" s="56"/>
      <c r="H436" s="56"/>
      <c r="I436" s="6"/>
      <c r="J436" s="6"/>
      <c r="K436" s="57"/>
      <c r="L436" s="57"/>
      <c r="M436" s="57"/>
      <c r="N436" s="56"/>
      <c r="O436" s="56"/>
      <c r="P436" s="56"/>
      <c r="Q436" s="56"/>
      <c r="R436" s="56"/>
      <c r="S436" s="56"/>
      <c r="T436" s="56"/>
      <c r="U436" s="56"/>
      <c r="V436" s="56"/>
      <c r="W436" s="56"/>
      <c r="X436" s="56"/>
      <c r="Y436" s="56"/>
      <c r="Z436" s="56"/>
      <c r="AA436" s="56"/>
      <c r="AB436" s="56"/>
      <c r="AC436" s="56"/>
      <c r="AD436" s="56"/>
      <c r="AE436" s="56"/>
      <c r="AF436" s="56"/>
      <c r="AG436" s="56"/>
      <c r="AH436" s="56"/>
      <c r="AI436" s="58"/>
      <c r="AJ436" s="56"/>
      <c r="AK436" s="56"/>
      <c r="AL436" s="56"/>
      <c r="AM436" s="57"/>
      <c r="AN436" s="57"/>
      <c r="AO436" s="56"/>
      <c r="AP436" s="56"/>
      <c r="AQ436" s="57"/>
      <c r="AR436" s="57"/>
      <c r="AS436" s="57"/>
      <c r="AT436" s="67">
        <f t="shared" ca="1" si="40"/>
        <v>0</v>
      </c>
      <c r="AU436" s="79" t="str">
        <f t="shared" ca="1" si="41"/>
        <v/>
      </c>
      <c r="AV436" s="79" t="str" cm="1">
        <f t="array" aca="1" ref="AV436" ca="1">IFERROR(_xlfn.IFS($AU436="","",$AU436&lt;=15,"0-15",AND($AU436&gt;=16,$AU436&lt;=30),"16-30",AND($AU436&gt;=31,$AU436&lt;=45),"31-45",AND($AU436&gt;=46,$AU436&lt;=60),"46-60",AND($AU436&gt;=61,$AU436&lt;=90),"61-90",AND($AU436&gt;=91),"&gt; 90",AND($AU436&gt;=2000),""),"")</f>
        <v/>
      </c>
      <c r="AW436" s="79" t="str" cm="1">
        <f t="array" aca="1" ref="AW436" ca="1">IFERROR(_xlfn.IFS(OR($M436="",$AM436=""),"",OR($C436="Offered",$C436="Joined"),($AM436-$M436)-$AT436),"")</f>
        <v/>
      </c>
      <c r="AX436" s="79" t="str" cm="1">
        <f t="array" aca="1" ref="AX436" ca="1">IFERROR(_xlfn.IFS(OR($M436="",$AS436=""),"",$C436="Joined",($AS436-$M436)-$AT436),"")</f>
        <v/>
      </c>
      <c r="AY436" s="67" t="str">
        <f>IFERROR(IF(COUNTIFS('Candidate Tracker'!$E:$E,'Positions Tracker'!$B436,'Candidate Tracker'!$C:$C,"Offer Drop")=0,"",COUNTIFS('Candidate Tracker'!$E:$E,'Positions Tracker'!$B436,'Candidate Tracker'!$C:$C,"Offer Drop")),"")</f>
        <v/>
      </c>
      <c r="AZ436" s="80">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0.88111888111888115</v>
      </c>
      <c r="BA436" s="81" t="str">
        <f>IFERROR(IF(COUNTIFS('Candidate Tracker'!$E:$E,'Positions Tracker'!$B436,'Candidate Tracker'!$I:$I,"Female")=0,"",COUNTIFS('Candidate Tracker'!$E:$E,'Positions Tracker'!$B436,'Candidate Tracker'!$I:$I,"Female")),"")</f>
        <v/>
      </c>
      <c r="BB436" s="81" t="str">
        <f>IFERROR(IF(COUNTIFS('Candidate Tracker'!$E:$E,'Positions Tracker'!$B436,'Candidate Tracker'!$I:$I,"male")=0,"",COUNTIFS('Candidate Tracker'!$E:$E,'Positions Tracker'!$B436,'Candidate Tracker'!$I:$I,"male")),"")</f>
        <v/>
      </c>
      <c r="BC436" s="80" t="str">
        <f>IFERROR(IF(COUNTIFS('Candidate Tracker'!$E:$E,'Positions Tracker'!$B436,'Candidate Tracker'!$C:$C,"&lt;&gt;WIP",'Candidate Tracker'!$C:$C,"&lt;&gt;Hold",'Candidate Tracker'!$C:$C,"&lt;&gt;Cancelled",'Candidate Tracker'!$C:$C,"&lt;&gt;Closed")/COUNTIFS('Candidate Tracker'!$E:$E,'Positions Tracker'!$B436)=0,"",COUNTIFS('Candidate Tracker'!$E:$E,'Positions Tracker'!$B436,'Candidate Tracker'!$C:$C,"&lt;&gt;WIP",'Candidate Tracker'!$C:$C,"&lt;&gt;Hold",'Candidate Tracker'!$C:$C,"&lt;&gt;Cancelled",'Candidate Tracker'!$C:$C,"&lt;&gt;Closed")/COUNTIFS('Candidate Tracker'!$E:$E,'Positions Tracker'!$B436)),"")</f>
        <v/>
      </c>
      <c r="BD436" s="67" t="str">
        <f t="shared" si="36"/>
        <v/>
      </c>
      <c r="BE436" s="67" t="str">
        <f t="shared" si="37"/>
        <v/>
      </c>
      <c r="BF436" s="67" t="str">
        <f t="shared" si="38"/>
        <v/>
      </c>
      <c r="BG436" s="67" t="str">
        <f t="shared" si="39"/>
        <v/>
      </c>
    </row>
    <row r="437" spans="1:59">
      <c r="A437" s="55"/>
      <c r="B437" s="56"/>
      <c r="C437" s="56"/>
      <c r="D437" s="56"/>
      <c r="E437" s="56"/>
      <c r="F437" s="56"/>
      <c r="G437" s="56"/>
      <c r="H437" s="56"/>
      <c r="I437" s="6"/>
      <c r="J437" s="6"/>
      <c r="K437" s="57"/>
      <c r="L437" s="57"/>
      <c r="M437" s="57"/>
      <c r="N437" s="56"/>
      <c r="O437" s="56"/>
      <c r="P437" s="56"/>
      <c r="Q437" s="56"/>
      <c r="R437" s="56"/>
      <c r="S437" s="56"/>
      <c r="T437" s="56"/>
      <c r="U437" s="56"/>
      <c r="V437" s="56"/>
      <c r="W437" s="56"/>
      <c r="X437" s="56"/>
      <c r="Y437" s="56"/>
      <c r="Z437" s="56"/>
      <c r="AA437" s="56"/>
      <c r="AB437" s="56"/>
      <c r="AC437" s="56"/>
      <c r="AD437" s="56"/>
      <c r="AE437" s="56"/>
      <c r="AF437" s="56"/>
      <c r="AG437" s="56"/>
      <c r="AH437" s="56"/>
      <c r="AI437" s="58"/>
      <c r="AJ437" s="56"/>
      <c r="AK437" s="56"/>
      <c r="AL437" s="56"/>
      <c r="AM437" s="57"/>
      <c r="AN437" s="57"/>
      <c r="AO437" s="56"/>
      <c r="AP437" s="56"/>
      <c r="AQ437" s="57"/>
      <c r="AR437" s="57"/>
      <c r="AS437" s="57"/>
      <c r="AT437" s="67">
        <f t="shared" ca="1" si="40"/>
        <v>0</v>
      </c>
      <c r="AU437" s="79" t="str">
        <f t="shared" ca="1" si="41"/>
        <v/>
      </c>
      <c r="AV437" s="79" t="str" cm="1">
        <f t="array" aca="1" ref="AV437" ca="1">IFERROR(_xlfn.IFS($AU437="","",$AU437&lt;=15,"0-15",AND($AU437&gt;=16,$AU437&lt;=30),"16-30",AND($AU437&gt;=31,$AU437&lt;=45),"31-45",AND($AU437&gt;=46,$AU437&lt;=60),"46-60",AND($AU437&gt;=61,$AU437&lt;=90),"61-90",AND($AU437&gt;=91),"&gt; 90",AND($AU437&gt;=2000),""),"")</f>
        <v/>
      </c>
      <c r="AW437" s="79" t="str" cm="1">
        <f t="array" aca="1" ref="AW437" ca="1">IFERROR(_xlfn.IFS(OR($M437="",$AM437=""),"",OR($C437="Offered",$C437="Joined"),($AM437-$M437)-$AT437),"")</f>
        <v/>
      </c>
      <c r="AX437" s="79" t="str" cm="1">
        <f t="array" aca="1" ref="AX437" ca="1">IFERROR(_xlfn.IFS(OR($M437="",$AS437=""),"",$C437="Joined",($AS437-$M437)-$AT437),"")</f>
        <v/>
      </c>
      <c r="AY437" s="67" t="str">
        <f>IFERROR(IF(COUNTIFS('Candidate Tracker'!$E:$E,'Positions Tracker'!$B437,'Candidate Tracker'!$C:$C,"Offer Drop")=0,"",COUNTIFS('Candidate Tracker'!$E:$E,'Positions Tracker'!$B437,'Candidate Tracker'!$C:$C,"Offer Drop")),"")</f>
        <v/>
      </c>
      <c r="AZ437" s="80">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0.88111888111888115</v>
      </c>
      <c r="BA437" s="81" t="str">
        <f>IFERROR(IF(COUNTIFS('Candidate Tracker'!$E:$E,'Positions Tracker'!$B437,'Candidate Tracker'!$I:$I,"Female")=0,"",COUNTIFS('Candidate Tracker'!$E:$E,'Positions Tracker'!$B437,'Candidate Tracker'!$I:$I,"Female")),"")</f>
        <v/>
      </c>
      <c r="BB437" s="81" t="str">
        <f>IFERROR(IF(COUNTIFS('Candidate Tracker'!$E:$E,'Positions Tracker'!$B437,'Candidate Tracker'!$I:$I,"male")=0,"",COUNTIFS('Candidate Tracker'!$E:$E,'Positions Tracker'!$B437,'Candidate Tracker'!$I:$I,"male")),"")</f>
        <v/>
      </c>
      <c r="BC437" s="80" t="str">
        <f>IFERROR(IF(COUNTIFS('Candidate Tracker'!$E:$E,'Positions Tracker'!$B437,'Candidate Tracker'!$C:$C,"&lt;&gt;WIP",'Candidate Tracker'!$C:$C,"&lt;&gt;Hold",'Candidate Tracker'!$C:$C,"&lt;&gt;Cancelled",'Candidate Tracker'!$C:$C,"&lt;&gt;Closed")/COUNTIFS('Candidate Tracker'!$E:$E,'Positions Tracker'!$B437)=0,"",COUNTIFS('Candidate Tracker'!$E:$E,'Positions Tracker'!$B437,'Candidate Tracker'!$C:$C,"&lt;&gt;WIP",'Candidate Tracker'!$C:$C,"&lt;&gt;Hold",'Candidate Tracker'!$C:$C,"&lt;&gt;Cancelled",'Candidate Tracker'!$C:$C,"&lt;&gt;Closed")/COUNTIFS('Candidate Tracker'!$E:$E,'Positions Tracker'!$B437)),"")</f>
        <v/>
      </c>
      <c r="BD437" s="67" t="str">
        <f t="shared" si="36"/>
        <v/>
      </c>
      <c r="BE437" s="67" t="str">
        <f t="shared" si="37"/>
        <v/>
      </c>
      <c r="BF437" s="67" t="str">
        <f t="shared" si="38"/>
        <v/>
      </c>
      <c r="BG437" s="67" t="str">
        <f t="shared" si="39"/>
        <v/>
      </c>
    </row>
    <row r="438" spans="1:59">
      <c r="A438" s="55"/>
      <c r="B438" s="56"/>
      <c r="C438" s="56"/>
      <c r="D438" s="56"/>
      <c r="E438" s="56"/>
      <c r="F438" s="56"/>
      <c r="G438" s="56"/>
      <c r="H438" s="56"/>
      <c r="I438" s="6"/>
      <c r="J438" s="6"/>
      <c r="K438" s="57"/>
      <c r="L438" s="57"/>
      <c r="M438" s="57"/>
      <c r="N438" s="56"/>
      <c r="O438" s="56"/>
      <c r="P438" s="56"/>
      <c r="Q438" s="56"/>
      <c r="R438" s="56"/>
      <c r="S438" s="56"/>
      <c r="T438" s="56"/>
      <c r="U438" s="56"/>
      <c r="V438" s="56"/>
      <c r="W438" s="56"/>
      <c r="X438" s="56"/>
      <c r="Y438" s="56"/>
      <c r="Z438" s="56"/>
      <c r="AA438" s="56"/>
      <c r="AB438" s="56"/>
      <c r="AC438" s="56"/>
      <c r="AD438" s="56"/>
      <c r="AE438" s="56"/>
      <c r="AF438" s="56"/>
      <c r="AG438" s="56"/>
      <c r="AH438" s="56"/>
      <c r="AI438" s="58"/>
      <c r="AJ438" s="56"/>
      <c r="AK438" s="56"/>
      <c r="AL438" s="56"/>
      <c r="AM438" s="57"/>
      <c r="AN438" s="57"/>
      <c r="AO438" s="56"/>
      <c r="AP438" s="56"/>
      <c r="AQ438" s="57"/>
      <c r="AR438" s="57"/>
      <c r="AS438" s="57"/>
      <c r="AT438" s="67">
        <f t="shared" ca="1" si="40"/>
        <v>0</v>
      </c>
      <c r="AU438" s="79" t="str">
        <f t="shared" ca="1" si="41"/>
        <v/>
      </c>
      <c r="AV438" s="79" t="str" cm="1">
        <f t="array" aca="1" ref="AV438" ca="1">IFERROR(_xlfn.IFS($AU438="","",$AU438&lt;=15,"0-15",AND($AU438&gt;=16,$AU438&lt;=30),"16-30",AND($AU438&gt;=31,$AU438&lt;=45),"31-45",AND($AU438&gt;=46,$AU438&lt;=60),"46-60",AND($AU438&gt;=61,$AU438&lt;=90),"61-90",AND($AU438&gt;=91),"&gt; 90",AND($AU438&gt;=2000),""),"")</f>
        <v/>
      </c>
      <c r="AW438" s="79" t="str" cm="1">
        <f t="array" aca="1" ref="AW438" ca="1">IFERROR(_xlfn.IFS(OR($M438="",$AM438=""),"",OR($C438="Offered",$C438="Joined"),($AM438-$M438)-$AT438),"")</f>
        <v/>
      </c>
      <c r="AX438" s="79" t="str" cm="1">
        <f t="array" aca="1" ref="AX438" ca="1">IFERROR(_xlfn.IFS(OR($M438="",$AS438=""),"",$C438="Joined",($AS438-$M438)-$AT438),"")</f>
        <v/>
      </c>
      <c r="AY438" s="67" t="str">
        <f>IFERROR(IF(COUNTIFS('Candidate Tracker'!$E:$E,'Positions Tracker'!$B438,'Candidate Tracker'!$C:$C,"Offer Drop")=0,"",COUNTIFS('Candidate Tracker'!$E:$E,'Positions Tracker'!$B438,'Candidate Tracker'!$C:$C,"Offer Drop")),"")</f>
        <v/>
      </c>
      <c r="AZ438" s="80">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0.88111888111888115</v>
      </c>
      <c r="BA438" s="81" t="str">
        <f>IFERROR(IF(COUNTIFS('Candidate Tracker'!$E:$E,'Positions Tracker'!$B438,'Candidate Tracker'!$I:$I,"Female")=0,"",COUNTIFS('Candidate Tracker'!$E:$E,'Positions Tracker'!$B438,'Candidate Tracker'!$I:$I,"Female")),"")</f>
        <v/>
      </c>
      <c r="BB438" s="81" t="str">
        <f>IFERROR(IF(COUNTIFS('Candidate Tracker'!$E:$E,'Positions Tracker'!$B438,'Candidate Tracker'!$I:$I,"male")=0,"",COUNTIFS('Candidate Tracker'!$E:$E,'Positions Tracker'!$B438,'Candidate Tracker'!$I:$I,"male")),"")</f>
        <v/>
      </c>
      <c r="BC438" s="80" t="str">
        <f>IFERROR(IF(COUNTIFS('Candidate Tracker'!$E:$E,'Positions Tracker'!$B438,'Candidate Tracker'!$C:$C,"&lt;&gt;WIP",'Candidate Tracker'!$C:$C,"&lt;&gt;Hold",'Candidate Tracker'!$C:$C,"&lt;&gt;Cancelled",'Candidate Tracker'!$C:$C,"&lt;&gt;Closed")/COUNTIFS('Candidate Tracker'!$E:$E,'Positions Tracker'!$B438)=0,"",COUNTIFS('Candidate Tracker'!$E:$E,'Positions Tracker'!$B438,'Candidate Tracker'!$C:$C,"&lt;&gt;WIP",'Candidate Tracker'!$C:$C,"&lt;&gt;Hold",'Candidate Tracker'!$C:$C,"&lt;&gt;Cancelled",'Candidate Tracker'!$C:$C,"&lt;&gt;Closed")/COUNTIFS('Candidate Tracker'!$E:$E,'Positions Tracker'!$B438)),"")</f>
        <v/>
      </c>
      <c r="BD438" s="67" t="str">
        <f t="shared" si="36"/>
        <v/>
      </c>
      <c r="BE438" s="67" t="str">
        <f t="shared" si="37"/>
        <v/>
      </c>
      <c r="BF438" s="67" t="str">
        <f t="shared" si="38"/>
        <v/>
      </c>
      <c r="BG438" s="67" t="str">
        <f t="shared" si="39"/>
        <v/>
      </c>
    </row>
    <row r="439" spans="1:59">
      <c r="A439" s="55"/>
      <c r="B439" s="56"/>
      <c r="C439" s="56"/>
      <c r="D439" s="56"/>
      <c r="E439" s="56"/>
      <c r="F439" s="56"/>
      <c r="G439" s="56"/>
      <c r="H439" s="56"/>
      <c r="I439" s="6"/>
      <c r="J439" s="6"/>
      <c r="K439" s="57"/>
      <c r="L439" s="57"/>
      <c r="M439" s="57"/>
      <c r="N439" s="56"/>
      <c r="O439" s="56"/>
      <c r="P439" s="56"/>
      <c r="Q439" s="56"/>
      <c r="R439" s="56"/>
      <c r="S439" s="56"/>
      <c r="T439" s="56"/>
      <c r="U439" s="56"/>
      <c r="V439" s="56"/>
      <c r="W439" s="56"/>
      <c r="X439" s="56"/>
      <c r="Y439" s="56"/>
      <c r="Z439" s="56"/>
      <c r="AA439" s="56"/>
      <c r="AB439" s="56"/>
      <c r="AC439" s="56"/>
      <c r="AD439" s="56"/>
      <c r="AE439" s="56"/>
      <c r="AF439" s="56"/>
      <c r="AG439" s="56"/>
      <c r="AH439" s="56"/>
      <c r="AI439" s="58"/>
      <c r="AJ439" s="56"/>
      <c r="AK439" s="56"/>
      <c r="AL439" s="56"/>
      <c r="AM439" s="57"/>
      <c r="AN439" s="57"/>
      <c r="AO439" s="56"/>
      <c r="AP439" s="56"/>
      <c r="AQ439" s="57"/>
      <c r="AR439" s="57"/>
      <c r="AS439" s="57"/>
      <c r="AT439" s="67">
        <f t="shared" ca="1" si="40"/>
        <v>0</v>
      </c>
      <c r="AU439" s="79" t="str">
        <f t="shared" ca="1" si="41"/>
        <v/>
      </c>
      <c r="AV439" s="79" t="str" cm="1">
        <f t="array" aca="1" ref="AV439" ca="1">IFERROR(_xlfn.IFS($AU439="","",$AU439&lt;=15,"0-15",AND($AU439&gt;=16,$AU439&lt;=30),"16-30",AND($AU439&gt;=31,$AU439&lt;=45),"31-45",AND($AU439&gt;=46,$AU439&lt;=60),"46-60",AND($AU439&gt;=61,$AU439&lt;=90),"61-90",AND($AU439&gt;=91),"&gt; 90",AND($AU439&gt;=2000),""),"")</f>
        <v/>
      </c>
      <c r="AW439" s="79" t="str" cm="1">
        <f t="array" aca="1" ref="AW439" ca="1">IFERROR(_xlfn.IFS(OR($M439="",$AM439=""),"",OR($C439="Offered",$C439="Joined"),($AM439-$M439)-$AT439),"")</f>
        <v/>
      </c>
      <c r="AX439" s="79" t="str" cm="1">
        <f t="array" aca="1" ref="AX439" ca="1">IFERROR(_xlfn.IFS(OR($M439="",$AS439=""),"",$C439="Joined",($AS439-$M439)-$AT439),"")</f>
        <v/>
      </c>
      <c r="AY439" s="67" t="str">
        <f>IFERROR(IF(COUNTIFS('Candidate Tracker'!$E:$E,'Positions Tracker'!$B439,'Candidate Tracker'!$C:$C,"Offer Drop")=0,"",COUNTIFS('Candidate Tracker'!$E:$E,'Positions Tracker'!$B439,'Candidate Tracker'!$C:$C,"Offer Drop")),"")</f>
        <v/>
      </c>
      <c r="AZ439" s="80">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0.88111888111888115</v>
      </c>
      <c r="BA439" s="81" t="str">
        <f>IFERROR(IF(COUNTIFS('Candidate Tracker'!$E:$E,'Positions Tracker'!$B439,'Candidate Tracker'!$I:$I,"Female")=0,"",COUNTIFS('Candidate Tracker'!$E:$E,'Positions Tracker'!$B439,'Candidate Tracker'!$I:$I,"Female")),"")</f>
        <v/>
      </c>
      <c r="BB439" s="81" t="str">
        <f>IFERROR(IF(COUNTIFS('Candidate Tracker'!$E:$E,'Positions Tracker'!$B439,'Candidate Tracker'!$I:$I,"male")=0,"",COUNTIFS('Candidate Tracker'!$E:$E,'Positions Tracker'!$B439,'Candidate Tracker'!$I:$I,"male")),"")</f>
        <v/>
      </c>
      <c r="BC439" s="80" t="str">
        <f>IFERROR(IF(COUNTIFS('Candidate Tracker'!$E:$E,'Positions Tracker'!$B439,'Candidate Tracker'!$C:$C,"&lt;&gt;WIP",'Candidate Tracker'!$C:$C,"&lt;&gt;Hold",'Candidate Tracker'!$C:$C,"&lt;&gt;Cancelled",'Candidate Tracker'!$C:$C,"&lt;&gt;Closed")/COUNTIFS('Candidate Tracker'!$E:$E,'Positions Tracker'!$B439)=0,"",COUNTIFS('Candidate Tracker'!$E:$E,'Positions Tracker'!$B439,'Candidate Tracker'!$C:$C,"&lt;&gt;WIP",'Candidate Tracker'!$C:$C,"&lt;&gt;Hold",'Candidate Tracker'!$C:$C,"&lt;&gt;Cancelled",'Candidate Tracker'!$C:$C,"&lt;&gt;Closed")/COUNTIFS('Candidate Tracker'!$E:$E,'Positions Tracker'!$B439)),"")</f>
        <v/>
      </c>
      <c r="BD439" s="67" t="str">
        <f t="shared" si="36"/>
        <v/>
      </c>
      <c r="BE439" s="67" t="str">
        <f t="shared" si="37"/>
        <v/>
      </c>
      <c r="BF439" s="67" t="str">
        <f t="shared" si="38"/>
        <v/>
      </c>
      <c r="BG439" s="67" t="str">
        <f t="shared" si="39"/>
        <v/>
      </c>
    </row>
    <row r="440" spans="1:59">
      <c r="A440" s="55"/>
      <c r="B440" s="56"/>
      <c r="C440" s="56"/>
      <c r="D440" s="56"/>
      <c r="E440" s="56"/>
      <c r="F440" s="56"/>
      <c r="G440" s="56"/>
      <c r="H440" s="56"/>
      <c r="I440" s="6"/>
      <c r="J440" s="6"/>
      <c r="K440" s="57"/>
      <c r="L440" s="57"/>
      <c r="M440" s="57"/>
      <c r="N440" s="56"/>
      <c r="O440" s="56"/>
      <c r="P440" s="56"/>
      <c r="Q440" s="56"/>
      <c r="R440" s="56"/>
      <c r="S440" s="56"/>
      <c r="T440" s="56"/>
      <c r="U440" s="56"/>
      <c r="V440" s="56"/>
      <c r="W440" s="56"/>
      <c r="X440" s="56"/>
      <c r="Y440" s="56"/>
      <c r="Z440" s="56"/>
      <c r="AA440" s="56"/>
      <c r="AB440" s="56"/>
      <c r="AC440" s="56"/>
      <c r="AD440" s="56"/>
      <c r="AE440" s="56"/>
      <c r="AF440" s="56"/>
      <c r="AG440" s="56"/>
      <c r="AH440" s="56"/>
      <c r="AI440" s="58"/>
      <c r="AJ440" s="56"/>
      <c r="AK440" s="56"/>
      <c r="AL440" s="56"/>
      <c r="AM440" s="57"/>
      <c r="AN440" s="57"/>
      <c r="AO440" s="56"/>
      <c r="AP440" s="56"/>
      <c r="AQ440" s="57"/>
      <c r="AR440" s="57"/>
      <c r="AS440" s="57"/>
      <c r="AT440" s="67">
        <f t="shared" ca="1" si="40"/>
        <v>0</v>
      </c>
      <c r="AU440" s="79" t="str">
        <f t="shared" ca="1" si="41"/>
        <v/>
      </c>
      <c r="AV440" s="79" t="str" cm="1">
        <f t="array" aca="1" ref="AV440" ca="1">IFERROR(_xlfn.IFS($AU440="","",$AU440&lt;=15,"0-15",AND($AU440&gt;=16,$AU440&lt;=30),"16-30",AND($AU440&gt;=31,$AU440&lt;=45),"31-45",AND($AU440&gt;=46,$AU440&lt;=60),"46-60",AND($AU440&gt;=61,$AU440&lt;=90),"61-90",AND($AU440&gt;=91),"&gt; 90",AND($AU440&gt;=2000),""),"")</f>
        <v/>
      </c>
      <c r="AW440" s="79" t="str" cm="1">
        <f t="array" aca="1" ref="AW440" ca="1">IFERROR(_xlfn.IFS(OR($M440="",$AM440=""),"",OR($C440="Offered",$C440="Joined"),($AM440-$M440)-$AT440),"")</f>
        <v/>
      </c>
      <c r="AX440" s="79" t="str" cm="1">
        <f t="array" aca="1" ref="AX440" ca="1">IFERROR(_xlfn.IFS(OR($M440="",$AS440=""),"",$C440="Joined",($AS440-$M440)-$AT440),"")</f>
        <v/>
      </c>
      <c r="AY440" s="67" t="str">
        <f>IFERROR(IF(COUNTIFS('Candidate Tracker'!$E:$E,'Positions Tracker'!$B440,'Candidate Tracker'!$C:$C,"Offer Drop")=0,"",COUNTIFS('Candidate Tracker'!$E:$E,'Positions Tracker'!$B440,'Candidate Tracker'!$C:$C,"Offer Drop")),"")</f>
        <v/>
      </c>
      <c r="AZ440" s="80">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0.88111888111888115</v>
      </c>
      <c r="BA440" s="81" t="str">
        <f>IFERROR(IF(COUNTIFS('Candidate Tracker'!$E:$E,'Positions Tracker'!$B440,'Candidate Tracker'!$I:$I,"Female")=0,"",COUNTIFS('Candidate Tracker'!$E:$E,'Positions Tracker'!$B440,'Candidate Tracker'!$I:$I,"Female")),"")</f>
        <v/>
      </c>
      <c r="BB440" s="81" t="str">
        <f>IFERROR(IF(COUNTIFS('Candidate Tracker'!$E:$E,'Positions Tracker'!$B440,'Candidate Tracker'!$I:$I,"male")=0,"",COUNTIFS('Candidate Tracker'!$E:$E,'Positions Tracker'!$B440,'Candidate Tracker'!$I:$I,"male")),"")</f>
        <v/>
      </c>
      <c r="BC440" s="80" t="str">
        <f>IFERROR(IF(COUNTIFS('Candidate Tracker'!$E:$E,'Positions Tracker'!$B440,'Candidate Tracker'!$C:$C,"&lt;&gt;WIP",'Candidate Tracker'!$C:$C,"&lt;&gt;Hold",'Candidate Tracker'!$C:$C,"&lt;&gt;Cancelled",'Candidate Tracker'!$C:$C,"&lt;&gt;Closed")/COUNTIFS('Candidate Tracker'!$E:$E,'Positions Tracker'!$B440)=0,"",COUNTIFS('Candidate Tracker'!$E:$E,'Positions Tracker'!$B440,'Candidate Tracker'!$C:$C,"&lt;&gt;WIP",'Candidate Tracker'!$C:$C,"&lt;&gt;Hold",'Candidate Tracker'!$C:$C,"&lt;&gt;Cancelled",'Candidate Tracker'!$C:$C,"&lt;&gt;Closed")/COUNTIFS('Candidate Tracker'!$E:$E,'Positions Tracker'!$B440)),"")</f>
        <v/>
      </c>
      <c r="BD440" s="67" t="str">
        <f t="shared" si="36"/>
        <v/>
      </c>
      <c r="BE440" s="67" t="str">
        <f t="shared" si="37"/>
        <v/>
      </c>
      <c r="BF440" s="67" t="str">
        <f t="shared" si="38"/>
        <v/>
      </c>
      <c r="BG440" s="67" t="str">
        <f t="shared" si="39"/>
        <v/>
      </c>
    </row>
    <row r="441" spans="1:59">
      <c r="A441" s="55"/>
      <c r="B441" s="56"/>
      <c r="C441" s="56"/>
      <c r="D441" s="56"/>
      <c r="E441" s="56"/>
      <c r="F441" s="56"/>
      <c r="G441" s="56"/>
      <c r="H441" s="56"/>
      <c r="I441" s="6"/>
      <c r="J441" s="6"/>
      <c r="K441" s="57"/>
      <c r="L441" s="57"/>
      <c r="M441" s="57"/>
      <c r="N441" s="56"/>
      <c r="O441" s="56"/>
      <c r="P441" s="56"/>
      <c r="Q441" s="56"/>
      <c r="R441" s="56"/>
      <c r="S441" s="56"/>
      <c r="T441" s="56"/>
      <c r="U441" s="56"/>
      <c r="V441" s="56"/>
      <c r="W441" s="56"/>
      <c r="X441" s="56"/>
      <c r="Y441" s="56"/>
      <c r="Z441" s="56"/>
      <c r="AA441" s="56"/>
      <c r="AB441" s="56"/>
      <c r="AC441" s="56"/>
      <c r="AD441" s="56"/>
      <c r="AE441" s="56"/>
      <c r="AF441" s="56"/>
      <c r="AG441" s="56"/>
      <c r="AH441" s="56"/>
      <c r="AI441" s="58"/>
      <c r="AJ441" s="56"/>
      <c r="AK441" s="56"/>
      <c r="AL441" s="56"/>
      <c r="AM441" s="57"/>
      <c r="AN441" s="57"/>
      <c r="AO441" s="56"/>
      <c r="AP441" s="56"/>
      <c r="AQ441" s="57"/>
      <c r="AR441" s="57"/>
      <c r="AS441" s="57"/>
      <c r="AT441" s="67">
        <f t="shared" ca="1" si="40"/>
        <v>0</v>
      </c>
      <c r="AU441" s="79" t="str">
        <f t="shared" ca="1" si="41"/>
        <v/>
      </c>
      <c r="AV441" s="79" t="str" cm="1">
        <f t="array" aca="1" ref="AV441" ca="1">IFERROR(_xlfn.IFS($AU441="","",$AU441&lt;=15,"0-15",AND($AU441&gt;=16,$AU441&lt;=30),"16-30",AND($AU441&gt;=31,$AU441&lt;=45),"31-45",AND($AU441&gt;=46,$AU441&lt;=60),"46-60",AND($AU441&gt;=61,$AU441&lt;=90),"61-90",AND($AU441&gt;=91),"&gt; 90",AND($AU441&gt;=2000),""),"")</f>
        <v/>
      </c>
      <c r="AW441" s="79" t="str" cm="1">
        <f t="array" aca="1" ref="AW441" ca="1">IFERROR(_xlfn.IFS(OR($M441="",$AM441=""),"",OR($C441="Offered",$C441="Joined"),($AM441-$M441)-$AT441),"")</f>
        <v/>
      </c>
      <c r="AX441" s="79" t="str" cm="1">
        <f t="array" aca="1" ref="AX441" ca="1">IFERROR(_xlfn.IFS(OR($M441="",$AS441=""),"",$C441="Joined",($AS441-$M441)-$AT441),"")</f>
        <v/>
      </c>
      <c r="AY441" s="67" t="str">
        <f>IFERROR(IF(COUNTIFS('Candidate Tracker'!$E:$E,'Positions Tracker'!$B441,'Candidate Tracker'!$C:$C,"Offer Drop")=0,"",COUNTIFS('Candidate Tracker'!$E:$E,'Positions Tracker'!$B441,'Candidate Tracker'!$C:$C,"Offer Drop")),"")</f>
        <v/>
      </c>
      <c r="AZ441" s="80">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0.88111888111888115</v>
      </c>
      <c r="BA441" s="81" t="str">
        <f>IFERROR(IF(COUNTIFS('Candidate Tracker'!$E:$E,'Positions Tracker'!$B441,'Candidate Tracker'!$I:$I,"Female")=0,"",COUNTIFS('Candidate Tracker'!$E:$E,'Positions Tracker'!$B441,'Candidate Tracker'!$I:$I,"Female")),"")</f>
        <v/>
      </c>
      <c r="BB441" s="81" t="str">
        <f>IFERROR(IF(COUNTIFS('Candidate Tracker'!$E:$E,'Positions Tracker'!$B441,'Candidate Tracker'!$I:$I,"male")=0,"",COUNTIFS('Candidate Tracker'!$E:$E,'Positions Tracker'!$B441,'Candidate Tracker'!$I:$I,"male")),"")</f>
        <v/>
      </c>
      <c r="BC441" s="80" t="str">
        <f>IFERROR(IF(COUNTIFS('Candidate Tracker'!$E:$E,'Positions Tracker'!$B441,'Candidate Tracker'!$C:$C,"&lt;&gt;WIP",'Candidate Tracker'!$C:$C,"&lt;&gt;Hold",'Candidate Tracker'!$C:$C,"&lt;&gt;Cancelled",'Candidate Tracker'!$C:$C,"&lt;&gt;Closed")/COUNTIFS('Candidate Tracker'!$E:$E,'Positions Tracker'!$B441)=0,"",COUNTIFS('Candidate Tracker'!$E:$E,'Positions Tracker'!$B441,'Candidate Tracker'!$C:$C,"&lt;&gt;WIP",'Candidate Tracker'!$C:$C,"&lt;&gt;Hold",'Candidate Tracker'!$C:$C,"&lt;&gt;Cancelled",'Candidate Tracker'!$C:$C,"&lt;&gt;Closed")/COUNTIFS('Candidate Tracker'!$E:$E,'Positions Tracker'!$B441)),"")</f>
        <v/>
      </c>
      <c r="BD441" s="67" t="str">
        <f t="shared" si="36"/>
        <v/>
      </c>
      <c r="BE441" s="67" t="str">
        <f t="shared" si="37"/>
        <v/>
      </c>
      <c r="BF441" s="67" t="str">
        <f t="shared" si="38"/>
        <v/>
      </c>
      <c r="BG441" s="67" t="str">
        <f t="shared" si="39"/>
        <v/>
      </c>
    </row>
    <row r="442" spans="1:59">
      <c r="A442" s="55"/>
      <c r="B442" s="56"/>
      <c r="C442" s="56"/>
      <c r="D442" s="56"/>
      <c r="E442" s="56"/>
      <c r="F442" s="56"/>
      <c r="G442" s="56"/>
      <c r="H442" s="56"/>
      <c r="I442" s="6"/>
      <c r="J442" s="6"/>
      <c r="K442" s="57"/>
      <c r="L442" s="57"/>
      <c r="M442" s="57"/>
      <c r="N442" s="56"/>
      <c r="O442" s="56"/>
      <c r="P442" s="56"/>
      <c r="Q442" s="56"/>
      <c r="R442" s="56"/>
      <c r="S442" s="56"/>
      <c r="T442" s="56"/>
      <c r="U442" s="56"/>
      <c r="V442" s="56"/>
      <c r="W442" s="56"/>
      <c r="X442" s="56"/>
      <c r="Y442" s="56"/>
      <c r="Z442" s="56"/>
      <c r="AA442" s="56"/>
      <c r="AB442" s="56"/>
      <c r="AC442" s="56"/>
      <c r="AD442" s="56"/>
      <c r="AE442" s="56"/>
      <c r="AF442" s="56"/>
      <c r="AG442" s="56"/>
      <c r="AH442" s="56"/>
      <c r="AI442" s="58"/>
      <c r="AJ442" s="56"/>
      <c r="AK442" s="56"/>
      <c r="AL442" s="56"/>
      <c r="AM442" s="57"/>
      <c r="AN442" s="57"/>
      <c r="AO442" s="56"/>
      <c r="AP442" s="56"/>
      <c r="AQ442" s="57"/>
      <c r="AR442" s="57"/>
      <c r="AS442" s="57"/>
      <c r="AT442" s="67">
        <f t="shared" ca="1" si="40"/>
        <v>0</v>
      </c>
      <c r="AU442" s="79" t="str">
        <f t="shared" ca="1" si="41"/>
        <v/>
      </c>
      <c r="AV442" s="79" t="str" cm="1">
        <f t="array" aca="1" ref="AV442" ca="1">IFERROR(_xlfn.IFS($AU442="","",$AU442&lt;=15,"0-15",AND($AU442&gt;=16,$AU442&lt;=30),"16-30",AND($AU442&gt;=31,$AU442&lt;=45),"31-45",AND($AU442&gt;=46,$AU442&lt;=60),"46-60",AND($AU442&gt;=61,$AU442&lt;=90),"61-90",AND($AU442&gt;=91),"&gt; 90",AND($AU442&gt;=2000),""),"")</f>
        <v/>
      </c>
      <c r="AW442" s="79" t="str" cm="1">
        <f t="array" aca="1" ref="AW442" ca="1">IFERROR(_xlfn.IFS(OR($M442="",$AM442=""),"",OR($C442="Offered",$C442="Joined"),($AM442-$M442)-$AT442),"")</f>
        <v/>
      </c>
      <c r="AX442" s="79" t="str" cm="1">
        <f t="array" aca="1" ref="AX442" ca="1">IFERROR(_xlfn.IFS(OR($M442="",$AS442=""),"",$C442="Joined",($AS442-$M442)-$AT442),"")</f>
        <v/>
      </c>
      <c r="AY442" s="67" t="str">
        <f>IFERROR(IF(COUNTIFS('Candidate Tracker'!$E:$E,'Positions Tracker'!$B442,'Candidate Tracker'!$C:$C,"Offer Drop")=0,"",COUNTIFS('Candidate Tracker'!$E:$E,'Positions Tracker'!$B442,'Candidate Tracker'!$C:$C,"Offer Drop")),"")</f>
        <v/>
      </c>
      <c r="AZ442" s="80">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0.88111888111888115</v>
      </c>
      <c r="BA442" s="81" t="str">
        <f>IFERROR(IF(COUNTIFS('Candidate Tracker'!$E:$E,'Positions Tracker'!$B442,'Candidate Tracker'!$I:$I,"Female")=0,"",COUNTIFS('Candidate Tracker'!$E:$E,'Positions Tracker'!$B442,'Candidate Tracker'!$I:$I,"Female")),"")</f>
        <v/>
      </c>
      <c r="BB442" s="81" t="str">
        <f>IFERROR(IF(COUNTIFS('Candidate Tracker'!$E:$E,'Positions Tracker'!$B442,'Candidate Tracker'!$I:$I,"male")=0,"",COUNTIFS('Candidate Tracker'!$E:$E,'Positions Tracker'!$B442,'Candidate Tracker'!$I:$I,"male")),"")</f>
        <v/>
      </c>
      <c r="BC442" s="80" t="str">
        <f>IFERROR(IF(COUNTIFS('Candidate Tracker'!$E:$E,'Positions Tracker'!$B442,'Candidate Tracker'!$C:$C,"&lt;&gt;WIP",'Candidate Tracker'!$C:$C,"&lt;&gt;Hold",'Candidate Tracker'!$C:$C,"&lt;&gt;Cancelled",'Candidate Tracker'!$C:$C,"&lt;&gt;Closed")/COUNTIFS('Candidate Tracker'!$E:$E,'Positions Tracker'!$B442)=0,"",COUNTIFS('Candidate Tracker'!$E:$E,'Positions Tracker'!$B442,'Candidate Tracker'!$C:$C,"&lt;&gt;WIP",'Candidate Tracker'!$C:$C,"&lt;&gt;Hold",'Candidate Tracker'!$C:$C,"&lt;&gt;Cancelled",'Candidate Tracker'!$C:$C,"&lt;&gt;Closed")/COUNTIFS('Candidate Tracker'!$E:$E,'Positions Tracker'!$B442)),"")</f>
        <v/>
      </c>
      <c r="BD442" s="67" t="str">
        <f t="shared" si="36"/>
        <v/>
      </c>
      <c r="BE442" s="67" t="str">
        <f t="shared" si="37"/>
        <v/>
      </c>
      <c r="BF442" s="67" t="str">
        <f t="shared" si="38"/>
        <v/>
      </c>
      <c r="BG442" s="67" t="str">
        <f t="shared" si="39"/>
        <v/>
      </c>
    </row>
    <row r="443" spans="1:59">
      <c r="A443" s="55"/>
      <c r="B443" s="56"/>
      <c r="C443" s="56"/>
      <c r="D443" s="56"/>
      <c r="E443" s="56"/>
      <c r="F443" s="56"/>
      <c r="G443" s="56"/>
      <c r="H443" s="56"/>
      <c r="I443" s="6"/>
      <c r="J443" s="6"/>
      <c r="K443" s="57"/>
      <c r="L443" s="57"/>
      <c r="M443" s="57"/>
      <c r="N443" s="56"/>
      <c r="O443" s="56"/>
      <c r="P443" s="56"/>
      <c r="Q443" s="56"/>
      <c r="R443" s="56"/>
      <c r="S443" s="56"/>
      <c r="T443" s="56"/>
      <c r="U443" s="56"/>
      <c r="V443" s="56"/>
      <c r="W443" s="56"/>
      <c r="X443" s="56"/>
      <c r="Y443" s="56"/>
      <c r="Z443" s="56"/>
      <c r="AA443" s="56"/>
      <c r="AB443" s="56"/>
      <c r="AC443" s="56"/>
      <c r="AD443" s="56"/>
      <c r="AE443" s="56"/>
      <c r="AF443" s="56"/>
      <c r="AG443" s="56"/>
      <c r="AH443" s="56"/>
      <c r="AI443" s="58"/>
      <c r="AJ443" s="56"/>
      <c r="AK443" s="56"/>
      <c r="AL443" s="56"/>
      <c r="AM443" s="57"/>
      <c r="AN443" s="57"/>
      <c r="AO443" s="56"/>
      <c r="AP443" s="56"/>
      <c r="AQ443" s="57"/>
      <c r="AR443" s="57"/>
      <c r="AS443" s="57"/>
      <c r="AT443" s="67">
        <f t="shared" ca="1" si="40"/>
        <v>0</v>
      </c>
      <c r="AU443" s="79" t="str">
        <f t="shared" ca="1" si="41"/>
        <v/>
      </c>
      <c r="AV443" s="79" t="str" cm="1">
        <f t="array" aca="1" ref="AV443" ca="1">IFERROR(_xlfn.IFS($AU443="","",$AU443&lt;=15,"0-15",AND($AU443&gt;=16,$AU443&lt;=30),"16-30",AND($AU443&gt;=31,$AU443&lt;=45),"31-45",AND($AU443&gt;=46,$AU443&lt;=60),"46-60",AND($AU443&gt;=61,$AU443&lt;=90),"61-90",AND($AU443&gt;=91),"&gt; 90",AND($AU443&gt;=2000),""),"")</f>
        <v/>
      </c>
      <c r="AW443" s="79" t="str" cm="1">
        <f t="array" aca="1" ref="AW443" ca="1">IFERROR(_xlfn.IFS(OR($M443="",$AM443=""),"",OR($C443="Offered",$C443="Joined"),($AM443-$M443)-$AT443),"")</f>
        <v/>
      </c>
      <c r="AX443" s="79" t="str" cm="1">
        <f t="array" aca="1" ref="AX443" ca="1">IFERROR(_xlfn.IFS(OR($M443="",$AS443=""),"",$C443="Joined",($AS443-$M443)-$AT443),"")</f>
        <v/>
      </c>
      <c r="AY443" s="67" t="str">
        <f>IFERROR(IF(COUNTIFS('Candidate Tracker'!$E:$E,'Positions Tracker'!$B443,'Candidate Tracker'!$C:$C,"Offer Drop")=0,"",COUNTIFS('Candidate Tracker'!$E:$E,'Positions Tracker'!$B443,'Candidate Tracker'!$C:$C,"Offer Drop")),"")</f>
        <v/>
      </c>
      <c r="AZ443" s="80">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0.88111888111888115</v>
      </c>
      <c r="BA443" s="81" t="str">
        <f>IFERROR(IF(COUNTIFS('Candidate Tracker'!$E:$E,'Positions Tracker'!$B443,'Candidate Tracker'!$I:$I,"Female")=0,"",COUNTIFS('Candidate Tracker'!$E:$E,'Positions Tracker'!$B443,'Candidate Tracker'!$I:$I,"Female")),"")</f>
        <v/>
      </c>
      <c r="BB443" s="81" t="str">
        <f>IFERROR(IF(COUNTIFS('Candidate Tracker'!$E:$E,'Positions Tracker'!$B443,'Candidate Tracker'!$I:$I,"male")=0,"",COUNTIFS('Candidate Tracker'!$E:$E,'Positions Tracker'!$B443,'Candidate Tracker'!$I:$I,"male")),"")</f>
        <v/>
      </c>
      <c r="BC443" s="80" t="str">
        <f>IFERROR(IF(COUNTIFS('Candidate Tracker'!$E:$E,'Positions Tracker'!$B443,'Candidate Tracker'!$C:$C,"&lt;&gt;WIP",'Candidate Tracker'!$C:$C,"&lt;&gt;Hold",'Candidate Tracker'!$C:$C,"&lt;&gt;Cancelled",'Candidate Tracker'!$C:$C,"&lt;&gt;Closed")/COUNTIFS('Candidate Tracker'!$E:$E,'Positions Tracker'!$B443)=0,"",COUNTIFS('Candidate Tracker'!$E:$E,'Positions Tracker'!$B443,'Candidate Tracker'!$C:$C,"&lt;&gt;WIP",'Candidate Tracker'!$C:$C,"&lt;&gt;Hold",'Candidate Tracker'!$C:$C,"&lt;&gt;Cancelled",'Candidate Tracker'!$C:$C,"&lt;&gt;Closed")/COUNTIFS('Candidate Tracker'!$E:$E,'Positions Tracker'!$B443)),"")</f>
        <v/>
      </c>
      <c r="BD443" s="67" t="str">
        <f t="shared" si="36"/>
        <v/>
      </c>
      <c r="BE443" s="67" t="str">
        <f t="shared" si="37"/>
        <v/>
      </c>
      <c r="BF443" s="67" t="str">
        <f t="shared" si="38"/>
        <v/>
      </c>
      <c r="BG443" s="67" t="str">
        <f t="shared" si="39"/>
        <v/>
      </c>
    </row>
    <row r="444" spans="1:59">
      <c r="A444" s="55"/>
      <c r="B444" s="56"/>
      <c r="C444" s="56"/>
      <c r="D444" s="56"/>
      <c r="E444" s="56"/>
      <c r="F444" s="56"/>
      <c r="G444" s="56"/>
      <c r="H444" s="56"/>
      <c r="I444" s="6"/>
      <c r="J444" s="6"/>
      <c r="K444" s="57"/>
      <c r="L444" s="57"/>
      <c r="M444" s="57"/>
      <c r="N444" s="56"/>
      <c r="O444" s="56"/>
      <c r="P444" s="56"/>
      <c r="Q444" s="56"/>
      <c r="R444" s="56"/>
      <c r="S444" s="56"/>
      <c r="T444" s="56"/>
      <c r="U444" s="56"/>
      <c r="V444" s="56"/>
      <c r="W444" s="56"/>
      <c r="X444" s="56"/>
      <c r="Y444" s="56"/>
      <c r="Z444" s="56"/>
      <c r="AA444" s="56"/>
      <c r="AB444" s="56"/>
      <c r="AC444" s="56"/>
      <c r="AD444" s="56"/>
      <c r="AE444" s="56"/>
      <c r="AF444" s="56"/>
      <c r="AG444" s="56"/>
      <c r="AH444" s="56"/>
      <c r="AI444" s="58"/>
      <c r="AJ444" s="56"/>
      <c r="AK444" s="56"/>
      <c r="AL444" s="56"/>
      <c r="AM444" s="57"/>
      <c r="AN444" s="57"/>
      <c r="AO444" s="56"/>
      <c r="AP444" s="56"/>
      <c r="AQ444" s="57"/>
      <c r="AR444" s="57"/>
      <c r="AS444" s="57"/>
      <c r="AT444" s="67">
        <f t="shared" ca="1" si="40"/>
        <v>0</v>
      </c>
      <c r="AU444" s="79" t="str">
        <f t="shared" ca="1" si="41"/>
        <v/>
      </c>
      <c r="AV444" s="79" t="str" cm="1">
        <f t="array" aca="1" ref="AV444" ca="1">IFERROR(_xlfn.IFS($AU444="","",$AU444&lt;=15,"0-15",AND($AU444&gt;=16,$AU444&lt;=30),"16-30",AND($AU444&gt;=31,$AU444&lt;=45),"31-45",AND($AU444&gt;=46,$AU444&lt;=60),"46-60",AND($AU444&gt;=61,$AU444&lt;=90),"61-90",AND($AU444&gt;=91),"&gt; 90",AND($AU444&gt;=2000),""),"")</f>
        <v/>
      </c>
      <c r="AW444" s="79" t="str" cm="1">
        <f t="array" aca="1" ref="AW444" ca="1">IFERROR(_xlfn.IFS(OR($M444="",$AM444=""),"",OR($C444="Offered",$C444="Joined"),($AM444-$M444)-$AT444),"")</f>
        <v/>
      </c>
      <c r="AX444" s="79" t="str" cm="1">
        <f t="array" aca="1" ref="AX444" ca="1">IFERROR(_xlfn.IFS(OR($M444="",$AS444=""),"",$C444="Joined",($AS444-$M444)-$AT444),"")</f>
        <v/>
      </c>
      <c r="AY444" s="67" t="str">
        <f>IFERROR(IF(COUNTIFS('Candidate Tracker'!$E:$E,'Positions Tracker'!$B444,'Candidate Tracker'!$C:$C,"Offer Drop")=0,"",COUNTIFS('Candidate Tracker'!$E:$E,'Positions Tracker'!$B444,'Candidate Tracker'!$C:$C,"Offer Drop")),"")</f>
        <v/>
      </c>
      <c r="AZ444" s="80">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0.88111888111888115</v>
      </c>
      <c r="BA444" s="81" t="str">
        <f>IFERROR(IF(COUNTIFS('Candidate Tracker'!$E:$E,'Positions Tracker'!$B444,'Candidate Tracker'!$I:$I,"Female")=0,"",COUNTIFS('Candidate Tracker'!$E:$E,'Positions Tracker'!$B444,'Candidate Tracker'!$I:$I,"Female")),"")</f>
        <v/>
      </c>
      <c r="BB444" s="81" t="str">
        <f>IFERROR(IF(COUNTIFS('Candidate Tracker'!$E:$E,'Positions Tracker'!$B444,'Candidate Tracker'!$I:$I,"male")=0,"",COUNTIFS('Candidate Tracker'!$E:$E,'Positions Tracker'!$B444,'Candidate Tracker'!$I:$I,"male")),"")</f>
        <v/>
      </c>
      <c r="BC444" s="80" t="str">
        <f>IFERROR(IF(COUNTIFS('Candidate Tracker'!$E:$E,'Positions Tracker'!$B444,'Candidate Tracker'!$C:$C,"&lt;&gt;WIP",'Candidate Tracker'!$C:$C,"&lt;&gt;Hold",'Candidate Tracker'!$C:$C,"&lt;&gt;Cancelled",'Candidate Tracker'!$C:$C,"&lt;&gt;Closed")/COUNTIFS('Candidate Tracker'!$E:$E,'Positions Tracker'!$B444)=0,"",COUNTIFS('Candidate Tracker'!$E:$E,'Positions Tracker'!$B444,'Candidate Tracker'!$C:$C,"&lt;&gt;WIP",'Candidate Tracker'!$C:$C,"&lt;&gt;Hold",'Candidate Tracker'!$C:$C,"&lt;&gt;Cancelled",'Candidate Tracker'!$C:$C,"&lt;&gt;Closed")/COUNTIFS('Candidate Tracker'!$E:$E,'Positions Tracker'!$B444)),"")</f>
        <v/>
      </c>
      <c r="BD444" s="67" t="str">
        <f t="shared" si="36"/>
        <v/>
      </c>
      <c r="BE444" s="67" t="str">
        <f t="shared" si="37"/>
        <v/>
      </c>
      <c r="BF444" s="67" t="str">
        <f t="shared" si="38"/>
        <v/>
      </c>
      <c r="BG444" s="67" t="str">
        <f t="shared" si="39"/>
        <v/>
      </c>
    </row>
    <row r="445" spans="1:59">
      <c r="A445" s="55"/>
      <c r="B445" s="56"/>
      <c r="C445" s="56"/>
      <c r="D445" s="56"/>
      <c r="E445" s="56"/>
      <c r="F445" s="56"/>
      <c r="G445" s="56"/>
      <c r="H445" s="56"/>
      <c r="I445" s="6"/>
      <c r="J445" s="6"/>
      <c r="K445" s="57"/>
      <c r="L445" s="57"/>
      <c r="M445" s="57"/>
      <c r="N445" s="56"/>
      <c r="O445" s="56"/>
      <c r="P445" s="56"/>
      <c r="Q445" s="56"/>
      <c r="R445" s="56"/>
      <c r="S445" s="56"/>
      <c r="T445" s="56"/>
      <c r="U445" s="56"/>
      <c r="V445" s="56"/>
      <c r="W445" s="56"/>
      <c r="X445" s="56"/>
      <c r="Y445" s="56"/>
      <c r="Z445" s="56"/>
      <c r="AA445" s="56"/>
      <c r="AB445" s="56"/>
      <c r="AC445" s="56"/>
      <c r="AD445" s="56"/>
      <c r="AE445" s="56"/>
      <c r="AF445" s="56"/>
      <c r="AG445" s="56"/>
      <c r="AH445" s="56"/>
      <c r="AI445" s="58"/>
      <c r="AJ445" s="56"/>
      <c r="AK445" s="56"/>
      <c r="AL445" s="56"/>
      <c r="AM445" s="57"/>
      <c r="AN445" s="57"/>
      <c r="AO445" s="56"/>
      <c r="AP445" s="56"/>
      <c r="AQ445" s="57"/>
      <c r="AR445" s="57"/>
      <c r="AS445" s="57"/>
      <c r="AT445" s="67">
        <f t="shared" ca="1" si="40"/>
        <v>0</v>
      </c>
      <c r="AU445" s="79" t="str">
        <f t="shared" ca="1" si="41"/>
        <v/>
      </c>
      <c r="AV445" s="79" t="str" cm="1">
        <f t="array" aca="1" ref="AV445" ca="1">IFERROR(_xlfn.IFS($AU445="","",$AU445&lt;=15,"0-15",AND($AU445&gt;=16,$AU445&lt;=30),"16-30",AND($AU445&gt;=31,$AU445&lt;=45),"31-45",AND($AU445&gt;=46,$AU445&lt;=60),"46-60",AND($AU445&gt;=61,$AU445&lt;=90),"61-90",AND($AU445&gt;=91),"&gt; 90",AND($AU445&gt;=2000),""),"")</f>
        <v/>
      </c>
      <c r="AW445" s="79" t="str" cm="1">
        <f t="array" aca="1" ref="AW445" ca="1">IFERROR(_xlfn.IFS(OR($M445="",$AM445=""),"",OR($C445="Offered",$C445="Joined"),($AM445-$M445)-$AT445),"")</f>
        <v/>
      </c>
      <c r="AX445" s="79" t="str" cm="1">
        <f t="array" aca="1" ref="AX445" ca="1">IFERROR(_xlfn.IFS(OR($M445="",$AS445=""),"",$C445="Joined",($AS445-$M445)-$AT445),"")</f>
        <v/>
      </c>
      <c r="AY445" s="67" t="str">
        <f>IFERROR(IF(COUNTIFS('Candidate Tracker'!$E:$E,'Positions Tracker'!$B445,'Candidate Tracker'!$C:$C,"Offer Drop")=0,"",COUNTIFS('Candidate Tracker'!$E:$E,'Positions Tracker'!$B445,'Candidate Tracker'!$C:$C,"Offer Drop")),"")</f>
        <v/>
      </c>
      <c r="AZ445" s="80">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0.88111888111888115</v>
      </c>
      <c r="BA445" s="81" t="str">
        <f>IFERROR(IF(COUNTIFS('Candidate Tracker'!$E:$E,'Positions Tracker'!$B445,'Candidate Tracker'!$I:$I,"Female")=0,"",COUNTIFS('Candidate Tracker'!$E:$E,'Positions Tracker'!$B445,'Candidate Tracker'!$I:$I,"Female")),"")</f>
        <v/>
      </c>
      <c r="BB445" s="81" t="str">
        <f>IFERROR(IF(COUNTIFS('Candidate Tracker'!$E:$E,'Positions Tracker'!$B445,'Candidate Tracker'!$I:$I,"male")=0,"",COUNTIFS('Candidate Tracker'!$E:$E,'Positions Tracker'!$B445,'Candidate Tracker'!$I:$I,"male")),"")</f>
        <v/>
      </c>
      <c r="BC445" s="80" t="str">
        <f>IFERROR(IF(COUNTIFS('Candidate Tracker'!$E:$E,'Positions Tracker'!$B445,'Candidate Tracker'!$C:$C,"&lt;&gt;WIP",'Candidate Tracker'!$C:$C,"&lt;&gt;Hold",'Candidate Tracker'!$C:$C,"&lt;&gt;Cancelled",'Candidate Tracker'!$C:$C,"&lt;&gt;Closed")/COUNTIFS('Candidate Tracker'!$E:$E,'Positions Tracker'!$B445)=0,"",COUNTIFS('Candidate Tracker'!$E:$E,'Positions Tracker'!$B445,'Candidate Tracker'!$C:$C,"&lt;&gt;WIP",'Candidate Tracker'!$C:$C,"&lt;&gt;Hold",'Candidate Tracker'!$C:$C,"&lt;&gt;Cancelled",'Candidate Tracker'!$C:$C,"&lt;&gt;Closed")/COUNTIFS('Candidate Tracker'!$E:$E,'Positions Tracker'!$B445)),"")</f>
        <v/>
      </c>
      <c r="BD445" s="67" t="str">
        <f t="shared" si="36"/>
        <v/>
      </c>
      <c r="BE445" s="67" t="str">
        <f t="shared" si="37"/>
        <v/>
      </c>
      <c r="BF445" s="67" t="str">
        <f t="shared" si="38"/>
        <v/>
      </c>
      <c r="BG445" s="67" t="str">
        <f t="shared" si="39"/>
        <v/>
      </c>
    </row>
    <row r="446" spans="1:59">
      <c r="A446" s="55"/>
      <c r="B446" s="56"/>
      <c r="C446" s="56"/>
      <c r="D446" s="56"/>
      <c r="E446" s="56"/>
      <c r="F446" s="56"/>
      <c r="G446" s="56"/>
      <c r="H446" s="56"/>
      <c r="I446" s="6"/>
      <c r="J446" s="6"/>
      <c r="K446" s="57"/>
      <c r="L446" s="57"/>
      <c r="M446" s="57"/>
      <c r="N446" s="56"/>
      <c r="O446" s="56"/>
      <c r="P446" s="56"/>
      <c r="Q446" s="56"/>
      <c r="R446" s="56"/>
      <c r="S446" s="56"/>
      <c r="T446" s="56"/>
      <c r="U446" s="56"/>
      <c r="V446" s="56"/>
      <c r="W446" s="56"/>
      <c r="X446" s="56"/>
      <c r="Y446" s="56"/>
      <c r="Z446" s="56"/>
      <c r="AA446" s="56"/>
      <c r="AB446" s="56"/>
      <c r="AC446" s="56"/>
      <c r="AD446" s="56"/>
      <c r="AE446" s="56"/>
      <c r="AF446" s="56"/>
      <c r="AG446" s="56"/>
      <c r="AH446" s="56"/>
      <c r="AI446" s="58"/>
      <c r="AJ446" s="56"/>
      <c r="AK446" s="56"/>
      <c r="AL446" s="56"/>
      <c r="AM446" s="57"/>
      <c r="AN446" s="57"/>
      <c r="AO446" s="56"/>
      <c r="AP446" s="56"/>
      <c r="AQ446" s="57"/>
      <c r="AR446" s="57"/>
      <c r="AS446" s="57"/>
      <c r="AT446" s="67">
        <f t="shared" ca="1" si="40"/>
        <v>0</v>
      </c>
      <c r="AU446" s="79" t="str">
        <f t="shared" ca="1" si="41"/>
        <v/>
      </c>
      <c r="AV446" s="79" t="str" cm="1">
        <f t="array" aca="1" ref="AV446" ca="1">IFERROR(_xlfn.IFS($AU446="","",$AU446&lt;=15,"0-15",AND($AU446&gt;=16,$AU446&lt;=30),"16-30",AND($AU446&gt;=31,$AU446&lt;=45),"31-45",AND($AU446&gt;=46,$AU446&lt;=60),"46-60",AND($AU446&gt;=61,$AU446&lt;=90),"61-90",AND($AU446&gt;=91),"&gt; 90",AND($AU446&gt;=2000),""),"")</f>
        <v/>
      </c>
      <c r="AW446" s="79" t="str" cm="1">
        <f t="array" aca="1" ref="AW446" ca="1">IFERROR(_xlfn.IFS(OR($M446="",$AM446=""),"",OR($C446="Offered",$C446="Joined"),($AM446-$M446)-$AT446),"")</f>
        <v/>
      </c>
      <c r="AX446" s="79" t="str" cm="1">
        <f t="array" aca="1" ref="AX446" ca="1">IFERROR(_xlfn.IFS(OR($M446="",$AS446=""),"",$C446="Joined",($AS446-$M446)-$AT446),"")</f>
        <v/>
      </c>
      <c r="AY446" s="67" t="str">
        <f>IFERROR(IF(COUNTIFS('Candidate Tracker'!$E:$E,'Positions Tracker'!$B446,'Candidate Tracker'!$C:$C,"Offer Drop")=0,"",COUNTIFS('Candidate Tracker'!$E:$E,'Positions Tracker'!$B446,'Candidate Tracker'!$C:$C,"Offer Drop")),"")</f>
        <v/>
      </c>
      <c r="AZ446" s="80">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0.88111888111888115</v>
      </c>
      <c r="BA446" s="81" t="str">
        <f>IFERROR(IF(COUNTIFS('Candidate Tracker'!$E:$E,'Positions Tracker'!$B446,'Candidate Tracker'!$I:$I,"Female")=0,"",COUNTIFS('Candidate Tracker'!$E:$E,'Positions Tracker'!$B446,'Candidate Tracker'!$I:$I,"Female")),"")</f>
        <v/>
      </c>
      <c r="BB446" s="81" t="str">
        <f>IFERROR(IF(COUNTIFS('Candidate Tracker'!$E:$E,'Positions Tracker'!$B446,'Candidate Tracker'!$I:$I,"male")=0,"",COUNTIFS('Candidate Tracker'!$E:$E,'Positions Tracker'!$B446,'Candidate Tracker'!$I:$I,"male")),"")</f>
        <v/>
      </c>
      <c r="BC446" s="80" t="str">
        <f>IFERROR(IF(COUNTIFS('Candidate Tracker'!$E:$E,'Positions Tracker'!$B446,'Candidate Tracker'!$C:$C,"&lt;&gt;WIP",'Candidate Tracker'!$C:$C,"&lt;&gt;Hold",'Candidate Tracker'!$C:$C,"&lt;&gt;Cancelled",'Candidate Tracker'!$C:$C,"&lt;&gt;Closed")/COUNTIFS('Candidate Tracker'!$E:$E,'Positions Tracker'!$B446)=0,"",COUNTIFS('Candidate Tracker'!$E:$E,'Positions Tracker'!$B446,'Candidate Tracker'!$C:$C,"&lt;&gt;WIP",'Candidate Tracker'!$C:$C,"&lt;&gt;Hold",'Candidate Tracker'!$C:$C,"&lt;&gt;Cancelled",'Candidate Tracker'!$C:$C,"&lt;&gt;Closed")/COUNTIFS('Candidate Tracker'!$E:$E,'Positions Tracker'!$B446)),"")</f>
        <v/>
      </c>
      <c r="BD446" s="67" t="str">
        <f t="shared" si="36"/>
        <v/>
      </c>
      <c r="BE446" s="67" t="str">
        <f t="shared" si="37"/>
        <v/>
      </c>
      <c r="BF446" s="67" t="str">
        <f t="shared" si="38"/>
        <v/>
      </c>
      <c r="BG446" s="67" t="str">
        <f t="shared" si="39"/>
        <v/>
      </c>
    </row>
    <row r="447" spans="1:59">
      <c r="A447" s="55"/>
      <c r="B447" s="56"/>
      <c r="C447" s="56"/>
      <c r="D447" s="56"/>
      <c r="E447" s="56"/>
      <c r="F447" s="56"/>
      <c r="G447" s="56"/>
      <c r="H447" s="56"/>
      <c r="I447" s="6"/>
      <c r="J447" s="6"/>
      <c r="K447" s="57"/>
      <c r="L447" s="57"/>
      <c r="M447" s="57"/>
      <c r="N447" s="56"/>
      <c r="O447" s="56"/>
      <c r="P447" s="56"/>
      <c r="Q447" s="56"/>
      <c r="R447" s="56"/>
      <c r="S447" s="56"/>
      <c r="T447" s="56"/>
      <c r="U447" s="56"/>
      <c r="V447" s="56"/>
      <c r="W447" s="56"/>
      <c r="X447" s="56"/>
      <c r="Y447" s="56"/>
      <c r="Z447" s="56"/>
      <c r="AA447" s="56"/>
      <c r="AB447" s="56"/>
      <c r="AC447" s="56"/>
      <c r="AD447" s="56"/>
      <c r="AE447" s="56"/>
      <c r="AF447" s="56"/>
      <c r="AG447" s="56"/>
      <c r="AH447" s="56"/>
      <c r="AI447" s="58"/>
      <c r="AJ447" s="56"/>
      <c r="AK447" s="56"/>
      <c r="AL447" s="56"/>
      <c r="AM447" s="57"/>
      <c r="AN447" s="57"/>
      <c r="AO447" s="56"/>
      <c r="AP447" s="56"/>
      <c r="AQ447" s="57"/>
      <c r="AR447" s="57"/>
      <c r="AS447" s="57"/>
      <c r="AT447" s="67">
        <f t="shared" ca="1" si="40"/>
        <v>0</v>
      </c>
      <c r="AU447" s="79" t="str">
        <f t="shared" ca="1" si="41"/>
        <v/>
      </c>
      <c r="AV447" s="79" t="str" cm="1">
        <f t="array" aca="1" ref="AV447" ca="1">IFERROR(_xlfn.IFS($AU447="","",$AU447&lt;=15,"0-15",AND($AU447&gt;=16,$AU447&lt;=30),"16-30",AND($AU447&gt;=31,$AU447&lt;=45),"31-45",AND($AU447&gt;=46,$AU447&lt;=60),"46-60",AND($AU447&gt;=61,$AU447&lt;=90),"61-90",AND($AU447&gt;=91),"&gt; 90",AND($AU447&gt;=2000),""),"")</f>
        <v/>
      </c>
      <c r="AW447" s="79" t="str" cm="1">
        <f t="array" aca="1" ref="AW447" ca="1">IFERROR(_xlfn.IFS(OR($M447="",$AM447=""),"",OR($C447="Offered",$C447="Joined"),($AM447-$M447)-$AT447),"")</f>
        <v/>
      </c>
      <c r="AX447" s="79" t="str" cm="1">
        <f t="array" aca="1" ref="AX447" ca="1">IFERROR(_xlfn.IFS(OR($M447="",$AS447=""),"",$C447="Joined",($AS447-$M447)-$AT447),"")</f>
        <v/>
      </c>
      <c r="AY447" s="67" t="str">
        <f>IFERROR(IF(COUNTIFS('Candidate Tracker'!$E:$E,'Positions Tracker'!$B447,'Candidate Tracker'!$C:$C,"Offer Drop")=0,"",COUNTIFS('Candidate Tracker'!$E:$E,'Positions Tracker'!$B447,'Candidate Tracker'!$C:$C,"Offer Drop")),"")</f>
        <v/>
      </c>
      <c r="AZ447" s="80">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0.88111888111888115</v>
      </c>
      <c r="BA447" s="81" t="str">
        <f>IFERROR(IF(COUNTIFS('Candidate Tracker'!$E:$E,'Positions Tracker'!$B447,'Candidate Tracker'!$I:$I,"Female")=0,"",COUNTIFS('Candidate Tracker'!$E:$E,'Positions Tracker'!$B447,'Candidate Tracker'!$I:$I,"Female")),"")</f>
        <v/>
      </c>
      <c r="BB447" s="81" t="str">
        <f>IFERROR(IF(COUNTIFS('Candidate Tracker'!$E:$E,'Positions Tracker'!$B447,'Candidate Tracker'!$I:$I,"male")=0,"",COUNTIFS('Candidate Tracker'!$E:$E,'Positions Tracker'!$B447,'Candidate Tracker'!$I:$I,"male")),"")</f>
        <v/>
      </c>
      <c r="BC447" s="80" t="str">
        <f>IFERROR(IF(COUNTIFS('Candidate Tracker'!$E:$E,'Positions Tracker'!$B447,'Candidate Tracker'!$C:$C,"&lt;&gt;WIP",'Candidate Tracker'!$C:$C,"&lt;&gt;Hold",'Candidate Tracker'!$C:$C,"&lt;&gt;Cancelled",'Candidate Tracker'!$C:$C,"&lt;&gt;Closed")/COUNTIFS('Candidate Tracker'!$E:$E,'Positions Tracker'!$B447)=0,"",COUNTIFS('Candidate Tracker'!$E:$E,'Positions Tracker'!$B447,'Candidate Tracker'!$C:$C,"&lt;&gt;WIP",'Candidate Tracker'!$C:$C,"&lt;&gt;Hold",'Candidate Tracker'!$C:$C,"&lt;&gt;Cancelled",'Candidate Tracker'!$C:$C,"&lt;&gt;Closed")/COUNTIFS('Candidate Tracker'!$E:$E,'Positions Tracker'!$B447)),"")</f>
        <v/>
      </c>
      <c r="BD447" s="67" t="str">
        <f t="shared" si="36"/>
        <v/>
      </c>
      <c r="BE447" s="67" t="str">
        <f t="shared" si="37"/>
        <v/>
      </c>
      <c r="BF447" s="67" t="str">
        <f t="shared" si="38"/>
        <v/>
      </c>
      <c r="BG447" s="67" t="str">
        <f t="shared" si="39"/>
        <v/>
      </c>
    </row>
    <row r="448" spans="1:59">
      <c r="A448" s="55"/>
      <c r="B448" s="56"/>
      <c r="C448" s="56"/>
      <c r="D448" s="56"/>
      <c r="E448" s="56"/>
      <c r="F448" s="56"/>
      <c r="G448" s="56"/>
      <c r="H448" s="56"/>
      <c r="I448" s="6"/>
      <c r="J448" s="6"/>
      <c r="K448" s="57"/>
      <c r="L448" s="57"/>
      <c r="M448" s="57"/>
      <c r="N448" s="56"/>
      <c r="O448" s="56"/>
      <c r="P448" s="56"/>
      <c r="Q448" s="56"/>
      <c r="R448" s="56"/>
      <c r="S448" s="56"/>
      <c r="T448" s="56"/>
      <c r="U448" s="56"/>
      <c r="V448" s="56"/>
      <c r="W448" s="56"/>
      <c r="X448" s="56"/>
      <c r="Y448" s="56"/>
      <c r="Z448" s="56"/>
      <c r="AA448" s="56"/>
      <c r="AB448" s="56"/>
      <c r="AC448" s="56"/>
      <c r="AD448" s="56"/>
      <c r="AE448" s="56"/>
      <c r="AF448" s="56"/>
      <c r="AG448" s="56"/>
      <c r="AH448" s="56"/>
      <c r="AI448" s="58"/>
      <c r="AJ448" s="56"/>
      <c r="AK448" s="56"/>
      <c r="AL448" s="56"/>
      <c r="AM448" s="57"/>
      <c r="AN448" s="57"/>
      <c r="AO448" s="56"/>
      <c r="AP448" s="56"/>
      <c r="AQ448" s="57"/>
      <c r="AR448" s="57"/>
      <c r="AS448" s="57"/>
      <c r="AT448" s="67">
        <f t="shared" ca="1" si="40"/>
        <v>0</v>
      </c>
      <c r="AU448" s="79" t="str">
        <f t="shared" ca="1" si="41"/>
        <v/>
      </c>
      <c r="AV448" s="79" t="str" cm="1">
        <f t="array" aca="1" ref="AV448" ca="1">IFERROR(_xlfn.IFS($AU448="","",$AU448&lt;=15,"0-15",AND($AU448&gt;=16,$AU448&lt;=30),"16-30",AND($AU448&gt;=31,$AU448&lt;=45),"31-45",AND($AU448&gt;=46,$AU448&lt;=60),"46-60",AND($AU448&gt;=61,$AU448&lt;=90),"61-90",AND($AU448&gt;=91),"&gt; 90",AND($AU448&gt;=2000),""),"")</f>
        <v/>
      </c>
      <c r="AW448" s="79" t="str" cm="1">
        <f t="array" aca="1" ref="AW448" ca="1">IFERROR(_xlfn.IFS(OR($M448="",$AM448=""),"",OR($C448="Offered",$C448="Joined"),($AM448-$M448)-$AT448),"")</f>
        <v/>
      </c>
      <c r="AX448" s="79" t="str" cm="1">
        <f t="array" aca="1" ref="AX448" ca="1">IFERROR(_xlfn.IFS(OR($M448="",$AS448=""),"",$C448="Joined",($AS448-$M448)-$AT448),"")</f>
        <v/>
      </c>
      <c r="AY448" s="67" t="str">
        <f>IFERROR(IF(COUNTIFS('Candidate Tracker'!$E:$E,'Positions Tracker'!$B448,'Candidate Tracker'!$C:$C,"Offer Drop")=0,"",COUNTIFS('Candidate Tracker'!$E:$E,'Positions Tracker'!$B448,'Candidate Tracker'!$C:$C,"Offer Drop")),"")</f>
        <v/>
      </c>
      <c r="AZ448" s="80">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0.88111888111888115</v>
      </c>
      <c r="BA448" s="81" t="str">
        <f>IFERROR(IF(COUNTIFS('Candidate Tracker'!$E:$E,'Positions Tracker'!$B448,'Candidate Tracker'!$I:$I,"Female")=0,"",COUNTIFS('Candidate Tracker'!$E:$E,'Positions Tracker'!$B448,'Candidate Tracker'!$I:$I,"Female")),"")</f>
        <v/>
      </c>
      <c r="BB448" s="81" t="str">
        <f>IFERROR(IF(COUNTIFS('Candidate Tracker'!$E:$E,'Positions Tracker'!$B448,'Candidate Tracker'!$I:$I,"male")=0,"",COUNTIFS('Candidate Tracker'!$E:$E,'Positions Tracker'!$B448,'Candidate Tracker'!$I:$I,"male")),"")</f>
        <v/>
      </c>
      <c r="BC448" s="80" t="str">
        <f>IFERROR(IF(COUNTIFS('Candidate Tracker'!$E:$E,'Positions Tracker'!$B448,'Candidate Tracker'!$C:$C,"&lt;&gt;WIP",'Candidate Tracker'!$C:$C,"&lt;&gt;Hold",'Candidate Tracker'!$C:$C,"&lt;&gt;Cancelled",'Candidate Tracker'!$C:$C,"&lt;&gt;Closed")/COUNTIFS('Candidate Tracker'!$E:$E,'Positions Tracker'!$B448)=0,"",COUNTIFS('Candidate Tracker'!$E:$E,'Positions Tracker'!$B448,'Candidate Tracker'!$C:$C,"&lt;&gt;WIP",'Candidate Tracker'!$C:$C,"&lt;&gt;Hold",'Candidate Tracker'!$C:$C,"&lt;&gt;Cancelled",'Candidate Tracker'!$C:$C,"&lt;&gt;Closed")/COUNTIFS('Candidate Tracker'!$E:$E,'Positions Tracker'!$B448)),"")</f>
        <v/>
      </c>
      <c r="BD448" s="67" t="str">
        <f t="shared" si="36"/>
        <v/>
      </c>
      <c r="BE448" s="67" t="str">
        <f t="shared" si="37"/>
        <v/>
      </c>
      <c r="BF448" s="67" t="str">
        <f t="shared" si="38"/>
        <v/>
      </c>
      <c r="BG448" s="67" t="str">
        <f t="shared" si="39"/>
        <v/>
      </c>
    </row>
    <row r="449" spans="1:59">
      <c r="A449" s="55"/>
      <c r="B449" s="56"/>
      <c r="C449" s="56"/>
      <c r="D449" s="56"/>
      <c r="E449" s="56"/>
      <c r="F449" s="56"/>
      <c r="G449" s="56"/>
      <c r="H449" s="56"/>
      <c r="I449" s="6"/>
      <c r="J449" s="6"/>
      <c r="K449" s="57"/>
      <c r="L449" s="57"/>
      <c r="M449" s="57"/>
      <c r="N449" s="56"/>
      <c r="O449" s="56"/>
      <c r="P449" s="56"/>
      <c r="Q449" s="56"/>
      <c r="R449" s="56"/>
      <c r="S449" s="56"/>
      <c r="T449" s="56"/>
      <c r="U449" s="56"/>
      <c r="V449" s="56"/>
      <c r="W449" s="56"/>
      <c r="X449" s="56"/>
      <c r="Y449" s="56"/>
      <c r="Z449" s="56"/>
      <c r="AA449" s="56"/>
      <c r="AB449" s="56"/>
      <c r="AC449" s="56"/>
      <c r="AD449" s="56"/>
      <c r="AE449" s="56"/>
      <c r="AF449" s="56"/>
      <c r="AG449" s="56"/>
      <c r="AH449" s="56"/>
      <c r="AI449" s="58"/>
      <c r="AJ449" s="56"/>
      <c r="AK449" s="56"/>
      <c r="AL449" s="56"/>
      <c r="AM449" s="57"/>
      <c r="AN449" s="57"/>
      <c r="AO449" s="56"/>
      <c r="AP449" s="56"/>
      <c r="AQ449" s="57"/>
      <c r="AR449" s="57"/>
      <c r="AS449" s="57"/>
      <c r="AT449" s="67">
        <f t="shared" ca="1" si="40"/>
        <v>0</v>
      </c>
      <c r="AU449" s="79" t="str">
        <f t="shared" ca="1" si="41"/>
        <v/>
      </c>
      <c r="AV449" s="79" t="str" cm="1">
        <f t="array" aca="1" ref="AV449" ca="1">IFERROR(_xlfn.IFS($AU449="","",$AU449&lt;=15,"0-15",AND($AU449&gt;=16,$AU449&lt;=30),"16-30",AND($AU449&gt;=31,$AU449&lt;=45),"31-45",AND($AU449&gt;=46,$AU449&lt;=60),"46-60",AND($AU449&gt;=61,$AU449&lt;=90),"61-90",AND($AU449&gt;=91),"&gt; 90",AND($AU449&gt;=2000),""),"")</f>
        <v/>
      </c>
      <c r="AW449" s="79" t="str" cm="1">
        <f t="array" aca="1" ref="AW449" ca="1">IFERROR(_xlfn.IFS(OR($M449="",$AM449=""),"",OR($C449="Offered",$C449="Joined"),($AM449-$M449)-$AT449),"")</f>
        <v/>
      </c>
      <c r="AX449" s="79" t="str" cm="1">
        <f t="array" aca="1" ref="AX449" ca="1">IFERROR(_xlfn.IFS(OR($M449="",$AS449=""),"",$C449="Joined",($AS449-$M449)-$AT449),"")</f>
        <v/>
      </c>
      <c r="AY449" s="67" t="str">
        <f>IFERROR(IF(COUNTIFS('Candidate Tracker'!$E:$E,'Positions Tracker'!$B449,'Candidate Tracker'!$C:$C,"Offer Drop")=0,"",COUNTIFS('Candidate Tracker'!$E:$E,'Positions Tracker'!$B449,'Candidate Tracker'!$C:$C,"Offer Drop")),"")</f>
        <v/>
      </c>
      <c r="AZ449" s="80">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0.88111888111888115</v>
      </c>
      <c r="BA449" s="81" t="str">
        <f>IFERROR(IF(COUNTIFS('Candidate Tracker'!$E:$E,'Positions Tracker'!$B449,'Candidate Tracker'!$I:$I,"Female")=0,"",COUNTIFS('Candidate Tracker'!$E:$E,'Positions Tracker'!$B449,'Candidate Tracker'!$I:$I,"Female")),"")</f>
        <v/>
      </c>
      <c r="BB449" s="81" t="str">
        <f>IFERROR(IF(COUNTIFS('Candidate Tracker'!$E:$E,'Positions Tracker'!$B449,'Candidate Tracker'!$I:$I,"male")=0,"",COUNTIFS('Candidate Tracker'!$E:$E,'Positions Tracker'!$B449,'Candidate Tracker'!$I:$I,"male")),"")</f>
        <v/>
      </c>
      <c r="BC449" s="80" t="str">
        <f>IFERROR(IF(COUNTIFS('Candidate Tracker'!$E:$E,'Positions Tracker'!$B449,'Candidate Tracker'!$C:$C,"&lt;&gt;WIP",'Candidate Tracker'!$C:$C,"&lt;&gt;Hold",'Candidate Tracker'!$C:$C,"&lt;&gt;Cancelled",'Candidate Tracker'!$C:$C,"&lt;&gt;Closed")/COUNTIFS('Candidate Tracker'!$E:$E,'Positions Tracker'!$B449)=0,"",COUNTIFS('Candidate Tracker'!$E:$E,'Positions Tracker'!$B449,'Candidate Tracker'!$C:$C,"&lt;&gt;WIP",'Candidate Tracker'!$C:$C,"&lt;&gt;Hold",'Candidate Tracker'!$C:$C,"&lt;&gt;Cancelled",'Candidate Tracker'!$C:$C,"&lt;&gt;Closed")/COUNTIFS('Candidate Tracker'!$E:$E,'Positions Tracker'!$B449)),"")</f>
        <v/>
      </c>
      <c r="BD449" s="67" t="str">
        <f t="shared" ref="BD449:BD512" si="42">IFERROR(IF($M449="","",TEXT($M449,"MMM-YY")),"")</f>
        <v/>
      </c>
      <c r="BE449" s="67" t="str">
        <f t="shared" ref="BE449:BE512" si="43">IFERROR(IF($AI449="","",TEXT($AI449,"MMM-YY")),"")</f>
        <v/>
      </c>
      <c r="BF449" s="67" t="str">
        <f t="shared" ref="BF449:BF512" si="44">IFERROR(IF($AM449="","",TEXT($AM449,"MMM-YY")),"")</f>
        <v/>
      </c>
      <c r="BG449" s="67" t="str">
        <f t="shared" ref="BG449:BG512" si="45">IFERROR(IF($AS449="","",TEXT($AS449,"MMM-YY")),"")</f>
        <v/>
      </c>
    </row>
    <row r="450" spans="1:59">
      <c r="A450" s="55"/>
      <c r="B450" s="56"/>
      <c r="C450" s="56"/>
      <c r="D450" s="56"/>
      <c r="E450" s="56"/>
      <c r="F450" s="56"/>
      <c r="G450" s="56"/>
      <c r="H450" s="56"/>
      <c r="I450" s="6"/>
      <c r="J450" s="6"/>
      <c r="K450" s="57"/>
      <c r="L450" s="57"/>
      <c r="M450" s="57"/>
      <c r="N450" s="56"/>
      <c r="O450" s="56"/>
      <c r="P450" s="56"/>
      <c r="Q450" s="56"/>
      <c r="R450" s="56"/>
      <c r="S450" s="56"/>
      <c r="T450" s="56"/>
      <c r="U450" s="56"/>
      <c r="V450" s="56"/>
      <c r="W450" s="56"/>
      <c r="X450" s="56"/>
      <c r="Y450" s="56"/>
      <c r="Z450" s="56"/>
      <c r="AA450" s="56"/>
      <c r="AB450" s="56"/>
      <c r="AC450" s="56"/>
      <c r="AD450" s="56"/>
      <c r="AE450" s="56"/>
      <c r="AF450" s="56"/>
      <c r="AG450" s="56"/>
      <c r="AH450" s="56"/>
      <c r="AI450" s="58"/>
      <c r="AJ450" s="56"/>
      <c r="AK450" s="56"/>
      <c r="AL450" s="56"/>
      <c r="AM450" s="57"/>
      <c r="AN450" s="57"/>
      <c r="AO450" s="56"/>
      <c r="AP450" s="56"/>
      <c r="AQ450" s="57"/>
      <c r="AR450" s="57"/>
      <c r="AS450" s="57"/>
      <c r="AT450" s="67">
        <f t="shared" ref="AT450:AT513" ca="1" si="46">IFERROR(SUM(IF(AND(ISBLANK(T450),ISBLANK(Q450)),0,IF(T450="",TODAY()-Q450,T450-Q450))+IF(AND(ISBLANK(S450),ISBLANK(P450)),0,IF(S450="",TODAY()-P450,S450-P450))+IF(AND(ISBLANK(O450),ISBLANK(R450)),0,IF(R450="",TODAY()-O450,R450-O450))),"")</f>
        <v>0</v>
      </c>
      <c r="AU450" s="79" t="str">
        <f t="shared" ref="AU450:AU513" ca="1" si="47">IFERROR(IF(($M450=""),"",IF(OR(,$C450="Offer in Progress",$C450="WIP",$C450="WIP/Drop",$C450="WIP/New",$C450="WIP/Hold"),(TODAY()-$M450)-$AT450,"")),"")</f>
        <v/>
      </c>
      <c r="AV450" s="79" t="str" cm="1">
        <f t="array" aca="1" ref="AV450" ca="1">IFERROR(_xlfn.IFS($AU450="","",$AU450&lt;=15,"0-15",AND($AU450&gt;=16,$AU450&lt;=30),"16-30",AND($AU450&gt;=31,$AU450&lt;=45),"31-45",AND($AU450&gt;=46,$AU450&lt;=60),"46-60",AND($AU450&gt;=61,$AU450&lt;=90),"61-90",AND($AU450&gt;=91),"&gt; 90",AND($AU450&gt;=2000),""),"")</f>
        <v/>
      </c>
      <c r="AW450" s="79" t="str" cm="1">
        <f t="array" aca="1" ref="AW450" ca="1">IFERROR(_xlfn.IFS(OR($M450="",$AM450=""),"",OR($C450="Offered",$C450="Joined"),($AM450-$M450)-$AT450),"")</f>
        <v/>
      </c>
      <c r="AX450" s="79" t="str" cm="1">
        <f t="array" aca="1" ref="AX450" ca="1">IFERROR(_xlfn.IFS(OR($M450="",$AS450=""),"",$C450="Joined",($AS450-$M450)-$AT450),"")</f>
        <v/>
      </c>
      <c r="AY450" s="67" t="str">
        <f>IFERROR(IF(COUNTIFS('Candidate Tracker'!$E:$E,'Positions Tracker'!$B450,'Candidate Tracker'!$C:$C,"Offer Drop")=0,"",COUNTIFS('Candidate Tracker'!$E:$E,'Positions Tracker'!$B450,'Candidate Tracker'!$C:$C,"Offer Drop")),"")</f>
        <v/>
      </c>
      <c r="AZ450" s="80">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0.88111888111888115</v>
      </c>
      <c r="BA450" s="81" t="str">
        <f>IFERROR(IF(COUNTIFS('Candidate Tracker'!$E:$E,'Positions Tracker'!$B450,'Candidate Tracker'!$I:$I,"Female")=0,"",COUNTIFS('Candidate Tracker'!$E:$E,'Positions Tracker'!$B450,'Candidate Tracker'!$I:$I,"Female")),"")</f>
        <v/>
      </c>
      <c r="BB450" s="81" t="str">
        <f>IFERROR(IF(COUNTIFS('Candidate Tracker'!$E:$E,'Positions Tracker'!$B450,'Candidate Tracker'!$I:$I,"male")=0,"",COUNTIFS('Candidate Tracker'!$E:$E,'Positions Tracker'!$B450,'Candidate Tracker'!$I:$I,"male")),"")</f>
        <v/>
      </c>
      <c r="BC450" s="80" t="str">
        <f>IFERROR(IF(COUNTIFS('Candidate Tracker'!$E:$E,'Positions Tracker'!$B450,'Candidate Tracker'!$C:$C,"&lt;&gt;WIP",'Candidate Tracker'!$C:$C,"&lt;&gt;Hold",'Candidate Tracker'!$C:$C,"&lt;&gt;Cancelled",'Candidate Tracker'!$C:$C,"&lt;&gt;Closed")/COUNTIFS('Candidate Tracker'!$E:$E,'Positions Tracker'!$B450)=0,"",COUNTIFS('Candidate Tracker'!$E:$E,'Positions Tracker'!$B450,'Candidate Tracker'!$C:$C,"&lt;&gt;WIP",'Candidate Tracker'!$C:$C,"&lt;&gt;Hold",'Candidate Tracker'!$C:$C,"&lt;&gt;Cancelled",'Candidate Tracker'!$C:$C,"&lt;&gt;Closed")/COUNTIFS('Candidate Tracker'!$E:$E,'Positions Tracker'!$B450)),"")</f>
        <v/>
      </c>
      <c r="BD450" s="67" t="str">
        <f t="shared" si="42"/>
        <v/>
      </c>
      <c r="BE450" s="67" t="str">
        <f t="shared" si="43"/>
        <v/>
      </c>
      <c r="BF450" s="67" t="str">
        <f t="shared" si="44"/>
        <v/>
      </c>
      <c r="BG450" s="67" t="str">
        <f t="shared" si="45"/>
        <v/>
      </c>
    </row>
    <row r="451" spans="1:59">
      <c r="A451" s="55"/>
      <c r="B451" s="56"/>
      <c r="C451" s="56"/>
      <c r="D451" s="56"/>
      <c r="E451" s="56"/>
      <c r="F451" s="56"/>
      <c r="G451" s="56"/>
      <c r="H451" s="56"/>
      <c r="I451" s="6"/>
      <c r="J451" s="6"/>
      <c r="K451" s="57"/>
      <c r="L451" s="57"/>
      <c r="M451" s="57"/>
      <c r="N451" s="56"/>
      <c r="O451" s="56"/>
      <c r="P451" s="56"/>
      <c r="Q451" s="56"/>
      <c r="R451" s="56"/>
      <c r="S451" s="56"/>
      <c r="T451" s="56"/>
      <c r="U451" s="56"/>
      <c r="V451" s="56"/>
      <c r="W451" s="56"/>
      <c r="X451" s="56"/>
      <c r="Y451" s="56"/>
      <c r="Z451" s="56"/>
      <c r="AA451" s="56"/>
      <c r="AB451" s="56"/>
      <c r="AC451" s="56"/>
      <c r="AD451" s="56"/>
      <c r="AE451" s="56"/>
      <c r="AF451" s="56"/>
      <c r="AG451" s="56"/>
      <c r="AH451" s="56"/>
      <c r="AI451" s="58"/>
      <c r="AJ451" s="56"/>
      <c r="AK451" s="56"/>
      <c r="AL451" s="56"/>
      <c r="AM451" s="57"/>
      <c r="AN451" s="57"/>
      <c r="AO451" s="56"/>
      <c r="AP451" s="56"/>
      <c r="AQ451" s="57"/>
      <c r="AR451" s="57"/>
      <c r="AS451" s="57"/>
      <c r="AT451" s="67">
        <f t="shared" ca="1" si="46"/>
        <v>0</v>
      </c>
      <c r="AU451" s="79" t="str">
        <f t="shared" ca="1" si="47"/>
        <v/>
      </c>
      <c r="AV451" s="79" t="str" cm="1">
        <f t="array" aca="1" ref="AV451" ca="1">IFERROR(_xlfn.IFS($AU451="","",$AU451&lt;=15,"0-15",AND($AU451&gt;=16,$AU451&lt;=30),"16-30",AND($AU451&gt;=31,$AU451&lt;=45),"31-45",AND($AU451&gt;=46,$AU451&lt;=60),"46-60",AND($AU451&gt;=61,$AU451&lt;=90),"61-90",AND($AU451&gt;=91),"&gt; 90",AND($AU451&gt;=2000),""),"")</f>
        <v/>
      </c>
      <c r="AW451" s="79" t="str" cm="1">
        <f t="array" aca="1" ref="AW451" ca="1">IFERROR(_xlfn.IFS(OR($M451="",$AM451=""),"",OR($C451="Offered",$C451="Joined"),($AM451-$M451)-$AT451),"")</f>
        <v/>
      </c>
      <c r="AX451" s="79" t="str" cm="1">
        <f t="array" aca="1" ref="AX451" ca="1">IFERROR(_xlfn.IFS(OR($M451="",$AS451=""),"",$C451="Joined",($AS451-$M451)-$AT451),"")</f>
        <v/>
      </c>
      <c r="AY451" s="67" t="str">
        <f>IFERROR(IF(COUNTIFS('Candidate Tracker'!$E:$E,'Positions Tracker'!$B451,'Candidate Tracker'!$C:$C,"Offer Drop")=0,"",COUNTIFS('Candidate Tracker'!$E:$E,'Positions Tracker'!$B451,'Candidate Tracker'!$C:$C,"Offer Drop")),"")</f>
        <v/>
      </c>
      <c r="AZ451" s="80">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0.88111888111888115</v>
      </c>
      <c r="BA451" s="81" t="str">
        <f>IFERROR(IF(COUNTIFS('Candidate Tracker'!$E:$E,'Positions Tracker'!$B451,'Candidate Tracker'!$I:$I,"Female")=0,"",COUNTIFS('Candidate Tracker'!$E:$E,'Positions Tracker'!$B451,'Candidate Tracker'!$I:$I,"Female")),"")</f>
        <v/>
      </c>
      <c r="BB451" s="81" t="str">
        <f>IFERROR(IF(COUNTIFS('Candidate Tracker'!$E:$E,'Positions Tracker'!$B451,'Candidate Tracker'!$I:$I,"male")=0,"",COUNTIFS('Candidate Tracker'!$E:$E,'Positions Tracker'!$B451,'Candidate Tracker'!$I:$I,"male")),"")</f>
        <v/>
      </c>
      <c r="BC451" s="80" t="str">
        <f>IFERROR(IF(COUNTIFS('Candidate Tracker'!$E:$E,'Positions Tracker'!$B451,'Candidate Tracker'!$C:$C,"&lt;&gt;WIP",'Candidate Tracker'!$C:$C,"&lt;&gt;Hold",'Candidate Tracker'!$C:$C,"&lt;&gt;Cancelled",'Candidate Tracker'!$C:$C,"&lt;&gt;Closed")/COUNTIFS('Candidate Tracker'!$E:$E,'Positions Tracker'!$B451)=0,"",COUNTIFS('Candidate Tracker'!$E:$E,'Positions Tracker'!$B451,'Candidate Tracker'!$C:$C,"&lt;&gt;WIP",'Candidate Tracker'!$C:$C,"&lt;&gt;Hold",'Candidate Tracker'!$C:$C,"&lt;&gt;Cancelled",'Candidate Tracker'!$C:$C,"&lt;&gt;Closed")/COUNTIFS('Candidate Tracker'!$E:$E,'Positions Tracker'!$B451)),"")</f>
        <v/>
      </c>
      <c r="BD451" s="67" t="str">
        <f t="shared" si="42"/>
        <v/>
      </c>
      <c r="BE451" s="67" t="str">
        <f t="shared" si="43"/>
        <v/>
      </c>
      <c r="BF451" s="67" t="str">
        <f t="shared" si="44"/>
        <v/>
      </c>
      <c r="BG451" s="67" t="str">
        <f t="shared" si="45"/>
        <v/>
      </c>
    </row>
    <row r="452" spans="1:59">
      <c r="A452" s="55"/>
      <c r="B452" s="56"/>
      <c r="C452" s="56"/>
      <c r="D452" s="56"/>
      <c r="E452" s="56"/>
      <c r="F452" s="56"/>
      <c r="G452" s="56"/>
      <c r="H452" s="56"/>
      <c r="I452" s="6"/>
      <c r="J452" s="6"/>
      <c r="K452" s="57"/>
      <c r="L452" s="57"/>
      <c r="M452" s="57"/>
      <c r="N452" s="56"/>
      <c r="O452" s="56"/>
      <c r="P452" s="56"/>
      <c r="Q452" s="56"/>
      <c r="R452" s="56"/>
      <c r="S452" s="56"/>
      <c r="T452" s="56"/>
      <c r="U452" s="56"/>
      <c r="V452" s="56"/>
      <c r="W452" s="56"/>
      <c r="X452" s="56"/>
      <c r="Y452" s="56"/>
      <c r="Z452" s="56"/>
      <c r="AA452" s="56"/>
      <c r="AB452" s="56"/>
      <c r="AC452" s="56"/>
      <c r="AD452" s="56"/>
      <c r="AE452" s="56"/>
      <c r="AF452" s="56"/>
      <c r="AG452" s="56"/>
      <c r="AH452" s="56"/>
      <c r="AI452" s="58"/>
      <c r="AJ452" s="56"/>
      <c r="AK452" s="56"/>
      <c r="AL452" s="56"/>
      <c r="AM452" s="57"/>
      <c r="AN452" s="57"/>
      <c r="AO452" s="56"/>
      <c r="AP452" s="56"/>
      <c r="AQ452" s="57"/>
      <c r="AR452" s="57"/>
      <c r="AS452" s="57"/>
      <c r="AT452" s="67">
        <f t="shared" ca="1" si="46"/>
        <v>0</v>
      </c>
      <c r="AU452" s="79" t="str">
        <f t="shared" ca="1" si="47"/>
        <v/>
      </c>
      <c r="AV452" s="79" t="str" cm="1">
        <f t="array" aca="1" ref="AV452" ca="1">IFERROR(_xlfn.IFS($AU452="","",$AU452&lt;=15,"0-15",AND($AU452&gt;=16,$AU452&lt;=30),"16-30",AND($AU452&gt;=31,$AU452&lt;=45),"31-45",AND($AU452&gt;=46,$AU452&lt;=60),"46-60",AND($AU452&gt;=61,$AU452&lt;=90),"61-90",AND($AU452&gt;=91),"&gt; 90",AND($AU452&gt;=2000),""),"")</f>
        <v/>
      </c>
      <c r="AW452" s="79" t="str" cm="1">
        <f t="array" aca="1" ref="AW452" ca="1">IFERROR(_xlfn.IFS(OR($M452="",$AM452=""),"",OR($C452="Offered",$C452="Joined"),($AM452-$M452)-$AT452),"")</f>
        <v/>
      </c>
      <c r="AX452" s="79" t="str" cm="1">
        <f t="array" aca="1" ref="AX452" ca="1">IFERROR(_xlfn.IFS(OR($M452="",$AS452=""),"",$C452="Joined",($AS452-$M452)-$AT452),"")</f>
        <v/>
      </c>
      <c r="AY452" s="67" t="str">
        <f>IFERROR(IF(COUNTIFS('Candidate Tracker'!$E:$E,'Positions Tracker'!$B452,'Candidate Tracker'!$C:$C,"Offer Drop")=0,"",COUNTIFS('Candidate Tracker'!$E:$E,'Positions Tracker'!$B452,'Candidate Tracker'!$C:$C,"Offer Drop")),"")</f>
        <v/>
      </c>
      <c r="AZ452" s="80">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0.88111888111888115</v>
      </c>
      <c r="BA452" s="81" t="str">
        <f>IFERROR(IF(COUNTIFS('Candidate Tracker'!$E:$E,'Positions Tracker'!$B452,'Candidate Tracker'!$I:$I,"Female")=0,"",COUNTIFS('Candidate Tracker'!$E:$E,'Positions Tracker'!$B452,'Candidate Tracker'!$I:$I,"Female")),"")</f>
        <v/>
      </c>
      <c r="BB452" s="81" t="str">
        <f>IFERROR(IF(COUNTIFS('Candidate Tracker'!$E:$E,'Positions Tracker'!$B452,'Candidate Tracker'!$I:$I,"male")=0,"",COUNTIFS('Candidate Tracker'!$E:$E,'Positions Tracker'!$B452,'Candidate Tracker'!$I:$I,"male")),"")</f>
        <v/>
      </c>
      <c r="BC452" s="80" t="str">
        <f>IFERROR(IF(COUNTIFS('Candidate Tracker'!$E:$E,'Positions Tracker'!$B452,'Candidate Tracker'!$C:$C,"&lt;&gt;WIP",'Candidate Tracker'!$C:$C,"&lt;&gt;Hold",'Candidate Tracker'!$C:$C,"&lt;&gt;Cancelled",'Candidate Tracker'!$C:$C,"&lt;&gt;Closed")/COUNTIFS('Candidate Tracker'!$E:$E,'Positions Tracker'!$B452)=0,"",COUNTIFS('Candidate Tracker'!$E:$E,'Positions Tracker'!$B452,'Candidate Tracker'!$C:$C,"&lt;&gt;WIP",'Candidate Tracker'!$C:$C,"&lt;&gt;Hold",'Candidate Tracker'!$C:$C,"&lt;&gt;Cancelled",'Candidate Tracker'!$C:$C,"&lt;&gt;Closed")/COUNTIFS('Candidate Tracker'!$E:$E,'Positions Tracker'!$B452)),"")</f>
        <v/>
      </c>
      <c r="BD452" s="67" t="str">
        <f t="shared" si="42"/>
        <v/>
      </c>
      <c r="BE452" s="67" t="str">
        <f t="shared" si="43"/>
        <v/>
      </c>
      <c r="BF452" s="67" t="str">
        <f t="shared" si="44"/>
        <v/>
      </c>
      <c r="BG452" s="67" t="str">
        <f t="shared" si="45"/>
        <v/>
      </c>
    </row>
    <row r="453" spans="1:59">
      <c r="A453" s="55"/>
      <c r="B453" s="56"/>
      <c r="C453" s="56"/>
      <c r="D453" s="56"/>
      <c r="E453" s="56"/>
      <c r="F453" s="56"/>
      <c r="G453" s="56"/>
      <c r="H453" s="56"/>
      <c r="I453" s="6"/>
      <c r="J453" s="6"/>
      <c r="K453" s="57"/>
      <c r="L453" s="57"/>
      <c r="M453" s="57"/>
      <c r="N453" s="56"/>
      <c r="O453" s="56"/>
      <c r="P453" s="56"/>
      <c r="Q453" s="56"/>
      <c r="R453" s="56"/>
      <c r="S453" s="56"/>
      <c r="T453" s="56"/>
      <c r="U453" s="56"/>
      <c r="V453" s="56"/>
      <c r="W453" s="56"/>
      <c r="X453" s="56"/>
      <c r="Y453" s="56"/>
      <c r="Z453" s="56"/>
      <c r="AA453" s="56"/>
      <c r="AB453" s="56"/>
      <c r="AC453" s="56"/>
      <c r="AD453" s="56"/>
      <c r="AE453" s="56"/>
      <c r="AF453" s="56"/>
      <c r="AG453" s="56"/>
      <c r="AH453" s="56"/>
      <c r="AI453" s="58"/>
      <c r="AJ453" s="56"/>
      <c r="AK453" s="56"/>
      <c r="AL453" s="56"/>
      <c r="AM453" s="57"/>
      <c r="AN453" s="57"/>
      <c r="AO453" s="56"/>
      <c r="AP453" s="56"/>
      <c r="AQ453" s="57"/>
      <c r="AR453" s="57"/>
      <c r="AS453" s="57"/>
      <c r="AT453" s="67">
        <f t="shared" ca="1" si="46"/>
        <v>0</v>
      </c>
      <c r="AU453" s="79" t="str">
        <f t="shared" ca="1" si="47"/>
        <v/>
      </c>
      <c r="AV453" s="79" t="str" cm="1">
        <f t="array" aca="1" ref="AV453" ca="1">IFERROR(_xlfn.IFS($AU453="","",$AU453&lt;=15,"0-15",AND($AU453&gt;=16,$AU453&lt;=30),"16-30",AND($AU453&gt;=31,$AU453&lt;=45),"31-45",AND($AU453&gt;=46,$AU453&lt;=60),"46-60",AND($AU453&gt;=61,$AU453&lt;=90),"61-90",AND($AU453&gt;=91),"&gt; 90",AND($AU453&gt;=2000),""),"")</f>
        <v/>
      </c>
      <c r="AW453" s="79" t="str" cm="1">
        <f t="array" aca="1" ref="AW453" ca="1">IFERROR(_xlfn.IFS(OR($M453="",$AM453=""),"",OR($C453="Offered",$C453="Joined"),($AM453-$M453)-$AT453),"")</f>
        <v/>
      </c>
      <c r="AX453" s="79" t="str" cm="1">
        <f t="array" aca="1" ref="AX453" ca="1">IFERROR(_xlfn.IFS(OR($M453="",$AS453=""),"",$C453="Joined",($AS453-$M453)-$AT453),"")</f>
        <v/>
      </c>
      <c r="AY453" s="67" t="str">
        <f>IFERROR(IF(COUNTIFS('Candidate Tracker'!$E:$E,'Positions Tracker'!$B453,'Candidate Tracker'!$C:$C,"Offer Drop")=0,"",COUNTIFS('Candidate Tracker'!$E:$E,'Positions Tracker'!$B453,'Candidate Tracker'!$C:$C,"Offer Drop")),"")</f>
        <v/>
      </c>
      <c r="AZ453" s="80">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0.88111888111888115</v>
      </c>
      <c r="BA453" s="81" t="str">
        <f>IFERROR(IF(COUNTIFS('Candidate Tracker'!$E:$E,'Positions Tracker'!$B453,'Candidate Tracker'!$I:$I,"Female")=0,"",COUNTIFS('Candidate Tracker'!$E:$E,'Positions Tracker'!$B453,'Candidate Tracker'!$I:$I,"Female")),"")</f>
        <v/>
      </c>
      <c r="BB453" s="81" t="str">
        <f>IFERROR(IF(COUNTIFS('Candidate Tracker'!$E:$E,'Positions Tracker'!$B453,'Candidate Tracker'!$I:$I,"male")=0,"",COUNTIFS('Candidate Tracker'!$E:$E,'Positions Tracker'!$B453,'Candidate Tracker'!$I:$I,"male")),"")</f>
        <v/>
      </c>
      <c r="BC453" s="80" t="str">
        <f>IFERROR(IF(COUNTIFS('Candidate Tracker'!$E:$E,'Positions Tracker'!$B453,'Candidate Tracker'!$C:$C,"&lt;&gt;WIP",'Candidate Tracker'!$C:$C,"&lt;&gt;Hold",'Candidate Tracker'!$C:$C,"&lt;&gt;Cancelled",'Candidate Tracker'!$C:$C,"&lt;&gt;Closed")/COUNTIFS('Candidate Tracker'!$E:$E,'Positions Tracker'!$B453)=0,"",COUNTIFS('Candidate Tracker'!$E:$E,'Positions Tracker'!$B453,'Candidate Tracker'!$C:$C,"&lt;&gt;WIP",'Candidate Tracker'!$C:$C,"&lt;&gt;Hold",'Candidate Tracker'!$C:$C,"&lt;&gt;Cancelled",'Candidate Tracker'!$C:$C,"&lt;&gt;Closed")/COUNTIFS('Candidate Tracker'!$E:$E,'Positions Tracker'!$B453)),"")</f>
        <v/>
      </c>
      <c r="BD453" s="67" t="str">
        <f t="shared" si="42"/>
        <v/>
      </c>
      <c r="BE453" s="67" t="str">
        <f t="shared" si="43"/>
        <v/>
      </c>
      <c r="BF453" s="67" t="str">
        <f t="shared" si="44"/>
        <v/>
      </c>
      <c r="BG453" s="67" t="str">
        <f t="shared" si="45"/>
        <v/>
      </c>
    </row>
    <row r="454" spans="1:59">
      <c r="A454" s="55"/>
      <c r="B454" s="56"/>
      <c r="C454" s="56"/>
      <c r="D454" s="56"/>
      <c r="E454" s="56"/>
      <c r="F454" s="56"/>
      <c r="G454" s="56"/>
      <c r="H454" s="56"/>
      <c r="I454" s="6"/>
      <c r="J454" s="6"/>
      <c r="K454" s="57"/>
      <c r="L454" s="57"/>
      <c r="M454" s="57"/>
      <c r="N454" s="56"/>
      <c r="O454" s="56"/>
      <c r="P454" s="56"/>
      <c r="Q454" s="56"/>
      <c r="R454" s="56"/>
      <c r="S454" s="56"/>
      <c r="T454" s="56"/>
      <c r="U454" s="56"/>
      <c r="V454" s="56"/>
      <c r="W454" s="56"/>
      <c r="X454" s="56"/>
      <c r="Y454" s="56"/>
      <c r="Z454" s="56"/>
      <c r="AA454" s="56"/>
      <c r="AB454" s="56"/>
      <c r="AC454" s="56"/>
      <c r="AD454" s="56"/>
      <c r="AE454" s="56"/>
      <c r="AF454" s="56"/>
      <c r="AG454" s="56"/>
      <c r="AH454" s="56"/>
      <c r="AI454" s="58"/>
      <c r="AJ454" s="56"/>
      <c r="AK454" s="56"/>
      <c r="AL454" s="56"/>
      <c r="AM454" s="57"/>
      <c r="AN454" s="57"/>
      <c r="AO454" s="56"/>
      <c r="AP454" s="56"/>
      <c r="AQ454" s="57"/>
      <c r="AR454" s="57"/>
      <c r="AS454" s="57"/>
      <c r="AT454" s="67">
        <f t="shared" ca="1" si="46"/>
        <v>0</v>
      </c>
      <c r="AU454" s="79" t="str">
        <f t="shared" ca="1" si="47"/>
        <v/>
      </c>
      <c r="AV454" s="79" t="str" cm="1">
        <f t="array" aca="1" ref="AV454" ca="1">IFERROR(_xlfn.IFS($AU454="","",$AU454&lt;=15,"0-15",AND($AU454&gt;=16,$AU454&lt;=30),"16-30",AND($AU454&gt;=31,$AU454&lt;=45),"31-45",AND($AU454&gt;=46,$AU454&lt;=60),"46-60",AND($AU454&gt;=61,$AU454&lt;=90),"61-90",AND($AU454&gt;=91),"&gt; 90",AND($AU454&gt;=2000),""),"")</f>
        <v/>
      </c>
      <c r="AW454" s="79" t="str" cm="1">
        <f t="array" aca="1" ref="AW454" ca="1">IFERROR(_xlfn.IFS(OR($M454="",$AM454=""),"",OR($C454="Offered",$C454="Joined"),($AM454-$M454)-$AT454),"")</f>
        <v/>
      </c>
      <c r="AX454" s="79" t="str" cm="1">
        <f t="array" aca="1" ref="AX454" ca="1">IFERROR(_xlfn.IFS(OR($M454="",$AS454=""),"",$C454="Joined",($AS454-$M454)-$AT454),"")</f>
        <v/>
      </c>
      <c r="AY454" s="67" t="str">
        <f>IFERROR(IF(COUNTIFS('Candidate Tracker'!$E:$E,'Positions Tracker'!$B454,'Candidate Tracker'!$C:$C,"Offer Drop")=0,"",COUNTIFS('Candidate Tracker'!$E:$E,'Positions Tracker'!$B454,'Candidate Tracker'!$C:$C,"Offer Drop")),"")</f>
        <v/>
      </c>
      <c r="AZ454" s="80">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0.88111888111888115</v>
      </c>
      <c r="BA454" s="81" t="str">
        <f>IFERROR(IF(COUNTIFS('Candidate Tracker'!$E:$E,'Positions Tracker'!$B454,'Candidate Tracker'!$I:$I,"Female")=0,"",COUNTIFS('Candidate Tracker'!$E:$E,'Positions Tracker'!$B454,'Candidate Tracker'!$I:$I,"Female")),"")</f>
        <v/>
      </c>
      <c r="BB454" s="81" t="str">
        <f>IFERROR(IF(COUNTIFS('Candidate Tracker'!$E:$E,'Positions Tracker'!$B454,'Candidate Tracker'!$I:$I,"male")=0,"",COUNTIFS('Candidate Tracker'!$E:$E,'Positions Tracker'!$B454,'Candidate Tracker'!$I:$I,"male")),"")</f>
        <v/>
      </c>
      <c r="BC454" s="80" t="str">
        <f>IFERROR(IF(COUNTIFS('Candidate Tracker'!$E:$E,'Positions Tracker'!$B454,'Candidate Tracker'!$C:$C,"&lt;&gt;WIP",'Candidate Tracker'!$C:$C,"&lt;&gt;Hold",'Candidate Tracker'!$C:$C,"&lt;&gt;Cancelled",'Candidate Tracker'!$C:$C,"&lt;&gt;Closed")/COUNTIFS('Candidate Tracker'!$E:$E,'Positions Tracker'!$B454)=0,"",COUNTIFS('Candidate Tracker'!$E:$E,'Positions Tracker'!$B454,'Candidate Tracker'!$C:$C,"&lt;&gt;WIP",'Candidate Tracker'!$C:$C,"&lt;&gt;Hold",'Candidate Tracker'!$C:$C,"&lt;&gt;Cancelled",'Candidate Tracker'!$C:$C,"&lt;&gt;Closed")/COUNTIFS('Candidate Tracker'!$E:$E,'Positions Tracker'!$B454)),"")</f>
        <v/>
      </c>
      <c r="BD454" s="67" t="str">
        <f t="shared" si="42"/>
        <v/>
      </c>
      <c r="BE454" s="67" t="str">
        <f t="shared" si="43"/>
        <v/>
      </c>
      <c r="BF454" s="67" t="str">
        <f t="shared" si="44"/>
        <v/>
      </c>
      <c r="BG454" s="67" t="str">
        <f t="shared" si="45"/>
        <v/>
      </c>
    </row>
    <row r="455" spans="1:59">
      <c r="A455" s="55"/>
      <c r="B455" s="56"/>
      <c r="C455" s="56"/>
      <c r="D455" s="56"/>
      <c r="E455" s="56"/>
      <c r="F455" s="56"/>
      <c r="G455" s="56"/>
      <c r="H455" s="56"/>
      <c r="I455" s="6"/>
      <c r="J455" s="6"/>
      <c r="K455" s="57"/>
      <c r="L455" s="57"/>
      <c r="M455" s="57"/>
      <c r="N455" s="56"/>
      <c r="O455" s="56"/>
      <c r="P455" s="56"/>
      <c r="Q455" s="56"/>
      <c r="R455" s="56"/>
      <c r="S455" s="56"/>
      <c r="T455" s="56"/>
      <c r="U455" s="56"/>
      <c r="V455" s="56"/>
      <c r="W455" s="56"/>
      <c r="X455" s="56"/>
      <c r="Y455" s="56"/>
      <c r="Z455" s="56"/>
      <c r="AA455" s="56"/>
      <c r="AB455" s="56"/>
      <c r="AC455" s="56"/>
      <c r="AD455" s="56"/>
      <c r="AE455" s="56"/>
      <c r="AF455" s="56"/>
      <c r="AG455" s="56"/>
      <c r="AH455" s="56"/>
      <c r="AI455" s="58"/>
      <c r="AJ455" s="56"/>
      <c r="AK455" s="56"/>
      <c r="AL455" s="56"/>
      <c r="AM455" s="57"/>
      <c r="AN455" s="57"/>
      <c r="AO455" s="56"/>
      <c r="AP455" s="56"/>
      <c r="AQ455" s="57"/>
      <c r="AR455" s="57"/>
      <c r="AS455" s="57"/>
      <c r="AT455" s="67">
        <f t="shared" ca="1" si="46"/>
        <v>0</v>
      </c>
      <c r="AU455" s="79" t="str">
        <f t="shared" ca="1" si="47"/>
        <v/>
      </c>
      <c r="AV455" s="79" t="str" cm="1">
        <f t="array" aca="1" ref="AV455" ca="1">IFERROR(_xlfn.IFS($AU455="","",$AU455&lt;=15,"0-15",AND($AU455&gt;=16,$AU455&lt;=30),"16-30",AND($AU455&gt;=31,$AU455&lt;=45),"31-45",AND($AU455&gt;=46,$AU455&lt;=60),"46-60",AND($AU455&gt;=61,$AU455&lt;=90),"61-90",AND($AU455&gt;=91),"&gt; 90",AND($AU455&gt;=2000),""),"")</f>
        <v/>
      </c>
      <c r="AW455" s="79" t="str" cm="1">
        <f t="array" aca="1" ref="AW455" ca="1">IFERROR(_xlfn.IFS(OR($M455="",$AM455=""),"",OR($C455="Offered",$C455="Joined"),($AM455-$M455)-$AT455),"")</f>
        <v/>
      </c>
      <c r="AX455" s="79" t="str" cm="1">
        <f t="array" aca="1" ref="AX455" ca="1">IFERROR(_xlfn.IFS(OR($M455="",$AS455=""),"",$C455="Joined",($AS455-$M455)-$AT455),"")</f>
        <v/>
      </c>
      <c r="AY455" s="67" t="str">
        <f>IFERROR(IF(COUNTIFS('Candidate Tracker'!$E:$E,'Positions Tracker'!$B455,'Candidate Tracker'!$C:$C,"Offer Drop")=0,"",COUNTIFS('Candidate Tracker'!$E:$E,'Positions Tracker'!$B455,'Candidate Tracker'!$C:$C,"Offer Drop")),"")</f>
        <v/>
      </c>
      <c r="AZ455" s="80">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0.88111888111888115</v>
      </c>
      <c r="BA455" s="81" t="str">
        <f>IFERROR(IF(COUNTIFS('Candidate Tracker'!$E:$E,'Positions Tracker'!$B455,'Candidate Tracker'!$I:$I,"Female")=0,"",COUNTIFS('Candidate Tracker'!$E:$E,'Positions Tracker'!$B455,'Candidate Tracker'!$I:$I,"Female")),"")</f>
        <v/>
      </c>
      <c r="BB455" s="81" t="str">
        <f>IFERROR(IF(COUNTIFS('Candidate Tracker'!$E:$E,'Positions Tracker'!$B455,'Candidate Tracker'!$I:$I,"male")=0,"",COUNTIFS('Candidate Tracker'!$E:$E,'Positions Tracker'!$B455,'Candidate Tracker'!$I:$I,"male")),"")</f>
        <v/>
      </c>
      <c r="BC455" s="80" t="str">
        <f>IFERROR(IF(COUNTIFS('Candidate Tracker'!$E:$E,'Positions Tracker'!$B455,'Candidate Tracker'!$C:$C,"&lt;&gt;WIP",'Candidate Tracker'!$C:$C,"&lt;&gt;Hold",'Candidate Tracker'!$C:$C,"&lt;&gt;Cancelled",'Candidate Tracker'!$C:$C,"&lt;&gt;Closed")/COUNTIFS('Candidate Tracker'!$E:$E,'Positions Tracker'!$B455)=0,"",COUNTIFS('Candidate Tracker'!$E:$E,'Positions Tracker'!$B455,'Candidate Tracker'!$C:$C,"&lt;&gt;WIP",'Candidate Tracker'!$C:$C,"&lt;&gt;Hold",'Candidate Tracker'!$C:$C,"&lt;&gt;Cancelled",'Candidate Tracker'!$C:$C,"&lt;&gt;Closed")/COUNTIFS('Candidate Tracker'!$E:$E,'Positions Tracker'!$B455)),"")</f>
        <v/>
      </c>
      <c r="BD455" s="67" t="str">
        <f t="shared" si="42"/>
        <v/>
      </c>
      <c r="BE455" s="67" t="str">
        <f t="shared" si="43"/>
        <v/>
      </c>
      <c r="BF455" s="67" t="str">
        <f t="shared" si="44"/>
        <v/>
      </c>
      <c r="BG455" s="67" t="str">
        <f t="shared" si="45"/>
        <v/>
      </c>
    </row>
    <row r="456" spans="1:59">
      <c r="A456" s="55"/>
      <c r="B456" s="56"/>
      <c r="C456" s="56"/>
      <c r="D456" s="56"/>
      <c r="E456" s="56"/>
      <c r="F456" s="56"/>
      <c r="G456" s="56"/>
      <c r="H456" s="56"/>
      <c r="I456" s="6"/>
      <c r="J456" s="6"/>
      <c r="K456" s="57"/>
      <c r="L456" s="57"/>
      <c r="M456" s="57"/>
      <c r="N456" s="56"/>
      <c r="O456" s="56"/>
      <c r="P456" s="56"/>
      <c r="Q456" s="56"/>
      <c r="R456" s="56"/>
      <c r="S456" s="56"/>
      <c r="T456" s="56"/>
      <c r="U456" s="56"/>
      <c r="V456" s="56"/>
      <c r="W456" s="56"/>
      <c r="X456" s="56"/>
      <c r="Y456" s="56"/>
      <c r="Z456" s="56"/>
      <c r="AA456" s="56"/>
      <c r="AB456" s="56"/>
      <c r="AC456" s="56"/>
      <c r="AD456" s="56"/>
      <c r="AE456" s="56"/>
      <c r="AF456" s="56"/>
      <c r="AG456" s="56"/>
      <c r="AH456" s="56"/>
      <c r="AI456" s="58"/>
      <c r="AJ456" s="56"/>
      <c r="AK456" s="56"/>
      <c r="AL456" s="56"/>
      <c r="AM456" s="57"/>
      <c r="AN456" s="57"/>
      <c r="AO456" s="56"/>
      <c r="AP456" s="56"/>
      <c r="AQ456" s="57"/>
      <c r="AR456" s="57"/>
      <c r="AS456" s="57"/>
      <c r="AT456" s="67">
        <f t="shared" ca="1" si="46"/>
        <v>0</v>
      </c>
      <c r="AU456" s="79" t="str">
        <f t="shared" ca="1" si="47"/>
        <v/>
      </c>
      <c r="AV456" s="79" t="str" cm="1">
        <f t="array" aca="1" ref="AV456" ca="1">IFERROR(_xlfn.IFS($AU456="","",$AU456&lt;=15,"0-15",AND($AU456&gt;=16,$AU456&lt;=30),"16-30",AND($AU456&gt;=31,$AU456&lt;=45),"31-45",AND($AU456&gt;=46,$AU456&lt;=60),"46-60",AND($AU456&gt;=61,$AU456&lt;=90),"61-90",AND($AU456&gt;=91),"&gt; 90",AND($AU456&gt;=2000),""),"")</f>
        <v/>
      </c>
      <c r="AW456" s="79" t="str" cm="1">
        <f t="array" aca="1" ref="AW456" ca="1">IFERROR(_xlfn.IFS(OR($M456="",$AM456=""),"",OR($C456="Offered",$C456="Joined"),($AM456-$M456)-$AT456),"")</f>
        <v/>
      </c>
      <c r="AX456" s="79" t="str" cm="1">
        <f t="array" aca="1" ref="AX456" ca="1">IFERROR(_xlfn.IFS(OR($M456="",$AS456=""),"",$C456="Joined",($AS456-$M456)-$AT456),"")</f>
        <v/>
      </c>
      <c r="AY456" s="67" t="str">
        <f>IFERROR(IF(COUNTIFS('Candidate Tracker'!$E:$E,'Positions Tracker'!$B456,'Candidate Tracker'!$C:$C,"Offer Drop")=0,"",COUNTIFS('Candidate Tracker'!$E:$E,'Positions Tracker'!$B456,'Candidate Tracker'!$C:$C,"Offer Drop")),"")</f>
        <v/>
      </c>
      <c r="AZ456" s="80">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0.88111888111888115</v>
      </c>
      <c r="BA456" s="81" t="str">
        <f>IFERROR(IF(COUNTIFS('Candidate Tracker'!$E:$E,'Positions Tracker'!$B456,'Candidate Tracker'!$I:$I,"Female")=0,"",COUNTIFS('Candidate Tracker'!$E:$E,'Positions Tracker'!$B456,'Candidate Tracker'!$I:$I,"Female")),"")</f>
        <v/>
      </c>
      <c r="BB456" s="81" t="str">
        <f>IFERROR(IF(COUNTIFS('Candidate Tracker'!$E:$E,'Positions Tracker'!$B456,'Candidate Tracker'!$I:$I,"male")=0,"",COUNTIFS('Candidate Tracker'!$E:$E,'Positions Tracker'!$B456,'Candidate Tracker'!$I:$I,"male")),"")</f>
        <v/>
      </c>
      <c r="BC456" s="80" t="str">
        <f>IFERROR(IF(COUNTIFS('Candidate Tracker'!$E:$E,'Positions Tracker'!$B456,'Candidate Tracker'!$C:$C,"&lt;&gt;WIP",'Candidate Tracker'!$C:$C,"&lt;&gt;Hold",'Candidate Tracker'!$C:$C,"&lt;&gt;Cancelled",'Candidate Tracker'!$C:$C,"&lt;&gt;Closed")/COUNTIFS('Candidate Tracker'!$E:$E,'Positions Tracker'!$B456)=0,"",COUNTIFS('Candidate Tracker'!$E:$E,'Positions Tracker'!$B456,'Candidate Tracker'!$C:$C,"&lt;&gt;WIP",'Candidate Tracker'!$C:$C,"&lt;&gt;Hold",'Candidate Tracker'!$C:$C,"&lt;&gt;Cancelled",'Candidate Tracker'!$C:$C,"&lt;&gt;Closed")/COUNTIFS('Candidate Tracker'!$E:$E,'Positions Tracker'!$B456)),"")</f>
        <v/>
      </c>
      <c r="BD456" s="67" t="str">
        <f t="shared" si="42"/>
        <v/>
      </c>
      <c r="BE456" s="67" t="str">
        <f t="shared" si="43"/>
        <v/>
      </c>
      <c r="BF456" s="67" t="str">
        <f t="shared" si="44"/>
        <v/>
      </c>
      <c r="BG456" s="67" t="str">
        <f t="shared" si="45"/>
        <v/>
      </c>
    </row>
    <row r="457" spans="1:59">
      <c r="A457" s="55"/>
      <c r="B457" s="56"/>
      <c r="C457" s="56"/>
      <c r="D457" s="56"/>
      <c r="E457" s="56"/>
      <c r="F457" s="56"/>
      <c r="G457" s="56"/>
      <c r="H457" s="56"/>
      <c r="I457" s="6"/>
      <c r="J457" s="6"/>
      <c r="K457" s="57"/>
      <c r="L457" s="57"/>
      <c r="M457" s="57"/>
      <c r="N457" s="56"/>
      <c r="O457" s="56"/>
      <c r="P457" s="56"/>
      <c r="Q457" s="56"/>
      <c r="R457" s="56"/>
      <c r="S457" s="56"/>
      <c r="T457" s="56"/>
      <c r="U457" s="56"/>
      <c r="V457" s="56"/>
      <c r="W457" s="56"/>
      <c r="X457" s="56"/>
      <c r="Y457" s="56"/>
      <c r="Z457" s="56"/>
      <c r="AA457" s="56"/>
      <c r="AB457" s="56"/>
      <c r="AC457" s="56"/>
      <c r="AD457" s="56"/>
      <c r="AE457" s="56"/>
      <c r="AF457" s="56"/>
      <c r="AG457" s="56"/>
      <c r="AH457" s="56"/>
      <c r="AI457" s="58"/>
      <c r="AJ457" s="56"/>
      <c r="AK457" s="56"/>
      <c r="AL457" s="56"/>
      <c r="AM457" s="57"/>
      <c r="AN457" s="57"/>
      <c r="AO457" s="56"/>
      <c r="AP457" s="56"/>
      <c r="AQ457" s="57"/>
      <c r="AR457" s="57"/>
      <c r="AS457" s="57"/>
      <c r="AT457" s="67">
        <f t="shared" ca="1" si="46"/>
        <v>0</v>
      </c>
      <c r="AU457" s="79" t="str">
        <f t="shared" ca="1" si="47"/>
        <v/>
      </c>
      <c r="AV457" s="79" t="str" cm="1">
        <f t="array" aca="1" ref="AV457" ca="1">IFERROR(_xlfn.IFS($AU457="","",$AU457&lt;=15,"0-15",AND($AU457&gt;=16,$AU457&lt;=30),"16-30",AND($AU457&gt;=31,$AU457&lt;=45),"31-45",AND($AU457&gt;=46,$AU457&lt;=60),"46-60",AND($AU457&gt;=61,$AU457&lt;=90),"61-90",AND($AU457&gt;=91),"&gt; 90",AND($AU457&gt;=2000),""),"")</f>
        <v/>
      </c>
      <c r="AW457" s="79" t="str" cm="1">
        <f t="array" aca="1" ref="AW457" ca="1">IFERROR(_xlfn.IFS(OR($M457="",$AM457=""),"",OR($C457="Offered",$C457="Joined"),($AM457-$M457)-$AT457),"")</f>
        <v/>
      </c>
      <c r="AX457" s="79" t="str" cm="1">
        <f t="array" aca="1" ref="AX457" ca="1">IFERROR(_xlfn.IFS(OR($M457="",$AS457=""),"",$C457="Joined",($AS457-$M457)-$AT457),"")</f>
        <v/>
      </c>
      <c r="AY457" s="67" t="str">
        <f>IFERROR(IF(COUNTIFS('Candidate Tracker'!$E:$E,'Positions Tracker'!$B457,'Candidate Tracker'!$C:$C,"Offer Drop")=0,"",COUNTIFS('Candidate Tracker'!$E:$E,'Positions Tracker'!$B457,'Candidate Tracker'!$C:$C,"Offer Drop")),"")</f>
        <v/>
      </c>
      <c r="AZ457" s="80">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0.88111888111888115</v>
      </c>
      <c r="BA457" s="81" t="str">
        <f>IFERROR(IF(COUNTIFS('Candidate Tracker'!$E:$E,'Positions Tracker'!$B457,'Candidate Tracker'!$I:$I,"Female")=0,"",COUNTIFS('Candidate Tracker'!$E:$E,'Positions Tracker'!$B457,'Candidate Tracker'!$I:$I,"Female")),"")</f>
        <v/>
      </c>
      <c r="BB457" s="81" t="str">
        <f>IFERROR(IF(COUNTIFS('Candidate Tracker'!$E:$E,'Positions Tracker'!$B457,'Candidate Tracker'!$I:$I,"male")=0,"",COUNTIFS('Candidate Tracker'!$E:$E,'Positions Tracker'!$B457,'Candidate Tracker'!$I:$I,"male")),"")</f>
        <v/>
      </c>
      <c r="BC457" s="80" t="str">
        <f>IFERROR(IF(COUNTIFS('Candidate Tracker'!$E:$E,'Positions Tracker'!$B457,'Candidate Tracker'!$C:$C,"&lt;&gt;WIP",'Candidate Tracker'!$C:$C,"&lt;&gt;Hold",'Candidate Tracker'!$C:$C,"&lt;&gt;Cancelled",'Candidate Tracker'!$C:$C,"&lt;&gt;Closed")/COUNTIFS('Candidate Tracker'!$E:$E,'Positions Tracker'!$B457)=0,"",COUNTIFS('Candidate Tracker'!$E:$E,'Positions Tracker'!$B457,'Candidate Tracker'!$C:$C,"&lt;&gt;WIP",'Candidate Tracker'!$C:$C,"&lt;&gt;Hold",'Candidate Tracker'!$C:$C,"&lt;&gt;Cancelled",'Candidate Tracker'!$C:$C,"&lt;&gt;Closed")/COUNTIFS('Candidate Tracker'!$E:$E,'Positions Tracker'!$B457)),"")</f>
        <v/>
      </c>
      <c r="BD457" s="67" t="str">
        <f t="shared" si="42"/>
        <v/>
      </c>
      <c r="BE457" s="67" t="str">
        <f t="shared" si="43"/>
        <v/>
      </c>
      <c r="BF457" s="67" t="str">
        <f t="shared" si="44"/>
        <v/>
      </c>
      <c r="BG457" s="67" t="str">
        <f t="shared" si="45"/>
        <v/>
      </c>
    </row>
    <row r="458" spans="1:59">
      <c r="A458" s="55"/>
      <c r="B458" s="56"/>
      <c r="C458" s="56"/>
      <c r="D458" s="56"/>
      <c r="E458" s="56"/>
      <c r="F458" s="56"/>
      <c r="G458" s="56"/>
      <c r="H458" s="56"/>
      <c r="I458" s="6"/>
      <c r="J458" s="6"/>
      <c r="K458" s="57"/>
      <c r="L458" s="57"/>
      <c r="M458" s="57"/>
      <c r="N458" s="56"/>
      <c r="O458" s="56"/>
      <c r="P458" s="56"/>
      <c r="Q458" s="56"/>
      <c r="R458" s="56"/>
      <c r="S458" s="56"/>
      <c r="T458" s="56"/>
      <c r="U458" s="56"/>
      <c r="V458" s="56"/>
      <c r="W458" s="56"/>
      <c r="X458" s="56"/>
      <c r="Y458" s="56"/>
      <c r="Z458" s="56"/>
      <c r="AA458" s="56"/>
      <c r="AB458" s="56"/>
      <c r="AC458" s="56"/>
      <c r="AD458" s="56"/>
      <c r="AE458" s="56"/>
      <c r="AF458" s="56"/>
      <c r="AG458" s="56"/>
      <c r="AH458" s="56"/>
      <c r="AI458" s="58"/>
      <c r="AJ458" s="56"/>
      <c r="AK458" s="56"/>
      <c r="AL458" s="56"/>
      <c r="AM458" s="57"/>
      <c r="AN458" s="57"/>
      <c r="AO458" s="56"/>
      <c r="AP458" s="56"/>
      <c r="AQ458" s="57"/>
      <c r="AR458" s="57"/>
      <c r="AS458" s="57"/>
      <c r="AT458" s="67">
        <f t="shared" ca="1" si="46"/>
        <v>0</v>
      </c>
      <c r="AU458" s="79" t="str">
        <f t="shared" ca="1" si="47"/>
        <v/>
      </c>
      <c r="AV458" s="79" t="str" cm="1">
        <f t="array" aca="1" ref="AV458" ca="1">IFERROR(_xlfn.IFS($AU458="","",$AU458&lt;=15,"0-15",AND($AU458&gt;=16,$AU458&lt;=30),"16-30",AND($AU458&gt;=31,$AU458&lt;=45),"31-45",AND($AU458&gt;=46,$AU458&lt;=60),"46-60",AND($AU458&gt;=61,$AU458&lt;=90),"61-90",AND($AU458&gt;=91),"&gt; 90",AND($AU458&gt;=2000),""),"")</f>
        <v/>
      </c>
      <c r="AW458" s="79" t="str" cm="1">
        <f t="array" aca="1" ref="AW458" ca="1">IFERROR(_xlfn.IFS(OR($M458="",$AM458=""),"",OR($C458="Offered",$C458="Joined"),($AM458-$M458)-$AT458),"")</f>
        <v/>
      </c>
      <c r="AX458" s="79" t="str" cm="1">
        <f t="array" aca="1" ref="AX458" ca="1">IFERROR(_xlfn.IFS(OR($M458="",$AS458=""),"",$C458="Joined",($AS458-$M458)-$AT458),"")</f>
        <v/>
      </c>
      <c r="AY458" s="67" t="str">
        <f>IFERROR(IF(COUNTIFS('Candidate Tracker'!$E:$E,'Positions Tracker'!$B458,'Candidate Tracker'!$C:$C,"Offer Drop")=0,"",COUNTIFS('Candidate Tracker'!$E:$E,'Positions Tracker'!$B458,'Candidate Tracker'!$C:$C,"Offer Drop")),"")</f>
        <v/>
      </c>
      <c r="AZ458" s="80">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0.88111888111888115</v>
      </c>
      <c r="BA458" s="81" t="str">
        <f>IFERROR(IF(COUNTIFS('Candidate Tracker'!$E:$E,'Positions Tracker'!$B458,'Candidate Tracker'!$I:$I,"Female")=0,"",COUNTIFS('Candidate Tracker'!$E:$E,'Positions Tracker'!$B458,'Candidate Tracker'!$I:$I,"Female")),"")</f>
        <v/>
      </c>
      <c r="BB458" s="81" t="str">
        <f>IFERROR(IF(COUNTIFS('Candidate Tracker'!$E:$E,'Positions Tracker'!$B458,'Candidate Tracker'!$I:$I,"male")=0,"",COUNTIFS('Candidate Tracker'!$E:$E,'Positions Tracker'!$B458,'Candidate Tracker'!$I:$I,"male")),"")</f>
        <v/>
      </c>
      <c r="BC458" s="80" t="str">
        <f>IFERROR(IF(COUNTIFS('Candidate Tracker'!$E:$E,'Positions Tracker'!$B458,'Candidate Tracker'!$C:$C,"&lt;&gt;WIP",'Candidate Tracker'!$C:$C,"&lt;&gt;Hold",'Candidate Tracker'!$C:$C,"&lt;&gt;Cancelled",'Candidate Tracker'!$C:$C,"&lt;&gt;Closed")/COUNTIFS('Candidate Tracker'!$E:$E,'Positions Tracker'!$B458)=0,"",COUNTIFS('Candidate Tracker'!$E:$E,'Positions Tracker'!$B458,'Candidate Tracker'!$C:$C,"&lt;&gt;WIP",'Candidate Tracker'!$C:$C,"&lt;&gt;Hold",'Candidate Tracker'!$C:$C,"&lt;&gt;Cancelled",'Candidate Tracker'!$C:$C,"&lt;&gt;Closed")/COUNTIFS('Candidate Tracker'!$E:$E,'Positions Tracker'!$B458)),"")</f>
        <v/>
      </c>
      <c r="BD458" s="67" t="str">
        <f t="shared" si="42"/>
        <v/>
      </c>
      <c r="BE458" s="67" t="str">
        <f t="shared" si="43"/>
        <v/>
      </c>
      <c r="BF458" s="67" t="str">
        <f t="shared" si="44"/>
        <v/>
      </c>
      <c r="BG458" s="67" t="str">
        <f t="shared" si="45"/>
        <v/>
      </c>
    </row>
    <row r="459" spans="1:59">
      <c r="A459" s="55"/>
      <c r="B459" s="56"/>
      <c r="C459" s="56"/>
      <c r="D459" s="56"/>
      <c r="E459" s="56"/>
      <c r="F459" s="56"/>
      <c r="G459" s="56"/>
      <c r="H459" s="56"/>
      <c r="I459" s="6"/>
      <c r="J459" s="6"/>
      <c r="K459" s="57"/>
      <c r="L459" s="57"/>
      <c r="M459" s="57"/>
      <c r="N459" s="56"/>
      <c r="O459" s="56"/>
      <c r="P459" s="56"/>
      <c r="Q459" s="56"/>
      <c r="R459" s="56"/>
      <c r="S459" s="56"/>
      <c r="T459" s="56"/>
      <c r="U459" s="56"/>
      <c r="V459" s="56"/>
      <c r="W459" s="56"/>
      <c r="X459" s="56"/>
      <c r="Y459" s="56"/>
      <c r="Z459" s="56"/>
      <c r="AA459" s="56"/>
      <c r="AB459" s="56"/>
      <c r="AC459" s="56"/>
      <c r="AD459" s="56"/>
      <c r="AE459" s="56"/>
      <c r="AF459" s="56"/>
      <c r="AG459" s="56"/>
      <c r="AH459" s="56"/>
      <c r="AI459" s="58"/>
      <c r="AJ459" s="56"/>
      <c r="AK459" s="56"/>
      <c r="AL459" s="56"/>
      <c r="AM459" s="57"/>
      <c r="AN459" s="57"/>
      <c r="AO459" s="56"/>
      <c r="AP459" s="56"/>
      <c r="AQ459" s="57"/>
      <c r="AR459" s="57"/>
      <c r="AS459" s="57"/>
      <c r="AT459" s="67">
        <f t="shared" ca="1" si="46"/>
        <v>0</v>
      </c>
      <c r="AU459" s="79" t="str">
        <f t="shared" ca="1" si="47"/>
        <v/>
      </c>
      <c r="AV459" s="79" t="str" cm="1">
        <f t="array" aca="1" ref="AV459" ca="1">IFERROR(_xlfn.IFS($AU459="","",$AU459&lt;=15,"0-15",AND($AU459&gt;=16,$AU459&lt;=30),"16-30",AND($AU459&gt;=31,$AU459&lt;=45),"31-45",AND($AU459&gt;=46,$AU459&lt;=60),"46-60",AND($AU459&gt;=61,$AU459&lt;=90),"61-90",AND($AU459&gt;=91),"&gt; 90",AND($AU459&gt;=2000),""),"")</f>
        <v/>
      </c>
      <c r="AW459" s="79" t="str" cm="1">
        <f t="array" aca="1" ref="AW459" ca="1">IFERROR(_xlfn.IFS(OR($M459="",$AM459=""),"",OR($C459="Offered",$C459="Joined"),($AM459-$M459)-$AT459),"")</f>
        <v/>
      </c>
      <c r="AX459" s="79" t="str" cm="1">
        <f t="array" aca="1" ref="AX459" ca="1">IFERROR(_xlfn.IFS(OR($M459="",$AS459=""),"",$C459="Joined",($AS459-$M459)-$AT459),"")</f>
        <v/>
      </c>
      <c r="AY459" s="67" t="str">
        <f>IFERROR(IF(COUNTIFS('Candidate Tracker'!$E:$E,'Positions Tracker'!$B459,'Candidate Tracker'!$C:$C,"Offer Drop")=0,"",COUNTIFS('Candidate Tracker'!$E:$E,'Positions Tracker'!$B459,'Candidate Tracker'!$C:$C,"Offer Drop")),"")</f>
        <v/>
      </c>
      <c r="AZ459" s="80">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0.88111888111888115</v>
      </c>
      <c r="BA459" s="81" t="str">
        <f>IFERROR(IF(COUNTIFS('Candidate Tracker'!$E:$E,'Positions Tracker'!$B459,'Candidate Tracker'!$I:$I,"Female")=0,"",COUNTIFS('Candidate Tracker'!$E:$E,'Positions Tracker'!$B459,'Candidate Tracker'!$I:$I,"Female")),"")</f>
        <v/>
      </c>
      <c r="BB459" s="81" t="str">
        <f>IFERROR(IF(COUNTIFS('Candidate Tracker'!$E:$E,'Positions Tracker'!$B459,'Candidate Tracker'!$I:$I,"male")=0,"",COUNTIFS('Candidate Tracker'!$E:$E,'Positions Tracker'!$B459,'Candidate Tracker'!$I:$I,"male")),"")</f>
        <v/>
      </c>
      <c r="BC459" s="80" t="str">
        <f>IFERROR(IF(COUNTIFS('Candidate Tracker'!$E:$E,'Positions Tracker'!$B459,'Candidate Tracker'!$C:$C,"&lt;&gt;WIP",'Candidate Tracker'!$C:$C,"&lt;&gt;Hold",'Candidate Tracker'!$C:$C,"&lt;&gt;Cancelled",'Candidate Tracker'!$C:$C,"&lt;&gt;Closed")/COUNTIFS('Candidate Tracker'!$E:$E,'Positions Tracker'!$B459)=0,"",COUNTIFS('Candidate Tracker'!$E:$E,'Positions Tracker'!$B459,'Candidate Tracker'!$C:$C,"&lt;&gt;WIP",'Candidate Tracker'!$C:$C,"&lt;&gt;Hold",'Candidate Tracker'!$C:$C,"&lt;&gt;Cancelled",'Candidate Tracker'!$C:$C,"&lt;&gt;Closed")/COUNTIFS('Candidate Tracker'!$E:$E,'Positions Tracker'!$B459)),"")</f>
        <v/>
      </c>
      <c r="BD459" s="67" t="str">
        <f t="shared" si="42"/>
        <v/>
      </c>
      <c r="BE459" s="67" t="str">
        <f t="shared" si="43"/>
        <v/>
      </c>
      <c r="BF459" s="67" t="str">
        <f t="shared" si="44"/>
        <v/>
      </c>
      <c r="BG459" s="67" t="str">
        <f t="shared" si="45"/>
        <v/>
      </c>
    </row>
    <row r="460" spans="1:59">
      <c r="A460" s="55"/>
      <c r="B460" s="56"/>
      <c r="C460" s="56"/>
      <c r="D460" s="56"/>
      <c r="E460" s="56"/>
      <c r="F460" s="56"/>
      <c r="G460" s="56"/>
      <c r="H460" s="56"/>
      <c r="I460" s="6"/>
      <c r="J460" s="6"/>
      <c r="K460" s="57"/>
      <c r="L460" s="57"/>
      <c r="M460" s="57"/>
      <c r="N460" s="56"/>
      <c r="O460" s="56"/>
      <c r="P460" s="56"/>
      <c r="Q460" s="56"/>
      <c r="R460" s="56"/>
      <c r="S460" s="56"/>
      <c r="T460" s="56"/>
      <c r="U460" s="56"/>
      <c r="V460" s="56"/>
      <c r="W460" s="56"/>
      <c r="X460" s="56"/>
      <c r="Y460" s="56"/>
      <c r="Z460" s="56"/>
      <c r="AA460" s="56"/>
      <c r="AB460" s="56"/>
      <c r="AC460" s="56"/>
      <c r="AD460" s="56"/>
      <c r="AE460" s="56"/>
      <c r="AF460" s="56"/>
      <c r="AG460" s="56"/>
      <c r="AH460" s="56"/>
      <c r="AI460" s="58"/>
      <c r="AJ460" s="56"/>
      <c r="AK460" s="56"/>
      <c r="AL460" s="56"/>
      <c r="AM460" s="57"/>
      <c r="AN460" s="57"/>
      <c r="AO460" s="56"/>
      <c r="AP460" s="56"/>
      <c r="AQ460" s="57"/>
      <c r="AR460" s="57"/>
      <c r="AS460" s="57"/>
      <c r="AT460" s="67">
        <f t="shared" ca="1" si="46"/>
        <v>0</v>
      </c>
      <c r="AU460" s="79" t="str">
        <f t="shared" ca="1" si="47"/>
        <v/>
      </c>
      <c r="AV460" s="79" t="str" cm="1">
        <f t="array" aca="1" ref="AV460" ca="1">IFERROR(_xlfn.IFS($AU460="","",$AU460&lt;=15,"0-15",AND($AU460&gt;=16,$AU460&lt;=30),"16-30",AND($AU460&gt;=31,$AU460&lt;=45),"31-45",AND($AU460&gt;=46,$AU460&lt;=60),"46-60",AND($AU460&gt;=61,$AU460&lt;=90),"61-90",AND($AU460&gt;=91),"&gt; 90",AND($AU460&gt;=2000),""),"")</f>
        <v/>
      </c>
      <c r="AW460" s="79" t="str" cm="1">
        <f t="array" aca="1" ref="AW460" ca="1">IFERROR(_xlfn.IFS(OR($M460="",$AM460=""),"",OR($C460="Offered",$C460="Joined"),($AM460-$M460)-$AT460),"")</f>
        <v/>
      </c>
      <c r="AX460" s="79" t="str" cm="1">
        <f t="array" aca="1" ref="AX460" ca="1">IFERROR(_xlfn.IFS(OR($M460="",$AS460=""),"",$C460="Joined",($AS460-$M460)-$AT460),"")</f>
        <v/>
      </c>
      <c r="AY460" s="67" t="str">
        <f>IFERROR(IF(COUNTIFS('Candidate Tracker'!$E:$E,'Positions Tracker'!$B460,'Candidate Tracker'!$C:$C,"Offer Drop")=0,"",COUNTIFS('Candidate Tracker'!$E:$E,'Positions Tracker'!$B460,'Candidate Tracker'!$C:$C,"Offer Drop")),"")</f>
        <v/>
      </c>
      <c r="AZ460" s="80">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0.88111888111888115</v>
      </c>
      <c r="BA460" s="81" t="str">
        <f>IFERROR(IF(COUNTIFS('Candidate Tracker'!$E:$E,'Positions Tracker'!$B460,'Candidate Tracker'!$I:$I,"Female")=0,"",COUNTIFS('Candidate Tracker'!$E:$E,'Positions Tracker'!$B460,'Candidate Tracker'!$I:$I,"Female")),"")</f>
        <v/>
      </c>
      <c r="BB460" s="81" t="str">
        <f>IFERROR(IF(COUNTIFS('Candidate Tracker'!$E:$E,'Positions Tracker'!$B460,'Candidate Tracker'!$I:$I,"male")=0,"",COUNTIFS('Candidate Tracker'!$E:$E,'Positions Tracker'!$B460,'Candidate Tracker'!$I:$I,"male")),"")</f>
        <v/>
      </c>
      <c r="BC460" s="80" t="str">
        <f>IFERROR(IF(COUNTIFS('Candidate Tracker'!$E:$E,'Positions Tracker'!$B460,'Candidate Tracker'!$C:$C,"&lt;&gt;WIP",'Candidate Tracker'!$C:$C,"&lt;&gt;Hold",'Candidate Tracker'!$C:$C,"&lt;&gt;Cancelled",'Candidate Tracker'!$C:$C,"&lt;&gt;Closed")/COUNTIFS('Candidate Tracker'!$E:$E,'Positions Tracker'!$B460)=0,"",COUNTIFS('Candidate Tracker'!$E:$E,'Positions Tracker'!$B460,'Candidate Tracker'!$C:$C,"&lt;&gt;WIP",'Candidate Tracker'!$C:$C,"&lt;&gt;Hold",'Candidate Tracker'!$C:$C,"&lt;&gt;Cancelled",'Candidate Tracker'!$C:$C,"&lt;&gt;Closed")/COUNTIFS('Candidate Tracker'!$E:$E,'Positions Tracker'!$B460)),"")</f>
        <v/>
      </c>
      <c r="BD460" s="67" t="str">
        <f t="shared" si="42"/>
        <v/>
      </c>
      <c r="BE460" s="67" t="str">
        <f t="shared" si="43"/>
        <v/>
      </c>
      <c r="BF460" s="67" t="str">
        <f t="shared" si="44"/>
        <v/>
      </c>
      <c r="BG460" s="67" t="str">
        <f t="shared" si="45"/>
        <v/>
      </c>
    </row>
    <row r="461" spans="1:59">
      <c r="A461" s="55"/>
      <c r="B461" s="56"/>
      <c r="C461" s="56"/>
      <c r="D461" s="56"/>
      <c r="E461" s="56"/>
      <c r="F461" s="56"/>
      <c r="G461" s="56"/>
      <c r="H461" s="56"/>
      <c r="I461" s="6"/>
      <c r="J461" s="6"/>
      <c r="K461" s="57"/>
      <c r="L461" s="57"/>
      <c r="M461" s="57"/>
      <c r="N461" s="56"/>
      <c r="O461" s="56"/>
      <c r="P461" s="56"/>
      <c r="Q461" s="56"/>
      <c r="R461" s="56"/>
      <c r="S461" s="56"/>
      <c r="T461" s="56"/>
      <c r="U461" s="56"/>
      <c r="V461" s="56"/>
      <c r="W461" s="56"/>
      <c r="X461" s="56"/>
      <c r="Y461" s="56"/>
      <c r="Z461" s="56"/>
      <c r="AA461" s="56"/>
      <c r="AB461" s="56"/>
      <c r="AC461" s="56"/>
      <c r="AD461" s="56"/>
      <c r="AE461" s="56"/>
      <c r="AF461" s="56"/>
      <c r="AG461" s="56"/>
      <c r="AH461" s="56"/>
      <c r="AI461" s="58"/>
      <c r="AJ461" s="56"/>
      <c r="AK461" s="56"/>
      <c r="AL461" s="56"/>
      <c r="AM461" s="57"/>
      <c r="AN461" s="57"/>
      <c r="AO461" s="56"/>
      <c r="AP461" s="56"/>
      <c r="AQ461" s="57"/>
      <c r="AR461" s="57"/>
      <c r="AS461" s="57"/>
      <c r="AT461" s="67">
        <f t="shared" ca="1" si="46"/>
        <v>0</v>
      </c>
      <c r="AU461" s="79" t="str">
        <f t="shared" ca="1" si="47"/>
        <v/>
      </c>
      <c r="AV461" s="79" t="str" cm="1">
        <f t="array" aca="1" ref="AV461" ca="1">IFERROR(_xlfn.IFS($AU461="","",$AU461&lt;=15,"0-15",AND($AU461&gt;=16,$AU461&lt;=30),"16-30",AND($AU461&gt;=31,$AU461&lt;=45),"31-45",AND($AU461&gt;=46,$AU461&lt;=60),"46-60",AND($AU461&gt;=61,$AU461&lt;=90),"61-90",AND($AU461&gt;=91),"&gt; 90",AND($AU461&gt;=2000),""),"")</f>
        <v/>
      </c>
      <c r="AW461" s="79" t="str" cm="1">
        <f t="array" aca="1" ref="AW461" ca="1">IFERROR(_xlfn.IFS(OR($M461="",$AM461=""),"",OR($C461="Offered",$C461="Joined"),($AM461-$M461)-$AT461),"")</f>
        <v/>
      </c>
      <c r="AX461" s="79" t="str" cm="1">
        <f t="array" aca="1" ref="AX461" ca="1">IFERROR(_xlfn.IFS(OR($M461="",$AS461=""),"",$C461="Joined",($AS461-$M461)-$AT461),"")</f>
        <v/>
      </c>
      <c r="AY461" s="67" t="str">
        <f>IFERROR(IF(COUNTIFS('Candidate Tracker'!$E:$E,'Positions Tracker'!$B461,'Candidate Tracker'!$C:$C,"Offer Drop")=0,"",COUNTIFS('Candidate Tracker'!$E:$E,'Positions Tracker'!$B461,'Candidate Tracker'!$C:$C,"Offer Drop")),"")</f>
        <v/>
      </c>
      <c r="AZ461" s="80">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0.88111888111888115</v>
      </c>
      <c r="BA461" s="81" t="str">
        <f>IFERROR(IF(COUNTIFS('Candidate Tracker'!$E:$E,'Positions Tracker'!$B461,'Candidate Tracker'!$I:$I,"Female")=0,"",COUNTIFS('Candidate Tracker'!$E:$E,'Positions Tracker'!$B461,'Candidate Tracker'!$I:$I,"Female")),"")</f>
        <v/>
      </c>
      <c r="BB461" s="81" t="str">
        <f>IFERROR(IF(COUNTIFS('Candidate Tracker'!$E:$E,'Positions Tracker'!$B461,'Candidate Tracker'!$I:$I,"male")=0,"",COUNTIFS('Candidate Tracker'!$E:$E,'Positions Tracker'!$B461,'Candidate Tracker'!$I:$I,"male")),"")</f>
        <v/>
      </c>
      <c r="BC461" s="80" t="str">
        <f>IFERROR(IF(COUNTIFS('Candidate Tracker'!$E:$E,'Positions Tracker'!$B461,'Candidate Tracker'!$C:$C,"&lt;&gt;WIP",'Candidate Tracker'!$C:$C,"&lt;&gt;Hold",'Candidate Tracker'!$C:$C,"&lt;&gt;Cancelled",'Candidate Tracker'!$C:$C,"&lt;&gt;Closed")/COUNTIFS('Candidate Tracker'!$E:$E,'Positions Tracker'!$B461)=0,"",COUNTIFS('Candidate Tracker'!$E:$E,'Positions Tracker'!$B461,'Candidate Tracker'!$C:$C,"&lt;&gt;WIP",'Candidate Tracker'!$C:$C,"&lt;&gt;Hold",'Candidate Tracker'!$C:$C,"&lt;&gt;Cancelled",'Candidate Tracker'!$C:$C,"&lt;&gt;Closed")/COUNTIFS('Candidate Tracker'!$E:$E,'Positions Tracker'!$B461)),"")</f>
        <v/>
      </c>
      <c r="BD461" s="67" t="str">
        <f t="shared" si="42"/>
        <v/>
      </c>
      <c r="BE461" s="67" t="str">
        <f t="shared" si="43"/>
        <v/>
      </c>
      <c r="BF461" s="67" t="str">
        <f t="shared" si="44"/>
        <v/>
      </c>
      <c r="BG461" s="67" t="str">
        <f t="shared" si="45"/>
        <v/>
      </c>
    </row>
    <row r="462" spans="1:59">
      <c r="A462" s="55"/>
      <c r="B462" s="56"/>
      <c r="C462" s="56"/>
      <c r="D462" s="56"/>
      <c r="E462" s="56"/>
      <c r="F462" s="56"/>
      <c r="G462" s="56"/>
      <c r="H462" s="56"/>
      <c r="I462" s="6"/>
      <c r="J462" s="6"/>
      <c r="K462" s="57"/>
      <c r="L462" s="57"/>
      <c r="M462" s="57"/>
      <c r="N462" s="56"/>
      <c r="O462" s="56"/>
      <c r="P462" s="56"/>
      <c r="Q462" s="56"/>
      <c r="R462" s="56"/>
      <c r="S462" s="56"/>
      <c r="T462" s="56"/>
      <c r="U462" s="56"/>
      <c r="V462" s="56"/>
      <c r="W462" s="56"/>
      <c r="X462" s="56"/>
      <c r="Y462" s="56"/>
      <c r="Z462" s="56"/>
      <c r="AA462" s="56"/>
      <c r="AB462" s="56"/>
      <c r="AC462" s="56"/>
      <c r="AD462" s="56"/>
      <c r="AE462" s="56"/>
      <c r="AF462" s="56"/>
      <c r="AG462" s="56"/>
      <c r="AH462" s="56"/>
      <c r="AI462" s="58"/>
      <c r="AJ462" s="56"/>
      <c r="AK462" s="56"/>
      <c r="AL462" s="56"/>
      <c r="AM462" s="57"/>
      <c r="AN462" s="57"/>
      <c r="AO462" s="56"/>
      <c r="AP462" s="56"/>
      <c r="AQ462" s="57"/>
      <c r="AR462" s="57"/>
      <c r="AS462" s="57"/>
      <c r="AT462" s="67">
        <f t="shared" ca="1" si="46"/>
        <v>0</v>
      </c>
      <c r="AU462" s="79" t="str">
        <f t="shared" ca="1" si="47"/>
        <v/>
      </c>
      <c r="AV462" s="79" t="str" cm="1">
        <f t="array" aca="1" ref="AV462" ca="1">IFERROR(_xlfn.IFS($AU462="","",$AU462&lt;=15,"0-15",AND($AU462&gt;=16,$AU462&lt;=30),"16-30",AND($AU462&gt;=31,$AU462&lt;=45),"31-45",AND($AU462&gt;=46,$AU462&lt;=60),"46-60",AND($AU462&gt;=61,$AU462&lt;=90),"61-90",AND($AU462&gt;=91),"&gt; 90",AND($AU462&gt;=2000),""),"")</f>
        <v/>
      </c>
      <c r="AW462" s="79" t="str" cm="1">
        <f t="array" aca="1" ref="AW462" ca="1">IFERROR(_xlfn.IFS(OR($M462="",$AM462=""),"",OR($C462="Offered",$C462="Joined"),($AM462-$M462)-$AT462),"")</f>
        <v/>
      </c>
      <c r="AX462" s="79" t="str" cm="1">
        <f t="array" aca="1" ref="AX462" ca="1">IFERROR(_xlfn.IFS(OR($M462="",$AS462=""),"",$C462="Joined",($AS462-$M462)-$AT462),"")</f>
        <v/>
      </c>
      <c r="AY462" s="67" t="str">
        <f>IFERROR(IF(COUNTIFS('Candidate Tracker'!$E:$E,'Positions Tracker'!$B462,'Candidate Tracker'!$C:$C,"Offer Drop")=0,"",COUNTIFS('Candidate Tracker'!$E:$E,'Positions Tracker'!$B462,'Candidate Tracker'!$C:$C,"Offer Drop")),"")</f>
        <v/>
      </c>
      <c r="AZ462" s="80">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0.88111888111888115</v>
      </c>
      <c r="BA462" s="81" t="str">
        <f>IFERROR(IF(COUNTIFS('Candidate Tracker'!$E:$E,'Positions Tracker'!$B462,'Candidate Tracker'!$I:$I,"Female")=0,"",COUNTIFS('Candidate Tracker'!$E:$E,'Positions Tracker'!$B462,'Candidate Tracker'!$I:$I,"Female")),"")</f>
        <v/>
      </c>
      <c r="BB462" s="81" t="str">
        <f>IFERROR(IF(COUNTIFS('Candidate Tracker'!$E:$E,'Positions Tracker'!$B462,'Candidate Tracker'!$I:$I,"male")=0,"",COUNTIFS('Candidate Tracker'!$E:$E,'Positions Tracker'!$B462,'Candidate Tracker'!$I:$I,"male")),"")</f>
        <v/>
      </c>
      <c r="BC462" s="80" t="str">
        <f>IFERROR(IF(COUNTIFS('Candidate Tracker'!$E:$E,'Positions Tracker'!$B462,'Candidate Tracker'!$C:$C,"&lt;&gt;WIP",'Candidate Tracker'!$C:$C,"&lt;&gt;Hold",'Candidate Tracker'!$C:$C,"&lt;&gt;Cancelled",'Candidate Tracker'!$C:$C,"&lt;&gt;Closed")/COUNTIFS('Candidate Tracker'!$E:$E,'Positions Tracker'!$B462)=0,"",COUNTIFS('Candidate Tracker'!$E:$E,'Positions Tracker'!$B462,'Candidate Tracker'!$C:$C,"&lt;&gt;WIP",'Candidate Tracker'!$C:$C,"&lt;&gt;Hold",'Candidate Tracker'!$C:$C,"&lt;&gt;Cancelled",'Candidate Tracker'!$C:$C,"&lt;&gt;Closed")/COUNTIFS('Candidate Tracker'!$E:$E,'Positions Tracker'!$B462)),"")</f>
        <v/>
      </c>
      <c r="BD462" s="67" t="str">
        <f t="shared" si="42"/>
        <v/>
      </c>
      <c r="BE462" s="67" t="str">
        <f t="shared" si="43"/>
        <v/>
      </c>
      <c r="BF462" s="67" t="str">
        <f t="shared" si="44"/>
        <v/>
      </c>
      <c r="BG462" s="67" t="str">
        <f t="shared" si="45"/>
        <v/>
      </c>
    </row>
    <row r="463" spans="1:59">
      <c r="A463" s="55"/>
      <c r="B463" s="56"/>
      <c r="C463" s="56"/>
      <c r="D463" s="56"/>
      <c r="E463" s="56"/>
      <c r="F463" s="56"/>
      <c r="G463" s="56"/>
      <c r="H463" s="56"/>
      <c r="I463" s="6"/>
      <c r="J463" s="6"/>
      <c r="K463" s="57"/>
      <c r="L463" s="57"/>
      <c r="M463" s="57"/>
      <c r="N463" s="56"/>
      <c r="O463" s="56"/>
      <c r="P463" s="56"/>
      <c r="Q463" s="56"/>
      <c r="R463" s="56"/>
      <c r="S463" s="56"/>
      <c r="T463" s="56"/>
      <c r="U463" s="56"/>
      <c r="V463" s="56"/>
      <c r="W463" s="56"/>
      <c r="X463" s="56"/>
      <c r="Y463" s="56"/>
      <c r="Z463" s="56"/>
      <c r="AA463" s="56"/>
      <c r="AB463" s="56"/>
      <c r="AC463" s="56"/>
      <c r="AD463" s="56"/>
      <c r="AE463" s="56"/>
      <c r="AF463" s="56"/>
      <c r="AG463" s="56"/>
      <c r="AH463" s="56"/>
      <c r="AI463" s="58"/>
      <c r="AJ463" s="56"/>
      <c r="AK463" s="56"/>
      <c r="AL463" s="56"/>
      <c r="AM463" s="57"/>
      <c r="AN463" s="57"/>
      <c r="AO463" s="56"/>
      <c r="AP463" s="56"/>
      <c r="AQ463" s="57"/>
      <c r="AR463" s="57"/>
      <c r="AS463" s="57"/>
      <c r="AT463" s="67">
        <f t="shared" ca="1" si="46"/>
        <v>0</v>
      </c>
      <c r="AU463" s="79" t="str">
        <f t="shared" ca="1" si="47"/>
        <v/>
      </c>
      <c r="AV463" s="79" t="str" cm="1">
        <f t="array" aca="1" ref="AV463" ca="1">IFERROR(_xlfn.IFS($AU463="","",$AU463&lt;=15,"0-15",AND($AU463&gt;=16,$AU463&lt;=30),"16-30",AND($AU463&gt;=31,$AU463&lt;=45),"31-45",AND($AU463&gt;=46,$AU463&lt;=60),"46-60",AND($AU463&gt;=61,$AU463&lt;=90),"61-90",AND($AU463&gt;=91),"&gt; 90",AND($AU463&gt;=2000),""),"")</f>
        <v/>
      </c>
      <c r="AW463" s="79" t="str" cm="1">
        <f t="array" aca="1" ref="AW463" ca="1">IFERROR(_xlfn.IFS(OR($M463="",$AM463=""),"",OR($C463="Offered",$C463="Joined"),($AM463-$M463)-$AT463),"")</f>
        <v/>
      </c>
      <c r="AX463" s="79" t="str" cm="1">
        <f t="array" aca="1" ref="AX463" ca="1">IFERROR(_xlfn.IFS(OR($M463="",$AS463=""),"",$C463="Joined",($AS463-$M463)-$AT463),"")</f>
        <v/>
      </c>
      <c r="AY463" s="67" t="str">
        <f>IFERROR(IF(COUNTIFS('Candidate Tracker'!$E:$E,'Positions Tracker'!$B463,'Candidate Tracker'!$C:$C,"Offer Drop")=0,"",COUNTIFS('Candidate Tracker'!$E:$E,'Positions Tracker'!$B463,'Candidate Tracker'!$C:$C,"Offer Drop")),"")</f>
        <v/>
      </c>
      <c r="AZ463" s="80">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0.88111888111888115</v>
      </c>
      <c r="BA463" s="81" t="str">
        <f>IFERROR(IF(COUNTIFS('Candidate Tracker'!$E:$E,'Positions Tracker'!$B463,'Candidate Tracker'!$I:$I,"Female")=0,"",COUNTIFS('Candidate Tracker'!$E:$E,'Positions Tracker'!$B463,'Candidate Tracker'!$I:$I,"Female")),"")</f>
        <v/>
      </c>
      <c r="BB463" s="81" t="str">
        <f>IFERROR(IF(COUNTIFS('Candidate Tracker'!$E:$E,'Positions Tracker'!$B463,'Candidate Tracker'!$I:$I,"male")=0,"",COUNTIFS('Candidate Tracker'!$E:$E,'Positions Tracker'!$B463,'Candidate Tracker'!$I:$I,"male")),"")</f>
        <v/>
      </c>
      <c r="BC463" s="80" t="str">
        <f>IFERROR(IF(COUNTIFS('Candidate Tracker'!$E:$E,'Positions Tracker'!$B463,'Candidate Tracker'!$C:$C,"&lt;&gt;WIP",'Candidate Tracker'!$C:$C,"&lt;&gt;Hold",'Candidate Tracker'!$C:$C,"&lt;&gt;Cancelled",'Candidate Tracker'!$C:$C,"&lt;&gt;Closed")/COUNTIFS('Candidate Tracker'!$E:$E,'Positions Tracker'!$B463)=0,"",COUNTIFS('Candidate Tracker'!$E:$E,'Positions Tracker'!$B463,'Candidate Tracker'!$C:$C,"&lt;&gt;WIP",'Candidate Tracker'!$C:$C,"&lt;&gt;Hold",'Candidate Tracker'!$C:$C,"&lt;&gt;Cancelled",'Candidate Tracker'!$C:$C,"&lt;&gt;Closed")/COUNTIFS('Candidate Tracker'!$E:$E,'Positions Tracker'!$B463)),"")</f>
        <v/>
      </c>
      <c r="BD463" s="67" t="str">
        <f t="shared" si="42"/>
        <v/>
      </c>
      <c r="BE463" s="67" t="str">
        <f t="shared" si="43"/>
        <v/>
      </c>
      <c r="BF463" s="67" t="str">
        <f t="shared" si="44"/>
        <v/>
      </c>
      <c r="BG463" s="67" t="str">
        <f t="shared" si="45"/>
        <v/>
      </c>
    </row>
    <row r="464" spans="1:59">
      <c r="A464" s="55"/>
      <c r="B464" s="56"/>
      <c r="C464" s="56"/>
      <c r="D464" s="56"/>
      <c r="E464" s="56"/>
      <c r="F464" s="56"/>
      <c r="G464" s="56"/>
      <c r="H464" s="56"/>
      <c r="I464" s="6"/>
      <c r="J464" s="6"/>
      <c r="K464" s="57"/>
      <c r="L464" s="57"/>
      <c r="M464" s="57"/>
      <c r="N464" s="56"/>
      <c r="O464" s="56"/>
      <c r="P464" s="56"/>
      <c r="Q464" s="56"/>
      <c r="R464" s="56"/>
      <c r="S464" s="56"/>
      <c r="T464" s="56"/>
      <c r="U464" s="56"/>
      <c r="V464" s="56"/>
      <c r="W464" s="56"/>
      <c r="X464" s="56"/>
      <c r="Y464" s="56"/>
      <c r="Z464" s="56"/>
      <c r="AA464" s="56"/>
      <c r="AB464" s="56"/>
      <c r="AC464" s="56"/>
      <c r="AD464" s="56"/>
      <c r="AE464" s="56"/>
      <c r="AF464" s="56"/>
      <c r="AG464" s="56"/>
      <c r="AH464" s="56"/>
      <c r="AI464" s="58"/>
      <c r="AJ464" s="56"/>
      <c r="AK464" s="56"/>
      <c r="AL464" s="56"/>
      <c r="AM464" s="57"/>
      <c r="AN464" s="57"/>
      <c r="AO464" s="56"/>
      <c r="AP464" s="56"/>
      <c r="AQ464" s="57"/>
      <c r="AR464" s="57"/>
      <c r="AS464" s="57"/>
      <c r="AT464" s="67">
        <f t="shared" ca="1" si="46"/>
        <v>0</v>
      </c>
      <c r="AU464" s="79" t="str">
        <f t="shared" ca="1" si="47"/>
        <v/>
      </c>
      <c r="AV464" s="79" t="str" cm="1">
        <f t="array" aca="1" ref="AV464" ca="1">IFERROR(_xlfn.IFS($AU464="","",$AU464&lt;=15,"0-15",AND($AU464&gt;=16,$AU464&lt;=30),"16-30",AND($AU464&gt;=31,$AU464&lt;=45),"31-45",AND($AU464&gt;=46,$AU464&lt;=60),"46-60",AND($AU464&gt;=61,$AU464&lt;=90),"61-90",AND($AU464&gt;=91),"&gt; 90",AND($AU464&gt;=2000),""),"")</f>
        <v/>
      </c>
      <c r="AW464" s="79" t="str" cm="1">
        <f t="array" aca="1" ref="AW464" ca="1">IFERROR(_xlfn.IFS(OR($M464="",$AM464=""),"",OR($C464="Offered",$C464="Joined"),($AM464-$M464)-$AT464),"")</f>
        <v/>
      </c>
      <c r="AX464" s="79" t="str" cm="1">
        <f t="array" aca="1" ref="AX464" ca="1">IFERROR(_xlfn.IFS(OR($M464="",$AS464=""),"",$C464="Joined",($AS464-$M464)-$AT464),"")</f>
        <v/>
      </c>
      <c r="AY464" s="67" t="str">
        <f>IFERROR(IF(COUNTIFS('Candidate Tracker'!$E:$E,'Positions Tracker'!$B464,'Candidate Tracker'!$C:$C,"Offer Drop")=0,"",COUNTIFS('Candidate Tracker'!$E:$E,'Positions Tracker'!$B464,'Candidate Tracker'!$C:$C,"Offer Drop")),"")</f>
        <v/>
      </c>
      <c r="AZ464" s="80">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0.88111888111888115</v>
      </c>
      <c r="BA464" s="81" t="str">
        <f>IFERROR(IF(COUNTIFS('Candidate Tracker'!$E:$E,'Positions Tracker'!$B464,'Candidate Tracker'!$I:$I,"Female")=0,"",COUNTIFS('Candidate Tracker'!$E:$E,'Positions Tracker'!$B464,'Candidate Tracker'!$I:$I,"Female")),"")</f>
        <v/>
      </c>
      <c r="BB464" s="81" t="str">
        <f>IFERROR(IF(COUNTIFS('Candidate Tracker'!$E:$E,'Positions Tracker'!$B464,'Candidate Tracker'!$I:$I,"male")=0,"",COUNTIFS('Candidate Tracker'!$E:$E,'Positions Tracker'!$B464,'Candidate Tracker'!$I:$I,"male")),"")</f>
        <v/>
      </c>
      <c r="BC464" s="80" t="str">
        <f>IFERROR(IF(COUNTIFS('Candidate Tracker'!$E:$E,'Positions Tracker'!$B464,'Candidate Tracker'!$C:$C,"&lt;&gt;WIP",'Candidate Tracker'!$C:$C,"&lt;&gt;Hold",'Candidate Tracker'!$C:$C,"&lt;&gt;Cancelled",'Candidate Tracker'!$C:$C,"&lt;&gt;Closed")/COUNTIFS('Candidate Tracker'!$E:$E,'Positions Tracker'!$B464)=0,"",COUNTIFS('Candidate Tracker'!$E:$E,'Positions Tracker'!$B464,'Candidate Tracker'!$C:$C,"&lt;&gt;WIP",'Candidate Tracker'!$C:$C,"&lt;&gt;Hold",'Candidate Tracker'!$C:$C,"&lt;&gt;Cancelled",'Candidate Tracker'!$C:$C,"&lt;&gt;Closed")/COUNTIFS('Candidate Tracker'!$E:$E,'Positions Tracker'!$B464)),"")</f>
        <v/>
      </c>
      <c r="BD464" s="67" t="str">
        <f t="shared" si="42"/>
        <v/>
      </c>
      <c r="BE464" s="67" t="str">
        <f t="shared" si="43"/>
        <v/>
      </c>
      <c r="BF464" s="67" t="str">
        <f t="shared" si="44"/>
        <v/>
      </c>
      <c r="BG464" s="67" t="str">
        <f t="shared" si="45"/>
        <v/>
      </c>
    </row>
    <row r="465" spans="1:59">
      <c r="A465" s="55"/>
      <c r="B465" s="56"/>
      <c r="C465" s="56"/>
      <c r="D465" s="56"/>
      <c r="E465" s="56"/>
      <c r="F465" s="56"/>
      <c r="G465" s="56"/>
      <c r="H465" s="56"/>
      <c r="I465" s="6"/>
      <c r="J465" s="6"/>
      <c r="K465" s="57"/>
      <c r="L465" s="57"/>
      <c r="M465" s="57"/>
      <c r="N465" s="56"/>
      <c r="O465" s="56"/>
      <c r="P465" s="56"/>
      <c r="Q465" s="56"/>
      <c r="R465" s="56"/>
      <c r="S465" s="56"/>
      <c r="T465" s="56"/>
      <c r="U465" s="56"/>
      <c r="V465" s="56"/>
      <c r="W465" s="56"/>
      <c r="X465" s="56"/>
      <c r="Y465" s="56"/>
      <c r="Z465" s="56"/>
      <c r="AA465" s="56"/>
      <c r="AB465" s="56"/>
      <c r="AC465" s="56"/>
      <c r="AD465" s="56"/>
      <c r="AE465" s="56"/>
      <c r="AF465" s="56"/>
      <c r="AG465" s="56"/>
      <c r="AH465" s="56"/>
      <c r="AI465" s="58"/>
      <c r="AJ465" s="56"/>
      <c r="AK465" s="56"/>
      <c r="AL465" s="56"/>
      <c r="AM465" s="57"/>
      <c r="AN465" s="57"/>
      <c r="AO465" s="56"/>
      <c r="AP465" s="56"/>
      <c r="AQ465" s="57"/>
      <c r="AR465" s="57"/>
      <c r="AS465" s="57"/>
      <c r="AT465" s="67">
        <f t="shared" ca="1" si="46"/>
        <v>0</v>
      </c>
      <c r="AU465" s="79" t="str">
        <f t="shared" ca="1" si="47"/>
        <v/>
      </c>
      <c r="AV465" s="79" t="str" cm="1">
        <f t="array" aca="1" ref="AV465" ca="1">IFERROR(_xlfn.IFS($AU465="","",$AU465&lt;=15,"0-15",AND($AU465&gt;=16,$AU465&lt;=30),"16-30",AND($AU465&gt;=31,$AU465&lt;=45),"31-45",AND($AU465&gt;=46,$AU465&lt;=60),"46-60",AND($AU465&gt;=61,$AU465&lt;=90),"61-90",AND($AU465&gt;=91),"&gt; 90",AND($AU465&gt;=2000),""),"")</f>
        <v/>
      </c>
      <c r="AW465" s="79" t="str" cm="1">
        <f t="array" aca="1" ref="AW465" ca="1">IFERROR(_xlfn.IFS(OR($M465="",$AM465=""),"",OR($C465="Offered",$C465="Joined"),($AM465-$M465)-$AT465),"")</f>
        <v/>
      </c>
      <c r="AX465" s="79" t="str" cm="1">
        <f t="array" aca="1" ref="AX465" ca="1">IFERROR(_xlfn.IFS(OR($M465="",$AS465=""),"",$C465="Joined",($AS465-$M465)-$AT465),"")</f>
        <v/>
      </c>
      <c r="AY465" s="67" t="str">
        <f>IFERROR(IF(COUNTIFS('Candidate Tracker'!$E:$E,'Positions Tracker'!$B465,'Candidate Tracker'!$C:$C,"Offer Drop")=0,"",COUNTIFS('Candidate Tracker'!$E:$E,'Positions Tracker'!$B465,'Candidate Tracker'!$C:$C,"Offer Drop")),"")</f>
        <v/>
      </c>
      <c r="AZ465" s="80">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0.88111888111888115</v>
      </c>
      <c r="BA465" s="81" t="str">
        <f>IFERROR(IF(COUNTIFS('Candidate Tracker'!$E:$E,'Positions Tracker'!$B465,'Candidate Tracker'!$I:$I,"Female")=0,"",COUNTIFS('Candidate Tracker'!$E:$E,'Positions Tracker'!$B465,'Candidate Tracker'!$I:$I,"Female")),"")</f>
        <v/>
      </c>
      <c r="BB465" s="81" t="str">
        <f>IFERROR(IF(COUNTIFS('Candidate Tracker'!$E:$E,'Positions Tracker'!$B465,'Candidate Tracker'!$I:$I,"male")=0,"",COUNTIFS('Candidate Tracker'!$E:$E,'Positions Tracker'!$B465,'Candidate Tracker'!$I:$I,"male")),"")</f>
        <v/>
      </c>
      <c r="BC465" s="80" t="str">
        <f>IFERROR(IF(COUNTIFS('Candidate Tracker'!$E:$E,'Positions Tracker'!$B465,'Candidate Tracker'!$C:$C,"&lt;&gt;WIP",'Candidate Tracker'!$C:$C,"&lt;&gt;Hold",'Candidate Tracker'!$C:$C,"&lt;&gt;Cancelled",'Candidate Tracker'!$C:$C,"&lt;&gt;Closed")/COUNTIFS('Candidate Tracker'!$E:$E,'Positions Tracker'!$B465)=0,"",COUNTIFS('Candidate Tracker'!$E:$E,'Positions Tracker'!$B465,'Candidate Tracker'!$C:$C,"&lt;&gt;WIP",'Candidate Tracker'!$C:$C,"&lt;&gt;Hold",'Candidate Tracker'!$C:$C,"&lt;&gt;Cancelled",'Candidate Tracker'!$C:$C,"&lt;&gt;Closed")/COUNTIFS('Candidate Tracker'!$E:$E,'Positions Tracker'!$B465)),"")</f>
        <v/>
      </c>
      <c r="BD465" s="67" t="str">
        <f t="shared" si="42"/>
        <v/>
      </c>
      <c r="BE465" s="67" t="str">
        <f t="shared" si="43"/>
        <v/>
      </c>
      <c r="BF465" s="67" t="str">
        <f t="shared" si="44"/>
        <v/>
      </c>
      <c r="BG465" s="67" t="str">
        <f t="shared" si="45"/>
        <v/>
      </c>
    </row>
    <row r="466" spans="1:59">
      <c r="A466" s="55"/>
      <c r="B466" s="56"/>
      <c r="C466" s="56"/>
      <c r="D466" s="56"/>
      <c r="E466" s="56"/>
      <c r="F466" s="56"/>
      <c r="G466" s="56"/>
      <c r="H466" s="56"/>
      <c r="I466" s="6"/>
      <c r="J466" s="6"/>
      <c r="K466" s="57"/>
      <c r="L466" s="57"/>
      <c r="M466" s="57"/>
      <c r="N466" s="56"/>
      <c r="O466" s="56"/>
      <c r="P466" s="56"/>
      <c r="Q466" s="56"/>
      <c r="R466" s="56"/>
      <c r="S466" s="56"/>
      <c r="T466" s="56"/>
      <c r="U466" s="56"/>
      <c r="V466" s="56"/>
      <c r="W466" s="56"/>
      <c r="X466" s="56"/>
      <c r="Y466" s="56"/>
      <c r="Z466" s="56"/>
      <c r="AA466" s="56"/>
      <c r="AB466" s="56"/>
      <c r="AC466" s="56"/>
      <c r="AD466" s="56"/>
      <c r="AE466" s="56"/>
      <c r="AF466" s="56"/>
      <c r="AG466" s="56"/>
      <c r="AH466" s="56"/>
      <c r="AI466" s="58"/>
      <c r="AJ466" s="56"/>
      <c r="AK466" s="56"/>
      <c r="AL466" s="56"/>
      <c r="AM466" s="57"/>
      <c r="AN466" s="57"/>
      <c r="AO466" s="56"/>
      <c r="AP466" s="56"/>
      <c r="AQ466" s="57"/>
      <c r="AR466" s="57"/>
      <c r="AS466" s="57"/>
      <c r="AT466" s="67">
        <f t="shared" ca="1" si="46"/>
        <v>0</v>
      </c>
      <c r="AU466" s="79" t="str">
        <f t="shared" ca="1" si="47"/>
        <v/>
      </c>
      <c r="AV466" s="79" t="str" cm="1">
        <f t="array" aca="1" ref="AV466" ca="1">IFERROR(_xlfn.IFS($AU466="","",$AU466&lt;=15,"0-15",AND($AU466&gt;=16,$AU466&lt;=30),"16-30",AND($AU466&gt;=31,$AU466&lt;=45),"31-45",AND($AU466&gt;=46,$AU466&lt;=60),"46-60",AND($AU466&gt;=61,$AU466&lt;=90),"61-90",AND($AU466&gt;=91),"&gt; 90",AND($AU466&gt;=2000),""),"")</f>
        <v/>
      </c>
      <c r="AW466" s="79" t="str" cm="1">
        <f t="array" aca="1" ref="AW466" ca="1">IFERROR(_xlfn.IFS(OR($M466="",$AM466=""),"",OR($C466="Offered",$C466="Joined"),($AM466-$M466)-$AT466),"")</f>
        <v/>
      </c>
      <c r="AX466" s="79" t="str" cm="1">
        <f t="array" aca="1" ref="AX466" ca="1">IFERROR(_xlfn.IFS(OR($M466="",$AS466=""),"",$C466="Joined",($AS466-$M466)-$AT466),"")</f>
        <v/>
      </c>
      <c r="AY466" s="67" t="str">
        <f>IFERROR(IF(COUNTIFS('Candidate Tracker'!$E:$E,'Positions Tracker'!$B466,'Candidate Tracker'!$C:$C,"Offer Drop")=0,"",COUNTIFS('Candidate Tracker'!$E:$E,'Positions Tracker'!$B466,'Candidate Tracker'!$C:$C,"Offer Drop")),"")</f>
        <v/>
      </c>
      <c r="AZ466" s="80">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0.88111888111888115</v>
      </c>
      <c r="BA466" s="81" t="str">
        <f>IFERROR(IF(COUNTIFS('Candidate Tracker'!$E:$E,'Positions Tracker'!$B466,'Candidate Tracker'!$I:$I,"Female")=0,"",COUNTIFS('Candidate Tracker'!$E:$E,'Positions Tracker'!$B466,'Candidate Tracker'!$I:$I,"Female")),"")</f>
        <v/>
      </c>
      <c r="BB466" s="81" t="str">
        <f>IFERROR(IF(COUNTIFS('Candidate Tracker'!$E:$E,'Positions Tracker'!$B466,'Candidate Tracker'!$I:$I,"male")=0,"",COUNTIFS('Candidate Tracker'!$E:$E,'Positions Tracker'!$B466,'Candidate Tracker'!$I:$I,"male")),"")</f>
        <v/>
      </c>
      <c r="BC466" s="80" t="str">
        <f>IFERROR(IF(COUNTIFS('Candidate Tracker'!$E:$E,'Positions Tracker'!$B466,'Candidate Tracker'!$C:$C,"&lt;&gt;WIP",'Candidate Tracker'!$C:$C,"&lt;&gt;Hold",'Candidate Tracker'!$C:$C,"&lt;&gt;Cancelled",'Candidate Tracker'!$C:$C,"&lt;&gt;Closed")/COUNTIFS('Candidate Tracker'!$E:$E,'Positions Tracker'!$B466)=0,"",COUNTIFS('Candidate Tracker'!$E:$E,'Positions Tracker'!$B466,'Candidate Tracker'!$C:$C,"&lt;&gt;WIP",'Candidate Tracker'!$C:$C,"&lt;&gt;Hold",'Candidate Tracker'!$C:$C,"&lt;&gt;Cancelled",'Candidate Tracker'!$C:$C,"&lt;&gt;Closed")/COUNTIFS('Candidate Tracker'!$E:$E,'Positions Tracker'!$B466)),"")</f>
        <v/>
      </c>
      <c r="BD466" s="67" t="str">
        <f t="shared" si="42"/>
        <v/>
      </c>
      <c r="BE466" s="67" t="str">
        <f t="shared" si="43"/>
        <v/>
      </c>
      <c r="BF466" s="67" t="str">
        <f t="shared" si="44"/>
        <v/>
      </c>
      <c r="BG466" s="67" t="str">
        <f t="shared" si="45"/>
        <v/>
      </c>
    </row>
    <row r="467" spans="1:59">
      <c r="A467" s="55"/>
      <c r="B467" s="56"/>
      <c r="C467" s="56"/>
      <c r="D467" s="56"/>
      <c r="E467" s="56"/>
      <c r="F467" s="56"/>
      <c r="G467" s="56"/>
      <c r="H467" s="56"/>
      <c r="I467" s="6"/>
      <c r="J467" s="6"/>
      <c r="K467" s="57"/>
      <c r="L467" s="57"/>
      <c r="M467" s="57"/>
      <c r="N467" s="56"/>
      <c r="O467" s="56"/>
      <c r="P467" s="56"/>
      <c r="Q467" s="56"/>
      <c r="R467" s="56"/>
      <c r="S467" s="56"/>
      <c r="T467" s="56"/>
      <c r="U467" s="56"/>
      <c r="V467" s="56"/>
      <c r="W467" s="56"/>
      <c r="X467" s="56"/>
      <c r="Y467" s="56"/>
      <c r="Z467" s="56"/>
      <c r="AA467" s="56"/>
      <c r="AB467" s="56"/>
      <c r="AC467" s="56"/>
      <c r="AD467" s="56"/>
      <c r="AE467" s="56"/>
      <c r="AF467" s="56"/>
      <c r="AG467" s="56"/>
      <c r="AH467" s="56"/>
      <c r="AI467" s="58"/>
      <c r="AJ467" s="56"/>
      <c r="AK467" s="56"/>
      <c r="AL467" s="56"/>
      <c r="AM467" s="57"/>
      <c r="AN467" s="57"/>
      <c r="AO467" s="56"/>
      <c r="AP467" s="56"/>
      <c r="AQ467" s="57"/>
      <c r="AR467" s="57"/>
      <c r="AS467" s="57"/>
      <c r="AT467" s="67">
        <f t="shared" ca="1" si="46"/>
        <v>0</v>
      </c>
      <c r="AU467" s="79" t="str">
        <f t="shared" ca="1" si="47"/>
        <v/>
      </c>
      <c r="AV467" s="79" t="str" cm="1">
        <f t="array" aca="1" ref="AV467" ca="1">IFERROR(_xlfn.IFS($AU467="","",$AU467&lt;=15,"0-15",AND($AU467&gt;=16,$AU467&lt;=30),"16-30",AND($AU467&gt;=31,$AU467&lt;=45),"31-45",AND($AU467&gt;=46,$AU467&lt;=60),"46-60",AND($AU467&gt;=61,$AU467&lt;=90),"61-90",AND($AU467&gt;=91),"&gt; 90",AND($AU467&gt;=2000),""),"")</f>
        <v/>
      </c>
      <c r="AW467" s="79" t="str" cm="1">
        <f t="array" aca="1" ref="AW467" ca="1">IFERROR(_xlfn.IFS(OR($M467="",$AM467=""),"",OR($C467="Offered",$C467="Joined"),($AM467-$M467)-$AT467),"")</f>
        <v/>
      </c>
      <c r="AX467" s="79" t="str" cm="1">
        <f t="array" aca="1" ref="AX467" ca="1">IFERROR(_xlfn.IFS(OR($M467="",$AS467=""),"",$C467="Joined",($AS467-$M467)-$AT467),"")</f>
        <v/>
      </c>
      <c r="AY467" s="67" t="str">
        <f>IFERROR(IF(COUNTIFS('Candidate Tracker'!$E:$E,'Positions Tracker'!$B467,'Candidate Tracker'!$C:$C,"Offer Drop")=0,"",COUNTIFS('Candidate Tracker'!$E:$E,'Positions Tracker'!$B467,'Candidate Tracker'!$C:$C,"Offer Drop")),"")</f>
        <v/>
      </c>
      <c r="AZ467" s="80">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0.88111888111888115</v>
      </c>
      <c r="BA467" s="81" t="str">
        <f>IFERROR(IF(COUNTIFS('Candidate Tracker'!$E:$E,'Positions Tracker'!$B467,'Candidate Tracker'!$I:$I,"Female")=0,"",COUNTIFS('Candidate Tracker'!$E:$E,'Positions Tracker'!$B467,'Candidate Tracker'!$I:$I,"Female")),"")</f>
        <v/>
      </c>
      <c r="BB467" s="81" t="str">
        <f>IFERROR(IF(COUNTIFS('Candidate Tracker'!$E:$E,'Positions Tracker'!$B467,'Candidate Tracker'!$I:$I,"male")=0,"",COUNTIFS('Candidate Tracker'!$E:$E,'Positions Tracker'!$B467,'Candidate Tracker'!$I:$I,"male")),"")</f>
        <v/>
      </c>
      <c r="BC467" s="80" t="str">
        <f>IFERROR(IF(COUNTIFS('Candidate Tracker'!$E:$E,'Positions Tracker'!$B467,'Candidate Tracker'!$C:$C,"&lt;&gt;WIP",'Candidate Tracker'!$C:$C,"&lt;&gt;Hold",'Candidate Tracker'!$C:$C,"&lt;&gt;Cancelled",'Candidate Tracker'!$C:$C,"&lt;&gt;Closed")/COUNTIFS('Candidate Tracker'!$E:$E,'Positions Tracker'!$B467)=0,"",COUNTIFS('Candidate Tracker'!$E:$E,'Positions Tracker'!$B467,'Candidate Tracker'!$C:$C,"&lt;&gt;WIP",'Candidate Tracker'!$C:$C,"&lt;&gt;Hold",'Candidate Tracker'!$C:$C,"&lt;&gt;Cancelled",'Candidate Tracker'!$C:$C,"&lt;&gt;Closed")/COUNTIFS('Candidate Tracker'!$E:$E,'Positions Tracker'!$B467)),"")</f>
        <v/>
      </c>
      <c r="BD467" s="67" t="str">
        <f t="shared" si="42"/>
        <v/>
      </c>
      <c r="BE467" s="67" t="str">
        <f t="shared" si="43"/>
        <v/>
      </c>
      <c r="BF467" s="67" t="str">
        <f t="shared" si="44"/>
        <v/>
      </c>
      <c r="BG467" s="67" t="str">
        <f t="shared" si="45"/>
        <v/>
      </c>
    </row>
    <row r="468" spans="1:59">
      <c r="A468" s="55"/>
      <c r="B468" s="56"/>
      <c r="C468" s="56"/>
      <c r="D468" s="56"/>
      <c r="E468" s="56"/>
      <c r="F468" s="56"/>
      <c r="G468" s="56"/>
      <c r="H468" s="56"/>
      <c r="I468" s="6"/>
      <c r="J468" s="6"/>
      <c r="K468" s="57"/>
      <c r="L468" s="57"/>
      <c r="M468" s="57"/>
      <c r="N468" s="56"/>
      <c r="O468" s="56"/>
      <c r="P468" s="56"/>
      <c r="Q468" s="56"/>
      <c r="R468" s="56"/>
      <c r="S468" s="56"/>
      <c r="T468" s="56"/>
      <c r="U468" s="56"/>
      <c r="V468" s="56"/>
      <c r="W468" s="56"/>
      <c r="X468" s="56"/>
      <c r="Y468" s="56"/>
      <c r="Z468" s="56"/>
      <c r="AA468" s="56"/>
      <c r="AB468" s="56"/>
      <c r="AC468" s="56"/>
      <c r="AD468" s="56"/>
      <c r="AE468" s="56"/>
      <c r="AF468" s="56"/>
      <c r="AG468" s="56"/>
      <c r="AH468" s="56"/>
      <c r="AI468" s="58"/>
      <c r="AJ468" s="56"/>
      <c r="AK468" s="56"/>
      <c r="AL468" s="56"/>
      <c r="AM468" s="57"/>
      <c r="AN468" s="57"/>
      <c r="AO468" s="56"/>
      <c r="AP468" s="56"/>
      <c r="AQ468" s="57"/>
      <c r="AR468" s="57"/>
      <c r="AS468" s="57"/>
      <c r="AT468" s="67">
        <f t="shared" ca="1" si="46"/>
        <v>0</v>
      </c>
      <c r="AU468" s="79" t="str">
        <f t="shared" ca="1" si="47"/>
        <v/>
      </c>
      <c r="AV468" s="79" t="str" cm="1">
        <f t="array" aca="1" ref="AV468" ca="1">IFERROR(_xlfn.IFS($AU468="","",$AU468&lt;=15,"0-15",AND($AU468&gt;=16,$AU468&lt;=30),"16-30",AND($AU468&gt;=31,$AU468&lt;=45),"31-45",AND($AU468&gt;=46,$AU468&lt;=60),"46-60",AND($AU468&gt;=61,$AU468&lt;=90),"61-90",AND($AU468&gt;=91),"&gt; 90",AND($AU468&gt;=2000),""),"")</f>
        <v/>
      </c>
      <c r="AW468" s="79" t="str" cm="1">
        <f t="array" aca="1" ref="AW468" ca="1">IFERROR(_xlfn.IFS(OR($M468="",$AM468=""),"",OR($C468="Offered",$C468="Joined"),($AM468-$M468)-$AT468),"")</f>
        <v/>
      </c>
      <c r="AX468" s="79" t="str" cm="1">
        <f t="array" aca="1" ref="AX468" ca="1">IFERROR(_xlfn.IFS(OR($M468="",$AS468=""),"",$C468="Joined",($AS468-$M468)-$AT468),"")</f>
        <v/>
      </c>
      <c r="AY468" s="67" t="str">
        <f>IFERROR(IF(COUNTIFS('Candidate Tracker'!$E:$E,'Positions Tracker'!$B468,'Candidate Tracker'!$C:$C,"Offer Drop")=0,"",COUNTIFS('Candidate Tracker'!$E:$E,'Positions Tracker'!$B468,'Candidate Tracker'!$C:$C,"Offer Drop")),"")</f>
        <v/>
      </c>
      <c r="AZ468" s="80">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0.88111888111888115</v>
      </c>
      <c r="BA468" s="81" t="str">
        <f>IFERROR(IF(COUNTIFS('Candidate Tracker'!$E:$E,'Positions Tracker'!$B468,'Candidate Tracker'!$I:$I,"Female")=0,"",COUNTIFS('Candidate Tracker'!$E:$E,'Positions Tracker'!$B468,'Candidate Tracker'!$I:$I,"Female")),"")</f>
        <v/>
      </c>
      <c r="BB468" s="81" t="str">
        <f>IFERROR(IF(COUNTIFS('Candidate Tracker'!$E:$E,'Positions Tracker'!$B468,'Candidate Tracker'!$I:$I,"male")=0,"",COUNTIFS('Candidate Tracker'!$E:$E,'Positions Tracker'!$B468,'Candidate Tracker'!$I:$I,"male")),"")</f>
        <v/>
      </c>
      <c r="BC468" s="80" t="str">
        <f>IFERROR(IF(COUNTIFS('Candidate Tracker'!$E:$E,'Positions Tracker'!$B468,'Candidate Tracker'!$C:$C,"&lt;&gt;WIP",'Candidate Tracker'!$C:$C,"&lt;&gt;Hold",'Candidate Tracker'!$C:$C,"&lt;&gt;Cancelled",'Candidate Tracker'!$C:$C,"&lt;&gt;Closed")/COUNTIFS('Candidate Tracker'!$E:$E,'Positions Tracker'!$B468)=0,"",COUNTIFS('Candidate Tracker'!$E:$E,'Positions Tracker'!$B468,'Candidate Tracker'!$C:$C,"&lt;&gt;WIP",'Candidate Tracker'!$C:$C,"&lt;&gt;Hold",'Candidate Tracker'!$C:$C,"&lt;&gt;Cancelled",'Candidate Tracker'!$C:$C,"&lt;&gt;Closed")/COUNTIFS('Candidate Tracker'!$E:$E,'Positions Tracker'!$B468)),"")</f>
        <v/>
      </c>
      <c r="BD468" s="67" t="str">
        <f t="shared" si="42"/>
        <v/>
      </c>
      <c r="BE468" s="67" t="str">
        <f t="shared" si="43"/>
        <v/>
      </c>
      <c r="BF468" s="67" t="str">
        <f t="shared" si="44"/>
        <v/>
      </c>
      <c r="BG468" s="67" t="str">
        <f t="shared" si="45"/>
        <v/>
      </c>
    </row>
    <row r="469" spans="1:59">
      <c r="A469" s="55"/>
      <c r="B469" s="56"/>
      <c r="C469" s="56"/>
      <c r="D469" s="56"/>
      <c r="E469" s="56"/>
      <c r="F469" s="56"/>
      <c r="G469" s="56"/>
      <c r="H469" s="56"/>
      <c r="I469" s="6"/>
      <c r="J469" s="6"/>
      <c r="K469" s="57"/>
      <c r="L469" s="57"/>
      <c r="M469" s="57"/>
      <c r="N469" s="56"/>
      <c r="O469" s="56"/>
      <c r="P469" s="56"/>
      <c r="Q469" s="56"/>
      <c r="R469" s="56"/>
      <c r="S469" s="56"/>
      <c r="T469" s="56"/>
      <c r="U469" s="56"/>
      <c r="V469" s="56"/>
      <c r="W469" s="56"/>
      <c r="X469" s="56"/>
      <c r="Y469" s="56"/>
      <c r="Z469" s="56"/>
      <c r="AA469" s="56"/>
      <c r="AB469" s="56"/>
      <c r="AC469" s="56"/>
      <c r="AD469" s="56"/>
      <c r="AE469" s="56"/>
      <c r="AF469" s="56"/>
      <c r="AG469" s="56"/>
      <c r="AH469" s="56"/>
      <c r="AI469" s="58"/>
      <c r="AJ469" s="56"/>
      <c r="AK469" s="56"/>
      <c r="AL469" s="56"/>
      <c r="AM469" s="57"/>
      <c r="AN469" s="57"/>
      <c r="AO469" s="56"/>
      <c r="AP469" s="56"/>
      <c r="AQ469" s="57"/>
      <c r="AR469" s="57"/>
      <c r="AS469" s="57"/>
      <c r="AT469" s="67">
        <f t="shared" ca="1" si="46"/>
        <v>0</v>
      </c>
      <c r="AU469" s="79" t="str">
        <f t="shared" ca="1" si="47"/>
        <v/>
      </c>
      <c r="AV469" s="79" t="str" cm="1">
        <f t="array" aca="1" ref="AV469" ca="1">IFERROR(_xlfn.IFS($AU469="","",$AU469&lt;=15,"0-15",AND($AU469&gt;=16,$AU469&lt;=30),"16-30",AND($AU469&gt;=31,$AU469&lt;=45),"31-45",AND($AU469&gt;=46,$AU469&lt;=60),"46-60",AND($AU469&gt;=61,$AU469&lt;=90),"61-90",AND($AU469&gt;=91),"&gt; 90",AND($AU469&gt;=2000),""),"")</f>
        <v/>
      </c>
      <c r="AW469" s="79" t="str" cm="1">
        <f t="array" aca="1" ref="AW469" ca="1">IFERROR(_xlfn.IFS(OR($M469="",$AM469=""),"",OR($C469="Offered",$C469="Joined"),($AM469-$M469)-$AT469),"")</f>
        <v/>
      </c>
      <c r="AX469" s="79" t="str" cm="1">
        <f t="array" aca="1" ref="AX469" ca="1">IFERROR(_xlfn.IFS(OR($M469="",$AS469=""),"",$C469="Joined",($AS469-$M469)-$AT469),"")</f>
        <v/>
      </c>
      <c r="AY469" s="67" t="str">
        <f>IFERROR(IF(COUNTIFS('Candidate Tracker'!$E:$E,'Positions Tracker'!$B469,'Candidate Tracker'!$C:$C,"Offer Drop")=0,"",COUNTIFS('Candidate Tracker'!$E:$E,'Positions Tracker'!$B469,'Candidate Tracker'!$C:$C,"Offer Drop")),"")</f>
        <v/>
      </c>
      <c r="AZ469" s="80">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0.88111888111888115</v>
      </c>
      <c r="BA469" s="81" t="str">
        <f>IFERROR(IF(COUNTIFS('Candidate Tracker'!$E:$E,'Positions Tracker'!$B469,'Candidate Tracker'!$I:$I,"Female")=0,"",COUNTIFS('Candidate Tracker'!$E:$E,'Positions Tracker'!$B469,'Candidate Tracker'!$I:$I,"Female")),"")</f>
        <v/>
      </c>
      <c r="BB469" s="81" t="str">
        <f>IFERROR(IF(COUNTIFS('Candidate Tracker'!$E:$E,'Positions Tracker'!$B469,'Candidate Tracker'!$I:$I,"male")=0,"",COUNTIFS('Candidate Tracker'!$E:$E,'Positions Tracker'!$B469,'Candidate Tracker'!$I:$I,"male")),"")</f>
        <v/>
      </c>
      <c r="BC469" s="80" t="str">
        <f>IFERROR(IF(COUNTIFS('Candidate Tracker'!$E:$E,'Positions Tracker'!$B469,'Candidate Tracker'!$C:$C,"&lt;&gt;WIP",'Candidate Tracker'!$C:$C,"&lt;&gt;Hold",'Candidate Tracker'!$C:$C,"&lt;&gt;Cancelled",'Candidate Tracker'!$C:$C,"&lt;&gt;Closed")/COUNTIFS('Candidate Tracker'!$E:$E,'Positions Tracker'!$B469)=0,"",COUNTIFS('Candidate Tracker'!$E:$E,'Positions Tracker'!$B469,'Candidate Tracker'!$C:$C,"&lt;&gt;WIP",'Candidate Tracker'!$C:$C,"&lt;&gt;Hold",'Candidate Tracker'!$C:$C,"&lt;&gt;Cancelled",'Candidate Tracker'!$C:$C,"&lt;&gt;Closed")/COUNTIFS('Candidate Tracker'!$E:$E,'Positions Tracker'!$B469)),"")</f>
        <v/>
      </c>
      <c r="BD469" s="67" t="str">
        <f t="shared" si="42"/>
        <v/>
      </c>
      <c r="BE469" s="67" t="str">
        <f t="shared" si="43"/>
        <v/>
      </c>
      <c r="BF469" s="67" t="str">
        <f t="shared" si="44"/>
        <v/>
      </c>
      <c r="BG469" s="67" t="str">
        <f t="shared" si="45"/>
        <v/>
      </c>
    </row>
    <row r="470" spans="1:59">
      <c r="A470" s="55"/>
      <c r="B470" s="56"/>
      <c r="C470" s="56"/>
      <c r="D470" s="56"/>
      <c r="E470" s="56"/>
      <c r="F470" s="56"/>
      <c r="G470" s="56"/>
      <c r="H470" s="56"/>
      <c r="I470" s="6"/>
      <c r="J470" s="6"/>
      <c r="K470" s="57"/>
      <c r="L470" s="57"/>
      <c r="M470" s="57"/>
      <c r="N470" s="56"/>
      <c r="O470" s="56"/>
      <c r="P470" s="56"/>
      <c r="Q470" s="56"/>
      <c r="R470" s="56"/>
      <c r="S470" s="56"/>
      <c r="T470" s="56"/>
      <c r="U470" s="56"/>
      <c r="V470" s="56"/>
      <c r="W470" s="56"/>
      <c r="X470" s="56"/>
      <c r="Y470" s="56"/>
      <c r="Z470" s="56"/>
      <c r="AA470" s="56"/>
      <c r="AB470" s="56"/>
      <c r="AC470" s="56"/>
      <c r="AD470" s="56"/>
      <c r="AE470" s="56"/>
      <c r="AF470" s="56"/>
      <c r="AG470" s="56"/>
      <c r="AH470" s="56"/>
      <c r="AI470" s="58"/>
      <c r="AJ470" s="56"/>
      <c r="AK470" s="56"/>
      <c r="AL470" s="56"/>
      <c r="AM470" s="57"/>
      <c r="AN470" s="57"/>
      <c r="AO470" s="56"/>
      <c r="AP470" s="56"/>
      <c r="AQ470" s="57"/>
      <c r="AR470" s="57"/>
      <c r="AS470" s="57"/>
      <c r="AT470" s="67">
        <f t="shared" ca="1" si="46"/>
        <v>0</v>
      </c>
      <c r="AU470" s="79" t="str">
        <f t="shared" ca="1" si="47"/>
        <v/>
      </c>
      <c r="AV470" s="79" t="str" cm="1">
        <f t="array" aca="1" ref="AV470" ca="1">IFERROR(_xlfn.IFS($AU470="","",$AU470&lt;=15,"0-15",AND($AU470&gt;=16,$AU470&lt;=30),"16-30",AND($AU470&gt;=31,$AU470&lt;=45),"31-45",AND($AU470&gt;=46,$AU470&lt;=60),"46-60",AND($AU470&gt;=61,$AU470&lt;=90),"61-90",AND($AU470&gt;=91),"&gt; 90",AND($AU470&gt;=2000),""),"")</f>
        <v/>
      </c>
      <c r="AW470" s="79" t="str" cm="1">
        <f t="array" aca="1" ref="AW470" ca="1">IFERROR(_xlfn.IFS(OR($M470="",$AM470=""),"",OR($C470="Offered",$C470="Joined"),($AM470-$M470)-$AT470),"")</f>
        <v/>
      </c>
      <c r="AX470" s="79" t="str" cm="1">
        <f t="array" aca="1" ref="AX470" ca="1">IFERROR(_xlfn.IFS(OR($M470="",$AS470=""),"",$C470="Joined",($AS470-$M470)-$AT470),"")</f>
        <v/>
      </c>
      <c r="AY470" s="67" t="str">
        <f>IFERROR(IF(COUNTIFS('Candidate Tracker'!$E:$E,'Positions Tracker'!$B470,'Candidate Tracker'!$C:$C,"Offer Drop")=0,"",COUNTIFS('Candidate Tracker'!$E:$E,'Positions Tracker'!$B470,'Candidate Tracker'!$C:$C,"Offer Drop")),"")</f>
        <v/>
      </c>
      <c r="AZ470" s="80">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0.88111888111888115</v>
      </c>
      <c r="BA470" s="81" t="str">
        <f>IFERROR(IF(COUNTIFS('Candidate Tracker'!$E:$E,'Positions Tracker'!$B470,'Candidate Tracker'!$I:$I,"Female")=0,"",COUNTIFS('Candidate Tracker'!$E:$E,'Positions Tracker'!$B470,'Candidate Tracker'!$I:$I,"Female")),"")</f>
        <v/>
      </c>
      <c r="BB470" s="81" t="str">
        <f>IFERROR(IF(COUNTIFS('Candidate Tracker'!$E:$E,'Positions Tracker'!$B470,'Candidate Tracker'!$I:$I,"male")=0,"",COUNTIFS('Candidate Tracker'!$E:$E,'Positions Tracker'!$B470,'Candidate Tracker'!$I:$I,"male")),"")</f>
        <v/>
      </c>
      <c r="BC470" s="80" t="str">
        <f>IFERROR(IF(COUNTIFS('Candidate Tracker'!$E:$E,'Positions Tracker'!$B470,'Candidate Tracker'!$C:$C,"&lt;&gt;WIP",'Candidate Tracker'!$C:$C,"&lt;&gt;Hold",'Candidate Tracker'!$C:$C,"&lt;&gt;Cancelled",'Candidate Tracker'!$C:$C,"&lt;&gt;Closed")/COUNTIFS('Candidate Tracker'!$E:$E,'Positions Tracker'!$B470)=0,"",COUNTIFS('Candidate Tracker'!$E:$E,'Positions Tracker'!$B470,'Candidate Tracker'!$C:$C,"&lt;&gt;WIP",'Candidate Tracker'!$C:$C,"&lt;&gt;Hold",'Candidate Tracker'!$C:$C,"&lt;&gt;Cancelled",'Candidate Tracker'!$C:$C,"&lt;&gt;Closed")/COUNTIFS('Candidate Tracker'!$E:$E,'Positions Tracker'!$B470)),"")</f>
        <v/>
      </c>
      <c r="BD470" s="67" t="str">
        <f t="shared" si="42"/>
        <v/>
      </c>
      <c r="BE470" s="67" t="str">
        <f t="shared" si="43"/>
        <v/>
      </c>
      <c r="BF470" s="67" t="str">
        <f t="shared" si="44"/>
        <v/>
      </c>
      <c r="BG470" s="67" t="str">
        <f t="shared" si="45"/>
        <v/>
      </c>
    </row>
    <row r="471" spans="1:59">
      <c r="A471" s="55"/>
      <c r="B471" s="56"/>
      <c r="C471" s="56"/>
      <c r="D471" s="56"/>
      <c r="E471" s="56"/>
      <c r="F471" s="56"/>
      <c r="G471" s="56"/>
      <c r="H471" s="56"/>
      <c r="I471" s="6"/>
      <c r="J471" s="6"/>
      <c r="K471" s="57"/>
      <c r="L471" s="57"/>
      <c r="M471" s="57"/>
      <c r="N471" s="56"/>
      <c r="O471" s="56"/>
      <c r="P471" s="56"/>
      <c r="Q471" s="56"/>
      <c r="R471" s="56"/>
      <c r="S471" s="56"/>
      <c r="T471" s="56"/>
      <c r="U471" s="56"/>
      <c r="V471" s="56"/>
      <c r="W471" s="56"/>
      <c r="X471" s="56"/>
      <c r="Y471" s="56"/>
      <c r="Z471" s="56"/>
      <c r="AA471" s="56"/>
      <c r="AB471" s="56"/>
      <c r="AC471" s="56"/>
      <c r="AD471" s="56"/>
      <c r="AE471" s="56"/>
      <c r="AF471" s="56"/>
      <c r="AG471" s="56"/>
      <c r="AH471" s="56"/>
      <c r="AI471" s="58"/>
      <c r="AJ471" s="56"/>
      <c r="AK471" s="56"/>
      <c r="AL471" s="56"/>
      <c r="AM471" s="57"/>
      <c r="AN471" s="57"/>
      <c r="AO471" s="56"/>
      <c r="AP471" s="56"/>
      <c r="AQ471" s="57"/>
      <c r="AR471" s="57"/>
      <c r="AS471" s="57"/>
      <c r="AT471" s="67">
        <f t="shared" ca="1" si="46"/>
        <v>0</v>
      </c>
      <c r="AU471" s="79" t="str">
        <f t="shared" ca="1" si="47"/>
        <v/>
      </c>
      <c r="AV471" s="79" t="str" cm="1">
        <f t="array" aca="1" ref="AV471" ca="1">IFERROR(_xlfn.IFS($AU471="","",$AU471&lt;=15,"0-15",AND($AU471&gt;=16,$AU471&lt;=30),"16-30",AND($AU471&gt;=31,$AU471&lt;=45),"31-45",AND($AU471&gt;=46,$AU471&lt;=60),"46-60",AND($AU471&gt;=61,$AU471&lt;=90),"61-90",AND($AU471&gt;=91),"&gt; 90",AND($AU471&gt;=2000),""),"")</f>
        <v/>
      </c>
      <c r="AW471" s="79" t="str" cm="1">
        <f t="array" aca="1" ref="AW471" ca="1">IFERROR(_xlfn.IFS(OR($M471="",$AM471=""),"",OR($C471="Offered",$C471="Joined"),($AM471-$M471)-$AT471),"")</f>
        <v/>
      </c>
      <c r="AX471" s="79" t="str" cm="1">
        <f t="array" aca="1" ref="AX471" ca="1">IFERROR(_xlfn.IFS(OR($M471="",$AS471=""),"",$C471="Joined",($AS471-$M471)-$AT471),"")</f>
        <v/>
      </c>
      <c r="AY471" s="67" t="str">
        <f>IFERROR(IF(COUNTIFS('Candidate Tracker'!$E:$E,'Positions Tracker'!$B471,'Candidate Tracker'!$C:$C,"Offer Drop")=0,"",COUNTIFS('Candidate Tracker'!$E:$E,'Positions Tracker'!$B471,'Candidate Tracker'!$C:$C,"Offer Drop")),"")</f>
        <v/>
      </c>
      <c r="AZ471" s="80">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0.88111888111888115</v>
      </c>
      <c r="BA471" s="81" t="str">
        <f>IFERROR(IF(COUNTIFS('Candidate Tracker'!$E:$E,'Positions Tracker'!$B471,'Candidate Tracker'!$I:$I,"Female")=0,"",COUNTIFS('Candidate Tracker'!$E:$E,'Positions Tracker'!$B471,'Candidate Tracker'!$I:$I,"Female")),"")</f>
        <v/>
      </c>
      <c r="BB471" s="81" t="str">
        <f>IFERROR(IF(COUNTIFS('Candidate Tracker'!$E:$E,'Positions Tracker'!$B471,'Candidate Tracker'!$I:$I,"male")=0,"",COUNTIFS('Candidate Tracker'!$E:$E,'Positions Tracker'!$B471,'Candidate Tracker'!$I:$I,"male")),"")</f>
        <v/>
      </c>
      <c r="BC471" s="80" t="str">
        <f>IFERROR(IF(COUNTIFS('Candidate Tracker'!$E:$E,'Positions Tracker'!$B471,'Candidate Tracker'!$C:$C,"&lt;&gt;WIP",'Candidate Tracker'!$C:$C,"&lt;&gt;Hold",'Candidate Tracker'!$C:$C,"&lt;&gt;Cancelled",'Candidate Tracker'!$C:$C,"&lt;&gt;Closed")/COUNTIFS('Candidate Tracker'!$E:$E,'Positions Tracker'!$B471)=0,"",COUNTIFS('Candidate Tracker'!$E:$E,'Positions Tracker'!$B471,'Candidate Tracker'!$C:$C,"&lt;&gt;WIP",'Candidate Tracker'!$C:$C,"&lt;&gt;Hold",'Candidate Tracker'!$C:$C,"&lt;&gt;Cancelled",'Candidate Tracker'!$C:$C,"&lt;&gt;Closed")/COUNTIFS('Candidate Tracker'!$E:$E,'Positions Tracker'!$B471)),"")</f>
        <v/>
      </c>
      <c r="BD471" s="67" t="str">
        <f t="shared" si="42"/>
        <v/>
      </c>
      <c r="BE471" s="67" t="str">
        <f t="shared" si="43"/>
        <v/>
      </c>
      <c r="BF471" s="67" t="str">
        <f t="shared" si="44"/>
        <v/>
      </c>
      <c r="BG471" s="67" t="str">
        <f t="shared" si="45"/>
        <v/>
      </c>
    </row>
    <row r="472" spans="1:59">
      <c r="A472" s="55"/>
      <c r="B472" s="56"/>
      <c r="C472" s="56"/>
      <c r="D472" s="56"/>
      <c r="E472" s="56"/>
      <c r="F472" s="56"/>
      <c r="G472" s="56"/>
      <c r="H472" s="56"/>
      <c r="I472" s="6"/>
      <c r="J472" s="6"/>
      <c r="K472" s="57"/>
      <c r="L472" s="57"/>
      <c r="M472" s="57"/>
      <c r="N472" s="56"/>
      <c r="O472" s="56"/>
      <c r="P472" s="56"/>
      <c r="Q472" s="56"/>
      <c r="R472" s="56"/>
      <c r="S472" s="56"/>
      <c r="T472" s="56"/>
      <c r="U472" s="56"/>
      <c r="V472" s="56"/>
      <c r="W472" s="56"/>
      <c r="X472" s="56"/>
      <c r="Y472" s="56"/>
      <c r="Z472" s="56"/>
      <c r="AA472" s="56"/>
      <c r="AB472" s="56"/>
      <c r="AC472" s="56"/>
      <c r="AD472" s="56"/>
      <c r="AE472" s="56"/>
      <c r="AF472" s="56"/>
      <c r="AG472" s="56"/>
      <c r="AH472" s="56"/>
      <c r="AI472" s="58"/>
      <c r="AJ472" s="56"/>
      <c r="AK472" s="56"/>
      <c r="AL472" s="56"/>
      <c r="AM472" s="57"/>
      <c r="AN472" s="57"/>
      <c r="AO472" s="56"/>
      <c r="AP472" s="56"/>
      <c r="AQ472" s="57"/>
      <c r="AR472" s="57"/>
      <c r="AS472" s="57"/>
      <c r="AT472" s="67">
        <f t="shared" ca="1" si="46"/>
        <v>0</v>
      </c>
      <c r="AU472" s="79" t="str">
        <f t="shared" ca="1" si="47"/>
        <v/>
      </c>
      <c r="AV472" s="79" t="str" cm="1">
        <f t="array" aca="1" ref="AV472" ca="1">IFERROR(_xlfn.IFS($AU472="","",$AU472&lt;=15,"0-15",AND($AU472&gt;=16,$AU472&lt;=30),"16-30",AND($AU472&gt;=31,$AU472&lt;=45),"31-45",AND($AU472&gt;=46,$AU472&lt;=60),"46-60",AND($AU472&gt;=61,$AU472&lt;=90),"61-90",AND($AU472&gt;=91),"&gt; 90",AND($AU472&gt;=2000),""),"")</f>
        <v/>
      </c>
      <c r="AW472" s="79" t="str" cm="1">
        <f t="array" aca="1" ref="AW472" ca="1">IFERROR(_xlfn.IFS(OR($M472="",$AM472=""),"",OR($C472="Offered",$C472="Joined"),($AM472-$M472)-$AT472),"")</f>
        <v/>
      </c>
      <c r="AX472" s="79" t="str" cm="1">
        <f t="array" aca="1" ref="AX472" ca="1">IFERROR(_xlfn.IFS(OR($M472="",$AS472=""),"",$C472="Joined",($AS472-$M472)-$AT472),"")</f>
        <v/>
      </c>
      <c r="AY472" s="67" t="str">
        <f>IFERROR(IF(COUNTIFS('Candidate Tracker'!$E:$E,'Positions Tracker'!$B472,'Candidate Tracker'!$C:$C,"Offer Drop")=0,"",COUNTIFS('Candidate Tracker'!$E:$E,'Positions Tracker'!$B472,'Candidate Tracker'!$C:$C,"Offer Drop")),"")</f>
        <v/>
      </c>
      <c r="AZ472" s="80">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0.88111888111888115</v>
      </c>
      <c r="BA472" s="81" t="str">
        <f>IFERROR(IF(COUNTIFS('Candidate Tracker'!$E:$E,'Positions Tracker'!$B472,'Candidate Tracker'!$I:$I,"Female")=0,"",COUNTIFS('Candidate Tracker'!$E:$E,'Positions Tracker'!$B472,'Candidate Tracker'!$I:$I,"Female")),"")</f>
        <v/>
      </c>
      <c r="BB472" s="81" t="str">
        <f>IFERROR(IF(COUNTIFS('Candidate Tracker'!$E:$E,'Positions Tracker'!$B472,'Candidate Tracker'!$I:$I,"male")=0,"",COUNTIFS('Candidate Tracker'!$E:$E,'Positions Tracker'!$B472,'Candidate Tracker'!$I:$I,"male")),"")</f>
        <v/>
      </c>
      <c r="BC472" s="80" t="str">
        <f>IFERROR(IF(COUNTIFS('Candidate Tracker'!$E:$E,'Positions Tracker'!$B472,'Candidate Tracker'!$C:$C,"&lt;&gt;WIP",'Candidate Tracker'!$C:$C,"&lt;&gt;Hold",'Candidate Tracker'!$C:$C,"&lt;&gt;Cancelled",'Candidate Tracker'!$C:$C,"&lt;&gt;Closed")/COUNTIFS('Candidate Tracker'!$E:$E,'Positions Tracker'!$B472)=0,"",COUNTIFS('Candidate Tracker'!$E:$E,'Positions Tracker'!$B472,'Candidate Tracker'!$C:$C,"&lt;&gt;WIP",'Candidate Tracker'!$C:$C,"&lt;&gt;Hold",'Candidate Tracker'!$C:$C,"&lt;&gt;Cancelled",'Candidate Tracker'!$C:$C,"&lt;&gt;Closed")/COUNTIFS('Candidate Tracker'!$E:$E,'Positions Tracker'!$B472)),"")</f>
        <v/>
      </c>
      <c r="BD472" s="67" t="str">
        <f t="shared" si="42"/>
        <v/>
      </c>
      <c r="BE472" s="67" t="str">
        <f t="shared" si="43"/>
        <v/>
      </c>
      <c r="BF472" s="67" t="str">
        <f t="shared" si="44"/>
        <v/>
      </c>
      <c r="BG472" s="67" t="str">
        <f t="shared" si="45"/>
        <v/>
      </c>
    </row>
    <row r="473" spans="1:59">
      <c r="A473" s="55"/>
      <c r="B473" s="56"/>
      <c r="C473" s="56"/>
      <c r="D473" s="56"/>
      <c r="E473" s="56"/>
      <c r="F473" s="56"/>
      <c r="G473" s="56"/>
      <c r="H473" s="56"/>
      <c r="I473" s="6"/>
      <c r="J473" s="6"/>
      <c r="K473" s="57"/>
      <c r="L473" s="57"/>
      <c r="M473" s="57"/>
      <c r="N473" s="56"/>
      <c r="O473" s="56"/>
      <c r="P473" s="56"/>
      <c r="Q473" s="56"/>
      <c r="R473" s="56"/>
      <c r="S473" s="56"/>
      <c r="T473" s="56"/>
      <c r="U473" s="56"/>
      <c r="V473" s="56"/>
      <c r="W473" s="56"/>
      <c r="X473" s="56"/>
      <c r="Y473" s="56"/>
      <c r="Z473" s="56"/>
      <c r="AA473" s="56"/>
      <c r="AB473" s="56"/>
      <c r="AC473" s="56"/>
      <c r="AD473" s="56"/>
      <c r="AE473" s="56"/>
      <c r="AF473" s="56"/>
      <c r="AG473" s="56"/>
      <c r="AH473" s="56"/>
      <c r="AI473" s="58"/>
      <c r="AJ473" s="56"/>
      <c r="AK473" s="56"/>
      <c r="AL473" s="56"/>
      <c r="AM473" s="57"/>
      <c r="AN473" s="57"/>
      <c r="AO473" s="56"/>
      <c r="AP473" s="56"/>
      <c r="AQ473" s="57"/>
      <c r="AR473" s="57"/>
      <c r="AS473" s="57"/>
      <c r="AT473" s="67">
        <f t="shared" ca="1" si="46"/>
        <v>0</v>
      </c>
      <c r="AU473" s="79" t="str">
        <f t="shared" ca="1" si="47"/>
        <v/>
      </c>
      <c r="AV473" s="79" t="str" cm="1">
        <f t="array" aca="1" ref="AV473" ca="1">IFERROR(_xlfn.IFS($AU473="","",$AU473&lt;=15,"0-15",AND($AU473&gt;=16,$AU473&lt;=30),"16-30",AND($AU473&gt;=31,$AU473&lt;=45),"31-45",AND($AU473&gt;=46,$AU473&lt;=60),"46-60",AND($AU473&gt;=61,$AU473&lt;=90),"61-90",AND($AU473&gt;=91),"&gt; 90",AND($AU473&gt;=2000),""),"")</f>
        <v/>
      </c>
      <c r="AW473" s="79" t="str" cm="1">
        <f t="array" aca="1" ref="AW473" ca="1">IFERROR(_xlfn.IFS(OR($M473="",$AM473=""),"",OR($C473="Offered",$C473="Joined"),($AM473-$M473)-$AT473),"")</f>
        <v/>
      </c>
      <c r="AX473" s="79" t="str" cm="1">
        <f t="array" aca="1" ref="AX473" ca="1">IFERROR(_xlfn.IFS(OR($M473="",$AS473=""),"",$C473="Joined",($AS473-$M473)-$AT473),"")</f>
        <v/>
      </c>
      <c r="AY473" s="67" t="str">
        <f>IFERROR(IF(COUNTIFS('Candidate Tracker'!$E:$E,'Positions Tracker'!$B473,'Candidate Tracker'!$C:$C,"Offer Drop")=0,"",COUNTIFS('Candidate Tracker'!$E:$E,'Positions Tracker'!$B473,'Candidate Tracker'!$C:$C,"Offer Drop")),"")</f>
        <v/>
      </c>
      <c r="AZ473" s="80">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0.88111888111888115</v>
      </c>
      <c r="BA473" s="81" t="str">
        <f>IFERROR(IF(COUNTIFS('Candidate Tracker'!$E:$E,'Positions Tracker'!$B473,'Candidate Tracker'!$I:$I,"Female")=0,"",COUNTIFS('Candidate Tracker'!$E:$E,'Positions Tracker'!$B473,'Candidate Tracker'!$I:$I,"Female")),"")</f>
        <v/>
      </c>
      <c r="BB473" s="81" t="str">
        <f>IFERROR(IF(COUNTIFS('Candidate Tracker'!$E:$E,'Positions Tracker'!$B473,'Candidate Tracker'!$I:$I,"male")=0,"",COUNTIFS('Candidate Tracker'!$E:$E,'Positions Tracker'!$B473,'Candidate Tracker'!$I:$I,"male")),"")</f>
        <v/>
      </c>
      <c r="BC473" s="80" t="str">
        <f>IFERROR(IF(COUNTIFS('Candidate Tracker'!$E:$E,'Positions Tracker'!$B473,'Candidate Tracker'!$C:$C,"&lt;&gt;WIP",'Candidate Tracker'!$C:$C,"&lt;&gt;Hold",'Candidate Tracker'!$C:$C,"&lt;&gt;Cancelled",'Candidate Tracker'!$C:$C,"&lt;&gt;Closed")/COUNTIFS('Candidate Tracker'!$E:$E,'Positions Tracker'!$B473)=0,"",COUNTIFS('Candidate Tracker'!$E:$E,'Positions Tracker'!$B473,'Candidate Tracker'!$C:$C,"&lt;&gt;WIP",'Candidate Tracker'!$C:$C,"&lt;&gt;Hold",'Candidate Tracker'!$C:$C,"&lt;&gt;Cancelled",'Candidate Tracker'!$C:$C,"&lt;&gt;Closed")/COUNTIFS('Candidate Tracker'!$E:$E,'Positions Tracker'!$B473)),"")</f>
        <v/>
      </c>
      <c r="BD473" s="67" t="str">
        <f t="shared" si="42"/>
        <v/>
      </c>
      <c r="BE473" s="67" t="str">
        <f t="shared" si="43"/>
        <v/>
      </c>
      <c r="BF473" s="67" t="str">
        <f t="shared" si="44"/>
        <v/>
      </c>
      <c r="BG473" s="67" t="str">
        <f t="shared" si="45"/>
        <v/>
      </c>
    </row>
    <row r="474" spans="1:59">
      <c r="A474" s="55"/>
      <c r="B474" s="56"/>
      <c r="C474" s="56"/>
      <c r="D474" s="56"/>
      <c r="E474" s="56"/>
      <c r="F474" s="56"/>
      <c r="G474" s="56"/>
      <c r="H474" s="56"/>
      <c r="I474" s="6"/>
      <c r="J474" s="6"/>
      <c r="K474" s="57"/>
      <c r="L474" s="57"/>
      <c r="M474" s="57"/>
      <c r="N474" s="56"/>
      <c r="O474" s="56"/>
      <c r="P474" s="56"/>
      <c r="Q474" s="56"/>
      <c r="R474" s="56"/>
      <c r="S474" s="56"/>
      <c r="T474" s="56"/>
      <c r="U474" s="56"/>
      <c r="V474" s="56"/>
      <c r="W474" s="56"/>
      <c r="X474" s="56"/>
      <c r="Y474" s="56"/>
      <c r="Z474" s="56"/>
      <c r="AA474" s="56"/>
      <c r="AB474" s="56"/>
      <c r="AC474" s="56"/>
      <c r="AD474" s="56"/>
      <c r="AE474" s="56"/>
      <c r="AF474" s="56"/>
      <c r="AG474" s="56"/>
      <c r="AH474" s="56"/>
      <c r="AI474" s="58"/>
      <c r="AJ474" s="56"/>
      <c r="AK474" s="56"/>
      <c r="AL474" s="56"/>
      <c r="AM474" s="57"/>
      <c r="AN474" s="57"/>
      <c r="AO474" s="56"/>
      <c r="AP474" s="56"/>
      <c r="AQ474" s="57"/>
      <c r="AR474" s="57"/>
      <c r="AS474" s="57"/>
      <c r="AT474" s="67">
        <f t="shared" ca="1" si="46"/>
        <v>0</v>
      </c>
      <c r="AU474" s="79" t="str">
        <f t="shared" ca="1" si="47"/>
        <v/>
      </c>
      <c r="AV474" s="79" t="str" cm="1">
        <f t="array" aca="1" ref="AV474" ca="1">IFERROR(_xlfn.IFS($AU474="","",$AU474&lt;=15,"0-15",AND($AU474&gt;=16,$AU474&lt;=30),"16-30",AND($AU474&gt;=31,$AU474&lt;=45),"31-45",AND($AU474&gt;=46,$AU474&lt;=60),"46-60",AND($AU474&gt;=61,$AU474&lt;=90),"61-90",AND($AU474&gt;=91),"&gt; 90",AND($AU474&gt;=2000),""),"")</f>
        <v/>
      </c>
      <c r="AW474" s="79" t="str" cm="1">
        <f t="array" aca="1" ref="AW474" ca="1">IFERROR(_xlfn.IFS(OR($M474="",$AM474=""),"",OR($C474="Offered",$C474="Joined"),($AM474-$M474)-$AT474),"")</f>
        <v/>
      </c>
      <c r="AX474" s="79" t="str" cm="1">
        <f t="array" aca="1" ref="AX474" ca="1">IFERROR(_xlfn.IFS(OR($M474="",$AS474=""),"",$C474="Joined",($AS474-$M474)-$AT474),"")</f>
        <v/>
      </c>
      <c r="AY474" s="67" t="str">
        <f>IFERROR(IF(COUNTIFS('Candidate Tracker'!$E:$E,'Positions Tracker'!$B474,'Candidate Tracker'!$C:$C,"Offer Drop")=0,"",COUNTIFS('Candidate Tracker'!$E:$E,'Positions Tracker'!$B474,'Candidate Tracker'!$C:$C,"Offer Drop")),"")</f>
        <v/>
      </c>
      <c r="AZ474" s="80">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0.88111888111888115</v>
      </c>
      <c r="BA474" s="81" t="str">
        <f>IFERROR(IF(COUNTIFS('Candidate Tracker'!$E:$E,'Positions Tracker'!$B474,'Candidate Tracker'!$I:$I,"Female")=0,"",COUNTIFS('Candidate Tracker'!$E:$E,'Positions Tracker'!$B474,'Candidate Tracker'!$I:$I,"Female")),"")</f>
        <v/>
      </c>
      <c r="BB474" s="81" t="str">
        <f>IFERROR(IF(COUNTIFS('Candidate Tracker'!$E:$E,'Positions Tracker'!$B474,'Candidate Tracker'!$I:$I,"male")=0,"",COUNTIFS('Candidate Tracker'!$E:$E,'Positions Tracker'!$B474,'Candidate Tracker'!$I:$I,"male")),"")</f>
        <v/>
      </c>
      <c r="BC474" s="80" t="str">
        <f>IFERROR(IF(COUNTIFS('Candidate Tracker'!$E:$E,'Positions Tracker'!$B474,'Candidate Tracker'!$C:$C,"&lt;&gt;WIP",'Candidate Tracker'!$C:$C,"&lt;&gt;Hold",'Candidate Tracker'!$C:$C,"&lt;&gt;Cancelled",'Candidate Tracker'!$C:$C,"&lt;&gt;Closed")/COUNTIFS('Candidate Tracker'!$E:$E,'Positions Tracker'!$B474)=0,"",COUNTIFS('Candidate Tracker'!$E:$E,'Positions Tracker'!$B474,'Candidate Tracker'!$C:$C,"&lt;&gt;WIP",'Candidate Tracker'!$C:$C,"&lt;&gt;Hold",'Candidate Tracker'!$C:$C,"&lt;&gt;Cancelled",'Candidate Tracker'!$C:$C,"&lt;&gt;Closed")/COUNTIFS('Candidate Tracker'!$E:$E,'Positions Tracker'!$B474)),"")</f>
        <v/>
      </c>
      <c r="BD474" s="67" t="str">
        <f t="shared" si="42"/>
        <v/>
      </c>
      <c r="BE474" s="67" t="str">
        <f t="shared" si="43"/>
        <v/>
      </c>
      <c r="BF474" s="67" t="str">
        <f t="shared" si="44"/>
        <v/>
      </c>
      <c r="BG474" s="67" t="str">
        <f t="shared" si="45"/>
        <v/>
      </c>
    </row>
    <row r="475" spans="1:59">
      <c r="A475" s="55"/>
      <c r="B475" s="56"/>
      <c r="C475" s="56"/>
      <c r="D475" s="56"/>
      <c r="E475" s="56"/>
      <c r="F475" s="56"/>
      <c r="G475" s="56"/>
      <c r="H475" s="56"/>
      <c r="I475" s="6"/>
      <c r="J475" s="6"/>
      <c r="K475" s="57"/>
      <c r="L475" s="57"/>
      <c r="M475" s="57"/>
      <c r="N475" s="56"/>
      <c r="O475" s="56"/>
      <c r="P475" s="56"/>
      <c r="Q475" s="56"/>
      <c r="R475" s="56"/>
      <c r="S475" s="56"/>
      <c r="T475" s="56"/>
      <c r="U475" s="56"/>
      <c r="V475" s="56"/>
      <c r="W475" s="56"/>
      <c r="X475" s="56"/>
      <c r="Y475" s="56"/>
      <c r="Z475" s="56"/>
      <c r="AA475" s="56"/>
      <c r="AB475" s="56"/>
      <c r="AC475" s="56"/>
      <c r="AD475" s="56"/>
      <c r="AE475" s="56"/>
      <c r="AF475" s="56"/>
      <c r="AG475" s="56"/>
      <c r="AH475" s="56"/>
      <c r="AI475" s="58"/>
      <c r="AJ475" s="56"/>
      <c r="AK475" s="56"/>
      <c r="AL475" s="56"/>
      <c r="AM475" s="57"/>
      <c r="AN475" s="57"/>
      <c r="AO475" s="56"/>
      <c r="AP475" s="56"/>
      <c r="AQ475" s="57"/>
      <c r="AR475" s="57"/>
      <c r="AS475" s="57"/>
      <c r="AT475" s="67">
        <f t="shared" ca="1" si="46"/>
        <v>0</v>
      </c>
      <c r="AU475" s="79" t="str">
        <f t="shared" ca="1" si="47"/>
        <v/>
      </c>
      <c r="AV475" s="79" t="str" cm="1">
        <f t="array" aca="1" ref="AV475" ca="1">IFERROR(_xlfn.IFS($AU475="","",$AU475&lt;=15,"0-15",AND($AU475&gt;=16,$AU475&lt;=30),"16-30",AND($AU475&gt;=31,$AU475&lt;=45),"31-45",AND($AU475&gt;=46,$AU475&lt;=60),"46-60",AND($AU475&gt;=61,$AU475&lt;=90),"61-90",AND($AU475&gt;=91),"&gt; 90",AND($AU475&gt;=2000),""),"")</f>
        <v/>
      </c>
      <c r="AW475" s="79" t="str" cm="1">
        <f t="array" aca="1" ref="AW475" ca="1">IFERROR(_xlfn.IFS(OR($M475="",$AM475=""),"",OR($C475="Offered",$C475="Joined"),($AM475-$M475)-$AT475),"")</f>
        <v/>
      </c>
      <c r="AX475" s="79" t="str" cm="1">
        <f t="array" aca="1" ref="AX475" ca="1">IFERROR(_xlfn.IFS(OR($M475="",$AS475=""),"",$C475="Joined",($AS475-$M475)-$AT475),"")</f>
        <v/>
      </c>
      <c r="AY475" s="67" t="str">
        <f>IFERROR(IF(COUNTIFS('Candidate Tracker'!$E:$E,'Positions Tracker'!$B475,'Candidate Tracker'!$C:$C,"Offer Drop")=0,"",COUNTIFS('Candidate Tracker'!$E:$E,'Positions Tracker'!$B475,'Candidate Tracker'!$C:$C,"Offer Drop")),"")</f>
        <v/>
      </c>
      <c r="AZ475" s="80">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0.88111888111888115</v>
      </c>
      <c r="BA475" s="81" t="str">
        <f>IFERROR(IF(COUNTIFS('Candidate Tracker'!$E:$E,'Positions Tracker'!$B475,'Candidate Tracker'!$I:$I,"Female")=0,"",COUNTIFS('Candidate Tracker'!$E:$E,'Positions Tracker'!$B475,'Candidate Tracker'!$I:$I,"Female")),"")</f>
        <v/>
      </c>
      <c r="BB475" s="81" t="str">
        <f>IFERROR(IF(COUNTIFS('Candidate Tracker'!$E:$E,'Positions Tracker'!$B475,'Candidate Tracker'!$I:$I,"male")=0,"",COUNTIFS('Candidate Tracker'!$E:$E,'Positions Tracker'!$B475,'Candidate Tracker'!$I:$I,"male")),"")</f>
        <v/>
      </c>
      <c r="BC475" s="80" t="str">
        <f>IFERROR(IF(COUNTIFS('Candidate Tracker'!$E:$E,'Positions Tracker'!$B475,'Candidate Tracker'!$C:$C,"&lt;&gt;WIP",'Candidate Tracker'!$C:$C,"&lt;&gt;Hold",'Candidate Tracker'!$C:$C,"&lt;&gt;Cancelled",'Candidate Tracker'!$C:$C,"&lt;&gt;Closed")/COUNTIFS('Candidate Tracker'!$E:$E,'Positions Tracker'!$B475)=0,"",COUNTIFS('Candidate Tracker'!$E:$E,'Positions Tracker'!$B475,'Candidate Tracker'!$C:$C,"&lt;&gt;WIP",'Candidate Tracker'!$C:$C,"&lt;&gt;Hold",'Candidate Tracker'!$C:$C,"&lt;&gt;Cancelled",'Candidate Tracker'!$C:$C,"&lt;&gt;Closed")/COUNTIFS('Candidate Tracker'!$E:$E,'Positions Tracker'!$B475)),"")</f>
        <v/>
      </c>
      <c r="BD475" s="67" t="str">
        <f t="shared" si="42"/>
        <v/>
      </c>
      <c r="BE475" s="67" t="str">
        <f t="shared" si="43"/>
        <v/>
      </c>
      <c r="BF475" s="67" t="str">
        <f t="shared" si="44"/>
        <v/>
      </c>
      <c r="BG475" s="67" t="str">
        <f t="shared" si="45"/>
        <v/>
      </c>
    </row>
    <row r="476" spans="1:59">
      <c r="A476" s="55"/>
      <c r="B476" s="56"/>
      <c r="C476" s="56"/>
      <c r="D476" s="56"/>
      <c r="E476" s="56"/>
      <c r="F476" s="56"/>
      <c r="G476" s="56"/>
      <c r="H476" s="56"/>
      <c r="I476" s="6"/>
      <c r="J476" s="6"/>
      <c r="K476" s="57"/>
      <c r="L476" s="57"/>
      <c r="M476" s="57"/>
      <c r="N476" s="56"/>
      <c r="O476" s="56"/>
      <c r="P476" s="56"/>
      <c r="Q476" s="56"/>
      <c r="R476" s="56"/>
      <c r="S476" s="56"/>
      <c r="T476" s="56"/>
      <c r="U476" s="56"/>
      <c r="V476" s="56"/>
      <c r="W476" s="56"/>
      <c r="X476" s="56"/>
      <c r="Y476" s="56"/>
      <c r="Z476" s="56"/>
      <c r="AA476" s="56"/>
      <c r="AB476" s="56"/>
      <c r="AC476" s="56"/>
      <c r="AD476" s="56"/>
      <c r="AE476" s="56"/>
      <c r="AF476" s="56"/>
      <c r="AG476" s="56"/>
      <c r="AH476" s="56"/>
      <c r="AI476" s="58"/>
      <c r="AJ476" s="56"/>
      <c r="AK476" s="56"/>
      <c r="AL476" s="56"/>
      <c r="AM476" s="57"/>
      <c r="AN476" s="57"/>
      <c r="AO476" s="56"/>
      <c r="AP476" s="56"/>
      <c r="AQ476" s="57"/>
      <c r="AR476" s="57"/>
      <c r="AS476" s="57"/>
      <c r="AT476" s="67">
        <f t="shared" ca="1" si="46"/>
        <v>0</v>
      </c>
      <c r="AU476" s="79" t="str">
        <f t="shared" ca="1" si="47"/>
        <v/>
      </c>
      <c r="AV476" s="79" t="str" cm="1">
        <f t="array" aca="1" ref="AV476" ca="1">IFERROR(_xlfn.IFS($AU476="","",$AU476&lt;=15,"0-15",AND($AU476&gt;=16,$AU476&lt;=30),"16-30",AND($AU476&gt;=31,$AU476&lt;=45),"31-45",AND($AU476&gt;=46,$AU476&lt;=60),"46-60",AND($AU476&gt;=61,$AU476&lt;=90),"61-90",AND($AU476&gt;=91),"&gt; 90",AND($AU476&gt;=2000),""),"")</f>
        <v/>
      </c>
      <c r="AW476" s="79" t="str" cm="1">
        <f t="array" aca="1" ref="AW476" ca="1">IFERROR(_xlfn.IFS(OR($M476="",$AM476=""),"",OR($C476="Offered",$C476="Joined"),($AM476-$M476)-$AT476),"")</f>
        <v/>
      </c>
      <c r="AX476" s="79" t="str" cm="1">
        <f t="array" aca="1" ref="AX476" ca="1">IFERROR(_xlfn.IFS(OR($M476="",$AS476=""),"",$C476="Joined",($AS476-$M476)-$AT476),"")</f>
        <v/>
      </c>
      <c r="AY476" s="67" t="str">
        <f>IFERROR(IF(COUNTIFS('Candidate Tracker'!$E:$E,'Positions Tracker'!$B476,'Candidate Tracker'!$C:$C,"Offer Drop")=0,"",COUNTIFS('Candidate Tracker'!$E:$E,'Positions Tracker'!$B476,'Candidate Tracker'!$C:$C,"Offer Drop")),"")</f>
        <v/>
      </c>
      <c r="AZ476" s="80">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0.88111888111888115</v>
      </c>
      <c r="BA476" s="81" t="str">
        <f>IFERROR(IF(COUNTIFS('Candidate Tracker'!$E:$E,'Positions Tracker'!$B476,'Candidate Tracker'!$I:$I,"Female")=0,"",COUNTIFS('Candidate Tracker'!$E:$E,'Positions Tracker'!$B476,'Candidate Tracker'!$I:$I,"Female")),"")</f>
        <v/>
      </c>
      <c r="BB476" s="81" t="str">
        <f>IFERROR(IF(COUNTIFS('Candidate Tracker'!$E:$E,'Positions Tracker'!$B476,'Candidate Tracker'!$I:$I,"male")=0,"",COUNTIFS('Candidate Tracker'!$E:$E,'Positions Tracker'!$B476,'Candidate Tracker'!$I:$I,"male")),"")</f>
        <v/>
      </c>
      <c r="BC476" s="80" t="str">
        <f>IFERROR(IF(COUNTIFS('Candidate Tracker'!$E:$E,'Positions Tracker'!$B476,'Candidate Tracker'!$C:$C,"&lt;&gt;WIP",'Candidate Tracker'!$C:$C,"&lt;&gt;Hold",'Candidate Tracker'!$C:$C,"&lt;&gt;Cancelled",'Candidate Tracker'!$C:$C,"&lt;&gt;Closed")/COUNTIFS('Candidate Tracker'!$E:$E,'Positions Tracker'!$B476)=0,"",COUNTIFS('Candidate Tracker'!$E:$E,'Positions Tracker'!$B476,'Candidate Tracker'!$C:$C,"&lt;&gt;WIP",'Candidate Tracker'!$C:$C,"&lt;&gt;Hold",'Candidate Tracker'!$C:$C,"&lt;&gt;Cancelled",'Candidate Tracker'!$C:$C,"&lt;&gt;Closed")/COUNTIFS('Candidate Tracker'!$E:$E,'Positions Tracker'!$B476)),"")</f>
        <v/>
      </c>
      <c r="BD476" s="67" t="str">
        <f t="shared" si="42"/>
        <v/>
      </c>
      <c r="BE476" s="67" t="str">
        <f t="shared" si="43"/>
        <v/>
      </c>
      <c r="BF476" s="67" t="str">
        <f t="shared" si="44"/>
        <v/>
      </c>
      <c r="BG476" s="67" t="str">
        <f t="shared" si="45"/>
        <v/>
      </c>
    </row>
    <row r="477" spans="1:59">
      <c r="A477" s="55"/>
      <c r="B477" s="56"/>
      <c r="C477" s="56"/>
      <c r="D477" s="56"/>
      <c r="E477" s="56"/>
      <c r="F477" s="56"/>
      <c r="G477" s="56"/>
      <c r="H477" s="56"/>
      <c r="I477" s="6"/>
      <c r="J477" s="6"/>
      <c r="K477" s="57"/>
      <c r="L477" s="57"/>
      <c r="M477" s="57"/>
      <c r="N477" s="56"/>
      <c r="O477" s="56"/>
      <c r="P477" s="56"/>
      <c r="Q477" s="56"/>
      <c r="R477" s="56"/>
      <c r="S477" s="56"/>
      <c r="T477" s="56"/>
      <c r="U477" s="56"/>
      <c r="V477" s="56"/>
      <c r="W477" s="56"/>
      <c r="X477" s="56"/>
      <c r="Y477" s="56"/>
      <c r="Z477" s="56"/>
      <c r="AA477" s="56"/>
      <c r="AB477" s="56"/>
      <c r="AC477" s="56"/>
      <c r="AD477" s="56"/>
      <c r="AE477" s="56"/>
      <c r="AF477" s="56"/>
      <c r="AG477" s="56"/>
      <c r="AH477" s="56"/>
      <c r="AI477" s="58"/>
      <c r="AJ477" s="56"/>
      <c r="AK477" s="56"/>
      <c r="AL477" s="56"/>
      <c r="AM477" s="57"/>
      <c r="AN477" s="57"/>
      <c r="AO477" s="56"/>
      <c r="AP477" s="56"/>
      <c r="AQ477" s="57"/>
      <c r="AR477" s="57"/>
      <c r="AS477" s="57"/>
      <c r="AT477" s="67">
        <f t="shared" ca="1" si="46"/>
        <v>0</v>
      </c>
      <c r="AU477" s="79" t="str">
        <f t="shared" ca="1" si="47"/>
        <v/>
      </c>
      <c r="AV477" s="79" t="str" cm="1">
        <f t="array" aca="1" ref="AV477" ca="1">IFERROR(_xlfn.IFS($AU477="","",$AU477&lt;=15,"0-15",AND($AU477&gt;=16,$AU477&lt;=30),"16-30",AND($AU477&gt;=31,$AU477&lt;=45),"31-45",AND($AU477&gt;=46,$AU477&lt;=60),"46-60",AND($AU477&gt;=61,$AU477&lt;=90),"61-90",AND($AU477&gt;=91),"&gt; 90",AND($AU477&gt;=2000),""),"")</f>
        <v/>
      </c>
      <c r="AW477" s="79" t="str" cm="1">
        <f t="array" aca="1" ref="AW477" ca="1">IFERROR(_xlfn.IFS(OR($M477="",$AM477=""),"",OR($C477="Offered",$C477="Joined"),($AM477-$M477)-$AT477),"")</f>
        <v/>
      </c>
      <c r="AX477" s="79" t="str" cm="1">
        <f t="array" aca="1" ref="AX477" ca="1">IFERROR(_xlfn.IFS(OR($M477="",$AS477=""),"",$C477="Joined",($AS477-$M477)-$AT477),"")</f>
        <v/>
      </c>
      <c r="AY477" s="67" t="str">
        <f>IFERROR(IF(COUNTIFS('Candidate Tracker'!$E:$E,'Positions Tracker'!$B477,'Candidate Tracker'!$C:$C,"Offer Drop")=0,"",COUNTIFS('Candidate Tracker'!$E:$E,'Positions Tracker'!$B477,'Candidate Tracker'!$C:$C,"Offer Drop")),"")</f>
        <v/>
      </c>
      <c r="AZ477" s="80">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0.88111888111888115</v>
      </c>
      <c r="BA477" s="81" t="str">
        <f>IFERROR(IF(COUNTIFS('Candidate Tracker'!$E:$E,'Positions Tracker'!$B477,'Candidate Tracker'!$I:$I,"Female")=0,"",COUNTIFS('Candidate Tracker'!$E:$E,'Positions Tracker'!$B477,'Candidate Tracker'!$I:$I,"Female")),"")</f>
        <v/>
      </c>
      <c r="BB477" s="81" t="str">
        <f>IFERROR(IF(COUNTIFS('Candidate Tracker'!$E:$E,'Positions Tracker'!$B477,'Candidate Tracker'!$I:$I,"male")=0,"",COUNTIFS('Candidate Tracker'!$E:$E,'Positions Tracker'!$B477,'Candidate Tracker'!$I:$I,"male")),"")</f>
        <v/>
      </c>
      <c r="BC477" s="80" t="str">
        <f>IFERROR(IF(COUNTIFS('Candidate Tracker'!$E:$E,'Positions Tracker'!$B477,'Candidate Tracker'!$C:$C,"&lt;&gt;WIP",'Candidate Tracker'!$C:$C,"&lt;&gt;Hold",'Candidate Tracker'!$C:$C,"&lt;&gt;Cancelled",'Candidate Tracker'!$C:$C,"&lt;&gt;Closed")/COUNTIFS('Candidate Tracker'!$E:$E,'Positions Tracker'!$B477)=0,"",COUNTIFS('Candidate Tracker'!$E:$E,'Positions Tracker'!$B477,'Candidate Tracker'!$C:$C,"&lt;&gt;WIP",'Candidate Tracker'!$C:$C,"&lt;&gt;Hold",'Candidate Tracker'!$C:$C,"&lt;&gt;Cancelled",'Candidate Tracker'!$C:$C,"&lt;&gt;Closed")/COUNTIFS('Candidate Tracker'!$E:$E,'Positions Tracker'!$B477)),"")</f>
        <v/>
      </c>
      <c r="BD477" s="67" t="str">
        <f t="shared" si="42"/>
        <v/>
      </c>
      <c r="BE477" s="67" t="str">
        <f t="shared" si="43"/>
        <v/>
      </c>
      <c r="BF477" s="67" t="str">
        <f t="shared" si="44"/>
        <v/>
      </c>
      <c r="BG477" s="67" t="str">
        <f t="shared" si="45"/>
        <v/>
      </c>
    </row>
    <row r="478" spans="1:59">
      <c r="A478" s="55"/>
      <c r="B478" s="56"/>
      <c r="C478" s="56"/>
      <c r="D478" s="56"/>
      <c r="E478" s="56"/>
      <c r="F478" s="56"/>
      <c r="G478" s="56"/>
      <c r="H478" s="56"/>
      <c r="I478" s="6"/>
      <c r="J478" s="6"/>
      <c r="K478" s="57"/>
      <c r="L478" s="57"/>
      <c r="M478" s="57"/>
      <c r="N478" s="56"/>
      <c r="O478" s="56"/>
      <c r="P478" s="56"/>
      <c r="Q478" s="56"/>
      <c r="R478" s="56"/>
      <c r="S478" s="56"/>
      <c r="T478" s="56"/>
      <c r="U478" s="56"/>
      <c r="V478" s="56"/>
      <c r="W478" s="56"/>
      <c r="X478" s="56"/>
      <c r="Y478" s="56"/>
      <c r="Z478" s="56"/>
      <c r="AA478" s="56"/>
      <c r="AB478" s="56"/>
      <c r="AC478" s="56"/>
      <c r="AD478" s="56"/>
      <c r="AE478" s="56"/>
      <c r="AF478" s="56"/>
      <c r="AG478" s="56"/>
      <c r="AH478" s="56"/>
      <c r="AI478" s="58"/>
      <c r="AJ478" s="56"/>
      <c r="AK478" s="56"/>
      <c r="AL478" s="56"/>
      <c r="AM478" s="57"/>
      <c r="AN478" s="57"/>
      <c r="AO478" s="56"/>
      <c r="AP478" s="56"/>
      <c r="AQ478" s="57"/>
      <c r="AR478" s="57"/>
      <c r="AS478" s="57"/>
      <c r="AT478" s="67">
        <f t="shared" ca="1" si="46"/>
        <v>0</v>
      </c>
      <c r="AU478" s="79" t="str">
        <f t="shared" ca="1" si="47"/>
        <v/>
      </c>
      <c r="AV478" s="79" t="str" cm="1">
        <f t="array" aca="1" ref="AV478" ca="1">IFERROR(_xlfn.IFS($AU478="","",$AU478&lt;=15,"0-15",AND($AU478&gt;=16,$AU478&lt;=30),"16-30",AND($AU478&gt;=31,$AU478&lt;=45),"31-45",AND($AU478&gt;=46,$AU478&lt;=60),"46-60",AND($AU478&gt;=61,$AU478&lt;=90),"61-90",AND($AU478&gt;=91),"&gt; 90",AND($AU478&gt;=2000),""),"")</f>
        <v/>
      </c>
      <c r="AW478" s="79" t="str" cm="1">
        <f t="array" aca="1" ref="AW478" ca="1">IFERROR(_xlfn.IFS(OR($M478="",$AM478=""),"",OR($C478="Offered",$C478="Joined"),($AM478-$M478)-$AT478),"")</f>
        <v/>
      </c>
      <c r="AX478" s="79" t="str" cm="1">
        <f t="array" aca="1" ref="AX478" ca="1">IFERROR(_xlfn.IFS(OR($M478="",$AS478=""),"",$C478="Joined",($AS478-$M478)-$AT478),"")</f>
        <v/>
      </c>
      <c r="AY478" s="67" t="str">
        <f>IFERROR(IF(COUNTIFS('Candidate Tracker'!$E:$E,'Positions Tracker'!$B478,'Candidate Tracker'!$C:$C,"Offer Drop")=0,"",COUNTIFS('Candidate Tracker'!$E:$E,'Positions Tracker'!$B478,'Candidate Tracker'!$C:$C,"Offer Drop")),"")</f>
        <v/>
      </c>
      <c r="AZ478" s="80">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0.88111888111888115</v>
      </c>
      <c r="BA478" s="81" t="str">
        <f>IFERROR(IF(COUNTIFS('Candidate Tracker'!$E:$E,'Positions Tracker'!$B478,'Candidate Tracker'!$I:$I,"Female")=0,"",COUNTIFS('Candidate Tracker'!$E:$E,'Positions Tracker'!$B478,'Candidate Tracker'!$I:$I,"Female")),"")</f>
        <v/>
      </c>
      <c r="BB478" s="81" t="str">
        <f>IFERROR(IF(COUNTIFS('Candidate Tracker'!$E:$E,'Positions Tracker'!$B478,'Candidate Tracker'!$I:$I,"male")=0,"",COUNTIFS('Candidate Tracker'!$E:$E,'Positions Tracker'!$B478,'Candidate Tracker'!$I:$I,"male")),"")</f>
        <v/>
      </c>
      <c r="BC478" s="80" t="str">
        <f>IFERROR(IF(COUNTIFS('Candidate Tracker'!$E:$E,'Positions Tracker'!$B478,'Candidate Tracker'!$C:$C,"&lt;&gt;WIP",'Candidate Tracker'!$C:$C,"&lt;&gt;Hold",'Candidate Tracker'!$C:$C,"&lt;&gt;Cancelled",'Candidate Tracker'!$C:$C,"&lt;&gt;Closed")/COUNTIFS('Candidate Tracker'!$E:$E,'Positions Tracker'!$B478)=0,"",COUNTIFS('Candidate Tracker'!$E:$E,'Positions Tracker'!$B478,'Candidate Tracker'!$C:$C,"&lt;&gt;WIP",'Candidate Tracker'!$C:$C,"&lt;&gt;Hold",'Candidate Tracker'!$C:$C,"&lt;&gt;Cancelled",'Candidate Tracker'!$C:$C,"&lt;&gt;Closed")/COUNTIFS('Candidate Tracker'!$E:$E,'Positions Tracker'!$B478)),"")</f>
        <v/>
      </c>
      <c r="BD478" s="67" t="str">
        <f t="shared" si="42"/>
        <v/>
      </c>
      <c r="BE478" s="67" t="str">
        <f t="shared" si="43"/>
        <v/>
      </c>
      <c r="BF478" s="67" t="str">
        <f t="shared" si="44"/>
        <v/>
      </c>
      <c r="BG478" s="67" t="str">
        <f t="shared" si="45"/>
        <v/>
      </c>
    </row>
    <row r="479" spans="1:59">
      <c r="A479" s="55"/>
      <c r="B479" s="56"/>
      <c r="C479" s="56"/>
      <c r="D479" s="56"/>
      <c r="E479" s="56"/>
      <c r="F479" s="56"/>
      <c r="G479" s="56"/>
      <c r="H479" s="56"/>
      <c r="I479" s="6"/>
      <c r="J479" s="6"/>
      <c r="K479" s="57"/>
      <c r="L479" s="57"/>
      <c r="M479" s="57"/>
      <c r="N479" s="56"/>
      <c r="O479" s="56"/>
      <c r="P479" s="56"/>
      <c r="Q479" s="56"/>
      <c r="R479" s="56"/>
      <c r="S479" s="56"/>
      <c r="T479" s="56"/>
      <c r="U479" s="56"/>
      <c r="V479" s="56"/>
      <c r="W479" s="56"/>
      <c r="X479" s="56"/>
      <c r="Y479" s="56"/>
      <c r="Z479" s="56"/>
      <c r="AA479" s="56"/>
      <c r="AB479" s="56"/>
      <c r="AC479" s="56"/>
      <c r="AD479" s="56"/>
      <c r="AE479" s="56"/>
      <c r="AF479" s="56"/>
      <c r="AG479" s="56"/>
      <c r="AH479" s="56"/>
      <c r="AI479" s="58"/>
      <c r="AJ479" s="56"/>
      <c r="AK479" s="56"/>
      <c r="AL479" s="56"/>
      <c r="AM479" s="57"/>
      <c r="AN479" s="57"/>
      <c r="AO479" s="56"/>
      <c r="AP479" s="56"/>
      <c r="AQ479" s="57"/>
      <c r="AR479" s="57"/>
      <c r="AS479" s="57"/>
      <c r="AT479" s="67">
        <f t="shared" ca="1" si="46"/>
        <v>0</v>
      </c>
      <c r="AU479" s="79" t="str">
        <f t="shared" ca="1" si="47"/>
        <v/>
      </c>
      <c r="AV479" s="79" t="str" cm="1">
        <f t="array" aca="1" ref="AV479" ca="1">IFERROR(_xlfn.IFS($AU479="","",$AU479&lt;=15,"0-15",AND($AU479&gt;=16,$AU479&lt;=30),"16-30",AND($AU479&gt;=31,$AU479&lt;=45),"31-45",AND($AU479&gt;=46,$AU479&lt;=60),"46-60",AND($AU479&gt;=61,$AU479&lt;=90),"61-90",AND($AU479&gt;=91),"&gt; 90",AND($AU479&gt;=2000),""),"")</f>
        <v/>
      </c>
      <c r="AW479" s="79" t="str" cm="1">
        <f t="array" aca="1" ref="AW479" ca="1">IFERROR(_xlfn.IFS(OR($M479="",$AM479=""),"",OR($C479="Offered",$C479="Joined"),($AM479-$M479)-$AT479),"")</f>
        <v/>
      </c>
      <c r="AX479" s="79" t="str" cm="1">
        <f t="array" aca="1" ref="AX479" ca="1">IFERROR(_xlfn.IFS(OR($M479="",$AS479=""),"",$C479="Joined",($AS479-$M479)-$AT479),"")</f>
        <v/>
      </c>
      <c r="AY479" s="67" t="str">
        <f>IFERROR(IF(COUNTIFS('Candidate Tracker'!$E:$E,'Positions Tracker'!$B479,'Candidate Tracker'!$C:$C,"Offer Drop")=0,"",COUNTIFS('Candidate Tracker'!$E:$E,'Positions Tracker'!$B479,'Candidate Tracker'!$C:$C,"Offer Drop")),"")</f>
        <v/>
      </c>
      <c r="AZ479" s="80">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0.88111888111888115</v>
      </c>
      <c r="BA479" s="81" t="str">
        <f>IFERROR(IF(COUNTIFS('Candidate Tracker'!$E:$E,'Positions Tracker'!$B479,'Candidate Tracker'!$I:$I,"Female")=0,"",COUNTIFS('Candidate Tracker'!$E:$E,'Positions Tracker'!$B479,'Candidate Tracker'!$I:$I,"Female")),"")</f>
        <v/>
      </c>
      <c r="BB479" s="81" t="str">
        <f>IFERROR(IF(COUNTIFS('Candidate Tracker'!$E:$E,'Positions Tracker'!$B479,'Candidate Tracker'!$I:$I,"male")=0,"",COUNTIFS('Candidate Tracker'!$E:$E,'Positions Tracker'!$B479,'Candidate Tracker'!$I:$I,"male")),"")</f>
        <v/>
      </c>
      <c r="BC479" s="80" t="str">
        <f>IFERROR(IF(COUNTIFS('Candidate Tracker'!$E:$E,'Positions Tracker'!$B479,'Candidate Tracker'!$C:$C,"&lt;&gt;WIP",'Candidate Tracker'!$C:$C,"&lt;&gt;Hold",'Candidate Tracker'!$C:$C,"&lt;&gt;Cancelled",'Candidate Tracker'!$C:$C,"&lt;&gt;Closed")/COUNTIFS('Candidate Tracker'!$E:$E,'Positions Tracker'!$B479)=0,"",COUNTIFS('Candidate Tracker'!$E:$E,'Positions Tracker'!$B479,'Candidate Tracker'!$C:$C,"&lt;&gt;WIP",'Candidate Tracker'!$C:$C,"&lt;&gt;Hold",'Candidate Tracker'!$C:$C,"&lt;&gt;Cancelled",'Candidate Tracker'!$C:$C,"&lt;&gt;Closed")/COUNTIFS('Candidate Tracker'!$E:$E,'Positions Tracker'!$B479)),"")</f>
        <v/>
      </c>
      <c r="BD479" s="67" t="str">
        <f t="shared" si="42"/>
        <v/>
      </c>
      <c r="BE479" s="67" t="str">
        <f t="shared" si="43"/>
        <v/>
      </c>
      <c r="BF479" s="67" t="str">
        <f t="shared" si="44"/>
        <v/>
      </c>
      <c r="BG479" s="67" t="str">
        <f t="shared" si="45"/>
        <v/>
      </c>
    </row>
    <row r="480" spans="1:59">
      <c r="A480" s="55"/>
      <c r="B480" s="56"/>
      <c r="C480" s="56"/>
      <c r="D480" s="56"/>
      <c r="E480" s="56"/>
      <c r="F480" s="56"/>
      <c r="G480" s="56"/>
      <c r="H480" s="56"/>
      <c r="I480" s="6"/>
      <c r="J480" s="6"/>
      <c r="K480" s="57"/>
      <c r="L480" s="57"/>
      <c r="M480" s="57"/>
      <c r="N480" s="56"/>
      <c r="O480" s="56"/>
      <c r="P480" s="56"/>
      <c r="Q480" s="56"/>
      <c r="R480" s="56"/>
      <c r="S480" s="56"/>
      <c r="T480" s="56"/>
      <c r="U480" s="56"/>
      <c r="V480" s="56"/>
      <c r="W480" s="56"/>
      <c r="X480" s="56"/>
      <c r="Y480" s="56"/>
      <c r="Z480" s="56"/>
      <c r="AA480" s="56"/>
      <c r="AB480" s="56"/>
      <c r="AC480" s="56"/>
      <c r="AD480" s="56"/>
      <c r="AE480" s="56"/>
      <c r="AF480" s="56"/>
      <c r="AG480" s="56"/>
      <c r="AH480" s="56"/>
      <c r="AI480" s="58"/>
      <c r="AJ480" s="56"/>
      <c r="AK480" s="56"/>
      <c r="AL480" s="56"/>
      <c r="AM480" s="57"/>
      <c r="AN480" s="57"/>
      <c r="AO480" s="56"/>
      <c r="AP480" s="56"/>
      <c r="AQ480" s="57"/>
      <c r="AR480" s="57"/>
      <c r="AS480" s="57"/>
      <c r="AT480" s="67">
        <f t="shared" ca="1" si="46"/>
        <v>0</v>
      </c>
      <c r="AU480" s="79" t="str">
        <f t="shared" ca="1" si="47"/>
        <v/>
      </c>
      <c r="AV480" s="79" t="str" cm="1">
        <f t="array" aca="1" ref="AV480" ca="1">IFERROR(_xlfn.IFS($AU480="","",$AU480&lt;=15,"0-15",AND($AU480&gt;=16,$AU480&lt;=30),"16-30",AND($AU480&gt;=31,$AU480&lt;=45),"31-45",AND($AU480&gt;=46,$AU480&lt;=60),"46-60",AND($AU480&gt;=61,$AU480&lt;=90),"61-90",AND($AU480&gt;=91),"&gt; 90",AND($AU480&gt;=2000),""),"")</f>
        <v/>
      </c>
      <c r="AW480" s="79" t="str" cm="1">
        <f t="array" aca="1" ref="AW480" ca="1">IFERROR(_xlfn.IFS(OR($M480="",$AM480=""),"",OR($C480="Offered",$C480="Joined"),($AM480-$M480)-$AT480),"")</f>
        <v/>
      </c>
      <c r="AX480" s="79" t="str" cm="1">
        <f t="array" aca="1" ref="AX480" ca="1">IFERROR(_xlfn.IFS(OR($M480="",$AS480=""),"",$C480="Joined",($AS480-$M480)-$AT480),"")</f>
        <v/>
      </c>
      <c r="AY480" s="67" t="str">
        <f>IFERROR(IF(COUNTIFS('Candidate Tracker'!$E:$E,'Positions Tracker'!$B480,'Candidate Tracker'!$C:$C,"Offer Drop")=0,"",COUNTIFS('Candidate Tracker'!$E:$E,'Positions Tracker'!$B480,'Candidate Tracker'!$C:$C,"Offer Drop")),"")</f>
        <v/>
      </c>
      <c r="AZ480" s="80">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0.88111888111888115</v>
      </c>
      <c r="BA480" s="81" t="str">
        <f>IFERROR(IF(COUNTIFS('Candidate Tracker'!$E:$E,'Positions Tracker'!$B480,'Candidate Tracker'!$I:$I,"Female")=0,"",COUNTIFS('Candidate Tracker'!$E:$E,'Positions Tracker'!$B480,'Candidate Tracker'!$I:$I,"Female")),"")</f>
        <v/>
      </c>
      <c r="BB480" s="81" t="str">
        <f>IFERROR(IF(COUNTIFS('Candidate Tracker'!$E:$E,'Positions Tracker'!$B480,'Candidate Tracker'!$I:$I,"male")=0,"",COUNTIFS('Candidate Tracker'!$E:$E,'Positions Tracker'!$B480,'Candidate Tracker'!$I:$I,"male")),"")</f>
        <v/>
      </c>
      <c r="BC480" s="80" t="str">
        <f>IFERROR(IF(COUNTIFS('Candidate Tracker'!$E:$E,'Positions Tracker'!$B480,'Candidate Tracker'!$C:$C,"&lt;&gt;WIP",'Candidate Tracker'!$C:$C,"&lt;&gt;Hold",'Candidate Tracker'!$C:$C,"&lt;&gt;Cancelled",'Candidate Tracker'!$C:$C,"&lt;&gt;Closed")/COUNTIFS('Candidate Tracker'!$E:$E,'Positions Tracker'!$B480)=0,"",COUNTIFS('Candidate Tracker'!$E:$E,'Positions Tracker'!$B480,'Candidate Tracker'!$C:$C,"&lt;&gt;WIP",'Candidate Tracker'!$C:$C,"&lt;&gt;Hold",'Candidate Tracker'!$C:$C,"&lt;&gt;Cancelled",'Candidate Tracker'!$C:$C,"&lt;&gt;Closed")/COUNTIFS('Candidate Tracker'!$E:$E,'Positions Tracker'!$B480)),"")</f>
        <v/>
      </c>
      <c r="BD480" s="67" t="str">
        <f t="shared" si="42"/>
        <v/>
      </c>
      <c r="BE480" s="67" t="str">
        <f t="shared" si="43"/>
        <v/>
      </c>
      <c r="BF480" s="67" t="str">
        <f t="shared" si="44"/>
        <v/>
      </c>
      <c r="BG480" s="67" t="str">
        <f t="shared" si="45"/>
        <v/>
      </c>
    </row>
    <row r="481" spans="1:59">
      <c r="A481" s="55"/>
      <c r="B481" s="56"/>
      <c r="C481" s="56"/>
      <c r="D481" s="56"/>
      <c r="E481" s="56"/>
      <c r="F481" s="56"/>
      <c r="G481" s="56"/>
      <c r="H481" s="56"/>
      <c r="I481" s="6"/>
      <c r="J481" s="6"/>
      <c r="K481" s="57"/>
      <c r="L481" s="57"/>
      <c r="M481" s="57"/>
      <c r="N481" s="56"/>
      <c r="O481" s="56"/>
      <c r="P481" s="56"/>
      <c r="Q481" s="56"/>
      <c r="R481" s="56"/>
      <c r="S481" s="56"/>
      <c r="T481" s="56"/>
      <c r="U481" s="56"/>
      <c r="V481" s="56"/>
      <c r="W481" s="56"/>
      <c r="X481" s="56"/>
      <c r="Y481" s="56"/>
      <c r="Z481" s="56"/>
      <c r="AA481" s="56"/>
      <c r="AB481" s="56"/>
      <c r="AC481" s="56"/>
      <c r="AD481" s="56"/>
      <c r="AE481" s="56"/>
      <c r="AF481" s="56"/>
      <c r="AG481" s="56"/>
      <c r="AH481" s="56"/>
      <c r="AI481" s="58"/>
      <c r="AJ481" s="56"/>
      <c r="AK481" s="56"/>
      <c r="AL481" s="56"/>
      <c r="AM481" s="57"/>
      <c r="AN481" s="57"/>
      <c r="AO481" s="56"/>
      <c r="AP481" s="56"/>
      <c r="AQ481" s="57"/>
      <c r="AR481" s="57"/>
      <c r="AS481" s="57"/>
      <c r="AT481" s="67">
        <f t="shared" ca="1" si="46"/>
        <v>0</v>
      </c>
      <c r="AU481" s="79" t="str">
        <f t="shared" ca="1" si="47"/>
        <v/>
      </c>
      <c r="AV481" s="79" t="str" cm="1">
        <f t="array" aca="1" ref="AV481" ca="1">IFERROR(_xlfn.IFS($AU481="","",$AU481&lt;=15,"0-15",AND($AU481&gt;=16,$AU481&lt;=30),"16-30",AND($AU481&gt;=31,$AU481&lt;=45),"31-45",AND($AU481&gt;=46,$AU481&lt;=60),"46-60",AND($AU481&gt;=61,$AU481&lt;=90),"61-90",AND($AU481&gt;=91),"&gt; 90",AND($AU481&gt;=2000),""),"")</f>
        <v/>
      </c>
      <c r="AW481" s="79" t="str" cm="1">
        <f t="array" aca="1" ref="AW481" ca="1">IFERROR(_xlfn.IFS(OR($M481="",$AM481=""),"",OR($C481="Offered",$C481="Joined"),($AM481-$M481)-$AT481),"")</f>
        <v/>
      </c>
      <c r="AX481" s="79" t="str" cm="1">
        <f t="array" aca="1" ref="AX481" ca="1">IFERROR(_xlfn.IFS(OR($M481="",$AS481=""),"",$C481="Joined",($AS481-$M481)-$AT481),"")</f>
        <v/>
      </c>
      <c r="AY481" s="67" t="str">
        <f>IFERROR(IF(COUNTIFS('Candidate Tracker'!$E:$E,'Positions Tracker'!$B481,'Candidate Tracker'!$C:$C,"Offer Drop")=0,"",COUNTIFS('Candidate Tracker'!$E:$E,'Positions Tracker'!$B481,'Candidate Tracker'!$C:$C,"Offer Drop")),"")</f>
        <v/>
      </c>
      <c r="AZ481" s="80">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0.88111888111888115</v>
      </c>
      <c r="BA481" s="81" t="str">
        <f>IFERROR(IF(COUNTIFS('Candidate Tracker'!$E:$E,'Positions Tracker'!$B481,'Candidate Tracker'!$I:$I,"Female")=0,"",COUNTIFS('Candidate Tracker'!$E:$E,'Positions Tracker'!$B481,'Candidate Tracker'!$I:$I,"Female")),"")</f>
        <v/>
      </c>
      <c r="BB481" s="81" t="str">
        <f>IFERROR(IF(COUNTIFS('Candidate Tracker'!$E:$E,'Positions Tracker'!$B481,'Candidate Tracker'!$I:$I,"male")=0,"",COUNTIFS('Candidate Tracker'!$E:$E,'Positions Tracker'!$B481,'Candidate Tracker'!$I:$I,"male")),"")</f>
        <v/>
      </c>
      <c r="BC481" s="80" t="str">
        <f>IFERROR(IF(COUNTIFS('Candidate Tracker'!$E:$E,'Positions Tracker'!$B481,'Candidate Tracker'!$C:$C,"&lt;&gt;WIP",'Candidate Tracker'!$C:$C,"&lt;&gt;Hold",'Candidate Tracker'!$C:$C,"&lt;&gt;Cancelled",'Candidate Tracker'!$C:$C,"&lt;&gt;Closed")/COUNTIFS('Candidate Tracker'!$E:$E,'Positions Tracker'!$B481)=0,"",COUNTIFS('Candidate Tracker'!$E:$E,'Positions Tracker'!$B481,'Candidate Tracker'!$C:$C,"&lt;&gt;WIP",'Candidate Tracker'!$C:$C,"&lt;&gt;Hold",'Candidate Tracker'!$C:$C,"&lt;&gt;Cancelled",'Candidate Tracker'!$C:$C,"&lt;&gt;Closed")/COUNTIFS('Candidate Tracker'!$E:$E,'Positions Tracker'!$B481)),"")</f>
        <v/>
      </c>
      <c r="BD481" s="67" t="str">
        <f t="shared" si="42"/>
        <v/>
      </c>
      <c r="BE481" s="67" t="str">
        <f t="shared" si="43"/>
        <v/>
      </c>
      <c r="BF481" s="67" t="str">
        <f t="shared" si="44"/>
        <v/>
      </c>
      <c r="BG481" s="67" t="str">
        <f t="shared" si="45"/>
        <v/>
      </c>
    </row>
    <row r="482" spans="1:59">
      <c r="A482" s="55"/>
      <c r="B482" s="56"/>
      <c r="C482" s="56"/>
      <c r="D482" s="56"/>
      <c r="E482" s="56"/>
      <c r="F482" s="56"/>
      <c r="G482" s="56"/>
      <c r="H482" s="56"/>
      <c r="I482" s="6"/>
      <c r="J482" s="6"/>
      <c r="K482" s="57"/>
      <c r="L482" s="57"/>
      <c r="M482" s="57"/>
      <c r="N482" s="56"/>
      <c r="O482" s="56"/>
      <c r="P482" s="56"/>
      <c r="Q482" s="56"/>
      <c r="R482" s="56"/>
      <c r="S482" s="56"/>
      <c r="T482" s="56"/>
      <c r="U482" s="56"/>
      <c r="V482" s="56"/>
      <c r="W482" s="56"/>
      <c r="X482" s="56"/>
      <c r="Y482" s="56"/>
      <c r="Z482" s="56"/>
      <c r="AA482" s="56"/>
      <c r="AB482" s="56"/>
      <c r="AC482" s="56"/>
      <c r="AD482" s="56"/>
      <c r="AE482" s="56"/>
      <c r="AF482" s="56"/>
      <c r="AG482" s="56"/>
      <c r="AH482" s="56"/>
      <c r="AI482" s="58"/>
      <c r="AJ482" s="56"/>
      <c r="AK482" s="56"/>
      <c r="AL482" s="56"/>
      <c r="AM482" s="57"/>
      <c r="AN482" s="57"/>
      <c r="AO482" s="56"/>
      <c r="AP482" s="56"/>
      <c r="AQ482" s="57"/>
      <c r="AR482" s="57"/>
      <c r="AS482" s="57"/>
      <c r="AT482" s="67">
        <f t="shared" ca="1" si="46"/>
        <v>0</v>
      </c>
      <c r="AU482" s="79" t="str">
        <f t="shared" ca="1" si="47"/>
        <v/>
      </c>
      <c r="AV482" s="79" t="str" cm="1">
        <f t="array" aca="1" ref="AV482" ca="1">IFERROR(_xlfn.IFS($AU482="","",$AU482&lt;=15,"0-15",AND($AU482&gt;=16,$AU482&lt;=30),"16-30",AND($AU482&gt;=31,$AU482&lt;=45),"31-45",AND($AU482&gt;=46,$AU482&lt;=60),"46-60",AND($AU482&gt;=61,$AU482&lt;=90),"61-90",AND($AU482&gt;=91),"&gt; 90",AND($AU482&gt;=2000),""),"")</f>
        <v/>
      </c>
      <c r="AW482" s="79" t="str" cm="1">
        <f t="array" aca="1" ref="AW482" ca="1">IFERROR(_xlfn.IFS(OR($M482="",$AM482=""),"",OR($C482="Offered",$C482="Joined"),($AM482-$M482)-$AT482),"")</f>
        <v/>
      </c>
      <c r="AX482" s="79" t="str" cm="1">
        <f t="array" aca="1" ref="AX482" ca="1">IFERROR(_xlfn.IFS(OR($M482="",$AS482=""),"",$C482="Joined",($AS482-$M482)-$AT482),"")</f>
        <v/>
      </c>
      <c r="AY482" s="67" t="str">
        <f>IFERROR(IF(COUNTIFS('Candidate Tracker'!$E:$E,'Positions Tracker'!$B482,'Candidate Tracker'!$C:$C,"Offer Drop")=0,"",COUNTIFS('Candidate Tracker'!$E:$E,'Positions Tracker'!$B482,'Candidate Tracker'!$C:$C,"Offer Drop")),"")</f>
        <v/>
      </c>
      <c r="AZ482" s="80">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0.88111888111888115</v>
      </c>
      <c r="BA482" s="81" t="str">
        <f>IFERROR(IF(COUNTIFS('Candidate Tracker'!$E:$E,'Positions Tracker'!$B482,'Candidate Tracker'!$I:$I,"Female")=0,"",COUNTIFS('Candidate Tracker'!$E:$E,'Positions Tracker'!$B482,'Candidate Tracker'!$I:$I,"Female")),"")</f>
        <v/>
      </c>
      <c r="BB482" s="81" t="str">
        <f>IFERROR(IF(COUNTIFS('Candidate Tracker'!$E:$E,'Positions Tracker'!$B482,'Candidate Tracker'!$I:$I,"male")=0,"",COUNTIFS('Candidate Tracker'!$E:$E,'Positions Tracker'!$B482,'Candidate Tracker'!$I:$I,"male")),"")</f>
        <v/>
      </c>
      <c r="BC482" s="80" t="str">
        <f>IFERROR(IF(COUNTIFS('Candidate Tracker'!$E:$E,'Positions Tracker'!$B482,'Candidate Tracker'!$C:$C,"&lt;&gt;WIP",'Candidate Tracker'!$C:$C,"&lt;&gt;Hold",'Candidate Tracker'!$C:$C,"&lt;&gt;Cancelled",'Candidate Tracker'!$C:$C,"&lt;&gt;Closed")/COUNTIFS('Candidate Tracker'!$E:$E,'Positions Tracker'!$B482)=0,"",COUNTIFS('Candidate Tracker'!$E:$E,'Positions Tracker'!$B482,'Candidate Tracker'!$C:$C,"&lt;&gt;WIP",'Candidate Tracker'!$C:$C,"&lt;&gt;Hold",'Candidate Tracker'!$C:$C,"&lt;&gt;Cancelled",'Candidate Tracker'!$C:$C,"&lt;&gt;Closed")/COUNTIFS('Candidate Tracker'!$E:$E,'Positions Tracker'!$B482)),"")</f>
        <v/>
      </c>
      <c r="BD482" s="67" t="str">
        <f t="shared" si="42"/>
        <v/>
      </c>
      <c r="BE482" s="67" t="str">
        <f t="shared" si="43"/>
        <v/>
      </c>
      <c r="BF482" s="67" t="str">
        <f t="shared" si="44"/>
        <v/>
      </c>
      <c r="BG482" s="67" t="str">
        <f t="shared" si="45"/>
        <v/>
      </c>
    </row>
    <row r="483" spans="1:59">
      <c r="A483" s="55"/>
      <c r="B483" s="56"/>
      <c r="C483" s="56"/>
      <c r="D483" s="56"/>
      <c r="E483" s="56"/>
      <c r="F483" s="56"/>
      <c r="G483" s="56"/>
      <c r="H483" s="56"/>
      <c r="I483" s="6"/>
      <c r="J483" s="6"/>
      <c r="K483" s="57"/>
      <c r="L483" s="57"/>
      <c r="M483" s="57"/>
      <c r="N483" s="56"/>
      <c r="O483" s="56"/>
      <c r="P483" s="56"/>
      <c r="Q483" s="56"/>
      <c r="R483" s="56"/>
      <c r="S483" s="56"/>
      <c r="T483" s="56"/>
      <c r="U483" s="56"/>
      <c r="V483" s="56"/>
      <c r="W483" s="56"/>
      <c r="X483" s="56"/>
      <c r="Y483" s="56"/>
      <c r="Z483" s="56"/>
      <c r="AA483" s="56"/>
      <c r="AB483" s="56"/>
      <c r="AC483" s="56"/>
      <c r="AD483" s="56"/>
      <c r="AE483" s="56"/>
      <c r="AF483" s="56"/>
      <c r="AG483" s="56"/>
      <c r="AH483" s="56"/>
      <c r="AI483" s="58"/>
      <c r="AJ483" s="56"/>
      <c r="AK483" s="56"/>
      <c r="AL483" s="56"/>
      <c r="AM483" s="57"/>
      <c r="AN483" s="57"/>
      <c r="AO483" s="56"/>
      <c r="AP483" s="56"/>
      <c r="AQ483" s="57"/>
      <c r="AR483" s="57"/>
      <c r="AS483" s="57"/>
      <c r="AT483" s="67">
        <f t="shared" ca="1" si="46"/>
        <v>0</v>
      </c>
      <c r="AU483" s="79" t="str">
        <f t="shared" ca="1" si="47"/>
        <v/>
      </c>
      <c r="AV483" s="79" t="str" cm="1">
        <f t="array" aca="1" ref="AV483" ca="1">IFERROR(_xlfn.IFS($AU483="","",$AU483&lt;=15,"0-15",AND($AU483&gt;=16,$AU483&lt;=30),"16-30",AND($AU483&gt;=31,$AU483&lt;=45),"31-45",AND($AU483&gt;=46,$AU483&lt;=60),"46-60",AND($AU483&gt;=61,$AU483&lt;=90),"61-90",AND($AU483&gt;=91),"&gt; 90",AND($AU483&gt;=2000),""),"")</f>
        <v/>
      </c>
      <c r="AW483" s="79" t="str" cm="1">
        <f t="array" aca="1" ref="AW483" ca="1">IFERROR(_xlfn.IFS(OR($M483="",$AM483=""),"",OR($C483="Offered",$C483="Joined"),($AM483-$M483)-$AT483),"")</f>
        <v/>
      </c>
      <c r="AX483" s="79" t="str" cm="1">
        <f t="array" aca="1" ref="AX483" ca="1">IFERROR(_xlfn.IFS(OR($M483="",$AS483=""),"",$C483="Joined",($AS483-$M483)-$AT483),"")</f>
        <v/>
      </c>
      <c r="AY483" s="67" t="str">
        <f>IFERROR(IF(COUNTIFS('Candidate Tracker'!$E:$E,'Positions Tracker'!$B483,'Candidate Tracker'!$C:$C,"Offer Drop")=0,"",COUNTIFS('Candidate Tracker'!$E:$E,'Positions Tracker'!$B483,'Candidate Tracker'!$C:$C,"Offer Drop")),"")</f>
        <v/>
      </c>
      <c r="AZ483" s="80">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0.88111888111888115</v>
      </c>
      <c r="BA483" s="81" t="str">
        <f>IFERROR(IF(COUNTIFS('Candidate Tracker'!$E:$E,'Positions Tracker'!$B483,'Candidate Tracker'!$I:$I,"Female")=0,"",COUNTIFS('Candidate Tracker'!$E:$E,'Positions Tracker'!$B483,'Candidate Tracker'!$I:$I,"Female")),"")</f>
        <v/>
      </c>
      <c r="BB483" s="81" t="str">
        <f>IFERROR(IF(COUNTIFS('Candidate Tracker'!$E:$E,'Positions Tracker'!$B483,'Candidate Tracker'!$I:$I,"male")=0,"",COUNTIFS('Candidate Tracker'!$E:$E,'Positions Tracker'!$B483,'Candidate Tracker'!$I:$I,"male")),"")</f>
        <v/>
      </c>
      <c r="BC483" s="80" t="str">
        <f>IFERROR(IF(COUNTIFS('Candidate Tracker'!$E:$E,'Positions Tracker'!$B483,'Candidate Tracker'!$C:$C,"&lt;&gt;WIP",'Candidate Tracker'!$C:$C,"&lt;&gt;Hold",'Candidate Tracker'!$C:$C,"&lt;&gt;Cancelled",'Candidate Tracker'!$C:$C,"&lt;&gt;Closed")/COUNTIFS('Candidate Tracker'!$E:$E,'Positions Tracker'!$B483)=0,"",COUNTIFS('Candidate Tracker'!$E:$E,'Positions Tracker'!$B483,'Candidate Tracker'!$C:$C,"&lt;&gt;WIP",'Candidate Tracker'!$C:$C,"&lt;&gt;Hold",'Candidate Tracker'!$C:$C,"&lt;&gt;Cancelled",'Candidate Tracker'!$C:$C,"&lt;&gt;Closed")/COUNTIFS('Candidate Tracker'!$E:$E,'Positions Tracker'!$B483)),"")</f>
        <v/>
      </c>
      <c r="BD483" s="67" t="str">
        <f t="shared" si="42"/>
        <v/>
      </c>
      <c r="BE483" s="67" t="str">
        <f t="shared" si="43"/>
        <v/>
      </c>
      <c r="BF483" s="67" t="str">
        <f t="shared" si="44"/>
        <v/>
      </c>
      <c r="BG483" s="67" t="str">
        <f t="shared" si="45"/>
        <v/>
      </c>
    </row>
    <row r="484" spans="1:59">
      <c r="A484" s="55"/>
      <c r="B484" s="56"/>
      <c r="C484" s="56"/>
      <c r="D484" s="56"/>
      <c r="E484" s="56"/>
      <c r="F484" s="56"/>
      <c r="G484" s="56"/>
      <c r="H484" s="56"/>
      <c r="I484" s="6"/>
      <c r="J484" s="6"/>
      <c r="K484" s="57"/>
      <c r="L484" s="57"/>
      <c r="M484" s="57"/>
      <c r="N484" s="56"/>
      <c r="O484" s="56"/>
      <c r="P484" s="56"/>
      <c r="Q484" s="56"/>
      <c r="R484" s="56"/>
      <c r="S484" s="56"/>
      <c r="T484" s="56"/>
      <c r="U484" s="56"/>
      <c r="V484" s="56"/>
      <c r="W484" s="56"/>
      <c r="X484" s="56"/>
      <c r="Y484" s="56"/>
      <c r="Z484" s="56"/>
      <c r="AA484" s="56"/>
      <c r="AB484" s="56"/>
      <c r="AC484" s="56"/>
      <c r="AD484" s="56"/>
      <c r="AE484" s="56"/>
      <c r="AF484" s="56"/>
      <c r="AG484" s="56"/>
      <c r="AH484" s="56"/>
      <c r="AI484" s="58"/>
      <c r="AJ484" s="56"/>
      <c r="AK484" s="56"/>
      <c r="AL484" s="56"/>
      <c r="AM484" s="57"/>
      <c r="AN484" s="57"/>
      <c r="AO484" s="56"/>
      <c r="AP484" s="56"/>
      <c r="AQ484" s="57"/>
      <c r="AR484" s="57"/>
      <c r="AS484" s="57"/>
      <c r="AT484" s="67">
        <f t="shared" ca="1" si="46"/>
        <v>0</v>
      </c>
      <c r="AU484" s="79" t="str">
        <f t="shared" ca="1" si="47"/>
        <v/>
      </c>
      <c r="AV484" s="79" t="str" cm="1">
        <f t="array" aca="1" ref="AV484" ca="1">IFERROR(_xlfn.IFS($AU484="","",$AU484&lt;=15,"0-15",AND($AU484&gt;=16,$AU484&lt;=30),"16-30",AND($AU484&gt;=31,$AU484&lt;=45),"31-45",AND($AU484&gt;=46,$AU484&lt;=60),"46-60",AND($AU484&gt;=61,$AU484&lt;=90),"61-90",AND($AU484&gt;=91),"&gt; 90",AND($AU484&gt;=2000),""),"")</f>
        <v/>
      </c>
      <c r="AW484" s="79" t="str" cm="1">
        <f t="array" aca="1" ref="AW484" ca="1">IFERROR(_xlfn.IFS(OR($M484="",$AM484=""),"",OR($C484="Offered",$C484="Joined"),($AM484-$M484)-$AT484),"")</f>
        <v/>
      </c>
      <c r="AX484" s="79" t="str" cm="1">
        <f t="array" aca="1" ref="AX484" ca="1">IFERROR(_xlfn.IFS(OR($M484="",$AS484=""),"",$C484="Joined",($AS484-$M484)-$AT484),"")</f>
        <v/>
      </c>
      <c r="AY484" s="67" t="str">
        <f>IFERROR(IF(COUNTIFS('Candidate Tracker'!$E:$E,'Positions Tracker'!$B484,'Candidate Tracker'!$C:$C,"Offer Drop")=0,"",COUNTIFS('Candidate Tracker'!$E:$E,'Positions Tracker'!$B484,'Candidate Tracker'!$C:$C,"Offer Drop")),"")</f>
        <v/>
      </c>
      <c r="AZ484" s="80">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0.88111888111888115</v>
      </c>
      <c r="BA484" s="81" t="str">
        <f>IFERROR(IF(COUNTIFS('Candidate Tracker'!$E:$E,'Positions Tracker'!$B484,'Candidate Tracker'!$I:$I,"Female")=0,"",COUNTIFS('Candidate Tracker'!$E:$E,'Positions Tracker'!$B484,'Candidate Tracker'!$I:$I,"Female")),"")</f>
        <v/>
      </c>
      <c r="BB484" s="81" t="str">
        <f>IFERROR(IF(COUNTIFS('Candidate Tracker'!$E:$E,'Positions Tracker'!$B484,'Candidate Tracker'!$I:$I,"male")=0,"",COUNTIFS('Candidate Tracker'!$E:$E,'Positions Tracker'!$B484,'Candidate Tracker'!$I:$I,"male")),"")</f>
        <v/>
      </c>
      <c r="BC484" s="80" t="str">
        <f>IFERROR(IF(COUNTIFS('Candidate Tracker'!$E:$E,'Positions Tracker'!$B484,'Candidate Tracker'!$C:$C,"&lt;&gt;WIP",'Candidate Tracker'!$C:$C,"&lt;&gt;Hold",'Candidate Tracker'!$C:$C,"&lt;&gt;Cancelled",'Candidate Tracker'!$C:$C,"&lt;&gt;Closed")/COUNTIFS('Candidate Tracker'!$E:$E,'Positions Tracker'!$B484)=0,"",COUNTIFS('Candidate Tracker'!$E:$E,'Positions Tracker'!$B484,'Candidate Tracker'!$C:$C,"&lt;&gt;WIP",'Candidate Tracker'!$C:$C,"&lt;&gt;Hold",'Candidate Tracker'!$C:$C,"&lt;&gt;Cancelled",'Candidate Tracker'!$C:$C,"&lt;&gt;Closed")/COUNTIFS('Candidate Tracker'!$E:$E,'Positions Tracker'!$B484)),"")</f>
        <v/>
      </c>
      <c r="BD484" s="67" t="str">
        <f t="shared" si="42"/>
        <v/>
      </c>
      <c r="BE484" s="67" t="str">
        <f t="shared" si="43"/>
        <v/>
      </c>
      <c r="BF484" s="67" t="str">
        <f t="shared" si="44"/>
        <v/>
      </c>
      <c r="BG484" s="67" t="str">
        <f t="shared" si="45"/>
        <v/>
      </c>
    </row>
    <row r="485" spans="1:59">
      <c r="A485" s="55"/>
      <c r="B485" s="56"/>
      <c r="C485" s="56"/>
      <c r="D485" s="56"/>
      <c r="E485" s="56"/>
      <c r="F485" s="56"/>
      <c r="G485" s="56"/>
      <c r="H485" s="56"/>
      <c r="I485" s="6"/>
      <c r="J485" s="6"/>
      <c r="K485" s="57"/>
      <c r="L485" s="57"/>
      <c r="M485" s="57"/>
      <c r="N485" s="56"/>
      <c r="O485" s="56"/>
      <c r="P485" s="56"/>
      <c r="Q485" s="56"/>
      <c r="R485" s="56"/>
      <c r="S485" s="56"/>
      <c r="T485" s="56"/>
      <c r="U485" s="56"/>
      <c r="V485" s="56"/>
      <c r="W485" s="56"/>
      <c r="X485" s="56"/>
      <c r="Y485" s="56"/>
      <c r="Z485" s="56"/>
      <c r="AA485" s="56"/>
      <c r="AB485" s="56"/>
      <c r="AC485" s="56"/>
      <c r="AD485" s="56"/>
      <c r="AE485" s="56"/>
      <c r="AF485" s="56"/>
      <c r="AG485" s="56"/>
      <c r="AH485" s="56"/>
      <c r="AI485" s="58"/>
      <c r="AJ485" s="56"/>
      <c r="AK485" s="56"/>
      <c r="AL485" s="56"/>
      <c r="AM485" s="57"/>
      <c r="AN485" s="57"/>
      <c r="AO485" s="56"/>
      <c r="AP485" s="56"/>
      <c r="AQ485" s="57"/>
      <c r="AR485" s="57"/>
      <c r="AS485" s="57"/>
      <c r="AT485" s="67">
        <f t="shared" ca="1" si="46"/>
        <v>0</v>
      </c>
      <c r="AU485" s="79" t="str">
        <f t="shared" ca="1" si="47"/>
        <v/>
      </c>
      <c r="AV485" s="79" t="str" cm="1">
        <f t="array" aca="1" ref="AV485" ca="1">IFERROR(_xlfn.IFS($AU485="","",$AU485&lt;=15,"0-15",AND($AU485&gt;=16,$AU485&lt;=30),"16-30",AND($AU485&gt;=31,$AU485&lt;=45),"31-45",AND($AU485&gt;=46,$AU485&lt;=60),"46-60",AND($AU485&gt;=61,$AU485&lt;=90),"61-90",AND($AU485&gt;=91),"&gt; 90",AND($AU485&gt;=2000),""),"")</f>
        <v/>
      </c>
      <c r="AW485" s="79" t="str" cm="1">
        <f t="array" aca="1" ref="AW485" ca="1">IFERROR(_xlfn.IFS(OR($M485="",$AM485=""),"",OR($C485="Offered",$C485="Joined"),($AM485-$M485)-$AT485),"")</f>
        <v/>
      </c>
      <c r="AX485" s="79" t="str" cm="1">
        <f t="array" aca="1" ref="AX485" ca="1">IFERROR(_xlfn.IFS(OR($M485="",$AS485=""),"",$C485="Joined",($AS485-$M485)-$AT485),"")</f>
        <v/>
      </c>
      <c r="AY485" s="67" t="str">
        <f>IFERROR(IF(COUNTIFS('Candidate Tracker'!$E:$E,'Positions Tracker'!$B485,'Candidate Tracker'!$C:$C,"Offer Drop")=0,"",COUNTIFS('Candidate Tracker'!$E:$E,'Positions Tracker'!$B485,'Candidate Tracker'!$C:$C,"Offer Drop")),"")</f>
        <v/>
      </c>
      <c r="AZ485" s="80">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0.88111888111888115</v>
      </c>
      <c r="BA485" s="81" t="str">
        <f>IFERROR(IF(COUNTIFS('Candidate Tracker'!$E:$E,'Positions Tracker'!$B485,'Candidate Tracker'!$I:$I,"Female")=0,"",COUNTIFS('Candidate Tracker'!$E:$E,'Positions Tracker'!$B485,'Candidate Tracker'!$I:$I,"Female")),"")</f>
        <v/>
      </c>
      <c r="BB485" s="81" t="str">
        <f>IFERROR(IF(COUNTIFS('Candidate Tracker'!$E:$E,'Positions Tracker'!$B485,'Candidate Tracker'!$I:$I,"male")=0,"",COUNTIFS('Candidate Tracker'!$E:$E,'Positions Tracker'!$B485,'Candidate Tracker'!$I:$I,"male")),"")</f>
        <v/>
      </c>
      <c r="BC485" s="80" t="str">
        <f>IFERROR(IF(COUNTIFS('Candidate Tracker'!$E:$E,'Positions Tracker'!$B485,'Candidate Tracker'!$C:$C,"&lt;&gt;WIP",'Candidate Tracker'!$C:$C,"&lt;&gt;Hold",'Candidate Tracker'!$C:$C,"&lt;&gt;Cancelled",'Candidate Tracker'!$C:$C,"&lt;&gt;Closed")/COUNTIFS('Candidate Tracker'!$E:$E,'Positions Tracker'!$B485)=0,"",COUNTIFS('Candidate Tracker'!$E:$E,'Positions Tracker'!$B485,'Candidate Tracker'!$C:$C,"&lt;&gt;WIP",'Candidate Tracker'!$C:$C,"&lt;&gt;Hold",'Candidate Tracker'!$C:$C,"&lt;&gt;Cancelled",'Candidate Tracker'!$C:$C,"&lt;&gt;Closed")/COUNTIFS('Candidate Tracker'!$E:$E,'Positions Tracker'!$B485)),"")</f>
        <v/>
      </c>
      <c r="BD485" s="67" t="str">
        <f t="shared" si="42"/>
        <v/>
      </c>
      <c r="BE485" s="67" t="str">
        <f t="shared" si="43"/>
        <v/>
      </c>
      <c r="BF485" s="67" t="str">
        <f t="shared" si="44"/>
        <v/>
      </c>
      <c r="BG485" s="67" t="str">
        <f t="shared" si="45"/>
        <v/>
      </c>
    </row>
    <row r="486" spans="1:59">
      <c r="A486" s="55"/>
      <c r="B486" s="56"/>
      <c r="C486" s="56"/>
      <c r="D486" s="56"/>
      <c r="E486" s="56"/>
      <c r="F486" s="56"/>
      <c r="G486" s="56"/>
      <c r="H486" s="56"/>
      <c r="I486" s="6"/>
      <c r="J486" s="6"/>
      <c r="K486" s="57"/>
      <c r="L486" s="57"/>
      <c r="M486" s="57"/>
      <c r="N486" s="56"/>
      <c r="O486" s="56"/>
      <c r="P486" s="56"/>
      <c r="Q486" s="56"/>
      <c r="R486" s="56"/>
      <c r="S486" s="56"/>
      <c r="T486" s="56"/>
      <c r="U486" s="56"/>
      <c r="V486" s="56"/>
      <c r="W486" s="56"/>
      <c r="X486" s="56"/>
      <c r="Y486" s="56"/>
      <c r="Z486" s="56"/>
      <c r="AA486" s="56"/>
      <c r="AB486" s="56"/>
      <c r="AC486" s="56"/>
      <c r="AD486" s="56"/>
      <c r="AE486" s="56"/>
      <c r="AF486" s="56"/>
      <c r="AG486" s="56"/>
      <c r="AH486" s="56"/>
      <c r="AI486" s="58"/>
      <c r="AJ486" s="56"/>
      <c r="AK486" s="56"/>
      <c r="AL486" s="56"/>
      <c r="AM486" s="57"/>
      <c r="AN486" s="57"/>
      <c r="AO486" s="56"/>
      <c r="AP486" s="56"/>
      <c r="AQ486" s="57"/>
      <c r="AR486" s="57"/>
      <c r="AS486" s="57"/>
      <c r="AT486" s="67">
        <f t="shared" ca="1" si="46"/>
        <v>0</v>
      </c>
      <c r="AU486" s="79" t="str">
        <f t="shared" ca="1" si="47"/>
        <v/>
      </c>
      <c r="AV486" s="79" t="str" cm="1">
        <f t="array" aca="1" ref="AV486" ca="1">IFERROR(_xlfn.IFS($AU486="","",$AU486&lt;=15,"0-15",AND($AU486&gt;=16,$AU486&lt;=30),"16-30",AND($AU486&gt;=31,$AU486&lt;=45),"31-45",AND($AU486&gt;=46,$AU486&lt;=60),"46-60",AND($AU486&gt;=61,$AU486&lt;=90),"61-90",AND($AU486&gt;=91),"&gt; 90",AND($AU486&gt;=2000),""),"")</f>
        <v/>
      </c>
      <c r="AW486" s="79" t="str" cm="1">
        <f t="array" aca="1" ref="AW486" ca="1">IFERROR(_xlfn.IFS(OR($M486="",$AM486=""),"",OR($C486="Offered",$C486="Joined"),($AM486-$M486)-$AT486),"")</f>
        <v/>
      </c>
      <c r="AX486" s="79" t="str" cm="1">
        <f t="array" aca="1" ref="AX486" ca="1">IFERROR(_xlfn.IFS(OR($M486="",$AS486=""),"",$C486="Joined",($AS486-$M486)-$AT486),"")</f>
        <v/>
      </c>
      <c r="AY486" s="67" t="str">
        <f>IFERROR(IF(COUNTIFS('Candidate Tracker'!$E:$E,'Positions Tracker'!$B486,'Candidate Tracker'!$C:$C,"Offer Drop")=0,"",COUNTIFS('Candidate Tracker'!$E:$E,'Positions Tracker'!$B486,'Candidate Tracker'!$C:$C,"Offer Drop")),"")</f>
        <v/>
      </c>
      <c r="AZ486" s="80">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0.88111888111888115</v>
      </c>
      <c r="BA486" s="81" t="str">
        <f>IFERROR(IF(COUNTIFS('Candidate Tracker'!$E:$E,'Positions Tracker'!$B486,'Candidate Tracker'!$I:$I,"Female")=0,"",COUNTIFS('Candidate Tracker'!$E:$E,'Positions Tracker'!$B486,'Candidate Tracker'!$I:$I,"Female")),"")</f>
        <v/>
      </c>
      <c r="BB486" s="81" t="str">
        <f>IFERROR(IF(COUNTIFS('Candidate Tracker'!$E:$E,'Positions Tracker'!$B486,'Candidate Tracker'!$I:$I,"male")=0,"",COUNTIFS('Candidate Tracker'!$E:$E,'Positions Tracker'!$B486,'Candidate Tracker'!$I:$I,"male")),"")</f>
        <v/>
      </c>
      <c r="BC486" s="80" t="str">
        <f>IFERROR(IF(COUNTIFS('Candidate Tracker'!$E:$E,'Positions Tracker'!$B486,'Candidate Tracker'!$C:$C,"&lt;&gt;WIP",'Candidate Tracker'!$C:$C,"&lt;&gt;Hold",'Candidate Tracker'!$C:$C,"&lt;&gt;Cancelled",'Candidate Tracker'!$C:$C,"&lt;&gt;Closed")/COUNTIFS('Candidate Tracker'!$E:$E,'Positions Tracker'!$B486)=0,"",COUNTIFS('Candidate Tracker'!$E:$E,'Positions Tracker'!$B486,'Candidate Tracker'!$C:$C,"&lt;&gt;WIP",'Candidate Tracker'!$C:$C,"&lt;&gt;Hold",'Candidate Tracker'!$C:$C,"&lt;&gt;Cancelled",'Candidate Tracker'!$C:$C,"&lt;&gt;Closed")/COUNTIFS('Candidate Tracker'!$E:$E,'Positions Tracker'!$B486)),"")</f>
        <v/>
      </c>
      <c r="BD486" s="67" t="str">
        <f t="shared" si="42"/>
        <v/>
      </c>
      <c r="BE486" s="67" t="str">
        <f t="shared" si="43"/>
        <v/>
      </c>
      <c r="BF486" s="67" t="str">
        <f t="shared" si="44"/>
        <v/>
      </c>
      <c r="BG486" s="67" t="str">
        <f t="shared" si="45"/>
        <v/>
      </c>
    </row>
    <row r="487" spans="1:59">
      <c r="A487" s="55"/>
      <c r="B487" s="56"/>
      <c r="C487" s="56"/>
      <c r="D487" s="56"/>
      <c r="E487" s="56"/>
      <c r="F487" s="56"/>
      <c r="G487" s="56"/>
      <c r="H487" s="56"/>
      <c r="I487" s="6"/>
      <c r="J487" s="6"/>
      <c r="K487" s="57"/>
      <c r="L487" s="57"/>
      <c r="M487" s="57"/>
      <c r="N487" s="56"/>
      <c r="O487" s="56"/>
      <c r="P487" s="56"/>
      <c r="Q487" s="56"/>
      <c r="R487" s="56"/>
      <c r="S487" s="56"/>
      <c r="T487" s="56"/>
      <c r="U487" s="56"/>
      <c r="V487" s="56"/>
      <c r="W487" s="56"/>
      <c r="X487" s="56"/>
      <c r="Y487" s="56"/>
      <c r="Z487" s="56"/>
      <c r="AA487" s="56"/>
      <c r="AB487" s="56"/>
      <c r="AC487" s="56"/>
      <c r="AD487" s="56"/>
      <c r="AE487" s="56"/>
      <c r="AF487" s="56"/>
      <c r="AG487" s="56"/>
      <c r="AH487" s="56"/>
      <c r="AI487" s="58"/>
      <c r="AJ487" s="56"/>
      <c r="AK487" s="56"/>
      <c r="AL487" s="56"/>
      <c r="AM487" s="57"/>
      <c r="AN487" s="57"/>
      <c r="AO487" s="56"/>
      <c r="AP487" s="56"/>
      <c r="AQ487" s="57"/>
      <c r="AR487" s="57"/>
      <c r="AS487" s="57"/>
      <c r="AT487" s="67">
        <f t="shared" ca="1" si="46"/>
        <v>0</v>
      </c>
      <c r="AU487" s="79" t="str">
        <f t="shared" ca="1" si="47"/>
        <v/>
      </c>
      <c r="AV487" s="79" t="str" cm="1">
        <f t="array" aca="1" ref="AV487" ca="1">IFERROR(_xlfn.IFS($AU487="","",$AU487&lt;=15,"0-15",AND($AU487&gt;=16,$AU487&lt;=30),"16-30",AND($AU487&gt;=31,$AU487&lt;=45),"31-45",AND($AU487&gt;=46,$AU487&lt;=60),"46-60",AND($AU487&gt;=61,$AU487&lt;=90),"61-90",AND($AU487&gt;=91),"&gt; 90",AND($AU487&gt;=2000),""),"")</f>
        <v/>
      </c>
      <c r="AW487" s="79" t="str" cm="1">
        <f t="array" aca="1" ref="AW487" ca="1">IFERROR(_xlfn.IFS(OR($M487="",$AM487=""),"",OR($C487="Offered",$C487="Joined"),($AM487-$M487)-$AT487),"")</f>
        <v/>
      </c>
      <c r="AX487" s="79" t="str" cm="1">
        <f t="array" aca="1" ref="AX487" ca="1">IFERROR(_xlfn.IFS(OR($M487="",$AS487=""),"",$C487="Joined",($AS487-$M487)-$AT487),"")</f>
        <v/>
      </c>
      <c r="AY487" s="67" t="str">
        <f>IFERROR(IF(COUNTIFS('Candidate Tracker'!$E:$E,'Positions Tracker'!$B487,'Candidate Tracker'!$C:$C,"Offer Drop")=0,"",COUNTIFS('Candidate Tracker'!$E:$E,'Positions Tracker'!$B487,'Candidate Tracker'!$C:$C,"Offer Drop")),"")</f>
        <v/>
      </c>
      <c r="AZ487" s="80">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0.88111888111888115</v>
      </c>
      <c r="BA487" s="81" t="str">
        <f>IFERROR(IF(COUNTIFS('Candidate Tracker'!$E:$E,'Positions Tracker'!$B487,'Candidate Tracker'!$I:$I,"Female")=0,"",COUNTIFS('Candidate Tracker'!$E:$E,'Positions Tracker'!$B487,'Candidate Tracker'!$I:$I,"Female")),"")</f>
        <v/>
      </c>
      <c r="BB487" s="81" t="str">
        <f>IFERROR(IF(COUNTIFS('Candidate Tracker'!$E:$E,'Positions Tracker'!$B487,'Candidate Tracker'!$I:$I,"male")=0,"",COUNTIFS('Candidate Tracker'!$E:$E,'Positions Tracker'!$B487,'Candidate Tracker'!$I:$I,"male")),"")</f>
        <v/>
      </c>
      <c r="BC487" s="80" t="str">
        <f>IFERROR(IF(COUNTIFS('Candidate Tracker'!$E:$E,'Positions Tracker'!$B487,'Candidate Tracker'!$C:$C,"&lt;&gt;WIP",'Candidate Tracker'!$C:$C,"&lt;&gt;Hold",'Candidate Tracker'!$C:$C,"&lt;&gt;Cancelled",'Candidate Tracker'!$C:$C,"&lt;&gt;Closed")/COUNTIFS('Candidate Tracker'!$E:$E,'Positions Tracker'!$B487)=0,"",COUNTIFS('Candidate Tracker'!$E:$E,'Positions Tracker'!$B487,'Candidate Tracker'!$C:$C,"&lt;&gt;WIP",'Candidate Tracker'!$C:$C,"&lt;&gt;Hold",'Candidate Tracker'!$C:$C,"&lt;&gt;Cancelled",'Candidate Tracker'!$C:$C,"&lt;&gt;Closed")/COUNTIFS('Candidate Tracker'!$E:$E,'Positions Tracker'!$B487)),"")</f>
        <v/>
      </c>
      <c r="BD487" s="67" t="str">
        <f t="shared" si="42"/>
        <v/>
      </c>
      <c r="BE487" s="67" t="str">
        <f t="shared" si="43"/>
        <v/>
      </c>
      <c r="BF487" s="67" t="str">
        <f t="shared" si="44"/>
        <v/>
      </c>
      <c r="BG487" s="67" t="str">
        <f t="shared" si="45"/>
        <v/>
      </c>
    </row>
    <row r="488" spans="1:59">
      <c r="A488" s="55"/>
      <c r="B488" s="56"/>
      <c r="C488" s="56"/>
      <c r="D488" s="56"/>
      <c r="E488" s="56"/>
      <c r="F488" s="56"/>
      <c r="G488" s="56"/>
      <c r="H488" s="56"/>
      <c r="I488" s="6"/>
      <c r="J488" s="6"/>
      <c r="K488" s="57"/>
      <c r="L488" s="57"/>
      <c r="M488" s="57"/>
      <c r="N488" s="56"/>
      <c r="O488" s="56"/>
      <c r="P488" s="56"/>
      <c r="Q488" s="56"/>
      <c r="R488" s="56"/>
      <c r="S488" s="56"/>
      <c r="T488" s="56"/>
      <c r="U488" s="56"/>
      <c r="V488" s="56"/>
      <c r="W488" s="56"/>
      <c r="X488" s="56"/>
      <c r="Y488" s="56"/>
      <c r="Z488" s="56"/>
      <c r="AA488" s="56"/>
      <c r="AB488" s="56"/>
      <c r="AC488" s="56"/>
      <c r="AD488" s="56"/>
      <c r="AE488" s="56"/>
      <c r="AF488" s="56"/>
      <c r="AG488" s="56"/>
      <c r="AH488" s="56"/>
      <c r="AI488" s="58"/>
      <c r="AJ488" s="56"/>
      <c r="AK488" s="56"/>
      <c r="AL488" s="56"/>
      <c r="AM488" s="57"/>
      <c r="AN488" s="57"/>
      <c r="AO488" s="56"/>
      <c r="AP488" s="56"/>
      <c r="AQ488" s="57"/>
      <c r="AR488" s="57"/>
      <c r="AS488" s="57"/>
      <c r="AT488" s="67">
        <f t="shared" ca="1" si="46"/>
        <v>0</v>
      </c>
      <c r="AU488" s="79" t="str">
        <f t="shared" ca="1" si="47"/>
        <v/>
      </c>
      <c r="AV488" s="79" t="str" cm="1">
        <f t="array" aca="1" ref="AV488" ca="1">IFERROR(_xlfn.IFS($AU488="","",$AU488&lt;=15,"0-15",AND($AU488&gt;=16,$AU488&lt;=30),"16-30",AND($AU488&gt;=31,$AU488&lt;=45),"31-45",AND($AU488&gt;=46,$AU488&lt;=60),"46-60",AND($AU488&gt;=61,$AU488&lt;=90),"61-90",AND($AU488&gt;=91),"&gt; 90",AND($AU488&gt;=2000),""),"")</f>
        <v/>
      </c>
      <c r="AW488" s="79" t="str" cm="1">
        <f t="array" aca="1" ref="AW488" ca="1">IFERROR(_xlfn.IFS(OR($M488="",$AM488=""),"",OR($C488="Offered",$C488="Joined"),($AM488-$M488)-$AT488),"")</f>
        <v/>
      </c>
      <c r="AX488" s="79" t="str" cm="1">
        <f t="array" aca="1" ref="AX488" ca="1">IFERROR(_xlfn.IFS(OR($M488="",$AS488=""),"",$C488="Joined",($AS488-$M488)-$AT488),"")</f>
        <v/>
      </c>
      <c r="AY488" s="67" t="str">
        <f>IFERROR(IF(COUNTIFS('Candidate Tracker'!$E:$E,'Positions Tracker'!$B488,'Candidate Tracker'!$C:$C,"Offer Drop")=0,"",COUNTIFS('Candidate Tracker'!$E:$E,'Positions Tracker'!$B488,'Candidate Tracker'!$C:$C,"Offer Drop")),"")</f>
        <v/>
      </c>
      <c r="AZ488" s="80">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0.88111888111888115</v>
      </c>
      <c r="BA488" s="81" t="str">
        <f>IFERROR(IF(COUNTIFS('Candidate Tracker'!$E:$E,'Positions Tracker'!$B488,'Candidate Tracker'!$I:$I,"Female")=0,"",COUNTIFS('Candidate Tracker'!$E:$E,'Positions Tracker'!$B488,'Candidate Tracker'!$I:$I,"Female")),"")</f>
        <v/>
      </c>
      <c r="BB488" s="81" t="str">
        <f>IFERROR(IF(COUNTIFS('Candidate Tracker'!$E:$E,'Positions Tracker'!$B488,'Candidate Tracker'!$I:$I,"male")=0,"",COUNTIFS('Candidate Tracker'!$E:$E,'Positions Tracker'!$B488,'Candidate Tracker'!$I:$I,"male")),"")</f>
        <v/>
      </c>
      <c r="BC488" s="80" t="str">
        <f>IFERROR(IF(COUNTIFS('Candidate Tracker'!$E:$E,'Positions Tracker'!$B488,'Candidate Tracker'!$C:$C,"&lt;&gt;WIP",'Candidate Tracker'!$C:$C,"&lt;&gt;Hold",'Candidate Tracker'!$C:$C,"&lt;&gt;Cancelled",'Candidate Tracker'!$C:$C,"&lt;&gt;Closed")/COUNTIFS('Candidate Tracker'!$E:$E,'Positions Tracker'!$B488)=0,"",COUNTIFS('Candidate Tracker'!$E:$E,'Positions Tracker'!$B488,'Candidate Tracker'!$C:$C,"&lt;&gt;WIP",'Candidate Tracker'!$C:$C,"&lt;&gt;Hold",'Candidate Tracker'!$C:$C,"&lt;&gt;Cancelled",'Candidate Tracker'!$C:$C,"&lt;&gt;Closed")/COUNTIFS('Candidate Tracker'!$E:$E,'Positions Tracker'!$B488)),"")</f>
        <v/>
      </c>
      <c r="BD488" s="67" t="str">
        <f t="shared" si="42"/>
        <v/>
      </c>
      <c r="BE488" s="67" t="str">
        <f t="shared" si="43"/>
        <v/>
      </c>
      <c r="BF488" s="67" t="str">
        <f t="shared" si="44"/>
        <v/>
      </c>
      <c r="BG488" s="67" t="str">
        <f t="shared" si="45"/>
        <v/>
      </c>
    </row>
    <row r="489" spans="1:59">
      <c r="A489" s="55"/>
      <c r="B489" s="56"/>
      <c r="C489" s="56"/>
      <c r="D489" s="56"/>
      <c r="E489" s="56"/>
      <c r="F489" s="56"/>
      <c r="G489" s="56"/>
      <c r="H489" s="56"/>
      <c r="I489" s="6"/>
      <c r="J489" s="6"/>
      <c r="K489" s="57"/>
      <c r="L489" s="57"/>
      <c r="M489" s="57"/>
      <c r="N489" s="56"/>
      <c r="O489" s="56"/>
      <c r="P489" s="56"/>
      <c r="Q489" s="56"/>
      <c r="R489" s="56"/>
      <c r="S489" s="56"/>
      <c r="T489" s="56"/>
      <c r="U489" s="56"/>
      <c r="V489" s="56"/>
      <c r="W489" s="56"/>
      <c r="X489" s="56"/>
      <c r="Y489" s="56"/>
      <c r="Z489" s="56"/>
      <c r="AA489" s="56"/>
      <c r="AB489" s="56"/>
      <c r="AC489" s="56"/>
      <c r="AD489" s="56"/>
      <c r="AE489" s="56"/>
      <c r="AF489" s="56"/>
      <c r="AG489" s="56"/>
      <c r="AH489" s="56"/>
      <c r="AI489" s="58"/>
      <c r="AJ489" s="56"/>
      <c r="AK489" s="56"/>
      <c r="AL489" s="56"/>
      <c r="AM489" s="57"/>
      <c r="AN489" s="57"/>
      <c r="AO489" s="56"/>
      <c r="AP489" s="56"/>
      <c r="AQ489" s="57"/>
      <c r="AR489" s="57"/>
      <c r="AS489" s="57"/>
      <c r="AT489" s="67">
        <f t="shared" ca="1" si="46"/>
        <v>0</v>
      </c>
      <c r="AU489" s="79" t="str">
        <f t="shared" ca="1" si="47"/>
        <v/>
      </c>
      <c r="AV489" s="79" t="str" cm="1">
        <f t="array" aca="1" ref="AV489" ca="1">IFERROR(_xlfn.IFS($AU489="","",$AU489&lt;=15,"0-15",AND($AU489&gt;=16,$AU489&lt;=30),"16-30",AND($AU489&gt;=31,$AU489&lt;=45),"31-45",AND($AU489&gt;=46,$AU489&lt;=60),"46-60",AND($AU489&gt;=61,$AU489&lt;=90),"61-90",AND($AU489&gt;=91),"&gt; 90",AND($AU489&gt;=2000),""),"")</f>
        <v/>
      </c>
      <c r="AW489" s="79" t="str" cm="1">
        <f t="array" aca="1" ref="AW489" ca="1">IFERROR(_xlfn.IFS(OR($M489="",$AM489=""),"",OR($C489="Offered",$C489="Joined"),($AM489-$M489)-$AT489),"")</f>
        <v/>
      </c>
      <c r="AX489" s="79" t="str" cm="1">
        <f t="array" aca="1" ref="AX489" ca="1">IFERROR(_xlfn.IFS(OR($M489="",$AS489=""),"",$C489="Joined",($AS489-$M489)-$AT489),"")</f>
        <v/>
      </c>
      <c r="AY489" s="67" t="str">
        <f>IFERROR(IF(COUNTIFS('Candidate Tracker'!$E:$E,'Positions Tracker'!$B489,'Candidate Tracker'!$C:$C,"Offer Drop")=0,"",COUNTIFS('Candidate Tracker'!$E:$E,'Positions Tracker'!$B489,'Candidate Tracker'!$C:$C,"Offer Drop")),"")</f>
        <v/>
      </c>
      <c r="AZ489" s="80">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0.88111888111888115</v>
      </c>
      <c r="BA489" s="81" t="str">
        <f>IFERROR(IF(COUNTIFS('Candidate Tracker'!$E:$E,'Positions Tracker'!$B489,'Candidate Tracker'!$I:$I,"Female")=0,"",COUNTIFS('Candidate Tracker'!$E:$E,'Positions Tracker'!$B489,'Candidate Tracker'!$I:$I,"Female")),"")</f>
        <v/>
      </c>
      <c r="BB489" s="81" t="str">
        <f>IFERROR(IF(COUNTIFS('Candidate Tracker'!$E:$E,'Positions Tracker'!$B489,'Candidate Tracker'!$I:$I,"male")=0,"",COUNTIFS('Candidate Tracker'!$E:$E,'Positions Tracker'!$B489,'Candidate Tracker'!$I:$I,"male")),"")</f>
        <v/>
      </c>
      <c r="BC489" s="80" t="str">
        <f>IFERROR(IF(COUNTIFS('Candidate Tracker'!$E:$E,'Positions Tracker'!$B489,'Candidate Tracker'!$C:$C,"&lt;&gt;WIP",'Candidate Tracker'!$C:$C,"&lt;&gt;Hold",'Candidate Tracker'!$C:$C,"&lt;&gt;Cancelled",'Candidate Tracker'!$C:$C,"&lt;&gt;Closed")/COUNTIFS('Candidate Tracker'!$E:$E,'Positions Tracker'!$B489)=0,"",COUNTIFS('Candidate Tracker'!$E:$E,'Positions Tracker'!$B489,'Candidate Tracker'!$C:$C,"&lt;&gt;WIP",'Candidate Tracker'!$C:$C,"&lt;&gt;Hold",'Candidate Tracker'!$C:$C,"&lt;&gt;Cancelled",'Candidate Tracker'!$C:$C,"&lt;&gt;Closed")/COUNTIFS('Candidate Tracker'!$E:$E,'Positions Tracker'!$B489)),"")</f>
        <v/>
      </c>
      <c r="BD489" s="67" t="str">
        <f t="shared" si="42"/>
        <v/>
      </c>
      <c r="BE489" s="67" t="str">
        <f t="shared" si="43"/>
        <v/>
      </c>
      <c r="BF489" s="67" t="str">
        <f t="shared" si="44"/>
        <v/>
      </c>
      <c r="BG489" s="67" t="str">
        <f t="shared" si="45"/>
        <v/>
      </c>
    </row>
    <row r="490" spans="1:59">
      <c r="A490" s="55"/>
      <c r="B490" s="56"/>
      <c r="C490" s="56"/>
      <c r="D490" s="56"/>
      <c r="E490" s="56"/>
      <c r="F490" s="56"/>
      <c r="G490" s="56"/>
      <c r="H490" s="56"/>
      <c r="I490" s="6"/>
      <c r="J490" s="6"/>
      <c r="K490" s="57"/>
      <c r="L490" s="57"/>
      <c r="M490" s="57"/>
      <c r="N490" s="56"/>
      <c r="O490" s="56"/>
      <c r="P490" s="56"/>
      <c r="Q490" s="56"/>
      <c r="R490" s="56"/>
      <c r="S490" s="56"/>
      <c r="T490" s="56"/>
      <c r="U490" s="56"/>
      <c r="V490" s="56"/>
      <c r="W490" s="56"/>
      <c r="X490" s="56"/>
      <c r="Y490" s="56"/>
      <c r="Z490" s="56"/>
      <c r="AA490" s="56"/>
      <c r="AB490" s="56"/>
      <c r="AC490" s="56"/>
      <c r="AD490" s="56"/>
      <c r="AE490" s="56"/>
      <c r="AF490" s="56"/>
      <c r="AG490" s="56"/>
      <c r="AH490" s="56"/>
      <c r="AI490" s="58"/>
      <c r="AJ490" s="56"/>
      <c r="AK490" s="56"/>
      <c r="AL490" s="56"/>
      <c r="AM490" s="57"/>
      <c r="AN490" s="57"/>
      <c r="AO490" s="56"/>
      <c r="AP490" s="56"/>
      <c r="AQ490" s="57"/>
      <c r="AR490" s="57"/>
      <c r="AS490" s="57"/>
      <c r="AT490" s="67">
        <f t="shared" ca="1" si="46"/>
        <v>0</v>
      </c>
      <c r="AU490" s="79" t="str">
        <f t="shared" ca="1" si="47"/>
        <v/>
      </c>
      <c r="AV490" s="79" t="str" cm="1">
        <f t="array" aca="1" ref="AV490" ca="1">IFERROR(_xlfn.IFS($AU490="","",$AU490&lt;=15,"0-15",AND($AU490&gt;=16,$AU490&lt;=30),"16-30",AND($AU490&gt;=31,$AU490&lt;=45),"31-45",AND($AU490&gt;=46,$AU490&lt;=60),"46-60",AND($AU490&gt;=61,$AU490&lt;=90),"61-90",AND($AU490&gt;=91),"&gt; 90",AND($AU490&gt;=2000),""),"")</f>
        <v/>
      </c>
      <c r="AW490" s="79" t="str" cm="1">
        <f t="array" aca="1" ref="AW490" ca="1">IFERROR(_xlfn.IFS(OR($M490="",$AM490=""),"",OR($C490="Offered",$C490="Joined"),($AM490-$M490)-$AT490),"")</f>
        <v/>
      </c>
      <c r="AX490" s="79" t="str" cm="1">
        <f t="array" aca="1" ref="AX490" ca="1">IFERROR(_xlfn.IFS(OR($M490="",$AS490=""),"",$C490="Joined",($AS490-$M490)-$AT490),"")</f>
        <v/>
      </c>
      <c r="AY490" s="67" t="str">
        <f>IFERROR(IF(COUNTIFS('Candidate Tracker'!$E:$E,'Positions Tracker'!$B490,'Candidate Tracker'!$C:$C,"Offer Drop")=0,"",COUNTIFS('Candidate Tracker'!$E:$E,'Positions Tracker'!$B490,'Candidate Tracker'!$C:$C,"Offer Drop")),"")</f>
        <v/>
      </c>
      <c r="AZ490" s="80">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0.88111888111888115</v>
      </c>
      <c r="BA490" s="81" t="str">
        <f>IFERROR(IF(COUNTIFS('Candidate Tracker'!$E:$E,'Positions Tracker'!$B490,'Candidate Tracker'!$I:$I,"Female")=0,"",COUNTIFS('Candidate Tracker'!$E:$E,'Positions Tracker'!$B490,'Candidate Tracker'!$I:$I,"Female")),"")</f>
        <v/>
      </c>
      <c r="BB490" s="81" t="str">
        <f>IFERROR(IF(COUNTIFS('Candidate Tracker'!$E:$E,'Positions Tracker'!$B490,'Candidate Tracker'!$I:$I,"male")=0,"",COUNTIFS('Candidate Tracker'!$E:$E,'Positions Tracker'!$B490,'Candidate Tracker'!$I:$I,"male")),"")</f>
        <v/>
      </c>
      <c r="BC490" s="80" t="str">
        <f>IFERROR(IF(COUNTIFS('Candidate Tracker'!$E:$E,'Positions Tracker'!$B490,'Candidate Tracker'!$C:$C,"&lt;&gt;WIP",'Candidate Tracker'!$C:$C,"&lt;&gt;Hold",'Candidate Tracker'!$C:$C,"&lt;&gt;Cancelled",'Candidate Tracker'!$C:$C,"&lt;&gt;Closed")/COUNTIFS('Candidate Tracker'!$E:$E,'Positions Tracker'!$B490)=0,"",COUNTIFS('Candidate Tracker'!$E:$E,'Positions Tracker'!$B490,'Candidate Tracker'!$C:$C,"&lt;&gt;WIP",'Candidate Tracker'!$C:$C,"&lt;&gt;Hold",'Candidate Tracker'!$C:$C,"&lt;&gt;Cancelled",'Candidate Tracker'!$C:$C,"&lt;&gt;Closed")/COUNTIFS('Candidate Tracker'!$E:$E,'Positions Tracker'!$B490)),"")</f>
        <v/>
      </c>
      <c r="BD490" s="67" t="str">
        <f t="shared" si="42"/>
        <v/>
      </c>
      <c r="BE490" s="67" t="str">
        <f t="shared" si="43"/>
        <v/>
      </c>
      <c r="BF490" s="67" t="str">
        <f t="shared" si="44"/>
        <v/>
      </c>
      <c r="BG490" s="67" t="str">
        <f t="shared" si="45"/>
        <v/>
      </c>
    </row>
    <row r="491" spans="1:59">
      <c r="A491" s="55"/>
      <c r="B491" s="56"/>
      <c r="C491" s="56"/>
      <c r="D491" s="56"/>
      <c r="E491" s="56"/>
      <c r="F491" s="56"/>
      <c r="G491" s="56"/>
      <c r="H491" s="56"/>
      <c r="I491" s="6"/>
      <c r="J491" s="6"/>
      <c r="K491" s="57"/>
      <c r="L491" s="57"/>
      <c r="M491" s="57"/>
      <c r="N491" s="56"/>
      <c r="O491" s="56"/>
      <c r="P491" s="56"/>
      <c r="Q491" s="56"/>
      <c r="R491" s="56"/>
      <c r="S491" s="56"/>
      <c r="T491" s="56"/>
      <c r="U491" s="56"/>
      <c r="V491" s="56"/>
      <c r="W491" s="56"/>
      <c r="X491" s="56"/>
      <c r="Y491" s="56"/>
      <c r="Z491" s="56"/>
      <c r="AA491" s="56"/>
      <c r="AB491" s="56"/>
      <c r="AC491" s="56"/>
      <c r="AD491" s="56"/>
      <c r="AE491" s="56"/>
      <c r="AF491" s="56"/>
      <c r="AG491" s="56"/>
      <c r="AH491" s="56"/>
      <c r="AI491" s="58"/>
      <c r="AJ491" s="56"/>
      <c r="AK491" s="56"/>
      <c r="AL491" s="56"/>
      <c r="AM491" s="57"/>
      <c r="AN491" s="57"/>
      <c r="AO491" s="56"/>
      <c r="AP491" s="56"/>
      <c r="AQ491" s="57"/>
      <c r="AR491" s="57"/>
      <c r="AS491" s="57"/>
      <c r="AT491" s="67">
        <f t="shared" ca="1" si="46"/>
        <v>0</v>
      </c>
      <c r="AU491" s="79" t="str">
        <f t="shared" ca="1" si="47"/>
        <v/>
      </c>
      <c r="AV491" s="79" t="str" cm="1">
        <f t="array" aca="1" ref="AV491" ca="1">IFERROR(_xlfn.IFS($AU491="","",$AU491&lt;=15,"0-15",AND($AU491&gt;=16,$AU491&lt;=30),"16-30",AND($AU491&gt;=31,$AU491&lt;=45),"31-45",AND($AU491&gt;=46,$AU491&lt;=60),"46-60",AND($AU491&gt;=61,$AU491&lt;=90),"61-90",AND($AU491&gt;=91),"&gt; 90",AND($AU491&gt;=2000),""),"")</f>
        <v/>
      </c>
      <c r="AW491" s="79" t="str" cm="1">
        <f t="array" aca="1" ref="AW491" ca="1">IFERROR(_xlfn.IFS(OR($M491="",$AM491=""),"",OR($C491="Offered",$C491="Joined"),($AM491-$M491)-$AT491),"")</f>
        <v/>
      </c>
      <c r="AX491" s="79" t="str" cm="1">
        <f t="array" aca="1" ref="AX491" ca="1">IFERROR(_xlfn.IFS(OR($M491="",$AS491=""),"",$C491="Joined",($AS491-$M491)-$AT491),"")</f>
        <v/>
      </c>
      <c r="AY491" s="67" t="str">
        <f>IFERROR(IF(COUNTIFS('Candidate Tracker'!$E:$E,'Positions Tracker'!$B491,'Candidate Tracker'!$C:$C,"Offer Drop")=0,"",COUNTIFS('Candidate Tracker'!$E:$E,'Positions Tracker'!$B491,'Candidate Tracker'!$C:$C,"Offer Drop")),"")</f>
        <v/>
      </c>
      <c r="AZ491" s="80">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0.88111888111888115</v>
      </c>
      <c r="BA491" s="81" t="str">
        <f>IFERROR(IF(COUNTIFS('Candidate Tracker'!$E:$E,'Positions Tracker'!$B491,'Candidate Tracker'!$I:$I,"Female")=0,"",COUNTIFS('Candidate Tracker'!$E:$E,'Positions Tracker'!$B491,'Candidate Tracker'!$I:$I,"Female")),"")</f>
        <v/>
      </c>
      <c r="BB491" s="81" t="str">
        <f>IFERROR(IF(COUNTIFS('Candidate Tracker'!$E:$E,'Positions Tracker'!$B491,'Candidate Tracker'!$I:$I,"male")=0,"",COUNTIFS('Candidate Tracker'!$E:$E,'Positions Tracker'!$B491,'Candidate Tracker'!$I:$I,"male")),"")</f>
        <v/>
      </c>
      <c r="BC491" s="80" t="str">
        <f>IFERROR(IF(COUNTIFS('Candidate Tracker'!$E:$E,'Positions Tracker'!$B491,'Candidate Tracker'!$C:$C,"&lt;&gt;WIP",'Candidate Tracker'!$C:$C,"&lt;&gt;Hold",'Candidate Tracker'!$C:$C,"&lt;&gt;Cancelled",'Candidate Tracker'!$C:$C,"&lt;&gt;Closed")/COUNTIFS('Candidate Tracker'!$E:$E,'Positions Tracker'!$B491)=0,"",COUNTIFS('Candidate Tracker'!$E:$E,'Positions Tracker'!$B491,'Candidate Tracker'!$C:$C,"&lt;&gt;WIP",'Candidate Tracker'!$C:$C,"&lt;&gt;Hold",'Candidate Tracker'!$C:$C,"&lt;&gt;Cancelled",'Candidate Tracker'!$C:$C,"&lt;&gt;Closed")/COUNTIFS('Candidate Tracker'!$E:$E,'Positions Tracker'!$B491)),"")</f>
        <v/>
      </c>
      <c r="BD491" s="67" t="str">
        <f t="shared" si="42"/>
        <v/>
      </c>
      <c r="BE491" s="67" t="str">
        <f t="shared" si="43"/>
        <v/>
      </c>
      <c r="BF491" s="67" t="str">
        <f t="shared" si="44"/>
        <v/>
      </c>
      <c r="BG491" s="67" t="str">
        <f t="shared" si="45"/>
        <v/>
      </c>
    </row>
    <row r="492" spans="1:59">
      <c r="A492" s="55"/>
      <c r="B492" s="56"/>
      <c r="C492" s="56"/>
      <c r="D492" s="56"/>
      <c r="E492" s="56"/>
      <c r="F492" s="56"/>
      <c r="G492" s="56"/>
      <c r="H492" s="56"/>
      <c r="I492" s="6"/>
      <c r="J492" s="6"/>
      <c r="K492" s="57"/>
      <c r="L492" s="57"/>
      <c r="M492" s="57"/>
      <c r="N492" s="56"/>
      <c r="O492" s="56"/>
      <c r="P492" s="56"/>
      <c r="Q492" s="56"/>
      <c r="R492" s="56"/>
      <c r="S492" s="56"/>
      <c r="T492" s="56"/>
      <c r="U492" s="56"/>
      <c r="V492" s="56"/>
      <c r="W492" s="56"/>
      <c r="X492" s="56"/>
      <c r="Y492" s="56"/>
      <c r="Z492" s="56"/>
      <c r="AA492" s="56"/>
      <c r="AB492" s="56"/>
      <c r="AC492" s="56"/>
      <c r="AD492" s="56"/>
      <c r="AE492" s="56"/>
      <c r="AF492" s="56"/>
      <c r="AG492" s="56"/>
      <c r="AH492" s="56"/>
      <c r="AI492" s="58"/>
      <c r="AJ492" s="56"/>
      <c r="AK492" s="56"/>
      <c r="AL492" s="56"/>
      <c r="AM492" s="57"/>
      <c r="AN492" s="57"/>
      <c r="AO492" s="56"/>
      <c r="AP492" s="56"/>
      <c r="AQ492" s="57"/>
      <c r="AR492" s="57"/>
      <c r="AS492" s="57"/>
      <c r="AT492" s="67">
        <f t="shared" ca="1" si="46"/>
        <v>0</v>
      </c>
      <c r="AU492" s="79" t="str">
        <f t="shared" ca="1" si="47"/>
        <v/>
      </c>
      <c r="AV492" s="79" t="str" cm="1">
        <f t="array" aca="1" ref="AV492" ca="1">IFERROR(_xlfn.IFS($AU492="","",$AU492&lt;=15,"0-15",AND($AU492&gt;=16,$AU492&lt;=30),"16-30",AND($AU492&gt;=31,$AU492&lt;=45),"31-45",AND($AU492&gt;=46,$AU492&lt;=60),"46-60",AND($AU492&gt;=61,$AU492&lt;=90),"61-90",AND($AU492&gt;=91),"&gt; 90",AND($AU492&gt;=2000),""),"")</f>
        <v/>
      </c>
      <c r="AW492" s="79" t="str" cm="1">
        <f t="array" aca="1" ref="AW492" ca="1">IFERROR(_xlfn.IFS(OR($M492="",$AM492=""),"",OR($C492="Offered",$C492="Joined"),($AM492-$M492)-$AT492),"")</f>
        <v/>
      </c>
      <c r="AX492" s="79" t="str" cm="1">
        <f t="array" aca="1" ref="AX492" ca="1">IFERROR(_xlfn.IFS(OR($M492="",$AS492=""),"",$C492="Joined",($AS492-$M492)-$AT492),"")</f>
        <v/>
      </c>
      <c r="AY492" s="67" t="str">
        <f>IFERROR(IF(COUNTIFS('Candidate Tracker'!$E:$E,'Positions Tracker'!$B492,'Candidate Tracker'!$C:$C,"Offer Drop")=0,"",COUNTIFS('Candidate Tracker'!$E:$E,'Positions Tracker'!$B492,'Candidate Tracker'!$C:$C,"Offer Drop")),"")</f>
        <v/>
      </c>
      <c r="AZ492" s="80">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0.88111888111888115</v>
      </c>
      <c r="BA492" s="81" t="str">
        <f>IFERROR(IF(COUNTIFS('Candidate Tracker'!$E:$E,'Positions Tracker'!$B492,'Candidate Tracker'!$I:$I,"Female")=0,"",COUNTIFS('Candidate Tracker'!$E:$E,'Positions Tracker'!$B492,'Candidate Tracker'!$I:$I,"Female")),"")</f>
        <v/>
      </c>
      <c r="BB492" s="81" t="str">
        <f>IFERROR(IF(COUNTIFS('Candidate Tracker'!$E:$E,'Positions Tracker'!$B492,'Candidate Tracker'!$I:$I,"male")=0,"",COUNTIFS('Candidate Tracker'!$E:$E,'Positions Tracker'!$B492,'Candidate Tracker'!$I:$I,"male")),"")</f>
        <v/>
      </c>
      <c r="BC492" s="80" t="str">
        <f>IFERROR(IF(COUNTIFS('Candidate Tracker'!$E:$E,'Positions Tracker'!$B492,'Candidate Tracker'!$C:$C,"&lt;&gt;WIP",'Candidate Tracker'!$C:$C,"&lt;&gt;Hold",'Candidate Tracker'!$C:$C,"&lt;&gt;Cancelled",'Candidate Tracker'!$C:$C,"&lt;&gt;Closed")/COUNTIFS('Candidate Tracker'!$E:$E,'Positions Tracker'!$B492)=0,"",COUNTIFS('Candidate Tracker'!$E:$E,'Positions Tracker'!$B492,'Candidate Tracker'!$C:$C,"&lt;&gt;WIP",'Candidate Tracker'!$C:$C,"&lt;&gt;Hold",'Candidate Tracker'!$C:$C,"&lt;&gt;Cancelled",'Candidate Tracker'!$C:$C,"&lt;&gt;Closed")/COUNTIFS('Candidate Tracker'!$E:$E,'Positions Tracker'!$B492)),"")</f>
        <v/>
      </c>
      <c r="BD492" s="67" t="str">
        <f t="shared" si="42"/>
        <v/>
      </c>
      <c r="BE492" s="67" t="str">
        <f t="shared" si="43"/>
        <v/>
      </c>
      <c r="BF492" s="67" t="str">
        <f t="shared" si="44"/>
        <v/>
      </c>
      <c r="BG492" s="67" t="str">
        <f t="shared" si="45"/>
        <v/>
      </c>
    </row>
    <row r="493" spans="1:59">
      <c r="A493" s="55"/>
      <c r="B493" s="56"/>
      <c r="C493" s="56"/>
      <c r="D493" s="56"/>
      <c r="E493" s="56"/>
      <c r="F493" s="56"/>
      <c r="G493" s="56"/>
      <c r="H493" s="56"/>
      <c r="I493" s="6"/>
      <c r="J493" s="6"/>
      <c r="K493" s="57"/>
      <c r="L493" s="57"/>
      <c r="M493" s="57"/>
      <c r="N493" s="56"/>
      <c r="O493" s="56"/>
      <c r="P493" s="56"/>
      <c r="Q493" s="56"/>
      <c r="R493" s="56"/>
      <c r="S493" s="56"/>
      <c r="T493" s="56"/>
      <c r="U493" s="56"/>
      <c r="V493" s="56"/>
      <c r="W493" s="56"/>
      <c r="X493" s="56"/>
      <c r="Y493" s="56"/>
      <c r="Z493" s="56"/>
      <c r="AA493" s="56"/>
      <c r="AB493" s="56"/>
      <c r="AC493" s="56"/>
      <c r="AD493" s="56"/>
      <c r="AE493" s="56"/>
      <c r="AF493" s="56"/>
      <c r="AG493" s="56"/>
      <c r="AH493" s="56"/>
      <c r="AI493" s="58"/>
      <c r="AJ493" s="56"/>
      <c r="AK493" s="56"/>
      <c r="AL493" s="56"/>
      <c r="AM493" s="57"/>
      <c r="AN493" s="57"/>
      <c r="AO493" s="56"/>
      <c r="AP493" s="56"/>
      <c r="AQ493" s="57"/>
      <c r="AR493" s="57"/>
      <c r="AS493" s="57"/>
      <c r="AT493" s="67">
        <f t="shared" ca="1" si="46"/>
        <v>0</v>
      </c>
      <c r="AU493" s="79" t="str">
        <f t="shared" ca="1" si="47"/>
        <v/>
      </c>
      <c r="AV493" s="79" t="str" cm="1">
        <f t="array" aca="1" ref="AV493" ca="1">IFERROR(_xlfn.IFS($AU493="","",$AU493&lt;=15,"0-15",AND($AU493&gt;=16,$AU493&lt;=30),"16-30",AND($AU493&gt;=31,$AU493&lt;=45),"31-45",AND($AU493&gt;=46,$AU493&lt;=60),"46-60",AND($AU493&gt;=61,$AU493&lt;=90),"61-90",AND($AU493&gt;=91),"&gt; 90",AND($AU493&gt;=2000),""),"")</f>
        <v/>
      </c>
      <c r="AW493" s="79" t="str" cm="1">
        <f t="array" aca="1" ref="AW493" ca="1">IFERROR(_xlfn.IFS(OR($M493="",$AM493=""),"",OR($C493="Offered",$C493="Joined"),($AM493-$M493)-$AT493),"")</f>
        <v/>
      </c>
      <c r="AX493" s="79" t="str" cm="1">
        <f t="array" aca="1" ref="AX493" ca="1">IFERROR(_xlfn.IFS(OR($M493="",$AS493=""),"",$C493="Joined",($AS493-$M493)-$AT493),"")</f>
        <v/>
      </c>
      <c r="AY493" s="67" t="str">
        <f>IFERROR(IF(COUNTIFS('Candidate Tracker'!$E:$E,'Positions Tracker'!$B493,'Candidate Tracker'!$C:$C,"Offer Drop")=0,"",COUNTIFS('Candidate Tracker'!$E:$E,'Positions Tracker'!$B493,'Candidate Tracker'!$C:$C,"Offer Drop")),"")</f>
        <v/>
      </c>
      <c r="AZ493" s="80">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0.88111888111888115</v>
      </c>
      <c r="BA493" s="81" t="str">
        <f>IFERROR(IF(COUNTIFS('Candidate Tracker'!$E:$E,'Positions Tracker'!$B493,'Candidate Tracker'!$I:$I,"Female")=0,"",COUNTIFS('Candidate Tracker'!$E:$E,'Positions Tracker'!$B493,'Candidate Tracker'!$I:$I,"Female")),"")</f>
        <v/>
      </c>
      <c r="BB493" s="81" t="str">
        <f>IFERROR(IF(COUNTIFS('Candidate Tracker'!$E:$E,'Positions Tracker'!$B493,'Candidate Tracker'!$I:$I,"male")=0,"",COUNTIFS('Candidate Tracker'!$E:$E,'Positions Tracker'!$B493,'Candidate Tracker'!$I:$I,"male")),"")</f>
        <v/>
      </c>
      <c r="BC493" s="80" t="str">
        <f>IFERROR(IF(COUNTIFS('Candidate Tracker'!$E:$E,'Positions Tracker'!$B493,'Candidate Tracker'!$C:$C,"&lt;&gt;WIP",'Candidate Tracker'!$C:$C,"&lt;&gt;Hold",'Candidate Tracker'!$C:$C,"&lt;&gt;Cancelled",'Candidate Tracker'!$C:$C,"&lt;&gt;Closed")/COUNTIFS('Candidate Tracker'!$E:$E,'Positions Tracker'!$B493)=0,"",COUNTIFS('Candidate Tracker'!$E:$E,'Positions Tracker'!$B493,'Candidate Tracker'!$C:$C,"&lt;&gt;WIP",'Candidate Tracker'!$C:$C,"&lt;&gt;Hold",'Candidate Tracker'!$C:$C,"&lt;&gt;Cancelled",'Candidate Tracker'!$C:$C,"&lt;&gt;Closed")/COUNTIFS('Candidate Tracker'!$E:$E,'Positions Tracker'!$B493)),"")</f>
        <v/>
      </c>
      <c r="BD493" s="67" t="str">
        <f t="shared" si="42"/>
        <v/>
      </c>
      <c r="BE493" s="67" t="str">
        <f t="shared" si="43"/>
        <v/>
      </c>
      <c r="BF493" s="67" t="str">
        <f t="shared" si="44"/>
        <v/>
      </c>
      <c r="BG493" s="67" t="str">
        <f t="shared" si="45"/>
        <v/>
      </c>
    </row>
    <row r="494" spans="1:59">
      <c r="A494" s="55"/>
      <c r="B494" s="56"/>
      <c r="C494" s="56"/>
      <c r="D494" s="56"/>
      <c r="E494" s="56"/>
      <c r="F494" s="56"/>
      <c r="G494" s="56"/>
      <c r="H494" s="56"/>
      <c r="I494" s="6"/>
      <c r="J494" s="6"/>
      <c r="K494" s="57"/>
      <c r="L494" s="57"/>
      <c r="M494" s="57"/>
      <c r="N494" s="56"/>
      <c r="O494" s="56"/>
      <c r="P494" s="56"/>
      <c r="Q494" s="56"/>
      <c r="R494" s="56"/>
      <c r="S494" s="56"/>
      <c r="T494" s="56"/>
      <c r="U494" s="56"/>
      <c r="V494" s="56"/>
      <c r="W494" s="56"/>
      <c r="X494" s="56"/>
      <c r="Y494" s="56"/>
      <c r="Z494" s="56"/>
      <c r="AA494" s="56"/>
      <c r="AB494" s="56"/>
      <c r="AC494" s="56"/>
      <c r="AD494" s="56"/>
      <c r="AE494" s="56"/>
      <c r="AF494" s="56"/>
      <c r="AG494" s="56"/>
      <c r="AH494" s="56"/>
      <c r="AI494" s="58"/>
      <c r="AJ494" s="56"/>
      <c r="AK494" s="56"/>
      <c r="AL494" s="56"/>
      <c r="AM494" s="57"/>
      <c r="AN494" s="57"/>
      <c r="AO494" s="56"/>
      <c r="AP494" s="56"/>
      <c r="AQ494" s="57"/>
      <c r="AR494" s="57"/>
      <c r="AS494" s="57"/>
      <c r="AT494" s="67">
        <f t="shared" ca="1" si="46"/>
        <v>0</v>
      </c>
      <c r="AU494" s="79" t="str">
        <f t="shared" ca="1" si="47"/>
        <v/>
      </c>
      <c r="AV494" s="79" t="str" cm="1">
        <f t="array" aca="1" ref="AV494" ca="1">IFERROR(_xlfn.IFS($AU494="","",$AU494&lt;=15,"0-15",AND($AU494&gt;=16,$AU494&lt;=30),"16-30",AND($AU494&gt;=31,$AU494&lt;=45),"31-45",AND($AU494&gt;=46,$AU494&lt;=60),"46-60",AND($AU494&gt;=61,$AU494&lt;=90),"61-90",AND($AU494&gt;=91),"&gt; 90",AND($AU494&gt;=2000),""),"")</f>
        <v/>
      </c>
      <c r="AW494" s="79" t="str" cm="1">
        <f t="array" aca="1" ref="AW494" ca="1">IFERROR(_xlfn.IFS(OR($M494="",$AM494=""),"",OR($C494="Offered",$C494="Joined"),($AM494-$M494)-$AT494),"")</f>
        <v/>
      </c>
      <c r="AX494" s="79" t="str" cm="1">
        <f t="array" aca="1" ref="AX494" ca="1">IFERROR(_xlfn.IFS(OR($M494="",$AS494=""),"",$C494="Joined",($AS494-$M494)-$AT494),"")</f>
        <v/>
      </c>
      <c r="AY494" s="67" t="str">
        <f>IFERROR(IF(COUNTIFS('Candidate Tracker'!$E:$E,'Positions Tracker'!$B494,'Candidate Tracker'!$C:$C,"Offer Drop")=0,"",COUNTIFS('Candidate Tracker'!$E:$E,'Positions Tracker'!$B494,'Candidate Tracker'!$C:$C,"Offer Drop")),"")</f>
        <v/>
      </c>
      <c r="AZ494" s="80">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0.88111888111888115</v>
      </c>
      <c r="BA494" s="81" t="str">
        <f>IFERROR(IF(COUNTIFS('Candidate Tracker'!$E:$E,'Positions Tracker'!$B494,'Candidate Tracker'!$I:$I,"Female")=0,"",COUNTIFS('Candidate Tracker'!$E:$E,'Positions Tracker'!$B494,'Candidate Tracker'!$I:$I,"Female")),"")</f>
        <v/>
      </c>
      <c r="BB494" s="81" t="str">
        <f>IFERROR(IF(COUNTIFS('Candidate Tracker'!$E:$E,'Positions Tracker'!$B494,'Candidate Tracker'!$I:$I,"male")=0,"",COUNTIFS('Candidate Tracker'!$E:$E,'Positions Tracker'!$B494,'Candidate Tracker'!$I:$I,"male")),"")</f>
        <v/>
      </c>
      <c r="BC494" s="80" t="str">
        <f>IFERROR(IF(COUNTIFS('Candidate Tracker'!$E:$E,'Positions Tracker'!$B494,'Candidate Tracker'!$C:$C,"&lt;&gt;WIP",'Candidate Tracker'!$C:$C,"&lt;&gt;Hold",'Candidate Tracker'!$C:$C,"&lt;&gt;Cancelled",'Candidate Tracker'!$C:$C,"&lt;&gt;Closed")/COUNTIFS('Candidate Tracker'!$E:$E,'Positions Tracker'!$B494)=0,"",COUNTIFS('Candidate Tracker'!$E:$E,'Positions Tracker'!$B494,'Candidate Tracker'!$C:$C,"&lt;&gt;WIP",'Candidate Tracker'!$C:$C,"&lt;&gt;Hold",'Candidate Tracker'!$C:$C,"&lt;&gt;Cancelled",'Candidate Tracker'!$C:$C,"&lt;&gt;Closed")/COUNTIFS('Candidate Tracker'!$E:$E,'Positions Tracker'!$B494)),"")</f>
        <v/>
      </c>
      <c r="BD494" s="67" t="str">
        <f t="shared" si="42"/>
        <v/>
      </c>
      <c r="BE494" s="67" t="str">
        <f t="shared" si="43"/>
        <v/>
      </c>
      <c r="BF494" s="67" t="str">
        <f t="shared" si="44"/>
        <v/>
      </c>
      <c r="BG494" s="67" t="str">
        <f t="shared" si="45"/>
        <v/>
      </c>
    </row>
    <row r="495" spans="1:59">
      <c r="A495" s="55"/>
      <c r="B495" s="56"/>
      <c r="C495" s="56"/>
      <c r="D495" s="56"/>
      <c r="E495" s="56"/>
      <c r="F495" s="56"/>
      <c r="G495" s="56"/>
      <c r="H495" s="56"/>
      <c r="I495" s="6"/>
      <c r="J495" s="6"/>
      <c r="K495" s="57"/>
      <c r="L495" s="57"/>
      <c r="M495" s="57"/>
      <c r="N495" s="56"/>
      <c r="O495" s="56"/>
      <c r="P495" s="56"/>
      <c r="Q495" s="56"/>
      <c r="R495" s="56"/>
      <c r="S495" s="56"/>
      <c r="T495" s="56"/>
      <c r="U495" s="56"/>
      <c r="V495" s="56"/>
      <c r="W495" s="56"/>
      <c r="X495" s="56"/>
      <c r="Y495" s="56"/>
      <c r="Z495" s="56"/>
      <c r="AA495" s="56"/>
      <c r="AB495" s="56"/>
      <c r="AC495" s="56"/>
      <c r="AD495" s="56"/>
      <c r="AE495" s="56"/>
      <c r="AF495" s="56"/>
      <c r="AG495" s="56"/>
      <c r="AH495" s="56"/>
      <c r="AI495" s="58"/>
      <c r="AJ495" s="56"/>
      <c r="AK495" s="56"/>
      <c r="AL495" s="56"/>
      <c r="AM495" s="57"/>
      <c r="AN495" s="57"/>
      <c r="AO495" s="56"/>
      <c r="AP495" s="56"/>
      <c r="AQ495" s="57"/>
      <c r="AR495" s="57"/>
      <c r="AS495" s="57"/>
      <c r="AT495" s="67">
        <f t="shared" ca="1" si="46"/>
        <v>0</v>
      </c>
      <c r="AU495" s="79" t="str">
        <f t="shared" ca="1" si="47"/>
        <v/>
      </c>
      <c r="AV495" s="79" t="str" cm="1">
        <f t="array" aca="1" ref="AV495" ca="1">IFERROR(_xlfn.IFS($AU495="","",$AU495&lt;=15,"0-15",AND($AU495&gt;=16,$AU495&lt;=30),"16-30",AND($AU495&gt;=31,$AU495&lt;=45),"31-45",AND($AU495&gt;=46,$AU495&lt;=60),"46-60",AND($AU495&gt;=61,$AU495&lt;=90),"61-90",AND($AU495&gt;=91),"&gt; 90",AND($AU495&gt;=2000),""),"")</f>
        <v/>
      </c>
      <c r="AW495" s="79" t="str" cm="1">
        <f t="array" aca="1" ref="AW495" ca="1">IFERROR(_xlfn.IFS(OR($M495="",$AM495=""),"",OR($C495="Offered",$C495="Joined"),($AM495-$M495)-$AT495),"")</f>
        <v/>
      </c>
      <c r="AX495" s="79" t="str" cm="1">
        <f t="array" aca="1" ref="AX495" ca="1">IFERROR(_xlfn.IFS(OR($M495="",$AS495=""),"",$C495="Joined",($AS495-$M495)-$AT495),"")</f>
        <v/>
      </c>
      <c r="AY495" s="67" t="str">
        <f>IFERROR(IF(COUNTIFS('Candidate Tracker'!$E:$E,'Positions Tracker'!$B495,'Candidate Tracker'!$C:$C,"Offer Drop")=0,"",COUNTIFS('Candidate Tracker'!$E:$E,'Positions Tracker'!$B495,'Candidate Tracker'!$C:$C,"Offer Drop")),"")</f>
        <v/>
      </c>
      <c r="AZ495" s="80">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0.88111888111888115</v>
      </c>
      <c r="BA495" s="81" t="str">
        <f>IFERROR(IF(COUNTIFS('Candidate Tracker'!$E:$E,'Positions Tracker'!$B495,'Candidate Tracker'!$I:$I,"Female")=0,"",COUNTIFS('Candidate Tracker'!$E:$E,'Positions Tracker'!$B495,'Candidate Tracker'!$I:$I,"Female")),"")</f>
        <v/>
      </c>
      <c r="BB495" s="81" t="str">
        <f>IFERROR(IF(COUNTIFS('Candidate Tracker'!$E:$E,'Positions Tracker'!$B495,'Candidate Tracker'!$I:$I,"male")=0,"",COUNTIFS('Candidate Tracker'!$E:$E,'Positions Tracker'!$B495,'Candidate Tracker'!$I:$I,"male")),"")</f>
        <v/>
      </c>
      <c r="BC495" s="80" t="str">
        <f>IFERROR(IF(COUNTIFS('Candidate Tracker'!$E:$E,'Positions Tracker'!$B495,'Candidate Tracker'!$C:$C,"&lt;&gt;WIP",'Candidate Tracker'!$C:$C,"&lt;&gt;Hold",'Candidate Tracker'!$C:$C,"&lt;&gt;Cancelled",'Candidate Tracker'!$C:$C,"&lt;&gt;Closed")/COUNTIFS('Candidate Tracker'!$E:$E,'Positions Tracker'!$B495)=0,"",COUNTIFS('Candidate Tracker'!$E:$E,'Positions Tracker'!$B495,'Candidate Tracker'!$C:$C,"&lt;&gt;WIP",'Candidate Tracker'!$C:$C,"&lt;&gt;Hold",'Candidate Tracker'!$C:$C,"&lt;&gt;Cancelled",'Candidate Tracker'!$C:$C,"&lt;&gt;Closed")/COUNTIFS('Candidate Tracker'!$E:$E,'Positions Tracker'!$B495)),"")</f>
        <v/>
      </c>
      <c r="BD495" s="67" t="str">
        <f t="shared" si="42"/>
        <v/>
      </c>
      <c r="BE495" s="67" t="str">
        <f t="shared" si="43"/>
        <v/>
      </c>
      <c r="BF495" s="67" t="str">
        <f t="shared" si="44"/>
        <v/>
      </c>
      <c r="BG495" s="67" t="str">
        <f t="shared" si="45"/>
        <v/>
      </c>
    </row>
    <row r="496" spans="1:59">
      <c r="A496" s="55"/>
      <c r="B496" s="56"/>
      <c r="C496" s="56"/>
      <c r="D496" s="56"/>
      <c r="E496" s="56"/>
      <c r="F496" s="56"/>
      <c r="G496" s="56"/>
      <c r="H496" s="56"/>
      <c r="I496" s="6"/>
      <c r="J496" s="6"/>
      <c r="K496" s="57"/>
      <c r="L496" s="57"/>
      <c r="M496" s="57"/>
      <c r="N496" s="56"/>
      <c r="O496" s="56"/>
      <c r="P496" s="56"/>
      <c r="Q496" s="56"/>
      <c r="R496" s="56"/>
      <c r="S496" s="56"/>
      <c r="T496" s="56"/>
      <c r="U496" s="56"/>
      <c r="V496" s="56"/>
      <c r="W496" s="56"/>
      <c r="X496" s="56"/>
      <c r="Y496" s="56"/>
      <c r="Z496" s="56"/>
      <c r="AA496" s="56"/>
      <c r="AB496" s="56"/>
      <c r="AC496" s="56"/>
      <c r="AD496" s="56"/>
      <c r="AE496" s="56"/>
      <c r="AF496" s="56"/>
      <c r="AG496" s="56"/>
      <c r="AH496" s="56"/>
      <c r="AI496" s="58"/>
      <c r="AJ496" s="56"/>
      <c r="AK496" s="56"/>
      <c r="AL496" s="56"/>
      <c r="AM496" s="57"/>
      <c r="AN496" s="57"/>
      <c r="AO496" s="56"/>
      <c r="AP496" s="56"/>
      <c r="AQ496" s="57"/>
      <c r="AR496" s="57"/>
      <c r="AS496" s="57"/>
      <c r="AT496" s="67">
        <f t="shared" ca="1" si="46"/>
        <v>0</v>
      </c>
      <c r="AU496" s="79" t="str">
        <f t="shared" ca="1" si="47"/>
        <v/>
      </c>
      <c r="AV496" s="79" t="str" cm="1">
        <f t="array" aca="1" ref="AV496" ca="1">IFERROR(_xlfn.IFS($AU496="","",$AU496&lt;=15,"0-15",AND($AU496&gt;=16,$AU496&lt;=30),"16-30",AND($AU496&gt;=31,$AU496&lt;=45),"31-45",AND($AU496&gt;=46,$AU496&lt;=60),"46-60",AND($AU496&gt;=61,$AU496&lt;=90),"61-90",AND($AU496&gt;=91),"&gt; 90",AND($AU496&gt;=2000),""),"")</f>
        <v/>
      </c>
      <c r="AW496" s="79" t="str" cm="1">
        <f t="array" aca="1" ref="AW496" ca="1">IFERROR(_xlfn.IFS(OR($M496="",$AM496=""),"",OR($C496="Offered",$C496="Joined"),($AM496-$M496)-$AT496),"")</f>
        <v/>
      </c>
      <c r="AX496" s="79" t="str" cm="1">
        <f t="array" aca="1" ref="AX496" ca="1">IFERROR(_xlfn.IFS(OR($M496="",$AS496=""),"",$C496="Joined",($AS496-$M496)-$AT496),"")</f>
        <v/>
      </c>
      <c r="AY496" s="67" t="str">
        <f>IFERROR(IF(COUNTIFS('Candidate Tracker'!$E:$E,'Positions Tracker'!$B496,'Candidate Tracker'!$C:$C,"Offer Drop")=0,"",COUNTIFS('Candidate Tracker'!$E:$E,'Positions Tracker'!$B496,'Candidate Tracker'!$C:$C,"Offer Drop")),"")</f>
        <v/>
      </c>
      <c r="AZ496" s="80">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0.88111888111888115</v>
      </c>
      <c r="BA496" s="81" t="str">
        <f>IFERROR(IF(COUNTIFS('Candidate Tracker'!$E:$E,'Positions Tracker'!$B496,'Candidate Tracker'!$I:$I,"Female")=0,"",COUNTIFS('Candidate Tracker'!$E:$E,'Positions Tracker'!$B496,'Candidate Tracker'!$I:$I,"Female")),"")</f>
        <v/>
      </c>
      <c r="BB496" s="81" t="str">
        <f>IFERROR(IF(COUNTIFS('Candidate Tracker'!$E:$E,'Positions Tracker'!$B496,'Candidate Tracker'!$I:$I,"male")=0,"",COUNTIFS('Candidate Tracker'!$E:$E,'Positions Tracker'!$B496,'Candidate Tracker'!$I:$I,"male")),"")</f>
        <v/>
      </c>
      <c r="BC496" s="80" t="str">
        <f>IFERROR(IF(COUNTIFS('Candidate Tracker'!$E:$E,'Positions Tracker'!$B496,'Candidate Tracker'!$C:$C,"&lt;&gt;WIP",'Candidate Tracker'!$C:$C,"&lt;&gt;Hold",'Candidate Tracker'!$C:$C,"&lt;&gt;Cancelled",'Candidate Tracker'!$C:$C,"&lt;&gt;Closed")/COUNTIFS('Candidate Tracker'!$E:$E,'Positions Tracker'!$B496)=0,"",COUNTIFS('Candidate Tracker'!$E:$E,'Positions Tracker'!$B496,'Candidate Tracker'!$C:$C,"&lt;&gt;WIP",'Candidate Tracker'!$C:$C,"&lt;&gt;Hold",'Candidate Tracker'!$C:$C,"&lt;&gt;Cancelled",'Candidate Tracker'!$C:$C,"&lt;&gt;Closed")/COUNTIFS('Candidate Tracker'!$E:$E,'Positions Tracker'!$B496)),"")</f>
        <v/>
      </c>
      <c r="BD496" s="67" t="str">
        <f t="shared" si="42"/>
        <v/>
      </c>
      <c r="BE496" s="67" t="str">
        <f t="shared" si="43"/>
        <v/>
      </c>
      <c r="BF496" s="67" t="str">
        <f t="shared" si="44"/>
        <v/>
      </c>
      <c r="BG496" s="67" t="str">
        <f t="shared" si="45"/>
        <v/>
      </c>
    </row>
    <row r="497" spans="1:59">
      <c r="A497" s="55"/>
      <c r="B497" s="56"/>
      <c r="C497" s="56"/>
      <c r="D497" s="56"/>
      <c r="E497" s="56"/>
      <c r="F497" s="56"/>
      <c r="G497" s="56"/>
      <c r="H497" s="56"/>
      <c r="I497" s="6"/>
      <c r="J497" s="6"/>
      <c r="K497" s="57"/>
      <c r="L497" s="57"/>
      <c r="M497" s="57"/>
      <c r="N497" s="56"/>
      <c r="O497" s="56"/>
      <c r="P497" s="56"/>
      <c r="Q497" s="56"/>
      <c r="R497" s="56"/>
      <c r="S497" s="56"/>
      <c r="T497" s="56"/>
      <c r="U497" s="56"/>
      <c r="V497" s="56"/>
      <c r="W497" s="56"/>
      <c r="X497" s="56"/>
      <c r="Y497" s="56"/>
      <c r="Z497" s="56"/>
      <c r="AA497" s="56"/>
      <c r="AB497" s="56"/>
      <c r="AC497" s="56"/>
      <c r="AD497" s="56"/>
      <c r="AE497" s="56"/>
      <c r="AF497" s="56"/>
      <c r="AG497" s="56"/>
      <c r="AH497" s="56"/>
      <c r="AI497" s="58"/>
      <c r="AJ497" s="56"/>
      <c r="AK497" s="56"/>
      <c r="AL497" s="56"/>
      <c r="AM497" s="57"/>
      <c r="AN497" s="57"/>
      <c r="AO497" s="56"/>
      <c r="AP497" s="56"/>
      <c r="AQ497" s="57"/>
      <c r="AR497" s="57"/>
      <c r="AS497" s="57"/>
      <c r="AT497" s="67">
        <f t="shared" ca="1" si="46"/>
        <v>0</v>
      </c>
      <c r="AU497" s="79" t="str">
        <f t="shared" ca="1" si="47"/>
        <v/>
      </c>
      <c r="AV497" s="79" t="str" cm="1">
        <f t="array" aca="1" ref="AV497" ca="1">IFERROR(_xlfn.IFS($AU497="","",$AU497&lt;=15,"0-15",AND($AU497&gt;=16,$AU497&lt;=30),"16-30",AND($AU497&gt;=31,$AU497&lt;=45),"31-45",AND($AU497&gt;=46,$AU497&lt;=60),"46-60",AND($AU497&gt;=61,$AU497&lt;=90),"61-90",AND($AU497&gt;=91),"&gt; 90",AND($AU497&gt;=2000),""),"")</f>
        <v/>
      </c>
      <c r="AW497" s="79" t="str" cm="1">
        <f t="array" aca="1" ref="AW497" ca="1">IFERROR(_xlfn.IFS(OR($M497="",$AM497=""),"",OR($C497="Offered",$C497="Joined"),($AM497-$M497)-$AT497),"")</f>
        <v/>
      </c>
      <c r="AX497" s="79" t="str" cm="1">
        <f t="array" aca="1" ref="AX497" ca="1">IFERROR(_xlfn.IFS(OR($M497="",$AS497=""),"",$C497="Joined",($AS497-$M497)-$AT497),"")</f>
        <v/>
      </c>
      <c r="AY497" s="67" t="str">
        <f>IFERROR(IF(COUNTIFS('Candidate Tracker'!$E:$E,'Positions Tracker'!$B497,'Candidate Tracker'!$C:$C,"Offer Drop")=0,"",COUNTIFS('Candidate Tracker'!$E:$E,'Positions Tracker'!$B497,'Candidate Tracker'!$C:$C,"Offer Drop")),"")</f>
        <v/>
      </c>
      <c r="AZ497" s="80">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0.88111888111888115</v>
      </c>
      <c r="BA497" s="81" t="str">
        <f>IFERROR(IF(COUNTIFS('Candidate Tracker'!$E:$E,'Positions Tracker'!$B497,'Candidate Tracker'!$I:$I,"Female")=0,"",COUNTIFS('Candidate Tracker'!$E:$E,'Positions Tracker'!$B497,'Candidate Tracker'!$I:$I,"Female")),"")</f>
        <v/>
      </c>
      <c r="BB497" s="81" t="str">
        <f>IFERROR(IF(COUNTIFS('Candidate Tracker'!$E:$E,'Positions Tracker'!$B497,'Candidate Tracker'!$I:$I,"male")=0,"",COUNTIFS('Candidate Tracker'!$E:$E,'Positions Tracker'!$B497,'Candidate Tracker'!$I:$I,"male")),"")</f>
        <v/>
      </c>
      <c r="BC497" s="80" t="str">
        <f>IFERROR(IF(COUNTIFS('Candidate Tracker'!$E:$E,'Positions Tracker'!$B497,'Candidate Tracker'!$C:$C,"&lt;&gt;WIP",'Candidate Tracker'!$C:$C,"&lt;&gt;Hold",'Candidate Tracker'!$C:$C,"&lt;&gt;Cancelled",'Candidate Tracker'!$C:$C,"&lt;&gt;Closed")/COUNTIFS('Candidate Tracker'!$E:$E,'Positions Tracker'!$B497)=0,"",COUNTIFS('Candidate Tracker'!$E:$E,'Positions Tracker'!$B497,'Candidate Tracker'!$C:$C,"&lt;&gt;WIP",'Candidate Tracker'!$C:$C,"&lt;&gt;Hold",'Candidate Tracker'!$C:$C,"&lt;&gt;Cancelled",'Candidate Tracker'!$C:$C,"&lt;&gt;Closed")/COUNTIFS('Candidate Tracker'!$E:$E,'Positions Tracker'!$B497)),"")</f>
        <v/>
      </c>
      <c r="BD497" s="67" t="str">
        <f t="shared" si="42"/>
        <v/>
      </c>
      <c r="BE497" s="67" t="str">
        <f t="shared" si="43"/>
        <v/>
      </c>
      <c r="BF497" s="67" t="str">
        <f t="shared" si="44"/>
        <v/>
      </c>
      <c r="BG497" s="67" t="str">
        <f t="shared" si="45"/>
        <v/>
      </c>
    </row>
    <row r="498" spans="1:59">
      <c r="A498" s="55"/>
      <c r="B498" s="56"/>
      <c r="C498" s="56"/>
      <c r="D498" s="56"/>
      <c r="E498" s="56"/>
      <c r="F498" s="56"/>
      <c r="G498" s="56"/>
      <c r="H498" s="56"/>
      <c r="I498" s="6"/>
      <c r="J498" s="6"/>
      <c r="K498" s="57"/>
      <c r="L498" s="57"/>
      <c r="M498" s="57"/>
      <c r="N498" s="56"/>
      <c r="O498" s="56"/>
      <c r="P498" s="56"/>
      <c r="Q498" s="56"/>
      <c r="R498" s="56"/>
      <c r="S498" s="56"/>
      <c r="T498" s="56"/>
      <c r="U498" s="56"/>
      <c r="V498" s="56"/>
      <c r="W498" s="56"/>
      <c r="X498" s="56"/>
      <c r="Y498" s="56"/>
      <c r="Z498" s="56"/>
      <c r="AA498" s="56"/>
      <c r="AB498" s="56"/>
      <c r="AC498" s="56"/>
      <c r="AD498" s="56"/>
      <c r="AE498" s="56"/>
      <c r="AF498" s="56"/>
      <c r="AG498" s="56"/>
      <c r="AH498" s="56"/>
      <c r="AI498" s="58"/>
      <c r="AJ498" s="56"/>
      <c r="AK498" s="56"/>
      <c r="AL498" s="56"/>
      <c r="AM498" s="57"/>
      <c r="AN498" s="57"/>
      <c r="AO498" s="56"/>
      <c r="AP498" s="56"/>
      <c r="AQ498" s="57"/>
      <c r="AR498" s="57"/>
      <c r="AS498" s="57"/>
      <c r="AT498" s="67">
        <f t="shared" ca="1" si="46"/>
        <v>0</v>
      </c>
      <c r="AU498" s="79" t="str">
        <f t="shared" ca="1" si="47"/>
        <v/>
      </c>
      <c r="AV498" s="79" t="str" cm="1">
        <f t="array" aca="1" ref="AV498" ca="1">IFERROR(_xlfn.IFS($AU498="","",$AU498&lt;=15,"0-15",AND($AU498&gt;=16,$AU498&lt;=30),"16-30",AND($AU498&gt;=31,$AU498&lt;=45),"31-45",AND($AU498&gt;=46,$AU498&lt;=60),"46-60",AND($AU498&gt;=61,$AU498&lt;=90),"61-90",AND($AU498&gt;=91),"&gt; 90",AND($AU498&gt;=2000),""),"")</f>
        <v/>
      </c>
      <c r="AW498" s="79" t="str" cm="1">
        <f t="array" aca="1" ref="AW498" ca="1">IFERROR(_xlfn.IFS(OR($M498="",$AM498=""),"",OR($C498="Offered",$C498="Joined"),($AM498-$M498)-$AT498),"")</f>
        <v/>
      </c>
      <c r="AX498" s="79" t="str" cm="1">
        <f t="array" aca="1" ref="AX498" ca="1">IFERROR(_xlfn.IFS(OR($M498="",$AS498=""),"",$C498="Joined",($AS498-$M498)-$AT498),"")</f>
        <v/>
      </c>
      <c r="AY498" s="67" t="str">
        <f>IFERROR(IF(COUNTIFS('Candidate Tracker'!$E:$E,'Positions Tracker'!$B498,'Candidate Tracker'!$C:$C,"Offer Drop")=0,"",COUNTIFS('Candidate Tracker'!$E:$E,'Positions Tracker'!$B498,'Candidate Tracker'!$C:$C,"Offer Drop")),"")</f>
        <v/>
      </c>
      <c r="AZ498" s="80">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0.88111888111888115</v>
      </c>
      <c r="BA498" s="81" t="str">
        <f>IFERROR(IF(COUNTIFS('Candidate Tracker'!$E:$E,'Positions Tracker'!$B498,'Candidate Tracker'!$I:$I,"Female")=0,"",COUNTIFS('Candidate Tracker'!$E:$E,'Positions Tracker'!$B498,'Candidate Tracker'!$I:$I,"Female")),"")</f>
        <v/>
      </c>
      <c r="BB498" s="81" t="str">
        <f>IFERROR(IF(COUNTIFS('Candidate Tracker'!$E:$E,'Positions Tracker'!$B498,'Candidate Tracker'!$I:$I,"male")=0,"",COUNTIFS('Candidate Tracker'!$E:$E,'Positions Tracker'!$B498,'Candidate Tracker'!$I:$I,"male")),"")</f>
        <v/>
      </c>
      <c r="BC498" s="80" t="str">
        <f>IFERROR(IF(COUNTIFS('Candidate Tracker'!$E:$E,'Positions Tracker'!$B498,'Candidate Tracker'!$C:$C,"&lt;&gt;WIP",'Candidate Tracker'!$C:$C,"&lt;&gt;Hold",'Candidate Tracker'!$C:$C,"&lt;&gt;Cancelled",'Candidate Tracker'!$C:$C,"&lt;&gt;Closed")/COUNTIFS('Candidate Tracker'!$E:$E,'Positions Tracker'!$B498)=0,"",COUNTIFS('Candidate Tracker'!$E:$E,'Positions Tracker'!$B498,'Candidate Tracker'!$C:$C,"&lt;&gt;WIP",'Candidate Tracker'!$C:$C,"&lt;&gt;Hold",'Candidate Tracker'!$C:$C,"&lt;&gt;Cancelled",'Candidate Tracker'!$C:$C,"&lt;&gt;Closed")/COUNTIFS('Candidate Tracker'!$E:$E,'Positions Tracker'!$B498)),"")</f>
        <v/>
      </c>
      <c r="BD498" s="67" t="str">
        <f t="shared" si="42"/>
        <v/>
      </c>
      <c r="BE498" s="67" t="str">
        <f t="shared" si="43"/>
        <v/>
      </c>
      <c r="BF498" s="67" t="str">
        <f t="shared" si="44"/>
        <v/>
      </c>
      <c r="BG498" s="67" t="str">
        <f t="shared" si="45"/>
        <v/>
      </c>
    </row>
    <row r="499" spans="1:59">
      <c r="A499" s="55"/>
      <c r="B499" s="56"/>
      <c r="C499" s="56"/>
      <c r="D499" s="56"/>
      <c r="E499" s="56"/>
      <c r="F499" s="56"/>
      <c r="G499" s="56"/>
      <c r="H499" s="56"/>
      <c r="I499" s="6"/>
      <c r="J499" s="6"/>
      <c r="K499" s="57"/>
      <c r="L499" s="57"/>
      <c r="M499" s="57"/>
      <c r="N499" s="56"/>
      <c r="O499" s="56"/>
      <c r="P499" s="56"/>
      <c r="Q499" s="56"/>
      <c r="R499" s="56"/>
      <c r="S499" s="56"/>
      <c r="T499" s="56"/>
      <c r="U499" s="56"/>
      <c r="V499" s="56"/>
      <c r="W499" s="56"/>
      <c r="X499" s="56"/>
      <c r="Y499" s="56"/>
      <c r="Z499" s="56"/>
      <c r="AA499" s="56"/>
      <c r="AB499" s="56"/>
      <c r="AC499" s="56"/>
      <c r="AD499" s="56"/>
      <c r="AE499" s="56"/>
      <c r="AF499" s="56"/>
      <c r="AG499" s="56"/>
      <c r="AH499" s="56"/>
      <c r="AI499" s="58"/>
      <c r="AJ499" s="56"/>
      <c r="AK499" s="56"/>
      <c r="AL499" s="56"/>
      <c r="AM499" s="57"/>
      <c r="AN499" s="57"/>
      <c r="AO499" s="56"/>
      <c r="AP499" s="56"/>
      <c r="AQ499" s="57"/>
      <c r="AR499" s="57"/>
      <c r="AS499" s="57"/>
      <c r="AT499" s="67">
        <f t="shared" ca="1" si="46"/>
        <v>0</v>
      </c>
      <c r="AU499" s="79" t="str">
        <f t="shared" ca="1" si="47"/>
        <v/>
      </c>
      <c r="AV499" s="79" t="str" cm="1">
        <f t="array" aca="1" ref="AV499" ca="1">IFERROR(_xlfn.IFS($AU499="","",$AU499&lt;=15,"0-15",AND($AU499&gt;=16,$AU499&lt;=30),"16-30",AND($AU499&gt;=31,$AU499&lt;=45),"31-45",AND($AU499&gt;=46,$AU499&lt;=60),"46-60",AND($AU499&gt;=61,$AU499&lt;=90),"61-90",AND($AU499&gt;=91),"&gt; 90",AND($AU499&gt;=2000),""),"")</f>
        <v/>
      </c>
      <c r="AW499" s="79" t="str" cm="1">
        <f t="array" aca="1" ref="AW499" ca="1">IFERROR(_xlfn.IFS(OR($M499="",$AM499=""),"",OR($C499="Offered",$C499="Joined"),($AM499-$M499)-$AT499),"")</f>
        <v/>
      </c>
      <c r="AX499" s="79" t="str" cm="1">
        <f t="array" aca="1" ref="AX499" ca="1">IFERROR(_xlfn.IFS(OR($M499="",$AS499=""),"",$C499="Joined",($AS499-$M499)-$AT499),"")</f>
        <v/>
      </c>
      <c r="AY499" s="67" t="str">
        <f>IFERROR(IF(COUNTIFS('Candidate Tracker'!$E:$E,'Positions Tracker'!$B499,'Candidate Tracker'!$C:$C,"Offer Drop")=0,"",COUNTIFS('Candidate Tracker'!$E:$E,'Positions Tracker'!$B499,'Candidate Tracker'!$C:$C,"Offer Drop")),"")</f>
        <v/>
      </c>
      <c r="AZ499" s="80">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0.88111888111888115</v>
      </c>
      <c r="BA499" s="81" t="str">
        <f>IFERROR(IF(COUNTIFS('Candidate Tracker'!$E:$E,'Positions Tracker'!$B499,'Candidate Tracker'!$I:$I,"Female")=0,"",COUNTIFS('Candidate Tracker'!$E:$E,'Positions Tracker'!$B499,'Candidate Tracker'!$I:$I,"Female")),"")</f>
        <v/>
      </c>
      <c r="BB499" s="81" t="str">
        <f>IFERROR(IF(COUNTIFS('Candidate Tracker'!$E:$E,'Positions Tracker'!$B499,'Candidate Tracker'!$I:$I,"male")=0,"",COUNTIFS('Candidate Tracker'!$E:$E,'Positions Tracker'!$B499,'Candidate Tracker'!$I:$I,"male")),"")</f>
        <v/>
      </c>
      <c r="BC499" s="80" t="str">
        <f>IFERROR(IF(COUNTIFS('Candidate Tracker'!$E:$E,'Positions Tracker'!$B499,'Candidate Tracker'!$C:$C,"&lt;&gt;WIP",'Candidate Tracker'!$C:$C,"&lt;&gt;Hold",'Candidate Tracker'!$C:$C,"&lt;&gt;Cancelled",'Candidate Tracker'!$C:$C,"&lt;&gt;Closed")/COUNTIFS('Candidate Tracker'!$E:$E,'Positions Tracker'!$B499)=0,"",COUNTIFS('Candidate Tracker'!$E:$E,'Positions Tracker'!$B499,'Candidate Tracker'!$C:$C,"&lt;&gt;WIP",'Candidate Tracker'!$C:$C,"&lt;&gt;Hold",'Candidate Tracker'!$C:$C,"&lt;&gt;Cancelled",'Candidate Tracker'!$C:$C,"&lt;&gt;Closed")/COUNTIFS('Candidate Tracker'!$E:$E,'Positions Tracker'!$B499)),"")</f>
        <v/>
      </c>
      <c r="BD499" s="67" t="str">
        <f t="shared" si="42"/>
        <v/>
      </c>
      <c r="BE499" s="67" t="str">
        <f t="shared" si="43"/>
        <v/>
      </c>
      <c r="BF499" s="67" t="str">
        <f t="shared" si="44"/>
        <v/>
      </c>
      <c r="BG499" s="67" t="str">
        <f t="shared" si="45"/>
        <v/>
      </c>
    </row>
    <row r="500" spans="1:59">
      <c r="A500" s="55"/>
      <c r="B500" s="56"/>
      <c r="C500" s="56"/>
      <c r="D500" s="56"/>
      <c r="E500" s="56"/>
      <c r="F500" s="56"/>
      <c r="G500" s="56"/>
      <c r="H500" s="56"/>
      <c r="I500" s="6"/>
      <c r="J500" s="6"/>
      <c r="K500" s="57"/>
      <c r="L500" s="57"/>
      <c r="M500" s="57"/>
      <c r="N500" s="56"/>
      <c r="O500" s="56"/>
      <c r="P500" s="56"/>
      <c r="Q500" s="56"/>
      <c r="R500" s="56"/>
      <c r="S500" s="56"/>
      <c r="T500" s="56"/>
      <c r="U500" s="56"/>
      <c r="V500" s="56"/>
      <c r="W500" s="56"/>
      <c r="X500" s="56"/>
      <c r="Y500" s="56"/>
      <c r="Z500" s="56"/>
      <c r="AA500" s="56"/>
      <c r="AB500" s="56"/>
      <c r="AC500" s="56"/>
      <c r="AD500" s="56"/>
      <c r="AE500" s="56"/>
      <c r="AF500" s="56"/>
      <c r="AG500" s="56"/>
      <c r="AH500" s="56"/>
      <c r="AI500" s="58"/>
      <c r="AJ500" s="56"/>
      <c r="AK500" s="56"/>
      <c r="AL500" s="56"/>
      <c r="AM500" s="57"/>
      <c r="AN500" s="57"/>
      <c r="AO500" s="56"/>
      <c r="AP500" s="56"/>
      <c r="AQ500" s="57"/>
      <c r="AR500" s="57"/>
      <c r="AS500" s="57"/>
      <c r="AT500" s="67">
        <f t="shared" ca="1" si="46"/>
        <v>0</v>
      </c>
      <c r="AU500" s="79" t="str">
        <f t="shared" ca="1" si="47"/>
        <v/>
      </c>
      <c r="AV500" s="79" t="str" cm="1">
        <f t="array" aca="1" ref="AV500" ca="1">IFERROR(_xlfn.IFS($AU500="","",$AU500&lt;=15,"0-15",AND($AU500&gt;=16,$AU500&lt;=30),"16-30",AND($AU500&gt;=31,$AU500&lt;=45),"31-45",AND($AU500&gt;=46,$AU500&lt;=60),"46-60",AND($AU500&gt;=61,$AU500&lt;=90),"61-90",AND($AU500&gt;=91),"&gt; 90",AND($AU500&gt;=2000),""),"")</f>
        <v/>
      </c>
      <c r="AW500" s="79" t="str" cm="1">
        <f t="array" aca="1" ref="AW500" ca="1">IFERROR(_xlfn.IFS(OR($M500="",$AM500=""),"",OR($C500="Offered",$C500="Joined"),($AM500-$M500)-$AT500),"")</f>
        <v/>
      </c>
      <c r="AX500" s="79" t="str" cm="1">
        <f t="array" aca="1" ref="AX500" ca="1">IFERROR(_xlfn.IFS(OR($M500="",$AS500=""),"",$C500="Joined",($AS500-$M500)-$AT500),"")</f>
        <v/>
      </c>
      <c r="AY500" s="67" t="str">
        <f>IFERROR(IF(COUNTIFS('Candidate Tracker'!$E:$E,'Positions Tracker'!$B500,'Candidate Tracker'!$C:$C,"Offer Drop")=0,"",COUNTIFS('Candidate Tracker'!$E:$E,'Positions Tracker'!$B500,'Candidate Tracker'!$C:$C,"Offer Drop")),"")</f>
        <v/>
      </c>
      <c r="AZ500" s="80">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0.88111888111888115</v>
      </c>
      <c r="BA500" s="81" t="str">
        <f>IFERROR(IF(COUNTIFS('Candidate Tracker'!$E:$E,'Positions Tracker'!$B500,'Candidate Tracker'!$I:$I,"Female")=0,"",COUNTIFS('Candidate Tracker'!$E:$E,'Positions Tracker'!$B500,'Candidate Tracker'!$I:$I,"Female")),"")</f>
        <v/>
      </c>
      <c r="BB500" s="81" t="str">
        <f>IFERROR(IF(COUNTIFS('Candidate Tracker'!$E:$E,'Positions Tracker'!$B500,'Candidate Tracker'!$I:$I,"male")=0,"",COUNTIFS('Candidate Tracker'!$E:$E,'Positions Tracker'!$B500,'Candidate Tracker'!$I:$I,"male")),"")</f>
        <v/>
      </c>
      <c r="BC500" s="80" t="str">
        <f>IFERROR(IF(COUNTIFS('Candidate Tracker'!$E:$E,'Positions Tracker'!$B500,'Candidate Tracker'!$C:$C,"&lt;&gt;WIP",'Candidate Tracker'!$C:$C,"&lt;&gt;Hold",'Candidate Tracker'!$C:$C,"&lt;&gt;Cancelled",'Candidate Tracker'!$C:$C,"&lt;&gt;Closed")/COUNTIFS('Candidate Tracker'!$E:$E,'Positions Tracker'!$B500)=0,"",COUNTIFS('Candidate Tracker'!$E:$E,'Positions Tracker'!$B500,'Candidate Tracker'!$C:$C,"&lt;&gt;WIP",'Candidate Tracker'!$C:$C,"&lt;&gt;Hold",'Candidate Tracker'!$C:$C,"&lt;&gt;Cancelled",'Candidate Tracker'!$C:$C,"&lt;&gt;Closed")/COUNTIFS('Candidate Tracker'!$E:$E,'Positions Tracker'!$B500)),"")</f>
        <v/>
      </c>
      <c r="BD500" s="67" t="str">
        <f t="shared" si="42"/>
        <v/>
      </c>
      <c r="BE500" s="67" t="str">
        <f t="shared" si="43"/>
        <v/>
      </c>
      <c r="BF500" s="67" t="str">
        <f t="shared" si="44"/>
        <v/>
      </c>
      <c r="BG500" s="67" t="str">
        <f t="shared" si="45"/>
        <v/>
      </c>
    </row>
    <row r="501" spans="1:59">
      <c r="A501" s="55"/>
      <c r="B501" s="56"/>
      <c r="C501" s="56"/>
      <c r="D501" s="56"/>
      <c r="E501" s="56"/>
      <c r="F501" s="56"/>
      <c r="G501" s="56"/>
      <c r="H501" s="56"/>
      <c r="I501" s="6"/>
      <c r="J501" s="6"/>
      <c r="K501" s="57"/>
      <c r="L501" s="57"/>
      <c r="M501" s="57"/>
      <c r="N501" s="56"/>
      <c r="O501" s="56"/>
      <c r="P501" s="56"/>
      <c r="Q501" s="56"/>
      <c r="R501" s="56"/>
      <c r="S501" s="56"/>
      <c r="T501" s="56"/>
      <c r="U501" s="56"/>
      <c r="V501" s="56"/>
      <c r="W501" s="56"/>
      <c r="X501" s="56"/>
      <c r="Y501" s="56"/>
      <c r="Z501" s="56"/>
      <c r="AA501" s="56"/>
      <c r="AB501" s="56"/>
      <c r="AC501" s="56"/>
      <c r="AD501" s="56"/>
      <c r="AE501" s="56"/>
      <c r="AF501" s="56"/>
      <c r="AG501" s="56"/>
      <c r="AH501" s="56"/>
      <c r="AI501" s="58"/>
      <c r="AJ501" s="56"/>
      <c r="AK501" s="56"/>
      <c r="AL501" s="56"/>
      <c r="AM501" s="57"/>
      <c r="AN501" s="57"/>
      <c r="AO501" s="56"/>
      <c r="AP501" s="56"/>
      <c r="AQ501" s="57"/>
      <c r="AR501" s="57"/>
      <c r="AS501" s="57"/>
      <c r="AT501" s="67">
        <f t="shared" ca="1" si="46"/>
        <v>0</v>
      </c>
      <c r="AU501" s="79" t="str">
        <f t="shared" ca="1" si="47"/>
        <v/>
      </c>
      <c r="AV501" s="79" t="str" cm="1">
        <f t="array" aca="1" ref="AV501" ca="1">IFERROR(_xlfn.IFS($AU501="","",$AU501&lt;=15,"0-15",AND($AU501&gt;=16,$AU501&lt;=30),"16-30",AND($AU501&gt;=31,$AU501&lt;=45),"31-45",AND($AU501&gt;=46,$AU501&lt;=60),"46-60",AND($AU501&gt;=61,$AU501&lt;=90),"61-90",AND($AU501&gt;=91),"&gt; 90",AND($AU501&gt;=2000),""),"")</f>
        <v/>
      </c>
      <c r="AW501" s="79" t="str" cm="1">
        <f t="array" aca="1" ref="AW501" ca="1">IFERROR(_xlfn.IFS(OR($M501="",$AM501=""),"",OR($C501="Offered",$C501="Joined"),($AM501-$M501)-$AT501),"")</f>
        <v/>
      </c>
      <c r="AX501" s="79" t="str" cm="1">
        <f t="array" aca="1" ref="AX501" ca="1">IFERROR(_xlfn.IFS(OR($M501="",$AS501=""),"",$C501="Joined",($AS501-$M501)-$AT501),"")</f>
        <v/>
      </c>
      <c r="AY501" s="67" t="str">
        <f>IFERROR(IF(COUNTIFS('Candidate Tracker'!$E:$E,'Positions Tracker'!$B501,'Candidate Tracker'!$C:$C,"Offer Drop")=0,"",COUNTIFS('Candidate Tracker'!$E:$E,'Positions Tracker'!$B501,'Candidate Tracker'!$C:$C,"Offer Drop")),"")</f>
        <v/>
      </c>
      <c r="AZ501" s="80">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0.88111888111888115</v>
      </c>
      <c r="BA501" s="81" t="str">
        <f>IFERROR(IF(COUNTIFS('Candidate Tracker'!$E:$E,'Positions Tracker'!$B501,'Candidate Tracker'!$I:$I,"Female")=0,"",COUNTIFS('Candidate Tracker'!$E:$E,'Positions Tracker'!$B501,'Candidate Tracker'!$I:$I,"Female")),"")</f>
        <v/>
      </c>
      <c r="BB501" s="81" t="str">
        <f>IFERROR(IF(COUNTIFS('Candidate Tracker'!$E:$E,'Positions Tracker'!$B501,'Candidate Tracker'!$I:$I,"male")=0,"",COUNTIFS('Candidate Tracker'!$E:$E,'Positions Tracker'!$B501,'Candidate Tracker'!$I:$I,"male")),"")</f>
        <v/>
      </c>
      <c r="BC501" s="80" t="str">
        <f>IFERROR(IF(COUNTIFS('Candidate Tracker'!$E:$E,'Positions Tracker'!$B501,'Candidate Tracker'!$C:$C,"&lt;&gt;WIP",'Candidate Tracker'!$C:$C,"&lt;&gt;Hold",'Candidate Tracker'!$C:$C,"&lt;&gt;Cancelled",'Candidate Tracker'!$C:$C,"&lt;&gt;Closed")/COUNTIFS('Candidate Tracker'!$E:$E,'Positions Tracker'!$B501)=0,"",COUNTIFS('Candidate Tracker'!$E:$E,'Positions Tracker'!$B501,'Candidate Tracker'!$C:$C,"&lt;&gt;WIP",'Candidate Tracker'!$C:$C,"&lt;&gt;Hold",'Candidate Tracker'!$C:$C,"&lt;&gt;Cancelled",'Candidate Tracker'!$C:$C,"&lt;&gt;Closed")/COUNTIFS('Candidate Tracker'!$E:$E,'Positions Tracker'!$B501)),"")</f>
        <v/>
      </c>
      <c r="BD501" s="67" t="str">
        <f t="shared" si="42"/>
        <v/>
      </c>
      <c r="BE501" s="67" t="str">
        <f t="shared" si="43"/>
        <v/>
      </c>
      <c r="BF501" s="67" t="str">
        <f t="shared" si="44"/>
        <v/>
      </c>
      <c r="BG501" s="67" t="str">
        <f t="shared" si="45"/>
        <v/>
      </c>
    </row>
    <row r="502" spans="1:59">
      <c r="A502" s="55"/>
      <c r="B502" s="56"/>
      <c r="C502" s="56"/>
      <c r="D502" s="56"/>
      <c r="E502" s="56"/>
      <c r="F502" s="56"/>
      <c r="G502" s="56"/>
      <c r="H502" s="56"/>
      <c r="I502" s="6"/>
      <c r="J502" s="6"/>
      <c r="K502" s="57"/>
      <c r="L502" s="57"/>
      <c r="M502" s="57"/>
      <c r="N502" s="56"/>
      <c r="O502" s="56"/>
      <c r="P502" s="56"/>
      <c r="Q502" s="56"/>
      <c r="R502" s="56"/>
      <c r="S502" s="56"/>
      <c r="T502" s="56"/>
      <c r="U502" s="56"/>
      <c r="V502" s="56"/>
      <c r="W502" s="56"/>
      <c r="X502" s="56"/>
      <c r="Y502" s="56"/>
      <c r="Z502" s="56"/>
      <c r="AA502" s="56"/>
      <c r="AB502" s="56"/>
      <c r="AC502" s="56"/>
      <c r="AD502" s="56"/>
      <c r="AE502" s="56"/>
      <c r="AF502" s="56"/>
      <c r="AG502" s="56"/>
      <c r="AH502" s="56"/>
      <c r="AI502" s="58"/>
      <c r="AJ502" s="56"/>
      <c r="AK502" s="56"/>
      <c r="AL502" s="56"/>
      <c r="AM502" s="57"/>
      <c r="AN502" s="57"/>
      <c r="AO502" s="56"/>
      <c r="AP502" s="56"/>
      <c r="AQ502" s="57"/>
      <c r="AR502" s="57"/>
      <c r="AS502" s="57"/>
      <c r="AT502" s="67">
        <f t="shared" ca="1" si="46"/>
        <v>0</v>
      </c>
      <c r="AU502" s="79" t="str">
        <f t="shared" ca="1" si="47"/>
        <v/>
      </c>
      <c r="AV502" s="79" t="str" cm="1">
        <f t="array" aca="1" ref="AV502" ca="1">IFERROR(_xlfn.IFS($AU502="","",$AU502&lt;=15,"0-15",AND($AU502&gt;=16,$AU502&lt;=30),"16-30",AND($AU502&gt;=31,$AU502&lt;=45),"31-45",AND($AU502&gt;=46,$AU502&lt;=60),"46-60",AND($AU502&gt;=61,$AU502&lt;=90),"61-90",AND($AU502&gt;=91),"&gt; 90",AND($AU502&gt;=2000),""),"")</f>
        <v/>
      </c>
      <c r="AW502" s="79" t="str" cm="1">
        <f t="array" aca="1" ref="AW502" ca="1">IFERROR(_xlfn.IFS(OR($M502="",$AM502=""),"",OR($C502="Offered",$C502="Joined"),($AM502-$M502)-$AT502),"")</f>
        <v/>
      </c>
      <c r="AX502" s="79" t="str" cm="1">
        <f t="array" aca="1" ref="AX502" ca="1">IFERROR(_xlfn.IFS(OR($M502="",$AS502=""),"",$C502="Joined",($AS502-$M502)-$AT502),"")</f>
        <v/>
      </c>
      <c r="AY502" s="67" t="str">
        <f>IFERROR(IF(COUNTIFS('Candidate Tracker'!$E:$E,'Positions Tracker'!$B502,'Candidate Tracker'!$C:$C,"Offer Drop")=0,"",COUNTIFS('Candidate Tracker'!$E:$E,'Positions Tracker'!$B502,'Candidate Tracker'!$C:$C,"Offer Drop")),"")</f>
        <v/>
      </c>
      <c r="AZ502" s="80">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0.88111888111888115</v>
      </c>
      <c r="BA502" s="81" t="str">
        <f>IFERROR(IF(COUNTIFS('Candidate Tracker'!$E:$E,'Positions Tracker'!$B502,'Candidate Tracker'!$I:$I,"Female")=0,"",COUNTIFS('Candidate Tracker'!$E:$E,'Positions Tracker'!$B502,'Candidate Tracker'!$I:$I,"Female")),"")</f>
        <v/>
      </c>
      <c r="BB502" s="81" t="str">
        <f>IFERROR(IF(COUNTIFS('Candidate Tracker'!$E:$E,'Positions Tracker'!$B502,'Candidate Tracker'!$I:$I,"male")=0,"",COUNTIFS('Candidate Tracker'!$E:$E,'Positions Tracker'!$B502,'Candidate Tracker'!$I:$I,"male")),"")</f>
        <v/>
      </c>
      <c r="BC502" s="80" t="str">
        <f>IFERROR(IF(COUNTIFS('Candidate Tracker'!$E:$E,'Positions Tracker'!$B502,'Candidate Tracker'!$C:$C,"&lt;&gt;WIP",'Candidate Tracker'!$C:$C,"&lt;&gt;Hold",'Candidate Tracker'!$C:$C,"&lt;&gt;Cancelled",'Candidate Tracker'!$C:$C,"&lt;&gt;Closed")/COUNTIFS('Candidate Tracker'!$E:$E,'Positions Tracker'!$B502)=0,"",COUNTIFS('Candidate Tracker'!$E:$E,'Positions Tracker'!$B502,'Candidate Tracker'!$C:$C,"&lt;&gt;WIP",'Candidate Tracker'!$C:$C,"&lt;&gt;Hold",'Candidate Tracker'!$C:$C,"&lt;&gt;Cancelled",'Candidate Tracker'!$C:$C,"&lt;&gt;Closed")/COUNTIFS('Candidate Tracker'!$E:$E,'Positions Tracker'!$B502)),"")</f>
        <v/>
      </c>
      <c r="BD502" s="67" t="str">
        <f t="shared" si="42"/>
        <v/>
      </c>
      <c r="BE502" s="67" t="str">
        <f t="shared" si="43"/>
        <v/>
      </c>
      <c r="BF502" s="67" t="str">
        <f t="shared" si="44"/>
        <v/>
      </c>
      <c r="BG502" s="67" t="str">
        <f t="shared" si="45"/>
        <v/>
      </c>
    </row>
    <row r="503" spans="1:59">
      <c r="A503" s="55"/>
      <c r="B503" s="56"/>
      <c r="C503" s="56"/>
      <c r="D503" s="56"/>
      <c r="E503" s="56"/>
      <c r="F503" s="56"/>
      <c r="G503" s="56"/>
      <c r="H503" s="56"/>
      <c r="I503" s="6"/>
      <c r="J503" s="6"/>
      <c r="K503" s="57"/>
      <c r="L503" s="57"/>
      <c r="M503" s="57"/>
      <c r="N503" s="56"/>
      <c r="O503" s="56"/>
      <c r="P503" s="56"/>
      <c r="Q503" s="56"/>
      <c r="R503" s="56"/>
      <c r="S503" s="56"/>
      <c r="T503" s="56"/>
      <c r="U503" s="56"/>
      <c r="V503" s="56"/>
      <c r="W503" s="56"/>
      <c r="X503" s="56"/>
      <c r="Y503" s="56"/>
      <c r="Z503" s="56"/>
      <c r="AA503" s="56"/>
      <c r="AB503" s="56"/>
      <c r="AC503" s="56"/>
      <c r="AD503" s="56"/>
      <c r="AE503" s="56"/>
      <c r="AF503" s="56"/>
      <c r="AG503" s="56"/>
      <c r="AH503" s="56"/>
      <c r="AI503" s="58"/>
      <c r="AJ503" s="56"/>
      <c r="AK503" s="56"/>
      <c r="AL503" s="56"/>
      <c r="AM503" s="57"/>
      <c r="AN503" s="57"/>
      <c r="AO503" s="56"/>
      <c r="AP503" s="56"/>
      <c r="AQ503" s="57"/>
      <c r="AR503" s="57"/>
      <c r="AS503" s="57"/>
      <c r="AT503" s="67">
        <f t="shared" ca="1" si="46"/>
        <v>0</v>
      </c>
      <c r="AU503" s="79" t="str">
        <f t="shared" ca="1" si="47"/>
        <v/>
      </c>
      <c r="AV503" s="79" t="str" cm="1">
        <f t="array" aca="1" ref="AV503" ca="1">IFERROR(_xlfn.IFS($AU503="","",$AU503&lt;=15,"0-15",AND($AU503&gt;=16,$AU503&lt;=30),"16-30",AND($AU503&gt;=31,$AU503&lt;=45),"31-45",AND($AU503&gt;=46,$AU503&lt;=60),"46-60",AND($AU503&gt;=61,$AU503&lt;=90),"61-90",AND($AU503&gt;=91),"&gt; 90",AND($AU503&gt;=2000),""),"")</f>
        <v/>
      </c>
      <c r="AW503" s="79" t="str" cm="1">
        <f t="array" aca="1" ref="AW503" ca="1">IFERROR(_xlfn.IFS(OR($M503="",$AM503=""),"",OR($C503="Offered",$C503="Joined"),($AM503-$M503)-$AT503),"")</f>
        <v/>
      </c>
      <c r="AX503" s="79" t="str" cm="1">
        <f t="array" aca="1" ref="AX503" ca="1">IFERROR(_xlfn.IFS(OR($M503="",$AS503=""),"",$C503="Joined",($AS503-$M503)-$AT503),"")</f>
        <v/>
      </c>
      <c r="AY503" s="67" t="str">
        <f>IFERROR(IF(COUNTIFS('Candidate Tracker'!$E:$E,'Positions Tracker'!$B503,'Candidate Tracker'!$C:$C,"Offer Drop")=0,"",COUNTIFS('Candidate Tracker'!$E:$E,'Positions Tracker'!$B503,'Candidate Tracker'!$C:$C,"Offer Drop")),"")</f>
        <v/>
      </c>
      <c r="AZ503" s="80">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0.88111888111888115</v>
      </c>
      <c r="BA503" s="81" t="str">
        <f>IFERROR(IF(COUNTIFS('Candidate Tracker'!$E:$E,'Positions Tracker'!$B503,'Candidate Tracker'!$I:$I,"Female")=0,"",COUNTIFS('Candidate Tracker'!$E:$E,'Positions Tracker'!$B503,'Candidate Tracker'!$I:$I,"Female")),"")</f>
        <v/>
      </c>
      <c r="BB503" s="81" t="str">
        <f>IFERROR(IF(COUNTIFS('Candidate Tracker'!$E:$E,'Positions Tracker'!$B503,'Candidate Tracker'!$I:$I,"male")=0,"",COUNTIFS('Candidate Tracker'!$E:$E,'Positions Tracker'!$B503,'Candidate Tracker'!$I:$I,"male")),"")</f>
        <v/>
      </c>
      <c r="BC503" s="80" t="str">
        <f>IFERROR(IF(COUNTIFS('Candidate Tracker'!$E:$E,'Positions Tracker'!$B503,'Candidate Tracker'!$C:$C,"&lt;&gt;WIP",'Candidate Tracker'!$C:$C,"&lt;&gt;Hold",'Candidate Tracker'!$C:$C,"&lt;&gt;Cancelled",'Candidate Tracker'!$C:$C,"&lt;&gt;Closed")/COUNTIFS('Candidate Tracker'!$E:$E,'Positions Tracker'!$B503)=0,"",COUNTIFS('Candidate Tracker'!$E:$E,'Positions Tracker'!$B503,'Candidate Tracker'!$C:$C,"&lt;&gt;WIP",'Candidate Tracker'!$C:$C,"&lt;&gt;Hold",'Candidate Tracker'!$C:$C,"&lt;&gt;Cancelled",'Candidate Tracker'!$C:$C,"&lt;&gt;Closed")/COUNTIFS('Candidate Tracker'!$E:$E,'Positions Tracker'!$B503)),"")</f>
        <v/>
      </c>
      <c r="BD503" s="67" t="str">
        <f t="shared" si="42"/>
        <v/>
      </c>
      <c r="BE503" s="67" t="str">
        <f t="shared" si="43"/>
        <v/>
      </c>
      <c r="BF503" s="67" t="str">
        <f t="shared" si="44"/>
        <v/>
      </c>
      <c r="BG503" s="67" t="str">
        <f t="shared" si="45"/>
        <v/>
      </c>
    </row>
    <row r="504" spans="1:59">
      <c r="A504" s="55"/>
      <c r="B504" s="56"/>
      <c r="C504" s="56"/>
      <c r="D504" s="56"/>
      <c r="E504" s="56"/>
      <c r="F504" s="56"/>
      <c r="G504" s="56"/>
      <c r="H504" s="56"/>
      <c r="I504" s="6"/>
      <c r="J504" s="6"/>
      <c r="K504" s="57"/>
      <c r="L504" s="57"/>
      <c r="M504" s="57"/>
      <c r="N504" s="56"/>
      <c r="O504" s="56"/>
      <c r="P504" s="56"/>
      <c r="Q504" s="56"/>
      <c r="R504" s="56"/>
      <c r="S504" s="56"/>
      <c r="T504" s="56"/>
      <c r="U504" s="56"/>
      <c r="V504" s="56"/>
      <c r="W504" s="56"/>
      <c r="X504" s="56"/>
      <c r="Y504" s="56"/>
      <c r="Z504" s="56"/>
      <c r="AA504" s="56"/>
      <c r="AB504" s="56"/>
      <c r="AC504" s="56"/>
      <c r="AD504" s="56"/>
      <c r="AE504" s="56"/>
      <c r="AF504" s="56"/>
      <c r="AG504" s="56"/>
      <c r="AH504" s="56"/>
      <c r="AI504" s="58"/>
      <c r="AJ504" s="56"/>
      <c r="AK504" s="56"/>
      <c r="AL504" s="56"/>
      <c r="AM504" s="57"/>
      <c r="AN504" s="57"/>
      <c r="AO504" s="56"/>
      <c r="AP504" s="56"/>
      <c r="AQ504" s="57"/>
      <c r="AR504" s="57"/>
      <c r="AS504" s="57"/>
      <c r="AT504" s="67">
        <f t="shared" ca="1" si="46"/>
        <v>0</v>
      </c>
      <c r="AU504" s="79" t="str">
        <f t="shared" ca="1" si="47"/>
        <v/>
      </c>
      <c r="AV504" s="79" t="str" cm="1">
        <f t="array" aca="1" ref="AV504" ca="1">IFERROR(_xlfn.IFS($AU504="","",$AU504&lt;=15,"0-15",AND($AU504&gt;=16,$AU504&lt;=30),"16-30",AND($AU504&gt;=31,$AU504&lt;=45),"31-45",AND($AU504&gt;=46,$AU504&lt;=60),"46-60",AND($AU504&gt;=61,$AU504&lt;=90),"61-90",AND($AU504&gt;=91),"&gt; 90",AND($AU504&gt;=2000),""),"")</f>
        <v/>
      </c>
      <c r="AW504" s="79" t="str" cm="1">
        <f t="array" aca="1" ref="AW504" ca="1">IFERROR(_xlfn.IFS(OR($M504="",$AM504=""),"",OR($C504="Offered",$C504="Joined"),($AM504-$M504)-$AT504),"")</f>
        <v/>
      </c>
      <c r="AX504" s="79" t="str" cm="1">
        <f t="array" aca="1" ref="AX504" ca="1">IFERROR(_xlfn.IFS(OR($M504="",$AS504=""),"",$C504="Joined",($AS504-$M504)-$AT504),"")</f>
        <v/>
      </c>
      <c r="AY504" s="67" t="str">
        <f>IFERROR(IF(COUNTIFS('Candidate Tracker'!$E:$E,'Positions Tracker'!$B504,'Candidate Tracker'!$C:$C,"Offer Drop")=0,"",COUNTIFS('Candidate Tracker'!$E:$E,'Positions Tracker'!$B504,'Candidate Tracker'!$C:$C,"Offer Drop")),"")</f>
        <v/>
      </c>
      <c r="AZ504" s="80">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0.88111888111888115</v>
      </c>
      <c r="BA504" s="81" t="str">
        <f>IFERROR(IF(COUNTIFS('Candidate Tracker'!$E:$E,'Positions Tracker'!$B504,'Candidate Tracker'!$I:$I,"Female")=0,"",COUNTIFS('Candidate Tracker'!$E:$E,'Positions Tracker'!$B504,'Candidate Tracker'!$I:$I,"Female")),"")</f>
        <v/>
      </c>
      <c r="BB504" s="81" t="str">
        <f>IFERROR(IF(COUNTIFS('Candidate Tracker'!$E:$E,'Positions Tracker'!$B504,'Candidate Tracker'!$I:$I,"male")=0,"",COUNTIFS('Candidate Tracker'!$E:$E,'Positions Tracker'!$B504,'Candidate Tracker'!$I:$I,"male")),"")</f>
        <v/>
      </c>
      <c r="BC504" s="80" t="str">
        <f>IFERROR(IF(COUNTIFS('Candidate Tracker'!$E:$E,'Positions Tracker'!$B504,'Candidate Tracker'!$C:$C,"&lt;&gt;WIP",'Candidate Tracker'!$C:$C,"&lt;&gt;Hold",'Candidate Tracker'!$C:$C,"&lt;&gt;Cancelled",'Candidate Tracker'!$C:$C,"&lt;&gt;Closed")/COUNTIFS('Candidate Tracker'!$E:$E,'Positions Tracker'!$B504)=0,"",COUNTIFS('Candidate Tracker'!$E:$E,'Positions Tracker'!$B504,'Candidate Tracker'!$C:$C,"&lt;&gt;WIP",'Candidate Tracker'!$C:$C,"&lt;&gt;Hold",'Candidate Tracker'!$C:$C,"&lt;&gt;Cancelled",'Candidate Tracker'!$C:$C,"&lt;&gt;Closed")/COUNTIFS('Candidate Tracker'!$E:$E,'Positions Tracker'!$B504)),"")</f>
        <v/>
      </c>
      <c r="BD504" s="67" t="str">
        <f t="shared" si="42"/>
        <v/>
      </c>
      <c r="BE504" s="67" t="str">
        <f t="shared" si="43"/>
        <v/>
      </c>
      <c r="BF504" s="67" t="str">
        <f t="shared" si="44"/>
        <v/>
      </c>
      <c r="BG504" s="67" t="str">
        <f t="shared" si="45"/>
        <v/>
      </c>
    </row>
    <row r="505" spans="1:59">
      <c r="A505" s="55"/>
      <c r="B505" s="56"/>
      <c r="C505" s="56"/>
      <c r="D505" s="56"/>
      <c r="E505" s="56"/>
      <c r="F505" s="56"/>
      <c r="G505" s="56"/>
      <c r="H505" s="56"/>
      <c r="I505" s="6"/>
      <c r="J505" s="6"/>
      <c r="K505" s="57"/>
      <c r="L505" s="57"/>
      <c r="M505" s="57"/>
      <c r="N505" s="56"/>
      <c r="O505" s="56"/>
      <c r="P505" s="56"/>
      <c r="Q505" s="56"/>
      <c r="R505" s="56"/>
      <c r="S505" s="56"/>
      <c r="T505" s="56"/>
      <c r="U505" s="56"/>
      <c r="V505" s="56"/>
      <c r="W505" s="56"/>
      <c r="X505" s="56"/>
      <c r="Y505" s="56"/>
      <c r="Z505" s="56"/>
      <c r="AA505" s="56"/>
      <c r="AB505" s="56"/>
      <c r="AC505" s="56"/>
      <c r="AD505" s="56"/>
      <c r="AE505" s="56"/>
      <c r="AF505" s="56"/>
      <c r="AG505" s="56"/>
      <c r="AH505" s="56"/>
      <c r="AI505" s="58"/>
      <c r="AJ505" s="56"/>
      <c r="AK505" s="56"/>
      <c r="AL505" s="56"/>
      <c r="AM505" s="57"/>
      <c r="AN505" s="57"/>
      <c r="AO505" s="56"/>
      <c r="AP505" s="56"/>
      <c r="AQ505" s="57"/>
      <c r="AR505" s="57"/>
      <c r="AS505" s="57"/>
      <c r="AT505" s="67">
        <f t="shared" ca="1" si="46"/>
        <v>0</v>
      </c>
      <c r="AU505" s="79" t="str">
        <f t="shared" ca="1" si="47"/>
        <v/>
      </c>
      <c r="AV505" s="79" t="str" cm="1">
        <f t="array" aca="1" ref="AV505" ca="1">IFERROR(_xlfn.IFS($AU505="","",$AU505&lt;=15,"0-15",AND($AU505&gt;=16,$AU505&lt;=30),"16-30",AND($AU505&gt;=31,$AU505&lt;=45),"31-45",AND($AU505&gt;=46,$AU505&lt;=60),"46-60",AND($AU505&gt;=61,$AU505&lt;=90),"61-90",AND($AU505&gt;=91),"&gt; 90",AND($AU505&gt;=2000),""),"")</f>
        <v/>
      </c>
      <c r="AW505" s="79" t="str" cm="1">
        <f t="array" aca="1" ref="AW505" ca="1">IFERROR(_xlfn.IFS(OR($M505="",$AM505=""),"",OR($C505="Offered",$C505="Joined"),($AM505-$M505)-$AT505),"")</f>
        <v/>
      </c>
      <c r="AX505" s="79" t="str" cm="1">
        <f t="array" aca="1" ref="AX505" ca="1">IFERROR(_xlfn.IFS(OR($M505="",$AS505=""),"",$C505="Joined",($AS505-$M505)-$AT505),"")</f>
        <v/>
      </c>
      <c r="AY505" s="67" t="str">
        <f>IFERROR(IF(COUNTIFS('Candidate Tracker'!$E:$E,'Positions Tracker'!$B505,'Candidate Tracker'!$C:$C,"Offer Drop")=0,"",COUNTIFS('Candidate Tracker'!$E:$E,'Positions Tracker'!$B505,'Candidate Tracker'!$C:$C,"Offer Drop")),"")</f>
        <v/>
      </c>
      <c r="AZ505" s="80">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0.88111888111888115</v>
      </c>
      <c r="BA505" s="81" t="str">
        <f>IFERROR(IF(COUNTIFS('Candidate Tracker'!$E:$E,'Positions Tracker'!$B505,'Candidate Tracker'!$I:$I,"Female")=0,"",COUNTIFS('Candidate Tracker'!$E:$E,'Positions Tracker'!$B505,'Candidate Tracker'!$I:$I,"Female")),"")</f>
        <v/>
      </c>
      <c r="BB505" s="81" t="str">
        <f>IFERROR(IF(COUNTIFS('Candidate Tracker'!$E:$E,'Positions Tracker'!$B505,'Candidate Tracker'!$I:$I,"male")=0,"",COUNTIFS('Candidate Tracker'!$E:$E,'Positions Tracker'!$B505,'Candidate Tracker'!$I:$I,"male")),"")</f>
        <v/>
      </c>
      <c r="BC505" s="80" t="str">
        <f>IFERROR(IF(COUNTIFS('Candidate Tracker'!$E:$E,'Positions Tracker'!$B505,'Candidate Tracker'!$C:$C,"&lt;&gt;WIP",'Candidate Tracker'!$C:$C,"&lt;&gt;Hold",'Candidate Tracker'!$C:$C,"&lt;&gt;Cancelled",'Candidate Tracker'!$C:$C,"&lt;&gt;Closed")/COUNTIFS('Candidate Tracker'!$E:$E,'Positions Tracker'!$B505)=0,"",COUNTIFS('Candidate Tracker'!$E:$E,'Positions Tracker'!$B505,'Candidate Tracker'!$C:$C,"&lt;&gt;WIP",'Candidate Tracker'!$C:$C,"&lt;&gt;Hold",'Candidate Tracker'!$C:$C,"&lt;&gt;Cancelled",'Candidate Tracker'!$C:$C,"&lt;&gt;Closed")/COUNTIFS('Candidate Tracker'!$E:$E,'Positions Tracker'!$B505)),"")</f>
        <v/>
      </c>
      <c r="BD505" s="67" t="str">
        <f t="shared" si="42"/>
        <v/>
      </c>
      <c r="BE505" s="67" t="str">
        <f t="shared" si="43"/>
        <v/>
      </c>
      <c r="BF505" s="67" t="str">
        <f t="shared" si="44"/>
        <v/>
      </c>
      <c r="BG505" s="67" t="str">
        <f t="shared" si="45"/>
        <v/>
      </c>
    </row>
    <row r="506" spans="1:59">
      <c r="A506" s="55"/>
      <c r="B506" s="56"/>
      <c r="C506" s="56"/>
      <c r="D506" s="56"/>
      <c r="E506" s="56"/>
      <c r="F506" s="56"/>
      <c r="G506" s="56"/>
      <c r="H506" s="56"/>
      <c r="I506" s="6"/>
      <c r="J506" s="6"/>
      <c r="K506" s="57"/>
      <c r="L506" s="57"/>
      <c r="M506" s="57"/>
      <c r="N506" s="56"/>
      <c r="O506" s="56"/>
      <c r="P506" s="56"/>
      <c r="Q506" s="56"/>
      <c r="R506" s="56"/>
      <c r="S506" s="56"/>
      <c r="T506" s="56"/>
      <c r="U506" s="56"/>
      <c r="V506" s="56"/>
      <c r="W506" s="56"/>
      <c r="X506" s="56"/>
      <c r="Y506" s="56"/>
      <c r="Z506" s="56"/>
      <c r="AA506" s="56"/>
      <c r="AB506" s="56"/>
      <c r="AC506" s="56"/>
      <c r="AD506" s="56"/>
      <c r="AE506" s="56"/>
      <c r="AF506" s="56"/>
      <c r="AG506" s="56"/>
      <c r="AH506" s="56"/>
      <c r="AI506" s="58"/>
      <c r="AJ506" s="56"/>
      <c r="AK506" s="56"/>
      <c r="AL506" s="56"/>
      <c r="AM506" s="57"/>
      <c r="AN506" s="57"/>
      <c r="AO506" s="56"/>
      <c r="AP506" s="56"/>
      <c r="AQ506" s="57"/>
      <c r="AR506" s="57"/>
      <c r="AS506" s="57"/>
      <c r="AT506" s="67">
        <f t="shared" ca="1" si="46"/>
        <v>0</v>
      </c>
      <c r="AU506" s="79" t="str">
        <f t="shared" ca="1" si="47"/>
        <v/>
      </c>
      <c r="AV506" s="79" t="str" cm="1">
        <f t="array" aca="1" ref="AV506" ca="1">IFERROR(_xlfn.IFS($AU506="","",$AU506&lt;=15,"0-15",AND($AU506&gt;=16,$AU506&lt;=30),"16-30",AND($AU506&gt;=31,$AU506&lt;=45),"31-45",AND($AU506&gt;=46,$AU506&lt;=60),"46-60",AND($AU506&gt;=61,$AU506&lt;=90),"61-90",AND($AU506&gt;=91),"&gt; 90",AND($AU506&gt;=2000),""),"")</f>
        <v/>
      </c>
      <c r="AW506" s="79" t="str" cm="1">
        <f t="array" aca="1" ref="AW506" ca="1">IFERROR(_xlfn.IFS(OR($M506="",$AM506=""),"",OR($C506="Offered",$C506="Joined"),($AM506-$M506)-$AT506),"")</f>
        <v/>
      </c>
      <c r="AX506" s="79" t="str" cm="1">
        <f t="array" aca="1" ref="AX506" ca="1">IFERROR(_xlfn.IFS(OR($M506="",$AS506=""),"",$C506="Joined",($AS506-$M506)-$AT506),"")</f>
        <v/>
      </c>
      <c r="AY506" s="67" t="str">
        <f>IFERROR(IF(COUNTIFS('Candidate Tracker'!$E:$E,'Positions Tracker'!$B506,'Candidate Tracker'!$C:$C,"Offer Drop")=0,"",COUNTIFS('Candidate Tracker'!$E:$E,'Positions Tracker'!$B506,'Candidate Tracker'!$C:$C,"Offer Drop")),"")</f>
        <v/>
      </c>
      <c r="AZ506" s="80">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0.88111888111888115</v>
      </c>
      <c r="BA506" s="81" t="str">
        <f>IFERROR(IF(COUNTIFS('Candidate Tracker'!$E:$E,'Positions Tracker'!$B506,'Candidate Tracker'!$I:$I,"Female")=0,"",COUNTIFS('Candidate Tracker'!$E:$E,'Positions Tracker'!$B506,'Candidate Tracker'!$I:$I,"Female")),"")</f>
        <v/>
      </c>
      <c r="BB506" s="81" t="str">
        <f>IFERROR(IF(COUNTIFS('Candidate Tracker'!$E:$E,'Positions Tracker'!$B506,'Candidate Tracker'!$I:$I,"male")=0,"",COUNTIFS('Candidate Tracker'!$E:$E,'Positions Tracker'!$B506,'Candidate Tracker'!$I:$I,"male")),"")</f>
        <v/>
      </c>
      <c r="BC506" s="80" t="str">
        <f>IFERROR(IF(COUNTIFS('Candidate Tracker'!$E:$E,'Positions Tracker'!$B506,'Candidate Tracker'!$C:$C,"&lt;&gt;WIP",'Candidate Tracker'!$C:$C,"&lt;&gt;Hold",'Candidate Tracker'!$C:$C,"&lt;&gt;Cancelled",'Candidate Tracker'!$C:$C,"&lt;&gt;Closed")/COUNTIFS('Candidate Tracker'!$E:$E,'Positions Tracker'!$B506)=0,"",COUNTIFS('Candidate Tracker'!$E:$E,'Positions Tracker'!$B506,'Candidate Tracker'!$C:$C,"&lt;&gt;WIP",'Candidate Tracker'!$C:$C,"&lt;&gt;Hold",'Candidate Tracker'!$C:$C,"&lt;&gt;Cancelled",'Candidate Tracker'!$C:$C,"&lt;&gt;Closed")/COUNTIFS('Candidate Tracker'!$E:$E,'Positions Tracker'!$B506)),"")</f>
        <v/>
      </c>
      <c r="BD506" s="67" t="str">
        <f t="shared" si="42"/>
        <v/>
      </c>
      <c r="BE506" s="67" t="str">
        <f t="shared" si="43"/>
        <v/>
      </c>
      <c r="BF506" s="67" t="str">
        <f t="shared" si="44"/>
        <v/>
      </c>
      <c r="BG506" s="67" t="str">
        <f t="shared" si="45"/>
        <v/>
      </c>
    </row>
    <row r="507" spans="1:59">
      <c r="A507" s="55"/>
      <c r="B507" s="56"/>
      <c r="C507" s="56"/>
      <c r="D507" s="56"/>
      <c r="E507" s="56"/>
      <c r="F507" s="56"/>
      <c r="G507" s="56"/>
      <c r="H507" s="56"/>
      <c r="I507" s="6"/>
      <c r="J507" s="6"/>
      <c r="K507" s="57"/>
      <c r="L507" s="57"/>
      <c r="M507" s="57"/>
      <c r="N507" s="56"/>
      <c r="O507" s="56"/>
      <c r="P507" s="56"/>
      <c r="Q507" s="56"/>
      <c r="R507" s="56"/>
      <c r="S507" s="56"/>
      <c r="T507" s="56"/>
      <c r="U507" s="56"/>
      <c r="V507" s="56"/>
      <c r="W507" s="56"/>
      <c r="X507" s="56"/>
      <c r="Y507" s="56"/>
      <c r="Z507" s="56"/>
      <c r="AA507" s="56"/>
      <c r="AB507" s="56"/>
      <c r="AC507" s="56"/>
      <c r="AD507" s="56"/>
      <c r="AE507" s="56"/>
      <c r="AF507" s="56"/>
      <c r="AG507" s="56"/>
      <c r="AH507" s="56"/>
      <c r="AI507" s="58"/>
      <c r="AJ507" s="56"/>
      <c r="AK507" s="56"/>
      <c r="AL507" s="56"/>
      <c r="AM507" s="57"/>
      <c r="AN507" s="57"/>
      <c r="AO507" s="56"/>
      <c r="AP507" s="56"/>
      <c r="AQ507" s="57"/>
      <c r="AR507" s="57"/>
      <c r="AS507" s="57"/>
      <c r="AT507" s="67">
        <f t="shared" ca="1" si="46"/>
        <v>0</v>
      </c>
      <c r="AU507" s="79" t="str">
        <f t="shared" ca="1" si="47"/>
        <v/>
      </c>
      <c r="AV507" s="79" t="str" cm="1">
        <f t="array" aca="1" ref="AV507" ca="1">IFERROR(_xlfn.IFS($AU507="","",$AU507&lt;=15,"0-15",AND($AU507&gt;=16,$AU507&lt;=30),"16-30",AND($AU507&gt;=31,$AU507&lt;=45),"31-45",AND($AU507&gt;=46,$AU507&lt;=60),"46-60",AND($AU507&gt;=61,$AU507&lt;=90),"61-90",AND($AU507&gt;=91),"&gt; 90",AND($AU507&gt;=2000),""),"")</f>
        <v/>
      </c>
      <c r="AW507" s="79" t="str" cm="1">
        <f t="array" aca="1" ref="AW507" ca="1">IFERROR(_xlfn.IFS(OR($M507="",$AM507=""),"",OR($C507="Offered",$C507="Joined"),($AM507-$M507)-$AT507),"")</f>
        <v/>
      </c>
      <c r="AX507" s="79" t="str" cm="1">
        <f t="array" aca="1" ref="AX507" ca="1">IFERROR(_xlfn.IFS(OR($M507="",$AS507=""),"",$C507="Joined",($AS507-$M507)-$AT507),"")</f>
        <v/>
      </c>
      <c r="AY507" s="67" t="str">
        <f>IFERROR(IF(COUNTIFS('Candidate Tracker'!$E:$E,'Positions Tracker'!$B507,'Candidate Tracker'!$C:$C,"Offer Drop")=0,"",COUNTIFS('Candidate Tracker'!$E:$E,'Positions Tracker'!$B507,'Candidate Tracker'!$C:$C,"Offer Drop")),"")</f>
        <v/>
      </c>
      <c r="AZ507" s="80">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0.88111888111888115</v>
      </c>
      <c r="BA507" s="81" t="str">
        <f>IFERROR(IF(COUNTIFS('Candidate Tracker'!$E:$E,'Positions Tracker'!$B507,'Candidate Tracker'!$I:$I,"Female")=0,"",COUNTIFS('Candidate Tracker'!$E:$E,'Positions Tracker'!$B507,'Candidate Tracker'!$I:$I,"Female")),"")</f>
        <v/>
      </c>
      <c r="BB507" s="81" t="str">
        <f>IFERROR(IF(COUNTIFS('Candidate Tracker'!$E:$E,'Positions Tracker'!$B507,'Candidate Tracker'!$I:$I,"male")=0,"",COUNTIFS('Candidate Tracker'!$E:$E,'Positions Tracker'!$B507,'Candidate Tracker'!$I:$I,"male")),"")</f>
        <v/>
      </c>
      <c r="BC507" s="80" t="str">
        <f>IFERROR(IF(COUNTIFS('Candidate Tracker'!$E:$E,'Positions Tracker'!$B507,'Candidate Tracker'!$C:$C,"&lt;&gt;WIP",'Candidate Tracker'!$C:$C,"&lt;&gt;Hold",'Candidate Tracker'!$C:$C,"&lt;&gt;Cancelled",'Candidate Tracker'!$C:$C,"&lt;&gt;Closed")/COUNTIFS('Candidate Tracker'!$E:$E,'Positions Tracker'!$B507)=0,"",COUNTIFS('Candidate Tracker'!$E:$E,'Positions Tracker'!$B507,'Candidate Tracker'!$C:$C,"&lt;&gt;WIP",'Candidate Tracker'!$C:$C,"&lt;&gt;Hold",'Candidate Tracker'!$C:$C,"&lt;&gt;Cancelled",'Candidate Tracker'!$C:$C,"&lt;&gt;Closed")/COUNTIFS('Candidate Tracker'!$E:$E,'Positions Tracker'!$B507)),"")</f>
        <v/>
      </c>
      <c r="BD507" s="67" t="str">
        <f t="shared" si="42"/>
        <v/>
      </c>
      <c r="BE507" s="67" t="str">
        <f t="shared" si="43"/>
        <v/>
      </c>
      <c r="BF507" s="67" t="str">
        <f t="shared" si="44"/>
        <v/>
      </c>
      <c r="BG507" s="67" t="str">
        <f t="shared" si="45"/>
        <v/>
      </c>
    </row>
    <row r="508" spans="1:59">
      <c r="A508" s="55"/>
      <c r="B508" s="56"/>
      <c r="C508" s="56"/>
      <c r="D508" s="56"/>
      <c r="E508" s="56"/>
      <c r="F508" s="56"/>
      <c r="G508" s="56"/>
      <c r="H508" s="56"/>
      <c r="I508" s="6"/>
      <c r="J508" s="6"/>
      <c r="K508" s="57"/>
      <c r="L508" s="57"/>
      <c r="M508" s="57"/>
      <c r="N508" s="56"/>
      <c r="O508" s="56"/>
      <c r="P508" s="56"/>
      <c r="Q508" s="56"/>
      <c r="R508" s="56"/>
      <c r="S508" s="56"/>
      <c r="T508" s="56"/>
      <c r="U508" s="56"/>
      <c r="V508" s="56"/>
      <c r="W508" s="56"/>
      <c r="X508" s="56"/>
      <c r="Y508" s="56"/>
      <c r="Z508" s="56"/>
      <c r="AA508" s="56"/>
      <c r="AB508" s="56"/>
      <c r="AC508" s="56"/>
      <c r="AD508" s="56"/>
      <c r="AE508" s="56"/>
      <c r="AF508" s="56"/>
      <c r="AG508" s="56"/>
      <c r="AH508" s="56"/>
      <c r="AI508" s="58"/>
      <c r="AJ508" s="56"/>
      <c r="AK508" s="56"/>
      <c r="AL508" s="56"/>
      <c r="AM508" s="57"/>
      <c r="AN508" s="57"/>
      <c r="AO508" s="56"/>
      <c r="AP508" s="56"/>
      <c r="AQ508" s="57"/>
      <c r="AR508" s="57"/>
      <c r="AS508" s="57"/>
      <c r="AT508" s="67">
        <f t="shared" ca="1" si="46"/>
        <v>0</v>
      </c>
      <c r="AU508" s="79" t="str">
        <f t="shared" ca="1" si="47"/>
        <v/>
      </c>
      <c r="AV508" s="79" t="str" cm="1">
        <f t="array" aca="1" ref="AV508" ca="1">IFERROR(_xlfn.IFS($AU508="","",$AU508&lt;=15,"0-15",AND($AU508&gt;=16,$AU508&lt;=30),"16-30",AND($AU508&gt;=31,$AU508&lt;=45),"31-45",AND($AU508&gt;=46,$AU508&lt;=60),"46-60",AND($AU508&gt;=61,$AU508&lt;=90),"61-90",AND($AU508&gt;=91),"&gt; 90",AND($AU508&gt;=2000),""),"")</f>
        <v/>
      </c>
      <c r="AW508" s="79" t="str" cm="1">
        <f t="array" aca="1" ref="AW508" ca="1">IFERROR(_xlfn.IFS(OR($M508="",$AM508=""),"",OR($C508="Offered",$C508="Joined"),($AM508-$M508)-$AT508),"")</f>
        <v/>
      </c>
      <c r="AX508" s="79" t="str" cm="1">
        <f t="array" aca="1" ref="AX508" ca="1">IFERROR(_xlfn.IFS(OR($M508="",$AS508=""),"",$C508="Joined",($AS508-$M508)-$AT508),"")</f>
        <v/>
      </c>
      <c r="AY508" s="67" t="str">
        <f>IFERROR(IF(COUNTIFS('Candidate Tracker'!$E:$E,'Positions Tracker'!$B508,'Candidate Tracker'!$C:$C,"Offer Drop")=0,"",COUNTIFS('Candidate Tracker'!$E:$E,'Positions Tracker'!$B508,'Candidate Tracker'!$C:$C,"Offer Drop")),"")</f>
        <v/>
      </c>
      <c r="AZ508" s="80">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0.88111888111888115</v>
      </c>
      <c r="BA508" s="81" t="str">
        <f>IFERROR(IF(COUNTIFS('Candidate Tracker'!$E:$E,'Positions Tracker'!$B508,'Candidate Tracker'!$I:$I,"Female")=0,"",COUNTIFS('Candidate Tracker'!$E:$E,'Positions Tracker'!$B508,'Candidate Tracker'!$I:$I,"Female")),"")</f>
        <v/>
      </c>
      <c r="BB508" s="81" t="str">
        <f>IFERROR(IF(COUNTIFS('Candidate Tracker'!$E:$E,'Positions Tracker'!$B508,'Candidate Tracker'!$I:$I,"male")=0,"",COUNTIFS('Candidate Tracker'!$E:$E,'Positions Tracker'!$B508,'Candidate Tracker'!$I:$I,"male")),"")</f>
        <v/>
      </c>
      <c r="BC508" s="80" t="str">
        <f>IFERROR(IF(COUNTIFS('Candidate Tracker'!$E:$E,'Positions Tracker'!$B508,'Candidate Tracker'!$C:$C,"&lt;&gt;WIP",'Candidate Tracker'!$C:$C,"&lt;&gt;Hold",'Candidate Tracker'!$C:$C,"&lt;&gt;Cancelled",'Candidate Tracker'!$C:$C,"&lt;&gt;Closed")/COUNTIFS('Candidate Tracker'!$E:$E,'Positions Tracker'!$B508)=0,"",COUNTIFS('Candidate Tracker'!$E:$E,'Positions Tracker'!$B508,'Candidate Tracker'!$C:$C,"&lt;&gt;WIP",'Candidate Tracker'!$C:$C,"&lt;&gt;Hold",'Candidate Tracker'!$C:$C,"&lt;&gt;Cancelled",'Candidate Tracker'!$C:$C,"&lt;&gt;Closed")/COUNTIFS('Candidate Tracker'!$E:$E,'Positions Tracker'!$B508)),"")</f>
        <v/>
      </c>
      <c r="BD508" s="67" t="str">
        <f t="shared" si="42"/>
        <v/>
      </c>
      <c r="BE508" s="67" t="str">
        <f t="shared" si="43"/>
        <v/>
      </c>
      <c r="BF508" s="67" t="str">
        <f t="shared" si="44"/>
        <v/>
      </c>
      <c r="BG508" s="67" t="str">
        <f t="shared" si="45"/>
        <v/>
      </c>
    </row>
    <row r="509" spans="1:59">
      <c r="A509" s="55"/>
      <c r="B509" s="56"/>
      <c r="C509" s="56"/>
      <c r="D509" s="56"/>
      <c r="E509" s="56"/>
      <c r="F509" s="56"/>
      <c r="G509" s="56"/>
      <c r="H509" s="56"/>
      <c r="I509" s="6"/>
      <c r="J509" s="6"/>
      <c r="K509" s="57"/>
      <c r="L509" s="57"/>
      <c r="M509" s="57"/>
      <c r="N509" s="56"/>
      <c r="O509" s="56"/>
      <c r="P509" s="56"/>
      <c r="Q509" s="56"/>
      <c r="R509" s="56"/>
      <c r="S509" s="56"/>
      <c r="T509" s="56"/>
      <c r="U509" s="56"/>
      <c r="V509" s="56"/>
      <c r="W509" s="56"/>
      <c r="X509" s="56"/>
      <c r="Y509" s="56"/>
      <c r="Z509" s="56"/>
      <c r="AA509" s="56"/>
      <c r="AB509" s="56"/>
      <c r="AC509" s="56"/>
      <c r="AD509" s="56"/>
      <c r="AE509" s="56"/>
      <c r="AF509" s="56"/>
      <c r="AG509" s="56"/>
      <c r="AH509" s="56"/>
      <c r="AI509" s="58"/>
      <c r="AJ509" s="56"/>
      <c r="AK509" s="56"/>
      <c r="AL509" s="56"/>
      <c r="AM509" s="57"/>
      <c r="AN509" s="57"/>
      <c r="AO509" s="56"/>
      <c r="AP509" s="56"/>
      <c r="AQ509" s="57"/>
      <c r="AR509" s="57"/>
      <c r="AS509" s="57"/>
      <c r="AT509" s="67">
        <f t="shared" ca="1" si="46"/>
        <v>0</v>
      </c>
      <c r="AU509" s="79" t="str">
        <f t="shared" ca="1" si="47"/>
        <v/>
      </c>
      <c r="AV509" s="79" t="str" cm="1">
        <f t="array" aca="1" ref="AV509" ca="1">IFERROR(_xlfn.IFS($AU509="","",$AU509&lt;=15,"0-15",AND($AU509&gt;=16,$AU509&lt;=30),"16-30",AND($AU509&gt;=31,$AU509&lt;=45),"31-45",AND($AU509&gt;=46,$AU509&lt;=60),"46-60",AND($AU509&gt;=61,$AU509&lt;=90),"61-90",AND($AU509&gt;=91),"&gt; 90",AND($AU509&gt;=2000),""),"")</f>
        <v/>
      </c>
      <c r="AW509" s="79" t="str" cm="1">
        <f t="array" aca="1" ref="AW509" ca="1">IFERROR(_xlfn.IFS(OR($M509="",$AM509=""),"",OR($C509="Offered",$C509="Joined"),($AM509-$M509)-$AT509),"")</f>
        <v/>
      </c>
      <c r="AX509" s="79" t="str" cm="1">
        <f t="array" aca="1" ref="AX509" ca="1">IFERROR(_xlfn.IFS(OR($M509="",$AS509=""),"",$C509="Joined",($AS509-$M509)-$AT509),"")</f>
        <v/>
      </c>
      <c r="AY509" s="67" t="str">
        <f>IFERROR(IF(COUNTIFS('Candidate Tracker'!$E:$E,'Positions Tracker'!$B509,'Candidate Tracker'!$C:$C,"Offer Drop")=0,"",COUNTIFS('Candidate Tracker'!$E:$E,'Positions Tracker'!$B509,'Candidate Tracker'!$C:$C,"Offer Drop")),"")</f>
        <v/>
      </c>
      <c r="AZ509" s="80">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0.88111888111888115</v>
      </c>
      <c r="BA509" s="81" t="str">
        <f>IFERROR(IF(COUNTIFS('Candidate Tracker'!$E:$E,'Positions Tracker'!$B509,'Candidate Tracker'!$I:$I,"Female")=0,"",COUNTIFS('Candidate Tracker'!$E:$E,'Positions Tracker'!$B509,'Candidate Tracker'!$I:$I,"Female")),"")</f>
        <v/>
      </c>
      <c r="BB509" s="81" t="str">
        <f>IFERROR(IF(COUNTIFS('Candidate Tracker'!$E:$E,'Positions Tracker'!$B509,'Candidate Tracker'!$I:$I,"male")=0,"",COUNTIFS('Candidate Tracker'!$E:$E,'Positions Tracker'!$B509,'Candidate Tracker'!$I:$I,"male")),"")</f>
        <v/>
      </c>
      <c r="BC509" s="80" t="str">
        <f>IFERROR(IF(COUNTIFS('Candidate Tracker'!$E:$E,'Positions Tracker'!$B509,'Candidate Tracker'!$C:$C,"&lt;&gt;WIP",'Candidate Tracker'!$C:$C,"&lt;&gt;Hold",'Candidate Tracker'!$C:$C,"&lt;&gt;Cancelled",'Candidate Tracker'!$C:$C,"&lt;&gt;Closed")/COUNTIFS('Candidate Tracker'!$E:$E,'Positions Tracker'!$B509)=0,"",COUNTIFS('Candidate Tracker'!$E:$E,'Positions Tracker'!$B509,'Candidate Tracker'!$C:$C,"&lt;&gt;WIP",'Candidate Tracker'!$C:$C,"&lt;&gt;Hold",'Candidate Tracker'!$C:$C,"&lt;&gt;Cancelled",'Candidate Tracker'!$C:$C,"&lt;&gt;Closed")/COUNTIFS('Candidate Tracker'!$E:$E,'Positions Tracker'!$B509)),"")</f>
        <v/>
      </c>
      <c r="BD509" s="67" t="str">
        <f t="shared" si="42"/>
        <v/>
      </c>
      <c r="BE509" s="67" t="str">
        <f t="shared" si="43"/>
        <v/>
      </c>
      <c r="BF509" s="67" t="str">
        <f t="shared" si="44"/>
        <v/>
      </c>
      <c r="BG509" s="67" t="str">
        <f t="shared" si="45"/>
        <v/>
      </c>
    </row>
    <row r="510" spans="1:59">
      <c r="A510" s="55"/>
      <c r="B510" s="56"/>
      <c r="C510" s="56"/>
      <c r="D510" s="56"/>
      <c r="E510" s="56"/>
      <c r="F510" s="56"/>
      <c r="G510" s="56"/>
      <c r="H510" s="56"/>
      <c r="I510" s="6"/>
      <c r="J510" s="6"/>
      <c r="K510" s="57"/>
      <c r="L510" s="57"/>
      <c r="M510" s="57"/>
      <c r="N510" s="56"/>
      <c r="O510" s="56"/>
      <c r="P510" s="56"/>
      <c r="Q510" s="56"/>
      <c r="R510" s="56"/>
      <c r="S510" s="56"/>
      <c r="T510" s="56"/>
      <c r="U510" s="56"/>
      <c r="V510" s="56"/>
      <c r="W510" s="56"/>
      <c r="X510" s="56"/>
      <c r="Y510" s="56"/>
      <c r="Z510" s="56"/>
      <c r="AA510" s="56"/>
      <c r="AB510" s="56"/>
      <c r="AC510" s="56"/>
      <c r="AD510" s="56"/>
      <c r="AE510" s="56"/>
      <c r="AF510" s="56"/>
      <c r="AG510" s="56"/>
      <c r="AH510" s="56"/>
      <c r="AI510" s="58"/>
      <c r="AJ510" s="56"/>
      <c r="AK510" s="56"/>
      <c r="AL510" s="56"/>
      <c r="AM510" s="57"/>
      <c r="AN510" s="57"/>
      <c r="AO510" s="56"/>
      <c r="AP510" s="56"/>
      <c r="AQ510" s="57"/>
      <c r="AR510" s="57"/>
      <c r="AS510" s="57"/>
      <c r="AT510" s="67">
        <f t="shared" ca="1" si="46"/>
        <v>0</v>
      </c>
      <c r="AU510" s="79" t="str">
        <f t="shared" ca="1" si="47"/>
        <v/>
      </c>
      <c r="AV510" s="79" t="str" cm="1">
        <f t="array" aca="1" ref="AV510" ca="1">IFERROR(_xlfn.IFS($AU510="","",$AU510&lt;=15,"0-15",AND($AU510&gt;=16,$AU510&lt;=30),"16-30",AND($AU510&gt;=31,$AU510&lt;=45),"31-45",AND($AU510&gt;=46,$AU510&lt;=60),"46-60",AND($AU510&gt;=61,$AU510&lt;=90),"61-90",AND($AU510&gt;=91),"&gt; 90",AND($AU510&gt;=2000),""),"")</f>
        <v/>
      </c>
      <c r="AW510" s="79" t="str" cm="1">
        <f t="array" aca="1" ref="AW510" ca="1">IFERROR(_xlfn.IFS(OR($M510="",$AM510=""),"",OR($C510="Offered",$C510="Joined"),($AM510-$M510)-$AT510),"")</f>
        <v/>
      </c>
      <c r="AX510" s="79" t="str" cm="1">
        <f t="array" aca="1" ref="AX510" ca="1">IFERROR(_xlfn.IFS(OR($M510="",$AS510=""),"",$C510="Joined",($AS510-$M510)-$AT510),"")</f>
        <v/>
      </c>
      <c r="AY510" s="67" t="str">
        <f>IFERROR(IF(COUNTIFS('Candidate Tracker'!$E:$E,'Positions Tracker'!$B510,'Candidate Tracker'!$C:$C,"Offer Drop")=0,"",COUNTIFS('Candidate Tracker'!$E:$E,'Positions Tracker'!$B510,'Candidate Tracker'!$C:$C,"Offer Drop")),"")</f>
        <v/>
      </c>
      <c r="AZ510" s="80">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0.88111888111888115</v>
      </c>
      <c r="BA510" s="81" t="str">
        <f>IFERROR(IF(COUNTIFS('Candidate Tracker'!$E:$E,'Positions Tracker'!$B510,'Candidate Tracker'!$I:$I,"Female")=0,"",COUNTIFS('Candidate Tracker'!$E:$E,'Positions Tracker'!$B510,'Candidate Tracker'!$I:$I,"Female")),"")</f>
        <v/>
      </c>
      <c r="BB510" s="81" t="str">
        <f>IFERROR(IF(COUNTIFS('Candidate Tracker'!$E:$E,'Positions Tracker'!$B510,'Candidate Tracker'!$I:$I,"male")=0,"",COUNTIFS('Candidate Tracker'!$E:$E,'Positions Tracker'!$B510,'Candidate Tracker'!$I:$I,"male")),"")</f>
        <v/>
      </c>
      <c r="BC510" s="80" t="str">
        <f>IFERROR(IF(COUNTIFS('Candidate Tracker'!$E:$E,'Positions Tracker'!$B510,'Candidate Tracker'!$C:$C,"&lt;&gt;WIP",'Candidate Tracker'!$C:$C,"&lt;&gt;Hold",'Candidate Tracker'!$C:$C,"&lt;&gt;Cancelled",'Candidate Tracker'!$C:$C,"&lt;&gt;Closed")/COUNTIFS('Candidate Tracker'!$E:$E,'Positions Tracker'!$B510)=0,"",COUNTIFS('Candidate Tracker'!$E:$E,'Positions Tracker'!$B510,'Candidate Tracker'!$C:$C,"&lt;&gt;WIP",'Candidate Tracker'!$C:$C,"&lt;&gt;Hold",'Candidate Tracker'!$C:$C,"&lt;&gt;Cancelled",'Candidate Tracker'!$C:$C,"&lt;&gt;Closed")/COUNTIFS('Candidate Tracker'!$E:$E,'Positions Tracker'!$B510)),"")</f>
        <v/>
      </c>
      <c r="BD510" s="67" t="str">
        <f t="shared" si="42"/>
        <v/>
      </c>
      <c r="BE510" s="67" t="str">
        <f t="shared" si="43"/>
        <v/>
      </c>
      <c r="BF510" s="67" t="str">
        <f t="shared" si="44"/>
        <v/>
      </c>
      <c r="BG510" s="67" t="str">
        <f t="shared" si="45"/>
        <v/>
      </c>
    </row>
    <row r="511" spans="1:59">
      <c r="A511" s="55"/>
      <c r="B511" s="56"/>
      <c r="C511" s="56"/>
      <c r="D511" s="56"/>
      <c r="E511" s="56"/>
      <c r="F511" s="56"/>
      <c r="G511" s="56"/>
      <c r="H511" s="56"/>
      <c r="I511" s="6"/>
      <c r="J511" s="6"/>
      <c r="K511" s="57"/>
      <c r="L511" s="57"/>
      <c r="M511" s="57"/>
      <c r="N511" s="56"/>
      <c r="O511" s="56"/>
      <c r="P511" s="56"/>
      <c r="Q511" s="56"/>
      <c r="R511" s="56"/>
      <c r="S511" s="56"/>
      <c r="T511" s="56"/>
      <c r="U511" s="56"/>
      <c r="V511" s="56"/>
      <c r="W511" s="56"/>
      <c r="X511" s="56"/>
      <c r="Y511" s="56"/>
      <c r="Z511" s="56"/>
      <c r="AA511" s="56"/>
      <c r="AB511" s="56"/>
      <c r="AC511" s="56"/>
      <c r="AD511" s="56"/>
      <c r="AE511" s="56"/>
      <c r="AF511" s="56"/>
      <c r="AG511" s="56"/>
      <c r="AH511" s="56"/>
      <c r="AI511" s="58"/>
      <c r="AJ511" s="56"/>
      <c r="AK511" s="56"/>
      <c r="AL511" s="56"/>
      <c r="AM511" s="57"/>
      <c r="AN511" s="57"/>
      <c r="AO511" s="56"/>
      <c r="AP511" s="56"/>
      <c r="AQ511" s="57"/>
      <c r="AR511" s="57"/>
      <c r="AS511" s="57"/>
      <c r="AT511" s="67">
        <f t="shared" ca="1" si="46"/>
        <v>0</v>
      </c>
      <c r="AU511" s="79" t="str">
        <f t="shared" ca="1" si="47"/>
        <v/>
      </c>
      <c r="AV511" s="79" t="str" cm="1">
        <f t="array" aca="1" ref="AV511" ca="1">IFERROR(_xlfn.IFS($AU511="","",$AU511&lt;=15,"0-15",AND($AU511&gt;=16,$AU511&lt;=30),"16-30",AND($AU511&gt;=31,$AU511&lt;=45),"31-45",AND($AU511&gt;=46,$AU511&lt;=60),"46-60",AND($AU511&gt;=61,$AU511&lt;=90),"61-90",AND($AU511&gt;=91),"&gt; 90",AND($AU511&gt;=2000),""),"")</f>
        <v/>
      </c>
      <c r="AW511" s="79" t="str" cm="1">
        <f t="array" aca="1" ref="AW511" ca="1">IFERROR(_xlfn.IFS(OR($M511="",$AM511=""),"",OR($C511="Offered",$C511="Joined"),($AM511-$M511)-$AT511),"")</f>
        <v/>
      </c>
      <c r="AX511" s="79" t="str" cm="1">
        <f t="array" aca="1" ref="AX511" ca="1">IFERROR(_xlfn.IFS(OR($M511="",$AS511=""),"",$C511="Joined",($AS511-$M511)-$AT511),"")</f>
        <v/>
      </c>
      <c r="AY511" s="67" t="str">
        <f>IFERROR(IF(COUNTIFS('Candidate Tracker'!$E:$E,'Positions Tracker'!$B511,'Candidate Tracker'!$C:$C,"Offer Drop")=0,"",COUNTIFS('Candidate Tracker'!$E:$E,'Positions Tracker'!$B511,'Candidate Tracker'!$C:$C,"Offer Drop")),"")</f>
        <v/>
      </c>
      <c r="AZ511" s="80">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0.88111888111888115</v>
      </c>
      <c r="BA511" s="81" t="str">
        <f>IFERROR(IF(COUNTIFS('Candidate Tracker'!$E:$E,'Positions Tracker'!$B511,'Candidate Tracker'!$I:$I,"Female")=0,"",COUNTIFS('Candidate Tracker'!$E:$E,'Positions Tracker'!$B511,'Candidate Tracker'!$I:$I,"Female")),"")</f>
        <v/>
      </c>
      <c r="BB511" s="81" t="str">
        <f>IFERROR(IF(COUNTIFS('Candidate Tracker'!$E:$E,'Positions Tracker'!$B511,'Candidate Tracker'!$I:$I,"male")=0,"",COUNTIFS('Candidate Tracker'!$E:$E,'Positions Tracker'!$B511,'Candidate Tracker'!$I:$I,"male")),"")</f>
        <v/>
      </c>
      <c r="BC511" s="80" t="str">
        <f>IFERROR(IF(COUNTIFS('Candidate Tracker'!$E:$E,'Positions Tracker'!$B511,'Candidate Tracker'!$C:$C,"&lt;&gt;WIP",'Candidate Tracker'!$C:$C,"&lt;&gt;Hold",'Candidate Tracker'!$C:$C,"&lt;&gt;Cancelled",'Candidate Tracker'!$C:$C,"&lt;&gt;Closed")/COUNTIFS('Candidate Tracker'!$E:$E,'Positions Tracker'!$B511)=0,"",COUNTIFS('Candidate Tracker'!$E:$E,'Positions Tracker'!$B511,'Candidate Tracker'!$C:$C,"&lt;&gt;WIP",'Candidate Tracker'!$C:$C,"&lt;&gt;Hold",'Candidate Tracker'!$C:$C,"&lt;&gt;Cancelled",'Candidate Tracker'!$C:$C,"&lt;&gt;Closed")/COUNTIFS('Candidate Tracker'!$E:$E,'Positions Tracker'!$B511)),"")</f>
        <v/>
      </c>
      <c r="BD511" s="67" t="str">
        <f t="shared" si="42"/>
        <v/>
      </c>
      <c r="BE511" s="67" t="str">
        <f t="shared" si="43"/>
        <v/>
      </c>
      <c r="BF511" s="67" t="str">
        <f t="shared" si="44"/>
        <v/>
      </c>
      <c r="BG511" s="67" t="str">
        <f t="shared" si="45"/>
        <v/>
      </c>
    </row>
    <row r="512" spans="1:59">
      <c r="A512" s="55"/>
      <c r="B512" s="56"/>
      <c r="C512" s="56"/>
      <c r="D512" s="56"/>
      <c r="E512" s="56"/>
      <c r="F512" s="56"/>
      <c r="G512" s="56"/>
      <c r="H512" s="56"/>
      <c r="I512" s="6"/>
      <c r="J512" s="6"/>
      <c r="K512" s="57"/>
      <c r="L512" s="57"/>
      <c r="M512" s="57"/>
      <c r="N512" s="56"/>
      <c r="O512" s="56"/>
      <c r="P512" s="56"/>
      <c r="Q512" s="56"/>
      <c r="R512" s="56"/>
      <c r="S512" s="56"/>
      <c r="T512" s="56"/>
      <c r="U512" s="56"/>
      <c r="V512" s="56"/>
      <c r="W512" s="56"/>
      <c r="X512" s="56"/>
      <c r="Y512" s="56"/>
      <c r="Z512" s="56"/>
      <c r="AA512" s="56"/>
      <c r="AB512" s="56"/>
      <c r="AC512" s="56"/>
      <c r="AD512" s="56"/>
      <c r="AE512" s="56"/>
      <c r="AF512" s="56"/>
      <c r="AG512" s="56"/>
      <c r="AH512" s="56"/>
      <c r="AI512" s="58"/>
      <c r="AJ512" s="56"/>
      <c r="AK512" s="56"/>
      <c r="AL512" s="56"/>
      <c r="AM512" s="57"/>
      <c r="AN512" s="57"/>
      <c r="AO512" s="56"/>
      <c r="AP512" s="56"/>
      <c r="AQ512" s="57"/>
      <c r="AR512" s="57"/>
      <c r="AS512" s="57"/>
      <c r="AT512" s="67">
        <f t="shared" ca="1" si="46"/>
        <v>0</v>
      </c>
      <c r="AU512" s="79" t="str">
        <f t="shared" ca="1" si="47"/>
        <v/>
      </c>
      <c r="AV512" s="79" t="str" cm="1">
        <f t="array" aca="1" ref="AV512" ca="1">IFERROR(_xlfn.IFS($AU512="","",$AU512&lt;=15,"0-15",AND($AU512&gt;=16,$AU512&lt;=30),"16-30",AND($AU512&gt;=31,$AU512&lt;=45),"31-45",AND($AU512&gt;=46,$AU512&lt;=60),"46-60",AND($AU512&gt;=61,$AU512&lt;=90),"61-90",AND($AU512&gt;=91),"&gt; 90",AND($AU512&gt;=2000),""),"")</f>
        <v/>
      </c>
      <c r="AW512" s="79" t="str" cm="1">
        <f t="array" aca="1" ref="AW512" ca="1">IFERROR(_xlfn.IFS(OR($M512="",$AM512=""),"",OR($C512="Offered",$C512="Joined"),($AM512-$M512)-$AT512),"")</f>
        <v/>
      </c>
      <c r="AX512" s="79" t="str" cm="1">
        <f t="array" aca="1" ref="AX512" ca="1">IFERROR(_xlfn.IFS(OR($M512="",$AS512=""),"",$C512="Joined",($AS512-$M512)-$AT512),"")</f>
        <v/>
      </c>
      <c r="AY512" s="67" t="str">
        <f>IFERROR(IF(COUNTIFS('Candidate Tracker'!$E:$E,'Positions Tracker'!$B512,'Candidate Tracker'!$C:$C,"Offer Drop")=0,"",COUNTIFS('Candidate Tracker'!$E:$E,'Positions Tracker'!$B512,'Candidate Tracker'!$C:$C,"Offer Drop")),"")</f>
        <v/>
      </c>
      <c r="AZ512" s="80">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0.88111888111888115</v>
      </c>
      <c r="BA512" s="81" t="str">
        <f>IFERROR(IF(COUNTIFS('Candidate Tracker'!$E:$E,'Positions Tracker'!$B512,'Candidate Tracker'!$I:$I,"Female")=0,"",COUNTIFS('Candidate Tracker'!$E:$E,'Positions Tracker'!$B512,'Candidate Tracker'!$I:$I,"Female")),"")</f>
        <v/>
      </c>
      <c r="BB512" s="81" t="str">
        <f>IFERROR(IF(COUNTIFS('Candidate Tracker'!$E:$E,'Positions Tracker'!$B512,'Candidate Tracker'!$I:$I,"male")=0,"",COUNTIFS('Candidate Tracker'!$E:$E,'Positions Tracker'!$B512,'Candidate Tracker'!$I:$I,"male")),"")</f>
        <v/>
      </c>
      <c r="BC512" s="80" t="str">
        <f>IFERROR(IF(COUNTIFS('Candidate Tracker'!$E:$E,'Positions Tracker'!$B512,'Candidate Tracker'!$C:$C,"&lt;&gt;WIP",'Candidate Tracker'!$C:$C,"&lt;&gt;Hold",'Candidate Tracker'!$C:$C,"&lt;&gt;Cancelled",'Candidate Tracker'!$C:$C,"&lt;&gt;Closed")/COUNTIFS('Candidate Tracker'!$E:$E,'Positions Tracker'!$B512)=0,"",COUNTIFS('Candidate Tracker'!$E:$E,'Positions Tracker'!$B512,'Candidate Tracker'!$C:$C,"&lt;&gt;WIP",'Candidate Tracker'!$C:$C,"&lt;&gt;Hold",'Candidate Tracker'!$C:$C,"&lt;&gt;Cancelled",'Candidate Tracker'!$C:$C,"&lt;&gt;Closed")/COUNTIFS('Candidate Tracker'!$E:$E,'Positions Tracker'!$B512)),"")</f>
        <v/>
      </c>
      <c r="BD512" s="67" t="str">
        <f t="shared" si="42"/>
        <v/>
      </c>
      <c r="BE512" s="67" t="str">
        <f t="shared" si="43"/>
        <v/>
      </c>
      <c r="BF512" s="67" t="str">
        <f t="shared" si="44"/>
        <v/>
      </c>
      <c r="BG512" s="67" t="str">
        <f t="shared" si="45"/>
        <v/>
      </c>
    </row>
    <row r="513" spans="1:59">
      <c r="A513" s="55"/>
      <c r="B513" s="56"/>
      <c r="C513" s="56"/>
      <c r="D513" s="56"/>
      <c r="E513" s="56"/>
      <c r="F513" s="56"/>
      <c r="G513" s="56"/>
      <c r="H513" s="56"/>
      <c r="I513" s="6"/>
      <c r="J513" s="6"/>
      <c r="K513" s="57"/>
      <c r="L513" s="57"/>
      <c r="M513" s="57"/>
      <c r="N513" s="56"/>
      <c r="O513" s="56"/>
      <c r="P513" s="56"/>
      <c r="Q513" s="56"/>
      <c r="R513" s="56"/>
      <c r="S513" s="56"/>
      <c r="T513" s="56"/>
      <c r="U513" s="56"/>
      <c r="V513" s="56"/>
      <c r="W513" s="56"/>
      <c r="X513" s="56"/>
      <c r="Y513" s="56"/>
      <c r="Z513" s="56"/>
      <c r="AA513" s="56"/>
      <c r="AB513" s="56"/>
      <c r="AC513" s="56"/>
      <c r="AD513" s="56"/>
      <c r="AE513" s="56"/>
      <c r="AF513" s="56"/>
      <c r="AG513" s="56"/>
      <c r="AH513" s="56"/>
      <c r="AI513" s="58"/>
      <c r="AJ513" s="56"/>
      <c r="AK513" s="56"/>
      <c r="AL513" s="56"/>
      <c r="AM513" s="57"/>
      <c r="AN513" s="57"/>
      <c r="AO513" s="56"/>
      <c r="AP513" s="56"/>
      <c r="AQ513" s="57"/>
      <c r="AR513" s="57"/>
      <c r="AS513" s="57"/>
      <c r="AT513" s="67">
        <f t="shared" ca="1" si="46"/>
        <v>0</v>
      </c>
      <c r="AU513" s="79" t="str">
        <f t="shared" ca="1" si="47"/>
        <v/>
      </c>
      <c r="AV513" s="79" t="str" cm="1">
        <f t="array" aca="1" ref="AV513" ca="1">IFERROR(_xlfn.IFS($AU513="","",$AU513&lt;=15,"0-15",AND($AU513&gt;=16,$AU513&lt;=30),"16-30",AND($AU513&gt;=31,$AU513&lt;=45),"31-45",AND($AU513&gt;=46,$AU513&lt;=60),"46-60",AND($AU513&gt;=61,$AU513&lt;=90),"61-90",AND($AU513&gt;=91),"&gt; 90",AND($AU513&gt;=2000),""),"")</f>
        <v/>
      </c>
      <c r="AW513" s="79" t="str" cm="1">
        <f t="array" aca="1" ref="AW513" ca="1">IFERROR(_xlfn.IFS(OR($M513="",$AM513=""),"",OR($C513="Offered",$C513="Joined"),($AM513-$M513)-$AT513),"")</f>
        <v/>
      </c>
      <c r="AX513" s="79" t="str" cm="1">
        <f t="array" aca="1" ref="AX513" ca="1">IFERROR(_xlfn.IFS(OR($M513="",$AS513=""),"",$C513="Joined",($AS513-$M513)-$AT513),"")</f>
        <v/>
      </c>
      <c r="AY513" s="67" t="str">
        <f>IFERROR(IF(COUNTIFS('Candidate Tracker'!$E:$E,'Positions Tracker'!$B513,'Candidate Tracker'!$C:$C,"Offer Drop")=0,"",COUNTIFS('Candidate Tracker'!$E:$E,'Positions Tracker'!$B513,'Candidate Tracker'!$C:$C,"Offer Drop")),"")</f>
        <v/>
      </c>
      <c r="AZ513" s="80">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0.88111888111888115</v>
      </c>
      <c r="BA513" s="81" t="str">
        <f>IFERROR(IF(COUNTIFS('Candidate Tracker'!$E:$E,'Positions Tracker'!$B513,'Candidate Tracker'!$I:$I,"Female")=0,"",COUNTIFS('Candidate Tracker'!$E:$E,'Positions Tracker'!$B513,'Candidate Tracker'!$I:$I,"Female")),"")</f>
        <v/>
      </c>
      <c r="BB513" s="81" t="str">
        <f>IFERROR(IF(COUNTIFS('Candidate Tracker'!$E:$E,'Positions Tracker'!$B513,'Candidate Tracker'!$I:$I,"male")=0,"",COUNTIFS('Candidate Tracker'!$E:$E,'Positions Tracker'!$B513,'Candidate Tracker'!$I:$I,"male")),"")</f>
        <v/>
      </c>
      <c r="BC513" s="80" t="str">
        <f>IFERROR(IF(COUNTIFS('Candidate Tracker'!$E:$E,'Positions Tracker'!$B513,'Candidate Tracker'!$C:$C,"&lt;&gt;WIP",'Candidate Tracker'!$C:$C,"&lt;&gt;Hold",'Candidate Tracker'!$C:$C,"&lt;&gt;Cancelled",'Candidate Tracker'!$C:$C,"&lt;&gt;Closed")/COUNTIFS('Candidate Tracker'!$E:$E,'Positions Tracker'!$B513)=0,"",COUNTIFS('Candidate Tracker'!$E:$E,'Positions Tracker'!$B513,'Candidate Tracker'!$C:$C,"&lt;&gt;WIP",'Candidate Tracker'!$C:$C,"&lt;&gt;Hold",'Candidate Tracker'!$C:$C,"&lt;&gt;Cancelled",'Candidate Tracker'!$C:$C,"&lt;&gt;Closed")/COUNTIFS('Candidate Tracker'!$E:$E,'Positions Tracker'!$B513)),"")</f>
        <v/>
      </c>
      <c r="BD513" s="67" t="str">
        <f t="shared" ref="BD513:BD576" si="48">IFERROR(IF($M513="","",TEXT($M513,"MMM-YY")),"")</f>
        <v/>
      </c>
      <c r="BE513" s="67" t="str">
        <f t="shared" ref="BE513:BE576" si="49">IFERROR(IF($AI513="","",TEXT($AI513,"MMM-YY")),"")</f>
        <v/>
      </c>
      <c r="BF513" s="67" t="str">
        <f t="shared" ref="BF513:BF576" si="50">IFERROR(IF($AM513="","",TEXT($AM513,"MMM-YY")),"")</f>
        <v/>
      </c>
      <c r="BG513" s="67" t="str">
        <f t="shared" ref="BG513:BG576" si="51">IFERROR(IF($AS513="","",TEXT($AS513,"MMM-YY")),"")</f>
        <v/>
      </c>
    </row>
    <row r="514" spans="1:59">
      <c r="A514" s="55"/>
      <c r="B514" s="56"/>
      <c r="C514" s="56"/>
      <c r="D514" s="56"/>
      <c r="E514" s="56"/>
      <c r="F514" s="56"/>
      <c r="G514" s="56"/>
      <c r="H514" s="56"/>
      <c r="I514" s="6"/>
      <c r="J514" s="6"/>
      <c r="K514" s="57"/>
      <c r="L514" s="57"/>
      <c r="M514" s="57"/>
      <c r="N514" s="56"/>
      <c r="O514" s="56"/>
      <c r="P514" s="56"/>
      <c r="Q514" s="56"/>
      <c r="R514" s="56"/>
      <c r="S514" s="56"/>
      <c r="T514" s="56"/>
      <c r="U514" s="56"/>
      <c r="V514" s="56"/>
      <c r="W514" s="56"/>
      <c r="X514" s="56"/>
      <c r="Y514" s="56"/>
      <c r="Z514" s="56"/>
      <c r="AA514" s="56"/>
      <c r="AB514" s="56"/>
      <c r="AC514" s="56"/>
      <c r="AD514" s="56"/>
      <c r="AE514" s="56"/>
      <c r="AF514" s="56"/>
      <c r="AG514" s="56"/>
      <c r="AH514" s="56"/>
      <c r="AI514" s="58"/>
      <c r="AJ514" s="56"/>
      <c r="AK514" s="56"/>
      <c r="AL514" s="56"/>
      <c r="AM514" s="57"/>
      <c r="AN514" s="57"/>
      <c r="AO514" s="56"/>
      <c r="AP514" s="56"/>
      <c r="AQ514" s="57"/>
      <c r="AR514" s="57"/>
      <c r="AS514" s="57"/>
      <c r="AT514" s="67">
        <f t="shared" ref="AT514:AT577" ca="1" si="52">IFERROR(SUM(IF(AND(ISBLANK(T514),ISBLANK(Q514)),0,IF(T514="",TODAY()-Q514,T514-Q514))+IF(AND(ISBLANK(S514),ISBLANK(P514)),0,IF(S514="",TODAY()-P514,S514-P514))+IF(AND(ISBLANK(O514),ISBLANK(R514)),0,IF(R514="",TODAY()-O514,R514-O514))),"")</f>
        <v>0</v>
      </c>
      <c r="AU514" s="79" t="str">
        <f t="shared" ref="AU514:AU577" ca="1" si="53">IFERROR(IF(($M514=""),"",IF(OR(,$C514="Offer in Progress",$C514="WIP",$C514="WIP/Drop",$C514="WIP/New",$C514="WIP/Hold"),(TODAY()-$M514)-$AT514,"")),"")</f>
        <v/>
      </c>
      <c r="AV514" s="79" t="str" cm="1">
        <f t="array" aca="1" ref="AV514" ca="1">IFERROR(_xlfn.IFS($AU514="","",$AU514&lt;=15,"0-15",AND($AU514&gt;=16,$AU514&lt;=30),"16-30",AND($AU514&gt;=31,$AU514&lt;=45),"31-45",AND($AU514&gt;=46,$AU514&lt;=60),"46-60",AND($AU514&gt;=61,$AU514&lt;=90),"61-90",AND($AU514&gt;=91),"&gt; 90",AND($AU514&gt;=2000),""),"")</f>
        <v/>
      </c>
      <c r="AW514" s="79" t="str" cm="1">
        <f t="array" aca="1" ref="AW514" ca="1">IFERROR(_xlfn.IFS(OR($M514="",$AM514=""),"",OR($C514="Offered",$C514="Joined"),($AM514-$M514)-$AT514),"")</f>
        <v/>
      </c>
      <c r="AX514" s="79" t="str" cm="1">
        <f t="array" aca="1" ref="AX514" ca="1">IFERROR(_xlfn.IFS(OR($M514="",$AS514=""),"",$C514="Joined",($AS514-$M514)-$AT514),"")</f>
        <v/>
      </c>
      <c r="AY514" s="67" t="str">
        <f>IFERROR(IF(COUNTIFS('Candidate Tracker'!$E:$E,'Positions Tracker'!$B514,'Candidate Tracker'!$C:$C,"Offer Drop")=0,"",COUNTIFS('Candidate Tracker'!$E:$E,'Positions Tracker'!$B514,'Candidate Tracker'!$C:$C,"Offer Drop")),"")</f>
        <v/>
      </c>
      <c r="AZ514" s="80">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0.88111888111888115</v>
      </c>
      <c r="BA514" s="81" t="str">
        <f>IFERROR(IF(COUNTIFS('Candidate Tracker'!$E:$E,'Positions Tracker'!$B514,'Candidate Tracker'!$I:$I,"Female")=0,"",COUNTIFS('Candidate Tracker'!$E:$E,'Positions Tracker'!$B514,'Candidate Tracker'!$I:$I,"Female")),"")</f>
        <v/>
      </c>
      <c r="BB514" s="81" t="str">
        <f>IFERROR(IF(COUNTIFS('Candidate Tracker'!$E:$E,'Positions Tracker'!$B514,'Candidate Tracker'!$I:$I,"male")=0,"",COUNTIFS('Candidate Tracker'!$E:$E,'Positions Tracker'!$B514,'Candidate Tracker'!$I:$I,"male")),"")</f>
        <v/>
      </c>
      <c r="BC514" s="80" t="str">
        <f>IFERROR(IF(COUNTIFS('Candidate Tracker'!$E:$E,'Positions Tracker'!$B514,'Candidate Tracker'!$C:$C,"&lt;&gt;WIP",'Candidate Tracker'!$C:$C,"&lt;&gt;Hold",'Candidate Tracker'!$C:$C,"&lt;&gt;Cancelled",'Candidate Tracker'!$C:$C,"&lt;&gt;Closed")/COUNTIFS('Candidate Tracker'!$E:$E,'Positions Tracker'!$B514)=0,"",COUNTIFS('Candidate Tracker'!$E:$E,'Positions Tracker'!$B514,'Candidate Tracker'!$C:$C,"&lt;&gt;WIP",'Candidate Tracker'!$C:$C,"&lt;&gt;Hold",'Candidate Tracker'!$C:$C,"&lt;&gt;Cancelled",'Candidate Tracker'!$C:$C,"&lt;&gt;Closed")/COUNTIFS('Candidate Tracker'!$E:$E,'Positions Tracker'!$B514)),"")</f>
        <v/>
      </c>
      <c r="BD514" s="67" t="str">
        <f t="shared" si="48"/>
        <v/>
      </c>
      <c r="BE514" s="67" t="str">
        <f t="shared" si="49"/>
        <v/>
      </c>
      <c r="BF514" s="67" t="str">
        <f t="shared" si="50"/>
        <v/>
      </c>
      <c r="BG514" s="67" t="str">
        <f t="shared" si="51"/>
        <v/>
      </c>
    </row>
    <row r="515" spans="1:59">
      <c r="A515" s="55"/>
      <c r="B515" s="56"/>
      <c r="C515" s="56"/>
      <c r="D515" s="56"/>
      <c r="E515" s="56"/>
      <c r="F515" s="56"/>
      <c r="G515" s="56"/>
      <c r="H515" s="56"/>
      <c r="I515" s="6"/>
      <c r="J515" s="6"/>
      <c r="K515" s="57"/>
      <c r="L515" s="57"/>
      <c r="M515" s="57"/>
      <c r="N515" s="56"/>
      <c r="O515" s="56"/>
      <c r="P515" s="56"/>
      <c r="Q515" s="56"/>
      <c r="R515" s="56"/>
      <c r="S515" s="56"/>
      <c r="T515" s="56"/>
      <c r="U515" s="56"/>
      <c r="V515" s="56"/>
      <c r="W515" s="56"/>
      <c r="X515" s="56"/>
      <c r="Y515" s="56"/>
      <c r="Z515" s="56"/>
      <c r="AA515" s="56"/>
      <c r="AB515" s="56"/>
      <c r="AC515" s="56"/>
      <c r="AD515" s="56"/>
      <c r="AE515" s="56"/>
      <c r="AF515" s="56"/>
      <c r="AG515" s="56"/>
      <c r="AH515" s="56"/>
      <c r="AI515" s="58"/>
      <c r="AJ515" s="56"/>
      <c r="AK515" s="56"/>
      <c r="AL515" s="56"/>
      <c r="AM515" s="57"/>
      <c r="AN515" s="57"/>
      <c r="AO515" s="56"/>
      <c r="AP515" s="56"/>
      <c r="AQ515" s="57"/>
      <c r="AR515" s="57"/>
      <c r="AS515" s="57"/>
      <c r="AT515" s="67">
        <f t="shared" ca="1" si="52"/>
        <v>0</v>
      </c>
      <c r="AU515" s="79" t="str">
        <f t="shared" ca="1" si="53"/>
        <v/>
      </c>
      <c r="AV515" s="79" t="str" cm="1">
        <f t="array" aca="1" ref="AV515" ca="1">IFERROR(_xlfn.IFS($AU515="","",$AU515&lt;=15,"0-15",AND($AU515&gt;=16,$AU515&lt;=30),"16-30",AND($AU515&gt;=31,$AU515&lt;=45),"31-45",AND($AU515&gt;=46,$AU515&lt;=60),"46-60",AND($AU515&gt;=61,$AU515&lt;=90),"61-90",AND($AU515&gt;=91),"&gt; 90",AND($AU515&gt;=2000),""),"")</f>
        <v/>
      </c>
      <c r="AW515" s="79" t="str" cm="1">
        <f t="array" aca="1" ref="AW515" ca="1">IFERROR(_xlfn.IFS(OR($M515="",$AM515=""),"",OR($C515="Offered",$C515="Joined"),($AM515-$M515)-$AT515),"")</f>
        <v/>
      </c>
      <c r="AX515" s="79" t="str" cm="1">
        <f t="array" aca="1" ref="AX515" ca="1">IFERROR(_xlfn.IFS(OR($M515="",$AS515=""),"",$C515="Joined",($AS515-$M515)-$AT515),"")</f>
        <v/>
      </c>
      <c r="AY515" s="67" t="str">
        <f>IFERROR(IF(COUNTIFS('Candidate Tracker'!$E:$E,'Positions Tracker'!$B515,'Candidate Tracker'!$C:$C,"Offer Drop")=0,"",COUNTIFS('Candidate Tracker'!$E:$E,'Positions Tracker'!$B515,'Candidate Tracker'!$C:$C,"Offer Drop")),"")</f>
        <v/>
      </c>
      <c r="AZ515" s="80">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0.88111888111888115</v>
      </c>
      <c r="BA515" s="81" t="str">
        <f>IFERROR(IF(COUNTIFS('Candidate Tracker'!$E:$E,'Positions Tracker'!$B515,'Candidate Tracker'!$I:$I,"Female")=0,"",COUNTIFS('Candidate Tracker'!$E:$E,'Positions Tracker'!$B515,'Candidate Tracker'!$I:$I,"Female")),"")</f>
        <v/>
      </c>
      <c r="BB515" s="81" t="str">
        <f>IFERROR(IF(COUNTIFS('Candidate Tracker'!$E:$E,'Positions Tracker'!$B515,'Candidate Tracker'!$I:$I,"male")=0,"",COUNTIFS('Candidate Tracker'!$E:$E,'Positions Tracker'!$B515,'Candidate Tracker'!$I:$I,"male")),"")</f>
        <v/>
      </c>
      <c r="BC515" s="80" t="str">
        <f>IFERROR(IF(COUNTIFS('Candidate Tracker'!$E:$E,'Positions Tracker'!$B515,'Candidate Tracker'!$C:$C,"&lt;&gt;WIP",'Candidate Tracker'!$C:$C,"&lt;&gt;Hold",'Candidate Tracker'!$C:$C,"&lt;&gt;Cancelled",'Candidate Tracker'!$C:$C,"&lt;&gt;Closed")/COUNTIFS('Candidate Tracker'!$E:$E,'Positions Tracker'!$B515)=0,"",COUNTIFS('Candidate Tracker'!$E:$E,'Positions Tracker'!$B515,'Candidate Tracker'!$C:$C,"&lt;&gt;WIP",'Candidate Tracker'!$C:$C,"&lt;&gt;Hold",'Candidate Tracker'!$C:$C,"&lt;&gt;Cancelled",'Candidate Tracker'!$C:$C,"&lt;&gt;Closed")/COUNTIFS('Candidate Tracker'!$E:$E,'Positions Tracker'!$B515)),"")</f>
        <v/>
      </c>
      <c r="BD515" s="67" t="str">
        <f t="shared" si="48"/>
        <v/>
      </c>
      <c r="BE515" s="67" t="str">
        <f t="shared" si="49"/>
        <v/>
      </c>
      <c r="BF515" s="67" t="str">
        <f t="shared" si="50"/>
        <v/>
      </c>
      <c r="BG515" s="67" t="str">
        <f t="shared" si="51"/>
        <v/>
      </c>
    </row>
    <row r="516" spans="1:59">
      <c r="A516" s="55"/>
      <c r="B516" s="56"/>
      <c r="C516" s="56"/>
      <c r="D516" s="56"/>
      <c r="E516" s="56"/>
      <c r="F516" s="56"/>
      <c r="G516" s="56"/>
      <c r="H516" s="56"/>
      <c r="I516" s="6"/>
      <c r="J516" s="6"/>
      <c r="K516" s="57"/>
      <c r="L516" s="57"/>
      <c r="M516" s="57"/>
      <c r="N516" s="56"/>
      <c r="O516" s="56"/>
      <c r="P516" s="56"/>
      <c r="Q516" s="56"/>
      <c r="R516" s="56"/>
      <c r="S516" s="56"/>
      <c r="T516" s="56"/>
      <c r="U516" s="56"/>
      <c r="V516" s="56"/>
      <c r="W516" s="56"/>
      <c r="X516" s="56"/>
      <c r="Y516" s="56"/>
      <c r="Z516" s="56"/>
      <c r="AA516" s="56"/>
      <c r="AB516" s="56"/>
      <c r="AC516" s="56"/>
      <c r="AD516" s="56"/>
      <c r="AE516" s="56"/>
      <c r="AF516" s="56"/>
      <c r="AG516" s="56"/>
      <c r="AH516" s="56"/>
      <c r="AI516" s="58"/>
      <c r="AJ516" s="56"/>
      <c r="AK516" s="56"/>
      <c r="AL516" s="56"/>
      <c r="AM516" s="57"/>
      <c r="AN516" s="57"/>
      <c r="AO516" s="56"/>
      <c r="AP516" s="56"/>
      <c r="AQ516" s="57"/>
      <c r="AR516" s="57"/>
      <c r="AS516" s="57"/>
      <c r="AT516" s="67">
        <f t="shared" ca="1" si="52"/>
        <v>0</v>
      </c>
      <c r="AU516" s="79" t="str">
        <f t="shared" ca="1" si="53"/>
        <v/>
      </c>
      <c r="AV516" s="79" t="str" cm="1">
        <f t="array" aca="1" ref="AV516" ca="1">IFERROR(_xlfn.IFS($AU516="","",$AU516&lt;=15,"0-15",AND($AU516&gt;=16,$AU516&lt;=30),"16-30",AND($AU516&gt;=31,$AU516&lt;=45),"31-45",AND($AU516&gt;=46,$AU516&lt;=60),"46-60",AND($AU516&gt;=61,$AU516&lt;=90),"61-90",AND($AU516&gt;=91),"&gt; 90",AND($AU516&gt;=2000),""),"")</f>
        <v/>
      </c>
      <c r="AW516" s="79" t="str" cm="1">
        <f t="array" aca="1" ref="AW516" ca="1">IFERROR(_xlfn.IFS(OR($M516="",$AM516=""),"",OR($C516="Offered",$C516="Joined"),($AM516-$M516)-$AT516),"")</f>
        <v/>
      </c>
      <c r="AX516" s="79" t="str" cm="1">
        <f t="array" aca="1" ref="AX516" ca="1">IFERROR(_xlfn.IFS(OR($M516="",$AS516=""),"",$C516="Joined",($AS516-$M516)-$AT516),"")</f>
        <v/>
      </c>
      <c r="AY516" s="67" t="str">
        <f>IFERROR(IF(COUNTIFS('Candidate Tracker'!$E:$E,'Positions Tracker'!$B516,'Candidate Tracker'!$C:$C,"Offer Drop")=0,"",COUNTIFS('Candidate Tracker'!$E:$E,'Positions Tracker'!$B516,'Candidate Tracker'!$C:$C,"Offer Drop")),"")</f>
        <v/>
      </c>
      <c r="AZ516" s="80">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0.88111888111888115</v>
      </c>
      <c r="BA516" s="81" t="str">
        <f>IFERROR(IF(COUNTIFS('Candidate Tracker'!$E:$E,'Positions Tracker'!$B516,'Candidate Tracker'!$I:$I,"Female")=0,"",COUNTIFS('Candidate Tracker'!$E:$E,'Positions Tracker'!$B516,'Candidate Tracker'!$I:$I,"Female")),"")</f>
        <v/>
      </c>
      <c r="BB516" s="81" t="str">
        <f>IFERROR(IF(COUNTIFS('Candidate Tracker'!$E:$E,'Positions Tracker'!$B516,'Candidate Tracker'!$I:$I,"male")=0,"",COUNTIFS('Candidate Tracker'!$E:$E,'Positions Tracker'!$B516,'Candidate Tracker'!$I:$I,"male")),"")</f>
        <v/>
      </c>
      <c r="BC516" s="80" t="str">
        <f>IFERROR(IF(COUNTIFS('Candidate Tracker'!$E:$E,'Positions Tracker'!$B516,'Candidate Tracker'!$C:$C,"&lt;&gt;WIP",'Candidate Tracker'!$C:$C,"&lt;&gt;Hold",'Candidate Tracker'!$C:$C,"&lt;&gt;Cancelled",'Candidate Tracker'!$C:$C,"&lt;&gt;Closed")/COUNTIFS('Candidate Tracker'!$E:$E,'Positions Tracker'!$B516)=0,"",COUNTIFS('Candidate Tracker'!$E:$E,'Positions Tracker'!$B516,'Candidate Tracker'!$C:$C,"&lt;&gt;WIP",'Candidate Tracker'!$C:$C,"&lt;&gt;Hold",'Candidate Tracker'!$C:$C,"&lt;&gt;Cancelled",'Candidate Tracker'!$C:$C,"&lt;&gt;Closed")/COUNTIFS('Candidate Tracker'!$E:$E,'Positions Tracker'!$B516)),"")</f>
        <v/>
      </c>
      <c r="BD516" s="67" t="str">
        <f t="shared" si="48"/>
        <v/>
      </c>
      <c r="BE516" s="67" t="str">
        <f t="shared" si="49"/>
        <v/>
      </c>
      <c r="BF516" s="67" t="str">
        <f t="shared" si="50"/>
        <v/>
      </c>
      <c r="BG516" s="67" t="str">
        <f t="shared" si="51"/>
        <v/>
      </c>
    </row>
    <row r="517" spans="1:59">
      <c r="A517" s="55"/>
      <c r="B517" s="56"/>
      <c r="C517" s="56"/>
      <c r="D517" s="56"/>
      <c r="E517" s="56"/>
      <c r="F517" s="56"/>
      <c r="G517" s="56"/>
      <c r="H517" s="56"/>
      <c r="I517" s="6"/>
      <c r="J517" s="6"/>
      <c r="K517" s="57"/>
      <c r="L517" s="57"/>
      <c r="M517" s="57"/>
      <c r="N517" s="56"/>
      <c r="O517" s="56"/>
      <c r="P517" s="56"/>
      <c r="Q517" s="56"/>
      <c r="R517" s="56"/>
      <c r="S517" s="56"/>
      <c r="T517" s="56"/>
      <c r="U517" s="56"/>
      <c r="V517" s="56"/>
      <c r="W517" s="56"/>
      <c r="X517" s="56"/>
      <c r="Y517" s="56"/>
      <c r="Z517" s="56"/>
      <c r="AA517" s="56"/>
      <c r="AB517" s="56"/>
      <c r="AC517" s="56"/>
      <c r="AD517" s="56"/>
      <c r="AE517" s="56"/>
      <c r="AF517" s="56"/>
      <c r="AG517" s="56"/>
      <c r="AH517" s="56"/>
      <c r="AI517" s="58"/>
      <c r="AJ517" s="56"/>
      <c r="AK517" s="56"/>
      <c r="AL517" s="56"/>
      <c r="AM517" s="57"/>
      <c r="AN517" s="57"/>
      <c r="AO517" s="56"/>
      <c r="AP517" s="56"/>
      <c r="AQ517" s="57"/>
      <c r="AR517" s="57"/>
      <c r="AS517" s="57"/>
      <c r="AT517" s="67">
        <f t="shared" ca="1" si="52"/>
        <v>0</v>
      </c>
      <c r="AU517" s="79" t="str">
        <f t="shared" ca="1" si="53"/>
        <v/>
      </c>
      <c r="AV517" s="79" t="str" cm="1">
        <f t="array" aca="1" ref="AV517" ca="1">IFERROR(_xlfn.IFS($AU517="","",$AU517&lt;=15,"0-15",AND($AU517&gt;=16,$AU517&lt;=30),"16-30",AND($AU517&gt;=31,$AU517&lt;=45),"31-45",AND($AU517&gt;=46,$AU517&lt;=60),"46-60",AND($AU517&gt;=61,$AU517&lt;=90),"61-90",AND($AU517&gt;=91),"&gt; 90",AND($AU517&gt;=2000),""),"")</f>
        <v/>
      </c>
      <c r="AW517" s="79" t="str" cm="1">
        <f t="array" aca="1" ref="AW517" ca="1">IFERROR(_xlfn.IFS(OR($M517="",$AM517=""),"",OR($C517="Offered",$C517="Joined"),($AM517-$M517)-$AT517),"")</f>
        <v/>
      </c>
      <c r="AX517" s="79" t="str" cm="1">
        <f t="array" aca="1" ref="AX517" ca="1">IFERROR(_xlfn.IFS(OR($M517="",$AS517=""),"",$C517="Joined",($AS517-$M517)-$AT517),"")</f>
        <v/>
      </c>
      <c r="AY517" s="67" t="str">
        <f>IFERROR(IF(COUNTIFS('Candidate Tracker'!$E:$E,'Positions Tracker'!$B517,'Candidate Tracker'!$C:$C,"Offer Drop")=0,"",COUNTIFS('Candidate Tracker'!$E:$E,'Positions Tracker'!$B517,'Candidate Tracker'!$C:$C,"Offer Drop")),"")</f>
        <v/>
      </c>
      <c r="AZ517" s="80">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0.88111888111888115</v>
      </c>
      <c r="BA517" s="81" t="str">
        <f>IFERROR(IF(COUNTIFS('Candidate Tracker'!$E:$E,'Positions Tracker'!$B517,'Candidate Tracker'!$I:$I,"Female")=0,"",COUNTIFS('Candidate Tracker'!$E:$E,'Positions Tracker'!$B517,'Candidate Tracker'!$I:$I,"Female")),"")</f>
        <v/>
      </c>
      <c r="BB517" s="81" t="str">
        <f>IFERROR(IF(COUNTIFS('Candidate Tracker'!$E:$E,'Positions Tracker'!$B517,'Candidate Tracker'!$I:$I,"male")=0,"",COUNTIFS('Candidate Tracker'!$E:$E,'Positions Tracker'!$B517,'Candidate Tracker'!$I:$I,"male")),"")</f>
        <v/>
      </c>
      <c r="BC517" s="80" t="str">
        <f>IFERROR(IF(COUNTIFS('Candidate Tracker'!$E:$E,'Positions Tracker'!$B517,'Candidate Tracker'!$C:$C,"&lt;&gt;WIP",'Candidate Tracker'!$C:$C,"&lt;&gt;Hold",'Candidate Tracker'!$C:$C,"&lt;&gt;Cancelled",'Candidate Tracker'!$C:$C,"&lt;&gt;Closed")/COUNTIFS('Candidate Tracker'!$E:$E,'Positions Tracker'!$B517)=0,"",COUNTIFS('Candidate Tracker'!$E:$E,'Positions Tracker'!$B517,'Candidate Tracker'!$C:$C,"&lt;&gt;WIP",'Candidate Tracker'!$C:$C,"&lt;&gt;Hold",'Candidate Tracker'!$C:$C,"&lt;&gt;Cancelled",'Candidate Tracker'!$C:$C,"&lt;&gt;Closed")/COUNTIFS('Candidate Tracker'!$E:$E,'Positions Tracker'!$B517)),"")</f>
        <v/>
      </c>
      <c r="BD517" s="67" t="str">
        <f t="shared" si="48"/>
        <v/>
      </c>
      <c r="BE517" s="67" t="str">
        <f t="shared" si="49"/>
        <v/>
      </c>
      <c r="BF517" s="67" t="str">
        <f t="shared" si="50"/>
        <v/>
      </c>
      <c r="BG517" s="67" t="str">
        <f t="shared" si="51"/>
        <v/>
      </c>
    </row>
    <row r="518" spans="1:59">
      <c r="A518" s="55"/>
      <c r="B518" s="56"/>
      <c r="C518" s="56"/>
      <c r="D518" s="56"/>
      <c r="E518" s="56"/>
      <c r="F518" s="56"/>
      <c r="G518" s="56"/>
      <c r="H518" s="56"/>
      <c r="I518" s="6"/>
      <c r="J518" s="6"/>
      <c r="K518" s="57"/>
      <c r="L518" s="57"/>
      <c r="M518" s="57"/>
      <c r="N518" s="56"/>
      <c r="O518" s="56"/>
      <c r="P518" s="56"/>
      <c r="Q518" s="56"/>
      <c r="R518" s="56"/>
      <c r="S518" s="56"/>
      <c r="T518" s="56"/>
      <c r="U518" s="56"/>
      <c r="V518" s="56"/>
      <c r="W518" s="56"/>
      <c r="X518" s="56"/>
      <c r="Y518" s="56"/>
      <c r="Z518" s="56"/>
      <c r="AA518" s="56"/>
      <c r="AB518" s="56"/>
      <c r="AC518" s="56"/>
      <c r="AD518" s="56"/>
      <c r="AE518" s="56"/>
      <c r="AF518" s="56"/>
      <c r="AG518" s="56"/>
      <c r="AH518" s="56"/>
      <c r="AI518" s="58"/>
      <c r="AJ518" s="56"/>
      <c r="AK518" s="56"/>
      <c r="AL518" s="56"/>
      <c r="AM518" s="57"/>
      <c r="AN518" s="57"/>
      <c r="AO518" s="56"/>
      <c r="AP518" s="56"/>
      <c r="AQ518" s="57"/>
      <c r="AR518" s="57"/>
      <c r="AS518" s="57"/>
      <c r="AT518" s="67">
        <f t="shared" ca="1" si="52"/>
        <v>0</v>
      </c>
      <c r="AU518" s="79" t="str">
        <f t="shared" ca="1" si="53"/>
        <v/>
      </c>
      <c r="AV518" s="79" t="str" cm="1">
        <f t="array" aca="1" ref="AV518" ca="1">IFERROR(_xlfn.IFS($AU518="","",$AU518&lt;=15,"0-15",AND($AU518&gt;=16,$AU518&lt;=30),"16-30",AND($AU518&gt;=31,$AU518&lt;=45),"31-45",AND($AU518&gt;=46,$AU518&lt;=60),"46-60",AND($AU518&gt;=61,$AU518&lt;=90),"61-90",AND($AU518&gt;=91),"&gt; 90",AND($AU518&gt;=2000),""),"")</f>
        <v/>
      </c>
      <c r="AW518" s="79" t="str" cm="1">
        <f t="array" aca="1" ref="AW518" ca="1">IFERROR(_xlfn.IFS(OR($M518="",$AM518=""),"",OR($C518="Offered",$C518="Joined"),($AM518-$M518)-$AT518),"")</f>
        <v/>
      </c>
      <c r="AX518" s="79" t="str" cm="1">
        <f t="array" aca="1" ref="AX518" ca="1">IFERROR(_xlfn.IFS(OR($M518="",$AS518=""),"",$C518="Joined",($AS518-$M518)-$AT518),"")</f>
        <v/>
      </c>
      <c r="AY518" s="67" t="str">
        <f>IFERROR(IF(COUNTIFS('Candidate Tracker'!$E:$E,'Positions Tracker'!$B518,'Candidate Tracker'!$C:$C,"Offer Drop")=0,"",COUNTIFS('Candidate Tracker'!$E:$E,'Positions Tracker'!$B518,'Candidate Tracker'!$C:$C,"Offer Drop")),"")</f>
        <v/>
      </c>
      <c r="AZ518" s="80">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0.88111888111888115</v>
      </c>
      <c r="BA518" s="81" t="str">
        <f>IFERROR(IF(COUNTIFS('Candidate Tracker'!$E:$E,'Positions Tracker'!$B518,'Candidate Tracker'!$I:$I,"Female")=0,"",COUNTIFS('Candidate Tracker'!$E:$E,'Positions Tracker'!$B518,'Candidate Tracker'!$I:$I,"Female")),"")</f>
        <v/>
      </c>
      <c r="BB518" s="81" t="str">
        <f>IFERROR(IF(COUNTIFS('Candidate Tracker'!$E:$E,'Positions Tracker'!$B518,'Candidate Tracker'!$I:$I,"male")=0,"",COUNTIFS('Candidate Tracker'!$E:$E,'Positions Tracker'!$B518,'Candidate Tracker'!$I:$I,"male")),"")</f>
        <v/>
      </c>
      <c r="BC518" s="80" t="str">
        <f>IFERROR(IF(COUNTIFS('Candidate Tracker'!$E:$E,'Positions Tracker'!$B518,'Candidate Tracker'!$C:$C,"&lt;&gt;WIP",'Candidate Tracker'!$C:$C,"&lt;&gt;Hold",'Candidate Tracker'!$C:$C,"&lt;&gt;Cancelled",'Candidate Tracker'!$C:$C,"&lt;&gt;Closed")/COUNTIFS('Candidate Tracker'!$E:$E,'Positions Tracker'!$B518)=0,"",COUNTIFS('Candidate Tracker'!$E:$E,'Positions Tracker'!$B518,'Candidate Tracker'!$C:$C,"&lt;&gt;WIP",'Candidate Tracker'!$C:$C,"&lt;&gt;Hold",'Candidate Tracker'!$C:$C,"&lt;&gt;Cancelled",'Candidate Tracker'!$C:$C,"&lt;&gt;Closed")/COUNTIFS('Candidate Tracker'!$E:$E,'Positions Tracker'!$B518)),"")</f>
        <v/>
      </c>
      <c r="BD518" s="67" t="str">
        <f t="shared" si="48"/>
        <v/>
      </c>
      <c r="BE518" s="67" t="str">
        <f t="shared" si="49"/>
        <v/>
      </c>
      <c r="BF518" s="67" t="str">
        <f t="shared" si="50"/>
        <v/>
      </c>
      <c r="BG518" s="67" t="str">
        <f t="shared" si="51"/>
        <v/>
      </c>
    </row>
    <row r="519" spans="1:59">
      <c r="A519" s="55"/>
      <c r="B519" s="56"/>
      <c r="C519" s="56"/>
      <c r="D519" s="56"/>
      <c r="E519" s="56"/>
      <c r="F519" s="56"/>
      <c r="G519" s="56"/>
      <c r="H519" s="56"/>
      <c r="I519" s="6"/>
      <c r="J519" s="6"/>
      <c r="K519" s="57"/>
      <c r="L519" s="57"/>
      <c r="M519" s="57"/>
      <c r="N519" s="56"/>
      <c r="O519" s="56"/>
      <c r="P519" s="56"/>
      <c r="Q519" s="56"/>
      <c r="R519" s="56"/>
      <c r="S519" s="56"/>
      <c r="T519" s="56"/>
      <c r="U519" s="56"/>
      <c r="V519" s="56"/>
      <c r="W519" s="56"/>
      <c r="X519" s="56"/>
      <c r="Y519" s="56"/>
      <c r="Z519" s="56"/>
      <c r="AA519" s="56"/>
      <c r="AB519" s="56"/>
      <c r="AC519" s="56"/>
      <c r="AD519" s="56"/>
      <c r="AE519" s="56"/>
      <c r="AF519" s="56"/>
      <c r="AG519" s="56"/>
      <c r="AH519" s="56"/>
      <c r="AI519" s="58"/>
      <c r="AJ519" s="56"/>
      <c r="AK519" s="56"/>
      <c r="AL519" s="56"/>
      <c r="AM519" s="57"/>
      <c r="AN519" s="57"/>
      <c r="AO519" s="56"/>
      <c r="AP519" s="56"/>
      <c r="AQ519" s="57"/>
      <c r="AR519" s="57"/>
      <c r="AS519" s="57"/>
      <c r="AT519" s="67">
        <f t="shared" ca="1" si="52"/>
        <v>0</v>
      </c>
      <c r="AU519" s="79" t="str">
        <f t="shared" ca="1" si="53"/>
        <v/>
      </c>
      <c r="AV519" s="79" t="str" cm="1">
        <f t="array" aca="1" ref="AV519" ca="1">IFERROR(_xlfn.IFS($AU519="","",$AU519&lt;=15,"0-15",AND($AU519&gt;=16,$AU519&lt;=30),"16-30",AND($AU519&gt;=31,$AU519&lt;=45),"31-45",AND($AU519&gt;=46,$AU519&lt;=60),"46-60",AND($AU519&gt;=61,$AU519&lt;=90),"61-90",AND($AU519&gt;=91),"&gt; 90",AND($AU519&gt;=2000),""),"")</f>
        <v/>
      </c>
      <c r="AW519" s="79" t="str" cm="1">
        <f t="array" aca="1" ref="AW519" ca="1">IFERROR(_xlfn.IFS(OR($M519="",$AM519=""),"",OR($C519="Offered",$C519="Joined"),($AM519-$M519)-$AT519),"")</f>
        <v/>
      </c>
      <c r="AX519" s="79" t="str" cm="1">
        <f t="array" aca="1" ref="AX519" ca="1">IFERROR(_xlfn.IFS(OR($M519="",$AS519=""),"",$C519="Joined",($AS519-$M519)-$AT519),"")</f>
        <v/>
      </c>
      <c r="AY519" s="67" t="str">
        <f>IFERROR(IF(COUNTIFS('Candidate Tracker'!$E:$E,'Positions Tracker'!$B519,'Candidate Tracker'!$C:$C,"Offer Drop")=0,"",COUNTIFS('Candidate Tracker'!$E:$E,'Positions Tracker'!$B519,'Candidate Tracker'!$C:$C,"Offer Drop")),"")</f>
        <v/>
      </c>
      <c r="AZ519" s="80">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0.88111888111888115</v>
      </c>
      <c r="BA519" s="81" t="str">
        <f>IFERROR(IF(COUNTIFS('Candidate Tracker'!$E:$E,'Positions Tracker'!$B519,'Candidate Tracker'!$I:$I,"Female")=0,"",COUNTIFS('Candidate Tracker'!$E:$E,'Positions Tracker'!$B519,'Candidate Tracker'!$I:$I,"Female")),"")</f>
        <v/>
      </c>
      <c r="BB519" s="81" t="str">
        <f>IFERROR(IF(COUNTIFS('Candidate Tracker'!$E:$E,'Positions Tracker'!$B519,'Candidate Tracker'!$I:$I,"male")=0,"",COUNTIFS('Candidate Tracker'!$E:$E,'Positions Tracker'!$B519,'Candidate Tracker'!$I:$I,"male")),"")</f>
        <v/>
      </c>
      <c r="BC519" s="80" t="str">
        <f>IFERROR(IF(COUNTIFS('Candidate Tracker'!$E:$E,'Positions Tracker'!$B519,'Candidate Tracker'!$C:$C,"&lt;&gt;WIP",'Candidate Tracker'!$C:$C,"&lt;&gt;Hold",'Candidate Tracker'!$C:$C,"&lt;&gt;Cancelled",'Candidate Tracker'!$C:$C,"&lt;&gt;Closed")/COUNTIFS('Candidate Tracker'!$E:$E,'Positions Tracker'!$B519)=0,"",COUNTIFS('Candidate Tracker'!$E:$E,'Positions Tracker'!$B519,'Candidate Tracker'!$C:$C,"&lt;&gt;WIP",'Candidate Tracker'!$C:$C,"&lt;&gt;Hold",'Candidate Tracker'!$C:$C,"&lt;&gt;Cancelled",'Candidate Tracker'!$C:$C,"&lt;&gt;Closed")/COUNTIFS('Candidate Tracker'!$E:$E,'Positions Tracker'!$B519)),"")</f>
        <v/>
      </c>
      <c r="BD519" s="67" t="str">
        <f t="shared" si="48"/>
        <v/>
      </c>
      <c r="BE519" s="67" t="str">
        <f t="shared" si="49"/>
        <v/>
      </c>
      <c r="BF519" s="67" t="str">
        <f t="shared" si="50"/>
        <v/>
      </c>
      <c r="BG519" s="67" t="str">
        <f t="shared" si="51"/>
        <v/>
      </c>
    </row>
    <row r="520" spans="1:59">
      <c r="A520" s="55"/>
      <c r="B520" s="56"/>
      <c r="C520" s="56"/>
      <c r="D520" s="56"/>
      <c r="E520" s="56"/>
      <c r="F520" s="56"/>
      <c r="G520" s="56"/>
      <c r="H520" s="56"/>
      <c r="I520" s="6"/>
      <c r="J520" s="6"/>
      <c r="K520" s="57"/>
      <c r="L520" s="57"/>
      <c r="M520" s="57"/>
      <c r="N520" s="56"/>
      <c r="O520" s="56"/>
      <c r="P520" s="56"/>
      <c r="Q520" s="56"/>
      <c r="R520" s="56"/>
      <c r="S520" s="56"/>
      <c r="T520" s="56"/>
      <c r="U520" s="56"/>
      <c r="V520" s="56"/>
      <c r="W520" s="56"/>
      <c r="X520" s="56"/>
      <c r="Y520" s="56"/>
      <c r="Z520" s="56"/>
      <c r="AA520" s="56"/>
      <c r="AB520" s="56"/>
      <c r="AC520" s="56"/>
      <c r="AD520" s="56"/>
      <c r="AE520" s="56"/>
      <c r="AF520" s="56"/>
      <c r="AG520" s="56"/>
      <c r="AH520" s="56"/>
      <c r="AI520" s="58"/>
      <c r="AJ520" s="56"/>
      <c r="AK520" s="56"/>
      <c r="AL520" s="56"/>
      <c r="AM520" s="57"/>
      <c r="AN520" s="57"/>
      <c r="AO520" s="56"/>
      <c r="AP520" s="56"/>
      <c r="AQ520" s="57"/>
      <c r="AR520" s="57"/>
      <c r="AS520" s="57"/>
      <c r="AT520" s="67">
        <f t="shared" ca="1" si="52"/>
        <v>0</v>
      </c>
      <c r="AU520" s="79" t="str">
        <f t="shared" ca="1" si="53"/>
        <v/>
      </c>
      <c r="AV520" s="79" t="str" cm="1">
        <f t="array" aca="1" ref="AV520" ca="1">IFERROR(_xlfn.IFS($AU520="","",$AU520&lt;=15,"0-15",AND($AU520&gt;=16,$AU520&lt;=30),"16-30",AND($AU520&gt;=31,$AU520&lt;=45),"31-45",AND($AU520&gt;=46,$AU520&lt;=60),"46-60",AND($AU520&gt;=61,$AU520&lt;=90),"61-90",AND($AU520&gt;=91),"&gt; 90",AND($AU520&gt;=2000),""),"")</f>
        <v/>
      </c>
      <c r="AW520" s="79" t="str" cm="1">
        <f t="array" aca="1" ref="AW520" ca="1">IFERROR(_xlfn.IFS(OR($M520="",$AM520=""),"",OR($C520="Offered",$C520="Joined"),($AM520-$M520)-$AT520),"")</f>
        <v/>
      </c>
      <c r="AX520" s="79" t="str" cm="1">
        <f t="array" aca="1" ref="AX520" ca="1">IFERROR(_xlfn.IFS(OR($M520="",$AS520=""),"",$C520="Joined",($AS520-$M520)-$AT520),"")</f>
        <v/>
      </c>
      <c r="AY520" s="67" t="str">
        <f>IFERROR(IF(COUNTIFS('Candidate Tracker'!$E:$E,'Positions Tracker'!$B520,'Candidate Tracker'!$C:$C,"Offer Drop")=0,"",COUNTIFS('Candidate Tracker'!$E:$E,'Positions Tracker'!$B520,'Candidate Tracker'!$C:$C,"Offer Drop")),"")</f>
        <v/>
      </c>
      <c r="AZ520" s="80">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0.88111888111888115</v>
      </c>
      <c r="BA520" s="81" t="str">
        <f>IFERROR(IF(COUNTIFS('Candidate Tracker'!$E:$E,'Positions Tracker'!$B520,'Candidate Tracker'!$I:$I,"Female")=0,"",COUNTIFS('Candidate Tracker'!$E:$E,'Positions Tracker'!$B520,'Candidate Tracker'!$I:$I,"Female")),"")</f>
        <v/>
      </c>
      <c r="BB520" s="81" t="str">
        <f>IFERROR(IF(COUNTIFS('Candidate Tracker'!$E:$E,'Positions Tracker'!$B520,'Candidate Tracker'!$I:$I,"male")=0,"",COUNTIFS('Candidate Tracker'!$E:$E,'Positions Tracker'!$B520,'Candidate Tracker'!$I:$I,"male")),"")</f>
        <v/>
      </c>
      <c r="BC520" s="80" t="str">
        <f>IFERROR(IF(COUNTIFS('Candidate Tracker'!$E:$E,'Positions Tracker'!$B520,'Candidate Tracker'!$C:$C,"&lt;&gt;WIP",'Candidate Tracker'!$C:$C,"&lt;&gt;Hold",'Candidate Tracker'!$C:$C,"&lt;&gt;Cancelled",'Candidate Tracker'!$C:$C,"&lt;&gt;Closed")/COUNTIFS('Candidate Tracker'!$E:$E,'Positions Tracker'!$B520)=0,"",COUNTIFS('Candidate Tracker'!$E:$E,'Positions Tracker'!$B520,'Candidate Tracker'!$C:$C,"&lt;&gt;WIP",'Candidate Tracker'!$C:$C,"&lt;&gt;Hold",'Candidate Tracker'!$C:$C,"&lt;&gt;Cancelled",'Candidate Tracker'!$C:$C,"&lt;&gt;Closed")/COUNTIFS('Candidate Tracker'!$E:$E,'Positions Tracker'!$B520)),"")</f>
        <v/>
      </c>
      <c r="BD520" s="67" t="str">
        <f t="shared" si="48"/>
        <v/>
      </c>
      <c r="BE520" s="67" t="str">
        <f t="shared" si="49"/>
        <v/>
      </c>
      <c r="BF520" s="67" t="str">
        <f t="shared" si="50"/>
        <v/>
      </c>
      <c r="BG520" s="67" t="str">
        <f t="shared" si="51"/>
        <v/>
      </c>
    </row>
    <row r="521" spans="1:59">
      <c r="A521" s="55"/>
      <c r="B521" s="56"/>
      <c r="C521" s="56"/>
      <c r="D521" s="56"/>
      <c r="E521" s="56"/>
      <c r="F521" s="56"/>
      <c r="G521" s="56"/>
      <c r="H521" s="56"/>
      <c r="I521" s="6"/>
      <c r="J521" s="6"/>
      <c r="K521" s="57"/>
      <c r="L521" s="57"/>
      <c r="M521" s="57"/>
      <c r="N521" s="56"/>
      <c r="O521" s="56"/>
      <c r="P521" s="56"/>
      <c r="Q521" s="56"/>
      <c r="R521" s="56"/>
      <c r="S521" s="56"/>
      <c r="T521" s="56"/>
      <c r="U521" s="56"/>
      <c r="V521" s="56"/>
      <c r="W521" s="56"/>
      <c r="X521" s="56"/>
      <c r="Y521" s="56"/>
      <c r="Z521" s="56"/>
      <c r="AA521" s="56"/>
      <c r="AB521" s="56"/>
      <c r="AC521" s="56"/>
      <c r="AD521" s="56"/>
      <c r="AE521" s="56"/>
      <c r="AF521" s="56"/>
      <c r="AG521" s="56"/>
      <c r="AH521" s="56"/>
      <c r="AI521" s="58"/>
      <c r="AJ521" s="56"/>
      <c r="AK521" s="56"/>
      <c r="AL521" s="56"/>
      <c r="AM521" s="57"/>
      <c r="AN521" s="57"/>
      <c r="AO521" s="56"/>
      <c r="AP521" s="56"/>
      <c r="AQ521" s="57"/>
      <c r="AR521" s="57"/>
      <c r="AS521" s="57"/>
      <c r="AT521" s="67">
        <f t="shared" ca="1" si="52"/>
        <v>0</v>
      </c>
      <c r="AU521" s="79" t="str">
        <f t="shared" ca="1" si="53"/>
        <v/>
      </c>
      <c r="AV521" s="79" t="str" cm="1">
        <f t="array" aca="1" ref="AV521" ca="1">IFERROR(_xlfn.IFS($AU521="","",$AU521&lt;=15,"0-15",AND($AU521&gt;=16,$AU521&lt;=30),"16-30",AND($AU521&gt;=31,$AU521&lt;=45),"31-45",AND($AU521&gt;=46,$AU521&lt;=60),"46-60",AND($AU521&gt;=61,$AU521&lt;=90),"61-90",AND($AU521&gt;=91),"&gt; 90",AND($AU521&gt;=2000),""),"")</f>
        <v/>
      </c>
      <c r="AW521" s="79" t="str" cm="1">
        <f t="array" aca="1" ref="AW521" ca="1">IFERROR(_xlfn.IFS(OR($M521="",$AM521=""),"",OR($C521="Offered",$C521="Joined"),($AM521-$M521)-$AT521),"")</f>
        <v/>
      </c>
      <c r="AX521" s="79" t="str" cm="1">
        <f t="array" aca="1" ref="AX521" ca="1">IFERROR(_xlfn.IFS(OR($M521="",$AS521=""),"",$C521="Joined",($AS521-$M521)-$AT521),"")</f>
        <v/>
      </c>
      <c r="AY521" s="67" t="str">
        <f>IFERROR(IF(COUNTIFS('Candidate Tracker'!$E:$E,'Positions Tracker'!$B521,'Candidate Tracker'!$C:$C,"Offer Drop")=0,"",COUNTIFS('Candidate Tracker'!$E:$E,'Positions Tracker'!$B521,'Candidate Tracker'!$C:$C,"Offer Drop")),"")</f>
        <v/>
      </c>
      <c r="AZ521" s="80">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0.88111888111888115</v>
      </c>
      <c r="BA521" s="81" t="str">
        <f>IFERROR(IF(COUNTIFS('Candidate Tracker'!$E:$E,'Positions Tracker'!$B521,'Candidate Tracker'!$I:$I,"Female")=0,"",COUNTIFS('Candidate Tracker'!$E:$E,'Positions Tracker'!$B521,'Candidate Tracker'!$I:$I,"Female")),"")</f>
        <v/>
      </c>
      <c r="BB521" s="81" t="str">
        <f>IFERROR(IF(COUNTIFS('Candidate Tracker'!$E:$E,'Positions Tracker'!$B521,'Candidate Tracker'!$I:$I,"male")=0,"",COUNTIFS('Candidate Tracker'!$E:$E,'Positions Tracker'!$B521,'Candidate Tracker'!$I:$I,"male")),"")</f>
        <v/>
      </c>
      <c r="BC521" s="80" t="str">
        <f>IFERROR(IF(COUNTIFS('Candidate Tracker'!$E:$E,'Positions Tracker'!$B521,'Candidate Tracker'!$C:$C,"&lt;&gt;WIP",'Candidate Tracker'!$C:$C,"&lt;&gt;Hold",'Candidate Tracker'!$C:$C,"&lt;&gt;Cancelled",'Candidate Tracker'!$C:$C,"&lt;&gt;Closed")/COUNTIFS('Candidate Tracker'!$E:$E,'Positions Tracker'!$B521)=0,"",COUNTIFS('Candidate Tracker'!$E:$E,'Positions Tracker'!$B521,'Candidate Tracker'!$C:$C,"&lt;&gt;WIP",'Candidate Tracker'!$C:$C,"&lt;&gt;Hold",'Candidate Tracker'!$C:$C,"&lt;&gt;Cancelled",'Candidate Tracker'!$C:$C,"&lt;&gt;Closed")/COUNTIFS('Candidate Tracker'!$E:$E,'Positions Tracker'!$B521)),"")</f>
        <v/>
      </c>
      <c r="BD521" s="67" t="str">
        <f t="shared" si="48"/>
        <v/>
      </c>
      <c r="BE521" s="67" t="str">
        <f t="shared" si="49"/>
        <v/>
      </c>
      <c r="BF521" s="67" t="str">
        <f t="shared" si="50"/>
        <v/>
      </c>
      <c r="BG521" s="67" t="str">
        <f t="shared" si="51"/>
        <v/>
      </c>
    </row>
    <row r="522" spans="1:59">
      <c r="A522" s="55"/>
      <c r="B522" s="56"/>
      <c r="C522" s="56"/>
      <c r="D522" s="56"/>
      <c r="E522" s="56"/>
      <c r="F522" s="56"/>
      <c r="G522" s="56"/>
      <c r="H522" s="56"/>
      <c r="I522" s="6"/>
      <c r="J522" s="6"/>
      <c r="K522" s="57"/>
      <c r="L522" s="57"/>
      <c r="M522" s="57"/>
      <c r="N522" s="56"/>
      <c r="O522" s="56"/>
      <c r="P522" s="56"/>
      <c r="Q522" s="56"/>
      <c r="R522" s="56"/>
      <c r="S522" s="56"/>
      <c r="T522" s="56"/>
      <c r="U522" s="56"/>
      <c r="V522" s="56"/>
      <c r="W522" s="56"/>
      <c r="X522" s="56"/>
      <c r="Y522" s="56"/>
      <c r="Z522" s="56"/>
      <c r="AA522" s="56"/>
      <c r="AB522" s="56"/>
      <c r="AC522" s="56"/>
      <c r="AD522" s="56"/>
      <c r="AE522" s="56"/>
      <c r="AF522" s="56"/>
      <c r="AG522" s="56"/>
      <c r="AH522" s="56"/>
      <c r="AI522" s="58"/>
      <c r="AJ522" s="56"/>
      <c r="AK522" s="56"/>
      <c r="AL522" s="56"/>
      <c r="AM522" s="57"/>
      <c r="AN522" s="57"/>
      <c r="AO522" s="56"/>
      <c r="AP522" s="56"/>
      <c r="AQ522" s="57"/>
      <c r="AR522" s="57"/>
      <c r="AS522" s="57"/>
      <c r="AT522" s="67">
        <f t="shared" ca="1" si="52"/>
        <v>0</v>
      </c>
      <c r="AU522" s="79" t="str">
        <f t="shared" ca="1" si="53"/>
        <v/>
      </c>
      <c r="AV522" s="79" t="str" cm="1">
        <f t="array" aca="1" ref="AV522" ca="1">IFERROR(_xlfn.IFS($AU522="","",$AU522&lt;=15,"0-15",AND($AU522&gt;=16,$AU522&lt;=30),"16-30",AND($AU522&gt;=31,$AU522&lt;=45),"31-45",AND($AU522&gt;=46,$AU522&lt;=60),"46-60",AND($AU522&gt;=61,$AU522&lt;=90),"61-90",AND($AU522&gt;=91),"&gt; 90",AND($AU522&gt;=2000),""),"")</f>
        <v/>
      </c>
      <c r="AW522" s="79" t="str" cm="1">
        <f t="array" aca="1" ref="AW522" ca="1">IFERROR(_xlfn.IFS(OR($M522="",$AM522=""),"",OR($C522="Offered",$C522="Joined"),($AM522-$M522)-$AT522),"")</f>
        <v/>
      </c>
      <c r="AX522" s="79" t="str" cm="1">
        <f t="array" aca="1" ref="AX522" ca="1">IFERROR(_xlfn.IFS(OR($M522="",$AS522=""),"",$C522="Joined",($AS522-$M522)-$AT522),"")</f>
        <v/>
      </c>
      <c r="AY522" s="67" t="str">
        <f>IFERROR(IF(COUNTIFS('Candidate Tracker'!$E:$E,'Positions Tracker'!$B522,'Candidate Tracker'!$C:$C,"Offer Drop")=0,"",COUNTIFS('Candidate Tracker'!$E:$E,'Positions Tracker'!$B522,'Candidate Tracker'!$C:$C,"Offer Drop")),"")</f>
        <v/>
      </c>
      <c r="AZ522" s="80">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0.88111888111888115</v>
      </c>
      <c r="BA522" s="81" t="str">
        <f>IFERROR(IF(COUNTIFS('Candidate Tracker'!$E:$E,'Positions Tracker'!$B522,'Candidate Tracker'!$I:$I,"Female")=0,"",COUNTIFS('Candidate Tracker'!$E:$E,'Positions Tracker'!$B522,'Candidate Tracker'!$I:$I,"Female")),"")</f>
        <v/>
      </c>
      <c r="BB522" s="81" t="str">
        <f>IFERROR(IF(COUNTIFS('Candidate Tracker'!$E:$E,'Positions Tracker'!$B522,'Candidate Tracker'!$I:$I,"male")=0,"",COUNTIFS('Candidate Tracker'!$E:$E,'Positions Tracker'!$B522,'Candidate Tracker'!$I:$I,"male")),"")</f>
        <v/>
      </c>
      <c r="BC522" s="80" t="str">
        <f>IFERROR(IF(COUNTIFS('Candidate Tracker'!$E:$E,'Positions Tracker'!$B522,'Candidate Tracker'!$C:$C,"&lt;&gt;WIP",'Candidate Tracker'!$C:$C,"&lt;&gt;Hold",'Candidate Tracker'!$C:$C,"&lt;&gt;Cancelled",'Candidate Tracker'!$C:$C,"&lt;&gt;Closed")/COUNTIFS('Candidate Tracker'!$E:$E,'Positions Tracker'!$B522)=0,"",COUNTIFS('Candidate Tracker'!$E:$E,'Positions Tracker'!$B522,'Candidate Tracker'!$C:$C,"&lt;&gt;WIP",'Candidate Tracker'!$C:$C,"&lt;&gt;Hold",'Candidate Tracker'!$C:$C,"&lt;&gt;Cancelled",'Candidate Tracker'!$C:$C,"&lt;&gt;Closed")/COUNTIFS('Candidate Tracker'!$E:$E,'Positions Tracker'!$B522)),"")</f>
        <v/>
      </c>
      <c r="BD522" s="67" t="str">
        <f t="shared" si="48"/>
        <v/>
      </c>
      <c r="BE522" s="67" t="str">
        <f t="shared" si="49"/>
        <v/>
      </c>
      <c r="BF522" s="67" t="str">
        <f t="shared" si="50"/>
        <v/>
      </c>
      <c r="BG522" s="67" t="str">
        <f t="shared" si="51"/>
        <v/>
      </c>
    </row>
    <row r="523" spans="1:59">
      <c r="A523" s="55"/>
      <c r="B523" s="56"/>
      <c r="C523" s="56"/>
      <c r="D523" s="56"/>
      <c r="E523" s="56"/>
      <c r="F523" s="56"/>
      <c r="G523" s="56"/>
      <c r="H523" s="56"/>
      <c r="I523" s="6"/>
      <c r="J523" s="6"/>
      <c r="K523" s="57"/>
      <c r="L523" s="57"/>
      <c r="M523" s="57"/>
      <c r="N523" s="56"/>
      <c r="O523" s="56"/>
      <c r="P523" s="56"/>
      <c r="Q523" s="56"/>
      <c r="R523" s="56"/>
      <c r="S523" s="56"/>
      <c r="T523" s="56"/>
      <c r="U523" s="56"/>
      <c r="V523" s="56"/>
      <c r="W523" s="56"/>
      <c r="X523" s="56"/>
      <c r="Y523" s="56"/>
      <c r="Z523" s="56"/>
      <c r="AA523" s="56"/>
      <c r="AB523" s="56"/>
      <c r="AC523" s="56"/>
      <c r="AD523" s="56"/>
      <c r="AE523" s="56"/>
      <c r="AF523" s="56"/>
      <c r="AG523" s="56"/>
      <c r="AH523" s="56"/>
      <c r="AI523" s="58"/>
      <c r="AJ523" s="56"/>
      <c r="AK523" s="56"/>
      <c r="AL523" s="56"/>
      <c r="AM523" s="57"/>
      <c r="AN523" s="57"/>
      <c r="AO523" s="56"/>
      <c r="AP523" s="56"/>
      <c r="AQ523" s="57"/>
      <c r="AR523" s="57"/>
      <c r="AS523" s="57"/>
      <c r="AT523" s="67">
        <f t="shared" ca="1" si="52"/>
        <v>0</v>
      </c>
      <c r="AU523" s="79" t="str">
        <f t="shared" ca="1" si="53"/>
        <v/>
      </c>
      <c r="AV523" s="79" t="str" cm="1">
        <f t="array" aca="1" ref="AV523" ca="1">IFERROR(_xlfn.IFS($AU523="","",$AU523&lt;=15,"0-15",AND($AU523&gt;=16,$AU523&lt;=30),"16-30",AND($AU523&gt;=31,$AU523&lt;=45),"31-45",AND($AU523&gt;=46,$AU523&lt;=60),"46-60",AND($AU523&gt;=61,$AU523&lt;=90),"61-90",AND($AU523&gt;=91),"&gt; 90",AND($AU523&gt;=2000),""),"")</f>
        <v/>
      </c>
      <c r="AW523" s="79" t="str" cm="1">
        <f t="array" aca="1" ref="AW523" ca="1">IFERROR(_xlfn.IFS(OR($M523="",$AM523=""),"",OR($C523="Offered",$C523="Joined"),($AM523-$M523)-$AT523),"")</f>
        <v/>
      </c>
      <c r="AX523" s="79" t="str" cm="1">
        <f t="array" aca="1" ref="AX523" ca="1">IFERROR(_xlfn.IFS(OR($M523="",$AS523=""),"",$C523="Joined",($AS523-$M523)-$AT523),"")</f>
        <v/>
      </c>
      <c r="AY523" s="67" t="str">
        <f>IFERROR(IF(COUNTIFS('Candidate Tracker'!$E:$E,'Positions Tracker'!$B523,'Candidate Tracker'!$C:$C,"Offer Drop")=0,"",COUNTIFS('Candidate Tracker'!$E:$E,'Positions Tracker'!$B523,'Candidate Tracker'!$C:$C,"Offer Drop")),"")</f>
        <v/>
      </c>
      <c r="AZ523" s="80">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0.88111888111888115</v>
      </c>
      <c r="BA523" s="81" t="str">
        <f>IFERROR(IF(COUNTIFS('Candidate Tracker'!$E:$E,'Positions Tracker'!$B523,'Candidate Tracker'!$I:$I,"Female")=0,"",COUNTIFS('Candidate Tracker'!$E:$E,'Positions Tracker'!$B523,'Candidate Tracker'!$I:$I,"Female")),"")</f>
        <v/>
      </c>
      <c r="BB523" s="81" t="str">
        <f>IFERROR(IF(COUNTIFS('Candidate Tracker'!$E:$E,'Positions Tracker'!$B523,'Candidate Tracker'!$I:$I,"male")=0,"",COUNTIFS('Candidate Tracker'!$E:$E,'Positions Tracker'!$B523,'Candidate Tracker'!$I:$I,"male")),"")</f>
        <v/>
      </c>
      <c r="BC523" s="80" t="str">
        <f>IFERROR(IF(COUNTIFS('Candidate Tracker'!$E:$E,'Positions Tracker'!$B523,'Candidate Tracker'!$C:$C,"&lt;&gt;WIP",'Candidate Tracker'!$C:$C,"&lt;&gt;Hold",'Candidate Tracker'!$C:$C,"&lt;&gt;Cancelled",'Candidate Tracker'!$C:$C,"&lt;&gt;Closed")/COUNTIFS('Candidate Tracker'!$E:$E,'Positions Tracker'!$B523)=0,"",COUNTIFS('Candidate Tracker'!$E:$E,'Positions Tracker'!$B523,'Candidate Tracker'!$C:$C,"&lt;&gt;WIP",'Candidate Tracker'!$C:$C,"&lt;&gt;Hold",'Candidate Tracker'!$C:$C,"&lt;&gt;Cancelled",'Candidate Tracker'!$C:$C,"&lt;&gt;Closed")/COUNTIFS('Candidate Tracker'!$E:$E,'Positions Tracker'!$B523)),"")</f>
        <v/>
      </c>
      <c r="BD523" s="67" t="str">
        <f t="shared" si="48"/>
        <v/>
      </c>
      <c r="BE523" s="67" t="str">
        <f t="shared" si="49"/>
        <v/>
      </c>
      <c r="BF523" s="67" t="str">
        <f t="shared" si="50"/>
        <v/>
      </c>
      <c r="BG523" s="67" t="str">
        <f t="shared" si="51"/>
        <v/>
      </c>
    </row>
    <row r="524" spans="1:59">
      <c r="A524" s="55"/>
      <c r="B524" s="56"/>
      <c r="C524" s="56"/>
      <c r="D524" s="56"/>
      <c r="E524" s="56"/>
      <c r="F524" s="56"/>
      <c r="G524" s="56"/>
      <c r="H524" s="56"/>
      <c r="I524" s="6"/>
      <c r="J524" s="6"/>
      <c r="K524" s="57"/>
      <c r="L524" s="57"/>
      <c r="M524" s="57"/>
      <c r="N524" s="56"/>
      <c r="O524" s="56"/>
      <c r="P524" s="56"/>
      <c r="Q524" s="56"/>
      <c r="R524" s="56"/>
      <c r="S524" s="56"/>
      <c r="T524" s="56"/>
      <c r="U524" s="56"/>
      <c r="V524" s="56"/>
      <c r="W524" s="56"/>
      <c r="X524" s="56"/>
      <c r="Y524" s="56"/>
      <c r="Z524" s="56"/>
      <c r="AA524" s="56"/>
      <c r="AB524" s="56"/>
      <c r="AC524" s="56"/>
      <c r="AD524" s="56"/>
      <c r="AE524" s="56"/>
      <c r="AF524" s="56"/>
      <c r="AG524" s="56"/>
      <c r="AH524" s="56"/>
      <c r="AI524" s="58"/>
      <c r="AJ524" s="56"/>
      <c r="AK524" s="56"/>
      <c r="AL524" s="56"/>
      <c r="AM524" s="57"/>
      <c r="AN524" s="57"/>
      <c r="AO524" s="56"/>
      <c r="AP524" s="56"/>
      <c r="AQ524" s="57"/>
      <c r="AR524" s="57"/>
      <c r="AS524" s="57"/>
      <c r="AT524" s="67">
        <f t="shared" ca="1" si="52"/>
        <v>0</v>
      </c>
      <c r="AU524" s="79" t="str">
        <f t="shared" ca="1" si="53"/>
        <v/>
      </c>
      <c r="AV524" s="79" t="str" cm="1">
        <f t="array" aca="1" ref="AV524" ca="1">IFERROR(_xlfn.IFS($AU524="","",$AU524&lt;=15,"0-15",AND($AU524&gt;=16,$AU524&lt;=30),"16-30",AND($AU524&gt;=31,$AU524&lt;=45),"31-45",AND($AU524&gt;=46,$AU524&lt;=60),"46-60",AND($AU524&gt;=61,$AU524&lt;=90),"61-90",AND($AU524&gt;=91),"&gt; 90",AND($AU524&gt;=2000),""),"")</f>
        <v/>
      </c>
      <c r="AW524" s="79" t="str" cm="1">
        <f t="array" aca="1" ref="AW524" ca="1">IFERROR(_xlfn.IFS(OR($M524="",$AM524=""),"",OR($C524="Offered",$C524="Joined"),($AM524-$M524)-$AT524),"")</f>
        <v/>
      </c>
      <c r="AX524" s="79" t="str" cm="1">
        <f t="array" aca="1" ref="AX524" ca="1">IFERROR(_xlfn.IFS(OR($M524="",$AS524=""),"",$C524="Joined",($AS524-$M524)-$AT524),"")</f>
        <v/>
      </c>
      <c r="AY524" s="67" t="str">
        <f>IFERROR(IF(COUNTIFS('Candidate Tracker'!$E:$E,'Positions Tracker'!$B524,'Candidate Tracker'!$C:$C,"Offer Drop")=0,"",COUNTIFS('Candidate Tracker'!$E:$E,'Positions Tracker'!$B524,'Candidate Tracker'!$C:$C,"Offer Drop")),"")</f>
        <v/>
      </c>
      <c r="AZ524" s="80">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0.88111888111888115</v>
      </c>
      <c r="BA524" s="81" t="str">
        <f>IFERROR(IF(COUNTIFS('Candidate Tracker'!$E:$E,'Positions Tracker'!$B524,'Candidate Tracker'!$I:$I,"Female")=0,"",COUNTIFS('Candidate Tracker'!$E:$E,'Positions Tracker'!$B524,'Candidate Tracker'!$I:$I,"Female")),"")</f>
        <v/>
      </c>
      <c r="BB524" s="81" t="str">
        <f>IFERROR(IF(COUNTIFS('Candidate Tracker'!$E:$E,'Positions Tracker'!$B524,'Candidate Tracker'!$I:$I,"male")=0,"",COUNTIFS('Candidate Tracker'!$E:$E,'Positions Tracker'!$B524,'Candidate Tracker'!$I:$I,"male")),"")</f>
        <v/>
      </c>
      <c r="BC524" s="80" t="str">
        <f>IFERROR(IF(COUNTIFS('Candidate Tracker'!$E:$E,'Positions Tracker'!$B524,'Candidate Tracker'!$C:$C,"&lt;&gt;WIP",'Candidate Tracker'!$C:$C,"&lt;&gt;Hold",'Candidate Tracker'!$C:$C,"&lt;&gt;Cancelled",'Candidate Tracker'!$C:$C,"&lt;&gt;Closed")/COUNTIFS('Candidate Tracker'!$E:$E,'Positions Tracker'!$B524)=0,"",COUNTIFS('Candidate Tracker'!$E:$E,'Positions Tracker'!$B524,'Candidate Tracker'!$C:$C,"&lt;&gt;WIP",'Candidate Tracker'!$C:$C,"&lt;&gt;Hold",'Candidate Tracker'!$C:$C,"&lt;&gt;Cancelled",'Candidate Tracker'!$C:$C,"&lt;&gt;Closed")/COUNTIFS('Candidate Tracker'!$E:$E,'Positions Tracker'!$B524)),"")</f>
        <v/>
      </c>
      <c r="BD524" s="67" t="str">
        <f t="shared" si="48"/>
        <v/>
      </c>
      <c r="BE524" s="67" t="str">
        <f t="shared" si="49"/>
        <v/>
      </c>
      <c r="BF524" s="67" t="str">
        <f t="shared" si="50"/>
        <v/>
      </c>
      <c r="BG524" s="67" t="str">
        <f t="shared" si="51"/>
        <v/>
      </c>
    </row>
    <row r="525" spans="1:59">
      <c r="A525" s="55"/>
      <c r="B525" s="56"/>
      <c r="C525" s="56"/>
      <c r="D525" s="56"/>
      <c r="E525" s="56"/>
      <c r="F525" s="56"/>
      <c r="G525" s="56"/>
      <c r="H525" s="56"/>
      <c r="I525" s="6"/>
      <c r="J525" s="6"/>
      <c r="K525" s="57"/>
      <c r="L525" s="57"/>
      <c r="M525" s="57"/>
      <c r="N525" s="56"/>
      <c r="O525" s="56"/>
      <c r="P525" s="56"/>
      <c r="Q525" s="56"/>
      <c r="R525" s="56"/>
      <c r="S525" s="56"/>
      <c r="T525" s="56"/>
      <c r="U525" s="56"/>
      <c r="V525" s="56"/>
      <c r="W525" s="56"/>
      <c r="X525" s="56"/>
      <c r="Y525" s="56"/>
      <c r="Z525" s="56"/>
      <c r="AA525" s="56"/>
      <c r="AB525" s="56"/>
      <c r="AC525" s="56"/>
      <c r="AD525" s="56"/>
      <c r="AE525" s="56"/>
      <c r="AF525" s="56"/>
      <c r="AG525" s="56"/>
      <c r="AH525" s="56"/>
      <c r="AI525" s="58"/>
      <c r="AJ525" s="56"/>
      <c r="AK525" s="56"/>
      <c r="AL525" s="56"/>
      <c r="AM525" s="57"/>
      <c r="AN525" s="57"/>
      <c r="AO525" s="56"/>
      <c r="AP525" s="56"/>
      <c r="AQ525" s="57"/>
      <c r="AR525" s="57"/>
      <c r="AS525" s="57"/>
      <c r="AT525" s="67">
        <f t="shared" ca="1" si="52"/>
        <v>0</v>
      </c>
      <c r="AU525" s="79" t="str">
        <f t="shared" ca="1" si="53"/>
        <v/>
      </c>
      <c r="AV525" s="79" t="str" cm="1">
        <f t="array" aca="1" ref="AV525" ca="1">IFERROR(_xlfn.IFS($AU525="","",$AU525&lt;=15,"0-15",AND($AU525&gt;=16,$AU525&lt;=30),"16-30",AND($AU525&gt;=31,$AU525&lt;=45),"31-45",AND($AU525&gt;=46,$AU525&lt;=60),"46-60",AND($AU525&gt;=61,$AU525&lt;=90),"61-90",AND($AU525&gt;=91),"&gt; 90",AND($AU525&gt;=2000),""),"")</f>
        <v/>
      </c>
      <c r="AW525" s="79" t="str" cm="1">
        <f t="array" aca="1" ref="AW525" ca="1">IFERROR(_xlfn.IFS(OR($M525="",$AM525=""),"",OR($C525="Offered",$C525="Joined"),($AM525-$M525)-$AT525),"")</f>
        <v/>
      </c>
      <c r="AX525" s="79" t="str" cm="1">
        <f t="array" aca="1" ref="AX525" ca="1">IFERROR(_xlfn.IFS(OR($M525="",$AS525=""),"",$C525="Joined",($AS525-$M525)-$AT525),"")</f>
        <v/>
      </c>
      <c r="AY525" s="67" t="str">
        <f>IFERROR(IF(COUNTIFS('Candidate Tracker'!$E:$E,'Positions Tracker'!$B525,'Candidate Tracker'!$C:$C,"Offer Drop")=0,"",COUNTIFS('Candidate Tracker'!$E:$E,'Positions Tracker'!$B525,'Candidate Tracker'!$C:$C,"Offer Drop")),"")</f>
        <v/>
      </c>
      <c r="AZ525" s="80">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0.88111888111888115</v>
      </c>
      <c r="BA525" s="81" t="str">
        <f>IFERROR(IF(COUNTIFS('Candidate Tracker'!$E:$E,'Positions Tracker'!$B525,'Candidate Tracker'!$I:$I,"Female")=0,"",COUNTIFS('Candidate Tracker'!$E:$E,'Positions Tracker'!$B525,'Candidate Tracker'!$I:$I,"Female")),"")</f>
        <v/>
      </c>
      <c r="BB525" s="81" t="str">
        <f>IFERROR(IF(COUNTIFS('Candidate Tracker'!$E:$E,'Positions Tracker'!$B525,'Candidate Tracker'!$I:$I,"male")=0,"",COUNTIFS('Candidate Tracker'!$E:$E,'Positions Tracker'!$B525,'Candidate Tracker'!$I:$I,"male")),"")</f>
        <v/>
      </c>
      <c r="BC525" s="80" t="str">
        <f>IFERROR(IF(COUNTIFS('Candidate Tracker'!$E:$E,'Positions Tracker'!$B525,'Candidate Tracker'!$C:$C,"&lt;&gt;WIP",'Candidate Tracker'!$C:$C,"&lt;&gt;Hold",'Candidate Tracker'!$C:$C,"&lt;&gt;Cancelled",'Candidate Tracker'!$C:$C,"&lt;&gt;Closed")/COUNTIFS('Candidate Tracker'!$E:$E,'Positions Tracker'!$B525)=0,"",COUNTIFS('Candidate Tracker'!$E:$E,'Positions Tracker'!$B525,'Candidate Tracker'!$C:$C,"&lt;&gt;WIP",'Candidate Tracker'!$C:$C,"&lt;&gt;Hold",'Candidate Tracker'!$C:$C,"&lt;&gt;Cancelled",'Candidate Tracker'!$C:$C,"&lt;&gt;Closed")/COUNTIFS('Candidate Tracker'!$E:$E,'Positions Tracker'!$B525)),"")</f>
        <v/>
      </c>
      <c r="BD525" s="67" t="str">
        <f t="shared" si="48"/>
        <v/>
      </c>
      <c r="BE525" s="67" t="str">
        <f t="shared" si="49"/>
        <v/>
      </c>
      <c r="BF525" s="67" t="str">
        <f t="shared" si="50"/>
        <v/>
      </c>
      <c r="BG525" s="67" t="str">
        <f t="shared" si="51"/>
        <v/>
      </c>
    </row>
    <row r="526" spans="1:59">
      <c r="A526" s="55"/>
      <c r="B526" s="56"/>
      <c r="C526" s="56"/>
      <c r="D526" s="56"/>
      <c r="E526" s="56"/>
      <c r="F526" s="56"/>
      <c r="G526" s="56"/>
      <c r="H526" s="56"/>
      <c r="I526" s="6"/>
      <c r="J526" s="6"/>
      <c r="K526" s="57"/>
      <c r="L526" s="57"/>
      <c r="M526" s="57"/>
      <c r="N526" s="56"/>
      <c r="O526" s="56"/>
      <c r="P526" s="56"/>
      <c r="Q526" s="56"/>
      <c r="R526" s="56"/>
      <c r="S526" s="56"/>
      <c r="T526" s="56"/>
      <c r="U526" s="56"/>
      <c r="V526" s="56"/>
      <c r="W526" s="56"/>
      <c r="X526" s="56"/>
      <c r="Y526" s="56"/>
      <c r="Z526" s="56"/>
      <c r="AA526" s="56"/>
      <c r="AB526" s="56"/>
      <c r="AC526" s="56"/>
      <c r="AD526" s="56"/>
      <c r="AE526" s="56"/>
      <c r="AF526" s="56"/>
      <c r="AG526" s="56"/>
      <c r="AH526" s="56"/>
      <c r="AI526" s="58"/>
      <c r="AJ526" s="56"/>
      <c r="AK526" s="56"/>
      <c r="AL526" s="56"/>
      <c r="AM526" s="57"/>
      <c r="AN526" s="57"/>
      <c r="AO526" s="56"/>
      <c r="AP526" s="56"/>
      <c r="AQ526" s="57"/>
      <c r="AR526" s="57"/>
      <c r="AS526" s="57"/>
      <c r="AT526" s="67">
        <f t="shared" ca="1" si="52"/>
        <v>0</v>
      </c>
      <c r="AU526" s="79" t="str">
        <f t="shared" ca="1" si="53"/>
        <v/>
      </c>
      <c r="AV526" s="79" t="str" cm="1">
        <f t="array" aca="1" ref="AV526" ca="1">IFERROR(_xlfn.IFS($AU526="","",$AU526&lt;=15,"0-15",AND($AU526&gt;=16,$AU526&lt;=30),"16-30",AND($AU526&gt;=31,$AU526&lt;=45),"31-45",AND($AU526&gt;=46,$AU526&lt;=60),"46-60",AND($AU526&gt;=61,$AU526&lt;=90),"61-90",AND($AU526&gt;=91),"&gt; 90",AND($AU526&gt;=2000),""),"")</f>
        <v/>
      </c>
      <c r="AW526" s="79" t="str" cm="1">
        <f t="array" aca="1" ref="AW526" ca="1">IFERROR(_xlfn.IFS(OR($M526="",$AM526=""),"",OR($C526="Offered",$C526="Joined"),($AM526-$M526)-$AT526),"")</f>
        <v/>
      </c>
      <c r="AX526" s="79" t="str" cm="1">
        <f t="array" aca="1" ref="AX526" ca="1">IFERROR(_xlfn.IFS(OR($M526="",$AS526=""),"",$C526="Joined",($AS526-$M526)-$AT526),"")</f>
        <v/>
      </c>
      <c r="AY526" s="67" t="str">
        <f>IFERROR(IF(COUNTIFS('Candidate Tracker'!$E:$E,'Positions Tracker'!$B526,'Candidate Tracker'!$C:$C,"Offer Drop")=0,"",COUNTIFS('Candidate Tracker'!$E:$E,'Positions Tracker'!$B526,'Candidate Tracker'!$C:$C,"Offer Drop")),"")</f>
        <v/>
      </c>
      <c r="AZ526" s="80">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0.88111888111888115</v>
      </c>
      <c r="BA526" s="81" t="str">
        <f>IFERROR(IF(COUNTIFS('Candidate Tracker'!$E:$E,'Positions Tracker'!$B526,'Candidate Tracker'!$I:$I,"Female")=0,"",COUNTIFS('Candidate Tracker'!$E:$E,'Positions Tracker'!$B526,'Candidate Tracker'!$I:$I,"Female")),"")</f>
        <v/>
      </c>
      <c r="BB526" s="81" t="str">
        <f>IFERROR(IF(COUNTIFS('Candidate Tracker'!$E:$E,'Positions Tracker'!$B526,'Candidate Tracker'!$I:$I,"male")=0,"",COUNTIFS('Candidate Tracker'!$E:$E,'Positions Tracker'!$B526,'Candidate Tracker'!$I:$I,"male")),"")</f>
        <v/>
      </c>
      <c r="BC526" s="80" t="str">
        <f>IFERROR(IF(COUNTIFS('Candidate Tracker'!$E:$E,'Positions Tracker'!$B526,'Candidate Tracker'!$C:$C,"&lt;&gt;WIP",'Candidate Tracker'!$C:$C,"&lt;&gt;Hold",'Candidate Tracker'!$C:$C,"&lt;&gt;Cancelled",'Candidate Tracker'!$C:$C,"&lt;&gt;Closed")/COUNTIFS('Candidate Tracker'!$E:$E,'Positions Tracker'!$B526)=0,"",COUNTIFS('Candidate Tracker'!$E:$E,'Positions Tracker'!$B526,'Candidate Tracker'!$C:$C,"&lt;&gt;WIP",'Candidate Tracker'!$C:$C,"&lt;&gt;Hold",'Candidate Tracker'!$C:$C,"&lt;&gt;Cancelled",'Candidate Tracker'!$C:$C,"&lt;&gt;Closed")/COUNTIFS('Candidate Tracker'!$E:$E,'Positions Tracker'!$B526)),"")</f>
        <v/>
      </c>
      <c r="BD526" s="67" t="str">
        <f t="shared" si="48"/>
        <v/>
      </c>
      <c r="BE526" s="67" t="str">
        <f t="shared" si="49"/>
        <v/>
      </c>
      <c r="BF526" s="67" t="str">
        <f t="shared" si="50"/>
        <v/>
      </c>
      <c r="BG526" s="67" t="str">
        <f t="shared" si="51"/>
        <v/>
      </c>
    </row>
    <row r="527" spans="1:59">
      <c r="A527" s="55"/>
      <c r="B527" s="56"/>
      <c r="C527" s="56"/>
      <c r="D527" s="56"/>
      <c r="E527" s="56"/>
      <c r="F527" s="56"/>
      <c r="G527" s="56"/>
      <c r="H527" s="56"/>
      <c r="I527" s="6"/>
      <c r="J527" s="6"/>
      <c r="K527" s="57"/>
      <c r="L527" s="57"/>
      <c r="M527" s="57"/>
      <c r="N527" s="56"/>
      <c r="O527" s="56"/>
      <c r="P527" s="56"/>
      <c r="Q527" s="56"/>
      <c r="R527" s="56"/>
      <c r="S527" s="56"/>
      <c r="T527" s="56"/>
      <c r="U527" s="56"/>
      <c r="V527" s="56"/>
      <c r="W527" s="56"/>
      <c r="X527" s="56"/>
      <c r="Y527" s="56"/>
      <c r="Z527" s="56"/>
      <c r="AA527" s="56"/>
      <c r="AB527" s="56"/>
      <c r="AC527" s="56"/>
      <c r="AD527" s="56"/>
      <c r="AE527" s="56"/>
      <c r="AF527" s="56"/>
      <c r="AG527" s="56"/>
      <c r="AH527" s="56"/>
      <c r="AI527" s="58"/>
      <c r="AJ527" s="56"/>
      <c r="AK527" s="56"/>
      <c r="AL527" s="56"/>
      <c r="AM527" s="57"/>
      <c r="AN527" s="57"/>
      <c r="AO527" s="56"/>
      <c r="AP527" s="56"/>
      <c r="AQ527" s="57"/>
      <c r="AR527" s="57"/>
      <c r="AS527" s="57"/>
      <c r="AT527" s="67">
        <f t="shared" ca="1" si="52"/>
        <v>0</v>
      </c>
      <c r="AU527" s="79" t="str">
        <f t="shared" ca="1" si="53"/>
        <v/>
      </c>
      <c r="AV527" s="79" t="str" cm="1">
        <f t="array" aca="1" ref="AV527" ca="1">IFERROR(_xlfn.IFS($AU527="","",$AU527&lt;=15,"0-15",AND($AU527&gt;=16,$AU527&lt;=30),"16-30",AND($AU527&gt;=31,$AU527&lt;=45),"31-45",AND($AU527&gt;=46,$AU527&lt;=60),"46-60",AND($AU527&gt;=61,$AU527&lt;=90),"61-90",AND($AU527&gt;=91),"&gt; 90",AND($AU527&gt;=2000),""),"")</f>
        <v/>
      </c>
      <c r="AW527" s="79" t="str" cm="1">
        <f t="array" aca="1" ref="AW527" ca="1">IFERROR(_xlfn.IFS(OR($M527="",$AM527=""),"",OR($C527="Offered",$C527="Joined"),($AM527-$M527)-$AT527),"")</f>
        <v/>
      </c>
      <c r="AX527" s="79" t="str" cm="1">
        <f t="array" aca="1" ref="AX527" ca="1">IFERROR(_xlfn.IFS(OR($M527="",$AS527=""),"",$C527="Joined",($AS527-$M527)-$AT527),"")</f>
        <v/>
      </c>
      <c r="AY527" s="67" t="str">
        <f>IFERROR(IF(COUNTIFS('Candidate Tracker'!$E:$E,'Positions Tracker'!$B527,'Candidate Tracker'!$C:$C,"Offer Drop")=0,"",COUNTIFS('Candidate Tracker'!$E:$E,'Positions Tracker'!$B527,'Candidate Tracker'!$C:$C,"Offer Drop")),"")</f>
        <v/>
      </c>
      <c r="AZ527" s="80">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0.88111888111888115</v>
      </c>
      <c r="BA527" s="81" t="str">
        <f>IFERROR(IF(COUNTIFS('Candidate Tracker'!$E:$E,'Positions Tracker'!$B527,'Candidate Tracker'!$I:$I,"Female")=0,"",COUNTIFS('Candidate Tracker'!$E:$E,'Positions Tracker'!$B527,'Candidate Tracker'!$I:$I,"Female")),"")</f>
        <v/>
      </c>
      <c r="BB527" s="81" t="str">
        <f>IFERROR(IF(COUNTIFS('Candidate Tracker'!$E:$E,'Positions Tracker'!$B527,'Candidate Tracker'!$I:$I,"male")=0,"",COUNTIFS('Candidate Tracker'!$E:$E,'Positions Tracker'!$B527,'Candidate Tracker'!$I:$I,"male")),"")</f>
        <v/>
      </c>
      <c r="BC527" s="80" t="str">
        <f>IFERROR(IF(COUNTIFS('Candidate Tracker'!$E:$E,'Positions Tracker'!$B527,'Candidate Tracker'!$C:$C,"&lt;&gt;WIP",'Candidate Tracker'!$C:$C,"&lt;&gt;Hold",'Candidate Tracker'!$C:$C,"&lt;&gt;Cancelled",'Candidate Tracker'!$C:$C,"&lt;&gt;Closed")/COUNTIFS('Candidate Tracker'!$E:$E,'Positions Tracker'!$B527)=0,"",COUNTIFS('Candidate Tracker'!$E:$E,'Positions Tracker'!$B527,'Candidate Tracker'!$C:$C,"&lt;&gt;WIP",'Candidate Tracker'!$C:$C,"&lt;&gt;Hold",'Candidate Tracker'!$C:$C,"&lt;&gt;Cancelled",'Candidate Tracker'!$C:$C,"&lt;&gt;Closed")/COUNTIFS('Candidate Tracker'!$E:$E,'Positions Tracker'!$B527)),"")</f>
        <v/>
      </c>
      <c r="BD527" s="67" t="str">
        <f t="shared" si="48"/>
        <v/>
      </c>
      <c r="BE527" s="67" t="str">
        <f t="shared" si="49"/>
        <v/>
      </c>
      <c r="BF527" s="67" t="str">
        <f t="shared" si="50"/>
        <v/>
      </c>
      <c r="BG527" s="67" t="str">
        <f t="shared" si="51"/>
        <v/>
      </c>
    </row>
    <row r="528" spans="1:59">
      <c r="A528" s="55"/>
      <c r="B528" s="56"/>
      <c r="C528" s="56"/>
      <c r="D528" s="56"/>
      <c r="E528" s="56"/>
      <c r="F528" s="56"/>
      <c r="G528" s="56"/>
      <c r="H528" s="56"/>
      <c r="I528" s="6"/>
      <c r="J528" s="6"/>
      <c r="K528" s="57"/>
      <c r="L528" s="57"/>
      <c r="M528" s="57"/>
      <c r="N528" s="56"/>
      <c r="O528" s="56"/>
      <c r="P528" s="56"/>
      <c r="Q528" s="56"/>
      <c r="R528" s="56"/>
      <c r="S528" s="56"/>
      <c r="T528" s="56"/>
      <c r="U528" s="56"/>
      <c r="V528" s="56"/>
      <c r="W528" s="56"/>
      <c r="X528" s="56"/>
      <c r="Y528" s="56"/>
      <c r="Z528" s="56"/>
      <c r="AA528" s="56"/>
      <c r="AB528" s="56"/>
      <c r="AC528" s="56"/>
      <c r="AD528" s="56"/>
      <c r="AE528" s="56"/>
      <c r="AF528" s="56"/>
      <c r="AG528" s="56"/>
      <c r="AH528" s="56"/>
      <c r="AI528" s="58"/>
      <c r="AJ528" s="56"/>
      <c r="AK528" s="56"/>
      <c r="AL528" s="56"/>
      <c r="AM528" s="57"/>
      <c r="AN528" s="57"/>
      <c r="AO528" s="56"/>
      <c r="AP528" s="56"/>
      <c r="AQ528" s="57"/>
      <c r="AR528" s="57"/>
      <c r="AS528" s="57"/>
      <c r="AT528" s="67">
        <f t="shared" ca="1" si="52"/>
        <v>0</v>
      </c>
      <c r="AU528" s="79" t="str">
        <f t="shared" ca="1" si="53"/>
        <v/>
      </c>
      <c r="AV528" s="79" t="str" cm="1">
        <f t="array" aca="1" ref="AV528" ca="1">IFERROR(_xlfn.IFS($AU528="","",$AU528&lt;=15,"0-15",AND($AU528&gt;=16,$AU528&lt;=30),"16-30",AND($AU528&gt;=31,$AU528&lt;=45),"31-45",AND($AU528&gt;=46,$AU528&lt;=60),"46-60",AND($AU528&gt;=61,$AU528&lt;=90),"61-90",AND($AU528&gt;=91),"&gt; 90",AND($AU528&gt;=2000),""),"")</f>
        <v/>
      </c>
      <c r="AW528" s="79" t="str" cm="1">
        <f t="array" aca="1" ref="AW528" ca="1">IFERROR(_xlfn.IFS(OR($M528="",$AM528=""),"",OR($C528="Offered",$C528="Joined"),($AM528-$M528)-$AT528),"")</f>
        <v/>
      </c>
      <c r="AX528" s="79" t="str" cm="1">
        <f t="array" aca="1" ref="AX528" ca="1">IFERROR(_xlfn.IFS(OR($M528="",$AS528=""),"",$C528="Joined",($AS528-$M528)-$AT528),"")</f>
        <v/>
      </c>
      <c r="AY528" s="67" t="str">
        <f>IFERROR(IF(COUNTIFS('Candidate Tracker'!$E:$E,'Positions Tracker'!$B528,'Candidate Tracker'!$C:$C,"Offer Drop")=0,"",COUNTIFS('Candidate Tracker'!$E:$E,'Positions Tracker'!$B528,'Candidate Tracker'!$C:$C,"Offer Drop")),"")</f>
        <v/>
      </c>
      <c r="AZ528" s="80">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0.88111888111888115</v>
      </c>
      <c r="BA528" s="81" t="str">
        <f>IFERROR(IF(COUNTIFS('Candidate Tracker'!$E:$E,'Positions Tracker'!$B528,'Candidate Tracker'!$I:$I,"Female")=0,"",COUNTIFS('Candidate Tracker'!$E:$E,'Positions Tracker'!$B528,'Candidate Tracker'!$I:$I,"Female")),"")</f>
        <v/>
      </c>
      <c r="BB528" s="81" t="str">
        <f>IFERROR(IF(COUNTIFS('Candidate Tracker'!$E:$E,'Positions Tracker'!$B528,'Candidate Tracker'!$I:$I,"male")=0,"",COUNTIFS('Candidate Tracker'!$E:$E,'Positions Tracker'!$B528,'Candidate Tracker'!$I:$I,"male")),"")</f>
        <v/>
      </c>
      <c r="BC528" s="80" t="str">
        <f>IFERROR(IF(COUNTIFS('Candidate Tracker'!$E:$E,'Positions Tracker'!$B528,'Candidate Tracker'!$C:$C,"&lt;&gt;WIP",'Candidate Tracker'!$C:$C,"&lt;&gt;Hold",'Candidate Tracker'!$C:$C,"&lt;&gt;Cancelled",'Candidate Tracker'!$C:$C,"&lt;&gt;Closed")/COUNTIFS('Candidate Tracker'!$E:$E,'Positions Tracker'!$B528)=0,"",COUNTIFS('Candidate Tracker'!$E:$E,'Positions Tracker'!$B528,'Candidate Tracker'!$C:$C,"&lt;&gt;WIP",'Candidate Tracker'!$C:$C,"&lt;&gt;Hold",'Candidate Tracker'!$C:$C,"&lt;&gt;Cancelled",'Candidate Tracker'!$C:$C,"&lt;&gt;Closed")/COUNTIFS('Candidate Tracker'!$E:$E,'Positions Tracker'!$B528)),"")</f>
        <v/>
      </c>
      <c r="BD528" s="67" t="str">
        <f t="shared" si="48"/>
        <v/>
      </c>
      <c r="BE528" s="67" t="str">
        <f t="shared" si="49"/>
        <v/>
      </c>
      <c r="BF528" s="67" t="str">
        <f t="shared" si="50"/>
        <v/>
      </c>
      <c r="BG528" s="67" t="str">
        <f t="shared" si="51"/>
        <v/>
      </c>
    </row>
    <row r="529" spans="1:59">
      <c r="A529" s="55"/>
      <c r="B529" s="56"/>
      <c r="C529" s="56"/>
      <c r="D529" s="56"/>
      <c r="E529" s="56"/>
      <c r="F529" s="56"/>
      <c r="G529" s="56"/>
      <c r="H529" s="56"/>
      <c r="I529" s="6"/>
      <c r="J529" s="6"/>
      <c r="K529" s="57"/>
      <c r="L529" s="57"/>
      <c r="M529" s="57"/>
      <c r="N529" s="56"/>
      <c r="O529" s="56"/>
      <c r="P529" s="56"/>
      <c r="Q529" s="56"/>
      <c r="R529" s="56"/>
      <c r="S529" s="56"/>
      <c r="T529" s="56"/>
      <c r="U529" s="56"/>
      <c r="V529" s="56"/>
      <c r="W529" s="56"/>
      <c r="X529" s="56"/>
      <c r="Y529" s="56"/>
      <c r="Z529" s="56"/>
      <c r="AA529" s="56"/>
      <c r="AB529" s="56"/>
      <c r="AC529" s="56"/>
      <c r="AD529" s="56"/>
      <c r="AE529" s="56"/>
      <c r="AF529" s="56"/>
      <c r="AG529" s="56"/>
      <c r="AH529" s="56"/>
      <c r="AI529" s="58"/>
      <c r="AJ529" s="56"/>
      <c r="AK529" s="56"/>
      <c r="AL529" s="56"/>
      <c r="AM529" s="57"/>
      <c r="AN529" s="57"/>
      <c r="AO529" s="56"/>
      <c r="AP529" s="56"/>
      <c r="AQ529" s="57"/>
      <c r="AR529" s="57"/>
      <c r="AS529" s="57"/>
      <c r="AT529" s="67">
        <f t="shared" ca="1" si="52"/>
        <v>0</v>
      </c>
      <c r="AU529" s="79" t="str">
        <f t="shared" ca="1" si="53"/>
        <v/>
      </c>
      <c r="AV529" s="79" t="str" cm="1">
        <f t="array" aca="1" ref="AV529" ca="1">IFERROR(_xlfn.IFS($AU529="","",$AU529&lt;=15,"0-15",AND($AU529&gt;=16,$AU529&lt;=30),"16-30",AND($AU529&gt;=31,$AU529&lt;=45),"31-45",AND($AU529&gt;=46,$AU529&lt;=60),"46-60",AND($AU529&gt;=61,$AU529&lt;=90),"61-90",AND($AU529&gt;=91),"&gt; 90",AND($AU529&gt;=2000),""),"")</f>
        <v/>
      </c>
      <c r="AW529" s="79" t="str" cm="1">
        <f t="array" aca="1" ref="AW529" ca="1">IFERROR(_xlfn.IFS(OR($M529="",$AM529=""),"",OR($C529="Offered",$C529="Joined"),($AM529-$M529)-$AT529),"")</f>
        <v/>
      </c>
      <c r="AX529" s="79" t="str" cm="1">
        <f t="array" aca="1" ref="AX529" ca="1">IFERROR(_xlfn.IFS(OR($M529="",$AS529=""),"",$C529="Joined",($AS529-$M529)-$AT529),"")</f>
        <v/>
      </c>
      <c r="AY529" s="67" t="str">
        <f>IFERROR(IF(COUNTIFS('Candidate Tracker'!$E:$E,'Positions Tracker'!$B529,'Candidate Tracker'!$C:$C,"Offer Drop")=0,"",COUNTIFS('Candidate Tracker'!$E:$E,'Positions Tracker'!$B529,'Candidate Tracker'!$C:$C,"Offer Drop")),"")</f>
        <v/>
      </c>
      <c r="AZ529" s="80">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0.88111888111888115</v>
      </c>
      <c r="BA529" s="81" t="str">
        <f>IFERROR(IF(COUNTIFS('Candidate Tracker'!$E:$E,'Positions Tracker'!$B529,'Candidate Tracker'!$I:$I,"Female")=0,"",COUNTIFS('Candidate Tracker'!$E:$E,'Positions Tracker'!$B529,'Candidate Tracker'!$I:$I,"Female")),"")</f>
        <v/>
      </c>
      <c r="BB529" s="81" t="str">
        <f>IFERROR(IF(COUNTIFS('Candidate Tracker'!$E:$E,'Positions Tracker'!$B529,'Candidate Tracker'!$I:$I,"male")=0,"",COUNTIFS('Candidate Tracker'!$E:$E,'Positions Tracker'!$B529,'Candidate Tracker'!$I:$I,"male")),"")</f>
        <v/>
      </c>
      <c r="BC529" s="80" t="str">
        <f>IFERROR(IF(COUNTIFS('Candidate Tracker'!$E:$E,'Positions Tracker'!$B529,'Candidate Tracker'!$C:$C,"&lt;&gt;WIP",'Candidate Tracker'!$C:$C,"&lt;&gt;Hold",'Candidate Tracker'!$C:$C,"&lt;&gt;Cancelled",'Candidate Tracker'!$C:$C,"&lt;&gt;Closed")/COUNTIFS('Candidate Tracker'!$E:$E,'Positions Tracker'!$B529)=0,"",COUNTIFS('Candidate Tracker'!$E:$E,'Positions Tracker'!$B529,'Candidate Tracker'!$C:$C,"&lt;&gt;WIP",'Candidate Tracker'!$C:$C,"&lt;&gt;Hold",'Candidate Tracker'!$C:$C,"&lt;&gt;Cancelled",'Candidate Tracker'!$C:$C,"&lt;&gt;Closed")/COUNTIFS('Candidate Tracker'!$E:$E,'Positions Tracker'!$B529)),"")</f>
        <v/>
      </c>
      <c r="BD529" s="67" t="str">
        <f t="shared" si="48"/>
        <v/>
      </c>
      <c r="BE529" s="67" t="str">
        <f t="shared" si="49"/>
        <v/>
      </c>
      <c r="BF529" s="67" t="str">
        <f t="shared" si="50"/>
        <v/>
      </c>
      <c r="BG529" s="67" t="str">
        <f t="shared" si="51"/>
        <v/>
      </c>
    </row>
    <row r="530" spans="1:59">
      <c r="A530" s="55"/>
      <c r="B530" s="56"/>
      <c r="C530" s="56"/>
      <c r="D530" s="56"/>
      <c r="E530" s="56"/>
      <c r="F530" s="56"/>
      <c r="G530" s="56"/>
      <c r="H530" s="56"/>
      <c r="I530" s="6"/>
      <c r="J530" s="6"/>
      <c r="K530" s="57"/>
      <c r="L530" s="57"/>
      <c r="M530" s="57"/>
      <c r="N530" s="56"/>
      <c r="O530" s="56"/>
      <c r="P530" s="56"/>
      <c r="Q530" s="56"/>
      <c r="R530" s="56"/>
      <c r="S530" s="56"/>
      <c r="T530" s="56"/>
      <c r="U530" s="56"/>
      <c r="V530" s="56"/>
      <c r="W530" s="56"/>
      <c r="X530" s="56"/>
      <c r="Y530" s="56"/>
      <c r="Z530" s="56"/>
      <c r="AA530" s="56"/>
      <c r="AB530" s="56"/>
      <c r="AC530" s="56"/>
      <c r="AD530" s="56"/>
      <c r="AE530" s="56"/>
      <c r="AF530" s="56"/>
      <c r="AG530" s="56"/>
      <c r="AH530" s="56"/>
      <c r="AI530" s="58"/>
      <c r="AJ530" s="56"/>
      <c r="AK530" s="56"/>
      <c r="AL530" s="56"/>
      <c r="AM530" s="57"/>
      <c r="AN530" s="57"/>
      <c r="AO530" s="56"/>
      <c r="AP530" s="56"/>
      <c r="AQ530" s="57"/>
      <c r="AR530" s="57"/>
      <c r="AS530" s="57"/>
      <c r="AT530" s="67">
        <f t="shared" ca="1" si="52"/>
        <v>0</v>
      </c>
      <c r="AU530" s="79" t="str">
        <f t="shared" ca="1" si="53"/>
        <v/>
      </c>
      <c r="AV530" s="79" t="str" cm="1">
        <f t="array" aca="1" ref="AV530" ca="1">IFERROR(_xlfn.IFS($AU530="","",$AU530&lt;=15,"0-15",AND($AU530&gt;=16,$AU530&lt;=30),"16-30",AND($AU530&gt;=31,$AU530&lt;=45),"31-45",AND($AU530&gt;=46,$AU530&lt;=60),"46-60",AND($AU530&gt;=61,$AU530&lt;=90),"61-90",AND($AU530&gt;=91),"&gt; 90",AND($AU530&gt;=2000),""),"")</f>
        <v/>
      </c>
      <c r="AW530" s="79" t="str" cm="1">
        <f t="array" aca="1" ref="AW530" ca="1">IFERROR(_xlfn.IFS(OR($M530="",$AM530=""),"",OR($C530="Offered",$C530="Joined"),($AM530-$M530)-$AT530),"")</f>
        <v/>
      </c>
      <c r="AX530" s="79" t="str" cm="1">
        <f t="array" aca="1" ref="AX530" ca="1">IFERROR(_xlfn.IFS(OR($M530="",$AS530=""),"",$C530="Joined",($AS530-$M530)-$AT530),"")</f>
        <v/>
      </c>
      <c r="AY530" s="67" t="str">
        <f>IFERROR(IF(COUNTIFS('Candidate Tracker'!$E:$E,'Positions Tracker'!$B530,'Candidate Tracker'!$C:$C,"Offer Drop")=0,"",COUNTIFS('Candidate Tracker'!$E:$E,'Positions Tracker'!$B530,'Candidate Tracker'!$C:$C,"Offer Drop")),"")</f>
        <v/>
      </c>
      <c r="AZ530" s="80">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0.88111888111888115</v>
      </c>
      <c r="BA530" s="81" t="str">
        <f>IFERROR(IF(COUNTIFS('Candidate Tracker'!$E:$E,'Positions Tracker'!$B530,'Candidate Tracker'!$I:$I,"Female")=0,"",COUNTIFS('Candidate Tracker'!$E:$E,'Positions Tracker'!$B530,'Candidate Tracker'!$I:$I,"Female")),"")</f>
        <v/>
      </c>
      <c r="BB530" s="81" t="str">
        <f>IFERROR(IF(COUNTIFS('Candidate Tracker'!$E:$E,'Positions Tracker'!$B530,'Candidate Tracker'!$I:$I,"male")=0,"",COUNTIFS('Candidate Tracker'!$E:$E,'Positions Tracker'!$B530,'Candidate Tracker'!$I:$I,"male")),"")</f>
        <v/>
      </c>
      <c r="BC530" s="80" t="str">
        <f>IFERROR(IF(COUNTIFS('Candidate Tracker'!$E:$E,'Positions Tracker'!$B530,'Candidate Tracker'!$C:$C,"&lt;&gt;WIP",'Candidate Tracker'!$C:$C,"&lt;&gt;Hold",'Candidate Tracker'!$C:$C,"&lt;&gt;Cancelled",'Candidate Tracker'!$C:$C,"&lt;&gt;Closed")/COUNTIFS('Candidate Tracker'!$E:$E,'Positions Tracker'!$B530)=0,"",COUNTIFS('Candidate Tracker'!$E:$E,'Positions Tracker'!$B530,'Candidate Tracker'!$C:$C,"&lt;&gt;WIP",'Candidate Tracker'!$C:$C,"&lt;&gt;Hold",'Candidate Tracker'!$C:$C,"&lt;&gt;Cancelled",'Candidate Tracker'!$C:$C,"&lt;&gt;Closed")/COUNTIFS('Candidate Tracker'!$E:$E,'Positions Tracker'!$B530)),"")</f>
        <v/>
      </c>
      <c r="BD530" s="67" t="str">
        <f t="shared" si="48"/>
        <v/>
      </c>
      <c r="BE530" s="67" t="str">
        <f t="shared" si="49"/>
        <v/>
      </c>
      <c r="BF530" s="67" t="str">
        <f t="shared" si="50"/>
        <v/>
      </c>
      <c r="BG530" s="67" t="str">
        <f t="shared" si="51"/>
        <v/>
      </c>
    </row>
    <row r="531" spans="1:59">
      <c r="A531" s="55"/>
      <c r="B531" s="56"/>
      <c r="C531" s="56"/>
      <c r="D531" s="56"/>
      <c r="E531" s="56"/>
      <c r="F531" s="56"/>
      <c r="G531" s="56"/>
      <c r="H531" s="56"/>
      <c r="I531" s="6"/>
      <c r="J531" s="6"/>
      <c r="K531" s="57"/>
      <c r="L531" s="57"/>
      <c r="M531" s="57"/>
      <c r="N531" s="56"/>
      <c r="O531" s="56"/>
      <c r="P531" s="56"/>
      <c r="Q531" s="56"/>
      <c r="R531" s="56"/>
      <c r="S531" s="56"/>
      <c r="T531" s="56"/>
      <c r="U531" s="56"/>
      <c r="V531" s="56"/>
      <c r="W531" s="56"/>
      <c r="X531" s="56"/>
      <c r="Y531" s="56"/>
      <c r="Z531" s="56"/>
      <c r="AA531" s="56"/>
      <c r="AB531" s="56"/>
      <c r="AC531" s="56"/>
      <c r="AD531" s="56"/>
      <c r="AE531" s="56"/>
      <c r="AF531" s="56"/>
      <c r="AG531" s="56"/>
      <c r="AH531" s="56"/>
      <c r="AI531" s="58"/>
      <c r="AJ531" s="56"/>
      <c r="AK531" s="56"/>
      <c r="AL531" s="56"/>
      <c r="AM531" s="57"/>
      <c r="AN531" s="57"/>
      <c r="AO531" s="56"/>
      <c r="AP531" s="56"/>
      <c r="AQ531" s="57"/>
      <c r="AR531" s="57"/>
      <c r="AS531" s="57"/>
      <c r="AT531" s="67">
        <f t="shared" ca="1" si="52"/>
        <v>0</v>
      </c>
      <c r="AU531" s="79" t="str">
        <f t="shared" ca="1" si="53"/>
        <v/>
      </c>
      <c r="AV531" s="79" t="str" cm="1">
        <f t="array" aca="1" ref="AV531" ca="1">IFERROR(_xlfn.IFS($AU531="","",$AU531&lt;=15,"0-15",AND($AU531&gt;=16,$AU531&lt;=30),"16-30",AND($AU531&gt;=31,$AU531&lt;=45),"31-45",AND($AU531&gt;=46,$AU531&lt;=60),"46-60",AND($AU531&gt;=61,$AU531&lt;=90),"61-90",AND($AU531&gt;=91),"&gt; 90",AND($AU531&gt;=2000),""),"")</f>
        <v/>
      </c>
      <c r="AW531" s="79" t="str" cm="1">
        <f t="array" aca="1" ref="AW531" ca="1">IFERROR(_xlfn.IFS(OR($M531="",$AM531=""),"",OR($C531="Offered",$C531="Joined"),($AM531-$M531)-$AT531),"")</f>
        <v/>
      </c>
      <c r="AX531" s="79" t="str" cm="1">
        <f t="array" aca="1" ref="AX531" ca="1">IFERROR(_xlfn.IFS(OR($M531="",$AS531=""),"",$C531="Joined",($AS531-$M531)-$AT531),"")</f>
        <v/>
      </c>
      <c r="AY531" s="67" t="str">
        <f>IFERROR(IF(COUNTIFS('Candidate Tracker'!$E:$E,'Positions Tracker'!$B531,'Candidate Tracker'!$C:$C,"Offer Drop")=0,"",COUNTIFS('Candidate Tracker'!$E:$E,'Positions Tracker'!$B531,'Candidate Tracker'!$C:$C,"Offer Drop")),"")</f>
        <v/>
      </c>
      <c r="AZ531" s="80">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0.88111888111888115</v>
      </c>
      <c r="BA531" s="81" t="str">
        <f>IFERROR(IF(COUNTIFS('Candidate Tracker'!$E:$E,'Positions Tracker'!$B531,'Candidate Tracker'!$I:$I,"Female")=0,"",COUNTIFS('Candidate Tracker'!$E:$E,'Positions Tracker'!$B531,'Candidate Tracker'!$I:$I,"Female")),"")</f>
        <v/>
      </c>
      <c r="BB531" s="81" t="str">
        <f>IFERROR(IF(COUNTIFS('Candidate Tracker'!$E:$E,'Positions Tracker'!$B531,'Candidate Tracker'!$I:$I,"male")=0,"",COUNTIFS('Candidate Tracker'!$E:$E,'Positions Tracker'!$B531,'Candidate Tracker'!$I:$I,"male")),"")</f>
        <v/>
      </c>
      <c r="BC531" s="80" t="str">
        <f>IFERROR(IF(COUNTIFS('Candidate Tracker'!$E:$E,'Positions Tracker'!$B531,'Candidate Tracker'!$C:$C,"&lt;&gt;WIP",'Candidate Tracker'!$C:$C,"&lt;&gt;Hold",'Candidate Tracker'!$C:$C,"&lt;&gt;Cancelled",'Candidate Tracker'!$C:$C,"&lt;&gt;Closed")/COUNTIFS('Candidate Tracker'!$E:$E,'Positions Tracker'!$B531)=0,"",COUNTIFS('Candidate Tracker'!$E:$E,'Positions Tracker'!$B531,'Candidate Tracker'!$C:$C,"&lt;&gt;WIP",'Candidate Tracker'!$C:$C,"&lt;&gt;Hold",'Candidate Tracker'!$C:$C,"&lt;&gt;Cancelled",'Candidate Tracker'!$C:$C,"&lt;&gt;Closed")/COUNTIFS('Candidate Tracker'!$E:$E,'Positions Tracker'!$B531)),"")</f>
        <v/>
      </c>
      <c r="BD531" s="67" t="str">
        <f t="shared" si="48"/>
        <v/>
      </c>
      <c r="BE531" s="67" t="str">
        <f t="shared" si="49"/>
        <v/>
      </c>
      <c r="BF531" s="67" t="str">
        <f t="shared" si="50"/>
        <v/>
      </c>
      <c r="BG531" s="67" t="str">
        <f t="shared" si="51"/>
        <v/>
      </c>
    </row>
    <row r="532" spans="1:59">
      <c r="A532" s="55"/>
      <c r="B532" s="56"/>
      <c r="C532" s="56"/>
      <c r="D532" s="56"/>
      <c r="E532" s="56"/>
      <c r="F532" s="56"/>
      <c r="G532" s="56"/>
      <c r="H532" s="56"/>
      <c r="I532" s="6"/>
      <c r="J532" s="6"/>
      <c r="K532" s="57"/>
      <c r="L532" s="57"/>
      <c r="M532" s="57"/>
      <c r="N532" s="56"/>
      <c r="O532" s="56"/>
      <c r="P532" s="56"/>
      <c r="Q532" s="56"/>
      <c r="R532" s="56"/>
      <c r="S532" s="56"/>
      <c r="T532" s="56"/>
      <c r="U532" s="56"/>
      <c r="V532" s="56"/>
      <c r="W532" s="56"/>
      <c r="X532" s="56"/>
      <c r="Y532" s="56"/>
      <c r="Z532" s="56"/>
      <c r="AA532" s="56"/>
      <c r="AB532" s="56"/>
      <c r="AC532" s="56"/>
      <c r="AD532" s="56"/>
      <c r="AE532" s="56"/>
      <c r="AF532" s="56"/>
      <c r="AG532" s="56"/>
      <c r="AH532" s="56"/>
      <c r="AI532" s="58"/>
      <c r="AJ532" s="56"/>
      <c r="AK532" s="56"/>
      <c r="AL532" s="56"/>
      <c r="AM532" s="57"/>
      <c r="AN532" s="57"/>
      <c r="AO532" s="56"/>
      <c r="AP532" s="56"/>
      <c r="AQ532" s="57"/>
      <c r="AR532" s="57"/>
      <c r="AS532" s="57"/>
      <c r="AT532" s="67">
        <f t="shared" ca="1" si="52"/>
        <v>0</v>
      </c>
      <c r="AU532" s="79" t="str">
        <f t="shared" ca="1" si="53"/>
        <v/>
      </c>
      <c r="AV532" s="79" t="str" cm="1">
        <f t="array" aca="1" ref="AV532" ca="1">IFERROR(_xlfn.IFS($AU532="","",$AU532&lt;=15,"0-15",AND($AU532&gt;=16,$AU532&lt;=30),"16-30",AND($AU532&gt;=31,$AU532&lt;=45),"31-45",AND($AU532&gt;=46,$AU532&lt;=60),"46-60",AND($AU532&gt;=61,$AU532&lt;=90),"61-90",AND($AU532&gt;=91),"&gt; 90",AND($AU532&gt;=2000),""),"")</f>
        <v/>
      </c>
      <c r="AW532" s="79" t="str" cm="1">
        <f t="array" aca="1" ref="AW532" ca="1">IFERROR(_xlfn.IFS(OR($M532="",$AM532=""),"",OR($C532="Offered",$C532="Joined"),($AM532-$M532)-$AT532),"")</f>
        <v/>
      </c>
      <c r="AX532" s="79" t="str" cm="1">
        <f t="array" aca="1" ref="AX532" ca="1">IFERROR(_xlfn.IFS(OR($M532="",$AS532=""),"",$C532="Joined",($AS532-$M532)-$AT532),"")</f>
        <v/>
      </c>
      <c r="AY532" s="67" t="str">
        <f>IFERROR(IF(COUNTIFS('Candidate Tracker'!$E:$E,'Positions Tracker'!$B532,'Candidate Tracker'!$C:$C,"Offer Drop")=0,"",COUNTIFS('Candidate Tracker'!$E:$E,'Positions Tracker'!$B532,'Candidate Tracker'!$C:$C,"Offer Drop")),"")</f>
        <v/>
      </c>
      <c r="AZ532" s="80">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0.88111888111888115</v>
      </c>
      <c r="BA532" s="81" t="str">
        <f>IFERROR(IF(COUNTIFS('Candidate Tracker'!$E:$E,'Positions Tracker'!$B532,'Candidate Tracker'!$I:$I,"Female")=0,"",COUNTIFS('Candidate Tracker'!$E:$E,'Positions Tracker'!$B532,'Candidate Tracker'!$I:$I,"Female")),"")</f>
        <v/>
      </c>
      <c r="BB532" s="81" t="str">
        <f>IFERROR(IF(COUNTIFS('Candidate Tracker'!$E:$E,'Positions Tracker'!$B532,'Candidate Tracker'!$I:$I,"male")=0,"",COUNTIFS('Candidate Tracker'!$E:$E,'Positions Tracker'!$B532,'Candidate Tracker'!$I:$I,"male")),"")</f>
        <v/>
      </c>
      <c r="BC532" s="80" t="str">
        <f>IFERROR(IF(COUNTIFS('Candidate Tracker'!$E:$E,'Positions Tracker'!$B532,'Candidate Tracker'!$C:$C,"&lt;&gt;WIP",'Candidate Tracker'!$C:$C,"&lt;&gt;Hold",'Candidate Tracker'!$C:$C,"&lt;&gt;Cancelled",'Candidate Tracker'!$C:$C,"&lt;&gt;Closed")/COUNTIFS('Candidate Tracker'!$E:$E,'Positions Tracker'!$B532)=0,"",COUNTIFS('Candidate Tracker'!$E:$E,'Positions Tracker'!$B532,'Candidate Tracker'!$C:$C,"&lt;&gt;WIP",'Candidate Tracker'!$C:$C,"&lt;&gt;Hold",'Candidate Tracker'!$C:$C,"&lt;&gt;Cancelled",'Candidate Tracker'!$C:$C,"&lt;&gt;Closed")/COUNTIFS('Candidate Tracker'!$E:$E,'Positions Tracker'!$B532)),"")</f>
        <v/>
      </c>
      <c r="BD532" s="67" t="str">
        <f t="shared" si="48"/>
        <v/>
      </c>
      <c r="BE532" s="67" t="str">
        <f t="shared" si="49"/>
        <v/>
      </c>
      <c r="BF532" s="67" t="str">
        <f t="shared" si="50"/>
        <v/>
      </c>
      <c r="BG532" s="67" t="str">
        <f t="shared" si="51"/>
        <v/>
      </c>
    </row>
    <row r="533" spans="1:59">
      <c r="A533" s="55"/>
      <c r="B533" s="56"/>
      <c r="C533" s="56"/>
      <c r="D533" s="56"/>
      <c r="E533" s="56"/>
      <c r="F533" s="56"/>
      <c r="G533" s="56"/>
      <c r="H533" s="56"/>
      <c r="I533" s="6"/>
      <c r="J533" s="6"/>
      <c r="K533" s="57"/>
      <c r="L533" s="57"/>
      <c r="M533" s="57"/>
      <c r="N533" s="56"/>
      <c r="O533" s="56"/>
      <c r="P533" s="56"/>
      <c r="Q533" s="56"/>
      <c r="R533" s="56"/>
      <c r="S533" s="56"/>
      <c r="T533" s="56"/>
      <c r="U533" s="56"/>
      <c r="V533" s="56"/>
      <c r="W533" s="56"/>
      <c r="X533" s="56"/>
      <c r="Y533" s="56"/>
      <c r="Z533" s="56"/>
      <c r="AA533" s="56"/>
      <c r="AB533" s="56"/>
      <c r="AC533" s="56"/>
      <c r="AD533" s="56"/>
      <c r="AE533" s="56"/>
      <c r="AF533" s="56"/>
      <c r="AG533" s="56"/>
      <c r="AH533" s="56"/>
      <c r="AI533" s="58"/>
      <c r="AJ533" s="56"/>
      <c r="AK533" s="56"/>
      <c r="AL533" s="56"/>
      <c r="AM533" s="57"/>
      <c r="AN533" s="57"/>
      <c r="AO533" s="56"/>
      <c r="AP533" s="56"/>
      <c r="AQ533" s="57"/>
      <c r="AR533" s="57"/>
      <c r="AS533" s="57"/>
      <c r="AT533" s="67">
        <f t="shared" ca="1" si="52"/>
        <v>0</v>
      </c>
      <c r="AU533" s="79" t="str">
        <f t="shared" ca="1" si="53"/>
        <v/>
      </c>
      <c r="AV533" s="79" t="str" cm="1">
        <f t="array" aca="1" ref="AV533" ca="1">IFERROR(_xlfn.IFS($AU533="","",$AU533&lt;=15,"0-15",AND($AU533&gt;=16,$AU533&lt;=30),"16-30",AND($AU533&gt;=31,$AU533&lt;=45),"31-45",AND($AU533&gt;=46,$AU533&lt;=60),"46-60",AND($AU533&gt;=61,$AU533&lt;=90),"61-90",AND($AU533&gt;=91),"&gt; 90",AND($AU533&gt;=2000),""),"")</f>
        <v/>
      </c>
      <c r="AW533" s="79" t="str" cm="1">
        <f t="array" aca="1" ref="AW533" ca="1">IFERROR(_xlfn.IFS(OR($M533="",$AM533=""),"",OR($C533="Offered",$C533="Joined"),($AM533-$M533)-$AT533),"")</f>
        <v/>
      </c>
      <c r="AX533" s="79" t="str" cm="1">
        <f t="array" aca="1" ref="AX533" ca="1">IFERROR(_xlfn.IFS(OR($M533="",$AS533=""),"",$C533="Joined",($AS533-$M533)-$AT533),"")</f>
        <v/>
      </c>
      <c r="AY533" s="67" t="str">
        <f>IFERROR(IF(COUNTIFS('Candidate Tracker'!$E:$E,'Positions Tracker'!$B533,'Candidate Tracker'!$C:$C,"Offer Drop")=0,"",COUNTIFS('Candidate Tracker'!$E:$E,'Positions Tracker'!$B533,'Candidate Tracker'!$C:$C,"Offer Drop")),"")</f>
        <v/>
      </c>
      <c r="AZ533" s="80">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0.88111888111888115</v>
      </c>
      <c r="BA533" s="81" t="str">
        <f>IFERROR(IF(COUNTIFS('Candidate Tracker'!$E:$E,'Positions Tracker'!$B533,'Candidate Tracker'!$I:$I,"Female")=0,"",COUNTIFS('Candidate Tracker'!$E:$E,'Positions Tracker'!$B533,'Candidate Tracker'!$I:$I,"Female")),"")</f>
        <v/>
      </c>
      <c r="BB533" s="81" t="str">
        <f>IFERROR(IF(COUNTIFS('Candidate Tracker'!$E:$E,'Positions Tracker'!$B533,'Candidate Tracker'!$I:$I,"male")=0,"",COUNTIFS('Candidate Tracker'!$E:$E,'Positions Tracker'!$B533,'Candidate Tracker'!$I:$I,"male")),"")</f>
        <v/>
      </c>
      <c r="BC533" s="80" t="str">
        <f>IFERROR(IF(COUNTIFS('Candidate Tracker'!$E:$E,'Positions Tracker'!$B533,'Candidate Tracker'!$C:$C,"&lt;&gt;WIP",'Candidate Tracker'!$C:$C,"&lt;&gt;Hold",'Candidate Tracker'!$C:$C,"&lt;&gt;Cancelled",'Candidate Tracker'!$C:$C,"&lt;&gt;Closed")/COUNTIFS('Candidate Tracker'!$E:$E,'Positions Tracker'!$B533)=0,"",COUNTIFS('Candidate Tracker'!$E:$E,'Positions Tracker'!$B533,'Candidate Tracker'!$C:$C,"&lt;&gt;WIP",'Candidate Tracker'!$C:$C,"&lt;&gt;Hold",'Candidate Tracker'!$C:$C,"&lt;&gt;Cancelled",'Candidate Tracker'!$C:$C,"&lt;&gt;Closed")/COUNTIFS('Candidate Tracker'!$E:$E,'Positions Tracker'!$B533)),"")</f>
        <v/>
      </c>
      <c r="BD533" s="67" t="str">
        <f t="shared" si="48"/>
        <v/>
      </c>
      <c r="BE533" s="67" t="str">
        <f t="shared" si="49"/>
        <v/>
      </c>
      <c r="BF533" s="67" t="str">
        <f t="shared" si="50"/>
        <v/>
      </c>
      <c r="BG533" s="67" t="str">
        <f t="shared" si="51"/>
        <v/>
      </c>
    </row>
    <row r="534" spans="1:59">
      <c r="A534" s="55"/>
      <c r="B534" s="56"/>
      <c r="C534" s="56"/>
      <c r="D534" s="56"/>
      <c r="E534" s="56"/>
      <c r="F534" s="56"/>
      <c r="G534" s="56"/>
      <c r="H534" s="56"/>
      <c r="I534" s="6"/>
      <c r="J534" s="6"/>
      <c r="K534" s="57"/>
      <c r="L534" s="57"/>
      <c r="M534" s="57"/>
      <c r="N534" s="56"/>
      <c r="O534" s="56"/>
      <c r="P534" s="56"/>
      <c r="Q534" s="56"/>
      <c r="R534" s="56"/>
      <c r="S534" s="56"/>
      <c r="T534" s="56"/>
      <c r="U534" s="56"/>
      <c r="V534" s="56"/>
      <c r="W534" s="56"/>
      <c r="X534" s="56"/>
      <c r="Y534" s="56"/>
      <c r="Z534" s="56"/>
      <c r="AA534" s="56"/>
      <c r="AB534" s="56"/>
      <c r="AC534" s="56"/>
      <c r="AD534" s="56"/>
      <c r="AE534" s="56"/>
      <c r="AF534" s="56"/>
      <c r="AG534" s="56"/>
      <c r="AH534" s="56"/>
      <c r="AI534" s="58"/>
      <c r="AJ534" s="56"/>
      <c r="AK534" s="56"/>
      <c r="AL534" s="56"/>
      <c r="AM534" s="57"/>
      <c r="AN534" s="57"/>
      <c r="AO534" s="56"/>
      <c r="AP534" s="56"/>
      <c r="AQ534" s="57"/>
      <c r="AR534" s="57"/>
      <c r="AS534" s="57"/>
      <c r="AT534" s="67">
        <f t="shared" ca="1" si="52"/>
        <v>0</v>
      </c>
      <c r="AU534" s="79" t="str">
        <f t="shared" ca="1" si="53"/>
        <v/>
      </c>
      <c r="AV534" s="79" t="str" cm="1">
        <f t="array" aca="1" ref="AV534" ca="1">IFERROR(_xlfn.IFS($AU534="","",$AU534&lt;=15,"0-15",AND($AU534&gt;=16,$AU534&lt;=30),"16-30",AND($AU534&gt;=31,$AU534&lt;=45),"31-45",AND($AU534&gt;=46,$AU534&lt;=60),"46-60",AND($AU534&gt;=61,$AU534&lt;=90),"61-90",AND($AU534&gt;=91),"&gt; 90",AND($AU534&gt;=2000),""),"")</f>
        <v/>
      </c>
      <c r="AW534" s="79" t="str" cm="1">
        <f t="array" aca="1" ref="AW534" ca="1">IFERROR(_xlfn.IFS(OR($M534="",$AM534=""),"",OR($C534="Offered",$C534="Joined"),($AM534-$M534)-$AT534),"")</f>
        <v/>
      </c>
      <c r="AX534" s="79" t="str" cm="1">
        <f t="array" aca="1" ref="AX534" ca="1">IFERROR(_xlfn.IFS(OR($M534="",$AS534=""),"",$C534="Joined",($AS534-$M534)-$AT534),"")</f>
        <v/>
      </c>
      <c r="AY534" s="67" t="str">
        <f>IFERROR(IF(COUNTIFS('Candidate Tracker'!$E:$E,'Positions Tracker'!$B534,'Candidate Tracker'!$C:$C,"Offer Drop")=0,"",COUNTIFS('Candidate Tracker'!$E:$E,'Positions Tracker'!$B534,'Candidate Tracker'!$C:$C,"Offer Drop")),"")</f>
        <v/>
      </c>
      <c r="AZ534" s="80">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0.88111888111888115</v>
      </c>
      <c r="BA534" s="81" t="str">
        <f>IFERROR(IF(COUNTIFS('Candidate Tracker'!$E:$E,'Positions Tracker'!$B534,'Candidate Tracker'!$I:$I,"Female")=0,"",COUNTIFS('Candidate Tracker'!$E:$E,'Positions Tracker'!$B534,'Candidate Tracker'!$I:$I,"Female")),"")</f>
        <v/>
      </c>
      <c r="BB534" s="81" t="str">
        <f>IFERROR(IF(COUNTIFS('Candidate Tracker'!$E:$E,'Positions Tracker'!$B534,'Candidate Tracker'!$I:$I,"male")=0,"",COUNTIFS('Candidate Tracker'!$E:$E,'Positions Tracker'!$B534,'Candidate Tracker'!$I:$I,"male")),"")</f>
        <v/>
      </c>
      <c r="BC534" s="80" t="str">
        <f>IFERROR(IF(COUNTIFS('Candidate Tracker'!$E:$E,'Positions Tracker'!$B534,'Candidate Tracker'!$C:$C,"&lt;&gt;WIP",'Candidate Tracker'!$C:$C,"&lt;&gt;Hold",'Candidate Tracker'!$C:$C,"&lt;&gt;Cancelled",'Candidate Tracker'!$C:$C,"&lt;&gt;Closed")/COUNTIFS('Candidate Tracker'!$E:$E,'Positions Tracker'!$B534)=0,"",COUNTIFS('Candidate Tracker'!$E:$E,'Positions Tracker'!$B534,'Candidate Tracker'!$C:$C,"&lt;&gt;WIP",'Candidate Tracker'!$C:$C,"&lt;&gt;Hold",'Candidate Tracker'!$C:$C,"&lt;&gt;Cancelled",'Candidate Tracker'!$C:$C,"&lt;&gt;Closed")/COUNTIFS('Candidate Tracker'!$E:$E,'Positions Tracker'!$B534)),"")</f>
        <v/>
      </c>
      <c r="BD534" s="67" t="str">
        <f t="shared" si="48"/>
        <v/>
      </c>
      <c r="BE534" s="67" t="str">
        <f t="shared" si="49"/>
        <v/>
      </c>
      <c r="BF534" s="67" t="str">
        <f t="shared" si="50"/>
        <v/>
      </c>
      <c r="BG534" s="67" t="str">
        <f t="shared" si="51"/>
        <v/>
      </c>
    </row>
    <row r="535" spans="1:59">
      <c r="A535" s="55"/>
      <c r="B535" s="56"/>
      <c r="C535" s="56"/>
      <c r="D535" s="56"/>
      <c r="E535" s="56"/>
      <c r="F535" s="56"/>
      <c r="G535" s="56"/>
      <c r="H535" s="56"/>
      <c r="I535" s="6"/>
      <c r="J535" s="6"/>
      <c r="K535" s="57"/>
      <c r="L535" s="57"/>
      <c r="M535" s="57"/>
      <c r="N535" s="56"/>
      <c r="O535" s="56"/>
      <c r="P535" s="56"/>
      <c r="Q535" s="56"/>
      <c r="R535" s="56"/>
      <c r="S535" s="56"/>
      <c r="T535" s="56"/>
      <c r="U535" s="56"/>
      <c r="V535" s="56"/>
      <c r="W535" s="56"/>
      <c r="X535" s="56"/>
      <c r="Y535" s="56"/>
      <c r="Z535" s="56"/>
      <c r="AA535" s="56"/>
      <c r="AB535" s="56"/>
      <c r="AC535" s="56"/>
      <c r="AD535" s="56"/>
      <c r="AE535" s="56"/>
      <c r="AF535" s="56"/>
      <c r="AG535" s="56"/>
      <c r="AH535" s="56"/>
      <c r="AI535" s="58"/>
      <c r="AJ535" s="56"/>
      <c r="AK535" s="56"/>
      <c r="AL535" s="56"/>
      <c r="AM535" s="57"/>
      <c r="AN535" s="57"/>
      <c r="AO535" s="56"/>
      <c r="AP535" s="56"/>
      <c r="AQ535" s="57"/>
      <c r="AR535" s="57"/>
      <c r="AS535" s="57"/>
      <c r="AT535" s="67">
        <f t="shared" ca="1" si="52"/>
        <v>0</v>
      </c>
      <c r="AU535" s="79" t="str">
        <f t="shared" ca="1" si="53"/>
        <v/>
      </c>
      <c r="AV535" s="79" t="str" cm="1">
        <f t="array" aca="1" ref="AV535" ca="1">IFERROR(_xlfn.IFS($AU535="","",$AU535&lt;=15,"0-15",AND($AU535&gt;=16,$AU535&lt;=30),"16-30",AND($AU535&gt;=31,$AU535&lt;=45),"31-45",AND($AU535&gt;=46,$AU535&lt;=60),"46-60",AND($AU535&gt;=61,$AU535&lt;=90),"61-90",AND($AU535&gt;=91),"&gt; 90",AND($AU535&gt;=2000),""),"")</f>
        <v/>
      </c>
      <c r="AW535" s="79" t="str" cm="1">
        <f t="array" aca="1" ref="AW535" ca="1">IFERROR(_xlfn.IFS(OR($M535="",$AM535=""),"",OR($C535="Offered",$C535="Joined"),($AM535-$M535)-$AT535),"")</f>
        <v/>
      </c>
      <c r="AX535" s="79" t="str" cm="1">
        <f t="array" aca="1" ref="AX535" ca="1">IFERROR(_xlfn.IFS(OR($M535="",$AS535=""),"",$C535="Joined",($AS535-$M535)-$AT535),"")</f>
        <v/>
      </c>
      <c r="AY535" s="67" t="str">
        <f>IFERROR(IF(COUNTIFS('Candidate Tracker'!$E:$E,'Positions Tracker'!$B535,'Candidate Tracker'!$C:$C,"Offer Drop")=0,"",COUNTIFS('Candidate Tracker'!$E:$E,'Positions Tracker'!$B535,'Candidate Tracker'!$C:$C,"Offer Drop")),"")</f>
        <v/>
      </c>
      <c r="AZ535" s="80">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0.88111888111888115</v>
      </c>
      <c r="BA535" s="81" t="str">
        <f>IFERROR(IF(COUNTIFS('Candidate Tracker'!$E:$E,'Positions Tracker'!$B535,'Candidate Tracker'!$I:$I,"Female")=0,"",COUNTIFS('Candidate Tracker'!$E:$E,'Positions Tracker'!$B535,'Candidate Tracker'!$I:$I,"Female")),"")</f>
        <v/>
      </c>
      <c r="BB535" s="81" t="str">
        <f>IFERROR(IF(COUNTIFS('Candidate Tracker'!$E:$E,'Positions Tracker'!$B535,'Candidate Tracker'!$I:$I,"male")=0,"",COUNTIFS('Candidate Tracker'!$E:$E,'Positions Tracker'!$B535,'Candidate Tracker'!$I:$I,"male")),"")</f>
        <v/>
      </c>
      <c r="BC535" s="80" t="str">
        <f>IFERROR(IF(COUNTIFS('Candidate Tracker'!$E:$E,'Positions Tracker'!$B535,'Candidate Tracker'!$C:$C,"&lt;&gt;WIP",'Candidate Tracker'!$C:$C,"&lt;&gt;Hold",'Candidate Tracker'!$C:$C,"&lt;&gt;Cancelled",'Candidate Tracker'!$C:$C,"&lt;&gt;Closed")/COUNTIFS('Candidate Tracker'!$E:$E,'Positions Tracker'!$B535)=0,"",COUNTIFS('Candidate Tracker'!$E:$E,'Positions Tracker'!$B535,'Candidate Tracker'!$C:$C,"&lt;&gt;WIP",'Candidate Tracker'!$C:$C,"&lt;&gt;Hold",'Candidate Tracker'!$C:$C,"&lt;&gt;Cancelled",'Candidate Tracker'!$C:$C,"&lt;&gt;Closed")/COUNTIFS('Candidate Tracker'!$E:$E,'Positions Tracker'!$B535)),"")</f>
        <v/>
      </c>
      <c r="BD535" s="67" t="str">
        <f t="shared" si="48"/>
        <v/>
      </c>
      <c r="BE535" s="67" t="str">
        <f t="shared" si="49"/>
        <v/>
      </c>
      <c r="BF535" s="67" t="str">
        <f t="shared" si="50"/>
        <v/>
      </c>
      <c r="BG535" s="67" t="str">
        <f t="shared" si="51"/>
        <v/>
      </c>
    </row>
    <row r="536" spans="1:59">
      <c r="A536" s="55"/>
      <c r="B536" s="56"/>
      <c r="C536" s="56"/>
      <c r="D536" s="56"/>
      <c r="E536" s="56"/>
      <c r="F536" s="56"/>
      <c r="G536" s="56"/>
      <c r="H536" s="56"/>
      <c r="I536" s="6"/>
      <c r="J536" s="6"/>
      <c r="K536" s="57"/>
      <c r="L536" s="57"/>
      <c r="M536" s="57"/>
      <c r="N536" s="56"/>
      <c r="O536" s="56"/>
      <c r="P536" s="56"/>
      <c r="Q536" s="56"/>
      <c r="R536" s="56"/>
      <c r="S536" s="56"/>
      <c r="T536" s="56"/>
      <c r="U536" s="56"/>
      <c r="V536" s="56"/>
      <c r="W536" s="56"/>
      <c r="X536" s="56"/>
      <c r="Y536" s="56"/>
      <c r="Z536" s="56"/>
      <c r="AA536" s="56"/>
      <c r="AB536" s="56"/>
      <c r="AC536" s="56"/>
      <c r="AD536" s="56"/>
      <c r="AE536" s="56"/>
      <c r="AF536" s="56"/>
      <c r="AG536" s="56"/>
      <c r="AH536" s="56"/>
      <c r="AI536" s="58"/>
      <c r="AJ536" s="56"/>
      <c r="AK536" s="56"/>
      <c r="AL536" s="56"/>
      <c r="AM536" s="57"/>
      <c r="AN536" s="57"/>
      <c r="AO536" s="56"/>
      <c r="AP536" s="56"/>
      <c r="AQ536" s="57"/>
      <c r="AR536" s="57"/>
      <c r="AS536" s="57"/>
      <c r="AT536" s="67">
        <f t="shared" ca="1" si="52"/>
        <v>0</v>
      </c>
      <c r="AU536" s="79" t="str">
        <f t="shared" ca="1" si="53"/>
        <v/>
      </c>
      <c r="AV536" s="79" t="str" cm="1">
        <f t="array" aca="1" ref="AV536" ca="1">IFERROR(_xlfn.IFS($AU536="","",$AU536&lt;=15,"0-15",AND($AU536&gt;=16,$AU536&lt;=30),"16-30",AND($AU536&gt;=31,$AU536&lt;=45),"31-45",AND($AU536&gt;=46,$AU536&lt;=60),"46-60",AND($AU536&gt;=61,$AU536&lt;=90),"61-90",AND($AU536&gt;=91),"&gt; 90",AND($AU536&gt;=2000),""),"")</f>
        <v/>
      </c>
      <c r="AW536" s="79" t="str" cm="1">
        <f t="array" aca="1" ref="AW536" ca="1">IFERROR(_xlfn.IFS(OR($M536="",$AM536=""),"",OR($C536="Offered",$C536="Joined"),($AM536-$M536)-$AT536),"")</f>
        <v/>
      </c>
      <c r="AX536" s="79" t="str" cm="1">
        <f t="array" aca="1" ref="AX536" ca="1">IFERROR(_xlfn.IFS(OR($M536="",$AS536=""),"",$C536="Joined",($AS536-$M536)-$AT536),"")</f>
        <v/>
      </c>
      <c r="AY536" s="67" t="str">
        <f>IFERROR(IF(COUNTIFS('Candidate Tracker'!$E:$E,'Positions Tracker'!$B536,'Candidate Tracker'!$C:$C,"Offer Drop")=0,"",COUNTIFS('Candidate Tracker'!$E:$E,'Positions Tracker'!$B536,'Candidate Tracker'!$C:$C,"Offer Drop")),"")</f>
        <v/>
      </c>
      <c r="AZ536" s="80">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0.88111888111888115</v>
      </c>
      <c r="BA536" s="81" t="str">
        <f>IFERROR(IF(COUNTIFS('Candidate Tracker'!$E:$E,'Positions Tracker'!$B536,'Candidate Tracker'!$I:$I,"Female")=0,"",COUNTIFS('Candidate Tracker'!$E:$E,'Positions Tracker'!$B536,'Candidate Tracker'!$I:$I,"Female")),"")</f>
        <v/>
      </c>
      <c r="BB536" s="81" t="str">
        <f>IFERROR(IF(COUNTIFS('Candidate Tracker'!$E:$E,'Positions Tracker'!$B536,'Candidate Tracker'!$I:$I,"male")=0,"",COUNTIFS('Candidate Tracker'!$E:$E,'Positions Tracker'!$B536,'Candidate Tracker'!$I:$I,"male")),"")</f>
        <v/>
      </c>
      <c r="BC536" s="80" t="str">
        <f>IFERROR(IF(COUNTIFS('Candidate Tracker'!$E:$E,'Positions Tracker'!$B536,'Candidate Tracker'!$C:$C,"&lt;&gt;WIP",'Candidate Tracker'!$C:$C,"&lt;&gt;Hold",'Candidate Tracker'!$C:$C,"&lt;&gt;Cancelled",'Candidate Tracker'!$C:$C,"&lt;&gt;Closed")/COUNTIFS('Candidate Tracker'!$E:$E,'Positions Tracker'!$B536)=0,"",COUNTIFS('Candidate Tracker'!$E:$E,'Positions Tracker'!$B536,'Candidate Tracker'!$C:$C,"&lt;&gt;WIP",'Candidate Tracker'!$C:$C,"&lt;&gt;Hold",'Candidate Tracker'!$C:$C,"&lt;&gt;Cancelled",'Candidate Tracker'!$C:$C,"&lt;&gt;Closed")/COUNTIFS('Candidate Tracker'!$E:$E,'Positions Tracker'!$B536)),"")</f>
        <v/>
      </c>
      <c r="BD536" s="67" t="str">
        <f t="shared" si="48"/>
        <v/>
      </c>
      <c r="BE536" s="67" t="str">
        <f t="shared" si="49"/>
        <v/>
      </c>
      <c r="BF536" s="67" t="str">
        <f t="shared" si="50"/>
        <v/>
      </c>
      <c r="BG536" s="67" t="str">
        <f t="shared" si="51"/>
        <v/>
      </c>
    </row>
    <row r="537" spans="1:59">
      <c r="A537" s="55"/>
      <c r="B537" s="56"/>
      <c r="C537" s="56"/>
      <c r="D537" s="56"/>
      <c r="E537" s="56"/>
      <c r="F537" s="56"/>
      <c r="G537" s="56"/>
      <c r="H537" s="56"/>
      <c r="I537" s="6"/>
      <c r="J537" s="6"/>
      <c r="K537" s="57"/>
      <c r="L537" s="57"/>
      <c r="M537" s="57"/>
      <c r="N537" s="56"/>
      <c r="O537" s="56"/>
      <c r="P537" s="56"/>
      <c r="Q537" s="56"/>
      <c r="R537" s="56"/>
      <c r="S537" s="56"/>
      <c r="T537" s="56"/>
      <c r="U537" s="56"/>
      <c r="V537" s="56"/>
      <c r="W537" s="56"/>
      <c r="X537" s="56"/>
      <c r="Y537" s="56"/>
      <c r="Z537" s="56"/>
      <c r="AA537" s="56"/>
      <c r="AB537" s="56"/>
      <c r="AC537" s="56"/>
      <c r="AD537" s="56"/>
      <c r="AE537" s="56"/>
      <c r="AF537" s="56"/>
      <c r="AG537" s="56"/>
      <c r="AH537" s="56"/>
      <c r="AI537" s="58"/>
      <c r="AJ537" s="56"/>
      <c r="AK537" s="56"/>
      <c r="AL537" s="56"/>
      <c r="AM537" s="57"/>
      <c r="AN537" s="57"/>
      <c r="AO537" s="56"/>
      <c r="AP537" s="56"/>
      <c r="AQ537" s="57"/>
      <c r="AR537" s="57"/>
      <c r="AS537" s="57"/>
      <c r="AT537" s="67">
        <f t="shared" ca="1" si="52"/>
        <v>0</v>
      </c>
      <c r="AU537" s="79" t="str">
        <f t="shared" ca="1" si="53"/>
        <v/>
      </c>
      <c r="AV537" s="79" t="str" cm="1">
        <f t="array" aca="1" ref="AV537" ca="1">IFERROR(_xlfn.IFS($AU537="","",$AU537&lt;=15,"0-15",AND($AU537&gt;=16,$AU537&lt;=30),"16-30",AND($AU537&gt;=31,$AU537&lt;=45),"31-45",AND($AU537&gt;=46,$AU537&lt;=60),"46-60",AND($AU537&gt;=61,$AU537&lt;=90),"61-90",AND($AU537&gt;=91),"&gt; 90",AND($AU537&gt;=2000),""),"")</f>
        <v/>
      </c>
      <c r="AW537" s="79" t="str" cm="1">
        <f t="array" aca="1" ref="AW537" ca="1">IFERROR(_xlfn.IFS(OR($M537="",$AM537=""),"",OR($C537="Offered",$C537="Joined"),($AM537-$M537)-$AT537),"")</f>
        <v/>
      </c>
      <c r="AX537" s="79" t="str" cm="1">
        <f t="array" aca="1" ref="AX537" ca="1">IFERROR(_xlfn.IFS(OR($M537="",$AS537=""),"",$C537="Joined",($AS537-$M537)-$AT537),"")</f>
        <v/>
      </c>
      <c r="AY537" s="67" t="str">
        <f>IFERROR(IF(COUNTIFS('Candidate Tracker'!$E:$E,'Positions Tracker'!$B537,'Candidate Tracker'!$C:$C,"Offer Drop")=0,"",COUNTIFS('Candidate Tracker'!$E:$E,'Positions Tracker'!$B537,'Candidate Tracker'!$C:$C,"Offer Drop")),"")</f>
        <v/>
      </c>
      <c r="AZ537" s="80">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0.88111888111888115</v>
      </c>
      <c r="BA537" s="81" t="str">
        <f>IFERROR(IF(COUNTIFS('Candidate Tracker'!$E:$E,'Positions Tracker'!$B537,'Candidate Tracker'!$I:$I,"Female")=0,"",COUNTIFS('Candidate Tracker'!$E:$E,'Positions Tracker'!$B537,'Candidate Tracker'!$I:$I,"Female")),"")</f>
        <v/>
      </c>
      <c r="BB537" s="81" t="str">
        <f>IFERROR(IF(COUNTIFS('Candidate Tracker'!$E:$E,'Positions Tracker'!$B537,'Candidate Tracker'!$I:$I,"male")=0,"",COUNTIFS('Candidate Tracker'!$E:$E,'Positions Tracker'!$B537,'Candidate Tracker'!$I:$I,"male")),"")</f>
        <v/>
      </c>
      <c r="BC537" s="80" t="str">
        <f>IFERROR(IF(COUNTIFS('Candidate Tracker'!$E:$E,'Positions Tracker'!$B537,'Candidate Tracker'!$C:$C,"&lt;&gt;WIP",'Candidate Tracker'!$C:$C,"&lt;&gt;Hold",'Candidate Tracker'!$C:$C,"&lt;&gt;Cancelled",'Candidate Tracker'!$C:$C,"&lt;&gt;Closed")/COUNTIFS('Candidate Tracker'!$E:$E,'Positions Tracker'!$B537)=0,"",COUNTIFS('Candidate Tracker'!$E:$E,'Positions Tracker'!$B537,'Candidate Tracker'!$C:$C,"&lt;&gt;WIP",'Candidate Tracker'!$C:$C,"&lt;&gt;Hold",'Candidate Tracker'!$C:$C,"&lt;&gt;Cancelled",'Candidate Tracker'!$C:$C,"&lt;&gt;Closed")/COUNTIFS('Candidate Tracker'!$E:$E,'Positions Tracker'!$B537)),"")</f>
        <v/>
      </c>
      <c r="BD537" s="67" t="str">
        <f t="shared" si="48"/>
        <v/>
      </c>
      <c r="BE537" s="67" t="str">
        <f t="shared" si="49"/>
        <v/>
      </c>
      <c r="BF537" s="67" t="str">
        <f t="shared" si="50"/>
        <v/>
      </c>
      <c r="BG537" s="67" t="str">
        <f t="shared" si="51"/>
        <v/>
      </c>
    </row>
    <row r="538" spans="1:59">
      <c r="A538" s="55"/>
      <c r="B538" s="56"/>
      <c r="C538" s="56"/>
      <c r="D538" s="56"/>
      <c r="E538" s="56"/>
      <c r="F538" s="56"/>
      <c r="G538" s="56"/>
      <c r="H538" s="56"/>
      <c r="I538" s="6"/>
      <c r="J538" s="6"/>
      <c r="K538" s="57"/>
      <c r="L538" s="57"/>
      <c r="M538" s="57"/>
      <c r="N538" s="56"/>
      <c r="O538" s="56"/>
      <c r="P538" s="56"/>
      <c r="Q538" s="56"/>
      <c r="R538" s="56"/>
      <c r="S538" s="56"/>
      <c r="T538" s="56"/>
      <c r="U538" s="56"/>
      <c r="V538" s="56"/>
      <c r="W538" s="56"/>
      <c r="X538" s="56"/>
      <c r="Y538" s="56"/>
      <c r="Z538" s="56"/>
      <c r="AA538" s="56"/>
      <c r="AB538" s="56"/>
      <c r="AC538" s="56"/>
      <c r="AD538" s="56"/>
      <c r="AE538" s="56"/>
      <c r="AF538" s="56"/>
      <c r="AG538" s="56"/>
      <c r="AH538" s="56"/>
      <c r="AI538" s="58"/>
      <c r="AJ538" s="56"/>
      <c r="AK538" s="56"/>
      <c r="AL538" s="56"/>
      <c r="AM538" s="57"/>
      <c r="AN538" s="57"/>
      <c r="AO538" s="56"/>
      <c r="AP538" s="56"/>
      <c r="AQ538" s="57"/>
      <c r="AR538" s="57"/>
      <c r="AS538" s="57"/>
      <c r="AT538" s="67">
        <f t="shared" ca="1" si="52"/>
        <v>0</v>
      </c>
      <c r="AU538" s="79" t="str">
        <f t="shared" ca="1" si="53"/>
        <v/>
      </c>
      <c r="AV538" s="79" t="str" cm="1">
        <f t="array" aca="1" ref="AV538" ca="1">IFERROR(_xlfn.IFS($AU538="","",$AU538&lt;=15,"0-15",AND($AU538&gt;=16,$AU538&lt;=30),"16-30",AND($AU538&gt;=31,$AU538&lt;=45),"31-45",AND($AU538&gt;=46,$AU538&lt;=60),"46-60",AND($AU538&gt;=61,$AU538&lt;=90),"61-90",AND($AU538&gt;=91),"&gt; 90",AND($AU538&gt;=2000),""),"")</f>
        <v/>
      </c>
      <c r="AW538" s="79" t="str" cm="1">
        <f t="array" aca="1" ref="AW538" ca="1">IFERROR(_xlfn.IFS(OR($M538="",$AM538=""),"",OR($C538="Offered",$C538="Joined"),($AM538-$M538)-$AT538),"")</f>
        <v/>
      </c>
      <c r="AX538" s="79" t="str" cm="1">
        <f t="array" aca="1" ref="AX538" ca="1">IFERROR(_xlfn.IFS(OR($M538="",$AS538=""),"",$C538="Joined",($AS538-$M538)-$AT538),"")</f>
        <v/>
      </c>
      <c r="AY538" s="67" t="str">
        <f>IFERROR(IF(COUNTIFS('Candidate Tracker'!$E:$E,'Positions Tracker'!$B538,'Candidate Tracker'!$C:$C,"Offer Drop")=0,"",COUNTIFS('Candidate Tracker'!$E:$E,'Positions Tracker'!$B538,'Candidate Tracker'!$C:$C,"Offer Drop")),"")</f>
        <v/>
      </c>
      <c r="AZ538" s="80">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0.88111888111888115</v>
      </c>
      <c r="BA538" s="81" t="str">
        <f>IFERROR(IF(COUNTIFS('Candidate Tracker'!$E:$E,'Positions Tracker'!$B538,'Candidate Tracker'!$I:$I,"Female")=0,"",COUNTIFS('Candidate Tracker'!$E:$E,'Positions Tracker'!$B538,'Candidate Tracker'!$I:$I,"Female")),"")</f>
        <v/>
      </c>
      <c r="BB538" s="81" t="str">
        <f>IFERROR(IF(COUNTIFS('Candidate Tracker'!$E:$E,'Positions Tracker'!$B538,'Candidate Tracker'!$I:$I,"male")=0,"",COUNTIFS('Candidate Tracker'!$E:$E,'Positions Tracker'!$B538,'Candidate Tracker'!$I:$I,"male")),"")</f>
        <v/>
      </c>
      <c r="BC538" s="80" t="str">
        <f>IFERROR(IF(COUNTIFS('Candidate Tracker'!$E:$E,'Positions Tracker'!$B538,'Candidate Tracker'!$C:$C,"&lt;&gt;WIP",'Candidate Tracker'!$C:$C,"&lt;&gt;Hold",'Candidate Tracker'!$C:$C,"&lt;&gt;Cancelled",'Candidate Tracker'!$C:$C,"&lt;&gt;Closed")/COUNTIFS('Candidate Tracker'!$E:$E,'Positions Tracker'!$B538)=0,"",COUNTIFS('Candidate Tracker'!$E:$E,'Positions Tracker'!$B538,'Candidate Tracker'!$C:$C,"&lt;&gt;WIP",'Candidate Tracker'!$C:$C,"&lt;&gt;Hold",'Candidate Tracker'!$C:$C,"&lt;&gt;Cancelled",'Candidate Tracker'!$C:$C,"&lt;&gt;Closed")/COUNTIFS('Candidate Tracker'!$E:$E,'Positions Tracker'!$B538)),"")</f>
        <v/>
      </c>
      <c r="BD538" s="67" t="str">
        <f t="shared" si="48"/>
        <v/>
      </c>
      <c r="BE538" s="67" t="str">
        <f t="shared" si="49"/>
        <v/>
      </c>
      <c r="BF538" s="67" t="str">
        <f t="shared" si="50"/>
        <v/>
      </c>
      <c r="BG538" s="67" t="str">
        <f t="shared" si="51"/>
        <v/>
      </c>
    </row>
    <row r="539" spans="1:59">
      <c r="A539" s="55"/>
      <c r="B539" s="56"/>
      <c r="C539" s="56"/>
      <c r="D539" s="56"/>
      <c r="E539" s="56"/>
      <c r="F539" s="56"/>
      <c r="G539" s="56"/>
      <c r="H539" s="56"/>
      <c r="I539" s="6"/>
      <c r="J539" s="6"/>
      <c r="K539" s="57"/>
      <c r="L539" s="57"/>
      <c r="M539" s="57"/>
      <c r="N539" s="56"/>
      <c r="O539" s="56"/>
      <c r="P539" s="56"/>
      <c r="Q539" s="56"/>
      <c r="R539" s="56"/>
      <c r="S539" s="56"/>
      <c r="T539" s="56"/>
      <c r="U539" s="56"/>
      <c r="V539" s="56"/>
      <c r="W539" s="56"/>
      <c r="X539" s="56"/>
      <c r="Y539" s="56"/>
      <c r="Z539" s="56"/>
      <c r="AA539" s="56"/>
      <c r="AB539" s="56"/>
      <c r="AC539" s="56"/>
      <c r="AD539" s="56"/>
      <c r="AE539" s="56"/>
      <c r="AF539" s="56"/>
      <c r="AG539" s="56"/>
      <c r="AH539" s="56"/>
      <c r="AI539" s="58"/>
      <c r="AJ539" s="56"/>
      <c r="AK539" s="56"/>
      <c r="AL539" s="56"/>
      <c r="AM539" s="57"/>
      <c r="AN539" s="57"/>
      <c r="AO539" s="56"/>
      <c r="AP539" s="56"/>
      <c r="AQ539" s="57"/>
      <c r="AR539" s="57"/>
      <c r="AS539" s="57"/>
      <c r="AT539" s="67">
        <f t="shared" ca="1" si="52"/>
        <v>0</v>
      </c>
      <c r="AU539" s="79" t="str">
        <f t="shared" ca="1" si="53"/>
        <v/>
      </c>
      <c r="AV539" s="79" t="str" cm="1">
        <f t="array" aca="1" ref="AV539" ca="1">IFERROR(_xlfn.IFS($AU539="","",$AU539&lt;=15,"0-15",AND($AU539&gt;=16,$AU539&lt;=30),"16-30",AND($AU539&gt;=31,$AU539&lt;=45),"31-45",AND($AU539&gt;=46,$AU539&lt;=60),"46-60",AND($AU539&gt;=61,$AU539&lt;=90),"61-90",AND($AU539&gt;=91),"&gt; 90",AND($AU539&gt;=2000),""),"")</f>
        <v/>
      </c>
      <c r="AW539" s="79" t="str" cm="1">
        <f t="array" aca="1" ref="AW539" ca="1">IFERROR(_xlfn.IFS(OR($M539="",$AM539=""),"",OR($C539="Offered",$C539="Joined"),($AM539-$M539)-$AT539),"")</f>
        <v/>
      </c>
      <c r="AX539" s="79" t="str" cm="1">
        <f t="array" aca="1" ref="AX539" ca="1">IFERROR(_xlfn.IFS(OR($M539="",$AS539=""),"",$C539="Joined",($AS539-$M539)-$AT539),"")</f>
        <v/>
      </c>
      <c r="AY539" s="67" t="str">
        <f>IFERROR(IF(COUNTIFS('Candidate Tracker'!$E:$E,'Positions Tracker'!$B539,'Candidate Tracker'!$C:$C,"Offer Drop")=0,"",COUNTIFS('Candidate Tracker'!$E:$E,'Positions Tracker'!$B539,'Candidate Tracker'!$C:$C,"Offer Drop")),"")</f>
        <v/>
      </c>
      <c r="AZ539" s="80">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0.88111888111888115</v>
      </c>
      <c r="BA539" s="81" t="str">
        <f>IFERROR(IF(COUNTIFS('Candidate Tracker'!$E:$E,'Positions Tracker'!$B539,'Candidate Tracker'!$I:$I,"Female")=0,"",COUNTIFS('Candidate Tracker'!$E:$E,'Positions Tracker'!$B539,'Candidate Tracker'!$I:$I,"Female")),"")</f>
        <v/>
      </c>
      <c r="BB539" s="81" t="str">
        <f>IFERROR(IF(COUNTIFS('Candidate Tracker'!$E:$E,'Positions Tracker'!$B539,'Candidate Tracker'!$I:$I,"male")=0,"",COUNTIFS('Candidate Tracker'!$E:$E,'Positions Tracker'!$B539,'Candidate Tracker'!$I:$I,"male")),"")</f>
        <v/>
      </c>
      <c r="BC539" s="80" t="str">
        <f>IFERROR(IF(COUNTIFS('Candidate Tracker'!$E:$E,'Positions Tracker'!$B539,'Candidate Tracker'!$C:$C,"&lt;&gt;WIP",'Candidate Tracker'!$C:$C,"&lt;&gt;Hold",'Candidate Tracker'!$C:$C,"&lt;&gt;Cancelled",'Candidate Tracker'!$C:$C,"&lt;&gt;Closed")/COUNTIFS('Candidate Tracker'!$E:$E,'Positions Tracker'!$B539)=0,"",COUNTIFS('Candidate Tracker'!$E:$E,'Positions Tracker'!$B539,'Candidate Tracker'!$C:$C,"&lt;&gt;WIP",'Candidate Tracker'!$C:$C,"&lt;&gt;Hold",'Candidate Tracker'!$C:$C,"&lt;&gt;Cancelled",'Candidate Tracker'!$C:$C,"&lt;&gt;Closed")/COUNTIFS('Candidate Tracker'!$E:$E,'Positions Tracker'!$B539)),"")</f>
        <v/>
      </c>
      <c r="BD539" s="67" t="str">
        <f t="shared" si="48"/>
        <v/>
      </c>
      <c r="BE539" s="67" t="str">
        <f t="shared" si="49"/>
        <v/>
      </c>
      <c r="BF539" s="67" t="str">
        <f t="shared" si="50"/>
        <v/>
      </c>
      <c r="BG539" s="67" t="str">
        <f t="shared" si="51"/>
        <v/>
      </c>
    </row>
    <row r="540" spans="1:59">
      <c r="A540" s="55"/>
      <c r="B540" s="56"/>
      <c r="C540" s="56"/>
      <c r="D540" s="56"/>
      <c r="E540" s="56"/>
      <c r="F540" s="56"/>
      <c r="G540" s="56"/>
      <c r="H540" s="56"/>
      <c r="I540" s="6"/>
      <c r="J540" s="6"/>
      <c r="K540" s="57"/>
      <c r="L540" s="57"/>
      <c r="M540" s="57"/>
      <c r="N540" s="56"/>
      <c r="O540" s="56"/>
      <c r="P540" s="56"/>
      <c r="Q540" s="56"/>
      <c r="R540" s="56"/>
      <c r="S540" s="56"/>
      <c r="T540" s="56"/>
      <c r="U540" s="56"/>
      <c r="V540" s="56"/>
      <c r="W540" s="56"/>
      <c r="X540" s="56"/>
      <c r="Y540" s="56"/>
      <c r="Z540" s="56"/>
      <c r="AA540" s="56"/>
      <c r="AB540" s="56"/>
      <c r="AC540" s="56"/>
      <c r="AD540" s="56"/>
      <c r="AE540" s="56"/>
      <c r="AF540" s="56"/>
      <c r="AG540" s="56"/>
      <c r="AH540" s="56"/>
      <c r="AI540" s="58"/>
      <c r="AJ540" s="56"/>
      <c r="AK540" s="56"/>
      <c r="AL540" s="56"/>
      <c r="AM540" s="57"/>
      <c r="AN540" s="57"/>
      <c r="AO540" s="56"/>
      <c r="AP540" s="56"/>
      <c r="AQ540" s="57"/>
      <c r="AR540" s="57"/>
      <c r="AS540" s="57"/>
      <c r="AT540" s="67">
        <f t="shared" ca="1" si="52"/>
        <v>0</v>
      </c>
      <c r="AU540" s="79" t="str">
        <f t="shared" ca="1" si="53"/>
        <v/>
      </c>
      <c r="AV540" s="79" t="str" cm="1">
        <f t="array" aca="1" ref="AV540" ca="1">IFERROR(_xlfn.IFS($AU540="","",$AU540&lt;=15,"0-15",AND($AU540&gt;=16,$AU540&lt;=30),"16-30",AND($AU540&gt;=31,$AU540&lt;=45),"31-45",AND($AU540&gt;=46,$AU540&lt;=60),"46-60",AND($AU540&gt;=61,$AU540&lt;=90),"61-90",AND($AU540&gt;=91),"&gt; 90",AND($AU540&gt;=2000),""),"")</f>
        <v/>
      </c>
      <c r="AW540" s="79" t="str" cm="1">
        <f t="array" aca="1" ref="AW540" ca="1">IFERROR(_xlfn.IFS(OR($M540="",$AM540=""),"",OR($C540="Offered",$C540="Joined"),($AM540-$M540)-$AT540),"")</f>
        <v/>
      </c>
      <c r="AX540" s="79" t="str" cm="1">
        <f t="array" aca="1" ref="AX540" ca="1">IFERROR(_xlfn.IFS(OR($M540="",$AS540=""),"",$C540="Joined",($AS540-$M540)-$AT540),"")</f>
        <v/>
      </c>
      <c r="AY540" s="67" t="str">
        <f>IFERROR(IF(COUNTIFS('Candidate Tracker'!$E:$E,'Positions Tracker'!$B540,'Candidate Tracker'!$C:$C,"Offer Drop")=0,"",COUNTIFS('Candidate Tracker'!$E:$E,'Positions Tracker'!$B540,'Candidate Tracker'!$C:$C,"Offer Drop")),"")</f>
        <v/>
      </c>
      <c r="AZ540" s="80">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0.88111888111888115</v>
      </c>
      <c r="BA540" s="81" t="str">
        <f>IFERROR(IF(COUNTIFS('Candidate Tracker'!$E:$E,'Positions Tracker'!$B540,'Candidate Tracker'!$I:$I,"Female")=0,"",COUNTIFS('Candidate Tracker'!$E:$E,'Positions Tracker'!$B540,'Candidate Tracker'!$I:$I,"Female")),"")</f>
        <v/>
      </c>
      <c r="BB540" s="81" t="str">
        <f>IFERROR(IF(COUNTIFS('Candidate Tracker'!$E:$E,'Positions Tracker'!$B540,'Candidate Tracker'!$I:$I,"male")=0,"",COUNTIFS('Candidate Tracker'!$E:$E,'Positions Tracker'!$B540,'Candidate Tracker'!$I:$I,"male")),"")</f>
        <v/>
      </c>
      <c r="BC540" s="80" t="str">
        <f>IFERROR(IF(COUNTIFS('Candidate Tracker'!$E:$E,'Positions Tracker'!$B540,'Candidate Tracker'!$C:$C,"&lt;&gt;WIP",'Candidate Tracker'!$C:$C,"&lt;&gt;Hold",'Candidate Tracker'!$C:$C,"&lt;&gt;Cancelled",'Candidate Tracker'!$C:$C,"&lt;&gt;Closed")/COUNTIFS('Candidate Tracker'!$E:$E,'Positions Tracker'!$B540)=0,"",COUNTIFS('Candidate Tracker'!$E:$E,'Positions Tracker'!$B540,'Candidate Tracker'!$C:$C,"&lt;&gt;WIP",'Candidate Tracker'!$C:$C,"&lt;&gt;Hold",'Candidate Tracker'!$C:$C,"&lt;&gt;Cancelled",'Candidate Tracker'!$C:$C,"&lt;&gt;Closed")/COUNTIFS('Candidate Tracker'!$E:$E,'Positions Tracker'!$B540)),"")</f>
        <v/>
      </c>
      <c r="BD540" s="67" t="str">
        <f t="shared" si="48"/>
        <v/>
      </c>
      <c r="BE540" s="67" t="str">
        <f t="shared" si="49"/>
        <v/>
      </c>
      <c r="BF540" s="67" t="str">
        <f t="shared" si="50"/>
        <v/>
      </c>
      <c r="BG540" s="67" t="str">
        <f t="shared" si="51"/>
        <v/>
      </c>
    </row>
    <row r="541" spans="1:59">
      <c r="A541" s="55"/>
      <c r="B541" s="56"/>
      <c r="C541" s="56"/>
      <c r="D541" s="56"/>
      <c r="E541" s="56"/>
      <c r="F541" s="56"/>
      <c r="G541" s="56"/>
      <c r="H541" s="56"/>
      <c r="I541" s="6"/>
      <c r="J541" s="6"/>
      <c r="K541" s="57"/>
      <c r="L541" s="57"/>
      <c r="M541" s="57"/>
      <c r="N541" s="56"/>
      <c r="O541" s="56"/>
      <c r="P541" s="56"/>
      <c r="Q541" s="56"/>
      <c r="R541" s="56"/>
      <c r="S541" s="56"/>
      <c r="T541" s="56"/>
      <c r="U541" s="56"/>
      <c r="V541" s="56"/>
      <c r="W541" s="56"/>
      <c r="X541" s="56"/>
      <c r="Y541" s="56"/>
      <c r="Z541" s="56"/>
      <c r="AA541" s="56"/>
      <c r="AB541" s="56"/>
      <c r="AC541" s="56"/>
      <c r="AD541" s="56"/>
      <c r="AE541" s="56"/>
      <c r="AF541" s="56"/>
      <c r="AG541" s="56"/>
      <c r="AH541" s="56"/>
      <c r="AI541" s="58"/>
      <c r="AJ541" s="56"/>
      <c r="AK541" s="56"/>
      <c r="AL541" s="56"/>
      <c r="AM541" s="57"/>
      <c r="AN541" s="57"/>
      <c r="AO541" s="56"/>
      <c r="AP541" s="56"/>
      <c r="AQ541" s="57"/>
      <c r="AR541" s="57"/>
      <c r="AS541" s="57"/>
      <c r="AT541" s="67">
        <f t="shared" ca="1" si="52"/>
        <v>0</v>
      </c>
      <c r="AU541" s="79" t="str">
        <f t="shared" ca="1" si="53"/>
        <v/>
      </c>
      <c r="AV541" s="79" t="str" cm="1">
        <f t="array" aca="1" ref="AV541" ca="1">IFERROR(_xlfn.IFS($AU541="","",$AU541&lt;=15,"0-15",AND($AU541&gt;=16,$AU541&lt;=30),"16-30",AND($AU541&gt;=31,$AU541&lt;=45),"31-45",AND($AU541&gt;=46,$AU541&lt;=60),"46-60",AND($AU541&gt;=61,$AU541&lt;=90),"61-90",AND($AU541&gt;=91),"&gt; 90",AND($AU541&gt;=2000),""),"")</f>
        <v/>
      </c>
      <c r="AW541" s="79" t="str" cm="1">
        <f t="array" aca="1" ref="AW541" ca="1">IFERROR(_xlfn.IFS(OR($M541="",$AM541=""),"",OR($C541="Offered",$C541="Joined"),($AM541-$M541)-$AT541),"")</f>
        <v/>
      </c>
      <c r="AX541" s="79" t="str" cm="1">
        <f t="array" aca="1" ref="AX541" ca="1">IFERROR(_xlfn.IFS(OR($M541="",$AS541=""),"",$C541="Joined",($AS541-$M541)-$AT541),"")</f>
        <v/>
      </c>
      <c r="AY541" s="67" t="str">
        <f>IFERROR(IF(COUNTIFS('Candidate Tracker'!$E:$E,'Positions Tracker'!$B541,'Candidate Tracker'!$C:$C,"Offer Drop")=0,"",COUNTIFS('Candidate Tracker'!$E:$E,'Positions Tracker'!$B541,'Candidate Tracker'!$C:$C,"Offer Drop")),"")</f>
        <v/>
      </c>
      <c r="AZ541" s="80">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0.88111888111888115</v>
      </c>
      <c r="BA541" s="81" t="str">
        <f>IFERROR(IF(COUNTIFS('Candidate Tracker'!$E:$E,'Positions Tracker'!$B541,'Candidate Tracker'!$I:$I,"Female")=0,"",COUNTIFS('Candidate Tracker'!$E:$E,'Positions Tracker'!$B541,'Candidate Tracker'!$I:$I,"Female")),"")</f>
        <v/>
      </c>
      <c r="BB541" s="81" t="str">
        <f>IFERROR(IF(COUNTIFS('Candidate Tracker'!$E:$E,'Positions Tracker'!$B541,'Candidate Tracker'!$I:$I,"male")=0,"",COUNTIFS('Candidate Tracker'!$E:$E,'Positions Tracker'!$B541,'Candidate Tracker'!$I:$I,"male")),"")</f>
        <v/>
      </c>
      <c r="BC541" s="80" t="str">
        <f>IFERROR(IF(COUNTIFS('Candidate Tracker'!$E:$E,'Positions Tracker'!$B541,'Candidate Tracker'!$C:$C,"&lt;&gt;WIP",'Candidate Tracker'!$C:$C,"&lt;&gt;Hold",'Candidate Tracker'!$C:$C,"&lt;&gt;Cancelled",'Candidate Tracker'!$C:$C,"&lt;&gt;Closed")/COUNTIFS('Candidate Tracker'!$E:$E,'Positions Tracker'!$B541)=0,"",COUNTIFS('Candidate Tracker'!$E:$E,'Positions Tracker'!$B541,'Candidate Tracker'!$C:$C,"&lt;&gt;WIP",'Candidate Tracker'!$C:$C,"&lt;&gt;Hold",'Candidate Tracker'!$C:$C,"&lt;&gt;Cancelled",'Candidate Tracker'!$C:$C,"&lt;&gt;Closed")/COUNTIFS('Candidate Tracker'!$E:$E,'Positions Tracker'!$B541)),"")</f>
        <v/>
      </c>
      <c r="BD541" s="67" t="str">
        <f t="shared" si="48"/>
        <v/>
      </c>
      <c r="BE541" s="67" t="str">
        <f t="shared" si="49"/>
        <v/>
      </c>
      <c r="BF541" s="67" t="str">
        <f t="shared" si="50"/>
        <v/>
      </c>
      <c r="BG541" s="67" t="str">
        <f t="shared" si="51"/>
        <v/>
      </c>
    </row>
    <row r="542" spans="1:59">
      <c r="A542" s="55"/>
      <c r="B542" s="56"/>
      <c r="C542" s="56"/>
      <c r="D542" s="56"/>
      <c r="E542" s="56"/>
      <c r="F542" s="56"/>
      <c r="G542" s="56"/>
      <c r="H542" s="56"/>
      <c r="I542" s="6"/>
      <c r="J542" s="6"/>
      <c r="K542" s="57"/>
      <c r="L542" s="57"/>
      <c r="M542" s="57"/>
      <c r="N542" s="56"/>
      <c r="O542" s="56"/>
      <c r="P542" s="56"/>
      <c r="Q542" s="56"/>
      <c r="R542" s="56"/>
      <c r="S542" s="56"/>
      <c r="T542" s="56"/>
      <c r="U542" s="56"/>
      <c r="V542" s="56"/>
      <c r="W542" s="56"/>
      <c r="X542" s="56"/>
      <c r="Y542" s="56"/>
      <c r="Z542" s="56"/>
      <c r="AA542" s="56"/>
      <c r="AB542" s="56"/>
      <c r="AC542" s="56"/>
      <c r="AD542" s="56"/>
      <c r="AE542" s="56"/>
      <c r="AF542" s="56"/>
      <c r="AG542" s="56"/>
      <c r="AH542" s="56"/>
      <c r="AI542" s="58"/>
      <c r="AJ542" s="56"/>
      <c r="AK542" s="56"/>
      <c r="AL542" s="56"/>
      <c r="AM542" s="57"/>
      <c r="AN542" s="57"/>
      <c r="AO542" s="56"/>
      <c r="AP542" s="56"/>
      <c r="AQ542" s="57"/>
      <c r="AR542" s="57"/>
      <c r="AS542" s="57"/>
      <c r="AT542" s="67">
        <f t="shared" ca="1" si="52"/>
        <v>0</v>
      </c>
      <c r="AU542" s="79" t="str">
        <f t="shared" ca="1" si="53"/>
        <v/>
      </c>
      <c r="AV542" s="79" t="str" cm="1">
        <f t="array" aca="1" ref="AV542" ca="1">IFERROR(_xlfn.IFS($AU542="","",$AU542&lt;=15,"0-15",AND($AU542&gt;=16,$AU542&lt;=30),"16-30",AND($AU542&gt;=31,$AU542&lt;=45),"31-45",AND($AU542&gt;=46,$AU542&lt;=60),"46-60",AND($AU542&gt;=61,$AU542&lt;=90),"61-90",AND($AU542&gt;=91),"&gt; 90",AND($AU542&gt;=2000),""),"")</f>
        <v/>
      </c>
      <c r="AW542" s="79" t="str" cm="1">
        <f t="array" aca="1" ref="AW542" ca="1">IFERROR(_xlfn.IFS(OR($M542="",$AM542=""),"",OR($C542="Offered",$C542="Joined"),($AM542-$M542)-$AT542),"")</f>
        <v/>
      </c>
      <c r="AX542" s="79" t="str" cm="1">
        <f t="array" aca="1" ref="AX542" ca="1">IFERROR(_xlfn.IFS(OR($M542="",$AS542=""),"",$C542="Joined",($AS542-$M542)-$AT542),"")</f>
        <v/>
      </c>
      <c r="AY542" s="67" t="str">
        <f>IFERROR(IF(COUNTIFS('Candidate Tracker'!$E:$E,'Positions Tracker'!$B542,'Candidate Tracker'!$C:$C,"Offer Drop")=0,"",COUNTIFS('Candidate Tracker'!$E:$E,'Positions Tracker'!$B542,'Candidate Tracker'!$C:$C,"Offer Drop")),"")</f>
        <v/>
      </c>
      <c r="AZ542" s="80">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0.88111888111888115</v>
      </c>
      <c r="BA542" s="81" t="str">
        <f>IFERROR(IF(COUNTIFS('Candidate Tracker'!$E:$E,'Positions Tracker'!$B542,'Candidate Tracker'!$I:$I,"Female")=0,"",COUNTIFS('Candidate Tracker'!$E:$E,'Positions Tracker'!$B542,'Candidate Tracker'!$I:$I,"Female")),"")</f>
        <v/>
      </c>
      <c r="BB542" s="81" t="str">
        <f>IFERROR(IF(COUNTIFS('Candidate Tracker'!$E:$E,'Positions Tracker'!$B542,'Candidate Tracker'!$I:$I,"male")=0,"",COUNTIFS('Candidate Tracker'!$E:$E,'Positions Tracker'!$B542,'Candidate Tracker'!$I:$I,"male")),"")</f>
        <v/>
      </c>
      <c r="BC542" s="80" t="str">
        <f>IFERROR(IF(COUNTIFS('Candidate Tracker'!$E:$E,'Positions Tracker'!$B542,'Candidate Tracker'!$C:$C,"&lt;&gt;WIP",'Candidate Tracker'!$C:$C,"&lt;&gt;Hold",'Candidate Tracker'!$C:$C,"&lt;&gt;Cancelled",'Candidate Tracker'!$C:$C,"&lt;&gt;Closed")/COUNTIFS('Candidate Tracker'!$E:$E,'Positions Tracker'!$B542)=0,"",COUNTIFS('Candidate Tracker'!$E:$E,'Positions Tracker'!$B542,'Candidate Tracker'!$C:$C,"&lt;&gt;WIP",'Candidate Tracker'!$C:$C,"&lt;&gt;Hold",'Candidate Tracker'!$C:$C,"&lt;&gt;Cancelled",'Candidate Tracker'!$C:$C,"&lt;&gt;Closed")/COUNTIFS('Candidate Tracker'!$E:$E,'Positions Tracker'!$B542)),"")</f>
        <v/>
      </c>
      <c r="BD542" s="67" t="str">
        <f t="shared" si="48"/>
        <v/>
      </c>
      <c r="BE542" s="67" t="str">
        <f t="shared" si="49"/>
        <v/>
      </c>
      <c r="BF542" s="67" t="str">
        <f t="shared" si="50"/>
        <v/>
      </c>
      <c r="BG542" s="67" t="str">
        <f t="shared" si="51"/>
        <v/>
      </c>
    </row>
    <row r="543" spans="1:59">
      <c r="A543" s="55"/>
      <c r="B543" s="56"/>
      <c r="C543" s="56"/>
      <c r="D543" s="56"/>
      <c r="E543" s="56"/>
      <c r="F543" s="56"/>
      <c r="G543" s="56"/>
      <c r="H543" s="56"/>
      <c r="I543" s="6"/>
      <c r="J543" s="6"/>
      <c r="K543" s="57"/>
      <c r="L543" s="57"/>
      <c r="M543" s="57"/>
      <c r="N543" s="56"/>
      <c r="O543" s="56"/>
      <c r="P543" s="56"/>
      <c r="Q543" s="56"/>
      <c r="R543" s="56"/>
      <c r="S543" s="56"/>
      <c r="T543" s="56"/>
      <c r="U543" s="56"/>
      <c r="V543" s="56"/>
      <c r="W543" s="56"/>
      <c r="X543" s="56"/>
      <c r="Y543" s="56"/>
      <c r="Z543" s="56"/>
      <c r="AA543" s="56"/>
      <c r="AB543" s="56"/>
      <c r="AC543" s="56"/>
      <c r="AD543" s="56"/>
      <c r="AE543" s="56"/>
      <c r="AF543" s="56"/>
      <c r="AG543" s="56"/>
      <c r="AH543" s="56"/>
      <c r="AI543" s="58"/>
      <c r="AJ543" s="56"/>
      <c r="AK543" s="56"/>
      <c r="AL543" s="56"/>
      <c r="AM543" s="57"/>
      <c r="AN543" s="57"/>
      <c r="AO543" s="56"/>
      <c r="AP543" s="56"/>
      <c r="AQ543" s="57"/>
      <c r="AR543" s="57"/>
      <c r="AS543" s="57"/>
      <c r="AT543" s="67">
        <f t="shared" ca="1" si="52"/>
        <v>0</v>
      </c>
      <c r="AU543" s="79" t="str">
        <f t="shared" ca="1" si="53"/>
        <v/>
      </c>
      <c r="AV543" s="79" t="str" cm="1">
        <f t="array" aca="1" ref="AV543" ca="1">IFERROR(_xlfn.IFS($AU543="","",$AU543&lt;=15,"0-15",AND($AU543&gt;=16,$AU543&lt;=30),"16-30",AND($AU543&gt;=31,$AU543&lt;=45),"31-45",AND($AU543&gt;=46,$AU543&lt;=60),"46-60",AND($AU543&gt;=61,$AU543&lt;=90),"61-90",AND($AU543&gt;=91),"&gt; 90",AND($AU543&gt;=2000),""),"")</f>
        <v/>
      </c>
      <c r="AW543" s="79" t="str" cm="1">
        <f t="array" aca="1" ref="AW543" ca="1">IFERROR(_xlfn.IFS(OR($M543="",$AM543=""),"",OR($C543="Offered",$C543="Joined"),($AM543-$M543)-$AT543),"")</f>
        <v/>
      </c>
      <c r="AX543" s="79" t="str" cm="1">
        <f t="array" aca="1" ref="AX543" ca="1">IFERROR(_xlfn.IFS(OR($M543="",$AS543=""),"",$C543="Joined",($AS543-$M543)-$AT543),"")</f>
        <v/>
      </c>
      <c r="AY543" s="67" t="str">
        <f>IFERROR(IF(COUNTIFS('Candidate Tracker'!$E:$E,'Positions Tracker'!$B543,'Candidate Tracker'!$C:$C,"Offer Drop")=0,"",COUNTIFS('Candidate Tracker'!$E:$E,'Positions Tracker'!$B543,'Candidate Tracker'!$C:$C,"Offer Drop")),"")</f>
        <v/>
      </c>
      <c r="AZ543" s="80">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0.88111888111888115</v>
      </c>
      <c r="BA543" s="81" t="str">
        <f>IFERROR(IF(COUNTIFS('Candidate Tracker'!$E:$E,'Positions Tracker'!$B543,'Candidate Tracker'!$I:$I,"Female")=0,"",COUNTIFS('Candidate Tracker'!$E:$E,'Positions Tracker'!$B543,'Candidate Tracker'!$I:$I,"Female")),"")</f>
        <v/>
      </c>
      <c r="BB543" s="81" t="str">
        <f>IFERROR(IF(COUNTIFS('Candidate Tracker'!$E:$E,'Positions Tracker'!$B543,'Candidate Tracker'!$I:$I,"male")=0,"",COUNTIFS('Candidate Tracker'!$E:$E,'Positions Tracker'!$B543,'Candidate Tracker'!$I:$I,"male")),"")</f>
        <v/>
      </c>
      <c r="BC543" s="80" t="str">
        <f>IFERROR(IF(COUNTIFS('Candidate Tracker'!$E:$E,'Positions Tracker'!$B543,'Candidate Tracker'!$C:$C,"&lt;&gt;WIP",'Candidate Tracker'!$C:$C,"&lt;&gt;Hold",'Candidate Tracker'!$C:$C,"&lt;&gt;Cancelled",'Candidate Tracker'!$C:$C,"&lt;&gt;Closed")/COUNTIFS('Candidate Tracker'!$E:$E,'Positions Tracker'!$B543)=0,"",COUNTIFS('Candidate Tracker'!$E:$E,'Positions Tracker'!$B543,'Candidate Tracker'!$C:$C,"&lt;&gt;WIP",'Candidate Tracker'!$C:$C,"&lt;&gt;Hold",'Candidate Tracker'!$C:$C,"&lt;&gt;Cancelled",'Candidate Tracker'!$C:$C,"&lt;&gt;Closed")/COUNTIFS('Candidate Tracker'!$E:$E,'Positions Tracker'!$B543)),"")</f>
        <v/>
      </c>
      <c r="BD543" s="67" t="str">
        <f t="shared" si="48"/>
        <v/>
      </c>
      <c r="BE543" s="67" t="str">
        <f t="shared" si="49"/>
        <v/>
      </c>
      <c r="BF543" s="67" t="str">
        <f t="shared" si="50"/>
        <v/>
      </c>
      <c r="BG543" s="67" t="str">
        <f t="shared" si="51"/>
        <v/>
      </c>
    </row>
    <row r="544" spans="1:59">
      <c r="A544" s="55"/>
      <c r="B544" s="56"/>
      <c r="C544" s="56"/>
      <c r="D544" s="56"/>
      <c r="E544" s="56"/>
      <c r="F544" s="56"/>
      <c r="G544" s="56"/>
      <c r="H544" s="56"/>
      <c r="I544" s="6"/>
      <c r="J544" s="6"/>
      <c r="K544" s="57"/>
      <c r="L544" s="57"/>
      <c r="M544" s="57"/>
      <c r="N544" s="56"/>
      <c r="O544" s="56"/>
      <c r="P544" s="56"/>
      <c r="Q544" s="56"/>
      <c r="R544" s="56"/>
      <c r="S544" s="56"/>
      <c r="T544" s="56"/>
      <c r="U544" s="56"/>
      <c r="V544" s="56"/>
      <c r="W544" s="56"/>
      <c r="X544" s="56"/>
      <c r="Y544" s="56"/>
      <c r="Z544" s="56"/>
      <c r="AA544" s="56"/>
      <c r="AB544" s="56"/>
      <c r="AC544" s="56"/>
      <c r="AD544" s="56"/>
      <c r="AE544" s="56"/>
      <c r="AF544" s="56"/>
      <c r="AG544" s="56"/>
      <c r="AH544" s="56"/>
      <c r="AI544" s="58"/>
      <c r="AJ544" s="56"/>
      <c r="AK544" s="56"/>
      <c r="AL544" s="56"/>
      <c r="AM544" s="57"/>
      <c r="AN544" s="57"/>
      <c r="AO544" s="56"/>
      <c r="AP544" s="56"/>
      <c r="AQ544" s="57"/>
      <c r="AR544" s="57"/>
      <c r="AS544" s="57"/>
      <c r="AT544" s="67">
        <f t="shared" ca="1" si="52"/>
        <v>0</v>
      </c>
      <c r="AU544" s="79" t="str">
        <f t="shared" ca="1" si="53"/>
        <v/>
      </c>
      <c r="AV544" s="79" t="str" cm="1">
        <f t="array" aca="1" ref="AV544" ca="1">IFERROR(_xlfn.IFS($AU544="","",$AU544&lt;=15,"0-15",AND($AU544&gt;=16,$AU544&lt;=30),"16-30",AND($AU544&gt;=31,$AU544&lt;=45),"31-45",AND($AU544&gt;=46,$AU544&lt;=60),"46-60",AND($AU544&gt;=61,$AU544&lt;=90),"61-90",AND($AU544&gt;=91),"&gt; 90",AND($AU544&gt;=2000),""),"")</f>
        <v/>
      </c>
      <c r="AW544" s="79" t="str" cm="1">
        <f t="array" aca="1" ref="AW544" ca="1">IFERROR(_xlfn.IFS(OR($M544="",$AM544=""),"",OR($C544="Offered",$C544="Joined"),($AM544-$M544)-$AT544),"")</f>
        <v/>
      </c>
      <c r="AX544" s="79" t="str" cm="1">
        <f t="array" aca="1" ref="AX544" ca="1">IFERROR(_xlfn.IFS(OR($M544="",$AS544=""),"",$C544="Joined",($AS544-$M544)-$AT544),"")</f>
        <v/>
      </c>
      <c r="AY544" s="67" t="str">
        <f>IFERROR(IF(COUNTIFS('Candidate Tracker'!$E:$E,'Positions Tracker'!$B544,'Candidate Tracker'!$C:$C,"Offer Drop")=0,"",COUNTIFS('Candidate Tracker'!$E:$E,'Positions Tracker'!$B544,'Candidate Tracker'!$C:$C,"Offer Drop")),"")</f>
        <v/>
      </c>
      <c r="AZ544" s="80">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0.88111888111888115</v>
      </c>
      <c r="BA544" s="81" t="str">
        <f>IFERROR(IF(COUNTIFS('Candidate Tracker'!$E:$E,'Positions Tracker'!$B544,'Candidate Tracker'!$I:$I,"Female")=0,"",COUNTIFS('Candidate Tracker'!$E:$E,'Positions Tracker'!$B544,'Candidate Tracker'!$I:$I,"Female")),"")</f>
        <v/>
      </c>
      <c r="BB544" s="81" t="str">
        <f>IFERROR(IF(COUNTIFS('Candidate Tracker'!$E:$E,'Positions Tracker'!$B544,'Candidate Tracker'!$I:$I,"male")=0,"",COUNTIFS('Candidate Tracker'!$E:$E,'Positions Tracker'!$B544,'Candidate Tracker'!$I:$I,"male")),"")</f>
        <v/>
      </c>
      <c r="BC544" s="80" t="str">
        <f>IFERROR(IF(COUNTIFS('Candidate Tracker'!$E:$E,'Positions Tracker'!$B544,'Candidate Tracker'!$C:$C,"&lt;&gt;WIP",'Candidate Tracker'!$C:$C,"&lt;&gt;Hold",'Candidate Tracker'!$C:$C,"&lt;&gt;Cancelled",'Candidate Tracker'!$C:$C,"&lt;&gt;Closed")/COUNTIFS('Candidate Tracker'!$E:$E,'Positions Tracker'!$B544)=0,"",COUNTIFS('Candidate Tracker'!$E:$E,'Positions Tracker'!$B544,'Candidate Tracker'!$C:$C,"&lt;&gt;WIP",'Candidate Tracker'!$C:$C,"&lt;&gt;Hold",'Candidate Tracker'!$C:$C,"&lt;&gt;Cancelled",'Candidate Tracker'!$C:$C,"&lt;&gt;Closed")/COUNTIFS('Candidate Tracker'!$E:$E,'Positions Tracker'!$B544)),"")</f>
        <v/>
      </c>
      <c r="BD544" s="67" t="str">
        <f t="shared" si="48"/>
        <v/>
      </c>
      <c r="BE544" s="67" t="str">
        <f t="shared" si="49"/>
        <v/>
      </c>
      <c r="BF544" s="67" t="str">
        <f t="shared" si="50"/>
        <v/>
      </c>
      <c r="BG544" s="67" t="str">
        <f t="shared" si="51"/>
        <v/>
      </c>
    </row>
    <row r="545" spans="1:59">
      <c r="A545" s="55"/>
      <c r="B545" s="56"/>
      <c r="C545" s="56"/>
      <c r="D545" s="56"/>
      <c r="E545" s="56"/>
      <c r="F545" s="56"/>
      <c r="G545" s="56"/>
      <c r="H545" s="56"/>
      <c r="I545" s="6"/>
      <c r="J545" s="6"/>
      <c r="K545" s="57"/>
      <c r="L545" s="57"/>
      <c r="M545" s="57"/>
      <c r="N545" s="56"/>
      <c r="O545" s="56"/>
      <c r="P545" s="56"/>
      <c r="Q545" s="56"/>
      <c r="R545" s="56"/>
      <c r="S545" s="56"/>
      <c r="T545" s="56"/>
      <c r="U545" s="56"/>
      <c r="V545" s="56"/>
      <c r="W545" s="56"/>
      <c r="X545" s="56"/>
      <c r="Y545" s="56"/>
      <c r="Z545" s="56"/>
      <c r="AA545" s="56"/>
      <c r="AB545" s="56"/>
      <c r="AC545" s="56"/>
      <c r="AD545" s="56"/>
      <c r="AE545" s="56"/>
      <c r="AF545" s="56"/>
      <c r="AG545" s="56"/>
      <c r="AH545" s="56"/>
      <c r="AI545" s="58"/>
      <c r="AJ545" s="56"/>
      <c r="AK545" s="56"/>
      <c r="AL545" s="56"/>
      <c r="AM545" s="57"/>
      <c r="AN545" s="57"/>
      <c r="AO545" s="56"/>
      <c r="AP545" s="56"/>
      <c r="AQ545" s="57"/>
      <c r="AR545" s="57"/>
      <c r="AS545" s="57"/>
      <c r="AT545" s="67">
        <f t="shared" ca="1" si="52"/>
        <v>0</v>
      </c>
      <c r="AU545" s="79" t="str">
        <f t="shared" ca="1" si="53"/>
        <v/>
      </c>
      <c r="AV545" s="79" t="str" cm="1">
        <f t="array" aca="1" ref="AV545" ca="1">IFERROR(_xlfn.IFS($AU545="","",$AU545&lt;=15,"0-15",AND($AU545&gt;=16,$AU545&lt;=30),"16-30",AND($AU545&gt;=31,$AU545&lt;=45),"31-45",AND($AU545&gt;=46,$AU545&lt;=60),"46-60",AND($AU545&gt;=61,$AU545&lt;=90),"61-90",AND($AU545&gt;=91),"&gt; 90",AND($AU545&gt;=2000),""),"")</f>
        <v/>
      </c>
      <c r="AW545" s="79" t="str" cm="1">
        <f t="array" aca="1" ref="AW545" ca="1">IFERROR(_xlfn.IFS(OR($M545="",$AM545=""),"",OR($C545="Offered",$C545="Joined"),($AM545-$M545)-$AT545),"")</f>
        <v/>
      </c>
      <c r="AX545" s="79" t="str" cm="1">
        <f t="array" aca="1" ref="AX545" ca="1">IFERROR(_xlfn.IFS(OR($M545="",$AS545=""),"",$C545="Joined",($AS545-$M545)-$AT545),"")</f>
        <v/>
      </c>
      <c r="AY545" s="67" t="str">
        <f>IFERROR(IF(COUNTIFS('Candidate Tracker'!$E:$E,'Positions Tracker'!$B545,'Candidate Tracker'!$C:$C,"Offer Drop")=0,"",COUNTIFS('Candidate Tracker'!$E:$E,'Positions Tracker'!$B545,'Candidate Tracker'!$C:$C,"Offer Drop")),"")</f>
        <v/>
      </c>
      <c r="AZ545" s="80">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0.88111888111888115</v>
      </c>
      <c r="BA545" s="81" t="str">
        <f>IFERROR(IF(COUNTIFS('Candidate Tracker'!$E:$E,'Positions Tracker'!$B545,'Candidate Tracker'!$I:$I,"Female")=0,"",COUNTIFS('Candidate Tracker'!$E:$E,'Positions Tracker'!$B545,'Candidate Tracker'!$I:$I,"Female")),"")</f>
        <v/>
      </c>
      <c r="BB545" s="81" t="str">
        <f>IFERROR(IF(COUNTIFS('Candidate Tracker'!$E:$E,'Positions Tracker'!$B545,'Candidate Tracker'!$I:$I,"male")=0,"",COUNTIFS('Candidate Tracker'!$E:$E,'Positions Tracker'!$B545,'Candidate Tracker'!$I:$I,"male")),"")</f>
        <v/>
      </c>
      <c r="BC545" s="80" t="str">
        <f>IFERROR(IF(COUNTIFS('Candidate Tracker'!$E:$E,'Positions Tracker'!$B545,'Candidate Tracker'!$C:$C,"&lt;&gt;WIP",'Candidate Tracker'!$C:$C,"&lt;&gt;Hold",'Candidate Tracker'!$C:$C,"&lt;&gt;Cancelled",'Candidate Tracker'!$C:$C,"&lt;&gt;Closed")/COUNTIFS('Candidate Tracker'!$E:$E,'Positions Tracker'!$B545)=0,"",COUNTIFS('Candidate Tracker'!$E:$E,'Positions Tracker'!$B545,'Candidate Tracker'!$C:$C,"&lt;&gt;WIP",'Candidate Tracker'!$C:$C,"&lt;&gt;Hold",'Candidate Tracker'!$C:$C,"&lt;&gt;Cancelled",'Candidate Tracker'!$C:$C,"&lt;&gt;Closed")/COUNTIFS('Candidate Tracker'!$E:$E,'Positions Tracker'!$B545)),"")</f>
        <v/>
      </c>
      <c r="BD545" s="67" t="str">
        <f t="shared" si="48"/>
        <v/>
      </c>
      <c r="BE545" s="67" t="str">
        <f t="shared" si="49"/>
        <v/>
      </c>
      <c r="BF545" s="67" t="str">
        <f t="shared" si="50"/>
        <v/>
      </c>
      <c r="BG545" s="67" t="str">
        <f t="shared" si="51"/>
        <v/>
      </c>
    </row>
    <row r="546" spans="1:59">
      <c r="A546" s="55"/>
      <c r="B546" s="56"/>
      <c r="C546" s="56"/>
      <c r="D546" s="56"/>
      <c r="E546" s="56"/>
      <c r="F546" s="56"/>
      <c r="G546" s="56"/>
      <c r="H546" s="56"/>
      <c r="I546" s="6"/>
      <c r="J546" s="6"/>
      <c r="K546" s="57"/>
      <c r="L546" s="57"/>
      <c r="M546" s="57"/>
      <c r="N546" s="56"/>
      <c r="O546" s="56"/>
      <c r="P546" s="56"/>
      <c r="Q546" s="56"/>
      <c r="R546" s="56"/>
      <c r="S546" s="56"/>
      <c r="T546" s="56"/>
      <c r="U546" s="56"/>
      <c r="V546" s="56"/>
      <c r="W546" s="56"/>
      <c r="X546" s="56"/>
      <c r="Y546" s="56"/>
      <c r="Z546" s="56"/>
      <c r="AA546" s="56"/>
      <c r="AB546" s="56"/>
      <c r="AC546" s="56"/>
      <c r="AD546" s="56"/>
      <c r="AE546" s="56"/>
      <c r="AF546" s="56"/>
      <c r="AG546" s="56"/>
      <c r="AH546" s="56"/>
      <c r="AI546" s="58"/>
      <c r="AJ546" s="56"/>
      <c r="AK546" s="56"/>
      <c r="AL546" s="56"/>
      <c r="AM546" s="57"/>
      <c r="AN546" s="57"/>
      <c r="AO546" s="56"/>
      <c r="AP546" s="56"/>
      <c r="AQ546" s="57"/>
      <c r="AR546" s="57"/>
      <c r="AS546" s="57"/>
      <c r="AT546" s="67">
        <f t="shared" ca="1" si="52"/>
        <v>0</v>
      </c>
      <c r="AU546" s="79" t="str">
        <f t="shared" ca="1" si="53"/>
        <v/>
      </c>
      <c r="AV546" s="79" t="str" cm="1">
        <f t="array" aca="1" ref="AV546" ca="1">IFERROR(_xlfn.IFS($AU546="","",$AU546&lt;=15,"0-15",AND($AU546&gt;=16,$AU546&lt;=30),"16-30",AND($AU546&gt;=31,$AU546&lt;=45),"31-45",AND($AU546&gt;=46,$AU546&lt;=60),"46-60",AND($AU546&gt;=61,$AU546&lt;=90),"61-90",AND($AU546&gt;=91),"&gt; 90",AND($AU546&gt;=2000),""),"")</f>
        <v/>
      </c>
      <c r="AW546" s="79" t="str" cm="1">
        <f t="array" aca="1" ref="AW546" ca="1">IFERROR(_xlfn.IFS(OR($M546="",$AM546=""),"",OR($C546="Offered",$C546="Joined"),($AM546-$M546)-$AT546),"")</f>
        <v/>
      </c>
      <c r="AX546" s="79" t="str" cm="1">
        <f t="array" aca="1" ref="AX546" ca="1">IFERROR(_xlfn.IFS(OR($M546="",$AS546=""),"",$C546="Joined",($AS546-$M546)-$AT546),"")</f>
        <v/>
      </c>
      <c r="AY546" s="67" t="str">
        <f>IFERROR(IF(COUNTIFS('Candidate Tracker'!$E:$E,'Positions Tracker'!$B546,'Candidate Tracker'!$C:$C,"Offer Drop")=0,"",COUNTIFS('Candidate Tracker'!$E:$E,'Positions Tracker'!$B546,'Candidate Tracker'!$C:$C,"Offer Drop")),"")</f>
        <v/>
      </c>
      <c r="AZ546" s="80">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0.88111888111888115</v>
      </c>
      <c r="BA546" s="81" t="str">
        <f>IFERROR(IF(COUNTIFS('Candidate Tracker'!$E:$E,'Positions Tracker'!$B546,'Candidate Tracker'!$I:$I,"Female")=0,"",COUNTIFS('Candidate Tracker'!$E:$E,'Positions Tracker'!$B546,'Candidate Tracker'!$I:$I,"Female")),"")</f>
        <v/>
      </c>
      <c r="BB546" s="81" t="str">
        <f>IFERROR(IF(COUNTIFS('Candidate Tracker'!$E:$E,'Positions Tracker'!$B546,'Candidate Tracker'!$I:$I,"male")=0,"",COUNTIFS('Candidate Tracker'!$E:$E,'Positions Tracker'!$B546,'Candidate Tracker'!$I:$I,"male")),"")</f>
        <v/>
      </c>
      <c r="BC546" s="80" t="str">
        <f>IFERROR(IF(COUNTIFS('Candidate Tracker'!$E:$E,'Positions Tracker'!$B546,'Candidate Tracker'!$C:$C,"&lt;&gt;WIP",'Candidate Tracker'!$C:$C,"&lt;&gt;Hold",'Candidate Tracker'!$C:$C,"&lt;&gt;Cancelled",'Candidate Tracker'!$C:$C,"&lt;&gt;Closed")/COUNTIFS('Candidate Tracker'!$E:$E,'Positions Tracker'!$B546)=0,"",COUNTIFS('Candidate Tracker'!$E:$E,'Positions Tracker'!$B546,'Candidate Tracker'!$C:$C,"&lt;&gt;WIP",'Candidate Tracker'!$C:$C,"&lt;&gt;Hold",'Candidate Tracker'!$C:$C,"&lt;&gt;Cancelled",'Candidate Tracker'!$C:$C,"&lt;&gt;Closed")/COUNTIFS('Candidate Tracker'!$E:$E,'Positions Tracker'!$B546)),"")</f>
        <v/>
      </c>
      <c r="BD546" s="67" t="str">
        <f t="shared" si="48"/>
        <v/>
      </c>
      <c r="BE546" s="67" t="str">
        <f t="shared" si="49"/>
        <v/>
      </c>
      <c r="BF546" s="67" t="str">
        <f t="shared" si="50"/>
        <v/>
      </c>
      <c r="BG546" s="67" t="str">
        <f t="shared" si="51"/>
        <v/>
      </c>
    </row>
    <row r="547" spans="1:59">
      <c r="A547" s="55"/>
      <c r="B547" s="56"/>
      <c r="C547" s="56"/>
      <c r="D547" s="56"/>
      <c r="E547" s="56"/>
      <c r="F547" s="56"/>
      <c r="G547" s="56"/>
      <c r="H547" s="56"/>
      <c r="I547" s="6"/>
      <c r="J547" s="6"/>
      <c r="K547" s="57"/>
      <c r="L547" s="57"/>
      <c r="M547" s="57"/>
      <c r="N547" s="56"/>
      <c r="O547" s="56"/>
      <c r="P547" s="56"/>
      <c r="Q547" s="56"/>
      <c r="R547" s="56"/>
      <c r="S547" s="56"/>
      <c r="T547" s="56"/>
      <c r="U547" s="56"/>
      <c r="V547" s="56"/>
      <c r="W547" s="56"/>
      <c r="X547" s="56"/>
      <c r="Y547" s="56"/>
      <c r="Z547" s="56"/>
      <c r="AA547" s="56"/>
      <c r="AB547" s="56"/>
      <c r="AC547" s="56"/>
      <c r="AD547" s="56"/>
      <c r="AE547" s="56"/>
      <c r="AF547" s="56"/>
      <c r="AG547" s="56"/>
      <c r="AH547" s="56"/>
      <c r="AI547" s="58"/>
      <c r="AJ547" s="56"/>
      <c r="AK547" s="56"/>
      <c r="AL547" s="56"/>
      <c r="AM547" s="57"/>
      <c r="AN547" s="57"/>
      <c r="AO547" s="56"/>
      <c r="AP547" s="56"/>
      <c r="AQ547" s="57"/>
      <c r="AR547" s="57"/>
      <c r="AS547" s="57"/>
      <c r="AT547" s="67">
        <f t="shared" ca="1" si="52"/>
        <v>0</v>
      </c>
      <c r="AU547" s="79" t="str">
        <f t="shared" ca="1" si="53"/>
        <v/>
      </c>
      <c r="AV547" s="79" t="str" cm="1">
        <f t="array" aca="1" ref="AV547" ca="1">IFERROR(_xlfn.IFS($AU547="","",$AU547&lt;=15,"0-15",AND($AU547&gt;=16,$AU547&lt;=30),"16-30",AND($AU547&gt;=31,$AU547&lt;=45),"31-45",AND($AU547&gt;=46,$AU547&lt;=60),"46-60",AND($AU547&gt;=61,$AU547&lt;=90),"61-90",AND($AU547&gt;=91),"&gt; 90",AND($AU547&gt;=2000),""),"")</f>
        <v/>
      </c>
      <c r="AW547" s="79" t="str" cm="1">
        <f t="array" aca="1" ref="AW547" ca="1">IFERROR(_xlfn.IFS(OR($M547="",$AM547=""),"",OR($C547="Offered",$C547="Joined"),($AM547-$M547)-$AT547),"")</f>
        <v/>
      </c>
      <c r="AX547" s="79" t="str" cm="1">
        <f t="array" aca="1" ref="AX547" ca="1">IFERROR(_xlfn.IFS(OR($M547="",$AS547=""),"",$C547="Joined",($AS547-$M547)-$AT547),"")</f>
        <v/>
      </c>
      <c r="AY547" s="67" t="str">
        <f>IFERROR(IF(COUNTIFS('Candidate Tracker'!$E:$E,'Positions Tracker'!$B547,'Candidate Tracker'!$C:$C,"Offer Drop")=0,"",COUNTIFS('Candidate Tracker'!$E:$E,'Positions Tracker'!$B547,'Candidate Tracker'!$C:$C,"Offer Drop")),"")</f>
        <v/>
      </c>
      <c r="AZ547" s="80">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0.88111888111888115</v>
      </c>
      <c r="BA547" s="81" t="str">
        <f>IFERROR(IF(COUNTIFS('Candidate Tracker'!$E:$E,'Positions Tracker'!$B547,'Candidate Tracker'!$I:$I,"Female")=0,"",COUNTIFS('Candidate Tracker'!$E:$E,'Positions Tracker'!$B547,'Candidate Tracker'!$I:$I,"Female")),"")</f>
        <v/>
      </c>
      <c r="BB547" s="81" t="str">
        <f>IFERROR(IF(COUNTIFS('Candidate Tracker'!$E:$E,'Positions Tracker'!$B547,'Candidate Tracker'!$I:$I,"male")=0,"",COUNTIFS('Candidate Tracker'!$E:$E,'Positions Tracker'!$B547,'Candidate Tracker'!$I:$I,"male")),"")</f>
        <v/>
      </c>
      <c r="BC547" s="80" t="str">
        <f>IFERROR(IF(COUNTIFS('Candidate Tracker'!$E:$E,'Positions Tracker'!$B547,'Candidate Tracker'!$C:$C,"&lt;&gt;WIP",'Candidate Tracker'!$C:$C,"&lt;&gt;Hold",'Candidate Tracker'!$C:$C,"&lt;&gt;Cancelled",'Candidate Tracker'!$C:$C,"&lt;&gt;Closed")/COUNTIFS('Candidate Tracker'!$E:$E,'Positions Tracker'!$B547)=0,"",COUNTIFS('Candidate Tracker'!$E:$E,'Positions Tracker'!$B547,'Candidate Tracker'!$C:$C,"&lt;&gt;WIP",'Candidate Tracker'!$C:$C,"&lt;&gt;Hold",'Candidate Tracker'!$C:$C,"&lt;&gt;Cancelled",'Candidate Tracker'!$C:$C,"&lt;&gt;Closed")/COUNTIFS('Candidate Tracker'!$E:$E,'Positions Tracker'!$B547)),"")</f>
        <v/>
      </c>
      <c r="BD547" s="67" t="str">
        <f t="shared" si="48"/>
        <v/>
      </c>
      <c r="BE547" s="67" t="str">
        <f t="shared" si="49"/>
        <v/>
      </c>
      <c r="BF547" s="67" t="str">
        <f t="shared" si="50"/>
        <v/>
      </c>
      <c r="BG547" s="67" t="str">
        <f t="shared" si="51"/>
        <v/>
      </c>
    </row>
    <row r="548" spans="1:59">
      <c r="A548" s="55"/>
      <c r="B548" s="56"/>
      <c r="C548" s="56"/>
      <c r="D548" s="56"/>
      <c r="E548" s="56"/>
      <c r="F548" s="56"/>
      <c r="G548" s="56"/>
      <c r="H548" s="56"/>
      <c r="I548" s="6"/>
      <c r="J548" s="6"/>
      <c r="K548" s="57"/>
      <c r="L548" s="57"/>
      <c r="M548" s="57"/>
      <c r="N548" s="56"/>
      <c r="O548" s="56"/>
      <c r="P548" s="56"/>
      <c r="Q548" s="56"/>
      <c r="R548" s="56"/>
      <c r="S548" s="56"/>
      <c r="T548" s="56"/>
      <c r="U548" s="56"/>
      <c r="V548" s="56"/>
      <c r="W548" s="56"/>
      <c r="X548" s="56"/>
      <c r="Y548" s="56"/>
      <c r="Z548" s="56"/>
      <c r="AA548" s="56"/>
      <c r="AB548" s="56"/>
      <c r="AC548" s="56"/>
      <c r="AD548" s="56"/>
      <c r="AE548" s="56"/>
      <c r="AF548" s="56"/>
      <c r="AG548" s="56"/>
      <c r="AH548" s="56"/>
      <c r="AI548" s="58"/>
      <c r="AJ548" s="56"/>
      <c r="AK548" s="56"/>
      <c r="AL548" s="56"/>
      <c r="AM548" s="57"/>
      <c r="AN548" s="57"/>
      <c r="AO548" s="56"/>
      <c r="AP548" s="56"/>
      <c r="AQ548" s="57"/>
      <c r="AR548" s="57"/>
      <c r="AS548" s="57"/>
      <c r="AT548" s="67">
        <f t="shared" ca="1" si="52"/>
        <v>0</v>
      </c>
      <c r="AU548" s="79" t="str">
        <f t="shared" ca="1" si="53"/>
        <v/>
      </c>
      <c r="AV548" s="79" t="str" cm="1">
        <f t="array" aca="1" ref="AV548" ca="1">IFERROR(_xlfn.IFS($AU548="","",$AU548&lt;=15,"0-15",AND($AU548&gt;=16,$AU548&lt;=30),"16-30",AND($AU548&gt;=31,$AU548&lt;=45),"31-45",AND($AU548&gt;=46,$AU548&lt;=60),"46-60",AND($AU548&gt;=61,$AU548&lt;=90),"61-90",AND($AU548&gt;=91),"&gt; 90",AND($AU548&gt;=2000),""),"")</f>
        <v/>
      </c>
      <c r="AW548" s="79" t="str" cm="1">
        <f t="array" aca="1" ref="AW548" ca="1">IFERROR(_xlfn.IFS(OR($M548="",$AM548=""),"",OR($C548="Offered",$C548="Joined"),($AM548-$M548)-$AT548),"")</f>
        <v/>
      </c>
      <c r="AX548" s="79" t="str" cm="1">
        <f t="array" aca="1" ref="AX548" ca="1">IFERROR(_xlfn.IFS(OR($M548="",$AS548=""),"",$C548="Joined",($AS548-$M548)-$AT548),"")</f>
        <v/>
      </c>
      <c r="AY548" s="67" t="str">
        <f>IFERROR(IF(COUNTIFS('Candidate Tracker'!$E:$E,'Positions Tracker'!$B548,'Candidate Tracker'!$C:$C,"Offer Drop")=0,"",COUNTIFS('Candidate Tracker'!$E:$E,'Positions Tracker'!$B548,'Candidate Tracker'!$C:$C,"Offer Drop")),"")</f>
        <v/>
      </c>
      <c r="AZ548" s="80">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0.88111888111888115</v>
      </c>
      <c r="BA548" s="81" t="str">
        <f>IFERROR(IF(COUNTIFS('Candidate Tracker'!$E:$E,'Positions Tracker'!$B548,'Candidate Tracker'!$I:$I,"Female")=0,"",COUNTIFS('Candidate Tracker'!$E:$E,'Positions Tracker'!$B548,'Candidate Tracker'!$I:$I,"Female")),"")</f>
        <v/>
      </c>
      <c r="BB548" s="81" t="str">
        <f>IFERROR(IF(COUNTIFS('Candidate Tracker'!$E:$E,'Positions Tracker'!$B548,'Candidate Tracker'!$I:$I,"male")=0,"",COUNTIFS('Candidate Tracker'!$E:$E,'Positions Tracker'!$B548,'Candidate Tracker'!$I:$I,"male")),"")</f>
        <v/>
      </c>
      <c r="BC548" s="80" t="str">
        <f>IFERROR(IF(COUNTIFS('Candidate Tracker'!$E:$E,'Positions Tracker'!$B548,'Candidate Tracker'!$C:$C,"&lt;&gt;WIP",'Candidate Tracker'!$C:$C,"&lt;&gt;Hold",'Candidate Tracker'!$C:$C,"&lt;&gt;Cancelled",'Candidate Tracker'!$C:$C,"&lt;&gt;Closed")/COUNTIFS('Candidate Tracker'!$E:$E,'Positions Tracker'!$B548)=0,"",COUNTIFS('Candidate Tracker'!$E:$E,'Positions Tracker'!$B548,'Candidate Tracker'!$C:$C,"&lt;&gt;WIP",'Candidate Tracker'!$C:$C,"&lt;&gt;Hold",'Candidate Tracker'!$C:$C,"&lt;&gt;Cancelled",'Candidate Tracker'!$C:$C,"&lt;&gt;Closed")/COUNTIFS('Candidate Tracker'!$E:$E,'Positions Tracker'!$B548)),"")</f>
        <v/>
      </c>
      <c r="BD548" s="67" t="str">
        <f t="shared" si="48"/>
        <v/>
      </c>
      <c r="BE548" s="67" t="str">
        <f t="shared" si="49"/>
        <v/>
      </c>
      <c r="BF548" s="67" t="str">
        <f t="shared" si="50"/>
        <v/>
      </c>
      <c r="BG548" s="67" t="str">
        <f t="shared" si="51"/>
        <v/>
      </c>
    </row>
    <row r="549" spans="1:59">
      <c r="A549" s="55"/>
      <c r="B549" s="56"/>
      <c r="C549" s="56"/>
      <c r="D549" s="56"/>
      <c r="E549" s="56"/>
      <c r="F549" s="56"/>
      <c r="G549" s="56"/>
      <c r="H549" s="56"/>
      <c r="I549" s="6"/>
      <c r="J549" s="6"/>
      <c r="K549" s="57"/>
      <c r="L549" s="57"/>
      <c r="M549" s="57"/>
      <c r="N549" s="56"/>
      <c r="O549" s="56"/>
      <c r="P549" s="56"/>
      <c r="Q549" s="56"/>
      <c r="R549" s="56"/>
      <c r="S549" s="56"/>
      <c r="T549" s="56"/>
      <c r="U549" s="56"/>
      <c r="V549" s="56"/>
      <c r="W549" s="56"/>
      <c r="X549" s="56"/>
      <c r="Y549" s="56"/>
      <c r="Z549" s="56"/>
      <c r="AA549" s="56"/>
      <c r="AB549" s="56"/>
      <c r="AC549" s="56"/>
      <c r="AD549" s="56"/>
      <c r="AE549" s="56"/>
      <c r="AF549" s="56"/>
      <c r="AG549" s="56"/>
      <c r="AH549" s="56"/>
      <c r="AI549" s="58"/>
      <c r="AJ549" s="56"/>
      <c r="AK549" s="56"/>
      <c r="AL549" s="56"/>
      <c r="AM549" s="57"/>
      <c r="AN549" s="57"/>
      <c r="AO549" s="56"/>
      <c r="AP549" s="56"/>
      <c r="AQ549" s="57"/>
      <c r="AR549" s="57"/>
      <c r="AS549" s="57"/>
      <c r="AT549" s="67">
        <f t="shared" ca="1" si="52"/>
        <v>0</v>
      </c>
      <c r="AU549" s="79" t="str">
        <f t="shared" ca="1" si="53"/>
        <v/>
      </c>
      <c r="AV549" s="79" t="str" cm="1">
        <f t="array" aca="1" ref="AV549" ca="1">IFERROR(_xlfn.IFS($AU549="","",$AU549&lt;=15,"0-15",AND($AU549&gt;=16,$AU549&lt;=30),"16-30",AND($AU549&gt;=31,$AU549&lt;=45),"31-45",AND($AU549&gt;=46,$AU549&lt;=60),"46-60",AND($AU549&gt;=61,$AU549&lt;=90),"61-90",AND($AU549&gt;=91),"&gt; 90",AND($AU549&gt;=2000),""),"")</f>
        <v/>
      </c>
      <c r="AW549" s="79" t="str" cm="1">
        <f t="array" aca="1" ref="AW549" ca="1">IFERROR(_xlfn.IFS(OR($M549="",$AM549=""),"",OR($C549="Offered",$C549="Joined"),($AM549-$M549)-$AT549),"")</f>
        <v/>
      </c>
      <c r="AX549" s="79" t="str" cm="1">
        <f t="array" aca="1" ref="AX549" ca="1">IFERROR(_xlfn.IFS(OR($M549="",$AS549=""),"",$C549="Joined",($AS549-$M549)-$AT549),"")</f>
        <v/>
      </c>
      <c r="AY549" s="67" t="str">
        <f>IFERROR(IF(COUNTIFS('Candidate Tracker'!$E:$E,'Positions Tracker'!$B549,'Candidate Tracker'!$C:$C,"Offer Drop")=0,"",COUNTIFS('Candidate Tracker'!$E:$E,'Positions Tracker'!$B549,'Candidate Tracker'!$C:$C,"Offer Drop")),"")</f>
        <v/>
      </c>
      <c r="AZ549" s="80">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0.88111888111888115</v>
      </c>
      <c r="BA549" s="81" t="str">
        <f>IFERROR(IF(COUNTIFS('Candidate Tracker'!$E:$E,'Positions Tracker'!$B549,'Candidate Tracker'!$I:$I,"Female")=0,"",COUNTIFS('Candidate Tracker'!$E:$E,'Positions Tracker'!$B549,'Candidate Tracker'!$I:$I,"Female")),"")</f>
        <v/>
      </c>
      <c r="BB549" s="81" t="str">
        <f>IFERROR(IF(COUNTIFS('Candidate Tracker'!$E:$E,'Positions Tracker'!$B549,'Candidate Tracker'!$I:$I,"male")=0,"",COUNTIFS('Candidate Tracker'!$E:$E,'Positions Tracker'!$B549,'Candidate Tracker'!$I:$I,"male")),"")</f>
        <v/>
      </c>
      <c r="BC549" s="80" t="str">
        <f>IFERROR(IF(COUNTIFS('Candidate Tracker'!$E:$E,'Positions Tracker'!$B549,'Candidate Tracker'!$C:$C,"&lt;&gt;WIP",'Candidate Tracker'!$C:$C,"&lt;&gt;Hold",'Candidate Tracker'!$C:$C,"&lt;&gt;Cancelled",'Candidate Tracker'!$C:$C,"&lt;&gt;Closed")/COUNTIFS('Candidate Tracker'!$E:$E,'Positions Tracker'!$B549)=0,"",COUNTIFS('Candidate Tracker'!$E:$E,'Positions Tracker'!$B549,'Candidate Tracker'!$C:$C,"&lt;&gt;WIP",'Candidate Tracker'!$C:$C,"&lt;&gt;Hold",'Candidate Tracker'!$C:$C,"&lt;&gt;Cancelled",'Candidate Tracker'!$C:$C,"&lt;&gt;Closed")/COUNTIFS('Candidate Tracker'!$E:$E,'Positions Tracker'!$B549)),"")</f>
        <v/>
      </c>
      <c r="BD549" s="67" t="str">
        <f t="shared" si="48"/>
        <v/>
      </c>
      <c r="BE549" s="67" t="str">
        <f t="shared" si="49"/>
        <v/>
      </c>
      <c r="BF549" s="67" t="str">
        <f t="shared" si="50"/>
        <v/>
      </c>
      <c r="BG549" s="67" t="str">
        <f t="shared" si="51"/>
        <v/>
      </c>
    </row>
    <row r="550" spans="1:59">
      <c r="A550" s="55"/>
      <c r="B550" s="56"/>
      <c r="C550" s="56"/>
      <c r="D550" s="56"/>
      <c r="E550" s="56"/>
      <c r="F550" s="56"/>
      <c r="G550" s="56"/>
      <c r="H550" s="56"/>
      <c r="I550" s="6"/>
      <c r="J550" s="6"/>
      <c r="K550" s="57"/>
      <c r="L550" s="57"/>
      <c r="M550" s="57"/>
      <c r="N550" s="56"/>
      <c r="O550" s="56"/>
      <c r="P550" s="56"/>
      <c r="Q550" s="56"/>
      <c r="R550" s="56"/>
      <c r="S550" s="56"/>
      <c r="T550" s="56"/>
      <c r="U550" s="56"/>
      <c r="V550" s="56"/>
      <c r="W550" s="56"/>
      <c r="X550" s="56"/>
      <c r="Y550" s="56"/>
      <c r="Z550" s="56"/>
      <c r="AA550" s="56"/>
      <c r="AB550" s="56"/>
      <c r="AC550" s="56"/>
      <c r="AD550" s="56"/>
      <c r="AE550" s="56"/>
      <c r="AF550" s="56"/>
      <c r="AG550" s="56"/>
      <c r="AH550" s="56"/>
      <c r="AI550" s="58"/>
      <c r="AJ550" s="56"/>
      <c r="AK550" s="56"/>
      <c r="AL550" s="56"/>
      <c r="AM550" s="57"/>
      <c r="AN550" s="57"/>
      <c r="AO550" s="56"/>
      <c r="AP550" s="56"/>
      <c r="AQ550" s="57"/>
      <c r="AR550" s="57"/>
      <c r="AS550" s="57"/>
      <c r="AT550" s="67">
        <f t="shared" ca="1" si="52"/>
        <v>0</v>
      </c>
      <c r="AU550" s="79" t="str">
        <f t="shared" ca="1" si="53"/>
        <v/>
      </c>
      <c r="AV550" s="79" t="str" cm="1">
        <f t="array" aca="1" ref="AV550" ca="1">IFERROR(_xlfn.IFS($AU550="","",$AU550&lt;=15,"0-15",AND($AU550&gt;=16,$AU550&lt;=30),"16-30",AND($AU550&gt;=31,$AU550&lt;=45),"31-45",AND($AU550&gt;=46,$AU550&lt;=60),"46-60",AND($AU550&gt;=61,$AU550&lt;=90),"61-90",AND($AU550&gt;=91),"&gt; 90",AND($AU550&gt;=2000),""),"")</f>
        <v/>
      </c>
      <c r="AW550" s="79" t="str" cm="1">
        <f t="array" aca="1" ref="AW550" ca="1">IFERROR(_xlfn.IFS(OR($M550="",$AM550=""),"",OR($C550="Offered",$C550="Joined"),($AM550-$M550)-$AT550),"")</f>
        <v/>
      </c>
      <c r="AX550" s="79" t="str" cm="1">
        <f t="array" aca="1" ref="AX550" ca="1">IFERROR(_xlfn.IFS(OR($M550="",$AS550=""),"",$C550="Joined",($AS550-$M550)-$AT550),"")</f>
        <v/>
      </c>
      <c r="AY550" s="67" t="str">
        <f>IFERROR(IF(COUNTIFS('Candidate Tracker'!$E:$E,'Positions Tracker'!$B550,'Candidate Tracker'!$C:$C,"Offer Drop")=0,"",COUNTIFS('Candidate Tracker'!$E:$E,'Positions Tracker'!$B550,'Candidate Tracker'!$C:$C,"Offer Drop")),"")</f>
        <v/>
      </c>
      <c r="AZ550" s="80">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0.88111888111888115</v>
      </c>
      <c r="BA550" s="81" t="str">
        <f>IFERROR(IF(COUNTIFS('Candidate Tracker'!$E:$E,'Positions Tracker'!$B550,'Candidate Tracker'!$I:$I,"Female")=0,"",COUNTIFS('Candidate Tracker'!$E:$E,'Positions Tracker'!$B550,'Candidate Tracker'!$I:$I,"Female")),"")</f>
        <v/>
      </c>
      <c r="BB550" s="81" t="str">
        <f>IFERROR(IF(COUNTIFS('Candidate Tracker'!$E:$E,'Positions Tracker'!$B550,'Candidate Tracker'!$I:$I,"male")=0,"",COUNTIFS('Candidate Tracker'!$E:$E,'Positions Tracker'!$B550,'Candidate Tracker'!$I:$I,"male")),"")</f>
        <v/>
      </c>
      <c r="BC550" s="80" t="str">
        <f>IFERROR(IF(COUNTIFS('Candidate Tracker'!$E:$E,'Positions Tracker'!$B550,'Candidate Tracker'!$C:$C,"&lt;&gt;WIP",'Candidate Tracker'!$C:$C,"&lt;&gt;Hold",'Candidate Tracker'!$C:$C,"&lt;&gt;Cancelled",'Candidate Tracker'!$C:$C,"&lt;&gt;Closed")/COUNTIFS('Candidate Tracker'!$E:$E,'Positions Tracker'!$B550)=0,"",COUNTIFS('Candidate Tracker'!$E:$E,'Positions Tracker'!$B550,'Candidate Tracker'!$C:$C,"&lt;&gt;WIP",'Candidate Tracker'!$C:$C,"&lt;&gt;Hold",'Candidate Tracker'!$C:$C,"&lt;&gt;Cancelled",'Candidate Tracker'!$C:$C,"&lt;&gt;Closed")/COUNTIFS('Candidate Tracker'!$E:$E,'Positions Tracker'!$B550)),"")</f>
        <v/>
      </c>
      <c r="BD550" s="67" t="str">
        <f t="shared" si="48"/>
        <v/>
      </c>
      <c r="BE550" s="67" t="str">
        <f t="shared" si="49"/>
        <v/>
      </c>
      <c r="BF550" s="67" t="str">
        <f t="shared" si="50"/>
        <v/>
      </c>
      <c r="BG550" s="67" t="str">
        <f t="shared" si="51"/>
        <v/>
      </c>
    </row>
    <row r="551" spans="1:59">
      <c r="A551" s="55"/>
      <c r="B551" s="56"/>
      <c r="C551" s="56"/>
      <c r="D551" s="56"/>
      <c r="E551" s="56"/>
      <c r="F551" s="56"/>
      <c r="G551" s="56"/>
      <c r="H551" s="56"/>
      <c r="I551" s="6"/>
      <c r="J551" s="6"/>
      <c r="K551" s="57"/>
      <c r="L551" s="57"/>
      <c r="M551" s="57"/>
      <c r="N551" s="56"/>
      <c r="O551" s="56"/>
      <c r="P551" s="56"/>
      <c r="Q551" s="56"/>
      <c r="R551" s="56"/>
      <c r="S551" s="56"/>
      <c r="T551" s="56"/>
      <c r="U551" s="56"/>
      <c r="V551" s="56"/>
      <c r="W551" s="56"/>
      <c r="X551" s="56"/>
      <c r="Y551" s="56"/>
      <c r="Z551" s="56"/>
      <c r="AA551" s="56"/>
      <c r="AB551" s="56"/>
      <c r="AC551" s="56"/>
      <c r="AD551" s="56"/>
      <c r="AE551" s="56"/>
      <c r="AF551" s="56"/>
      <c r="AG551" s="56"/>
      <c r="AH551" s="56"/>
      <c r="AI551" s="58"/>
      <c r="AJ551" s="56"/>
      <c r="AK551" s="56"/>
      <c r="AL551" s="56"/>
      <c r="AM551" s="57"/>
      <c r="AN551" s="57"/>
      <c r="AO551" s="56"/>
      <c r="AP551" s="56"/>
      <c r="AQ551" s="57"/>
      <c r="AR551" s="57"/>
      <c r="AS551" s="57"/>
      <c r="AT551" s="67">
        <f t="shared" ca="1" si="52"/>
        <v>0</v>
      </c>
      <c r="AU551" s="79" t="str">
        <f t="shared" ca="1" si="53"/>
        <v/>
      </c>
      <c r="AV551" s="79" t="str" cm="1">
        <f t="array" aca="1" ref="AV551" ca="1">IFERROR(_xlfn.IFS($AU551="","",$AU551&lt;=15,"0-15",AND($AU551&gt;=16,$AU551&lt;=30),"16-30",AND($AU551&gt;=31,$AU551&lt;=45),"31-45",AND($AU551&gt;=46,$AU551&lt;=60),"46-60",AND($AU551&gt;=61,$AU551&lt;=90),"61-90",AND($AU551&gt;=91),"&gt; 90",AND($AU551&gt;=2000),""),"")</f>
        <v/>
      </c>
      <c r="AW551" s="79" t="str" cm="1">
        <f t="array" aca="1" ref="AW551" ca="1">IFERROR(_xlfn.IFS(OR($M551="",$AM551=""),"",OR($C551="Offered",$C551="Joined"),($AM551-$M551)-$AT551),"")</f>
        <v/>
      </c>
      <c r="AX551" s="79" t="str" cm="1">
        <f t="array" aca="1" ref="AX551" ca="1">IFERROR(_xlfn.IFS(OR($M551="",$AS551=""),"",$C551="Joined",($AS551-$M551)-$AT551),"")</f>
        <v/>
      </c>
      <c r="AY551" s="67" t="str">
        <f>IFERROR(IF(COUNTIFS('Candidate Tracker'!$E:$E,'Positions Tracker'!$B551,'Candidate Tracker'!$C:$C,"Offer Drop")=0,"",COUNTIFS('Candidate Tracker'!$E:$E,'Positions Tracker'!$B551,'Candidate Tracker'!$C:$C,"Offer Drop")),"")</f>
        <v/>
      </c>
      <c r="AZ551" s="80">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0.88111888111888115</v>
      </c>
      <c r="BA551" s="81" t="str">
        <f>IFERROR(IF(COUNTIFS('Candidate Tracker'!$E:$E,'Positions Tracker'!$B551,'Candidate Tracker'!$I:$I,"Female")=0,"",COUNTIFS('Candidate Tracker'!$E:$E,'Positions Tracker'!$B551,'Candidate Tracker'!$I:$I,"Female")),"")</f>
        <v/>
      </c>
      <c r="BB551" s="81" t="str">
        <f>IFERROR(IF(COUNTIFS('Candidate Tracker'!$E:$E,'Positions Tracker'!$B551,'Candidate Tracker'!$I:$I,"male")=0,"",COUNTIFS('Candidate Tracker'!$E:$E,'Positions Tracker'!$B551,'Candidate Tracker'!$I:$I,"male")),"")</f>
        <v/>
      </c>
      <c r="BC551" s="80" t="str">
        <f>IFERROR(IF(COUNTIFS('Candidate Tracker'!$E:$E,'Positions Tracker'!$B551,'Candidate Tracker'!$C:$C,"&lt;&gt;WIP",'Candidate Tracker'!$C:$C,"&lt;&gt;Hold",'Candidate Tracker'!$C:$C,"&lt;&gt;Cancelled",'Candidate Tracker'!$C:$C,"&lt;&gt;Closed")/COUNTIFS('Candidate Tracker'!$E:$E,'Positions Tracker'!$B551)=0,"",COUNTIFS('Candidate Tracker'!$E:$E,'Positions Tracker'!$B551,'Candidate Tracker'!$C:$C,"&lt;&gt;WIP",'Candidate Tracker'!$C:$C,"&lt;&gt;Hold",'Candidate Tracker'!$C:$C,"&lt;&gt;Cancelled",'Candidate Tracker'!$C:$C,"&lt;&gt;Closed")/COUNTIFS('Candidate Tracker'!$E:$E,'Positions Tracker'!$B551)),"")</f>
        <v/>
      </c>
      <c r="BD551" s="67" t="str">
        <f t="shared" si="48"/>
        <v/>
      </c>
      <c r="BE551" s="67" t="str">
        <f t="shared" si="49"/>
        <v/>
      </c>
      <c r="BF551" s="67" t="str">
        <f t="shared" si="50"/>
        <v/>
      </c>
      <c r="BG551" s="67" t="str">
        <f t="shared" si="51"/>
        <v/>
      </c>
    </row>
    <row r="552" spans="1:59">
      <c r="A552" s="55"/>
      <c r="B552" s="56"/>
      <c r="C552" s="56"/>
      <c r="D552" s="56"/>
      <c r="E552" s="56"/>
      <c r="F552" s="56"/>
      <c r="G552" s="56"/>
      <c r="H552" s="56"/>
      <c r="I552" s="6"/>
      <c r="J552" s="6"/>
      <c r="K552" s="57"/>
      <c r="L552" s="57"/>
      <c r="M552" s="57"/>
      <c r="N552" s="56"/>
      <c r="O552" s="56"/>
      <c r="P552" s="56"/>
      <c r="Q552" s="56"/>
      <c r="R552" s="56"/>
      <c r="S552" s="56"/>
      <c r="T552" s="56"/>
      <c r="U552" s="56"/>
      <c r="V552" s="56"/>
      <c r="W552" s="56"/>
      <c r="X552" s="56"/>
      <c r="Y552" s="56"/>
      <c r="Z552" s="56"/>
      <c r="AA552" s="56"/>
      <c r="AB552" s="56"/>
      <c r="AC552" s="56"/>
      <c r="AD552" s="56"/>
      <c r="AE552" s="56"/>
      <c r="AF552" s="56"/>
      <c r="AG552" s="56"/>
      <c r="AH552" s="56"/>
      <c r="AI552" s="58"/>
      <c r="AJ552" s="56"/>
      <c r="AK552" s="56"/>
      <c r="AL552" s="56"/>
      <c r="AM552" s="57"/>
      <c r="AN552" s="57"/>
      <c r="AO552" s="56"/>
      <c r="AP552" s="56"/>
      <c r="AQ552" s="57"/>
      <c r="AR552" s="57"/>
      <c r="AS552" s="57"/>
      <c r="AT552" s="67">
        <f t="shared" ca="1" si="52"/>
        <v>0</v>
      </c>
      <c r="AU552" s="79" t="str">
        <f t="shared" ca="1" si="53"/>
        <v/>
      </c>
      <c r="AV552" s="79" t="str" cm="1">
        <f t="array" aca="1" ref="AV552" ca="1">IFERROR(_xlfn.IFS($AU552="","",$AU552&lt;=15,"0-15",AND($AU552&gt;=16,$AU552&lt;=30),"16-30",AND($AU552&gt;=31,$AU552&lt;=45),"31-45",AND($AU552&gt;=46,$AU552&lt;=60),"46-60",AND($AU552&gt;=61,$AU552&lt;=90),"61-90",AND($AU552&gt;=91),"&gt; 90",AND($AU552&gt;=2000),""),"")</f>
        <v/>
      </c>
      <c r="AW552" s="79" t="str" cm="1">
        <f t="array" aca="1" ref="AW552" ca="1">IFERROR(_xlfn.IFS(OR($M552="",$AM552=""),"",OR($C552="Offered",$C552="Joined"),($AM552-$M552)-$AT552),"")</f>
        <v/>
      </c>
      <c r="AX552" s="79" t="str" cm="1">
        <f t="array" aca="1" ref="AX552" ca="1">IFERROR(_xlfn.IFS(OR($M552="",$AS552=""),"",$C552="Joined",($AS552-$M552)-$AT552),"")</f>
        <v/>
      </c>
      <c r="AY552" s="67" t="str">
        <f>IFERROR(IF(COUNTIFS('Candidate Tracker'!$E:$E,'Positions Tracker'!$B552,'Candidate Tracker'!$C:$C,"Offer Drop")=0,"",COUNTIFS('Candidate Tracker'!$E:$E,'Positions Tracker'!$B552,'Candidate Tracker'!$C:$C,"Offer Drop")),"")</f>
        <v/>
      </c>
      <c r="AZ552" s="80">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0.88111888111888115</v>
      </c>
      <c r="BA552" s="81" t="str">
        <f>IFERROR(IF(COUNTIFS('Candidate Tracker'!$E:$E,'Positions Tracker'!$B552,'Candidate Tracker'!$I:$I,"Female")=0,"",COUNTIFS('Candidate Tracker'!$E:$E,'Positions Tracker'!$B552,'Candidate Tracker'!$I:$I,"Female")),"")</f>
        <v/>
      </c>
      <c r="BB552" s="81" t="str">
        <f>IFERROR(IF(COUNTIFS('Candidate Tracker'!$E:$E,'Positions Tracker'!$B552,'Candidate Tracker'!$I:$I,"male")=0,"",COUNTIFS('Candidate Tracker'!$E:$E,'Positions Tracker'!$B552,'Candidate Tracker'!$I:$I,"male")),"")</f>
        <v/>
      </c>
      <c r="BC552" s="80" t="str">
        <f>IFERROR(IF(COUNTIFS('Candidate Tracker'!$E:$E,'Positions Tracker'!$B552,'Candidate Tracker'!$C:$C,"&lt;&gt;WIP",'Candidate Tracker'!$C:$C,"&lt;&gt;Hold",'Candidate Tracker'!$C:$C,"&lt;&gt;Cancelled",'Candidate Tracker'!$C:$C,"&lt;&gt;Closed")/COUNTIFS('Candidate Tracker'!$E:$E,'Positions Tracker'!$B552)=0,"",COUNTIFS('Candidate Tracker'!$E:$E,'Positions Tracker'!$B552,'Candidate Tracker'!$C:$C,"&lt;&gt;WIP",'Candidate Tracker'!$C:$C,"&lt;&gt;Hold",'Candidate Tracker'!$C:$C,"&lt;&gt;Cancelled",'Candidate Tracker'!$C:$C,"&lt;&gt;Closed")/COUNTIFS('Candidate Tracker'!$E:$E,'Positions Tracker'!$B552)),"")</f>
        <v/>
      </c>
      <c r="BD552" s="67" t="str">
        <f t="shared" si="48"/>
        <v/>
      </c>
      <c r="BE552" s="67" t="str">
        <f t="shared" si="49"/>
        <v/>
      </c>
      <c r="BF552" s="67" t="str">
        <f t="shared" si="50"/>
        <v/>
      </c>
      <c r="BG552" s="67" t="str">
        <f t="shared" si="51"/>
        <v/>
      </c>
    </row>
    <row r="553" spans="1:59">
      <c r="A553" s="55"/>
      <c r="B553" s="56"/>
      <c r="C553" s="56"/>
      <c r="D553" s="56"/>
      <c r="E553" s="56"/>
      <c r="F553" s="56"/>
      <c r="G553" s="56"/>
      <c r="H553" s="56"/>
      <c r="I553" s="6"/>
      <c r="J553" s="6"/>
      <c r="K553" s="57"/>
      <c r="L553" s="57"/>
      <c r="M553" s="57"/>
      <c r="N553" s="56"/>
      <c r="O553" s="56"/>
      <c r="P553" s="56"/>
      <c r="Q553" s="56"/>
      <c r="R553" s="56"/>
      <c r="S553" s="56"/>
      <c r="T553" s="56"/>
      <c r="U553" s="56"/>
      <c r="V553" s="56"/>
      <c r="W553" s="56"/>
      <c r="X553" s="56"/>
      <c r="Y553" s="56"/>
      <c r="Z553" s="56"/>
      <c r="AA553" s="56"/>
      <c r="AB553" s="56"/>
      <c r="AC553" s="56"/>
      <c r="AD553" s="56"/>
      <c r="AE553" s="56"/>
      <c r="AF553" s="56"/>
      <c r="AG553" s="56"/>
      <c r="AH553" s="56"/>
      <c r="AI553" s="58"/>
      <c r="AJ553" s="56"/>
      <c r="AK553" s="56"/>
      <c r="AL553" s="56"/>
      <c r="AM553" s="57"/>
      <c r="AN553" s="57"/>
      <c r="AO553" s="56"/>
      <c r="AP553" s="56"/>
      <c r="AQ553" s="57"/>
      <c r="AR553" s="57"/>
      <c r="AS553" s="57"/>
      <c r="AT553" s="67">
        <f t="shared" ca="1" si="52"/>
        <v>0</v>
      </c>
      <c r="AU553" s="79" t="str">
        <f t="shared" ca="1" si="53"/>
        <v/>
      </c>
      <c r="AV553" s="79" t="str" cm="1">
        <f t="array" aca="1" ref="AV553" ca="1">IFERROR(_xlfn.IFS($AU553="","",$AU553&lt;=15,"0-15",AND($AU553&gt;=16,$AU553&lt;=30),"16-30",AND($AU553&gt;=31,$AU553&lt;=45),"31-45",AND($AU553&gt;=46,$AU553&lt;=60),"46-60",AND($AU553&gt;=61,$AU553&lt;=90),"61-90",AND($AU553&gt;=91),"&gt; 90",AND($AU553&gt;=2000),""),"")</f>
        <v/>
      </c>
      <c r="AW553" s="79" t="str" cm="1">
        <f t="array" aca="1" ref="AW553" ca="1">IFERROR(_xlfn.IFS(OR($M553="",$AM553=""),"",OR($C553="Offered",$C553="Joined"),($AM553-$M553)-$AT553),"")</f>
        <v/>
      </c>
      <c r="AX553" s="79" t="str" cm="1">
        <f t="array" aca="1" ref="AX553" ca="1">IFERROR(_xlfn.IFS(OR($M553="",$AS553=""),"",$C553="Joined",($AS553-$M553)-$AT553),"")</f>
        <v/>
      </c>
      <c r="AY553" s="67" t="str">
        <f>IFERROR(IF(COUNTIFS('Candidate Tracker'!$E:$E,'Positions Tracker'!$B553,'Candidate Tracker'!$C:$C,"Offer Drop")=0,"",COUNTIFS('Candidate Tracker'!$E:$E,'Positions Tracker'!$B553,'Candidate Tracker'!$C:$C,"Offer Drop")),"")</f>
        <v/>
      </c>
      <c r="AZ553" s="80">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0.88111888111888115</v>
      </c>
      <c r="BA553" s="81" t="str">
        <f>IFERROR(IF(COUNTIFS('Candidate Tracker'!$E:$E,'Positions Tracker'!$B553,'Candidate Tracker'!$I:$I,"Female")=0,"",COUNTIFS('Candidate Tracker'!$E:$E,'Positions Tracker'!$B553,'Candidate Tracker'!$I:$I,"Female")),"")</f>
        <v/>
      </c>
      <c r="BB553" s="81" t="str">
        <f>IFERROR(IF(COUNTIFS('Candidate Tracker'!$E:$E,'Positions Tracker'!$B553,'Candidate Tracker'!$I:$I,"male")=0,"",COUNTIFS('Candidate Tracker'!$E:$E,'Positions Tracker'!$B553,'Candidate Tracker'!$I:$I,"male")),"")</f>
        <v/>
      </c>
      <c r="BC553" s="80" t="str">
        <f>IFERROR(IF(COUNTIFS('Candidate Tracker'!$E:$E,'Positions Tracker'!$B553,'Candidate Tracker'!$C:$C,"&lt;&gt;WIP",'Candidate Tracker'!$C:$C,"&lt;&gt;Hold",'Candidate Tracker'!$C:$C,"&lt;&gt;Cancelled",'Candidate Tracker'!$C:$C,"&lt;&gt;Closed")/COUNTIFS('Candidate Tracker'!$E:$E,'Positions Tracker'!$B553)=0,"",COUNTIFS('Candidate Tracker'!$E:$E,'Positions Tracker'!$B553,'Candidate Tracker'!$C:$C,"&lt;&gt;WIP",'Candidate Tracker'!$C:$C,"&lt;&gt;Hold",'Candidate Tracker'!$C:$C,"&lt;&gt;Cancelled",'Candidate Tracker'!$C:$C,"&lt;&gt;Closed")/COUNTIFS('Candidate Tracker'!$E:$E,'Positions Tracker'!$B553)),"")</f>
        <v/>
      </c>
      <c r="BD553" s="67" t="str">
        <f t="shared" si="48"/>
        <v/>
      </c>
      <c r="BE553" s="67" t="str">
        <f t="shared" si="49"/>
        <v/>
      </c>
      <c r="BF553" s="67" t="str">
        <f t="shared" si="50"/>
        <v/>
      </c>
      <c r="BG553" s="67" t="str">
        <f t="shared" si="51"/>
        <v/>
      </c>
    </row>
    <row r="554" spans="1:59">
      <c r="A554" s="55"/>
      <c r="B554" s="56"/>
      <c r="C554" s="56"/>
      <c r="D554" s="56"/>
      <c r="E554" s="56"/>
      <c r="F554" s="56"/>
      <c r="G554" s="56"/>
      <c r="H554" s="56"/>
      <c r="I554" s="6"/>
      <c r="J554" s="6"/>
      <c r="K554" s="57"/>
      <c r="L554" s="57"/>
      <c r="M554" s="57"/>
      <c r="N554" s="56"/>
      <c r="O554" s="56"/>
      <c r="P554" s="56"/>
      <c r="Q554" s="56"/>
      <c r="R554" s="56"/>
      <c r="S554" s="56"/>
      <c r="T554" s="56"/>
      <c r="U554" s="56"/>
      <c r="V554" s="56"/>
      <c r="W554" s="56"/>
      <c r="X554" s="56"/>
      <c r="Y554" s="56"/>
      <c r="Z554" s="56"/>
      <c r="AA554" s="56"/>
      <c r="AB554" s="56"/>
      <c r="AC554" s="56"/>
      <c r="AD554" s="56"/>
      <c r="AE554" s="56"/>
      <c r="AF554" s="56"/>
      <c r="AG554" s="56"/>
      <c r="AH554" s="56"/>
      <c r="AI554" s="58"/>
      <c r="AJ554" s="56"/>
      <c r="AK554" s="56"/>
      <c r="AL554" s="56"/>
      <c r="AM554" s="57"/>
      <c r="AN554" s="57"/>
      <c r="AO554" s="56"/>
      <c r="AP554" s="56"/>
      <c r="AQ554" s="57"/>
      <c r="AR554" s="57"/>
      <c r="AS554" s="57"/>
      <c r="AT554" s="67">
        <f t="shared" ca="1" si="52"/>
        <v>0</v>
      </c>
      <c r="AU554" s="79" t="str">
        <f t="shared" ca="1" si="53"/>
        <v/>
      </c>
      <c r="AV554" s="79" t="str" cm="1">
        <f t="array" aca="1" ref="AV554" ca="1">IFERROR(_xlfn.IFS($AU554="","",$AU554&lt;=15,"0-15",AND($AU554&gt;=16,$AU554&lt;=30),"16-30",AND($AU554&gt;=31,$AU554&lt;=45),"31-45",AND($AU554&gt;=46,$AU554&lt;=60),"46-60",AND($AU554&gt;=61,$AU554&lt;=90),"61-90",AND($AU554&gt;=91),"&gt; 90",AND($AU554&gt;=2000),""),"")</f>
        <v/>
      </c>
      <c r="AW554" s="79" t="str" cm="1">
        <f t="array" aca="1" ref="AW554" ca="1">IFERROR(_xlfn.IFS(OR($M554="",$AM554=""),"",OR($C554="Offered",$C554="Joined"),($AM554-$M554)-$AT554),"")</f>
        <v/>
      </c>
      <c r="AX554" s="79" t="str" cm="1">
        <f t="array" aca="1" ref="AX554" ca="1">IFERROR(_xlfn.IFS(OR($M554="",$AS554=""),"",$C554="Joined",($AS554-$M554)-$AT554),"")</f>
        <v/>
      </c>
      <c r="AY554" s="67" t="str">
        <f>IFERROR(IF(COUNTIFS('Candidate Tracker'!$E:$E,'Positions Tracker'!$B554,'Candidate Tracker'!$C:$C,"Offer Drop")=0,"",COUNTIFS('Candidate Tracker'!$E:$E,'Positions Tracker'!$B554,'Candidate Tracker'!$C:$C,"Offer Drop")),"")</f>
        <v/>
      </c>
      <c r="AZ554" s="80">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0.88111888111888115</v>
      </c>
      <c r="BA554" s="81" t="str">
        <f>IFERROR(IF(COUNTIFS('Candidate Tracker'!$E:$E,'Positions Tracker'!$B554,'Candidate Tracker'!$I:$I,"Female")=0,"",COUNTIFS('Candidate Tracker'!$E:$E,'Positions Tracker'!$B554,'Candidate Tracker'!$I:$I,"Female")),"")</f>
        <v/>
      </c>
      <c r="BB554" s="81" t="str">
        <f>IFERROR(IF(COUNTIFS('Candidate Tracker'!$E:$E,'Positions Tracker'!$B554,'Candidate Tracker'!$I:$I,"male")=0,"",COUNTIFS('Candidate Tracker'!$E:$E,'Positions Tracker'!$B554,'Candidate Tracker'!$I:$I,"male")),"")</f>
        <v/>
      </c>
      <c r="BC554" s="80" t="str">
        <f>IFERROR(IF(COUNTIFS('Candidate Tracker'!$E:$E,'Positions Tracker'!$B554,'Candidate Tracker'!$C:$C,"&lt;&gt;WIP",'Candidate Tracker'!$C:$C,"&lt;&gt;Hold",'Candidate Tracker'!$C:$C,"&lt;&gt;Cancelled",'Candidate Tracker'!$C:$C,"&lt;&gt;Closed")/COUNTIFS('Candidate Tracker'!$E:$E,'Positions Tracker'!$B554)=0,"",COUNTIFS('Candidate Tracker'!$E:$E,'Positions Tracker'!$B554,'Candidate Tracker'!$C:$C,"&lt;&gt;WIP",'Candidate Tracker'!$C:$C,"&lt;&gt;Hold",'Candidate Tracker'!$C:$C,"&lt;&gt;Cancelled",'Candidate Tracker'!$C:$C,"&lt;&gt;Closed")/COUNTIFS('Candidate Tracker'!$E:$E,'Positions Tracker'!$B554)),"")</f>
        <v/>
      </c>
      <c r="BD554" s="67" t="str">
        <f t="shared" si="48"/>
        <v/>
      </c>
      <c r="BE554" s="67" t="str">
        <f t="shared" si="49"/>
        <v/>
      </c>
      <c r="BF554" s="67" t="str">
        <f t="shared" si="50"/>
        <v/>
      </c>
      <c r="BG554" s="67" t="str">
        <f t="shared" si="51"/>
        <v/>
      </c>
    </row>
    <row r="555" spans="1:59">
      <c r="A555" s="55"/>
      <c r="B555" s="56"/>
      <c r="C555" s="56"/>
      <c r="D555" s="56"/>
      <c r="E555" s="56"/>
      <c r="F555" s="56"/>
      <c r="G555" s="56"/>
      <c r="H555" s="56"/>
      <c r="I555" s="6"/>
      <c r="J555" s="6"/>
      <c r="K555" s="57"/>
      <c r="L555" s="57"/>
      <c r="M555" s="57"/>
      <c r="N555" s="56"/>
      <c r="O555" s="56"/>
      <c r="P555" s="56"/>
      <c r="Q555" s="56"/>
      <c r="R555" s="56"/>
      <c r="S555" s="56"/>
      <c r="T555" s="56"/>
      <c r="U555" s="56"/>
      <c r="V555" s="56"/>
      <c r="W555" s="56"/>
      <c r="X555" s="56"/>
      <c r="Y555" s="56"/>
      <c r="Z555" s="56"/>
      <c r="AA555" s="56"/>
      <c r="AB555" s="56"/>
      <c r="AC555" s="56"/>
      <c r="AD555" s="56"/>
      <c r="AE555" s="56"/>
      <c r="AF555" s="56"/>
      <c r="AG555" s="56"/>
      <c r="AH555" s="56"/>
      <c r="AI555" s="58"/>
      <c r="AJ555" s="56"/>
      <c r="AK555" s="56"/>
      <c r="AL555" s="56"/>
      <c r="AM555" s="57"/>
      <c r="AN555" s="57"/>
      <c r="AO555" s="56"/>
      <c r="AP555" s="56"/>
      <c r="AQ555" s="57"/>
      <c r="AR555" s="57"/>
      <c r="AS555" s="57"/>
      <c r="AT555" s="67">
        <f t="shared" ca="1" si="52"/>
        <v>0</v>
      </c>
      <c r="AU555" s="79" t="str">
        <f t="shared" ca="1" si="53"/>
        <v/>
      </c>
      <c r="AV555" s="79" t="str" cm="1">
        <f t="array" aca="1" ref="AV555" ca="1">IFERROR(_xlfn.IFS($AU555="","",$AU555&lt;=15,"0-15",AND($AU555&gt;=16,$AU555&lt;=30),"16-30",AND($AU555&gt;=31,$AU555&lt;=45),"31-45",AND($AU555&gt;=46,$AU555&lt;=60),"46-60",AND($AU555&gt;=61,$AU555&lt;=90),"61-90",AND($AU555&gt;=91),"&gt; 90",AND($AU555&gt;=2000),""),"")</f>
        <v/>
      </c>
      <c r="AW555" s="79" t="str" cm="1">
        <f t="array" aca="1" ref="AW555" ca="1">IFERROR(_xlfn.IFS(OR($M555="",$AM555=""),"",OR($C555="Offered",$C555="Joined"),($AM555-$M555)-$AT555),"")</f>
        <v/>
      </c>
      <c r="AX555" s="79" t="str" cm="1">
        <f t="array" aca="1" ref="AX555" ca="1">IFERROR(_xlfn.IFS(OR($M555="",$AS555=""),"",$C555="Joined",($AS555-$M555)-$AT555),"")</f>
        <v/>
      </c>
      <c r="AY555" s="67" t="str">
        <f>IFERROR(IF(COUNTIFS('Candidate Tracker'!$E:$E,'Positions Tracker'!$B555,'Candidate Tracker'!$C:$C,"Offer Drop")=0,"",COUNTIFS('Candidate Tracker'!$E:$E,'Positions Tracker'!$B555,'Candidate Tracker'!$C:$C,"Offer Drop")),"")</f>
        <v/>
      </c>
      <c r="AZ555" s="80">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0.88111888111888115</v>
      </c>
      <c r="BA555" s="81" t="str">
        <f>IFERROR(IF(COUNTIFS('Candidate Tracker'!$E:$E,'Positions Tracker'!$B555,'Candidate Tracker'!$I:$I,"Female")=0,"",COUNTIFS('Candidate Tracker'!$E:$E,'Positions Tracker'!$B555,'Candidate Tracker'!$I:$I,"Female")),"")</f>
        <v/>
      </c>
      <c r="BB555" s="81" t="str">
        <f>IFERROR(IF(COUNTIFS('Candidate Tracker'!$E:$E,'Positions Tracker'!$B555,'Candidate Tracker'!$I:$I,"male")=0,"",COUNTIFS('Candidate Tracker'!$E:$E,'Positions Tracker'!$B555,'Candidate Tracker'!$I:$I,"male")),"")</f>
        <v/>
      </c>
      <c r="BC555" s="80" t="str">
        <f>IFERROR(IF(COUNTIFS('Candidate Tracker'!$E:$E,'Positions Tracker'!$B555,'Candidate Tracker'!$C:$C,"&lt;&gt;WIP",'Candidate Tracker'!$C:$C,"&lt;&gt;Hold",'Candidate Tracker'!$C:$C,"&lt;&gt;Cancelled",'Candidate Tracker'!$C:$C,"&lt;&gt;Closed")/COUNTIFS('Candidate Tracker'!$E:$E,'Positions Tracker'!$B555)=0,"",COUNTIFS('Candidate Tracker'!$E:$E,'Positions Tracker'!$B555,'Candidate Tracker'!$C:$C,"&lt;&gt;WIP",'Candidate Tracker'!$C:$C,"&lt;&gt;Hold",'Candidate Tracker'!$C:$C,"&lt;&gt;Cancelled",'Candidate Tracker'!$C:$C,"&lt;&gt;Closed")/COUNTIFS('Candidate Tracker'!$E:$E,'Positions Tracker'!$B555)),"")</f>
        <v/>
      </c>
      <c r="BD555" s="67" t="str">
        <f t="shared" si="48"/>
        <v/>
      </c>
      <c r="BE555" s="67" t="str">
        <f t="shared" si="49"/>
        <v/>
      </c>
      <c r="BF555" s="67" t="str">
        <f t="shared" si="50"/>
        <v/>
      </c>
      <c r="BG555" s="67" t="str">
        <f t="shared" si="51"/>
        <v/>
      </c>
    </row>
    <row r="556" spans="1:59">
      <c r="A556" s="55"/>
      <c r="B556" s="56"/>
      <c r="C556" s="56"/>
      <c r="D556" s="56"/>
      <c r="E556" s="56"/>
      <c r="F556" s="56"/>
      <c r="G556" s="56"/>
      <c r="H556" s="56"/>
      <c r="I556" s="6"/>
      <c r="J556" s="6"/>
      <c r="K556" s="57"/>
      <c r="L556" s="57"/>
      <c r="M556" s="57"/>
      <c r="N556" s="56"/>
      <c r="O556" s="56"/>
      <c r="P556" s="56"/>
      <c r="Q556" s="56"/>
      <c r="R556" s="56"/>
      <c r="S556" s="56"/>
      <c r="T556" s="56"/>
      <c r="U556" s="56"/>
      <c r="V556" s="56"/>
      <c r="W556" s="56"/>
      <c r="X556" s="56"/>
      <c r="Y556" s="56"/>
      <c r="Z556" s="56"/>
      <c r="AA556" s="56"/>
      <c r="AB556" s="56"/>
      <c r="AC556" s="56"/>
      <c r="AD556" s="56"/>
      <c r="AE556" s="56"/>
      <c r="AF556" s="56"/>
      <c r="AG556" s="56"/>
      <c r="AH556" s="56"/>
      <c r="AI556" s="58"/>
      <c r="AJ556" s="56"/>
      <c r="AK556" s="56"/>
      <c r="AL556" s="56"/>
      <c r="AM556" s="57"/>
      <c r="AN556" s="57"/>
      <c r="AO556" s="56"/>
      <c r="AP556" s="56"/>
      <c r="AQ556" s="57"/>
      <c r="AR556" s="57"/>
      <c r="AS556" s="57"/>
      <c r="AT556" s="67">
        <f t="shared" ca="1" si="52"/>
        <v>0</v>
      </c>
      <c r="AU556" s="79" t="str">
        <f t="shared" ca="1" si="53"/>
        <v/>
      </c>
      <c r="AV556" s="79" t="str" cm="1">
        <f t="array" aca="1" ref="AV556" ca="1">IFERROR(_xlfn.IFS($AU556="","",$AU556&lt;=15,"0-15",AND($AU556&gt;=16,$AU556&lt;=30),"16-30",AND($AU556&gt;=31,$AU556&lt;=45),"31-45",AND($AU556&gt;=46,$AU556&lt;=60),"46-60",AND($AU556&gt;=61,$AU556&lt;=90),"61-90",AND($AU556&gt;=91),"&gt; 90",AND($AU556&gt;=2000),""),"")</f>
        <v/>
      </c>
      <c r="AW556" s="79" t="str" cm="1">
        <f t="array" aca="1" ref="AW556" ca="1">IFERROR(_xlfn.IFS(OR($M556="",$AM556=""),"",OR($C556="Offered",$C556="Joined"),($AM556-$M556)-$AT556),"")</f>
        <v/>
      </c>
      <c r="AX556" s="79" t="str" cm="1">
        <f t="array" aca="1" ref="AX556" ca="1">IFERROR(_xlfn.IFS(OR($M556="",$AS556=""),"",$C556="Joined",($AS556-$M556)-$AT556),"")</f>
        <v/>
      </c>
      <c r="AY556" s="67" t="str">
        <f>IFERROR(IF(COUNTIFS('Candidate Tracker'!$E:$E,'Positions Tracker'!$B556,'Candidate Tracker'!$C:$C,"Offer Drop")=0,"",COUNTIFS('Candidate Tracker'!$E:$E,'Positions Tracker'!$B556,'Candidate Tracker'!$C:$C,"Offer Drop")),"")</f>
        <v/>
      </c>
      <c r="AZ556" s="80">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0.88111888111888115</v>
      </c>
      <c r="BA556" s="81" t="str">
        <f>IFERROR(IF(COUNTIFS('Candidate Tracker'!$E:$E,'Positions Tracker'!$B556,'Candidate Tracker'!$I:$I,"Female")=0,"",COUNTIFS('Candidate Tracker'!$E:$E,'Positions Tracker'!$B556,'Candidate Tracker'!$I:$I,"Female")),"")</f>
        <v/>
      </c>
      <c r="BB556" s="81" t="str">
        <f>IFERROR(IF(COUNTIFS('Candidate Tracker'!$E:$E,'Positions Tracker'!$B556,'Candidate Tracker'!$I:$I,"male")=0,"",COUNTIFS('Candidate Tracker'!$E:$E,'Positions Tracker'!$B556,'Candidate Tracker'!$I:$I,"male")),"")</f>
        <v/>
      </c>
      <c r="BC556" s="80" t="str">
        <f>IFERROR(IF(COUNTIFS('Candidate Tracker'!$E:$E,'Positions Tracker'!$B556,'Candidate Tracker'!$C:$C,"&lt;&gt;WIP",'Candidate Tracker'!$C:$C,"&lt;&gt;Hold",'Candidate Tracker'!$C:$C,"&lt;&gt;Cancelled",'Candidate Tracker'!$C:$C,"&lt;&gt;Closed")/COUNTIFS('Candidate Tracker'!$E:$E,'Positions Tracker'!$B556)=0,"",COUNTIFS('Candidate Tracker'!$E:$E,'Positions Tracker'!$B556,'Candidate Tracker'!$C:$C,"&lt;&gt;WIP",'Candidate Tracker'!$C:$C,"&lt;&gt;Hold",'Candidate Tracker'!$C:$C,"&lt;&gt;Cancelled",'Candidate Tracker'!$C:$C,"&lt;&gt;Closed")/COUNTIFS('Candidate Tracker'!$E:$E,'Positions Tracker'!$B556)),"")</f>
        <v/>
      </c>
      <c r="BD556" s="67" t="str">
        <f t="shared" si="48"/>
        <v/>
      </c>
      <c r="BE556" s="67" t="str">
        <f t="shared" si="49"/>
        <v/>
      </c>
      <c r="BF556" s="67" t="str">
        <f t="shared" si="50"/>
        <v/>
      </c>
      <c r="BG556" s="67" t="str">
        <f t="shared" si="51"/>
        <v/>
      </c>
    </row>
    <row r="557" spans="1:59">
      <c r="A557" s="55"/>
      <c r="B557" s="56"/>
      <c r="C557" s="56"/>
      <c r="D557" s="56"/>
      <c r="E557" s="56"/>
      <c r="F557" s="56"/>
      <c r="G557" s="56"/>
      <c r="H557" s="56"/>
      <c r="I557" s="6"/>
      <c r="J557" s="6"/>
      <c r="K557" s="57"/>
      <c r="L557" s="57"/>
      <c r="M557" s="57"/>
      <c r="N557" s="56"/>
      <c r="O557" s="56"/>
      <c r="P557" s="56"/>
      <c r="Q557" s="56"/>
      <c r="R557" s="56"/>
      <c r="S557" s="56"/>
      <c r="T557" s="56"/>
      <c r="U557" s="56"/>
      <c r="V557" s="56"/>
      <c r="W557" s="56"/>
      <c r="X557" s="56"/>
      <c r="Y557" s="56"/>
      <c r="Z557" s="56"/>
      <c r="AA557" s="56"/>
      <c r="AB557" s="56"/>
      <c r="AC557" s="56"/>
      <c r="AD557" s="56"/>
      <c r="AE557" s="56"/>
      <c r="AF557" s="56"/>
      <c r="AG557" s="56"/>
      <c r="AH557" s="56"/>
      <c r="AI557" s="58"/>
      <c r="AJ557" s="56"/>
      <c r="AK557" s="56"/>
      <c r="AL557" s="56"/>
      <c r="AM557" s="57"/>
      <c r="AN557" s="57"/>
      <c r="AO557" s="56"/>
      <c r="AP557" s="56"/>
      <c r="AQ557" s="57"/>
      <c r="AR557" s="57"/>
      <c r="AS557" s="57"/>
      <c r="AT557" s="67">
        <f t="shared" ca="1" si="52"/>
        <v>0</v>
      </c>
      <c r="AU557" s="79" t="str">
        <f t="shared" ca="1" si="53"/>
        <v/>
      </c>
      <c r="AV557" s="79" t="str" cm="1">
        <f t="array" aca="1" ref="AV557" ca="1">IFERROR(_xlfn.IFS($AU557="","",$AU557&lt;=15,"0-15",AND($AU557&gt;=16,$AU557&lt;=30),"16-30",AND($AU557&gt;=31,$AU557&lt;=45),"31-45",AND($AU557&gt;=46,$AU557&lt;=60),"46-60",AND($AU557&gt;=61,$AU557&lt;=90),"61-90",AND($AU557&gt;=91),"&gt; 90",AND($AU557&gt;=2000),""),"")</f>
        <v/>
      </c>
      <c r="AW557" s="79" t="str" cm="1">
        <f t="array" aca="1" ref="AW557" ca="1">IFERROR(_xlfn.IFS(OR($M557="",$AM557=""),"",OR($C557="Offered",$C557="Joined"),($AM557-$M557)-$AT557),"")</f>
        <v/>
      </c>
      <c r="AX557" s="79" t="str" cm="1">
        <f t="array" aca="1" ref="AX557" ca="1">IFERROR(_xlfn.IFS(OR($M557="",$AS557=""),"",$C557="Joined",($AS557-$M557)-$AT557),"")</f>
        <v/>
      </c>
      <c r="AY557" s="67" t="str">
        <f>IFERROR(IF(COUNTIFS('Candidate Tracker'!$E:$E,'Positions Tracker'!$B557,'Candidate Tracker'!$C:$C,"Offer Drop")=0,"",COUNTIFS('Candidate Tracker'!$E:$E,'Positions Tracker'!$B557,'Candidate Tracker'!$C:$C,"Offer Drop")),"")</f>
        <v/>
      </c>
      <c r="AZ557" s="80">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0.88111888111888115</v>
      </c>
      <c r="BA557" s="81" t="str">
        <f>IFERROR(IF(COUNTIFS('Candidate Tracker'!$E:$E,'Positions Tracker'!$B557,'Candidate Tracker'!$I:$I,"Female")=0,"",COUNTIFS('Candidate Tracker'!$E:$E,'Positions Tracker'!$B557,'Candidate Tracker'!$I:$I,"Female")),"")</f>
        <v/>
      </c>
      <c r="BB557" s="81" t="str">
        <f>IFERROR(IF(COUNTIFS('Candidate Tracker'!$E:$E,'Positions Tracker'!$B557,'Candidate Tracker'!$I:$I,"male")=0,"",COUNTIFS('Candidate Tracker'!$E:$E,'Positions Tracker'!$B557,'Candidate Tracker'!$I:$I,"male")),"")</f>
        <v/>
      </c>
      <c r="BC557" s="80" t="str">
        <f>IFERROR(IF(COUNTIFS('Candidate Tracker'!$E:$E,'Positions Tracker'!$B557,'Candidate Tracker'!$C:$C,"&lt;&gt;WIP",'Candidate Tracker'!$C:$C,"&lt;&gt;Hold",'Candidate Tracker'!$C:$C,"&lt;&gt;Cancelled",'Candidate Tracker'!$C:$C,"&lt;&gt;Closed")/COUNTIFS('Candidate Tracker'!$E:$E,'Positions Tracker'!$B557)=0,"",COUNTIFS('Candidate Tracker'!$E:$E,'Positions Tracker'!$B557,'Candidate Tracker'!$C:$C,"&lt;&gt;WIP",'Candidate Tracker'!$C:$C,"&lt;&gt;Hold",'Candidate Tracker'!$C:$C,"&lt;&gt;Cancelled",'Candidate Tracker'!$C:$C,"&lt;&gt;Closed")/COUNTIFS('Candidate Tracker'!$E:$E,'Positions Tracker'!$B557)),"")</f>
        <v/>
      </c>
      <c r="BD557" s="67" t="str">
        <f t="shared" si="48"/>
        <v/>
      </c>
      <c r="BE557" s="67" t="str">
        <f t="shared" si="49"/>
        <v/>
      </c>
      <c r="BF557" s="67" t="str">
        <f t="shared" si="50"/>
        <v/>
      </c>
      <c r="BG557" s="67" t="str">
        <f t="shared" si="51"/>
        <v/>
      </c>
    </row>
    <row r="558" spans="1:59">
      <c r="A558" s="55"/>
      <c r="B558" s="56"/>
      <c r="C558" s="56"/>
      <c r="D558" s="56"/>
      <c r="E558" s="56"/>
      <c r="F558" s="56"/>
      <c r="G558" s="56"/>
      <c r="H558" s="56"/>
      <c r="I558" s="6"/>
      <c r="J558" s="6"/>
      <c r="K558" s="57"/>
      <c r="L558" s="57"/>
      <c r="M558" s="57"/>
      <c r="N558" s="56"/>
      <c r="O558" s="56"/>
      <c r="P558" s="56"/>
      <c r="Q558" s="56"/>
      <c r="R558" s="56"/>
      <c r="S558" s="56"/>
      <c r="T558" s="56"/>
      <c r="U558" s="56"/>
      <c r="V558" s="56"/>
      <c r="W558" s="56"/>
      <c r="X558" s="56"/>
      <c r="Y558" s="56"/>
      <c r="Z558" s="56"/>
      <c r="AA558" s="56"/>
      <c r="AB558" s="56"/>
      <c r="AC558" s="56"/>
      <c r="AD558" s="56"/>
      <c r="AE558" s="56"/>
      <c r="AF558" s="56"/>
      <c r="AG558" s="56"/>
      <c r="AH558" s="56"/>
      <c r="AI558" s="58"/>
      <c r="AJ558" s="56"/>
      <c r="AK558" s="56"/>
      <c r="AL558" s="56"/>
      <c r="AM558" s="57"/>
      <c r="AN558" s="57"/>
      <c r="AO558" s="56"/>
      <c r="AP558" s="56"/>
      <c r="AQ558" s="57"/>
      <c r="AR558" s="57"/>
      <c r="AS558" s="57"/>
      <c r="AT558" s="67">
        <f t="shared" ca="1" si="52"/>
        <v>0</v>
      </c>
      <c r="AU558" s="79" t="str">
        <f t="shared" ca="1" si="53"/>
        <v/>
      </c>
      <c r="AV558" s="79" t="str" cm="1">
        <f t="array" aca="1" ref="AV558" ca="1">IFERROR(_xlfn.IFS($AU558="","",$AU558&lt;=15,"0-15",AND($AU558&gt;=16,$AU558&lt;=30),"16-30",AND($AU558&gt;=31,$AU558&lt;=45),"31-45",AND($AU558&gt;=46,$AU558&lt;=60),"46-60",AND($AU558&gt;=61,$AU558&lt;=90),"61-90",AND($AU558&gt;=91),"&gt; 90",AND($AU558&gt;=2000),""),"")</f>
        <v/>
      </c>
      <c r="AW558" s="79" t="str" cm="1">
        <f t="array" aca="1" ref="AW558" ca="1">IFERROR(_xlfn.IFS(OR($M558="",$AM558=""),"",OR($C558="Offered",$C558="Joined"),($AM558-$M558)-$AT558),"")</f>
        <v/>
      </c>
      <c r="AX558" s="79" t="str" cm="1">
        <f t="array" aca="1" ref="AX558" ca="1">IFERROR(_xlfn.IFS(OR($M558="",$AS558=""),"",$C558="Joined",($AS558-$M558)-$AT558),"")</f>
        <v/>
      </c>
      <c r="AY558" s="67" t="str">
        <f>IFERROR(IF(COUNTIFS('Candidate Tracker'!$E:$E,'Positions Tracker'!$B558,'Candidate Tracker'!$C:$C,"Offer Drop")=0,"",COUNTIFS('Candidate Tracker'!$E:$E,'Positions Tracker'!$B558,'Candidate Tracker'!$C:$C,"Offer Drop")),"")</f>
        <v/>
      </c>
      <c r="AZ558" s="80">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0.88111888111888115</v>
      </c>
      <c r="BA558" s="81" t="str">
        <f>IFERROR(IF(COUNTIFS('Candidate Tracker'!$E:$E,'Positions Tracker'!$B558,'Candidate Tracker'!$I:$I,"Female")=0,"",COUNTIFS('Candidate Tracker'!$E:$E,'Positions Tracker'!$B558,'Candidate Tracker'!$I:$I,"Female")),"")</f>
        <v/>
      </c>
      <c r="BB558" s="81" t="str">
        <f>IFERROR(IF(COUNTIFS('Candidate Tracker'!$E:$E,'Positions Tracker'!$B558,'Candidate Tracker'!$I:$I,"male")=0,"",COUNTIFS('Candidate Tracker'!$E:$E,'Positions Tracker'!$B558,'Candidate Tracker'!$I:$I,"male")),"")</f>
        <v/>
      </c>
      <c r="BC558" s="80" t="str">
        <f>IFERROR(IF(COUNTIFS('Candidate Tracker'!$E:$E,'Positions Tracker'!$B558,'Candidate Tracker'!$C:$C,"&lt;&gt;WIP",'Candidate Tracker'!$C:$C,"&lt;&gt;Hold",'Candidate Tracker'!$C:$C,"&lt;&gt;Cancelled",'Candidate Tracker'!$C:$C,"&lt;&gt;Closed")/COUNTIFS('Candidate Tracker'!$E:$E,'Positions Tracker'!$B558)=0,"",COUNTIFS('Candidate Tracker'!$E:$E,'Positions Tracker'!$B558,'Candidate Tracker'!$C:$C,"&lt;&gt;WIP",'Candidate Tracker'!$C:$C,"&lt;&gt;Hold",'Candidate Tracker'!$C:$C,"&lt;&gt;Cancelled",'Candidate Tracker'!$C:$C,"&lt;&gt;Closed")/COUNTIFS('Candidate Tracker'!$E:$E,'Positions Tracker'!$B558)),"")</f>
        <v/>
      </c>
      <c r="BD558" s="67" t="str">
        <f t="shared" si="48"/>
        <v/>
      </c>
      <c r="BE558" s="67" t="str">
        <f t="shared" si="49"/>
        <v/>
      </c>
      <c r="BF558" s="67" t="str">
        <f t="shared" si="50"/>
        <v/>
      </c>
      <c r="BG558" s="67" t="str">
        <f t="shared" si="51"/>
        <v/>
      </c>
    </row>
    <row r="559" spans="1:59">
      <c r="A559" s="55"/>
      <c r="B559" s="56"/>
      <c r="C559" s="56"/>
      <c r="D559" s="56"/>
      <c r="E559" s="56"/>
      <c r="F559" s="56"/>
      <c r="G559" s="56"/>
      <c r="H559" s="56"/>
      <c r="I559" s="6"/>
      <c r="J559" s="6"/>
      <c r="K559" s="57"/>
      <c r="L559" s="57"/>
      <c r="M559" s="57"/>
      <c r="N559" s="56"/>
      <c r="O559" s="56"/>
      <c r="P559" s="56"/>
      <c r="Q559" s="56"/>
      <c r="R559" s="56"/>
      <c r="S559" s="56"/>
      <c r="T559" s="56"/>
      <c r="U559" s="56"/>
      <c r="V559" s="56"/>
      <c r="W559" s="56"/>
      <c r="X559" s="56"/>
      <c r="Y559" s="56"/>
      <c r="Z559" s="56"/>
      <c r="AA559" s="56"/>
      <c r="AB559" s="56"/>
      <c r="AC559" s="56"/>
      <c r="AD559" s="56"/>
      <c r="AE559" s="56"/>
      <c r="AF559" s="56"/>
      <c r="AG559" s="56"/>
      <c r="AH559" s="56"/>
      <c r="AI559" s="58"/>
      <c r="AJ559" s="56"/>
      <c r="AK559" s="56"/>
      <c r="AL559" s="56"/>
      <c r="AM559" s="57"/>
      <c r="AN559" s="57"/>
      <c r="AO559" s="56"/>
      <c r="AP559" s="56"/>
      <c r="AQ559" s="57"/>
      <c r="AR559" s="57"/>
      <c r="AS559" s="57"/>
      <c r="AT559" s="67">
        <f t="shared" ca="1" si="52"/>
        <v>0</v>
      </c>
      <c r="AU559" s="79" t="str">
        <f t="shared" ca="1" si="53"/>
        <v/>
      </c>
      <c r="AV559" s="79" t="str" cm="1">
        <f t="array" aca="1" ref="AV559" ca="1">IFERROR(_xlfn.IFS($AU559="","",$AU559&lt;=15,"0-15",AND($AU559&gt;=16,$AU559&lt;=30),"16-30",AND($AU559&gt;=31,$AU559&lt;=45),"31-45",AND($AU559&gt;=46,$AU559&lt;=60),"46-60",AND($AU559&gt;=61,$AU559&lt;=90),"61-90",AND($AU559&gt;=91),"&gt; 90",AND($AU559&gt;=2000),""),"")</f>
        <v/>
      </c>
      <c r="AW559" s="79" t="str" cm="1">
        <f t="array" aca="1" ref="AW559" ca="1">IFERROR(_xlfn.IFS(OR($M559="",$AM559=""),"",OR($C559="Offered",$C559="Joined"),($AM559-$M559)-$AT559),"")</f>
        <v/>
      </c>
      <c r="AX559" s="79" t="str" cm="1">
        <f t="array" aca="1" ref="AX559" ca="1">IFERROR(_xlfn.IFS(OR($M559="",$AS559=""),"",$C559="Joined",($AS559-$M559)-$AT559),"")</f>
        <v/>
      </c>
      <c r="AY559" s="67" t="str">
        <f>IFERROR(IF(COUNTIFS('Candidate Tracker'!$E:$E,'Positions Tracker'!$B559,'Candidate Tracker'!$C:$C,"Offer Drop")=0,"",COUNTIFS('Candidate Tracker'!$E:$E,'Positions Tracker'!$B559,'Candidate Tracker'!$C:$C,"Offer Drop")),"")</f>
        <v/>
      </c>
      <c r="AZ559" s="80">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0.88111888111888115</v>
      </c>
      <c r="BA559" s="81" t="str">
        <f>IFERROR(IF(COUNTIFS('Candidate Tracker'!$E:$E,'Positions Tracker'!$B559,'Candidate Tracker'!$I:$I,"Female")=0,"",COUNTIFS('Candidate Tracker'!$E:$E,'Positions Tracker'!$B559,'Candidate Tracker'!$I:$I,"Female")),"")</f>
        <v/>
      </c>
      <c r="BB559" s="81" t="str">
        <f>IFERROR(IF(COUNTIFS('Candidate Tracker'!$E:$E,'Positions Tracker'!$B559,'Candidate Tracker'!$I:$I,"male")=0,"",COUNTIFS('Candidate Tracker'!$E:$E,'Positions Tracker'!$B559,'Candidate Tracker'!$I:$I,"male")),"")</f>
        <v/>
      </c>
      <c r="BC559" s="80" t="str">
        <f>IFERROR(IF(COUNTIFS('Candidate Tracker'!$E:$E,'Positions Tracker'!$B559,'Candidate Tracker'!$C:$C,"&lt;&gt;WIP",'Candidate Tracker'!$C:$C,"&lt;&gt;Hold",'Candidate Tracker'!$C:$C,"&lt;&gt;Cancelled",'Candidate Tracker'!$C:$C,"&lt;&gt;Closed")/COUNTIFS('Candidate Tracker'!$E:$E,'Positions Tracker'!$B559)=0,"",COUNTIFS('Candidate Tracker'!$E:$E,'Positions Tracker'!$B559,'Candidate Tracker'!$C:$C,"&lt;&gt;WIP",'Candidate Tracker'!$C:$C,"&lt;&gt;Hold",'Candidate Tracker'!$C:$C,"&lt;&gt;Cancelled",'Candidate Tracker'!$C:$C,"&lt;&gt;Closed")/COUNTIFS('Candidate Tracker'!$E:$E,'Positions Tracker'!$B559)),"")</f>
        <v/>
      </c>
      <c r="BD559" s="67" t="str">
        <f t="shared" si="48"/>
        <v/>
      </c>
      <c r="BE559" s="67" t="str">
        <f t="shared" si="49"/>
        <v/>
      </c>
      <c r="BF559" s="67" t="str">
        <f t="shared" si="50"/>
        <v/>
      </c>
      <c r="BG559" s="67" t="str">
        <f t="shared" si="51"/>
        <v/>
      </c>
    </row>
    <row r="560" spans="1:59">
      <c r="A560" s="55"/>
      <c r="B560" s="56"/>
      <c r="C560" s="56"/>
      <c r="D560" s="56"/>
      <c r="E560" s="56"/>
      <c r="F560" s="56"/>
      <c r="G560" s="56"/>
      <c r="H560" s="56"/>
      <c r="I560" s="6"/>
      <c r="J560" s="6"/>
      <c r="K560" s="57"/>
      <c r="L560" s="57"/>
      <c r="M560" s="57"/>
      <c r="N560" s="56"/>
      <c r="O560" s="56"/>
      <c r="P560" s="56"/>
      <c r="Q560" s="56"/>
      <c r="R560" s="56"/>
      <c r="S560" s="56"/>
      <c r="T560" s="56"/>
      <c r="U560" s="56"/>
      <c r="V560" s="56"/>
      <c r="W560" s="56"/>
      <c r="X560" s="56"/>
      <c r="Y560" s="56"/>
      <c r="Z560" s="56"/>
      <c r="AA560" s="56"/>
      <c r="AB560" s="56"/>
      <c r="AC560" s="56"/>
      <c r="AD560" s="56"/>
      <c r="AE560" s="56"/>
      <c r="AF560" s="56"/>
      <c r="AG560" s="56"/>
      <c r="AH560" s="56"/>
      <c r="AI560" s="58"/>
      <c r="AJ560" s="56"/>
      <c r="AK560" s="56"/>
      <c r="AL560" s="56"/>
      <c r="AM560" s="57"/>
      <c r="AN560" s="57"/>
      <c r="AO560" s="56"/>
      <c r="AP560" s="56"/>
      <c r="AQ560" s="57"/>
      <c r="AR560" s="57"/>
      <c r="AS560" s="57"/>
      <c r="AT560" s="67">
        <f t="shared" ca="1" si="52"/>
        <v>0</v>
      </c>
      <c r="AU560" s="79" t="str">
        <f t="shared" ca="1" si="53"/>
        <v/>
      </c>
      <c r="AV560" s="79" t="str" cm="1">
        <f t="array" aca="1" ref="AV560" ca="1">IFERROR(_xlfn.IFS($AU560="","",$AU560&lt;=15,"0-15",AND($AU560&gt;=16,$AU560&lt;=30),"16-30",AND($AU560&gt;=31,$AU560&lt;=45),"31-45",AND($AU560&gt;=46,$AU560&lt;=60),"46-60",AND($AU560&gt;=61,$AU560&lt;=90),"61-90",AND($AU560&gt;=91),"&gt; 90",AND($AU560&gt;=2000),""),"")</f>
        <v/>
      </c>
      <c r="AW560" s="79" t="str" cm="1">
        <f t="array" aca="1" ref="AW560" ca="1">IFERROR(_xlfn.IFS(OR($M560="",$AM560=""),"",OR($C560="Offered",$C560="Joined"),($AM560-$M560)-$AT560),"")</f>
        <v/>
      </c>
      <c r="AX560" s="79" t="str" cm="1">
        <f t="array" aca="1" ref="AX560" ca="1">IFERROR(_xlfn.IFS(OR($M560="",$AS560=""),"",$C560="Joined",($AS560-$M560)-$AT560),"")</f>
        <v/>
      </c>
      <c r="AY560" s="67" t="str">
        <f>IFERROR(IF(COUNTIFS('Candidate Tracker'!$E:$E,'Positions Tracker'!$B560,'Candidate Tracker'!$C:$C,"Offer Drop")=0,"",COUNTIFS('Candidate Tracker'!$E:$E,'Positions Tracker'!$B560,'Candidate Tracker'!$C:$C,"Offer Drop")),"")</f>
        <v/>
      </c>
      <c r="AZ560" s="80">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0.88111888111888115</v>
      </c>
      <c r="BA560" s="81" t="str">
        <f>IFERROR(IF(COUNTIFS('Candidate Tracker'!$E:$E,'Positions Tracker'!$B560,'Candidate Tracker'!$I:$I,"Female")=0,"",COUNTIFS('Candidate Tracker'!$E:$E,'Positions Tracker'!$B560,'Candidate Tracker'!$I:$I,"Female")),"")</f>
        <v/>
      </c>
      <c r="BB560" s="81" t="str">
        <f>IFERROR(IF(COUNTIFS('Candidate Tracker'!$E:$E,'Positions Tracker'!$B560,'Candidate Tracker'!$I:$I,"male")=0,"",COUNTIFS('Candidate Tracker'!$E:$E,'Positions Tracker'!$B560,'Candidate Tracker'!$I:$I,"male")),"")</f>
        <v/>
      </c>
      <c r="BC560" s="80" t="str">
        <f>IFERROR(IF(COUNTIFS('Candidate Tracker'!$E:$E,'Positions Tracker'!$B560,'Candidate Tracker'!$C:$C,"&lt;&gt;WIP",'Candidate Tracker'!$C:$C,"&lt;&gt;Hold",'Candidate Tracker'!$C:$C,"&lt;&gt;Cancelled",'Candidate Tracker'!$C:$C,"&lt;&gt;Closed")/COUNTIFS('Candidate Tracker'!$E:$E,'Positions Tracker'!$B560)=0,"",COUNTIFS('Candidate Tracker'!$E:$E,'Positions Tracker'!$B560,'Candidate Tracker'!$C:$C,"&lt;&gt;WIP",'Candidate Tracker'!$C:$C,"&lt;&gt;Hold",'Candidate Tracker'!$C:$C,"&lt;&gt;Cancelled",'Candidate Tracker'!$C:$C,"&lt;&gt;Closed")/COUNTIFS('Candidate Tracker'!$E:$E,'Positions Tracker'!$B560)),"")</f>
        <v/>
      </c>
      <c r="BD560" s="67" t="str">
        <f t="shared" si="48"/>
        <v/>
      </c>
      <c r="BE560" s="67" t="str">
        <f t="shared" si="49"/>
        <v/>
      </c>
      <c r="BF560" s="67" t="str">
        <f t="shared" si="50"/>
        <v/>
      </c>
      <c r="BG560" s="67" t="str">
        <f t="shared" si="51"/>
        <v/>
      </c>
    </row>
    <row r="561" spans="1:59">
      <c r="A561" s="55"/>
      <c r="B561" s="56"/>
      <c r="C561" s="56"/>
      <c r="D561" s="56"/>
      <c r="E561" s="56"/>
      <c r="F561" s="56"/>
      <c r="G561" s="56"/>
      <c r="H561" s="56"/>
      <c r="I561" s="6"/>
      <c r="J561" s="6"/>
      <c r="K561" s="57"/>
      <c r="L561" s="57"/>
      <c r="M561" s="57"/>
      <c r="N561" s="56"/>
      <c r="O561" s="56"/>
      <c r="P561" s="56"/>
      <c r="Q561" s="56"/>
      <c r="R561" s="56"/>
      <c r="S561" s="56"/>
      <c r="T561" s="56"/>
      <c r="U561" s="56"/>
      <c r="V561" s="56"/>
      <c r="W561" s="56"/>
      <c r="X561" s="56"/>
      <c r="Y561" s="56"/>
      <c r="Z561" s="56"/>
      <c r="AA561" s="56"/>
      <c r="AB561" s="56"/>
      <c r="AC561" s="56"/>
      <c r="AD561" s="56"/>
      <c r="AE561" s="56"/>
      <c r="AF561" s="56"/>
      <c r="AG561" s="56"/>
      <c r="AH561" s="56"/>
      <c r="AI561" s="58"/>
      <c r="AJ561" s="56"/>
      <c r="AK561" s="56"/>
      <c r="AL561" s="56"/>
      <c r="AM561" s="57"/>
      <c r="AN561" s="57"/>
      <c r="AO561" s="56"/>
      <c r="AP561" s="56"/>
      <c r="AQ561" s="57"/>
      <c r="AR561" s="57"/>
      <c r="AS561" s="57"/>
      <c r="AT561" s="67">
        <f t="shared" ca="1" si="52"/>
        <v>0</v>
      </c>
      <c r="AU561" s="79" t="str">
        <f t="shared" ca="1" si="53"/>
        <v/>
      </c>
      <c r="AV561" s="79" t="str" cm="1">
        <f t="array" aca="1" ref="AV561" ca="1">IFERROR(_xlfn.IFS($AU561="","",$AU561&lt;=15,"0-15",AND($AU561&gt;=16,$AU561&lt;=30),"16-30",AND($AU561&gt;=31,$AU561&lt;=45),"31-45",AND($AU561&gt;=46,$AU561&lt;=60),"46-60",AND($AU561&gt;=61,$AU561&lt;=90),"61-90",AND($AU561&gt;=91),"&gt; 90",AND($AU561&gt;=2000),""),"")</f>
        <v/>
      </c>
      <c r="AW561" s="79" t="str" cm="1">
        <f t="array" aca="1" ref="AW561" ca="1">IFERROR(_xlfn.IFS(OR($M561="",$AM561=""),"",OR($C561="Offered",$C561="Joined"),($AM561-$M561)-$AT561),"")</f>
        <v/>
      </c>
      <c r="AX561" s="79" t="str" cm="1">
        <f t="array" aca="1" ref="AX561" ca="1">IFERROR(_xlfn.IFS(OR($M561="",$AS561=""),"",$C561="Joined",($AS561-$M561)-$AT561),"")</f>
        <v/>
      </c>
      <c r="AY561" s="67" t="str">
        <f>IFERROR(IF(COUNTIFS('Candidate Tracker'!$E:$E,'Positions Tracker'!$B561,'Candidate Tracker'!$C:$C,"Offer Drop")=0,"",COUNTIFS('Candidate Tracker'!$E:$E,'Positions Tracker'!$B561,'Candidate Tracker'!$C:$C,"Offer Drop")),"")</f>
        <v/>
      </c>
      <c r="AZ561" s="80">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0.88111888111888115</v>
      </c>
      <c r="BA561" s="81" t="str">
        <f>IFERROR(IF(COUNTIFS('Candidate Tracker'!$E:$E,'Positions Tracker'!$B561,'Candidate Tracker'!$I:$I,"Female")=0,"",COUNTIFS('Candidate Tracker'!$E:$E,'Positions Tracker'!$B561,'Candidate Tracker'!$I:$I,"Female")),"")</f>
        <v/>
      </c>
      <c r="BB561" s="81" t="str">
        <f>IFERROR(IF(COUNTIFS('Candidate Tracker'!$E:$E,'Positions Tracker'!$B561,'Candidate Tracker'!$I:$I,"male")=0,"",COUNTIFS('Candidate Tracker'!$E:$E,'Positions Tracker'!$B561,'Candidate Tracker'!$I:$I,"male")),"")</f>
        <v/>
      </c>
      <c r="BC561" s="80" t="str">
        <f>IFERROR(IF(COUNTIFS('Candidate Tracker'!$E:$E,'Positions Tracker'!$B561,'Candidate Tracker'!$C:$C,"&lt;&gt;WIP",'Candidate Tracker'!$C:$C,"&lt;&gt;Hold",'Candidate Tracker'!$C:$C,"&lt;&gt;Cancelled",'Candidate Tracker'!$C:$C,"&lt;&gt;Closed")/COUNTIFS('Candidate Tracker'!$E:$E,'Positions Tracker'!$B561)=0,"",COUNTIFS('Candidate Tracker'!$E:$E,'Positions Tracker'!$B561,'Candidate Tracker'!$C:$C,"&lt;&gt;WIP",'Candidate Tracker'!$C:$C,"&lt;&gt;Hold",'Candidate Tracker'!$C:$C,"&lt;&gt;Cancelled",'Candidate Tracker'!$C:$C,"&lt;&gt;Closed")/COUNTIFS('Candidate Tracker'!$E:$E,'Positions Tracker'!$B561)),"")</f>
        <v/>
      </c>
      <c r="BD561" s="67" t="str">
        <f t="shared" si="48"/>
        <v/>
      </c>
      <c r="BE561" s="67" t="str">
        <f t="shared" si="49"/>
        <v/>
      </c>
      <c r="BF561" s="67" t="str">
        <f t="shared" si="50"/>
        <v/>
      </c>
      <c r="BG561" s="67" t="str">
        <f t="shared" si="51"/>
        <v/>
      </c>
    </row>
    <row r="562" spans="1:59">
      <c r="A562" s="55"/>
      <c r="B562" s="56"/>
      <c r="C562" s="56"/>
      <c r="D562" s="56"/>
      <c r="E562" s="56"/>
      <c r="F562" s="56"/>
      <c r="G562" s="56"/>
      <c r="H562" s="56"/>
      <c r="I562" s="6"/>
      <c r="J562" s="6"/>
      <c r="K562" s="57"/>
      <c r="L562" s="57"/>
      <c r="M562" s="57"/>
      <c r="N562" s="56"/>
      <c r="O562" s="56"/>
      <c r="P562" s="56"/>
      <c r="Q562" s="56"/>
      <c r="R562" s="56"/>
      <c r="S562" s="56"/>
      <c r="T562" s="56"/>
      <c r="U562" s="56"/>
      <c r="V562" s="56"/>
      <c r="W562" s="56"/>
      <c r="X562" s="56"/>
      <c r="Y562" s="56"/>
      <c r="Z562" s="56"/>
      <c r="AA562" s="56"/>
      <c r="AB562" s="56"/>
      <c r="AC562" s="56"/>
      <c r="AD562" s="56"/>
      <c r="AE562" s="56"/>
      <c r="AF562" s="56"/>
      <c r="AG562" s="56"/>
      <c r="AH562" s="56"/>
      <c r="AI562" s="58"/>
      <c r="AJ562" s="56"/>
      <c r="AK562" s="56"/>
      <c r="AL562" s="56"/>
      <c r="AM562" s="57"/>
      <c r="AN562" s="57"/>
      <c r="AO562" s="56"/>
      <c r="AP562" s="56"/>
      <c r="AQ562" s="57"/>
      <c r="AR562" s="57"/>
      <c r="AS562" s="57"/>
      <c r="AT562" s="67">
        <f t="shared" ca="1" si="52"/>
        <v>0</v>
      </c>
      <c r="AU562" s="79" t="str">
        <f t="shared" ca="1" si="53"/>
        <v/>
      </c>
      <c r="AV562" s="79" t="str" cm="1">
        <f t="array" aca="1" ref="AV562" ca="1">IFERROR(_xlfn.IFS($AU562="","",$AU562&lt;=15,"0-15",AND($AU562&gt;=16,$AU562&lt;=30),"16-30",AND($AU562&gt;=31,$AU562&lt;=45),"31-45",AND($AU562&gt;=46,$AU562&lt;=60),"46-60",AND($AU562&gt;=61,$AU562&lt;=90),"61-90",AND($AU562&gt;=91),"&gt; 90",AND($AU562&gt;=2000),""),"")</f>
        <v/>
      </c>
      <c r="AW562" s="79" t="str" cm="1">
        <f t="array" aca="1" ref="AW562" ca="1">IFERROR(_xlfn.IFS(OR($M562="",$AM562=""),"",OR($C562="Offered",$C562="Joined"),($AM562-$M562)-$AT562),"")</f>
        <v/>
      </c>
      <c r="AX562" s="79" t="str" cm="1">
        <f t="array" aca="1" ref="AX562" ca="1">IFERROR(_xlfn.IFS(OR($M562="",$AS562=""),"",$C562="Joined",($AS562-$M562)-$AT562),"")</f>
        <v/>
      </c>
      <c r="AY562" s="67" t="str">
        <f>IFERROR(IF(COUNTIFS('Candidate Tracker'!$E:$E,'Positions Tracker'!$B562,'Candidate Tracker'!$C:$C,"Offer Drop")=0,"",COUNTIFS('Candidate Tracker'!$E:$E,'Positions Tracker'!$B562,'Candidate Tracker'!$C:$C,"Offer Drop")),"")</f>
        <v/>
      </c>
      <c r="AZ562" s="80">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0.88111888111888115</v>
      </c>
      <c r="BA562" s="81" t="str">
        <f>IFERROR(IF(COUNTIFS('Candidate Tracker'!$E:$E,'Positions Tracker'!$B562,'Candidate Tracker'!$I:$I,"Female")=0,"",COUNTIFS('Candidate Tracker'!$E:$E,'Positions Tracker'!$B562,'Candidate Tracker'!$I:$I,"Female")),"")</f>
        <v/>
      </c>
      <c r="BB562" s="81" t="str">
        <f>IFERROR(IF(COUNTIFS('Candidate Tracker'!$E:$E,'Positions Tracker'!$B562,'Candidate Tracker'!$I:$I,"male")=0,"",COUNTIFS('Candidate Tracker'!$E:$E,'Positions Tracker'!$B562,'Candidate Tracker'!$I:$I,"male")),"")</f>
        <v/>
      </c>
      <c r="BC562" s="80" t="str">
        <f>IFERROR(IF(COUNTIFS('Candidate Tracker'!$E:$E,'Positions Tracker'!$B562,'Candidate Tracker'!$C:$C,"&lt;&gt;WIP",'Candidate Tracker'!$C:$C,"&lt;&gt;Hold",'Candidate Tracker'!$C:$C,"&lt;&gt;Cancelled",'Candidate Tracker'!$C:$C,"&lt;&gt;Closed")/COUNTIFS('Candidate Tracker'!$E:$E,'Positions Tracker'!$B562)=0,"",COUNTIFS('Candidate Tracker'!$E:$E,'Positions Tracker'!$B562,'Candidate Tracker'!$C:$C,"&lt;&gt;WIP",'Candidate Tracker'!$C:$C,"&lt;&gt;Hold",'Candidate Tracker'!$C:$C,"&lt;&gt;Cancelled",'Candidate Tracker'!$C:$C,"&lt;&gt;Closed")/COUNTIFS('Candidate Tracker'!$E:$E,'Positions Tracker'!$B562)),"")</f>
        <v/>
      </c>
      <c r="BD562" s="67" t="str">
        <f t="shared" si="48"/>
        <v/>
      </c>
      <c r="BE562" s="67" t="str">
        <f t="shared" si="49"/>
        <v/>
      </c>
      <c r="BF562" s="67" t="str">
        <f t="shared" si="50"/>
        <v/>
      </c>
      <c r="BG562" s="67" t="str">
        <f t="shared" si="51"/>
        <v/>
      </c>
    </row>
    <row r="563" spans="1:59">
      <c r="A563" s="55"/>
      <c r="B563" s="56"/>
      <c r="C563" s="56"/>
      <c r="D563" s="56"/>
      <c r="E563" s="56"/>
      <c r="F563" s="56"/>
      <c r="G563" s="56"/>
      <c r="H563" s="56"/>
      <c r="I563" s="6"/>
      <c r="J563" s="6"/>
      <c r="K563" s="57"/>
      <c r="L563" s="57"/>
      <c r="M563" s="57"/>
      <c r="N563" s="56"/>
      <c r="O563" s="56"/>
      <c r="P563" s="56"/>
      <c r="Q563" s="56"/>
      <c r="R563" s="56"/>
      <c r="S563" s="56"/>
      <c r="T563" s="56"/>
      <c r="U563" s="56"/>
      <c r="V563" s="56"/>
      <c r="W563" s="56"/>
      <c r="X563" s="56"/>
      <c r="Y563" s="56"/>
      <c r="Z563" s="56"/>
      <c r="AA563" s="56"/>
      <c r="AB563" s="56"/>
      <c r="AC563" s="56"/>
      <c r="AD563" s="56"/>
      <c r="AE563" s="56"/>
      <c r="AF563" s="56"/>
      <c r="AG563" s="56"/>
      <c r="AH563" s="56"/>
      <c r="AI563" s="58"/>
      <c r="AJ563" s="56"/>
      <c r="AK563" s="56"/>
      <c r="AL563" s="56"/>
      <c r="AM563" s="57"/>
      <c r="AN563" s="57"/>
      <c r="AO563" s="56"/>
      <c r="AP563" s="56"/>
      <c r="AQ563" s="57"/>
      <c r="AR563" s="57"/>
      <c r="AS563" s="57"/>
      <c r="AT563" s="67">
        <f t="shared" ca="1" si="52"/>
        <v>0</v>
      </c>
      <c r="AU563" s="79" t="str">
        <f t="shared" ca="1" si="53"/>
        <v/>
      </c>
      <c r="AV563" s="79" t="str" cm="1">
        <f t="array" aca="1" ref="AV563" ca="1">IFERROR(_xlfn.IFS($AU563="","",$AU563&lt;=15,"0-15",AND($AU563&gt;=16,$AU563&lt;=30),"16-30",AND($AU563&gt;=31,$AU563&lt;=45),"31-45",AND($AU563&gt;=46,$AU563&lt;=60),"46-60",AND($AU563&gt;=61,$AU563&lt;=90),"61-90",AND($AU563&gt;=91),"&gt; 90",AND($AU563&gt;=2000),""),"")</f>
        <v/>
      </c>
      <c r="AW563" s="79" t="str" cm="1">
        <f t="array" aca="1" ref="AW563" ca="1">IFERROR(_xlfn.IFS(OR($M563="",$AM563=""),"",OR($C563="Offered",$C563="Joined"),($AM563-$M563)-$AT563),"")</f>
        <v/>
      </c>
      <c r="AX563" s="79" t="str" cm="1">
        <f t="array" aca="1" ref="AX563" ca="1">IFERROR(_xlfn.IFS(OR($M563="",$AS563=""),"",$C563="Joined",($AS563-$M563)-$AT563),"")</f>
        <v/>
      </c>
      <c r="AY563" s="67" t="str">
        <f>IFERROR(IF(COUNTIFS('Candidate Tracker'!$E:$E,'Positions Tracker'!$B563,'Candidate Tracker'!$C:$C,"Offer Drop")=0,"",COUNTIFS('Candidate Tracker'!$E:$E,'Positions Tracker'!$B563,'Candidate Tracker'!$C:$C,"Offer Drop")),"")</f>
        <v/>
      </c>
      <c r="AZ563" s="80">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0.88111888111888115</v>
      </c>
      <c r="BA563" s="81" t="str">
        <f>IFERROR(IF(COUNTIFS('Candidate Tracker'!$E:$E,'Positions Tracker'!$B563,'Candidate Tracker'!$I:$I,"Female")=0,"",COUNTIFS('Candidate Tracker'!$E:$E,'Positions Tracker'!$B563,'Candidate Tracker'!$I:$I,"Female")),"")</f>
        <v/>
      </c>
      <c r="BB563" s="81" t="str">
        <f>IFERROR(IF(COUNTIFS('Candidate Tracker'!$E:$E,'Positions Tracker'!$B563,'Candidate Tracker'!$I:$I,"male")=0,"",COUNTIFS('Candidate Tracker'!$E:$E,'Positions Tracker'!$B563,'Candidate Tracker'!$I:$I,"male")),"")</f>
        <v/>
      </c>
      <c r="BC563" s="80" t="str">
        <f>IFERROR(IF(COUNTIFS('Candidate Tracker'!$E:$E,'Positions Tracker'!$B563,'Candidate Tracker'!$C:$C,"&lt;&gt;WIP",'Candidate Tracker'!$C:$C,"&lt;&gt;Hold",'Candidate Tracker'!$C:$C,"&lt;&gt;Cancelled",'Candidate Tracker'!$C:$C,"&lt;&gt;Closed")/COUNTIFS('Candidate Tracker'!$E:$E,'Positions Tracker'!$B563)=0,"",COUNTIFS('Candidate Tracker'!$E:$E,'Positions Tracker'!$B563,'Candidate Tracker'!$C:$C,"&lt;&gt;WIP",'Candidate Tracker'!$C:$C,"&lt;&gt;Hold",'Candidate Tracker'!$C:$C,"&lt;&gt;Cancelled",'Candidate Tracker'!$C:$C,"&lt;&gt;Closed")/COUNTIFS('Candidate Tracker'!$E:$E,'Positions Tracker'!$B563)),"")</f>
        <v/>
      </c>
      <c r="BD563" s="67" t="str">
        <f t="shared" si="48"/>
        <v/>
      </c>
      <c r="BE563" s="67" t="str">
        <f t="shared" si="49"/>
        <v/>
      </c>
      <c r="BF563" s="67" t="str">
        <f t="shared" si="50"/>
        <v/>
      </c>
      <c r="BG563" s="67" t="str">
        <f t="shared" si="51"/>
        <v/>
      </c>
    </row>
    <row r="564" spans="1:59">
      <c r="A564" s="55"/>
      <c r="B564" s="56"/>
      <c r="C564" s="56"/>
      <c r="D564" s="56"/>
      <c r="E564" s="56"/>
      <c r="F564" s="56"/>
      <c r="G564" s="56"/>
      <c r="H564" s="56"/>
      <c r="I564" s="6"/>
      <c r="J564" s="6"/>
      <c r="K564" s="57"/>
      <c r="L564" s="57"/>
      <c r="M564" s="57"/>
      <c r="N564" s="56"/>
      <c r="O564" s="56"/>
      <c r="P564" s="56"/>
      <c r="Q564" s="56"/>
      <c r="R564" s="56"/>
      <c r="S564" s="56"/>
      <c r="T564" s="56"/>
      <c r="U564" s="56"/>
      <c r="V564" s="56"/>
      <c r="W564" s="56"/>
      <c r="X564" s="56"/>
      <c r="Y564" s="56"/>
      <c r="Z564" s="56"/>
      <c r="AA564" s="56"/>
      <c r="AB564" s="56"/>
      <c r="AC564" s="56"/>
      <c r="AD564" s="56"/>
      <c r="AE564" s="56"/>
      <c r="AF564" s="56"/>
      <c r="AG564" s="56"/>
      <c r="AH564" s="56"/>
      <c r="AI564" s="58"/>
      <c r="AJ564" s="56"/>
      <c r="AK564" s="56"/>
      <c r="AL564" s="56"/>
      <c r="AM564" s="57"/>
      <c r="AN564" s="57"/>
      <c r="AO564" s="56"/>
      <c r="AP564" s="56"/>
      <c r="AQ564" s="57"/>
      <c r="AR564" s="57"/>
      <c r="AS564" s="57"/>
      <c r="AT564" s="67">
        <f t="shared" ca="1" si="52"/>
        <v>0</v>
      </c>
      <c r="AU564" s="79" t="str">
        <f t="shared" ca="1" si="53"/>
        <v/>
      </c>
      <c r="AV564" s="79" t="str" cm="1">
        <f t="array" aca="1" ref="AV564" ca="1">IFERROR(_xlfn.IFS($AU564="","",$AU564&lt;=15,"0-15",AND($AU564&gt;=16,$AU564&lt;=30),"16-30",AND($AU564&gt;=31,$AU564&lt;=45),"31-45",AND($AU564&gt;=46,$AU564&lt;=60),"46-60",AND($AU564&gt;=61,$AU564&lt;=90),"61-90",AND($AU564&gt;=91),"&gt; 90",AND($AU564&gt;=2000),""),"")</f>
        <v/>
      </c>
      <c r="AW564" s="79" t="str" cm="1">
        <f t="array" aca="1" ref="AW564" ca="1">IFERROR(_xlfn.IFS(OR($M564="",$AM564=""),"",OR($C564="Offered",$C564="Joined"),($AM564-$M564)-$AT564),"")</f>
        <v/>
      </c>
      <c r="AX564" s="79" t="str" cm="1">
        <f t="array" aca="1" ref="AX564" ca="1">IFERROR(_xlfn.IFS(OR($M564="",$AS564=""),"",$C564="Joined",($AS564-$M564)-$AT564),"")</f>
        <v/>
      </c>
      <c r="AY564" s="67" t="str">
        <f>IFERROR(IF(COUNTIFS('Candidate Tracker'!$E:$E,'Positions Tracker'!$B564,'Candidate Tracker'!$C:$C,"Offer Drop")=0,"",COUNTIFS('Candidate Tracker'!$E:$E,'Positions Tracker'!$B564,'Candidate Tracker'!$C:$C,"Offer Drop")),"")</f>
        <v/>
      </c>
      <c r="AZ564" s="80">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0.88111888111888115</v>
      </c>
      <c r="BA564" s="81" t="str">
        <f>IFERROR(IF(COUNTIFS('Candidate Tracker'!$E:$E,'Positions Tracker'!$B564,'Candidate Tracker'!$I:$I,"Female")=0,"",COUNTIFS('Candidate Tracker'!$E:$E,'Positions Tracker'!$B564,'Candidate Tracker'!$I:$I,"Female")),"")</f>
        <v/>
      </c>
      <c r="BB564" s="81" t="str">
        <f>IFERROR(IF(COUNTIFS('Candidate Tracker'!$E:$E,'Positions Tracker'!$B564,'Candidate Tracker'!$I:$I,"male")=0,"",COUNTIFS('Candidate Tracker'!$E:$E,'Positions Tracker'!$B564,'Candidate Tracker'!$I:$I,"male")),"")</f>
        <v/>
      </c>
      <c r="BC564" s="80" t="str">
        <f>IFERROR(IF(COUNTIFS('Candidate Tracker'!$E:$E,'Positions Tracker'!$B564,'Candidate Tracker'!$C:$C,"&lt;&gt;WIP",'Candidate Tracker'!$C:$C,"&lt;&gt;Hold",'Candidate Tracker'!$C:$C,"&lt;&gt;Cancelled",'Candidate Tracker'!$C:$C,"&lt;&gt;Closed")/COUNTIFS('Candidate Tracker'!$E:$E,'Positions Tracker'!$B564)=0,"",COUNTIFS('Candidate Tracker'!$E:$E,'Positions Tracker'!$B564,'Candidate Tracker'!$C:$C,"&lt;&gt;WIP",'Candidate Tracker'!$C:$C,"&lt;&gt;Hold",'Candidate Tracker'!$C:$C,"&lt;&gt;Cancelled",'Candidate Tracker'!$C:$C,"&lt;&gt;Closed")/COUNTIFS('Candidate Tracker'!$E:$E,'Positions Tracker'!$B564)),"")</f>
        <v/>
      </c>
      <c r="BD564" s="67" t="str">
        <f t="shared" si="48"/>
        <v/>
      </c>
      <c r="BE564" s="67" t="str">
        <f t="shared" si="49"/>
        <v/>
      </c>
      <c r="BF564" s="67" t="str">
        <f t="shared" si="50"/>
        <v/>
      </c>
      <c r="BG564" s="67" t="str">
        <f t="shared" si="51"/>
        <v/>
      </c>
    </row>
    <row r="565" spans="1:59">
      <c r="A565" s="55"/>
      <c r="B565" s="56"/>
      <c r="C565" s="56"/>
      <c r="D565" s="56"/>
      <c r="E565" s="56"/>
      <c r="F565" s="56"/>
      <c r="G565" s="56"/>
      <c r="H565" s="56"/>
      <c r="I565" s="6"/>
      <c r="J565" s="6"/>
      <c r="K565" s="57"/>
      <c r="L565" s="57"/>
      <c r="M565" s="57"/>
      <c r="N565" s="56"/>
      <c r="O565" s="56"/>
      <c r="P565" s="56"/>
      <c r="Q565" s="56"/>
      <c r="R565" s="56"/>
      <c r="S565" s="56"/>
      <c r="T565" s="56"/>
      <c r="U565" s="56"/>
      <c r="V565" s="56"/>
      <c r="W565" s="56"/>
      <c r="X565" s="56"/>
      <c r="Y565" s="56"/>
      <c r="Z565" s="56"/>
      <c r="AA565" s="56"/>
      <c r="AB565" s="56"/>
      <c r="AC565" s="56"/>
      <c r="AD565" s="56"/>
      <c r="AE565" s="56"/>
      <c r="AF565" s="56"/>
      <c r="AG565" s="56"/>
      <c r="AH565" s="56"/>
      <c r="AI565" s="58"/>
      <c r="AJ565" s="56"/>
      <c r="AK565" s="56"/>
      <c r="AL565" s="56"/>
      <c r="AM565" s="57"/>
      <c r="AN565" s="57"/>
      <c r="AO565" s="56"/>
      <c r="AP565" s="56"/>
      <c r="AQ565" s="57"/>
      <c r="AR565" s="57"/>
      <c r="AS565" s="57"/>
      <c r="AT565" s="67">
        <f t="shared" ca="1" si="52"/>
        <v>0</v>
      </c>
      <c r="AU565" s="79" t="str">
        <f t="shared" ca="1" si="53"/>
        <v/>
      </c>
      <c r="AV565" s="79" t="str" cm="1">
        <f t="array" aca="1" ref="AV565" ca="1">IFERROR(_xlfn.IFS($AU565="","",$AU565&lt;=15,"0-15",AND($AU565&gt;=16,$AU565&lt;=30),"16-30",AND($AU565&gt;=31,$AU565&lt;=45),"31-45",AND($AU565&gt;=46,$AU565&lt;=60),"46-60",AND($AU565&gt;=61,$AU565&lt;=90),"61-90",AND($AU565&gt;=91),"&gt; 90",AND($AU565&gt;=2000),""),"")</f>
        <v/>
      </c>
      <c r="AW565" s="79" t="str" cm="1">
        <f t="array" aca="1" ref="AW565" ca="1">IFERROR(_xlfn.IFS(OR($M565="",$AM565=""),"",OR($C565="Offered",$C565="Joined"),($AM565-$M565)-$AT565),"")</f>
        <v/>
      </c>
      <c r="AX565" s="79" t="str" cm="1">
        <f t="array" aca="1" ref="AX565" ca="1">IFERROR(_xlfn.IFS(OR($M565="",$AS565=""),"",$C565="Joined",($AS565-$M565)-$AT565),"")</f>
        <v/>
      </c>
      <c r="AY565" s="67" t="str">
        <f>IFERROR(IF(COUNTIFS('Candidate Tracker'!$E:$E,'Positions Tracker'!$B565,'Candidate Tracker'!$C:$C,"Offer Drop")=0,"",COUNTIFS('Candidate Tracker'!$E:$E,'Positions Tracker'!$B565,'Candidate Tracker'!$C:$C,"Offer Drop")),"")</f>
        <v/>
      </c>
      <c r="AZ565" s="80">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0.88111888111888115</v>
      </c>
      <c r="BA565" s="81" t="str">
        <f>IFERROR(IF(COUNTIFS('Candidate Tracker'!$E:$E,'Positions Tracker'!$B565,'Candidate Tracker'!$I:$I,"Female")=0,"",COUNTIFS('Candidate Tracker'!$E:$E,'Positions Tracker'!$B565,'Candidate Tracker'!$I:$I,"Female")),"")</f>
        <v/>
      </c>
      <c r="BB565" s="81" t="str">
        <f>IFERROR(IF(COUNTIFS('Candidate Tracker'!$E:$E,'Positions Tracker'!$B565,'Candidate Tracker'!$I:$I,"male")=0,"",COUNTIFS('Candidate Tracker'!$E:$E,'Positions Tracker'!$B565,'Candidate Tracker'!$I:$I,"male")),"")</f>
        <v/>
      </c>
      <c r="BC565" s="80" t="str">
        <f>IFERROR(IF(COUNTIFS('Candidate Tracker'!$E:$E,'Positions Tracker'!$B565,'Candidate Tracker'!$C:$C,"&lt;&gt;WIP",'Candidate Tracker'!$C:$C,"&lt;&gt;Hold",'Candidate Tracker'!$C:$C,"&lt;&gt;Cancelled",'Candidate Tracker'!$C:$C,"&lt;&gt;Closed")/COUNTIFS('Candidate Tracker'!$E:$E,'Positions Tracker'!$B565)=0,"",COUNTIFS('Candidate Tracker'!$E:$E,'Positions Tracker'!$B565,'Candidate Tracker'!$C:$C,"&lt;&gt;WIP",'Candidate Tracker'!$C:$C,"&lt;&gt;Hold",'Candidate Tracker'!$C:$C,"&lt;&gt;Cancelled",'Candidate Tracker'!$C:$C,"&lt;&gt;Closed")/COUNTIFS('Candidate Tracker'!$E:$E,'Positions Tracker'!$B565)),"")</f>
        <v/>
      </c>
      <c r="BD565" s="67" t="str">
        <f t="shared" si="48"/>
        <v/>
      </c>
      <c r="BE565" s="67" t="str">
        <f t="shared" si="49"/>
        <v/>
      </c>
      <c r="BF565" s="67" t="str">
        <f t="shared" si="50"/>
        <v/>
      </c>
      <c r="BG565" s="67" t="str">
        <f t="shared" si="51"/>
        <v/>
      </c>
    </row>
    <row r="566" spans="1:59">
      <c r="A566" s="55"/>
      <c r="B566" s="56"/>
      <c r="C566" s="56"/>
      <c r="D566" s="56"/>
      <c r="E566" s="56"/>
      <c r="F566" s="56"/>
      <c r="G566" s="56"/>
      <c r="H566" s="56"/>
      <c r="I566" s="6"/>
      <c r="J566" s="6"/>
      <c r="K566" s="57"/>
      <c r="L566" s="57"/>
      <c r="M566" s="57"/>
      <c r="N566" s="56"/>
      <c r="O566" s="56"/>
      <c r="P566" s="56"/>
      <c r="Q566" s="56"/>
      <c r="R566" s="56"/>
      <c r="S566" s="56"/>
      <c r="T566" s="56"/>
      <c r="U566" s="56"/>
      <c r="V566" s="56"/>
      <c r="W566" s="56"/>
      <c r="X566" s="56"/>
      <c r="Y566" s="56"/>
      <c r="Z566" s="56"/>
      <c r="AA566" s="56"/>
      <c r="AB566" s="56"/>
      <c r="AC566" s="56"/>
      <c r="AD566" s="56"/>
      <c r="AE566" s="56"/>
      <c r="AF566" s="56"/>
      <c r="AG566" s="56"/>
      <c r="AH566" s="56"/>
      <c r="AI566" s="58"/>
      <c r="AJ566" s="56"/>
      <c r="AK566" s="56"/>
      <c r="AL566" s="56"/>
      <c r="AM566" s="57"/>
      <c r="AN566" s="57"/>
      <c r="AO566" s="56"/>
      <c r="AP566" s="56"/>
      <c r="AQ566" s="57"/>
      <c r="AR566" s="57"/>
      <c r="AS566" s="57"/>
      <c r="AT566" s="67">
        <f t="shared" ca="1" si="52"/>
        <v>0</v>
      </c>
      <c r="AU566" s="79" t="str">
        <f t="shared" ca="1" si="53"/>
        <v/>
      </c>
      <c r="AV566" s="79" t="str" cm="1">
        <f t="array" aca="1" ref="AV566" ca="1">IFERROR(_xlfn.IFS($AU566="","",$AU566&lt;=15,"0-15",AND($AU566&gt;=16,$AU566&lt;=30),"16-30",AND($AU566&gt;=31,$AU566&lt;=45),"31-45",AND($AU566&gt;=46,$AU566&lt;=60),"46-60",AND($AU566&gt;=61,$AU566&lt;=90),"61-90",AND($AU566&gt;=91),"&gt; 90",AND($AU566&gt;=2000),""),"")</f>
        <v/>
      </c>
      <c r="AW566" s="79" t="str" cm="1">
        <f t="array" aca="1" ref="AW566" ca="1">IFERROR(_xlfn.IFS(OR($M566="",$AM566=""),"",OR($C566="Offered",$C566="Joined"),($AM566-$M566)-$AT566),"")</f>
        <v/>
      </c>
      <c r="AX566" s="79" t="str" cm="1">
        <f t="array" aca="1" ref="AX566" ca="1">IFERROR(_xlfn.IFS(OR($M566="",$AS566=""),"",$C566="Joined",($AS566-$M566)-$AT566),"")</f>
        <v/>
      </c>
      <c r="AY566" s="67" t="str">
        <f>IFERROR(IF(COUNTIFS('Candidate Tracker'!$E:$E,'Positions Tracker'!$B566,'Candidate Tracker'!$C:$C,"Offer Drop")=0,"",COUNTIFS('Candidate Tracker'!$E:$E,'Positions Tracker'!$B566,'Candidate Tracker'!$C:$C,"Offer Drop")),"")</f>
        <v/>
      </c>
      <c r="AZ566" s="80">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0.88111888111888115</v>
      </c>
      <c r="BA566" s="81" t="str">
        <f>IFERROR(IF(COUNTIFS('Candidate Tracker'!$E:$E,'Positions Tracker'!$B566,'Candidate Tracker'!$I:$I,"Female")=0,"",COUNTIFS('Candidate Tracker'!$E:$E,'Positions Tracker'!$B566,'Candidate Tracker'!$I:$I,"Female")),"")</f>
        <v/>
      </c>
      <c r="BB566" s="81" t="str">
        <f>IFERROR(IF(COUNTIFS('Candidate Tracker'!$E:$E,'Positions Tracker'!$B566,'Candidate Tracker'!$I:$I,"male")=0,"",COUNTIFS('Candidate Tracker'!$E:$E,'Positions Tracker'!$B566,'Candidate Tracker'!$I:$I,"male")),"")</f>
        <v/>
      </c>
      <c r="BC566" s="80" t="str">
        <f>IFERROR(IF(COUNTIFS('Candidate Tracker'!$E:$E,'Positions Tracker'!$B566,'Candidate Tracker'!$C:$C,"&lt;&gt;WIP",'Candidate Tracker'!$C:$C,"&lt;&gt;Hold",'Candidate Tracker'!$C:$C,"&lt;&gt;Cancelled",'Candidate Tracker'!$C:$C,"&lt;&gt;Closed")/COUNTIFS('Candidate Tracker'!$E:$E,'Positions Tracker'!$B566)=0,"",COUNTIFS('Candidate Tracker'!$E:$E,'Positions Tracker'!$B566,'Candidate Tracker'!$C:$C,"&lt;&gt;WIP",'Candidate Tracker'!$C:$C,"&lt;&gt;Hold",'Candidate Tracker'!$C:$C,"&lt;&gt;Cancelled",'Candidate Tracker'!$C:$C,"&lt;&gt;Closed")/COUNTIFS('Candidate Tracker'!$E:$E,'Positions Tracker'!$B566)),"")</f>
        <v/>
      </c>
      <c r="BD566" s="67" t="str">
        <f t="shared" si="48"/>
        <v/>
      </c>
      <c r="BE566" s="67" t="str">
        <f t="shared" si="49"/>
        <v/>
      </c>
      <c r="BF566" s="67" t="str">
        <f t="shared" si="50"/>
        <v/>
      </c>
      <c r="BG566" s="67" t="str">
        <f t="shared" si="51"/>
        <v/>
      </c>
    </row>
    <row r="567" spans="1:59">
      <c r="A567" s="55"/>
      <c r="B567" s="56"/>
      <c r="C567" s="56"/>
      <c r="D567" s="56"/>
      <c r="E567" s="56"/>
      <c r="F567" s="56"/>
      <c r="G567" s="56"/>
      <c r="H567" s="56"/>
      <c r="I567" s="6"/>
      <c r="J567" s="6"/>
      <c r="K567" s="57"/>
      <c r="L567" s="57"/>
      <c r="M567" s="57"/>
      <c r="N567" s="56"/>
      <c r="O567" s="56"/>
      <c r="P567" s="56"/>
      <c r="Q567" s="56"/>
      <c r="R567" s="56"/>
      <c r="S567" s="56"/>
      <c r="T567" s="56"/>
      <c r="U567" s="56"/>
      <c r="V567" s="56"/>
      <c r="W567" s="56"/>
      <c r="X567" s="56"/>
      <c r="Y567" s="56"/>
      <c r="Z567" s="56"/>
      <c r="AA567" s="56"/>
      <c r="AB567" s="56"/>
      <c r="AC567" s="56"/>
      <c r="AD567" s="56"/>
      <c r="AE567" s="56"/>
      <c r="AF567" s="56"/>
      <c r="AG567" s="56"/>
      <c r="AH567" s="56"/>
      <c r="AI567" s="58"/>
      <c r="AJ567" s="56"/>
      <c r="AK567" s="56"/>
      <c r="AL567" s="56"/>
      <c r="AM567" s="57"/>
      <c r="AN567" s="57"/>
      <c r="AO567" s="56"/>
      <c r="AP567" s="56"/>
      <c r="AQ567" s="57"/>
      <c r="AR567" s="57"/>
      <c r="AS567" s="57"/>
      <c r="AT567" s="67">
        <f t="shared" ca="1" si="52"/>
        <v>0</v>
      </c>
      <c r="AU567" s="79" t="str">
        <f t="shared" ca="1" si="53"/>
        <v/>
      </c>
      <c r="AV567" s="79" t="str" cm="1">
        <f t="array" aca="1" ref="AV567" ca="1">IFERROR(_xlfn.IFS($AU567="","",$AU567&lt;=15,"0-15",AND($AU567&gt;=16,$AU567&lt;=30),"16-30",AND($AU567&gt;=31,$AU567&lt;=45),"31-45",AND($AU567&gt;=46,$AU567&lt;=60),"46-60",AND($AU567&gt;=61,$AU567&lt;=90),"61-90",AND($AU567&gt;=91),"&gt; 90",AND($AU567&gt;=2000),""),"")</f>
        <v/>
      </c>
      <c r="AW567" s="79" t="str" cm="1">
        <f t="array" aca="1" ref="AW567" ca="1">IFERROR(_xlfn.IFS(OR($M567="",$AM567=""),"",OR($C567="Offered",$C567="Joined"),($AM567-$M567)-$AT567),"")</f>
        <v/>
      </c>
      <c r="AX567" s="79" t="str" cm="1">
        <f t="array" aca="1" ref="AX567" ca="1">IFERROR(_xlfn.IFS(OR($M567="",$AS567=""),"",$C567="Joined",($AS567-$M567)-$AT567),"")</f>
        <v/>
      </c>
      <c r="AY567" s="67" t="str">
        <f>IFERROR(IF(COUNTIFS('Candidate Tracker'!$E:$E,'Positions Tracker'!$B567,'Candidate Tracker'!$C:$C,"Offer Drop")=0,"",COUNTIFS('Candidate Tracker'!$E:$E,'Positions Tracker'!$B567,'Candidate Tracker'!$C:$C,"Offer Drop")),"")</f>
        <v/>
      </c>
      <c r="AZ567" s="80">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0.88111888111888115</v>
      </c>
      <c r="BA567" s="81" t="str">
        <f>IFERROR(IF(COUNTIFS('Candidate Tracker'!$E:$E,'Positions Tracker'!$B567,'Candidate Tracker'!$I:$I,"Female")=0,"",COUNTIFS('Candidate Tracker'!$E:$E,'Positions Tracker'!$B567,'Candidate Tracker'!$I:$I,"Female")),"")</f>
        <v/>
      </c>
      <c r="BB567" s="81" t="str">
        <f>IFERROR(IF(COUNTIFS('Candidate Tracker'!$E:$E,'Positions Tracker'!$B567,'Candidate Tracker'!$I:$I,"male")=0,"",COUNTIFS('Candidate Tracker'!$E:$E,'Positions Tracker'!$B567,'Candidate Tracker'!$I:$I,"male")),"")</f>
        <v/>
      </c>
      <c r="BC567" s="80" t="str">
        <f>IFERROR(IF(COUNTIFS('Candidate Tracker'!$E:$E,'Positions Tracker'!$B567,'Candidate Tracker'!$C:$C,"&lt;&gt;WIP",'Candidate Tracker'!$C:$C,"&lt;&gt;Hold",'Candidate Tracker'!$C:$C,"&lt;&gt;Cancelled",'Candidate Tracker'!$C:$C,"&lt;&gt;Closed")/COUNTIFS('Candidate Tracker'!$E:$E,'Positions Tracker'!$B567)=0,"",COUNTIFS('Candidate Tracker'!$E:$E,'Positions Tracker'!$B567,'Candidate Tracker'!$C:$C,"&lt;&gt;WIP",'Candidate Tracker'!$C:$C,"&lt;&gt;Hold",'Candidate Tracker'!$C:$C,"&lt;&gt;Cancelled",'Candidate Tracker'!$C:$C,"&lt;&gt;Closed")/COUNTIFS('Candidate Tracker'!$E:$E,'Positions Tracker'!$B567)),"")</f>
        <v/>
      </c>
      <c r="BD567" s="67" t="str">
        <f t="shared" si="48"/>
        <v/>
      </c>
      <c r="BE567" s="67" t="str">
        <f t="shared" si="49"/>
        <v/>
      </c>
      <c r="BF567" s="67" t="str">
        <f t="shared" si="50"/>
        <v/>
      </c>
      <c r="BG567" s="67" t="str">
        <f t="shared" si="51"/>
        <v/>
      </c>
    </row>
    <row r="568" spans="1:59">
      <c r="A568" s="55"/>
      <c r="B568" s="56"/>
      <c r="C568" s="56"/>
      <c r="D568" s="56"/>
      <c r="E568" s="56"/>
      <c r="F568" s="56"/>
      <c r="G568" s="56"/>
      <c r="H568" s="56"/>
      <c r="I568" s="6"/>
      <c r="J568" s="6"/>
      <c r="K568" s="57"/>
      <c r="L568" s="57"/>
      <c r="M568" s="57"/>
      <c r="N568" s="56"/>
      <c r="O568" s="56"/>
      <c r="P568" s="56"/>
      <c r="Q568" s="56"/>
      <c r="R568" s="56"/>
      <c r="S568" s="56"/>
      <c r="T568" s="56"/>
      <c r="U568" s="56"/>
      <c r="V568" s="56"/>
      <c r="W568" s="56"/>
      <c r="X568" s="56"/>
      <c r="Y568" s="56"/>
      <c r="Z568" s="56"/>
      <c r="AA568" s="56"/>
      <c r="AB568" s="56"/>
      <c r="AC568" s="56"/>
      <c r="AD568" s="56"/>
      <c r="AE568" s="56"/>
      <c r="AF568" s="56"/>
      <c r="AG568" s="56"/>
      <c r="AH568" s="56"/>
      <c r="AI568" s="58"/>
      <c r="AJ568" s="56"/>
      <c r="AK568" s="56"/>
      <c r="AL568" s="56"/>
      <c r="AM568" s="57"/>
      <c r="AN568" s="57"/>
      <c r="AO568" s="56"/>
      <c r="AP568" s="56"/>
      <c r="AQ568" s="57"/>
      <c r="AR568" s="57"/>
      <c r="AS568" s="57"/>
      <c r="AT568" s="67">
        <f t="shared" ca="1" si="52"/>
        <v>0</v>
      </c>
      <c r="AU568" s="79" t="str">
        <f t="shared" ca="1" si="53"/>
        <v/>
      </c>
      <c r="AV568" s="79" t="str" cm="1">
        <f t="array" aca="1" ref="AV568" ca="1">IFERROR(_xlfn.IFS($AU568="","",$AU568&lt;=15,"0-15",AND($AU568&gt;=16,$AU568&lt;=30),"16-30",AND($AU568&gt;=31,$AU568&lt;=45),"31-45",AND($AU568&gt;=46,$AU568&lt;=60),"46-60",AND($AU568&gt;=61,$AU568&lt;=90),"61-90",AND($AU568&gt;=91),"&gt; 90",AND($AU568&gt;=2000),""),"")</f>
        <v/>
      </c>
      <c r="AW568" s="79" t="str" cm="1">
        <f t="array" aca="1" ref="AW568" ca="1">IFERROR(_xlfn.IFS(OR($M568="",$AM568=""),"",OR($C568="Offered",$C568="Joined"),($AM568-$M568)-$AT568),"")</f>
        <v/>
      </c>
      <c r="AX568" s="79" t="str" cm="1">
        <f t="array" aca="1" ref="AX568" ca="1">IFERROR(_xlfn.IFS(OR($M568="",$AS568=""),"",$C568="Joined",($AS568-$M568)-$AT568),"")</f>
        <v/>
      </c>
      <c r="AY568" s="67" t="str">
        <f>IFERROR(IF(COUNTIFS('Candidate Tracker'!$E:$E,'Positions Tracker'!$B568,'Candidate Tracker'!$C:$C,"Offer Drop")=0,"",COUNTIFS('Candidate Tracker'!$E:$E,'Positions Tracker'!$B568,'Candidate Tracker'!$C:$C,"Offer Drop")),"")</f>
        <v/>
      </c>
      <c r="AZ568" s="80">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0.88111888111888115</v>
      </c>
      <c r="BA568" s="81" t="str">
        <f>IFERROR(IF(COUNTIFS('Candidate Tracker'!$E:$E,'Positions Tracker'!$B568,'Candidate Tracker'!$I:$I,"Female")=0,"",COUNTIFS('Candidate Tracker'!$E:$E,'Positions Tracker'!$B568,'Candidate Tracker'!$I:$I,"Female")),"")</f>
        <v/>
      </c>
      <c r="BB568" s="81" t="str">
        <f>IFERROR(IF(COUNTIFS('Candidate Tracker'!$E:$E,'Positions Tracker'!$B568,'Candidate Tracker'!$I:$I,"male")=0,"",COUNTIFS('Candidate Tracker'!$E:$E,'Positions Tracker'!$B568,'Candidate Tracker'!$I:$I,"male")),"")</f>
        <v/>
      </c>
      <c r="BC568" s="80" t="str">
        <f>IFERROR(IF(COUNTIFS('Candidate Tracker'!$E:$E,'Positions Tracker'!$B568,'Candidate Tracker'!$C:$C,"&lt;&gt;WIP",'Candidate Tracker'!$C:$C,"&lt;&gt;Hold",'Candidate Tracker'!$C:$C,"&lt;&gt;Cancelled",'Candidate Tracker'!$C:$C,"&lt;&gt;Closed")/COUNTIFS('Candidate Tracker'!$E:$E,'Positions Tracker'!$B568)=0,"",COUNTIFS('Candidate Tracker'!$E:$E,'Positions Tracker'!$B568,'Candidate Tracker'!$C:$C,"&lt;&gt;WIP",'Candidate Tracker'!$C:$C,"&lt;&gt;Hold",'Candidate Tracker'!$C:$C,"&lt;&gt;Cancelled",'Candidate Tracker'!$C:$C,"&lt;&gt;Closed")/COUNTIFS('Candidate Tracker'!$E:$E,'Positions Tracker'!$B568)),"")</f>
        <v/>
      </c>
      <c r="BD568" s="67" t="str">
        <f t="shared" si="48"/>
        <v/>
      </c>
      <c r="BE568" s="67" t="str">
        <f t="shared" si="49"/>
        <v/>
      </c>
      <c r="BF568" s="67" t="str">
        <f t="shared" si="50"/>
        <v/>
      </c>
      <c r="BG568" s="67" t="str">
        <f t="shared" si="51"/>
        <v/>
      </c>
    </row>
    <row r="569" spans="1:59">
      <c r="A569" s="55"/>
      <c r="B569" s="56"/>
      <c r="C569" s="56"/>
      <c r="D569" s="56"/>
      <c r="E569" s="56"/>
      <c r="F569" s="56"/>
      <c r="G569" s="56"/>
      <c r="H569" s="56"/>
      <c r="I569" s="6"/>
      <c r="J569" s="6"/>
      <c r="K569" s="57"/>
      <c r="L569" s="57"/>
      <c r="M569" s="57"/>
      <c r="N569" s="56"/>
      <c r="O569" s="56"/>
      <c r="P569" s="56"/>
      <c r="Q569" s="56"/>
      <c r="R569" s="56"/>
      <c r="S569" s="56"/>
      <c r="T569" s="56"/>
      <c r="U569" s="56"/>
      <c r="V569" s="56"/>
      <c r="W569" s="56"/>
      <c r="X569" s="56"/>
      <c r="Y569" s="56"/>
      <c r="Z569" s="56"/>
      <c r="AA569" s="56"/>
      <c r="AB569" s="56"/>
      <c r="AC569" s="56"/>
      <c r="AD569" s="56"/>
      <c r="AE569" s="56"/>
      <c r="AF569" s="56"/>
      <c r="AG569" s="56"/>
      <c r="AH569" s="56"/>
      <c r="AI569" s="58"/>
      <c r="AJ569" s="56"/>
      <c r="AK569" s="56"/>
      <c r="AL569" s="56"/>
      <c r="AM569" s="57"/>
      <c r="AN569" s="57"/>
      <c r="AO569" s="56"/>
      <c r="AP569" s="56"/>
      <c r="AQ569" s="57"/>
      <c r="AR569" s="57"/>
      <c r="AS569" s="57"/>
      <c r="AT569" s="67">
        <f t="shared" ca="1" si="52"/>
        <v>0</v>
      </c>
      <c r="AU569" s="79" t="str">
        <f t="shared" ca="1" si="53"/>
        <v/>
      </c>
      <c r="AV569" s="79" t="str" cm="1">
        <f t="array" aca="1" ref="AV569" ca="1">IFERROR(_xlfn.IFS($AU569="","",$AU569&lt;=15,"0-15",AND($AU569&gt;=16,$AU569&lt;=30),"16-30",AND($AU569&gt;=31,$AU569&lt;=45),"31-45",AND($AU569&gt;=46,$AU569&lt;=60),"46-60",AND($AU569&gt;=61,$AU569&lt;=90),"61-90",AND($AU569&gt;=91),"&gt; 90",AND($AU569&gt;=2000),""),"")</f>
        <v/>
      </c>
      <c r="AW569" s="79" t="str" cm="1">
        <f t="array" aca="1" ref="AW569" ca="1">IFERROR(_xlfn.IFS(OR($M569="",$AM569=""),"",OR($C569="Offered",$C569="Joined"),($AM569-$M569)-$AT569),"")</f>
        <v/>
      </c>
      <c r="AX569" s="79" t="str" cm="1">
        <f t="array" aca="1" ref="AX569" ca="1">IFERROR(_xlfn.IFS(OR($M569="",$AS569=""),"",$C569="Joined",($AS569-$M569)-$AT569),"")</f>
        <v/>
      </c>
      <c r="AY569" s="67" t="str">
        <f>IFERROR(IF(COUNTIFS('Candidate Tracker'!$E:$E,'Positions Tracker'!$B569,'Candidate Tracker'!$C:$C,"Offer Drop")=0,"",COUNTIFS('Candidate Tracker'!$E:$E,'Positions Tracker'!$B569,'Candidate Tracker'!$C:$C,"Offer Drop")),"")</f>
        <v/>
      </c>
      <c r="AZ569" s="80">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0.88111888111888115</v>
      </c>
      <c r="BA569" s="81" t="str">
        <f>IFERROR(IF(COUNTIFS('Candidate Tracker'!$E:$E,'Positions Tracker'!$B569,'Candidate Tracker'!$I:$I,"Female")=0,"",COUNTIFS('Candidate Tracker'!$E:$E,'Positions Tracker'!$B569,'Candidate Tracker'!$I:$I,"Female")),"")</f>
        <v/>
      </c>
      <c r="BB569" s="81" t="str">
        <f>IFERROR(IF(COUNTIFS('Candidate Tracker'!$E:$E,'Positions Tracker'!$B569,'Candidate Tracker'!$I:$I,"male")=0,"",COUNTIFS('Candidate Tracker'!$E:$E,'Positions Tracker'!$B569,'Candidate Tracker'!$I:$I,"male")),"")</f>
        <v/>
      </c>
      <c r="BC569" s="80" t="str">
        <f>IFERROR(IF(COUNTIFS('Candidate Tracker'!$E:$E,'Positions Tracker'!$B569,'Candidate Tracker'!$C:$C,"&lt;&gt;WIP",'Candidate Tracker'!$C:$C,"&lt;&gt;Hold",'Candidate Tracker'!$C:$C,"&lt;&gt;Cancelled",'Candidate Tracker'!$C:$C,"&lt;&gt;Closed")/COUNTIFS('Candidate Tracker'!$E:$E,'Positions Tracker'!$B569)=0,"",COUNTIFS('Candidate Tracker'!$E:$E,'Positions Tracker'!$B569,'Candidate Tracker'!$C:$C,"&lt;&gt;WIP",'Candidate Tracker'!$C:$C,"&lt;&gt;Hold",'Candidate Tracker'!$C:$C,"&lt;&gt;Cancelled",'Candidate Tracker'!$C:$C,"&lt;&gt;Closed")/COUNTIFS('Candidate Tracker'!$E:$E,'Positions Tracker'!$B569)),"")</f>
        <v/>
      </c>
      <c r="BD569" s="67" t="str">
        <f t="shared" si="48"/>
        <v/>
      </c>
      <c r="BE569" s="67" t="str">
        <f t="shared" si="49"/>
        <v/>
      </c>
      <c r="BF569" s="67" t="str">
        <f t="shared" si="50"/>
        <v/>
      </c>
      <c r="BG569" s="67" t="str">
        <f t="shared" si="51"/>
        <v/>
      </c>
    </row>
    <row r="570" spans="1:59">
      <c r="A570" s="55"/>
      <c r="B570" s="56"/>
      <c r="C570" s="56"/>
      <c r="D570" s="56"/>
      <c r="E570" s="56"/>
      <c r="F570" s="56"/>
      <c r="G570" s="56"/>
      <c r="H570" s="56"/>
      <c r="I570" s="6"/>
      <c r="J570" s="6"/>
      <c r="K570" s="57"/>
      <c r="L570" s="57"/>
      <c r="M570" s="57"/>
      <c r="N570" s="56"/>
      <c r="O570" s="56"/>
      <c r="P570" s="56"/>
      <c r="Q570" s="56"/>
      <c r="R570" s="56"/>
      <c r="S570" s="56"/>
      <c r="T570" s="56"/>
      <c r="U570" s="56"/>
      <c r="V570" s="56"/>
      <c r="W570" s="56"/>
      <c r="X570" s="56"/>
      <c r="Y570" s="56"/>
      <c r="Z570" s="56"/>
      <c r="AA570" s="56"/>
      <c r="AB570" s="56"/>
      <c r="AC570" s="56"/>
      <c r="AD570" s="56"/>
      <c r="AE570" s="56"/>
      <c r="AF570" s="56"/>
      <c r="AG570" s="56"/>
      <c r="AH570" s="56"/>
      <c r="AI570" s="58"/>
      <c r="AJ570" s="56"/>
      <c r="AK570" s="56"/>
      <c r="AL570" s="56"/>
      <c r="AM570" s="57"/>
      <c r="AN570" s="57"/>
      <c r="AO570" s="56"/>
      <c r="AP570" s="56"/>
      <c r="AQ570" s="57"/>
      <c r="AR570" s="57"/>
      <c r="AS570" s="57"/>
      <c r="AT570" s="67">
        <f t="shared" ca="1" si="52"/>
        <v>0</v>
      </c>
      <c r="AU570" s="79" t="str">
        <f t="shared" ca="1" si="53"/>
        <v/>
      </c>
      <c r="AV570" s="79" t="str" cm="1">
        <f t="array" aca="1" ref="AV570" ca="1">IFERROR(_xlfn.IFS($AU570="","",$AU570&lt;=15,"0-15",AND($AU570&gt;=16,$AU570&lt;=30),"16-30",AND($AU570&gt;=31,$AU570&lt;=45),"31-45",AND($AU570&gt;=46,$AU570&lt;=60),"46-60",AND($AU570&gt;=61,$AU570&lt;=90),"61-90",AND($AU570&gt;=91),"&gt; 90",AND($AU570&gt;=2000),""),"")</f>
        <v/>
      </c>
      <c r="AW570" s="79" t="str" cm="1">
        <f t="array" aca="1" ref="AW570" ca="1">IFERROR(_xlfn.IFS(OR($M570="",$AM570=""),"",OR($C570="Offered",$C570="Joined"),($AM570-$M570)-$AT570),"")</f>
        <v/>
      </c>
      <c r="AX570" s="79" t="str" cm="1">
        <f t="array" aca="1" ref="AX570" ca="1">IFERROR(_xlfn.IFS(OR($M570="",$AS570=""),"",$C570="Joined",($AS570-$M570)-$AT570),"")</f>
        <v/>
      </c>
      <c r="AY570" s="67" t="str">
        <f>IFERROR(IF(COUNTIFS('Candidate Tracker'!$E:$E,'Positions Tracker'!$B570,'Candidate Tracker'!$C:$C,"Offer Drop")=0,"",COUNTIFS('Candidate Tracker'!$E:$E,'Positions Tracker'!$B570,'Candidate Tracker'!$C:$C,"Offer Drop")),"")</f>
        <v/>
      </c>
      <c r="AZ570" s="80">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0.88111888111888115</v>
      </c>
      <c r="BA570" s="81" t="str">
        <f>IFERROR(IF(COUNTIFS('Candidate Tracker'!$E:$E,'Positions Tracker'!$B570,'Candidate Tracker'!$I:$I,"Female")=0,"",COUNTIFS('Candidate Tracker'!$E:$E,'Positions Tracker'!$B570,'Candidate Tracker'!$I:$I,"Female")),"")</f>
        <v/>
      </c>
      <c r="BB570" s="81" t="str">
        <f>IFERROR(IF(COUNTIFS('Candidate Tracker'!$E:$E,'Positions Tracker'!$B570,'Candidate Tracker'!$I:$I,"male")=0,"",COUNTIFS('Candidate Tracker'!$E:$E,'Positions Tracker'!$B570,'Candidate Tracker'!$I:$I,"male")),"")</f>
        <v/>
      </c>
      <c r="BC570" s="80" t="str">
        <f>IFERROR(IF(COUNTIFS('Candidate Tracker'!$E:$E,'Positions Tracker'!$B570,'Candidate Tracker'!$C:$C,"&lt;&gt;WIP",'Candidate Tracker'!$C:$C,"&lt;&gt;Hold",'Candidate Tracker'!$C:$C,"&lt;&gt;Cancelled",'Candidate Tracker'!$C:$C,"&lt;&gt;Closed")/COUNTIFS('Candidate Tracker'!$E:$E,'Positions Tracker'!$B570)=0,"",COUNTIFS('Candidate Tracker'!$E:$E,'Positions Tracker'!$B570,'Candidate Tracker'!$C:$C,"&lt;&gt;WIP",'Candidate Tracker'!$C:$C,"&lt;&gt;Hold",'Candidate Tracker'!$C:$C,"&lt;&gt;Cancelled",'Candidate Tracker'!$C:$C,"&lt;&gt;Closed")/COUNTIFS('Candidate Tracker'!$E:$E,'Positions Tracker'!$B570)),"")</f>
        <v/>
      </c>
      <c r="BD570" s="67" t="str">
        <f t="shared" si="48"/>
        <v/>
      </c>
      <c r="BE570" s="67" t="str">
        <f t="shared" si="49"/>
        <v/>
      </c>
      <c r="BF570" s="67" t="str">
        <f t="shared" si="50"/>
        <v/>
      </c>
      <c r="BG570" s="67" t="str">
        <f t="shared" si="51"/>
        <v/>
      </c>
    </row>
    <row r="571" spans="1:59">
      <c r="A571" s="55"/>
      <c r="B571" s="56"/>
      <c r="C571" s="56"/>
      <c r="D571" s="56"/>
      <c r="E571" s="56"/>
      <c r="F571" s="56"/>
      <c r="G571" s="56"/>
      <c r="H571" s="56"/>
      <c r="I571" s="6"/>
      <c r="J571" s="6"/>
      <c r="K571" s="57"/>
      <c r="L571" s="57"/>
      <c r="M571" s="57"/>
      <c r="N571" s="56"/>
      <c r="O571" s="56"/>
      <c r="P571" s="56"/>
      <c r="Q571" s="56"/>
      <c r="R571" s="56"/>
      <c r="S571" s="56"/>
      <c r="T571" s="56"/>
      <c r="U571" s="56"/>
      <c r="V571" s="56"/>
      <c r="W571" s="56"/>
      <c r="X571" s="56"/>
      <c r="Y571" s="56"/>
      <c r="Z571" s="56"/>
      <c r="AA571" s="56"/>
      <c r="AB571" s="56"/>
      <c r="AC571" s="56"/>
      <c r="AD571" s="56"/>
      <c r="AE571" s="56"/>
      <c r="AF571" s="56"/>
      <c r="AG571" s="56"/>
      <c r="AH571" s="56"/>
      <c r="AI571" s="58"/>
      <c r="AJ571" s="56"/>
      <c r="AK571" s="56"/>
      <c r="AL571" s="56"/>
      <c r="AM571" s="57"/>
      <c r="AN571" s="57"/>
      <c r="AO571" s="56"/>
      <c r="AP571" s="56"/>
      <c r="AQ571" s="57"/>
      <c r="AR571" s="57"/>
      <c r="AS571" s="57"/>
      <c r="AT571" s="67">
        <f t="shared" ca="1" si="52"/>
        <v>0</v>
      </c>
      <c r="AU571" s="79" t="str">
        <f t="shared" ca="1" si="53"/>
        <v/>
      </c>
      <c r="AV571" s="79" t="str" cm="1">
        <f t="array" aca="1" ref="AV571" ca="1">IFERROR(_xlfn.IFS($AU571="","",$AU571&lt;=15,"0-15",AND($AU571&gt;=16,$AU571&lt;=30),"16-30",AND($AU571&gt;=31,$AU571&lt;=45),"31-45",AND($AU571&gt;=46,$AU571&lt;=60),"46-60",AND($AU571&gt;=61,$AU571&lt;=90),"61-90",AND($AU571&gt;=91),"&gt; 90",AND($AU571&gt;=2000),""),"")</f>
        <v/>
      </c>
      <c r="AW571" s="79" t="str" cm="1">
        <f t="array" aca="1" ref="AW571" ca="1">IFERROR(_xlfn.IFS(OR($M571="",$AM571=""),"",OR($C571="Offered",$C571="Joined"),($AM571-$M571)-$AT571),"")</f>
        <v/>
      </c>
      <c r="AX571" s="79" t="str" cm="1">
        <f t="array" aca="1" ref="AX571" ca="1">IFERROR(_xlfn.IFS(OR($M571="",$AS571=""),"",$C571="Joined",($AS571-$M571)-$AT571),"")</f>
        <v/>
      </c>
      <c r="AY571" s="67" t="str">
        <f>IFERROR(IF(COUNTIFS('Candidate Tracker'!$E:$E,'Positions Tracker'!$B571,'Candidate Tracker'!$C:$C,"Offer Drop")=0,"",COUNTIFS('Candidate Tracker'!$E:$E,'Positions Tracker'!$B571,'Candidate Tracker'!$C:$C,"Offer Drop")),"")</f>
        <v/>
      </c>
      <c r="AZ571" s="80">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0.88111888111888115</v>
      </c>
      <c r="BA571" s="81" t="str">
        <f>IFERROR(IF(COUNTIFS('Candidate Tracker'!$E:$E,'Positions Tracker'!$B571,'Candidate Tracker'!$I:$I,"Female")=0,"",COUNTIFS('Candidate Tracker'!$E:$E,'Positions Tracker'!$B571,'Candidate Tracker'!$I:$I,"Female")),"")</f>
        <v/>
      </c>
      <c r="BB571" s="81" t="str">
        <f>IFERROR(IF(COUNTIFS('Candidate Tracker'!$E:$E,'Positions Tracker'!$B571,'Candidate Tracker'!$I:$I,"male")=0,"",COUNTIFS('Candidate Tracker'!$E:$E,'Positions Tracker'!$B571,'Candidate Tracker'!$I:$I,"male")),"")</f>
        <v/>
      </c>
      <c r="BC571" s="80" t="str">
        <f>IFERROR(IF(COUNTIFS('Candidate Tracker'!$E:$E,'Positions Tracker'!$B571,'Candidate Tracker'!$C:$C,"&lt;&gt;WIP",'Candidate Tracker'!$C:$C,"&lt;&gt;Hold",'Candidate Tracker'!$C:$C,"&lt;&gt;Cancelled",'Candidate Tracker'!$C:$C,"&lt;&gt;Closed")/COUNTIFS('Candidate Tracker'!$E:$E,'Positions Tracker'!$B571)=0,"",COUNTIFS('Candidate Tracker'!$E:$E,'Positions Tracker'!$B571,'Candidate Tracker'!$C:$C,"&lt;&gt;WIP",'Candidate Tracker'!$C:$C,"&lt;&gt;Hold",'Candidate Tracker'!$C:$C,"&lt;&gt;Cancelled",'Candidate Tracker'!$C:$C,"&lt;&gt;Closed")/COUNTIFS('Candidate Tracker'!$E:$E,'Positions Tracker'!$B571)),"")</f>
        <v/>
      </c>
      <c r="BD571" s="67" t="str">
        <f t="shared" si="48"/>
        <v/>
      </c>
      <c r="BE571" s="67" t="str">
        <f t="shared" si="49"/>
        <v/>
      </c>
      <c r="BF571" s="67" t="str">
        <f t="shared" si="50"/>
        <v/>
      </c>
      <c r="BG571" s="67" t="str">
        <f t="shared" si="51"/>
        <v/>
      </c>
    </row>
    <row r="572" spans="1:59">
      <c r="A572" s="55"/>
      <c r="B572" s="56"/>
      <c r="C572" s="56"/>
      <c r="D572" s="56"/>
      <c r="E572" s="56"/>
      <c r="F572" s="56"/>
      <c r="G572" s="56"/>
      <c r="H572" s="56"/>
      <c r="I572" s="6"/>
      <c r="J572" s="6"/>
      <c r="K572" s="57"/>
      <c r="L572" s="57"/>
      <c r="M572" s="57"/>
      <c r="N572" s="56"/>
      <c r="O572" s="56"/>
      <c r="P572" s="56"/>
      <c r="Q572" s="56"/>
      <c r="R572" s="56"/>
      <c r="S572" s="56"/>
      <c r="T572" s="56"/>
      <c r="U572" s="56"/>
      <c r="V572" s="56"/>
      <c r="W572" s="56"/>
      <c r="X572" s="56"/>
      <c r="Y572" s="56"/>
      <c r="Z572" s="56"/>
      <c r="AA572" s="56"/>
      <c r="AB572" s="56"/>
      <c r="AC572" s="56"/>
      <c r="AD572" s="56"/>
      <c r="AE572" s="56"/>
      <c r="AF572" s="56"/>
      <c r="AG572" s="56"/>
      <c r="AH572" s="56"/>
      <c r="AI572" s="58"/>
      <c r="AJ572" s="56"/>
      <c r="AK572" s="56"/>
      <c r="AL572" s="56"/>
      <c r="AM572" s="57"/>
      <c r="AN572" s="57"/>
      <c r="AO572" s="56"/>
      <c r="AP572" s="56"/>
      <c r="AQ572" s="57"/>
      <c r="AR572" s="57"/>
      <c r="AS572" s="57"/>
      <c r="AT572" s="67">
        <f t="shared" ca="1" si="52"/>
        <v>0</v>
      </c>
      <c r="AU572" s="79" t="str">
        <f t="shared" ca="1" si="53"/>
        <v/>
      </c>
      <c r="AV572" s="79" t="str" cm="1">
        <f t="array" aca="1" ref="AV572" ca="1">IFERROR(_xlfn.IFS($AU572="","",$AU572&lt;=15,"0-15",AND($AU572&gt;=16,$AU572&lt;=30),"16-30",AND($AU572&gt;=31,$AU572&lt;=45),"31-45",AND($AU572&gt;=46,$AU572&lt;=60),"46-60",AND($AU572&gt;=61,$AU572&lt;=90),"61-90",AND($AU572&gt;=91),"&gt; 90",AND($AU572&gt;=2000),""),"")</f>
        <v/>
      </c>
      <c r="AW572" s="79" t="str" cm="1">
        <f t="array" aca="1" ref="AW572" ca="1">IFERROR(_xlfn.IFS(OR($M572="",$AM572=""),"",OR($C572="Offered",$C572="Joined"),($AM572-$M572)-$AT572),"")</f>
        <v/>
      </c>
      <c r="AX572" s="79" t="str" cm="1">
        <f t="array" aca="1" ref="AX572" ca="1">IFERROR(_xlfn.IFS(OR($M572="",$AS572=""),"",$C572="Joined",($AS572-$M572)-$AT572),"")</f>
        <v/>
      </c>
      <c r="AY572" s="67" t="str">
        <f>IFERROR(IF(COUNTIFS('Candidate Tracker'!$E:$E,'Positions Tracker'!$B572,'Candidate Tracker'!$C:$C,"Offer Drop")=0,"",COUNTIFS('Candidate Tracker'!$E:$E,'Positions Tracker'!$B572,'Candidate Tracker'!$C:$C,"Offer Drop")),"")</f>
        <v/>
      </c>
      <c r="AZ572" s="80">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0.88111888111888115</v>
      </c>
      <c r="BA572" s="81" t="str">
        <f>IFERROR(IF(COUNTIFS('Candidate Tracker'!$E:$E,'Positions Tracker'!$B572,'Candidate Tracker'!$I:$I,"Female")=0,"",COUNTIFS('Candidate Tracker'!$E:$E,'Positions Tracker'!$B572,'Candidate Tracker'!$I:$I,"Female")),"")</f>
        <v/>
      </c>
      <c r="BB572" s="81" t="str">
        <f>IFERROR(IF(COUNTIFS('Candidate Tracker'!$E:$E,'Positions Tracker'!$B572,'Candidate Tracker'!$I:$I,"male")=0,"",COUNTIFS('Candidate Tracker'!$E:$E,'Positions Tracker'!$B572,'Candidate Tracker'!$I:$I,"male")),"")</f>
        <v/>
      </c>
      <c r="BC572" s="80" t="str">
        <f>IFERROR(IF(COUNTIFS('Candidate Tracker'!$E:$E,'Positions Tracker'!$B572,'Candidate Tracker'!$C:$C,"&lt;&gt;WIP",'Candidate Tracker'!$C:$C,"&lt;&gt;Hold",'Candidate Tracker'!$C:$C,"&lt;&gt;Cancelled",'Candidate Tracker'!$C:$C,"&lt;&gt;Closed")/COUNTIFS('Candidate Tracker'!$E:$E,'Positions Tracker'!$B572)=0,"",COUNTIFS('Candidate Tracker'!$E:$E,'Positions Tracker'!$B572,'Candidate Tracker'!$C:$C,"&lt;&gt;WIP",'Candidate Tracker'!$C:$C,"&lt;&gt;Hold",'Candidate Tracker'!$C:$C,"&lt;&gt;Cancelled",'Candidate Tracker'!$C:$C,"&lt;&gt;Closed")/COUNTIFS('Candidate Tracker'!$E:$E,'Positions Tracker'!$B572)),"")</f>
        <v/>
      </c>
      <c r="BD572" s="67" t="str">
        <f t="shared" si="48"/>
        <v/>
      </c>
      <c r="BE572" s="67" t="str">
        <f t="shared" si="49"/>
        <v/>
      </c>
      <c r="BF572" s="67" t="str">
        <f t="shared" si="50"/>
        <v/>
      </c>
      <c r="BG572" s="67" t="str">
        <f t="shared" si="51"/>
        <v/>
      </c>
    </row>
    <row r="573" spans="1:59">
      <c r="A573" s="55"/>
      <c r="B573" s="56"/>
      <c r="C573" s="56"/>
      <c r="D573" s="56"/>
      <c r="E573" s="56"/>
      <c r="F573" s="56"/>
      <c r="G573" s="56"/>
      <c r="H573" s="56"/>
      <c r="I573" s="6"/>
      <c r="J573" s="6"/>
      <c r="K573" s="57"/>
      <c r="L573" s="57"/>
      <c r="M573" s="57"/>
      <c r="N573" s="56"/>
      <c r="O573" s="56"/>
      <c r="P573" s="56"/>
      <c r="Q573" s="56"/>
      <c r="R573" s="56"/>
      <c r="S573" s="56"/>
      <c r="T573" s="56"/>
      <c r="U573" s="56"/>
      <c r="V573" s="56"/>
      <c r="W573" s="56"/>
      <c r="X573" s="56"/>
      <c r="Y573" s="56"/>
      <c r="Z573" s="56"/>
      <c r="AA573" s="56"/>
      <c r="AB573" s="56"/>
      <c r="AC573" s="56"/>
      <c r="AD573" s="56"/>
      <c r="AE573" s="56"/>
      <c r="AF573" s="56"/>
      <c r="AG573" s="56"/>
      <c r="AH573" s="56"/>
      <c r="AI573" s="58"/>
      <c r="AJ573" s="56"/>
      <c r="AK573" s="56"/>
      <c r="AL573" s="56"/>
      <c r="AM573" s="57"/>
      <c r="AN573" s="57"/>
      <c r="AO573" s="56"/>
      <c r="AP573" s="56"/>
      <c r="AQ573" s="57"/>
      <c r="AR573" s="57"/>
      <c r="AS573" s="57"/>
      <c r="AT573" s="67">
        <f t="shared" ca="1" si="52"/>
        <v>0</v>
      </c>
      <c r="AU573" s="79" t="str">
        <f t="shared" ca="1" si="53"/>
        <v/>
      </c>
      <c r="AV573" s="79" t="str" cm="1">
        <f t="array" aca="1" ref="AV573" ca="1">IFERROR(_xlfn.IFS($AU573="","",$AU573&lt;=15,"0-15",AND($AU573&gt;=16,$AU573&lt;=30),"16-30",AND($AU573&gt;=31,$AU573&lt;=45),"31-45",AND($AU573&gt;=46,$AU573&lt;=60),"46-60",AND($AU573&gt;=61,$AU573&lt;=90),"61-90",AND($AU573&gt;=91),"&gt; 90",AND($AU573&gt;=2000),""),"")</f>
        <v/>
      </c>
      <c r="AW573" s="79" t="str" cm="1">
        <f t="array" aca="1" ref="AW573" ca="1">IFERROR(_xlfn.IFS(OR($M573="",$AM573=""),"",OR($C573="Offered",$C573="Joined"),($AM573-$M573)-$AT573),"")</f>
        <v/>
      </c>
      <c r="AX573" s="79" t="str" cm="1">
        <f t="array" aca="1" ref="AX573" ca="1">IFERROR(_xlfn.IFS(OR($M573="",$AS573=""),"",$C573="Joined",($AS573-$M573)-$AT573),"")</f>
        <v/>
      </c>
      <c r="AY573" s="67" t="str">
        <f>IFERROR(IF(COUNTIFS('Candidate Tracker'!$E:$E,'Positions Tracker'!$B573,'Candidate Tracker'!$C:$C,"Offer Drop")=0,"",COUNTIFS('Candidate Tracker'!$E:$E,'Positions Tracker'!$B573,'Candidate Tracker'!$C:$C,"Offer Drop")),"")</f>
        <v/>
      </c>
      <c r="AZ573" s="80">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0.88111888111888115</v>
      </c>
      <c r="BA573" s="81" t="str">
        <f>IFERROR(IF(COUNTIFS('Candidate Tracker'!$E:$E,'Positions Tracker'!$B573,'Candidate Tracker'!$I:$I,"Female")=0,"",COUNTIFS('Candidate Tracker'!$E:$E,'Positions Tracker'!$B573,'Candidate Tracker'!$I:$I,"Female")),"")</f>
        <v/>
      </c>
      <c r="BB573" s="81" t="str">
        <f>IFERROR(IF(COUNTIFS('Candidate Tracker'!$E:$E,'Positions Tracker'!$B573,'Candidate Tracker'!$I:$I,"male")=0,"",COUNTIFS('Candidate Tracker'!$E:$E,'Positions Tracker'!$B573,'Candidate Tracker'!$I:$I,"male")),"")</f>
        <v/>
      </c>
      <c r="BC573" s="80" t="str">
        <f>IFERROR(IF(COUNTIFS('Candidate Tracker'!$E:$E,'Positions Tracker'!$B573,'Candidate Tracker'!$C:$C,"&lt;&gt;WIP",'Candidate Tracker'!$C:$C,"&lt;&gt;Hold",'Candidate Tracker'!$C:$C,"&lt;&gt;Cancelled",'Candidate Tracker'!$C:$C,"&lt;&gt;Closed")/COUNTIFS('Candidate Tracker'!$E:$E,'Positions Tracker'!$B573)=0,"",COUNTIFS('Candidate Tracker'!$E:$E,'Positions Tracker'!$B573,'Candidate Tracker'!$C:$C,"&lt;&gt;WIP",'Candidate Tracker'!$C:$C,"&lt;&gt;Hold",'Candidate Tracker'!$C:$C,"&lt;&gt;Cancelled",'Candidate Tracker'!$C:$C,"&lt;&gt;Closed")/COUNTIFS('Candidate Tracker'!$E:$E,'Positions Tracker'!$B573)),"")</f>
        <v/>
      </c>
      <c r="BD573" s="67" t="str">
        <f t="shared" si="48"/>
        <v/>
      </c>
      <c r="BE573" s="67" t="str">
        <f t="shared" si="49"/>
        <v/>
      </c>
      <c r="BF573" s="67" t="str">
        <f t="shared" si="50"/>
        <v/>
      </c>
      <c r="BG573" s="67" t="str">
        <f t="shared" si="51"/>
        <v/>
      </c>
    </row>
    <row r="574" spans="1:59">
      <c r="A574" s="55"/>
      <c r="B574" s="56"/>
      <c r="C574" s="56"/>
      <c r="D574" s="56"/>
      <c r="E574" s="56"/>
      <c r="F574" s="56"/>
      <c r="G574" s="56"/>
      <c r="H574" s="56"/>
      <c r="I574" s="6"/>
      <c r="J574" s="6"/>
      <c r="K574" s="57"/>
      <c r="L574" s="57"/>
      <c r="M574" s="57"/>
      <c r="N574" s="56"/>
      <c r="O574" s="56"/>
      <c r="P574" s="56"/>
      <c r="Q574" s="56"/>
      <c r="R574" s="56"/>
      <c r="S574" s="56"/>
      <c r="T574" s="56"/>
      <c r="U574" s="56"/>
      <c r="V574" s="56"/>
      <c r="W574" s="56"/>
      <c r="X574" s="56"/>
      <c r="Y574" s="56"/>
      <c r="Z574" s="56"/>
      <c r="AA574" s="56"/>
      <c r="AB574" s="56"/>
      <c r="AC574" s="56"/>
      <c r="AD574" s="56"/>
      <c r="AE574" s="56"/>
      <c r="AF574" s="56"/>
      <c r="AG574" s="56"/>
      <c r="AH574" s="56"/>
      <c r="AI574" s="58"/>
      <c r="AJ574" s="56"/>
      <c r="AK574" s="56"/>
      <c r="AL574" s="56"/>
      <c r="AM574" s="57"/>
      <c r="AN574" s="57"/>
      <c r="AO574" s="56"/>
      <c r="AP574" s="56"/>
      <c r="AQ574" s="57"/>
      <c r="AR574" s="57"/>
      <c r="AS574" s="57"/>
      <c r="AT574" s="67">
        <f t="shared" ca="1" si="52"/>
        <v>0</v>
      </c>
      <c r="AU574" s="79" t="str">
        <f t="shared" ca="1" si="53"/>
        <v/>
      </c>
      <c r="AV574" s="79" t="str" cm="1">
        <f t="array" aca="1" ref="AV574" ca="1">IFERROR(_xlfn.IFS($AU574="","",$AU574&lt;=15,"0-15",AND($AU574&gt;=16,$AU574&lt;=30),"16-30",AND($AU574&gt;=31,$AU574&lt;=45),"31-45",AND($AU574&gt;=46,$AU574&lt;=60),"46-60",AND($AU574&gt;=61,$AU574&lt;=90),"61-90",AND($AU574&gt;=91),"&gt; 90",AND($AU574&gt;=2000),""),"")</f>
        <v/>
      </c>
      <c r="AW574" s="79" t="str" cm="1">
        <f t="array" aca="1" ref="AW574" ca="1">IFERROR(_xlfn.IFS(OR($M574="",$AM574=""),"",OR($C574="Offered",$C574="Joined"),($AM574-$M574)-$AT574),"")</f>
        <v/>
      </c>
      <c r="AX574" s="79" t="str" cm="1">
        <f t="array" aca="1" ref="AX574" ca="1">IFERROR(_xlfn.IFS(OR($M574="",$AS574=""),"",$C574="Joined",($AS574-$M574)-$AT574),"")</f>
        <v/>
      </c>
      <c r="AY574" s="67" t="str">
        <f>IFERROR(IF(COUNTIFS('Candidate Tracker'!$E:$E,'Positions Tracker'!$B574,'Candidate Tracker'!$C:$C,"Offer Drop")=0,"",COUNTIFS('Candidate Tracker'!$E:$E,'Positions Tracker'!$B574,'Candidate Tracker'!$C:$C,"Offer Drop")),"")</f>
        <v/>
      </c>
      <c r="AZ574" s="80">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0.88111888111888115</v>
      </c>
      <c r="BA574" s="81" t="str">
        <f>IFERROR(IF(COUNTIFS('Candidate Tracker'!$E:$E,'Positions Tracker'!$B574,'Candidate Tracker'!$I:$I,"Female")=0,"",COUNTIFS('Candidate Tracker'!$E:$E,'Positions Tracker'!$B574,'Candidate Tracker'!$I:$I,"Female")),"")</f>
        <v/>
      </c>
      <c r="BB574" s="81" t="str">
        <f>IFERROR(IF(COUNTIFS('Candidate Tracker'!$E:$E,'Positions Tracker'!$B574,'Candidate Tracker'!$I:$I,"male")=0,"",COUNTIFS('Candidate Tracker'!$E:$E,'Positions Tracker'!$B574,'Candidate Tracker'!$I:$I,"male")),"")</f>
        <v/>
      </c>
      <c r="BC574" s="80" t="str">
        <f>IFERROR(IF(COUNTIFS('Candidate Tracker'!$E:$E,'Positions Tracker'!$B574,'Candidate Tracker'!$C:$C,"&lt;&gt;WIP",'Candidate Tracker'!$C:$C,"&lt;&gt;Hold",'Candidate Tracker'!$C:$C,"&lt;&gt;Cancelled",'Candidate Tracker'!$C:$C,"&lt;&gt;Closed")/COUNTIFS('Candidate Tracker'!$E:$E,'Positions Tracker'!$B574)=0,"",COUNTIFS('Candidate Tracker'!$E:$E,'Positions Tracker'!$B574,'Candidate Tracker'!$C:$C,"&lt;&gt;WIP",'Candidate Tracker'!$C:$C,"&lt;&gt;Hold",'Candidate Tracker'!$C:$C,"&lt;&gt;Cancelled",'Candidate Tracker'!$C:$C,"&lt;&gt;Closed")/COUNTIFS('Candidate Tracker'!$E:$E,'Positions Tracker'!$B574)),"")</f>
        <v/>
      </c>
      <c r="BD574" s="67" t="str">
        <f t="shared" si="48"/>
        <v/>
      </c>
      <c r="BE574" s="67" t="str">
        <f t="shared" si="49"/>
        <v/>
      </c>
      <c r="BF574" s="67" t="str">
        <f t="shared" si="50"/>
        <v/>
      </c>
      <c r="BG574" s="67" t="str">
        <f t="shared" si="51"/>
        <v/>
      </c>
    </row>
    <row r="575" spans="1:59">
      <c r="A575" s="55"/>
      <c r="B575" s="56"/>
      <c r="C575" s="56"/>
      <c r="D575" s="56"/>
      <c r="E575" s="56"/>
      <c r="F575" s="56"/>
      <c r="G575" s="56"/>
      <c r="H575" s="56"/>
      <c r="I575" s="6"/>
      <c r="J575" s="6"/>
      <c r="K575" s="57"/>
      <c r="L575" s="57"/>
      <c r="M575" s="57"/>
      <c r="N575" s="56"/>
      <c r="O575" s="56"/>
      <c r="P575" s="56"/>
      <c r="Q575" s="56"/>
      <c r="R575" s="56"/>
      <c r="S575" s="56"/>
      <c r="T575" s="56"/>
      <c r="U575" s="56"/>
      <c r="V575" s="56"/>
      <c r="W575" s="56"/>
      <c r="X575" s="56"/>
      <c r="Y575" s="56"/>
      <c r="Z575" s="56"/>
      <c r="AA575" s="56"/>
      <c r="AB575" s="56"/>
      <c r="AC575" s="56"/>
      <c r="AD575" s="56"/>
      <c r="AE575" s="56"/>
      <c r="AF575" s="56"/>
      <c r="AG575" s="56"/>
      <c r="AH575" s="56"/>
      <c r="AI575" s="58"/>
      <c r="AJ575" s="56"/>
      <c r="AK575" s="56"/>
      <c r="AL575" s="56"/>
      <c r="AM575" s="57"/>
      <c r="AN575" s="57"/>
      <c r="AO575" s="56"/>
      <c r="AP575" s="56"/>
      <c r="AQ575" s="57"/>
      <c r="AR575" s="57"/>
      <c r="AS575" s="57"/>
      <c r="AT575" s="67">
        <f t="shared" ca="1" si="52"/>
        <v>0</v>
      </c>
      <c r="AU575" s="79" t="str">
        <f t="shared" ca="1" si="53"/>
        <v/>
      </c>
      <c r="AV575" s="79" t="str" cm="1">
        <f t="array" aca="1" ref="AV575" ca="1">IFERROR(_xlfn.IFS($AU575="","",$AU575&lt;=15,"0-15",AND($AU575&gt;=16,$AU575&lt;=30),"16-30",AND($AU575&gt;=31,$AU575&lt;=45),"31-45",AND($AU575&gt;=46,$AU575&lt;=60),"46-60",AND($AU575&gt;=61,$AU575&lt;=90),"61-90",AND($AU575&gt;=91),"&gt; 90",AND($AU575&gt;=2000),""),"")</f>
        <v/>
      </c>
      <c r="AW575" s="79" t="str" cm="1">
        <f t="array" aca="1" ref="AW575" ca="1">IFERROR(_xlfn.IFS(OR($M575="",$AM575=""),"",OR($C575="Offered",$C575="Joined"),($AM575-$M575)-$AT575),"")</f>
        <v/>
      </c>
      <c r="AX575" s="79" t="str" cm="1">
        <f t="array" aca="1" ref="AX575" ca="1">IFERROR(_xlfn.IFS(OR($M575="",$AS575=""),"",$C575="Joined",($AS575-$M575)-$AT575),"")</f>
        <v/>
      </c>
      <c r="AY575" s="67" t="str">
        <f>IFERROR(IF(COUNTIFS('Candidate Tracker'!$E:$E,'Positions Tracker'!$B575,'Candidate Tracker'!$C:$C,"Offer Drop")=0,"",COUNTIFS('Candidate Tracker'!$E:$E,'Positions Tracker'!$B575,'Candidate Tracker'!$C:$C,"Offer Drop")),"")</f>
        <v/>
      </c>
      <c r="AZ575" s="80">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0.88111888111888115</v>
      </c>
      <c r="BA575" s="81" t="str">
        <f>IFERROR(IF(COUNTIFS('Candidate Tracker'!$E:$E,'Positions Tracker'!$B575,'Candidate Tracker'!$I:$I,"Female")=0,"",COUNTIFS('Candidate Tracker'!$E:$E,'Positions Tracker'!$B575,'Candidate Tracker'!$I:$I,"Female")),"")</f>
        <v/>
      </c>
      <c r="BB575" s="81" t="str">
        <f>IFERROR(IF(COUNTIFS('Candidate Tracker'!$E:$E,'Positions Tracker'!$B575,'Candidate Tracker'!$I:$I,"male")=0,"",COUNTIFS('Candidate Tracker'!$E:$E,'Positions Tracker'!$B575,'Candidate Tracker'!$I:$I,"male")),"")</f>
        <v/>
      </c>
      <c r="BC575" s="80" t="str">
        <f>IFERROR(IF(COUNTIFS('Candidate Tracker'!$E:$E,'Positions Tracker'!$B575,'Candidate Tracker'!$C:$C,"&lt;&gt;WIP",'Candidate Tracker'!$C:$C,"&lt;&gt;Hold",'Candidate Tracker'!$C:$C,"&lt;&gt;Cancelled",'Candidate Tracker'!$C:$C,"&lt;&gt;Closed")/COUNTIFS('Candidate Tracker'!$E:$E,'Positions Tracker'!$B575)=0,"",COUNTIFS('Candidate Tracker'!$E:$E,'Positions Tracker'!$B575,'Candidate Tracker'!$C:$C,"&lt;&gt;WIP",'Candidate Tracker'!$C:$C,"&lt;&gt;Hold",'Candidate Tracker'!$C:$C,"&lt;&gt;Cancelled",'Candidate Tracker'!$C:$C,"&lt;&gt;Closed")/COUNTIFS('Candidate Tracker'!$E:$E,'Positions Tracker'!$B575)),"")</f>
        <v/>
      </c>
      <c r="BD575" s="67" t="str">
        <f t="shared" si="48"/>
        <v/>
      </c>
      <c r="BE575" s="67" t="str">
        <f t="shared" si="49"/>
        <v/>
      </c>
      <c r="BF575" s="67" t="str">
        <f t="shared" si="50"/>
        <v/>
      </c>
      <c r="BG575" s="67" t="str">
        <f t="shared" si="51"/>
        <v/>
      </c>
    </row>
    <row r="576" spans="1:59">
      <c r="A576" s="55"/>
      <c r="B576" s="56"/>
      <c r="C576" s="56"/>
      <c r="D576" s="56"/>
      <c r="E576" s="56"/>
      <c r="F576" s="56"/>
      <c r="G576" s="56"/>
      <c r="H576" s="56"/>
      <c r="I576" s="6"/>
      <c r="J576" s="6"/>
      <c r="K576" s="57"/>
      <c r="L576" s="57"/>
      <c r="M576" s="57"/>
      <c r="N576" s="56"/>
      <c r="O576" s="56"/>
      <c r="P576" s="56"/>
      <c r="Q576" s="56"/>
      <c r="R576" s="56"/>
      <c r="S576" s="56"/>
      <c r="T576" s="56"/>
      <c r="U576" s="56"/>
      <c r="V576" s="56"/>
      <c r="W576" s="56"/>
      <c r="X576" s="56"/>
      <c r="Y576" s="56"/>
      <c r="Z576" s="56"/>
      <c r="AA576" s="56"/>
      <c r="AB576" s="56"/>
      <c r="AC576" s="56"/>
      <c r="AD576" s="56"/>
      <c r="AE576" s="56"/>
      <c r="AF576" s="56"/>
      <c r="AG576" s="56"/>
      <c r="AH576" s="56"/>
      <c r="AI576" s="58"/>
      <c r="AJ576" s="56"/>
      <c r="AK576" s="56"/>
      <c r="AL576" s="56"/>
      <c r="AM576" s="57"/>
      <c r="AN576" s="57"/>
      <c r="AO576" s="56"/>
      <c r="AP576" s="56"/>
      <c r="AQ576" s="57"/>
      <c r="AR576" s="57"/>
      <c r="AS576" s="57"/>
      <c r="AT576" s="67">
        <f t="shared" ca="1" si="52"/>
        <v>0</v>
      </c>
      <c r="AU576" s="79" t="str">
        <f t="shared" ca="1" si="53"/>
        <v/>
      </c>
      <c r="AV576" s="79" t="str" cm="1">
        <f t="array" aca="1" ref="AV576" ca="1">IFERROR(_xlfn.IFS($AU576="","",$AU576&lt;=15,"0-15",AND($AU576&gt;=16,$AU576&lt;=30),"16-30",AND($AU576&gt;=31,$AU576&lt;=45),"31-45",AND($AU576&gt;=46,$AU576&lt;=60),"46-60",AND($AU576&gt;=61,$AU576&lt;=90),"61-90",AND($AU576&gt;=91),"&gt; 90",AND($AU576&gt;=2000),""),"")</f>
        <v/>
      </c>
      <c r="AW576" s="79" t="str" cm="1">
        <f t="array" aca="1" ref="AW576" ca="1">IFERROR(_xlfn.IFS(OR($M576="",$AM576=""),"",OR($C576="Offered",$C576="Joined"),($AM576-$M576)-$AT576),"")</f>
        <v/>
      </c>
      <c r="AX576" s="79" t="str" cm="1">
        <f t="array" aca="1" ref="AX576" ca="1">IFERROR(_xlfn.IFS(OR($M576="",$AS576=""),"",$C576="Joined",($AS576-$M576)-$AT576),"")</f>
        <v/>
      </c>
      <c r="AY576" s="67" t="str">
        <f>IFERROR(IF(COUNTIFS('Candidate Tracker'!$E:$E,'Positions Tracker'!$B576,'Candidate Tracker'!$C:$C,"Offer Drop")=0,"",COUNTIFS('Candidate Tracker'!$E:$E,'Positions Tracker'!$B576,'Candidate Tracker'!$C:$C,"Offer Drop")),"")</f>
        <v/>
      </c>
      <c r="AZ576" s="80">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0.88111888111888115</v>
      </c>
      <c r="BA576" s="81" t="str">
        <f>IFERROR(IF(COUNTIFS('Candidate Tracker'!$E:$E,'Positions Tracker'!$B576,'Candidate Tracker'!$I:$I,"Female")=0,"",COUNTIFS('Candidate Tracker'!$E:$E,'Positions Tracker'!$B576,'Candidate Tracker'!$I:$I,"Female")),"")</f>
        <v/>
      </c>
      <c r="BB576" s="81" t="str">
        <f>IFERROR(IF(COUNTIFS('Candidate Tracker'!$E:$E,'Positions Tracker'!$B576,'Candidate Tracker'!$I:$I,"male")=0,"",COUNTIFS('Candidate Tracker'!$E:$E,'Positions Tracker'!$B576,'Candidate Tracker'!$I:$I,"male")),"")</f>
        <v/>
      </c>
      <c r="BC576" s="80" t="str">
        <f>IFERROR(IF(COUNTIFS('Candidate Tracker'!$E:$E,'Positions Tracker'!$B576,'Candidate Tracker'!$C:$C,"&lt;&gt;WIP",'Candidate Tracker'!$C:$C,"&lt;&gt;Hold",'Candidate Tracker'!$C:$C,"&lt;&gt;Cancelled",'Candidate Tracker'!$C:$C,"&lt;&gt;Closed")/COUNTIFS('Candidate Tracker'!$E:$E,'Positions Tracker'!$B576)=0,"",COUNTIFS('Candidate Tracker'!$E:$E,'Positions Tracker'!$B576,'Candidate Tracker'!$C:$C,"&lt;&gt;WIP",'Candidate Tracker'!$C:$C,"&lt;&gt;Hold",'Candidate Tracker'!$C:$C,"&lt;&gt;Cancelled",'Candidate Tracker'!$C:$C,"&lt;&gt;Closed")/COUNTIFS('Candidate Tracker'!$E:$E,'Positions Tracker'!$B576)),"")</f>
        <v/>
      </c>
      <c r="BD576" s="67" t="str">
        <f t="shared" si="48"/>
        <v/>
      </c>
      <c r="BE576" s="67" t="str">
        <f t="shared" si="49"/>
        <v/>
      </c>
      <c r="BF576" s="67" t="str">
        <f t="shared" si="50"/>
        <v/>
      </c>
      <c r="BG576" s="67" t="str">
        <f t="shared" si="51"/>
        <v/>
      </c>
    </row>
    <row r="577" spans="1:59">
      <c r="A577" s="55"/>
      <c r="B577" s="56"/>
      <c r="C577" s="56"/>
      <c r="D577" s="56"/>
      <c r="E577" s="56"/>
      <c r="F577" s="56"/>
      <c r="G577" s="56"/>
      <c r="H577" s="56"/>
      <c r="I577" s="6"/>
      <c r="J577" s="6"/>
      <c r="K577" s="57"/>
      <c r="L577" s="57"/>
      <c r="M577" s="57"/>
      <c r="N577" s="56"/>
      <c r="O577" s="56"/>
      <c r="P577" s="56"/>
      <c r="Q577" s="56"/>
      <c r="R577" s="56"/>
      <c r="S577" s="56"/>
      <c r="T577" s="56"/>
      <c r="U577" s="56"/>
      <c r="V577" s="56"/>
      <c r="W577" s="56"/>
      <c r="X577" s="56"/>
      <c r="Y577" s="56"/>
      <c r="Z577" s="56"/>
      <c r="AA577" s="56"/>
      <c r="AB577" s="56"/>
      <c r="AC577" s="56"/>
      <c r="AD577" s="56"/>
      <c r="AE577" s="56"/>
      <c r="AF577" s="56"/>
      <c r="AG577" s="56"/>
      <c r="AH577" s="56"/>
      <c r="AI577" s="58"/>
      <c r="AJ577" s="56"/>
      <c r="AK577" s="56"/>
      <c r="AL577" s="56"/>
      <c r="AM577" s="57"/>
      <c r="AN577" s="57"/>
      <c r="AO577" s="56"/>
      <c r="AP577" s="56"/>
      <c r="AQ577" s="57"/>
      <c r="AR577" s="57"/>
      <c r="AS577" s="57"/>
      <c r="AT577" s="67">
        <f t="shared" ca="1" si="52"/>
        <v>0</v>
      </c>
      <c r="AU577" s="79" t="str">
        <f t="shared" ca="1" si="53"/>
        <v/>
      </c>
      <c r="AV577" s="79" t="str" cm="1">
        <f t="array" aca="1" ref="AV577" ca="1">IFERROR(_xlfn.IFS($AU577="","",$AU577&lt;=15,"0-15",AND($AU577&gt;=16,$AU577&lt;=30),"16-30",AND($AU577&gt;=31,$AU577&lt;=45),"31-45",AND($AU577&gt;=46,$AU577&lt;=60),"46-60",AND($AU577&gt;=61,$AU577&lt;=90),"61-90",AND($AU577&gt;=91),"&gt; 90",AND($AU577&gt;=2000),""),"")</f>
        <v/>
      </c>
      <c r="AW577" s="79" t="str" cm="1">
        <f t="array" aca="1" ref="AW577" ca="1">IFERROR(_xlfn.IFS(OR($M577="",$AM577=""),"",OR($C577="Offered",$C577="Joined"),($AM577-$M577)-$AT577),"")</f>
        <v/>
      </c>
      <c r="AX577" s="79" t="str" cm="1">
        <f t="array" aca="1" ref="AX577" ca="1">IFERROR(_xlfn.IFS(OR($M577="",$AS577=""),"",$C577="Joined",($AS577-$M577)-$AT577),"")</f>
        <v/>
      </c>
      <c r="AY577" s="67" t="str">
        <f>IFERROR(IF(COUNTIFS('Candidate Tracker'!$E:$E,'Positions Tracker'!$B577,'Candidate Tracker'!$C:$C,"Offer Drop")=0,"",COUNTIFS('Candidate Tracker'!$E:$E,'Positions Tracker'!$B577,'Candidate Tracker'!$C:$C,"Offer Drop")),"")</f>
        <v/>
      </c>
      <c r="AZ577" s="80">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0.88111888111888115</v>
      </c>
      <c r="BA577" s="81" t="str">
        <f>IFERROR(IF(COUNTIFS('Candidate Tracker'!$E:$E,'Positions Tracker'!$B577,'Candidate Tracker'!$I:$I,"Female")=0,"",COUNTIFS('Candidate Tracker'!$E:$E,'Positions Tracker'!$B577,'Candidate Tracker'!$I:$I,"Female")),"")</f>
        <v/>
      </c>
      <c r="BB577" s="81" t="str">
        <f>IFERROR(IF(COUNTIFS('Candidate Tracker'!$E:$E,'Positions Tracker'!$B577,'Candidate Tracker'!$I:$I,"male")=0,"",COUNTIFS('Candidate Tracker'!$E:$E,'Positions Tracker'!$B577,'Candidate Tracker'!$I:$I,"male")),"")</f>
        <v/>
      </c>
      <c r="BC577" s="80" t="str">
        <f>IFERROR(IF(COUNTIFS('Candidate Tracker'!$E:$E,'Positions Tracker'!$B577,'Candidate Tracker'!$C:$C,"&lt;&gt;WIP",'Candidate Tracker'!$C:$C,"&lt;&gt;Hold",'Candidate Tracker'!$C:$C,"&lt;&gt;Cancelled",'Candidate Tracker'!$C:$C,"&lt;&gt;Closed")/COUNTIFS('Candidate Tracker'!$E:$E,'Positions Tracker'!$B577)=0,"",COUNTIFS('Candidate Tracker'!$E:$E,'Positions Tracker'!$B577,'Candidate Tracker'!$C:$C,"&lt;&gt;WIP",'Candidate Tracker'!$C:$C,"&lt;&gt;Hold",'Candidate Tracker'!$C:$C,"&lt;&gt;Cancelled",'Candidate Tracker'!$C:$C,"&lt;&gt;Closed")/COUNTIFS('Candidate Tracker'!$E:$E,'Positions Tracker'!$B577)),"")</f>
        <v/>
      </c>
      <c r="BD577" s="67" t="str">
        <f t="shared" ref="BD577:BD640" si="54">IFERROR(IF($M577="","",TEXT($M577,"MMM-YY")),"")</f>
        <v/>
      </c>
      <c r="BE577" s="67" t="str">
        <f t="shared" ref="BE577:BE640" si="55">IFERROR(IF($AI577="","",TEXT($AI577,"MMM-YY")),"")</f>
        <v/>
      </c>
      <c r="BF577" s="67" t="str">
        <f t="shared" ref="BF577:BF640" si="56">IFERROR(IF($AM577="","",TEXT($AM577,"MMM-YY")),"")</f>
        <v/>
      </c>
      <c r="BG577" s="67" t="str">
        <f t="shared" ref="BG577:BG640" si="57">IFERROR(IF($AS577="","",TEXT($AS577,"MMM-YY")),"")</f>
        <v/>
      </c>
    </row>
    <row r="578" spans="1:59">
      <c r="A578" s="55"/>
      <c r="B578" s="56"/>
      <c r="C578" s="56"/>
      <c r="D578" s="56"/>
      <c r="E578" s="56"/>
      <c r="F578" s="56"/>
      <c r="G578" s="56"/>
      <c r="H578" s="56"/>
      <c r="I578" s="6"/>
      <c r="J578" s="6"/>
      <c r="K578" s="57"/>
      <c r="L578" s="57"/>
      <c r="M578" s="57"/>
      <c r="N578" s="56"/>
      <c r="O578" s="56"/>
      <c r="P578" s="56"/>
      <c r="Q578" s="56"/>
      <c r="R578" s="56"/>
      <c r="S578" s="56"/>
      <c r="T578" s="56"/>
      <c r="U578" s="56"/>
      <c r="V578" s="56"/>
      <c r="W578" s="56"/>
      <c r="X578" s="56"/>
      <c r="Y578" s="56"/>
      <c r="Z578" s="56"/>
      <c r="AA578" s="56"/>
      <c r="AB578" s="56"/>
      <c r="AC578" s="56"/>
      <c r="AD578" s="56"/>
      <c r="AE578" s="56"/>
      <c r="AF578" s="56"/>
      <c r="AG578" s="56"/>
      <c r="AH578" s="56"/>
      <c r="AI578" s="58"/>
      <c r="AJ578" s="56"/>
      <c r="AK578" s="56"/>
      <c r="AL578" s="56"/>
      <c r="AM578" s="57"/>
      <c r="AN578" s="57"/>
      <c r="AO578" s="56"/>
      <c r="AP578" s="56"/>
      <c r="AQ578" s="57"/>
      <c r="AR578" s="57"/>
      <c r="AS578" s="57"/>
      <c r="AT578" s="67">
        <f t="shared" ref="AT578:AT641" ca="1" si="58">IFERROR(SUM(IF(AND(ISBLANK(T578),ISBLANK(Q578)),0,IF(T578="",TODAY()-Q578,T578-Q578))+IF(AND(ISBLANK(S578),ISBLANK(P578)),0,IF(S578="",TODAY()-P578,S578-P578))+IF(AND(ISBLANK(O578),ISBLANK(R578)),0,IF(R578="",TODAY()-O578,R578-O578))),"")</f>
        <v>0</v>
      </c>
      <c r="AU578" s="79" t="str">
        <f t="shared" ref="AU578:AU641" ca="1" si="59">IFERROR(IF(($M578=""),"",IF(OR(,$C578="Offer in Progress",$C578="WIP",$C578="WIP/Drop",$C578="WIP/New",$C578="WIP/Hold"),(TODAY()-$M578)-$AT578,"")),"")</f>
        <v/>
      </c>
      <c r="AV578" s="79" t="str" cm="1">
        <f t="array" aca="1" ref="AV578" ca="1">IFERROR(_xlfn.IFS($AU578="","",$AU578&lt;=15,"0-15",AND($AU578&gt;=16,$AU578&lt;=30),"16-30",AND($AU578&gt;=31,$AU578&lt;=45),"31-45",AND($AU578&gt;=46,$AU578&lt;=60),"46-60",AND($AU578&gt;=61,$AU578&lt;=90),"61-90",AND($AU578&gt;=91),"&gt; 90",AND($AU578&gt;=2000),""),"")</f>
        <v/>
      </c>
      <c r="AW578" s="79" t="str" cm="1">
        <f t="array" aca="1" ref="AW578" ca="1">IFERROR(_xlfn.IFS(OR($M578="",$AM578=""),"",OR($C578="Offered",$C578="Joined"),($AM578-$M578)-$AT578),"")</f>
        <v/>
      </c>
      <c r="AX578" s="79" t="str" cm="1">
        <f t="array" aca="1" ref="AX578" ca="1">IFERROR(_xlfn.IFS(OR($M578="",$AS578=""),"",$C578="Joined",($AS578-$M578)-$AT578),"")</f>
        <v/>
      </c>
      <c r="AY578" s="67" t="str">
        <f>IFERROR(IF(COUNTIFS('Candidate Tracker'!$E:$E,'Positions Tracker'!$B578,'Candidate Tracker'!$C:$C,"Offer Drop")=0,"",COUNTIFS('Candidate Tracker'!$E:$E,'Positions Tracker'!$B578,'Candidate Tracker'!$C:$C,"Offer Drop")),"")</f>
        <v/>
      </c>
      <c r="AZ578" s="80">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0.88111888111888115</v>
      </c>
      <c r="BA578" s="81" t="str">
        <f>IFERROR(IF(COUNTIFS('Candidate Tracker'!$E:$E,'Positions Tracker'!$B578,'Candidate Tracker'!$I:$I,"Female")=0,"",COUNTIFS('Candidate Tracker'!$E:$E,'Positions Tracker'!$B578,'Candidate Tracker'!$I:$I,"Female")),"")</f>
        <v/>
      </c>
      <c r="BB578" s="81" t="str">
        <f>IFERROR(IF(COUNTIFS('Candidate Tracker'!$E:$E,'Positions Tracker'!$B578,'Candidate Tracker'!$I:$I,"male")=0,"",COUNTIFS('Candidate Tracker'!$E:$E,'Positions Tracker'!$B578,'Candidate Tracker'!$I:$I,"male")),"")</f>
        <v/>
      </c>
      <c r="BC578" s="80" t="str">
        <f>IFERROR(IF(COUNTIFS('Candidate Tracker'!$E:$E,'Positions Tracker'!$B578,'Candidate Tracker'!$C:$C,"&lt;&gt;WIP",'Candidate Tracker'!$C:$C,"&lt;&gt;Hold",'Candidate Tracker'!$C:$C,"&lt;&gt;Cancelled",'Candidate Tracker'!$C:$C,"&lt;&gt;Closed")/COUNTIFS('Candidate Tracker'!$E:$E,'Positions Tracker'!$B578)=0,"",COUNTIFS('Candidate Tracker'!$E:$E,'Positions Tracker'!$B578,'Candidate Tracker'!$C:$C,"&lt;&gt;WIP",'Candidate Tracker'!$C:$C,"&lt;&gt;Hold",'Candidate Tracker'!$C:$C,"&lt;&gt;Cancelled",'Candidate Tracker'!$C:$C,"&lt;&gt;Closed")/COUNTIFS('Candidate Tracker'!$E:$E,'Positions Tracker'!$B578)),"")</f>
        <v/>
      </c>
      <c r="BD578" s="67" t="str">
        <f t="shared" si="54"/>
        <v/>
      </c>
      <c r="BE578" s="67" t="str">
        <f t="shared" si="55"/>
        <v/>
      </c>
      <c r="BF578" s="67" t="str">
        <f t="shared" si="56"/>
        <v/>
      </c>
      <c r="BG578" s="67" t="str">
        <f t="shared" si="57"/>
        <v/>
      </c>
    </row>
    <row r="579" spans="1:59">
      <c r="A579" s="55"/>
      <c r="B579" s="56"/>
      <c r="C579" s="56"/>
      <c r="D579" s="56"/>
      <c r="E579" s="56"/>
      <c r="F579" s="56"/>
      <c r="G579" s="56"/>
      <c r="H579" s="56"/>
      <c r="I579" s="6"/>
      <c r="J579" s="6"/>
      <c r="K579" s="57"/>
      <c r="L579" s="57"/>
      <c r="M579" s="57"/>
      <c r="N579" s="56"/>
      <c r="O579" s="56"/>
      <c r="P579" s="56"/>
      <c r="Q579" s="56"/>
      <c r="R579" s="56"/>
      <c r="S579" s="56"/>
      <c r="T579" s="56"/>
      <c r="U579" s="56"/>
      <c r="V579" s="56"/>
      <c r="W579" s="56"/>
      <c r="X579" s="56"/>
      <c r="Y579" s="56"/>
      <c r="Z579" s="56"/>
      <c r="AA579" s="56"/>
      <c r="AB579" s="56"/>
      <c r="AC579" s="56"/>
      <c r="AD579" s="56"/>
      <c r="AE579" s="56"/>
      <c r="AF579" s="56"/>
      <c r="AG579" s="56"/>
      <c r="AH579" s="56"/>
      <c r="AI579" s="58"/>
      <c r="AJ579" s="56"/>
      <c r="AK579" s="56"/>
      <c r="AL579" s="56"/>
      <c r="AM579" s="57"/>
      <c r="AN579" s="57"/>
      <c r="AO579" s="56"/>
      <c r="AP579" s="56"/>
      <c r="AQ579" s="57"/>
      <c r="AR579" s="57"/>
      <c r="AS579" s="57"/>
      <c r="AT579" s="67">
        <f t="shared" ca="1" si="58"/>
        <v>0</v>
      </c>
      <c r="AU579" s="79" t="str">
        <f t="shared" ca="1" si="59"/>
        <v/>
      </c>
      <c r="AV579" s="79" t="str" cm="1">
        <f t="array" aca="1" ref="AV579" ca="1">IFERROR(_xlfn.IFS($AU579="","",$AU579&lt;=15,"0-15",AND($AU579&gt;=16,$AU579&lt;=30),"16-30",AND($AU579&gt;=31,$AU579&lt;=45),"31-45",AND($AU579&gt;=46,$AU579&lt;=60),"46-60",AND($AU579&gt;=61,$AU579&lt;=90),"61-90",AND($AU579&gt;=91),"&gt; 90",AND($AU579&gt;=2000),""),"")</f>
        <v/>
      </c>
      <c r="AW579" s="79" t="str" cm="1">
        <f t="array" aca="1" ref="AW579" ca="1">IFERROR(_xlfn.IFS(OR($M579="",$AM579=""),"",OR($C579="Offered",$C579="Joined"),($AM579-$M579)-$AT579),"")</f>
        <v/>
      </c>
      <c r="AX579" s="79" t="str" cm="1">
        <f t="array" aca="1" ref="AX579" ca="1">IFERROR(_xlfn.IFS(OR($M579="",$AS579=""),"",$C579="Joined",($AS579-$M579)-$AT579),"")</f>
        <v/>
      </c>
      <c r="AY579" s="67" t="str">
        <f>IFERROR(IF(COUNTIFS('Candidate Tracker'!$E:$E,'Positions Tracker'!$B579,'Candidate Tracker'!$C:$C,"Offer Drop")=0,"",COUNTIFS('Candidate Tracker'!$E:$E,'Positions Tracker'!$B579,'Candidate Tracker'!$C:$C,"Offer Drop")),"")</f>
        <v/>
      </c>
      <c r="AZ579" s="80">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0.88111888111888115</v>
      </c>
      <c r="BA579" s="81" t="str">
        <f>IFERROR(IF(COUNTIFS('Candidate Tracker'!$E:$E,'Positions Tracker'!$B579,'Candidate Tracker'!$I:$I,"Female")=0,"",COUNTIFS('Candidate Tracker'!$E:$E,'Positions Tracker'!$B579,'Candidate Tracker'!$I:$I,"Female")),"")</f>
        <v/>
      </c>
      <c r="BB579" s="81" t="str">
        <f>IFERROR(IF(COUNTIFS('Candidate Tracker'!$E:$E,'Positions Tracker'!$B579,'Candidate Tracker'!$I:$I,"male")=0,"",COUNTIFS('Candidate Tracker'!$E:$E,'Positions Tracker'!$B579,'Candidate Tracker'!$I:$I,"male")),"")</f>
        <v/>
      </c>
      <c r="BC579" s="80" t="str">
        <f>IFERROR(IF(COUNTIFS('Candidate Tracker'!$E:$E,'Positions Tracker'!$B579,'Candidate Tracker'!$C:$C,"&lt;&gt;WIP",'Candidate Tracker'!$C:$C,"&lt;&gt;Hold",'Candidate Tracker'!$C:$C,"&lt;&gt;Cancelled",'Candidate Tracker'!$C:$C,"&lt;&gt;Closed")/COUNTIFS('Candidate Tracker'!$E:$E,'Positions Tracker'!$B579)=0,"",COUNTIFS('Candidate Tracker'!$E:$E,'Positions Tracker'!$B579,'Candidate Tracker'!$C:$C,"&lt;&gt;WIP",'Candidate Tracker'!$C:$C,"&lt;&gt;Hold",'Candidate Tracker'!$C:$C,"&lt;&gt;Cancelled",'Candidate Tracker'!$C:$C,"&lt;&gt;Closed")/COUNTIFS('Candidate Tracker'!$E:$E,'Positions Tracker'!$B579)),"")</f>
        <v/>
      </c>
      <c r="BD579" s="67" t="str">
        <f t="shared" si="54"/>
        <v/>
      </c>
      <c r="BE579" s="67" t="str">
        <f t="shared" si="55"/>
        <v/>
      </c>
      <c r="BF579" s="67" t="str">
        <f t="shared" si="56"/>
        <v/>
      </c>
      <c r="BG579" s="67" t="str">
        <f t="shared" si="57"/>
        <v/>
      </c>
    </row>
    <row r="580" spans="1:59">
      <c r="A580" s="55"/>
      <c r="B580" s="56"/>
      <c r="C580" s="56"/>
      <c r="D580" s="56"/>
      <c r="E580" s="56"/>
      <c r="F580" s="56"/>
      <c r="G580" s="56"/>
      <c r="H580" s="56"/>
      <c r="I580" s="6"/>
      <c r="J580" s="6"/>
      <c r="K580" s="57"/>
      <c r="L580" s="57"/>
      <c r="M580" s="57"/>
      <c r="N580" s="56"/>
      <c r="O580" s="56"/>
      <c r="P580" s="56"/>
      <c r="Q580" s="56"/>
      <c r="R580" s="56"/>
      <c r="S580" s="56"/>
      <c r="T580" s="56"/>
      <c r="U580" s="56"/>
      <c r="V580" s="56"/>
      <c r="W580" s="56"/>
      <c r="X580" s="56"/>
      <c r="Y580" s="56"/>
      <c r="Z580" s="56"/>
      <c r="AA580" s="56"/>
      <c r="AB580" s="56"/>
      <c r="AC580" s="56"/>
      <c r="AD580" s="56"/>
      <c r="AE580" s="56"/>
      <c r="AF580" s="56"/>
      <c r="AG580" s="56"/>
      <c r="AH580" s="56"/>
      <c r="AI580" s="58"/>
      <c r="AJ580" s="56"/>
      <c r="AK580" s="56"/>
      <c r="AL580" s="56"/>
      <c r="AM580" s="57"/>
      <c r="AN580" s="57"/>
      <c r="AO580" s="56"/>
      <c r="AP580" s="56"/>
      <c r="AQ580" s="57"/>
      <c r="AR580" s="57"/>
      <c r="AS580" s="57"/>
      <c r="AT580" s="67">
        <f t="shared" ca="1" si="58"/>
        <v>0</v>
      </c>
      <c r="AU580" s="79" t="str">
        <f t="shared" ca="1" si="59"/>
        <v/>
      </c>
      <c r="AV580" s="79" t="str" cm="1">
        <f t="array" aca="1" ref="AV580" ca="1">IFERROR(_xlfn.IFS($AU580="","",$AU580&lt;=15,"0-15",AND($AU580&gt;=16,$AU580&lt;=30),"16-30",AND($AU580&gt;=31,$AU580&lt;=45),"31-45",AND($AU580&gt;=46,$AU580&lt;=60),"46-60",AND($AU580&gt;=61,$AU580&lt;=90),"61-90",AND($AU580&gt;=91),"&gt; 90",AND($AU580&gt;=2000),""),"")</f>
        <v/>
      </c>
      <c r="AW580" s="79" t="str" cm="1">
        <f t="array" aca="1" ref="AW580" ca="1">IFERROR(_xlfn.IFS(OR($M580="",$AM580=""),"",OR($C580="Offered",$C580="Joined"),($AM580-$M580)-$AT580),"")</f>
        <v/>
      </c>
      <c r="AX580" s="79" t="str" cm="1">
        <f t="array" aca="1" ref="AX580" ca="1">IFERROR(_xlfn.IFS(OR($M580="",$AS580=""),"",$C580="Joined",($AS580-$M580)-$AT580),"")</f>
        <v/>
      </c>
      <c r="AY580" s="67" t="str">
        <f>IFERROR(IF(COUNTIFS('Candidate Tracker'!$E:$E,'Positions Tracker'!$B580,'Candidate Tracker'!$C:$C,"Offer Drop")=0,"",COUNTIFS('Candidate Tracker'!$E:$E,'Positions Tracker'!$B580,'Candidate Tracker'!$C:$C,"Offer Drop")),"")</f>
        <v/>
      </c>
      <c r="AZ580" s="80">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0.88111888111888115</v>
      </c>
      <c r="BA580" s="81" t="str">
        <f>IFERROR(IF(COUNTIFS('Candidate Tracker'!$E:$E,'Positions Tracker'!$B580,'Candidate Tracker'!$I:$I,"Female")=0,"",COUNTIFS('Candidate Tracker'!$E:$E,'Positions Tracker'!$B580,'Candidate Tracker'!$I:$I,"Female")),"")</f>
        <v/>
      </c>
      <c r="BB580" s="81" t="str">
        <f>IFERROR(IF(COUNTIFS('Candidate Tracker'!$E:$E,'Positions Tracker'!$B580,'Candidate Tracker'!$I:$I,"male")=0,"",COUNTIFS('Candidate Tracker'!$E:$E,'Positions Tracker'!$B580,'Candidate Tracker'!$I:$I,"male")),"")</f>
        <v/>
      </c>
      <c r="BC580" s="80" t="str">
        <f>IFERROR(IF(COUNTIFS('Candidate Tracker'!$E:$E,'Positions Tracker'!$B580,'Candidate Tracker'!$C:$C,"&lt;&gt;WIP",'Candidate Tracker'!$C:$C,"&lt;&gt;Hold",'Candidate Tracker'!$C:$C,"&lt;&gt;Cancelled",'Candidate Tracker'!$C:$C,"&lt;&gt;Closed")/COUNTIFS('Candidate Tracker'!$E:$E,'Positions Tracker'!$B580)=0,"",COUNTIFS('Candidate Tracker'!$E:$E,'Positions Tracker'!$B580,'Candidate Tracker'!$C:$C,"&lt;&gt;WIP",'Candidate Tracker'!$C:$C,"&lt;&gt;Hold",'Candidate Tracker'!$C:$C,"&lt;&gt;Cancelled",'Candidate Tracker'!$C:$C,"&lt;&gt;Closed")/COUNTIFS('Candidate Tracker'!$E:$E,'Positions Tracker'!$B580)),"")</f>
        <v/>
      </c>
      <c r="BD580" s="67" t="str">
        <f t="shared" si="54"/>
        <v/>
      </c>
      <c r="BE580" s="67" t="str">
        <f t="shared" si="55"/>
        <v/>
      </c>
      <c r="BF580" s="67" t="str">
        <f t="shared" si="56"/>
        <v/>
      </c>
      <c r="BG580" s="67" t="str">
        <f t="shared" si="57"/>
        <v/>
      </c>
    </row>
    <row r="581" spans="1:59">
      <c r="A581" s="55"/>
      <c r="B581" s="56"/>
      <c r="C581" s="56"/>
      <c r="D581" s="56"/>
      <c r="E581" s="56"/>
      <c r="F581" s="56"/>
      <c r="G581" s="56"/>
      <c r="H581" s="56"/>
      <c r="I581" s="6"/>
      <c r="J581" s="6"/>
      <c r="K581" s="57"/>
      <c r="L581" s="57"/>
      <c r="M581" s="57"/>
      <c r="N581" s="56"/>
      <c r="O581" s="56"/>
      <c r="P581" s="56"/>
      <c r="Q581" s="56"/>
      <c r="R581" s="56"/>
      <c r="S581" s="56"/>
      <c r="T581" s="56"/>
      <c r="U581" s="56"/>
      <c r="V581" s="56"/>
      <c r="W581" s="56"/>
      <c r="X581" s="56"/>
      <c r="Y581" s="56"/>
      <c r="Z581" s="56"/>
      <c r="AA581" s="56"/>
      <c r="AB581" s="56"/>
      <c r="AC581" s="56"/>
      <c r="AD581" s="56"/>
      <c r="AE581" s="56"/>
      <c r="AF581" s="56"/>
      <c r="AG581" s="56"/>
      <c r="AH581" s="56"/>
      <c r="AI581" s="58"/>
      <c r="AJ581" s="56"/>
      <c r="AK581" s="56"/>
      <c r="AL581" s="56"/>
      <c r="AM581" s="57"/>
      <c r="AN581" s="57"/>
      <c r="AO581" s="56"/>
      <c r="AP581" s="56"/>
      <c r="AQ581" s="57"/>
      <c r="AR581" s="57"/>
      <c r="AS581" s="57"/>
      <c r="AT581" s="67">
        <f t="shared" ca="1" si="58"/>
        <v>0</v>
      </c>
      <c r="AU581" s="79" t="str">
        <f t="shared" ca="1" si="59"/>
        <v/>
      </c>
      <c r="AV581" s="79" t="str" cm="1">
        <f t="array" aca="1" ref="AV581" ca="1">IFERROR(_xlfn.IFS($AU581="","",$AU581&lt;=15,"0-15",AND($AU581&gt;=16,$AU581&lt;=30),"16-30",AND($AU581&gt;=31,$AU581&lt;=45),"31-45",AND($AU581&gt;=46,$AU581&lt;=60),"46-60",AND($AU581&gt;=61,$AU581&lt;=90),"61-90",AND($AU581&gt;=91),"&gt; 90",AND($AU581&gt;=2000),""),"")</f>
        <v/>
      </c>
      <c r="AW581" s="79" t="str" cm="1">
        <f t="array" aca="1" ref="AW581" ca="1">IFERROR(_xlfn.IFS(OR($M581="",$AM581=""),"",OR($C581="Offered",$C581="Joined"),($AM581-$M581)-$AT581),"")</f>
        <v/>
      </c>
      <c r="AX581" s="79" t="str" cm="1">
        <f t="array" aca="1" ref="AX581" ca="1">IFERROR(_xlfn.IFS(OR($M581="",$AS581=""),"",$C581="Joined",($AS581-$M581)-$AT581),"")</f>
        <v/>
      </c>
      <c r="AY581" s="67" t="str">
        <f>IFERROR(IF(COUNTIFS('Candidate Tracker'!$E:$E,'Positions Tracker'!$B581,'Candidate Tracker'!$C:$C,"Offer Drop")=0,"",COUNTIFS('Candidate Tracker'!$E:$E,'Positions Tracker'!$B581,'Candidate Tracker'!$C:$C,"Offer Drop")),"")</f>
        <v/>
      </c>
      <c r="AZ581" s="80">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0.88111888111888115</v>
      </c>
      <c r="BA581" s="81" t="str">
        <f>IFERROR(IF(COUNTIFS('Candidate Tracker'!$E:$E,'Positions Tracker'!$B581,'Candidate Tracker'!$I:$I,"Female")=0,"",COUNTIFS('Candidate Tracker'!$E:$E,'Positions Tracker'!$B581,'Candidate Tracker'!$I:$I,"Female")),"")</f>
        <v/>
      </c>
      <c r="BB581" s="81" t="str">
        <f>IFERROR(IF(COUNTIFS('Candidate Tracker'!$E:$E,'Positions Tracker'!$B581,'Candidate Tracker'!$I:$I,"male")=0,"",COUNTIFS('Candidate Tracker'!$E:$E,'Positions Tracker'!$B581,'Candidate Tracker'!$I:$I,"male")),"")</f>
        <v/>
      </c>
      <c r="BC581" s="80" t="str">
        <f>IFERROR(IF(COUNTIFS('Candidate Tracker'!$E:$E,'Positions Tracker'!$B581,'Candidate Tracker'!$C:$C,"&lt;&gt;WIP",'Candidate Tracker'!$C:$C,"&lt;&gt;Hold",'Candidate Tracker'!$C:$C,"&lt;&gt;Cancelled",'Candidate Tracker'!$C:$C,"&lt;&gt;Closed")/COUNTIFS('Candidate Tracker'!$E:$E,'Positions Tracker'!$B581)=0,"",COUNTIFS('Candidate Tracker'!$E:$E,'Positions Tracker'!$B581,'Candidate Tracker'!$C:$C,"&lt;&gt;WIP",'Candidate Tracker'!$C:$C,"&lt;&gt;Hold",'Candidate Tracker'!$C:$C,"&lt;&gt;Cancelled",'Candidate Tracker'!$C:$C,"&lt;&gt;Closed")/COUNTIFS('Candidate Tracker'!$E:$E,'Positions Tracker'!$B581)),"")</f>
        <v/>
      </c>
      <c r="BD581" s="67" t="str">
        <f t="shared" si="54"/>
        <v/>
      </c>
      <c r="BE581" s="67" t="str">
        <f t="shared" si="55"/>
        <v/>
      </c>
      <c r="BF581" s="67" t="str">
        <f t="shared" si="56"/>
        <v/>
      </c>
      <c r="BG581" s="67" t="str">
        <f t="shared" si="57"/>
        <v/>
      </c>
    </row>
    <row r="582" spans="1:59">
      <c r="A582" s="55"/>
      <c r="B582" s="56"/>
      <c r="C582" s="56"/>
      <c r="D582" s="56"/>
      <c r="E582" s="56"/>
      <c r="F582" s="56"/>
      <c r="G582" s="56"/>
      <c r="H582" s="56"/>
      <c r="I582" s="6"/>
      <c r="J582" s="6"/>
      <c r="K582" s="57"/>
      <c r="L582" s="57"/>
      <c r="M582" s="57"/>
      <c r="N582" s="56"/>
      <c r="O582" s="56"/>
      <c r="P582" s="56"/>
      <c r="Q582" s="56"/>
      <c r="R582" s="56"/>
      <c r="S582" s="56"/>
      <c r="T582" s="56"/>
      <c r="U582" s="56"/>
      <c r="V582" s="56"/>
      <c r="W582" s="56"/>
      <c r="X582" s="56"/>
      <c r="Y582" s="56"/>
      <c r="Z582" s="56"/>
      <c r="AA582" s="56"/>
      <c r="AB582" s="56"/>
      <c r="AC582" s="56"/>
      <c r="AD582" s="56"/>
      <c r="AE582" s="56"/>
      <c r="AF582" s="56"/>
      <c r="AG582" s="56"/>
      <c r="AH582" s="56"/>
      <c r="AI582" s="58"/>
      <c r="AJ582" s="56"/>
      <c r="AK582" s="56"/>
      <c r="AL582" s="56"/>
      <c r="AM582" s="57"/>
      <c r="AN582" s="57"/>
      <c r="AO582" s="56"/>
      <c r="AP582" s="56"/>
      <c r="AQ582" s="57"/>
      <c r="AR582" s="57"/>
      <c r="AS582" s="57"/>
      <c r="AT582" s="67">
        <f t="shared" ca="1" si="58"/>
        <v>0</v>
      </c>
      <c r="AU582" s="79" t="str">
        <f t="shared" ca="1" si="59"/>
        <v/>
      </c>
      <c r="AV582" s="79" t="str" cm="1">
        <f t="array" aca="1" ref="AV582" ca="1">IFERROR(_xlfn.IFS($AU582="","",$AU582&lt;=15,"0-15",AND($AU582&gt;=16,$AU582&lt;=30),"16-30",AND($AU582&gt;=31,$AU582&lt;=45),"31-45",AND($AU582&gt;=46,$AU582&lt;=60),"46-60",AND($AU582&gt;=61,$AU582&lt;=90),"61-90",AND($AU582&gt;=91),"&gt; 90",AND($AU582&gt;=2000),""),"")</f>
        <v/>
      </c>
      <c r="AW582" s="79" t="str" cm="1">
        <f t="array" aca="1" ref="AW582" ca="1">IFERROR(_xlfn.IFS(OR($M582="",$AM582=""),"",OR($C582="Offered",$C582="Joined"),($AM582-$M582)-$AT582),"")</f>
        <v/>
      </c>
      <c r="AX582" s="79" t="str" cm="1">
        <f t="array" aca="1" ref="AX582" ca="1">IFERROR(_xlfn.IFS(OR($M582="",$AS582=""),"",$C582="Joined",($AS582-$M582)-$AT582),"")</f>
        <v/>
      </c>
      <c r="AY582" s="67" t="str">
        <f>IFERROR(IF(COUNTIFS('Candidate Tracker'!$E:$E,'Positions Tracker'!$B582,'Candidate Tracker'!$C:$C,"Offer Drop")=0,"",COUNTIFS('Candidate Tracker'!$E:$E,'Positions Tracker'!$B582,'Candidate Tracker'!$C:$C,"Offer Drop")),"")</f>
        <v/>
      </c>
      <c r="AZ582" s="80">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0.88111888111888115</v>
      </c>
      <c r="BA582" s="81" t="str">
        <f>IFERROR(IF(COUNTIFS('Candidate Tracker'!$E:$E,'Positions Tracker'!$B582,'Candidate Tracker'!$I:$I,"Female")=0,"",COUNTIFS('Candidate Tracker'!$E:$E,'Positions Tracker'!$B582,'Candidate Tracker'!$I:$I,"Female")),"")</f>
        <v/>
      </c>
      <c r="BB582" s="81" t="str">
        <f>IFERROR(IF(COUNTIFS('Candidate Tracker'!$E:$E,'Positions Tracker'!$B582,'Candidate Tracker'!$I:$I,"male")=0,"",COUNTIFS('Candidate Tracker'!$E:$E,'Positions Tracker'!$B582,'Candidate Tracker'!$I:$I,"male")),"")</f>
        <v/>
      </c>
      <c r="BC582" s="80" t="str">
        <f>IFERROR(IF(COUNTIFS('Candidate Tracker'!$E:$E,'Positions Tracker'!$B582,'Candidate Tracker'!$C:$C,"&lt;&gt;WIP",'Candidate Tracker'!$C:$C,"&lt;&gt;Hold",'Candidate Tracker'!$C:$C,"&lt;&gt;Cancelled",'Candidate Tracker'!$C:$C,"&lt;&gt;Closed")/COUNTIFS('Candidate Tracker'!$E:$E,'Positions Tracker'!$B582)=0,"",COUNTIFS('Candidate Tracker'!$E:$E,'Positions Tracker'!$B582,'Candidate Tracker'!$C:$C,"&lt;&gt;WIP",'Candidate Tracker'!$C:$C,"&lt;&gt;Hold",'Candidate Tracker'!$C:$C,"&lt;&gt;Cancelled",'Candidate Tracker'!$C:$C,"&lt;&gt;Closed")/COUNTIFS('Candidate Tracker'!$E:$E,'Positions Tracker'!$B582)),"")</f>
        <v/>
      </c>
      <c r="BD582" s="67" t="str">
        <f t="shared" si="54"/>
        <v/>
      </c>
      <c r="BE582" s="67" t="str">
        <f t="shared" si="55"/>
        <v/>
      </c>
      <c r="BF582" s="67" t="str">
        <f t="shared" si="56"/>
        <v/>
      </c>
      <c r="BG582" s="67" t="str">
        <f t="shared" si="57"/>
        <v/>
      </c>
    </row>
    <row r="583" spans="1:59">
      <c r="A583" s="55"/>
      <c r="B583" s="56"/>
      <c r="C583" s="56"/>
      <c r="D583" s="56"/>
      <c r="E583" s="56"/>
      <c r="F583" s="56"/>
      <c r="G583" s="56"/>
      <c r="H583" s="56"/>
      <c r="I583" s="6"/>
      <c r="J583" s="6"/>
      <c r="K583" s="57"/>
      <c r="L583" s="57"/>
      <c r="M583" s="57"/>
      <c r="N583" s="56"/>
      <c r="O583" s="56"/>
      <c r="P583" s="56"/>
      <c r="Q583" s="56"/>
      <c r="R583" s="56"/>
      <c r="S583" s="56"/>
      <c r="T583" s="56"/>
      <c r="U583" s="56"/>
      <c r="V583" s="56"/>
      <c r="W583" s="56"/>
      <c r="X583" s="56"/>
      <c r="Y583" s="56"/>
      <c r="Z583" s="56"/>
      <c r="AA583" s="56"/>
      <c r="AB583" s="56"/>
      <c r="AC583" s="56"/>
      <c r="AD583" s="56"/>
      <c r="AE583" s="56"/>
      <c r="AF583" s="56"/>
      <c r="AG583" s="56"/>
      <c r="AH583" s="56"/>
      <c r="AI583" s="58"/>
      <c r="AJ583" s="56"/>
      <c r="AK583" s="56"/>
      <c r="AL583" s="56"/>
      <c r="AM583" s="57"/>
      <c r="AN583" s="57"/>
      <c r="AO583" s="56"/>
      <c r="AP583" s="56"/>
      <c r="AQ583" s="57"/>
      <c r="AR583" s="57"/>
      <c r="AS583" s="57"/>
      <c r="AT583" s="67">
        <f t="shared" ca="1" si="58"/>
        <v>0</v>
      </c>
      <c r="AU583" s="79" t="str">
        <f t="shared" ca="1" si="59"/>
        <v/>
      </c>
      <c r="AV583" s="79" t="str" cm="1">
        <f t="array" aca="1" ref="AV583" ca="1">IFERROR(_xlfn.IFS($AU583="","",$AU583&lt;=15,"0-15",AND($AU583&gt;=16,$AU583&lt;=30),"16-30",AND($AU583&gt;=31,$AU583&lt;=45),"31-45",AND($AU583&gt;=46,$AU583&lt;=60),"46-60",AND($AU583&gt;=61,$AU583&lt;=90),"61-90",AND($AU583&gt;=91),"&gt; 90",AND($AU583&gt;=2000),""),"")</f>
        <v/>
      </c>
      <c r="AW583" s="79" t="str" cm="1">
        <f t="array" aca="1" ref="AW583" ca="1">IFERROR(_xlfn.IFS(OR($M583="",$AM583=""),"",OR($C583="Offered",$C583="Joined"),($AM583-$M583)-$AT583),"")</f>
        <v/>
      </c>
      <c r="AX583" s="79" t="str" cm="1">
        <f t="array" aca="1" ref="AX583" ca="1">IFERROR(_xlfn.IFS(OR($M583="",$AS583=""),"",$C583="Joined",($AS583-$M583)-$AT583),"")</f>
        <v/>
      </c>
      <c r="AY583" s="67" t="str">
        <f>IFERROR(IF(COUNTIFS('Candidate Tracker'!$E:$E,'Positions Tracker'!$B583,'Candidate Tracker'!$C:$C,"Offer Drop")=0,"",COUNTIFS('Candidate Tracker'!$E:$E,'Positions Tracker'!$B583,'Candidate Tracker'!$C:$C,"Offer Drop")),"")</f>
        <v/>
      </c>
      <c r="AZ583" s="80">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0.88111888111888115</v>
      </c>
      <c r="BA583" s="81" t="str">
        <f>IFERROR(IF(COUNTIFS('Candidate Tracker'!$E:$E,'Positions Tracker'!$B583,'Candidate Tracker'!$I:$I,"Female")=0,"",COUNTIFS('Candidate Tracker'!$E:$E,'Positions Tracker'!$B583,'Candidate Tracker'!$I:$I,"Female")),"")</f>
        <v/>
      </c>
      <c r="BB583" s="81" t="str">
        <f>IFERROR(IF(COUNTIFS('Candidate Tracker'!$E:$E,'Positions Tracker'!$B583,'Candidate Tracker'!$I:$I,"male")=0,"",COUNTIFS('Candidate Tracker'!$E:$E,'Positions Tracker'!$B583,'Candidate Tracker'!$I:$I,"male")),"")</f>
        <v/>
      </c>
      <c r="BC583" s="80" t="str">
        <f>IFERROR(IF(COUNTIFS('Candidate Tracker'!$E:$E,'Positions Tracker'!$B583,'Candidate Tracker'!$C:$C,"&lt;&gt;WIP",'Candidate Tracker'!$C:$C,"&lt;&gt;Hold",'Candidate Tracker'!$C:$C,"&lt;&gt;Cancelled",'Candidate Tracker'!$C:$C,"&lt;&gt;Closed")/COUNTIFS('Candidate Tracker'!$E:$E,'Positions Tracker'!$B583)=0,"",COUNTIFS('Candidate Tracker'!$E:$E,'Positions Tracker'!$B583,'Candidate Tracker'!$C:$C,"&lt;&gt;WIP",'Candidate Tracker'!$C:$C,"&lt;&gt;Hold",'Candidate Tracker'!$C:$C,"&lt;&gt;Cancelled",'Candidate Tracker'!$C:$C,"&lt;&gt;Closed")/COUNTIFS('Candidate Tracker'!$E:$E,'Positions Tracker'!$B583)),"")</f>
        <v/>
      </c>
      <c r="BD583" s="67" t="str">
        <f t="shared" si="54"/>
        <v/>
      </c>
      <c r="BE583" s="67" t="str">
        <f t="shared" si="55"/>
        <v/>
      </c>
      <c r="BF583" s="67" t="str">
        <f t="shared" si="56"/>
        <v/>
      </c>
      <c r="BG583" s="67" t="str">
        <f t="shared" si="57"/>
        <v/>
      </c>
    </row>
    <row r="584" spans="1:59">
      <c r="A584" s="55"/>
      <c r="B584" s="56"/>
      <c r="C584" s="56"/>
      <c r="D584" s="56"/>
      <c r="E584" s="56"/>
      <c r="F584" s="56"/>
      <c r="G584" s="56"/>
      <c r="H584" s="56"/>
      <c r="I584" s="6"/>
      <c r="J584" s="6"/>
      <c r="K584" s="57"/>
      <c r="L584" s="57"/>
      <c r="M584" s="57"/>
      <c r="N584" s="56"/>
      <c r="O584" s="56"/>
      <c r="P584" s="56"/>
      <c r="Q584" s="56"/>
      <c r="R584" s="56"/>
      <c r="S584" s="56"/>
      <c r="T584" s="56"/>
      <c r="U584" s="56"/>
      <c r="V584" s="56"/>
      <c r="W584" s="56"/>
      <c r="X584" s="56"/>
      <c r="Y584" s="56"/>
      <c r="Z584" s="56"/>
      <c r="AA584" s="56"/>
      <c r="AB584" s="56"/>
      <c r="AC584" s="56"/>
      <c r="AD584" s="56"/>
      <c r="AE584" s="56"/>
      <c r="AF584" s="56"/>
      <c r="AG584" s="56"/>
      <c r="AH584" s="56"/>
      <c r="AI584" s="58"/>
      <c r="AJ584" s="56"/>
      <c r="AK584" s="56"/>
      <c r="AL584" s="56"/>
      <c r="AM584" s="57"/>
      <c r="AN584" s="57"/>
      <c r="AO584" s="56"/>
      <c r="AP584" s="56"/>
      <c r="AQ584" s="57"/>
      <c r="AR584" s="57"/>
      <c r="AS584" s="57"/>
      <c r="AT584" s="67">
        <f t="shared" ca="1" si="58"/>
        <v>0</v>
      </c>
      <c r="AU584" s="79" t="str">
        <f t="shared" ca="1" si="59"/>
        <v/>
      </c>
      <c r="AV584" s="79" t="str" cm="1">
        <f t="array" aca="1" ref="AV584" ca="1">IFERROR(_xlfn.IFS($AU584="","",$AU584&lt;=15,"0-15",AND($AU584&gt;=16,$AU584&lt;=30),"16-30",AND($AU584&gt;=31,$AU584&lt;=45),"31-45",AND($AU584&gt;=46,$AU584&lt;=60),"46-60",AND($AU584&gt;=61,$AU584&lt;=90),"61-90",AND($AU584&gt;=91),"&gt; 90",AND($AU584&gt;=2000),""),"")</f>
        <v/>
      </c>
      <c r="AW584" s="79" t="str" cm="1">
        <f t="array" aca="1" ref="AW584" ca="1">IFERROR(_xlfn.IFS(OR($M584="",$AM584=""),"",OR($C584="Offered",$C584="Joined"),($AM584-$M584)-$AT584),"")</f>
        <v/>
      </c>
      <c r="AX584" s="79" t="str" cm="1">
        <f t="array" aca="1" ref="AX584" ca="1">IFERROR(_xlfn.IFS(OR($M584="",$AS584=""),"",$C584="Joined",($AS584-$M584)-$AT584),"")</f>
        <v/>
      </c>
      <c r="AY584" s="67" t="str">
        <f>IFERROR(IF(COUNTIFS('Candidate Tracker'!$E:$E,'Positions Tracker'!$B584,'Candidate Tracker'!$C:$C,"Offer Drop")=0,"",COUNTIFS('Candidate Tracker'!$E:$E,'Positions Tracker'!$B584,'Candidate Tracker'!$C:$C,"Offer Drop")),"")</f>
        <v/>
      </c>
      <c r="AZ584" s="80">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0.88111888111888115</v>
      </c>
      <c r="BA584" s="81" t="str">
        <f>IFERROR(IF(COUNTIFS('Candidate Tracker'!$E:$E,'Positions Tracker'!$B584,'Candidate Tracker'!$I:$I,"Female")=0,"",COUNTIFS('Candidate Tracker'!$E:$E,'Positions Tracker'!$B584,'Candidate Tracker'!$I:$I,"Female")),"")</f>
        <v/>
      </c>
      <c r="BB584" s="81" t="str">
        <f>IFERROR(IF(COUNTIFS('Candidate Tracker'!$E:$E,'Positions Tracker'!$B584,'Candidate Tracker'!$I:$I,"male")=0,"",COUNTIFS('Candidate Tracker'!$E:$E,'Positions Tracker'!$B584,'Candidate Tracker'!$I:$I,"male")),"")</f>
        <v/>
      </c>
      <c r="BC584" s="80" t="str">
        <f>IFERROR(IF(COUNTIFS('Candidate Tracker'!$E:$E,'Positions Tracker'!$B584,'Candidate Tracker'!$C:$C,"&lt;&gt;WIP",'Candidate Tracker'!$C:$C,"&lt;&gt;Hold",'Candidate Tracker'!$C:$C,"&lt;&gt;Cancelled",'Candidate Tracker'!$C:$C,"&lt;&gt;Closed")/COUNTIFS('Candidate Tracker'!$E:$E,'Positions Tracker'!$B584)=0,"",COUNTIFS('Candidate Tracker'!$E:$E,'Positions Tracker'!$B584,'Candidate Tracker'!$C:$C,"&lt;&gt;WIP",'Candidate Tracker'!$C:$C,"&lt;&gt;Hold",'Candidate Tracker'!$C:$C,"&lt;&gt;Cancelled",'Candidate Tracker'!$C:$C,"&lt;&gt;Closed")/COUNTIFS('Candidate Tracker'!$E:$E,'Positions Tracker'!$B584)),"")</f>
        <v/>
      </c>
      <c r="BD584" s="67" t="str">
        <f t="shared" si="54"/>
        <v/>
      </c>
      <c r="BE584" s="67" t="str">
        <f t="shared" si="55"/>
        <v/>
      </c>
      <c r="BF584" s="67" t="str">
        <f t="shared" si="56"/>
        <v/>
      </c>
      <c r="BG584" s="67" t="str">
        <f t="shared" si="57"/>
        <v/>
      </c>
    </row>
    <row r="585" spans="1:59">
      <c r="A585" s="55"/>
      <c r="B585" s="56"/>
      <c r="C585" s="56"/>
      <c r="D585" s="56"/>
      <c r="E585" s="56"/>
      <c r="F585" s="56"/>
      <c r="G585" s="56"/>
      <c r="H585" s="56"/>
      <c r="I585" s="6"/>
      <c r="J585" s="6"/>
      <c r="K585" s="57"/>
      <c r="L585" s="57"/>
      <c r="M585" s="57"/>
      <c r="N585" s="56"/>
      <c r="O585" s="56"/>
      <c r="P585" s="56"/>
      <c r="Q585" s="56"/>
      <c r="R585" s="56"/>
      <c r="S585" s="56"/>
      <c r="T585" s="56"/>
      <c r="U585" s="56"/>
      <c r="V585" s="56"/>
      <c r="W585" s="56"/>
      <c r="X585" s="56"/>
      <c r="Y585" s="56"/>
      <c r="Z585" s="56"/>
      <c r="AA585" s="56"/>
      <c r="AB585" s="56"/>
      <c r="AC585" s="56"/>
      <c r="AD585" s="56"/>
      <c r="AE585" s="56"/>
      <c r="AF585" s="56"/>
      <c r="AG585" s="56"/>
      <c r="AH585" s="56"/>
      <c r="AI585" s="58"/>
      <c r="AJ585" s="56"/>
      <c r="AK585" s="56"/>
      <c r="AL585" s="56"/>
      <c r="AM585" s="57"/>
      <c r="AN585" s="57"/>
      <c r="AO585" s="56"/>
      <c r="AP585" s="56"/>
      <c r="AQ585" s="57"/>
      <c r="AR585" s="57"/>
      <c r="AS585" s="57"/>
      <c r="AT585" s="67">
        <f t="shared" ca="1" si="58"/>
        <v>0</v>
      </c>
      <c r="AU585" s="79" t="str">
        <f t="shared" ca="1" si="59"/>
        <v/>
      </c>
      <c r="AV585" s="79" t="str" cm="1">
        <f t="array" aca="1" ref="AV585" ca="1">IFERROR(_xlfn.IFS($AU585="","",$AU585&lt;=15,"0-15",AND($AU585&gt;=16,$AU585&lt;=30),"16-30",AND($AU585&gt;=31,$AU585&lt;=45),"31-45",AND($AU585&gt;=46,$AU585&lt;=60),"46-60",AND($AU585&gt;=61,$AU585&lt;=90),"61-90",AND($AU585&gt;=91),"&gt; 90",AND($AU585&gt;=2000),""),"")</f>
        <v/>
      </c>
      <c r="AW585" s="79" t="str" cm="1">
        <f t="array" aca="1" ref="AW585" ca="1">IFERROR(_xlfn.IFS(OR($M585="",$AM585=""),"",OR($C585="Offered",$C585="Joined"),($AM585-$M585)-$AT585),"")</f>
        <v/>
      </c>
      <c r="AX585" s="79" t="str" cm="1">
        <f t="array" aca="1" ref="AX585" ca="1">IFERROR(_xlfn.IFS(OR($M585="",$AS585=""),"",$C585="Joined",($AS585-$M585)-$AT585),"")</f>
        <v/>
      </c>
      <c r="AY585" s="67" t="str">
        <f>IFERROR(IF(COUNTIFS('Candidate Tracker'!$E:$E,'Positions Tracker'!$B585,'Candidate Tracker'!$C:$C,"Offer Drop")=0,"",COUNTIFS('Candidate Tracker'!$E:$E,'Positions Tracker'!$B585,'Candidate Tracker'!$C:$C,"Offer Drop")),"")</f>
        <v/>
      </c>
      <c r="AZ585" s="80">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0.88111888111888115</v>
      </c>
      <c r="BA585" s="81" t="str">
        <f>IFERROR(IF(COUNTIFS('Candidate Tracker'!$E:$E,'Positions Tracker'!$B585,'Candidate Tracker'!$I:$I,"Female")=0,"",COUNTIFS('Candidate Tracker'!$E:$E,'Positions Tracker'!$B585,'Candidate Tracker'!$I:$I,"Female")),"")</f>
        <v/>
      </c>
      <c r="BB585" s="81" t="str">
        <f>IFERROR(IF(COUNTIFS('Candidate Tracker'!$E:$E,'Positions Tracker'!$B585,'Candidate Tracker'!$I:$I,"male")=0,"",COUNTIFS('Candidate Tracker'!$E:$E,'Positions Tracker'!$B585,'Candidate Tracker'!$I:$I,"male")),"")</f>
        <v/>
      </c>
      <c r="BC585" s="80" t="str">
        <f>IFERROR(IF(COUNTIFS('Candidate Tracker'!$E:$E,'Positions Tracker'!$B585,'Candidate Tracker'!$C:$C,"&lt;&gt;WIP",'Candidate Tracker'!$C:$C,"&lt;&gt;Hold",'Candidate Tracker'!$C:$C,"&lt;&gt;Cancelled",'Candidate Tracker'!$C:$C,"&lt;&gt;Closed")/COUNTIFS('Candidate Tracker'!$E:$E,'Positions Tracker'!$B585)=0,"",COUNTIFS('Candidate Tracker'!$E:$E,'Positions Tracker'!$B585,'Candidate Tracker'!$C:$C,"&lt;&gt;WIP",'Candidate Tracker'!$C:$C,"&lt;&gt;Hold",'Candidate Tracker'!$C:$C,"&lt;&gt;Cancelled",'Candidate Tracker'!$C:$C,"&lt;&gt;Closed")/COUNTIFS('Candidate Tracker'!$E:$E,'Positions Tracker'!$B585)),"")</f>
        <v/>
      </c>
      <c r="BD585" s="67" t="str">
        <f t="shared" si="54"/>
        <v/>
      </c>
      <c r="BE585" s="67" t="str">
        <f t="shared" si="55"/>
        <v/>
      </c>
      <c r="BF585" s="67" t="str">
        <f t="shared" si="56"/>
        <v/>
      </c>
      <c r="BG585" s="67" t="str">
        <f t="shared" si="57"/>
        <v/>
      </c>
    </row>
    <row r="586" spans="1:59">
      <c r="A586" s="55"/>
      <c r="B586" s="56"/>
      <c r="C586" s="56"/>
      <c r="D586" s="56"/>
      <c r="E586" s="56"/>
      <c r="F586" s="56"/>
      <c r="G586" s="56"/>
      <c r="H586" s="56"/>
      <c r="I586" s="6"/>
      <c r="J586" s="6"/>
      <c r="K586" s="57"/>
      <c r="L586" s="57"/>
      <c r="M586" s="57"/>
      <c r="N586" s="56"/>
      <c r="O586" s="56"/>
      <c r="P586" s="56"/>
      <c r="Q586" s="56"/>
      <c r="R586" s="56"/>
      <c r="S586" s="56"/>
      <c r="T586" s="56"/>
      <c r="U586" s="56"/>
      <c r="V586" s="56"/>
      <c r="W586" s="56"/>
      <c r="X586" s="56"/>
      <c r="Y586" s="56"/>
      <c r="Z586" s="56"/>
      <c r="AA586" s="56"/>
      <c r="AB586" s="56"/>
      <c r="AC586" s="56"/>
      <c r="AD586" s="56"/>
      <c r="AE586" s="56"/>
      <c r="AF586" s="56"/>
      <c r="AG586" s="56"/>
      <c r="AH586" s="56"/>
      <c r="AI586" s="58"/>
      <c r="AJ586" s="56"/>
      <c r="AK586" s="56"/>
      <c r="AL586" s="56"/>
      <c r="AM586" s="57"/>
      <c r="AN586" s="57"/>
      <c r="AO586" s="56"/>
      <c r="AP586" s="56"/>
      <c r="AQ586" s="57"/>
      <c r="AR586" s="57"/>
      <c r="AS586" s="57"/>
      <c r="AT586" s="67">
        <f t="shared" ca="1" si="58"/>
        <v>0</v>
      </c>
      <c r="AU586" s="79" t="str">
        <f t="shared" ca="1" si="59"/>
        <v/>
      </c>
      <c r="AV586" s="79" t="str" cm="1">
        <f t="array" aca="1" ref="AV586" ca="1">IFERROR(_xlfn.IFS($AU586="","",$AU586&lt;=15,"0-15",AND($AU586&gt;=16,$AU586&lt;=30),"16-30",AND($AU586&gt;=31,$AU586&lt;=45),"31-45",AND($AU586&gt;=46,$AU586&lt;=60),"46-60",AND($AU586&gt;=61,$AU586&lt;=90),"61-90",AND($AU586&gt;=91),"&gt; 90",AND($AU586&gt;=2000),""),"")</f>
        <v/>
      </c>
      <c r="AW586" s="79" t="str" cm="1">
        <f t="array" aca="1" ref="AW586" ca="1">IFERROR(_xlfn.IFS(OR($M586="",$AM586=""),"",OR($C586="Offered",$C586="Joined"),($AM586-$M586)-$AT586),"")</f>
        <v/>
      </c>
      <c r="AX586" s="79" t="str" cm="1">
        <f t="array" aca="1" ref="AX586" ca="1">IFERROR(_xlfn.IFS(OR($M586="",$AS586=""),"",$C586="Joined",($AS586-$M586)-$AT586),"")</f>
        <v/>
      </c>
      <c r="AY586" s="67" t="str">
        <f>IFERROR(IF(COUNTIFS('Candidate Tracker'!$E:$E,'Positions Tracker'!$B586,'Candidate Tracker'!$C:$C,"Offer Drop")=0,"",COUNTIFS('Candidate Tracker'!$E:$E,'Positions Tracker'!$B586,'Candidate Tracker'!$C:$C,"Offer Drop")),"")</f>
        <v/>
      </c>
      <c r="AZ586" s="80">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0.88111888111888115</v>
      </c>
      <c r="BA586" s="81" t="str">
        <f>IFERROR(IF(COUNTIFS('Candidate Tracker'!$E:$E,'Positions Tracker'!$B586,'Candidate Tracker'!$I:$I,"Female")=0,"",COUNTIFS('Candidate Tracker'!$E:$E,'Positions Tracker'!$B586,'Candidate Tracker'!$I:$I,"Female")),"")</f>
        <v/>
      </c>
      <c r="BB586" s="81" t="str">
        <f>IFERROR(IF(COUNTIFS('Candidate Tracker'!$E:$E,'Positions Tracker'!$B586,'Candidate Tracker'!$I:$I,"male")=0,"",COUNTIFS('Candidate Tracker'!$E:$E,'Positions Tracker'!$B586,'Candidate Tracker'!$I:$I,"male")),"")</f>
        <v/>
      </c>
      <c r="BC586" s="80" t="str">
        <f>IFERROR(IF(COUNTIFS('Candidate Tracker'!$E:$E,'Positions Tracker'!$B586,'Candidate Tracker'!$C:$C,"&lt;&gt;WIP",'Candidate Tracker'!$C:$C,"&lt;&gt;Hold",'Candidate Tracker'!$C:$C,"&lt;&gt;Cancelled",'Candidate Tracker'!$C:$C,"&lt;&gt;Closed")/COUNTIFS('Candidate Tracker'!$E:$E,'Positions Tracker'!$B586)=0,"",COUNTIFS('Candidate Tracker'!$E:$E,'Positions Tracker'!$B586,'Candidate Tracker'!$C:$C,"&lt;&gt;WIP",'Candidate Tracker'!$C:$C,"&lt;&gt;Hold",'Candidate Tracker'!$C:$C,"&lt;&gt;Cancelled",'Candidate Tracker'!$C:$C,"&lt;&gt;Closed")/COUNTIFS('Candidate Tracker'!$E:$E,'Positions Tracker'!$B586)),"")</f>
        <v/>
      </c>
      <c r="BD586" s="67" t="str">
        <f t="shared" si="54"/>
        <v/>
      </c>
      <c r="BE586" s="67" t="str">
        <f t="shared" si="55"/>
        <v/>
      </c>
      <c r="BF586" s="67" t="str">
        <f t="shared" si="56"/>
        <v/>
      </c>
      <c r="BG586" s="67" t="str">
        <f t="shared" si="57"/>
        <v/>
      </c>
    </row>
    <row r="587" spans="1:59">
      <c r="A587" s="55"/>
      <c r="B587" s="56"/>
      <c r="C587" s="56"/>
      <c r="D587" s="56"/>
      <c r="E587" s="56"/>
      <c r="F587" s="56"/>
      <c r="G587" s="56"/>
      <c r="H587" s="56"/>
      <c r="I587" s="6"/>
      <c r="J587" s="6"/>
      <c r="K587" s="57"/>
      <c r="L587" s="57"/>
      <c r="M587" s="57"/>
      <c r="N587" s="56"/>
      <c r="O587" s="56"/>
      <c r="P587" s="56"/>
      <c r="Q587" s="56"/>
      <c r="R587" s="56"/>
      <c r="S587" s="56"/>
      <c r="T587" s="56"/>
      <c r="U587" s="56"/>
      <c r="V587" s="56"/>
      <c r="W587" s="56"/>
      <c r="X587" s="56"/>
      <c r="Y587" s="56"/>
      <c r="Z587" s="56"/>
      <c r="AA587" s="56"/>
      <c r="AB587" s="56"/>
      <c r="AC587" s="56"/>
      <c r="AD587" s="56"/>
      <c r="AE587" s="56"/>
      <c r="AF587" s="56"/>
      <c r="AG587" s="56"/>
      <c r="AH587" s="56"/>
      <c r="AI587" s="58"/>
      <c r="AJ587" s="56"/>
      <c r="AK587" s="56"/>
      <c r="AL587" s="56"/>
      <c r="AM587" s="57"/>
      <c r="AN587" s="57"/>
      <c r="AO587" s="56"/>
      <c r="AP587" s="56"/>
      <c r="AQ587" s="57"/>
      <c r="AR587" s="57"/>
      <c r="AS587" s="57"/>
      <c r="AT587" s="67">
        <f t="shared" ca="1" si="58"/>
        <v>0</v>
      </c>
      <c r="AU587" s="79" t="str">
        <f t="shared" ca="1" si="59"/>
        <v/>
      </c>
      <c r="AV587" s="79" t="str" cm="1">
        <f t="array" aca="1" ref="AV587" ca="1">IFERROR(_xlfn.IFS($AU587="","",$AU587&lt;=15,"0-15",AND($AU587&gt;=16,$AU587&lt;=30),"16-30",AND($AU587&gt;=31,$AU587&lt;=45),"31-45",AND($AU587&gt;=46,$AU587&lt;=60),"46-60",AND($AU587&gt;=61,$AU587&lt;=90),"61-90",AND($AU587&gt;=91),"&gt; 90",AND($AU587&gt;=2000),""),"")</f>
        <v/>
      </c>
      <c r="AW587" s="79" t="str" cm="1">
        <f t="array" aca="1" ref="AW587" ca="1">IFERROR(_xlfn.IFS(OR($M587="",$AM587=""),"",OR($C587="Offered",$C587="Joined"),($AM587-$M587)-$AT587),"")</f>
        <v/>
      </c>
      <c r="AX587" s="79" t="str" cm="1">
        <f t="array" aca="1" ref="AX587" ca="1">IFERROR(_xlfn.IFS(OR($M587="",$AS587=""),"",$C587="Joined",($AS587-$M587)-$AT587),"")</f>
        <v/>
      </c>
      <c r="AY587" s="67" t="str">
        <f>IFERROR(IF(COUNTIFS('Candidate Tracker'!$E:$E,'Positions Tracker'!$B587,'Candidate Tracker'!$C:$C,"Offer Drop")=0,"",COUNTIFS('Candidate Tracker'!$E:$E,'Positions Tracker'!$B587,'Candidate Tracker'!$C:$C,"Offer Drop")),"")</f>
        <v/>
      </c>
      <c r="AZ587" s="80">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0.88111888111888115</v>
      </c>
      <c r="BA587" s="81" t="str">
        <f>IFERROR(IF(COUNTIFS('Candidate Tracker'!$E:$E,'Positions Tracker'!$B587,'Candidate Tracker'!$I:$I,"Female")=0,"",COUNTIFS('Candidate Tracker'!$E:$E,'Positions Tracker'!$B587,'Candidate Tracker'!$I:$I,"Female")),"")</f>
        <v/>
      </c>
      <c r="BB587" s="81" t="str">
        <f>IFERROR(IF(COUNTIFS('Candidate Tracker'!$E:$E,'Positions Tracker'!$B587,'Candidate Tracker'!$I:$I,"male")=0,"",COUNTIFS('Candidate Tracker'!$E:$E,'Positions Tracker'!$B587,'Candidate Tracker'!$I:$I,"male")),"")</f>
        <v/>
      </c>
      <c r="BC587" s="80" t="str">
        <f>IFERROR(IF(COUNTIFS('Candidate Tracker'!$E:$E,'Positions Tracker'!$B587,'Candidate Tracker'!$C:$C,"&lt;&gt;WIP",'Candidate Tracker'!$C:$C,"&lt;&gt;Hold",'Candidate Tracker'!$C:$C,"&lt;&gt;Cancelled",'Candidate Tracker'!$C:$C,"&lt;&gt;Closed")/COUNTIFS('Candidate Tracker'!$E:$E,'Positions Tracker'!$B587)=0,"",COUNTIFS('Candidate Tracker'!$E:$E,'Positions Tracker'!$B587,'Candidate Tracker'!$C:$C,"&lt;&gt;WIP",'Candidate Tracker'!$C:$C,"&lt;&gt;Hold",'Candidate Tracker'!$C:$C,"&lt;&gt;Cancelled",'Candidate Tracker'!$C:$C,"&lt;&gt;Closed")/COUNTIFS('Candidate Tracker'!$E:$E,'Positions Tracker'!$B587)),"")</f>
        <v/>
      </c>
      <c r="BD587" s="67" t="str">
        <f t="shared" si="54"/>
        <v/>
      </c>
      <c r="BE587" s="67" t="str">
        <f t="shared" si="55"/>
        <v/>
      </c>
      <c r="BF587" s="67" t="str">
        <f t="shared" si="56"/>
        <v/>
      </c>
      <c r="BG587" s="67" t="str">
        <f t="shared" si="57"/>
        <v/>
      </c>
    </row>
    <row r="588" spans="1:59">
      <c r="A588" s="55"/>
      <c r="B588" s="56"/>
      <c r="C588" s="56"/>
      <c r="D588" s="56"/>
      <c r="E588" s="56"/>
      <c r="F588" s="56"/>
      <c r="G588" s="56"/>
      <c r="H588" s="56"/>
      <c r="I588" s="6"/>
      <c r="J588" s="6"/>
      <c r="K588" s="57"/>
      <c r="L588" s="57"/>
      <c r="M588" s="57"/>
      <c r="N588" s="56"/>
      <c r="O588" s="56"/>
      <c r="P588" s="56"/>
      <c r="Q588" s="56"/>
      <c r="R588" s="56"/>
      <c r="S588" s="56"/>
      <c r="T588" s="56"/>
      <c r="U588" s="56"/>
      <c r="V588" s="56"/>
      <c r="W588" s="56"/>
      <c r="X588" s="56"/>
      <c r="Y588" s="56"/>
      <c r="Z588" s="56"/>
      <c r="AA588" s="56"/>
      <c r="AB588" s="56"/>
      <c r="AC588" s="56"/>
      <c r="AD588" s="56"/>
      <c r="AE588" s="56"/>
      <c r="AF588" s="56"/>
      <c r="AG588" s="56"/>
      <c r="AH588" s="56"/>
      <c r="AI588" s="58"/>
      <c r="AJ588" s="56"/>
      <c r="AK588" s="56"/>
      <c r="AL588" s="56"/>
      <c r="AM588" s="57"/>
      <c r="AN588" s="57"/>
      <c r="AO588" s="56"/>
      <c r="AP588" s="56"/>
      <c r="AQ588" s="57"/>
      <c r="AR588" s="57"/>
      <c r="AS588" s="57"/>
      <c r="AT588" s="67">
        <f t="shared" ca="1" si="58"/>
        <v>0</v>
      </c>
      <c r="AU588" s="79" t="str">
        <f t="shared" ca="1" si="59"/>
        <v/>
      </c>
      <c r="AV588" s="79" t="str" cm="1">
        <f t="array" aca="1" ref="AV588" ca="1">IFERROR(_xlfn.IFS($AU588="","",$AU588&lt;=15,"0-15",AND($AU588&gt;=16,$AU588&lt;=30),"16-30",AND($AU588&gt;=31,$AU588&lt;=45),"31-45",AND($AU588&gt;=46,$AU588&lt;=60),"46-60",AND($AU588&gt;=61,$AU588&lt;=90),"61-90",AND($AU588&gt;=91),"&gt; 90",AND($AU588&gt;=2000),""),"")</f>
        <v/>
      </c>
      <c r="AW588" s="79" t="str" cm="1">
        <f t="array" aca="1" ref="AW588" ca="1">IFERROR(_xlfn.IFS(OR($M588="",$AM588=""),"",OR($C588="Offered",$C588="Joined"),($AM588-$M588)-$AT588),"")</f>
        <v/>
      </c>
      <c r="AX588" s="79" t="str" cm="1">
        <f t="array" aca="1" ref="AX588" ca="1">IFERROR(_xlfn.IFS(OR($M588="",$AS588=""),"",$C588="Joined",($AS588-$M588)-$AT588),"")</f>
        <v/>
      </c>
      <c r="AY588" s="67" t="str">
        <f>IFERROR(IF(COUNTIFS('Candidate Tracker'!$E:$E,'Positions Tracker'!$B588,'Candidate Tracker'!$C:$C,"Offer Drop")=0,"",COUNTIFS('Candidate Tracker'!$E:$E,'Positions Tracker'!$B588,'Candidate Tracker'!$C:$C,"Offer Drop")),"")</f>
        <v/>
      </c>
      <c r="AZ588" s="80">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0.88111888111888115</v>
      </c>
      <c r="BA588" s="81" t="str">
        <f>IFERROR(IF(COUNTIFS('Candidate Tracker'!$E:$E,'Positions Tracker'!$B588,'Candidate Tracker'!$I:$I,"Female")=0,"",COUNTIFS('Candidate Tracker'!$E:$E,'Positions Tracker'!$B588,'Candidate Tracker'!$I:$I,"Female")),"")</f>
        <v/>
      </c>
      <c r="BB588" s="81" t="str">
        <f>IFERROR(IF(COUNTIFS('Candidate Tracker'!$E:$E,'Positions Tracker'!$B588,'Candidate Tracker'!$I:$I,"male")=0,"",COUNTIFS('Candidate Tracker'!$E:$E,'Positions Tracker'!$B588,'Candidate Tracker'!$I:$I,"male")),"")</f>
        <v/>
      </c>
      <c r="BC588" s="80" t="str">
        <f>IFERROR(IF(COUNTIFS('Candidate Tracker'!$E:$E,'Positions Tracker'!$B588,'Candidate Tracker'!$C:$C,"&lt;&gt;WIP",'Candidate Tracker'!$C:$C,"&lt;&gt;Hold",'Candidate Tracker'!$C:$C,"&lt;&gt;Cancelled",'Candidate Tracker'!$C:$C,"&lt;&gt;Closed")/COUNTIFS('Candidate Tracker'!$E:$E,'Positions Tracker'!$B588)=0,"",COUNTIFS('Candidate Tracker'!$E:$E,'Positions Tracker'!$B588,'Candidate Tracker'!$C:$C,"&lt;&gt;WIP",'Candidate Tracker'!$C:$C,"&lt;&gt;Hold",'Candidate Tracker'!$C:$C,"&lt;&gt;Cancelled",'Candidate Tracker'!$C:$C,"&lt;&gt;Closed")/COUNTIFS('Candidate Tracker'!$E:$E,'Positions Tracker'!$B588)),"")</f>
        <v/>
      </c>
      <c r="BD588" s="67" t="str">
        <f t="shared" si="54"/>
        <v/>
      </c>
      <c r="BE588" s="67" t="str">
        <f t="shared" si="55"/>
        <v/>
      </c>
      <c r="BF588" s="67" t="str">
        <f t="shared" si="56"/>
        <v/>
      </c>
      <c r="BG588" s="67" t="str">
        <f t="shared" si="57"/>
        <v/>
      </c>
    </row>
    <row r="589" spans="1:59">
      <c r="A589" s="55"/>
      <c r="B589" s="56"/>
      <c r="C589" s="56"/>
      <c r="D589" s="56"/>
      <c r="E589" s="56"/>
      <c r="F589" s="56"/>
      <c r="G589" s="56"/>
      <c r="H589" s="56"/>
      <c r="I589" s="6"/>
      <c r="J589" s="6"/>
      <c r="K589" s="57"/>
      <c r="L589" s="57"/>
      <c r="M589" s="57"/>
      <c r="N589" s="56"/>
      <c r="O589" s="56"/>
      <c r="P589" s="56"/>
      <c r="Q589" s="56"/>
      <c r="R589" s="56"/>
      <c r="S589" s="56"/>
      <c r="T589" s="56"/>
      <c r="U589" s="56"/>
      <c r="V589" s="56"/>
      <c r="W589" s="56"/>
      <c r="X589" s="56"/>
      <c r="Y589" s="56"/>
      <c r="Z589" s="56"/>
      <c r="AA589" s="56"/>
      <c r="AB589" s="56"/>
      <c r="AC589" s="56"/>
      <c r="AD589" s="56"/>
      <c r="AE589" s="56"/>
      <c r="AF589" s="56"/>
      <c r="AG589" s="56"/>
      <c r="AH589" s="56"/>
      <c r="AI589" s="58"/>
      <c r="AJ589" s="56"/>
      <c r="AK589" s="56"/>
      <c r="AL589" s="56"/>
      <c r="AM589" s="57"/>
      <c r="AN589" s="57"/>
      <c r="AO589" s="56"/>
      <c r="AP589" s="56"/>
      <c r="AQ589" s="57"/>
      <c r="AR589" s="57"/>
      <c r="AS589" s="57"/>
      <c r="AT589" s="67">
        <f t="shared" ca="1" si="58"/>
        <v>0</v>
      </c>
      <c r="AU589" s="79" t="str">
        <f t="shared" ca="1" si="59"/>
        <v/>
      </c>
      <c r="AV589" s="79" t="str" cm="1">
        <f t="array" aca="1" ref="AV589" ca="1">IFERROR(_xlfn.IFS($AU589="","",$AU589&lt;=15,"0-15",AND($AU589&gt;=16,$AU589&lt;=30),"16-30",AND($AU589&gt;=31,$AU589&lt;=45),"31-45",AND($AU589&gt;=46,$AU589&lt;=60),"46-60",AND($AU589&gt;=61,$AU589&lt;=90),"61-90",AND($AU589&gt;=91),"&gt; 90",AND($AU589&gt;=2000),""),"")</f>
        <v/>
      </c>
      <c r="AW589" s="79" t="str" cm="1">
        <f t="array" aca="1" ref="AW589" ca="1">IFERROR(_xlfn.IFS(OR($M589="",$AM589=""),"",OR($C589="Offered",$C589="Joined"),($AM589-$M589)-$AT589),"")</f>
        <v/>
      </c>
      <c r="AX589" s="79" t="str" cm="1">
        <f t="array" aca="1" ref="AX589" ca="1">IFERROR(_xlfn.IFS(OR($M589="",$AS589=""),"",$C589="Joined",($AS589-$M589)-$AT589),"")</f>
        <v/>
      </c>
      <c r="AY589" s="67" t="str">
        <f>IFERROR(IF(COUNTIFS('Candidate Tracker'!$E:$E,'Positions Tracker'!$B589,'Candidate Tracker'!$C:$C,"Offer Drop")=0,"",COUNTIFS('Candidate Tracker'!$E:$E,'Positions Tracker'!$B589,'Candidate Tracker'!$C:$C,"Offer Drop")),"")</f>
        <v/>
      </c>
      <c r="AZ589" s="80">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0.88111888111888115</v>
      </c>
      <c r="BA589" s="81" t="str">
        <f>IFERROR(IF(COUNTIFS('Candidate Tracker'!$E:$E,'Positions Tracker'!$B589,'Candidate Tracker'!$I:$I,"Female")=0,"",COUNTIFS('Candidate Tracker'!$E:$E,'Positions Tracker'!$B589,'Candidate Tracker'!$I:$I,"Female")),"")</f>
        <v/>
      </c>
      <c r="BB589" s="81" t="str">
        <f>IFERROR(IF(COUNTIFS('Candidate Tracker'!$E:$E,'Positions Tracker'!$B589,'Candidate Tracker'!$I:$I,"male")=0,"",COUNTIFS('Candidate Tracker'!$E:$E,'Positions Tracker'!$B589,'Candidate Tracker'!$I:$I,"male")),"")</f>
        <v/>
      </c>
      <c r="BC589" s="80" t="str">
        <f>IFERROR(IF(COUNTIFS('Candidate Tracker'!$E:$E,'Positions Tracker'!$B589,'Candidate Tracker'!$C:$C,"&lt;&gt;WIP",'Candidate Tracker'!$C:$C,"&lt;&gt;Hold",'Candidate Tracker'!$C:$C,"&lt;&gt;Cancelled",'Candidate Tracker'!$C:$C,"&lt;&gt;Closed")/COUNTIFS('Candidate Tracker'!$E:$E,'Positions Tracker'!$B589)=0,"",COUNTIFS('Candidate Tracker'!$E:$E,'Positions Tracker'!$B589,'Candidate Tracker'!$C:$C,"&lt;&gt;WIP",'Candidate Tracker'!$C:$C,"&lt;&gt;Hold",'Candidate Tracker'!$C:$C,"&lt;&gt;Cancelled",'Candidate Tracker'!$C:$C,"&lt;&gt;Closed")/COUNTIFS('Candidate Tracker'!$E:$E,'Positions Tracker'!$B589)),"")</f>
        <v/>
      </c>
      <c r="BD589" s="67" t="str">
        <f t="shared" si="54"/>
        <v/>
      </c>
      <c r="BE589" s="67" t="str">
        <f t="shared" si="55"/>
        <v/>
      </c>
      <c r="BF589" s="67" t="str">
        <f t="shared" si="56"/>
        <v/>
      </c>
      <c r="BG589" s="67" t="str">
        <f t="shared" si="57"/>
        <v/>
      </c>
    </row>
    <row r="590" spans="1:59">
      <c r="A590" s="55"/>
      <c r="B590" s="56"/>
      <c r="C590" s="56"/>
      <c r="D590" s="56"/>
      <c r="E590" s="56"/>
      <c r="F590" s="56"/>
      <c r="G590" s="56"/>
      <c r="H590" s="56"/>
      <c r="I590" s="6"/>
      <c r="J590" s="6"/>
      <c r="K590" s="57"/>
      <c r="L590" s="57"/>
      <c r="M590" s="57"/>
      <c r="N590" s="56"/>
      <c r="O590" s="56"/>
      <c r="P590" s="56"/>
      <c r="Q590" s="56"/>
      <c r="R590" s="56"/>
      <c r="S590" s="56"/>
      <c r="T590" s="56"/>
      <c r="U590" s="56"/>
      <c r="V590" s="56"/>
      <c r="W590" s="56"/>
      <c r="X590" s="56"/>
      <c r="Y590" s="56"/>
      <c r="Z590" s="56"/>
      <c r="AA590" s="56"/>
      <c r="AB590" s="56"/>
      <c r="AC590" s="56"/>
      <c r="AD590" s="56"/>
      <c r="AE590" s="56"/>
      <c r="AF590" s="56"/>
      <c r="AG590" s="56"/>
      <c r="AH590" s="56"/>
      <c r="AI590" s="58"/>
      <c r="AJ590" s="56"/>
      <c r="AK590" s="56"/>
      <c r="AL590" s="56"/>
      <c r="AM590" s="57"/>
      <c r="AN590" s="57"/>
      <c r="AO590" s="56"/>
      <c r="AP590" s="56"/>
      <c r="AQ590" s="57"/>
      <c r="AR590" s="57"/>
      <c r="AS590" s="57"/>
      <c r="AT590" s="67">
        <f t="shared" ca="1" si="58"/>
        <v>0</v>
      </c>
      <c r="AU590" s="79" t="str">
        <f t="shared" ca="1" si="59"/>
        <v/>
      </c>
      <c r="AV590" s="79" t="str" cm="1">
        <f t="array" aca="1" ref="AV590" ca="1">IFERROR(_xlfn.IFS($AU590="","",$AU590&lt;=15,"0-15",AND($AU590&gt;=16,$AU590&lt;=30),"16-30",AND($AU590&gt;=31,$AU590&lt;=45),"31-45",AND($AU590&gt;=46,$AU590&lt;=60),"46-60",AND($AU590&gt;=61,$AU590&lt;=90),"61-90",AND($AU590&gt;=91),"&gt; 90",AND($AU590&gt;=2000),""),"")</f>
        <v/>
      </c>
      <c r="AW590" s="79" t="str" cm="1">
        <f t="array" aca="1" ref="AW590" ca="1">IFERROR(_xlfn.IFS(OR($M590="",$AM590=""),"",OR($C590="Offered",$C590="Joined"),($AM590-$M590)-$AT590),"")</f>
        <v/>
      </c>
      <c r="AX590" s="79" t="str" cm="1">
        <f t="array" aca="1" ref="AX590" ca="1">IFERROR(_xlfn.IFS(OR($M590="",$AS590=""),"",$C590="Joined",($AS590-$M590)-$AT590),"")</f>
        <v/>
      </c>
      <c r="AY590" s="67" t="str">
        <f>IFERROR(IF(COUNTIFS('Candidate Tracker'!$E:$E,'Positions Tracker'!$B590,'Candidate Tracker'!$C:$C,"Offer Drop")=0,"",COUNTIFS('Candidate Tracker'!$E:$E,'Positions Tracker'!$B590,'Candidate Tracker'!$C:$C,"Offer Drop")),"")</f>
        <v/>
      </c>
      <c r="AZ590" s="80">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0.88111888111888115</v>
      </c>
      <c r="BA590" s="81" t="str">
        <f>IFERROR(IF(COUNTIFS('Candidate Tracker'!$E:$E,'Positions Tracker'!$B590,'Candidate Tracker'!$I:$I,"Female")=0,"",COUNTIFS('Candidate Tracker'!$E:$E,'Positions Tracker'!$B590,'Candidate Tracker'!$I:$I,"Female")),"")</f>
        <v/>
      </c>
      <c r="BB590" s="81" t="str">
        <f>IFERROR(IF(COUNTIFS('Candidate Tracker'!$E:$E,'Positions Tracker'!$B590,'Candidate Tracker'!$I:$I,"male")=0,"",COUNTIFS('Candidate Tracker'!$E:$E,'Positions Tracker'!$B590,'Candidate Tracker'!$I:$I,"male")),"")</f>
        <v/>
      </c>
      <c r="BC590" s="80" t="str">
        <f>IFERROR(IF(COUNTIFS('Candidate Tracker'!$E:$E,'Positions Tracker'!$B590,'Candidate Tracker'!$C:$C,"&lt;&gt;WIP",'Candidate Tracker'!$C:$C,"&lt;&gt;Hold",'Candidate Tracker'!$C:$C,"&lt;&gt;Cancelled",'Candidate Tracker'!$C:$C,"&lt;&gt;Closed")/COUNTIFS('Candidate Tracker'!$E:$E,'Positions Tracker'!$B590)=0,"",COUNTIFS('Candidate Tracker'!$E:$E,'Positions Tracker'!$B590,'Candidate Tracker'!$C:$C,"&lt;&gt;WIP",'Candidate Tracker'!$C:$C,"&lt;&gt;Hold",'Candidate Tracker'!$C:$C,"&lt;&gt;Cancelled",'Candidate Tracker'!$C:$C,"&lt;&gt;Closed")/COUNTIFS('Candidate Tracker'!$E:$E,'Positions Tracker'!$B590)),"")</f>
        <v/>
      </c>
      <c r="BD590" s="67" t="str">
        <f t="shared" si="54"/>
        <v/>
      </c>
      <c r="BE590" s="67" t="str">
        <f t="shared" si="55"/>
        <v/>
      </c>
      <c r="BF590" s="67" t="str">
        <f t="shared" si="56"/>
        <v/>
      </c>
      <c r="BG590" s="67" t="str">
        <f t="shared" si="57"/>
        <v/>
      </c>
    </row>
    <row r="591" spans="1:59">
      <c r="A591" s="55"/>
      <c r="B591" s="56"/>
      <c r="C591" s="56"/>
      <c r="D591" s="56"/>
      <c r="E591" s="56"/>
      <c r="F591" s="56"/>
      <c r="G591" s="56"/>
      <c r="H591" s="56"/>
      <c r="I591" s="6"/>
      <c r="J591" s="6"/>
      <c r="K591" s="57"/>
      <c r="L591" s="57"/>
      <c r="M591" s="57"/>
      <c r="N591" s="56"/>
      <c r="O591" s="56"/>
      <c r="P591" s="56"/>
      <c r="Q591" s="56"/>
      <c r="R591" s="56"/>
      <c r="S591" s="56"/>
      <c r="T591" s="56"/>
      <c r="U591" s="56"/>
      <c r="V591" s="56"/>
      <c r="W591" s="56"/>
      <c r="X591" s="56"/>
      <c r="Y591" s="56"/>
      <c r="Z591" s="56"/>
      <c r="AA591" s="56"/>
      <c r="AB591" s="56"/>
      <c r="AC591" s="56"/>
      <c r="AD591" s="56"/>
      <c r="AE591" s="56"/>
      <c r="AF591" s="56"/>
      <c r="AG591" s="56"/>
      <c r="AH591" s="56"/>
      <c r="AI591" s="58"/>
      <c r="AJ591" s="56"/>
      <c r="AK591" s="56"/>
      <c r="AL591" s="56"/>
      <c r="AM591" s="57"/>
      <c r="AN591" s="57"/>
      <c r="AO591" s="56"/>
      <c r="AP591" s="56"/>
      <c r="AQ591" s="57"/>
      <c r="AR591" s="57"/>
      <c r="AS591" s="57"/>
      <c r="AT591" s="67">
        <f t="shared" ca="1" si="58"/>
        <v>0</v>
      </c>
      <c r="AU591" s="79" t="str">
        <f t="shared" ca="1" si="59"/>
        <v/>
      </c>
      <c r="AV591" s="79" t="str" cm="1">
        <f t="array" aca="1" ref="AV591" ca="1">IFERROR(_xlfn.IFS($AU591="","",$AU591&lt;=15,"0-15",AND($AU591&gt;=16,$AU591&lt;=30),"16-30",AND($AU591&gt;=31,$AU591&lt;=45),"31-45",AND($AU591&gt;=46,$AU591&lt;=60),"46-60",AND($AU591&gt;=61,$AU591&lt;=90),"61-90",AND($AU591&gt;=91),"&gt; 90",AND($AU591&gt;=2000),""),"")</f>
        <v/>
      </c>
      <c r="AW591" s="79" t="str" cm="1">
        <f t="array" aca="1" ref="AW591" ca="1">IFERROR(_xlfn.IFS(OR($M591="",$AM591=""),"",OR($C591="Offered",$C591="Joined"),($AM591-$M591)-$AT591),"")</f>
        <v/>
      </c>
      <c r="AX591" s="79" t="str" cm="1">
        <f t="array" aca="1" ref="AX591" ca="1">IFERROR(_xlfn.IFS(OR($M591="",$AS591=""),"",$C591="Joined",($AS591-$M591)-$AT591),"")</f>
        <v/>
      </c>
      <c r="AY591" s="67" t="str">
        <f>IFERROR(IF(COUNTIFS('Candidate Tracker'!$E:$E,'Positions Tracker'!$B591,'Candidate Tracker'!$C:$C,"Offer Drop")=0,"",COUNTIFS('Candidate Tracker'!$E:$E,'Positions Tracker'!$B591,'Candidate Tracker'!$C:$C,"Offer Drop")),"")</f>
        <v/>
      </c>
      <c r="AZ591" s="80">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0.88111888111888115</v>
      </c>
      <c r="BA591" s="81" t="str">
        <f>IFERROR(IF(COUNTIFS('Candidate Tracker'!$E:$E,'Positions Tracker'!$B591,'Candidate Tracker'!$I:$I,"Female")=0,"",COUNTIFS('Candidate Tracker'!$E:$E,'Positions Tracker'!$B591,'Candidate Tracker'!$I:$I,"Female")),"")</f>
        <v/>
      </c>
      <c r="BB591" s="81" t="str">
        <f>IFERROR(IF(COUNTIFS('Candidate Tracker'!$E:$E,'Positions Tracker'!$B591,'Candidate Tracker'!$I:$I,"male")=0,"",COUNTIFS('Candidate Tracker'!$E:$E,'Positions Tracker'!$B591,'Candidate Tracker'!$I:$I,"male")),"")</f>
        <v/>
      </c>
      <c r="BC591" s="80" t="str">
        <f>IFERROR(IF(COUNTIFS('Candidate Tracker'!$E:$E,'Positions Tracker'!$B591,'Candidate Tracker'!$C:$C,"&lt;&gt;WIP",'Candidate Tracker'!$C:$C,"&lt;&gt;Hold",'Candidate Tracker'!$C:$C,"&lt;&gt;Cancelled",'Candidate Tracker'!$C:$C,"&lt;&gt;Closed")/COUNTIFS('Candidate Tracker'!$E:$E,'Positions Tracker'!$B591)=0,"",COUNTIFS('Candidate Tracker'!$E:$E,'Positions Tracker'!$B591,'Candidate Tracker'!$C:$C,"&lt;&gt;WIP",'Candidate Tracker'!$C:$C,"&lt;&gt;Hold",'Candidate Tracker'!$C:$C,"&lt;&gt;Cancelled",'Candidate Tracker'!$C:$C,"&lt;&gt;Closed")/COUNTIFS('Candidate Tracker'!$E:$E,'Positions Tracker'!$B591)),"")</f>
        <v/>
      </c>
      <c r="BD591" s="67" t="str">
        <f t="shared" si="54"/>
        <v/>
      </c>
      <c r="BE591" s="67" t="str">
        <f t="shared" si="55"/>
        <v/>
      </c>
      <c r="BF591" s="67" t="str">
        <f t="shared" si="56"/>
        <v/>
      </c>
      <c r="BG591" s="67" t="str">
        <f t="shared" si="57"/>
        <v/>
      </c>
    </row>
    <row r="592" spans="1:59">
      <c r="A592" s="55"/>
      <c r="B592" s="56"/>
      <c r="C592" s="56"/>
      <c r="D592" s="56"/>
      <c r="E592" s="56"/>
      <c r="F592" s="56"/>
      <c r="G592" s="56"/>
      <c r="H592" s="56"/>
      <c r="I592" s="6"/>
      <c r="J592" s="6"/>
      <c r="K592" s="57"/>
      <c r="L592" s="57"/>
      <c r="M592" s="57"/>
      <c r="N592" s="56"/>
      <c r="O592" s="56"/>
      <c r="P592" s="56"/>
      <c r="Q592" s="56"/>
      <c r="R592" s="56"/>
      <c r="S592" s="56"/>
      <c r="T592" s="56"/>
      <c r="U592" s="56"/>
      <c r="V592" s="56"/>
      <c r="W592" s="56"/>
      <c r="X592" s="56"/>
      <c r="Y592" s="56"/>
      <c r="Z592" s="56"/>
      <c r="AA592" s="56"/>
      <c r="AB592" s="56"/>
      <c r="AC592" s="56"/>
      <c r="AD592" s="56"/>
      <c r="AE592" s="56"/>
      <c r="AF592" s="56"/>
      <c r="AG592" s="56"/>
      <c r="AH592" s="56"/>
      <c r="AI592" s="58"/>
      <c r="AJ592" s="56"/>
      <c r="AK592" s="56"/>
      <c r="AL592" s="56"/>
      <c r="AM592" s="57"/>
      <c r="AN592" s="57"/>
      <c r="AO592" s="56"/>
      <c r="AP592" s="56"/>
      <c r="AQ592" s="57"/>
      <c r="AR592" s="57"/>
      <c r="AS592" s="57"/>
      <c r="AT592" s="67">
        <f t="shared" ca="1" si="58"/>
        <v>0</v>
      </c>
      <c r="AU592" s="79" t="str">
        <f t="shared" ca="1" si="59"/>
        <v/>
      </c>
      <c r="AV592" s="79" t="str" cm="1">
        <f t="array" aca="1" ref="AV592" ca="1">IFERROR(_xlfn.IFS($AU592="","",$AU592&lt;=15,"0-15",AND($AU592&gt;=16,$AU592&lt;=30),"16-30",AND($AU592&gt;=31,$AU592&lt;=45),"31-45",AND($AU592&gt;=46,$AU592&lt;=60),"46-60",AND($AU592&gt;=61,$AU592&lt;=90),"61-90",AND($AU592&gt;=91),"&gt; 90",AND($AU592&gt;=2000),""),"")</f>
        <v/>
      </c>
      <c r="AW592" s="79" t="str" cm="1">
        <f t="array" aca="1" ref="AW592" ca="1">IFERROR(_xlfn.IFS(OR($M592="",$AM592=""),"",OR($C592="Offered",$C592="Joined"),($AM592-$M592)-$AT592),"")</f>
        <v/>
      </c>
      <c r="AX592" s="79" t="str" cm="1">
        <f t="array" aca="1" ref="AX592" ca="1">IFERROR(_xlfn.IFS(OR($M592="",$AS592=""),"",$C592="Joined",($AS592-$M592)-$AT592),"")</f>
        <v/>
      </c>
      <c r="AY592" s="67" t="str">
        <f>IFERROR(IF(COUNTIFS('Candidate Tracker'!$E:$E,'Positions Tracker'!$B592,'Candidate Tracker'!$C:$C,"Offer Drop")=0,"",COUNTIFS('Candidate Tracker'!$E:$E,'Positions Tracker'!$B592,'Candidate Tracker'!$C:$C,"Offer Drop")),"")</f>
        <v/>
      </c>
      <c r="AZ592" s="80">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0.88111888111888115</v>
      </c>
      <c r="BA592" s="81" t="str">
        <f>IFERROR(IF(COUNTIFS('Candidate Tracker'!$E:$E,'Positions Tracker'!$B592,'Candidate Tracker'!$I:$I,"Female")=0,"",COUNTIFS('Candidate Tracker'!$E:$E,'Positions Tracker'!$B592,'Candidate Tracker'!$I:$I,"Female")),"")</f>
        <v/>
      </c>
      <c r="BB592" s="81" t="str">
        <f>IFERROR(IF(COUNTIFS('Candidate Tracker'!$E:$E,'Positions Tracker'!$B592,'Candidate Tracker'!$I:$I,"male")=0,"",COUNTIFS('Candidate Tracker'!$E:$E,'Positions Tracker'!$B592,'Candidate Tracker'!$I:$I,"male")),"")</f>
        <v/>
      </c>
      <c r="BC592" s="80" t="str">
        <f>IFERROR(IF(COUNTIFS('Candidate Tracker'!$E:$E,'Positions Tracker'!$B592,'Candidate Tracker'!$C:$C,"&lt;&gt;WIP",'Candidate Tracker'!$C:$C,"&lt;&gt;Hold",'Candidate Tracker'!$C:$C,"&lt;&gt;Cancelled",'Candidate Tracker'!$C:$C,"&lt;&gt;Closed")/COUNTIFS('Candidate Tracker'!$E:$E,'Positions Tracker'!$B592)=0,"",COUNTIFS('Candidate Tracker'!$E:$E,'Positions Tracker'!$B592,'Candidate Tracker'!$C:$C,"&lt;&gt;WIP",'Candidate Tracker'!$C:$C,"&lt;&gt;Hold",'Candidate Tracker'!$C:$C,"&lt;&gt;Cancelled",'Candidate Tracker'!$C:$C,"&lt;&gt;Closed")/COUNTIFS('Candidate Tracker'!$E:$E,'Positions Tracker'!$B592)),"")</f>
        <v/>
      </c>
      <c r="BD592" s="67" t="str">
        <f t="shared" si="54"/>
        <v/>
      </c>
      <c r="BE592" s="67" t="str">
        <f t="shared" si="55"/>
        <v/>
      </c>
      <c r="BF592" s="67" t="str">
        <f t="shared" si="56"/>
        <v/>
      </c>
      <c r="BG592" s="67" t="str">
        <f t="shared" si="57"/>
        <v/>
      </c>
    </row>
    <row r="593" spans="1:59">
      <c r="A593" s="55"/>
      <c r="B593" s="56"/>
      <c r="C593" s="56"/>
      <c r="D593" s="56"/>
      <c r="E593" s="56"/>
      <c r="F593" s="56"/>
      <c r="G593" s="56"/>
      <c r="H593" s="56"/>
      <c r="I593" s="6"/>
      <c r="J593" s="6"/>
      <c r="K593" s="57"/>
      <c r="L593" s="57"/>
      <c r="M593" s="57"/>
      <c r="N593" s="56"/>
      <c r="O593" s="56"/>
      <c r="P593" s="56"/>
      <c r="Q593" s="56"/>
      <c r="R593" s="56"/>
      <c r="S593" s="56"/>
      <c r="T593" s="56"/>
      <c r="U593" s="56"/>
      <c r="V593" s="56"/>
      <c r="W593" s="56"/>
      <c r="X593" s="56"/>
      <c r="Y593" s="56"/>
      <c r="Z593" s="56"/>
      <c r="AA593" s="56"/>
      <c r="AB593" s="56"/>
      <c r="AC593" s="56"/>
      <c r="AD593" s="56"/>
      <c r="AE593" s="56"/>
      <c r="AF593" s="56"/>
      <c r="AG593" s="56"/>
      <c r="AH593" s="56"/>
      <c r="AI593" s="58"/>
      <c r="AJ593" s="56"/>
      <c r="AK593" s="56"/>
      <c r="AL593" s="56"/>
      <c r="AM593" s="57"/>
      <c r="AN593" s="57"/>
      <c r="AO593" s="56"/>
      <c r="AP593" s="56"/>
      <c r="AQ593" s="57"/>
      <c r="AR593" s="57"/>
      <c r="AS593" s="57"/>
      <c r="AT593" s="67">
        <f t="shared" ca="1" si="58"/>
        <v>0</v>
      </c>
      <c r="AU593" s="79" t="str">
        <f t="shared" ca="1" si="59"/>
        <v/>
      </c>
      <c r="AV593" s="79" t="str" cm="1">
        <f t="array" aca="1" ref="AV593" ca="1">IFERROR(_xlfn.IFS($AU593="","",$AU593&lt;=15,"0-15",AND($AU593&gt;=16,$AU593&lt;=30),"16-30",AND($AU593&gt;=31,$AU593&lt;=45),"31-45",AND($AU593&gt;=46,$AU593&lt;=60),"46-60",AND($AU593&gt;=61,$AU593&lt;=90),"61-90",AND($AU593&gt;=91),"&gt; 90",AND($AU593&gt;=2000),""),"")</f>
        <v/>
      </c>
      <c r="AW593" s="79" t="str" cm="1">
        <f t="array" aca="1" ref="AW593" ca="1">IFERROR(_xlfn.IFS(OR($M593="",$AM593=""),"",OR($C593="Offered",$C593="Joined"),($AM593-$M593)-$AT593),"")</f>
        <v/>
      </c>
      <c r="AX593" s="79" t="str" cm="1">
        <f t="array" aca="1" ref="AX593" ca="1">IFERROR(_xlfn.IFS(OR($M593="",$AS593=""),"",$C593="Joined",($AS593-$M593)-$AT593),"")</f>
        <v/>
      </c>
      <c r="AY593" s="67" t="str">
        <f>IFERROR(IF(COUNTIFS('Candidate Tracker'!$E:$E,'Positions Tracker'!$B593,'Candidate Tracker'!$C:$C,"Offer Drop")=0,"",COUNTIFS('Candidate Tracker'!$E:$E,'Positions Tracker'!$B593,'Candidate Tracker'!$C:$C,"Offer Drop")),"")</f>
        <v/>
      </c>
      <c r="AZ593" s="80">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0.88111888111888115</v>
      </c>
      <c r="BA593" s="81" t="str">
        <f>IFERROR(IF(COUNTIFS('Candidate Tracker'!$E:$E,'Positions Tracker'!$B593,'Candidate Tracker'!$I:$I,"Female")=0,"",COUNTIFS('Candidate Tracker'!$E:$E,'Positions Tracker'!$B593,'Candidate Tracker'!$I:$I,"Female")),"")</f>
        <v/>
      </c>
      <c r="BB593" s="81" t="str">
        <f>IFERROR(IF(COUNTIFS('Candidate Tracker'!$E:$E,'Positions Tracker'!$B593,'Candidate Tracker'!$I:$I,"male")=0,"",COUNTIFS('Candidate Tracker'!$E:$E,'Positions Tracker'!$B593,'Candidate Tracker'!$I:$I,"male")),"")</f>
        <v/>
      </c>
      <c r="BC593" s="80" t="str">
        <f>IFERROR(IF(COUNTIFS('Candidate Tracker'!$E:$E,'Positions Tracker'!$B593,'Candidate Tracker'!$C:$C,"&lt;&gt;WIP",'Candidate Tracker'!$C:$C,"&lt;&gt;Hold",'Candidate Tracker'!$C:$C,"&lt;&gt;Cancelled",'Candidate Tracker'!$C:$C,"&lt;&gt;Closed")/COUNTIFS('Candidate Tracker'!$E:$E,'Positions Tracker'!$B593)=0,"",COUNTIFS('Candidate Tracker'!$E:$E,'Positions Tracker'!$B593,'Candidate Tracker'!$C:$C,"&lt;&gt;WIP",'Candidate Tracker'!$C:$C,"&lt;&gt;Hold",'Candidate Tracker'!$C:$C,"&lt;&gt;Cancelled",'Candidate Tracker'!$C:$C,"&lt;&gt;Closed")/COUNTIFS('Candidate Tracker'!$E:$E,'Positions Tracker'!$B593)),"")</f>
        <v/>
      </c>
      <c r="BD593" s="67" t="str">
        <f t="shared" si="54"/>
        <v/>
      </c>
      <c r="BE593" s="67" t="str">
        <f t="shared" si="55"/>
        <v/>
      </c>
      <c r="BF593" s="67" t="str">
        <f t="shared" si="56"/>
        <v/>
      </c>
      <c r="BG593" s="67" t="str">
        <f t="shared" si="57"/>
        <v/>
      </c>
    </row>
    <row r="594" spans="1:59">
      <c r="A594" s="55"/>
      <c r="B594" s="56"/>
      <c r="C594" s="56"/>
      <c r="D594" s="56"/>
      <c r="E594" s="56"/>
      <c r="F594" s="56"/>
      <c r="G594" s="56"/>
      <c r="H594" s="56"/>
      <c r="I594" s="6"/>
      <c r="J594" s="6"/>
      <c r="K594" s="57"/>
      <c r="L594" s="57"/>
      <c r="M594" s="57"/>
      <c r="N594" s="56"/>
      <c r="O594" s="56"/>
      <c r="P594" s="56"/>
      <c r="Q594" s="56"/>
      <c r="R594" s="56"/>
      <c r="S594" s="56"/>
      <c r="T594" s="56"/>
      <c r="U594" s="56"/>
      <c r="V594" s="56"/>
      <c r="W594" s="56"/>
      <c r="X594" s="56"/>
      <c r="Y594" s="56"/>
      <c r="Z594" s="56"/>
      <c r="AA594" s="56"/>
      <c r="AB594" s="56"/>
      <c r="AC594" s="56"/>
      <c r="AD594" s="56"/>
      <c r="AE594" s="56"/>
      <c r="AF594" s="56"/>
      <c r="AG594" s="56"/>
      <c r="AH594" s="56"/>
      <c r="AI594" s="58"/>
      <c r="AJ594" s="56"/>
      <c r="AK594" s="56"/>
      <c r="AL594" s="56"/>
      <c r="AM594" s="57"/>
      <c r="AN594" s="57"/>
      <c r="AO594" s="56"/>
      <c r="AP594" s="56"/>
      <c r="AQ594" s="57"/>
      <c r="AR594" s="57"/>
      <c r="AS594" s="57"/>
      <c r="AT594" s="67">
        <f t="shared" ca="1" si="58"/>
        <v>0</v>
      </c>
      <c r="AU594" s="79" t="str">
        <f t="shared" ca="1" si="59"/>
        <v/>
      </c>
      <c r="AV594" s="79" t="str" cm="1">
        <f t="array" aca="1" ref="AV594" ca="1">IFERROR(_xlfn.IFS($AU594="","",$AU594&lt;=15,"0-15",AND($AU594&gt;=16,$AU594&lt;=30),"16-30",AND($AU594&gt;=31,$AU594&lt;=45),"31-45",AND($AU594&gt;=46,$AU594&lt;=60),"46-60",AND($AU594&gt;=61,$AU594&lt;=90),"61-90",AND($AU594&gt;=91),"&gt; 90",AND($AU594&gt;=2000),""),"")</f>
        <v/>
      </c>
      <c r="AW594" s="79" t="str" cm="1">
        <f t="array" aca="1" ref="AW594" ca="1">IFERROR(_xlfn.IFS(OR($M594="",$AM594=""),"",OR($C594="Offered",$C594="Joined"),($AM594-$M594)-$AT594),"")</f>
        <v/>
      </c>
      <c r="AX594" s="79" t="str" cm="1">
        <f t="array" aca="1" ref="AX594" ca="1">IFERROR(_xlfn.IFS(OR($M594="",$AS594=""),"",$C594="Joined",($AS594-$M594)-$AT594),"")</f>
        <v/>
      </c>
      <c r="AY594" s="67" t="str">
        <f>IFERROR(IF(COUNTIFS('Candidate Tracker'!$E:$E,'Positions Tracker'!$B594,'Candidate Tracker'!$C:$C,"Offer Drop")=0,"",COUNTIFS('Candidate Tracker'!$E:$E,'Positions Tracker'!$B594,'Candidate Tracker'!$C:$C,"Offer Drop")),"")</f>
        <v/>
      </c>
      <c r="AZ594" s="80">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0.88111888111888115</v>
      </c>
      <c r="BA594" s="81" t="str">
        <f>IFERROR(IF(COUNTIFS('Candidate Tracker'!$E:$E,'Positions Tracker'!$B594,'Candidate Tracker'!$I:$I,"Female")=0,"",COUNTIFS('Candidate Tracker'!$E:$E,'Positions Tracker'!$B594,'Candidate Tracker'!$I:$I,"Female")),"")</f>
        <v/>
      </c>
      <c r="BB594" s="81" t="str">
        <f>IFERROR(IF(COUNTIFS('Candidate Tracker'!$E:$E,'Positions Tracker'!$B594,'Candidate Tracker'!$I:$I,"male")=0,"",COUNTIFS('Candidate Tracker'!$E:$E,'Positions Tracker'!$B594,'Candidate Tracker'!$I:$I,"male")),"")</f>
        <v/>
      </c>
      <c r="BC594" s="80" t="str">
        <f>IFERROR(IF(COUNTIFS('Candidate Tracker'!$E:$E,'Positions Tracker'!$B594,'Candidate Tracker'!$C:$C,"&lt;&gt;WIP",'Candidate Tracker'!$C:$C,"&lt;&gt;Hold",'Candidate Tracker'!$C:$C,"&lt;&gt;Cancelled",'Candidate Tracker'!$C:$C,"&lt;&gt;Closed")/COUNTIFS('Candidate Tracker'!$E:$E,'Positions Tracker'!$B594)=0,"",COUNTIFS('Candidate Tracker'!$E:$E,'Positions Tracker'!$B594,'Candidate Tracker'!$C:$C,"&lt;&gt;WIP",'Candidate Tracker'!$C:$C,"&lt;&gt;Hold",'Candidate Tracker'!$C:$C,"&lt;&gt;Cancelled",'Candidate Tracker'!$C:$C,"&lt;&gt;Closed")/COUNTIFS('Candidate Tracker'!$E:$E,'Positions Tracker'!$B594)),"")</f>
        <v/>
      </c>
      <c r="BD594" s="67" t="str">
        <f t="shared" si="54"/>
        <v/>
      </c>
      <c r="BE594" s="67" t="str">
        <f t="shared" si="55"/>
        <v/>
      </c>
      <c r="BF594" s="67" t="str">
        <f t="shared" si="56"/>
        <v/>
      </c>
      <c r="BG594" s="67" t="str">
        <f t="shared" si="57"/>
        <v/>
      </c>
    </row>
    <row r="595" spans="1:59">
      <c r="A595" s="55"/>
      <c r="B595" s="56"/>
      <c r="C595" s="56"/>
      <c r="D595" s="56"/>
      <c r="E595" s="56"/>
      <c r="F595" s="56"/>
      <c r="G595" s="56"/>
      <c r="H595" s="56"/>
      <c r="I595" s="6"/>
      <c r="J595" s="6"/>
      <c r="K595" s="57"/>
      <c r="L595" s="57"/>
      <c r="M595" s="57"/>
      <c r="N595" s="56"/>
      <c r="O595" s="56"/>
      <c r="P595" s="56"/>
      <c r="Q595" s="56"/>
      <c r="R595" s="56"/>
      <c r="S595" s="56"/>
      <c r="T595" s="56"/>
      <c r="U595" s="56"/>
      <c r="V595" s="56"/>
      <c r="W595" s="56"/>
      <c r="X595" s="56"/>
      <c r="Y595" s="56"/>
      <c r="Z595" s="56"/>
      <c r="AA595" s="56"/>
      <c r="AB595" s="56"/>
      <c r="AC595" s="56"/>
      <c r="AD595" s="56"/>
      <c r="AE595" s="56"/>
      <c r="AF595" s="56"/>
      <c r="AG595" s="56"/>
      <c r="AH595" s="56"/>
      <c r="AI595" s="58"/>
      <c r="AJ595" s="56"/>
      <c r="AK595" s="56"/>
      <c r="AL595" s="56"/>
      <c r="AM595" s="57"/>
      <c r="AN595" s="57"/>
      <c r="AO595" s="56"/>
      <c r="AP595" s="56"/>
      <c r="AQ595" s="57"/>
      <c r="AR595" s="57"/>
      <c r="AS595" s="57"/>
      <c r="AT595" s="67">
        <f t="shared" ca="1" si="58"/>
        <v>0</v>
      </c>
      <c r="AU595" s="79" t="str">
        <f t="shared" ca="1" si="59"/>
        <v/>
      </c>
      <c r="AV595" s="79" t="str" cm="1">
        <f t="array" aca="1" ref="AV595" ca="1">IFERROR(_xlfn.IFS($AU595="","",$AU595&lt;=15,"0-15",AND($AU595&gt;=16,$AU595&lt;=30),"16-30",AND($AU595&gt;=31,$AU595&lt;=45),"31-45",AND($AU595&gt;=46,$AU595&lt;=60),"46-60",AND($AU595&gt;=61,$AU595&lt;=90),"61-90",AND($AU595&gt;=91),"&gt; 90",AND($AU595&gt;=2000),""),"")</f>
        <v/>
      </c>
      <c r="AW595" s="79" t="str" cm="1">
        <f t="array" aca="1" ref="AW595" ca="1">IFERROR(_xlfn.IFS(OR($M595="",$AM595=""),"",OR($C595="Offered",$C595="Joined"),($AM595-$M595)-$AT595),"")</f>
        <v/>
      </c>
      <c r="AX595" s="79" t="str" cm="1">
        <f t="array" aca="1" ref="AX595" ca="1">IFERROR(_xlfn.IFS(OR($M595="",$AS595=""),"",$C595="Joined",($AS595-$M595)-$AT595),"")</f>
        <v/>
      </c>
      <c r="AY595" s="67" t="str">
        <f>IFERROR(IF(COUNTIFS('Candidate Tracker'!$E:$E,'Positions Tracker'!$B595,'Candidate Tracker'!$C:$C,"Offer Drop")=0,"",COUNTIFS('Candidate Tracker'!$E:$E,'Positions Tracker'!$B595,'Candidate Tracker'!$C:$C,"Offer Drop")),"")</f>
        <v/>
      </c>
      <c r="AZ595" s="80">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0.88111888111888115</v>
      </c>
      <c r="BA595" s="81" t="str">
        <f>IFERROR(IF(COUNTIFS('Candidate Tracker'!$E:$E,'Positions Tracker'!$B595,'Candidate Tracker'!$I:$I,"Female")=0,"",COUNTIFS('Candidate Tracker'!$E:$E,'Positions Tracker'!$B595,'Candidate Tracker'!$I:$I,"Female")),"")</f>
        <v/>
      </c>
      <c r="BB595" s="81" t="str">
        <f>IFERROR(IF(COUNTIFS('Candidate Tracker'!$E:$E,'Positions Tracker'!$B595,'Candidate Tracker'!$I:$I,"male")=0,"",COUNTIFS('Candidate Tracker'!$E:$E,'Positions Tracker'!$B595,'Candidate Tracker'!$I:$I,"male")),"")</f>
        <v/>
      </c>
      <c r="BC595" s="80" t="str">
        <f>IFERROR(IF(COUNTIFS('Candidate Tracker'!$E:$E,'Positions Tracker'!$B595,'Candidate Tracker'!$C:$C,"&lt;&gt;WIP",'Candidate Tracker'!$C:$C,"&lt;&gt;Hold",'Candidate Tracker'!$C:$C,"&lt;&gt;Cancelled",'Candidate Tracker'!$C:$C,"&lt;&gt;Closed")/COUNTIFS('Candidate Tracker'!$E:$E,'Positions Tracker'!$B595)=0,"",COUNTIFS('Candidate Tracker'!$E:$E,'Positions Tracker'!$B595,'Candidate Tracker'!$C:$C,"&lt;&gt;WIP",'Candidate Tracker'!$C:$C,"&lt;&gt;Hold",'Candidate Tracker'!$C:$C,"&lt;&gt;Cancelled",'Candidate Tracker'!$C:$C,"&lt;&gt;Closed")/COUNTIFS('Candidate Tracker'!$E:$E,'Positions Tracker'!$B595)),"")</f>
        <v/>
      </c>
      <c r="BD595" s="67" t="str">
        <f t="shared" si="54"/>
        <v/>
      </c>
      <c r="BE595" s="67" t="str">
        <f t="shared" si="55"/>
        <v/>
      </c>
      <c r="BF595" s="67" t="str">
        <f t="shared" si="56"/>
        <v/>
      </c>
      <c r="BG595" s="67" t="str">
        <f t="shared" si="57"/>
        <v/>
      </c>
    </row>
    <row r="596" spans="1:59">
      <c r="A596" s="55"/>
      <c r="B596" s="56"/>
      <c r="C596" s="56"/>
      <c r="D596" s="56"/>
      <c r="E596" s="56"/>
      <c r="F596" s="56"/>
      <c r="G596" s="56"/>
      <c r="H596" s="56"/>
      <c r="I596" s="6"/>
      <c r="J596" s="6"/>
      <c r="K596" s="57"/>
      <c r="L596" s="57"/>
      <c r="M596" s="57"/>
      <c r="N596" s="56"/>
      <c r="O596" s="56"/>
      <c r="P596" s="56"/>
      <c r="Q596" s="56"/>
      <c r="R596" s="56"/>
      <c r="S596" s="56"/>
      <c r="T596" s="56"/>
      <c r="U596" s="56"/>
      <c r="V596" s="56"/>
      <c r="W596" s="56"/>
      <c r="X596" s="56"/>
      <c r="Y596" s="56"/>
      <c r="Z596" s="56"/>
      <c r="AA596" s="56"/>
      <c r="AB596" s="56"/>
      <c r="AC596" s="56"/>
      <c r="AD596" s="56"/>
      <c r="AE596" s="56"/>
      <c r="AF596" s="56"/>
      <c r="AG596" s="56"/>
      <c r="AH596" s="56"/>
      <c r="AI596" s="58"/>
      <c r="AJ596" s="56"/>
      <c r="AK596" s="56"/>
      <c r="AL596" s="56"/>
      <c r="AM596" s="57"/>
      <c r="AN596" s="57"/>
      <c r="AO596" s="56"/>
      <c r="AP596" s="56"/>
      <c r="AQ596" s="57"/>
      <c r="AR596" s="57"/>
      <c r="AS596" s="57"/>
      <c r="AT596" s="67">
        <f t="shared" ca="1" si="58"/>
        <v>0</v>
      </c>
      <c r="AU596" s="79" t="str">
        <f t="shared" ca="1" si="59"/>
        <v/>
      </c>
      <c r="AV596" s="79" t="str" cm="1">
        <f t="array" aca="1" ref="AV596" ca="1">IFERROR(_xlfn.IFS($AU596="","",$AU596&lt;=15,"0-15",AND($AU596&gt;=16,$AU596&lt;=30),"16-30",AND($AU596&gt;=31,$AU596&lt;=45),"31-45",AND($AU596&gt;=46,$AU596&lt;=60),"46-60",AND($AU596&gt;=61,$AU596&lt;=90),"61-90",AND($AU596&gt;=91),"&gt; 90",AND($AU596&gt;=2000),""),"")</f>
        <v/>
      </c>
      <c r="AW596" s="79" t="str" cm="1">
        <f t="array" aca="1" ref="AW596" ca="1">IFERROR(_xlfn.IFS(OR($M596="",$AM596=""),"",OR($C596="Offered",$C596="Joined"),($AM596-$M596)-$AT596),"")</f>
        <v/>
      </c>
      <c r="AX596" s="79" t="str" cm="1">
        <f t="array" aca="1" ref="AX596" ca="1">IFERROR(_xlfn.IFS(OR($M596="",$AS596=""),"",$C596="Joined",($AS596-$M596)-$AT596),"")</f>
        <v/>
      </c>
      <c r="AY596" s="67" t="str">
        <f>IFERROR(IF(COUNTIFS('Candidate Tracker'!$E:$E,'Positions Tracker'!$B596,'Candidate Tracker'!$C:$C,"Offer Drop")=0,"",COUNTIFS('Candidate Tracker'!$E:$E,'Positions Tracker'!$B596,'Candidate Tracker'!$C:$C,"Offer Drop")),"")</f>
        <v/>
      </c>
      <c r="AZ596" s="80">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0.88111888111888115</v>
      </c>
      <c r="BA596" s="81" t="str">
        <f>IFERROR(IF(COUNTIFS('Candidate Tracker'!$E:$E,'Positions Tracker'!$B596,'Candidate Tracker'!$I:$I,"Female")=0,"",COUNTIFS('Candidate Tracker'!$E:$E,'Positions Tracker'!$B596,'Candidate Tracker'!$I:$I,"Female")),"")</f>
        <v/>
      </c>
      <c r="BB596" s="81" t="str">
        <f>IFERROR(IF(COUNTIFS('Candidate Tracker'!$E:$E,'Positions Tracker'!$B596,'Candidate Tracker'!$I:$I,"male")=0,"",COUNTIFS('Candidate Tracker'!$E:$E,'Positions Tracker'!$B596,'Candidate Tracker'!$I:$I,"male")),"")</f>
        <v/>
      </c>
      <c r="BC596" s="80" t="str">
        <f>IFERROR(IF(COUNTIFS('Candidate Tracker'!$E:$E,'Positions Tracker'!$B596,'Candidate Tracker'!$C:$C,"&lt;&gt;WIP",'Candidate Tracker'!$C:$C,"&lt;&gt;Hold",'Candidate Tracker'!$C:$C,"&lt;&gt;Cancelled",'Candidate Tracker'!$C:$C,"&lt;&gt;Closed")/COUNTIFS('Candidate Tracker'!$E:$E,'Positions Tracker'!$B596)=0,"",COUNTIFS('Candidate Tracker'!$E:$E,'Positions Tracker'!$B596,'Candidate Tracker'!$C:$C,"&lt;&gt;WIP",'Candidate Tracker'!$C:$C,"&lt;&gt;Hold",'Candidate Tracker'!$C:$C,"&lt;&gt;Cancelled",'Candidate Tracker'!$C:$C,"&lt;&gt;Closed")/COUNTIFS('Candidate Tracker'!$E:$E,'Positions Tracker'!$B596)),"")</f>
        <v/>
      </c>
      <c r="BD596" s="67" t="str">
        <f t="shared" si="54"/>
        <v/>
      </c>
      <c r="BE596" s="67" t="str">
        <f t="shared" si="55"/>
        <v/>
      </c>
      <c r="BF596" s="67" t="str">
        <f t="shared" si="56"/>
        <v/>
      </c>
      <c r="BG596" s="67" t="str">
        <f t="shared" si="57"/>
        <v/>
      </c>
    </row>
    <row r="597" spans="1:59">
      <c r="A597" s="55"/>
      <c r="B597" s="56"/>
      <c r="C597" s="56"/>
      <c r="D597" s="56"/>
      <c r="E597" s="56"/>
      <c r="F597" s="56"/>
      <c r="G597" s="56"/>
      <c r="H597" s="56"/>
      <c r="I597" s="6"/>
      <c r="J597" s="6"/>
      <c r="K597" s="57"/>
      <c r="L597" s="57"/>
      <c r="M597" s="57"/>
      <c r="N597" s="56"/>
      <c r="O597" s="56"/>
      <c r="P597" s="56"/>
      <c r="Q597" s="56"/>
      <c r="R597" s="56"/>
      <c r="S597" s="56"/>
      <c r="T597" s="56"/>
      <c r="U597" s="56"/>
      <c r="V597" s="56"/>
      <c r="W597" s="56"/>
      <c r="X597" s="56"/>
      <c r="Y597" s="56"/>
      <c r="Z597" s="56"/>
      <c r="AA597" s="56"/>
      <c r="AB597" s="56"/>
      <c r="AC597" s="56"/>
      <c r="AD597" s="56"/>
      <c r="AE597" s="56"/>
      <c r="AF597" s="56"/>
      <c r="AG597" s="56"/>
      <c r="AH597" s="56"/>
      <c r="AI597" s="58"/>
      <c r="AJ597" s="56"/>
      <c r="AK597" s="56"/>
      <c r="AL597" s="56"/>
      <c r="AM597" s="57"/>
      <c r="AN597" s="57"/>
      <c r="AO597" s="56"/>
      <c r="AP597" s="56"/>
      <c r="AQ597" s="57"/>
      <c r="AR597" s="57"/>
      <c r="AS597" s="57"/>
      <c r="AT597" s="67">
        <f t="shared" ca="1" si="58"/>
        <v>0</v>
      </c>
      <c r="AU597" s="79" t="str">
        <f t="shared" ca="1" si="59"/>
        <v/>
      </c>
      <c r="AV597" s="79" t="str" cm="1">
        <f t="array" aca="1" ref="AV597" ca="1">IFERROR(_xlfn.IFS($AU597="","",$AU597&lt;=15,"0-15",AND($AU597&gt;=16,$AU597&lt;=30),"16-30",AND($AU597&gt;=31,$AU597&lt;=45),"31-45",AND($AU597&gt;=46,$AU597&lt;=60),"46-60",AND($AU597&gt;=61,$AU597&lt;=90),"61-90",AND($AU597&gt;=91),"&gt; 90",AND($AU597&gt;=2000),""),"")</f>
        <v/>
      </c>
      <c r="AW597" s="79" t="str" cm="1">
        <f t="array" aca="1" ref="AW597" ca="1">IFERROR(_xlfn.IFS(OR($M597="",$AM597=""),"",OR($C597="Offered",$C597="Joined"),($AM597-$M597)-$AT597),"")</f>
        <v/>
      </c>
      <c r="AX597" s="79" t="str" cm="1">
        <f t="array" aca="1" ref="AX597" ca="1">IFERROR(_xlfn.IFS(OR($M597="",$AS597=""),"",$C597="Joined",($AS597-$M597)-$AT597),"")</f>
        <v/>
      </c>
      <c r="AY597" s="67" t="str">
        <f>IFERROR(IF(COUNTIFS('Candidate Tracker'!$E:$E,'Positions Tracker'!$B597,'Candidate Tracker'!$C:$C,"Offer Drop")=0,"",COUNTIFS('Candidate Tracker'!$E:$E,'Positions Tracker'!$B597,'Candidate Tracker'!$C:$C,"Offer Drop")),"")</f>
        <v/>
      </c>
      <c r="AZ597" s="80">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0.88111888111888115</v>
      </c>
      <c r="BA597" s="81" t="str">
        <f>IFERROR(IF(COUNTIFS('Candidate Tracker'!$E:$E,'Positions Tracker'!$B597,'Candidate Tracker'!$I:$I,"Female")=0,"",COUNTIFS('Candidate Tracker'!$E:$E,'Positions Tracker'!$B597,'Candidate Tracker'!$I:$I,"Female")),"")</f>
        <v/>
      </c>
      <c r="BB597" s="81" t="str">
        <f>IFERROR(IF(COUNTIFS('Candidate Tracker'!$E:$E,'Positions Tracker'!$B597,'Candidate Tracker'!$I:$I,"male")=0,"",COUNTIFS('Candidate Tracker'!$E:$E,'Positions Tracker'!$B597,'Candidate Tracker'!$I:$I,"male")),"")</f>
        <v/>
      </c>
      <c r="BC597" s="80" t="str">
        <f>IFERROR(IF(COUNTIFS('Candidate Tracker'!$E:$E,'Positions Tracker'!$B597,'Candidate Tracker'!$C:$C,"&lt;&gt;WIP",'Candidate Tracker'!$C:$C,"&lt;&gt;Hold",'Candidate Tracker'!$C:$C,"&lt;&gt;Cancelled",'Candidate Tracker'!$C:$C,"&lt;&gt;Closed")/COUNTIFS('Candidate Tracker'!$E:$E,'Positions Tracker'!$B597)=0,"",COUNTIFS('Candidate Tracker'!$E:$E,'Positions Tracker'!$B597,'Candidate Tracker'!$C:$C,"&lt;&gt;WIP",'Candidate Tracker'!$C:$C,"&lt;&gt;Hold",'Candidate Tracker'!$C:$C,"&lt;&gt;Cancelled",'Candidate Tracker'!$C:$C,"&lt;&gt;Closed")/COUNTIFS('Candidate Tracker'!$E:$E,'Positions Tracker'!$B597)),"")</f>
        <v/>
      </c>
      <c r="BD597" s="67" t="str">
        <f t="shared" si="54"/>
        <v/>
      </c>
      <c r="BE597" s="67" t="str">
        <f t="shared" si="55"/>
        <v/>
      </c>
      <c r="BF597" s="67" t="str">
        <f t="shared" si="56"/>
        <v/>
      </c>
      <c r="BG597" s="67" t="str">
        <f t="shared" si="57"/>
        <v/>
      </c>
    </row>
    <row r="598" spans="1:59">
      <c r="A598" s="55"/>
      <c r="B598" s="56"/>
      <c r="C598" s="56"/>
      <c r="D598" s="56"/>
      <c r="E598" s="56"/>
      <c r="F598" s="56"/>
      <c r="G598" s="56"/>
      <c r="H598" s="56"/>
      <c r="I598" s="6"/>
      <c r="J598" s="6"/>
      <c r="K598" s="57"/>
      <c r="L598" s="57"/>
      <c r="M598" s="57"/>
      <c r="N598" s="56"/>
      <c r="O598" s="56"/>
      <c r="P598" s="56"/>
      <c r="Q598" s="56"/>
      <c r="R598" s="56"/>
      <c r="S598" s="56"/>
      <c r="T598" s="56"/>
      <c r="U598" s="56"/>
      <c r="V598" s="56"/>
      <c r="W598" s="56"/>
      <c r="X598" s="56"/>
      <c r="Y598" s="56"/>
      <c r="Z598" s="56"/>
      <c r="AA598" s="56"/>
      <c r="AB598" s="56"/>
      <c r="AC598" s="56"/>
      <c r="AD598" s="56"/>
      <c r="AE598" s="56"/>
      <c r="AF598" s="56"/>
      <c r="AG598" s="56"/>
      <c r="AH598" s="56"/>
      <c r="AI598" s="58"/>
      <c r="AJ598" s="56"/>
      <c r="AK598" s="56"/>
      <c r="AL598" s="56"/>
      <c r="AM598" s="57"/>
      <c r="AN598" s="57"/>
      <c r="AO598" s="56"/>
      <c r="AP598" s="56"/>
      <c r="AQ598" s="57"/>
      <c r="AR598" s="57"/>
      <c r="AS598" s="57"/>
      <c r="AT598" s="67">
        <f t="shared" ca="1" si="58"/>
        <v>0</v>
      </c>
      <c r="AU598" s="79" t="str">
        <f t="shared" ca="1" si="59"/>
        <v/>
      </c>
      <c r="AV598" s="79" t="str" cm="1">
        <f t="array" aca="1" ref="AV598" ca="1">IFERROR(_xlfn.IFS($AU598="","",$AU598&lt;=15,"0-15",AND($AU598&gt;=16,$AU598&lt;=30),"16-30",AND($AU598&gt;=31,$AU598&lt;=45),"31-45",AND($AU598&gt;=46,$AU598&lt;=60),"46-60",AND($AU598&gt;=61,$AU598&lt;=90),"61-90",AND($AU598&gt;=91),"&gt; 90",AND($AU598&gt;=2000),""),"")</f>
        <v/>
      </c>
      <c r="AW598" s="79" t="str" cm="1">
        <f t="array" aca="1" ref="AW598" ca="1">IFERROR(_xlfn.IFS(OR($M598="",$AM598=""),"",OR($C598="Offered",$C598="Joined"),($AM598-$M598)-$AT598),"")</f>
        <v/>
      </c>
      <c r="AX598" s="79" t="str" cm="1">
        <f t="array" aca="1" ref="AX598" ca="1">IFERROR(_xlfn.IFS(OR($M598="",$AS598=""),"",$C598="Joined",($AS598-$M598)-$AT598),"")</f>
        <v/>
      </c>
      <c r="AY598" s="67" t="str">
        <f>IFERROR(IF(COUNTIFS('Candidate Tracker'!$E:$E,'Positions Tracker'!$B598,'Candidate Tracker'!$C:$C,"Offer Drop")=0,"",COUNTIFS('Candidate Tracker'!$E:$E,'Positions Tracker'!$B598,'Candidate Tracker'!$C:$C,"Offer Drop")),"")</f>
        <v/>
      </c>
      <c r="AZ598" s="80">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0.88111888111888115</v>
      </c>
      <c r="BA598" s="81" t="str">
        <f>IFERROR(IF(COUNTIFS('Candidate Tracker'!$E:$E,'Positions Tracker'!$B598,'Candidate Tracker'!$I:$I,"Female")=0,"",COUNTIFS('Candidate Tracker'!$E:$E,'Positions Tracker'!$B598,'Candidate Tracker'!$I:$I,"Female")),"")</f>
        <v/>
      </c>
      <c r="BB598" s="81" t="str">
        <f>IFERROR(IF(COUNTIFS('Candidate Tracker'!$E:$E,'Positions Tracker'!$B598,'Candidate Tracker'!$I:$I,"male")=0,"",COUNTIFS('Candidate Tracker'!$E:$E,'Positions Tracker'!$B598,'Candidate Tracker'!$I:$I,"male")),"")</f>
        <v/>
      </c>
      <c r="BC598" s="80" t="str">
        <f>IFERROR(IF(COUNTIFS('Candidate Tracker'!$E:$E,'Positions Tracker'!$B598,'Candidate Tracker'!$C:$C,"&lt;&gt;WIP",'Candidate Tracker'!$C:$C,"&lt;&gt;Hold",'Candidate Tracker'!$C:$C,"&lt;&gt;Cancelled",'Candidate Tracker'!$C:$C,"&lt;&gt;Closed")/COUNTIFS('Candidate Tracker'!$E:$E,'Positions Tracker'!$B598)=0,"",COUNTIFS('Candidate Tracker'!$E:$E,'Positions Tracker'!$B598,'Candidate Tracker'!$C:$C,"&lt;&gt;WIP",'Candidate Tracker'!$C:$C,"&lt;&gt;Hold",'Candidate Tracker'!$C:$C,"&lt;&gt;Cancelled",'Candidate Tracker'!$C:$C,"&lt;&gt;Closed")/COUNTIFS('Candidate Tracker'!$E:$E,'Positions Tracker'!$B598)),"")</f>
        <v/>
      </c>
      <c r="BD598" s="67" t="str">
        <f t="shared" si="54"/>
        <v/>
      </c>
      <c r="BE598" s="67" t="str">
        <f t="shared" si="55"/>
        <v/>
      </c>
      <c r="BF598" s="67" t="str">
        <f t="shared" si="56"/>
        <v/>
      </c>
      <c r="BG598" s="67" t="str">
        <f t="shared" si="57"/>
        <v/>
      </c>
    </row>
    <row r="599" spans="1:59">
      <c r="A599" s="55"/>
      <c r="B599" s="56"/>
      <c r="C599" s="56"/>
      <c r="D599" s="56"/>
      <c r="E599" s="56"/>
      <c r="F599" s="56"/>
      <c r="G599" s="56"/>
      <c r="H599" s="56"/>
      <c r="I599" s="6"/>
      <c r="J599" s="6"/>
      <c r="K599" s="57"/>
      <c r="L599" s="57"/>
      <c r="M599" s="57"/>
      <c r="N599" s="56"/>
      <c r="O599" s="56"/>
      <c r="P599" s="56"/>
      <c r="Q599" s="56"/>
      <c r="R599" s="56"/>
      <c r="S599" s="56"/>
      <c r="T599" s="56"/>
      <c r="U599" s="56"/>
      <c r="V599" s="56"/>
      <c r="W599" s="56"/>
      <c r="X599" s="56"/>
      <c r="Y599" s="56"/>
      <c r="Z599" s="56"/>
      <c r="AA599" s="56"/>
      <c r="AB599" s="56"/>
      <c r="AC599" s="56"/>
      <c r="AD599" s="56"/>
      <c r="AE599" s="56"/>
      <c r="AF599" s="56"/>
      <c r="AG599" s="56"/>
      <c r="AH599" s="56"/>
      <c r="AI599" s="58"/>
      <c r="AJ599" s="56"/>
      <c r="AK599" s="56"/>
      <c r="AL599" s="56"/>
      <c r="AM599" s="57"/>
      <c r="AN599" s="57"/>
      <c r="AO599" s="56"/>
      <c r="AP599" s="56"/>
      <c r="AQ599" s="57"/>
      <c r="AR599" s="57"/>
      <c r="AS599" s="57"/>
      <c r="AT599" s="67">
        <f t="shared" ca="1" si="58"/>
        <v>0</v>
      </c>
      <c r="AU599" s="79" t="str">
        <f t="shared" ca="1" si="59"/>
        <v/>
      </c>
      <c r="AV599" s="79" t="str" cm="1">
        <f t="array" aca="1" ref="AV599" ca="1">IFERROR(_xlfn.IFS($AU599="","",$AU599&lt;=15,"0-15",AND($AU599&gt;=16,$AU599&lt;=30),"16-30",AND($AU599&gt;=31,$AU599&lt;=45),"31-45",AND($AU599&gt;=46,$AU599&lt;=60),"46-60",AND($AU599&gt;=61,$AU599&lt;=90),"61-90",AND($AU599&gt;=91),"&gt; 90",AND($AU599&gt;=2000),""),"")</f>
        <v/>
      </c>
      <c r="AW599" s="79" t="str" cm="1">
        <f t="array" aca="1" ref="AW599" ca="1">IFERROR(_xlfn.IFS(OR($M599="",$AM599=""),"",OR($C599="Offered",$C599="Joined"),($AM599-$M599)-$AT599),"")</f>
        <v/>
      </c>
      <c r="AX599" s="79" t="str" cm="1">
        <f t="array" aca="1" ref="AX599" ca="1">IFERROR(_xlfn.IFS(OR($M599="",$AS599=""),"",$C599="Joined",($AS599-$M599)-$AT599),"")</f>
        <v/>
      </c>
      <c r="AY599" s="67" t="str">
        <f>IFERROR(IF(COUNTIFS('Candidate Tracker'!$E:$E,'Positions Tracker'!$B599,'Candidate Tracker'!$C:$C,"Offer Drop")=0,"",COUNTIFS('Candidate Tracker'!$E:$E,'Positions Tracker'!$B599,'Candidate Tracker'!$C:$C,"Offer Drop")),"")</f>
        <v/>
      </c>
      <c r="AZ599" s="80">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0.88111888111888115</v>
      </c>
      <c r="BA599" s="81" t="str">
        <f>IFERROR(IF(COUNTIFS('Candidate Tracker'!$E:$E,'Positions Tracker'!$B599,'Candidate Tracker'!$I:$I,"Female")=0,"",COUNTIFS('Candidate Tracker'!$E:$E,'Positions Tracker'!$B599,'Candidate Tracker'!$I:$I,"Female")),"")</f>
        <v/>
      </c>
      <c r="BB599" s="81" t="str">
        <f>IFERROR(IF(COUNTIFS('Candidate Tracker'!$E:$E,'Positions Tracker'!$B599,'Candidate Tracker'!$I:$I,"male")=0,"",COUNTIFS('Candidate Tracker'!$E:$E,'Positions Tracker'!$B599,'Candidate Tracker'!$I:$I,"male")),"")</f>
        <v/>
      </c>
      <c r="BC599" s="80" t="str">
        <f>IFERROR(IF(COUNTIFS('Candidate Tracker'!$E:$E,'Positions Tracker'!$B599,'Candidate Tracker'!$C:$C,"&lt;&gt;WIP",'Candidate Tracker'!$C:$C,"&lt;&gt;Hold",'Candidate Tracker'!$C:$C,"&lt;&gt;Cancelled",'Candidate Tracker'!$C:$C,"&lt;&gt;Closed")/COUNTIFS('Candidate Tracker'!$E:$E,'Positions Tracker'!$B599)=0,"",COUNTIFS('Candidate Tracker'!$E:$E,'Positions Tracker'!$B599,'Candidate Tracker'!$C:$C,"&lt;&gt;WIP",'Candidate Tracker'!$C:$C,"&lt;&gt;Hold",'Candidate Tracker'!$C:$C,"&lt;&gt;Cancelled",'Candidate Tracker'!$C:$C,"&lt;&gt;Closed")/COUNTIFS('Candidate Tracker'!$E:$E,'Positions Tracker'!$B599)),"")</f>
        <v/>
      </c>
      <c r="BD599" s="67" t="str">
        <f t="shared" si="54"/>
        <v/>
      </c>
      <c r="BE599" s="67" t="str">
        <f t="shared" si="55"/>
        <v/>
      </c>
      <c r="BF599" s="67" t="str">
        <f t="shared" si="56"/>
        <v/>
      </c>
      <c r="BG599" s="67" t="str">
        <f t="shared" si="57"/>
        <v/>
      </c>
    </row>
    <row r="600" spans="1:59">
      <c r="A600" s="55"/>
      <c r="B600" s="56"/>
      <c r="C600" s="56"/>
      <c r="D600" s="56"/>
      <c r="E600" s="56"/>
      <c r="F600" s="56"/>
      <c r="G600" s="56"/>
      <c r="H600" s="56"/>
      <c r="I600" s="6"/>
      <c r="J600" s="6"/>
      <c r="K600" s="57"/>
      <c r="L600" s="57"/>
      <c r="M600" s="57"/>
      <c r="N600" s="56"/>
      <c r="O600" s="56"/>
      <c r="P600" s="56"/>
      <c r="Q600" s="56"/>
      <c r="R600" s="56"/>
      <c r="S600" s="56"/>
      <c r="T600" s="56"/>
      <c r="U600" s="56"/>
      <c r="V600" s="56"/>
      <c r="W600" s="56"/>
      <c r="X600" s="56"/>
      <c r="Y600" s="56"/>
      <c r="Z600" s="56"/>
      <c r="AA600" s="56"/>
      <c r="AB600" s="56"/>
      <c r="AC600" s="56"/>
      <c r="AD600" s="56"/>
      <c r="AE600" s="56"/>
      <c r="AF600" s="56"/>
      <c r="AG600" s="56"/>
      <c r="AH600" s="56"/>
      <c r="AI600" s="58"/>
      <c r="AJ600" s="56"/>
      <c r="AK600" s="56"/>
      <c r="AL600" s="56"/>
      <c r="AM600" s="57"/>
      <c r="AN600" s="57"/>
      <c r="AO600" s="56"/>
      <c r="AP600" s="56"/>
      <c r="AQ600" s="57"/>
      <c r="AR600" s="57"/>
      <c r="AS600" s="57"/>
      <c r="AT600" s="67">
        <f t="shared" ca="1" si="58"/>
        <v>0</v>
      </c>
      <c r="AU600" s="79" t="str">
        <f t="shared" ca="1" si="59"/>
        <v/>
      </c>
      <c r="AV600" s="79" t="str" cm="1">
        <f t="array" aca="1" ref="AV600" ca="1">IFERROR(_xlfn.IFS($AU600="","",$AU600&lt;=15,"0-15",AND($AU600&gt;=16,$AU600&lt;=30),"16-30",AND($AU600&gt;=31,$AU600&lt;=45),"31-45",AND($AU600&gt;=46,$AU600&lt;=60),"46-60",AND($AU600&gt;=61,$AU600&lt;=90),"61-90",AND($AU600&gt;=91),"&gt; 90",AND($AU600&gt;=2000),""),"")</f>
        <v/>
      </c>
      <c r="AW600" s="79" t="str" cm="1">
        <f t="array" aca="1" ref="AW600" ca="1">IFERROR(_xlfn.IFS(OR($M600="",$AM600=""),"",OR($C600="Offered",$C600="Joined"),($AM600-$M600)-$AT600),"")</f>
        <v/>
      </c>
      <c r="AX600" s="79" t="str" cm="1">
        <f t="array" aca="1" ref="AX600" ca="1">IFERROR(_xlfn.IFS(OR($M600="",$AS600=""),"",$C600="Joined",($AS600-$M600)-$AT600),"")</f>
        <v/>
      </c>
      <c r="AY600" s="67" t="str">
        <f>IFERROR(IF(COUNTIFS('Candidate Tracker'!$E:$E,'Positions Tracker'!$B600,'Candidate Tracker'!$C:$C,"Offer Drop")=0,"",COUNTIFS('Candidate Tracker'!$E:$E,'Positions Tracker'!$B600,'Candidate Tracker'!$C:$C,"Offer Drop")),"")</f>
        <v/>
      </c>
      <c r="AZ600" s="80">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0.88111888111888115</v>
      </c>
      <c r="BA600" s="81" t="str">
        <f>IFERROR(IF(COUNTIFS('Candidate Tracker'!$E:$E,'Positions Tracker'!$B600,'Candidate Tracker'!$I:$I,"Female")=0,"",COUNTIFS('Candidate Tracker'!$E:$E,'Positions Tracker'!$B600,'Candidate Tracker'!$I:$I,"Female")),"")</f>
        <v/>
      </c>
      <c r="BB600" s="81" t="str">
        <f>IFERROR(IF(COUNTIFS('Candidate Tracker'!$E:$E,'Positions Tracker'!$B600,'Candidate Tracker'!$I:$I,"male")=0,"",COUNTIFS('Candidate Tracker'!$E:$E,'Positions Tracker'!$B600,'Candidate Tracker'!$I:$I,"male")),"")</f>
        <v/>
      </c>
      <c r="BC600" s="80" t="str">
        <f>IFERROR(IF(COUNTIFS('Candidate Tracker'!$E:$E,'Positions Tracker'!$B600,'Candidate Tracker'!$C:$C,"&lt;&gt;WIP",'Candidate Tracker'!$C:$C,"&lt;&gt;Hold",'Candidate Tracker'!$C:$C,"&lt;&gt;Cancelled",'Candidate Tracker'!$C:$C,"&lt;&gt;Closed")/COUNTIFS('Candidate Tracker'!$E:$E,'Positions Tracker'!$B600)=0,"",COUNTIFS('Candidate Tracker'!$E:$E,'Positions Tracker'!$B600,'Candidate Tracker'!$C:$C,"&lt;&gt;WIP",'Candidate Tracker'!$C:$C,"&lt;&gt;Hold",'Candidate Tracker'!$C:$C,"&lt;&gt;Cancelled",'Candidate Tracker'!$C:$C,"&lt;&gt;Closed")/COUNTIFS('Candidate Tracker'!$E:$E,'Positions Tracker'!$B600)),"")</f>
        <v/>
      </c>
      <c r="BD600" s="67" t="str">
        <f t="shared" si="54"/>
        <v/>
      </c>
      <c r="BE600" s="67" t="str">
        <f t="shared" si="55"/>
        <v/>
      </c>
      <c r="BF600" s="67" t="str">
        <f t="shared" si="56"/>
        <v/>
      </c>
      <c r="BG600" s="67" t="str">
        <f t="shared" si="57"/>
        <v/>
      </c>
    </row>
    <row r="601" spans="1:59">
      <c r="A601" s="55"/>
      <c r="B601" s="56"/>
      <c r="C601" s="56"/>
      <c r="D601" s="56"/>
      <c r="E601" s="56"/>
      <c r="F601" s="56"/>
      <c r="G601" s="56"/>
      <c r="H601" s="56"/>
      <c r="I601" s="6"/>
      <c r="J601" s="6"/>
      <c r="K601" s="57"/>
      <c r="L601" s="57"/>
      <c r="M601" s="57"/>
      <c r="N601" s="56"/>
      <c r="O601" s="56"/>
      <c r="P601" s="56"/>
      <c r="Q601" s="56"/>
      <c r="R601" s="56"/>
      <c r="S601" s="56"/>
      <c r="T601" s="56"/>
      <c r="U601" s="56"/>
      <c r="V601" s="56"/>
      <c r="W601" s="56"/>
      <c r="X601" s="56"/>
      <c r="Y601" s="56"/>
      <c r="Z601" s="56"/>
      <c r="AA601" s="56"/>
      <c r="AB601" s="56"/>
      <c r="AC601" s="56"/>
      <c r="AD601" s="56"/>
      <c r="AE601" s="56"/>
      <c r="AF601" s="56"/>
      <c r="AG601" s="56"/>
      <c r="AH601" s="56"/>
      <c r="AI601" s="58"/>
      <c r="AJ601" s="56"/>
      <c r="AK601" s="56"/>
      <c r="AL601" s="56"/>
      <c r="AM601" s="57"/>
      <c r="AN601" s="57"/>
      <c r="AO601" s="56"/>
      <c r="AP601" s="56"/>
      <c r="AQ601" s="57"/>
      <c r="AR601" s="57"/>
      <c r="AS601" s="57"/>
      <c r="AT601" s="67">
        <f t="shared" ca="1" si="58"/>
        <v>0</v>
      </c>
      <c r="AU601" s="79" t="str">
        <f t="shared" ca="1" si="59"/>
        <v/>
      </c>
      <c r="AV601" s="79" t="str" cm="1">
        <f t="array" aca="1" ref="AV601" ca="1">IFERROR(_xlfn.IFS($AU601="","",$AU601&lt;=15,"0-15",AND($AU601&gt;=16,$AU601&lt;=30),"16-30",AND($AU601&gt;=31,$AU601&lt;=45),"31-45",AND($AU601&gt;=46,$AU601&lt;=60),"46-60",AND($AU601&gt;=61,$AU601&lt;=90),"61-90",AND($AU601&gt;=91),"&gt; 90",AND($AU601&gt;=2000),""),"")</f>
        <v/>
      </c>
      <c r="AW601" s="79" t="str" cm="1">
        <f t="array" aca="1" ref="AW601" ca="1">IFERROR(_xlfn.IFS(OR($M601="",$AM601=""),"",OR($C601="Offered",$C601="Joined"),($AM601-$M601)-$AT601),"")</f>
        <v/>
      </c>
      <c r="AX601" s="79" t="str" cm="1">
        <f t="array" aca="1" ref="AX601" ca="1">IFERROR(_xlfn.IFS(OR($M601="",$AS601=""),"",$C601="Joined",($AS601-$M601)-$AT601),"")</f>
        <v/>
      </c>
      <c r="AY601" s="67" t="str">
        <f>IFERROR(IF(COUNTIFS('Candidate Tracker'!$E:$E,'Positions Tracker'!$B601,'Candidate Tracker'!$C:$C,"Offer Drop")=0,"",COUNTIFS('Candidate Tracker'!$E:$E,'Positions Tracker'!$B601,'Candidate Tracker'!$C:$C,"Offer Drop")),"")</f>
        <v/>
      </c>
      <c r="AZ601" s="80">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0.88111888111888115</v>
      </c>
      <c r="BA601" s="81" t="str">
        <f>IFERROR(IF(COUNTIFS('Candidate Tracker'!$E:$E,'Positions Tracker'!$B601,'Candidate Tracker'!$I:$I,"Female")=0,"",COUNTIFS('Candidate Tracker'!$E:$E,'Positions Tracker'!$B601,'Candidate Tracker'!$I:$I,"Female")),"")</f>
        <v/>
      </c>
      <c r="BB601" s="81" t="str">
        <f>IFERROR(IF(COUNTIFS('Candidate Tracker'!$E:$E,'Positions Tracker'!$B601,'Candidate Tracker'!$I:$I,"male")=0,"",COUNTIFS('Candidate Tracker'!$E:$E,'Positions Tracker'!$B601,'Candidate Tracker'!$I:$I,"male")),"")</f>
        <v/>
      </c>
      <c r="BC601" s="80" t="str">
        <f>IFERROR(IF(COUNTIFS('Candidate Tracker'!$E:$E,'Positions Tracker'!$B601,'Candidate Tracker'!$C:$C,"&lt;&gt;WIP",'Candidate Tracker'!$C:$C,"&lt;&gt;Hold",'Candidate Tracker'!$C:$C,"&lt;&gt;Cancelled",'Candidate Tracker'!$C:$C,"&lt;&gt;Closed")/COUNTIFS('Candidate Tracker'!$E:$E,'Positions Tracker'!$B601)=0,"",COUNTIFS('Candidate Tracker'!$E:$E,'Positions Tracker'!$B601,'Candidate Tracker'!$C:$C,"&lt;&gt;WIP",'Candidate Tracker'!$C:$C,"&lt;&gt;Hold",'Candidate Tracker'!$C:$C,"&lt;&gt;Cancelled",'Candidate Tracker'!$C:$C,"&lt;&gt;Closed")/COUNTIFS('Candidate Tracker'!$E:$E,'Positions Tracker'!$B601)),"")</f>
        <v/>
      </c>
      <c r="BD601" s="67" t="str">
        <f t="shared" si="54"/>
        <v/>
      </c>
      <c r="BE601" s="67" t="str">
        <f t="shared" si="55"/>
        <v/>
      </c>
      <c r="BF601" s="67" t="str">
        <f t="shared" si="56"/>
        <v/>
      </c>
      <c r="BG601" s="67" t="str">
        <f t="shared" si="57"/>
        <v/>
      </c>
    </row>
    <row r="602" spans="1:59">
      <c r="A602" s="55"/>
      <c r="B602" s="56"/>
      <c r="C602" s="56"/>
      <c r="D602" s="56"/>
      <c r="E602" s="56"/>
      <c r="F602" s="56"/>
      <c r="G602" s="56"/>
      <c r="H602" s="56"/>
      <c r="I602" s="6"/>
      <c r="J602" s="6"/>
      <c r="K602" s="57"/>
      <c r="L602" s="57"/>
      <c r="M602" s="57"/>
      <c r="N602" s="56"/>
      <c r="O602" s="56"/>
      <c r="P602" s="56"/>
      <c r="Q602" s="56"/>
      <c r="R602" s="56"/>
      <c r="S602" s="56"/>
      <c r="T602" s="56"/>
      <c r="U602" s="56"/>
      <c r="V602" s="56"/>
      <c r="W602" s="56"/>
      <c r="X602" s="56"/>
      <c r="Y602" s="56"/>
      <c r="Z602" s="56"/>
      <c r="AA602" s="56"/>
      <c r="AB602" s="56"/>
      <c r="AC602" s="56"/>
      <c r="AD602" s="56"/>
      <c r="AE602" s="56"/>
      <c r="AF602" s="56"/>
      <c r="AG602" s="56"/>
      <c r="AH602" s="56"/>
      <c r="AI602" s="58"/>
      <c r="AJ602" s="56"/>
      <c r="AK602" s="56"/>
      <c r="AL602" s="56"/>
      <c r="AM602" s="57"/>
      <c r="AN602" s="57"/>
      <c r="AO602" s="56"/>
      <c r="AP602" s="56"/>
      <c r="AQ602" s="57"/>
      <c r="AR602" s="57"/>
      <c r="AS602" s="57"/>
      <c r="AT602" s="67">
        <f t="shared" ca="1" si="58"/>
        <v>0</v>
      </c>
      <c r="AU602" s="79" t="str">
        <f t="shared" ca="1" si="59"/>
        <v/>
      </c>
      <c r="AV602" s="79" t="str" cm="1">
        <f t="array" aca="1" ref="AV602" ca="1">IFERROR(_xlfn.IFS($AU602="","",$AU602&lt;=15,"0-15",AND($AU602&gt;=16,$AU602&lt;=30),"16-30",AND($AU602&gt;=31,$AU602&lt;=45),"31-45",AND($AU602&gt;=46,$AU602&lt;=60),"46-60",AND($AU602&gt;=61,$AU602&lt;=90),"61-90",AND($AU602&gt;=91),"&gt; 90",AND($AU602&gt;=2000),""),"")</f>
        <v/>
      </c>
      <c r="AW602" s="79" t="str" cm="1">
        <f t="array" aca="1" ref="AW602" ca="1">IFERROR(_xlfn.IFS(OR($M602="",$AM602=""),"",OR($C602="Offered",$C602="Joined"),($AM602-$M602)-$AT602),"")</f>
        <v/>
      </c>
      <c r="AX602" s="79" t="str" cm="1">
        <f t="array" aca="1" ref="AX602" ca="1">IFERROR(_xlfn.IFS(OR($M602="",$AS602=""),"",$C602="Joined",($AS602-$M602)-$AT602),"")</f>
        <v/>
      </c>
      <c r="AY602" s="67" t="str">
        <f>IFERROR(IF(COUNTIFS('Candidate Tracker'!$E:$E,'Positions Tracker'!$B602,'Candidate Tracker'!$C:$C,"Offer Drop")=0,"",COUNTIFS('Candidate Tracker'!$E:$E,'Positions Tracker'!$B602,'Candidate Tracker'!$C:$C,"Offer Drop")),"")</f>
        <v/>
      </c>
      <c r="AZ602" s="80">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0.88111888111888115</v>
      </c>
      <c r="BA602" s="81" t="str">
        <f>IFERROR(IF(COUNTIFS('Candidate Tracker'!$E:$E,'Positions Tracker'!$B602,'Candidate Tracker'!$I:$I,"Female")=0,"",COUNTIFS('Candidate Tracker'!$E:$E,'Positions Tracker'!$B602,'Candidate Tracker'!$I:$I,"Female")),"")</f>
        <v/>
      </c>
      <c r="BB602" s="81" t="str">
        <f>IFERROR(IF(COUNTIFS('Candidate Tracker'!$E:$E,'Positions Tracker'!$B602,'Candidate Tracker'!$I:$I,"male")=0,"",COUNTIFS('Candidate Tracker'!$E:$E,'Positions Tracker'!$B602,'Candidate Tracker'!$I:$I,"male")),"")</f>
        <v/>
      </c>
      <c r="BC602" s="80" t="str">
        <f>IFERROR(IF(COUNTIFS('Candidate Tracker'!$E:$E,'Positions Tracker'!$B602,'Candidate Tracker'!$C:$C,"&lt;&gt;WIP",'Candidate Tracker'!$C:$C,"&lt;&gt;Hold",'Candidate Tracker'!$C:$C,"&lt;&gt;Cancelled",'Candidate Tracker'!$C:$C,"&lt;&gt;Closed")/COUNTIFS('Candidate Tracker'!$E:$E,'Positions Tracker'!$B602)=0,"",COUNTIFS('Candidate Tracker'!$E:$E,'Positions Tracker'!$B602,'Candidate Tracker'!$C:$C,"&lt;&gt;WIP",'Candidate Tracker'!$C:$C,"&lt;&gt;Hold",'Candidate Tracker'!$C:$C,"&lt;&gt;Cancelled",'Candidate Tracker'!$C:$C,"&lt;&gt;Closed")/COUNTIFS('Candidate Tracker'!$E:$E,'Positions Tracker'!$B602)),"")</f>
        <v/>
      </c>
      <c r="BD602" s="67" t="str">
        <f t="shared" si="54"/>
        <v/>
      </c>
      <c r="BE602" s="67" t="str">
        <f t="shared" si="55"/>
        <v/>
      </c>
      <c r="BF602" s="67" t="str">
        <f t="shared" si="56"/>
        <v/>
      </c>
      <c r="BG602" s="67" t="str">
        <f t="shared" si="57"/>
        <v/>
      </c>
    </row>
    <row r="603" spans="1:59">
      <c r="A603" s="55"/>
      <c r="B603" s="56"/>
      <c r="C603" s="56"/>
      <c r="D603" s="56"/>
      <c r="E603" s="56"/>
      <c r="F603" s="56"/>
      <c r="G603" s="56"/>
      <c r="H603" s="56"/>
      <c r="I603" s="6"/>
      <c r="J603" s="6"/>
      <c r="K603" s="57"/>
      <c r="L603" s="57"/>
      <c r="M603" s="57"/>
      <c r="N603" s="56"/>
      <c r="O603" s="56"/>
      <c r="P603" s="56"/>
      <c r="Q603" s="56"/>
      <c r="R603" s="56"/>
      <c r="S603" s="56"/>
      <c r="T603" s="56"/>
      <c r="U603" s="56"/>
      <c r="V603" s="56"/>
      <c r="W603" s="56"/>
      <c r="X603" s="56"/>
      <c r="Y603" s="56"/>
      <c r="Z603" s="56"/>
      <c r="AA603" s="56"/>
      <c r="AB603" s="56"/>
      <c r="AC603" s="56"/>
      <c r="AD603" s="56"/>
      <c r="AE603" s="56"/>
      <c r="AF603" s="56"/>
      <c r="AG603" s="56"/>
      <c r="AH603" s="56"/>
      <c r="AI603" s="58"/>
      <c r="AJ603" s="56"/>
      <c r="AK603" s="56"/>
      <c r="AL603" s="56"/>
      <c r="AM603" s="57"/>
      <c r="AN603" s="57"/>
      <c r="AO603" s="56"/>
      <c r="AP603" s="56"/>
      <c r="AQ603" s="57"/>
      <c r="AR603" s="57"/>
      <c r="AS603" s="57"/>
      <c r="AT603" s="67">
        <f t="shared" ca="1" si="58"/>
        <v>0</v>
      </c>
      <c r="AU603" s="79" t="str">
        <f t="shared" ca="1" si="59"/>
        <v/>
      </c>
      <c r="AV603" s="79" t="str" cm="1">
        <f t="array" aca="1" ref="AV603" ca="1">IFERROR(_xlfn.IFS($AU603="","",$AU603&lt;=15,"0-15",AND($AU603&gt;=16,$AU603&lt;=30),"16-30",AND($AU603&gt;=31,$AU603&lt;=45),"31-45",AND($AU603&gt;=46,$AU603&lt;=60),"46-60",AND($AU603&gt;=61,$AU603&lt;=90),"61-90",AND($AU603&gt;=91),"&gt; 90",AND($AU603&gt;=2000),""),"")</f>
        <v/>
      </c>
      <c r="AW603" s="79" t="str" cm="1">
        <f t="array" aca="1" ref="AW603" ca="1">IFERROR(_xlfn.IFS(OR($M603="",$AM603=""),"",OR($C603="Offered",$C603="Joined"),($AM603-$M603)-$AT603),"")</f>
        <v/>
      </c>
      <c r="AX603" s="79" t="str" cm="1">
        <f t="array" aca="1" ref="AX603" ca="1">IFERROR(_xlfn.IFS(OR($M603="",$AS603=""),"",$C603="Joined",($AS603-$M603)-$AT603),"")</f>
        <v/>
      </c>
      <c r="AY603" s="67" t="str">
        <f>IFERROR(IF(COUNTIFS('Candidate Tracker'!$E:$E,'Positions Tracker'!$B603,'Candidate Tracker'!$C:$C,"Offer Drop")=0,"",COUNTIFS('Candidate Tracker'!$E:$E,'Positions Tracker'!$B603,'Candidate Tracker'!$C:$C,"Offer Drop")),"")</f>
        <v/>
      </c>
      <c r="AZ603" s="80">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0.88111888111888115</v>
      </c>
      <c r="BA603" s="81" t="str">
        <f>IFERROR(IF(COUNTIFS('Candidate Tracker'!$E:$E,'Positions Tracker'!$B603,'Candidate Tracker'!$I:$I,"Female")=0,"",COUNTIFS('Candidate Tracker'!$E:$E,'Positions Tracker'!$B603,'Candidate Tracker'!$I:$I,"Female")),"")</f>
        <v/>
      </c>
      <c r="BB603" s="81" t="str">
        <f>IFERROR(IF(COUNTIFS('Candidate Tracker'!$E:$E,'Positions Tracker'!$B603,'Candidate Tracker'!$I:$I,"male")=0,"",COUNTIFS('Candidate Tracker'!$E:$E,'Positions Tracker'!$B603,'Candidate Tracker'!$I:$I,"male")),"")</f>
        <v/>
      </c>
      <c r="BC603" s="80" t="str">
        <f>IFERROR(IF(COUNTIFS('Candidate Tracker'!$E:$E,'Positions Tracker'!$B603,'Candidate Tracker'!$C:$C,"&lt;&gt;WIP",'Candidate Tracker'!$C:$C,"&lt;&gt;Hold",'Candidate Tracker'!$C:$C,"&lt;&gt;Cancelled",'Candidate Tracker'!$C:$C,"&lt;&gt;Closed")/COUNTIFS('Candidate Tracker'!$E:$E,'Positions Tracker'!$B603)=0,"",COUNTIFS('Candidate Tracker'!$E:$E,'Positions Tracker'!$B603,'Candidate Tracker'!$C:$C,"&lt;&gt;WIP",'Candidate Tracker'!$C:$C,"&lt;&gt;Hold",'Candidate Tracker'!$C:$C,"&lt;&gt;Cancelled",'Candidate Tracker'!$C:$C,"&lt;&gt;Closed")/COUNTIFS('Candidate Tracker'!$E:$E,'Positions Tracker'!$B603)),"")</f>
        <v/>
      </c>
      <c r="BD603" s="67" t="str">
        <f t="shared" si="54"/>
        <v/>
      </c>
      <c r="BE603" s="67" t="str">
        <f t="shared" si="55"/>
        <v/>
      </c>
      <c r="BF603" s="67" t="str">
        <f t="shared" si="56"/>
        <v/>
      </c>
      <c r="BG603" s="67" t="str">
        <f t="shared" si="57"/>
        <v/>
      </c>
    </row>
    <row r="604" spans="1:59">
      <c r="A604" s="55"/>
      <c r="B604" s="56"/>
      <c r="C604" s="56"/>
      <c r="D604" s="56"/>
      <c r="E604" s="56"/>
      <c r="F604" s="56"/>
      <c r="G604" s="56"/>
      <c r="H604" s="56"/>
      <c r="I604" s="6"/>
      <c r="J604" s="6"/>
      <c r="K604" s="57"/>
      <c r="L604" s="57"/>
      <c r="M604" s="57"/>
      <c r="N604" s="56"/>
      <c r="O604" s="56"/>
      <c r="P604" s="56"/>
      <c r="Q604" s="56"/>
      <c r="R604" s="56"/>
      <c r="S604" s="56"/>
      <c r="T604" s="56"/>
      <c r="U604" s="56"/>
      <c r="V604" s="56"/>
      <c r="W604" s="56"/>
      <c r="X604" s="56"/>
      <c r="Y604" s="56"/>
      <c r="Z604" s="56"/>
      <c r="AA604" s="56"/>
      <c r="AB604" s="56"/>
      <c r="AC604" s="56"/>
      <c r="AD604" s="56"/>
      <c r="AE604" s="56"/>
      <c r="AF604" s="56"/>
      <c r="AG604" s="56"/>
      <c r="AH604" s="56"/>
      <c r="AI604" s="58"/>
      <c r="AJ604" s="56"/>
      <c r="AK604" s="56"/>
      <c r="AL604" s="56"/>
      <c r="AM604" s="57"/>
      <c r="AN604" s="57"/>
      <c r="AO604" s="56"/>
      <c r="AP604" s="56"/>
      <c r="AQ604" s="57"/>
      <c r="AR604" s="57"/>
      <c r="AS604" s="57"/>
      <c r="AT604" s="67">
        <f t="shared" ca="1" si="58"/>
        <v>0</v>
      </c>
      <c r="AU604" s="79" t="str">
        <f t="shared" ca="1" si="59"/>
        <v/>
      </c>
      <c r="AV604" s="79" t="str" cm="1">
        <f t="array" aca="1" ref="AV604" ca="1">IFERROR(_xlfn.IFS($AU604="","",$AU604&lt;=15,"0-15",AND($AU604&gt;=16,$AU604&lt;=30),"16-30",AND($AU604&gt;=31,$AU604&lt;=45),"31-45",AND($AU604&gt;=46,$AU604&lt;=60),"46-60",AND($AU604&gt;=61,$AU604&lt;=90),"61-90",AND($AU604&gt;=91),"&gt; 90",AND($AU604&gt;=2000),""),"")</f>
        <v/>
      </c>
      <c r="AW604" s="79" t="str" cm="1">
        <f t="array" aca="1" ref="AW604" ca="1">IFERROR(_xlfn.IFS(OR($M604="",$AM604=""),"",OR($C604="Offered",$C604="Joined"),($AM604-$M604)-$AT604),"")</f>
        <v/>
      </c>
      <c r="AX604" s="79" t="str" cm="1">
        <f t="array" aca="1" ref="AX604" ca="1">IFERROR(_xlfn.IFS(OR($M604="",$AS604=""),"",$C604="Joined",($AS604-$M604)-$AT604),"")</f>
        <v/>
      </c>
      <c r="AY604" s="67" t="str">
        <f>IFERROR(IF(COUNTIFS('Candidate Tracker'!$E:$E,'Positions Tracker'!$B604,'Candidate Tracker'!$C:$C,"Offer Drop")=0,"",COUNTIFS('Candidate Tracker'!$E:$E,'Positions Tracker'!$B604,'Candidate Tracker'!$C:$C,"Offer Drop")),"")</f>
        <v/>
      </c>
      <c r="AZ604" s="80">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0.88111888111888115</v>
      </c>
      <c r="BA604" s="81" t="str">
        <f>IFERROR(IF(COUNTIFS('Candidate Tracker'!$E:$E,'Positions Tracker'!$B604,'Candidate Tracker'!$I:$I,"Female")=0,"",COUNTIFS('Candidate Tracker'!$E:$E,'Positions Tracker'!$B604,'Candidate Tracker'!$I:$I,"Female")),"")</f>
        <v/>
      </c>
      <c r="BB604" s="81" t="str">
        <f>IFERROR(IF(COUNTIFS('Candidate Tracker'!$E:$E,'Positions Tracker'!$B604,'Candidate Tracker'!$I:$I,"male")=0,"",COUNTIFS('Candidate Tracker'!$E:$E,'Positions Tracker'!$B604,'Candidate Tracker'!$I:$I,"male")),"")</f>
        <v/>
      </c>
      <c r="BC604" s="80" t="str">
        <f>IFERROR(IF(COUNTIFS('Candidate Tracker'!$E:$E,'Positions Tracker'!$B604,'Candidate Tracker'!$C:$C,"&lt;&gt;WIP",'Candidate Tracker'!$C:$C,"&lt;&gt;Hold",'Candidate Tracker'!$C:$C,"&lt;&gt;Cancelled",'Candidate Tracker'!$C:$C,"&lt;&gt;Closed")/COUNTIFS('Candidate Tracker'!$E:$E,'Positions Tracker'!$B604)=0,"",COUNTIFS('Candidate Tracker'!$E:$E,'Positions Tracker'!$B604,'Candidate Tracker'!$C:$C,"&lt;&gt;WIP",'Candidate Tracker'!$C:$C,"&lt;&gt;Hold",'Candidate Tracker'!$C:$C,"&lt;&gt;Cancelled",'Candidate Tracker'!$C:$C,"&lt;&gt;Closed")/COUNTIFS('Candidate Tracker'!$E:$E,'Positions Tracker'!$B604)),"")</f>
        <v/>
      </c>
      <c r="BD604" s="67" t="str">
        <f t="shared" si="54"/>
        <v/>
      </c>
      <c r="BE604" s="67" t="str">
        <f t="shared" si="55"/>
        <v/>
      </c>
      <c r="BF604" s="67" t="str">
        <f t="shared" si="56"/>
        <v/>
      </c>
      <c r="BG604" s="67" t="str">
        <f t="shared" si="57"/>
        <v/>
      </c>
    </row>
    <row r="605" spans="1:59">
      <c r="A605" s="55"/>
      <c r="B605" s="56"/>
      <c r="C605" s="56"/>
      <c r="D605" s="56"/>
      <c r="E605" s="56"/>
      <c r="F605" s="56"/>
      <c r="G605" s="56"/>
      <c r="H605" s="56"/>
      <c r="I605" s="6"/>
      <c r="J605" s="6"/>
      <c r="K605" s="57"/>
      <c r="L605" s="57"/>
      <c r="M605" s="57"/>
      <c r="N605" s="56"/>
      <c r="O605" s="56"/>
      <c r="P605" s="56"/>
      <c r="Q605" s="56"/>
      <c r="R605" s="56"/>
      <c r="S605" s="56"/>
      <c r="T605" s="56"/>
      <c r="U605" s="56"/>
      <c r="V605" s="56"/>
      <c r="W605" s="56"/>
      <c r="X605" s="56"/>
      <c r="Y605" s="56"/>
      <c r="Z605" s="56"/>
      <c r="AA605" s="56"/>
      <c r="AB605" s="56"/>
      <c r="AC605" s="56"/>
      <c r="AD605" s="56"/>
      <c r="AE605" s="56"/>
      <c r="AF605" s="56"/>
      <c r="AG605" s="56"/>
      <c r="AH605" s="56"/>
      <c r="AI605" s="58"/>
      <c r="AJ605" s="56"/>
      <c r="AK605" s="56"/>
      <c r="AL605" s="56"/>
      <c r="AM605" s="57"/>
      <c r="AN605" s="57"/>
      <c r="AO605" s="56"/>
      <c r="AP605" s="56"/>
      <c r="AQ605" s="57"/>
      <c r="AR605" s="57"/>
      <c r="AS605" s="57"/>
      <c r="AT605" s="67">
        <f t="shared" ca="1" si="58"/>
        <v>0</v>
      </c>
      <c r="AU605" s="79" t="str">
        <f t="shared" ca="1" si="59"/>
        <v/>
      </c>
      <c r="AV605" s="79" t="str" cm="1">
        <f t="array" aca="1" ref="AV605" ca="1">IFERROR(_xlfn.IFS($AU605="","",$AU605&lt;=15,"0-15",AND($AU605&gt;=16,$AU605&lt;=30),"16-30",AND($AU605&gt;=31,$AU605&lt;=45),"31-45",AND($AU605&gt;=46,$AU605&lt;=60),"46-60",AND($AU605&gt;=61,$AU605&lt;=90),"61-90",AND($AU605&gt;=91),"&gt; 90",AND($AU605&gt;=2000),""),"")</f>
        <v/>
      </c>
      <c r="AW605" s="79" t="str" cm="1">
        <f t="array" aca="1" ref="AW605" ca="1">IFERROR(_xlfn.IFS(OR($M605="",$AM605=""),"",OR($C605="Offered",$C605="Joined"),($AM605-$M605)-$AT605),"")</f>
        <v/>
      </c>
      <c r="AX605" s="79" t="str" cm="1">
        <f t="array" aca="1" ref="AX605" ca="1">IFERROR(_xlfn.IFS(OR($M605="",$AS605=""),"",$C605="Joined",($AS605-$M605)-$AT605),"")</f>
        <v/>
      </c>
      <c r="AY605" s="67" t="str">
        <f>IFERROR(IF(COUNTIFS('Candidate Tracker'!$E:$E,'Positions Tracker'!$B605,'Candidate Tracker'!$C:$C,"Offer Drop")=0,"",COUNTIFS('Candidate Tracker'!$E:$E,'Positions Tracker'!$B605,'Candidate Tracker'!$C:$C,"Offer Drop")),"")</f>
        <v/>
      </c>
      <c r="AZ605" s="80">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0.88111888111888115</v>
      </c>
      <c r="BA605" s="81" t="str">
        <f>IFERROR(IF(COUNTIFS('Candidate Tracker'!$E:$E,'Positions Tracker'!$B605,'Candidate Tracker'!$I:$I,"Female")=0,"",COUNTIFS('Candidate Tracker'!$E:$E,'Positions Tracker'!$B605,'Candidate Tracker'!$I:$I,"Female")),"")</f>
        <v/>
      </c>
      <c r="BB605" s="81" t="str">
        <f>IFERROR(IF(COUNTIFS('Candidate Tracker'!$E:$E,'Positions Tracker'!$B605,'Candidate Tracker'!$I:$I,"male")=0,"",COUNTIFS('Candidate Tracker'!$E:$E,'Positions Tracker'!$B605,'Candidate Tracker'!$I:$I,"male")),"")</f>
        <v/>
      </c>
      <c r="BC605" s="80" t="str">
        <f>IFERROR(IF(COUNTIFS('Candidate Tracker'!$E:$E,'Positions Tracker'!$B605,'Candidate Tracker'!$C:$C,"&lt;&gt;WIP",'Candidate Tracker'!$C:$C,"&lt;&gt;Hold",'Candidate Tracker'!$C:$C,"&lt;&gt;Cancelled",'Candidate Tracker'!$C:$C,"&lt;&gt;Closed")/COUNTIFS('Candidate Tracker'!$E:$E,'Positions Tracker'!$B605)=0,"",COUNTIFS('Candidate Tracker'!$E:$E,'Positions Tracker'!$B605,'Candidate Tracker'!$C:$C,"&lt;&gt;WIP",'Candidate Tracker'!$C:$C,"&lt;&gt;Hold",'Candidate Tracker'!$C:$C,"&lt;&gt;Cancelled",'Candidate Tracker'!$C:$C,"&lt;&gt;Closed")/COUNTIFS('Candidate Tracker'!$E:$E,'Positions Tracker'!$B605)),"")</f>
        <v/>
      </c>
      <c r="BD605" s="67" t="str">
        <f t="shared" si="54"/>
        <v/>
      </c>
      <c r="BE605" s="67" t="str">
        <f t="shared" si="55"/>
        <v/>
      </c>
      <c r="BF605" s="67" t="str">
        <f t="shared" si="56"/>
        <v/>
      </c>
      <c r="BG605" s="67" t="str">
        <f t="shared" si="57"/>
        <v/>
      </c>
    </row>
    <row r="606" spans="1:59">
      <c r="A606" s="55"/>
      <c r="B606" s="56"/>
      <c r="C606" s="56"/>
      <c r="D606" s="56"/>
      <c r="E606" s="56"/>
      <c r="F606" s="56"/>
      <c r="G606" s="56"/>
      <c r="H606" s="56"/>
      <c r="I606" s="6"/>
      <c r="J606" s="6"/>
      <c r="K606" s="57"/>
      <c r="L606" s="57"/>
      <c r="M606" s="57"/>
      <c r="N606" s="56"/>
      <c r="O606" s="56"/>
      <c r="P606" s="56"/>
      <c r="Q606" s="56"/>
      <c r="R606" s="56"/>
      <c r="S606" s="56"/>
      <c r="T606" s="56"/>
      <c r="U606" s="56"/>
      <c r="V606" s="56"/>
      <c r="W606" s="56"/>
      <c r="X606" s="56"/>
      <c r="Y606" s="56"/>
      <c r="Z606" s="56"/>
      <c r="AA606" s="56"/>
      <c r="AB606" s="56"/>
      <c r="AC606" s="56"/>
      <c r="AD606" s="56"/>
      <c r="AE606" s="56"/>
      <c r="AF606" s="56"/>
      <c r="AG606" s="56"/>
      <c r="AH606" s="56"/>
      <c r="AI606" s="58"/>
      <c r="AJ606" s="56"/>
      <c r="AK606" s="56"/>
      <c r="AL606" s="56"/>
      <c r="AM606" s="57"/>
      <c r="AN606" s="57"/>
      <c r="AO606" s="56"/>
      <c r="AP606" s="56"/>
      <c r="AQ606" s="57"/>
      <c r="AR606" s="57"/>
      <c r="AS606" s="57"/>
      <c r="AT606" s="67">
        <f t="shared" ca="1" si="58"/>
        <v>0</v>
      </c>
      <c r="AU606" s="79" t="str">
        <f t="shared" ca="1" si="59"/>
        <v/>
      </c>
      <c r="AV606" s="79" t="str" cm="1">
        <f t="array" aca="1" ref="AV606" ca="1">IFERROR(_xlfn.IFS($AU606="","",$AU606&lt;=15,"0-15",AND($AU606&gt;=16,$AU606&lt;=30),"16-30",AND($AU606&gt;=31,$AU606&lt;=45),"31-45",AND($AU606&gt;=46,$AU606&lt;=60),"46-60",AND($AU606&gt;=61,$AU606&lt;=90),"61-90",AND($AU606&gt;=91),"&gt; 90",AND($AU606&gt;=2000),""),"")</f>
        <v/>
      </c>
      <c r="AW606" s="79" t="str" cm="1">
        <f t="array" aca="1" ref="AW606" ca="1">IFERROR(_xlfn.IFS(OR($M606="",$AM606=""),"",OR($C606="Offered",$C606="Joined"),($AM606-$M606)-$AT606),"")</f>
        <v/>
      </c>
      <c r="AX606" s="79" t="str" cm="1">
        <f t="array" aca="1" ref="AX606" ca="1">IFERROR(_xlfn.IFS(OR($M606="",$AS606=""),"",$C606="Joined",($AS606-$M606)-$AT606),"")</f>
        <v/>
      </c>
      <c r="AY606" s="67" t="str">
        <f>IFERROR(IF(COUNTIFS('Candidate Tracker'!$E:$E,'Positions Tracker'!$B606,'Candidate Tracker'!$C:$C,"Offer Drop")=0,"",COUNTIFS('Candidate Tracker'!$E:$E,'Positions Tracker'!$B606,'Candidate Tracker'!$C:$C,"Offer Drop")),"")</f>
        <v/>
      </c>
      <c r="AZ606" s="80">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0.88111888111888115</v>
      </c>
      <c r="BA606" s="81" t="str">
        <f>IFERROR(IF(COUNTIFS('Candidate Tracker'!$E:$E,'Positions Tracker'!$B606,'Candidate Tracker'!$I:$I,"Female")=0,"",COUNTIFS('Candidate Tracker'!$E:$E,'Positions Tracker'!$B606,'Candidate Tracker'!$I:$I,"Female")),"")</f>
        <v/>
      </c>
      <c r="BB606" s="81" t="str">
        <f>IFERROR(IF(COUNTIFS('Candidate Tracker'!$E:$E,'Positions Tracker'!$B606,'Candidate Tracker'!$I:$I,"male")=0,"",COUNTIFS('Candidate Tracker'!$E:$E,'Positions Tracker'!$B606,'Candidate Tracker'!$I:$I,"male")),"")</f>
        <v/>
      </c>
      <c r="BC606" s="80" t="str">
        <f>IFERROR(IF(COUNTIFS('Candidate Tracker'!$E:$E,'Positions Tracker'!$B606,'Candidate Tracker'!$C:$C,"&lt;&gt;WIP",'Candidate Tracker'!$C:$C,"&lt;&gt;Hold",'Candidate Tracker'!$C:$C,"&lt;&gt;Cancelled",'Candidate Tracker'!$C:$C,"&lt;&gt;Closed")/COUNTIFS('Candidate Tracker'!$E:$E,'Positions Tracker'!$B606)=0,"",COUNTIFS('Candidate Tracker'!$E:$E,'Positions Tracker'!$B606,'Candidate Tracker'!$C:$C,"&lt;&gt;WIP",'Candidate Tracker'!$C:$C,"&lt;&gt;Hold",'Candidate Tracker'!$C:$C,"&lt;&gt;Cancelled",'Candidate Tracker'!$C:$C,"&lt;&gt;Closed")/COUNTIFS('Candidate Tracker'!$E:$E,'Positions Tracker'!$B606)),"")</f>
        <v/>
      </c>
      <c r="BD606" s="67" t="str">
        <f t="shared" si="54"/>
        <v/>
      </c>
      <c r="BE606" s="67" t="str">
        <f t="shared" si="55"/>
        <v/>
      </c>
      <c r="BF606" s="67" t="str">
        <f t="shared" si="56"/>
        <v/>
      </c>
      <c r="BG606" s="67" t="str">
        <f t="shared" si="57"/>
        <v/>
      </c>
    </row>
    <row r="607" spans="1:59">
      <c r="A607" s="55"/>
      <c r="B607" s="56"/>
      <c r="C607" s="56"/>
      <c r="D607" s="56"/>
      <c r="E607" s="56"/>
      <c r="F607" s="56"/>
      <c r="G607" s="56"/>
      <c r="H607" s="56"/>
      <c r="I607" s="6"/>
      <c r="J607" s="6"/>
      <c r="K607" s="57"/>
      <c r="L607" s="57"/>
      <c r="M607" s="57"/>
      <c r="N607" s="56"/>
      <c r="O607" s="56"/>
      <c r="P607" s="56"/>
      <c r="Q607" s="56"/>
      <c r="R607" s="56"/>
      <c r="S607" s="56"/>
      <c r="T607" s="56"/>
      <c r="U607" s="56"/>
      <c r="V607" s="56"/>
      <c r="W607" s="56"/>
      <c r="X607" s="56"/>
      <c r="Y607" s="56"/>
      <c r="Z607" s="56"/>
      <c r="AA607" s="56"/>
      <c r="AB607" s="56"/>
      <c r="AC607" s="56"/>
      <c r="AD607" s="56"/>
      <c r="AE607" s="56"/>
      <c r="AF607" s="56"/>
      <c r="AG607" s="56"/>
      <c r="AH607" s="56"/>
      <c r="AI607" s="58"/>
      <c r="AJ607" s="56"/>
      <c r="AK607" s="56"/>
      <c r="AL607" s="56"/>
      <c r="AM607" s="57"/>
      <c r="AN607" s="57"/>
      <c r="AO607" s="56"/>
      <c r="AP607" s="56"/>
      <c r="AQ607" s="57"/>
      <c r="AR607" s="57"/>
      <c r="AS607" s="57"/>
      <c r="AT607" s="67">
        <f t="shared" ca="1" si="58"/>
        <v>0</v>
      </c>
      <c r="AU607" s="79" t="str">
        <f t="shared" ca="1" si="59"/>
        <v/>
      </c>
      <c r="AV607" s="79" t="str" cm="1">
        <f t="array" aca="1" ref="AV607" ca="1">IFERROR(_xlfn.IFS($AU607="","",$AU607&lt;=15,"0-15",AND($AU607&gt;=16,$AU607&lt;=30),"16-30",AND($AU607&gt;=31,$AU607&lt;=45),"31-45",AND($AU607&gt;=46,$AU607&lt;=60),"46-60",AND($AU607&gt;=61,$AU607&lt;=90),"61-90",AND($AU607&gt;=91),"&gt; 90",AND($AU607&gt;=2000),""),"")</f>
        <v/>
      </c>
      <c r="AW607" s="79" t="str" cm="1">
        <f t="array" aca="1" ref="AW607" ca="1">IFERROR(_xlfn.IFS(OR($M607="",$AM607=""),"",OR($C607="Offered",$C607="Joined"),($AM607-$M607)-$AT607),"")</f>
        <v/>
      </c>
      <c r="AX607" s="79" t="str" cm="1">
        <f t="array" aca="1" ref="AX607" ca="1">IFERROR(_xlfn.IFS(OR($M607="",$AS607=""),"",$C607="Joined",($AS607-$M607)-$AT607),"")</f>
        <v/>
      </c>
      <c r="AY607" s="67" t="str">
        <f>IFERROR(IF(COUNTIFS('Candidate Tracker'!$E:$E,'Positions Tracker'!$B607,'Candidate Tracker'!$C:$C,"Offer Drop")=0,"",COUNTIFS('Candidate Tracker'!$E:$E,'Positions Tracker'!$B607,'Candidate Tracker'!$C:$C,"Offer Drop")),"")</f>
        <v/>
      </c>
      <c r="AZ607" s="80">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0.88111888111888115</v>
      </c>
      <c r="BA607" s="81" t="str">
        <f>IFERROR(IF(COUNTIFS('Candidate Tracker'!$E:$E,'Positions Tracker'!$B607,'Candidate Tracker'!$I:$I,"Female")=0,"",COUNTIFS('Candidate Tracker'!$E:$E,'Positions Tracker'!$B607,'Candidate Tracker'!$I:$I,"Female")),"")</f>
        <v/>
      </c>
      <c r="BB607" s="81" t="str">
        <f>IFERROR(IF(COUNTIFS('Candidate Tracker'!$E:$E,'Positions Tracker'!$B607,'Candidate Tracker'!$I:$I,"male")=0,"",COUNTIFS('Candidate Tracker'!$E:$E,'Positions Tracker'!$B607,'Candidate Tracker'!$I:$I,"male")),"")</f>
        <v/>
      </c>
      <c r="BC607" s="80" t="str">
        <f>IFERROR(IF(COUNTIFS('Candidate Tracker'!$E:$E,'Positions Tracker'!$B607,'Candidate Tracker'!$C:$C,"&lt;&gt;WIP",'Candidate Tracker'!$C:$C,"&lt;&gt;Hold",'Candidate Tracker'!$C:$C,"&lt;&gt;Cancelled",'Candidate Tracker'!$C:$C,"&lt;&gt;Closed")/COUNTIFS('Candidate Tracker'!$E:$E,'Positions Tracker'!$B607)=0,"",COUNTIFS('Candidate Tracker'!$E:$E,'Positions Tracker'!$B607,'Candidate Tracker'!$C:$C,"&lt;&gt;WIP",'Candidate Tracker'!$C:$C,"&lt;&gt;Hold",'Candidate Tracker'!$C:$C,"&lt;&gt;Cancelled",'Candidate Tracker'!$C:$C,"&lt;&gt;Closed")/COUNTIFS('Candidate Tracker'!$E:$E,'Positions Tracker'!$B607)),"")</f>
        <v/>
      </c>
      <c r="BD607" s="67" t="str">
        <f t="shared" si="54"/>
        <v/>
      </c>
      <c r="BE607" s="67" t="str">
        <f t="shared" si="55"/>
        <v/>
      </c>
      <c r="BF607" s="67" t="str">
        <f t="shared" si="56"/>
        <v/>
      </c>
      <c r="BG607" s="67" t="str">
        <f t="shared" si="57"/>
        <v/>
      </c>
    </row>
    <row r="608" spans="1:59">
      <c r="A608" s="55"/>
      <c r="B608" s="56"/>
      <c r="C608" s="56"/>
      <c r="D608" s="56"/>
      <c r="E608" s="56"/>
      <c r="F608" s="56"/>
      <c r="G608" s="56"/>
      <c r="H608" s="56"/>
      <c r="I608" s="6"/>
      <c r="J608" s="6"/>
      <c r="K608" s="57"/>
      <c r="L608" s="57"/>
      <c r="M608" s="57"/>
      <c r="N608" s="56"/>
      <c r="O608" s="56"/>
      <c r="P608" s="56"/>
      <c r="Q608" s="56"/>
      <c r="R608" s="56"/>
      <c r="S608" s="56"/>
      <c r="T608" s="56"/>
      <c r="U608" s="56"/>
      <c r="V608" s="56"/>
      <c r="W608" s="56"/>
      <c r="X608" s="56"/>
      <c r="Y608" s="56"/>
      <c r="Z608" s="56"/>
      <c r="AA608" s="56"/>
      <c r="AB608" s="56"/>
      <c r="AC608" s="56"/>
      <c r="AD608" s="56"/>
      <c r="AE608" s="56"/>
      <c r="AF608" s="56"/>
      <c r="AG608" s="56"/>
      <c r="AH608" s="56"/>
      <c r="AI608" s="58"/>
      <c r="AJ608" s="56"/>
      <c r="AK608" s="56"/>
      <c r="AL608" s="56"/>
      <c r="AM608" s="57"/>
      <c r="AN608" s="57"/>
      <c r="AO608" s="56"/>
      <c r="AP608" s="56"/>
      <c r="AQ608" s="57"/>
      <c r="AR608" s="57"/>
      <c r="AS608" s="57"/>
      <c r="AT608" s="67">
        <f t="shared" ca="1" si="58"/>
        <v>0</v>
      </c>
      <c r="AU608" s="79" t="str">
        <f t="shared" ca="1" si="59"/>
        <v/>
      </c>
      <c r="AV608" s="79" t="str" cm="1">
        <f t="array" aca="1" ref="AV608" ca="1">IFERROR(_xlfn.IFS($AU608="","",$AU608&lt;=15,"0-15",AND($AU608&gt;=16,$AU608&lt;=30),"16-30",AND($AU608&gt;=31,$AU608&lt;=45),"31-45",AND($AU608&gt;=46,$AU608&lt;=60),"46-60",AND($AU608&gt;=61,$AU608&lt;=90),"61-90",AND($AU608&gt;=91),"&gt; 90",AND($AU608&gt;=2000),""),"")</f>
        <v/>
      </c>
      <c r="AW608" s="79" t="str" cm="1">
        <f t="array" aca="1" ref="AW608" ca="1">IFERROR(_xlfn.IFS(OR($M608="",$AM608=""),"",OR($C608="Offered",$C608="Joined"),($AM608-$M608)-$AT608),"")</f>
        <v/>
      </c>
      <c r="AX608" s="79" t="str" cm="1">
        <f t="array" aca="1" ref="AX608" ca="1">IFERROR(_xlfn.IFS(OR($M608="",$AS608=""),"",$C608="Joined",($AS608-$M608)-$AT608),"")</f>
        <v/>
      </c>
      <c r="AY608" s="67" t="str">
        <f>IFERROR(IF(COUNTIFS('Candidate Tracker'!$E:$E,'Positions Tracker'!$B608,'Candidate Tracker'!$C:$C,"Offer Drop")=0,"",COUNTIFS('Candidate Tracker'!$E:$E,'Positions Tracker'!$B608,'Candidate Tracker'!$C:$C,"Offer Drop")),"")</f>
        <v/>
      </c>
      <c r="AZ608" s="80">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0.88111888111888115</v>
      </c>
      <c r="BA608" s="81" t="str">
        <f>IFERROR(IF(COUNTIFS('Candidate Tracker'!$E:$E,'Positions Tracker'!$B608,'Candidate Tracker'!$I:$I,"Female")=0,"",COUNTIFS('Candidate Tracker'!$E:$E,'Positions Tracker'!$B608,'Candidate Tracker'!$I:$I,"Female")),"")</f>
        <v/>
      </c>
      <c r="BB608" s="81" t="str">
        <f>IFERROR(IF(COUNTIFS('Candidate Tracker'!$E:$E,'Positions Tracker'!$B608,'Candidate Tracker'!$I:$I,"male")=0,"",COUNTIFS('Candidate Tracker'!$E:$E,'Positions Tracker'!$B608,'Candidate Tracker'!$I:$I,"male")),"")</f>
        <v/>
      </c>
      <c r="BC608" s="80" t="str">
        <f>IFERROR(IF(COUNTIFS('Candidate Tracker'!$E:$E,'Positions Tracker'!$B608,'Candidate Tracker'!$C:$C,"&lt;&gt;WIP",'Candidate Tracker'!$C:$C,"&lt;&gt;Hold",'Candidate Tracker'!$C:$C,"&lt;&gt;Cancelled",'Candidate Tracker'!$C:$C,"&lt;&gt;Closed")/COUNTIFS('Candidate Tracker'!$E:$E,'Positions Tracker'!$B608)=0,"",COUNTIFS('Candidate Tracker'!$E:$E,'Positions Tracker'!$B608,'Candidate Tracker'!$C:$C,"&lt;&gt;WIP",'Candidate Tracker'!$C:$C,"&lt;&gt;Hold",'Candidate Tracker'!$C:$C,"&lt;&gt;Cancelled",'Candidate Tracker'!$C:$C,"&lt;&gt;Closed")/COUNTIFS('Candidate Tracker'!$E:$E,'Positions Tracker'!$B608)),"")</f>
        <v/>
      </c>
      <c r="BD608" s="67" t="str">
        <f t="shared" si="54"/>
        <v/>
      </c>
      <c r="BE608" s="67" t="str">
        <f t="shared" si="55"/>
        <v/>
      </c>
      <c r="BF608" s="67" t="str">
        <f t="shared" si="56"/>
        <v/>
      </c>
      <c r="BG608" s="67" t="str">
        <f t="shared" si="57"/>
        <v/>
      </c>
    </row>
    <row r="609" spans="1:59">
      <c r="A609" s="55"/>
      <c r="B609" s="56"/>
      <c r="C609" s="56"/>
      <c r="D609" s="56"/>
      <c r="E609" s="56"/>
      <c r="F609" s="56"/>
      <c r="G609" s="56"/>
      <c r="H609" s="56"/>
      <c r="I609" s="6"/>
      <c r="J609" s="6"/>
      <c r="K609" s="57"/>
      <c r="L609" s="57"/>
      <c r="M609" s="57"/>
      <c r="N609" s="56"/>
      <c r="O609" s="56"/>
      <c r="P609" s="56"/>
      <c r="Q609" s="56"/>
      <c r="R609" s="56"/>
      <c r="S609" s="56"/>
      <c r="T609" s="56"/>
      <c r="U609" s="56"/>
      <c r="V609" s="56"/>
      <c r="W609" s="56"/>
      <c r="X609" s="56"/>
      <c r="Y609" s="56"/>
      <c r="Z609" s="56"/>
      <c r="AA609" s="56"/>
      <c r="AB609" s="56"/>
      <c r="AC609" s="56"/>
      <c r="AD609" s="56"/>
      <c r="AE609" s="56"/>
      <c r="AF609" s="56"/>
      <c r="AG609" s="56"/>
      <c r="AH609" s="56"/>
      <c r="AI609" s="58"/>
      <c r="AJ609" s="56"/>
      <c r="AK609" s="56"/>
      <c r="AL609" s="56"/>
      <c r="AM609" s="57"/>
      <c r="AN609" s="57"/>
      <c r="AO609" s="56"/>
      <c r="AP609" s="56"/>
      <c r="AQ609" s="57"/>
      <c r="AR609" s="57"/>
      <c r="AS609" s="57"/>
      <c r="AT609" s="67">
        <f t="shared" ca="1" si="58"/>
        <v>0</v>
      </c>
      <c r="AU609" s="79" t="str">
        <f t="shared" ca="1" si="59"/>
        <v/>
      </c>
      <c r="AV609" s="79" t="str" cm="1">
        <f t="array" aca="1" ref="AV609" ca="1">IFERROR(_xlfn.IFS($AU609="","",$AU609&lt;=15,"0-15",AND($AU609&gt;=16,$AU609&lt;=30),"16-30",AND($AU609&gt;=31,$AU609&lt;=45),"31-45",AND($AU609&gt;=46,$AU609&lt;=60),"46-60",AND($AU609&gt;=61,$AU609&lt;=90),"61-90",AND($AU609&gt;=91),"&gt; 90",AND($AU609&gt;=2000),""),"")</f>
        <v/>
      </c>
      <c r="AW609" s="79" t="str" cm="1">
        <f t="array" aca="1" ref="AW609" ca="1">IFERROR(_xlfn.IFS(OR($M609="",$AM609=""),"",OR($C609="Offered",$C609="Joined"),($AM609-$M609)-$AT609),"")</f>
        <v/>
      </c>
      <c r="AX609" s="79" t="str" cm="1">
        <f t="array" aca="1" ref="AX609" ca="1">IFERROR(_xlfn.IFS(OR($M609="",$AS609=""),"",$C609="Joined",($AS609-$M609)-$AT609),"")</f>
        <v/>
      </c>
      <c r="AY609" s="67" t="str">
        <f>IFERROR(IF(COUNTIFS('Candidate Tracker'!$E:$E,'Positions Tracker'!$B609,'Candidate Tracker'!$C:$C,"Offer Drop")=0,"",COUNTIFS('Candidate Tracker'!$E:$E,'Positions Tracker'!$B609,'Candidate Tracker'!$C:$C,"Offer Drop")),"")</f>
        <v/>
      </c>
      <c r="AZ609" s="80">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0.88111888111888115</v>
      </c>
      <c r="BA609" s="81" t="str">
        <f>IFERROR(IF(COUNTIFS('Candidate Tracker'!$E:$E,'Positions Tracker'!$B609,'Candidate Tracker'!$I:$I,"Female")=0,"",COUNTIFS('Candidate Tracker'!$E:$E,'Positions Tracker'!$B609,'Candidate Tracker'!$I:$I,"Female")),"")</f>
        <v/>
      </c>
      <c r="BB609" s="81" t="str">
        <f>IFERROR(IF(COUNTIFS('Candidate Tracker'!$E:$E,'Positions Tracker'!$B609,'Candidate Tracker'!$I:$I,"male")=0,"",COUNTIFS('Candidate Tracker'!$E:$E,'Positions Tracker'!$B609,'Candidate Tracker'!$I:$I,"male")),"")</f>
        <v/>
      </c>
      <c r="BC609" s="80" t="str">
        <f>IFERROR(IF(COUNTIFS('Candidate Tracker'!$E:$E,'Positions Tracker'!$B609,'Candidate Tracker'!$C:$C,"&lt;&gt;WIP",'Candidate Tracker'!$C:$C,"&lt;&gt;Hold",'Candidate Tracker'!$C:$C,"&lt;&gt;Cancelled",'Candidate Tracker'!$C:$C,"&lt;&gt;Closed")/COUNTIFS('Candidate Tracker'!$E:$E,'Positions Tracker'!$B609)=0,"",COUNTIFS('Candidate Tracker'!$E:$E,'Positions Tracker'!$B609,'Candidate Tracker'!$C:$C,"&lt;&gt;WIP",'Candidate Tracker'!$C:$C,"&lt;&gt;Hold",'Candidate Tracker'!$C:$C,"&lt;&gt;Cancelled",'Candidate Tracker'!$C:$C,"&lt;&gt;Closed")/COUNTIFS('Candidate Tracker'!$E:$E,'Positions Tracker'!$B609)),"")</f>
        <v/>
      </c>
      <c r="BD609" s="67" t="str">
        <f t="shared" si="54"/>
        <v/>
      </c>
      <c r="BE609" s="67" t="str">
        <f t="shared" si="55"/>
        <v/>
      </c>
      <c r="BF609" s="67" t="str">
        <f t="shared" si="56"/>
        <v/>
      </c>
      <c r="BG609" s="67" t="str">
        <f t="shared" si="57"/>
        <v/>
      </c>
    </row>
    <row r="610" spans="1:59">
      <c r="A610" s="55"/>
      <c r="B610" s="56"/>
      <c r="C610" s="56"/>
      <c r="D610" s="56"/>
      <c r="E610" s="56"/>
      <c r="F610" s="56"/>
      <c r="G610" s="56"/>
      <c r="H610" s="56"/>
      <c r="I610" s="6"/>
      <c r="J610" s="6"/>
      <c r="K610" s="57"/>
      <c r="L610" s="57"/>
      <c r="M610" s="57"/>
      <c r="N610" s="56"/>
      <c r="O610" s="56"/>
      <c r="P610" s="56"/>
      <c r="Q610" s="56"/>
      <c r="R610" s="56"/>
      <c r="S610" s="56"/>
      <c r="T610" s="56"/>
      <c r="U610" s="56"/>
      <c r="V610" s="56"/>
      <c r="W610" s="56"/>
      <c r="X610" s="56"/>
      <c r="Y610" s="56"/>
      <c r="Z610" s="56"/>
      <c r="AA610" s="56"/>
      <c r="AB610" s="56"/>
      <c r="AC610" s="56"/>
      <c r="AD610" s="56"/>
      <c r="AE610" s="56"/>
      <c r="AF610" s="56"/>
      <c r="AG610" s="56"/>
      <c r="AH610" s="56"/>
      <c r="AI610" s="58"/>
      <c r="AJ610" s="56"/>
      <c r="AK610" s="56"/>
      <c r="AL610" s="56"/>
      <c r="AM610" s="57"/>
      <c r="AN610" s="57"/>
      <c r="AO610" s="56"/>
      <c r="AP610" s="56"/>
      <c r="AQ610" s="57"/>
      <c r="AR610" s="57"/>
      <c r="AS610" s="57"/>
      <c r="AT610" s="67">
        <f t="shared" ca="1" si="58"/>
        <v>0</v>
      </c>
      <c r="AU610" s="79" t="str">
        <f t="shared" ca="1" si="59"/>
        <v/>
      </c>
      <c r="AV610" s="79" t="str" cm="1">
        <f t="array" aca="1" ref="AV610" ca="1">IFERROR(_xlfn.IFS($AU610="","",$AU610&lt;=15,"0-15",AND($AU610&gt;=16,$AU610&lt;=30),"16-30",AND($AU610&gt;=31,$AU610&lt;=45),"31-45",AND($AU610&gt;=46,$AU610&lt;=60),"46-60",AND($AU610&gt;=61,$AU610&lt;=90),"61-90",AND($AU610&gt;=91),"&gt; 90",AND($AU610&gt;=2000),""),"")</f>
        <v/>
      </c>
      <c r="AW610" s="79" t="str" cm="1">
        <f t="array" aca="1" ref="AW610" ca="1">IFERROR(_xlfn.IFS(OR($M610="",$AM610=""),"",OR($C610="Offered",$C610="Joined"),($AM610-$M610)-$AT610),"")</f>
        <v/>
      </c>
      <c r="AX610" s="79" t="str" cm="1">
        <f t="array" aca="1" ref="AX610" ca="1">IFERROR(_xlfn.IFS(OR($M610="",$AS610=""),"",$C610="Joined",($AS610-$M610)-$AT610),"")</f>
        <v/>
      </c>
      <c r="AY610" s="67" t="str">
        <f>IFERROR(IF(COUNTIFS('Candidate Tracker'!$E:$E,'Positions Tracker'!$B610,'Candidate Tracker'!$C:$C,"Offer Drop")=0,"",COUNTIFS('Candidate Tracker'!$E:$E,'Positions Tracker'!$B610,'Candidate Tracker'!$C:$C,"Offer Drop")),"")</f>
        <v/>
      </c>
      <c r="AZ610" s="80">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0.88111888111888115</v>
      </c>
      <c r="BA610" s="81" t="str">
        <f>IFERROR(IF(COUNTIFS('Candidate Tracker'!$E:$E,'Positions Tracker'!$B610,'Candidate Tracker'!$I:$I,"Female")=0,"",COUNTIFS('Candidate Tracker'!$E:$E,'Positions Tracker'!$B610,'Candidate Tracker'!$I:$I,"Female")),"")</f>
        <v/>
      </c>
      <c r="BB610" s="81" t="str">
        <f>IFERROR(IF(COUNTIFS('Candidate Tracker'!$E:$E,'Positions Tracker'!$B610,'Candidate Tracker'!$I:$I,"male")=0,"",COUNTIFS('Candidate Tracker'!$E:$E,'Positions Tracker'!$B610,'Candidate Tracker'!$I:$I,"male")),"")</f>
        <v/>
      </c>
      <c r="BC610" s="80" t="str">
        <f>IFERROR(IF(COUNTIFS('Candidate Tracker'!$E:$E,'Positions Tracker'!$B610,'Candidate Tracker'!$C:$C,"&lt;&gt;WIP",'Candidate Tracker'!$C:$C,"&lt;&gt;Hold",'Candidate Tracker'!$C:$C,"&lt;&gt;Cancelled",'Candidate Tracker'!$C:$C,"&lt;&gt;Closed")/COUNTIFS('Candidate Tracker'!$E:$E,'Positions Tracker'!$B610)=0,"",COUNTIFS('Candidate Tracker'!$E:$E,'Positions Tracker'!$B610,'Candidate Tracker'!$C:$C,"&lt;&gt;WIP",'Candidate Tracker'!$C:$C,"&lt;&gt;Hold",'Candidate Tracker'!$C:$C,"&lt;&gt;Cancelled",'Candidate Tracker'!$C:$C,"&lt;&gt;Closed")/COUNTIFS('Candidate Tracker'!$E:$E,'Positions Tracker'!$B610)),"")</f>
        <v/>
      </c>
      <c r="BD610" s="67" t="str">
        <f t="shared" si="54"/>
        <v/>
      </c>
      <c r="BE610" s="67" t="str">
        <f t="shared" si="55"/>
        <v/>
      </c>
      <c r="BF610" s="67" t="str">
        <f t="shared" si="56"/>
        <v/>
      </c>
      <c r="BG610" s="67" t="str">
        <f t="shared" si="57"/>
        <v/>
      </c>
    </row>
    <row r="611" spans="1:59">
      <c r="A611" s="55"/>
      <c r="B611" s="56"/>
      <c r="C611" s="56"/>
      <c r="D611" s="56"/>
      <c r="E611" s="56"/>
      <c r="F611" s="56"/>
      <c r="G611" s="56"/>
      <c r="H611" s="56"/>
      <c r="I611" s="6"/>
      <c r="J611" s="6"/>
      <c r="K611" s="57"/>
      <c r="L611" s="57"/>
      <c r="M611" s="57"/>
      <c r="N611" s="56"/>
      <c r="O611" s="56"/>
      <c r="P611" s="56"/>
      <c r="Q611" s="56"/>
      <c r="R611" s="56"/>
      <c r="S611" s="56"/>
      <c r="T611" s="56"/>
      <c r="U611" s="56"/>
      <c r="V611" s="56"/>
      <c r="W611" s="56"/>
      <c r="X611" s="56"/>
      <c r="Y611" s="56"/>
      <c r="Z611" s="56"/>
      <c r="AA611" s="56"/>
      <c r="AB611" s="56"/>
      <c r="AC611" s="56"/>
      <c r="AD611" s="56"/>
      <c r="AE611" s="56"/>
      <c r="AF611" s="56"/>
      <c r="AG611" s="56"/>
      <c r="AH611" s="56"/>
      <c r="AI611" s="58"/>
      <c r="AJ611" s="56"/>
      <c r="AK611" s="56"/>
      <c r="AL611" s="56"/>
      <c r="AM611" s="57"/>
      <c r="AN611" s="57"/>
      <c r="AO611" s="56"/>
      <c r="AP611" s="56"/>
      <c r="AQ611" s="57"/>
      <c r="AR611" s="57"/>
      <c r="AS611" s="57"/>
      <c r="AT611" s="67">
        <f t="shared" ca="1" si="58"/>
        <v>0</v>
      </c>
      <c r="AU611" s="79" t="str">
        <f t="shared" ca="1" si="59"/>
        <v/>
      </c>
      <c r="AV611" s="79" t="str" cm="1">
        <f t="array" aca="1" ref="AV611" ca="1">IFERROR(_xlfn.IFS($AU611="","",$AU611&lt;=15,"0-15",AND($AU611&gt;=16,$AU611&lt;=30),"16-30",AND($AU611&gt;=31,$AU611&lt;=45),"31-45",AND($AU611&gt;=46,$AU611&lt;=60),"46-60",AND($AU611&gt;=61,$AU611&lt;=90),"61-90",AND($AU611&gt;=91),"&gt; 90",AND($AU611&gt;=2000),""),"")</f>
        <v/>
      </c>
      <c r="AW611" s="79" t="str" cm="1">
        <f t="array" aca="1" ref="AW611" ca="1">IFERROR(_xlfn.IFS(OR($M611="",$AM611=""),"",OR($C611="Offered",$C611="Joined"),($AM611-$M611)-$AT611),"")</f>
        <v/>
      </c>
      <c r="AX611" s="79" t="str" cm="1">
        <f t="array" aca="1" ref="AX611" ca="1">IFERROR(_xlfn.IFS(OR($M611="",$AS611=""),"",$C611="Joined",($AS611-$M611)-$AT611),"")</f>
        <v/>
      </c>
      <c r="AY611" s="67" t="str">
        <f>IFERROR(IF(COUNTIFS('Candidate Tracker'!$E:$E,'Positions Tracker'!$B611,'Candidate Tracker'!$C:$C,"Offer Drop")=0,"",COUNTIFS('Candidate Tracker'!$E:$E,'Positions Tracker'!$B611,'Candidate Tracker'!$C:$C,"Offer Drop")),"")</f>
        <v/>
      </c>
      <c r="AZ611" s="80">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0.88111888111888115</v>
      </c>
      <c r="BA611" s="81" t="str">
        <f>IFERROR(IF(COUNTIFS('Candidate Tracker'!$E:$E,'Positions Tracker'!$B611,'Candidate Tracker'!$I:$I,"Female")=0,"",COUNTIFS('Candidate Tracker'!$E:$E,'Positions Tracker'!$B611,'Candidate Tracker'!$I:$I,"Female")),"")</f>
        <v/>
      </c>
      <c r="BB611" s="81" t="str">
        <f>IFERROR(IF(COUNTIFS('Candidate Tracker'!$E:$E,'Positions Tracker'!$B611,'Candidate Tracker'!$I:$I,"male")=0,"",COUNTIFS('Candidate Tracker'!$E:$E,'Positions Tracker'!$B611,'Candidate Tracker'!$I:$I,"male")),"")</f>
        <v/>
      </c>
      <c r="BC611" s="80" t="str">
        <f>IFERROR(IF(COUNTIFS('Candidate Tracker'!$E:$E,'Positions Tracker'!$B611,'Candidate Tracker'!$C:$C,"&lt;&gt;WIP",'Candidate Tracker'!$C:$C,"&lt;&gt;Hold",'Candidate Tracker'!$C:$C,"&lt;&gt;Cancelled",'Candidate Tracker'!$C:$C,"&lt;&gt;Closed")/COUNTIFS('Candidate Tracker'!$E:$E,'Positions Tracker'!$B611)=0,"",COUNTIFS('Candidate Tracker'!$E:$E,'Positions Tracker'!$B611,'Candidate Tracker'!$C:$C,"&lt;&gt;WIP",'Candidate Tracker'!$C:$C,"&lt;&gt;Hold",'Candidate Tracker'!$C:$C,"&lt;&gt;Cancelled",'Candidate Tracker'!$C:$C,"&lt;&gt;Closed")/COUNTIFS('Candidate Tracker'!$E:$E,'Positions Tracker'!$B611)),"")</f>
        <v/>
      </c>
      <c r="BD611" s="67" t="str">
        <f t="shared" si="54"/>
        <v/>
      </c>
      <c r="BE611" s="67" t="str">
        <f t="shared" si="55"/>
        <v/>
      </c>
      <c r="BF611" s="67" t="str">
        <f t="shared" si="56"/>
        <v/>
      </c>
      <c r="BG611" s="67" t="str">
        <f t="shared" si="57"/>
        <v/>
      </c>
    </row>
    <row r="612" spans="1:59">
      <c r="A612" s="55"/>
      <c r="B612" s="56"/>
      <c r="C612" s="56"/>
      <c r="D612" s="56"/>
      <c r="E612" s="56"/>
      <c r="F612" s="56"/>
      <c r="G612" s="56"/>
      <c r="H612" s="56"/>
      <c r="I612" s="6"/>
      <c r="J612" s="6"/>
      <c r="K612" s="57"/>
      <c r="L612" s="57"/>
      <c r="M612" s="57"/>
      <c r="N612" s="56"/>
      <c r="O612" s="56"/>
      <c r="P612" s="56"/>
      <c r="Q612" s="56"/>
      <c r="R612" s="56"/>
      <c r="S612" s="56"/>
      <c r="T612" s="56"/>
      <c r="U612" s="56"/>
      <c r="V612" s="56"/>
      <c r="W612" s="56"/>
      <c r="X612" s="56"/>
      <c r="Y612" s="56"/>
      <c r="Z612" s="56"/>
      <c r="AA612" s="56"/>
      <c r="AB612" s="56"/>
      <c r="AC612" s="56"/>
      <c r="AD612" s="56"/>
      <c r="AE612" s="56"/>
      <c r="AF612" s="56"/>
      <c r="AG612" s="56"/>
      <c r="AH612" s="56"/>
      <c r="AI612" s="58"/>
      <c r="AJ612" s="56"/>
      <c r="AK612" s="56"/>
      <c r="AL612" s="56"/>
      <c r="AM612" s="57"/>
      <c r="AN612" s="57"/>
      <c r="AO612" s="56"/>
      <c r="AP612" s="56"/>
      <c r="AQ612" s="57"/>
      <c r="AR612" s="57"/>
      <c r="AS612" s="57"/>
      <c r="AT612" s="67">
        <f t="shared" ca="1" si="58"/>
        <v>0</v>
      </c>
      <c r="AU612" s="79" t="str">
        <f t="shared" ca="1" si="59"/>
        <v/>
      </c>
      <c r="AV612" s="79" t="str" cm="1">
        <f t="array" aca="1" ref="AV612" ca="1">IFERROR(_xlfn.IFS($AU612="","",$AU612&lt;=15,"0-15",AND($AU612&gt;=16,$AU612&lt;=30),"16-30",AND($AU612&gt;=31,$AU612&lt;=45),"31-45",AND($AU612&gt;=46,$AU612&lt;=60),"46-60",AND($AU612&gt;=61,$AU612&lt;=90),"61-90",AND($AU612&gt;=91),"&gt; 90",AND($AU612&gt;=2000),""),"")</f>
        <v/>
      </c>
      <c r="AW612" s="79" t="str" cm="1">
        <f t="array" aca="1" ref="AW612" ca="1">IFERROR(_xlfn.IFS(OR($M612="",$AM612=""),"",OR($C612="Offered",$C612="Joined"),($AM612-$M612)-$AT612),"")</f>
        <v/>
      </c>
      <c r="AX612" s="79" t="str" cm="1">
        <f t="array" aca="1" ref="AX612" ca="1">IFERROR(_xlfn.IFS(OR($M612="",$AS612=""),"",$C612="Joined",($AS612-$M612)-$AT612),"")</f>
        <v/>
      </c>
      <c r="AY612" s="67" t="str">
        <f>IFERROR(IF(COUNTIFS('Candidate Tracker'!$E:$E,'Positions Tracker'!$B612,'Candidate Tracker'!$C:$C,"Offer Drop")=0,"",COUNTIFS('Candidate Tracker'!$E:$E,'Positions Tracker'!$B612,'Candidate Tracker'!$C:$C,"Offer Drop")),"")</f>
        <v/>
      </c>
      <c r="AZ612" s="80">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0.88111888111888115</v>
      </c>
      <c r="BA612" s="81" t="str">
        <f>IFERROR(IF(COUNTIFS('Candidate Tracker'!$E:$E,'Positions Tracker'!$B612,'Candidate Tracker'!$I:$I,"Female")=0,"",COUNTIFS('Candidate Tracker'!$E:$E,'Positions Tracker'!$B612,'Candidate Tracker'!$I:$I,"Female")),"")</f>
        <v/>
      </c>
      <c r="BB612" s="81" t="str">
        <f>IFERROR(IF(COUNTIFS('Candidate Tracker'!$E:$E,'Positions Tracker'!$B612,'Candidate Tracker'!$I:$I,"male")=0,"",COUNTIFS('Candidate Tracker'!$E:$E,'Positions Tracker'!$B612,'Candidate Tracker'!$I:$I,"male")),"")</f>
        <v/>
      </c>
      <c r="BC612" s="80" t="str">
        <f>IFERROR(IF(COUNTIFS('Candidate Tracker'!$E:$E,'Positions Tracker'!$B612,'Candidate Tracker'!$C:$C,"&lt;&gt;WIP",'Candidate Tracker'!$C:$C,"&lt;&gt;Hold",'Candidate Tracker'!$C:$C,"&lt;&gt;Cancelled",'Candidate Tracker'!$C:$C,"&lt;&gt;Closed")/COUNTIFS('Candidate Tracker'!$E:$E,'Positions Tracker'!$B612)=0,"",COUNTIFS('Candidate Tracker'!$E:$E,'Positions Tracker'!$B612,'Candidate Tracker'!$C:$C,"&lt;&gt;WIP",'Candidate Tracker'!$C:$C,"&lt;&gt;Hold",'Candidate Tracker'!$C:$C,"&lt;&gt;Cancelled",'Candidate Tracker'!$C:$C,"&lt;&gt;Closed")/COUNTIFS('Candidate Tracker'!$E:$E,'Positions Tracker'!$B612)),"")</f>
        <v/>
      </c>
      <c r="BD612" s="67" t="str">
        <f t="shared" si="54"/>
        <v/>
      </c>
      <c r="BE612" s="67" t="str">
        <f t="shared" si="55"/>
        <v/>
      </c>
      <c r="BF612" s="67" t="str">
        <f t="shared" si="56"/>
        <v/>
      </c>
      <c r="BG612" s="67" t="str">
        <f t="shared" si="57"/>
        <v/>
      </c>
    </row>
    <row r="613" spans="1:59">
      <c r="A613" s="55"/>
      <c r="B613" s="56"/>
      <c r="C613" s="56"/>
      <c r="D613" s="56"/>
      <c r="E613" s="56"/>
      <c r="F613" s="56"/>
      <c r="G613" s="56"/>
      <c r="H613" s="56"/>
      <c r="I613" s="6"/>
      <c r="J613" s="6"/>
      <c r="K613" s="57"/>
      <c r="L613" s="57"/>
      <c r="M613" s="57"/>
      <c r="N613" s="56"/>
      <c r="O613" s="56"/>
      <c r="P613" s="56"/>
      <c r="Q613" s="56"/>
      <c r="R613" s="56"/>
      <c r="S613" s="56"/>
      <c r="T613" s="56"/>
      <c r="U613" s="56"/>
      <c r="V613" s="56"/>
      <c r="W613" s="56"/>
      <c r="X613" s="56"/>
      <c r="Y613" s="56"/>
      <c r="Z613" s="56"/>
      <c r="AA613" s="56"/>
      <c r="AB613" s="56"/>
      <c r="AC613" s="56"/>
      <c r="AD613" s="56"/>
      <c r="AE613" s="56"/>
      <c r="AF613" s="56"/>
      <c r="AG613" s="56"/>
      <c r="AH613" s="56"/>
      <c r="AI613" s="58"/>
      <c r="AJ613" s="56"/>
      <c r="AK613" s="56"/>
      <c r="AL613" s="56"/>
      <c r="AM613" s="57"/>
      <c r="AN613" s="57"/>
      <c r="AO613" s="56"/>
      <c r="AP613" s="56"/>
      <c r="AQ613" s="57"/>
      <c r="AR613" s="57"/>
      <c r="AS613" s="57"/>
      <c r="AT613" s="67">
        <f t="shared" ca="1" si="58"/>
        <v>0</v>
      </c>
      <c r="AU613" s="79" t="str">
        <f t="shared" ca="1" si="59"/>
        <v/>
      </c>
      <c r="AV613" s="79" t="str" cm="1">
        <f t="array" aca="1" ref="AV613" ca="1">IFERROR(_xlfn.IFS($AU613="","",$AU613&lt;=15,"0-15",AND($AU613&gt;=16,$AU613&lt;=30),"16-30",AND($AU613&gt;=31,$AU613&lt;=45),"31-45",AND($AU613&gt;=46,$AU613&lt;=60),"46-60",AND($AU613&gt;=61,$AU613&lt;=90),"61-90",AND($AU613&gt;=91),"&gt; 90",AND($AU613&gt;=2000),""),"")</f>
        <v/>
      </c>
      <c r="AW613" s="79" t="str" cm="1">
        <f t="array" aca="1" ref="AW613" ca="1">IFERROR(_xlfn.IFS(OR($M613="",$AM613=""),"",OR($C613="Offered",$C613="Joined"),($AM613-$M613)-$AT613),"")</f>
        <v/>
      </c>
      <c r="AX613" s="79" t="str" cm="1">
        <f t="array" aca="1" ref="AX613" ca="1">IFERROR(_xlfn.IFS(OR($M613="",$AS613=""),"",$C613="Joined",($AS613-$M613)-$AT613),"")</f>
        <v/>
      </c>
      <c r="AY613" s="67" t="str">
        <f>IFERROR(IF(COUNTIFS('Candidate Tracker'!$E:$E,'Positions Tracker'!$B613,'Candidate Tracker'!$C:$C,"Offer Drop")=0,"",COUNTIFS('Candidate Tracker'!$E:$E,'Positions Tracker'!$B613,'Candidate Tracker'!$C:$C,"Offer Drop")),"")</f>
        <v/>
      </c>
      <c r="AZ613" s="80">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0.88111888111888115</v>
      </c>
      <c r="BA613" s="81" t="str">
        <f>IFERROR(IF(COUNTIFS('Candidate Tracker'!$E:$E,'Positions Tracker'!$B613,'Candidate Tracker'!$I:$I,"Female")=0,"",COUNTIFS('Candidate Tracker'!$E:$E,'Positions Tracker'!$B613,'Candidate Tracker'!$I:$I,"Female")),"")</f>
        <v/>
      </c>
      <c r="BB613" s="81" t="str">
        <f>IFERROR(IF(COUNTIFS('Candidate Tracker'!$E:$E,'Positions Tracker'!$B613,'Candidate Tracker'!$I:$I,"male")=0,"",COUNTIFS('Candidate Tracker'!$E:$E,'Positions Tracker'!$B613,'Candidate Tracker'!$I:$I,"male")),"")</f>
        <v/>
      </c>
      <c r="BC613" s="80" t="str">
        <f>IFERROR(IF(COUNTIFS('Candidate Tracker'!$E:$E,'Positions Tracker'!$B613,'Candidate Tracker'!$C:$C,"&lt;&gt;WIP",'Candidate Tracker'!$C:$C,"&lt;&gt;Hold",'Candidate Tracker'!$C:$C,"&lt;&gt;Cancelled",'Candidate Tracker'!$C:$C,"&lt;&gt;Closed")/COUNTIFS('Candidate Tracker'!$E:$E,'Positions Tracker'!$B613)=0,"",COUNTIFS('Candidate Tracker'!$E:$E,'Positions Tracker'!$B613,'Candidate Tracker'!$C:$C,"&lt;&gt;WIP",'Candidate Tracker'!$C:$C,"&lt;&gt;Hold",'Candidate Tracker'!$C:$C,"&lt;&gt;Cancelled",'Candidate Tracker'!$C:$C,"&lt;&gt;Closed")/COUNTIFS('Candidate Tracker'!$E:$E,'Positions Tracker'!$B613)),"")</f>
        <v/>
      </c>
      <c r="BD613" s="67" t="str">
        <f t="shared" si="54"/>
        <v/>
      </c>
      <c r="BE613" s="67" t="str">
        <f t="shared" si="55"/>
        <v/>
      </c>
      <c r="BF613" s="67" t="str">
        <f t="shared" si="56"/>
        <v/>
      </c>
      <c r="BG613" s="67" t="str">
        <f t="shared" si="57"/>
        <v/>
      </c>
    </row>
    <row r="614" spans="1:59">
      <c r="A614" s="55"/>
      <c r="B614" s="56"/>
      <c r="C614" s="56"/>
      <c r="D614" s="56"/>
      <c r="E614" s="56"/>
      <c r="F614" s="56"/>
      <c r="G614" s="56"/>
      <c r="H614" s="56"/>
      <c r="I614" s="6"/>
      <c r="J614" s="6"/>
      <c r="K614" s="57"/>
      <c r="L614" s="57"/>
      <c r="M614" s="57"/>
      <c r="N614" s="56"/>
      <c r="O614" s="56"/>
      <c r="P614" s="56"/>
      <c r="Q614" s="56"/>
      <c r="R614" s="56"/>
      <c r="S614" s="56"/>
      <c r="T614" s="56"/>
      <c r="U614" s="56"/>
      <c r="V614" s="56"/>
      <c r="W614" s="56"/>
      <c r="X614" s="56"/>
      <c r="Y614" s="56"/>
      <c r="Z614" s="56"/>
      <c r="AA614" s="56"/>
      <c r="AB614" s="56"/>
      <c r="AC614" s="56"/>
      <c r="AD614" s="56"/>
      <c r="AE614" s="56"/>
      <c r="AF614" s="56"/>
      <c r="AG614" s="56"/>
      <c r="AH614" s="56"/>
      <c r="AI614" s="58"/>
      <c r="AJ614" s="56"/>
      <c r="AK614" s="56"/>
      <c r="AL614" s="56"/>
      <c r="AM614" s="57"/>
      <c r="AN614" s="57"/>
      <c r="AO614" s="56"/>
      <c r="AP614" s="56"/>
      <c r="AQ614" s="57"/>
      <c r="AR614" s="57"/>
      <c r="AS614" s="57"/>
      <c r="AT614" s="67">
        <f t="shared" ca="1" si="58"/>
        <v>0</v>
      </c>
      <c r="AU614" s="79" t="str">
        <f t="shared" ca="1" si="59"/>
        <v/>
      </c>
      <c r="AV614" s="79" t="str" cm="1">
        <f t="array" aca="1" ref="AV614" ca="1">IFERROR(_xlfn.IFS($AU614="","",$AU614&lt;=15,"0-15",AND($AU614&gt;=16,$AU614&lt;=30),"16-30",AND($AU614&gt;=31,$AU614&lt;=45),"31-45",AND($AU614&gt;=46,$AU614&lt;=60),"46-60",AND($AU614&gt;=61,$AU614&lt;=90),"61-90",AND($AU614&gt;=91),"&gt; 90",AND($AU614&gt;=2000),""),"")</f>
        <v/>
      </c>
      <c r="AW614" s="79" t="str" cm="1">
        <f t="array" aca="1" ref="AW614" ca="1">IFERROR(_xlfn.IFS(OR($M614="",$AM614=""),"",OR($C614="Offered",$C614="Joined"),($AM614-$M614)-$AT614),"")</f>
        <v/>
      </c>
      <c r="AX614" s="79" t="str" cm="1">
        <f t="array" aca="1" ref="AX614" ca="1">IFERROR(_xlfn.IFS(OR($M614="",$AS614=""),"",$C614="Joined",($AS614-$M614)-$AT614),"")</f>
        <v/>
      </c>
      <c r="AY614" s="67" t="str">
        <f>IFERROR(IF(COUNTIFS('Candidate Tracker'!$E:$E,'Positions Tracker'!$B614,'Candidate Tracker'!$C:$C,"Offer Drop")=0,"",COUNTIFS('Candidate Tracker'!$E:$E,'Positions Tracker'!$B614,'Candidate Tracker'!$C:$C,"Offer Drop")),"")</f>
        <v/>
      </c>
      <c r="AZ614" s="80">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0.88111888111888115</v>
      </c>
      <c r="BA614" s="81" t="str">
        <f>IFERROR(IF(COUNTIFS('Candidate Tracker'!$E:$E,'Positions Tracker'!$B614,'Candidate Tracker'!$I:$I,"Female")=0,"",COUNTIFS('Candidate Tracker'!$E:$E,'Positions Tracker'!$B614,'Candidate Tracker'!$I:$I,"Female")),"")</f>
        <v/>
      </c>
      <c r="BB614" s="81" t="str">
        <f>IFERROR(IF(COUNTIFS('Candidate Tracker'!$E:$E,'Positions Tracker'!$B614,'Candidate Tracker'!$I:$I,"male")=0,"",COUNTIFS('Candidate Tracker'!$E:$E,'Positions Tracker'!$B614,'Candidate Tracker'!$I:$I,"male")),"")</f>
        <v/>
      </c>
      <c r="BC614" s="80" t="str">
        <f>IFERROR(IF(COUNTIFS('Candidate Tracker'!$E:$E,'Positions Tracker'!$B614,'Candidate Tracker'!$C:$C,"&lt;&gt;WIP",'Candidate Tracker'!$C:$C,"&lt;&gt;Hold",'Candidate Tracker'!$C:$C,"&lt;&gt;Cancelled",'Candidate Tracker'!$C:$C,"&lt;&gt;Closed")/COUNTIFS('Candidate Tracker'!$E:$E,'Positions Tracker'!$B614)=0,"",COUNTIFS('Candidate Tracker'!$E:$E,'Positions Tracker'!$B614,'Candidate Tracker'!$C:$C,"&lt;&gt;WIP",'Candidate Tracker'!$C:$C,"&lt;&gt;Hold",'Candidate Tracker'!$C:$C,"&lt;&gt;Cancelled",'Candidate Tracker'!$C:$C,"&lt;&gt;Closed")/COUNTIFS('Candidate Tracker'!$E:$E,'Positions Tracker'!$B614)),"")</f>
        <v/>
      </c>
      <c r="BD614" s="67" t="str">
        <f t="shared" si="54"/>
        <v/>
      </c>
      <c r="BE614" s="67" t="str">
        <f t="shared" si="55"/>
        <v/>
      </c>
      <c r="BF614" s="67" t="str">
        <f t="shared" si="56"/>
        <v/>
      </c>
      <c r="BG614" s="67" t="str">
        <f t="shared" si="57"/>
        <v/>
      </c>
    </row>
    <row r="615" spans="1:59">
      <c r="A615" s="55"/>
      <c r="B615" s="56"/>
      <c r="C615" s="56"/>
      <c r="D615" s="56"/>
      <c r="E615" s="56"/>
      <c r="F615" s="56"/>
      <c r="G615" s="56"/>
      <c r="H615" s="56"/>
      <c r="I615" s="6"/>
      <c r="J615" s="6"/>
      <c r="K615" s="57"/>
      <c r="L615" s="57"/>
      <c r="M615" s="57"/>
      <c r="N615" s="56"/>
      <c r="O615" s="56"/>
      <c r="P615" s="56"/>
      <c r="Q615" s="56"/>
      <c r="R615" s="56"/>
      <c r="S615" s="56"/>
      <c r="T615" s="56"/>
      <c r="U615" s="56"/>
      <c r="V615" s="56"/>
      <c r="W615" s="56"/>
      <c r="X615" s="56"/>
      <c r="Y615" s="56"/>
      <c r="Z615" s="56"/>
      <c r="AA615" s="56"/>
      <c r="AB615" s="56"/>
      <c r="AC615" s="56"/>
      <c r="AD615" s="56"/>
      <c r="AE615" s="56"/>
      <c r="AF615" s="56"/>
      <c r="AG615" s="56"/>
      <c r="AH615" s="56"/>
      <c r="AI615" s="58"/>
      <c r="AJ615" s="56"/>
      <c r="AK615" s="56"/>
      <c r="AL615" s="56"/>
      <c r="AM615" s="57"/>
      <c r="AN615" s="57"/>
      <c r="AO615" s="56"/>
      <c r="AP615" s="56"/>
      <c r="AQ615" s="57"/>
      <c r="AR615" s="57"/>
      <c r="AS615" s="57"/>
      <c r="AT615" s="67">
        <f t="shared" ca="1" si="58"/>
        <v>0</v>
      </c>
      <c r="AU615" s="79" t="str">
        <f t="shared" ca="1" si="59"/>
        <v/>
      </c>
      <c r="AV615" s="79" t="str" cm="1">
        <f t="array" aca="1" ref="AV615" ca="1">IFERROR(_xlfn.IFS($AU615="","",$AU615&lt;=15,"0-15",AND($AU615&gt;=16,$AU615&lt;=30),"16-30",AND($AU615&gt;=31,$AU615&lt;=45),"31-45",AND($AU615&gt;=46,$AU615&lt;=60),"46-60",AND($AU615&gt;=61,$AU615&lt;=90),"61-90",AND($AU615&gt;=91),"&gt; 90",AND($AU615&gt;=2000),""),"")</f>
        <v/>
      </c>
      <c r="AW615" s="79" t="str" cm="1">
        <f t="array" aca="1" ref="AW615" ca="1">IFERROR(_xlfn.IFS(OR($M615="",$AM615=""),"",OR($C615="Offered",$C615="Joined"),($AM615-$M615)-$AT615),"")</f>
        <v/>
      </c>
      <c r="AX615" s="79" t="str" cm="1">
        <f t="array" aca="1" ref="AX615" ca="1">IFERROR(_xlfn.IFS(OR($M615="",$AS615=""),"",$C615="Joined",($AS615-$M615)-$AT615),"")</f>
        <v/>
      </c>
      <c r="AY615" s="67" t="str">
        <f>IFERROR(IF(COUNTIFS('Candidate Tracker'!$E:$E,'Positions Tracker'!$B615,'Candidate Tracker'!$C:$C,"Offer Drop")=0,"",COUNTIFS('Candidate Tracker'!$E:$E,'Positions Tracker'!$B615,'Candidate Tracker'!$C:$C,"Offer Drop")),"")</f>
        <v/>
      </c>
      <c r="AZ615" s="80">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0.88111888111888115</v>
      </c>
      <c r="BA615" s="81" t="str">
        <f>IFERROR(IF(COUNTIFS('Candidate Tracker'!$E:$E,'Positions Tracker'!$B615,'Candidate Tracker'!$I:$I,"Female")=0,"",COUNTIFS('Candidate Tracker'!$E:$E,'Positions Tracker'!$B615,'Candidate Tracker'!$I:$I,"Female")),"")</f>
        <v/>
      </c>
      <c r="BB615" s="81" t="str">
        <f>IFERROR(IF(COUNTIFS('Candidate Tracker'!$E:$E,'Positions Tracker'!$B615,'Candidate Tracker'!$I:$I,"male")=0,"",COUNTIFS('Candidate Tracker'!$E:$E,'Positions Tracker'!$B615,'Candidate Tracker'!$I:$I,"male")),"")</f>
        <v/>
      </c>
      <c r="BC615" s="80" t="str">
        <f>IFERROR(IF(COUNTIFS('Candidate Tracker'!$E:$E,'Positions Tracker'!$B615,'Candidate Tracker'!$C:$C,"&lt;&gt;WIP",'Candidate Tracker'!$C:$C,"&lt;&gt;Hold",'Candidate Tracker'!$C:$C,"&lt;&gt;Cancelled",'Candidate Tracker'!$C:$C,"&lt;&gt;Closed")/COUNTIFS('Candidate Tracker'!$E:$E,'Positions Tracker'!$B615)=0,"",COUNTIFS('Candidate Tracker'!$E:$E,'Positions Tracker'!$B615,'Candidate Tracker'!$C:$C,"&lt;&gt;WIP",'Candidate Tracker'!$C:$C,"&lt;&gt;Hold",'Candidate Tracker'!$C:$C,"&lt;&gt;Cancelled",'Candidate Tracker'!$C:$C,"&lt;&gt;Closed")/COUNTIFS('Candidate Tracker'!$E:$E,'Positions Tracker'!$B615)),"")</f>
        <v/>
      </c>
      <c r="BD615" s="67" t="str">
        <f t="shared" si="54"/>
        <v/>
      </c>
      <c r="BE615" s="67" t="str">
        <f t="shared" si="55"/>
        <v/>
      </c>
      <c r="BF615" s="67" t="str">
        <f t="shared" si="56"/>
        <v/>
      </c>
      <c r="BG615" s="67" t="str">
        <f t="shared" si="57"/>
        <v/>
      </c>
    </row>
    <row r="616" spans="1:59">
      <c r="A616" s="55"/>
      <c r="B616" s="56"/>
      <c r="C616" s="56"/>
      <c r="D616" s="56"/>
      <c r="E616" s="56"/>
      <c r="F616" s="56"/>
      <c r="G616" s="56"/>
      <c r="H616" s="56"/>
      <c r="I616" s="6"/>
      <c r="J616" s="6"/>
      <c r="K616" s="57"/>
      <c r="L616" s="57"/>
      <c r="M616" s="57"/>
      <c r="N616" s="56"/>
      <c r="O616" s="56"/>
      <c r="P616" s="56"/>
      <c r="Q616" s="56"/>
      <c r="R616" s="56"/>
      <c r="S616" s="56"/>
      <c r="T616" s="56"/>
      <c r="U616" s="56"/>
      <c r="V616" s="56"/>
      <c r="W616" s="56"/>
      <c r="X616" s="56"/>
      <c r="Y616" s="56"/>
      <c r="Z616" s="56"/>
      <c r="AA616" s="56"/>
      <c r="AB616" s="56"/>
      <c r="AC616" s="56"/>
      <c r="AD616" s="56"/>
      <c r="AE616" s="56"/>
      <c r="AF616" s="56"/>
      <c r="AG616" s="56"/>
      <c r="AH616" s="56"/>
      <c r="AI616" s="58"/>
      <c r="AJ616" s="56"/>
      <c r="AK616" s="56"/>
      <c r="AL616" s="56"/>
      <c r="AM616" s="57"/>
      <c r="AN616" s="57"/>
      <c r="AO616" s="56"/>
      <c r="AP616" s="56"/>
      <c r="AQ616" s="57"/>
      <c r="AR616" s="57"/>
      <c r="AS616" s="57"/>
      <c r="AT616" s="67">
        <f t="shared" ca="1" si="58"/>
        <v>0</v>
      </c>
      <c r="AU616" s="79" t="str">
        <f t="shared" ca="1" si="59"/>
        <v/>
      </c>
      <c r="AV616" s="79" t="str" cm="1">
        <f t="array" aca="1" ref="AV616" ca="1">IFERROR(_xlfn.IFS($AU616="","",$AU616&lt;=15,"0-15",AND($AU616&gt;=16,$AU616&lt;=30),"16-30",AND($AU616&gt;=31,$AU616&lt;=45),"31-45",AND($AU616&gt;=46,$AU616&lt;=60),"46-60",AND($AU616&gt;=61,$AU616&lt;=90),"61-90",AND($AU616&gt;=91),"&gt; 90",AND($AU616&gt;=2000),""),"")</f>
        <v/>
      </c>
      <c r="AW616" s="79" t="str" cm="1">
        <f t="array" aca="1" ref="AW616" ca="1">IFERROR(_xlfn.IFS(OR($M616="",$AM616=""),"",OR($C616="Offered",$C616="Joined"),($AM616-$M616)-$AT616),"")</f>
        <v/>
      </c>
      <c r="AX616" s="79" t="str" cm="1">
        <f t="array" aca="1" ref="AX616" ca="1">IFERROR(_xlfn.IFS(OR($M616="",$AS616=""),"",$C616="Joined",($AS616-$M616)-$AT616),"")</f>
        <v/>
      </c>
      <c r="AY616" s="67" t="str">
        <f>IFERROR(IF(COUNTIFS('Candidate Tracker'!$E:$E,'Positions Tracker'!$B616,'Candidate Tracker'!$C:$C,"Offer Drop")=0,"",COUNTIFS('Candidate Tracker'!$E:$E,'Positions Tracker'!$B616,'Candidate Tracker'!$C:$C,"Offer Drop")),"")</f>
        <v/>
      </c>
      <c r="AZ616" s="80">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0.88111888111888115</v>
      </c>
      <c r="BA616" s="81" t="str">
        <f>IFERROR(IF(COUNTIFS('Candidate Tracker'!$E:$E,'Positions Tracker'!$B616,'Candidate Tracker'!$I:$I,"Female")=0,"",COUNTIFS('Candidate Tracker'!$E:$E,'Positions Tracker'!$B616,'Candidate Tracker'!$I:$I,"Female")),"")</f>
        <v/>
      </c>
      <c r="BB616" s="81" t="str">
        <f>IFERROR(IF(COUNTIFS('Candidate Tracker'!$E:$E,'Positions Tracker'!$B616,'Candidate Tracker'!$I:$I,"male")=0,"",COUNTIFS('Candidate Tracker'!$E:$E,'Positions Tracker'!$B616,'Candidate Tracker'!$I:$I,"male")),"")</f>
        <v/>
      </c>
      <c r="BC616" s="80" t="str">
        <f>IFERROR(IF(COUNTIFS('Candidate Tracker'!$E:$E,'Positions Tracker'!$B616,'Candidate Tracker'!$C:$C,"&lt;&gt;WIP",'Candidate Tracker'!$C:$C,"&lt;&gt;Hold",'Candidate Tracker'!$C:$C,"&lt;&gt;Cancelled",'Candidate Tracker'!$C:$C,"&lt;&gt;Closed")/COUNTIFS('Candidate Tracker'!$E:$E,'Positions Tracker'!$B616)=0,"",COUNTIFS('Candidate Tracker'!$E:$E,'Positions Tracker'!$B616,'Candidate Tracker'!$C:$C,"&lt;&gt;WIP",'Candidate Tracker'!$C:$C,"&lt;&gt;Hold",'Candidate Tracker'!$C:$C,"&lt;&gt;Cancelled",'Candidate Tracker'!$C:$C,"&lt;&gt;Closed")/COUNTIFS('Candidate Tracker'!$E:$E,'Positions Tracker'!$B616)),"")</f>
        <v/>
      </c>
      <c r="BD616" s="67" t="str">
        <f t="shared" si="54"/>
        <v/>
      </c>
      <c r="BE616" s="67" t="str">
        <f t="shared" si="55"/>
        <v/>
      </c>
      <c r="BF616" s="67" t="str">
        <f t="shared" si="56"/>
        <v/>
      </c>
      <c r="BG616" s="67" t="str">
        <f t="shared" si="57"/>
        <v/>
      </c>
    </row>
    <row r="617" spans="1:59">
      <c r="A617" s="55"/>
      <c r="B617" s="56"/>
      <c r="C617" s="56"/>
      <c r="D617" s="56"/>
      <c r="E617" s="56"/>
      <c r="F617" s="56"/>
      <c r="G617" s="56"/>
      <c r="H617" s="56"/>
      <c r="I617" s="6"/>
      <c r="J617" s="6"/>
      <c r="K617" s="57"/>
      <c r="L617" s="57"/>
      <c r="M617" s="57"/>
      <c r="N617" s="56"/>
      <c r="O617" s="56"/>
      <c r="P617" s="56"/>
      <c r="Q617" s="56"/>
      <c r="R617" s="56"/>
      <c r="S617" s="56"/>
      <c r="T617" s="56"/>
      <c r="U617" s="56"/>
      <c r="V617" s="56"/>
      <c r="W617" s="56"/>
      <c r="X617" s="56"/>
      <c r="Y617" s="56"/>
      <c r="Z617" s="56"/>
      <c r="AA617" s="56"/>
      <c r="AB617" s="56"/>
      <c r="AC617" s="56"/>
      <c r="AD617" s="56"/>
      <c r="AE617" s="56"/>
      <c r="AF617" s="56"/>
      <c r="AG617" s="56"/>
      <c r="AH617" s="56"/>
      <c r="AI617" s="58"/>
      <c r="AJ617" s="56"/>
      <c r="AK617" s="56"/>
      <c r="AL617" s="56"/>
      <c r="AM617" s="57"/>
      <c r="AN617" s="57"/>
      <c r="AO617" s="56"/>
      <c r="AP617" s="56"/>
      <c r="AQ617" s="57"/>
      <c r="AR617" s="57"/>
      <c r="AS617" s="57"/>
      <c r="AT617" s="67">
        <f t="shared" ca="1" si="58"/>
        <v>0</v>
      </c>
      <c r="AU617" s="79" t="str">
        <f t="shared" ca="1" si="59"/>
        <v/>
      </c>
      <c r="AV617" s="79" t="str" cm="1">
        <f t="array" aca="1" ref="AV617" ca="1">IFERROR(_xlfn.IFS($AU617="","",$AU617&lt;=15,"0-15",AND($AU617&gt;=16,$AU617&lt;=30),"16-30",AND($AU617&gt;=31,$AU617&lt;=45),"31-45",AND($AU617&gt;=46,$AU617&lt;=60),"46-60",AND($AU617&gt;=61,$AU617&lt;=90),"61-90",AND($AU617&gt;=91),"&gt; 90",AND($AU617&gt;=2000),""),"")</f>
        <v/>
      </c>
      <c r="AW617" s="79" t="str" cm="1">
        <f t="array" aca="1" ref="AW617" ca="1">IFERROR(_xlfn.IFS(OR($M617="",$AM617=""),"",OR($C617="Offered",$C617="Joined"),($AM617-$M617)-$AT617),"")</f>
        <v/>
      </c>
      <c r="AX617" s="79" t="str" cm="1">
        <f t="array" aca="1" ref="AX617" ca="1">IFERROR(_xlfn.IFS(OR($M617="",$AS617=""),"",$C617="Joined",($AS617-$M617)-$AT617),"")</f>
        <v/>
      </c>
      <c r="AY617" s="67" t="str">
        <f>IFERROR(IF(COUNTIFS('Candidate Tracker'!$E:$E,'Positions Tracker'!$B617,'Candidate Tracker'!$C:$C,"Offer Drop")=0,"",COUNTIFS('Candidate Tracker'!$E:$E,'Positions Tracker'!$B617,'Candidate Tracker'!$C:$C,"Offer Drop")),"")</f>
        <v/>
      </c>
      <c r="AZ617" s="80">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0.88111888111888115</v>
      </c>
      <c r="BA617" s="81" t="str">
        <f>IFERROR(IF(COUNTIFS('Candidate Tracker'!$E:$E,'Positions Tracker'!$B617,'Candidate Tracker'!$I:$I,"Female")=0,"",COUNTIFS('Candidate Tracker'!$E:$E,'Positions Tracker'!$B617,'Candidate Tracker'!$I:$I,"Female")),"")</f>
        <v/>
      </c>
      <c r="BB617" s="81" t="str">
        <f>IFERROR(IF(COUNTIFS('Candidate Tracker'!$E:$E,'Positions Tracker'!$B617,'Candidate Tracker'!$I:$I,"male")=0,"",COUNTIFS('Candidate Tracker'!$E:$E,'Positions Tracker'!$B617,'Candidate Tracker'!$I:$I,"male")),"")</f>
        <v/>
      </c>
      <c r="BC617" s="80" t="str">
        <f>IFERROR(IF(COUNTIFS('Candidate Tracker'!$E:$E,'Positions Tracker'!$B617,'Candidate Tracker'!$C:$C,"&lt;&gt;WIP",'Candidate Tracker'!$C:$C,"&lt;&gt;Hold",'Candidate Tracker'!$C:$C,"&lt;&gt;Cancelled",'Candidate Tracker'!$C:$C,"&lt;&gt;Closed")/COUNTIFS('Candidate Tracker'!$E:$E,'Positions Tracker'!$B617)=0,"",COUNTIFS('Candidate Tracker'!$E:$E,'Positions Tracker'!$B617,'Candidate Tracker'!$C:$C,"&lt;&gt;WIP",'Candidate Tracker'!$C:$C,"&lt;&gt;Hold",'Candidate Tracker'!$C:$C,"&lt;&gt;Cancelled",'Candidate Tracker'!$C:$C,"&lt;&gt;Closed")/COUNTIFS('Candidate Tracker'!$E:$E,'Positions Tracker'!$B617)),"")</f>
        <v/>
      </c>
      <c r="BD617" s="67" t="str">
        <f t="shared" si="54"/>
        <v/>
      </c>
      <c r="BE617" s="67" t="str">
        <f t="shared" si="55"/>
        <v/>
      </c>
      <c r="BF617" s="67" t="str">
        <f t="shared" si="56"/>
        <v/>
      </c>
      <c r="BG617" s="67" t="str">
        <f t="shared" si="57"/>
        <v/>
      </c>
    </row>
    <row r="618" spans="1:59">
      <c r="A618" s="55"/>
      <c r="B618" s="56"/>
      <c r="C618" s="56"/>
      <c r="D618" s="56"/>
      <c r="E618" s="56"/>
      <c r="F618" s="56"/>
      <c r="G618" s="56"/>
      <c r="H618" s="56"/>
      <c r="I618" s="6"/>
      <c r="J618" s="6"/>
      <c r="K618" s="57"/>
      <c r="L618" s="57"/>
      <c r="M618" s="57"/>
      <c r="N618" s="56"/>
      <c r="O618" s="56"/>
      <c r="P618" s="56"/>
      <c r="Q618" s="56"/>
      <c r="R618" s="56"/>
      <c r="S618" s="56"/>
      <c r="T618" s="56"/>
      <c r="U618" s="56"/>
      <c r="V618" s="56"/>
      <c r="W618" s="56"/>
      <c r="X618" s="56"/>
      <c r="Y618" s="56"/>
      <c r="Z618" s="56"/>
      <c r="AA618" s="56"/>
      <c r="AB618" s="56"/>
      <c r="AC618" s="56"/>
      <c r="AD618" s="56"/>
      <c r="AE618" s="56"/>
      <c r="AF618" s="56"/>
      <c r="AG618" s="56"/>
      <c r="AH618" s="56"/>
      <c r="AI618" s="58"/>
      <c r="AJ618" s="56"/>
      <c r="AK618" s="56"/>
      <c r="AL618" s="56"/>
      <c r="AM618" s="57"/>
      <c r="AN618" s="57"/>
      <c r="AO618" s="56"/>
      <c r="AP618" s="56"/>
      <c r="AQ618" s="57"/>
      <c r="AR618" s="57"/>
      <c r="AS618" s="57"/>
      <c r="AT618" s="67">
        <f t="shared" ca="1" si="58"/>
        <v>0</v>
      </c>
      <c r="AU618" s="79" t="str">
        <f t="shared" ca="1" si="59"/>
        <v/>
      </c>
      <c r="AV618" s="79" t="str" cm="1">
        <f t="array" aca="1" ref="AV618" ca="1">IFERROR(_xlfn.IFS($AU618="","",$AU618&lt;=15,"0-15",AND($AU618&gt;=16,$AU618&lt;=30),"16-30",AND($AU618&gt;=31,$AU618&lt;=45),"31-45",AND($AU618&gt;=46,$AU618&lt;=60),"46-60",AND($AU618&gt;=61,$AU618&lt;=90),"61-90",AND($AU618&gt;=91),"&gt; 90",AND($AU618&gt;=2000),""),"")</f>
        <v/>
      </c>
      <c r="AW618" s="79" t="str" cm="1">
        <f t="array" aca="1" ref="AW618" ca="1">IFERROR(_xlfn.IFS(OR($M618="",$AM618=""),"",OR($C618="Offered",$C618="Joined"),($AM618-$M618)-$AT618),"")</f>
        <v/>
      </c>
      <c r="AX618" s="79" t="str" cm="1">
        <f t="array" aca="1" ref="AX618" ca="1">IFERROR(_xlfn.IFS(OR($M618="",$AS618=""),"",$C618="Joined",($AS618-$M618)-$AT618),"")</f>
        <v/>
      </c>
      <c r="AY618" s="67" t="str">
        <f>IFERROR(IF(COUNTIFS('Candidate Tracker'!$E:$E,'Positions Tracker'!$B618,'Candidate Tracker'!$C:$C,"Offer Drop")=0,"",COUNTIFS('Candidate Tracker'!$E:$E,'Positions Tracker'!$B618,'Candidate Tracker'!$C:$C,"Offer Drop")),"")</f>
        <v/>
      </c>
      <c r="AZ618" s="80">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0.88111888111888115</v>
      </c>
      <c r="BA618" s="81" t="str">
        <f>IFERROR(IF(COUNTIFS('Candidate Tracker'!$E:$E,'Positions Tracker'!$B618,'Candidate Tracker'!$I:$I,"Female")=0,"",COUNTIFS('Candidate Tracker'!$E:$E,'Positions Tracker'!$B618,'Candidate Tracker'!$I:$I,"Female")),"")</f>
        <v/>
      </c>
      <c r="BB618" s="81" t="str">
        <f>IFERROR(IF(COUNTIFS('Candidate Tracker'!$E:$E,'Positions Tracker'!$B618,'Candidate Tracker'!$I:$I,"male")=0,"",COUNTIFS('Candidate Tracker'!$E:$E,'Positions Tracker'!$B618,'Candidate Tracker'!$I:$I,"male")),"")</f>
        <v/>
      </c>
      <c r="BC618" s="80" t="str">
        <f>IFERROR(IF(COUNTIFS('Candidate Tracker'!$E:$E,'Positions Tracker'!$B618,'Candidate Tracker'!$C:$C,"&lt;&gt;WIP",'Candidate Tracker'!$C:$C,"&lt;&gt;Hold",'Candidate Tracker'!$C:$C,"&lt;&gt;Cancelled",'Candidate Tracker'!$C:$C,"&lt;&gt;Closed")/COUNTIFS('Candidate Tracker'!$E:$E,'Positions Tracker'!$B618)=0,"",COUNTIFS('Candidate Tracker'!$E:$E,'Positions Tracker'!$B618,'Candidate Tracker'!$C:$C,"&lt;&gt;WIP",'Candidate Tracker'!$C:$C,"&lt;&gt;Hold",'Candidate Tracker'!$C:$C,"&lt;&gt;Cancelled",'Candidate Tracker'!$C:$C,"&lt;&gt;Closed")/COUNTIFS('Candidate Tracker'!$E:$E,'Positions Tracker'!$B618)),"")</f>
        <v/>
      </c>
      <c r="BD618" s="67" t="str">
        <f t="shared" si="54"/>
        <v/>
      </c>
      <c r="BE618" s="67" t="str">
        <f t="shared" si="55"/>
        <v/>
      </c>
      <c r="BF618" s="67" t="str">
        <f t="shared" si="56"/>
        <v/>
      </c>
      <c r="BG618" s="67" t="str">
        <f t="shared" si="57"/>
        <v/>
      </c>
    </row>
    <row r="619" spans="1:59">
      <c r="A619" s="55"/>
      <c r="B619" s="56"/>
      <c r="C619" s="56"/>
      <c r="D619" s="56"/>
      <c r="E619" s="56"/>
      <c r="F619" s="56"/>
      <c r="G619" s="56"/>
      <c r="H619" s="56"/>
      <c r="I619" s="6"/>
      <c r="J619" s="6"/>
      <c r="K619" s="57"/>
      <c r="L619" s="57"/>
      <c r="M619" s="57"/>
      <c r="N619" s="56"/>
      <c r="O619" s="56"/>
      <c r="P619" s="56"/>
      <c r="Q619" s="56"/>
      <c r="R619" s="56"/>
      <c r="S619" s="56"/>
      <c r="T619" s="56"/>
      <c r="U619" s="56"/>
      <c r="V619" s="56"/>
      <c r="W619" s="56"/>
      <c r="X619" s="56"/>
      <c r="Y619" s="56"/>
      <c r="Z619" s="56"/>
      <c r="AA619" s="56"/>
      <c r="AB619" s="56"/>
      <c r="AC619" s="56"/>
      <c r="AD619" s="56"/>
      <c r="AE619" s="56"/>
      <c r="AF619" s="56"/>
      <c r="AG619" s="56"/>
      <c r="AH619" s="56"/>
      <c r="AI619" s="58"/>
      <c r="AJ619" s="56"/>
      <c r="AK619" s="56"/>
      <c r="AL619" s="56"/>
      <c r="AM619" s="57"/>
      <c r="AN619" s="57"/>
      <c r="AO619" s="56"/>
      <c r="AP619" s="56"/>
      <c r="AQ619" s="57"/>
      <c r="AR619" s="57"/>
      <c r="AS619" s="57"/>
      <c r="AT619" s="67">
        <f t="shared" ca="1" si="58"/>
        <v>0</v>
      </c>
      <c r="AU619" s="79" t="str">
        <f t="shared" ca="1" si="59"/>
        <v/>
      </c>
      <c r="AV619" s="79" t="str" cm="1">
        <f t="array" aca="1" ref="AV619" ca="1">IFERROR(_xlfn.IFS($AU619="","",$AU619&lt;=15,"0-15",AND($AU619&gt;=16,$AU619&lt;=30),"16-30",AND($AU619&gt;=31,$AU619&lt;=45),"31-45",AND($AU619&gt;=46,$AU619&lt;=60),"46-60",AND($AU619&gt;=61,$AU619&lt;=90),"61-90",AND($AU619&gt;=91),"&gt; 90",AND($AU619&gt;=2000),""),"")</f>
        <v/>
      </c>
      <c r="AW619" s="79" t="str" cm="1">
        <f t="array" aca="1" ref="AW619" ca="1">IFERROR(_xlfn.IFS(OR($M619="",$AM619=""),"",OR($C619="Offered",$C619="Joined"),($AM619-$M619)-$AT619),"")</f>
        <v/>
      </c>
      <c r="AX619" s="79" t="str" cm="1">
        <f t="array" aca="1" ref="AX619" ca="1">IFERROR(_xlfn.IFS(OR($M619="",$AS619=""),"",$C619="Joined",($AS619-$M619)-$AT619),"")</f>
        <v/>
      </c>
      <c r="AY619" s="67" t="str">
        <f>IFERROR(IF(COUNTIFS('Candidate Tracker'!$E:$E,'Positions Tracker'!$B619,'Candidate Tracker'!$C:$C,"Offer Drop")=0,"",COUNTIFS('Candidate Tracker'!$E:$E,'Positions Tracker'!$B619,'Candidate Tracker'!$C:$C,"Offer Drop")),"")</f>
        <v/>
      </c>
      <c r="AZ619" s="80">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0.88111888111888115</v>
      </c>
      <c r="BA619" s="81" t="str">
        <f>IFERROR(IF(COUNTIFS('Candidate Tracker'!$E:$E,'Positions Tracker'!$B619,'Candidate Tracker'!$I:$I,"Female")=0,"",COUNTIFS('Candidate Tracker'!$E:$E,'Positions Tracker'!$B619,'Candidate Tracker'!$I:$I,"Female")),"")</f>
        <v/>
      </c>
      <c r="BB619" s="81" t="str">
        <f>IFERROR(IF(COUNTIFS('Candidate Tracker'!$E:$E,'Positions Tracker'!$B619,'Candidate Tracker'!$I:$I,"male")=0,"",COUNTIFS('Candidate Tracker'!$E:$E,'Positions Tracker'!$B619,'Candidate Tracker'!$I:$I,"male")),"")</f>
        <v/>
      </c>
      <c r="BC619" s="80" t="str">
        <f>IFERROR(IF(COUNTIFS('Candidate Tracker'!$E:$E,'Positions Tracker'!$B619,'Candidate Tracker'!$C:$C,"&lt;&gt;WIP",'Candidate Tracker'!$C:$C,"&lt;&gt;Hold",'Candidate Tracker'!$C:$C,"&lt;&gt;Cancelled",'Candidate Tracker'!$C:$C,"&lt;&gt;Closed")/COUNTIFS('Candidate Tracker'!$E:$E,'Positions Tracker'!$B619)=0,"",COUNTIFS('Candidate Tracker'!$E:$E,'Positions Tracker'!$B619,'Candidate Tracker'!$C:$C,"&lt;&gt;WIP",'Candidate Tracker'!$C:$C,"&lt;&gt;Hold",'Candidate Tracker'!$C:$C,"&lt;&gt;Cancelled",'Candidate Tracker'!$C:$C,"&lt;&gt;Closed")/COUNTIFS('Candidate Tracker'!$E:$E,'Positions Tracker'!$B619)),"")</f>
        <v/>
      </c>
      <c r="BD619" s="67" t="str">
        <f t="shared" si="54"/>
        <v/>
      </c>
      <c r="BE619" s="67" t="str">
        <f t="shared" si="55"/>
        <v/>
      </c>
      <c r="BF619" s="67" t="str">
        <f t="shared" si="56"/>
        <v/>
      </c>
      <c r="BG619" s="67" t="str">
        <f t="shared" si="57"/>
        <v/>
      </c>
    </row>
    <row r="620" spans="1:59">
      <c r="A620" s="55"/>
      <c r="B620" s="56"/>
      <c r="C620" s="56"/>
      <c r="D620" s="56"/>
      <c r="E620" s="56"/>
      <c r="F620" s="56"/>
      <c r="G620" s="56"/>
      <c r="H620" s="56"/>
      <c r="I620" s="6"/>
      <c r="J620" s="6"/>
      <c r="K620" s="57"/>
      <c r="L620" s="57"/>
      <c r="M620" s="57"/>
      <c r="N620" s="56"/>
      <c r="O620" s="56"/>
      <c r="P620" s="56"/>
      <c r="Q620" s="56"/>
      <c r="R620" s="56"/>
      <c r="S620" s="56"/>
      <c r="T620" s="56"/>
      <c r="U620" s="56"/>
      <c r="V620" s="56"/>
      <c r="W620" s="56"/>
      <c r="X620" s="56"/>
      <c r="Y620" s="56"/>
      <c r="Z620" s="56"/>
      <c r="AA620" s="56"/>
      <c r="AB620" s="56"/>
      <c r="AC620" s="56"/>
      <c r="AD620" s="56"/>
      <c r="AE620" s="56"/>
      <c r="AF620" s="56"/>
      <c r="AG620" s="56"/>
      <c r="AH620" s="56"/>
      <c r="AI620" s="58"/>
      <c r="AJ620" s="56"/>
      <c r="AK620" s="56"/>
      <c r="AL620" s="56"/>
      <c r="AM620" s="57"/>
      <c r="AN620" s="57"/>
      <c r="AO620" s="56"/>
      <c r="AP620" s="56"/>
      <c r="AQ620" s="57"/>
      <c r="AR620" s="57"/>
      <c r="AS620" s="57"/>
      <c r="AT620" s="67">
        <f t="shared" ca="1" si="58"/>
        <v>0</v>
      </c>
      <c r="AU620" s="79" t="str">
        <f t="shared" ca="1" si="59"/>
        <v/>
      </c>
      <c r="AV620" s="79" t="str" cm="1">
        <f t="array" aca="1" ref="AV620" ca="1">IFERROR(_xlfn.IFS($AU620="","",$AU620&lt;=15,"0-15",AND($AU620&gt;=16,$AU620&lt;=30),"16-30",AND($AU620&gt;=31,$AU620&lt;=45),"31-45",AND($AU620&gt;=46,$AU620&lt;=60),"46-60",AND($AU620&gt;=61,$AU620&lt;=90),"61-90",AND($AU620&gt;=91),"&gt; 90",AND($AU620&gt;=2000),""),"")</f>
        <v/>
      </c>
      <c r="AW620" s="79" t="str" cm="1">
        <f t="array" aca="1" ref="AW620" ca="1">IFERROR(_xlfn.IFS(OR($M620="",$AM620=""),"",OR($C620="Offered",$C620="Joined"),($AM620-$M620)-$AT620),"")</f>
        <v/>
      </c>
      <c r="AX620" s="79" t="str" cm="1">
        <f t="array" aca="1" ref="AX620" ca="1">IFERROR(_xlfn.IFS(OR($M620="",$AS620=""),"",$C620="Joined",($AS620-$M620)-$AT620),"")</f>
        <v/>
      </c>
      <c r="AY620" s="67" t="str">
        <f>IFERROR(IF(COUNTIFS('Candidate Tracker'!$E:$E,'Positions Tracker'!$B620,'Candidate Tracker'!$C:$C,"Offer Drop")=0,"",COUNTIFS('Candidate Tracker'!$E:$E,'Positions Tracker'!$B620,'Candidate Tracker'!$C:$C,"Offer Drop")),"")</f>
        <v/>
      </c>
      <c r="AZ620" s="80">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0.88111888111888115</v>
      </c>
      <c r="BA620" s="81" t="str">
        <f>IFERROR(IF(COUNTIFS('Candidate Tracker'!$E:$E,'Positions Tracker'!$B620,'Candidate Tracker'!$I:$I,"Female")=0,"",COUNTIFS('Candidate Tracker'!$E:$E,'Positions Tracker'!$B620,'Candidate Tracker'!$I:$I,"Female")),"")</f>
        <v/>
      </c>
      <c r="BB620" s="81" t="str">
        <f>IFERROR(IF(COUNTIFS('Candidate Tracker'!$E:$E,'Positions Tracker'!$B620,'Candidate Tracker'!$I:$I,"male")=0,"",COUNTIFS('Candidate Tracker'!$E:$E,'Positions Tracker'!$B620,'Candidate Tracker'!$I:$I,"male")),"")</f>
        <v/>
      </c>
      <c r="BC620" s="80" t="str">
        <f>IFERROR(IF(COUNTIFS('Candidate Tracker'!$E:$E,'Positions Tracker'!$B620,'Candidate Tracker'!$C:$C,"&lt;&gt;WIP",'Candidate Tracker'!$C:$C,"&lt;&gt;Hold",'Candidate Tracker'!$C:$C,"&lt;&gt;Cancelled",'Candidate Tracker'!$C:$C,"&lt;&gt;Closed")/COUNTIFS('Candidate Tracker'!$E:$E,'Positions Tracker'!$B620)=0,"",COUNTIFS('Candidate Tracker'!$E:$E,'Positions Tracker'!$B620,'Candidate Tracker'!$C:$C,"&lt;&gt;WIP",'Candidate Tracker'!$C:$C,"&lt;&gt;Hold",'Candidate Tracker'!$C:$C,"&lt;&gt;Cancelled",'Candidate Tracker'!$C:$C,"&lt;&gt;Closed")/COUNTIFS('Candidate Tracker'!$E:$E,'Positions Tracker'!$B620)),"")</f>
        <v/>
      </c>
      <c r="BD620" s="67" t="str">
        <f t="shared" si="54"/>
        <v/>
      </c>
      <c r="BE620" s="67" t="str">
        <f t="shared" si="55"/>
        <v/>
      </c>
      <c r="BF620" s="67" t="str">
        <f t="shared" si="56"/>
        <v/>
      </c>
      <c r="BG620" s="67" t="str">
        <f t="shared" si="57"/>
        <v/>
      </c>
    </row>
    <row r="621" spans="1:59">
      <c r="A621" s="55"/>
      <c r="B621" s="56"/>
      <c r="C621" s="56"/>
      <c r="D621" s="56"/>
      <c r="E621" s="56"/>
      <c r="F621" s="56"/>
      <c r="G621" s="56"/>
      <c r="H621" s="56"/>
      <c r="I621" s="6"/>
      <c r="J621" s="6"/>
      <c r="K621" s="57"/>
      <c r="L621" s="57"/>
      <c r="M621" s="57"/>
      <c r="N621" s="56"/>
      <c r="O621" s="56"/>
      <c r="P621" s="56"/>
      <c r="Q621" s="56"/>
      <c r="R621" s="56"/>
      <c r="S621" s="56"/>
      <c r="T621" s="56"/>
      <c r="U621" s="56"/>
      <c r="V621" s="56"/>
      <c r="W621" s="56"/>
      <c r="X621" s="56"/>
      <c r="Y621" s="56"/>
      <c r="Z621" s="56"/>
      <c r="AA621" s="56"/>
      <c r="AB621" s="56"/>
      <c r="AC621" s="56"/>
      <c r="AD621" s="56"/>
      <c r="AE621" s="56"/>
      <c r="AF621" s="56"/>
      <c r="AG621" s="56"/>
      <c r="AH621" s="56"/>
      <c r="AI621" s="58"/>
      <c r="AJ621" s="56"/>
      <c r="AK621" s="56"/>
      <c r="AL621" s="56"/>
      <c r="AM621" s="57"/>
      <c r="AN621" s="57"/>
      <c r="AO621" s="56"/>
      <c r="AP621" s="56"/>
      <c r="AQ621" s="57"/>
      <c r="AR621" s="57"/>
      <c r="AS621" s="57"/>
      <c r="AT621" s="67">
        <f t="shared" ca="1" si="58"/>
        <v>0</v>
      </c>
      <c r="AU621" s="79" t="str">
        <f t="shared" ca="1" si="59"/>
        <v/>
      </c>
      <c r="AV621" s="79" t="str" cm="1">
        <f t="array" aca="1" ref="AV621" ca="1">IFERROR(_xlfn.IFS($AU621="","",$AU621&lt;=15,"0-15",AND($AU621&gt;=16,$AU621&lt;=30),"16-30",AND($AU621&gt;=31,$AU621&lt;=45),"31-45",AND($AU621&gt;=46,$AU621&lt;=60),"46-60",AND($AU621&gt;=61,$AU621&lt;=90),"61-90",AND($AU621&gt;=91),"&gt; 90",AND($AU621&gt;=2000),""),"")</f>
        <v/>
      </c>
      <c r="AW621" s="79" t="str" cm="1">
        <f t="array" aca="1" ref="AW621" ca="1">IFERROR(_xlfn.IFS(OR($M621="",$AM621=""),"",OR($C621="Offered",$C621="Joined"),($AM621-$M621)-$AT621),"")</f>
        <v/>
      </c>
      <c r="AX621" s="79" t="str" cm="1">
        <f t="array" aca="1" ref="AX621" ca="1">IFERROR(_xlfn.IFS(OR($M621="",$AS621=""),"",$C621="Joined",($AS621-$M621)-$AT621),"")</f>
        <v/>
      </c>
      <c r="AY621" s="67" t="str">
        <f>IFERROR(IF(COUNTIFS('Candidate Tracker'!$E:$E,'Positions Tracker'!$B621,'Candidate Tracker'!$C:$C,"Offer Drop")=0,"",COUNTIFS('Candidate Tracker'!$E:$E,'Positions Tracker'!$B621,'Candidate Tracker'!$C:$C,"Offer Drop")),"")</f>
        <v/>
      </c>
      <c r="AZ621" s="80">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0.88111888111888115</v>
      </c>
      <c r="BA621" s="81" t="str">
        <f>IFERROR(IF(COUNTIFS('Candidate Tracker'!$E:$E,'Positions Tracker'!$B621,'Candidate Tracker'!$I:$I,"Female")=0,"",COUNTIFS('Candidate Tracker'!$E:$E,'Positions Tracker'!$B621,'Candidate Tracker'!$I:$I,"Female")),"")</f>
        <v/>
      </c>
      <c r="BB621" s="81" t="str">
        <f>IFERROR(IF(COUNTIFS('Candidate Tracker'!$E:$E,'Positions Tracker'!$B621,'Candidate Tracker'!$I:$I,"male")=0,"",COUNTIFS('Candidate Tracker'!$E:$E,'Positions Tracker'!$B621,'Candidate Tracker'!$I:$I,"male")),"")</f>
        <v/>
      </c>
      <c r="BC621" s="80" t="str">
        <f>IFERROR(IF(COUNTIFS('Candidate Tracker'!$E:$E,'Positions Tracker'!$B621,'Candidate Tracker'!$C:$C,"&lt;&gt;WIP",'Candidate Tracker'!$C:$C,"&lt;&gt;Hold",'Candidate Tracker'!$C:$C,"&lt;&gt;Cancelled",'Candidate Tracker'!$C:$C,"&lt;&gt;Closed")/COUNTIFS('Candidate Tracker'!$E:$E,'Positions Tracker'!$B621)=0,"",COUNTIFS('Candidate Tracker'!$E:$E,'Positions Tracker'!$B621,'Candidate Tracker'!$C:$C,"&lt;&gt;WIP",'Candidate Tracker'!$C:$C,"&lt;&gt;Hold",'Candidate Tracker'!$C:$C,"&lt;&gt;Cancelled",'Candidate Tracker'!$C:$C,"&lt;&gt;Closed")/COUNTIFS('Candidate Tracker'!$E:$E,'Positions Tracker'!$B621)),"")</f>
        <v/>
      </c>
      <c r="BD621" s="67" t="str">
        <f t="shared" si="54"/>
        <v/>
      </c>
      <c r="BE621" s="67" t="str">
        <f t="shared" si="55"/>
        <v/>
      </c>
      <c r="BF621" s="67" t="str">
        <f t="shared" si="56"/>
        <v/>
      </c>
      <c r="BG621" s="67" t="str">
        <f t="shared" si="57"/>
        <v/>
      </c>
    </row>
    <row r="622" spans="1:59">
      <c r="A622" s="55"/>
      <c r="B622" s="56"/>
      <c r="C622" s="56"/>
      <c r="D622" s="56"/>
      <c r="E622" s="56"/>
      <c r="F622" s="56"/>
      <c r="G622" s="56"/>
      <c r="H622" s="56"/>
      <c r="I622" s="6"/>
      <c r="J622" s="6"/>
      <c r="K622" s="57"/>
      <c r="L622" s="57"/>
      <c r="M622" s="57"/>
      <c r="N622" s="56"/>
      <c r="O622" s="56"/>
      <c r="P622" s="56"/>
      <c r="Q622" s="56"/>
      <c r="R622" s="56"/>
      <c r="S622" s="56"/>
      <c r="T622" s="56"/>
      <c r="U622" s="56"/>
      <c r="V622" s="56"/>
      <c r="W622" s="56"/>
      <c r="X622" s="56"/>
      <c r="Y622" s="56"/>
      <c r="Z622" s="56"/>
      <c r="AA622" s="56"/>
      <c r="AB622" s="56"/>
      <c r="AC622" s="56"/>
      <c r="AD622" s="56"/>
      <c r="AE622" s="56"/>
      <c r="AF622" s="56"/>
      <c r="AG622" s="56"/>
      <c r="AH622" s="56"/>
      <c r="AI622" s="58"/>
      <c r="AJ622" s="56"/>
      <c r="AK622" s="56"/>
      <c r="AL622" s="56"/>
      <c r="AM622" s="57"/>
      <c r="AN622" s="57"/>
      <c r="AO622" s="56"/>
      <c r="AP622" s="56"/>
      <c r="AQ622" s="57"/>
      <c r="AR622" s="57"/>
      <c r="AS622" s="57"/>
      <c r="AT622" s="67">
        <f t="shared" ca="1" si="58"/>
        <v>0</v>
      </c>
      <c r="AU622" s="79" t="str">
        <f t="shared" ca="1" si="59"/>
        <v/>
      </c>
      <c r="AV622" s="79" t="str" cm="1">
        <f t="array" aca="1" ref="AV622" ca="1">IFERROR(_xlfn.IFS($AU622="","",$AU622&lt;=15,"0-15",AND($AU622&gt;=16,$AU622&lt;=30),"16-30",AND($AU622&gt;=31,$AU622&lt;=45),"31-45",AND($AU622&gt;=46,$AU622&lt;=60),"46-60",AND($AU622&gt;=61,$AU622&lt;=90),"61-90",AND($AU622&gt;=91),"&gt; 90",AND($AU622&gt;=2000),""),"")</f>
        <v/>
      </c>
      <c r="AW622" s="79" t="str" cm="1">
        <f t="array" aca="1" ref="AW622" ca="1">IFERROR(_xlfn.IFS(OR($M622="",$AM622=""),"",OR($C622="Offered",$C622="Joined"),($AM622-$M622)-$AT622),"")</f>
        <v/>
      </c>
      <c r="AX622" s="79" t="str" cm="1">
        <f t="array" aca="1" ref="AX622" ca="1">IFERROR(_xlfn.IFS(OR($M622="",$AS622=""),"",$C622="Joined",($AS622-$M622)-$AT622),"")</f>
        <v/>
      </c>
      <c r="AY622" s="67" t="str">
        <f>IFERROR(IF(COUNTIFS('Candidate Tracker'!$E:$E,'Positions Tracker'!$B622,'Candidate Tracker'!$C:$C,"Offer Drop")=0,"",COUNTIFS('Candidate Tracker'!$E:$E,'Positions Tracker'!$B622,'Candidate Tracker'!$C:$C,"Offer Drop")),"")</f>
        <v/>
      </c>
      <c r="AZ622" s="80">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0.88111888111888115</v>
      </c>
      <c r="BA622" s="81" t="str">
        <f>IFERROR(IF(COUNTIFS('Candidate Tracker'!$E:$E,'Positions Tracker'!$B622,'Candidate Tracker'!$I:$I,"Female")=0,"",COUNTIFS('Candidate Tracker'!$E:$E,'Positions Tracker'!$B622,'Candidate Tracker'!$I:$I,"Female")),"")</f>
        <v/>
      </c>
      <c r="BB622" s="81" t="str">
        <f>IFERROR(IF(COUNTIFS('Candidate Tracker'!$E:$E,'Positions Tracker'!$B622,'Candidate Tracker'!$I:$I,"male")=0,"",COUNTIFS('Candidate Tracker'!$E:$E,'Positions Tracker'!$B622,'Candidate Tracker'!$I:$I,"male")),"")</f>
        <v/>
      </c>
      <c r="BC622" s="80" t="str">
        <f>IFERROR(IF(COUNTIFS('Candidate Tracker'!$E:$E,'Positions Tracker'!$B622,'Candidate Tracker'!$C:$C,"&lt;&gt;WIP",'Candidate Tracker'!$C:$C,"&lt;&gt;Hold",'Candidate Tracker'!$C:$C,"&lt;&gt;Cancelled",'Candidate Tracker'!$C:$C,"&lt;&gt;Closed")/COUNTIFS('Candidate Tracker'!$E:$E,'Positions Tracker'!$B622)=0,"",COUNTIFS('Candidate Tracker'!$E:$E,'Positions Tracker'!$B622,'Candidate Tracker'!$C:$C,"&lt;&gt;WIP",'Candidate Tracker'!$C:$C,"&lt;&gt;Hold",'Candidate Tracker'!$C:$C,"&lt;&gt;Cancelled",'Candidate Tracker'!$C:$C,"&lt;&gt;Closed")/COUNTIFS('Candidate Tracker'!$E:$E,'Positions Tracker'!$B622)),"")</f>
        <v/>
      </c>
      <c r="BD622" s="67" t="str">
        <f t="shared" si="54"/>
        <v/>
      </c>
      <c r="BE622" s="67" t="str">
        <f t="shared" si="55"/>
        <v/>
      </c>
      <c r="BF622" s="67" t="str">
        <f t="shared" si="56"/>
        <v/>
      </c>
      <c r="BG622" s="67" t="str">
        <f t="shared" si="57"/>
        <v/>
      </c>
    </row>
    <row r="623" spans="1:59">
      <c r="A623" s="55"/>
      <c r="B623" s="56"/>
      <c r="C623" s="56"/>
      <c r="D623" s="56"/>
      <c r="E623" s="56"/>
      <c r="F623" s="56"/>
      <c r="G623" s="56"/>
      <c r="H623" s="56"/>
      <c r="I623" s="6"/>
      <c r="J623" s="6"/>
      <c r="K623" s="57"/>
      <c r="L623" s="57"/>
      <c r="M623" s="57"/>
      <c r="N623" s="56"/>
      <c r="O623" s="56"/>
      <c r="P623" s="56"/>
      <c r="Q623" s="56"/>
      <c r="R623" s="56"/>
      <c r="S623" s="56"/>
      <c r="T623" s="56"/>
      <c r="U623" s="56"/>
      <c r="V623" s="56"/>
      <c r="W623" s="56"/>
      <c r="X623" s="56"/>
      <c r="Y623" s="56"/>
      <c r="Z623" s="56"/>
      <c r="AA623" s="56"/>
      <c r="AB623" s="56"/>
      <c r="AC623" s="56"/>
      <c r="AD623" s="56"/>
      <c r="AE623" s="56"/>
      <c r="AF623" s="56"/>
      <c r="AG623" s="56"/>
      <c r="AH623" s="56"/>
      <c r="AI623" s="58"/>
      <c r="AJ623" s="56"/>
      <c r="AK623" s="56"/>
      <c r="AL623" s="56"/>
      <c r="AM623" s="57"/>
      <c r="AN623" s="57"/>
      <c r="AO623" s="56"/>
      <c r="AP623" s="56"/>
      <c r="AQ623" s="57"/>
      <c r="AR623" s="57"/>
      <c r="AS623" s="57"/>
      <c r="AT623" s="67">
        <f t="shared" ca="1" si="58"/>
        <v>0</v>
      </c>
      <c r="AU623" s="79" t="str">
        <f t="shared" ca="1" si="59"/>
        <v/>
      </c>
      <c r="AV623" s="79" t="str" cm="1">
        <f t="array" aca="1" ref="AV623" ca="1">IFERROR(_xlfn.IFS($AU623="","",$AU623&lt;=15,"0-15",AND($AU623&gt;=16,$AU623&lt;=30),"16-30",AND($AU623&gt;=31,$AU623&lt;=45),"31-45",AND($AU623&gt;=46,$AU623&lt;=60),"46-60",AND($AU623&gt;=61,$AU623&lt;=90),"61-90",AND($AU623&gt;=91),"&gt; 90",AND($AU623&gt;=2000),""),"")</f>
        <v/>
      </c>
      <c r="AW623" s="79" t="str" cm="1">
        <f t="array" aca="1" ref="AW623" ca="1">IFERROR(_xlfn.IFS(OR($M623="",$AM623=""),"",OR($C623="Offered",$C623="Joined"),($AM623-$M623)-$AT623),"")</f>
        <v/>
      </c>
      <c r="AX623" s="79" t="str" cm="1">
        <f t="array" aca="1" ref="AX623" ca="1">IFERROR(_xlfn.IFS(OR($M623="",$AS623=""),"",$C623="Joined",($AS623-$M623)-$AT623),"")</f>
        <v/>
      </c>
      <c r="AY623" s="67" t="str">
        <f>IFERROR(IF(COUNTIFS('Candidate Tracker'!$E:$E,'Positions Tracker'!$B623,'Candidate Tracker'!$C:$C,"Offer Drop")=0,"",COUNTIFS('Candidate Tracker'!$E:$E,'Positions Tracker'!$B623,'Candidate Tracker'!$C:$C,"Offer Drop")),"")</f>
        <v/>
      </c>
      <c r="AZ623" s="80">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0.88111888111888115</v>
      </c>
      <c r="BA623" s="81" t="str">
        <f>IFERROR(IF(COUNTIFS('Candidate Tracker'!$E:$E,'Positions Tracker'!$B623,'Candidate Tracker'!$I:$I,"Female")=0,"",COUNTIFS('Candidate Tracker'!$E:$E,'Positions Tracker'!$B623,'Candidate Tracker'!$I:$I,"Female")),"")</f>
        <v/>
      </c>
      <c r="BB623" s="81" t="str">
        <f>IFERROR(IF(COUNTIFS('Candidate Tracker'!$E:$E,'Positions Tracker'!$B623,'Candidate Tracker'!$I:$I,"male")=0,"",COUNTIFS('Candidate Tracker'!$E:$E,'Positions Tracker'!$B623,'Candidate Tracker'!$I:$I,"male")),"")</f>
        <v/>
      </c>
      <c r="BC623" s="80" t="str">
        <f>IFERROR(IF(COUNTIFS('Candidate Tracker'!$E:$E,'Positions Tracker'!$B623,'Candidate Tracker'!$C:$C,"&lt;&gt;WIP",'Candidate Tracker'!$C:$C,"&lt;&gt;Hold",'Candidate Tracker'!$C:$C,"&lt;&gt;Cancelled",'Candidate Tracker'!$C:$C,"&lt;&gt;Closed")/COUNTIFS('Candidate Tracker'!$E:$E,'Positions Tracker'!$B623)=0,"",COUNTIFS('Candidate Tracker'!$E:$E,'Positions Tracker'!$B623,'Candidate Tracker'!$C:$C,"&lt;&gt;WIP",'Candidate Tracker'!$C:$C,"&lt;&gt;Hold",'Candidate Tracker'!$C:$C,"&lt;&gt;Cancelled",'Candidate Tracker'!$C:$C,"&lt;&gt;Closed")/COUNTIFS('Candidate Tracker'!$E:$E,'Positions Tracker'!$B623)),"")</f>
        <v/>
      </c>
      <c r="BD623" s="67" t="str">
        <f t="shared" si="54"/>
        <v/>
      </c>
      <c r="BE623" s="67" t="str">
        <f t="shared" si="55"/>
        <v/>
      </c>
      <c r="BF623" s="67" t="str">
        <f t="shared" si="56"/>
        <v/>
      </c>
      <c r="BG623" s="67" t="str">
        <f t="shared" si="57"/>
        <v/>
      </c>
    </row>
    <row r="624" spans="1:59">
      <c r="A624" s="55"/>
      <c r="B624" s="56"/>
      <c r="C624" s="56"/>
      <c r="D624" s="56"/>
      <c r="E624" s="56"/>
      <c r="F624" s="56"/>
      <c r="G624" s="56"/>
      <c r="H624" s="56"/>
      <c r="I624" s="6"/>
      <c r="J624" s="6"/>
      <c r="K624" s="57"/>
      <c r="L624" s="57"/>
      <c r="M624" s="57"/>
      <c r="N624" s="56"/>
      <c r="O624" s="56"/>
      <c r="P624" s="56"/>
      <c r="Q624" s="56"/>
      <c r="R624" s="56"/>
      <c r="S624" s="56"/>
      <c r="T624" s="56"/>
      <c r="U624" s="56"/>
      <c r="V624" s="56"/>
      <c r="W624" s="56"/>
      <c r="X624" s="56"/>
      <c r="Y624" s="56"/>
      <c r="Z624" s="56"/>
      <c r="AA624" s="56"/>
      <c r="AB624" s="56"/>
      <c r="AC624" s="56"/>
      <c r="AD624" s="56"/>
      <c r="AE624" s="56"/>
      <c r="AF624" s="56"/>
      <c r="AG624" s="56"/>
      <c r="AH624" s="56"/>
      <c r="AI624" s="58"/>
      <c r="AJ624" s="56"/>
      <c r="AK624" s="56"/>
      <c r="AL624" s="56"/>
      <c r="AM624" s="57"/>
      <c r="AN624" s="57"/>
      <c r="AO624" s="56"/>
      <c r="AP624" s="56"/>
      <c r="AQ624" s="57"/>
      <c r="AR624" s="57"/>
      <c r="AS624" s="57"/>
      <c r="AT624" s="67">
        <f t="shared" ca="1" si="58"/>
        <v>0</v>
      </c>
      <c r="AU624" s="79" t="str">
        <f t="shared" ca="1" si="59"/>
        <v/>
      </c>
      <c r="AV624" s="79" t="str" cm="1">
        <f t="array" aca="1" ref="AV624" ca="1">IFERROR(_xlfn.IFS($AU624="","",$AU624&lt;=15,"0-15",AND($AU624&gt;=16,$AU624&lt;=30),"16-30",AND($AU624&gt;=31,$AU624&lt;=45),"31-45",AND($AU624&gt;=46,$AU624&lt;=60),"46-60",AND($AU624&gt;=61,$AU624&lt;=90),"61-90",AND($AU624&gt;=91),"&gt; 90",AND($AU624&gt;=2000),""),"")</f>
        <v/>
      </c>
      <c r="AW624" s="79" t="str" cm="1">
        <f t="array" aca="1" ref="AW624" ca="1">IFERROR(_xlfn.IFS(OR($M624="",$AM624=""),"",OR($C624="Offered",$C624="Joined"),($AM624-$M624)-$AT624),"")</f>
        <v/>
      </c>
      <c r="AX624" s="79" t="str" cm="1">
        <f t="array" aca="1" ref="AX624" ca="1">IFERROR(_xlfn.IFS(OR($M624="",$AS624=""),"",$C624="Joined",($AS624-$M624)-$AT624),"")</f>
        <v/>
      </c>
      <c r="AY624" s="67" t="str">
        <f>IFERROR(IF(COUNTIFS('Candidate Tracker'!$E:$E,'Positions Tracker'!$B624,'Candidate Tracker'!$C:$C,"Offer Drop")=0,"",COUNTIFS('Candidate Tracker'!$E:$E,'Positions Tracker'!$B624,'Candidate Tracker'!$C:$C,"Offer Drop")),"")</f>
        <v/>
      </c>
      <c r="AZ624" s="80">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0.88111888111888115</v>
      </c>
      <c r="BA624" s="81" t="str">
        <f>IFERROR(IF(COUNTIFS('Candidate Tracker'!$E:$E,'Positions Tracker'!$B624,'Candidate Tracker'!$I:$I,"Female")=0,"",COUNTIFS('Candidate Tracker'!$E:$E,'Positions Tracker'!$B624,'Candidate Tracker'!$I:$I,"Female")),"")</f>
        <v/>
      </c>
      <c r="BB624" s="81" t="str">
        <f>IFERROR(IF(COUNTIFS('Candidate Tracker'!$E:$E,'Positions Tracker'!$B624,'Candidate Tracker'!$I:$I,"male")=0,"",COUNTIFS('Candidate Tracker'!$E:$E,'Positions Tracker'!$B624,'Candidate Tracker'!$I:$I,"male")),"")</f>
        <v/>
      </c>
      <c r="BC624" s="80" t="str">
        <f>IFERROR(IF(COUNTIFS('Candidate Tracker'!$E:$E,'Positions Tracker'!$B624,'Candidate Tracker'!$C:$C,"&lt;&gt;WIP",'Candidate Tracker'!$C:$C,"&lt;&gt;Hold",'Candidate Tracker'!$C:$C,"&lt;&gt;Cancelled",'Candidate Tracker'!$C:$C,"&lt;&gt;Closed")/COUNTIFS('Candidate Tracker'!$E:$E,'Positions Tracker'!$B624)=0,"",COUNTIFS('Candidate Tracker'!$E:$E,'Positions Tracker'!$B624,'Candidate Tracker'!$C:$C,"&lt;&gt;WIP",'Candidate Tracker'!$C:$C,"&lt;&gt;Hold",'Candidate Tracker'!$C:$C,"&lt;&gt;Cancelled",'Candidate Tracker'!$C:$C,"&lt;&gt;Closed")/COUNTIFS('Candidate Tracker'!$E:$E,'Positions Tracker'!$B624)),"")</f>
        <v/>
      </c>
      <c r="BD624" s="67" t="str">
        <f t="shared" si="54"/>
        <v/>
      </c>
      <c r="BE624" s="67" t="str">
        <f t="shared" si="55"/>
        <v/>
      </c>
      <c r="BF624" s="67" t="str">
        <f t="shared" si="56"/>
        <v/>
      </c>
      <c r="BG624" s="67" t="str">
        <f t="shared" si="57"/>
        <v/>
      </c>
    </row>
    <row r="625" spans="1:59">
      <c r="A625" s="55"/>
      <c r="B625" s="56"/>
      <c r="C625" s="56"/>
      <c r="D625" s="56"/>
      <c r="E625" s="56"/>
      <c r="F625" s="56"/>
      <c r="G625" s="56"/>
      <c r="H625" s="56"/>
      <c r="I625" s="6"/>
      <c r="J625" s="6"/>
      <c r="K625" s="57"/>
      <c r="L625" s="57"/>
      <c r="M625" s="57"/>
      <c r="N625" s="56"/>
      <c r="O625" s="56"/>
      <c r="P625" s="56"/>
      <c r="Q625" s="56"/>
      <c r="R625" s="56"/>
      <c r="S625" s="56"/>
      <c r="T625" s="56"/>
      <c r="U625" s="56"/>
      <c r="V625" s="56"/>
      <c r="W625" s="56"/>
      <c r="X625" s="56"/>
      <c r="Y625" s="56"/>
      <c r="Z625" s="56"/>
      <c r="AA625" s="56"/>
      <c r="AB625" s="56"/>
      <c r="AC625" s="56"/>
      <c r="AD625" s="56"/>
      <c r="AE625" s="56"/>
      <c r="AF625" s="56"/>
      <c r="AG625" s="56"/>
      <c r="AH625" s="56"/>
      <c r="AI625" s="58"/>
      <c r="AJ625" s="56"/>
      <c r="AK625" s="56"/>
      <c r="AL625" s="56"/>
      <c r="AM625" s="57"/>
      <c r="AN625" s="57"/>
      <c r="AO625" s="56"/>
      <c r="AP625" s="56"/>
      <c r="AQ625" s="57"/>
      <c r="AR625" s="57"/>
      <c r="AS625" s="57"/>
      <c r="AT625" s="67">
        <f t="shared" ca="1" si="58"/>
        <v>0</v>
      </c>
      <c r="AU625" s="79" t="str">
        <f t="shared" ca="1" si="59"/>
        <v/>
      </c>
      <c r="AV625" s="79" t="str" cm="1">
        <f t="array" aca="1" ref="AV625" ca="1">IFERROR(_xlfn.IFS($AU625="","",$AU625&lt;=15,"0-15",AND($AU625&gt;=16,$AU625&lt;=30),"16-30",AND($AU625&gt;=31,$AU625&lt;=45),"31-45",AND($AU625&gt;=46,$AU625&lt;=60),"46-60",AND($AU625&gt;=61,$AU625&lt;=90),"61-90",AND($AU625&gt;=91),"&gt; 90",AND($AU625&gt;=2000),""),"")</f>
        <v/>
      </c>
      <c r="AW625" s="79" t="str" cm="1">
        <f t="array" aca="1" ref="AW625" ca="1">IFERROR(_xlfn.IFS(OR($M625="",$AM625=""),"",OR($C625="Offered",$C625="Joined"),($AM625-$M625)-$AT625),"")</f>
        <v/>
      </c>
      <c r="AX625" s="79" t="str" cm="1">
        <f t="array" aca="1" ref="AX625" ca="1">IFERROR(_xlfn.IFS(OR($M625="",$AS625=""),"",$C625="Joined",($AS625-$M625)-$AT625),"")</f>
        <v/>
      </c>
      <c r="AY625" s="67" t="str">
        <f>IFERROR(IF(COUNTIFS('Candidate Tracker'!$E:$E,'Positions Tracker'!$B625,'Candidate Tracker'!$C:$C,"Offer Drop")=0,"",COUNTIFS('Candidate Tracker'!$E:$E,'Positions Tracker'!$B625,'Candidate Tracker'!$C:$C,"Offer Drop")),"")</f>
        <v/>
      </c>
      <c r="AZ625" s="80">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0.88111888111888115</v>
      </c>
      <c r="BA625" s="81" t="str">
        <f>IFERROR(IF(COUNTIFS('Candidate Tracker'!$E:$E,'Positions Tracker'!$B625,'Candidate Tracker'!$I:$I,"Female")=0,"",COUNTIFS('Candidate Tracker'!$E:$E,'Positions Tracker'!$B625,'Candidate Tracker'!$I:$I,"Female")),"")</f>
        <v/>
      </c>
      <c r="BB625" s="81" t="str">
        <f>IFERROR(IF(COUNTIFS('Candidate Tracker'!$E:$E,'Positions Tracker'!$B625,'Candidate Tracker'!$I:$I,"male")=0,"",COUNTIFS('Candidate Tracker'!$E:$E,'Positions Tracker'!$B625,'Candidate Tracker'!$I:$I,"male")),"")</f>
        <v/>
      </c>
      <c r="BC625" s="80" t="str">
        <f>IFERROR(IF(COUNTIFS('Candidate Tracker'!$E:$E,'Positions Tracker'!$B625,'Candidate Tracker'!$C:$C,"&lt;&gt;WIP",'Candidate Tracker'!$C:$C,"&lt;&gt;Hold",'Candidate Tracker'!$C:$C,"&lt;&gt;Cancelled",'Candidate Tracker'!$C:$C,"&lt;&gt;Closed")/COUNTIFS('Candidate Tracker'!$E:$E,'Positions Tracker'!$B625)=0,"",COUNTIFS('Candidate Tracker'!$E:$E,'Positions Tracker'!$B625,'Candidate Tracker'!$C:$C,"&lt;&gt;WIP",'Candidate Tracker'!$C:$C,"&lt;&gt;Hold",'Candidate Tracker'!$C:$C,"&lt;&gt;Cancelled",'Candidate Tracker'!$C:$C,"&lt;&gt;Closed")/COUNTIFS('Candidate Tracker'!$E:$E,'Positions Tracker'!$B625)),"")</f>
        <v/>
      </c>
      <c r="BD625" s="67" t="str">
        <f t="shared" si="54"/>
        <v/>
      </c>
      <c r="BE625" s="67" t="str">
        <f t="shared" si="55"/>
        <v/>
      </c>
      <c r="BF625" s="67" t="str">
        <f t="shared" si="56"/>
        <v/>
      </c>
      <c r="BG625" s="67" t="str">
        <f t="shared" si="57"/>
        <v/>
      </c>
    </row>
    <row r="626" spans="1:59">
      <c r="A626" s="55"/>
      <c r="B626" s="56"/>
      <c r="C626" s="56"/>
      <c r="D626" s="56"/>
      <c r="E626" s="56"/>
      <c r="F626" s="56"/>
      <c r="G626" s="56"/>
      <c r="H626" s="56"/>
      <c r="I626" s="6"/>
      <c r="J626" s="6"/>
      <c r="K626" s="57"/>
      <c r="L626" s="57"/>
      <c r="M626" s="57"/>
      <c r="N626" s="56"/>
      <c r="O626" s="56"/>
      <c r="P626" s="56"/>
      <c r="Q626" s="56"/>
      <c r="R626" s="56"/>
      <c r="S626" s="56"/>
      <c r="T626" s="56"/>
      <c r="U626" s="56"/>
      <c r="V626" s="56"/>
      <c r="W626" s="56"/>
      <c r="X626" s="56"/>
      <c r="Y626" s="56"/>
      <c r="Z626" s="56"/>
      <c r="AA626" s="56"/>
      <c r="AB626" s="56"/>
      <c r="AC626" s="56"/>
      <c r="AD626" s="56"/>
      <c r="AE626" s="56"/>
      <c r="AF626" s="56"/>
      <c r="AG626" s="56"/>
      <c r="AH626" s="56"/>
      <c r="AI626" s="58"/>
      <c r="AJ626" s="56"/>
      <c r="AK626" s="56"/>
      <c r="AL626" s="56"/>
      <c r="AM626" s="57"/>
      <c r="AN626" s="57"/>
      <c r="AO626" s="56"/>
      <c r="AP626" s="56"/>
      <c r="AQ626" s="57"/>
      <c r="AR626" s="57"/>
      <c r="AS626" s="57"/>
      <c r="AT626" s="67">
        <f t="shared" ca="1" si="58"/>
        <v>0</v>
      </c>
      <c r="AU626" s="79" t="str">
        <f t="shared" ca="1" si="59"/>
        <v/>
      </c>
      <c r="AV626" s="79" t="str" cm="1">
        <f t="array" aca="1" ref="AV626" ca="1">IFERROR(_xlfn.IFS($AU626="","",$AU626&lt;=15,"0-15",AND($AU626&gt;=16,$AU626&lt;=30),"16-30",AND($AU626&gt;=31,$AU626&lt;=45),"31-45",AND($AU626&gt;=46,$AU626&lt;=60),"46-60",AND($AU626&gt;=61,$AU626&lt;=90),"61-90",AND($AU626&gt;=91),"&gt; 90",AND($AU626&gt;=2000),""),"")</f>
        <v/>
      </c>
      <c r="AW626" s="79" t="str" cm="1">
        <f t="array" aca="1" ref="AW626" ca="1">IFERROR(_xlfn.IFS(OR($M626="",$AM626=""),"",OR($C626="Offered",$C626="Joined"),($AM626-$M626)-$AT626),"")</f>
        <v/>
      </c>
      <c r="AX626" s="79" t="str" cm="1">
        <f t="array" aca="1" ref="AX626" ca="1">IFERROR(_xlfn.IFS(OR($M626="",$AS626=""),"",$C626="Joined",($AS626-$M626)-$AT626),"")</f>
        <v/>
      </c>
      <c r="AY626" s="67" t="str">
        <f>IFERROR(IF(COUNTIFS('Candidate Tracker'!$E:$E,'Positions Tracker'!$B626,'Candidate Tracker'!$C:$C,"Offer Drop")=0,"",COUNTIFS('Candidate Tracker'!$E:$E,'Positions Tracker'!$B626,'Candidate Tracker'!$C:$C,"Offer Drop")),"")</f>
        <v/>
      </c>
      <c r="AZ626" s="80">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0.88111888111888115</v>
      </c>
      <c r="BA626" s="81" t="str">
        <f>IFERROR(IF(COUNTIFS('Candidate Tracker'!$E:$E,'Positions Tracker'!$B626,'Candidate Tracker'!$I:$I,"Female")=0,"",COUNTIFS('Candidate Tracker'!$E:$E,'Positions Tracker'!$B626,'Candidate Tracker'!$I:$I,"Female")),"")</f>
        <v/>
      </c>
      <c r="BB626" s="81" t="str">
        <f>IFERROR(IF(COUNTIFS('Candidate Tracker'!$E:$E,'Positions Tracker'!$B626,'Candidate Tracker'!$I:$I,"male")=0,"",COUNTIFS('Candidate Tracker'!$E:$E,'Positions Tracker'!$B626,'Candidate Tracker'!$I:$I,"male")),"")</f>
        <v/>
      </c>
      <c r="BC626" s="80" t="str">
        <f>IFERROR(IF(COUNTIFS('Candidate Tracker'!$E:$E,'Positions Tracker'!$B626,'Candidate Tracker'!$C:$C,"&lt;&gt;WIP",'Candidate Tracker'!$C:$C,"&lt;&gt;Hold",'Candidate Tracker'!$C:$C,"&lt;&gt;Cancelled",'Candidate Tracker'!$C:$C,"&lt;&gt;Closed")/COUNTIFS('Candidate Tracker'!$E:$E,'Positions Tracker'!$B626)=0,"",COUNTIFS('Candidate Tracker'!$E:$E,'Positions Tracker'!$B626,'Candidate Tracker'!$C:$C,"&lt;&gt;WIP",'Candidate Tracker'!$C:$C,"&lt;&gt;Hold",'Candidate Tracker'!$C:$C,"&lt;&gt;Cancelled",'Candidate Tracker'!$C:$C,"&lt;&gt;Closed")/COUNTIFS('Candidate Tracker'!$E:$E,'Positions Tracker'!$B626)),"")</f>
        <v/>
      </c>
      <c r="BD626" s="67" t="str">
        <f t="shared" si="54"/>
        <v/>
      </c>
      <c r="BE626" s="67" t="str">
        <f t="shared" si="55"/>
        <v/>
      </c>
      <c r="BF626" s="67" t="str">
        <f t="shared" si="56"/>
        <v/>
      </c>
      <c r="BG626" s="67" t="str">
        <f t="shared" si="57"/>
        <v/>
      </c>
    </row>
    <row r="627" spans="1:59">
      <c r="A627" s="55"/>
      <c r="B627" s="56"/>
      <c r="C627" s="56"/>
      <c r="D627" s="56"/>
      <c r="E627" s="56"/>
      <c r="F627" s="56"/>
      <c r="G627" s="56"/>
      <c r="H627" s="56"/>
      <c r="I627" s="6"/>
      <c r="J627" s="6"/>
      <c r="K627" s="57"/>
      <c r="L627" s="57"/>
      <c r="M627" s="57"/>
      <c r="N627" s="56"/>
      <c r="O627" s="56"/>
      <c r="P627" s="56"/>
      <c r="Q627" s="56"/>
      <c r="R627" s="56"/>
      <c r="S627" s="56"/>
      <c r="T627" s="56"/>
      <c r="U627" s="56"/>
      <c r="V627" s="56"/>
      <c r="W627" s="56"/>
      <c r="X627" s="56"/>
      <c r="Y627" s="56"/>
      <c r="Z627" s="56"/>
      <c r="AA627" s="56"/>
      <c r="AB627" s="56"/>
      <c r="AC627" s="56"/>
      <c r="AD627" s="56"/>
      <c r="AE627" s="56"/>
      <c r="AF627" s="56"/>
      <c r="AG627" s="56"/>
      <c r="AH627" s="56"/>
      <c r="AI627" s="58"/>
      <c r="AJ627" s="56"/>
      <c r="AK627" s="56"/>
      <c r="AL627" s="56"/>
      <c r="AM627" s="57"/>
      <c r="AN627" s="57"/>
      <c r="AO627" s="56"/>
      <c r="AP627" s="56"/>
      <c r="AQ627" s="57"/>
      <c r="AR627" s="57"/>
      <c r="AS627" s="57"/>
      <c r="AT627" s="67">
        <f t="shared" ca="1" si="58"/>
        <v>0</v>
      </c>
      <c r="AU627" s="79" t="str">
        <f t="shared" ca="1" si="59"/>
        <v/>
      </c>
      <c r="AV627" s="79" t="str" cm="1">
        <f t="array" aca="1" ref="AV627" ca="1">IFERROR(_xlfn.IFS($AU627="","",$AU627&lt;=15,"0-15",AND($AU627&gt;=16,$AU627&lt;=30),"16-30",AND($AU627&gt;=31,$AU627&lt;=45),"31-45",AND($AU627&gt;=46,$AU627&lt;=60),"46-60",AND($AU627&gt;=61,$AU627&lt;=90),"61-90",AND($AU627&gt;=91),"&gt; 90",AND($AU627&gt;=2000),""),"")</f>
        <v/>
      </c>
      <c r="AW627" s="79" t="str" cm="1">
        <f t="array" aca="1" ref="AW627" ca="1">IFERROR(_xlfn.IFS(OR($M627="",$AM627=""),"",OR($C627="Offered",$C627="Joined"),($AM627-$M627)-$AT627),"")</f>
        <v/>
      </c>
      <c r="AX627" s="79" t="str" cm="1">
        <f t="array" aca="1" ref="AX627" ca="1">IFERROR(_xlfn.IFS(OR($M627="",$AS627=""),"",$C627="Joined",($AS627-$M627)-$AT627),"")</f>
        <v/>
      </c>
      <c r="AY627" s="67" t="str">
        <f>IFERROR(IF(COUNTIFS('Candidate Tracker'!$E:$E,'Positions Tracker'!$B627,'Candidate Tracker'!$C:$C,"Offer Drop")=0,"",COUNTIFS('Candidate Tracker'!$E:$E,'Positions Tracker'!$B627,'Candidate Tracker'!$C:$C,"Offer Drop")),"")</f>
        <v/>
      </c>
      <c r="AZ627" s="80">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0.88111888111888115</v>
      </c>
      <c r="BA627" s="81" t="str">
        <f>IFERROR(IF(COUNTIFS('Candidate Tracker'!$E:$E,'Positions Tracker'!$B627,'Candidate Tracker'!$I:$I,"Female")=0,"",COUNTIFS('Candidate Tracker'!$E:$E,'Positions Tracker'!$B627,'Candidate Tracker'!$I:$I,"Female")),"")</f>
        <v/>
      </c>
      <c r="BB627" s="81" t="str">
        <f>IFERROR(IF(COUNTIFS('Candidate Tracker'!$E:$E,'Positions Tracker'!$B627,'Candidate Tracker'!$I:$I,"male")=0,"",COUNTIFS('Candidate Tracker'!$E:$E,'Positions Tracker'!$B627,'Candidate Tracker'!$I:$I,"male")),"")</f>
        <v/>
      </c>
      <c r="BC627" s="80" t="str">
        <f>IFERROR(IF(COUNTIFS('Candidate Tracker'!$E:$E,'Positions Tracker'!$B627,'Candidate Tracker'!$C:$C,"&lt;&gt;WIP",'Candidate Tracker'!$C:$C,"&lt;&gt;Hold",'Candidate Tracker'!$C:$C,"&lt;&gt;Cancelled",'Candidate Tracker'!$C:$C,"&lt;&gt;Closed")/COUNTIFS('Candidate Tracker'!$E:$E,'Positions Tracker'!$B627)=0,"",COUNTIFS('Candidate Tracker'!$E:$E,'Positions Tracker'!$B627,'Candidate Tracker'!$C:$C,"&lt;&gt;WIP",'Candidate Tracker'!$C:$C,"&lt;&gt;Hold",'Candidate Tracker'!$C:$C,"&lt;&gt;Cancelled",'Candidate Tracker'!$C:$C,"&lt;&gt;Closed")/COUNTIFS('Candidate Tracker'!$E:$E,'Positions Tracker'!$B627)),"")</f>
        <v/>
      </c>
      <c r="BD627" s="67" t="str">
        <f t="shared" si="54"/>
        <v/>
      </c>
      <c r="BE627" s="67" t="str">
        <f t="shared" si="55"/>
        <v/>
      </c>
      <c r="BF627" s="67" t="str">
        <f t="shared" si="56"/>
        <v/>
      </c>
      <c r="BG627" s="67" t="str">
        <f t="shared" si="57"/>
        <v/>
      </c>
    </row>
    <row r="628" spans="1:59">
      <c r="A628" s="55"/>
      <c r="B628" s="56"/>
      <c r="C628" s="56"/>
      <c r="D628" s="56"/>
      <c r="E628" s="56"/>
      <c r="F628" s="56"/>
      <c r="G628" s="56"/>
      <c r="H628" s="56"/>
      <c r="I628" s="6"/>
      <c r="J628" s="6"/>
      <c r="K628" s="57"/>
      <c r="L628" s="57"/>
      <c r="M628" s="57"/>
      <c r="N628" s="56"/>
      <c r="O628" s="56"/>
      <c r="P628" s="56"/>
      <c r="Q628" s="56"/>
      <c r="R628" s="56"/>
      <c r="S628" s="56"/>
      <c r="T628" s="56"/>
      <c r="U628" s="56"/>
      <c r="V628" s="56"/>
      <c r="W628" s="56"/>
      <c r="X628" s="56"/>
      <c r="Y628" s="56"/>
      <c r="Z628" s="56"/>
      <c r="AA628" s="56"/>
      <c r="AB628" s="56"/>
      <c r="AC628" s="56"/>
      <c r="AD628" s="56"/>
      <c r="AE628" s="56"/>
      <c r="AF628" s="56"/>
      <c r="AG628" s="56"/>
      <c r="AH628" s="56"/>
      <c r="AI628" s="58"/>
      <c r="AJ628" s="56"/>
      <c r="AK628" s="56"/>
      <c r="AL628" s="56"/>
      <c r="AM628" s="57"/>
      <c r="AN628" s="57"/>
      <c r="AO628" s="56"/>
      <c r="AP628" s="56"/>
      <c r="AQ628" s="57"/>
      <c r="AR628" s="57"/>
      <c r="AS628" s="57"/>
      <c r="AT628" s="67">
        <f t="shared" ca="1" si="58"/>
        <v>0</v>
      </c>
      <c r="AU628" s="79" t="str">
        <f t="shared" ca="1" si="59"/>
        <v/>
      </c>
      <c r="AV628" s="79" t="str" cm="1">
        <f t="array" aca="1" ref="AV628" ca="1">IFERROR(_xlfn.IFS($AU628="","",$AU628&lt;=15,"0-15",AND($AU628&gt;=16,$AU628&lt;=30),"16-30",AND($AU628&gt;=31,$AU628&lt;=45),"31-45",AND($AU628&gt;=46,$AU628&lt;=60),"46-60",AND($AU628&gt;=61,$AU628&lt;=90),"61-90",AND($AU628&gt;=91),"&gt; 90",AND($AU628&gt;=2000),""),"")</f>
        <v/>
      </c>
      <c r="AW628" s="79" t="str" cm="1">
        <f t="array" aca="1" ref="AW628" ca="1">IFERROR(_xlfn.IFS(OR($M628="",$AM628=""),"",OR($C628="Offered",$C628="Joined"),($AM628-$M628)-$AT628),"")</f>
        <v/>
      </c>
      <c r="AX628" s="79" t="str" cm="1">
        <f t="array" aca="1" ref="AX628" ca="1">IFERROR(_xlfn.IFS(OR($M628="",$AS628=""),"",$C628="Joined",($AS628-$M628)-$AT628),"")</f>
        <v/>
      </c>
      <c r="AY628" s="67" t="str">
        <f>IFERROR(IF(COUNTIFS('Candidate Tracker'!$E:$E,'Positions Tracker'!$B628,'Candidate Tracker'!$C:$C,"Offer Drop")=0,"",COUNTIFS('Candidate Tracker'!$E:$E,'Positions Tracker'!$B628,'Candidate Tracker'!$C:$C,"Offer Drop")),"")</f>
        <v/>
      </c>
      <c r="AZ628" s="80">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0.88111888111888115</v>
      </c>
      <c r="BA628" s="81" t="str">
        <f>IFERROR(IF(COUNTIFS('Candidate Tracker'!$E:$E,'Positions Tracker'!$B628,'Candidate Tracker'!$I:$I,"Female")=0,"",COUNTIFS('Candidate Tracker'!$E:$E,'Positions Tracker'!$B628,'Candidate Tracker'!$I:$I,"Female")),"")</f>
        <v/>
      </c>
      <c r="BB628" s="81" t="str">
        <f>IFERROR(IF(COUNTIFS('Candidate Tracker'!$E:$E,'Positions Tracker'!$B628,'Candidate Tracker'!$I:$I,"male")=0,"",COUNTIFS('Candidate Tracker'!$E:$E,'Positions Tracker'!$B628,'Candidate Tracker'!$I:$I,"male")),"")</f>
        <v/>
      </c>
      <c r="BC628" s="80" t="str">
        <f>IFERROR(IF(COUNTIFS('Candidate Tracker'!$E:$E,'Positions Tracker'!$B628,'Candidate Tracker'!$C:$C,"&lt;&gt;WIP",'Candidate Tracker'!$C:$C,"&lt;&gt;Hold",'Candidate Tracker'!$C:$C,"&lt;&gt;Cancelled",'Candidate Tracker'!$C:$C,"&lt;&gt;Closed")/COUNTIFS('Candidate Tracker'!$E:$E,'Positions Tracker'!$B628)=0,"",COUNTIFS('Candidate Tracker'!$E:$E,'Positions Tracker'!$B628,'Candidate Tracker'!$C:$C,"&lt;&gt;WIP",'Candidate Tracker'!$C:$C,"&lt;&gt;Hold",'Candidate Tracker'!$C:$C,"&lt;&gt;Cancelled",'Candidate Tracker'!$C:$C,"&lt;&gt;Closed")/COUNTIFS('Candidate Tracker'!$E:$E,'Positions Tracker'!$B628)),"")</f>
        <v/>
      </c>
      <c r="BD628" s="67" t="str">
        <f t="shared" si="54"/>
        <v/>
      </c>
      <c r="BE628" s="67" t="str">
        <f t="shared" si="55"/>
        <v/>
      </c>
      <c r="BF628" s="67" t="str">
        <f t="shared" si="56"/>
        <v/>
      </c>
      <c r="BG628" s="67" t="str">
        <f t="shared" si="57"/>
        <v/>
      </c>
    </row>
    <row r="629" spans="1:59">
      <c r="A629" s="55"/>
      <c r="B629" s="56"/>
      <c r="C629" s="56"/>
      <c r="D629" s="56"/>
      <c r="E629" s="56"/>
      <c r="F629" s="56"/>
      <c r="G629" s="56"/>
      <c r="H629" s="56"/>
      <c r="I629" s="6"/>
      <c r="J629" s="6"/>
      <c r="K629" s="57"/>
      <c r="L629" s="57"/>
      <c r="M629" s="57"/>
      <c r="N629" s="56"/>
      <c r="O629" s="56"/>
      <c r="P629" s="56"/>
      <c r="Q629" s="56"/>
      <c r="R629" s="56"/>
      <c r="S629" s="56"/>
      <c r="T629" s="56"/>
      <c r="U629" s="56"/>
      <c r="V629" s="56"/>
      <c r="W629" s="56"/>
      <c r="X629" s="56"/>
      <c r="Y629" s="56"/>
      <c r="Z629" s="56"/>
      <c r="AA629" s="56"/>
      <c r="AB629" s="56"/>
      <c r="AC629" s="56"/>
      <c r="AD629" s="56"/>
      <c r="AE629" s="56"/>
      <c r="AF629" s="56"/>
      <c r="AG629" s="56"/>
      <c r="AH629" s="56"/>
      <c r="AI629" s="58"/>
      <c r="AJ629" s="56"/>
      <c r="AK629" s="56"/>
      <c r="AL629" s="56"/>
      <c r="AM629" s="57"/>
      <c r="AN629" s="57"/>
      <c r="AO629" s="56"/>
      <c r="AP629" s="56"/>
      <c r="AQ629" s="57"/>
      <c r="AR629" s="57"/>
      <c r="AS629" s="57"/>
      <c r="AT629" s="67">
        <f t="shared" ca="1" si="58"/>
        <v>0</v>
      </c>
      <c r="AU629" s="79" t="str">
        <f t="shared" ca="1" si="59"/>
        <v/>
      </c>
      <c r="AV629" s="79" t="str" cm="1">
        <f t="array" aca="1" ref="AV629" ca="1">IFERROR(_xlfn.IFS($AU629="","",$AU629&lt;=15,"0-15",AND($AU629&gt;=16,$AU629&lt;=30),"16-30",AND($AU629&gt;=31,$AU629&lt;=45),"31-45",AND($AU629&gt;=46,$AU629&lt;=60),"46-60",AND($AU629&gt;=61,$AU629&lt;=90),"61-90",AND($AU629&gt;=91),"&gt; 90",AND($AU629&gt;=2000),""),"")</f>
        <v/>
      </c>
      <c r="AW629" s="79" t="str" cm="1">
        <f t="array" aca="1" ref="AW629" ca="1">IFERROR(_xlfn.IFS(OR($M629="",$AM629=""),"",OR($C629="Offered",$C629="Joined"),($AM629-$M629)-$AT629),"")</f>
        <v/>
      </c>
      <c r="AX629" s="79" t="str" cm="1">
        <f t="array" aca="1" ref="AX629" ca="1">IFERROR(_xlfn.IFS(OR($M629="",$AS629=""),"",$C629="Joined",($AS629-$M629)-$AT629),"")</f>
        <v/>
      </c>
      <c r="AY629" s="67" t="str">
        <f>IFERROR(IF(COUNTIFS('Candidate Tracker'!$E:$E,'Positions Tracker'!$B629,'Candidate Tracker'!$C:$C,"Offer Drop")=0,"",COUNTIFS('Candidate Tracker'!$E:$E,'Positions Tracker'!$B629,'Candidate Tracker'!$C:$C,"Offer Drop")),"")</f>
        <v/>
      </c>
      <c r="AZ629" s="80">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0.88111888111888115</v>
      </c>
      <c r="BA629" s="81" t="str">
        <f>IFERROR(IF(COUNTIFS('Candidate Tracker'!$E:$E,'Positions Tracker'!$B629,'Candidate Tracker'!$I:$I,"Female")=0,"",COUNTIFS('Candidate Tracker'!$E:$E,'Positions Tracker'!$B629,'Candidate Tracker'!$I:$I,"Female")),"")</f>
        <v/>
      </c>
      <c r="BB629" s="81" t="str">
        <f>IFERROR(IF(COUNTIFS('Candidate Tracker'!$E:$E,'Positions Tracker'!$B629,'Candidate Tracker'!$I:$I,"male")=0,"",COUNTIFS('Candidate Tracker'!$E:$E,'Positions Tracker'!$B629,'Candidate Tracker'!$I:$I,"male")),"")</f>
        <v/>
      </c>
      <c r="BC629" s="80" t="str">
        <f>IFERROR(IF(COUNTIFS('Candidate Tracker'!$E:$E,'Positions Tracker'!$B629,'Candidate Tracker'!$C:$C,"&lt;&gt;WIP",'Candidate Tracker'!$C:$C,"&lt;&gt;Hold",'Candidate Tracker'!$C:$C,"&lt;&gt;Cancelled",'Candidate Tracker'!$C:$C,"&lt;&gt;Closed")/COUNTIFS('Candidate Tracker'!$E:$E,'Positions Tracker'!$B629)=0,"",COUNTIFS('Candidate Tracker'!$E:$E,'Positions Tracker'!$B629,'Candidate Tracker'!$C:$C,"&lt;&gt;WIP",'Candidate Tracker'!$C:$C,"&lt;&gt;Hold",'Candidate Tracker'!$C:$C,"&lt;&gt;Cancelled",'Candidate Tracker'!$C:$C,"&lt;&gt;Closed")/COUNTIFS('Candidate Tracker'!$E:$E,'Positions Tracker'!$B629)),"")</f>
        <v/>
      </c>
      <c r="BD629" s="67" t="str">
        <f t="shared" si="54"/>
        <v/>
      </c>
      <c r="BE629" s="67" t="str">
        <f t="shared" si="55"/>
        <v/>
      </c>
      <c r="BF629" s="67" t="str">
        <f t="shared" si="56"/>
        <v/>
      </c>
      <c r="BG629" s="67" t="str">
        <f t="shared" si="57"/>
        <v/>
      </c>
    </row>
    <row r="630" spans="1:59">
      <c r="A630" s="55"/>
      <c r="B630" s="56"/>
      <c r="C630" s="56"/>
      <c r="D630" s="56"/>
      <c r="E630" s="56"/>
      <c r="F630" s="56"/>
      <c r="G630" s="56"/>
      <c r="H630" s="56"/>
      <c r="I630" s="6"/>
      <c r="J630" s="6"/>
      <c r="K630" s="57"/>
      <c r="L630" s="57"/>
      <c r="M630" s="57"/>
      <c r="N630" s="56"/>
      <c r="O630" s="56"/>
      <c r="P630" s="56"/>
      <c r="Q630" s="56"/>
      <c r="R630" s="56"/>
      <c r="S630" s="56"/>
      <c r="T630" s="56"/>
      <c r="U630" s="56"/>
      <c r="V630" s="56"/>
      <c r="W630" s="56"/>
      <c r="X630" s="56"/>
      <c r="Y630" s="56"/>
      <c r="Z630" s="56"/>
      <c r="AA630" s="56"/>
      <c r="AB630" s="56"/>
      <c r="AC630" s="56"/>
      <c r="AD630" s="56"/>
      <c r="AE630" s="56"/>
      <c r="AF630" s="56"/>
      <c r="AG630" s="56"/>
      <c r="AH630" s="56"/>
      <c r="AI630" s="58"/>
      <c r="AJ630" s="56"/>
      <c r="AK630" s="56"/>
      <c r="AL630" s="56"/>
      <c r="AM630" s="57"/>
      <c r="AN630" s="57"/>
      <c r="AO630" s="56"/>
      <c r="AP630" s="56"/>
      <c r="AQ630" s="57"/>
      <c r="AR630" s="57"/>
      <c r="AS630" s="57"/>
      <c r="AT630" s="67">
        <f t="shared" ca="1" si="58"/>
        <v>0</v>
      </c>
      <c r="AU630" s="79" t="str">
        <f t="shared" ca="1" si="59"/>
        <v/>
      </c>
      <c r="AV630" s="79" t="str" cm="1">
        <f t="array" aca="1" ref="AV630" ca="1">IFERROR(_xlfn.IFS($AU630="","",$AU630&lt;=15,"0-15",AND($AU630&gt;=16,$AU630&lt;=30),"16-30",AND($AU630&gt;=31,$AU630&lt;=45),"31-45",AND($AU630&gt;=46,$AU630&lt;=60),"46-60",AND($AU630&gt;=61,$AU630&lt;=90),"61-90",AND($AU630&gt;=91),"&gt; 90",AND($AU630&gt;=2000),""),"")</f>
        <v/>
      </c>
      <c r="AW630" s="79" t="str" cm="1">
        <f t="array" aca="1" ref="AW630" ca="1">IFERROR(_xlfn.IFS(OR($M630="",$AM630=""),"",OR($C630="Offered",$C630="Joined"),($AM630-$M630)-$AT630),"")</f>
        <v/>
      </c>
      <c r="AX630" s="79" t="str" cm="1">
        <f t="array" aca="1" ref="AX630" ca="1">IFERROR(_xlfn.IFS(OR($M630="",$AS630=""),"",$C630="Joined",($AS630-$M630)-$AT630),"")</f>
        <v/>
      </c>
      <c r="AY630" s="67" t="str">
        <f>IFERROR(IF(COUNTIFS('Candidate Tracker'!$E:$E,'Positions Tracker'!$B630,'Candidate Tracker'!$C:$C,"Offer Drop")=0,"",COUNTIFS('Candidate Tracker'!$E:$E,'Positions Tracker'!$B630,'Candidate Tracker'!$C:$C,"Offer Drop")),"")</f>
        <v/>
      </c>
      <c r="AZ630" s="80">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0.88111888111888115</v>
      </c>
      <c r="BA630" s="81" t="str">
        <f>IFERROR(IF(COUNTIFS('Candidate Tracker'!$E:$E,'Positions Tracker'!$B630,'Candidate Tracker'!$I:$I,"Female")=0,"",COUNTIFS('Candidate Tracker'!$E:$E,'Positions Tracker'!$B630,'Candidate Tracker'!$I:$I,"Female")),"")</f>
        <v/>
      </c>
      <c r="BB630" s="81" t="str">
        <f>IFERROR(IF(COUNTIFS('Candidate Tracker'!$E:$E,'Positions Tracker'!$B630,'Candidate Tracker'!$I:$I,"male")=0,"",COUNTIFS('Candidate Tracker'!$E:$E,'Positions Tracker'!$B630,'Candidate Tracker'!$I:$I,"male")),"")</f>
        <v/>
      </c>
      <c r="BC630" s="80" t="str">
        <f>IFERROR(IF(COUNTIFS('Candidate Tracker'!$E:$E,'Positions Tracker'!$B630,'Candidate Tracker'!$C:$C,"&lt;&gt;WIP",'Candidate Tracker'!$C:$C,"&lt;&gt;Hold",'Candidate Tracker'!$C:$C,"&lt;&gt;Cancelled",'Candidate Tracker'!$C:$C,"&lt;&gt;Closed")/COUNTIFS('Candidate Tracker'!$E:$E,'Positions Tracker'!$B630)=0,"",COUNTIFS('Candidate Tracker'!$E:$E,'Positions Tracker'!$B630,'Candidate Tracker'!$C:$C,"&lt;&gt;WIP",'Candidate Tracker'!$C:$C,"&lt;&gt;Hold",'Candidate Tracker'!$C:$C,"&lt;&gt;Cancelled",'Candidate Tracker'!$C:$C,"&lt;&gt;Closed")/COUNTIFS('Candidate Tracker'!$E:$E,'Positions Tracker'!$B630)),"")</f>
        <v/>
      </c>
      <c r="BD630" s="67" t="str">
        <f t="shared" si="54"/>
        <v/>
      </c>
      <c r="BE630" s="67" t="str">
        <f t="shared" si="55"/>
        <v/>
      </c>
      <c r="BF630" s="67" t="str">
        <f t="shared" si="56"/>
        <v/>
      </c>
      <c r="BG630" s="67" t="str">
        <f t="shared" si="57"/>
        <v/>
      </c>
    </row>
    <row r="631" spans="1:59">
      <c r="A631" s="55"/>
      <c r="B631" s="56"/>
      <c r="C631" s="56"/>
      <c r="D631" s="56"/>
      <c r="E631" s="56"/>
      <c r="F631" s="56"/>
      <c r="G631" s="56"/>
      <c r="H631" s="56"/>
      <c r="I631" s="6"/>
      <c r="J631" s="6"/>
      <c r="K631" s="57"/>
      <c r="L631" s="57"/>
      <c r="M631" s="57"/>
      <c r="N631" s="56"/>
      <c r="O631" s="56"/>
      <c r="P631" s="56"/>
      <c r="Q631" s="56"/>
      <c r="R631" s="56"/>
      <c r="S631" s="56"/>
      <c r="T631" s="56"/>
      <c r="U631" s="56"/>
      <c r="V631" s="56"/>
      <c r="W631" s="56"/>
      <c r="X631" s="56"/>
      <c r="Y631" s="56"/>
      <c r="Z631" s="56"/>
      <c r="AA631" s="56"/>
      <c r="AB631" s="56"/>
      <c r="AC631" s="56"/>
      <c r="AD631" s="56"/>
      <c r="AE631" s="56"/>
      <c r="AF631" s="56"/>
      <c r="AG631" s="56"/>
      <c r="AH631" s="56"/>
      <c r="AI631" s="58"/>
      <c r="AJ631" s="56"/>
      <c r="AK631" s="56"/>
      <c r="AL631" s="56"/>
      <c r="AM631" s="57"/>
      <c r="AN631" s="57"/>
      <c r="AO631" s="56"/>
      <c r="AP631" s="56"/>
      <c r="AQ631" s="57"/>
      <c r="AR631" s="57"/>
      <c r="AS631" s="57"/>
      <c r="AT631" s="67">
        <f t="shared" ca="1" si="58"/>
        <v>0</v>
      </c>
      <c r="AU631" s="79" t="str">
        <f t="shared" ca="1" si="59"/>
        <v/>
      </c>
      <c r="AV631" s="79" t="str" cm="1">
        <f t="array" aca="1" ref="AV631" ca="1">IFERROR(_xlfn.IFS($AU631="","",$AU631&lt;=15,"0-15",AND($AU631&gt;=16,$AU631&lt;=30),"16-30",AND($AU631&gt;=31,$AU631&lt;=45),"31-45",AND($AU631&gt;=46,$AU631&lt;=60),"46-60",AND($AU631&gt;=61,$AU631&lt;=90),"61-90",AND($AU631&gt;=91),"&gt; 90",AND($AU631&gt;=2000),""),"")</f>
        <v/>
      </c>
      <c r="AW631" s="79" t="str" cm="1">
        <f t="array" aca="1" ref="AW631" ca="1">IFERROR(_xlfn.IFS(OR($M631="",$AM631=""),"",OR($C631="Offered",$C631="Joined"),($AM631-$M631)-$AT631),"")</f>
        <v/>
      </c>
      <c r="AX631" s="79" t="str" cm="1">
        <f t="array" aca="1" ref="AX631" ca="1">IFERROR(_xlfn.IFS(OR($M631="",$AS631=""),"",$C631="Joined",($AS631-$M631)-$AT631),"")</f>
        <v/>
      </c>
      <c r="AY631" s="67" t="str">
        <f>IFERROR(IF(COUNTIFS('Candidate Tracker'!$E:$E,'Positions Tracker'!$B631,'Candidate Tracker'!$C:$C,"Offer Drop")=0,"",COUNTIFS('Candidate Tracker'!$E:$E,'Positions Tracker'!$B631,'Candidate Tracker'!$C:$C,"Offer Drop")),"")</f>
        <v/>
      </c>
      <c r="AZ631" s="80">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0.88111888111888115</v>
      </c>
      <c r="BA631" s="81" t="str">
        <f>IFERROR(IF(COUNTIFS('Candidate Tracker'!$E:$E,'Positions Tracker'!$B631,'Candidate Tracker'!$I:$I,"Female")=0,"",COUNTIFS('Candidate Tracker'!$E:$E,'Positions Tracker'!$B631,'Candidate Tracker'!$I:$I,"Female")),"")</f>
        <v/>
      </c>
      <c r="BB631" s="81" t="str">
        <f>IFERROR(IF(COUNTIFS('Candidate Tracker'!$E:$E,'Positions Tracker'!$B631,'Candidate Tracker'!$I:$I,"male")=0,"",COUNTIFS('Candidate Tracker'!$E:$E,'Positions Tracker'!$B631,'Candidate Tracker'!$I:$I,"male")),"")</f>
        <v/>
      </c>
      <c r="BC631" s="80" t="str">
        <f>IFERROR(IF(COUNTIFS('Candidate Tracker'!$E:$E,'Positions Tracker'!$B631,'Candidate Tracker'!$C:$C,"&lt;&gt;WIP",'Candidate Tracker'!$C:$C,"&lt;&gt;Hold",'Candidate Tracker'!$C:$C,"&lt;&gt;Cancelled",'Candidate Tracker'!$C:$C,"&lt;&gt;Closed")/COUNTIFS('Candidate Tracker'!$E:$E,'Positions Tracker'!$B631)=0,"",COUNTIFS('Candidate Tracker'!$E:$E,'Positions Tracker'!$B631,'Candidate Tracker'!$C:$C,"&lt;&gt;WIP",'Candidate Tracker'!$C:$C,"&lt;&gt;Hold",'Candidate Tracker'!$C:$C,"&lt;&gt;Cancelled",'Candidate Tracker'!$C:$C,"&lt;&gt;Closed")/COUNTIFS('Candidate Tracker'!$E:$E,'Positions Tracker'!$B631)),"")</f>
        <v/>
      </c>
      <c r="BD631" s="67" t="str">
        <f t="shared" si="54"/>
        <v/>
      </c>
      <c r="BE631" s="67" t="str">
        <f t="shared" si="55"/>
        <v/>
      </c>
      <c r="BF631" s="67" t="str">
        <f t="shared" si="56"/>
        <v/>
      </c>
      <c r="BG631" s="67" t="str">
        <f t="shared" si="57"/>
        <v/>
      </c>
    </row>
    <row r="632" spans="1:59">
      <c r="A632" s="55"/>
      <c r="B632" s="56"/>
      <c r="C632" s="56"/>
      <c r="D632" s="56"/>
      <c r="E632" s="56"/>
      <c r="F632" s="56"/>
      <c r="G632" s="56"/>
      <c r="H632" s="56"/>
      <c r="I632" s="6"/>
      <c r="J632" s="6"/>
      <c r="K632" s="57"/>
      <c r="L632" s="57"/>
      <c r="M632" s="57"/>
      <c r="N632" s="56"/>
      <c r="O632" s="56"/>
      <c r="P632" s="56"/>
      <c r="Q632" s="56"/>
      <c r="R632" s="56"/>
      <c r="S632" s="56"/>
      <c r="T632" s="56"/>
      <c r="U632" s="56"/>
      <c r="V632" s="56"/>
      <c r="W632" s="56"/>
      <c r="X632" s="56"/>
      <c r="Y632" s="56"/>
      <c r="Z632" s="56"/>
      <c r="AA632" s="56"/>
      <c r="AB632" s="56"/>
      <c r="AC632" s="56"/>
      <c r="AD632" s="56"/>
      <c r="AE632" s="56"/>
      <c r="AF632" s="56"/>
      <c r="AG632" s="56"/>
      <c r="AH632" s="56"/>
      <c r="AI632" s="58"/>
      <c r="AJ632" s="56"/>
      <c r="AK632" s="56"/>
      <c r="AL632" s="56"/>
      <c r="AM632" s="57"/>
      <c r="AN632" s="57"/>
      <c r="AO632" s="56"/>
      <c r="AP632" s="56"/>
      <c r="AQ632" s="57"/>
      <c r="AR632" s="57"/>
      <c r="AS632" s="57"/>
      <c r="AT632" s="67">
        <f t="shared" ca="1" si="58"/>
        <v>0</v>
      </c>
      <c r="AU632" s="79" t="str">
        <f t="shared" ca="1" si="59"/>
        <v/>
      </c>
      <c r="AV632" s="79" t="str" cm="1">
        <f t="array" aca="1" ref="AV632" ca="1">IFERROR(_xlfn.IFS($AU632="","",$AU632&lt;=15,"0-15",AND($AU632&gt;=16,$AU632&lt;=30),"16-30",AND($AU632&gt;=31,$AU632&lt;=45),"31-45",AND($AU632&gt;=46,$AU632&lt;=60),"46-60",AND($AU632&gt;=61,$AU632&lt;=90),"61-90",AND($AU632&gt;=91),"&gt; 90",AND($AU632&gt;=2000),""),"")</f>
        <v/>
      </c>
      <c r="AW632" s="79" t="str" cm="1">
        <f t="array" aca="1" ref="AW632" ca="1">IFERROR(_xlfn.IFS(OR($M632="",$AM632=""),"",OR($C632="Offered",$C632="Joined"),($AM632-$M632)-$AT632),"")</f>
        <v/>
      </c>
      <c r="AX632" s="79" t="str" cm="1">
        <f t="array" aca="1" ref="AX632" ca="1">IFERROR(_xlfn.IFS(OR($M632="",$AS632=""),"",$C632="Joined",($AS632-$M632)-$AT632),"")</f>
        <v/>
      </c>
      <c r="AY632" s="67" t="str">
        <f>IFERROR(IF(COUNTIFS('Candidate Tracker'!$E:$E,'Positions Tracker'!$B632,'Candidate Tracker'!$C:$C,"Offer Drop")=0,"",COUNTIFS('Candidate Tracker'!$E:$E,'Positions Tracker'!$B632,'Candidate Tracker'!$C:$C,"Offer Drop")),"")</f>
        <v/>
      </c>
      <c r="AZ632" s="80">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0.88111888111888115</v>
      </c>
      <c r="BA632" s="81" t="str">
        <f>IFERROR(IF(COUNTIFS('Candidate Tracker'!$E:$E,'Positions Tracker'!$B632,'Candidate Tracker'!$I:$I,"Female")=0,"",COUNTIFS('Candidate Tracker'!$E:$E,'Positions Tracker'!$B632,'Candidate Tracker'!$I:$I,"Female")),"")</f>
        <v/>
      </c>
      <c r="BB632" s="81" t="str">
        <f>IFERROR(IF(COUNTIFS('Candidate Tracker'!$E:$E,'Positions Tracker'!$B632,'Candidate Tracker'!$I:$I,"male")=0,"",COUNTIFS('Candidate Tracker'!$E:$E,'Positions Tracker'!$B632,'Candidate Tracker'!$I:$I,"male")),"")</f>
        <v/>
      </c>
      <c r="BC632" s="80" t="str">
        <f>IFERROR(IF(COUNTIFS('Candidate Tracker'!$E:$E,'Positions Tracker'!$B632,'Candidate Tracker'!$C:$C,"&lt;&gt;WIP",'Candidate Tracker'!$C:$C,"&lt;&gt;Hold",'Candidate Tracker'!$C:$C,"&lt;&gt;Cancelled",'Candidate Tracker'!$C:$C,"&lt;&gt;Closed")/COUNTIFS('Candidate Tracker'!$E:$E,'Positions Tracker'!$B632)=0,"",COUNTIFS('Candidate Tracker'!$E:$E,'Positions Tracker'!$B632,'Candidate Tracker'!$C:$C,"&lt;&gt;WIP",'Candidate Tracker'!$C:$C,"&lt;&gt;Hold",'Candidate Tracker'!$C:$C,"&lt;&gt;Cancelled",'Candidate Tracker'!$C:$C,"&lt;&gt;Closed")/COUNTIFS('Candidate Tracker'!$E:$E,'Positions Tracker'!$B632)),"")</f>
        <v/>
      </c>
      <c r="BD632" s="67" t="str">
        <f t="shared" si="54"/>
        <v/>
      </c>
      <c r="BE632" s="67" t="str">
        <f t="shared" si="55"/>
        <v/>
      </c>
      <c r="BF632" s="67" t="str">
        <f t="shared" si="56"/>
        <v/>
      </c>
      <c r="BG632" s="67" t="str">
        <f t="shared" si="57"/>
        <v/>
      </c>
    </row>
    <row r="633" spans="1:59">
      <c r="A633" s="55"/>
      <c r="B633" s="56"/>
      <c r="C633" s="56"/>
      <c r="D633" s="56"/>
      <c r="E633" s="56"/>
      <c r="F633" s="56"/>
      <c r="G633" s="56"/>
      <c r="H633" s="56"/>
      <c r="I633" s="6"/>
      <c r="J633" s="6"/>
      <c r="K633" s="57"/>
      <c r="L633" s="57"/>
      <c r="M633" s="57"/>
      <c r="N633" s="56"/>
      <c r="O633" s="56"/>
      <c r="P633" s="56"/>
      <c r="Q633" s="56"/>
      <c r="R633" s="56"/>
      <c r="S633" s="56"/>
      <c r="T633" s="56"/>
      <c r="U633" s="56"/>
      <c r="V633" s="56"/>
      <c r="W633" s="56"/>
      <c r="X633" s="56"/>
      <c r="Y633" s="56"/>
      <c r="Z633" s="56"/>
      <c r="AA633" s="56"/>
      <c r="AB633" s="56"/>
      <c r="AC633" s="56"/>
      <c r="AD633" s="56"/>
      <c r="AE633" s="56"/>
      <c r="AF633" s="56"/>
      <c r="AG633" s="56"/>
      <c r="AH633" s="56"/>
      <c r="AI633" s="58"/>
      <c r="AJ633" s="56"/>
      <c r="AK633" s="56"/>
      <c r="AL633" s="56"/>
      <c r="AM633" s="57"/>
      <c r="AN633" s="57"/>
      <c r="AO633" s="56"/>
      <c r="AP633" s="56"/>
      <c r="AQ633" s="57"/>
      <c r="AR633" s="57"/>
      <c r="AS633" s="57"/>
      <c r="AT633" s="67">
        <f t="shared" ca="1" si="58"/>
        <v>0</v>
      </c>
      <c r="AU633" s="79" t="str">
        <f t="shared" ca="1" si="59"/>
        <v/>
      </c>
      <c r="AV633" s="79" t="str" cm="1">
        <f t="array" aca="1" ref="AV633" ca="1">IFERROR(_xlfn.IFS($AU633="","",$AU633&lt;=15,"0-15",AND($AU633&gt;=16,$AU633&lt;=30),"16-30",AND($AU633&gt;=31,$AU633&lt;=45),"31-45",AND($AU633&gt;=46,$AU633&lt;=60),"46-60",AND($AU633&gt;=61,$AU633&lt;=90),"61-90",AND($AU633&gt;=91),"&gt; 90",AND($AU633&gt;=2000),""),"")</f>
        <v/>
      </c>
      <c r="AW633" s="79" t="str" cm="1">
        <f t="array" aca="1" ref="AW633" ca="1">IFERROR(_xlfn.IFS(OR($M633="",$AM633=""),"",OR($C633="Offered",$C633="Joined"),($AM633-$M633)-$AT633),"")</f>
        <v/>
      </c>
      <c r="AX633" s="79" t="str" cm="1">
        <f t="array" aca="1" ref="AX633" ca="1">IFERROR(_xlfn.IFS(OR($M633="",$AS633=""),"",$C633="Joined",($AS633-$M633)-$AT633),"")</f>
        <v/>
      </c>
      <c r="AY633" s="67" t="str">
        <f>IFERROR(IF(COUNTIFS('Candidate Tracker'!$E:$E,'Positions Tracker'!$B633,'Candidate Tracker'!$C:$C,"Offer Drop")=0,"",COUNTIFS('Candidate Tracker'!$E:$E,'Positions Tracker'!$B633,'Candidate Tracker'!$C:$C,"Offer Drop")),"")</f>
        <v/>
      </c>
      <c r="AZ633" s="80">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0.88111888111888115</v>
      </c>
      <c r="BA633" s="81" t="str">
        <f>IFERROR(IF(COUNTIFS('Candidate Tracker'!$E:$E,'Positions Tracker'!$B633,'Candidate Tracker'!$I:$I,"Female")=0,"",COUNTIFS('Candidate Tracker'!$E:$E,'Positions Tracker'!$B633,'Candidate Tracker'!$I:$I,"Female")),"")</f>
        <v/>
      </c>
      <c r="BB633" s="81" t="str">
        <f>IFERROR(IF(COUNTIFS('Candidate Tracker'!$E:$E,'Positions Tracker'!$B633,'Candidate Tracker'!$I:$I,"male")=0,"",COUNTIFS('Candidate Tracker'!$E:$E,'Positions Tracker'!$B633,'Candidate Tracker'!$I:$I,"male")),"")</f>
        <v/>
      </c>
      <c r="BC633" s="80" t="str">
        <f>IFERROR(IF(COUNTIFS('Candidate Tracker'!$E:$E,'Positions Tracker'!$B633,'Candidate Tracker'!$C:$C,"&lt;&gt;WIP",'Candidate Tracker'!$C:$C,"&lt;&gt;Hold",'Candidate Tracker'!$C:$C,"&lt;&gt;Cancelled",'Candidate Tracker'!$C:$C,"&lt;&gt;Closed")/COUNTIFS('Candidate Tracker'!$E:$E,'Positions Tracker'!$B633)=0,"",COUNTIFS('Candidate Tracker'!$E:$E,'Positions Tracker'!$B633,'Candidate Tracker'!$C:$C,"&lt;&gt;WIP",'Candidate Tracker'!$C:$C,"&lt;&gt;Hold",'Candidate Tracker'!$C:$C,"&lt;&gt;Cancelled",'Candidate Tracker'!$C:$C,"&lt;&gt;Closed")/COUNTIFS('Candidate Tracker'!$E:$E,'Positions Tracker'!$B633)),"")</f>
        <v/>
      </c>
      <c r="BD633" s="67" t="str">
        <f t="shared" si="54"/>
        <v/>
      </c>
      <c r="BE633" s="67" t="str">
        <f t="shared" si="55"/>
        <v/>
      </c>
      <c r="BF633" s="67" t="str">
        <f t="shared" si="56"/>
        <v/>
      </c>
      <c r="BG633" s="67" t="str">
        <f t="shared" si="57"/>
        <v/>
      </c>
    </row>
    <row r="634" spans="1:59">
      <c r="A634" s="55"/>
      <c r="B634" s="56"/>
      <c r="C634" s="56"/>
      <c r="D634" s="56"/>
      <c r="E634" s="56"/>
      <c r="F634" s="56"/>
      <c r="G634" s="56"/>
      <c r="H634" s="56"/>
      <c r="I634" s="6"/>
      <c r="J634" s="6"/>
      <c r="K634" s="57"/>
      <c r="L634" s="57"/>
      <c r="M634" s="57"/>
      <c r="N634" s="56"/>
      <c r="O634" s="56"/>
      <c r="P634" s="56"/>
      <c r="Q634" s="56"/>
      <c r="R634" s="56"/>
      <c r="S634" s="56"/>
      <c r="T634" s="56"/>
      <c r="U634" s="56"/>
      <c r="V634" s="56"/>
      <c r="W634" s="56"/>
      <c r="X634" s="56"/>
      <c r="Y634" s="56"/>
      <c r="Z634" s="56"/>
      <c r="AA634" s="56"/>
      <c r="AB634" s="56"/>
      <c r="AC634" s="56"/>
      <c r="AD634" s="56"/>
      <c r="AE634" s="56"/>
      <c r="AF634" s="56"/>
      <c r="AG634" s="56"/>
      <c r="AH634" s="56"/>
      <c r="AI634" s="58"/>
      <c r="AJ634" s="56"/>
      <c r="AK634" s="56"/>
      <c r="AL634" s="56"/>
      <c r="AM634" s="57"/>
      <c r="AN634" s="57"/>
      <c r="AO634" s="56"/>
      <c r="AP634" s="56"/>
      <c r="AQ634" s="57"/>
      <c r="AR634" s="57"/>
      <c r="AS634" s="57"/>
      <c r="AT634" s="67">
        <f t="shared" ca="1" si="58"/>
        <v>0</v>
      </c>
      <c r="AU634" s="79" t="str">
        <f t="shared" ca="1" si="59"/>
        <v/>
      </c>
      <c r="AV634" s="79" t="str" cm="1">
        <f t="array" aca="1" ref="AV634" ca="1">IFERROR(_xlfn.IFS($AU634="","",$AU634&lt;=15,"0-15",AND($AU634&gt;=16,$AU634&lt;=30),"16-30",AND($AU634&gt;=31,$AU634&lt;=45),"31-45",AND($AU634&gt;=46,$AU634&lt;=60),"46-60",AND($AU634&gt;=61,$AU634&lt;=90),"61-90",AND($AU634&gt;=91),"&gt; 90",AND($AU634&gt;=2000),""),"")</f>
        <v/>
      </c>
      <c r="AW634" s="79" t="str" cm="1">
        <f t="array" aca="1" ref="AW634" ca="1">IFERROR(_xlfn.IFS(OR($M634="",$AM634=""),"",OR($C634="Offered",$C634="Joined"),($AM634-$M634)-$AT634),"")</f>
        <v/>
      </c>
      <c r="AX634" s="79" t="str" cm="1">
        <f t="array" aca="1" ref="AX634" ca="1">IFERROR(_xlfn.IFS(OR($M634="",$AS634=""),"",$C634="Joined",($AS634-$M634)-$AT634),"")</f>
        <v/>
      </c>
      <c r="AY634" s="67" t="str">
        <f>IFERROR(IF(COUNTIFS('Candidate Tracker'!$E:$E,'Positions Tracker'!$B634,'Candidate Tracker'!$C:$C,"Offer Drop")=0,"",COUNTIFS('Candidate Tracker'!$E:$E,'Positions Tracker'!$B634,'Candidate Tracker'!$C:$C,"Offer Drop")),"")</f>
        <v/>
      </c>
      <c r="AZ634" s="80">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0.88111888111888115</v>
      </c>
      <c r="BA634" s="81" t="str">
        <f>IFERROR(IF(COUNTIFS('Candidate Tracker'!$E:$E,'Positions Tracker'!$B634,'Candidate Tracker'!$I:$I,"Female")=0,"",COUNTIFS('Candidate Tracker'!$E:$E,'Positions Tracker'!$B634,'Candidate Tracker'!$I:$I,"Female")),"")</f>
        <v/>
      </c>
      <c r="BB634" s="81" t="str">
        <f>IFERROR(IF(COUNTIFS('Candidate Tracker'!$E:$E,'Positions Tracker'!$B634,'Candidate Tracker'!$I:$I,"male")=0,"",COUNTIFS('Candidate Tracker'!$E:$E,'Positions Tracker'!$B634,'Candidate Tracker'!$I:$I,"male")),"")</f>
        <v/>
      </c>
      <c r="BC634" s="80" t="str">
        <f>IFERROR(IF(COUNTIFS('Candidate Tracker'!$E:$E,'Positions Tracker'!$B634,'Candidate Tracker'!$C:$C,"&lt;&gt;WIP",'Candidate Tracker'!$C:$C,"&lt;&gt;Hold",'Candidate Tracker'!$C:$C,"&lt;&gt;Cancelled",'Candidate Tracker'!$C:$C,"&lt;&gt;Closed")/COUNTIFS('Candidate Tracker'!$E:$E,'Positions Tracker'!$B634)=0,"",COUNTIFS('Candidate Tracker'!$E:$E,'Positions Tracker'!$B634,'Candidate Tracker'!$C:$C,"&lt;&gt;WIP",'Candidate Tracker'!$C:$C,"&lt;&gt;Hold",'Candidate Tracker'!$C:$C,"&lt;&gt;Cancelled",'Candidate Tracker'!$C:$C,"&lt;&gt;Closed")/COUNTIFS('Candidate Tracker'!$E:$E,'Positions Tracker'!$B634)),"")</f>
        <v/>
      </c>
      <c r="BD634" s="67" t="str">
        <f t="shared" si="54"/>
        <v/>
      </c>
      <c r="BE634" s="67" t="str">
        <f t="shared" si="55"/>
        <v/>
      </c>
      <c r="BF634" s="67" t="str">
        <f t="shared" si="56"/>
        <v/>
      </c>
      <c r="BG634" s="67" t="str">
        <f t="shared" si="57"/>
        <v/>
      </c>
    </row>
    <row r="635" spans="1:59">
      <c r="A635" s="55"/>
      <c r="B635" s="56"/>
      <c r="C635" s="56"/>
      <c r="D635" s="56"/>
      <c r="E635" s="56"/>
      <c r="F635" s="56"/>
      <c r="G635" s="56"/>
      <c r="H635" s="56"/>
      <c r="I635" s="6"/>
      <c r="J635" s="6"/>
      <c r="K635" s="57"/>
      <c r="L635" s="57"/>
      <c r="M635" s="57"/>
      <c r="N635" s="56"/>
      <c r="O635" s="56"/>
      <c r="P635" s="56"/>
      <c r="Q635" s="56"/>
      <c r="R635" s="56"/>
      <c r="S635" s="56"/>
      <c r="T635" s="56"/>
      <c r="U635" s="56"/>
      <c r="V635" s="56"/>
      <c r="W635" s="56"/>
      <c r="X635" s="56"/>
      <c r="Y635" s="56"/>
      <c r="Z635" s="56"/>
      <c r="AA635" s="56"/>
      <c r="AB635" s="56"/>
      <c r="AC635" s="56"/>
      <c r="AD635" s="56"/>
      <c r="AE635" s="56"/>
      <c r="AF635" s="56"/>
      <c r="AG635" s="56"/>
      <c r="AH635" s="56"/>
      <c r="AI635" s="58"/>
      <c r="AJ635" s="56"/>
      <c r="AK635" s="56"/>
      <c r="AL635" s="56"/>
      <c r="AM635" s="57"/>
      <c r="AN635" s="57"/>
      <c r="AO635" s="56"/>
      <c r="AP635" s="56"/>
      <c r="AQ635" s="57"/>
      <c r="AR635" s="57"/>
      <c r="AS635" s="57"/>
      <c r="AT635" s="67">
        <f t="shared" ca="1" si="58"/>
        <v>0</v>
      </c>
      <c r="AU635" s="79" t="str">
        <f t="shared" ca="1" si="59"/>
        <v/>
      </c>
      <c r="AV635" s="79" t="str" cm="1">
        <f t="array" aca="1" ref="AV635" ca="1">IFERROR(_xlfn.IFS($AU635="","",$AU635&lt;=15,"0-15",AND($AU635&gt;=16,$AU635&lt;=30),"16-30",AND($AU635&gt;=31,$AU635&lt;=45),"31-45",AND($AU635&gt;=46,$AU635&lt;=60),"46-60",AND($AU635&gt;=61,$AU635&lt;=90),"61-90",AND($AU635&gt;=91),"&gt; 90",AND($AU635&gt;=2000),""),"")</f>
        <v/>
      </c>
      <c r="AW635" s="79" t="str" cm="1">
        <f t="array" aca="1" ref="AW635" ca="1">IFERROR(_xlfn.IFS(OR($M635="",$AM635=""),"",OR($C635="Offered",$C635="Joined"),($AM635-$M635)-$AT635),"")</f>
        <v/>
      </c>
      <c r="AX635" s="79" t="str" cm="1">
        <f t="array" aca="1" ref="AX635" ca="1">IFERROR(_xlfn.IFS(OR($M635="",$AS635=""),"",$C635="Joined",($AS635-$M635)-$AT635),"")</f>
        <v/>
      </c>
      <c r="AY635" s="67" t="str">
        <f>IFERROR(IF(COUNTIFS('Candidate Tracker'!$E:$E,'Positions Tracker'!$B635,'Candidate Tracker'!$C:$C,"Offer Drop")=0,"",COUNTIFS('Candidate Tracker'!$E:$E,'Positions Tracker'!$B635,'Candidate Tracker'!$C:$C,"Offer Drop")),"")</f>
        <v/>
      </c>
      <c r="AZ635" s="80">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0.88111888111888115</v>
      </c>
      <c r="BA635" s="81" t="str">
        <f>IFERROR(IF(COUNTIFS('Candidate Tracker'!$E:$E,'Positions Tracker'!$B635,'Candidate Tracker'!$I:$I,"Female")=0,"",COUNTIFS('Candidate Tracker'!$E:$E,'Positions Tracker'!$B635,'Candidate Tracker'!$I:$I,"Female")),"")</f>
        <v/>
      </c>
      <c r="BB635" s="81" t="str">
        <f>IFERROR(IF(COUNTIFS('Candidate Tracker'!$E:$E,'Positions Tracker'!$B635,'Candidate Tracker'!$I:$I,"male")=0,"",COUNTIFS('Candidate Tracker'!$E:$E,'Positions Tracker'!$B635,'Candidate Tracker'!$I:$I,"male")),"")</f>
        <v/>
      </c>
      <c r="BC635" s="80" t="str">
        <f>IFERROR(IF(COUNTIFS('Candidate Tracker'!$E:$E,'Positions Tracker'!$B635,'Candidate Tracker'!$C:$C,"&lt;&gt;WIP",'Candidate Tracker'!$C:$C,"&lt;&gt;Hold",'Candidate Tracker'!$C:$C,"&lt;&gt;Cancelled",'Candidate Tracker'!$C:$C,"&lt;&gt;Closed")/COUNTIFS('Candidate Tracker'!$E:$E,'Positions Tracker'!$B635)=0,"",COUNTIFS('Candidate Tracker'!$E:$E,'Positions Tracker'!$B635,'Candidate Tracker'!$C:$C,"&lt;&gt;WIP",'Candidate Tracker'!$C:$C,"&lt;&gt;Hold",'Candidate Tracker'!$C:$C,"&lt;&gt;Cancelled",'Candidate Tracker'!$C:$C,"&lt;&gt;Closed")/COUNTIFS('Candidate Tracker'!$E:$E,'Positions Tracker'!$B635)),"")</f>
        <v/>
      </c>
      <c r="BD635" s="67" t="str">
        <f t="shared" si="54"/>
        <v/>
      </c>
      <c r="BE635" s="67" t="str">
        <f t="shared" si="55"/>
        <v/>
      </c>
      <c r="BF635" s="67" t="str">
        <f t="shared" si="56"/>
        <v/>
      </c>
      <c r="BG635" s="67" t="str">
        <f t="shared" si="57"/>
        <v/>
      </c>
    </row>
    <row r="636" spans="1:59">
      <c r="A636" s="55"/>
      <c r="B636" s="56"/>
      <c r="C636" s="56"/>
      <c r="D636" s="56"/>
      <c r="E636" s="56"/>
      <c r="F636" s="56"/>
      <c r="G636" s="56"/>
      <c r="H636" s="56"/>
      <c r="I636" s="6"/>
      <c r="J636" s="6"/>
      <c r="K636" s="57"/>
      <c r="L636" s="57"/>
      <c r="M636" s="57"/>
      <c r="N636" s="56"/>
      <c r="O636" s="56"/>
      <c r="P636" s="56"/>
      <c r="Q636" s="56"/>
      <c r="R636" s="56"/>
      <c r="S636" s="56"/>
      <c r="T636" s="56"/>
      <c r="U636" s="56"/>
      <c r="V636" s="56"/>
      <c r="W636" s="56"/>
      <c r="X636" s="56"/>
      <c r="Y636" s="56"/>
      <c r="Z636" s="56"/>
      <c r="AA636" s="56"/>
      <c r="AB636" s="56"/>
      <c r="AC636" s="56"/>
      <c r="AD636" s="56"/>
      <c r="AE636" s="56"/>
      <c r="AF636" s="56"/>
      <c r="AG636" s="56"/>
      <c r="AH636" s="56"/>
      <c r="AI636" s="58"/>
      <c r="AJ636" s="56"/>
      <c r="AK636" s="56"/>
      <c r="AL636" s="56"/>
      <c r="AM636" s="57"/>
      <c r="AN636" s="57"/>
      <c r="AO636" s="56"/>
      <c r="AP636" s="56"/>
      <c r="AQ636" s="57"/>
      <c r="AR636" s="57"/>
      <c r="AS636" s="57"/>
      <c r="AT636" s="67">
        <f t="shared" ca="1" si="58"/>
        <v>0</v>
      </c>
      <c r="AU636" s="79" t="str">
        <f t="shared" ca="1" si="59"/>
        <v/>
      </c>
      <c r="AV636" s="79" t="str" cm="1">
        <f t="array" aca="1" ref="AV636" ca="1">IFERROR(_xlfn.IFS($AU636="","",$AU636&lt;=15,"0-15",AND($AU636&gt;=16,$AU636&lt;=30),"16-30",AND($AU636&gt;=31,$AU636&lt;=45),"31-45",AND($AU636&gt;=46,$AU636&lt;=60),"46-60",AND($AU636&gt;=61,$AU636&lt;=90),"61-90",AND($AU636&gt;=91),"&gt; 90",AND($AU636&gt;=2000),""),"")</f>
        <v/>
      </c>
      <c r="AW636" s="79" t="str" cm="1">
        <f t="array" aca="1" ref="AW636" ca="1">IFERROR(_xlfn.IFS(OR($M636="",$AM636=""),"",OR($C636="Offered",$C636="Joined"),($AM636-$M636)-$AT636),"")</f>
        <v/>
      </c>
      <c r="AX636" s="79" t="str" cm="1">
        <f t="array" aca="1" ref="AX636" ca="1">IFERROR(_xlfn.IFS(OR($M636="",$AS636=""),"",$C636="Joined",($AS636-$M636)-$AT636),"")</f>
        <v/>
      </c>
      <c r="AY636" s="67" t="str">
        <f>IFERROR(IF(COUNTIFS('Candidate Tracker'!$E:$E,'Positions Tracker'!$B636,'Candidate Tracker'!$C:$C,"Offer Drop")=0,"",COUNTIFS('Candidate Tracker'!$E:$E,'Positions Tracker'!$B636,'Candidate Tracker'!$C:$C,"Offer Drop")),"")</f>
        <v/>
      </c>
      <c r="AZ636" s="80">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0.88111888111888115</v>
      </c>
      <c r="BA636" s="81" t="str">
        <f>IFERROR(IF(COUNTIFS('Candidate Tracker'!$E:$E,'Positions Tracker'!$B636,'Candidate Tracker'!$I:$I,"Female")=0,"",COUNTIFS('Candidate Tracker'!$E:$E,'Positions Tracker'!$B636,'Candidate Tracker'!$I:$I,"Female")),"")</f>
        <v/>
      </c>
      <c r="BB636" s="81" t="str">
        <f>IFERROR(IF(COUNTIFS('Candidate Tracker'!$E:$E,'Positions Tracker'!$B636,'Candidate Tracker'!$I:$I,"male")=0,"",COUNTIFS('Candidate Tracker'!$E:$E,'Positions Tracker'!$B636,'Candidate Tracker'!$I:$I,"male")),"")</f>
        <v/>
      </c>
      <c r="BC636" s="80" t="str">
        <f>IFERROR(IF(COUNTIFS('Candidate Tracker'!$E:$E,'Positions Tracker'!$B636,'Candidate Tracker'!$C:$C,"&lt;&gt;WIP",'Candidate Tracker'!$C:$C,"&lt;&gt;Hold",'Candidate Tracker'!$C:$C,"&lt;&gt;Cancelled",'Candidate Tracker'!$C:$C,"&lt;&gt;Closed")/COUNTIFS('Candidate Tracker'!$E:$E,'Positions Tracker'!$B636)=0,"",COUNTIFS('Candidate Tracker'!$E:$E,'Positions Tracker'!$B636,'Candidate Tracker'!$C:$C,"&lt;&gt;WIP",'Candidate Tracker'!$C:$C,"&lt;&gt;Hold",'Candidate Tracker'!$C:$C,"&lt;&gt;Cancelled",'Candidate Tracker'!$C:$C,"&lt;&gt;Closed")/COUNTIFS('Candidate Tracker'!$E:$E,'Positions Tracker'!$B636)),"")</f>
        <v/>
      </c>
      <c r="BD636" s="67" t="str">
        <f t="shared" si="54"/>
        <v/>
      </c>
      <c r="BE636" s="67" t="str">
        <f t="shared" si="55"/>
        <v/>
      </c>
      <c r="BF636" s="67" t="str">
        <f t="shared" si="56"/>
        <v/>
      </c>
      <c r="BG636" s="67" t="str">
        <f t="shared" si="57"/>
        <v/>
      </c>
    </row>
    <row r="637" spans="1:59">
      <c r="A637" s="55"/>
      <c r="B637" s="56"/>
      <c r="C637" s="56"/>
      <c r="D637" s="56"/>
      <c r="E637" s="56"/>
      <c r="F637" s="56"/>
      <c r="G637" s="56"/>
      <c r="H637" s="56"/>
      <c r="I637" s="6"/>
      <c r="J637" s="6"/>
      <c r="K637" s="57"/>
      <c r="L637" s="57"/>
      <c r="M637" s="57"/>
      <c r="N637" s="56"/>
      <c r="O637" s="56"/>
      <c r="P637" s="56"/>
      <c r="Q637" s="56"/>
      <c r="R637" s="56"/>
      <c r="S637" s="56"/>
      <c r="T637" s="56"/>
      <c r="U637" s="56"/>
      <c r="V637" s="56"/>
      <c r="W637" s="56"/>
      <c r="X637" s="56"/>
      <c r="Y637" s="56"/>
      <c r="Z637" s="56"/>
      <c r="AA637" s="56"/>
      <c r="AB637" s="56"/>
      <c r="AC637" s="56"/>
      <c r="AD637" s="56"/>
      <c r="AE637" s="56"/>
      <c r="AF637" s="56"/>
      <c r="AG637" s="56"/>
      <c r="AH637" s="56"/>
      <c r="AI637" s="58"/>
      <c r="AJ637" s="56"/>
      <c r="AK637" s="56"/>
      <c r="AL637" s="56"/>
      <c r="AM637" s="57"/>
      <c r="AN637" s="57"/>
      <c r="AO637" s="56"/>
      <c r="AP637" s="56"/>
      <c r="AQ637" s="57"/>
      <c r="AR637" s="57"/>
      <c r="AS637" s="57"/>
      <c r="AT637" s="67">
        <f t="shared" ca="1" si="58"/>
        <v>0</v>
      </c>
      <c r="AU637" s="79" t="str">
        <f t="shared" ca="1" si="59"/>
        <v/>
      </c>
      <c r="AV637" s="79" t="str" cm="1">
        <f t="array" aca="1" ref="AV637" ca="1">IFERROR(_xlfn.IFS($AU637="","",$AU637&lt;=15,"0-15",AND($AU637&gt;=16,$AU637&lt;=30),"16-30",AND($AU637&gt;=31,$AU637&lt;=45),"31-45",AND($AU637&gt;=46,$AU637&lt;=60),"46-60",AND($AU637&gt;=61,$AU637&lt;=90),"61-90",AND($AU637&gt;=91),"&gt; 90",AND($AU637&gt;=2000),""),"")</f>
        <v/>
      </c>
      <c r="AW637" s="79" t="str" cm="1">
        <f t="array" aca="1" ref="AW637" ca="1">IFERROR(_xlfn.IFS(OR($M637="",$AM637=""),"",OR($C637="Offered",$C637="Joined"),($AM637-$M637)-$AT637),"")</f>
        <v/>
      </c>
      <c r="AX637" s="79" t="str" cm="1">
        <f t="array" aca="1" ref="AX637" ca="1">IFERROR(_xlfn.IFS(OR($M637="",$AS637=""),"",$C637="Joined",($AS637-$M637)-$AT637),"")</f>
        <v/>
      </c>
      <c r="AY637" s="67" t="str">
        <f>IFERROR(IF(COUNTIFS('Candidate Tracker'!$E:$E,'Positions Tracker'!$B637,'Candidate Tracker'!$C:$C,"Offer Drop")=0,"",COUNTIFS('Candidate Tracker'!$E:$E,'Positions Tracker'!$B637,'Candidate Tracker'!$C:$C,"Offer Drop")),"")</f>
        <v/>
      </c>
      <c r="AZ637" s="80">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0.88111888111888115</v>
      </c>
      <c r="BA637" s="81" t="str">
        <f>IFERROR(IF(COUNTIFS('Candidate Tracker'!$E:$E,'Positions Tracker'!$B637,'Candidate Tracker'!$I:$I,"Female")=0,"",COUNTIFS('Candidate Tracker'!$E:$E,'Positions Tracker'!$B637,'Candidate Tracker'!$I:$I,"Female")),"")</f>
        <v/>
      </c>
      <c r="BB637" s="81" t="str">
        <f>IFERROR(IF(COUNTIFS('Candidate Tracker'!$E:$E,'Positions Tracker'!$B637,'Candidate Tracker'!$I:$I,"male")=0,"",COUNTIFS('Candidate Tracker'!$E:$E,'Positions Tracker'!$B637,'Candidate Tracker'!$I:$I,"male")),"")</f>
        <v/>
      </c>
      <c r="BC637" s="80" t="str">
        <f>IFERROR(IF(COUNTIFS('Candidate Tracker'!$E:$E,'Positions Tracker'!$B637,'Candidate Tracker'!$C:$C,"&lt;&gt;WIP",'Candidate Tracker'!$C:$C,"&lt;&gt;Hold",'Candidate Tracker'!$C:$C,"&lt;&gt;Cancelled",'Candidate Tracker'!$C:$C,"&lt;&gt;Closed")/COUNTIFS('Candidate Tracker'!$E:$E,'Positions Tracker'!$B637)=0,"",COUNTIFS('Candidate Tracker'!$E:$E,'Positions Tracker'!$B637,'Candidate Tracker'!$C:$C,"&lt;&gt;WIP",'Candidate Tracker'!$C:$C,"&lt;&gt;Hold",'Candidate Tracker'!$C:$C,"&lt;&gt;Cancelled",'Candidate Tracker'!$C:$C,"&lt;&gt;Closed")/COUNTIFS('Candidate Tracker'!$E:$E,'Positions Tracker'!$B637)),"")</f>
        <v/>
      </c>
      <c r="BD637" s="67" t="str">
        <f t="shared" si="54"/>
        <v/>
      </c>
      <c r="BE637" s="67" t="str">
        <f t="shared" si="55"/>
        <v/>
      </c>
      <c r="BF637" s="67" t="str">
        <f t="shared" si="56"/>
        <v/>
      </c>
      <c r="BG637" s="67" t="str">
        <f t="shared" si="57"/>
        <v/>
      </c>
    </row>
    <row r="638" spans="1:59">
      <c r="A638" s="55"/>
      <c r="B638" s="56"/>
      <c r="C638" s="56"/>
      <c r="D638" s="56"/>
      <c r="E638" s="56"/>
      <c r="F638" s="56"/>
      <c r="G638" s="56"/>
      <c r="H638" s="56"/>
      <c r="I638" s="6"/>
      <c r="J638" s="6"/>
      <c r="K638" s="57"/>
      <c r="L638" s="57"/>
      <c r="M638" s="57"/>
      <c r="N638" s="56"/>
      <c r="O638" s="56"/>
      <c r="P638" s="56"/>
      <c r="Q638" s="56"/>
      <c r="R638" s="56"/>
      <c r="S638" s="56"/>
      <c r="T638" s="56"/>
      <c r="U638" s="56"/>
      <c r="V638" s="56"/>
      <c r="W638" s="56"/>
      <c r="X638" s="56"/>
      <c r="Y638" s="56"/>
      <c r="Z638" s="56"/>
      <c r="AA638" s="56"/>
      <c r="AB638" s="56"/>
      <c r="AC638" s="56"/>
      <c r="AD638" s="56"/>
      <c r="AE638" s="56"/>
      <c r="AF638" s="56"/>
      <c r="AG638" s="56"/>
      <c r="AH638" s="56"/>
      <c r="AI638" s="58"/>
      <c r="AJ638" s="56"/>
      <c r="AK638" s="56"/>
      <c r="AL638" s="56"/>
      <c r="AM638" s="57"/>
      <c r="AN638" s="57"/>
      <c r="AO638" s="56"/>
      <c r="AP638" s="56"/>
      <c r="AQ638" s="57"/>
      <c r="AR638" s="57"/>
      <c r="AS638" s="57"/>
      <c r="AT638" s="67">
        <f t="shared" ca="1" si="58"/>
        <v>0</v>
      </c>
      <c r="AU638" s="79" t="str">
        <f t="shared" ca="1" si="59"/>
        <v/>
      </c>
      <c r="AV638" s="79" t="str" cm="1">
        <f t="array" aca="1" ref="AV638" ca="1">IFERROR(_xlfn.IFS($AU638="","",$AU638&lt;=15,"0-15",AND($AU638&gt;=16,$AU638&lt;=30),"16-30",AND($AU638&gt;=31,$AU638&lt;=45),"31-45",AND($AU638&gt;=46,$AU638&lt;=60),"46-60",AND($AU638&gt;=61,$AU638&lt;=90),"61-90",AND($AU638&gt;=91),"&gt; 90",AND($AU638&gt;=2000),""),"")</f>
        <v/>
      </c>
      <c r="AW638" s="79" t="str" cm="1">
        <f t="array" aca="1" ref="AW638" ca="1">IFERROR(_xlfn.IFS(OR($M638="",$AM638=""),"",OR($C638="Offered",$C638="Joined"),($AM638-$M638)-$AT638),"")</f>
        <v/>
      </c>
      <c r="AX638" s="79" t="str" cm="1">
        <f t="array" aca="1" ref="AX638" ca="1">IFERROR(_xlfn.IFS(OR($M638="",$AS638=""),"",$C638="Joined",($AS638-$M638)-$AT638),"")</f>
        <v/>
      </c>
      <c r="AY638" s="67" t="str">
        <f>IFERROR(IF(COUNTIFS('Candidate Tracker'!$E:$E,'Positions Tracker'!$B638,'Candidate Tracker'!$C:$C,"Offer Drop")=0,"",COUNTIFS('Candidate Tracker'!$E:$E,'Positions Tracker'!$B638,'Candidate Tracker'!$C:$C,"Offer Drop")),"")</f>
        <v/>
      </c>
      <c r="AZ638" s="80">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0.88111888111888115</v>
      </c>
      <c r="BA638" s="81" t="str">
        <f>IFERROR(IF(COUNTIFS('Candidate Tracker'!$E:$E,'Positions Tracker'!$B638,'Candidate Tracker'!$I:$I,"Female")=0,"",COUNTIFS('Candidate Tracker'!$E:$E,'Positions Tracker'!$B638,'Candidate Tracker'!$I:$I,"Female")),"")</f>
        <v/>
      </c>
      <c r="BB638" s="81" t="str">
        <f>IFERROR(IF(COUNTIFS('Candidate Tracker'!$E:$E,'Positions Tracker'!$B638,'Candidate Tracker'!$I:$I,"male")=0,"",COUNTIFS('Candidate Tracker'!$E:$E,'Positions Tracker'!$B638,'Candidate Tracker'!$I:$I,"male")),"")</f>
        <v/>
      </c>
      <c r="BC638" s="80" t="str">
        <f>IFERROR(IF(COUNTIFS('Candidate Tracker'!$E:$E,'Positions Tracker'!$B638,'Candidate Tracker'!$C:$C,"&lt;&gt;WIP",'Candidate Tracker'!$C:$C,"&lt;&gt;Hold",'Candidate Tracker'!$C:$C,"&lt;&gt;Cancelled",'Candidate Tracker'!$C:$C,"&lt;&gt;Closed")/COUNTIFS('Candidate Tracker'!$E:$E,'Positions Tracker'!$B638)=0,"",COUNTIFS('Candidate Tracker'!$E:$E,'Positions Tracker'!$B638,'Candidate Tracker'!$C:$C,"&lt;&gt;WIP",'Candidate Tracker'!$C:$C,"&lt;&gt;Hold",'Candidate Tracker'!$C:$C,"&lt;&gt;Cancelled",'Candidate Tracker'!$C:$C,"&lt;&gt;Closed")/COUNTIFS('Candidate Tracker'!$E:$E,'Positions Tracker'!$B638)),"")</f>
        <v/>
      </c>
      <c r="BD638" s="67" t="str">
        <f t="shared" si="54"/>
        <v/>
      </c>
      <c r="BE638" s="67" t="str">
        <f t="shared" si="55"/>
        <v/>
      </c>
      <c r="BF638" s="67" t="str">
        <f t="shared" si="56"/>
        <v/>
      </c>
      <c r="BG638" s="67" t="str">
        <f t="shared" si="57"/>
        <v/>
      </c>
    </row>
    <row r="639" spans="1:59">
      <c r="A639" s="55"/>
      <c r="B639" s="56"/>
      <c r="C639" s="56"/>
      <c r="D639" s="56"/>
      <c r="E639" s="56"/>
      <c r="F639" s="56"/>
      <c r="G639" s="56"/>
      <c r="H639" s="56"/>
      <c r="I639" s="6"/>
      <c r="J639" s="6"/>
      <c r="K639" s="57"/>
      <c r="L639" s="57"/>
      <c r="M639" s="57"/>
      <c r="N639" s="56"/>
      <c r="O639" s="56"/>
      <c r="P639" s="56"/>
      <c r="Q639" s="56"/>
      <c r="R639" s="56"/>
      <c r="S639" s="56"/>
      <c r="T639" s="56"/>
      <c r="U639" s="56"/>
      <c r="V639" s="56"/>
      <c r="W639" s="56"/>
      <c r="X639" s="56"/>
      <c r="Y639" s="56"/>
      <c r="Z639" s="56"/>
      <c r="AA639" s="56"/>
      <c r="AB639" s="56"/>
      <c r="AC639" s="56"/>
      <c r="AD639" s="56"/>
      <c r="AE639" s="56"/>
      <c r="AF639" s="56"/>
      <c r="AG639" s="56"/>
      <c r="AH639" s="56"/>
      <c r="AI639" s="58"/>
      <c r="AJ639" s="56"/>
      <c r="AK639" s="56"/>
      <c r="AL639" s="56"/>
      <c r="AM639" s="57"/>
      <c r="AN639" s="57"/>
      <c r="AO639" s="56"/>
      <c r="AP639" s="56"/>
      <c r="AQ639" s="57"/>
      <c r="AR639" s="57"/>
      <c r="AS639" s="57"/>
      <c r="AT639" s="67">
        <f t="shared" ca="1" si="58"/>
        <v>0</v>
      </c>
      <c r="AU639" s="79" t="str">
        <f t="shared" ca="1" si="59"/>
        <v/>
      </c>
      <c r="AV639" s="79" t="str" cm="1">
        <f t="array" aca="1" ref="AV639" ca="1">IFERROR(_xlfn.IFS($AU639="","",$AU639&lt;=15,"0-15",AND($AU639&gt;=16,$AU639&lt;=30),"16-30",AND($AU639&gt;=31,$AU639&lt;=45),"31-45",AND($AU639&gt;=46,$AU639&lt;=60),"46-60",AND($AU639&gt;=61,$AU639&lt;=90),"61-90",AND($AU639&gt;=91),"&gt; 90",AND($AU639&gt;=2000),""),"")</f>
        <v/>
      </c>
      <c r="AW639" s="79" t="str" cm="1">
        <f t="array" aca="1" ref="AW639" ca="1">IFERROR(_xlfn.IFS(OR($M639="",$AM639=""),"",OR($C639="Offered",$C639="Joined"),($AM639-$M639)-$AT639),"")</f>
        <v/>
      </c>
      <c r="AX639" s="79" t="str" cm="1">
        <f t="array" aca="1" ref="AX639" ca="1">IFERROR(_xlfn.IFS(OR($M639="",$AS639=""),"",$C639="Joined",($AS639-$M639)-$AT639),"")</f>
        <v/>
      </c>
      <c r="AY639" s="67" t="str">
        <f>IFERROR(IF(COUNTIFS('Candidate Tracker'!$E:$E,'Positions Tracker'!$B639,'Candidate Tracker'!$C:$C,"Offer Drop")=0,"",COUNTIFS('Candidate Tracker'!$E:$E,'Positions Tracker'!$B639,'Candidate Tracker'!$C:$C,"Offer Drop")),"")</f>
        <v/>
      </c>
      <c r="AZ639" s="80">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0.88111888111888115</v>
      </c>
      <c r="BA639" s="81" t="str">
        <f>IFERROR(IF(COUNTIFS('Candidate Tracker'!$E:$E,'Positions Tracker'!$B639,'Candidate Tracker'!$I:$I,"Female")=0,"",COUNTIFS('Candidate Tracker'!$E:$E,'Positions Tracker'!$B639,'Candidate Tracker'!$I:$I,"Female")),"")</f>
        <v/>
      </c>
      <c r="BB639" s="81" t="str">
        <f>IFERROR(IF(COUNTIFS('Candidate Tracker'!$E:$E,'Positions Tracker'!$B639,'Candidate Tracker'!$I:$I,"male")=0,"",COUNTIFS('Candidate Tracker'!$E:$E,'Positions Tracker'!$B639,'Candidate Tracker'!$I:$I,"male")),"")</f>
        <v/>
      </c>
      <c r="BC639" s="80" t="str">
        <f>IFERROR(IF(COUNTIFS('Candidate Tracker'!$E:$E,'Positions Tracker'!$B639,'Candidate Tracker'!$C:$C,"&lt;&gt;WIP",'Candidate Tracker'!$C:$C,"&lt;&gt;Hold",'Candidate Tracker'!$C:$C,"&lt;&gt;Cancelled",'Candidate Tracker'!$C:$C,"&lt;&gt;Closed")/COUNTIFS('Candidate Tracker'!$E:$E,'Positions Tracker'!$B639)=0,"",COUNTIFS('Candidate Tracker'!$E:$E,'Positions Tracker'!$B639,'Candidate Tracker'!$C:$C,"&lt;&gt;WIP",'Candidate Tracker'!$C:$C,"&lt;&gt;Hold",'Candidate Tracker'!$C:$C,"&lt;&gt;Cancelled",'Candidate Tracker'!$C:$C,"&lt;&gt;Closed")/COUNTIFS('Candidate Tracker'!$E:$E,'Positions Tracker'!$B639)),"")</f>
        <v/>
      </c>
      <c r="BD639" s="67" t="str">
        <f t="shared" si="54"/>
        <v/>
      </c>
      <c r="BE639" s="67" t="str">
        <f t="shared" si="55"/>
        <v/>
      </c>
      <c r="BF639" s="67" t="str">
        <f t="shared" si="56"/>
        <v/>
      </c>
      <c r="BG639" s="67" t="str">
        <f t="shared" si="57"/>
        <v/>
      </c>
    </row>
    <row r="640" spans="1:59">
      <c r="A640" s="55"/>
      <c r="B640" s="56"/>
      <c r="C640" s="56"/>
      <c r="D640" s="56"/>
      <c r="E640" s="56"/>
      <c r="F640" s="56"/>
      <c r="G640" s="56"/>
      <c r="H640" s="56"/>
      <c r="I640" s="6"/>
      <c r="J640" s="6"/>
      <c r="K640" s="57"/>
      <c r="L640" s="57"/>
      <c r="M640" s="57"/>
      <c r="N640" s="56"/>
      <c r="O640" s="56"/>
      <c r="P640" s="56"/>
      <c r="Q640" s="56"/>
      <c r="R640" s="56"/>
      <c r="S640" s="56"/>
      <c r="T640" s="56"/>
      <c r="U640" s="56"/>
      <c r="V640" s="56"/>
      <c r="W640" s="56"/>
      <c r="X640" s="56"/>
      <c r="Y640" s="56"/>
      <c r="Z640" s="56"/>
      <c r="AA640" s="56"/>
      <c r="AB640" s="56"/>
      <c r="AC640" s="56"/>
      <c r="AD640" s="56"/>
      <c r="AE640" s="56"/>
      <c r="AF640" s="56"/>
      <c r="AG640" s="56"/>
      <c r="AH640" s="56"/>
      <c r="AI640" s="58"/>
      <c r="AJ640" s="56"/>
      <c r="AK640" s="56"/>
      <c r="AL640" s="56"/>
      <c r="AM640" s="57"/>
      <c r="AN640" s="57"/>
      <c r="AO640" s="56"/>
      <c r="AP640" s="56"/>
      <c r="AQ640" s="57"/>
      <c r="AR640" s="57"/>
      <c r="AS640" s="57"/>
      <c r="AT640" s="67">
        <f t="shared" ca="1" si="58"/>
        <v>0</v>
      </c>
      <c r="AU640" s="79" t="str">
        <f t="shared" ca="1" si="59"/>
        <v/>
      </c>
      <c r="AV640" s="79" t="str" cm="1">
        <f t="array" aca="1" ref="AV640" ca="1">IFERROR(_xlfn.IFS($AU640="","",$AU640&lt;=15,"0-15",AND($AU640&gt;=16,$AU640&lt;=30),"16-30",AND($AU640&gt;=31,$AU640&lt;=45),"31-45",AND($AU640&gt;=46,$AU640&lt;=60),"46-60",AND($AU640&gt;=61,$AU640&lt;=90),"61-90",AND($AU640&gt;=91),"&gt; 90",AND($AU640&gt;=2000),""),"")</f>
        <v/>
      </c>
      <c r="AW640" s="79" t="str" cm="1">
        <f t="array" aca="1" ref="AW640" ca="1">IFERROR(_xlfn.IFS(OR($M640="",$AM640=""),"",OR($C640="Offered",$C640="Joined"),($AM640-$M640)-$AT640),"")</f>
        <v/>
      </c>
      <c r="AX640" s="79" t="str" cm="1">
        <f t="array" aca="1" ref="AX640" ca="1">IFERROR(_xlfn.IFS(OR($M640="",$AS640=""),"",$C640="Joined",($AS640-$M640)-$AT640),"")</f>
        <v/>
      </c>
      <c r="AY640" s="67" t="str">
        <f>IFERROR(IF(COUNTIFS('Candidate Tracker'!$E:$E,'Positions Tracker'!$B640,'Candidate Tracker'!$C:$C,"Offer Drop")=0,"",COUNTIFS('Candidate Tracker'!$E:$E,'Positions Tracker'!$B640,'Candidate Tracker'!$C:$C,"Offer Drop")),"")</f>
        <v/>
      </c>
      <c r="AZ640" s="80">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0.88111888111888115</v>
      </c>
      <c r="BA640" s="81" t="str">
        <f>IFERROR(IF(COUNTIFS('Candidate Tracker'!$E:$E,'Positions Tracker'!$B640,'Candidate Tracker'!$I:$I,"Female")=0,"",COUNTIFS('Candidate Tracker'!$E:$E,'Positions Tracker'!$B640,'Candidate Tracker'!$I:$I,"Female")),"")</f>
        <v/>
      </c>
      <c r="BB640" s="81" t="str">
        <f>IFERROR(IF(COUNTIFS('Candidate Tracker'!$E:$E,'Positions Tracker'!$B640,'Candidate Tracker'!$I:$I,"male")=0,"",COUNTIFS('Candidate Tracker'!$E:$E,'Positions Tracker'!$B640,'Candidate Tracker'!$I:$I,"male")),"")</f>
        <v/>
      </c>
      <c r="BC640" s="80" t="str">
        <f>IFERROR(IF(COUNTIFS('Candidate Tracker'!$E:$E,'Positions Tracker'!$B640,'Candidate Tracker'!$C:$C,"&lt;&gt;WIP",'Candidate Tracker'!$C:$C,"&lt;&gt;Hold",'Candidate Tracker'!$C:$C,"&lt;&gt;Cancelled",'Candidate Tracker'!$C:$C,"&lt;&gt;Closed")/COUNTIFS('Candidate Tracker'!$E:$E,'Positions Tracker'!$B640)=0,"",COUNTIFS('Candidate Tracker'!$E:$E,'Positions Tracker'!$B640,'Candidate Tracker'!$C:$C,"&lt;&gt;WIP",'Candidate Tracker'!$C:$C,"&lt;&gt;Hold",'Candidate Tracker'!$C:$C,"&lt;&gt;Cancelled",'Candidate Tracker'!$C:$C,"&lt;&gt;Closed")/COUNTIFS('Candidate Tracker'!$E:$E,'Positions Tracker'!$B640)),"")</f>
        <v/>
      </c>
      <c r="BD640" s="67" t="str">
        <f t="shared" si="54"/>
        <v/>
      </c>
      <c r="BE640" s="67" t="str">
        <f t="shared" si="55"/>
        <v/>
      </c>
      <c r="BF640" s="67" t="str">
        <f t="shared" si="56"/>
        <v/>
      </c>
      <c r="BG640" s="67" t="str">
        <f t="shared" si="57"/>
        <v/>
      </c>
    </row>
    <row r="641" spans="1:59">
      <c r="A641" s="55"/>
      <c r="B641" s="56"/>
      <c r="C641" s="56"/>
      <c r="D641" s="56"/>
      <c r="E641" s="56"/>
      <c r="F641" s="56"/>
      <c r="G641" s="56"/>
      <c r="H641" s="56"/>
      <c r="I641" s="6"/>
      <c r="J641" s="6"/>
      <c r="K641" s="57"/>
      <c r="L641" s="57"/>
      <c r="M641" s="57"/>
      <c r="N641" s="56"/>
      <c r="O641" s="56"/>
      <c r="P641" s="56"/>
      <c r="Q641" s="56"/>
      <c r="R641" s="56"/>
      <c r="S641" s="56"/>
      <c r="T641" s="56"/>
      <c r="U641" s="56"/>
      <c r="V641" s="56"/>
      <c r="W641" s="56"/>
      <c r="X641" s="56"/>
      <c r="Y641" s="56"/>
      <c r="Z641" s="56"/>
      <c r="AA641" s="56"/>
      <c r="AB641" s="56"/>
      <c r="AC641" s="56"/>
      <c r="AD641" s="56"/>
      <c r="AE641" s="56"/>
      <c r="AF641" s="56"/>
      <c r="AG641" s="56"/>
      <c r="AH641" s="56"/>
      <c r="AI641" s="58"/>
      <c r="AJ641" s="56"/>
      <c r="AK641" s="56"/>
      <c r="AL641" s="56"/>
      <c r="AM641" s="57"/>
      <c r="AN641" s="57"/>
      <c r="AO641" s="56"/>
      <c r="AP641" s="56"/>
      <c r="AQ641" s="57"/>
      <c r="AR641" s="57"/>
      <c r="AS641" s="57"/>
      <c r="AT641" s="67">
        <f t="shared" ca="1" si="58"/>
        <v>0</v>
      </c>
      <c r="AU641" s="79" t="str">
        <f t="shared" ca="1" si="59"/>
        <v/>
      </c>
      <c r="AV641" s="79" t="str" cm="1">
        <f t="array" aca="1" ref="AV641" ca="1">IFERROR(_xlfn.IFS($AU641="","",$AU641&lt;=15,"0-15",AND($AU641&gt;=16,$AU641&lt;=30),"16-30",AND($AU641&gt;=31,$AU641&lt;=45),"31-45",AND($AU641&gt;=46,$AU641&lt;=60),"46-60",AND($AU641&gt;=61,$AU641&lt;=90),"61-90",AND($AU641&gt;=91),"&gt; 90",AND($AU641&gt;=2000),""),"")</f>
        <v/>
      </c>
      <c r="AW641" s="79" t="str" cm="1">
        <f t="array" aca="1" ref="AW641" ca="1">IFERROR(_xlfn.IFS(OR($M641="",$AM641=""),"",OR($C641="Offered",$C641="Joined"),($AM641-$M641)-$AT641),"")</f>
        <v/>
      </c>
      <c r="AX641" s="79" t="str" cm="1">
        <f t="array" aca="1" ref="AX641" ca="1">IFERROR(_xlfn.IFS(OR($M641="",$AS641=""),"",$C641="Joined",($AS641-$M641)-$AT641),"")</f>
        <v/>
      </c>
      <c r="AY641" s="67" t="str">
        <f>IFERROR(IF(COUNTIFS('Candidate Tracker'!$E:$E,'Positions Tracker'!$B641,'Candidate Tracker'!$C:$C,"Offer Drop")=0,"",COUNTIFS('Candidate Tracker'!$E:$E,'Positions Tracker'!$B641,'Candidate Tracker'!$C:$C,"Offer Drop")),"")</f>
        <v/>
      </c>
      <c r="AZ641" s="80">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0.88111888111888115</v>
      </c>
      <c r="BA641" s="81" t="str">
        <f>IFERROR(IF(COUNTIFS('Candidate Tracker'!$E:$E,'Positions Tracker'!$B641,'Candidate Tracker'!$I:$I,"Female")=0,"",COUNTIFS('Candidate Tracker'!$E:$E,'Positions Tracker'!$B641,'Candidate Tracker'!$I:$I,"Female")),"")</f>
        <v/>
      </c>
      <c r="BB641" s="81" t="str">
        <f>IFERROR(IF(COUNTIFS('Candidate Tracker'!$E:$E,'Positions Tracker'!$B641,'Candidate Tracker'!$I:$I,"male")=0,"",COUNTIFS('Candidate Tracker'!$E:$E,'Positions Tracker'!$B641,'Candidate Tracker'!$I:$I,"male")),"")</f>
        <v/>
      </c>
      <c r="BC641" s="80" t="str">
        <f>IFERROR(IF(COUNTIFS('Candidate Tracker'!$E:$E,'Positions Tracker'!$B641,'Candidate Tracker'!$C:$C,"&lt;&gt;WIP",'Candidate Tracker'!$C:$C,"&lt;&gt;Hold",'Candidate Tracker'!$C:$C,"&lt;&gt;Cancelled",'Candidate Tracker'!$C:$C,"&lt;&gt;Closed")/COUNTIFS('Candidate Tracker'!$E:$E,'Positions Tracker'!$B641)=0,"",COUNTIFS('Candidate Tracker'!$E:$E,'Positions Tracker'!$B641,'Candidate Tracker'!$C:$C,"&lt;&gt;WIP",'Candidate Tracker'!$C:$C,"&lt;&gt;Hold",'Candidate Tracker'!$C:$C,"&lt;&gt;Cancelled",'Candidate Tracker'!$C:$C,"&lt;&gt;Closed")/COUNTIFS('Candidate Tracker'!$E:$E,'Positions Tracker'!$B641)),"")</f>
        <v/>
      </c>
      <c r="BD641" s="67" t="str">
        <f t="shared" ref="BD641:BD704" si="60">IFERROR(IF($M641="","",TEXT($M641,"MMM-YY")),"")</f>
        <v/>
      </c>
      <c r="BE641" s="67" t="str">
        <f t="shared" ref="BE641:BE704" si="61">IFERROR(IF($AI641="","",TEXT($AI641,"MMM-YY")),"")</f>
        <v/>
      </c>
      <c r="BF641" s="67" t="str">
        <f t="shared" ref="BF641:BF704" si="62">IFERROR(IF($AM641="","",TEXT($AM641,"MMM-YY")),"")</f>
        <v/>
      </c>
      <c r="BG641" s="67" t="str">
        <f t="shared" ref="BG641:BG704" si="63">IFERROR(IF($AS641="","",TEXT($AS641,"MMM-YY")),"")</f>
        <v/>
      </c>
    </row>
    <row r="642" spans="1:59">
      <c r="A642" s="55"/>
      <c r="B642" s="56"/>
      <c r="C642" s="56"/>
      <c r="D642" s="56"/>
      <c r="E642" s="56"/>
      <c r="F642" s="56"/>
      <c r="G642" s="56"/>
      <c r="H642" s="56"/>
      <c r="I642" s="6"/>
      <c r="J642" s="6"/>
      <c r="K642" s="57"/>
      <c r="L642" s="57"/>
      <c r="M642" s="57"/>
      <c r="N642" s="56"/>
      <c r="O642" s="56"/>
      <c r="P642" s="56"/>
      <c r="Q642" s="56"/>
      <c r="R642" s="56"/>
      <c r="S642" s="56"/>
      <c r="T642" s="56"/>
      <c r="U642" s="56"/>
      <c r="V642" s="56"/>
      <c r="W642" s="56"/>
      <c r="X642" s="56"/>
      <c r="Y642" s="56"/>
      <c r="Z642" s="56"/>
      <c r="AA642" s="56"/>
      <c r="AB642" s="56"/>
      <c r="AC642" s="56"/>
      <c r="AD642" s="56"/>
      <c r="AE642" s="56"/>
      <c r="AF642" s="56"/>
      <c r="AG642" s="56"/>
      <c r="AH642" s="56"/>
      <c r="AI642" s="58"/>
      <c r="AJ642" s="56"/>
      <c r="AK642" s="56"/>
      <c r="AL642" s="56"/>
      <c r="AM642" s="57"/>
      <c r="AN642" s="57"/>
      <c r="AO642" s="56"/>
      <c r="AP642" s="56"/>
      <c r="AQ642" s="57"/>
      <c r="AR642" s="57"/>
      <c r="AS642" s="57"/>
      <c r="AT642" s="67">
        <f t="shared" ref="AT642:AT705" ca="1" si="64">IFERROR(SUM(IF(AND(ISBLANK(T642),ISBLANK(Q642)),0,IF(T642="",TODAY()-Q642,T642-Q642))+IF(AND(ISBLANK(S642),ISBLANK(P642)),0,IF(S642="",TODAY()-P642,S642-P642))+IF(AND(ISBLANK(O642),ISBLANK(R642)),0,IF(R642="",TODAY()-O642,R642-O642))),"")</f>
        <v>0</v>
      </c>
      <c r="AU642" s="79" t="str">
        <f t="shared" ref="AU642:AU705" ca="1" si="65">IFERROR(IF(($M642=""),"",IF(OR(,$C642="Offer in Progress",$C642="WIP",$C642="WIP/Drop",$C642="WIP/New",$C642="WIP/Hold"),(TODAY()-$M642)-$AT642,"")),"")</f>
        <v/>
      </c>
      <c r="AV642" s="79" t="str" cm="1">
        <f t="array" aca="1" ref="AV642" ca="1">IFERROR(_xlfn.IFS($AU642="","",$AU642&lt;=15,"0-15",AND($AU642&gt;=16,$AU642&lt;=30),"16-30",AND($AU642&gt;=31,$AU642&lt;=45),"31-45",AND($AU642&gt;=46,$AU642&lt;=60),"46-60",AND($AU642&gt;=61,$AU642&lt;=90),"61-90",AND($AU642&gt;=91),"&gt; 90",AND($AU642&gt;=2000),""),"")</f>
        <v/>
      </c>
      <c r="AW642" s="79" t="str" cm="1">
        <f t="array" aca="1" ref="AW642" ca="1">IFERROR(_xlfn.IFS(OR($M642="",$AM642=""),"",OR($C642="Offered",$C642="Joined"),($AM642-$M642)-$AT642),"")</f>
        <v/>
      </c>
      <c r="AX642" s="79" t="str" cm="1">
        <f t="array" aca="1" ref="AX642" ca="1">IFERROR(_xlfn.IFS(OR($M642="",$AS642=""),"",$C642="Joined",($AS642-$M642)-$AT642),"")</f>
        <v/>
      </c>
      <c r="AY642" s="67" t="str">
        <f>IFERROR(IF(COUNTIFS('Candidate Tracker'!$E:$E,'Positions Tracker'!$B642,'Candidate Tracker'!$C:$C,"Offer Drop")=0,"",COUNTIFS('Candidate Tracker'!$E:$E,'Positions Tracker'!$B642,'Candidate Tracker'!$C:$C,"Offer Drop")),"")</f>
        <v/>
      </c>
      <c r="AZ642" s="80">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0.88111888111888115</v>
      </c>
      <c r="BA642" s="81" t="str">
        <f>IFERROR(IF(COUNTIFS('Candidate Tracker'!$E:$E,'Positions Tracker'!$B642,'Candidate Tracker'!$I:$I,"Female")=0,"",COUNTIFS('Candidate Tracker'!$E:$E,'Positions Tracker'!$B642,'Candidate Tracker'!$I:$I,"Female")),"")</f>
        <v/>
      </c>
      <c r="BB642" s="81" t="str">
        <f>IFERROR(IF(COUNTIFS('Candidate Tracker'!$E:$E,'Positions Tracker'!$B642,'Candidate Tracker'!$I:$I,"male")=0,"",COUNTIFS('Candidate Tracker'!$E:$E,'Positions Tracker'!$B642,'Candidate Tracker'!$I:$I,"male")),"")</f>
        <v/>
      </c>
      <c r="BC642" s="80" t="str">
        <f>IFERROR(IF(COUNTIFS('Candidate Tracker'!$E:$E,'Positions Tracker'!$B642,'Candidate Tracker'!$C:$C,"&lt;&gt;WIP",'Candidate Tracker'!$C:$C,"&lt;&gt;Hold",'Candidate Tracker'!$C:$C,"&lt;&gt;Cancelled",'Candidate Tracker'!$C:$C,"&lt;&gt;Closed")/COUNTIFS('Candidate Tracker'!$E:$E,'Positions Tracker'!$B642)=0,"",COUNTIFS('Candidate Tracker'!$E:$E,'Positions Tracker'!$B642,'Candidate Tracker'!$C:$C,"&lt;&gt;WIP",'Candidate Tracker'!$C:$C,"&lt;&gt;Hold",'Candidate Tracker'!$C:$C,"&lt;&gt;Cancelled",'Candidate Tracker'!$C:$C,"&lt;&gt;Closed")/COUNTIFS('Candidate Tracker'!$E:$E,'Positions Tracker'!$B642)),"")</f>
        <v/>
      </c>
      <c r="BD642" s="67" t="str">
        <f t="shared" si="60"/>
        <v/>
      </c>
      <c r="BE642" s="67" t="str">
        <f t="shared" si="61"/>
        <v/>
      </c>
      <c r="BF642" s="67" t="str">
        <f t="shared" si="62"/>
        <v/>
      </c>
      <c r="BG642" s="67" t="str">
        <f t="shared" si="63"/>
        <v/>
      </c>
    </row>
    <row r="643" spans="1:59">
      <c r="A643" s="55"/>
      <c r="B643" s="56"/>
      <c r="C643" s="56"/>
      <c r="D643" s="56"/>
      <c r="E643" s="56"/>
      <c r="F643" s="56"/>
      <c r="G643" s="56"/>
      <c r="H643" s="56"/>
      <c r="I643" s="6"/>
      <c r="J643" s="6"/>
      <c r="K643" s="57"/>
      <c r="L643" s="57"/>
      <c r="M643" s="57"/>
      <c r="N643" s="56"/>
      <c r="O643" s="56"/>
      <c r="P643" s="56"/>
      <c r="Q643" s="56"/>
      <c r="R643" s="56"/>
      <c r="S643" s="56"/>
      <c r="T643" s="56"/>
      <c r="U643" s="56"/>
      <c r="V643" s="56"/>
      <c r="W643" s="56"/>
      <c r="X643" s="56"/>
      <c r="Y643" s="56"/>
      <c r="Z643" s="56"/>
      <c r="AA643" s="56"/>
      <c r="AB643" s="56"/>
      <c r="AC643" s="56"/>
      <c r="AD643" s="56"/>
      <c r="AE643" s="56"/>
      <c r="AF643" s="56"/>
      <c r="AG643" s="56"/>
      <c r="AH643" s="56"/>
      <c r="AI643" s="58"/>
      <c r="AJ643" s="56"/>
      <c r="AK643" s="56"/>
      <c r="AL643" s="56"/>
      <c r="AM643" s="57"/>
      <c r="AN643" s="57"/>
      <c r="AO643" s="56"/>
      <c r="AP643" s="56"/>
      <c r="AQ643" s="57"/>
      <c r="AR643" s="57"/>
      <c r="AS643" s="57"/>
      <c r="AT643" s="67">
        <f t="shared" ca="1" si="64"/>
        <v>0</v>
      </c>
      <c r="AU643" s="79" t="str">
        <f t="shared" ca="1" si="65"/>
        <v/>
      </c>
      <c r="AV643" s="79" t="str" cm="1">
        <f t="array" aca="1" ref="AV643" ca="1">IFERROR(_xlfn.IFS($AU643="","",$AU643&lt;=15,"0-15",AND($AU643&gt;=16,$AU643&lt;=30),"16-30",AND($AU643&gt;=31,$AU643&lt;=45),"31-45",AND($AU643&gt;=46,$AU643&lt;=60),"46-60",AND($AU643&gt;=61,$AU643&lt;=90),"61-90",AND($AU643&gt;=91),"&gt; 90",AND($AU643&gt;=2000),""),"")</f>
        <v/>
      </c>
      <c r="AW643" s="79" t="str" cm="1">
        <f t="array" aca="1" ref="AW643" ca="1">IFERROR(_xlfn.IFS(OR($M643="",$AM643=""),"",OR($C643="Offered",$C643="Joined"),($AM643-$M643)-$AT643),"")</f>
        <v/>
      </c>
      <c r="AX643" s="79" t="str" cm="1">
        <f t="array" aca="1" ref="AX643" ca="1">IFERROR(_xlfn.IFS(OR($M643="",$AS643=""),"",$C643="Joined",($AS643-$M643)-$AT643),"")</f>
        <v/>
      </c>
      <c r="AY643" s="67" t="str">
        <f>IFERROR(IF(COUNTIFS('Candidate Tracker'!$E:$E,'Positions Tracker'!$B643,'Candidate Tracker'!$C:$C,"Offer Drop")=0,"",COUNTIFS('Candidate Tracker'!$E:$E,'Positions Tracker'!$B643,'Candidate Tracker'!$C:$C,"Offer Drop")),"")</f>
        <v/>
      </c>
      <c r="AZ643" s="80">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0.88111888111888115</v>
      </c>
      <c r="BA643" s="81" t="str">
        <f>IFERROR(IF(COUNTIFS('Candidate Tracker'!$E:$E,'Positions Tracker'!$B643,'Candidate Tracker'!$I:$I,"Female")=0,"",COUNTIFS('Candidate Tracker'!$E:$E,'Positions Tracker'!$B643,'Candidate Tracker'!$I:$I,"Female")),"")</f>
        <v/>
      </c>
      <c r="BB643" s="81" t="str">
        <f>IFERROR(IF(COUNTIFS('Candidate Tracker'!$E:$E,'Positions Tracker'!$B643,'Candidate Tracker'!$I:$I,"male")=0,"",COUNTIFS('Candidate Tracker'!$E:$E,'Positions Tracker'!$B643,'Candidate Tracker'!$I:$I,"male")),"")</f>
        <v/>
      </c>
      <c r="BC643" s="80" t="str">
        <f>IFERROR(IF(COUNTIFS('Candidate Tracker'!$E:$E,'Positions Tracker'!$B643,'Candidate Tracker'!$C:$C,"&lt;&gt;WIP",'Candidate Tracker'!$C:$C,"&lt;&gt;Hold",'Candidate Tracker'!$C:$C,"&lt;&gt;Cancelled",'Candidate Tracker'!$C:$C,"&lt;&gt;Closed")/COUNTIFS('Candidate Tracker'!$E:$E,'Positions Tracker'!$B643)=0,"",COUNTIFS('Candidate Tracker'!$E:$E,'Positions Tracker'!$B643,'Candidate Tracker'!$C:$C,"&lt;&gt;WIP",'Candidate Tracker'!$C:$C,"&lt;&gt;Hold",'Candidate Tracker'!$C:$C,"&lt;&gt;Cancelled",'Candidate Tracker'!$C:$C,"&lt;&gt;Closed")/COUNTIFS('Candidate Tracker'!$E:$E,'Positions Tracker'!$B643)),"")</f>
        <v/>
      </c>
      <c r="BD643" s="67" t="str">
        <f t="shared" si="60"/>
        <v/>
      </c>
      <c r="BE643" s="67" t="str">
        <f t="shared" si="61"/>
        <v/>
      </c>
      <c r="BF643" s="67" t="str">
        <f t="shared" si="62"/>
        <v/>
      </c>
      <c r="BG643" s="67" t="str">
        <f t="shared" si="63"/>
        <v/>
      </c>
    </row>
    <row r="644" spans="1:59">
      <c r="A644" s="55"/>
      <c r="B644" s="56"/>
      <c r="C644" s="56"/>
      <c r="D644" s="56"/>
      <c r="E644" s="56"/>
      <c r="F644" s="56"/>
      <c r="G644" s="56"/>
      <c r="H644" s="56"/>
      <c r="I644" s="6"/>
      <c r="J644" s="6"/>
      <c r="K644" s="57"/>
      <c r="L644" s="57"/>
      <c r="M644" s="57"/>
      <c r="N644" s="56"/>
      <c r="O644" s="56"/>
      <c r="P644" s="56"/>
      <c r="Q644" s="56"/>
      <c r="R644" s="56"/>
      <c r="S644" s="56"/>
      <c r="T644" s="56"/>
      <c r="U644" s="56"/>
      <c r="V644" s="56"/>
      <c r="W644" s="56"/>
      <c r="X644" s="56"/>
      <c r="Y644" s="56"/>
      <c r="Z644" s="56"/>
      <c r="AA644" s="56"/>
      <c r="AB644" s="56"/>
      <c r="AC644" s="56"/>
      <c r="AD644" s="56"/>
      <c r="AE644" s="56"/>
      <c r="AF644" s="56"/>
      <c r="AG644" s="56"/>
      <c r="AH644" s="56"/>
      <c r="AI644" s="58"/>
      <c r="AJ644" s="56"/>
      <c r="AK644" s="56"/>
      <c r="AL644" s="56"/>
      <c r="AM644" s="57"/>
      <c r="AN644" s="57"/>
      <c r="AO644" s="56"/>
      <c r="AP644" s="56"/>
      <c r="AQ644" s="57"/>
      <c r="AR644" s="57"/>
      <c r="AS644" s="57"/>
      <c r="AT644" s="67">
        <f t="shared" ca="1" si="64"/>
        <v>0</v>
      </c>
      <c r="AU644" s="79" t="str">
        <f t="shared" ca="1" si="65"/>
        <v/>
      </c>
      <c r="AV644" s="79" t="str" cm="1">
        <f t="array" aca="1" ref="AV644" ca="1">IFERROR(_xlfn.IFS($AU644="","",$AU644&lt;=15,"0-15",AND($AU644&gt;=16,$AU644&lt;=30),"16-30",AND($AU644&gt;=31,$AU644&lt;=45),"31-45",AND($AU644&gt;=46,$AU644&lt;=60),"46-60",AND($AU644&gt;=61,$AU644&lt;=90),"61-90",AND($AU644&gt;=91),"&gt; 90",AND($AU644&gt;=2000),""),"")</f>
        <v/>
      </c>
      <c r="AW644" s="79" t="str" cm="1">
        <f t="array" aca="1" ref="AW644" ca="1">IFERROR(_xlfn.IFS(OR($M644="",$AM644=""),"",OR($C644="Offered",$C644="Joined"),($AM644-$M644)-$AT644),"")</f>
        <v/>
      </c>
      <c r="AX644" s="79" t="str" cm="1">
        <f t="array" aca="1" ref="AX644" ca="1">IFERROR(_xlfn.IFS(OR($M644="",$AS644=""),"",$C644="Joined",($AS644-$M644)-$AT644),"")</f>
        <v/>
      </c>
      <c r="AY644" s="67" t="str">
        <f>IFERROR(IF(COUNTIFS('Candidate Tracker'!$E:$E,'Positions Tracker'!$B644,'Candidate Tracker'!$C:$C,"Offer Drop")=0,"",COUNTIFS('Candidate Tracker'!$E:$E,'Positions Tracker'!$B644,'Candidate Tracker'!$C:$C,"Offer Drop")),"")</f>
        <v/>
      </c>
      <c r="AZ644" s="80">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0.88111888111888115</v>
      </c>
      <c r="BA644" s="81" t="str">
        <f>IFERROR(IF(COUNTIFS('Candidate Tracker'!$E:$E,'Positions Tracker'!$B644,'Candidate Tracker'!$I:$I,"Female")=0,"",COUNTIFS('Candidate Tracker'!$E:$E,'Positions Tracker'!$B644,'Candidate Tracker'!$I:$I,"Female")),"")</f>
        <v/>
      </c>
      <c r="BB644" s="81" t="str">
        <f>IFERROR(IF(COUNTIFS('Candidate Tracker'!$E:$E,'Positions Tracker'!$B644,'Candidate Tracker'!$I:$I,"male")=0,"",COUNTIFS('Candidate Tracker'!$E:$E,'Positions Tracker'!$B644,'Candidate Tracker'!$I:$I,"male")),"")</f>
        <v/>
      </c>
      <c r="BC644" s="80" t="str">
        <f>IFERROR(IF(COUNTIFS('Candidate Tracker'!$E:$E,'Positions Tracker'!$B644,'Candidate Tracker'!$C:$C,"&lt;&gt;WIP",'Candidate Tracker'!$C:$C,"&lt;&gt;Hold",'Candidate Tracker'!$C:$C,"&lt;&gt;Cancelled",'Candidate Tracker'!$C:$C,"&lt;&gt;Closed")/COUNTIFS('Candidate Tracker'!$E:$E,'Positions Tracker'!$B644)=0,"",COUNTIFS('Candidate Tracker'!$E:$E,'Positions Tracker'!$B644,'Candidate Tracker'!$C:$C,"&lt;&gt;WIP",'Candidate Tracker'!$C:$C,"&lt;&gt;Hold",'Candidate Tracker'!$C:$C,"&lt;&gt;Cancelled",'Candidate Tracker'!$C:$C,"&lt;&gt;Closed")/COUNTIFS('Candidate Tracker'!$E:$E,'Positions Tracker'!$B644)),"")</f>
        <v/>
      </c>
      <c r="BD644" s="67" t="str">
        <f t="shared" si="60"/>
        <v/>
      </c>
      <c r="BE644" s="67" t="str">
        <f t="shared" si="61"/>
        <v/>
      </c>
      <c r="BF644" s="67" t="str">
        <f t="shared" si="62"/>
        <v/>
      </c>
      <c r="BG644" s="67" t="str">
        <f t="shared" si="63"/>
        <v/>
      </c>
    </row>
    <row r="645" spans="1:59">
      <c r="A645" s="55"/>
      <c r="B645" s="56"/>
      <c r="C645" s="56"/>
      <c r="D645" s="56"/>
      <c r="E645" s="56"/>
      <c r="F645" s="56"/>
      <c r="G645" s="56"/>
      <c r="H645" s="56"/>
      <c r="I645" s="6"/>
      <c r="J645" s="6"/>
      <c r="K645" s="57"/>
      <c r="L645" s="57"/>
      <c r="M645" s="57"/>
      <c r="N645" s="56"/>
      <c r="O645" s="56"/>
      <c r="P645" s="56"/>
      <c r="Q645" s="56"/>
      <c r="R645" s="56"/>
      <c r="S645" s="56"/>
      <c r="T645" s="56"/>
      <c r="U645" s="56"/>
      <c r="V645" s="56"/>
      <c r="W645" s="56"/>
      <c r="X645" s="56"/>
      <c r="Y645" s="56"/>
      <c r="Z645" s="56"/>
      <c r="AA645" s="56"/>
      <c r="AB645" s="56"/>
      <c r="AC645" s="56"/>
      <c r="AD645" s="56"/>
      <c r="AE645" s="56"/>
      <c r="AF645" s="56"/>
      <c r="AG645" s="56"/>
      <c r="AH645" s="56"/>
      <c r="AI645" s="58"/>
      <c r="AJ645" s="56"/>
      <c r="AK645" s="56"/>
      <c r="AL645" s="56"/>
      <c r="AM645" s="57"/>
      <c r="AN645" s="57"/>
      <c r="AO645" s="56"/>
      <c r="AP645" s="56"/>
      <c r="AQ645" s="57"/>
      <c r="AR645" s="57"/>
      <c r="AS645" s="57"/>
      <c r="AT645" s="67">
        <f t="shared" ca="1" si="64"/>
        <v>0</v>
      </c>
      <c r="AU645" s="79" t="str">
        <f t="shared" ca="1" si="65"/>
        <v/>
      </c>
      <c r="AV645" s="79" t="str" cm="1">
        <f t="array" aca="1" ref="AV645" ca="1">IFERROR(_xlfn.IFS($AU645="","",$AU645&lt;=15,"0-15",AND($AU645&gt;=16,$AU645&lt;=30),"16-30",AND($AU645&gt;=31,$AU645&lt;=45),"31-45",AND($AU645&gt;=46,$AU645&lt;=60),"46-60",AND($AU645&gt;=61,$AU645&lt;=90),"61-90",AND($AU645&gt;=91),"&gt; 90",AND($AU645&gt;=2000),""),"")</f>
        <v/>
      </c>
      <c r="AW645" s="79" t="str" cm="1">
        <f t="array" aca="1" ref="AW645" ca="1">IFERROR(_xlfn.IFS(OR($M645="",$AM645=""),"",OR($C645="Offered",$C645="Joined"),($AM645-$M645)-$AT645),"")</f>
        <v/>
      </c>
      <c r="AX645" s="79" t="str" cm="1">
        <f t="array" aca="1" ref="AX645" ca="1">IFERROR(_xlfn.IFS(OR($M645="",$AS645=""),"",$C645="Joined",($AS645-$M645)-$AT645),"")</f>
        <v/>
      </c>
      <c r="AY645" s="67" t="str">
        <f>IFERROR(IF(COUNTIFS('Candidate Tracker'!$E:$E,'Positions Tracker'!$B645,'Candidate Tracker'!$C:$C,"Offer Drop")=0,"",COUNTIFS('Candidate Tracker'!$E:$E,'Positions Tracker'!$B645,'Candidate Tracker'!$C:$C,"Offer Drop")),"")</f>
        <v/>
      </c>
      <c r="AZ645" s="80">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0.88111888111888115</v>
      </c>
      <c r="BA645" s="81" t="str">
        <f>IFERROR(IF(COUNTIFS('Candidate Tracker'!$E:$E,'Positions Tracker'!$B645,'Candidate Tracker'!$I:$I,"Female")=0,"",COUNTIFS('Candidate Tracker'!$E:$E,'Positions Tracker'!$B645,'Candidate Tracker'!$I:$I,"Female")),"")</f>
        <v/>
      </c>
      <c r="BB645" s="81" t="str">
        <f>IFERROR(IF(COUNTIFS('Candidate Tracker'!$E:$E,'Positions Tracker'!$B645,'Candidate Tracker'!$I:$I,"male")=0,"",COUNTIFS('Candidate Tracker'!$E:$E,'Positions Tracker'!$B645,'Candidate Tracker'!$I:$I,"male")),"")</f>
        <v/>
      </c>
      <c r="BC645" s="80" t="str">
        <f>IFERROR(IF(COUNTIFS('Candidate Tracker'!$E:$E,'Positions Tracker'!$B645,'Candidate Tracker'!$C:$C,"&lt;&gt;WIP",'Candidate Tracker'!$C:$C,"&lt;&gt;Hold",'Candidate Tracker'!$C:$C,"&lt;&gt;Cancelled",'Candidate Tracker'!$C:$C,"&lt;&gt;Closed")/COUNTIFS('Candidate Tracker'!$E:$E,'Positions Tracker'!$B645)=0,"",COUNTIFS('Candidate Tracker'!$E:$E,'Positions Tracker'!$B645,'Candidate Tracker'!$C:$C,"&lt;&gt;WIP",'Candidate Tracker'!$C:$C,"&lt;&gt;Hold",'Candidate Tracker'!$C:$C,"&lt;&gt;Cancelled",'Candidate Tracker'!$C:$C,"&lt;&gt;Closed")/COUNTIFS('Candidate Tracker'!$E:$E,'Positions Tracker'!$B645)),"")</f>
        <v/>
      </c>
      <c r="BD645" s="67" t="str">
        <f t="shared" si="60"/>
        <v/>
      </c>
      <c r="BE645" s="67" t="str">
        <f t="shared" si="61"/>
        <v/>
      </c>
      <c r="BF645" s="67" t="str">
        <f t="shared" si="62"/>
        <v/>
      </c>
      <c r="BG645" s="67" t="str">
        <f t="shared" si="63"/>
        <v/>
      </c>
    </row>
    <row r="646" spans="1:59">
      <c r="A646" s="55"/>
      <c r="B646" s="56"/>
      <c r="C646" s="56"/>
      <c r="D646" s="56"/>
      <c r="E646" s="56"/>
      <c r="F646" s="56"/>
      <c r="G646" s="56"/>
      <c r="H646" s="56"/>
      <c r="I646" s="6"/>
      <c r="J646" s="6"/>
      <c r="K646" s="57"/>
      <c r="L646" s="57"/>
      <c r="M646" s="57"/>
      <c r="N646" s="56"/>
      <c r="O646" s="56"/>
      <c r="P646" s="56"/>
      <c r="Q646" s="56"/>
      <c r="R646" s="56"/>
      <c r="S646" s="56"/>
      <c r="T646" s="56"/>
      <c r="U646" s="56"/>
      <c r="V646" s="56"/>
      <c r="W646" s="56"/>
      <c r="X646" s="56"/>
      <c r="Y646" s="56"/>
      <c r="Z646" s="56"/>
      <c r="AA646" s="56"/>
      <c r="AB646" s="56"/>
      <c r="AC646" s="56"/>
      <c r="AD646" s="56"/>
      <c r="AE646" s="56"/>
      <c r="AF646" s="56"/>
      <c r="AG646" s="56"/>
      <c r="AH646" s="56"/>
      <c r="AI646" s="58"/>
      <c r="AJ646" s="56"/>
      <c r="AK646" s="56"/>
      <c r="AL646" s="56"/>
      <c r="AM646" s="57"/>
      <c r="AN646" s="57"/>
      <c r="AO646" s="56"/>
      <c r="AP646" s="56"/>
      <c r="AQ646" s="57"/>
      <c r="AR646" s="57"/>
      <c r="AS646" s="57"/>
      <c r="AT646" s="67">
        <f t="shared" ca="1" si="64"/>
        <v>0</v>
      </c>
      <c r="AU646" s="79" t="str">
        <f t="shared" ca="1" si="65"/>
        <v/>
      </c>
      <c r="AV646" s="79" t="str" cm="1">
        <f t="array" aca="1" ref="AV646" ca="1">IFERROR(_xlfn.IFS($AU646="","",$AU646&lt;=15,"0-15",AND($AU646&gt;=16,$AU646&lt;=30),"16-30",AND($AU646&gt;=31,$AU646&lt;=45),"31-45",AND($AU646&gt;=46,$AU646&lt;=60),"46-60",AND($AU646&gt;=61,$AU646&lt;=90),"61-90",AND($AU646&gt;=91),"&gt; 90",AND($AU646&gt;=2000),""),"")</f>
        <v/>
      </c>
      <c r="AW646" s="79" t="str" cm="1">
        <f t="array" aca="1" ref="AW646" ca="1">IFERROR(_xlfn.IFS(OR($M646="",$AM646=""),"",OR($C646="Offered",$C646="Joined"),($AM646-$M646)-$AT646),"")</f>
        <v/>
      </c>
      <c r="AX646" s="79" t="str" cm="1">
        <f t="array" aca="1" ref="AX646" ca="1">IFERROR(_xlfn.IFS(OR($M646="",$AS646=""),"",$C646="Joined",($AS646-$M646)-$AT646),"")</f>
        <v/>
      </c>
      <c r="AY646" s="67" t="str">
        <f>IFERROR(IF(COUNTIFS('Candidate Tracker'!$E:$E,'Positions Tracker'!$B646,'Candidate Tracker'!$C:$C,"Offer Drop")=0,"",COUNTIFS('Candidate Tracker'!$E:$E,'Positions Tracker'!$B646,'Candidate Tracker'!$C:$C,"Offer Drop")),"")</f>
        <v/>
      </c>
      <c r="AZ646" s="80">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0.88111888111888115</v>
      </c>
      <c r="BA646" s="81" t="str">
        <f>IFERROR(IF(COUNTIFS('Candidate Tracker'!$E:$E,'Positions Tracker'!$B646,'Candidate Tracker'!$I:$I,"Female")=0,"",COUNTIFS('Candidate Tracker'!$E:$E,'Positions Tracker'!$B646,'Candidate Tracker'!$I:$I,"Female")),"")</f>
        <v/>
      </c>
      <c r="BB646" s="81" t="str">
        <f>IFERROR(IF(COUNTIFS('Candidate Tracker'!$E:$E,'Positions Tracker'!$B646,'Candidate Tracker'!$I:$I,"male")=0,"",COUNTIFS('Candidate Tracker'!$E:$E,'Positions Tracker'!$B646,'Candidate Tracker'!$I:$I,"male")),"")</f>
        <v/>
      </c>
      <c r="BC646" s="80" t="str">
        <f>IFERROR(IF(COUNTIFS('Candidate Tracker'!$E:$E,'Positions Tracker'!$B646,'Candidate Tracker'!$C:$C,"&lt;&gt;WIP",'Candidate Tracker'!$C:$C,"&lt;&gt;Hold",'Candidate Tracker'!$C:$C,"&lt;&gt;Cancelled",'Candidate Tracker'!$C:$C,"&lt;&gt;Closed")/COUNTIFS('Candidate Tracker'!$E:$E,'Positions Tracker'!$B646)=0,"",COUNTIFS('Candidate Tracker'!$E:$E,'Positions Tracker'!$B646,'Candidate Tracker'!$C:$C,"&lt;&gt;WIP",'Candidate Tracker'!$C:$C,"&lt;&gt;Hold",'Candidate Tracker'!$C:$C,"&lt;&gt;Cancelled",'Candidate Tracker'!$C:$C,"&lt;&gt;Closed")/COUNTIFS('Candidate Tracker'!$E:$E,'Positions Tracker'!$B646)),"")</f>
        <v/>
      </c>
      <c r="BD646" s="67" t="str">
        <f t="shared" si="60"/>
        <v/>
      </c>
      <c r="BE646" s="67" t="str">
        <f t="shared" si="61"/>
        <v/>
      </c>
      <c r="BF646" s="67" t="str">
        <f t="shared" si="62"/>
        <v/>
      </c>
      <c r="BG646" s="67" t="str">
        <f t="shared" si="63"/>
        <v/>
      </c>
    </row>
    <row r="647" spans="1:59">
      <c r="A647" s="55"/>
      <c r="B647" s="56"/>
      <c r="C647" s="56"/>
      <c r="D647" s="56"/>
      <c r="E647" s="56"/>
      <c r="F647" s="56"/>
      <c r="G647" s="56"/>
      <c r="H647" s="56"/>
      <c r="I647" s="6"/>
      <c r="J647" s="6"/>
      <c r="K647" s="57"/>
      <c r="L647" s="57"/>
      <c r="M647" s="57"/>
      <c r="N647" s="56"/>
      <c r="O647" s="56"/>
      <c r="P647" s="56"/>
      <c r="Q647" s="56"/>
      <c r="R647" s="56"/>
      <c r="S647" s="56"/>
      <c r="T647" s="56"/>
      <c r="U647" s="56"/>
      <c r="V647" s="56"/>
      <c r="W647" s="56"/>
      <c r="X647" s="56"/>
      <c r="Y647" s="56"/>
      <c r="Z647" s="56"/>
      <c r="AA647" s="56"/>
      <c r="AB647" s="56"/>
      <c r="AC647" s="56"/>
      <c r="AD647" s="56"/>
      <c r="AE647" s="56"/>
      <c r="AF647" s="56"/>
      <c r="AG647" s="56"/>
      <c r="AH647" s="56"/>
      <c r="AI647" s="58"/>
      <c r="AJ647" s="56"/>
      <c r="AK647" s="56"/>
      <c r="AL647" s="56"/>
      <c r="AM647" s="57"/>
      <c r="AN647" s="57"/>
      <c r="AO647" s="56"/>
      <c r="AP647" s="56"/>
      <c r="AQ647" s="57"/>
      <c r="AR647" s="57"/>
      <c r="AS647" s="57"/>
      <c r="AT647" s="67">
        <f t="shared" ca="1" si="64"/>
        <v>0</v>
      </c>
      <c r="AU647" s="79" t="str">
        <f t="shared" ca="1" si="65"/>
        <v/>
      </c>
      <c r="AV647" s="79" t="str" cm="1">
        <f t="array" aca="1" ref="AV647" ca="1">IFERROR(_xlfn.IFS($AU647="","",$AU647&lt;=15,"0-15",AND($AU647&gt;=16,$AU647&lt;=30),"16-30",AND($AU647&gt;=31,$AU647&lt;=45),"31-45",AND($AU647&gt;=46,$AU647&lt;=60),"46-60",AND($AU647&gt;=61,$AU647&lt;=90),"61-90",AND($AU647&gt;=91),"&gt; 90",AND($AU647&gt;=2000),""),"")</f>
        <v/>
      </c>
      <c r="AW647" s="79" t="str" cm="1">
        <f t="array" aca="1" ref="AW647" ca="1">IFERROR(_xlfn.IFS(OR($M647="",$AM647=""),"",OR($C647="Offered",$C647="Joined"),($AM647-$M647)-$AT647),"")</f>
        <v/>
      </c>
      <c r="AX647" s="79" t="str" cm="1">
        <f t="array" aca="1" ref="AX647" ca="1">IFERROR(_xlfn.IFS(OR($M647="",$AS647=""),"",$C647="Joined",($AS647-$M647)-$AT647),"")</f>
        <v/>
      </c>
      <c r="AY647" s="67" t="str">
        <f>IFERROR(IF(COUNTIFS('Candidate Tracker'!$E:$E,'Positions Tracker'!$B647,'Candidate Tracker'!$C:$C,"Offer Drop")=0,"",COUNTIFS('Candidate Tracker'!$E:$E,'Positions Tracker'!$B647,'Candidate Tracker'!$C:$C,"Offer Drop")),"")</f>
        <v/>
      </c>
      <c r="AZ647" s="80">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0.88111888111888115</v>
      </c>
      <c r="BA647" s="81" t="str">
        <f>IFERROR(IF(COUNTIFS('Candidate Tracker'!$E:$E,'Positions Tracker'!$B647,'Candidate Tracker'!$I:$I,"Female")=0,"",COUNTIFS('Candidate Tracker'!$E:$E,'Positions Tracker'!$B647,'Candidate Tracker'!$I:$I,"Female")),"")</f>
        <v/>
      </c>
      <c r="BB647" s="81" t="str">
        <f>IFERROR(IF(COUNTIFS('Candidate Tracker'!$E:$E,'Positions Tracker'!$B647,'Candidate Tracker'!$I:$I,"male")=0,"",COUNTIFS('Candidate Tracker'!$E:$E,'Positions Tracker'!$B647,'Candidate Tracker'!$I:$I,"male")),"")</f>
        <v/>
      </c>
      <c r="BC647" s="80" t="str">
        <f>IFERROR(IF(COUNTIFS('Candidate Tracker'!$E:$E,'Positions Tracker'!$B647,'Candidate Tracker'!$C:$C,"&lt;&gt;WIP",'Candidate Tracker'!$C:$C,"&lt;&gt;Hold",'Candidate Tracker'!$C:$C,"&lt;&gt;Cancelled",'Candidate Tracker'!$C:$C,"&lt;&gt;Closed")/COUNTIFS('Candidate Tracker'!$E:$E,'Positions Tracker'!$B647)=0,"",COUNTIFS('Candidate Tracker'!$E:$E,'Positions Tracker'!$B647,'Candidate Tracker'!$C:$C,"&lt;&gt;WIP",'Candidate Tracker'!$C:$C,"&lt;&gt;Hold",'Candidate Tracker'!$C:$C,"&lt;&gt;Cancelled",'Candidate Tracker'!$C:$C,"&lt;&gt;Closed")/COUNTIFS('Candidate Tracker'!$E:$E,'Positions Tracker'!$B647)),"")</f>
        <v/>
      </c>
      <c r="BD647" s="67" t="str">
        <f t="shared" si="60"/>
        <v/>
      </c>
      <c r="BE647" s="67" t="str">
        <f t="shared" si="61"/>
        <v/>
      </c>
      <c r="BF647" s="67" t="str">
        <f t="shared" si="62"/>
        <v/>
      </c>
      <c r="BG647" s="67" t="str">
        <f t="shared" si="63"/>
        <v/>
      </c>
    </row>
    <row r="648" spans="1:59">
      <c r="A648" s="55"/>
      <c r="B648" s="56"/>
      <c r="C648" s="56"/>
      <c r="D648" s="56"/>
      <c r="E648" s="56"/>
      <c r="F648" s="56"/>
      <c r="G648" s="56"/>
      <c r="H648" s="56"/>
      <c r="I648" s="6"/>
      <c r="J648" s="6"/>
      <c r="K648" s="57"/>
      <c r="L648" s="57"/>
      <c r="M648" s="57"/>
      <c r="N648" s="56"/>
      <c r="O648" s="56"/>
      <c r="P648" s="56"/>
      <c r="Q648" s="56"/>
      <c r="R648" s="56"/>
      <c r="S648" s="56"/>
      <c r="T648" s="56"/>
      <c r="U648" s="56"/>
      <c r="V648" s="56"/>
      <c r="W648" s="56"/>
      <c r="X648" s="56"/>
      <c r="Y648" s="56"/>
      <c r="Z648" s="56"/>
      <c r="AA648" s="56"/>
      <c r="AB648" s="56"/>
      <c r="AC648" s="56"/>
      <c r="AD648" s="56"/>
      <c r="AE648" s="56"/>
      <c r="AF648" s="56"/>
      <c r="AG648" s="56"/>
      <c r="AH648" s="56"/>
      <c r="AI648" s="58"/>
      <c r="AJ648" s="56"/>
      <c r="AK648" s="56"/>
      <c r="AL648" s="56"/>
      <c r="AM648" s="57"/>
      <c r="AN648" s="57"/>
      <c r="AO648" s="56"/>
      <c r="AP648" s="56"/>
      <c r="AQ648" s="57"/>
      <c r="AR648" s="57"/>
      <c r="AS648" s="57"/>
      <c r="AT648" s="67">
        <f t="shared" ca="1" si="64"/>
        <v>0</v>
      </c>
      <c r="AU648" s="79" t="str">
        <f t="shared" ca="1" si="65"/>
        <v/>
      </c>
      <c r="AV648" s="79" t="str" cm="1">
        <f t="array" aca="1" ref="AV648" ca="1">IFERROR(_xlfn.IFS($AU648="","",$AU648&lt;=15,"0-15",AND($AU648&gt;=16,$AU648&lt;=30),"16-30",AND($AU648&gt;=31,$AU648&lt;=45),"31-45",AND($AU648&gt;=46,$AU648&lt;=60),"46-60",AND($AU648&gt;=61,$AU648&lt;=90),"61-90",AND($AU648&gt;=91),"&gt; 90",AND($AU648&gt;=2000),""),"")</f>
        <v/>
      </c>
      <c r="AW648" s="79" t="str" cm="1">
        <f t="array" aca="1" ref="AW648" ca="1">IFERROR(_xlfn.IFS(OR($M648="",$AM648=""),"",OR($C648="Offered",$C648="Joined"),($AM648-$M648)-$AT648),"")</f>
        <v/>
      </c>
      <c r="AX648" s="79" t="str" cm="1">
        <f t="array" aca="1" ref="AX648" ca="1">IFERROR(_xlfn.IFS(OR($M648="",$AS648=""),"",$C648="Joined",($AS648-$M648)-$AT648),"")</f>
        <v/>
      </c>
      <c r="AY648" s="67" t="str">
        <f>IFERROR(IF(COUNTIFS('Candidate Tracker'!$E:$E,'Positions Tracker'!$B648,'Candidate Tracker'!$C:$C,"Offer Drop")=0,"",COUNTIFS('Candidate Tracker'!$E:$E,'Positions Tracker'!$B648,'Candidate Tracker'!$C:$C,"Offer Drop")),"")</f>
        <v/>
      </c>
      <c r="AZ648" s="80">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0.88111888111888115</v>
      </c>
      <c r="BA648" s="81" t="str">
        <f>IFERROR(IF(COUNTIFS('Candidate Tracker'!$E:$E,'Positions Tracker'!$B648,'Candidate Tracker'!$I:$I,"Female")=0,"",COUNTIFS('Candidate Tracker'!$E:$E,'Positions Tracker'!$B648,'Candidate Tracker'!$I:$I,"Female")),"")</f>
        <v/>
      </c>
      <c r="BB648" s="81" t="str">
        <f>IFERROR(IF(COUNTIFS('Candidate Tracker'!$E:$E,'Positions Tracker'!$B648,'Candidate Tracker'!$I:$I,"male")=0,"",COUNTIFS('Candidate Tracker'!$E:$E,'Positions Tracker'!$B648,'Candidate Tracker'!$I:$I,"male")),"")</f>
        <v/>
      </c>
      <c r="BC648" s="80" t="str">
        <f>IFERROR(IF(COUNTIFS('Candidate Tracker'!$E:$E,'Positions Tracker'!$B648,'Candidate Tracker'!$C:$C,"&lt;&gt;WIP",'Candidate Tracker'!$C:$C,"&lt;&gt;Hold",'Candidate Tracker'!$C:$C,"&lt;&gt;Cancelled",'Candidate Tracker'!$C:$C,"&lt;&gt;Closed")/COUNTIFS('Candidate Tracker'!$E:$E,'Positions Tracker'!$B648)=0,"",COUNTIFS('Candidate Tracker'!$E:$E,'Positions Tracker'!$B648,'Candidate Tracker'!$C:$C,"&lt;&gt;WIP",'Candidate Tracker'!$C:$C,"&lt;&gt;Hold",'Candidate Tracker'!$C:$C,"&lt;&gt;Cancelled",'Candidate Tracker'!$C:$C,"&lt;&gt;Closed")/COUNTIFS('Candidate Tracker'!$E:$E,'Positions Tracker'!$B648)),"")</f>
        <v/>
      </c>
      <c r="BD648" s="67" t="str">
        <f t="shared" si="60"/>
        <v/>
      </c>
      <c r="BE648" s="67" t="str">
        <f t="shared" si="61"/>
        <v/>
      </c>
      <c r="BF648" s="67" t="str">
        <f t="shared" si="62"/>
        <v/>
      </c>
      <c r="BG648" s="67" t="str">
        <f t="shared" si="63"/>
        <v/>
      </c>
    </row>
    <row r="649" spans="1:59">
      <c r="A649" s="55"/>
      <c r="B649" s="56"/>
      <c r="C649" s="56"/>
      <c r="D649" s="56"/>
      <c r="E649" s="56"/>
      <c r="F649" s="56"/>
      <c r="G649" s="56"/>
      <c r="H649" s="56"/>
      <c r="I649" s="6"/>
      <c r="J649" s="6"/>
      <c r="K649" s="57"/>
      <c r="L649" s="57"/>
      <c r="M649" s="57"/>
      <c r="N649" s="56"/>
      <c r="O649" s="56"/>
      <c r="P649" s="56"/>
      <c r="Q649" s="56"/>
      <c r="R649" s="56"/>
      <c r="S649" s="56"/>
      <c r="T649" s="56"/>
      <c r="U649" s="56"/>
      <c r="V649" s="56"/>
      <c r="W649" s="56"/>
      <c r="X649" s="56"/>
      <c r="Y649" s="56"/>
      <c r="Z649" s="56"/>
      <c r="AA649" s="56"/>
      <c r="AB649" s="56"/>
      <c r="AC649" s="56"/>
      <c r="AD649" s="56"/>
      <c r="AE649" s="56"/>
      <c r="AF649" s="56"/>
      <c r="AG649" s="56"/>
      <c r="AH649" s="56"/>
      <c r="AI649" s="58"/>
      <c r="AJ649" s="56"/>
      <c r="AK649" s="56"/>
      <c r="AL649" s="56"/>
      <c r="AM649" s="57"/>
      <c r="AN649" s="57"/>
      <c r="AO649" s="56"/>
      <c r="AP649" s="56"/>
      <c r="AQ649" s="57"/>
      <c r="AR649" s="57"/>
      <c r="AS649" s="57"/>
      <c r="AT649" s="67">
        <f t="shared" ca="1" si="64"/>
        <v>0</v>
      </c>
      <c r="AU649" s="79" t="str">
        <f t="shared" ca="1" si="65"/>
        <v/>
      </c>
      <c r="AV649" s="79" t="str" cm="1">
        <f t="array" aca="1" ref="AV649" ca="1">IFERROR(_xlfn.IFS($AU649="","",$AU649&lt;=15,"0-15",AND($AU649&gt;=16,$AU649&lt;=30),"16-30",AND($AU649&gt;=31,$AU649&lt;=45),"31-45",AND($AU649&gt;=46,$AU649&lt;=60),"46-60",AND($AU649&gt;=61,$AU649&lt;=90),"61-90",AND($AU649&gt;=91),"&gt; 90",AND($AU649&gt;=2000),""),"")</f>
        <v/>
      </c>
      <c r="AW649" s="79" t="str" cm="1">
        <f t="array" aca="1" ref="AW649" ca="1">IFERROR(_xlfn.IFS(OR($M649="",$AM649=""),"",OR($C649="Offered",$C649="Joined"),($AM649-$M649)-$AT649),"")</f>
        <v/>
      </c>
      <c r="AX649" s="79" t="str" cm="1">
        <f t="array" aca="1" ref="AX649" ca="1">IFERROR(_xlfn.IFS(OR($M649="",$AS649=""),"",$C649="Joined",($AS649-$M649)-$AT649),"")</f>
        <v/>
      </c>
      <c r="AY649" s="67" t="str">
        <f>IFERROR(IF(COUNTIFS('Candidate Tracker'!$E:$E,'Positions Tracker'!$B649,'Candidate Tracker'!$C:$C,"Offer Drop")=0,"",COUNTIFS('Candidate Tracker'!$E:$E,'Positions Tracker'!$B649,'Candidate Tracker'!$C:$C,"Offer Drop")),"")</f>
        <v/>
      </c>
      <c r="AZ649" s="80">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0.88111888111888115</v>
      </c>
      <c r="BA649" s="81" t="str">
        <f>IFERROR(IF(COUNTIFS('Candidate Tracker'!$E:$E,'Positions Tracker'!$B649,'Candidate Tracker'!$I:$I,"Female")=0,"",COUNTIFS('Candidate Tracker'!$E:$E,'Positions Tracker'!$B649,'Candidate Tracker'!$I:$I,"Female")),"")</f>
        <v/>
      </c>
      <c r="BB649" s="81" t="str">
        <f>IFERROR(IF(COUNTIFS('Candidate Tracker'!$E:$E,'Positions Tracker'!$B649,'Candidate Tracker'!$I:$I,"male")=0,"",COUNTIFS('Candidate Tracker'!$E:$E,'Positions Tracker'!$B649,'Candidate Tracker'!$I:$I,"male")),"")</f>
        <v/>
      </c>
      <c r="BC649" s="80" t="str">
        <f>IFERROR(IF(COUNTIFS('Candidate Tracker'!$E:$E,'Positions Tracker'!$B649,'Candidate Tracker'!$C:$C,"&lt;&gt;WIP",'Candidate Tracker'!$C:$C,"&lt;&gt;Hold",'Candidate Tracker'!$C:$C,"&lt;&gt;Cancelled",'Candidate Tracker'!$C:$C,"&lt;&gt;Closed")/COUNTIFS('Candidate Tracker'!$E:$E,'Positions Tracker'!$B649)=0,"",COUNTIFS('Candidate Tracker'!$E:$E,'Positions Tracker'!$B649,'Candidate Tracker'!$C:$C,"&lt;&gt;WIP",'Candidate Tracker'!$C:$C,"&lt;&gt;Hold",'Candidate Tracker'!$C:$C,"&lt;&gt;Cancelled",'Candidate Tracker'!$C:$C,"&lt;&gt;Closed")/COUNTIFS('Candidate Tracker'!$E:$E,'Positions Tracker'!$B649)),"")</f>
        <v/>
      </c>
      <c r="BD649" s="67" t="str">
        <f t="shared" si="60"/>
        <v/>
      </c>
      <c r="BE649" s="67" t="str">
        <f t="shared" si="61"/>
        <v/>
      </c>
      <c r="BF649" s="67" t="str">
        <f t="shared" si="62"/>
        <v/>
      </c>
      <c r="BG649" s="67" t="str">
        <f t="shared" si="63"/>
        <v/>
      </c>
    </row>
    <row r="650" spans="1:59">
      <c r="A650" s="55"/>
      <c r="B650" s="56"/>
      <c r="C650" s="56"/>
      <c r="D650" s="56"/>
      <c r="E650" s="56"/>
      <c r="F650" s="56"/>
      <c r="G650" s="56"/>
      <c r="H650" s="56"/>
      <c r="I650" s="6"/>
      <c r="J650" s="6"/>
      <c r="K650" s="57"/>
      <c r="L650" s="57"/>
      <c r="M650" s="57"/>
      <c r="N650" s="56"/>
      <c r="O650" s="56"/>
      <c r="P650" s="56"/>
      <c r="Q650" s="56"/>
      <c r="R650" s="56"/>
      <c r="S650" s="56"/>
      <c r="T650" s="56"/>
      <c r="U650" s="56"/>
      <c r="V650" s="56"/>
      <c r="W650" s="56"/>
      <c r="X650" s="56"/>
      <c r="Y650" s="56"/>
      <c r="Z650" s="56"/>
      <c r="AA650" s="56"/>
      <c r="AB650" s="56"/>
      <c r="AC650" s="56"/>
      <c r="AD650" s="56"/>
      <c r="AE650" s="56"/>
      <c r="AF650" s="56"/>
      <c r="AG650" s="56"/>
      <c r="AH650" s="56"/>
      <c r="AI650" s="58"/>
      <c r="AJ650" s="56"/>
      <c r="AK650" s="56"/>
      <c r="AL650" s="56"/>
      <c r="AM650" s="57"/>
      <c r="AN650" s="57"/>
      <c r="AO650" s="56"/>
      <c r="AP650" s="56"/>
      <c r="AQ650" s="57"/>
      <c r="AR650" s="57"/>
      <c r="AS650" s="57"/>
      <c r="AT650" s="67">
        <f t="shared" ca="1" si="64"/>
        <v>0</v>
      </c>
      <c r="AU650" s="79" t="str">
        <f t="shared" ca="1" si="65"/>
        <v/>
      </c>
      <c r="AV650" s="79" t="str" cm="1">
        <f t="array" aca="1" ref="AV650" ca="1">IFERROR(_xlfn.IFS($AU650="","",$AU650&lt;=15,"0-15",AND($AU650&gt;=16,$AU650&lt;=30),"16-30",AND($AU650&gt;=31,$AU650&lt;=45),"31-45",AND($AU650&gt;=46,$AU650&lt;=60),"46-60",AND($AU650&gt;=61,$AU650&lt;=90),"61-90",AND($AU650&gt;=91),"&gt; 90",AND($AU650&gt;=2000),""),"")</f>
        <v/>
      </c>
      <c r="AW650" s="79" t="str" cm="1">
        <f t="array" aca="1" ref="AW650" ca="1">IFERROR(_xlfn.IFS(OR($M650="",$AM650=""),"",OR($C650="Offered",$C650="Joined"),($AM650-$M650)-$AT650),"")</f>
        <v/>
      </c>
      <c r="AX650" s="79" t="str" cm="1">
        <f t="array" aca="1" ref="AX650" ca="1">IFERROR(_xlfn.IFS(OR($M650="",$AS650=""),"",$C650="Joined",($AS650-$M650)-$AT650),"")</f>
        <v/>
      </c>
      <c r="AY650" s="67" t="str">
        <f>IFERROR(IF(COUNTIFS('Candidate Tracker'!$E:$E,'Positions Tracker'!$B650,'Candidate Tracker'!$C:$C,"Offer Drop")=0,"",COUNTIFS('Candidate Tracker'!$E:$E,'Positions Tracker'!$B650,'Candidate Tracker'!$C:$C,"Offer Drop")),"")</f>
        <v/>
      </c>
      <c r="AZ650" s="80">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0.88111888111888115</v>
      </c>
      <c r="BA650" s="81" t="str">
        <f>IFERROR(IF(COUNTIFS('Candidate Tracker'!$E:$E,'Positions Tracker'!$B650,'Candidate Tracker'!$I:$I,"Female")=0,"",COUNTIFS('Candidate Tracker'!$E:$E,'Positions Tracker'!$B650,'Candidate Tracker'!$I:$I,"Female")),"")</f>
        <v/>
      </c>
      <c r="BB650" s="81" t="str">
        <f>IFERROR(IF(COUNTIFS('Candidate Tracker'!$E:$E,'Positions Tracker'!$B650,'Candidate Tracker'!$I:$I,"male")=0,"",COUNTIFS('Candidate Tracker'!$E:$E,'Positions Tracker'!$B650,'Candidate Tracker'!$I:$I,"male")),"")</f>
        <v/>
      </c>
      <c r="BC650" s="80" t="str">
        <f>IFERROR(IF(COUNTIFS('Candidate Tracker'!$E:$E,'Positions Tracker'!$B650,'Candidate Tracker'!$C:$C,"&lt;&gt;WIP",'Candidate Tracker'!$C:$C,"&lt;&gt;Hold",'Candidate Tracker'!$C:$C,"&lt;&gt;Cancelled",'Candidate Tracker'!$C:$C,"&lt;&gt;Closed")/COUNTIFS('Candidate Tracker'!$E:$E,'Positions Tracker'!$B650)=0,"",COUNTIFS('Candidate Tracker'!$E:$E,'Positions Tracker'!$B650,'Candidate Tracker'!$C:$C,"&lt;&gt;WIP",'Candidate Tracker'!$C:$C,"&lt;&gt;Hold",'Candidate Tracker'!$C:$C,"&lt;&gt;Cancelled",'Candidate Tracker'!$C:$C,"&lt;&gt;Closed")/COUNTIFS('Candidate Tracker'!$E:$E,'Positions Tracker'!$B650)),"")</f>
        <v/>
      </c>
      <c r="BD650" s="67" t="str">
        <f t="shared" si="60"/>
        <v/>
      </c>
      <c r="BE650" s="67" t="str">
        <f t="shared" si="61"/>
        <v/>
      </c>
      <c r="BF650" s="67" t="str">
        <f t="shared" si="62"/>
        <v/>
      </c>
      <c r="BG650" s="67" t="str">
        <f t="shared" si="63"/>
        <v/>
      </c>
    </row>
    <row r="651" spans="1:59">
      <c r="A651" s="55"/>
      <c r="B651" s="56"/>
      <c r="C651" s="56"/>
      <c r="D651" s="56"/>
      <c r="E651" s="56"/>
      <c r="F651" s="56"/>
      <c r="G651" s="56"/>
      <c r="H651" s="56"/>
      <c r="I651" s="6"/>
      <c r="J651" s="6"/>
      <c r="K651" s="57"/>
      <c r="L651" s="57"/>
      <c r="M651" s="57"/>
      <c r="N651" s="56"/>
      <c r="O651" s="56"/>
      <c r="P651" s="56"/>
      <c r="Q651" s="56"/>
      <c r="R651" s="56"/>
      <c r="S651" s="56"/>
      <c r="T651" s="56"/>
      <c r="U651" s="56"/>
      <c r="V651" s="56"/>
      <c r="W651" s="56"/>
      <c r="X651" s="56"/>
      <c r="Y651" s="56"/>
      <c r="Z651" s="56"/>
      <c r="AA651" s="56"/>
      <c r="AB651" s="56"/>
      <c r="AC651" s="56"/>
      <c r="AD651" s="56"/>
      <c r="AE651" s="56"/>
      <c r="AF651" s="56"/>
      <c r="AG651" s="56"/>
      <c r="AH651" s="56"/>
      <c r="AI651" s="58"/>
      <c r="AJ651" s="56"/>
      <c r="AK651" s="56"/>
      <c r="AL651" s="56"/>
      <c r="AM651" s="57"/>
      <c r="AN651" s="57"/>
      <c r="AO651" s="56"/>
      <c r="AP651" s="56"/>
      <c r="AQ651" s="57"/>
      <c r="AR651" s="57"/>
      <c r="AS651" s="57"/>
      <c r="AT651" s="67">
        <f t="shared" ca="1" si="64"/>
        <v>0</v>
      </c>
      <c r="AU651" s="79" t="str">
        <f t="shared" ca="1" si="65"/>
        <v/>
      </c>
      <c r="AV651" s="79" t="str" cm="1">
        <f t="array" aca="1" ref="AV651" ca="1">IFERROR(_xlfn.IFS($AU651="","",$AU651&lt;=15,"0-15",AND($AU651&gt;=16,$AU651&lt;=30),"16-30",AND($AU651&gt;=31,$AU651&lt;=45),"31-45",AND($AU651&gt;=46,$AU651&lt;=60),"46-60",AND($AU651&gt;=61,$AU651&lt;=90),"61-90",AND($AU651&gt;=91),"&gt; 90",AND($AU651&gt;=2000),""),"")</f>
        <v/>
      </c>
      <c r="AW651" s="79" t="str" cm="1">
        <f t="array" aca="1" ref="AW651" ca="1">IFERROR(_xlfn.IFS(OR($M651="",$AM651=""),"",OR($C651="Offered",$C651="Joined"),($AM651-$M651)-$AT651),"")</f>
        <v/>
      </c>
      <c r="AX651" s="79" t="str" cm="1">
        <f t="array" aca="1" ref="AX651" ca="1">IFERROR(_xlfn.IFS(OR($M651="",$AS651=""),"",$C651="Joined",($AS651-$M651)-$AT651),"")</f>
        <v/>
      </c>
      <c r="AY651" s="67" t="str">
        <f>IFERROR(IF(COUNTIFS('Candidate Tracker'!$E:$E,'Positions Tracker'!$B651,'Candidate Tracker'!$C:$C,"Offer Drop")=0,"",COUNTIFS('Candidate Tracker'!$E:$E,'Positions Tracker'!$B651,'Candidate Tracker'!$C:$C,"Offer Drop")),"")</f>
        <v/>
      </c>
      <c r="AZ651" s="80">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0.88111888111888115</v>
      </c>
      <c r="BA651" s="81" t="str">
        <f>IFERROR(IF(COUNTIFS('Candidate Tracker'!$E:$E,'Positions Tracker'!$B651,'Candidate Tracker'!$I:$I,"Female")=0,"",COUNTIFS('Candidate Tracker'!$E:$E,'Positions Tracker'!$B651,'Candidate Tracker'!$I:$I,"Female")),"")</f>
        <v/>
      </c>
      <c r="BB651" s="81" t="str">
        <f>IFERROR(IF(COUNTIFS('Candidate Tracker'!$E:$E,'Positions Tracker'!$B651,'Candidate Tracker'!$I:$I,"male")=0,"",COUNTIFS('Candidate Tracker'!$E:$E,'Positions Tracker'!$B651,'Candidate Tracker'!$I:$I,"male")),"")</f>
        <v/>
      </c>
      <c r="BC651" s="80" t="str">
        <f>IFERROR(IF(COUNTIFS('Candidate Tracker'!$E:$E,'Positions Tracker'!$B651,'Candidate Tracker'!$C:$C,"&lt;&gt;WIP",'Candidate Tracker'!$C:$C,"&lt;&gt;Hold",'Candidate Tracker'!$C:$C,"&lt;&gt;Cancelled",'Candidate Tracker'!$C:$C,"&lt;&gt;Closed")/COUNTIFS('Candidate Tracker'!$E:$E,'Positions Tracker'!$B651)=0,"",COUNTIFS('Candidate Tracker'!$E:$E,'Positions Tracker'!$B651,'Candidate Tracker'!$C:$C,"&lt;&gt;WIP",'Candidate Tracker'!$C:$C,"&lt;&gt;Hold",'Candidate Tracker'!$C:$C,"&lt;&gt;Cancelled",'Candidate Tracker'!$C:$C,"&lt;&gt;Closed")/COUNTIFS('Candidate Tracker'!$E:$E,'Positions Tracker'!$B651)),"")</f>
        <v/>
      </c>
      <c r="BD651" s="67" t="str">
        <f t="shared" si="60"/>
        <v/>
      </c>
      <c r="BE651" s="67" t="str">
        <f t="shared" si="61"/>
        <v/>
      </c>
      <c r="BF651" s="67" t="str">
        <f t="shared" si="62"/>
        <v/>
      </c>
      <c r="BG651" s="67" t="str">
        <f t="shared" si="63"/>
        <v/>
      </c>
    </row>
    <row r="652" spans="1:59">
      <c r="A652" s="55"/>
      <c r="B652" s="56"/>
      <c r="C652" s="56"/>
      <c r="D652" s="56"/>
      <c r="E652" s="56"/>
      <c r="F652" s="56"/>
      <c r="G652" s="56"/>
      <c r="H652" s="56"/>
      <c r="I652" s="6"/>
      <c r="J652" s="6"/>
      <c r="K652" s="57"/>
      <c r="L652" s="57"/>
      <c r="M652" s="57"/>
      <c r="N652" s="56"/>
      <c r="O652" s="56"/>
      <c r="P652" s="56"/>
      <c r="Q652" s="56"/>
      <c r="R652" s="56"/>
      <c r="S652" s="56"/>
      <c r="T652" s="56"/>
      <c r="U652" s="56"/>
      <c r="V652" s="56"/>
      <c r="W652" s="56"/>
      <c r="X652" s="56"/>
      <c r="Y652" s="56"/>
      <c r="Z652" s="56"/>
      <c r="AA652" s="56"/>
      <c r="AB652" s="56"/>
      <c r="AC652" s="56"/>
      <c r="AD652" s="56"/>
      <c r="AE652" s="56"/>
      <c r="AF652" s="56"/>
      <c r="AG652" s="56"/>
      <c r="AH652" s="56"/>
      <c r="AI652" s="58"/>
      <c r="AJ652" s="56"/>
      <c r="AK652" s="56"/>
      <c r="AL652" s="56"/>
      <c r="AM652" s="57"/>
      <c r="AN652" s="57"/>
      <c r="AO652" s="56"/>
      <c r="AP652" s="56"/>
      <c r="AQ652" s="57"/>
      <c r="AR652" s="57"/>
      <c r="AS652" s="57"/>
      <c r="AT652" s="67">
        <f t="shared" ca="1" si="64"/>
        <v>0</v>
      </c>
      <c r="AU652" s="79" t="str">
        <f t="shared" ca="1" si="65"/>
        <v/>
      </c>
      <c r="AV652" s="79" t="str" cm="1">
        <f t="array" aca="1" ref="AV652" ca="1">IFERROR(_xlfn.IFS($AU652="","",$AU652&lt;=15,"0-15",AND($AU652&gt;=16,$AU652&lt;=30),"16-30",AND($AU652&gt;=31,$AU652&lt;=45),"31-45",AND($AU652&gt;=46,$AU652&lt;=60),"46-60",AND($AU652&gt;=61,$AU652&lt;=90),"61-90",AND($AU652&gt;=91),"&gt; 90",AND($AU652&gt;=2000),""),"")</f>
        <v/>
      </c>
      <c r="AW652" s="79" t="str" cm="1">
        <f t="array" aca="1" ref="AW652" ca="1">IFERROR(_xlfn.IFS(OR($M652="",$AM652=""),"",OR($C652="Offered",$C652="Joined"),($AM652-$M652)-$AT652),"")</f>
        <v/>
      </c>
      <c r="AX652" s="79" t="str" cm="1">
        <f t="array" aca="1" ref="AX652" ca="1">IFERROR(_xlfn.IFS(OR($M652="",$AS652=""),"",$C652="Joined",($AS652-$M652)-$AT652),"")</f>
        <v/>
      </c>
      <c r="AY652" s="67" t="str">
        <f>IFERROR(IF(COUNTIFS('Candidate Tracker'!$E:$E,'Positions Tracker'!$B652,'Candidate Tracker'!$C:$C,"Offer Drop")=0,"",COUNTIFS('Candidate Tracker'!$E:$E,'Positions Tracker'!$B652,'Candidate Tracker'!$C:$C,"Offer Drop")),"")</f>
        <v/>
      </c>
      <c r="AZ652" s="80">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0.88111888111888115</v>
      </c>
      <c r="BA652" s="81" t="str">
        <f>IFERROR(IF(COUNTIFS('Candidate Tracker'!$E:$E,'Positions Tracker'!$B652,'Candidate Tracker'!$I:$I,"Female")=0,"",COUNTIFS('Candidate Tracker'!$E:$E,'Positions Tracker'!$B652,'Candidate Tracker'!$I:$I,"Female")),"")</f>
        <v/>
      </c>
      <c r="BB652" s="81" t="str">
        <f>IFERROR(IF(COUNTIFS('Candidate Tracker'!$E:$E,'Positions Tracker'!$B652,'Candidate Tracker'!$I:$I,"male")=0,"",COUNTIFS('Candidate Tracker'!$E:$E,'Positions Tracker'!$B652,'Candidate Tracker'!$I:$I,"male")),"")</f>
        <v/>
      </c>
      <c r="BC652" s="80" t="str">
        <f>IFERROR(IF(COUNTIFS('Candidate Tracker'!$E:$E,'Positions Tracker'!$B652,'Candidate Tracker'!$C:$C,"&lt;&gt;WIP",'Candidate Tracker'!$C:$C,"&lt;&gt;Hold",'Candidate Tracker'!$C:$C,"&lt;&gt;Cancelled",'Candidate Tracker'!$C:$C,"&lt;&gt;Closed")/COUNTIFS('Candidate Tracker'!$E:$E,'Positions Tracker'!$B652)=0,"",COUNTIFS('Candidate Tracker'!$E:$E,'Positions Tracker'!$B652,'Candidate Tracker'!$C:$C,"&lt;&gt;WIP",'Candidate Tracker'!$C:$C,"&lt;&gt;Hold",'Candidate Tracker'!$C:$C,"&lt;&gt;Cancelled",'Candidate Tracker'!$C:$C,"&lt;&gt;Closed")/COUNTIFS('Candidate Tracker'!$E:$E,'Positions Tracker'!$B652)),"")</f>
        <v/>
      </c>
      <c r="BD652" s="67" t="str">
        <f t="shared" si="60"/>
        <v/>
      </c>
      <c r="BE652" s="67" t="str">
        <f t="shared" si="61"/>
        <v/>
      </c>
      <c r="BF652" s="67" t="str">
        <f t="shared" si="62"/>
        <v/>
      </c>
      <c r="BG652" s="67" t="str">
        <f t="shared" si="63"/>
        <v/>
      </c>
    </row>
    <row r="653" spans="1:59">
      <c r="A653" s="55"/>
      <c r="B653" s="56"/>
      <c r="C653" s="56"/>
      <c r="D653" s="56"/>
      <c r="E653" s="56"/>
      <c r="F653" s="56"/>
      <c r="G653" s="56"/>
      <c r="H653" s="56"/>
      <c r="I653" s="6"/>
      <c r="J653" s="6"/>
      <c r="K653" s="57"/>
      <c r="L653" s="57"/>
      <c r="M653" s="57"/>
      <c r="N653" s="56"/>
      <c r="O653" s="56"/>
      <c r="P653" s="56"/>
      <c r="Q653" s="56"/>
      <c r="R653" s="56"/>
      <c r="S653" s="56"/>
      <c r="T653" s="56"/>
      <c r="U653" s="56"/>
      <c r="V653" s="56"/>
      <c r="W653" s="56"/>
      <c r="X653" s="56"/>
      <c r="Y653" s="56"/>
      <c r="Z653" s="56"/>
      <c r="AA653" s="56"/>
      <c r="AB653" s="56"/>
      <c r="AC653" s="56"/>
      <c r="AD653" s="56"/>
      <c r="AE653" s="56"/>
      <c r="AF653" s="56"/>
      <c r="AG653" s="56"/>
      <c r="AH653" s="56"/>
      <c r="AI653" s="58"/>
      <c r="AJ653" s="56"/>
      <c r="AK653" s="56"/>
      <c r="AL653" s="56"/>
      <c r="AM653" s="57"/>
      <c r="AN653" s="57"/>
      <c r="AO653" s="56"/>
      <c r="AP653" s="56"/>
      <c r="AQ653" s="57"/>
      <c r="AR653" s="57"/>
      <c r="AS653" s="57"/>
      <c r="AT653" s="67">
        <f t="shared" ca="1" si="64"/>
        <v>0</v>
      </c>
      <c r="AU653" s="79" t="str">
        <f t="shared" ca="1" si="65"/>
        <v/>
      </c>
      <c r="AV653" s="79" t="str" cm="1">
        <f t="array" aca="1" ref="AV653" ca="1">IFERROR(_xlfn.IFS($AU653="","",$AU653&lt;=15,"0-15",AND($AU653&gt;=16,$AU653&lt;=30),"16-30",AND($AU653&gt;=31,$AU653&lt;=45),"31-45",AND($AU653&gt;=46,$AU653&lt;=60),"46-60",AND($AU653&gt;=61,$AU653&lt;=90),"61-90",AND($AU653&gt;=91),"&gt; 90",AND($AU653&gt;=2000),""),"")</f>
        <v/>
      </c>
      <c r="AW653" s="79" t="str" cm="1">
        <f t="array" aca="1" ref="AW653" ca="1">IFERROR(_xlfn.IFS(OR($M653="",$AM653=""),"",OR($C653="Offered",$C653="Joined"),($AM653-$M653)-$AT653),"")</f>
        <v/>
      </c>
      <c r="AX653" s="79" t="str" cm="1">
        <f t="array" aca="1" ref="AX653" ca="1">IFERROR(_xlfn.IFS(OR($M653="",$AS653=""),"",$C653="Joined",($AS653-$M653)-$AT653),"")</f>
        <v/>
      </c>
      <c r="AY653" s="67" t="str">
        <f>IFERROR(IF(COUNTIFS('Candidate Tracker'!$E:$E,'Positions Tracker'!$B653,'Candidate Tracker'!$C:$C,"Offer Drop")=0,"",COUNTIFS('Candidate Tracker'!$E:$E,'Positions Tracker'!$B653,'Candidate Tracker'!$C:$C,"Offer Drop")),"")</f>
        <v/>
      </c>
      <c r="AZ653" s="80">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0.88111888111888115</v>
      </c>
      <c r="BA653" s="81" t="str">
        <f>IFERROR(IF(COUNTIFS('Candidate Tracker'!$E:$E,'Positions Tracker'!$B653,'Candidate Tracker'!$I:$I,"Female")=0,"",COUNTIFS('Candidate Tracker'!$E:$E,'Positions Tracker'!$B653,'Candidate Tracker'!$I:$I,"Female")),"")</f>
        <v/>
      </c>
      <c r="BB653" s="81" t="str">
        <f>IFERROR(IF(COUNTIFS('Candidate Tracker'!$E:$E,'Positions Tracker'!$B653,'Candidate Tracker'!$I:$I,"male")=0,"",COUNTIFS('Candidate Tracker'!$E:$E,'Positions Tracker'!$B653,'Candidate Tracker'!$I:$I,"male")),"")</f>
        <v/>
      </c>
      <c r="BC653" s="80" t="str">
        <f>IFERROR(IF(COUNTIFS('Candidate Tracker'!$E:$E,'Positions Tracker'!$B653,'Candidate Tracker'!$C:$C,"&lt;&gt;WIP",'Candidate Tracker'!$C:$C,"&lt;&gt;Hold",'Candidate Tracker'!$C:$C,"&lt;&gt;Cancelled",'Candidate Tracker'!$C:$C,"&lt;&gt;Closed")/COUNTIFS('Candidate Tracker'!$E:$E,'Positions Tracker'!$B653)=0,"",COUNTIFS('Candidate Tracker'!$E:$E,'Positions Tracker'!$B653,'Candidate Tracker'!$C:$C,"&lt;&gt;WIP",'Candidate Tracker'!$C:$C,"&lt;&gt;Hold",'Candidate Tracker'!$C:$C,"&lt;&gt;Cancelled",'Candidate Tracker'!$C:$C,"&lt;&gt;Closed")/COUNTIFS('Candidate Tracker'!$E:$E,'Positions Tracker'!$B653)),"")</f>
        <v/>
      </c>
      <c r="BD653" s="67" t="str">
        <f t="shared" si="60"/>
        <v/>
      </c>
      <c r="BE653" s="67" t="str">
        <f t="shared" si="61"/>
        <v/>
      </c>
      <c r="BF653" s="67" t="str">
        <f t="shared" si="62"/>
        <v/>
      </c>
      <c r="BG653" s="67" t="str">
        <f t="shared" si="63"/>
        <v/>
      </c>
    </row>
    <row r="654" spans="1:59">
      <c r="A654" s="55"/>
      <c r="B654" s="56"/>
      <c r="C654" s="56"/>
      <c r="D654" s="56"/>
      <c r="E654" s="56"/>
      <c r="F654" s="56"/>
      <c r="G654" s="56"/>
      <c r="H654" s="56"/>
      <c r="I654" s="6"/>
      <c r="J654" s="6"/>
      <c r="K654" s="57"/>
      <c r="L654" s="57"/>
      <c r="M654" s="57"/>
      <c r="N654" s="56"/>
      <c r="O654" s="56"/>
      <c r="P654" s="56"/>
      <c r="Q654" s="56"/>
      <c r="R654" s="56"/>
      <c r="S654" s="56"/>
      <c r="T654" s="56"/>
      <c r="U654" s="56"/>
      <c r="V654" s="56"/>
      <c r="W654" s="56"/>
      <c r="X654" s="56"/>
      <c r="Y654" s="56"/>
      <c r="Z654" s="56"/>
      <c r="AA654" s="56"/>
      <c r="AB654" s="56"/>
      <c r="AC654" s="56"/>
      <c r="AD654" s="56"/>
      <c r="AE654" s="56"/>
      <c r="AF654" s="56"/>
      <c r="AG654" s="56"/>
      <c r="AH654" s="56"/>
      <c r="AI654" s="58"/>
      <c r="AJ654" s="56"/>
      <c r="AK654" s="56"/>
      <c r="AL654" s="56"/>
      <c r="AM654" s="57"/>
      <c r="AN654" s="57"/>
      <c r="AO654" s="56"/>
      <c r="AP654" s="56"/>
      <c r="AQ654" s="57"/>
      <c r="AR654" s="57"/>
      <c r="AS654" s="57"/>
      <c r="AT654" s="67">
        <f t="shared" ca="1" si="64"/>
        <v>0</v>
      </c>
      <c r="AU654" s="79" t="str">
        <f t="shared" ca="1" si="65"/>
        <v/>
      </c>
      <c r="AV654" s="79" t="str" cm="1">
        <f t="array" aca="1" ref="AV654" ca="1">IFERROR(_xlfn.IFS($AU654="","",$AU654&lt;=15,"0-15",AND($AU654&gt;=16,$AU654&lt;=30),"16-30",AND($AU654&gt;=31,$AU654&lt;=45),"31-45",AND($AU654&gt;=46,$AU654&lt;=60),"46-60",AND($AU654&gt;=61,$AU654&lt;=90),"61-90",AND($AU654&gt;=91),"&gt; 90",AND($AU654&gt;=2000),""),"")</f>
        <v/>
      </c>
      <c r="AW654" s="79" t="str" cm="1">
        <f t="array" aca="1" ref="AW654" ca="1">IFERROR(_xlfn.IFS(OR($M654="",$AM654=""),"",OR($C654="Offered",$C654="Joined"),($AM654-$M654)-$AT654),"")</f>
        <v/>
      </c>
      <c r="AX654" s="79" t="str" cm="1">
        <f t="array" aca="1" ref="AX654" ca="1">IFERROR(_xlfn.IFS(OR($M654="",$AS654=""),"",$C654="Joined",($AS654-$M654)-$AT654),"")</f>
        <v/>
      </c>
      <c r="AY654" s="67" t="str">
        <f>IFERROR(IF(COUNTIFS('Candidate Tracker'!$E:$E,'Positions Tracker'!$B654,'Candidate Tracker'!$C:$C,"Offer Drop")=0,"",COUNTIFS('Candidate Tracker'!$E:$E,'Positions Tracker'!$B654,'Candidate Tracker'!$C:$C,"Offer Drop")),"")</f>
        <v/>
      </c>
      <c r="AZ654" s="80">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0.88111888111888115</v>
      </c>
      <c r="BA654" s="81" t="str">
        <f>IFERROR(IF(COUNTIFS('Candidate Tracker'!$E:$E,'Positions Tracker'!$B654,'Candidate Tracker'!$I:$I,"Female")=0,"",COUNTIFS('Candidate Tracker'!$E:$E,'Positions Tracker'!$B654,'Candidate Tracker'!$I:$I,"Female")),"")</f>
        <v/>
      </c>
      <c r="BB654" s="81" t="str">
        <f>IFERROR(IF(COUNTIFS('Candidate Tracker'!$E:$E,'Positions Tracker'!$B654,'Candidate Tracker'!$I:$I,"male")=0,"",COUNTIFS('Candidate Tracker'!$E:$E,'Positions Tracker'!$B654,'Candidate Tracker'!$I:$I,"male")),"")</f>
        <v/>
      </c>
      <c r="BC654" s="80" t="str">
        <f>IFERROR(IF(COUNTIFS('Candidate Tracker'!$E:$E,'Positions Tracker'!$B654,'Candidate Tracker'!$C:$C,"&lt;&gt;WIP",'Candidate Tracker'!$C:$C,"&lt;&gt;Hold",'Candidate Tracker'!$C:$C,"&lt;&gt;Cancelled",'Candidate Tracker'!$C:$C,"&lt;&gt;Closed")/COUNTIFS('Candidate Tracker'!$E:$E,'Positions Tracker'!$B654)=0,"",COUNTIFS('Candidate Tracker'!$E:$E,'Positions Tracker'!$B654,'Candidate Tracker'!$C:$C,"&lt;&gt;WIP",'Candidate Tracker'!$C:$C,"&lt;&gt;Hold",'Candidate Tracker'!$C:$C,"&lt;&gt;Cancelled",'Candidate Tracker'!$C:$C,"&lt;&gt;Closed")/COUNTIFS('Candidate Tracker'!$E:$E,'Positions Tracker'!$B654)),"")</f>
        <v/>
      </c>
      <c r="BD654" s="67" t="str">
        <f t="shared" si="60"/>
        <v/>
      </c>
      <c r="BE654" s="67" t="str">
        <f t="shared" si="61"/>
        <v/>
      </c>
      <c r="BF654" s="67" t="str">
        <f t="shared" si="62"/>
        <v/>
      </c>
      <c r="BG654" s="67" t="str">
        <f t="shared" si="63"/>
        <v/>
      </c>
    </row>
    <row r="655" spans="1:59">
      <c r="A655" s="55"/>
      <c r="B655" s="56"/>
      <c r="C655" s="56"/>
      <c r="D655" s="56"/>
      <c r="E655" s="56"/>
      <c r="F655" s="56"/>
      <c r="G655" s="56"/>
      <c r="H655" s="56"/>
      <c r="I655" s="6"/>
      <c r="J655" s="6"/>
      <c r="K655" s="57"/>
      <c r="L655" s="57"/>
      <c r="M655" s="57"/>
      <c r="N655" s="56"/>
      <c r="O655" s="56"/>
      <c r="P655" s="56"/>
      <c r="Q655" s="56"/>
      <c r="R655" s="56"/>
      <c r="S655" s="56"/>
      <c r="T655" s="56"/>
      <c r="U655" s="56"/>
      <c r="V655" s="56"/>
      <c r="W655" s="56"/>
      <c r="X655" s="56"/>
      <c r="Y655" s="56"/>
      <c r="Z655" s="56"/>
      <c r="AA655" s="56"/>
      <c r="AB655" s="56"/>
      <c r="AC655" s="56"/>
      <c r="AD655" s="56"/>
      <c r="AE655" s="56"/>
      <c r="AF655" s="56"/>
      <c r="AG655" s="56"/>
      <c r="AH655" s="56"/>
      <c r="AI655" s="58"/>
      <c r="AJ655" s="56"/>
      <c r="AK655" s="56"/>
      <c r="AL655" s="56"/>
      <c r="AM655" s="57"/>
      <c r="AN655" s="57"/>
      <c r="AO655" s="56"/>
      <c r="AP655" s="56"/>
      <c r="AQ655" s="57"/>
      <c r="AR655" s="57"/>
      <c r="AS655" s="57"/>
      <c r="AT655" s="67">
        <f t="shared" ca="1" si="64"/>
        <v>0</v>
      </c>
      <c r="AU655" s="79" t="str">
        <f t="shared" ca="1" si="65"/>
        <v/>
      </c>
      <c r="AV655" s="79" t="str" cm="1">
        <f t="array" aca="1" ref="AV655" ca="1">IFERROR(_xlfn.IFS($AU655="","",$AU655&lt;=15,"0-15",AND($AU655&gt;=16,$AU655&lt;=30),"16-30",AND($AU655&gt;=31,$AU655&lt;=45),"31-45",AND($AU655&gt;=46,$AU655&lt;=60),"46-60",AND($AU655&gt;=61,$AU655&lt;=90),"61-90",AND($AU655&gt;=91),"&gt; 90",AND($AU655&gt;=2000),""),"")</f>
        <v/>
      </c>
      <c r="AW655" s="79" t="str" cm="1">
        <f t="array" aca="1" ref="AW655" ca="1">IFERROR(_xlfn.IFS(OR($M655="",$AM655=""),"",OR($C655="Offered",$C655="Joined"),($AM655-$M655)-$AT655),"")</f>
        <v/>
      </c>
      <c r="AX655" s="79" t="str" cm="1">
        <f t="array" aca="1" ref="AX655" ca="1">IFERROR(_xlfn.IFS(OR($M655="",$AS655=""),"",$C655="Joined",($AS655-$M655)-$AT655),"")</f>
        <v/>
      </c>
      <c r="AY655" s="67" t="str">
        <f>IFERROR(IF(COUNTIFS('Candidate Tracker'!$E:$E,'Positions Tracker'!$B655,'Candidate Tracker'!$C:$C,"Offer Drop")=0,"",COUNTIFS('Candidate Tracker'!$E:$E,'Positions Tracker'!$B655,'Candidate Tracker'!$C:$C,"Offer Drop")),"")</f>
        <v/>
      </c>
      <c r="AZ655" s="80">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0.88111888111888115</v>
      </c>
      <c r="BA655" s="81" t="str">
        <f>IFERROR(IF(COUNTIFS('Candidate Tracker'!$E:$E,'Positions Tracker'!$B655,'Candidate Tracker'!$I:$I,"Female")=0,"",COUNTIFS('Candidate Tracker'!$E:$E,'Positions Tracker'!$B655,'Candidate Tracker'!$I:$I,"Female")),"")</f>
        <v/>
      </c>
      <c r="BB655" s="81" t="str">
        <f>IFERROR(IF(COUNTIFS('Candidate Tracker'!$E:$E,'Positions Tracker'!$B655,'Candidate Tracker'!$I:$I,"male")=0,"",COUNTIFS('Candidate Tracker'!$E:$E,'Positions Tracker'!$B655,'Candidate Tracker'!$I:$I,"male")),"")</f>
        <v/>
      </c>
      <c r="BC655" s="80" t="str">
        <f>IFERROR(IF(COUNTIFS('Candidate Tracker'!$E:$E,'Positions Tracker'!$B655,'Candidate Tracker'!$C:$C,"&lt;&gt;WIP",'Candidate Tracker'!$C:$C,"&lt;&gt;Hold",'Candidate Tracker'!$C:$C,"&lt;&gt;Cancelled",'Candidate Tracker'!$C:$C,"&lt;&gt;Closed")/COUNTIFS('Candidate Tracker'!$E:$E,'Positions Tracker'!$B655)=0,"",COUNTIFS('Candidate Tracker'!$E:$E,'Positions Tracker'!$B655,'Candidate Tracker'!$C:$C,"&lt;&gt;WIP",'Candidate Tracker'!$C:$C,"&lt;&gt;Hold",'Candidate Tracker'!$C:$C,"&lt;&gt;Cancelled",'Candidate Tracker'!$C:$C,"&lt;&gt;Closed")/COUNTIFS('Candidate Tracker'!$E:$E,'Positions Tracker'!$B655)),"")</f>
        <v/>
      </c>
      <c r="BD655" s="67" t="str">
        <f t="shared" si="60"/>
        <v/>
      </c>
      <c r="BE655" s="67" t="str">
        <f t="shared" si="61"/>
        <v/>
      </c>
      <c r="BF655" s="67" t="str">
        <f t="shared" si="62"/>
        <v/>
      </c>
      <c r="BG655" s="67" t="str">
        <f t="shared" si="63"/>
        <v/>
      </c>
    </row>
    <row r="656" spans="1:59">
      <c r="A656" s="55"/>
      <c r="B656" s="56"/>
      <c r="C656" s="56"/>
      <c r="D656" s="56"/>
      <c r="E656" s="56"/>
      <c r="F656" s="56"/>
      <c r="G656" s="56"/>
      <c r="H656" s="56"/>
      <c r="I656" s="6"/>
      <c r="J656" s="6"/>
      <c r="K656" s="57"/>
      <c r="L656" s="57"/>
      <c r="M656" s="57"/>
      <c r="N656" s="56"/>
      <c r="O656" s="56"/>
      <c r="P656" s="56"/>
      <c r="Q656" s="56"/>
      <c r="R656" s="56"/>
      <c r="S656" s="56"/>
      <c r="T656" s="56"/>
      <c r="U656" s="56"/>
      <c r="V656" s="56"/>
      <c r="W656" s="56"/>
      <c r="X656" s="56"/>
      <c r="Y656" s="56"/>
      <c r="Z656" s="56"/>
      <c r="AA656" s="56"/>
      <c r="AB656" s="56"/>
      <c r="AC656" s="56"/>
      <c r="AD656" s="56"/>
      <c r="AE656" s="56"/>
      <c r="AF656" s="56"/>
      <c r="AG656" s="56"/>
      <c r="AH656" s="56"/>
      <c r="AI656" s="58"/>
      <c r="AJ656" s="56"/>
      <c r="AK656" s="56"/>
      <c r="AL656" s="56"/>
      <c r="AM656" s="57"/>
      <c r="AN656" s="57"/>
      <c r="AO656" s="56"/>
      <c r="AP656" s="56"/>
      <c r="AQ656" s="57"/>
      <c r="AR656" s="57"/>
      <c r="AS656" s="57"/>
      <c r="AT656" s="67">
        <f t="shared" ca="1" si="64"/>
        <v>0</v>
      </c>
      <c r="AU656" s="79" t="str">
        <f t="shared" ca="1" si="65"/>
        <v/>
      </c>
      <c r="AV656" s="79" t="str" cm="1">
        <f t="array" aca="1" ref="AV656" ca="1">IFERROR(_xlfn.IFS($AU656="","",$AU656&lt;=15,"0-15",AND($AU656&gt;=16,$AU656&lt;=30),"16-30",AND($AU656&gt;=31,$AU656&lt;=45),"31-45",AND($AU656&gt;=46,$AU656&lt;=60),"46-60",AND($AU656&gt;=61,$AU656&lt;=90),"61-90",AND($AU656&gt;=91),"&gt; 90",AND($AU656&gt;=2000),""),"")</f>
        <v/>
      </c>
      <c r="AW656" s="79" t="str" cm="1">
        <f t="array" aca="1" ref="AW656" ca="1">IFERROR(_xlfn.IFS(OR($M656="",$AM656=""),"",OR($C656="Offered",$C656="Joined"),($AM656-$M656)-$AT656),"")</f>
        <v/>
      </c>
      <c r="AX656" s="79" t="str" cm="1">
        <f t="array" aca="1" ref="AX656" ca="1">IFERROR(_xlfn.IFS(OR($M656="",$AS656=""),"",$C656="Joined",($AS656-$M656)-$AT656),"")</f>
        <v/>
      </c>
      <c r="AY656" s="67" t="str">
        <f>IFERROR(IF(COUNTIFS('Candidate Tracker'!$E:$E,'Positions Tracker'!$B656,'Candidate Tracker'!$C:$C,"Offer Drop")=0,"",COUNTIFS('Candidate Tracker'!$E:$E,'Positions Tracker'!$B656,'Candidate Tracker'!$C:$C,"Offer Drop")),"")</f>
        <v/>
      </c>
      <c r="AZ656" s="80">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0.88111888111888115</v>
      </c>
      <c r="BA656" s="81" t="str">
        <f>IFERROR(IF(COUNTIFS('Candidate Tracker'!$E:$E,'Positions Tracker'!$B656,'Candidate Tracker'!$I:$I,"Female")=0,"",COUNTIFS('Candidate Tracker'!$E:$E,'Positions Tracker'!$B656,'Candidate Tracker'!$I:$I,"Female")),"")</f>
        <v/>
      </c>
      <c r="BB656" s="81" t="str">
        <f>IFERROR(IF(COUNTIFS('Candidate Tracker'!$E:$E,'Positions Tracker'!$B656,'Candidate Tracker'!$I:$I,"male")=0,"",COUNTIFS('Candidate Tracker'!$E:$E,'Positions Tracker'!$B656,'Candidate Tracker'!$I:$I,"male")),"")</f>
        <v/>
      </c>
      <c r="BC656" s="80" t="str">
        <f>IFERROR(IF(COUNTIFS('Candidate Tracker'!$E:$E,'Positions Tracker'!$B656,'Candidate Tracker'!$C:$C,"&lt;&gt;WIP",'Candidate Tracker'!$C:$C,"&lt;&gt;Hold",'Candidate Tracker'!$C:$C,"&lt;&gt;Cancelled",'Candidate Tracker'!$C:$C,"&lt;&gt;Closed")/COUNTIFS('Candidate Tracker'!$E:$E,'Positions Tracker'!$B656)=0,"",COUNTIFS('Candidate Tracker'!$E:$E,'Positions Tracker'!$B656,'Candidate Tracker'!$C:$C,"&lt;&gt;WIP",'Candidate Tracker'!$C:$C,"&lt;&gt;Hold",'Candidate Tracker'!$C:$C,"&lt;&gt;Cancelled",'Candidate Tracker'!$C:$C,"&lt;&gt;Closed")/COUNTIFS('Candidate Tracker'!$E:$E,'Positions Tracker'!$B656)),"")</f>
        <v/>
      </c>
      <c r="BD656" s="67" t="str">
        <f t="shared" si="60"/>
        <v/>
      </c>
      <c r="BE656" s="67" t="str">
        <f t="shared" si="61"/>
        <v/>
      </c>
      <c r="BF656" s="67" t="str">
        <f t="shared" si="62"/>
        <v/>
      </c>
      <c r="BG656" s="67" t="str">
        <f t="shared" si="63"/>
        <v/>
      </c>
    </row>
    <row r="657" spans="1:59">
      <c r="A657" s="55"/>
      <c r="B657" s="56"/>
      <c r="C657" s="56"/>
      <c r="D657" s="56"/>
      <c r="E657" s="56"/>
      <c r="F657" s="56"/>
      <c r="G657" s="56"/>
      <c r="H657" s="56"/>
      <c r="I657" s="6"/>
      <c r="J657" s="6"/>
      <c r="K657" s="57"/>
      <c r="L657" s="57"/>
      <c r="M657" s="57"/>
      <c r="N657" s="56"/>
      <c r="O657" s="56"/>
      <c r="P657" s="56"/>
      <c r="Q657" s="56"/>
      <c r="R657" s="56"/>
      <c r="S657" s="56"/>
      <c r="T657" s="56"/>
      <c r="U657" s="56"/>
      <c r="V657" s="56"/>
      <c r="W657" s="56"/>
      <c r="X657" s="56"/>
      <c r="Y657" s="56"/>
      <c r="Z657" s="56"/>
      <c r="AA657" s="56"/>
      <c r="AB657" s="56"/>
      <c r="AC657" s="56"/>
      <c r="AD657" s="56"/>
      <c r="AE657" s="56"/>
      <c r="AF657" s="56"/>
      <c r="AG657" s="56"/>
      <c r="AH657" s="56"/>
      <c r="AI657" s="58"/>
      <c r="AJ657" s="56"/>
      <c r="AK657" s="56"/>
      <c r="AL657" s="56"/>
      <c r="AM657" s="57"/>
      <c r="AN657" s="57"/>
      <c r="AO657" s="56"/>
      <c r="AP657" s="56"/>
      <c r="AQ657" s="57"/>
      <c r="AR657" s="57"/>
      <c r="AS657" s="57"/>
      <c r="AT657" s="67">
        <f t="shared" ca="1" si="64"/>
        <v>0</v>
      </c>
      <c r="AU657" s="79" t="str">
        <f t="shared" ca="1" si="65"/>
        <v/>
      </c>
      <c r="AV657" s="79" t="str" cm="1">
        <f t="array" aca="1" ref="AV657" ca="1">IFERROR(_xlfn.IFS($AU657="","",$AU657&lt;=15,"0-15",AND($AU657&gt;=16,$AU657&lt;=30),"16-30",AND($AU657&gt;=31,$AU657&lt;=45),"31-45",AND($AU657&gt;=46,$AU657&lt;=60),"46-60",AND($AU657&gt;=61,$AU657&lt;=90),"61-90",AND($AU657&gt;=91),"&gt; 90",AND($AU657&gt;=2000),""),"")</f>
        <v/>
      </c>
      <c r="AW657" s="79" t="str" cm="1">
        <f t="array" aca="1" ref="AW657" ca="1">IFERROR(_xlfn.IFS(OR($M657="",$AM657=""),"",OR($C657="Offered",$C657="Joined"),($AM657-$M657)-$AT657),"")</f>
        <v/>
      </c>
      <c r="AX657" s="79" t="str" cm="1">
        <f t="array" aca="1" ref="AX657" ca="1">IFERROR(_xlfn.IFS(OR($M657="",$AS657=""),"",$C657="Joined",($AS657-$M657)-$AT657),"")</f>
        <v/>
      </c>
      <c r="AY657" s="67" t="str">
        <f>IFERROR(IF(COUNTIFS('Candidate Tracker'!$E:$E,'Positions Tracker'!$B657,'Candidate Tracker'!$C:$C,"Offer Drop")=0,"",COUNTIFS('Candidate Tracker'!$E:$E,'Positions Tracker'!$B657,'Candidate Tracker'!$C:$C,"Offer Drop")),"")</f>
        <v/>
      </c>
      <c r="AZ657" s="80">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0.88111888111888115</v>
      </c>
      <c r="BA657" s="81" t="str">
        <f>IFERROR(IF(COUNTIFS('Candidate Tracker'!$E:$E,'Positions Tracker'!$B657,'Candidate Tracker'!$I:$I,"Female")=0,"",COUNTIFS('Candidate Tracker'!$E:$E,'Positions Tracker'!$B657,'Candidate Tracker'!$I:$I,"Female")),"")</f>
        <v/>
      </c>
      <c r="BB657" s="81" t="str">
        <f>IFERROR(IF(COUNTIFS('Candidate Tracker'!$E:$E,'Positions Tracker'!$B657,'Candidate Tracker'!$I:$I,"male")=0,"",COUNTIFS('Candidate Tracker'!$E:$E,'Positions Tracker'!$B657,'Candidate Tracker'!$I:$I,"male")),"")</f>
        <v/>
      </c>
      <c r="BC657" s="80" t="str">
        <f>IFERROR(IF(COUNTIFS('Candidate Tracker'!$E:$E,'Positions Tracker'!$B657,'Candidate Tracker'!$C:$C,"&lt;&gt;WIP",'Candidate Tracker'!$C:$C,"&lt;&gt;Hold",'Candidate Tracker'!$C:$C,"&lt;&gt;Cancelled",'Candidate Tracker'!$C:$C,"&lt;&gt;Closed")/COUNTIFS('Candidate Tracker'!$E:$E,'Positions Tracker'!$B657)=0,"",COUNTIFS('Candidate Tracker'!$E:$E,'Positions Tracker'!$B657,'Candidate Tracker'!$C:$C,"&lt;&gt;WIP",'Candidate Tracker'!$C:$C,"&lt;&gt;Hold",'Candidate Tracker'!$C:$C,"&lt;&gt;Cancelled",'Candidate Tracker'!$C:$C,"&lt;&gt;Closed")/COUNTIFS('Candidate Tracker'!$E:$E,'Positions Tracker'!$B657)),"")</f>
        <v/>
      </c>
      <c r="BD657" s="67" t="str">
        <f t="shared" si="60"/>
        <v/>
      </c>
      <c r="BE657" s="67" t="str">
        <f t="shared" si="61"/>
        <v/>
      </c>
      <c r="BF657" s="67" t="str">
        <f t="shared" si="62"/>
        <v/>
      </c>
      <c r="BG657" s="67" t="str">
        <f t="shared" si="63"/>
        <v/>
      </c>
    </row>
    <row r="658" spans="1:59">
      <c r="A658" s="55"/>
      <c r="B658" s="56"/>
      <c r="C658" s="56"/>
      <c r="D658" s="56"/>
      <c r="E658" s="56"/>
      <c r="F658" s="56"/>
      <c r="G658" s="56"/>
      <c r="H658" s="56"/>
      <c r="I658" s="6"/>
      <c r="J658" s="6"/>
      <c r="K658" s="57"/>
      <c r="L658" s="57"/>
      <c r="M658" s="57"/>
      <c r="N658" s="56"/>
      <c r="O658" s="56"/>
      <c r="P658" s="56"/>
      <c r="Q658" s="56"/>
      <c r="R658" s="56"/>
      <c r="S658" s="56"/>
      <c r="T658" s="56"/>
      <c r="U658" s="56"/>
      <c r="V658" s="56"/>
      <c r="W658" s="56"/>
      <c r="X658" s="56"/>
      <c r="Y658" s="56"/>
      <c r="Z658" s="56"/>
      <c r="AA658" s="56"/>
      <c r="AB658" s="56"/>
      <c r="AC658" s="56"/>
      <c r="AD658" s="56"/>
      <c r="AE658" s="56"/>
      <c r="AF658" s="56"/>
      <c r="AG658" s="56"/>
      <c r="AH658" s="56"/>
      <c r="AI658" s="58"/>
      <c r="AJ658" s="56"/>
      <c r="AK658" s="56"/>
      <c r="AL658" s="56"/>
      <c r="AM658" s="57"/>
      <c r="AN658" s="57"/>
      <c r="AO658" s="56"/>
      <c r="AP658" s="56"/>
      <c r="AQ658" s="57"/>
      <c r="AR658" s="57"/>
      <c r="AS658" s="57"/>
      <c r="AT658" s="67">
        <f t="shared" ca="1" si="64"/>
        <v>0</v>
      </c>
      <c r="AU658" s="79" t="str">
        <f t="shared" ca="1" si="65"/>
        <v/>
      </c>
      <c r="AV658" s="79" t="str" cm="1">
        <f t="array" aca="1" ref="AV658" ca="1">IFERROR(_xlfn.IFS($AU658="","",$AU658&lt;=15,"0-15",AND($AU658&gt;=16,$AU658&lt;=30),"16-30",AND($AU658&gt;=31,$AU658&lt;=45),"31-45",AND($AU658&gt;=46,$AU658&lt;=60),"46-60",AND($AU658&gt;=61,$AU658&lt;=90),"61-90",AND($AU658&gt;=91),"&gt; 90",AND($AU658&gt;=2000),""),"")</f>
        <v/>
      </c>
      <c r="AW658" s="79" t="str" cm="1">
        <f t="array" aca="1" ref="AW658" ca="1">IFERROR(_xlfn.IFS(OR($M658="",$AM658=""),"",OR($C658="Offered",$C658="Joined"),($AM658-$M658)-$AT658),"")</f>
        <v/>
      </c>
      <c r="AX658" s="79" t="str" cm="1">
        <f t="array" aca="1" ref="AX658" ca="1">IFERROR(_xlfn.IFS(OR($M658="",$AS658=""),"",$C658="Joined",($AS658-$M658)-$AT658),"")</f>
        <v/>
      </c>
      <c r="AY658" s="67" t="str">
        <f>IFERROR(IF(COUNTIFS('Candidate Tracker'!$E:$E,'Positions Tracker'!$B658,'Candidate Tracker'!$C:$C,"Offer Drop")=0,"",COUNTIFS('Candidate Tracker'!$E:$E,'Positions Tracker'!$B658,'Candidate Tracker'!$C:$C,"Offer Drop")),"")</f>
        <v/>
      </c>
      <c r="AZ658" s="80">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0.88111888111888115</v>
      </c>
      <c r="BA658" s="81" t="str">
        <f>IFERROR(IF(COUNTIFS('Candidate Tracker'!$E:$E,'Positions Tracker'!$B658,'Candidate Tracker'!$I:$I,"Female")=0,"",COUNTIFS('Candidate Tracker'!$E:$E,'Positions Tracker'!$B658,'Candidate Tracker'!$I:$I,"Female")),"")</f>
        <v/>
      </c>
      <c r="BB658" s="81" t="str">
        <f>IFERROR(IF(COUNTIFS('Candidate Tracker'!$E:$E,'Positions Tracker'!$B658,'Candidate Tracker'!$I:$I,"male")=0,"",COUNTIFS('Candidate Tracker'!$E:$E,'Positions Tracker'!$B658,'Candidate Tracker'!$I:$I,"male")),"")</f>
        <v/>
      </c>
      <c r="BC658" s="80" t="str">
        <f>IFERROR(IF(COUNTIFS('Candidate Tracker'!$E:$E,'Positions Tracker'!$B658,'Candidate Tracker'!$C:$C,"&lt;&gt;WIP",'Candidate Tracker'!$C:$C,"&lt;&gt;Hold",'Candidate Tracker'!$C:$C,"&lt;&gt;Cancelled",'Candidate Tracker'!$C:$C,"&lt;&gt;Closed")/COUNTIFS('Candidate Tracker'!$E:$E,'Positions Tracker'!$B658)=0,"",COUNTIFS('Candidate Tracker'!$E:$E,'Positions Tracker'!$B658,'Candidate Tracker'!$C:$C,"&lt;&gt;WIP",'Candidate Tracker'!$C:$C,"&lt;&gt;Hold",'Candidate Tracker'!$C:$C,"&lt;&gt;Cancelled",'Candidate Tracker'!$C:$C,"&lt;&gt;Closed")/COUNTIFS('Candidate Tracker'!$E:$E,'Positions Tracker'!$B658)),"")</f>
        <v/>
      </c>
      <c r="BD658" s="67" t="str">
        <f t="shared" si="60"/>
        <v/>
      </c>
      <c r="BE658" s="67" t="str">
        <f t="shared" si="61"/>
        <v/>
      </c>
      <c r="BF658" s="67" t="str">
        <f t="shared" si="62"/>
        <v/>
      </c>
      <c r="BG658" s="67" t="str">
        <f t="shared" si="63"/>
        <v/>
      </c>
    </row>
    <row r="659" spans="1:59">
      <c r="A659" s="55"/>
      <c r="B659" s="56"/>
      <c r="C659" s="56"/>
      <c r="D659" s="56"/>
      <c r="E659" s="56"/>
      <c r="F659" s="56"/>
      <c r="G659" s="56"/>
      <c r="H659" s="56"/>
      <c r="I659" s="6"/>
      <c r="J659" s="6"/>
      <c r="K659" s="57"/>
      <c r="L659" s="57"/>
      <c r="M659" s="57"/>
      <c r="N659" s="56"/>
      <c r="O659" s="56"/>
      <c r="P659" s="56"/>
      <c r="Q659" s="56"/>
      <c r="R659" s="56"/>
      <c r="S659" s="56"/>
      <c r="T659" s="56"/>
      <c r="U659" s="56"/>
      <c r="V659" s="56"/>
      <c r="W659" s="56"/>
      <c r="X659" s="56"/>
      <c r="Y659" s="56"/>
      <c r="Z659" s="56"/>
      <c r="AA659" s="56"/>
      <c r="AB659" s="56"/>
      <c r="AC659" s="56"/>
      <c r="AD659" s="56"/>
      <c r="AE659" s="56"/>
      <c r="AF659" s="56"/>
      <c r="AG659" s="56"/>
      <c r="AH659" s="56"/>
      <c r="AI659" s="58"/>
      <c r="AJ659" s="56"/>
      <c r="AK659" s="56"/>
      <c r="AL659" s="56"/>
      <c r="AM659" s="57"/>
      <c r="AN659" s="57"/>
      <c r="AO659" s="56"/>
      <c r="AP659" s="56"/>
      <c r="AQ659" s="57"/>
      <c r="AR659" s="57"/>
      <c r="AS659" s="57"/>
      <c r="AT659" s="67">
        <f t="shared" ca="1" si="64"/>
        <v>0</v>
      </c>
      <c r="AU659" s="79" t="str">
        <f t="shared" ca="1" si="65"/>
        <v/>
      </c>
      <c r="AV659" s="79" t="str" cm="1">
        <f t="array" aca="1" ref="AV659" ca="1">IFERROR(_xlfn.IFS($AU659="","",$AU659&lt;=15,"0-15",AND($AU659&gt;=16,$AU659&lt;=30),"16-30",AND($AU659&gt;=31,$AU659&lt;=45),"31-45",AND($AU659&gt;=46,$AU659&lt;=60),"46-60",AND($AU659&gt;=61,$AU659&lt;=90),"61-90",AND($AU659&gt;=91),"&gt; 90",AND($AU659&gt;=2000),""),"")</f>
        <v/>
      </c>
      <c r="AW659" s="79" t="str" cm="1">
        <f t="array" aca="1" ref="AW659" ca="1">IFERROR(_xlfn.IFS(OR($M659="",$AM659=""),"",OR($C659="Offered",$C659="Joined"),($AM659-$M659)-$AT659),"")</f>
        <v/>
      </c>
      <c r="AX659" s="79" t="str" cm="1">
        <f t="array" aca="1" ref="AX659" ca="1">IFERROR(_xlfn.IFS(OR($M659="",$AS659=""),"",$C659="Joined",($AS659-$M659)-$AT659),"")</f>
        <v/>
      </c>
      <c r="AY659" s="67" t="str">
        <f>IFERROR(IF(COUNTIFS('Candidate Tracker'!$E:$E,'Positions Tracker'!$B659,'Candidate Tracker'!$C:$C,"Offer Drop")=0,"",COUNTIFS('Candidate Tracker'!$E:$E,'Positions Tracker'!$B659,'Candidate Tracker'!$C:$C,"Offer Drop")),"")</f>
        <v/>
      </c>
      <c r="AZ659" s="80">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0.88111888111888115</v>
      </c>
      <c r="BA659" s="81" t="str">
        <f>IFERROR(IF(COUNTIFS('Candidate Tracker'!$E:$E,'Positions Tracker'!$B659,'Candidate Tracker'!$I:$I,"Female")=0,"",COUNTIFS('Candidate Tracker'!$E:$E,'Positions Tracker'!$B659,'Candidate Tracker'!$I:$I,"Female")),"")</f>
        <v/>
      </c>
      <c r="BB659" s="81" t="str">
        <f>IFERROR(IF(COUNTIFS('Candidate Tracker'!$E:$E,'Positions Tracker'!$B659,'Candidate Tracker'!$I:$I,"male")=0,"",COUNTIFS('Candidate Tracker'!$E:$E,'Positions Tracker'!$B659,'Candidate Tracker'!$I:$I,"male")),"")</f>
        <v/>
      </c>
      <c r="BC659" s="80" t="str">
        <f>IFERROR(IF(COUNTIFS('Candidate Tracker'!$E:$E,'Positions Tracker'!$B659,'Candidate Tracker'!$C:$C,"&lt;&gt;WIP",'Candidate Tracker'!$C:$C,"&lt;&gt;Hold",'Candidate Tracker'!$C:$C,"&lt;&gt;Cancelled",'Candidate Tracker'!$C:$C,"&lt;&gt;Closed")/COUNTIFS('Candidate Tracker'!$E:$E,'Positions Tracker'!$B659)=0,"",COUNTIFS('Candidate Tracker'!$E:$E,'Positions Tracker'!$B659,'Candidate Tracker'!$C:$C,"&lt;&gt;WIP",'Candidate Tracker'!$C:$C,"&lt;&gt;Hold",'Candidate Tracker'!$C:$C,"&lt;&gt;Cancelled",'Candidate Tracker'!$C:$C,"&lt;&gt;Closed")/COUNTIFS('Candidate Tracker'!$E:$E,'Positions Tracker'!$B659)),"")</f>
        <v/>
      </c>
      <c r="BD659" s="67" t="str">
        <f t="shared" si="60"/>
        <v/>
      </c>
      <c r="BE659" s="67" t="str">
        <f t="shared" si="61"/>
        <v/>
      </c>
      <c r="BF659" s="67" t="str">
        <f t="shared" si="62"/>
        <v/>
      </c>
      <c r="BG659" s="67" t="str">
        <f t="shared" si="63"/>
        <v/>
      </c>
    </row>
    <row r="660" spans="1:59">
      <c r="A660" s="55"/>
      <c r="B660" s="56"/>
      <c r="C660" s="56"/>
      <c r="D660" s="56"/>
      <c r="E660" s="56"/>
      <c r="F660" s="56"/>
      <c r="G660" s="56"/>
      <c r="H660" s="56"/>
      <c r="I660" s="6"/>
      <c r="J660" s="6"/>
      <c r="K660" s="57"/>
      <c r="L660" s="57"/>
      <c r="M660" s="57"/>
      <c r="N660" s="56"/>
      <c r="O660" s="56"/>
      <c r="P660" s="56"/>
      <c r="Q660" s="56"/>
      <c r="R660" s="56"/>
      <c r="S660" s="56"/>
      <c r="T660" s="56"/>
      <c r="U660" s="56"/>
      <c r="V660" s="56"/>
      <c r="W660" s="56"/>
      <c r="X660" s="56"/>
      <c r="Y660" s="56"/>
      <c r="Z660" s="56"/>
      <c r="AA660" s="56"/>
      <c r="AB660" s="56"/>
      <c r="AC660" s="56"/>
      <c r="AD660" s="56"/>
      <c r="AE660" s="56"/>
      <c r="AF660" s="56"/>
      <c r="AG660" s="56"/>
      <c r="AH660" s="56"/>
      <c r="AI660" s="58"/>
      <c r="AJ660" s="56"/>
      <c r="AK660" s="56"/>
      <c r="AL660" s="56"/>
      <c r="AM660" s="57"/>
      <c r="AN660" s="57"/>
      <c r="AO660" s="56"/>
      <c r="AP660" s="56"/>
      <c r="AQ660" s="57"/>
      <c r="AR660" s="57"/>
      <c r="AS660" s="57"/>
      <c r="AT660" s="67">
        <f t="shared" ca="1" si="64"/>
        <v>0</v>
      </c>
      <c r="AU660" s="79" t="str">
        <f t="shared" ca="1" si="65"/>
        <v/>
      </c>
      <c r="AV660" s="79" t="str" cm="1">
        <f t="array" aca="1" ref="AV660" ca="1">IFERROR(_xlfn.IFS($AU660="","",$AU660&lt;=15,"0-15",AND($AU660&gt;=16,$AU660&lt;=30),"16-30",AND($AU660&gt;=31,$AU660&lt;=45),"31-45",AND($AU660&gt;=46,$AU660&lt;=60),"46-60",AND($AU660&gt;=61,$AU660&lt;=90),"61-90",AND($AU660&gt;=91),"&gt; 90",AND($AU660&gt;=2000),""),"")</f>
        <v/>
      </c>
      <c r="AW660" s="79" t="str" cm="1">
        <f t="array" aca="1" ref="AW660" ca="1">IFERROR(_xlfn.IFS(OR($M660="",$AM660=""),"",OR($C660="Offered",$C660="Joined"),($AM660-$M660)-$AT660),"")</f>
        <v/>
      </c>
      <c r="AX660" s="79" t="str" cm="1">
        <f t="array" aca="1" ref="AX660" ca="1">IFERROR(_xlfn.IFS(OR($M660="",$AS660=""),"",$C660="Joined",($AS660-$M660)-$AT660),"")</f>
        <v/>
      </c>
      <c r="AY660" s="67" t="str">
        <f>IFERROR(IF(COUNTIFS('Candidate Tracker'!$E:$E,'Positions Tracker'!$B660,'Candidate Tracker'!$C:$C,"Offer Drop")=0,"",COUNTIFS('Candidate Tracker'!$E:$E,'Positions Tracker'!$B660,'Candidate Tracker'!$C:$C,"Offer Drop")),"")</f>
        <v/>
      </c>
      <c r="AZ660" s="80">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0.88111888111888115</v>
      </c>
      <c r="BA660" s="81" t="str">
        <f>IFERROR(IF(COUNTIFS('Candidate Tracker'!$E:$E,'Positions Tracker'!$B660,'Candidate Tracker'!$I:$I,"Female")=0,"",COUNTIFS('Candidate Tracker'!$E:$E,'Positions Tracker'!$B660,'Candidate Tracker'!$I:$I,"Female")),"")</f>
        <v/>
      </c>
      <c r="BB660" s="81" t="str">
        <f>IFERROR(IF(COUNTIFS('Candidate Tracker'!$E:$E,'Positions Tracker'!$B660,'Candidate Tracker'!$I:$I,"male")=0,"",COUNTIFS('Candidate Tracker'!$E:$E,'Positions Tracker'!$B660,'Candidate Tracker'!$I:$I,"male")),"")</f>
        <v/>
      </c>
      <c r="BC660" s="80" t="str">
        <f>IFERROR(IF(COUNTIFS('Candidate Tracker'!$E:$E,'Positions Tracker'!$B660,'Candidate Tracker'!$C:$C,"&lt;&gt;WIP",'Candidate Tracker'!$C:$C,"&lt;&gt;Hold",'Candidate Tracker'!$C:$C,"&lt;&gt;Cancelled",'Candidate Tracker'!$C:$C,"&lt;&gt;Closed")/COUNTIFS('Candidate Tracker'!$E:$E,'Positions Tracker'!$B660)=0,"",COUNTIFS('Candidate Tracker'!$E:$E,'Positions Tracker'!$B660,'Candidate Tracker'!$C:$C,"&lt;&gt;WIP",'Candidate Tracker'!$C:$C,"&lt;&gt;Hold",'Candidate Tracker'!$C:$C,"&lt;&gt;Cancelled",'Candidate Tracker'!$C:$C,"&lt;&gt;Closed")/COUNTIFS('Candidate Tracker'!$E:$E,'Positions Tracker'!$B660)),"")</f>
        <v/>
      </c>
      <c r="BD660" s="67" t="str">
        <f t="shared" si="60"/>
        <v/>
      </c>
      <c r="BE660" s="67" t="str">
        <f t="shared" si="61"/>
        <v/>
      </c>
      <c r="BF660" s="67" t="str">
        <f t="shared" si="62"/>
        <v/>
      </c>
      <c r="BG660" s="67" t="str">
        <f t="shared" si="63"/>
        <v/>
      </c>
    </row>
    <row r="661" spans="1:59">
      <c r="A661" s="55"/>
      <c r="B661" s="56"/>
      <c r="C661" s="56"/>
      <c r="D661" s="56"/>
      <c r="E661" s="56"/>
      <c r="F661" s="56"/>
      <c r="G661" s="56"/>
      <c r="H661" s="56"/>
      <c r="I661" s="6"/>
      <c r="J661" s="6"/>
      <c r="K661" s="57"/>
      <c r="L661" s="57"/>
      <c r="M661" s="57"/>
      <c r="N661" s="56"/>
      <c r="O661" s="56"/>
      <c r="P661" s="56"/>
      <c r="Q661" s="56"/>
      <c r="R661" s="56"/>
      <c r="S661" s="56"/>
      <c r="T661" s="56"/>
      <c r="U661" s="56"/>
      <c r="V661" s="56"/>
      <c r="W661" s="56"/>
      <c r="X661" s="56"/>
      <c r="Y661" s="56"/>
      <c r="Z661" s="56"/>
      <c r="AA661" s="56"/>
      <c r="AB661" s="56"/>
      <c r="AC661" s="56"/>
      <c r="AD661" s="56"/>
      <c r="AE661" s="56"/>
      <c r="AF661" s="56"/>
      <c r="AG661" s="56"/>
      <c r="AH661" s="56"/>
      <c r="AI661" s="58"/>
      <c r="AJ661" s="56"/>
      <c r="AK661" s="56"/>
      <c r="AL661" s="56"/>
      <c r="AM661" s="57"/>
      <c r="AN661" s="57"/>
      <c r="AO661" s="56"/>
      <c r="AP661" s="56"/>
      <c r="AQ661" s="57"/>
      <c r="AR661" s="57"/>
      <c r="AS661" s="57"/>
      <c r="AT661" s="67">
        <f t="shared" ca="1" si="64"/>
        <v>0</v>
      </c>
      <c r="AU661" s="79" t="str">
        <f t="shared" ca="1" si="65"/>
        <v/>
      </c>
      <c r="AV661" s="79" t="str" cm="1">
        <f t="array" aca="1" ref="AV661" ca="1">IFERROR(_xlfn.IFS($AU661="","",$AU661&lt;=15,"0-15",AND($AU661&gt;=16,$AU661&lt;=30),"16-30",AND($AU661&gt;=31,$AU661&lt;=45),"31-45",AND($AU661&gt;=46,$AU661&lt;=60),"46-60",AND($AU661&gt;=61,$AU661&lt;=90),"61-90",AND($AU661&gt;=91),"&gt; 90",AND($AU661&gt;=2000),""),"")</f>
        <v/>
      </c>
      <c r="AW661" s="79" t="str" cm="1">
        <f t="array" aca="1" ref="AW661" ca="1">IFERROR(_xlfn.IFS(OR($M661="",$AM661=""),"",OR($C661="Offered",$C661="Joined"),($AM661-$M661)-$AT661),"")</f>
        <v/>
      </c>
      <c r="AX661" s="79" t="str" cm="1">
        <f t="array" aca="1" ref="AX661" ca="1">IFERROR(_xlfn.IFS(OR($M661="",$AS661=""),"",$C661="Joined",($AS661-$M661)-$AT661),"")</f>
        <v/>
      </c>
      <c r="AY661" s="67" t="str">
        <f>IFERROR(IF(COUNTIFS('Candidate Tracker'!$E:$E,'Positions Tracker'!$B661,'Candidate Tracker'!$C:$C,"Offer Drop")=0,"",COUNTIFS('Candidate Tracker'!$E:$E,'Positions Tracker'!$B661,'Candidate Tracker'!$C:$C,"Offer Drop")),"")</f>
        <v/>
      </c>
      <c r="AZ661" s="80">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0.88111888111888115</v>
      </c>
      <c r="BA661" s="81" t="str">
        <f>IFERROR(IF(COUNTIFS('Candidate Tracker'!$E:$E,'Positions Tracker'!$B661,'Candidate Tracker'!$I:$I,"Female")=0,"",COUNTIFS('Candidate Tracker'!$E:$E,'Positions Tracker'!$B661,'Candidate Tracker'!$I:$I,"Female")),"")</f>
        <v/>
      </c>
      <c r="BB661" s="81" t="str">
        <f>IFERROR(IF(COUNTIFS('Candidate Tracker'!$E:$E,'Positions Tracker'!$B661,'Candidate Tracker'!$I:$I,"male")=0,"",COUNTIFS('Candidate Tracker'!$E:$E,'Positions Tracker'!$B661,'Candidate Tracker'!$I:$I,"male")),"")</f>
        <v/>
      </c>
      <c r="BC661" s="80" t="str">
        <f>IFERROR(IF(COUNTIFS('Candidate Tracker'!$E:$E,'Positions Tracker'!$B661,'Candidate Tracker'!$C:$C,"&lt;&gt;WIP",'Candidate Tracker'!$C:$C,"&lt;&gt;Hold",'Candidate Tracker'!$C:$C,"&lt;&gt;Cancelled",'Candidate Tracker'!$C:$C,"&lt;&gt;Closed")/COUNTIFS('Candidate Tracker'!$E:$E,'Positions Tracker'!$B661)=0,"",COUNTIFS('Candidate Tracker'!$E:$E,'Positions Tracker'!$B661,'Candidate Tracker'!$C:$C,"&lt;&gt;WIP",'Candidate Tracker'!$C:$C,"&lt;&gt;Hold",'Candidate Tracker'!$C:$C,"&lt;&gt;Cancelled",'Candidate Tracker'!$C:$C,"&lt;&gt;Closed")/COUNTIFS('Candidate Tracker'!$E:$E,'Positions Tracker'!$B661)),"")</f>
        <v/>
      </c>
      <c r="BD661" s="67" t="str">
        <f t="shared" si="60"/>
        <v/>
      </c>
      <c r="BE661" s="67" t="str">
        <f t="shared" si="61"/>
        <v/>
      </c>
      <c r="BF661" s="67" t="str">
        <f t="shared" si="62"/>
        <v/>
      </c>
      <c r="BG661" s="67" t="str">
        <f t="shared" si="63"/>
        <v/>
      </c>
    </row>
    <row r="662" spans="1:59">
      <c r="A662" s="55"/>
      <c r="B662" s="56"/>
      <c r="C662" s="56"/>
      <c r="D662" s="56"/>
      <c r="E662" s="56"/>
      <c r="F662" s="56"/>
      <c r="G662" s="56"/>
      <c r="H662" s="56"/>
      <c r="I662" s="6"/>
      <c r="J662" s="6"/>
      <c r="K662" s="57"/>
      <c r="L662" s="57"/>
      <c r="M662" s="57"/>
      <c r="N662" s="56"/>
      <c r="O662" s="56"/>
      <c r="P662" s="56"/>
      <c r="Q662" s="56"/>
      <c r="R662" s="56"/>
      <c r="S662" s="56"/>
      <c r="T662" s="56"/>
      <c r="U662" s="56"/>
      <c r="V662" s="56"/>
      <c r="W662" s="56"/>
      <c r="X662" s="56"/>
      <c r="Y662" s="56"/>
      <c r="Z662" s="56"/>
      <c r="AA662" s="56"/>
      <c r="AB662" s="56"/>
      <c r="AC662" s="56"/>
      <c r="AD662" s="56"/>
      <c r="AE662" s="56"/>
      <c r="AF662" s="56"/>
      <c r="AG662" s="56"/>
      <c r="AH662" s="56"/>
      <c r="AI662" s="58"/>
      <c r="AJ662" s="56"/>
      <c r="AK662" s="56"/>
      <c r="AL662" s="56"/>
      <c r="AM662" s="57"/>
      <c r="AN662" s="57"/>
      <c r="AO662" s="56"/>
      <c r="AP662" s="56"/>
      <c r="AQ662" s="57"/>
      <c r="AR662" s="57"/>
      <c r="AS662" s="57"/>
      <c r="AT662" s="67">
        <f t="shared" ca="1" si="64"/>
        <v>0</v>
      </c>
      <c r="AU662" s="79" t="str">
        <f t="shared" ca="1" si="65"/>
        <v/>
      </c>
      <c r="AV662" s="79" t="str" cm="1">
        <f t="array" aca="1" ref="AV662" ca="1">IFERROR(_xlfn.IFS($AU662="","",$AU662&lt;=15,"0-15",AND($AU662&gt;=16,$AU662&lt;=30),"16-30",AND($AU662&gt;=31,$AU662&lt;=45),"31-45",AND($AU662&gt;=46,$AU662&lt;=60),"46-60",AND($AU662&gt;=61,$AU662&lt;=90),"61-90",AND($AU662&gt;=91),"&gt; 90",AND($AU662&gt;=2000),""),"")</f>
        <v/>
      </c>
      <c r="AW662" s="79" t="str" cm="1">
        <f t="array" aca="1" ref="AW662" ca="1">IFERROR(_xlfn.IFS(OR($M662="",$AM662=""),"",OR($C662="Offered",$C662="Joined"),($AM662-$M662)-$AT662),"")</f>
        <v/>
      </c>
      <c r="AX662" s="79" t="str" cm="1">
        <f t="array" aca="1" ref="AX662" ca="1">IFERROR(_xlfn.IFS(OR($M662="",$AS662=""),"",$C662="Joined",($AS662-$M662)-$AT662),"")</f>
        <v/>
      </c>
      <c r="AY662" s="67" t="str">
        <f>IFERROR(IF(COUNTIFS('Candidate Tracker'!$E:$E,'Positions Tracker'!$B662,'Candidate Tracker'!$C:$C,"Offer Drop")=0,"",COUNTIFS('Candidate Tracker'!$E:$E,'Positions Tracker'!$B662,'Candidate Tracker'!$C:$C,"Offer Drop")),"")</f>
        <v/>
      </c>
      <c r="AZ662" s="80">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0.88111888111888115</v>
      </c>
      <c r="BA662" s="81" t="str">
        <f>IFERROR(IF(COUNTIFS('Candidate Tracker'!$E:$E,'Positions Tracker'!$B662,'Candidate Tracker'!$I:$I,"Female")=0,"",COUNTIFS('Candidate Tracker'!$E:$E,'Positions Tracker'!$B662,'Candidate Tracker'!$I:$I,"Female")),"")</f>
        <v/>
      </c>
      <c r="BB662" s="81" t="str">
        <f>IFERROR(IF(COUNTIFS('Candidate Tracker'!$E:$E,'Positions Tracker'!$B662,'Candidate Tracker'!$I:$I,"male")=0,"",COUNTIFS('Candidate Tracker'!$E:$E,'Positions Tracker'!$B662,'Candidate Tracker'!$I:$I,"male")),"")</f>
        <v/>
      </c>
      <c r="BC662" s="80" t="str">
        <f>IFERROR(IF(COUNTIFS('Candidate Tracker'!$E:$E,'Positions Tracker'!$B662,'Candidate Tracker'!$C:$C,"&lt;&gt;WIP",'Candidate Tracker'!$C:$C,"&lt;&gt;Hold",'Candidate Tracker'!$C:$C,"&lt;&gt;Cancelled",'Candidate Tracker'!$C:$C,"&lt;&gt;Closed")/COUNTIFS('Candidate Tracker'!$E:$E,'Positions Tracker'!$B662)=0,"",COUNTIFS('Candidate Tracker'!$E:$E,'Positions Tracker'!$B662,'Candidate Tracker'!$C:$C,"&lt;&gt;WIP",'Candidate Tracker'!$C:$C,"&lt;&gt;Hold",'Candidate Tracker'!$C:$C,"&lt;&gt;Cancelled",'Candidate Tracker'!$C:$C,"&lt;&gt;Closed")/COUNTIFS('Candidate Tracker'!$E:$E,'Positions Tracker'!$B662)),"")</f>
        <v/>
      </c>
      <c r="BD662" s="67" t="str">
        <f t="shared" si="60"/>
        <v/>
      </c>
      <c r="BE662" s="67" t="str">
        <f t="shared" si="61"/>
        <v/>
      </c>
      <c r="BF662" s="67" t="str">
        <f t="shared" si="62"/>
        <v/>
      </c>
      <c r="BG662" s="67" t="str">
        <f t="shared" si="63"/>
        <v/>
      </c>
    </row>
    <row r="663" spans="1:59">
      <c r="A663" s="55"/>
      <c r="B663" s="56"/>
      <c r="C663" s="56"/>
      <c r="D663" s="56"/>
      <c r="E663" s="56"/>
      <c r="F663" s="56"/>
      <c r="G663" s="56"/>
      <c r="H663" s="56"/>
      <c r="I663" s="6"/>
      <c r="J663" s="6"/>
      <c r="K663" s="57"/>
      <c r="L663" s="57"/>
      <c r="M663" s="57"/>
      <c r="N663" s="56"/>
      <c r="O663" s="56"/>
      <c r="P663" s="56"/>
      <c r="Q663" s="56"/>
      <c r="R663" s="56"/>
      <c r="S663" s="56"/>
      <c r="T663" s="56"/>
      <c r="U663" s="56"/>
      <c r="V663" s="56"/>
      <c r="W663" s="56"/>
      <c r="X663" s="56"/>
      <c r="Y663" s="56"/>
      <c r="Z663" s="56"/>
      <c r="AA663" s="56"/>
      <c r="AB663" s="56"/>
      <c r="AC663" s="56"/>
      <c r="AD663" s="56"/>
      <c r="AE663" s="56"/>
      <c r="AF663" s="56"/>
      <c r="AG663" s="56"/>
      <c r="AH663" s="56"/>
      <c r="AI663" s="58"/>
      <c r="AJ663" s="56"/>
      <c r="AK663" s="56"/>
      <c r="AL663" s="56"/>
      <c r="AM663" s="57"/>
      <c r="AN663" s="57"/>
      <c r="AO663" s="56"/>
      <c r="AP663" s="56"/>
      <c r="AQ663" s="57"/>
      <c r="AR663" s="57"/>
      <c r="AS663" s="57"/>
      <c r="AT663" s="67">
        <f t="shared" ca="1" si="64"/>
        <v>0</v>
      </c>
      <c r="AU663" s="79" t="str">
        <f t="shared" ca="1" si="65"/>
        <v/>
      </c>
      <c r="AV663" s="79" t="str" cm="1">
        <f t="array" aca="1" ref="AV663" ca="1">IFERROR(_xlfn.IFS($AU663="","",$AU663&lt;=15,"0-15",AND($AU663&gt;=16,$AU663&lt;=30),"16-30",AND($AU663&gt;=31,$AU663&lt;=45),"31-45",AND($AU663&gt;=46,$AU663&lt;=60),"46-60",AND($AU663&gt;=61,$AU663&lt;=90),"61-90",AND($AU663&gt;=91),"&gt; 90",AND($AU663&gt;=2000),""),"")</f>
        <v/>
      </c>
      <c r="AW663" s="79" t="str" cm="1">
        <f t="array" aca="1" ref="AW663" ca="1">IFERROR(_xlfn.IFS(OR($M663="",$AM663=""),"",OR($C663="Offered",$C663="Joined"),($AM663-$M663)-$AT663),"")</f>
        <v/>
      </c>
      <c r="AX663" s="79" t="str" cm="1">
        <f t="array" aca="1" ref="AX663" ca="1">IFERROR(_xlfn.IFS(OR($M663="",$AS663=""),"",$C663="Joined",($AS663-$M663)-$AT663),"")</f>
        <v/>
      </c>
      <c r="AY663" s="67" t="str">
        <f>IFERROR(IF(COUNTIFS('Candidate Tracker'!$E:$E,'Positions Tracker'!$B663,'Candidate Tracker'!$C:$C,"Offer Drop")=0,"",COUNTIFS('Candidate Tracker'!$E:$E,'Positions Tracker'!$B663,'Candidate Tracker'!$C:$C,"Offer Drop")),"")</f>
        <v/>
      </c>
      <c r="AZ663" s="80">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0.88111888111888115</v>
      </c>
      <c r="BA663" s="81" t="str">
        <f>IFERROR(IF(COUNTIFS('Candidate Tracker'!$E:$E,'Positions Tracker'!$B663,'Candidate Tracker'!$I:$I,"Female")=0,"",COUNTIFS('Candidate Tracker'!$E:$E,'Positions Tracker'!$B663,'Candidate Tracker'!$I:$I,"Female")),"")</f>
        <v/>
      </c>
      <c r="BB663" s="81" t="str">
        <f>IFERROR(IF(COUNTIFS('Candidate Tracker'!$E:$E,'Positions Tracker'!$B663,'Candidate Tracker'!$I:$I,"male")=0,"",COUNTIFS('Candidate Tracker'!$E:$E,'Positions Tracker'!$B663,'Candidate Tracker'!$I:$I,"male")),"")</f>
        <v/>
      </c>
      <c r="BC663" s="80" t="str">
        <f>IFERROR(IF(COUNTIFS('Candidate Tracker'!$E:$E,'Positions Tracker'!$B663,'Candidate Tracker'!$C:$C,"&lt;&gt;WIP",'Candidate Tracker'!$C:$C,"&lt;&gt;Hold",'Candidate Tracker'!$C:$C,"&lt;&gt;Cancelled",'Candidate Tracker'!$C:$C,"&lt;&gt;Closed")/COUNTIFS('Candidate Tracker'!$E:$E,'Positions Tracker'!$B663)=0,"",COUNTIFS('Candidate Tracker'!$E:$E,'Positions Tracker'!$B663,'Candidate Tracker'!$C:$C,"&lt;&gt;WIP",'Candidate Tracker'!$C:$C,"&lt;&gt;Hold",'Candidate Tracker'!$C:$C,"&lt;&gt;Cancelled",'Candidate Tracker'!$C:$C,"&lt;&gt;Closed")/COUNTIFS('Candidate Tracker'!$E:$E,'Positions Tracker'!$B663)),"")</f>
        <v/>
      </c>
      <c r="BD663" s="67" t="str">
        <f t="shared" si="60"/>
        <v/>
      </c>
      <c r="BE663" s="67" t="str">
        <f t="shared" si="61"/>
        <v/>
      </c>
      <c r="BF663" s="67" t="str">
        <f t="shared" si="62"/>
        <v/>
      </c>
      <c r="BG663" s="67" t="str">
        <f t="shared" si="63"/>
        <v/>
      </c>
    </row>
    <row r="664" spans="1:59">
      <c r="A664" s="55"/>
      <c r="B664" s="56"/>
      <c r="C664" s="56"/>
      <c r="D664" s="56"/>
      <c r="E664" s="56"/>
      <c r="F664" s="56"/>
      <c r="G664" s="56"/>
      <c r="H664" s="56"/>
      <c r="I664" s="6"/>
      <c r="J664" s="6"/>
      <c r="K664" s="57"/>
      <c r="L664" s="57"/>
      <c r="M664" s="57"/>
      <c r="N664" s="56"/>
      <c r="O664" s="56"/>
      <c r="P664" s="56"/>
      <c r="Q664" s="56"/>
      <c r="R664" s="56"/>
      <c r="S664" s="56"/>
      <c r="T664" s="56"/>
      <c r="U664" s="56"/>
      <c r="V664" s="56"/>
      <c r="W664" s="56"/>
      <c r="X664" s="56"/>
      <c r="Y664" s="56"/>
      <c r="Z664" s="56"/>
      <c r="AA664" s="56"/>
      <c r="AB664" s="56"/>
      <c r="AC664" s="56"/>
      <c r="AD664" s="56"/>
      <c r="AE664" s="56"/>
      <c r="AF664" s="56"/>
      <c r="AG664" s="56"/>
      <c r="AH664" s="56"/>
      <c r="AI664" s="58"/>
      <c r="AJ664" s="56"/>
      <c r="AK664" s="56"/>
      <c r="AL664" s="56"/>
      <c r="AM664" s="57"/>
      <c r="AN664" s="57"/>
      <c r="AO664" s="56"/>
      <c r="AP664" s="56"/>
      <c r="AQ664" s="57"/>
      <c r="AR664" s="57"/>
      <c r="AS664" s="57"/>
      <c r="AT664" s="67">
        <f t="shared" ca="1" si="64"/>
        <v>0</v>
      </c>
      <c r="AU664" s="79" t="str">
        <f t="shared" ca="1" si="65"/>
        <v/>
      </c>
      <c r="AV664" s="79" t="str" cm="1">
        <f t="array" aca="1" ref="AV664" ca="1">IFERROR(_xlfn.IFS($AU664="","",$AU664&lt;=15,"0-15",AND($AU664&gt;=16,$AU664&lt;=30),"16-30",AND($AU664&gt;=31,$AU664&lt;=45),"31-45",AND($AU664&gt;=46,$AU664&lt;=60),"46-60",AND($AU664&gt;=61,$AU664&lt;=90),"61-90",AND($AU664&gt;=91),"&gt; 90",AND($AU664&gt;=2000),""),"")</f>
        <v/>
      </c>
      <c r="AW664" s="79" t="str" cm="1">
        <f t="array" aca="1" ref="AW664" ca="1">IFERROR(_xlfn.IFS(OR($M664="",$AM664=""),"",OR($C664="Offered",$C664="Joined"),($AM664-$M664)-$AT664),"")</f>
        <v/>
      </c>
      <c r="AX664" s="79" t="str" cm="1">
        <f t="array" aca="1" ref="AX664" ca="1">IFERROR(_xlfn.IFS(OR($M664="",$AS664=""),"",$C664="Joined",($AS664-$M664)-$AT664),"")</f>
        <v/>
      </c>
      <c r="AY664" s="67" t="str">
        <f>IFERROR(IF(COUNTIFS('Candidate Tracker'!$E:$E,'Positions Tracker'!$B664,'Candidate Tracker'!$C:$C,"Offer Drop")=0,"",COUNTIFS('Candidate Tracker'!$E:$E,'Positions Tracker'!$B664,'Candidate Tracker'!$C:$C,"Offer Drop")),"")</f>
        <v/>
      </c>
      <c r="AZ664" s="80">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0.88111888111888115</v>
      </c>
      <c r="BA664" s="81" t="str">
        <f>IFERROR(IF(COUNTIFS('Candidate Tracker'!$E:$E,'Positions Tracker'!$B664,'Candidate Tracker'!$I:$I,"Female")=0,"",COUNTIFS('Candidate Tracker'!$E:$E,'Positions Tracker'!$B664,'Candidate Tracker'!$I:$I,"Female")),"")</f>
        <v/>
      </c>
      <c r="BB664" s="81" t="str">
        <f>IFERROR(IF(COUNTIFS('Candidate Tracker'!$E:$E,'Positions Tracker'!$B664,'Candidate Tracker'!$I:$I,"male")=0,"",COUNTIFS('Candidate Tracker'!$E:$E,'Positions Tracker'!$B664,'Candidate Tracker'!$I:$I,"male")),"")</f>
        <v/>
      </c>
      <c r="BC664" s="80" t="str">
        <f>IFERROR(IF(COUNTIFS('Candidate Tracker'!$E:$E,'Positions Tracker'!$B664,'Candidate Tracker'!$C:$C,"&lt;&gt;WIP",'Candidate Tracker'!$C:$C,"&lt;&gt;Hold",'Candidate Tracker'!$C:$C,"&lt;&gt;Cancelled",'Candidate Tracker'!$C:$C,"&lt;&gt;Closed")/COUNTIFS('Candidate Tracker'!$E:$E,'Positions Tracker'!$B664)=0,"",COUNTIFS('Candidate Tracker'!$E:$E,'Positions Tracker'!$B664,'Candidate Tracker'!$C:$C,"&lt;&gt;WIP",'Candidate Tracker'!$C:$C,"&lt;&gt;Hold",'Candidate Tracker'!$C:$C,"&lt;&gt;Cancelled",'Candidate Tracker'!$C:$C,"&lt;&gt;Closed")/COUNTIFS('Candidate Tracker'!$E:$E,'Positions Tracker'!$B664)),"")</f>
        <v/>
      </c>
      <c r="BD664" s="67" t="str">
        <f t="shared" si="60"/>
        <v/>
      </c>
      <c r="BE664" s="67" t="str">
        <f t="shared" si="61"/>
        <v/>
      </c>
      <c r="BF664" s="67" t="str">
        <f t="shared" si="62"/>
        <v/>
      </c>
      <c r="BG664" s="67" t="str">
        <f t="shared" si="63"/>
        <v/>
      </c>
    </row>
    <row r="665" spans="1:59">
      <c r="A665" s="55"/>
      <c r="B665" s="56"/>
      <c r="C665" s="56"/>
      <c r="D665" s="56"/>
      <c r="E665" s="56"/>
      <c r="F665" s="56"/>
      <c r="G665" s="56"/>
      <c r="H665" s="56"/>
      <c r="I665" s="6"/>
      <c r="J665" s="6"/>
      <c r="K665" s="57"/>
      <c r="L665" s="57"/>
      <c r="M665" s="57"/>
      <c r="N665" s="56"/>
      <c r="O665" s="56"/>
      <c r="P665" s="56"/>
      <c r="Q665" s="56"/>
      <c r="R665" s="56"/>
      <c r="S665" s="56"/>
      <c r="T665" s="56"/>
      <c r="U665" s="56"/>
      <c r="V665" s="56"/>
      <c r="W665" s="56"/>
      <c r="X665" s="56"/>
      <c r="Y665" s="56"/>
      <c r="Z665" s="56"/>
      <c r="AA665" s="56"/>
      <c r="AB665" s="56"/>
      <c r="AC665" s="56"/>
      <c r="AD665" s="56"/>
      <c r="AE665" s="56"/>
      <c r="AF665" s="56"/>
      <c r="AG665" s="56"/>
      <c r="AH665" s="56"/>
      <c r="AI665" s="58"/>
      <c r="AJ665" s="56"/>
      <c r="AK665" s="56"/>
      <c r="AL665" s="56"/>
      <c r="AM665" s="57"/>
      <c r="AN665" s="57"/>
      <c r="AO665" s="56"/>
      <c r="AP665" s="56"/>
      <c r="AQ665" s="57"/>
      <c r="AR665" s="57"/>
      <c r="AS665" s="57"/>
      <c r="AT665" s="67">
        <f t="shared" ca="1" si="64"/>
        <v>0</v>
      </c>
      <c r="AU665" s="79" t="str">
        <f t="shared" ca="1" si="65"/>
        <v/>
      </c>
      <c r="AV665" s="79" t="str" cm="1">
        <f t="array" aca="1" ref="AV665" ca="1">IFERROR(_xlfn.IFS($AU665="","",$AU665&lt;=15,"0-15",AND($AU665&gt;=16,$AU665&lt;=30),"16-30",AND($AU665&gt;=31,$AU665&lt;=45),"31-45",AND($AU665&gt;=46,$AU665&lt;=60),"46-60",AND($AU665&gt;=61,$AU665&lt;=90),"61-90",AND($AU665&gt;=91),"&gt; 90",AND($AU665&gt;=2000),""),"")</f>
        <v/>
      </c>
      <c r="AW665" s="79" t="str" cm="1">
        <f t="array" aca="1" ref="AW665" ca="1">IFERROR(_xlfn.IFS(OR($M665="",$AM665=""),"",OR($C665="Offered",$C665="Joined"),($AM665-$M665)-$AT665),"")</f>
        <v/>
      </c>
      <c r="AX665" s="79" t="str" cm="1">
        <f t="array" aca="1" ref="AX665" ca="1">IFERROR(_xlfn.IFS(OR($M665="",$AS665=""),"",$C665="Joined",($AS665-$M665)-$AT665),"")</f>
        <v/>
      </c>
      <c r="AY665" s="67" t="str">
        <f>IFERROR(IF(COUNTIFS('Candidate Tracker'!$E:$E,'Positions Tracker'!$B665,'Candidate Tracker'!$C:$C,"Offer Drop")=0,"",COUNTIFS('Candidate Tracker'!$E:$E,'Positions Tracker'!$B665,'Candidate Tracker'!$C:$C,"Offer Drop")),"")</f>
        <v/>
      </c>
      <c r="AZ665" s="80">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0.88111888111888115</v>
      </c>
      <c r="BA665" s="81" t="str">
        <f>IFERROR(IF(COUNTIFS('Candidate Tracker'!$E:$E,'Positions Tracker'!$B665,'Candidate Tracker'!$I:$I,"Female")=0,"",COUNTIFS('Candidate Tracker'!$E:$E,'Positions Tracker'!$B665,'Candidate Tracker'!$I:$I,"Female")),"")</f>
        <v/>
      </c>
      <c r="BB665" s="81" t="str">
        <f>IFERROR(IF(COUNTIFS('Candidate Tracker'!$E:$E,'Positions Tracker'!$B665,'Candidate Tracker'!$I:$I,"male")=0,"",COUNTIFS('Candidate Tracker'!$E:$E,'Positions Tracker'!$B665,'Candidate Tracker'!$I:$I,"male")),"")</f>
        <v/>
      </c>
      <c r="BC665" s="80" t="str">
        <f>IFERROR(IF(COUNTIFS('Candidate Tracker'!$E:$E,'Positions Tracker'!$B665,'Candidate Tracker'!$C:$C,"&lt;&gt;WIP",'Candidate Tracker'!$C:$C,"&lt;&gt;Hold",'Candidate Tracker'!$C:$C,"&lt;&gt;Cancelled",'Candidate Tracker'!$C:$C,"&lt;&gt;Closed")/COUNTIFS('Candidate Tracker'!$E:$E,'Positions Tracker'!$B665)=0,"",COUNTIFS('Candidate Tracker'!$E:$E,'Positions Tracker'!$B665,'Candidate Tracker'!$C:$C,"&lt;&gt;WIP",'Candidate Tracker'!$C:$C,"&lt;&gt;Hold",'Candidate Tracker'!$C:$C,"&lt;&gt;Cancelled",'Candidate Tracker'!$C:$C,"&lt;&gt;Closed")/COUNTIFS('Candidate Tracker'!$E:$E,'Positions Tracker'!$B665)),"")</f>
        <v/>
      </c>
      <c r="BD665" s="67" t="str">
        <f t="shared" si="60"/>
        <v/>
      </c>
      <c r="BE665" s="67" t="str">
        <f t="shared" si="61"/>
        <v/>
      </c>
      <c r="BF665" s="67" t="str">
        <f t="shared" si="62"/>
        <v/>
      </c>
      <c r="BG665" s="67" t="str">
        <f t="shared" si="63"/>
        <v/>
      </c>
    </row>
    <row r="666" spans="1:59">
      <c r="A666" s="55"/>
      <c r="B666" s="56"/>
      <c r="C666" s="56"/>
      <c r="D666" s="56"/>
      <c r="E666" s="56"/>
      <c r="F666" s="56"/>
      <c r="G666" s="56"/>
      <c r="H666" s="56"/>
      <c r="I666" s="6"/>
      <c r="J666" s="6"/>
      <c r="K666" s="57"/>
      <c r="L666" s="57"/>
      <c r="M666" s="57"/>
      <c r="N666" s="56"/>
      <c r="O666" s="56"/>
      <c r="P666" s="56"/>
      <c r="Q666" s="56"/>
      <c r="R666" s="56"/>
      <c r="S666" s="56"/>
      <c r="T666" s="56"/>
      <c r="U666" s="56"/>
      <c r="V666" s="56"/>
      <c r="W666" s="56"/>
      <c r="X666" s="56"/>
      <c r="Y666" s="56"/>
      <c r="Z666" s="56"/>
      <c r="AA666" s="56"/>
      <c r="AB666" s="56"/>
      <c r="AC666" s="56"/>
      <c r="AD666" s="56"/>
      <c r="AE666" s="56"/>
      <c r="AF666" s="56"/>
      <c r="AG666" s="56"/>
      <c r="AH666" s="56"/>
      <c r="AI666" s="58"/>
      <c r="AJ666" s="56"/>
      <c r="AK666" s="56"/>
      <c r="AL666" s="56"/>
      <c r="AM666" s="57"/>
      <c r="AN666" s="57"/>
      <c r="AO666" s="56"/>
      <c r="AP666" s="56"/>
      <c r="AQ666" s="57"/>
      <c r="AR666" s="57"/>
      <c r="AS666" s="57"/>
      <c r="AT666" s="67">
        <f t="shared" ca="1" si="64"/>
        <v>0</v>
      </c>
      <c r="AU666" s="79" t="str">
        <f t="shared" ca="1" si="65"/>
        <v/>
      </c>
      <c r="AV666" s="79" t="str" cm="1">
        <f t="array" aca="1" ref="AV666" ca="1">IFERROR(_xlfn.IFS($AU666="","",$AU666&lt;=15,"0-15",AND($AU666&gt;=16,$AU666&lt;=30),"16-30",AND($AU666&gt;=31,$AU666&lt;=45),"31-45",AND($AU666&gt;=46,$AU666&lt;=60),"46-60",AND($AU666&gt;=61,$AU666&lt;=90),"61-90",AND($AU666&gt;=91),"&gt; 90",AND($AU666&gt;=2000),""),"")</f>
        <v/>
      </c>
      <c r="AW666" s="79" t="str" cm="1">
        <f t="array" aca="1" ref="AW666" ca="1">IFERROR(_xlfn.IFS(OR($M666="",$AM666=""),"",OR($C666="Offered",$C666="Joined"),($AM666-$M666)-$AT666),"")</f>
        <v/>
      </c>
      <c r="AX666" s="79" t="str" cm="1">
        <f t="array" aca="1" ref="AX666" ca="1">IFERROR(_xlfn.IFS(OR($M666="",$AS666=""),"",$C666="Joined",($AS666-$M666)-$AT666),"")</f>
        <v/>
      </c>
      <c r="AY666" s="67" t="str">
        <f>IFERROR(IF(COUNTIFS('Candidate Tracker'!$E:$E,'Positions Tracker'!$B666,'Candidate Tracker'!$C:$C,"Offer Drop")=0,"",COUNTIFS('Candidate Tracker'!$E:$E,'Positions Tracker'!$B666,'Candidate Tracker'!$C:$C,"Offer Drop")),"")</f>
        <v/>
      </c>
      <c r="AZ666" s="80">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0.88111888111888115</v>
      </c>
      <c r="BA666" s="81" t="str">
        <f>IFERROR(IF(COUNTIFS('Candidate Tracker'!$E:$E,'Positions Tracker'!$B666,'Candidate Tracker'!$I:$I,"Female")=0,"",COUNTIFS('Candidate Tracker'!$E:$E,'Positions Tracker'!$B666,'Candidate Tracker'!$I:$I,"Female")),"")</f>
        <v/>
      </c>
      <c r="BB666" s="81" t="str">
        <f>IFERROR(IF(COUNTIFS('Candidate Tracker'!$E:$E,'Positions Tracker'!$B666,'Candidate Tracker'!$I:$I,"male")=0,"",COUNTIFS('Candidate Tracker'!$E:$E,'Positions Tracker'!$B666,'Candidate Tracker'!$I:$I,"male")),"")</f>
        <v/>
      </c>
      <c r="BC666" s="80" t="str">
        <f>IFERROR(IF(COUNTIFS('Candidate Tracker'!$E:$E,'Positions Tracker'!$B666,'Candidate Tracker'!$C:$C,"&lt;&gt;WIP",'Candidate Tracker'!$C:$C,"&lt;&gt;Hold",'Candidate Tracker'!$C:$C,"&lt;&gt;Cancelled",'Candidate Tracker'!$C:$C,"&lt;&gt;Closed")/COUNTIFS('Candidate Tracker'!$E:$E,'Positions Tracker'!$B666)=0,"",COUNTIFS('Candidate Tracker'!$E:$E,'Positions Tracker'!$B666,'Candidate Tracker'!$C:$C,"&lt;&gt;WIP",'Candidate Tracker'!$C:$C,"&lt;&gt;Hold",'Candidate Tracker'!$C:$C,"&lt;&gt;Cancelled",'Candidate Tracker'!$C:$C,"&lt;&gt;Closed")/COUNTIFS('Candidate Tracker'!$E:$E,'Positions Tracker'!$B666)),"")</f>
        <v/>
      </c>
      <c r="BD666" s="67" t="str">
        <f t="shared" si="60"/>
        <v/>
      </c>
      <c r="BE666" s="67" t="str">
        <f t="shared" si="61"/>
        <v/>
      </c>
      <c r="BF666" s="67" t="str">
        <f t="shared" si="62"/>
        <v/>
      </c>
      <c r="BG666" s="67" t="str">
        <f t="shared" si="63"/>
        <v/>
      </c>
    </row>
    <row r="667" spans="1:59">
      <c r="A667" s="55"/>
      <c r="B667" s="56"/>
      <c r="C667" s="56"/>
      <c r="D667" s="56"/>
      <c r="E667" s="56"/>
      <c r="F667" s="56"/>
      <c r="G667" s="56"/>
      <c r="H667" s="56"/>
      <c r="I667" s="6"/>
      <c r="J667" s="6"/>
      <c r="K667" s="57"/>
      <c r="L667" s="57"/>
      <c r="M667" s="57"/>
      <c r="N667" s="56"/>
      <c r="O667" s="56"/>
      <c r="P667" s="56"/>
      <c r="Q667" s="56"/>
      <c r="R667" s="56"/>
      <c r="S667" s="56"/>
      <c r="T667" s="56"/>
      <c r="U667" s="56"/>
      <c r="V667" s="56"/>
      <c r="W667" s="56"/>
      <c r="X667" s="56"/>
      <c r="Y667" s="56"/>
      <c r="Z667" s="56"/>
      <c r="AA667" s="56"/>
      <c r="AB667" s="56"/>
      <c r="AC667" s="56"/>
      <c r="AD667" s="56"/>
      <c r="AE667" s="56"/>
      <c r="AF667" s="56"/>
      <c r="AG667" s="56"/>
      <c r="AH667" s="56"/>
      <c r="AI667" s="58"/>
      <c r="AJ667" s="56"/>
      <c r="AK667" s="56"/>
      <c r="AL667" s="56"/>
      <c r="AM667" s="57"/>
      <c r="AN667" s="57"/>
      <c r="AO667" s="56"/>
      <c r="AP667" s="56"/>
      <c r="AQ667" s="57"/>
      <c r="AR667" s="57"/>
      <c r="AS667" s="57"/>
      <c r="AT667" s="67">
        <f t="shared" ca="1" si="64"/>
        <v>0</v>
      </c>
      <c r="AU667" s="79" t="str">
        <f t="shared" ca="1" si="65"/>
        <v/>
      </c>
      <c r="AV667" s="79" t="str" cm="1">
        <f t="array" aca="1" ref="AV667" ca="1">IFERROR(_xlfn.IFS($AU667="","",$AU667&lt;=15,"0-15",AND($AU667&gt;=16,$AU667&lt;=30),"16-30",AND($AU667&gt;=31,$AU667&lt;=45),"31-45",AND($AU667&gt;=46,$AU667&lt;=60),"46-60",AND($AU667&gt;=61,$AU667&lt;=90),"61-90",AND($AU667&gt;=91),"&gt; 90",AND($AU667&gt;=2000),""),"")</f>
        <v/>
      </c>
      <c r="AW667" s="79" t="str" cm="1">
        <f t="array" aca="1" ref="AW667" ca="1">IFERROR(_xlfn.IFS(OR($M667="",$AM667=""),"",OR($C667="Offered",$C667="Joined"),($AM667-$M667)-$AT667),"")</f>
        <v/>
      </c>
      <c r="AX667" s="79" t="str" cm="1">
        <f t="array" aca="1" ref="AX667" ca="1">IFERROR(_xlfn.IFS(OR($M667="",$AS667=""),"",$C667="Joined",($AS667-$M667)-$AT667),"")</f>
        <v/>
      </c>
      <c r="AY667" s="67" t="str">
        <f>IFERROR(IF(COUNTIFS('Candidate Tracker'!$E:$E,'Positions Tracker'!$B667,'Candidate Tracker'!$C:$C,"Offer Drop")=0,"",COUNTIFS('Candidate Tracker'!$E:$E,'Positions Tracker'!$B667,'Candidate Tracker'!$C:$C,"Offer Drop")),"")</f>
        <v/>
      </c>
      <c r="AZ667" s="80">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0.88111888111888115</v>
      </c>
      <c r="BA667" s="81" t="str">
        <f>IFERROR(IF(COUNTIFS('Candidate Tracker'!$E:$E,'Positions Tracker'!$B667,'Candidate Tracker'!$I:$I,"Female")=0,"",COUNTIFS('Candidate Tracker'!$E:$E,'Positions Tracker'!$B667,'Candidate Tracker'!$I:$I,"Female")),"")</f>
        <v/>
      </c>
      <c r="BB667" s="81" t="str">
        <f>IFERROR(IF(COUNTIFS('Candidate Tracker'!$E:$E,'Positions Tracker'!$B667,'Candidate Tracker'!$I:$I,"male")=0,"",COUNTIFS('Candidate Tracker'!$E:$E,'Positions Tracker'!$B667,'Candidate Tracker'!$I:$I,"male")),"")</f>
        <v/>
      </c>
      <c r="BC667" s="80" t="str">
        <f>IFERROR(IF(COUNTIFS('Candidate Tracker'!$E:$E,'Positions Tracker'!$B667,'Candidate Tracker'!$C:$C,"&lt;&gt;WIP",'Candidate Tracker'!$C:$C,"&lt;&gt;Hold",'Candidate Tracker'!$C:$C,"&lt;&gt;Cancelled",'Candidate Tracker'!$C:$C,"&lt;&gt;Closed")/COUNTIFS('Candidate Tracker'!$E:$E,'Positions Tracker'!$B667)=0,"",COUNTIFS('Candidate Tracker'!$E:$E,'Positions Tracker'!$B667,'Candidate Tracker'!$C:$C,"&lt;&gt;WIP",'Candidate Tracker'!$C:$C,"&lt;&gt;Hold",'Candidate Tracker'!$C:$C,"&lt;&gt;Cancelled",'Candidate Tracker'!$C:$C,"&lt;&gt;Closed")/COUNTIFS('Candidate Tracker'!$E:$E,'Positions Tracker'!$B667)),"")</f>
        <v/>
      </c>
      <c r="BD667" s="67" t="str">
        <f t="shared" si="60"/>
        <v/>
      </c>
      <c r="BE667" s="67" t="str">
        <f t="shared" si="61"/>
        <v/>
      </c>
      <c r="BF667" s="67" t="str">
        <f t="shared" si="62"/>
        <v/>
      </c>
      <c r="BG667" s="67" t="str">
        <f t="shared" si="63"/>
        <v/>
      </c>
    </row>
    <row r="668" spans="1:59">
      <c r="A668" s="55"/>
      <c r="B668" s="56"/>
      <c r="C668" s="56"/>
      <c r="D668" s="56"/>
      <c r="E668" s="56"/>
      <c r="F668" s="56"/>
      <c r="G668" s="56"/>
      <c r="H668" s="56"/>
      <c r="I668" s="6"/>
      <c r="J668" s="6"/>
      <c r="K668" s="57"/>
      <c r="L668" s="57"/>
      <c r="M668" s="57"/>
      <c r="N668" s="56"/>
      <c r="O668" s="56"/>
      <c r="P668" s="56"/>
      <c r="Q668" s="56"/>
      <c r="R668" s="56"/>
      <c r="S668" s="56"/>
      <c r="T668" s="56"/>
      <c r="U668" s="56"/>
      <c r="V668" s="56"/>
      <c r="W668" s="56"/>
      <c r="X668" s="56"/>
      <c r="Y668" s="56"/>
      <c r="Z668" s="56"/>
      <c r="AA668" s="56"/>
      <c r="AB668" s="56"/>
      <c r="AC668" s="56"/>
      <c r="AD668" s="56"/>
      <c r="AE668" s="56"/>
      <c r="AF668" s="56"/>
      <c r="AG668" s="56"/>
      <c r="AH668" s="56"/>
      <c r="AI668" s="58"/>
      <c r="AJ668" s="56"/>
      <c r="AK668" s="56"/>
      <c r="AL668" s="56"/>
      <c r="AM668" s="57"/>
      <c r="AN668" s="57"/>
      <c r="AO668" s="56"/>
      <c r="AP668" s="56"/>
      <c r="AQ668" s="57"/>
      <c r="AR668" s="57"/>
      <c r="AS668" s="57"/>
      <c r="AT668" s="67">
        <f t="shared" ca="1" si="64"/>
        <v>0</v>
      </c>
      <c r="AU668" s="79" t="str">
        <f t="shared" ca="1" si="65"/>
        <v/>
      </c>
      <c r="AV668" s="79" t="str" cm="1">
        <f t="array" aca="1" ref="AV668" ca="1">IFERROR(_xlfn.IFS($AU668="","",$AU668&lt;=15,"0-15",AND($AU668&gt;=16,$AU668&lt;=30),"16-30",AND($AU668&gt;=31,$AU668&lt;=45),"31-45",AND($AU668&gt;=46,$AU668&lt;=60),"46-60",AND($AU668&gt;=61,$AU668&lt;=90),"61-90",AND($AU668&gt;=91),"&gt; 90",AND($AU668&gt;=2000),""),"")</f>
        <v/>
      </c>
      <c r="AW668" s="79" t="str" cm="1">
        <f t="array" aca="1" ref="AW668" ca="1">IFERROR(_xlfn.IFS(OR($M668="",$AM668=""),"",OR($C668="Offered",$C668="Joined"),($AM668-$M668)-$AT668),"")</f>
        <v/>
      </c>
      <c r="AX668" s="79" t="str" cm="1">
        <f t="array" aca="1" ref="AX668" ca="1">IFERROR(_xlfn.IFS(OR($M668="",$AS668=""),"",$C668="Joined",($AS668-$M668)-$AT668),"")</f>
        <v/>
      </c>
      <c r="AY668" s="67" t="str">
        <f>IFERROR(IF(COUNTIFS('Candidate Tracker'!$E:$E,'Positions Tracker'!$B668,'Candidate Tracker'!$C:$C,"Offer Drop")=0,"",COUNTIFS('Candidate Tracker'!$E:$E,'Positions Tracker'!$B668,'Candidate Tracker'!$C:$C,"Offer Drop")),"")</f>
        <v/>
      </c>
      <c r="AZ668" s="80">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0.88111888111888115</v>
      </c>
      <c r="BA668" s="81" t="str">
        <f>IFERROR(IF(COUNTIFS('Candidate Tracker'!$E:$E,'Positions Tracker'!$B668,'Candidate Tracker'!$I:$I,"Female")=0,"",COUNTIFS('Candidate Tracker'!$E:$E,'Positions Tracker'!$B668,'Candidate Tracker'!$I:$I,"Female")),"")</f>
        <v/>
      </c>
      <c r="BB668" s="81" t="str">
        <f>IFERROR(IF(COUNTIFS('Candidate Tracker'!$E:$E,'Positions Tracker'!$B668,'Candidate Tracker'!$I:$I,"male")=0,"",COUNTIFS('Candidate Tracker'!$E:$E,'Positions Tracker'!$B668,'Candidate Tracker'!$I:$I,"male")),"")</f>
        <v/>
      </c>
      <c r="BC668" s="80" t="str">
        <f>IFERROR(IF(COUNTIFS('Candidate Tracker'!$E:$E,'Positions Tracker'!$B668,'Candidate Tracker'!$C:$C,"&lt;&gt;WIP",'Candidate Tracker'!$C:$C,"&lt;&gt;Hold",'Candidate Tracker'!$C:$C,"&lt;&gt;Cancelled",'Candidate Tracker'!$C:$C,"&lt;&gt;Closed")/COUNTIFS('Candidate Tracker'!$E:$E,'Positions Tracker'!$B668)=0,"",COUNTIFS('Candidate Tracker'!$E:$E,'Positions Tracker'!$B668,'Candidate Tracker'!$C:$C,"&lt;&gt;WIP",'Candidate Tracker'!$C:$C,"&lt;&gt;Hold",'Candidate Tracker'!$C:$C,"&lt;&gt;Cancelled",'Candidate Tracker'!$C:$C,"&lt;&gt;Closed")/COUNTIFS('Candidate Tracker'!$E:$E,'Positions Tracker'!$B668)),"")</f>
        <v/>
      </c>
      <c r="BD668" s="67" t="str">
        <f t="shared" si="60"/>
        <v/>
      </c>
      <c r="BE668" s="67" t="str">
        <f t="shared" si="61"/>
        <v/>
      </c>
      <c r="BF668" s="67" t="str">
        <f t="shared" si="62"/>
        <v/>
      </c>
      <c r="BG668" s="67" t="str">
        <f t="shared" si="63"/>
        <v/>
      </c>
    </row>
    <row r="669" spans="1:59">
      <c r="A669" s="55"/>
      <c r="B669" s="56"/>
      <c r="C669" s="56"/>
      <c r="D669" s="56"/>
      <c r="E669" s="56"/>
      <c r="F669" s="56"/>
      <c r="G669" s="56"/>
      <c r="H669" s="56"/>
      <c r="I669" s="6"/>
      <c r="J669" s="6"/>
      <c r="K669" s="57"/>
      <c r="L669" s="57"/>
      <c r="M669" s="57"/>
      <c r="N669" s="56"/>
      <c r="O669" s="56"/>
      <c r="P669" s="56"/>
      <c r="Q669" s="56"/>
      <c r="R669" s="56"/>
      <c r="S669" s="56"/>
      <c r="T669" s="56"/>
      <c r="U669" s="56"/>
      <c r="V669" s="56"/>
      <c r="W669" s="56"/>
      <c r="X669" s="56"/>
      <c r="Y669" s="56"/>
      <c r="Z669" s="56"/>
      <c r="AA669" s="56"/>
      <c r="AB669" s="56"/>
      <c r="AC669" s="56"/>
      <c r="AD669" s="56"/>
      <c r="AE669" s="56"/>
      <c r="AF669" s="56"/>
      <c r="AG669" s="56"/>
      <c r="AH669" s="56"/>
      <c r="AI669" s="58"/>
      <c r="AJ669" s="56"/>
      <c r="AK669" s="56"/>
      <c r="AL669" s="56"/>
      <c r="AM669" s="57"/>
      <c r="AN669" s="57"/>
      <c r="AO669" s="56"/>
      <c r="AP669" s="56"/>
      <c r="AQ669" s="57"/>
      <c r="AR669" s="57"/>
      <c r="AS669" s="57"/>
      <c r="AT669" s="67">
        <f t="shared" ca="1" si="64"/>
        <v>0</v>
      </c>
      <c r="AU669" s="79" t="str">
        <f t="shared" ca="1" si="65"/>
        <v/>
      </c>
      <c r="AV669" s="79" t="str" cm="1">
        <f t="array" aca="1" ref="AV669" ca="1">IFERROR(_xlfn.IFS($AU669="","",$AU669&lt;=15,"0-15",AND($AU669&gt;=16,$AU669&lt;=30),"16-30",AND($AU669&gt;=31,$AU669&lt;=45),"31-45",AND($AU669&gt;=46,$AU669&lt;=60),"46-60",AND($AU669&gt;=61,$AU669&lt;=90),"61-90",AND($AU669&gt;=91),"&gt; 90",AND($AU669&gt;=2000),""),"")</f>
        <v/>
      </c>
      <c r="AW669" s="79" t="str" cm="1">
        <f t="array" aca="1" ref="AW669" ca="1">IFERROR(_xlfn.IFS(OR($M669="",$AM669=""),"",OR($C669="Offered",$C669="Joined"),($AM669-$M669)-$AT669),"")</f>
        <v/>
      </c>
      <c r="AX669" s="79" t="str" cm="1">
        <f t="array" aca="1" ref="AX669" ca="1">IFERROR(_xlfn.IFS(OR($M669="",$AS669=""),"",$C669="Joined",($AS669-$M669)-$AT669),"")</f>
        <v/>
      </c>
      <c r="AY669" s="67" t="str">
        <f>IFERROR(IF(COUNTIFS('Candidate Tracker'!$E:$E,'Positions Tracker'!$B669,'Candidate Tracker'!$C:$C,"Offer Drop")=0,"",COUNTIFS('Candidate Tracker'!$E:$E,'Positions Tracker'!$B669,'Candidate Tracker'!$C:$C,"Offer Drop")),"")</f>
        <v/>
      </c>
      <c r="AZ669" s="80">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0.88111888111888115</v>
      </c>
      <c r="BA669" s="81" t="str">
        <f>IFERROR(IF(COUNTIFS('Candidate Tracker'!$E:$E,'Positions Tracker'!$B669,'Candidate Tracker'!$I:$I,"Female")=0,"",COUNTIFS('Candidate Tracker'!$E:$E,'Positions Tracker'!$B669,'Candidate Tracker'!$I:$I,"Female")),"")</f>
        <v/>
      </c>
      <c r="BB669" s="81" t="str">
        <f>IFERROR(IF(COUNTIFS('Candidate Tracker'!$E:$E,'Positions Tracker'!$B669,'Candidate Tracker'!$I:$I,"male")=0,"",COUNTIFS('Candidate Tracker'!$E:$E,'Positions Tracker'!$B669,'Candidate Tracker'!$I:$I,"male")),"")</f>
        <v/>
      </c>
      <c r="BC669" s="80" t="str">
        <f>IFERROR(IF(COUNTIFS('Candidate Tracker'!$E:$E,'Positions Tracker'!$B669,'Candidate Tracker'!$C:$C,"&lt;&gt;WIP",'Candidate Tracker'!$C:$C,"&lt;&gt;Hold",'Candidate Tracker'!$C:$C,"&lt;&gt;Cancelled",'Candidate Tracker'!$C:$C,"&lt;&gt;Closed")/COUNTIFS('Candidate Tracker'!$E:$E,'Positions Tracker'!$B669)=0,"",COUNTIFS('Candidate Tracker'!$E:$E,'Positions Tracker'!$B669,'Candidate Tracker'!$C:$C,"&lt;&gt;WIP",'Candidate Tracker'!$C:$C,"&lt;&gt;Hold",'Candidate Tracker'!$C:$C,"&lt;&gt;Cancelled",'Candidate Tracker'!$C:$C,"&lt;&gt;Closed")/COUNTIFS('Candidate Tracker'!$E:$E,'Positions Tracker'!$B669)),"")</f>
        <v/>
      </c>
      <c r="BD669" s="67" t="str">
        <f t="shared" si="60"/>
        <v/>
      </c>
      <c r="BE669" s="67" t="str">
        <f t="shared" si="61"/>
        <v/>
      </c>
      <c r="BF669" s="67" t="str">
        <f t="shared" si="62"/>
        <v/>
      </c>
      <c r="BG669" s="67" t="str">
        <f t="shared" si="63"/>
        <v/>
      </c>
    </row>
    <row r="670" spans="1:59">
      <c r="A670" s="55"/>
      <c r="B670" s="56"/>
      <c r="C670" s="56"/>
      <c r="D670" s="56"/>
      <c r="E670" s="56"/>
      <c r="F670" s="56"/>
      <c r="G670" s="56"/>
      <c r="H670" s="56"/>
      <c r="I670" s="6"/>
      <c r="J670" s="6"/>
      <c r="K670" s="57"/>
      <c r="L670" s="57"/>
      <c r="M670" s="57"/>
      <c r="N670" s="56"/>
      <c r="O670" s="56"/>
      <c r="P670" s="56"/>
      <c r="Q670" s="56"/>
      <c r="R670" s="56"/>
      <c r="S670" s="56"/>
      <c r="T670" s="56"/>
      <c r="U670" s="56"/>
      <c r="V670" s="56"/>
      <c r="W670" s="56"/>
      <c r="X670" s="56"/>
      <c r="Y670" s="56"/>
      <c r="Z670" s="56"/>
      <c r="AA670" s="56"/>
      <c r="AB670" s="56"/>
      <c r="AC670" s="56"/>
      <c r="AD670" s="56"/>
      <c r="AE670" s="56"/>
      <c r="AF670" s="56"/>
      <c r="AG670" s="56"/>
      <c r="AH670" s="56"/>
      <c r="AI670" s="58"/>
      <c r="AJ670" s="56"/>
      <c r="AK670" s="56"/>
      <c r="AL670" s="56"/>
      <c r="AM670" s="57"/>
      <c r="AN670" s="57"/>
      <c r="AO670" s="56"/>
      <c r="AP670" s="56"/>
      <c r="AQ670" s="57"/>
      <c r="AR670" s="57"/>
      <c r="AS670" s="57"/>
      <c r="AT670" s="67">
        <f t="shared" ca="1" si="64"/>
        <v>0</v>
      </c>
      <c r="AU670" s="79" t="str">
        <f t="shared" ca="1" si="65"/>
        <v/>
      </c>
      <c r="AV670" s="79" t="str" cm="1">
        <f t="array" aca="1" ref="AV670" ca="1">IFERROR(_xlfn.IFS($AU670="","",$AU670&lt;=15,"0-15",AND($AU670&gt;=16,$AU670&lt;=30),"16-30",AND($AU670&gt;=31,$AU670&lt;=45),"31-45",AND($AU670&gt;=46,$AU670&lt;=60),"46-60",AND($AU670&gt;=61,$AU670&lt;=90),"61-90",AND($AU670&gt;=91),"&gt; 90",AND($AU670&gt;=2000),""),"")</f>
        <v/>
      </c>
      <c r="AW670" s="79" t="str" cm="1">
        <f t="array" aca="1" ref="AW670" ca="1">IFERROR(_xlfn.IFS(OR($M670="",$AM670=""),"",OR($C670="Offered",$C670="Joined"),($AM670-$M670)-$AT670),"")</f>
        <v/>
      </c>
      <c r="AX670" s="79" t="str" cm="1">
        <f t="array" aca="1" ref="AX670" ca="1">IFERROR(_xlfn.IFS(OR($M670="",$AS670=""),"",$C670="Joined",($AS670-$M670)-$AT670),"")</f>
        <v/>
      </c>
      <c r="AY670" s="67" t="str">
        <f>IFERROR(IF(COUNTIFS('Candidate Tracker'!$E:$E,'Positions Tracker'!$B670,'Candidate Tracker'!$C:$C,"Offer Drop")=0,"",COUNTIFS('Candidate Tracker'!$E:$E,'Positions Tracker'!$B670,'Candidate Tracker'!$C:$C,"Offer Drop")),"")</f>
        <v/>
      </c>
      <c r="AZ670" s="80">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0.88111888111888115</v>
      </c>
      <c r="BA670" s="81" t="str">
        <f>IFERROR(IF(COUNTIFS('Candidate Tracker'!$E:$E,'Positions Tracker'!$B670,'Candidate Tracker'!$I:$I,"Female")=0,"",COUNTIFS('Candidate Tracker'!$E:$E,'Positions Tracker'!$B670,'Candidate Tracker'!$I:$I,"Female")),"")</f>
        <v/>
      </c>
      <c r="BB670" s="81" t="str">
        <f>IFERROR(IF(COUNTIFS('Candidate Tracker'!$E:$E,'Positions Tracker'!$B670,'Candidate Tracker'!$I:$I,"male")=0,"",COUNTIFS('Candidate Tracker'!$E:$E,'Positions Tracker'!$B670,'Candidate Tracker'!$I:$I,"male")),"")</f>
        <v/>
      </c>
      <c r="BC670" s="80" t="str">
        <f>IFERROR(IF(COUNTIFS('Candidate Tracker'!$E:$E,'Positions Tracker'!$B670,'Candidate Tracker'!$C:$C,"&lt;&gt;WIP",'Candidate Tracker'!$C:$C,"&lt;&gt;Hold",'Candidate Tracker'!$C:$C,"&lt;&gt;Cancelled",'Candidate Tracker'!$C:$C,"&lt;&gt;Closed")/COUNTIFS('Candidate Tracker'!$E:$E,'Positions Tracker'!$B670)=0,"",COUNTIFS('Candidate Tracker'!$E:$E,'Positions Tracker'!$B670,'Candidate Tracker'!$C:$C,"&lt;&gt;WIP",'Candidate Tracker'!$C:$C,"&lt;&gt;Hold",'Candidate Tracker'!$C:$C,"&lt;&gt;Cancelled",'Candidate Tracker'!$C:$C,"&lt;&gt;Closed")/COUNTIFS('Candidate Tracker'!$E:$E,'Positions Tracker'!$B670)),"")</f>
        <v/>
      </c>
      <c r="BD670" s="67" t="str">
        <f t="shared" si="60"/>
        <v/>
      </c>
      <c r="BE670" s="67" t="str">
        <f t="shared" si="61"/>
        <v/>
      </c>
      <c r="BF670" s="67" t="str">
        <f t="shared" si="62"/>
        <v/>
      </c>
      <c r="BG670" s="67" t="str">
        <f t="shared" si="63"/>
        <v/>
      </c>
    </row>
    <row r="671" spans="1:59">
      <c r="A671" s="55"/>
      <c r="B671" s="56"/>
      <c r="C671" s="56"/>
      <c r="D671" s="56"/>
      <c r="E671" s="56"/>
      <c r="F671" s="56"/>
      <c r="G671" s="56"/>
      <c r="H671" s="56"/>
      <c r="I671" s="6"/>
      <c r="J671" s="6"/>
      <c r="K671" s="57"/>
      <c r="L671" s="57"/>
      <c r="M671" s="57"/>
      <c r="N671" s="56"/>
      <c r="O671" s="56"/>
      <c r="P671" s="56"/>
      <c r="Q671" s="56"/>
      <c r="R671" s="56"/>
      <c r="S671" s="56"/>
      <c r="T671" s="56"/>
      <c r="U671" s="56"/>
      <c r="V671" s="56"/>
      <c r="W671" s="56"/>
      <c r="X671" s="56"/>
      <c r="Y671" s="56"/>
      <c r="Z671" s="56"/>
      <c r="AA671" s="56"/>
      <c r="AB671" s="56"/>
      <c r="AC671" s="56"/>
      <c r="AD671" s="56"/>
      <c r="AE671" s="56"/>
      <c r="AF671" s="56"/>
      <c r="AG671" s="56"/>
      <c r="AH671" s="56"/>
      <c r="AI671" s="58"/>
      <c r="AJ671" s="56"/>
      <c r="AK671" s="56"/>
      <c r="AL671" s="56"/>
      <c r="AM671" s="57"/>
      <c r="AN671" s="57"/>
      <c r="AO671" s="56"/>
      <c r="AP671" s="56"/>
      <c r="AQ671" s="57"/>
      <c r="AR671" s="57"/>
      <c r="AS671" s="57"/>
      <c r="AT671" s="67">
        <f t="shared" ca="1" si="64"/>
        <v>0</v>
      </c>
      <c r="AU671" s="79" t="str">
        <f t="shared" ca="1" si="65"/>
        <v/>
      </c>
      <c r="AV671" s="79" t="str" cm="1">
        <f t="array" aca="1" ref="AV671" ca="1">IFERROR(_xlfn.IFS($AU671="","",$AU671&lt;=15,"0-15",AND($AU671&gt;=16,$AU671&lt;=30),"16-30",AND($AU671&gt;=31,$AU671&lt;=45),"31-45",AND($AU671&gt;=46,$AU671&lt;=60),"46-60",AND($AU671&gt;=61,$AU671&lt;=90),"61-90",AND($AU671&gt;=91),"&gt; 90",AND($AU671&gt;=2000),""),"")</f>
        <v/>
      </c>
      <c r="AW671" s="79" t="str" cm="1">
        <f t="array" aca="1" ref="AW671" ca="1">IFERROR(_xlfn.IFS(OR($M671="",$AM671=""),"",OR($C671="Offered",$C671="Joined"),($AM671-$M671)-$AT671),"")</f>
        <v/>
      </c>
      <c r="AX671" s="79" t="str" cm="1">
        <f t="array" aca="1" ref="AX671" ca="1">IFERROR(_xlfn.IFS(OR($M671="",$AS671=""),"",$C671="Joined",($AS671-$M671)-$AT671),"")</f>
        <v/>
      </c>
      <c r="AY671" s="67" t="str">
        <f>IFERROR(IF(COUNTIFS('Candidate Tracker'!$E:$E,'Positions Tracker'!$B671,'Candidate Tracker'!$C:$C,"Offer Drop")=0,"",COUNTIFS('Candidate Tracker'!$E:$E,'Positions Tracker'!$B671,'Candidate Tracker'!$C:$C,"Offer Drop")),"")</f>
        <v/>
      </c>
      <c r="AZ671" s="80">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0.88111888111888115</v>
      </c>
      <c r="BA671" s="81" t="str">
        <f>IFERROR(IF(COUNTIFS('Candidate Tracker'!$E:$E,'Positions Tracker'!$B671,'Candidate Tracker'!$I:$I,"Female")=0,"",COUNTIFS('Candidate Tracker'!$E:$E,'Positions Tracker'!$B671,'Candidate Tracker'!$I:$I,"Female")),"")</f>
        <v/>
      </c>
      <c r="BB671" s="81" t="str">
        <f>IFERROR(IF(COUNTIFS('Candidate Tracker'!$E:$E,'Positions Tracker'!$B671,'Candidate Tracker'!$I:$I,"male")=0,"",COUNTIFS('Candidate Tracker'!$E:$E,'Positions Tracker'!$B671,'Candidate Tracker'!$I:$I,"male")),"")</f>
        <v/>
      </c>
      <c r="BC671" s="80" t="str">
        <f>IFERROR(IF(COUNTIFS('Candidate Tracker'!$E:$E,'Positions Tracker'!$B671,'Candidate Tracker'!$C:$C,"&lt;&gt;WIP",'Candidate Tracker'!$C:$C,"&lt;&gt;Hold",'Candidate Tracker'!$C:$C,"&lt;&gt;Cancelled",'Candidate Tracker'!$C:$C,"&lt;&gt;Closed")/COUNTIFS('Candidate Tracker'!$E:$E,'Positions Tracker'!$B671)=0,"",COUNTIFS('Candidate Tracker'!$E:$E,'Positions Tracker'!$B671,'Candidate Tracker'!$C:$C,"&lt;&gt;WIP",'Candidate Tracker'!$C:$C,"&lt;&gt;Hold",'Candidate Tracker'!$C:$C,"&lt;&gt;Cancelled",'Candidate Tracker'!$C:$C,"&lt;&gt;Closed")/COUNTIFS('Candidate Tracker'!$E:$E,'Positions Tracker'!$B671)),"")</f>
        <v/>
      </c>
      <c r="BD671" s="67" t="str">
        <f t="shared" si="60"/>
        <v/>
      </c>
      <c r="BE671" s="67" t="str">
        <f t="shared" si="61"/>
        <v/>
      </c>
      <c r="BF671" s="67" t="str">
        <f t="shared" si="62"/>
        <v/>
      </c>
      <c r="BG671" s="67" t="str">
        <f t="shared" si="63"/>
        <v/>
      </c>
    </row>
    <row r="672" spans="1:59">
      <c r="A672" s="55"/>
      <c r="B672" s="56"/>
      <c r="C672" s="56"/>
      <c r="D672" s="56"/>
      <c r="E672" s="56"/>
      <c r="F672" s="56"/>
      <c r="G672" s="56"/>
      <c r="H672" s="56"/>
      <c r="I672" s="6"/>
      <c r="J672" s="6"/>
      <c r="K672" s="57"/>
      <c r="L672" s="57"/>
      <c r="M672" s="57"/>
      <c r="N672" s="56"/>
      <c r="O672" s="56"/>
      <c r="P672" s="56"/>
      <c r="Q672" s="56"/>
      <c r="R672" s="56"/>
      <c r="S672" s="56"/>
      <c r="T672" s="56"/>
      <c r="U672" s="56"/>
      <c r="V672" s="56"/>
      <c r="W672" s="56"/>
      <c r="X672" s="56"/>
      <c r="Y672" s="56"/>
      <c r="Z672" s="56"/>
      <c r="AA672" s="56"/>
      <c r="AB672" s="56"/>
      <c r="AC672" s="56"/>
      <c r="AD672" s="56"/>
      <c r="AE672" s="56"/>
      <c r="AF672" s="56"/>
      <c r="AG672" s="56"/>
      <c r="AH672" s="56"/>
      <c r="AI672" s="58"/>
      <c r="AJ672" s="56"/>
      <c r="AK672" s="56"/>
      <c r="AL672" s="56"/>
      <c r="AM672" s="57"/>
      <c r="AN672" s="57"/>
      <c r="AO672" s="56"/>
      <c r="AP672" s="56"/>
      <c r="AQ672" s="57"/>
      <c r="AR672" s="57"/>
      <c r="AS672" s="57"/>
      <c r="AT672" s="67">
        <f t="shared" ca="1" si="64"/>
        <v>0</v>
      </c>
      <c r="AU672" s="79" t="str">
        <f t="shared" ca="1" si="65"/>
        <v/>
      </c>
      <c r="AV672" s="79" t="str" cm="1">
        <f t="array" aca="1" ref="AV672" ca="1">IFERROR(_xlfn.IFS($AU672="","",$AU672&lt;=15,"0-15",AND($AU672&gt;=16,$AU672&lt;=30),"16-30",AND($AU672&gt;=31,$AU672&lt;=45),"31-45",AND($AU672&gt;=46,$AU672&lt;=60),"46-60",AND($AU672&gt;=61,$AU672&lt;=90),"61-90",AND($AU672&gt;=91),"&gt; 90",AND($AU672&gt;=2000),""),"")</f>
        <v/>
      </c>
      <c r="AW672" s="79" t="str" cm="1">
        <f t="array" aca="1" ref="AW672" ca="1">IFERROR(_xlfn.IFS(OR($M672="",$AM672=""),"",OR($C672="Offered",$C672="Joined"),($AM672-$M672)-$AT672),"")</f>
        <v/>
      </c>
      <c r="AX672" s="79" t="str" cm="1">
        <f t="array" aca="1" ref="AX672" ca="1">IFERROR(_xlfn.IFS(OR($M672="",$AS672=""),"",$C672="Joined",($AS672-$M672)-$AT672),"")</f>
        <v/>
      </c>
      <c r="AY672" s="67" t="str">
        <f>IFERROR(IF(COUNTIFS('Candidate Tracker'!$E:$E,'Positions Tracker'!$B672,'Candidate Tracker'!$C:$C,"Offer Drop")=0,"",COUNTIFS('Candidate Tracker'!$E:$E,'Positions Tracker'!$B672,'Candidate Tracker'!$C:$C,"Offer Drop")),"")</f>
        <v/>
      </c>
      <c r="AZ672" s="80">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0.88111888111888115</v>
      </c>
      <c r="BA672" s="81" t="str">
        <f>IFERROR(IF(COUNTIFS('Candidate Tracker'!$E:$E,'Positions Tracker'!$B672,'Candidate Tracker'!$I:$I,"Female")=0,"",COUNTIFS('Candidate Tracker'!$E:$E,'Positions Tracker'!$B672,'Candidate Tracker'!$I:$I,"Female")),"")</f>
        <v/>
      </c>
      <c r="BB672" s="81" t="str">
        <f>IFERROR(IF(COUNTIFS('Candidate Tracker'!$E:$E,'Positions Tracker'!$B672,'Candidate Tracker'!$I:$I,"male")=0,"",COUNTIFS('Candidate Tracker'!$E:$E,'Positions Tracker'!$B672,'Candidate Tracker'!$I:$I,"male")),"")</f>
        <v/>
      </c>
      <c r="BC672" s="80" t="str">
        <f>IFERROR(IF(COUNTIFS('Candidate Tracker'!$E:$E,'Positions Tracker'!$B672,'Candidate Tracker'!$C:$C,"&lt;&gt;WIP",'Candidate Tracker'!$C:$C,"&lt;&gt;Hold",'Candidate Tracker'!$C:$C,"&lt;&gt;Cancelled",'Candidate Tracker'!$C:$C,"&lt;&gt;Closed")/COUNTIFS('Candidate Tracker'!$E:$E,'Positions Tracker'!$B672)=0,"",COUNTIFS('Candidate Tracker'!$E:$E,'Positions Tracker'!$B672,'Candidate Tracker'!$C:$C,"&lt;&gt;WIP",'Candidate Tracker'!$C:$C,"&lt;&gt;Hold",'Candidate Tracker'!$C:$C,"&lt;&gt;Cancelled",'Candidate Tracker'!$C:$C,"&lt;&gt;Closed")/COUNTIFS('Candidate Tracker'!$E:$E,'Positions Tracker'!$B672)),"")</f>
        <v/>
      </c>
      <c r="BD672" s="67" t="str">
        <f t="shared" si="60"/>
        <v/>
      </c>
      <c r="BE672" s="67" t="str">
        <f t="shared" si="61"/>
        <v/>
      </c>
      <c r="BF672" s="67" t="str">
        <f t="shared" si="62"/>
        <v/>
      </c>
      <c r="BG672" s="67" t="str">
        <f t="shared" si="63"/>
        <v/>
      </c>
    </row>
    <row r="673" spans="1:59">
      <c r="A673" s="55"/>
      <c r="B673" s="56"/>
      <c r="C673" s="56"/>
      <c r="D673" s="56"/>
      <c r="E673" s="56"/>
      <c r="F673" s="56"/>
      <c r="G673" s="56"/>
      <c r="H673" s="56"/>
      <c r="I673" s="6"/>
      <c r="J673" s="6"/>
      <c r="K673" s="57"/>
      <c r="L673" s="57"/>
      <c r="M673" s="57"/>
      <c r="N673" s="56"/>
      <c r="O673" s="56"/>
      <c r="P673" s="56"/>
      <c r="Q673" s="56"/>
      <c r="R673" s="56"/>
      <c r="S673" s="56"/>
      <c r="T673" s="56"/>
      <c r="U673" s="56"/>
      <c r="V673" s="56"/>
      <c r="W673" s="56"/>
      <c r="X673" s="56"/>
      <c r="Y673" s="56"/>
      <c r="Z673" s="56"/>
      <c r="AA673" s="56"/>
      <c r="AB673" s="56"/>
      <c r="AC673" s="56"/>
      <c r="AD673" s="56"/>
      <c r="AE673" s="56"/>
      <c r="AF673" s="56"/>
      <c r="AG673" s="56"/>
      <c r="AH673" s="56"/>
      <c r="AI673" s="58"/>
      <c r="AJ673" s="56"/>
      <c r="AK673" s="56"/>
      <c r="AL673" s="56"/>
      <c r="AM673" s="57"/>
      <c r="AN673" s="57"/>
      <c r="AO673" s="56"/>
      <c r="AP673" s="56"/>
      <c r="AQ673" s="57"/>
      <c r="AR673" s="57"/>
      <c r="AS673" s="57"/>
      <c r="AT673" s="67">
        <f t="shared" ca="1" si="64"/>
        <v>0</v>
      </c>
      <c r="AU673" s="79" t="str">
        <f t="shared" ca="1" si="65"/>
        <v/>
      </c>
      <c r="AV673" s="79" t="str" cm="1">
        <f t="array" aca="1" ref="AV673" ca="1">IFERROR(_xlfn.IFS($AU673="","",$AU673&lt;=15,"0-15",AND($AU673&gt;=16,$AU673&lt;=30),"16-30",AND($AU673&gt;=31,$AU673&lt;=45),"31-45",AND($AU673&gt;=46,$AU673&lt;=60),"46-60",AND($AU673&gt;=61,$AU673&lt;=90),"61-90",AND($AU673&gt;=91),"&gt; 90",AND($AU673&gt;=2000),""),"")</f>
        <v/>
      </c>
      <c r="AW673" s="79" t="str" cm="1">
        <f t="array" aca="1" ref="AW673" ca="1">IFERROR(_xlfn.IFS(OR($M673="",$AM673=""),"",OR($C673="Offered",$C673="Joined"),($AM673-$M673)-$AT673),"")</f>
        <v/>
      </c>
      <c r="AX673" s="79" t="str" cm="1">
        <f t="array" aca="1" ref="AX673" ca="1">IFERROR(_xlfn.IFS(OR($M673="",$AS673=""),"",$C673="Joined",($AS673-$M673)-$AT673),"")</f>
        <v/>
      </c>
      <c r="AY673" s="67" t="str">
        <f>IFERROR(IF(COUNTIFS('Candidate Tracker'!$E:$E,'Positions Tracker'!$B673,'Candidate Tracker'!$C:$C,"Offer Drop")=0,"",COUNTIFS('Candidate Tracker'!$E:$E,'Positions Tracker'!$B673,'Candidate Tracker'!$C:$C,"Offer Drop")),"")</f>
        <v/>
      </c>
      <c r="AZ673" s="80">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0.88111888111888115</v>
      </c>
      <c r="BA673" s="81" t="str">
        <f>IFERROR(IF(COUNTIFS('Candidate Tracker'!$E:$E,'Positions Tracker'!$B673,'Candidate Tracker'!$I:$I,"Female")=0,"",COUNTIFS('Candidate Tracker'!$E:$E,'Positions Tracker'!$B673,'Candidate Tracker'!$I:$I,"Female")),"")</f>
        <v/>
      </c>
      <c r="BB673" s="81" t="str">
        <f>IFERROR(IF(COUNTIFS('Candidate Tracker'!$E:$E,'Positions Tracker'!$B673,'Candidate Tracker'!$I:$I,"male")=0,"",COUNTIFS('Candidate Tracker'!$E:$E,'Positions Tracker'!$B673,'Candidate Tracker'!$I:$I,"male")),"")</f>
        <v/>
      </c>
      <c r="BC673" s="80" t="str">
        <f>IFERROR(IF(COUNTIFS('Candidate Tracker'!$E:$E,'Positions Tracker'!$B673,'Candidate Tracker'!$C:$C,"&lt;&gt;WIP",'Candidate Tracker'!$C:$C,"&lt;&gt;Hold",'Candidate Tracker'!$C:$C,"&lt;&gt;Cancelled",'Candidate Tracker'!$C:$C,"&lt;&gt;Closed")/COUNTIFS('Candidate Tracker'!$E:$E,'Positions Tracker'!$B673)=0,"",COUNTIFS('Candidate Tracker'!$E:$E,'Positions Tracker'!$B673,'Candidate Tracker'!$C:$C,"&lt;&gt;WIP",'Candidate Tracker'!$C:$C,"&lt;&gt;Hold",'Candidate Tracker'!$C:$C,"&lt;&gt;Cancelled",'Candidate Tracker'!$C:$C,"&lt;&gt;Closed")/COUNTIFS('Candidate Tracker'!$E:$E,'Positions Tracker'!$B673)),"")</f>
        <v/>
      </c>
      <c r="BD673" s="67" t="str">
        <f t="shared" si="60"/>
        <v/>
      </c>
      <c r="BE673" s="67" t="str">
        <f t="shared" si="61"/>
        <v/>
      </c>
      <c r="BF673" s="67" t="str">
        <f t="shared" si="62"/>
        <v/>
      </c>
      <c r="BG673" s="67" t="str">
        <f t="shared" si="63"/>
        <v/>
      </c>
    </row>
    <row r="674" spans="1:59">
      <c r="A674" s="55"/>
      <c r="B674" s="56"/>
      <c r="C674" s="56"/>
      <c r="D674" s="56"/>
      <c r="E674" s="56"/>
      <c r="F674" s="56"/>
      <c r="G674" s="56"/>
      <c r="H674" s="56"/>
      <c r="I674" s="6"/>
      <c r="J674" s="6"/>
      <c r="K674" s="57"/>
      <c r="L674" s="57"/>
      <c r="M674" s="57"/>
      <c r="N674" s="56"/>
      <c r="O674" s="56"/>
      <c r="P674" s="56"/>
      <c r="Q674" s="56"/>
      <c r="R674" s="56"/>
      <c r="S674" s="56"/>
      <c r="T674" s="56"/>
      <c r="U674" s="56"/>
      <c r="V674" s="56"/>
      <c r="W674" s="56"/>
      <c r="X674" s="56"/>
      <c r="Y674" s="56"/>
      <c r="Z674" s="56"/>
      <c r="AA674" s="56"/>
      <c r="AB674" s="56"/>
      <c r="AC674" s="56"/>
      <c r="AD674" s="56"/>
      <c r="AE674" s="56"/>
      <c r="AF674" s="56"/>
      <c r="AG674" s="56"/>
      <c r="AH674" s="56"/>
      <c r="AI674" s="58"/>
      <c r="AJ674" s="56"/>
      <c r="AK674" s="56"/>
      <c r="AL674" s="56"/>
      <c r="AM674" s="57"/>
      <c r="AN674" s="57"/>
      <c r="AO674" s="56"/>
      <c r="AP674" s="56"/>
      <c r="AQ674" s="57"/>
      <c r="AR674" s="57"/>
      <c r="AS674" s="57"/>
      <c r="AT674" s="67">
        <f t="shared" ca="1" si="64"/>
        <v>0</v>
      </c>
      <c r="AU674" s="79" t="str">
        <f t="shared" ca="1" si="65"/>
        <v/>
      </c>
      <c r="AV674" s="79" t="str" cm="1">
        <f t="array" aca="1" ref="AV674" ca="1">IFERROR(_xlfn.IFS($AU674="","",$AU674&lt;=15,"0-15",AND($AU674&gt;=16,$AU674&lt;=30),"16-30",AND($AU674&gt;=31,$AU674&lt;=45),"31-45",AND($AU674&gt;=46,$AU674&lt;=60),"46-60",AND($AU674&gt;=61,$AU674&lt;=90),"61-90",AND($AU674&gt;=91),"&gt; 90",AND($AU674&gt;=2000),""),"")</f>
        <v/>
      </c>
      <c r="AW674" s="79" t="str" cm="1">
        <f t="array" aca="1" ref="AW674" ca="1">IFERROR(_xlfn.IFS(OR($M674="",$AM674=""),"",OR($C674="Offered",$C674="Joined"),($AM674-$M674)-$AT674),"")</f>
        <v/>
      </c>
      <c r="AX674" s="79" t="str" cm="1">
        <f t="array" aca="1" ref="AX674" ca="1">IFERROR(_xlfn.IFS(OR($M674="",$AS674=""),"",$C674="Joined",($AS674-$M674)-$AT674),"")</f>
        <v/>
      </c>
      <c r="AY674" s="67" t="str">
        <f>IFERROR(IF(COUNTIFS('Candidate Tracker'!$E:$E,'Positions Tracker'!$B674,'Candidate Tracker'!$C:$C,"Offer Drop")=0,"",COUNTIFS('Candidate Tracker'!$E:$E,'Positions Tracker'!$B674,'Candidate Tracker'!$C:$C,"Offer Drop")),"")</f>
        <v/>
      </c>
      <c r="AZ674" s="80">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0.88111888111888115</v>
      </c>
      <c r="BA674" s="81" t="str">
        <f>IFERROR(IF(COUNTIFS('Candidate Tracker'!$E:$E,'Positions Tracker'!$B674,'Candidate Tracker'!$I:$I,"Female")=0,"",COUNTIFS('Candidate Tracker'!$E:$E,'Positions Tracker'!$B674,'Candidate Tracker'!$I:$I,"Female")),"")</f>
        <v/>
      </c>
      <c r="BB674" s="81" t="str">
        <f>IFERROR(IF(COUNTIFS('Candidate Tracker'!$E:$E,'Positions Tracker'!$B674,'Candidate Tracker'!$I:$I,"male")=0,"",COUNTIFS('Candidate Tracker'!$E:$E,'Positions Tracker'!$B674,'Candidate Tracker'!$I:$I,"male")),"")</f>
        <v/>
      </c>
      <c r="BC674" s="80" t="str">
        <f>IFERROR(IF(COUNTIFS('Candidate Tracker'!$E:$E,'Positions Tracker'!$B674,'Candidate Tracker'!$C:$C,"&lt;&gt;WIP",'Candidate Tracker'!$C:$C,"&lt;&gt;Hold",'Candidate Tracker'!$C:$C,"&lt;&gt;Cancelled",'Candidate Tracker'!$C:$C,"&lt;&gt;Closed")/COUNTIFS('Candidate Tracker'!$E:$E,'Positions Tracker'!$B674)=0,"",COUNTIFS('Candidate Tracker'!$E:$E,'Positions Tracker'!$B674,'Candidate Tracker'!$C:$C,"&lt;&gt;WIP",'Candidate Tracker'!$C:$C,"&lt;&gt;Hold",'Candidate Tracker'!$C:$C,"&lt;&gt;Cancelled",'Candidate Tracker'!$C:$C,"&lt;&gt;Closed")/COUNTIFS('Candidate Tracker'!$E:$E,'Positions Tracker'!$B674)),"")</f>
        <v/>
      </c>
      <c r="BD674" s="67" t="str">
        <f t="shared" si="60"/>
        <v/>
      </c>
      <c r="BE674" s="67" t="str">
        <f t="shared" si="61"/>
        <v/>
      </c>
      <c r="BF674" s="67" t="str">
        <f t="shared" si="62"/>
        <v/>
      </c>
      <c r="BG674" s="67" t="str">
        <f t="shared" si="63"/>
        <v/>
      </c>
    </row>
    <row r="675" spans="1:59">
      <c r="A675" s="55"/>
      <c r="B675" s="56"/>
      <c r="C675" s="56"/>
      <c r="D675" s="56"/>
      <c r="E675" s="56"/>
      <c r="F675" s="56"/>
      <c r="G675" s="56"/>
      <c r="H675" s="56"/>
      <c r="I675" s="6"/>
      <c r="J675" s="6"/>
      <c r="K675" s="57"/>
      <c r="L675" s="57"/>
      <c r="M675" s="57"/>
      <c r="N675" s="56"/>
      <c r="O675" s="56"/>
      <c r="P675" s="56"/>
      <c r="Q675" s="56"/>
      <c r="R675" s="56"/>
      <c r="S675" s="56"/>
      <c r="T675" s="56"/>
      <c r="U675" s="56"/>
      <c r="V675" s="56"/>
      <c r="W675" s="56"/>
      <c r="X675" s="56"/>
      <c r="Y675" s="56"/>
      <c r="Z675" s="56"/>
      <c r="AA675" s="56"/>
      <c r="AB675" s="56"/>
      <c r="AC675" s="56"/>
      <c r="AD675" s="56"/>
      <c r="AE675" s="56"/>
      <c r="AF675" s="56"/>
      <c r="AG675" s="56"/>
      <c r="AH675" s="56"/>
      <c r="AI675" s="58"/>
      <c r="AJ675" s="56"/>
      <c r="AK675" s="56"/>
      <c r="AL675" s="56"/>
      <c r="AM675" s="57"/>
      <c r="AN675" s="57"/>
      <c r="AO675" s="56"/>
      <c r="AP675" s="56"/>
      <c r="AQ675" s="57"/>
      <c r="AR675" s="57"/>
      <c r="AS675" s="57"/>
      <c r="AT675" s="67">
        <f t="shared" ca="1" si="64"/>
        <v>0</v>
      </c>
      <c r="AU675" s="79" t="str">
        <f t="shared" ca="1" si="65"/>
        <v/>
      </c>
      <c r="AV675" s="79" t="str" cm="1">
        <f t="array" aca="1" ref="AV675" ca="1">IFERROR(_xlfn.IFS($AU675="","",$AU675&lt;=15,"0-15",AND($AU675&gt;=16,$AU675&lt;=30),"16-30",AND($AU675&gt;=31,$AU675&lt;=45),"31-45",AND($AU675&gt;=46,$AU675&lt;=60),"46-60",AND($AU675&gt;=61,$AU675&lt;=90),"61-90",AND($AU675&gt;=91),"&gt; 90",AND($AU675&gt;=2000),""),"")</f>
        <v/>
      </c>
      <c r="AW675" s="79" t="str" cm="1">
        <f t="array" aca="1" ref="AW675" ca="1">IFERROR(_xlfn.IFS(OR($M675="",$AM675=""),"",OR($C675="Offered",$C675="Joined"),($AM675-$M675)-$AT675),"")</f>
        <v/>
      </c>
      <c r="AX675" s="79" t="str" cm="1">
        <f t="array" aca="1" ref="AX675" ca="1">IFERROR(_xlfn.IFS(OR($M675="",$AS675=""),"",$C675="Joined",($AS675-$M675)-$AT675),"")</f>
        <v/>
      </c>
      <c r="AY675" s="67" t="str">
        <f>IFERROR(IF(COUNTIFS('Candidate Tracker'!$E:$E,'Positions Tracker'!$B675,'Candidate Tracker'!$C:$C,"Offer Drop")=0,"",COUNTIFS('Candidate Tracker'!$E:$E,'Positions Tracker'!$B675,'Candidate Tracker'!$C:$C,"Offer Drop")),"")</f>
        <v/>
      </c>
      <c r="AZ675" s="80">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0.88111888111888115</v>
      </c>
      <c r="BA675" s="81" t="str">
        <f>IFERROR(IF(COUNTIFS('Candidate Tracker'!$E:$E,'Positions Tracker'!$B675,'Candidate Tracker'!$I:$I,"Female")=0,"",COUNTIFS('Candidate Tracker'!$E:$E,'Positions Tracker'!$B675,'Candidate Tracker'!$I:$I,"Female")),"")</f>
        <v/>
      </c>
      <c r="BB675" s="81" t="str">
        <f>IFERROR(IF(COUNTIFS('Candidate Tracker'!$E:$E,'Positions Tracker'!$B675,'Candidate Tracker'!$I:$I,"male")=0,"",COUNTIFS('Candidate Tracker'!$E:$E,'Positions Tracker'!$B675,'Candidate Tracker'!$I:$I,"male")),"")</f>
        <v/>
      </c>
      <c r="BC675" s="80" t="str">
        <f>IFERROR(IF(COUNTIFS('Candidate Tracker'!$E:$E,'Positions Tracker'!$B675,'Candidate Tracker'!$C:$C,"&lt;&gt;WIP",'Candidate Tracker'!$C:$C,"&lt;&gt;Hold",'Candidate Tracker'!$C:$C,"&lt;&gt;Cancelled",'Candidate Tracker'!$C:$C,"&lt;&gt;Closed")/COUNTIFS('Candidate Tracker'!$E:$E,'Positions Tracker'!$B675)=0,"",COUNTIFS('Candidate Tracker'!$E:$E,'Positions Tracker'!$B675,'Candidate Tracker'!$C:$C,"&lt;&gt;WIP",'Candidate Tracker'!$C:$C,"&lt;&gt;Hold",'Candidate Tracker'!$C:$C,"&lt;&gt;Cancelled",'Candidate Tracker'!$C:$C,"&lt;&gt;Closed")/COUNTIFS('Candidate Tracker'!$E:$E,'Positions Tracker'!$B675)),"")</f>
        <v/>
      </c>
      <c r="BD675" s="67" t="str">
        <f t="shared" si="60"/>
        <v/>
      </c>
      <c r="BE675" s="67" t="str">
        <f t="shared" si="61"/>
        <v/>
      </c>
      <c r="BF675" s="67" t="str">
        <f t="shared" si="62"/>
        <v/>
      </c>
      <c r="BG675" s="67" t="str">
        <f t="shared" si="63"/>
        <v/>
      </c>
    </row>
    <row r="676" spans="1:59">
      <c r="A676" s="55"/>
      <c r="B676" s="56"/>
      <c r="C676" s="56"/>
      <c r="D676" s="56"/>
      <c r="E676" s="56"/>
      <c r="F676" s="56"/>
      <c r="G676" s="56"/>
      <c r="H676" s="56"/>
      <c r="I676" s="6"/>
      <c r="J676" s="6"/>
      <c r="K676" s="57"/>
      <c r="L676" s="57"/>
      <c r="M676" s="57"/>
      <c r="N676" s="56"/>
      <c r="O676" s="56"/>
      <c r="P676" s="56"/>
      <c r="Q676" s="56"/>
      <c r="R676" s="56"/>
      <c r="S676" s="56"/>
      <c r="T676" s="56"/>
      <c r="U676" s="56"/>
      <c r="V676" s="56"/>
      <c r="W676" s="56"/>
      <c r="X676" s="56"/>
      <c r="Y676" s="56"/>
      <c r="Z676" s="56"/>
      <c r="AA676" s="56"/>
      <c r="AB676" s="56"/>
      <c r="AC676" s="56"/>
      <c r="AD676" s="56"/>
      <c r="AE676" s="56"/>
      <c r="AF676" s="56"/>
      <c r="AG676" s="56"/>
      <c r="AH676" s="56"/>
      <c r="AI676" s="58"/>
      <c r="AJ676" s="56"/>
      <c r="AK676" s="56"/>
      <c r="AL676" s="56"/>
      <c r="AM676" s="57"/>
      <c r="AN676" s="57"/>
      <c r="AO676" s="56"/>
      <c r="AP676" s="56"/>
      <c r="AQ676" s="57"/>
      <c r="AR676" s="57"/>
      <c r="AS676" s="57"/>
      <c r="AT676" s="67">
        <f t="shared" ca="1" si="64"/>
        <v>0</v>
      </c>
      <c r="AU676" s="79" t="str">
        <f t="shared" ca="1" si="65"/>
        <v/>
      </c>
      <c r="AV676" s="79" t="str" cm="1">
        <f t="array" aca="1" ref="AV676" ca="1">IFERROR(_xlfn.IFS($AU676="","",$AU676&lt;=15,"0-15",AND($AU676&gt;=16,$AU676&lt;=30),"16-30",AND($AU676&gt;=31,$AU676&lt;=45),"31-45",AND($AU676&gt;=46,$AU676&lt;=60),"46-60",AND($AU676&gt;=61,$AU676&lt;=90),"61-90",AND($AU676&gt;=91),"&gt; 90",AND($AU676&gt;=2000),""),"")</f>
        <v/>
      </c>
      <c r="AW676" s="79" t="str" cm="1">
        <f t="array" aca="1" ref="AW676" ca="1">IFERROR(_xlfn.IFS(OR($M676="",$AM676=""),"",OR($C676="Offered",$C676="Joined"),($AM676-$M676)-$AT676),"")</f>
        <v/>
      </c>
      <c r="AX676" s="79" t="str" cm="1">
        <f t="array" aca="1" ref="AX676" ca="1">IFERROR(_xlfn.IFS(OR($M676="",$AS676=""),"",$C676="Joined",($AS676-$M676)-$AT676),"")</f>
        <v/>
      </c>
      <c r="AY676" s="67" t="str">
        <f>IFERROR(IF(COUNTIFS('Candidate Tracker'!$E:$E,'Positions Tracker'!$B676,'Candidate Tracker'!$C:$C,"Offer Drop")=0,"",COUNTIFS('Candidate Tracker'!$E:$E,'Positions Tracker'!$B676,'Candidate Tracker'!$C:$C,"Offer Drop")),"")</f>
        <v/>
      </c>
      <c r="AZ676" s="80">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0.88111888111888115</v>
      </c>
      <c r="BA676" s="81" t="str">
        <f>IFERROR(IF(COUNTIFS('Candidate Tracker'!$E:$E,'Positions Tracker'!$B676,'Candidate Tracker'!$I:$I,"Female")=0,"",COUNTIFS('Candidate Tracker'!$E:$E,'Positions Tracker'!$B676,'Candidate Tracker'!$I:$I,"Female")),"")</f>
        <v/>
      </c>
      <c r="BB676" s="81" t="str">
        <f>IFERROR(IF(COUNTIFS('Candidate Tracker'!$E:$E,'Positions Tracker'!$B676,'Candidate Tracker'!$I:$I,"male")=0,"",COUNTIFS('Candidate Tracker'!$E:$E,'Positions Tracker'!$B676,'Candidate Tracker'!$I:$I,"male")),"")</f>
        <v/>
      </c>
      <c r="BC676" s="80" t="str">
        <f>IFERROR(IF(COUNTIFS('Candidate Tracker'!$E:$E,'Positions Tracker'!$B676,'Candidate Tracker'!$C:$C,"&lt;&gt;WIP",'Candidate Tracker'!$C:$C,"&lt;&gt;Hold",'Candidate Tracker'!$C:$C,"&lt;&gt;Cancelled",'Candidate Tracker'!$C:$C,"&lt;&gt;Closed")/COUNTIFS('Candidate Tracker'!$E:$E,'Positions Tracker'!$B676)=0,"",COUNTIFS('Candidate Tracker'!$E:$E,'Positions Tracker'!$B676,'Candidate Tracker'!$C:$C,"&lt;&gt;WIP",'Candidate Tracker'!$C:$C,"&lt;&gt;Hold",'Candidate Tracker'!$C:$C,"&lt;&gt;Cancelled",'Candidate Tracker'!$C:$C,"&lt;&gt;Closed")/COUNTIFS('Candidate Tracker'!$E:$E,'Positions Tracker'!$B676)),"")</f>
        <v/>
      </c>
      <c r="BD676" s="67" t="str">
        <f t="shared" si="60"/>
        <v/>
      </c>
      <c r="BE676" s="67" t="str">
        <f t="shared" si="61"/>
        <v/>
      </c>
      <c r="BF676" s="67" t="str">
        <f t="shared" si="62"/>
        <v/>
      </c>
      <c r="BG676" s="67" t="str">
        <f t="shared" si="63"/>
        <v/>
      </c>
    </row>
    <row r="677" spans="1:59">
      <c r="A677" s="55"/>
      <c r="B677" s="56"/>
      <c r="C677" s="56"/>
      <c r="D677" s="56"/>
      <c r="E677" s="56"/>
      <c r="F677" s="56"/>
      <c r="G677" s="56"/>
      <c r="H677" s="56"/>
      <c r="I677" s="6"/>
      <c r="J677" s="6"/>
      <c r="K677" s="57"/>
      <c r="L677" s="57"/>
      <c r="M677" s="57"/>
      <c r="N677" s="56"/>
      <c r="O677" s="56"/>
      <c r="P677" s="56"/>
      <c r="Q677" s="56"/>
      <c r="R677" s="56"/>
      <c r="S677" s="56"/>
      <c r="T677" s="56"/>
      <c r="U677" s="56"/>
      <c r="V677" s="56"/>
      <c r="W677" s="56"/>
      <c r="X677" s="56"/>
      <c r="Y677" s="56"/>
      <c r="Z677" s="56"/>
      <c r="AA677" s="56"/>
      <c r="AB677" s="56"/>
      <c r="AC677" s="56"/>
      <c r="AD677" s="56"/>
      <c r="AE677" s="56"/>
      <c r="AF677" s="56"/>
      <c r="AG677" s="56"/>
      <c r="AH677" s="56"/>
      <c r="AI677" s="58"/>
      <c r="AJ677" s="56"/>
      <c r="AK677" s="56"/>
      <c r="AL677" s="56"/>
      <c r="AM677" s="57"/>
      <c r="AN677" s="57"/>
      <c r="AO677" s="56"/>
      <c r="AP677" s="56"/>
      <c r="AQ677" s="57"/>
      <c r="AR677" s="57"/>
      <c r="AS677" s="57"/>
      <c r="AT677" s="67">
        <f t="shared" ca="1" si="64"/>
        <v>0</v>
      </c>
      <c r="AU677" s="79" t="str">
        <f t="shared" ca="1" si="65"/>
        <v/>
      </c>
      <c r="AV677" s="79" t="str" cm="1">
        <f t="array" aca="1" ref="AV677" ca="1">IFERROR(_xlfn.IFS($AU677="","",$AU677&lt;=15,"0-15",AND($AU677&gt;=16,$AU677&lt;=30),"16-30",AND($AU677&gt;=31,$AU677&lt;=45),"31-45",AND($AU677&gt;=46,$AU677&lt;=60),"46-60",AND($AU677&gt;=61,$AU677&lt;=90),"61-90",AND($AU677&gt;=91),"&gt; 90",AND($AU677&gt;=2000),""),"")</f>
        <v/>
      </c>
      <c r="AW677" s="79" t="str" cm="1">
        <f t="array" aca="1" ref="AW677" ca="1">IFERROR(_xlfn.IFS(OR($M677="",$AM677=""),"",OR($C677="Offered",$C677="Joined"),($AM677-$M677)-$AT677),"")</f>
        <v/>
      </c>
      <c r="AX677" s="79" t="str" cm="1">
        <f t="array" aca="1" ref="AX677" ca="1">IFERROR(_xlfn.IFS(OR($M677="",$AS677=""),"",$C677="Joined",($AS677-$M677)-$AT677),"")</f>
        <v/>
      </c>
      <c r="AY677" s="67" t="str">
        <f>IFERROR(IF(COUNTIFS('Candidate Tracker'!$E:$E,'Positions Tracker'!$B677,'Candidate Tracker'!$C:$C,"Offer Drop")=0,"",COUNTIFS('Candidate Tracker'!$E:$E,'Positions Tracker'!$B677,'Candidate Tracker'!$C:$C,"Offer Drop")),"")</f>
        <v/>
      </c>
      <c r="AZ677" s="80">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0.88111888111888115</v>
      </c>
      <c r="BA677" s="81" t="str">
        <f>IFERROR(IF(COUNTIFS('Candidate Tracker'!$E:$E,'Positions Tracker'!$B677,'Candidate Tracker'!$I:$I,"Female")=0,"",COUNTIFS('Candidate Tracker'!$E:$E,'Positions Tracker'!$B677,'Candidate Tracker'!$I:$I,"Female")),"")</f>
        <v/>
      </c>
      <c r="BB677" s="81" t="str">
        <f>IFERROR(IF(COUNTIFS('Candidate Tracker'!$E:$E,'Positions Tracker'!$B677,'Candidate Tracker'!$I:$I,"male")=0,"",COUNTIFS('Candidate Tracker'!$E:$E,'Positions Tracker'!$B677,'Candidate Tracker'!$I:$I,"male")),"")</f>
        <v/>
      </c>
      <c r="BC677" s="80" t="str">
        <f>IFERROR(IF(COUNTIFS('Candidate Tracker'!$E:$E,'Positions Tracker'!$B677,'Candidate Tracker'!$C:$C,"&lt;&gt;WIP",'Candidate Tracker'!$C:$C,"&lt;&gt;Hold",'Candidate Tracker'!$C:$C,"&lt;&gt;Cancelled",'Candidate Tracker'!$C:$C,"&lt;&gt;Closed")/COUNTIFS('Candidate Tracker'!$E:$E,'Positions Tracker'!$B677)=0,"",COUNTIFS('Candidate Tracker'!$E:$E,'Positions Tracker'!$B677,'Candidate Tracker'!$C:$C,"&lt;&gt;WIP",'Candidate Tracker'!$C:$C,"&lt;&gt;Hold",'Candidate Tracker'!$C:$C,"&lt;&gt;Cancelled",'Candidate Tracker'!$C:$C,"&lt;&gt;Closed")/COUNTIFS('Candidate Tracker'!$E:$E,'Positions Tracker'!$B677)),"")</f>
        <v/>
      </c>
      <c r="BD677" s="67" t="str">
        <f t="shared" si="60"/>
        <v/>
      </c>
      <c r="BE677" s="67" t="str">
        <f t="shared" si="61"/>
        <v/>
      </c>
      <c r="BF677" s="67" t="str">
        <f t="shared" si="62"/>
        <v/>
      </c>
      <c r="BG677" s="67" t="str">
        <f t="shared" si="63"/>
        <v/>
      </c>
    </row>
    <row r="678" spans="1:59">
      <c r="A678" s="55"/>
      <c r="B678" s="56"/>
      <c r="C678" s="56"/>
      <c r="D678" s="56"/>
      <c r="E678" s="56"/>
      <c r="F678" s="56"/>
      <c r="G678" s="56"/>
      <c r="H678" s="56"/>
      <c r="I678" s="6"/>
      <c r="J678" s="6"/>
      <c r="K678" s="57"/>
      <c r="L678" s="57"/>
      <c r="M678" s="57"/>
      <c r="N678" s="56"/>
      <c r="O678" s="56"/>
      <c r="P678" s="56"/>
      <c r="Q678" s="56"/>
      <c r="R678" s="56"/>
      <c r="S678" s="56"/>
      <c r="T678" s="56"/>
      <c r="U678" s="56"/>
      <c r="V678" s="56"/>
      <c r="W678" s="56"/>
      <c r="X678" s="56"/>
      <c r="Y678" s="56"/>
      <c r="Z678" s="56"/>
      <c r="AA678" s="56"/>
      <c r="AB678" s="56"/>
      <c r="AC678" s="56"/>
      <c r="AD678" s="56"/>
      <c r="AE678" s="56"/>
      <c r="AF678" s="56"/>
      <c r="AG678" s="56"/>
      <c r="AH678" s="56"/>
      <c r="AI678" s="58"/>
      <c r="AJ678" s="56"/>
      <c r="AK678" s="56"/>
      <c r="AL678" s="56"/>
      <c r="AM678" s="57"/>
      <c r="AN678" s="57"/>
      <c r="AO678" s="56"/>
      <c r="AP678" s="56"/>
      <c r="AQ678" s="57"/>
      <c r="AR678" s="57"/>
      <c r="AS678" s="57"/>
      <c r="AT678" s="67">
        <f t="shared" ca="1" si="64"/>
        <v>0</v>
      </c>
      <c r="AU678" s="79" t="str">
        <f t="shared" ca="1" si="65"/>
        <v/>
      </c>
      <c r="AV678" s="79" t="str" cm="1">
        <f t="array" aca="1" ref="AV678" ca="1">IFERROR(_xlfn.IFS($AU678="","",$AU678&lt;=15,"0-15",AND($AU678&gt;=16,$AU678&lt;=30),"16-30",AND($AU678&gt;=31,$AU678&lt;=45),"31-45",AND($AU678&gt;=46,$AU678&lt;=60),"46-60",AND($AU678&gt;=61,$AU678&lt;=90),"61-90",AND($AU678&gt;=91),"&gt; 90",AND($AU678&gt;=2000),""),"")</f>
        <v/>
      </c>
      <c r="AW678" s="79" t="str" cm="1">
        <f t="array" aca="1" ref="AW678" ca="1">IFERROR(_xlfn.IFS(OR($M678="",$AM678=""),"",OR($C678="Offered",$C678="Joined"),($AM678-$M678)-$AT678),"")</f>
        <v/>
      </c>
      <c r="AX678" s="79" t="str" cm="1">
        <f t="array" aca="1" ref="AX678" ca="1">IFERROR(_xlfn.IFS(OR($M678="",$AS678=""),"",$C678="Joined",($AS678-$M678)-$AT678),"")</f>
        <v/>
      </c>
      <c r="AY678" s="67" t="str">
        <f>IFERROR(IF(COUNTIFS('Candidate Tracker'!$E:$E,'Positions Tracker'!$B678,'Candidate Tracker'!$C:$C,"Offer Drop")=0,"",COUNTIFS('Candidate Tracker'!$E:$E,'Positions Tracker'!$B678,'Candidate Tracker'!$C:$C,"Offer Drop")),"")</f>
        <v/>
      </c>
      <c r="AZ678" s="80">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0.88111888111888115</v>
      </c>
      <c r="BA678" s="81" t="str">
        <f>IFERROR(IF(COUNTIFS('Candidate Tracker'!$E:$E,'Positions Tracker'!$B678,'Candidate Tracker'!$I:$I,"Female")=0,"",COUNTIFS('Candidate Tracker'!$E:$E,'Positions Tracker'!$B678,'Candidate Tracker'!$I:$I,"Female")),"")</f>
        <v/>
      </c>
      <c r="BB678" s="81" t="str">
        <f>IFERROR(IF(COUNTIFS('Candidate Tracker'!$E:$E,'Positions Tracker'!$B678,'Candidate Tracker'!$I:$I,"male")=0,"",COUNTIFS('Candidate Tracker'!$E:$E,'Positions Tracker'!$B678,'Candidate Tracker'!$I:$I,"male")),"")</f>
        <v/>
      </c>
      <c r="BC678" s="80" t="str">
        <f>IFERROR(IF(COUNTIFS('Candidate Tracker'!$E:$E,'Positions Tracker'!$B678,'Candidate Tracker'!$C:$C,"&lt;&gt;WIP",'Candidate Tracker'!$C:$C,"&lt;&gt;Hold",'Candidate Tracker'!$C:$C,"&lt;&gt;Cancelled",'Candidate Tracker'!$C:$C,"&lt;&gt;Closed")/COUNTIFS('Candidate Tracker'!$E:$E,'Positions Tracker'!$B678)=0,"",COUNTIFS('Candidate Tracker'!$E:$E,'Positions Tracker'!$B678,'Candidate Tracker'!$C:$C,"&lt;&gt;WIP",'Candidate Tracker'!$C:$C,"&lt;&gt;Hold",'Candidate Tracker'!$C:$C,"&lt;&gt;Cancelled",'Candidate Tracker'!$C:$C,"&lt;&gt;Closed")/COUNTIFS('Candidate Tracker'!$E:$E,'Positions Tracker'!$B678)),"")</f>
        <v/>
      </c>
      <c r="BD678" s="67" t="str">
        <f t="shared" si="60"/>
        <v/>
      </c>
      <c r="BE678" s="67" t="str">
        <f t="shared" si="61"/>
        <v/>
      </c>
      <c r="BF678" s="67" t="str">
        <f t="shared" si="62"/>
        <v/>
      </c>
      <c r="BG678" s="67" t="str">
        <f t="shared" si="63"/>
        <v/>
      </c>
    </row>
    <row r="679" spans="1:59">
      <c r="A679" s="55"/>
      <c r="B679" s="56"/>
      <c r="C679" s="56"/>
      <c r="D679" s="56"/>
      <c r="E679" s="56"/>
      <c r="F679" s="56"/>
      <c r="G679" s="56"/>
      <c r="H679" s="56"/>
      <c r="I679" s="6"/>
      <c r="J679" s="6"/>
      <c r="K679" s="57"/>
      <c r="L679" s="57"/>
      <c r="M679" s="57"/>
      <c r="N679" s="56"/>
      <c r="O679" s="56"/>
      <c r="P679" s="56"/>
      <c r="Q679" s="56"/>
      <c r="R679" s="56"/>
      <c r="S679" s="56"/>
      <c r="T679" s="56"/>
      <c r="U679" s="56"/>
      <c r="V679" s="56"/>
      <c r="W679" s="56"/>
      <c r="X679" s="56"/>
      <c r="Y679" s="56"/>
      <c r="Z679" s="56"/>
      <c r="AA679" s="56"/>
      <c r="AB679" s="56"/>
      <c r="AC679" s="56"/>
      <c r="AD679" s="56"/>
      <c r="AE679" s="56"/>
      <c r="AF679" s="56"/>
      <c r="AG679" s="56"/>
      <c r="AH679" s="56"/>
      <c r="AI679" s="58"/>
      <c r="AJ679" s="56"/>
      <c r="AK679" s="56"/>
      <c r="AL679" s="56"/>
      <c r="AM679" s="57"/>
      <c r="AN679" s="57"/>
      <c r="AO679" s="56"/>
      <c r="AP679" s="56"/>
      <c r="AQ679" s="57"/>
      <c r="AR679" s="57"/>
      <c r="AS679" s="57"/>
      <c r="AT679" s="67">
        <f t="shared" ca="1" si="64"/>
        <v>0</v>
      </c>
      <c r="AU679" s="79" t="str">
        <f t="shared" ca="1" si="65"/>
        <v/>
      </c>
      <c r="AV679" s="79" t="str" cm="1">
        <f t="array" aca="1" ref="AV679" ca="1">IFERROR(_xlfn.IFS($AU679="","",$AU679&lt;=15,"0-15",AND($AU679&gt;=16,$AU679&lt;=30),"16-30",AND($AU679&gt;=31,$AU679&lt;=45),"31-45",AND($AU679&gt;=46,$AU679&lt;=60),"46-60",AND($AU679&gt;=61,$AU679&lt;=90),"61-90",AND($AU679&gt;=91),"&gt; 90",AND($AU679&gt;=2000),""),"")</f>
        <v/>
      </c>
      <c r="AW679" s="79" t="str" cm="1">
        <f t="array" aca="1" ref="AW679" ca="1">IFERROR(_xlfn.IFS(OR($M679="",$AM679=""),"",OR($C679="Offered",$C679="Joined"),($AM679-$M679)-$AT679),"")</f>
        <v/>
      </c>
      <c r="AX679" s="79" t="str" cm="1">
        <f t="array" aca="1" ref="AX679" ca="1">IFERROR(_xlfn.IFS(OR($M679="",$AS679=""),"",$C679="Joined",($AS679-$M679)-$AT679),"")</f>
        <v/>
      </c>
      <c r="AY679" s="67" t="str">
        <f>IFERROR(IF(COUNTIFS('Candidate Tracker'!$E:$E,'Positions Tracker'!$B679,'Candidate Tracker'!$C:$C,"Offer Drop")=0,"",COUNTIFS('Candidate Tracker'!$E:$E,'Positions Tracker'!$B679,'Candidate Tracker'!$C:$C,"Offer Drop")),"")</f>
        <v/>
      </c>
      <c r="AZ679" s="80">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0.88111888111888115</v>
      </c>
      <c r="BA679" s="81" t="str">
        <f>IFERROR(IF(COUNTIFS('Candidate Tracker'!$E:$E,'Positions Tracker'!$B679,'Candidate Tracker'!$I:$I,"Female")=0,"",COUNTIFS('Candidate Tracker'!$E:$E,'Positions Tracker'!$B679,'Candidate Tracker'!$I:$I,"Female")),"")</f>
        <v/>
      </c>
      <c r="BB679" s="81" t="str">
        <f>IFERROR(IF(COUNTIFS('Candidate Tracker'!$E:$E,'Positions Tracker'!$B679,'Candidate Tracker'!$I:$I,"male")=0,"",COUNTIFS('Candidate Tracker'!$E:$E,'Positions Tracker'!$B679,'Candidate Tracker'!$I:$I,"male")),"")</f>
        <v/>
      </c>
      <c r="BC679" s="80" t="str">
        <f>IFERROR(IF(COUNTIFS('Candidate Tracker'!$E:$E,'Positions Tracker'!$B679,'Candidate Tracker'!$C:$C,"&lt;&gt;WIP",'Candidate Tracker'!$C:$C,"&lt;&gt;Hold",'Candidate Tracker'!$C:$C,"&lt;&gt;Cancelled",'Candidate Tracker'!$C:$C,"&lt;&gt;Closed")/COUNTIFS('Candidate Tracker'!$E:$E,'Positions Tracker'!$B679)=0,"",COUNTIFS('Candidate Tracker'!$E:$E,'Positions Tracker'!$B679,'Candidate Tracker'!$C:$C,"&lt;&gt;WIP",'Candidate Tracker'!$C:$C,"&lt;&gt;Hold",'Candidate Tracker'!$C:$C,"&lt;&gt;Cancelled",'Candidate Tracker'!$C:$C,"&lt;&gt;Closed")/COUNTIFS('Candidate Tracker'!$E:$E,'Positions Tracker'!$B679)),"")</f>
        <v/>
      </c>
      <c r="BD679" s="67" t="str">
        <f t="shared" si="60"/>
        <v/>
      </c>
      <c r="BE679" s="67" t="str">
        <f t="shared" si="61"/>
        <v/>
      </c>
      <c r="BF679" s="67" t="str">
        <f t="shared" si="62"/>
        <v/>
      </c>
      <c r="BG679" s="67" t="str">
        <f t="shared" si="63"/>
        <v/>
      </c>
    </row>
    <row r="680" spans="1:59">
      <c r="A680" s="55"/>
      <c r="B680" s="56"/>
      <c r="C680" s="56"/>
      <c r="D680" s="56"/>
      <c r="E680" s="56"/>
      <c r="F680" s="56"/>
      <c r="G680" s="56"/>
      <c r="H680" s="56"/>
      <c r="I680" s="6"/>
      <c r="J680" s="6"/>
      <c r="K680" s="57"/>
      <c r="L680" s="57"/>
      <c r="M680" s="57"/>
      <c r="N680" s="56"/>
      <c r="O680" s="56"/>
      <c r="P680" s="56"/>
      <c r="Q680" s="56"/>
      <c r="R680" s="56"/>
      <c r="S680" s="56"/>
      <c r="T680" s="56"/>
      <c r="U680" s="56"/>
      <c r="V680" s="56"/>
      <c r="W680" s="56"/>
      <c r="X680" s="56"/>
      <c r="Y680" s="56"/>
      <c r="Z680" s="56"/>
      <c r="AA680" s="56"/>
      <c r="AB680" s="56"/>
      <c r="AC680" s="56"/>
      <c r="AD680" s="56"/>
      <c r="AE680" s="56"/>
      <c r="AF680" s="56"/>
      <c r="AG680" s="56"/>
      <c r="AH680" s="56"/>
      <c r="AI680" s="58"/>
      <c r="AJ680" s="56"/>
      <c r="AK680" s="56"/>
      <c r="AL680" s="56"/>
      <c r="AM680" s="57"/>
      <c r="AN680" s="57"/>
      <c r="AO680" s="56"/>
      <c r="AP680" s="56"/>
      <c r="AQ680" s="57"/>
      <c r="AR680" s="57"/>
      <c r="AS680" s="57"/>
      <c r="AT680" s="67">
        <f t="shared" ca="1" si="64"/>
        <v>0</v>
      </c>
      <c r="AU680" s="79" t="str">
        <f t="shared" ca="1" si="65"/>
        <v/>
      </c>
      <c r="AV680" s="79" t="str" cm="1">
        <f t="array" aca="1" ref="AV680" ca="1">IFERROR(_xlfn.IFS($AU680="","",$AU680&lt;=15,"0-15",AND($AU680&gt;=16,$AU680&lt;=30),"16-30",AND($AU680&gt;=31,$AU680&lt;=45),"31-45",AND($AU680&gt;=46,$AU680&lt;=60),"46-60",AND($AU680&gt;=61,$AU680&lt;=90),"61-90",AND($AU680&gt;=91),"&gt; 90",AND($AU680&gt;=2000),""),"")</f>
        <v/>
      </c>
      <c r="AW680" s="79" t="str" cm="1">
        <f t="array" aca="1" ref="AW680" ca="1">IFERROR(_xlfn.IFS(OR($M680="",$AM680=""),"",OR($C680="Offered",$C680="Joined"),($AM680-$M680)-$AT680),"")</f>
        <v/>
      </c>
      <c r="AX680" s="79" t="str" cm="1">
        <f t="array" aca="1" ref="AX680" ca="1">IFERROR(_xlfn.IFS(OR($M680="",$AS680=""),"",$C680="Joined",($AS680-$M680)-$AT680),"")</f>
        <v/>
      </c>
      <c r="AY680" s="67" t="str">
        <f>IFERROR(IF(COUNTIFS('Candidate Tracker'!$E:$E,'Positions Tracker'!$B680,'Candidate Tracker'!$C:$C,"Offer Drop")=0,"",COUNTIFS('Candidate Tracker'!$E:$E,'Positions Tracker'!$B680,'Candidate Tracker'!$C:$C,"Offer Drop")),"")</f>
        <v/>
      </c>
      <c r="AZ680" s="80">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0.88111888111888115</v>
      </c>
      <c r="BA680" s="81" t="str">
        <f>IFERROR(IF(COUNTIFS('Candidate Tracker'!$E:$E,'Positions Tracker'!$B680,'Candidate Tracker'!$I:$I,"Female")=0,"",COUNTIFS('Candidate Tracker'!$E:$E,'Positions Tracker'!$B680,'Candidate Tracker'!$I:$I,"Female")),"")</f>
        <v/>
      </c>
      <c r="BB680" s="81" t="str">
        <f>IFERROR(IF(COUNTIFS('Candidate Tracker'!$E:$E,'Positions Tracker'!$B680,'Candidate Tracker'!$I:$I,"male")=0,"",COUNTIFS('Candidate Tracker'!$E:$E,'Positions Tracker'!$B680,'Candidate Tracker'!$I:$I,"male")),"")</f>
        <v/>
      </c>
      <c r="BC680" s="80" t="str">
        <f>IFERROR(IF(COUNTIFS('Candidate Tracker'!$E:$E,'Positions Tracker'!$B680,'Candidate Tracker'!$C:$C,"&lt;&gt;WIP",'Candidate Tracker'!$C:$C,"&lt;&gt;Hold",'Candidate Tracker'!$C:$C,"&lt;&gt;Cancelled",'Candidate Tracker'!$C:$C,"&lt;&gt;Closed")/COUNTIFS('Candidate Tracker'!$E:$E,'Positions Tracker'!$B680)=0,"",COUNTIFS('Candidate Tracker'!$E:$E,'Positions Tracker'!$B680,'Candidate Tracker'!$C:$C,"&lt;&gt;WIP",'Candidate Tracker'!$C:$C,"&lt;&gt;Hold",'Candidate Tracker'!$C:$C,"&lt;&gt;Cancelled",'Candidate Tracker'!$C:$C,"&lt;&gt;Closed")/COUNTIFS('Candidate Tracker'!$E:$E,'Positions Tracker'!$B680)),"")</f>
        <v/>
      </c>
      <c r="BD680" s="67" t="str">
        <f t="shared" si="60"/>
        <v/>
      </c>
      <c r="BE680" s="67" t="str">
        <f t="shared" si="61"/>
        <v/>
      </c>
      <c r="BF680" s="67" t="str">
        <f t="shared" si="62"/>
        <v/>
      </c>
      <c r="BG680" s="67" t="str">
        <f t="shared" si="63"/>
        <v/>
      </c>
    </row>
    <row r="681" spans="1:59">
      <c r="A681" s="55"/>
      <c r="B681" s="56"/>
      <c r="C681" s="56"/>
      <c r="D681" s="56"/>
      <c r="E681" s="56"/>
      <c r="F681" s="56"/>
      <c r="G681" s="56"/>
      <c r="H681" s="56"/>
      <c r="I681" s="6"/>
      <c r="J681" s="6"/>
      <c r="K681" s="57"/>
      <c r="L681" s="57"/>
      <c r="M681" s="57"/>
      <c r="N681" s="56"/>
      <c r="O681" s="56"/>
      <c r="P681" s="56"/>
      <c r="Q681" s="56"/>
      <c r="R681" s="56"/>
      <c r="S681" s="56"/>
      <c r="T681" s="56"/>
      <c r="U681" s="56"/>
      <c r="V681" s="56"/>
      <c r="W681" s="56"/>
      <c r="X681" s="56"/>
      <c r="Y681" s="56"/>
      <c r="Z681" s="56"/>
      <c r="AA681" s="56"/>
      <c r="AB681" s="56"/>
      <c r="AC681" s="56"/>
      <c r="AD681" s="56"/>
      <c r="AE681" s="56"/>
      <c r="AF681" s="56"/>
      <c r="AG681" s="56"/>
      <c r="AH681" s="56"/>
      <c r="AI681" s="58"/>
      <c r="AJ681" s="56"/>
      <c r="AK681" s="56"/>
      <c r="AL681" s="56"/>
      <c r="AM681" s="57"/>
      <c r="AN681" s="57"/>
      <c r="AO681" s="56"/>
      <c r="AP681" s="56"/>
      <c r="AQ681" s="57"/>
      <c r="AR681" s="57"/>
      <c r="AS681" s="57"/>
      <c r="AT681" s="67">
        <f t="shared" ca="1" si="64"/>
        <v>0</v>
      </c>
      <c r="AU681" s="79" t="str">
        <f t="shared" ca="1" si="65"/>
        <v/>
      </c>
      <c r="AV681" s="79" t="str" cm="1">
        <f t="array" aca="1" ref="AV681" ca="1">IFERROR(_xlfn.IFS($AU681="","",$AU681&lt;=15,"0-15",AND($AU681&gt;=16,$AU681&lt;=30),"16-30",AND($AU681&gt;=31,$AU681&lt;=45),"31-45",AND($AU681&gt;=46,$AU681&lt;=60),"46-60",AND($AU681&gt;=61,$AU681&lt;=90),"61-90",AND($AU681&gt;=91),"&gt; 90",AND($AU681&gt;=2000),""),"")</f>
        <v/>
      </c>
      <c r="AW681" s="79" t="str" cm="1">
        <f t="array" aca="1" ref="AW681" ca="1">IFERROR(_xlfn.IFS(OR($M681="",$AM681=""),"",OR($C681="Offered",$C681="Joined"),($AM681-$M681)-$AT681),"")</f>
        <v/>
      </c>
      <c r="AX681" s="79" t="str" cm="1">
        <f t="array" aca="1" ref="AX681" ca="1">IFERROR(_xlfn.IFS(OR($M681="",$AS681=""),"",$C681="Joined",($AS681-$M681)-$AT681),"")</f>
        <v/>
      </c>
      <c r="AY681" s="67" t="str">
        <f>IFERROR(IF(COUNTIFS('Candidate Tracker'!$E:$E,'Positions Tracker'!$B681,'Candidate Tracker'!$C:$C,"Offer Drop")=0,"",COUNTIFS('Candidate Tracker'!$E:$E,'Positions Tracker'!$B681,'Candidate Tracker'!$C:$C,"Offer Drop")),"")</f>
        <v/>
      </c>
      <c r="AZ681" s="80">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0.88111888111888115</v>
      </c>
      <c r="BA681" s="81" t="str">
        <f>IFERROR(IF(COUNTIFS('Candidate Tracker'!$E:$E,'Positions Tracker'!$B681,'Candidate Tracker'!$I:$I,"Female")=0,"",COUNTIFS('Candidate Tracker'!$E:$E,'Positions Tracker'!$B681,'Candidate Tracker'!$I:$I,"Female")),"")</f>
        <v/>
      </c>
      <c r="BB681" s="81" t="str">
        <f>IFERROR(IF(COUNTIFS('Candidate Tracker'!$E:$E,'Positions Tracker'!$B681,'Candidate Tracker'!$I:$I,"male")=0,"",COUNTIFS('Candidate Tracker'!$E:$E,'Positions Tracker'!$B681,'Candidate Tracker'!$I:$I,"male")),"")</f>
        <v/>
      </c>
      <c r="BC681" s="80" t="str">
        <f>IFERROR(IF(COUNTIFS('Candidate Tracker'!$E:$E,'Positions Tracker'!$B681,'Candidate Tracker'!$C:$C,"&lt;&gt;WIP",'Candidate Tracker'!$C:$C,"&lt;&gt;Hold",'Candidate Tracker'!$C:$C,"&lt;&gt;Cancelled",'Candidate Tracker'!$C:$C,"&lt;&gt;Closed")/COUNTIFS('Candidate Tracker'!$E:$E,'Positions Tracker'!$B681)=0,"",COUNTIFS('Candidate Tracker'!$E:$E,'Positions Tracker'!$B681,'Candidate Tracker'!$C:$C,"&lt;&gt;WIP",'Candidate Tracker'!$C:$C,"&lt;&gt;Hold",'Candidate Tracker'!$C:$C,"&lt;&gt;Cancelled",'Candidate Tracker'!$C:$C,"&lt;&gt;Closed")/COUNTIFS('Candidate Tracker'!$E:$E,'Positions Tracker'!$B681)),"")</f>
        <v/>
      </c>
      <c r="BD681" s="67" t="str">
        <f t="shared" si="60"/>
        <v/>
      </c>
      <c r="BE681" s="67" t="str">
        <f t="shared" si="61"/>
        <v/>
      </c>
      <c r="BF681" s="67" t="str">
        <f t="shared" si="62"/>
        <v/>
      </c>
      <c r="BG681" s="67" t="str">
        <f t="shared" si="63"/>
        <v/>
      </c>
    </row>
    <row r="682" spans="1:59">
      <c r="A682" s="55"/>
      <c r="B682" s="56"/>
      <c r="C682" s="56"/>
      <c r="D682" s="56"/>
      <c r="E682" s="56"/>
      <c r="F682" s="56"/>
      <c r="G682" s="56"/>
      <c r="H682" s="56"/>
      <c r="I682" s="6"/>
      <c r="J682" s="6"/>
      <c r="K682" s="57"/>
      <c r="L682" s="57"/>
      <c r="M682" s="57"/>
      <c r="N682" s="56"/>
      <c r="O682" s="56"/>
      <c r="P682" s="56"/>
      <c r="Q682" s="56"/>
      <c r="R682" s="56"/>
      <c r="S682" s="56"/>
      <c r="T682" s="56"/>
      <c r="U682" s="56"/>
      <c r="V682" s="56"/>
      <c r="W682" s="56"/>
      <c r="X682" s="56"/>
      <c r="Y682" s="56"/>
      <c r="Z682" s="56"/>
      <c r="AA682" s="56"/>
      <c r="AB682" s="56"/>
      <c r="AC682" s="56"/>
      <c r="AD682" s="56"/>
      <c r="AE682" s="56"/>
      <c r="AF682" s="56"/>
      <c r="AG682" s="56"/>
      <c r="AH682" s="56"/>
      <c r="AI682" s="58"/>
      <c r="AJ682" s="56"/>
      <c r="AK682" s="56"/>
      <c r="AL682" s="56"/>
      <c r="AM682" s="57"/>
      <c r="AN682" s="57"/>
      <c r="AO682" s="56"/>
      <c r="AP682" s="56"/>
      <c r="AQ682" s="57"/>
      <c r="AR682" s="57"/>
      <c r="AS682" s="57"/>
      <c r="AT682" s="67">
        <f t="shared" ca="1" si="64"/>
        <v>0</v>
      </c>
      <c r="AU682" s="79" t="str">
        <f t="shared" ca="1" si="65"/>
        <v/>
      </c>
      <c r="AV682" s="79" t="str" cm="1">
        <f t="array" aca="1" ref="AV682" ca="1">IFERROR(_xlfn.IFS($AU682="","",$AU682&lt;=15,"0-15",AND($AU682&gt;=16,$AU682&lt;=30),"16-30",AND($AU682&gt;=31,$AU682&lt;=45),"31-45",AND($AU682&gt;=46,$AU682&lt;=60),"46-60",AND($AU682&gt;=61,$AU682&lt;=90),"61-90",AND($AU682&gt;=91),"&gt; 90",AND($AU682&gt;=2000),""),"")</f>
        <v/>
      </c>
      <c r="AW682" s="79" t="str" cm="1">
        <f t="array" aca="1" ref="AW682" ca="1">IFERROR(_xlfn.IFS(OR($M682="",$AM682=""),"",OR($C682="Offered",$C682="Joined"),($AM682-$M682)-$AT682),"")</f>
        <v/>
      </c>
      <c r="AX682" s="79" t="str" cm="1">
        <f t="array" aca="1" ref="AX682" ca="1">IFERROR(_xlfn.IFS(OR($M682="",$AS682=""),"",$C682="Joined",($AS682-$M682)-$AT682),"")</f>
        <v/>
      </c>
      <c r="AY682" s="67" t="str">
        <f>IFERROR(IF(COUNTIFS('Candidate Tracker'!$E:$E,'Positions Tracker'!$B682,'Candidate Tracker'!$C:$C,"Offer Drop")=0,"",COUNTIFS('Candidate Tracker'!$E:$E,'Positions Tracker'!$B682,'Candidate Tracker'!$C:$C,"Offer Drop")),"")</f>
        <v/>
      </c>
      <c r="AZ682" s="80">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0.88111888111888115</v>
      </c>
      <c r="BA682" s="81" t="str">
        <f>IFERROR(IF(COUNTIFS('Candidate Tracker'!$E:$E,'Positions Tracker'!$B682,'Candidate Tracker'!$I:$I,"Female")=0,"",COUNTIFS('Candidate Tracker'!$E:$E,'Positions Tracker'!$B682,'Candidate Tracker'!$I:$I,"Female")),"")</f>
        <v/>
      </c>
      <c r="BB682" s="81" t="str">
        <f>IFERROR(IF(COUNTIFS('Candidate Tracker'!$E:$E,'Positions Tracker'!$B682,'Candidate Tracker'!$I:$I,"male")=0,"",COUNTIFS('Candidate Tracker'!$E:$E,'Positions Tracker'!$B682,'Candidate Tracker'!$I:$I,"male")),"")</f>
        <v/>
      </c>
      <c r="BC682" s="80" t="str">
        <f>IFERROR(IF(COUNTIFS('Candidate Tracker'!$E:$E,'Positions Tracker'!$B682,'Candidate Tracker'!$C:$C,"&lt;&gt;WIP",'Candidate Tracker'!$C:$C,"&lt;&gt;Hold",'Candidate Tracker'!$C:$C,"&lt;&gt;Cancelled",'Candidate Tracker'!$C:$C,"&lt;&gt;Closed")/COUNTIFS('Candidate Tracker'!$E:$E,'Positions Tracker'!$B682)=0,"",COUNTIFS('Candidate Tracker'!$E:$E,'Positions Tracker'!$B682,'Candidate Tracker'!$C:$C,"&lt;&gt;WIP",'Candidate Tracker'!$C:$C,"&lt;&gt;Hold",'Candidate Tracker'!$C:$C,"&lt;&gt;Cancelled",'Candidate Tracker'!$C:$C,"&lt;&gt;Closed")/COUNTIFS('Candidate Tracker'!$E:$E,'Positions Tracker'!$B682)),"")</f>
        <v/>
      </c>
      <c r="BD682" s="67" t="str">
        <f t="shared" si="60"/>
        <v/>
      </c>
      <c r="BE682" s="67" t="str">
        <f t="shared" si="61"/>
        <v/>
      </c>
      <c r="BF682" s="67" t="str">
        <f t="shared" si="62"/>
        <v/>
      </c>
      <c r="BG682" s="67" t="str">
        <f t="shared" si="63"/>
        <v/>
      </c>
    </row>
    <row r="683" spans="1:59">
      <c r="A683" s="55"/>
      <c r="B683" s="56"/>
      <c r="C683" s="56"/>
      <c r="D683" s="56"/>
      <c r="E683" s="56"/>
      <c r="F683" s="56"/>
      <c r="G683" s="56"/>
      <c r="H683" s="56"/>
      <c r="I683" s="6"/>
      <c r="J683" s="6"/>
      <c r="K683" s="57"/>
      <c r="L683" s="57"/>
      <c r="M683" s="57"/>
      <c r="N683" s="56"/>
      <c r="O683" s="56"/>
      <c r="P683" s="56"/>
      <c r="Q683" s="56"/>
      <c r="R683" s="56"/>
      <c r="S683" s="56"/>
      <c r="T683" s="56"/>
      <c r="U683" s="56"/>
      <c r="V683" s="56"/>
      <c r="W683" s="56"/>
      <c r="X683" s="56"/>
      <c r="Y683" s="56"/>
      <c r="Z683" s="56"/>
      <c r="AA683" s="56"/>
      <c r="AB683" s="56"/>
      <c r="AC683" s="56"/>
      <c r="AD683" s="56"/>
      <c r="AE683" s="56"/>
      <c r="AF683" s="56"/>
      <c r="AG683" s="56"/>
      <c r="AH683" s="56"/>
      <c r="AI683" s="58"/>
      <c r="AJ683" s="56"/>
      <c r="AK683" s="56"/>
      <c r="AL683" s="56"/>
      <c r="AM683" s="57"/>
      <c r="AN683" s="57"/>
      <c r="AO683" s="56"/>
      <c r="AP683" s="56"/>
      <c r="AQ683" s="57"/>
      <c r="AR683" s="57"/>
      <c r="AS683" s="57"/>
      <c r="AT683" s="67">
        <f t="shared" ca="1" si="64"/>
        <v>0</v>
      </c>
      <c r="AU683" s="79" t="str">
        <f t="shared" ca="1" si="65"/>
        <v/>
      </c>
      <c r="AV683" s="79" t="str" cm="1">
        <f t="array" aca="1" ref="AV683" ca="1">IFERROR(_xlfn.IFS($AU683="","",$AU683&lt;=15,"0-15",AND($AU683&gt;=16,$AU683&lt;=30),"16-30",AND($AU683&gt;=31,$AU683&lt;=45),"31-45",AND($AU683&gt;=46,$AU683&lt;=60),"46-60",AND($AU683&gt;=61,$AU683&lt;=90),"61-90",AND($AU683&gt;=91),"&gt; 90",AND($AU683&gt;=2000),""),"")</f>
        <v/>
      </c>
      <c r="AW683" s="79" t="str" cm="1">
        <f t="array" aca="1" ref="AW683" ca="1">IFERROR(_xlfn.IFS(OR($M683="",$AM683=""),"",OR($C683="Offered",$C683="Joined"),($AM683-$M683)-$AT683),"")</f>
        <v/>
      </c>
      <c r="AX683" s="79" t="str" cm="1">
        <f t="array" aca="1" ref="AX683" ca="1">IFERROR(_xlfn.IFS(OR($M683="",$AS683=""),"",$C683="Joined",($AS683-$M683)-$AT683),"")</f>
        <v/>
      </c>
      <c r="AY683" s="67" t="str">
        <f>IFERROR(IF(COUNTIFS('Candidate Tracker'!$E:$E,'Positions Tracker'!$B683,'Candidate Tracker'!$C:$C,"Offer Drop")=0,"",COUNTIFS('Candidate Tracker'!$E:$E,'Positions Tracker'!$B683,'Candidate Tracker'!$C:$C,"Offer Drop")),"")</f>
        <v/>
      </c>
      <c r="AZ683" s="80">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0.88111888111888115</v>
      </c>
      <c r="BA683" s="81" t="str">
        <f>IFERROR(IF(COUNTIFS('Candidate Tracker'!$E:$E,'Positions Tracker'!$B683,'Candidate Tracker'!$I:$I,"Female")=0,"",COUNTIFS('Candidate Tracker'!$E:$E,'Positions Tracker'!$B683,'Candidate Tracker'!$I:$I,"Female")),"")</f>
        <v/>
      </c>
      <c r="BB683" s="81" t="str">
        <f>IFERROR(IF(COUNTIFS('Candidate Tracker'!$E:$E,'Positions Tracker'!$B683,'Candidate Tracker'!$I:$I,"male")=0,"",COUNTIFS('Candidate Tracker'!$E:$E,'Positions Tracker'!$B683,'Candidate Tracker'!$I:$I,"male")),"")</f>
        <v/>
      </c>
      <c r="BC683" s="80" t="str">
        <f>IFERROR(IF(COUNTIFS('Candidate Tracker'!$E:$E,'Positions Tracker'!$B683,'Candidate Tracker'!$C:$C,"&lt;&gt;WIP",'Candidate Tracker'!$C:$C,"&lt;&gt;Hold",'Candidate Tracker'!$C:$C,"&lt;&gt;Cancelled",'Candidate Tracker'!$C:$C,"&lt;&gt;Closed")/COUNTIFS('Candidate Tracker'!$E:$E,'Positions Tracker'!$B683)=0,"",COUNTIFS('Candidate Tracker'!$E:$E,'Positions Tracker'!$B683,'Candidate Tracker'!$C:$C,"&lt;&gt;WIP",'Candidate Tracker'!$C:$C,"&lt;&gt;Hold",'Candidate Tracker'!$C:$C,"&lt;&gt;Cancelled",'Candidate Tracker'!$C:$C,"&lt;&gt;Closed")/COUNTIFS('Candidate Tracker'!$E:$E,'Positions Tracker'!$B683)),"")</f>
        <v/>
      </c>
      <c r="BD683" s="67" t="str">
        <f t="shared" si="60"/>
        <v/>
      </c>
      <c r="BE683" s="67" t="str">
        <f t="shared" si="61"/>
        <v/>
      </c>
      <c r="BF683" s="67" t="str">
        <f t="shared" si="62"/>
        <v/>
      </c>
      <c r="BG683" s="67" t="str">
        <f t="shared" si="63"/>
        <v/>
      </c>
    </row>
    <row r="684" spans="1:59">
      <c r="A684" s="55"/>
      <c r="B684" s="56"/>
      <c r="C684" s="56"/>
      <c r="D684" s="56"/>
      <c r="E684" s="56"/>
      <c r="F684" s="56"/>
      <c r="G684" s="56"/>
      <c r="H684" s="56"/>
      <c r="I684" s="6"/>
      <c r="J684" s="6"/>
      <c r="K684" s="57"/>
      <c r="L684" s="57"/>
      <c r="M684" s="57"/>
      <c r="N684" s="56"/>
      <c r="O684" s="56"/>
      <c r="P684" s="56"/>
      <c r="Q684" s="56"/>
      <c r="R684" s="56"/>
      <c r="S684" s="56"/>
      <c r="T684" s="56"/>
      <c r="U684" s="56"/>
      <c r="V684" s="56"/>
      <c r="W684" s="56"/>
      <c r="X684" s="56"/>
      <c r="Y684" s="56"/>
      <c r="Z684" s="56"/>
      <c r="AA684" s="56"/>
      <c r="AB684" s="56"/>
      <c r="AC684" s="56"/>
      <c r="AD684" s="56"/>
      <c r="AE684" s="56"/>
      <c r="AF684" s="56"/>
      <c r="AG684" s="56"/>
      <c r="AH684" s="56"/>
      <c r="AI684" s="58"/>
      <c r="AJ684" s="56"/>
      <c r="AK684" s="56"/>
      <c r="AL684" s="56"/>
      <c r="AM684" s="57"/>
      <c r="AN684" s="57"/>
      <c r="AO684" s="56"/>
      <c r="AP684" s="56"/>
      <c r="AQ684" s="57"/>
      <c r="AR684" s="57"/>
      <c r="AS684" s="57"/>
      <c r="AT684" s="67">
        <f t="shared" ca="1" si="64"/>
        <v>0</v>
      </c>
      <c r="AU684" s="79" t="str">
        <f t="shared" ca="1" si="65"/>
        <v/>
      </c>
      <c r="AV684" s="79" t="str" cm="1">
        <f t="array" aca="1" ref="AV684" ca="1">IFERROR(_xlfn.IFS($AU684="","",$AU684&lt;=15,"0-15",AND($AU684&gt;=16,$AU684&lt;=30),"16-30",AND($AU684&gt;=31,$AU684&lt;=45),"31-45",AND($AU684&gt;=46,$AU684&lt;=60),"46-60",AND($AU684&gt;=61,$AU684&lt;=90),"61-90",AND($AU684&gt;=91),"&gt; 90",AND($AU684&gt;=2000),""),"")</f>
        <v/>
      </c>
      <c r="AW684" s="79" t="str" cm="1">
        <f t="array" aca="1" ref="AW684" ca="1">IFERROR(_xlfn.IFS(OR($M684="",$AM684=""),"",OR($C684="Offered",$C684="Joined"),($AM684-$M684)-$AT684),"")</f>
        <v/>
      </c>
      <c r="AX684" s="79" t="str" cm="1">
        <f t="array" aca="1" ref="AX684" ca="1">IFERROR(_xlfn.IFS(OR($M684="",$AS684=""),"",$C684="Joined",($AS684-$M684)-$AT684),"")</f>
        <v/>
      </c>
      <c r="AY684" s="67" t="str">
        <f>IFERROR(IF(COUNTIFS('Candidate Tracker'!$E:$E,'Positions Tracker'!$B684,'Candidate Tracker'!$C:$C,"Offer Drop")=0,"",COUNTIFS('Candidate Tracker'!$E:$E,'Positions Tracker'!$B684,'Candidate Tracker'!$C:$C,"Offer Drop")),"")</f>
        <v/>
      </c>
      <c r="AZ684" s="80">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0.88111888111888115</v>
      </c>
      <c r="BA684" s="81" t="str">
        <f>IFERROR(IF(COUNTIFS('Candidate Tracker'!$E:$E,'Positions Tracker'!$B684,'Candidate Tracker'!$I:$I,"Female")=0,"",COUNTIFS('Candidate Tracker'!$E:$E,'Positions Tracker'!$B684,'Candidate Tracker'!$I:$I,"Female")),"")</f>
        <v/>
      </c>
      <c r="BB684" s="81" t="str">
        <f>IFERROR(IF(COUNTIFS('Candidate Tracker'!$E:$E,'Positions Tracker'!$B684,'Candidate Tracker'!$I:$I,"male")=0,"",COUNTIFS('Candidate Tracker'!$E:$E,'Positions Tracker'!$B684,'Candidate Tracker'!$I:$I,"male")),"")</f>
        <v/>
      </c>
      <c r="BC684" s="80" t="str">
        <f>IFERROR(IF(COUNTIFS('Candidate Tracker'!$E:$E,'Positions Tracker'!$B684,'Candidate Tracker'!$C:$C,"&lt;&gt;WIP",'Candidate Tracker'!$C:$C,"&lt;&gt;Hold",'Candidate Tracker'!$C:$C,"&lt;&gt;Cancelled",'Candidate Tracker'!$C:$C,"&lt;&gt;Closed")/COUNTIFS('Candidate Tracker'!$E:$E,'Positions Tracker'!$B684)=0,"",COUNTIFS('Candidate Tracker'!$E:$E,'Positions Tracker'!$B684,'Candidate Tracker'!$C:$C,"&lt;&gt;WIP",'Candidate Tracker'!$C:$C,"&lt;&gt;Hold",'Candidate Tracker'!$C:$C,"&lt;&gt;Cancelled",'Candidate Tracker'!$C:$C,"&lt;&gt;Closed")/COUNTIFS('Candidate Tracker'!$E:$E,'Positions Tracker'!$B684)),"")</f>
        <v/>
      </c>
      <c r="BD684" s="67" t="str">
        <f t="shared" si="60"/>
        <v/>
      </c>
      <c r="BE684" s="67" t="str">
        <f t="shared" si="61"/>
        <v/>
      </c>
      <c r="BF684" s="67" t="str">
        <f t="shared" si="62"/>
        <v/>
      </c>
      <c r="BG684" s="67" t="str">
        <f t="shared" si="63"/>
        <v/>
      </c>
    </row>
    <row r="685" spans="1:59">
      <c r="A685" s="55"/>
      <c r="B685" s="56"/>
      <c r="C685" s="56"/>
      <c r="D685" s="56"/>
      <c r="E685" s="56"/>
      <c r="F685" s="56"/>
      <c r="G685" s="56"/>
      <c r="H685" s="56"/>
      <c r="I685" s="6"/>
      <c r="J685" s="6"/>
      <c r="K685" s="57"/>
      <c r="L685" s="57"/>
      <c r="M685" s="57"/>
      <c r="N685" s="56"/>
      <c r="O685" s="56"/>
      <c r="P685" s="56"/>
      <c r="Q685" s="56"/>
      <c r="R685" s="56"/>
      <c r="S685" s="56"/>
      <c r="T685" s="56"/>
      <c r="U685" s="56"/>
      <c r="V685" s="56"/>
      <c r="W685" s="56"/>
      <c r="X685" s="56"/>
      <c r="Y685" s="56"/>
      <c r="Z685" s="56"/>
      <c r="AA685" s="56"/>
      <c r="AB685" s="56"/>
      <c r="AC685" s="56"/>
      <c r="AD685" s="56"/>
      <c r="AE685" s="56"/>
      <c r="AF685" s="56"/>
      <c r="AG685" s="56"/>
      <c r="AH685" s="56"/>
      <c r="AI685" s="58"/>
      <c r="AJ685" s="56"/>
      <c r="AK685" s="56"/>
      <c r="AL685" s="56"/>
      <c r="AM685" s="57"/>
      <c r="AN685" s="57"/>
      <c r="AO685" s="56"/>
      <c r="AP685" s="56"/>
      <c r="AQ685" s="57"/>
      <c r="AR685" s="57"/>
      <c r="AS685" s="57"/>
      <c r="AT685" s="67">
        <f t="shared" ca="1" si="64"/>
        <v>0</v>
      </c>
      <c r="AU685" s="79" t="str">
        <f t="shared" ca="1" si="65"/>
        <v/>
      </c>
      <c r="AV685" s="79" t="str" cm="1">
        <f t="array" aca="1" ref="AV685" ca="1">IFERROR(_xlfn.IFS($AU685="","",$AU685&lt;=15,"0-15",AND($AU685&gt;=16,$AU685&lt;=30),"16-30",AND($AU685&gt;=31,$AU685&lt;=45),"31-45",AND($AU685&gt;=46,$AU685&lt;=60),"46-60",AND($AU685&gt;=61,$AU685&lt;=90),"61-90",AND($AU685&gt;=91),"&gt; 90",AND($AU685&gt;=2000),""),"")</f>
        <v/>
      </c>
      <c r="AW685" s="79" t="str" cm="1">
        <f t="array" aca="1" ref="AW685" ca="1">IFERROR(_xlfn.IFS(OR($M685="",$AM685=""),"",OR($C685="Offered",$C685="Joined"),($AM685-$M685)-$AT685),"")</f>
        <v/>
      </c>
      <c r="AX685" s="79" t="str" cm="1">
        <f t="array" aca="1" ref="AX685" ca="1">IFERROR(_xlfn.IFS(OR($M685="",$AS685=""),"",$C685="Joined",($AS685-$M685)-$AT685),"")</f>
        <v/>
      </c>
      <c r="AY685" s="67" t="str">
        <f>IFERROR(IF(COUNTIFS('Candidate Tracker'!$E:$E,'Positions Tracker'!$B685,'Candidate Tracker'!$C:$C,"Offer Drop")=0,"",COUNTIFS('Candidate Tracker'!$E:$E,'Positions Tracker'!$B685,'Candidate Tracker'!$C:$C,"Offer Drop")),"")</f>
        <v/>
      </c>
      <c r="AZ685" s="80">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0.88111888111888115</v>
      </c>
      <c r="BA685" s="81" t="str">
        <f>IFERROR(IF(COUNTIFS('Candidate Tracker'!$E:$E,'Positions Tracker'!$B685,'Candidate Tracker'!$I:$I,"Female")=0,"",COUNTIFS('Candidate Tracker'!$E:$E,'Positions Tracker'!$B685,'Candidate Tracker'!$I:$I,"Female")),"")</f>
        <v/>
      </c>
      <c r="BB685" s="81" t="str">
        <f>IFERROR(IF(COUNTIFS('Candidate Tracker'!$E:$E,'Positions Tracker'!$B685,'Candidate Tracker'!$I:$I,"male")=0,"",COUNTIFS('Candidate Tracker'!$E:$E,'Positions Tracker'!$B685,'Candidate Tracker'!$I:$I,"male")),"")</f>
        <v/>
      </c>
      <c r="BC685" s="80" t="str">
        <f>IFERROR(IF(COUNTIFS('Candidate Tracker'!$E:$E,'Positions Tracker'!$B685,'Candidate Tracker'!$C:$C,"&lt;&gt;WIP",'Candidate Tracker'!$C:$C,"&lt;&gt;Hold",'Candidate Tracker'!$C:$C,"&lt;&gt;Cancelled",'Candidate Tracker'!$C:$C,"&lt;&gt;Closed")/COUNTIFS('Candidate Tracker'!$E:$E,'Positions Tracker'!$B685)=0,"",COUNTIFS('Candidate Tracker'!$E:$E,'Positions Tracker'!$B685,'Candidate Tracker'!$C:$C,"&lt;&gt;WIP",'Candidate Tracker'!$C:$C,"&lt;&gt;Hold",'Candidate Tracker'!$C:$C,"&lt;&gt;Cancelled",'Candidate Tracker'!$C:$C,"&lt;&gt;Closed")/COUNTIFS('Candidate Tracker'!$E:$E,'Positions Tracker'!$B685)),"")</f>
        <v/>
      </c>
      <c r="BD685" s="67" t="str">
        <f t="shared" si="60"/>
        <v/>
      </c>
      <c r="BE685" s="67" t="str">
        <f t="shared" si="61"/>
        <v/>
      </c>
      <c r="BF685" s="67" t="str">
        <f t="shared" si="62"/>
        <v/>
      </c>
      <c r="BG685" s="67" t="str">
        <f t="shared" si="63"/>
        <v/>
      </c>
    </row>
    <row r="686" spans="1:59">
      <c r="A686" s="55"/>
      <c r="B686" s="56"/>
      <c r="C686" s="56"/>
      <c r="D686" s="56"/>
      <c r="E686" s="56"/>
      <c r="F686" s="56"/>
      <c r="G686" s="56"/>
      <c r="H686" s="56"/>
      <c r="I686" s="6"/>
      <c r="J686" s="6"/>
      <c r="K686" s="57"/>
      <c r="L686" s="57"/>
      <c r="M686" s="57"/>
      <c r="N686" s="56"/>
      <c r="O686" s="56"/>
      <c r="P686" s="56"/>
      <c r="Q686" s="56"/>
      <c r="R686" s="56"/>
      <c r="S686" s="56"/>
      <c r="T686" s="56"/>
      <c r="U686" s="56"/>
      <c r="V686" s="56"/>
      <c r="W686" s="56"/>
      <c r="X686" s="56"/>
      <c r="Y686" s="56"/>
      <c r="Z686" s="56"/>
      <c r="AA686" s="56"/>
      <c r="AB686" s="56"/>
      <c r="AC686" s="56"/>
      <c r="AD686" s="56"/>
      <c r="AE686" s="56"/>
      <c r="AF686" s="56"/>
      <c r="AG686" s="56"/>
      <c r="AH686" s="56"/>
      <c r="AI686" s="58"/>
      <c r="AJ686" s="56"/>
      <c r="AK686" s="56"/>
      <c r="AL686" s="56"/>
      <c r="AM686" s="57"/>
      <c r="AN686" s="57"/>
      <c r="AO686" s="56"/>
      <c r="AP686" s="56"/>
      <c r="AQ686" s="57"/>
      <c r="AR686" s="57"/>
      <c r="AS686" s="57"/>
      <c r="AT686" s="67">
        <f t="shared" ca="1" si="64"/>
        <v>0</v>
      </c>
      <c r="AU686" s="79" t="str">
        <f t="shared" ca="1" si="65"/>
        <v/>
      </c>
      <c r="AV686" s="79" t="str" cm="1">
        <f t="array" aca="1" ref="AV686" ca="1">IFERROR(_xlfn.IFS($AU686="","",$AU686&lt;=15,"0-15",AND($AU686&gt;=16,$AU686&lt;=30),"16-30",AND($AU686&gt;=31,$AU686&lt;=45),"31-45",AND($AU686&gt;=46,$AU686&lt;=60),"46-60",AND($AU686&gt;=61,$AU686&lt;=90),"61-90",AND($AU686&gt;=91),"&gt; 90",AND($AU686&gt;=2000),""),"")</f>
        <v/>
      </c>
      <c r="AW686" s="79" t="str" cm="1">
        <f t="array" aca="1" ref="AW686" ca="1">IFERROR(_xlfn.IFS(OR($M686="",$AM686=""),"",OR($C686="Offered",$C686="Joined"),($AM686-$M686)-$AT686),"")</f>
        <v/>
      </c>
      <c r="AX686" s="79" t="str" cm="1">
        <f t="array" aca="1" ref="AX686" ca="1">IFERROR(_xlfn.IFS(OR($M686="",$AS686=""),"",$C686="Joined",($AS686-$M686)-$AT686),"")</f>
        <v/>
      </c>
      <c r="AY686" s="67" t="str">
        <f>IFERROR(IF(COUNTIFS('Candidate Tracker'!$E:$E,'Positions Tracker'!$B686,'Candidate Tracker'!$C:$C,"Offer Drop")=0,"",COUNTIFS('Candidate Tracker'!$E:$E,'Positions Tracker'!$B686,'Candidate Tracker'!$C:$C,"Offer Drop")),"")</f>
        <v/>
      </c>
      <c r="AZ686" s="80">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0.88111888111888115</v>
      </c>
      <c r="BA686" s="81" t="str">
        <f>IFERROR(IF(COUNTIFS('Candidate Tracker'!$E:$E,'Positions Tracker'!$B686,'Candidate Tracker'!$I:$I,"Female")=0,"",COUNTIFS('Candidate Tracker'!$E:$E,'Positions Tracker'!$B686,'Candidate Tracker'!$I:$I,"Female")),"")</f>
        <v/>
      </c>
      <c r="BB686" s="81" t="str">
        <f>IFERROR(IF(COUNTIFS('Candidate Tracker'!$E:$E,'Positions Tracker'!$B686,'Candidate Tracker'!$I:$I,"male")=0,"",COUNTIFS('Candidate Tracker'!$E:$E,'Positions Tracker'!$B686,'Candidate Tracker'!$I:$I,"male")),"")</f>
        <v/>
      </c>
      <c r="BC686" s="80" t="str">
        <f>IFERROR(IF(COUNTIFS('Candidate Tracker'!$E:$E,'Positions Tracker'!$B686,'Candidate Tracker'!$C:$C,"&lt;&gt;WIP",'Candidate Tracker'!$C:$C,"&lt;&gt;Hold",'Candidate Tracker'!$C:$C,"&lt;&gt;Cancelled",'Candidate Tracker'!$C:$C,"&lt;&gt;Closed")/COUNTIFS('Candidate Tracker'!$E:$E,'Positions Tracker'!$B686)=0,"",COUNTIFS('Candidate Tracker'!$E:$E,'Positions Tracker'!$B686,'Candidate Tracker'!$C:$C,"&lt;&gt;WIP",'Candidate Tracker'!$C:$C,"&lt;&gt;Hold",'Candidate Tracker'!$C:$C,"&lt;&gt;Cancelled",'Candidate Tracker'!$C:$C,"&lt;&gt;Closed")/COUNTIFS('Candidate Tracker'!$E:$E,'Positions Tracker'!$B686)),"")</f>
        <v/>
      </c>
      <c r="BD686" s="67" t="str">
        <f t="shared" si="60"/>
        <v/>
      </c>
      <c r="BE686" s="67" t="str">
        <f t="shared" si="61"/>
        <v/>
      </c>
      <c r="BF686" s="67" t="str">
        <f t="shared" si="62"/>
        <v/>
      </c>
      <c r="BG686" s="67" t="str">
        <f t="shared" si="63"/>
        <v/>
      </c>
    </row>
    <row r="687" spans="1:59">
      <c r="A687" s="55"/>
      <c r="B687" s="56"/>
      <c r="C687" s="56"/>
      <c r="D687" s="56"/>
      <c r="E687" s="56"/>
      <c r="F687" s="56"/>
      <c r="G687" s="56"/>
      <c r="H687" s="56"/>
      <c r="I687" s="6"/>
      <c r="J687" s="6"/>
      <c r="K687" s="57"/>
      <c r="L687" s="57"/>
      <c r="M687" s="57"/>
      <c r="N687" s="56"/>
      <c r="O687" s="56"/>
      <c r="P687" s="56"/>
      <c r="Q687" s="56"/>
      <c r="R687" s="56"/>
      <c r="S687" s="56"/>
      <c r="T687" s="56"/>
      <c r="U687" s="56"/>
      <c r="V687" s="56"/>
      <c r="W687" s="56"/>
      <c r="X687" s="56"/>
      <c r="Y687" s="56"/>
      <c r="Z687" s="56"/>
      <c r="AA687" s="56"/>
      <c r="AB687" s="56"/>
      <c r="AC687" s="56"/>
      <c r="AD687" s="56"/>
      <c r="AE687" s="56"/>
      <c r="AF687" s="56"/>
      <c r="AG687" s="56"/>
      <c r="AH687" s="56"/>
      <c r="AI687" s="58"/>
      <c r="AJ687" s="56"/>
      <c r="AK687" s="56"/>
      <c r="AL687" s="56"/>
      <c r="AM687" s="57"/>
      <c r="AN687" s="57"/>
      <c r="AO687" s="56"/>
      <c r="AP687" s="56"/>
      <c r="AQ687" s="57"/>
      <c r="AR687" s="57"/>
      <c r="AS687" s="57"/>
      <c r="AT687" s="67">
        <f t="shared" ca="1" si="64"/>
        <v>0</v>
      </c>
      <c r="AU687" s="79" t="str">
        <f t="shared" ca="1" si="65"/>
        <v/>
      </c>
      <c r="AV687" s="79" t="str" cm="1">
        <f t="array" aca="1" ref="AV687" ca="1">IFERROR(_xlfn.IFS($AU687="","",$AU687&lt;=15,"0-15",AND($AU687&gt;=16,$AU687&lt;=30),"16-30",AND($AU687&gt;=31,$AU687&lt;=45),"31-45",AND($AU687&gt;=46,$AU687&lt;=60),"46-60",AND($AU687&gt;=61,$AU687&lt;=90),"61-90",AND($AU687&gt;=91),"&gt; 90",AND($AU687&gt;=2000),""),"")</f>
        <v/>
      </c>
      <c r="AW687" s="79" t="str" cm="1">
        <f t="array" aca="1" ref="AW687" ca="1">IFERROR(_xlfn.IFS(OR($M687="",$AM687=""),"",OR($C687="Offered",$C687="Joined"),($AM687-$M687)-$AT687),"")</f>
        <v/>
      </c>
      <c r="AX687" s="79" t="str" cm="1">
        <f t="array" aca="1" ref="AX687" ca="1">IFERROR(_xlfn.IFS(OR($M687="",$AS687=""),"",$C687="Joined",($AS687-$M687)-$AT687),"")</f>
        <v/>
      </c>
      <c r="AY687" s="67" t="str">
        <f>IFERROR(IF(COUNTIFS('Candidate Tracker'!$E:$E,'Positions Tracker'!$B687,'Candidate Tracker'!$C:$C,"Offer Drop")=0,"",COUNTIFS('Candidate Tracker'!$E:$E,'Positions Tracker'!$B687,'Candidate Tracker'!$C:$C,"Offer Drop")),"")</f>
        <v/>
      </c>
      <c r="AZ687" s="80">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0.88111888111888115</v>
      </c>
      <c r="BA687" s="81" t="str">
        <f>IFERROR(IF(COUNTIFS('Candidate Tracker'!$E:$E,'Positions Tracker'!$B687,'Candidate Tracker'!$I:$I,"Female")=0,"",COUNTIFS('Candidate Tracker'!$E:$E,'Positions Tracker'!$B687,'Candidate Tracker'!$I:$I,"Female")),"")</f>
        <v/>
      </c>
      <c r="BB687" s="81" t="str">
        <f>IFERROR(IF(COUNTIFS('Candidate Tracker'!$E:$E,'Positions Tracker'!$B687,'Candidate Tracker'!$I:$I,"male")=0,"",COUNTIFS('Candidate Tracker'!$E:$E,'Positions Tracker'!$B687,'Candidate Tracker'!$I:$I,"male")),"")</f>
        <v/>
      </c>
      <c r="BC687" s="80" t="str">
        <f>IFERROR(IF(COUNTIFS('Candidate Tracker'!$E:$E,'Positions Tracker'!$B687,'Candidate Tracker'!$C:$C,"&lt;&gt;WIP",'Candidate Tracker'!$C:$C,"&lt;&gt;Hold",'Candidate Tracker'!$C:$C,"&lt;&gt;Cancelled",'Candidate Tracker'!$C:$C,"&lt;&gt;Closed")/COUNTIFS('Candidate Tracker'!$E:$E,'Positions Tracker'!$B687)=0,"",COUNTIFS('Candidate Tracker'!$E:$E,'Positions Tracker'!$B687,'Candidate Tracker'!$C:$C,"&lt;&gt;WIP",'Candidate Tracker'!$C:$C,"&lt;&gt;Hold",'Candidate Tracker'!$C:$C,"&lt;&gt;Cancelled",'Candidate Tracker'!$C:$C,"&lt;&gt;Closed")/COUNTIFS('Candidate Tracker'!$E:$E,'Positions Tracker'!$B687)),"")</f>
        <v/>
      </c>
      <c r="BD687" s="67" t="str">
        <f t="shared" si="60"/>
        <v/>
      </c>
      <c r="BE687" s="67" t="str">
        <f t="shared" si="61"/>
        <v/>
      </c>
      <c r="BF687" s="67" t="str">
        <f t="shared" si="62"/>
        <v/>
      </c>
      <c r="BG687" s="67" t="str">
        <f t="shared" si="63"/>
        <v/>
      </c>
    </row>
    <row r="688" spans="1:59">
      <c r="A688" s="55"/>
      <c r="B688" s="56"/>
      <c r="C688" s="56"/>
      <c r="D688" s="56"/>
      <c r="E688" s="56"/>
      <c r="F688" s="56"/>
      <c r="G688" s="56"/>
      <c r="H688" s="56"/>
      <c r="I688" s="6"/>
      <c r="J688" s="6"/>
      <c r="K688" s="57"/>
      <c r="L688" s="57"/>
      <c r="M688" s="57"/>
      <c r="N688" s="56"/>
      <c r="O688" s="56"/>
      <c r="P688" s="56"/>
      <c r="Q688" s="56"/>
      <c r="R688" s="56"/>
      <c r="S688" s="56"/>
      <c r="T688" s="56"/>
      <c r="U688" s="56"/>
      <c r="V688" s="56"/>
      <c r="W688" s="56"/>
      <c r="X688" s="56"/>
      <c r="Y688" s="56"/>
      <c r="Z688" s="56"/>
      <c r="AA688" s="56"/>
      <c r="AB688" s="56"/>
      <c r="AC688" s="56"/>
      <c r="AD688" s="56"/>
      <c r="AE688" s="56"/>
      <c r="AF688" s="56"/>
      <c r="AG688" s="56"/>
      <c r="AH688" s="56"/>
      <c r="AI688" s="58"/>
      <c r="AJ688" s="56"/>
      <c r="AK688" s="56"/>
      <c r="AL688" s="56"/>
      <c r="AM688" s="57"/>
      <c r="AN688" s="57"/>
      <c r="AO688" s="56"/>
      <c r="AP688" s="56"/>
      <c r="AQ688" s="57"/>
      <c r="AR688" s="57"/>
      <c r="AS688" s="57"/>
      <c r="AT688" s="67">
        <f t="shared" ca="1" si="64"/>
        <v>0</v>
      </c>
      <c r="AU688" s="79" t="str">
        <f t="shared" ca="1" si="65"/>
        <v/>
      </c>
      <c r="AV688" s="79" t="str" cm="1">
        <f t="array" aca="1" ref="AV688" ca="1">IFERROR(_xlfn.IFS($AU688="","",$AU688&lt;=15,"0-15",AND($AU688&gt;=16,$AU688&lt;=30),"16-30",AND($AU688&gt;=31,$AU688&lt;=45),"31-45",AND($AU688&gt;=46,$AU688&lt;=60),"46-60",AND($AU688&gt;=61,$AU688&lt;=90),"61-90",AND($AU688&gt;=91),"&gt; 90",AND($AU688&gt;=2000),""),"")</f>
        <v/>
      </c>
      <c r="AW688" s="79" t="str" cm="1">
        <f t="array" aca="1" ref="AW688" ca="1">IFERROR(_xlfn.IFS(OR($M688="",$AM688=""),"",OR($C688="Offered",$C688="Joined"),($AM688-$M688)-$AT688),"")</f>
        <v/>
      </c>
      <c r="AX688" s="79" t="str" cm="1">
        <f t="array" aca="1" ref="AX688" ca="1">IFERROR(_xlfn.IFS(OR($M688="",$AS688=""),"",$C688="Joined",($AS688-$M688)-$AT688),"")</f>
        <v/>
      </c>
      <c r="AY688" s="67" t="str">
        <f>IFERROR(IF(COUNTIFS('Candidate Tracker'!$E:$E,'Positions Tracker'!$B688,'Candidate Tracker'!$C:$C,"Offer Drop")=0,"",COUNTIFS('Candidate Tracker'!$E:$E,'Positions Tracker'!$B688,'Candidate Tracker'!$C:$C,"Offer Drop")),"")</f>
        <v/>
      </c>
      <c r="AZ688" s="80">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0.88111888111888115</v>
      </c>
      <c r="BA688" s="81" t="str">
        <f>IFERROR(IF(COUNTIFS('Candidate Tracker'!$E:$E,'Positions Tracker'!$B688,'Candidate Tracker'!$I:$I,"Female")=0,"",COUNTIFS('Candidate Tracker'!$E:$E,'Positions Tracker'!$B688,'Candidate Tracker'!$I:$I,"Female")),"")</f>
        <v/>
      </c>
      <c r="BB688" s="81" t="str">
        <f>IFERROR(IF(COUNTIFS('Candidate Tracker'!$E:$E,'Positions Tracker'!$B688,'Candidate Tracker'!$I:$I,"male")=0,"",COUNTIFS('Candidate Tracker'!$E:$E,'Positions Tracker'!$B688,'Candidate Tracker'!$I:$I,"male")),"")</f>
        <v/>
      </c>
      <c r="BC688" s="80" t="str">
        <f>IFERROR(IF(COUNTIFS('Candidate Tracker'!$E:$E,'Positions Tracker'!$B688,'Candidate Tracker'!$C:$C,"&lt;&gt;WIP",'Candidate Tracker'!$C:$C,"&lt;&gt;Hold",'Candidate Tracker'!$C:$C,"&lt;&gt;Cancelled",'Candidate Tracker'!$C:$C,"&lt;&gt;Closed")/COUNTIFS('Candidate Tracker'!$E:$E,'Positions Tracker'!$B688)=0,"",COUNTIFS('Candidate Tracker'!$E:$E,'Positions Tracker'!$B688,'Candidate Tracker'!$C:$C,"&lt;&gt;WIP",'Candidate Tracker'!$C:$C,"&lt;&gt;Hold",'Candidate Tracker'!$C:$C,"&lt;&gt;Cancelled",'Candidate Tracker'!$C:$C,"&lt;&gt;Closed")/COUNTIFS('Candidate Tracker'!$E:$E,'Positions Tracker'!$B688)),"")</f>
        <v/>
      </c>
      <c r="BD688" s="67" t="str">
        <f t="shared" si="60"/>
        <v/>
      </c>
      <c r="BE688" s="67" t="str">
        <f t="shared" si="61"/>
        <v/>
      </c>
      <c r="BF688" s="67" t="str">
        <f t="shared" si="62"/>
        <v/>
      </c>
      <c r="BG688" s="67" t="str">
        <f t="shared" si="63"/>
        <v/>
      </c>
    </row>
    <row r="689" spans="1:59">
      <c r="A689" s="55"/>
      <c r="B689" s="56"/>
      <c r="C689" s="56"/>
      <c r="D689" s="56"/>
      <c r="E689" s="56"/>
      <c r="F689" s="56"/>
      <c r="G689" s="56"/>
      <c r="H689" s="56"/>
      <c r="I689" s="6"/>
      <c r="J689" s="6"/>
      <c r="K689" s="57"/>
      <c r="L689" s="57"/>
      <c r="M689" s="57"/>
      <c r="N689" s="56"/>
      <c r="O689" s="56"/>
      <c r="P689" s="56"/>
      <c r="Q689" s="56"/>
      <c r="R689" s="56"/>
      <c r="S689" s="56"/>
      <c r="T689" s="56"/>
      <c r="U689" s="56"/>
      <c r="V689" s="56"/>
      <c r="W689" s="56"/>
      <c r="X689" s="56"/>
      <c r="Y689" s="56"/>
      <c r="Z689" s="56"/>
      <c r="AA689" s="56"/>
      <c r="AB689" s="56"/>
      <c r="AC689" s="56"/>
      <c r="AD689" s="56"/>
      <c r="AE689" s="56"/>
      <c r="AF689" s="56"/>
      <c r="AG689" s="56"/>
      <c r="AH689" s="56"/>
      <c r="AI689" s="58"/>
      <c r="AJ689" s="56"/>
      <c r="AK689" s="56"/>
      <c r="AL689" s="56"/>
      <c r="AM689" s="57"/>
      <c r="AN689" s="57"/>
      <c r="AO689" s="56"/>
      <c r="AP689" s="56"/>
      <c r="AQ689" s="57"/>
      <c r="AR689" s="57"/>
      <c r="AS689" s="57"/>
      <c r="AT689" s="67">
        <f t="shared" ca="1" si="64"/>
        <v>0</v>
      </c>
      <c r="AU689" s="79" t="str">
        <f t="shared" ca="1" si="65"/>
        <v/>
      </c>
      <c r="AV689" s="79" t="str" cm="1">
        <f t="array" aca="1" ref="AV689" ca="1">IFERROR(_xlfn.IFS($AU689="","",$AU689&lt;=15,"0-15",AND($AU689&gt;=16,$AU689&lt;=30),"16-30",AND($AU689&gt;=31,$AU689&lt;=45),"31-45",AND($AU689&gt;=46,$AU689&lt;=60),"46-60",AND($AU689&gt;=61,$AU689&lt;=90),"61-90",AND($AU689&gt;=91),"&gt; 90",AND($AU689&gt;=2000),""),"")</f>
        <v/>
      </c>
      <c r="AW689" s="79" t="str" cm="1">
        <f t="array" aca="1" ref="AW689" ca="1">IFERROR(_xlfn.IFS(OR($M689="",$AM689=""),"",OR($C689="Offered",$C689="Joined"),($AM689-$M689)-$AT689),"")</f>
        <v/>
      </c>
      <c r="AX689" s="79" t="str" cm="1">
        <f t="array" aca="1" ref="AX689" ca="1">IFERROR(_xlfn.IFS(OR($M689="",$AS689=""),"",$C689="Joined",($AS689-$M689)-$AT689),"")</f>
        <v/>
      </c>
      <c r="AY689" s="67" t="str">
        <f>IFERROR(IF(COUNTIFS('Candidate Tracker'!$E:$E,'Positions Tracker'!$B689,'Candidate Tracker'!$C:$C,"Offer Drop")=0,"",COUNTIFS('Candidate Tracker'!$E:$E,'Positions Tracker'!$B689,'Candidate Tracker'!$C:$C,"Offer Drop")),"")</f>
        <v/>
      </c>
      <c r="AZ689" s="80">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0.88111888111888115</v>
      </c>
      <c r="BA689" s="81" t="str">
        <f>IFERROR(IF(COUNTIFS('Candidate Tracker'!$E:$E,'Positions Tracker'!$B689,'Candidate Tracker'!$I:$I,"Female")=0,"",COUNTIFS('Candidate Tracker'!$E:$E,'Positions Tracker'!$B689,'Candidate Tracker'!$I:$I,"Female")),"")</f>
        <v/>
      </c>
      <c r="BB689" s="81" t="str">
        <f>IFERROR(IF(COUNTIFS('Candidate Tracker'!$E:$E,'Positions Tracker'!$B689,'Candidate Tracker'!$I:$I,"male")=0,"",COUNTIFS('Candidate Tracker'!$E:$E,'Positions Tracker'!$B689,'Candidate Tracker'!$I:$I,"male")),"")</f>
        <v/>
      </c>
      <c r="BC689" s="80" t="str">
        <f>IFERROR(IF(COUNTIFS('Candidate Tracker'!$E:$E,'Positions Tracker'!$B689,'Candidate Tracker'!$C:$C,"&lt;&gt;WIP",'Candidate Tracker'!$C:$C,"&lt;&gt;Hold",'Candidate Tracker'!$C:$C,"&lt;&gt;Cancelled",'Candidate Tracker'!$C:$C,"&lt;&gt;Closed")/COUNTIFS('Candidate Tracker'!$E:$E,'Positions Tracker'!$B689)=0,"",COUNTIFS('Candidate Tracker'!$E:$E,'Positions Tracker'!$B689,'Candidate Tracker'!$C:$C,"&lt;&gt;WIP",'Candidate Tracker'!$C:$C,"&lt;&gt;Hold",'Candidate Tracker'!$C:$C,"&lt;&gt;Cancelled",'Candidate Tracker'!$C:$C,"&lt;&gt;Closed")/COUNTIFS('Candidate Tracker'!$E:$E,'Positions Tracker'!$B689)),"")</f>
        <v/>
      </c>
      <c r="BD689" s="67" t="str">
        <f t="shared" si="60"/>
        <v/>
      </c>
      <c r="BE689" s="67" t="str">
        <f t="shared" si="61"/>
        <v/>
      </c>
      <c r="BF689" s="67" t="str">
        <f t="shared" si="62"/>
        <v/>
      </c>
      <c r="BG689" s="67" t="str">
        <f t="shared" si="63"/>
        <v/>
      </c>
    </row>
    <row r="690" spans="1:59">
      <c r="A690" s="55"/>
      <c r="B690" s="56"/>
      <c r="C690" s="56"/>
      <c r="D690" s="56"/>
      <c r="E690" s="56"/>
      <c r="F690" s="56"/>
      <c r="G690" s="56"/>
      <c r="H690" s="56"/>
      <c r="I690" s="6"/>
      <c r="J690" s="6"/>
      <c r="K690" s="57"/>
      <c r="L690" s="57"/>
      <c r="M690" s="57"/>
      <c r="N690" s="56"/>
      <c r="O690" s="56"/>
      <c r="P690" s="56"/>
      <c r="Q690" s="56"/>
      <c r="R690" s="56"/>
      <c r="S690" s="56"/>
      <c r="T690" s="56"/>
      <c r="U690" s="56"/>
      <c r="V690" s="56"/>
      <c r="W690" s="56"/>
      <c r="X690" s="56"/>
      <c r="Y690" s="56"/>
      <c r="Z690" s="56"/>
      <c r="AA690" s="56"/>
      <c r="AB690" s="56"/>
      <c r="AC690" s="56"/>
      <c r="AD690" s="56"/>
      <c r="AE690" s="56"/>
      <c r="AF690" s="56"/>
      <c r="AG690" s="56"/>
      <c r="AH690" s="56"/>
      <c r="AI690" s="58"/>
      <c r="AJ690" s="56"/>
      <c r="AK690" s="56"/>
      <c r="AL690" s="56"/>
      <c r="AM690" s="57"/>
      <c r="AN690" s="57"/>
      <c r="AO690" s="56"/>
      <c r="AP690" s="56"/>
      <c r="AQ690" s="57"/>
      <c r="AR690" s="57"/>
      <c r="AS690" s="57"/>
      <c r="AT690" s="67">
        <f t="shared" ca="1" si="64"/>
        <v>0</v>
      </c>
      <c r="AU690" s="79" t="str">
        <f t="shared" ca="1" si="65"/>
        <v/>
      </c>
      <c r="AV690" s="79" t="str" cm="1">
        <f t="array" aca="1" ref="AV690" ca="1">IFERROR(_xlfn.IFS($AU690="","",$AU690&lt;=15,"0-15",AND($AU690&gt;=16,$AU690&lt;=30),"16-30",AND($AU690&gt;=31,$AU690&lt;=45),"31-45",AND($AU690&gt;=46,$AU690&lt;=60),"46-60",AND($AU690&gt;=61,$AU690&lt;=90),"61-90",AND($AU690&gt;=91),"&gt; 90",AND($AU690&gt;=2000),""),"")</f>
        <v/>
      </c>
      <c r="AW690" s="79" t="str" cm="1">
        <f t="array" aca="1" ref="AW690" ca="1">IFERROR(_xlfn.IFS(OR($M690="",$AM690=""),"",OR($C690="Offered",$C690="Joined"),($AM690-$M690)-$AT690),"")</f>
        <v/>
      </c>
      <c r="AX690" s="79" t="str" cm="1">
        <f t="array" aca="1" ref="AX690" ca="1">IFERROR(_xlfn.IFS(OR($M690="",$AS690=""),"",$C690="Joined",($AS690-$M690)-$AT690),"")</f>
        <v/>
      </c>
      <c r="AY690" s="67" t="str">
        <f>IFERROR(IF(COUNTIFS('Candidate Tracker'!$E:$E,'Positions Tracker'!$B690,'Candidate Tracker'!$C:$C,"Offer Drop")=0,"",COUNTIFS('Candidate Tracker'!$E:$E,'Positions Tracker'!$B690,'Candidate Tracker'!$C:$C,"Offer Drop")),"")</f>
        <v/>
      </c>
      <c r="AZ690" s="80">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0.88111888111888115</v>
      </c>
      <c r="BA690" s="81" t="str">
        <f>IFERROR(IF(COUNTIFS('Candidate Tracker'!$E:$E,'Positions Tracker'!$B690,'Candidate Tracker'!$I:$I,"Female")=0,"",COUNTIFS('Candidate Tracker'!$E:$E,'Positions Tracker'!$B690,'Candidate Tracker'!$I:$I,"Female")),"")</f>
        <v/>
      </c>
      <c r="BB690" s="81" t="str">
        <f>IFERROR(IF(COUNTIFS('Candidate Tracker'!$E:$E,'Positions Tracker'!$B690,'Candidate Tracker'!$I:$I,"male")=0,"",COUNTIFS('Candidate Tracker'!$E:$E,'Positions Tracker'!$B690,'Candidate Tracker'!$I:$I,"male")),"")</f>
        <v/>
      </c>
      <c r="BC690" s="80" t="str">
        <f>IFERROR(IF(COUNTIFS('Candidate Tracker'!$E:$E,'Positions Tracker'!$B690,'Candidate Tracker'!$C:$C,"&lt;&gt;WIP",'Candidate Tracker'!$C:$C,"&lt;&gt;Hold",'Candidate Tracker'!$C:$C,"&lt;&gt;Cancelled",'Candidate Tracker'!$C:$C,"&lt;&gt;Closed")/COUNTIFS('Candidate Tracker'!$E:$E,'Positions Tracker'!$B690)=0,"",COUNTIFS('Candidate Tracker'!$E:$E,'Positions Tracker'!$B690,'Candidate Tracker'!$C:$C,"&lt;&gt;WIP",'Candidate Tracker'!$C:$C,"&lt;&gt;Hold",'Candidate Tracker'!$C:$C,"&lt;&gt;Cancelled",'Candidate Tracker'!$C:$C,"&lt;&gt;Closed")/COUNTIFS('Candidate Tracker'!$E:$E,'Positions Tracker'!$B690)),"")</f>
        <v/>
      </c>
      <c r="BD690" s="67" t="str">
        <f t="shared" si="60"/>
        <v/>
      </c>
      <c r="BE690" s="67" t="str">
        <f t="shared" si="61"/>
        <v/>
      </c>
      <c r="BF690" s="67" t="str">
        <f t="shared" si="62"/>
        <v/>
      </c>
      <c r="BG690" s="67" t="str">
        <f t="shared" si="63"/>
        <v/>
      </c>
    </row>
    <row r="691" spans="1:59">
      <c r="A691" s="55"/>
      <c r="B691" s="56"/>
      <c r="C691" s="56"/>
      <c r="D691" s="56"/>
      <c r="E691" s="56"/>
      <c r="F691" s="56"/>
      <c r="G691" s="56"/>
      <c r="H691" s="56"/>
      <c r="I691" s="6"/>
      <c r="J691" s="6"/>
      <c r="K691" s="57"/>
      <c r="L691" s="57"/>
      <c r="M691" s="57"/>
      <c r="N691" s="56"/>
      <c r="O691" s="56"/>
      <c r="P691" s="56"/>
      <c r="Q691" s="56"/>
      <c r="R691" s="56"/>
      <c r="S691" s="56"/>
      <c r="T691" s="56"/>
      <c r="U691" s="56"/>
      <c r="V691" s="56"/>
      <c r="W691" s="56"/>
      <c r="X691" s="56"/>
      <c r="Y691" s="56"/>
      <c r="Z691" s="56"/>
      <c r="AA691" s="56"/>
      <c r="AB691" s="56"/>
      <c r="AC691" s="56"/>
      <c r="AD691" s="56"/>
      <c r="AE691" s="56"/>
      <c r="AF691" s="56"/>
      <c r="AG691" s="56"/>
      <c r="AH691" s="56"/>
      <c r="AI691" s="58"/>
      <c r="AJ691" s="56"/>
      <c r="AK691" s="56"/>
      <c r="AL691" s="56"/>
      <c r="AM691" s="57"/>
      <c r="AN691" s="57"/>
      <c r="AO691" s="56"/>
      <c r="AP691" s="56"/>
      <c r="AQ691" s="57"/>
      <c r="AR691" s="57"/>
      <c r="AS691" s="57"/>
      <c r="AT691" s="67">
        <f t="shared" ca="1" si="64"/>
        <v>0</v>
      </c>
      <c r="AU691" s="79" t="str">
        <f t="shared" ca="1" si="65"/>
        <v/>
      </c>
      <c r="AV691" s="79" t="str" cm="1">
        <f t="array" aca="1" ref="AV691" ca="1">IFERROR(_xlfn.IFS($AU691="","",$AU691&lt;=15,"0-15",AND($AU691&gt;=16,$AU691&lt;=30),"16-30",AND($AU691&gt;=31,$AU691&lt;=45),"31-45",AND($AU691&gt;=46,$AU691&lt;=60),"46-60",AND($AU691&gt;=61,$AU691&lt;=90),"61-90",AND($AU691&gt;=91),"&gt; 90",AND($AU691&gt;=2000),""),"")</f>
        <v/>
      </c>
      <c r="AW691" s="79" t="str" cm="1">
        <f t="array" aca="1" ref="AW691" ca="1">IFERROR(_xlfn.IFS(OR($M691="",$AM691=""),"",OR($C691="Offered",$C691="Joined"),($AM691-$M691)-$AT691),"")</f>
        <v/>
      </c>
      <c r="AX691" s="79" t="str" cm="1">
        <f t="array" aca="1" ref="AX691" ca="1">IFERROR(_xlfn.IFS(OR($M691="",$AS691=""),"",$C691="Joined",($AS691-$M691)-$AT691),"")</f>
        <v/>
      </c>
      <c r="AY691" s="67" t="str">
        <f>IFERROR(IF(COUNTIFS('Candidate Tracker'!$E:$E,'Positions Tracker'!$B691,'Candidate Tracker'!$C:$C,"Offer Drop")=0,"",COUNTIFS('Candidate Tracker'!$E:$E,'Positions Tracker'!$B691,'Candidate Tracker'!$C:$C,"Offer Drop")),"")</f>
        <v/>
      </c>
      <c r="AZ691" s="80">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0.88111888111888115</v>
      </c>
      <c r="BA691" s="81" t="str">
        <f>IFERROR(IF(COUNTIFS('Candidate Tracker'!$E:$E,'Positions Tracker'!$B691,'Candidate Tracker'!$I:$I,"Female")=0,"",COUNTIFS('Candidate Tracker'!$E:$E,'Positions Tracker'!$B691,'Candidate Tracker'!$I:$I,"Female")),"")</f>
        <v/>
      </c>
      <c r="BB691" s="81" t="str">
        <f>IFERROR(IF(COUNTIFS('Candidate Tracker'!$E:$E,'Positions Tracker'!$B691,'Candidate Tracker'!$I:$I,"male")=0,"",COUNTIFS('Candidate Tracker'!$E:$E,'Positions Tracker'!$B691,'Candidate Tracker'!$I:$I,"male")),"")</f>
        <v/>
      </c>
      <c r="BC691" s="80" t="str">
        <f>IFERROR(IF(COUNTIFS('Candidate Tracker'!$E:$E,'Positions Tracker'!$B691,'Candidate Tracker'!$C:$C,"&lt;&gt;WIP",'Candidate Tracker'!$C:$C,"&lt;&gt;Hold",'Candidate Tracker'!$C:$C,"&lt;&gt;Cancelled",'Candidate Tracker'!$C:$C,"&lt;&gt;Closed")/COUNTIFS('Candidate Tracker'!$E:$E,'Positions Tracker'!$B691)=0,"",COUNTIFS('Candidate Tracker'!$E:$E,'Positions Tracker'!$B691,'Candidate Tracker'!$C:$C,"&lt;&gt;WIP",'Candidate Tracker'!$C:$C,"&lt;&gt;Hold",'Candidate Tracker'!$C:$C,"&lt;&gt;Cancelled",'Candidate Tracker'!$C:$C,"&lt;&gt;Closed")/COUNTIFS('Candidate Tracker'!$E:$E,'Positions Tracker'!$B691)),"")</f>
        <v/>
      </c>
      <c r="BD691" s="67" t="str">
        <f t="shared" si="60"/>
        <v/>
      </c>
      <c r="BE691" s="67" t="str">
        <f t="shared" si="61"/>
        <v/>
      </c>
      <c r="BF691" s="67" t="str">
        <f t="shared" si="62"/>
        <v/>
      </c>
      <c r="BG691" s="67" t="str">
        <f t="shared" si="63"/>
        <v/>
      </c>
    </row>
    <row r="692" spans="1:59">
      <c r="A692" s="55"/>
      <c r="B692" s="56"/>
      <c r="C692" s="56"/>
      <c r="D692" s="56"/>
      <c r="E692" s="56"/>
      <c r="F692" s="56"/>
      <c r="G692" s="56"/>
      <c r="H692" s="56"/>
      <c r="I692" s="6"/>
      <c r="J692" s="6"/>
      <c r="K692" s="57"/>
      <c r="L692" s="57"/>
      <c r="M692" s="57"/>
      <c r="N692" s="56"/>
      <c r="O692" s="56"/>
      <c r="P692" s="56"/>
      <c r="Q692" s="56"/>
      <c r="R692" s="56"/>
      <c r="S692" s="56"/>
      <c r="T692" s="56"/>
      <c r="U692" s="56"/>
      <c r="V692" s="56"/>
      <c r="W692" s="56"/>
      <c r="X692" s="56"/>
      <c r="Y692" s="56"/>
      <c r="Z692" s="56"/>
      <c r="AA692" s="56"/>
      <c r="AB692" s="56"/>
      <c r="AC692" s="56"/>
      <c r="AD692" s="56"/>
      <c r="AE692" s="56"/>
      <c r="AF692" s="56"/>
      <c r="AG692" s="56"/>
      <c r="AH692" s="56"/>
      <c r="AI692" s="58"/>
      <c r="AJ692" s="56"/>
      <c r="AK692" s="56"/>
      <c r="AL692" s="56"/>
      <c r="AM692" s="57"/>
      <c r="AN692" s="57"/>
      <c r="AO692" s="56"/>
      <c r="AP692" s="56"/>
      <c r="AQ692" s="57"/>
      <c r="AR692" s="57"/>
      <c r="AS692" s="57"/>
      <c r="AT692" s="67">
        <f t="shared" ca="1" si="64"/>
        <v>0</v>
      </c>
      <c r="AU692" s="79" t="str">
        <f t="shared" ca="1" si="65"/>
        <v/>
      </c>
      <c r="AV692" s="79" t="str" cm="1">
        <f t="array" aca="1" ref="AV692" ca="1">IFERROR(_xlfn.IFS($AU692="","",$AU692&lt;=15,"0-15",AND($AU692&gt;=16,$AU692&lt;=30),"16-30",AND($AU692&gt;=31,$AU692&lt;=45),"31-45",AND($AU692&gt;=46,$AU692&lt;=60),"46-60",AND($AU692&gt;=61,$AU692&lt;=90),"61-90",AND($AU692&gt;=91),"&gt; 90",AND($AU692&gt;=2000),""),"")</f>
        <v/>
      </c>
      <c r="AW692" s="79" t="str" cm="1">
        <f t="array" aca="1" ref="AW692" ca="1">IFERROR(_xlfn.IFS(OR($M692="",$AM692=""),"",OR($C692="Offered",$C692="Joined"),($AM692-$M692)-$AT692),"")</f>
        <v/>
      </c>
      <c r="AX692" s="79" t="str" cm="1">
        <f t="array" aca="1" ref="AX692" ca="1">IFERROR(_xlfn.IFS(OR($M692="",$AS692=""),"",$C692="Joined",($AS692-$M692)-$AT692),"")</f>
        <v/>
      </c>
      <c r="AY692" s="67" t="str">
        <f>IFERROR(IF(COUNTIFS('Candidate Tracker'!$E:$E,'Positions Tracker'!$B692,'Candidate Tracker'!$C:$C,"Offer Drop")=0,"",COUNTIFS('Candidate Tracker'!$E:$E,'Positions Tracker'!$B692,'Candidate Tracker'!$C:$C,"Offer Drop")),"")</f>
        <v/>
      </c>
      <c r="AZ692" s="80">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0.88111888111888115</v>
      </c>
      <c r="BA692" s="81" t="str">
        <f>IFERROR(IF(COUNTIFS('Candidate Tracker'!$E:$E,'Positions Tracker'!$B692,'Candidate Tracker'!$I:$I,"Female")=0,"",COUNTIFS('Candidate Tracker'!$E:$E,'Positions Tracker'!$B692,'Candidate Tracker'!$I:$I,"Female")),"")</f>
        <v/>
      </c>
      <c r="BB692" s="81" t="str">
        <f>IFERROR(IF(COUNTIFS('Candidate Tracker'!$E:$E,'Positions Tracker'!$B692,'Candidate Tracker'!$I:$I,"male")=0,"",COUNTIFS('Candidate Tracker'!$E:$E,'Positions Tracker'!$B692,'Candidate Tracker'!$I:$I,"male")),"")</f>
        <v/>
      </c>
      <c r="BC692" s="80" t="str">
        <f>IFERROR(IF(COUNTIFS('Candidate Tracker'!$E:$E,'Positions Tracker'!$B692,'Candidate Tracker'!$C:$C,"&lt;&gt;WIP",'Candidate Tracker'!$C:$C,"&lt;&gt;Hold",'Candidate Tracker'!$C:$C,"&lt;&gt;Cancelled",'Candidate Tracker'!$C:$C,"&lt;&gt;Closed")/COUNTIFS('Candidate Tracker'!$E:$E,'Positions Tracker'!$B692)=0,"",COUNTIFS('Candidate Tracker'!$E:$E,'Positions Tracker'!$B692,'Candidate Tracker'!$C:$C,"&lt;&gt;WIP",'Candidate Tracker'!$C:$C,"&lt;&gt;Hold",'Candidate Tracker'!$C:$C,"&lt;&gt;Cancelled",'Candidate Tracker'!$C:$C,"&lt;&gt;Closed")/COUNTIFS('Candidate Tracker'!$E:$E,'Positions Tracker'!$B692)),"")</f>
        <v/>
      </c>
      <c r="BD692" s="67" t="str">
        <f t="shared" si="60"/>
        <v/>
      </c>
      <c r="BE692" s="67" t="str">
        <f t="shared" si="61"/>
        <v/>
      </c>
      <c r="BF692" s="67" t="str">
        <f t="shared" si="62"/>
        <v/>
      </c>
      <c r="BG692" s="67" t="str">
        <f t="shared" si="63"/>
        <v/>
      </c>
    </row>
    <row r="693" spans="1:59">
      <c r="A693" s="55"/>
      <c r="B693" s="56"/>
      <c r="C693" s="56"/>
      <c r="D693" s="56"/>
      <c r="E693" s="56"/>
      <c r="F693" s="56"/>
      <c r="G693" s="56"/>
      <c r="H693" s="56"/>
      <c r="I693" s="6"/>
      <c r="J693" s="6"/>
      <c r="K693" s="57"/>
      <c r="L693" s="57"/>
      <c r="M693" s="57"/>
      <c r="N693" s="56"/>
      <c r="O693" s="56"/>
      <c r="P693" s="56"/>
      <c r="Q693" s="56"/>
      <c r="R693" s="56"/>
      <c r="S693" s="56"/>
      <c r="T693" s="56"/>
      <c r="U693" s="56"/>
      <c r="V693" s="56"/>
      <c r="W693" s="56"/>
      <c r="X693" s="56"/>
      <c r="Y693" s="56"/>
      <c r="Z693" s="56"/>
      <c r="AA693" s="56"/>
      <c r="AB693" s="56"/>
      <c r="AC693" s="56"/>
      <c r="AD693" s="56"/>
      <c r="AE693" s="56"/>
      <c r="AF693" s="56"/>
      <c r="AG693" s="56"/>
      <c r="AH693" s="56"/>
      <c r="AI693" s="58"/>
      <c r="AJ693" s="56"/>
      <c r="AK693" s="56"/>
      <c r="AL693" s="56"/>
      <c r="AM693" s="57"/>
      <c r="AN693" s="57"/>
      <c r="AO693" s="56"/>
      <c r="AP693" s="56"/>
      <c r="AQ693" s="57"/>
      <c r="AR693" s="57"/>
      <c r="AS693" s="57"/>
      <c r="AT693" s="67">
        <f t="shared" ca="1" si="64"/>
        <v>0</v>
      </c>
      <c r="AU693" s="79" t="str">
        <f t="shared" ca="1" si="65"/>
        <v/>
      </c>
      <c r="AV693" s="79" t="str" cm="1">
        <f t="array" aca="1" ref="AV693" ca="1">IFERROR(_xlfn.IFS($AU693="","",$AU693&lt;=15,"0-15",AND($AU693&gt;=16,$AU693&lt;=30),"16-30",AND($AU693&gt;=31,$AU693&lt;=45),"31-45",AND($AU693&gt;=46,$AU693&lt;=60),"46-60",AND($AU693&gt;=61,$AU693&lt;=90),"61-90",AND($AU693&gt;=91),"&gt; 90",AND($AU693&gt;=2000),""),"")</f>
        <v/>
      </c>
      <c r="AW693" s="79" t="str" cm="1">
        <f t="array" aca="1" ref="AW693" ca="1">IFERROR(_xlfn.IFS(OR($M693="",$AM693=""),"",OR($C693="Offered",$C693="Joined"),($AM693-$M693)-$AT693),"")</f>
        <v/>
      </c>
      <c r="AX693" s="79" t="str" cm="1">
        <f t="array" aca="1" ref="AX693" ca="1">IFERROR(_xlfn.IFS(OR($M693="",$AS693=""),"",$C693="Joined",($AS693-$M693)-$AT693),"")</f>
        <v/>
      </c>
      <c r="AY693" s="67" t="str">
        <f>IFERROR(IF(COUNTIFS('Candidate Tracker'!$E:$E,'Positions Tracker'!$B693,'Candidate Tracker'!$C:$C,"Offer Drop")=0,"",COUNTIFS('Candidate Tracker'!$E:$E,'Positions Tracker'!$B693,'Candidate Tracker'!$C:$C,"Offer Drop")),"")</f>
        <v/>
      </c>
      <c r="AZ693" s="80">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0.88111888111888115</v>
      </c>
      <c r="BA693" s="81" t="str">
        <f>IFERROR(IF(COUNTIFS('Candidate Tracker'!$E:$E,'Positions Tracker'!$B693,'Candidate Tracker'!$I:$I,"Female")=0,"",COUNTIFS('Candidate Tracker'!$E:$E,'Positions Tracker'!$B693,'Candidate Tracker'!$I:$I,"Female")),"")</f>
        <v/>
      </c>
      <c r="BB693" s="81" t="str">
        <f>IFERROR(IF(COUNTIFS('Candidate Tracker'!$E:$E,'Positions Tracker'!$B693,'Candidate Tracker'!$I:$I,"male")=0,"",COUNTIFS('Candidate Tracker'!$E:$E,'Positions Tracker'!$B693,'Candidate Tracker'!$I:$I,"male")),"")</f>
        <v/>
      </c>
      <c r="BC693" s="80" t="str">
        <f>IFERROR(IF(COUNTIFS('Candidate Tracker'!$E:$E,'Positions Tracker'!$B693,'Candidate Tracker'!$C:$C,"&lt;&gt;WIP",'Candidate Tracker'!$C:$C,"&lt;&gt;Hold",'Candidate Tracker'!$C:$C,"&lt;&gt;Cancelled",'Candidate Tracker'!$C:$C,"&lt;&gt;Closed")/COUNTIFS('Candidate Tracker'!$E:$E,'Positions Tracker'!$B693)=0,"",COUNTIFS('Candidate Tracker'!$E:$E,'Positions Tracker'!$B693,'Candidate Tracker'!$C:$C,"&lt;&gt;WIP",'Candidate Tracker'!$C:$C,"&lt;&gt;Hold",'Candidate Tracker'!$C:$C,"&lt;&gt;Cancelled",'Candidate Tracker'!$C:$C,"&lt;&gt;Closed")/COUNTIFS('Candidate Tracker'!$E:$E,'Positions Tracker'!$B693)),"")</f>
        <v/>
      </c>
      <c r="BD693" s="67" t="str">
        <f t="shared" si="60"/>
        <v/>
      </c>
      <c r="BE693" s="67" t="str">
        <f t="shared" si="61"/>
        <v/>
      </c>
      <c r="BF693" s="67" t="str">
        <f t="shared" si="62"/>
        <v/>
      </c>
      <c r="BG693" s="67" t="str">
        <f t="shared" si="63"/>
        <v/>
      </c>
    </row>
    <row r="694" spans="1:59">
      <c r="A694" s="55"/>
      <c r="B694" s="56"/>
      <c r="C694" s="56"/>
      <c r="D694" s="56"/>
      <c r="E694" s="56"/>
      <c r="F694" s="56"/>
      <c r="G694" s="56"/>
      <c r="H694" s="56"/>
      <c r="I694" s="6"/>
      <c r="J694" s="6"/>
      <c r="K694" s="57"/>
      <c r="L694" s="57"/>
      <c r="M694" s="57"/>
      <c r="N694" s="56"/>
      <c r="O694" s="56"/>
      <c r="P694" s="56"/>
      <c r="Q694" s="56"/>
      <c r="R694" s="56"/>
      <c r="S694" s="56"/>
      <c r="T694" s="56"/>
      <c r="U694" s="56"/>
      <c r="V694" s="56"/>
      <c r="W694" s="56"/>
      <c r="X694" s="56"/>
      <c r="Y694" s="56"/>
      <c r="Z694" s="56"/>
      <c r="AA694" s="56"/>
      <c r="AB694" s="56"/>
      <c r="AC694" s="56"/>
      <c r="AD694" s="56"/>
      <c r="AE694" s="56"/>
      <c r="AF694" s="56"/>
      <c r="AG694" s="56"/>
      <c r="AH694" s="56"/>
      <c r="AI694" s="58"/>
      <c r="AJ694" s="56"/>
      <c r="AK694" s="56"/>
      <c r="AL694" s="56"/>
      <c r="AM694" s="57"/>
      <c r="AN694" s="57"/>
      <c r="AO694" s="56"/>
      <c r="AP694" s="56"/>
      <c r="AQ694" s="57"/>
      <c r="AR694" s="57"/>
      <c r="AS694" s="57"/>
      <c r="AT694" s="67">
        <f t="shared" ca="1" si="64"/>
        <v>0</v>
      </c>
      <c r="AU694" s="79" t="str">
        <f t="shared" ca="1" si="65"/>
        <v/>
      </c>
      <c r="AV694" s="79" t="str" cm="1">
        <f t="array" aca="1" ref="AV694" ca="1">IFERROR(_xlfn.IFS($AU694="","",$AU694&lt;=15,"0-15",AND($AU694&gt;=16,$AU694&lt;=30),"16-30",AND($AU694&gt;=31,$AU694&lt;=45),"31-45",AND($AU694&gt;=46,$AU694&lt;=60),"46-60",AND($AU694&gt;=61,$AU694&lt;=90),"61-90",AND($AU694&gt;=91),"&gt; 90",AND($AU694&gt;=2000),""),"")</f>
        <v/>
      </c>
      <c r="AW694" s="79" t="str" cm="1">
        <f t="array" aca="1" ref="AW694" ca="1">IFERROR(_xlfn.IFS(OR($M694="",$AM694=""),"",OR($C694="Offered",$C694="Joined"),($AM694-$M694)-$AT694),"")</f>
        <v/>
      </c>
      <c r="AX694" s="79" t="str" cm="1">
        <f t="array" aca="1" ref="AX694" ca="1">IFERROR(_xlfn.IFS(OR($M694="",$AS694=""),"",$C694="Joined",($AS694-$M694)-$AT694),"")</f>
        <v/>
      </c>
      <c r="AY694" s="67" t="str">
        <f>IFERROR(IF(COUNTIFS('Candidate Tracker'!$E:$E,'Positions Tracker'!$B694,'Candidate Tracker'!$C:$C,"Offer Drop")=0,"",COUNTIFS('Candidate Tracker'!$E:$E,'Positions Tracker'!$B694,'Candidate Tracker'!$C:$C,"Offer Drop")),"")</f>
        <v/>
      </c>
      <c r="AZ694" s="80">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0.88111888111888115</v>
      </c>
      <c r="BA694" s="81" t="str">
        <f>IFERROR(IF(COUNTIFS('Candidate Tracker'!$E:$E,'Positions Tracker'!$B694,'Candidate Tracker'!$I:$I,"Female")=0,"",COUNTIFS('Candidate Tracker'!$E:$E,'Positions Tracker'!$B694,'Candidate Tracker'!$I:$I,"Female")),"")</f>
        <v/>
      </c>
      <c r="BB694" s="81" t="str">
        <f>IFERROR(IF(COUNTIFS('Candidate Tracker'!$E:$E,'Positions Tracker'!$B694,'Candidate Tracker'!$I:$I,"male")=0,"",COUNTIFS('Candidate Tracker'!$E:$E,'Positions Tracker'!$B694,'Candidate Tracker'!$I:$I,"male")),"")</f>
        <v/>
      </c>
      <c r="BC694" s="80" t="str">
        <f>IFERROR(IF(COUNTIFS('Candidate Tracker'!$E:$E,'Positions Tracker'!$B694,'Candidate Tracker'!$C:$C,"&lt;&gt;WIP",'Candidate Tracker'!$C:$C,"&lt;&gt;Hold",'Candidate Tracker'!$C:$C,"&lt;&gt;Cancelled",'Candidate Tracker'!$C:$C,"&lt;&gt;Closed")/COUNTIFS('Candidate Tracker'!$E:$E,'Positions Tracker'!$B694)=0,"",COUNTIFS('Candidate Tracker'!$E:$E,'Positions Tracker'!$B694,'Candidate Tracker'!$C:$C,"&lt;&gt;WIP",'Candidate Tracker'!$C:$C,"&lt;&gt;Hold",'Candidate Tracker'!$C:$C,"&lt;&gt;Cancelled",'Candidate Tracker'!$C:$C,"&lt;&gt;Closed")/COUNTIFS('Candidate Tracker'!$E:$E,'Positions Tracker'!$B694)),"")</f>
        <v/>
      </c>
      <c r="BD694" s="67" t="str">
        <f t="shared" si="60"/>
        <v/>
      </c>
      <c r="BE694" s="67" t="str">
        <f t="shared" si="61"/>
        <v/>
      </c>
      <c r="BF694" s="67" t="str">
        <f t="shared" si="62"/>
        <v/>
      </c>
      <c r="BG694" s="67" t="str">
        <f t="shared" si="63"/>
        <v/>
      </c>
    </row>
    <row r="695" spans="1:59">
      <c r="A695" s="55"/>
      <c r="B695" s="56"/>
      <c r="C695" s="56"/>
      <c r="D695" s="56"/>
      <c r="E695" s="56"/>
      <c r="F695" s="56"/>
      <c r="G695" s="56"/>
      <c r="H695" s="56"/>
      <c r="I695" s="6"/>
      <c r="J695" s="6"/>
      <c r="K695" s="57"/>
      <c r="L695" s="57"/>
      <c r="M695" s="57"/>
      <c r="N695" s="56"/>
      <c r="O695" s="56"/>
      <c r="P695" s="56"/>
      <c r="Q695" s="56"/>
      <c r="R695" s="56"/>
      <c r="S695" s="56"/>
      <c r="T695" s="56"/>
      <c r="U695" s="56"/>
      <c r="V695" s="56"/>
      <c r="W695" s="56"/>
      <c r="X695" s="56"/>
      <c r="Y695" s="56"/>
      <c r="Z695" s="56"/>
      <c r="AA695" s="56"/>
      <c r="AB695" s="56"/>
      <c r="AC695" s="56"/>
      <c r="AD695" s="56"/>
      <c r="AE695" s="56"/>
      <c r="AF695" s="56"/>
      <c r="AG695" s="56"/>
      <c r="AH695" s="56"/>
      <c r="AI695" s="58"/>
      <c r="AJ695" s="56"/>
      <c r="AK695" s="56"/>
      <c r="AL695" s="56"/>
      <c r="AM695" s="57"/>
      <c r="AN695" s="57"/>
      <c r="AO695" s="56"/>
      <c r="AP695" s="56"/>
      <c r="AQ695" s="57"/>
      <c r="AR695" s="57"/>
      <c r="AS695" s="57"/>
      <c r="AT695" s="67">
        <f t="shared" ca="1" si="64"/>
        <v>0</v>
      </c>
      <c r="AU695" s="79" t="str">
        <f t="shared" ca="1" si="65"/>
        <v/>
      </c>
      <c r="AV695" s="79" t="str" cm="1">
        <f t="array" aca="1" ref="AV695" ca="1">IFERROR(_xlfn.IFS($AU695="","",$AU695&lt;=15,"0-15",AND($AU695&gt;=16,$AU695&lt;=30),"16-30",AND($AU695&gt;=31,$AU695&lt;=45),"31-45",AND($AU695&gt;=46,$AU695&lt;=60),"46-60",AND($AU695&gt;=61,$AU695&lt;=90),"61-90",AND($AU695&gt;=91),"&gt; 90",AND($AU695&gt;=2000),""),"")</f>
        <v/>
      </c>
      <c r="AW695" s="79" t="str" cm="1">
        <f t="array" aca="1" ref="AW695" ca="1">IFERROR(_xlfn.IFS(OR($M695="",$AM695=""),"",OR($C695="Offered",$C695="Joined"),($AM695-$M695)-$AT695),"")</f>
        <v/>
      </c>
      <c r="AX695" s="79" t="str" cm="1">
        <f t="array" aca="1" ref="AX695" ca="1">IFERROR(_xlfn.IFS(OR($M695="",$AS695=""),"",$C695="Joined",($AS695-$M695)-$AT695),"")</f>
        <v/>
      </c>
      <c r="AY695" s="67" t="str">
        <f>IFERROR(IF(COUNTIFS('Candidate Tracker'!$E:$E,'Positions Tracker'!$B695,'Candidate Tracker'!$C:$C,"Offer Drop")=0,"",COUNTIFS('Candidate Tracker'!$E:$E,'Positions Tracker'!$B695,'Candidate Tracker'!$C:$C,"Offer Drop")),"")</f>
        <v/>
      </c>
      <c r="AZ695" s="80">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0.88111888111888115</v>
      </c>
      <c r="BA695" s="81" t="str">
        <f>IFERROR(IF(COUNTIFS('Candidate Tracker'!$E:$E,'Positions Tracker'!$B695,'Candidate Tracker'!$I:$I,"Female")=0,"",COUNTIFS('Candidate Tracker'!$E:$E,'Positions Tracker'!$B695,'Candidate Tracker'!$I:$I,"Female")),"")</f>
        <v/>
      </c>
      <c r="BB695" s="81" t="str">
        <f>IFERROR(IF(COUNTIFS('Candidate Tracker'!$E:$E,'Positions Tracker'!$B695,'Candidate Tracker'!$I:$I,"male")=0,"",COUNTIFS('Candidate Tracker'!$E:$E,'Positions Tracker'!$B695,'Candidate Tracker'!$I:$I,"male")),"")</f>
        <v/>
      </c>
      <c r="BC695" s="80" t="str">
        <f>IFERROR(IF(COUNTIFS('Candidate Tracker'!$E:$E,'Positions Tracker'!$B695,'Candidate Tracker'!$C:$C,"&lt;&gt;WIP",'Candidate Tracker'!$C:$C,"&lt;&gt;Hold",'Candidate Tracker'!$C:$C,"&lt;&gt;Cancelled",'Candidate Tracker'!$C:$C,"&lt;&gt;Closed")/COUNTIFS('Candidate Tracker'!$E:$E,'Positions Tracker'!$B695)=0,"",COUNTIFS('Candidate Tracker'!$E:$E,'Positions Tracker'!$B695,'Candidate Tracker'!$C:$C,"&lt;&gt;WIP",'Candidate Tracker'!$C:$C,"&lt;&gt;Hold",'Candidate Tracker'!$C:$C,"&lt;&gt;Cancelled",'Candidate Tracker'!$C:$C,"&lt;&gt;Closed")/COUNTIFS('Candidate Tracker'!$E:$E,'Positions Tracker'!$B695)),"")</f>
        <v/>
      </c>
      <c r="BD695" s="67" t="str">
        <f t="shared" si="60"/>
        <v/>
      </c>
      <c r="BE695" s="67" t="str">
        <f t="shared" si="61"/>
        <v/>
      </c>
      <c r="BF695" s="67" t="str">
        <f t="shared" si="62"/>
        <v/>
      </c>
      <c r="BG695" s="67" t="str">
        <f t="shared" si="63"/>
        <v/>
      </c>
    </row>
    <row r="696" spans="1:59">
      <c r="A696" s="55"/>
      <c r="B696" s="56"/>
      <c r="C696" s="56"/>
      <c r="D696" s="56"/>
      <c r="E696" s="56"/>
      <c r="F696" s="56"/>
      <c r="G696" s="56"/>
      <c r="H696" s="56"/>
      <c r="I696" s="6"/>
      <c r="J696" s="6"/>
      <c r="K696" s="57"/>
      <c r="L696" s="57"/>
      <c r="M696" s="57"/>
      <c r="N696" s="56"/>
      <c r="O696" s="56"/>
      <c r="P696" s="56"/>
      <c r="Q696" s="56"/>
      <c r="R696" s="56"/>
      <c r="S696" s="56"/>
      <c r="T696" s="56"/>
      <c r="U696" s="56"/>
      <c r="V696" s="56"/>
      <c r="W696" s="56"/>
      <c r="X696" s="56"/>
      <c r="Y696" s="56"/>
      <c r="Z696" s="56"/>
      <c r="AA696" s="56"/>
      <c r="AB696" s="56"/>
      <c r="AC696" s="56"/>
      <c r="AD696" s="56"/>
      <c r="AE696" s="56"/>
      <c r="AF696" s="56"/>
      <c r="AG696" s="56"/>
      <c r="AH696" s="56"/>
      <c r="AI696" s="58"/>
      <c r="AJ696" s="56"/>
      <c r="AK696" s="56"/>
      <c r="AL696" s="56"/>
      <c r="AM696" s="57"/>
      <c r="AN696" s="57"/>
      <c r="AO696" s="56"/>
      <c r="AP696" s="56"/>
      <c r="AQ696" s="57"/>
      <c r="AR696" s="57"/>
      <c r="AS696" s="57"/>
      <c r="AT696" s="67">
        <f t="shared" ca="1" si="64"/>
        <v>0</v>
      </c>
      <c r="AU696" s="79" t="str">
        <f t="shared" ca="1" si="65"/>
        <v/>
      </c>
      <c r="AV696" s="79" t="str" cm="1">
        <f t="array" aca="1" ref="AV696" ca="1">IFERROR(_xlfn.IFS($AU696="","",$AU696&lt;=15,"0-15",AND($AU696&gt;=16,$AU696&lt;=30),"16-30",AND($AU696&gt;=31,$AU696&lt;=45),"31-45",AND($AU696&gt;=46,$AU696&lt;=60),"46-60",AND($AU696&gt;=61,$AU696&lt;=90),"61-90",AND($AU696&gt;=91),"&gt; 90",AND($AU696&gt;=2000),""),"")</f>
        <v/>
      </c>
      <c r="AW696" s="79" t="str" cm="1">
        <f t="array" aca="1" ref="AW696" ca="1">IFERROR(_xlfn.IFS(OR($M696="",$AM696=""),"",OR($C696="Offered",$C696="Joined"),($AM696-$M696)-$AT696),"")</f>
        <v/>
      </c>
      <c r="AX696" s="79" t="str" cm="1">
        <f t="array" aca="1" ref="AX696" ca="1">IFERROR(_xlfn.IFS(OR($M696="",$AS696=""),"",$C696="Joined",($AS696-$M696)-$AT696),"")</f>
        <v/>
      </c>
      <c r="AY696" s="67" t="str">
        <f>IFERROR(IF(COUNTIFS('Candidate Tracker'!$E:$E,'Positions Tracker'!$B696,'Candidate Tracker'!$C:$C,"Offer Drop")=0,"",COUNTIFS('Candidate Tracker'!$E:$E,'Positions Tracker'!$B696,'Candidate Tracker'!$C:$C,"Offer Drop")),"")</f>
        <v/>
      </c>
      <c r="AZ696" s="80">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0.88111888111888115</v>
      </c>
      <c r="BA696" s="81" t="str">
        <f>IFERROR(IF(COUNTIFS('Candidate Tracker'!$E:$E,'Positions Tracker'!$B696,'Candidate Tracker'!$I:$I,"Female")=0,"",COUNTIFS('Candidate Tracker'!$E:$E,'Positions Tracker'!$B696,'Candidate Tracker'!$I:$I,"Female")),"")</f>
        <v/>
      </c>
      <c r="BB696" s="81" t="str">
        <f>IFERROR(IF(COUNTIFS('Candidate Tracker'!$E:$E,'Positions Tracker'!$B696,'Candidate Tracker'!$I:$I,"male")=0,"",COUNTIFS('Candidate Tracker'!$E:$E,'Positions Tracker'!$B696,'Candidate Tracker'!$I:$I,"male")),"")</f>
        <v/>
      </c>
      <c r="BC696" s="80" t="str">
        <f>IFERROR(IF(COUNTIFS('Candidate Tracker'!$E:$E,'Positions Tracker'!$B696,'Candidate Tracker'!$C:$C,"&lt;&gt;WIP",'Candidate Tracker'!$C:$C,"&lt;&gt;Hold",'Candidate Tracker'!$C:$C,"&lt;&gt;Cancelled",'Candidate Tracker'!$C:$C,"&lt;&gt;Closed")/COUNTIFS('Candidate Tracker'!$E:$E,'Positions Tracker'!$B696)=0,"",COUNTIFS('Candidate Tracker'!$E:$E,'Positions Tracker'!$B696,'Candidate Tracker'!$C:$C,"&lt;&gt;WIP",'Candidate Tracker'!$C:$C,"&lt;&gt;Hold",'Candidate Tracker'!$C:$C,"&lt;&gt;Cancelled",'Candidate Tracker'!$C:$C,"&lt;&gt;Closed")/COUNTIFS('Candidate Tracker'!$E:$E,'Positions Tracker'!$B696)),"")</f>
        <v/>
      </c>
      <c r="BD696" s="67" t="str">
        <f t="shared" si="60"/>
        <v/>
      </c>
      <c r="BE696" s="67" t="str">
        <f t="shared" si="61"/>
        <v/>
      </c>
      <c r="BF696" s="67" t="str">
        <f t="shared" si="62"/>
        <v/>
      </c>
      <c r="BG696" s="67" t="str">
        <f t="shared" si="63"/>
        <v/>
      </c>
    </row>
    <row r="697" spans="1:59">
      <c r="A697" s="55"/>
      <c r="B697" s="56"/>
      <c r="C697" s="56"/>
      <c r="D697" s="56"/>
      <c r="E697" s="56"/>
      <c r="F697" s="56"/>
      <c r="G697" s="56"/>
      <c r="H697" s="56"/>
      <c r="I697" s="6"/>
      <c r="J697" s="6"/>
      <c r="K697" s="57"/>
      <c r="L697" s="57"/>
      <c r="M697" s="57"/>
      <c r="N697" s="56"/>
      <c r="O697" s="56"/>
      <c r="P697" s="56"/>
      <c r="Q697" s="56"/>
      <c r="R697" s="56"/>
      <c r="S697" s="56"/>
      <c r="T697" s="56"/>
      <c r="U697" s="56"/>
      <c r="V697" s="56"/>
      <c r="W697" s="56"/>
      <c r="X697" s="56"/>
      <c r="Y697" s="56"/>
      <c r="Z697" s="56"/>
      <c r="AA697" s="56"/>
      <c r="AB697" s="56"/>
      <c r="AC697" s="56"/>
      <c r="AD697" s="56"/>
      <c r="AE697" s="56"/>
      <c r="AF697" s="56"/>
      <c r="AG697" s="56"/>
      <c r="AH697" s="56"/>
      <c r="AI697" s="58"/>
      <c r="AJ697" s="56"/>
      <c r="AK697" s="56"/>
      <c r="AL697" s="56"/>
      <c r="AM697" s="57"/>
      <c r="AN697" s="57"/>
      <c r="AO697" s="56"/>
      <c r="AP697" s="56"/>
      <c r="AQ697" s="57"/>
      <c r="AR697" s="57"/>
      <c r="AS697" s="57"/>
      <c r="AT697" s="67">
        <f t="shared" ca="1" si="64"/>
        <v>0</v>
      </c>
      <c r="AU697" s="79" t="str">
        <f t="shared" ca="1" si="65"/>
        <v/>
      </c>
      <c r="AV697" s="79" t="str" cm="1">
        <f t="array" aca="1" ref="AV697" ca="1">IFERROR(_xlfn.IFS($AU697="","",$AU697&lt;=15,"0-15",AND($AU697&gt;=16,$AU697&lt;=30),"16-30",AND($AU697&gt;=31,$AU697&lt;=45),"31-45",AND($AU697&gt;=46,$AU697&lt;=60),"46-60",AND($AU697&gt;=61,$AU697&lt;=90),"61-90",AND($AU697&gt;=91),"&gt; 90",AND($AU697&gt;=2000),""),"")</f>
        <v/>
      </c>
      <c r="AW697" s="79" t="str" cm="1">
        <f t="array" aca="1" ref="AW697" ca="1">IFERROR(_xlfn.IFS(OR($M697="",$AM697=""),"",OR($C697="Offered",$C697="Joined"),($AM697-$M697)-$AT697),"")</f>
        <v/>
      </c>
      <c r="AX697" s="79" t="str" cm="1">
        <f t="array" aca="1" ref="AX697" ca="1">IFERROR(_xlfn.IFS(OR($M697="",$AS697=""),"",$C697="Joined",($AS697-$M697)-$AT697),"")</f>
        <v/>
      </c>
      <c r="AY697" s="67" t="str">
        <f>IFERROR(IF(COUNTIFS('Candidate Tracker'!$E:$E,'Positions Tracker'!$B697,'Candidate Tracker'!$C:$C,"Offer Drop")=0,"",COUNTIFS('Candidate Tracker'!$E:$E,'Positions Tracker'!$B697,'Candidate Tracker'!$C:$C,"Offer Drop")),"")</f>
        <v/>
      </c>
      <c r="AZ697" s="80">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0.88111888111888115</v>
      </c>
      <c r="BA697" s="81" t="str">
        <f>IFERROR(IF(COUNTIFS('Candidate Tracker'!$E:$E,'Positions Tracker'!$B697,'Candidate Tracker'!$I:$I,"Female")=0,"",COUNTIFS('Candidate Tracker'!$E:$E,'Positions Tracker'!$B697,'Candidate Tracker'!$I:$I,"Female")),"")</f>
        <v/>
      </c>
      <c r="BB697" s="81" t="str">
        <f>IFERROR(IF(COUNTIFS('Candidate Tracker'!$E:$E,'Positions Tracker'!$B697,'Candidate Tracker'!$I:$I,"male")=0,"",COUNTIFS('Candidate Tracker'!$E:$E,'Positions Tracker'!$B697,'Candidate Tracker'!$I:$I,"male")),"")</f>
        <v/>
      </c>
      <c r="BC697" s="80" t="str">
        <f>IFERROR(IF(COUNTIFS('Candidate Tracker'!$E:$E,'Positions Tracker'!$B697,'Candidate Tracker'!$C:$C,"&lt;&gt;WIP",'Candidate Tracker'!$C:$C,"&lt;&gt;Hold",'Candidate Tracker'!$C:$C,"&lt;&gt;Cancelled",'Candidate Tracker'!$C:$C,"&lt;&gt;Closed")/COUNTIFS('Candidate Tracker'!$E:$E,'Positions Tracker'!$B697)=0,"",COUNTIFS('Candidate Tracker'!$E:$E,'Positions Tracker'!$B697,'Candidate Tracker'!$C:$C,"&lt;&gt;WIP",'Candidate Tracker'!$C:$C,"&lt;&gt;Hold",'Candidate Tracker'!$C:$C,"&lt;&gt;Cancelled",'Candidate Tracker'!$C:$C,"&lt;&gt;Closed")/COUNTIFS('Candidate Tracker'!$E:$E,'Positions Tracker'!$B697)),"")</f>
        <v/>
      </c>
      <c r="BD697" s="67" t="str">
        <f t="shared" si="60"/>
        <v/>
      </c>
      <c r="BE697" s="67" t="str">
        <f t="shared" si="61"/>
        <v/>
      </c>
      <c r="BF697" s="67" t="str">
        <f t="shared" si="62"/>
        <v/>
      </c>
      <c r="BG697" s="67" t="str">
        <f t="shared" si="63"/>
        <v/>
      </c>
    </row>
    <row r="698" spans="1:59">
      <c r="A698" s="55"/>
      <c r="B698" s="56"/>
      <c r="C698" s="56"/>
      <c r="D698" s="56"/>
      <c r="E698" s="56"/>
      <c r="F698" s="56"/>
      <c r="G698" s="56"/>
      <c r="H698" s="56"/>
      <c r="I698" s="6"/>
      <c r="J698" s="6"/>
      <c r="K698" s="57"/>
      <c r="L698" s="57"/>
      <c r="M698" s="57"/>
      <c r="N698" s="56"/>
      <c r="O698" s="56"/>
      <c r="P698" s="56"/>
      <c r="Q698" s="56"/>
      <c r="R698" s="56"/>
      <c r="S698" s="56"/>
      <c r="T698" s="56"/>
      <c r="U698" s="56"/>
      <c r="V698" s="56"/>
      <c r="W698" s="56"/>
      <c r="X698" s="56"/>
      <c r="Y698" s="56"/>
      <c r="Z698" s="56"/>
      <c r="AA698" s="56"/>
      <c r="AB698" s="56"/>
      <c r="AC698" s="56"/>
      <c r="AD698" s="56"/>
      <c r="AE698" s="56"/>
      <c r="AF698" s="56"/>
      <c r="AG698" s="56"/>
      <c r="AH698" s="56"/>
      <c r="AI698" s="58"/>
      <c r="AJ698" s="56"/>
      <c r="AK698" s="56"/>
      <c r="AL698" s="56"/>
      <c r="AM698" s="57"/>
      <c r="AN698" s="57"/>
      <c r="AO698" s="56"/>
      <c r="AP698" s="56"/>
      <c r="AQ698" s="57"/>
      <c r="AR698" s="57"/>
      <c r="AS698" s="57"/>
      <c r="AT698" s="67">
        <f t="shared" ca="1" si="64"/>
        <v>0</v>
      </c>
      <c r="AU698" s="79" t="str">
        <f t="shared" ca="1" si="65"/>
        <v/>
      </c>
      <c r="AV698" s="79" t="str" cm="1">
        <f t="array" aca="1" ref="AV698" ca="1">IFERROR(_xlfn.IFS($AU698="","",$AU698&lt;=15,"0-15",AND($AU698&gt;=16,$AU698&lt;=30),"16-30",AND($AU698&gt;=31,$AU698&lt;=45),"31-45",AND($AU698&gt;=46,$AU698&lt;=60),"46-60",AND($AU698&gt;=61,$AU698&lt;=90),"61-90",AND($AU698&gt;=91),"&gt; 90",AND($AU698&gt;=2000),""),"")</f>
        <v/>
      </c>
      <c r="AW698" s="79" t="str" cm="1">
        <f t="array" aca="1" ref="AW698" ca="1">IFERROR(_xlfn.IFS(OR($M698="",$AM698=""),"",OR($C698="Offered",$C698="Joined"),($AM698-$M698)-$AT698),"")</f>
        <v/>
      </c>
      <c r="AX698" s="79" t="str" cm="1">
        <f t="array" aca="1" ref="AX698" ca="1">IFERROR(_xlfn.IFS(OR($M698="",$AS698=""),"",$C698="Joined",($AS698-$M698)-$AT698),"")</f>
        <v/>
      </c>
      <c r="AY698" s="67" t="str">
        <f>IFERROR(IF(COUNTIFS('Candidate Tracker'!$E:$E,'Positions Tracker'!$B698,'Candidate Tracker'!$C:$C,"Offer Drop")=0,"",COUNTIFS('Candidate Tracker'!$E:$E,'Positions Tracker'!$B698,'Candidate Tracker'!$C:$C,"Offer Drop")),"")</f>
        <v/>
      </c>
      <c r="AZ698" s="80">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0.88111888111888115</v>
      </c>
      <c r="BA698" s="81" t="str">
        <f>IFERROR(IF(COUNTIFS('Candidate Tracker'!$E:$E,'Positions Tracker'!$B698,'Candidate Tracker'!$I:$I,"Female")=0,"",COUNTIFS('Candidate Tracker'!$E:$E,'Positions Tracker'!$B698,'Candidate Tracker'!$I:$I,"Female")),"")</f>
        <v/>
      </c>
      <c r="BB698" s="81" t="str">
        <f>IFERROR(IF(COUNTIFS('Candidate Tracker'!$E:$E,'Positions Tracker'!$B698,'Candidate Tracker'!$I:$I,"male")=0,"",COUNTIFS('Candidate Tracker'!$E:$E,'Positions Tracker'!$B698,'Candidate Tracker'!$I:$I,"male")),"")</f>
        <v/>
      </c>
      <c r="BC698" s="80" t="str">
        <f>IFERROR(IF(COUNTIFS('Candidate Tracker'!$E:$E,'Positions Tracker'!$B698,'Candidate Tracker'!$C:$C,"&lt;&gt;WIP",'Candidate Tracker'!$C:$C,"&lt;&gt;Hold",'Candidate Tracker'!$C:$C,"&lt;&gt;Cancelled",'Candidate Tracker'!$C:$C,"&lt;&gt;Closed")/COUNTIFS('Candidate Tracker'!$E:$E,'Positions Tracker'!$B698)=0,"",COUNTIFS('Candidate Tracker'!$E:$E,'Positions Tracker'!$B698,'Candidate Tracker'!$C:$C,"&lt;&gt;WIP",'Candidate Tracker'!$C:$C,"&lt;&gt;Hold",'Candidate Tracker'!$C:$C,"&lt;&gt;Cancelled",'Candidate Tracker'!$C:$C,"&lt;&gt;Closed")/COUNTIFS('Candidate Tracker'!$E:$E,'Positions Tracker'!$B698)),"")</f>
        <v/>
      </c>
      <c r="BD698" s="67" t="str">
        <f t="shared" si="60"/>
        <v/>
      </c>
      <c r="BE698" s="67" t="str">
        <f t="shared" si="61"/>
        <v/>
      </c>
      <c r="BF698" s="67" t="str">
        <f t="shared" si="62"/>
        <v/>
      </c>
      <c r="BG698" s="67" t="str">
        <f t="shared" si="63"/>
        <v/>
      </c>
    </row>
    <row r="699" spans="1:59">
      <c r="A699" s="55"/>
      <c r="B699" s="56"/>
      <c r="C699" s="56"/>
      <c r="D699" s="56"/>
      <c r="E699" s="56"/>
      <c r="F699" s="56"/>
      <c r="G699" s="56"/>
      <c r="H699" s="56"/>
      <c r="I699" s="6"/>
      <c r="J699" s="6"/>
      <c r="K699" s="57"/>
      <c r="L699" s="57"/>
      <c r="M699" s="57"/>
      <c r="N699" s="56"/>
      <c r="O699" s="56"/>
      <c r="P699" s="56"/>
      <c r="Q699" s="56"/>
      <c r="R699" s="56"/>
      <c r="S699" s="56"/>
      <c r="T699" s="56"/>
      <c r="U699" s="56"/>
      <c r="V699" s="56"/>
      <c r="W699" s="56"/>
      <c r="X699" s="56"/>
      <c r="Y699" s="56"/>
      <c r="Z699" s="56"/>
      <c r="AA699" s="56"/>
      <c r="AB699" s="56"/>
      <c r="AC699" s="56"/>
      <c r="AD699" s="56"/>
      <c r="AE699" s="56"/>
      <c r="AF699" s="56"/>
      <c r="AG699" s="56"/>
      <c r="AH699" s="56"/>
      <c r="AI699" s="58"/>
      <c r="AJ699" s="56"/>
      <c r="AK699" s="56"/>
      <c r="AL699" s="56"/>
      <c r="AM699" s="57"/>
      <c r="AN699" s="57"/>
      <c r="AO699" s="56"/>
      <c r="AP699" s="56"/>
      <c r="AQ699" s="57"/>
      <c r="AR699" s="57"/>
      <c r="AS699" s="57"/>
      <c r="AT699" s="67">
        <f t="shared" ca="1" si="64"/>
        <v>0</v>
      </c>
      <c r="AU699" s="79" t="str">
        <f t="shared" ca="1" si="65"/>
        <v/>
      </c>
      <c r="AV699" s="79" t="str" cm="1">
        <f t="array" aca="1" ref="AV699" ca="1">IFERROR(_xlfn.IFS($AU699="","",$AU699&lt;=15,"0-15",AND($AU699&gt;=16,$AU699&lt;=30),"16-30",AND($AU699&gt;=31,$AU699&lt;=45),"31-45",AND($AU699&gt;=46,$AU699&lt;=60),"46-60",AND($AU699&gt;=61,$AU699&lt;=90),"61-90",AND($AU699&gt;=91),"&gt; 90",AND($AU699&gt;=2000),""),"")</f>
        <v/>
      </c>
      <c r="AW699" s="79" t="str" cm="1">
        <f t="array" aca="1" ref="AW699" ca="1">IFERROR(_xlfn.IFS(OR($M699="",$AM699=""),"",OR($C699="Offered",$C699="Joined"),($AM699-$M699)-$AT699),"")</f>
        <v/>
      </c>
      <c r="AX699" s="79" t="str" cm="1">
        <f t="array" aca="1" ref="AX699" ca="1">IFERROR(_xlfn.IFS(OR($M699="",$AS699=""),"",$C699="Joined",($AS699-$M699)-$AT699),"")</f>
        <v/>
      </c>
      <c r="AY699" s="67" t="str">
        <f>IFERROR(IF(COUNTIFS('Candidate Tracker'!$E:$E,'Positions Tracker'!$B699,'Candidate Tracker'!$C:$C,"Offer Drop")=0,"",COUNTIFS('Candidate Tracker'!$E:$E,'Positions Tracker'!$B699,'Candidate Tracker'!$C:$C,"Offer Drop")),"")</f>
        <v/>
      </c>
      <c r="AZ699" s="80">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0.88111888111888115</v>
      </c>
      <c r="BA699" s="81" t="str">
        <f>IFERROR(IF(COUNTIFS('Candidate Tracker'!$E:$E,'Positions Tracker'!$B699,'Candidate Tracker'!$I:$I,"Female")=0,"",COUNTIFS('Candidate Tracker'!$E:$E,'Positions Tracker'!$B699,'Candidate Tracker'!$I:$I,"Female")),"")</f>
        <v/>
      </c>
      <c r="BB699" s="81" t="str">
        <f>IFERROR(IF(COUNTIFS('Candidate Tracker'!$E:$E,'Positions Tracker'!$B699,'Candidate Tracker'!$I:$I,"male")=0,"",COUNTIFS('Candidate Tracker'!$E:$E,'Positions Tracker'!$B699,'Candidate Tracker'!$I:$I,"male")),"")</f>
        <v/>
      </c>
      <c r="BC699" s="80" t="str">
        <f>IFERROR(IF(COUNTIFS('Candidate Tracker'!$E:$E,'Positions Tracker'!$B699,'Candidate Tracker'!$C:$C,"&lt;&gt;WIP",'Candidate Tracker'!$C:$C,"&lt;&gt;Hold",'Candidate Tracker'!$C:$C,"&lt;&gt;Cancelled",'Candidate Tracker'!$C:$C,"&lt;&gt;Closed")/COUNTIFS('Candidate Tracker'!$E:$E,'Positions Tracker'!$B699)=0,"",COUNTIFS('Candidate Tracker'!$E:$E,'Positions Tracker'!$B699,'Candidate Tracker'!$C:$C,"&lt;&gt;WIP",'Candidate Tracker'!$C:$C,"&lt;&gt;Hold",'Candidate Tracker'!$C:$C,"&lt;&gt;Cancelled",'Candidate Tracker'!$C:$C,"&lt;&gt;Closed")/COUNTIFS('Candidate Tracker'!$E:$E,'Positions Tracker'!$B699)),"")</f>
        <v/>
      </c>
      <c r="BD699" s="67" t="str">
        <f t="shared" si="60"/>
        <v/>
      </c>
      <c r="BE699" s="67" t="str">
        <f t="shared" si="61"/>
        <v/>
      </c>
      <c r="BF699" s="67" t="str">
        <f t="shared" si="62"/>
        <v/>
      </c>
      <c r="BG699" s="67" t="str">
        <f t="shared" si="63"/>
        <v/>
      </c>
    </row>
    <row r="700" spans="1:59">
      <c r="A700" s="55"/>
      <c r="B700" s="56"/>
      <c r="C700" s="56"/>
      <c r="D700" s="56"/>
      <c r="E700" s="56"/>
      <c r="F700" s="56"/>
      <c r="G700" s="56"/>
      <c r="H700" s="56"/>
      <c r="I700" s="6"/>
      <c r="J700" s="6"/>
      <c r="K700" s="57"/>
      <c r="L700" s="57"/>
      <c r="M700" s="57"/>
      <c r="N700" s="56"/>
      <c r="O700" s="56"/>
      <c r="P700" s="56"/>
      <c r="Q700" s="56"/>
      <c r="R700" s="56"/>
      <c r="S700" s="56"/>
      <c r="T700" s="56"/>
      <c r="U700" s="56"/>
      <c r="V700" s="56"/>
      <c r="W700" s="56"/>
      <c r="X700" s="56"/>
      <c r="Y700" s="56"/>
      <c r="Z700" s="56"/>
      <c r="AA700" s="56"/>
      <c r="AB700" s="56"/>
      <c r="AC700" s="56"/>
      <c r="AD700" s="56"/>
      <c r="AE700" s="56"/>
      <c r="AF700" s="56"/>
      <c r="AG700" s="56"/>
      <c r="AH700" s="56"/>
      <c r="AI700" s="58"/>
      <c r="AJ700" s="56"/>
      <c r="AK700" s="56"/>
      <c r="AL700" s="56"/>
      <c r="AM700" s="57"/>
      <c r="AN700" s="57"/>
      <c r="AO700" s="56"/>
      <c r="AP700" s="56"/>
      <c r="AQ700" s="57"/>
      <c r="AR700" s="57"/>
      <c r="AS700" s="57"/>
      <c r="AT700" s="67">
        <f t="shared" ca="1" si="64"/>
        <v>0</v>
      </c>
      <c r="AU700" s="79" t="str">
        <f t="shared" ca="1" si="65"/>
        <v/>
      </c>
      <c r="AV700" s="79" t="str" cm="1">
        <f t="array" aca="1" ref="AV700" ca="1">IFERROR(_xlfn.IFS($AU700="","",$AU700&lt;=15,"0-15",AND($AU700&gt;=16,$AU700&lt;=30),"16-30",AND($AU700&gt;=31,$AU700&lt;=45),"31-45",AND($AU700&gt;=46,$AU700&lt;=60),"46-60",AND($AU700&gt;=61,$AU700&lt;=90),"61-90",AND($AU700&gt;=91),"&gt; 90",AND($AU700&gt;=2000),""),"")</f>
        <v/>
      </c>
      <c r="AW700" s="79" t="str" cm="1">
        <f t="array" aca="1" ref="AW700" ca="1">IFERROR(_xlfn.IFS(OR($M700="",$AM700=""),"",OR($C700="Offered",$C700="Joined"),($AM700-$M700)-$AT700),"")</f>
        <v/>
      </c>
      <c r="AX700" s="79" t="str" cm="1">
        <f t="array" aca="1" ref="AX700" ca="1">IFERROR(_xlfn.IFS(OR($M700="",$AS700=""),"",$C700="Joined",($AS700-$M700)-$AT700),"")</f>
        <v/>
      </c>
      <c r="AY700" s="67" t="str">
        <f>IFERROR(IF(COUNTIFS('Candidate Tracker'!$E:$E,'Positions Tracker'!$B700,'Candidate Tracker'!$C:$C,"Offer Drop")=0,"",COUNTIFS('Candidate Tracker'!$E:$E,'Positions Tracker'!$B700,'Candidate Tracker'!$C:$C,"Offer Drop")),"")</f>
        <v/>
      </c>
      <c r="AZ700" s="80">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0.88111888111888115</v>
      </c>
      <c r="BA700" s="81" t="str">
        <f>IFERROR(IF(COUNTIFS('Candidate Tracker'!$E:$E,'Positions Tracker'!$B700,'Candidate Tracker'!$I:$I,"Female")=0,"",COUNTIFS('Candidate Tracker'!$E:$E,'Positions Tracker'!$B700,'Candidate Tracker'!$I:$I,"Female")),"")</f>
        <v/>
      </c>
      <c r="BB700" s="81" t="str">
        <f>IFERROR(IF(COUNTIFS('Candidate Tracker'!$E:$E,'Positions Tracker'!$B700,'Candidate Tracker'!$I:$I,"male")=0,"",COUNTIFS('Candidate Tracker'!$E:$E,'Positions Tracker'!$B700,'Candidate Tracker'!$I:$I,"male")),"")</f>
        <v/>
      </c>
      <c r="BC700" s="80" t="str">
        <f>IFERROR(IF(COUNTIFS('Candidate Tracker'!$E:$E,'Positions Tracker'!$B700,'Candidate Tracker'!$C:$C,"&lt;&gt;WIP",'Candidate Tracker'!$C:$C,"&lt;&gt;Hold",'Candidate Tracker'!$C:$C,"&lt;&gt;Cancelled",'Candidate Tracker'!$C:$C,"&lt;&gt;Closed")/COUNTIFS('Candidate Tracker'!$E:$E,'Positions Tracker'!$B700)=0,"",COUNTIFS('Candidate Tracker'!$E:$E,'Positions Tracker'!$B700,'Candidate Tracker'!$C:$C,"&lt;&gt;WIP",'Candidate Tracker'!$C:$C,"&lt;&gt;Hold",'Candidate Tracker'!$C:$C,"&lt;&gt;Cancelled",'Candidate Tracker'!$C:$C,"&lt;&gt;Closed")/COUNTIFS('Candidate Tracker'!$E:$E,'Positions Tracker'!$B700)),"")</f>
        <v/>
      </c>
      <c r="BD700" s="67" t="str">
        <f t="shared" si="60"/>
        <v/>
      </c>
      <c r="BE700" s="67" t="str">
        <f t="shared" si="61"/>
        <v/>
      </c>
      <c r="BF700" s="67" t="str">
        <f t="shared" si="62"/>
        <v/>
      </c>
      <c r="BG700" s="67" t="str">
        <f t="shared" si="63"/>
        <v/>
      </c>
    </row>
    <row r="701" spans="1:59">
      <c r="A701" s="55"/>
      <c r="B701" s="56"/>
      <c r="C701" s="56"/>
      <c r="D701" s="56"/>
      <c r="E701" s="56"/>
      <c r="F701" s="56"/>
      <c r="G701" s="56"/>
      <c r="H701" s="56"/>
      <c r="I701" s="6"/>
      <c r="J701" s="6"/>
      <c r="K701" s="57"/>
      <c r="L701" s="57"/>
      <c r="M701" s="57"/>
      <c r="N701" s="56"/>
      <c r="O701" s="56"/>
      <c r="P701" s="56"/>
      <c r="Q701" s="56"/>
      <c r="R701" s="56"/>
      <c r="S701" s="56"/>
      <c r="T701" s="56"/>
      <c r="U701" s="56"/>
      <c r="V701" s="56"/>
      <c r="W701" s="56"/>
      <c r="X701" s="56"/>
      <c r="Y701" s="56"/>
      <c r="Z701" s="56"/>
      <c r="AA701" s="56"/>
      <c r="AB701" s="56"/>
      <c r="AC701" s="56"/>
      <c r="AD701" s="56"/>
      <c r="AE701" s="56"/>
      <c r="AF701" s="56"/>
      <c r="AG701" s="56"/>
      <c r="AH701" s="56"/>
      <c r="AI701" s="58"/>
      <c r="AJ701" s="56"/>
      <c r="AK701" s="56"/>
      <c r="AL701" s="56"/>
      <c r="AM701" s="57"/>
      <c r="AN701" s="57"/>
      <c r="AO701" s="56"/>
      <c r="AP701" s="56"/>
      <c r="AQ701" s="57"/>
      <c r="AR701" s="57"/>
      <c r="AS701" s="57"/>
      <c r="AT701" s="67">
        <f t="shared" ca="1" si="64"/>
        <v>0</v>
      </c>
      <c r="AU701" s="79" t="str">
        <f t="shared" ca="1" si="65"/>
        <v/>
      </c>
      <c r="AV701" s="79" t="str" cm="1">
        <f t="array" aca="1" ref="AV701" ca="1">IFERROR(_xlfn.IFS($AU701="","",$AU701&lt;=15,"0-15",AND($AU701&gt;=16,$AU701&lt;=30),"16-30",AND($AU701&gt;=31,$AU701&lt;=45),"31-45",AND($AU701&gt;=46,$AU701&lt;=60),"46-60",AND($AU701&gt;=61,$AU701&lt;=90),"61-90",AND($AU701&gt;=91),"&gt; 90",AND($AU701&gt;=2000),""),"")</f>
        <v/>
      </c>
      <c r="AW701" s="79" t="str" cm="1">
        <f t="array" aca="1" ref="AW701" ca="1">IFERROR(_xlfn.IFS(OR($M701="",$AM701=""),"",OR($C701="Offered",$C701="Joined"),($AM701-$M701)-$AT701),"")</f>
        <v/>
      </c>
      <c r="AX701" s="79" t="str" cm="1">
        <f t="array" aca="1" ref="AX701" ca="1">IFERROR(_xlfn.IFS(OR($M701="",$AS701=""),"",$C701="Joined",($AS701-$M701)-$AT701),"")</f>
        <v/>
      </c>
      <c r="AY701" s="67" t="str">
        <f>IFERROR(IF(COUNTIFS('Candidate Tracker'!$E:$E,'Positions Tracker'!$B701,'Candidate Tracker'!$C:$C,"Offer Drop")=0,"",COUNTIFS('Candidate Tracker'!$E:$E,'Positions Tracker'!$B701,'Candidate Tracker'!$C:$C,"Offer Drop")),"")</f>
        <v/>
      </c>
      <c r="AZ701" s="80">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0.88111888111888115</v>
      </c>
      <c r="BA701" s="81" t="str">
        <f>IFERROR(IF(COUNTIFS('Candidate Tracker'!$E:$E,'Positions Tracker'!$B701,'Candidate Tracker'!$I:$I,"Female")=0,"",COUNTIFS('Candidate Tracker'!$E:$E,'Positions Tracker'!$B701,'Candidate Tracker'!$I:$I,"Female")),"")</f>
        <v/>
      </c>
      <c r="BB701" s="81" t="str">
        <f>IFERROR(IF(COUNTIFS('Candidate Tracker'!$E:$E,'Positions Tracker'!$B701,'Candidate Tracker'!$I:$I,"male")=0,"",COUNTIFS('Candidate Tracker'!$E:$E,'Positions Tracker'!$B701,'Candidate Tracker'!$I:$I,"male")),"")</f>
        <v/>
      </c>
      <c r="BC701" s="80" t="str">
        <f>IFERROR(IF(COUNTIFS('Candidate Tracker'!$E:$E,'Positions Tracker'!$B701,'Candidate Tracker'!$C:$C,"&lt;&gt;WIP",'Candidate Tracker'!$C:$C,"&lt;&gt;Hold",'Candidate Tracker'!$C:$C,"&lt;&gt;Cancelled",'Candidate Tracker'!$C:$C,"&lt;&gt;Closed")/COUNTIFS('Candidate Tracker'!$E:$E,'Positions Tracker'!$B701)=0,"",COUNTIFS('Candidate Tracker'!$E:$E,'Positions Tracker'!$B701,'Candidate Tracker'!$C:$C,"&lt;&gt;WIP",'Candidate Tracker'!$C:$C,"&lt;&gt;Hold",'Candidate Tracker'!$C:$C,"&lt;&gt;Cancelled",'Candidate Tracker'!$C:$C,"&lt;&gt;Closed")/COUNTIFS('Candidate Tracker'!$E:$E,'Positions Tracker'!$B701)),"")</f>
        <v/>
      </c>
      <c r="BD701" s="67" t="str">
        <f t="shared" si="60"/>
        <v/>
      </c>
      <c r="BE701" s="67" t="str">
        <f t="shared" si="61"/>
        <v/>
      </c>
      <c r="BF701" s="67" t="str">
        <f t="shared" si="62"/>
        <v/>
      </c>
      <c r="BG701" s="67" t="str">
        <f t="shared" si="63"/>
        <v/>
      </c>
    </row>
    <row r="702" spans="1:59">
      <c r="A702" s="55"/>
      <c r="B702" s="56"/>
      <c r="C702" s="56"/>
      <c r="D702" s="56"/>
      <c r="E702" s="56"/>
      <c r="F702" s="56"/>
      <c r="G702" s="56"/>
      <c r="H702" s="56"/>
      <c r="I702" s="6"/>
      <c r="J702" s="6"/>
      <c r="K702" s="57"/>
      <c r="L702" s="57"/>
      <c r="M702" s="57"/>
      <c r="N702" s="56"/>
      <c r="O702" s="56"/>
      <c r="P702" s="56"/>
      <c r="Q702" s="56"/>
      <c r="R702" s="56"/>
      <c r="S702" s="56"/>
      <c r="T702" s="56"/>
      <c r="U702" s="56"/>
      <c r="V702" s="56"/>
      <c r="W702" s="56"/>
      <c r="X702" s="56"/>
      <c r="Y702" s="56"/>
      <c r="Z702" s="56"/>
      <c r="AA702" s="56"/>
      <c r="AB702" s="56"/>
      <c r="AC702" s="56"/>
      <c r="AD702" s="56"/>
      <c r="AE702" s="56"/>
      <c r="AF702" s="56"/>
      <c r="AG702" s="56"/>
      <c r="AH702" s="56"/>
      <c r="AI702" s="58"/>
      <c r="AJ702" s="56"/>
      <c r="AK702" s="56"/>
      <c r="AL702" s="56"/>
      <c r="AM702" s="57"/>
      <c r="AN702" s="57"/>
      <c r="AO702" s="56"/>
      <c r="AP702" s="56"/>
      <c r="AQ702" s="57"/>
      <c r="AR702" s="57"/>
      <c r="AS702" s="57"/>
      <c r="AT702" s="67">
        <f t="shared" ca="1" si="64"/>
        <v>0</v>
      </c>
      <c r="AU702" s="79" t="str">
        <f t="shared" ca="1" si="65"/>
        <v/>
      </c>
      <c r="AV702" s="79" t="str" cm="1">
        <f t="array" aca="1" ref="AV702" ca="1">IFERROR(_xlfn.IFS($AU702="","",$AU702&lt;=15,"0-15",AND($AU702&gt;=16,$AU702&lt;=30),"16-30",AND($AU702&gt;=31,$AU702&lt;=45),"31-45",AND($AU702&gt;=46,$AU702&lt;=60),"46-60",AND($AU702&gt;=61,$AU702&lt;=90),"61-90",AND($AU702&gt;=91),"&gt; 90",AND($AU702&gt;=2000),""),"")</f>
        <v/>
      </c>
      <c r="AW702" s="79" t="str" cm="1">
        <f t="array" aca="1" ref="AW702" ca="1">IFERROR(_xlfn.IFS(OR($M702="",$AM702=""),"",OR($C702="Offered",$C702="Joined"),($AM702-$M702)-$AT702),"")</f>
        <v/>
      </c>
      <c r="AX702" s="79" t="str" cm="1">
        <f t="array" aca="1" ref="AX702" ca="1">IFERROR(_xlfn.IFS(OR($M702="",$AS702=""),"",$C702="Joined",($AS702-$M702)-$AT702),"")</f>
        <v/>
      </c>
      <c r="AY702" s="67" t="str">
        <f>IFERROR(IF(COUNTIFS('Candidate Tracker'!$E:$E,'Positions Tracker'!$B702,'Candidate Tracker'!$C:$C,"Offer Drop")=0,"",COUNTIFS('Candidate Tracker'!$E:$E,'Positions Tracker'!$B702,'Candidate Tracker'!$C:$C,"Offer Drop")),"")</f>
        <v/>
      </c>
      <c r="AZ702" s="80">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0.88111888111888115</v>
      </c>
      <c r="BA702" s="81" t="str">
        <f>IFERROR(IF(COUNTIFS('Candidate Tracker'!$E:$E,'Positions Tracker'!$B702,'Candidate Tracker'!$I:$I,"Female")=0,"",COUNTIFS('Candidate Tracker'!$E:$E,'Positions Tracker'!$B702,'Candidate Tracker'!$I:$I,"Female")),"")</f>
        <v/>
      </c>
      <c r="BB702" s="81" t="str">
        <f>IFERROR(IF(COUNTIFS('Candidate Tracker'!$E:$E,'Positions Tracker'!$B702,'Candidate Tracker'!$I:$I,"male")=0,"",COUNTIFS('Candidate Tracker'!$E:$E,'Positions Tracker'!$B702,'Candidate Tracker'!$I:$I,"male")),"")</f>
        <v/>
      </c>
      <c r="BC702" s="80" t="str">
        <f>IFERROR(IF(COUNTIFS('Candidate Tracker'!$E:$E,'Positions Tracker'!$B702,'Candidate Tracker'!$C:$C,"&lt;&gt;WIP",'Candidate Tracker'!$C:$C,"&lt;&gt;Hold",'Candidate Tracker'!$C:$C,"&lt;&gt;Cancelled",'Candidate Tracker'!$C:$C,"&lt;&gt;Closed")/COUNTIFS('Candidate Tracker'!$E:$E,'Positions Tracker'!$B702)=0,"",COUNTIFS('Candidate Tracker'!$E:$E,'Positions Tracker'!$B702,'Candidate Tracker'!$C:$C,"&lt;&gt;WIP",'Candidate Tracker'!$C:$C,"&lt;&gt;Hold",'Candidate Tracker'!$C:$C,"&lt;&gt;Cancelled",'Candidate Tracker'!$C:$C,"&lt;&gt;Closed")/COUNTIFS('Candidate Tracker'!$E:$E,'Positions Tracker'!$B702)),"")</f>
        <v/>
      </c>
      <c r="BD702" s="67" t="str">
        <f t="shared" si="60"/>
        <v/>
      </c>
      <c r="BE702" s="67" t="str">
        <f t="shared" si="61"/>
        <v/>
      </c>
      <c r="BF702" s="67" t="str">
        <f t="shared" si="62"/>
        <v/>
      </c>
      <c r="BG702" s="67" t="str">
        <f t="shared" si="63"/>
        <v/>
      </c>
    </row>
    <row r="703" spans="1:59">
      <c r="A703" s="55"/>
      <c r="B703" s="56"/>
      <c r="C703" s="56"/>
      <c r="D703" s="56"/>
      <c r="E703" s="56"/>
      <c r="F703" s="56"/>
      <c r="G703" s="56"/>
      <c r="H703" s="56"/>
      <c r="I703" s="6"/>
      <c r="J703" s="6"/>
      <c r="K703" s="57"/>
      <c r="L703" s="57"/>
      <c r="M703" s="57"/>
      <c r="N703" s="56"/>
      <c r="O703" s="56"/>
      <c r="P703" s="56"/>
      <c r="Q703" s="56"/>
      <c r="R703" s="56"/>
      <c r="S703" s="56"/>
      <c r="T703" s="56"/>
      <c r="U703" s="56"/>
      <c r="V703" s="56"/>
      <c r="W703" s="56"/>
      <c r="X703" s="56"/>
      <c r="Y703" s="56"/>
      <c r="Z703" s="56"/>
      <c r="AA703" s="56"/>
      <c r="AB703" s="56"/>
      <c r="AC703" s="56"/>
      <c r="AD703" s="56"/>
      <c r="AE703" s="56"/>
      <c r="AF703" s="56"/>
      <c r="AG703" s="56"/>
      <c r="AH703" s="56"/>
      <c r="AI703" s="58"/>
      <c r="AJ703" s="56"/>
      <c r="AK703" s="56"/>
      <c r="AL703" s="56"/>
      <c r="AM703" s="57"/>
      <c r="AN703" s="57"/>
      <c r="AO703" s="56"/>
      <c r="AP703" s="56"/>
      <c r="AQ703" s="57"/>
      <c r="AR703" s="57"/>
      <c r="AS703" s="57"/>
      <c r="AT703" s="67">
        <f t="shared" ca="1" si="64"/>
        <v>0</v>
      </c>
      <c r="AU703" s="79" t="str">
        <f t="shared" ca="1" si="65"/>
        <v/>
      </c>
      <c r="AV703" s="79" t="str" cm="1">
        <f t="array" aca="1" ref="AV703" ca="1">IFERROR(_xlfn.IFS($AU703="","",$AU703&lt;=15,"0-15",AND($AU703&gt;=16,$AU703&lt;=30),"16-30",AND($AU703&gt;=31,$AU703&lt;=45),"31-45",AND($AU703&gt;=46,$AU703&lt;=60),"46-60",AND($AU703&gt;=61,$AU703&lt;=90),"61-90",AND($AU703&gt;=91),"&gt; 90",AND($AU703&gt;=2000),""),"")</f>
        <v/>
      </c>
      <c r="AW703" s="79" t="str" cm="1">
        <f t="array" aca="1" ref="AW703" ca="1">IFERROR(_xlfn.IFS(OR($M703="",$AM703=""),"",OR($C703="Offered",$C703="Joined"),($AM703-$M703)-$AT703),"")</f>
        <v/>
      </c>
      <c r="AX703" s="79" t="str" cm="1">
        <f t="array" aca="1" ref="AX703" ca="1">IFERROR(_xlfn.IFS(OR($M703="",$AS703=""),"",$C703="Joined",($AS703-$M703)-$AT703),"")</f>
        <v/>
      </c>
      <c r="AY703" s="67" t="str">
        <f>IFERROR(IF(COUNTIFS('Candidate Tracker'!$E:$E,'Positions Tracker'!$B703,'Candidate Tracker'!$C:$C,"Offer Drop")=0,"",COUNTIFS('Candidate Tracker'!$E:$E,'Positions Tracker'!$B703,'Candidate Tracker'!$C:$C,"Offer Drop")),"")</f>
        <v/>
      </c>
      <c r="AZ703" s="80">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0.88111888111888115</v>
      </c>
      <c r="BA703" s="81" t="str">
        <f>IFERROR(IF(COUNTIFS('Candidate Tracker'!$E:$E,'Positions Tracker'!$B703,'Candidate Tracker'!$I:$I,"Female")=0,"",COUNTIFS('Candidate Tracker'!$E:$E,'Positions Tracker'!$B703,'Candidate Tracker'!$I:$I,"Female")),"")</f>
        <v/>
      </c>
      <c r="BB703" s="81" t="str">
        <f>IFERROR(IF(COUNTIFS('Candidate Tracker'!$E:$E,'Positions Tracker'!$B703,'Candidate Tracker'!$I:$I,"male")=0,"",COUNTIFS('Candidate Tracker'!$E:$E,'Positions Tracker'!$B703,'Candidate Tracker'!$I:$I,"male")),"")</f>
        <v/>
      </c>
      <c r="BC703" s="80" t="str">
        <f>IFERROR(IF(COUNTIFS('Candidate Tracker'!$E:$E,'Positions Tracker'!$B703,'Candidate Tracker'!$C:$C,"&lt;&gt;WIP",'Candidate Tracker'!$C:$C,"&lt;&gt;Hold",'Candidate Tracker'!$C:$C,"&lt;&gt;Cancelled",'Candidate Tracker'!$C:$C,"&lt;&gt;Closed")/COUNTIFS('Candidate Tracker'!$E:$E,'Positions Tracker'!$B703)=0,"",COUNTIFS('Candidate Tracker'!$E:$E,'Positions Tracker'!$B703,'Candidate Tracker'!$C:$C,"&lt;&gt;WIP",'Candidate Tracker'!$C:$C,"&lt;&gt;Hold",'Candidate Tracker'!$C:$C,"&lt;&gt;Cancelled",'Candidate Tracker'!$C:$C,"&lt;&gt;Closed")/COUNTIFS('Candidate Tracker'!$E:$E,'Positions Tracker'!$B703)),"")</f>
        <v/>
      </c>
      <c r="BD703" s="67" t="str">
        <f t="shared" si="60"/>
        <v/>
      </c>
      <c r="BE703" s="67" t="str">
        <f t="shared" si="61"/>
        <v/>
      </c>
      <c r="BF703" s="67" t="str">
        <f t="shared" si="62"/>
        <v/>
      </c>
      <c r="BG703" s="67" t="str">
        <f t="shared" si="63"/>
        <v/>
      </c>
    </row>
    <row r="704" spans="1:59">
      <c r="A704" s="55"/>
      <c r="B704" s="56"/>
      <c r="C704" s="56"/>
      <c r="D704" s="56"/>
      <c r="E704" s="56"/>
      <c r="F704" s="56"/>
      <c r="G704" s="56"/>
      <c r="H704" s="56"/>
      <c r="I704" s="6"/>
      <c r="J704" s="6"/>
      <c r="K704" s="57"/>
      <c r="L704" s="57"/>
      <c r="M704" s="57"/>
      <c r="N704" s="56"/>
      <c r="O704" s="56"/>
      <c r="P704" s="56"/>
      <c r="Q704" s="56"/>
      <c r="R704" s="56"/>
      <c r="S704" s="56"/>
      <c r="T704" s="56"/>
      <c r="U704" s="56"/>
      <c r="V704" s="56"/>
      <c r="W704" s="56"/>
      <c r="X704" s="56"/>
      <c r="Y704" s="56"/>
      <c r="Z704" s="56"/>
      <c r="AA704" s="56"/>
      <c r="AB704" s="56"/>
      <c r="AC704" s="56"/>
      <c r="AD704" s="56"/>
      <c r="AE704" s="56"/>
      <c r="AF704" s="56"/>
      <c r="AG704" s="56"/>
      <c r="AH704" s="56"/>
      <c r="AI704" s="58"/>
      <c r="AJ704" s="56"/>
      <c r="AK704" s="56"/>
      <c r="AL704" s="56"/>
      <c r="AM704" s="57"/>
      <c r="AN704" s="57"/>
      <c r="AO704" s="56"/>
      <c r="AP704" s="56"/>
      <c r="AQ704" s="57"/>
      <c r="AR704" s="57"/>
      <c r="AS704" s="57"/>
      <c r="AT704" s="67">
        <f t="shared" ca="1" si="64"/>
        <v>0</v>
      </c>
      <c r="AU704" s="79" t="str">
        <f t="shared" ca="1" si="65"/>
        <v/>
      </c>
      <c r="AV704" s="79" t="str" cm="1">
        <f t="array" aca="1" ref="AV704" ca="1">IFERROR(_xlfn.IFS($AU704="","",$AU704&lt;=15,"0-15",AND($AU704&gt;=16,$AU704&lt;=30),"16-30",AND($AU704&gt;=31,$AU704&lt;=45),"31-45",AND($AU704&gt;=46,$AU704&lt;=60),"46-60",AND($AU704&gt;=61,$AU704&lt;=90),"61-90",AND($AU704&gt;=91),"&gt; 90",AND($AU704&gt;=2000),""),"")</f>
        <v/>
      </c>
      <c r="AW704" s="79" t="str" cm="1">
        <f t="array" aca="1" ref="AW704" ca="1">IFERROR(_xlfn.IFS(OR($M704="",$AM704=""),"",OR($C704="Offered",$C704="Joined"),($AM704-$M704)-$AT704),"")</f>
        <v/>
      </c>
      <c r="AX704" s="79" t="str" cm="1">
        <f t="array" aca="1" ref="AX704" ca="1">IFERROR(_xlfn.IFS(OR($M704="",$AS704=""),"",$C704="Joined",($AS704-$M704)-$AT704),"")</f>
        <v/>
      </c>
      <c r="AY704" s="67" t="str">
        <f>IFERROR(IF(COUNTIFS('Candidate Tracker'!$E:$E,'Positions Tracker'!$B704,'Candidate Tracker'!$C:$C,"Offer Drop")=0,"",COUNTIFS('Candidate Tracker'!$E:$E,'Positions Tracker'!$B704,'Candidate Tracker'!$C:$C,"Offer Drop")),"")</f>
        <v/>
      </c>
      <c r="AZ704" s="80">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0.88111888111888115</v>
      </c>
      <c r="BA704" s="81" t="str">
        <f>IFERROR(IF(COUNTIFS('Candidate Tracker'!$E:$E,'Positions Tracker'!$B704,'Candidate Tracker'!$I:$I,"Female")=0,"",COUNTIFS('Candidate Tracker'!$E:$E,'Positions Tracker'!$B704,'Candidate Tracker'!$I:$I,"Female")),"")</f>
        <v/>
      </c>
      <c r="BB704" s="81" t="str">
        <f>IFERROR(IF(COUNTIFS('Candidate Tracker'!$E:$E,'Positions Tracker'!$B704,'Candidate Tracker'!$I:$I,"male")=0,"",COUNTIFS('Candidate Tracker'!$E:$E,'Positions Tracker'!$B704,'Candidate Tracker'!$I:$I,"male")),"")</f>
        <v/>
      </c>
      <c r="BC704" s="80" t="str">
        <f>IFERROR(IF(COUNTIFS('Candidate Tracker'!$E:$E,'Positions Tracker'!$B704,'Candidate Tracker'!$C:$C,"&lt;&gt;WIP",'Candidate Tracker'!$C:$C,"&lt;&gt;Hold",'Candidate Tracker'!$C:$C,"&lt;&gt;Cancelled",'Candidate Tracker'!$C:$C,"&lt;&gt;Closed")/COUNTIFS('Candidate Tracker'!$E:$E,'Positions Tracker'!$B704)=0,"",COUNTIFS('Candidate Tracker'!$E:$E,'Positions Tracker'!$B704,'Candidate Tracker'!$C:$C,"&lt;&gt;WIP",'Candidate Tracker'!$C:$C,"&lt;&gt;Hold",'Candidate Tracker'!$C:$C,"&lt;&gt;Cancelled",'Candidate Tracker'!$C:$C,"&lt;&gt;Closed")/COUNTIFS('Candidate Tracker'!$E:$E,'Positions Tracker'!$B704)),"")</f>
        <v/>
      </c>
      <c r="BD704" s="67" t="str">
        <f t="shared" si="60"/>
        <v/>
      </c>
      <c r="BE704" s="67" t="str">
        <f t="shared" si="61"/>
        <v/>
      </c>
      <c r="BF704" s="67" t="str">
        <f t="shared" si="62"/>
        <v/>
      </c>
      <c r="BG704" s="67" t="str">
        <f t="shared" si="63"/>
        <v/>
      </c>
    </row>
    <row r="705" spans="1:59">
      <c r="A705" s="55"/>
      <c r="B705" s="56"/>
      <c r="C705" s="56"/>
      <c r="D705" s="56"/>
      <c r="E705" s="56"/>
      <c r="F705" s="56"/>
      <c r="G705" s="56"/>
      <c r="H705" s="56"/>
      <c r="I705" s="6"/>
      <c r="J705" s="6"/>
      <c r="K705" s="57"/>
      <c r="L705" s="57"/>
      <c r="M705" s="57"/>
      <c r="N705" s="56"/>
      <c r="O705" s="56"/>
      <c r="P705" s="56"/>
      <c r="Q705" s="56"/>
      <c r="R705" s="56"/>
      <c r="S705" s="56"/>
      <c r="T705" s="56"/>
      <c r="U705" s="56"/>
      <c r="V705" s="56"/>
      <c r="W705" s="56"/>
      <c r="X705" s="56"/>
      <c r="Y705" s="56"/>
      <c r="Z705" s="56"/>
      <c r="AA705" s="56"/>
      <c r="AB705" s="56"/>
      <c r="AC705" s="56"/>
      <c r="AD705" s="56"/>
      <c r="AE705" s="56"/>
      <c r="AF705" s="56"/>
      <c r="AG705" s="56"/>
      <c r="AH705" s="56"/>
      <c r="AI705" s="58"/>
      <c r="AJ705" s="56"/>
      <c r="AK705" s="56"/>
      <c r="AL705" s="56"/>
      <c r="AM705" s="57"/>
      <c r="AN705" s="57"/>
      <c r="AO705" s="56"/>
      <c r="AP705" s="56"/>
      <c r="AQ705" s="57"/>
      <c r="AR705" s="57"/>
      <c r="AS705" s="57"/>
      <c r="AT705" s="67">
        <f t="shared" ca="1" si="64"/>
        <v>0</v>
      </c>
      <c r="AU705" s="79" t="str">
        <f t="shared" ca="1" si="65"/>
        <v/>
      </c>
      <c r="AV705" s="79" t="str" cm="1">
        <f t="array" aca="1" ref="AV705" ca="1">IFERROR(_xlfn.IFS($AU705="","",$AU705&lt;=15,"0-15",AND($AU705&gt;=16,$AU705&lt;=30),"16-30",AND($AU705&gt;=31,$AU705&lt;=45),"31-45",AND($AU705&gt;=46,$AU705&lt;=60),"46-60",AND($AU705&gt;=61,$AU705&lt;=90),"61-90",AND($AU705&gt;=91),"&gt; 90",AND($AU705&gt;=2000),""),"")</f>
        <v/>
      </c>
      <c r="AW705" s="79" t="str" cm="1">
        <f t="array" aca="1" ref="AW705" ca="1">IFERROR(_xlfn.IFS(OR($M705="",$AM705=""),"",OR($C705="Offered",$C705="Joined"),($AM705-$M705)-$AT705),"")</f>
        <v/>
      </c>
      <c r="AX705" s="79" t="str" cm="1">
        <f t="array" aca="1" ref="AX705" ca="1">IFERROR(_xlfn.IFS(OR($M705="",$AS705=""),"",$C705="Joined",($AS705-$M705)-$AT705),"")</f>
        <v/>
      </c>
      <c r="AY705" s="67" t="str">
        <f>IFERROR(IF(COUNTIFS('Candidate Tracker'!$E:$E,'Positions Tracker'!$B705,'Candidate Tracker'!$C:$C,"Offer Drop")=0,"",COUNTIFS('Candidate Tracker'!$E:$E,'Positions Tracker'!$B705,'Candidate Tracker'!$C:$C,"Offer Drop")),"")</f>
        <v/>
      </c>
      <c r="AZ705" s="80">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0.88111888111888115</v>
      </c>
      <c r="BA705" s="81" t="str">
        <f>IFERROR(IF(COUNTIFS('Candidate Tracker'!$E:$E,'Positions Tracker'!$B705,'Candidate Tracker'!$I:$I,"Female")=0,"",COUNTIFS('Candidate Tracker'!$E:$E,'Positions Tracker'!$B705,'Candidate Tracker'!$I:$I,"Female")),"")</f>
        <v/>
      </c>
      <c r="BB705" s="81" t="str">
        <f>IFERROR(IF(COUNTIFS('Candidate Tracker'!$E:$E,'Positions Tracker'!$B705,'Candidate Tracker'!$I:$I,"male")=0,"",COUNTIFS('Candidate Tracker'!$E:$E,'Positions Tracker'!$B705,'Candidate Tracker'!$I:$I,"male")),"")</f>
        <v/>
      </c>
      <c r="BC705" s="80" t="str">
        <f>IFERROR(IF(COUNTIFS('Candidate Tracker'!$E:$E,'Positions Tracker'!$B705,'Candidate Tracker'!$C:$C,"&lt;&gt;WIP",'Candidate Tracker'!$C:$C,"&lt;&gt;Hold",'Candidate Tracker'!$C:$C,"&lt;&gt;Cancelled",'Candidate Tracker'!$C:$C,"&lt;&gt;Closed")/COUNTIFS('Candidate Tracker'!$E:$E,'Positions Tracker'!$B705)=0,"",COUNTIFS('Candidate Tracker'!$E:$E,'Positions Tracker'!$B705,'Candidate Tracker'!$C:$C,"&lt;&gt;WIP",'Candidate Tracker'!$C:$C,"&lt;&gt;Hold",'Candidate Tracker'!$C:$C,"&lt;&gt;Cancelled",'Candidate Tracker'!$C:$C,"&lt;&gt;Closed")/COUNTIFS('Candidate Tracker'!$E:$E,'Positions Tracker'!$B705)),"")</f>
        <v/>
      </c>
      <c r="BD705" s="67" t="str">
        <f t="shared" ref="BD705:BD768" si="66">IFERROR(IF($M705="","",TEXT($M705,"MMM-YY")),"")</f>
        <v/>
      </c>
      <c r="BE705" s="67" t="str">
        <f t="shared" ref="BE705:BE768" si="67">IFERROR(IF($AI705="","",TEXT($AI705,"MMM-YY")),"")</f>
        <v/>
      </c>
      <c r="BF705" s="67" t="str">
        <f t="shared" ref="BF705:BF768" si="68">IFERROR(IF($AM705="","",TEXT($AM705,"MMM-YY")),"")</f>
        <v/>
      </c>
      <c r="BG705" s="67" t="str">
        <f t="shared" ref="BG705:BG768" si="69">IFERROR(IF($AS705="","",TEXT($AS705,"MMM-YY")),"")</f>
        <v/>
      </c>
    </row>
    <row r="706" spans="1:59">
      <c r="A706" s="55"/>
      <c r="B706" s="56"/>
      <c r="C706" s="56"/>
      <c r="D706" s="56"/>
      <c r="E706" s="56"/>
      <c r="F706" s="56"/>
      <c r="G706" s="56"/>
      <c r="H706" s="56"/>
      <c r="I706" s="6"/>
      <c r="J706" s="6"/>
      <c r="K706" s="57"/>
      <c r="L706" s="57"/>
      <c r="M706" s="57"/>
      <c r="N706" s="56"/>
      <c r="O706" s="56"/>
      <c r="P706" s="56"/>
      <c r="Q706" s="56"/>
      <c r="R706" s="56"/>
      <c r="S706" s="56"/>
      <c r="T706" s="56"/>
      <c r="U706" s="56"/>
      <c r="V706" s="56"/>
      <c r="W706" s="56"/>
      <c r="X706" s="56"/>
      <c r="Y706" s="56"/>
      <c r="Z706" s="56"/>
      <c r="AA706" s="56"/>
      <c r="AB706" s="56"/>
      <c r="AC706" s="56"/>
      <c r="AD706" s="56"/>
      <c r="AE706" s="56"/>
      <c r="AF706" s="56"/>
      <c r="AG706" s="56"/>
      <c r="AH706" s="56"/>
      <c r="AI706" s="58"/>
      <c r="AJ706" s="56"/>
      <c r="AK706" s="56"/>
      <c r="AL706" s="56"/>
      <c r="AM706" s="57"/>
      <c r="AN706" s="57"/>
      <c r="AO706" s="56"/>
      <c r="AP706" s="56"/>
      <c r="AQ706" s="57"/>
      <c r="AR706" s="57"/>
      <c r="AS706" s="57"/>
      <c r="AT706" s="67">
        <f t="shared" ref="AT706:AT769" ca="1" si="70">IFERROR(SUM(IF(AND(ISBLANK(T706),ISBLANK(Q706)),0,IF(T706="",TODAY()-Q706,T706-Q706))+IF(AND(ISBLANK(S706),ISBLANK(P706)),0,IF(S706="",TODAY()-P706,S706-P706))+IF(AND(ISBLANK(O706),ISBLANK(R706)),0,IF(R706="",TODAY()-O706,R706-O706))),"")</f>
        <v>0</v>
      </c>
      <c r="AU706" s="79" t="str">
        <f t="shared" ref="AU706:AU769" ca="1" si="71">IFERROR(IF(($M706=""),"",IF(OR(,$C706="Offer in Progress",$C706="WIP",$C706="WIP/Drop",$C706="WIP/New",$C706="WIP/Hold"),(TODAY()-$M706)-$AT706,"")),"")</f>
        <v/>
      </c>
      <c r="AV706" s="79" t="str" cm="1">
        <f t="array" aca="1" ref="AV706" ca="1">IFERROR(_xlfn.IFS($AU706="","",$AU706&lt;=15,"0-15",AND($AU706&gt;=16,$AU706&lt;=30),"16-30",AND($AU706&gt;=31,$AU706&lt;=45),"31-45",AND($AU706&gt;=46,$AU706&lt;=60),"46-60",AND($AU706&gt;=61,$AU706&lt;=90),"61-90",AND($AU706&gt;=91),"&gt; 90",AND($AU706&gt;=2000),""),"")</f>
        <v/>
      </c>
      <c r="AW706" s="79" t="str" cm="1">
        <f t="array" aca="1" ref="AW706" ca="1">IFERROR(_xlfn.IFS(OR($M706="",$AM706=""),"",OR($C706="Offered",$C706="Joined"),($AM706-$M706)-$AT706),"")</f>
        <v/>
      </c>
      <c r="AX706" s="79" t="str" cm="1">
        <f t="array" aca="1" ref="AX706" ca="1">IFERROR(_xlfn.IFS(OR($M706="",$AS706=""),"",$C706="Joined",($AS706-$M706)-$AT706),"")</f>
        <v/>
      </c>
      <c r="AY706" s="67" t="str">
        <f>IFERROR(IF(COUNTIFS('Candidate Tracker'!$E:$E,'Positions Tracker'!$B706,'Candidate Tracker'!$C:$C,"Offer Drop")=0,"",COUNTIFS('Candidate Tracker'!$E:$E,'Positions Tracker'!$B706,'Candidate Tracker'!$C:$C,"Offer Drop")),"")</f>
        <v/>
      </c>
      <c r="AZ706" s="80">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0.88111888111888115</v>
      </c>
      <c r="BA706" s="81" t="str">
        <f>IFERROR(IF(COUNTIFS('Candidate Tracker'!$E:$E,'Positions Tracker'!$B706,'Candidate Tracker'!$I:$I,"Female")=0,"",COUNTIFS('Candidate Tracker'!$E:$E,'Positions Tracker'!$B706,'Candidate Tracker'!$I:$I,"Female")),"")</f>
        <v/>
      </c>
      <c r="BB706" s="81" t="str">
        <f>IFERROR(IF(COUNTIFS('Candidate Tracker'!$E:$E,'Positions Tracker'!$B706,'Candidate Tracker'!$I:$I,"male")=0,"",COUNTIFS('Candidate Tracker'!$E:$E,'Positions Tracker'!$B706,'Candidate Tracker'!$I:$I,"male")),"")</f>
        <v/>
      </c>
      <c r="BC706" s="80" t="str">
        <f>IFERROR(IF(COUNTIFS('Candidate Tracker'!$E:$E,'Positions Tracker'!$B706,'Candidate Tracker'!$C:$C,"&lt;&gt;WIP",'Candidate Tracker'!$C:$C,"&lt;&gt;Hold",'Candidate Tracker'!$C:$C,"&lt;&gt;Cancelled",'Candidate Tracker'!$C:$C,"&lt;&gt;Closed")/COUNTIFS('Candidate Tracker'!$E:$E,'Positions Tracker'!$B706)=0,"",COUNTIFS('Candidate Tracker'!$E:$E,'Positions Tracker'!$B706,'Candidate Tracker'!$C:$C,"&lt;&gt;WIP",'Candidate Tracker'!$C:$C,"&lt;&gt;Hold",'Candidate Tracker'!$C:$C,"&lt;&gt;Cancelled",'Candidate Tracker'!$C:$C,"&lt;&gt;Closed")/COUNTIFS('Candidate Tracker'!$E:$E,'Positions Tracker'!$B706)),"")</f>
        <v/>
      </c>
      <c r="BD706" s="67" t="str">
        <f t="shared" si="66"/>
        <v/>
      </c>
      <c r="BE706" s="67" t="str">
        <f t="shared" si="67"/>
        <v/>
      </c>
      <c r="BF706" s="67" t="str">
        <f t="shared" si="68"/>
        <v/>
      </c>
      <c r="BG706" s="67" t="str">
        <f t="shared" si="69"/>
        <v/>
      </c>
    </row>
    <row r="707" spans="1:59">
      <c r="A707" s="55"/>
      <c r="B707" s="56"/>
      <c r="C707" s="56"/>
      <c r="D707" s="56"/>
      <c r="E707" s="56"/>
      <c r="F707" s="56"/>
      <c r="G707" s="56"/>
      <c r="H707" s="56"/>
      <c r="I707" s="6"/>
      <c r="J707" s="6"/>
      <c r="K707" s="57"/>
      <c r="L707" s="57"/>
      <c r="M707" s="57"/>
      <c r="N707" s="56"/>
      <c r="O707" s="56"/>
      <c r="P707" s="56"/>
      <c r="Q707" s="56"/>
      <c r="R707" s="56"/>
      <c r="S707" s="56"/>
      <c r="T707" s="56"/>
      <c r="U707" s="56"/>
      <c r="V707" s="56"/>
      <c r="W707" s="56"/>
      <c r="X707" s="56"/>
      <c r="Y707" s="56"/>
      <c r="Z707" s="56"/>
      <c r="AA707" s="56"/>
      <c r="AB707" s="56"/>
      <c r="AC707" s="56"/>
      <c r="AD707" s="56"/>
      <c r="AE707" s="56"/>
      <c r="AF707" s="56"/>
      <c r="AG707" s="56"/>
      <c r="AH707" s="56"/>
      <c r="AI707" s="58"/>
      <c r="AJ707" s="56"/>
      <c r="AK707" s="56"/>
      <c r="AL707" s="56"/>
      <c r="AM707" s="57"/>
      <c r="AN707" s="57"/>
      <c r="AO707" s="56"/>
      <c r="AP707" s="56"/>
      <c r="AQ707" s="57"/>
      <c r="AR707" s="57"/>
      <c r="AS707" s="57"/>
      <c r="AT707" s="67">
        <f t="shared" ca="1" si="70"/>
        <v>0</v>
      </c>
      <c r="AU707" s="79" t="str">
        <f t="shared" ca="1" si="71"/>
        <v/>
      </c>
      <c r="AV707" s="79" t="str" cm="1">
        <f t="array" aca="1" ref="AV707" ca="1">IFERROR(_xlfn.IFS($AU707="","",$AU707&lt;=15,"0-15",AND($AU707&gt;=16,$AU707&lt;=30),"16-30",AND($AU707&gt;=31,$AU707&lt;=45),"31-45",AND($AU707&gt;=46,$AU707&lt;=60),"46-60",AND($AU707&gt;=61,$AU707&lt;=90),"61-90",AND($AU707&gt;=91),"&gt; 90",AND($AU707&gt;=2000),""),"")</f>
        <v/>
      </c>
      <c r="AW707" s="79" t="str" cm="1">
        <f t="array" aca="1" ref="AW707" ca="1">IFERROR(_xlfn.IFS(OR($M707="",$AM707=""),"",OR($C707="Offered",$C707="Joined"),($AM707-$M707)-$AT707),"")</f>
        <v/>
      </c>
      <c r="AX707" s="79" t="str" cm="1">
        <f t="array" aca="1" ref="AX707" ca="1">IFERROR(_xlfn.IFS(OR($M707="",$AS707=""),"",$C707="Joined",($AS707-$M707)-$AT707),"")</f>
        <v/>
      </c>
      <c r="AY707" s="67" t="str">
        <f>IFERROR(IF(COUNTIFS('Candidate Tracker'!$E:$E,'Positions Tracker'!$B707,'Candidate Tracker'!$C:$C,"Offer Drop")=0,"",COUNTIFS('Candidate Tracker'!$E:$E,'Positions Tracker'!$B707,'Candidate Tracker'!$C:$C,"Offer Drop")),"")</f>
        <v/>
      </c>
      <c r="AZ707" s="80">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0.88111888111888115</v>
      </c>
      <c r="BA707" s="81" t="str">
        <f>IFERROR(IF(COUNTIFS('Candidate Tracker'!$E:$E,'Positions Tracker'!$B707,'Candidate Tracker'!$I:$I,"Female")=0,"",COUNTIFS('Candidate Tracker'!$E:$E,'Positions Tracker'!$B707,'Candidate Tracker'!$I:$I,"Female")),"")</f>
        <v/>
      </c>
      <c r="BB707" s="81" t="str">
        <f>IFERROR(IF(COUNTIFS('Candidate Tracker'!$E:$E,'Positions Tracker'!$B707,'Candidate Tracker'!$I:$I,"male")=0,"",COUNTIFS('Candidate Tracker'!$E:$E,'Positions Tracker'!$B707,'Candidate Tracker'!$I:$I,"male")),"")</f>
        <v/>
      </c>
      <c r="BC707" s="80" t="str">
        <f>IFERROR(IF(COUNTIFS('Candidate Tracker'!$E:$E,'Positions Tracker'!$B707,'Candidate Tracker'!$C:$C,"&lt;&gt;WIP",'Candidate Tracker'!$C:$C,"&lt;&gt;Hold",'Candidate Tracker'!$C:$C,"&lt;&gt;Cancelled",'Candidate Tracker'!$C:$C,"&lt;&gt;Closed")/COUNTIFS('Candidate Tracker'!$E:$E,'Positions Tracker'!$B707)=0,"",COUNTIFS('Candidate Tracker'!$E:$E,'Positions Tracker'!$B707,'Candidate Tracker'!$C:$C,"&lt;&gt;WIP",'Candidate Tracker'!$C:$C,"&lt;&gt;Hold",'Candidate Tracker'!$C:$C,"&lt;&gt;Cancelled",'Candidate Tracker'!$C:$C,"&lt;&gt;Closed")/COUNTIFS('Candidate Tracker'!$E:$E,'Positions Tracker'!$B707)),"")</f>
        <v/>
      </c>
      <c r="BD707" s="67" t="str">
        <f t="shared" si="66"/>
        <v/>
      </c>
      <c r="BE707" s="67" t="str">
        <f t="shared" si="67"/>
        <v/>
      </c>
      <c r="BF707" s="67" t="str">
        <f t="shared" si="68"/>
        <v/>
      </c>
      <c r="BG707" s="67" t="str">
        <f t="shared" si="69"/>
        <v/>
      </c>
    </row>
    <row r="708" spans="1:59">
      <c r="A708" s="55"/>
      <c r="B708" s="56"/>
      <c r="C708" s="56"/>
      <c r="D708" s="56"/>
      <c r="E708" s="56"/>
      <c r="F708" s="56"/>
      <c r="G708" s="56"/>
      <c r="H708" s="56"/>
      <c r="I708" s="6"/>
      <c r="J708" s="6"/>
      <c r="K708" s="57"/>
      <c r="L708" s="57"/>
      <c r="M708" s="57"/>
      <c r="N708" s="56"/>
      <c r="O708" s="56"/>
      <c r="P708" s="56"/>
      <c r="Q708" s="56"/>
      <c r="R708" s="56"/>
      <c r="S708" s="56"/>
      <c r="T708" s="56"/>
      <c r="U708" s="56"/>
      <c r="V708" s="56"/>
      <c r="W708" s="56"/>
      <c r="X708" s="56"/>
      <c r="Y708" s="56"/>
      <c r="Z708" s="56"/>
      <c r="AA708" s="56"/>
      <c r="AB708" s="56"/>
      <c r="AC708" s="56"/>
      <c r="AD708" s="56"/>
      <c r="AE708" s="56"/>
      <c r="AF708" s="56"/>
      <c r="AG708" s="56"/>
      <c r="AH708" s="56"/>
      <c r="AI708" s="58"/>
      <c r="AJ708" s="56"/>
      <c r="AK708" s="56"/>
      <c r="AL708" s="56"/>
      <c r="AM708" s="57"/>
      <c r="AN708" s="57"/>
      <c r="AO708" s="56"/>
      <c r="AP708" s="56"/>
      <c r="AQ708" s="57"/>
      <c r="AR708" s="57"/>
      <c r="AS708" s="57"/>
      <c r="AT708" s="67">
        <f t="shared" ca="1" si="70"/>
        <v>0</v>
      </c>
      <c r="AU708" s="79" t="str">
        <f t="shared" ca="1" si="71"/>
        <v/>
      </c>
      <c r="AV708" s="79" t="str" cm="1">
        <f t="array" aca="1" ref="AV708" ca="1">IFERROR(_xlfn.IFS($AU708="","",$AU708&lt;=15,"0-15",AND($AU708&gt;=16,$AU708&lt;=30),"16-30",AND($AU708&gt;=31,$AU708&lt;=45),"31-45",AND($AU708&gt;=46,$AU708&lt;=60),"46-60",AND($AU708&gt;=61,$AU708&lt;=90),"61-90",AND($AU708&gt;=91),"&gt; 90",AND($AU708&gt;=2000),""),"")</f>
        <v/>
      </c>
      <c r="AW708" s="79" t="str" cm="1">
        <f t="array" aca="1" ref="AW708" ca="1">IFERROR(_xlfn.IFS(OR($M708="",$AM708=""),"",OR($C708="Offered",$C708="Joined"),($AM708-$M708)-$AT708),"")</f>
        <v/>
      </c>
      <c r="AX708" s="79" t="str" cm="1">
        <f t="array" aca="1" ref="AX708" ca="1">IFERROR(_xlfn.IFS(OR($M708="",$AS708=""),"",$C708="Joined",($AS708-$M708)-$AT708),"")</f>
        <v/>
      </c>
      <c r="AY708" s="67" t="str">
        <f>IFERROR(IF(COUNTIFS('Candidate Tracker'!$E:$E,'Positions Tracker'!$B708,'Candidate Tracker'!$C:$C,"Offer Drop")=0,"",COUNTIFS('Candidate Tracker'!$E:$E,'Positions Tracker'!$B708,'Candidate Tracker'!$C:$C,"Offer Drop")),"")</f>
        <v/>
      </c>
      <c r="AZ708" s="80">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0.88111888111888115</v>
      </c>
      <c r="BA708" s="81" t="str">
        <f>IFERROR(IF(COUNTIFS('Candidate Tracker'!$E:$E,'Positions Tracker'!$B708,'Candidate Tracker'!$I:$I,"Female")=0,"",COUNTIFS('Candidate Tracker'!$E:$E,'Positions Tracker'!$B708,'Candidate Tracker'!$I:$I,"Female")),"")</f>
        <v/>
      </c>
      <c r="BB708" s="81" t="str">
        <f>IFERROR(IF(COUNTIFS('Candidate Tracker'!$E:$E,'Positions Tracker'!$B708,'Candidate Tracker'!$I:$I,"male")=0,"",COUNTIFS('Candidate Tracker'!$E:$E,'Positions Tracker'!$B708,'Candidate Tracker'!$I:$I,"male")),"")</f>
        <v/>
      </c>
      <c r="BC708" s="80" t="str">
        <f>IFERROR(IF(COUNTIFS('Candidate Tracker'!$E:$E,'Positions Tracker'!$B708,'Candidate Tracker'!$C:$C,"&lt;&gt;WIP",'Candidate Tracker'!$C:$C,"&lt;&gt;Hold",'Candidate Tracker'!$C:$C,"&lt;&gt;Cancelled",'Candidate Tracker'!$C:$C,"&lt;&gt;Closed")/COUNTIFS('Candidate Tracker'!$E:$E,'Positions Tracker'!$B708)=0,"",COUNTIFS('Candidate Tracker'!$E:$E,'Positions Tracker'!$B708,'Candidate Tracker'!$C:$C,"&lt;&gt;WIP",'Candidate Tracker'!$C:$C,"&lt;&gt;Hold",'Candidate Tracker'!$C:$C,"&lt;&gt;Cancelled",'Candidate Tracker'!$C:$C,"&lt;&gt;Closed")/COUNTIFS('Candidate Tracker'!$E:$E,'Positions Tracker'!$B708)),"")</f>
        <v/>
      </c>
      <c r="BD708" s="67" t="str">
        <f t="shared" si="66"/>
        <v/>
      </c>
      <c r="BE708" s="67" t="str">
        <f t="shared" si="67"/>
        <v/>
      </c>
      <c r="BF708" s="67" t="str">
        <f t="shared" si="68"/>
        <v/>
      </c>
      <c r="BG708" s="67" t="str">
        <f t="shared" si="69"/>
        <v/>
      </c>
    </row>
    <row r="709" spans="1:59">
      <c r="A709" s="55"/>
      <c r="B709" s="56"/>
      <c r="C709" s="56"/>
      <c r="D709" s="56"/>
      <c r="E709" s="56"/>
      <c r="F709" s="56"/>
      <c r="G709" s="56"/>
      <c r="H709" s="56"/>
      <c r="I709" s="6"/>
      <c r="J709" s="6"/>
      <c r="K709" s="57"/>
      <c r="L709" s="57"/>
      <c r="M709" s="57"/>
      <c r="N709" s="56"/>
      <c r="O709" s="56"/>
      <c r="P709" s="56"/>
      <c r="Q709" s="56"/>
      <c r="R709" s="56"/>
      <c r="S709" s="56"/>
      <c r="T709" s="56"/>
      <c r="U709" s="56"/>
      <c r="V709" s="56"/>
      <c r="W709" s="56"/>
      <c r="X709" s="56"/>
      <c r="Y709" s="56"/>
      <c r="Z709" s="56"/>
      <c r="AA709" s="56"/>
      <c r="AB709" s="56"/>
      <c r="AC709" s="56"/>
      <c r="AD709" s="56"/>
      <c r="AE709" s="56"/>
      <c r="AF709" s="56"/>
      <c r="AG709" s="56"/>
      <c r="AH709" s="56"/>
      <c r="AI709" s="58"/>
      <c r="AJ709" s="56"/>
      <c r="AK709" s="56"/>
      <c r="AL709" s="56"/>
      <c r="AM709" s="57"/>
      <c r="AN709" s="57"/>
      <c r="AO709" s="56"/>
      <c r="AP709" s="56"/>
      <c r="AQ709" s="57"/>
      <c r="AR709" s="57"/>
      <c r="AS709" s="57"/>
      <c r="AT709" s="67">
        <f t="shared" ca="1" si="70"/>
        <v>0</v>
      </c>
      <c r="AU709" s="79" t="str">
        <f t="shared" ca="1" si="71"/>
        <v/>
      </c>
      <c r="AV709" s="79" t="str" cm="1">
        <f t="array" aca="1" ref="AV709" ca="1">IFERROR(_xlfn.IFS($AU709="","",$AU709&lt;=15,"0-15",AND($AU709&gt;=16,$AU709&lt;=30),"16-30",AND($AU709&gt;=31,$AU709&lt;=45),"31-45",AND($AU709&gt;=46,$AU709&lt;=60),"46-60",AND($AU709&gt;=61,$AU709&lt;=90),"61-90",AND($AU709&gt;=91),"&gt; 90",AND($AU709&gt;=2000),""),"")</f>
        <v/>
      </c>
      <c r="AW709" s="79" t="str" cm="1">
        <f t="array" aca="1" ref="AW709" ca="1">IFERROR(_xlfn.IFS(OR($M709="",$AM709=""),"",OR($C709="Offered",$C709="Joined"),($AM709-$M709)-$AT709),"")</f>
        <v/>
      </c>
      <c r="AX709" s="79" t="str" cm="1">
        <f t="array" aca="1" ref="AX709" ca="1">IFERROR(_xlfn.IFS(OR($M709="",$AS709=""),"",$C709="Joined",($AS709-$M709)-$AT709),"")</f>
        <v/>
      </c>
      <c r="AY709" s="67" t="str">
        <f>IFERROR(IF(COUNTIFS('Candidate Tracker'!$E:$E,'Positions Tracker'!$B709,'Candidate Tracker'!$C:$C,"Offer Drop")=0,"",COUNTIFS('Candidate Tracker'!$E:$E,'Positions Tracker'!$B709,'Candidate Tracker'!$C:$C,"Offer Drop")),"")</f>
        <v/>
      </c>
      <c r="AZ709" s="80">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0.88111888111888115</v>
      </c>
      <c r="BA709" s="81" t="str">
        <f>IFERROR(IF(COUNTIFS('Candidate Tracker'!$E:$E,'Positions Tracker'!$B709,'Candidate Tracker'!$I:$I,"Female")=0,"",COUNTIFS('Candidate Tracker'!$E:$E,'Positions Tracker'!$B709,'Candidate Tracker'!$I:$I,"Female")),"")</f>
        <v/>
      </c>
      <c r="BB709" s="81" t="str">
        <f>IFERROR(IF(COUNTIFS('Candidate Tracker'!$E:$E,'Positions Tracker'!$B709,'Candidate Tracker'!$I:$I,"male")=0,"",COUNTIFS('Candidate Tracker'!$E:$E,'Positions Tracker'!$B709,'Candidate Tracker'!$I:$I,"male")),"")</f>
        <v/>
      </c>
      <c r="BC709" s="80" t="str">
        <f>IFERROR(IF(COUNTIFS('Candidate Tracker'!$E:$E,'Positions Tracker'!$B709,'Candidate Tracker'!$C:$C,"&lt;&gt;WIP",'Candidate Tracker'!$C:$C,"&lt;&gt;Hold",'Candidate Tracker'!$C:$C,"&lt;&gt;Cancelled",'Candidate Tracker'!$C:$C,"&lt;&gt;Closed")/COUNTIFS('Candidate Tracker'!$E:$E,'Positions Tracker'!$B709)=0,"",COUNTIFS('Candidate Tracker'!$E:$E,'Positions Tracker'!$B709,'Candidate Tracker'!$C:$C,"&lt;&gt;WIP",'Candidate Tracker'!$C:$C,"&lt;&gt;Hold",'Candidate Tracker'!$C:$C,"&lt;&gt;Cancelled",'Candidate Tracker'!$C:$C,"&lt;&gt;Closed")/COUNTIFS('Candidate Tracker'!$E:$E,'Positions Tracker'!$B709)),"")</f>
        <v/>
      </c>
      <c r="BD709" s="67" t="str">
        <f t="shared" si="66"/>
        <v/>
      </c>
      <c r="BE709" s="67" t="str">
        <f t="shared" si="67"/>
        <v/>
      </c>
      <c r="BF709" s="67" t="str">
        <f t="shared" si="68"/>
        <v/>
      </c>
      <c r="BG709" s="67" t="str">
        <f t="shared" si="69"/>
        <v/>
      </c>
    </row>
    <row r="710" spans="1:59">
      <c r="A710" s="55"/>
      <c r="B710" s="56"/>
      <c r="C710" s="56"/>
      <c r="D710" s="56"/>
      <c r="E710" s="56"/>
      <c r="F710" s="56"/>
      <c r="G710" s="56"/>
      <c r="H710" s="56"/>
      <c r="I710" s="6"/>
      <c r="J710" s="6"/>
      <c r="K710" s="57"/>
      <c r="L710" s="57"/>
      <c r="M710" s="57"/>
      <c r="N710" s="56"/>
      <c r="O710" s="56"/>
      <c r="P710" s="56"/>
      <c r="Q710" s="56"/>
      <c r="R710" s="56"/>
      <c r="S710" s="56"/>
      <c r="T710" s="56"/>
      <c r="U710" s="56"/>
      <c r="V710" s="56"/>
      <c r="W710" s="56"/>
      <c r="X710" s="56"/>
      <c r="Y710" s="56"/>
      <c r="Z710" s="56"/>
      <c r="AA710" s="56"/>
      <c r="AB710" s="56"/>
      <c r="AC710" s="56"/>
      <c r="AD710" s="56"/>
      <c r="AE710" s="56"/>
      <c r="AF710" s="56"/>
      <c r="AG710" s="56"/>
      <c r="AH710" s="56"/>
      <c r="AI710" s="58"/>
      <c r="AJ710" s="56"/>
      <c r="AK710" s="56"/>
      <c r="AL710" s="56"/>
      <c r="AM710" s="57"/>
      <c r="AN710" s="57"/>
      <c r="AO710" s="56"/>
      <c r="AP710" s="56"/>
      <c r="AQ710" s="57"/>
      <c r="AR710" s="57"/>
      <c r="AS710" s="57"/>
      <c r="AT710" s="67">
        <f t="shared" ca="1" si="70"/>
        <v>0</v>
      </c>
      <c r="AU710" s="79" t="str">
        <f t="shared" ca="1" si="71"/>
        <v/>
      </c>
      <c r="AV710" s="79" t="str" cm="1">
        <f t="array" aca="1" ref="AV710" ca="1">IFERROR(_xlfn.IFS($AU710="","",$AU710&lt;=15,"0-15",AND($AU710&gt;=16,$AU710&lt;=30),"16-30",AND($AU710&gt;=31,$AU710&lt;=45),"31-45",AND($AU710&gt;=46,$AU710&lt;=60),"46-60",AND($AU710&gt;=61,$AU710&lt;=90),"61-90",AND($AU710&gt;=91),"&gt; 90",AND($AU710&gt;=2000),""),"")</f>
        <v/>
      </c>
      <c r="AW710" s="79" t="str" cm="1">
        <f t="array" aca="1" ref="AW710" ca="1">IFERROR(_xlfn.IFS(OR($M710="",$AM710=""),"",OR($C710="Offered",$C710="Joined"),($AM710-$M710)-$AT710),"")</f>
        <v/>
      </c>
      <c r="AX710" s="79" t="str" cm="1">
        <f t="array" aca="1" ref="AX710" ca="1">IFERROR(_xlfn.IFS(OR($M710="",$AS710=""),"",$C710="Joined",($AS710-$M710)-$AT710),"")</f>
        <v/>
      </c>
      <c r="AY710" s="67" t="str">
        <f>IFERROR(IF(COUNTIFS('Candidate Tracker'!$E:$E,'Positions Tracker'!$B710,'Candidate Tracker'!$C:$C,"Offer Drop")=0,"",COUNTIFS('Candidate Tracker'!$E:$E,'Positions Tracker'!$B710,'Candidate Tracker'!$C:$C,"Offer Drop")),"")</f>
        <v/>
      </c>
      <c r="AZ710" s="80">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0.88111888111888115</v>
      </c>
      <c r="BA710" s="81" t="str">
        <f>IFERROR(IF(COUNTIFS('Candidate Tracker'!$E:$E,'Positions Tracker'!$B710,'Candidate Tracker'!$I:$I,"Female")=0,"",COUNTIFS('Candidate Tracker'!$E:$E,'Positions Tracker'!$B710,'Candidate Tracker'!$I:$I,"Female")),"")</f>
        <v/>
      </c>
      <c r="BB710" s="81" t="str">
        <f>IFERROR(IF(COUNTIFS('Candidate Tracker'!$E:$E,'Positions Tracker'!$B710,'Candidate Tracker'!$I:$I,"male")=0,"",COUNTIFS('Candidate Tracker'!$E:$E,'Positions Tracker'!$B710,'Candidate Tracker'!$I:$I,"male")),"")</f>
        <v/>
      </c>
      <c r="BC710" s="80" t="str">
        <f>IFERROR(IF(COUNTIFS('Candidate Tracker'!$E:$E,'Positions Tracker'!$B710,'Candidate Tracker'!$C:$C,"&lt;&gt;WIP",'Candidate Tracker'!$C:$C,"&lt;&gt;Hold",'Candidate Tracker'!$C:$C,"&lt;&gt;Cancelled",'Candidate Tracker'!$C:$C,"&lt;&gt;Closed")/COUNTIFS('Candidate Tracker'!$E:$E,'Positions Tracker'!$B710)=0,"",COUNTIFS('Candidate Tracker'!$E:$E,'Positions Tracker'!$B710,'Candidate Tracker'!$C:$C,"&lt;&gt;WIP",'Candidate Tracker'!$C:$C,"&lt;&gt;Hold",'Candidate Tracker'!$C:$C,"&lt;&gt;Cancelled",'Candidate Tracker'!$C:$C,"&lt;&gt;Closed")/COUNTIFS('Candidate Tracker'!$E:$E,'Positions Tracker'!$B710)),"")</f>
        <v/>
      </c>
      <c r="BD710" s="67" t="str">
        <f t="shared" si="66"/>
        <v/>
      </c>
      <c r="BE710" s="67" t="str">
        <f t="shared" si="67"/>
        <v/>
      </c>
      <c r="BF710" s="67" t="str">
        <f t="shared" si="68"/>
        <v/>
      </c>
      <c r="BG710" s="67" t="str">
        <f t="shared" si="69"/>
        <v/>
      </c>
    </row>
    <row r="711" spans="1:59">
      <c r="A711" s="55"/>
      <c r="B711" s="56"/>
      <c r="C711" s="56"/>
      <c r="D711" s="56"/>
      <c r="E711" s="56"/>
      <c r="F711" s="56"/>
      <c r="G711" s="56"/>
      <c r="H711" s="56"/>
      <c r="I711" s="6"/>
      <c r="J711" s="6"/>
      <c r="K711" s="57"/>
      <c r="L711" s="57"/>
      <c r="M711" s="57"/>
      <c r="N711" s="56"/>
      <c r="O711" s="56"/>
      <c r="P711" s="56"/>
      <c r="Q711" s="56"/>
      <c r="R711" s="56"/>
      <c r="S711" s="56"/>
      <c r="T711" s="56"/>
      <c r="U711" s="56"/>
      <c r="V711" s="56"/>
      <c r="W711" s="56"/>
      <c r="X711" s="56"/>
      <c r="Y711" s="56"/>
      <c r="Z711" s="56"/>
      <c r="AA711" s="56"/>
      <c r="AB711" s="56"/>
      <c r="AC711" s="56"/>
      <c r="AD711" s="56"/>
      <c r="AE711" s="56"/>
      <c r="AF711" s="56"/>
      <c r="AG711" s="56"/>
      <c r="AH711" s="56"/>
      <c r="AI711" s="58"/>
      <c r="AJ711" s="56"/>
      <c r="AK711" s="56"/>
      <c r="AL711" s="56"/>
      <c r="AM711" s="57"/>
      <c r="AN711" s="57"/>
      <c r="AO711" s="56"/>
      <c r="AP711" s="56"/>
      <c r="AQ711" s="57"/>
      <c r="AR711" s="57"/>
      <c r="AS711" s="57"/>
      <c r="AT711" s="67">
        <f t="shared" ca="1" si="70"/>
        <v>0</v>
      </c>
      <c r="AU711" s="79" t="str">
        <f t="shared" ca="1" si="71"/>
        <v/>
      </c>
      <c r="AV711" s="79" t="str" cm="1">
        <f t="array" aca="1" ref="AV711" ca="1">IFERROR(_xlfn.IFS($AU711="","",$AU711&lt;=15,"0-15",AND($AU711&gt;=16,$AU711&lt;=30),"16-30",AND($AU711&gt;=31,$AU711&lt;=45),"31-45",AND($AU711&gt;=46,$AU711&lt;=60),"46-60",AND($AU711&gt;=61,$AU711&lt;=90),"61-90",AND($AU711&gt;=91),"&gt; 90",AND($AU711&gt;=2000),""),"")</f>
        <v/>
      </c>
      <c r="AW711" s="79" t="str" cm="1">
        <f t="array" aca="1" ref="AW711" ca="1">IFERROR(_xlfn.IFS(OR($M711="",$AM711=""),"",OR($C711="Offered",$C711="Joined"),($AM711-$M711)-$AT711),"")</f>
        <v/>
      </c>
      <c r="AX711" s="79" t="str" cm="1">
        <f t="array" aca="1" ref="AX711" ca="1">IFERROR(_xlfn.IFS(OR($M711="",$AS711=""),"",$C711="Joined",($AS711-$M711)-$AT711),"")</f>
        <v/>
      </c>
      <c r="AY711" s="67" t="str">
        <f>IFERROR(IF(COUNTIFS('Candidate Tracker'!$E:$E,'Positions Tracker'!$B711,'Candidate Tracker'!$C:$C,"Offer Drop")=0,"",COUNTIFS('Candidate Tracker'!$E:$E,'Positions Tracker'!$B711,'Candidate Tracker'!$C:$C,"Offer Drop")),"")</f>
        <v/>
      </c>
      <c r="AZ711" s="80">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0.88111888111888115</v>
      </c>
      <c r="BA711" s="81" t="str">
        <f>IFERROR(IF(COUNTIFS('Candidate Tracker'!$E:$E,'Positions Tracker'!$B711,'Candidate Tracker'!$I:$I,"Female")=0,"",COUNTIFS('Candidate Tracker'!$E:$E,'Positions Tracker'!$B711,'Candidate Tracker'!$I:$I,"Female")),"")</f>
        <v/>
      </c>
      <c r="BB711" s="81" t="str">
        <f>IFERROR(IF(COUNTIFS('Candidate Tracker'!$E:$E,'Positions Tracker'!$B711,'Candidate Tracker'!$I:$I,"male")=0,"",COUNTIFS('Candidate Tracker'!$E:$E,'Positions Tracker'!$B711,'Candidate Tracker'!$I:$I,"male")),"")</f>
        <v/>
      </c>
      <c r="BC711" s="80" t="str">
        <f>IFERROR(IF(COUNTIFS('Candidate Tracker'!$E:$E,'Positions Tracker'!$B711,'Candidate Tracker'!$C:$C,"&lt;&gt;WIP",'Candidate Tracker'!$C:$C,"&lt;&gt;Hold",'Candidate Tracker'!$C:$C,"&lt;&gt;Cancelled",'Candidate Tracker'!$C:$C,"&lt;&gt;Closed")/COUNTIFS('Candidate Tracker'!$E:$E,'Positions Tracker'!$B711)=0,"",COUNTIFS('Candidate Tracker'!$E:$E,'Positions Tracker'!$B711,'Candidate Tracker'!$C:$C,"&lt;&gt;WIP",'Candidate Tracker'!$C:$C,"&lt;&gt;Hold",'Candidate Tracker'!$C:$C,"&lt;&gt;Cancelled",'Candidate Tracker'!$C:$C,"&lt;&gt;Closed")/COUNTIFS('Candidate Tracker'!$E:$E,'Positions Tracker'!$B711)),"")</f>
        <v/>
      </c>
      <c r="BD711" s="67" t="str">
        <f t="shared" si="66"/>
        <v/>
      </c>
      <c r="BE711" s="67" t="str">
        <f t="shared" si="67"/>
        <v/>
      </c>
      <c r="BF711" s="67" t="str">
        <f t="shared" si="68"/>
        <v/>
      </c>
      <c r="BG711" s="67" t="str">
        <f t="shared" si="69"/>
        <v/>
      </c>
    </row>
    <row r="712" spans="1:59">
      <c r="A712" s="55"/>
      <c r="B712" s="56"/>
      <c r="C712" s="56"/>
      <c r="D712" s="56"/>
      <c r="E712" s="56"/>
      <c r="F712" s="56"/>
      <c r="G712" s="56"/>
      <c r="H712" s="56"/>
      <c r="I712" s="6"/>
      <c r="J712" s="6"/>
      <c r="K712" s="57"/>
      <c r="L712" s="57"/>
      <c r="M712" s="57"/>
      <c r="N712" s="56"/>
      <c r="O712" s="56"/>
      <c r="P712" s="56"/>
      <c r="Q712" s="56"/>
      <c r="R712" s="56"/>
      <c r="S712" s="56"/>
      <c r="T712" s="56"/>
      <c r="U712" s="56"/>
      <c r="V712" s="56"/>
      <c r="W712" s="56"/>
      <c r="X712" s="56"/>
      <c r="Y712" s="56"/>
      <c r="Z712" s="56"/>
      <c r="AA712" s="56"/>
      <c r="AB712" s="56"/>
      <c r="AC712" s="56"/>
      <c r="AD712" s="56"/>
      <c r="AE712" s="56"/>
      <c r="AF712" s="56"/>
      <c r="AG712" s="56"/>
      <c r="AH712" s="56"/>
      <c r="AI712" s="58"/>
      <c r="AJ712" s="56"/>
      <c r="AK712" s="56"/>
      <c r="AL712" s="56"/>
      <c r="AM712" s="57"/>
      <c r="AN712" s="57"/>
      <c r="AO712" s="56"/>
      <c r="AP712" s="56"/>
      <c r="AQ712" s="57"/>
      <c r="AR712" s="57"/>
      <c r="AS712" s="57"/>
      <c r="AT712" s="67">
        <f t="shared" ca="1" si="70"/>
        <v>0</v>
      </c>
      <c r="AU712" s="79" t="str">
        <f t="shared" ca="1" si="71"/>
        <v/>
      </c>
      <c r="AV712" s="79" t="str" cm="1">
        <f t="array" aca="1" ref="AV712" ca="1">IFERROR(_xlfn.IFS($AU712="","",$AU712&lt;=15,"0-15",AND($AU712&gt;=16,$AU712&lt;=30),"16-30",AND($AU712&gt;=31,$AU712&lt;=45),"31-45",AND($AU712&gt;=46,$AU712&lt;=60),"46-60",AND($AU712&gt;=61,$AU712&lt;=90),"61-90",AND($AU712&gt;=91),"&gt; 90",AND($AU712&gt;=2000),""),"")</f>
        <v/>
      </c>
      <c r="AW712" s="79" t="str" cm="1">
        <f t="array" aca="1" ref="AW712" ca="1">IFERROR(_xlfn.IFS(OR($M712="",$AM712=""),"",OR($C712="Offered",$C712="Joined"),($AM712-$M712)-$AT712),"")</f>
        <v/>
      </c>
      <c r="AX712" s="79" t="str" cm="1">
        <f t="array" aca="1" ref="AX712" ca="1">IFERROR(_xlfn.IFS(OR($M712="",$AS712=""),"",$C712="Joined",($AS712-$M712)-$AT712),"")</f>
        <v/>
      </c>
      <c r="AY712" s="67" t="str">
        <f>IFERROR(IF(COUNTIFS('Candidate Tracker'!$E:$E,'Positions Tracker'!$B712,'Candidate Tracker'!$C:$C,"Offer Drop")=0,"",COUNTIFS('Candidate Tracker'!$E:$E,'Positions Tracker'!$B712,'Candidate Tracker'!$C:$C,"Offer Drop")),"")</f>
        <v/>
      </c>
      <c r="AZ712" s="80">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0.88111888111888115</v>
      </c>
      <c r="BA712" s="81" t="str">
        <f>IFERROR(IF(COUNTIFS('Candidate Tracker'!$E:$E,'Positions Tracker'!$B712,'Candidate Tracker'!$I:$I,"Female")=0,"",COUNTIFS('Candidate Tracker'!$E:$E,'Positions Tracker'!$B712,'Candidate Tracker'!$I:$I,"Female")),"")</f>
        <v/>
      </c>
      <c r="BB712" s="81" t="str">
        <f>IFERROR(IF(COUNTIFS('Candidate Tracker'!$E:$E,'Positions Tracker'!$B712,'Candidate Tracker'!$I:$I,"male")=0,"",COUNTIFS('Candidate Tracker'!$E:$E,'Positions Tracker'!$B712,'Candidate Tracker'!$I:$I,"male")),"")</f>
        <v/>
      </c>
      <c r="BC712" s="80" t="str">
        <f>IFERROR(IF(COUNTIFS('Candidate Tracker'!$E:$E,'Positions Tracker'!$B712,'Candidate Tracker'!$C:$C,"&lt;&gt;WIP",'Candidate Tracker'!$C:$C,"&lt;&gt;Hold",'Candidate Tracker'!$C:$C,"&lt;&gt;Cancelled",'Candidate Tracker'!$C:$C,"&lt;&gt;Closed")/COUNTIFS('Candidate Tracker'!$E:$E,'Positions Tracker'!$B712)=0,"",COUNTIFS('Candidate Tracker'!$E:$E,'Positions Tracker'!$B712,'Candidate Tracker'!$C:$C,"&lt;&gt;WIP",'Candidate Tracker'!$C:$C,"&lt;&gt;Hold",'Candidate Tracker'!$C:$C,"&lt;&gt;Cancelled",'Candidate Tracker'!$C:$C,"&lt;&gt;Closed")/COUNTIFS('Candidate Tracker'!$E:$E,'Positions Tracker'!$B712)),"")</f>
        <v/>
      </c>
      <c r="BD712" s="67" t="str">
        <f t="shared" si="66"/>
        <v/>
      </c>
      <c r="BE712" s="67" t="str">
        <f t="shared" si="67"/>
        <v/>
      </c>
      <c r="BF712" s="67" t="str">
        <f t="shared" si="68"/>
        <v/>
      </c>
      <c r="BG712" s="67" t="str">
        <f t="shared" si="69"/>
        <v/>
      </c>
    </row>
    <row r="713" spans="1:59">
      <c r="A713" s="55"/>
      <c r="B713" s="56"/>
      <c r="C713" s="56"/>
      <c r="D713" s="56"/>
      <c r="E713" s="56"/>
      <c r="F713" s="56"/>
      <c r="G713" s="56"/>
      <c r="H713" s="56"/>
      <c r="I713" s="6"/>
      <c r="J713" s="6"/>
      <c r="K713" s="57"/>
      <c r="L713" s="57"/>
      <c r="M713" s="57"/>
      <c r="N713" s="56"/>
      <c r="O713" s="56"/>
      <c r="P713" s="56"/>
      <c r="Q713" s="56"/>
      <c r="R713" s="56"/>
      <c r="S713" s="56"/>
      <c r="T713" s="56"/>
      <c r="U713" s="56"/>
      <c r="V713" s="56"/>
      <c r="W713" s="56"/>
      <c r="X713" s="56"/>
      <c r="Y713" s="56"/>
      <c r="Z713" s="56"/>
      <c r="AA713" s="56"/>
      <c r="AB713" s="56"/>
      <c r="AC713" s="56"/>
      <c r="AD713" s="56"/>
      <c r="AE713" s="56"/>
      <c r="AF713" s="56"/>
      <c r="AG713" s="56"/>
      <c r="AH713" s="56"/>
      <c r="AI713" s="58"/>
      <c r="AJ713" s="56"/>
      <c r="AK713" s="56"/>
      <c r="AL713" s="56"/>
      <c r="AM713" s="57"/>
      <c r="AN713" s="57"/>
      <c r="AO713" s="56"/>
      <c r="AP713" s="56"/>
      <c r="AQ713" s="57"/>
      <c r="AR713" s="57"/>
      <c r="AS713" s="57"/>
      <c r="AT713" s="67">
        <f t="shared" ca="1" si="70"/>
        <v>0</v>
      </c>
      <c r="AU713" s="79" t="str">
        <f t="shared" ca="1" si="71"/>
        <v/>
      </c>
      <c r="AV713" s="79" t="str" cm="1">
        <f t="array" aca="1" ref="AV713" ca="1">IFERROR(_xlfn.IFS($AU713="","",$AU713&lt;=15,"0-15",AND($AU713&gt;=16,$AU713&lt;=30),"16-30",AND($AU713&gt;=31,$AU713&lt;=45),"31-45",AND($AU713&gt;=46,$AU713&lt;=60),"46-60",AND($AU713&gt;=61,$AU713&lt;=90),"61-90",AND($AU713&gt;=91),"&gt; 90",AND($AU713&gt;=2000),""),"")</f>
        <v/>
      </c>
      <c r="AW713" s="79" t="str" cm="1">
        <f t="array" aca="1" ref="AW713" ca="1">IFERROR(_xlfn.IFS(OR($M713="",$AM713=""),"",OR($C713="Offered",$C713="Joined"),($AM713-$M713)-$AT713),"")</f>
        <v/>
      </c>
      <c r="AX713" s="79" t="str" cm="1">
        <f t="array" aca="1" ref="AX713" ca="1">IFERROR(_xlfn.IFS(OR($M713="",$AS713=""),"",$C713="Joined",($AS713-$M713)-$AT713),"")</f>
        <v/>
      </c>
      <c r="AY713" s="67" t="str">
        <f>IFERROR(IF(COUNTIFS('Candidate Tracker'!$E:$E,'Positions Tracker'!$B713,'Candidate Tracker'!$C:$C,"Offer Drop")=0,"",COUNTIFS('Candidate Tracker'!$E:$E,'Positions Tracker'!$B713,'Candidate Tracker'!$C:$C,"Offer Drop")),"")</f>
        <v/>
      </c>
      <c r="AZ713" s="80">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0.88111888111888115</v>
      </c>
      <c r="BA713" s="81" t="str">
        <f>IFERROR(IF(COUNTIFS('Candidate Tracker'!$E:$E,'Positions Tracker'!$B713,'Candidate Tracker'!$I:$I,"Female")=0,"",COUNTIFS('Candidate Tracker'!$E:$E,'Positions Tracker'!$B713,'Candidate Tracker'!$I:$I,"Female")),"")</f>
        <v/>
      </c>
      <c r="BB713" s="81" t="str">
        <f>IFERROR(IF(COUNTIFS('Candidate Tracker'!$E:$E,'Positions Tracker'!$B713,'Candidate Tracker'!$I:$I,"male")=0,"",COUNTIFS('Candidate Tracker'!$E:$E,'Positions Tracker'!$B713,'Candidate Tracker'!$I:$I,"male")),"")</f>
        <v/>
      </c>
      <c r="BC713" s="80" t="str">
        <f>IFERROR(IF(COUNTIFS('Candidate Tracker'!$E:$E,'Positions Tracker'!$B713,'Candidate Tracker'!$C:$C,"&lt;&gt;WIP",'Candidate Tracker'!$C:$C,"&lt;&gt;Hold",'Candidate Tracker'!$C:$C,"&lt;&gt;Cancelled",'Candidate Tracker'!$C:$C,"&lt;&gt;Closed")/COUNTIFS('Candidate Tracker'!$E:$E,'Positions Tracker'!$B713)=0,"",COUNTIFS('Candidate Tracker'!$E:$E,'Positions Tracker'!$B713,'Candidate Tracker'!$C:$C,"&lt;&gt;WIP",'Candidate Tracker'!$C:$C,"&lt;&gt;Hold",'Candidate Tracker'!$C:$C,"&lt;&gt;Cancelled",'Candidate Tracker'!$C:$C,"&lt;&gt;Closed")/COUNTIFS('Candidate Tracker'!$E:$E,'Positions Tracker'!$B713)),"")</f>
        <v/>
      </c>
      <c r="BD713" s="67" t="str">
        <f t="shared" si="66"/>
        <v/>
      </c>
      <c r="BE713" s="67" t="str">
        <f t="shared" si="67"/>
        <v/>
      </c>
      <c r="BF713" s="67" t="str">
        <f t="shared" si="68"/>
        <v/>
      </c>
      <c r="BG713" s="67" t="str">
        <f t="shared" si="69"/>
        <v/>
      </c>
    </row>
    <row r="714" spans="1:59">
      <c r="A714" s="55"/>
      <c r="B714" s="56"/>
      <c r="C714" s="56"/>
      <c r="D714" s="56"/>
      <c r="E714" s="56"/>
      <c r="F714" s="56"/>
      <c r="G714" s="56"/>
      <c r="H714" s="56"/>
      <c r="I714" s="6"/>
      <c r="J714" s="6"/>
      <c r="K714" s="57"/>
      <c r="L714" s="57"/>
      <c r="M714" s="57"/>
      <c r="N714" s="56"/>
      <c r="O714" s="56"/>
      <c r="P714" s="56"/>
      <c r="Q714" s="56"/>
      <c r="R714" s="56"/>
      <c r="S714" s="56"/>
      <c r="T714" s="56"/>
      <c r="U714" s="56"/>
      <c r="V714" s="56"/>
      <c r="W714" s="56"/>
      <c r="X714" s="56"/>
      <c r="Y714" s="56"/>
      <c r="Z714" s="56"/>
      <c r="AA714" s="56"/>
      <c r="AB714" s="56"/>
      <c r="AC714" s="56"/>
      <c r="AD714" s="56"/>
      <c r="AE714" s="56"/>
      <c r="AF714" s="56"/>
      <c r="AG714" s="56"/>
      <c r="AH714" s="56"/>
      <c r="AI714" s="58"/>
      <c r="AJ714" s="56"/>
      <c r="AK714" s="56"/>
      <c r="AL714" s="56"/>
      <c r="AM714" s="57"/>
      <c r="AN714" s="57"/>
      <c r="AO714" s="56"/>
      <c r="AP714" s="56"/>
      <c r="AQ714" s="57"/>
      <c r="AR714" s="57"/>
      <c r="AS714" s="57"/>
      <c r="AT714" s="67">
        <f t="shared" ca="1" si="70"/>
        <v>0</v>
      </c>
      <c r="AU714" s="79" t="str">
        <f t="shared" ca="1" si="71"/>
        <v/>
      </c>
      <c r="AV714" s="79" t="str" cm="1">
        <f t="array" aca="1" ref="AV714" ca="1">IFERROR(_xlfn.IFS($AU714="","",$AU714&lt;=15,"0-15",AND($AU714&gt;=16,$AU714&lt;=30),"16-30",AND($AU714&gt;=31,$AU714&lt;=45),"31-45",AND($AU714&gt;=46,$AU714&lt;=60),"46-60",AND($AU714&gt;=61,$AU714&lt;=90),"61-90",AND($AU714&gt;=91),"&gt; 90",AND($AU714&gt;=2000),""),"")</f>
        <v/>
      </c>
      <c r="AW714" s="79" t="str" cm="1">
        <f t="array" aca="1" ref="AW714" ca="1">IFERROR(_xlfn.IFS(OR($M714="",$AM714=""),"",OR($C714="Offered",$C714="Joined"),($AM714-$M714)-$AT714),"")</f>
        <v/>
      </c>
      <c r="AX714" s="79" t="str" cm="1">
        <f t="array" aca="1" ref="AX714" ca="1">IFERROR(_xlfn.IFS(OR($M714="",$AS714=""),"",$C714="Joined",($AS714-$M714)-$AT714),"")</f>
        <v/>
      </c>
      <c r="AY714" s="67" t="str">
        <f>IFERROR(IF(COUNTIFS('Candidate Tracker'!$E:$E,'Positions Tracker'!$B714,'Candidate Tracker'!$C:$C,"Offer Drop")=0,"",COUNTIFS('Candidate Tracker'!$E:$E,'Positions Tracker'!$B714,'Candidate Tracker'!$C:$C,"Offer Drop")),"")</f>
        <v/>
      </c>
      <c r="AZ714" s="80">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0.88111888111888115</v>
      </c>
      <c r="BA714" s="81" t="str">
        <f>IFERROR(IF(COUNTIFS('Candidate Tracker'!$E:$E,'Positions Tracker'!$B714,'Candidate Tracker'!$I:$I,"Female")=0,"",COUNTIFS('Candidate Tracker'!$E:$E,'Positions Tracker'!$B714,'Candidate Tracker'!$I:$I,"Female")),"")</f>
        <v/>
      </c>
      <c r="BB714" s="81" t="str">
        <f>IFERROR(IF(COUNTIFS('Candidate Tracker'!$E:$E,'Positions Tracker'!$B714,'Candidate Tracker'!$I:$I,"male")=0,"",COUNTIFS('Candidate Tracker'!$E:$E,'Positions Tracker'!$B714,'Candidate Tracker'!$I:$I,"male")),"")</f>
        <v/>
      </c>
      <c r="BC714" s="80" t="str">
        <f>IFERROR(IF(COUNTIFS('Candidate Tracker'!$E:$E,'Positions Tracker'!$B714,'Candidate Tracker'!$C:$C,"&lt;&gt;WIP",'Candidate Tracker'!$C:$C,"&lt;&gt;Hold",'Candidate Tracker'!$C:$C,"&lt;&gt;Cancelled",'Candidate Tracker'!$C:$C,"&lt;&gt;Closed")/COUNTIFS('Candidate Tracker'!$E:$E,'Positions Tracker'!$B714)=0,"",COUNTIFS('Candidate Tracker'!$E:$E,'Positions Tracker'!$B714,'Candidate Tracker'!$C:$C,"&lt;&gt;WIP",'Candidate Tracker'!$C:$C,"&lt;&gt;Hold",'Candidate Tracker'!$C:$C,"&lt;&gt;Cancelled",'Candidate Tracker'!$C:$C,"&lt;&gt;Closed")/COUNTIFS('Candidate Tracker'!$E:$E,'Positions Tracker'!$B714)),"")</f>
        <v/>
      </c>
      <c r="BD714" s="67" t="str">
        <f t="shared" si="66"/>
        <v/>
      </c>
      <c r="BE714" s="67" t="str">
        <f t="shared" si="67"/>
        <v/>
      </c>
      <c r="BF714" s="67" t="str">
        <f t="shared" si="68"/>
        <v/>
      </c>
      <c r="BG714" s="67" t="str">
        <f t="shared" si="69"/>
        <v/>
      </c>
    </row>
    <row r="715" spans="1:59">
      <c r="A715" s="55"/>
      <c r="B715" s="56"/>
      <c r="C715" s="56"/>
      <c r="D715" s="56"/>
      <c r="E715" s="56"/>
      <c r="F715" s="56"/>
      <c r="G715" s="56"/>
      <c r="H715" s="56"/>
      <c r="I715" s="6"/>
      <c r="J715" s="6"/>
      <c r="K715" s="57"/>
      <c r="L715" s="57"/>
      <c r="M715" s="57"/>
      <c r="N715" s="56"/>
      <c r="O715" s="56"/>
      <c r="P715" s="56"/>
      <c r="Q715" s="56"/>
      <c r="R715" s="56"/>
      <c r="S715" s="56"/>
      <c r="T715" s="56"/>
      <c r="U715" s="56"/>
      <c r="V715" s="56"/>
      <c r="W715" s="56"/>
      <c r="X715" s="56"/>
      <c r="Y715" s="56"/>
      <c r="Z715" s="56"/>
      <c r="AA715" s="56"/>
      <c r="AB715" s="56"/>
      <c r="AC715" s="56"/>
      <c r="AD715" s="56"/>
      <c r="AE715" s="56"/>
      <c r="AF715" s="56"/>
      <c r="AG715" s="56"/>
      <c r="AH715" s="56"/>
      <c r="AI715" s="58"/>
      <c r="AJ715" s="56"/>
      <c r="AK715" s="56"/>
      <c r="AL715" s="56"/>
      <c r="AM715" s="57"/>
      <c r="AN715" s="57"/>
      <c r="AO715" s="56"/>
      <c r="AP715" s="56"/>
      <c r="AQ715" s="57"/>
      <c r="AR715" s="57"/>
      <c r="AS715" s="57"/>
      <c r="AT715" s="67">
        <f t="shared" ca="1" si="70"/>
        <v>0</v>
      </c>
      <c r="AU715" s="79" t="str">
        <f t="shared" ca="1" si="71"/>
        <v/>
      </c>
      <c r="AV715" s="79" t="str" cm="1">
        <f t="array" aca="1" ref="AV715" ca="1">IFERROR(_xlfn.IFS($AU715="","",$AU715&lt;=15,"0-15",AND($AU715&gt;=16,$AU715&lt;=30),"16-30",AND($AU715&gt;=31,$AU715&lt;=45),"31-45",AND($AU715&gt;=46,$AU715&lt;=60),"46-60",AND($AU715&gt;=61,$AU715&lt;=90),"61-90",AND($AU715&gt;=91),"&gt; 90",AND($AU715&gt;=2000),""),"")</f>
        <v/>
      </c>
      <c r="AW715" s="79" t="str" cm="1">
        <f t="array" aca="1" ref="AW715" ca="1">IFERROR(_xlfn.IFS(OR($M715="",$AM715=""),"",OR($C715="Offered",$C715="Joined"),($AM715-$M715)-$AT715),"")</f>
        <v/>
      </c>
      <c r="AX715" s="79" t="str" cm="1">
        <f t="array" aca="1" ref="AX715" ca="1">IFERROR(_xlfn.IFS(OR($M715="",$AS715=""),"",$C715="Joined",($AS715-$M715)-$AT715),"")</f>
        <v/>
      </c>
      <c r="AY715" s="67" t="str">
        <f>IFERROR(IF(COUNTIFS('Candidate Tracker'!$E:$E,'Positions Tracker'!$B715,'Candidate Tracker'!$C:$C,"Offer Drop")=0,"",COUNTIFS('Candidate Tracker'!$E:$E,'Positions Tracker'!$B715,'Candidate Tracker'!$C:$C,"Offer Drop")),"")</f>
        <v/>
      </c>
      <c r="AZ715" s="80">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0.88111888111888115</v>
      </c>
      <c r="BA715" s="81" t="str">
        <f>IFERROR(IF(COUNTIFS('Candidate Tracker'!$E:$E,'Positions Tracker'!$B715,'Candidate Tracker'!$I:$I,"Female")=0,"",COUNTIFS('Candidate Tracker'!$E:$E,'Positions Tracker'!$B715,'Candidate Tracker'!$I:$I,"Female")),"")</f>
        <v/>
      </c>
      <c r="BB715" s="81" t="str">
        <f>IFERROR(IF(COUNTIFS('Candidate Tracker'!$E:$E,'Positions Tracker'!$B715,'Candidate Tracker'!$I:$I,"male")=0,"",COUNTIFS('Candidate Tracker'!$E:$E,'Positions Tracker'!$B715,'Candidate Tracker'!$I:$I,"male")),"")</f>
        <v/>
      </c>
      <c r="BC715" s="80" t="str">
        <f>IFERROR(IF(COUNTIFS('Candidate Tracker'!$E:$E,'Positions Tracker'!$B715,'Candidate Tracker'!$C:$C,"&lt;&gt;WIP",'Candidate Tracker'!$C:$C,"&lt;&gt;Hold",'Candidate Tracker'!$C:$C,"&lt;&gt;Cancelled",'Candidate Tracker'!$C:$C,"&lt;&gt;Closed")/COUNTIFS('Candidate Tracker'!$E:$E,'Positions Tracker'!$B715)=0,"",COUNTIFS('Candidate Tracker'!$E:$E,'Positions Tracker'!$B715,'Candidate Tracker'!$C:$C,"&lt;&gt;WIP",'Candidate Tracker'!$C:$C,"&lt;&gt;Hold",'Candidate Tracker'!$C:$C,"&lt;&gt;Cancelled",'Candidate Tracker'!$C:$C,"&lt;&gt;Closed")/COUNTIFS('Candidate Tracker'!$E:$E,'Positions Tracker'!$B715)),"")</f>
        <v/>
      </c>
      <c r="BD715" s="67" t="str">
        <f t="shared" si="66"/>
        <v/>
      </c>
      <c r="BE715" s="67" t="str">
        <f t="shared" si="67"/>
        <v/>
      </c>
      <c r="BF715" s="67" t="str">
        <f t="shared" si="68"/>
        <v/>
      </c>
      <c r="BG715" s="67" t="str">
        <f t="shared" si="69"/>
        <v/>
      </c>
    </row>
    <row r="716" spans="1:59">
      <c r="A716" s="55"/>
      <c r="B716" s="56"/>
      <c r="C716" s="56"/>
      <c r="D716" s="56"/>
      <c r="E716" s="56"/>
      <c r="F716" s="56"/>
      <c r="G716" s="56"/>
      <c r="H716" s="56"/>
      <c r="I716" s="6"/>
      <c r="J716" s="6"/>
      <c r="K716" s="57"/>
      <c r="L716" s="57"/>
      <c r="M716" s="57"/>
      <c r="N716" s="56"/>
      <c r="O716" s="56"/>
      <c r="P716" s="56"/>
      <c r="Q716" s="56"/>
      <c r="R716" s="56"/>
      <c r="S716" s="56"/>
      <c r="T716" s="56"/>
      <c r="U716" s="56"/>
      <c r="V716" s="56"/>
      <c r="W716" s="56"/>
      <c r="X716" s="56"/>
      <c r="Y716" s="56"/>
      <c r="Z716" s="56"/>
      <c r="AA716" s="56"/>
      <c r="AB716" s="56"/>
      <c r="AC716" s="56"/>
      <c r="AD716" s="56"/>
      <c r="AE716" s="56"/>
      <c r="AF716" s="56"/>
      <c r="AG716" s="56"/>
      <c r="AH716" s="56"/>
      <c r="AI716" s="58"/>
      <c r="AJ716" s="56"/>
      <c r="AK716" s="56"/>
      <c r="AL716" s="56"/>
      <c r="AM716" s="57"/>
      <c r="AN716" s="57"/>
      <c r="AO716" s="56"/>
      <c r="AP716" s="56"/>
      <c r="AQ716" s="57"/>
      <c r="AR716" s="57"/>
      <c r="AS716" s="57"/>
      <c r="AT716" s="67">
        <f t="shared" ca="1" si="70"/>
        <v>0</v>
      </c>
      <c r="AU716" s="79" t="str">
        <f t="shared" ca="1" si="71"/>
        <v/>
      </c>
      <c r="AV716" s="79" t="str" cm="1">
        <f t="array" aca="1" ref="AV716" ca="1">IFERROR(_xlfn.IFS($AU716="","",$AU716&lt;=15,"0-15",AND($AU716&gt;=16,$AU716&lt;=30),"16-30",AND($AU716&gt;=31,$AU716&lt;=45),"31-45",AND($AU716&gt;=46,$AU716&lt;=60),"46-60",AND($AU716&gt;=61,$AU716&lt;=90),"61-90",AND($AU716&gt;=91),"&gt; 90",AND($AU716&gt;=2000),""),"")</f>
        <v/>
      </c>
      <c r="AW716" s="79" t="str" cm="1">
        <f t="array" aca="1" ref="AW716" ca="1">IFERROR(_xlfn.IFS(OR($M716="",$AM716=""),"",OR($C716="Offered",$C716="Joined"),($AM716-$M716)-$AT716),"")</f>
        <v/>
      </c>
      <c r="AX716" s="79" t="str" cm="1">
        <f t="array" aca="1" ref="AX716" ca="1">IFERROR(_xlfn.IFS(OR($M716="",$AS716=""),"",$C716="Joined",($AS716-$M716)-$AT716),"")</f>
        <v/>
      </c>
      <c r="AY716" s="67" t="str">
        <f>IFERROR(IF(COUNTIFS('Candidate Tracker'!$E:$E,'Positions Tracker'!$B716,'Candidate Tracker'!$C:$C,"Offer Drop")=0,"",COUNTIFS('Candidate Tracker'!$E:$E,'Positions Tracker'!$B716,'Candidate Tracker'!$C:$C,"Offer Drop")),"")</f>
        <v/>
      </c>
      <c r="AZ716" s="80">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0.88111888111888115</v>
      </c>
      <c r="BA716" s="81" t="str">
        <f>IFERROR(IF(COUNTIFS('Candidate Tracker'!$E:$E,'Positions Tracker'!$B716,'Candidate Tracker'!$I:$I,"Female")=0,"",COUNTIFS('Candidate Tracker'!$E:$E,'Positions Tracker'!$B716,'Candidate Tracker'!$I:$I,"Female")),"")</f>
        <v/>
      </c>
      <c r="BB716" s="81" t="str">
        <f>IFERROR(IF(COUNTIFS('Candidate Tracker'!$E:$E,'Positions Tracker'!$B716,'Candidate Tracker'!$I:$I,"male")=0,"",COUNTIFS('Candidate Tracker'!$E:$E,'Positions Tracker'!$B716,'Candidate Tracker'!$I:$I,"male")),"")</f>
        <v/>
      </c>
      <c r="BC716" s="80" t="str">
        <f>IFERROR(IF(COUNTIFS('Candidate Tracker'!$E:$E,'Positions Tracker'!$B716,'Candidate Tracker'!$C:$C,"&lt;&gt;WIP",'Candidate Tracker'!$C:$C,"&lt;&gt;Hold",'Candidate Tracker'!$C:$C,"&lt;&gt;Cancelled",'Candidate Tracker'!$C:$C,"&lt;&gt;Closed")/COUNTIFS('Candidate Tracker'!$E:$E,'Positions Tracker'!$B716)=0,"",COUNTIFS('Candidate Tracker'!$E:$E,'Positions Tracker'!$B716,'Candidate Tracker'!$C:$C,"&lt;&gt;WIP",'Candidate Tracker'!$C:$C,"&lt;&gt;Hold",'Candidate Tracker'!$C:$C,"&lt;&gt;Cancelled",'Candidate Tracker'!$C:$C,"&lt;&gt;Closed")/COUNTIFS('Candidate Tracker'!$E:$E,'Positions Tracker'!$B716)),"")</f>
        <v/>
      </c>
      <c r="BD716" s="67" t="str">
        <f t="shared" si="66"/>
        <v/>
      </c>
      <c r="BE716" s="67" t="str">
        <f t="shared" si="67"/>
        <v/>
      </c>
      <c r="BF716" s="67" t="str">
        <f t="shared" si="68"/>
        <v/>
      </c>
      <c r="BG716" s="67" t="str">
        <f t="shared" si="69"/>
        <v/>
      </c>
    </row>
    <row r="717" spans="1:59">
      <c r="A717" s="55"/>
      <c r="B717" s="56"/>
      <c r="C717" s="56"/>
      <c r="D717" s="56"/>
      <c r="E717" s="56"/>
      <c r="F717" s="56"/>
      <c r="G717" s="56"/>
      <c r="H717" s="56"/>
      <c r="I717" s="6"/>
      <c r="J717" s="6"/>
      <c r="K717" s="57"/>
      <c r="L717" s="57"/>
      <c r="M717" s="57"/>
      <c r="N717" s="56"/>
      <c r="O717" s="56"/>
      <c r="P717" s="56"/>
      <c r="Q717" s="56"/>
      <c r="R717" s="56"/>
      <c r="S717" s="56"/>
      <c r="T717" s="56"/>
      <c r="U717" s="56"/>
      <c r="V717" s="56"/>
      <c r="W717" s="56"/>
      <c r="X717" s="56"/>
      <c r="Y717" s="56"/>
      <c r="Z717" s="56"/>
      <c r="AA717" s="56"/>
      <c r="AB717" s="56"/>
      <c r="AC717" s="56"/>
      <c r="AD717" s="56"/>
      <c r="AE717" s="56"/>
      <c r="AF717" s="56"/>
      <c r="AG717" s="56"/>
      <c r="AH717" s="56"/>
      <c r="AI717" s="58"/>
      <c r="AJ717" s="56"/>
      <c r="AK717" s="56"/>
      <c r="AL717" s="56"/>
      <c r="AM717" s="57"/>
      <c r="AN717" s="57"/>
      <c r="AO717" s="56"/>
      <c r="AP717" s="56"/>
      <c r="AQ717" s="57"/>
      <c r="AR717" s="57"/>
      <c r="AS717" s="57"/>
      <c r="AT717" s="67">
        <f t="shared" ca="1" si="70"/>
        <v>0</v>
      </c>
      <c r="AU717" s="79" t="str">
        <f t="shared" ca="1" si="71"/>
        <v/>
      </c>
      <c r="AV717" s="79" t="str" cm="1">
        <f t="array" aca="1" ref="AV717" ca="1">IFERROR(_xlfn.IFS($AU717="","",$AU717&lt;=15,"0-15",AND($AU717&gt;=16,$AU717&lt;=30),"16-30",AND($AU717&gt;=31,$AU717&lt;=45),"31-45",AND($AU717&gt;=46,$AU717&lt;=60),"46-60",AND($AU717&gt;=61,$AU717&lt;=90),"61-90",AND($AU717&gt;=91),"&gt; 90",AND($AU717&gt;=2000),""),"")</f>
        <v/>
      </c>
      <c r="AW717" s="79" t="str" cm="1">
        <f t="array" aca="1" ref="AW717" ca="1">IFERROR(_xlfn.IFS(OR($M717="",$AM717=""),"",OR($C717="Offered",$C717="Joined"),($AM717-$M717)-$AT717),"")</f>
        <v/>
      </c>
      <c r="AX717" s="79" t="str" cm="1">
        <f t="array" aca="1" ref="AX717" ca="1">IFERROR(_xlfn.IFS(OR($M717="",$AS717=""),"",$C717="Joined",($AS717-$M717)-$AT717),"")</f>
        <v/>
      </c>
      <c r="AY717" s="67" t="str">
        <f>IFERROR(IF(COUNTIFS('Candidate Tracker'!$E:$E,'Positions Tracker'!$B717,'Candidate Tracker'!$C:$C,"Offer Drop")=0,"",COUNTIFS('Candidate Tracker'!$E:$E,'Positions Tracker'!$B717,'Candidate Tracker'!$C:$C,"Offer Drop")),"")</f>
        <v/>
      </c>
      <c r="AZ717" s="80">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0.88111888111888115</v>
      </c>
      <c r="BA717" s="81" t="str">
        <f>IFERROR(IF(COUNTIFS('Candidate Tracker'!$E:$E,'Positions Tracker'!$B717,'Candidate Tracker'!$I:$I,"Female")=0,"",COUNTIFS('Candidate Tracker'!$E:$E,'Positions Tracker'!$B717,'Candidate Tracker'!$I:$I,"Female")),"")</f>
        <v/>
      </c>
      <c r="BB717" s="81" t="str">
        <f>IFERROR(IF(COUNTIFS('Candidate Tracker'!$E:$E,'Positions Tracker'!$B717,'Candidate Tracker'!$I:$I,"male")=0,"",COUNTIFS('Candidate Tracker'!$E:$E,'Positions Tracker'!$B717,'Candidate Tracker'!$I:$I,"male")),"")</f>
        <v/>
      </c>
      <c r="BC717" s="80" t="str">
        <f>IFERROR(IF(COUNTIFS('Candidate Tracker'!$E:$E,'Positions Tracker'!$B717,'Candidate Tracker'!$C:$C,"&lt;&gt;WIP",'Candidate Tracker'!$C:$C,"&lt;&gt;Hold",'Candidate Tracker'!$C:$C,"&lt;&gt;Cancelled",'Candidate Tracker'!$C:$C,"&lt;&gt;Closed")/COUNTIFS('Candidate Tracker'!$E:$E,'Positions Tracker'!$B717)=0,"",COUNTIFS('Candidate Tracker'!$E:$E,'Positions Tracker'!$B717,'Candidate Tracker'!$C:$C,"&lt;&gt;WIP",'Candidate Tracker'!$C:$C,"&lt;&gt;Hold",'Candidate Tracker'!$C:$C,"&lt;&gt;Cancelled",'Candidate Tracker'!$C:$C,"&lt;&gt;Closed")/COUNTIFS('Candidate Tracker'!$E:$E,'Positions Tracker'!$B717)),"")</f>
        <v/>
      </c>
      <c r="BD717" s="67" t="str">
        <f t="shared" si="66"/>
        <v/>
      </c>
      <c r="BE717" s="67" t="str">
        <f t="shared" si="67"/>
        <v/>
      </c>
      <c r="BF717" s="67" t="str">
        <f t="shared" si="68"/>
        <v/>
      </c>
      <c r="BG717" s="67" t="str">
        <f t="shared" si="69"/>
        <v/>
      </c>
    </row>
    <row r="718" spans="1:59">
      <c r="A718" s="55"/>
      <c r="B718" s="56"/>
      <c r="C718" s="56"/>
      <c r="D718" s="56"/>
      <c r="E718" s="56"/>
      <c r="F718" s="56"/>
      <c r="G718" s="56"/>
      <c r="H718" s="56"/>
      <c r="I718" s="6"/>
      <c r="J718" s="6"/>
      <c r="K718" s="57"/>
      <c r="L718" s="57"/>
      <c r="M718" s="57"/>
      <c r="N718" s="56"/>
      <c r="O718" s="56"/>
      <c r="P718" s="56"/>
      <c r="Q718" s="56"/>
      <c r="R718" s="56"/>
      <c r="S718" s="56"/>
      <c r="T718" s="56"/>
      <c r="U718" s="56"/>
      <c r="V718" s="56"/>
      <c r="W718" s="56"/>
      <c r="X718" s="56"/>
      <c r="Y718" s="56"/>
      <c r="Z718" s="56"/>
      <c r="AA718" s="56"/>
      <c r="AB718" s="56"/>
      <c r="AC718" s="56"/>
      <c r="AD718" s="56"/>
      <c r="AE718" s="56"/>
      <c r="AF718" s="56"/>
      <c r="AG718" s="56"/>
      <c r="AH718" s="56"/>
      <c r="AI718" s="58"/>
      <c r="AJ718" s="56"/>
      <c r="AK718" s="56"/>
      <c r="AL718" s="56"/>
      <c r="AM718" s="57"/>
      <c r="AN718" s="57"/>
      <c r="AO718" s="56"/>
      <c r="AP718" s="56"/>
      <c r="AQ718" s="57"/>
      <c r="AR718" s="57"/>
      <c r="AS718" s="57"/>
      <c r="AT718" s="67">
        <f t="shared" ca="1" si="70"/>
        <v>0</v>
      </c>
      <c r="AU718" s="79" t="str">
        <f t="shared" ca="1" si="71"/>
        <v/>
      </c>
      <c r="AV718" s="79" t="str" cm="1">
        <f t="array" aca="1" ref="AV718" ca="1">IFERROR(_xlfn.IFS($AU718="","",$AU718&lt;=15,"0-15",AND($AU718&gt;=16,$AU718&lt;=30),"16-30",AND($AU718&gt;=31,$AU718&lt;=45),"31-45",AND($AU718&gt;=46,$AU718&lt;=60),"46-60",AND($AU718&gt;=61,$AU718&lt;=90),"61-90",AND($AU718&gt;=91),"&gt; 90",AND($AU718&gt;=2000),""),"")</f>
        <v/>
      </c>
      <c r="AW718" s="79" t="str" cm="1">
        <f t="array" aca="1" ref="AW718" ca="1">IFERROR(_xlfn.IFS(OR($M718="",$AM718=""),"",OR($C718="Offered",$C718="Joined"),($AM718-$M718)-$AT718),"")</f>
        <v/>
      </c>
      <c r="AX718" s="79" t="str" cm="1">
        <f t="array" aca="1" ref="AX718" ca="1">IFERROR(_xlfn.IFS(OR($M718="",$AS718=""),"",$C718="Joined",($AS718-$M718)-$AT718),"")</f>
        <v/>
      </c>
      <c r="AY718" s="67" t="str">
        <f>IFERROR(IF(COUNTIFS('Candidate Tracker'!$E:$E,'Positions Tracker'!$B718,'Candidate Tracker'!$C:$C,"Offer Drop")=0,"",COUNTIFS('Candidate Tracker'!$E:$E,'Positions Tracker'!$B718,'Candidate Tracker'!$C:$C,"Offer Drop")),"")</f>
        <v/>
      </c>
      <c r="AZ718" s="80">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0.88111888111888115</v>
      </c>
      <c r="BA718" s="81" t="str">
        <f>IFERROR(IF(COUNTIFS('Candidate Tracker'!$E:$E,'Positions Tracker'!$B718,'Candidate Tracker'!$I:$I,"Female")=0,"",COUNTIFS('Candidate Tracker'!$E:$E,'Positions Tracker'!$B718,'Candidate Tracker'!$I:$I,"Female")),"")</f>
        <v/>
      </c>
      <c r="BB718" s="81" t="str">
        <f>IFERROR(IF(COUNTIFS('Candidate Tracker'!$E:$E,'Positions Tracker'!$B718,'Candidate Tracker'!$I:$I,"male")=0,"",COUNTIFS('Candidate Tracker'!$E:$E,'Positions Tracker'!$B718,'Candidate Tracker'!$I:$I,"male")),"")</f>
        <v/>
      </c>
      <c r="BC718" s="80" t="str">
        <f>IFERROR(IF(COUNTIFS('Candidate Tracker'!$E:$E,'Positions Tracker'!$B718,'Candidate Tracker'!$C:$C,"&lt;&gt;WIP",'Candidate Tracker'!$C:$C,"&lt;&gt;Hold",'Candidate Tracker'!$C:$C,"&lt;&gt;Cancelled",'Candidate Tracker'!$C:$C,"&lt;&gt;Closed")/COUNTIFS('Candidate Tracker'!$E:$E,'Positions Tracker'!$B718)=0,"",COUNTIFS('Candidate Tracker'!$E:$E,'Positions Tracker'!$B718,'Candidate Tracker'!$C:$C,"&lt;&gt;WIP",'Candidate Tracker'!$C:$C,"&lt;&gt;Hold",'Candidate Tracker'!$C:$C,"&lt;&gt;Cancelled",'Candidate Tracker'!$C:$C,"&lt;&gt;Closed")/COUNTIFS('Candidate Tracker'!$E:$E,'Positions Tracker'!$B718)),"")</f>
        <v/>
      </c>
      <c r="BD718" s="67" t="str">
        <f t="shared" si="66"/>
        <v/>
      </c>
      <c r="BE718" s="67" t="str">
        <f t="shared" si="67"/>
        <v/>
      </c>
      <c r="BF718" s="67" t="str">
        <f t="shared" si="68"/>
        <v/>
      </c>
      <c r="BG718" s="67" t="str">
        <f t="shared" si="69"/>
        <v/>
      </c>
    </row>
    <row r="719" spans="1:59">
      <c r="A719" s="55"/>
      <c r="B719" s="56"/>
      <c r="C719" s="56"/>
      <c r="D719" s="56"/>
      <c r="E719" s="56"/>
      <c r="F719" s="56"/>
      <c r="G719" s="56"/>
      <c r="H719" s="56"/>
      <c r="I719" s="6"/>
      <c r="J719" s="6"/>
      <c r="K719" s="57"/>
      <c r="L719" s="57"/>
      <c r="M719" s="57"/>
      <c r="N719" s="56"/>
      <c r="O719" s="56"/>
      <c r="P719" s="56"/>
      <c r="Q719" s="56"/>
      <c r="R719" s="56"/>
      <c r="S719" s="56"/>
      <c r="T719" s="56"/>
      <c r="U719" s="56"/>
      <c r="V719" s="56"/>
      <c r="W719" s="56"/>
      <c r="X719" s="56"/>
      <c r="Y719" s="56"/>
      <c r="Z719" s="56"/>
      <c r="AA719" s="56"/>
      <c r="AB719" s="56"/>
      <c r="AC719" s="56"/>
      <c r="AD719" s="56"/>
      <c r="AE719" s="56"/>
      <c r="AF719" s="56"/>
      <c r="AG719" s="56"/>
      <c r="AH719" s="56"/>
      <c r="AI719" s="58"/>
      <c r="AJ719" s="56"/>
      <c r="AK719" s="56"/>
      <c r="AL719" s="56"/>
      <c r="AM719" s="57"/>
      <c r="AN719" s="57"/>
      <c r="AO719" s="56"/>
      <c r="AP719" s="56"/>
      <c r="AQ719" s="57"/>
      <c r="AR719" s="57"/>
      <c r="AS719" s="57"/>
      <c r="AT719" s="67">
        <f t="shared" ca="1" si="70"/>
        <v>0</v>
      </c>
      <c r="AU719" s="79" t="str">
        <f t="shared" ca="1" si="71"/>
        <v/>
      </c>
      <c r="AV719" s="79" t="str" cm="1">
        <f t="array" aca="1" ref="AV719" ca="1">IFERROR(_xlfn.IFS($AU719="","",$AU719&lt;=15,"0-15",AND($AU719&gt;=16,$AU719&lt;=30),"16-30",AND($AU719&gt;=31,$AU719&lt;=45),"31-45",AND($AU719&gt;=46,$AU719&lt;=60),"46-60",AND($AU719&gt;=61,$AU719&lt;=90),"61-90",AND($AU719&gt;=91),"&gt; 90",AND($AU719&gt;=2000),""),"")</f>
        <v/>
      </c>
      <c r="AW719" s="79" t="str" cm="1">
        <f t="array" aca="1" ref="AW719" ca="1">IFERROR(_xlfn.IFS(OR($M719="",$AM719=""),"",OR($C719="Offered",$C719="Joined"),($AM719-$M719)-$AT719),"")</f>
        <v/>
      </c>
      <c r="AX719" s="79" t="str" cm="1">
        <f t="array" aca="1" ref="AX719" ca="1">IFERROR(_xlfn.IFS(OR($M719="",$AS719=""),"",$C719="Joined",($AS719-$M719)-$AT719),"")</f>
        <v/>
      </c>
      <c r="AY719" s="67" t="str">
        <f>IFERROR(IF(COUNTIFS('Candidate Tracker'!$E:$E,'Positions Tracker'!$B719,'Candidate Tracker'!$C:$C,"Offer Drop")=0,"",COUNTIFS('Candidate Tracker'!$E:$E,'Positions Tracker'!$B719,'Candidate Tracker'!$C:$C,"Offer Drop")),"")</f>
        <v/>
      </c>
      <c r="AZ719" s="80">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0.88111888111888115</v>
      </c>
      <c r="BA719" s="81" t="str">
        <f>IFERROR(IF(COUNTIFS('Candidate Tracker'!$E:$E,'Positions Tracker'!$B719,'Candidate Tracker'!$I:$I,"Female")=0,"",COUNTIFS('Candidate Tracker'!$E:$E,'Positions Tracker'!$B719,'Candidate Tracker'!$I:$I,"Female")),"")</f>
        <v/>
      </c>
      <c r="BB719" s="81" t="str">
        <f>IFERROR(IF(COUNTIFS('Candidate Tracker'!$E:$E,'Positions Tracker'!$B719,'Candidate Tracker'!$I:$I,"male")=0,"",COUNTIFS('Candidate Tracker'!$E:$E,'Positions Tracker'!$B719,'Candidate Tracker'!$I:$I,"male")),"")</f>
        <v/>
      </c>
      <c r="BC719" s="80" t="str">
        <f>IFERROR(IF(COUNTIFS('Candidate Tracker'!$E:$E,'Positions Tracker'!$B719,'Candidate Tracker'!$C:$C,"&lt;&gt;WIP",'Candidate Tracker'!$C:$C,"&lt;&gt;Hold",'Candidate Tracker'!$C:$C,"&lt;&gt;Cancelled",'Candidate Tracker'!$C:$C,"&lt;&gt;Closed")/COUNTIFS('Candidate Tracker'!$E:$E,'Positions Tracker'!$B719)=0,"",COUNTIFS('Candidate Tracker'!$E:$E,'Positions Tracker'!$B719,'Candidate Tracker'!$C:$C,"&lt;&gt;WIP",'Candidate Tracker'!$C:$C,"&lt;&gt;Hold",'Candidate Tracker'!$C:$C,"&lt;&gt;Cancelled",'Candidate Tracker'!$C:$C,"&lt;&gt;Closed")/COUNTIFS('Candidate Tracker'!$E:$E,'Positions Tracker'!$B719)),"")</f>
        <v/>
      </c>
      <c r="BD719" s="67" t="str">
        <f t="shared" si="66"/>
        <v/>
      </c>
      <c r="BE719" s="67" t="str">
        <f t="shared" si="67"/>
        <v/>
      </c>
      <c r="BF719" s="67" t="str">
        <f t="shared" si="68"/>
        <v/>
      </c>
      <c r="BG719" s="67" t="str">
        <f t="shared" si="69"/>
        <v/>
      </c>
    </row>
    <row r="720" spans="1:59">
      <c r="A720" s="55"/>
      <c r="B720" s="56"/>
      <c r="C720" s="56"/>
      <c r="D720" s="56"/>
      <c r="E720" s="56"/>
      <c r="F720" s="56"/>
      <c r="G720" s="56"/>
      <c r="H720" s="56"/>
      <c r="I720" s="6"/>
      <c r="J720" s="6"/>
      <c r="K720" s="57"/>
      <c r="L720" s="57"/>
      <c r="M720" s="57"/>
      <c r="N720" s="56"/>
      <c r="O720" s="56"/>
      <c r="P720" s="56"/>
      <c r="Q720" s="56"/>
      <c r="R720" s="56"/>
      <c r="S720" s="56"/>
      <c r="T720" s="56"/>
      <c r="U720" s="56"/>
      <c r="V720" s="56"/>
      <c r="W720" s="56"/>
      <c r="X720" s="56"/>
      <c r="Y720" s="56"/>
      <c r="Z720" s="56"/>
      <c r="AA720" s="56"/>
      <c r="AB720" s="56"/>
      <c r="AC720" s="56"/>
      <c r="AD720" s="56"/>
      <c r="AE720" s="56"/>
      <c r="AF720" s="56"/>
      <c r="AG720" s="56"/>
      <c r="AH720" s="56"/>
      <c r="AI720" s="58"/>
      <c r="AJ720" s="56"/>
      <c r="AK720" s="56"/>
      <c r="AL720" s="56"/>
      <c r="AM720" s="57"/>
      <c r="AN720" s="57"/>
      <c r="AO720" s="56"/>
      <c r="AP720" s="56"/>
      <c r="AQ720" s="57"/>
      <c r="AR720" s="57"/>
      <c r="AS720" s="57"/>
      <c r="AT720" s="67">
        <f t="shared" ca="1" si="70"/>
        <v>0</v>
      </c>
      <c r="AU720" s="79" t="str">
        <f t="shared" ca="1" si="71"/>
        <v/>
      </c>
      <c r="AV720" s="79" t="str" cm="1">
        <f t="array" aca="1" ref="AV720" ca="1">IFERROR(_xlfn.IFS($AU720="","",$AU720&lt;=15,"0-15",AND($AU720&gt;=16,$AU720&lt;=30),"16-30",AND($AU720&gt;=31,$AU720&lt;=45),"31-45",AND($AU720&gt;=46,$AU720&lt;=60),"46-60",AND($AU720&gt;=61,$AU720&lt;=90),"61-90",AND($AU720&gt;=91),"&gt; 90",AND($AU720&gt;=2000),""),"")</f>
        <v/>
      </c>
      <c r="AW720" s="79" t="str" cm="1">
        <f t="array" aca="1" ref="AW720" ca="1">IFERROR(_xlfn.IFS(OR($M720="",$AM720=""),"",OR($C720="Offered",$C720="Joined"),($AM720-$M720)-$AT720),"")</f>
        <v/>
      </c>
      <c r="AX720" s="79" t="str" cm="1">
        <f t="array" aca="1" ref="AX720" ca="1">IFERROR(_xlfn.IFS(OR($M720="",$AS720=""),"",$C720="Joined",($AS720-$M720)-$AT720),"")</f>
        <v/>
      </c>
      <c r="AY720" s="67" t="str">
        <f>IFERROR(IF(COUNTIFS('Candidate Tracker'!$E:$E,'Positions Tracker'!$B720,'Candidate Tracker'!$C:$C,"Offer Drop")=0,"",COUNTIFS('Candidate Tracker'!$E:$E,'Positions Tracker'!$B720,'Candidate Tracker'!$C:$C,"Offer Drop")),"")</f>
        <v/>
      </c>
      <c r="AZ720" s="80">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0.88111888111888115</v>
      </c>
      <c r="BA720" s="81" t="str">
        <f>IFERROR(IF(COUNTIFS('Candidate Tracker'!$E:$E,'Positions Tracker'!$B720,'Candidate Tracker'!$I:$I,"Female")=0,"",COUNTIFS('Candidate Tracker'!$E:$E,'Positions Tracker'!$B720,'Candidate Tracker'!$I:$I,"Female")),"")</f>
        <v/>
      </c>
      <c r="BB720" s="81" t="str">
        <f>IFERROR(IF(COUNTIFS('Candidate Tracker'!$E:$E,'Positions Tracker'!$B720,'Candidate Tracker'!$I:$I,"male")=0,"",COUNTIFS('Candidate Tracker'!$E:$E,'Positions Tracker'!$B720,'Candidate Tracker'!$I:$I,"male")),"")</f>
        <v/>
      </c>
      <c r="BC720" s="80" t="str">
        <f>IFERROR(IF(COUNTIFS('Candidate Tracker'!$E:$E,'Positions Tracker'!$B720,'Candidate Tracker'!$C:$C,"&lt;&gt;WIP",'Candidate Tracker'!$C:$C,"&lt;&gt;Hold",'Candidate Tracker'!$C:$C,"&lt;&gt;Cancelled",'Candidate Tracker'!$C:$C,"&lt;&gt;Closed")/COUNTIFS('Candidate Tracker'!$E:$E,'Positions Tracker'!$B720)=0,"",COUNTIFS('Candidate Tracker'!$E:$E,'Positions Tracker'!$B720,'Candidate Tracker'!$C:$C,"&lt;&gt;WIP",'Candidate Tracker'!$C:$C,"&lt;&gt;Hold",'Candidate Tracker'!$C:$C,"&lt;&gt;Cancelled",'Candidate Tracker'!$C:$C,"&lt;&gt;Closed")/COUNTIFS('Candidate Tracker'!$E:$E,'Positions Tracker'!$B720)),"")</f>
        <v/>
      </c>
      <c r="BD720" s="67" t="str">
        <f t="shared" si="66"/>
        <v/>
      </c>
      <c r="BE720" s="67" t="str">
        <f t="shared" si="67"/>
        <v/>
      </c>
      <c r="BF720" s="67" t="str">
        <f t="shared" si="68"/>
        <v/>
      </c>
      <c r="BG720" s="67" t="str">
        <f t="shared" si="69"/>
        <v/>
      </c>
    </row>
    <row r="721" spans="1:59">
      <c r="A721" s="55"/>
      <c r="B721" s="56"/>
      <c r="C721" s="56"/>
      <c r="D721" s="56"/>
      <c r="E721" s="56"/>
      <c r="F721" s="56"/>
      <c r="G721" s="56"/>
      <c r="H721" s="56"/>
      <c r="I721" s="6"/>
      <c r="J721" s="6"/>
      <c r="K721" s="57"/>
      <c r="L721" s="57"/>
      <c r="M721" s="57"/>
      <c r="N721" s="56"/>
      <c r="O721" s="56"/>
      <c r="P721" s="56"/>
      <c r="Q721" s="56"/>
      <c r="R721" s="56"/>
      <c r="S721" s="56"/>
      <c r="T721" s="56"/>
      <c r="U721" s="56"/>
      <c r="V721" s="56"/>
      <c r="W721" s="56"/>
      <c r="X721" s="56"/>
      <c r="Y721" s="56"/>
      <c r="Z721" s="56"/>
      <c r="AA721" s="56"/>
      <c r="AB721" s="56"/>
      <c r="AC721" s="56"/>
      <c r="AD721" s="56"/>
      <c r="AE721" s="56"/>
      <c r="AF721" s="56"/>
      <c r="AG721" s="56"/>
      <c r="AH721" s="56"/>
      <c r="AI721" s="58"/>
      <c r="AJ721" s="56"/>
      <c r="AK721" s="56"/>
      <c r="AL721" s="56"/>
      <c r="AM721" s="57"/>
      <c r="AN721" s="57"/>
      <c r="AO721" s="56"/>
      <c r="AP721" s="56"/>
      <c r="AQ721" s="57"/>
      <c r="AR721" s="57"/>
      <c r="AS721" s="57"/>
      <c r="AT721" s="67">
        <f t="shared" ca="1" si="70"/>
        <v>0</v>
      </c>
      <c r="AU721" s="79" t="str">
        <f t="shared" ca="1" si="71"/>
        <v/>
      </c>
      <c r="AV721" s="79" t="str" cm="1">
        <f t="array" aca="1" ref="AV721" ca="1">IFERROR(_xlfn.IFS($AU721="","",$AU721&lt;=15,"0-15",AND($AU721&gt;=16,$AU721&lt;=30),"16-30",AND($AU721&gt;=31,$AU721&lt;=45),"31-45",AND($AU721&gt;=46,$AU721&lt;=60),"46-60",AND($AU721&gt;=61,$AU721&lt;=90),"61-90",AND($AU721&gt;=91),"&gt; 90",AND($AU721&gt;=2000),""),"")</f>
        <v/>
      </c>
      <c r="AW721" s="79" t="str" cm="1">
        <f t="array" aca="1" ref="AW721" ca="1">IFERROR(_xlfn.IFS(OR($M721="",$AM721=""),"",OR($C721="Offered",$C721="Joined"),($AM721-$M721)-$AT721),"")</f>
        <v/>
      </c>
      <c r="AX721" s="79" t="str" cm="1">
        <f t="array" aca="1" ref="AX721" ca="1">IFERROR(_xlfn.IFS(OR($M721="",$AS721=""),"",$C721="Joined",($AS721-$M721)-$AT721),"")</f>
        <v/>
      </c>
      <c r="AY721" s="67" t="str">
        <f>IFERROR(IF(COUNTIFS('Candidate Tracker'!$E:$E,'Positions Tracker'!$B721,'Candidate Tracker'!$C:$C,"Offer Drop")=0,"",COUNTIFS('Candidate Tracker'!$E:$E,'Positions Tracker'!$B721,'Candidate Tracker'!$C:$C,"Offer Drop")),"")</f>
        <v/>
      </c>
      <c r="AZ721" s="80">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0.88111888111888115</v>
      </c>
      <c r="BA721" s="81" t="str">
        <f>IFERROR(IF(COUNTIFS('Candidate Tracker'!$E:$E,'Positions Tracker'!$B721,'Candidate Tracker'!$I:$I,"Female")=0,"",COUNTIFS('Candidate Tracker'!$E:$E,'Positions Tracker'!$B721,'Candidate Tracker'!$I:$I,"Female")),"")</f>
        <v/>
      </c>
      <c r="BB721" s="81" t="str">
        <f>IFERROR(IF(COUNTIFS('Candidate Tracker'!$E:$E,'Positions Tracker'!$B721,'Candidate Tracker'!$I:$I,"male")=0,"",COUNTIFS('Candidate Tracker'!$E:$E,'Positions Tracker'!$B721,'Candidate Tracker'!$I:$I,"male")),"")</f>
        <v/>
      </c>
      <c r="BC721" s="80" t="str">
        <f>IFERROR(IF(COUNTIFS('Candidate Tracker'!$E:$E,'Positions Tracker'!$B721,'Candidate Tracker'!$C:$C,"&lt;&gt;WIP",'Candidate Tracker'!$C:$C,"&lt;&gt;Hold",'Candidate Tracker'!$C:$C,"&lt;&gt;Cancelled",'Candidate Tracker'!$C:$C,"&lt;&gt;Closed")/COUNTIFS('Candidate Tracker'!$E:$E,'Positions Tracker'!$B721)=0,"",COUNTIFS('Candidate Tracker'!$E:$E,'Positions Tracker'!$B721,'Candidate Tracker'!$C:$C,"&lt;&gt;WIP",'Candidate Tracker'!$C:$C,"&lt;&gt;Hold",'Candidate Tracker'!$C:$C,"&lt;&gt;Cancelled",'Candidate Tracker'!$C:$C,"&lt;&gt;Closed")/COUNTIFS('Candidate Tracker'!$E:$E,'Positions Tracker'!$B721)),"")</f>
        <v/>
      </c>
      <c r="BD721" s="67" t="str">
        <f t="shared" si="66"/>
        <v/>
      </c>
      <c r="BE721" s="67" t="str">
        <f t="shared" si="67"/>
        <v/>
      </c>
      <c r="BF721" s="67" t="str">
        <f t="shared" si="68"/>
        <v/>
      </c>
      <c r="BG721" s="67" t="str">
        <f t="shared" si="69"/>
        <v/>
      </c>
    </row>
    <row r="722" spans="1:59">
      <c r="A722" s="55"/>
      <c r="B722" s="56"/>
      <c r="C722" s="56"/>
      <c r="D722" s="56"/>
      <c r="E722" s="56"/>
      <c r="F722" s="56"/>
      <c r="G722" s="56"/>
      <c r="H722" s="56"/>
      <c r="I722" s="6"/>
      <c r="J722" s="6"/>
      <c r="K722" s="57"/>
      <c r="L722" s="57"/>
      <c r="M722" s="57"/>
      <c r="N722" s="56"/>
      <c r="O722" s="56"/>
      <c r="P722" s="56"/>
      <c r="Q722" s="56"/>
      <c r="R722" s="56"/>
      <c r="S722" s="56"/>
      <c r="T722" s="56"/>
      <c r="U722" s="56"/>
      <c r="V722" s="56"/>
      <c r="W722" s="56"/>
      <c r="X722" s="56"/>
      <c r="Y722" s="56"/>
      <c r="Z722" s="56"/>
      <c r="AA722" s="56"/>
      <c r="AB722" s="56"/>
      <c r="AC722" s="56"/>
      <c r="AD722" s="56"/>
      <c r="AE722" s="56"/>
      <c r="AF722" s="56"/>
      <c r="AG722" s="56"/>
      <c r="AH722" s="56"/>
      <c r="AI722" s="58"/>
      <c r="AJ722" s="56"/>
      <c r="AK722" s="56"/>
      <c r="AL722" s="56"/>
      <c r="AM722" s="57"/>
      <c r="AN722" s="57"/>
      <c r="AO722" s="56"/>
      <c r="AP722" s="56"/>
      <c r="AQ722" s="57"/>
      <c r="AR722" s="57"/>
      <c r="AS722" s="57"/>
      <c r="AT722" s="67">
        <f t="shared" ca="1" si="70"/>
        <v>0</v>
      </c>
      <c r="AU722" s="79" t="str">
        <f t="shared" ca="1" si="71"/>
        <v/>
      </c>
      <c r="AV722" s="79" t="str" cm="1">
        <f t="array" aca="1" ref="AV722" ca="1">IFERROR(_xlfn.IFS($AU722="","",$AU722&lt;=15,"0-15",AND($AU722&gt;=16,$AU722&lt;=30),"16-30",AND($AU722&gt;=31,$AU722&lt;=45),"31-45",AND($AU722&gt;=46,$AU722&lt;=60),"46-60",AND($AU722&gt;=61,$AU722&lt;=90),"61-90",AND($AU722&gt;=91),"&gt; 90",AND($AU722&gt;=2000),""),"")</f>
        <v/>
      </c>
      <c r="AW722" s="79" t="str" cm="1">
        <f t="array" aca="1" ref="AW722" ca="1">IFERROR(_xlfn.IFS(OR($M722="",$AM722=""),"",OR($C722="Offered",$C722="Joined"),($AM722-$M722)-$AT722),"")</f>
        <v/>
      </c>
      <c r="AX722" s="79" t="str" cm="1">
        <f t="array" aca="1" ref="AX722" ca="1">IFERROR(_xlfn.IFS(OR($M722="",$AS722=""),"",$C722="Joined",($AS722-$M722)-$AT722),"")</f>
        <v/>
      </c>
      <c r="AY722" s="67" t="str">
        <f>IFERROR(IF(COUNTIFS('Candidate Tracker'!$E:$E,'Positions Tracker'!$B722,'Candidate Tracker'!$C:$C,"Offer Drop")=0,"",COUNTIFS('Candidate Tracker'!$E:$E,'Positions Tracker'!$B722,'Candidate Tracker'!$C:$C,"Offer Drop")),"")</f>
        <v/>
      </c>
      <c r="AZ722" s="80">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0.88111888111888115</v>
      </c>
      <c r="BA722" s="81" t="str">
        <f>IFERROR(IF(COUNTIFS('Candidate Tracker'!$E:$E,'Positions Tracker'!$B722,'Candidate Tracker'!$I:$I,"Female")=0,"",COUNTIFS('Candidate Tracker'!$E:$E,'Positions Tracker'!$B722,'Candidate Tracker'!$I:$I,"Female")),"")</f>
        <v/>
      </c>
      <c r="BB722" s="81" t="str">
        <f>IFERROR(IF(COUNTIFS('Candidate Tracker'!$E:$E,'Positions Tracker'!$B722,'Candidate Tracker'!$I:$I,"male")=0,"",COUNTIFS('Candidate Tracker'!$E:$E,'Positions Tracker'!$B722,'Candidate Tracker'!$I:$I,"male")),"")</f>
        <v/>
      </c>
      <c r="BC722" s="80" t="str">
        <f>IFERROR(IF(COUNTIFS('Candidate Tracker'!$E:$E,'Positions Tracker'!$B722,'Candidate Tracker'!$C:$C,"&lt;&gt;WIP",'Candidate Tracker'!$C:$C,"&lt;&gt;Hold",'Candidate Tracker'!$C:$C,"&lt;&gt;Cancelled",'Candidate Tracker'!$C:$C,"&lt;&gt;Closed")/COUNTIFS('Candidate Tracker'!$E:$E,'Positions Tracker'!$B722)=0,"",COUNTIFS('Candidate Tracker'!$E:$E,'Positions Tracker'!$B722,'Candidate Tracker'!$C:$C,"&lt;&gt;WIP",'Candidate Tracker'!$C:$C,"&lt;&gt;Hold",'Candidate Tracker'!$C:$C,"&lt;&gt;Cancelled",'Candidate Tracker'!$C:$C,"&lt;&gt;Closed")/COUNTIFS('Candidate Tracker'!$E:$E,'Positions Tracker'!$B722)),"")</f>
        <v/>
      </c>
      <c r="BD722" s="67" t="str">
        <f t="shared" si="66"/>
        <v/>
      </c>
      <c r="BE722" s="67" t="str">
        <f t="shared" si="67"/>
        <v/>
      </c>
      <c r="BF722" s="67" t="str">
        <f t="shared" si="68"/>
        <v/>
      </c>
      <c r="BG722" s="67" t="str">
        <f t="shared" si="69"/>
        <v/>
      </c>
    </row>
    <row r="723" spans="1:59">
      <c r="A723" s="55"/>
      <c r="B723" s="56"/>
      <c r="C723" s="56"/>
      <c r="D723" s="56"/>
      <c r="E723" s="56"/>
      <c r="F723" s="56"/>
      <c r="G723" s="56"/>
      <c r="H723" s="56"/>
      <c r="I723" s="6"/>
      <c r="J723" s="6"/>
      <c r="K723" s="57"/>
      <c r="L723" s="57"/>
      <c r="M723" s="57"/>
      <c r="N723" s="56"/>
      <c r="O723" s="56"/>
      <c r="P723" s="56"/>
      <c r="Q723" s="56"/>
      <c r="R723" s="56"/>
      <c r="S723" s="56"/>
      <c r="T723" s="56"/>
      <c r="U723" s="56"/>
      <c r="V723" s="56"/>
      <c r="W723" s="56"/>
      <c r="X723" s="56"/>
      <c r="Y723" s="56"/>
      <c r="Z723" s="56"/>
      <c r="AA723" s="56"/>
      <c r="AB723" s="56"/>
      <c r="AC723" s="56"/>
      <c r="AD723" s="56"/>
      <c r="AE723" s="56"/>
      <c r="AF723" s="56"/>
      <c r="AG723" s="56"/>
      <c r="AH723" s="56"/>
      <c r="AI723" s="58"/>
      <c r="AJ723" s="56"/>
      <c r="AK723" s="56"/>
      <c r="AL723" s="56"/>
      <c r="AM723" s="57"/>
      <c r="AN723" s="57"/>
      <c r="AO723" s="56"/>
      <c r="AP723" s="56"/>
      <c r="AQ723" s="57"/>
      <c r="AR723" s="57"/>
      <c r="AS723" s="57"/>
      <c r="AT723" s="67">
        <f t="shared" ca="1" si="70"/>
        <v>0</v>
      </c>
      <c r="AU723" s="79" t="str">
        <f t="shared" ca="1" si="71"/>
        <v/>
      </c>
      <c r="AV723" s="79" t="str" cm="1">
        <f t="array" aca="1" ref="AV723" ca="1">IFERROR(_xlfn.IFS($AU723="","",$AU723&lt;=15,"0-15",AND($AU723&gt;=16,$AU723&lt;=30),"16-30",AND($AU723&gt;=31,$AU723&lt;=45),"31-45",AND($AU723&gt;=46,$AU723&lt;=60),"46-60",AND($AU723&gt;=61,$AU723&lt;=90),"61-90",AND($AU723&gt;=91),"&gt; 90",AND($AU723&gt;=2000),""),"")</f>
        <v/>
      </c>
      <c r="AW723" s="79" t="str" cm="1">
        <f t="array" aca="1" ref="AW723" ca="1">IFERROR(_xlfn.IFS(OR($M723="",$AM723=""),"",OR($C723="Offered",$C723="Joined"),($AM723-$M723)-$AT723),"")</f>
        <v/>
      </c>
      <c r="AX723" s="79" t="str" cm="1">
        <f t="array" aca="1" ref="AX723" ca="1">IFERROR(_xlfn.IFS(OR($M723="",$AS723=""),"",$C723="Joined",($AS723-$M723)-$AT723),"")</f>
        <v/>
      </c>
      <c r="AY723" s="67" t="str">
        <f>IFERROR(IF(COUNTIFS('Candidate Tracker'!$E:$E,'Positions Tracker'!$B723,'Candidate Tracker'!$C:$C,"Offer Drop")=0,"",COUNTIFS('Candidate Tracker'!$E:$E,'Positions Tracker'!$B723,'Candidate Tracker'!$C:$C,"Offer Drop")),"")</f>
        <v/>
      </c>
      <c r="AZ723" s="80">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0.88111888111888115</v>
      </c>
      <c r="BA723" s="81" t="str">
        <f>IFERROR(IF(COUNTIFS('Candidate Tracker'!$E:$E,'Positions Tracker'!$B723,'Candidate Tracker'!$I:$I,"Female")=0,"",COUNTIFS('Candidate Tracker'!$E:$E,'Positions Tracker'!$B723,'Candidate Tracker'!$I:$I,"Female")),"")</f>
        <v/>
      </c>
      <c r="BB723" s="81" t="str">
        <f>IFERROR(IF(COUNTIFS('Candidate Tracker'!$E:$E,'Positions Tracker'!$B723,'Candidate Tracker'!$I:$I,"male")=0,"",COUNTIFS('Candidate Tracker'!$E:$E,'Positions Tracker'!$B723,'Candidate Tracker'!$I:$I,"male")),"")</f>
        <v/>
      </c>
      <c r="BC723" s="80" t="str">
        <f>IFERROR(IF(COUNTIFS('Candidate Tracker'!$E:$E,'Positions Tracker'!$B723,'Candidate Tracker'!$C:$C,"&lt;&gt;WIP",'Candidate Tracker'!$C:$C,"&lt;&gt;Hold",'Candidate Tracker'!$C:$C,"&lt;&gt;Cancelled",'Candidate Tracker'!$C:$C,"&lt;&gt;Closed")/COUNTIFS('Candidate Tracker'!$E:$E,'Positions Tracker'!$B723)=0,"",COUNTIFS('Candidate Tracker'!$E:$E,'Positions Tracker'!$B723,'Candidate Tracker'!$C:$C,"&lt;&gt;WIP",'Candidate Tracker'!$C:$C,"&lt;&gt;Hold",'Candidate Tracker'!$C:$C,"&lt;&gt;Cancelled",'Candidate Tracker'!$C:$C,"&lt;&gt;Closed")/COUNTIFS('Candidate Tracker'!$E:$E,'Positions Tracker'!$B723)),"")</f>
        <v/>
      </c>
      <c r="BD723" s="67" t="str">
        <f t="shared" si="66"/>
        <v/>
      </c>
      <c r="BE723" s="67" t="str">
        <f t="shared" si="67"/>
        <v/>
      </c>
      <c r="BF723" s="67" t="str">
        <f t="shared" si="68"/>
        <v/>
      </c>
      <c r="BG723" s="67" t="str">
        <f t="shared" si="69"/>
        <v/>
      </c>
    </row>
    <row r="724" spans="1:59">
      <c r="A724" s="55"/>
      <c r="B724" s="56"/>
      <c r="C724" s="56"/>
      <c r="D724" s="56"/>
      <c r="E724" s="56"/>
      <c r="F724" s="56"/>
      <c r="G724" s="56"/>
      <c r="H724" s="56"/>
      <c r="I724" s="6"/>
      <c r="J724" s="6"/>
      <c r="K724" s="57"/>
      <c r="L724" s="57"/>
      <c r="M724" s="57"/>
      <c r="N724" s="56"/>
      <c r="O724" s="56"/>
      <c r="P724" s="56"/>
      <c r="Q724" s="56"/>
      <c r="R724" s="56"/>
      <c r="S724" s="56"/>
      <c r="T724" s="56"/>
      <c r="U724" s="56"/>
      <c r="V724" s="56"/>
      <c r="W724" s="56"/>
      <c r="X724" s="56"/>
      <c r="Y724" s="56"/>
      <c r="Z724" s="56"/>
      <c r="AA724" s="56"/>
      <c r="AB724" s="56"/>
      <c r="AC724" s="56"/>
      <c r="AD724" s="56"/>
      <c r="AE724" s="56"/>
      <c r="AF724" s="56"/>
      <c r="AG724" s="56"/>
      <c r="AH724" s="56"/>
      <c r="AI724" s="58"/>
      <c r="AJ724" s="56"/>
      <c r="AK724" s="56"/>
      <c r="AL724" s="56"/>
      <c r="AM724" s="57"/>
      <c r="AN724" s="57"/>
      <c r="AO724" s="56"/>
      <c r="AP724" s="56"/>
      <c r="AQ724" s="57"/>
      <c r="AR724" s="57"/>
      <c r="AS724" s="57"/>
      <c r="AT724" s="67">
        <f t="shared" ca="1" si="70"/>
        <v>0</v>
      </c>
      <c r="AU724" s="79" t="str">
        <f t="shared" ca="1" si="71"/>
        <v/>
      </c>
      <c r="AV724" s="79" t="str" cm="1">
        <f t="array" aca="1" ref="AV724" ca="1">IFERROR(_xlfn.IFS($AU724="","",$AU724&lt;=15,"0-15",AND($AU724&gt;=16,$AU724&lt;=30),"16-30",AND($AU724&gt;=31,$AU724&lt;=45),"31-45",AND($AU724&gt;=46,$AU724&lt;=60),"46-60",AND($AU724&gt;=61,$AU724&lt;=90),"61-90",AND($AU724&gt;=91),"&gt; 90",AND($AU724&gt;=2000),""),"")</f>
        <v/>
      </c>
      <c r="AW724" s="79" t="str" cm="1">
        <f t="array" aca="1" ref="AW724" ca="1">IFERROR(_xlfn.IFS(OR($M724="",$AM724=""),"",OR($C724="Offered",$C724="Joined"),($AM724-$M724)-$AT724),"")</f>
        <v/>
      </c>
      <c r="AX724" s="79" t="str" cm="1">
        <f t="array" aca="1" ref="AX724" ca="1">IFERROR(_xlfn.IFS(OR($M724="",$AS724=""),"",$C724="Joined",($AS724-$M724)-$AT724),"")</f>
        <v/>
      </c>
      <c r="AY724" s="67" t="str">
        <f>IFERROR(IF(COUNTIFS('Candidate Tracker'!$E:$E,'Positions Tracker'!$B724,'Candidate Tracker'!$C:$C,"Offer Drop")=0,"",COUNTIFS('Candidate Tracker'!$E:$E,'Positions Tracker'!$B724,'Candidate Tracker'!$C:$C,"Offer Drop")),"")</f>
        <v/>
      </c>
      <c r="AZ724" s="80">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0.88111888111888115</v>
      </c>
      <c r="BA724" s="81" t="str">
        <f>IFERROR(IF(COUNTIFS('Candidate Tracker'!$E:$E,'Positions Tracker'!$B724,'Candidate Tracker'!$I:$I,"Female")=0,"",COUNTIFS('Candidate Tracker'!$E:$E,'Positions Tracker'!$B724,'Candidate Tracker'!$I:$I,"Female")),"")</f>
        <v/>
      </c>
      <c r="BB724" s="81" t="str">
        <f>IFERROR(IF(COUNTIFS('Candidate Tracker'!$E:$E,'Positions Tracker'!$B724,'Candidate Tracker'!$I:$I,"male")=0,"",COUNTIFS('Candidate Tracker'!$E:$E,'Positions Tracker'!$B724,'Candidate Tracker'!$I:$I,"male")),"")</f>
        <v/>
      </c>
      <c r="BC724" s="80" t="str">
        <f>IFERROR(IF(COUNTIFS('Candidate Tracker'!$E:$E,'Positions Tracker'!$B724,'Candidate Tracker'!$C:$C,"&lt;&gt;WIP",'Candidate Tracker'!$C:$C,"&lt;&gt;Hold",'Candidate Tracker'!$C:$C,"&lt;&gt;Cancelled",'Candidate Tracker'!$C:$C,"&lt;&gt;Closed")/COUNTIFS('Candidate Tracker'!$E:$E,'Positions Tracker'!$B724)=0,"",COUNTIFS('Candidate Tracker'!$E:$E,'Positions Tracker'!$B724,'Candidate Tracker'!$C:$C,"&lt;&gt;WIP",'Candidate Tracker'!$C:$C,"&lt;&gt;Hold",'Candidate Tracker'!$C:$C,"&lt;&gt;Cancelled",'Candidate Tracker'!$C:$C,"&lt;&gt;Closed")/COUNTIFS('Candidate Tracker'!$E:$E,'Positions Tracker'!$B724)),"")</f>
        <v/>
      </c>
      <c r="BD724" s="67" t="str">
        <f t="shared" si="66"/>
        <v/>
      </c>
      <c r="BE724" s="67" t="str">
        <f t="shared" si="67"/>
        <v/>
      </c>
      <c r="BF724" s="67" t="str">
        <f t="shared" si="68"/>
        <v/>
      </c>
      <c r="BG724" s="67" t="str">
        <f t="shared" si="69"/>
        <v/>
      </c>
    </row>
    <row r="725" spans="1:59">
      <c r="A725" s="55"/>
      <c r="B725" s="56"/>
      <c r="C725" s="56"/>
      <c r="D725" s="56"/>
      <c r="E725" s="56"/>
      <c r="F725" s="56"/>
      <c r="G725" s="56"/>
      <c r="H725" s="56"/>
      <c r="I725" s="6"/>
      <c r="J725" s="6"/>
      <c r="K725" s="57"/>
      <c r="L725" s="57"/>
      <c r="M725" s="57"/>
      <c r="N725" s="56"/>
      <c r="O725" s="56"/>
      <c r="P725" s="56"/>
      <c r="Q725" s="56"/>
      <c r="R725" s="56"/>
      <c r="S725" s="56"/>
      <c r="T725" s="56"/>
      <c r="U725" s="56"/>
      <c r="V725" s="56"/>
      <c r="W725" s="56"/>
      <c r="X725" s="56"/>
      <c r="Y725" s="56"/>
      <c r="Z725" s="56"/>
      <c r="AA725" s="56"/>
      <c r="AB725" s="56"/>
      <c r="AC725" s="56"/>
      <c r="AD725" s="56"/>
      <c r="AE725" s="56"/>
      <c r="AF725" s="56"/>
      <c r="AG725" s="56"/>
      <c r="AH725" s="56"/>
      <c r="AI725" s="58"/>
      <c r="AJ725" s="56"/>
      <c r="AK725" s="56"/>
      <c r="AL725" s="56"/>
      <c r="AM725" s="57"/>
      <c r="AN725" s="57"/>
      <c r="AO725" s="56"/>
      <c r="AP725" s="56"/>
      <c r="AQ725" s="57"/>
      <c r="AR725" s="57"/>
      <c r="AS725" s="57"/>
      <c r="AT725" s="67">
        <f t="shared" ca="1" si="70"/>
        <v>0</v>
      </c>
      <c r="AU725" s="79" t="str">
        <f t="shared" ca="1" si="71"/>
        <v/>
      </c>
      <c r="AV725" s="79" t="str" cm="1">
        <f t="array" aca="1" ref="AV725" ca="1">IFERROR(_xlfn.IFS($AU725="","",$AU725&lt;=15,"0-15",AND($AU725&gt;=16,$AU725&lt;=30),"16-30",AND($AU725&gt;=31,$AU725&lt;=45),"31-45",AND($AU725&gt;=46,$AU725&lt;=60),"46-60",AND($AU725&gt;=61,$AU725&lt;=90),"61-90",AND($AU725&gt;=91),"&gt; 90",AND($AU725&gt;=2000),""),"")</f>
        <v/>
      </c>
      <c r="AW725" s="79" t="str" cm="1">
        <f t="array" aca="1" ref="AW725" ca="1">IFERROR(_xlfn.IFS(OR($M725="",$AM725=""),"",OR($C725="Offered",$C725="Joined"),($AM725-$M725)-$AT725),"")</f>
        <v/>
      </c>
      <c r="AX725" s="79" t="str" cm="1">
        <f t="array" aca="1" ref="AX725" ca="1">IFERROR(_xlfn.IFS(OR($M725="",$AS725=""),"",$C725="Joined",($AS725-$M725)-$AT725),"")</f>
        <v/>
      </c>
      <c r="AY725" s="67" t="str">
        <f>IFERROR(IF(COUNTIFS('Candidate Tracker'!$E:$E,'Positions Tracker'!$B725,'Candidate Tracker'!$C:$C,"Offer Drop")=0,"",COUNTIFS('Candidate Tracker'!$E:$E,'Positions Tracker'!$B725,'Candidate Tracker'!$C:$C,"Offer Drop")),"")</f>
        <v/>
      </c>
      <c r="AZ725" s="80">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0.88111888111888115</v>
      </c>
      <c r="BA725" s="81" t="str">
        <f>IFERROR(IF(COUNTIFS('Candidate Tracker'!$E:$E,'Positions Tracker'!$B725,'Candidate Tracker'!$I:$I,"Female")=0,"",COUNTIFS('Candidate Tracker'!$E:$E,'Positions Tracker'!$B725,'Candidate Tracker'!$I:$I,"Female")),"")</f>
        <v/>
      </c>
      <c r="BB725" s="81" t="str">
        <f>IFERROR(IF(COUNTIFS('Candidate Tracker'!$E:$E,'Positions Tracker'!$B725,'Candidate Tracker'!$I:$I,"male")=0,"",COUNTIFS('Candidate Tracker'!$E:$E,'Positions Tracker'!$B725,'Candidate Tracker'!$I:$I,"male")),"")</f>
        <v/>
      </c>
      <c r="BC725" s="80" t="str">
        <f>IFERROR(IF(COUNTIFS('Candidate Tracker'!$E:$E,'Positions Tracker'!$B725,'Candidate Tracker'!$C:$C,"&lt;&gt;WIP",'Candidate Tracker'!$C:$C,"&lt;&gt;Hold",'Candidate Tracker'!$C:$C,"&lt;&gt;Cancelled",'Candidate Tracker'!$C:$C,"&lt;&gt;Closed")/COUNTIFS('Candidate Tracker'!$E:$E,'Positions Tracker'!$B725)=0,"",COUNTIFS('Candidate Tracker'!$E:$E,'Positions Tracker'!$B725,'Candidate Tracker'!$C:$C,"&lt;&gt;WIP",'Candidate Tracker'!$C:$C,"&lt;&gt;Hold",'Candidate Tracker'!$C:$C,"&lt;&gt;Cancelled",'Candidate Tracker'!$C:$C,"&lt;&gt;Closed")/COUNTIFS('Candidate Tracker'!$E:$E,'Positions Tracker'!$B725)),"")</f>
        <v/>
      </c>
      <c r="BD725" s="67" t="str">
        <f t="shared" si="66"/>
        <v/>
      </c>
      <c r="BE725" s="67" t="str">
        <f t="shared" si="67"/>
        <v/>
      </c>
      <c r="BF725" s="67" t="str">
        <f t="shared" si="68"/>
        <v/>
      </c>
      <c r="BG725" s="67" t="str">
        <f t="shared" si="69"/>
        <v/>
      </c>
    </row>
    <row r="726" spans="1:59">
      <c r="A726" s="55"/>
      <c r="B726" s="56"/>
      <c r="C726" s="56"/>
      <c r="D726" s="56"/>
      <c r="E726" s="56"/>
      <c r="F726" s="56"/>
      <c r="G726" s="56"/>
      <c r="H726" s="56"/>
      <c r="I726" s="6"/>
      <c r="J726" s="6"/>
      <c r="K726" s="57"/>
      <c r="L726" s="57"/>
      <c r="M726" s="57"/>
      <c r="N726" s="56"/>
      <c r="O726" s="56"/>
      <c r="P726" s="56"/>
      <c r="Q726" s="56"/>
      <c r="R726" s="56"/>
      <c r="S726" s="56"/>
      <c r="T726" s="56"/>
      <c r="U726" s="56"/>
      <c r="V726" s="56"/>
      <c r="W726" s="56"/>
      <c r="X726" s="56"/>
      <c r="Y726" s="56"/>
      <c r="Z726" s="56"/>
      <c r="AA726" s="56"/>
      <c r="AB726" s="56"/>
      <c r="AC726" s="56"/>
      <c r="AD726" s="56"/>
      <c r="AE726" s="56"/>
      <c r="AF726" s="56"/>
      <c r="AG726" s="56"/>
      <c r="AH726" s="56"/>
      <c r="AI726" s="58"/>
      <c r="AJ726" s="56"/>
      <c r="AK726" s="56"/>
      <c r="AL726" s="56"/>
      <c r="AM726" s="57"/>
      <c r="AN726" s="57"/>
      <c r="AO726" s="56"/>
      <c r="AP726" s="56"/>
      <c r="AQ726" s="57"/>
      <c r="AR726" s="57"/>
      <c r="AS726" s="57"/>
      <c r="AT726" s="67">
        <f t="shared" ca="1" si="70"/>
        <v>0</v>
      </c>
      <c r="AU726" s="79" t="str">
        <f t="shared" ca="1" si="71"/>
        <v/>
      </c>
      <c r="AV726" s="79" t="str" cm="1">
        <f t="array" aca="1" ref="AV726" ca="1">IFERROR(_xlfn.IFS($AU726="","",$AU726&lt;=15,"0-15",AND($AU726&gt;=16,$AU726&lt;=30),"16-30",AND($AU726&gt;=31,$AU726&lt;=45),"31-45",AND($AU726&gt;=46,$AU726&lt;=60),"46-60",AND($AU726&gt;=61,$AU726&lt;=90),"61-90",AND($AU726&gt;=91),"&gt; 90",AND($AU726&gt;=2000),""),"")</f>
        <v/>
      </c>
      <c r="AW726" s="79" t="str" cm="1">
        <f t="array" aca="1" ref="AW726" ca="1">IFERROR(_xlfn.IFS(OR($M726="",$AM726=""),"",OR($C726="Offered",$C726="Joined"),($AM726-$M726)-$AT726),"")</f>
        <v/>
      </c>
      <c r="AX726" s="79" t="str" cm="1">
        <f t="array" aca="1" ref="AX726" ca="1">IFERROR(_xlfn.IFS(OR($M726="",$AS726=""),"",$C726="Joined",($AS726-$M726)-$AT726),"")</f>
        <v/>
      </c>
      <c r="AY726" s="67" t="str">
        <f>IFERROR(IF(COUNTIFS('Candidate Tracker'!$E:$E,'Positions Tracker'!$B726,'Candidate Tracker'!$C:$C,"Offer Drop")=0,"",COUNTIFS('Candidate Tracker'!$E:$E,'Positions Tracker'!$B726,'Candidate Tracker'!$C:$C,"Offer Drop")),"")</f>
        <v/>
      </c>
      <c r="AZ726" s="80">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0.88111888111888115</v>
      </c>
      <c r="BA726" s="81" t="str">
        <f>IFERROR(IF(COUNTIFS('Candidate Tracker'!$E:$E,'Positions Tracker'!$B726,'Candidate Tracker'!$I:$I,"Female")=0,"",COUNTIFS('Candidate Tracker'!$E:$E,'Positions Tracker'!$B726,'Candidate Tracker'!$I:$I,"Female")),"")</f>
        <v/>
      </c>
      <c r="BB726" s="81" t="str">
        <f>IFERROR(IF(COUNTIFS('Candidate Tracker'!$E:$E,'Positions Tracker'!$B726,'Candidate Tracker'!$I:$I,"male")=0,"",COUNTIFS('Candidate Tracker'!$E:$E,'Positions Tracker'!$B726,'Candidate Tracker'!$I:$I,"male")),"")</f>
        <v/>
      </c>
      <c r="BC726" s="80" t="str">
        <f>IFERROR(IF(COUNTIFS('Candidate Tracker'!$E:$E,'Positions Tracker'!$B726,'Candidate Tracker'!$C:$C,"&lt;&gt;WIP",'Candidate Tracker'!$C:$C,"&lt;&gt;Hold",'Candidate Tracker'!$C:$C,"&lt;&gt;Cancelled",'Candidate Tracker'!$C:$C,"&lt;&gt;Closed")/COUNTIFS('Candidate Tracker'!$E:$E,'Positions Tracker'!$B726)=0,"",COUNTIFS('Candidate Tracker'!$E:$E,'Positions Tracker'!$B726,'Candidate Tracker'!$C:$C,"&lt;&gt;WIP",'Candidate Tracker'!$C:$C,"&lt;&gt;Hold",'Candidate Tracker'!$C:$C,"&lt;&gt;Cancelled",'Candidate Tracker'!$C:$C,"&lt;&gt;Closed")/COUNTIFS('Candidate Tracker'!$E:$E,'Positions Tracker'!$B726)),"")</f>
        <v/>
      </c>
      <c r="BD726" s="67" t="str">
        <f t="shared" si="66"/>
        <v/>
      </c>
      <c r="BE726" s="67" t="str">
        <f t="shared" si="67"/>
        <v/>
      </c>
      <c r="BF726" s="67" t="str">
        <f t="shared" si="68"/>
        <v/>
      </c>
      <c r="BG726" s="67" t="str">
        <f t="shared" si="69"/>
        <v/>
      </c>
    </row>
    <row r="727" spans="1:59">
      <c r="A727" s="55"/>
      <c r="B727" s="56"/>
      <c r="C727" s="56"/>
      <c r="D727" s="56"/>
      <c r="E727" s="56"/>
      <c r="F727" s="56"/>
      <c r="G727" s="56"/>
      <c r="H727" s="56"/>
      <c r="I727" s="6"/>
      <c r="J727" s="6"/>
      <c r="K727" s="57"/>
      <c r="L727" s="57"/>
      <c r="M727" s="57"/>
      <c r="N727" s="56"/>
      <c r="O727" s="56"/>
      <c r="P727" s="56"/>
      <c r="Q727" s="56"/>
      <c r="R727" s="56"/>
      <c r="S727" s="56"/>
      <c r="T727" s="56"/>
      <c r="U727" s="56"/>
      <c r="V727" s="56"/>
      <c r="W727" s="56"/>
      <c r="X727" s="56"/>
      <c r="Y727" s="56"/>
      <c r="Z727" s="56"/>
      <c r="AA727" s="56"/>
      <c r="AB727" s="56"/>
      <c r="AC727" s="56"/>
      <c r="AD727" s="56"/>
      <c r="AE727" s="56"/>
      <c r="AF727" s="56"/>
      <c r="AG727" s="56"/>
      <c r="AH727" s="56"/>
      <c r="AI727" s="58"/>
      <c r="AJ727" s="56"/>
      <c r="AK727" s="56"/>
      <c r="AL727" s="56"/>
      <c r="AM727" s="57"/>
      <c r="AN727" s="57"/>
      <c r="AO727" s="56"/>
      <c r="AP727" s="56"/>
      <c r="AQ727" s="57"/>
      <c r="AR727" s="57"/>
      <c r="AS727" s="57"/>
      <c r="AT727" s="67">
        <f t="shared" ca="1" si="70"/>
        <v>0</v>
      </c>
      <c r="AU727" s="79" t="str">
        <f t="shared" ca="1" si="71"/>
        <v/>
      </c>
      <c r="AV727" s="79" t="str" cm="1">
        <f t="array" aca="1" ref="AV727" ca="1">IFERROR(_xlfn.IFS($AU727="","",$AU727&lt;=15,"0-15",AND($AU727&gt;=16,$AU727&lt;=30),"16-30",AND($AU727&gt;=31,$AU727&lt;=45),"31-45",AND($AU727&gt;=46,$AU727&lt;=60),"46-60",AND($AU727&gt;=61,$AU727&lt;=90),"61-90",AND($AU727&gt;=91),"&gt; 90",AND($AU727&gt;=2000),""),"")</f>
        <v/>
      </c>
      <c r="AW727" s="79" t="str" cm="1">
        <f t="array" aca="1" ref="AW727" ca="1">IFERROR(_xlfn.IFS(OR($M727="",$AM727=""),"",OR($C727="Offered",$C727="Joined"),($AM727-$M727)-$AT727),"")</f>
        <v/>
      </c>
      <c r="AX727" s="79" t="str" cm="1">
        <f t="array" aca="1" ref="AX727" ca="1">IFERROR(_xlfn.IFS(OR($M727="",$AS727=""),"",$C727="Joined",($AS727-$M727)-$AT727),"")</f>
        <v/>
      </c>
      <c r="AY727" s="67" t="str">
        <f>IFERROR(IF(COUNTIFS('Candidate Tracker'!$E:$E,'Positions Tracker'!$B727,'Candidate Tracker'!$C:$C,"Offer Drop")=0,"",COUNTIFS('Candidate Tracker'!$E:$E,'Positions Tracker'!$B727,'Candidate Tracker'!$C:$C,"Offer Drop")),"")</f>
        <v/>
      </c>
      <c r="AZ727" s="80">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0.88111888111888115</v>
      </c>
      <c r="BA727" s="81" t="str">
        <f>IFERROR(IF(COUNTIFS('Candidate Tracker'!$E:$E,'Positions Tracker'!$B727,'Candidate Tracker'!$I:$I,"Female")=0,"",COUNTIFS('Candidate Tracker'!$E:$E,'Positions Tracker'!$B727,'Candidate Tracker'!$I:$I,"Female")),"")</f>
        <v/>
      </c>
      <c r="BB727" s="81" t="str">
        <f>IFERROR(IF(COUNTIFS('Candidate Tracker'!$E:$E,'Positions Tracker'!$B727,'Candidate Tracker'!$I:$I,"male")=0,"",COUNTIFS('Candidate Tracker'!$E:$E,'Positions Tracker'!$B727,'Candidate Tracker'!$I:$I,"male")),"")</f>
        <v/>
      </c>
      <c r="BC727" s="80" t="str">
        <f>IFERROR(IF(COUNTIFS('Candidate Tracker'!$E:$E,'Positions Tracker'!$B727,'Candidate Tracker'!$C:$C,"&lt;&gt;WIP",'Candidate Tracker'!$C:$C,"&lt;&gt;Hold",'Candidate Tracker'!$C:$C,"&lt;&gt;Cancelled",'Candidate Tracker'!$C:$C,"&lt;&gt;Closed")/COUNTIFS('Candidate Tracker'!$E:$E,'Positions Tracker'!$B727)=0,"",COUNTIFS('Candidate Tracker'!$E:$E,'Positions Tracker'!$B727,'Candidate Tracker'!$C:$C,"&lt;&gt;WIP",'Candidate Tracker'!$C:$C,"&lt;&gt;Hold",'Candidate Tracker'!$C:$C,"&lt;&gt;Cancelled",'Candidate Tracker'!$C:$C,"&lt;&gt;Closed")/COUNTIFS('Candidate Tracker'!$E:$E,'Positions Tracker'!$B727)),"")</f>
        <v/>
      </c>
      <c r="BD727" s="67" t="str">
        <f t="shared" si="66"/>
        <v/>
      </c>
      <c r="BE727" s="67" t="str">
        <f t="shared" si="67"/>
        <v/>
      </c>
      <c r="BF727" s="67" t="str">
        <f t="shared" si="68"/>
        <v/>
      </c>
      <c r="BG727" s="67" t="str">
        <f t="shared" si="69"/>
        <v/>
      </c>
    </row>
    <row r="728" spans="1:59">
      <c r="A728" s="55"/>
      <c r="B728" s="56"/>
      <c r="C728" s="56"/>
      <c r="D728" s="56"/>
      <c r="E728" s="56"/>
      <c r="F728" s="56"/>
      <c r="G728" s="56"/>
      <c r="H728" s="56"/>
      <c r="I728" s="6"/>
      <c r="J728" s="6"/>
      <c r="K728" s="57"/>
      <c r="L728" s="57"/>
      <c r="M728" s="57"/>
      <c r="N728" s="56"/>
      <c r="O728" s="56"/>
      <c r="P728" s="56"/>
      <c r="Q728" s="56"/>
      <c r="R728" s="56"/>
      <c r="S728" s="56"/>
      <c r="T728" s="56"/>
      <c r="U728" s="56"/>
      <c r="V728" s="56"/>
      <c r="W728" s="56"/>
      <c r="X728" s="56"/>
      <c r="Y728" s="56"/>
      <c r="Z728" s="56"/>
      <c r="AA728" s="56"/>
      <c r="AB728" s="56"/>
      <c r="AC728" s="56"/>
      <c r="AD728" s="56"/>
      <c r="AE728" s="56"/>
      <c r="AF728" s="56"/>
      <c r="AG728" s="56"/>
      <c r="AH728" s="56"/>
      <c r="AI728" s="58"/>
      <c r="AJ728" s="56"/>
      <c r="AK728" s="56"/>
      <c r="AL728" s="56"/>
      <c r="AM728" s="57"/>
      <c r="AN728" s="57"/>
      <c r="AO728" s="56"/>
      <c r="AP728" s="56"/>
      <c r="AQ728" s="57"/>
      <c r="AR728" s="57"/>
      <c r="AS728" s="57"/>
      <c r="AT728" s="67">
        <f t="shared" ca="1" si="70"/>
        <v>0</v>
      </c>
      <c r="AU728" s="79" t="str">
        <f t="shared" ca="1" si="71"/>
        <v/>
      </c>
      <c r="AV728" s="79" t="str" cm="1">
        <f t="array" aca="1" ref="AV728" ca="1">IFERROR(_xlfn.IFS($AU728="","",$AU728&lt;=15,"0-15",AND($AU728&gt;=16,$AU728&lt;=30),"16-30",AND($AU728&gt;=31,$AU728&lt;=45),"31-45",AND($AU728&gt;=46,$AU728&lt;=60),"46-60",AND($AU728&gt;=61,$AU728&lt;=90),"61-90",AND($AU728&gt;=91),"&gt; 90",AND($AU728&gt;=2000),""),"")</f>
        <v/>
      </c>
      <c r="AW728" s="79" t="str" cm="1">
        <f t="array" aca="1" ref="AW728" ca="1">IFERROR(_xlfn.IFS(OR($M728="",$AM728=""),"",OR($C728="Offered",$C728="Joined"),($AM728-$M728)-$AT728),"")</f>
        <v/>
      </c>
      <c r="AX728" s="79" t="str" cm="1">
        <f t="array" aca="1" ref="AX728" ca="1">IFERROR(_xlfn.IFS(OR($M728="",$AS728=""),"",$C728="Joined",($AS728-$M728)-$AT728),"")</f>
        <v/>
      </c>
      <c r="AY728" s="67" t="str">
        <f>IFERROR(IF(COUNTIFS('Candidate Tracker'!$E:$E,'Positions Tracker'!$B728,'Candidate Tracker'!$C:$C,"Offer Drop")=0,"",COUNTIFS('Candidate Tracker'!$E:$E,'Positions Tracker'!$B728,'Candidate Tracker'!$C:$C,"Offer Drop")),"")</f>
        <v/>
      </c>
      <c r="AZ728" s="80">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0.88111888111888115</v>
      </c>
      <c r="BA728" s="81" t="str">
        <f>IFERROR(IF(COUNTIFS('Candidate Tracker'!$E:$E,'Positions Tracker'!$B728,'Candidate Tracker'!$I:$I,"Female")=0,"",COUNTIFS('Candidate Tracker'!$E:$E,'Positions Tracker'!$B728,'Candidate Tracker'!$I:$I,"Female")),"")</f>
        <v/>
      </c>
      <c r="BB728" s="81" t="str">
        <f>IFERROR(IF(COUNTIFS('Candidate Tracker'!$E:$E,'Positions Tracker'!$B728,'Candidate Tracker'!$I:$I,"male")=0,"",COUNTIFS('Candidate Tracker'!$E:$E,'Positions Tracker'!$B728,'Candidate Tracker'!$I:$I,"male")),"")</f>
        <v/>
      </c>
      <c r="BC728" s="80" t="str">
        <f>IFERROR(IF(COUNTIFS('Candidate Tracker'!$E:$E,'Positions Tracker'!$B728,'Candidate Tracker'!$C:$C,"&lt;&gt;WIP",'Candidate Tracker'!$C:$C,"&lt;&gt;Hold",'Candidate Tracker'!$C:$C,"&lt;&gt;Cancelled",'Candidate Tracker'!$C:$C,"&lt;&gt;Closed")/COUNTIFS('Candidate Tracker'!$E:$E,'Positions Tracker'!$B728)=0,"",COUNTIFS('Candidate Tracker'!$E:$E,'Positions Tracker'!$B728,'Candidate Tracker'!$C:$C,"&lt;&gt;WIP",'Candidate Tracker'!$C:$C,"&lt;&gt;Hold",'Candidate Tracker'!$C:$C,"&lt;&gt;Cancelled",'Candidate Tracker'!$C:$C,"&lt;&gt;Closed")/COUNTIFS('Candidate Tracker'!$E:$E,'Positions Tracker'!$B728)),"")</f>
        <v/>
      </c>
      <c r="BD728" s="67" t="str">
        <f t="shared" si="66"/>
        <v/>
      </c>
      <c r="BE728" s="67" t="str">
        <f t="shared" si="67"/>
        <v/>
      </c>
      <c r="BF728" s="67" t="str">
        <f t="shared" si="68"/>
        <v/>
      </c>
      <c r="BG728" s="67" t="str">
        <f t="shared" si="69"/>
        <v/>
      </c>
    </row>
    <row r="729" spans="1:59">
      <c r="A729" s="55"/>
      <c r="B729" s="56"/>
      <c r="C729" s="56"/>
      <c r="D729" s="56"/>
      <c r="E729" s="56"/>
      <c r="F729" s="56"/>
      <c r="G729" s="56"/>
      <c r="H729" s="56"/>
      <c r="I729" s="6"/>
      <c r="J729" s="6"/>
      <c r="K729" s="57"/>
      <c r="L729" s="57"/>
      <c r="M729" s="57"/>
      <c r="N729" s="56"/>
      <c r="O729" s="56"/>
      <c r="P729" s="56"/>
      <c r="Q729" s="56"/>
      <c r="R729" s="56"/>
      <c r="S729" s="56"/>
      <c r="T729" s="56"/>
      <c r="U729" s="56"/>
      <c r="V729" s="56"/>
      <c r="W729" s="56"/>
      <c r="X729" s="56"/>
      <c r="Y729" s="56"/>
      <c r="Z729" s="56"/>
      <c r="AA729" s="56"/>
      <c r="AB729" s="56"/>
      <c r="AC729" s="56"/>
      <c r="AD729" s="56"/>
      <c r="AE729" s="56"/>
      <c r="AF729" s="56"/>
      <c r="AG729" s="56"/>
      <c r="AH729" s="56"/>
      <c r="AI729" s="58"/>
      <c r="AJ729" s="56"/>
      <c r="AK729" s="56"/>
      <c r="AL729" s="56"/>
      <c r="AM729" s="57"/>
      <c r="AN729" s="57"/>
      <c r="AO729" s="56"/>
      <c r="AP729" s="56"/>
      <c r="AQ729" s="57"/>
      <c r="AR729" s="57"/>
      <c r="AS729" s="57"/>
      <c r="AT729" s="67">
        <f t="shared" ca="1" si="70"/>
        <v>0</v>
      </c>
      <c r="AU729" s="79" t="str">
        <f t="shared" ca="1" si="71"/>
        <v/>
      </c>
      <c r="AV729" s="79" t="str" cm="1">
        <f t="array" aca="1" ref="AV729" ca="1">IFERROR(_xlfn.IFS($AU729="","",$AU729&lt;=15,"0-15",AND($AU729&gt;=16,$AU729&lt;=30),"16-30",AND($AU729&gt;=31,$AU729&lt;=45),"31-45",AND($AU729&gt;=46,$AU729&lt;=60),"46-60",AND($AU729&gt;=61,$AU729&lt;=90),"61-90",AND($AU729&gt;=91),"&gt; 90",AND($AU729&gt;=2000),""),"")</f>
        <v/>
      </c>
      <c r="AW729" s="79" t="str" cm="1">
        <f t="array" aca="1" ref="AW729" ca="1">IFERROR(_xlfn.IFS(OR($M729="",$AM729=""),"",OR($C729="Offered",$C729="Joined"),($AM729-$M729)-$AT729),"")</f>
        <v/>
      </c>
      <c r="AX729" s="79" t="str" cm="1">
        <f t="array" aca="1" ref="AX729" ca="1">IFERROR(_xlfn.IFS(OR($M729="",$AS729=""),"",$C729="Joined",($AS729-$M729)-$AT729),"")</f>
        <v/>
      </c>
      <c r="AY729" s="67" t="str">
        <f>IFERROR(IF(COUNTIFS('Candidate Tracker'!$E:$E,'Positions Tracker'!$B729,'Candidate Tracker'!$C:$C,"Offer Drop")=0,"",COUNTIFS('Candidate Tracker'!$E:$E,'Positions Tracker'!$B729,'Candidate Tracker'!$C:$C,"Offer Drop")),"")</f>
        <v/>
      </c>
      <c r="AZ729" s="80">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0.88111888111888115</v>
      </c>
      <c r="BA729" s="81" t="str">
        <f>IFERROR(IF(COUNTIFS('Candidate Tracker'!$E:$E,'Positions Tracker'!$B729,'Candidate Tracker'!$I:$I,"Female")=0,"",COUNTIFS('Candidate Tracker'!$E:$E,'Positions Tracker'!$B729,'Candidate Tracker'!$I:$I,"Female")),"")</f>
        <v/>
      </c>
      <c r="BB729" s="81" t="str">
        <f>IFERROR(IF(COUNTIFS('Candidate Tracker'!$E:$E,'Positions Tracker'!$B729,'Candidate Tracker'!$I:$I,"male")=0,"",COUNTIFS('Candidate Tracker'!$E:$E,'Positions Tracker'!$B729,'Candidate Tracker'!$I:$I,"male")),"")</f>
        <v/>
      </c>
      <c r="BC729" s="80" t="str">
        <f>IFERROR(IF(COUNTIFS('Candidate Tracker'!$E:$E,'Positions Tracker'!$B729,'Candidate Tracker'!$C:$C,"&lt;&gt;WIP",'Candidate Tracker'!$C:$C,"&lt;&gt;Hold",'Candidate Tracker'!$C:$C,"&lt;&gt;Cancelled",'Candidate Tracker'!$C:$C,"&lt;&gt;Closed")/COUNTIFS('Candidate Tracker'!$E:$E,'Positions Tracker'!$B729)=0,"",COUNTIFS('Candidate Tracker'!$E:$E,'Positions Tracker'!$B729,'Candidate Tracker'!$C:$C,"&lt;&gt;WIP",'Candidate Tracker'!$C:$C,"&lt;&gt;Hold",'Candidate Tracker'!$C:$C,"&lt;&gt;Cancelled",'Candidate Tracker'!$C:$C,"&lt;&gt;Closed")/COUNTIFS('Candidate Tracker'!$E:$E,'Positions Tracker'!$B729)),"")</f>
        <v/>
      </c>
      <c r="BD729" s="67" t="str">
        <f t="shared" si="66"/>
        <v/>
      </c>
      <c r="BE729" s="67" t="str">
        <f t="shared" si="67"/>
        <v/>
      </c>
      <c r="BF729" s="67" t="str">
        <f t="shared" si="68"/>
        <v/>
      </c>
      <c r="BG729" s="67" t="str">
        <f t="shared" si="69"/>
        <v/>
      </c>
    </row>
    <row r="730" spans="1:59">
      <c r="A730" s="55"/>
      <c r="B730" s="56"/>
      <c r="C730" s="56"/>
      <c r="D730" s="56"/>
      <c r="E730" s="56"/>
      <c r="F730" s="56"/>
      <c r="G730" s="56"/>
      <c r="H730" s="56"/>
      <c r="I730" s="6"/>
      <c r="J730" s="6"/>
      <c r="K730" s="57"/>
      <c r="L730" s="57"/>
      <c r="M730" s="57"/>
      <c r="N730" s="56"/>
      <c r="O730" s="56"/>
      <c r="P730" s="56"/>
      <c r="Q730" s="56"/>
      <c r="R730" s="56"/>
      <c r="S730" s="56"/>
      <c r="T730" s="56"/>
      <c r="U730" s="56"/>
      <c r="V730" s="56"/>
      <c r="W730" s="56"/>
      <c r="X730" s="56"/>
      <c r="Y730" s="56"/>
      <c r="Z730" s="56"/>
      <c r="AA730" s="56"/>
      <c r="AB730" s="56"/>
      <c r="AC730" s="56"/>
      <c r="AD730" s="56"/>
      <c r="AE730" s="56"/>
      <c r="AF730" s="56"/>
      <c r="AG730" s="56"/>
      <c r="AH730" s="56"/>
      <c r="AI730" s="58"/>
      <c r="AJ730" s="56"/>
      <c r="AK730" s="56"/>
      <c r="AL730" s="56"/>
      <c r="AM730" s="57"/>
      <c r="AN730" s="57"/>
      <c r="AO730" s="56"/>
      <c r="AP730" s="56"/>
      <c r="AQ730" s="57"/>
      <c r="AR730" s="57"/>
      <c r="AS730" s="57"/>
      <c r="AT730" s="67">
        <f t="shared" ca="1" si="70"/>
        <v>0</v>
      </c>
      <c r="AU730" s="79" t="str">
        <f t="shared" ca="1" si="71"/>
        <v/>
      </c>
      <c r="AV730" s="79" t="str" cm="1">
        <f t="array" aca="1" ref="AV730" ca="1">IFERROR(_xlfn.IFS($AU730="","",$AU730&lt;=15,"0-15",AND($AU730&gt;=16,$AU730&lt;=30),"16-30",AND($AU730&gt;=31,$AU730&lt;=45),"31-45",AND($AU730&gt;=46,$AU730&lt;=60),"46-60",AND($AU730&gt;=61,$AU730&lt;=90),"61-90",AND($AU730&gt;=91),"&gt; 90",AND($AU730&gt;=2000),""),"")</f>
        <v/>
      </c>
      <c r="AW730" s="79" t="str" cm="1">
        <f t="array" aca="1" ref="AW730" ca="1">IFERROR(_xlfn.IFS(OR($M730="",$AM730=""),"",OR($C730="Offered",$C730="Joined"),($AM730-$M730)-$AT730),"")</f>
        <v/>
      </c>
      <c r="AX730" s="79" t="str" cm="1">
        <f t="array" aca="1" ref="AX730" ca="1">IFERROR(_xlfn.IFS(OR($M730="",$AS730=""),"",$C730="Joined",($AS730-$M730)-$AT730),"")</f>
        <v/>
      </c>
      <c r="AY730" s="67" t="str">
        <f>IFERROR(IF(COUNTIFS('Candidate Tracker'!$E:$E,'Positions Tracker'!$B730,'Candidate Tracker'!$C:$C,"Offer Drop")=0,"",COUNTIFS('Candidate Tracker'!$E:$E,'Positions Tracker'!$B730,'Candidate Tracker'!$C:$C,"Offer Drop")),"")</f>
        <v/>
      </c>
      <c r="AZ730" s="80">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0.88111888111888115</v>
      </c>
      <c r="BA730" s="81" t="str">
        <f>IFERROR(IF(COUNTIFS('Candidate Tracker'!$E:$E,'Positions Tracker'!$B730,'Candidate Tracker'!$I:$I,"Female")=0,"",COUNTIFS('Candidate Tracker'!$E:$E,'Positions Tracker'!$B730,'Candidate Tracker'!$I:$I,"Female")),"")</f>
        <v/>
      </c>
      <c r="BB730" s="81" t="str">
        <f>IFERROR(IF(COUNTIFS('Candidate Tracker'!$E:$E,'Positions Tracker'!$B730,'Candidate Tracker'!$I:$I,"male")=0,"",COUNTIFS('Candidate Tracker'!$E:$E,'Positions Tracker'!$B730,'Candidate Tracker'!$I:$I,"male")),"")</f>
        <v/>
      </c>
      <c r="BC730" s="80" t="str">
        <f>IFERROR(IF(COUNTIFS('Candidate Tracker'!$E:$E,'Positions Tracker'!$B730,'Candidate Tracker'!$C:$C,"&lt;&gt;WIP",'Candidate Tracker'!$C:$C,"&lt;&gt;Hold",'Candidate Tracker'!$C:$C,"&lt;&gt;Cancelled",'Candidate Tracker'!$C:$C,"&lt;&gt;Closed")/COUNTIFS('Candidate Tracker'!$E:$E,'Positions Tracker'!$B730)=0,"",COUNTIFS('Candidate Tracker'!$E:$E,'Positions Tracker'!$B730,'Candidate Tracker'!$C:$C,"&lt;&gt;WIP",'Candidate Tracker'!$C:$C,"&lt;&gt;Hold",'Candidate Tracker'!$C:$C,"&lt;&gt;Cancelled",'Candidate Tracker'!$C:$C,"&lt;&gt;Closed")/COUNTIFS('Candidate Tracker'!$E:$E,'Positions Tracker'!$B730)),"")</f>
        <v/>
      </c>
      <c r="BD730" s="67" t="str">
        <f t="shared" si="66"/>
        <v/>
      </c>
      <c r="BE730" s="67" t="str">
        <f t="shared" si="67"/>
        <v/>
      </c>
      <c r="BF730" s="67" t="str">
        <f t="shared" si="68"/>
        <v/>
      </c>
      <c r="BG730" s="67" t="str">
        <f t="shared" si="69"/>
        <v/>
      </c>
    </row>
    <row r="731" spans="1:59">
      <c r="A731" s="55"/>
      <c r="B731" s="56"/>
      <c r="C731" s="56"/>
      <c r="D731" s="56"/>
      <c r="E731" s="56"/>
      <c r="F731" s="56"/>
      <c r="G731" s="56"/>
      <c r="H731" s="56"/>
      <c r="I731" s="6"/>
      <c r="J731" s="6"/>
      <c r="K731" s="57"/>
      <c r="L731" s="57"/>
      <c r="M731" s="57"/>
      <c r="N731" s="56"/>
      <c r="O731" s="56"/>
      <c r="P731" s="56"/>
      <c r="Q731" s="56"/>
      <c r="R731" s="56"/>
      <c r="S731" s="56"/>
      <c r="T731" s="56"/>
      <c r="U731" s="56"/>
      <c r="V731" s="56"/>
      <c r="W731" s="56"/>
      <c r="X731" s="56"/>
      <c r="Y731" s="56"/>
      <c r="Z731" s="56"/>
      <c r="AA731" s="56"/>
      <c r="AB731" s="56"/>
      <c r="AC731" s="56"/>
      <c r="AD731" s="56"/>
      <c r="AE731" s="56"/>
      <c r="AF731" s="56"/>
      <c r="AG731" s="56"/>
      <c r="AH731" s="56"/>
      <c r="AI731" s="58"/>
      <c r="AJ731" s="56"/>
      <c r="AK731" s="56"/>
      <c r="AL731" s="56"/>
      <c r="AM731" s="57"/>
      <c r="AN731" s="57"/>
      <c r="AO731" s="56"/>
      <c r="AP731" s="56"/>
      <c r="AQ731" s="57"/>
      <c r="AR731" s="57"/>
      <c r="AS731" s="57"/>
      <c r="AT731" s="67">
        <f t="shared" ca="1" si="70"/>
        <v>0</v>
      </c>
      <c r="AU731" s="79" t="str">
        <f t="shared" ca="1" si="71"/>
        <v/>
      </c>
      <c r="AV731" s="79" t="str" cm="1">
        <f t="array" aca="1" ref="AV731" ca="1">IFERROR(_xlfn.IFS($AU731="","",$AU731&lt;=15,"0-15",AND($AU731&gt;=16,$AU731&lt;=30),"16-30",AND($AU731&gt;=31,$AU731&lt;=45),"31-45",AND($AU731&gt;=46,$AU731&lt;=60),"46-60",AND($AU731&gt;=61,$AU731&lt;=90),"61-90",AND($AU731&gt;=91),"&gt; 90",AND($AU731&gt;=2000),""),"")</f>
        <v/>
      </c>
      <c r="AW731" s="79" t="str" cm="1">
        <f t="array" aca="1" ref="AW731" ca="1">IFERROR(_xlfn.IFS(OR($M731="",$AM731=""),"",OR($C731="Offered",$C731="Joined"),($AM731-$M731)-$AT731),"")</f>
        <v/>
      </c>
      <c r="AX731" s="79" t="str" cm="1">
        <f t="array" aca="1" ref="AX731" ca="1">IFERROR(_xlfn.IFS(OR($M731="",$AS731=""),"",$C731="Joined",($AS731-$M731)-$AT731),"")</f>
        <v/>
      </c>
      <c r="AY731" s="67" t="str">
        <f>IFERROR(IF(COUNTIFS('Candidate Tracker'!$E:$E,'Positions Tracker'!$B731,'Candidate Tracker'!$C:$C,"Offer Drop")=0,"",COUNTIFS('Candidate Tracker'!$E:$E,'Positions Tracker'!$B731,'Candidate Tracker'!$C:$C,"Offer Drop")),"")</f>
        <v/>
      </c>
      <c r="AZ731" s="80">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0.88111888111888115</v>
      </c>
      <c r="BA731" s="81" t="str">
        <f>IFERROR(IF(COUNTIFS('Candidate Tracker'!$E:$E,'Positions Tracker'!$B731,'Candidate Tracker'!$I:$I,"Female")=0,"",COUNTIFS('Candidate Tracker'!$E:$E,'Positions Tracker'!$B731,'Candidate Tracker'!$I:$I,"Female")),"")</f>
        <v/>
      </c>
      <c r="BB731" s="81" t="str">
        <f>IFERROR(IF(COUNTIFS('Candidate Tracker'!$E:$E,'Positions Tracker'!$B731,'Candidate Tracker'!$I:$I,"male")=0,"",COUNTIFS('Candidate Tracker'!$E:$E,'Positions Tracker'!$B731,'Candidate Tracker'!$I:$I,"male")),"")</f>
        <v/>
      </c>
      <c r="BC731" s="80" t="str">
        <f>IFERROR(IF(COUNTIFS('Candidate Tracker'!$E:$E,'Positions Tracker'!$B731,'Candidate Tracker'!$C:$C,"&lt;&gt;WIP",'Candidate Tracker'!$C:$C,"&lt;&gt;Hold",'Candidate Tracker'!$C:$C,"&lt;&gt;Cancelled",'Candidate Tracker'!$C:$C,"&lt;&gt;Closed")/COUNTIFS('Candidate Tracker'!$E:$E,'Positions Tracker'!$B731)=0,"",COUNTIFS('Candidate Tracker'!$E:$E,'Positions Tracker'!$B731,'Candidate Tracker'!$C:$C,"&lt;&gt;WIP",'Candidate Tracker'!$C:$C,"&lt;&gt;Hold",'Candidate Tracker'!$C:$C,"&lt;&gt;Cancelled",'Candidate Tracker'!$C:$C,"&lt;&gt;Closed")/COUNTIFS('Candidate Tracker'!$E:$E,'Positions Tracker'!$B731)),"")</f>
        <v/>
      </c>
      <c r="BD731" s="67" t="str">
        <f t="shared" si="66"/>
        <v/>
      </c>
      <c r="BE731" s="67" t="str">
        <f t="shared" si="67"/>
        <v/>
      </c>
      <c r="BF731" s="67" t="str">
        <f t="shared" si="68"/>
        <v/>
      </c>
      <c r="BG731" s="67" t="str">
        <f t="shared" si="69"/>
        <v/>
      </c>
    </row>
    <row r="732" spans="1:59">
      <c r="A732" s="55"/>
      <c r="B732" s="56"/>
      <c r="C732" s="56"/>
      <c r="D732" s="56"/>
      <c r="E732" s="56"/>
      <c r="F732" s="56"/>
      <c r="G732" s="56"/>
      <c r="H732" s="56"/>
      <c r="I732" s="6"/>
      <c r="J732" s="6"/>
      <c r="K732" s="57"/>
      <c r="L732" s="57"/>
      <c r="M732" s="57"/>
      <c r="N732" s="56"/>
      <c r="O732" s="56"/>
      <c r="P732" s="56"/>
      <c r="Q732" s="56"/>
      <c r="R732" s="56"/>
      <c r="S732" s="56"/>
      <c r="T732" s="56"/>
      <c r="U732" s="56"/>
      <c r="V732" s="56"/>
      <c r="W732" s="56"/>
      <c r="X732" s="56"/>
      <c r="Y732" s="56"/>
      <c r="Z732" s="56"/>
      <c r="AA732" s="56"/>
      <c r="AB732" s="56"/>
      <c r="AC732" s="56"/>
      <c r="AD732" s="56"/>
      <c r="AE732" s="56"/>
      <c r="AF732" s="56"/>
      <c r="AG732" s="56"/>
      <c r="AH732" s="56"/>
      <c r="AI732" s="58"/>
      <c r="AJ732" s="56"/>
      <c r="AK732" s="56"/>
      <c r="AL732" s="56"/>
      <c r="AM732" s="57"/>
      <c r="AN732" s="57"/>
      <c r="AO732" s="56"/>
      <c r="AP732" s="56"/>
      <c r="AQ732" s="57"/>
      <c r="AR732" s="57"/>
      <c r="AS732" s="57"/>
      <c r="AT732" s="67">
        <f t="shared" ca="1" si="70"/>
        <v>0</v>
      </c>
      <c r="AU732" s="79" t="str">
        <f t="shared" ca="1" si="71"/>
        <v/>
      </c>
      <c r="AV732" s="79" t="str" cm="1">
        <f t="array" aca="1" ref="AV732" ca="1">IFERROR(_xlfn.IFS($AU732="","",$AU732&lt;=15,"0-15",AND($AU732&gt;=16,$AU732&lt;=30),"16-30",AND($AU732&gt;=31,$AU732&lt;=45),"31-45",AND($AU732&gt;=46,$AU732&lt;=60),"46-60",AND($AU732&gt;=61,$AU732&lt;=90),"61-90",AND($AU732&gt;=91),"&gt; 90",AND($AU732&gt;=2000),""),"")</f>
        <v/>
      </c>
      <c r="AW732" s="79" t="str" cm="1">
        <f t="array" aca="1" ref="AW732" ca="1">IFERROR(_xlfn.IFS(OR($M732="",$AM732=""),"",OR($C732="Offered",$C732="Joined"),($AM732-$M732)-$AT732),"")</f>
        <v/>
      </c>
      <c r="AX732" s="79" t="str" cm="1">
        <f t="array" aca="1" ref="AX732" ca="1">IFERROR(_xlfn.IFS(OR($M732="",$AS732=""),"",$C732="Joined",($AS732-$M732)-$AT732),"")</f>
        <v/>
      </c>
      <c r="AY732" s="67" t="str">
        <f>IFERROR(IF(COUNTIFS('Candidate Tracker'!$E:$E,'Positions Tracker'!$B732,'Candidate Tracker'!$C:$C,"Offer Drop")=0,"",COUNTIFS('Candidate Tracker'!$E:$E,'Positions Tracker'!$B732,'Candidate Tracker'!$C:$C,"Offer Drop")),"")</f>
        <v/>
      </c>
      <c r="AZ732" s="80">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0.88111888111888115</v>
      </c>
      <c r="BA732" s="81" t="str">
        <f>IFERROR(IF(COUNTIFS('Candidate Tracker'!$E:$E,'Positions Tracker'!$B732,'Candidate Tracker'!$I:$I,"Female")=0,"",COUNTIFS('Candidate Tracker'!$E:$E,'Positions Tracker'!$B732,'Candidate Tracker'!$I:$I,"Female")),"")</f>
        <v/>
      </c>
      <c r="BB732" s="81" t="str">
        <f>IFERROR(IF(COUNTIFS('Candidate Tracker'!$E:$E,'Positions Tracker'!$B732,'Candidate Tracker'!$I:$I,"male")=0,"",COUNTIFS('Candidate Tracker'!$E:$E,'Positions Tracker'!$B732,'Candidate Tracker'!$I:$I,"male")),"")</f>
        <v/>
      </c>
      <c r="BC732" s="80" t="str">
        <f>IFERROR(IF(COUNTIFS('Candidate Tracker'!$E:$E,'Positions Tracker'!$B732,'Candidate Tracker'!$C:$C,"&lt;&gt;WIP",'Candidate Tracker'!$C:$C,"&lt;&gt;Hold",'Candidate Tracker'!$C:$C,"&lt;&gt;Cancelled",'Candidate Tracker'!$C:$C,"&lt;&gt;Closed")/COUNTIFS('Candidate Tracker'!$E:$E,'Positions Tracker'!$B732)=0,"",COUNTIFS('Candidate Tracker'!$E:$E,'Positions Tracker'!$B732,'Candidate Tracker'!$C:$C,"&lt;&gt;WIP",'Candidate Tracker'!$C:$C,"&lt;&gt;Hold",'Candidate Tracker'!$C:$C,"&lt;&gt;Cancelled",'Candidate Tracker'!$C:$C,"&lt;&gt;Closed")/COUNTIFS('Candidate Tracker'!$E:$E,'Positions Tracker'!$B732)),"")</f>
        <v/>
      </c>
      <c r="BD732" s="67" t="str">
        <f t="shared" si="66"/>
        <v/>
      </c>
      <c r="BE732" s="67" t="str">
        <f t="shared" si="67"/>
        <v/>
      </c>
      <c r="BF732" s="67" t="str">
        <f t="shared" si="68"/>
        <v/>
      </c>
      <c r="BG732" s="67" t="str">
        <f t="shared" si="69"/>
        <v/>
      </c>
    </row>
    <row r="733" spans="1:59">
      <c r="A733" s="55"/>
      <c r="B733" s="56"/>
      <c r="C733" s="56"/>
      <c r="D733" s="56"/>
      <c r="E733" s="56"/>
      <c r="F733" s="56"/>
      <c r="G733" s="56"/>
      <c r="H733" s="56"/>
      <c r="I733" s="6"/>
      <c r="J733" s="6"/>
      <c r="K733" s="57"/>
      <c r="L733" s="57"/>
      <c r="M733" s="57"/>
      <c r="N733" s="56"/>
      <c r="O733" s="56"/>
      <c r="P733" s="56"/>
      <c r="Q733" s="56"/>
      <c r="R733" s="56"/>
      <c r="S733" s="56"/>
      <c r="T733" s="56"/>
      <c r="U733" s="56"/>
      <c r="V733" s="56"/>
      <c r="W733" s="56"/>
      <c r="X733" s="56"/>
      <c r="Y733" s="56"/>
      <c r="Z733" s="56"/>
      <c r="AA733" s="56"/>
      <c r="AB733" s="56"/>
      <c r="AC733" s="56"/>
      <c r="AD733" s="56"/>
      <c r="AE733" s="56"/>
      <c r="AF733" s="56"/>
      <c r="AG733" s="56"/>
      <c r="AH733" s="56"/>
      <c r="AI733" s="58"/>
      <c r="AJ733" s="56"/>
      <c r="AK733" s="56"/>
      <c r="AL733" s="56"/>
      <c r="AM733" s="57"/>
      <c r="AN733" s="57"/>
      <c r="AO733" s="56"/>
      <c r="AP733" s="56"/>
      <c r="AQ733" s="57"/>
      <c r="AR733" s="57"/>
      <c r="AS733" s="57"/>
      <c r="AT733" s="67">
        <f t="shared" ca="1" si="70"/>
        <v>0</v>
      </c>
      <c r="AU733" s="79" t="str">
        <f t="shared" ca="1" si="71"/>
        <v/>
      </c>
      <c r="AV733" s="79" t="str" cm="1">
        <f t="array" aca="1" ref="AV733" ca="1">IFERROR(_xlfn.IFS($AU733="","",$AU733&lt;=15,"0-15",AND($AU733&gt;=16,$AU733&lt;=30),"16-30",AND($AU733&gt;=31,$AU733&lt;=45),"31-45",AND($AU733&gt;=46,$AU733&lt;=60),"46-60",AND($AU733&gt;=61,$AU733&lt;=90),"61-90",AND($AU733&gt;=91),"&gt; 90",AND($AU733&gt;=2000),""),"")</f>
        <v/>
      </c>
      <c r="AW733" s="79" t="str" cm="1">
        <f t="array" aca="1" ref="AW733" ca="1">IFERROR(_xlfn.IFS(OR($M733="",$AM733=""),"",OR($C733="Offered",$C733="Joined"),($AM733-$M733)-$AT733),"")</f>
        <v/>
      </c>
      <c r="AX733" s="79" t="str" cm="1">
        <f t="array" aca="1" ref="AX733" ca="1">IFERROR(_xlfn.IFS(OR($M733="",$AS733=""),"",$C733="Joined",($AS733-$M733)-$AT733),"")</f>
        <v/>
      </c>
      <c r="AY733" s="67" t="str">
        <f>IFERROR(IF(COUNTIFS('Candidate Tracker'!$E:$E,'Positions Tracker'!$B733,'Candidate Tracker'!$C:$C,"Offer Drop")=0,"",COUNTIFS('Candidate Tracker'!$E:$E,'Positions Tracker'!$B733,'Candidate Tracker'!$C:$C,"Offer Drop")),"")</f>
        <v/>
      </c>
      <c r="AZ733" s="80">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0.88111888111888115</v>
      </c>
      <c r="BA733" s="81" t="str">
        <f>IFERROR(IF(COUNTIFS('Candidate Tracker'!$E:$E,'Positions Tracker'!$B733,'Candidate Tracker'!$I:$I,"Female")=0,"",COUNTIFS('Candidate Tracker'!$E:$E,'Positions Tracker'!$B733,'Candidate Tracker'!$I:$I,"Female")),"")</f>
        <v/>
      </c>
      <c r="BB733" s="81" t="str">
        <f>IFERROR(IF(COUNTIFS('Candidate Tracker'!$E:$E,'Positions Tracker'!$B733,'Candidate Tracker'!$I:$I,"male")=0,"",COUNTIFS('Candidate Tracker'!$E:$E,'Positions Tracker'!$B733,'Candidate Tracker'!$I:$I,"male")),"")</f>
        <v/>
      </c>
      <c r="BC733" s="80" t="str">
        <f>IFERROR(IF(COUNTIFS('Candidate Tracker'!$E:$E,'Positions Tracker'!$B733,'Candidate Tracker'!$C:$C,"&lt;&gt;WIP",'Candidate Tracker'!$C:$C,"&lt;&gt;Hold",'Candidate Tracker'!$C:$C,"&lt;&gt;Cancelled",'Candidate Tracker'!$C:$C,"&lt;&gt;Closed")/COUNTIFS('Candidate Tracker'!$E:$E,'Positions Tracker'!$B733)=0,"",COUNTIFS('Candidate Tracker'!$E:$E,'Positions Tracker'!$B733,'Candidate Tracker'!$C:$C,"&lt;&gt;WIP",'Candidate Tracker'!$C:$C,"&lt;&gt;Hold",'Candidate Tracker'!$C:$C,"&lt;&gt;Cancelled",'Candidate Tracker'!$C:$C,"&lt;&gt;Closed")/COUNTIFS('Candidate Tracker'!$E:$E,'Positions Tracker'!$B733)),"")</f>
        <v/>
      </c>
      <c r="BD733" s="67" t="str">
        <f t="shared" si="66"/>
        <v/>
      </c>
      <c r="BE733" s="67" t="str">
        <f t="shared" si="67"/>
        <v/>
      </c>
      <c r="BF733" s="67" t="str">
        <f t="shared" si="68"/>
        <v/>
      </c>
      <c r="BG733" s="67" t="str">
        <f t="shared" si="69"/>
        <v/>
      </c>
    </row>
    <row r="734" spans="1:59">
      <c r="A734" s="55"/>
      <c r="B734" s="56"/>
      <c r="C734" s="56"/>
      <c r="D734" s="56"/>
      <c r="E734" s="56"/>
      <c r="F734" s="56"/>
      <c r="G734" s="56"/>
      <c r="H734" s="56"/>
      <c r="I734" s="6"/>
      <c r="J734" s="6"/>
      <c r="K734" s="57"/>
      <c r="L734" s="57"/>
      <c r="M734" s="57"/>
      <c r="N734" s="56"/>
      <c r="O734" s="56"/>
      <c r="P734" s="56"/>
      <c r="Q734" s="56"/>
      <c r="R734" s="56"/>
      <c r="S734" s="56"/>
      <c r="T734" s="56"/>
      <c r="U734" s="56"/>
      <c r="V734" s="56"/>
      <c r="W734" s="56"/>
      <c r="X734" s="56"/>
      <c r="Y734" s="56"/>
      <c r="Z734" s="56"/>
      <c r="AA734" s="56"/>
      <c r="AB734" s="56"/>
      <c r="AC734" s="56"/>
      <c r="AD734" s="56"/>
      <c r="AE734" s="56"/>
      <c r="AF734" s="56"/>
      <c r="AG734" s="56"/>
      <c r="AH734" s="56"/>
      <c r="AI734" s="58"/>
      <c r="AJ734" s="56"/>
      <c r="AK734" s="56"/>
      <c r="AL734" s="56"/>
      <c r="AM734" s="57"/>
      <c r="AN734" s="57"/>
      <c r="AO734" s="56"/>
      <c r="AP734" s="56"/>
      <c r="AQ734" s="57"/>
      <c r="AR734" s="57"/>
      <c r="AS734" s="57"/>
      <c r="AT734" s="67">
        <f t="shared" ca="1" si="70"/>
        <v>0</v>
      </c>
      <c r="AU734" s="79" t="str">
        <f t="shared" ca="1" si="71"/>
        <v/>
      </c>
      <c r="AV734" s="79" t="str" cm="1">
        <f t="array" aca="1" ref="AV734" ca="1">IFERROR(_xlfn.IFS($AU734="","",$AU734&lt;=15,"0-15",AND($AU734&gt;=16,$AU734&lt;=30),"16-30",AND($AU734&gt;=31,$AU734&lt;=45),"31-45",AND($AU734&gt;=46,$AU734&lt;=60),"46-60",AND($AU734&gt;=61,$AU734&lt;=90),"61-90",AND($AU734&gt;=91),"&gt; 90",AND($AU734&gt;=2000),""),"")</f>
        <v/>
      </c>
      <c r="AW734" s="79" t="str" cm="1">
        <f t="array" aca="1" ref="AW734" ca="1">IFERROR(_xlfn.IFS(OR($M734="",$AM734=""),"",OR($C734="Offered",$C734="Joined"),($AM734-$M734)-$AT734),"")</f>
        <v/>
      </c>
      <c r="AX734" s="79" t="str" cm="1">
        <f t="array" aca="1" ref="AX734" ca="1">IFERROR(_xlfn.IFS(OR($M734="",$AS734=""),"",$C734="Joined",($AS734-$M734)-$AT734),"")</f>
        <v/>
      </c>
      <c r="AY734" s="67" t="str">
        <f>IFERROR(IF(COUNTIFS('Candidate Tracker'!$E:$E,'Positions Tracker'!$B734,'Candidate Tracker'!$C:$C,"Offer Drop")=0,"",COUNTIFS('Candidate Tracker'!$E:$E,'Positions Tracker'!$B734,'Candidate Tracker'!$C:$C,"Offer Drop")),"")</f>
        <v/>
      </c>
      <c r="AZ734" s="80">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0.88111888111888115</v>
      </c>
      <c r="BA734" s="81" t="str">
        <f>IFERROR(IF(COUNTIFS('Candidate Tracker'!$E:$E,'Positions Tracker'!$B734,'Candidate Tracker'!$I:$I,"Female")=0,"",COUNTIFS('Candidate Tracker'!$E:$E,'Positions Tracker'!$B734,'Candidate Tracker'!$I:$I,"Female")),"")</f>
        <v/>
      </c>
      <c r="BB734" s="81" t="str">
        <f>IFERROR(IF(COUNTIFS('Candidate Tracker'!$E:$E,'Positions Tracker'!$B734,'Candidate Tracker'!$I:$I,"male")=0,"",COUNTIFS('Candidate Tracker'!$E:$E,'Positions Tracker'!$B734,'Candidate Tracker'!$I:$I,"male")),"")</f>
        <v/>
      </c>
      <c r="BC734" s="80" t="str">
        <f>IFERROR(IF(COUNTIFS('Candidate Tracker'!$E:$E,'Positions Tracker'!$B734,'Candidate Tracker'!$C:$C,"&lt;&gt;WIP",'Candidate Tracker'!$C:$C,"&lt;&gt;Hold",'Candidate Tracker'!$C:$C,"&lt;&gt;Cancelled",'Candidate Tracker'!$C:$C,"&lt;&gt;Closed")/COUNTIFS('Candidate Tracker'!$E:$E,'Positions Tracker'!$B734)=0,"",COUNTIFS('Candidate Tracker'!$E:$E,'Positions Tracker'!$B734,'Candidate Tracker'!$C:$C,"&lt;&gt;WIP",'Candidate Tracker'!$C:$C,"&lt;&gt;Hold",'Candidate Tracker'!$C:$C,"&lt;&gt;Cancelled",'Candidate Tracker'!$C:$C,"&lt;&gt;Closed")/COUNTIFS('Candidate Tracker'!$E:$E,'Positions Tracker'!$B734)),"")</f>
        <v/>
      </c>
      <c r="BD734" s="67" t="str">
        <f t="shared" si="66"/>
        <v/>
      </c>
      <c r="BE734" s="67" t="str">
        <f t="shared" si="67"/>
        <v/>
      </c>
      <c r="BF734" s="67" t="str">
        <f t="shared" si="68"/>
        <v/>
      </c>
      <c r="BG734" s="67" t="str">
        <f t="shared" si="69"/>
        <v/>
      </c>
    </row>
    <row r="735" spans="1:59">
      <c r="A735" s="55"/>
      <c r="B735" s="56"/>
      <c r="C735" s="56"/>
      <c r="D735" s="56"/>
      <c r="E735" s="56"/>
      <c r="F735" s="56"/>
      <c r="G735" s="56"/>
      <c r="H735" s="56"/>
      <c r="I735" s="6"/>
      <c r="J735" s="6"/>
      <c r="K735" s="57"/>
      <c r="L735" s="57"/>
      <c r="M735" s="57"/>
      <c r="N735" s="56"/>
      <c r="O735" s="56"/>
      <c r="P735" s="56"/>
      <c r="Q735" s="56"/>
      <c r="R735" s="56"/>
      <c r="S735" s="56"/>
      <c r="T735" s="56"/>
      <c r="U735" s="56"/>
      <c r="V735" s="56"/>
      <c r="W735" s="56"/>
      <c r="X735" s="56"/>
      <c r="Y735" s="56"/>
      <c r="Z735" s="56"/>
      <c r="AA735" s="56"/>
      <c r="AB735" s="56"/>
      <c r="AC735" s="56"/>
      <c r="AD735" s="56"/>
      <c r="AE735" s="56"/>
      <c r="AF735" s="56"/>
      <c r="AG735" s="56"/>
      <c r="AH735" s="56"/>
      <c r="AI735" s="58"/>
      <c r="AJ735" s="56"/>
      <c r="AK735" s="56"/>
      <c r="AL735" s="56"/>
      <c r="AM735" s="57"/>
      <c r="AN735" s="57"/>
      <c r="AO735" s="56"/>
      <c r="AP735" s="56"/>
      <c r="AQ735" s="57"/>
      <c r="AR735" s="57"/>
      <c r="AS735" s="57"/>
      <c r="AT735" s="67">
        <f t="shared" ca="1" si="70"/>
        <v>0</v>
      </c>
      <c r="AU735" s="79" t="str">
        <f t="shared" ca="1" si="71"/>
        <v/>
      </c>
      <c r="AV735" s="79" t="str" cm="1">
        <f t="array" aca="1" ref="AV735" ca="1">IFERROR(_xlfn.IFS($AU735="","",$AU735&lt;=15,"0-15",AND($AU735&gt;=16,$AU735&lt;=30),"16-30",AND($AU735&gt;=31,$AU735&lt;=45),"31-45",AND($AU735&gt;=46,$AU735&lt;=60),"46-60",AND($AU735&gt;=61,$AU735&lt;=90),"61-90",AND($AU735&gt;=91),"&gt; 90",AND($AU735&gt;=2000),""),"")</f>
        <v/>
      </c>
      <c r="AW735" s="79" t="str" cm="1">
        <f t="array" aca="1" ref="AW735" ca="1">IFERROR(_xlfn.IFS(OR($M735="",$AM735=""),"",OR($C735="Offered",$C735="Joined"),($AM735-$M735)-$AT735),"")</f>
        <v/>
      </c>
      <c r="AX735" s="79" t="str" cm="1">
        <f t="array" aca="1" ref="AX735" ca="1">IFERROR(_xlfn.IFS(OR($M735="",$AS735=""),"",$C735="Joined",($AS735-$M735)-$AT735),"")</f>
        <v/>
      </c>
      <c r="AY735" s="67" t="str">
        <f>IFERROR(IF(COUNTIFS('Candidate Tracker'!$E:$E,'Positions Tracker'!$B735,'Candidate Tracker'!$C:$C,"Offer Drop")=0,"",COUNTIFS('Candidate Tracker'!$E:$E,'Positions Tracker'!$B735,'Candidate Tracker'!$C:$C,"Offer Drop")),"")</f>
        <v/>
      </c>
      <c r="AZ735" s="80">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0.88111888111888115</v>
      </c>
      <c r="BA735" s="81" t="str">
        <f>IFERROR(IF(COUNTIFS('Candidate Tracker'!$E:$E,'Positions Tracker'!$B735,'Candidate Tracker'!$I:$I,"Female")=0,"",COUNTIFS('Candidate Tracker'!$E:$E,'Positions Tracker'!$B735,'Candidate Tracker'!$I:$I,"Female")),"")</f>
        <v/>
      </c>
      <c r="BB735" s="81" t="str">
        <f>IFERROR(IF(COUNTIFS('Candidate Tracker'!$E:$E,'Positions Tracker'!$B735,'Candidate Tracker'!$I:$I,"male")=0,"",COUNTIFS('Candidate Tracker'!$E:$E,'Positions Tracker'!$B735,'Candidate Tracker'!$I:$I,"male")),"")</f>
        <v/>
      </c>
      <c r="BC735" s="80" t="str">
        <f>IFERROR(IF(COUNTIFS('Candidate Tracker'!$E:$E,'Positions Tracker'!$B735,'Candidate Tracker'!$C:$C,"&lt;&gt;WIP",'Candidate Tracker'!$C:$C,"&lt;&gt;Hold",'Candidate Tracker'!$C:$C,"&lt;&gt;Cancelled",'Candidate Tracker'!$C:$C,"&lt;&gt;Closed")/COUNTIFS('Candidate Tracker'!$E:$E,'Positions Tracker'!$B735)=0,"",COUNTIFS('Candidate Tracker'!$E:$E,'Positions Tracker'!$B735,'Candidate Tracker'!$C:$C,"&lt;&gt;WIP",'Candidate Tracker'!$C:$C,"&lt;&gt;Hold",'Candidate Tracker'!$C:$C,"&lt;&gt;Cancelled",'Candidate Tracker'!$C:$C,"&lt;&gt;Closed")/COUNTIFS('Candidate Tracker'!$E:$E,'Positions Tracker'!$B735)),"")</f>
        <v/>
      </c>
      <c r="BD735" s="67" t="str">
        <f t="shared" si="66"/>
        <v/>
      </c>
      <c r="BE735" s="67" t="str">
        <f t="shared" si="67"/>
        <v/>
      </c>
      <c r="BF735" s="67" t="str">
        <f t="shared" si="68"/>
        <v/>
      </c>
      <c r="BG735" s="67" t="str">
        <f t="shared" si="69"/>
        <v/>
      </c>
    </row>
    <row r="736" spans="1:59">
      <c r="A736" s="55"/>
      <c r="B736" s="56"/>
      <c r="C736" s="56"/>
      <c r="D736" s="56"/>
      <c r="E736" s="56"/>
      <c r="F736" s="56"/>
      <c r="G736" s="56"/>
      <c r="H736" s="56"/>
      <c r="I736" s="6"/>
      <c r="J736" s="6"/>
      <c r="K736" s="57"/>
      <c r="L736" s="57"/>
      <c r="M736" s="57"/>
      <c r="N736" s="56"/>
      <c r="O736" s="56"/>
      <c r="P736" s="56"/>
      <c r="Q736" s="56"/>
      <c r="R736" s="56"/>
      <c r="S736" s="56"/>
      <c r="T736" s="56"/>
      <c r="U736" s="56"/>
      <c r="V736" s="56"/>
      <c r="W736" s="56"/>
      <c r="X736" s="56"/>
      <c r="Y736" s="56"/>
      <c r="Z736" s="56"/>
      <c r="AA736" s="56"/>
      <c r="AB736" s="56"/>
      <c r="AC736" s="56"/>
      <c r="AD736" s="56"/>
      <c r="AE736" s="56"/>
      <c r="AF736" s="56"/>
      <c r="AG736" s="56"/>
      <c r="AH736" s="56"/>
      <c r="AI736" s="58"/>
      <c r="AJ736" s="56"/>
      <c r="AK736" s="56"/>
      <c r="AL736" s="56"/>
      <c r="AM736" s="57"/>
      <c r="AN736" s="57"/>
      <c r="AO736" s="56"/>
      <c r="AP736" s="56"/>
      <c r="AQ736" s="57"/>
      <c r="AR736" s="57"/>
      <c r="AS736" s="57"/>
      <c r="AT736" s="67">
        <f t="shared" ca="1" si="70"/>
        <v>0</v>
      </c>
      <c r="AU736" s="79" t="str">
        <f t="shared" ca="1" si="71"/>
        <v/>
      </c>
      <c r="AV736" s="79" t="str" cm="1">
        <f t="array" aca="1" ref="AV736" ca="1">IFERROR(_xlfn.IFS($AU736="","",$AU736&lt;=15,"0-15",AND($AU736&gt;=16,$AU736&lt;=30),"16-30",AND($AU736&gt;=31,$AU736&lt;=45),"31-45",AND($AU736&gt;=46,$AU736&lt;=60),"46-60",AND($AU736&gt;=61,$AU736&lt;=90),"61-90",AND($AU736&gt;=91),"&gt; 90",AND($AU736&gt;=2000),""),"")</f>
        <v/>
      </c>
      <c r="AW736" s="79" t="str" cm="1">
        <f t="array" aca="1" ref="AW736" ca="1">IFERROR(_xlfn.IFS(OR($M736="",$AM736=""),"",OR($C736="Offered",$C736="Joined"),($AM736-$M736)-$AT736),"")</f>
        <v/>
      </c>
      <c r="AX736" s="79" t="str" cm="1">
        <f t="array" aca="1" ref="AX736" ca="1">IFERROR(_xlfn.IFS(OR($M736="",$AS736=""),"",$C736="Joined",($AS736-$M736)-$AT736),"")</f>
        <v/>
      </c>
      <c r="AY736" s="67" t="str">
        <f>IFERROR(IF(COUNTIFS('Candidate Tracker'!$E:$E,'Positions Tracker'!$B736,'Candidate Tracker'!$C:$C,"Offer Drop")=0,"",COUNTIFS('Candidate Tracker'!$E:$E,'Positions Tracker'!$B736,'Candidate Tracker'!$C:$C,"Offer Drop")),"")</f>
        <v/>
      </c>
      <c r="AZ736" s="80">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0.88111888111888115</v>
      </c>
      <c r="BA736" s="81" t="str">
        <f>IFERROR(IF(COUNTIFS('Candidate Tracker'!$E:$E,'Positions Tracker'!$B736,'Candidate Tracker'!$I:$I,"Female")=0,"",COUNTIFS('Candidate Tracker'!$E:$E,'Positions Tracker'!$B736,'Candidate Tracker'!$I:$I,"Female")),"")</f>
        <v/>
      </c>
      <c r="BB736" s="81" t="str">
        <f>IFERROR(IF(COUNTIFS('Candidate Tracker'!$E:$E,'Positions Tracker'!$B736,'Candidate Tracker'!$I:$I,"male")=0,"",COUNTIFS('Candidate Tracker'!$E:$E,'Positions Tracker'!$B736,'Candidate Tracker'!$I:$I,"male")),"")</f>
        <v/>
      </c>
      <c r="BC736" s="80" t="str">
        <f>IFERROR(IF(COUNTIFS('Candidate Tracker'!$E:$E,'Positions Tracker'!$B736,'Candidate Tracker'!$C:$C,"&lt;&gt;WIP",'Candidate Tracker'!$C:$C,"&lt;&gt;Hold",'Candidate Tracker'!$C:$C,"&lt;&gt;Cancelled",'Candidate Tracker'!$C:$C,"&lt;&gt;Closed")/COUNTIFS('Candidate Tracker'!$E:$E,'Positions Tracker'!$B736)=0,"",COUNTIFS('Candidate Tracker'!$E:$E,'Positions Tracker'!$B736,'Candidate Tracker'!$C:$C,"&lt;&gt;WIP",'Candidate Tracker'!$C:$C,"&lt;&gt;Hold",'Candidate Tracker'!$C:$C,"&lt;&gt;Cancelled",'Candidate Tracker'!$C:$C,"&lt;&gt;Closed")/COUNTIFS('Candidate Tracker'!$E:$E,'Positions Tracker'!$B736)),"")</f>
        <v/>
      </c>
      <c r="BD736" s="67" t="str">
        <f t="shared" si="66"/>
        <v/>
      </c>
      <c r="BE736" s="67" t="str">
        <f t="shared" si="67"/>
        <v/>
      </c>
      <c r="BF736" s="67" t="str">
        <f t="shared" si="68"/>
        <v/>
      </c>
      <c r="BG736" s="67" t="str">
        <f t="shared" si="69"/>
        <v/>
      </c>
    </row>
    <row r="737" spans="1:59">
      <c r="A737" s="55"/>
      <c r="B737" s="56"/>
      <c r="C737" s="56"/>
      <c r="D737" s="56"/>
      <c r="E737" s="56"/>
      <c r="F737" s="56"/>
      <c r="G737" s="56"/>
      <c r="H737" s="56"/>
      <c r="I737" s="6"/>
      <c r="J737" s="6"/>
      <c r="K737" s="57"/>
      <c r="L737" s="57"/>
      <c r="M737" s="57"/>
      <c r="N737" s="56"/>
      <c r="O737" s="56"/>
      <c r="P737" s="56"/>
      <c r="Q737" s="56"/>
      <c r="R737" s="56"/>
      <c r="S737" s="56"/>
      <c r="T737" s="56"/>
      <c r="U737" s="56"/>
      <c r="V737" s="56"/>
      <c r="W737" s="56"/>
      <c r="X737" s="56"/>
      <c r="Y737" s="56"/>
      <c r="Z737" s="56"/>
      <c r="AA737" s="56"/>
      <c r="AB737" s="56"/>
      <c r="AC737" s="56"/>
      <c r="AD737" s="56"/>
      <c r="AE737" s="56"/>
      <c r="AF737" s="56"/>
      <c r="AG737" s="56"/>
      <c r="AH737" s="56"/>
      <c r="AI737" s="58"/>
      <c r="AJ737" s="56"/>
      <c r="AK737" s="56"/>
      <c r="AL737" s="56"/>
      <c r="AM737" s="57"/>
      <c r="AN737" s="57"/>
      <c r="AO737" s="56"/>
      <c r="AP737" s="56"/>
      <c r="AQ737" s="57"/>
      <c r="AR737" s="57"/>
      <c r="AS737" s="57"/>
      <c r="AT737" s="67">
        <f t="shared" ca="1" si="70"/>
        <v>0</v>
      </c>
      <c r="AU737" s="79" t="str">
        <f t="shared" ca="1" si="71"/>
        <v/>
      </c>
      <c r="AV737" s="79" t="str" cm="1">
        <f t="array" aca="1" ref="AV737" ca="1">IFERROR(_xlfn.IFS($AU737="","",$AU737&lt;=15,"0-15",AND($AU737&gt;=16,$AU737&lt;=30),"16-30",AND($AU737&gt;=31,$AU737&lt;=45),"31-45",AND($AU737&gt;=46,$AU737&lt;=60),"46-60",AND($AU737&gt;=61,$AU737&lt;=90),"61-90",AND($AU737&gt;=91),"&gt; 90",AND($AU737&gt;=2000),""),"")</f>
        <v/>
      </c>
      <c r="AW737" s="79" t="str" cm="1">
        <f t="array" aca="1" ref="AW737" ca="1">IFERROR(_xlfn.IFS(OR($M737="",$AM737=""),"",OR($C737="Offered",$C737="Joined"),($AM737-$M737)-$AT737),"")</f>
        <v/>
      </c>
      <c r="AX737" s="79" t="str" cm="1">
        <f t="array" aca="1" ref="AX737" ca="1">IFERROR(_xlfn.IFS(OR($M737="",$AS737=""),"",$C737="Joined",($AS737-$M737)-$AT737),"")</f>
        <v/>
      </c>
      <c r="AY737" s="67" t="str">
        <f>IFERROR(IF(COUNTIFS('Candidate Tracker'!$E:$E,'Positions Tracker'!$B737,'Candidate Tracker'!$C:$C,"Offer Drop")=0,"",COUNTIFS('Candidate Tracker'!$E:$E,'Positions Tracker'!$B737,'Candidate Tracker'!$C:$C,"Offer Drop")),"")</f>
        <v/>
      </c>
      <c r="AZ737" s="80">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0.88111888111888115</v>
      </c>
      <c r="BA737" s="81" t="str">
        <f>IFERROR(IF(COUNTIFS('Candidate Tracker'!$E:$E,'Positions Tracker'!$B737,'Candidate Tracker'!$I:$I,"Female")=0,"",COUNTIFS('Candidate Tracker'!$E:$E,'Positions Tracker'!$B737,'Candidate Tracker'!$I:$I,"Female")),"")</f>
        <v/>
      </c>
      <c r="BB737" s="81" t="str">
        <f>IFERROR(IF(COUNTIFS('Candidate Tracker'!$E:$E,'Positions Tracker'!$B737,'Candidate Tracker'!$I:$I,"male")=0,"",COUNTIFS('Candidate Tracker'!$E:$E,'Positions Tracker'!$B737,'Candidate Tracker'!$I:$I,"male")),"")</f>
        <v/>
      </c>
      <c r="BC737" s="80" t="str">
        <f>IFERROR(IF(COUNTIFS('Candidate Tracker'!$E:$E,'Positions Tracker'!$B737,'Candidate Tracker'!$C:$C,"&lt;&gt;WIP",'Candidate Tracker'!$C:$C,"&lt;&gt;Hold",'Candidate Tracker'!$C:$C,"&lt;&gt;Cancelled",'Candidate Tracker'!$C:$C,"&lt;&gt;Closed")/COUNTIFS('Candidate Tracker'!$E:$E,'Positions Tracker'!$B737)=0,"",COUNTIFS('Candidate Tracker'!$E:$E,'Positions Tracker'!$B737,'Candidate Tracker'!$C:$C,"&lt;&gt;WIP",'Candidate Tracker'!$C:$C,"&lt;&gt;Hold",'Candidate Tracker'!$C:$C,"&lt;&gt;Cancelled",'Candidate Tracker'!$C:$C,"&lt;&gt;Closed")/COUNTIFS('Candidate Tracker'!$E:$E,'Positions Tracker'!$B737)),"")</f>
        <v/>
      </c>
      <c r="BD737" s="67" t="str">
        <f t="shared" si="66"/>
        <v/>
      </c>
      <c r="BE737" s="67" t="str">
        <f t="shared" si="67"/>
        <v/>
      </c>
      <c r="BF737" s="67" t="str">
        <f t="shared" si="68"/>
        <v/>
      </c>
      <c r="BG737" s="67" t="str">
        <f t="shared" si="69"/>
        <v/>
      </c>
    </row>
    <row r="738" spans="1:59">
      <c r="A738" s="55"/>
      <c r="B738" s="56"/>
      <c r="C738" s="56"/>
      <c r="D738" s="56"/>
      <c r="E738" s="56"/>
      <c r="F738" s="56"/>
      <c r="G738" s="56"/>
      <c r="H738" s="56"/>
      <c r="I738" s="6"/>
      <c r="J738" s="6"/>
      <c r="K738" s="57"/>
      <c r="L738" s="57"/>
      <c r="M738" s="57"/>
      <c r="N738" s="56"/>
      <c r="O738" s="56"/>
      <c r="P738" s="56"/>
      <c r="Q738" s="56"/>
      <c r="R738" s="56"/>
      <c r="S738" s="56"/>
      <c r="T738" s="56"/>
      <c r="U738" s="56"/>
      <c r="V738" s="56"/>
      <c r="W738" s="56"/>
      <c r="X738" s="56"/>
      <c r="Y738" s="56"/>
      <c r="Z738" s="56"/>
      <c r="AA738" s="56"/>
      <c r="AB738" s="56"/>
      <c r="AC738" s="56"/>
      <c r="AD738" s="56"/>
      <c r="AE738" s="56"/>
      <c r="AF738" s="56"/>
      <c r="AG738" s="56"/>
      <c r="AH738" s="56"/>
      <c r="AI738" s="58"/>
      <c r="AJ738" s="56"/>
      <c r="AK738" s="56"/>
      <c r="AL738" s="56"/>
      <c r="AM738" s="57"/>
      <c r="AN738" s="57"/>
      <c r="AO738" s="56"/>
      <c r="AP738" s="56"/>
      <c r="AQ738" s="57"/>
      <c r="AR738" s="57"/>
      <c r="AS738" s="57"/>
      <c r="AT738" s="67">
        <f t="shared" ca="1" si="70"/>
        <v>0</v>
      </c>
      <c r="AU738" s="79" t="str">
        <f t="shared" ca="1" si="71"/>
        <v/>
      </c>
      <c r="AV738" s="79" t="str" cm="1">
        <f t="array" aca="1" ref="AV738" ca="1">IFERROR(_xlfn.IFS($AU738="","",$AU738&lt;=15,"0-15",AND($AU738&gt;=16,$AU738&lt;=30),"16-30",AND($AU738&gt;=31,$AU738&lt;=45),"31-45",AND($AU738&gt;=46,$AU738&lt;=60),"46-60",AND($AU738&gt;=61,$AU738&lt;=90),"61-90",AND($AU738&gt;=91),"&gt; 90",AND($AU738&gt;=2000),""),"")</f>
        <v/>
      </c>
      <c r="AW738" s="79" t="str" cm="1">
        <f t="array" aca="1" ref="AW738" ca="1">IFERROR(_xlfn.IFS(OR($M738="",$AM738=""),"",OR($C738="Offered",$C738="Joined"),($AM738-$M738)-$AT738),"")</f>
        <v/>
      </c>
      <c r="AX738" s="79" t="str" cm="1">
        <f t="array" aca="1" ref="AX738" ca="1">IFERROR(_xlfn.IFS(OR($M738="",$AS738=""),"",$C738="Joined",($AS738-$M738)-$AT738),"")</f>
        <v/>
      </c>
      <c r="AY738" s="67" t="str">
        <f>IFERROR(IF(COUNTIFS('Candidate Tracker'!$E:$E,'Positions Tracker'!$B738,'Candidate Tracker'!$C:$C,"Offer Drop")=0,"",COUNTIFS('Candidate Tracker'!$E:$E,'Positions Tracker'!$B738,'Candidate Tracker'!$C:$C,"Offer Drop")),"")</f>
        <v/>
      </c>
      <c r="AZ738" s="80">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0.88111888111888115</v>
      </c>
      <c r="BA738" s="81" t="str">
        <f>IFERROR(IF(COUNTIFS('Candidate Tracker'!$E:$E,'Positions Tracker'!$B738,'Candidate Tracker'!$I:$I,"Female")=0,"",COUNTIFS('Candidate Tracker'!$E:$E,'Positions Tracker'!$B738,'Candidate Tracker'!$I:$I,"Female")),"")</f>
        <v/>
      </c>
      <c r="BB738" s="81" t="str">
        <f>IFERROR(IF(COUNTIFS('Candidate Tracker'!$E:$E,'Positions Tracker'!$B738,'Candidate Tracker'!$I:$I,"male")=0,"",COUNTIFS('Candidate Tracker'!$E:$E,'Positions Tracker'!$B738,'Candidate Tracker'!$I:$I,"male")),"")</f>
        <v/>
      </c>
      <c r="BC738" s="80" t="str">
        <f>IFERROR(IF(COUNTIFS('Candidate Tracker'!$E:$E,'Positions Tracker'!$B738,'Candidate Tracker'!$C:$C,"&lt;&gt;WIP",'Candidate Tracker'!$C:$C,"&lt;&gt;Hold",'Candidate Tracker'!$C:$C,"&lt;&gt;Cancelled",'Candidate Tracker'!$C:$C,"&lt;&gt;Closed")/COUNTIFS('Candidate Tracker'!$E:$E,'Positions Tracker'!$B738)=0,"",COUNTIFS('Candidate Tracker'!$E:$E,'Positions Tracker'!$B738,'Candidate Tracker'!$C:$C,"&lt;&gt;WIP",'Candidate Tracker'!$C:$C,"&lt;&gt;Hold",'Candidate Tracker'!$C:$C,"&lt;&gt;Cancelled",'Candidate Tracker'!$C:$C,"&lt;&gt;Closed")/COUNTIFS('Candidate Tracker'!$E:$E,'Positions Tracker'!$B738)),"")</f>
        <v/>
      </c>
      <c r="BD738" s="67" t="str">
        <f t="shared" si="66"/>
        <v/>
      </c>
      <c r="BE738" s="67" t="str">
        <f t="shared" si="67"/>
        <v/>
      </c>
      <c r="BF738" s="67" t="str">
        <f t="shared" si="68"/>
        <v/>
      </c>
      <c r="BG738" s="67" t="str">
        <f t="shared" si="69"/>
        <v/>
      </c>
    </row>
    <row r="739" spans="1:59">
      <c r="A739" s="55"/>
      <c r="B739" s="56"/>
      <c r="C739" s="56"/>
      <c r="D739" s="56"/>
      <c r="E739" s="56"/>
      <c r="F739" s="56"/>
      <c r="G739" s="56"/>
      <c r="H739" s="56"/>
      <c r="I739" s="6"/>
      <c r="J739" s="6"/>
      <c r="K739" s="57"/>
      <c r="L739" s="57"/>
      <c r="M739" s="57"/>
      <c r="N739" s="56"/>
      <c r="O739" s="56"/>
      <c r="P739" s="56"/>
      <c r="Q739" s="56"/>
      <c r="R739" s="56"/>
      <c r="S739" s="56"/>
      <c r="T739" s="56"/>
      <c r="U739" s="56"/>
      <c r="V739" s="56"/>
      <c r="W739" s="56"/>
      <c r="X739" s="56"/>
      <c r="Y739" s="56"/>
      <c r="Z739" s="56"/>
      <c r="AA739" s="56"/>
      <c r="AB739" s="56"/>
      <c r="AC739" s="56"/>
      <c r="AD739" s="56"/>
      <c r="AE739" s="56"/>
      <c r="AF739" s="56"/>
      <c r="AG739" s="56"/>
      <c r="AH739" s="56"/>
      <c r="AI739" s="58"/>
      <c r="AJ739" s="56"/>
      <c r="AK739" s="56"/>
      <c r="AL739" s="56"/>
      <c r="AM739" s="57"/>
      <c r="AN739" s="57"/>
      <c r="AO739" s="56"/>
      <c r="AP739" s="56"/>
      <c r="AQ739" s="57"/>
      <c r="AR739" s="57"/>
      <c r="AS739" s="57"/>
      <c r="AT739" s="67">
        <f t="shared" ca="1" si="70"/>
        <v>0</v>
      </c>
      <c r="AU739" s="79" t="str">
        <f t="shared" ca="1" si="71"/>
        <v/>
      </c>
      <c r="AV739" s="79" t="str" cm="1">
        <f t="array" aca="1" ref="AV739" ca="1">IFERROR(_xlfn.IFS($AU739="","",$AU739&lt;=15,"0-15",AND($AU739&gt;=16,$AU739&lt;=30),"16-30",AND($AU739&gt;=31,$AU739&lt;=45),"31-45",AND($AU739&gt;=46,$AU739&lt;=60),"46-60",AND($AU739&gt;=61,$AU739&lt;=90),"61-90",AND($AU739&gt;=91),"&gt; 90",AND($AU739&gt;=2000),""),"")</f>
        <v/>
      </c>
      <c r="AW739" s="79" t="str" cm="1">
        <f t="array" aca="1" ref="AW739" ca="1">IFERROR(_xlfn.IFS(OR($M739="",$AM739=""),"",OR($C739="Offered",$C739="Joined"),($AM739-$M739)-$AT739),"")</f>
        <v/>
      </c>
      <c r="AX739" s="79" t="str" cm="1">
        <f t="array" aca="1" ref="AX739" ca="1">IFERROR(_xlfn.IFS(OR($M739="",$AS739=""),"",$C739="Joined",($AS739-$M739)-$AT739),"")</f>
        <v/>
      </c>
      <c r="AY739" s="67" t="str">
        <f>IFERROR(IF(COUNTIFS('Candidate Tracker'!$E:$E,'Positions Tracker'!$B739,'Candidate Tracker'!$C:$C,"Offer Drop")=0,"",COUNTIFS('Candidate Tracker'!$E:$E,'Positions Tracker'!$B739,'Candidate Tracker'!$C:$C,"Offer Drop")),"")</f>
        <v/>
      </c>
      <c r="AZ739" s="80">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0.88111888111888115</v>
      </c>
      <c r="BA739" s="81" t="str">
        <f>IFERROR(IF(COUNTIFS('Candidate Tracker'!$E:$E,'Positions Tracker'!$B739,'Candidate Tracker'!$I:$I,"Female")=0,"",COUNTIFS('Candidate Tracker'!$E:$E,'Positions Tracker'!$B739,'Candidate Tracker'!$I:$I,"Female")),"")</f>
        <v/>
      </c>
      <c r="BB739" s="81" t="str">
        <f>IFERROR(IF(COUNTIFS('Candidate Tracker'!$E:$E,'Positions Tracker'!$B739,'Candidate Tracker'!$I:$I,"male")=0,"",COUNTIFS('Candidate Tracker'!$E:$E,'Positions Tracker'!$B739,'Candidate Tracker'!$I:$I,"male")),"")</f>
        <v/>
      </c>
      <c r="BC739" s="80" t="str">
        <f>IFERROR(IF(COUNTIFS('Candidate Tracker'!$E:$E,'Positions Tracker'!$B739,'Candidate Tracker'!$C:$C,"&lt;&gt;WIP",'Candidate Tracker'!$C:$C,"&lt;&gt;Hold",'Candidate Tracker'!$C:$C,"&lt;&gt;Cancelled",'Candidate Tracker'!$C:$C,"&lt;&gt;Closed")/COUNTIFS('Candidate Tracker'!$E:$E,'Positions Tracker'!$B739)=0,"",COUNTIFS('Candidate Tracker'!$E:$E,'Positions Tracker'!$B739,'Candidate Tracker'!$C:$C,"&lt;&gt;WIP",'Candidate Tracker'!$C:$C,"&lt;&gt;Hold",'Candidate Tracker'!$C:$C,"&lt;&gt;Cancelled",'Candidate Tracker'!$C:$C,"&lt;&gt;Closed")/COUNTIFS('Candidate Tracker'!$E:$E,'Positions Tracker'!$B739)),"")</f>
        <v/>
      </c>
      <c r="BD739" s="67" t="str">
        <f t="shared" si="66"/>
        <v/>
      </c>
      <c r="BE739" s="67" t="str">
        <f t="shared" si="67"/>
        <v/>
      </c>
      <c r="BF739" s="67" t="str">
        <f t="shared" si="68"/>
        <v/>
      </c>
      <c r="BG739" s="67" t="str">
        <f t="shared" si="69"/>
        <v/>
      </c>
    </row>
    <row r="740" spans="1:59">
      <c r="A740" s="55"/>
      <c r="B740" s="56"/>
      <c r="C740" s="56"/>
      <c r="D740" s="56"/>
      <c r="E740" s="56"/>
      <c r="F740" s="56"/>
      <c r="G740" s="56"/>
      <c r="H740" s="56"/>
      <c r="I740" s="6"/>
      <c r="J740" s="6"/>
      <c r="K740" s="57"/>
      <c r="L740" s="57"/>
      <c r="M740" s="57"/>
      <c r="N740" s="56"/>
      <c r="O740" s="56"/>
      <c r="P740" s="56"/>
      <c r="Q740" s="56"/>
      <c r="R740" s="56"/>
      <c r="S740" s="56"/>
      <c r="T740" s="56"/>
      <c r="U740" s="56"/>
      <c r="V740" s="56"/>
      <c r="W740" s="56"/>
      <c r="X740" s="56"/>
      <c r="Y740" s="56"/>
      <c r="Z740" s="56"/>
      <c r="AA740" s="56"/>
      <c r="AB740" s="56"/>
      <c r="AC740" s="56"/>
      <c r="AD740" s="56"/>
      <c r="AE740" s="56"/>
      <c r="AF740" s="56"/>
      <c r="AG740" s="56"/>
      <c r="AH740" s="56"/>
      <c r="AI740" s="58"/>
      <c r="AJ740" s="56"/>
      <c r="AK740" s="56"/>
      <c r="AL740" s="56"/>
      <c r="AM740" s="57"/>
      <c r="AN740" s="57"/>
      <c r="AO740" s="56"/>
      <c r="AP740" s="56"/>
      <c r="AQ740" s="57"/>
      <c r="AR740" s="57"/>
      <c r="AS740" s="57"/>
      <c r="AT740" s="67">
        <f t="shared" ca="1" si="70"/>
        <v>0</v>
      </c>
      <c r="AU740" s="79" t="str">
        <f t="shared" ca="1" si="71"/>
        <v/>
      </c>
      <c r="AV740" s="79" t="str" cm="1">
        <f t="array" aca="1" ref="AV740" ca="1">IFERROR(_xlfn.IFS($AU740="","",$AU740&lt;=15,"0-15",AND($AU740&gt;=16,$AU740&lt;=30),"16-30",AND($AU740&gt;=31,$AU740&lt;=45),"31-45",AND($AU740&gt;=46,$AU740&lt;=60),"46-60",AND($AU740&gt;=61,$AU740&lt;=90),"61-90",AND($AU740&gt;=91),"&gt; 90",AND($AU740&gt;=2000),""),"")</f>
        <v/>
      </c>
      <c r="AW740" s="79" t="str" cm="1">
        <f t="array" aca="1" ref="AW740" ca="1">IFERROR(_xlfn.IFS(OR($M740="",$AM740=""),"",OR($C740="Offered",$C740="Joined"),($AM740-$M740)-$AT740),"")</f>
        <v/>
      </c>
      <c r="AX740" s="79" t="str" cm="1">
        <f t="array" aca="1" ref="AX740" ca="1">IFERROR(_xlfn.IFS(OR($M740="",$AS740=""),"",$C740="Joined",($AS740-$M740)-$AT740),"")</f>
        <v/>
      </c>
      <c r="AY740" s="67" t="str">
        <f>IFERROR(IF(COUNTIFS('Candidate Tracker'!$E:$E,'Positions Tracker'!$B740,'Candidate Tracker'!$C:$C,"Offer Drop")=0,"",COUNTIFS('Candidate Tracker'!$E:$E,'Positions Tracker'!$B740,'Candidate Tracker'!$C:$C,"Offer Drop")),"")</f>
        <v/>
      </c>
      <c r="AZ740" s="80">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0.88111888111888115</v>
      </c>
      <c r="BA740" s="81" t="str">
        <f>IFERROR(IF(COUNTIFS('Candidate Tracker'!$E:$E,'Positions Tracker'!$B740,'Candidate Tracker'!$I:$I,"Female")=0,"",COUNTIFS('Candidate Tracker'!$E:$E,'Positions Tracker'!$B740,'Candidate Tracker'!$I:$I,"Female")),"")</f>
        <v/>
      </c>
      <c r="BB740" s="81" t="str">
        <f>IFERROR(IF(COUNTIFS('Candidate Tracker'!$E:$E,'Positions Tracker'!$B740,'Candidate Tracker'!$I:$I,"male")=0,"",COUNTIFS('Candidate Tracker'!$E:$E,'Positions Tracker'!$B740,'Candidate Tracker'!$I:$I,"male")),"")</f>
        <v/>
      </c>
      <c r="BC740" s="80" t="str">
        <f>IFERROR(IF(COUNTIFS('Candidate Tracker'!$E:$E,'Positions Tracker'!$B740,'Candidate Tracker'!$C:$C,"&lt;&gt;WIP",'Candidate Tracker'!$C:$C,"&lt;&gt;Hold",'Candidate Tracker'!$C:$C,"&lt;&gt;Cancelled",'Candidate Tracker'!$C:$C,"&lt;&gt;Closed")/COUNTIFS('Candidate Tracker'!$E:$E,'Positions Tracker'!$B740)=0,"",COUNTIFS('Candidate Tracker'!$E:$E,'Positions Tracker'!$B740,'Candidate Tracker'!$C:$C,"&lt;&gt;WIP",'Candidate Tracker'!$C:$C,"&lt;&gt;Hold",'Candidate Tracker'!$C:$C,"&lt;&gt;Cancelled",'Candidate Tracker'!$C:$C,"&lt;&gt;Closed")/COUNTIFS('Candidate Tracker'!$E:$E,'Positions Tracker'!$B740)),"")</f>
        <v/>
      </c>
      <c r="BD740" s="67" t="str">
        <f t="shared" si="66"/>
        <v/>
      </c>
      <c r="BE740" s="67" t="str">
        <f t="shared" si="67"/>
        <v/>
      </c>
      <c r="BF740" s="67" t="str">
        <f t="shared" si="68"/>
        <v/>
      </c>
      <c r="BG740" s="67" t="str">
        <f t="shared" si="69"/>
        <v/>
      </c>
    </row>
    <row r="741" spans="1:59">
      <c r="A741" s="55"/>
      <c r="B741" s="56"/>
      <c r="C741" s="56"/>
      <c r="D741" s="56"/>
      <c r="E741" s="56"/>
      <c r="F741" s="56"/>
      <c r="G741" s="56"/>
      <c r="H741" s="56"/>
      <c r="I741" s="6"/>
      <c r="J741" s="6"/>
      <c r="K741" s="57"/>
      <c r="L741" s="57"/>
      <c r="M741" s="57"/>
      <c r="N741" s="56"/>
      <c r="O741" s="56"/>
      <c r="P741" s="56"/>
      <c r="Q741" s="56"/>
      <c r="R741" s="56"/>
      <c r="S741" s="56"/>
      <c r="T741" s="56"/>
      <c r="U741" s="56"/>
      <c r="V741" s="56"/>
      <c r="W741" s="56"/>
      <c r="X741" s="56"/>
      <c r="Y741" s="56"/>
      <c r="Z741" s="56"/>
      <c r="AA741" s="56"/>
      <c r="AB741" s="56"/>
      <c r="AC741" s="56"/>
      <c r="AD741" s="56"/>
      <c r="AE741" s="56"/>
      <c r="AF741" s="56"/>
      <c r="AG741" s="56"/>
      <c r="AH741" s="56"/>
      <c r="AI741" s="58"/>
      <c r="AJ741" s="56"/>
      <c r="AK741" s="56"/>
      <c r="AL741" s="56"/>
      <c r="AM741" s="57"/>
      <c r="AN741" s="57"/>
      <c r="AO741" s="56"/>
      <c r="AP741" s="56"/>
      <c r="AQ741" s="57"/>
      <c r="AR741" s="57"/>
      <c r="AS741" s="57"/>
      <c r="AT741" s="67">
        <f t="shared" ca="1" si="70"/>
        <v>0</v>
      </c>
      <c r="AU741" s="79" t="str">
        <f t="shared" ca="1" si="71"/>
        <v/>
      </c>
      <c r="AV741" s="79" t="str" cm="1">
        <f t="array" aca="1" ref="AV741" ca="1">IFERROR(_xlfn.IFS($AU741="","",$AU741&lt;=15,"0-15",AND($AU741&gt;=16,$AU741&lt;=30),"16-30",AND($AU741&gt;=31,$AU741&lt;=45),"31-45",AND($AU741&gt;=46,$AU741&lt;=60),"46-60",AND($AU741&gt;=61,$AU741&lt;=90),"61-90",AND($AU741&gt;=91),"&gt; 90",AND($AU741&gt;=2000),""),"")</f>
        <v/>
      </c>
      <c r="AW741" s="79" t="str" cm="1">
        <f t="array" aca="1" ref="AW741" ca="1">IFERROR(_xlfn.IFS(OR($M741="",$AM741=""),"",OR($C741="Offered",$C741="Joined"),($AM741-$M741)-$AT741),"")</f>
        <v/>
      </c>
      <c r="AX741" s="79" t="str" cm="1">
        <f t="array" aca="1" ref="AX741" ca="1">IFERROR(_xlfn.IFS(OR($M741="",$AS741=""),"",$C741="Joined",($AS741-$M741)-$AT741),"")</f>
        <v/>
      </c>
      <c r="AY741" s="67" t="str">
        <f>IFERROR(IF(COUNTIFS('Candidate Tracker'!$E:$E,'Positions Tracker'!$B741,'Candidate Tracker'!$C:$C,"Offer Drop")=0,"",COUNTIFS('Candidate Tracker'!$E:$E,'Positions Tracker'!$B741,'Candidate Tracker'!$C:$C,"Offer Drop")),"")</f>
        <v/>
      </c>
      <c r="AZ741" s="80">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0.88111888111888115</v>
      </c>
      <c r="BA741" s="81" t="str">
        <f>IFERROR(IF(COUNTIFS('Candidate Tracker'!$E:$E,'Positions Tracker'!$B741,'Candidate Tracker'!$I:$I,"Female")=0,"",COUNTIFS('Candidate Tracker'!$E:$E,'Positions Tracker'!$B741,'Candidate Tracker'!$I:$I,"Female")),"")</f>
        <v/>
      </c>
      <c r="BB741" s="81" t="str">
        <f>IFERROR(IF(COUNTIFS('Candidate Tracker'!$E:$E,'Positions Tracker'!$B741,'Candidate Tracker'!$I:$I,"male")=0,"",COUNTIFS('Candidate Tracker'!$E:$E,'Positions Tracker'!$B741,'Candidate Tracker'!$I:$I,"male")),"")</f>
        <v/>
      </c>
      <c r="BC741" s="80" t="str">
        <f>IFERROR(IF(COUNTIFS('Candidate Tracker'!$E:$E,'Positions Tracker'!$B741,'Candidate Tracker'!$C:$C,"&lt;&gt;WIP",'Candidate Tracker'!$C:$C,"&lt;&gt;Hold",'Candidate Tracker'!$C:$C,"&lt;&gt;Cancelled",'Candidate Tracker'!$C:$C,"&lt;&gt;Closed")/COUNTIFS('Candidate Tracker'!$E:$E,'Positions Tracker'!$B741)=0,"",COUNTIFS('Candidate Tracker'!$E:$E,'Positions Tracker'!$B741,'Candidate Tracker'!$C:$C,"&lt;&gt;WIP",'Candidate Tracker'!$C:$C,"&lt;&gt;Hold",'Candidate Tracker'!$C:$C,"&lt;&gt;Cancelled",'Candidate Tracker'!$C:$C,"&lt;&gt;Closed")/COUNTIFS('Candidate Tracker'!$E:$E,'Positions Tracker'!$B741)),"")</f>
        <v/>
      </c>
      <c r="BD741" s="67" t="str">
        <f t="shared" si="66"/>
        <v/>
      </c>
      <c r="BE741" s="67" t="str">
        <f t="shared" si="67"/>
        <v/>
      </c>
      <c r="BF741" s="67" t="str">
        <f t="shared" si="68"/>
        <v/>
      </c>
      <c r="BG741" s="67" t="str">
        <f t="shared" si="69"/>
        <v/>
      </c>
    </row>
    <row r="742" spans="1:59">
      <c r="A742" s="55"/>
      <c r="B742" s="56"/>
      <c r="C742" s="56"/>
      <c r="D742" s="56"/>
      <c r="E742" s="56"/>
      <c r="F742" s="56"/>
      <c r="G742" s="56"/>
      <c r="H742" s="56"/>
      <c r="I742" s="6"/>
      <c r="J742" s="6"/>
      <c r="K742" s="57"/>
      <c r="L742" s="57"/>
      <c r="M742" s="57"/>
      <c r="N742" s="56"/>
      <c r="O742" s="56"/>
      <c r="P742" s="56"/>
      <c r="Q742" s="56"/>
      <c r="R742" s="56"/>
      <c r="S742" s="56"/>
      <c r="T742" s="56"/>
      <c r="U742" s="56"/>
      <c r="V742" s="56"/>
      <c r="W742" s="56"/>
      <c r="X742" s="56"/>
      <c r="Y742" s="56"/>
      <c r="Z742" s="56"/>
      <c r="AA742" s="56"/>
      <c r="AB742" s="56"/>
      <c r="AC742" s="56"/>
      <c r="AD742" s="56"/>
      <c r="AE742" s="56"/>
      <c r="AF742" s="56"/>
      <c r="AG742" s="56"/>
      <c r="AH742" s="56"/>
      <c r="AI742" s="58"/>
      <c r="AJ742" s="56"/>
      <c r="AK742" s="56"/>
      <c r="AL742" s="56"/>
      <c r="AM742" s="57"/>
      <c r="AN742" s="57"/>
      <c r="AO742" s="56"/>
      <c r="AP742" s="56"/>
      <c r="AQ742" s="57"/>
      <c r="AR742" s="57"/>
      <c r="AS742" s="57"/>
      <c r="AT742" s="67">
        <f t="shared" ca="1" si="70"/>
        <v>0</v>
      </c>
      <c r="AU742" s="79" t="str">
        <f t="shared" ca="1" si="71"/>
        <v/>
      </c>
      <c r="AV742" s="79" t="str" cm="1">
        <f t="array" aca="1" ref="AV742" ca="1">IFERROR(_xlfn.IFS($AU742="","",$AU742&lt;=15,"0-15",AND($AU742&gt;=16,$AU742&lt;=30),"16-30",AND($AU742&gt;=31,$AU742&lt;=45),"31-45",AND($AU742&gt;=46,$AU742&lt;=60),"46-60",AND($AU742&gt;=61,$AU742&lt;=90),"61-90",AND($AU742&gt;=91),"&gt; 90",AND($AU742&gt;=2000),""),"")</f>
        <v/>
      </c>
      <c r="AW742" s="79" t="str" cm="1">
        <f t="array" aca="1" ref="AW742" ca="1">IFERROR(_xlfn.IFS(OR($M742="",$AM742=""),"",OR($C742="Offered",$C742="Joined"),($AM742-$M742)-$AT742),"")</f>
        <v/>
      </c>
      <c r="AX742" s="79" t="str" cm="1">
        <f t="array" aca="1" ref="AX742" ca="1">IFERROR(_xlfn.IFS(OR($M742="",$AS742=""),"",$C742="Joined",($AS742-$M742)-$AT742),"")</f>
        <v/>
      </c>
      <c r="AY742" s="67" t="str">
        <f>IFERROR(IF(COUNTIFS('Candidate Tracker'!$E:$E,'Positions Tracker'!$B742,'Candidate Tracker'!$C:$C,"Offer Drop")=0,"",COUNTIFS('Candidate Tracker'!$E:$E,'Positions Tracker'!$B742,'Candidate Tracker'!$C:$C,"Offer Drop")),"")</f>
        <v/>
      </c>
      <c r="AZ742" s="80">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0.88111888111888115</v>
      </c>
      <c r="BA742" s="81" t="str">
        <f>IFERROR(IF(COUNTIFS('Candidate Tracker'!$E:$E,'Positions Tracker'!$B742,'Candidate Tracker'!$I:$I,"Female")=0,"",COUNTIFS('Candidate Tracker'!$E:$E,'Positions Tracker'!$B742,'Candidate Tracker'!$I:$I,"Female")),"")</f>
        <v/>
      </c>
      <c r="BB742" s="81" t="str">
        <f>IFERROR(IF(COUNTIFS('Candidate Tracker'!$E:$E,'Positions Tracker'!$B742,'Candidate Tracker'!$I:$I,"male")=0,"",COUNTIFS('Candidate Tracker'!$E:$E,'Positions Tracker'!$B742,'Candidate Tracker'!$I:$I,"male")),"")</f>
        <v/>
      </c>
      <c r="BC742" s="80" t="str">
        <f>IFERROR(IF(COUNTIFS('Candidate Tracker'!$E:$E,'Positions Tracker'!$B742,'Candidate Tracker'!$C:$C,"&lt;&gt;WIP",'Candidate Tracker'!$C:$C,"&lt;&gt;Hold",'Candidate Tracker'!$C:$C,"&lt;&gt;Cancelled",'Candidate Tracker'!$C:$C,"&lt;&gt;Closed")/COUNTIFS('Candidate Tracker'!$E:$E,'Positions Tracker'!$B742)=0,"",COUNTIFS('Candidate Tracker'!$E:$E,'Positions Tracker'!$B742,'Candidate Tracker'!$C:$C,"&lt;&gt;WIP",'Candidate Tracker'!$C:$C,"&lt;&gt;Hold",'Candidate Tracker'!$C:$C,"&lt;&gt;Cancelled",'Candidate Tracker'!$C:$C,"&lt;&gt;Closed")/COUNTIFS('Candidate Tracker'!$E:$E,'Positions Tracker'!$B742)),"")</f>
        <v/>
      </c>
      <c r="BD742" s="67" t="str">
        <f t="shared" si="66"/>
        <v/>
      </c>
      <c r="BE742" s="67" t="str">
        <f t="shared" si="67"/>
        <v/>
      </c>
      <c r="BF742" s="67" t="str">
        <f t="shared" si="68"/>
        <v/>
      </c>
      <c r="BG742" s="67" t="str">
        <f t="shared" si="69"/>
        <v/>
      </c>
    </row>
    <row r="743" spans="1:59">
      <c r="A743" s="55"/>
      <c r="B743" s="56"/>
      <c r="C743" s="56"/>
      <c r="D743" s="56"/>
      <c r="E743" s="56"/>
      <c r="F743" s="56"/>
      <c r="G743" s="56"/>
      <c r="H743" s="56"/>
      <c r="I743" s="6"/>
      <c r="J743" s="6"/>
      <c r="K743" s="57"/>
      <c r="L743" s="57"/>
      <c r="M743" s="57"/>
      <c r="N743" s="56"/>
      <c r="O743" s="56"/>
      <c r="P743" s="56"/>
      <c r="Q743" s="56"/>
      <c r="R743" s="56"/>
      <c r="S743" s="56"/>
      <c r="T743" s="56"/>
      <c r="U743" s="56"/>
      <c r="V743" s="56"/>
      <c r="W743" s="56"/>
      <c r="X743" s="56"/>
      <c r="Y743" s="56"/>
      <c r="Z743" s="56"/>
      <c r="AA743" s="56"/>
      <c r="AB743" s="56"/>
      <c r="AC743" s="56"/>
      <c r="AD743" s="56"/>
      <c r="AE743" s="56"/>
      <c r="AF743" s="56"/>
      <c r="AG743" s="56"/>
      <c r="AH743" s="56"/>
      <c r="AI743" s="58"/>
      <c r="AJ743" s="56"/>
      <c r="AK743" s="56"/>
      <c r="AL743" s="56"/>
      <c r="AM743" s="57"/>
      <c r="AN743" s="57"/>
      <c r="AO743" s="56"/>
      <c r="AP743" s="56"/>
      <c r="AQ743" s="57"/>
      <c r="AR743" s="57"/>
      <c r="AS743" s="57"/>
      <c r="AT743" s="67">
        <f t="shared" ca="1" si="70"/>
        <v>0</v>
      </c>
      <c r="AU743" s="79" t="str">
        <f t="shared" ca="1" si="71"/>
        <v/>
      </c>
      <c r="AV743" s="79" t="str" cm="1">
        <f t="array" aca="1" ref="AV743" ca="1">IFERROR(_xlfn.IFS($AU743="","",$AU743&lt;=15,"0-15",AND($AU743&gt;=16,$AU743&lt;=30),"16-30",AND($AU743&gt;=31,$AU743&lt;=45),"31-45",AND($AU743&gt;=46,$AU743&lt;=60),"46-60",AND($AU743&gt;=61,$AU743&lt;=90),"61-90",AND($AU743&gt;=91),"&gt; 90",AND($AU743&gt;=2000),""),"")</f>
        <v/>
      </c>
      <c r="AW743" s="79" t="str" cm="1">
        <f t="array" aca="1" ref="AW743" ca="1">IFERROR(_xlfn.IFS(OR($M743="",$AM743=""),"",OR($C743="Offered",$C743="Joined"),($AM743-$M743)-$AT743),"")</f>
        <v/>
      </c>
      <c r="AX743" s="79" t="str" cm="1">
        <f t="array" aca="1" ref="AX743" ca="1">IFERROR(_xlfn.IFS(OR($M743="",$AS743=""),"",$C743="Joined",($AS743-$M743)-$AT743),"")</f>
        <v/>
      </c>
      <c r="AY743" s="67" t="str">
        <f>IFERROR(IF(COUNTIFS('Candidate Tracker'!$E:$E,'Positions Tracker'!$B743,'Candidate Tracker'!$C:$C,"Offer Drop")=0,"",COUNTIFS('Candidate Tracker'!$E:$E,'Positions Tracker'!$B743,'Candidate Tracker'!$C:$C,"Offer Drop")),"")</f>
        <v/>
      </c>
      <c r="AZ743" s="80">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0.88111888111888115</v>
      </c>
      <c r="BA743" s="81" t="str">
        <f>IFERROR(IF(COUNTIFS('Candidate Tracker'!$E:$E,'Positions Tracker'!$B743,'Candidate Tracker'!$I:$I,"Female")=0,"",COUNTIFS('Candidate Tracker'!$E:$E,'Positions Tracker'!$B743,'Candidate Tracker'!$I:$I,"Female")),"")</f>
        <v/>
      </c>
      <c r="BB743" s="81" t="str">
        <f>IFERROR(IF(COUNTIFS('Candidate Tracker'!$E:$E,'Positions Tracker'!$B743,'Candidate Tracker'!$I:$I,"male")=0,"",COUNTIFS('Candidate Tracker'!$E:$E,'Positions Tracker'!$B743,'Candidate Tracker'!$I:$I,"male")),"")</f>
        <v/>
      </c>
      <c r="BC743" s="80" t="str">
        <f>IFERROR(IF(COUNTIFS('Candidate Tracker'!$E:$E,'Positions Tracker'!$B743,'Candidate Tracker'!$C:$C,"&lt;&gt;WIP",'Candidate Tracker'!$C:$C,"&lt;&gt;Hold",'Candidate Tracker'!$C:$C,"&lt;&gt;Cancelled",'Candidate Tracker'!$C:$C,"&lt;&gt;Closed")/COUNTIFS('Candidate Tracker'!$E:$E,'Positions Tracker'!$B743)=0,"",COUNTIFS('Candidate Tracker'!$E:$E,'Positions Tracker'!$B743,'Candidate Tracker'!$C:$C,"&lt;&gt;WIP",'Candidate Tracker'!$C:$C,"&lt;&gt;Hold",'Candidate Tracker'!$C:$C,"&lt;&gt;Cancelled",'Candidate Tracker'!$C:$C,"&lt;&gt;Closed")/COUNTIFS('Candidate Tracker'!$E:$E,'Positions Tracker'!$B743)),"")</f>
        <v/>
      </c>
      <c r="BD743" s="67" t="str">
        <f t="shared" si="66"/>
        <v/>
      </c>
      <c r="BE743" s="67" t="str">
        <f t="shared" si="67"/>
        <v/>
      </c>
      <c r="BF743" s="67" t="str">
        <f t="shared" si="68"/>
        <v/>
      </c>
      <c r="BG743" s="67" t="str">
        <f t="shared" si="69"/>
        <v/>
      </c>
    </row>
    <row r="744" spans="1:59">
      <c r="A744" s="55"/>
      <c r="B744" s="56"/>
      <c r="C744" s="56"/>
      <c r="D744" s="56"/>
      <c r="E744" s="56"/>
      <c r="F744" s="56"/>
      <c r="G744" s="56"/>
      <c r="H744" s="56"/>
      <c r="I744" s="6"/>
      <c r="J744" s="6"/>
      <c r="K744" s="57"/>
      <c r="L744" s="57"/>
      <c r="M744" s="57"/>
      <c r="N744" s="56"/>
      <c r="O744" s="56"/>
      <c r="P744" s="56"/>
      <c r="Q744" s="56"/>
      <c r="R744" s="56"/>
      <c r="S744" s="56"/>
      <c r="T744" s="56"/>
      <c r="U744" s="56"/>
      <c r="V744" s="56"/>
      <c r="W744" s="56"/>
      <c r="X744" s="56"/>
      <c r="Y744" s="56"/>
      <c r="Z744" s="56"/>
      <c r="AA744" s="56"/>
      <c r="AB744" s="56"/>
      <c r="AC744" s="56"/>
      <c r="AD744" s="56"/>
      <c r="AE744" s="56"/>
      <c r="AF744" s="56"/>
      <c r="AG744" s="56"/>
      <c r="AH744" s="56"/>
      <c r="AI744" s="58"/>
      <c r="AJ744" s="56"/>
      <c r="AK744" s="56"/>
      <c r="AL744" s="56"/>
      <c r="AM744" s="57"/>
      <c r="AN744" s="57"/>
      <c r="AO744" s="56"/>
      <c r="AP744" s="56"/>
      <c r="AQ744" s="57"/>
      <c r="AR744" s="57"/>
      <c r="AS744" s="57"/>
      <c r="AT744" s="67">
        <f t="shared" ca="1" si="70"/>
        <v>0</v>
      </c>
      <c r="AU744" s="79" t="str">
        <f t="shared" ca="1" si="71"/>
        <v/>
      </c>
      <c r="AV744" s="79" t="str" cm="1">
        <f t="array" aca="1" ref="AV744" ca="1">IFERROR(_xlfn.IFS($AU744="","",$AU744&lt;=15,"0-15",AND($AU744&gt;=16,$AU744&lt;=30),"16-30",AND($AU744&gt;=31,$AU744&lt;=45),"31-45",AND($AU744&gt;=46,$AU744&lt;=60),"46-60",AND($AU744&gt;=61,$AU744&lt;=90),"61-90",AND($AU744&gt;=91),"&gt; 90",AND($AU744&gt;=2000),""),"")</f>
        <v/>
      </c>
      <c r="AW744" s="79" t="str" cm="1">
        <f t="array" aca="1" ref="AW744" ca="1">IFERROR(_xlfn.IFS(OR($M744="",$AM744=""),"",OR($C744="Offered",$C744="Joined"),($AM744-$M744)-$AT744),"")</f>
        <v/>
      </c>
      <c r="AX744" s="79" t="str" cm="1">
        <f t="array" aca="1" ref="AX744" ca="1">IFERROR(_xlfn.IFS(OR($M744="",$AS744=""),"",$C744="Joined",($AS744-$M744)-$AT744),"")</f>
        <v/>
      </c>
      <c r="AY744" s="67" t="str">
        <f>IFERROR(IF(COUNTIFS('Candidate Tracker'!$E:$E,'Positions Tracker'!$B744,'Candidate Tracker'!$C:$C,"Offer Drop")=0,"",COUNTIFS('Candidate Tracker'!$E:$E,'Positions Tracker'!$B744,'Candidate Tracker'!$C:$C,"Offer Drop")),"")</f>
        <v/>
      </c>
      <c r="AZ744" s="80">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0.88111888111888115</v>
      </c>
      <c r="BA744" s="81" t="str">
        <f>IFERROR(IF(COUNTIFS('Candidate Tracker'!$E:$E,'Positions Tracker'!$B744,'Candidate Tracker'!$I:$I,"Female")=0,"",COUNTIFS('Candidate Tracker'!$E:$E,'Positions Tracker'!$B744,'Candidate Tracker'!$I:$I,"Female")),"")</f>
        <v/>
      </c>
      <c r="BB744" s="81" t="str">
        <f>IFERROR(IF(COUNTIFS('Candidate Tracker'!$E:$E,'Positions Tracker'!$B744,'Candidate Tracker'!$I:$I,"male")=0,"",COUNTIFS('Candidate Tracker'!$E:$E,'Positions Tracker'!$B744,'Candidate Tracker'!$I:$I,"male")),"")</f>
        <v/>
      </c>
      <c r="BC744" s="80" t="str">
        <f>IFERROR(IF(COUNTIFS('Candidate Tracker'!$E:$E,'Positions Tracker'!$B744,'Candidate Tracker'!$C:$C,"&lt;&gt;WIP",'Candidate Tracker'!$C:$C,"&lt;&gt;Hold",'Candidate Tracker'!$C:$C,"&lt;&gt;Cancelled",'Candidate Tracker'!$C:$C,"&lt;&gt;Closed")/COUNTIFS('Candidate Tracker'!$E:$E,'Positions Tracker'!$B744)=0,"",COUNTIFS('Candidate Tracker'!$E:$E,'Positions Tracker'!$B744,'Candidate Tracker'!$C:$C,"&lt;&gt;WIP",'Candidate Tracker'!$C:$C,"&lt;&gt;Hold",'Candidate Tracker'!$C:$C,"&lt;&gt;Cancelled",'Candidate Tracker'!$C:$C,"&lt;&gt;Closed")/COUNTIFS('Candidate Tracker'!$E:$E,'Positions Tracker'!$B744)),"")</f>
        <v/>
      </c>
      <c r="BD744" s="67" t="str">
        <f t="shared" si="66"/>
        <v/>
      </c>
      <c r="BE744" s="67" t="str">
        <f t="shared" si="67"/>
        <v/>
      </c>
      <c r="BF744" s="67" t="str">
        <f t="shared" si="68"/>
        <v/>
      </c>
      <c r="BG744" s="67" t="str">
        <f t="shared" si="69"/>
        <v/>
      </c>
    </row>
    <row r="745" spans="1:59">
      <c r="A745" s="55"/>
      <c r="B745" s="56"/>
      <c r="C745" s="56"/>
      <c r="D745" s="56"/>
      <c r="E745" s="56"/>
      <c r="F745" s="56"/>
      <c r="G745" s="56"/>
      <c r="H745" s="56"/>
      <c r="I745" s="6"/>
      <c r="J745" s="6"/>
      <c r="K745" s="57"/>
      <c r="L745" s="57"/>
      <c r="M745" s="57"/>
      <c r="N745" s="56"/>
      <c r="O745" s="56"/>
      <c r="P745" s="56"/>
      <c r="Q745" s="56"/>
      <c r="R745" s="56"/>
      <c r="S745" s="56"/>
      <c r="T745" s="56"/>
      <c r="U745" s="56"/>
      <c r="V745" s="56"/>
      <c r="W745" s="56"/>
      <c r="X745" s="56"/>
      <c r="Y745" s="56"/>
      <c r="Z745" s="56"/>
      <c r="AA745" s="56"/>
      <c r="AB745" s="56"/>
      <c r="AC745" s="56"/>
      <c r="AD745" s="56"/>
      <c r="AE745" s="56"/>
      <c r="AF745" s="56"/>
      <c r="AG745" s="56"/>
      <c r="AH745" s="56"/>
      <c r="AI745" s="58"/>
      <c r="AJ745" s="56"/>
      <c r="AK745" s="56"/>
      <c r="AL745" s="56"/>
      <c r="AM745" s="57"/>
      <c r="AN745" s="57"/>
      <c r="AO745" s="56"/>
      <c r="AP745" s="56"/>
      <c r="AQ745" s="57"/>
      <c r="AR745" s="57"/>
      <c r="AS745" s="57"/>
      <c r="AT745" s="67">
        <f t="shared" ca="1" si="70"/>
        <v>0</v>
      </c>
      <c r="AU745" s="79" t="str">
        <f t="shared" ca="1" si="71"/>
        <v/>
      </c>
      <c r="AV745" s="79" t="str" cm="1">
        <f t="array" aca="1" ref="AV745" ca="1">IFERROR(_xlfn.IFS($AU745="","",$AU745&lt;=15,"0-15",AND($AU745&gt;=16,$AU745&lt;=30),"16-30",AND($AU745&gt;=31,$AU745&lt;=45),"31-45",AND($AU745&gt;=46,$AU745&lt;=60),"46-60",AND($AU745&gt;=61,$AU745&lt;=90),"61-90",AND($AU745&gt;=91),"&gt; 90",AND($AU745&gt;=2000),""),"")</f>
        <v/>
      </c>
      <c r="AW745" s="79" t="str" cm="1">
        <f t="array" aca="1" ref="AW745" ca="1">IFERROR(_xlfn.IFS(OR($M745="",$AM745=""),"",OR($C745="Offered",$C745="Joined"),($AM745-$M745)-$AT745),"")</f>
        <v/>
      </c>
      <c r="AX745" s="79" t="str" cm="1">
        <f t="array" aca="1" ref="AX745" ca="1">IFERROR(_xlfn.IFS(OR($M745="",$AS745=""),"",$C745="Joined",($AS745-$M745)-$AT745),"")</f>
        <v/>
      </c>
      <c r="AY745" s="67" t="str">
        <f>IFERROR(IF(COUNTIFS('Candidate Tracker'!$E:$E,'Positions Tracker'!$B745,'Candidate Tracker'!$C:$C,"Offer Drop")=0,"",COUNTIFS('Candidate Tracker'!$E:$E,'Positions Tracker'!$B745,'Candidate Tracker'!$C:$C,"Offer Drop")),"")</f>
        <v/>
      </c>
      <c r="AZ745" s="80">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0.88111888111888115</v>
      </c>
      <c r="BA745" s="81" t="str">
        <f>IFERROR(IF(COUNTIFS('Candidate Tracker'!$E:$E,'Positions Tracker'!$B745,'Candidate Tracker'!$I:$I,"Female")=0,"",COUNTIFS('Candidate Tracker'!$E:$E,'Positions Tracker'!$B745,'Candidate Tracker'!$I:$I,"Female")),"")</f>
        <v/>
      </c>
      <c r="BB745" s="81" t="str">
        <f>IFERROR(IF(COUNTIFS('Candidate Tracker'!$E:$E,'Positions Tracker'!$B745,'Candidate Tracker'!$I:$I,"male")=0,"",COUNTIFS('Candidate Tracker'!$E:$E,'Positions Tracker'!$B745,'Candidate Tracker'!$I:$I,"male")),"")</f>
        <v/>
      </c>
      <c r="BC745" s="80" t="str">
        <f>IFERROR(IF(COUNTIFS('Candidate Tracker'!$E:$E,'Positions Tracker'!$B745,'Candidate Tracker'!$C:$C,"&lt;&gt;WIP",'Candidate Tracker'!$C:$C,"&lt;&gt;Hold",'Candidate Tracker'!$C:$C,"&lt;&gt;Cancelled",'Candidate Tracker'!$C:$C,"&lt;&gt;Closed")/COUNTIFS('Candidate Tracker'!$E:$E,'Positions Tracker'!$B745)=0,"",COUNTIFS('Candidate Tracker'!$E:$E,'Positions Tracker'!$B745,'Candidate Tracker'!$C:$C,"&lt;&gt;WIP",'Candidate Tracker'!$C:$C,"&lt;&gt;Hold",'Candidate Tracker'!$C:$C,"&lt;&gt;Cancelled",'Candidate Tracker'!$C:$C,"&lt;&gt;Closed")/COUNTIFS('Candidate Tracker'!$E:$E,'Positions Tracker'!$B745)),"")</f>
        <v/>
      </c>
      <c r="BD745" s="67" t="str">
        <f t="shared" si="66"/>
        <v/>
      </c>
      <c r="BE745" s="67" t="str">
        <f t="shared" si="67"/>
        <v/>
      </c>
      <c r="BF745" s="67" t="str">
        <f t="shared" si="68"/>
        <v/>
      </c>
      <c r="BG745" s="67" t="str">
        <f t="shared" si="69"/>
        <v/>
      </c>
    </row>
    <row r="746" spans="1:59">
      <c r="A746" s="55"/>
      <c r="B746" s="56"/>
      <c r="C746" s="56"/>
      <c r="D746" s="56"/>
      <c r="E746" s="56"/>
      <c r="F746" s="56"/>
      <c r="G746" s="56"/>
      <c r="H746" s="56"/>
      <c r="I746" s="6"/>
      <c r="J746" s="6"/>
      <c r="K746" s="57"/>
      <c r="L746" s="57"/>
      <c r="M746" s="57"/>
      <c r="N746" s="56"/>
      <c r="O746" s="56"/>
      <c r="P746" s="56"/>
      <c r="Q746" s="56"/>
      <c r="R746" s="56"/>
      <c r="S746" s="56"/>
      <c r="T746" s="56"/>
      <c r="U746" s="56"/>
      <c r="V746" s="56"/>
      <c r="W746" s="56"/>
      <c r="X746" s="56"/>
      <c r="Y746" s="56"/>
      <c r="Z746" s="56"/>
      <c r="AA746" s="56"/>
      <c r="AB746" s="56"/>
      <c r="AC746" s="56"/>
      <c r="AD746" s="56"/>
      <c r="AE746" s="56"/>
      <c r="AF746" s="56"/>
      <c r="AG746" s="56"/>
      <c r="AH746" s="56"/>
      <c r="AI746" s="58"/>
      <c r="AJ746" s="56"/>
      <c r="AK746" s="56"/>
      <c r="AL746" s="56"/>
      <c r="AM746" s="57"/>
      <c r="AN746" s="57"/>
      <c r="AO746" s="56"/>
      <c r="AP746" s="56"/>
      <c r="AQ746" s="57"/>
      <c r="AR746" s="57"/>
      <c r="AS746" s="57"/>
      <c r="AT746" s="67">
        <f t="shared" ca="1" si="70"/>
        <v>0</v>
      </c>
      <c r="AU746" s="79" t="str">
        <f t="shared" ca="1" si="71"/>
        <v/>
      </c>
      <c r="AV746" s="79" t="str" cm="1">
        <f t="array" aca="1" ref="AV746" ca="1">IFERROR(_xlfn.IFS($AU746="","",$AU746&lt;=15,"0-15",AND($AU746&gt;=16,$AU746&lt;=30),"16-30",AND($AU746&gt;=31,$AU746&lt;=45),"31-45",AND($AU746&gt;=46,$AU746&lt;=60),"46-60",AND($AU746&gt;=61,$AU746&lt;=90),"61-90",AND($AU746&gt;=91),"&gt; 90",AND($AU746&gt;=2000),""),"")</f>
        <v/>
      </c>
      <c r="AW746" s="79" t="str" cm="1">
        <f t="array" aca="1" ref="AW746" ca="1">IFERROR(_xlfn.IFS(OR($M746="",$AM746=""),"",OR($C746="Offered",$C746="Joined"),($AM746-$M746)-$AT746),"")</f>
        <v/>
      </c>
      <c r="AX746" s="79" t="str" cm="1">
        <f t="array" aca="1" ref="AX746" ca="1">IFERROR(_xlfn.IFS(OR($M746="",$AS746=""),"",$C746="Joined",($AS746-$M746)-$AT746),"")</f>
        <v/>
      </c>
      <c r="AY746" s="67" t="str">
        <f>IFERROR(IF(COUNTIFS('Candidate Tracker'!$E:$E,'Positions Tracker'!$B746,'Candidate Tracker'!$C:$C,"Offer Drop")=0,"",COUNTIFS('Candidate Tracker'!$E:$E,'Positions Tracker'!$B746,'Candidate Tracker'!$C:$C,"Offer Drop")),"")</f>
        <v/>
      </c>
      <c r="AZ746" s="80">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0.88111888111888115</v>
      </c>
      <c r="BA746" s="81" t="str">
        <f>IFERROR(IF(COUNTIFS('Candidate Tracker'!$E:$E,'Positions Tracker'!$B746,'Candidate Tracker'!$I:$I,"Female")=0,"",COUNTIFS('Candidate Tracker'!$E:$E,'Positions Tracker'!$B746,'Candidate Tracker'!$I:$I,"Female")),"")</f>
        <v/>
      </c>
      <c r="BB746" s="81" t="str">
        <f>IFERROR(IF(COUNTIFS('Candidate Tracker'!$E:$E,'Positions Tracker'!$B746,'Candidate Tracker'!$I:$I,"male")=0,"",COUNTIFS('Candidate Tracker'!$E:$E,'Positions Tracker'!$B746,'Candidate Tracker'!$I:$I,"male")),"")</f>
        <v/>
      </c>
      <c r="BC746" s="80" t="str">
        <f>IFERROR(IF(COUNTIFS('Candidate Tracker'!$E:$E,'Positions Tracker'!$B746,'Candidate Tracker'!$C:$C,"&lt;&gt;WIP",'Candidate Tracker'!$C:$C,"&lt;&gt;Hold",'Candidate Tracker'!$C:$C,"&lt;&gt;Cancelled",'Candidate Tracker'!$C:$C,"&lt;&gt;Closed")/COUNTIFS('Candidate Tracker'!$E:$E,'Positions Tracker'!$B746)=0,"",COUNTIFS('Candidate Tracker'!$E:$E,'Positions Tracker'!$B746,'Candidate Tracker'!$C:$C,"&lt;&gt;WIP",'Candidate Tracker'!$C:$C,"&lt;&gt;Hold",'Candidate Tracker'!$C:$C,"&lt;&gt;Cancelled",'Candidate Tracker'!$C:$C,"&lt;&gt;Closed")/COUNTIFS('Candidate Tracker'!$E:$E,'Positions Tracker'!$B746)),"")</f>
        <v/>
      </c>
      <c r="BD746" s="67" t="str">
        <f t="shared" si="66"/>
        <v/>
      </c>
      <c r="BE746" s="67" t="str">
        <f t="shared" si="67"/>
        <v/>
      </c>
      <c r="BF746" s="67" t="str">
        <f t="shared" si="68"/>
        <v/>
      </c>
      <c r="BG746" s="67" t="str">
        <f t="shared" si="69"/>
        <v/>
      </c>
    </row>
    <row r="747" spans="1:59">
      <c r="A747" s="55"/>
      <c r="B747" s="56"/>
      <c r="C747" s="56"/>
      <c r="D747" s="56"/>
      <c r="E747" s="56"/>
      <c r="F747" s="56"/>
      <c r="G747" s="56"/>
      <c r="H747" s="56"/>
      <c r="I747" s="6"/>
      <c r="J747" s="6"/>
      <c r="K747" s="57"/>
      <c r="L747" s="57"/>
      <c r="M747" s="57"/>
      <c r="N747" s="56"/>
      <c r="O747" s="56"/>
      <c r="P747" s="56"/>
      <c r="Q747" s="56"/>
      <c r="R747" s="56"/>
      <c r="S747" s="56"/>
      <c r="T747" s="56"/>
      <c r="U747" s="56"/>
      <c r="V747" s="56"/>
      <c r="W747" s="56"/>
      <c r="X747" s="56"/>
      <c r="Y747" s="56"/>
      <c r="Z747" s="56"/>
      <c r="AA747" s="56"/>
      <c r="AB747" s="56"/>
      <c r="AC747" s="56"/>
      <c r="AD747" s="56"/>
      <c r="AE747" s="56"/>
      <c r="AF747" s="56"/>
      <c r="AG747" s="56"/>
      <c r="AH747" s="56"/>
      <c r="AI747" s="58"/>
      <c r="AJ747" s="56"/>
      <c r="AK747" s="56"/>
      <c r="AL747" s="56"/>
      <c r="AM747" s="57"/>
      <c r="AN747" s="57"/>
      <c r="AO747" s="56"/>
      <c r="AP747" s="56"/>
      <c r="AQ747" s="57"/>
      <c r="AR747" s="57"/>
      <c r="AS747" s="57"/>
      <c r="AT747" s="67">
        <f t="shared" ca="1" si="70"/>
        <v>0</v>
      </c>
      <c r="AU747" s="79" t="str">
        <f t="shared" ca="1" si="71"/>
        <v/>
      </c>
      <c r="AV747" s="79" t="str" cm="1">
        <f t="array" aca="1" ref="AV747" ca="1">IFERROR(_xlfn.IFS($AU747="","",$AU747&lt;=15,"0-15",AND($AU747&gt;=16,$AU747&lt;=30),"16-30",AND($AU747&gt;=31,$AU747&lt;=45),"31-45",AND($AU747&gt;=46,$AU747&lt;=60),"46-60",AND($AU747&gt;=61,$AU747&lt;=90),"61-90",AND($AU747&gt;=91),"&gt; 90",AND($AU747&gt;=2000),""),"")</f>
        <v/>
      </c>
      <c r="AW747" s="79" t="str" cm="1">
        <f t="array" aca="1" ref="AW747" ca="1">IFERROR(_xlfn.IFS(OR($M747="",$AM747=""),"",OR($C747="Offered",$C747="Joined"),($AM747-$M747)-$AT747),"")</f>
        <v/>
      </c>
      <c r="AX747" s="79" t="str" cm="1">
        <f t="array" aca="1" ref="AX747" ca="1">IFERROR(_xlfn.IFS(OR($M747="",$AS747=""),"",$C747="Joined",($AS747-$M747)-$AT747),"")</f>
        <v/>
      </c>
      <c r="AY747" s="67" t="str">
        <f>IFERROR(IF(COUNTIFS('Candidate Tracker'!$E:$E,'Positions Tracker'!$B747,'Candidate Tracker'!$C:$C,"Offer Drop")=0,"",COUNTIFS('Candidate Tracker'!$E:$E,'Positions Tracker'!$B747,'Candidate Tracker'!$C:$C,"Offer Drop")),"")</f>
        <v/>
      </c>
      <c r="AZ747" s="80">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0.88111888111888115</v>
      </c>
      <c r="BA747" s="81" t="str">
        <f>IFERROR(IF(COUNTIFS('Candidate Tracker'!$E:$E,'Positions Tracker'!$B747,'Candidate Tracker'!$I:$I,"Female")=0,"",COUNTIFS('Candidate Tracker'!$E:$E,'Positions Tracker'!$B747,'Candidate Tracker'!$I:$I,"Female")),"")</f>
        <v/>
      </c>
      <c r="BB747" s="81" t="str">
        <f>IFERROR(IF(COUNTIFS('Candidate Tracker'!$E:$E,'Positions Tracker'!$B747,'Candidate Tracker'!$I:$I,"male")=0,"",COUNTIFS('Candidate Tracker'!$E:$E,'Positions Tracker'!$B747,'Candidate Tracker'!$I:$I,"male")),"")</f>
        <v/>
      </c>
      <c r="BC747" s="80" t="str">
        <f>IFERROR(IF(COUNTIFS('Candidate Tracker'!$E:$E,'Positions Tracker'!$B747,'Candidate Tracker'!$C:$C,"&lt;&gt;WIP",'Candidate Tracker'!$C:$C,"&lt;&gt;Hold",'Candidate Tracker'!$C:$C,"&lt;&gt;Cancelled",'Candidate Tracker'!$C:$C,"&lt;&gt;Closed")/COUNTIFS('Candidate Tracker'!$E:$E,'Positions Tracker'!$B747)=0,"",COUNTIFS('Candidate Tracker'!$E:$E,'Positions Tracker'!$B747,'Candidate Tracker'!$C:$C,"&lt;&gt;WIP",'Candidate Tracker'!$C:$C,"&lt;&gt;Hold",'Candidate Tracker'!$C:$C,"&lt;&gt;Cancelled",'Candidate Tracker'!$C:$C,"&lt;&gt;Closed")/COUNTIFS('Candidate Tracker'!$E:$E,'Positions Tracker'!$B747)),"")</f>
        <v/>
      </c>
      <c r="BD747" s="67" t="str">
        <f t="shared" si="66"/>
        <v/>
      </c>
      <c r="BE747" s="67" t="str">
        <f t="shared" si="67"/>
        <v/>
      </c>
      <c r="BF747" s="67" t="str">
        <f t="shared" si="68"/>
        <v/>
      </c>
      <c r="BG747" s="67" t="str">
        <f t="shared" si="69"/>
        <v/>
      </c>
    </row>
    <row r="748" spans="1:59">
      <c r="A748" s="55"/>
      <c r="B748" s="56"/>
      <c r="C748" s="56"/>
      <c r="D748" s="56"/>
      <c r="E748" s="56"/>
      <c r="F748" s="56"/>
      <c r="G748" s="56"/>
      <c r="H748" s="56"/>
      <c r="I748" s="6"/>
      <c r="J748" s="6"/>
      <c r="K748" s="57"/>
      <c r="L748" s="57"/>
      <c r="M748" s="57"/>
      <c r="N748" s="56"/>
      <c r="O748" s="56"/>
      <c r="P748" s="56"/>
      <c r="Q748" s="56"/>
      <c r="R748" s="56"/>
      <c r="S748" s="56"/>
      <c r="T748" s="56"/>
      <c r="U748" s="56"/>
      <c r="V748" s="56"/>
      <c r="W748" s="56"/>
      <c r="X748" s="56"/>
      <c r="Y748" s="56"/>
      <c r="Z748" s="56"/>
      <c r="AA748" s="56"/>
      <c r="AB748" s="56"/>
      <c r="AC748" s="56"/>
      <c r="AD748" s="56"/>
      <c r="AE748" s="56"/>
      <c r="AF748" s="56"/>
      <c r="AG748" s="56"/>
      <c r="AH748" s="56"/>
      <c r="AI748" s="58"/>
      <c r="AJ748" s="56"/>
      <c r="AK748" s="56"/>
      <c r="AL748" s="56"/>
      <c r="AM748" s="57"/>
      <c r="AN748" s="57"/>
      <c r="AO748" s="56"/>
      <c r="AP748" s="56"/>
      <c r="AQ748" s="57"/>
      <c r="AR748" s="57"/>
      <c r="AS748" s="57"/>
      <c r="AT748" s="67">
        <f t="shared" ca="1" si="70"/>
        <v>0</v>
      </c>
      <c r="AU748" s="79" t="str">
        <f t="shared" ca="1" si="71"/>
        <v/>
      </c>
      <c r="AV748" s="79" t="str" cm="1">
        <f t="array" aca="1" ref="AV748" ca="1">IFERROR(_xlfn.IFS($AU748="","",$AU748&lt;=15,"0-15",AND($AU748&gt;=16,$AU748&lt;=30),"16-30",AND($AU748&gt;=31,$AU748&lt;=45),"31-45",AND($AU748&gt;=46,$AU748&lt;=60),"46-60",AND($AU748&gt;=61,$AU748&lt;=90),"61-90",AND($AU748&gt;=91),"&gt; 90",AND($AU748&gt;=2000),""),"")</f>
        <v/>
      </c>
      <c r="AW748" s="79" t="str" cm="1">
        <f t="array" aca="1" ref="AW748" ca="1">IFERROR(_xlfn.IFS(OR($M748="",$AM748=""),"",OR($C748="Offered",$C748="Joined"),($AM748-$M748)-$AT748),"")</f>
        <v/>
      </c>
      <c r="AX748" s="79" t="str" cm="1">
        <f t="array" aca="1" ref="AX748" ca="1">IFERROR(_xlfn.IFS(OR($M748="",$AS748=""),"",$C748="Joined",($AS748-$M748)-$AT748),"")</f>
        <v/>
      </c>
      <c r="AY748" s="67" t="str">
        <f>IFERROR(IF(COUNTIFS('Candidate Tracker'!$E:$E,'Positions Tracker'!$B748,'Candidate Tracker'!$C:$C,"Offer Drop")=0,"",COUNTIFS('Candidate Tracker'!$E:$E,'Positions Tracker'!$B748,'Candidate Tracker'!$C:$C,"Offer Drop")),"")</f>
        <v/>
      </c>
      <c r="AZ748" s="80">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0.88111888111888115</v>
      </c>
      <c r="BA748" s="81" t="str">
        <f>IFERROR(IF(COUNTIFS('Candidate Tracker'!$E:$E,'Positions Tracker'!$B748,'Candidate Tracker'!$I:$I,"Female")=0,"",COUNTIFS('Candidate Tracker'!$E:$E,'Positions Tracker'!$B748,'Candidate Tracker'!$I:$I,"Female")),"")</f>
        <v/>
      </c>
      <c r="BB748" s="81" t="str">
        <f>IFERROR(IF(COUNTIFS('Candidate Tracker'!$E:$E,'Positions Tracker'!$B748,'Candidate Tracker'!$I:$I,"male")=0,"",COUNTIFS('Candidate Tracker'!$E:$E,'Positions Tracker'!$B748,'Candidate Tracker'!$I:$I,"male")),"")</f>
        <v/>
      </c>
      <c r="BC748" s="80" t="str">
        <f>IFERROR(IF(COUNTIFS('Candidate Tracker'!$E:$E,'Positions Tracker'!$B748,'Candidate Tracker'!$C:$C,"&lt;&gt;WIP",'Candidate Tracker'!$C:$C,"&lt;&gt;Hold",'Candidate Tracker'!$C:$C,"&lt;&gt;Cancelled",'Candidate Tracker'!$C:$C,"&lt;&gt;Closed")/COUNTIFS('Candidate Tracker'!$E:$E,'Positions Tracker'!$B748)=0,"",COUNTIFS('Candidate Tracker'!$E:$E,'Positions Tracker'!$B748,'Candidate Tracker'!$C:$C,"&lt;&gt;WIP",'Candidate Tracker'!$C:$C,"&lt;&gt;Hold",'Candidate Tracker'!$C:$C,"&lt;&gt;Cancelled",'Candidate Tracker'!$C:$C,"&lt;&gt;Closed")/COUNTIFS('Candidate Tracker'!$E:$E,'Positions Tracker'!$B748)),"")</f>
        <v/>
      </c>
      <c r="BD748" s="67" t="str">
        <f t="shared" si="66"/>
        <v/>
      </c>
      <c r="BE748" s="67" t="str">
        <f t="shared" si="67"/>
        <v/>
      </c>
      <c r="BF748" s="67" t="str">
        <f t="shared" si="68"/>
        <v/>
      </c>
      <c r="BG748" s="67" t="str">
        <f t="shared" si="69"/>
        <v/>
      </c>
    </row>
    <row r="749" spans="1:59">
      <c r="A749" s="55"/>
      <c r="B749" s="56"/>
      <c r="C749" s="56"/>
      <c r="D749" s="56"/>
      <c r="E749" s="56"/>
      <c r="F749" s="56"/>
      <c r="G749" s="56"/>
      <c r="H749" s="56"/>
      <c r="I749" s="6"/>
      <c r="J749" s="6"/>
      <c r="K749" s="57"/>
      <c r="L749" s="57"/>
      <c r="M749" s="57"/>
      <c r="N749" s="56"/>
      <c r="O749" s="56"/>
      <c r="P749" s="56"/>
      <c r="Q749" s="56"/>
      <c r="R749" s="56"/>
      <c r="S749" s="56"/>
      <c r="T749" s="56"/>
      <c r="U749" s="56"/>
      <c r="V749" s="56"/>
      <c r="W749" s="56"/>
      <c r="X749" s="56"/>
      <c r="Y749" s="56"/>
      <c r="Z749" s="56"/>
      <c r="AA749" s="56"/>
      <c r="AB749" s="56"/>
      <c r="AC749" s="56"/>
      <c r="AD749" s="56"/>
      <c r="AE749" s="56"/>
      <c r="AF749" s="56"/>
      <c r="AG749" s="56"/>
      <c r="AH749" s="56"/>
      <c r="AI749" s="58"/>
      <c r="AJ749" s="56"/>
      <c r="AK749" s="56"/>
      <c r="AL749" s="56"/>
      <c r="AM749" s="57"/>
      <c r="AN749" s="57"/>
      <c r="AO749" s="56"/>
      <c r="AP749" s="56"/>
      <c r="AQ749" s="57"/>
      <c r="AR749" s="57"/>
      <c r="AS749" s="57"/>
      <c r="AT749" s="67">
        <f t="shared" ca="1" si="70"/>
        <v>0</v>
      </c>
      <c r="AU749" s="79" t="str">
        <f t="shared" ca="1" si="71"/>
        <v/>
      </c>
      <c r="AV749" s="79" t="str" cm="1">
        <f t="array" aca="1" ref="AV749" ca="1">IFERROR(_xlfn.IFS($AU749="","",$AU749&lt;=15,"0-15",AND($AU749&gt;=16,$AU749&lt;=30),"16-30",AND($AU749&gt;=31,$AU749&lt;=45),"31-45",AND($AU749&gt;=46,$AU749&lt;=60),"46-60",AND($AU749&gt;=61,$AU749&lt;=90),"61-90",AND($AU749&gt;=91),"&gt; 90",AND($AU749&gt;=2000),""),"")</f>
        <v/>
      </c>
      <c r="AW749" s="79" t="str" cm="1">
        <f t="array" aca="1" ref="AW749" ca="1">IFERROR(_xlfn.IFS(OR($M749="",$AM749=""),"",OR($C749="Offered",$C749="Joined"),($AM749-$M749)-$AT749),"")</f>
        <v/>
      </c>
      <c r="AX749" s="79" t="str" cm="1">
        <f t="array" aca="1" ref="AX749" ca="1">IFERROR(_xlfn.IFS(OR($M749="",$AS749=""),"",$C749="Joined",($AS749-$M749)-$AT749),"")</f>
        <v/>
      </c>
      <c r="AY749" s="67" t="str">
        <f>IFERROR(IF(COUNTIFS('Candidate Tracker'!$E:$E,'Positions Tracker'!$B749,'Candidate Tracker'!$C:$C,"Offer Drop")=0,"",COUNTIFS('Candidate Tracker'!$E:$E,'Positions Tracker'!$B749,'Candidate Tracker'!$C:$C,"Offer Drop")),"")</f>
        <v/>
      </c>
      <c r="AZ749" s="80">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0.88111888111888115</v>
      </c>
      <c r="BA749" s="81" t="str">
        <f>IFERROR(IF(COUNTIFS('Candidate Tracker'!$E:$E,'Positions Tracker'!$B749,'Candidate Tracker'!$I:$I,"Female")=0,"",COUNTIFS('Candidate Tracker'!$E:$E,'Positions Tracker'!$B749,'Candidate Tracker'!$I:$I,"Female")),"")</f>
        <v/>
      </c>
      <c r="BB749" s="81" t="str">
        <f>IFERROR(IF(COUNTIFS('Candidate Tracker'!$E:$E,'Positions Tracker'!$B749,'Candidate Tracker'!$I:$I,"male")=0,"",COUNTIFS('Candidate Tracker'!$E:$E,'Positions Tracker'!$B749,'Candidate Tracker'!$I:$I,"male")),"")</f>
        <v/>
      </c>
      <c r="BC749" s="80" t="str">
        <f>IFERROR(IF(COUNTIFS('Candidate Tracker'!$E:$E,'Positions Tracker'!$B749,'Candidate Tracker'!$C:$C,"&lt;&gt;WIP",'Candidate Tracker'!$C:$C,"&lt;&gt;Hold",'Candidate Tracker'!$C:$C,"&lt;&gt;Cancelled",'Candidate Tracker'!$C:$C,"&lt;&gt;Closed")/COUNTIFS('Candidate Tracker'!$E:$E,'Positions Tracker'!$B749)=0,"",COUNTIFS('Candidate Tracker'!$E:$E,'Positions Tracker'!$B749,'Candidate Tracker'!$C:$C,"&lt;&gt;WIP",'Candidate Tracker'!$C:$C,"&lt;&gt;Hold",'Candidate Tracker'!$C:$C,"&lt;&gt;Cancelled",'Candidate Tracker'!$C:$C,"&lt;&gt;Closed")/COUNTIFS('Candidate Tracker'!$E:$E,'Positions Tracker'!$B749)),"")</f>
        <v/>
      </c>
      <c r="BD749" s="67" t="str">
        <f t="shared" si="66"/>
        <v/>
      </c>
      <c r="BE749" s="67" t="str">
        <f t="shared" si="67"/>
        <v/>
      </c>
      <c r="BF749" s="67" t="str">
        <f t="shared" si="68"/>
        <v/>
      </c>
      <c r="BG749" s="67" t="str">
        <f t="shared" si="69"/>
        <v/>
      </c>
    </row>
    <row r="750" spans="1:59">
      <c r="A750" s="55"/>
      <c r="B750" s="56"/>
      <c r="C750" s="56"/>
      <c r="D750" s="56"/>
      <c r="E750" s="56"/>
      <c r="F750" s="56"/>
      <c r="G750" s="56"/>
      <c r="H750" s="56"/>
      <c r="I750" s="6"/>
      <c r="J750" s="6"/>
      <c r="K750" s="57"/>
      <c r="L750" s="57"/>
      <c r="M750" s="57"/>
      <c r="N750" s="56"/>
      <c r="O750" s="56"/>
      <c r="P750" s="56"/>
      <c r="Q750" s="56"/>
      <c r="R750" s="56"/>
      <c r="S750" s="56"/>
      <c r="T750" s="56"/>
      <c r="U750" s="56"/>
      <c r="V750" s="56"/>
      <c r="W750" s="56"/>
      <c r="X750" s="56"/>
      <c r="Y750" s="56"/>
      <c r="Z750" s="56"/>
      <c r="AA750" s="56"/>
      <c r="AB750" s="56"/>
      <c r="AC750" s="56"/>
      <c r="AD750" s="56"/>
      <c r="AE750" s="56"/>
      <c r="AF750" s="56"/>
      <c r="AG750" s="56"/>
      <c r="AH750" s="56"/>
      <c r="AI750" s="58"/>
      <c r="AJ750" s="56"/>
      <c r="AK750" s="56"/>
      <c r="AL750" s="56"/>
      <c r="AM750" s="57"/>
      <c r="AN750" s="57"/>
      <c r="AO750" s="56"/>
      <c r="AP750" s="56"/>
      <c r="AQ750" s="57"/>
      <c r="AR750" s="57"/>
      <c r="AS750" s="57"/>
      <c r="AT750" s="67">
        <f t="shared" ca="1" si="70"/>
        <v>0</v>
      </c>
      <c r="AU750" s="79" t="str">
        <f t="shared" ca="1" si="71"/>
        <v/>
      </c>
      <c r="AV750" s="79" t="str" cm="1">
        <f t="array" aca="1" ref="AV750" ca="1">IFERROR(_xlfn.IFS($AU750="","",$AU750&lt;=15,"0-15",AND($AU750&gt;=16,$AU750&lt;=30),"16-30",AND($AU750&gt;=31,$AU750&lt;=45),"31-45",AND($AU750&gt;=46,$AU750&lt;=60),"46-60",AND($AU750&gt;=61,$AU750&lt;=90),"61-90",AND($AU750&gt;=91),"&gt; 90",AND($AU750&gt;=2000),""),"")</f>
        <v/>
      </c>
      <c r="AW750" s="79" t="str" cm="1">
        <f t="array" aca="1" ref="AW750" ca="1">IFERROR(_xlfn.IFS(OR($M750="",$AM750=""),"",OR($C750="Offered",$C750="Joined"),($AM750-$M750)-$AT750),"")</f>
        <v/>
      </c>
      <c r="AX750" s="79" t="str" cm="1">
        <f t="array" aca="1" ref="AX750" ca="1">IFERROR(_xlfn.IFS(OR($M750="",$AS750=""),"",$C750="Joined",($AS750-$M750)-$AT750),"")</f>
        <v/>
      </c>
      <c r="AY750" s="67" t="str">
        <f>IFERROR(IF(COUNTIFS('Candidate Tracker'!$E:$E,'Positions Tracker'!$B750,'Candidate Tracker'!$C:$C,"Offer Drop")=0,"",COUNTIFS('Candidate Tracker'!$E:$E,'Positions Tracker'!$B750,'Candidate Tracker'!$C:$C,"Offer Drop")),"")</f>
        <v/>
      </c>
      <c r="AZ750" s="80">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0.88111888111888115</v>
      </c>
      <c r="BA750" s="81" t="str">
        <f>IFERROR(IF(COUNTIFS('Candidate Tracker'!$E:$E,'Positions Tracker'!$B750,'Candidate Tracker'!$I:$I,"Female")=0,"",COUNTIFS('Candidate Tracker'!$E:$E,'Positions Tracker'!$B750,'Candidate Tracker'!$I:$I,"Female")),"")</f>
        <v/>
      </c>
      <c r="BB750" s="81" t="str">
        <f>IFERROR(IF(COUNTIFS('Candidate Tracker'!$E:$E,'Positions Tracker'!$B750,'Candidate Tracker'!$I:$I,"male")=0,"",COUNTIFS('Candidate Tracker'!$E:$E,'Positions Tracker'!$B750,'Candidate Tracker'!$I:$I,"male")),"")</f>
        <v/>
      </c>
      <c r="BC750" s="80" t="str">
        <f>IFERROR(IF(COUNTIFS('Candidate Tracker'!$E:$E,'Positions Tracker'!$B750,'Candidate Tracker'!$C:$C,"&lt;&gt;WIP",'Candidate Tracker'!$C:$C,"&lt;&gt;Hold",'Candidate Tracker'!$C:$C,"&lt;&gt;Cancelled",'Candidate Tracker'!$C:$C,"&lt;&gt;Closed")/COUNTIFS('Candidate Tracker'!$E:$E,'Positions Tracker'!$B750)=0,"",COUNTIFS('Candidate Tracker'!$E:$E,'Positions Tracker'!$B750,'Candidate Tracker'!$C:$C,"&lt;&gt;WIP",'Candidate Tracker'!$C:$C,"&lt;&gt;Hold",'Candidate Tracker'!$C:$C,"&lt;&gt;Cancelled",'Candidate Tracker'!$C:$C,"&lt;&gt;Closed")/COUNTIFS('Candidate Tracker'!$E:$E,'Positions Tracker'!$B750)),"")</f>
        <v/>
      </c>
      <c r="BD750" s="67" t="str">
        <f t="shared" si="66"/>
        <v/>
      </c>
      <c r="BE750" s="67" t="str">
        <f t="shared" si="67"/>
        <v/>
      </c>
      <c r="BF750" s="67" t="str">
        <f t="shared" si="68"/>
        <v/>
      </c>
      <c r="BG750" s="67" t="str">
        <f t="shared" si="69"/>
        <v/>
      </c>
    </row>
    <row r="751" spans="1:59">
      <c r="A751" s="55"/>
      <c r="B751" s="56"/>
      <c r="C751" s="56"/>
      <c r="D751" s="56"/>
      <c r="E751" s="56"/>
      <c r="F751" s="56"/>
      <c r="G751" s="56"/>
      <c r="H751" s="56"/>
      <c r="I751" s="6"/>
      <c r="J751" s="6"/>
      <c r="K751" s="57"/>
      <c r="L751" s="57"/>
      <c r="M751" s="57"/>
      <c r="N751" s="56"/>
      <c r="O751" s="56"/>
      <c r="P751" s="56"/>
      <c r="Q751" s="56"/>
      <c r="R751" s="56"/>
      <c r="S751" s="56"/>
      <c r="T751" s="56"/>
      <c r="U751" s="56"/>
      <c r="V751" s="56"/>
      <c r="W751" s="56"/>
      <c r="X751" s="56"/>
      <c r="Y751" s="56"/>
      <c r="Z751" s="56"/>
      <c r="AA751" s="56"/>
      <c r="AB751" s="56"/>
      <c r="AC751" s="56"/>
      <c r="AD751" s="56"/>
      <c r="AE751" s="56"/>
      <c r="AF751" s="56"/>
      <c r="AG751" s="56"/>
      <c r="AH751" s="56"/>
      <c r="AI751" s="58"/>
      <c r="AJ751" s="56"/>
      <c r="AK751" s="56"/>
      <c r="AL751" s="56"/>
      <c r="AM751" s="57"/>
      <c r="AN751" s="57"/>
      <c r="AO751" s="56"/>
      <c r="AP751" s="56"/>
      <c r="AQ751" s="57"/>
      <c r="AR751" s="57"/>
      <c r="AS751" s="57"/>
      <c r="AT751" s="67">
        <f t="shared" ca="1" si="70"/>
        <v>0</v>
      </c>
      <c r="AU751" s="79" t="str">
        <f t="shared" ca="1" si="71"/>
        <v/>
      </c>
      <c r="AV751" s="79" t="str" cm="1">
        <f t="array" aca="1" ref="AV751" ca="1">IFERROR(_xlfn.IFS($AU751="","",$AU751&lt;=15,"0-15",AND($AU751&gt;=16,$AU751&lt;=30),"16-30",AND($AU751&gt;=31,$AU751&lt;=45),"31-45",AND($AU751&gt;=46,$AU751&lt;=60),"46-60",AND($AU751&gt;=61,$AU751&lt;=90),"61-90",AND($AU751&gt;=91),"&gt; 90",AND($AU751&gt;=2000),""),"")</f>
        <v/>
      </c>
      <c r="AW751" s="79" t="str" cm="1">
        <f t="array" aca="1" ref="AW751" ca="1">IFERROR(_xlfn.IFS(OR($M751="",$AM751=""),"",OR($C751="Offered",$C751="Joined"),($AM751-$M751)-$AT751),"")</f>
        <v/>
      </c>
      <c r="AX751" s="79" t="str" cm="1">
        <f t="array" aca="1" ref="AX751" ca="1">IFERROR(_xlfn.IFS(OR($M751="",$AS751=""),"",$C751="Joined",($AS751-$M751)-$AT751),"")</f>
        <v/>
      </c>
      <c r="AY751" s="67" t="str">
        <f>IFERROR(IF(COUNTIFS('Candidate Tracker'!$E:$E,'Positions Tracker'!$B751,'Candidate Tracker'!$C:$C,"Offer Drop")=0,"",COUNTIFS('Candidate Tracker'!$E:$E,'Positions Tracker'!$B751,'Candidate Tracker'!$C:$C,"Offer Drop")),"")</f>
        <v/>
      </c>
      <c r="AZ751" s="80">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0.88111888111888115</v>
      </c>
      <c r="BA751" s="81" t="str">
        <f>IFERROR(IF(COUNTIFS('Candidate Tracker'!$E:$E,'Positions Tracker'!$B751,'Candidate Tracker'!$I:$I,"Female")=0,"",COUNTIFS('Candidate Tracker'!$E:$E,'Positions Tracker'!$B751,'Candidate Tracker'!$I:$I,"Female")),"")</f>
        <v/>
      </c>
      <c r="BB751" s="81" t="str">
        <f>IFERROR(IF(COUNTIFS('Candidate Tracker'!$E:$E,'Positions Tracker'!$B751,'Candidate Tracker'!$I:$I,"male")=0,"",COUNTIFS('Candidate Tracker'!$E:$E,'Positions Tracker'!$B751,'Candidate Tracker'!$I:$I,"male")),"")</f>
        <v/>
      </c>
      <c r="BC751" s="80" t="str">
        <f>IFERROR(IF(COUNTIFS('Candidate Tracker'!$E:$E,'Positions Tracker'!$B751,'Candidate Tracker'!$C:$C,"&lt;&gt;WIP",'Candidate Tracker'!$C:$C,"&lt;&gt;Hold",'Candidate Tracker'!$C:$C,"&lt;&gt;Cancelled",'Candidate Tracker'!$C:$C,"&lt;&gt;Closed")/COUNTIFS('Candidate Tracker'!$E:$E,'Positions Tracker'!$B751)=0,"",COUNTIFS('Candidate Tracker'!$E:$E,'Positions Tracker'!$B751,'Candidate Tracker'!$C:$C,"&lt;&gt;WIP",'Candidate Tracker'!$C:$C,"&lt;&gt;Hold",'Candidate Tracker'!$C:$C,"&lt;&gt;Cancelled",'Candidate Tracker'!$C:$C,"&lt;&gt;Closed")/COUNTIFS('Candidate Tracker'!$E:$E,'Positions Tracker'!$B751)),"")</f>
        <v/>
      </c>
      <c r="BD751" s="67" t="str">
        <f t="shared" si="66"/>
        <v/>
      </c>
      <c r="BE751" s="67" t="str">
        <f t="shared" si="67"/>
        <v/>
      </c>
      <c r="BF751" s="67" t="str">
        <f t="shared" si="68"/>
        <v/>
      </c>
      <c r="BG751" s="67" t="str">
        <f t="shared" si="69"/>
        <v/>
      </c>
    </row>
    <row r="752" spans="1:59">
      <c r="A752" s="55"/>
      <c r="B752" s="56"/>
      <c r="C752" s="56"/>
      <c r="D752" s="56"/>
      <c r="E752" s="56"/>
      <c r="F752" s="56"/>
      <c r="G752" s="56"/>
      <c r="H752" s="56"/>
      <c r="I752" s="6"/>
      <c r="J752" s="6"/>
      <c r="K752" s="57"/>
      <c r="L752" s="57"/>
      <c r="M752" s="57"/>
      <c r="N752" s="56"/>
      <c r="O752" s="56"/>
      <c r="P752" s="56"/>
      <c r="Q752" s="56"/>
      <c r="R752" s="56"/>
      <c r="S752" s="56"/>
      <c r="T752" s="56"/>
      <c r="U752" s="56"/>
      <c r="V752" s="56"/>
      <c r="W752" s="56"/>
      <c r="X752" s="56"/>
      <c r="Y752" s="56"/>
      <c r="Z752" s="56"/>
      <c r="AA752" s="56"/>
      <c r="AB752" s="56"/>
      <c r="AC752" s="56"/>
      <c r="AD752" s="56"/>
      <c r="AE752" s="56"/>
      <c r="AF752" s="56"/>
      <c r="AG752" s="56"/>
      <c r="AH752" s="56"/>
      <c r="AI752" s="58"/>
      <c r="AJ752" s="56"/>
      <c r="AK752" s="56"/>
      <c r="AL752" s="56"/>
      <c r="AM752" s="57"/>
      <c r="AN752" s="57"/>
      <c r="AO752" s="56"/>
      <c r="AP752" s="56"/>
      <c r="AQ752" s="57"/>
      <c r="AR752" s="57"/>
      <c r="AS752" s="57"/>
      <c r="AT752" s="67">
        <f t="shared" ca="1" si="70"/>
        <v>0</v>
      </c>
      <c r="AU752" s="79" t="str">
        <f t="shared" ca="1" si="71"/>
        <v/>
      </c>
      <c r="AV752" s="79" t="str" cm="1">
        <f t="array" aca="1" ref="AV752" ca="1">IFERROR(_xlfn.IFS($AU752="","",$AU752&lt;=15,"0-15",AND($AU752&gt;=16,$AU752&lt;=30),"16-30",AND($AU752&gt;=31,$AU752&lt;=45),"31-45",AND($AU752&gt;=46,$AU752&lt;=60),"46-60",AND($AU752&gt;=61,$AU752&lt;=90),"61-90",AND($AU752&gt;=91),"&gt; 90",AND($AU752&gt;=2000),""),"")</f>
        <v/>
      </c>
      <c r="AW752" s="79" t="str" cm="1">
        <f t="array" aca="1" ref="AW752" ca="1">IFERROR(_xlfn.IFS(OR($M752="",$AM752=""),"",OR($C752="Offered",$C752="Joined"),($AM752-$M752)-$AT752),"")</f>
        <v/>
      </c>
      <c r="AX752" s="79" t="str" cm="1">
        <f t="array" aca="1" ref="AX752" ca="1">IFERROR(_xlfn.IFS(OR($M752="",$AS752=""),"",$C752="Joined",($AS752-$M752)-$AT752),"")</f>
        <v/>
      </c>
      <c r="AY752" s="67" t="str">
        <f>IFERROR(IF(COUNTIFS('Candidate Tracker'!$E:$E,'Positions Tracker'!$B752,'Candidate Tracker'!$C:$C,"Offer Drop")=0,"",COUNTIFS('Candidate Tracker'!$E:$E,'Positions Tracker'!$B752,'Candidate Tracker'!$C:$C,"Offer Drop")),"")</f>
        <v/>
      </c>
      <c r="AZ752" s="80">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0.88111888111888115</v>
      </c>
      <c r="BA752" s="81" t="str">
        <f>IFERROR(IF(COUNTIFS('Candidate Tracker'!$E:$E,'Positions Tracker'!$B752,'Candidate Tracker'!$I:$I,"Female")=0,"",COUNTIFS('Candidate Tracker'!$E:$E,'Positions Tracker'!$B752,'Candidate Tracker'!$I:$I,"Female")),"")</f>
        <v/>
      </c>
      <c r="BB752" s="81" t="str">
        <f>IFERROR(IF(COUNTIFS('Candidate Tracker'!$E:$E,'Positions Tracker'!$B752,'Candidate Tracker'!$I:$I,"male")=0,"",COUNTIFS('Candidate Tracker'!$E:$E,'Positions Tracker'!$B752,'Candidate Tracker'!$I:$I,"male")),"")</f>
        <v/>
      </c>
      <c r="BC752" s="80" t="str">
        <f>IFERROR(IF(COUNTIFS('Candidate Tracker'!$E:$E,'Positions Tracker'!$B752,'Candidate Tracker'!$C:$C,"&lt;&gt;WIP",'Candidate Tracker'!$C:$C,"&lt;&gt;Hold",'Candidate Tracker'!$C:$C,"&lt;&gt;Cancelled",'Candidate Tracker'!$C:$C,"&lt;&gt;Closed")/COUNTIFS('Candidate Tracker'!$E:$E,'Positions Tracker'!$B752)=0,"",COUNTIFS('Candidate Tracker'!$E:$E,'Positions Tracker'!$B752,'Candidate Tracker'!$C:$C,"&lt;&gt;WIP",'Candidate Tracker'!$C:$C,"&lt;&gt;Hold",'Candidate Tracker'!$C:$C,"&lt;&gt;Cancelled",'Candidate Tracker'!$C:$C,"&lt;&gt;Closed")/COUNTIFS('Candidate Tracker'!$E:$E,'Positions Tracker'!$B752)),"")</f>
        <v/>
      </c>
      <c r="BD752" s="67" t="str">
        <f t="shared" si="66"/>
        <v/>
      </c>
      <c r="BE752" s="67" t="str">
        <f t="shared" si="67"/>
        <v/>
      </c>
      <c r="BF752" s="67" t="str">
        <f t="shared" si="68"/>
        <v/>
      </c>
      <c r="BG752" s="67" t="str">
        <f t="shared" si="69"/>
        <v/>
      </c>
    </row>
    <row r="753" spans="1:59">
      <c r="A753" s="55"/>
      <c r="B753" s="56"/>
      <c r="C753" s="56"/>
      <c r="D753" s="56"/>
      <c r="E753" s="56"/>
      <c r="F753" s="56"/>
      <c r="G753" s="56"/>
      <c r="H753" s="56"/>
      <c r="I753" s="6"/>
      <c r="J753" s="6"/>
      <c r="K753" s="57"/>
      <c r="L753" s="57"/>
      <c r="M753" s="57"/>
      <c r="N753" s="56"/>
      <c r="O753" s="56"/>
      <c r="P753" s="56"/>
      <c r="Q753" s="56"/>
      <c r="R753" s="56"/>
      <c r="S753" s="56"/>
      <c r="T753" s="56"/>
      <c r="U753" s="56"/>
      <c r="V753" s="56"/>
      <c r="W753" s="56"/>
      <c r="X753" s="56"/>
      <c r="Y753" s="56"/>
      <c r="Z753" s="56"/>
      <c r="AA753" s="56"/>
      <c r="AB753" s="56"/>
      <c r="AC753" s="56"/>
      <c r="AD753" s="56"/>
      <c r="AE753" s="56"/>
      <c r="AF753" s="56"/>
      <c r="AG753" s="56"/>
      <c r="AH753" s="56"/>
      <c r="AI753" s="58"/>
      <c r="AJ753" s="56"/>
      <c r="AK753" s="56"/>
      <c r="AL753" s="56"/>
      <c r="AM753" s="57"/>
      <c r="AN753" s="57"/>
      <c r="AO753" s="56"/>
      <c r="AP753" s="56"/>
      <c r="AQ753" s="57"/>
      <c r="AR753" s="57"/>
      <c r="AS753" s="57"/>
      <c r="AT753" s="67">
        <f t="shared" ca="1" si="70"/>
        <v>0</v>
      </c>
      <c r="AU753" s="79" t="str">
        <f t="shared" ca="1" si="71"/>
        <v/>
      </c>
      <c r="AV753" s="79" t="str" cm="1">
        <f t="array" aca="1" ref="AV753" ca="1">IFERROR(_xlfn.IFS($AU753="","",$AU753&lt;=15,"0-15",AND($AU753&gt;=16,$AU753&lt;=30),"16-30",AND($AU753&gt;=31,$AU753&lt;=45),"31-45",AND($AU753&gt;=46,$AU753&lt;=60),"46-60",AND($AU753&gt;=61,$AU753&lt;=90),"61-90",AND($AU753&gt;=91),"&gt; 90",AND($AU753&gt;=2000),""),"")</f>
        <v/>
      </c>
      <c r="AW753" s="79" t="str" cm="1">
        <f t="array" aca="1" ref="AW753" ca="1">IFERROR(_xlfn.IFS(OR($M753="",$AM753=""),"",OR($C753="Offered",$C753="Joined"),($AM753-$M753)-$AT753),"")</f>
        <v/>
      </c>
      <c r="AX753" s="79" t="str" cm="1">
        <f t="array" aca="1" ref="AX753" ca="1">IFERROR(_xlfn.IFS(OR($M753="",$AS753=""),"",$C753="Joined",($AS753-$M753)-$AT753),"")</f>
        <v/>
      </c>
      <c r="AY753" s="67" t="str">
        <f>IFERROR(IF(COUNTIFS('Candidate Tracker'!$E:$E,'Positions Tracker'!$B753,'Candidate Tracker'!$C:$C,"Offer Drop")=0,"",COUNTIFS('Candidate Tracker'!$E:$E,'Positions Tracker'!$B753,'Candidate Tracker'!$C:$C,"Offer Drop")),"")</f>
        <v/>
      </c>
      <c r="AZ753" s="80">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0.88111888111888115</v>
      </c>
      <c r="BA753" s="81" t="str">
        <f>IFERROR(IF(COUNTIFS('Candidate Tracker'!$E:$E,'Positions Tracker'!$B753,'Candidate Tracker'!$I:$I,"Female")=0,"",COUNTIFS('Candidate Tracker'!$E:$E,'Positions Tracker'!$B753,'Candidate Tracker'!$I:$I,"Female")),"")</f>
        <v/>
      </c>
      <c r="BB753" s="81" t="str">
        <f>IFERROR(IF(COUNTIFS('Candidate Tracker'!$E:$E,'Positions Tracker'!$B753,'Candidate Tracker'!$I:$I,"male")=0,"",COUNTIFS('Candidate Tracker'!$E:$E,'Positions Tracker'!$B753,'Candidate Tracker'!$I:$I,"male")),"")</f>
        <v/>
      </c>
      <c r="BC753" s="80" t="str">
        <f>IFERROR(IF(COUNTIFS('Candidate Tracker'!$E:$E,'Positions Tracker'!$B753,'Candidate Tracker'!$C:$C,"&lt;&gt;WIP",'Candidate Tracker'!$C:$C,"&lt;&gt;Hold",'Candidate Tracker'!$C:$C,"&lt;&gt;Cancelled",'Candidate Tracker'!$C:$C,"&lt;&gt;Closed")/COUNTIFS('Candidate Tracker'!$E:$E,'Positions Tracker'!$B753)=0,"",COUNTIFS('Candidate Tracker'!$E:$E,'Positions Tracker'!$B753,'Candidate Tracker'!$C:$C,"&lt;&gt;WIP",'Candidate Tracker'!$C:$C,"&lt;&gt;Hold",'Candidate Tracker'!$C:$C,"&lt;&gt;Cancelled",'Candidate Tracker'!$C:$C,"&lt;&gt;Closed")/COUNTIFS('Candidate Tracker'!$E:$E,'Positions Tracker'!$B753)),"")</f>
        <v/>
      </c>
      <c r="BD753" s="67" t="str">
        <f t="shared" si="66"/>
        <v/>
      </c>
      <c r="BE753" s="67" t="str">
        <f t="shared" si="67"/>
        <v/>
      </c>
      <c r="BF753" s="67" t="str">
        <f t="shared" si="68"/>
        <v/>
      </c>
      <c r="BG753" s="67" t="str">
        <f t="shared" si="69"/>
        <v/>
      </c>
    </row>
    <row r="754" spans="1:59">
      <c r="A754" s="55"/>
      <c r="B754" s="56"/>
      <c r="C754" s="56"/>
      <c r="D754" s="56"/>
      <c r="E754" s="56"/>
      <c r="F754" s="56"/>
      <c r="G754" s="56"/>
      <c r="H754" s="56"/>
      <c r="I754" s="6"/>
      <c r="J754" s="6"/>
      <c r="K754" s="57"/>
      <c r="L754" s="57"/>
      <c r="M754" s="57"/>
      <c r="N754" s="56"/>
      <c r="O754" s="56"/>
      <c r="P754" s="56"/>
      <c r="Q754" s="56"/>
      <c r="R754" s="56"/>
      <c r="S754" s="56"/>
      <c r="T754" s="56"/>
      <c r="U754" s="56"/>
      <c r="V754" s="56"/>
      <c r="W754" s="56"/>
      <c r="X754" s="56"/>
      <c r="Y754" s="56"/>
      <c r="Z754" s="56"/>
      <c r="AA754" s="56"/>
      <c r="AB754" s="56"/>
      <c r="AC754" s="56"/>
      <c r="AD754" s="56"/>
      <c r="AE754" s="56"/>
      <c r="AF754" s="56"/>
      <c r="AG754" s="56"/>
      <c r="AH754" s="56"/>
      <c r="AI754" s="58"/>
      <c r="AJ754" s="56"/>
      <c r="AK754" s="56"/>
      <c r="AL754" s="56"/>
      <c r="AM754" s="57"/>
      <c r="AN754" s="57"/>
      <c r="AO754" s="56"/>
      <c r="AP754" s="56"/>
      <c r="AQ754" s="57"/>
      <c r="AR754" s="57"/>
      <c r="AS754" s="57"/>
      <c r="AT754" s="67">
        <f t="shared" ca="1" si="70"/>
        <v>0</v>
      </c>
      <c r="AU754" s="79" t="str">
        <f t="shared" ca="1" si="71"/>
        <v/>
      </c>
      <c r="AV754" s="79" t="str" cm="1">
        <f t="array" aca="1" ref="AV754" ca="1">IFERROR(_xlfn.IFS($AU754="","",$AU754&lt;=15,"0-15",AND($AU754&gt;=16,$AU754&lt;=30),"16-30",AND($AU754&gt;=31,$AU754&lt;=45),"31-45",AND($AU754&gt;=46,$AU754&lt;=60),"46-60",AND($AU754&gt;=61,$AU754&lt;=90),"61-90",AND($AU754&gt;=91),"&gt; 90",AND($AU754&gt;=2000),""),"")</f>
        <v/>
      </c>
      <c r="AW754" s="79" t="str" cm="1">
        <f t="array" aca="1" ref="AW754" ca="1">IFERROR(_xlfn.IFS(OR($M754="",$AM754=""),"",OR($C754="Offered",$C754="Joined"),($AM754-$M754)-$AT754),"")</f>
        <v/>
      </c>
      <c r="AX754" s="79" t="str" cm="1">
        <f t="array" aca="1" ref="AX754" ca="1">IFERROR(_xlfn.IFS(OR($M754="",$AS754=""),"",$C754="Joined",($AS754-$M754)-$AT754),"")</f>
        <v/>
      </c>
      <c r="AY754" s="67" t="str">
        <f>IFERROR(IF(COUNTIFS('Candidate Tracker'!$E:$E,'Positions Tracker'!$B754,'Candidate Tracker'!$C:$C,"Offer Drop")=0,"",COUNTIFS('Candidate Tracker'!$E:$E,'Positions Tracker'!$B754,'Candidate Tracker'!$C:$C,"Offer Drop")),"")</f>
        <v/>
      </c>
      <c r="AZ754" s="80">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0.88111888111888115</v>
      </c>
      <c r="BA754" s="81" t="str">
        <f>IFERROR(IF(COUNTIFS('Candidate Tracker'!$E:$E,'Positions Tracker'!$B754,'Candidate Tracker'!$I:$I,"Female")=0,"",COUNTIFS('Candidate Tracker'!$E:$E,'Positions Tracker'!$B754,'Candidate Tracker'!$I:$I,"Female")),"")</f>
        <v/>
      </c>
      <c r="BB754" s="81" t="str">
        <f>IFERROR(IF(COUNTIFS('Candidate Tracker'!$E:$E,'Positions Tracker'!$B754,'Candidate Tracker'!$I:$I,"male")=0,"",COUNTIFS('Candidate Tracker'!$E:$E,'Positions Tracker'!$B754,'Candidate Tracker'!$I:$I,"male")),"")</f>
        <v/>
      </c>
      <c r="BC754" s="80" t="str">
        <f>IFERROR(IF(COUNTIFS('Candidate Tracker'!$E:$E,'Positions Tracker'!$B754,'Candidate Tracker'!$C:$C,"&lt;&gt;WIP",'Candidate Tracker'!$C:$C,"&lt;&gt;Hold",'Candidate Tracker'!$C:$C,"&lt;&gt;Cancelled",'Candidate Tracker'!$C:$C,"&lt;&gt;Closed")/COUNTIFS('Candidate Tracker'!$E:$E,'Positions Tracker'!$B754)=0,"",COUNTIFS('Candidate Tracker'!$E:$E,'Positions Tracker'!$B754,'Candidate Tracker'!$C:$C,"&lt;&gt;WIP",'Candidate Tracker'!$C:$C,"&lt;&gt;Hold",'Candidate Tracker'!$C:$C,"&lt;&gt;Cancelled",'Candidate Tracker'!$C:$C,"&lt;&gt;Closed")/COUNTIFS('Candidate Tracker'!$E:$E,'Positions Tracker'!$B754)),"")</f>
        <v/>
      </c>
      <c r="BD754" s="67" t="str">
        <f t="shared" si="66"/>
        <v/>
      </c>
      <c r="BE754" s="67" t="str">
        <f t="shared" si="67"/>
        <v/>
      </c>
      <c r="BF754" s="67" t="str">
        <f t="shared" si="68"/>
        <v/>
      </c>
      <c r="BG754" s="67" t="str">
        <f t="shared" si="69"/>
        <v/>
      </c>
    </row>
    <row r="755" spans="1:59">
      <c r="A755" s="55"/>
      <c r="B755" s="56"/>
      <c r="C755" s="56"/>
      <c r="D755" s="56"/>
      <c r="E755" s="56"/>
      <c r="F755" s="56"/>
      <c r="G755" s="56"/>
      <c r="H755" s="56"/>
      <c r="I755" s="6"/>
      <c r="J755" s="6"/>
      <c r="K755" s="57"/>
      <c r="L755" s="57"/>
      <c r="M755" s="57"/>
      <c r="N755" s="56"/>
      <c r="O755" s="56"/>
      <c r="P755" s="56"/>
      <c r="Q755" s="56"/>
      <c r="R755" s="56"/>
      <c r="S755" s="56"/>
      <c r="T755" s="56"/>
      <c r="U755" s="56"/>
      <c r="V755" s="56"/>
      <c r="W755" s="56"/>
      <c r="X755" s="56"/>
      <c r="Y755" s="56"/>
      <c r="Z755" s="56"/>
      <c r="AA755" s="56"/>
      <c r="AB755" s="56"/>
      <c r="AC755" s="56"/>
      <c r="AD755" s="56"/>
      <c r="AE755" s="56"/>
      <c r="AF755" s="56"/>
      <c r="AG755" s="56"/>
      <c r="AH755" s="56"/>
      <c r="AI755" s="58"/>
      <c r="AJ755" s="56"/>
      <c r="AK755" s="56"/>
      <c r="AL755" s="56"/>
      <c r="AM755" s="57"/>
      <c r="AN755" s="57"/>
      <c r="AO755" s="56"/>
      <c r="AP755" s="56"/>
      <c r="AQ755" s="57"/>
      <c r="AR755" s="57"/>
      <c r="AS755" s="57"/>
      <c r="AT755" s="67">
        <f t="shared" ca="1" si="70"/>
        <v>0</v>
      </c>
      <c r="AU755" s="79" t="str">
        <f t="shared" ca="1" si="71"/>
        <v/>
      </c>
      <c r="AV755" s="79" t="str" cm="1">
        <f t="array" aca="1" ref="AV755" ca="1">IFERROR(_xlfn.IFS($AU755="","",$AU755&lt;=15,"0-15",AND($AU755&gt;=16,$AU755&lt;=30),"16-30",AND($AU755&gt;=31,$AU755&lt;=45),"31-45",AND($AU755&gt;=46,$AU755&lt;=60),"46-60",AND($AU755&gt;=61,$AU755&lt;=90),"61-90",AND($AU755&gt;=91),"&gt; 90",AND($AU755&gt;=2000),""),"")</f>
        <v/>
      </c>
      <c r="AW755" s="79" t="str" cm="1">
        <f t="array" aca="1" ref="AW755" ca="1">IFERROR(_xlfn.IFS(OR($M755="",$AM755=""),"",OR($C755="Offered",$C755="Joined"),($AM755-$M755)-$AT755),"")</f>
        <v/>
      </c>
      <c r="AX755" s="79" t="str" cm="1">
        <f t="array" aca="1" ref="AX755" ca="1">IFERROR(_xlfn.IFS(OR($M755="",$AS755=""),"",$C755="Joined",($AS755-$M755)-$AT755),"")</f>
        <v/>
      </c>
      <c r="AY755" s="67" t="str">
        <f>IFERROR(IF(COUNTIFS('Candidate Tracker'!$E:$E,'Positions Tracker'!$B755,'Candidate Tracker'!$C:$C,"Offer Drop")=0,"",COUNTIFS('Candidate Tracker'!$E:$E,'Positions Tracker'!$B755,'Candidate Tracker'!$C:$C,"Offer Drop")),"")</f>
        <v/>
      </c>
      <c r="AZ755" s="80">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0.88111888111888115</v>
      </c>
      <c r="BA755" s="81" t="str">
        <f>IFERROR(IF(COUNTIFS('Candidate Tracker'!$E:$E,'Positions Tracker'!$B755,'Candidate Tracker'!$I:$I,"Female")=0,"",COUNTIFS('Candidate Tracker'!$E:$E,'Positions Tracker'!$B755,'Candidate Tracker'!$I:$I,"Female")),"")</f>
        <v/>
      </c>
      <c r="BB755" s="81" t="str">
        <f>IFERROR(IF(COUNTIFS('Candidate Tracker'!$E:$E,'Positions Tracker'!$B755,'Candidate Tracker'!$I:$I,"male")=0,"",COUNTIFS('Candidate Tracker'!$E:$E,'Positions Tracker'!$B755,'Candidate Tracker'!$I:$I,"male")),"")</f>
        <v/>
      </c>
      <c r="BC755" s="80" t="str">
        <f>IFERROR(IF(COUNTIFS('Candidate Tracker'!$E:$E,'Positions Tracker'!$B755,'Candidate Tracker'!$C:$C,"&lt;&gt;WIP",'Candidate Tracker'!$C:$C,"&lt;&gt;Hold",'Candidate Tracker'!$C:$C,"&lt;&gt;Cancelled",'Candidate Tracker'!$C:$C,"&lt;&gt;Closed")/COUNTIFS('Candidate Tracker'!$E:$E,'Positions Tracker'!$B755)=0,"",COUNTIFS('Candidate Tracker'!$E:$E,'Positions Tracker'!$B755,'Candidate Tracker'!$C:$C,"&lt;&gt;WIP",'Candidate Tracker'!$C:$C,"&lt;&gt;Hold",'Candidate Tracker'!$C:$C,"&lt;&gt;Cancelled",'Candidate Tracker'!$C:$C,"&lt;&gt;Closed")/COUNTIFS('Candidate Tracker'!$E:$E,'Positions Tracker'!$B755)),"")</f>
        <v/>
      </c>
      <c r="BD755" s="67" t="str">
        <f t="shared" si="66"/>
        <v/>
      </c>
      <c r="BE755" s="67" t="str">
        <f t="shared" si="67"/>
        <v/>
      </c>
      <c r="BF755" s="67" t="str">
        <f t="shared" si="68"/>
        <v/>
      </c>
      <c r="BG755" s="67" t="str">
        <f t="shared" si="69"/>
        <v/>
      </c>
    </row>
    <row r="756" spans="1:59">
      <c r="A756" s="55"/>
      <c r="B756" s="56"/>
      <c r="C756" s="56"/>
      <c r="D756" s="56"/>
      <c r="E756" s="56"/>
      <c r="F756" s="56"/>
      <c r="G756" s="56"/>
      <c r="H756" s="56"/>
      <c r="I756" s="6"/>
      <c r="J756" s="6"/>
      <c r="K756" s="57"/>
      <c r="L756" s="57"/>
      <c r="M756" s="57"/>
      <c r="N756" s="56"/>
      <c r="O756" s="56"/>
      <c r="P756" s="56"/>
      <c r="Q756" s="56"/>
      <c r="R756" s="56"/>
      <c r="S756" s="56"/>
      <c r="T756" s="56"/>
      <c r="U756" s="56"/>
      <c r="V756" s="56"/>
      <c r="W756" s="56"/>
      <c r="X756" s="56"/>
      <c r="Y756" s="56"/>
      <c r="Z756" s="56"/>
      <c r="AA756" s="56"/>
      <c r="AB756" s="56"/>
      <c r="AC756" s="56"/>
      <c r="AD756" s="56"/>
      <c r="AE756" s="56"/>
      <c r="AF756" s="56"/>
      <c r="AG756" s="56"/>
      <c r="AH756" s="56"/>
      <c r="AI756" s="58"/>
      <c r="AJ756" s="56"/>
      <c r="AK756" s="56"/>
      <c r="AL756" s="56"/>
      <c r="AM756" s="57"/>
      <c r="AN756" s="57"/>
      <c r="AO756" s="56"/>
      <c r="AP756" s="56"/>
      <c r="AQ756" s="57"/>
      <c r="AR756" s="57"/>
      <c r="AS756" s="57"/>
      <c r="AT756" s="67">
        <f t="shared" ca="1" si="70"/>
        <v>0</v>
      </c>
      <c r="AU756" s="79" t="str">
        <f t="shared" ca="1" si="71"/>
        <v/>
      </c>
      <c r="AV756" s="79" t="str" cm="1">
        <f t="array" aca="1" ref="AV756" ca="1">IFERROR(_xlfn.IFS($AU756="","",$AU756&lt;=15,"0-15",AND($AU756&gt;=16,$AU756&lt;=30),"16-30",AND($AU756&gt;=31,$AU756&lt;=45),"31-45",AND($AU756&gt;=46,$AU756&lt;=60),"46-60",AND($AU756&gt;=61,$AU756&lt;=90),"61-90",AND($AU756&gt;=91),"&gt; 90",AND($AU756&gt;=2000),""),"")</f>
        <v/>
      </c>
      <c r="AW756" s="79" t="str" cm="1">
        <f t="array" aca="1" ref="AW756" ca="1">IFERROR(_xlfn.IFS(OR($M756="",$AM756=""),"",OR($C756="Offered",$C756="Joined"),($AM756-$M756)-$AT756),"")</f>
        <v/>
      </c>
      <c r="AX756" s="79" t="str" cm="1">
        <f t="array" aca="1" ref="AX756" ca="1">IFERROR(_xlfn.IFS(OR($M756="",$AS756=""),"",$C756="Joined",($AS756-$M756)-$AT756),"")</f>
        <v/>
      </c>
      <c r="AY756" s="67" t="str">
        <f>IFERROR(IF(COUNTIFS('Candidate Tracker'!$E:$E,'Positions Tracker'!$B756,'Candidate Tracker'!$C:$C,"Offer Drop")=0,"",COUNTIFS('Candidate Tracker'!$E:$E,'Positions Tracker'!$B756,'Candidate Tracker'!$C:$C,"Offer Drop")),"")</f>
        <v/>
      </c>
      <c r="AZ756" s="80">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0.88111888111888115</v>
      </c>
      <c r="BA756" s="81" t="str">
        <f>IFERROR(IF(COUNTIFS('Candidate Tracker'!$E:$E,'Positions Tracker'!$B756,'Candidate Tracker'!$I:$I,"Female")=0,"",COUNTIFS('Candidate Tracker'!$E:$E,'Positions Tracker'!$B756,'Candidate Tracker'!$I:$I,"Female")),"")</f>
        <v/>
      </c>
      <c r="BB756" s="81" t="str">
        <f>IFERROR(IF(COUNTIFS('Candidate Tracker'!$E:$E,'Positions Tracker'!$B756,'Candidate Tracker'!$I:$I,"male")=0,"",COUNTIFS('Candidate Tracker'!$E:$E,'Positions Tracker'!$B756,'Candidate Tracker'!$I:$I,"male")),"")</f>
        <v/>
      </c>
      <c r="BC756" s="80" t="str">
        <f>IFERROR(IF(COUNTIFS('Candidate Tracker'!$E:$E,'Positions Tracker'!$B756,'Candidate Tracker'!$C:$C,"&lt;&gt;WIP",'Candidate Tracker'!$C:$C,"&lt;&gt;Hold",'Candidate Tracker'!$C:$C,"&lt;&gt;Cancelled",'Candidate Tracker'!$C:$C,"&lt;&gt;Closed")/COUNTIFS('Candidate Tracker'!$E:$E,'Positions Tracker'!$B756)=0,"",COUNTIFS('Candidate Tracker'!$E:$E,'Positions Tracker'!$B756,'Candidate Tracker'!$C:$C,"&lt;&gt;WIP",'Candidate Tracker'!$C:$C,"&lt;&gt;Hold",'Candidate Tracker'!$C:$C,"&lt;&gt;Cancelled",'Candidate Tracker'!$C:$C,"&lt;&gt;Closed")/COUNTIFS('Candidate Tracker'!$E:$E,'Positions Tracker'!$B756)),"")</f>
        <v/>
      </c>
      <c r="BD756" s="67" t="str">
        <f t="shared" si="66"/>
        <v/>
      </c>
      <c r="BE756" s="67" t="str">
        <f t="shared" si="67"/>
        <v/>
      </c>
      <c r="BF756" s="67" t="str">
        <f t="shared" si="68"/>
        <v/>
      </c>
      <c r="BG756" s="67" t="str">
        <f t="shared" si="69"/>
        <v/>
      </c>
    </row>
    <row r="757" spans="1:59">
      <c r="A757" s="55"/>
      <c r="B757" s="56"/>
      <c r="C757" s="56"/>
      <c r="D757" s="56"/>
      <c r="E757" s="56"/>
      <c r="F757" s="56"/>
      <c r="G757" s="56"/>
      <c r="H757" s="56"/>
      <c r="I757" s="6"/>
      <c r="J757" s="6"/>
      <c r="K757" s="57"/>
      <c r="L757" s="57"/>
      <c r="M757" s="57"/>
      <c r="N757" s="56"/>
      <c r="O757" s="56"/>
      <c r="P757" s="56"/>
      <c r="Q757" s="56"/>
      <c r="R757" s="56"/>
      <c r="S757" s="56"/>
      <c r="T757" s="56"/>
      <c r="U757" s="56"/>
      <c r="V757" s="56"/>
      <c r="W757" s="56"/>
      <c r="X757" s="56"/>
      <c r="Y757" s="56"/>
      <c r="Z757" s="56"/>
      <c r="AA757" s="56"/>
      <c r="AB757" s="56"/>
      <c r="AC757" s="56"/>
      <c r="AD757" s="56"/>
      <c r="AE757" s="56"/>
      <c r="AF757" s="56"/>
      <c r="AG757" s="56"/>
      <c r="AH757" s="56"/>
      <c r="AI757" s="58"/>
      <c r="AJ757" s="56"/>
      <c r="AK757" s="56"/>
      <c r="AL757" s="56"/>
      <c r="AM757" s="57"/>
      <c r="AN757" s="57"/>
      <c r="AO757" s="56"/>
      <c r="AP757" s="56"/>
      <c r="AQ757" s="57"/>
      <c r="AR757" s="57"/>
      <c r="AS757" s="57"/>
      <c r="AT757" s="67">
        <f t="shared" ca="1" si="70"/>
        <v>0</v>
      </c>
      <c r="AU757" s="79" t="str">
        <f t="shared" ca="1" si="71"/>
        <v/>
      </c>
      <c r="AV757" s="79" t="str" cm="1">
        <f t="array" aca="1" ref="AV757" ca="1">IFERROR(_xlfn.IFS($AU757="","",$AU757&lt;=15,"0-15",AND($AU757&gt;=16,$AU757&lt;=30),"16-30",AND($AU757&gt;=31,$AU757&lt;=45),"31-45",AND($AU757&gt;=46,$AU757&lt;=60),"46-60",AND($AU757&gt;=61,$AU757&lt;=90),"61-90",AND($AU757&gt;=91),"&gt; 90",AND($AU757&gt;=2000),""),"")</f>
        <v/>
      </c>
      <c r="AW757" s="79" t="str" cm="1">
        <f t="array" aca="1" ref="AW757" ca="1">IFERROR(_xlfn.IFS(OR($M757="",$AM757=""),"",OR($C757="Offered",$C757="Joined"),($AM757-$M757)-$AT757),"")</f>
        <v/>
      </c>
      <c r="AX757" s="79" t="str" cm="1">
        <f t="array" aca="1" ref="AX757" ca="1">IFERROR(_xlfn.IFS(OR($M757="",$AS757=""),"",$C757="Joined",($AS757-$M757)-$AT757),"")</f>
        <v/>
      </c>
      <c r="AY757" s="67" t="str">
        <f>IFERROR(IF(COUNTIFS('Candidate Tracker'!$E:$E,'Positions Tracker'!$B757,'Candidate Tracker'!$C:$C,"Offer Drop")=0,"",COUNTIFS('Candidate Tracker'!$E:$E,'Positions Tracker'!$B757,'Candidate Tracker'!$C:$C,"Offer Drop")),"")</f>
        <v/>
      </c>
      <c r="AZ757" s="80">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0.88111888111888115</v>
      </c>
      <c r="BA757" s="81" t="str">
        <f>IFERROR(IF(COUNTIFS('Candidate Tracker'!$E:$E,'Positions Tracker'!$B757,'Candidate Tracker'!$I:$I,"Female")=0,"",COUNTIFS('Candidate Tracker'!$E:$E,'Positions Tracker'!$B757,'Candidate Tracker'!$I:$I,"Female")),"")</f>
        <v/>
      </c>
      <c r="BB757" s="81" t="str">
        <f>IFERROR(IF(COUNTIFS('Candidate Tracker'!$E:$E,'Positions Tracker'!$B757,'Candidate Tracker'!$I:$I,"male")=0,"",COUNTIFS('Candidate Tracker'!$E:$E,'Positions Tracker'!$B757,'Candidate Tracker'!$I:$I,"male")),"")</f>
        <v/>
      </c>
      <c r="BC757" s="80" t="str">
        <f>IFERROR(IF(COUNTIFS('Candidate Tracker'!$E:$E,'Positions Tracker'!$B757,'Candidate Tracker'!$C:$C,"&lt;&gt;WIP",'Candidate Tracker'!$C:$C,"&lt;&gt;Hold",'Candidate Tracker'!$C:$C,"&lt;&gt;Cancelled",'Candidate Tracker'!$C:$C,"&lt;&gt;Closed")/COUNTIFS('Candidate Tracker'!$E:$E,'Positions Tracker'!$B757)=0,"",COUNTIFS('Candidate Tracker'!$E:$E,'Positions Tracker'!$B757,'Candidate Tracker'!$C:$C,"&lt;&gt;WIP",'Candidate Tracker'!$C:$C,"&lt;&gt;Hold",'Candidate Tracker'!$C:$C,"&lt;&gt;Cancelled",'Candidate Tracker'!$C:$C,"&lt;&gt;Closed")/COUNTIFS('Candidate Tracker'!$E:$E,'Positions Tracker'!$B757)),"")</f>
        <v/>
      </c>
      <c r="BD757" s="67" t="str">
        <f t="shared" si="66"/>
        <v/>
      </c>
      <c r="BE757" s="67" t="str">
        <f t="shared" si="67"/>
        <v/>
      </c>
      <c r="BF757" s="67" t="str">
        <f t="shared" si="68"/>
        <v/>
      </c>
      <c r="BG757" s="67" t="str">
        <f t="shared" si="69"/>
        <v/>
      </c>
    </row>
    <row r="758" spans="1:59">
      <c r="A758" s="55"/>
      <c r="B758" s="56"/>
      <c r="C758" s="56"/>
      <c r="D758" s="56"/>
      <c r="E758" s="56"/>
      <c r="F758" s="56"/>
      <c r="G758" s="56"/>
      <c r="H758" s="56"/>
      <c r="I758" s="6"/>
      <c r="J758" s="6"/>
      <c r="K758" s="57"/>
      <c r="L758" s="57"/>
      <c r="M758" s="57"/>
      <c r="N758" s="56"/>
      <c r="O758" s="56"/>
      <c r="P758" s="56"/>
      <c r="Q758" s="56"/>
      <c r="R758" s="56"/>
      <c r="S758" s="56"/>
      <c r="T758" s="56"/>
      <c r="U758" s="56"/>
      <c r="V758" s="56"/>
      <c r="W758" s="56"/>
      <c r="X758" s="56"/>
      <c r="Y758" s="56"/>
      <c r="Z758" s="56"/>
      <c r="AA758" s="56"/>
      <c r="AB758" s="56"/>
      <c r="AC758" s="56"/>
      <c r="AD758" s="56"/>
      <c r="AE758" s="56"/>
      <c r="AF758" s="56"/>
      <c r="AG758" s="56"/>
      <c r="AH758" s="56"/>
      <c r="AI758" s="58"/>
      <c r="AJ758" s="56"/>
      <c r="AK758" s="56"/>
      <c r="AL758" s="56"/>
      <c r="AM758" s="57"/>
      <c r="AN758" s="57"/>
      <c r="AO758" s="56"/>
      <c r="AP758" s="56"/>
      <c r="AQ758" s="57"/>
      <c r="AR758" s="57"/>
      <c r="AS758" s="57"/>
      <c r="AT758" s="67">
        <f t="shared" ca="1" si="70"/>
        <v>0</v>
      </c>
      <c r="AU758" s="79" t="str">
        <f t="shared" ca="1" si="71"/>
        <v/>
      </c>
      <c r="AV758" s="79" t="str" cm="1">
        <f t="array" aca="1" ref="AV758" ca="1">IFERROR(_xlfn.IFS($AU758="","",$AU758&lt;=15,"0-15",AND($AU758&gt;=16,$AU758&lt;=30),"16-30",AND($AU758&gt;=31,$AU758&lt;=45),"31-45",AND($AU758&gt;=46,$AU758&lt;=60),"46-60",AND($AU758&gt;=61,$AU758&lt;=90),"61-90",AND($AU758&gt;=91),"&gt; 90",AND($AU758&gt;=2000),""),"")</f>
        <v/>
      </c>
      <c r="AW758" s="79" t="str" cm="1">
        <f t="array" aca="1" ref="AW758" ca="1">IFERROR(_xlfn.IFS(OR($M758="",$AM758=""),"",OR($C758="Offered",$C758="Joined"),($AM758-$M758)-$AT758),"")</f>
        <v/>
      </c>
      <c r="AX758" s="79" t="str" cm="1">
        <f t="array" aca="1" ref="AX758" ca="1">IFERROR(_xlfn.IFS(OR($M758="",$AS758=""),"",$C758="Joined",($AS758-$M758)-$AT758),"")</f>
        <v/>
      </c>
      <c r="AY758" s="67" t="str">
        <f>IFERROR(IF(COUNTIFS('Candidate Tracker'!$E:$E,'Positions Tracker'!$B758,'Candidate Tracker'!$C:$C,"Offer Drop")=0,"",COUNTIFS('Candidate Tracker'!$E:$E,'Positions Tracker'!$B758,'Candidate Tracker'!$C:$C,"Offer Drop")),"")</f>
        <v/>
      </c>
      <c r="AZ758" s="80">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0.88111888111888115</v>
      </c>
      <c r="BA758" s="81" t="str">
        <f>IFERROR(IF(COUNTIFS('Candidate Tracker'!$E:$E,'Positions Tracker'!$B758,'Candidate Tracker'!$I:$I,"Female")=0,"",COUNTIFS('Candidate Tracker'!$E:$E,'Positions Tracker'!$B758,'Candidate Tracker'!$I:$I,"Female")),"")</f>
        <v/>
      </c>
      <c r="BB758" s="81" t="str">
        <f>IFERROR(IF(COUNTIFS('Candidate Tracker'!$E:$E,'Positions Tracker'!$B758,'Candidate Tracker'!$I:$I,"male")=0,"",COUNTIFS('Candidate Tracker'!$E:$E,'Positions Tracker'!$B758,'Candidate Tracker'!$I:$I,"male")),"")</f>
        <v/>
      </c>
      <c r="BC758" s="80" t="str">
        <f>IFERROR(IF(COUNTIFS('Candidate Tracker'!$E:$E,'Positions Tracker'!$B758,'Candidate Tracker'!$C:$C,"&lt;&gt;WIP",'Candidate Tracker'!$C:$C,"&lt;&gt;Hold",'Candidate Tracker'!$C:$C,"&lt;&gt;Cancelled",'Candidate Tracker'!$C:$C,"&lt;&gt;Closed")/COUNTIFS('Candidate Tracker'!$E:$E,'Positions Tracker'!$B758)=0,"",COUNTIFS('Candidate Tracker'!$E:$E,'Positions Tracker'!$B758,'Candidate Tracker'!$C:$C,"&lt;&gt;WIP",'Candidate Tracker'!$C:$C,"&lt;&gt;Hold",'Candidate Tracker'!$C:$C,"&lt;&gt;Cancelled",'Candidate Tracker'!$C:$C,"&lt;&gt;Closed")/COUNTIFS('Candidate Tracker'!$E:$E,'Positions Tracker'!$B758)),"")</f>
        <v/>
      </c>
      <c r="BD758" s="67" t="str">
        <f t="shared" si="66"/>
        <v/>
      </c>
      <c r="BE758" s="67" t="str">
        <f t="shared" si="67"/>
        <v/>
      </c>
      <c r="BF758" s="67" t="str">
        <f t="shared" si="68"/>
        <v/>
      </c>
      <c r="BG758" s="67" t="str">
        <f t="shared" si="69"/>
        <v/>
      </c>
    </row>
    <row r="759" spans="1:59">
      <c r="A759" s="55"/>
      <c r="B759" s="56"/>
      <c r="C759" s="56"/>
      <c r="D759" s="56"/>
      <c r="E759" s="56"/>
      <c r="F759" s="56"/>
      <c r="G759" s="56"/>
      <c r="H759" s="56"/>
      <c r="I759" s="6"/>
      <c r="J759" s="6"/>
      <c r="K759" s="57"/>
      <c r="L759" s="57"/>
      <c r="M759" s="57"/>
      <c r="N759" s="56"/>
      <c r="O759" s="56"/>
      <c r="P759" s="56"/>
      <c r="Q759" s="56"/>
      <c r="R759" s="56"/>
      <c r="S759" s="56"/>
      <c r="T759" s="56"/>
      <c r="U759" s="56"/>
      <c r="V759" s="56"/>
      <c r="W759" s="56"/>
      <c r="X759" s="56"/>
      <c r="Y759" s="56"/>
      <c r="Z759" s="56"/>
      <c r="AA759" s="56"/>
      <c r="AB759" s="56"/>
      <c r="AC759" s="56"/>
      <c r="AD759" s="56"/>
      <c r="AE759" s="56"/>
      <c r="AF759" s="56"/>
      <c r="AG759" s="56"/>
      <c r="AH759" s="56"/>
      <c r="AI759" s="58"/>
      <c r="AJ759" s="56"/>
      <c r="AK759" s="56"/>
      <c r="AL759" s="56"/>
      <c r="AM759" s="57"/>
      <c r="AN759" s="57"/>
      <c r="AO759" s="56"/>
      <c r="AP759" s="56"/>
      <c r="AQ759" s="57"/>
      <c r="AR759" s="57"/>
      <c r="AS759" s="57"/>
      <c r="AT759" s="67">
        <f t="shared" ca="1" si="70"/>
        <v>0</v>
      </c>
      <c r="AU759" s="79" t="str">
        <f t="shared" ca="1" si="71"/>
        <v/>
      </c>
      <c r="AV759" s="79" t="str" cm="1">
        <f t="array" aca="1" ref="AV759" ca="1">IFERROR(_xlfn.IFS($AU759="","",$AU759&lt;=15,"0-15",AND($AU759&gt;=16,$AU759&lt;=30),"16-30",AND($AU759&gt;=31,$AU759&lt;=45),"31-45",AND($AU759&gt;=46,$AU759&lt;=60),"46-60",AND($AU759&gt;=61,$AU759&lt;=90),"61-90",AND($AU759&gt;=91),"&gt; 90",AND($AU759&gt;=2000),""),"")</f>
        <v/>
      </c>
      <c r="AW759" s="79" t="str" cm="1">
        <f t="array" aca="1" ref="AW759" ca="1">IFERROR(_xlfn.IFS(OR($M759="",$AM759=""),"",OR($C759="Offered",$C759="Joined"),($AM759-$M759)-$AT759),"")</f>
        <v/>
      </c>
      <c r="AX759" s="79" t="str" cm="1">
        <f t="array" aca="1" ref="AX759" ca="1">IFERROR(_xlfn.IFS(OR($M759="",$AS759=""),"",$C759="Joined",($AS759-$M759)-$AT759),"")</f>
        <v/>
      </c>
      <c r="AY759" s="67" t="str">
        <f>IFERROR(IF(COUNTIFS('Candidate Tracker'!$E:$E,'Positions Tracker'!$B759,'Candidate Tracker'!$C:$C,"Offer Drop")=0,"",COUNTIFS('Candidate Tracker'!$E:$E,'Positions Tracker'!$B759,'Candidate Tracker'!$C:$C,"Offer Drop")),"")</f>
        <v/>
      </c>
      <c r="AZ759" s="80">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0.88111888111888115</v>
      </c>
      <c r="BA759" s="81" t="str">
        <f>IFERROR(IF(COUNTIFS('Candidate Tracker'!$E:$E,'Positions Tracker'!$B759,'Candidate Tracker'!$I:$I,"Female")=0,"",COUNTIFS('Candidate Tracker'!$E:$E,'Positions Tracker'!$B759,'Candidate Tracker'!$I:$I,"Female")),"")</f>
        <v/>
      </c>
      <c r="BB759" s="81" t="str">
        <f>IFERROR(IF(COUNTIFS('Candidate Tracker'!$E:$E,'Positions Tracker'!$B759,'Candidate Tracker'!$I:$I,"male")=0,"",COUNTIFS('Candidate Tracker'!$E:$E,'Positions Tracker'!$B759,'Candidate Tracker'!$I:$I,"male")),"")</f>
        <v/>
      </c>
      <c r="BC759" s="80" t="str">
        <f>IFERROR(IF(COUNTIFS('Candidate Tracker'!$E:$E,'Positions Tracker'!$B759,'Candidate Tracker'!$C:$C,"&lt;&gt;WIP",'Candidate Tracker'!$C:$C,"&lt;&gt;Hold",'Candidate Tracker'!$C:$C,"&lt;&gt;Cancelled",'Candidate Tracker'!$C:$C,"&lt;&gt;Closed")/COUNTIFS('Candidate Tracker'!$E:$E,'Positions Tracker'!$B759)=0,"",COUNTIFS('Candidate Tracker'!$E:$E,'Positions Tracker'!$B759,'Candidate Tracker'!$C:$C,"&lt;&gt;WIP",'Candidate Tracker'!$C:$C,"&lt;&gt;Hold",'Candidate Tracker'!$C:$C,"&lt;&gt;Cancelled",'Candidate Tracker'!$C:$C,"&lt;&gt;Closed")/COUNTIFS('Candidate Tracker'!$E:$E,'Positions Tracker'!$B759)),"")</f>
        <v/>
      </c>
      <c r="BD759" s="67" t="str">
        <f t="shared" si="66"/>
        <v/>
      </c>
      <c r="BE759" s="67" t="str">
        <f t="shared" si="67"/>
        <v/>
      </c>
      <c r="BF759" s="67" t="str">
        <f t="shared" si="68"/>
        <v/>
      </c>
      <c r="BG759" s="67" t="str">
        <f t="shared" si="69"/>
        <v/>
      </c>
    </row>
    <row r="760" spans="1:59">
      <c r="A760" s="55"/>
      <c r="B760" s="56"/>
      <c r="C760" s="56"/>
      <c r="D760" s="56"/>
      <c r="E760" s="56"/>
      <c r="F760" s="56"/>
      <c r="G760" s="56"/>
      <c r="H760" s="56"/>
      <c r="I760" s="6"/>
      <c r="J760" s="6"/>
      <c r="K760" s="57"/>
      <c r="L760" s="57"/>
      <c r="M760" s="57"/>
      <c r="N760" s="56"/>
      <c r="O760" s="56"/>
      <c r="P760" s="56"/>
      <c r="Q760" s="56"/>
      <c r="R760" s="56"/>
      <c r="S760" s="56"/>
      <c r="T760" s="56"/>
      <c r="U760" s="56"/>
      <c r="V760" s="56"/>
      <c r="W760" s="56"/>
      <c r="X760" s="56"/>
      <c r="Y760" s="56"/>
      <c r="Z760" s="56"/>
      <c r="AA760" s="56"/>
      <c r="AB760" s="56"/>
      <c r="AC760" s="56"/>
      <c r="AD760" s="56"/>
      <c r="AE760" s="56"/>
      <c r="AF760" s="56"/>
      <c r="AG760" s="56"/>
      <c r="AH760" s="56"/>
      <c r="AI760" s="58"/>
      <c r="AJ760" s="56"/>
      <c r="AK760" s="56"/>
      <c r="AL760" s="56"/>
      <c r="AM760" s="57"/>
      <c r="AN760" s="57"/>
      <c r="AO760" s="56"/>
      <c r="AP760" s="56"/>
      <c r="AQ760" s="57"/>
      <c r="AR760" s="57"/>
      <c r="AS760" s="57"/>
      <c r="AT760" s="67">
        <f t="shared" ca="1" si="70"/>
        <v>0</v>
      </c>
      <c r="AU760" s="79" t="str">
        <f t="shared" ca="1" si="71"/>
        <v/>
      </c>
      <c r="AV760" s="79" t="str" cm="1">
        <f t="array" aca="1" ref="AV760" ca="1">IFERROR(_xlfn.IFS($AU760="","",$AU760&lt;=15,"0-15",AND($AU760&gt;=16,$AU760&lt;=30),"16-30",AND($AU760&gt;=31,$AU760&lt;=45),"31-45",AND($AU760&gt;=46,$AU760&lt;=60),"46-60",AND($AU760&gt;=61,$AU760&lt;=90),"61-90",AND($AU760&gt;=91),"&gt; 90",AND($AU760&gt;=2000),""),"")</f>
        <v/>
      </c>
      <c r="AW760" s="79" t="str" cm="1">
        <f t="array" aca="1" ref="AW760" ca="1">IFERROR(_xlfn.IFS(OR($M760="",$AM760=""),"",OR($C760="Offered",$C760="Joined"),($AM760-$M760)-$AT760),"")</f>
        <v/>
      </c>
      <c r="AX760" s="79" t="str" cm="1">
        <f t="array" aca="1" ref="AX760" ca="1">IFERROR(_xlfn.IFS(OR($M760="",$AS760=""),"",$C760="Joined",($AS760-$M760)-$AT760),"")</f>
        <v/>
      </c>
      <c r="AY760" s="67" t="str">
        <f>IFERROR(IF(COUNTIFS('Candidate Tracker'!$E:$E,'Positions Tracker'!$B760,'Candidate Tracker'!$C:$C,"Offer Drop")=0,"",COUNTIFS('Candidate Tracker'!$E:$E,'Positions Tracker'!$B760,'Candidate Tracker'!$C:$C,"Offer Drop")),"")</f>
        <v/>
      </c>
      <c r="AZ760" s="80">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0.88111888111888115</v>
      </c>
      <c r="BA760" s="81" t="str">
        <f>IFERROR(IF(COUNTIFS('Candidate Tracker'!$E:$E,'Positions Tracker'!$B760,'Candidate Tracker'!$I:$I,"Female")=0,"",COUNTIFS('Candidate Tracker'!$E:$E,'Positions Tracker'!$B760,'Candidate Tracker'!$I:$I,"Female")),"")</f>
        <v/>
      </c>
      <c r="BB760" s="81" t="str">
        <f>IFERROR(IF(COUNTIFS('Candidate Tracker'!$E:$E,'Positions Tracker'!$B760,'Candidate Tracker'!$I:$I,"male")=0,"",COUNTIFS('Candidate Tracker'!$E:$E,'Positions Tracker'!$B760,'Candidate Tracker'!$I:$I,"male")),"")</f>
        <v/>
      </c>
      <c r="BC760" s="80" t="str">
        <f>IFERROR(IF(COUNTIFS('Candidate Tracker'!$E:$E,'Positions Tracker'!$B760,'Candidate Tracker'!$C:$C,"&lt;&gt;WIP",'Candidate Tracker'!$C:$C,"&lt;&gt;Hold",'Candidate Tracker'!$C:$C,"&lt;&gt;Cancelled",'Candidate Tracker'!$C:$C,"&lt;&gt;Closed")/COUNTIFS('Candidate Tracker'!$E:$E,'Positions Tracker'!$B760)=0,"",COUNTIFS('Candidate Tracker'!$E:$E,'Positions Tracker'!$B760,'Candidate Tracker'!$C:$C,"&lt;&gt;WIP",'Candidate Tracker'!$C:$C,"&lt;&gt;Hold",'Candidate Tracker'!$C:$C,"&lt;&gt;Cancelled",'Candidate Tracker'!$C:$C,"&lt;&gt;Closed")/COUNTIFS('Candidate Tracker'!$E:$E,'Positions Tracker'!$B760)),"")</f>
        <v/>
      </c>
      <c r="BD760" s="67" t="str">
        <f t="shared" si="66"/>
        <v/>
      </c>
      <c r="BE760" s="67" t="str">
        <f t="shared" si="67"/>
        <v/>
      </c>
      <c r="BF760" s="67" t="str">
        <f t="shared" si="68"/>
        <v/>
      </c>
      <c r="BG760" s="67" t="str">
        <f t="shared" si="69"/>
        <v/>
      </c>
    </row>
    <row r="761" spans="1:59">
      <c r="A761" s="55"/>
      <c r="B761" s="56"/>
      <c r="C761" s="56"/>
      <c r="D761" s="56"/>
      <c r="E761" s="56"/>
      <c r="F761" s="56"/>
      <c r="G761" s="56"/>
      <c r="H761" s="56"/>
      <c r="I761" s="6"/>
      <c r="J761" s="6"/>
      <c r="K761" s="57"/>
      <c r="L761" s="57"/>
      <c r="M761" s="57"/>
      <c r="N761" s="56"/>
      <c r="O761" s="56"/>
      <c r="P761" s="56"/>
      <c r="Q761" s="56"/>
      <c r="R761" s="56"/>
      <c r="S761" s="56"/>
      <c r="T761" s="56"/>
      <c r="U761" s="56"/>
      <c r="V761" s="56"/>
      <c r="W761" s="56"/>
      <c r="X761" s="56"/>
      <c r="Y761" s="56"/>
      <c r="Z761" s="56"/>
      <c r="AA761" s="56"/>
      <c r="AB761" s="56"/>
      <c r="AC761" s="56"/>
      <c r="AD761" s="56"/>
      <c r="AE761" s="56"/>
      <c r="AF761" s="56"/>
      <c r="AG761" s="56"/>
      <c r="AH761" s="56"/>
      <c r="AI761" s="58"/>
      <c r="AJ761" s="56"/>
      <c r="AK761" s="56"/>
      <c r="AL761" s="56"/>
      <c r="AM761" s="57"/>
      <c r="AN761" s="57"/>
      <c r="AO761" s="56"/>
      <c r="AP761" s="56"/>
      <c r="AQ761" s="57"/>
      <c r="AR761" s="57"/>
      <c r="AS761" s="57"/>
      <c r="AT761" s="67">
        <f t="shared" ca="1" si="70"/>
        <v>0</v>
      </c>
      <c r="AU761" s="79" t="str">
        <f t="shared" ca="1" si="71"/>
        <v/>
      </c>
      <c r="AV761" s="79" t="str" cm="1">
        <f t="array" aca="1" ref="AV761" ca="1">IFERROR(_xlfn.IFS($AU761="","",$AU761&lt;=15,"0-15",AND($AU761&gt;=16,$AU761&lt;=30),"16-30",AND($AU761&gt;=31,$AU761&lt;=45),"31-45",AND($AU761&gt;=46,$AU761&lt;=60),"46-60",AND($AU761&gt;=61,$AU761&lt;=90),"61-90",AND($AU761&gt;=91),"&gt; 90",AND($AU761&gt;=2000),""),"")</f>
        <v/>
      </c>
      <c r="AW761" s="79" t="str" cm="1">
        <f t="array" aca="1" ref="AW761" ca="1">IFERROR(_xlfn.IFS(OR($M761="",$AM761=""),"",OR($C761="Offered",$C761="Joined"),($AM761-$M761)-$AT761),"")</f>
        <v/>
      </c>
      <c r="AX761" s="79" t="str" cm="1">
        <f t="array" aca="1" ref="AX761" ca="1">IFERROR(_xlfn.IFS(OR($M761="",$AS761=""),"",$C761="Joined",($AS761-$M761)-$AT761),"")</f>
        <v/>
      </c>
      <c r="AY761" s="67" t="str">
        <f>IFERROR(IF(COUNTIFS('Candidate Tracker'!$E:$E,'Positions Tracker'!$B761,'Candidate Tracker'!$C:$C,"Offer Drop")=0,"",COUNTIFS('Candidate Tracker'!$E:$E,'Positions Tracker'!$B761,'Candidate Tracker'!$C:$C,"Offer Drop")),"")</f>
        <v/>
      </c>
      <c r="AZ761" s="80">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0.88111888111888115</v>
      </c>
      <c r="BA761" s="81" t="str">
        <f>IFERROR(IF(COUNTIFS('Candidate Tracker'!$E:$E,'Positions Tracker'!$B761,'Candidate Tracker'!$I:$I,"Female")=0,"",COUNTIFS('Candidate Tracker'!$E:$E,'Positions Tracker'!$B761,'Candidate Tracker'!$I:$I,"Female")),"")</f>
        <v/>
      </c>
      <c r="BB761" s="81" t="str">
        <f>IFERROR(IF(COUNTIFS('Candidate Tracker'!$E:$E,'Positions Tracker'!$B761,'Candidate Tracker'!$I:$I,"male")=0,"",COUNTIFS('Candidate Tracker'!$E:$E,'Positions Tracker'!$B761,'Candidate Tracker'!$I:$I,"male")),"")</f>
        <v/>
      </c>
      <c r="BC761" s="80" t="str">
        <f>IFERROR(IF(COUNTIFS('Candidate Tracker'!$E:$E,'Positions Tracker'!$B761,'Candidate Tracker'!$C:$C,"&lt;&gt;WIP",'Candidate Tracker'!$C:$C,"&lt;&gt;Hold",'Candidate Tracker'!$C:$C,"&lt;&gt;Cancelled",'Candidate Tracker'!$C:$C,"&lt;&gt;Closed")/COUNTIFS('Candidate Tracker'!$E:$E,'Positions Tracker'!$B761)=0,"",COUNTIFS('Candidate Tracker'!$E:$E,'Positions Tracker'!$B761,'Candidate Tracker'!$C:$C,"&lt;&gt;WIP",'Candidate Tracker'!$C:$C,"&lt;&gt;Hold",'Candidate Tracker'!$C:$C,"&lt;&gt;Cancelled",'Candidate Tracker'!$C:$C,"&lt;&gt;Closed")/COUNTIFS('Candidate Tracker'!$E:$E,'Positions Tracker'!$B761)),"")</f>
        <v/>
      </c>
      <c r="BD761" s="67" t="str">
        <f t="shared" si="66"/>
        <v/>
      </c>
      <c r="BE761" s="67" t="str">
        <f t="shared" si="67"/>
        <v/>
      </c>
      <c r="BF761" s="67" t="str">
        <f t="shared" si="68"/>
        <v/>
      </c>
      <c r="BG761" s="67" t="str">
        <f t="shared" si="69"/>
        <v/>
      </c>
    </row>
    <row r="762" spans="1:59">
      <c r="A762" s="55"/>
      <c r="B762" s="56"/>
      <c r="C762" s="56"/>
      <c r="D762" s="56"/>
      <c r="E762" s="56"/>
      <c r="F762" s="56"/>
      <c r="G762" s="56"/>
      <c r="H762" s="56"/>
      <c r="I762" s="6"/>
      <c r="J762" s="6"/>
      <c r="K762" s="57"/>
      <c r="L762" s="57"/>
      <c r="M762" s="57"/>
      <c r="N762" s="56"/>
      <c r="O762" s="56"/>
      <c r="P762" s="56"/>
      <c r="Q762" s="56"/>
      <c r="R762" s="56"/>
      <c r="S762" s="56"/>
      <c r="T762" s="56"/>
      <c r="U762" s="56"/>
      <c r="V762" s="56"/>
      <c r="W762" s="56"/>
      <c r="X762" s="56"/>
      <c r="Y762" s="56"/>
      <c r="Z762" s="56"/>
      <c r="AA762" s="56"/>
      <c r="AB762" s="56"/>
      <c r="AC762" s="56"/>
      <c r="AD762" s="56"/>
      <c r="AE762" s="56"/>
      <c r="AF762" s="56"/>
      <c r="AG762" s="56"/>
      <c r="AH762" s="56"/>
      <c r="AI762" s="58"/>
      <c r="AJ762" s="56"/>
      <c r="AK762" s="56"/>
      <c r="AL762" s="56"/>
      <c r="AM762" s="57"/>
      <c r="AN762" s="57"/>
      <c r="AO762" s="56"/>
      <c r="AP762" s="56"/>
      <c r="AQ762" s="57"/>
      <c r="AR762" s="57"/>
      <c r="AS762" s="57"/>
      <c r="AT762" s="67">
        <f t="shared" ca="1" si="70"/>
        <v>0</v>
      </c>
      <c r="AU762" s="79" t="str">
        <f t="shared" ca="1" si="71"/>
        <v/>
      </c>
      <c r="AV762" s="79" t="str" cm="1">
        <f t="array" aca="1" ref="AV762" ca="1">IFERROR(_xlfn.IFS($AU762="","",$AU762&lt;=15,"0-15",AND($AU762&gt;=16,$AU762&lt;=30),"16-30",AND($AU762&gt;=31,$AU762&lt;=45),"31-45",AND($AU762&gt;=46,$AU762&lt;=60),"46-60",AND($AU762&gt;=61,$AU762&lt;=90),"61-90",AND($AU762&gt;=91),"&gt; 90",AND($AU762&gt;=2000),""),"")</f>
        <v/>
      </c>
      <c r="AW762" s="79" t="str" cm="1">
        <f t="array" aca="1" ref="AW762" ca="1">IFERROR(_xlfn.IFS(OR($M762="",$AM762=""),"",OR($C762="Offered",$C762="Joined"),($AM762-$M762)-$AT762),"")</f>
        <v/>
      </c>
      <c r="AX762" s="79" t="str" cm="1">
        <f t="array" aca="1" ref="AX762" ca="1">IFERROR(_xlfn.IFS(OR($M762="",$AS762=""),"",$C762="Joined",($AS762-$M762)-$AT762),"")</f>
        <v/>
      </c>
      <c r="AY762" s="67" t="str">
        <f>IFERROR(IF(COUNTIFS('Candidate Tracker'!$E:$E,'Positions Tracker'!$B762,'Candidate Tracker'!$C:$C,"Offer Drop")=0,"",COUNTIFS('Candidate Tracker'!$E:$E,'Positions Tracker'!$B762,'Candidate Tracker'!$C:$C,"Offer Drop")),"")</f>
        <v/>
      </c>
      <c r="AZ762" s="80">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0.88111888111888115</v>
      </c>
      <c r="BA762" s="81" t="str">
        <f>IFERROR(IF(COUNTIFS('Candidate Tracker'!$E:$E,'Positions Tracker'!$B762,'Candidate Tracker'!$I:$I,"Female")=0,"",COUNTIFS('Candidate Tracker'!$E:$E,'Positions Tracker'!$B762,'Candidate Tracker'!$I:$I,"Female")),"")</f>
        <v/>
      </c>
      <c r="BB762" s="81" t="str">
        <f>IFERROR(IF(COUNTIFS('Candidate Tracker'!$E:$E,'Positions Tracker'!$B762,'Candidate Tracker'!$I:$I,"male")=0,"",COUNTIFS('Candidate Tracker'!$E:$E,'Positions Tracker'!$B762,'Candidate Tracker'!$I:$I,"male")),"")</f>
        <v/>
      </c>
      <c r="BC762" s="80" t="str">
        <f>IFERROR(IF(COUNTIFS('Candidate Tracker'!$E:$E,'Positions Tracker'!$B762,'Candidate Tracker'!$C:$C,"&lt;&gt;WIP",'Candidate Tracker'!$C:$C,"&lt;&gt;Hold",'Candidate Tracker'!$C:$C,"&lt;&gt;Cancelled",'Candidate Tracker'!$C:$C,"&lt;&gt;Closed")/COUNTIFS('Candidate Tracker'!$E:$E,'Positions Tracker'!$B762)=0,"",COUNTIFS('Candidate Tracker'!$E:$E,'Positions Tracker'!$B762,'Candidate Tracker'!$C:$C,"&lt;&gt;WIP",'Candidate Tracker'!$C:$C,"&lt;&gt;Hold",'Candidate Tracker'!$C:$C,"&lt;&gt;Cancelled",'Candidate Tracker'!$C:$C,"&lt;&gt;Closed")/COUNTIFS('Candidate Tracker'!$E:$E,'Positions Tracker'!$B762)),"")</f>
        <v/>
      </c>
      <c r="BD762" s="67" t="str">
        <f t="shared" si="66"/>
        <v/>
      </c>
      <c r="BE762" s="67" t="str">
        <f t="shared" si="67"/>
        <v/>
      </c>
      <c r="BF762" s="67" t="str">
        <f t="shared" si="68"/>
        <v/>
      </c>
      <c r="BG762" s="67" t="str">
        <f t="shared" si="69"/>
        <v/>
      </c>
    </row>
    <row r="763" spans="1:59">
      <c r="A763" s="55"/>
      <c r="B763" s="56"/>
      <c r="C763" s="56"/>
      <c r="D763" s="56"/>
      <c r="E763" s="56"/>
      <c r="F763" s="56"/>
      <c r="G763" s="56"/>
      <c r="H763" s="56"/>
      <c r="I763" s="6"/>
      <c r="J763" s="6"/>
      <c r="K763" s="57"/>
      <c r="L763" s="57"/>
      <c r="M763" s="57"/>
      <c r="N763" s="56"/>
      <c r="O763" s="56"/>
      <c r="P763" s="56"/>
      <c r="Q763" s="56"/>
      <c r="R763" s="56"/>
      <c r="S763" s="56"/>
      <c r="T763" s="56"/>
      <c r="U763" s="56"/>
      <c r="V763" s="56"/>
      <c r="W763" s="56"/>
      <c r="X763" s="56"/>
      <c r="Y763" s="56"/>
      <c r="Z763" s="56"/>
      <c r="AA763" s="56"/>
      <c r="AB763" s="56"/>
      <c r="AC763" s="56"/>
      <c r="AD763" s="56"/>
      <c r="AE763" s="56"/>
      <c r="AF763" s="56"/>
      <c r="AG763" s="56"/>
      <c r="AH763" s="56"/>
      <c r="AI763" s="58"/>
      <c r="AJ763" s="56"/>
      <c r="AK763" s="56"/>
      <c r="AL763" s="56"/>
      <c r="AM763" s="57"/>
      <c r="AN763" s="57"/>
      <c r="AO763" s="56"/>
      <c r="AP763" s="56"/>
      <c r="AQ763" s="57"/>
      <c r="AR763" s="57"/>
      <c r="AS763" s="57"/>
      <c r="AT763" s="67">
        <f t="shared" ca="1" si="70"/>
        <v>0</v>
      </c>
      <c r="AU763" s="79" t="str">
        <f t="shared" ca="1" si="71"/>
        <v/>
      </c>
      <c r="AV763" s="79" t="str" cm="1">
        <f t="array" aca="1" ref="AV763" ca="1">IFERROR(_xlfn.IFS($AU763="","",$AU763&lt;=15,"0-15",AND($AU763&gt;=16,$AU763&lt;=30),"16-30",AND($AU763&gt;=31,$AU763&lt;=45),"31-45",AND($AU763&gt;=46,$AU763&lt;=60),"46-60",AND($AU763&gt;=61,$AU763&lt;=90),"61-90",AND($AU763&gt;=91),"&gt; 90",AND($AU763&gt;=2000),""),"")</f>
        <v/>
      </c>
      <c r="AW763" s="79" t="str" cm="1">
        <f t="array" aca="1" ref="AW763" ca="1">IFERROR(_xlfn.IFS(OR($M763="",$AM763=""),"",OR($C763="Offered",$C763="Joined"),($AM763-$M763)-$AT763),"")</f>
        <v/>
      </c>
      <c r="AX763" s="79" t="str" cm="1">
        <f t="array" aca="1" ref="AX763" ca="1">IFERROR(_xlfn.IFS(OR($M763="",$AS763=""),"",$C763="Joined",($AS763-$M763)-$AT763),"")</f>
        <v/>
      </c>
      <c r="AY763" s="67" t="str">
        <f>IFERROR(IF(COUNTIFS('Candidate Tracker'!$E:$E,'Positions Tracker'!$B763,'Candidate Tracker'!$C:$C,"Offer Drop")=0,"",COUNTIFS('Candidate Tracker'!$E:$E,'Positions Tracker'!$B763,'Candidate Tracker'!$C:$C,"Offer Drop")),"")</f>
        <v/>
      </c>
      <c r="AZ763" s="80">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0.88111888111888115</v>
      </c>
      <c r="BA763" s="81" t="str">
        <f>IFERROR(IF(COUNTIFS('Candidate Tracker'!$E:$E,'Positions Tracker'!$B763,'Candidate Tracker'!$I:$I,"Female")=0,"",COUNTIFS('Candidate Tracker'!$E:$E,'Positions Tracker'!$B763,'Candidate Tracker'!$I:$I,"Female")),"")</f>
        <v/>
      </c>
      <c r="BB763" s="81" t="str">
        <f>IFERROR(IF(COUNTIFS('Candidate Tracker'!$E:$E,'Positions Tracker'!$B763,'Candidate Tracker'!$I:$I,"male")=0,"",COUNTIFS('Candidate Tracker'!$E:$E,'Positions Tracker'!$B763,'Candidate Tracker'!$I:$I,"male")),"")</f>
        <v/>
      </c>
      <c r="BC763" s="80" t="str">
        <f>IFERROR(IF(COUNTIFS('Candidate Tracker'!$E:$E,'Positions Tracker'!$B763,'Candidate Tracker'!$C:$C,"&lt;&gt;WIP",'Candidate Tracker'!$C:$C,"&lt;&gt;Hold",'Candidate Tracker'!$C:$C,"&lt;&gt;Cancelled",'Candidate Tracker'!$C:$C,"&lt;&gt;Closed")/COUNTIFS('Candidate Tracker'!$E:$E,'Positions Tracker'!$B763)=0,"",COUNTIFS('Candidate Tracker'!$E:$E,'Positions Tracker'!$B763,'Candidate Tracker'!$C:$C,"&lt;&gt;WIP",'Candidate Tracker'!$C:$C,"&lt;&gt;Hold",'Candidate Tracker'!$C:$C,"&lt;&gt;Cancelled",'Candidate Tracker'!$C:$C,"&lt;&gt;Closed")/COUNTIFS('Candidate Tracker'!$E:$E,'Positions Tracker'!$B763)),"")</f>
        <v/>
      </c>
      <c r="BD763" s="67" t="str">
        <f t="shared" si="66"/>
        <v/>
      </c>
      <c r="BE763" s="67" t="str">
        <f t="shared" si="67"/>
        <v/>
      </c>
      <c r="BF763" s="67" t="str">
        <f t="shared" si="68"/>
        <v/>
      </c>
      <c r="BG763" s="67" t="str">
        <f t="shared" si="69"/>
        <v/>
      </c>
    </row>
    <row r="764" spans="1:59">
      <c r="A764" s="55"/>
      <c r="B764" s="56"/>
      <c r="C764" s="56"/>
      <c r="D764" s="56"/>
      <c r="E764" s="56"/>
      <c r="F764" s="56"/>
      <c r="G764" s="56"/>
      <c r="H764" s="56"/>
      <c r="I764" s="6"/>
      <c r="J764" s="6"/>
      <c r="K764" s="57"/>
      <c r="L764" s="57"/>
      <c r="M764" s="57"/>
      <c r="N764" s="56"/>
      <c r="O764" s="56"/>
      <c r="P764" s="56"/>
      <c r="Q764" s="56"/>
      <c r="R764" s="56"/>
      <c r="S764" s="56"/>
      <c r="T764" s="56"/>
      <c r="U764" s="56"/>
      <c r="V764" s="56"/>
      <c r="W764" s="56"/>
      <c r="X764" s="56"/>
      <c r="Y764" s="56"/>
      <c r="Z764" s="56"/>
      <c r="AA764" s="56"/>
      <c r="AB764" s="56"/>
      <c r="AC764" s="56"/>
      <c r="AD764" s="56"/>
      <c r="AE764" s="56"/>
      <c r="AF764" s="56"/>
      <c r="AG764" s="56"/>
      <c r="AH764" s="56"/>
      <c r="AI764" s="58"/>
      <c r="AJ764" s="56"/>
      <c r="AK764" s="56"/>
      <c r="AL764" s="56"/>
      <c r="AM764" s="57"/>
      <c r="AN764" s="57"/>
      <c r="AO764" s="56"/>
      <c r="AP764" s="56"/>
      <c r="AQ764" s="57"/>
      <c r="AR764" s="57"/>
      <c r="AS764" s="57"/>
      <c r="AT764" s="67">
        <f t="shared" ca="1" si="70"/>
        <v>0</v>
      </c>
      <c r="AU764" s="79" t="str">
        <f t="shared" ca="1" si="71"/>
        <v/>
      </c>
      <c r="AV764" s="79" t="str" cm="1">
        <f t="array" aca="1" ref="AV764" ca="1">IFERROR(_xlfn.IFS($AU764="","",$AU764&lt;=15,"0-15",AND($AU764&gt;=16,$AU764&lt;=30),"16-30",AND($AU764&gt;=31,$AU764&lt;=45),"31-45",AND($AU764&gt;=46,$AU764&lt;=60),"46-60",AND($AU764&gt;=61,$AU764&lt;=90),"61-90",AND($AU764&gt;=91),"&gt; 90",AND($AU764&gt;=2000),""),"")</f>
        <v/>
      </c>
      <c r="AW764" s="79" t="str" cm="1">
        <f t="array" aca="1" ref="AW764" ca="1">IFERROR(_xlfn.IFS(OR($M764="",$AM764=""),"",OR($C764="Offered",$C764="Joined"),($AM764-$M764)-$AT764),"")</f>
        <v/>
      </c>
      <c r="AX764" s="79" t="str" cm="1">
        <f t="array" aca="1" ref="AX764" ca="1">IFERROR(_xlfn.IFS(OR($M764="",$AS764=""),"",$C764="Joined",($AS764-$M764)-$AT764),"")</f>
        <v/>
      </c>
      <c r="AY764" s="67" t="str">
        <f>IFERROR(IF(COUNTIFS('Candidate Tracker'!$E:$E,'Positions Tracker'!$B764,'Candidate Tracker'!$C:$C,"Offer Drop")=0,"",COUNTIFS('Candidate Tracker'!$E:$E,'Positions Tracker'!$B764,'Candidate Tracker'!$C:$C,"Offer Drop")),"")</f>
        <v/>
      </c>
      <c r="AZ764" s="80">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0.88111888111888115</v>
      </c>
      <c r="BA764" s="81" t="str">
        <f>IFERROR(IF(COUNTIFS('Candidate Tracker'!$E:$E,'Positions Tracker'!$B764,'Candidate Tracker'!$I:$I,"Female")=0,"",COUNTIFS('Candidate Tracker'!$E:$E,'Positions Tracker'!$B764,'Candidate Tracker'!$I:$I,"Female")),"")</f>
        <v/>
      </c>
      <c r="BB764" s="81" t="str">
        <f>IFERROR(IF(COUNTIFS('Candidate Tracker'!$E:$E,'Positions Tracker'!$B764,'Candidate Tracker'!$I:$I,"male")=0,"",COUNTIFS('Candidate Tracker'!$E:$E,'Positions Tracker'!$B764,'Candidate Tracker'!$I:$I,"male")),"")</f>
        <v/>
      </c>
      <c r="BC764" s="80" t="str">
        <f>IFERROR(IF(COUNTIFS('Candidate Tracker'!$E:$E,'Positions Tracker'!$B764,'Candidate Tracker'!$C:$C,"&lt;&gt;WIP",'Candidate Tracker'!$C:$C,"&lt;&gt;Hold",'Candidate Tracker'!$C:$C,"&lt;&gt;Cancelled",'Candidate Tracker'!$C:$C,"&lt;&gt;Closed")/COUNTIFS('Candidate Tracker'!$E:$E,'Positions Tracker'!$B764)=0,"",COUNTIFS('Candidate Tracker'!$E:$E,'Positions Tracker'!$B764,'Candidate Tracker'!$C:$C,"&lt;&gt;WIP",'Candidate Tracker'!$C:$C,"&lt;&gt;Hold",'Candidate Tracker'!$C:$C,"&lt;&gt;Cancelled",'Candidate Tracker'!$C:$C,"&lt;&gt;Closed")/COUNTIFS('Candidate Tracker'!$E:$E,'Positions Tracker'!$B764)),"")</f>
        <v/>
      </c>
      <c r="BD764" s="67" t="str">
        <f t="shared" si="66"/>
        <v/>
      </c>
      <c r="BE764" s="67" t="str">
        <f t="shared" si="67"/>
        <v/>
      </c>
      <c r="BF764" s="67" t="str">
        <f t="shared" si="68"/>
        <v/>
      </c>
      <c r="BG764" s="67" t="str">
        <f t="shared" si="69"/>
        <v/>
      </c>
    </row>
    <row r="765" spans="1:59">
      <c r="A765" s="55"/>
      <c r="B765" s="56"/>
      <c r="C765" s="56"/>
      <c r="D765" s="56"/>
      <c r="E765" s="56"/>
      <c r="F765" s="56"/>
      <c r="G765" s="56"/>
      <c r="H765" s="56"/>
      <c r="I765" s="6"/>
      <c r="J765" s="6"/>
      <c r="K765" s="57"/>
      <c r="L765" s="57"/>
      <c r="M765" s="57"/>
      <c r="N765" s="56"/>
      <c r="O765" s="56"/>
      <c r="P765" s="56"/>
      <c r="Q765" s="56"/>
      <c r="R765" s="56"/>
      <c r="S765" s="56"/>
      <c r="T765" s="56"/>
      <c r="U765" s="56"/>
      <c r="V765" s="56"/>
      <c r="W765" s="56"/>
      <c r="X765" s="56"/>
      <c r="Y765" s="56"/>
      <c r="Z765" s="56"/>
      <c r="AA765" s="56"/>
      <c r="AB765" s="56"/>
      <c r="AC765" s="56"/>
      <c r="AD765" s="56"/>
      <c r="AE765" s="56"/>
      <c r="AF765" s="56"/>
      <c r="AG765" s="56"/>
      <c r="AH765" s="56"/>
      <c r="AI765" s="58"/>
      <c r="AJ765" s="56"/>
      <c r="AK765" s="56"/>
      <c r="AL765" s="56"/>
      <c r="AM765" s="57"/>
      <c r="AN765" s="57"/>
      <c r="AO765" s="56"/>
      <c r="AP765" s="56"/>
      <c r="AQ765" s="57"/>
      <c r="AR765" s="57"/>
      <c r="AS765" s="57"/>
      <c r="AT765" s="67">
        <f t="shared" ca="1" si="70"/>
        <v>0</v>
      </c>
      <c r="AU765" s="79" t="str">
        <f t="shared" ca="1" si="71"/>
        <v/>
      </c>
      <c r="AV765" s="79" t="str" cm="1">
        <f t="array" aca="1" ref="AV765" ca="1">IFERROR(_xlfn.IFS($AU765="","",$AU765&lt;=15,"0-15",AND($AU765&gt;=16,$AU765&lt;=30),"16-30",AND($AU765&gt;=31,$AU765&lt;=45),"31-45",AND($AU765&gt;=46,$AU765&lt;=60),"46-60",AND($AU765&gt;=61,$AU765&lt;=90),"61-90",AND($AU765&gt;=91),"&gt; 90",AND($AU765&gt;=2000),""),"")</f>
        <v/>
      </c>
      <c r="AW765" s="79" t="str" cm="1">
        <f t="array" aca="1" ref="AW765" ca="1">IFERROR(_xlfn.IFS(OR($M765="",$AM765=""),"",OR($C765="Offered",$C765="Joined"),($AM765-$M765)-$AT765),"")</f>
        <v/>
      </c>
      <c r="AX765" s="79" t="str" cm="1">
        <f t="array" aca="1" ref="AX765" ca="1">IFERROR(_xlfn.IFS(OR($M765="",$AS765=""),"",$C765="Joined",($AS765-$M765)-$AT765),"")</f>
        <v/>
      </c>
      <c r="AY765" s="67" t="str">
        <f>IFERROR(IF(COUNTIFS('Candidate Tracker'!$E:$E,'Positions Tracker'!$B765,'Candidate Tracker'!$C:$C,"Offer Drop")=0,"",COUNTIFS('Candidate Tracker'!$E:$E,'Positions Tracker'!$B765,'Candidate Tracker'!$C:$C,"Offer Drop")),"")</f>
        <v/>
      </c>
      <c r="AZ765" s="80">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0.88111888111888115</v>
      </c>
      <c r="BA765" s="81" t="str">
        <f>IFERROR(IF(COUNTIFS('Candidate Tracker'!$E:$E,'Positions Tracker'!$B765,'Candidate Tracker'!$I:$I,"Female")=0,"",COUNTIFS('Candidate Tracker'!$E:$E,'Positions Tracker'!$B765,'Candidate Tracker'!$I:$I,"Female")),"")</f>
        <v/>
      </c>
      <c r="BB765" s="81" t="str">
        <f>IFERROR(IF(COUNTIFS('Candidate Tracker'!$E:$E,'Positions Tracker'!$B765,'Candidate Tracker'!$I:$I,"male")=0,"",COUNTIFS('Candidate Tracker'!$E:$E,'Positions Tracker'!$B765,'Candidate Tracker'!$I:$I,"male")),"")</f>
        <v/>
      </c>
      <c r="BC765" s="80" t="str">
        <f>IFERROR(IF(COUNTIFS('Candidate Tracker'!$E:$E,'Positions Tracker'!$B765,'Candidate Tracker'!$C:$C,"&lt;&gt;WIP",'Candidate Tracker'!$C:$C,"&lt;&gt;Hold",'Candidate Tracker'!$C:$C,"&lt;&gt;Cancelled",'Candidate Tracker'!$C:$C,"&lt;&gt;Closed")/COUNTIFS('Candidate Tracker'!$E:$E,'Positions Tracker'!$B765)=0,"",COUNTIFS('Candidate Tracker'!$E:$E,'Positions Tracker'!$B765,'Candidate Tracker'!$C:$C,"&lt;&gt;WIP",'Candidate Tracker'!$C:$C,"&lt;&gt;Hold",'Candidate Tracker'!$C:$C,"&lt;&gt;Cancelled",'Candidate Tracker'!$C:$C,"&lt;&gt;Closed")/COUNTIFS('Candidate Tracker'!$E:$E,'Positions Tracker'!$B765)),"")</f>
        <v/>
      </c>
      <c r="BD765" s="67" t="str">
        <f t="shared" si="66"/>
        <v/>
      </c>
      <c r="BE765" s="67" t="str">
        <f t="shared" si="67"/>
        <v/>
      </c>
      <c r="BF765" s="67" t="str">
        <f t="shared" si="68"/>
        <v/>
      </c>
      <c r="BG765" s="67" t="str">
        <f t="shared" si="69"/>
        <v/>
      </c>
    </row>
    <row r="766" spans="1:59">
      <c r="A766" s="55"/>
      <c r="B766" s="56"/>
      <c r="C766" s="56"/>
      <c r="D766" s="56"/>
      <c r="E766" s="56"/>
      <c r="F766" s="56"/>
      <c r="G766" s="56"/>
      <c r="H766" s="56"/>
      <c r="I766" s="6"/>
      <c r="J766" s="6"/>
      <c r="K766" s="57"/>
      <c r="L766" s="57"/>
      <c r="M766" s="57"/>
      <c r="N766" s="56"/>
      <c r="O766" s="56"/>
      <c r="P766" s="56"/>
      <c r="Q766" s="56"/>
      <c r="R766" s="56"/>
      <c r="S766" s="56"/>
      <c r="T766" s="56"/>
      <c r="U766" s="56"/>
      <c r="V766" s="56"/>
      <c r="W766" s="56"/>
      <c r="X766" s="56"/>
      <c r="Y766" s="56"/>
      <c r="Z766" s="56"/>
      <c r="AA766" s="56"/>
      <c r="AB766" s="56"/>
      <c r="AC766" s="56"/>
      <c r="AD766" s="56"/>
      <c r="AE766" s="56"/>
      <c r="AF766" s="56"/>
      <c r="AG766" s="56"/>
      <c r="AH766" s="56"/>
      <c r="AI766" s="58"/>
      <c r="AJ766" s="56"/>
      <c r="AK766" s="56"/>
      <c r="AL766" s="56"/>
      <c r="AM766" s="57"/>
      <c r="AN766" s="57"/>
      <c r="AO766" s="56"/>
      <c r="AP766" s="56"/>
      <c r="AQ766" s="57"/>
      <c r="AR766" s="57"/>
      <c r="AS766" s="57"/>
      <c r="AT766" s="67">
        <f t="shared" ca="1" si="70"/>
        <v>0</v>
      </c>
      <c r="AU766" s="79" t="str">
        <f t="shared" ca="1" si="71"/>
        <v/>
      </c>
      <c r="AV766" s="79" t="str" cm="1">
        <f t="array" aca="1" ref="AV766" ca="1">IFERROR(_xlfn.IFS($AU766="","",$AU766&lt;=15,"0-15",AND($AU766&gt;=16,$AU766&lt;=30),"16-30",AND($AU766&gt;=31,$AU766&lt;=45),"31-45",AND($AU766&gt;=46,$AU766&lt;=60),"46-60",AND($AU766&gt;=61,$AU766&lt;=90),"61-90",AND($AU766&gt;=91),"&gt; 90",AND($AU766&gt;=2000),""),"")</f>
        <v/>
      </c>
      <c r="AW766" s="79" t="str" cm="1">
        <f t="array" aca="1" ref="AW766" ca="1">IFERROR(_xlfn.IFS(OR($M766="",$AM766=""),"",OR($C766="Offered",$C766="Joined"),($AM766-$M766)-$AT766),"")</f>
        <v/>
      </c>
      <c r="AX766" s="79" t="str" cm="1">
        <f t="array" aca="1" ref="AX766" ca="1">IFERROR(_xlfn.IFS(OR($M766="",$AS766=""),"",$C766="Joined",($AS766-$M766)-$AT766),"")</f>
        <v/>
      </c>
      <c r="AY766" s="67" t="str">
        <f>IFERROR(IF(COUNTIFS('Candidate Tracker'!$E:$E,'Positions Tracker'!$B766,'Candidate Tracker'!$C:$C,"Offer Drop")=0,"",COUNTIFS('Candidate Tracker'!$E:$E,'Positions Tracker'!$B766,'Candidate Tracker'!$C:$C,"Offer Drop")),"")</f>
        <v/>
      </c>
      <c r="AZ766" s="80">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0.88111888111888115</v>
      </c>
      <c r="BA766" s="81" t="str">
        <f>IFERROR(IF(COUNTIFS('Candidate Tracker'!$E:$E,'Positions Tracker'!$B766,'Candidate Tracker'!$I:$I,"Female")=0,"",COUNTIFS('Candidate Tracker'!$E:$E,'Positions Tracker'!$B766,'Candidate Tracker'!$I:$I,"Female")),"")</f>
        <v/>
      </c>
      <c r="BB766" s="81" t="str">
        <f>IFERROR(IF(COUNTIFS('Candidate Tracker'!$E:$E,'Positions Tracker'!$B766,'Candidate Tracker'!$I:$I,"male")=0,"",COUNTIFS('Candidate Tracker'!$E:$E,'Positions Tracker'!$B766,'Candidate Tracker'!$I:$I,"male")),"")</f>
        <v/>
      </c>
      <c r="BC766" s="80" t="str">
        <f>IFERROR(IF(COUNTIFS('Candidate Tracker'!$E:$E,'Positions Tracker'!$B766,'Candidate Tracker'!$C:$C,"&lt;&gt;WIP",'Candidate Tracker'!$C:$C,"&lt;&gt;Hold",'Candidate Tracker'!$C:$C,"&lt;&gt;Cancelled",'Candidate Tracker'!$C:$C,"&lt;&gt;Closed")/COUNTIFS('Candidate Tracker'!$E:$E,'Positions Tracker'!$B766)=0,"",COUNTIFS('Candidate Tracker'!$E:$E,'Positions Tracker'!$B766,'Candidate Tracker'!$C:$C,"&lt;&gt;WIP",'Candidate Tracker'!$C:$C,"&lt;&gt;Hold",'Candidate Tracker'!$C:$C,"&lt;&gt;Cancelled",'Candidate Tracker'!$C:$C,"&lt;&gt;Closed")/COUNTIFS('Candidate Tracker'!$E:$E,'Positions Tracker'!$B766)),"")</f>
        <v/>
      </c>
      <c r="BD766" s="67" t="str">
        <f t="shared" si="66"/>
        <v/>
      </c>
      <c r="BE766" s="67" t="str">
        <f t="shared" si="67"/>
        <v/>
      </c>
      <c r="BF766" s="67" t="str">
        <f t="shared" si="68"/>
        <v/>
      </c>
      <c r="BG766" s="67" t="str">
        <f t="shared" si="69"/>
        <v/>
      </c>
    </row>
    <row r="767" spans="1:59">
      <c r="A767" s="55"/>
      <c r="B767" s="56"/>
      <c r="C767" s="56"/>
      <c r="D767" s="56"/>
      <c r="E767" s="56"/>
      <c r="F767" s="56"/>
      <c r="G767" s="56"/>
      <c r="H767" s="56"/>
      <c r="I767" s="6"/>
      <c r="J767" s="6"/>
      <c r="K767" s="57"/>
      <c r="L767" s="57"/>
      <c r="M767" s="57"/>
      <c r="N767" s="56"/>
      <c r="O767" s="56"/>
      <c r="P767" s="56"/>
      <c r="Q767" s="56"/>
      <c r="R767" s="56"/>
      <c r="S767" s="56"/>
      <c r="T767" s="56"/>
      <c r="U767" s="56"/>
      <c r="V767" s="56"/>
      <c r="W767" s="56"/>
      <c r="X767" s="56"/>
      <c r="Y767" s="56"/>
      <c r="Z767" s="56"/>
      <c r="AA767" s="56"/>
      <c r="AB767" s="56"/>
      <c r="AC767" s="56"/>
      <c r="AD767" s="56"/>
      <c r="AE767" s="56"/>
      <c r="AF767" s="56"/>
      <c r="AG767" s="56"/>
      <c r="AH767" s="56"/>
      <c r="AI767" s="58"/>
      <c r="AJ767" s="56"/>
      <c r="AK767" s="56"/>
      <c r="AL767" s="56"/>
      <c r="AM767" s="57"/>
      <c r="AN767" s="57"/>
      <c r="AO767" s="56"/>
      <c r="AP767" s="56"/>
      <c r="AQ767" s="57"/>
      <c r="AR767" s="57"/>
      <c r="AS767" s="57"/>
      <c r="AT767" s="67">
        <f t="shared" ca="1" si="70"/>
        <v>0</v>
      </c>
      <c r="AU767" s="79" t="str">
        <f t="shared" ca="1" si="71"/>
        <v/>
      </c>
      <c r="AV767" s="79" t="str" cm="1">
        <f t="array" aca="1" ref="AV767" ca="1">IFERROR(_xlfn.IFS($AU767="","",$AU767&lt;=15,"0-15",AND($AU767&gt;=16,$AU767&lt;=30),"16-30",AND($AU767&gt;=31,$AU767&lt;=45),"31-45",AND($AU767&gt;=46,$AU767&lt;=60),"46-60",AND($AU767&gt;=61,$AU767&lt;=90),"61-90",AND($AU767&gt;=91),"&gt; 90",AND($AU767&gt;=2000),""),"")</f>
        <v/>
      </c>
      <c r="AW767" s="79" t="str" cm="1">
        <f t="array" aca="1" ref="AW767" ca="1">IFERROR(_xlfn.IFS(OR($M767="",$AM767=""),"",OR($C767="Offered",$C767="Joined"),($AM767-$M767)-$AT767),"")</f>
        <v/>
      </c>
      <c r="AX767" s="79" t="str" cm="1">
        <f t="array" aca="1" ref="AX767" ca="1">IFERROR(_xlfn.IFS(OR($M767="",$AS767=""),"",$C767="Joined",($AS767-$M767)-$AT767),"")</f>
        <v/>
      </c>
      <c r="AY767" s="67" t="str">
        <f>IFERROR(IF(COUNTIFS('Candidate Tracker'!$E:$E,'Positions Tracker'!$B767,'Candidate Tracker'!$C:$C,"Offer Drop")=0,"",COUNTIFS('Candidate Tracker'!$E:$E,'Positions Tracker'!$B767,'Candidate Tracker'!$C:$C,"Offer Drop")),"")</f>
        <v/>
      </c>
      <c r="AZ767" s="80">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0.88111888111888115</v>
      </c>
      <c r="BA767" s="81" t="str">
        <f>IFERROR(IF(COUNTIFS('Candidate Tracker'!$E:$E,'Positions Tracker'!$B767,'Candidate Tracker'!$I:$I,"Female")=0,"",COUNTIFS('Candidate Tracker'!$E:$E,'Positions Tracker'!$B767,'Candidate Tracker'!$I:$I,"Female")),"")</f>
        <v/>
      </c>
      <c r="BB767" s="81" t="str">
        <f>IFERROR(IF(COUNTIFS('Candidate Tracker'!$E:$E,'Positions Tracker'!$B767,'Candidate Tracker'!$I:$I,"male")=0,"",COUNTIFS('Candidate Tracker'!$E:$E,'Positions Tracker'!$B767,'Candidate Tracker'!$I:$I,"male")),"")</f>
        <v/>
      </c>
      <c r="BC767" s="80" t="str">
        <f>IFERROR(IF(COUNTIFS('Candidate Tracker'!$E:$E,'Positions Tracker'!$B767,'Candidate Tracker'!$C:$C,"&lt;&gt;WIP",'Candidate Tracker'!$C:$C,"&lt;&gt;Hold",'Candidate Tracker'!$C:$C,"&lt;&gt;Cancelled",'Candidate Tracker'!$C:$C,"&lt;&gt;Closed")/COUNTIFS('Candidate Tracker'!$E:$E,'Positions Tracker'!$B767)=0,"",COUNTIFS('Candidate Tracker'!$E:$E,'Positions Tracker'!$B767,'Candidate Tracker'!$C:$C,"&lt;&gt;WIP",'Candidate Tracker'!$C:$C,"&lt;&gt;Hold",'Candidate Tracker'!$C:$C,"&lt;&gt;Cancelled",'Candidate Tracker'!$C:$C,"&lt;&gt;Closed")/COUNTIFS('Candidate Tracker'!$E:$E,'Positions Tracker'!$B767)),"")</f>
        <v/>
      </c>
      <c r="BD767" s="67" t="str">
        <f t="shared" si="66"/>
        <v/>
      </c>
      <c r="BE767" s="67" t="str">
        <f t="shared" si="67"/>
        <v/>
      </c>
      <c r="BF767" s="67" t="str">
        <f t="shared" si="68"/>
        <v/>
      </c>
      <c r="BG767" s="67" t="str">
        <f t="shared" si="69"/>
        <v/>
      </c>
    </row>
    <row r="768" spans="1:59">
      <c r="A768" s="55"/>
      <c r="B768" s="56"/>
      <c r="C768" s="56"/>
      <c r="D768" s="56"/>
      <c r="E768" s="56"/>
      <c r="F768" s="56"/>
      <c r="G768" s="56"/>
      <c r="H768" s="56"/>
      <c r="I768" s="6"/>
      <c r="J768" s="6"/>
      <c r="K768" s="57"/>
      <c r="L768" s="57"/>
      <c r="M768" s="57"/>
      <c r="N768" s="56"/>
      <c r="O768" s="56"/>
      <c r="P768" s="56"/>
      <c r="Q768" s="56"/>
      <c r="R768" s="56"/>
      <c r="S768" s="56"/>
      <c r="T768" s="56"/>
      <c r="U768" s="56"/>
      <c r="V768" s="56"/>
      <c r="W768" s="56"/>
      <c r="X768" s="56"/>
      <c r="Y768" s="56"/>
      <c r="Z768" s="56"/>
      <c r="AA768" s="56"/>
      <c r="AB768" s="56"/>
      <c r="AC768" s="56"/>
      <c r="AD768" s="56"/>
      <c r="AE768" s="56"/>
      <c r="AF768" s="56"/>
      <c r="AG768" s="56"/>
      <c r="AH768" s="56"/>
      <c r="AI768" s="58"/>
      <c r="AJ768" s="56"/>
      <c r="AK768" s="56"/>
      <c r="AL768" s="56"/>
      <c r="AM768" s="57"/>
      <c r="AN768" s="57"/>
      <c r="AO768" s="56"/>
      <c r="AP768" s="56"/>
      <c r="AQ768" s="57"/>
      <c r="AR768" s="57"/>
      <c r="AS768" s="57"/>
      <c r="AT768" s="67">
        <f t="shared" ca="1" si="70"/>
        <v>0</v>
      </c>
      <c r="AU768" s="79" t="str">
        <f t="shared" ca="1" si="71"/>
        <v/>
      </c>
      <c r="AV768" s="79" t="str" cm="1">
        <f t="array" aca="1" ref="AV768" ca="1">IFERROR(_xlfn.IFS($AU768="","",$AU768&lt;=15,"0-15",AND($AU768&gt;=16,$AU768&lt;=30),"16-30",AND($AU768&gt;=31,$AU768&lt;=45),"31-45",AND($AU768&gt;=46,$AU768&lt;=60),"46-60",AND($AU768&gt;=61,$AU768&lt;=90),"61-90",AND($AU768&gt;=91),"&gt; 90",AND($AU768&gt;=2000),""),"")</f>
        <v/>
      </c>
      <c r="AW768" s="79" t="str" cm="1">
        <f t="array" aca="1" ref="AW768" ca="1">IFERROR(_xlfn.IFS(OR($M768="",$AM768=""),"",OR($C768="Offered",$C768="Joined"),($AM768-$M768)-$AT768),"")</f>
        <v/>
      </c>
      <c r="AX768" s="79" t="str" cm="1">
        <f t="array" aca="1" ref="AX768" ca="1">IFERROR(_xlfn.IFS(OR($M768="",$AS768=""),"",$C768="Joined",($AS768-$M768)-$AT768),"")</f>
        <v/>
      </c>
      <c r="AY768" s="67" t="str">
        <f>IFERROR(IF(COUNTIFS('Candidate Tracker'!$E:$E,'Positions Tracker'!$B768,'Candidate Tracker'!$C:$C,"Offer Drop")=0,"",COUNTIFS('Candidate Tracker'!$E:$E,'Positions Tracker'!$B768,'Candidate Tracker'!$C:$C,"Offer Drop")),"")</f>
        <v/>
      </c>
      <c r="AZ768" s="80">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0.88111888111888115</v>
      </c>
      <c r="BA768" s="81" t="str">
        <f>IFERROR(IF(COUNTIFS('Candidate Tracker'!$E:$E,'Positions Tracker'!$B768,'Candidate Tracker'!$I:$I,"Female")=0,"",COUNTIFS('Candidate Tracker'!$E:$E,'Positions Tracker'!$B768,'Candidate Tracker'!$I:$I,"Female")),"")</f>
        <v/>
      </c>
      <c r="BB768" s="81" t="str">
        <f>IFERROR(IF(COUNTIFS('Candidate Tracker'!$E:$E,'Positions Tracker'!$B768,'Candidate Tracker'!$I:$I,"male")=0,"",COUNTIFS('Candidate Tracker'!$E:$E,'Positions Tracker'!$B768,'Candidate Tracker'!$I:$I,"male")),"")</f>
        <v/>
      </c>
      <c r="BC768" s="80" t="str">
        <f>IFERROR(IF(COUNTIFS('Candidate Tracker'!$E:$E,'Positions Tracker'!$B768,'Candidate Tracker'!$C:$C,"&lt;&gt;WIP",'Candidate Tracker'!$C:$C,"&lt;&gt;Hold",'Candidate Tracker'!$C:$C,"&lt;&gt;Cancelled",'Candidate Tracker'!$C:$C,"&lt;&gt;Closed")/COUNTIFS('Candidate Tracker'!$E:$E,'Positions Tracker'!$B768)=0,"",COUNTIFS('Candidate Tracker'!$E:$E,'Positions Tracker'!$B768,'Candidate Tracker'!$C:$C,"&lt;&gt;WIP",'Candidate Tracker'!$C:$C,"&lt;&gt;Hold",'Candidate Tracker'!$C:$C,"&lt;&gt;Cancelled",'Candidate Tracker'!$C:$C,"&lt;&gt;Closed")/COUNTIFS('Candidate Tracker'!$E:$E,'Positions Tracker'!$B768)),"")</f>
        <v/>
      </c>
      <c r="BD768" s="67" t="str">
        <f t="shared" si="66"/>
        <v/>
      </c>
      <c r="BE768" s="67" t="str">
        <f t="shared" si="67"/>
        <v/>
      </c>
      <c r="BF768" s="67" t="str">
        <f t="shared" si="68"/>
        <v/>
      </c>
      <c r="BG768" s="67" t="str">
        <f t="shared" si="69"/>
        <v/>
      </c>
    </row>
    <row r="769" spans="1:59">
      <c r="A769" s="55"/>
      <c r="B769" s="56"/>
      <c r="C769" s="56"/>
      <c r="D769" s="56"/>
      <c r="E769" s="56"/>
      <c r="F769" s="56"/>
      <c r="G769" s="56"/>
      <c r="H769" s="56"/>
      <c r="I769" s="6"/>
      <c r="J769" s="6"/>
      <c r="K769" s="57"/>
      <c r="L769" s="57"/>
      <c r="M769" s="57"/>
      <c r="N769" s="56"/>
      <c r="O769" s="56"/>
      <c r="P769" s="56"/>
      <c r="Q769" s="56"/>
      <c r="R769" s="56"/>
      <c r="S769" s="56"/>
      <c r="T769" s="56"/>
      <c r="U769" s="56"/>
      <c r="V769" s="56"/>
      <c r="W769" s="56"/>
      <c r="X769" s="56"/>
      <c r="Y769" s="56"/>
      <c r="Z769" s="56"/>
      <c r="AA769" s="56"/>
      <c r="AB769" s="56"/>
      <c r="AC769" s="56"/>
      <c r="AD769" s="56"/>
      <c r="AE769" s="56"/>
      <c r="AF769" s="56"/>
      <c r="AG769" s="56"/>
      <c r="AH769" s="56"/>
      <c r="AI769" s="58"/>
      <c r="AJ769" s="56"/>
      <c r="AK769" s="56"/>
      <c r="AL769" s="56"/>
      <c r="AM769" s="57"/>
      <c r="AN769" s="57"/>
      <c r="AO769" s="56"/>
      <c r="AP769" s="56"/>
      <c r="AQ769" s="57"/>
      <c r="AR769" s="57"/>
      <c r="AS769" s="57"/>
      <c r="AT769" s="67">
        <f t="shared" ca="1" si="70"/>
        <v>0</v>
      </c>
      <c r="AU769" s="79" t="str">
        <f t="shared" ca="1" si="71"/>
        <v/>
      </c>
      <c r="AV769" s="79" t="str" cm="1">
        <f t="array" aca="1" ref="AV769" ca="1">IFERROR(_xlfn.IFS($AU769="","",$AU769&lt;=15,"0-15",AND($AU769&gt;=16,$AU769&lt;=30),"16-30",AND($AU769&gt;=31,$AU769&lt;=45),"31-45",AND($AU769&gt;=46,$AU769&lt;=60),"46-60",AND($AU769&gt;=61,$AU769&lt;=90),"61-90",AND($AU769&gt;=91),"&gt; 90",AND($AU769&gt;=2000),""),"")</f>
        <v/>
      </c>
      <c r="AW769" s="79" t="str" cm="1">
        <f t="array" aca="1" ref="AW769" ca="1">IFERROR(_xlfn.IFS(OR($M769="",$AM769=""),"",OR($C769="Offered",$C769="Joined"),($AM769-$M769)-$AT769),"")</f>
        <v/>
      </c>
      <c r="AX769" s="79" t="str" cm="1">
        <f t="array" aca="1" ref="AX769" ca="1">IFERROR(_xlfn.IFS(OR($M769="",$AS769=""),"",$C769="Joined",($AS769-$M769)-$AT769),"")</f>
        <v/>
      </c>
      <c r="AY769" s="67" t="str">
        <f>IFERROR(IF(COUNTIFS('Candidate Tracker'!$E:$E,'Positions Tracker'!$B769,'Candidate Tracker'!$C:$C,"Offer Drop")=0,"",COUNTIFS('Candidate Tracker'!$E:$E,'Positions Tracker'!$B769,'Candidate Tracker'!$C:$C,"Offer Drop")),"")</f>
        <v/>
      </c>
      <c r="AZ769" s="80">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0.88111888111888115</v>
      </c>
      <c r="BA769" s="81" t="str">
        <f>IFERROR(IF(COUNTIFS('Candidate Tracker'!$E:$E,'Positions Tracker'!$B769,'Candidate Tracker'!$I:$I,"Female")=0,"",COUNTIFS('Candidate Tracker'!$E:$E,'Positions Tracker'!$B769,'Candidate Tracker'!$I:$I,"Female")),"")</f>
        <v/>
      </c>
      <c r="BB769" s="81" t="str">
        <f>IFERROR(IF(COUNTIFS('Candidate Tracker'!$E:$E,'Positions Tracker'!$B769,'Candidate Tracker'!$I:$I,"male")=0,"",COUNTIFS('Candidate Tracker'!$E:$E,'Positions Tracker'!$B769,'Candidate Tracker'!$I:$I,"male")),"")</f>
        <v/>
      </c>
      <c r="BC769" s="80" t="str">
        <f>IFERROR(IF(COUNTIFS('Candidate Tracker'!$E:$E,'Positions Tracker'!$B769,'Candidate Tracker'!$C:$C,"&lt;&gt;WIP",'Candidate Tracker'!$C:$C,"&lt;&gt;Hold",'Candidate Tracker'!$C:$C,"&lt;&gt;Cancelled",'Candidate Tracker'!$C:$C,"&lt;&gt;Closed")/COUNTIFS('Candidate Tracker'!$E:$E,'Positions Tracker'!$B769)=0,"",COUNTIFS('Candidate Tracker'!$E:$E,'Positions Tracker'!$B769,'Candidate Tracker'!$C:$C,"&lt;&gt;WIP",'Candidate Tracker'!$C:$C,"&lt;&gt;Hold",'Candidate Tracker'!$C:$C,"&lt;&gt;Cancelled",'Candidate Tracker'!$C:$C,"&lt;&gt;Closed")/COUNTIFS('Candidate Tracker'!$E:$E,'Positions Tracker'!$B769)),"")</f>
        <v/>
      </c>
      <c r="BD769" s="67" t="str">
        <f t="shared" ref="BD769:BD832" si="72">IFERROR(IF($M769="","",TEXT($M769,"MMM-YY")),"")</f>
        <v/>
      </c>
      <c r="BE769" s="67" t="str">
        <f t="shared" ref="BE769:BE832" si="73">IFERROR(IF($AI769="","",TEXT($AI769,"MMM-YY")),"")</f>
        <v/>
      </c>
      <c r="BF769" s="67" t="str">
        <f t="shared" ref="BF769:BF832" si="74">IFERROR(IF($AM769="","",TEXT($AM769,"MMM-YY")),"")</f>
        <v/>
      </c>
      <c r="BG769" s="67" t="str">
        <f t="shared" ref="BG769:BG832" si="75">IFERROR(IF($AS769="","",TEXT($AS769,"MMM-YY")),"")</f>
        <v/>
      </c>
    </row>
    <row r="770" spans="1:59">
      <c r="A770" s="55"/>
      <c r="B770" s="56"/>
      <c r="C770" s="56"/>
      <c r="D770" s="56"/>
      <c r="E770" s="56"/>
      <c r="F770" s="56"/>
      <c r="G770" s="56"/>
      <c r="H770" s="56"/>
      <c r="I770" s="6"/>
      <c r="J770" s="6"/>
      <c r="K770" s="57"/>
      <c r="L770" s="57"/>
      <c r="M770" s="57"/>
      <c r="N770" s="56"/>
      <c r="O770" s="56"/>
      <c r="P770" s="56"/>
      <c r="Q770" s="56"/>
      <c r="R770" s="56"/>
      <c r="S770" s="56"/>
      <c r="T770" s="56"/>
      <c r="U770" s="56"/>
      <c r="V770" s="56"/>
      <c r="W770" s="56"/>
      <c r="X770" s="56"/>
      <c r="Y770" s="56"/>
      <c r="Z770" s="56"/>
      <c r="AA770" s="56"/>
      <c r="AB770" s="56"/>
      <c r="AC770" s="56"/>
      <c r="AD770" s="56"/>
      <c r="AE770" s="56"/>
      <c r="AF770" s="56"/>
      <c r="AG770" s="56"/>
      <c r="AH770" s="56"/>
      <c r="AI770" s="58"/>
      <c r="AJ770" s="56"/>
      <c r="AK770" s="56"/>
      <c r="AL770" s="56"/>
      <c r="AM770" s="57"/>
      <c r="AN770" s="57"/>
      <c r="AO770" s="56"/>
      <c r="AP770" s="56"/>
      <c r="AQ770" s="57"/>
      <c r="AR770" s="57"/>
      <c r="AS770" s="57"/>
      <c r="AT770" s="67">
        <f t="shared" ref="AT770:AT833" ca="1" si="76">IFERROR(SUM(IF(AND(ISBLANK(T770),ISBLANK(Q770)),0,IF(T770="",TODAY()-Q770,T770-Q770))+IF(AND(ISBLANK(S770),ISBLANK(P770)),0,IF(S770="",TODAY()-P770,S770-P770))+IF(AND(ISBLANK(O770),ISBLANK(R770)),0,IF(R770="",TODAY()-O770,R770-O770))),"")</f>
        <v>0</v>
      </c>
      <c r="AU770" s="79" t="str">
        <f t="shared" ref="AU770:AU833" ca="1" si="77">IFERROR(IF(($M770=""),"",IF(OR(,$C770="Offer in Progress",$C770="WIP",$C770="WIP/Drop",$C770="WIP/New",$C770="WIP/Hold"),(TODAY()-$M770)-$AT770,"")),"")</f>
        <v/>
      </c>
      <c r="AV770" s="79" t="str" cm="1">
        <f t="array" aca="1" ref="AV770" ca="1">IFERROR(_xlfn.IFS($AU770="","",$AU770&lt;=15,"0-15",AND($AU770&gt;=16,$AU770&lt;=30),"16-30",AND($AU770&gt;=31,$AU770&lt;=45),"31-45",AND($AU770&gt;=46,$AU770&lt;=60),"46-60",AND($AU770&gt;=61,$AU770&lt;=90),"61-90",AND($AU770&gt;=91),"&gt; 90",AND($AU770&gt;=2000),""),"")</f>
        <v/>
      </c>
      <c r="AW770" s="79" t="str" cm="1">
        <f t="array" aca="1" ref="AW770" ca="1">IFERROR(_xlfn.IFS(OR($M770="",$AM770=""),"",OR($C770="Offered",$C770="Joined"),($AM770-$M770)-$AT770),"")</f>
        <v/>
      </c>
      <c r="AX770" s="79" t="str" cm="1">
        <f t="array" aca="1" ref="AX770" ca="1">IFERROR(_xlfn.IFS(OR($M770="",$AS770=""),"",$C770="Joined",($AS770-$M770)-$AT770),"")</f>
        <v/>
      </c>
      <c r="AY770" s="67" t="str">
        <f>IFERROR(IF(COUNTIFS('Candidate Tracker'!$E:$E,'Positions Tracker'!$B770,'Candidate Tracker'!$C:$C,"Offer Drop")=0,"",COUNTIFS('Candidate Tracker'!$E:$E,'Positions Tracker'!$B770,'Candidate Tracker'!$C:$C,"Offer Drop")),"")</f>
        <v/>
      </c>
      <c r="AZ770" s="80">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0.88111888111888115</v>
      </c>
      <c r="BA770" s="81" t="str">
        <f>IFERROR(IF(COUNTIFS('Candidate Tracker'!$E:$E,'Positions Tracker'!$B770,'Candidate Tracker'!$I:$I,"Female")=0,"",COUNTIFS('Candidate Tracker'!$E:$E,'Positions Tracker'!$B770,'Candidate Tracker'!$I:$I,"Female")),"")</f>
        <v/>
      </c>
      <c r="BB770" s="81" t="str">
        <f>IFERROR(IF(COUNTIFS('Candidate Tracker'!$E:$E,'Positions Tracker'!$B770,'Candidate Tracker'!$I:$I,"male")=0,"",COUNTIFS('Candidate Tracker'!$E:$E,'Positions Tracker'!$B770,'Candidate Tracker'!$I:$I,"male")),"")</f>
        <v/>
      </c>
      <c r="BC770" s="80" t="str">
        <f>IFERROR(IF(COUNTIFS('Candidate Tracker'!$E:$E,'Positions Tracker'!$B770,'Candidate Tracker'!$C:$C,"&lt;&gt;WIP",'Candidate Tracker'!$C:$C,"&lt;&gt;Hold",'Candidate Tracker'!$C:$C,"&lt;&gt;Cancelled",'Candidate Tracker'!$C:$C,"&lt;&gt;Closed")/COUNTIFS('Candidate Tracker'!$E:$E,'Positions Tracker'!$B770)=0,"",COUNTIFS('Candidate Tracker'!$E:$E,'Positions Tracker'!$B770,'Candidate Tracker'!$C:$C,"&lt;&gt;WIP",'Candidate Tracker'!$C:$C,"&lt;&gt;Hold",'Candidate Tracker'!$C:$C,"&lt;&gt;Cancelled",'Candidate Tracker'!$C:$C,"&lt;&gt;Closed")/COUNTIFS('Candidate Tracker'!$E:$E,'Positions Tracker'!$B770)),"")</f>
        <v/>
      </c>
      <c r="BD770" s="67" t="str">
        <f t="shared" si="72"/>
        <v/>
      </c>
      <c r="BE770" s="67" t="str">
        <f t="shared" si="73"/>
        <v/>
      </c>
      <c r="BF770" s="67" t="str">
        <f t="shared" si="74"/>
        <v/>
      </c>
      <c r="BG770" s="67" t="str">
        <f t="shared" si="75"/>
        <v/>
      </c>
    </row>
    <row r="771" spans="1:59">
      <c r="A771" s="55"/>
      <c r="B771" s="56"/>
      <c r="C771" s="56"/>
      <c r="D771" s="56"/>
      <c r="E771" s="56"/>
      <c r="F771" s="56"/>
      <c r="G771" s="56"/>
      <c r="H771" s="56"/>
      <c r="I771" s="6"/>
      <c r="J771" s="6"/>
      <c r="K771" s="57"/>
      <c r="L771" s="57"/>
      <c r="M771" s="57"/>
      <c r="N771" s="56"/>
      <c r="O771" s="56"/>
      <c r="P771" s="56"/>
      <c r="Q771" s="56"/>
      <c r="R771" s="56"/>
      <c r="S771" s="56"/>
      <c r="T771" s="56"/>
      <c r="U771" s="56"/>
      <c r="V771" s="56"/>
      <c r="W771" s="56"/>
      <c r="X771" s="56"/>
      <c r="Y771" s="56"/>
      <c r="Z771" s="56"/>
      <c r="AA771" s="56"/>
      <c r="AB771" s="56"/>
      <c r="AC771" s="56"/>
      <c r="AD771" s="56"/>
      <c r="AE771" s="56"/>
      <c r="AF771" s="56"/>
      <c r="AG771" s="56"/>
      <c r="AH771" s="56"/>
      <c r="AI771" s="58"/>
      <c r="AJ771" s="56"/>
      <c r="AK771" s="56"/>
      <c r="AL771" s="56"/>
      <c r="AM771" s="57"/>
      <c r="AN771" s="57"/>
      <c r="AO771" s="56"/>
      <c r="AP771" s="56"/>
      <c r="AQ771" s="57"/>
      <c r="AR771" s="57"/>
      <c r="AS771" s="57"/>
      <c r="AT771" s="67">
        <f t="shared" ca="1" si="76"/>
        <v>0</v>
      </c>
      <c r="AU771" s="79" t="str">
        <f t="shared" ca="1" si="77"/>
        <v/>
      </c>
      <c r="AV771" s="79" t="str" cm="1">
        <f t="array" aca="1" ref="AV771" ca="1">IFERROR(_xlfn.IFS($AU771="","",$AU771&lt;=15,"0-15",AND($AU771&gt;=16,$AU771&lt;=30),"16-30",AND($AU771&gt;=31,$AU771&lt;=45),"31-45",AND($AU771&gt;=46,$AU771&lt;=60),"46-60",AND($AU771&gt;=61,$AU771&lt;=90),"61-90",AND($AU771&gt;=91),"&gt; 90",AND($AU771&gt;=2000),""),"")</f>
        <v/>
      </c>
      <c r="AW771" s="79" t="str" cm="1">
        <f t="array" aca="1" ref="AW771" ca="1">IFERROR(_xlfn.IFS(OR($M771="",$AM771=""),"",OR($C771="Offered",$C771="Joined"),($AM771-$M771)-$AT771),"")</f>
        <v/>
      </c>
      <c r="AX771" s="79" t="str" cm="1">
        <f t="array" aca="1" ref="AX771" ca="1">IFERROR(_xlfn.IFS(OR($M771="",$AS771=""),"",$C771="Joined",($AS771-$M771)-$AT771),"")</f>
        <v/>
      </c>
      <c r="AY771" s="67" t="str">
        <f>IFERROR(IF(COUNTIFS('Candidate Tracker'!$E:$E,'Positions Tracker'!$B771,'Candidate Tracker'!$C:$C,"Offer Drop")=0,"",COUNTIFS('Candidate Tracker'!$E:$E,'Positions Tracker'!$B771,'Candidate Tracker'!$C:$C,"Offer Drop")),"")</f>
        <v/>
      </c>
      <c r="AZ771" s="80">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0.88111888111888115</v>
      </c>
      <c r="BA771" s="81" t="str">
        <f>IFERROR(IF(COUNTIFS('Candidate Tracker'!$E:$E,'Positions Tracker'!$B771,'Candidate Tracker'!$I:$I,"Female")=0,"",COUNTIFS('Candidate Tracker'!$E:$E,'Positions Tracker'!$B771,'Candidate Tracker'!$I:$I,"Female")),"")</f>
        <v/>
      </c>
      <c r="BB771" s="81" t="str">
        <f>IFERROR(IF(COUNTIFS('Candidate Tracker'!$E:$E,'Positions Tracker'!$B771,'Candidate Tracker'!$I:$I,"male")=0,"",COUNTIFS('Candidate Tracker'!$E:$E,'Positions Tracker'!$B771,'Candidate Tracker'!$I:$I,"male")),"")</f>
        <v/>
      </c>
      <c r="BC771" s="80" t="str">
        <f>IFERROR(IF(COUNTIFS('Candidate Tracker'!$E:$E,'Positions Tracker'!$B771,'Candidate Tracker'!$C:$C,"&lt;&gt;WIP",'Candidate Tracker'!$C:$C,"&lt;&gt;Hold",'Candidate Tracker'!$C:$C,"&lt;&gt;Cancelled",'Candidate Tracker'!$C:$C,"&lt;&gt;Closed")/COUNTIFS('Candidate Tracker'!$E:$E,'Positions Tracker'!$B771)=0,"",COUNTIFS('Candidate Tracker'!$E:$E,'Positions Tracker'!$B771,'Candidate Tracker'!$C:$C,"&lt;&gt;WIP",'Candidate Tracker'!$C:$C,"&lt;&gt;Hold",'Candidate Tracker'!$C:$C,"&lt;&gt;Cancelled",'Candidate Tracker'!$C:$C,"&lt;&gt;Closed")/COUNTIFS('Candidate Tracker'!$E:$E,'Positions Tracker'!$B771)),"")</f>
        <v/>
      </c>
      <c r="BD771" s="67" t="str">
        <f t="shared" si="72"/>
        <v/>
      </c>
      <c r="BE771" s="67" t="str">
        <f t="shared" si="73"/>
        <v/>
      </c>
      <c r="BF771" s="67" t="str">
        <f t="shared" si="74"/>
        <v/>
      </c>
      <c r="BG771" s="67" t="str">
        <f t="shared" si="75"/>
        <v/>
      </c>
    </row>
    <row r="772" spans="1:59">
      <c r="A772" s="55"/>
      <c r="B772" s="56"/>
      <c r="C772" s="56"/>
      <c r="D772" s="56"/>
      <c r="E772" s="56"/>
      <c r="F772" s="56"/>
      <c r="G772" s="56"/>
      <c r="H772" s="56"/>
      <c r="I772" s="6"/>
      <c r="J772" s="6"/>
      <c r="K772" s="57"/>
      <c r="L772" s="57"/>
      <c r="M772" s="57"/>
      <c r="N772" s="56"/>
      <c r="O772" s="56"/>
      <c r="P772" s="56"/>
      <c r="Q772" s="56"/>
      <c r="R772" s="56"/>
      <c r="S772" s="56"/>
      <c r="T772" s="56"/>
      <c r="U772" s="56"/>
      <c r="V772" s="56"/>
      <c r="W772" s="56"/>
      <c r="X772" s="56"/>
      <c r="Y772" s="56"/>
      <c r="Z772" s="56"/>
      <c r="AA772" s="56"/>
      <c r="AB772" s="56"/>
      <c r="AC772" s="56"/>
      <c r="AD772" s="56"/>
      <c r="AE772" s="56"/>
      <c r="AF772" s="56"/>
      <c r="AG772" s="56"/>
      <c r="AH772" s="56"/>
      <c r="AI772" s="58"/>
      <c r="AJ772" s="56"/>
      <c r="AK772" s="56"/>
      <c r="AL772" s="56"/>
      <c r="AM772" s="57"/>
      <c r="AN772" s="57"/>
      <c r="AO772" s="56"/>
      <c r="AP772" s="56"/>
      <c r="AQ772" s="57"/>
      <c r="AR772" s="57"/>
      <c r="AS772" s="57"/>
      <c r="AT772" s="67">
        <f t="shared" ca="1" si="76"/>
        <v>0</v>
      </c>
      <c r="AU772" s="79" t="str">
        <f t="shared" ca="1" si="77"/>
        <v/>
      </c>
      <c r="AV772" s="79" t="str" cm="1">
        <f t="array" aca="1" ref="AV772" ca="1">IFERROR(_xlfn.IFS($AU772="","",$AU772&lt;=15,"0-15",AND($AU772&gt;=16,$AU772&lt;=30),"16-30",AND($AU772&gt;=31,$AU772&lt;=45),"31-45",AND($AU772&gt;=46,$AU772&lt;=60),"46-60",AND($AU772&gt;=61,$AU772&lt;=90),"61-90",AND($AU772&gt;=91),"&gt; 90",AND($AU772&gt;=2000),""),"")</f>
        <v/>
      </c>
      <c r="AW772" s="79" t="str" cm="1">
        <f t="array" aca="1" ref="AW772" ca="1">IFERROR(_xlfn.IFS(OR($M772="",$AM772=""),"",OR($C772="Offered",$C772="Joined"),($AM772-$M772)-$AT772),"")</f>
        <v/>
      </c>
      <c r="AX772" s="79" t="str" cm="1">
        <f t="array" aca="1" ref="AX772" ca="1">IFERROR(_xlfn.IFS(OR($M772="",$AS772=""),"",$C772="Joined",($AS772-$M772)-$AT772),"")</f>
        <v/>
      </c>
      <c r="AY772" s="67" t="str">
        <f>IFERROR(IF(COUNTIFS('Candidate Tracker'!$E:$E,'Positions Tracker'!$B772,'Candidate Tracker'!$C:$C,"Offer Drop")=0,"",COUNTIFS('Candidate Tracker'!$E:$E,'Positions Tracker'!$B772,'Candidate Tracker'!$C:$C,"Offer Drop")),"")</f>
        <v/>
      </c>
      <c r="AZ772" s="80">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0.88111888111888115</v>
      </c>
      <c r="BA772" s="81" t="str">
        <f>IFERROR(IF(COUNTIFS('Candidate Tracker'!$E:$E,'Positions Tracker'!$B772,'Candidate Tracker'!$I:$I,"Female")=0,"",COUNTIFS('Candidate Tracker'!$E:$E,'Positions Tracker'!$B772,'Candidate Tracker'!$I:$I,"Female")),"")</f>
        <v/>
      </c>
      <c r="BB772" s="81" t="str">
        <f>IFERROR(IF(COUNTIFS('Candidate Tracker'!$E:$E,'Positions Tracker'!$B772,'Candidate Tracker'!$I:$I,"male")=0,"",COUNTIFS('Candidate Tracker'!$E:$E,'Positions Tracker'!$B772,'Candidate Tracker'!$I:$I,"male")),"")</f>
        <v/>
      </c>
      <c r="BC772" s="80" t="str">
        <f>IFERROR(IF(COUNTIFS('Candidate Tracker'!$E:$E,'Positions Tracker'!$B772,'Candidate Tracker'!$C:$C,"&lt;&gt;WIP",'Candidate Tracker'!$C:$C,"&lt;&gt;Hold",'Candidate Tracker'!$C:$C,"&lt;&gt;Cancelled",'Candidate Tracker'!$C:$C,"&lt;&gt;Closed")/COUNTIFS('Candidate Tracker'!$E:$E,'Positions Tracker'!$B772)=0,"",COUNTIFS('Candidate Tracker'!$E:$E,'Positions Tracker'!$B772,'Candidate Tracker'!$C:$C,"&lt;&gt;WIP",'Candidate Tracker'!$C:$C,"&lt;&gt;Hold",'Candidate Tracker'!$C:$C,"&lt;&gt;Cancelled",'Candidate Tracker'!$C:$C,"&lt;&gt;Closed")/COUNTIFS('Candidate Tracker'!$E:$E,'Positions Tracker'!$B772)),"")</f>
        <v/>
      </c>
      <c r="BD772" s="67" t="str">
        <f t="shared" si="72"/>
        <v/>
      </c>
      <c r="BE772" s="67" t="str">
        <f t="shared" si="73"/>
        <v/>
      </c>
      <c r="BF772" s="67" t="str">
        <f t="shared" si="74"/>
        <v/>
      </c>
      <c r="BG772" s="67" t="str">
        <f t="shared" si="75"/>
        <v/>
      </c>
    </row>
    <row r="773" spans="1:59">
      <c r="A773" s="55"/>
      <c r="B773" s="56"/>
      <c r="C773" s="56"/>
      <c r="D773" s="56"/>
      <c r="E773" s="56"/>
      <c r="F773" s="56"/>
      <c r="G773" s="56"/>
      <c r="H773" s="56"/>
      <c r="I773" s="6"/>
      <c r="J773" s="6"/>
      <c r="K773" s="57"/>
      <c r="L773" s="57"/>
      <c r="M773" s="57"/>
      <c r="N773" s="56"/>
      <c r="O773" s="56"/>
      <c r="P773" s="56"/>
      <c r="Q773" s="56"/>
      <c r="R773" s="56"/>
      <c r="S773" s="56"/>
      <c r="T773" s="56"/>
      <c r="U773" s="56"/>
      <c r="V773" s="56"/>
      <c r="W773" s="56"/>
      <c r="X773" s="56"/>
      <c r="Y773" s="56"/>
      <c r="Z773" s="56"/>
      <c r="AA773" s="56"/>
      <c r="AB773" s="56"/>
      <c r="AC773" s="56"/>
      <c r="AD773" s="56"/>
      <c r="AE773" s="56"/>
      <c r="AF773" s="56"/>
      <c r="AG773" s="56"/>
      <c r="AH773" s="56"/>
      <c r="AI773" s="58"/>
      <c r="AJ773" s="56"/>
      <c r="AK773" s="56"/>
      <c r="AL773" s="56"/>
      <c r="AM773" s="57"/>
      <c r="AN773" s="57"/>
      <c r="AO773" s="56"/>
      <c r="AP773" s="56"/>
      <c r="AQ773" s="57"/>
      <c r="AR773" s="57"/>
      <c r="AS773" s="57"/>
      <c r="AT773" s="67">
        <f t="shared" ca="1" si="76"/>
        <v>0</v>
      </c>
      <c r="AU773" s="79" t="str">
        <f t="shared" ca="1" si="77"/>
        <v/>
      </c>
      <c r="AV773" s="79" t="str" cm="1">
        <f t="array" aca="1" ref="AV773" ca="1">IFERROR(_xlfn.IFS($AU773="","",$AU773&lt;=15,"0-15",AND($AU773&gt;=16,$AU773&lt;=30),"16-30",AND($AU773&gt;=31,$AU773&lt;=45),"31-45",AND($AU773&gt;=46,$AU773&lt;=60),"46-60",AND($AU773&gt;=61,$AU773&lt;=90),"61-90",AND($AU773&gt;=91),"&gt; 90",AND($AU773&gt;=2000),""),"")</f>
        <v/>
      </c>
      <c r="AW773" s="79" t="str" cm="1">
        <f t="array" aca="1" ref="AW773" ca="1">IFERROR(_xlfn.IFS(OR($M773="",$AM773=""),"",OR($C773="Offered",$C773="Joined"),($AM773-$M773)-$AT773),"")</f>
        <v/>
      </c>
      <c r="AX773" s="79" t="str" cm="1">
        <f t="array" aca="1" ref="AX773" ca="1">IFERROR(_xlfn.IFS(OR($M773="",$AS773=""),"",$C773="Joined",($AS773-$M773)-$AT773),"")</f>
        <v/>
      </c>
      <c r="AY773" s="67" t="str">
        <f>IFERROR(IF(COUNTIFS('Candidate Tracker'!$E:$E,'Positions Tracker'!$B773,'Candidate Tracker'!$C:$C,"Offer Drop")=0,"",COUNTIFS('Candidate Tracker'!$E:$E,'Positions Tracker'!$B773,'Candidate Tracker'!$C:$C,"Offer Drop")),"")</f>
        <v/>
      </c>
      <c r="AZ773" s="80">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0.88111888111888115</v>
      </c>
      <c r="BA773" s="81" t="str">
        <f>IFERROR(IF(COUNTIFS('Candidate Tracker'!$E:$E,'Positions Tracker'!$B773,'Candidate Tracker'!$I:$I,"Female")=0,"",COUNTIFS('Candidate Tracker'!$E:$E,'Positions Tracker'!$B773,'Candidate Tracker'!$I:$I,"Female")),"")</f>
        <v/>
      </c>
      <c r="BB773" s="81" t="str">
        <f>IFERROR(IF(COUNTIFS('Candidate Tracker'!$E:$E,'Positions Tracker'!$B773,'Candidate Tracker'!$I:$I,"male")=0,"",COUNTIFS('Candidate Tracker'!$E:$E,'Positions Tracker'!$B773,'Candidate Tracker'!$I:$I,"male")),"")</f>
        <v/>
      </c>
      <c r="BC773" s="80" t="str">
        <f>IFERROR(IF(COUNTIFS('Candidate Tracker'!$E:$E,'Positions Tracker'!$B773,'Candidate Tracker'!$C:$C,"&lt;&gt;WIP",'Candidate Tracker'!$C:$C,"&lt;&gt;Hold",'Candidate Tracker'!$C:$C,"&lt;&gt;Cancelled",'Candidate Tracker'!$C:$C,"&lt;&gt;Closed")/COUNTIFS('Candidate Tracker'!$E:$E,'Positions Tracker'!$B773)=0,"",COUNTIFS('Candidate Tracker'!$E:$E,'Positions Tracker'!$B773,'Candidate Tracker'!$C:$C,"&lt;&gt;WIP",'Candidate Tracker'!$C:$C,"&lt;&gt;Hold",'Candidate Tracker'!$C:$C,"&lt;&gt;Cancelled",'Candidate Tracker'!$C:$C,"&lt;&gt;Closed")/COUNTIFS('Candidate Tracker'!$E:$E,'Positions Tracker'!$B773)),"")</f>
        <v/>
      </c>
      <c r="BD773" s="67" t="str">
        <f t="shared" si="72"/>
        <v/>
      </c>
      <c r="BE773" s="67" t="str">
        <f t="shared" si="73"/>
        <v/>
      </c>
      <c r="BF773" s="67" t="str">
        <f t="shared" si="74"/>
        <v/>
      </c>
      <c r="BG773" s="67" t="str">
        <f t="shared" si="75"/>
        <v/>
      </c>
    </row>
    <row r="774" spans="1:59">
      <c r="A774" s="55"/>
      <c r="B774" s="56"/>
      <c r="C774" s="56"/>
      <c r="D774" s="56"/>
      <c r="E774" s="56"/>
      <c r="F774" s="56"/>
      <c r="G774" s="56"/>
      <c r="H774" s="56"/>
      <c r="I774" s="6"/>
      <c r="J774" s="6"/>
      <c r="K774" s="57"/>
      <c r="L774" s="57"/>
      <c r="M774" s="57"/>
      <c r="N774" s="56"/>
      <c r="O774" s="56"/>
      <c r="P774" s="56"/>
      <c r="Q774" s="56"/>
      <c r="R774" s="56"/>
      <c r="S774" s="56"/>
      <c r="T774" s="56"/>
      <c r="U774" s="56"/>
      <c r="V774" s="56"/>
      <c r="W774" s="56"/>
      <c r="X774" s="56"/>
      <c r="Y774" s="56"/>
      <c r="Z774" s="56"/>
      <c r="AA774" s="56"/>
      <c r="AB774" s="56"/>
      <c r="AC774" s="56"/>
      <c r="AD774" s="56"/>
      <c r="AE774" s="56"/>
      <c r="AF774" s="56"/>
      <c r="AG774" s="56"/>
      <c r="AH774" s="56"/>
      <c r="AI774" s="58"/>
      <c r="AJ774" s="56"/>
      <c r="AK774" s="56"/>
      <c r="AL774" s="56"/>
      <c r="AM774" s="57"/>
      <c r="AN774" s="57"/>
      <c r="AO774" s="56"/>
      <c r="AP774" s="56"/>
      <c r="AQ774" s="57"/>
      <c r="AR774" s="57"/>
      <c r="AS774" s="57"/>
      <c r="AT774" s="67">
        <f t="shared" ca="1" si="76"/>
        <v>0</v>
      </c>
      <c r="AU774" s="79" t="str">
        <f t="shared" ca="1" si="77"/>
        <v/>
      </c>
      <c r="AV774" s="79" t="str" cm="1">
        <f t="array" aca="1" ref="AV774" ca="1">IFERROR(_xlfn.IFS($AU774="","",$AU774&lt;=15,"0-15",AND($AU774&gt;=16,$AU774&lt;=30),"16-30",AND($AU774&gt;=31,$AU774&lt;=45),"31-45",AND($AU774&gt;=46,$AU774&lt;=60),"46-60",AND($AU774&gt;=61,$AU774&lt;=90),"61-90",AND($AU774&gt;=91),"&gt; 90",AND($AU774&gt;=2000),""),"")</f>
        <v/>
      </c>
      <c r="AW774" s="79" t="str" cm="1">
        <f t="array" aca="1" ref="AW774" ca="1">IFERROR(_xlfn.IFS(OR($M774="",$AM774=""),"",OR($C774="Offered",$C774="Joined"),($AM774-$M774)-$AT774),"")</f>
        <v/>
      </c>
      <c r="AX774" s="79" t="str" cm="1">
        <f t="array" aca="1" ref="AX774" ca="1">IFERROR(_xlfn.IFS(OR($M774="",$AS774=""),"",$C774="Joined",($AS774-$M774)-$AT774),"")</f>
        <v/>
      </c>
      <c r="AY774" s="67" t="str">
        <f>IFERROR(IF(COUNTIFS('Candidate Tracker'!$E:$E,'Positions Tracker'!$B774,'Candidate Tracker'!$C:$C,"Offer Drop")=0,"",COUNTIFS('Candidate Tracker'!$E:$E,'Positions Tracker'!$B774,'Candidate Tracker'!$C:$C,"Offer Drop")),"")</f>
        <v/>
      </c>
      <c r="AZ774" s="80">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0.88111888111888115</v>
      </c>
      <c r="BA774" s="81" t="str">
        <f>IFERROR(IF(COUNTIFS('Candidate Tracker'!$E:$E,'Positions Tracker'!$B774,'Candidate Tracker'!$I:$I,"Female")=0,"",COUNTIFS('Candidate Tracker'!$E:$E,'Positions Tracker'!$B774,'Candidate Tracker'!$I:$I,"Female")),"")</f>
        <v/>
      </c>
      <c r="BB774" s="81" t="str">
        <f>IFERROR(IF(COUNTIFS('Candidate Tracker'!$E:$E,'Positions Tracker'!$B774,'Candidate Tracker'!$I:$I,"male")=0,"",COUNTIFS('Candidate Tracker'!$E:$E,'Positions Tracker'!$B774,'Candidate Tracker'!$I:$I,"male")),"")</f>
        <v/>
      </c>
      <c r="BC774" s="80" t="str">
        <f>IFERROR(IF(COUNTIFS('Candidate Tracker'!$E:$E,'Positions Tracker'!$B774,'Candidate Tracker'!$C:$C,"&lt;&gt;WIP",'Candidate Tracker'!$C:$C,"&lt;&gt;Hold",'Candidate Tracker'!$C:$C,"&lt;&gt;Cancelled",'Candidate Tracker'!$C:$C,"&lt;&gt;Closed")/COUNTIFS('Candidate Tracker'!$E:$E,'Positions Tracker'!$B774)=0,"",COUNTIFS('Candidate Tracker'!$E:$E,'Positions Tracker'!$B774,'Candidate Tracker'!$C:$C,"&lt;&gt;WIP",'Candidate Tracker'!$C:$C,"&lt;&gt;Hold",'Candidate Tracker'!$C:$C,"&lt;&gt;Cancelled",'Candidate Tracker'!$C:$C,"&lt;&gt;Closed")/COUNTIFS('Candidate Tracker'!$E:$E,'Positions Tracker'!$B774)),"")</f>
        <v/>
      </c>
      <c r="BD774" s="67" t="str">
        <f t="shared" si="72"/>
        <v/>
      </c>
      <c r="BE774" s="67" t="str">
        <f t="shared" si="73"/>
        <v/>
      </c>
      <c r="BF774" s="67" t="str">
        <f t="shared" si="74"/>
        <v/>
      </c>
      <c r="BG774" s="67" t="str">
        <f t="shared" si="75"/>
        <v/>
      </c>
    </row>
    <row r="775" spans="1:59">
      <c r="A775" s="55"/>
      <c r="B775" s="56"/>
      <c r="C775" s="56"/>
      <c r="D775" s="56"/>
      <c r="E775" s="56"/>
      <c r="F775" s="56"/>
      <c r="G775" s="56"/>
      <c r="H775" s="56"/>
      <c r="I775" s="6"/>
      <c r="J775" s="6"/>
      <c r="K775" s="57"/>
      <c r="L775" s="57"/>
      <c r="M775" s="57"/>
      <c r="N775" s="56"/>
      <c r="O775" s="56"/>
      <c r="P775" s="56"/>
      <c r="Q775" s="56"/>
      <c r="R775" s="56"/>
      <c r="S775" s="56"/>
      <c r="T775" s="56"/>
      <c r="U775" s="56"/>
      <c r="V775" s="56"/>
      <c r="W775" s="56"/>
      <c r="X775" s="56"/>
      <c r="Y775" s="56"/>
      <c r="Z775" s="56"/>
      <c r="AA775" s="56"/>
      <c r="AB775" s="56"/>
      <c r="AC775" s="56"/>
      <c r="AD775" s="56"/>
      <c r="AE775" s="56"/>
      <c r="AF775" s="56"/>
      <c r="AG775" s="56"/>
      <c r="AH775" s="56"/>
      <c r="AI775" s="58"/>
      <c r="AJ775" s="56"/>
      <c r="AK775" s="56"/>
      <c r="AL775" s="56"/>
      <c r="AM775" s="57"/>
      <c r="AN775" s="57"/>
      <c r="AO775" s="56"/>
      <c r="AP775" s="56"/>
      <c r="AQ775" s="57"/>
      <c r="AR775" s="57"/>
      <c r="AS775" s="57"/>
      <c r="AT775" s="67">
        <f t="shared" ca="1" si="76"/>
        <v>0</v>
      </c>
      <c r="AU775" s="79" t="str">
        <f t="shared" ca="1" si="77"/>
        <v/>
      </c>
      <c r="AV775" s="79" t="str" cm="1">
        <f t="array" aca="1" ref="AV775" ca="1">IFERROR(_xlfn.IFS($AU775="","",$AU775&lt;=15,"0-15",AND($AU775&gt;=16,$AU775&lt;=30),"16-30",AND($AU775&gt;=31,$AU775&lt;=45),"31-45",AND($AU775&gt;=46,$AU775&lt;=60),"46-60",AND($AU775&gt;=61,$AU775&lt;=90),"61-90",AND($AU775&gt;=91),"&gt; 90",AND($AU775&gt;=2000),""),"")</f>
        <v/>
      </c>
      <c r="AW775" s="79" t="str" cm="1">
        <f t="array" aca="1" ref="AW775" ca="1">IFERROR(_xlfn.IFS(OR($M775="",$AM775=""),"",OR($C775="Offered",$C775="Joined"),($AM775-$M775)-$AT775),"")</f>
        <v/>
      </c>
      <c r="AX775" s="79" t="str" cm="1">
        <f t="array" aca="1" ref="AX775" ca="1">IFERROR(_xlfn.IFS(OR($M775="",$AS775=""),"",$C775="Joined",($AS775-$M775)-$AT775),"")</f>
        <v/>
      </c>
      <c r="AY775" s="67" t="str">
        <f>IFERROR(IF(COUNTIFS('Candidate Tracker'!$E:$E,'Positions Tracker'!$B775,'Candidate Tracker'!$C:$C,"Offer Drop")=0,"",COUNTIFS('Candidate Tracker'!$E:$E,'Positions Tracker'!$B775,'Candidate Tracker'!$C:$C,"Offer Drop")),"")</f>
        <v/>
      </c>
      <c r="AZ775" s="80">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0.88111888111888115</v>
      </c>
      <c r="BA775" s="81" t="str">
        <f>IFERROR(IF(COUNTIFS('Candidate Tracker'!$E:$E,'Positions Tracker'!$B775,'Candidate Tracker'!$I:$I,"Female")=0,"",COUNTIFS('Candidate Tracker'!$E:$E,'Positions Tracker'!$B775,'Candidate Tracker'!$I:$I,"Female")),"")</f>
        <v/>
      </c>
      <c r="BB775" s="81" t="str">
        <f>IFERROR(IF(COUNTIFS('Candidate Tracker'!$E:$E,'Positions Tracker'!$B775,'Candidate Tracker'!$I:$I,"male")=0,"",COUNTIFS('Candidate Tracker'!$E:$E,'Positions Tracker'!$B775,'Candidate Tracker'!$I:$I,"male")),"")</f>
        <v/>
      </c>
      <c r="BC775" s="80" t="str">
        <f>IFERROR(IF(COUNTIFS('Candidate Tracker'!$E:$E,'Positions Tracker'!$B775,'Candidate Tracker'!$C:$C,"&lt;&gt;WIP",'Candidate Tracker'!$C:$C,"&lt;&gt;Hold",'Candidate Tracker'!$C:$C,"&lt;&gt;Cancelled",'Candidate Tracker'!$C:$C,"&lt;&gt;Closed")/COUNTIFS('Candidate Tracker'!$E:$E,'Positions Tracker'!$B775)=0,"",COUNTIFS('Candidate Tracker'!$E:$E,'Positions Tracker'!$B775,'Candidate Tracker'!$C:$C,"&lt;&gt;WIP",'Candidate Tracker'!$C:$C,"&lt;&gt;Hold",'Candidate Tracker'!$C:$C,"&lt;&gt;Cancelled",'Candidate Tracker'!$C:$C,"&lt;&gt;Closed")/COUNTIFS('Candidate Tracker'!$E:$E,'Positions Tracker'!$B775)),"")</f>
        <v/>
      </c>
      <c r="BD775" s="67" t="str">
        <f t="shared" si="72"/>
        <v/>
      </c>
      <c r="BE775" s="67" t="str">
        <f t="shared" si="73"/>
        <v/>
      </c>
      <c r="BF775" s="67" t="str">
        <f t="shared" si="74"/>
        <v/>
      </c>
      <c r="BG775" s="67" t="str">
        <f t="shared" si="75"/>
        <v/>
      </c>
    </row>
    <row r="776" spans="1:59">
      <c r="A776" s="55"/>
      <c r="B776" s="56"/>
      <c r="C776" s="56"/>
      <c r="D776" s="56"/>
      <c r="E776" s="56"/>
      <c r="F776" s="56"/>
      <c r="G776" s="56"/>
      <c r="H776" s="56"/>
      <c r="I776" s="6"/>
      <c r="J776" s="6"/>
      <c r="K776" s="57"/>
      <c r="L776" s="57"/>
      <c r="M776" s="57"/>
      <c r="N776" s="56"/>
      <c r="O776" s="56"/>
      <c r="P776" s="56"/>
      <c r="Q776" s="56"/>
      <c r="R776" s="56"/>
      <c r="S776" s="56"/>
      <c r="T776" s="56"/>
      <c r="U776" s="56"/>
      <c r="V776" s="56"/>
      <c r="W776" s="56"/>
      <c r="X776" s="56"/>
      <c r="Y776" s="56"/>
      <c r="Z776" s="56"/>
      <c r="AA776" s="56"/>
      <c r="AB776" s="56"/>
      <c r="AC776" s="56"/>
      <c r="AD776" s="56"/>
      <c r="AE776" s="56"/>
      <c r="AF776" s="56"/>
      <c r="AG776" s="56"/>
      <c r="AH776" s="56"/>
      <c r="AI776" s="58"/>
      <c r="AJ776" s="56"/>
      <c r="AK776" s="56"/>
      <c r="AL776" s="56"/>
      <c r="AM776" s="57"/>
      <c r="AN776" s="57"/>
      <c r="AO776" s="56"/>
      <c r="AP776" s="56"/>
      <c r="AQ776" s="57"/>
      <c r="AR776" s="57"/>
      <c r="AS776" s="57"/>
      <c r="AT776" s="67">
        <f t="shared" ca="1" si="76"/>
        <v>0</v>
      </c>
      <c r="AU776" s="79" t="str">
        <f t="shared" ca="1" si="77"/>
        <v/>
      </c>
      <c r="AV776" s="79" t="str" cm="1">
        <f t="array" aca="1" ref="AV776" ca="1">IFERROR(_xlfn.IFS($AU776="","",$AU776&lt;=15,"0-15",AND($AU776&gt;=16,$AU776&lt;=30),"16-30",AND($AU776&gt;=31,$AU776&lt;=45),"31-45",AND($AU776&gt;=46,$AU776&lt;=60),"46-60",AND($AU776&gt;=61,$AU776&lt;=90),"61-90",AND($AU776&gt;=91),"&gt; 90",AND($AU776&gt;=2000),""),"")</f>
        <v/>
      </c>
      <c r="AW776" s="79" t="str" cm="1">
        <f t="array" aca="1" ref="AW776" ca="1">IFERROR(_xlfn.IFS(OR($M776="",$AM776=""),"",OR($C776="Offered",$C776="Joined"),($AM776-$M776)-$AT776),"")</f>
        <v/>
      </c>
      <c r="AX776" s="79" t="str" cm="1">
        <f t="array" aca="1" ref="AX776" ca="1">IFERROR(_xlfn.IFS(OR($M776="",$AS776=""),"",$C776="Joined",($AS776-$M776)-$AT776),"")</f>
        <v/>
      </c>
      <c r="AY776" s="67" t="str">
        <f>IFERROR(IF(COUNTIFS('Candidate Tracker'!$E:$E,'Positions Tracker'!$B776,'Candidate Tracker'!$C:$C,"Offer Drop")=0,"",COUNTIFS('Candidate Tracker'!$E:$E,'Positions Tracker'!$B776,'Candidate Tracker'!$C:$C,"Offer Drop")),"")</f>
        <v/>
      </c>
      <c r="AZ776" s="80">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0.88111888111888115</v>
      </c>
      <c r="BA776" s="81" t="str">
        <f>IFERROR(IF(COUNTIFS('Candidate Tracker'!$E:$E,'Positions Tracker'!$B776,'Candidate Tracker'!$I:$I,"Female")=0,"",COUNTIFS('Candidate Tracker'!$E:$E,'Positions Tracker'!$B776,'Candidate Tracker'!$I:$I,"Female")),"")</f>
        <v/>
      </c>
      <c r="BB776" s="81" t="str">
        <f>IFERROR(IF(COUNTIFS('Candidate Tracker'!$E:$E,'Positions Tracker'!$B776,'Candidate Tracker'!$I:$I,"male")=0,"",COUNTIFS('Candidate Tracker'!$E:$E,'Positions Tracker'!$B776,'Candidate Tracker'!$I:$I,"male")),"")</f>
        <v/>
      </c>
      <c r="BC776" s="80" t="str">
        <f>IFERROR(IF(COUNTIFS('Candidate Tracker'!$E:$E,'Positions Tracker'!$B776,'Candidate Tracker'!$C:$C,"&lt;&gt;WIP",'Candidate Tracker'!$C:$C,"&lt;&gt;Hold",'Candidate Tracker'!$C:$C,"&lt;&gt;Cancelled",'Candidate Tracker'!$C:$C,"&lt;&gt;Closed")/COUNTIFS('Candidate Tracker'!$E:$E,'Positions Tracker'!$B776)=0,"",COUNTIFS('Candidate Tracker'!$E:$E,'Positions Tracker'!$B776,'Candidate Tracker'!$C:$C,"&lt;&gt;WIP",'Candidate Tracker'!$C:$C,"&lt;&gt;Hold",'Candidate Tracker'!$C:$C,"&lt;&gt;Cancelled",'Candidate Tracker'!$C:$C,"&lt;&gt;Closed")/COUNTIFS('Candidate Tracker'!$E:$E,'Positions Tracker'!$B776)),"")</f>
        <v/>
      </c>
      <c r="BD776" s="67" t="str">
        <f t="shared" si="72"/>
        <v/>
      </c>
      <c r="BE776" s="67" t="str">
        <f t="shared" si="73"/>
        <v/>
      </c>
      <c r="BF776" s="67" t="str">
        <f t="shared" si="74"/>
        <v/>
      </c>
      <c r="BG776" s="67" t="str">
        <f t="shared" si="75"/>
        <v/>
      </c>
    </row>
    <row r="777" spans="1:59">
      <c r="A777" s="55"/>
      <c r="B777" s="56"/>
      <c r="C777" s="56"/>
      <c r="D777" s="56"/>
      <c r="E777" s="56"/>
      <c r="F777" s="56"/>
      <c r="G777" s="56"/>
      <c r="H777" s="56"/>
      <c r="I777" s="6"/>
      <c r="J777" s="6"/>
      <c r="K777" s="57"/>
      <c r="L777" s="57"/>
      <c r="M777" s="57"/>
      <c r="N777" s="56"/>
      <c r="O777" s="56"/>
      <c r="P777" s="56"/>
      <c r="Q777" s="56"/>
      <c r="R777" s="56"/>
      <c r="S777" s="56"/>
      <c r="T777" s="56"/>
      <c r="U777" s="56"/>
      <c r="V777" s="56"/>
      <c r="W777" s="56"/>
      <c r="X777" s="56"/>
      <c r="Y777" s="56"/>
      <c r="Z777" s="56"/>
      <c r="AA777" s="56"/>
      <c r="AB777" s="56"/>
      <c r="AC777" s="56"/>
      <c r="AD777" s="56"/>
      <c r="AE777" s="56"/>
      <c r="AF777" s="56"/>
      <c r="AG777" s="56"/>
      <c r="AH777" s="56"/>
      <c r="AI777" s="58"/>
      <c r="AJ777" s="56"/>
      <c r="AK777" s="56"/>
      <c r="AL777" s="56"/>
      <c r="AM777" s="57"/>
      <c r="AN777" s="57"/>
      <c r="AO777" s="56"/>
      <c r="AP777" s="56"/>
      <c r="AQ777" s="57"/>
      <c r="AR777" s="57"/>
      <c r="AS777" s="57"/>
      <c r="AT777" s="67">
        <f t="shared" ca="1" si="76"/>
        <v>0</v>
      </c>
      <c r="AU777" s="79" t="str">
        <f t="shared" ca="1" si="77"/>
        <v/>
      </c>
      <c r="AV777" s="79" t="str" cm="1">
        <f t="array" aca="1" ref="AV777" ca="1">IFERROR(_xlfn.IFS($AU777="","",$AU777&lt;=15,"0-15",AND($AU777&gt;=16,$AU777&lt;=30),"16-30",AND($AU777&gt;=31,$AU777&lt;=45),"31-45",AND($AU777&gt;=46,$AU777&lt;=60),"46-60",AND($AU777&gt;=61,$AU777&lt;=90),"61-90",AND($AU777&gt;=91),"&gt; 90",AND($AU777&gt;=2000),""),"")</f>
        <v/>
      </c>
      <c r="AW777" s="79" t="str" cm="1">
        <f t="array" aca="1" ref="AW777" ca="1">IFERROR(_xlfn.IFS(OR($M777="",$AM777=""),"",OR($C777="Offered",$C777="Joined"),($AM777-$M777)-$AT777),"")</f>
        <v/>
      </c>
      <c r="AX777" s="79" t="str" cm="1">
        <f t="array" aca="1" ref="AX777" ca="1">IFERROR(_xlfn.IFS(OR($M777="",$AS777=""),"",$C777="Joined",($AS777-$M777)-$AT777),"")</f>
        <v/>
      </c>
      <c r="AY777" s="67" t="str">
        <f>IFERROR(IF(COUNTIFS('Candidate Tracker'!$E:$E,'Positions Tracker'!$B777,'Candidate Tracker'!$C:$C,"Offer Drop")=0,"",COUNTIFS('Candidate Tracker'!$E:$E,'Positions Tracker'!$B777,'Candidate Tracker'!$C:$C,"Offer Drop")),"")</f>
        <v/>
      </c>
      <c r="AZ777" s="80">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0.88111888111888115</v>
      </c>
      <c r="BA777" s="81" t="str">
        <f>IFERROR(IF(COUNTIFS('Candidate Tracker'!$E:$E,'Positions Tracker'!$B777,'Candidate Tracker'!$I:$I,"Female")=0,"",COUNTIFS('Candidate Tracker'!$E:$E,'Positions Tracker'!$B777,'Candidate Tracker'!$I:$I,"Female")),"")</f>
        <v/>
      </c>
      <c r="BB777" s="81" t="str">
        <f>IFERROR(IF(COUNTIFS('Candidate Tracker'!$E:$E,'Positions Tracker'!$B777,'Candidate Tracker'!$I:$I,"male")=0,"",COUNTIFS('Candidate Tracker'!$E:$E,'Positions Tracker'!$B777,'Candidate Tracker'!$I:$I,"male")),"")</f>
        <v/>
      </c>
      <c r="BC777" s="80" t="str">
        <f>IFERROR(IF(COUNTIFS('Candidate Tracker'!$E:$E,'Positions Tracker'!$B777,'Candidate Tracker'!$C:$C,"&lt;&gt;WIP",'Candidate Tracker'!$C:$C,"&lt;&gt;Hold",'Candidate Tracker'!$C:$C,"&lt;&gt;Cancelled",'Candidate Tracker'!$C:$C,"&lt;&gt;Closed")/COUNTIFS('Candidate Tracker'!$E:$E,'Positions Tracker'!$B777)=0,"",COUNTIFS('Candidate Tracker'!$E:$E,'Positions Tracker'!$B777,'Candidate Tracker'!$C:$C,"&lt;&gt;WIP",'Candidate Tracker'!$C:$C,"&lt;&gt;Hold",'Candidate Tracker'!$C:$C,"&lt;&gt;Cancelled",'Candidate Tracker'!$C:$C,"&lt;&gt;Closed")/COUNTIFS('Candidate Tracker'!$E:$E,'Positions Tracker'!$B777)),"")</f>
        <v/>
      </c>
      <c r="BD777" s="67" t="str">
        <f t="shared" si="72"/>
        <v/>
      </c>
      <c r="BE777" s="67" t="str">
        <f t="shared" si="73"/>
        <v/>
      </c>
      <c r="BF777" s="67" t="str">
        <f t="shared" si="74"/>
        <v/>
      </c>
      <c r="BG777" s="67" t="str">
        <f t="shared" si="75"/>
        <v/>
      </c>
    </row>
    <row r="778" spans="1:59">
      <c r="A778" s="55"/>
      <c r="B778" s="56"/>
      <c r="C778" s="56"/>
      <c r="D778" s="56"/>
      <c r="E778" s="56"/>
      <c r="F778" s="56"/>
      <c r="G778" s="56"/>
      <c r="H778" s="56"/>
      <c r="I778" s="6"/>
      <c r="J778" s="6"/>
      <c r="K778" s="57"/>
      <c r="L778" s="57"/>
      <c r="M778" s="57"/>
      <c r="N778" s="56"/>
      <c r="O778" s="56"/>
      <c r="P778" s="56"/>
      <c r="Q778" s="56"/>
      <c r="R778" s="56"/>
      <c r="S778" s="56"/>
      <c r="T778" s="56"/>
      <c r="U778" s="56"/>
      <c r="V778" s="56"/>
      <c r="W778" s="56"/>
      <c r="X778" s="56"/>
      <c r="Y778" s="56"/>
      <c r="Z778" s="56"/>
      <c r="AA778" s="56"/>
      <c r="AB778" s="56"/>
      <c r="AC778" s="56"/>
      <c r="AD778" s="56"/>
      <c r="AE778" s="56"/>
      <c r="AF778" s="56"/>
      <c r="AG778" s="56"/>
      <c r="AH778" s="56"/>
      <c r="AI778" s="58"/>
      <c r="AJ778" s="56"/>
      <c r="AK778" s="56"/>
      <c r="AL778" s="56"/>
      <c r="AM778" s="57"/>
      <c r="AN778" s="57"/>
      <c r="AO778" s="56"/>
      <c r="AP778" s="56"/>
      <c r="AQ778" s="57"/>
      <c r="AR778" s="57"/>
      <c r="AS778" s="57"/>
      <c r="AT778" s="67">
        <f t="shared" ca="1" si="76"/>
        <v>0</v>
      </c>
      <c r="AU778" s="79" t="str">
        <f t="shared" ca="1" si="77"/>
        <v/>
      </c>
      <c r="AV778" s="79" t="str" cm="1">
        <f t="array" aca="1" ref="AV778" ca="1">IFERROR(_xlfn.IFS($AU778="","",$AU778&lt;=15,"0-15",AND($AU778&gt;=16,$AU778&lt;=30),"16-30",AND($AU778&gt;=31,$AU778&lt;=45),"31-45",AND($AU778&gt;=46,$AU778&lt;=60),"46-60",AND($AU778&gt;=61,$AU778&lt;=90),"61-90",AND($AU778&gt;=91),"&gt; 90",AND($AU778&gt;=2000),""),"")</f>
        <v/>
      </c>
      <c r="AW778" s="79" t="str" cm="1">
        <f t="array" aca="1" ref="AW778" ca="1">IFERROR(_xlfn.IFS(OR($M778="",$AM778=""),"",OR($C778="Offered",$C778="Joined"),($AM778-$M778)-$AT778),"")</f>
        <v/>
      </c>
      <c r="AX778" s="79" t="str" cm="1">
        <f t="array" aca="1" ref="AX778" ca="1">IFERROR(_xlfn.IFS(OR($M778="",$AS778=""),"",$C778="Joined",($AS778-$M778)-$AT778),"")</f>
        <v/>
      </c>
      <c r="AY778" s="67" t="str">
        <f>IFERROR(IF(COUNTIFS('Candidate Tracker'!$E:$E,'Positions Tracker'!$B778,'Candidate Tracker'!$C:$C,"Offer Drop")=0,"",COUNTIFS('Candidate Tracker'!$E:$E,'Positions Tracker'!$B778,'Candidate Tracker'!$C:$C,"Offer Drop")),"")</f>
        <v/>
      </c>
      <c r="AZ778" s="80">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0.88111888111888115</v>
      </c>
      <c r="BA778" s="81" t="str">
        <f>IFERROR(IF(COUNTIFS('Candidate Tracker'!$E:$E,'Positions Tracker'!$B778,'Candidate Tracker'!$I:$I,"Female")=0,"",COUNTIFS('Candidate Tracker'!$E:$E,'Positions Tracker'!$B778,'Candidate Tracker'!$I:$I,"Female")),"")</f>
        <v/>
      </c>
      <c r="BB778" s="81" t="str">
        <f>IFERROR(IF(COUNTIFS('Candidate Tracker'!$E:$E,'Positions Tracker'!$B778,'Candidate Tracker'!$I:$I,"male")=0,"",COUNTIFS('Candidate Tracker'!$E:$E,'Positions Tracker'!$B778,'Candidate Tracker'!$I:$I,"male")),"")</f>
        <v/>
      </c>
      <c r="BC778" s="80" t="str">
        <f>IFERROR(IF(COUNTIFS('Candidate Tracker'!$E:$E,'Positions Tracker'!$B778,'Candidate Tracker'!$C:$C,"&lt;&gt;WIP",'Candidate Tracker'!$C:$C,"&lt;&gt;Hold",'Candidate Tracker'!$C:$C,"&lt;&gt;Cancelled",'Candidate Tracker'!$C:$C,"&lt;&gt;Closed")/COUNTIFS('Candidate Tracker'!$E:$E,'Positions Tracker'!$B778)=0,"",COUNTIFS('Candidate Tracker'!$E:$E,'Positions Tracker'!$B778,'Candidate Tracker'!$C:$C,"&lt;&gt;WIP",'Candidate Tracker'!$C:$C,"&lt;&gt;Hold",'Candidate Tracker'!$C:$C,"&lt;&gt;Cancelled",'Candidate Tracker'!$C:$C,"&lt;&gt;Closed")/COUNTIFS('Candidate Tracker'!$E:$E,'Positions Tracker'!$B778)),"")</f>
        <v/>
      </c>
      <c r="BD778" s="67" t="str">
        <f t="shared" si="72"/>
        <v/>
      </c>
      <c r="BE778" s="67" t="str">
        <f t="shared" si="73"/>
        <v/>
      </c>
      <c r="BF778" s="67" t="str">
        <f t="shared" si="74"/>
        <v/>
      </c>
      <c r="BG778" s="67" t="str">
        <f t="shared" si="75"/>
        <v/>
      </c>
    </row>
    <row r="779" spans="1:59">
      <c r="A779" s="55"/>
      <c r="B779" s="56"/>
      <c r="C779" s="56"/>
      <c r="D779" s="56"/>
      <c r="E779" s="56"/>
      <c r="F779" s="56"/>
      <c r="G779" s="56"/>
      <c r="H779" s="56"/>
      <c r="I779" s="6"/>
      <c r="J779" s="6"/>
      <c r="K779" s="57"/>
      <c r="L779" s="57"/>
      <c r="M779" s="57"/>
      <c r="N779" s="56"/>
      <c r="O779" s="56"/>
      <c r="P779" s="56"/>
      <c r="Q779" s="56"/>
      <c r="R779" s="56"/>
      <c r="S779" s="56"/>
      <c r="T779" s="56"/>
      <c r="U779" s="56"/>
      <c r="V779" s="56"/>
      <c r="W779" s="56"/>
      <c r="X779" s="56"/>
      <c r="Y779" s="56"/>
      <c r="Z779" s="56"/>
      <c r="AA779" s="56"/>
      <c r="AB779" s="56"/>
      <c r="AC779" s="56"/>
      <c r="AD779" s="56"/>
      <c r="AE779" s="56"/>
      <c r="AF779" s="56"/>
      <c r="AG779" s="56"/>
      <c r="AH779" s="56"/>
      <c r="AI779" s="58"/>
      <c r="AJ779" s="56"/>
      <c r="AK779" s="56"/>
      <c r="AL779" s="56"/>
      <c r="AM779" s="57"/>
      <c r="AN779" s="57"/>
      <c r="AO779" s="56"/>
      <c r="AP779" s="56"/>
      <c r="AQ779" s="57"/>
      <c r="AR779" s="57"/>
      <c r="AS779" s="57"/>
      <c r="AT779" s="67">
        <f t="shared" ca="1" si="76"/>
        <v>0</v>
      </c>
      <c r="AU779" s="79" t="str">
        <f t="shared" ca="1" si="77"/>
        <v/>
      </c>
      <c r="AV779" s="79" t="str" cm="1">
        <f t="array" aca="1" ref="AV779" ca="1">IFERROR(_xlfn.IFS($AU779="","",$AU779&lt;=15,"0-15",AND($AU779&gt;=16,$AU779&lt;=30),"16-30",AND($AU779&gt;=31,$AU779&lt;=45),"31-45",AND($AU779&gt;=46,$AU779&lt;=60),"46-60",AND($AU779&gt;=61,$AU779&lt;=90),"61-90",AND($AU779&gt;=91),"&gt; 90",AND($AU779&gt;=2000),""),"")</f>
        <v/>
      </c>
      <c r="AW779" s="79" t="str" cm="1">
        <f t="array" aca="1" ref="AW779" ca="1">IFERROR(_xlfn.IFS(OR($M779="",$AM779=""),"",OR($C779="Offered",$C779="Joined"),($AM779-$M779)-$AT779),"")</f>
        <v/>
      </c>
      <c r="AX779" s="79" t="str" cm="1">
        <f t="array" aca="1" ref="AX779" ca="1">IFERROR(_xlfn.IFS(OR($M779="",$AS779=""),"",$C779="Joined",($AS779-$M779)-$AT779),"")</f>
        <v/>
      </c>
      <c r="AY779" s="67" t="str">
        <f>IFERROR(IF(COUNTIFS('Candidate Tracker'!$E:$E,'Positions Tracker'!$B779,'Candidate Tracker'!$C:$C,"Offer Drop")=0,"",COUNTIFS('Candidate Tracker'!$E:$E,'Positions Tracker'!$B779,'Candidate Tracker'!$C:$C,"Offer Drop")),"")</f>
        <v/>
      </c>
      <c r="AZ779" s="80">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0.88111888111888115</v>
      </c>
      <c r="BA779" s="81" t="str">
        <f>IFERROR(IF(COUNTIFS('Candidate Tracker'!$E:$E,'Positions Tracker'!$B779,'Candidate Tracker'!$I:$I,"Female")=0,"",COUNTIFS('Candidate Tracker'!$E:$E,'Positions Tracker'!$B779,'Candidate Tracker'!$I:$I,"Female")),"")</f>
        <v/>
      </c>
      <c r="BB779" s="81" t="str">
        <f>IFERROR(IF(COUNTIFS('Candidate Tracker'!$E:$E,'Positions Tracker'!$B779,'Candidate Tracker'!$I:$I,"male")=0,"",COUNTIFS('Candidate Tracker'!$E:$E,'Positions Tracker'!$B779,'Candidate Tracker'!$I:$I,"male")),"")</f>
        <v/>
      </c>
      <c r="BC779" s="80" t="str">
        <f>IFERROR(IF(COUNTIFS('Candidate Tracker'!$E:$E,'Positions Tracker'!$B779,'Candidate Tracker'!$C:$C,"&lt;&gt;WIP",'Candidate Tracker'!$C:$C,"&lt;&gt;Hold",'Candidate Tracker'!$C:$C,"&lt;&gt;Cancelled",'Candidate Tracker'!$C:$C,"&lt;&gt;Closed")/COUNTIFS('Candidate Tracker'!$E:$E,'Positions Tracker'!$B779)=0,"",COUNTIFS('Candidate Tracker'!$E:$E,'Positions Tracker'!$B779,'Candidate Tracker'!$C:$C,"&lt;&gt;WIP",'Candidate Tracker'!$C:$C,"&lt;&gt;Hold",'Candidate Tracker'!$C:$C,"&lt;&gt;Cancelled",'Candidate Tracker'!$C:$C,"&lt;&gt;Closed")/COUNTIFS('Candidate Tracker'!$E:$E,'Positions Tracker'!$B779)),"")</f>
        <v/>
      </c>
      <c r="BD779" s="67" t="str">
        <f t="shared" si="72"/>
        <v/>
      </c>
      <c r="BE779" s="67" t="str">
        <f t="shared" si="73"/>
        <v/>
      </c>
      <c r="BF779" s="67" t="str">
        <f t="shared" si="74"/>
        <v/>
      </c>
      <c r="BG779" s="67" t="str">
        <f t="shared" si="75"/>
        <v/>
      </c>
    </row>
    <row r="780" spans="1:59">
      <c r="A780" s="55"/>
      <c r="B780" s="56"/>
      <c r="C780" s="56"/>
      <c r="D780" s="56"/>
      <c r="E780" s="56"/>
      <c r="F780" s="56"/>
      <c r="G780" s="56"/>
      <c r="H780" s="56"/>
      <c r="I780" s="6"/>
      <c r="J780" s="6"/>
      <c r="K780" s="57"/>
      <c r="L780" s="57"/>
      <c r="M780" s="57"/>
      <c r="N780" s="56"/>
      <c r="O780" s="56"/>
      <c r="P780" s="56"/>
      <c r="Q780" s="56"/>
      <c r="R780" s="56"/>
      <c r="S780" s="56"/>
      <c r="T780" s="56"/>
      <c r="U780" s="56"/>
      <c r="V780" s="56"/>
      <c r="W780" s="56"/>
      <c r="X780" s="56"/>
      <c r="Y780" s="56"/>
      <c r="Z780" s="56"/>
      <c r="AA780" s="56"/>
      <c r="AB780" s="56"/>
      <c r="AC780" s="56"/>
      <c r="AD780" s="56"/>
      <c r="AE780" s="56"/>
      <c r="AF780" s="56"/>
      <c r="AG780" s="56"/>
      <c r="AH780" s="56"/>
      <c r="AI780" s="58"/>
      <c r="AJ780" s="56"/>
      <c r="AK780" s="56"/>
      <c r="AL780" s="56"/>
      <c r="AM780" s="57"/>
      <c r="AN780" s="57"/>
      <c r="AO780" s="56"/>
      <c r="AP780" s="56"/>
      <c r="AQ780" s="57"/>
      <c r="AR780" s="57"/>
      <c r="AS780" s="57"/>
      <c r="AT780" s="67">
        <f t="shared" ca="1" si="76"/>
        <v>0</v>
      </c>
      <c r="AU780" s="79" t="str">
        <f t="shared" ca="1" si="77"/>
        <v/>
      </c>
      <c r="AV780" s="79" t="str" cm="1">
        <f t="array" aca="1" ref="AV780" ca="1">IFERROR(_xlfn.IFS($AU780="","",$AU780&lt;=15,"0-15",AND($AU780&gt;=16,$AU780&lt;=30),"16-30",AND($AU780&gt;=31,$AU780&lt;=45),"31-45",AND($AU780&gt;=46,$AU780&lt;=60),"46-60",AND($AU780&gt;=61,$AU780&lt;=90),"61-90",AND($AU780&gt;=91),"&gt; 90",AND($AU780&gt;=2000),""),"")</f>
        <v/>
      </c>
      <c r="AW780" s="79" t="str" cm="1">
        <f t="array" aca="1" ref="AW780" ca="1">IFERROR(_xlfn.IFS(OR($M780="",$AM780=""),"",OR($C780="Offered",$C780="Joined"),($AM780-$M780)-$AT780),"")</f>
        <v/>
      </c>
      <c r="AX780" s="79" t="str" cm="1">
        <f t="array" aca="1" ref="AX780" ca="1">IFERROR(_xlfn.IFS(OR($M780="",$AS780=""),"",$C780="Joined",($AS780-$M780)-$AT780),"")</f>
        <v/>
      </c>
      <c r="AY780" s="67" t="str">
        <f>IFERROR(IF(COUNTIFS('Candidate Tracker'!$E:$E,'Positions Tracker'!$B780,'Candidate Tracker'!$C:$C,"Offer Drop")=0,"",COUNTIFS('Candidate Tracker'!$E:$E,'Positions Tracker'!$B780,'Candidate Tracker'!$C:$C,"Offer Drop")),"")</f>
        <v/>
      </c>
      <c r="AZ780" s="80">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0.88111888111888115</v>
      </c>
      <c r="BA780" s="81" t="str">
        <f>IFERROR(IF(COUNTIFS('Candidate Tracker'!$E:$E,'Positions Tracker'!$B780,'Candidate Tracker'!$I:$I,"Female")=0,"",COUNTIFS('Candidate Tracker'!$E:$E,'Positions Tracker'!$B780,'Candidate Tracker'!$I:$I,"Female")),"")</f>
        <v/>
      </c>
      <c r="BB780" s="81" t="str">
        <f>IFERROR(IF(COUNTIFS('Candidate Tracker'!$E:$E,'Positions Tracker'!$B780,'Candidate Tracker'!$I:$I,"male")=0,"",COUNTIFS('Candidate Tracker'!$E:$E,'Positions Tracker'!$B780,'Candidate Tracker'!$I:$I,"male")),"")</f>
        <v/>
      </c>
      <c r="BC780" s="80" t="str">
        <f>IFERROR(IF(COUNTIFS('Candidate Tracker'!$E:$E,'Positions Tracker'!$B780,'Candidate Tracker'!$C:$C,"&lt;&gt;WIP",'Candidate Tracker'!$C:$C,"&lt;&gt;Hold",'Candidate Tracker'!$C:$C,"&lt;&gt;Cancelled",'Candidate Tracker'!$C:$C,"&lt;&gt;Closed")/COUNTIFS('Candidate Tracker'!$E:$E,'Positions Tracker'!$B780)=0,"",COUNTIFS('Candidate Tracker'!$E:$E,'Positions Tracker'!$B780,'Candidate Tracker'!$C:$C,"&lt;&gt;WIP",'Candidate Tracker'!$C:$C,"&lt;&gt;Hold",'Candidate Tracker'!$C:$C,"&lt;&gt;Cancelled",'Candidate Tracker'!$C:$C,"&lt;&gt;Closed")/COUNTIFS('Candidate Tracker'!$E:$E,'Positions Tracker'!$B780)),"")</f>
        <v/>
      </c>
      <c r="BD780" s="67" t="str">
        <f t="shared" si="72"/>
        <v/>
      </c>
      <c r="BE780" s="67" t="str">
        <f t="shared" si="73"/>
        <v/>
      </c>
      <c r="BF780" s="67" t="str">
        <f t="shared" si="74"/>
        <v/>
      </c>
      <c r="BG780" s="67" t="str">
        <f t="shared" si="75"/>
        <v/>
      </c>
    </row>
    <row r="781" spans="1:59">
      <c r="A781" s="55"/>
      <c r="B781" s="56"/>
      <c r="C781" s="56"/>
      <c r="D781" s="56"/>
      <c r="E781" s="56"/>
      <c r="F781" s="56"/>
      <c r="G781" s="56"/>
      <c r="H781" s="56"/>
      <c r="I781" s="6"/>
      <c r="J781" s="6"/>
      <c r="K781" s="57"/>
      <c r="L781" s="57"/>
      <c r="M781" s="57"/>
      <c r="N781" s="56"/>
      <c r="O781" s="56"/>
      <c r="P781" s="56"/>
      <c r="Q781" s="56"/>
      <c r="R781" s="56"/>
      <c r="S781" s="56"/>
      <c r="T781" s="56"/>
      <c r="U781" s="56"/>
      <c r="V781" s="56"/>
      <c r="W781" s="56"/>
      <c r="X781" s="56"/>
      <c r="Y781" s="56"/>
      <c r="Z781" s="56"/>
      <c r="AA781" s="56"/>
      <c r="AB781" s="56"/>
      <c r="AC781" s="56"/>
      <c r="AD781" s="56"/>
      <c r="AE781" s="56"/>
      <c r="AF781" s="56"/>
      <c r="AG781" s="56"/>
      <c r="AH781" s="56"/>
      <c r="AI781" s="58"/>
      <c r="AJ781" s="56"/>
      <c r="AK781" s="56"/>
      <c r="AL781" s="56"/>
      <c r="AM781" s="57"/>
      <c r="AN781" s="57"/>
      <c r="AO781" s="56"/>
      <c r="AP781" s="56"/>
      <c r="AQ781" s="57"/>
      <c r="AR781" s="57"/>
      <c r="AS781" s="57"/>
      <c r="AT781" s="67">
        <f t="shared" ca="1" si="76"/>
        <v>0</v>
      </c>
      <c r="AU781" s="79" t="str">
        <f t="shared" ca="1" si="77"/>
        <v/>
      </c>
      <c r="AV781" s="79" t="str" cm="1">
        <f t="array" aca="1" ref="AV781" ca="1">IFERROR(_xlfn.IFS($AU781="","",$AU781&lt;=15,"0-15",AND($AU781&gt;=16,$AU781&lt;=30),"16-30",AND($AU781&gt;=31,$AU781&lt;=45),"31-45",AND($AU781&gt;=46,$AU781&lt;=60),"46-60",AND($AU781&gt;=61,$AU781&lt;=90),"61-90",AND($AU781&gt;=91),"&gt; 90",AND($AU781&gt;=2000),""),"")</f>
        <v/>
      </c>
      <c r="AW781" s="79" t="str" cm="1">
        <f t="array" aca="1" ref="AW781" ca="1">IFERROR(_xlfn.IFS(OR($M781="",$AM781=""),"",OR($C781="Offered",$C781="Joined"),($AM781-$M781)-$AT781),"")</f>
        <v/>
      </c>
      <c r="AX781" s="79" t="str" cm="1">
        <f t="array" aca="1" ref="AX781" ca="1">IFERROR(_xlfn.IFS(OR($M781="",$AS781=""),"",$C781="Joined",($AS781-$M781)-$AT781),"")</f>
        <v/>
      </c>
      <c r="AY781" s="67" t="str">
        <f>IFERROR(IF(COUNTIFS('Candidate Tracker'!$E:$E,'Positions Tracker'!$B781,'Candidate Tracker'!$C:$C,"Offer Drop")=0,"",COUNTIFS('Candidate Tracker'!$E:$E,'Positions Tracker'!$B781,'Candidate Tracker'!$C:$C,"Offer Drop")),"")</f>
        <v/>
      </c>
      <c r="AZ781" s="80">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0.88111888111888115</v>
      </c>
      <c r="BA781" s="81" t="str">
        <f>IFERROR(IF(COUNTIFS('Candidate Tracker'!$E:$E,'Positions Tracker'!$B781,'Candidate Tracker'!$I:$I,"Female")=0,"",COUNTIFS('Candidate Tracker'!$E:$E,'Positions Tracker'!$B781,'Candidate Tracker'!$I:$I,"Female")),"")</f>
        <v/>
      </c>
      <c r="BB781" s="81" t="str">
        <f>IFERROR(IF(COUNTIFS('Candidate Tracker'!$E:$E,'Positions Tracker'!$B781,'Candidate Tracker'!$I:$I,"male")=0,"",COUNTIFS('Candidate Tracker'!$E:$E,'Positions Tracker'!$B781,'Candidate Tracker'!$I:$I,"male")),"")</f>
        <v/>
      </c>
      <c r="BC781" s="80" t="str">
        <f>IFERROR(IF(COUNTIFS('Candidate Tracker'!$E:$E,'Positions Tracker'!$B781,'Candidate Tracker'!$C:$C,"&lt;&gt;WIP",'Candidate Tracker'!$C:$C,"&lt;&gt;Hold",'Candidate Tracker'!$C:$C,"&lt;&gt;Cancelled",'Candidate Tracker'!$C:$C,"&lt;&gt;Closed")/COUNTIFS('Candidate Tracker'!$E:$E,'Positions Tracker'!$B781)=0,"",COUNTIFS('Candidate Tracker'!$E:$E,'Positions Tracker'!$B781,'Candidate Tracker'!$C:$C,"&lt;&gt;WIP",'Candidate Tracker'!$C:$C,"&lt;&gt;Hold",'Candidate Tracker'!$C:$C,"&lt;&gt;Cancelled",'Candidate Tracker'!$C:$C,"&lt;&gt;Closed")/COUNTIFS('Candidate Tracker'!$E:$E,'Positions Tracker'!$B781)),"")</f>
        <v/>
      </c>
      <c r="BD781" s="67" t="str">
        <f t="shared" si="72"/>
        <v/>
      </c>
      <c r="BE781" s="67" t="str">
        <f t="shared" si="73"/>
        <v/>
      </c>
      <c r="BF781" s="67" t="str">
        <f t="shared" si="74"/>
        <v/>
      </c>
      <c r="BG781" s="67" t="str">
        <f t="shared" si="75"/>
        <v/>
      </c>
    </row>
    <row r="782" spans="1:59">
      <c r="A782" s="55"/>
      <c r="B782" s="56"/>
      <c r="C782" s="56"/>
      <c r="D782" s="56"/>
      <c r="E782" s="56"/>
      <c r="F782" s="56"/>
      <c r="G782" s="56"/>
      <c r="H782" s="56"/>
      <c r="I782" s="6"/>
      <c r="J782" s="6"/>
      <c r="K782" s="57"/>
      <c r="L782" s="57"/>
      <c r="M782" s="57"/>
      <c r="N782" s="56"/>
      <c r="O782" s="56"/>
      <c r="P782" s="56"/>
      <c r="Q782" s="56"/>
      <c r="R782" s="56"/>
      <c r="S782" s="56"/>
      <c r="T782" s="56"/>
      <c r="U782" s="56"/>
      <c r="V782" s="56"/>
      <c r="W782" s="56"/>
      <c r="X782" s="56"/>
      <c r="Y782" s="56"/>
      <c r="Z782" s="56"/>
      <c r="AA782" s="56"/>
      <c r="AB782" s="56"/>
      <c r="AC782" s="56"/>
      <c r="AD782" s="56"/>
      <c r="AE782" s="56"/>
      <c r="AF782" s="56"/>
      <c r="AG782" s="56"/>
      <c r="AH782" s="56"/>
      <c r="AI782" s="58"/>
      <c r="AJ782" s="56"/>
      <c r="AK782" s="56"/>
      <c r="AL782" s="56"/>
      <c r="AM782" s="57"/>
      <c r="AN782" s="57"/>
      <c r="AO782" s="56"/>
      <c r="AP782" s="56"/>
      <c r="AQ782" s="57"/>
      <c r="AR782" s="57"/>
      <c r="AS782" s="57"/>
      <c r="AT782" s="67">
        <f t="shared" ca="1" si="76"/>
        <v>0</v>
      </c>
      <c r="AU782" s="79" t="str">
        <f t="shared" ca="1" si="77"/>
        <v/>
      </c>
      <c r="AV782" s="79" t="str" cm="1">
        <f t="array" aca="1" ref="AV782" ca="1">IFERROR(_xlfn.IFS($AU782="","",$AU782&lt;=15,"0-15",AND($AU782&gt;=16,$AU782&lt;=30),"16-30",AND($AU782&gt;=31,$AU782&lt;=45),"31-45",AND($AU782&gt;=46,$AU782&lt;=60),"46-60",AND($AU782&gt;=61,$AU782&lt;=90),"61-90",AND($AU782&gt;=91),"&gt; 90",AND($AU782&gt;=2000),""),"")</f>
        <v/>
      </c>
      <c r="AW782" s="79" t="str" cm="1">
        <f t="array" aca="1" ref="AW782" ca="1">IFERROR(_xlfn.IFS(OR($M782="",$AM782=""),"",OR($C782="Offered",$C782="Joined"),($AM782-$M782)-$AT782),"")</f>
        <v/>
      </c>
      <c r="AX782" s="79" t="str" cm="1">
        <f t="array" aca="1" ref="AX782" ca="1">IFERROR(_xlfn.IFS(OR($M782="",$AS782=""),"",$C782="Joined",($AS782-$M782)-$AT782),"")</f>
        <v/>
      </c>
      <c r="AY782" s="67" t="str">
        <f>IFERROR(IF(COUNTIFS('Candidate Tracker'!$E:$E,'Positions Tracker'!$B782,'Candidate Tracker'!$C:$C,"Offer Drop")=0,"",COUNTIFS('Candidate Tracker'!$E:$E,'Positions Tracker'!$B782,'Candidate Tracker'!$C:$C,"Offer Drop")),"")</f>
        <v/>
      </c>
      <c r="AZ782" s="80">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0.88111888111888115</v>
      </c>
      <c r="BA782" s="81" t="str">
        <f>IFERROR(IF(COUNTIFS('Candidate Tracker'!$E:$E,'Positions Tracker'!$B782,'Candidate Tracker'!$I:$I,"Female")=0,"",COUNTIFS('Candidate Tracker'!$E:$E,'Positions Tracker'!$B782,'Candidate Tracker'!$I:$I,"Female")),"")</f>
        <v/>
      </c>
      <c r="BB782" s="81" t="str">
        <f>IFERROR(IF(COUNTIFS('Candidate Tracker'!$E:$E,'Positions Tracker'!$B782,'Candidate Tracker'!$I:$I,"male")=0,"",COUNTIFS('Candidate Tracker'!$E:$E,'Positions Tracker'!$B782,'Candidate Tracker'!$I:$I,"male")),"")</f>
        <v/>
      </c>
      <c r="BC782" s="80" t="str">
        <f>IFERROR(IF(COUNTIFS('Candidate Tracker'!$E:$E,'Positions Tracker'!$B782,'Candidate Tracker'!$C:$C,"&lt;&gt;WIP",'Candidate Tracker'!$C:$C,"&lt;&gt;Hold",'Candidate Tracker'!$C:$C,"&lt;&gt;Cancelled",'Candidate Tracker'!$C:$C,"&lt;&gt;Closed")/COUNTIFS('Candidate Tracker'!$E:$E,'Positions Tracker'!$B782)=0,"",COUNTIFS('Candidate Tracker'!$E:$E,'Positions Tracker'!$B782,'Candidate Tracker'!$C:$C,"&lt;&gt;WIP",'Candidate Tracker'!$C:$C,"&lt;&gt;Hold",'Candidate Tracker'!$C:$C,"&lt;&gt;Cancelled",'Candidate Tracker'!$C:$C,"&lt;&gt;Closed")/COUNTIFS('Candidate Tracker'!$E:$E,'Positions Tracker'!$B782)),"")</f>
        <v/>
      </c>
      <c r="BD782" s="67" t="str">
        <f t="shared" si="72"/>
        <v/>
      </c>
      <c r="BE782" s="67" t="str">
        <f t="shared" si="73"/>
        <v/>
      </c>
      <c r="BF782" s="67" t="str">
        <f t="shared" si="74"/>
        <v/>
      </c>
      <c r="BG782" s="67" t="str">
        <f t="shared" si="75"/>
        <v/>
      </c>
    </row>
    <row r="783" spans="1:59">
      <c r="A783" s="55"/>
      <c r="B783" s="56"/>
      <c r="C783" s="56"/>
      <c r="D783" s="56"/>
      <c r="E783" s="56"/>
      <c r="F783" s="56"/>
      <c r="G783" s="56"/>
      <c r="H783" s="56"/>
      <c r="I783" s="6"/>
      <c r="J783" s="6"/>
      <c r="K783" s="57"/>
      <c r="L783" s="57"/>
      <c r="M783" s="57"/>
      <c r="N783" s="56"/>
      <c r="O783" s="56"/>
      <c r="P783" s="56"/>
      <c r="Q783" s="56"/>
      <c r="R783" s="56"/>
      <c r="S783" s="56"/>
      <c r="T783" s="56"/>
      <c r="U783" s="56"/>
      <c r="V783" s="56"/>
      <c r="W783" s="56"/>
      <c r="X783" s="56"/>
      <c r="Y783" s="56"/>
      <c r="Z783" s="56"/>
      <c r="AA783" s="56"/>
      <c r="AB783" s="56"/>
      <c r="AC783" s="56"/>
      <c r="AD783" s="56"/>
      <c r="AE783" s="56"/>
      <c r="AF783" s="56"/>
      <c r="AG783" s="56"/>
      <c r="AH783" s="56"/>
      <c r="AI783" s="58"/>
      <c r="AJ783" s="56"/>
      <c r="AK783" s="56"/>
      <c r="AL783" s="56"/>
      <c r="AM783" s="57"/>
      <c r="AN783" s="57"/>
      <c r="AO783" s="56"/>
      <c r="AP783" s="56"/>
      <c r="AQ783" s="57"/>
      <c r="AR783" s="57"/>
      <c r="AS783" s="57"/>
      <c r="AT783" s="67">
        <f t="shared" ca="1" si="76"/>
        <v>0</v>
      </c>
      <c r="AU783" s="79" t="str">
        <f t="shared" ca="1" si="77"/>
        <v/>
      </c>
      <c r="AV783" s="79" t="str" cm="1">
        <f t="array" aca="1" ref="AV783" ca="1">IFERROR(_xlfn.IFS($AU783="","",$AU783&lt;=15,"0-15",AND($AU783&gt;=16,$AU783&lt;=30),"16-30",AND($AU783&gt;=31,$AU783&lt;=45),"31-45",AND($AU783&gt;=46,$AU783&lt;=60),"46-60",AND($AU783&gt;=61,$AU783&lt;=90),"61-90",AND($AU783&gt;=91),"&gt; 90",AND($AU783&gt;=2000),""),"")</f>
        <v/>
      </c>
      <c r="AW783" s="79" t="str" cm="1">
        <f t="array" aca="1" ref="AW783" ca="1">IFERROR(_xlfn.IFS(OR($M783="",$AM783=""),"",OR($C783="Offered",$C783="Joined"),($AM783-$M783)-$AT783),"")</f>
        <v/>
      </c>
      <c r="AX783" s="79" t="str" cm="1">
        <f t="array" aca="1" ref="AX783" ca="1">IFERROR(_xlfn.IFS(OR($M783="",$AS783=""),"",$C783="Joined",($AS783-$M783)-$AT783),"")</f>
        <v/>
      </c>
      <c r="AY783" s="67" t="str">
        <f>IFERROR(IF(COUNTIFS('Candidate Tracker'!$E:$E,'Positions Tracker'!$B783,'Candidate Tracker'!$C:$C,"Offer Drop")=0,"",COUNTIFS('Candidate Tracker'!$E:$E,'Positions Tracker'!$B783,'Candidate Tracker'!$C:$C,"Offer Drop")),"")</f>
        <v/>
      </c>
      <c r="AZ783" s="80">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0.88111888111888115</v>
      </c>
      <c r="BA783" s="81" t="str">
        <f>IFERROR(IF(COUNTIFS('Candidate Tracker'!$E:$E,'Positions Tracker'!$B783,'Candidate Tracker'!$I:$I,"Female")=0,"",COUNTIFS('Candidate Tracker'!$E:$E,'Positions Tracker'!$B783,'Candidate Tracker'!$I:$I,"Female")),"")</f>
        <v/>
      </c>
      <c r="BB783" s="81" t="str">
        <f>IFERROR(IF(COUNTIFS('Candidate Tracker'!$E:$E,'Positions Tracker'!$B783,'Candidate Tracker'!$I:$I,"male")=0,"",COUNTIFS('Candidate Tracker'!$E:$E,'Positions Tracker'!$B783,'Candidate Tracker'!$I:$I,"male")),"")</f>
        <v/>
      </c>
      <c r="BC783" s="80" t="str">
        <f>IFERROR(IF(COUNTIFS('Candidate Tracker'!$E:$E,'Positions Tracker'!$B783,'Candidate Tracker'!$C:$C,"&lt;&gt;WIP",'Candidate Tracker'!$C:$C,"&lt;&gt;Hold",'Candidate Tracker'!$C:$C,"&lt;&gt;Cancelled",'Candidate Tracker'!$C:$C,"&lt;&gt;Closed")/COUNTIFS('Candidate Tracker'!$E:$E,'Positions Tracker'!$B783)=0,"",COUNTIFS('Candidate Tracker'!$E:$E,'Positions Tracker'!$B783,'Candidate Tracker'!$C:$C,"&lt;&gt;WIP",'Candidate Tracker'!$C:$C,"&lt;&gt;Hold",'Candidate Tracker'!$C:$C,"&lt;&gt;Cancelled",'Candidate Tracker'!$C:$C,"&lt;&gt;Closed")/COUNTIFS('Candidate Tracker'!$E:$E,'Positions Tracker'!$B783)),"")</f>
        <v/>
      </c>
      <c r="BD783" s="67" t="str">
        <f t="shared" si="72"/>
        <v/>
      </c>
      <c r="BE783" s="67" t="str">
        <f t="shared" si="73"/>
        <v/>
      </c>
      <c r="BF783" s="67" t="str">
        <f t="shared" si="74"/>
        <v/>
      </c>
      <c r="BG783" s="67" t="str">
        <f t="shared" si="75"/>
        <v/>
      </c>
    </row>
    <row r="784" spans="1:59">
      <c r="A784" s="55"/>
      <c r="B784" s="56"/>
      <c r="C784" s="56"/>
      <c r="D784" s="56"/>
      <c r="E784" s="56"/>
      <c r="F784" s="56"/>
      <c r="G784" s="56"/>
      <c r="H784" s="56"/>
      <c r="I784" s="6"/>
      <c r="J784" s="6"/>
      <c r="K784" s="57"/>
      <c r="L784" s="57"/>
      <c r="M784" s="57"/>
      <c r="N784" s="56"/>
      <c r="O784" s="56"/>
      <c r="P784" s="56"/>
      <c r="Q784" s="56"/>
      <c r="R784" s="56"/>
      <c r="S784" s="56"/>
      <c r="T784" s="56"/>
      <c r="U784" s="56"/>
      <c r="V784" s="56"/>
      <c r="W784" s="56"/>
      <c r="X784" s="56"/>
      <c r="Y784" s="56"/>
      <c r="Z784" s="56"/>
      <c r="AA784" s="56"/>
      <c r="AB784" s="56"/>
      <c r="AC784" s="56"/>
      <c r="AD784" s="56"/>
      <c r="AE784" s="56"/>
      <c r="AF784" s="56"/>
      <c r="AG784" s="56"/>
      <c r="AH784" s="56"/>
      <c r="AI784" s="58"/>
      <c r="AJ784" s="56"/>
      <c r="AK784" s="56"/>
      <c r="AL784" s="56"/>
      <c r="AM784" s="57"/>
      <c r="AN784" s="57"/>
      <c r="AO784" s="56"/>
      <c r="AP784" s="56"/>
      <c r="AQ784" s="57"/>
      <c r="AR784" s="57"/>
      <c r="AS784" s="57"/>
      <c r="AT784" s="67">
        <f t="shared" ca="1" si="76"/>
        <v>0</v>
      </c>
      <c r="AU784" s="79" t="str">
        <f t="shared" ca="1" si="77"/>
        <v/>
      </c>
      <c r="AV784" s="79" t="str" cm="1">
        <f t="array" aca="1" ref="AV784" ca="1">IFERROR(_xlfn.IFS($AU784="","",$AU784&lt;=15,"0-15",AND($AU784&gt;=16,$AU784&lt;=30),"16-30",AND($AU784&gt;=31,$AU784&lt;=45),"31-45",AND($AU784&gt;=46,$AU784&lt;=60),"46-60",AND($AU784&gt;=61,$AU784&lt;=90),"61-90",AND($AU784&gt;=91),"&gt; 90",AND($AU784&gt;=2000),""),"")</f>
        <v/>
      </c>
      <c r="AW784" s="79" t="str" cm="1">
        <f t="array" aca="1" ref="AW784" ca="1">IFERROR(_xlfn.IFS(OR($M784="",$AM784=""),"",OR($C784="Offered",$C784="Joined"),($AM784-$M784)-$AT784),"")</f>
        <v/>
      </c>
      <c r="AX784" s="79" t="str" cm="1">
        <f t="array" aca="1" ref="AX784" ca="1">IFERROR(_xlfn.IFS(OR($M784="",$AS784=""),"",$C784="Joined",($AS784-$M784)-$AT784),"")</f>
        <v/>
      </c>
      <c r="AY784" s="67" t="str">
        <f>IFERROR(IF(COUNTIFS('Candidate Tracker'!$E:$E,'Positions Tracker'!$B784,'Candidate Tracker'!$C:$C,"Offer Drop")=0,"",COUNTIFS('Candidate Tracker'!$E:$E,'Positions Tracker'!$B784,'Candidate Tracker'!$C:$C,"Offer Drop")),"")</f>
        <v/>
      </c>
      <c r="AZ784" s="80">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0.88111888111888115</v>
      </c>
      <c r="BA784" s="81" t="str">
        <f>IFERROR(IF(COUNTIFS('Candidate Tracker'!$E:$E,'Positions Tracker'!$B784,'Candidate Tracker'!$I:$I,"Female")=0,"",COUNTIFS('Candidate Tracker'!$E:$E,'Positions Tracker'!$B784,'Candidate Tracker'!$I:$I,"Female")),"")</f>
        <v/>
      </c>
      <c r="BB784" s="81" t="str">
        <f>IFERROR(IF(COUNTIFS('Candidate Tracker'!$E:$E,'Positions Tracker'!$B784,'Candidate Tracker'!$I:$I,"male")=0,"",COUNTIFS('Candidate Tracker'!$E:$E,'Positions Tracker'!$B784,'Candidate Tracker'!$I:$I,"male")),"")</f>
        <v/>
      </c>
      <c r="BC784" s="80" t="str">
        <f>IFERROR(IF(COUNTIFS('Candidate Tracker'!$E:$E,'Positions Tracker'!$B784,'Candidate Tracker'!$C:$C,"&lt;&gt;WIP",'Candidate Tracker'!$C:$C,"&lt;&gt;Hold",'Candidate Tracker'!$C:$C,"&lt;&gt;Cancelled",'Candidate Tracker'!$C:$C,"&lt;&gt;Closed")/COUNTIFS('Candidate Tracker'!$E:$E,'Positions Tracker'!$B784)=0,"",COUNTIFS('Candidate Tracker'!$E:$E,'Positions Tracker'!$B784,'Candidate Tracker'!$C:$C,"&lt;&gt;WIP",'Candidate Tracker'!$C:$C,"&lt;&gt;Hold",'Candidate Tracker'!$C:$C,"&lt;&gt;Cancelled",'Candidate Tracker'!$C:$C,"&lt;&gt;Closed")/COUNTIFS('Candidate Tracker'!$E:$E,'Positions Tracker'!$B784)),"")</f>
        <v/>
      </c>
      <c r="BD784" s="67" t="str">
        <f t="shared" si="72"/>
        <v/>
      </c>
      <c r="BE784" s="67" t="str">
        <f t="shared" si="73"/>
        <v/>
      </c>
      <c r="BF784" s="67" t="str">
        <f t="shared" si="74"/>
        <v/>
      </c>
      <c r="BG784" s="67" t="str">
        <f t="shared" si="75"/>
        <v/>
      </c>
    </row>
    <row r="785" spans="1:59">
      <c r="A785" s="55"/>
      <c r="B785" s="56"/>
      <c r="C785" s="56"/>
      <c r="D785" s="56"/>
      <c r="E785" s="56"/>
      <c r="F785" s="56"/>
      <c r="G785" s="56"/>
      <c r="H785" s="56"/>
      <c r="I785" s="6"/>
      <c r="J785" s="6"/>
      <c r="K785" s="57"/>
      <c r="L785" s="57"/>
      <c r="M785" s="57"/>
      <c r="N785" s="56"/>
      <c r="O785" s="56"/>
      <c r="P785" s="56"/>
      <c r="Q785" s="56"/>
      <c r="R785" s="56"/>
      <c r="S785" s="56"/>
      <c r="T785" s="56"/>
      <c r="U785" s="56"/>
      <c r="V785" s="56"/>
      <c r="W785" s="56"/>
      <c r="X785" s="56"/>
      <c r="Y785" s="56"/>
      <c r="Z785" s="56"/>
      <c r="AA785" s="56"/>
      <c r="AB785" s="56"/>
      <c r="AC785" s="56"/>
      <c r="AD785" s="56"/>
      <c r="AE785" s="56"/>
      <c r="AF785" s="56"/>
      <c r="AG785" s="56"/>
      <c r="AH785" s="56"/>
      <c r="AI785" s="58"/>
      <c r="AJ785" s="56"/>
      <c r="AK785" s="56"/>
      <c r="AL785" s="56"/>
      <c r="AM785" s="57"/>
      <c r="AN785" s="57"/>
      <c r="AO785" s="56"/>
      <c r="AP785" s="56"/>
      <c r="AQ785" s="57"/>
      <c r="AR785" s="57"/>
      <c r="AS785" s="57"/>
      <c r="AT785" s="67">
        <f t="shared" ca="1" si="76"/>
        <v>0</v>
      </c>
      <c r="AU785" s="79" t="str">
        <f t="shared" ca="1" si="77"/>
        <v/>
      </c>
      <c r="AV785" s="79" t="str" cm="1">
        <f t="array" aca="1" ref="AV785" ca="1">IFERROR(_xlfn.IFS($AU785="","",$AU785&lt;=15,"0-15",AND($AU785&gt;=16,$AU785&lt;=30),"16-30",AND($AU785&gt;=31,$AU785&lt;=45),"31-45",AND($AU785&gt;=46,$AU785&lt;=60),"46-60",AND($AU785&gt;=61,$AU785&lt;=90),"61-90",AND($AU785&gt;=91),"&gt; 90",AND($AU785&gt;=2000),""),"")</f>
        <v/>
      </c>
      <c r="AW785" s="79" t="str" cm="1">
        <f t="array" aca="1" ref="AW785" ca="1">IFERROR(_xlfn.IFS(OR($M785="",$AM785=""),"",OR($C785="Offered",$C785="Joined"),($AM785-$M785)-$AT785),"")</f>
        <v/>
      </c>
      <c r="AX785" s="79" t="str" cm="1">
        <f t="array" aca="1" ref="AX785" ca="1">IFERROR(_xlfn.IFS(OR($M785="",$AS785=""),"",$C785="Joined",($AS785-$M785)-$AT785),"")</f>
        <v/>
      </c>
      <c r="AY785" s="67" t="str">
        <f>IFERROR(IF(COUNTIFS('Candidate Tracker'!$E:$E,'Positions Tracker'!$B785,'Candidate Tracker'!$C:$C,"Offer Drop")=0,"",COUNTIFS('Candidate Tracker'!$E:$E,'Positions Tracker'!$B785,'Candidate Tracker'!$C:$C,"Offer Drop")),"")</f>
        <v/>
      </c>
      <c r="AZ785" s="80">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0.88111888111888115</v>
      </c>
      <c r="BA785" s="81" t="str">
        <f>IFERROR(IF(COUNTIFS('Candidate Tracker'!$E:$E,'Positions Tracker'!$B785,'Candidate Tracker'!$I:$I,"Female")=0,"",COUNTIFS('Candidate Tracker'!$E:$E,'Positions Tracker'!$B785,'Candidate Tracker'!$I:$I,"Female")),"")</f>
        <v/>
      </c>
      <c r="BB785" s="81" t="str">
        <f>IFERROR(IF(COUNTIFS('Candidate Tracker'!$E:$E,'Positions Tracker'!$B785,'Candidate Tracker'!$I:$I,"male")=0,"",COUNTIFS('Candidate Tracker'!$E:$E,'Positions Tracker'!$B785,'Candidate Tracker'!$I:$I,"male")),"")</f>
        <v/>
      </c>
      <c r="BC785" s="80" t="str">
        <f>IFERROR(IF(COUNTIFS('Candidate Tracker'!$E:$E,'Positions Tracker'!$B785,'Candidate Tracker'!$C:$C,"&lt;&gt;WIP",'Candidate Tracker'!$C:$C,"&lt;&gt;Hold",'Candidate Tracker'!$C:$C,"&lt;&gt;Cancelled",'Candidate Tracker'!$C:$C,"&lt;&gt;Closed")/COUNTIFS('Candidate Tracker'!$E:$E,'Positions Tracker'!$B785)=0,"",COUNTIFS('Candidate Tracker'!$E:$E,'Positions Tracker'!$B785,'Candidate Tracker'!$C:$C,"&lt;&gt;WIP",'Candidate Tracker'!$C:$C,"&lt;&gt;Hold",'Candidate Tracker'!$C:$C,"&lt;&gt;Cancelled",'Candidate Tracker'!$C:$C,"&lt;&gt;Closed")/COUNTIFS('Candidate Tracker'!$E:$E,'Positions Tracker'!$B785)),"")</f>
        <v/>
      </c>
      <c r="BD785" s="67" t="str">
        <f t="shared" si="72"/>
        <v/>
      </c>
      <c r="BE785" s="67" t="str">
        <f t="shared" si="73"/>
        <v/>
      </c>
      <c r="BF785" s="67" t="str">
        <f t="shared" si="74"/>
        <v/>
      </c>
      <c r="BG785" s="67" t="str">
        <f t="shared" si="75"/>
        <v/>
      </c>
    </row>
    <row r="786" spans="1:59">
      <c r="A786" s="55"/>
      <c r="B786" s="56"/>
      <c r="C786" s="56"/>
      <c r="D786" s="56"/>
      <c r="E786" s="56"/>
      <c r="F786" s="56"/>
      <c r="G786" s="56"/>
      <c r="H786" s="56"/>
      <c r="I786" s="6"/>
      <c r="J786" s="6"/>
      <c r="K786" s="57"/>
      <c r="L786" s="57"/>
      <c r="M786" s="57"/>
      <c r="N786" s="56"/>
      <c r="O786" s="56"/>
      <c r="P786" s="56"/>
      <c r="Q786" s="56"/>
      <c r="R786" s="56"/>
      <c r="S786" s="56"/>
      <c r="T786" s="56"/>
      <c r="U786" s="56"/>
      <c r="V786" s="56"/>
      <c r="W786" s="56"/>
      <c r="X786" s="56"/>
      <c r="Y786" s="56"/>
      <c r="Z786" s="56"/>
      <c r="AA786" s="56"/>
      <c r="AB786" s="56"/>
      <c r="AC786" s="56"/>
      <c r="AD786" s="56"/>
      <c r="AE786" s="56"/>
      <c r="AF786" s="56"/>
      <c r="AG786" s="56"/>
      <c r="AH786" s="56"/>
      <c r="AI786" s="58"/>
      <c r="AJ786" s="56"/>
      <c r="AK786" s="56"/>
      <c r="AL786" s="56"/>
      <c r="AM786" s="57"/>
      <c r="AN786" s="57"/>
      <c r="AO786" s="56"/>
      <c r="AP786" s="56"/>
      <c r="AQ786" s="57"/>
      <c r="AR786" s="57"/>
      <c r="AS786" s="57"/>
      <c r="AT786" s="67">
        <f t="shared" ca="1" si="76"/>
        <v>0</v>
      </c>
      <c r="AU786" s="79" t="str">
        <f t="shared" ca="1" si="77"/>
        <v/>
      </c>
      <c r="AV786" s="79" t="str" cm="1">
        <f t="array" aca="1" ref="AV786" ca="1">IFERROR(_xlfn.IFS($AU786="","",$AU786&lt;=15,"0-15",AND($AU786&gt;=16,$AU786&lt;=30),"16-30",AND($AU786&gt;=31,$AU786&lt;=45),"31-45",AND($AU786&gt;=46,$AU786&lt;=60),"46-60",AND($AU786&gt;=61,$AU786&lt;=90),"61-90",AND($AU786&gt;=91),"&gt; 90",AND($AU786&gt;=2000),""),"")</f>
        <v/>
      </c>
      <c r="AW786" s="79" t="str" cm="1">
        <f t="array" aca="1" ref="AW786" ca="1">IFERROR(_xlfn.IFS(OR($M786="",$AM786=""),"",OR($C786="Offered",$C786="Joined"),($AM786-$M786)-$AT786),"")</f>
        <v/>
      </c>
      <c r="AX786" s="79" t="str" cm="1">
        <f t="array" aca="1" ref="AX786" ca="1">IFERROR(_xlfn.IFS(OR($M786="",$AS786=""),"",$C786="Joined",($AS786-$M786)-$AT786),"")</f>
        <v/>
      </c>
      <c r="AY786" s="67" t="str">
        <f>IFERROR(IF(COUNTIFS('Candidate Tracker'!$E:$E,'Positions Tracker'!$B786,'Candidate Tracker'!$C:$C,"Offer Drop")=0,"",COUNTIFS('Candidate Tracker'!$E:$E,'Positions Tracker'!$B786,'Candidate Tracker'!$C:$C,"Offer Drop")),"")</f>
        <v/>
      </c>
      <c r="AZ786" s="80">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0.88111888111888115</v>
      </c>
      <c r="BA786" s="81" t="str">
        <f>IFERROR(IF(COUNTIFS('Candidate Tracker'!$E:$E,'Positions Tracker'!$B786,'Candidate Tracker'!$I:$I,"Female")=0,"",COUNTIFS('Candidate Tracker'!$E:$E,'Positions Tracker'!$B786,'Candidate Tracker'!$I:$I,"Female")),"")</f>
        <v/>
      </c>
      <c r="BB786" s="81" t="str">
        <f>IFERROR(IF(COUNTIFS('Candidate Tracker'!$E:$E,'Positions Tracker'!$B786,'Candidate Tracker'!$I:$I,"male")=0,"",COUNTIFS('Candidate Tracker'!$E:$E,'Positions Tracker'!$B786,'Candidate Tracker'!$I:$I,"male")),"")</f>
        <v/>
      </c>
      <c r="BC786" s="80" t="str">
        <f>IFERROR(IF(COUNTIFS('Candidate Tracker'!$E:$E,'Positions Tracker'!$B786,'Candidate Tracker'!$C:$C,"&lt;&gt;WIP",'Candidate Tracker'!$C:$C,"&lt;&gt;Hold",'Candidate Tracker'!$C:$C,"&lt;&gt;Cancelled",'Candidate Tracker'!$C:$C,"&lt;&gt;Closed")/COUNTIFS('Candidate Tracker'!$E:$E,'Positions Tracker'!$B786)=0,"",COUNTIFS('Candidate Tracker'!$E:$E,'Positions Tracker'!$B786,'Candidate Tracker'!$C:$C,"&lt;&gt;WIP",'Candidate Tracker'!$C:$C,"&lt;&gt;Hold",'Candidate Tracker'!$C:$C,"&lt;&gt;Cancelled",'Candidate Tracker'!$C:$C,"&lt;&gt;Closed")/COUNTIFS('Candidate Tracker'!$E:$E,'Positions Tracker'!$B786)),"")</f>
        <v/>
      </c>
      <c r="BD786" s="67" t="str">
        <f t="shared" si="72"/>
        <v/>
      </c>
      <c r="BE786" s="67" t="str">
        <f t="shared" si="73"/>
        <v/>
      </c>
      <c r="BF786" s="67" t="str">
        <f t="shared" si="74"/>
        <v/>
      </c>
      <c r="BG786" s="67" t="str">
        <f t="shared" si="75"/>
        <v/>
      </c>
    </row>
    <row r="787" spans="1:59">
      <c r="A787" s="55"/>
      <c r="B787" s="56"/>
      <c r="C787" s="56"/>
      <c r="D787" s="56"/>
      <c r="E787" s="56"/>
      <c r="F787" s="56"/>
      <c r="G787" s="56"/>
      <c r="H787" s="56"/>
      <c r="I787" s="6"/>
      <c r="J787" s="6"/>
      <c r="K787" s="57"/>
      <c r="L787" s="57"/>
      <c r="M787" s="57"/>
      <c r="N787" s="56"/>
      <c r="O787" s="56"/>
      <c r="P787" s="56"/>
      <c r="Q787" s="56"/>
      <c r="R787" s="56"/>
      <c r="S787" s="56"/>
      <c r="T787" s="56"/>
      <c r="U787" s="56"/>
      <c r="V787" s="56"/>
      <c r="W787" s="56"/>
      <c r="X787" s="56"/>
      <c r="Y787" s="56"/>
      <c r="Z787" s="56"/>
      <c r="AA787" s="56"/>
      <c r="AB787" s="56"/>
      <c r="AC787" s="56"/>
      <c r="AD787" s="56"/>
      <c r="AE787" s="56"/>
      <c r="AF787" s="56"/>
      <c r="AG787" s="56"/>
      <c r="AH787" s="56"/>
      <c r="AI787" s="58"/>
      <c r="AJ787" s="56"/>
      <c r="AK787" s="56"/>
      <c r="AL787" s="56"/>
      <c r="AM787" s="57"/>
      <c r="AN787" s="57"/>
      <c r="AO787" s="56"/>
      <c r="AP787" s="56"/>
      <c r="AQ787" s="57"/>
      <c r="AR787" s="57"/>
      <c r="AS787" s="57"/>
      <c r="AT787" s="67">
        <f t="shared" ca="1" si="76"/>
        <v>0</v>
      </c>
      <c r="AU787" s="79" t="str">
        <f t="shared" ca="1" si="77"/>
        <v/>
      </c>
      <c r="AV787" s="79" t="str" cm="1">
        <f t="array" aca="1" ref="AV787" ca="1">IFERROR(_xlfn.IFS($AU787="","",$AU787&lt;=15,"0-15",AND($AU787&gt;=16,$AU787&lt;=30),"16-30",AND($AU787&gt;=31,$AU787&lt;=45),"31-45",AND($AU787&gt;=46,$AU787&lt;=60),"46-60",AND($AU787&gt;=61,$AU787&lt;=90),"61-90",AND($AU787&gt;=91),"&gt; 90",AND($AU787&gt;=2000),""),"")</f>
        <v/>
      </c>
      <c r="AW787" s="79" t="str" cm="1">
        <f t="array" aca="1" ref="AW787" ca="1">IFERROR(_xlfn.IFS(OR($M787="",$AM787=""),"",OR($C787="Offered",$C787="Joined"),($AM787-$M787)-$AT787),"")</f>
        <v/>
      </c>
      <c r="AX787" s="79" t="str" cm="1">
        <f t="array" aca="1" ref="AX787" ca="1">IFERROR(_xlfn.IFS(OR($M787="",$AS787=""),"",$C787="Joined",($AS787-$M787)-$AT787),"")</f>
        <v/>
      </c>
      <c r="AY787" s="67" t="str">
        <f>IFERROR(IF(COUNTIFS('Candidate Tracker'!$E:$E,'Positions Tracker'!$B787,'Candidate Tracker'!$C:$C,"Offer Drop")=0,"",COUNTIFS('Candidate Tracker'!$E:$E,'Positions Tracker'!$B787,'Candidate Tracker'!$C:$C,"Offer Drop")),"")</f>
        <v/>
      </c>
      <c r="AZ787" s="80">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0.88111888111888115</v>
      </c>
      <c r="BA787" s="81" t="str">
        <f>IFERROR(IF(COUNTIFS('Candidate Tracker'!$E:$E,'Positions Tracker'!$B787,'Candidate Tracker'!$I:$I,"Female")=0,"",COUNTIFS('Candidate Tracker'!$E:$E,'Positions Tracker'!$B787,'Candidate Tracker'!$I:$I,"Female")),"")</f>
        <v/>
      </c>
      <c r="BB787" s="81" t="str">
        <f>IFERROR(IF(COUNTIFS('Candidate Tracker'!$E:$E,'Positions Tracker'!$B787,'Candidate Tracker'!$I:$I,"male")=0,"",COUNTIFS('Candidate Tracker'!$E:$E,'Positions Tracker'!$B787,'Candidate Tracker'!$I:$I,"male")),"")</f>
        <v/>
      </c>
      <c r="BC787" s="80" t="str">
        <f>IFERROR(IF(COUNTIFS('Candidate Tracker'!$E:$E,'Positions Tracker'!$B787,'Candidate Tracker'!$C:$C,"&lt;&gt;WIP",'Candidate Tracker'!$C:$C,"&lt;&gt;Hold",'Candidate Tracker'!$C:$C,"&lt;&gt;Cancelled",'Candidate Tracker'!$C:$C,"&lt;&gt;Closed")/COUNTIFS('Candidate Tracker'!$E:$E,'Positions Tracker'!$B787)=0,"",COUNTIFS('Candidate Tracker'!$E:$E,'Positions Tracker'!$B787,'Candidate Tracker'!$C:$C,"&lt;&gt;WIP",'Candidate Tracker'!$C:$C,"&lt;&gt;Hold",'Candidate Tracker'!$C:$C,"&lt;&gt;Cancelled",'Candidate Tracker'!$C:$C,"&lt;&gt;Closed")/COUNTIFS('Candidate Tracker'!$E:$E,'Positions Tracker'!$B787)),"")</f>
        <v/>
      </c>
      <c r="BD787" s="67" t="str">
        <f t="shared" si="72"/>
        <v/>
      </c>
      <c r="BE787" s="67" t="str">
        <f t="shared" si="73"/>
        <v/>
      </c>
      <c r="BF787" s="67" t="str">
        <f t="shared" si="74"/>
        <v/>
      </c>
      <c r="BG787" s="67" t="str">
        <f t="shared" si="75"/>
        <v/>
      </c>
    </row>
    <row r="788" spans="1:59">
      <c r="A788" s="55"/>
      <c r="B788" s="56"/>
      <c r="C788" s="56"/>
      <c r="D788" s="56"/>
      <c r="E788" s="56"/>
      <c r="F788" s="56"/>
      <c r="G788" s="56"/>
      <c r="H788" s="56"/>
      <c r="I788" s="6"/>
      <c r="J788" s="6"/>
      <c r="K788" s="57"/>
      <c r="L788" s="57"/>
      <c r="M788" s="57"/>
      <c r="N788" s="56"/>
      <c r="O788" s="56"/>
      <c r="P788" s="56"/>
      <c r="Q788" s="56"/>
      <c r="R788" s="56"/>
      <c r="S788" s="56"/>
      <c r="T788" s="56"/>
      <c r="U788" s="56"/>
      <c r="V788" s="56"/>
      <c r="W788" s="56"/>
      <c r="X788" s="56"/>
      <c r="Y788" s="56"/>
      <c r="Z788" s="56"/>
      <c r="AA788" s="56"/>
      <c r="AB788" s="56"/>
      <c r="AC788" s="56"/>
      <c r="AD788" s="56"/>
      <c r="AE788" s="56"/>
      <c r="AF788" s="56"/>
      <c r="AG788" s="56"/>
      <c r="AH788" s="56"/>
      <c r="AI788" s="58"/>
      <c r="AJ788" s="56"/>
      <c r="AK788" s="56"/>
      <c r="AL788" s="56"/>
      <c r="AM788" s="57"/>
      <c r="AN788" s="57"/>
      <c r="AO788" s="56"/>
      <c r="AP788" s="56"/>
      <c r="AQ788" s="57"/>
      <c r="AR788" s="57"/>
      <c r="AS788" s="57"/>
      <c r="AT788" s="67">
        <f t="shared" ca="1" si="76"/>
        <v>0</v>
      </c>
      <c r="AU788" s="79" t="str">
        <f t="shared" ca="1" si="77"/>
        <v/>
      </c>
      <c r="AV788" s="79" t="str" cm="1">
        <f t="array" aca="1" ref="AV788" ca="1">IFERROR(_xlfn.IFS($AU788="","",$AU788&lt;=15,"0-15",AND($AU788&gt;=16,$AU788&lt;=30),"16-30",AND($AU788&gt;=31,$AU788&lt;=45),"31-45",AND($AU788&gt;=46,$AU788&lt;=60),"46-60",AND($AU788&gt;=61,$AU788&lt;=90),"61-90",AND($AU788&gt;=91),"&gt; 90",AND($AU788&gt;=2000),""),"")</f>
        <v/>
      </c>
      <c r="AW788" s="79" t="str" cm="1">
        <f t="array" aca="1" ref="AW788" ca="1">IFERROR(_xlfn.IFS(OR($M788="",$AM788=""),"",OR($C788="Offered",$C788="Joined"),($AM788-$M788)-$AT788),"")</f>
        <v/>
      </c>
      <c r="AX788" s="79" t="str" cm="1">
        <f t="array" aca="1" ref="AX788" ca="1">IFERROR(_xlfn.IFS(OR($M788="",$AS788=""),"",$C788="Joined",($AS788-$M788)-$AT788),"")</f>
        <v/>
      </c>
      <c r="AY788" s="67" t="str">
        <f>IFERROR(IF(COUNTIFS('Candidate Tracker'!$E:$E,'Positions Tracker'!$B788,'Candidate Tracker'!$C:$C,"Offer Drop")=0,"",COUNTIFS('Candidate Tracker'!$E:$E,'Positions Tracker'!$B788,'Candidate Tracker'!$C:$C,"Offer Drop")),"")</f>
        <v/>
      </c>
      <c r="AZ788" s="80">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0.88111888111888115</v>
      </c>
      <c r="BA788" s="81" t="str">
        <f>IFERROR(IF(COUNTIFS('Candidate Tracker'!$E:$E,'Positions Tracker'!$B788,'Candidate Tracker'!$I:$I,"Female")=0,"",COUNTIFS('Candidate Tracker'!$E:$E,'Positions Tracker'!$B788,'Candidate Tracker'!$I:$I,"Female")),"")</f>
        <v/>
      </c>
      <c r="BB788" s="81" t="str">
        <f>IFERROR(IF(COUNTIFS('Candidate Tracker'!$E:$E,'Positions Tracker'!$B788,'Candidate Tracker'!$I:$I,"male")=0,"",COUNTIFS('Candidate Tracker'!$E:$E,'Positions Tracker'!$B788,'Candidate Tracker'!$I:$I,"male")),"")</f>
        <v/>
      </c>
      <c r="BC788" s="80" t="str">
        <f>IFERROR(IF(COUNTIFS('Candidate Tracker'!$E:$E,'Positions Tracker'!$B788,'Candidate Tracker'!$C:$C,"&lt;&gt;WIP",'Candidate Tracker'!$C:$C,"&lt;&gt;Hold",'Candidate Tracker'!$C:$C,"&lt;&gt;Cancelled",'Candidate Tracker'!$C:$C,"&lt;&gt;Closed")/COUNTIFS('Candidate Tracker'!$E:$E,'Positions Tracker'!$B788)=0,"",COUNTIFS('Candidate Tracker'!$E:$E,'Positions Tracker'!$B788,'Candidate Tracker'!$C:$C,"&lt;&gt;WIP",'Candidate Tracker'!$C:$C,"&lt;&gt;Hold",'Candidate Tracker'!$C:$C,"&lt;&gt;Cancelled",'Candidate Tracker'!$C:$C,"&lt;&gt;Closed")/COUNTIFS('Candidate Tracker'!$E:$E,'Positions Tracker'!$B788)),"")</f>
        <v/>
      </c>
      <c r="BD788" s="67" t="str">
        <f t="shared" si="72"/>
        <v/>
      </c>
      <c r="BE788" s="67" t="str">
        <f t="shared" si="73"/>
        <v/>
      </c>
      <c r="BF788" s="67" t="str">
        <f t="shared" si="74"/>
        <v/>
      </c>
      <c r="BG788" s="67" t="str">
        <f t="shared" si="75"/>
        <v/>
      </c>
    </row>
    <row r="789" spans="1:59">
      <c r="A789" s="55"/>
      <c r="B789" s="56"/>
      <c r="C789" s="56"/>
      <c r="D789" s="56"/>
      <c r="E789" s="56"/>
      <c r="F789" s="56"/>
      <c r="G789" s="56"/>
      <c r="H789" s="56"/>
      <c r="I789" s="6"/>
      <c r="J789" s="6"/>
      <c r="K789" s="57"/>
      <c r="L789" s="57"/>
      <c r="M789" s="57"/>
      <c r="N789" s="56"/>
      <c r="O789" s="56"/>
      <c r="P789" s="56"/>
      <c r="Q789" s="56"/>
      <c r="R789" s="56"/>
      <c r="S789" s="56"/>
      <c r="T789" s="56"/>
      <c r="U789" s="56"/>
      <c r="V789" s="56"/>
      <c r="W789" s="56"/>
      <c r="X789" s="56"/>
      <c r="Y789" s="56"/>
      <c r="Z789" s="56"/>
      <c r="AA789" s="56"/>
      <c r="AB789" s="56"/>
      <c r="AC789" s="56"/>
      <c r="AD789" s="56"/>
      <c r="AE789" s="56"/>
      <c r="AF789" s="56"/>
      <c r="AG789" s="56"/>
      <c r="AH789" s="56"/>
      <c r="AI789" s="58"/>
      <c r="AJ789" s="56"/>
      <c r="AK789" s="56"/>
      <c r="AL789" s="56"/>
      <c r="AM789" s="57"/>
      <c r="AN789" s="57"/>
      <c r="AO789" s="56"/>
      <c r="AP789" s="56"/>
      <c r="AQ789" s="57"/>
      <c r="AR789" s="57"/>
      <c r="AS789" s="57"/>
      <c r="AT789" s="67">
        <f t="shared" ca="1" si="76"/>
        <v>0</v>
      </c>
      <c r="AU789" s="79" t="str">
        <f t="shared" ca="1" si="77"/>
        <v/>
      </c>
      <c r="AV789" s="79" t="str" cm="1">
        <f t="array" aca="1" ref="AV789" ca="1">IFERROR(_xlfn.IFS($AU789="","",$AU789&lt;=15,"0-15",AND($AU789&gt;=16,$AU789&lt;=30),"16-30",AND($AU789&gt;=31,$AU789&lt;=45),"31-45",AND($AU789&gt;=46,$AU789&lt;=60),"46-60",AND($AU789&gt;=61,$AU789&lt;=90),"61-90",AND($AU789&gt;=91),"&gt; 90",AND($AU789&gt;=2000),""),"")</f>
        <v/>
      </c>
      <c r="AW789" s="79" t="str" cm="1">
        <f t="array" aca="1" ref="AW789" ca="1">IFERROR(_xlfn.IFS(OR($M789="",$AM789=""),"",OR($C789="Offered",$C789="Joined"),($AM789-$M789)-$AT789),"")</f>
        <v/>
      </c>
      <c r="AX789" s="79" t="str" cm="1">
        <f t="array" aca="1" ref="AX789" ca="1">IFERROR(_xlfn.IFS(OR($M789="",$AS789=""),"",$C789="Joined",($AS789-$M789)-$AT789),"")</f>
        <v/>
      </c>
      <c r="AY789" s="67" t="str">
        <f>IFERROR(IF(COUNTIFS('Candidate Tracker'!$E:$E,'Positions Tracker'!$B789,'Candidate Tracker'!$C:$C,"Offer Drop")=0,"",COUNTIFS('Candidate Tracker'!$E:$E,'Positions Tracker'!$B789,'Candidate Tracker'!$C:$C,"Offer Drop")),"")</f>
        <v/>
      </c>
      <c r="AZ789" s="80">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0.88111888111888115</v>
      </c>
      <c r="BA789" s="81" t="str">
        <f>IFERROR(IF(COUNTIFS('Candidate Tracker'!$E:$E,'Positions Tracker'!$B789,'Candidate Tracker'!$I:$I,"Female")=0,"",COUNTIFS('Candidate Tracker'!$E:$E,'Positions Tracker'!$B789,'Candidate Tracker'!$I:$I,"Female")),"")</f>
        <v/>
      </c>
      <c r="BB789" s="81" t="str">
        <f>IFERROR(IF(COUNTIFS('Candidate Tracker'!$E:$E,'Positions Tracker'!$B789,'Candidate Tracker'!$I:$I,"male")=0,"",COUNTIFS('Candidate Tracker'!$E:$E,'Positions Tracker'!$B789,'Candidate Tracker'!$I:$I,"male")),"")</f>
        <v/>
      </c>
      <c r="BC789" s="80" t="str">
        <f>IFERROR(IF(COUNTIFS('Candidate Tracker'!$E:$E,'Positions Tracker'!$B789,'Candidate Tracker'!$C:$C,"&lt;&gt;WIP",'Candidate Tracker'!$C:$C,"&lt;&gt;Hold",'Candidate Tracker'!$C:$C,"&lt;&gt;Cancelled",'Candidate Tracker'!$C:$C,"&lt;&gt;Closed")/COUNTIFS('Candidate Tracker'!$E:$E,'Positions Tracker'!$B789)=0,"",COUNTIFS('Candidate Tracker'!$E:$E,'Positions Tracker'!$B789,'Candidate Tracker'!$C:$C,"&lt;&gt;WIP",'Candidate Tracker'!$C:$C,"&lt;&gt;Hold",'Candidate Tracker'!$C:$C,"&lt;&gt;Cancelled",'Candidate Tracker'!$C:$C,"&lt;&gt;Closed")/COUNTIFS('Candidate Tracker'!$E:$E,'Positions Tracker'!$B789)),"")</f>
        <v/>
      </c>
      <c r="BD789" s="67" t="str">
        <f t="shared" si="72"/>
        <v/>
      </c>
      <c r="BE789" s="67" t="str">
        <f t="shared" si="73"/>
        <v/>
      </c>
      <c r="BF789" s="67" t="str">
        <f t="shared" si="74"/>
        <v/>
      </c>
      <c r="BG789" s="67" t="str">
        <f t="shared" si="75"/>
        <v/>
      </c>
    </row>
    <row r="790" spans="1:59">
      <c r="A790" s="55"/>
      <c r="B790" s="56"/>
      <c r="C790" s="56"/>
      <c r="D790" s="56"/>
      <c r="E790" s="56"/>
      <c r="F790" s="56"/>
      <c r="G790" s="56"/>
      <c r="H790" s="56"/>
      <c r="I790" s="6"/>
      <c r="J790" s="6"/>
      <c r="K790" s="57"/>
      <c r="L790" s="57"/>
      <c r="M790" s="57"/>
      <c r="N790" s="56"/>
      <c r="O790" s="56"/>
      <c r="P790" s="56"/>
      <c r="Q790" s="56"/>
      <c r="R790" s="56"/>
      <c r="S790" s="56"/>
      <c r="T790" s="56"/>
      <c r="U790" s="56"/>
      <c r="V790" s="56"/>
      <c r="W790" s="56"/>
      <c r="X790" s="56"/>
      <c r="Y790" s="56"/>
      <c r="Z790" s="56"/>
      <c r="AA790" s="56"/>
      <c r="AB790" s="56"/>
      <c r="AC790" s="56"/>
      <c r="AD790" s="56"/>
      <c r="AE790" s="56"/>
      <c r="AF790" s="56"/>
      <c r="AG790" s="56"/>
      <c r="AH790" s="56"/>
      <c r="AI790" s="58"/>
      <c r="AJ790" s="56"/>
      <c r="AK790" s="56"/>
      <c r="AL790" s="56"/>
      <c r="AM790" s="57"/>
      <c r="AN790" s="57"/>
      <c r="AO790" s="56"/>
      <c r="AP790" s="56"/>
      <c r="AQ790" s="57"/>
      <c r="AR790" s="57"/>
      <c r="AS790" s="57"/>
      <c r="AT790" s="67">
        <f t="shared" ca="1" si="76"/>
        <v>0</v>
      </c>
      <c r="AU790" s="79" t="str">
        <f t="shared" ca="1" si="77"/>
        <v/>
      </c>
      <c r="AV790" s="79" t="str" cm="1">
        <f t="array" aca="1" ref="AV790" ca="1">IFERROR(_xlfn.IFS($AU790="","",$AU790&lt;=15,"0-15",AND($AU790&gt;=16,$AU790&lt;=30),"16-30",AND($AU790&gt;=31,$AU790&lt;=45),"31-45",AND($AU790&gt;=46,$AU790&lt;=60),"46-60",AND($AU790&gt;=61,$AU790&lt;=90),"61-90",AND($AU790&gt;=91),"&gt; 90",AND($AU790&gt;=2000),""),"")</f>
        <v/>
      </c>
      <c r="AW790" s="79" t="str" cm="1">
        <f t="array" aca="1" ref="AW790" ca="1">IFERROR(_xlfn.IFS(OR($M790="",$AM790=""),"",OR($C790="Offered",$C790="Joined"),($AM790-$M790)-$AT790),"")</f>
        <v/>
      </c>
      <c r="AX790" s="79" t="str" cm="1">
        <f t="array" aca="1" ref="AX790" ca="1">IFERROR(_xlfn.IFS(OR($M790="",$AS790=""),"",$C790="Joined",($AS790-$M790)-$AT790),"")</f>
        <v/>
      </c>
      <c r="AY790" s="67" t="str">
        <f>IFERROR(IF(COUNTIFS('Candidate Tracker'!$E:$E,'Positions Tracker'!$B790,'Candidate Tracker'!$C:$C,"Offer Drop")=0,"",COUNTIFS('Candidate Tracker'!$E:$E,'Positions Tracker'!$B790,'Candidate Tracker'!$C:$C,"Offer Drop")),"")</f>
        <v/>
      </c>
      <c r="AZ790" s="80">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0.88111888111888115</v>
      </c>
      <c r="BA790" s="81" t="str">
        <f>IFERROR(IF(COUNTIFS('Candidate Tracker'!$E:$E,'Positions Tracker'!$B790,'Candidate Tracker'!$I:$I,"Female")=0,"",COUNTIFS('Candidate Tracker'!$E:$E,'Positions Tracker'!$B790,'Candidate Tracker'!$I:$I,"Female")),"")</f>
        <v/>
      </c>
      <c r="BB790" s="81" t="str">
        <f>IFERROR(IF(COUNTIFS('Candidate Tracker'!$E:$E,'Positions Tracker'!$B790,'Candidate Tracker'!$I:$I,"male")=0,"",COUNTIFS('Candidate Tracker'!$E:$E,'Positions Tracker'!$B790,'Candidate Tracker'!$I:$I,"male")),"")</f>
        <v/>
      </c>
      <c r="BC790" s="80" t="str">
        <f>IFERROR(IF(COUNTIFS('Candidate Tracker'!$E:$E,'Positions Tracker'!$B790,'Candidate Tracker'!$C:$C,"&lt;&gt;WIP",'Candidate Tracker'!$C:$C,"&lt;&gt;Hold",'Candidate Tracker'!$C:$C,"&lt;&gt;Cancelled",'Candidate Tracker'!$C:$C,"&lt;&gt;Closed")/COUNTIFS('Candidate Tracker'!$E:$E,'Positions Tracker'!$B790)=0,"",COUNTIFS('Candidate Tracker'!$E:$E,'Positions Tracker'!$B790,'Candidate Tracker'!$C:$C,"&lt;&gt;WIP",'Candidate Tracker'!$C:$C,"&lt;&gt;Hold",'Candidate Tracker'!$C:$C,"&lt;&gt;Cancelled",'Candidate Tracker'!$C:$C,"&lt;&gt;Closed")/COUNTIFS('Candidate Tracker'!$E:$E,'Positions Tracker'!$B790)),"")</f>
        <v/>
      </c>
      <c r="BD790" s="67" t="str">
        <f t="shared" si="72"/>
        <v/>
      </c>
      <c r="BE790" s="67" t="str">
        <f t="shared" si="73"/>
        <v/>
      </c>
      <c r="BF790" s="67" t="str">
        <f t="shared" si="74"/>
        <v/>
      </c>
      <c r="BG790" s="67" t="str">
        <f t="shared" si="75"/>
        <v/>
      </c>
    </row>
    <row r="791" spans="1:59">
      <c r="A791" s="55"/>
      <c r="B791" s="56"/>
      <c r="C791" s="56"/>
      <c r="D791" s="56"/>
      <c r="E791" s="56"/>
      <c r="F791" s="56"/>
      <c r="G791" s="56"/>
      <c r="H791" s="56"/>
      <c r="I791" s="6"/>
      <c r="J791" s="6"/>
      <c r="K791" s="57"/>
      <c r="L791" s="57"/>
      <c r="M791" s="57"/>
      <c r="N791" s="56"/>
      <c r="O791" s="56"/>
      <c r="P791" s="56"/>
      <c r="Q791" s="56"/>
      <c r="R791" s="56"/>
      <c r="S791" s="56"/>
      <c r="T791" s="56"/>
      <c r="U791" s="56"/>
      <c r="V791" s="56"/>
      <c r="W791" s="56"/>
      <c r="X791" s="56"/>
      <c r="Y791" s="56"/>
      <c r="Z791" s="56"/>
      <c r="AA791" s="56"/>
      <c r="AB791" s="56"/>
      <c r="AC791" s="56"/>
      <c r="AD791" s="56"/>
      <c r="AE791" s="56"/>
      <c r="AF791" s="56"/>
      <c r="AG791" s="56"/>
      <c r="AH791" s="56"/>
      <c r="AI791" s="58"/>
      <c r="AJ791" s="56"/>
      <c r="AK791" s="56"/>
      <c r="AL791" s="56"/>
      <c r="AM791" s="57"/>
      <c r="AN791" s="57"/>
      <c r="AO791" s="56"/>
      <c r="AP791" s="56"/>
      <c r="AQ791" s="57"/>
      <c r="AR791" s="57"/>
      <c r="AS791" s="57"/>
      <c r="AT791" s="67">
        <f t="shared" ca="1" si="76"/>
        <v>0</v>
      </c>
      <c r="AU791" s="79" t="str">
        <f t="shared" ca="1" si="77"/>
        <v/>
      </c>
      <c r="AV791" s="79" t="str" cm="1">
        <f t="array" aca="1" ref="AV791" ca="1">IFERROR(_xlfn.IFS($AU791="","",$AU791&lt;=15,"0-15",AND($AU791&gt;=16,$AU791&lt;=30),"16-30",AND($AU791&gt;=31,$AU791&lt;=45),"31-45",AND($AU791&gt;=46,$AU791&lt;=60),"46-60",AND($AU791&gt;=61,$AU791&lt;=90),"61-90",AND($AU791&gt;=91),"&gt; 90",AND($AU791&gt;=2000),""),"")</f>
        <v/>
      </c>
      <c r="AW791" s="79" t="str" cm="1">
        <f t="array" aca="1" ref="AW791" ca="1">IFERROR(_xlfn.IFS(OR($M791="",$AM791=""),"",OR($C791="Offered",$C791="Joined"),($AM791-$M791)-$AT791),"")</f>
        <v/>
      </c>
      <c r="AX791" s="79" t="str" cm="1">
        <f t="array" aca="1" ref="AX791" ca="1">IFERROR(_xlfn.IFS(OR($M791="",$AS791=""),"",$C791="Joined",($AS791-$M791)-$AT791),"")</f>
        <v/>
      </c>
      <c r="AY791" s="67" t="str">
        <f>IFERROR(IF(COUNTIFS('Candidate Tracker'!$E:$E,'Positions Tracker'!$B791,'Candidate Tracker'!$C:$C,"Offer Drop")=0,"",COUNTIFS('Candidate Tracker'!$E:$E,'Positions Tracker'!$B791,'Candidate Tracker'!$C:$C,"Offer Drop")),"")</f>
        <v/>
      </c>
      <c r="AZ791" s="80">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0.88111888111888115</v>
      </c>
      <c r="BA791" s="81" t="str">
        <f>IFERROR(IF(COUNTIFS('Candidate Tracker'!$E:$E,'Positions Tracker'!$B791,'Candidate Tracker'!$I:$I,"Female")=0,"",COUNTIFS('Candidate Tracker'!$E:$E,'Positions Tracker'!$B791,'Candidate Tracker'!$I:$I,"Female")),"")</f>
        <v/>
      </c>
      <c r="BB791" s="81" t="str">
        <f>IFERROR(IF(COUNTIFS('Candidate Tracker'!$E:$E,'Positions Tracker'!$B791,'Candidate Tracker'!$I:$I,"male")=0,"",COUNTIFS('Candidate Tracker'!$E:$E,'Positions Tracker'!$B791,'Candidate Tracker'!$I:$I,"male")),"")</f>
        <v/>
      </c>
      <c r="BC791" s="80" t="str">
        <f>IFERROR(IF(COUNTIFS('Candidate Tracker'!$E:$E,'Positions Tracker'!$B791,'Candidate Tracker'!$C:$C,"&lt;&gt;WIP",'Candidate Tracker'!$C:$C,"&lt;&gt;Hold",'Candidate Tracker'!$C:$C,"&lt;&gt;Cancelled",'Candidate Tracker'!$C:$C,"&lt;&gt;Closed")/COUNTIFS('Candidate Tracker'!$E:$E,'Positions Tracker'!$B791)=0,"",COUNTIFS('Candidate Tracker'!$E:$E,'Positions Tracker'!$B791,'Candidate Tracker'!$C:$C,"&lt;&gt;WIP",'Candidate Tracker'!$C:$C,"&lt;&gt;Hold",'Candidate Tracker'!$C:$C,"&lt;&gt;Cancelled",'Candidate Tracker'!$C:$C,"&lt;&gt;Closed")/COUNTIFS('Candidate Tracker'!$E:$E,'Positions Tracker'!$B791)),"")</f>
        <v/>
      </c>
      <c r="BD791" s="67" t="str">
        <f t="shared" si="72"/>
        <v/>
      </c>
      <c r="BE791" s="67" t="str">
        <f t="shared" si="73"/>
        <v/>
      </c>
      <c r="BF791" s="67" t="str">
        <f t="shared" si="74"/>
        <v/>
      </c>
      <c r="BG791" s="67" t="str">
        <f t="shared" si="75"/>
        <v/>
      </c>
    </row>
    <row r="792" spans="1:59">
      <c r="A792" s="55"/>
      <c r="B792" s="56"/>
      <c r="C792" s="56"/>
      <c r="D792" s="56"/>
      <c r="E792" s="56"/>
      <c r="F792" s="56"/>
      <c r="G792" s="56"/>
      <c r="H792" s="56"/>
      <c r="I792" s="6"/>
      <c r="J792" s="6"/>
      <c r="K792" s="57"/>
      <c r="L792" s="57"/>
      <c r="M792" s="57"/>
      <c r="N792" s="56"/>
      <c r="O792" s="56"/>
      <c r="P792" s="56"/>
      <c r="Q792" s="56"/>
      <c r="R792" s="56"/>
      <c r="S792" s="56"/>
      <c r="T792" s="56"/>
      <c r="U792" s="56"/>
      <c r="V792" s="56"/>
      <c r="W792" s="56"/>
      <c r="X792" s="56"/>
      <c r="Y792" s="56"/>
      <c r="Z792" s="56"/>
      <c r="AA792" s="56"/>
      <c r="AB792" s="56"/>
      <c r="AC792" s="56"/>
      <c r="AD792" s="56"/>
      <c r="AE792" s="56"/>
      <c r="AF792" s="56"/>
      <c r="AG792" s="56"/>
      <c r="AH792" s="56"/>
      <c r="AI792" s="58"/>
      <c r="AJ792" s="56"/>
      <c r="AK792" s="56"/>
      <c r="AL792" s="56"/>
      <c r="AM792" s="57"/>
      <c r="AN792" s="57"/>
      <c r="AO792" s="56"/>
      <c r="AP792" s="56"/>
      <c r="AQ792" s="57"/>
      <c r="AR792" s="57"/>
      <c r="AS792" s="57"/>
      <c r="AT792" s="67">
        <f t="shared" ca="1" si="76"/>
        <v>0</v>
      </c>
      <c r="AU792" s="79" t="str">
        <f t="shared" ca="1" si="77"/>
        <v/>
      </c>
      <c r="AV792" s="79" t="str" cm="1">
        <f t="array" aca="1" ref="AV792" ca="1">IFERROR(_xlfn.IFS($AU792="","",$AU792&lt;=15,"0-15",AND($AU792&gt;=16,$AU792&lt;=30),"16-30",AND($AU792&gt;=31,$AU792&lt;=45),"31-45",AND($AU792&gt;=46,$AU792&lt;=60),"46-60",AND($AU792&gt;=61,$AU792&lt;=90),"61-90",AND($AU792&gt;=91),"&gt; 90",AND($AU792&gt;=2000),""),"")</f>
        <v/>
      </c>
      <c r="AW792" s="79" t="str" cm="1">
        <f t="array" aca="1" ref="AW792" ca="1">IFERROR(_xlfn.IFS(OR($M792="",$AM792=""),"",OR($C792="Offered",$C792="Joined"),($AM792-$M792)-$AT792),"")</f>
        <v/>
      </c>
      <c r="AX792" s="79" t="str" cm="1">
        <f t="array" aca="1" ref="AX792" ca="1">IFERROR(_xlfn.IFS(OR($M792="",$AS792=""),"",$C792="Joined",($AS792-$M792)-$AT792),"")</f>
        <v/>
      </c>
      <c r="AY792" s="67" t="str">
        <f>IFERROR(IF(COUNTIFS('Candidate Tracker'!$E:$E,'Positions Tracker'!$B792,'Candidate Tracker'!$C:$C,"Offer Drop")=0,"",COUNTIFS('Candidate Tracker'!$E:$E,'Positions Tracker'!$B792,'Candidate Tracker'!$C:$C,"Offer Drop")),"")</f>
        <v/>
      </c>
      <c r="AZ792" s="80">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0.88111888111888115</v>
      </c>
      <c r="BA792" s="81" t="str">
        <f>IFERROR(IF(COUNTIFS('Candidate Tracker'!$E:$E,'Positions Tracker'!$B792,'Candidate Tracker'!$I:$I,"Female")=0,"",COUNTIFS('Candidate Tracker'!$E:$E,'Positions Tracker'!$B792,'Candidate Tracker'!$I:$I,"Female")),"")</f>
        <v/>
      </c>
      <c r="BB792" s="81" t="str">
        <f>IFERROR(IF(COUNTIFS('Candidate Tracker'!$E:$E,'Positions Tracker'!$B792,'Candidate Tracker'!$I:$I,"male")=0,"",COUNTIFS('Candidate Tracker'!$E:$E,'Positions Tracker'!$B792,'Candidate Tracker'!$I:$I,"male")),"")</f>
        <v/>
      </c>
      <c r="BC792" s="80" t="str">
        <f>IFERROR(IF(COUNTIFS('Candidate Tracker'!$E:$E,'Positions Tracker'!$B792,'Candidate Tracker'!$C:$C,"&lt;&gt;WIP",'Candidate Tracker'!$C:$C,"&lt;&gt;Hold",'Candidate Tracker'!$C:$C,"&lt;&gt;Cancelled",'Candidate Tracker'!$C:$C,"&lt;&gt;Closed")/COUNTIFS('Candidate Tracker'!$E:$E,'Positions Tracker'!$B792)=0,"",COUNTIFS('Candidate Tracker'!$E:$E,'Positions Tracker'!$B792,'Candidate Tracker'!$C:$C,"&lt;&gt;WIP",'Candidate Tracker'!$C:$C,"&lt;&gt;Hold",'Candidate Tracker'!$C:$C,"&lt;&gt;Cancelled",'Candidate Tracker'!$C:$C,"&lt;&gt;Closed")/COUNTIFS('Candidate Tracker'!$E:$E,'Positions Tracker'!$B792)),"")</f>
        <v/>
      </c>
      <c r="BD792" s="67" t="str">
        <f t="shared" si="72"/>
        <v/>
      </c>
      <c r="BE792" s="67" t="str">
        <f t="shared" si="73"/>
        <v/>
      </c>
      <c r="BF792" s="67" t="str">
        <f t="shared" si="74"/>
        <v/>
      </c>
      <c r="BG792" s="67" t="str">
        <f t="shared" si="75"/>
        <v/>
      </c>
    </row>
    <row r="793" spans="1:59">
      <c r="A793" s="55"/>
      <c r="B793" s="56"/>
      <c r="C793" s="56"/>
      <c r="D793" s="56"/>
      <c r="E793" s="56"/>
      <c r="F793" s="56"/>
      <c r="G793" s="56"/>
      <c r="H793" s="56"/>
      <c r="I793" s="6"/>
      <c r="J793" s="6"/>
      <c r="K793" s="57"/>
      <c r="L793" s="57"/>
      <c r="M793" s="57"/>
      <c r="N793" s="56"/>
      <c r="O793" s="56"/>
      <c r="P793" s="56"/>
      <c r="Q793" s="56"/>
      <c r="R793" s="56"/>
      <c r="S793" s="56"/>
      <c r="T793" s="56"/>
      <c r="U793" s="56"/>
      <c r="V793" s="56"/>
      <c r="W793" s="56"/>
      <c r="X793" s="56"/>
      <c r="Y793" s="56"/>
      <c r="Z793" s="56"/>
      <c r="AA793" s="56"/>
      <c r="AB793" s="56"/>
      <c r="AC793" s="56"/>
      <c r="AD793" s="56"/>
      <c r="AE793" s="56"/>
      <c r="AF793" s="56"/>
      <c r="AG793" s="56"/>
      <c r="AH793" s="56"/>
      <c r="AI793" s="58"/>
      <c r="AJ793" s="56"/>
      <c r="AK793" s="56"/>
      <c r="AL793" s="56"/>
      <c r="AM793" s="57"/>
      <c r="AN793" s="57"/>
      <c r="AO793" s="56"/>
      <c r="AP793" s="56"/>
      <c r="AQ793" s="57"/>
      <c r="AR793" s="57"/>
      <c r="AS793" s="57"/>
      <c r="AT793" s="67">
        <f t="shared" ca="1" si="76"/>
        <v>0</v>
      </c>
      <c r="AU793" s="79" t="str">
        <f t="shared" ca="1" si="77"/>
        <v/>
      </c>
      <c r="AV793" s="79" t="str" cm="1">
        <f t="array" aca="1" ref="AV793" ca="1">IFERROR(_xlfn.IFS($AU793="","",$AU793&lt;=15,"0-15",AND($AU793&gt;=16,$AU793&lt;=30),"16-30",AND($AU793&gt;=31,$AU793&lt;=45),"31-45",AND($AU793&gt;=46,$AU793&lt;=60),"46-60",AND($AU793&gt;=61,$AU793&lt;=90),"61-90",AND($AU793&gt;=91),"&gt; 90",AND($AU793&gt;=2000),""),"")</f>
        <v/>
      </c>
      <c r="AW793" s="79" t="str" cm="1">
        <f t="array" aca="1" ref="AW793" ca="1">IFERROR(_xlfn.IFS(OR($M793="",$AM793=""),"",OR($C793="Offered",$C793="Joined"),($AM793-$M793)-$AT793),"")</f>
        <v/>
      </c>
      <c r="AX793" s="79" t="str" cm="1">
        <f t="array" aca="1" ref="AX793" ca="1">IFERROR(_xlfn.IFS(OR($M793="",$AS793=""),"",$C793="Joined",($AS793-$M793)-$AT793),"")</f>
        <v/>
      </c>
      <c r="AY793" s="67" t="str">
        <f>IFERROR(IF(COUNTIFS('Candidate Tracker'!$E:$E,'Positions Tracker'!$B793,'Candidate Tracker'!$C:$C,"Offer Drop")=0,"",COUNTIFS('Candidate Tracker'!$E:$E,'Positions Tracker'!$B793,'Candidate Tracker'!$C:$C,"Offer Drop")),"")</f>
        <v/>
      </c>
      <c r="AZ793" s="80">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0.88111888111888115</v>
      </c>
      <c r="BA793" s="81" t="str">
        <f>IFERROR(IF(COUNTIFS('Candidate Tracker'!$E:$E,'Positions Tracker'!$B793,'Candidate Tracker'!$I:$I,"Female")=0,"",COUNTIFS('Candidate Tracker'!$E:$E,'Positions Tracker'!$B793,'Candidate Tracker'!$I:$I,"Female")),"")</f>
        <v/>
      </c>
      <c r="BB793" s="81" t="str">
        <f>IFERROR(IF(COUNTIFS('Candidate Tracker'!$E:$E,'Positions Tracker'!$B793,'Candidate Tracker'!$I:$I,"male")=0,"",COUNTIFS('Candidate Tracker'!$E:$E,'Positions Tracker'!$B793,'Candidate Tracker'!$I:$I,"male")),"")</f>
        <v/>
      </c>
      <c r="BC793" s="80" t="str">
        <f>IFERROR(IF(COUNTIFS('Candidate Tracker'!$E:$E,'Positions Tracker'!$B793,'Candidate Tracker'!$C:$C,"&lt;&gt;WIP",'Candidate Tracker'!$C:$C,"&lt;&gt;Hold",'Candidate Tracker'!$C:$C,"&lt;&gt;Cancelled",'Candidate Tracker'!$C:$C,"&lt;&gt;Closed")/COUNTIFS('Candidate Tracker'!$E:$E,'Positions Tracker'!$B793)=0,"",COUNTIFS('Candidate Tracker'!$E:$E,'Positions Tracker'!$B793,'Candidate Tracker'!$C:$C,"&lt;&gt;WIP",'Candidate Tracker'!$C:$C,"&lt;&gt;Hold",'Candidate Tracker'!$C:$C,"&lt;&gt;Cancelled",'Candidate Tracker'!$C:$C,"&lt;&gt;Closed")/COUNTIFS('Candidate Tracker'!$E:$E,'Positions Tracker'!$B793)),"")</f>
        <v/>
      </c>
      <c r="BD793" s="67" t="str">
        <f t="shared" si="72"/>
        <v/>
      </c>
      <c r="BE793" s="67" t="str">
        <f t="shared" si="73"/>
        <v/>
      </c>
      <c r="BF793" s="67" t="str">
        <f t="shared" si="74"/>
        <v/>
      </c>
      <c r="BG793" s="67" t="str">
        <f t="shared" si="75"/>
        <v/>
      </c>
    </row>
    <row r="794" spans="1:59">
      <c r="A794" s="55"/>
      <c r="B794" s="56"/>
      <c r="C794" s="56"/>
      <c r="D794" s="56"/>
      <c r="E794" s="56"/>
      <c r="F794" s="56"/>
      <c r="G794" s="56"/>
      <c r="H794" s="56"/>
      <c r="I794" s="6"/>
      <c r="J794" s="6"/>
      <c r="K794" s="57"/>
      <c r="L794" s="57"/>
      <c r="M794" s="57"/>
      <c r="N794" s="56"/>
      <c r="O794" s="56"/>
      <c r="P794" s="56"/>
      <c r="Q794" s="56"/>
      <c r="R794" s="56"/>
      <c r="S794" s="56"/>
      <c r="T794" s="56"/>
      <c r="U794" s="56"/>
      <c r="V794" s="56"/>
      <c r="W794" s="56"/>
      <c r="X794" s="56"/>
      <c r="Y794" s="56"/>
      <c r="Z794" s="56"/>
      <c r="AA794" s="56"/>
      <c r="AB794" s="56"/>
      <c r="AC794" s="56"/>
      <c r="AD794" s="56"/>
      <c r="AE794" s="56"/>
      <c r="AF794" s="56"/>
      <c r="AG794" s="56"/>
      <c r="AH794" s="56"/>
      <c r="AI794" s="58"/>
      <c r="AJ794" s="56"/>
      <c r="AK794" s="56"/>
      <c r="AL794" s="56"/>
      <c r="AM794" s="57"/>
      <c r="AN794" s="57"/>
      <c r="AO794" s="56"/>
      <c r="AP794" s="56"/>
      <c r="AQ794" s="57"/>
      <c r="AR794" s="57"/>
      <c r="AS794" s="57"/>
      <c r="AT794" s="67">
        <f t="shared" ca="1" si="76"/>
        <v>0</v>
      </c>
      <c r="AU794" s="79" t="str">
        <f t="shared" ca="1" si="77"/>
        <v/>
      </c>
      <c r="AV794" s="79" t="str" cm="1">
        <f t="array" aca="1" ref="AV794" ca="1">IFERROR(_xlfn.IFS($AU794="","",$AU794&lt;=15,"0-15",AND($AU794&gt;=16,$AU794&lt;=30),"16-30",AND($AU794&gt;=31,$AU794&lt;=45),"31-45",AND($AU794&gt;=46,$AU794&lt;=60),"46-60",AND($AU794&gt;=61,$AU794&lt;=90),"61-90",AND($AU794&gt;=91),"&gt; 90",AND($AU794&gt;=2000),""),"")</f>
        <v/>
      </c>
      <c r="AW794" s="79" t="str" cm="1">
        <f t="array" aca="1" ref="AW794" ca="1">IFERROR(_xlfn.IFS(OR($M794="",$AM794=""),"",OR($C794="Offered",$C794="Joined"),($AM794-$M794)-$AT794),"")</f>
        <v/>
      </c>
      <c r="AX794" s="79" t="str" cm="1">
        <f t="array" aca="1" ref="AX794" ca="1">IFERROR(_xlfn.IFS(OR($M794="",$AS794=""),"",$C794="Joined",($AS794-$M794)-$AT794),"")</f>
        <v/>
      </c>
      <c r="AY794" s="67" t="str">
        <f>IFERROR(IF(COUNTIFS('Candidate Tracker'!$E:$E,'Positions Tracker'!$B794,'Candidate Tracker'!$C:$C,"Offer Drop")=0,"",COUNTIFS('Candidate Tracker'!$E:$E,'Positions Tracker'!$B794,'Candidate Tracker'!$C:$C,"Offer Drop")),"")</f>
        <v/>
      </c>
      <c r="AZ794" s="80">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0.88111888111888115</v>
      </c>
      <c r="BA794" s="81" t="str">
        <f>IFERROR(IF(COUNTIFS('Candidate Tracker'!$E:$E,'Positions Tracker'!$B794,'Candidate Tracker'!$I:$I,"Female")=0,"",COUNTIFS('Candidate Tracker'!$E:$E,'Positions Tracker'!$B794,'Candidate Tracker'!$I:$I,"Female")),"")</f>
        <v/>
      </c>
      <c r="BB794" s="81" t="str">
        <f>IFERROR(IF(COUNTIFS('Candidate Tracker'!$E:$E,'Positions Tracker'!$B794,'Candidate Tracker'!$I:$I,"male")=0,"",COUNTIFS('Candidate Tracker'!$E:$E,'Positions Tracker'!$B794,'Candidate Tracker'!$I:$I,"male")),"")</f>
        <v/>
      </c>
      <c r="BC794" s="80" t="str">
        <f>IFERROR(IF(COUNTIFS('Candidate Tracker'!$E:$E,'Positions Tracker'!$B794,'Candidate Tracker'!$C:$C,"&lt;&gt;WIP",'Candidate Tracker'!$C:$C,"&lt;&gt;Hold",'Candidate Tracker'!$C:$C,"&lt;&gt;Cancelled",'Candidate Tracker'!$C:$C,"&lt;&gt;Closed")/COUNTIFS('Candidate Tracker'!$E:$E,'Positions Tracker'!$B794)=0,"",COUNTIFS('Candidate Tracker'!$E:$E,'Positions Tracker'!$B794,'Candidate Tracker'!$C:$C,"&lt;&gt;WIP",'Candidate Tracker'!$C:$C,"&lt;&gt;Hold",'Candidate Tracker'!$C:$C,"&lt;&gt;Cancelled",'Candidate Tracker'!$C:$C,"&lt;&gt;Closed")/COUNTIFS('Candidate Tracker'!$E:$E,'Positions Tracker'!$B794)),"")</f>
        <v/>
      </c>
      <c r="BD794" s="67" t="str">
        <f t="shared" si="72"/>
        <v/>
      </c>
      <c r="BE794" s="67" t="str">
        <f t="shared" si="73"/>
        <v/>
      </c>
      <c r="BF794" s="67" t="str">
        <f t="shared" si="74"/>
        <v/>
      </c>
      <c r="BG794" s="67" t="str">
        <f t="shared" si="75"/>
        <v/>
      </c>
    </row>
    <row r="795" spans="1:59">
      <c r="A795" s="55"/>
      <c r="B795" s="56"/>
      <c r="C795" s="56"/>
      <c r="D795" s="56"/>
      <c r="E795" s="56"/>
      <c r="F795" s="56"/>
      <c r="G795" s="56"/>
      <c r="H795" s="56"/>
      <c r="I795" s="6"/>
      <c r="J795" s="6"/>
      <c r="K795" s="57"/>
      <c r="L795" s="57"/>
      <c r="M795" s="57"/>
      <c r="N795" s="56"/>
      <c r="O795" s="56"/>
      <c r="P795" s="56"/>
      <c r="Q795" s="56"/>
      <c r="R795" s="56"/>
      <c r="S795" s="56"/>
      <c r="T795" s="56"/>
      <c r="U795" s="56"/>
      <c r="V795" s="56"/>
      <c r="W795" s="56"/>
      <c r="X795" s="56"/>
      <c r="Y795" s="56"/>
      <c r="Z795" s="56"/>
      <c r="AA795" s="56"/>
      <c r="AB795" s="56"/>
      <c r="AC795" s="56"/>
      <c r="AD795" s="56"/>
      <c r="AE795" s="56"/>
      <c r="AF795" s="56"/>
      <c r="AG795" s="56"/>
      <c r="AH795" s="56"/>
      <c r="AI795" s="58"/>
      <c r="AJ795" s="56"/>
      <c r="AK795" s="56"/>
      <c r="AL795" s="56"/>
      <c r="AM795" s="57"/>
      <c r="AN795" s="57"/>
      <c r="AO795" s="56"/>
      <c r="AP795" s="56"/>
      <c r="AQ795" s="57"/>
      <c r="AR795" s="57"/>
      <c r="AS795" s="57"/>
      <c r="AT795" s="67">
        <f t="shared" ca="1" si="76"/>
        <v>0</v>
      </c>
      <c r="AU795" s="79" t="str">
        <f t="shared" ca="1" si="77"/>
        <v/>
      </c>
      <c r="AV795" s="79" t="str" cm="1">
        <f t="array" aca="1" ref="AV795" ca="1">IFERROR(_xlfn.IFS($AU795="","",$AU795&lt;=15,"0-15",AND($AU795&gt;=16,$AU795&lt;=30),"16-30",AND($AU795&gt;=31,$AU795&lt;=45),"31-45",AND($AU795&gt;=46,$AU795&lt;=60),"46-60",AND($AU795&gt;=61,$AU795&lt;=90),"61-90",AND($AU795&gt;=91),"&gt; 90",AND($AU795&gt;=2000),""),"")</f>
        <v/>
      </c>
      <c r="AW795" s="79" t="str" cm="1">
        <f t="array" aca="1" ref="AW795" ca="1">IFERROR(_xlfn.IFS(OR($M795="",$AM795=""),"",OR($C795="Offered",$C795="Joined"),($AM795-$M795)-$AT795),"")</f>
        <v/>
      </c>
      <c r="AX795" s="79" t="str" cm="1">
        <f t="array" aca="1" ref="AX795" ca="1">IFERROR(_xlfn.IFS(OR($M795="",$AS795=""),"",$C795="Joined",($AS795-$M795)-$AT795),"")</f>
        <v/>
      </c>
      <c r="AY795" s="67" t="str">
        <f>IFERROR(IF(COUNTIFS('Candidate Tracker'!$E:$E,'Positions Tracker'!$B795,'Candidate Tracker'!$C:$C,"Offer Drop")=0,"",COUNTIFS('Candidate Tracker'!$E:$E,'Positions Tracker'!$B795,'Candidate Tracker'!$C:$C,"Offer Drop")),"")</f>
        <v/>
      </c>
      <c r="AZ795" s="80">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0.88111888111888115</v>
      </c>
      <c r="BA795" s="81" t="str">
        <f>IFERROR(IF(COUNTIFS('Candidate Tracker'!$E:$E,'Positions Tracker'!$B795,'Candidate Tracker'!$I:$I,"Female")=0,"",COUNTIFS('Candidate Tracker'!$E:$E,'Positions Tracker'!$B795,'Candidate Tracker'!$I:$I,"Female")),"")</f>
        <v/>
      </c>
      <c r="BB795" s="81" t="str">
        <f>IFERROR(IF(COUNTIFS('Candidate Tracker'!$E:$E,'Positions Tracker'!$B795,'Candidate Tracker'!$I:$I,"male")=0,"",COUNTIFS('Candidate Tracker'!$E:$E,'Positions Tracker'!$B795,'Candidate Tracker'!$I:$I,"male")),"")</f>
        <v/>
      </c>
      <c r="BC795" s="80" t="str">
        <f>IFERROR(IF(COUNTIFS('Candidate Tracker'!$E:$E,'Positions Tracker'!$B795,'Candidate Tracker'!$C:$C,"&lt;&gt;WIP",'Candidate Tracker'!$C:$C,"&lt;&gt;Hold",'Candidate Tracker'!$C:$C,"&lt;&gt;Cancelled",'Candidate Tracker'!$C:$C,"&lt;&gt;Closed")/COUNTIFS('Candidate Tracker'!$E:$E,'Positions Tracker'!$B795)=0,"",COUNTIFS('Candidate Tracker'!$E:$E,'Positions Tracker'!$B795,'Candidate Tracker'!$C:$C,"&lt;&gt;WIP",'Candidate Tracker'!$C:$C,"&lt;&gt;Hold",'Candidate Tracker'!$C:$C,"&lt;&gt;Cancelled",'Candidate Tracker'!$C:$C,"&lt;&gt;Closed")/COUNTIFS('Candidate Tracker'!$E:$E,'Positions Tracker'!$B795)),"")</f>
        <v/>
      </c>
      <c r="BD795" s="67" t="str">
        <f t="shared" si="72"/>
        <v/>
      </c>
      <c r="BE795" s="67" t="str">
        <f t="shared" si="73"/>
        <v/>
      </c>
      <c r="BF795" s="67" t="str">
        <f t="shared" si="74"/>
        <v/>
      </c>
      <c r="BG795" s="67" t="str">
        <f t="shared" si="75"/>
        <v/>
      </c>
    </row>
    <row r="796" spans="1:59">
      <c r="A796" s="55"/>
      <c r="B796" s="56"/>
      <c r="C796" s="56"/>
      <c r="D796" s="56"/>
      <c r="E796" s="56"/>
      <c r="F796" s="56"/>
      <c r="G796" s="56"/>
      <c r="H796" s="56"/>
      <c r="I796" s="6"/>
      <c r="J796" s="6"/>
      <c r="K796" s="57"/>
      <c r="L796" s="57"/>
      <c r="M796" s="57"/>
      <c r="N796" s="56"/>
      <c r="O796" s="56"/>
      <c r="P796" s="56"/>
      <c r="Q796" s="56"/>
      <c r="R796" s="56"/>
      <c r="S796" s="56"/>
      <c r="T796" s="56"/>
      <c r="U796" s="56"/>
      <c r="V796" s="56"/>
      <c r="W796" s="56"/>
      <c r="X796" s="56"/>
      <c r="Y796" s="56"/>
      <c r="Z796" s="56"/>
      <c r="AA796" s="56"/>
      <c r="AB796" s="56"/>
      <c r="AC796" s="56"/>
      <c r="AD796" s="56"/>
      <c r="AE796" s="56"/>
      <c r="AF796" s="56"/>
      <c r="AG796" s="56"/>
      <c r="AH796" s="56"/>
      <c r="AI796" s="58"/>
      <c r="AJ796" s="56"/>
      <c r="AK796" s="56"/>
      <c r="AL796" s="56"/>
      <c r="AM796" s="57"/>
      <c r="AN796" s="57"/>
      <c r="AO796" s="56"/>
      <c r="AP796" s="56"/>
      <c r="AQ796" s="57"/>
      <c r="AR796" s="57"/>
      <c r="AS796" s="57"/>
      <c r="AT796" s="67">
        <f t="shared" ca="1" si="76"/>
        <v>0</v>
      </c>
      <c r="AU796" s="79" t="str">
        <f t="shared" ca="1" si="77"/>
        <v/>
      </c>
      <c r="AV796" s="79" t="str" cm="1">
        <f t="array" aca="1" ref="AV796" ca="1">IFERROR(_xlfn.IFS($AU796="","",$AU796&lt;=15,"0-15",AND($AU796&gt;=16,$AU796&lt;=30),"16-30",AND($AU796&gt;=31,$AU796&lt;=45),"31-45",AND($AU796&gt;=46,$AU796&lt;=60),"46-60",AND($AU796&gt;=61,$AU796&lt;=90),"61-90",AND($AU796&gt;=91),"&gt; 90",AND($AU796&gt;=2000),""),"")</f>
        <v/>
      </c>
      <c r="AW796" s="79" t="str" cm="1">
        <f t="array" aca="1" ref="AW796" ca="1">IFERROR(_xlfn.IFS(OR($M796="",$AM796=""),"",OR($C796="Offered",$C796="Joined"),($AM796-$M796)-$AT796),"")</f>
        <v/>
      </c>
      <c r="AX796" s="79" t="str" cm="1">
        <f t="array" aca="1" ref="AX796" ca="1">IFERROR(_xlfn.IFS(OR($M796="",$AS796=""),"",$C796="Joined",($AS796-$M796)-$AT796),"")</f>
        <v/>
      </c>
      <c r="AY796" s="67" t="str">
        <f>IFERROR(IF(COUNTIFS('Candidate Tracker'!$E:$E,'Positions Tracker'!$B796,'Candidate Tracker'!$C:$C,"Offer Drop")=0,"",COUNTIFS('Candidate Tracker'!$E:$E,'Positions Tracker'!$B796,'Candidate Tracker'!$C:$C,"Offer Drop")),"")</f>
        <v/>
      </c>
      <c r="AZ796" s="80">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0.88111888111888115</v>
      </c>
      <c r="BA796" s="81" t="str">
        <f>IFERROR(IF(COUNTIFS('Candidate Tracker'!$E:$E,'Positions Tracker'!$B796,'Candidate Tracker'!$I:$I,"Female")=0,"",COUNTIFS('Candidate Tracker'!$E:$E,'Positions Tracker'!$B796,'Candidate Tracker'!$I:$I,"Female")),"")</f>
        <v/>
      </c>
      <c r="BB796" s="81" t="str">
        <f>IFERROR(IF(COUNTIFS('Candidate Tracker'!$E:$E,'Positions Tracker'!$B796,'Candidate Tracker'!$I:$I,"male")=0,"",COUNTIFS('Candidate Tracker'!$E:$E,'Positions Tracker'!$B796,'Candidate Tracker'!$I:$I,"male")),"")</f>
        <v/>
      </c>
      <c r="BC796" s="80" t="str">
        <f>IFERROR(IF(COUNTIFS('Candidate Tracker'!$E:$E,'Positions Tracker'!$B796,'Candidate Tracker'!$C:$C,"&lt;&gt;WIP",'Candidate Tracker'!$C:$C,"&lt;&gt;Hold",'Candidate Tracker'!$C:$C,"&lt;&gt;Cancelled",'Candidate Tracker'!$C:$C,"&lt;&gt;Closed")/COUNTIFS('Candidate Tracker'!$E:$E,'Positions Tracker'!$B796)=0,"",COUNTIFS('Candidate Tracker'!$E:$E,'Positions Tracker'!$B796,'Candidate Tracker'!$C:$C,"&lt;&gt;WIP",'Candidate Tracker'!$C:$C,"&lt;&gt;Hold",'Candidate Tracker'!$C:$C,"&lt;&gt;Cancelled",'Candidate Tracker'!$C:$C,"&lt;&gt;Closed")/COUNTIFS('Candidate Tracker'!$E:$E,'Positions Tracker'!$B796)),"")</f>
        <v/>
      </c>
      <c r="BD796" s="67" t="str">
        <f t="shared" si="72"/>
        <v/>
      </c>
      <c r="BE796" s="67" t="str">
        <f t="shared" si="73"/>
        <v/>
      </c>
      <c r="BF796" s="67" t="str">
        <f t="shared" si="74"/>
        <v/>
      </c>
      <c r="BG796" s="67" t="str">
        <f t="shared" si="75"/>
        <v/>
      </c>
    </row>
    <row r="797" spans="1:59">
      <c r="A797" s="55"/>
      <c r="B797" s="56"/>
      <c r="C797" s="56"/>
      <c r="D797" s="56"/>
      <c r="E797" s="56"/>
      <c r="F797" s="56"/>
      <c r="G797" s="56"/>
      <c r="H797" s="56"/>
      <c r="I797" s="6"/>
      <c r="J797" s="6"/>
      <c r="K797" s="57"/>
      <c r="L797" s="57"/>
      <c r="M797" s="57"/>
      <c r="N797" s="56"/>
      <c r="O797" s="56"/>
      <c r="P797" s="56"/>
      <c r="Q797" s="56"/>
      <c r="R797" s="56"/>
      <c r="S797" s="56"/>
      <c r="T797" s="56"/>
      <c r="U797" s="56"/>
      <c r="V797" s="56"/>
      <c r="W797" s="56"/>
      <c r="X797" s="56"/>
      <c r="Y797" s="56"/>
      <c r="Z797" s="56"/>
      <c r="AA797" s="56"/>
      <c r="AB797" s="56"/>
      <c r="AC797" s="56"/>
      <c r="AD797" s="56"/>
      <c r="AE797" s="56"/>
      <c r="AF797" s="56"/>
      <c r="AG797" s="56"/>
      <c r="AH797" s="56"/>
      <c r="AI797" s="58"/>
      <c r="AJ797" s="56"/>
      <c r="AK797" s="56"/>
      <c r="AL797" s="56"/>
      <c r="AM797" s="57"/>
      <c r="AN797" s="57"/>
      <c r="AO797" s="56"/>
      <c r="AP797" s="56"/>
      <c r="AQ797" s="57"/>
      <c r="AR797" s="57"/>
      <c r="AS797" s="57"/>
      <c r="AT797" s="67">
        <f t="shared" ca="1" si="76"/>
        <v>0</v>
      </c>
      <c r="AU797" s="79" t="str">
        <f t="shared" ca="1" si="77"/>
        <v/>
      </c>
      <c r="AV797" s="79" t="str" cm="1">
        <f t="array" aca="1" ref="AV797" ca="1">IFERROR(_xlfn.IFS($AU797="","",$AU797&lt;=15,"0-15",AND($AU797&gt;=16,$AU797&lt;=30),"16-30",AND($AU797&gt;=31,$AU797&lt;=45),"31-45",AND($AU797&gt;=46,$AU797&lt;=60),"46-60",AND($AU797&gt;=61,$AU797&lt;=90),"61-90",AND($AU797&gt;=91),"&gt; 90",AND($AU797&gt;=2000),""),"")</f>
        <v/>
      </c>
      <c r="AW797" s="79" t="str" cm="1">
        <f t="array" aca="1" ref="AW797" ca="1">IFERROR(_xlfn.IFS(OR($M797="",$AM797=""),"",OR($C797="Offered",$C797="Joined"),($AM797-$M797)-$AT797),"")</f>
        <v/>
      </c>
      <c r="AX797" s="79" t="str" cm="1">
        <f t="array" aca="1" ref="AX797" ca="1">IFERROR(_xlfn.IFS(OR($M797="",$AS797=""),"",$C797="Joined",($AS797-$M797)-$AT797),"")</f>
        <v/>
      </c>
      <c r="AY797" s="67" t="str">
        <f>IFERROR(IF(COUNTIFS('Candidate Tracker'!$E:$E,'Positions Tracker'!$B797,'Candidate Tracker'!$C:$C,"Offer Drop")=0,"",COUNTIFS('Candidate Tracker'!$E:$E,'Positions Tracker'!$B797,'Candidate Tracker'!$C:$C,"Offer Drop")),"")</f>
        <v/>
      </c>
      <c r="AZ797" s="80">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0.88111888111888115</v>
      </c>
      <c r="BA797" s="81" t="str">
        <f>IFERROR(IF(COUNTIFS('Candidate Tracker'!$E:$E,'Positions Tracker'!$B797,'Candidate Tracker'!$I:$I,"Female")=0,"",COUNTIFS('Candidate Tracker'!$E:$E,'Positions Tracker'!$B797,'Candidate Tracker'!$I:$I,"Female")),"")</f>
        <v/>
      </c>
      <c r="BB797" s="81" t="str">
        <f>IFERROR(IF(COUNTIFS('Candidate Tracker'!$E:$E,'Positions Tracker'!$B797,'Candidate Tracker'!$I:$I,"male")=0,"",COUNTIFS('Candidate Tracker'!$E:$E,'Positions Tracker'!$B797,'Candidate Tracker'!$I:$I,"male")),"")</f>
        <v/>
      </c>
      <c r="BC797" s="80" t="str">
        <f>IFERROR(IF(COUNTIFS('Candidate Tracker'!$E:$E,'Positions Tracker'!$B797,'Candidate Tracker'!$C:$C,"&lt;&gt;WIP",'Candidate Tracker'!$C:$C,"&lt;&gt;Hold",'Candidate Tracker'!$C:$C,"&lt;&gt;Cancelled",'Candidate Tracker'!$C:$C,"&lt;&gt;Closed")/COUNTIFS('Candidate Tracker'!$E:$E,'Positions Tracker'!$B797)=0,"",COUNTIFS('Candidate Tracker'!$E:$E,'Positions Tracker'!$B797,'Candidate Tracker'!$C:$C,"&lt;&gt;WIP",'Candidate Tracker'!$C:$C,"&lt;&gt;Hold",'Candidate Tracker'!$C:$C,"&lt;&gt;Cancelled",'Candidate Tracker'!$C:$C,"&lt;&gt;Closed")/COUNTIFS('Candidate Tracker'!$E:$E,'Positions Tracker'!$B797)),"")</f>
        <v/>
      </c>
      <c r="BD797" s="67" t="str">
        <f t="shared" si="72"/>
        <v/>
      </c>
      <c r="BE797" s="67" t="str">
        <f t="shared" si="73"/>
        <v/>
      </c>
      <c r="BF797" s="67" t="str">
        <f t="shared" si="74"/>
        <v/>
      </c>
      <c r="BG797" s="67" t="str">
        <f t="shared" si="75"/>
        <v/>
      </c>
    </row>
    <row r="798" spans="1:59">
      <c r="A798" s="55"/>
      <c r="B798" s="56"/>
      <c r="C798" s="56"/>
      <c r="D798" s="56"/>
      <c r="E798" s="56"/>
      <c r="F798" s="56"/>
      <c r="G798" s="56"/>
      <c r="H798" s="56"/>
      <c r="I798" s="6"/>
      <c r="J798" s="6"/>
      <c r="K798" s="57"/>
      <c r="L798" s="57"/>
      <c r="M798" s="57"/>
      <c r="N798" s="56"/>
      <c r="O798" s="56"/>
      <c r="P798" s="56"/>
      <c r="Q798" s="56"/>
      <c r="R798" s="56"/>
      <c r="S798" s="56"/>
      <c r="T798" s="56"/>
      <c r="U798" s="56"/>
      <c r="V798" s="56"/>
      <c r="W798" s="56"/>
      <c r="X798" s="56"/>
      <c r="Y798" s="56"/>
      <c r="Z798" s="56"/>
      <c r="AA798" s="56"/>
      <c r="AB798" s="56"/>
      <c r="AC798" s="56"/>
      <c r="AD798" s="56"/>
      <c r="AE798" s="56"/>
      <c r="AF798" s="56"/>
      <c r="AG798" s="56"/>
      <c r="AH798" s="56"/>
      <c r="AI798" s="58"/>
      <c r="AJ798" s="56"/>
      <c r="AK798" s="56"/>
      <c r="AL798" s="56"/>
      <c r="AM798" s="57"/>
      <c r="AN798" s="57"/>
      <c r="AO798" s="56"/>
      <c r="AP798" s="56"/>
      <c r="AQ798" s="57"/>
      <c r="AR798" s="57"/>
      <c r="AS798" s="57"/>
      <c r="AT798" s="67">
        <f t="shared" ca="1" si="76"/>
        <v>0</v>
      </c>
      <c r="AU798" s="79" t="str">
        <f t="shared" ca="1" si="77"/>
        <v/>
      </c>
      <c r="AV798" s="79" t="str" cm="1">
        <f t="array" aca="1" ref="AV798" ca="1">IFERROR(_xlfn.IFS($AU798="","",$AU798&lt;=15,"0-15",AND($AU798&gt;=16,$AU798&lt;=30),"16-30",AND($AU798&gt;=31,$AU798&lt;=45),"31-45",AND($AU798&gt;=46,$AU798&lt;=60),"46-60",AND($AU798&gt;=61,$AU798&lt;=90),"61-90",AND($AU798&gt;=91),"&gt; 90",AND($AU798&gt;=2000),""),"")</f>
        <v/>
      </c>
      <c r="AW798" s="79" t="str" cm="1">
        <f t="array" aca="1" ref="AW798" ca="1">IFERROR(_xlfn.IFS(OR($M798="",$AM798=""),"",OR($C798="Offered",$C798="Joined"),($AM798-$M798)-$AT798),"")</f>
        <v/>
      </c>
      <c r="AX798" s="79" t="str" cm="1">
        <f t="array" aca="1" ref="AX798" ca="1">IFERROR(_xlfn.IFS(OR($M798="",$AS798=""),"",$C798="Joined",($AS798-$M798)-$AT798),"")</f>
        <v/>
      </c>
      <c r="AY798" s="67" t="str">
        <f>IFERROR(IF(COUNTIFS('Candidate Tracker'!$E:$E,'Positions Tracker'!$B798,'Candidate Tracker'!$C:$C,"Offer Drop")=0,"",COUNTIFS('Candidate Tracker'!$E:$E,'Positions Tracker'!$B798,'Candidate Tracker'!$C:$C,"Offer Drop")),"")</f>
        <v/>
      </c>
      <c r="AZ798" s="80">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0.88111888111888115</v>
      </c>
      <c r="BA798" s="81" t="str">
        <f>IFERROR(IF(COUNTIFS('Candidate Tracker'!$E:$E,'Positions Tracker'!$B798,'Candidate Tracker'!$I:$I,"Female")=0,"",COUNTIFS('Candidate Tracker'!$E:$E,'Positions Tracker'!$B798,'Candidate Tracker'!$I:$I,"Female")),"")</f>
        <v/>
      </c>
      <c r="BB798" s="81" t="str">
        <f>IFERROR(IF(COUNTIFS('Candidate Tracker'!$E:$E,'Positions Tracker'!$B798,'Candidate Tracker'!$I:$I,"male")=0,"",COUNTIFS('Candidate Tracker'!$E:$E,'Positions Tracker'!$B798,'Candidate Tracker'!$I:$I,"male")),"")</f>
        <v/>
      </c>
      <c r="BC798" s="80" t="str">
        <f>IFERROR(IF(COUNTIFS('Candidate Tracker'!$E:$E,'Positions Tracker'!$B798,'Candidate Tracker'!$C:$C,"&lt;&gt;WIP",'Candidate Tracker'!$C:$C,"&lt;&gt;Hold",'Candidate Tracker'!$C:$C,"&lt;&gt;Cancelled",'Candidate Tracker'!$C:$C,"&lt;&gt;Closed")/COUNTIFS('Candidate Tracker'!$E:$E,'Positions Tracker'!$B798)=0,"",COUNTIFS('Candidate Tracker'!$E:$E,'Positions Tracker'!$B798,'Candidate Tracker'!$C:$C,"&lt;&gt;WIP",'Candidate Tracker'!$C:$C,"&lt;&gt;Hold",'Candidate Tracker'!$C:$C,"&lt;&gt;Cancelled",'Candidate Tracker'!$C:$C,"&lt;&gt;Closed")/COUNTIFS('Candidate Tracker'!$E:$E,'Positions Tracker'!$B798)),"")</f>
        <v/>
      </c>
      <c r="BD798" s="67" t="str">
        <f t="shared" si="72"/>
        <v/>
      </c>
      <c r="BE798" s="67" t="str">
        <f t="shared" si="73"/>
        <v/>
      </c>
      <c r="BF798" s="67" t="str">
        <f t="shared" si="74"/>
        <v/>
      </c>
      <c r="BG798" s="67" t="str">
        <f t="shared" si="75"/>
        <v/>
      </c>
    </row>
    <row r="799" spans="1:59">
      <c r="A799" s="55"/>
      <c r="B799" s="56"/>
      <c r="C799" s="56"/>
      <c r="D799" s="56"/>
      <c r="E799" s="56"/>
      <c r="F799" s="56"/>
      <c r="G799" s="56"/>
      <c r="H799" s="56"/>
      <c r="I799" s="6"/>
      <c r="J799" s="6"/>
      <c r="K799" s="57"/>
      <c r="L799" s="57"/>
      <c r="M799" s="57"/>
      <c r="N799" s="56"/>
      <c r="O799" s="56"/>
      <c r="P799" s="56"/>
      <c r="Q799" s="56"/>
      <c r="R799" s="56"/>
      <c r="S799" s="56"/>
      <c r="T799" s="56"/>
      <c r="U799" s="56"/>
      <c r="V799" s="56"/>
      <c r="W799" s="56"/>
      <c r="X799" s="56"/>
      <c r="Y799" s="56"/>
      <c r="Z799" s="56"/>
      <c r="AA799" s="56"/>
      <c r="AB799" s="56"/>
      <c r="AC799" s="56"/>
      <c r="AD799" s="56"/>
      <c r="AE799" s="56"/>
      <c r="AF799" s="56"/>
      <c r="AG799" s="56"/>
      <c r="AH799" s="56"/>
      <c r="AI799" s="58"/>
      <c r="AJ799" s="56"/>
      <c r="AK799" s="56"/>
      <c r="AL799" s="56"/>
      <c r="AM799" s="57"/>
      <c r="AN799" s="57"/>
      <c r="AO799" s="56"/>
      <c r="AP799" s="56"/>
      <c r="AQ799" s="57"/>
      <c r="AR799" s="57"/>
      <c r="AS799" s="57"/>
      <c r="AT799" s="67">
        <f t="shared" ca="1" si="76"/>
        <v>0</v>
      </c>
      <c r="AU799" s="79" t="str">
        <f t="shared" ca="1" si="77"/>
        <v/>
      </c>
      <c r="AV799" s="79" t="str" cm="1">
        <f t="array" aca="1" ref="AV799" ca="1">IFERROR(_xlfn.IFS($AU799="","",$AU799&lt;=15,"0-15",AND($AU799&gt;=16,$AU799&lt;=30),"16-30",AND($AU799&gt;=31,$AU799&lt;=45),"31-45",AND($AU799&gt;=46,$AU799&lt;=60),"46-60",AND($AU799&gt;=61,$AU799&lt;=90),"61-90",AND($AU799&gt;=91),"&gt; 90",AND($AU799&gt;=2000),""),"")</f>
        <v/>
      </c>
      <c r="AW799" s="79" t="str" cm="1">
        <f t="array" aca="1" ref="AW799" ca="1">IFERROR(_xlfn.IFS(OR($M799="",$AM799=""),"",OR($C799="Offered",$C799="Joined"),($AM799-$M799)-$AT799),"")</f>
        <v/>
      </c>
      <c r="AX799" s="79" t="str" cm="1">
        <f t="array" aca="1" ref="AX799" ca="1">IFERROR(_xlfn.IFS(OR($M799="",$AS799=""),"",$C799="Joined",($AS799-$M799)-$AT799),"")</f>
        <v/>
      </c>
      <c r="AY799" s="67" t="str">
        <f>IFERROR(IF(COUNTIFS('Candidate Tracker'!$E:$E,'Positions Tracker'!$B799,'Candidate Tracker'!$C:$C,"Offer Drop")=0,"",COUNTIFS('Candidate Tracker'!$E:$E,'Positions Tracker'!$B799,'Candidate Tracker'!$C:$C,"Offer Drop")),"")</f>
        <v/>
      </c>
      <c r="AZ799" s="80">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0.88111888111888115</v>
      </c>
      <c r="BA799" s="81" t="str">
        <f>IFERROR(IF(COUNTIFS('Candidate Tracker'!$E:$E,'Positions Tracker'!$B799,'Candidate Tracker'!$I:$I,"Female")=0,"",COUNTIFS('Candidate Tracker'!$E:$E,'Positions Tracker'!$B799,'Candidate Tracker'!$I:$I,"Female")),"")</f>
        <v/>
      </c>
      <c r="BB799" s="81" t="str">
        <f>IFERROR(IF(COUNTIFS('Candidate Tracker'!$E:$E,'Positions Tracker'!$B799,'Candidate Tracker'!$I:$I,"male")=0,"",COUNTIFS('Candidate Tracker'!$E:$E,'Positions Tracker'!$B799,'Candidate Tracker'!$I:$I,"male")),"")</f>
        <v/>
      </c>
      <c r="BC799" s="80" t="str">
        <f>IFERROR(IF(COUNTIFS('Candidate Tracker'!$E:$E,'Positions Tracker'!$B799,'Candidate Tracker'!$C:$C,"&lt;&gt;WIP",'Candidate Tracker'!$C:$C,"&lt;&gt;Hold",'Candidate Tracker'!$C:$C,"&lt;&gt;Cancelled",'Candidate Tracker'!$C:$C,"&lt;&gt;Closed")/COUNTIFS('Candidate Tracker'!$E:$E,'Positions Tracker'!$B799)=0,"",COUNTIFS('Candidate Tracker'!$E:$E,'Positions Tracker'!$B799,'Candidate Tracker'!$C:$C,"&lt;&gt;WIP",'Candidate Tracker'!$C:$C,"&lt;&gt;Hold",'Candidate Tracker'!$C:$C,"&lt;&gt;Cancelled",'Candidate Tracker'!$C:$C,"&lt;&gt;Closed")/COUNTIFS('Candidate Tracker'!$E:$E,'Positions Tracker'!$B799)),"")</f>
        <v/>
      </c>
      <c r="BD799" s="67" t="str">
        <f t="shared" si="72"/>
        <v/>
      </c>
      <c r="BE799" s="67" t="str">
        <f t="shared" si="73"/>
        <v/>
      </c>
      <c r="BF799" s="67" t="str">
        <f t="shared" si="74"/>
        <v/>
      </c>
      <c r="BG799" s="67" t="str">
        <f t="shared" si="75"/>
        <v/>
      </c>
    </row>
    <row r="800" spans="1:59">
      <c r="A800" s="55"/>
      <c r="B800" s="56"/>
      <c r="C800" s="56"/>
      <c r="D800" s="56"/>
      <c r="E800" s="56"/>
      <c r="F800" s="56"/>
      <c r="G800" s="56"/>
      <c r="H800" s="56"/>
      <c r="I800" s="6"/>
      <c r="J800" s="6"/>
      <c r="K800" s="57"/>
      <c r="L800" s="57"/>
      <c r="M800" s="57"/>
      <c r="N800" s="56"/>
      <c r="O800" s="56"/>
      <c r="P800" s="56"/>
      <c r="Q800" s="56"/>
      <c r="R800" s="56"/>
      <c r="S800" s="56"/>
      <c r="T800" s="56"/>
      <c r="U800" s="56"/>
      <c r="V800" s="56"/>
      <c r="W800" s="56"/>
      <c r="X800" s="56"/>
      <c r="Y800" s="56"/>
      <c r="Z800" s="56"/>
      <c r="AA800" s="56"/>
      <c r="AB800" s="56"/>
      <c r="AC800" s="56"/>
      <c r="AD800" s="56"/>
      <c r="AE800" s="56"/>
      <c r="AF800" s="56"/>
      <c r="AG800" s="56"/>
      <c r="AH800" s="56"/>
      <c r="AI800" s="58"/>
      <c r="AJ800" s="56"/>
      <c r="AK800" s="56"/>
      <c r="AL800" s="56"/>
      <c r="AM800" s="57"/>
      <c r="AN800" s="57"/>
      <c r="AO800" s="56"/>
      <c r="AP800" s="56"/>
      <c r="AQ800" s="57"/>
      <c r="AR800" s="57"/>
      <c r="AS800" s="57"/>
      <c r="AT800" s="67">
        <f t="shared" ca="1" si="76"/>
        <v>0</v>
      </c>
      <c r="AU800" s="79" t="str">
        <f t="shared" ca="1" si="77"/>
        <v/>
      </c>
      <c r="AV800" s="79" t="str" cm="1">
        <f t="array" aca="1" ref="AV800" ca="1">IFERROR(_xlfn.IFS($AU800="","",$AU800&lt;=15,"0-15",AND($AU800&gt;=16,$AU800&lt;=30),"16-30",AND($AU800&gt;=31,$AU800&lt;=45),"31-45",AND($AU800&gt;=46,$AU800&lt;=60),"46-60",AND($AU800&gt;=61,$AU800&lt;=90),"61-90",AND($AU800&gt;=91),"&gt; 90",AND($AU800&gt;=2000),""),"")</f>
        <v/>
      </c>
      <c r="AW800" s="79" t="str" cm="1">
        <f t="array" aca="1" ref="AW800" ca="1">IFERROR(_xlfn.IFS(OR($M800="",$AM800=""),"",OR($C800="Offered",$C800="Joined"),($AM800-$M800)-$AT800),"")</f>
        <v/>
      </c>
      <c r="AX800" s="79" t="str" cm="1">
        <f t="array" aca="1" ref="AX800" ca="1">IFERROR(_xlfn.IFS(OR($M800="",$AS800=""),"",$C800="Joined",($AS800-$M800)-$AT800),"")</f>
        <v/>
      </c>
      <c r="AY800" s="67" t="str">
        <f>IFERROR(IF(COUNTIFS('Candidate Tracker'!$E:$E,'Positions Tracker'!$B800,'Candidate Tracker'!$C:$C,"Offer Drop")=0,"",COUNTIFS('Candidate Tracker'!$E:$E,'Positions Tracker'!$B800,'Candidate Tracker'!$C:$C,"Offer Drop")),"")</f>
        <v/>
      </c>
      <c r="AZ800" s="80">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0.88111888111888115</v>
      </c>
      <c r="BA800" s="81" t="str">
        <f>IFERROR(IF(COUNTIFS('Candidate Tracker'!$E:$E,'Positions Tracker'!$B800,'Candidate Tracker'!$I:$I,"Female")=0,"",COUNTIFS('Candidate Tracker'!$E:$E,'Positions Tracker'!$B800,'Candidate Tracker'!$I:$I,"Female")),"")</f>
        <v/>
      </c>
      <c r="BB800" s="81" t="str">
        <f>IFERROR(IF(COUNTIFS('Candidate Tracker'!$E:$E,'Positions Tracker'!$B800,'Candidate Tracker'!$I:$I,"male")=0,"",COUNTIFS('Candidate Tracker'!$E:$E,'Positions Tracker'!$B800,'Candidate Tracker'!$I:$I,"male")),"")</f>
        <v/>
      </c>
      <c r="BC800" s="80" t="str">
        <f>IFERROR(IF(COUNTIFS('Candidate Tracker'!$E:$E,'Positions Tracker'!$B800,'Candidate Tracker'!$C:$C,"&lt;&gt;WIP",'Candidate Tracker'!$C:$C,"&lt;&gt;Hold",'Candidate Tracker'!$C:$C,"&lt;&gt;Cancelled",'Candidate Tracker'!$C:$C,"&lt;&gt;Closed")/COUNTIFS('Candidate Tracker'!$E:$E,'Positions Tracker'!$B800)=0,"",COUNTIFS('Candidate Tracker'!$E:$E,'Positions Tracker'!$B800,'Candidate Tracker'!$C:$C,"&lt;&gt;WIP",'Candidate Tracker'!$C:$C,"&lt;&gt;Hold",'Candidate Tracker'!$C:$C,"&lt;&gt;Cancelled",'Candidate Tracker'!$C:$C,"&lt;&gt;Closed")/COUNTIFS('Candidate Tracker'!$E:$E,'Positions Tracker'!$B800)),"")</f>
        <v/>
      </c>
      <c r="BD800" s="67" t="str">
        <f t="shared" si="72"/>
        <v/>
      </c>
      <c r="BE800" s="67" t="str">
        <f t="shared" si="73"/>
        <v/>
      </c>
      <c r="BF800" s="67" t="str">
        <f t="shared" si="74"/>
        <v/>
      </c>
      <c r="BG800" s="67" t="str">
        <f t="shared" si="75"/>
        <v/>
      </c>
    </row>
    <row r="801" spans="1:59">
      <c r="A801" s="55"/>
      <c r="B801" s="56"/>
      <c r="C801" s="56"/>
      <c r="D801" s="56"/>
      <c r="E801" s="56"/>
      <c r="F801" s="56"/>
      <c r="G801" s="56"/>
      <c r="H801" s="56"/>
      <c r="I801" s="6"/>
      <c r="J801" s="6"/>
      <c r="K801" s="57"/>
      <c r="L801" s="57"/>
      <c r="M801" s="57"/>
      <c r="N801" s="56"/>
      <c r="O801" s="56"/>
      <c r="P801" s="56"/>
      <c r="Q801" s="56"/>
      <c r="R801" s="56"/>
      <c r="S801" s="56"/>
      <c r="T801" s="56"/>
      <c r="U801" s="56"/>
      <c r="V801" s="56"/>
      <c r="W801" s="56"/>
      <c r="X801" s="56"/>
      <c r="Y801" s="56"/>
      <c r="Z801" s="56"/>
      <c r="AA801" s="56"/>
      <c r="AB801" s="56"/>
      <c r="AC801" s="56"/>
      <c r="AD801" s="56"/>
      <c r="AE801" s="56"/>
      <c r="AF801" s="56"/>
      <c r="AG801" s="56"/>
      <c r="AH801" s="56"/>
      <c r="AI801" s="58"/>
      <c r="AJ801" s="56"/>
      <c r="AK801" s="56"/>
      <c r="AL801" s="56"/>
      <c r="AM801" s="57"/>
      <c r="AN801" s="57"/>
      <c r="AO801" s="56"/>
      <c r="AP801" s="56"/>
      <c r="AQ801" s="57"/>
      <c r="AR801" s="57"/>
      <c r="AS801" s="57"/>
      <c r="AT801" s="67">
        <f t="shared" ca="1" si="76"/>
        <v>0</v>
      </c>
      <c r="AU801" s="79" t="str">
        <f t="shared" ca="1" si="77"/>
        <v/>
      </c>
      <c r="AV801" s="79" t="str" cm="1">
        <f t="array" aca="1" ref="AV801" ca="1">IFERROR(_xlfn.IFS($AU801="","",$AU801&lt;=15,"0-15",AND($AU801&gt;=16,$AU801&lt;=30),"16-30",AND($AU801&gt;=31,$AU801&lt;=45),"31-45",AND($AU801&gt;=46,$AU801&lt;=60),"46-60",AND($AU801&gt;=61,$AU801&lt;=90),"61-90",AND($AU801&gt;=91),"&gt; 90",AND($AU801&gt;=2000),""),"")</f>
        <v/>
      </c>
      <c r="AW801" s="79" t="str" cm="1">
        <f t="array" aca="1" ref="AW801" ca="1">IFERROR(_xlfn.IFS(OR($M801="",$AM801=""),"",OR($C801="Offered",$C801="Joined"),($AM801-$M801)-$AT801),"")</f>
        <v/>
      </c>
      <c r="AX801" s="79" t="str" cm="1">
        <f t="array" aca="1" ref="AX801" ca="1">IFERROR(_xlfn.IFS(OR($M801="",$AS801=""),"",$C801="Joined",($AS801-$M801)-$AT801),"")</f>
        <v/>
      </c>
      <c r="AY801" s="67" t="str">
        <f>IFERROR(IF(COUNTIFS('Candidate Tracker'!$E:$E,'Positions Tracker'!$B801,'Candidate Tracker'!$C:$C,"Offer Drop")=0,"",COUNTIFS('Candidate Tracker'!$E:$E,'Positions Tracker'!$B801,'Candidate Tracker'!$C:$C,"Offer Drop")),"")</f>
        <v/>
      </c>
      <c r="AZ801" s="80">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0.88111888111888115</v>
      </c>
      <c r="BA801" s="81" t="str">
        <f>IFERROR(IF(COUNTIFS('Candidate Tracker'!$E:$E,'Positions Tracker'!$B801,'Candidate Tracker'!$I:$I,"Female")=0,"",COUNTIFS('Candidate Tracker'!$E:$E,'Positions Tracker'!$B801,'Candidate Tracker'!$I:$I,"Female")),"")</f>
        <v/>
      </c>
      <c r="BB801" s="81" t="str">
        <f>IFERROR(IF(COUNTIFS('Candidate Tracker'!$E:$E,'Positions Tracker'!$B801,'Candidate Tracker'!$I:$I,"male")=0,"",COUNTIFS('Candidate Tracker'!$E:$E,'Positions Tracker'!$B801,'Candidate Tracker'!$I:$I,"male")),"")</f>
        <v/>
      </c>
      <c r="BC801" s="80" t="str">
        <f>IFERROR(IF(COUNTIFS('Candidate Tracker'!$E:$E,'Positions Tracker'!$B801,'Candidate Tracker'!$C:$C,"&lt;&gt;WIP",'Candidate Tracker'!$C:$C,"&lt;&gt;Hold",'Candidate Tracker'!$C:$C,"&lt;&gt;Cancelled",'Candidate Tracker'!$C:$C,"&lt;&gt;Closed")/COUNTIFS('Candidate Tracker'!$E:$E,'Positions Tracker'!$B801)=0,"",COUNTIFS('Candidate Tracker'!$E:$E,'Positions Tracker'!$B801,'Candidate Tracker'!$C:$C,"&lt;&gt;WIP",'Candidate Tracker'!$C:$C,"&lt;&gt;Hold",'Candidate Tracker'!$C:$C,"&lt;&gt;Cancelled",'Candidate Tracker'!$C:$C,"&lt;&gt;Closed")/COUNTIFS('Candidate Tracker'!$E:$E,'Positions Tracker'!$B801)),"")</f>
        <v/>
      </c>
      <c r="BD801" s="67" t="str">
        <f t="shared" si="72"/>
        <v/>
      </c>
      <c r="BE801" s="67" t="str">
        <f t="shared" si="73"/>
        <v/>
      </c>
      <c r="BF801" s="67" t="str">
        <f t="shared" si="74"/>
        <v/>
      </c>
      <c r="BG801" s="67" t="str">
        <f t="shared" si="75"/>
        <v/>
      </c>
    </row>
    <row r="802" spans="1:59">
      <c r="A802" s="55"/>
      <c r="B802" s="56"/>
      <c r="C802" s="56"/>
      <c r="D802" s="56"/>
      <c r="E802" s="56"/>
      <c r="F802" s="56"/>
      <c r="G802" s="56"/>
      <c r="H802" s="56"/>
      <c r="I802" s="6"/>
      <c r="J802" s="6"/>
      <c r="K802" s="57"/>
      <c r="L802" s="57"/>
      <c r="M802" s="57"/>
      <c r="N802" s="56"/>
      <c r="O802" s="56"/>
      <c r="P802" s="56"/>
      <c r="Q802" s="56"/>
      <c r="R802" s="56"/>
      <c r="S802" s="56"/>
      <c r="T802" s="56"/>
      <c r="U802" s="56"/>
      <c r="V802" s="56"/>
      <c r="W802" s="56"/>
      <c r="X802" s="56"/>
      <c r="Y802" s="56"/>
      <c r="Z802" s="56"/>
      <c r="AA802" s="56"/>
      <c r="AB802" s="56"/>
      <c r="AC802" s="56"/>
      <c r="AD802" s="56"/>
      <c r="AE802" s="56"/>
      <c r="AF802" s="56"/>
      <c r="AG802" s="56"/>
      <c r="AH802" s="56"/>
      <c r="AI802" s="58"/>
      <c r="AJ802" s="56"/>
      <c r="AK802" s="56"/>
      <c r="AL802" s="56"/>
      <c r="AM802" s="57"/>
      <c r="AN802" s="57"/>
      <c r="AO802" s="56"/>
      <c r="AP802" s="56"/>
      <c r="AQ802" s="57"/>
      <c r="AR802" s="57"/>
      <c r="AS802" s="57"/>
      <c r="AT802" s="67">
        <f t="shared" ca="1" si="76"/>
        <v>0</v>
      </c>
      <c r="AU802" s="79" t="str">
        <f t="shared" ca="1" si="77"/>
        <v/>
      </c>
      <c r="AV802" s="79" t="str" cm="1">
        <f t="array" aca="1" ref="AV802" ca="1">IFERROR(_xlfn.IFS($AU802="","",$AU802&lt;=15,"0-15",AND($AU802&gt;=16,$AU802&lt;=30),"16-30",AND($AU802&gt;=31,$AU802&lt;=45),"31-45",AND($AU802&gt;=46,$AU802&lt;=60),"46-60",AND($AU802&gt;=61,$AU802&lt;=90),"61-90",AND($AU802&gt;=91),"&gt; 90",AND($AU802&gt;=2000),""),"")</f>
        <v/>
      </c>
      <c r="AW802" s="79" t="str" cm="1">
        <f t="array" aca="1" ref="AW802" ca="1">IFERROR(_xlfn.IFS(OR($M802="",$AM802=""),"",OR($C802="Offered",$C802="Joined"),($AM802-$M802)-$AT802),"")</f>
        <v/>
      </c>
      <c r="AX802" s="79" t="str" cm="1">
        <f t="array" aca="1" ref="AX802" ca="1">IFERROR(_xlfn.IFS(OR($M802="",$AS802=""),"",$C802="Joined",($AS802-$M802)-$AT802),"")</f>
        <v/>
      </c>
      <c r="AY802" s="67" t="str">
        <f>IFERROR(IF(COUNTIFS('Candidate Tracker'!$E:$E,'Positions Tracker'!$B802,'Candidate Tracker'!$C:$C,"Offer Drop")=0,"",COUNTIFS('Candidate Tracker'!$E:$E,'Positions Tracker'!$B802,'Candidate Tracker'!$C:$C,"Offer Drop")),"")</f>
        <v/>
      </c>
      <c r="AZ802" s="80">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0.88111888111888115</v>
      </c>
      <c r="BA802" s="81" t="str">
        <f>IFERROR(IF(COUNTIFS('Candidate Tracker'!$E:$E,'Positions Tracker'!$B802,'Candidate Tracker'!$I:$I,"Female")=0,"",COUNTIFS('Candidate Tracker'!$E:$E,'Positions Tracker'!$B802,'Candidate Tracker'!$I:$I,"Female")),"")</f>
        <v/>
      </c>
      <c r="BB802" s="81" t="str">
        <f>IFERROR(IF(COUNTIFS('Candidate Tracker'!$E:$E,'Positions Tracker'!$B802,'Candidate Tracker'!$I:$I,"male")=0,"",COUNTIFS('Candidate Tracker'!$E:$E,'Positions Tracker'!$B802,'Candidate Tracker'!$I:$I,"male")),"")</f>
        <v/>
      </c>
      <c r="BC802" s="80" t="str">
        <f>IFERROR(IF(COUNTIFS('Candidate Tracker'!$E:$E,'Positions Tracker'!$B802,'Candidate Tracker'!$C:$C,"&lt;&gt;WIP",'Candidate Tracker'!$C:$C,"&lt;&gt;Hold",'Candidate Tracker'!$C:$C,"&lt;&gt;Cancelled",'Candidate Tracker'!$C:$C,"&lt;&gt;Closed")/COUNTIFS('Candidate Tracker'!$E:$E,'Positions Tracker'!$B802)=0,"",COUNTIFS('Candidate Tracker'!$E:$E,'Positions Tracker'!$B802,'Candidate Tracker'!$C:$C,"&lt;&gt;WIP",'Candidate Tracker'!$C:$C,"&lt;&gt;Hold",'Candidate Tracker'!$C:$C,"&lt;&gt;Cancelled",'Candidate Tracker'!$C:$C,"&lt;&gt;Closed")/COUNTIFS('Candidate Tracker'!$E:$E,'Positions Tracker'!$B802)),"")</f>
        <v/>
      </c>
      <c r="BD802" s="67" t="str">
        <f t="shared" si="72"/>
        <v/>
      </c>
      <c r="BE802" s="67" t="str">
        <f t="shared" si="73"/>
        <v/>
      </c>
      <c r="BF802" s="67" t="str">
        <f t="shared" si="74"/>
        <v/>
      </c>
      <c r="BG802" s="67" t="str">
        <f t="shared" si="75"/>
        <v/>
      </c>
    </row>
    <row r="803" spans="1:59">
      <c r="A803" s="55"/>
      <c r="B803" s="56"/>
      <c r="C803" s="56"/>
      <c r="D803" s="56"/>
      <c r="E803" s="56"/>
      <c r="F803" s="56"/>
      <c r="G803" s="56"/>
      <c r="H803" s="56"/>
      <c r="I803" s="6"/>
      <c r="J803" s="6"/>
      <c r="K803" s="57"/>
      <c r="L803" s="57"/>
      <c r="M803" s="57"/>
      <c r="N803" s="56"/>
      <c r="O803" s="56"/>
      <c r="P803" s="56"/>
      <c r="Q803" s="56"/>
      <c r="R803" s="56"/>
      <c r="S803" s="56"/>
      <c r="T803" s="56"/>
      <c r="U803" s="56"/>
      <c r="V803" s="56"/>
      <c r="W803" s="56"/>
      <c r="X803" s="56"/>
      <c r="Y803" s="56"/>
      <c r="Z803" s="56"/>
      <c r="AA803" s="56"/>
      <c r="AB803" s="56"/>
      <c r="AC803" s="56"/>
      <c r="AD803" s="56"/>
      <c r="AE803" s="56"/>
      <c r="AF803" s="56"/>
      <c r="AG803" s="56"/>
      <c r="AH803" s="56"/>
      <c r="AI803" s="58"/>
      <c r="AJ803" s="56"/>
      <c r="AK803" s="56"/>
      <c r="AL803" s="56"/>
      <c r="AM803" s="57"/>
      <c r="AN803" s="57"/>
      <c r="AO803" s="56"/>
      <c r="AP803" s="56"/>
      <c r="AQ803" s="57"/>
      <c r="AR803" s="57"/>
      <c r="AS803" s="57"/>
      <c r="AT803" s="67">
        <f t="shared" ca="1" si="76"/>
        <v>0</v>
      </c>
      <c r="AU803" s="79" t="str">
        <f t="shared" ca="1" si="77"/>
        <v/>
      </c>
      <c r="AV803" s="79" t="str" cm="1">
        <f t="array" aca="1" ref="AV803" ca="1">IFERROR(_xlfn.IFS($AU803="","",$AU803&lt;=15,"0-15",AND($AU803&gt;=16,$AU803&lt;=30),"16-30",AND($AU803&gt;=31,$AU803&lt;=45),"31-45",AND($AU803&gt;=46,$AU803&lt;=60),"46-60",AND($AU803&gt;=61,$AU803&lt;=90),"61-90",AND($AU803&gt;=91),"&gt; 90",AND($AU803&gt;=2000),""),"")</f>
        <v/>
      </c>
      <c r="AW803" s="79" t="str" cm="1">
        <f t="array" aca="1" ref="AW803" ca="1">IFERROR(_xlfn.IFS(OR($M803="",$AM803=""),"",OR($C803="Offered",$C803="Joined"),($AM803-$M803)-$AT803),"")</f>
        <v/>
      </c>
      <c r="AX803" s="79" t="str" cm="1">
        <f t="array" aca="1" ref="AX803" ca="1">IFERROR(_xlfn.IFS(OR($M803="",$AS803=""),"",$C803="Joined",($AS803-$M803)-$AT803),"")</f>
        <v/>
      </c>
      <c r="AY803" s="67" t="str">
        <f>IFERROR(IF(COUNTIFS('Candidate Tracker'!$E:$E,'Positions Tracker'!$B803,'Candidate Tracker'!$C:$C,"Offer Drop")=0,"",COUNTIFS('Candidate Tracker'!$E:$E,'Positions Tracker'!$B803,'Candidate Tracker'!$C:$C,"Offer Drop")),"")</f>
        <v/>
      </c>
      <c r="AZ803" s="80">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0.88111888111888115</v>
      </c>
      <c r="BA803" s="81" t="str">
        <f>IFERROR(IF(COUNTIFS('Candidate Tracker'!$E:$E,'Positions Tracker'!$B803,'Candidate Tracker'!$I:$I,"Female")=0,"",COUNTIFS('Candidate Tracker'!$E:$E,'Positions Tracker'!$B803,'Candidate Tracker'!$I:$I,"Female")),"")</f>
        <v/>
      </c>
      <c r="BB803" s="81" t="str">
        <f>IFERROR(IF(COUNTIFS('Candidate Tracker'!$E:$E,'Positions Tracker'!$B803,'Candidate Tracker'!$I:$I,"male")=0,"",COUNTIFS('Candidate Tracker'!$E:$E,'Positions Tracker'!$B803,'Candidate Tracker'!$I:$I,"male")),"")</f>
        <v/>
      </c>
      <c r="BC803" s="80" t="str">
        <f>IFERROR(IF(COUNTIFS('Candidate Tracker'!$E:$E,'Positions Tracker'!$B803,'Candidate Tracker'!$C:$C,"&lt;&gt;WIP",'Candidate Tracker'!$C:$C,"&lt;&gt;Hold",'Candidate Tracker'!$C:$C,"&lt;&gt;Cancelled",'Candidate Tracker'!$C:$C,"&lt;&gt;Closed")/COUNTIFS('Candidate Tracker'!$E:$E,'Positions Tracker'!$B803)=0,"",COUNTIFS('Candidate Tracker'!$E:$E,'Positions Tracker'!$B803,'Candidate Tracker'!$C:$C,"&lt;&gt;WIP",'Candidate Tracker'!$C:$C,"&lt;&gt;Hold",'Candidate Tracker'!$C:$C,"&lt;&gt;Cancelled",'Candidate Tracker'!$C:$C,"&lt;&gt;Closed")/COUNTIFS('Candidate Tracker'!$E:$E,'Positions Tracker'!$B803)),"")</f>
        <v/>
      </c>
      <c r="BD803" s="67" t="str">
        <f t="shared" si="72"/>
        <v/>
      </c>
      <c r="BE803" s="67" t="str">
        <f t="shared" si="73"/>
        <v/>
      </c>
      <c r="BF803" s="67" t="str">
        <f t="shared" si="74"/>
        <v/>
      </c>
      <c r="BG803" s="67" t="str">
        <f t="shared" si="75"/>
        <v/>
      </c>
    </row>
    <row r="804" spans="1:59">
      <c r="A804" s="55"/>
      <c r="B804" s="56"/>
      <c r="C804" s="56"/>
      <c r="D804" s="56"/>
      <c r="E804" s="56"/>
      <c r="F804" s="56"/>
      <c r="G804" s="56"/>
      <c r="H804" s="56"/>
      <c r="I804" s="6"/>
      <c r="J804" s="6"/>
      <c r="K804" s="57"/>
      <c r="L804" s="57"/>
      <c r="M804" s="57"/>
      <c r="N804" s="56"/>
      <c r="O804" s="56"/>
      <c r="P804" s="56"/>
      <c r="Q804" s="56"/>
      <c r="R804" s="56"/>
      <c r="S804" s="56"/>
      <c r="T804" s="56"/>
      <c r="U804" s="56"/>
      <c r="V804" s="56"/>
      <c r="W804" s="56"/>
      <c r="X804" s="56"/>
      <c r="Y804" s="56"/>
      <c r="Z804" s="56"/>
      <c r="AA804" s="56"/>
      <c r="AB804" s="56"/>
      <c r="AC804" s="56"/>
      <c r="AD804" s="56"/>
      <c r="AE804" s="56"/>
      <c r="AF804" s="56"/>
      <c r="AG804" s="56"/>
      <c r="AH804" s="56"/>
      <c r="AI804" s="58"/>
      <c r="AJ804" s="56"/>
      <c r="AK804" s="56"/>
      <c r="AL804" s="56"/>
      <c r="AM804" s="57"/>
      <c r="AN804" s="57"/>
      <c r="AO804" s="56"/>
      <c r="AP804" s="56"/>
      <c r="AQ804" s="57"/>
      <c r="AR804" s="57"/>
      <c r="AS804" s="57"/>
      <c r="AT804" s="67">
        <f t="shared" ca="1" si="76"/>
        <v>0</v>
      </c>
      <c r="AU804" s="79" t="str">
        <f t="shared" ca="1" si="77"/>
        <v/>
      </c>
      <c r="AV804" s="79" t="str" cm="1">
        <f t="array" aca="1" ref="AV804" ca="1">IFERROR(_xlfn.IFS($AU804="","",$AU804&lt;=15,"0-15",AND($AU804&gt;=16,$AU804&lt;=30),"16-30",AND($AU804&gt;=31,$AU804&lt;=45),"31-45",AND($AU804&gt;=46,$AU804&lt;=60),"46-60",AND($AU804&gt;=61,$AU804&lt;=90),"61-90",AND($AU804&gt;=91),"&gt; 90",AND($AU804&gt;=2000),""),"")</f>
        <v/>
      </c>
      <c r="AW804" s="79" t="str" cm="1">
        <f t="array" aca="1" ref="AW804" ca="1">IFERROR(_xlfn.IFS(OR($M804="",$AM804=""),"",OR($C804="Offered",$C804="Joined"),($AM804-$M804)-$AT804),"")</f>
        <v/>
      </c>
      <c r="AX804" s="79" t="str" cm="1">
        <f t="array" aca="1" ref="AX804" ca="1">IFERROR(_xlfn.IFS(OR($M804="",$AS804=""),"",$C804="Joined",($AS804-$M804)-$AT804),"")</f>
        <v/>
      </c>
      <c r="AY804" s="67" t="str">
        <f>IFERROR(IF(COUNTIFS('Candidate Tracker'!$E:$E,'Positions Tracker'!$B804,'Candidate Tracker'!$C:$C,"Offer Drop")=0,"",COUNTIFS('Candidate Tracker'!$E:$E,'Positions Tracker'!$B804,'Candidate Tracker'!$C:$C,"Offer Drop")),"")</f>
        <v/>
      </c>
      <c r="AZ804" s="80">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0.88111888111888115</v>
      </c>
      <c r="BA804" s="81" t="str">
        <f>IFERROR(IF(COUNTIFS('Candidate Tracker'!$E:$E,'Positions Tracker'!$B804,'Candidate Tracker'!$I:$I,"Female")=0,"",COUNTIFS('Candidate Tracker'!$E:$E,'Positions Tracker'!$B804,'Candidate Tracker'!$I:$I,"Female")),"")</f>
        <v/>
      </c>
      <c r="BB804" s="81" t="str">
        <f>IFERROR(IF(COUNTIFS('Candidate Tracker'!$E:$E,'Positions Tracker'!$B804,'Candidate Tracker'!$I:$I,"male")=0,"",COUNTIFS('Candidate Tracker'!$E:$E,'Positions Tracker'!$B804,'Candidate Tracker'!$I:$I,"male")),"")</f>
        <v/>
      </c>
      <c r="BC804" s="80" t="str">
        <f>IFERROR(IF(COUNTIFS('Candidate Tracker'!$E:$E,'Positions Tracker'!$B804,'Candidate Tracker'!$C:$C,"&lt;&gt;WIP",'Candidate Tracker'!$C:$C,"&lt;&gt;Hold",'Candidate Tracker'!$C:$C,"&lt;&gt;Cancelled",'Candidate Tracker'!$C:$C,"&lt;&gt;Closed")/COUNTIFS('Candidate Tracker'!$E:$E,'Positions Tracker'!$B804)=0,"",COUNTIFS('Candidate Tracker'!$E:$E,'Positions Tracker'!$B804,'Candidate Tracker'!$C:$C,"&lt;&gt;WIP",'Candidate Tracker'!$C:$C,"&lt;&gt;Hold",'Candidate Tracker'!$C:$C,"&lt;&gt;Cancelled",'Candidate Tracker'!$C:$C,"&lt;&gt;Closed")/COUNTIFS('Candidate Tracker'!$E:$E,'Positions Tracker'!$B804)),"")</f>
        <v/>
      </c>
      <c r="BD804" s="67" t="str">
        <f t="shared" si="72"/>
        <v/>
      </c>
      <c r="BE804" s="67" t="str">
        <f t="shared" si="73"/>
        <v/>
      </c>
      <c r="BF804" s="67" t="str">
        <f t="shared" si="74"/>
        <v/>
      </c>
      <c r="BG804" s="67" t="str">
        <f t="shared" si="75"/>
        <v/>
      </c>
    </row>
    <row r="805" spans="1:59">
      <c r="A805" s="55"/>
      <c r="B805" s="56"/>
      <c r="C805" s="56"/>
      <c r="D805" s="56"/>
      <c r="E805" s="56"/>
      <c r="F805" s="56"/>
      <c r="G805" s="56"/>
      <c r="H805" s="56"/>
      <c r="I805" s="6"/>
      <c r="J805" s="6"/>
      <c r="K805" s="57"/>
      <c r="L805" s="57"/>
      <c r="M805" s="57"/>
      <c r="N805" s="56"/>
      <c r="O805" s="56"/>
      <c r="P805" s="56"/>
      <c r="Q805" s="56"/>
      <c r="R805" s="56"/>
      <c r="S805" s="56"/>
      <c r="T805" s="56"/>
      <c r="U805" s="56"/>
      <c r="V805" s="56"/>
      <c r="W805" s="56"/>
      <c r="X805" s="56"/>
      <c r="Y805" s="56"/>
      <c r="Z805" s="56"/>
      <c r="AA805" s="56"/>
      <c r="AB805" s="56"/>
      <c r="AC805" s="56"/>
      <c r="AD805" s="56"/>
      <c r="AE805" s="56"/>
      <c r="AF805" s="56"/>
      <c r="AG805" s="56"/>
      <c r="AH805" s="56"/>
      <c r="AI805" s="58"/>
      <c r="AJ805" s="56"/>
      <c r="AK805" s="56"/>
      <c r="AL805" s="56"/>
      <c r="AM805" s="57"/>
      <c r="AN805" s="57"/>
      <c r="AO805" s="56"/>
      <c r="AP805" s="56"/>
      <c r="AQ805" s="57"/>
      <c r="AR805" s="57"/>
      <c r="AS805" s="57"/>
      <c r="AT805" s="67">
        <f t="shared" ca="1" si="76"/>
        <v>0</v>
      </c>
      <c r="AU805" s="79" t="str">
        <f t="shared" ca="1" si="77"/>
        <v/>
      </c>
      <c r="AV805" s="79" t="str" cm="1">
        <f t="array" aca="1" ref="AV805" ca="1">IFERROR(_xlfn.IFS($AU805="","",$AU805&lt;=15,"0-15",AND($AU805&gt;=16,$AU805&lt;=30),"16-30",AND($AU805&gt;=31,$AU805&lt;=45),"31-45",AND($AU805&gt;=46,$AU805&lt;=60),"46-60",AND($AU805&gt;=61,$AU805&lt;=90),"61-90",AND($AU805&gt;=91),"&gt; 90",AND($AU805&gt;=2000),""),"")</f>
        <v/>
      </c>
      <c r="AW805" s="79" t="str" cm="1">
        <f t="array" aca="1" ref="AW805" ca="1">IFERROR(_xlfn.IFS(OR($M805="",$AM805=""),"",OR($C805="Offered",$C805="Joined"),($AM805-$M805)-$AT805),"")</f>
        <v/>
      </c>
      <c r="AX805" s="79" t="str" cm="1">
        <f t="array" aca="1" ref="AX805" ca="1">IFERROR(_xlfn.IFS(OR($M805="",$AS805=""),"",$C805="Joined",($AS805-$M805)-$AT805),"")</f>
        <v/>
      </c>
      <c r="AY805" s="67" t="str">
        <f>IFERROR(IF(COUNTIFS('Candidate Tracker'!$E:$E,'Positions Tracker'!$B805,'Candidate Tracker'!$C:$C,"Offer Drop")=0,"",COUNTIFS('Candidate Tracker'!$E:$E,'Positions Tracker'!$B805,'Candidate Tracker'!$C:$C,"Offer Drop")),"")</f>
        <v/>
      </c>
      <c r="AZ805" s="80">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0.88111888111888115</v>
      </c>
      <c r="BA805" s="81" t="str">
        <f>IFERROR(IF(COUNTIFS('Candidate Tracker'!$E:$E,'Positions Tracker'!$B805,'Candidate Tracker'!$I:$I,"Female")=0,"",COUNTIFS('Candidate Tracker'!$E:$E,'Positions Tracker'!$B805,'Candidate Tracker'!$I:$I,"Female")),"")</f>
        <v/>
      </c>
      <c r="BB805" s="81" t="str">
        <f>IFERROR(IF(COUNTIFS('Candidate Tracker'!$E:$E,'Positions Tracker'!$B805,'Candidate Tracker'!$I:$I,"male")=0,"",COUNTIFS('Candidate Tracker'!$E:$E,'Positions Tracker'!$B805,'Candidate Tracker'!$I:$I,"male")),"")</f>
        <v/>
      </c>
      <c r="BC805" s="80" t="str">
        <f>IFERROR(IF(COUNTIFS('Candidate Tracker'!$E:$E,'Positions Tracker'!$B805,'Candidate Tracker'!$C:$C,"&lt;&gt;WIP",'Candidate Tracker'!$C:$C,"&lt;&gt;Hold",'Candidate Tracker'!$C:$C,"&lt;&gt;Cancelled",'Candidate Tracker'!$C:$C,"&lt;&gt;Closed")/COUNTIFS('Candidate Tracker'!$E:$E,'Positions Tracker'!$B805)=0,"",COUNTIFS('Candidate Tracker'!$E:$E,'Positions Tracker'!$B805,'Candidate Tracker'!$C:$C,"&lt;&gt;WIP",'Candidate Tracker'!$C:$C,"&lt;&gt;Hold",'Candidate Tracker'!$C:$C,"&lt;&gt;Cancelled",'Candidate Tracker'!$C:$C,"&lt;&gt;Closed")/COUNTIFS('Candidate Tracker'!$E:$E,'Positions Tracker'!$B805)),"")</f>
        <v/>
      </c>
      <c r="BD805" s="67" t="str">
        <f t="shared" si="72"/>
        <v/>
      </c>
      <c r="BE805" s="67" t="str">
        <f t="shared" si="73"/>
        <v/>
      </c>
      <c r="BF805" s="67" t="str">
        <f t="shared" si="74"/>
        <v/>
      </c>
      <c r="BG805" s="67" t="str">
        <f t="shared" si="75"/>
        <v/>
      </c>
    </row>
    <row r="806" spans="1:59">
      <c r="A806" s="55"/>
      <c r="B806" s="56"/>
      <c r="C806" s="56"/>
      <c r="D806" s="56"/>
      <c r="E806" s="56"/>
      <c r="F806" s="56"/>
      <c r="G806" s="56"/>
      <c r="H806" s="56"/>
      <c r="I806" s="6"/>
      <c r="J806" s="6"/>
      <c r="K806" s="57"/>
      <c r="L806" s="57"/>
      <c r="M806" s="57"/>
      <c r="N806" s="56"/>
      <c r="O806" s="56"/>
      <c r="P806" s="56"/>
      <c r="Q806" s="56"/>
      <c r="R806" s="56"/>
      <c r="S806" s="56"/>
      <c r="T806" s="56"/>
      <c r="U806" s="56"/>
      <c r="V806" s="56"/>
      <c r="W806" s="56"/>
      <c r="X806" s="56"/>
      <c r="Y806" s="56"/>
      <c r="Z806" s="56"/>
      <c r="AA806" s="56"/>
      <c r="AB806" s="56"/>
      <c r="AC806" s="56"/>
      <c r="AD806" s="56"/>
      <c r="AE806" s="56"/>
      <c r="AF806" s="56"/>
      <c r="AG806" s="56"/>
      <c r="AH806" s="56"/>
      <c r="AI806" s="58"/>
      <c r="AJ806" s="56"/>
      <c r="AK806" s="56"/>
      <c r="AL806" s="56"/>
      <c r="AM806" s="57"/>
      <c r="AN806" s="57"/>
      <c r="AO806" s="56"/>
      <c r="AP806" s="56"/>
      <c r="AQ806" s="57"/>
      <c r="AR806" s="57"/>
      <c r="AS806" s="57"/>
      <c r="AT806" s="67">
        <f t="shared" ca="1" si="76"/>
        <v>0</v>
      </c>
      <c r="AU806" s="79" t="str">
        <f t="shared" ca="1" si="77"/>
        <v/>
      </c>
      <c r="AV806" s="79" t="str" cm="1">
        <f t="array" aca="1" ref="AV806" ca="1">IFERROR(_xlfn.IFS($AU806="","",$AU806&lt;=15,"0-15",AND($AU806&gt;=16,$AU806&lt;=30),"16-30",AND($AU806&gt;=31,$AU806&lt;=45),"31-45",AND($AU806&gt;=46,$AU806&lt;=60),"46-60",AND($AU806&gt;=61,$AU806&lt;=90),"61-90",AND($AU806&gt;=91),"&gt; 90",AND($AU806&gt;=2000),""),"")</f>
        <v/>
      </c>
      <c r="AW806" s="79" t="str" cm="1">
        <f t="array" aca="1" ref="AW806" ca="1">IFERROR(_xlfn.IFS(OR($M806="",$AM806=""),"",OR($C806="Offered",$C806="Joined"),($AM806-$M806)-$AT806),"")</f>
        <v/>
      </c>
      <c r="AX806" s="79" t="str" cm="1">
        <f t="array" aca="1" ref="AX806" ca="1">IFERROR(_xlfn.IFS(OR($M806="",$AS806=""),"",$C806="Joined",($AS806-$M806)-$AT806),"")</f>
        <v/>
      </c>
      <c r="AY806" s="67" t="str">
        <f>IFERROR(IF(COUNTIFS('Candidate Tracker'!$E:$E,'Positions Tracker'!$B806,'Candidate Tracker'!$C:$C,"Offer Drop")=0,"",COUNTIFS('Candidate Tracker'!$E:$E,'Positions Tracker'!$B806,'Candidate Tracker'!$C:$C,"Offer Drop")),"")</f>
        <v/>
      </c>
      <c r="AZ806" s="80">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0.88111888111888115</v>
      </c>
      <c r="BA806" s="81" t="str">
        <f>IFERROR(IF(COUNTIFS('Candidate Tracker'!$E:$E,'Positions Tracker'!$B806,'Candidate Tracker'!$I:$I,"Female")=0,"",COUNTIFS('Candidate Tracker'!$E:$E,'Positions Tracker'!$B806,'Candidate Tracker'!$I:$I,"Female")),"")</f>
        <v/>
      </c>
      <c r="BB806" s="81" t="str">
        <f>IFERROR(IF(COUNTIFS('Candidate Tracker'!$E:$E,'Positions Tracker'!$B806,'Candidate Tracker'!$I:$I,"male")=0,"",COUNTIFS('Candidate Tracker'!$E:$E,'Positions Tracker'!$B806,'Candidate Tracker'!$I:$I,"male")),"")</f>
        <v/>
      </c>
      <c r="BC806" s="80" t="str">
        <f>IFERROR(IF(COUNTIFS('Candidate Tracker'!$E:$E,'Positions Tracker'!$B806,'Candidate Tracker'!$C:$C,"&lt;&gt;WIP",'Candidate Tracker'!$C:$C,"&lt;&gt;Hold",'Candidate Tracker'!$C:$C,"&lt;&gt;Cancelled",'Candidate Tracker'!$C:$C,"&lt;&gt;Closed")/COUNTIFS('Candidate Tracker'!$E:$E,'Positions Tracker'!$B806)=0,"",COUNTIFS('Candidate Tracker'!$E:$E,'Positions Tracker'!$B806,'Candidate Tracker'!$C:$C,"&lt;&gt;WIP",'Candidate Tracker'!$C:$C,"&lt;&gt;Hold",'Candidate Tracker'!$C:$C,"&lt;&gt;Cancelled",'Candidate Tracker'!$C:$C,"&lt;&gt;Closed")/COUNTIFS('Candidate Tracker'!$E:$E,'Positions Tracker'!$B806)),"")</f>
        <v/>
      </c>
      <c r="BD806" s="67" t="str">
        <f t="shared" si="72"/>
        <v/>
      </c>
      <c r="BE806" s="67" t="str">
        <f t="shared" si="73"/>
        <v/>
      </c>
      <c r="BF806" s="67" t="str">
        <f t="shared" si="74"/>
        <v/>
      </c>
      <c r="BG806" s="67" t="str">
        <f t="shared" si="75"/>
        <v/>
      </c>
    </row>
    <row r="807" spans="1:59">
      <c r="A807" s="55"/>
      <c r="B807" s="56"/>
      <c r="C807" s="56"/>
      <c r="D807" s="56"/>
      <c r="E807" s="56"/>
      <c r="F807" s="56"/>
      <c r="G807" s="56"/>
      <c r="H807" s="56"/>
      <c r="I807" s="6"/>
      <c r="J807" s="6"/>
      <c r="K807" s="57"/>
      <c r="L807" s="57"/>
      <c r="M807" s="57"/>
      <c r="N807" s="56"/>
      <c r="O807" s="56"/>
      <c r="P807" s="56"/>
      <c r="Q807" s="56"/>
      <c r="R807" s="56"/>
      <c r="S807" s="56"/>
      <c r="T807" s="56"/>
      <c r="U807" s="56"/>
      <c r="V807" s="56"/>
      <c r="W807" s="56"/>
      <c r="X807" s="56"/>
      <c r="Y807" s="56"/>
      <c r="Z807" s="56"/>
      <c r="AA807" s="56"/>
      <c r="AB807" s="56"/>
      <c r="AC807" s="56"/>
      <c r="AD807" s="56"/>
      <c r="AE807" s="56"/>
      <c r="AF807" s="56"/>
      <c r="AG807" s="56"/>
      <c r="AH807" s="56"/>
      <c r="AI807" s="58"/>
      <c r="AJ807" s="56"/>
      <c r="AK807" s="56"/>
      <c r="AL807" s="56"/>
      <c r="AM807" s="57"/>
      <c r="AN807" s="57"/>
      <c r="AO807" s="56"/>
      <c r="AP807" s="56"/>
      <c r="AQ807" s="57"/>
      <c r="AR807" s="57"/>
      <c r="AS807" s="57"/>
      <c r="AT807" s="67">
        <f t="shared" ca="1" si="76"/>
        <v>0</v>
      </c>
      <c r="AU807" s="79" t="str">
        <f t="shared" ca="1" si="77"/>
        <v/>
      </c>
      <c r="AV807" s="79" t="str" cm="1">
        <f t="array" aca="1" ref="AV807" ca="1">IFERROR(_xlfn.IFS($AU807="","",$AU807&lt;=15,"0-15",AND($AU807&gt;=16,$AU807&lt;=30),"16-30",AND($AU807&gt;=31,$AU807&lt;=45),"31-45",AND($AU807&gt;=46,$AU807&lt;=60),"46-60",AND($AU807&gt;=61,$AU807&lt;=90),"61-90",AND($AU807&gt;=91),"&gt; 90",AND($AU807&gt;=2000),""),"")</f>
        <v/>
      </c>
      <c r="AW807" s="79" t="str" cm="1">
        <f t="array" aca="1" ref="AW807" ca="1">IFERROR(_xlfn.IFS(OR($M807="",$AM807=""),"",OR($C807="Offered",$C807="Joined"),($AM807-$M807)-$AT807),"")</f>
        <v/>
      </c>
      <c r="AX807" s="79" t="str" cm="1">
        <f t="array" aca="1" ref="AX807" ca="1">IFERROR(_xlfn.IFS(OR($M807="",$AS807=""),"",$C807="Joined",($AS807-$M807)-$AT807),"")</f>
        <v/>
      </c>
      <c r="AY807" s="67" t="str">
        <f>IFERROR(IF(COUNTIFS('Candidate Tracker'!$E:$E,'Positions Tracker'!$B807,'Candidate Tracker'!$C:$C,"Offer Drop")=0,"",COUNTIFS('Candidate Tracker'!$E:$E,'Positions Tracker'!$B807,'Candidate Tracker'!$C:$C,"Offer Drop")),"")</f>
        <v/>
      </c>
      <c r="AZ807" s="80">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0.88111888111888115</v>
      </c>
      <c r="BA807" s="81" t="str">
        <f>IFERROR(IF(COUNTIFS('Candidate Tracker'!$E:$E,'Positions Tracker'!$B807,'Candidate Tracker'!$I:$I,"Female")=0,"",COUNTIFS('Candidate Tracker'!$E:$E,'Positions Tracker'!$B807,'Candidate Tracker'!$I:$I,"Female")),"")</f>
        <v/>
      </c>
      <c r="BB807" s="81" t="str">
        <f>IFERROR(IF(COUNTIFS('Candidate Tracker'!$E:$E,'Positions Tracker'!$B807,'Candidate Tracker'!$I:$I,"male")=0,"",COUNTIFS('Candidate Tracker'!$E:$E,'Positions Tracker'!$B807,'Candidate Tracker'!$I:$I,"male")),"")</f>
        <v/>
      </c>
      <c r="BC807" s="80" t="str">
        <f>IFERROR(IF(COUNTIFS('Candidate Tracker'!$E:$E,'Positions Tracker'!$B807,'Candidate Tracker'!$C:$C,"&lt;&gt;WIP",'Candidate Tracker'!$C:$C,"&lt;&gt;Hold",'Candidate Tracker'!$C:$C,"&lt;&gt;Cancelled",'Candidate Tracker'!$C:$C,"&lt;&gt;Closed")/COUNTIFS('Candidate Tracker'!$E:$E,'Positions Tracker'!$B807)=0,"",COUNTIFS('Candidate Tracker'!$E:$E,'Positions Tracker'!$B807,'Candidate Tracker'!$C:$C,"&lt;&gt;WIP",'Candidate Tracker'!$C:$C,"&lt;&gt;Hold",'Candidate Tracker'!$C:$C,"&lt;&gt;Cancelled",'Candidate Tracker'!$C:$C,"&lt;&gt;Closed")/COUNTIFS('Candidate Tracker'!$E:$E,'Positions Tracker'!$B807)),"")</f>
        <v/>
      </c>
      <c r="BD807" s="67" t="str">
        <f t="shared" si="72"/>
        <v/>
      </c>
      <c r="BE807" s="67" t="str">
        <f t="shared" si="73"/>
        <v/>
      </c>
      <c r="BF807" s="67" t="str">
        <f t="shared" si="74"/>
        <v/>
      </c>
      <c r="BG807" s="67" t="str">
        <f t="shared" si="75"/>
        <v/>
      </c>
    </row>
    <row r="808" spans="1:59">
      <c r="A808" s="55"/>
      <c r="B808" s="56"/>
      <c r="C808" s="56"/>
      <c r="D808" s="56"/>
      <c r="E808" s="56"/>
      <c r="F808" s="56"/>
      <c r="G808" s="56"/>
      <c r="H808" s="56"/>
      <c r="I808" s="6"/>
      <c r="J808" s="6"/>
      <c r="K808" s="57"/>
      <c r="L808" s="57"/>
      <c r="M808" s="57"/>
      <c r="N808" s="56"/>
      <c r="O808" s="56"/>
      <c r="P808" s="56"/>
      <c r="Q808" s="56"/>
      <c r="R808" s="56"/>
      <c r="S808" s="56"/>
      <c r="T808" s="56"/>
      <c r="U808" s="56"/>
      <c r="V808" s="56"/>
      <c r="W808" s="56"/>
      <c r="X808" s="56"/>
      <c r="Y808" s="56"/>
      <c r="Z808" s="56"/>
      <c r="AA808" s="56"/>
      <c r="AB808" s="56"/>
      <c r="AC808" s="56"/>
      <c r="AD808" s="56"/>
      <c r="AE808" s="56"/>
      <c r="AF808" s="56"/>
      <c r="AG808" s="56"/>
      <c r="AH808" s="56"/>
      <c r="AI808" s="58"/>
      <c r="AJ808" s="56"/>
      <c r="AK808" s="56"/>
      <c r="AL808" s="56"/>
      <c r="AM808" s="57"/>
      <c r="AN808" s="57"/>
      <c r="AO808" s="56"/>
      <c r="AP808" s="56"/>
      <c r="AQ808" s="57"/>
      <c r="AR808" s="57"/>
      <c r="AS808" s="57"/>
      <c r="AT808" s="67">
        <f t="shared" ca="1" si="76"/>
        <v>0</v>
      </c>
      <c r="AU808" s="79" t="str">
        <f t="shared" ca="1" si="77"/>
        <v/>
      </c>
      <c r="AV808" s="79" t="str" cm="1">
        <f t="array" aca="1" ref="AV808" ca="1">IFERROR(_xlfn.IFS($AU808="","",$AU808&lt;=15,"0-15",AND($AU808&gt;=16,$AU808&lt;=30),"16-30",AND($AU808&gt;=31,$AU808&lt;=45),"31-45",AND($AU808&gt;=46,$AU808&lt;=60),"46-60",AND($AU808&gt;=61,$AU808&lt;=90),"61-90",AND($AU808&gt;=91),"&gt; 90",AND($AU808&gt;=2000),""),"")</f>
        <v/>
      </c>
      <c r="AW808" s="79" t="str" cm="1">
        <f t="array" aca="1" ref="AW808" ca="1">IFERROR(_xlfn.IFS(OR($M808="",$AM808=""),"",OR($C808="Offered",$C808="Joined"),($AM808-$M808)-$AT808),"")</f>
        <v/>
      </c>
      <c r="AX808" s="79" t="str" cm="1">
        <f t="array" aca="1" ref="AX808" ca="1">IFERROR(_xlfn.IFS(OR($M808="",$AS808=""),"",$C808="Joined",($AS808-$M808)-$AT808),"")</f>
        <v/>
      </c>
      <c r="AY808" s="67" t="str">
        <f>IFERROR(IF(COUNTIFS('Candidate Tracker'!$E:$E,'Positions Tracker'!$B808,'Candidate Tracker'!$C:$C,"Offer Drop")=0,"",COUNTIFS('Candidate Tracker'!$E:$E,'Positions Tracker'!$B808,'Candidate Tracker'!$C:$C,"Offer Drop")),"")</f>
        <v/>
      </c>
      <c r="AZ808" s="80">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0.88111888111888115</v>
      </c>
      <c r="BA808" s="81" t="str">
        <f>IFERROR(IF(COUNTIFS('Candidate Tracker'!$E:$E,'Positions Tracker'!$B808,'Candidate Tracker'!$I:$I,"Female")=0,"",COUNTIFS('Candidate Tracker'!$E:$E,'Positions Tracker'!$B808,'Candidate Tracker'!$I:$I,"Female")),"")</f>
        <v/>
      </c>
      <c r="BB808" s="81" t="str">
        <f>IFERROR(IF(COUNTIFS('Candidate Tracker'!$E:$E,'Positions Tracker'!$B808,'Candidate Tracker'!$I:$I,"male")=0,"",COUNTIFS('Candidate Tracker'!$E:$E,'Positions Tracker'!$B808,'Candidate Tracker'!$I:$I,"male")),"")</f>
        <v/>
      </c>
      <c r="BC808" s="80" t="str">
        <f>IFERROR(IF(COUNTIFS('Candidate Tracker'!$E:$E,'Positions Tracker'!$B808,'Candidate Tracker'!$C:$C,"&lt;&gt;WIP",'Candidate Tracker'!$C:$C,"&lt;&gt;Hold",'Candidate Tracker'!$C:$C,"&lt;&gt;Cancelled",'Candidate Tracker'!$C:$C,"&lt;&gt;Closed")/COUNTIFS('Candidate Tracker'!$E:$E,'Positions Tracker'!$B808)=0,"",COUNTIFS('Candidate Tracker'!$E:$E,'Positions Tracker'!$B808,'Candidate Tracker'!$C:$C,"&lt;&gt;WIP",'Candidate Tracker'!$C:$C,"&lt;&gt;Hold",'Candidate Tracker'!$C:$C,"&lt;&gt;Cancelled",'Candidate Tracker'!$C:$C,"&lt;&gt;Closed")/COUNTIFS('Candidate Tracker'!$E:$E,'Positions Tracker'!$B808)),"")</f>
        <v/>
      </c>
      <c r="BD808" s="67" t="str">
        <f t="shared" si="72"/>
        <v/>
      </c>
      <c r="BE808" s="67" t="str">
        <f t="shared" si="73"/>
        <v/>
      </c>
      <c r="BF808" s="67" t="str">
        <f t="shared" si="74"/>
        <v/>
      </c>
      <c r="BG808" s="67" t="str">
        <f t="shared" si="75"/>
        <v/>
      </c>
    </row>
    <row r="809" spans="1:59">
      <c r="A809" s="55"/>
      <c r="B809" s="56"/>
      <c r="C809" s="56"/>
      <c r="D809" s="56"/>
      <c r="E809" s="56"/>
      <c r="F809" s="56"/>
      <c r="G809" s="56"/>
      <c r="H809" s="56"/>
      <c r="I809" s="6"/>
      <c r="J809" s="6"/>
      <c r="K809" s="57"/>
      <c r="L809" s="57"/>
      <c r="M809" s="57"/>
      <c r="N809" s="56"/>
      <c r="O809" s="56"/>
      <c r="P809" s="56"/>
      <c r="Q809" s="56"/>
      <c r="R809" s="56"/>
      <c r="S809" s="56"/>
      <c r="T809" s="56"/>
      <c r="U809" s="56"/>
      <c r="V809" s="56"/>
      <c r="W809" s="56"/>
      <c r="X809" s="56"/>
      <c r="Y809" s="56"/>
      <c r="Z809" s="56"/>
      <c r="AA809" s="56"/>
      <c r="AB809" s="56"/>
      <c r="AC809" s="56"/>
      <c r="AD809" s="56"/>
      <c r="AE809" s="56"/>
      <c r="AF809" s="56"/>
      <c r="AG809" s="56"/>
      <c r="AH809" s="56"/>
      <c r="AI809" s="58"/>
      <c r="AJ809" s="56"/>
      <c r="AK809" s="56"/>
      <c r="AL809" s="56"/>
      <c r="AM809" s="57"/>
      <c r="AN809" s="57"/>
      <c r="AO809" s="56"/>
      <c r="AP809" s="56"/>
      <c r="AQ809" s="57"/>
      <c r="AR809" s="57"/>
      <c r="AS809" s="57"/>
      <c r="AT809" s="67">
        <f t="shared" ca="1" si="76"/>
        <v>0</v>
      </c>
      <c r="AU809" s="79" t="str">
        <f t="shared" ca="1" si="77"/>
        <v/>
      </c>
      <c r="AV809" s="79" t="str" cm="1">
        <f t="array" aca="1" ref="AV809" ca="1">IFERROR(_xlfn.IFS($AU809="","",$AU809&lt;=15,"0-15",AND($AU809&gt;=16,$AU809&lt;=30),"16-30",AND($AU809&gt;=31,$AU809&lt;=45),"31-45",AND($AU809&gt;=46,$AU809&lt;=60),"46-60",AND($AU809&gt;=61,$AU809&lt;=90),"61-90",AND($AU809&gt;=91),"&gt; 90",AND($AU809&gt;=2000),""),"")</f>
        <v/>
      </c>
      <c r="AW809" s="79" t="str" cm="1">
        <f t="array" aca="1" ref="AW809" ca="1">IFERROR(_xlfn.IFS(OR($M809="",$AM809=""),"",OR($C809="Offered",$C809="Joined"),($AM809-$M809)-$AT809),"")</f>
        <v/>
      </c>
      <c r="AX809" s="79" t="str" cm="1">
        <f t="array" aca="1" ref="AX809" ca="1">IFERROR(_xlfn.IFS(OR($M809="",$AS809=""),"",$C809="Joined",($AS809-$M809)-$AT809),"")</f>
        <v/>
      </c>
      <c r="AY809" s="67" t="str">
        <f>IFERROR(IF(COUNTIFS('Candidate Tracker'!$E:$E,'Positions Tracker'!$B809,'Candidate Tracker'!$C:$C,"Offer Drop")=0,"",COUNTIFS('Candidate Tracker'!$E:$E,'Positions Tracker'!$B809,'Candidate Tracker'!$C:$C,"Offer Drop")),"")</f>
        <v/>
      </c>
      <c r="AZ809" s="80">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0.88111888111888115</v>
      </c>
      <c r="BA809" s="81" t="str">
        <f>IFERROR(IF(COUNTIFS('Candidate Tracker'!$E:$E,'Positions Tracker'!$B809,'Candidate Tracker'!$I:$I,"Female")=0,"",COUNTIFS('Candidate Tracker'!$E:$E,'Positions Tracker'!$B809,'Candidate Tracker'!$I:$I,"Female")),"")</f>
        <v/>
      </c>
      <c r="BB809" s="81" t="str">
        <f>IFERROR(IF(COUNTIFS('Candidate Tracker'!$E:$E,'Positions Tracker'!$B809,'Candidate Tracker'!$I:$I,"male")=0,"",COUNTIFS('Candidate Tracker'!$E:$E,'Positions Tracker'!$B809,'Candidate Tracker'!$I:$I,"male")),"")</f>
        <v/>
      </c>
      <c r="BC809" s="80" t="str">
        <f>IFERROR(IF(COUNTIFS('Candidate Tracker'!$E:$E,'Positions Tracker'!$B809,'Candidate Tracker'!$C:$C,"&lt;&gt;WIP",'Candidate Tracker'!$C:$C,"&lt;&gt;Hold",'Candidate Tracker'!$C:$C,"&lt;&gt;Cancelled",'Candidate Tracker'!$C:$C,"&lt;&gt;Closed")/COUNTIFS('Candidate Tracker'!$E:$E,'Positions Tracker'!$B809)=0,"",COUNTIFS('Candidate Tracker'!$E:$E,'Positions Tracker'!$B809,'Candidate Tracker'!$C:$C,"&lt;&gt;WIP",'Candidate Tracker'!$C:$C,"&lt;&gt;Hold",'Candidate Tracker'!$C:$C,"&lt;&gt;Cancelled",'Candidate Tracker'!$C:$C,"&lt;&gt;Closed")/COUNTIFS('Candidate Tracker'!$E:$E,'Positions Tracker'!$B809)),"")</f>
        <v/>
      </c>
      <c r="BD809" s="67" t="str">
        <f t="shared" si="72"/>
        <v/>
      </c>
      <c r="BE809" s="67" t="str">
        <f t="shared" si="73"/>
        <v/>
      </c>
      <c r="BF809" s="67" t="str">
        <f t="shared" si="74"/>
        <v/>
      </c>
      <c r="BG809" s="67" t="str">
        <f t="shared" si="75"/>
        <v/>
      </c>
    </row>
    <row r="810" spans="1:59">
      <c r="A810" s="55"/>
      <c r="B810" s="56"/>
      <c r="C810" s="56"/>
      <c r="D810" s="56"/>
      <c r="E810" s="56"/>
      <c r="F810" s="56"/>
      <c r="G810" s="56"/>
      <c r="H810" s="56"/>
      <c r="I810" s="6"/>
      <c r="J810" s="6"/>
      <c r="K810" s="57"/>
      <c r="L810" s="57"/>
      <c r="M810" s="57"/>
      <c r="N810" s="56"/>
      <c r="O810" s="56"/>
      <c r="P810" s="56"/>
      <c r="Q810" s="56"/>
      <c r="R810" s="56"/>
      <c r="S810" s="56"/>
      <c r="T810" s="56"/>
      <c r="U810" s="56"/>
      <c r="V810" s="56"/>
      <c r="W810" s="56"/>
      <c r="X810" s="56"/>
      <c r="Y810" s="56"/>
      <c r="Z810" s="56"/>
      <c r="AA810" s="56"/>
      <c r="AB810" s="56"/>
      <c r="AC810" s="56"/>
      <c r="AD810" s="56"/>
      <c r="AE810" s="56"/>
      <c r="AF810" s="56"/>
      <c r="AG810" s="56"/>
      <c r="AH810" s="56"/>
      <c r="AI810" s="58"/>
      <c r="AJ810" s="56"/>
      <c r="AK810" s="56"/>
      <c r="AL810" s="56"/>
      <c r="AM810" s="57"/>
      <c r="AN810" s="57"/>
      <c r="AO810" s="56"/>
      <c r="AP810" s="56"/>
      <c r="AQ810" s="57"/>
      <c r="AR810" s="57"/>
      <c r="AS810" s="57"/>
      <c r="AT810" s="67">
        <f t="shared" ca="1" si="76"/>
        <v>0</v>
      </c>
      <c r="AU810" s="79" t="str">
        <f t="shared" ca="1" si="77"/>
        <v/>
      </c>
      <c r="AV810" s="79" t="str" cm="1">
        <f t="array" aca="1" ref="AV810" ca="1">IFERROR(_xlfn.IFS($AU810="","",$AU810&lt;=15,"0-15",AND($AU810&gt;=16,$AU810&lt;=30),"16-30",AND($AU810&gt;=31,$AU810&lt;=45),"31-45",AND($AU810&gt;=46,$AU810&lt;=60),"46-60",AND($AU810&gt;=61,$AU810&lt;=90),"61-90",AND($AU810&gt;=91),"&gt; 90",AND($AU810&gt;=2000),""),"")</f>
        <v/>
      </c>
      <c r="AW810" s="79" t="str" cm="1">
        <f t="array" aca="1" ref="AW810" ca="1">IFERROR(_xlfn.IFS(OR($M810="",$AM810=""),"",OR($C810="Offered",$C810="Joined"),($AM810-$M810)-$AT810),"")</f>
        <v/>
      </c>
      <c r="AX810" s="79" t="str" cm="1">
        <f t="array" aca="1" ref="AX810" ca="1">IFERROR(_xlfn.IFS(OR($M810="",$AS810=""),"",$C810="Joined",($AS810-$M810)-$AT810),"")</f>
        <v/>
      </c>
      <c r="AY810" s="67" t="str">
        <f>IFERROR(IF(COUNTIFS('Candidate Tracker'!$E:$E,'Positions Tracker'!$B810,'Candidate Tracker'!$C:$C,"Offer Drop")=0,"",COUNTIFS('Candidate Tracker'!$E:$E,'Positions Tracker'!$B810,'Candidate Tracker'!$C:$C,"Offer Drop")),"")</f>
        <v/>
      </c>
      <c r="AZ810" s="80">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0.88111888111888115</v>
      </c>
      <c r="BA810" s="81" t="str">
        <f>IFERROR(IF(COUNTIFS('Candidate Tracker'!$E:$E,'Positions Tracker'!$B810,'Candidate Tracker'!$I:$I,"Female")=0,"",COUNTIFS('Candidate Tracker'!$E:$E,'Positions Tracker'!$B810,'Candidate Tracker'!$I:$I,"Female")),"")</f>
        <v/>
      </c>
      <c r="BB810" s="81" t="str">
        <f>IFERROR(IF(COUNTIFS('Candidate Tracker'!$E:$E,'Positions Tracker'!$B810,'Candidate Tracker'!$I:$I,"male")=0,"",COUNTIFS('Candidate Tracker'!$E:$E,'Positions Tracker'!$B810,'Candidate Tracker'!$I:$I,"male")),"")</f>
        <v/>
      </c>
      <c r="BC810" s="80" t="str">
        <f>IFERROR(IF(COUNTIFS('Candidate Tracker'!$E:$E,'Positions Tracker'!$B810,'Candidate Tracker'!$C:$C,"&lt;&gt;WIP",'Candidate Tracker'!$C:$C,"&lt;&gt;Hold",'Candidate Tracker'!$C:$C,"&lt;&gt;Cancelled",'Candidate Tracker'!$C:$C,"&lt;&gt;Closed")/COUNTIFS('Candidate Tracker'!$E:$E,'Positions Tracker'!$B810)=0,"",COUNTIFS('Candidate Tracker'!$E:$E,'Positions Tracker'!$B810,'Candidate Tracker'!$C:$C,"&lt;&gt;WIP",'Candidate Tracker'!$C:$C,"&lt;&gt;Hold",'Candidate Tracker'!$C:$C,"&lt;&gt;Cancelled",'Candidate Tracker'!$C:$C,"&lt;&gt;Closed")/COUNTIFS('Candidate Tracker'!$E:$E,'Positions Tracker'!$B810)),"")</f>
        <v/>
      </c>
      <c r="BD810" s="67" t="str">
        <f t="shared" si="72"/>
        <v/>
      </c>
      <c r="BE810" s="67" t="str">
        <f t="shared" si="73"/>
        <v/>
      </c>
      <c r="BF810" s="67" t="str">
        <f t="shared" si="74"/>
        <v/>
      </c>
      <c r="BG810" s="67" t="str">
        <f t="shared" si="75"/>
        <v/>
      </c>
    </row>
    <row r="811" spans="1:59">
      <c r="A811" s="55"/>
      <c r="B811" s="56"/>
      <c r="C811" s="56"/>
      <c r="D811" s="56"/>
      <c r="E811" s="56"/>
      <c r="F811" s="56"/>
      <c r="G811" s="56"/>
      <c r="H811" s="56"/>
      <c r="I811" s="6"/>
      <c r="J811" s="6"/>
      <c r="K811" s="57"/>
      <c r="L811" s="57"/>
      <c r="M811" s="57"/>
      <c r="N811" s="56"/>
      <c r="O811" s="56"/>
      <c r="P811" s="56"/>
      <c r="Q811" s="56"/>
      <c r="R811" s="56"/>
      <c r="S811" s="56"/>
      <c r="T811" s="56"/>
      <c r="U811" s="56"/>
      <c r="V811" s="56"/>
      <c r="W811" s="56"/>
      <c r="X811" s="56"/>
      <c r="Y811" s="56"/>
      <c r="Z811" s="56"/>
      <c r="AA811" s="56"/>
      <c r="AB811" s="56"/>
      <c r="AC811" s="56"/>
      <c r="AD811" s="56"/>
      <c r="AE811" s="56"/>
      <c r="AF811" s="56"/>
      <c r="AG811" s="56"/>
      <c r="AH811" s="56"/>
      <c r="AI811" s="58"/>
      <c r="AJ811" s="56"/>
      <c r="AK811" s="56"/>
      <c r="AL811" s="56"/>
      <c r="AM811" s="57"/>
      <c r="AN811" s="57"/>
      <c r="AO811" s="56"/>
      <c r="AP811" s="56"/>
      <c r="AQ811" s="57"/>
      <c r="AR811" s="57"/>
      <c r="AS811" s="57"/>
      <c r="AT811" s="67">
        <f t="shared" ca="1" si="76"/>
        <v>0</v>
      </c>
      <c r="AU811" s="79" t="str">
        <f t="shared" ca="1" si="77"/>
        <v/>
      </c>
      <c r="AV811" s="79" t="str" cm="1">
        <f t="array" aca="1" ref="AV811" ca="1">IFERROR(_xlfn.IFS($AU811="","",$AU811&lt;=15,"0-15",AND($AU811&gt;=16,$AU811&lt;=30),"16-30",AND($AU811&gt;=31,$AU811&lt;=45),"31-45",AND($AU811&gt;=46,$AU811&lt;=60),"46-60",AND($AU811&gt;=61,$AU811&lt;=90),"61-90",AND($AU811&gt;=91),"&gt; 90",AND($AU811&gt;=2000),""),"")</f>
        <v/>
      </c>
      <c r="AW811" s="79" t="str" cm="1">
        <f t="array" aca="1" ref="AW811" ca="1">IFERROR(_xlfn.IFS(OR($M811="",$AM811=""),"",OR($C811="Offered",$C811="Joined"),($AM811-$M811)-$AT811),"")</f>
        <v/>
      </c>
      <c r="AX811" s="79" t="str" cm="1">
        <f t="array" aca="1" ref="AX811" ca="1">IFERROR(_xlfn.IFS(OR($M811="",$AS811=""),"",$C811="Joined",($AS811-$M811)-$AT811),"")</f>
        <v/>
      </c>
      <c r="AY811" s="67" t="str">
        <f>IFERROR(IF(COUNTIFS('Candidate Tracker'!$E:$E,'Positions Tracker'!$B811,'Candidate Tracker'!$C:$C,"Offer Drop")=0,"",COUNTIFS('Candidate Tracker'!$E:$E,'Positions Tracker'!$B811,'Candidate Tracker'!$C:$C,"Offer Drop")),"")</f>
        <v/>
      </c>
      <c r="AZ811" s="80">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0.88111888111888115</v>
      </c>
      <c r="BA811" s="81" t="str">
        <f>IFERROR(IF(COUNTIFS('Candidate Tracker'!$E:$E,'Positions Tracker'!$B811,'Candidate Tracker'!$I:$I,"Female")=0,"",COUNTIFS('Candidate Tracker'!$E:$E,'Positions Tracker'!$B811,'Candidate Tracker'!$I:$I,"Female")),"")</f>
        <v/>
      </c>
      <c r="BB811" s="81" t="str">
        <f>IFERROR(IF(COUNTIFS('Candidate Tracker'!$E:$E,'Positions Tracker'!$B811,'Candidate Tracker'!$I:$I,"male")=0,"",COUNTIFS('Candidate Tracker'!$E:$E,'Positions Tracker'!$B811,'Candidate Tracker'!$I:$I,"male")),"")</f>
        <v/>
      </c>
      <c r="BC811" s="80" t="str">
        <f>IFERROR(IF(COUNTIFS('Candidate Tracker'!$E:$E,'Positions Tracker'!$B811,'Candidate Tracker'!$C:$C,"&lt;&gt;WIP",'Candidate Tracker'!$C:$C,"&lt;&gt;Hold",'Candidate Tracker'!$C:$C,"&lt;&gt;Cancelled",'Candidate Tracker'!$C:$C,"&lt;&gt;Closed")/COUNTIFS('Candidate Tracker'!$E:$E,'Positions Tracker'!$B811)=0,"",COUNTIFS('Candidate Tracker'!$E:$E,'Positions Tracker'!$B811,'Candidate Tracker'!$C:$C,"&lt;&gt;WIP",'Candidate Tracker'!$C:$C,"&lt;&gt;Hold",'Candidate Tracker'!$C:$C,"&lt;&gt;Cancelled",'Candidate Tracker'!$C:$C,"&lt;&gt;Closed")/COUNTIFS('Candidate Tracker'!$E:$E,'Positions Tracker'!$B811)),"")</f>
        <v/>
      </c>
      <c r="BD811" s="67" t="str">
        <f t="shared" si="72"/>
        <v/>
      </c>
      <c r="BE811" s="67" t="str">
        <f t="shared" si="73"/>
        <v/>
      </c>
      <c r="BF811" s="67" t="str">
        <f t="shared" si="74"/>
        <v/>
      </c>
      <c r="BG811" s="67" t="str">
        <f t="shared" si="75"/>
        <v/>
      </c>
    </row>
    <row r="812" spans="1:59">
      <c r="A812" s="55"/>
      <c r="B812" s="56"/>
      <c r="C812" s="56"/>
      <c r="D812" s="56"/>
      <c r="E812" s="56"/>
      <c r="F812" s="56"/>
      <c r="G812" s="56"/>
      <c r="H812" s="56"/>
      <c r="I812" s="6"/>
      <c r="J812" s="6"/>
      <c r="K812" s="57"/>
      <c r="L812" s="57"/>
      <c r="M812" s="57"/>
      <c r="N812" s="56"/>
      <c r="O812" s="56"/>
      <c r="P812" s="56"/>
      <c r="Q812" s="56"/>
      <c r="R812" s="56"/>
      <c r="S812" s="56"/>
      <c r="T812" s="56"/>
      <c r="U812" s="56"/>
      <c r="V812" s="56"/>
      <c r="W812" s="56"/>
      <c r="X812" s="56"/>
      <c r="Y812" s="56"/>
      <c r="Z812" s="56"/>
      <c r="AA812" s="56"/>
      <c r="AB812" s="56"/>
      <c r="AC812" s="56"/>
      <c r="AD812" s="56"/>
      <c r="AE812" s="56"/>
      <c r="AF812" s="56"/>
      <c r="AG812" s="56"/>
      <c r="AH812" s="56"/>
      <c r="AI812" s="58"/>
      <c r="AJ812" s="56"/>
      <c r="AK812" s="56"/>
      <c r="AL812" s="56"/>
      <c r="AM812" s="57"/>
      <c r="AN812" s="57"/>
      <c r="AO812" s="56"/>
      <c r="AP812" s="56"/>
      <c r="AQ812" s="57"/>
      <c r="AR812" s="57"/>
      <c r="AS812" s="57"/>
      <c r="AT812" s="67">
        <f t="shared" ca="1" si="76"/>
        <v>0</v>
      </c>
      <c r="AU812" s="79" t="str">
        <f t="shared" ca="1" si="77"/>
        <v/>
      </c>
      <c r="AV812" s="79" t="str" cm="1">
        <f t="array" aca="1" ref="AV812" ca="1">IFERROR(_xlfn.IFS($AU812="","",$AU812&lt;=15,"0-15",AND($AU812&gt;=16,$AU812&lt;=30),"16-30",AND($AU812&gt;=31,$AU812&lt;=45),"31-45",AND($AU812&gt;=46,$AU812&lt;=60),"46-60",AND($AU812&gt;=61,$AU812&lt;=90),"61-90",AND($AU812&gt;=91),"&gt; 90",AND($AU812&gt;=2000),""),"")</f>
        <v/>
      </c>
      <c r="AW812" s="79" t="str" cm="1">
        <f t="array" aca="1" ref="AW812" ca="1">IFERROR(_xlfn.IFS(OR($M812="",$AM812=""),"",OR($C812="Offered",$C812="Joined"),($AM812-$M812)-$AT812),"")</f>
        <v/>
      </c>
      <c r="AX812" s="79" t="str" cm="1">
        <f t="array" aca="1" ref="AX812" ca="1">IFERROR(_xlfn.IFS(OR($M812="",$AS812=""),"",$C812="Joined",($AS812-$M812)-$AT812),"")</f>
        <v/>
      </c>
      <c r="AY812" s="67" t="str">
        <f>IFERROR(IF(COUNTIFS('Candidate Tracker'!$E:$E,'Positions Tracker'!$B812,'Candidate Tracker'!$C:$C,"Offer Drop")=0,"",COUNTIFS('Candidate Tracker'!$E:$E,'Positions Tracker'!$B812,'Candidate Tracker'!$C:$C,"Offer Drop")),"")</f>
        <v/>
      </c>
      <c r="AZ812" s="80">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0.88111888111888115</v>
      </c>
      <c r="BA812" s="81" t="str">
        <f>IFERROR(IF(COUNTIFS('Candidate Tracker'!$E:$E,'Positions Tracker'!$B812,'Candidate Tracker'!$I:$I,"Female")=0,"",COUNTIFS('Candidate Tracker'!$E:$E,'Positions Tracker'!$B812,'Candidate Tracker'!$I:$I,"Female")),"")</f>
        <v/>
      </c>
      <c r="BB812" s="81" t="str">
        <f>IFERROR(IF(COUNTIFS('Candidate Tracker'!$E:$E,'Positions Tracker'!$B812,'Candidate Tracker'!$I:$I,"male")=0,"",COUNTIFS('Candidate Tracker'!$E:$E,'Positions Tracker'!$B812,'Candidate Tracker'!$I:$I,"male")),"")</f>
        <v/>
      </c>
      <c r="BC812" s="80" t="str">
        <f>IFERROR(IF(COUNTIFS('Candidate Tracker'!$E:$E,'Positions Tracker'!$B812,'Candidate Tracker'!$C:$C,"&lt;&gt;WIP",'Candidate Tracker'!$C:$C,"&lt;&gt;Hold",'Candidate Tracker'!$C:$C,"&lt;&gt;Cancelled",'Candidate Tracker'!$C:$C,"&lt;&gt;Closed")/COUNTIFS('Candidate Tracker'!$E:$E,'Positions Tracker'!$B812)=0,"",COUNTIFS('Candidate Tracker'!$E:$E,'Positions Tracker'!$B812,'Candidate Tracker'!$C:$C,"&lt;&gt;WIP",'Candidate Tracker'!$C:$C,"&lt;&gt;Hold",'Candidate Tracker'!$C:$C,"&lt;&gt;Cancelled",'Candidate Tracker'!$C:$C,"&lt;&gt;Closed")/COUNTIFS('Candidate Tracker'!$E:$E,'Positions Tracker'!$B812)),"")</f>
        <v/>
      </c>
      <c r="BD812" s="67" t="str">
        <f t="shared" si="72"/>
        <v/>
      </c>
      <c r="BE812" s="67" t="str">
        <f t="shared" si="73"/>
        <v/>
      </c>
      <c r="BF812" s="67" t="str">
        <f t="shared" si="74"/>
        <v/>
      </c>
      <c r="BG812" s="67" t="str">
        <f t="shared" si="75"/>
        <v/>
      </c>
    </row>
    <row r="813" spans="1:59">
      <c r="A813" s="55"/>
      <c r="B813" s="56"/>
      <c r="C813" s="56"/>
      <c r="D813" s="56"/>
      <c r="E813" s="56"/>
      <c r="F813" s="56"/>
      <c r="G813" s="56"/>
      <c r="H813" s="56"/>
      <c r="I813" s="6"/>
      <c r="J813" s="6"/>
      <c r="K813" s="57"/>
      <c r="L813" s="57"/>
      <c r="M813" s="57"/>
      <c r="N813" s="56"/>
      <c r="O813" s="56"/>
      <c r="P813" s="56"/>
      <c r="Q813" s="56"/>
      <c r="R813" s="56"/>
      <c r="S813" s="56"/>
      <c r="T813" s="56"/>
      <c r="U813" s="56"/>
      <c r="V813" s="56"/>
      <c r="W813" s="56"/>
      <c r="X813" s="56"/>
      <c r="Y813" s="56"/>
      <c r="Z813" s="56"/>
      <c r="AA813" s="56"/>
      <c r="AB813" s="56"/>
      <c r="AC813" s="56"/>
      <c r="AD813" s="56"/>
      <c r="AE813" s="56"/>
      <c r="AF813" s="56"/>
      <c r="AG813" s="56"/>
      <c r="AH813" s="56"/>
      <c r="AI813" s="58"/>
      <c r="AJ813" s="56"/>
      <c r="AK813" s="56"/>
      <c r="AL813" s="56"/>
      <c r="AM813" s="57"/>
      <c r="AN813" s="57"/>
      <c r="AO813" s="56"/>
      <c r="AP813" s="56"/>
      <c r="AQ813" s="57"/>
      <c r="AR813" s="57"/>
      <c r="AS813" s="57"/>
      <c r="AT813" s="67">
        <f t="shared" ca="1" si="76"/>
        <v>0</v>
      </c>
      <c r="AU813" s="79" t="str">
        <f t="shared" ca="1" si="77"/>
        <v/>
      </c>
      <c r="AV813" s="79" t="str" cm="1">
        <f t="array" aca="1" ref="AV813" ca="1">IFERROR(_xlfn.IFS($AU813="","",$AU813&lt;=15,"0-15",AND($AU813&gt;=16,$AU813&lt;=30),"16-30",AND($AU813&gt;=31,$AU813&lt;=45),"31-45",AND($AU813&gt;=46,$AU813&lt;=60),"46-60",AND($AU813&gt;=61,$AU813&lt;=90),"61-90",AND($AU813&gt;=91),"&gt; 90",AND($AU813&gt;=2000),""),"")</f>
        <v/>
      </c>
      <c r="AW813" s="79" t="str" cm="1">
        <f t="array" aca="1" ref="AW813" ca="1">IFERROR(_xlfn.IFS(OR($M813="",$AM813=""),"",OR($C813="Offered",$C813="Joined"),($AM813-$M813)-$AT813),"")</f>
        <v/>
      </c>
      <c r="AX813" s="79" t="str" cm="1">
        <f t="array" aca="1" ref="AX813" ca="1">IFERROR(_xlfn.IFS(OR($M813="",$AS813=""),"",$C813="Joined",($AS813-$M813)-$AT813),"")</f>
        <v/>
      </c>
      <c r="AY813" s="67" t="str">
        <f>IFERROR(IF(COUNTIFS('Candidate Tracker'!$E:$E,'Positions Tracker'!$B813,'Candidate Tracker'!$C:$C,"Offer Drop")=0,"",COUNTIFS('Candidate Tracker'!$E:$E,'Positions Tracker'!$B813,'Candidate Tracker'!$C:$C,"Offer Drop")),"")</f>
        <v/>
      </c>
      <c r="AZ813" s="80">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0.88111888111888115</v>
      </c>
      <c r="BA813" s="81" t="str">
        <f>IFERROR(IF(COUNTIFS('Candidate Tracker'!$E:$E,'Positions Tracker'!$B813,'Candidate Tracker'!$I:$I,"Female")=0,"",COUNTIFS('Candidate Tracker'!$E:$E,'Positions Tracker'!$B813,'Candidate Tracker'!$I:$I,"Female")),"")</f>
        <v/>
      </c>
      <c r="BB813" s="81" t="str">
        <f>IFERROR(IF(COUNTIFS('Candidate Tracker'!$E:$E,'Positions Tracker'!$B813,'Candidate Tracker'!$I:$I,"male")=0,"",COUNTIFS('Candidate Tracker'!$E:$E,'Positions Tracker'!$B813,'Candidate Tracker'!$I:$I,"male")),"")</f>
        <v/>
      </c>
      <c r="BC813" s="80" t="str">
        <f>IFERROR(IF(COUNTIFS('Candidate Tracker'!$E:$E,'Positions Tracker'!$B813,'Candidate Tracker'!$C:$C,"&lt;&gt;WIP",'Candidate Tracker'!$C:$C,"&lt;&gt;Hold",'Candidate Tracker'!$C:$C,"&lt;&gt;Cancelled",'Candidate Tracker'!$C:$C,"&lt;&gt;Closed")/COUNTIFS('Candidate Tracker'!$E:$E,'Positions Tracker'!$B813)=0,"",COUNTIFS('Candidate Tracker'!$E:$E,'Positions Tracker'!$B813,'Candidate Tracker'!$C:$C,"&lt;&gt;WIP",'Candidate Tracker'!$C:$C,"&lt;&gt;Hold",'Candidate Tracker'!$C:$C,"&lt;&gt;Cancelled",'Candidate Tracker'!$C:$C,"&lt;&gt;Closed")/COUNTIFS('Candidate Tracker'!$E:$E,'Positions Tracker'!$B813)),"")</f>
        <v/>
      </c>
      <c r="BD813" s="67" t="str">
        <f t="shared" si="72"/>
        <v/>
      </c>
      <c r="BE813" s="67" t="str">
        <f t="shared" si="73"/>
        <v/>
      </c>
      <c r="BF813" s="67" t="str">
        <f t="shared" si="74"/>
        <v/>
      </c>
      <c r="BG813" s="67" t="str">
        <f t="shared" si="75"/>
        <v/>
      </c>
    </row>
    <row r="814" spans="1:59">
      <c r="A814" s="55"/>
      <c r="B814" s="56"/>
      <c r="C814" s="56"/>
      <c r="D814" s="56"/>
      <c r="E814" s="56"/>
      <c r="F814" s="56"/>
      <c r="G814" s="56"/>
      <c r="H814" s="56"/>
      <c r="I814" s="6"/>
      <c r="J814" s="6"/>
      <c r="K814" s="57"/>
      <c r="L814" s="57"/>
      <c r="M814" s="57"/>
      <c r="N814" s="56"/>
      <c r="O814" s="56"/>
      <c r="P814" s="56"/>
      <c r="Q814" s="56"/>
      <c r="R814" s="56"/>
      <c r="S814" s="56"/>
      <c r="T814" s="56"/>
      <c r="U814" s="56"/>
      <c r="V814" s="56"/>
      <c r="W814" s="56"/>
      <c r="X814" s="56"/>
      <c r="Y814" s="56"/>
      <c r="Z814" s="56"/>
      <c r="AA814" s="56"/>
      <c r="AB814" s="56"/>
      <c r="AC814" s="56"/>
      <c r="AD814" s="56"/>
      <c r="AE814" s="56"/>
      <c r="AF814" s="56"/>
      <c r="AG814" s="56"/>
      <c r="AH814" s="56"/>
      <c r="AI814" s="58"/>
      <c r="AJ814" s="56"/>
      <c r="AK814" s="56"/>
      <c r="AL814" s="56"/>
      <c r="AM814" s="57"/>
      <c r="AN814" s="57"/>
      <c r="AO814" s="56"/>
      <c r="AP814" s="56"/>
      <c r="AQ814" s="57"/>
      <c r="AR814" s="57"/>
      <c r="AS814" s="57"/>
      <c r="AT814" s="67">
        <f t="shared" ca="1" si="76"/>
        <v>0</v>
      </c>
      <c r="AU814" s="79" t="str">
        <f t="shared" ca="1" si="77"/>
        <v/>
      </c>
      <c r="AV814" s="79" t="str" cm="1">
        <f t="array" aca="1" ref="AV814" ca="1">IFERROR(_xlfn.IFS($AU814="","",$AU814&lt;=15,"0-15",AND($AU814&gt;=16,$AU814&lt;=30),"16-30",AND($AU814&gt;=31,$AU814&lt;=45),"31-45",AND($AU814&gt;=46,$AU814&lt;=60),"46-60",AND($AU814&gt;=61,$AU814&lt;=90),"61-90",AND($AU814&gt;=91),"&gt; 90",AND($AU814&gt;=2000),""),"")</f>
        <v/>
      </c>
      <c r="AW814" s="79" t="str" cm="1">
        <f t="array" aca="1" ref="AW814" ca="1">IFERROR(_xlfn.IFS(OR($M814="",$AM814=""),"",OR($C814="Offered",$C814="Joined"),($AM814-$M814)-$AT814),"")</f>
        <v/>
      </c>
      <c r="AX814" s="79" t="str" cm="1">
        <f t="array" aca="1" ref="AX814" ca="1">IFERROR(_xlfn.IFS(OR($M814="",$AS814=""),"",$C814="Joined",($AS814-$M814)-$AT814),"")</f>
        <v/>
      </c>
      <c r="AY814" s="67" t="str">
        <f>IFERROR(IF(COUNTIFS('Candidate Tracker'!$E:$E,'Positions Tracker'!$B814,'Candidate Tracker'!$C:$C,"Offer Drop")=0,"",COUNTIFS('Candidate Tracker'!$E:$E,'Positions Tracker'!$B814,'Candidate Tracker'!$C:$C,"Offer Drop")),"")</f>
        <v/>
      </c>
      <c r="AZ814" s="80">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0.88111888111888115</v>
      </c>
      <c r="BA814" s="81" t="str">
        <f>IFERROR(IF(COUNTIFS('Candidate Tracker'!$E:$E,'Positions Tracker'!$B814,'Candidate Tracker'!$I:$I,"Female")=0,"",COUNTIFS('Candidate Tracker'!$E:$E,'Positions Tracker'!$B814,'Candidate Tracker'!$I:$I,"Female")),"")</f>
        <v/>
      </c>
      <c r="BB814" s="81" t="str">
        <f>IFERROR(IF(COUNTIFS('Candidate Tracker'!$E:$E,'Positions Tracker'!$B814,'Candidate Tracker'!$I:$I,"male")=0,"",COUNTIFS('Candidate Tracker'!$E:$E,'Positions Tracker'!$B814,'Candidate Tracker'!$I:$I,"male")),"")</f>
        <v/>
      </c>
      <c r="BC814" s="80" t="str">
        <f>IFERROR(IF(COUNTIFS('Candidate Tracker'!$E:$E,'Positions Tracker'!$B814,'Candidate Tracker'!$C:$C,"&lt;&gt;WIP",'Candidate Tracker'!$C:$C,"&lt;&gt;Hold",'Candidate Tracker'!$C:$C,"&lt;&gt;Cancelled",'Candidate Tracker'!$C:$C,"&lt;&gt;Closed")/COUNTIFS('Candidate Tracker'!$E:$E,'Positions Tracker'!$B814)=0,"",COUNTIFS('Candidate Tracker'!$E:$E,'Positions Tracker'!$B814,'Candidate Tracker'!$C:$C,"&lt;&gt;WIP",'Candidate Tracker'!$C:$C,"&lt;&gt;Hold",'Candidate Tracker'!$C:$C,"&lt;&gt;Cancelled",'Candidate Tracker'!$C:$C,"&lt;&gt;Closed")/COUNTIFS('Candidate Tracker'!$E:$E,'Positions Tracker'!$B814)),"")</f>
        <v/>
      </c>
      <c r="BD814" s="67" t="str">
        <f t="shared" si="72"/>
        <v/>
      </c>
      <c r="BE814" s="67" t="str">
        <f t="shared" si="73"/>
        <v/>
      </c>
      <c r="BF814" s="67" t="str">
        <f t="shared" si="74"/>
        <v/>
      </c>
      <c r="BG814" s="67" t="str">
        <f t="shared" si="75"/>
        <v/>
      </c>
    </row>
    <row r="815" spans="1:59">
      <c r="A815" s="55"/>
      <c r="B815" s="56"/>
      <c r="C815" s="56"/>
      <c r="D815" s="56"/>
      <c r="E815" s="56"/>
      <c r="F815" s="56"/>
      <c r="G815" s="56"/>
      <c r="H815" s="56"/>
      <c r="I815" s="6"/>
      <c r="J815" s="6"/>
      <c r="K815" s="57"/>
      <c r="L815" s="57"/>
      <c r="M815" s="57"/>
      <c r="N815" s="56"/>
      <c r="O815" s="56"/>
      <c r="P815" s="56"/>
      <c r="Q815" s="56"/>
      <c r="R815" s="56"/>
      <c r="S815" s="56"/>
      <c r="T815" s="56"/>
      <c r="U815" s="56"/>
      <c r="V815" s="56"/>
      <c r="W815" s="56"/>
      <c r="X815" s="56"/>
      <c r="Y815" s="56"/>
      <c r="Z815" s="56"/>
      <c r="AA815" s="56"/>
      <c r="AB815" s="56"/>
      <c r="AC815" s="56"/>
      <c r="AD815" s="56"/>
      <c r="AE815" s="56"/>
      <c r="AF815" s="56"/>
      <c r="AG815" s="56"/>
      <c r="AH815" s="56"/>
      <c r="AI815" s="58"/>
      <c r="AJ815" s="56"/>
      <c r="AK815" s="56"/>
      <c r="AL815" s="56"/>
      <c r="AM815" s="57"/>
      <c r="AN815" s="57"/>
      <c r="AO815" s="56"/>
      <c r="AP815" s="56"/>
      <c r="AQ815" s="57"/>
      <c r="AR815" s="57"/>
      <c r="AS815" s="57"/>
      <c r="AT815" s="67">
        <f t="shared" ca="1" si="76"/>
        <v>0</v>
      </c>
      <c r="AU815" s="79" t="str">
        <f t="shared" ca="1" si="77"/>
        <v/>
      </c>
      <c r="AV815" s="79" t="str" cm="1">
        <f t="array" aca="1" ref="AV815" ca="1">IFERROR(_xlfn.IFS($AU815="","",$AU815&lt;=15,"0-15",AND($AU815&gt;=16,$AU815&lt;=30),"16-30",AND($AU815&gt;=31,$AU815&lt;=45),"31-45",AND($AU815&gt;=46,$AU815&lt;=60),"46-60",AND($AU815&gt;=61,$AU815&lt;=90),"61-90",AND($AU815&gt;=91),"&gt; 90",AND($AU815&gt;=2000),""),"")</f>
        <v/>
      </c>
      <c r="AW815" s="79" t="str" cm="1">
        <f t="array" aca="1" ref="AW815" ca="1">IFERROR(_xlfn.IFS(OR($M815="",$AM815=""),"",OR($C815="Offered",$C815="Joined"),($AM815-$M815)-$AT815),"")</f>
        <v/>
      </c>
      <c r="AX815" s="79" t="str" cm="1">
        <f t="array" aca="1" ref="AX815" ca="1">IFERROR(_xlfn.IFS(OR($M815="",$AS815=""),"",$C815="Joined",($AS815-$M815)-$AT815),"")</f>
        <v/>
      </c>
      <c r="AY815" s="67" t="str">
        <f>IFERROR(IF(COUNTIFS('Candidate Tracker'!$E:$E,'Positions Tracker'!$B815,'Candidate Tracker'!$C:$C,"Offer Drop")=0,"",COUNTIFS('Candidate Tracker'!$E:$E,'Positions Tracker'!$B815,'Candidate Tracker'!$C:$C,"Offer Drop")),"")</f>
        <v/>
      </c>
      <c r="AZ815" s="80">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0.88111888111888115</v>
      </c>
      <c r="BA815" s="81" t="str">
        <f>IFERROR(IF(COUNTIFS('Candidate Tracker'!$E:$E,'Positions Tracker'!$B815,'Candidate Tracker'!$I:$I,"Female")=0,"",COUNTIFS('Candidate Tracker'!$E:$E,'Positions Tracker'!$B815,'Candidate Tracker'!$I:$I,"Female")),"")</f>
        <v/>
      </c>
      <c r="BB815" s="81" t="str">
        <f>IFERROR(IF(COUNTIFS('Candidate Tracker'!$E:$E,'Positions Tracker'!$B815,'Candidate Tracker'!$I:$I,"male")=0,"",COUNTIFS('Candidate Tracker'!$E:$E,'Positions Tracker'!$B815,'Candidate Tracker'!$I:$I,"male")),"")</f>
        <v/>
      </c>
      <c r="BC815" s="80" t="str">
        <f>IFERROR(IF(COUNTIFS('Candidate Tracker'!$E:$E,'Positions Tracker'!$B815,'Candidate Tracker'!$C:$C,"&lt;&gt;WIP",'Candidate Tracker'!$C:$C,"&lt;&gt;Hold",'Candidate Tracker'!$C:$C,"&lt;&gt;Cancelled",'Candidate Tracker'!$C:$C,"&lt;&gt;Closed")/COUNTIFS('Candidate Tracker'!$E:$E,'Positions Tracker'!$B815)=0,"",COUNTIFS('Candidate Tracker'!$E:$E,'Positions Tracker'!$B815,'Candidate Tracker'!$C:$C,"&lt;&gt;WIP",'Candidate Tracker'!$C:$C,"&lt;&gt;Hold",'Candidate Tracker'!$C:$C,"&lt;&gt;Cancelled",'Candidate Tracker'!$C:$C,"&lt;&gt;Closed")/COUNTIFS('Candidate Tracker'!$E:$E,'Positions Tracker'!$B815)),"")</f>
        <v/>
      </c>
      <c r="BD815" s="67" t="str">
        <f t="shared" si="72"/>
        <v/>
      </c>
      <c r="BE815" s="67" t="str">
        <f t="shared" si="73"/>
        <v/>
      </c>
      <c r="BF815" s="67" t="str">
        <f t="shared" si="74"/>
        <v/>
      </c>
      <c r="BG815" s="67" t="str">
        <f t="shared" si="75"/>
        <v/>
      </c>
    </row>
    <row r="816" spans="1:59">
      <c r="A816" s="55"/>
      <c r="B816" s="56"/>
      <c r="C816" s="56"/>
      <c r="D816" s="56"/>
      <c r="E816" s="56"/>
      <c r="F816" s="56"/>
      <c r="G816" s="56"/>
      <c r="H816" s="56"/>
      <c r="I816" s="6"/>
      <c r="J816" s="6"/>
      <c r="K816" s="57"/>
      <c r="L816" s="57"/>
      <c r="M816" s="57"/>
      <c r="N816" s="56"/>
      <c r="O816" s="56"/>
      <c r="P816" s="56"/>
      <c r="Q816" s="56"/>
      <c r="R816" s="56"/>
      <c r="S816" s="56"/>
      <c r="T816" s="56"/>
      <c r="U816" s="56"/>
      <c r="V816" s="56"/>
      <c r="W816" s="56"/>
      <c r="X816" s="56"/>
      <c r="Y816" s="56"/>
      <c r="Z816" s="56"/>
      <c r="AA816" s="56"/>
      <c r="AB816" s="56"/>
      <c r="AC816" s="56"/>
      <c r="AD816" s="56"/>
      <c r="AE816" s="56"/>
      <c r="AF816" s="56"/>
      <c r="AG816" s="56"/>
      <c r="AH816" s="56"/>
      <c r="AI816" s="58"/>
      <c r="AJ816" s="56"/>
      <c r="AK816" s="56"/>
      <c r="AL816" s="56"/>
      <c r="AM816" s="57"/>
      <c r="AN816" s="57"/>
      <c r="AO816" s="56"/>
      <c r="AP816" s="56"/>
      <c r="AQ816" s="57"/>
      <c r="AR816" s="57"/>
      <c r="AS816" s="57"/>
      <c r="AT816" s="67">
        <f t="shared" ca="1" si="76"/>
        <v>0</v>
      </c>
      <c r="AU816" s="79" t="str">
        <f t="shared" ca="1" si="77"/>
        <v/>
      </c>
      <c r="AV816" s="79" t="str" cm="1">
        <f t="array" aca="1" ref="AV816" ca="1">IFERROR(_xlfn.IFS($AU816="","",$AU816&lt;=15,"0-15",AND($AU816&gt;=16,$AU816&lt;=30),"16-30",AND($AU816&gt;=31,$AU816&lt;=45),"31-45",AND($AU816&gt;=46,$AU816&lt;=60),"46-60",AND($AU816&gt;=61,$AU816&lt;=90),"61-90",AND($AU816&gt;=91),"&gt; 90",AND($AU816&gt;=2000),""),"")</f>
        <v/>
      </c>
      <c r="AW816" s="79" t="str" cm="1">
        <f t="array" aca="1" ref="AW816" ca="1">IFERROR(_xlfn.IFS(OR($M816="",$AM816=""),"",OR($C816="Offered",$C816="Joined"),($AM816-$M816)-$AT816),"")</f>
        <v/>
      </c>
      <c r="AX816" s="79" t="str" cm="1">
        <f t="array" aca="1" ref="AX816" ca="1">IFERROR(_xlfn.IFS(OR($M816="",$AS816=""),"",$C816="Joined",($AS816-$M816)-$AT816),"")</f>
        <v/>
      </c>
      <c r="AY816" s="67" t="str">
        <f>IFERROR(IF(COUNTIFS('Candidate Tracker'!$E:$E,'Positions Tracker'!$B816,'Candidate Tracker'!$C:$C,"Offer Drop")=0,"",COUNTIFS('Candidate Tracker'!$E:$E,'Positions Tracker'!$B816,'Candidate Tracker'!$C:$C,"Offer Drop")),"")</f>
        <v/>
      </c>
      <c r="AZ816" s="80">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0.88111888111888115</v>
      </c>
      <c r="BA816" s="81" t="str">
        <f>IFERROR(IF(COUNTIFS('Candidate Tracker'!$E:$E,'Positions Tracker'!$B816,'Candidate Tracker'!$I:$I,"Female")=0,"",COUNTIFS('Candidate Tracker'!$E:$E,'Positions Tracker'!$B816,'Candidate Tracker'!$I:$I,"Female")),"")</f>
        <v/>
      </c>
      <c r="BB816" s="81" t="str">
        <f>IFERROR(IF(COUNTIFS('Candidate Tracker'!$E:$E,'Positions Tracker'!$B816,'Candidate Tracker'!$I:$I,"male")=0,"",COUNTIFS('Candidate Tracker'!$E:$E,'Positions Tracker'!$B816,'Candidate Tracker'!$I:$I,"male")),"")</f>
        <v/>
      </c>
      <c r="BC816" s="80" t="str">
        <f>IFERROR(IF(COUNTIFS('Candidate Tracker'!$E:$E,'Positions Tracker'!$B816,'Candidate Tracker'!$C:$C,"&lt;&gt;WIP",'Candidate Tracker'!$C:$C,"&lt;&gt;Hold",'Candidate Tracker'!$C:$C,"&lt;&gt;Cancelled",'Candidate Tracker'!$C:$C,"&lt;&gt;Closed")/COUNTIFS('Candidate Tracker'!$E:$E,'Positions Tracker'!$B816)=0,"",COUNTIFS('Candidate Tracker'!$E:$E,'Positions Tracker'!$B816,'Candidate Tracker'!$C:$C,"&lt;&gt;WIP",'Candidate Tracker'!$C:$C,"&lt;&gt;Hold",'Candidate Tracker'!$C:$C,"&lt;&gt;Cancelled",'Candidate Tracker'!$C:$C,"&lt;&gt;Closed")/COUNTIFS('Candidate Tracker'!$E:$E,'Positions Tracker'!$B816)),"")</f>
        <v/>
      </c>
      <c r="BD816" s="67" t="str">
        <f t="shared" si="72"/>
        <v/>
      </c>
      <c r="BE816" s="67" t="str">
        <f t="shared" si="73"/>
        <v/>
      </c>
      <c r="BF816" s="67" t="str">
        <f t="shared" si="74"/>
        <v/>
      </c>
      <c r="BG816" s="67" t="str">
        <f t="shared" si="75"/>
        <v/>
      </c>
    </row>
    <row r="817" spans="1:59">
      <c r="A817" s="55"/>
      <c r="B817" s="56"/>
      <c r="C817" s="56"/>
      <c r="D817" s="56"/>
      <c r="E817" s="56"/>
      <c r="F817" s="56"/>
      <c r="G817" s="56"/>
      <c r="H817" s="56"/>
      <c r="I817" s="6"/>
      <c r="J817" s="6"/>
      <c r="K817" s="57"/>
      <c r="L817" s="57"/>
      <c r="M817" s="57"/>
      <c r="N817" s="56"/>
      <c r="O817" s="56"/>
      <c r="P817" s="56"/>
      <c r="Q817" s="56"/>
      <c r="R817" s="56"/>
      <c r="S817" s="56"/>
      <c r="T817" s="56"/>
      <c r="U817" s="56"/>
      <c r="V817" s="56"/>
      <c r="W817" s="56"/>
      <c r="X817" s="56"/>
      <c r="Y817" s="56"/>
      <c r="Z817" s="56"/>
      <c r="AA817" s="56"/>
      <c r="AB817" s="56"/>
      <c r="AC817" s="56"/>
      <c r="AD817" s="56"/>
      <c r="AE817" s="56"/>
      <c r="AF817" s="56"/>
      <c r="AG817" s="56"/>
      <c r="AH817" s="56"/>
      <c r="AI817" s="58"/>
      <c r="AJ817" s="56"/>
      <c r="AK817" s="56"/>
      <c r="AL817" s="56"/>
      <c r="AM817" s="57"/>
      <c r="AN817" s="57"/>
      <c r="AO817" s="56"/>
      <c r="AP817" s="56"/>
      <c r="AQ817" s="57"/>
      <c r="AR817" s="57"/>
      <c r="AS817" s="57"/>
      <c r="AT817" s="67">
        <f t="shared" ca="1" si="76"/>
        <v>0</v>
      </c>
      <c r="AU817" s="79" t="str">
        <f t="shared" ca="1" si="77"/>
        <v/>
      </c>
      <c r="AV817" s="79" t="str" cm="1">
        <f t="array" aca="1" ref="AV817" ca="1">IFERROR(_xlfn.IFS($AU817="","",$AU817&lt;=15,"0-15",AND($AU817&gt;=16,$AU817&lt;=30),"16-30",AND($AU817&gt;=31,$AU817&lt;=45),"31-45",AND($AU817&gt;=46,$AU817&lt;=60),"46-60",AND($AU817&gt;=61,$AU817&lt;=90),"61-90",AND($AU817&gt;=91),"&gt; 90",AND($AU817&gt;=2000),""),"")</f>
        <v/>
      </c>
      <c r="AW817" s="79" t="str" cm="1">
        <f t="array" aca="1" ref="AW817" ca="1">IFERROR(_xlfn.IFS(OR($M817="",$AM817=""),"",OR($C817="Offered",$C817="Joined"),($AM817-$M817)-$AT817),"")</f>
        <v/>
      </c>
      <c r="AX817" s="79" t="str" cm="1">
        <f t="array" aca="1" ref="AX817" ca="1">IFERROR(_xlfn.IFS(OR($M817="",$AS817=""),"",$C817="Joined",($AS817-$M817)-$AT817),"")</f>
        <v/>
      </c>
      <c r="AY817" s="67" t="str">
        <f>IFERROR(IF(COUNTIFS('Candidate Tracker'!$E:$E,'Positions Tracker'!$B817,'Candidate Tracker'!$C:$C,"Offer Drop")=0,"",COUNTIFS('Candidate Tracker'!$E:$E,'Positions Tracker'!$B817,'Candidate Tracker'!$C:$C,"Offer Drop")),"")</f>
        <v/>
      </c>
      <c r="AZ817" s="80">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0.88111888111888115</v>
      </c>
      <c r="BA817" s="81" t="str">
        <f>IFERROR(IF(COUNTIFS('Candidate Tracker'!$E:$E,'Positions Tracker'!$B817,'Candidate Tracker'!$I:$I,"Female")=0,"",COUNTIFS('Candidate Tracker'!$E:$E,'Positions Tracker'!$B817,'Candidate Tracker'!$I:$I,"Female")),"")</f>
        <v/>
      </c>
      <c r="BB817" s="81" t="str">
        <f>IFERROR(IF(COUNTIFS('Candidate Tracker'!$E:$E,'Positions Tracker'!$B817,'Candidate Tracker'!$I:$I,"male")=0,"",COUNTIFS('Candidate Tracker'!$E:$E,'Positions Tracker'!$B817,'Candidate Tracker'!$I:$I,"male")),"")</f>
        <v/>
      </c>
      <c r="BC817" s="80" t="str">
        <f>IFERROR(IF(COUNTIFS('Candidate Tracker'!$E:$E,'Positions Tracker'!$B817,'Candidate Tracker'!$C:$C,"&lt;&gt;WIP",'Candidate Tracker'!$C:$C,"&lt;&gt;Hold",'Candidate Tracker'!$C:$C,"&lt;&gt;Cancelled",'Candidate Tracker'!$C:$C,"&lt;&gt;Closed")/COUNTIFS('Candidate Tracker'!$E:$E,'Positions Tracker'!$B817)=0,"",COUNTIFS('Candidate Tracker'!$E:$E,'Positions Tracker'!$B817,'Candidate Tracker'!$C:$C,"&lt;&gt;WIP",'Candidate Tracker'!$C:$C,"&lt;&gt;Hold",'Candidate Tracker'!$C:$C,"&lt;&gt;Cancelled",'Candidate Tracker'!$C:$C,"&lt;&gt;Closed")/COUNTIFS('Candidate Tracker'!$E:$E,'Positions Tracker'!$B817)),"")</f>
        <v/>
      </c>
      <c r="BD817" s="67" t="str">
        <f t="shared" si="72"/>
        <v/>
      </c>
      <c r="BE817" s="67" t="str">
        <f t="shared" si="73"/>
        <v/>
      </c>
      <c r="BF817" s="67" t="str">
        <f t="shared" si="74"/>
        <v/>
      </c>
      <c r="BG817" s="67" t="str">
        <f t="shared" si="75"/>
        <v/>
      </c>
    </row>
    <row r="818" spans="1:59">
      <c r="A818" s="55"/>
      <c r="B818" s="56"/>
      <c r="C818" s="56"/>
      <c r="D818" s="56"/>
      <c r="E818" s="56"/>
      <c r="F818" s="56"/>
      <c r="G818" s="56"/>
      <c r="H818" s="56"/>
      <c r="I818" s="6"/>
      <c r="J818" s="6"/>
      <c r="K818" s="57"/>
      <c r="L818" s="57"/>
      <c r="M818" s="57"/>
      <c r="N818" s="56"/>
      <c r="O818" s="56"/>
      <c r="P818" s="56"/>
      <c r="Q818" s="56"/>
      <c r="R818" s="56"/>
      <c r="S818" s="56"/>
      <c r="T818" s="56"/>
      <c r="U818" s="56"/>
      <c r="V818" s="56"/>
      <c r="W818" s="56"/>
      <c r="X818" s="56"/>
      <c r="Y818" s="56"/>
      <c r="Z818" s="56"/>
      <c r="AA818" s="56"/>
      <c r="AB818" s="56"/>
      <c r="AC818" s="56"/>
      <c r="AD818" s="56"/>
      <c r="AE818" s="56"/>
      <c r="AF818" s="56"/>
      <c r="AG818" s="56"/>
      <c r="AH818" s="56"/>
      <c r="AI818" s="58"/>
      <c r="AJ818" s="56"/>
      <c r="AK818" s="56"/>
      <c r="AL818" s="56"/>
      <c r="AM818" s="57"/>
      <c r="AN818" s="57"/>
      <c r="AO818" s="56"/>
      <c r="AP818" s="56"/>
      <c r="AQ818" s="57"/>
      <c r="AR818" s="57"/>
      <c r="AS818" s="57"/>
      <c r="AT818" s="67">
        <f t="shared" ca="1" si="76"/>
        <v>0</v>
      </c>
      <c r="AU818" s="79" t="str">
        <f t="shared" ca="1" si="77"/>
        <v/>
      </c>
      <c r="AV818" s="79" t="str" cm="1">
        <f t="array" aca="1" ref="AV818" ca="1">IFERROR(_xlfn.IFS($AU818="","",$AU818&lt;=15,"0-15",AND($AU818&gt;=16,$AU818&lt;=30),"16-30",AND($AU818&gt;=31,$AU818&lt;=45),"31-45",AND($AU818&gt;=46,$AU818&lt;=60),"46-60",AND($AU818&gt;=61,$AU818&lt;=90),"61-90",AND($AU818&gt;=91),"&gt; 90",AND($AU818&gt;=2000),""),"")</f>
        <v/>
      </c>
      <c r="AW818" s="79" t="str" cm="1">
        <f t="array" aca="1" ref="AW818" ca="1">IFERROR(_xlfn.IFS(OR($M818="",$AM818=""),"",OR($C818="Offered",$C818="Joined"),($AM818-$M818)-$AT818),"")</f>
        <v/>
      </c>
      <c r="AX818" s="79" t="str" cm="1">
        <f t="array" aca="1" ref="AX818" ca="1">IFERROR(_xlfn.IFS(OR($M818="",$AS818=""),"",$C818="Joined",($AS818-$M818)-$AT818),"")</f>
        <v/>
      </c>
      <c r="AY818" s="67" t="str">
        <f>IFERROR(IF(COUNTIFS('Candidate Tracker'!$E:$E,'Positions Tracker'!$B818,'Candidate Tracker'!$C:$C,"Offer Drop")=0,"",COUNTIFS('Candidate Tracker'!$E:$E,'Positions Tracker'!$B818,'Candidate Tracker'!$C:$C,"Offer Drop")),"")</f>
        <v/>
      </c>
      <c r="AZ818" s="80">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0.88111888111888115</v>
      </c>
      <c r="BA818" s="81" t="str">
        <f>IFERROR(IF(COUNTIFS('Candidate Tracker'!$E:$E,'Positions Tracker'!$B818,'Candidate Tracker'!$I:$I,"Female")=0,"",COUNTIFS('Candidate Tracker'!$E:$E,'Positions Tracker'!$B818,'Candidate Tracker'!$I:$I,"Female")),"")</f>
        <v/>
      </c>
      <c r="BB818" s="81" t="str">
        <f>IFERROR(IF(COUNTIFS('Candidate Tracker'!$E:$E,'Positions Tracker'!$B818,'Candidate Tracker'!$I:$I,"male")=0,"",COUNTIFS('Candidate Tracker'!$E:$E,'Positions Tracker'!$B818,'Candidate Tracker'!$I:$I,"male")),"")</f>
        <v/>
      </c>
      <c r="BC818" s="80" t="str">
        <f>IFERROR(IF(COUNTIFS('Candidate Tracker'!$E:$E,'Positions Tracker'!$B818,'Candidate Tracker'!$C:$C,"&lt;&gt;WIP",'Candidate Tracker'!$C:$C,"&lt;&gt;Hold",'Candidate Tracker'!$C:$C,"&lt;&gt;Cancelled",'Candidate Tracker'!$C:$C,"&lt;&gt;Closed")/COUNTIFS('Candidate Tracker'!$E:$E,'Positions Tracker'!$B818)=0,"",COUNTIFS('Candidate Tracker'!$E:$E,'Positions Tracker'!$B818,'Candidate Tracker'!$C:$C,"&lt;&gt;WIP",'Candidate Tracker'!$C:$C,"&lt;&gt;Hold",'Candidate Tracker'!$C:$C,"&lt;&gt;Cancelled",'Candidate Tracker'!$C:$C,"&lt;&gt;Closed")/COUNTIFS('Candidate Tracker'!$E:$E,'Positions Tracker'!$B818)),"")</f>
        <v/>
      </c>
      <c r="BD818" s="67" t="str">
        <f t="shared" si="72"/>
        <v/>
      </c>
      <c r="BE818" s="67" t="str">
        <f t="shared" si="73"/>
        <v/>
      </c>
      <c r="BF818" s="67" t="str">
        <f t="shared" si="74"/>
        <v/>
      </c>
      <c r="BG818" s="67" t="str">
        <f t="shared" si="75"/>
        <v/>
      </c>
    </row>
    <row r="819" spans="1:59">
      <c r="A819" s="55"/>
      <c r="B819" s="56"/>
      <c r="C819" s="56"/>
      <c r="D819" s="56"/>
      <c r="E819" s="56"/>
      <c r="F819" s="56"/>
      <c r="G819" s="56"/>
      <c r="H819" s="56"/>
      <c r="I819" s="6"/>
      <c r="J819" s="6"/>
      <c r="K819" s="57"/>
      <c r="L819" s="57"/>
      <c r="M819" s="57"/>
      <c r="N819" s="56"/>
      <c r="O819" s="56"/>
      <c r="P819" s="56"/>
      <c r="Q819" s="56"/>
      <c r="R819" s="56"/>
      <c r="S819" s="56"/>
      <c r="T819" s="56"/>
      <c r="U819" s="56"/>
      <c r="V819" s="56"/>
      <c r="W819" s="56"/>
      <c r="X819" s="56"/>
      <c r="Y819" s="56"/>
      <c r="Z819" s="56"/>
      <c r="AA819" s="56"/>
      <c r="AB819" s="56"/>
      <c r="AC819" s="56"/>
      <c r="AD819" s="56"/>
      <c r="AE819" s="56"/>
      <c r="AF819" s="56"/>
      <c r="AG819" s="56"/>
      <c r="AH819" s="56"/>
      <c r="AI819" s="58"/>
      <c r="AJ819" s="56"/>
      <c r="AK819" s="56"/>
      <c r="AL819" s="56"/>
      <c r="AM819" s="57"/>
      <c r="AN819" s="57"/>
      <c r="AO819" s="56"/>
      <c r="AP819" s="56"/>
      <c r="AQ819" s="57"/>
      <c r="AR819" s="57"/>
      <c r="AS819" s="57"/>
      <c r="AT819" s="67">
        <f t="shared" ca="1" si="76"/>
        <v>0</v>
      </c>
      <c r="AU819" s="79" t="str">
        <f t="shared" ca="1" si="77"/>
        <v/>
      </c>
      <c r="AV819" s="79" t="str" cm="1">
        <f t="array" aca="1" ref="AV819" ca="1">IFERROR(_xlfn.IFS($AU819="","",$AU819&lt;=15,"0-15",AND($AU819&gt;=16,$AU819&lt;=30),"16-30",AND($AU819&gt;=31,$AU819&lt;=45),"31-45",AND($AU819&gt;=46,$AU819&lt;=60),"46-60",AND($AU819&gt;=61,$AU819&lt;=90),"61-90",AND($AU819&gt;=91),"&gt; 90",AND($AU819&gt;=2000),""),"")</f>
        <v/>
      </c>
      <c r="AW819" s="79" t="str" cm="1">
        <f t="array" aca="1" ref="AW819" ca="1">IFERROR(_xlfn.IFS(OR($M819="",$AM819=""),"",OR($C819="Offered",$C819="Joined"),($AM819-$M819)-$AT819),"")</f>
        <v/>
      </c>
      <c r="AX819" s="79" t="str" cm="1">
        <f t="array" aca="1" ref="AX819" ca="1">IFERROR(_xlfn.IFS(OR($M819="",$AS819=""),"",$C819="Joined",($AS819-$M819)-$AT819),"")</f>
        <v/>
      </c>
      <c r="AY819" s="67" t="str">
        <f>IFERROR(IF(COUNTIFS('Candidate Tracker'!$E:$E,'Positions Tracker'!$B819,'Candidate Tracker'!$C:$C,"Offer Drop")=0,"",COUNTIFS('Candidate Tracker'!$E:$E,'Positions Tracker'!$B819,'Candidate Tracker'!$C:$C,"Offer Drop")),"")</f>
        <v/>
      </c>
      <c r="AZ819" s="80">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0.88111888111888115</v>
      </c>
      <c r="BA819" s="81" t="str">
        <f>IFERROR(IF(COUNTIFS('Candidate Tracker'!$E:$E,'Positions Tracker'!$B819,'Candidate Tracker'!$I:$I,"Female")=0,"",COUNTIFS('Candidate Tracker'!$E:$E,'Positions Tracker'!$B819,'Candidate Tracker'!$I:$I,"Female")),"")</f>
        <v/>
      </c>
      <c r="BB819" s="81" t="str">
        <f>IFERROR(IF(COUNTIFS('Candidate Tracker'!$E:$E,'Positions Tracker'!$B819,'Candidate Tracker'!$I:$I,"male")=0,"",COUNTIFS('Candidate Tracker'!$E:$E,'Positions Tracker'!$B819,'Candidate Tracker'!$I:$I,"male")),"")</f>
        <v/>
      </c>
      <c r="BC819" s="80" t="str">
        <f>IFERROR(IF(COUNTIFS('Candidate Tracker'!$E:$E,'Positions Tracker'!$B819,'Candidate Tracker'!$C:$C,"&lt;&gt;WIP",'Candidate Tracker'!$C:$C,"&lt;&gt;Hold",'Candidate Tracker'!$C:$C,"&lt;&gt;Cancelled",'Candidate Tracker'!$C:$C,"&lt;&gt;Closed")/COUNTIFS('Candidate Tracker'!$E:$E,'Positions Tracker'!$B819)=0,"",COUNTIFS('Candidate Tracker'!$E:$E,'Positions Tracker'!$B819,'Candidate Tracker'!$C:$C,"&lt;&gt;WIP",'Candidate Tracker'!$C:$C,"&lt;&gt;Hold",'Candidate Tracker'!$C:$C,"&lt;&gt;Cancelled",'Candidate Tracker'!$C:$C,"&lt;&gt;Closed")/COUNTIFS('Candidate Tracker'!$E:$E,'Positions Tracker'!$B819)),"")</f>
        <v/>
      </c>
      <c r="BD819" s="67" t="str">
        <f t="shared" si="72"/>
        <v/>
      </c>
      <c r="BE819" s="67" t="str">
        <f t="shared" si="73"/>
        <v/>
      </c>
      <c r="BF819" s="67" t="str">
        <f t="shared" si="74"/>
        <v/>
      </c>
      <c r="BG819" s="67" t="str">
        <f t="shared" si="75"/>
        <v/>
      </c>
    </row>
    <row r="820" spans="1:59">
      <c r="A820" s="55"/>
      <c r="B820" s="56"/>
      <c r="C820" s="56"/>
      <c r="D820" s="56"/>
      <c r="E820" s="56"/>
      <c r="F820" s="56"/>
      <c r="G820" s="56"/>
      <c r="H820" s="56"/>
      <c r="I820" s="6"/>
      <c r="J820" s="6"/>
      <c r="K820" s="57"/>
      <c r="L820" s="57"/>
      <c r="M820" s="57"/>
      <c r="N820" s="56"/>
      <c r="O820" s="56"/>
      <c r="P820" s="56"/>
      <c r="Q820" s="56"/>
      <c r="R820" s="56"/>
      <c r="S820" s="56"/>
      <c r="T820" s="56"/>
      <c r="U820" s="56"/>
      <c r="V820" s="56"/>
      <c r="W820" s="56"/>
      <c r="X820" s="56"/>
      <c r="Y820" s="56"/>
      <c r="Z820" s="56"/>
      <c r="AA820" s="56"/>
      <c r="AB820" s="56"/>
      <c r="AC820" s="56"/>
      <c r="AD820" s="56"/>
      <c r="AE820" s="56"/>
      <c r="AF820" s="56"/>
      <c r="AG820" s="56"/>
      <c r="AH820" s="56"/>
      <c r="AI820" s="58"/>
      <c r="AJ820" s="56"/>
      <c r="AK820" s="56"/>
      <c r="AL820" s="56"/>
      <c r="AM820" s="57"/>
      <c r="AN820" s="57"/>
      <c r="AO820" s="56"/>
      <c r="AP820" s="56"/>
      <c r="AQ820" s="57"/>
      <c r="AR820" s="57"/>
      <c r="AS820" s="57"/>
      <c r="AT820" s="67">
        <f t="shared" ca="1" si="76"/>
        <v>0</v>
      </c>
      <c r="AU820" s="79" t="str">
        <f t="shared" ca="1" si="77"/>
        <v/>
      </c>
      <c r="AV820" s="79" t="str" cm="1">
        <f t="array" aca="1" ref="AV820" ca="1">IFERROR(_xlfn.IFS($AU820="","",$AU820&lt;=15,"0-15",AND($AU820&gt;=16,$AU820&lt;=30),"16-30",AND($AU820&gt;=31,$AU820&lt;=45),"31-45",AND($AU820&gt;=46,$AU820&lt;=60),"46-60",AND($AU820&gt;=61,$AU820&lt;=90),"61-90",AND($AU820&gt;=91),"&gt; 90",AND($AU820&gt;=2000),""),"")</f>
        <v/>
      </c>
      <c r="AW820" s="79" t="str" cm="1">
        <f t="array" aca="1" ref="AW820" ca="1">IFERROR(_xlfn.IFS(OR($M820="",$AM820=""),"",OR($C820="Offered",$C820="Joined"),($AM820-$M820)-$AT820),"")</f>
        <v/>
      </c>
      <c r="AX820" s="79" t="str" cm="1">
        <f t="array" aca="1" ref="AX820" ca="1">IFERROR(_xlfn.IFS(OR($M820="",$AS820=""),"",$C820="Joined",($AS820-$M820)-$AT820),"")</f>
        <v/>
      </c>
      <c r="AY820" s="67" t="str">
        <f>IFERROR(IF(COUNTIFS('Candidate Tracker'!$E:$E,'Positions Tracker'!$B820,'Candidate Tracker'!$C:$C,"Offer Drop")=0,"",COUNTIFS('Candidate Tracker'!$E:$E,'Positions Tracker'!$B820,'Candidate Tracker'!$C:$C,"Offer Drop")),"")</f>
        <v/>
      </c>
      <c r="AZ820" s="80">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0.88111888111888115</v>
      </c>
      <c r="BA820" s="81" t="str">
        <f>IFERROR(IF(COUNTIFS('Candidate Tracker'!$E:$E,'Positions Tracker'!$B820,'Candidate Tracker'!$I:$I,"Female")=0,"",COUNTIFS('Candidate Tracker'!$E:$E,'Positions Tracker'!$B820,'Candidate Tracker'!$I:$I,"Female")),"")</f>
        <v/>
      </c>
      <c r="BB820" s="81" t="str">
        <f>IFERROR(IF(COUNTIFS('Candidate Tracker'!$E:$E,'Positions Tracker'!$B820,'Candidate Tracker'!$I:$I,"male")=0,"",COUNTIFS('Candidate Tracker'!$E:$E,'Positions Tracker'!$B820,'Candidate Tracker'!$I:$I,"male")),"")</f>
        <v/>
      </c>
      <c r="BC820" s="80" t="str">
        <f>IFERROR(IF(COUNTIFS('Candidate Tracker'!$E:$E,'Positions Tracker'!$B820,'Candidate Tracker'!$C:$C,"&lt;&gt;WIP",'Candidate Tracker'!$C:$C,"&lt;&gt;Hold",'Candidate Tracker'!$C:$C,"&lt;&gt;Cancelled",'Candidate Tracker'!$C:$C,"&lt;&gt;Closed")/COUNTIFS('Candidate Tracker'!$E:$E,'Positions Tracker'!$B820)=0,"",COUNTIFS('Candidate Tracker'!$E:$E,'Positions Tracker'!$B820,'Candidate Tracker'!$C:$C,"&lt;&gt;WIP",'Candidate Tracker'!$C:$C,"&lt;&gt;Hold",'Candidate Tracker'!$C:$C,"&lt;&gt;Cancelled",'Candidate Tracker'!$C:$C,"&lt;&gt;Closed")/COUNTIFS('Candidate Tracker'!$E:$E,'Positions Tracker'!$B820)),"")</f>
        <v/>
      </c>
      <c r="BD820" s="67" t="str">
        <f t="shared" si="72"/>
        <v/>
      </c>
      <c r="BE820" s="67" t="str">
        <f t="shared" si="73"/>
        <v/>
      </c>
      <c r="BF820" s="67" t="str">
        <f t="shared" si="74"/>
        <v/>
      </c>
      <c r="BG820" s="67" t="str">
        <f t="shared" si="75"/>
        <v/>
      </c>
    </row>
    <row r="821" spans="1:59">
      <c r="A821" s="55"/>
      <c r="B821" s="56"/>
      <c r="C821" s="56"/>
      <c r="D821" s="56"/>
      <c r="E821" s="56"/>
      <c r="F821" s="56"/>
      <c r="G821" s="56"/>
      <c r="H821" s="56"/>
      <c r="I821" s="6"/>
      <c r="J821" s="6"/>
      <c r="K821" s="57"/>
      <c r="L821" s="57"/>
      <c r="M821" s="57"/>
      <c r="N821" s="56"/>
      <c r="O821" s="56"/>
      <c r="P821" s="56"/>
      <c r="Q821" s="56"/>
      <c r="R821" s="56"/>
      <c r="S821" s="56"/>
      <c r="T821" s="56"/>
      <c r="U821" s="56"/>
      <c r="V821" s="56"/>
      <c r="W821" s="56"/>
      <c r="X821" s="56"/>
      <c r="Y821" s="56"/>
      <c r="Z821" s="56"/>
      <c r="AA821" s="56"/>
      <c r="AB821" s="56"/>
      <c r="AC821" s="56"/>
      <c r="AD821" s="56"/>
      <c r="AE821" s="56"/>
      <c r="AF821" s="56"/>
      <c r="AG821" s="56"/>
      <c r="AH821" s="56"/>
      <c r="AI821" s="58"/>
      <c r="AJ821" s="56"/>
      <c r="AK821" s="56"/>
      <c r="AL821" s="56"/>
      <c r="AM821" s="57"/>
      <c r="AN821" s="57"/>
      <c r="AO821" s="56"/>
      <c r="AP821" s="56"/>
      <c r="AQ821" s="57"/>
      <c r="AR821" s="57"/>
      <c r="AS821" s="57"/>
      <c r="AT821" s="67">
        <f t="shared" ca="1" si="76"/>
        <v>0</v>
      </c>
      <c r="AU821" s="79" t="str">
        <f t="shared" ca="1" si="77"/>
        <v/>
      </c>
      <c r="AV821" s="79" t="str" cm="1">
        <f t="array" aca="1" ref="AV821" ca="1">IFERROR(_xlfn.IFS($AU821="","",$AU821&lt;=15,"0-15",AND($AU821&gt;=16,$AU821&lt;=30),"16-30",AND($AU821&gt;=31,$AU821&lt;=45),"31-45",AND($AU821&gt;=46,$AU821&lt;=60),"46-60",AND($AU821&gt;=61,$AU821&lt;=90),"61-90",AND($AU821&gt;=91),"&gt; 90",AND($AU821&gt;=2000),""),"")</f>
        <v/>
      </c>
      <c r="AW821" s="79" t="str" cm="1">
        <f t="array" aca="1" ref="AW821" ca="1">IFERROR(_xlfn.IFS(OR($M821="",$AM821=""),"",OR($C821="Offered",$C821="Joined"),($AM821-$M821)-$AT821),"")</f>
        <v/>
      </c>
      <c r="AX821" s="79" t="str" cm="1">
        <f t="array" aca="1" ref="AX821" ca="1">IFERROR(_xlfn.IFS(OR($M821="",$AS821=""),"",$C821="Joined",($AS821-$M821)-$AT821),"")</f>
        <v/>
      </c>
      <c r="AY821" s="67" t="str">
        <f>IFERROR(IF(COUNTIFS('Candidate Tracker'!$E:$E,'Positions Tracker'!$B821,'Candidate Tracker'!$C:$C,"Offer Drop")=0,"",COUNTIFS('Candidate Tracker'!$E:$E,'Positions Tracker'!$B821,'Candidate Tracker'!$C:$C,"Offer Drop")),"")</f>
        <v/>
      </c>
      <c r="AZ821" s="80">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0.88111888111888115</v>
      </c>
      <c r="BA821" s="81" t="str">
        <f>IFERROR(IF(COUNTIFS('Candidate Tracker'!$E:$E,'Positions Tracker'!$B821,'Candidate Tracker'!$I:$I,"Female")=0,"",COUNTIFS('Candidate Tracker'!$E:$E,'Positions Tracker'!$B821,'Candidate Tracker'!$I:$I,"Female")),"")</f>
        <v/>
      </c>
      <c r="BB821" s="81" t="str">
        <f>IFERROR(IF(COUNTIFS('Candidate Tracker'!$E:$E,'Positions Tracker'!$B821,'Candidate Tracker'!$I:$I,"male")=0,"",COUNTIFS('Candidate Tracker'!$E:$E,'Positions Tracker'!$B821,'Candidate Tracker'!$I:$I,"male")),"")</f>
        <v/>
      </c>
      <c r="BC821" s="80" t="str">
        <f>IFERROR(IF(COUNTIFS('Candidate Tracker'!$E:$E,'Positions Tracker'!$B821,'Candidate Tracker'!$C:$C,"&lt;&gt;WIP",'Candidate Tracker'!$C:$C,"&lt;&gt;Hold",'Candidate Tracker'!$C:$C,"&lt;&gt;Cancelled",'Candidate Tracker'!$C:$C,"&lt;&gt;Closed")/COUNTIFS('Candidate Tracker'!$E:$E,'Positions Tracker'!$B821)=0,"",COUNTIFS('Candidate Tracker'!$E:$E,'Positions Tracker'!$B821,'Candidate Tracker'!$C:$C,"&lt;&gt;WIP",'Candidate Tracker'!$C:$C,"&lt;&gt;Hold",'Candidate Tracker'!$C:$C,"&lt;&gt;Cancelled",'Candidate Tracker'!$C:$C,"&lt;&gt;Closed")/COUNTIFS('Candidate Tracker'!$E:$E,'Positions Tracker'!$B821)),"")</f>
        <v/>
      </c>
      <c r="BD821" s="67" t="str">
        <f t="shared" si="72"/>
        <v/>
      </c>
      <c r="BE821" s="67" t="str">
        <f t="shared" si="73"/>
        <v/>
      </c>
      <c r="BF821" s="67" t="str">
        <f t="shared" si="74"/>
        <v/>
      </c>
      <c r="BG821" s="67" t="str">
        <f t="shared" si="75"/>
        <v/>
      </c>
    </row>
    <row r="822" spans="1:59">
      <c r="A822" s="55"/>
      <c r="B822" s="56"/>
      <c r="C822" s="56"/>
      <c r="D822" s="56"/>
      <c r="E822" s="56"/>
      <c r="F822" s="56"/>
      <c r="G822" s="56"/>
      <c r="H822" s="56"/>
      <c r="I822" s="6"/>
      <c r="J822" s="6"/>
      <c r="K822" s="57"/>
      <c r="L822" s="57"/>
      <c r="M822" s="57"/>
      <c r="N822" s="56"/>
      <c r="O822" s="56"/>
      <c r="P822" s="56"/>
      <c r="Q822" s="56"/>
      <c r="R822" s="56"/>
      <c r="S822" s="56"/>
      <c r="T822" s="56"/>
      <c r="U822" s="56"/>
      <c r="V822" s="56"/>
      <c r="W822" s="56"/>
      <c r="X822" s="56"/>
      <c r="Y822" s="56"/>
      <c r="Z822" s="56"/>
      <c r="AA822" s="56"/>
      <c r="AB822" s="56"/>
      <c r="AC822" s="56"/>
      <c r="AD822" s="56"/>
      <c r="AE822" s="56"/>
      <c r="AF822" s="56"/>
      <c r="AG822" s="56"/>
      <c r="AH822" s="56"/>
      <c r="AI822" s="58"/>
      <c r="AJ822" s="56"/>
      <c r="AK822" s="56"/>
      <c r="AL822" s="56"/>
      <c r="AM822" s="57"/>
      <c r="AN822" s="57"/>
      <c r="AO822" s="56"/>
      <c r="AP822" s="56"/>
      <c r="AQ822" s="57"/>
      <c r="AR822" s="57"/>
      <c r="AS822" s="57"/>
      <c r="AT822" s="67">
        <f t="shared" ca="1" si="76"/>
        <v>0</v>
      </c>
      <c r="AU822" s="79" t="str">
        <f t="shared" ca="1" si="77"/>
        <v/>
      </c>
      <c r="AV822" s="79" t="str" cm="1">
        <f t="array" aca="1" ref="AV822" ca="1">IFERROR(_xlfn.IFS($AU822="","",$AU822&lt;=15,"0-15",AND($AU822&gt;=16,$AU822&lt;=30),"16-30",AND($AU822&gt;=31,$AU822&lt;=45),"31-45",AND($AU822&gt;=46,$AU822&lt;=60),"46-60",AND($AU822&gt;=61,$AU822&lt;=90),"61-90",AND($AU822&gt;=91),"&gt; 90",AND($AU822&gt;=2000),""),"")</f>
        <v/>
      </c>
      <c r="AW822" s="79" t="str" cm="1">
        <f t="array" aca="1" ref="AW822" ca="1">IFERROR(_xlfn.IFS(OR($M822="",$AM822=""),"",OR($C822="Offered",$C822="Joined"),($AM822-$M822)-$AT822),"")</f>
        <v/>
      </c>
      <c r="AX822" s="79" t="str" cm="1">
        <f t="array" aca="1" ref="AX822" ca="1">IFERROR(_xlfn.IFS(OR($M822="",$AS822=""),"",$C822="Joined",($AS822-$M822)-$AT822),"")</f>
        <v/>
      </c>
      <c r="AY822" s="67" t="str">
        <f>IFERROR(IF(COUNTIFS('Candidate Tracker'!$E:$E,'Positions Tracker'!$B822,'Candidate Tracker'!$C:$C,"Offer Drop")=0,"",COUNTIFS('Candidate Tracker'!$E:$E,'Positions Tracker'!$B822,'Candidate Tracker'!$C:$C,"Offer Drop")),"")</f>
        <v/>
      </c>
      <c r="AZ822" s="80">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0.88111888111888115</v>
      </c>
      <c r="BA822" s="81" t="str">
        <f>IFERROR(IF(COUNTIFS('Candidate Tracker'!$E:$E,'Positions Tracker'!$B822,'Candidate Tracker'!$I:$I,"Female")=0,"",COUNTIFS('Candidate Tracker'!$E:$E,'Positions Tracker'!$B822,'Candidate Tracker'!$I:$I,"Female")),"")</f>
        <v/>
      </c>
      <c r="BB822" s="81" t="str">
        <f>IFERROR(IF(COUNTIFS('Candidate Tracker'!$E:$E,'Positions Tracker'!$B822,'Candidate Tracker'!$I:$I,"male")=0,"",COUNTIFS('Candidate Tracker'!$E:$E,'Positions Tracker'!$B822,'Candidate Tracker'!$I:$I,"male")),"")</f>
        <v/>
      </c>
      <c r="BC822" s="80" t="str">
        <f>IFERROR(IF(COUNTIFS('Candidate Tracker'!$E:$E,'Positions Tracker'!$B822,'Candidate Tracker'!$C:$C,"&lt;&gt;WIP",'Candidate Tracker'!$C:$C,"&lt;&gt;Hold",'Candidate Tracker'!$C:$C,"&lt;&gt;Cancelled",'Candidate Tracker'!$C:$C,"&lt;&gt;Closed")/COUNTIFS('Candidate Tracker'!$E:$E,'Positions Tracker'!$B822)=0,"",COUNTIFS('Candidate Tracker'!$E:$E,'Positions Tracker'!$B822,'Candidate Tracker'!$C:$C,"&lt;&gt;WIP",'Candidate Tracker'!$C:$C,"&lt;&gt;Hold",'Candidate Tracker'!$C:$C,"&lt;&gt;Cancelled",'Candidate Tracker'!$C:$C,"&lt;&gt;Closed")/COUNTIFS('Candidate Tracker'!$E:$E,'Positions Tracker'!$B822)),"")</f>
        <v/>
      </c>
      <c r="BD822" s="67" t="str">
        <f t="shared" si="72"/>
        <v/>
      </c>
      <c r="BE822" s="67" t="str">
        <f t="shared" si="73"/>
        <v/>
      </c>
      <c r="BF822" s="67" t="str">
        <f t="shared" si="74"/>
        <v/>
      </c>
      <c r="BG822" s="67" t="str">
        <f t="shared" si="75"/>
        <v/>
      </c>
    </row>
    <row r="823" spans="1:59">
      <c r="A823" s="55"/>
      <c r="B823" s="56"/>
      <c r="C823" s="56"/>
      <c r="D823" s="56"/>
      <c r="E823" s="56"/>
      <c r="F823" s="56"/>
      <c r="G823" s="56"/>
      <c r="H823" s="56"/>
      <c r="I823" s="6"/>
      <c r="J823" s="6"/>
      <c r="K823" s="57"/>
      <c r="L823" s="57"/>
      <c r="M823" s="57"/>
      <c r="N823" s="56"/>
      <c r="O823" s="56"/>
      <c r="P823" s="56"/>
      <c r="Q823" s="56"/>
      <c r="R823" s="56"/>
      <c r="S823" s="56"/>
      <c r="T823" s="56"/>
      <c r="U823" s="56"/>
      <c r="V823" s="56"/>
      <c r="W823" s="56"/>
      <c r="X823" s="56"/>
      <c r="Y823" s="56"/>
      <c r="Z823" s="56"/>
      <c r="AA823" s="56"/>
      <c r="AB823" s="56"/>
      <c r="AC823" s="56"/>
      <c r="AD823" s="56"/>
      <c r="AE823" s="56"/>
      <c r="AF823" s="56"/>
      <c r="AG823" s="56"/>
      <c r="AH823" s="56"/>
      <c r="AI823" s="58"/>
      <c r="AJ823" s="56"/>
      <c r="AK823" s="56"/>
      <c r="AL823" s="56"/>
      <c r="AM823" s="57"/>
      <c r="AN823" s="57"/>
      <c r="AO823" s="56"/>
      <c r="AP823" s="56"/>
      <c r="AQ823" s="57"/>
      <c r="AR823" s="57"/>
      <c r="AS823" s="57"/>
      <c r="AT823" s="67">
        <f t="shared" ca="1" si="76"/>
        <v>0</v>
      </c>
      <c r="AU823" s="79" t="str">
        <f t="shared" ca="1" si="77"/>
        <v/>
      </c>
      <c r="AV823" s="79" t="str" cm="1">
        <f t="array" aca="1" ref="AV823" ca="1">IFERROR(_xlfn.IFS($AU823="","",$AU823&lt;=15,"0-15",AND($AU823&gt;=16,$AU823&lt;=30),"16-30",AND($AU823&gt;=31,$AU823&lt;=45),"31-45",AND($AU823&gt;=46,$AU823&lt;=60),"46-60",AND($AU823&gt;=61,$AU823&lt;=90),"61-90",AND($AU823&gt;=91),"&gt; 90",AND($AU823&gt;=2000),""),"")</f>
        <v/>
      </c>
      <c r="AW823" s="79" t="str" cm="1">
        <f t="array" aca="1" ref="AW823" ca="1">IFERROR(_xlfn.IFS(OR($M823="",$AM823=""),"",OR($C823="Offered",$C823="Joined"),($AM823-$M823)-$AT823),"")</f>
        <v/>
      </c>
      <c r="AX823" s="79" t="str" cm="1">
        <f t="array" aca="1" ref="AX823" ca="1">IFERROR(_xlfn.IFS(OR($M823="",$AS823=""),"",$C823="Joined",($AS823-$M823)-$AT823),"")</f>
        <v/>
      </c>
      <c r="AY823" s="67" t="str">
        <f>IFERROR(IF(COUNTIFS('Candidate Tracker'!$E:$E,'Positions Tracker'!$B823,'Candidate Tracker'!$C:$C,"Offer Drop")=0,"",COUNTIFS('Candidate Tracker'!$E:$E,'Positions Tracker'!$B823,'Candidate Tracker'!$C:$C,"Offer Drop")),"")</f>
        <v/>
      </c>
      <c r="AZ823" s="80">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0.88111888111888115</v>
      </c>
      <c r="BA823" s="81" t="str">
        <f>IFERROR(IF(COUNTIFS('Candidate Tracker'!$E:$E,'Positions Tracker'!$B823,'Candidate Tracker'!$I:$I,"Female")=0,"",COUNTIFS('Candidate Tracker'!$E:$E,'Positions Tracker'!$B823,'Candidate Tracker'!$I:$I,"Female")),"")</f>
        <v/>
      </c>
      <c r="BB823" s="81" t="str">
        <f>IFERROR(IF(COUNTIFS('Candidate Tracker'!$E:$E,'Positions Tracker'!$B823,'Candidate Tracker'!$I:$I,"male")=0,"",COUNTIFS('Candidate Tracker'!$E:$E,'Positions Tracker'!$B823,'Candidate Tracker'!$I:$I,"male")),"")</f>
        <v/>
      </c>
      <c r="BC823" s="80" t="str">
        <f>IFERROR(IF(COUNTIFS('Candidate Tracker'!$E:$E,'Positions Tracker'!$B823,'Candidate Tracker'!$C:$C,"&lt;&gt;WIP",'Candidate Tracker'!$C:$C,"&lt;&gt;Hold",'Candidate Tracker'!$C:$C,"&lt;&gt;Cancelled",'Candidate Tracker'!$C:$C,"&lt;&gt;Closed")/COUNTIFS('Candidate Tracker'!$E:$E,'Positions Tracker'!$B823)=0,"",COUNTIFS('Candidate Tracker'!$E:$E,'Positions Tracker'!$B823,'Candidate Tracker'!$C:$C,"&lt;&gt;WIP",'Candidate Tracker'!$C:$C,"&lt;&gt;Hold",'Candidate Tracker'!$C:$C,"&lt;&gt;Cancelled",'Candidate Tracker'!$C:$C,"&lt;&gt;Closed")/COUNTIFS('Candidate Tracker'!$E:$E,'Positions Tracker'!$B823)),"")</f>
        <v/>
      </c>
      <c r="BD823" s="67" t="str">
        <f t="shared" si="72"/>
        <v/>
      </c>
      <c r="BE823" s="67" t="str">
        <f t="shared" si="73"/>
        <v/>
      </c>
      <c r="BF823" s="67" t="str">
        <f t="shared" si="74"/>
        <v/>
      </c>
      <c r="BG823" s="67" t="str">
        <f t="shared" si="75"/>
        <v/>
      </c>
    </row>
    <row r="824" spans="1:59">
      <c r="A824" s="55"/>
      <c r="B824" s="56"/>
      <c r="C824" s="56"/>
      <c r="D824" s="56"/>
      <c r="E824" s="56"/>
      <c r="F824" s="56"/>
      <c r="G824" s="56"/>
      <c r="H824" s="56"/>
      <c r="I824" s="6"/>
      <c r="J824" s="6"/>
      <c r="K824" s="57"/>
      <c r="L824" s="57"/>
      <c r="M824" s="57"/>
      <c r="N824" s="56"/>
      <c r="O824" s="56"/>
      <c r="P824" s="56"/>
      <c r="Q824" s="56"/>
      <c r="R824" s="56"/>
      <c r="S824" s="56"/>
      <c r="T824" s="56"/>
      <c r="U824" s="56"/>
      <c r="V824" s="56"/>
      <c r="W824" s="56"/>
      <c r="X824" s="56"/>
      <c r="Y824" s="56"/>
      <c r="Z824" s="56"/>
      <c r="AA824" s="56"/>
      <c r="AB824" s="56"/>
      <c r="AC824" s="56"/>
      <c r="AD824" s="56"/>
      <c r="AE824" s="56"/>
      <c r="AF824" s="56"/>
      <c r="AG824" s="56"/>
      <c r="AH824" s="56"/>
      <c r="AI824" s="58"/>
      <c r="AJ824" s="56"/>
      <c r="AK824" s="56"/>
      <c r="AL824" s="56"/>
      <c r="AM824" s="57"/>
      <c r="AN824" s="57"/>
      <c r="AO824" s="56"/>
      <c r="AP824" s="56"/>
      <c r="AQ824" s="57"/>
      <c r="AR824" s="57"/>
      <c r="AS824" s="57"/>
      <c r="AT824" s="67">
        <f t="shared" ca="1" si="76"/>
        <v>0</v>
      </c>
      <c r="AU824" s="79" t="str">
        <f t="shared" ca="1" si="77"/>
        <v/>
      </c>
      <c r="AV824" s="79" t="str" cm="1">
        <f t="array" aca="1" ref="AV824" ca="1">IFERROR(_xlfn.IFS($AU824="","",$AU824&lt;=15,"0-15",AND($AU824&gt;=16,$AU824&lt;=30),"16-30",AND($AU824&gt;=31,$AU824&lt;=45),"31-45",AND($AU824&gt;=46,$AU824&lt;=60),"46-60",AND($AU824&gt;=61,$AU824&lt;=90),"61-90",AND($AU824&gt;=91),"&gt; 90",AND($AU824&gt;=2000),""),"")</f>
        <v/>
      </c>
      <c r="AW824" s="79" t="str" cm="1">
        <f t="array" aca="1" ref="AW824" ca="1">IFERROR(_xlfn.IFS(OR($M824="",$AM824=""),"",OR($C824="Offered",$C824="Joined"),($AM824-$M824)-$AT824),"")</f>
        <v/>
      </c>
      <c r="AX824" s="79" t="str" cm="1">
        <f t="array" aca="1" ref="AX824" ca="1">IFERROR(_xlfn.IFS(OR($M824="",$AS824=""),"",$C824="Joined",($AS824-$M824)-$AT824),"")</f>
        <v/>
      </c>
      <c r="AY824" s="67" t="str">
        <f>IFERROR(IF(COUNTIFS('Candidate Tracker'!$E:$E,'Positions Tracker'!$B824,'Candidate Tracker'!$C:$C,"Offer Drop")=0,"",COUNTIFS('Candidate Tracker'!$E:$E,'Positions Tracker'!$B824,'Candidate Tracker'!$C:$C,"Offer Drop")),"")</f>
        <v/>
      </c>
      <c r="AZ824" s="80">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0.88111888111888115</v>
      </c>
      <c r="BA824" s="81" t="str">
        <f>IFERROR(IF(COUNTIFS('Candidate Tracker'!$E:$E,'Positions Tracker'!$B824,'Candidate Tracker'!$I:$I,"Female")=0,"",COUNTIFS('Candidate Tracker'!$E:$E,'Positions Tracker'!$B824,'Candidate Tracker'!$I:$I,"Female")),"")</f>
        <v/>
      </c>
      <c r="BB824" s="81" t="str">
        <f>IFERROR(IF(COUNTIFS('Candidate Tracker'!$E:$E,'Positions Tracker'!$B824,'Candidate Tracker'!$I:$I,"male")=0,"",COUNTIFS('Candidate Tracker'!$E:$E,'Positions Tracker'!$B824,'Candidate Tracker'!$I:$I,"male")),"")</f>
        <v/>
      </c>
      <c r="BC824" s="80" t="str">
        <f>IFERROR(IF(COUNTIFS('Candidate Tracker'!$E:$E,'Positions Tracker'!$B824,'Candidate Tracker'!$C:$C,"&lt;&gt;WIP",'Candidate Tracker'!$C:$C,"&lt;&gt;Hold",'Candidate Tracker'!$C:$C,"&lt;&gt;Cancelled",'Candidate Tracker'!$C:$C,"&lt;&gt;Closed")/COUNTIFS('Candidate Tracker'!$E:$E,'Positions Tracker'!$B824)=0,"",COUNTIFS('Candidate Tracker'!$E:$E,'Positions Tracker'!$B824,'Candidate Tracker'!$C:$C,"&lt;&gt;WIP",'Candidate Tracker'!$C:$C,"&lt;&gt;Hold",'Candidate Tracker'!$C:$C,"&lt;&gt;Cancelled",'Candidate Tracker'!$C:$C,"&lt;&gt;Closed")/COUNTIFS('Candidate Tracker'!$E:$E,'Positions Tracker'!$B824)),"")</f>
        <v/>
      </c>
      <c r="BD824" s="67" t="str">
        <f t="shared" si="72"/>
        <v/>
      </c>
      <c r="BE824" s="67" t="str">
        <f t="shared" si="73"/>
        <v/>
      </c>
      <c r="BF824" s="67" t="str">
        <f t="shared" si="74"/>
        <v/>
      </c>
      <c r="BG824" s="67" t="str">
        <f t="shared" si="75"/>
        <v/>
      </c>
    </row>
    <row r="825" spans="1:59">
      <c r="A825" s="55"/>
      <c r="B825" s="56"/>
      <c r="C825" s="56"/>
      <c r="D825" s="56"/>
      <c r="E825" s="56"/>
      <c r="F825" s="56"/>
      <c r="G825" s="56"/>
      <c r="H825" s="56"/>
      <c r="I825" s="6"/>
      <c r="J825" s="6"/>
      <c r="K825" s="57"/>
      <c r="L825" s="57"/>
      <c r="M825" s="57"/>
      <c r="N825" s="56"/>
      <c r="O825" s="56"/>
      <c r="P825" s="56"/>
      <c r="Q825" s="56"/>
      <c r="R825" s="56"/>
      <c r="S825" s="56"/>
      <c r="T825" s="56"/>
      <c r="U825" s="56"/>
      <c r="V825" s="56"/>
      <c r="W825" s="56"/>
      <c r="X825" s="56"/>
      <c r="Y825" s="56"/>
      <c r="Z825" s="56"/>
      <c r="AA825" s="56"/>
      <c r="AB825" s="56"/>
      <c r="AC825" s="56"/>
      <c r="AD825" s="56"/>
      <c r="AE825" s="56"/>
      <c r="AF825" s="56"/>
      <c r="AG825" s="56"/>
      <c r="AH825" s="56"/>
      <c r="AI825" s="58"/>
      <c r="AJ825" s="56"/>
      <c r="AK825" s="56"/>
      <c r="AL825" s="56"/>
      <c r="AM825" s="57"/>
      <c r="AN825" s="57"/>
      <c r="AO825" s="56"/>
      <c r="AP825" s="56"/>
      <c r="AQ825" s="57"/>
      <c r="AR825" s="57"/>
      <c r="AS825" s="57"/>
      <c r="AT825" s="67">
        <f t="shared" ca="1" si="76"/>
        <v>0</v>
      </c>
      <c r="AU825" s="79" t="str">
        <f t="shared" ca="1" si="77"/>
        <v/>
      </c>
      <c r="AV825" s="79" t="str" cm="1">
        <f t="array" aca="1" ref="AV825" ca="1">IFERROR(_xlfn.IFS($AU825="","",$AU825&lt;=15,"0-15",AND($AU825&gt;=16,$AU825&lt;=30),"16-30",AND($AU825&gt;=31,$AU825&lt;=45),"31-45",AND($AU825&gt;=46,$AU825&lt;=60),"46-60",AND($AU825&gt;=61,$AU825&lt;=90),"61-90",AND($AU825&gt;=91),"&gt; 90",AND($AU825&gt;=2000),""),"")</f>
        <v/>
      </c>
      <c r="AW825" s="79" t="str" cm="1">
        <f t="array" aca="1" ref="AW825" ca="1">IFERROR(_xlfn.IFS(OR($M825="",$AM825=""),"",OR($C825="Offered",$C825="Joined"),($AM825-$M825)-$AT825),"")</f>
        <v/>
      </c>
      <c r="AX825" s="79" t="str" cm="1">
        <f t="array" aca="1" ref="AX825" ca="1">IFERROR(_xlfn.IFS(OR($M825="",$AS825=""),"",$C825="Joined",($AS825-$M825)-$AT825),"")</f>
        <v/>
      </c>
      <c r="AY825" s="67" t="str">
        <f>IFERROR(IF(COUNTIFS('Candidate Tracker'!$E:$E,'Positions Tracker'!$B825,'Candidate Tracker'!$C:$C,"Offer Drop")=0,"",COUNTIFS('Candidate Tracker'!$E:$E,'Positions Tracker'!$B825,'Candidate Tracker'!$C:$C,"Offer Drop")),"")</f>
        <v/>
      </c>
      <c r="AZ825" s="80">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0.88111888111888115</v>
      </c>
      <c r="BA825" s="81" t="str">
        <f>IFERROR(IF(COUNTIFS('Candidate Tracker'!$E:$E,'Positions Tracker'!$B825,'Candidate Tracker'!$I:$I,"Female")=0,"",COUNTIFS('Candidate Tracker'!$E:$E,'Positions Tracker'!$B825,'Candidate Tracker'!$I:$I,"Female")),"")</f>
        <v/>
      </c>
      <c r="BB825" s="81" t="str">
        <f>IFERROR(IF(COUNTIFS('Candidate Tracker'!$E:$E,'Positions Tracker'!$B825,'Candidate Tracker'!$I:$I,"male")=0,"",COUNTIFS('Candidate Tracker'!$E:$E,'Positions Tracker'!$B825,'Candidate Tracker'!$I:$I,"male")),"")</f>
        <v/>
      </c>
      <c r="BC825" s="80" t="str">
        <f>IFERROR(IF(COUNTIFS('Candidate Tracker'!$E:$E,'Positions Tracker'!$B825,'Candidate Tracker'!$C:$C,"&lt;&gt;WIP",'Candidate Tracker'!$C:$C,"&lt;&gt;Hold",'Candidate Tracker'!$C:$C,"&lt;&gt;Cancelled",'Candidate Tracker'!$C:$C,"&lt;&gt;Closed")/COUNTIFS('Candidate Tracker'!$E:$E,'Positions Tracker'!$B825)=0,"",COUNTIFS('Candidate Tracker'!$E:$E,'Positions Tracker'!$B825,'Candidate Tracker'!$C:$C,"&lt;&gt;WIP",'Candidate Tracker'!$C:$C,"&lt;&gt;Hold",'Candidate Tracker'!$C:$C,"&lt;&gt;Cancelled",'Candidate Tracker'!$C:$C,"&lt;&gt;Closed")/COUNTIFS('Candidate Tracker'!$E:$E,'Positions Tracker'!$B825)),"")</f>
        <v/>
      </c>
      <c r="BD825" s="67" t="str">
        <f t="shared" si="72"/>
        <v/>
      </c>
      <c r="BE825" s="67" t="str">
        <f t="shared" si="73"/>
        <v/>
      </c>
      <c r="BF825" s="67" t="str">
        <f t="shared" si="74"/>
        <v/>
      </c>
      <c r="BG825" s="67" t="str">
        <f t="shared" si="75"/>
        <v/>
      </c>
    </row>
    <row r="826" spans="1:59">
      <c r="A826" s="55"/>
      <c r="B826" s="56"/>
      <c r="C826" s="56"/>
      <c r="D826" s="56"/>
      <c r="E826" s="56"/>
      <c r="F826" s="56"/>
      <c r="G826" s="56"/>
      <c r="H826" s="56"/>
      <c r="I826" s="6"/>
      <c r="J826" s="6"/>
      <c r="K826" s="57"/>
      <c r="L826" s="57"/>
      <c r="M826" s="57"/>
      <c r="N826" s="56"/>
      <c r="O826" s="56"/>
      <c r="P826" s="56"/>
      <c r="Q826" s="56"/>
      <c r="R826" s="56"/>
      <c r="S826" s="56"/>
      <c r="T826" s="56"/>
      <c r="U826" s="56"/>
      <c r="V826" s="56"/>
      <c r="W826" s="56"/>
      <c r="X826" s="56"/>
      <c r="Y826" s="56"/>
      <c r="Z826" s="56"/>
      <c r="AA826" s="56"/>
      <c r="AB826" s="56"/>
      <c r="AC826" s="56"/>
      <c r="AD826" s="56"/>
      <c r="AE826" s="56"/>
      <c r="AF826" s="56"/>
      <c r="AG826" s="56"/>
      <c r="AH826" s="56"/>
      <c r="AI826" s="58"/>
      <c r="AJ826" s="56"/>
      <c r="AK826" s="56"/>
      <c r="AL826" s="56"/>
      <c r="AM826" s="57"/>
      <c r="AN826" s="57"/>
      <c r="AO826" s="56"/>
      <c r="AP826" s="56"/>
      <c r="AQ826" s="57"/>
      <c r="AR826" s="57"/>
      <c r="AS826" s="57"/>
      <c r="AT826" s="67">
        <f t="shared" ca="1" si="76"/>
        <v>0</v>
      </c>
      <c r="AU826" s="79" t="str">
        <f t="shared" ca="1" si="77"/>
        <v/>
      </c>
      <c r="AV826" s="79" t="str" cm="1">
        <f t="array" aca="1" ref="AV826" ca="1">IFERROR(_xlfn.IFS($AU826="","",$AU826&lt;=15,"0-15",AND($AU826&gt;=16,$AU826&lt;=30),"16-30",AND($AU826&gt;=31,$AU826&lt;=45),"31-45",AND($AU826&gt;=46,$AU826&lt;=60),"46-60",AND($AU826&gt;=61,$AU826&lt;=90),"61-90",AND($AU826&gt;=91),"&gt; 90",AND($AU826&gt;=2000),""),"")</f>
        <v/>
      </c>
      <c r="AW826" s="79" t="str" cm="1">
        <f t="array" aca="1" ref="AW826" ca="1">IFERROR(_xlfn.IFS(OR($M826="",$AM826=""),"",OR($C826="Offered",$C826="Joined"),($AM826-$M826)-$AT826),"")</f>
        <v/>
      </c>
      <c r="AX826" s="79" t="str" cm="1">
        <f t="array" aca="1" ref="AX826" ca="1">IFERROR(_xlfn.IFS(OR($M826="",$AS826=""),"",$C826="Joined",($AS826-$M826)-$AT826),"")</f>
        <v/>
      </c>
      <c r="AY826" s="67" t="str">
        <f>IFERROR(IF(COUNTIFS('Candidate Tracker'!$E:$E,'Positions Tracker'!$B826,'Candidate Tracker'!$C:$C,"Offer Drop")=0,"",COUNTIFS('Candidate Tracker'!$E:$E,'Positions Tracker'!$B826,'Candidate Tracker'!$C:$C,"Offer Drop")),"")</f>
        <v/>
      </c>
      <c r="AZ826" s="80">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0.88111888111888115</v>
      </c>
      <c r="BA826" s="81" t="str">
        <f>IFERROR(IF(COUNTIFS('Candidate Tracker'!$E:$E,'Positions Tracker'!$B826,'Candidate Tracker'!$I:$I,"Female")=0,"",COUNTIFS('Candidate Tracker'!$E:$E,'Positions Tracker'!$B826,'Candidate Tracker'!$I:$I,"Female")),"")</f>
        <v/>
      </c>
      <c r="BB826" s="81" t="str">
        <f>IFERROR(IF(COUNTIFS('Candidate Tracker'!$E:$E,'Positions Tracker'!$B826,'Candidate Tracker'!$I:$I,"male")=0,"",COUNTIFS('Candidate Tracker'!$E:$E,'Positions Tracker'!$B826,'Candidate Tracker'!$I:$I,"male")),"")</f>
        <v/>
      </c>
      <c r="BC826" s="80" t="str">
        <f>IFERROR(IF(COUNTIFS('Candidate Tracker'!$E:$E,'Positions Tracker'!$B826,'Candidate Tracker'!$C:$C,"&lt;&gt;WIP",'Candidate Tracker'!$C:$C,"&lt;&gt;Hold",'Candidate Tracker'!$C:$C,"&lt;&gt;Cancelled",'Candidate Tracker'!$C:$C,"&lt;&gt;Closed")/COUNTIFS('Candidate Tracker'!$E:$E,'Positions Tracker'!$B826)=0,"",COUNTIFS('Candidate Tracker'!$E:$E,'Positions Tracker'!$B826,'Candidate Tracker'!$C:$C,"&lt;&gt;WIP",'Candidate Tracker'!$C:$C,"&lt;&gt;Hold",'Candidate Tracker'!$C:$C,"&lt;&gt;Cancelled",'Candidate Tracker'!$C:$C,"&lt;&gt;Closed")/COUNTIFS('Candidate Tracker'!$E:$E,'Positions Tracker'!$B826)),"")</f>
        <v/>
      </c>
      <c r="BD826" s="67" t="str">
        <f t="shared" si="72"/>
        <v/>
      </c>
      <c r="BE826" s="67" t="str">
        <f t="shared" si="73"/>
        <v/>
      </c>
      <c r="BF826" s="67" t="str">
        <f t="shared" si="74"/>
        <v/>
      </c>
      <c r="BG826" s="67" t="str">
        <f t="shared" si="75"/>
        <v/>
      </c>
    </row>
    <row r="827" spans="1:59">
      <c r="A827" s="55"/>
      <c r="B827" s="56"/>
      <c r="C827" s="56"/>
      <c r="D827" s="56"/>
      <c r="E827" s="56"/>
      <c r="F827" s="56"/>
      <c r="G827" s="56"/>
      <c r="H827" s="56"/>
      <c r="I827" s="6"/>
      <c r="J827" s="6"/>
      <c r="K827" s="57"/>
      <c r="L827" s="57"/>
      <c r="M827" s="57"/>
      <c r="N827" s="56"/>
      <c r="O827" s="56"/>
      <c r="P827" s="56"/>
      <c r="Q827" s="56"/>
      <c r="R827" s="56"/>
      <c r="S827" s="56"/>
      <c r="T827" s="56"/>
      <c r="U827" s="56"/>
      <c r="V827" s="56"/>
      <c r="W827" s="56"/>
      <c r="X827" s="56"/>
      <c r="Y827" s="56"/>
      <c r="Z827" s="56"/>
      <c r="AA827" s="56"/>
      <c r="AB827" s="56"/>
      <c r="AC827" s="56"/>
      <c r="AD827" s="56"/>
      <c r="AE827" s="56"/>
      <c r="AF827" s="56"/>
      <c r="AG827" s="56"/>
      <c r="AH827" s="56"/>
      <c r="AI827" s="58"/>
      <c r="AJ827" s="56"/>
      <c r="AK827" s="56"/>
      <c r="AL827" s="56"/>
      <c r="AM827" s="57"/>
      <c r="AN827" s="57"/>
      <c r="AO827" s="56"/>
      <c r="AP827" s="56"/>
      <c r="AQ827" s="57"/>
      <c r="AR827" s="57"/>
      <c r="AS827" s="57"/>
      <c r="AT827" s="67">
        <f t="shared" ca="1" si="76"/>
        <v>0</v>
      </c>
      <c r="AU827" s="79" t="str">
        <f t="shared" ca="1" si="77"/>
        <v/>
      </c>
      <c r="AV827" s="79" t="str" cm="1">
        <f t="array" aca="1" ref="AV827" ca="1">IFERROR(_xlfn.IFS($AU827="","",$AU827&lt;=15,"0-15",AND($AU827&gt;=16,$AU827&lt;=30),"16-30",AND($AU827&gt;=31,$AU827&lt;=45),"31-45",AND($AU827&gt;=46,$AU827&lt;=60),"46-60",AND($AU827&gt;=61,$AU827&lt;=90),"61-90",AND($AU827&gt;=91),"&gt; 90",AND($AU827&gt;=2000),""),"")</f>
        <v/>
      </c>
      <c r="AW827" s="79" t="str" cm="1">
        <f t="array" aca="1" ref="AW827" ca="1">IFERROR(_xlfn.IFS(OR($M827="",$AM827=""),"",OR($C827="Offered",$C827="Joined"),($AM827-$M827)-$AT827),"")</f>
        <v/>
      </c>
      <c r="AX827" s="79" t="str" cm="1">
        <f t="array" aca="1" ref="AX827" ca="1">IFERROR(_xlfn.IFS(OR($M827="",$AS827=""),"",$C827="Joined",($AS827-$M827)-$AT827),"")</f>
        <v/>
      </c>
      <c r="AY827" s="67" t="str">
        <f>IFERROR(IF(COUNTIFS('Candidate Tracker'!$E:$E,'Positions Tracker'!$B827,'Candidate Tracker'!$C:$C,"Offer Drop")=0,"",COUNTIFS('Candidate Tracker'!$E:$E,'Positions Tracker'!$B827,'Candidate Tracker'!$C:$C,"Offer Drop")),"")</f>
        <v/>
      </c>
      <c r="AZ827" s="80">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0.88111888111888115</v>
      </c>
      <c r="BA827" s="81" t="str">
        <f>IFERROR(IF(COUNTIFS('Candidate Tracker'!$E:$E,'Positions Tracker'!$B827,'Candidate Tracker'!$I:$I,"Female")=0,"",COUNTIFS('Candidate Tracker'!$E:$E,'Positions Tracker'!$B827,'Candidate Tracker'!$I:$I,"Female")),"")</f>
        <v/>
      </c>
      <c r="BB827" s="81" t="str">
        <f>IFERROR(IF(COUNTIFS('Candidate Tracker'!$E:$E,'Positions Tracker'!$B827,'Candidate Tracker'!$I:$I,"male")=0,"",COUNTIFS('Candidate Tracker'!$E:$E,'Positions Tracker'!$B827,'Candidate Tracker'!$I:$I,"male")),"")</f>
        <v/>
      </c>
      <c r="BC827" s="80" t="str">
        <f>IFERROR(IF(COUNTIFS('Candidate Tracker'!$E:$E,'Positions Tracker'!$B827,'Candidate Tracker'!$C:$C,"&lt;&gt;WIP",'Candidate Tracker'!$C:$C,"&lt;&gt;Hold",'Candidate Tracker'!$C:$C,"&lt;&gt;Cancelled",'Candidate Tracker'!$C:$C,"&lt;&gt;Closed")/COUNTIFS('Candidate Tracker'!$E:$E,'Positions Tracker'!$B827)=0,"",COUNTIFS('Candidate Tracker'!$E:$E,'Positions Tracker'!$B827,'Candidate Tracker'!$C:$C,"&lt;&gt;WIP",'Candidate Tracker'!$C:$C,"&lt;&gt;Hold",'Candidate Tracker'!$C:$C,"&lt;&gt;Cancelled",'Candidate Tracker'!$C:$C,"&lt;&gt;Closed")/COUNTIFS('Candidate Tracker'!$E:$E,'Positions Tracker'!$B827)),"")</f>
        <v/>
      </c>
      <c r="BD827" s="67" t="str">
        <f t="shared" si="72"/>
        <v/>
      </c>
      <c r="BE827" s="67" t="str">
        <f t="shared" si="73"/>
        <v/>
      </c>
      <c r="BF827" s="67" t="str">
        <f t="shared" si="74"/>
        <v/>
      </c>
      <c r="BG827" s="67" t="str">
        <f t="shared" si="75"/>
        <v/>
      </c>
    </row>
    <row r="828" spans="1:59">
      <c r="A828" s="55"/>
      <c r="B828" s="56"/>
      <c r="C828" s="56"/>
      <c r="D828" s="56"/>
      <c r="E828" s="56"/>
      <c r="F828" s="56"/>
      <c r="G828" s="56"/>
      <c r="H828" s="56"/>
      <c r="I828" s="6"/>
      <c r="J828" s="6"/>
      <c r="K828" s="57"/>
      <c r="L828" s="57"/>
      <c r="M828" s="57"/>
      <c r="N828" s="56"/>
      <c r="O828" s="56"/>
      <c r="P828" s="56"/>
      <c r="Q828" s="56"/>
      <c r="R828" s="56"/>
      <c r="S828" s="56"/>
      <c r="T828" s="56"/>
      <c r="U828" s="56"/>
      <c r="V828" s="56"/>
      <c r="W828" s="56"/>
      <c r="X828" s="56"/>
      <c r="Y828" s="56"/>
      <c r="Z828" s="56"/>
      <c r="AA828" s="56"/>
      <c r="AB828" s="56"/>
      <c r="AC828" s="56"/>
      <c r="AD828" s="56"/>
      <c r="AE828" s="56"/>
      <c r="AF828" s="56"/>
      <c r="AG828" s="56"/>
      <c r="AH828" s="56"/>
      <c r="AI828" s="58"/>
      <c r="AJ828" s="56"/>
      <c r="AK828" s="56"/>
      <c r="AL828" s="56"/>
      <c r="AM828" s="57"/>
      <c r="AN828" s="57"/>
      <c r="AO828" s="56"/>
      <c r="AP828" s="56"/>
      <c r="AQ828" s="57"/>
      <c r="AR828" s="57"/>
      <c r="AS828" s="57"/>
      <c r="AT828" s="67">
        <f t="shared" ca="1" si="76"/>
        <v>0</v>
      </c>
      <c r="AU828" s="79" t="str">
        <f t="shared" ca="1" si="77"/>
        <v/>
      </c>
      <c r="AV828" s="79" t="str" cm="1">
        <f t="array" aca="1" ref="AV828" ca="1">IFERROR(_xlfn.IFS($AU828="","",$AU828&lt;=15,"0-15",AND($AU828&gt;=16,$AU828&lt;=30),"16-30",AND($AU828&gt;=31,$AU828&lt;=45),"31-45",AND($AU828&gt;=46,$AU828&lt;=60),"46-60",AND($AU828&gt;=61,$AU828&lt;=90),"61-90",AND($AU828&gt;=91),"&gt; 90",AND($AU828&gt;=2000),""),"")</f>
        <v/>
      </c>
      <c r="AW828" s="79" t="str" cm="1">
        <f t="array" aca="1" ref="AW828" ca="1">IFERROR(_xlfn.IFS(OR($M828="",$AM828=""),"",OR($C828="Offered",$C828="Joined"),($AM828-$M828)-$AT828),"")</f>
        <v/>
      </c>
      <c r="AX828" s="79" t="str" cm="1">
        <f t="array" aca="1" ref="AX828" ca="1">IFERROR(_xlfn.IFS(OR($M828="",$AS828=""),"",$C828="Joined",($AS828-$M828)-$AT828),"")</f>
        <v/>
      </c>
      <c r="AY828" s="67" t="str">
        <f>IFERROR(IF(COUNTIFS('Candidate Tracker'!$E:$E,'Positions Tracker'!$B828,'Candidate Tracker'!$C:$C,"Offer Drop")=0,"",COUNTIFS('Candidate Tracker'!$E:$E,'Positions Tracker'!$B828,'Candidate Tracker'!$C:$C,"Offer Drop")),"")</f>
        <v/>
      </c>
      <c r="AZ828" s="80">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0.88111888111888115</v>
      </c>
      <c r="BA828" s="81" t="str">
        <f>IFERROR(IF(COUNTIFS('Candidate Tracker'!$E:$E,'Positions Tracker'!$B828,'Candidate Tracker'!$I:$I,"Female")=0,"",COUNTIFS('Candidate Tracker'!$E:$E,'Positions Tracker'!$B828,'Candidate Tracker'!$I:$I,"Female")),"")</f>
        <v/>
      </c>
      <c r="BB828" s="81" t="str">
        <f>IFERROR(IF(COUNTIFS('Candidate Tracker'!$E:$E,'Positions Tracker'!$B828,'Candidate Tracker'!$I:$I,"male")=0,"",COUNTIFS('Candidate Tracker'!$E:$E,'Positions Tracker'!$B828,'Candidate Tracker'!$I:$I,"male")),"")</f>
        <v/>
      </c>
      <c r="BC828" s="80" t="str">
        <f>IFERROR(IF(COUNTIFS('Candidate Tracker'!$E:$E,'Positions Tracker'!$B828,'Candidate Tracker'!$C:$C,"&lt;&gt;WIP",'Candidate Tracker'!$C:$C,"&lt;&gt;Hold",'Candidate Tracker'!$C:$C,"&lt;&gt;Cancelled",'Candidate Tracker'!$C:$C,"&lt;&gt;Closed")/COUNTIFS('Candidate Tracker'!$E:$E,'Positions Tracker'!$B828)=0,"",COUNTIFS('Candidate Tracker'!$E:$E,'Positions Tracker'!$B828,'Candidate Tracker'!$C:$C,"&lt;&gt;WIP",'Candidate Tracker'!$C:$C,"&lt;&gt;Hold",'Candidate Tracker'!$C:$C,"&lt;&gt;Cancelled",'Candidate Tracker'!$C:$C,"&lt;&gt;Closed")/COUNTIFS('Candidate Tracker'!$E:$E,'Positions Tracker'!$B828)),"")</f>
        <v/>
      </c>
      <c r="BD828" s="67" t="str">
        <f t="shared" si="72"/>
        <v/>
      </c>
      <c r="BE828" s="67" t="str">
        <f t="shared" si="73"/>
        <v/>
      </c>
      <c r="BF828" s="67" t="str">
        <f t="shared" si="74"/>
        <v/>
      </c>
      <c r="BG828" s="67" t="str">
        <f t="shared" si="75"/>
        <v/>
      </c>
    </row>
    <row r="829" spans="1:59">
      <c r="A829" s="55"/>
      <c r="B829" s="56"/>
      <c r="C829" s="56"/>
      <c r="D829" s="56"/>
      <c r="E829" s="56"/>
      <c r="F829" s="56"/>
      <c r="G829" s="56"/>
      <c r="H829" s="56"/>
      <c r="I829" s="6"/>
      <c r="J829" s="6"/>
      <c r="K829" s="57"/>
      <c r="L829" s="57"/>
      <c r="M829" s="57"/>
      <c r="N829" s="56"/>
      <c r="O829" s="56"/>
      <c r="P829" s="56"/>
      <c r="Q829" s="56"/>
      <c r="R829" s="56"/>
      <c r="S829" s="56"/>
      <c r="T829" s="56"/>
      <c r="U829" s="56"/>
      <c r="V829" s="56"/>
      <c r="W829" s="56"/>
      <c r="X829" s="56"/>
      <c r="Y829" s="56"/>
      <c r="Z829" s="56"/>
      <c r="AA829" s="56"/>
      <c r="AB829" s="56"/>
      <c r="AC829" s="56"/>
      <c r="AD829" s="56"/>
      <c r="AE829" s="56"/>
      <c r="AF829" s="56"/>
      <c r="AG829" s="56"/>
      <c r="AH829" s="56"/>
      <c r="AI829" s="58"/>
      <c r="AJ829" s="56"/>
      <c r="AK829" s="56"/>
      <c r="AL829" s="56"/>
      <c r="AM829" s="57"/>
      <c r="AN829" s="57"/>
      <c r="AO829" s="56"/>
      <c r="AP829" s="56"/>
      <c r="AQ829" s="57"/>
      <c r="AR829" s="57"/>
      <c r="AS829" s="57"/>
      <c r="AT829" s="67">
        <f t="shared" ca="1" si="76"/>
        <v>0</v>
      </c>
      <c r="AU829" s="79" t="str">
        <f t="shared" ca="1" si="77"/>
        <v/>
      </c>
      <c r="AV829" s="79" t="str" cm="1">
        <f t="array" aca="1" ref="AV829" ca="1">IFERROR(_xlfn.IFS($AU829="","",$AU829&lt;=15,"0-15",AND($AU829&gt;=16,$AU829&lt;=30),"16-30",AND($AU829&gt;=31,$AU829&lt;=45),"31-45",AND($AU829&gt;=46,$AU829&lt;=60),"46-60",AND($AU829&gt;=61,$AU829&lt;=90),"61-90",AND($AU829&gt;=91),"&gt; 90",AND($AU829&gt;=2000),""),"")</f>
        <v/>
      </c>
      <c r="AW829" s="79" t="str" cm="1">
        <f t="array" aca="1" ref="AW829" ca="1">IFERROR(_xlfn.IFS(OR($M829="",$AM829=""),"",OR($C829="Offered",$C829="Joined"),($AM829-$M829)-$AT829),"")</f>
        <v/>
      </c>
      <c r="AX829" s="79" t="str" cm="1">
        <f t="array" aca="1" ref="AX829" ca="1">IFERROR(_xlfn.IFS(OR($M829="",$AS829=""),"",$C829="Joined",($AS829-$M829)-$AT829),"")</f>
        <v/>
      </c>
      <c r="AY829" s="67" t="str">
        <f>IFERROR(IF(COUNTIFS('Candidate Tracker'!$E:$E,'Positions Tracker'!$B829,'Candidate Tracker'!$C:$C,"Offer Drop")=0,"",COUNTIFS('Candidate Tracker'!$E:$E,'Positions Tracker'!$B829,'Candidate Tracker'!$C:$C,"Offer Drop")),"")</f>
        <v/>
      </c>
      <c r="AZ829" s="80">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0.88111888111888115</v>
      </c>
      <c r="BA829" s="81" t="str">
        <f>IFERROR(IF(COUNTIFS('Candidate Tracker'!$E:$E,'Positions Tracker'!$B829,'Candidate Tracker'!$I:$I,"Female")=0,"",COUNTIFS('Candidate Tracker'!$E:$E,'Positions Tracker'!$B829,'Candidate Tracker'!$I:$I,"Female")),"")</f>
        <v/>
      </c>
      <c r="BB829" s="81" t="str">
        <f>IFERROR(IF(COUNTIFS('Candidate Tracker'!$E:$E,'Positions Tracker'!$B829,'Candidate Tracker'!$I:$I,"male")=0,"",COUNTIFS('Candidate Tracker'!$E:$E,'Positions Tracker'!$B829,'Candidate Tracker'!$I:$I,"male")),"")</f>
        <v/>
      </c>
      <c r="BC829" s="80" t="str">
        <f>IFERROR(IF(COUNTIFS('Candidate Tracker'!$E:$E,'Positions Tracker'!$B829,'Candidate Tracker'!$C:$C,"&lt;&gt;WIP",'Candidate Tracker'!$C:$C,"&lt;&gt;Hold",'Candidate Tracker'!$C:$C,"&lt;&gt;Cancelled",'Candidate Tracker'!$C:$C,"&lt;&gt;Closed")/COUNTIFS('Candidate Tracker'!$E:$E,'Positions Tracker'!$B829)=0,"",COUNTIFS('Candidate Tracker'!$E:$E,'Positions Tracker'!$B829,'Candidate Tracker'!$C:$C,"&lt;&gt;WIP",'Candidate Tracker'!$C:$C,"&lt;&gt;Hold",'Candidate Tracker'!$C:$C,"&lt;&gt;Cancelled",'Candidate Tracker'!$C:$C,"&lt;&gt;Closed")/COUNTIFS('Candidate Tracker'!$E:$E,'Positions Tracker'!$B829)),"")</f>
        <v/>
      </c>
      <c r="BD829" s="67" t="str">
        <f t="shared" si="72"/>
        <v/>
      </c>
      <c r="BE829" s="67" t="str">
        <f t="shared" si="73"/>
        <v/>
      </c>
      <c r="BF829" s="67" t="str">
        <f t="shared" si="74"/>
        <v/>
      </c>
      <c r="BG829" s="67" t="str">
        <f t="shared" si="75"/>
        <v/>
      </c>
    </row>
    <row r="830" spans="1:59">
      <c r="A830" s="55"/>
      <c r="B830" s="56"/>
      <c r="C830" s="56"/>
      <c r="D830" s="56"/>
      <c r="E830" s="56"/>
      <c r="F830" s="56"/>
      <c r="G830" s="56"/>
      <c r="H830" s="56"/>
      <c r="I830" s="6"/>
      <c r="J830" s="6"/>
      <c r="K830" s="57"/>
      <c r="L830" s="57"/>
      <c r="M830" s="57"/>
      <c r="N830" s="56"/>
      <c r="O830" s="56"/>
      <c r="P830" s="56"/>
      <c r="Q830" s="56"/>
      <c r="R830" s="56"/>
      <c r="S830" s="56"/>
      <c r="T830" s="56"/>
      <c r="U830" s="56"/>
      <c r="V830" s="56"/>
      <c r="W830" s="56"/>
      <c r="X830" s="56"/>
      <c r="Y830" s="56"/>
      <c r="Z830" s="56"/>
      <c r="AA830" s="56"/>
      <c r="AB830" s="56"/>
      <c r="AC830" s="56"/>
      <c r="AD830" s="56"/>
      <c r="AE830" s="56"/>
      <c r="AF830" s="56"/>
      <c r="AG830" s="56"/>
      <c r="AH830" s="56"/>
      <c r="AI830" s="58"/>
      <c r="AJ830" s="56"/>
      <c r="AK830" s="56"/>
      <c r="AL830" s="56"/>
      <c r="AM830" s="57"/>
      <c r="AN830" s="57"/>
      <c r="AO830" s="56"/>
      <c r="AP830" s="56"/>
      <c r="AQ830" s="57"/>
      <c r="AR830" s="57"/>
      <c r="AS830" s="57"/>
      <c r="AT830" s="67">
        <f t="shared" ca="1" si="76"/>
        <v>0</v>
      </c>
      <c r="AU830" s="79" t="str">
        <f t="shared" ca="1" si="77"/>
        <v/>
      </c>
      <c r="AV830" s="79" t="str" cm="1">
        <f t="array" aca="1" ref="AV830" ca="1">IFERROR(_xlfn.IFS($AU830="","",$AU830&lt;=15,"0-15",AND($AU830&gt;=16,$AU830&lt;=30),"16-30",AND($AU830&gt;=31,$AU830&lt;=45),"31-45",AND($AU830&gt;=46,$AU830&lt;=60),"46-60",AND($AU830&gt;=61,$AU830&lt;=90),"61-90",AND($AU830&gt;=91),"&gt; 90",AND($AU830&gt;=2000),""),"")</f>
        <v/>
      </c>
      <c r="AW830" s="79" t="str" cm="1">
        <f t="array" aca="1" ref="AW830" ca="1">IFERROR(_xlfn.IFS(OR($M830="",$AM830=""),"",OR($C830="Offered",$C830="Joined"),($AM830-$M830)-$AT830),"")</f>
        <v/>
      </c>
      <c r="AX830" s="79" t="str" cm="1">
        <f t="array" aca="1" ref="AX830" ca="1">IFERROR(_xlfn.IFS(OR($M830="",$AS830=""),"",$C830="Joined",($AS830-$M830)-$AT830),"")</f>
        <v/>
      </c>
      <c r="AY830" s="67" t="str">
        <f>IFERROR(IF(COUNTIFS('Candidate Tracker'!$E:$E,'Positions Tracker'!$B830,'Candidate Tracker'!$C:$C,"Offer Drop")=0,"",COUNTIFS('Candidate Tracker'!$E:$E,'Positions Tracker'!$B830,'Candidate Tracker'!$C:$C,"Offer Drop")),"")</f>
        <v/>
      </c>
      <c r="AZ830" s="80">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0.88111888111888115</v>
      </c>
      <c r="BA830" s="81" t="str">
        <f>IFERROR(IF(COUNTIFS('Candidate Tracker'!$E:$E,'Positions Tracker'!$B830,'Candidate Tracker'!$I:$I,"Female")=0,"",COUNTIFS('Candidate Tracker'!$E:$E,'Positions Tracker'!$B830,'Candidate Tracker'!$I:$I,"Female")),"")</f>
        <v/>
      </c>
      <c r="BB830" s="81" t="str">
        <f>IFERROR(IF(COUNTIFS('Candidate Tracker'!$E:$E,'Positions Tracker'!$B830,'Candidate Tracker'!$I:$I,"male")=0,"",COUNTIFS('Candidate Tracker'!$E:$E,'Positions Tracker'!$B830,'Candidate Tracker'!$I:$I,"male")),"")</f>
        <v/>
      </c>
      <c r="BC830" s="80" t="str">
        <f>IFERROR(IF(COUNTIFS('Candidate Tracker'!$E:$E,'Positions Tracker'!$B830,'Candidate Tracker'!$C:$C,"&lt;&gt;WIP",'Candidate Tracker'!$C:$C,"&lt;&gt;Hold",'Candidate Tracker'!$C:$C,"&lt;&gt;Cancelled",'Candidate Tracker'!$C:$C,"&lt;&gt;Closed")/COUNTIFS('Candidate Tracker'!$E:$E,'Positions Tracker'!$B830)=0,"",COUNTIFS('Candidate Tracker'!$E:$E,'Positions Tracker'!$B830,'Candidate Tracker'!$C:$C,"&lt;&gt;WIP",'Candidate Tracker'!$C:$C,"&lt;&gt;Hold",'Candidate Tracker'!$C:$C,"&lt;&gt;Cancelled",'Candidate Tracker'!$C:$C,"&lt;&gt;Closed")/COUNTIFS('Candidate Tracker'!$E:$E,'Positions Tracker'!$B830)),"")</f>
        <v/>
      </c>
      <c r="BD830" s="67" t="str">
        <f t="shared" si="72"/>
        <v/>
      </c>
      <c r="BE830" s="67" t="str">
        <f t="shared" si="73"/>
        <v/>
      </c>
      <c r="BF830" s="67" t="str">
        <f t="shared" si="74"/>
        <v/>
      </c>
      <c r="BG830" s="67" t="str">
        <f t="shared" si="75"/>
        <v/>
      </c>
    </row>
    <row r="831" spans="1:59">
      <c r="A831" s="55"/>
      <c r="B831" s="56"/>
      <c r="C831" s="56"/>
      <c r="D831" s="56"/>
      <c r="E831" s="56"/>
      <c r="F831" s="56"/>
      <c r="G831" s="56"/>
      <c r="H831" s="56"/>
      <c r="I831" s="6"/>
      <c r="J831" s="6"/>
      <c r="K831" s="57"/>
      <c r="L831" s="57"/>
      <c r="M831" s="57"/>
      <c r="N831" s="56"/>
      <c r="O831" s="56"/>
      <c r="P831" s="56"/>
      <c r="Q831" s="56"/>
      <c r="R831" s="56"/>
      <c r="S831" s="56"/>
      <c r="T831" s="56"/>
      <c r="U831" s="56"/>
      <c r="V831" s="56"/>
      <c r="W831" s="56"/>
      <c r="X831" s="56"/>
      <c r="Y831" s="56"/>
      <c r="Z831" s="56"/>
      <c r="AA831" s="56"/>
      <c r="AB831" s="56"/>
      <c r="AC831" s="56"/>
      <c r="AD831" s="56"/>
      <c r="AE831" s="56"/>
      <c r="AF831" s="56"/>
      <c r="AG831" s="56"/>
      <c r="AH831" s="56"/>
      <c r="AI831" s="58"/>
      <c r="AJ831" s="56"/>
      <c r="AK831" s="56"/>
      <c r="AL831" s="56"/>
      <c r="AM831" s="57"/>
      <c r="AN831" s="57"/>
      <c r="AO831" s="56"/>
      <c r="AP831" s="56"/>
      <c r="AQ831" s="57"/>
      <c r="AR831" s="57"/>
      <c r="AS831" s="57"/>
      <c r="AT831" s="67">
        <f t="shared" ca="1" si="76"/>
        <v>0</v>
      </c>
      <c r="AU831" s="79" t="str">
        <f t="shared" ca="1" si="77"/>
        <v/>
      </c>
      <c r="AV831" s="79" t="str" cm="1">
        <f t="array" aca="1" ref="AV831" ca="1">IFERROR(_xlfn.IFS($AU831="","",$AU831&lt;=15,"0-15",AND($AU831&gt;=16,$AU831&lt;=30),"16-30",AND($AU831&gt;=31,$AU831&lt;=45),"31-45",AND($AU831&gt;=46,$AU831&lt;=60),"46-60",AND($AU831&gt;=61,$AU831&lt;=90),"61-90",AND($AU831&gt;=91),"&gt; 90",AND($AU831&gt;=2000),""),"")</f>
        <v/>
      </c>
      <c r="AW831" s="79" t="str" cm="1">
        <f t="array" aca="1" ref="AW831" ca="1">IFERROR(_xlfn.IFS(OR($M831="",$AM831=""),"",OR($C831="Offered",$C831="Joined"),($AM831-$M831)-$AT831),"")</f>
        <v/>
      </c>
      <c r="AX831" s="79" t="str" cm="1">
        <f t="array" aca="1" ref="AX831" ca="1">IFERROR(_xlfn.IFS(OR($M831="",$AS831=""),"",$C831="Joined",($AS831-$M831)-$AT831),"")</f>
        <v/>
      </c>
      <c r="AY831" s="67" t="str">
        <f>IFERROR(IF(COUNTIFS('Candidate Tracker'!$E:$E,'Positions Tracker'!$B831,'Candidate Tracker'!$C:$C,"Offer Drop")=0,"",COUNTIFS('Candidate Tracker'!$E:$E,'Positions Tracker'!$B831,'Candidate Tracker'!$C:$C,"Offer Drop")),"")</f>
        <v/>
      </c>
      <c r="AZ831" s="80">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0.88111888111888115</v>
      </c>
      <c r="BA831" s="81" t="str">
        <f>IFERROR(IF(COUNTIFS('Candidate Tracker'!$E:$E,'Positions Tracker'!$B831,'Candidate Tracker'!$I:$I,"Female")=0,"",COUNTIFS('Candidate Tracker'!$E:$E,'Positions Tracker'!$B831,'Candidate Tracker'!$I:$I,"Female")),"")</f>
        <v/>
      </c>
      <c r="BB831" s="81" t="str">
        <f>IFERROR(IF(COUNTIFS('Candidate Tracker'!$E:$E,'Positions Tracker'!$B831,'Candidate Tracker'!$I:$I,"male")=0,"",COUNTIFS('Candidate Tracker'!$E:$E,'Positions Tracker'!$B831,'Candidate Tracker'!$I:$I,"male")),"")</f>
        <v/>
      </c>
      <c r="BC831" s="80" t="str">
        <f>IFERROR(IF(COUNTIFS('Candidate Tracker'!$E:$E,'Positions Tracker'!$B831,'Candidate Tracker'!$C:$C,"&lt;&gt;WIP",'Candidate Tracker'!$C:$C,"&lt;&gt;Hold",'Candidate Tracker'!$C:$C,"&lt;&gt;Cancelled",'Candidate Tracker'!$C:$C,"&lt;&gt;Closed")/COUNTIFS('Candidate Tracker'!$E:$E,'Positions Tracker'!$B831)=0,"",COUNTIFS('Candidate Tracker'!$E:$E,'Positions Tracker'!$B831,'Candidate Tracker'!$C:$C,"&lt;&gt;WIP",'Candidate Tracker'!$C:$C,"&lt;&gt;Hold",'Candidate Tracker'!$C:$C,"&lt;&gt;Cancelled",'Candidate Tracker'!$C:$C,"&lt;&gt;Closed")/COUNTIFS('Candidate Tracker'!$E:$E,'Positions Tracker'!$B831)),"")</f>
        <v/>
      </c>
      <c r="BD831" s="67" t="str">
        <f t="shared" si="72"/>
        <v/>
      </c>
      <c r="BE831" s="67" t="str">
        <f t="shared" si="73"/>
        <v/>
      </c>
      <c r="BF831" s="67" t="str">
        <f t="shared" si="74"/>
        <v/>
      </c>
      <c r="BG831" s="67" t="str">
        <f t="shared" si="75"/>
        <v/>
      </c>
    </row>
    <row r="832" spans="1:59">
      <c r="A832" s="55"/>
      <c r="B832" s="56"/>
      <c r="C832" s="56"/>
      <c r="D832" s="56"/>
      <c r="E832" s="56"/>
      <c r="F832" s="56"/>
      <c r="G832" s="56"/>
      <c r="H832" s="56"/>
      <c r="I832" s="6"/>
      <c r="J832" s="6"/>
      <c r="K832" s="57"/>
      <c r="L832" s="57"/>
      <c r="M832" s="57"/>
      <c r="N832" s="56"/>
      <c r="O832" s="56"/>
      <c r="P832" s="56"/>
      <c r="Q832" s="56"/>
      <c r="R832" s="56"/>
      <c r="S832" s="56"/>
      <c r="T832" s="56"/>
      <c r="U832" s="56"/>
      <c r="V832" s="56"/>
      <c r="W832" s="56"/>
      <c r="X832" s="56"/>
      <c r="Y832" s="56"/>
      <c r="Z832" s="56"/>
      <c r="AA832" s="56"/>
      <c r="AB832" s="56"/>
      <c r="AC832" s="56"/>
      <c r="AD832" s="56"/>
      <c r="AE832" s="56"/>
      <c r="AF832" s="56"/>
      <c r="AG832" s="56"/>
      <c r="AH832" s="56"/>
      <c r="AI832" s="58"/>
      <c r="AJ832" s="56"/>
      <c r="AK832" s="56"/>
      <c r="AL832" s="56"/>
      <c r="AM832" s="57"/>
      <c r="AN832" s="57"/>
      <c r="AO832" s="56"/>
      <c r="AP832" s="56"/>
      <c r="AQ832" s="57"/>
      <c r="AR832" s="57"/>
      <c r="AS832" s="57"/>
      <c r="AT832" s="67">
        <f t="shared" ca="1" si="76"/>
        <v>0</v>
      </c>
      <c r="AU832" s="79" t="str">
        <f t="shared" ca="1" si="77"/>
        <v/>
      </c>
      <c r="AV832" s="79" t="str" cm="1">
        <f t="array" aca="1" ref="AV832" ca="1">IFERROR(_xlfn.IFS($AU832="","",$AU832&lt;=15,"0-15",AND($AU832&gt;=16,$AU832&lt;=30),"16-30",AND($AU832&gt;=31,$AU832&lt;=45),"31-45",AND($AU832&gt;=46,$AU832&lt;=60),"46-60",AND($AU832&gt;=61,$AU832&lt;=90),"61-90",AND($AU832&gt;=91),"&gt; 90",AND($AU832&gt;=2000),""),"")</f>
        <v/>
      </c>
      <c r="AW832" s="79" t="str" cm="1">
        <f t="array" aca="1" ref="AW832" ca="1">IFERROR(_xlfn.IFS(OR($M832="",$AM832=""),"",OR($C832="Offered",$C832="Joined"),($AM832-$M832)-$AT832),"")</f>
        <v/>
      </c>
      <c r="AX832" s="79" t="str" cm="1">
        <f t="array" aca="1" ref="AX832" ca="1">IFERROR(_xlfn.IFS(OR($M832="",$AS832=""),"",$C832="Joined",($AS832-$M832)-$AT832),"")</f>
        <v/>
      </c>
      <c r="AY832" s="67" t="str">
        <f>IFERROR(IF(COUNTIFS('Candidate Tracker'!$E:$E,'Positions Tracker'!$B832,'Candidate Tracker'!$C:$C,"Offer Drop")=0,"",COUNTIFS('Candidate Tracker'!$E:$E,'Positions Tracker'!$B832,'Candidate Tracker'!$C:$C,"Offer Drop")),"")</f>
        <v/>
      </c>
      <c r="AZ832" s="80">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0.88111888111888115</v>
      </c>
      <c r="BA832" s="81" t="str">
        <f>IFERROR(IF(COUNTIFS('Candidate Tracker'!$E:$E,'Positions Tracker'!$B832,'Candidate Tracker'!$I:$I,"Female")=0,"",COUNTIFS('Candidate Tracker'!$E:$E,'Positions Tracker'!$B832,'Candidate Tracker'!$I:$I,"Female")),"")</f>
        <v/>
      </c>
      <c r="BB832" s="81" t="str">
        <f>IFERROR(IF(COUNTIFS('Candidate Tracker'!$E:$E,'Positions Tracker'!$B832,'Candidate Tracker'!$I:$I,"male")=0,"",COUNTIFS('Candidate Tracker'!$E:$E,'Positions Tracker'!$B832,'Candidate Tracker'!$I:$I,"male")),"")</f>
        <v/>
      </c>
      <c r="BC832" s="80" t="str">
        <f>IFERROR(IF(COUNTIFS('Candidate Tracker'!$E:$E,'Positions Tracker'!$B832,'Candidate Tracker'!$C:$C,"&lt;&gt;WIP",'Candidate Tracker'!$C:$C,"&lt;&gt;Hold",'Candidate Tracker'!$C:$C,"&lt;&gt;Cancelled",'Candidate Tracker'!$C:$C,"&lt;&gt;Closed")/COUNTIFS('Candidate Tracker'!$E:$E,'Positions Tracker'!$B832)=0,"",COUNTIFS('Candidate Tracker'!$E:$E,'Positions Tracker'!$B832,'Candidate Tracker'!$C:$C,"&lt;&gt;WIP",'Candidate Tracker'!$C:$C,"&lt;&gt;Hold",'Candidate Tracker'!$C:$C,"&lt;&gt;Cancelled",'Candidate Tracker'!$C:$C,"&lt;&gt;Closed")/COUNTIFS('Candidate Tracker'!$E:$E,'Positions Tracker'!$B832)),"")</f>
        <v/>
      </c>
      <c r="BD832" s="67" t="str">
        <f t="shared" si="72"/>
        <v/>
      </c>
      <c r="BE832" s="67" t="str">
        <f t="shared" si="73"/>
        <v/>
      </c>
      <c r="BF832" s="67" t="str">
        <f t="shared" si="74"/>
        <v/>
      </c>
      <c r="BG832" s="67" t="str">
        <f t="shared" si="75"/>
        <v/>
      </c>
    </row>
    <row r="833" spans="1:59">
      <c r="A833" s="55"/>
      <c r="B833" s="56"/>
      <c r="C833" s="56"/>
      <c r="D833" s="56"/>
      <c r="E833" s="56"/>
      <c r="F833" s="56"/>
      <c r="G833" s="56"/>
      <c r="H833" s="56"/>
      <c r="I833" s="6"/>
      <c r="J833" s="6"/>
      <c r="K833" s="57"/>
      <c r="L833" s="57"/>
      <c r="M833" s="57"/>
      <c r="N833" s="56"/>
      <c r="O833" s="56"/>
      <c r="P833" s="56"/>
      <c r="Q833" s="56"/>
      <c r="R833" s="56"/>
      <c r="S833" s="56"/>
      <c r="T833" s="56"/>
      <c r="U833" s="56"/>
      <c r="V833" s="56"/>
      <c r="W833" s="56"/>
      <c r="X833" s="56"/>
      <c r="Y833" s="56"/>
      <c r="Z833" s="56"/>
      <c r="AA833" s="56"/>
      <c r="AB833" s="56"/>
      <c r="AC833" s="56"/>
      <c r="AD833" s="56"/>
      <c r="AE833" s="56"/>
      <c r="AF833" s="56"/>
      <c r="AG833" s="56"/>
      <c r="AH833" s="56"/>
      <c r="AI833" s="58"/>
      <c r="AJ833" s="56"/>
      <c r="AK833" s="56"/>
      <c r="AL833" s="56"/>
      <c r="AM833" s="57"/>
      <c r="AN833" s="57"/>
      <c r="AO833" s="56"/>
      <c r="AP833" s="56"/>
      <c r="AQ833" s="57"/>
      <c r="AR833" s="57"/>
      <c r="AS833" s="57"/>
      <c r="AT833" s="67">
        <f t="shared" ca="1" si="76"/>
        <v>0</v>
      </c>
      <c r="AU833" s="79" t="str">
        <f t="shared" ca="1" si="77"/>
        <v/>
      </c>
      <c r="AV833" s="79" t="str" cm="1">
        <f t="array" aca="1" ref="AV833" ca="1">IFERROR(_xlfn.IFS($AU833="","",$AU833&lt;=15,"0-15",AND($AU833&gt;=16,$AU833&lt;=30),"16-30",AND($AU833&gt;=31,$AU833&lt;=45),"31-45",AND($AU833&gt;=46,$AU833&lt;=60),"46-60",AND($AU833&gt;=61,$AU833&lt;=90),"61-90",AND($AU833&gt;=91),"&gt; 90",AND($AU833&gt;=2000),""),"")</f>
        <v/>
      </c>
      <c r="AW833" s="79" t="str" cm="1">
        <f t="array" aca="1" ref="AW833" ca="1">IFERROR(_xlfn.IFS(OR($M833="",$AM833=""),"",OR($C833="Offered",$C833="Joined"),($AM833-$M833)-$AT833),"")</f>
        <v/>
      </c>
      <c r="AX833" s="79" t="str" cm="1">
        <f t="array" aca="1" ref="AX833" ca="1">IFERROR(_xlfn.IFS(OR($M833="",$AS833=""),"",$C833="Joined",($AS833-$M833)-$AT833),"")</f>
        <v/>
      </c>
      <c r="AY833" s="67" t="str">
        <f>IFERROR(IF(COUNTIFS('Candidate Tracker'!$E:$E,'Positions Tracker'!$B833,'Candidate Tracker'!$C:$C,"Offer Drop")=0,"",COUNTIFS('Candidate Tracker'!$E:$E,'Positions Tracker'!$B833,'Candidate Tracker'!$C:$C,"Offer Drop")),"")</f>
        <v/>
      </c>
      <c r="AZ833" s="80">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0.88111888111888115</v>
      </c>
      <c r="BA833" s="81" t="str">
        <f>IFERROR(IF(COUNTIFS('Candidate Tracker'!$E:$E,'Positions Tracker'!$B833,'Candidate Tracker'!$I:$I,"Female")=0,"",COUNTIFS('Candidate Tracker'!$E:$E,'Positions Tracker'!$B833,'Candidate Tracker'!$I:$I,"Female")),"")</f>
        <v/>
      </c>
      <c r="BB833" s="81" t="str">
        <f>IFERROR(IF(COUNTIFS('Candidate Tracker'!$E:$E,'Positions Tracker'!$B833,'Candidate Tracker'!$I:$I,"male")=0,"",COUNTIFS('Candidate Tracker'!$E:$E,'Positions Tracker'!$B833,'Candidate Tracker'!$I:$I,"male")),"")</f>
        <v/>
      </c>
      <c r="BC833" s="80" t="str">
        <f>IFERROR(IF(COUNTIFS('Candidate Tracker'!$E:$E,'Positions Tracker'!$B833,'Candidate Tracker'!$C:$C,"&lt;&gt;WIP",'Candidate Tracker'!$C:$C,"&lt;&gt;Hold",'Candidate Tracker'!$C:$C,"&lt;&gt;Cancelled",'Candidate Tracker'!$C:$C,"&lt;&gt;Closed")/COUNTIFS('Candidate Tracker'!$E:$E,'Positions Tracker'!$B833)=0,"",COUNTIFS('Candidate Tracker'!$E:$E,'Positions Tracker'!$B833,'Candidate Tracker'!$C:$C,"&lt;&gt;WIP",'Candidate Tracker'!$C:$C,"&lt;&gt;Hold",'Candidate Tracker'!$C:$C,"&lt;&gt;Cancelled",'Candidate Tracker'!$C:$C,"&lt;&gt;Closed")/COUNTIFS('Candidate Tracker'!$E:$E,'Positions Tracker'!$B833)),"")</f>
        <v/>
      </c>
      <c r="BD833" s="67" t="str">
        <f t="shared" ref="BD833:BD896" si="78">IFERROR(IF($M833="","",TEXT($M833,"MMM-YY")),"")</f>
        <v/>
      </c>
      <c r="BE833" s="67" t="str">
        <f t="shared" ref="BE833:BE896" si="79">IFERROR(IF($AI833="","",TEXT($AI833,"MMM-YY")),"")</f>
        <v/>
      </c>
      <c r="BF833" s="67" t="str">
        <f t="shared" ref="BF833:BF896" si="80">IFERROR(IF($AM833="","",TEXT($AM833,"MMM-YY")),"")</f>
        <v/>
      </c>
      <c r="BG833" s="67" t="str">
        <f t="shared" ref="BG833:BG896" si="81">IFERROR(IF($AS833="","",TEXT($AS833,"MMM-YY")),"")</f>
        <v/>
      </c>
    </row>
    <row r="834" spans="1:59">
      <c r="A834" s="55"/>
      <c r="B834" s="56"/>
      <c r="C834" s="56"/>
      <c r="D834" s="56"/>
      <c r="E834" s="56"/>
      <c r="F834" s="56"/>
      <c r="G834" s="56"/>
      <c r="H834" s="56"/>
      <c r="I834" s="6"/>
      <c r="J834" s="6"/>
      <c r="K834" s="57"/>
      <c r="L834" s="57"/>
      <c r="M834" s="57"/>
      <c r="N834" s="56"/>
      <c r="O834" s="56"/>
      <c r="P834" s="56"/>
      <c r="Q834" s="56"/>
      <c r="R834" s="56"/>
      <c r="S834" s="56"/>
      <c r="T834" s="56"/>
      <c r="U834" s="56"/>
      <c r="V834" s="56"/>
      <c r="W834" s="56"/>
      <c r="X834" s="56"/>
      <c r="Y834" s="56"/>
      <c r="Z834" s="56"/>
      <c r="AA834" s="56"/>
      <c r="AB834" s="56"/>
      <c r="AC834" s="56"/>
      <c r="AD834" s="56"/>
      <c r="AE834" s="56"/>
      <c r="AF834" s="56"/>
      <c r="AG834" s="56"/>
      <c r="AH834" s="56"/>
      <c r="AI834" s="58"/>
      <c r="AJ834" s="56"/>
      <c r="AK834" s="56"/>
      <c r="AL834" s="56"/>
      <c r="AM834" s="57"/>
      <c r="AN834" s="57"/>
      <c r="AO834" s="56"/>
      <c r="AP834" s="56"/>
      <c r="AQ834" s="57"/>
      <c r="AR834" s="57"/>
      <c r="AS834" s="57"/>
      <c r="AT834" s="67">
        <f t="shared" ref="AT834:AT897" ca="1" si="82">IFERROR(SUM(IF(AND(ISBLANK(T834),ISBLANK(Q834)),0,IF(T834="",TODAY()-Q834,T834-Q834))+IF(AND(ISBLANK(S834),ISBLANK(P834)),0,IF(S834="",TODAY()-P834,S834-P834))+IF(AND(ISBLANK(O834),ISBLANK(R834)),0,IF(R834="",TODAY()-O834,R834-O834))),"")</f>
        <v>0</v>
      </c>
      <c r="AU834" s="79" t="str">
        <f t="shared" ref="AU834:AU897" ca="1" si="83">IFERROR(IF(($M834=""),"",IF(OR(,$C834="Offer in Progress",$C834="WIP",$C834="WIP/Drop",$C834="WIP/New",$C834="WIP/Hold"),(TODAY()-$M834)-$AT834,"")),"")</f>
        <v/>
      </c>
      <c r="AV834" s="79" t="str" cm="1">
        <f t="array" aca="1" ref="AV834" ca="1">IFERROR(_xlfn.IFS($AU834="","",$AU834&lt;=15,"0-15",AND($AU834&gt;=16,$AU834&lt;=30),"16-30",AND($AU834&gt;=31,$AU834&lt;=45),"31-45",AND($AU834&gt;=46,$AU834&lt;=60),"46-60",AND($AU834&gt;=61,$AU834&lt;=90),"61-90",AND($AU834&gt;=91),"&gt; 90",AND($AU834&gt;=2000),""),"")</f>
        <v/>
      </c>
      <c r="AW834" s="79" t="str" cm="1">
        <f t="array" aca="1" ref="AW834" ca="1">IFERROR(_xlfn.IFS(OR($M834="",$AM834=""),"",OR($C834="Offered",$C834="Joined"),($AM834-$M834)-$AT834),"")</f>
        <v/>
      </c>
      <c r="AX834" s="79" t="str" cm="1">
        <f t="array" aca="1" ref="AX834" ca="1">IFERROR(_xlfn.IFS(OR($M834="",$AS834=""),"",$C834="Joined",($AS834-$M834)-$AT834),"")</f>
        <v/>
      </c>
      <c r="AY834" s="67" t="str">
        <f>IFERROR(IF(COUNTIFS('Candidate Tracker'!$E:$E,'Positions Tracker'!$B834,'Candidate Tracker'!$C:$C,"Offer Drop")=0,"",COUNTIFS('Candidate Tracker'!$E:$E,'Positions Tracker'!$B834,'Candidate Tracker'!$C:$C,"Offer Drop")),"")</f>
        <v/>
      </c>
      <c r="AZ834" s="80">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0.88111888111888115</v>
      </c>
      <c r="BA834" s="81" t="str">
        <f>IFERROR(IF(COUNTIFS('Candidate Tracker'!$E:$E,'Positions Tracker'!$B834,'Candidate Tracker'!$I:$I,"Female")=0,"",COUNTIFS('Candidate Tracker'!$E:$E,'Positions Tracker'!$B834,'Candidate Tracker'!$I:$I,"Female")),"")</f>
        <v/>
      </c>
      <c r="BB834" s="81" t="str">
        <f>IFERROR(IF(COUNTIFS('Candidate Tracker'!$E:$E,'Positions Tracker'!$B834,'Candidate Tracker'!$I:$I,"male")=0,"",COUNTIFS('Candidate Tracker'!$E:$E,'Positions Tracker'!$B834,'Candidate Tracker'!$I:$I,"male")),"")</f>
        <v/>
      </c>
      <c r="BC834" s="80" t="str">
        <f>IFERROR(IF(COUNTIFS('Candidate Tracker'!$E:$E,'Positions Tracker'!$B834,'Candidate Tracker'!$C:$C,"&lt;&gt;WIP",'Candidate Tracker'!$C:$C,"&lt;&gt;Hold",'Candidate Tracker'!$C:$C,"&lt;&gt;Cancelled",'Candidate Tracker'!$C:$C,"&lt;&gt;Closed")/COUNTIFS('Candidate Tracker'!$E:$E,'Positions Tracker'!$B834)=0,"",COUNTIFS('Candidate Tracker'!$E:$E,'Positions Tracker'!$B834,'Candidate Tracker'!$C:$C,"&lt;&gt;WIP",'Candidate Tracker'!$C:$C,"&lt;&gt;Hold",'Candidate Tracker'!$C:$C,"&lt;&gt;Cancelled",'Candidate Tracker'!$C:$C,"&lt;&gt;Closed")/COUNTIFS('Candidate Tracker'!$E:$E,'Positions Tracker'!$B834)),"")</f>
        <v/>
      </c>
      <c r="BD834" s="67" t="str">
        <f t="shared" si="78"/>
        <v/>
      </c>
      <c r="BE834" s="67" t="str">
        <f t="shared" si="79"/>
        <v/>
      </c>
      <c r="BF834" s="67" t="str">
        <f t="shared" si="80"/>
        <v/>
      </c>
      <c r="BG834" s="67" t="str">
        <f t="shared" si="81"/>
        <v/>
      </c>
    </row>
    <row r="835" spans="1:59">
      <c r="A835" s="55"/>
      <c r="B835" s="56"/>
      <c r="C835" s="56"/>
      <c r="D835" s="56"/>
      <c r="E835" s="56"/>
      <c r="F835" s="56"/>
      <c r="G835" s="56"/>
      <c r="H835" s="56"/>
      <c r="I835" s="6"/>
      <c r="J835" s="6"/>
      <c r="K835" s="57"/>
      <c r="L835" s="57"/>
      <c r="M835" s="57"/>
      <c r="N835" s="56"/>
      <c r="O835" s="56"/>
      <c r="P835" s="56"/>
      <c r="Q835" s="56"/>
      <c r="R835" s="56"/>
      <c r="S835" s="56"/>
      <c r="T835" s="56"/>
      <c r="U835" s="56"/>
      <c r="V835" s="56"/>
      <c r="W835" s="56"/>
      <c r="X835" s="56"/>
      <c r="Y835" s="56"/>
      <c r="Z835" s="56"/>
      <c r="AA835" s="56"/>
      <c r="AB835" s="56"/>
      <c r="AC835" s="56"/>
      <c r="AD835" s="56"/>
      <c r="AE835" s="56"/>
      <c r="AF835" s="56"/>
      <c r="AG835" s="56"/>
      <c r="AH835" s="56"/>
      <c r="AI835" s="58"/>
      <c r="AJ835" s="56"/>
      <c r="AK835" s="56"/>
      <c r="AL835" s="56"/>
      <c r="AM835" s="57"/>
      <c r="AN835" s="57"/>
      <c r="AO835" s="56"/>
      <c r="AP835" s="56"/>
      <c r="AQ835" s="57"/>
      <c r="AR835" s="57"/>
      <c r="AS835" s="57"/>
      <c r="AT835" s="67">
        <f t="shared" ca="1" si="82"/>
        <v>0</v>
      </c>
      <c r="AU835" s="79" t="str">
        <f t="shared" ca="1" si="83"/>
        <v/>
      </c>
      <c r="AV835" s="79" t="str" cm="1">
        <f t="array" aca="1" ref="AV835" ca="1">IFERROR(_xlfn.IFS($AU835="","",$AU835&lt;=15,"0-15",AND($AU835&gt;=16,$AU835&lt;=30),"16-30",AND($AU835&gt;=31,$AU835&lt;=45),"31-45",AND($AU835&gt;=46,$AU835&lt;=60),"46-60",AND($AU835&gt;=61,$AU835&lt;=90),"61-90",AND($AU835&gt;=91),"&gt; 90",AND($AU835&gt;=2000),""),"")</f>
        <v/>
      </c>
      <c r="AW835" s="79" t="str" cm="1">
        <f t="array" aca="1" ref="AW835" ca="1">IFERROR(_xlfn.IFS(OR($M835="",$AM835=""),"",OR($C835="Offered",$C835="Joined"),($AM835-$M835)-$AT835),"")</f>
        <v/>
      </c>
      <c r="AX835" s="79" t="str" cm="1">
        <f t="array" aca="1" ref="AX835" ca="1">IFERROR(_xlfn.IFS(OR($M835="",$AS835=""),"",$C835="Joined",($AS835-$M835)-$AT835),"")</f>
        <v/>
      </c>
      <c r="AY835" s="67" t="str">
        <f>IFERROR(IF(COUNTIFS('Candidate Tracker'!$E:$E,'Positions Tracker'!$B835,'Candidate Tracker'!$C:$C,"Offer Drop")=0,"",COUNTIFS('Candidate Tracker'!$E:$E,'Positions Tracker'!$B835,'Candidate Tracker'!$C:$C,"Offer Drop")),"")</f>
        <v/>
      </c>
      <c r="AZ835" s="80">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0.88111888111888115</v>
      </c>
      <c r="BA835" s="81" t="str">
        <f>IFERROR(IF(COUNTIFS('Candidate Tracker'!$E:$E,'Positions Tracker'!$B835,'Candidate Tracker'!$I:$I,"Female")=0,"",COUNTIFS('Candidate Tracker'!$E:$E,'Positions Tracker'!$B835,'Candidate Tracker'!$I:$I,"Female")),"")</f>
        <v/>
      </c>
      <c r="BB835" s="81" t="str">
        <f>IFERROR(IF(COUNTIFS('Candidate Tracker'!$E:$E,'Positions Tracker'!$B835,'Candidate Tracker'!$I:$I,"male")=0,"",COUNTIFS('Candidate Tracker'!$E:$E,'Positions Tracker'!$B835,'Candidate Tracker'!$I:$I,"male")),"")</f>
        <v/>
      </c>
      <c r="BC835" s="80" t="str">
        <f>IFERROR(IF(COUNTIFS('Candidate Tracker'!$E:$E,'Positions Tracker'!$B835,'Candidate Tracker'!$C:$C,"&lt;&gt;WIP",'Candidate Tracker'!$C:$C,"&lt;&gt;Hold",'Candidate Tracker'!$C:$C,"&lt;&gt;Cancelled",'Candidate Tracker'!$C:$C,"&lt;&gt;Closed")/COUNTIFS('Candidate Tracker'!$E:$E,'Positions Tracker'!$B835)=0,"",COUNTIFS('Candidate Tracker'!$E:$E,'Positions Tracker'!$B835,'Candidate Tracker'!$C:$C,"&lt;&gt;WIP",'Candidate Tracker'!$C:$C,"&lt;&gt;Hold",'Candidate Tracker'!$C:$C,"&lt;&gt;Cancelled",'Candidate Tracker'!$C:$C,"&lt;&gt;Closed")/COUNTIFS('Candidate Tracker'!$E:$E,'Positions Tracker'!$B835)),"")</f>
        <v/>
      </c>
      <c r="BD835" s="67" t="str">
        <f t="shared" si="78"/>
        <v/>
      </c>
      <c r="BE835" s="67" t="str">
        <f t="shared" si="79"/>
        <v/>
      </c>
      <c r="BF835" s="67" t="str">
        <f t="shared" si="80"/>
        <v/>
      </c>
      <c r="BG835" s="67" t="str">
        <f t="shared" si="81"/>
        <v/>
      </c>
    </row>
    <row r="836" spans="1:59">
      <c r="A836" s="55"/>
      <c r="B836" s="56"/>
      <c r="C836" s="56"/>
      <c r="D836" s="56"/>
      <c r="E836" s="56"/>
      <c r="F836" s="56"/>
      <c r="G836" s="56"/>
      <c r="H836" s="56"/>
      <c r="I836" s="6"/>
      <c r="J836" s="6"/>
      <c r="K836" s="57"/>
      <c r="L836" s="57"/>
      <c r="M836" s="57"/>
      <c r="N836" s="56"/>
      <c r="O836" s="56"/>
      <c r="P836" s="56"/>
      <c r="Q836" s="56"/>
      <c r="R836" s="56"/>
      <c r="S836" s="56"/>
      <c r="T836" s="56"/>
      <c r="U836" s="56"/>
      <c r="V836" s="56"/>
      <c r="W836" s="56"/>
      <c r="X836" s="56"/>
      <c r="Y836" s="56"/>
      <c r="Z836" s="56"/>
      <c r="AA836" s="56"/>
      <c r="AB836" s="56"/>
      <c r="AC836" s="56"/>
      <c r="AD836" s="56"/>
      <c r="AE836" s="56"/>
      <c r="AF836" s="56"/>
      <c r="AG836" s="56"/>
      <c r="AH836" s="56"/>
      <c r="AI836" s="58"/>
      <c r="AJ836" s="56"/>
      <c r="AK836" s="56"/>
      <c r="AL836" s="56"/>
      <c r="AM836" s="57"/>
      <c r="AN836" s="57"/>
      <c r="AO836" s="56"/>
      <c r="AP836" s="56"/>
      <c r="AQ836" s="57"/>
      <c r="AR836" s="57"/>
      <c r="AS836" s="57"/>
      <c r="AT836" s="67">
        <f t="shared" ca="1" si="82"/>
        <v>0</v>
      </c>
      <c r="AU836" s="79" t="str">
        <f t="shared" ca="1" si="83"/>
        <v/>
      </c>
      <c r="AV836" s="79" t="str" cm="1">
        <f t="array" aca="1" ref="AV836" ca="1">IFERROR(_xlfn.IFS($AU836="","",$AU836&lt;=15,"0-15",AND($AU836&gt;=16,$AU836&lt;=30),"16-30",AND($AU836&gt;=31,$AU836&lt;=45),"31-45",AND($AU836&gt;=46,$AU836&lt;=60),"46-60",AND($AU836&gt;=61,$AU836&lt;=90),"61-90",AND($AU836&gt;=91),"&gt; 90",AND($AU836&gt;=2000),""),"")</f>
        <v/>
      </c>
      <c r="AW836" s="79" t="str" cm="1">
        <f t="array" aca="1" ref="AW836" ca="1">IFERROR(_xlfn.IFS(OR($M836="",$AM836=""),"",OR($C836="Offered",$C836="Joined"),($AM836-$M836)-$AT836),"")</f>
        <v/>
      </c>
      <c r="AX836" s="79" t="str" cm="1">
        <f t="array" aca="1" ref="AX836" ca="1">IFERROR(_xlfn.IFS(OR($M836="",$AS836=""),"",$C836="Joined",($AS836-$M836)-$AT836),"")</f>
        <v/>
      </c>
      <c r="AY836" s="67" t="str">
        <f>IFERROR(IF(COUNTIFS('Candidate Tracker'!$E:$E,'Positions Tracker'!$B836,'Candidate Tracker'!$C:$C,"Offer Drop")=0,"",COUNTIFS('Candidate Tracker'!$E:$E,'Positions Tracker'!$B836,'Candidate Tracker'!$C:$C,"Offer Drop")),"")</f>
        <v/>
      </c>
      <c r="AZ836" s="80">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0.88111888111888115</v>
      </c>
      <c r="BA836" s="81" t="str">
        <f>IFERROR(IF(COUNTIFS('Candidate Tracker'!$E:$E,'Positions Tracker'!$B836,'Candidate Tracker'!$I:$I,"Female")=0,"",COUNTIFS('Candidate Tracker'!$E:$E,'Positions Tracker'!$B836,'Candidate Tracker'!$I:$I,"Female")),"")</f>
        <v/>
      </c>
      <c r="BB836" s="81" t="str">
        <f>IFERROR(IF(COUNTIFS('Candidate Tracker'!$E:$E,'Positions Tracker'!$B836,'Candidate Tracker'!$I:$I,"male")=0,"",COUNTIFS('Candidate Tracker'!$E:$E,'Positions Tracker'!$B836,'Candidate Tracker'!$I:$I,"male")),"")</f>
        <v/>
      </c>
      <c r="BC836" s="80" t="str">
        <f>IFERROR(IF(COUNTIFS('Candidate Tracker'!$E:$E,'Positions Tracker'!$B836,'Candidate Tracker'!$C:$C,"&lt;&gt;WIP",'Candidate Tracker'!$C:$C,"&lt;&gt;Hold",'Candidate Tracker'!$C:$C,"&lt;&gt;Cancelled",'Candidate Tracker'!$C:$C,"&lt;&gt;Closed")/COUNTIFS('Candidate Tracker'!$E:$E,'Positions Tracker'!$B836)=0,"",COUNTIFS('Candidate Tracker'!$E:$E,'Positions Tracker'!$B836,'Candidate Tracker'!$C:$C,"&lt;&gt;WIP",'Candidate Tracker'!$C:$C,"&lt;&gt;Hold",'Candidate Tracker'!$C:$C,"&lt;&gt;Cancelled",'Candidate Tracker'!$C:$C,"&lt;&gt;Closed")/COUNTIFS('Candidate Tracker'!$E:$E,'Positions Tracker'!$B836)),"")</f>
        <v/>
      </c>
      <c r="BD836" s="67" t="str">
        <f t="shared" si="78"/>
        <v/>
      </c>
      <c r="BE836" s="67" t="str">
        <f t="shared" si="79"/>
        <v/>
      </c>
      <c r="BF836" s="67" t="str">
        <f t="shared" si="80"/>
        <v/>
      </c>
      <c r="BG836" s="67" t="str">
        <f t="shared" si="81"/>
        <v/>
      </c>
    </row>
    <row r="837" spans="1:59">
      <c r="A837" s="55"/>
      <c r="B837" s="56"/>
      <c r="C837" s="56"/>
      <c r="D837" s="56"/>
      <c r="E837" s="56"/>
      <c r="F837" s="56"/>
      <c r="G837" s="56"/>
      <c r="H837" s="56"/>
      <c r="I837" s="6"/>
      <c r="J837" s="6"/>
      <c r="K837" s="57"/>
      <c r="L837" s="57"/>
      <c r="M837" s="57"/>
      <c r="N837" s="56"/>
      <c r="O837" s="56"/>
      <c r="P837" s="56"/>
      <c r="Q837" s="56"/>
      <c r="R837" s="56"/>
      <c r="S837" s="56"/>
      <c r="T837" s="56"/>
      <c r="U837" s="56"/>
      <c r="V837" s="56"/>
      <c r="W837" s="56"/>
      <c r="X837" s="56"/>
      <c r="Y837" s="56"/>
      <c r="Z837" s="56"/>
      <c r="AA837" s="56"/>
      <c r="AB837" s="56"/>
      <c r="AC837" s="56"/>
      <c r="AD837" s="56"/>
      <c r="AE837" s="56"/>
      <c r="AF837" s="56"/>
      <c r="AG837" s="56"/>
      <c r="AH837" s="56"/>
      <c r="AI837" s="58"/>
      <c r="AJ837" s="56"/>
      <c r="AK837" s="56"/>
      <c r="AL837" s="56"/>
      <c r="AM837" s="57"/>
      <c r="AN837" s="57"/>
      <c r="AO837" s="56"/>
      <c r="AP837" s="56"/>
      <c r="AQ837" s="57"/>
      <c r="AR837" s="57"/>
      <c r="AS837" s="57"/>
      <c r="AT837" s="67">
        <f t="shared" ca="1" si="82"/>
        <v>0</v>
      </c>
      <c r="AU837" s="79" t="str">
        <f t="shared" ca="1" si="83"/>
        <v/>
      </c>
      <c r="AV837" s="79" t="str" cm="1">
        <f t="array" aca="1" ref="AV837" ca="1">IFERROR(_xlfn.IFS($AU837="","",$AU837&lt;=15,"0-15",AND($AU837&gt;=16,$AU837&lt;=30),"16-30",AND($AU837&gt;=31,$AU837&lt;=45),"31-45",AND($AU837&gt;=46,$AU837&lt;=60),"46-60",AND($AU837&gt;=61,$AU837&lt;=90),"61-90",AND($AU837&gt;=91),"&gt; 90",AND($AU837&gt;=2000),""),"")</f>
        <v/>
      </c>
      <c r="AW837" s="79" t="str" cm="1">
        <f t="array" aca="1" ref="AW837" ca="1">IFERROR(_xlfn.IFS(OR($M837="",$AM837=""),"",OR($C837="Offered",$C837="Joined"),($AM837-$M837)-$AT837),"")</f>
        <v/>
      </c>
      <c r="AX837" s="79" t="str" cm="1">
        <f t="array" aca="1" ref="AX837" ca="1">IFERROR(_xlfn.IFS(OR($M837="",$AS837=""),"",$C837="Joined",($AS837-$M837)-$AT837),"")</f>
        <v/>
      </c>
      <c r="AY837" s="67" t="str">
        <f>IFERROR(IF(COUNTIFS('Candidate Tracker'!$E:$E,'Positions Tracker'!$B837,'Candidate Tracker'!$C:$C,"Offer Drop")=0,"",COUNTIFS('Candidate Tracker'!$E:$E,'Positions Tracker'!$B837,'Candidate Tracker'!$C:$C,"Offer Drop")),"")</f>
        <v/>
      </c>
      <c r="AZ837" s="80">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0.88111888111888115</v>
      </c>
      <c r="BA837" s="81" t="str">
        <f>IFERROR(IF(COUNTIFS('Candidate Tracker'!$E:$E,'Positions Tracker'!$B837,'Candidate Tracker'!$I:$I,"Female")=0,"",COUNTIFS('Candidate Tracker'!$E:$E,'Positions Tracker'!$B837,'Candidate Tracker'!$I:$I,"Female")),"")</f>
        <v/>
      </c>
      <c r="BB837" s="81" t="str">
        <f>IFERROR(IF(COUNTIFS('Candidate Tracker'!$E:$E,'Positions Tracker'!$B837,'Candidate Tracker'!$I:$I,"male")=0,"",COUNTIFS('Candidate Tracker'!$E:$E,'Positions Tracker'!$B837,'Candidate Tracker'!$I:$I,"male")),"")</f>
        <v/>
      </c>
      <c r="BC837" s="80" t="str">
        <f>IFERROR(IF(COUNTIFS('Candidate Tracker'!$E:$E,'Positions Tracker'!$B837,'Candidate Tracker'!$C:$C,"&lt;&gt;WIP",'Candidate Tracker'!$C:$C,"&lt;&gt;Hold",'Candidate Tracker'!$C:$C,"&lt;&gt;Cancelled",'Candidate Tracker'!$C:$C,"&lt;&gt;Closed")/COUNTIFS('Candidate Tracker'!$E:$E,'Positions Tracker'!$B837)=0,"",COUNTIFS('Candidate Tracker'!$E:$E,'Positions Tracker'!$B837,'Candidate Tracker'!$C:$C,"&lt;&gt;WIP",'Candidate Tracker'!$C:$C,"&lt;&gt;Hold",'Candidate Tracker'!$C:$C,"&lt;&gt;Cancelled",'Candidate Tracker'!$C:$C,"&lt;&gt;Closed")/COUNTIFS('Candidate Tracker'!$E:$E,'Positions Tracker'!$B837)),"")</f>
        <v/>
      </c>
      <c r="BD837" s="67" t="str">
        <f t="shared" si="78"/>
        <v/>
      </c>
      <c r="BE837" s="67" t="str">
        <f t="shared" si="79"/>
        <v/>
      </c>
      <c r="BF837" s="67" t="str">
        <f t="shared" si="80"/>
        <v/>
      </c>
      <c r="BG837" s="67" t="str">
        <f t="shared" si="81"/>
        <v/>
      </c>
    </row>
    <row r="838" spans="1:59">
      <c r="A838" s="55"/>
      <c r="B838" s="56"/>
      <c r="C838" s="56"/>
      <c r="D838" s="56"/>
      <c r="E838" s="56"/>
      <c r="F838" s="56"/>
      <c r="G838" s="56"/>
      <c r="H838" s="56"/>
      <c r="I838" s="6"/>
      <c r="J838" s="6"/>
      <c r="K838" s="57"/>
      <c r="L838" s="57"/>
      <c r="M838" s="57"/>
      <c r="N838" s="56"/>
      <c r="O838" s="56"/>
      <c r="P838" s="56"/>
      <c r="Q838" s="56"/>
      <c r="R838" s="56"/>
      <c r="S838" s="56"/>
      <c r="T838" s="56"/>
      <c r="U838" s="56"/>
      <c r="V838" s="56"/>
      <c r="W838" s="56"/>
      <c r="X838" s="56"/>
      <c r="Y838" s="56"/>
      <c r="Z838" s="56"/>
      <c r="AA838" s="56"/>
      <c r="AB838" s="56"/>
      <c r="AC838" s="56"/>
      <c r="AD838" s="56"/>
      <c r="AE838" s="56"/>
      <c r="AF838" s="56"/>
      <c r="AG838" s="56"/>
      <c r="AH838" s="56"/>
      <c r="AI838" s="58"/>
      <c r="AJ838" s="56"/>
      <c r="AK838" s="56"/>
      <c r="AL838" s="56"/>
      <c r="AM838" s="57"/>
      <c r="AN838" s="57"/>
      <c r="AO838" s="56"/>
      <c r="AP838" s="56"/>
      <c r="AQ838" s="57"/>
      <c r="AR838" s="57"/>
      <c r="AS838" s="57"/>
      <c r="AT838" s="67">
        <f t="shared" ca="1" si="82"/>
        <v>0</v>
      </c>
      <c r="AU838" s="79" t="str">
        <f t="shared" ca="1" si="83"/>
        <v/>
      </c>
      <c r="AV838" s="79" t="str" cm="1">
        <f t="array" aca="1" ref="AV838" ca="1">IFERROR(_xlfn.IFS($AU838="","",$AU838&lt;=15,"0-15",AND($AU838&gt;=16,$AU838&lt;=30),"16-30",AND($AU838&gt;=31,$AU838&lt;=45),"31-45",AND($AU838&gt;=46,$AU838&lt;=60),"46-60",AND($AU838&gt;=61,$AU838&lt;=90),"61-90",AND($AU838&gt;=91),"&gt; 90",AND($AU838&gt;=2000),""),"")</f>
        <v/>
      </c>
      <c r="AW838" s="79" t="str" cm="1">
        <f t="array" aca="1" ref="AW838" ca="1">IFERROR(_xlfn.IFS(OR($M838="",$AM838=""),"",OR($C838="Offered",$C838="Joined"),($AM838-$M838)-$AT838),"")</f>
        <v/>
      </c>
      <c r="AX838" s="79" t="str" cm="1">
        <f t="array" aca="1" ref="AX838" ca="1">IFERROR(_xlfn.IFS(OR($M838="",$AS838=""),"",$C838="Joined",($AS838-$M838)-$AT838),"")</f>
        <v/>
      </c>
      <c r="AY838" s="67" t="str">
        <f>IFERROR(IF(COUNTIFS('Candidate Tracker'!$E:$E,'Positions Tracker'!$B838,'Candidate Tracker'!$C:$C,"Offer Drop")=0,"",COUNTIFS('Candidate Tracker'!$E:$E,'Positions Tracker'!$B838,'Candidate Tracker'!$C:$C,"Offer Drop")),"")</f>
        <v/>
      </c>
      <c r="AZ838" s="80">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0.88111888111888115</v>
      </c>
      <c r="BA838" s="81" t="str">
        <f>IFERROR(IF(COUNTIFS('Candidate Tracker'!$E:$E,'Positions Tracker'!$B838,'Candidate Tracker'!$I:$I,"Female")=0,"",COUNTIFS('Candidate Tracker'!$E:$E,'Positions Tracker'!$B838,'Candidate Tracker'!$I:$I,"Female")),"")</f>
        <v/>
      </c>
      <c r="BB838" s="81" t="str">
        <f>IFERROR(IF(COUNTIFS('Candidate Tracker'!$E:$E,'Positions Tracker'!$B838,'Candidate Tracker'!$I:$I,"male")=0,"",COUNTIFS('Candidate Tracker'!$E:$E,'Positions Tracker'!$B838,'Candidate Tracker'!$I:$I,"male")),"")</f>
        <v/>
      </c>
      <c r="BC838" s="80" t="str">
        <f>IFERROR(IF(COUNTIFS('Candidate Tracker'!$E:$E,'Positions Tracker'!$B838,'Candidate Tracker'!$C:$C,"&lt;&gt;WIP",'Candidate Tracker'!$C:$C,"&lt;&gt;Hold",'Candidate Tracker'!$C:$C,"&lt;&gt;Cancelled",'Candidate Tracker'!$C:$C,"&lt;&gt;Closed")/COUNTIFS('Candidate Tracker'!$E:$E,'Positions Tracker'!$B838)=0,"",COUNTIFS('Candidate Tracker'!$E:$E,'Positions Tracker'!$B838,'Candidate Tracker'!$C:$C,"&lt;&gt;WIP",'Candidate Tracker'!$C:$C,"&lt;&gt;Hold",'Candidate Tracker'!$C:$C,"&lt;&gt;Cancelled",'Candidate Tracker'!$C:$C,"&lt;&gt;Closed")/COUNTIFS('Candidate Tracker'!$E:$E,'Positions Tracker'!$B838)),"")</f>
        <v/>
      </c>
      <c r="BD838" s="67" t="str">
        <f t="shared" si="78"/>
        <v/>
      </c>
      <c r="BE838" s="67" t="str">
        <f t="shared" si="79"/>
        <v/>
      </c>
      <c r="BF838" s="67" t="str">
        <f t="shared" si="80"/>
        <v/>
      </c>
      <c r="BG838" s="67" t="str">
        <f t="shared" si="81"/>
        <v/>
      </c>
    </row>
    <row r="839" spans="1:59">
      <c r="A839" s="55"/>
      <c r="B839" s="56"/>
      <c r="C839" s="56"/>
      <c r="D839" s="56"/>
      <c r="E839" s="56"/>
      <c r="F839" s="56"/>
      <c r="G839" s="56"/>
      <c r="H839" s="56"/>
      <c r="I839" s="6"/>
      <c r="J839" s="6"/>
      <c r="K839" s="57"/>
      <c r="L839" s="57"/>
      <c r="M839" s="57"/>
      <c r="N839" s="56"/>
      <c r="O839" s="56"/>
      <c r="P839" s="56"/>
      <c r="Q839" s="56"/>
      <c r="R839" s="56"/>
      <c r="S839" s="56"/>
      <c r="T839" s="56"/>
      <c r="U839" s="56"/>
      <c r="V839" s="56"/>
      <c r="W839" s="56"/>
      <c r="X839" s="56"/>
      <c r="Y839" s="56"/>
      <c r="Z839" s="56"/>
      <c r="AA839" s="56"/>
      <c r="AB839" s="56"/>
      <c r="AC839" s="56"/>
      <c r="AD839" s="56"/>
      <c r="AE839" s="56"/>
      <c r="AF839" s="56"/>
      <c r="AG839" s="56"/>
      <c r="AH839" s="56"/>
      <c r="AI839" s="58"/>
      <c r="AJ839" s="56"/>
      <c r="AK839" s="56"/>
      <c r="AL839" s="56"/>
      <c r="AM839" s="57"/>
      <c r="AN839" s="57"/>
      <c r="AO839" s="56"/>
      <c r="AP839" s="56"/>
      <c r="AQ839" s="57"/>
      <c r="AR839" s="57"/>
      <c r="AS839" s="57"/>
      <c r="AT839" s="67">
        <f t="shared" ca="1" si="82"/>
        <v>0</v>
      </c>
      <c r="AU839" s="79" t="str">
        <f t="shared" ca="1" si="83"/>
        <v/>
      </c>
      <c r="AV839" s="79" t="str" cm="1">
        <f t="array" aca="1" ref="AV839" ca="1">IFERROR(_xlfn.IFS($AU839="","",$AU839&lt;=15,"0-15",AND($AU839&gt;=16,$AU839&lt;=30),"16-30",AND($AU839&gt;=31,$AU839&lt;=45),"31-45",AND($AU839&gt;=46,$AU839&lt;=60),"46-60",AND($AU839&gt;=61,$AU839&lt;=90),"61-90",AND($AU839&gt;=91),"&gt; 90",AND($AU839&gt;=2000),""),"")</f>
        <v/>
      </c>
      <c r="AW839" s="79" t="str" cm="1">
        <f t="array" aca="1" ref="AW839" ca="1">IFERROR(_xlfn.IFS(OR($M839="",$AM839=""),"",OR($C839="Offered",$C839="Joined"),($AM839-$M839)-$AT839),"")</f>
        <v/>
      </c>
      <c r="AX839" s="79" t="str" cm="1">
        <f t="array" aca="1" ref="AX839" ca="1">IFERROR(_xlfn.IFS(OR($M839="",$AS839=""),"",$C839="Joined",($AS839-$M839)-$AT839),"")</f>
        <v/>
      </c>
      <c r="AY839" s="67" t="str">
        <f>IFERROR(IF(COUNTIFS('Candidate Tracker'!$E:$E,'Positions Tracker'!$B839,'Candidate Tracker'!$C:$C,"Offer Drop")=0,"",COUNTIFS('Candidate Tracker'!$E:$E,'Positions Tracker'!$B839,'Candidate Tracker'!$C:$C,"Offer Drop")),"")</f>
        <v/>
      </c>
      <c r="AZ839" s="80">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0.88111888111888115</v>
      </c>
      <c r="BA839" s="81" t="str">
        <f>IFERROR(IF(COUNTIFS('Candidate Tracker'!$E:$E,'Positions Tracker'!$B839,'Candidate Tracker'!$I:$I,"Female")=0,"",COUNTIFS('Candidate Tracker'!$E:$E,'Positions Tracker'!$B839,'Candidate Tracker'!$I:$I,"Female")),"")</f>
        <v/>
      </c>
      <c r="BB839" s="81" t="str">
        <f>IFERROR(IF(COUNTIFS('Candidate Tracker'!$E:$E,'Positions Tracker'!$B839,'Candidate Tracker'!$I:$I,"male")=0,"",COUNTIFS('Candidate Tracker'!$E:$E,'Positions Tracker'!$B839,'Candidate Tracker'!$I:$I,"male")),"")</f>
        <v/>
      </c>
      <c r="BC839" s="80" t="str">
        <f>IFERROR(IF(COUNTIFS('Candidate Tracker'!$E:$E,'Positions Tracker'!$B839,'Candidate Tracker'!$C:$C,"&lt;&gt;WIP",'Candidate Tracker'!$C:$C,"&lt;&gt;Hold",'Candidate Tracker'!$C:$C,"&lt;&gt;Cancelled",'Candidate Tracker'!$C:$C,"&lt;&gt;Closed")/COUNTIFS('Candidate Tracker'!$E:$E,'Positions Tracker'!$B839)=0,"",COUNTIFS('Candidate Tracker'!$E:$E,'Positions Tracker'!$B839,'Candidate Tracker'!$C:$C,"&lt;&gt;WIP",'Candidate Tracker'!$C:$C,"&lt;&gt;Hold",'Candidate Tracker'!$C:$C,"&lt;&gt;Cancelled",'Candidate Tracker'!$C:$C,"&lt;&gt;Closed")/COUNTIFS('Candidate Tracker'!$E:$E,'Positions Tracker'!$B839)),"")</f>
        <v/>
      </c>
      <c r="BD839" s="67" t="str">
        <f t="shared" si="78"/>
        <v/>
      </c>
      <c r="BE839" s="67" t="str">
        <f t="shared" si="79"/>
        <v/>
      </c>
      <c r="BF839" s="67" t="str">
        <f t="shared" si="80"/>
        <v/>
      </c>
      <c r="BG839" s="67" t="str">
        <f t="shared" si="81"/>
        <v/>
      </c>
    </row>
    <row r="840" spans="1:59">
      <c r="A840" s="55"/>
      <c r="B840" s="56"/>
      <c r="C840" s="56"/>
      <c r="D840" s="56"/>
      <c r="E840" s="56"/>
      <c r="F840" s="56"/>
      <c r="G840" s="56"/>
      <c r="H840" s="56"/>
      <c r="I840" s="6"/>
      <c r="J840" s="6"/>
      <c r="K840" s="57"/>
      <c r="L840" s="57"/>
      <c r="M840" s="57"/>
      <c r="N840" s="56"/>
      <c r="O840" s="56"/>
      <c r="P840" s="56"/>
      <c r="Q840" s="56"/>
      <c r="R840" s="56"/>
      <c r="S840" s="56"/>
      <c r="T840" s="56"/>
      <c r="U840" s="56"/>
      <c r="V840" s="56"/>
      <c r="W840" s="56"/>
      <c r="X840" s="56"/>
      <c r="Y840" s="56"/>
      <c r="Z840" s="56"/>
      <c r="AA840" s="56"/>
      <c r="AB840" s="56"/>
      <c r="AC840" s="56"/>
      <c r="AD840" s="56"/>
      <c r="AE840" s="56"/>
      <c r="AF840" s="56"/>
      <c r="AG840" s="56"/>
      <c r="AH840" s="56"/>
      <c r="AI840" s="58"/>
      <c r="AJ840" s="56"/>
      <c r="AK840" s="56"/>
      <c r="AL840" s="56"/>
      <c r="AM840" s="57"/>
      <c r="AN840" s="57"/>
      <c r="AO840" s="56"/>
      <c r="AP840" s="56"/>
      <c r="AQ840" s="57"/>
      <c r="AR840" s="57"/>
      <c r="AS840" s="57"/>
      <c r="AT840" s="67">
        <f t="shared" ca="1" si="82"/>
        <v>0</v>
      </c>
      <c r="AU840" s="79" t="str">
        <f t="shared" ca="1" si="83"/>
        <v/>
      </c>
      <c r="AV840" s="79" t="str" cm="1">
        <f t="array" aca="1" ref="AV840" ca="1">IFERROR(_xlfn.IFS($AU840="","",$AU840&lt;=15,"0-15",AND($AU840&gt;=16,$AU840&lt;=30),"16-30",AND($AU840&gt;=31,$AU840&lt;=45),"31-45",AND($AU840&gt;=46,$AU840&lt;=60),"46-60",AND($AU840&gt;=61,$AU840&lt;=90),"61-90",AND($AU840&gt;=91),"&gt; 90",AND($AU840&gt;=2000),""),"")</f>
        <v/>
      </c>
      <c r="AW840" s="79" t="str" cm="1">
        <f t="array" aca="1" ref="AW840" ca="1">IFERROR(_xlfn.IFS(OR($M840="",$AM840=""),"",OR($C840="Offered",$C840="Joined"),($AM840-$M840)-$AT840),"")</f>
        <v/>
      </c>
      <c r="AX840" s="79" t="str" cm="1">
        <f t="array" aca="1" ref="AX840" ca="1">IFERROR(_xlfn.IFS(OR($M840="",$AS840=""),"",$C840="Joined",($AS840-$M840)-$AT840),"")</f>
        <v/>
      </c>
      <c r="AY840" s="67" t="str">
        <f>IFERROR(IF(COUNTIFS('Candidate Tracker'!$E:$E,'Positions Tracker'!$B840,'Candidate Tracker'!$C:$C,"Offer Drop")=0,"",COUNTIFS('Candidate Tracker'!$E:$E,'Positions Tracker'!$B840,'Candidate Tracker'!$C:$C,"Offer Drop")),"")</f>
        <v/>
      </c>
      <c r="AZ840" s="80">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0.88111888111888115</v>
      </c>
      <c r="BA840" s="81" t="str">
        <f>IFERROR(IF(COUNTIFS('Candidate Tracker'!$E:$E,'Positions Tracker'!$B840,'Candidate Tracker'!$I:$I,"Female")=0,"",COUNTIFS('Candidate Tracker'!$E:$E,'Positions Tracker'!$B840,'Candidate Tracker'!$I:$I,"Female")),"")</f>
        <v/>
      </c>
      <c r="BB840" s="81" t="str">
        <f>IFERROR(IF(COUNTIFS('Candidate Tracker'!$E:$E,'Positions Tracker'!$B840,'Candidate Tracker'!$I:$I,"male")=0,"",COUNTIFS('Candidate Tracker'!$E:$E,'Positions Tracker'!$B840,'Candidate Tracker'!$I:$I,"male")),"")</f>
        <v/>
      </c>
      <c r="BC840" s="80" t="str">
        <f>IFERROR(IF(COUNTIFS('Candidate Tracker'!$E:$E,'Positions Tracker'!$B840,'Candidate Tracker'!$C:$C,"&lt;&gt;WIP",'Candidate Tracker'!$C:$C,"&lt;&gt;Hold",'Candidate Tracker'!$C:$C,"&lt;&gt;Cancelled",'Candidate Tracker'!$C:$C,"&lt;&gt;Closed")/COUNTIFS('Candidate Tracker'!$E:$E,'Positions Tracker'!$B840)=0,"",COUNTIFS('Candidate Tracker'!$E:$E,'Positions Tracker'!$B840,'Candidate Tracker'!$C:$C,"&lt;&gt;WIP",'Candidate Tracker'!$C:$C,"&lt;&gt;Hold",'Candidate Tracker'!$C:$C,"&lt;&gt;Cancelled",'Candidate Tracker'!$C:$C,"&lt;&gt;Closed")/COUNTIFS('Candidate Tracker'!$E:$E,'Positions Tracker'!$B840)),"")</f>
        <v/>
      </c>
      <c r="BD840" s="67" t="str">
        <f t="shared" si="78"/>
        <v/>
      </c>
      <c r="BE840" s="67" t="str">
        <f t="shared" si="79"/>
        <v/>
      </c>
      <c r="BF840" s="67" t="str">
        <f t="shared" si="80"/>
        <v/>
      </c>
      <c r="BG840" s="67" t="str">
        <f t="shared" si="81"/>
        <v/>
      </c>
    </row>
    <row r="841" spans="1:59">
      <c r="A841" s="55"/>
      <c r="B841" s="56"/>
      <c r="C841" s="56"/>
      <c r="D841" s="56"/>
      <c r="E841" s="56"/>
      <c r="F841" s="56"/>
      <c r="G841" s="56"/>
      <c r="H841" s="56"/>
      <c r="I841" s="6"/>
      <c r="J841" s="6"/>
      <c r="K841" s="57"/>
      <c r="L841" s="57"/>
      <c r="M841" s="57"/>
      <c r="N841" s="56"/>
      <c r="O841" s="56"/>
      <c r="P841" s="56"/>
      <c r="Q841" s="56"/>
      <c r="R841" s="56"/>
      <c r="S841" s="56"/>
      <c r="T841" s="56"/>
      <c r="U841" s="56"/>
      <c r="V841" s="56"/>
      <c r="W841" s="56"/>
      <c r="X841" s="56"/>
      <c r="Y841" s="56"/>
      <c r="Z841" s="56"/>
      <c r="AA841" s="56"/>
      <c r="AB841" s="56"/>
      <c r="AC841" s="56"/>
      <c r="AD841" s="56"/>
      <c r="AE841" s="56"/>
      <c r="AF841" s="56"/>
      <c r="AG841" s="56"/>
      <c r="AH841" s="56"/>
      <c r="AI841" s="58"/>
      <c r="AJ841" s="56"/>
      <c r="AK841" s="56"/>
      <c r="AL841" s="56"/>
      <c r="AM841" s="57"/>
      <c r="AN841" s="57"/>
      <c r="AO841" s="56"/>
      <c r="AP841" s="56"/>
      <c r="AQ841" s="57"/>
      <c r="AR841" s="57"/>
      <c r="AS841" s="57"/>
      <c r="AT841" s="67">
        <f t="shared" ca="1" si="82"/>
        <v>0</v>
      </c>
      <c r="AU841" s="79" t="str">
        <f t="shared" ca="1" si="83"/>
        <v/>
      </c>
      <c r="AV841" s="79" t="str" cm="1">
        <f t="array" aca="1" ref="AV841" ca="1">IFERROR(_xlfn.IFS($AU841="","",$AU841&lt;=15,"0-15",AND($AU841&gt;=16,$AU841&lt;=30),"16-30",AND($AU841&gt;=31,$AU841&lt;=45),"31-45",AND($AU841&gt;=46,$AU841&lt;=60),"46-60",AND($AU841&gt;=61,$AU841&lt;=90),"61-90",AND($AU841&gt;=91),"&gt; 90",AND($AU841&gt;=2000),""),"")</f>
        <v/>
      </c>
      <c r="AW841" s="79" t="str" cm="1">
        <f t="array" aca="1" ref="AW841" ca="1">IFERROR(_xlfn.IFS(OR($M841="",$AM841=""),"",OR($C841="Offered",$C841="Joined"),($AM841-$M841)-$AT841),"")</f>
        <v/>
      </c>
      <c r="AX841" s="79" t="str" cm="1">
        <f t="array" aca="1" ref="AX841" ca="1">IFERROR(_xlfn.IFS(OR($M841="",$AS841=""),"",$C841="Joined",($AS841-$M841)-$AT841),"")</f>
        <v/>
      </c>
      <c r="AY841" s="67" t="str">
        <f>IFERROR(IF(COUNTIFS('Candidate Tracker'!$E:$E,'Positions Tracker'!$B841,'Candidate Tracker'!$C:$C,"Offer Drop")=0,"",COUNTIFS('Candidate Tracker'!$E:$E,'Positions Tracker'!$B841,'Candidate Tracker'!$C:$C,"Offer Drop")),"")</f>
        <v/>
      </c>
      <c r="AZ841" s="80">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0.88111888111888115</v>
      </c>
      <c r="BA841" s="81" t="str">
        <f>IFERROR(IF(COUNTIFS('Candidate Tracker'!$E:$E,'Positions Tracker'!$B841,'Candidate Tracker'!$I:$I,"Female")=0,"",COUNTIFS('Candidate Tracker'!$E:$E,'Positions Tracker'!$B841,'Candidate Tracker'!$I:$I,"Female")),"")</f>
        <v/>
      </c>
      <c r="BB841" s="81" t="str">
        <f>IFERROR(IF(COUNTIFS('Candidate Tracker'!$E:$E,'Positions Tracker'!$B841,'Candidate Tracker'!$I:$I,"male")=0,"",COUNTIFS('Candidate Tracker'!$E:$E,'Positions Tracker'!$B841,'Candidate Tracker'!$I:$I,"male")),"")</f>
        <v/>
      </c>
      <c r="BC841" s="80" t="str">
        <f>IFERROR(IF(COUNTIFS('Candidate Tracker'!$E:$E,'Positions Tracker'!$B841,'Candidate Tracker'!$C:$C,"&lt;&gt;WIP",'Candidate Tracker'!$C:$C,"&lt;&gt;Hold",'Candidate Tracker'!$C:$C,"&lt;&gt;Cancelled",'Candidate Tracker'!$C:$C,"&lt;&gt;Closed")/COUNTIFS('Candidate Tracker'!$E:$E,'Positions Tracker'!$B841)=0,"",COUNTIFS('Candidate Tracker'!$E:$E,'Positions Tracker'!$B841,'Candidate Tracker'!$C:$C,"&lt;&gt;WIP",'Candidate Tracker'!$C:$C,"&lt;&gt;Hold",'Candidate Tracker'!$C:$C,"&lt;&gt;Cancelled",'Candidate Tracker'!$C:$C,"&lt;&gt;Closed")/COUNTIFS('Candidate Tracker'!$E:$E,'Positions Tracker'!$B841)),"")</f>
        <v/>
      </c>
      <c r="BD841" s="67" t="str">
        <f t="shared" si="78"/>
        <v/>
      </c>
      <c r="BE841" s="67" t="str">
        <f t="shared" si="79"/>
        <v/>
      </c>
      <c r="BF841" s="67" t="str">
        <f t="shared" si="80"/>
        <v/>
      </c>
      <c r="BG841" s="67" t="str">
        <f t="shared" si="81"/>
        <v/>
      </c>
    </row>
    <row r="842" spans="1:59">
      <c r="A842" s="55"/>
      <c r="B842" s="56"/>
      <c r="C842" s="56"/>
      <c r="D842" s="56"/>
      <c r="E842" s="56"/>
      <c r="F842" s="56"/>
      <c r="G842" s="56"/>
      <c r="H842" s="56"/>
      <c r="I842" s="6"/>
      <c r="J842" s="6"/>
      <c r="K842" s="57"/>
      <c r="L842" s="57"/>
      <c r="M842" s="57"/>
      <c r="N842" s="56"/>
      <c r="O842" s="56"/>
      <c r="P842" s="56"/>
      <c r="Q842" s="56"/>
      <c r="R842" s="56"/>
      <c r="S842" s="56"/>
      <c r="T842" s="56"/>
      <c r="U842" s="56"/>
      <c r="V842" s="56"/>
      <c r="W842" s="56"/>
      <c r="X842" s="56"/>
      <c r="Y842" s="56"/>
      <c r="Z842" s="56"/>
      <c r="AA842" s="56"/>
      <c r="AB842" s="56"/>
      <c r="AC842" s="56"/>
      <c r="AD842" s="56"/>
      <c r="AE842" s="56"/>
      <c r="AF842" s="56"/>
      <c r="AG842" s="56"/>
      <c r="AH842" s="56"/>
      <c r="AI842" s="58"/>
      <c r="AJ842" s="56"/>
      <c r="AK842" s="56"/>
      <c r="AL842" s="56"/>
      <c r="AM842" s="57"/>
      <c r="AN842" s="57"/>
      <c r="AO842" s="56"/>
      <c r="AP842" s="56"/>
      <c r="AQ842" s="57"/>
      <c r="AR842" s="57"/>
      <c r="AS842" s="57"/>
      <c r="AT842" s="67">
        <f t="shared" ca="1" si="82"/>
        <v>0</v>
      </c>
      <c r="AU842" s="79" t="str">
        <f t="shared" ca="1" si="83"/>
        <v/>
      </c>
      <c r="AV842" s="79" t="str" cm="1">
        <f t="array" aca="1" ref="AV842" ca="1">IFERROR(_xlfn.IFS($AU842="","",$AU842&lt;=15,"0-15",AND($AU842&gt;=16,$AU842&lt;=30),"16-30",AND($AU842&gt;=31,$AU842&lt;=45),"31-45",AND($AU842&gt;=46,$AU842&lt;=60),"46-60",AND($AU842&gt;=61,$AU842&lt;=90),"61-90",AND($AU842&gt;=91),"&gt; 90",AND($AU842&gt;=2000),""),"")</f>
        <v/>
      </c>
      <c r="AW842" s="79" t="str" cm="1">
        <f t="array" aca="1" ref="AW842" ca="1">IFERROR(_xlfn.IFS(OR($M842="",$AM842=""),"",OR($C842="Offered",$C842="Joined"),($AM842-$M842)-$AT842),"")</f>
        <v/>
      </c>
      <c r="AX842" s="79" t="str" cm="1">
        <f t="array" aca="1" ref="AX842" ca="1">IFERROR(_xlfn.IFS(OR($M842="",$AS842=""),"",$C842="Joined",($AS842-$M842)-$AT842),"")</f>
        <v/>
      </c>
      <c r="AY842" s="67" t="str">
        <f>IFERROR(IF(COUNTIFS('Candidate Tracker'!$E:$E,'Positions Tracker'!$B842,'Candidate Tracker'!$C:$C,"Offer Drop")=0,"",COUNTIFS('Candidate Tracker'!$E:$E,'Positions Tracker'!$B842,'Candidate Tracker'!$C:$C,"Offer Drop")),"")</f>
        <v/>
      </c>
      <c r="AZ842" s="80">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0.88111888111888115</v>
      </c>
      <c r="BA842" s="81" t="str">
        <f>IFERROR(IF(COUNTIFS('Candidate Tracker'!$E:$E,'Positions Tracker'!$B842,'Candidate Tracker'!$I:$I,"Female")=0,"",COUNTIFS('Candidate Tracker'!$E:$E,'Positions Tracker'!$B842,'Candidate Tracker'!$I:$I,"Female")),"")</f>
        <v/>
      </c>
      <c r="BB842" s="81" t="str">
        <f>IFERROR(IF(COUNTIFS('Candidate Tracker'!$E:$E,'Positions Tracker'!$B842,'Candidate Tracker'!$I:$I,"male")=0,"",COUNTIFS('Candidate Tracker'!$E:$E,'Positions Tracker'!$B842,'Candidate Tracker'!$I:$I,"male")),"")</f>
        <v/>
      </c>
      <c r="BC842" s="80" t="str">
        <f>IFERROR(IF(COUNTIFS('Candidate Tracker'!$E:$E,'Positions Tracker'!$B842,'Candidate Tracker'!$C:$C,"&lt;&gt;WIP",'Candidate Tracker'!$C:$C,"&lt;&gt;Hold",'Candidate Tracker'!$C:$C,"&lt;&gt;Cancelled",'Candidate Tracker'!$C:$C,"&lt;&gt;Closed")/COUNTIFS('Candidate Tracker'!$E:$E,'Positions Tracker'!$B842)=0,"",COUNTIFS('Candidate Tracker'!$E:$E,'Positions Tracker'!$B842,'Candidate Tracker'!$C:$C,"&lt;&gt;WIP",'Candidate Tracker'!$C:$C,"&lt;&gt;Hold",'Candidate Tracker'!$C:$C,"&lt;&gt;Cancelled",'Candidate Tracker'!$C:$C,"&lt;&gt;Closed")/COUNTIFS('Candidate Tracker'!$E:$E,'Positions Tracker'!$B842)),"")</f>
        <v/>
      </c>
      <c r="BD842" s="67" t="str">
        <f t="shared" si="78"/>
        <v/>
      </c>
      <c r="BE842" s="67" t="str">
        <f t="shared" si="79"/>
        <v/>
      </c>
      <c r="BF842" s="67" t="str">
        <f t="shared" si="80"/>
        <v/>
      </c>
      <c r="BG842" s="67" t="str">
        <f t="shared" si="81"/>
        <v/>
      </c>
    </row>
    <row r="843" spans="1:59">
      <c r="A843" s="55"/>
      <c r="B843" s="56"/>
      <c r="C843" s="56"/>
      <c r="D843" s="56"/>
      <c r="E843" s="56"/>
      <c r="F843" s="56"/>
      <c r="G843" s="56"/>
      <c r="H843" s="56"/>
      <c r="I843" s="6"/>
      <c r="J843" s="6"/>
      <c r="K843" s="57"/>
      <c r="L843" s="57"/>
      <c r="M843" s="57"/>
      <c r="N843" s="56"/>
      <c r="O843" s="56"/>
      <c r="P843" s="56"/>
      <c r="Q843" s="56"/>
      <c r="R843" s="56"/>
      <c r="S843" s="56"/>
      <c r="T843" s="56"/>
      <c r="U843" s="56"/>
      <c r="V843" s="56"/>
      <c r="W843" s="56"/>
      <c r="X843" s="56"/>
      <c r="Y843" s="56"/>
      <c r="Z843" s="56"/>
      <c r="AA843" s="56"/>
      <c r="AB843" s="56"/>
      <c r="AC843" s="56"/>
      <c r="AD843" s="56"/>
      <c r="AE843" s="56"/>
      <c r="AF843" s="56"/>
      <c r="AG843" s="56"/>
      <c r="AH843" s="56"/>
      <c r="AI843" s="58"/>
      <c r="AJ843" s="56"/>
      <c r="AK843" s="56"/>
      <c r="AL843" s="56"/>
      <c r="AM843" s="57"/>
      <c r="AN843" s="57"/>
      <c r="AO843" s="56"/>
      <c r="AP843" s="56"/>
      <c r="AQ843" s="57"/>
      <c r="AR843" s="57"/>
      <c r="AS843" s="57"/>
      <c r="AT843" s="67">
        <f t="shared" ca="1" si="82"/>
        <v>0</v>
      </c>
      <c r="AU843" s="79" t="str">
        <f t="shared" ca="1" si="83"/>
        <v/>
      </c>
      <c r="AV843" s="79" t="str" cm="1">
        <f t="array" aca="1" ref="AV843" ca="1">IFERROR(_xlfn.IFS($AU843="","",$AU843&lt;=15,"0-15",AND($AU843&gt;=16,$AU843&lt;=30),"16-30",AND($AU843&gt;=31,$AU843&lt;=45),"31-45",AND($AU843&gt;=46,$AU843&lt;=60),"46-60",AND($AU843&gt;=61,$AU843&lt;=90),"61-90",AND($AU843&gt;=91),"&gt; 90",AND($AU843&gt;=2000),""),"")</f>
        <v/>
      </c>
      <c r="AW843" s="79" t="str" cm="1">
        <f t="array" aca="1" ref="AW843" ca="1">IFERROR(_xlfn.IFS(OR($M843="",$AM843=""),"",OR($C843="Offered",$C843="Joined"),($AM843-$M843)-$AT843),"")</f>
        <v/>
      </c>
      <c r="AX843" s="79" t="str" cm="1">
        <f t="array" aca="1" ref="AX843" ca="1">IFERROR(_xlfn.IFS(OR($M843="",$AS843=""),"",$C843="Joined",($AS843-$M843)-$AT843),"")</f>
        <v/>
      </c>
      <c r="AY843" s="67" t="str">
        <f>IFERROR(IF(COUNTIFS('Candidate Tracker'!$E:$E,'Positions Tracker'!$B843,'Candidate Tracker'!$C:$C,"Offer Drop")=0,"",COUNTIFS('Candidate Tracker'!$E:$E,'Positions Tracker'!$B843,'Candidate Tracker'!$C:$C,"Offer Drop")),"")</f>
        <v/>
      </c>
      <c r="AZ843" s="80">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0.88111888111888115</v>
      </c>
      <c r="BA843" s="81" t="str">
        <f>IFERROR(IF(COUNTIFS('Candidate Tracker'!$E:$E,'Positions Tracker'!$B843,'Candidate Tracker'!$I:$I,"Female")=0,"",COUNTIFS('Candidate Tracker'!$E:$E,'Positions Tracker'!$B843,'Candidate Tracker'!$I:$I,"Female")),"")</f>
        <v/>
      </c>
      <c r="BB843" s="81" t="str">
        <f>IFERROR(IF(COUNTIFS('Candidate Tracker'!$E:$E,'Positions Tracker'!$B843,'Candidate Tracker'!$I:$I,"male")=0,"",COUNTIFS('Candidate Tracker'!$E:$E,'Positions Tracker'!$B843,'Candidate Tracker'!$I:$I,"male")),"")</f>
        <v/>
      </c>
      <c r="BC843" s="80" t="str">
        <f>IFERROR(IF(COUNTIFS('Candidate Tracker'!$E:$E,'Positions Tracker'!$B843,'Candidate Tracker'!$C:$C,"&lt;&gt;WIP",'Candidate Tracker'!$C:$C,"&lt;&gt;Hold",'Candidate Tracker'!$C:$C,"&lt;&gt;Cancelled",'Candidate Tracker'!$C:$C,"&lt;&gt;Closed")/COUNTIFS('Candidate Tracker'!$E:$E,'Positions Tracker'!$B843)=0,"",COUNTIFS('Candidate Tracker'!$E:$E,'Positions Tracker'!$B843,'Candidate Tracker'!$C:$C,"&lt;&gt;WIP",'Candidate Tracker'!$C:$C,"&lt;&gt;Hold",'Candidate Tracker'!$C:$C,"&lt;&gt;Cancelled",'Candidate Tracker'!$C:$C,"&lt;&gt;Closed")/COUNTIFS('Candidate Tracker'!$E:$E,'Positions Tracker'!$B843)),"")</f>
        <v/>
      </c>
      <c r="BD843" s="67" t="str">
        <f t="shared" si="78"/>
        <v/>
      </c>
      <c r="BE843" s="67" t="str">
        <f t="shared" si="79"/>
        <v/>
      </c>
      <c r="BF843" s="67" t="str">
        <f t="shared" si="80"/>
        <v/>
      </c>
      <c r="BG843" s="67" t="str">
        <f t="shared" si="81"/>
        <v/>
      </c>
    </row>
    <row r="844" spans="1:59">
      <c r="A844" s="55"/>
      <c r="B844" s="56"/>
      <c r="C844" s="56"/>
      <c r="D844" s="56"/>
      <c r="E844" s="56"/>
      <c r="F844" s="56"/>
      <c r="G844" s="56"/>
      <c r="H844" s="56"/>
      <c r="I844" s="6"/>
      <c r="J844" s="6"/>
      <c r="K844" s="57"/>
      <c r="L844" s="57"/>
      <c r="M844" s="57"/>
      <c r="N844" s="56"/>
      <c r="O844" s="56"/>
      <c r="P844" s="56"/>
      <c r="Q844" s="56"/>
      <c r="R844" s="56"/>
      <c r="S844" s="56"/>
      <c r="T844" s="56"/>
      <c r="U844" s="56"/>
      <c r="V844" s="56"/>
      <c r="W844" s="56"/>
      <c r="X844" s="56"/>
      <c r="Y844" s="56"/>
      <c r="Z844" s="56"/>
      <c r="AA844" s="56"/>
      <c r="AB844" s="56"/>
      <c r="AC844" s="56"/>
      <c r="AD844" s="56"/>
      <c r="AE844" s="56"/>
      <c r="AF844" s="56"/>
      <c r="AG844" s="56"/>
      <c r="AH844" s="56"/>
      <c r="AI844" s="58"/>
      <c r="AJ844" s="56"/>
      <c r="AK844" s="56"/>
      <c r="AL844" s="56"/>
      <c r="AM844" s="57"/>
      <c r="AN844" s="57"/>
      <c r="AO844" s="56"/>
      <c r="AP844" s="56"/>
      <c r="AQ844" s="57"/>
      <c r="AR844" s="57"/>
      <c r="AS844" s="57"/>
      <c r="AT844" s="67">
        <f t="shared" ca="1" si="82"/>
        <v>0</v>
      </c>
      <c r="AU844" s="79" t="str">
        <f t="shared" ca="1" si="83"/>
        <v/>
      </c>
      <c r="AV844" s="79" t="str" cm="1">
        <f t="array" aca="1" ref="AV844" ca="1">IFERROR(_xlfn.IFS($AU844="","",$AU844&lt;=15,"0-15",AND($AU844&gt;=16,$AU844&lt;=30),"16-30",AND($AU844&gt;=31,$AU844&lt;=45),"31-45",AND($AU844&gt;=46,$AU844&lt;=60),"46-60",AND($AU844&gt;=61,$AU844&lt;=90),"61-90",AND($AU844&gt;=91),"&gt; 90",AND($AU844&gt;=2000),""),"")</f>
        <v/>
      </c>
      <c r="AW844" s="79" t="str" cm="1">
        <f t="array" aca="1" ref="AW844" ca="1">IFERROR(_xlfn.IFS(OR($M844="",$AM844=""),"",OR($C844="Offered",$C844="Joined"),($AM844-$M844)-$AT844),"")</f>
        <v/>
      </c>
      <c r="AX844" s="79" t="str" cm="1">
        <f t="array" aca="1" ref="AX844" ca="1">IFERROR(_xlfn.IFS(OR($M844="",$AS844=""),"",$C844="Joined",($AS844-$M844)-$AT844),"")</f>
        <v/>
      </c>
      <c r="AY844" s="67" t="str">
        <f>IFERROR(IF(COUNTIFS('Candidate Tracker'!$E:$E,'Positions Tracker'!$B844,'Candidate Tracker'!$C:$C,"Offer Drop")=0,"",COUNTIFS('Candidate Tracker'!$E:$E,'Positions Tracker'!$B844,'Candidate Tracker'!$C:$C,"Offer Drop")),"")</f>
        <v/>
      </c>
      <c r="AZ844" s="80">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0.88111888111888115</v>
      </c>
      <c r="BA844" s="81" t="str">
        <f>IFERROR(IF(COUNTIFS('Candidate Tracker'!$E:$E,'Positions Tracker'!$B844,'Candidate Tracker'!$I:$I,"Female")=0,"",COUNTIFS('Candidate Tracker'!$E:$E,'Positions Tracker'!$B844,'Candidate Tracker'!$I:$I,"Female")),"")</f>
        <v/>
      </c>
      <c r="BB844" s="81" t="str">
        <f>IFERROR(IF(COUNTIFS('Candidate Tracker'!$E:$E,'Positions Tracker'!$B844,'Candidate Tracker'!$I:$I,"male")=0,"",COUNTIFS('Candidate Tracker'!$E:$E,'Positions Tracker'!$B844,'Candidate Tracker'!$I:$I,"male")),"")</f>
        <v/>
      </c>
      <c r="BC844" s="80" t="str">
        <f>IFERROR(IF(COUNTIFS('Candidate Tracker'!$E:$E,'Positions Tracker'!$B844,'Candidate Tracker'!$C:$C,"&lt;&gt;WIP",'Candidate Tracker'!$C:$C,"&lt;&gt;Hold",'Candidate Tracker'!$C:$C,"&lt;&gt;Cancelled",'Candidate Tracker'!$C:$C,"&lt;&gt;Closed")/COUNTIFS('Candidate Tracker'!$E:$E,'Positions Tracker'!$B844)=0,"",COUNTIFS('Candidate Tracker'!$E:$E,'Positions Tracker'!$B844,'Candidate Tracker'!$C:$C,"&lt;&gt;WIP",'Candidate Tracker'!$C:$C,"&lt;&gt;Hold",'Candidate Tracker'!$C:$C,"&lt;&gt;Cancelled",'Candidate Tracker'!$C:$C,"&lt;&gt;Closed")/COUNTIFS('Candidate Tracker'!$E:$E,'Positions Tracker'!$B844)),"")</f>
        <v/>
      </c>
      <c r="BD844" s="67" t="str">
        <f t="shared" si="78"/>
        <v/>
      </c>
      <c r="BE844" s="67" t="str">
        <f t="shared" si="79"/>
        <v/>
      </c>
      <c r="BF844" s="67" t="str">
        <f t="shared" si="80"/>
        <v/>
      </c>
      <c r="BG844" s="67" t="str">
        <f t="shared" si="81"/>
        <v/>
      </c>
    </row>
    <row r="845" spans="1:59">
      <c r="A845" s="55"/>
      <c r="B845" s="56"/>
      <c r="C845" s="56"/>
      <c r="D845" s="56"/>
      <c r="E845" s="56"/>
      <c r="F845" s="56"/>
      <c r="G845" s="56"/>
      <c r="H845" s="56"/>
      <c r="I845" s="6"/>
      <c r="J845" s="6"/>
      <c r="K845" s="57"/>
      <c r="L845" s="57"/>
      <c r="M845" s="57"/>
      <c r="N845" s="56"/>
      <c r="O845" s="56"/>
      <c r="P845" s="56"/>
      <c r="Q845" s="56"/>
      <c r="R845" s="56"/>
      <c r="S845" s="56"/>
      <c r="T845" s="56"/>
      <c r="U845" s="56"/>
      <c r="V845" s="56"/>
      <c r="W845" s="56"/>
      <c r="X845" s="56"/>
      <c r="Y845" s="56"/>
      <c r="Z845" s="56"/>
      <c r="AA845" s="56"/>
      <c r="AB845" s="56"/>
      <c r="AC845" s="56"/>
      <c r="AD845" s="56"/>
      <c r="AE845" s="56"/>
      <c r="AF845" s="56"/>
      <c r="AG845" s="56"/>
      <c r="AH845" s="56"/>
      <c r="AI845" s="58"/>
      <c r="AJ845" s="56"/>
      <c r="AK845" s="56"/>
      <c r="AL845" s="56"/>
      <c r="AM845" s="57"/>
      <c r="AN845" s="57"/>
      <c r="AO845" s="56"/>
      <c r="AP845" s="56"/>
      <c r="AQ845" s="57"/>
      <c r="AR845" s="57"/>
      <c r="AS845" s="57"/>
      <c r="AT845" s="67">
        <f t="shared" ca="1" si="82"/>
        <v>0</v>
      </c>
      <c r="AU845" s="79" t="str">
        <f t="shared" ca="1" si="83"/>
        <v/>
      </c>
      <c r="AV845" s="79" t="str" cm="1">
        <f t="array" aca="1" ref="AV845" ca="1">IFERROR(_xlfn.IFS($AU845="","",$AU845&lt;=15,"0-15",AND($AU845&gt;=16,$AU845&lt;=30),"16-30",AND($AU845&gt;=31,$AU845&lt;=45),"31-45",AND($AU845&gt;=46,$AU845&lt;=60),"46-60",AND($AU845&gt;=61,$AU845&lt;=90),"61-90",AND($AU845&gt;=91),"&gt; 90",AND($AU845&gt;=2000),""),"")</f>
        <v/>
      </c>
      <c r="AW845" s="79" t="str" cm="1">
        <f t="array" aca="1" ref="AW845" ca="1">IFERROR(_xlfn.IFS(OR($M845="",$AM845=""),"",OR($C845="Offered",$C845="Joined"),($AM845-$M845)-$AT845),"")</f>
        <v/>
      </c>
      <c r="AX845" s="79" t="str" cm="1">
        <f t="array" aca="1" ref="AX845" ca="1">IFERROR(_xlfn.IFS(OR($M845="",$AS845=""),"",$C845="Joined",($AS845-$M845)-$AT845),"")</f>
        <v/>
      </c>
      <c r="AY845" s="67" t="str">
        <f>IFERROR(IF(COUNTIFS('Candidate Tracker'!$E:$E,'Positions Tracker'!$B845,'Candidate Tracker'!$C:$C,"Offer Drop")=0,"",COUNTIFS('Candidate Tracker'!$E:$E,'Positions Tracker'!$B845,'Candidate Tracker'!$C:$C,"Offer Drop")),"")</f>
        <v/>
      </c>
      <c r="AZ845" s="80">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0.88111888111888115</v>
      </c>
      <c r="BA845" s="81" t="str">
        <f>IFERROR(IF(COUNTIFS('Candidate Tracker'!$E:$E,'Positions Tracker'!$B845,'Candidate Tracker'!$I:$I,"Female")=0,"",COUNTIFS('Candidate Tracker'!$E:$E,'Positions Tracker'!$B845,'Candidate Tracker'!$I:$I,"Female")),"")</f>
        <v/>
      </c>
      <c r="BB845" s="81" t="str">
        <f>IFERROR(IF(COUNTIFS('Candidate Tracker'!$E:$E,'Positions Tracker'!$B845,'Candidate Tracker'!$I:$I,"male")=0,"",COUNTIFS('Candidate Tracker'!$E:$E,'Positions Tracker'!$B845,'Candidate Tracker'!$I:$I,"male")),"")</f>
        <v/>
      </c>
      <c r="BC845" s="80" t="str">
        <f>IFERROR(IF(COUNTIFS('Candidate Tracker'!$E:$E,'Positions Tracker'!$B845,'Candidate Tracker'!$C:$C,"&lt;&gt;WIP",'Candidate Tracker'!$C:$C,"&lt;&gt;Hold",'Candidate Tracker'!$C:$C,"&lt;&gt;Cancelled",'Candidate Tracker'!$C:$C,"&lt;&gt;Closed")/COUNTIFS('Candidate Tracker'!$E:$E,'Positions Tracker'!$B845)=0,"",COUNTIFS('Candidate Tracker'!$E:$E,'Positions Tracker'!$B845,'Candidate Tracker'!$C:$C,"&lt;&gt;WIP",'Candidate Tracker'!$C:$C,"&lt;&gt;Hold",'Candidate Tracker'!$C:$C,"&lt;&gt;Cancelled",'Candidate Tracker'!$C:$C,"&lt;&gt;Closed")/COUNTIFS('Candidate Tracker'!$E:$E,'Positions Tracker'!$B845)),"")</f>
        <v/>
      </c>
      <c r="BD845" s="67" t="str">
        <f t="shared" si="78"/>
        <v/>
      </c>
      <c r="BE845" s="67" t="str">
        <f t="shared" si="79"/>
        <v/>
      </c>
      <c r="BF845" s="67" t="str">
        <f t="shared" si="80"/>
        <v/>
      </c>
      <c r="BG845" s="67" t="str">
        <f t="shared" si="81"/>
        <v/>
      </c>
    </row>
    <row r="846" spans="1:59">
      <c r="A846" s="55"/>
      <c r="B846" s="56"/>
      <c r="C846" s="56"/>
      <c r="D846" s="56"/>
      <c r="E846" s="56"/>
      <c r="F846" s="56"/>
      <c r="G846" s="56"/>
      <c r="H846" s="56"/>
      <c r="I846" s="6"/>
      <c r="J846" s="6"/>
      <c r="K846" s="57"/>
      <c r="L846" s="57"/>
      <c r="M846" s="57"/>
      <c r="N846" s="56"/>
      <c r="O846" s="56"/>
      <c r="P846" s="56"/>
      <c r="Q846" s="56"/>
      <c r="R846" s="56"/>
      <c r="S846" s="56"/>
      <c r="T846" s="56"/>
      <c r="U846" s="56"/>
      <c r="V846" s="56"/>
      <c r="W846" s="56"/>
      <c r="X846" s="56"/>
      <c r="Y846" s="56"/>
      <c r="Z846" s="56"/>
      <c r="AA846" s="56"/>
      <c r="AB846" s="56"/>
      <c r="AC846" s="56"/>
      <c r="AD846" s="56"/>
      <c r="AE846" s="56"/>
      <c r="AF846" s="56"/>
      <c r="AG846" s="56"/>
      <c r="AH846" s="56"/>
      <c r="AI846" s="58"/>
      <c r="AJ846" s="56"/>
      <c r="AK846" s="56"/>
      <c r="AL846" s="56"/>
      <c r="AM846" s="57"/>
      <c r="AN846" s="57"/>
      <c r="AO846" s="56"/>
      <c r="AP846" s="56"/>
      <c r="AQ846" s="57"/>
      <c r="AR846" s="57"/>
      <c r="AS846" s="57"/>
      <c r="AT846" s="67">
        <f t="shared" ca="1" si="82"/>
        <v>0</v>
      </c>
      <c r="AU846" s="79" t="str">
        <f t="shared" ca="1" si="83"/>
        <v/>
      </c>
      <c r="AV846" s="79" t="str" cm="1">
        <f t="array" aca="1" ref="AV846" ca="1">IFERROR(_xlfn.IFS($AU846="","",$AU846&lt;=15,"0-15",AND($AU846&gt;=16,$AU846&lt;=30),"16-30",AND($AU846&gt;=31,$AU846&lt;=45),"31-45",AND($AU846&gt;=46,$AU846&lt;=60),"46-60",AND($AU846&gt;=61,$AU846&lt;=90),"61-90",AND($AU846&gt;=91),"&gt; 90",AND($AU846&gt;=2000),""),"")</f>
        <v/>
      </c>
      <c r="AW846" s="79" t="str" cm="1">
        <f t="array" aca="1" ref="AW846" ca="1">IFERROR(_xlfn.IFS(OR($M846="",$AM846=""),"",OR($C846="Offered",$C846="Joined"),($AM846-$M846)-$AT846),"")</f>
        <v/>
      </c>
      <c r="AX846" s="79" t="str" cm="1">
        <f t="array" aca="1" ref="AX846" ca="1">IFERROR(_xlfn.IFS(OR($M846="",$AS846=""),"",$C846="Joined",($AS846-$M846)-$AT846),"")</f>
        <v/>
      </c>
      <c r="AY846" s="67" t="str">
        <f>IFERROR(IF(COUNTIFS('Candidate Tracker'!$E:$E,'Positions Tracker'!$B846,'Candidate Tracker'!$C:$C,"Offer Drop")=0,"",COUNTIFS('Candidate Tracker'!$E:$E,'Positions Tracker'!$B846,'Candidate Tracker'!$C:$C,"Offer Drop")),"")</f>
        <v/>
      </c>
      <c r="AZ846" s="80">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0.88111888111888115</v>
      </c>
      <c r="BA846" s="81" t="str">
        <f>IFERROR(IF(COUNTIFS('Candidate Tracker'!$E:$E,'Positions Tracker'!$B846,'Candidate Tracker'!$I:$I,"Female")=0,"",COUNTIFS('Candidate Tracker'!$E:$E,'Positions Tracker'!$B846,'Candidate Tracker'!$I:$I,"Female")),"")</f>
        <v/>
      </c>
      <c r="BB846" s="81" t="str">
        <f>IFERROR(IF(COUNTIFS('Candidate Tracker'!$E:$E,'Positions Tracker'!$B846,'Candidate Tracker'!$I:$I,"male")=0,"",COUNTIFS('Candidate Tracker'!$E:$E,'Positions Tracker'!$B846,'Candidate Tracker'!$I:$I,"male")),"")</f>
        <v/>
      </c>
      <c r="BC846" s="80" t="str">
        <f>IFERROR(IF(COUNTIFS('Candidate Tracker'!$E:$E,'Positions Tracker'!$B846,'Candidate Tracker'!$C:$C,"&lt;&gt;WIP",'Candidate Tracker'!$C:$C,"&lt;&gt;Hold",'Candidate Tracker'!$C:$C,"&lt;&gt;Cancelled",'Candidate Tracker'!$C:$C,"&lt;&gt;Closed")/COUNTIFS('Candidate Tracker'!$E:$E,'Positions Tracker'!$B846)=0,"",COUNTIFS('Candidate Tracker'!$E:$E,'Positions Tracker'!$B846,'Candidate Tracker'!$C:$C,"&lt;&gt;WIP",'Candidate Tracker'!$C:$C,"&lt;&gt;Hold",'Candidate Tracker'!$C:$C,"&lt;&gt;Cancelled",'Candidate Tracker'!$C:$C,"&lt;&gt;Closed")/COUNTIFS('Candidate Tracker'!$E:$E,'Positions Tracker'!$B846)),"")</f>
        <v/>
      </c>
      <c r="BD846" s="67" t="str">
        <f t="shared" si="78"/>
        <v/>
      </c>
      <c r="BE846" s="67" t="str">
        <f t="shared" si="79"/>
        <v/>
      </c>
      <c r="BF846" s="67" t="str">
        <f t="shared" si="80"/>
        <v/>
      </c>
      <c r="BG846" s="67" t="str">
        <f t="shared" si="81"/>
        <v/>
      </c>
    </row>
    <row r="847" spans="1:59">
      <c r="A847" s="55"/>
      <c r="B847" s="56"/>
      <c r="C847" s="56"/>
      <c r="D847" s="56"/>
      <c r="E847" s="56"/>
      <c r="F847" s="56"/>
      <c r="G847" s="56"/>
      <c r="H847" s="56"/>
      <c r="I847" s="6"/>
      <c r="J847" s="6"/>
      <c r="K847" s="57"/>
      <c r="L847" s="57"/>
      <c r="M847" s="57"/>
      <c r="N847" s="56"/>
      <c r="O847" s="56"/>
      <c r="P847" s="56"/>
      <c r="Q847" s="56"/>
      <c r="R847" s="56"/>
      <c r="S847" s="56"/>
      <c r="T847" s="56"/>
      <c r="U847" s="56"/>
      <c r="V847" s="56"/>
      <c r="W847" s="56"/>
      <c r="X847" s="56"/>
      <c r="Y847" s="56"/>
      <c r="Z847" s="56"/>
      <c r="AA847" s="56"/>
      <c r="AB847" s="56"/>
      <c r="AC847" s="56"/>
      <c r="AD847" s="56"/>
      <c r="AE847" s="56"/>
      <c r="AF847" s="56"/>
      <c r="AG847" s="56"/>
      <c r="AH847" s="56"/>
      <c r="AI847" s="58"/>
      <c r="AJ847" s="56"/>
      <c r="AK847" s="56"/>
      <c r="AL847" s="56"/>
      <c r="AM847" s="57"/>
      <c r="AN847" s="57"/>
      <c r="AO847" s="56"/>
      <c r="AP847" s="56"/>
      <c r="AQ847" s="57"/>
      <c r="AR847" s="57"/>
      <c r="AS847" s="57"/>
      <c r="AT847" s="67">
        <f t="shared" ca="1" si="82"/>
        <v>0</v>
      </c>
      <c r="AU847" s="79" t="str">
        <f t="shared" ca="1" si="83"/>
        <v/>
      </c>
      <c r="AV847" s="79" t="str" cm="1">
        <f t="array" aca="1" ref="AV847" ca="1">IFERROR(_xlfn.IFS($AU847="","",$AU847&lt;=15,"0-15",AND($AU847&gt;=16,$AU847&lt;=30),"16-30",AND($AU847&gt;=31,$AU847&lt;=45),"31-45",AND($AU847&gt;=46,$AU847&lt;=60),"46-60",AND($AU847&gt;=61,$AU847&lt;=90),"61-90",AND($AU847&gt;=91),"&gt; 90",AND($AU847&gt;=2000),""),"")</f>
        <v/>
      </c>
      <c r="AW847" s="79" t="str" cm="1">
        <f t="array" aca="1" ref="AW847" ca="1">IFERROR(_xlfn.IFS(OR($M847="",$AM847=""),"",OR($C847="Offered",$C847="Joined"),($AM847-$M847)-$AT847),"")</f>
        <v/>
      </c>
      <c r="AX847" s="79" t="str" cm="1">
        <f t="array" aca="1" ref="AX847" ca="1">IFERROR(_xlfn.IFS(OR($M847="",$AS847=""),"",$C847="Joined",($AS847-$M847)-$AT847),"")</f>
        <v/>
      </c>
      <c r="AY847" s="67" t="str">
        <f>IFERROR(IF(COUNTIFS('Candidate Tracker'!$E:$E,'Positions Tracker'!$B847,'Candidate Tracker'!$C:$C,"Offer Drop")=0,"",COUNTIFS('Candidate Tracker'!$E:$E,'Positions Tracker'!$B847,'Candidate Tracker'!$C:$C,"Offer Drop")),"")</f>
        <v/>
      </c>
      <c r="AZ847" s="80">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0.88111888111888115</v>
      </c>
      <c r="BA847" s="81" t="str">
        <f>IFERROR(IF(COUNTIFS('Candidate Tracker'!$E:$E,'Positions Tracker'!$B847,'Candidate Tracker'!$I:$I,"Female")=0,"",COUNTIFS('Candidate Tracker'!$E:$E,'Positions Tracker'!$B847,'Candidate Tracker'!$I:$I,"Female")),"")</f>
        <v/>
      </c>
      <c r="BB847" s="81" t="str">
        <f>IFERROR(IF(COUNTIFS('Candidate Tracker'!$E:$E,'Positions Tracker'!$B847,'Candidate Tracker'!$I:$I,"male")=0,"",COUNTIFS('Candidate Tracker'!$E:$E,'Positions Tracker'!$B847,'Candidate Tracker'!$I:$I,"male")),"")</f>
        <v/>
      </c>
      <c r="BC847" s="80" t="str">
        <f>IFERROR(IF(COUNTIFS('Candidate Tracker'!$E:$E,'Positions Tracker'!$B847,'Candidate Tracker'!$C:$C,"&lt;&gt;WIP",'Candidate Tracker'!$C:$C,"&lt;&gt;Hold",'Candidate Tracker'!$C:$C,"&lt;&gt;Cancelled",'Candidate Tracker'!$C:$C,"&lt;&gt;Closed")/COUNTIFS('Candidate Tracker'!$E:$E,'Positions Tracker'!$B847)=0,"",COUNTIFS('Candidate Tracker'!$E:$E,'Positions Tracker'!$B847,'Candidate Tracker'!$C:$C,"&lt;&gt;WIP",'Candidate Tracker'!$C:$C,"&lt;&gt;Hold",'Candidate Tracker'!$C:$C,"&lt;&gt;Cancelled",'Candidate Tracker'!$C:$C,"&lt;&gt;Closed")/COUNTIFS('Candidate Tracker'!$E:$E,'Positions Tracker'!$B847)),"")</f>
        <v/>
      </c>
      <c r="BD847" s="67" t="str">
        <f t="shared" si="78"/>
        <v/>
      </c>
      <c r="BE847" s="67" t="str">
        <f t="shared" si="79"/>
        <v/>
      </c>
      <c r="BF847" s="67" t="str">
        <f t="shared" si="80"/>
        <v/>
      </c>
      <c r="BG847" s="67" t="str">
        <f t="shared" si="81"/>
        <v/>
      </c>
    </row>
    <row r="848" spans="1:59">
      <c r="A848" s="55"/>
      <c r="B848" s="56"/>
      <c r="C848" s="56"/>
      <c r="D848" s="56"/>
      <c r="E848" s="56"/>
      <c r="F848" s="56"/>
      <c r="G848" s="56"/>
      <c r="H848" s="56"/>
      <c r="I848" s="6"/>
      <c r="J848" s="6"/>
      <c r="K848" s="57"/>
      <c r="L848" s="57"/>
      <c r="M848" s="57"/>
      <c r="N848" s="56"/>
      <c r="O848" s="56"/>
      <c r="P848" s="56"/>
      <c r="Q848" s="56"/>
      <c r="R848" s="56"/>
      <c r="S848" s="56"/>
      <c r="T848" s="56"/>
      <c r="U848" s="56"/>
      <c r="V848" s="56"/>
      <c r="W848" s="56"/>
      <c r="X848" s="56"/>
      <c r="Y848" s="56"/>
      <c r="Z848" s="56"/>
      <c r="AA848" s="56"/>
      <c r="AB848" s="56"/>
      <c r="AC848" s="56"/>
      <c r="AD848" s="56"/>
      <c r="AE848" s="56"/>
      <c r="AF848" s="56"/>
      <c r="AG848" s="56"/>
      <c r="AH848" s="56"/>
      <c r="AI848" s="58"/>
      <c r="AJ848" s="56"/>
      <c r="AK848" s="56"/>
      <c r="AL848" s="56"/>
      <c r="AM848" s="57"/>
      <c r="AN848" s="57"/>
      <c r="AO848" s="56"/>
      <c r="AP848" s="56"/>
      <c r="AQ848" s="57"/>
      <c r="AR848" s="57"/>
      <c r="AS848" s="57"/>
      <c r="AT848" s="67">
        <f t="shared" ca="1" si="82"/>
        <v>0</v>
      </c>
      <c r="AU848" s="79" t="str">
        <f t="shared" ca="1" si="83"/>
        <v/>
      </c>
      <c r="AV848" s="79" t="str" cm="1">
        <f t="array" aca="1" ref="AV848" ca="1">IFERROR(_xlfn.IFS($AU848="","",$AU848&lt;=15,"0-15",AND($AU848&gt;=16,$AU848&lt;=30),"16-30",AND($AU848&gt;=31,$AU848&lt;=45),"31-45",AND($AU848&gt;=46,$AU848&lt;=60),"46-60",AND($AU848&gt;=61,$AU848&lt;=90),"61-90",AND($AU848&gt;=91),"&gt; 90",AND($AU848&gt;=2000),""),"")</f>
        <v/>
      </c>
      <c r="AW848" s="79" t="str" cm="1">
        <f t="array" aca="1" ref="AW848" ca="1">IFERROR(_xlfn.IFS(OR($M848="",$AM848=""),"",OR($C848="Offered",$C848="Joined"),($AM848-$M848)-$AT848),"")</f>
        <v/>
      </c>
      <c r="AX848" s="79" t="str" cm="1">
        <f t="array" aca="1" ref="AX848" ca="1">IFERROR(_xlfn.IFS(OR($M848="",$AS848=""),"",$C848="Joined",($AS848-$M848)-$AT848),"")</f>
        <v/>
      </c>
      <c r="AY848" s="67" t="str">
        <f>IFERROR(IF(COUNTIFS('Candidate Tracker'!$E:$E,'Positions Tracker'!$B848,'Candidate Tracker'!$C:$C,"Offer Drop")=0,"",COUNTIFS('Candidate Tracker'!$E:$E,'Positions Tracker'!$B848,'Candidate Tracker'!$C:$C,"Offer Drop")),"")</f>
        <v/>
      </c>
      <c r="AZ848" s="80">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0.88111888111888115</v>
      </c>
      <c r="BA848" s="81" t="str">
        <f>IFERROR(IF(COUNTIFS('Candidate Tracker'!$E:$E,'Positions Tracker'!$B848,'Candidate Tracker'!$I:$I,"Female")=0,"",COUNTIFS('Candidate Tracker'!$E:$E,'Positions Tracker'!$B848,'Candidate Tracker'!$I:$I,"Female")),"")</f>
        <v/>
      </c>
      <c r="BB848" s="81" t="str">
        <f>IFERROR(IF(COUNTIFS('Candidate Tracker'!$E:$E,'Positions Tracker'!$B848,'Candidate Tracker'!$I:$I,"male")=0,"",COUNTIFS('Candidate Tracker'!$E:$E,'Positions Tracker'!$B848,'Candidate Tracker'!$I:$I,"male")),"")</f>
        <v/>
      </c>
      <c r="BC848" s="80" t="str">
        <f>IFERROR(IF(COUNTIFS('Candidate Tracker'!$E:$E,'Positions Tracker'!$B848,'Candidate Tracker'!$C:$C,"&lt;&gt;WIP",'Candidate Tracker'!$C:$C,"&lt;&gt;Hold",'Candidate Tracker'!$C:$C,"&lt;&gt;Cancelled",'Candidate Tracker'!$C:$C,"&lt;&gt;Closed")/COUNTIFS('Candidate Tracker'!$E:$E,'Positions Tracker'!$B848)=0,"",COUNTIFS('Candidate Tracker'!$E:$E,'Positions Tracker'!$B848,'Candidate Tracker'!$C:$C,"&lt;&gt;WIP",'Candidate Tracker'!$C:$C,"&lt;&gt;Hold",'Candidate Tracker'!$C:$C,"&lt;&gt;Cancelled",'Candidate Tracker'!$C:$C,"&lt;&gt;Closed")/COUNTIFS('Candidate Tracker'!$E:$E,'Positions Tracker'!$B848)),"")</f>
        <v/>
      </c>
      <c r="BD848" s="67" t="str">
        <f t="shared" si="78"/>
        <v/>
      </c>
      <c r="BE848" s="67" t="str">
        <f t="shared" si="79"/>
        <v/>
      </c>
      <c r="BF848" s="67" t="str">
        <f t="shared" si="80"/>
        <v/>
      </c>
      <c r="BG848" s="67" t="str">
        <f t="shared" si="81"/>
        <v/>
      </c>
    </row>
    <row r="849" spans="1:59">
      <c r="A849" s="55"/>
      <c r="B849" s="56"/>
      <c r="C849" s="56"/>
      <c r="D849" s="56"/>
      <c r="E849" s="56"/>
      <c r="F849" s="56"/>
      <c r="G849" s="56"/>
      <c r="H849" s="56"/>
      <c r="I849" s="6"/>
      <c r="J849" s="6"/>
      <c r="K849" s="57"/>
      <c r="L849" s="57"/>
      <c r="M849" s="57"/>
      <c r="N849" s="56"/>
      <c r="O849" s="56"/>
      <c r="P849" s="56"/>
      <c r="Q849" s="56"/>
      <c r="R849" s="56"/>
      <c r="S849" s="56"/>
      <c r="T849" s="56"/>
      <c r="U849" s="56"/>
      <c r="V849" s="56"/>
      <c r="W849" s="56"/>
      <c r="X849" s="56"/>
      <c r="Y849" s="56"/>
      <c r="Z849" s="56"/>
      <c r="AA849" s="56"/>
      <c r="AB849" s="56"/>
      <c r="AC849" s="56"/>
      <c r="AD849" s="56"/>
      <c r="AE849" s="56"/>
      <c r="AF849" s="56"/>
      <c r="AG849" s="56"/>
      <c r="AH849" s="56"/>
      <c r="AI849" s="58"/>
      <c r="AJ849" s="56"/>
      <c r="AK849" s="56"/>
      <c r="AL849" s="56"/>
      <c r="AM849" s="57"/>
      <c r="AN849" s="57"/>
      <c r="AO849" s="56"/>
      <c r="AP849" s="56"/>
      <c r="AQ849" s="57"/>
      <c r="AR849" s="57"/>
      <c r="AS849" s="57"/>
      <c r="AT849" s="67">
        <f t="shared" ca="1" si="82"/>
        <v>0</v>
      </c>
      <c r="AU849" s="79" t="str">
        <f t="shared" ca="1" si="83"/>
        <v/>
      </c>
      <c r="AV849" s="79" t="str" cm="1">
        <f t="array" aca="1" ref="AV849" ca="1">IFERROR(_xlfn.IFS($AU849="","",$AU849&lt;=15,"0-15",AND($AU849&gt;=16,$AU849&lt;=30),"16-30",AND($AU849&gt;=31,$AU849&lt;=45),"31-45",AND($AU849&gt;=46,$AU849&lt;=60),"46-60",AND($AU849&gt;=61,$AU849&lt;=90),"61-90",AND($AU849&gt;=91),"&gt; 90",AND($AU849&gt;=2000),""),"")</f>
        <v/>
      </c>
      <c r="AW849" s="79" t="str" cm="1">
        <f t="array" aca="1" ref="AW849" ca="1">IFERROR(_xlfn.IFS(OR($M849="",$AM849=""),"",OR($C849="Offered",$C849="Joined"),($AM849-$M849)-$AT849),"")</f>
        <v/>
      </c>
      <c r="AX849" s="79" t="str" cm="1">
        <f t="array" aca="1" ref="AX849" ca="1">IFERROR(_xlfn.IFS(OR($M849="",$AS849=""),"",$C849="Joined",($AS849-$M849)-$AT849),"")</f>
        <v/>
      </c>
      <c r="AY849" s="67" t="str">
        <f>IFERROR(IF(COUNTIFS('Candidate Tracker'!$E:$E,'Positions Tracker'!$B849,'Candidate Tracker'!$C:$C,"Offer Drop")=0,"",COUNTIFS('Candidate Tracker'!$E:$E,'Positions Tracker'!$B849,'Candidate Tracker'!$C:$C,"Offer Drop")),"")</f>
        <v/>
      </c>
      <c r="AZ849" s="80">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0.88111888111888115</v>
      </c>
      <c r="BA849" s="81" t="str">
        <f>IFERROR(IF(COUNTIFS('Candidate Tracker'!$E:$E,'Positions Tracker'!$B849,'Candidate Tracker'!$I:$I,"Female")=0,"",COUNTIFS('Candidate Tracker'!$E:$E,'Positions Tracker'!$B849,'Candidate Tracker'!$I:$I,"Female")),"")</f>
        <v/>
      </c>
      <c r="BB849" s="81" t="str">
        <f>IFERROR(IF(COUNTIFS('Candidate Tracker'!$E:$E,'Positions Tracker'!$B849,'Candidate Tracker'!$I:$I,"male")=0,"",COUNTIFS('Candidate Tracker'!$E:$E,'Positions Tracker'!$B849,'Candidate Tracker'!$I:$I,"male")),"")</f>
        <v/>
      </c>
      <c r="BC849" s="80" t="str">
        <f>IFERROR(IF(COUNTIFS('Candidate Tracker'!$E:$E,'Positions Tracker'!$B849,'Candidate Tracker'!$C:$C,"&lt;&gt;WIP",'Candidate Tracker'!$C:$C,"&lt;&gt;Hold",'Candidate Tracker'!$C:$C,"&lt;&gt;Cancelled",'Candidate Tracker'!$C:$C,"&lt;&gt;Closed")/COUNTIFS('Candidate Tracker'!$E:$E,'Positions Tracker'!$B849)=0,"",COUNTIFS('Candidate Tracker'!$E:$E,'Positions Tracker'!$B849,'Candidate Tracker'!$C:$C,"&lt;&gt;WIP",'Candidate Tracker'!$C:$C,"&lt;&gt;Hold",'Candidate Tracker'!$C:$C,"&lt;&gt;Cancelled",'Candidate Tracker'!$C:$C,"&lt;&gt;Closed")/COUNTIFS('Candidate Tracker'!$E:$E,'Positions Tracker'!$B849)),"")</f>
        <v/>
      </c>
      <c r="BD849" s="67" t="str">
        <f t="shared" si="78"/>
        <v/>
      </c>
      <c r="BE849" s="67" t="str">
        <f t="shared" si="79"/>
        <v/>
      </c>
      <c r="BF849" s="67" t="str">
        <f t="shared" si="80"/>
        <v/>
      </c>
      <c r="BG849" s="67" t="str">
        <f t="shared" si="81"/>
        <v/>
      </c>
    </row>
    <row r="850" spans="1:59">
      <c r="A850" s="55"/>
      <c r="B850" s="56"/>
      <c r="C850" s="56"/>
      <c r="D850" s="56"/>
      <c r="E850" s="56"/>
      <c r="F850" s="56"/>
      <c r="G850" s="56"/>
      <c r="H850" s="56"/>
      <c r="I850" s="6"/>
      <c r="J850" s="6"/>
      <c r="K850" s="57"/>
      <c r="L850" s="57"/>
      <c r="M850" s="57"/>
      <c r="N850" s="56"/>
      <c r="O850" s="56"/>
      <c r="P850" s="56"/>
      <c r="Q850" s="56"/>
      <c r="R850" s="56"/>
      <c r="S850" s="56"/>
      <c r="T850" s="56"/>
      <c r="U850" s="56"/>
      <c r="V850" s="56"/>
      <c r="W850" s="56"/>
      <c r="X850" s="56"/>
      <c r="Y850" s="56"/>
      <c r="Z850" s="56"/>
      <c r="AA850" s="56"/>
      <c r="AB850" s="56"/>
      <c r="AC850" s="56"/>
      <c r="AD850" s="56"/>
      <c r="AE850" s="56"/>
      <c r="AF850" s="56"/>
      <c r="AG850" s="56"/>
      <c r="AH850" s="56"/>
      <c r="AI850" s="58"/>
      <c r="AJ850" s="56"/>
      <c r="AK850" s="56"/>
      <c r="AL850" s="56"/>
      <c r="AM850" s="57"/>
      <c r="AN850" s="57"/>
      <c r="AO850" s="56"/>
      <c r="AP850" s="56"/>
      <c r="AQ850" s="57"/>
      <c r="AR850" s="57"/>
      <c r="AS850" s="57"/>
      <c r="AT850" s="67">
        <f t="shared" ca="1" si="82"/>
        <v>0</v>
      </c>
      <c r="AU850" s="79" t="str">
        <f t="shared" ca="1" si="83"/>
        <v/>
      </c>
      <c r="AV850" s="79" t="str" cm="1">
        <f t="array" aca="1" ref="AV850" ca="1">IFERROR(_xlfn.IFS($AU850="","",$AU850&lt;=15,"0-15",AND($AU850&gt;=16,$AU850&lt;=30),"16-30",AND($AU850&gt;=31,$AU850&lt;=45),"31-45",AND($AU850&gt;=46,$AU850&lt;=60),"46-60",AND($AU850&gt;=61,$AU850&lt;=90),"61-90",AND($AU850&gt;=91),"&gt; 90",AND($AU850&gt;=2000),""),"")</f>
        <v/>
      </c>
      <c r="AW850" s="79" t="str" cm="1">
        <f t="array" aca="1" ref="AW850" ca="1">IFERROR(_xlfn.IFS(OR($M850="",$AM850=""),"",OR($C850="Offered",$C850="Joined"),($AM850-$M850)-$AT850),"")</f>
        <v/>
      </c>
      <c r="AX850" s="79" t="str" cm="1">
        <f t="array" aca="1" ref="AX850" ca="1">IFERROR(_xlfn.IFS(OR($M850="",$AS850=""),"",$C850="Joined",($AS850-$M850)-$AT850),"")</f>
        <v/>
      </c>
      <c r="AY850" s="67" t="str">
        <f>IFERROR(IF(COUNTIFS('Candidate Tracker'!$E:$E,'Positions Tracker'!$B850,'Candidate Tracker'!$C:$C,"Offer Drop")=0,"",COUNTIFS('Candidate Tracker'!$E:$E,'Positions Tracker'!$B850,'Candidate Tracker'!$C:$C,"Offer Drop")),"")</f>
        <v/>
      </c>
      <c r="AZ850" s="80">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0.88111888111888115</v>
      </c>
      <c r="BA850" s="81" t="str">
        <f>IFERROR(IF(COUNTIFS('Candidate Tracker'!$E:$E,'Positions Tracker'!$B850,'Candidate Tracker'!$I:$I,"Female")=0,"",COUNTIFS('Candidate Tracker'!$E:$E,'Positions Tracker'!$B850,'Candidate Tracker'!$I:$I,"Female")),"")</f>
        <v/>
      </c>
      <c r="BB850" s="81" t="str">
        <f>IFERROR(IF(COUNTIFS('Candidate Tracker'!$E:$E,'Positions Tracker'!$B850,'Candidate Tracker'!$I:$I,"male")=0,"",COUNTIFS('Candidate Tracker'!$E:$E,'Positions Tracker'!$B850,'Candidate Tracker'!$I:$I,"male")),"")</f>
        <v/>
      </c>
      <c r="BC850" s="80" t="str">
        <f>IFERROR(IF(COUNTIFS('Candidate Tracker'!$E:$E,'Positions Tracker'!$B850,'Candidate Tracker'!$C:$C,"&lt;&gt;WIP",'Candidate Tracker'!$C:$C,"&lt;&gt;Hold",'Candidate Tracker'!$C:$C,"&lt;&gt;Cancelled",'Candidate Tracker'!$C:$C,"&lt;&gt;Closed")/COUNTIFS('Candidate Tracker'!$E:$E,'Positions Tracker'!$B850)=0,"",COUNTIFS('Candidate Tracker'!$E:$E,'Positions Tracker'!$B850,'Candidate Tracker'!$C:$C,"&lt;&gt;WIP",'Candidate Tracker'!$C:$C,"&lt;&gt;Hold",'Candidate Tracker'!$C:$C,"&lt;&gt;Cancelled",'Candidate Tracker'!$C:$C,"&lt;&gt;Closed")/COUNTIFS('Candidate Tracker'!$E:$E,'Positions Tracker'!$B850)),"")</f>
        <v/>
      </c>
      <c r="BD850" s="67" t="str">
        <f t="shared" si="78"/>
        <v/>
      </c>
      <c r="BE850" s="67" t="str">
        <f t="shared" si="79"/>
        <v/>
      </c>
      <c r="BF850" s="67" t="str">
        <f t="shared" si="80"/>
        <v/>
      </c>
      <c r="BG850" s="67" t="str">
        <f t="shared" si="81"/>
        <v/>
      </c>
    </row>
    <row r="851" spans="1:59">
      <c r="A851" s="55"/>
      <c r="B851" s="56"/>
      <c r="C851" s="56"/>
      <c r="D851" s="56"/>
      <c r="E851" s="56"/>
      <c r="F851" s="56"/>
      <c r="G851" s="56"/>
      <c r="H851" s="56"/>
      <c r="I851" s="6"/>
      <c r="J851" s="6"/>
      <c r="K851" s="57"/>
      <c r="L851" s="57"/>
      <c r="M851" s="57"/>
      <c r="N851" s="56"/>
      <c r="O851" s="56"/>
      <c r="P851" s="56"/>
      <c r="Q851" s="56"/>
      <c r="R851" s="56"/>
      <c r="S851" s="56"/>
      <c r="T851" s="56"/>
      <c r="U851" s="56"/>
      <c r="V851" s="56"/>
      <c r="W851" s="56"/>
      <c r="X851" s="56"/>
      <c r="Y851" s="56"/>
      <c r="Z851" s="56"/>
      <c r="AA851" s="56"/>
      <c r="AB851" s="56"/>
      <c r="AC851" s="56"/>
      <c r="AD851" s="56"/>
      <c r="AE851" s="56"/>
      <c r="AF851" s="56"/>
      <c r="AG851" s="56"/>
      <c r="AH851" s="56"/>
      <c r="AI851" s="58"/>
      <c r="AJ851" s="56"/>
      <c r="AK851" s="56"/>
      <c r="AL851" s="56"/>
      <c r="AM851" s="57"/>
      <c r="AN851" s="57"/>
      <c r="AO851" s="56"/>
      <c r="AP851" s="56"/>
      <c r="AQ851" s="57"/>
      <c r="AR851" s="57"/>
      <c r="AS851" s="57"/>
      <c r="AT851" s="67">
        <f t="shared" ca="1" si="82"/>
        <v>0</v>
      </c>
      <c r="AU851" s="79" t="str">
        <f t="shared" ca="1" si="83"/>
        <v/>
      </c>
      <c r="AV851" s="79" t="str" cm="1">
        <f t="array" aca="1" ref="AV851" ca="1">IFERROR(_xlfn.IFS($AU851="","",$AU851&lt;=15,"0-15",AND($AU851&gt;=16,$AU851&lt;=30),"16-30",AND($AU851&gt;=31,$AU851&lt;=45),"31-45",AND($AU851&gt;=46,$AU851&lt;=60),"46-60",AND($AU851&gt;=61,$AU851&lt;=90),"61-90",AND($AU851&gt;=91),"&gt; 90",AND($AU851&gt;=2000),""),"")</f>
        <v/>
      </c>
      <c r="AW851" s="79" t="str" cm="1">
        <f t="array" aca="1" ref="AW851" ca="1">IFERROR(_xlfn.IFS(OR($M851="",$AM851=""),"",OR($C851="Offered",$C851="Joined"),($AM851-$M851)-$AT851),"")</f>
        <v/>
      </c>
      <c r="AX851" s="79" t="str" cm="1">
        <f t="array" aca="1" ref="AX851" ca="1">IFERROR(_xlfn.IFS(OR($M851="",$AS851=""),"",$C851="Joined",($AS851-$M851)-$AT851),"")</f>
        <v/>
      </c>
      <c r="AY851" s="67" t="str">
        <f>IFERROR(IF(COUNTIFS('Candidate Tracker'!$E:$E,'Positions Tracker'!$B851,'Candidate Tracker'!$C:$C,"Offer Drop")=0,"",COUNTIFS('Candidate Tracker'!$E:$E,'Positions Tracker'!$B851,'Candidate Tracker'!$C:$C,"Offer Drop")),"")</f>
        <v/>
      </c>
      <c r="AZ851" s="80">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0.88111888111888115</v>
      </c>
      <c r="BA851" s="81" t="str">
        <f>IFERROR(IF(COUNTIFS('Candidate Tracker'!$E:$E,'Positions Tracker'!$B851,'Candidate Tracker'!$I:$I,"Female")=0,"",COUNTIFS('Candidate Tracker'!$E:$E,'Positions Tracker'!$B851,'Candidate Tracker'!$I:$I,"Female")),"")</f>
        <v/>
      </c>
      <c r="BB851" s="81" t="str">
        <f>IFERROR(IF(COUNTIFS('Candidate Tracker'!$E:$E,'Positions Tracker'!$B851,'Candidate Tracker'!$I:$I,"male")=0,"",COUNTIFS('Candidate Tracker'!$E:$E,'Positions Tracker'!$B851,'Candidate Tracker'!$I:$I,"male")),"")</f>
        <v/>
      </c>
      <c r="BC851" s="80" t="str">
        <f>IFERROR(IF(COUNTIFS('Candidate Tracker'!$E:$E,'Positions Tracker'!$B851,'Candidate Tracker'!$C:$C,"&lt;&gt;WIP",'Candidate Tracker'!$C:$C,"&lt;&gt;Hold",'Candidate Tracker'!$C:$C,"&lt;&gt;Cancelled",'Candidate Tracker'!$C:$C,"&lt;&gt;Closed")/COUNTIFS('Candidate Tracker'!$E:$E,'Positions Tracker'!$B851)=0,"",COUNTIFS('Candidate Tracker'!$E:$E,'Positions Tracker'!$B851,'Candidate Tracker'!$C:$C,"&lt;&gt;WIP",'Candidate Tracker'!$C:$C,"&lt;&gt;Hold",'Candidate Tracker'!$C:$C,"&lt;&gt;Cancelled",'Candidate Tracker'!$C:$C,"&lt;&gt;Closed")/COUNTIFS('Candidate Tracker'!$E:$E,'Positions Tracker'!$B851)),"")</f>
        <v/>
      </c>
      <c r="BD851" s="67" t="str">
        <f t="shared" si="78"/>
        <v/>
      </c>
      <c r="BE851" s="67" t="str">
        <f t="shared" si="79"/>
        <v/>
      </c>
      <c r="BF851" s="67" t="str">
        <f t="shared" si="80"/>
        <v/>
      </c>
      <c r="BG851" s="67" t="str">
        <f t="shared" si="81"/>
        <v/>
      </c>
    </row>
    <row r="852" spans="1:59">
      <c r="A852" s="55"/>
      <c r="B852" s="56"/>
      <c r="C852" s="56"/>
      <c r="D852" s="56"/>
      <c r="E852" s="56"/>
      <c r="F852" s="56"/>
      <c r="G852" s="56"/>
      <c r="H852" s="56"/>
      <c r="I852" s="6"/>
      <c r="J852" s="6"/>
      <c r="K852" s="57"/>
      <c r="L852" s="57"/>
      <c r="M852" s="57"/>
      <c r="N852" s="56"/>
      <c r="O852" s="56"/>
      <c r="P852" s="56"/>
      <c r="Q852" s="56"/>
      <c r="R852" s="56"/>
      <c r="S852" s="56"/>
      <c r="T852" s="56"/>
      <c r="U852" s="56"/>
      <c r="V852" s="56"/>
      <c r="W852" s="56"/>
      <c r="X852" s="56"/>
      <c r="Y852" s="56"/>
      <c r="Z852" s="56"/>
      <c r="AA852" s="56"/>
      <c r="AB852" s="56"/>
      <c r="AC852" s="56"/>
      <c r="AD852" s="56"/>
      <c r="AE852" s="56"/>
      <c r="AF852" s="56"/>
      <c r="AG852" s="56"/>
      <c r="AH852" s="56"/>
      <c r="AI852" s="58"/>
      <c r="AJ852" s="56"/>
      <c r="AK852" s="56"/>
      <c r="AL852" s="56"/>
      <c r="AM852" s="57"/>
      <c r="AN852" s="57"/>
      <c r="AO852" s="56"/>
      <c r="AP852" s="56"/>
      <c r="AQ852" s="57"/>
      <c r="AR852" s="57"/>
      <c r="AS852" s="57"/>
      <c r="AT852" s="67">
        <f t="shared" ca="1" si="82"/>
        <v>0</v>
      </c>
      <c r="AU852" s="79" t="str">
        <f t="shared" ca="1" si="83"/>
        <v/>
      </c>
      <c r="AV852" s="79" t="str" cm="1">
        <f t="array" aca="1" ref="AV852" ca="1">IFERROR(_xlfn.IFS($AU852="","",$AU852&lt;=15,"0-15",AND($AU852&gt;=16,$AU852&lt;=30),"16-30",AND($AU852&gt;=31,$AU852&lt;=45),"31-45",AND($AU852&gt;=46,$AU852&lt;=60),"46-60",AND($AU852&gt;=61,$AU852&lt;=90),"61-90",AND($AU852&gt;=91),"&gt; 90",AND($AU852&gt;=2000),""),"")</f>
        <v/>
      </c>
      <c r="AW852" s="79" t="str" cm="1">
        <f t="array" aca="1" ref="AW852" ca="1">IFERROR(_xlfn.IFS(OR($M852="",$AM852=""),"",OR($C852="Offered",$C852="Joined"),($AM852-$M852)-$AT852),"")</f>
        <v/>
      </c>
      <c r="AX852" s="79" t="str" cm="1">
        <f t="array" aca="1" ref="AX852" ca="1">IFERROR(_xlfn.IFS(OR($M852="",$AS852=""),"",$C852="Joined",($AS852-$M852)-$AT852),"")</f>
        <v/>
      </c>
      <c r="AY852" s="67" t="str">
        <f>IFERROR(IF(COUNTIFS('Candidate Tracker'!$E:$E,'Positions Tracker'!$B852,'Candidate Tracker'!$C:$C,"Offer Drop")=0,"",COUNTIFS('Candidate Tracker'!$E:$E,'Positions Tracker'!$B852,'Candidate Tracker'!$C:$C,"Offer Drop")),"")</f>
        <v/>
      </c>
      <c r="AZ852" s="80">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0.88111888111888115</v>
      </c>
      <c r="BA852" s="81" t="str">
        <f>IFERROR(IF(COUNTIFS('Candidate Tracker'!$E:$E,'Positions Tracker'!$B852,'Candidate Tracker'!$I:$I,"Female")=0,"",COUNTIFS('Candidate Tracker'!$E:$E,'Positions Tracker'!$B852,'Candidate Tracker'!$I:$I,"Female")),"")</f>
        <v/>
      </c>
      <c r="BB852" s="81" t="str">
        <f>IFERROR(IF(COUNTIFS('Candidate Tracker'!$E:$E,'Positions Tracker'!$B852,'Candidate Tracker'!$I:$I,"male")=0,"",COUNTIFS('Candidate Tracker'!$E:$E,'Positions Tracker'!$B852,'Candidate Tracker'!$I:$I,"male")),"")</f>
        <v/>
      </c>
      <c r="BC852" s="80" t="str">
        <f>IFERROR(IF(COUNTIFS('Candidate Tracker'!$E:$E,'Positions Tracker'!$B852,'Candidate Tracker'!$C:$C,"&lt;&gt;WIP",'Candidate Tracker'!$C:$C,"&lt;&gt;Hold",'Candidate Tracker'!$C:$C,"&lt;&gt;Cancelled",'Candidate Tracker'!$C:$C,"&lt;&gt;Closed")/COUNTIFS('Candidate Tracker'!$E:$E,'Positions Tracker'!$B852)=0,"",COUNTIFS('Candidate Tracker'!$E:$E,'Positions Tracker'!$B852,'Candidate Tracker'!$C:$C,"&lt;&gt;WIP",'Candidate Tracker'!$C:$C,"&lt;&gt;Hold",'Candidate Tracker'!$C:$C,"&lt;&gt;Cancelled",'Candidate Tracker'!$C:$C,"&lt;&gt;Closed")/COUNTIFS('Candidate Tracker'!$E:$E,'Positions Tracker'!$B852)),"")</f>
        <v/>
      </c>
      <c r="BD852" s="67" t="str">
        <f t="shared" si="78"/>
        <v/>
      </c>
      <c r="BE852" s="67" t="str">
        <f t="shared" si="79"/>
        <v/>
      </c>
      <c r="BF852" s="67" t="str">
        <f t="shared" si="80"/>
        <v/>
      </c>
      <c r="BG852" s="67" t="str">
        <f t="shared" si="81"/>
        <v/>
      </c>
    </row>
    <row r="853" spans="1:59">
      <c r="A853" s="55"/>
      <c r="B853" s="56"/>
      <c r="C853" s="56"/>
      <c r="D853" s="56"/>
      <c r="E853" s="56"/>
      <c r="F853" s="56"/>
      <c r="G853" s="56"/>
      <c r="H853" s="56"/>
      <c r="I853" s="6"/>
      <c r="J853" s="6"/>
      <c r="K853" s="57"/>
      <c r="L853" s="57"/>
      <c r="M853" s="57"/>
      <c r="N853" s="56"/>
      <c r="O853" s="56"/>
      <c r="P853" s="56"/>
      <c r="Q853" s="56"/>
      <c r="R853" s="56"/>
      <c r="S853" s="56"/>
      <c r="T853" s="56"/>
      <c r="U853" s="56"/>
      <c r="V853" s="56"/>
      <c r="W853" s="56"/>
      <c r="X853" s="56"/>
      <c r="Y853" s="56"/>
      <c r="Z853" s="56"/>
      <c r="AA853" s="56"/>
      <c r="AB853" s="56"/>
      <c r="AC853" s="56"/>
      <c r="AD853" s="56"/>
      <c r="AE853" s="56"/>
      <c r="AF853" s="56"/>
      <c r="AG853" s="56"/>
      <c r="AH853" s="56"/>
      <c r="AI853" s="58"/>
      <c r="AJ853" s="56"/>
      <c r="AK853" s="56"/>
      <c r="AL853" s="56"/>
      <c r="AM853" s="57"/>
      <c r="AN853" s="57"/>
      <c r="AO853" s="56"/>
      <c r="AP853" s="56"/>
      <c r="AQ853" s="57"/>
      <c r="AR853" s="57"/>
      <c r="AS853" s="57"/>
      <c r="AT853" s="67">
        <f t="shared" ca="1" si="82"/>
        <v>0</v>
      </c>
      <c r="AU853" s="79" t="str">
        <f t="shared" ca="1" si="83"/>
        <v/>
      </c>
      <c r="AV853" s="79" t="str" cm="1">
        <f t="array" aca="1" ref="AV853" ca="1">IFERROR(_xlfn.IFS($AU853="","",$AU853&lt;=15,"0-15",AND($AU853&gt;=16,$AU853&lt;=30),"16-30",AND($AU853&gt;=31,$AU853&lt;=45),"31-45",AND($AU853&gt;=46,$AU853&lt;=60),"46-60",AND($AU853&gt;=61,$AU853&lt;=90),"61-90",AND($AU853&gt;=91),"&gt; 90",AND($AU853&gt;=2000),""),"")</f>
        <v/>
      </c>
      <c r="AW853" s="79" t="str" cm="1">
        <f t="array" aca="1" ref="AW853" ca="1">IFERROR(_xlfn.IFS(OR($M853="",$AM853=""),"",OR($C853="Offered",$C853="Joined"),($AM853-$M853)-$AT853),"")</f>
        <v/>
      </c>
      <c r="AX853" s="79" t="str" cm="1">
        <f t="array" aca="1" ref="AX853" ca="1">IFERROR(_xlfn.IFS(OR($M853="",$AS853=""),"",$C853="Joined",($AS853-$M853)-$AT853),"")</f>
        <v/>
      </c>
      <c r="AY853" s="67" t="str">
        <f>IFERROR(IF(COUNTIFS('Candidate Tracker'!$E:$E,'Positions Tracker'!$B853,'Candidate Tracker'!$C:$C,"Offer Drop")=0,"",COUNTIFS('Candidate Tracker'!$E:$E,'Positions Tracker'!$B853,'Candidate Tracker'!$C:$C,"Offer Drop")),"")</f>
        <v/>
      </c>
      <c r="AZ853" s="80">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0.88111888111888115</v>
      </c>
      <c r="BA853" s="81" t="str">
        <f>IFERROR(IF(COUNTIFS('Candidate Tracker'!$E:$E,'Positions Tracker'!$B853,'Candidate Tracker'!$I:$I,"Female")=0,"",COUNTIFS('Candidate Tracker'!$E:$E,'Positions Tracker'!$B853,'Candidate Tracker'!$I:$I,"Female")),"")</f>
        <v/>
      </c>
      <c r="BB853" s="81" t="str">
        <f>IFERROR(IF(COUNTIFS('Candidate Tracker'!$E:$E,'Positions Tracker'!$B853,'Candidate Tracker'!$I:$I,"male")=0,"",COUNTIFS('Candidate Tracker'!$E:$E,'Positions Tracker'!$B853,'Candidate Tracker'!$I:$I,"male")),"")</f>
        <v/>
      </c>
      <c r="BC853" s="80" t="str">
        <f>IFERROR(IF(COUNTIFS('Candidate Tracker'!$E:$E,'Positions Tracker'!$B853,'Candidate Tracker'!$C:$C,"&lt;&gt;WIP",'Candidate Tracker'!$C:$C,"&lt;&gt;Hold",'Candidate Tracker'!$C:$C,"&lt;&gt;Cancelled",'Candidate Tracker'!$C:$C,"&lt;&gt;Closed")/COUNTIFS('Candidate Tracker'!$E:$E,'Positions Tracker'!$B853)=0,"",COUNTIFS('Candidate Tracker'!$E:$E,'Positions Tracker'!$B853,'Candidate Tracker'!$C:$C,"&lt;&gt;WIP",'Candidate Tracker'!$C:$C,"&lt;&gt;Hold",'Candidate Tracker'!$C:$C,"&lt;&gt;Cancelled",'Candidate Tracker'!$C:$C,"&lt;&gt;Closed")/COUNTIFS('Candidate Tracker'!$E:$E,'Positions Tracker'!$B853)),"")</f>
        <v/>
      </c>
      <c r="BD853" s="67" t="str">
        <f t="shared" si="78"/>
        <v/>
      </c>
      <c r="BE853" s="67" t="str">
        <f t="shared" si="79"/>
        <v/>
      </c>
      <c r="BF853" s="67" t="str">
        <f t="shared" si="80"/>
        <v/>
      </c>
      <c r="BG853" s="67" t="str">
        <f t="shared" si="81"/>
        <v/>
      </c>
    </row>
    <row r="854" spans="1:59">
      <c r="A854" s="55"/>
      <c r="B854" s="56"/>
      <c r="C854" s="56"/>
      <c r="D854" s="56"/>
      <c r="E854" s="56"/>
      <c r="F854" s="56"/>
      <c r="G854" s="56"/>
      <c r="H854" s="56"/>
      <c r="I854" s="6"/>
      <c r="J854" s="6"/>
      <c r="K854" s="57"/>
      <c r="L854" s="57"/>
      <c r="M854" s="57"/>
      <c r="N854" s="56"/>
      <c r="O854" s="56"/>
      <c r="P854" s="56"/>
      <c r="Q854" s="56"/>
      <c r="R854" s="56"/>
      <c r="S854" s="56"/>
      <c r="T854" s="56"/>
      <c r="U854" s="56"/>
      <c r="V854" s="56"/>
      <c r="W854" s="56"/>
      <c r="X854" s="56"/>
      <c r="Y854" s="56"/>
      <c r="Z854" s="56"/>
      <c r="AA854" s="56"/>
      <c r="AB854" s="56"/>
      <c r="AC854" s="56"/>
      <c r="AD854" s="56"/>
      <c r="AE854" s="56"/>
      <c r="AF854" s="56"/>
      <c r="AG854" s="56"/>
      <c r="AH854" s="56"/>
      <c r="AI854" s="58"/>
      <c r="AJ854" s="56"/>
      <c r="AK854" s="56"/>
      <c r="AL854" s="56"/>
      <c r="AM854" s="57"/>
      <c r="AN854" s="57"/>
      <c r="AO854" s="56"/>
      <c r="AP854" s="56"/>
      <c r="AQ854" s="57"/>
      <c r="AR854" s="57"/>
      <c r="AS854" s="57"/>
      <c r="AT854" s="67">
        <f t="shared" ca="1" si="82"/>
        <v>0</v>
      </c>
      <c r="AU854" s="79" t="str">
        <f t="shared" ca="1" si="83"/>
        <v/>
      </c>
      <c r="AV854" s="79" t="str" cm="1">
        <f t="array" aca="1" ref="AV854" ca="1">IFERROR(_xlfn.IFS($AU854="","",$AU854&lt;=15,"0-15",AND($AU854&gt;=16,$AU854&lt;=30),"16-30",AND($AU854&gt;=31,$AU854&lt;=45),"31-45",AND($AU854&gt;=46,$AU854&lt;=60),"46-60",AND($AU854&gt;=61,$AU854&lt;=90),"61-90",AND($AU854&gt;=91),"&gt; 90",AND($AU854&gt;=2000),""),"")</f>
        <v/>
      </c>
      <c r="AW854" s="79" t="str" cm="1">
        <f t="array" aca="1" ref="AW854" ca="1">IFERROR(_xlfn.IFS(OR($M854="",$AM854=""),"",OR($C854="Offered",$C854="Joined"),($AM854-$M854)-$AT854),"")</f>
        <v/>
      </c>
      <c r="AX854" s="79" t="str" cm="1">
        <f t="array" aca="1" ref="AX854" ca="1">IFERROR(_xlfn.IFS(OR($M854="",$AS854=""),"",$C854="Joined",($AS854-$M854)-$AT854),"")</f>
        <v/>
      </c>
      <c r="AY854" s="67" t="str">
        <f>IFERROR(IF(COUNTIFS('Candidate Tracker'!$E:$E,'Positions Tracker'!$B854,'Candidate Tracker'!$C:$C,"Offer Drop")=0,"",COUNTIFS('Candidate Tracker'!$E:$E,'Positions Tracker'!$B854,'Candidate Tracker'!$C:$C,"Offer Drop")),"")</f>
        <v/>
      </c>
      <c r="AZ854" s="80">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0.88111888111888115</v>
      </c>
      <c r="BA854" s="81" t="str">
        <f>IFERROR(IF(COUNTIFS('Candidate Tracker'!$E:$E,'Positions Tracker'!$B854,'Candidate Tracker'!$I:$I,"Female")=0,"",COUNTIFS('Candidate Tracker'!$E:$E,'Positions Tracker'!$B854,'Candidate Tracker'!$I:$I,"Female")),"")</f>
        <v/>
      </c>
      <c r="BB854" s="81" t="str">
        <f>IFERROR(IF(COUNTIFS('Candidate Tracker'!$E:$E,'Positions Tracker'!$B854,'Candidate Tracker'!$I:$I,"male")=0,"",COUNTIFS('Candidate Tracker'!$E:$E,'Positions Tracker'!$B854,'Candidate Tracker'!$I:$I,"male")),"")</f>
        <v/>
      </c>
      <c r="BC854" s="80" t="str">
        <f>IFERROR(IF(COUNTIFS('Candidate Tracker'!$E:$E,'Positions Tracker'!$B854,'Candidate Tracker'!$C:$C,"&lt;&gt;WIP",'Candidate Tracker'!$C:$C,"&lt;&gt;Hold",'Candidate Tracker'!$C:$C,"&lt;&gt;Cancelled",'Candidate Tracker'!$C:$C,"&lt;&gt;Closed")/COUNTIFS('Candidate Tracker'!$E:$E,'Positions Tracker'!$B854)=0,"",COUNTIFS('Candidate Tracker'!$E:$E,'Positions Tracker'!$B854,'Candidate Tracker'!$C:$C,"&lt;&gt;WIP",'Candidate Tracker'!$C:$C,"&lt;&gt;Hold",'Candidate Tracker'!$C:$C,"&lt;&gt;Cancelled",'Candidate Tracker'!$C:$C,"&lt;&gt;Closed")/COUNTIFS('Candidate Tracker'!$E:$E,'Positions Tracker'!$B854)),"")</f>
        <v/>
      </c>
      <c r="BD854" s="67" t="str">
        <f t="shared" si="78"/>
        <v/>
      </c>
      <c r="BE854" s="67" t="str">
        <f t="shared" si="79"/>
        <v/>
      </c>
      <c r="BF854" s="67" t="str">
        <f t="shared" si="80"/>
        <v/>
      </c>
      <c r="BG854" s="67" t="str">
        <f t="shared" si="81"/>
        <v/>
      </c>
    </row>
    <row r="855" spans="1:59">
      <c r="A855" s="55"/>
      <c r="B855" s="56"/>
      <c r="C855" s="56"/>
      <c r="D855" s="56"/>
      <c r="E855" s="56"/>
      <c r="F855" s="56"/>
      <c r="G855" s="56"/>
      <c r="H855" s="56"/>
      <c r="I855" s="6"/>
      <c r="J855" s="6"/>
      <c r="K855" s="57"/>
      <c r="L855" s="57"/>
      <c r="M855" s="57"/>
      <c r="N855" s="56"/>
      <c r="O855" s="56"/>
      <c r="P855" s="56"/>
      <c r="Q855" s="56"/>
      <c r="R855" s="56"/>
      <c r="S855" s="56"/>
      <c r="T855" s="56"/>
      <c r="U855" s="56"/>
      <c r="V855" s="56"/>
      <c r="W855" s="56"/>
      <c r="X855" s="56"/>
      <c r="Y855" s="56"/>
      <c r="Z855" s="56"/>
      <c r="AA855" s="56"/>
      <c r="AB855" s="56"/>
      <c r="AC855" s="56"/>
      <c r="AD855" s="56"/>
      <c r="AE855" s="56"/>
      <c r="AF855" s="56"/>
      <c r="AG855" s="56"/>
      <c r="AH855" s="56"/>
      <c r="AI855" s="58"/>
      <c r="AJ855" s="56"/>
      <c r="AK855" s="56"/>
      <c r="AL855" s="56"/>
      <c r="AM855" s="57"/>
      <c r="AN855" s="57"/>
      <c r="AO855" s="56"/>
      <c r="AP855" s="56"/>
      <c r="AQ855" s="57"/>
      <c r="AR855" s="57"/>
      <c r="AS855" s="57"/>
      <c r="AT855" s="67">
        <f t="shared" ca="1" si="82"/>
        <v>0</v>
      </c>
      <c r="AU855" s="79" t="str">
        <f t="shared" ca="1" si="83"/>
        <v/>
      </c>
      <c r="AV855" s="79" t="str" cm="1">
        <f t="array" aca="1" ref="AV855" ca="1">IFERROR(_xlfn.IFS($AU855="","",$AU855&lt;=15,"0-15",AND($AU855&gt;=16,$AU855&lt;=30),"16-30",AND($AU855&gt;=31,$AU855&lt;=45),"31-45",AND($AU855&gt;=46,$AU855&lt;=60),"46-60",AND($AU855&gt;=61,$AU855&lt;=90),"61-90",AND($AU855&gt;=91),"&gt; 90",AND($AU855&gt;=2000),""),"")</f>
        <v/>
      </c>
      <c r="AW855" s="79" t="str" cm="1">
        <f t="array" aca="1" ref="AW855" ca="1">IFERROR(_xlfn.IFS(OR($M855="",$AM855=""),"",OR($C855="Offered",$C855="Joined"),($AM855-$M855)-$AT855),"")</f>
        <v/>
      </c>
      <c r="AX855" s="79" t="str" cm="1">
        <f t="array" aca="1" ref="AX855" ca="1">IFERROR(_xlfn.IFS(OR($M855="",$AS855=""),"",$C855="Joined",($AS855-$M855)-$AT855),"")</f>
        <v/>
      </c>
      <c r="AY855" s="67" t="str">
        <f>IFERROR(IF(COUNTIFS('Candidate Tracker'!$E:$E,'Positions Tracker'!$B855,'Candidate Tracker'!$C:$C,"Offer Drop")=0,"",COUNTIFS('Candidate Tracker'!$E:$E,'Positions Tracker'!$B855,'Candidate Tracker'!$C:$C,"Offer Drop")),"")</f>
        <v/>
      </c>
      <c r="AZ855" s="80">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0.88111888111888115</v>
      </c>
      <c r="BA855" s="81" t="str">
        <f>IFERROR(IF(COUNTIFS('Candidate Tracker'!$E:$E,'Positions Tracker'!$B855,'Candidate Tracker'!$I:$I,"Female")=0,"",COUNTIFS('Candidate Tracker'!$E:$E,'Positions Tracker'!$B855,'Candidate Tracker'!$I:$I,"Female")),"")</f>
        <v/>
      </c>
      <c r="BB855" s="81" t="str">
        <f>IFERROR(IF(COUNTIFS('Candidate Tracker'!$E:$E,'Positions Tracker'!$B855,'Candidate Tracker'!$I:$I,"male")=0,"",COUNTIFS('Candidate Tracker'!$E:$E,'Positions Tracker'!$B855,'Candidate Tracker'!$I:$I,"male")),"")</f>
        <v/>
      </c>
      <c r="BC855" s="80" t="str">
        <f>IFERROR(IF(COUNTIFS('Candidate Tracker'!$E:$E,'Positions Tracker'!$B855,'Candidate Tracker'!$C:$C,"&lt;&gt;WIP",'Candidate Tracker'!$C:$C,"&lt;&gt;Hold",'Candidate Tracker'!$C:$C,"&lt;&gt;Cancelled",'Candidate Tracker'!$C:$C,"&lt;&gt;Closed")/COUNTIFS('Candidate Tracker'!$E:$E,'Positions Tracker'!$B855)=0,"",COUNTIFS('Candidate Tracker'!$E:$E,'Positions Tracker'!$B855,'Candidate Tracker'!$C:$C,"&lt;&gt;WIP",'Candidate Tracker'!$C:$C,"&lt;&gt;Hold",'Candidate Tracker'!$C:$C,"&lt;&gt;Cancelled",'Candidate Tracker'!$C:$C,"&lt;&gt;Closed")/COUNTIFS('Candidate Tracker'!$E:$E,'Positions Tracker'!$B855)),"")</f>
        <v/>
      </c>
      <c r="BD855" s="67" t="str">
        <f t="shared" si="78"/>
        <v/>
      </c>
      <c r="BE855" s="67" t="str">
        <f t="shared" si="79"/>
        <v/>
      </c>
      <c r="BF855" s="67" t="str">
        <f t="shared" si="80"/>
        <v/>
      </c>
      <c r="BG855" s="67" t="str">
        <f t="shared" si="81"/>
        <v/>
      </c>
    </row>
    <row r="856" spans="1:59">
      <c r="A856" s="55"/>
      <c r="B856" s="56"/>
      <c r="C856" s="56"/>
      <c r="D856" s="56"/>
      <c r="E856" s="56"/>
      <c r="F856" s="56"/>
      <c r="G856" s="56"/>
      <c r="H856" s="56"/>
      <c r="I856" s="6"/>
      <c r="J856" s="6"/>
      <c r="K856" s="57"/>
      <c r="L856" s="57"/>
      <c r="M856" s="57"/>
      <c r="N856" s="56"/>
      <c r="O856" s="56"/>
      <c r="P856" s="56"/>
      <c r="Q856" s="56"/>
      <c r="R856" s="56"/>
      <c r="S856" s="56"/>
      <c r="T856" s="56"/>
      <c r="U856" s="56"/>
      <c r="V856" s="56"/>
      <c r="W856" s="56"/>
      <c r="X856" s="56"/>
      <c r="Y856" s="56"/>
      <c r="Z856" s="56"/>
      <c r="AA856" s="56"/>
      <c r="AB856" s="56"/>
      <c r="AC856" s="56"/>
      <c r="AD856" s="56"/>
      <c r="AE856" s="56"/>
      <c r="AF856" s="56"/>
      <c r="AG856" s="56"/>
      <c r="AH856" s="56"/>
      <c r="AI856" s="58"/>
      <c r="AJ856" s="56"/>
      <c r="AK856" s="56"/>
      <c r="AL856" s="56"/>
      <c r="AM856" s="57"/>
      <c r="AN856" s="57"/>
      <c r="AO856" s="56"/>
      <c r="AP856" s="56"/>
      <c r="AQ856" s="57"/>
      <c r="AR856" s="57"/>
      <c r="AS856" s="57"/>
      <c r="AT856" s="67">
        <f t="shared" ca="1" si="82"/>
        <v>0</v>
      </c>
      <c r="AU856" s="79" t="str">
        <f t="shared" ca="1" si="83"/>
        <v/>
      </c>
      <c r="AV856" s="79" t="str" cm="1">
        <f t="array" aca="1" ref="AV856" ca="1">IFERROR(_xlfn.IFS($AU856="","",$AU856&lt;=15,"0-15",AND($AU856&gt;=16,$AU856&lt;=30),"16-30",AND($AU856&gt;=31,$AU856&lt;=45),"31-45",AND($AU856&gt;=46,$AU856&lt;=60),"46-60",AND($AU856&gt;=61,$AU856&lt;=90),"61-90",AND($AU856&gt;=91),"&gt; 90",AND($AU856&gt;=2000),""),"")</f>
        <v/>
      </c>
      <c r="AW856" s="79" t="str" cm="1">
        <f t="array" aca="1" ref="AW856" ca="1">IFERROR(_xlfn.IFS(OR($M856="",$AM856=""),"",OR($C856="Offered",$C856="Joined"),($AM856-$M856)-$AT856),"")</f>
        <v/>
      </c>
      <c r="AX856" s="79" t="str" cm="1">
        <f t="array" aca="1" ref="AX856" ca="1">IFERROR(_xlfn.IFS(OR($M856="",$AS856=""),"",$C856="Joined",($AS856-$M856)-$AT856),"")</f>
        <v/>
      </c>
      <c r="AY856" s="67" t="str">
        <f>IFERROR(IF(COUNTIFS('Candidate Tracker'!$E:$E,'Positions Tracker'!$B856,'Candidate Tracker'!$C:$C,"Offer Drop")=0,"",COUNTIFS('Candidate Tracker'!$E:$E,'Positions Tracker'!$B856,'Candidate Tracker'!$C:$C,"Offer Drop")),"")</f>
        <v/>
      </c>
      <c r="AZ856" s="80">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0.88111888111888115</v>
      </c>
      <c r="BA856" s="81" t="str">
        <f>IFERROR(IF(COUNTIFS('Candidate Tracker'!$E:$E,'Positions Tracker'!$B856,'Candidate Tracker'!$I:$I,"Female")=0,"",COUNTIFS('Candidate Tracker'!$E:$E,'Positions Tracker'!$B856,'Candidate Tracker'!$I:$I,"Female")),"")</f>
        <v/>
      </c>
      <c r="BB856" s="81" t="str">
        <f>IFERROR(IF(COUNTIFS('Candidate Tracker'!$E:$E,'Positions Tracker'!$B856,'Candidate Tracker'!$I:$I,"male")=0,"",COUNTIFS('Candidate Tracker'!$E:$E,'Positions Tracker'!$B856,'Candidate Tracker'!$I:$I,"male")),"")</f>
        <v/>
      </c>
      <c r="BC856" s="80" t="str">
        <f>IFERROR(IF(COUNTIFS('Candidate Tracker'!$E:$E,'Positions Tracker'!$B856,'Candidate Tracker'!$C:$C,"&lt;&gt;WIP",'Candidate Tracker'!$C:$C,"&lt;&gt;Hold",'Candidate Tracker'!$C:$C,"&lt;&gt;Cancelled",'Candidate Tracker'!$C:$C,"&lt;&gt;Closed")/COUNTIFS('Candidate Tracker'!$E:$E,'Positions Tracker'!$B856)=0,"",COUNTIFS('Candidate Tracker'!$E:$E,'Positions Tracker'!$B856,'Candidate Tracker'!$C:$C,"&lt;&gt;WIP",'Candidate Tracker'!$C:$C,"&lt;&gt;Hold",'Candidate Tracker'!$C:$C,"&lt;&gt;Cancelled",'Candidate Tracker'!$C:$C,"&lt;&gt;Closed")/COUNTIFS('Candidate Tracker'!$E:$E,'Positions Tracker'!$B856)),"")</f>
        <v/>
      </c>
      <c r="BD856" s="67" t="str">
        <f t="shared" si="78"/>
        <v/>
      </c>
      <c r="BE856" s="67" t="str">
        <f t="shared" si="79"/>
        <v/>
      </c>
      <c r="BF856" s="67" t="str">
        <f t="shared" si="80"/>
        <v/>
      </c>
      <c r="BG856" s="67" t="str">
        <f t="shared" si="81"/>
        <v/>
      </c>
    </row>
    <row r="857" spans="1:59">
      <c r="A857" s="55"/>
      <c r="B857" s="56"/>
      <c r="C857" s="56"/>
      <c r="D857" s="56"/>
      <c r="E857" s="56"/>
      <c r="F857" s="56"/>
      <c r="G857" s="56"/>
      <c r="H857" s="56"/>
      <c r="I857" s="6"/>
      <c r="J857" s="6"/>
      <c r="K857" s="57"/>
      <c r="L857" s="57"/>
      <c r="M857" s="57"/>
      <c r="N857" s="56"/>
      <c r="O857" s="56"/>
      <c r="P857" s="56"/>
      <c r="Q857" s="56"/>
      <c r="R857" s="56"/>
      <c r="S857" s="56"/>
      <c r="T857" s="56"/>
      <c r="U857" s="56"/>
      <c r="V857" s="56"/>
      <c r="W857" s="56"/>
      <c r="X857" s="56"/>
      <c r="Y857" s="56"/>
      <c r="Z857" s="56"/>
      <c r="AA857" s="56"/>
      <c r="AB857" s="56"/>
      <c r="AC857" s="56"/>
      <c r="AD857" s="56"/>
      <c r="AE857" s="56"/>
      <c r="AF857" s="56"/>
      <c r="AG857" s="56"/>
      <c r="AH857" s="56"/>
      <c r="AI857" s="58"/>
      <c r="AJ857" s="56"/>
      <c r="AK857" s="56"/>
      <c r="AL857" s="56"/>
      <c r="AM857" s="57"/>
      <c r="AN857" s="57"/>
      <c r="AO857" s="56"/>
      <c r="AP857" s="56"/>
      <c r="AQ857" s="57"/>
      <c r="AR857" s="57"/>
      <c r="AS857" s="57"/>
      <c r="AT857" s="67">
        <f t="shared" ca="1" si="82"/>
        <v>0</v>
      </c>
      <c r="AU857" s="79" t="str">
        <f t="shared" ca="1" si="83"/>
        <v/>
      </c>
      <c r="AV857" s="79" t="str" cm="1">
        <f t="array" aca="1" ref="AV857" ca="1">IFERROR(_xlfn.IFS($AU857="","",$AU857&lt;=15,"0-15",AND($AU857&gt;=16,$AU857&lt;=30),"16-30",AND($AU857&gt;=31,$AU857&lt;=45),"31-45",AND($AU857&gt;=46,$AU857&lt;=60),"46-60",AND($AU857&gt;=61,$AU857&lt;=90),"61-90",AND($AU857&gt;=91),"&gt; 90",AND($AU857&gt;=2000),""),"")</f>
        <v/>
      </c>
      <c r="AW857" s="79" t="str" cm="1">
        <f t="array" aca="1" ref="AW857" ca="1">IFERROR(_xlfn.IFS(OR($M857="",$AM857=""),"",OR($C857="Offered",$C857="Joined"),($AM857-$M857)-$AT857),"")</f>
        <v/>
      </c>
      <c r="AX857" s="79" t="str" cm="1">
        <f t="array" aca="1" ref="AX857" ca="1">IFERROR(_xlfn.IFS(OR($M857="",$AS857=""),"",$C857="Joined",($AS857-$M857)-$AT857),"")</f>
        <v/>
      </c>
      <c r="AY857" s="67" t="str">
        <f>IFERROR(IF(COUNTIFS('Candidate Tracker'!$E:$E,'Positions Tracker'!$B857,'Candidate Tracker'!$C:$C,"Offer Drop")=0,"",COUNTIFS('Candidate Tracker'!$E:$E,'Positions Tracker'!$B857,'Candidate Tracker'!$C:$C,"Offer Drop")),"")</f>
        <v/>
      </c>
      <c r="AZ857" s="80">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0.88111888111888115</v>
      </c>
      <c r="BA857" s="81" t="str">
        <f>IFERROR(IF(COUNTIFS('Candidate Tracker'!$E:$E,'Positions Tracker'!$B857,'Candidate Tracker'!$I:$I,"Female")=0,"",COUNTIFS('Candidate Tracker'!$E:$E,'Positions Tracker'!$B857,'Candidate Tracker'!$I:$I,"Female")),"")</f>
        <v/>
      </c>
      <c r="BB857" s="81" t="str">
        <f>IFERROR(IF(COUNTIFS('Candidate Tracker'!$E:$E,'Positions Tracker'!$B857,'Candidate Tracker'!$I:$I,"male")=0,"",COUNTIFS('Candidate Tracker'!$E:$E,'Positions Tracker'!$B857,'Candidate Tracker'!$I:$I,"male")),"")</f>
        <v/>
      </c>
      <c r="BC857" s="80" t="str">
        <f>IFERROR(IF(COUNTIFS('Candidate Tracker'!$E:$E,'Positions Tracker'!$B857,'Candidate Tracker'!$C:$C,"&lt;&gt;WIP",'Candidate Tracker'!$C:$C,"&lt;&gt;Hold",'Candidate Tracker'!$C:$C,"&lt;&gt;Cancelled",'Candidate Tracker'!$C:$C,"&lt;&gt;Closed")/COUNTIFS('Candidate Tracker'!$E:$E,'Positions Tracker'!$B857)=0,"",COUNTIFS('Candidate Tracker'!$E:$E,'Positions Tracker'!$B857,'Candidate Tracker'!$C:$C,"&lt;&gt;WIP",'Candidate Tracker'!$C:$C,"&lt;&gt;Hold",'Candidate Tracker'!$C:$C,"&lt;&gt;Cancelled",'Candidate Tracker'!$C:$C,"&lt;&gt;Closed")/COUNTIFS('Candidate Tracker'!$E:$E,'Positions Tracker'!$B857)),"")</f>
        <v/>
      </c>
      <c r="BD857" s="67" t="str">
        <f t="shared" si="78"/>
        <v/>
      </c>
      <c r="BE857" s="67" t="str">
        <f t="shared" si="79"/>
        <v/>
      </c>
      <c r="BF857" s="67" t="str">
        <f t="shared" si="80"/>
        <v/>
      </c>
      <c r="BG857" s="67" t="str">
        <f t="shared" si="81"/>
        <v/>
      </c>
    </row>
    <row r="858" spans="1:59">
      <c r="A858" s="55"/>
      <c r="B858" s="56"/>
      <c r="C858" s="56"/>
      <c r="D858" s="56"/>
      <c r="E858" s="56"/>
      <c r="F858" s="56"/>
      <c r="G858" s="56"/>
      <c r="H858" s="56"/>
      <c r="I858" s="6"/>
      <c r="J858" s="6"/>
      <c r="K858" s="57"/>
      <c r="L858" s="57"/>
      <c r="M858" s="57"/>
      <c r="N858" s="56"/>
      <c r="O858" s="56"/>
      <c r="P858" s="56"/>
      <c r="Q858" s="56"/>
      <c r="R858" s="56"/>
      <c r="S858" s="56"/>
      <c r="T858" s="56"/>
      <c r="U858" s="56"/>
      <c r="V858" s="56"/>
      <c r="W858" s="56"/>
      <c r="X858" s="56"/>
      <c r="Y858" s="56"/>
      <c r="Z858" s="56"/>
      <c r="AA858" s="56"/>
      <c r="AB858" s="56"/>
      <c r="AC858" s="56"/>
      <c r="AD858" s="56"/>
      <c r="AE858" s="56"/>
      <c r="AF858" s="56"/>
      <c r="AG858" s="56"/>
      <c r="AH858" s="56"/>
      <c r="AI858" s="58"/>
      <c r="AJ858" s="56"/>
      <c r="AK858" s="56"/>
      <c r="AL858" s="56"/>
      <c r="AM858" s="57"/>
      <c r="AN858" s="57"/>
      <c r="AO858" s="56"/>
      <c r="AP858" s="56"/>
      <c r="AQ858" s="57"/>
      <c r="AR858" s="57"/>
      <c r="AS858" s="57"/>
      <c r="AT858" s="67">
        <f t="shared" ca="1" si="82"/>
        <v>0</v>
      </c>
      <c r="AU858" s="79" t="str">
        <f t="shared" ca="1" si="83"/>
        <v/>
      </c>
      <c r="AV858" s="79" t="str" cm="1">
        <f t="array" aca="1" ref="AV858" ca="1">IFERROR(_xlfn.IFS($AU858="","",$AU858&lt;=15,"0-15",AND($AU858&gt;=16,$AU858&lt;=30),"16-30",AND($AU858&gt;=31,$AU858&lt;=45),"31-45",AND($AU858&gt;=46,$AU858&lt;=60),"46-60",AND($AU858&gt;=61,$AU858&lt;=90),"61-90",AND($AU858&gt;=91),"&gt; 90",AND($AU858&gt;=2000),""),"")</f>
        <v/>
      </c>
      <c r="AW858" s="79" t="str" cm="1">
        <f t="array" aca="1" ref="AW858" ca="1">IFERROR(_xlfn.IFS(OR($M858="",$AM858=""),"",OR($C858="Offered",$C858="Joined"),($AM858-$M858)-$AT858),"")</f>
        <v/>
      </c>
      <c r="AX858" s="79" t="str" cm="1">
        <f t="array" aca="1" ref="AX858" ca="1">IFERROR(_xlfn.IFS(OR($M858="",$AS858=""),"",$C858="Joined",($AS858-$M858)-$AT858),"")</f>
        <v/>
      </c>
      <c r="AY858" s="67" t="str">
        <f>IFERROR(IF(COUNTIFS('Candidate Tracker'!$E:$E,'Positions Tracker'!$B858,'Candidate Tracker'!$C:$C,"Offer Drop")=0,"",COUNTIFS('Candidate Tracker'!$E:$E,'Positions Tracker'!$B858,'Candidate Tracker'!$C:$C,"Offer Drop")),"")</f>
        <v/>
      </c>
      <c r="AZ858" s="80">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0.88111888111888115</v>
      </c>
      <c r="BA858" s="81" t="str">
        <f>IFERROR(IF(COUNTIFS('Candidate Tracker'!$E:$E,'Positions Tracker'!$B858,'Candidate Tracker'!$I:$I,"Female")=0,"",COUNTIFS('Candidate Tracker'!$E:$E,'Positions Tracker'!$B858,'Candidate Tracker'!$I:$I,"Female")),"")</f>
        <v/>
      </c>
      <c r="BB858" s="81" t="str">
        <f>IFERROR(IF(COUNTIFS('Candidate Tracker'!$E:$E,'Positions Tracker'!$B858,'Candidate Tracker'!$I:$I,"male")=0,"",COUNTIFS('Candidate Tracker'!$E:$E,'Positions Tracker'!$B858,'Candidate Tracker'!$I:$I,"male")),"")</f>
        <v/>
      </c>
      <c r="BC858" s="80" t="str">
        <f>IFERROR(IF(COUNTIFS('Candidate Tracker'!$E:$E,'Positions Tracker'!$B858,'Candidate Tracker'!$C:$C,"&lt;&gt;WIP",'Candidate Tracker'!$C:$C,"&lt;&gt;Hold",'Candidate Tracker'!$C:$C,"&lt;&gt;Cancelled",'Candidate Tracker'!$C:$C,"&lt;&gt;Closed")/COUNTIFS('Candidate Tracker'!$E:$E,'Positions Tracker'!$B858)=0,"",COUNTIFS('Candidate Tracker'!$E:$E,'Positions Tracker'!$B858,'Candidate Tracker'!$C:$C,"&lt;&gt;WIP",'Candidate Tracker'!$C:$C,"&lt;&gt;Hold",'Candidate Tracker'!$C:$C,"&lt;&gt;Cancelled",'Candidate Tracker'!$C:$C,"&lt;&gt;Closed")/COUNTIFS('Candidate Tracker'!$E:$E,'Positions Tracker'!$B858)),"")</f>
        <v/>
      </c>
      <c r="BD858" s="67" t="str">
        <f t="shared" si="78"/>
        <v/>
      </c>
      <c r="BE858" s="67" t="str">
        <f t="shared" si="79"/>
        <v/>
      </c>
      <c r="BF858" s="67" t="str">
        <f t="shared" si="80"/>
        <v/>
      </c>
      <c r="BG858" s="67" t="str">
        <f t="shared" si="81"/>
        <v/>
      </c>
    </row>
    <row r="859" spans="1:59">
      <c r="A859" s="55"/>
      <c r="B859" s="56"/>
      <c r="C859" s="56"/>
      <c r="D859" s="56"/>
      <c r="E859" s="56"/>
      <c r="F859" s="56"/>
      <c r="G859" s="56"/>
      <c r="H859" s="56"/>
      <c r="I859" s="6"/>
      <c r="J859" s="6"/>
      <c r="K859" s="57"/>
      <c r="L859" s="57"/>
      <c r="M859" s="57"/>
      <c r="N859" s="56"/>
      <c r="O859" s="56"/>
      <c r="P859" s="56"/>
      <c r="Q859" s="56"/>
      <c r="R859" s="56"/>
      <c r="S859" s="56"/>
      <c r="T859" s="56"/>
      <c r="U859" s="56"/>
      <c r="V859" s="56"/>
      <c r="W859" s="56"/>
      <c r="X859" s="56"/>
      <c r="Y859" s="56"/>
      <c r="Z859" s="56"/>
      <c r="AA859" s="56"/>
      <c r="AB859" s="56"/>
      <c r="AC859" s="56"/>
      <c r="AD859" s="56"/>
      <c r="AE859" s="56"/>
      <c r="AF859" s="56"/>
      <c r="AG859" s="56"/>
      <c r="AH859" s="56"/>
      <c r="AI859" s="58"/>
      <c r="AJ859" s="56"/>
      <c r="AK859" s="56"/>
      <c r="AL859" s="56"/>
      <c r="AM859" s="57"/>
      <c r="AN859" s="57"/>
      <c r="AO859" s="56"/>
      <c r="AP859" s="56"/>
      <c r="AQ859" s="57"/>
      <c r="AR859" s="57"/>
      <c r="AS859" s="57"/>
      <c r="AT859" s="67">
        <f t="shared" ca="1" si="82"/>
        <v>0</v>
      </c>
      <c r="AU859" s="79" t="str">
        <f t="shared" ca="1" si="83"/>
        <v/>
      </c>
      <c r="AV859" s="79" t="str" cm="1">
        <f t="array" aca="1" ref="AV859" ca="1">IFERROR(_xlfn.IFS($AU859="","",$AU859&lt;=15,"0-15",AND($AU859&gt;=16,$AU859&lt;=30),"16-30",AND($AU859&gt;=31,$AU859&lt;=45),"31-45",AND($AU859&gt;=46,$AU859&lt;=60),"46-60",AND($AU859&gt;=61,$AU859&lt;=90),"61-90",AND($AU859&gt;=91),"&gt; 90",AND($AU859&gt;=2000),""),"")</f>
        <v/>
      </c>
      <c r="AW859" s="79" t="str" cm="1">
        <f t="array" aca="1" ref="AW859" ca="1">IFERROR(_xlfn.IFS(OR($M859="",$AM859=""),"",OR($C859="Offered",$C859="Joined"),($AM859-$M859)-$AT859),"")</f>
        <v/>
      </c>
      <c r="AX859" s="79" t="str" cm="1">
        <f t="array" aca="1" ref="AX859" ca="1">IFERROR(_xlfn.IFS(OR($M859="",$AS859=""),"",$C859="Joined",($AS859-$M859)-$AT859),"")</f>
        <v/>
      </c>
      <c r="AY859" s="67" t="str">
        <f>IFERROR(IF(COUNTIFS('Candidate Tracker'!$E:$E,'Positions Tracker'!$B859,'Candidate Tracker'!$C:$C,"Offer Drop")=0,"",COUNTIFS('Candidate Tracker'!$E:$E,'Positions Tracker'!$B859,'Candidate Tracker'!$C:$C,"Offer Drop")),"")</f>
        <v/>
      </c>
      <c r="AZ859" s="80">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0.88111888111888115</v>
      </c>
      <c r="BA859" s="81" t="str">
        <f>IFERROR(IF(COUNTIFS('Candidate Tracker'!$E:$E,'Positions Tracker'!$B859,'Candidate Tracker'!$I:$I,"Female")=0,"",COUNTIFS('Candidate Tracker'!$E:$E,'Positions Tracker'!$B859,'Candidate Tracker'!$I:$I,"Female")),"")</f>
        <v/>
      </c>
      <c r="BB859" s="81" t="str">
        <f>IFERROR(IF(COUNTIFS('Candidate Tracker'!$E:$E,'Positions Tracker'!$B859,'Candidate Tracker'!$I:$I,"male")=0,"",COUNTIFS('Candidate Tracker'!$E:$E,'Positions Tracker'!$B859,'Candidate Tracker'!$I:$I,"male")),"")</f>
        <v/>
      </c>
      <c r="BC859" s="80" t="str">
        <f>IFERROR(IF(COUNTIFS('Candidate Tracker'!$E:$E,'Positions Tracker'!$B859,'Candidate Tracker'!$C:$C,"&lt;&gt;WIP",'Candidate Tracker'!$C:$C,"&lt;&gt;Hold",'Candidate Tracker'!$C:$C,"&lt;&gt;Cancelled",'Candidate Tracker'!$C:$C,"&lt;&gt;Closed")/COUNTIFS('Candidate Tracker'!$E:$E,'Positions Tracker'!$B859)=0,"",COUNTIFS('Candidate Tracker'!$E:$E,'Positions Tracker'!$B859,'Candidate Tracker'!$C:$C,"&lt;&gt;WIP",'Candidate Tracker'!$C:$C,"&lt;&gt;Hold",'Candidate Tracker'!$C:$C,"&lt;&gt;Cancelled",'Candidate Tracker'!$C:$C,"&lt;&gt;Closed")/COUNTIFS('Candidate Tracker'!$E:$E,'Positions Tracker'!$B859)),"")</f>
        <v/>
      </c>
      <c r="BD859" s="67" t="str">
        <f t="shared" si="78"/>
        <v/>
      </c>
      <c r="BE859" s="67" t="str">
        <f t="shared" si="79"/>
        <v/>
      </c>
      <c r="BF859" s="67" t="str">
        <f t="shared" si="80"/>
        <v/>
      </c>
      <c r="BG859" s="67" t="str">
        <f t="shared" si="81"/>
        <v/>
      </c>
    </row>
    <row r="860" spans="1:59">
      <c r="A860" s="55"/>
      <c r="B860" s="56"/>
      <c r="C860" s="56"/>
      <c r="D860" s="56"/>
      <c r="E860" s="56"/>
      <c r="F860" s="56"/>
      <c r="G860" s="56"/>
      <c r="H860" s="56"/>
      <c r="I860" s="6"/>
      <c r="J860" s="6"/>
      <c r="K860" s="57"/>
      <c r="L860" s="57"/>
      <c r="M860" s="57"/>
      <c r="N860" s="56"/>
      <c r="O860" s="56"/>
      <c r="P860" s="56"/>
      <c r="Q860" s="56"/>
      <c r="R860" s="56"/>
      <c r="S860" s="56"/>
      <c r="T860" s="56"/>
      <c r="U860" s="56"/>
      <c r="V860" s="56"/>
      <c r="W860" s="56"/>
      <c r="X860" s="56"/>
      <c r="Y860" s="56"/>
      <c r="Z860" s="56"/>
      <c r="AA860" s="56"/>
      <c r="AB860" s="56"/>
      <c r="AC860" s="56"/>
      <c r="AD860" s="56"/>
      <c r="AE860" s="56"/>
      <c r="AF860" s="56"/>
      <c r="AG860" s="56"/>
      <c r="AH860" s="56"/>
      <c r="AI860" s="58"/>
      <c r="AJ860" s="56"/>
      <c r="AK860" s="56"/>
      <c r="AL860" s="56"/>
      <c r="AM860" s="57"/>
      <c r="AN860" s="57"/>
      <c r="AO860" s="56"/>
      <c r="AP860" s="56"/>
      <c r="AQ860" s="57"/>
      <c r="AR860" s="57"/>
      <c r="AS860" s="57"/>
      <c r="AT860" s="67">
        <f t="shared" ca="1" si="82"/>
        <v>0</v>
      </c>
      <c r="AU860" s="79" t="str">
        <f t="shared" ca="1" si="83"/>
        <v/>
      </c>
      <c r="AV860" s="79" t="str" cm="1">
        <f t="array" aca="1" ref="AV860" ca="1">IFERROR(_xlfn.IFS($AU860="","",$AU860&lt;=15,"0-15",AND($AU860&gt;=16,$AU860&lt;=30),"16-30",AND($AU860&gt;=31,$AU860&lt;=45),"31-45",AND($AU860&gt;=46,$AU860&lt;=60),"46-60",AND($AU860&gt;=61,$AU860&lt;=90),"61-90",AND($AU860&gt;=91),"&gt; 90",AND($AU860&gt;=2000),""),"")</f>
        <v/>
      </c>
      <c r="AW860" s="79" t="str" cm="1">
        <f t="array" aca="1" ref="AW860" ca="1">IFERROR(_xlfn.IFS(OR($M860="",$AM860=""),"",OR($C860="Offered",$C860="Joined"),($AM860-$M860)-$AT860),"")</f>
        <v/>
      </c>
      <c r="AX860" s="79" t="str" cm="1">
        <f t="array" aca="1" ref="AX860" ca="1">IFERROR(_xlfn.IFS(OR($M860="",$AS860=""),"",$C860="Joined",($AS860-$M860)-$AT860),"")</f>
        <v/>
      </c>
      <c r="AY860" s="67" t="str">
        <f>IFERROR(IF(COUNTIFS('Candidate Tracker'!$E:$E,'Positions Tracker'!$B860,'Candidate Tracker'!$C:$C,"Offer Drop")=0,"",COUNTIFS('Candidate Tracker'!$E:$E,'Positions Tracker'!$B860,'Candidate Tracker'!$C:$C,"Offer Drop")),"")</f>
        <v/>
      </c>
      <c r="AZ860" s="80">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0.88111888111888115</v>
      </c>
      <c r="BA860" s="81" t="str">
        <f>IFERROR(IF(COUNTIFS('Candidate Tracker'!$E:$E,'Positions Tracker'!$B860,'Candidate Tracker'!$I:$I,"Female")=0,"",COUNTIFS('Candidate Tracker'!$E:$E,'Positions Tracker'!$B860,'Candidate Tracker'!$I:$I,"Female")),"")</f>
        <v/>
      </c>
      <c r="BB860" s="81" t="str">
        <f>IFERROR(IF(COUNTIFS('Candidate Tracker'!$E:$E,'Positions Tracker'!$B860,'Candidate Tracker'!$I:$I,"male")=0,"",COUNTIFS('Candidate Tracker'!$E:$E,'Positions Tracker'!$B860,'Candidate Tracker'!$I:$I,"male")),"")</f>
        <v/>
      </c>
      <c r="BC860" s="80" t="str">
        <f>IFERROR(IF(COUNTIFS('Candidate Tracker'!$E:$E,'Positions Tracker'!$B860,'Candidate Tracker'!$C:$C,"&lt;&gt;WIP",'Candidate Tracker'!$C:$C,"&lt;&gt;Hold",'Candidate Tracker'!$C:$C,"&lt;&gt;Cancelled",'Candidate Tracker'!$C:$C,"&lt;&gt;Closed")/COUNTIFS('Candidate Tracker'!$E:$E,'Positions Tracker'!$B860)=0,"",COUNTIFS('Candidate Tracker'!$E:$E,'Positions Tracker'!$B860,'Candidate Tracker'!$C:$C,"&lt;&gt;WIP",'Candidate Tracker'!$C:$C,"&lt;&gt;Hold",'Candidate Tracker'!$C:$C,"&lt;&gt;Cancelled",'Candidate Tracker'!$C:$C,"&lt;&gt;Closed")/COUNTIFS('Candidate Tracker'!$E:$E,'Positions Tracker'!$B860)),"")</f>
        <v/>
      </c>
      <c r="BD860" s="67" t="str">
        <f t="shared" si="78"/>
        <v/>
      </c>
      <c r="BE860" s="67" t="str">
        <f t="shared" si="79"/>
        <v/>
      </c>
      <c r="BF860" s="67" t="str">
        <f t="shared" si="80"/>
        <v/>
      </c>
      <c r="BG860" s="67" t="str">
        <f t="shared" si="81"/>
        <v/>
      </c>
    </row>
    <row r="861" spans="1:59">
      <c r="A861" s="55"/>
      <c r="B861" s="56"/>
      <c r="C861" s="56"/>
      <c r="D861" s="56"/>
      <c r="E861" s="56"/>
      <c r="F861" s="56"/>
      <c r="G861" s="56"/>
      <c r="H861" s="56"/>
      <c r="I861" s="6"/>
      <c r="J861" s="6"/>
      <c r="K861" s="57"/>
      <c r="L861" s="57"/>
      <c r="M861" s="57"/>
      <c r="N861" s="56"/>
      <c r="O861" s="56"/>
      <c r="P861" s="56"/>
      <c r="Q861" s="56"/>
      <c r="R861" s="56"/>
      <c r="S861" s="56"/>
      <c r="T861" s="56"/>
      <c r="U861" s="56"/>
      <c r="V861" s="56"/>
      <c r="W861" s="56"/>
      <c r="X861" s="56"/>
      <c r="Y861" s="56"/>
      <c r="Z861" s="56"/>
      <c r="AA861" s="56"/>
      <c r="AB861" s="56"/>
      <c r="AC861" s="56"/>
      <c r="AD861" s="56"/>
      <c r="AE861" s="56"/>
      <c r="AF861" s="56"/>
      <c r="AG861" s="56"/>
      <c r="AH861" s="56"/>
      <c r="AI861" s="58"/>
      <c r="AJ861" s="56"/>
      <c r="AK861" s="56"/>
      <c r="AL861" s="56"/>
      <c r="AM861" s="57"/>
      <c r="AN861" s="57"/>
      <c r="AO861" s="56"/>
      <c r="AP861" s="56"/>
      <c r="AQ861" s="57"/>
      <c r="AR861" s="57"/>
      <c r="AS861" s="57"/>
      <c r="AT861" s="67">
        <f t="shared" ca="1" si="82"/>
        <v>0</v>
      </c>
      <c r="AU861" s="79" t="str">
        <f t="shared" ca="1" si="83"/>
        <v/>
      </c>
      <c r="AV861" s="79" t="str" cm="1">
        <f t="array" aca="1" ref="AV861" ca="1">IFERROR(_xlfn.IFS($AU861="","",$AU861&lt;=15,"0-15",AND($AU861&gt;=16,$AU861&lt;=30),"16-30",AND($AU861&gt;=31,$AU861&lt;=45),"31-45",AND($AU861&gt;=46,$AU861&lt;=60),"46-60",AND($AU861&gt;=61,$AU861&lt;=90),"61-90",AND($AU861&gt;=91),"&gt; 90",AND($AU861&gt;=2000),""),"")</f>
        <v/>
      </c>
      <c r="AW861" s="79" t="str" cm="1">
        <f t="array" aca="1" ref="AW861" ca="1">IFERROR(_xlfn.IFS(OR($M861="",$AM861=""),"",OR($C861="Offered",$C861="Joined"),($AM861-$M861)-$AT861),"")</f>
        <v/>
      </c>
      <c r="AX861" s="79" t="str" cm="1">
        <f t="array" aca="1" ref="AX861" ca="1">IFERROR(_xlfn.IFS(OR($M861="",$AS861=""),"",$C861="Joined",($AS861-$M861)-$AT861),"")</f>
        <v/>
      </c>
      <c r="AY861" s="67" t="str">
        <f>IFERROR(IF(COUNTIFS('Candidate Tracker'!$E:$E,'Positions Tracker'!$B861,'Candidate Tracker'!$C:$C,"Offer Drop")=0,"",COUNTIFS('Candidate Tracker'!$E:$E,'Positions Tracker'!$B861,'Candidate Tracker'!$C:$C,"Offer Drop")),"")</f>
        <v/>
      </c>
      <c r="AZ861" s="80">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0.88111888111888115</v>
      </c>
      <c r="BA861" s="81" t="str">
        <f>IFERROR(IF(COUNTIFS('Candidate Tracker'!$E:$E,'Positions Tracker'!$B861,'Candidate Tracker'!$I:$I,"Female")=0,"",COUNTIFS('Candidate Tracker'!$E:$E,'Positions Tracker'!$B861,'Candidate Tracker'!$I:$I,"Female")),"")</f>
        <v/>
      </c>
      <c r="BB861" s="81" t="str">
        <f>IFERROR(IF(COUNTIFS('Candidate Tracker'!$E:$E,'Positions Tracker'!$B861,'Candidate Tracker'!$I:$I,"male")=0,"",COUNTIFS('Candidate Tracker'!$E:$E,'Positions Tracker'!$B861,'Candidate Tracker'!$I:$I,"male")),"")</f>
        <v/>
      </c>
      <c r="BC861" s="80" t="str">
        <f>IFERROR(IF(COUNTIFS('Candidate Tracker'!$E:$E,'Positions Tracker'!$B861,'Candidate Tracker'!$C:$C,"&lt;&gt;WIP",'Candidate Tracker'!$C:$C,"&lt;&gt;Hold",'Candidate Tracker'!$C:$C,"&lt;&gt;Cancelled",'Candidate Tracker'!$C:$C,"&lt;&gt;Closed")/COUNTIFS('Candidate Tracker'!$E:$E,'Positions Tracker'!$B861)=0,"",COUNTIFS('Candidate Tracker'!$E:$E,'Positions Tracker'!$B861,'Candidate Tracker'!$C:$C,"&lt;&gt;WIP",'Candidate Tracker'!$C:$C,"&lt;&gt;Hold",'Candidate Tracker'!$C:$C,"&lt;&gt;Cancelled",'Candidate Tracker'!$C:$C,"&lt;&gt;Closed")/COUNTIFS('Candidate Tracker'!$E:$E,'Positions Tracker'!$B861)),"")</f>
        <v/>
      </c>
      <c r="BD861" s="67" t="str">
        <f t="shared" si="78"/>
        <v/>
      </c>
      <c r="BE861" s="67" t="str">
        <f t="shared" si="79"/>
        <v/>
      </c>
      <c r="BF861" s="67" t="str">
        <f t="shared" si="80"/>
        <v/>
      </c>
      <c r="BG861" s="67" t="str">
        <f t="shared" si="81"/>
        <v/>
      </c>
    </row>
    <row r="862" spans="1:59">
      <c r="A862" s="55"/>
      <c r="B862" s="56"/>
      <c r="C862" s="56"/>
      <c r="D862" s="56"/>
      <c r="E862" s="56"/>
      <c r="F862" s="56"/>
      <c r="G862" s="56"/>
      <c r="H862" s="56"/>
      <c r="I862" s="6"/>
      <c r="J862" s="6"/>
      <c r="K862" s="57"/>
      <c r="L862" s="57"/>
      <c r="M862" s="57"/>
      <c r="N862" s="56"/>
      <c r="O862" s="56"/>
      <c r="P862" s="56"/>
      <c r="Q862" s="56"/>
      <c r="R862" s="56"/>
      <c r="S862" s="56"/>
      <c r="T862" s="56"/>
      <c r="U862" s="56"/>
      <c r="V862" s="56"/>
      <c r="W862" s="56"/>
      <c r="X862" s="56"/>
      <c r="Y862" s="56"/>
      <c r="Z862" s="56"/>
      <c r="AA862" s="56"/>
      <c r="AB862" s="56"/>
      <c r="AC862" s="56"/>
      <c r="AD862" s="56"/>
      <c r="AE862" s="56"/>
      <c r="AF862" s="56"/>
      <c r="AG862" s="56"/>
      <c r="AH862" s="56"/>
      <c r="AI862" s="58"/>
      <c r="AJ862" s="56"/>
      <c r="AK862" s="56"/>
      <c r="AL862" s="56"/>
      <c r="AM862" s="57"/>
      <c r="AN862" s="57"/>
      <c r="AO862" s="56"/>
      <c r="AP862" s="56"/>
      <c r="AQ862" s="57"/>
      <c r="AR862" s="57"/>
      <c r="AS862" s="57"/>
      <c r="AT862" s="67">
        <f t="shared" ca="1" si="82"/>
        <v>0</v>
      </c>
      <c r="AU862" s="79" t="str">
        <f t="shared" ca="1" si="83"/>
        <v/>
      </c>
      <c r="AV862" s="79" t="str" cm="1">
        <f t="array" aca="1" ref="AV862" ca="1">IFERROR(_xlfn.IFS($AU862="","",$AU862&lt;=15,"0-15",AND($AU862&gt;=16,$AU862&lt;=30),"16-30",AND($AU862&gt;=31,$AU862&lt;=45),"31-45",AND($AU862&gt;=46,$AU862&lt;=60),"46-60",AND($AU862&gt;=61,$AU862&lt;=90),"61-90",AND($AU862&gt;=91),"&gt; 90",AND($AU862&gt;=2000),""),"")</f>
        <v/>
      </c>
      <c r="AW862" s="79" t="str" cm="1">
        <f t="array" aca="1" ref="AW862" ca="1">IFERROR(_xlfn.IFS(OR($M862="",$AM862=""),"",OR($C862="Offered",$C862="Joined"),($AM862-$M862)-$AT862),"")</f>
        <v/>
      </c>
      <c r="AX862" s="79" t="str" cm="1">
        <f t="array" aca="1" ref="AX862" ca="1">IFERROR(_xlfn.IFS(OR($M862="",$AS862=""),"",$C862="Joined",($AS862-$M862)-$AT862),"")</f>
        <v/>
      </c>
      <c r="AY862" s="67" t="str">
        <f>IFERROR(IF(COUNTIFS('Candidate Tracker'!$E:$E,'Positions Tracker'!$B862,'Candidate Tracker'!$C:$C,"Offer Drop")=0,"",COUNTIFS('Candidate Tracker'!$E:$E,'Positions Tracker'!$B862,'Candidate Tracker'!$C:$C,"Offer Drop")),"")</f>
        <v/>
      </c>
      <c r="AZ862" s="80">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0.88111888111888115</v>
      </c>
      <c r="BA862" s="81" t="str">
        <f>IFERROR(IF(COUNTIFS('Candidate Tracker'!$E:$E,'Positions Tracker'!$B862,'Candidate Tracker'!$I:$I,"Female")=0,"",COUNTIFS('Candidate Tracker'!$E:$E,'Positions Tracker'!$B862,'Candidate Tracker'!$I:$I,"Female")),"")</f>
        <v/>
      </c>
      <c r="BB862" s="81" t="str">
        <f>IFERROR(IF(COUNTIFS('Candidate Tracker'!$E:$E,'Positions Tracker'!$B862,'Candidate Tracker'!$I:$I,"male")=0,"",COUNTIFS('Candidate Tracker'!$E:$E,'Positions Tracker'!$B862,'Candidate Tracker'!$I:$I,"male")),"")</f>
        <v/>
      </c>
      <c r="BC862" s="80" t="str">
        <f>IFERROR(IF(COUNTIFS('Candidate Tracker'!$E:$E,'Positions Tracker'!$B862,'Candidate Tracker'!$C:$C,"&lt;&gt;WIP",'Candidate Tracker'!$C:$C,"&lt;&gt;Hold",'Candidate Tracker'!$C:$C,"&lt;&gt;Cancelled",'Candidate Tracker'!$C:$C,"&lt;&gt;Closed")/COUNTIFS('Candidate Tracker'!$E:$E,'Positions Tracker'!$B862)=0,"",COUNTIFS('Candidate Tracker'!$E:$E,'Positions Tracker'!$B862,'Candidate Tracker'!$C:$C,"&lt;&gt;WIP",'Candidate Tracker'!$C:$C,"&lt;&gt;Hold",'Candidate Tracker'!$C:$C,"&lt;&gt;Cancelled",'Candidate Tracker'!$C:$C,"&lt;&gt;Closed")/COUNTIFS('Candidate Tracker'!$E:$E,'Positions Tracker'!$B862)),"")</f>
        <v/>
      </c>
      <c r="BD862" s="67" t="str">
        <f t="shared" si="78"/>
        <v/>
      </c>
      <c r="BE862" s="67" t="str">
        <f t="shared" si="79"/>
        <v/>
      </c>
      <c r="BF862" s="67" t="str">
        <f t="shared" si="80"/>
        <v/>
      </c>
      <c r="BG862" s="67" t="str">
        <f t="shared" si="81"/>
        <v/>
      </c>
    </row>
    <row r="863" spans="1:59">
      <c r="A863" s="55"/>
      <c r="B863" s="56"/>
      <c r="C863" s="56"/>
      <c r="D863" s="56"/>
      <c r="E863" s="56"/>
      <c r="F863" s="56"/>
      <c r="G863" s="56"/>
      <c r="H863" s="56"/>
      <c r="I863" s="6"/>
      <c r="J863" s="6"/>
      <c r="K863" s="57"/>
      <c r="L863" s="57"/>
      <c r="M863" s="57"/>
      <c r="N863" s="56"/>
      <c r="O863" s="56"/>
      <c r="P863" s="56"/>
      <c r="Q863" s="56"/>
      <c r="R863" s="56"/>
      <c r="S863" s="56"/>
      <c r="T863" s="56"/>
      <c r="U863" s="56"/>
      <c r="V863" s="56"/>
      <c r="W863" s="56"/>
      <c r="X863" s="56"/>
      <c r="Y863" s="56"/>
      <c r="Z863" s="56"/>
      <c r="AA863" s="56"/>
      <c r="AB863" s="56"/>
      <c r="AC863" s="56"/>
      <c r="AD863" s="56"/>
      <c r="AE863" s="56"/>
      <c r="AF863" s="56"/>
      <c r="AG863" s="56"/>
      <c r="AH863" s="56"/>
      <c r="AI863" s="58"/>
      <c r="AJ863" s="56"/>
      <c r="AK863" s="56"/>
      <c r="AL863" s="56"/>
      <c r="AM863" s="57"/>
      <c r="AN863" s="57"/>
      <c r="AO863" s="56"/>
      <c r="AP863" s="56"/>
      <c r="AQ863" s="57"/>
      <c r="AR863" s="57"/>
      <c r="AS863" s="57"/>
      <c r="AT863" s="67">
        <f t="shared" ca="1" si="82"/>
        <v>0</v>
      </c>
      <c r="AU863" s="79" t="str">
        <f t="shared" ca="1" si="83"/>
        <v/>
      </c>
      <c r="AV863" s="79" t="str" cm="1">
        <f t="array" aca="1" ref="AV863" ca="1">IFERROR(_xlfn.IFS($AU863="","",$AU863&lt;=15,"0-15",AND($AU863&gt;=16,$AU863&lt;=30),"16-30",AND($AU863&gt;=31,$AU863&lt;=45),"31-45",AND($AU863&gt;=46,$AU863&lt;=60),"46-60",AND($AU863&gt;=61,$AU863&lt;=90),"61-90",AND($AU863&gt;=91),"&gt; 90",AND($AU863&gt;=2000),""),"")</f>
        <v/>
      </c>
      <c r="AW863" s="79" t="str" cm="1">
        <f t="array" aca="1" ref="AW863" ca="1">IFERROR(_xlfn.IFS(OR($M863="",$AM863=""),"",OR($C863="Offered",$C863="Joined"),($AM863-$M863)-$AT863),"")</f>
        <v/>
      </c>
      <c r="AX863" s="79" t="str" cm="1">
        <f t="array" aca="1" ref="AX863" ca="1">IFERROR(_xlfn.IFS(OR($M863="",$AS863=""),"",$C863="Joined",($AS863-$M863)-$AT863),"")</f>
        <v/>
      </c>
      <c r="AY863" s="67" t="str">
        <f>IFERROR(IF(COUNTIFS('Candidate Tracker'!$E:$E,'Positions Tracker'!$B863,'Candidate Tracker'!$C:$C,"Offer Drop")=0,"",COUNTIFS('Candidate Tracker'!$E:$E,'Positions Tracker'!$B863,'Candidate Tracker'!$C:$C,"Offer Drop")),"")</f>
        <v/>
      </c>
      <c r="AZ863" s="80">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0.88111888111888115</v>
      </c>
      <c r="BA863" s="81" t="str">
        <f>IFERROR(IF(COUNTIFS('Candidate Tracker'!$E:$E,'Positions Tracker'!$B863,'Candidate Tracker'!$I:$I,"Female")=0,"",COUNTIFS('Candidate Tracker'!$E:$E,'Positions Tracker'!$B863,'Candidate Tracker'!$I:$I,"Female")),"")</f>
        <v/>
      </c>
      <c r="BB863" s="81" t="str">
        <f>IFERROR(IF(COUNTIFS('Candidate Tracker'!$E:$E,'Positions Tracker'!$B863,'Candidate Tracker'!$I:$I,"male")=0,"",COUNTIFS('Candidate Tracker'!$E:$E,'Positions Tracker'!$B863,'Candidate Tracker'!$I:$I,"male")),"")</f>
        <v/>
      </c>
      <c r="BC863" s="80" t="str">
        <f>IFERROR(IF(COUNTIFS('Candidate Tracker'!$E:$E,'Positions Tracker'!$B863,'Candidate Tracker'!$C:$C,"&lt;&gt;WIP",'Candidate Tracker'!$C:$C,"&lt;&gt;Hold",'Candidate Tracker'!$C:$C,"&lt;&gt;Cancelled",'Candidate Tracker'!$C:$C,"&lt;&gt;Closed")/COUNTIFS('Candidate Tracker'!$E:$E,'Positions Tracker'!$B863)=0,"",COUNTIFS('Candidate Tracker'!$E:$E,'Positions Tracker'!$B863,'Candidate Tracker'!$C:$C,"&lt;&gt;WIP",'Candidate Tracker'!$C:$C,"&lt;&gt;Hold",'Candidate Tracker'!$C:$C,"&lt;&gt;Cancelled",'Candidate Tracker'!$C:$C,"&lt;&gt;Closed")/COUNTIFS('Candidate Tracker'!$E:$E,'Positions Tracker'!$B863)),"")</f>
        <v/>
      </c>
      <c r="BD863" s="67" t="str">
        <f t="shared" si="78"/>
        <v/>
      </c>
      <c r="BE863" s="67" t="str">
        <f t="shared" si="79"/>
        <v/>
      </c>
      <c r="BF863" s="67" t="str">
        <f t="shared" si="80"/>
        <v/>
      </c>
      <c r="BG863" s="67" t="str">
        <f t="shared" si="81"/>
        <v/>
      </c>
    </row>
    <row r="864" spans="1:59">
      <c r="A864" s="55"/>
      <c r="B864" s="56"/>
      <c r="C864" s="56"/>
      <c r="D864" s="56"/>
      <c r="E864" s="56"/>
      <c r="F864" s="56"/>
      <c r="G864" s="56"/>
      <c r="H864" s="56"/>
      <c r="I864" s="6"/>
      <c r="J864" s="6"/>
      <c r="K864" s="57"/>
      <c r="L864" s="57"/>
      <c r="M864" s="57"/>
      <c r="N864" s="56"/>
      <c r="O864" s="56"/>
      <c r="P864" s="56"/>
      <c r="Q864" s="56"/>
      <c r="R864" s="56"/>
      <c r="S864" s="56"/>
      <c r="T864" s="56"/>
      <c r="U864" s="56"/>
      <c r="V864" s="56"/>
      <c r="W864" s="56"/>
      <c r="X864" s="56"/>
      <c r="Y864" s="56"/>
      <c r="Z864" s="56"/>
      <c r="AA864" s="56"/>
      <c r="AB864" s="56"/>
      <c r="AC864" s="56"/>
      <c r="AD864" s="56"/>
      <c r="AE864" s="56"/>
      <c r="AF864" s="56"/>
      <c r="AG864" s="56"/>
      <c r="AH864" s="56"/>
      <c r="AI864" s="58"/>
      <c r="AJ864" s="56"/>
      <c r="AK864" s="56"/>
      <c r="AL864" s="56"/>
      <c r="AM864" s="57"/>
      <c r="AN864" s="57"/>
      <c r="AO864" s="56"/>
      <c r="AP864" s="56"/>
      <c r="AQ864" s="57"/>
      <c r="AR864" s="57"/>
      <c r="AS864" s="57"/>
      <c r="AT864" s="67">
        <f t="shared" ca="1" si="82"/>
        <v>0</v>
      </c>
      <c r="AU864" s="79" t="str">
        <f t="shared" ca="1" si="83"/>
        <v/>
      </c>
      <c r="AV864" s="79" t="str" cm="1">
        <f t="array" aca="1" ref="AV864" ca="1">IFERROR(_xlfn.IFS($AU864="","",$AU864&lt;=15,"0-15",AND($AU864&gt;=16,$AU864&lt;=30),"16-30",AND($AU864&gt;=31,$AU864&lt;=45),"31-45",AND($AU864&gt;=46,$AU864&lt;=60),"46-60",AND($AU864&gt;=61,$AU864&lt;=90),"61-90",AND($AU864&gt;=91),"&gt; 90",AND($AU864&gt;=2000),""),"")</f>
        <v/>
      </c>
      <c r="AW864" s="79" t="str" cm="1">
        <f t="array" aca="1" ref="AW864" ca="1">IFERROR(_xlfn.IFS(OR($M864="",$AM864=""),"",OR($C864="Offered",$C864="Joined"),($AM864-$M864)-$AT864),"")</f>
        <v/>
      </c>
      <c r="AX864" s="79" t="str" cm="1">
        <f t="array" aca="1" ref="AX864" ca="1">IFERROR(_xlfn.IFS(OR($M864="",$AS864=""),"",$C864="Joined",($AS864-$M864)-$AT864),"")</f>
        <v/>
      </c>
      <c r="AY864" s="67" t="str">
        <f>IFERROR(IF(COUNTIFS('Candidate Tracker'!$E:$E,'Positions Tracker'!$B864,'Candidate Tracker'!$C:$C,"Offer Drop")=0,"",COUNTIFS('Candidate Tracker'!$E:$E,'Positions Tracker'!$B864,'Candidate Tracker'!$C:$C,"Offer Drop")),"")</f>
        <v/>
      </c>
      <c r="AZ864" s="80">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0.88111888111888115</v>
      </c>
      <c r="BA864" s="81" t="str">
        <f>IFERROR(IF(COUNTIFS('Candidate Tracker'!$E:$E,'Positions Tracker'!$B864,'Candidate Tracker'!$I:$I,"Female")=0,"",COUNTIFS('Candidate Tracker'!$E:$E,'Positions Tracker'!$B864,'Candidate Tracker'!$I:$I,"Female")),"")</f>
        <v/>
      </c>
      <c r="BB864" s="81" t="str">
        <f>IFERROR(IF(COUNTIFS('Candidate Tracker'!$E:$E,'Positions Tracker'!$B864,'Candidate Tracker'!$I:$I,"male")=0,"",COUNTIFS('Candidate Tracker'!$E:$E,'Positions Tracker'!$B864,'Candidate Tracker'!$I:$I,"male")),"")</f>
        <v/>
      </c>
      <c r="BC864" s="80" t="str">
        <f>IFERROR(IF(COUNTIFS('Candidate Tracker'!$E:$E,'Positions Tracker'!$B864,'Candidate Tracker'!$C:$C,"&lt;&gt;WIP",'Candidate Tracker'!$C:$C,"&lt;&gt;Hold",'Candidate Tracker'!$C:$C,"&lt;&gt;Cancelled",'Candidate Tracker'!$C:$C,"&lt;&gt;Closed")/COUNTIFS('Candidate Tracker'!$E:$E,'Positions Tracker'!$B864)=0,"",COUNTIFS('Candidate Tracker'!$E:$E,'Positions Tracker'!$B864,'Candidate Tracker'!$C:$C,"&lt;&gt;WIP",'Candidate Tracker'!$C:$C,"&lt;&gt;Hold",'Candidate Tracker'!$C:$C,"&lt;&gt;Cancelled",'Candidate Tracker'!$C:$C,"&lt;&gt;Closed")/COUNTIFS('Candidate Tracker'!$E:$E,'Positions Tracker'!$B864)),"")</f>
        <v/>
      </c>
      <c r="BD864" s="67" t="str">
        <f t="shared" si="78"/>
        <v/>
      </c>
      <c r="BE864" s="67" t="str">
        <f t="shared" si="79"/>
        <v/>
      </c>
      <c r="BF864" s="67" t="str">
        <f t="shared" si="80"/>
        <v/>
      </c>
      <c r="BG864" s="67" t="str">
        <f t="shared" si="81"/>
        <v/>
      </c>
    </row>
    <row r="865" spans="1:59">
      <c r="A865" s="55"/>
      <c r="B865" s="56"/>
      <c r="C865" s="56"/>
      <c r="D865" s="56"/>
      <c r="E865" s="56"/>
      <c r="F865" s="56"/>
      <c r="G865" s="56"/>
      <c r="H865" s="56"/>
      <c r="I865" s="6"/>
      <c r="J865" s="6"/>
      <c r="K865" s="57"/>
      <c r="L865" s="57"/>
      <c r="M865" s="57"/>
      <c r="N865" s="56"/>
      <c r="O865" s="56"/>
      <c r="P865" s="56"/>
      <c r="Q865" s="56"/>
      <c r="R865" s="56"/>
      <c r="S865" s="56"/>
      <c r="T865" s="56"/>
      <c r="U865" s="56"/>
      <c r="V865" s="56"/>
      <c r="W865" s="56"/>
      <c r="X865" s="56"/>
      <c r="Y865" s="56"/>
      <c r="Z865" s="56"/>
      <c r="AA865" s="56"/>
      <c r="AB865" s="56"/>
      <c r="AC865" s="56"/>
      <c r="AD865" s="56"/>
      <c r="AE865" s="56"/>
      <c r="AF865" s="56"/>
      <c r="AG865" s="56"/>
      <c r="AH865" s="56"/>
      <c r="AI865" s="58"/>
      <c r="AJ865" s="56"/>
      <c r="AK865" s="56"/>
      <c r="AL865" s="56"/>
      <c r="AM865" s="57"/>
      <c r="AN865" s="57"/>
      <c r="AO865" s="56"/>
      <c r="AP865" s="56"/>
      <c r="AQ865" s="57"/>
      <c r="AR865" s="57"/>
      <c r="AS865" s="57"/>
      <c r="AT865" s="67">
        <f t="shared" ca="1" si="82"/>
        <v>0</v>
      </c>
      <c r="AU865" s="79" t="str">
        <f t="shared" ca="1" si="83"/>
        <v/>
      </c>
      <c r="AV865" s="79" t="str" cm="1">
        <f t="array" aca="1" ref="AV865" ca="1">IFERROR(_xlfn.IFS($AU865="","",$AU865&lt;=15,"0-15",AND($AU865&gt;=16,$AU865&lt;=30),"16-30",AND($AU865&gt;=31,$AU865&lt;=45),"31-45",AND($AU865&gt;=46,$AU865&lt;=60),"46-60",AND($AU865&gt;=61,$AU865&lt;=90),"61-90",AND($AU865&gt;=91),"&gt; 90",AND($AU865&gt;=2000),""),"")</f>
        <v/>
      </c>
      <c r="AW865" s="79" t="str" cm="1">
        <f t="array" aca="1" ref="AW865" ca="1">IFERROR(_xlfn.IFS(OR($M865="",$AM865=""),"",OR($C865="Offered",$C865="Joined"),($AM865-$M865)-$AT865),"")</f>
        <v/>
      </c>
      <c r="AX865" s="79" t="str" cm="1">
        <f t="array" aca="1" ref="AX865" ca="1">IFERROR(_xlfn.IFS(OR($M865="",$AS865=""),"",$C865="Joined",($AS865-$M865)-$AT865),"")</f>
        <v/>
      </c>
      <c r="AY865" s="67" t="str">
        <f>IFERROR(IF(COUNTIFS('Candidate Tracker'!$E:$E,'Positions Tracker'!$B865,'Candidate Tracker'!$C:$C,"Offer Drop")=0,"",COUNTIFS('Candidate Tracker'!$E:$E,'Positions Tracker'!$B865,'Candidate Tracker'!$C:$C,"Offer Drop")),"")</f>
        <v/>
      </c>
      <c r="AZ865" s="80">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0.88111888111888115</v>
      </c>
      <c r="BA865" s="81" t="str">
        <f>IFERROR(IF(COUNTIFS('Candidate Tracker'!$E:$E,'Positions Tracker'!$B865,'Candidate Tracker'!$I:$I,"Female")=0,"",COUNTIFS('Candidate Tracker'!$E:$E,'Positions Tracker'!$B865,'Candidate Tracker'!$I:$I,"Female")),"")</f>
        <v/>
      </c>
      <c r="BB865" s="81" t="str">
        <f>IFERROR(IF(COUNTIFS('Candidate Tracker'!$E:$E,'Positions Tracker'!$B865,'Candidate Tracker'!$I:$I,"male")=0,"",COUNTIFS('Candidate Tracker'!$E:$E,'Positions Tracker'!$B865,'Candidate Tracker'!$I:$I,"male")),"")</f>
        <v/>
      </c>
      <c r="BC865" s="80" t="str">
        <f>IFERROR(IF(COUNTIFS('Candidate Tracker'!$E:$E,'Positions Tracker'!$B865,'Candidate Tracker'!$C:$C,"&lt;&gt;WIP",'Candidate Tracker'!$C:$C,"&lt;&gt;Hold",'Candidate Tracker'!$C:$C,"&lt;&gt;Cancelled",'Candidate Tracker'!$C:$C,"&lt;&gt;Closed")/COUNTIFS('Candidate Tracker'!$E:$E,'Positions Tracker'!$B865)=0,"",COUNTIFS('Candidate Tracker'!$E:$E,'Positions Tracker'!$B865,'Candidate Tracker'!$C:$C,"&lt;&gt;WIP",'Candidate Tracker'!$C:$C,"&lt;&gt;Hold",'Candidate Tracker'!$C:$C,"&lt;&gt;Cancelled",'Candidate Tracker'!$C:$C,"&lt;&gt;Closed")/COUNTIFS('Candidate Tracker'!$E:$E,'Positions Tracker'!$B865)),"")</f>
        <v/>
      </c>
      <c r="BD865" s="67" t="str">
        <f t="shared" si="78"/>
        <v/>
      </c>
      <c r="BE865" s="67" t="str">
        <f t="shared" si="79"/>
        <v/>
      </c>
      <c r="BF865" s="67" t="str">
        <f t="shared" si="80"/>
        <v/>
      </c>
      <c r="BG865" s="67" t="str">
        <f t="shared" si="81"/>
        <v/>
      </c>
    </row>
    <row r="866" spans="1:59">
      <c r="A866" s="55"/>
      <c r="B866" s="56"/>
      <c r="C866" s="56"/>
      <c r="D866" s="56"/>
      <c r="E866" s="56"/>
      <c r="F866" s="56"/>
      <c r="G866" s="56"/>
      <c r="H866" s="56"/>
      <c r="I866" s="6"/>
      <c r="J866" s="6"/>
      <c r="K866" s="57"/>
      <c r="L866" s="57"/>
      <c r="M866" s="57"/>
      <c r="N866" s="56"/>
      <c r="O866" s="56"/>
      <c r="P866" s="56"/>
      <c r="Q866" s="56"/>
      <c r="R866" s="56"/>
      <c r="S866" s="56"/>
      <c r="T866" s="56"/>
      <c r="U866" s="56"/>
      <c r="V866" s="56"/>
      <c r="W866" s="56"/>
      <c r="X866" s="56"/>
      <c r="Y866" s="56"/>
      <c r="Z866" s="56"/>
      <c r="AA866" s="56"/>
      <c r="AB866" s="56"/>
      <c r="AC866" s="56"/>
      <c r="AD866" s="56"/>
      <c r="AE866" s="56"/>
      <c r="AF866" s="56"/>
      <c r="AG866" s="56"/>
      <c r="AH866" s="56"/>
      <c r="AI866" s="58"/>
      <c r="AJ866" s="56"/>
      <c r="AK866" s="56"/>
      <c r="AL866" s="56"/>
      <c r="AM866" s="57"/>
      <c r="AN866" s="57"/>
      <c r="AO866" s="56"/>
      <c r="AP866" s="56"/>
      <c r="AQ866" s="57"/>
      <c r="AR866" s="57"/>
      <c r="AS866" s="57"/>
      <c r="AT866" s="67">
        <f t="shared" ca="1" si="82"/>
        <v>0</v>
      </c>
      <c r="AU866" s="79" t="str">
        <f t="shared" ca="1" si="83"/>
        <v/>
      </c>
      <c r="AV866" s="79" t="str" cm="1">
        <f t="array" aca="1" ref="AV866" ca="1">IFERROR(_xlfn.IFS($AU866="","",$AU866&lt;=15,"0-15",AND($AU866&gt;=16,$AU866&lt;=30),"16-30",AND($AU866&gt;=31,$AU866&lt;=45),"31-45",AND($AU866&gt;=46,$AU866&lt;=60),"46-60",AND($AU866&gt;=61,$AU866&lt;=90),"61-90",AND($AU866&gt;=91),"&gt; 90",AND($AU866&gt;=2000),""),"")</f>
        <v/>
      </c>
      <c r="AW866" s="79" t="str" cm="1">
        <f t="array" aca="1" ref="AW866" ca="1">IFERROR(_xlfn.IFS(OR($M866="",$AM866=""),"",OR($C866="Offered",$C866="Joined"),($AM866-$M866)-$AT866),"")</f>
        <v/>
      </c>
      <c r="AX866" s="79" t="str" cm="1">
        <f t="array" aca="1" ref="AX866" ca="1">IFERROR(_xlfn.IFS(OR($M866="",$AS866=""),"",$C866="Joined",($AS866-$M866)-$AT866),"")</f>
        <v/>
      </c>
      <c r="AY866" s="67" t="str">
        <f>IFERROR(IF(COUNTIFS('Candidate Tracker'!$E:$E,'Positions Tracker'!$B866,'Candidate Tracker'!$C:$C,"Offer Drop")=0,"",COUNTIFS('Candidate Tracker'!$E:$E,'Positions Tracker'!$B866,'Candidate Tracker'!$C:$C,"Offer Drop")),"")</f>
        <v/>
      </c>
      <c r="AZ866" s="80">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0.88111888111888115</v>
      </c>
      <c r="BA866" s="81" t="str">
        <f>IFERROR(IF(COUNTIFS('Candidate Tracker'!$E:$E,'Positions Tracker'!$B866,'Candidate Tracker'!$I:$I,"Female")=0,"",COUNTIFS('Candidate Tracker'!$E:$E,'Positions Tracker'!$B866,'Candidate Tracker'!$I:$I,"Female")),"")</f>
        <v/>
      </c>
      <c r="BB866" s="81" t="str">
        <f>IFERROR(IF(COUNTIFS('Candidate Tracker'!$E:$E,'Positions Tracker'!$B866,'Candidate Tracker'!$I:$I,"male")=0,"",COUNTIFS('Candidate Tracker'!$E:$E,'Positions Tracker'!$B866,'Candidate Tracker'!$I:$I,"male")),"")</f>
        <v/>
      </c>
      <c r="BC866" s="80" t="str">
        <f>IFERROR(IF(COUNTIFS('Candidate Tracker'!$E:$E,'Positions Tracker'!$B866,'Candidate Tracker'!$C:$C,"&lt;&gt;WIP",'Candidate Tracker'!$C:$C,"&lt;&gt;Hold",'Candidate Tracker'!$C:$C,"&lt;&gt;Cancelled",'Candidate Tracker'!$C:$C,"&lt;&gt;Closed")/COUNTIFS('Candidate Tracker'!$E:$E,'Positions Tracker'!$B866)=0,"",COUNTIFS('Candidate Tracker'!$E:$E,'Positions Tracker'!$B866,'Candidate Tracker'!$C:$C,"&lt;&gt;WIP",'Candidate Tracker'!$C:$C,"&lt;&gt;Hold",'Candidate Tracker'!$C:$C,"&lt;&gt;Cancelled",'Candidate Tracker'!$C:$C,"&lt;&gt;Closed")/COUNTIFS('Candidate Tracker'!$E:$E,'Positions Tracker'!$B866)),"")</f>
        <v/>
      </c>
      <c r="BD866" s="67" t="str">
        <f t="shared" si="78"/>
        <v/>
      </c>
      <c r="BE866" s="67" t="str">
        <f t="shared" si="79"/>
        <v/>
      </c>
      <c r="BF866" s="67" t="str">
        <f t="shared" si="80"/>
        <v/>
      </c>
      <c r="BG866" s="67" t="str">
        <f t="shared" si="81"/>
        <v/>
      </c>
    </row>
    <row r="867" spans="1:59">
      <c r="A867" s="55"/>
      <c r="B867" s="56"/>
      <c r="C867" s="56"/>
      <c r="D867" s="56"/>
      <c r="E867" s="56"/>
      <c r="F867" s="56"/>
      <c r="G867" s="56"/>
      <c r="H867" s="56"/>
      <c r="I867" s="6"/>
      <c r="J867" s="6"/>
      <c r="K867" s="57"/>
      <c r="L867" s="57"/>
      <c r="M867" s="57"/>
      <c r="N867" s="56"/>
      <c r="O867" s="56"/>
      <c r="P867" s="56"/>
      <c r="Q867" s="56"/>
      <c r="R867" s="56"/>
      <c r="S867" s="56"/>
      <c r="T867" s="56"/>
      <c r="U867" s="56"/>
      <c r="V867" s="56"/>
      <c r="W867" s="56"/>
      <c r="X867" s="56"/>
      <c r="Y867" s="56"/>
      <c r="Z867" s="56"/>
      <c r="AA867" s="56"/>
      <c r="AB867" s="56"/>
      <c r="AC867" s="56"/>
      <c r="AD867" s="56"/>
      <c r="AE867" s="56"/>
      <c r="AF867" s="56"/>
      <c r="AG867" s="56"/>
      <c r="AH867" s="56"/>
      <c r="AI867" s="58"/>
      <c r="AJ867" s="56"/>
      <c r="AK867" s="56"/>
      <c r="AL867" s="56"/>
      <c r="AM867" s="57"/>
      <c r="AN867" s="57"/>
      <c r="AO867" s="56"/>
      <c r="AP867" s="56"/>
      <c r="AQ867" s="57"/>
      <c r="AR867" s="57"/>
      <c r="AS867" s="57"/>
      <c r="AT867" s="67">
        <f t="shared" ca="1" si="82"/>
        <v>0</v>
      </c>
      <c r="AU867" s="79" t="str">
        <f t="shared" ca="1" si="83"/>
        <v/>
      </c>
      <c r="AV867" s="79" t="str" cm="1">
        <f t="array" aca="1" ref="AV867" ca="1">IFERROR(_xlfn.IFS($AU867="","",$AU867&lt;=15,"0-15",AND($AU867&gt;=16,$AU867&lt;=30),"16-30",AND($AU867&gt;=31,$AU867&lt;=45),"31-45",AND($AU867&gt;=46,$AU867&lt;=60),"46-60",AND($AU867&gt;=61,$AU867&lt;=90),"61-90",AND($AU867&gt;=91),"&gt; 90",AND($AU867&gt;=2000),""),"")</f>
        <v/>
      </c>
      <c r="AW867" s="79" t="str" cm="1">
        <f t="array" aca="1" ref="AW867" ca="1">IFERROR(_xlfn.IFS(OR($M867="",$AM867=""),"",OR($C867="Offered",$C867="Joined"),($AM867-$M867)-$AT867),"")</f>
        <v/>
      </c>
      <c r="AX867" s="79" t="str" cm="1">
        <f t="array" aca="1" ref="AX867" ca="1">IFERROR(_xlfn.IFS(OR($M867="",$AS867=""),"",$C867="Joined",($AS867-$M867)-$AT867),"")</f>
        <v/>
      </c>
      <c r="AY867" s="67" t="str">
        <f>IFERROR(IF(COUNTIFS('Candidate Tracker'!$E:$E,'Positions Tracker'!$B867,'Candidate Tracker'!$C:$C,"Offer Drop")=0,"",COUNTIFS('Candidate Tracker'!$E:$E,'Positions Tracker'!$B867,'Candidate Tracker'!$C:$C,"Offer Drop")),"")</f>
        <v/>
      </c>
      <c r="AZ867" s="80">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0.88111888111888115</v>
      </c>
      <c r="BA867" s="81" t="str">
        <f>IFERROR(IF(COUNTIFS('Candidate Tracker'!$E:$E,'Positions Tracker'!$B867,'Candidate Tracker'!$I:$I,"Female")=0,"",COUNTIFS('Candidate Tracker'!$E:$E,'Positions Tracker'!$B867,'Candidate Tracker'!$I:$I,"Female")),"")</f>
        <v/>
      </c>
      <c r="BB867" s="81" t="str">
        <f>IFERROR(IF(COUNTIFS('Candidate Tracker'!$E:$E,'Positions Tracker'!$B867,'Candidate Tracker'!$I:$I,"male")=0,"",COUNTIFS('Candidate Tracker'!$E:$E,'Positions Tracker'!$B867,'Candidate Tracker'!$I:$I,"male")),"")</f>
        <v/>
      </c>
      <c r="BC867" s="80" t="str">
        <f>IFERROR(IF(COUNTIFS('Candidate Tracker'!$E:$E,'Positions Tracker'!$B867,'Candidate Tracker'!$C:$C,"&lt;&gt;WIP",'Candidate Tracker'!$C:$C,"&lt;&gt;Hold",'Candidate Tracker'!$C:$C,"&lt;&gt;Cancelled",'Candidate Tracker'!$C:$C,"&lt;&gt;Closed")/COUNTIFS('Candidate Tracker'!$E:$E,'Positions Tracker'!$B867)=0,"",COUNTIFS('Candidate Tracker'!$E:$E,'Positions Tracker'!$B867,'Candidate Tracker'!$C:$C,"&lt;&gt;WIP",'Candidate Tracker'!$C:$C,"&lt;&gt;Hold",'Candidate Tracker'!$C:$C,"&lt;&gt;Cancelled",'Candidate Tracker'!$C:$C,"&lt;&gt;Closed")/COUNTIFS('Candidate Tracker'!$E:$E,'Positions Tracker'!$B867)),"")</f>
        <v/>
      </c>
      <c r="BD867" s="67" t="str">
        <f t="shared" si="78"/>
        <v/>
      </c>
      <c r="BE867" s="67" t="str">
        <f t="shared" si="79"/>
        <v/>
      </c>
      <c r="BF867" s="67" t="str">
        <f t="shared" si="80"/>
        <v/>
      </c>
      <c r="BG867" s="67" t="str">
        <f t="shared" si="81"/>
        <v/>
      </c>
    </row>
    <row r="868" spans="1:59">
      <c r="A868" s="55"/>
      <c r="B868" s="56"/>
      <c r="C868" s="56"/>
      <c r="D868" s="56"/>
      <c r="E868" s="56"/>
      <c r="F868" s="56"/>
      <c r="G868" s="56"/>
      <c r="H868" s="56"/>
      <c r="I868" s="6"/>
      <c r="J868" s="6"/>
      <c r="K868" s="57"/>
      <c r="L868" s="57"/>
      <c r="M868" s="57"/>
      <c r="N868" s="56"/>
      <c r="O868" s="56"/>
      <c r="P868" s="56"/>
      <c r="Q868" s="56"/>
      <c r="R868" s="56"/>
      <c r="S868" s="56"/>
      <c r="T868" s="56"/>
      <c r="U868" s="56"/>
      <c r="V868" s="56"/>
      <c r="W868" s="56"/>
      <c r="X868" s="56"/>
      <c r="Y868" s="56"/>
      <c r="Z868" s="56"/>
      <c r="AA868" s="56"/>
      <c r="AB868" s="56"/>
      <c r="AC868" s="56"/>
      <c r="AD868" s="56"/>
      <c r="AE868" s="56"/>
      <c r="AF868" s="56"/>
      <c r="AG868" s="56"/>
      <c r="AH868" s="56"/>
      <c r="AI868" s="58"/>
      <c r="AJ868" s="56"/>
      <c r="AK868" s="56"/>
      <c r="AL868" s="56"/>
      <c r="AM868" s="57"/>
      <c r="AN868" s="57"/>
      <c r="AO868" s="56"/>
      <c r="AP868" s="56"/>
      <c r="AQ868" s="57"/>
      <c r="AR868" s="57"/>
      <c r="AS868" s="57"/>
      <c r="AT868" s="67">
        <f t="shared" ca="1" si="82"/>
        <v>0</v>
      </c>
      <c r="AU868" s="79" t="str">
        <f t="shared" ca="1" si="83"/>
        <v/>
      </c>
      <c r="AV868" s="79" t="str" cm="1">
        <f t="array" aca="1" ref="AV868" ca="1">IFERROR(_xlfn.IFS($AU868="","",$AU868&lt;=15,"0-15",AND($AU868&gt;=16,$AU868&lt;=30),"16-30",AND($AU868&gt;=31,$AU868&lt;=45),"31-45",AND($AU868&gt;=46,$AU868&lt;=60),"46-60",AND($AU868&gt;=61,$AU868&lt;=90),"61-90",AND($AU868&gt;=91),"&gt; 90",AND($AU868&gt;=2000),""),"")</f>
        <v/>
      </c>
      <c r="AW868" s="79" t="str" cm="1">
        <f t="array" aca="1" ref="AW868" ca="1">IFERROR(_xlfn.IFS(OR($M868="",$AM868=""),"",OR($C868="Offered",$C868="Joined"),($AM868-$M868)-$AT868),"")</f>
        <v/>
      </c>
      <c r="AX868" s="79" t="str" cm="1">
        <f t="array" aca="1" ref="AX868" ca="1">IFERROR(_xlfn.IFS(OR($M868="",$AS868=""),"",$C868="Joined",($AS868-$M868)-$AT868),"")</f>
        <v/>
      </c>
      <c r="AY868" s="67" t="str">
        <f>IFERROR(IF(COUNTIFS('Candidate Tracker'!$E:$E,'Positions Tracker'!$B868,'Candidate Tracker'!$C:$C,"Offer Drop")=0,"",COUNTIFS('Candidate Tracker'!$E:$E,'Positions Tracker'!$B868,'Candidate Tracker'!$C:$C,"Offer Drop")),"")</f>
        <v/>
      </c>
      <c r="AZ868" s="80">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0.88111888111888115</v>
      </c>
      <c r="BA868" s="81" t="str">
        <f>IFERROR(IF(COUNTIFS('Candidate Tracker'!$E:$E,'Positions Tracker'!$B868,'Candidate Tracker'!$I:$I,"Female")=0,"",COUNTIFS('Candidate Tracker'!$E:$E,'Positions Tracker'!$B868,'Candidate Tracker'!$I:$I,"Female")),"")</f>
        <v/>
      </c>
      <c r="BB868" s="81" t="str">
        <f>IFERROR(IF(COUNTIFS('Candidate Tracker'!$E:$E,'Positions Tracker'!$B868,'Candidate Tracker'!$I:$I,"male")=0,"",COUNTIFS('Candidate Tracker'!$E:$E,'Positions Tracker'!$B868,'Candidate Tracker'!$I:$I,"male")),"")</f>
        <v/>
      </c>
      <c r="BC868" s="80" t="str">
        <f>IFERROR(IF(COUNTIFS('Candidate Tracker'!$E:$E,'Positions Tracker'!$B868,'Candidate Tracker'!$C:$C,"&lt;&gt;WIP",'Candidate Tracker'!$C:$C,"&lt;&gt;Hold",'Candidate Tracker'!$C:$C,"&lt;&gt;Cancelled",'Candidate Tracker'!$C:$C,"&lt;&gt;Closed")/COUNTIFS('Candidate Tracker'!$E:$E,'Positions Tracker'!$B868)=0,"",COUNTIFS('Candidate Tracker'!$E:$E,'Positions Tracker'!$B868,'Candidate Tracker'!$C:$C,"&lt;&gt;WIP",'Candidate Tracker'!$C:$C,"&lt;&gt;Hold",'Candidate Tracker'!$C:$C,"&lt;&gt;Cancelled",'Candidate Tracker'!$C:$C,"&lt;&gt;Closed")/COUNTIFS('Candidate Tracker'!$E:$E,'Positions Tracker'!$B868)),"")</f>
        <v/>
      </c>
      <c r="BD868" s="67" t="str">
        <f t="shared" si="78"/>
        <v/>
      </c>
      <c r="BE868" s="67" t="str">
        <f t="shared" si="79"/>
        <v/>
      </c>
      <c r="BF868" s="67" t="str">
        <f t="shared" si="80"/>
        <v/>
      </c>
      <c r="BG868" s="67" t="str">
        <f t="shared" si="81"/>
        <v/>
      </c>
    </row>
    <row r="869" spans="1:59">
      <c r="A869" s="55"/>
      <c r="B869" s="56"/>
      <c r="C869" s="56"/>
      <c r="D869" s="56"/>
      <c r="E869" s="56"/>
      <c r="F869" s="56"/>
      <c r="G869" s="56"/>
      <c r="H869" s="56"/>
      <c r="I869" s="6"/>
      <c r="J869" s="6"/>
      <c r="K869" s="57"/>
      <c r="L869" s="57"/>
      <c r="M869" s="57"/>
      <c r="N869" s="56"/>
      <c r="O869" s="56"/>
      <c r="P869" s="56"/>
      <c r="Q869" s="56"/>
      <c r="R869" s="56"/>
      <c r="S869" s="56"/>
      <c r="T869" s="56"/>
      <c r="U869" s="56"/>
      <c r="V869" s="56"/>
      <c r="W869" s="56"/>
      <c r="X869" s="56"/>
      <c r="Y869" s="56"/>
      <c r="Z869" s="56"/>
      <c r="AA869" s="56"/>
      <c r="AB869" s="56"/>
      <c r="AC869" s="56"/>
      <c r="AD869" s="56"/>
      <c r="AE869" s="56"/>
      <c r="AF869" s="56"/>
      <c r="AG869" s="56"/>
      <c r="AH869" s="56"/>
      <c r="AI869" s="58"/>
      <c r="AJ869" s="56"/>
      <c r="AK869" s="56"/>
      <c r="AL869" s="56"/>
      <c r="AM869" s="57"/>
      <c r="AN869" s="57"/>
      <c r="AO869" s="56"/>
      <c r="AP869" s="56"/>
      <c r="AQ869" s="57"/>
      <c r="AR869" s="57"/>
      <c r="AS869" s="57"/>
      <c r="AT869" s="67">
        <f t="shared" ca="1" si="82"/>
        <v>0</v>
      </c>
      <c r="AU869" s="79" t="str">
        <f t="shared" ca="1" si="83"/>
        <v/>
      </c>
      <c r="AV869" s="79" t="str" cm="1">
        <f t="array" aca="1" ref="AV869" ca="1">IFERROR(_xlfn.IFS($AU869="","",$AU869&lt;=15,"0-15",AND($AU869&gt;=16,$AU869&lt;=30),"16-30",AND($AU869&gt;=31,$AU869&lt;=45),"31-45",AND($AU869&gt;=46,$AU869&lt;=60),"46-60",AND($AU869&gt;=61,$AU869&lt;=90),"61-90",AND($AU869&gt;=91),"&gt; 90",AND($AU869&gt;=2000),""),"")</f>
        <v/>
      </c>
      <c r="AW869" s="79" t="str" cm="1">
        <f t="array" aca="1" ref="AW869" ca="1">IFERROR(_xlfn.IFS(OR($M869="",$AM869=""),"",OR($C869="Offered",$C869="Joined"),($AM869-$M869)-$AT869),"")</f>
        <v/>
      </c>
      <c r="AX869" s="79" t="str" cm="1">
        <f t="array" aca="1" ref="AX869" ca="1">IFERROR(_xlfn.IFS(OR($M869="",$AS869=""),"",$C869="Joined",($AS869-$M869)-$AT869),"")</f>
        <v/>
      </c>
      <c r="AY869" s="67" t="str">
        <f>IFERROR(IF(COUNTIFS('Candidate Tracker'!$E:$E,'Positions Tracker'!$B869,'Candidate Tracker'!$C:$C,"Offer Drop")=0,"",COUNTIFS('Candidate Tracker'!$E:$E,'Positions Tracker'!$B869,'Candidate Tracker'!$C:$C,"Offer Drop")),"")</f>
        <v/>
      </c>
      <c r="AZ869" s="80">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0.88111888111888115</v>
      </c>
      <c r="BA869" s="81" t="str">
        <f>IFERROR(IF(COUNTIFS('Candidate Tracker'!$E:$E,'Positions Tracker'!$B869,'Candidate Tracker'!$I:$I,"Female")=0,"",COUNTIFS('Candidate Tracker'!$E:$E,'Positions Tracker'!$B869,'Candidate Tracker'!$I:$I,"Female")),"")</f>
        <v/>
      </c>
      <c r="BB869" s="81" t="str">
        <f>IFERROR(IF(COUNTIFS('Candidate Tracker'!$E:$E,'Positions Tracker'!$B869,'Candidate Tracker'!$I:$I,"male")=0,"",COUNTIFS('Candidate Tracker'!$E:$E,'Positions Tracker'!$B869,'Candidate Tracker'!$I:$I,"male")),"")</f>
        <v/>
      </c>
      <c r="BC869" s="80" t="str">
        <f>IFERROR(IF(COUNTIFS('Candidate Tracker'!$E:$E,'Positions Tracker'!$B869,'Candidate Tracker'!$C:$C,"&lt;&gt;WIP",'Candidate Tracker'!$C:$C,"&lt;&gt;Hold",'Candidate Tracker'!$C:$C,"&lt;&gt;Cancelled",'Candidate Tracker'!$C:$C,"&lt;&gt;Closed")/COUNTIFS('Candidate Tracker'!$E:$E,'Positions Tracker'!$B869)=0,"",COUNTIFS('Candidate Tracker'!$E:$E,'Positions Tracker'!$B869,'Candidate Tracker'!$C:$C,"&lt;&gt;WIP",'Candidate Tracker'!$C:$C,"&lt;&gt;Hold",'Candidate Tracker'!$C:$C,"&lt;&gt;Cancelled",'Candidate Tracker'!$C:$C,"&lt;&gt;Closed")/COUNTIFS('Candidate Tracker'!$E:$E,'Positions Tracker'!$B869)),"")</f>
        <v/>
      </c>
      <c r="BD869" s="67" t="str">
        <f t="shared" si="78"/>
        <v/>
      </c>
      <c r="BE869" s="67" t="str">
        <f t="shared" si="79"/>
        <v/>
      </c>
      <c r="BF869" s="67" t="str">
        <f t="shared" si="80"/>
        <v/>
      </c>
      <c r="BG869" s="67" t="str">
        <f t="shared" si="81"/>
        <v/>
      </c>
    </row>
    <row r="870" spans="1:59">
      <c r="A870" s="55"/>
      <c r="B870" s="56"/>
      <c r="C870" s="56"/>
      <c r="D870" s="56"/>
      <c r="E870" s="56"/>
      <c r="F870" s="56"/>
      <c r="G870" s="56"/>
      <c r="H870" s="56"/>
      <c r="I870" s="6"/>
      <c r="J870" s="6"/>
      <c r="K870" s="57"/>
      <c r="L870" s="57"/>
      <c r="M870" s="57"/>
      <c r="N870" s="56"/>
      <c r="O870" s="56"/>
      <c r="P870" s="56"/>
      <c r="Q870" s="56"/>
      <c r="R870" s="56"/>
      <c r="S870" s="56"/>
      <c r="T870" s="56"/>
      <c r="U870" s="56"/>
      <c r="V870" s="56"/>
      <c r="W870" s="56"/>
      <c r="X870" s="56"/>
      <c r="Y870" s="56"/>
      <c r="Z870" s="56"/>
      <c r="AA870" s="56"/>
      <c r="AB870" s="56"/>
      <c r="AC870" s="56"/>
      <c r="AD870" s="56"/>
      <c r="AE870" s="56"/>
      <c r="AF870" s="56"/>
      <c r="AG870" s="56"/>
      <c r="AH870" s="56"/>
      <c r="AI870" s="58"/>
      <c r="AJ870" s="56"/>
      <c r="AK870" s="56"/>
      <c r="AL870" s="56"/>
      <c r="AM870" s="57"/>
      <c r="AN870" s="57"/>
      <c r="AO870" s="56"/>
      <c r="AP870" s="56"/>
      <c r="AQ870" s="57"/>
      <c r="AR870" s="57"/>
      <c r="AS870" s="57"/>
      <c r="AT870" s="67">
        <f t="shared" ca="1" si="82"/>
        <v>0</v>
      </c>
      <c r="AU870" s="79" t="str">
        <f t="shared" ca="1" si="83"/>
        <v/>
      </c>
      <c r="AV870" s="79" t="str" cm="1">
        <f t="array" aca="1" ref="AV870" ca="1">IFERROR(_xlfn.IFS($AU870="","",$AU870&lt;=15,"0-15",AND($AU870&gt;=16,$AU870&lt;=30),"16-30",AND($AU870&gt;=31,$AU870&lt;=45),"31-45",AND($AU870&gt;=46,$AU870&lt;=60),"46-60",AND($AU870&gt;=61,$AU870&lt;=90),"61-90",AND($AU870&gt;=91),"&gt; 90",AND($AU870&gt;=2000),""),"")</f>
        <v/>
      </c>
      <c r="AW870" s="79" t="str" cm="1">
        <f t="array" aca="1" ref="AW870" ca="1">IFERROR(_xlfn.IFS(OR($M870="",$AM870=""),"",OR($C870="Offered",$C870="Joined"),($AM870-$M870)-$AT870),"")</f>
        <v/>
      </c>
      <c r="AX870" s="79" t="str" cm="1">
        <f t="array" aca="1" ref="AX870" ca="1">IFERROR(_xlfn.IFS(OR($M870="",$AS870=""),"",$C870="Joined",($AS870-$M870)-$AT870),"")</f>
        <v/>
      </c>
      <c r="AY870" s="67" t="str">
        <f>IFERROR(IF(COUNTIFS('Candidate Tracker'!$E:$E,'Positions Tracker'!$B870,'Candidate Tracker'!$C:$C,"Offer Drop")=0,"",COUNTIFS('Candidate Tracker'!$E:$E,'Positions Tracker'!$B870,'Candidate Tracker'!$C:$C,"Offer Drop")),"")</f>
        <v/>
      </c>
      <c r="AZ870" s="80">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0.88111888111888115</v>
      </c>
      <c r="BA870" s="81" t="str">
        <f>IFERROR(IF(COUNTIFS('Candidate Tracker'!$E:$E,'Positions Tracker'!$B870,'Candidate Tracker'!$I:$I,"Female")=0,"",COUNTIFS('Candidate Tracker'!$E:$E,'Positions Tracker'!$B870,'Candidate Tracker'!$I:$I,"Female")),"")</f>
        <v/>
      </c>
      <c r="BB870" s="81" t="str">
        <f>IFERROR(IF(COUNTIFS('Candidate Tracker'!$E:$E,'Positions Tracker'!$B870,'Candidate Tracker'!$I:$I,"male")=0,"",COUNTIFS('Candidate Tracker'!$E:$E,'Positions Tracker'!$B870,'Candidate Tracker'!$I:$I,"male")),"")</f>
        <v/>
      </c>
      <c r="BC870" s="80" t="str">
        <f>IFERROR(IF(COUNTIFS('Candidate Tracker'!$E:$E,'Positions Tracker'!$B870,'Candidate Tracker'!$C:$C,"&lt;&gt;WIP",'Candidate Tracker'!$C:$C,"&lt;&gt;Hold",'Candidate Tracker'!$C:$C,"&lt;&gt;Cancelled",'Candidate Tracker'!$C:$C,"&lt;&gt;Closed")/COUNTIFS('Candidate Tracker'!$E:$E,'Positions Tracker'!$B870)=0,"",COUNTIFS('Candidate Tracker'!$E:$E,'Positions Tracker'!$B870,'Candidate Tracker'!$C:$C,"&lt;&gt;WIP",'Candidate Tracker'!$C:$C,"&lt;&gt;Hold",'Candidate Tracker'!$C:$C,"&lt;&gt;Cancelled",'Candidate Tracker'!$C:$C,"&lt;&gt;Closed")/COUNTIFS('Candidate Tracker'!$E:$E,'Positions Tracker'!$B870)),"")</f>
        <v/>
      </c>
      <c r="BD870" s="67" t="str">
        <f t="shared" si="78"/>
        <v/>
      </c>
      <c r="BE870" s="67" t="str">
        <f t="shared" si="79"/>
        <v/>
      </c>
      <c r="BF870" s="67" t="str">
        <f t="shared" si="80"/>
        <v/>
      </c>
      <c r="BG870" s="67" t="str">
        <f t="shared" si="81"/>
        <v/>
      </c>
    </row>
    <row r="871" spans="1:59">
      <c r="A871" s="55"/>
      <c r="B871" s="56"/>
      <c r="C871" s="56"/>
      <c r="D871" s="56"/>
      <c r="E871" s="56"/>
      <c r="F871" s="56"/>
      <c r="G871" s="56"/>
      <c r="H871" s="56"/>
      <c r="I871" s="6"/>
      <c r="J871" s="6"/>
      <c r="K871" s="57"/>
      <c r="L871" s="57"/>
      <c r="M871" s="57"/>
      <c r="N871" s="56"/>
      <c r="O871" s="56"/>
      <c r="P871" s="56"/>
      <c r="Q871" s="56"/>
      <c r="R871" s="56"/>
      <c r="S871" s="56"/>
      <c r="T871" s="56"/>
      <c r="U871" s="56"/>
      <c r="V871" s="56"/>
      <c r="W871" s="56"/>
      <c r="X871" s="56"/>
      <c r="Y871" s="56"/>
      <c r="Z871" s="56"/>
      <c r="AA871" s="56"/>
      <c r="AB871" s="56"/>
      <c r="AC871" s="56"/>
      <c r="AD871" s="56"/>
      <c r="AE871" s="56"/>
      <c r="AF871" s="56"/>
      <c r="AG871" s="56"/>
      <c r="AH871" s="56"/>
      <c r="AI871" s="58"/>
      <c r="AJ871" s="56"/>
      <c r="AK871" s="56"/>
      <c r="AL871" s="56"/>
      <c r="AM871" s="57"/>
      <c r="AN871" s="57"/>
      <c r="AO871" s="56"/>
      <c r="AP871" s="56"/>
      <c r="AQ871" s="57"/>
      <c r="AR871" s="57"/>
      <c r="AS871" s="57"/>
      <c r="AT871" s="67">
        <f t="shared" ca="1" si="82"/>
        <v>0</v>
      </c>
      <c r="AU871" s="79" t="str">
        <f t="shared" ca="1" si="83"/>
        <v/>
      </c>
      <c r="AV871" s="79" t="str" cm="1">
        <f t="array" aca="1" ref="AV871" ca="1">IFERROR(_xlfn.IFS($AU871="","",$AU871&lt;=15,"0-15",AND($AU871&gt;=16,$AU871&lt;=30),"16-30",AND($AU871&gt;=31,$AU871&lt;=45),"31-45",AND($AU871&gt;=46,$AU871&lt;=60),"46-60",AND($AU871&gt;=61,$AU871&lt;=90),"61-90",AND($AU871&gt;=91),"&gt; 90",AND($AU871&gt;=2000),""),"")</f>
        <v/>
      </c>
      <c r="AW871" s="79" t="str" cm="1">
        <f t="array" aca="1" ref="AW871" ca="1">IFERROR(_xlfn.IFS(OR($M871="",$AM871=""),"",OR($C871="Offered",$C871="Joined"),($AM871-$M871)-$AT871),"")</f>
        <v/>
      </c>
      <c r="AX871" s="79" t="str" cm="1">
        <f t="array" aca="1" ref="AX871" ca="1">IFERROR(_xlfn.IFS(OR($M871="",$AS871=""),"",$C871="Joined",($AS871-$M871)-$AT871),"")</f>
        <v/>
      </c>
      <c r="AY871" s="67" t="str">
        <f>IFERROR(IF(COUNTIFS('Candidate Tracker'!$E:$E,'Positions Tracker'!$B871,'Candidate Tracker'!$C:$C,"Offer Drop")=0,"",COUNTIFS('Candidate Tracker'!$E:$E,'Positions Tracker'!$B871,'Candidate Tracker'!$C:$C,"Offer Drop")),"")</f>
        <v/>
      </c>
      <c r="AZ871" s="80">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0.88111888111888115</v>
      </c>
      <c r="BA871" s="81" t="str">
        <f>IFERROR(IF(COUNTIFS('Candidate Tracker'!$E:$E,'Positions Tracker'!$B871,'Candidate Tracker'!$I:$I,"Female")=0,"",COUNTIFS('Candidate Tracker'!$E:$E,'Positions Tracker'!$B871,'Candidate Tracker'!$I:$I,"Female")),"")</f>
        <v/>
      </c>
      <c r="BB871" s="81" t="str">
        <f>IFERROR(IF(COUNTIFS('Candidate Tracker'!$E:$E,'Positions Tracker'!$B871,'Candidate Tracker'!$I:$I,"male")=0,"",COUNTIFS('Candidate Tracker'!$E:$E,'Positions Tracker'!$B871,'Candidate Tracker'!$I:$I,"male")),"")</f>
        <v/>
      </c>
      <c r="BC871" s="80" t="str">
        <f>IFERROR(IF(COUNTIFS('Candidate Tracker'!$E:$E,'Positions Tracker'!$B871,'Candidate Tracker'!$C:$C,"&lt;&gt;WIP",'Candidate Tracker'!$C:$C,"&lt;&gt;Hold",'Candidate Tracker'!$C:$C,"&lt;&gt;Cancelled",'Candidate Tracker'!$C:$C,"&lt;&gt;Closed")/COUNTIFS('Candidate Tracker'!$E:$E,'Positions Tracker'!$B871)=0,"",COUNTIFS('Candidate Tracker'!$E:$E,'Positions Tracker'!$B871,'Candidate Tracker'!$C:$C,"&lt;&gt;WIP",'Candidate Tracker'!$C:$C,"&lt;&gt;Hold",'Candidate Tracker'!$C:$C,"&lt;&gt;Cancelled",'Candidate Tracker'!$C:$C,"&lt;&gt;Closed")/COUNTIFS('Candidate Tracker'!$E:$E,'Positions Tracker'!$B871)),"")</f>
        <v/>
      </c>
      <c r="BD871" s="67" t="str">
        <f t="shared" si="78"/>
        <v/>
      </c>
      <c r="BE871" s="67" t="str">
        <f t="shared" si="79"/>
        <v/>
      </c>
      <c r="BF871" s="67" t="str">
        <f t="shared" si="80"/>
        <v/>
      </c>
      <c r="BG871" s="67" t="str">
        <f t="shared" si="81"/>
        <v/>
      </c>
    </row>
    <row r="872" spans="1:59">
      <c r="A872" s="55"/>
      <c r="B872" s="56"/>
      <c r="C872" s="56"/>
      <c r="D872" s="56"/>
      <c r="E872" s="56"/>
      <c r="F872" s="56"/>
      <c r="G872" s="56"/>
      <c r="H872" s="56"/>
      <c r="I872" s="6"/>
      <c r="J872" s="6"/>
      <c r="K872" s="57"/>
      <c r="L872" s="57"/>
      <c r="M872" s="57"/>
      <c r="N872" s="56"/>
      <c r="O872" s="56"/>
      <c r="P872" s="56"/>
      <c r="Q872" s="56"/>
      <c r="R872" s="56"/>
      <c r="S872" s="56"/>
      <c r="T872" s="56"/>
      <c r="U872" s="56"/>
      <c r="V872" s="56"/>
      <c r="W872" s="56"/>
      <c r="X872" s="56"/>
      <c r="Y872" s="56"/>
      <c r="Z872" s="56"/>
      <c r="AA872" s="56"/>
      <c r="AB872" s="56"/>
      <c r="AC872" s="56"/>
      <c r="AD872" s="56"/>
      <c r="AE872" s="56"/>
      <c r="AF872" s="56"/>
      <c r="AG872" s="56"/>
      <c r="AH872" s="56"/>
      <c r="AI872" s="58"/>
      <c r="AJ872" s="56"/>
      <c r="AK872" s="56"/>
      <c r="AL872" s="56"/>
      <c r="AM872" s="57"/>
      <c r="AN872" s="57"/>
      <c r="AO872" s="56"/>
      <c r="AP872" s="56"/>
      <c r="AQ872" s="57"/>
      <c r="AR872" s="57"/>
      <c r="AS872" s="57"/>
      <c r="AT872" s="67">
        <f t="shared" ca="1" si="82"/>
        <v>0</v>
      </c>
      <c r="AU872" s="79" t="str">
        <f t="shared" ca="1" si="83"/>
        <v/>
      </c>
      <c r="AV872" s="79" t="str" cm="1">
        <f t="array" aca="1" ref="AV872" ca="1">IFERROR(_xlfn.IFS($AU872="","",$AU872&lt;=15,"0-15",AND($AU872&gt;=16,$AU872&lt;=30),"16-30",AND($AU872&gt;=31,$AU872&lt;=45),"31-45",AND($AU872&gt;=46,$AU872&lt;=60),"46-60",AND($AU872&gt;=61,$AU872&lt;=90),"61-90",AND($AU872&gt;=91),"&gt; 90",AND($AU872&gt;=2000),""),"")</f>
        <v/>
      </c>
      <c r="AW872" s="79" t="str" cm="1">
        <f t="array" aca="1" ref="AW872" ca="1">IFERROR(_xlfn.IFS(OR($M872="",$AM872=""),"",OR($C872="Offered",$C872="Joined"),($AM872-$M872)-$AT872),"")</f>
        <v/>
      </c>
      <c r="AX872" s="79" t="str" cm="1">
        <f t="array" aca="1" ref="AX872" ca="1">IFERROR(_xlfn.IFS(OR($M872="",$AS872=""),"",$C872="Joined",($AS872-$M872)-$AT872),"")</f>
        <v/>
      </c>
      <c r="AY872" s="67" t="str">
        <f>IFERROR(IF(COUNTIFS('Candidate Tracker'!$E:$E,'Positions Tracker'!$B872,'Candidate Tracker'!$C:$C,"Offer Drop")=0,"",COUNTIFS('Candidate Tracker'!$E:$E,'Positions Tracker'!$B872,'Candidate Tracker'!$C:$C,"Offer Drop")),"")</f>
        <v/>
      </c>
      <c r="AZ872" s="80">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0.88111888111888115</v>
      </c>
      <c r="BA872" s="81" t="str">
        <f>IFERROR(IF(COUNTIFS('Candidate Tracker'!$E:$E,'Positions Tracker'!$B872,'Candidate Tracker'!$I:$I,"Female")=0,"",COUNTIFS('Candidate Tracker'!$E:$E,'Positions Tracker'!$B872,'Candidate Tracker'!$I:$I,"Female")),"")</f>
        <v/>
      </c>
      <c r="BB872" s="81" t="str">
        <f>IFERROR(IF(COUNTIFS('Candidate Tracker'!$E:$E,'Positions Tracker'!$B872,'Candidate Tracker'!$I:$I,"male")=0,"",COUNTIFS('Candidate Tracker'!$E:$E,'Positions Tracker'!$B872,'Candidate Tracker'!$I:$I,"male")),"")</f>
        <v/>
      </c>
      <c r="BC872" s="80" t="str">
        <f>IFERROR(IF(COUNTIFS('Candidate Tracker'!$E:$E,'Positions Tracker'!$B872,'Candidate Tracker'!$C:$C,"&lt;&gt;WIP",'Candidate Tracker'!$C:$C,"&lt;&gt;Hold",'Candidate Tracker'!$C:$C,"&lt;&gt;Cancelled",'Candidate Tracker'!$C:$C,"&lt;&gt;Closed")/COUNTIFS('Candidate Tracker'!$E:$E,'Positions Tracker'!$B872)=0,"",COUNTIFS('Candidate Tracker'!$E:$E,'Positions Tracker'!$B872,'Candidate Tracker'!$C:$C,"&lt;&gt;WIP",'Candidate Tracker'!$C:$C,"&lt;&gt;Hold",'Candidate Tracker'!$C:$C,"&lt;&gt;Cancelled",'Candidate Tracker'!$C:$C,"&lt;&gt;Closed")/COUNTIFS('Candidate Tracker'!$E:$E,'Positions Tracker'!$B872)),"")</f>
        <v/>
      </c>
      <c r="BD872" s="67" t="str">
        <f t="shared" si="78"/>
        <v/>
      </c>
      <c r="BE872" s="67" t="str">
        <f t="shared" si="79"/>
        <v/>
      </c>
      <c r="BF872" s="67" t="str">
        <f t="shared" si="80"/>
        <v/>
      </c>
      <c r="BG872" s="67" t="str">
        <f t="shared" si="81"/>
        <v/>
      </c>
    </row>
    <row r="873" spans="1:59">
      <c r="A873" s="55"/>
      <c r="B873" s="56"/>
      <c r="C873" s="56"/>
      <c r="D873" s="56"/>
      <c r="E873" s="56"/>
      <c r="F873" s="56"/>
      <c r="G873" s="56"/>
      <c r="H873" s="56"/>
      <c r="I873" s="6"/>
      <c r="J873" s="6"/>
      <c r="K873" s="57"/>
      <c r="L873" s="57"/>
      <c r="M873" s="57"/>
      <c r="N873" s="56"/>
      <c r="O873" s="56"/>
      <c r="P873" s="56"/>
      <c r="Q873" s="56"/>
      <c r="R873" s="56"/>
      <c r="S873" s="56"/>
      <c r="T873" s="56"/>
      <c r="U873" s="56"/>
      <c r="V873" s="56"/>
      <c r="W873" s="56"/>
      <c r="X873" s="56"/>
      <c r="Y873" s="56"/>
      <c r="Z873" s="56"/>
      <c r="AA873" s="56"/>
      <c r="AB873" s="56"/>
      <c r="AC873" s="56"/>
      <c r="AD873" s="56"/>
      <c r="AE873" s="56"/>
      <c r="AF873" s="56"/>
      <c r="AG873" s="56"/>
      <c r="AH873" s="56"/>
      <c r="AI873" s="58"/>
      <c r="AJ873" s="56"/>
      <c r="AK873" s="56"/>
      <c r="AL873" s="56"/>
      <c r="AM873" s="57"/>
      <c r="AN873" s="57"/>
      <c r="AO873" s="56"/>
      <c r="AP873" s="56"/>
      <c r="AQ873" s="57"/>
      <c r="AR873" s="57"/>
      <c r="AS873" s="57"/>
      <c r="AT873" s="67">
        <f t="shared" ca="1" si="82"/>
        <v>0</v>
      </c>
      <c r="AU873" s="79" t="str">
        <f t="shared" ca="1" si="83"/>
        <v/>
      </c>
      <c r="AV873" s="79" t="str" cm="1">
        <f t="array" aca="1" ref="AV873" ca="1">IFERROR(_xlfn.IFS($AU873="","",$AU873&lt;=15,"0-15",AND($AU873&gt;=16,$AU873&lt;=30),"16-30",AND($AU873&gt;=31,$AU873&lt;=45),"31-45",AND($AU873&gt;=46,$AU873&lt;=60),"46-60",AND($AU873&gt;=61,$AU873&lt;=90),"61-90",AND($AU873&gt;=91),"&gt; 90",AND($AU873&gt;=2000),""),"")</f>
        <v/>
      </c>
      <c r="AW873" s="79" t="str" cm="1">
        <f t="array" aca="1" ref="AW873" ca="1">IFERROR(_xlfn.IFS(OR($M873="",$AM873=""),"",OR($C873="Offered",$C873="Joined"),($AM873-$M873)-$AT873),"")</f>
        <v/>
      </c>
      <c r="AX873" s="79" t="str" cm="1">
        <f t="array" aca="1" ref="AX873" ca="1">IFERROR(_xlfn.IFS(OR($M873="",$AS873=""),"",$C873="Joined",($AS873-$M873)-$AT873),"")</f>
        <v/>
      </c>
      <c r="AY873" s="67" t="str">
        <f>IFERROR(IF(COUNTIFS('Candidate Tracker'!$E:$E,'Positions Tracker'!$B873,'Candidate Tracker'!$C:$C,"Offer Drop")=0,"",COUNTIFS('Candidate Tracker'!$E:$E,'Positions Tracker'!$B873,'Candidate Tracker'!$C:$C,"Offer Drop")),"")</f>
        <v/>
      </c>
      <c r="AZ873" s="80">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0.88111888111888115</v>
      </c>
      <c r="BA873" s="81" t="str">
        <f>IFERROR(IF(COUNTIFS('Candidate Tracker'!$E:$E,'Positions Tracker'!$B873,'Candidate Tracker'!$I:$I,"Female")=0,"",COUNTIFS('Candidate Tracker'!$E:$E,'Positions Tracker'!$B873,'Candidate Tracker'!$I:$I,"Female")),"")</f>
        <v/>
      </c>
      <c r="BB873" s="81" t="str">
        <f>IFERROR(IF(COUNTIFS('Candidate Tracker'!$E:$E,'Positions Tracker'!$B873,'Candidate Tracker'!$I:$I,"male")=0,"",COUNTIFS('Candidate Tracker'!$E:$E,'Positions Tracker'!$B873,'Candidate Tracker'!$I:$I,"male")),"")</f>
        <v/>
      </c>
      <c r="BC873" s="80" t="str">
        <f>IFERROR(IF(COUNTIFS('Candidate Tracker'!$E:$E,'Positions Tracker'!$B873,'Candidate Tracker'!$C:$C,"&lt;&gt;WIP",'Candidate Tracker'!$C:$C,"&lt;&gt;Hold",'Candidate Tracker'!$C:$C,"&lt;&gt;Cancelled",'Candidate Tracker'!$C:$C,"&lt;&gt;Closed")/COUNTIFS('Candidate Tracker'!$E:$E,'Positions Tracker'!$B873)=0,"",COUNTIFS('Candidate Tracker'!$E:$E,'Positions Tracker'!$B873,'Candidate Tracker'!$C:$C,"&lt;&gt;WIP",'Candidate Tracker'!$C:$C,"&lt;&gt;Hold",'Candidate Tracker'!$C:$C,"&lt;&gt;Cancelled",'Candidate Tracker'!$C:$C,"&lt;&gt;Closed")/COUNTIFS('Candidate Tracker'!$E:$E,'Positions Tracker'!$B873)),"")</f>
        <v/>
      </c>
      <c r="BD873" s="67" t="str">
        <f t="shared" si="78"/>
        <v/>
      </c>
      <c r="BE873" s="67" t="str">
        <f t="shared" si="79"/>
        <v/>
      </c>
      <c r="BF873" s="67" t="str">
        <f t="shared" si="80"/>
        <v/>
      </c>
      <c r="BG873" s="67" t="str">
        <f t="shared" si="81"/>
        <v/>
      </c>
    </row>
    <row r="874" spans="1:59">
      <c r="A874" s="55"/>
      <c r="B874" s="56"/>
      <c r="C874" s="56"/>
      <c r="D874" s="56"/>
      <c r="E874" s="56"/>
      <c r="F874" s="56"/>
      <c r="G874" s="56"/>
      <c r="H874" s="56"/>
      <c r="I874" s="6"/>
      <c r="J874" s="6"/>
      <c r="K874" s="57"/>
      <c r="L874" s="57"/>
      <c r="M874" s="57"/>
      <c r="N874" s="56"/>
      <c r="O874" s="56"/>
      <c r="P874" s="56"/>
      <c r="Q874" s="56"/>
      <c r="R874" s="56"/>
      <c r="S874" s="56"/>
      <c r="T874" s="56"/>
      <c r="U874" s="56"/>
      <c r="V874" s="56"/>
      <c r="W874" s="56"/>
      <c r="X874" s="56"/>
      <c r="Y874" s="56"/>
      <c r="Z874" s="56"/>
      <c r="AA874" s="56"/>
      <c r="AB874" s="56"/>
      <c r="AC874" s="56"/>
      <c r="AD874" s="56"/>
      <c r="AE874" s="56"/>
      <c r="AF874" s="56"/>
      <c r="AG874" s="56"/>
      <c r="AH874" s="56"/>
      <c r="AI874" s="58"/>
      <c r="AJ874" s="56"/>
      <c r="AK874" s="56"/>
      <c r="AL874" s="56"/>
      <c r="AM874" s="57"/>
      <c r="AN874" s="57"/>
      <c r="AO874" s="56"/>
      <c r="AP874" s="56"/>
      <c r="AQ874" s="57"/>
      <c r="AR874" s="57"/>
      <c r="AS874" s="57"/>
      <c r="AT874" s="67">
        <f t="shared" ca="1" si="82"/>
        <v>0</v>
      </c>
      <c r="AU874" s="79" t="str">
        <f t="shared" ca="1" si="83"/>
        <v/>
      </c>
      <c r="AV874" s="79" t="str" cm="1">
        <f t="array" aca="1" ref="AV874" ca="1">IFERROR(_xlfn.IFS($AU874="","",$AU874&lt;=15,"0-15",AND($AU874&gt;=16,$AU874&lt;=30),"16-30",AND($AU874&gt;=31,$AU874&lt;=45),"31-45",AND($AU874&gt;=46,$AU874&lt;=60),"46-60",AND($AU874&gt;=61,$AU874&lt;=90),"61-90",AND($AU874&gt;=91),"&gt; 90",AND($AU874&gt;=2000),""),"")</f>
        <v/>
      </c>
      <c r="AW874" s="79" t="str" cm="1">
        <f t="array" aca="1" ref="AW874" ca="1">IFERROR(_xlfn.IFS(OR($M874="",$AM874=""),"",OR($C874="Offered",$C874="Joined"),($AM874-$M874)-$AT874),"")</f>
        <v/>
      </c>
      <c r="AX874" s="79" t="str" cm="1">
        <f t="array" aca="1" ref="AX874" ca="1">IFERROR(_xlfn.IFS(OR($M874="",$AS874=""),"",$C874="Joined",($AS874-$M874)-$AT874),"")</f>
        <v/>
      </c>
      <c r="AY874" s="67" t="str">
        <f>IFERROR(IF(COUNTIFS('Candidate Tracker'!$E:$E,'Positions Tracker'!$B874,'Candidate Tracker'!$C:$C,"Offer Drop")=0,"",COUNTIFS('Candidate Tracker'!$E:$E,'Positions Tracker'!$B874,'Candidate Tracker'!$C:$C,"Offer Drop")),"")</f>
        <v/>
      </c>
      <c r="AZ874" s="80">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0.88111888111888115</v>
      </c>
      <c r="BA874" s="81" t="str">
        <f>IFERROR(IF(COUNTIFS('Candidate Tracker'!$E:$E,'Positions Tracker'!$B874,'Candidate Tracker'!$I:$I,"Female")=0,"",COUNTIFS('Candidate Tracker'!$E:$E,'Positions Tracker'!$B874,'Candidate Tracker'!$I:$I,"Female")),"")</f>
        <v/>
      </c>
      <c r="BB874" s="81" t="str">
        <f>IFERROR(IF(COUNTIFS('Candidate Tracker'!$E:$E,'Positions Tracker'!$B874,'Candidate Tracker'!$I:$I,"male")=0,"",COUNTIFS('Candidate Tracker'!$E:$E,'Positions Tracker'!$B874,'Candidate Tracker'!$I:$I,"male")),"")</f>
        <v/>
      </c>
      <c r="BC874" s="80" t="str">
        <f>IFERROR(IF(COUNTIFS('Candidate Tracker'!$E:$E,'Positions Tracker'!$B874,'Candidate Tracker'!$C:$C,"&lt;&gt;WIP",'Candidate Tracker'!$C:$C,"&lt;&gt;Hold",'Candidate Tracker'!$C:$C,"&lt;&gt;Cancelled",'Candidate Tracker'!$C:$C,"&lt;&gt;Closed")/COUNTIFS('Candidate Tracker'!$E:$E,'Positions Tracker'!$B874)=0,"",COUNTIFS('Candidate Tracker'!$E:$E,'Positions Tracker'!$B874,'Candidate Tracker'!$C:$C,"&lt;&gt;WIP",'Candidate Tracker'!$C:$C,"&lt;&gt;Hold",'Candidate Tracker'!$C:$C,"&lt;&gt;Cancelled",'Candidate Tracker'!$C:$C,"&lt;&gt;Closed")/COUNTIFS('Candidate Tracker'!$E:$E,'Positions Tracker'!$B874)),"")</f>
        <v/>
      </c>
      <c r="BD874" s="67" t="str">
        <f t="shared" si="78"/>
        <v/>
      </c>
      <c r="BE874" s="67" t="str">
        <f t="shared" si="79"/>
        <v/>
      </c>
      <c r="BF874" s="67" t="str">
        <f t="shared" si="80"/>
        <v/>
      </c>
      <c r="BG874" s="67" t="str">
        <f t="shared" si="81"/>
        <v/>
      </c>
    </row>
    <row r="875" spans="1:59">
      <c r="A875" s="55"/>
      <c r="B875" s="56"/>
      <c r="C875" s="56"/>
      <c r="D875" s="56"/>
      <c r="E875" s="56"/>
      <c r="F875" s="56"/>
      <c r="G875" s="56"/>
      <c r="H875" s="56"/>
      <c r="I875" s="6"/>
      <c r="J875" s="6"/>
      <c r="K875" s="57"/>
      <c r="L875" s="57"/>
      <c r="M875" s="57"/>
      <c r="N875" s="56"/>
      <c r="O875" s="56"/>
      <c r="P875" s="56"/>
      <c r="Q875" s="56"/>
      <c r="R875" s="56"/>
      <c r="S875" s="56"/>
      <c r="T875" s="56"/>
      <c r="U875" s="56"/>
      <c r="V875" s="56"/>
      <c r="W875" s="56"/>
      <c r="X875" s="56"/>
      <c r="Y875" s="56"/>
      <c r="Z875" s="56"/>
      <c r="AA875" s="56"/>
      <c r="AB875" s="56"/>
      <c r="AC875" s="56"/>
      <c r="AD875" s="56"/>
      <c r="AE875" s="56"/>
      <c r="AF875" s="56"/>
      <c r="AG875" s="56"/>
      <c r="AH875" s="56"/>
      <c r="AI875" s="58"/>
      <c r="AJ875" s="56"/>
      <c r="AK875" s="56"/>
      <c r="AL875" s="56"/>
      <c r="AM875" s="57"/>
      <c r="AN875" s="57"/>
      <c r="AO875" s="56"/>
      <c r="AP875" s="56"/>
      <c r="AQ875" s="57"/>
      <c r="AR875" s="57"/>
      <c r="AS875" s="57"/>
      <c r="AT875" s="67">
        <f t="shared" ca="1" si="82"/>
        <v>0</v>
      </c>
      <c r="AU875" s="79" t="str">
        <f t="shared" ca="1" si="83"/>
        <v/>
      </c>
      <c r="AV875" s="79" t="str" cm="1">
        <f t="array" aca="1" ref="AV875" ca="1">IFERROR(_xlfn.IFS($AU875="","",$AU875&lt;=15,"0-15",AND($AU875&gt;=16,$AU875&lt;=30),"16-30",AND($AU875&gt;=31,$AU875&lt;=45),"31-45",AND($AU875&gt;=46,$AU875&lt;=60),"46-60",AND($AU875&gt;=61,$AU875&lt;=90),"61-90",AND($AU875&gt;=91),"&gt; 90",AND($AU875&gt;=2000),""),"")</f>
        <v/>
      </c>
      <c r="AW875" s="79" t="str" cm="1">
        <f t="array" aca="1" ref="AW875" ca="1">IFERROR(_xlfn.IFS(OR($M875="",$AM875=""),"",OR($C875="Offered",$C875="Joined"),($AM875-$M875)-$AT875),"")</f>
        <v/>
      </c>
      <c r="AX875" s="79" t="str" cm="1">
        <f t="array" aca="1" ref="AX875" ca="1">IFERROR(_xlfn.IFS(OR($M875="",$AS875=""),"",$C875="Joined",($AS875-$M875)-$AT875),"")</f>
        <v/>
      </c>
      <c r="AY875" s="67" t="str">
        <f>IFERROR(IF(COUNTIFS('Candidate Tracker'!$E:$E,'Positions Tracker'!$B875,'Candidate Tracker'!$C:$C,"Offer Drop")=0,"",COUNTIFS('Candidate Tracker'!$E:$E,'Positions Tracker'!$B875,'Candidate Tracker'!$C:$C,"Offer Drop")),"")</f>
        <v/>
      </c>
      <c r="AZ875" s="80">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0.88111888111888115</v>
      </c>
      <c r="BA875" s="81" t="str">
        <f>IFERROR(IF(COUNTIFS('Candidate Tracker'!$E:$E,'Positions Tracker'!$B875,'Candidate Tracker'!$I:$I,"Female")=0,"",COUNTIFS('Candidate Tracker'!$E:$E,'Positions Tracker'!$B875,'Candidate Tracker'!$I:$I,"Female")),"")</f>
        <v/>
      </c>
      <c r="BB875" s="81" t="str">
        <f>IFERROR(IF(COUNTIFS('Candidate Tracker'!$E:$E,'Positions Tracker'!$B875,'Candidate Tracker'!$I:$I,"male")=0,"",COUNTIFS('Candidate Tracker'!$E:$E,'Positions Tracker'!$B875,'Candidate Tracker'!$I:$I,"male")),"")</f>
        <v/>
      </c>
      <c r="BC875" s="80" t="str">
        <f>IFERROR(IF(COUNTIFS('Candidate Tracker'!$E:$E,'Positions Tracker'!$B875,'Candidate Tracker'!$C:$C,"&lt;&gt;WIP",'Candidate Tracker'!$C:$C,"&lt;&gt;Hold",'Candidate Tracker'!$C:$C,"&lt;&gt;Cancelled",'Candidate Tracker'!$C:$C,"&lt;&gt;Closed")/COUNTIFS('Candidate Tracker'!$E:$E,'Positions Tracker'!$B875)=0,"",COUNTIFS('Candidate Tracker'!$E:$E,'Positions Tracker'!$B875,'Candidate Tracker'!$C:$C,"&lt;&gt;WIP",'Candidate Tracker'!$C:$C,"&lt;&gt;Hold",'Candidate Tracker'!$C:$C,"&lt;&gt;Cancelled",'Candidate Tracker'!$C:$C,"&lt;&gt;Closed")/COUNTIFS('Candidate Tracker'!$E:$E,'Positions Tracker'!$B875)),"")</f>
        <v/>
      </c>
      <c r="BD875" s="67" t="str">
        <f t="shared" si="78"/>
        <v/>
      </c>
      <c r="BE875" s="67" t="str">
        <f t="shared" si="79"/>
        <v/>
      </c>
      <c r="BF875" s="67" t="str">
        <f t="shared" si="80"/>
        <v/>
      </c>
      <c r="BG875" s="67" t="str">
        <f t="shared" si="81"/>
        <v/>
      </c>
    </row>
    <row r="876" spans="1:59">
      <c r="A876" s="55"/>
      <c r="B876" s="56"/>
      <c r="C876" s="56"/>
      <c r="D876" s="56"/>
      <c r="E876" s="56"/>
      <c r="F876" s="56"/>
      <c r="G876" s="56"/>
      <c r="H876" s="56"/>
      <c r="I876" s="6"/>
      <c r="J876" s="6"/>
      <c r="K876" s="57"/>
      <c r="L876" s="57"/>
      <c r="M876" s="57"/>
      <c r="N876" s="56"/>
      <c r="O876" s="56"/>
      <c r="P876" s="56"/>
      <c r="Q876" s="56"/>
      <c r="R876" s="56"/>
      <c r="S876" s="56"/>
      <c r="T876" s="56"/>
      <c r="U876" s="56"/>
      <c r="V876" s="56"/>
      <c r="W876" s="56"/>
      <c r="X876" s="56"/>
      <c r="Y876" s="56"/>
      <c r="Z876" s="56"/>
      <c r="AA876" s="56"/>
      <c r="AB876" s="56"/>
      <c r="AC876" s="56"/>
      <c r="AD876" s="56"/>
      <c r="AE876" s="56"/>
      <c r="AF876" s="56"/>
      <c r="AG876" s="56"/>
      <c r="AH876" s="56"/>
      <c r="AI876" s="58"/>
      <c r="AJ876" s="56"/>
      <c r="AK876" s="56"/>
      <c r="AL876" s="56"/>
      <c r="AM876" s="57"/>
      <c r="AN876" s="57"/>
      <c r="AO876" s="56"/>
      <c r="AP876" s="56"/>
      <c r="AQ876" s="57"/>
      <c r="AR876" s="57"/>
      <c r="AS876" s="57"/>
      <c r="AT876" s="67">
        <f t="shared" ca="1" si="82"/>
        <v>0</v>
      </c>
      <c r="AU876" s="79" t="str">
        <f t="shared" ca="1" si="83"/>
        <v/>
      </c>
      <c r="AV876" s="79" t="str" cm="1">
        <f t="array" aca="1" ref="AV876" ca="1">IFERROR(_xlfn.IFS($AU876="","",$AU876&lt;=15,"0-15",AND($AU876&gt;=16,$AU876&lt;=30),"16-30",AND($AU876&gt;=31,$AU876&lt;=45),"31-45",AND($AU876&gt;=46,$AU876&lt;=60),"46-60",AND($AU876&gt;=61,$AU876&lt;=90),"61-90",AND($AU876&gt;=91),"&gt; 90",AND($AU876&gt;=2000),""),"")</f>
        <v/>
      </c>
      <c r="AW876" s="79" t="str" cm="1">
        <f t="array" aca="1" ref="AW876" ca="1">IFERROR(_xlfn.IFS(OR($M876="",$AM876=""),"",OR($C876="Offered",$C876="Joined"),($AM876-$M876)-$AT876),"")</f>
        <v/>
      </c>
      <c r="AX876" s="79" t="str" cm="1">
        <f t="array" aca="1" ref="AX876" ca="1">IFERROR(_xlfn.IFS(OR($M876="",$AS876=""),"",$C876="Joined",($AS876-$M876)-$AT876),"")</f>
        <v/>
      </c>
      <c r="AY876" s="67" t="str">
        <f>IFERROR(IF(COUNTIFS('Candidate Tracker'!$E:$E,'Positions Tracker'!$B876,'Candidate Tracker'!$C:$C,"Offer Drop")=0,"",COUNTIFS('Candidate Tracker'!$E:$E,'Positions Tracker'!$B876,'Candidate Tracker'!$C:$C,"Offer Drop")),"")</f>
        <v/>
      </c>
      <c r="AZ876" s="80">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0.88111888111888115</v>
      </c>
      <c r="BA876" s="81" t="str">
        <f>IFERROR(IF(COUNTIFS('Candidate Tracker'!$E:$E,'Positions Tracker'!$B876,'Candidate Tracker'!$I:$I,"Female")=0,"",COUNTIFS('Candidate Tracker'!$E:$E,'Positions Tracker'!$B876,'Candidate Tracker'!$I:$I,"Female")),"")</f>
        <v/>
      </c>
      <c r="BB876" s="81" t="str">
        <f>IFERROR(IF(COUNTIFS('Candidate Tracker'!$E:$E,'Positions Tracker'!$B876,'Candidate Tracker'!$I:$I,"male")=0,"",COUNTIFS('Candidate Tracker'!$E:$E,'Positions Tracker'!$B876,'Candidate Tracker'!$I:$I,"male")),"")</f>
        <v/>
      </c>
      <c r="BC876" s="80" t="str">
        <f>IFERROR(IF(COUNTIFS('Candidate Tracker'!$E:$E,'Positions Tracker'!$B876,'Candidate Tracker'!$C:$C,"&lt;&gt;WIP",'Candidate Tracker'!$C:$C,"&lt;&gt;Hold",'Candidate Tracker'!$C:$C,"&lt;&gt;Cancelled",'Candidate Tracker'!$C:$C,"&lt;&gt;Closed")/COUNTIFS('Candidate Tracker'!$E:$E,'Positions Tracker'!$B876)=0,"",COUNTIFS('Candidate Tracker'!$E:$E,'Positions Tracker'!$B876,'Candidate Tracker'!$C:$C,"&lt;&gt;WIP",'Candidate Tracker'!$C:$C,"&lt;&gt;Hold",'Candidate Tracker'!$C:$C,"&lt;&gt;Cancelled",'Candidate Tracker'!$C:$C,"&lt;&gt;Closed")/COUNTIFS('Candidate Tracker'!$E:$E,'Positions Tracker'!$B876)),"")</f>
        <v/>
      </c>
      <c r="BD876" s="67" t="str">
        <f t="shared" si="78"/>
        <v/>
      </c>
      <c r="BE876" s="67" t="str">
        <f t="shared" si="79"/>
        <v/>
      </c>
      <c r="BF876" s="67" t="str">
        <f t="shared" si="80"/>
        <v/>
      </c>
      <c r="BG876" s="67" t="str">
        <f t="shared" si="81"/>
        <v/>
      </c>
    </row>
    <row r="877" spans="1:59">
      <c r="A877" s="55"/>
      <c r="B877" s="56"/>
      <c r="C877" s="56"/>
      <c r="D877" s="56"/>
      <c r="E877" s="56"/>
      <c r="F877" s="56"/>
      <c r="G877" s="56"/>
      <c r="H877" s="56"/>
      <c r="I877" s="6"/>
      <c r="J877" s="6"/>
      <c r="K877" s="57"/>
      <c r="L877" s="57"/>
      <c r="M877" s="57"/>
      <c r="N877" s="56"/>
      <c r="O877" s="56"/>
      <c r="P877" s="56"/>
      <c r="Q877" s="56"/>
      <c r="R877" s="56"/>
      <c r="S877" s="56"/>
      <c r="T877" s="56"/>
      <c r="U877" s="56"/>
      <c r="V877" s="56"/>
      <c r="W877" s="56"/>
      <c r="X877" s="56"/>
      <c r="Y877" s="56"/>
      <c r="Z877" s="56"/>
      <c r="AA877" s="56"/>
      <c r="AB877" s="56"/>
      <c r="AC877" s="56"/>
      <c r="AD877" s="56"/>
      <c r="AE877" s="56"/>
      <c r="AF877" s="56"/>
      <c r="AG877" s="56"/>
      <c r="AH877" s="56"/>
      <c r="AI877" s="58"/>
      <c r="AJ877" s="56"/>
      <c r="AK877" s="56"/>
      <c r="AL877" s="56"/>
      <c r="AM877" s="57"/>
      <c r="AN877" s="57"/>
      <c r="AO877" s="56"/>
      <c r="AP877" s="56"/>
      <c r="AQ877" s="57"/>
      <c r="AR877" s="57"/>
      <c r="AS877" s="57"/>
      <c r="AT877" s="67">
        <f t="shared" ca="1" si="82"/>
        <v>0</v>
      </c>
      <c r="AU877" s="79" t="str">
        <f t="shared" ca="1" si="83"/>
        <v/>
      </c>
      <c r="AV877" s="79" t="str" cm="1">
        <f t="array" aca="1" ref="AV877" ca="1">IFERROR(_xlfn.IFS($AU877="","",$AU877&lt;=15,"0-15",AND($AU877&gt;=16,$AU877&lt;=30),"16-30",AND($AU877&gt;=31,$AU877&lt;=45),"31-45",AND($AU877&gt;=46,$AU877&lt;=60),"46-60",AND($AU877&gt;=61,$AU877&lt;=90),"61-90",AND($AU877&gt;=91),"&gt; 90",AND($AU877&gt;=2000),""),"")</f>
        <v/>
      </c>
      <c r="AW877" s="79" t="str" cm="1">
        <f t="array" aca="1" ref="AW877" ca="1">IFERROR(_xlfn.IFS(OR($M877="",$AM877=""),"",OR($C877="Offered",$C877="Joined"),($AM877-$M877)-$AT877),"")</f>
        <v/>
      </c>
      <c r="AX877" s="79" t="str" cm="1">
        <f t="array" aca="1" ref="AX877" ca="1">IFERROR(_xlfn.IFS(OR($M877="",$AS877=""),"",$C877="Joined",($AS877-$M877)-$AT877),"")</f>
        <v/>
      </c>
      <c r="AY877" s="67" t="str">
        <f>IFERROR(IF(COUNTIFS('Candidate Tracker'!$E:$E,'Positions Tracker'!$B877,'Candidate Tracker'!$C:$C,"Offer Drop")=0,"",COUNTIFS('Candidate Tracker'!$E:$E,'Positions Tracker'!$B877,'Candidate Tracker'!$C:$C,"Offer Drop")),"")</f>
        <v/>
      </c>
      <c r="AZ877" s="80">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0.88111888111888115</v>
      </c>
      <c r="BA877" s="81" t="str">
        <f>IFERROR(IF(COUNTIFS('Candidate Tracker'!$E:$E,'Positions Tracker'!$B877,'Candidate Tracker'!$I:$I,"Female")=0,"",COUNTIFS('Candidate Tracker'!$E:$E,'Positions Tracker'!$B877,'Candidate Tracker'!$I:$I,"Female")),"")</f>
        <v/>
      </c>
      <c r="BB877" s="81" t="str">
        <f>IFERROR(IF(COUNTIFS('Candidate Tracker'!$E:$E,'Positions Tracker'!$B877,'Candidate Tracker'!$I:$I,"male")=0,"",COUNTIFS('Candidate Tracker'!$E:$E,'Positions Tracker'!$B877,'Candidate Tracker'!$I:$I,"male")),"")</f>
        <v/>
      </c>
      <c r="BC877" s="80" t="str">
        <f>IFERROR(IF(COUNTIFS('Candidate Tracker'!$E:$E,'Positions Tracker'!$B877,'Candidate Tracker'!$C:$C,"&lt;&gt;WIP",'Candidate Tracker'!$C:$C,"&lt;&gt;Hold",'Candidate Tracker'!$C:$C,"&lt;&gt;Cancelled",'Candidate Tracker'!$C:$C,"&lt;&gt;Closed")/COUNTIFS('Candidate Tracker'!$E:$E,'Positions Tracker'!$B877)=0,"",COUNTIFS('Candidate Tracker'!$E:$E,'Positions Tracker'!$B877,'Candidate Tracker'!$C:$C,"&lt;&gt;WIP",'Candidate Tracker'!$C:$C,"&lt;&gt;Hold",'Candidate Tracker'!$C:$C,"&lt;&gt;Cancelled",'Candidate Tracker'!$C:$C,"&lt;&gt;Closed")/COUNTIFS('Candidate Tracker'!$E:$E,'Positions Tracker'!$B877)),"")</f>
        <v/>
      </c>
      <c r="BD877" s="67" t="str">
        <f t="shared" si="78"/>
        <v/>
      </c>
      <c r="BE877" s="67" t="str">
        <f t="shared" si="79"/>
        <v/>
      </c>
      <c r="BF877" s="67" t="str">
        <f t="shared" si="80"/>
        <v/>
      </c>
      <c r="BG877" s="67" t="str">
        <f t="shared" si="81"/>
        <v/>
      </c>
    </row>
    <row r="878" spans="1:59">
      <c r="A878" s="55"/>
      <c r="B878" s="56"/>
      <c r="C878" s="56"/>
      <c r="D878" s="56"/>
      <c r="E878" s="56"/>
      <c r="F878" s="56"/>
      <c r="G878" s="56"/>
      <c r="H878" s="56"/>
      <c r="I878" s="6"/>
      <c r="J878" s="6"/>
      <c r="K878" s="57"/>
      <c r="L878" s="57"/>
      <c r="M878" s="57"/>
      <c r="N878" s="56"/>
      <c r="O878" s="56"/>
      <c r="P878" s="56"/>
      <c r="Q878" s="56"/>
      <c r="R878" s="56"/>
      <c r="S878" s="56"/>
      <c r="T878" s="56"/>
      <c r="U878" s="56"/>
      <c r="V878" s="56"/>
      <c r="W878" s="56"/>
      <c r="X878" s="56"/>
      <c r="Y878" s="56"/>
      <c r="Z878" s="56"/>
      <c r="AA878" s="56"/>
      <c r="AB878" s="56"/>
      <c r="AC878" s="56"/>
      <c r="AD878" s="56"/>
      <c r="AE878" s="56"/>
      <c r="AF878" s="56"/>
      <c r="AG878" s="56"/>
      <c r="AH878" s="56"/>
      <c r="AI878" s="58"/>
      <c r="AJ878" s="56"/>
      <c r="AK878" s="56"/>
      <c r="AL878" s="56"/>
      <c r="AM878" s="57"/>
      <c r="AN878" s="57"/>
      <c r="AO878" s="56"/>
      <c r="AP878" s="56"/>
      <c r="AQ878" s="57"/>
      <c r="AR878" s="57"/>
      <c r="AS878" s="57"/>
      <c r="AT878" s="67">
        <f t="shared" ca="1" si="82"/>
        <v>0</v>
      </c>
      <c r="AU878" s="79" t="str">
        <f t="shared" ca="1" si="83"/>
        <v/>
      </c>
      <c r="AV878" s="79" t="str" cm="1">
        <f t="array" aca="1" ref="AV878" ca="1">IFERROR(_xlfn.IFS($AU878="","",$AU878&lt;=15,"0-15",AND($AU878&gt;=16,$AU878&lt;=30),"16-30",AND($AU878&gt;=31,$AU878&lt;=45),"31-45",AND($AU878&gt;=46,$AU878&lt;=60),"46-60",AND($AU878&gt;=61,$AU878&lt;=90),"61-90",AND($AU878&gt;=91),"&gt; 90",AND($AU878&gt;=2000),""),"")</f>
        <v/>
      </c>
      <c r="AW878" s="79" t="str" cm="1">
        <f t="array" aca="1" ref="AW878" ca="1">IFERROR(_xlfn.IFS(OR($M878="",$AM878=""),"",OR($C878="Offered",$C878="Joined"),($AM878-$M878)-$AT878),"")</f>
        <v/>
      </c>
      <c r="AX878" s="79" t="str" cm="1">
        <f t="array" aca="1" ref="AX878" ca="1">IFERROR(_xlfn.IFS(OR($M878="",$AS878=""),"",$C878="Joined",($AS878-$M878)-$AT878),"")</f>
        <v/>
      </c>
      <c r="AY878" s="67" t="str">
        <f>IFERROR(IF(COUNTIFS('Candidate Tracker'!$E:$E,'Positions Tracker'!$B878,'Candidate Tracker'!$C:$C,"Offer Drop")=0,"",COUNTIFS('Candidate Tracker'!$E:$E,'Positions Tracker'!$B878,'Candidate Tracker'!$C:$C,"Offer Drop")),"")</f>
        <v/>
      </c>
      <c r="AZ878" s="80">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0.88111888111888115</v>
      </c>
      <c r="BA878" s="81" t="str">
        <f>IFERROR(IF(COUNTIFS('Candidate Tracker'!$E:$E,'Positions Tracker'!$B878,'Candidate Tracker'!$I:$I,"Female")=0,"",COUNTIFS('Candidate Tracker'!$E:$E,'Positions Tracker'!$B878,'Candidate Tracker'!$I:$I,"Female")),"")</f>
        <v/>
      </c>
      <c r="BB878" s="81" t="str">
        <f>IFERROR(IF(COUNTIFS('Candidate Tracker'!$E:$E,'Positions Tracker'!$B878,'Candidate Tracker'!$I:$I,"male")=0,"",COUNTIFS('Candidate Tracker'!$E:$E,'Positions Tracker'!$B878,'Candidate Tracker'!$I:$I,"male")),"")</f>
        <v/>
      </c>
      <c r="BC878" s="80" t="str">
        <f>IFERROR(IF(COUNTIFS('Candidate Tracker'!$E:$E,'Positions Tracker'!$B878,'Candidate Tracker'!$C:$C,"&lt;&gt;WIP",'Candidate Tracker'!$C:$C,"&lt;&gt;Hold",'Candidate Tracker'!$C:$C,"&lt;&gt;Cancelled",'Candidate Tracker'!$C:$C,"&lt;&gt;Closed")/COUNTIFS('Candidate Tracker'!$E:$E,'Positions Tracker'!$B878)=0,"",COUNTIFS('Candidate Tracker'!$E:$E,'Positions Tracker'!$B878,'Candidate Tracker'!$C:$C,"&lt;&gt;WIP",'Candidate Tracker'!$C:$C,"&lt;&gt;Hold",'Candidate Tracker'!$C:$C,"&lt;&gt;Cancelled",'Candidate Tracker'!$C:$C,"&lt;&gt;Closed")/COUNTIFS('Candidate Tracker'!$E:$E,'Positions Tracker'!$B878)),"")</f>
        <v/>
      </c>
      <c r="BD878" s="67" t="str">
        <f t="shared" si="78"/>
        <v/>
      </c>
      <c r="BE878" s="67" t="str">
        <f t="shared" si="79"/>
        <v/>
      </c>
      <c r="BF878" s="67" t="str">
        <f t="shared" si="80"/>
        <v/>
      </c>
      <c r="BG878" s="67" t="str">
        <f t="shared" si="81"/>
        <v/>
      </c>
    </row>
    <row r="879" spans="1:59">
      <c r="A879" s="55"/>
      <c r="B879" s="56"/>
      <c r="C879" s="56"/>
      <c r="D879" s="56"/>
      <c r="E879" s="56"/>
      <c r="F879" s="56"/>
      <c r="G879" s="56"/>
      <c r="H879" s="56"/>
      <c r="I879" s="6"/>
      <c r="J879" s="6"/>
      <c r="K879" s="57"/>
      <c r="L879" s="57"/>
      <c r="M879" s="57"/>
      <c r="N879" s="56"/>
      <c r="O879" s="56"/>
      <c r="P879" s="56"/>
      <c r="Q879" s="56"/>
      <c r="R879" s="56"/>
      <c r="S879" s="56"/>
      <c r="T879" s="56"/>
      <c r="U879" s="56"/>
      <c r="V879" s="56"/>
      <c r="W879" s="56"/>
      <c r="X879" s="56"/>
      <c r="Y879" s="56"/>
      <c r="Z879" s="56"/>
      <c r="AA879" s="56"/>
      <c r="AB879" s="56"/>
      <c r="AC879" s="56"/>
      <c r="AD879" s="56"/>
      <c r="AE879" s="56"/>
      <c r="AF879" s="56"/>
      <c r="AG879" s="56"/>
      <c r="AH879" s="56"/>
      <c r="AI879" s="58"/>
      <c r="AJ879" s="56"/>
      <c r="AK879" s="56"/>
      <c r="AL879" s="56"/>
      <c r="AM879" s="57"/>
      <c r="AN879" s="57"/>
      <c r="AO879" s="56"/>
      <c r="AP879" s="56"/>
      <c r="AQ879" s="57"/>
      <c r="AR879" s="57"/>
      <c r="AS879" s="57"/>
      <c r="AT879" s="67">
        <f t="shared" ca="1" si="82"/>
        <v>0</v>
      </c>
      <c r="AU879" s="79" t="str">
        <f t="shared" ca="1" si="83"/>
        <v/>
      </c>
      <c r="AV879" s="79" t="str" cm="1">
        <f t="array" aca="1" ref="AV879" ca="1">IFERROR(_xlfn.IFS($AU879="","",$AU879&lt;=15,"0-15",AND($AU879&gt;=16,$AU879&lt;=30),"16-30",AND($AU879&gt;=31,$AU879&lt;=45),"31-45",AND($AU879&gt;=46,$AU879&lt;=60),"46-60",AND($AU879&gt;=61,$AU879&lt;=90),"61-90",AND($AU879&gt;=91),"&gt; 90",AND($AU879&gt;=2000),""),"")</f>
        <v/>
      </c>
      <c r="AW879" s="79" t="str" cm="1">
        <f t="array" aca="1" ref="AW879" ca="1">IFERROR(_xlfn.IFS(OR($M879="",$AM879=""),"",OR($C879="Offered",$C879="Joined"),($AM879-$M879)-$AT879),"")</f>
        <v/>
      </c>
      <c r="AX879" s="79" t="str" cm="1">
        <f t="array" aca="1" ref="AX879" ca="1">IFERROR(_xlfn.IFS(OR($M879="",$AS879=""),"",$C879="Joined",($AS879-$M879)-$AT879),"")</f>
        <v/>
      </c>
      <c r="AY879" s="67" t="str">
        <f>IFERROR(IF(COUNTIFS('Candidate Tracker'!$E:$E,'Positions Tracker'!$B879,'Candidate Tracker'!$C:$C,"Offer Drop")=0,"",COUNTIFS('Candidate Tracker'!$E:$E,'Positions Tracker'!$B879,'Candidate Tracker'!$C:$C,"Offer Drop")),"")</f>
        <v/>
      </c>
      <c r="AZ879" s="80">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0.88111888111888115</v>
      </c>
      <c r="BA879" s="81" t="str">
        <f>IFERROR(IF(COUNTIFS('Candidate Tracker'!$E:$E,'Positions Tracker'!$B879,'Candidate Tracker'!$I:$I,"Female")=0,"",COUNTIFS('Candidate Tracker'!$E:$E,'Positions Tracker'!$B879,'Candidate Tracker'!$I:$I,"Female")),"")</f>
        <v/>
      </c>
      <c r="BB879" s="81" t="str">
        <f>IFERROR(IF(COUNTIFS('Candidate Tracker'!$E:$E,'Positions Tracker'!$B879,'Candidate Tracker'!$I:$I,"male")=0,"",COUNTIFS('Candidate Tracker'!$E:$E,'Positions Tracker'!$B879,'Candidate Tracker'!$I:$I,"male")),"")</f>
        <v/>
      </c>
      <c r="BC879" s="80" t="str">
        <f>IFERROR(IF(COUNTIFS('Candidate Tracker'!$E:$E,'Positions Tracker'!$B879,'Candidate Tracker'!$C:$C,"&lt;&gt;WIP",'Candidate Tracker'!$C:$C,"&lt;&gt;Hold",'Candidate Tracker'!$C:$C,"&lt;&gt;Cancelled",'Candidate Tracker'!$C:$C,"&lt;&gt;Closed")/COUNTIFS('Candidate Tracker'!$E:$E,'Positions Tracker'!$B879)=0,"",COUNTIFS('Candidate Tracker'!$E:$E,'Positions Tracker'!$B879,'Candidate Tracker'!$C:$C,"&lt;&gt;WIP",'Candidate Tracker'!$C:$C,"&lt;&gt;Hold",'Candidate Tracker'!$C:$C,"&lt;&gt;Cancelled",'Candidate Tracker'!$C:$C,"&lt;&gt;Closed")/COUNTIFS('Candidate Tracker'!$E:$E,'Positions Tracker'!$B879)),"")</f>
        <v/>
      </c>
      <c r="BD879" s="67" t="str">
        <f t="shared" si="78"/>
        <v/>
      </c>
      <c r="BE879" s="67" t="str">
        <f t="shared" si="79"/>
        <v/>
      </c>
      <c r="BF879" s="67" t="str">
        <f t="shared" si="80"/>
        <v/>
      </c>
      <c r="BG879" s="67" t="str">
        <f t="shared" si="81"/>
        <v/>
      </c>
    </row>
    <row r="880" spans="1:59">
      <c r="A880" s="55"/>
      <c r="B880" s="56"/>
      <c r="C880" s="56"/>
      <c r="D880" s="56"/>
      <c r="E880" s="56"/>
      <c r="F880" s="56"/>
      <c r="G880" s="56"/>
      <c r="H880" s="56"/>
      <c r="I880" s="6"/>
      <c r="J880" s="6"/>
      <c r="K880" s="57"/>
      <c r="L880" s="57"/>
      <c r="M880" s="57"/>
      <c r="N880" s="56"/>
      <c r="O880" s="56"/>
      <c r="P880" s="56"/>
      <c r="Q880" s="56"/>
      <c r="R880" s="56"/>
      <c r="S880" s="56"/>
      <c r="T880" s="56"/>
      <c r="U880" s="56"/>
      <c r="V880" s="56"/>
      <c r="W880" s="56"/>
      <c r="X880" s="56"/>
      <c r="Y880" s="56"/>
      <c r="Z880" s="56"/>
      <c r="AA880" s="56"/>
      <c r="AB880" s="56"/>
      <c r="AC880" s="56"/>
      <c r="AD880" s="56"/>
      <c r="AE880" s="56"/>
      <c r="AF880" s="56"/>
      <c r="AG880" s="56"/>
      <c r="AH880" s="56"/>
      <c r="AI880" s="58"/>
      <c r="AJ880" s="56"/>
      <c r="AK880" s="56"/>
      <c r="AL880" s="56"/>
      <c r="AM880" s="57"/>
      <c r="AN880" s="57"/>
      <c r="AO880" s="56"/>
      <c r="AP880" s="56"/>
      <c r="AQ880" s="57"/>
      <c r="AR880" s="57"/>
      <c r="AS880" s="57"/>
      <c r="AT880" s="67">
        <f t="shared" ca="1" si="82"/>
        <v>0</v>
      </c>
      <c r="AU880" s="79" t="str">
        <f t="shared" ca="1" si="83"/>
        <v/>
      </c>
      <c r="AV880" s="79" t="str" cm="1">
        <f t="array" aca="1" ref="AV880" ca="1">IFERROR(_xlfn.IFS($AU880="","",$AU880&lt;=15,"0-15",AND($AU880&gt;=16,$AU880&lt;=30),"16-30",AND($AU880&gt;=31,$AU880&lt;=45),"31-45",AND($AU880&gt;=46,$AU880&lt;=60),"46-60",AND($AU880&gt;=61,$AU880&lt;=90),"61-90",AND($AU880&gt;=91),"&gt; 90",AND($AU880&gt;=2000),""),"")</f>
        <v/>
      </c>
      <c r="AW880" s="79" t="str" cm="1">
        <f t="array" aca="1" ref="AW880" ca="1">IFERROR(_xlfn.IFS(OR($M880="",$AM880=""),"",OR($C880="Offered",$C880="Joined"),($AM880-$M880)-$AT880),"")</f>
        <v/>
      </c>
      <c r="AX880" s="79" t="str" cm="1">
        <f t="array" aca="1" ref="AX880" ca="1">IFERROR(_xlfn.IFS(OR($M880="",$AS880=""),"",$C880="Joined",($AS880-$M880)-$AT880),"")</f>
        <v/>
      </c>
      <c r="AY880" s="67" t="str">
        <f>IFERROR(IF(COUNTIFS('Candidate Tracker'!$E:$E,'Positions Tracker'!$B880,'Candidate Tracker'!$C:$C,"Offer Drop")=0,"",COUNTIFS('Candidate Tracker'!$E:$E,'Positions Tracker'!$B880,'Candidate Tracker'!$C:$C,"Offer Drop")),"")</f>
        <v/>
      </c>
      <c r="AZ880" s="80">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0.88111888111888115</v>
      </c>
      <c r="BA880" s="81" t="str">
        <f>IFERROR(IF(COUNTIFS('Candidate Tracker'!$E:$E,'Positions Tracker'!$B880,'Candidate Tracker'!$I:$I,"Female")=0,"",COUNTIFS('Candidate Tracker'!$E:$E,'Positions Tracker'!$B880,'Candidate Tracker'!$I:$I,"Female")),"")</f>
        <v/>
      </c>
      <c r="BB880" s="81" t="str">
        <f>IFERROR(IF(COUNTIFS('Candidate Tracker'!$E:$E,'Positions Tracker'!$B880,'Candidate Tracker'!$I:$I,"male")=0,"",COUNTIFS('Candidate Tracker'!$E:$E,'Positions Tracker'!$B880,'Candidate Tracker'!$I:$I,"male")),"")</f>
        <v/>
      </c>
      <c r="BC880" s="80" t="str">
        <f>IFERROR(IF(COUNTIFS('Candidate Tracker'!$E:$E,'Positions Tracker'!$B880,'Candidate Tracker'!$C:$C,"&lt;&gt;WIP",'Candidate Tracker'!$C:$C,"&lt;&gt;Hold",'Candidate Tracker'!$C:$C,"&lt;&gt;Cancelled",'Candidate Tracker'!$C:$C,"&lt;&gt;Closed")/COUNTIFS('Candidate Tracker'!$E:$E,'Positions Tracker'!$B880)=0,"",COUNTIFS('Candidate Tracker'!$E:$E,'Positions Tracker'!$B880,'Candidate Tracker'!$C:$C,"&lt;&gt;WIP",'Candidate Tracker'!$C:$C,"&lt;&gt;Hold",'Candidate Tracker'!$C:$C,"&lt;&gt;Cancelled",'Candidate Tracker'!$C:$C,"&lt;&gt;Closed")/COUNTIFS('Candidate Tracker'!$E:$E,'Positions Tracker'!$B880)),"")</f>
        <v/>
      </c>
      <c r="BD880" s="67" t="str">
        <f t="shared" si="78"/>
        <v/>
      </c>
      <c r="BE880" s="67" t="str">
        <f t="shared" si="79"/>
        <v/>
      </c>
      <c r="BF880" s="67" t="str">
        <f t="shared" si="80"/>
        <v/>
      </c>
      <c r="BG880" s="67" t="str">
        <f t="shared" si="81"/>
        <v/>
      </c>
    </row>
    <row r="881" spans="1:59">
      <c r="A881" s="55"/>
      <c r="B881" s="56"/>
      <c r="C881" s="56"/>
      <c r="D881" s="56"/>
      <c r="E881" s="56"/>
      <c r="F881" s="56"/>
      <c r="G881" s="56"/>
      <c r="H881" s="56"/>
      <c r="I881" s="6"/>
      <c r="J881" s="6"/>
      <c r="K881" s="57"/>
      <c r="L881" s="57"/>
      <c r="M881" s="57"/>
      <c r="N881" s="56"/>
      <c r="O881" s="56"/>
      <c r="P881" s="56"/>
      <c r="Q881" s="56"/>
      <c r="R881" s="56"/>
      <c r="S881" s="56"/>
      <c r="T881" s="56"/>
      <c r="U881" s="56"/>
      <c r="V881" s="56"/>
      <c r="W881" s="56"/>
      <c r="X881" s="56"/>
      <c r="Y881" s="56"/>
      <c r="Z881" s="56"/>
      <c r="AA881" s="56"/>
      <c r="AB881" s="56"/>
      <c r="AC881" s="56"/>
      <c r="AD881" s="56"/>
      <c r="AE881" s="56"/>
      <c r="AF881" s="56"/>
      <c r="AG881" s="56"/>
      <c r="AH881" s="56"/>
      <c r="AI881" s="58"/>
      <c r="AJ881" s="56"/>
      <c r="AK881" s="56"/>
      <c r="AL881" s="56"/>
      <c r="AM881" s="57"/>
      <c r="AN881" s="57"/>
      <c r="AO881" s="56"/>
      <c r="AP881" s="56"/>
      <c r="AQ881" s="57"/>
      <c r="AR881" s="57"/>
      <c r="AS881" s="57"/>
      <c r="AT881" s="67">
        <f t="shared" ca="1" si="82"/>
        <v>0</v>
      </c>
      <c r="AU881" s="79" t="str">
        <f t="shared" ca="1" si="83"/>
        <v/>
      </c>
      <c r="AV881" s="79" t="str" cm="1">
        <f t="array" aca="1" ref="AV881" ca="1">IFERROR(_xlfn.IFS($AU881="","",$AU881&lt;=15,"0-15",AND($AU881&gt;=16,$AU881&lt;=30),"16-30",AND($AU881&gt;=31,$AU881&lt;=45),"31-45",AND($AU881&gt;=46,$AU881&lt;=60),"46-60",AND($AU881&gt;=61,$AU881&lt;=90),"61-90",AND($AU881&gt;=91),"&gt; 90",AND($AU881&gt;=2000),""),"")</f>
        <v/>
      </c>
      <c r="AW881" s="79" t="str" cm="1">
        <f t="array" aca="1" ref="AW881" ca="1">IFERROR(_xlfn.IFS(OR($M881="",$AM881=""),"",OR($C881="Offered",$C881="Joined"),($AM881-$M881)-$AT881),"")</f>
        <v/>
      </c>
      <c r="AX881" s="79" t="str" cm="1">
        <f t="array" aca="1" ref="AX881" ca="1">IFERROR(_xlfn.IFS(OR($M881="",$AS881=""),"",$C881="Joined",($AS881-$M881)-$AT881),"")</f>
        <v/>
      </c>
      <c r="AY881" s="67" t="str">
        <f>IFERROR(IF(COUNTIFS('Candidate Tracker'!$E:$E,'Positions Tracker'!$B881,'Candidate Tracker'!$C:$C,"Offer Drop")=0,"",COUNTIFS('Candidate Tracker'!$E:$E,'Positions Tracker'!$B881,'Candidate Tracker'!$C:$C,"Offer Drop")),"")</f>
        <v/>
      </c>
      <c r="AZ881" s="80">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0.88111888111888115</v>
      </c>
      <c r="BA881" s="81" t="str">
        <f>IFERROR(IF(COUNTIFS('Candidate Tracker'!$E:$E,'Positions Tracker'!$B881,'Candidate Tracker'!$I:$I,"Female")=0,"",COUNTIFS('Candidate Tracker'!$E:$E,'Positions Tracker'!$B881,'Candidate Tracker'!$I:$I,"Female")),"")</f>
        <v/>
      </c>
      <c r="BB881" s="81" t="str">
        <f>IFERROR(IF(COUNTIFS('Candidate Tracker'!$E:$E,'Positions Tracker'!$B881,'Candidate Tracker'!$I:$I,"male")=0,"",COUNTIFS('Candidate Tracker'!$E:$E,'Positions Tracker'!$B881,'Candidate Tracker'!$I:$I,"male")),"")</f>
        <v/>
      </c>
      <c r="BC881" s="80" t="str">
        <f>IFERROR(IF(COUNTIFS('Candidate Tracker'!$E:$E,'Positions Tracker'!$B881,'Candidate Tracker'!$C:$C,"&lt;&gt;WIP",'Candidate Tracker'!$C:$C,"&lt;&gt;Hold",'Candidate Tracker'!$C:$C,"&lt;&gt;Cancelled",'Candidate Tracker'!$C:$C,"&lt;&gt;Closed")/COUNTIFS('Candidate Tracker'!$E:$E,'Positions Tracker'!$B881)=0,"",COUNTIFS('Candidate Tracker'!$E:$E,'Positions Tracker'!$B881,'Candidate Tracker'!$C:$C,"&lt;&gt;WIP",'Candidate Tracker'!$C:$C,"&lt;&gt;Hold",'Candidate Tracker'!$C:$C,"&lt;&gt;Cancelled",'Candidate Tracker'!$C:$C,"&lt;&gt;Closed")/COUNTIFS('Candidate Tracker'!$E:$E,'Positions Tracker'!$B881)),"")</f>
        <v/>
      </c>
      <c r="BD881" s="67" t="str">
        <f t="shared" si="78"/>
        <v/>
      </c>
      <c r="BE881" s="67" t="str">
        <f t="shared" si="79"/>
        <v/>
      </c>
      <c r="BF881" s="67" t="str">
        <f t="shared" si="80"/>
        <v/>
      </c>
      <c r="BG881" s="67" t="str">
        <f t="shared" si="81"/>
        <v/>
      </c>
    </row>
    <row r="882" spans="1:59">
      <c r="A882" s="55"/>
      <c r="B882" s="56"/>
      <c r="C882" s="56"/>
      <c r="D882" s="56"/>
      <c r="E882" s="56"/>
      <c r="F882" s="56"/>
      <c r="G882" s="56"/>
      <c r="H882" s="56"/>
      <c r="I882" s="6"/>
      <c r="J882" s="6"/>
      <c r="K882" s="57"/>
      <c r="L882" s="57"/>
      <c r="M882" s="57"/>
      <c r="N882" s="56"/>
      <c r="O882" s="56"/>
      <c r="P882" s="56"/>
      <c r="Q882" s="56"/>
      <c r="R882" s="56"/>
      <c r="S882" s="56"/>
      <c r="T882" s="56"/>
      <c r="U882" s="56"/>
      <c r="V882" s="56"/>
      <c r="W882" s="56"/>
      <c r="X882" s="56"/>
      <c r="Y882" s="56"/>
      <c r="Z882" s="56"/>
      <c r="AA882" s="56"/>
      <c r="AB882" s="56"/>
      <c r="AC882" s="56"/>
      <c r="AD882" s="56"/>
      <c r="AE882" s="56"/>
      <c r="AF882" s="56"/>
      <c r="AG882" s="56"/>
      <c r="AH882" s="56"/>
      <c r="AI882" s="58"/>
      <c r="AJ882" s="56"/>
      <c r="AK882" s="56"/>
      <c r="AL882" s="56"/>
      <c r="AM882" s="57"/>
      <c r="AN882" s="57"/>
      <c r="AO882" s="56"/>
      <c r="AP882" s="56"/>
      <c r="AQ882" s="57"/>
      <c r="AR882" s="57"/>
      <c r="AS882" s="57"/>
      <c r="AT882" s="67">
        <f t="shared" ca="1" si="82"/>
        <v>0</v>
      </c>
      <c r="AU882" s="79" t="str">
        <f t="shared" ca="1" si="83"/>
        <v/>
      </c>
      <c r="AV882" s="79" t="str" cm="1">
        <f t="array" aca="1" ref="AV882" ca="1">IFERROR(_xlfn.IFS($AU882="","",$AU882&lt;=15,"0-15",AND($AU882&gt;=16,$AU882&lt;=30),"16-30",AND($AU882&gt;=31,$AU882&lt;=45),"31-45",AND($AU882&gt;=46,$AU882&lt;=60),"46-60",AND($AU882&gt;=61,$AU882&lt;=90),"61-90",AND($AU882&gt;=91),"&gt; 90",AND($AU882&gt;=2000),""),"")</f>
        <v/>
      </c>
      <c r="AW882" s="79" t="str" cm="1">
        <f t="array" aca="1" ref="AW882" ca="1">IFERROR(_xlfn.IFS(OR($M882="",$AM882=""),"",OR($C882="Offered",$C882="Joined"),($AM882-$M882)-$AT882),"")</f>
        <v/>
      </c>
      <c r="AX882" s="79" t="str" cm="1">
        <f t="array" aca="1" ref="AX882" ca="1">IFERROR(_xlfn.IFS(OR($M882="",$AS882=""),"",$C882="Joined",($AS882-$M882)-$AT882),"")</f>
        <v/>
      </c>
      <c r="AY882" s="67" t="str">
        <f>IFERROR(IF(COUNTIFS('Candidate Tracker'!$E:$E,'Positions Tracker'!$B882,'Candidate Tracker'!$C:$C,"Offer Drop")=0,"",COUNTIFS('Candidate Tracker'!$E:$E,'Positions Tracker'!$B882,'Candidate Tracker'!$C:$C,"Offer Drop")),"")</f>
        <v/>
      </c>
      <c r="AZ882" s="80">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0.88111888111888115</v>
      </c>
      <c r="BA882" s="81" t="str">
        <f>IFERROR(IF(COUNTIFS('Candidate Tracker'!$E:$E,'Positions Tracker'!$B882,'Candidate Tracker'!$I:$I,"Female")=0,"",COUNTIFS('Candidate Tracker'!$E:$E,'Positions Tracker'!$B882,'Candidate Tracker'!$I:$I,"Female")),"")</f>
        <v/>
      </c>
      <c r="BB882" s="81" t="str">
        <f>IFERROR(IF(COUNTIFS('Candidate Tracker'!$E:$E,'Positions Tracker'!$B882,'Candidate Tracker'!$I:$I,"male")=0,"",COUNTIFS('Candidate Tracker'!$E:$E,'Positions Tracker'!$B882,'Candidate Tracker'!$I:$I,"male")),"")</f>
        <v/>
      </c>
      <c r="BC882" s="80" t="str">
        <f>IFERROR(IF(COUNTIFS('Candidate Tracker'!$E:$E,'Positions Tracker'!$B882,'Candidate Tracker'!$C:$C,"&lt;&gt;WIP",'Candidate Tracker'!$C:$C,"&lt;&gt;Hold",'Candidate Tracker'!$C:$C,"&lt;&gt;Cancelled",'Candidate Tracker'!$C:$C,"&lt;&gt;Closed")/COUNTIFS('Candidate Tracker'!$E:$E,'Positions Tracker'!$B882)=0,"",COUNTIFS('Candidate Tracker'!$E:$E,'Positions Tracker'!$B882,'Candidate Tracker'!$C:$C,"&lt;&gt;WIP",'Candidate Tracker'!$C:$C,"&lt;&gt;Hold",'Candidate Tracker'!$C:$C,"&lt;&gt;Cancelled",'Candidate Tracker'!$C:$C,"&lt;&gt;Closed")/COUNTIFS('Candidate Tracker'!$E:$E,'Positions Tracker'!$B882)),"")</f>
        <v/>
      </c>
      <c r="BD882" s="67" t="str">
        <f t="shared" si="78"/>
        <v/>
      </c>
      <c r="BE882" s="67" t="str">
        <f t="shared" si="79"/>
        <v/>
      </c>
      <c r="BF882" s="67" t="str">
        <f t="shared" si="80"/>
        <v/>
      </c>
      <c r="BG882" s="67" t="str">
        <f t="shared" si="81"/>
        <v/>
      </c>
    </row>
    <row r="883" spans="1:59">
      <c r="A883" s="55"/>
      <c r="B883" s="56"/>
      <c r="C883" s="56"/>
      <c r="D883" s="56"/>
      <c r="E883" s="56"/>
      <c r="F883" s="56"/>
      <c r="G883" s="56"/>
      <c r="H883" s="56"/>
      <c r="I883" s="6"/>
      <c r="J883" s="6"/>
      <c r="K883" s="57"/>
      <c r="L883" s="57"/>
      <c r="M883" s="57"/>
      <c r="N883" s="56"/>
      <c r="O883" s="56"/>
      <c r="P883" s="56"/>
      <c r="Q883" s="56"/>
      <c r="R883" s="56"/>
      <c r="S883" s="56"/>
      <c r="T883" s="56"/>
      <c r="U883" s="56"/>
      <c r="V883" s="56"/>
      <c r="W883" s="56"/>
      <c r="X883" s="56"/>
      <c r="Y883" s="56"/>
      <c r="Z883" s="56"/>
      <c r="AA883" s="56"/>
      <c r="AB883" s="56"/>
      <c r="AC883" s="56"/>
      <c r="AD883" s="56"/>
      <c r="AE883" s="56"/>
      <c r="AF883" s="56"/>
      <c r="AG883" s="56"/>
      <c r="AH883" s="56"/>
      <c r="AI883" s="58"/>
      <c r="AJ883" s="56"/>
      <c r="AK883" s="56"/>
      <c r="AL883" s="56"/>
      <c r="AM883" s="57"/>
      <c r="AN883" s="57"/>
      <c r="AO883" s="56"/>
      <c r="AP883" s="56"/>
      <c r="AQ883" s="57"/>
      <c r="AR883" s="57"/>
      <c r="AS883" s="57"/>
      <c r="AT883" s="67">
        <f t="shared" ca="1" si="82"/>
        <v>0</v>
      </c>
      <c r="AU883" s="79" t="str">
        <f t="shared" ca="1" si="83"/>
        <v/>
      </c>
      <c r="AV883" s="79" t="str" cm="1">
        <f t="array" aca="1" ref="AV883" ca="1">IFERROR(_xlfn.IFS($AU883="","",$AU883&lt;=15,"0-15",AND($AU883&gt;=16,$AU883&lt;=30),"16-30",AND($AU883&gt;=31,$AU883&lt;=45),"31-45",AND($AU883&gt;=46,$AU883&lt;=60),"46-60",AND($AU883&gt;=61,$AU883&lt;=90),"61-90",AND($AU883&gt;=91),"&gt; 90",AND($AU883&gt;=2000),""),"")</f>
        <v/>
      </c>
      <c r="AW883" s="79" t="str" cm="1">
        <f t="array" aca="1" ref="AW883" ca="1">IFERROR(_xlfn.IFS(OR($M883="",$AM883=""),"",OR($C883="Offered",$C883="Joined"),($AM883-$M883)-$AT883),"")</f>
        <v/>
      </c>
      <c r="AX883" s="79" t="str" cm="1">
        <f t="array" aca="1" ref="AX883" ca="1">IFERROR(_xlfn.IFS(OR($M883="",$AS883=""),"",$C883="Joined",($AS883-$M883)-$AT883),"")</f>
        <v/>
      </c>
      <c r="AY883" s="67" t="str">
        <f>IFERROR(IF(COUNTIFS('Candidate Tracker'!$E:$E,'Positions Tracker'!$B883,'Candidate Tracker'!$C:$C,"Offer Drop")=0,"",COUNTIFS('Candidate Tracker'!$E:$E,'Positions Tracker'!$B883,'Candidate Tracker'!$C:$C,"Offer Drop")),"")</f>
        <v/>
      </c>
      <c r="AZ883" s="80">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0.88111888111888115</v>
      </c>
      <c r="BA883" s="81" t="str">
        <f>IFERROR(IF(COUNTIFS('Candidate Tracker'!$E:$E,'Positions Tracker'!$B883,'Candidate Tracker'!$I:$I,"Female")=0,"",COUNTIFS('Candidate Tracker'!$E:$E,'Positions Tracker'!$B883,'Candidate Tracker'!$I:$I,"Female")),"")</f>
        <v/>
      </c>
      <c r="BB883" s="81" t="str">
        <f>IFERROR(IF(COUNTIFS('Candidate Tracker'!$E:$E,'Positions Tracker'!$B883,'Candidate Tracker'!$I:$I,"male")=0,"",COUNTIFS('Candidate Tracker'!$E:$E,'Positions Tracker'!$B883,'Candidate Tracker'!$I:$I,"male")),"")</f>
        <v/>
      </c>
      <c r="BC883" s="80" t="str">
        <f>IFERROR(IF(COUNTIFS('Candidate Tracker'!$E:$E,'Positions Tracker'!$B883,'Candidate Tracker'!$C:$C,"&lt;&gt;WIP",'Candidate Tracker'!$C:$C,"&lt;&gt;Hold",'Candidate Tracker'!$C:$C,"&lt;&gt;Cancelled",'Candidate Tracker'!$C:$C,"&lt;&gt;Closed")/COUNTIFS('Candidate Tracker'!$E:$E,'Positions Tracker'!$B883)=0,"",COUNTIFS('Candidate Tracker'!$E:$E,'Positions Tracker'!$B883,'Candidate Tracker'!$C:$C,"&lt;&gt;WIP",'Candidate Tracker'!$C:$C,"&lt;&gt;Hold",'Candidate Tracker'!$C:$C,"&lt;&gt;Cancelled",'Candidate Tracker'!$C:$C,"&lt;&gt;Closed")/COUNTIFS('Candidate Tracker'!$E:$E,'Positions Tracker'!$B883)),"")</f>
        <v/>
      </c>
      <c r="BD883" s="67" t="str">
        <f t="shared" si="78"/>
        <v/>
      </c>
      <c r="BE883" s="67" t="str">
        <f t="shared" si="79"/>
        <v/>
      </c>
      <c r="BF883" s="67" t="str">
        <f t="shared" si="80"/>
        <v/>
      </c>
      <c r="BG883" s="67" t="str">
        <f t="shared" si="81"/>
        <v/>
      </c>
    </row>
    <row r="884" spans="1:59">
      <c r="A884" s="55"/>
      <c r="B884" s="56"/>
      <c r="C884" s="56"/>
      <c r="D884" s="56"/>
      <c r="E884" s="56"/>
      <c r="F884" s="56"/>
      <c r="G884" s="56"/>
      <c r="H884" s="56"/>
      <c r="I884" s="6"/>
      <c r="J884" s="6"/>
      <c r="K884" s="57"/>
      <c r="L884" s="57"/>
      <c r="M884" s="57"/>
      <c r="N884" s="56"/>
      <c r="O884" s="56"/>
      <c r="P884" s="56"/>
      <c r="Q884" s="56"/>
      <c r="R884" s="56"/>
      <c r="S884" s="56"/>
      <c r="T884" s="56"/>
      <c r="U884" s="56"/>
      <c r="V884" s="56"/>
      <c r="W884" s="56"/>
      <c r="X884" s="56"/>
      <c r="Y884" s="56"/>
      <c r="Z884" s="56"/>
      <c r="AA884" s="56"/>
      <c r="AB884" s="56"/>
      <c r="AC884" s="56"/>
      <c r="AD884" s="56"/>
      <c r="AE884" s="56"/>
      <c r="AF884" s="56"/>
      <c r="AG884" s="56"/>
      <c r="AH884" s="56"/>
      <c r="AI884" s="58"/>
      <c r="AJ884" s="56"/>
      <c r="AK884" s="56"/>
      <c r="AL884" s="56"/>
      <c r="AM884" s="57"/>
      <c r="AN884" s="57"/>
      <c r="AO884" s="56"/>
      <c r="AP884" s="56"/>
      <c r="AQ884" s="57"/>
      <c r="AR884" s="57"/>
      <c r="AS884" s="57"/>
      <c r="AT884" s="67">
        <f t="shared" ca="1" si="82"/>
        <v>0</v>
      </c>
      <c r="AU884" s="79" t="str">
        <f t="shared" ca="1" si="83"/>
        <v/>
      </c>
      <c r="AV884" s="79" t="str" cm="1">
        <f t="array" aca="1" ref="AV884" ca="1">IFERROR(_xlfn.IFS($AU884="","",$AU884&lt;=15,"0-15",AND($AU884&gt;=16,$AU884&lt;=30),"16-30",AND($AU884&gt;=31,$AU884&lt;=45),"31-45",AND($AU884&gt;=46,$AU884&lt;=60),"46-60",AND($AU884&gt;=61,$AU884&lt;=90),"61-90",AND($AU884&gt;=91),"&gt; 90",AND($AU884&gt;=2000),""),"")</f>
        <v/>
      </c>
      <c r="AW884" s="79" t="str" cm="1">
        <f t="array" aca="1" ref="AW884" ca="1">IFERROR(_xlfn.IFS(OR($M884="",$AM884=""),"",OR($C884="Offered",$C884="Joined"),($AM884-$M884)-$AT884),"")</f>
        <v/>
      </c>
      <c r="AX884" s="79" t="str" cm="1">
        <f t="array" aca="1" ref="AX884" ca="1">IFERROR(_xlfn.IFS(OR($M884="",$AS884=""),"",$C884="Joined",($AS884-$M884)-$AT884),"")</f>
        <v/>
      </c>
      <c r="AY884" s="67" t="str">
        <f>IFERROR(IF(COUNTIFS('Candidate Tracker'!$E:$E,'Positions Tracker'!$B884,'Candidate Tracker'!$C:$C,"Offer Drop")=0,"",COUNTIFS('Candidate Tracker'!$E:$E,'Positions Tracker'!$B884,'Candidate Tracker'!$C:$C,"Offer Drop")),"")</f>
        <v/>
      </c>
      <c r="AZ884" s="80">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0.88111888111888115</v>
      </c>
      <c r="BA884" s="81" t="str">
        <f>IFERROR(IF(COUNTIFS('Candidate Tracker'!$E:$E,'Positions Tracker'!$B884,'Candidate Tracker'!$I:$I,"Female")=0,"",COUNTIFS('Candidate Tracker'!$E:$E,'Positions Tracker'!$B884,'Candidate Tracker'!$I:$I,"Female")),"")</f>
        <v/>
      </c>
      <c r="BB884" s="81" t="str">
        <f>IFERROR(IF(COUNTIFS('Candidate Tracker'!$E:$E,'Positions Tracker'!$B884,'Candidate Tracker'!$I:$I,"male")=0,"",COUNTIFS('Candidate Tracker'!$E:$E,'Positions Tracker'!$B884,'Candidate Tracker'!$I:$I,"male")),"")</f>
        <v/>
      </c>
      <c r="BC884" s="80" t="str">
        <f>IFERROR(IF(COUNTIFS('Candidate Tracker'!$E:$E,'Positions Tracker'!$B884,'Candidate Tracker'!$C:$C,"&lt;&gt;WIP",'Candidate Tracker'!$C:$C,"&lt;&gt;Hold",'Candidate Tracker'!$C:$C,"&lt;&gt;Cancelled",'Candidate Tracker'!$C:$C,"&lt;&gt;Closed")/COUNTIFS('Candidate Tracker'!$E:$E,'Positions Tracker'!$B884)=0,"",COUNTIFS('Candidate Tracker'!$E:$E,'Positions Tracker'!$B884,'Candidate Tracker'!$C:$C,"&lt;&gt;WIP",'Candidate Tracker'!$C:$C,"&lt;&gt;Hold",'Candidate Tracker'!$C:$C,"&lt;&gt;Cancelled",'Candidate Tracker'!$C:$C,"&lt;&gt;Closed")/COUNTIFS('Candidate Tracker'!$E:$E,'Positions Tracker'!$B884)),"")</f>
        <v/>
      </c>
      <c r="BD884" s="67" t="str">
        <f t="shared" si="78"/>
        <v/>
      </c>
      <c r="BE884" s="67" t="str">
        <f t="shared" si="79"/>
        <v/>
      </c>
      <c r="BF884" s="67" t="str">
        <f t="shared" si="80"/>
        <v/>
      </c>
      <c r="BG884" s="67" t="str">
        <f t="shared" si="81"/>
        <v/>
      </c>
    </row>
    <row r="885" spans="1:59">
      <c r="A885" s="55"/>
      <c r="B885" s="56"/>
      <c r="C885" s="56"/>
      <c r="D885" s="56"/>
      <c r="E885" s="56"/>
      <c r="F885" s="56"/>
      <c r="G885" s="56"/>
      <c r="H885" s="56"/>
      <c r="I885" s="6"/>
      <c r="J885" s="6"/>
      <c r="K885" s="57"/>
      <c r="L885" s="57"/>
      <c r="M885" s="57"/>
      <c r="N885" s="56"/>
      <c r="O885" s="56"/>
      <c r="P885" s="56"/>
      <c r="Q885" s="56"/>
      <c r="R885" s="56"/>
      <c r="S885" s="56"/>
      <c r="T885" s="56"/>
      <c r="U885" s="56"/>
      <c r="V885" s="56"/>
      <c r="W885" s="56"/>
      <c r="X885" s="56"/>
      <c r="Y885" s="56"/>
      <c r="Z885" s="56"/>
      <c r="AA885" s="56"/>
      <c r="AB885" s="56"/>
      <c r="AC885" s="56"/>
      <c r="AD885" s="56"/>
      <c r="AE885" s="56"/>
      <c r="AF885" s="56"/>
      <c r="AG885" s="56"/>
      <c r="AH885" s="56"/>
      <c r="AI885" s="58"/>
      <c r="AJ885" s="56"/>
      <c r="AK885" s="56"/>
      <c r="AL885" s="56"/>
      <c r="AM885" s="57"/>
      <c r="AN885" s="57"/>
      <c r="AO885" s="56"/>
      <c r="AP885" s="56"/>
      <c r="AQ885" s="57"/>
      <c r="AR885" s="57"/>
      <c r="AS885" s="57"/>
      <c r="AT885" s="67">
        <f t="shared" ca="1" si="82"/>
        <v>0</v>
      </c>
      <c r="AU885" s="79" t="str">
        <f t="shared" ca="1" si="83"/>
        <v/>
      </c>
      <c r="AV885" s="79" t="str" cm="1">
        <f t="array" aca="1" ref="AV885" ca="1">IFERROR(_xlfn.IFS($AU885="","",$AU885&lt;=15,"0-15",AND($AU885&gt;=16,$AU885&lt;=30),"16-30",AND($AU885&gt;=31,$AU885&lt;=45),"31-45",AND($AU885&gt;=46,$AU885&lt;=60),"46-60",AND($AU885&gt;=61,$AU885&lt;=90),"61-90",AND($AU885&gt;=91),"&gt; 90",AND($AU885&gt;=2000),""),"")</f>
        <v/>
      </c>
      <c r="AW885" s="79" t="str" cm="1">
        <f t="array" aca="1" ref="AW885" ca="1">IFERROR(_xlfn.IFS(OR($M885="",$AM885=""),"",OR($C885="Offered",$C885="Joined"),($AM885-$M885)-$AT885),"")</f>
        <v/>
      </c>
      <c r="AX885" s="79" t="str" cm="1">
        <f t="array" aca="1" ref="AX885" ca="1">IFERROR(_xlfn.IFS(OR($M885="",$AS885=""),"",$C885="Joined",($AS885-$M885)-$AT885),"")</f>
        <v/>
      </c>
      <c r="AY885" s="67" t="str">
        <f>IFERROR(IF(COUNTIFS('Candidate Tracker'!$E:$E,'Positions Tracker'!$B885,'Candidate Tracker'!$C:$C,"Offer Drop")=0,"",COUNTIFS('Candidate Tracker'!$E:$E,'Positions Tracker'!$B885,'Candidate Tracker'!$C:$C,"Offer Drop")),"")</f>
        <v/>
      </c>
      <c r="AZ885" s="80">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0.88111888111888115</v>
      </c>
      <c r="BA885" s="81" t="str">
        <f>IFERROR(IF(COUNTIFS('Candidate Tracker'!$E:$E,'Positions Tracker'!$B885,'Candidate Tracker'!$I:$I,"Female")=0,"",COUNTIFS('Candidate Tracker'!$E:$E,'Positions Tracker'!$B885,'Candidate Tracker'!$I:$I,"Female")),"")</f>
        <v/>
      </c>
      <c r="BB885" s="81" t="str">
        <f>IFERROR(IF(COUNTIFS('Candidate Tracker'!$E:$E,'Positions Tracker'!$B885,'Candidate Tracker'!$I:$I,"male")=0,"",COUNTIFS('Candidate Tracker'!$E:$E,'Positions Tracker'!$B885,'Candidate Tracker'!$I:$I,"male")),"")</f>
        <v/>
      </c>
      <c r="BC885" s="80" t="str">
        <f>IFERROR(IF(COUNTIFS('Candidate Tracker'!$E:$E,'Positions Tracker'!$B885,'Candidate Tracker'!$C:$C,"&lt;&gt;WIP",'Candidate Tracker'!$C:$C,"&lt;&gt;Hold",'Candidate Tracker'!$C:$C,"&lt;&gt;Cancelled",'Candidate Tracker'!$C:$C,"&lt;&gt;Closed")/COUNTIFS('Candidate Tracker'!$E:$E,'Positions Tracker'!$B885)=0,"",COUNTIFS('Candidate Tracker'!$E:$E,'Positions Tracker'!$B885,'Candidate Tracker'!$C:$C,"&lt;&gt;WIP",'Candidate Tracker'!$C:$C,"&lt;&gt;Hold",'Candidate Tracker'!$C:$C,"&lt;&gt;Cancelled",'Candidate Tracker'!$C:$C,"&lt;&gt;Closed")/COUNTIFS('Candidate Tracker'!$E:$E,'Positions Tracker'!$B885)),"")</f>
        <v/>
      </c>
      <c r="BD885" s="67" t="str">
        <f t="shared" si="78"/>
        <v/>
      </c>
      <c r="BE885" s="67" t="str">
        <f t="shared" si="79"/>
        <v/>
      </c>
      <c r="BF885" s="67" t="str">
        <f t="shared" si="80"/>
        <v/>
      </c>
      <c r="BG885" s="67" t="str">
        <f t="shared" si="81"/>
        <v/>
      </c>
    </row>
    <row r="886" spans="1:59">
      <c r="A886" s="55"/>
      <c r="B886" s="56"/>
      <c r="C886" s="56"/>
      <c r="D886" s="56"/>
      <c r="E886" s="56"/>
      <c r="F886" s="56"/>
      <c r="G886" s="56"/>
      <c r="H886" s="56"/>
      <c r="I886" s="6"/>
      <c r="J886" s="6"/>
      <c r="K886" s="57"/>
      <c r="L886" s="57"/>
      <c r="M886" s="57"/>
      <c r="N886" s="56"/>
      <c r="O886" s="56"/>
      <c r="P886" s="56"/>
      <c r="Q886" s="56"/>
      <c r="R886" s="56"/>
      <c r="S886" s="56"/>
      <c r="T886" s="56"/>
      <c r="U886" s="56"/>
      <c r="V886" s="56"/>
      <c r="W886" s="56"/>
      <c r="X886" s="56"/>
      <c r="Y886" s="56"/>
      <c r="Z886" s="56"/>
      <c r="AA886" s="56"/>
      <c r="AB886" s="56"/>
      <c r="AC886" s="56"/>
      <c r="AD886" s="56"/>
      <c r="AE886" s="56"/>
      <c r="AF886" s="56"/>
      <c r="AG886" s="56"/>
      <c r="AH886" s="56"/>
      <c r="AI886" s="58"/>
      <c r="AJ886" s="56"/>
      <c r="AK886" s="56"/>
      <c r="AL886" s="56"/>
      <c r="AM886" s="57"/>
      <c r="AN886" s="57"/>
      <c r="AO886" s="56"/>
      <c r="AP886" s="56"/>
      <c r="AQ886" s="57"/>
      <c r="AR886" s="57"/>
      <c r="AS886" s="57"/>
      <c r="AT886" s="67">
        <f t="shared" ca="1" si="82"/>
        <v>0</v>
      </c>
      <c r="AU886" s="79" t="str">
        <f t="shared" ca="1" si="83"/>
        <v/>
      </c>
      <c r="AV886" s="79" t="str" cm="1">
        <f t="array" aca="1" ref="AV886" ca="1">IFERROR(_xlfn.IFS($AU886="","",$AU886&lt;=15,"0-15",AND($AU886&gt;=16,$AU886&lt;=30),"16-30",AND($AU886&gt;=31,$AU886&lt;=45),"31-45",AND($AU886&gt;=46,$AU886&lt;=60),"46-60",AND($AU886&gt;=61,$AU886&lt;=90),"61-90",AND($AU886&gt;=91),"&gt; 90",AND($AU886&gt;=2000),""),"")</f>
        <v/>
      </c>
      <c r="AW886" s="79" t="str" cm="1">
        <f t="array" aca="1" ref="AW886" ca="1">IFERROR(_xlfn.IFS(OR($M886="",$AM886=""),"",OR($C886="Offered",$C886="Joined"),($AM886-$M886)-$AT886),"")</f>
        <v/>
      </c>
      <c r="AX886" s="79" t="str" cm="1">
        <f t="array" aca="1" ref="AX886" ca="1">IFERROR(_xlfn.IFS(OR($M886="",$AS886=""),"",$C886="Joined",($AS886-$M886)-$AT886),"")</f>
        <v/>
      </c>
      <c r="AY886" s="67" t="str">
        <f>IFERROR(IF(COUNTIFS('Candidate Tracker'!$E:$E,'Positions Tracker'!$B886,'Candidate Tracker'!$C:$C,"Offer Drop")=0,"",COUNTIFS('Candidate Tracker'!$E:$E,'Positions Tracker'!$B886,'Candidate Tracker'!$C:$C,"Offer Drop")),"")</f>
        <v/>
      </c>
      <c r="AZ886" s="80">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0.88111888111888115</v>
      </c>
      <c r="BA886" s="81" t="str">
        <f>IFERROR(IF(COUNTIFS('Candidate Tracker'!$E:$E,'Positions Tracker'!$B886,'Candidate Tracker'!$I:$I,"Female")=0,"",COUNTIFS('Candidate Tracker'!$E:$E,'Positions Tracker'!$B886,'Candidate Tracker'!$I:$I,"Female")),"")</f>
        <v/>
      </c>
      <c r="BB886" s="81" t="str">
        <f>IFERROR(IF(COUNTIFS('Candidate Tracker'!$E:$E,'Positions Tracker'!$B886,'Candidate Tracker'!$I:$I,"male")=0,"",COUNTIFS('Candidate Tracker'!$E:$E,'Positions Tracker'!$B886,'Candidate Tracker'!$I:$I,"male")),"")</f>
        <v/>
      </c>
      <c r="BC886" s="80" t="str">
        <f>IFERROR(IF(COUNTIFS('Candidate Tracker'!$E:$E,'Positions Tracker'!$B886,'Candidate Tracker'!$C:$C,"&lt;&gt;WIP",'Candidate Tracker'!$C:$C,"&lt;&gt;Hold",'Candidate Tracker'!$C:$C,"&lt;&gt;Cancelled",'Candidate Tracker'!$C:$C,"&lt;&gt;Closed")/COUNTIFS('Candidate Tracker'!$E:$E,'Positions Tracker'!$B886)=0,"",COUNTIFS('Candidate Tracker'!$E:$E,'Positions Tracker'!$B886,'Candidate Tracker'!$C:$C,"&lt;&gt;WIP",'Candidate Tracker'!$C:$C,"&lt;&gt;Hold",'Candidate Tracker'!$C:$C,"&lt;&gt;Cancelled",'Candidate Tracker'!$C:$C,"&lt;&gt;Closed")/COUNTIFS('Candidate Tracker'!$E:$E,'Positions Tracker'!$B886)),"")</f>
        <v/>
      </c>
      <c r="BD886" s="67" t="str">
        <f t="shared" si="78"/>
        <v/>
      </c>
      <c r="BE886" s="67" t="str">
        <f t="shared" si="79"/>
        <v/>
      </c>
      <c r="BF886" s="67" t="str">
        <f t="shared" si="80"/>
        <v/>
      </c>
      <c r="BG886" s="67" t="str">
        <f t="shared" si="81"/>
        <v/>
      </c>
    </row>
    <row r="887" spans="1:59">
      <c r="A887" s="55"/>
      <c r="B887" s="56"/>
      <c r="C887" s="56"/>
      <c r="D887" s="56"/>
      <c r="E887" s="56"/>
      <c r="F887" s="56"/>
      <c r="G887" s="56"/>
      <c r="H887" s="56"/>
      <c r="I887" s="6"/>
      <c r="J887" s="6"/>
      <c r="K887" s="57"/>
      <c r="L887" s="57"/>
      <c r="M887" s="57"/>
      <c r="N887" s="56"/>
      <c r="O887" s="56"/>
      <c r="P887" s="56"/>
      <c r="Q887" s="56"/>
      <c r="R887" s="56"/>
      <c r="S887" s="56"/>
      <c r="T887" s="56"/>
      <c r="U887" s="56"/>
      <c r="V887" s="56"/>
      <c r="W887" s="56"/>
      <c r="X887" s="56"/>
      <c r="Y887" s="56"/>
      <c r="Z887" s="56"/>
      <c r="AA887" s="56"/>
      <c r="AB887" s="56"/>
      <c r="AC887" s="56"/>
      <c r="AD887" s="56"/>
      <c r="AE887" s="56"/>
      <c r="AF887" s="56"/>
      <c r="AG887" s="56"/>
      <c r="AH887" s="56"/>
      <c r="AI887" s="58"/>
      <c r="AJ887" s="56"/>
      <c r="AK887" s="56"/>
      <c r="AL887" s="56"/>
      <c r="AM887" s="57"/>
      <c r="AN887" s="57"/>
      <c r="AO887" s="56"/>
      <c r="AP887" s="56"/>
      <c r="AQ887" s="57"/>
      <c r="AR887" s="57"/>
      <c r="AS887" s="57"/>
      <c r="AT887" s="67">
        <f t="shared" ca="1" si="82"/>
        <v>0</v>
      </c>
      <c r="AU887" s="79" t="str">
        <f t="shared" ca="1" si="83"/>
        <v/>
      </c>
      <c r="AV887" s="79" t="str" cm="1">
        <f t="array" aca="1" ref="AV887" ca="1">IFERROR(_xlfn.IFS($AU887="","",$AU887&lt;=15,"0-15",AND($AU887&gt;=16,$AU887&lt;=30),"16-30",AND($AU887&gt;=31,$AU887&lt;=45),"31-45",AND($AU887&gt;=46,$AU887&lt;=60),"46-60",AND($AU887&gt;=61,$AU887&lt;=90),"61-90",AND($AU887&gt;=91),"&gt; 90",AND($AU887&gt;=2000),""),"")</f>
        <v/>
      </c>
      <c r="AW887" s="79" t="str" cm="1">
        <f t="array" aca="1" ref="AW887" ca="1">IFERROR(_xlfn.IFS(OR($M887="",$AM887=""),"",OR($C887="Offered",$C887="Joined"),($AM887-$M887)-$AT887),"")</f>
        <v/>
      </c>
      <c r="AX887" s="79" t="str" cm="1">
        <f t="array" aca="1" ref="AX887" ca="1">IFERROR(_xlfn.IFS(OR($M887="",$AS887=""),"",$C887="Joined",($AS887-$M887)-$AT887),"")</f>
        <v/>
      </c>
      <c r="AY887" s="67" t="str">
        <f>IFERROR(IF(COUNTIFS('Candidate Tracker'!$E:$E,'Positions Tracker'!$B887,'Candidate Tracker'!$C:$C,"Offer Drop")=0,"",COUNTIFS('Candidate Tracker'!$E:$E,'Positions Tracker'!$B887,'Candidate Tracker'!$C:$C,"Offer Drop")),"")</f>
        <v/>
      </c>
      <c r="AZ887" s="80">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0.88111888111888115</v>
      </c>
      <c r="BA887" s="81" t="str">
        <f>IFERROR(IF(COUNTIFS('Candidate Tracker'!$E:$E,'Positions Tracker'!$B887,'Candidate Tracker'!$I:$I,"Female")=0,"",COUNTIFS('Candidate Tracker'!$E:$E,'Positions Tracker'!$B887,'Candidate Tracker'!$I:$I,"Female")),"")</f>
        <v/>
      </c>
      <c r="BB887" s="81" t="str">
        <f>IFERROR(IF(COUNTIFS('Candidate Tracker'!$E:$E,'Positions Tracker'!$B887,'Candidate Tracker'!$I:$I,"male")=0,"",COUNTIFS('Candidate Tracker'!$E:$E,'Positions Tracker'!$B887,'Candidate Tracker'!$I:$I,"male")),"")</f>
        <v/>
      </c>
      <c r="BC887" s="80" t="str">
        <f>IFERROR(IF(COUNTIFS('Candidate Tracker'!$E:$E,'Positions Tracker'!$B887,'Candidate Tracker'!$C:$C,"&lt;&gt;WIP",'Candidate Tracker'!$C:$C,"&lt;&gt;Hold",'Candidate Tracker'!$C:$C,"&lt;&gt;Cancelled",'Candidate Tracker'!$C:$C,"&lt;&gt;Closed")/COUNTIFS('Candidate Tracker'!$E:$E,'Positions Tracker'!$B887)=0,"",COUNTIFS('Candidate Tracker'!$E:$E,'Positions Tracker'!$B887,'Candidate Tracker'!$C:$C,"&lt;&gt;WIP",'Candidate Tracker'!$C:$C,"&lt;&gt;Hold",'Candidate Tracker'!$C:$C,"&lt;&gt;Cancelled",'Candidate Tracker'!$C:$C,"&lt;&gt;Closed")/COUNTIFS('Candidate Tracker'!$E:$E,'Positions Tracker'!$B887)),"")</f>
        <v/>
      </c>
      <c r="BD887" s="67" t="str">
        <f t="shared" si="78"/>
        <v/>
      </c>
      <c r="BE887" s="67" t="str">
        <f t="shared" si="79"/>
        <v/>
      </c>
      <c r="BF887" s="67" t="str">
        <f t="shared" si="80"/>
        <v/>
      </c>
      <c r="BG887" s="67" t="str">
        <f t="shared" si="81"/>
        <v/>
      </c>
    </row>
    <row r="888" spans="1:59">
      <c r="A888" s="55"/>
      <c r="B888" s="56"/>
      <c r="C888" s="56"/>
      <c r="D888" s="56"/>
      <c r="E888" s="56"/>
      <c r="F888" s="56"/>
      <c r="G888" s="56"/>
      <c r="H888" s="56"/>
      <c r="I888" s="6"/>
      <c r="J888" s="6"/>
      <c r="K888" s="57"/>
      <c r="L888" s="57"/>
      <c r="M888" s="57"/>
      <c r="N888" s="56"/>
      <c r="O888" s="56"/>
      <c r="P888" s="56"/>
      <c r="Q888" s="56"/>
      <c r="R888" s="56"/>
      <c r="S888" s="56"/>
      <c r="T888" s="56"/>
      <c r="U888" s="56"/>
      <c r="V888" s="56"/>
      <c r="W888" s="56"/>
      <c r="X888" s="56"/>
      <c r="Y888" s="56"/>
      <c r="Z888" s="56"/>
      <c r="AA888" s="56"/>
      <c r="AB888" s="56"/>
      <c r="AC888" s="56"/>
      <c r="AD888" s="56"/>
      <c r="AE888" s="56"/>
      <c r="AF888" s="56"/>
      <c r="AG888" s="56"/>
      <c r="AH888" s="56"/>
      <c r="AI888" s="58"/>
      <c r="AJ888" s="56"/>
      <c r="AK888" s="56"/>
      <c r="AL888" s="56"/>
      <c r="AM888" s="57"/>
      <c r="AN888" s="57"/>
      <c r="AO888" s="56"/>
      <c r="AP888" s="56"/>
      <c r="AQ888" s="57"/>
      <c r="AR888" s="57"/>
      <c r="AS888" s="57"/>
      <c r="AT888" s="67">
        <f t="shared" ca="1" si="82"/>
        <v>0</v>
      </c>
      <c r="AU888" s="79" t="str">
        <f t="shared" ca="1" si="83"/>
        <v/>
      </c>
      <c r="AV888" s="79" t="str" cm="1">
        <f t="array" aca="1" ref="AV888" ca="1">IFERROR(_xlfn.IFS($AU888="","",$AU888&lt;=15,"0-15",AND($AU888&gt;=16,$AU888&lt;=30),"16-30",AND($AU888&gt;=31,$AU888&lt;=45),"31-45",AND($AU888&gt;=46,$AU888&lt;=60),"46-60",AND($AU888&gt;=61,$AU888&lt;=90),"61-90",AND($AU888&gt;=91),"&gt; 90",AND($AU888&gt;=2000),""),"")</f>
        <v/>
      </c>
      <c r="AW888" s="79" t="str" cm="1">
        <f t="array" aca="1" ref="AW888" ca="1">IFERROR(_xlfn.IFS(OR($M888="",$AM888=""),"",OR($C888="Offered",$C888="Joined"),($AM888-$M888)-$AT888),"")</f>
        <v/>
      </c>
      <c r="AX888" s="79" t="str" cm="1">
        <f t="array" aca="1" ref="AX888" ca="1">IFERROR(_xlfn.IFS(OR($M888="",$AS888=""),"",$C888="Joined",($AS888-$M888)-$AT888),"")</f>
        <v/>
      </c>
      <c r="AY888" s="67" t="str">
        <f>IFERROR(IF(COUNTIFS('Candidate Tracker'!$E:$E,'Positions Tracker'!$B888,'Candidate Tracker'!$C:$C,"Offer Drop")=0,"",COUNTIFS('Candidate Tracker'!$E:$E,'Positions Tracker'!$B888,'Candidate Tracker'!$C:$C,"Offer Drop")),"")</f>
        <v/>
      </c>
      <c r="AZ888" s="80">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0.88111888111888115</v>
      </c>
      <c r="BA888" s="81" t="str">
        <f>IFERROR(IF(COUNTIFS('Candidate Tracker'!$E:$E,'Positions Tracker'!$B888,'Candidate Tracker'!$I:$I,"Female")=0,"",COUNTIFS('Candidate Tracker'!$E:$E,'Positions Tracker'!$B888,'Candidate Tracker'!$I:$I,"Female")),"")</f>
        <v/>
      </c>
      <c r="BB888" s="81" t="str">
        <f>IFERROR(IF(COUNTIFS('Candidate Tracker'!$E:$E,'Positions Tracker'!$B888,'Candidate Tracker'!$I:$I,"male")=0,"",COUNTIFS('Candidate Tracker'!$E:$E,'Positions Tracker'!$B888,'Candidate Tracker'!$I:$I,"male")),"")</f>
        <v/>
      </c>
      <c r="BC888" s="80" t="str">
        <f>IFERROR(IF(COUNTIFS('Candidate Tracker'!$E:$E,'Positions Tracker'!$B888,'Candidate Tracker'!$C:$C,"&lt;&gt;WIP",'Candidate Tracker'!$C:$C,"&lt;&gt;Hold",'Candidate Tracker'!$C:$C,"&lt;&gt;Cancelled",'Candidate Tracker'!$C:$C,"&lt;&gt;Closed")/COUNTIFS('Candidate Tracker'!$E:$E,'Positions Tracker'!$B888)=0,"",COUNTIFS('Candidate Tracker'!$E:$E,'Positions Tracker'!$B888,'Candidate Tracker'!$C:$C,"&lt;&gt;WIP",'Candidate Tracker'!$C:$C,"&lt;&gt;Hold",'Candidate Tracker'!$C:$C,"&lt;&gt;Cancelled",'Candidate Tracker'!$C:$C,"&lt;&gt;Closed")/COUNTIFS('Candidate Tracker'!$E:$E,'Positions Tracker'!$B888)),"")</f>
        <v/>
      </c>
      <c r="BD888" s="67" t="str">
        <f t="shared" si="78"/>
        <v/>
      </c>
      <c r="BE888" s="67" t="str">
        <f t="shared" si="79"/>
        <v/>
      </c>
      <c r="BF888" s="67" t="str">
        <f t="shared" si="80"/>
        <v/>
      </c>
      <c r="BG888" s="67" t="str">
        <f t="shared" si="81"/>
        <v/>
      </c>
    </row>
    <row r="889" spans="1:59">
      <c r="A889" s="55"/>
      <c r="B889" s="56"/>
      <c r="C889" s="56"/>
      <c r="D889" s="56"/>
      <c r="E889" s="56"/>
      <c r="F889" s="56"/>
      <c r="G889" s="56"/>
      <c r="H889" s="56"/>
      <c r="I889" s="6"/>
      <c r="J889" s="6"/>
      <c r="K889" s="57"/>
      <c r="L889" s="57"/>
      <c r="M889" s="57"/>
      <c r="N889" s="56"/>
      <c r="O889" s="56"/>
      <c r="P889" s="56"/>
      <c r="Q889" s="56"/>
      <c r="R889" s="56"/>
      <c r="S889" s="56"/>
      <c r="T889" s="56"/>
      <c r="U889" s="56"/>
      <c r="V889" s="56"/>
      <c r="W889" s="56"/>
      <c r="X889" s="56"/>
      <c r="Y889" s="56"/>
      <c r="Z889" s="56"/>
      <c r="AA889" s="56"/>
      <c r="AB889" s="56"/>
      <c r="AC889" s="56"/>
      <c r="AD889" s="56"/>
      <c r="AE889" s="56"/>
      <c r="AF889" s="56"/>
      <c r="AG889" s="56"/>
      <c r="AH889" s="56"/>
      <c r="AI889" s="58"/>
      <c r="AJ889" s="56"/>
      <c r="AK889" s="56"/>
      <c r="AL889" s="56"/>
      <c r="AM889" s="57"/>
      <c r="AN889" s="57"/>
      <c r="AO889" s="56"/>
      <c r="AP889" s="56"/>
      <c r="AQ889" s="57"/>
      <c r="AR889" s="57"/>
      <c r="AS889" s="57"/>
      <c r="AT889" s="67">
        <f t="shared" ca="1" si="82"/>
        <v>0</v>
      </c>
      <c r="AU889" s="79" t="str">
        <f t="shared" ca="1" si="83"/>
        <v/>
      </c>
      <c r="AV889" s="79" t="str" cm="1">
        <f t="array" aca="1" ref="AV889" ca="1">IFERROR(_xlfn.IFS($AU889="","",$AU889&lt;=15,"0-15",AND($AU889&gt;=16,$AU889&lt;=30),"16-30",AND($AU889&gt;=31,$AU889&lt;=45),"31-45",AND($AU889&gt;=46,$AU889&lt;=60),"46-60",AND($AU889&gt;=61,$AU889&lt;=90),"61-90",AND($AU889&gt;=91),"&gt; 90",AND($AU889&gt;=2000),""),"")</f>
        <v/>
      </c>
      <c r="AW889" s="79" t="str" cm="1">
        <f t="array" aca="1" ref="AW889" ca="1">IFERROR(_xlfn.IFS(OR($M889="",$AM889=""),"",OR($C889="Offered",$C889="Joined"),($AM889-$M889)-$AT889),"")</f>
        <v/>
      </c>
      <c r="AX889" s="79" t="str" cm="1">
        <f t="array" aca="1" ref="AX889" ca="1">IFERROR(_xlfn.IFS(OR($M889="",$AS889=""),"",$C889="Joined",($AS889-$M889)-$AT889),"")</f>
        <v/>
      </c>
      <c r="AY889" s="67" t="str">
        <f>IFERROR(IF(COUNTIFS('Candidate Tracker'!$E:$E,'Positions Tracker'!$B889,'Candidate Tracker'!$C:$C,"Offer Drop")=0,"",COUNTIFS('Candidate Tracker'!$E:$E,'Positions Tracker'!$B889,'Candidate Tracker'!$C:$C,"Offer Drop")),"")</f>
        <v/>
      </c>
      <c r="AZ889" s="80">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0.88111888111888115</v>
      </c>
      <c r="BA889" s="81" t="str">
        <f>IFERROR(IF(COUNTIFS('Candidate Tracker'!$E:$E,'Positions Tracker'!$B889,'Candidate Tracker'!$I:$I,"Female")=0,"",COUNTIFS('Candidate Tracker'!$E:$E,'Positions Tracker'!$B889,'Candidate Tracker'!$I:$I,"Female")),"")</f>
        <v/>
      </c>
      <c r="BB889" s="81" t="str">
        <f>IFERROR(IF(COUNTIFS('Candidate Tracker'!$E:$E,'Positions Tracker'!$B889,'Candidate Tracker'!$I:$I,"male")=0,"",COUNTIFS('Candidate Tracker'!$E:$E,'Positions Tracker'!$B889,'Candidate Tracker'!$I:$I,"male")),"")</f>
        <v/>
      </c>
      <c r="BC889" s="80" t="str">
        <f>IFERROR(IF(COUNTIFS('Candidate Tracker'!$E:$E,'Positions Tracker'!$B889,'Candidate Tracker'!$C:$C,"&lt;&gt;WIP",'Candidate Tracker'!$C:$C,"&lt;&gt;Hold",'Candidate Tracker'!$C:$C,"&lt;&gt;Cancelled",'Candidate Tracker'!$C:$C,"&lt;&gt;Closed")/COUNTIFS('Candidate Tracker'!$E:$E,'Positions Tracker'!$B889)=0,"",COUNTIFS('Candidate Tracker'!$E:$E,'Positions Tracker'!$B889,'Candidate Tracker'!$C:$C,"&lt;&gt;WIP",'Candidate Tracker'!$C:$C,"&lt;&gt;Hold",'Candidate Tracker'!$C:$C,"&lt;&gt;Cancelled",'Candidate Tracker'!$C:$C,"&lt;&gt;Closed")/COUNTIFS('Candidate Tracker'!$E:$E,'Positions Tracker'!$B889)),"")</f>
        <v/>
      </c>
      <c r="BD889" s="67" t="str">
        <f t="shared" si="78"/>
        <v/>
      </c>
      <c r="BE889" s="67" t="str">
        <f t="shared" si="79"/>
        <v/>
      </c>
      <c r="BF889" s="67" t="str">
        <f t="shared" si="80"/>
        <v/>
      </c>
      <c r="BG889" s="67" t="str">
        <f t="shared" si="81"/>
        <v/>
      </c>
    </row>
    <row r="890" spans="1:59">
      <c r="A890" s="55"/>
      <c r="B890" s="56"/>
      <c r="C890" s="56"/>
      <c r="D890" s="56"/>
      <c r="E890" s="56"/>
      <c r="F890" s="56"/>
      <c r="G890" s="56"/>
      <c r="H890" s="56"/>
      <c r="I890" s="6"/>
      <c r="J890" s="6"/>
      <c r="K890" s="57"/>
      <c r="L890" s="57"/>
      <c r="M890" s="57"/>
      <c r="N890" s="56"/>
      <c r="O890" s="56"/>
      <c r="P890" s="56"/>
      <c r="Q890" s="56"/>
      <c r="R890" s="56"/>
      <c r="S890" s="56"/>
      <c r="T890" s="56"/>
      <c r="U890" s="56"/>
      <c r="V890" s="56"/>
      <c r="W890" s="56"/>
      <c r="X890" s="56"/>
      <c r="Y890" s="56"/>
      <c r="Z890" s="56"/>
      <c r="AA890" s="56"/>
      <c r="AB890" s="56"/>
      <c r="AC890" s="56"/>
      <c r="AD890" s="56"/>
      <c r="AE890" s="56"/>
      <c r="AF890" s="56"/>
      <c r="AG890" s="56"/>
      <c r="AH890" s="56"/>
      <c r="AI890" s="58"/>
      <c r="AJ890" s="56"/>
      <c r="AK890" s="56"/>
      <c r="AL890" s="56"/>
      <c r="AM890" s="57"/>
      <c r="AN890" s="57"/>
      <c r="AO890" s="56"/>
      <c r="AP890" s="56"/>
      <c r="AQ890" s="57"/>
      <c r="AR890" s="57"/>
      <c r="AS890" s="57"/>
      <c r="AT890" s="67">
        <f t="shared" ca="1" si="82"/>
        <v>0</v>
      </c>
      <c r="AU890" s="79" t="str">
        <f t="shared" ca="1" si="83"/>
        <v/>
      </c>
      <c r="AV890" s="79" t="str" cm="1">
        <f t="array" aca="1" ref="AV890" ca="1">IFERROR(_xlfn.IFS($AU890="","",$AU890&lt;=15,"0-15",AND($AU890&gt;=16,$AU890&lt;=30),"16-30",AND($AU890&gt;=31,$AU890&lt;=45),"31-45",AND($AU890&gt;=46,$AU890&lt;=60),"46-60",AND($AU890&gt;=61,$AU890&lt;=90),"61-90",AND($AU890&gt;=91),"&gt; 90",AND($AU890&gt;=2000),""),"")</f>
        <v/>
      </c>
      <c r="AW890" s="79" t="str" cm="1">
        <f t="array" aca="1" ref="AW890" ca="1">IFERROR(_xlfn.IFS(OR($M890="",$AM890=""),"",OR($C890="Offered",$C890="Joined"),($AM890-$M890)-$AT890),"")</f>
        <v/>
      </c>
      <c r="AX890" s="79" t="str" cm="1">
        <f t="array" aca="1" ref="AX890" ca="1">IFERROR(_xlfn.IFS(OR($M890="",$AS890=""),"",$C890="Joined",($AS890-$M890)-$AT890),"")</f>
        <v/>
      </c>
      <c r="AY890" s="67" t="str">
        <f>IFERROR(IF(COUNTIFS('Candidate Tracker'!$E:$E,'Positions Tracker'!$B890,'Candidate Tracker'!$C:$C,"Offer Drop")=0,"",COUNTIFS('Candidate Tracker'!$E:$E,'Positions Tracker'!$B890,'Candidate Tracker'!$C:$C,"Offer Drop")),"")</f>
        <v/>
      </c>
      <c r="AZ890" s="80">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0.88111888111888115</v>
      </c>
      <c r="BA890" s="81" t="str">
        <f>IFERROR(IF(COUNTIFS('Candidate Tracker'!$E:$E,'Positions Tracker'!$B890,'Candidate Tracker'!$I:$I,"Female")=0,"",COUNTIFS('Candidate Tracker'!$E:$E,'Positions Tracker'!$B890,'Candidate Tracker'!$I:$I,"Female")),"")</f>
        <v/>
      </c>
      <c r="BB890" s="81" t="str">
        <f>IFERROR(IF(COUNTIFS('Candidate Tracker'!$E:$E,'Positions Tracker'!$B890,'Candidate Tracker'!$I:$I,"male")=0,"",COUNTIFS('Candidate Tracker'!$E:$E,'Positions Tracker'!$B890,'Candidate Tracker'!$I:$I,"male")),"")</f>
        <v/>
      </c>
      <c r="BC890" s="80" t="str">
        <f>IFERROR(IF(COUNTIFS('Candidate Tracker'!$E:$E,'Positions Tracker'!$B890,'Candidate Tracker'!$C:$C,"&lt;&gt;WIP",'Candidate Tracker'!$C:$C,"&lt;&gt;Hold",'Candidate Tracker'!$C:$C,"&lt;&gt;Cancelled",'Candidate Tracker'!$C:$C,"&lt;&gt;Closed")/COUNTIFS('Candidate Tracker'!$E:$E,'Positions Tracker'!$B890)=0,"",COUNTIFS('Candidate Tracker'!$E:$E,'Positions Tracker'!$B890,'Candidate Tracker'!$C:$C,"&lt;&gt;WIP",'Candidate Tracker'!$C:$C,"&lt;&gt;Hold",'Candidate Tracker'!$C:$C,"&lt;&gt;Cancelled",'Candidate Tracker'!$C:$C,"&lt;&gt;Closed")/COUNTIFS('Candidate Tracker'!$E:$E,'Positions Tracker'!$B890)),"")</f>
        <v/>
      </c>
      <c r="BD890" s="67" t="str">
        <f t="shared" si="78"/>
        <v/>
      </c>
      <c r="BE890" s="67" t="str">
        <f t="shared" si="79"/>
        <v/>
      </c>
      <c r="BF890" s="67" t="str">
        <f t="shared" si="80"/>
        <v/>
      </c>
      <c r="BG890" s="67" t="str">
        <f t="shared" si="81"/>
        <v/>
      </c>
    </row>
    <row r="891" spans="1:59">
      <c r="A891" s="55"/>
      <c r="B891" s="56"/>
      <c r="C891" s="56"/>
      <c r="D891" s="56"/>
      <c r="E891" s="56"/>
      <c r="F891" s="56"/>
      <c r="G891" s="56"/>
      <c r="H891" s="56"/>
      <c r="I891" s="6"/>
      <c r="J891" s="6"/>
      <c r="K891" s="57"/>
      <c r="L891" s="57"/>
      <c r="M891" s="57"/>
      <c r="N891" s="56"/>
      <c r="O891" s="56"/>
      <c r="P891" s="56"/>
      <c r="Q891" s="56"/>
      <c r="R891" s="56"/>
      <c r="S891" s="56"/>
      <c r="T891" s="56"/>
      <c r="U891" s="56"/>
      <c r="V891" s="56"/>
      <c r="W891" s="56"/>
      <c r="X891" s="56"/>
      <c r="Y891" s="56"/>
      <c r="Z891" s="56"/>
      <c r="AA891" s="56"/>
      <c r="AB891" s="56"/>
      <c r="AC891" s="56"/>
      <c r="AD891" s="56"/>
      <c r="AE891" s="56"/>
      <c r="AF891" s="56"/>
      <c r="AG891" s="56"/>
      <c r="AH891" s="56"/>
      <c r="AI891" s="58"/>
      <c r="AJ891" s="56"/>
      <c r="AK891" s="56"/>
      <c r="AL891" s="56"/>
      <c r="AM891" s="57"/>
      <c r="AN891" s="57"/>
      <c r="AO891" s="56"/>
      <c r="AP891" s="56"/>
      <c r="AQ891" s="57"/>
      <c r="AR891" s="57"/>
      <c r="AS891" s="57"/>
      <c r="AT891" s="67">
        <f t="shared" ca="1" si="82"/>
        <v>0</v>
      </c>
      <c r="AU891" s="79" t="str">
        <f t="shared" ca="1" si="83"/>
        <v/>
      </c>
      <c r="AV891" s="79" t="str" cm="1">
        <f t="array" aca="1" ref="AV891" ca="1">IFERROR(_xlfn.IFS($AU891="","",$AU891&lt;=15,"0-15",AND($AU891&gt;=16,$AU891&lt;=30),"16-30",AND($AU891&gt;=31,$AU891&lt;=45),"31-45",AND($AU891&gt;=46,$AU891&lt;=60),"46-60",AND($AU891&gt;=61,$AU891&lt;=90),"61-90",AND($AU891&gt;=91),"&gt; 90",AND($AU891&gt;=2000),""),"")</f>
        <v/>
      </c>
      <c r="AW891" s="79" t="str" cm="1">
        <f t="array" aca="1" ref="AW891" ca="1">IFERROR(_xlfn.IFS(OR($M891="",$AM891=""),"",OR($C891="Offered",$C891="Joined"),($AM891-$M891)-$AT891),"")</f>
        <v/>
      </c>
      <c r="AX891" s="79" t="str" cm="1">
        <f t="array" aca="1" ref="AX891" ca="1">IFERROR(_xlfn.IFS(OR($M891="",$AS891=""),"",$C891="Joined",($AS891-$M891)-$AT891),"")</f>
        <v/>
      </c>
      <c r="AY891" s="67" t="str">
        <f>IFERROR(IF(COUNTIFS('Candidate Tracker'!$E:$E,'Positions Tracker'!$B891,'Candidate Tracker'!$C:$C,"Offer Drop")=0,"",COUNTIFS('Candidate Tracker'!$E:$E,'Positions Tracker'!$B891,'Candidate Tracker'!$C:$C,"Offer Drop")),"")</f>
        <v/>
      </c>
      <c r="AZ891" s="80">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0.88111888111888115</v>
      </c>
      <c r="BA891" s="81" t="str">
        <f>IFERROR(IF(COUNTIFS('Candidate Tracker'!$E:$E,'Positions Tracker'!$B891,'Candidate Tracker'!$I:$I,"Female")=0,"",COUNTIFS('Candidate Tracker'!$E:$E,'Positions Tracker'!$B891,'Candidate Tracker'!$I:$I,"Female")),"")</f>
        <v/>
      </c>
      <c r="BB891" s="81" t="str">
        <f>IFERROR(IF(COUNTIFS('Candidate Tracker'!$E:$E,'Positions Tracker'!$B891,'Candidate Tracker'!$I:$I,"male")=0,"",COUNTIFS('Candidate Tracker'!$E:$E,'Positions Tracker'!$B891,'Candidate Tracker'!$I:$I,"male")),"")</f>
        <v/>
      </c>
      <c r="BC891" s="80" t="str">
        <f>IFERROR(IF(COUNTIFS('Candidate Tracker'!$E:$E,'Positions Tracker'!$B891,'Candidate Tracker'!$C:$C,"&lt;&gt;WIP",'Candidate Tracker'!$C:$C,"&lt;&gt;Hold",'Candidate Tracker'!$C:$C,"&lt;&gt;Cancelled",'Candidate Tracker'!$C:$C,"&lt;&gt;Closed")/COUNTIFS('Candidate Tracker'!$E:$E,'Positions Tracker'!$B891)=0,"",COUNTIFS('Candidate Tracker'!$E:$E,'Positions Tracker'!$B891,'Candidate Tracker'!$C:$C,"&lt;&gt;WIP",'Candidate Tracker'!$C:$C,"&lt;&gt;Hold",'Candidate Tracker'!$C:$C,"&lt;&gt;Cancelled",'Candidate Tracker'!$C:$C,"&lt;&gt;Closed")/COUNTIFS('Candidate Tracker'!$E:$E,'Positions Tracker'!$B891)),"")</f>
        <v/>
      </c>
      <c r="BD891" s="67" t="str">
        <f t="shared" si="78"/>
        <v/>
      </c>
      <c r="BE891" s="67" t="str">
        <f t="shared" si="79"/>
        <v/>
      </c>
      <c r="BF891" s="67" t="str">
        <f t="shared" si="80"/>
        <v/>
      </c>
      <c r="BG891" s="67" t="str">
        <f t="shared" si="81"/>
        <v/>
      </c>
    </row>
    <row r="892" spans="1:59">
      <c r="A892" s="55"/>
      <c r="B892" s="56"/>
      <c r="C892" s="56"/>
      <c r="D892" s="56"/>
      <c r="E892" s="56"/>
      <c r="F892" s="56"/>
      <c r="G892" s="56"/>
      <c r="H892" s="56"/>
      <c r="I892" s="6"/>
      <c r="J892" s="6"/>
      <c r="K892" s="57"/>
      <c r="L892" s="57"/>
      <c r="M892" s="57"/>
      <c r="N892" s="56"/>
      <c r="O892" s="56"/>
      <c r="P892" s="56"/>
      <c r="Q892" s="56"/>
      <c r="R892" s="56"/>
      <c r="S892" s="56"/>
      <c r="T892" s="56"/>
      <c r="U892" s="56"/>
      <c r="V892" s="56"/>
      <c r="W892" s="56"/>
      <c r="X892" s="56"/>
      <c r="Y892" s="56"/>
      <c r="Z892" s="56"/>
      <c r="AA892" s="56"/>
      <c r="AB892" s="56"/>
      <c r="AC892" s="56"/>
      <c r="AD892" s="56"/>
      <c r="AE892" s="56"/>
      <c r="AF892" s="56"/>
      <c r="AG892" s="56"/>
      <c r="AH892" s="56"/>
      <c r="AI892" s="58"/>
      <c r="AJ892" s="56"/>
      <c r="AK892" s="56"/>
      <c r="AL892" s="56"/>
      <c r="AM892" s="57"/>
      <c r="AN892" s="57"/>
      <c r="AO892" s="56"/>
      <c r="AP892" s="56"/>
      <c r="AQ892" s="57"/>
      <c r="AR892" s="57"/>
      <c r="AS892" s="57"/>
      <c r="AT892" s="67">
        <f t="shared" ca="1" si="82"/>
        <v>0</v>
      </c>
      <c r="AU892" s="79" t="str">
        <f t="shared" ca="1" si="83"/>
        <v/>
      </c>
      <c r="AV892" s="79" t="str" cm="1">
        <f t="array" aca="1" ref="AV892" ca="1">IFERROR(_xlfn.IFS($AU892="","",$AU892&lt;=15,"0-15",AND($AU892&gt;=16,$AU892&lt;=30),"16-30",AND($AU892&gt;=31,$AU892&lt;=45),"31-45",AND($AU892&gt;=46,$AU892&lt;=60),"46-60",AND($AU892&gt;=61,$AU892&lt;=90),"61-90",AND($AU892&gt;=91),"&gt; 90",AND($AU892&gt;=2000),""),"")</f>
        <v/>
      </c>
      <c r="AW892" s="79" t="str" cm="1">
        <f t="array" aca="1" ref="AW892" ca="1">IFERROR(_xlfn.IFS(OR($M892="",$AM892=""),"",OR($C892="Offered",$C892="Joined"),($AM892-$M892)-$AT892),"")</f>
        <v/>
      </c>
      <c r="AX892" s="79" t="str" cm="1">
        <f t="array" aca="1" ref="AX892" ca="1">IFERROR(_xlfn.IFS(OR($M892="",$AS892=""),"",$C892="Joined",($AS892-$M892)-$AT892),"")</f>
        <v/>
      </c>
      <c r="AY892" s="67" t="str">
        <f>IFERROR(IF(COUNTIFS('Candidate Tracker'!$E:$E,'Positions Tracker'!$B892,'Candidate Tracker'!$C:$C,"Offer Drop")=0,"",COUNTIFS('Candidate Tracker'!$E:$E,'Positions Tracker'!$B892,'Candidate Tracker'!$C:$C,"Offer Drop")),"")</f>
        <v/>
      </c>
      <c r="AZ892" s="80">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0.88111888111888115</v>
      </c>
      <c r="BA892" s="81" t="str">
        <f>IFERROR(IF(COUNTIFS('Candidate Tracker'!$E:$E,'Positions Tracker'!$B892,'Candidate Tracker'!$I:$I,"Female")=0,"",COUNTIFS('Candidate Tracker'!$E:$E,'Positions Tracker'!$B892,'Candidate Tracker'!$I:$I,"Female")),"")</f>
        <v/>
      </c>
      <c r="BB892" s="81" t="str">
        <f>IFERROR(IF(COUNTIFS('Candidate Tracker'!$E:$E,'Positions Tracker'!$B892,'Candidate Tracker'!$I:$I,"male")=0,"",COUNTIFS('Candidate Tracker'!$E:$E,'Positions Tracker'!$B892,'Candidate Tracker'!$I:$I,"male")),"")</f>
        <v/>
      </c>
      <c r="BC892" s="80" t="str">
        <f>IFERROR(IF(COUNTIFS('Candidate Tracker'!$E:$E,'Positions Tracker'!$B892,'Candidate Tracker'!$C:$C,"&lt;&gt;WIP",'Candidate Tracker'!$C:$C,"&lt;&gt;Hold",'Candidate Tracker'!$C:$C,"&lt;&gt;Cancelled",'Candidate Tracker'!$C:$C,"&lt;&gt;Closed")/COUNTIFS('Candidate Tracker'!$E:$E,'Positions Tracker'!$B892)=0,"",COUNTIFS('Candidate Tracker'!$E:$E,'Positions Tracker'!$B892,'Candidate Tracker'!$C:$C,"&lt;&gt;WIP",'Candidate Tracker'!$C:$C,"&lt;&gt;Hold",'Candidate Tracker'!$C:$C,"&lt;&gt;Cancelled",'Candidate Tracker'!$C:$C,"&lt;&gt;Closed")/COUNTIFS('Candidate Tracker'!$E:$E,'Positions Tracker'!$B892)),"")</f>
        <v/>
      </c>
      <c r="BD892" s="67" t="str">
        <f t="shared" si="78"/>
        <v/>
      </c>
      <c r="BE892" s="67" t="str">
        <f t="shared" si="79"/>
        <v/>
      </c>
      <c r="BF892" s="67" t="str">
        <f t="shared" si="80"/>
        <v/>
      </c>
      <c r="BG892" s="67" t="str">
        <f t="shared" si="81"/>
        <v/>
      </c>
    </row>
    <row r="893" spans="1:59">
      <c r="A893" s="55"/>
      <c r="B893" s="56"/>
      <c r="C893" s="56"/>
      <c r="D893" s="56"/>
      <c r="E893" s="56"/>
      <c r="F893" s="56"/>
      <c r="G893" s="56"/>
      <c r="H893" s="56"/>
      <c r="I893" s="6"/>
      <c r="J893" s="6"/>
      <c r="K893" s="57"/>
      <c r="L893" s="57"/>
      <c r="M893" s="57"/>
      <c r="N893" s="56"/>
      <c r="O893" s="56"/>
      <c r="P893" s="56"/>
      <c r="Q893" s="56"/>
      <c r="R893" s="56"/>
      <c r="S893" s="56"/>
      <c r="T893" s="56"/>
      <c r="U893" s="56"/>
      <c r="V893" s="56"/>
      <c r="W893" s="56"/>
      <c r="X893" s="56"/>
      <c r="Y893" s="56"/>
      <c r="Z893" s="56"/>
      <c r="AA893" s="56"/>
      <c r="AB893" s="56"/>
      <c r="AC893" s="56"/>
      <c r="AD893" s="56"/>
      <c r="AE893" s="56"/>
      <c r="AF893" s="56"/>
      <c r="AG893" s="56"/>
      <c r="AH893" s="56"/>
      <c r="AI893" s="58"/>
      <c r="AJ893" s="56"/>
      <c r="AK893" s="56"/>
      <c r="AL893" s="56"/>
      <c r="AM893" s="57"/>
      <c r="AN893" s="57"/>
      <c r="AO893" s="56"/>
      <c r="AP893" s="56"/>
      <c r="AQ893" s="57"/>
      <c r="AR893" s="57"/>
      <c r="AS893" s="57"/>
      <c r="AT893" s="67">
        <f t="shared" ca="1" si="82"/>
        <v>0</v>
      </c>
      <c r="AU893" s="79" t="str">
        <f t="shared" ca="1" si="83"/>
        <v/>
      </c>
      <c r="AV893" s="79" t="str" cm="1">
        <f t="array" aca="1" ref="AV893" ca="1">IFERROR(_xlfn.IFS($AU893="","",$AU893&lt;=15,"0-15",AND($AU893&gt;=16,$AU893&lt;=30),"16-30",AND($AU893&gt;=31,$AU893&lt;=45),"31-45",AND($AU893&gt;=46,$AU893&lt;=60),"46-60",AND($AU893&gt;=61,$AU893&lt;=90),"61-90",AND($AU893&gt;=91),"&gt; 90",AND($AU893&gt;=2000),""),"")</f>
        <v/>
      </c>
      <c r="AW893" s="79" t="str" cm="1">
        <f t="array" aca="1" ref="AW893" ca="1">IFERROR(_xlfn.IFS(OR($M893="",$AM893=""),"",OR($C893="Offered",$C893="Joined"),($AM893-$M893)-$AT893),"")</f>
        <v/>
      </c>
      <c r="AX893" s="79" t="str" cm="1">
        <f t="array" aca="1" ref="AX893" ca="1">IFERROR(_xlfn.IFS(OR($M893="",$AS893=""),"",$C893="Joined",($AS893-$M893)-$AT893),"")</f>
        <v/>
      </c>
      <c r="AY893" s="67" t="str">
        <f>IFERROR(IF(COUNTIFS('Candidate Tracker'!$E:$E,'Positions Tracker'!$B893,'Candidate Tracker'!$C:$C,"Offer Drop")=0,"",COUNTIFS('Candidate Tracker'!$E:$E,'Positions Tracker'!$B893,'Candidate Tracker'!$C:$C,"Offer Drop")),"")</f>
        <v/>
      </c>
      <c r="AZ893" s="80">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0.88111888111888115</v>
      </c>
      <c r="BA893" s="81" t="str">
        <f>IFERROR(IF(COUNTIFS('Candidate Tracker'!$E:$E,'Positions Tracker'!$B893,'Candidate Tracker'!$I:$I,"Female")=0,"",COUNTIFS('Candidate Tracker'!$E:$E,'Positions Tracker'!$B893,'Candidate Tracker'!$I:$I,"Female")),"")</f>
        <v/>
      </c>
      <c r="BB893" s="81" t="str">
        <f>IFERROR(IF(COUNTIFS('Candidate Tracker'!$E:$E,'Positions Tracker'!$B893,'Candidate Tracker'!$I:$I,"male")=0,"",COUNTIFS('Candidate Tracker'!$E:$E,'Positions Tracker'!$B893,'Candidate Tracker'!$I:$I,"male")),"")</f>
        <v/>
      </c>
      <c r="BC893" s="80" t="str">
        <f>IFERROR(IF(COUNTIFS('Candidate Tracker'!$E:$E,'Positions Tracker'!$B893,'Candidate Tracker'!$C:$C,"&lt;&gt;WIP",'Candidate Tracker'!$C:$C,"&lt;&gt;Hold",'Candidate Tracker'!$C:$C,"&lt;&gt;Cancelled",'Candidate Tracker'!$C:$C,"&lt;&gt;Closed")/COUNTIFS('Candidate Tracker'!$E:$E,'Positions Tracker'!$B893)=0,"",COUNTIFS('Candidate Tracker'!$E:$E,'Positions Tracker'!$B893,'Candidate Tracker'!$C:$C,"&lt;&gt;WIP",'Candidate Tracker'!$C:$C,"&lt;&gt;Hold",'Candidate Tracker'!$C:$C,"&lt;&gt;Cancelled",'Candidate Tracker'!$C:$C,"&lt;&gt;Closed")/COUNTIFS('Candidate Tracker'!$E:$E,'Positions Tracker'!$B893)),"")</f>
        <v/>
      </c>
      <c r="BD893" s="67" t="str">
        <f t="shared" si="78"/>
        <v/>
      </c>
      <c r="BE893" s="67" t="str">
        <f t="shared" si="79"/>
        <v/>
      </c>
      <c r="BF893" s="67" t="str">
        <f t="shared" si="80"/>
        <v/>
      </c>
      <c r="BG893" s="67" t="str">
        <f t="shared" si="81"/>
        <v/>
      </c>
    </row>
    <row r="894" spans="1:59">
      <c r="A894" s="55"/>
      <c r="B894" s="56"/>
      <c r="C894" s="56"/>
      <c r="D894" s="56"/>
      <c r="E894" s="56"/>
      <c r="F894" s="56"/>
      <c r="G894" s="56"/>
      <c r="H894" s="56"/>
      <c r="I894" s="6"/>
      <c r="J894" s="6"/>
      <c r="K894" s="57"/>
      <c r="L894" s="57"/>
      <c r="M894" s="57"/>
      <c r="N894" s="56"/>
      <c r="O894" s="56"/>
      <c r="P894" s="56"/>
      <c r="Q894" s="56"/>
      <c r="R894" s="56"/>
      <c r="S894" s="56"/>
      <c r="T894" s="56"/>
      <c r="U894" s="56"/>
      <c r="V894" s="56"/>
      <c r="W894" s="56"/>
      <c r="X894" s="56"/>
      <c r="Y894" s="56"/>
      <c r="Z894" s="56"/>
      <c r="AA894" s="56"/>
      <c r="AB894" s="56"/>
      <c r="AC894" s="56"/>
      <c r="AD894" s="56"/>
      <c r="AE894" s="56"/>
      <c r="AF894" s="56"/>
      <c r="AG894" s="56"/>
      <c r="AH894" s="56"/>
      <c r="AI894" s="58"/>
      <c r="AJ894" s="56"/>
      <c r="AK894" s="56"/>
      <c r="AL894" s="56"/>
      <c r="AM894" s="57"/>
      <c r="AN894" s="57"/>
      <c r="AO894" s="56"/>
      <c r="AP894" s="56"/>
      <c r="AQ894" s="57"/>
      <c r="AR894" s="57"/>
      <c r="AS894" s="57"/>
      <c r="AT894" s="67">
        <f t="shared" ca="1" si="82"/>
        <v>0</v>
      </c>
      <c r="AU894" s="79" t="str">
        <f t="shared" ca="1" si="83"/>
        <v/>
      </c>
      <c r="AV894" s="79" t="str" cm="1">
        <f t="array" aca="1" ref="AV894" ca="1">IFERROR(_xlfn.IFS($AU894="","",$AU894&lt;=15,"0-15",AND($AU894&gt;=16,$AU894&lt;=30),"16-30",AND($AU894&gt;=31,$AU894&lt;=45),"31-45",AND($AU894&gt;=46,$AU894&lt;=60),"46-60",AND($AU894&gt;=61,$AU894&lt;=90),"61-90",AND($AU894&gt;=91),"&gt; 90",AND($AU894&gt;=2000),""),"")</f>
        <v/>
      </c>
      <c r="AW894" s="79" t="str" cm="1">
        <f t="array" aca="1" ref="AW894" ca="1">IFERROR(_xlfn.IFS(OR($M894="",$AM894=""),"",OR($C894="Offered",$C894="Joined"),($AM894-$M894)-$AT894),"")</f>
        <v/>
      </c>
      <c r="AX894" s="79" t="str" cm="1">
        <f t="array" aca="1" ref="AX894" ca="1">IFERROR(_xlfn.IFS(OR($M894="",$AS894=""),"",$C894="Joined",($AS894-$M894)-$AT894),"")</f>
        <v/>
      </c>
      <c r="AY894" s="67" t="str">
        <f>IFERROR(IF(COUNTIFS('Candidate Tracker'!$E:$E,'Positions Tracker'!$B894,'Candidate Tracker'!$C:$C,"Offer Drop")=0,"",COUNTIFS('Candidate Tracker'!$E:$E,'Positions Tracker'!$B894,'Candidate Tracker'!$C:$C,"Offer Drop")),"")</f>
        <v/>
      </c>
      <c r="AZ894" s="80">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0.88111888111888115</v>
      </c>
      <c r="BA894" s="81" t="str">
        <f>IFERROR(IF(COUNTIFS('Candidate Tracker'!$E:$E,'Positions Tracker'!$B894,'Candidate Tracker'!$I:$I,"Female")=0,"",COUNTIFS('Candidate Tracker'!$E:$E,'Positions Tracker'!$B894,'Candidate Tracker'!$I:$I,"Female")),"")</f>
        <v/>
      </c>
      <c r="BB894" s="81" t="str">
        <f>IFERROR(IF(COUNTIFS('Candidate Tracker'!$E:$E,'Positions Tracker'!$B894,'Candidate Tracker'!$I:$I,"male")=0,"",COUNTIFS('Candidate Tracker'!$E:$E,'Positions Tracker'!$B894,'Candidate Tracker'!$I:$I,"male")),"")</f>
        <v/>
      </c>
      <c r="BC894" s="80" t="str">
        <f>IFERROR(IF(COUNTIFS('Candidate Tracker'!$E:$E,'Positions Tracker'!$B894,'Candidate Tracker'!$C:$C,"&lt;&gt;WIP",'Candidate Tracker'!$C:$C,"&lt;&gt;Hold",'Candidate Tracker'!$C:$C,"&lt;&gt;Cancelled",'Candidate Tracker'!$C:$C,"&lt;&gt;Closed")/COUNTIFS('Candidate Tracker'!$E:$E,'Positions Tracker'!$B894)=0,"",COUNTIFS('Candidate Tracker'!$E:$E,'Positions Tracker'!$B894,'Candidate Tracker'!$C:$C,"&lt;&gt;WIP",'Candidate Tracker'!$C:$C,"&lt;&gt;Hold",'Candidate Tracker'!$C:$C,"&lt;&gt;Cancelled",'Candidate Tracker'!$C:$C,"&lt;&gt;Closed")/COUNTIFS('Candidate Tracker'!$E:$E,'Positions Tracker'!$B894)),"")</f>
        <v/>
      </c>
      <c r="BD894" s="67" t="str">
        <f t="shared" si="78"/>
        <v/>
      </c>
      <c r="BE894" s="67" t="str">
        <f t="shared" si="79"/>
        <v/>
      </c>
      <c r="BF894" s="67" t="str">
        <f t="shared" si="80"/>
        <v/>
      </c>
      <c r="BG894" s="67" t="str">
        <f t="shared" si="81"/>
        <v/>
      </c>
    </row>
    <row r="895" spans="1:59">
      <c r="A895" s="55"/>
      <c r="B895" s="56"/>
      <c r="C895" s="56"/>
      <c r="D895" s="56"/>
      <c r="E895" s="56"/>
      <c r="F895" s="56"/>
      <c r="G895" s="56"/>
      <c r="H895" s="56"/>
      <c r="I895" s="6"/>
      <c r="J895" s="6"/>
      <c r="K895" s="57"/>
      <c r="L895" s="57"/>
      <c r="M895" s="57"/>
      <c r="N895" s="56"/>
      <c r="O895" s="56"/>
      <c r="P895" s="56"/>
      <c r="Q895" s="56"/>
      <c r="R895" s="56"/>
      <c r="S895" s="56"/>
      <c r="T895" s="56"/>
      <c r="U895" s="56"/>
      <c r="V895" s="56"/>
      <c r="W895" s="56"/>
      <c r="X895" s="56"/>
      <c r="Y895" s="56"/>
      <c r="Z895" s="56"/>
      <c r="AA895" s="56"/>
      <c r="AB895" s="56"/>
      <c r="AC895" s="56"/>
      <c r="AD895" s="56"/>
      <c r="AE895" s="56"/>
      <c r="AF895" s="56"/>
      <c r="AG895" s="56"/>
      <c r="AH895" s="56"/>
      <c r="AI895" s="58"/>
      <c r="AJ895" s="56"/>
      <c r="AK895" s="56"/>
      <c r="AL895" s="56"/>
      <c r="AM895" s="57"/>
      <c r="AN895" s="57"/>
      <c r="AO895" s="56"/>
      <c r="AP895" s="56"/>
      <c r="AQ895" s="57"/>
      <c r="AR895" s="57"/>
      <c r="AS895" s="57"/>
      <c r="AT895" s="67">
        <f t="shared" ca="1" si="82"/>
        <v>0</v>
      </c>
      <c r="AU895" s="79" t="str">
        <f t="shared" ca="1" si="83"/>
        <v/>
      </c>
      <c r="AV895" s="79" t="str" cm="1">
        <f t="array" aca="1" ref="AV895" ca="1">IFERROR(_xlfn.IFS($AU895="","",$AU895&lt;=15,"0-15",AND($AU895&gt;=16,$AU895&lt;=30),"16-30",AND($AU895&gt;=31,$AU895&lt;=45),"31-45",AND($AU895&gt;=46,$AU895&lt;=60),"46-60",AND($AU895&gt;=61,$AU895&lt;=90),"61-90",AND($AU895&gt;=91),"&gt; 90",AND($AU895&gt;=2000),""),"")</f>
        <v/>
      </c>
      <c r="AW895" s="79" t="str" cm="1">
        <f t="array" aca="1" ref="AW895" ca="1">IFERROR(_xlfn.IFS(OR($M895="",$AM895=""),"",OR($C895="Offered",$C895="Joined"),($AM895-$M895)-$AT895),"")</f>
        <v/>
      </c>
      <c r="AX895" s="79" t="str" cm="1">
        <f t="array" aca="1" ref="AX895" ca="1">IFERROR(_xlfn.IFS(OR($M895="",$AS895=""),"",$C895="Joined",($AS895-$M895)-$AT895),"")</f>
        <v/>
      </c>
      <c r="AY895" s="67" t="str">
        <f>IFERROR(IF(COUNTIFS('Candidate Tracker'!$E:$E,'Positions Tracker'!$B895,'Candidate Tracker'!$C:$C,"Offer Drop")=0,"",COUNTIFS('Candidate Tracker'!$E:$E,'Positions Tracker'!$B895,'Candidate Tracker'!$C:$C,"Offer Drop")),"")</f>
        <v/>
      </c>
      <c r="AZ895" s="80">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0.88111888111888115</v>
      </c>
      <c r="BA895" s="81" t="str">
        <f>IFERROR(IF(COUNTIFS('Candidate Tracker'!$E:$E,'Positions Tracker'!$B895,'Candidate Tracker'!$I:$I,"Female")=0,"",COUNTIFS('Candidate Tracker'!$E:$E,'Positions Tracker'!$B895,'Candidate Tracker'!$I:$I,"Female")),"")</f>
        <v/>
      </c>
      <c r="BB895" s="81" t="str">
        <f>IFERROR(IF(COUNTIFS('Candidate Tracker'!$E:$E,'Positions Tracker'!$B895,'Candidate Tracker'!$I:$I,"male")=0,"",COUNTIFS('Candidate Tracker'!$E:$E,'Positions Tracker'!$B895,'Candidate Tracker'!$I:$I,"male")),"")</f>
        <v/>
      </c>
      <c r="BC895" s="80" t="str">
        <f>IFERROR(IF(COUNTIFS('Candidate Tracker'!$E:$E,'Positions Tracker'!$B895,'Candidate Tracker'!$C:$C,"&lt;&gt;WIP",'Candidate Tracker'!$C:$C,"&lt;&gt;Hold",'Candidate Tracker'!$C:$C,"&lt;&gt;Cancelled",'Candidate Tracker'!$C:$C,"&lt;&gt;Closed")/COUNTIFS('Candidate Tracker'!$E:$E,'Positions Tracker'!$B895)=0,"",COUNTIFS('Candidate Tracker'!$E:$E,'Positions Tracker'!$B895,'Candidate Tracker'!$C:$C,"&lt;&gt;WIP",'Candidate Tracker'!$C:$C,"&lt;&gt;Hold",'Candidate Tracker'!$C:$C,"&lt;&gt;Cancelled",'Candidate Tracker'!$C:$C,"&lt;&gt;Closed")/COUNTIFS('Candidate Tracker'!$E:$E,'Positions Tracker'!$B895)),"")</f>
        <v/>
      </c>
      <c r="BD895" s="67" t="str">
        <f t="shared" si="78"/>
        <v/>
      </c>
      <c r="BE895" s="67" t="str">
        <f t="shared" si="79"/>
        <v/>
      </c>
      <c r="BF895" s="67" t="str">
        <f t="shared" si="80"/>
        <v/>
      </c>
      <c r="BG895" s="67" t="str">
        <f t="shared" si="81"/>
        <v/>
      </c>
    </row>
    <row r="896" spans="1:59">
      <c r="A896" s="55"/>
      <c r="B896" s="56"/>
      <c r="C896" s="56"/>
      <c r="D896" s="56"/>
      <c r="E896" s="56"/>
      <c r="F896" s="56"/>
      <c r="G896" s="56"/>
      <c r="H896" s="56"/>
      <c r="I896" s="6"/>
      <c r="J896" s="6"/>
      <c r="K896" s="57"/>
      <c r="L896" s="57"/>
      <c r="M896" s="57"/>
      <c r="N896" s="56"/>
      <c r="O896" s="56"/>
      <c r="P896" s="56"/>
      <c r="Q896" s="56"/>
      <c r="R896" s="56"/>
      <c r="S896" s="56"/>
      <c r="T896" s="56"/>
      <c r="U896" s="56"/>
      <c r="V896" s="56"/>
      <c r="W896" s="56"/>
      <c r="X896" s="56"/>
      <c r="Y896" s="56"/>
      <c r="Z896" s="56"/>
      <c r="AA896" s="56"/>
      <c r="AB896" s="56"/>
      <c r="AC896" s="56"/>
      <c r="AD896" s="56"/>
      <c r="AE896" s="56"/>
      <c r="AF896" s="56"/>
      <c r="AG896" s="56"/>
      <c r="AH896" s="56"/>
      <c r="AI896" s="58"/>
      <c r="AJ896" s="56"/>
      <c r="AK896" s="56"/>
      <c r="AL896" s="56"/>
      <c r="AM896" s="57"/>
      <c r="AN896" s="57"/>
      <c r="AO896" s="56"/>
      <c r="AP896" s="56"/>
      <c r="AQ896" s="57"/>
      <c r="AR896" s="57"/>
      <c r="AS896" s="57"/>
      <c r="AT896" s="67">
        <f t="shared" ca="1" si="82"/>
        <v>0</v>
      </c>
      <c r="AU896" s="79" t="str">
        <f t="shared" ca="1" si="83"/>
        <v/>
      </c>
      <c r="AV896" s="79" t="str" cm="1">
        <f t="array" aca="1" ref="AV896" ca="1">IFERROR(_xlfn.IFS($AU896="","",$AU896&lt;=15,"0-15",AND($AU896&gt;=16,$AU896&lt;=30),"16-30",AND($AU896&gt;=31,$AU896&lt;=45),"31-45",AND($AU896&gt;=46,$AU896&lt;=60),"46-60",AND($AU896&gt;=61,$AU896&lt;=90),"61-90",AND($AU896&gt;=91),"&gt; 90",AND($AU896&gt;=2000),""),"")</f>
        <v/>
      </c>
      <c r="AW896" s="79" t="str" cm="1">
        <f t="array" aca="1" ref="AW896" ca="1">IFERROR(_xlfn.IFS(OR($M896="",$AM896=""),"",OR($C896="Offered",$C896="Joined"),($AM896-$M896)-$AT896),"")</f>
        <v/>
      </c>
      <c r="AX896" s="79" t="str" cm="1">
        <f t="array" aca="1" ref="AX896" ca="1">IFERROR(_xlfn.IFS(OR($M896="",$AS896=""),"",$C896="Joined",($AS896-$M896)-$AT896),"")</f>
        <v/>
      </c>
      <c r="AY896" s="67" t="str">
        <f>IFERROR(IF(COUNTIFS('Candidate Tracker'!$E:$E,'Positions Tracker'!$B896,'Candidate Tracker'!$C:$C,"Offer Drop")=0,"",COUNTIFS('Candidate Tracker'!$E:$E,'Positions Tracker'!$B896,'Candidate Tracker'!$C:$C,"Offer Drop")),"")</f>
        <v/>
      </c>
      <c r="AZ896" s="80">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0.88111888111888115</v>
      </c>
      <c r="BA896" s="81" t="str">
        <f>IFERROR(IF(COUNTIFS('Candidate Tracker'!$E:$E,'Positions Tracker'!$B896,'Candidate Tracker'!$I:$I,"Female")=0,"",COUNTIFS('Candidate Tracker'!$E:$E,'Positions Tracker'!$B896,'Candidate Tracker'!$I:$I,"Female")),"")</f>
        <v/>
      </c>
      <c r="BB896" s="81" t="str">
        <f>IFERROR(IF(COUNTIFS('Candidate Tracker'!$E:$E,'Positions Tracker'!$B896,'Candidate Tracker'!$I:$I,"male")=0,"",COUNTIFS('Candidate Tracker'!$E:$E,'Positions Tracker'!$B896,'Candidate Tracker'!$I:$I,"male")),"")</f>
        <v/>
      </c>
      <c r="BC896" s="80" t="str">
        <f>IFERROR(IF(COUNTIFS('Candidate Tracker'!$E:$E,'Positions Tracker'!$B896,'Candidate Tracker'!$C:$C,"&lt;&gt;WIP",'Candidate Tracker'!$C:$C,"&lt;&gt;Hold",'Candidate Tracker'!$C:$C,"&lt;&gt;Cancelled",'Candidate Tracker'!$C:$C,"&lt;&gt;Closed")/COUNTIFS('Candidate Tracker'!$E:$E,'Positions Tracker'!$B896)=0,"",COUNTIFS('Candidate Tracker'!$E:$E,'Positions Tracker'!$B896,'Candidate Tracker'!$C:$C,"&lt;&gt;WIP",'Candidate Tracker'!$C:$C,"&lt;&gt;Hold",'Candidate Tracker'!$C:$C,"&lt;&gt;Cancelled",'Candidate Tracker'!$C:$C,"&lt;&gt;Closed")/COUNTIFS('Candidate Tracker'!$E:$E,'Positions Tracker'!$B896)),"")</f>
        <v/>
      </c>
      <c r="BD896" s="67" t="str">
        <f t="shared" si="78"/>
        <v/>
      </c>
      <c r="BE896" s="67" t="str">
        <f t="shared" si="79"/>
        <v/>
      </c>
      <c r="BF896" s="67" t="str">
        <f t="shared" si="80"/>
        <v/>
      </c>
      <c r="BG896" s="67" t="str">
        <f t="shared" si="81"/>
        <v/>
      </c>
    </row>
    <row r="897" spans="1:59">
      <c r="A897" s="55"/>
      <c r="B897" s="56"/>
      <c r="C897" s="56"/>
      <c r="D897" s="56"/>
      <c r="E897" s="56"/>
      <c r="F897" s="56"/>
      <c r="G897" s="56"/>
      <c r="H897" s="56"/>
      <c r="I897" s="6"/>
      <c r="J897" s="6"/>
      <c r="K897" s="57"/>
      <c r="L897" s="57"/>
      <c r="M897" s="57"/>
      <c r="N897" s="56"/>
      <c r="O897" s="56"/>
      <c r="P897" s="56"/>
      <c r="Q897" s="56"/>
      <c r="R897" s="56"/>
      <c r="S897" s="56"/>
      <c r="T897" s="56"/>
      <c r="U897" s="56"/>
      <c r="V897" s="56"/>
      <c r="W897" s="56"/>
      <c r="X897" s="56"/>
      <c r="Y897" s="56"/>
      <c r="Z897" s="56"/>
      <c r="AA897" s="56"/>
      <c r="AB897" s="56"/>
      <c r="AC897" s="56"/>
      <c r="AD897" s="56"/>
      <c r="AE897" s="56"/>
      <c r="AF897" s="56"/>
      <c r="AG897" s="56"/>
      <c r="AH897" s="56"/>
      <c r="AI897" s="58"/>
      <c r="AJ897" s="56"/>
      <c r="AK897" s="56"/>
      <c r="AL897" s="56"/>
      <c r="AM897" s="57"/>
      <c r="AN897" s="57"/>
      <c r="AO897" s="56"/>
      <c r="AP897" s="56"/>
      <c r="AQ897" s="57"/>
      <c r="AR897" s="57"/>
      <c r="AS897" s="57"/>
      <c r="AT897" s="67">
        <f t="shared" ca="1" si="82"/>
        <v>0</v>
      </c>
      <c r="AU897" s="79" t="str">
        <f t="shared" ca="1" si="83"/>
        <v/>
      </c>
      <c r="AV897" s="79" t="str" cm="1">
        <f t="array" aca="1" ref="AV897" ca="1">IFERROR(_xlfn.IFS($AU897="","",$AU897&lt;=15,"0-15",AND($AU897&gt;=16,$AU897&lt;=30),"16-30",AND($AU897&gt;=31,$AU897&lt;=45),"31-45",AND($AU897&gt;=46,$AU897&lt;=60),"46-60",AND($AU897&gt;=61,$AU897&lt;=90),"61-90",AND($AU897&gt;=91),"&gt; 90",AND($AU897&gt;=2000),""),"")</f>
        <v/>
      </c>
      <c r="AW897" s="79" t="str" cm="1">
        <f t="array" aca="1" ref="AW897" ca="1">IFERROR(_xlfn.IFS(OR($M897="",$AM897=""),"",OR($C897="Offered",$C897="Joined"),($AM897-$M897)-$AT897),"")</f>
        <v/>
      </c>
      <c r="AX897" s="79" t="str" cm="1">
        <f t="array" aca="1" ref="AX897" ca="1">IFERROR(_xlfn.IFS(OR($M897="",$AS897=""),"",$C897="Joined",($AS897-$M897)-$AT897),"")</f>
        <v/>
      </c>
      <c r="AY897" s="67" t="str">
        <f>IFERROR(IF(COUNTIFS('Candidate Tracker'!$E:$E,'Positions Tracker'!$B897,'Candidate Tracker'!$C:$C,"Offer Drop")=0,"",COUNTIFS('Candidate Tracker'!$E:$E,'Positions Tracker'!$B897,'Candidate Tracker'!$C:$C,"Offer Drop")),"")</f>
        <v/>
      </c>
      <c r="AZ897" s="80">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0.88111888111888115</v>
      </c>
      <c r="BA897" s="81" t="str">
        <f>IFERROR(IF(COUNTIFS('Candidate Tracker'!$E:$E,'Positions Tracker'!$B897,'Candidate Tracker'!$I:$I,"Female")=0,"",COUNTIFS('Candidate Tracker'!$E:$E,'Positions Tracker'!$B897,'Candidate Tracker'!$I:$I,"Female")),"")</f>
        <v/>
      </c>
      <c r="BB897" s="81" t="str">
        <f>IFERROR(IF(COUNTIFS('Candidate Tracker'!$E:$E,'Positions Tracker'!$B897,'Candidate Tracker'!$I:$I,"male")=0,"",COUNTIFS('Candidate Tracker'!$E:$E,'Positions Tracker'!$B897,'Candidate Tracker'!$I:$I,"male")),"")</f>
        <v/>
      </c>
      <c r="BC897" s="80" t="str">
        <f>IFERROR(IF(COUNTIFS('Candidate Tracker'!$E:$E,'Positions Tracker'!$B897,'Candidate Tracker'!$C:$C,"&lt;&gt;WIP",'Candidate Tracker'!$C:$C,"&lt;&gt;Hold",'Candidate Tracker'!$C:$C,"&lt;&gt;Cancelled",'Candidate Tracker'!$C:$C,"&lt;&gt;Closed")/COUNTIFS('Candidate Tracker'!$E:$E,'Positions Tracker'!$B897)=0,"",COUNTIFS('Candidate Tracker'!$E:$E,'Positions Tracker'!$B897,'Candidate Tracker'!$C:$C,"&lt;&gt;WIP",'Candidate Tracker'!$C:$C,"&lt;&gt;Hold",'Candidate Tracker'!$C:$C,"&lt;&gt;Cancelled",'Candidate Tracker'!$C:$C,"&lt;&gt;Closed")/COUNTIFS('Candidate Tracker'!$E:$E,'Positions Tracker'!$B897)),"")</f>
        <v/>
      </c>
      <c r="BD897" s="67" t="str">
        <f t="shared" ref="BD897:BD960" si="84">IFERROR(IF($M897="","",TEXT($M897,"MMM-YY")),"")</f>
        <v/>
      </c>
      <c r="BE897" s="67" t="str">
        <f t="shared" ref="BE897:BE960" si="85">IFERROR(IF($AI897="","",TEXT($AI897,"MMM-YY")),"")</f>
        <v/>
      </c>
      <c r="BF897" s="67" t="str">
        <f t="shared" ref="BF897:BF960" si="86">IFERROR(IF($AM897="","",TEXT($AM897,"MMM-YY")),"")</f>
        <v/>
      </c>
      <c r="BG897" s="67" t="str">
        <f t="shared" ref="BG897:BG960" si="87">IFERROR(IF($AS897="","",TEXT($AS897,"MMM-YY")),"")</f>
        <v/>
      </c>
    </row>
    <row r="898" spans="1:59">
      <c r="A898" s="55"/>
      <c r="B898" s="56"/>
      <c r="C898" s="56"/>
      <c r="D898" s="56"/>
      <c r="E898" s="56"/>
      <c r="F898" s="56"/>
      <c r="G898" s="56"/>
      <c r="H898" s="56"/>
      <c r="I898" s="6"/>
      <c r="J898" s="6"/>
      <c r="K898" s="57"/>
      <c r="L898" s="57"/>
      <c r="M898" s="57"/>
      <c r="N898" s="56"/>
      <c r="O898" s="56"/>
      <c r="P898" s="56"/>
      <c r="Q898" s="56"/>
      <c r="R898" s="56"/>
      <c r="S898" s="56"/>
      <c r="T898" s="56"/>
      <c r="U898" s="56"/>
      <c r="V898" s="56"/>
      <c r="W898" s="56"/>
      <c r="X898" s="56"/>
      <c r="Y898" s="56"/>
      <c r="Z898" s="56"/>
      <c r="AA898" s="56"/>
      <c r="AB898" s="56"/>
      <c r="AC898" s="56"/>
      <c r="AD898" s="56"/>
      <c r="AE898" s="56"/>
      <c r="AF898" s="56"/>
      <c r="AG898" s="56"/>
      <c r="AH898" s="56"/>
      <c r="AI898" s="58"/>
      <c r="AJ898" s="56"/>
      <c r="AK898" s="56"/>
      <c r="AL898" s="56"/>
      <c r="AM898" s="57"/>
      <c r="AN898" s="57"/>
      <c r="AO898" s="56"/>
      <c r="AP898" s="56"/>
      <c r="AQ898" s="57"/>
      <c r="AR898" s="57"/>
      <c r="AS898" s="57"/>
      <c r="AT898" s="67">
        <f t="shared" ref="AT898:AT961" ca="1" si="88">IFERROR(SUM(IF(AND(ISBLANK(T898),ISBLANK(Q898)),0,IF(T898="",TODAY()-Q898,T898-Q898))+IF(AND(ISBLANK(S898),ISBLANK(P898)),0,IF(S898="",TODAY()-P898,S898-P898))+IF(AND(ISBLANK(O898),ISBLANK(R898)),0,IF(R898="",TODAY()-O898,R898-O898))),"")</f>
        <v>0</v>
      </c>
      <c r="AU898" s="79" t="str">
        <f t="shared" ref="AU898:AU961" ca="1" si="89">IFERROR(IF(($M898=""),"",IF(OR(,$C898="Offer in Progress",$C898="WIP",$C898="WIP/Drop",$C898="WIP/New",$C898="WIP/Hold"),(TODAY()-$M898)-$AT898,"")),"")</f>
        <v/>
      </c>
      <c r="AV898" s="79" t="str" cm="1">
        <f t="array" aca="1" ref="AV898" ca="1">IFERROR(_xlfn.IFS($AU898="","",$AU898&lt;=15,"0-15",AND($AU898&gt;=16,$AU898&lt;=30),"16-30",AND($AU898&gt;=31,$AU898&lt;=45),"31-45",AND($AU898&gt;=46,$AU898&lt;=60),"46-60",AND($AU898&gt;=61,$AU898&lt;=90),"61-90",AND($AU898&gt;=91),"&gt; 90",AND($AU898&gt;=2000),""),"")</f>
        <v/>
      </c>
      <c r="AW898" s="79" t="str" cm="1">
        <f t="array" aca="1" ref="AW898" ca="1">IFERROR(_xlfn.IFS(OR($M898="",$AM898=""),"",OR($C898="Offered",$C898="Joined"),($AM898-$M898)-$AT898),"")</f>
        <v/>
      </c>
      <c r="AX898" s="79" t="str" cm="1">
        <f t="array" aca="1" ref="AX898" ca="1">IFERROR(_xlfn.IFS(OR($M898="",$AS898=""),"",$C898="Joined",($AS898-$M898)-$AT898),"")</f>
        <v/>
      </c>
      <c r="AY898" s="67" t="str">
        <f>IFERROR(IF(COUNTIFS('Candidate Tracker'!$E:$E,'Positions Tracker'!$B898,'Candidate Tracker'!$C:$C,"Offer Drop")=0,"",COUNTIFS('Candidate Tracker'!$E:$E,'Positions Tracker'!$B898,'Candidate Tracker'!$C:$C,"Offer Drop")),"")</f>
        <v/>
      </c>
      <c r="AZ898" s="80">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0.88111888111888115</v>
      </c>
      <c r="BA898" s="81" t="str">
        <f>IFERROR(IF(COUNTIFS('Candidate Tracker'!$E:$E,'Positions Tracker'!$B898,'Candidate Tracker'!$I:$I,"Female")=0,"",COUNTIFS('Candidate Tracker'!$E:$E,'Positions Tracker'!$B898,'Candidate Tracker'!$I:$I,"Female")),"")</f>
        <v/>
      </c>
      <c r="BB898" s="81" t="str">
        <f>IFERROR(IF(COUNTIFS('Candidate Tracker'!$E:$E,'Positions Tracker'!$B898,'Candidate Tracker'!$I:$I,"male")=0,"",COUNTIFS('Candidate Tracker'!$E:$E,'Positions Tracker'!$B898,'Candidate Tracker'!$I:$I,"male")),"")</f>
        <v/>
      </c>
      <c r="BC898" s="80" t="str">
        <f>IFERROR(IF(COUNTIFS('Candidate Tracker'!$E:$E,'Positions Tracker'!$B898,'Candidate Tracker'!$C:$C,"&lt;&gt;WIP",'Candidate Tracker'!$C:$C,"&lt;&gt;Hold",'Candidate Tracker'!$C:$C,"&lt;&gt;Cancelled",'Candidate Tracker'!$C:$C,"&lt;&gt;Closed")/COUNTIFS('Candidate Tracker'!$E:$E,'Positions Tracker'!$B898)=0,"",COUNTIFS('Candidate Tracker'!$E:$E,'Positions Tracker'!$B898,'Candidate Tracker'!$C:$C,"&lt;&gt;WIP",'Candidate Tracker'!$C:$C,"&lt;&gt;Hold",'Candidate Tracker'!$C:$C,"&lt;&gt;Cancelled",'Candidate Tracker'!$C:$C,"&lt;&gt;Closed")/COUNTIFS('Candidate Tracker'!$E:$E,'Positions Tracker'!$B898)),"")</f>
        <v/>
      </c>
      <c r="BD898" s="67" t="str">
        <f t="shared" si="84"/>
        <v/>
      </c>
      <c r="BE898" s="67" t="str">
        <f t="shared" si="85"/>
        <v/>
      </c>
      <c r="BF898" s="67" t="str">
        <f t="shared" si="86"/>
        <v/>
      </c>
      <c r="BG898" s="67" t="str">
        <f t="shared" si="87"/>
        <v/>
      </c>
    </row>
    <row r="899" spans="1:59">
      <c r="A899" s="55"/>
      <c r="B899" s="56"/>
      <c r="C899" s="56"/>
      <c r="D899" s="56"/>
      <c r="E899" s="56"/>
      <c r="F899" s="56"/>
      <c r="G899" s="56"/>
      <c r="H899" s="56"/>
      <c r="I899" s="6"/>
      <c r="J899" s="6"/>
      <c r="K899" s="57"/>
      <c r="L899" s="57"/>
      <c r="M899" s="57"/>
      <c r="N899" s="56"/>
      <c r="O899" s="56"/>
      <c r="P899" s="56"/>
      <c r="Q899" s="56"/>
      <c r="R899" s="56"/>
      <c r="S899" s="56"/>
      <c r="T899" s="56"/>
      <c r="U899" s="56"/>
      <c r="V899" s="56"/>
      <c r="W899" s="56"/>
      <c r="X899" s="56"/>
      <c r="Y899" s="56"/>
      <c r="Z899" s="56"/>
      <c r="AA899" s="56"/>
      <c r="AB899" s="56"/>
      <c r="AC899" s="56"/>
      <c r="AD899" s="56"/>
      <c r="AE899" s="56"/>
      <c r="AF899" s="56"/>
      <c r="AG899" s="56"/>
      <c r="AH899" s="56"/>
      <c r="AI899" s="58"/>
      <c r="AJ899" s="56"/>
      <c r="AK899" s="56"/>
      <c r="AL899" s="56"/>
      <c r="AM899" s="57"/>
      <c r="AN899" s="57"/>
      <c r="AO899" s="56"/>
      <c r="AP899" s="56"/>
      <c r="AQ899" s="57"/>
      <c r="AR899" s="57"/>
      <c r="AS899" s="57"/>
      <c r="AT899" s="67">
        <f t="shared" ca="1" si="88"/>
        <v>0</v>
      </c>
      <c r="AU899" s="79" t="str">
        <f t="shared" ca="1" si="89"/>
        <v/>
      </c>
      <c r="AV899" s="79" t="str" cm="1">
        <f t="array" aca="1" ref="AV899" ca="1">IFERROR(_xlfn.IFS($AU899="","",$AU899&lt;=15,"0-15",AND($AU899&gt;=16,$AU899&lt;=30),"16-30",AND($AU899&gt;=31,$AU899&lt;=45),"31-45",AND($AU899&gt;=46,$AU899&lt;=60),"46-60",AND($AU899&gt;=61,$AU899&lt;=90),"61-90",AND($AU899&gt;=91),"&gt; 90",AND($AU899&gt;=2000),""),"")</f>
        <v/>
      </c>
      <c r="AW899" s="79" t="str" cm="1">
        <f t="array" aca="1" ref="AW899" ca="1">IFERROR(_xlfn.IFS(OR($M899="",$AM899=""),"",OR($C899="Offered",$C899="Joined"),($AM899-$M899)-$AT899),"")</f>
        <v/>
      </c>
      <c r="AX899" s="79" t="str" cm="1">
        <f t="array" aca="1" ref="AX899" ca="1">IFERROR(_xlfn.IFS(OR($M899="",$AS899=""),"",$C899="Joined",($AS899-$M899)-$AT899),"")</f>
        <v/>
      </c>
      <c r="AY899" s="67" t="str">
        <f>IFERROR(IF(COUNTIFS('Candidate Tracker'!$E:$E,'Positions Tracker'!$B899,'Candidate Tracker'!$C:$C,"Offer Drop")=0,"",COUNTIFS('Candidate Tracker'!$E:$E,'Positions Tracker'!$B899,'Candidate Tracker'!$C:$C,"Offer Drop")),"")</f>
        <v/>
      </c>
      <c r="AZ899" s="80">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0.88111888111888115</v>
      </c>
      <c r="BA899" s="81" t="str">
        <f>IFERROR(IF(COUNTIFS('Candidate Tracker'!$E:$E,'Positions Tracker'!$B899,'Candidate Tracker'!$I:$I,"Female")=0,"",COUNTIFS('Candidate Tracker'!$E:$E,'Positions Tracker'!$B899,'Candidate Tracker'!$I:$I,"Female")),"")</f>
        <v/>
      </c>
      <c r="BB899" s="81" t="str">
        <f>IFERROR(IF(COUNTIFS('Candidate Tracker'!$E:$E,'Positions Tracker'!$B899,'Candidate Tracker'!$I:$I,"male")=0,"",COUNTIFS('Candidate Tracker'!$E:$E,'Positions Tracker'!$B899,'Candidate Tracker'!$I:$I,"male")),"")</f>
        <v/>
      </c>
      <c r="BC899" s="80" t="str">
        <f>IFERROR(IF(COUNTIFS('Candidate Tracker'!$E:$E,'Positions Tracker'!$B899,'Candidate Tracker'!$C:$C,"&lt;&gt;WIP",'Candidate Tracker'!$C:$C,"&lt;&gt;Hold",'Candidate Tracker'!$C:$C,"&lt;&gt;Cancelled",'Candidate Tracker'!$C:$C,"&lt;&gt;Closed")/COUNTIFS('Candidate Tracker'!$E:$E,'Positions Tracker'!$B899)=0,"",COUNTIFS('Candidate Tracker'!$E:$E,'Positions Tracker'!$B899,'Candidate Tracker'!$C:$C,"&lt;&gt;WIP",'Candidate Tracker'!$C:$C,"&lt;&gt;Hold",'Candidate Tracker'!$C:$C,"&lt;&gt;Cancelled",'Candidate Tracker'!$C:$C,"&lt;&gt;Closed")/COUNTIFS('Candidate Tracker'!$E:$E,'Positions Tracker'!$B899)),"")</f>
        <v/>
      </c>
      <c r="BD899" s="67" t="str">
        <f t="shared" si="84"/>
        <v/>
      </c>
      <c r="BE899" s="67" t="str">
        <f t="shared" si="85"/>
        <v/>
      </c>
      <c r="BF899" s="67" t="str">
        <f t="shared" si="86"/>
        <v/>
      </c>
      <c r="BG899" s="67" t="str">
        <f t="shared" si="87"/>
        <v/>
      </c>
    </row>
    <row r="900" spans="1:59">
      <c r="A900" s="55"/>
      <c r="B900" s="56"/>
      <c r="C900" s="56"/>
      <c r="D900" s="56"/>
      <c r="E900" s="56"/>
      <c r="F900" s="56"/>
      <c r="G900" s="56"/>
      <c r="H900" s="56"/>
      <c r="I900" s="6"/>
      <c r="J900" s="6"/>
      <c r="K900" s="57"/>
      <c r="L900" s="57"/>
      <c r="M900" s="57"/>
      <c r="N900" s="56"/>
      <c r="O900" s="56"/>
      <c r="P900" s="56"/>
      <c r="Q900" s="56"/>
      <c r="R900" s="56"/>
      <c r="S900" s="56"/>
      <c r="T900" s="56"/>
      <c r="U900" s="56"/>
      <c r="V900" s="56"/>
      <c r="W900" s="56"/>
      <c r="X900" s="56"/>
      <c r="Y900" s="56"/>
      <c r="Z900" s="56"/>
      <c r="AA900" s="56"/>
      <c r="AB900" s="56"/>
      <c r="AC900" s="56"/>
      <c r="AD900" s="56"/>
      <c r="AE900" s="56"/>
      <c r="AF900" s="56"/>
      <c r="AG900" s="56"/>
      <c r="AH900" s="56"/>
      <c r="AI900" s="58"/>
      <c r="AJ900" s="56"/>
      <c r="AK900" s="56"/>
      <c r="AL900" s="56"/>
      <c r="AM900" s="57"/>
      <c r="AN900" s="57"/>
      <c r="AO900" s="56"/>
      <c r="AP900" s="56"/>
      <c r="AQ900" s="57"/>
      <c r="AR900" s="57"/>
      <c r="AS900" s="57"/>
      <c r="AT900" s="67">
        <f t="shared" ca="1" si="88"/>
        <v>0</v>
      </c>
      <c r="AU900" s="79" t="str">
        <f t="shared" ca="1" si="89"/>
        <v/>
      </c>
      <c r="AV900" s="79" t="str" cm="1">
        <f t="array" aca="1" ref="AV900" ca="1">IFERROR(_xlfn.IFS($AU900="","",$AU900&lt;=15,"0-15",AND($AU900&gt;=16,$AU900&lt;=30),"16-30",AND($AU900&gt;=31,$AU900&lt;=45),"31-45",AND($AU900&gt;=46,$AU900&lt;=60),"46-60",AND($AU900&gt;=61,$AU900&lt;=90),"61-90",AND($AU900&gt;=91),"&gt; 90",AND($AU900&gt;=2000),""),"")</f>
        <v/>
      </c>
      <c r="AW900" s="79" t="str" cm="1">
        <f t="array" aca="1" ref="AW900" ca="1">IFERROR(_xlfn.IFS(OR($M900="",$AM900=""),"",OR($C900="Offered",$C900="Joined"),($AM900-$M900)-$AT900),"")</f>
        <v/>
      </c>
      <c r="AX900" s="79" t="str" cm="1">
        <f t="array" aca="1" ref="AX900" ca="1">IFERROR(_xlfn.IFS(OR($M900="",$AS900=""),"",$C900="Joined",($AS900-$M900)-$AT900),"")</f>
        <v/>
      </c>
      <c r="AY900" s="67" t="str">
        <f>IFERROR(IF(COUNTIFS('Candidate Tracker'!$E:$E,'Positions Tracker'!$B900,'Candidate Tracker'!$C:$C,"Offer Drop")=0,"",COUNTIFS('Candidate Tracker'!$E:$E,'Positions Tracker'!$B900,'Candidate Tracker'!$C:$C,"Offer Drop")),"")</f>
        <v/>
      </c>
      <c r="AZ900" s="80">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0.88111888111888115</v>
      </c>
      <c r="BA900" s="81" t="str">
        <f>IFERROR(IF(COUNTIFS('Candidate Tracker'!$E:$E,'Positions Tracker'!$B900,'Candidate Tracker'!$I:$I,"Female")=0,"",COUNTIFS('Candidate Tracker'!$E:$E,'Positions Tracker'!$B900,'Candidate Tracker'!$I:$I,"Female")),"")</f>
        <v/>
      </c>
      <c r="BB900" s="81" t="str">
        <f>IFERROR(IF(COUNTIFS('Candidate Tracker'!$E:$E,'Positions Tracker'!$B900,'Candidate Tracker'!$I:$I,"male")=0,"",COUNTIFS('Candidate Tracker'!$E:$E,'Positions Tracker'!$B900,'Candidate Tracker'!$I:$I,"male")),"")</f>
        <v/>
      </c>
      <c r="BC900" s="80" t="str">
        <f>IFERROR(IF(COUNTIFS('Candidate Tracker'!$E:$E,'Positions Tracker'!$B900,'Candidate Tracker'!$C:$C,"&lt;&gt;WIP",'Candidate Tracker'!$C:$C,"&lt;&gt;Hold",'Candidate Tracker'!$C:$C,"&lt;&gt;Cancelled",'Candidate Tracker'!$C:$C,"&lt;&gt;Closed")/COUNTIFS('Candidate Tracker'!$E:$E,'Positions Tracker'!$B900)=0,"",COUNTIFS('Candidate Tracker'!$E:$E,'Positions Tracker'!$B900,'Candidate Tracker'!$C:$C,"&lt;&gt;WIP",'Candidate Tracker'!$C:$C,"&lt;&gt;Hold",'Candidate Tracker'!$C:$C,"&lt;&gt;Cancelled",'Candidate Tracker'!$C:$C,"&lt;&gt;Closed")/COUNTIFS('Candidate Tracker'!$E:$E,'Positions Tracker'!$B900)),"")</f>
        <v/>
      </c>
      <c r="BD900" s="67" t="str">
        <f t="shared" si="84"/>
        <v/>
      </c>
      <c r="BE900" s="67" t="str">
        <f t="shared" si="85"/>
        <v/>
      </c>
      <c r="BF900" s="67" t="str">
        <f t="shared" si="86"/>
        <v/>
      </c>
      <c r="BG900" s="67" t="str">
        <f t="shared" si="87"/>
        <v/>
      </c>
    </row>
    <row r="901" spans="1:59">
      <c r="A901" s="55"/>
      <c r="B901" s="56"/>
      <c r="C901" s="56"/>
      <c r="D901" s="56"/>
      <c r="E901" s="56"/>
      <c r="F901" s="56"/>
      <c r="G901" s="56"/>
      <c r="H901" s="56"/>
      <c r="I901" s="6"/>
      <c r="J901" s="6"/>
      <c r="K901" s="57"/>
      <c r="L901" s="57"/>
      <c r="M901" s="57"/>
      <c r="N901" s="56"/>
      <c r="O901" s="56"/>
      <c r="P901" s="56"/>
      <c r="Q901" s="56"/>
      <c r="R901" s="56"/>
      <c r="S901" s="56"/>
      <c r="T901" s="56"/>
      <c r="U901" s="56"/>
      <c r="V901" s="56"/>
      <c r="W901" s="56"/>
      <c r="X901" s="56"/>
      <c r="Y901" s="56"/>
      <c r="Z901" s="56"/>
      <c r="AA901" s="56"/>
      <c r="AB901" s="56"/>
      <c r="AC901" s="56"/>
      <c r="AD901" s="56"/>
      <c r="AE901" s="56"/>
      <c r="AF901" s="56"/>
      <c r="AG901" s="56"/>
      <c r="AH901" s="56"/>
      <c r="AI901" s="58"/>
      <c r="AJ901" s="56"/>
      <c r="AK901" s="56"/>
      <c r="AL901" s="56"/>
      <c r="AM901" s="57"/>
      <c r="AN901" s="57"/>
      <c r="AO901" s="56"/>
      <c r="AP901" s="56"/>
      <c r="AQ901" s="57"/>
      <c r="AR901" s="57"/>
      <c r="AS901" s="57"/>
      <c r="AT901" s="67">
        <f t="shared" ca="1" si="88"/>
        <v>0</v>
      </c>
      <c r="AU901" s="79" t="str">
        <f t="shared" ca="1" si="89"/>
        <v/>
      </c>
      <c r="AV901" s="79" t="str" cm="1">
        <f t="array" aca="1" ref="AV901" ca="1">IFERROR(_xlfn.IFS($AU901="","",$AU901&lt;=15,"0-15",AND($AU901&gt;=16,$AU901&lt;=30),"16-30",AND($AU901&gt;=31,$AU901&lt;=45),"31-45",AND($AU901&gt;=46,$AU901&lt;=60),"46-60",AND($AU901&gt;=61,$AU901&lt;=90),"61-90",AND($AU901&gt;=91),"&gt; 90",AND($AU901&gt;=2000),""),"")</f>
        <v/>
      </c>
      <c r="AW901" s="79" t="str" cm="1">
        <f t="array" aca="1" ref="AW901" ca="1">IFERROR(_xlfn.IFS(OR($M901="",$AM901=""),"",OR($C901="Offered",$C901="Joined"),($AM901-$M901)-$AT901),"")</f>
        <v/>
      </c>
      <c r="AX901" s="79" t="str" cm="1">
        <f t="array" aca="1" ref="AX901" ca="1">IFERROR(_xlfn.IFS(OR($M901="",$AS901=""),"",$C901="Joined",($AS901-$M901)-$AT901),"")</f>
        <v/>
      </c>
      <c r="AY901" s="67" t="str">
        <f>IFERROR(IF(COUNTIFS('Candidate Tracker'!$E:$E,'Positions Tracker'!$B901,'Candidate Tracker'!$C:$C,"Offer Drop")=0,"",COUNTIFS('Candidate Tracker'!$E:$E,'Positions Tracker'!$B901,'Candidate Tracker'!$C:$C,"Offer Drop")),"")</f>
        <v/>
      </c>
      <c r="AZ901" s="80">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0.88111888111888115</v>
      </c>
      <c r="BA901" s="81" t="str">
        <f>IFERROR(IF(COUNTIFS('Candidate Tracker'!$E:$E,'Positions Tracker'!$B901,'Candidate Tracker'!$I:$I,"Female")=0,"",COUNTIFS('Candidate Tracker'!$E:$E,'Positions Tracker'!$B901,'Candidate Tracker'!$I:$I,"Female")),"")</f>
        <v/>
      </c>
      <c r="BB901" s="81" t="str">
        <f>IFERROR(IF(COUNTIFS('Candidate Tracker'!$E:$E,'Positions Tracker'!$B901,'Candidate Tracker'!$I:$I,"male")=0,"",COUNTIFS('Candidate Tracker'!$E:$E,'Positions Tracker'!$B901,'Candidate Tracker'!$I:$I,"male")),"")</f>
        <v/>
      </c>
      <c r="BC901" s="80" t="str">
        <f>IFERROR(IF(COUNTIFS('Candidate Tracker'!$E:$E,'Positions Tracker'!$B901,'Candidate Tracker'!$C:$C,"&lt;&gt;WIP",'Candidate Tracker'!$C:$C,"&lt;&gt;Hold",'Candidate Tracker'!$C:$C,"&lt;&gt;Cancelled",'Candidate Tracker'!$C:$C,"&lt;&gt;Closed")/COUNTIFS('Candidate Tracker'!$E:$E,'Positions Tracker'!$B901)=0,"",COUNTIFS('Candidate Tracker'!$E:$E,'Positions Tracker'!$B901,'Candidate Tracker'!$C:$C,"&lt;&gt;WIP",'Candidate Tracker'!$C:$C,"&lt;&gt;Hold",'Candidate Tracker'!$C:$C,"&lt;&gt;Cancelled",'Candidate Tracker'!$C:$C,"&lt;&gt;Closed")/COUNTIFS('Candidate Tracker'!$E:$E,'Positions Tracker'!$B901)),"")</f>
        <v/>
      </c>
      <c r="BD901" s="67" t="str">
        <f t="shared" si="84"/>
        <v/>
      </c>
      <c r="BE901" s="67" t="str">
        <f t="shared" si="85"/>
        <v/>
      </c>
      <c r="BF901" s="67" t="str">
        <f t="shared" si="86"/>
        <v/>
      </c>
      <c r="BG901" s="67" t="str">
        <f t="shared" si="87"/>
        <v/>
      </c>
    </row>
    <row r="902" spans="1:59">
      <c r="A902" s="55"/>
      <c r="B902" s="56"/>
      <c r="C902" s="56"/>
      <c r="D902" s="56"/>
      <c r="E902" s="56"/>
      <c r="F902" s="56"/>
      <c r="G902" s="56"/>
      <c r="H902" s="56"/>
      <c r="I902" s="6"/>
      <c r="J902" s="6"/>
      <c r="K902" s="57"/>
      <c r="L902" s="57"/>
      <c r="M902" s="57"/>
      <c r="N902" s="56"/>
      <c r="O902" s="56"/>
      <c r="P902" s="56"/>
      <c r="Q902" s="56"/>
      <c r="R902" s="56"/>
      <c r="S902" s="56"/>
      <c r="T902" s="56"/>
      <c r="U902" s="56"/>
      <c r="V902" s="56"/>
      <c r="W902" s="56"/>
      <c r="X902" s="56"/>
      <c r="Y902" s="56"/>
      <c r="Z902" s="56"/>
      <c r="AA902" s="56"/>
      <c r="AB902" s="56"/>
      <c r="AC902" s="56"/>
      <c r="AD902" s="56"/>
      <c r="AE902" s="56"/>
      <c r="AF902" s="56"/>
      <c r="AG902" s="56"/>
      <c r="AH902" s="56"/>
      <c r="AI902" s="58"/>
      <c r="AJ902" s="56"/>
      <c r="AK902" s="56"/>
      <c r="AL902" s="56"/>
      <c r="AM902" s="57"/>
      <c r="AN902" s="57"/>
      <c r="AO902" s="56"/>
      <c r="AP902" s="56"/>
      <c r="AQ902" s="57"/>
      <c r="AR902" s="57"/>
      <c r="AS902" s="57"/>
      <c r="AT902" s="67">
        <f t="shared" ca="1" si="88"/>
        <v>0</v>
      </c>
      <c r="AU902" s="79" t="str">
        <f t="shared" ca="1" si="89"/>
        <v/>
      </c>
      <c r="AV902" s="79" t="str" cm="1">
        <f t="array" aca="1" ref="AV902" ca="1">IFERROR(_xlfn.IFS($AU902="","",$AU902&lt;=15,"0-15",AND($AU902&gt;=16,$AU902&lt;=30),"16-30",AND($AU902&gt;=31,$AU902&lt;=45),"31-45",AND($AU902&gt;=46,$AU902&lt;=60),"46-60",AND($AU902&gt;=61,$AU902&lt;=90),"61-90",AND($AU902&gt;=91),"&gt; 90",AND($AU902&gt;=2000),""),"")</f>
        <v/>
      </c>
      <c r="AW902" s="79" t="str" cm="1">
        <f t="array" aca="1" ref="AW902" ca="1">IFERROR(_xlfn.IFS(OR($M902="",$AM902=""),"",OR($C902="Offered",$C902="Joined"),($AM902-$M902)-$AT902),"")</f>
        <v/>
      </c>
      <c r="AX902" s="79" t="str" cm="1">
        <f t="array" aca="1" ref="AX902" ca="1">IFERROR(_xlfn.IFS(OR($M902="",$AS902=""),"",$C902="Joined",($AS902-$M902)-$AT902),"")</f>
        <v/>
      </c>
      <c r="AY902" s="67" t="str">
        <f>IFERROR(IF(COUNTIFS('Candidate Tracker'!$E:$E,'Positions Tracker'!$B902,'Candidate Tracker'!$C:$C,"Offer Drop")=0,"",COUNTIFS('Candidate Tracker'!$E:$E,'Positions Tracker'!$B902,'Candidate Tracker'!$C:$C,"Offer Drop")),"")</f>
        <v/>
      </c>
      <c r="AZ902" s="80">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0.88111888111888115</v>
      </c>
      <c r="BA902" s="81" t="str">
        <f>IFERROR(IF(COUNTIFS('Candidate Tracker'!$E:$E,'Positions Tracker'!$B902,'Candidate Tracker'!$I:$I,"Female")=0,"",COUNTIFS('Candidate Tracker'!$E:$E,'Positions Tracker'!$B902,'Candidate Tracker'!$I:$I,"Female")),"")</f>
        <v/>
      </c>
      <c r="BB902" s="81" t="str">
        <f>IFERROR(IF(COUNTIFS('Candidate Tracker'!$E:$E,'Positions Tracker'!$B902,'Candidate Tracker'!$I:$I,"male")=0,"",COUNTIFS('Candidate Tracker'!$E:$E,'Positions Tracker'!$B902,'Candidate Tracker'!$I:$I,"male")),"")</f>
        <v/>
      </c>
      <c r="BC902" s="80" t="str">
        <f>IFERROR(IF(COUNTIFS('Candidate Tracker'!$E:$E,'Positions Tracker'!$B902,'Candidate Tracker'!$C:$C,"&lt;&gt;WIP",'Candidate Tracker'!$C:$C,"&lt;&gt;Hold",'Candidate Tracker'!$C:$C,"&lt;&gt;Cancelled",'Candidate Tracker'!$C:$C,"&lt;&gt;Closed")/COUNTIFS('Candidate Tracker'!$E:$E,'Positions Tracker'!$B902)=0,"",COUNTIFS('Candidate Tracker'!$E:$E,'Positions Tracker'!$B902,'Candidate Tracker'!$C:$C,"&lt;&gt;WIP",'Candidate Tracker'!$C:$C,"&lt;&gt;Hold",'Candidate Tracker'!$C:$C,"&lt;&gt;Cancelled",'Candidate Tracker'!$C:$C,"&lt;&gt;Closed")/COUNTIFS('Candidate Tracker'!$E:$E,'Positions Tracker'!$B902)),"")</f>
        <v/>
      </c>
      <c r="BD902" s="67" t="str">
        <f t="shared" si="84"/>
        <v/>
      </c>
      <c r="BE902" s="67" t="str">
        <f t="shared" si="85"/>
        <v/>
      </c>
      <c r="BF902" s="67" t="str">
        <f t="shared" si="86"/>
        <v/>
      </c>
      <c r="BG902" s="67" t="str">
        <f t="shared" si="87"/>
        <v/>
      </c>
    </row>
    <row r="903" spans="1:59">
      <c r="A903" s="55"/>
      <c r="B903" s="56"/>
      <c r="C903" s="56"/>
      <c r="D903" s="56"/>
      <c r="E903" s="56"/>
      <c r="F903" s="56"/>
      <c r="G903" s="56"/>
      <c r="H903" s="56"/>
      <c r="I903" s="6"/>
      <c r="J903" s="6"/>
      <c r="K903" s="57"/>
      <c r="L903" s="57"/>
      <c r="M903" s="57"/>
      <c r="N903" s="56"/>
      <c r="O903" s="56"/>
      <c r="P903" s="56"/>
      <c r="Q903" s="56"/>
      <c r="R903" s="56"/>
      <c r="S903" s="56"/>
      <c r="T903" s="56"/>
      <c r="U903" s="56"/>
      <c r="V903" s="56"/>
      <c r="W903" s="56"/>
      <c r="X903" s="56"/>
      <c r="Y903" s="56"/>
      <c r="Z903" s="56"/>
      <c r="AA903" s="56"/>
      <c r="AB903" s="56"/>
      <c r="AC903" s="56"/>
      <c r="AD903" s="56"/>
      <c r="AE903" s="56"/>
      <c r="AF903" s="56"/>
      <c r="AG903" s="56"/>
      <c r="AH903" s="56"/>
      <c r="AI903" s="58"/>
      <c r="AJ903" s="56"/>
      <c r="AK903" s="56"/>
      <c r="AL903" s="56"/>
      <c r="AM903" s="57"/>
      <c r="AN903" s="57"/>
      <c r="AO903" s="56"/>
      <c r="AP903" s="56"/>
      <c r="AQ903" s="57"/>
      <c r="AR903" s="57"/>
      <c r="AS903" s="57"/>
      <c r="AT903" s="67">
        <f t="shared" ca="1" si="88"/>
        <v>0</v>
      </c>
      <c r="AU903" s="79" t="str">
        <f t="shared" ca="1" si="89"/>
        <v/>
      </c>
      <c r="AV903" s="79" t="str" cm="1">
        <f t="array" aca="1" ref="AV903" ca="1">IFERROR(_xlfn.IFS($AU903="","",$AU903&lt;=15,"0-15",AND($AU903&gt;=16,$AU903&lt;=30),"16-30",AND($AU903&gt;=31,$AU903&lt;=45),"31-45",AND($AU903&gt;=46,$AU903&lt;=60),"46-60",AND($AU903&gt;=61,$AU903&lt;=90),"61-90",AND($AU903&gt;=91),"&gt; 90",AND($AU903&gt;=2000),""),"")</f>
        <v/>
      </c>
      <c r="AW903" s="79" t="str" cm="1">
        <f t="array" aca="1" ref="AW903" ca="1">IFERROR(_xlfn.IFS(OR($M903="",$AM903=""),"",OR($C903="Offered",$C903="Joined"),($AM903-$M903)-$AT903),"")</f>
        <v/>
      </c>
      <c r="AX903" s="79" t="str" cm="1">
        <f t="array" aca="1" ref="AX903" ca="1">IFERROR(_xlfn.IFS(OR($M903="",$AS903=""),"",$C903="Joined",($AS903-$M903)-$AT903),"")</f>
        <v/>
      </c>
      <c r="AY903" s="67" t="str">
        <f>IFERROR(IF(COUNTIFS('Candidate Tracker'!$E:$E,'Positions Tracker'!$B903,'Candidate Tracker'!$C:$C,"Offer Drop")=0,"",COUNTIFS('Candidate Tracker'!$E:$E,'Positions Tracker'!$B903,'Candidate Tracker'!$C:$C,"Offer Drop")),"")</f>
        <v/>
      </c>
      <c r="AZ903" s="80">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0.88111888111888115</v>
      </c>
      <c r="BA903" s="81" t="str">
        <f>IFERROR(IF(COUNTIFS('Candidate Tracker'!$E:$E,'Positions Tracker'!$B903,'Candidate Tracker'!$I:$I,"Female")=0,"",COUNTIFS('Candidate Tracker'!$E:$E,'Positions Tracker'!$B903,'Candidate Tracker'!$I:$I,"Female")),"")</f>
        <v/>
      </c>
      <c r="BB903" s="81" t="str">
        <f>IFERROR(IF(COUNTIFS('Candidate Tracker'!$E:$E,'Positions Tracker'!$B903,'Candidate Tracker'!$I:$I,"male")=0,"",COUNTIFS('Candidate Tracker'!$E:$E,'Positions Tracker'!$B903,'Candidate Tracker'!$I:$I,"male")),"")</f>
        <v/>
      </c>
      <c r="BC903" s="80" t="str">
        <f>IFERROR(IF(COUNTIFS('Candidate Tracker'!$E:$E,'Positions Tracker'!$B903,'Candidate Tracker'!$C:$C,"&lt;&gt;WIP",'Candidate Tracker'!$C:$C,"&lt;&gt;Hold",'Candidate Tracker'!$C:$C,"&lt;&gt;Cancelled",'Candidate Tracker'!$C:$C,"&lt;&gt;Closed")/COUNTIFS('Candidate Tracker'!$E:$E,'Positions Tracker'!$B903)=0,"",COUNTIFS('Candidate Tracker'!$E:$E,'Positions Tracker'!$B903,'Candidate Tracker'!$C:$C,"&lt;&gt;WIP",'Candidate Tracker'!$C:$C,"&lt;&gt;Hold",'Candidate Tracker'!$C:$C,"&lt;&gt;Cancelled",'Candidate Tracker'!$C:$C,"&lt;&gt;Closed")/COUNTIFS('Candidate Tracker'!$E:$E,'Positions Tracker'!$B903)),"")</f>
        <v/>
      </c>
      <c r="BD903" s="67" t="str">
        <f t="shared" si="84"/>
        <v/>
      </c>
      <c r="BE903" s="67" t="str">
        <f t="shared" si="85"/>
        <v/>
      </c>
      <c r="BF903" s="67" t="str">
        <f t="shared" si="86"/>
        <v/>
      </c>
      <c r="BG903" s="67" t="str">
        <f t="shared" si="87"/>
        <v/>
      </c>
    </row>
    <row r="904" spans="1:59">
      <c r="A904" s="55"/>
      <c r="B904" s="56"/>
      <c r="C904" s="56"/>
      <c r="D904" s="56"/>
      <c r="E904" s="56"/>
      <c r="F904" s="56"/>
      <c r="G904" s="56"/>
      <c r="H904" s="56"/>
      <c r="I904" s="6"/>
      <c r="J904" s="6"/>
      <c r="K904" s="57"/>
      <c r="L904" s="57"/>
      <c r="M904" s="57"/>
      <c r="N904" s="56"/>
      <c r="O904" s="56"/>
      <c r="P904" s="56"/>
      <c r="Q904" s="56"/>
      <c r="R904" s="56"/>
      <c r="S904" s="56"/>
      <c r="T904" s="56"/>
      <c r="U904" s="56"/>
      <c r="V904" s="56"/>
      <c r="W904" s="56"/>
      <c r="X904" s="56"/>
      <c r="Y904" s="56"/>
      <c r="Z904" s="56"/>
      <c r="AA904" s="56"/>
      <c r="AB904" s="56"/>
      <c r="AC904" s="56"/>
      <c r="AD904" s="56"/>
      <c r="AE904" s="56"/>
      <c r="AF904" s="56"/>
      <c r="AG904" s="56"/>
      <c r="AH904" s="56"/>
      <c r="AI904" s="58"/>
      <c r="AJ904" s="56"/>
      <c r="AK904" s="56"/>
      <c r="AL904" s="56"/>
      <c r="AM904" s="57"/>
      <c r="AN904" s="57"/>
      <c r="AO904" s="56"/>
      <c r="AP904" s="56"/>
      <c r="AQ904" s="57"/>
      <c r="AR904" s="57"/>
      <c r="AS904" s="57"/>
      <c r="AT904" s="67">
        <f t="shared" ca="1" si="88"/>
        <v>0</v>
      </c>
      <c r="AU904" s="79" t="str">
        <f t="shared" ca="1" si="89"/>
        <v/>
      </c>
      <c r="AV904" s="79" t="str" cm="1">
        <f t="array" aca="1" ref="AV904" ca="1">IFERROR(_xlfn.IFS($AU904="","",$AU904&lt;=15,"0-15",AND($AU904&gt;=16,$AU904&lt;=30),"16-30",AND($AU904&gt;=31,$AU904&lt;=45),"31-45",AND($AU904&gt;=46,$AU904&lt;=60),"46-60",AND($AU904&gt;=61,$AU904&lt;=90),"61-90",AND($AU904&gt;=91),"&gt; 90",AND($AU904&gt;=2000),""),"")</f>
        <v/>
      </c>
      <c r="AW904" s="79" t="str" cm="1">
        <f t="array" aca="1" ref="AW904" ca="1">IFERROR(_xlfn.IFS(OR($M904="",$AM904=""),"",OR($C904="Offered",$C904="Joined"),($AM904-$M904)-$AT904),"")</f>
        <v/>
      </c>
      <c r="AX904" s="79" t="str" cm="1">
        <f t="array" aca="1" ref="AX904" ca="1">IFERROR(_xlfn.IFS(OR($M904="",$AS904=""),"",$C904="Joined",($AS904-$M904)-$AT904),"")</f>
        <v/>
      </c>
      <c r="AY904" s="67" t="str">
        <f>IFERROR(IF(COUNTIFS('Candidate Tracker'!$E:$E,'Positions Tracker'!$B904,'Candidate Tracker'!$C:$C,"Offer Drop")=0,"",COUNTIFS('Candidate Tracker'!$E:$E,'Positions Tracker'!$B904,'Candidate Tracker'!$C:$C,"Offer Drop")),"")</f>
        <v/>
      </c>
      <c r="AZ904" s="80">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0.88111888111888115</v>
      </c>
      <c r="BA904" s="81" t="str">
        <f>IFERROR(IF(COUNTIFS('Candidate Tracker'!$E:$E,'Positions Tracker'!$B904,'Candidate Tracker'!$I:$I,"Female")=0,"",COUNTIFS('Candidate Tracker'!$E:$E,'Positions Tracker'!$B904,'Candidate Tracker'!$I:$I,"Female")),"")</f>
        <v/>
      </c>
      <c r="BB904" s="81" t="str">
        <f>IFERROR(IF(COUNTIFS('Candidate Tracker'!$E:$E,'Positions Tracker'!$B904,'Candidate Tracker'!$I:$I,"male")=0,"",COUNTIFS('Candidate Tracker'!$E:$E,'Positions Tracker'!$B904,'Candidate Tracker'!$I:$I,"male")),"")</f>
        <v/>
      </c>
      <c r="BC904" s="80" t="str">
        <f>IFERROR(IF(COUNTIFS('Candidate Tracker'!$E:$E,'Positions Tracker'!$B904,'Candidate Tracker'!$C:$C,"&lt;&gt;WIP",'Candidate Tracker'!$C:$C,"&lt;&gt;Hold",'Candidate Tracker'!$C:$C,"&lt;&gt;Cancelled",'Candidate Tracker'!$C:$C,"&lt;&gt;Closed")/COUNTIFS('Candidate Tracker'!$E:$E,'Positions Tracker'!$B904)=0,"",COUNTIFS('Candidate Tracker'!$E:$E,'Positions Tracker'!$B904,'Candidate Tracker'!$C:$C,"&lt;&gt;WIP",'Candidate Tracker'!$C:$C,"&lt;&gt;Hold",'Candidate Tracker'!$C:$C,"&lt;&gt;Cancelled",'Candidate Tracker'!$C:$C,"&lt;&gt;Closed")/COUNTIFS('Candidate Tracker'!$E:$E,'Positions Tracker'!$B904)),"")</f>
        <v/>
      </c>
      <c r="BD904" s="67" t="str">
        <f t="shared" si="84"/>
        <v/>
      </c>
      <c r="BE904" s="67" t="str">
        <f t="shared" si="85"/>
        <v/>
      </c>
      <c r="BF904" s="67" t="str">
        <f t="shared" si="86"/>
        <v/>
      </c>
      <c r="BG904" s="67" t="str">
        <f t="shared" si="87"/>
        <v/>
      </c>
    </row>
    <row r="905" spans="1:59">
      <c r="A905" s="55"/>
      <c r="B905" s="56"/>
      <c r="C905" s="56"/>
      <c r="D905" s="56"/>
      <c r="E905" s="56"/>
      <c r="F905" s="56"/>
      <c r="G905" s="56"/>
      <c r="H905" s="56"/>
      <c r="I905" s="6"/>
      <c r="J905" s="6"/>
      <c r="K905" s="57"/>
      <c r="L905" s="57"/>
      <c r="M905" s="57"/>
      <c r="N905" s="56"/>
      <c r="O905" s="56"/>
      <c r="P905" s="56"/>
      <c r="Q905" s="56"/>
      <c r="R905" s="56"/>
      <c r="S905" s="56"/>
      <c r="T905" s="56"/>
      <c r="U905" s="56"/>
      <c r="V905" s="56"/>
      <c r="W905" s="56"/>
      <c r="X905" s="56"/>
      <c r="Y905" s="56"/>
      <c r="Z905" s="56"/>
      <c r="AA905" s="56"/>
      <c r="AB905" s="56"/>
      <c r="AC905" s="56"/>
      <c r="AD905" s="56"/>
      <c r="AE905" s="56"/>
      <c r="AF905" s="56"/>
      <c r="AG905" s="56"/>
      <c r="AH905" s="56"/>
      <c r="AI905" s="58"/>
      <c r="AJ905" s="56"/>
      <c r="AK905" s="56"/>
      <c r="AL905" s="56"/>
      <c r="AM905" s="57"/>
      <c r="AN905" s="57"/>
      <c r="AO905" s="56"/>
      <c r="AP905" s="56"/>
      <c r="AQ905" s="57"/>
      <c r="AR905" s="57"/>
      <c r="AS905" s="57"/>
      <c r="AT905" s="67">
        <f t="shared" ca="1" si="88"/>
        <v>0</v>
      </c>
      <c r="AU905" s="79" t="str">
        <f t="shared" ca="1" si="89"/>
        <v/>
      </c>
      <c r="AV905" s="79" t="str" cm="1">
        <f t="array" aca="1" ref="AV905" ca="1">IFERROR(_xlfn.IFS($AU905="","",$AU905&lt;=15,"0-15",AND($AU905&gt;=16,$AU905&lt;=30),"16-30",AND($AU905&gt;=31,$AU905&lt;=45),"31-45",AND($AU905&gt;=46,$AU905&lt;=60),"46-60",AND($AU905&gt;=61,$AU905&lt;=90),"61-90",AND($AU905&gt;=91),"&gt; 90",AND($AU905&gt;=2000),""),"")</f>
        <v/>
      </c>
      <c r="AW905" s="79" t="str" cm="1">
        <f t="array" aca="1" ref="AW905" ca="1">IFERROR(_xlfn.IFS(OR($M905="",$AM905=""),"",OR($C905="Offered",$C905="Joined"),($AM905-$M905)-$AT905),"")</f>
        <v/>
      </c>
      <c r="AX905" s="79" t="str" cm="1">
        <f t="array" aca="1" ref="AX905" ca="1">IFERROR(_xlfn.IFS(OR($M905="",$AS905=""),"",$C905="Joined",($AS905-$M905)-$AT905),"")</f>
        <v/>
      </c>
      <c r="AY905" s="67" t="str">
        <f>IFERROR(IF(COUNTIFS('Candidate Tracker'!$E:$E,'Positions Tracker'!$B905,'Candidate Tracker'!$C:$C,"Offer Drop")=0,"",COUNTIFS('Candidate Tracker'!$E:$E,'Positions Tracker'!$B905,'Candidate Tracker'!$C:$C,"Offer Drop")),"")</f>
        <v/>
      </c>
      <c r="AZ905" s="80">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0.88111888111888115</v>
      </c>
      <c r="BA905" s="81" t="str">
        <f>IFERROR(IF(COUNTIFS('Candidate Tracker'!$E:$E,'Positions Tracker'!$B905,'Candidate Tracker'!$I:$I,"Female")=0,"",COUNTIFS('Candidate Tracker'!$E:$E,'Positions Tracker'!$B905,'Candidate Tracker'!$I:$I,"Female")),"")</f>
        <v/>
      </c>
      <c r="BB905" s="81" t="str">
        <f>IFERROR(IF(COUNTIFS('Candidate Tracker'!$E:$E,'Positions Tracker'!$B905,'Candidate Tracker'!$I:$I,"male")=0,"",COUNTIFS('Candidate Tracker'!$E:$E,'Positions Tracker'!$B905,'Candidate Tracker'!$I:$I,"male")),"")</f>
        <v/>
      </c>
      <c r="BC905" s="80" t="str">
        <f>IFERROR(IF(COUNTIFS('Candidate Tracker'!$E:$E,'Positions Tracker'!$B905,'Candidate Tracker'!$C:$C,"&lt;&gt;WIP",'Candidate Tracker'!$C:$C,"&lt;&gt;Hold",'Candidate Tracker'!$C:$C,"&lt;&gt;Cancelled",'Candidate Tracker'!$C:$C,"&lt;&gt;Closed")/COUNTIFS('Candidate Tracker'!$E:$E,'Positions Tracker'!$B905)=0,"",COUNTIFS('Candidate Tracker'!$E:$E,'Positions Tracker'!$B905,'Candidate Tracker'!$C:$C,"&lt;&gt;WIP",'Candidate Tracker'!$C:$C,"&lt;&gt;Hold",'Candidate Tracker'!$C:$C,"&lt;&gt;Cancelled",'Candidate Tracker'!$C:$C,"&lt;&gt;Closed")/COUNTIFS('Candidate Tracker'!$E:$E,'Positions Tracker'!$B905)),"")</f>
        <v/>
      </c>
      <c r="BD905" s="67" t="str">
        <f t="shared" si="84"/>
        <v/>
      </c>
      <c r="BE905" s="67" t="str">
        <f t="shared" si="85"/>
        <v/>
      </c>
      <c r="BF905" s="67" t="str">
        <f t="shared" si="86"/>
        <v/>
      </c>
      <c r="BG905" s="67" t="str">
        <f t="shared" si="87"/>
        <v/>
      </c>
    </row>
    <row r="906" spans="1:59">
      <c r="A906" s="55"/>
      <c r="B906" s="56"/>
      <c r="C906" s="56"/>
      <c r="D906" s="56"/>
      <c r="E906" s="56"/>
      <c r="F906" s="56"/>
      <c r="G906" s="56"/>
      <c r="H906" s="56"/>
      <c r="I906" s="6"/>
      <c r="J906" s="6"/>
      <c r="K906" s="57"/>
      <c r="L906" s="57"/>
      <c r="M906" s="57"/>
      <c r="N906" s="56"/>
      <c r="O906" s="56"/>
      <c r="P906" s="56"/>
      <c r="Q906" s="56"/>
      <c r="R906" s="56"/>
      <c r="S906" s="56"/>
      <c r="T906" s="56"/>
      <c r="U906" s="56"/>
      <c r="V906" s="56"/>
      <c r="W906" s="56"/>
      <c r="X906" s="56"/>
      <c r="Y906" s="56"/>
      <c r="Z906" s="56"/>
      <c r="AA906" s="56"/>
      <c r="AB906" s="56"/>
      <c r="AC906" s="56"/>
      <c r="AD906" s="56"/>
      <c r="AE906" s="56"/>
      <c r="AF906" s="56"/>
      <c r="AG906" s="56"/>
      <c r="AH906" s="56"/>
      <c r="AI906" s="58"/>
      <c r="AJ906" s="56"/>
      <c r="AK906" s="56"/>
      <c r="AL906" s="56"/>
      <c r="AM906" s="57"/>
      <c r="AN906" s="57"/>
      <c r="AO906" s="56"/>
      <c r="AP906" s="56"/>
      <c r="AQ906" s="57"/>
      <c r="AR906" s="57"/>
      <c r="AS906" s="57"/>
      <c r="AT906" s="67">
        <f t="shared" ca="1" si="88"/>
        <v>0</v>
      </c>
      <c r="AU906" s="79" t="str">
        <f t="shared" ca="1" si="89"/>
        <v/>
      </c>
      <c r="AV906" s="79" t="str" cm="1">
        <f t="array" aca="1" ref="AV906" ca="1">IFERROR(_xlfn.IFS($AU906="","",$AU906&lt;=15,"0-15",AND($AU906&gt;=16,$AU906&lt;=30),"16-30",AND($AU906&gt;=31,$AU906&lt;=45),"31-45",AND($AU906&gt;=46,$AU906&lt;=60),"46-60",AND($AU906&gt;=61,$AU906&lt;=90),"61-90",AND($AU906&gt;=91),"&gt; 90",AND($AU906&gt;=2000),""),"")</f>
        <v/>
      </c>
      <c r="AW906" s="79" t="str" cm="1">
        <f t="array" aca="1" ref="AW906" ca="1">IFERROR(_xlfn.IFS(OR($M906="",$AM906=""),"",OR($C906="Offered",$C906="Joined"),($AM906-$M906)-$AT906),"")</f>
        <v/>
      </c>
      <c r="AX906" s="79" t="str" cm="1">
        <f t="array" aca="1" ref="AX906" ca="1">IFERROR(_xlfn.IFS(OR($M906="",$AS906=""),"",$C906="Joined",($AS906-$M906)-$AT906),"")</f>
        <v/>
      </c>
      <c r="AY906" s="67" t="str">
        <f>IFERROR(IF(COUNTIFS('Candidate Tracker'!$E:$E,'Positions Tracker'!$B906,'Candidate Tracker'!$C:$C,"Offer Drop")=0,"",COUNTIFS('Candidate Tracker'!$E:$E,'Positions Tracker'!$B906,'Candidate Tracker'!$C:$C,"Offer Drop")),"")</f>
        <v/>
      </c>
      <c r="AZ906" s="80">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0.88111888111888115</v>
      </c>
      <c r="BA906" s="81" t="str">
        <f>IFERROR(IF(COUNTIFS('Candidate Tracker'!$E:$E,'Positions Tracker'!$B906,'Candidate Tracker'!$I:$I,"Female")=0,"",COUNTIFS('Candidate Tracker'!$E:$E,'Positions Tracker'!$B906,'Candidate Tracker'!$I:$I,"Female")),"")</f>
        <v/>
      </c>
      <c r="BB906" s="81" t="str">
        <f>IFERROR(IF(COUNTIFS('Candidate Tracker'!$E:$E,'Positions Tracker'!$B906,'Candidate Tracker'!$I:$I,"male")=0,"",COUNTIFS('Candidate Tracker'!$E:$E,'Positions Tracker'!$B906,'Candidate Tracker'!$I:$I,"male")),"")</f>
        <v/>
      </c>
      <c r="BC906" s="80" t="str">
        <f>IFERROR(IF(COUNTIFS('Candidate Tracker'!$E:$E,'Positions Tracker'!$B906,'Candidate Tracker'!$C:$C,"&lt;&gt;WIP",'Candidate Tracker'!$C:$C,"&lt;&gt;Hold",'Candidate Tracker'!$C:$C,"&lt;&gt;Cancelled",'Candidate Tracker'!$C:$C,"&lt;&gt;Closed")/COUNTIFS('Candidate Tracker'!$E:$E,'Positions Tracker'!$B906)=0,"",COUNTIFS('Candidate Tracker'!$E:$E,'Positions Tracker'!$B906,'Candidate Tracker'!$C:$C,"&lt;&gt;WIP",'Candidate Tracker'!$C:$C,"&lt;&gt;Hold",'Candidate Tracker'!$C:$C,"&lt;&gt;Cancelled",'Candidate Tracker'!$C:$C,"&lt;&gt;Closed")/COUNTIFS('Candidate Tracker'!$E:$E,'Positions Tracker'!$B906)),"")</f>
        <v/>
      </c>
      <c r="BD906" s="67" t="str">
        <f t="shared" si="84"/>
        <v/>
      </c>
      <c r="BE906" s="67" t="str">
        <f t="shared" si="85"/>
        <v/>
      </c>
      <c r="BF906" s="67" t="str">
        <f t="shared" si="86"/>
        <v/>
      </c>
      <c r="BG906" s="67" t="str">
        <f t="shared" si="87"/>
        <v/>
      </c>
    </row>
    <row r="907" spans="1:59">
      <c r="A907" s="55"/>
      <c r="B907" s="56"/>
      <c r="C907" s="56"/>
      <c r="D907" s="56"/>
      <c r="E907" s="56"/>
      <c r="F907" s="56"/>
      <c r="G907" s="56"/>
      <c r="H907" s="56"/>
      <c r="I907" s="6"/>
      <c r="J907" s="6"/>
      <c r="K907" s="57"/>
      <c r="L907" s="57"/>
      <c r="M907" s="57"/>
      <c r="N907" s="56"/>
      <c r="O907" s="56"/>
      <c r="P907" s="56"/>
      <c r="Q907" s="56"/>
      <c r="R907" s="56"/>
      <c r="S907" s="56"/>
      <c r="T907" s="56"/>
      <c r="U907" s="56"/>
      <c r="V907" s="56"/>
      <c r="W907" s="56"/>
      <c r="X907" s="56"/>
      <c r="Y907" s="56"/>
      <c r="Z907" s="56"/>
      <c r="AA907" s="56"/>
      <c r="AB907" s="56"/>
      <c r="AC907" s="56"/>
      <c r="AD907" s="56"/>
      <c r="AE907" s="56"/>
      <c r="AF907" s="56"/>
      <c r="AG907" s="56"/>
      <c r="AH907" s="56"/>
      <c r="AI907" s="58"/>
      <c r="AJ907" s="56"/>
      <c r="AK907" s="56"/>
      <c r="AL907" s="56"/>
      <c r="AM907" s="57"/>
      <c r="AN907" s="57"/>
      <c r="AO907" s="56"/>
      <c r="AP907" s="56"/>
      <c r="AQ907" s="57"/>
      <c r="AR907" s="57"/>
      <c r="AS907" s="57"/>
      <c r="AT907" s="67">
        <f t="shared" ca="1" si="88"/>
        <v>0</v>
      </c>
      <c r="AU907" s="79" t="str">
        <f t="shared" ca="1" si="89"/>
        <v/>
      </c>
      <c r="AV907" s="79" t="str" cm="1">
        <f t="array" aca="1" ref="AV907" ca="1">IFERROR(_xlfn.IFS($AU907="","",$AU907&lt;=15,"0-15",AND($AU907&gt;=16,$AU907&lt;=30),"16-30",AND($AU907&gt;=31,$AU907&lt;=45),"31-45",AND($AU907&gt;=46,$AU907&lt;=60),"46-60",AND($AU907&gt;=61,$AU907&lt;=90),"61-90",AND($AU907&gt;=91),"&gt; 90",AND($AU907&gt;=2000),""),"")</f>
        <v/>
      </c>
      <c r="AW907" s="79" t="str" cm="1">
        <f t="array" aca="1" ref="AW907" ca="1">IFERROR(_xlfn.IFS(OR($M907="",$AM907=""),"",OR($C907="Offered",$C907="Joined"),($AM907-$M907)-$AT907),"")</f>
        <v/>
      </c>
      <c r="AX907" s="79" t="str" cm="1">
        <f t="array" aca="1" ref="AX907" ca="1">IFERROR(_xlfn.IFS(OR($M907="",$AS907=""),"",$C907="Joined",($AS907-$M907)-$AT907),"")</f>
        <v/>
      </c>
      <c r="AY907" s="67" t="str">
        <f>IFERROR(IF(COUNTIFS('Candidate Tracker'!$E:$E,'Positions Tracker'!$B907,'Candidate Tracker'!$C:$C,"Offer Drop")=0,"",COUNTIFS('Candidate Tracker'!$E:$E,'Positions Tracker'!$B907,'Candidate Tracker'!$C:$C,"Offer Drop")),"")</f>
        <v/>
      </c>
      <c r="AZ907" s="80">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0.88111888111888115</v>
      </c>
      <c r="BA907" s="81" t="str">
        <f>IFERROR(IF(COUNTIFS('Candidate Tracker'!$E:$E,'Positions Tracker'!$B907,'Candidate Tracker'!$I:$I,"Female")=0,"",COUNTIFS('Candidate Tracker'!$E:$E,'Positions Tracker'!$B907,'Candidate Tracker'!$I:$I,"Female")),"")</f>
        <v/>
      </c>
      <c r="BB907" s="81" t="str">
        <f>IFERROR(IF(COUNTIFS('Candidate Tracker'!$E:$E,'Positions Tracker'!$B907,'Candidate Tracker'!$I:$I,"male")=0,"",COUNTIFS('Candidate Tracker'!$E:$E,'Positions Tracker'!$B907,'Candidate Tracker'!$I:$I,"male")),"")</f>
        <v/>
      </c>
      <c r="BC907" s="80" t="str">
        <f>IFERROR(IF(COUNTIFS('Candidate Tracker'!$E:$E,'Positions Tracker'!$B907,'Candidate Tracker'!$C:$C,"&lt;&gt;WIP",'Candidate Tracker'!$C:$C,"&lt;&gt;Hold",'Candidate Tracker'!$C:$C,"&lt;&gt;Cancelled",'Candidate Tracker'!$C:$C,"&lt;&gt;Closed")/COUNTIFS('Candidate Tracker'!$E:$E,'Positions Tracker'!$B907)=0,"",COUNTIFS('Candidate Tracker'!$E:$E,'Positions Tracker'!$B907,'Candidate Tracker'!$C:$C,"&lt;&gt;WIP",'Candidate Tracker'!$C:$C,"&lt;&gt;Hold",'Candidate Tracker'!$C:$C,"&lt;&gt;Cancelled",'Candidate Tracker'!$C:$C,"&lt;&gt;Closed")/COUNTIFS('Candidate Tracker'!$E:$E,'Positions Tracker'!$B907)),"")</f>
        <v/>
      </c>
      <c r="BD907" s="67" t="str">
        <f t="shared" si="84"/>
        <v/>
      </c>
      <c r="BE907" s="67" t="str">
        <f t="shared" si="85"/>
        <v/>
      </c>
      <c r="BF907" s="67" t="str">
        <f t="shared" si="86"/>
        <v/>
      </c>
      <c r="BG907" s="67" t="str">
        <f t="shared" si="87"/>
        <v/>
      </c>
    </row>
    <row r="908" spans="1:59">
      <c r="A908" s="55"/>
      <c r="B908" s="56"/>
      <c r="C908" s="56"/>
      <c r="D908" s="56"/>
      <c r="E908" s="56"/>
      <c r="F908" s="56"/>
      <c r="G908" s="56"/>
      <c r="H908" s="56"/>
      <c r="I908" s="6"/>
      <c r="J908" s="6"/>
      <c r="K908" s="57"/>
      <c r="L908" s="57"/>
      <c r="M908" s="57"/>
      <c r="N908" s="56"/>
      <c r="O908" s="56"/>
      <c r="P908" s="56"/>
      <c r="Q908" s="56"/>
      <c r="R908" s="56"/>
      <c r="S908" s="56"/>
      <c r="T908" s="56"/>
      <c r="U908" s="56"/>
      <c r="V908" s="56"/>
      <c r="W908" s="56"/>
      <c r="X908" s="56"/>
      <c r="Y908" s="56"/>
      <c r="Z908" s="56"/>
      <c r="AA908" s="56"/>
      <c r="AB908" s="56"/>
      <c r="AC908" s="56"/>
      <c r="AD908" s="56"/>
      <c r="AE908" s="56"/>
      <c r="AF908" s="56"/>
      <c r="AG908" s="56"/>
      <c r="AH908" s="56"/>
      <c r="AI908" s="58"/>
      <c r="AJ908" s="56"/>
      <c r="AK908" s="56"/>
      <c r="AL908" s="56"/>
      <c r="AM908" s="57"/>
      <c r="AN908" s="57"/>
      <c r="AO908" s="56"/>
      <c r="AP908" s="56"/>
      <c r="AQ908" s="57"/>
      <c r="AR908" s="57"/>
      <c r="AS908" s="57"/>
      <c r="AT908" s="67">
        <f t="shared" ca="1" si="88"/>
        <v>0</v>
      </c>
      <c r="AU908" s="79" t="str">
        <f t="shared" ca="1" si="89"/>
        <v/>
      </c>
      <c r="AV908" s="79" t="str" cm="1">
        <f t="array" aca="1" ref="AV908" ca="1">IFERROR(_xlfn.IFS($AU908="","",$AU908&lt;=15,"0-15",AND($AU908&gt;=16,$AU908&lt;=30),"16-30",AND($AU908&gt;=31,$AU908&lt;=45),"31-45",AND($AU908&gt;=46,$AU908&lt;=60),"46-60",AND($AU908&gt;=61,$AU908&lt;=90),"61-90",AND($AU908&gt;=91),"&gt; 90",AND($AU908&gt;=2000),""),"")</f>
        <v/>
      </c>
      <c r="AW908" s="79" t="str" cm="1">
        <f t="array" aca="1" ref="AW908" ca="1">IFERROR(_xlfn.IFS(OR($M908="",$AM908=""),"",OR($C908="Offered",$C908="Joined"),($AM908-$M908)-$AT908),"")</f>
        <v/>
      </c>
      <c r="AX908" s="79" t="str" cm="1">
        <f t="array" aca="1" ref="AX908" ca="1">IFERROR(_xlfn.IFS(OR($M908="",$AS908=""),"",$C908="Joined",($AS908-$M908)-$AT908),"")</f>
        <v/>
      </c>
      <c r="AY908" s="67" t="str">
        <f>IFERROR(IF(COUNTIFS('Candidate Tracker'!$E:$E,'Positions Tracker'!$B908,'Candidate Tracker'!$C:$C,"Offer Drop")=0,"",COUNTIFS('Candidate Tracker'!$E:$E,'Positions Tracker'!$B908,'Candidate Tracker'!$C:$C,"Offer Drop")),"")</f>
        <v/>
      </c>
      <c r="AZ908" s="80">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0.88111888111888115</v>
      </c>
      <c r="BA908" s="81" t="str">
        <f>IFERROR(IF(COUNTIFS('Candidate Tracker'!$E:$E,'Positions Tracker'!$B908,'Candidate Tracker'!$I:$I,"Female")=0,"",COUNTIFS('Candidate Tracker'!$E:$E,'Positions Tracker'!$B908,'Candidate Tracker'!$I:$I,"Female")),"")</f>
        <v/>
      </c>
      <c r="BB908" s="81" t="str">
        <f>IFERROR(IF(COUNTIFS('Candidate Tracker'!$E:$E,'Positions Tracker'!$B908,'Candidate Tracker'!$I:$I,"male")=0,"",COUNTIFS('Candidate Tracker'!$E:$E,'Positions Tracker'!$B908,'Candidate Tracker'!$I:$I,"male")),"")</f>
        <v/>
      </c>
      <c r="BC908" s="80" t="str">
        <f>IFERROR(IF(COUNTIFS('Candidate Tracker'!$E:$E,'Positions Tracker'!$B908,'Candidate Tracker'!$C:$C,"&lt;&gt;WIP",'Candidate Tracker'!$C:$C,"&lt;&gt;Hold",'Candidate Tracker'!$C:$C,"&lt;&gt;Cancelled",'Candidate Tracker'!$C:$C,"&lt;&gt;Closed")/COUNTIFS('Candidate Tracker'!$E:$E,'Positions Tracker'!$B908)=0,"",COUNTIFS('Candidate Tracker'!$E:$E,'Positions Tracker'!$B908,'Candidate Tracker'!$C:$C,"&lt;&gt;WIP",'Candidate Tracker'!$C:$C,"&lt;&gt;Hold",'Candidate Tracker'!$C:$C,"&lt;&gt;Cancelled",'Candidate Tracker'!$C:$C,"&lt;&gt;Closed")/COUNTIFS('Candidate Tracker'!$E:$E,'Positions Tracker'!$B908)),"")</f>
        <v/>
      </c>
      <c r="BD908" s="67" t="str">
        <f t="shared" si="84"/>
        <v/>
      </c>
      <c r="BE908" s="67" t="str">
        <f t="shared" si="85"/>
        <v/>
      </c>
      <c r="BF908" s="67" t="str">
        <f t="shared" si="86"/>
        <v/>
      </c>
      <c r="BG908" s="67" t="str">
        <f t="shared" si="87"/>
        <v/>
      </c>
    </row>
    <row r="909" spans="1:59">
      <c r="A909" s="55"/>
      <c r="B909" s="56"/>
      <c r="C909" s="56"/>
      <c r="D909" s="56"/>
      <c r="E909" s="56"/>
      <c r="F909" s="56"/>
      <c r="G909" s="56"/>
      <c r="H909" s="56"/>
      <c r="I909" s="6"/>
      <c r="J909" s="6"/>
      <c r="K909" s="57"/>
      <c r="L909" s="57"/>
      <c r="M909" s="57"/>
      <c r="N909" s="56"/>
      <c r="O909" s="56"/>
      <c r="P909" s="56"/>
      <c r="Q909" s="56"/>
      <c r="R909" s="56"/>
      <c r="S909" s="56"/>
      <c r="T909" s="56"/>
      <c r="U909" s="56"/>
      <c r="V909" s="56"/>
      <c r="W909" s="56"/>
      <c r="X909" s="56"/>
      <c r="Y909" s="56"/>
      <c r="Z909" s="56"/>
      <c r="AA909" s="56"/>
      <c r="AB909" s="56"/>
      <c r="AC909" s="56"/>
      <c r="AD909" s="56"/>
      <c r="AE909" s="56"/>
      <c r="AF909" s="56"/>
      <c r="AG909" s="56"/>
      <c r="AH909" s="56"/>
      <c r="AI909" s="58"/>
      <c r="AJ909" s="56"/>
      <c r="AK909" s="56"/>
      <c r="AL909" s="56"/>
      <c r="AM909" s="57"/>
      <c r="AN909" s="57"/>
      <c r="AO909" s="56"/>
      <c r="AP909" s="56"/>
      <c r="AQ909" s="57"/>
      <c r="AR909" s="57"/>
      <c r="AS909" s="57"/>
      <c r="AT909" s="67">
        <f t="shared" ca="1" si="88"/>
        <v>0</v>
      </c>
      <c r="AU909" s="79" t="str">
        <f t="shared" ca="1" si="89"/>
        <v/>
      </c>
      <c r="AV909" s="79" t="str" cm="1">
        <f t="array" aca="1" ref="AV909" ca="1">IFERROR(_xlfn.IFS($AU909="","",$AU909&lt;=15,"0-15",AND($AU909&gt;=16,$AU909&lt;=30),"16-30",AND($AU909&gt;=31,$AU909&lt;=45),"31-45",AND($AU909&gt;=46,$AU909&lt;=60),"46-60",AND($AU909&gt;=61,$AU909&lt;=90),"61-90",AND($AU909&gt;=91),"&gt; 90",AND($AU909&gt;=2000),""),"")</f>
        <v/>
      </c>
      <c r="AW909" s="79" t="str" cm="1">
        <f t="array" aca="1" ref="AW909" ca="1">IFERROR(_xlfn.IFS(OR($M909="",$AM909=""),"",OR($C909="Offered",$C909="Joined"),($AM909-$M909)-$AT909),"")</f>
        <v/>
      </c>
      <c r="AX909" s="79" t="str" cm="1">
        <f t="array" aca="1" ref="AX909" ca="1">IFERROR(_xlfn.IFS(OR($M909="",$AS909=""),"",$C909="Joined",($AS909-$M909)-$AT909),"")</f>
        <v/>
      </c>
      <c r="AY909" s="67" t="str">
        <f>IFERROR(IF(COUNTIFS('Candidate Tracker'!$E:$E,'Positions Tracker'!$B909,'Candidate Tracker'!$C:$C,"Offer Drop")=0,"",COUNTIFS('Candidate Tracker'!$E:$E,'Positions Tracker'!$B909,'Candidate Tracker'!$C:$C,"Offer Drop")),"")</f>
        <v/>
      </c>
      <c r="AZ909" s="80">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0.88111888111888115</v>
      </c>
      <c r="BA909" s="81" t="str">
        <f>IFERROR(IF(COUNTIFS('Candidate Tracker'!$E:$E,'Positions Tracker'!$B909,'Candidate Tracker'!$I:$I,"Female")=0,"",COUNTIFS('Candidate Tracker'!$E:$E,'Positions Tracker'!$B909,'Candidate Tracker'!$I:$I,"Female")),"")</f>
        <v/>
      </c>
      <c r="BB909" s="81" t="str">
        <f>IFERROR(IF(COUNTIFS('Candidate Tracker'!$E:$E,'Positions Tracker'!$B909,'Candidate Tracker'!$I:$I,"male")=0,"",COUNTIFS('Candidate Tracker'!$E:$E,'Positions Tracker'!$B909,'Candidate Tracker'!$I:$I,"male")),"")</f>
        <v/>
      </c>
      <c r="BC909" s="80" t="str">
        <f>IFERROR(IF(COUNTIFS('Candidate Tracker'!$E:$E,'Positions Tracker'!$B909,'Candidate Tracker'!$C:$C,"&lt;&gt;WIP",'Candidate Tracker'!$C:$C,"&lt;&gt;Hold",'Candidate Tracker'!$C:$C,"&lt;&gt;Cancelled",'Candidate Tracker'!$C:$C,"&lt;&gt;Closed")/COUNTIFS('Candidate Tracker'!$E:$E,'Positions Tracker'!$B909)=0,"",COUNTIFS('Candidate Tracker'!$E:$E,'Positions Tracker'!$B909,'Candidate Tracker'!$C:$C,"&lt;&gt;WIP",'Candidate Tracker'!$C:$C,"&lt;&gt;Hold",'Candidate Tracker'!$C:$C,"&lt;&gt;Cancelled",'Candidate Tracker'!$C:$C,"&lt;&gt;Closed")/COUNTIFS('Candidate Tracker'!$E:$E,'Positions Tracker'!$B909)),"")</f>
        <v/>
      </c>
      <c r="BD909" s="67" t="str">
        <f t="shared" si="84"/>
        <v/>
      </c>
      <c r="BE909" s="67" t="str">
        <f t="shared" si="85"/>
        <v/>
      </c>
      <c r="BF909" s="67" t="str">
        <f t="shared" si="86"/>
        <v/>
      </c>
      <c r="BG909" s="67" t="str">
        <f t="shared" si="87"/>
        <v/>
      </c>
    </row>
    <row r="910" spans="1:59">
      <c r="A910" s="55"/>
      <c r="B910" s="56"/>
      <c r="C910" s="56"/>
      <c r="D910" s="56"/>
      <c r="E910" s="56"/>
      <c r="F910" s="56"/>
      <c r="G910" s="56"/>
      <c r="H910" s="56"/>
      <c r="I910" s="6"/>
      <c r="J910" s="6"/>
      <c r="K910" s="57"/>
      <c r="L910" s="57"/>
      <c r="M910" s="57"/>
      <c r="N910" s="56"/>
      <c r="O910" s="56"/>
      <c r="P910" s="56"/>
      <c r="Q910" s="56"/>
      <c r="R910" s="56"/>
      <c r="S910" s="56"/>
      <c r="T910" s="56"/>
      <c r="U910" s="56"/>
      <c r="V910" s="56"/>
      <c r="W910" s="56"/>
      <c r="X910" s="56"/>
      <c r="Y910" s="56"/>
      <c r="Z910" s="56"/>
      <c r="AA910" s="56"/>
      <c r="AB910" s="56"/>
      <c r="AC910" s="56"/>
      <c r="AD910" s="56"/>
      <c r="AE910" s="56"/>
      <c r="AF910" s="56"/>
      <c r="AG910" s="56"/>
      <c r="AH910" s="56"/>
      <c r="AI910" s="58"/>
      <c r="AJ910" s="56"/>
      <c r="AK910" s="56"/>
      <c r="AL910" s="56"/>
      <c r="AM910" s="57"/>
      <c r="AN910" s="57"/>
      <c r="AO910" s="56"/>
      <c r="AP910" s="56"/>
      <c r="AQ910" s="57"/>
      <c r="AR910" s="57"/>
      <c r="AS910" s="57"/>
      <c r="AT910" s="67">
        <f t="shared" ca="1" si="88"/>
        <v>0</v>
      </c>
      <c r="AU910" s="79" t="str">
        <f t="shared" ca="1" si="89"/>
        <v/>
      </c>
      <c r="AV910" s="79" t="str" cm="1">
        <f t="array" aca="1" ref="AV910" ca="1">IFERROR(_xlfn.IFS($AU910="","",$AU910&lt;=15,"0-15",AND($AU910&gt;=16,$AU910&lt;=30),"16-30",AND($AU910&gt;=31,$AU910&lt;=45),"31-45",AND($AU910&gt;=46,$AU910&lt;=60),"46-60",AND($AU910&gt;=61,$AU910&lt;=90),"61-90",AND($AU910&gt;=91),"&gt; 90",AND($AU910&gt;=2000),""),"")</f>
        <v/>
      </c>
      <c r="AW910" s="79" t="str" cm="1">
        <f t="array" aca="1" ref="AW910" ca="1">IFERROR(_xlfn.IFS(OR($M910="",$AM910=""),"",OR($C910="Offered",$C910="Joined"),($AM910-$M910)-$AT910),"")</f>
        <v/>
      </c>
      <c r="AX910" s="79" t="str" cm="1">
        <f t="array" aca="1" ref="AX910" ca="1">IFERROR(_xlfn.IFS(OR($M910="",$AS910=""),"",$C910="Joined",($AS910-$M910)-$AT910),"")</f>
        <v/>
      </c>
      <c r="AY910" s="67" t="str">
        <f>IFERROR(IF(COUNTIFS('Candidate Tracker'!$E:$E,'Positions Tracker'!$B910,'Candidate Tracker'!$C:$C,"Offer Drop")=0,"",COUNTIFS('Candidate Tracker'!$E:$E,'Positions Tracker'!$B910,'Candidate Tracker'!$C:$C,"Offer Drop")),"")</f>
        <v/>
      </c>
      <c r="AZ910" s="80">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0.88111888111888115</v>
      </c>
      <c r="BA910" s="81" t="str">
        <f>IFERROR(IF(COUNTIFS('Candidate Tracker'!$E:$E,'Positions Tracker'!$B910,'Candidate Tracker'!$I:$I,"Female")=0,"",COUNTIFS('Candidate Tracker'!$E:$E,'Positions Tracker'!$B910,'Candidate Tracker'!$I:$I,"Female")),"")</f>
        <v/>
      </c>
      <c r="BB910" s="81" t="str">
        <f>IFERROR(IF(COUNTIFS('Candidate Tracker'!$E:$E,'Positions Tracker'!$B910,'Candidate Tracker'!$I:$I,"male")=0,"",COUNTIFS('Candidate Tracker'!$E:$E,'Positions Tracker'!$B910,'Candidate Tracker'!$I:$I,"male")),"")</f>
        <v/>
      </c>
      <c r="BC910" s="80" t="str">
        <f>IFERROR(IF(COUNTIFS('Candidate Tracker'!$E:$E,'Positions Tracker'!$B910,'Candidate Tracker'!$C:$C,"&lt;&gt;WIP",'Candidate Tracker'!$C:$C,"&lt;&gt;Hold",'Candidate Tracker'!$C:$C,"&lt;&gt;Cancelled",'Candidate Tracker'!$C:$C,"&lt;&gt;Closed")/COUNTIFS('Candidate Tracker'!$E:$E,'Positions Tracker'!$B910)=0,"",COUNTIFS('Candidate Tracker'!$E:$E,'Positions Tracker'!$B910,'Candidate Tracker'!$C:$C,"&lt;&gt;WIP",'Candidate Tracker'!$C:$C,"&lt;&gt;Hold",'Candidate Tracker'!$C:$C,"&lt;&gt;Cancelled",'Candidate Tracker'!$C:$C,"&lt;&gt;Closed")/COUNTIFS('Candidate Tracker'!$E:$E,'Positions Tracker'!$B910)),"")</f>
        <v/>
      </c>
      <c r="BD910" s="67" t="str">
        <f t="shared" si="84"/>
        <v/>
      </c>
      <c r="BE910" s="67" t="str">
        <f t="shared" si="85"/>
        <v/>
      </c>
      <c r="BF910" s="67" t="str">
        <f t="shared" si="86"/>
        <v/>
      </c>
      <c r="BG910" s="67" t="str">
        <f t="shared" si="87"/>
        <v/>
      </c>
    </row>
    <row r="911" spans="1:59">
      <c r="A911" s="55"/>
      <c r="B911" s="56"/>
      <c r="C911" s="56"/>
      <c r="D911" s="56"/>
      <c r="E911" s="56"/>
      <c r="F911" s="56"/>
      <c r="G911" s="56"/>
      <c r="H911" s="56"/>
      <c r="I911" s="6"/>
      <c r="J911" s="6"/>
      <c r="K911" s="57"/>
      <c r="L911" s="57"/>
      <c r="M911" s="57"/>
      <c r="N911" s="56"/>
      <c r="O911" s="56"/>
      <c r="P911" s="56"/>
      <c r="Q911" s="56"/>
      <c r="R911" s="56"/>
      <c r="S911" s="56"/>
      <c r="T911" s="56"/>
      <c r="U911" s="56"/>
      <c r="V911" s="56"/>
      <c r="W911" s="56"/>
      <c r="X911" s="56"/>
      <c r="Y911" s="56"/>
      <c r="Z911" s="56"/>
      <c r="AA911" s="56"/>
      <c r="AB911" s="56"/>
      <c r="AC911" s="56"/>
      <c r="AD911" s="56"/>
      <c r="AE911" s="56"/>
      <c r="AF911" s="56"/>
      <c r="AG911" s="56"/>
      <c r="AH911" s="56"/>
      <c r="AI911" s="58"/>
      <c r="AJ911" s="56"/>
      <c r="AK911" s="56"/>
      <c r="AL911" s="56"/>
      <c r="AM911" s="57"/>
      <c r="AN911" s="57"/>
      <c r="AO911" s="56"/>
      <c r="AP911" s="56"/>
      <c r="AQ911" s="57"/>
      <c r="AR911" s="57"/>
      <c r="AS911" s="57"/>
      <c r="AT911" s="67">
        <f t="shared" ca="1" si="88"/>
        <v>0</v>
      </c>
      <c r="AU911" s="79" t="str">
        <f t="shared" ca="1" si="89"/>
        <v/>
      </c>
      <c r="AV911" s="79" t="str" cm="1">
        <f t="array" aca="1" ref="AV911" ca="1">IFERROR(_xlfn.IFS($AU911="","",$AU911&lt;=15,"0-15",AND($AU911&gt;=16,$AU911&lt;=30),"16-30",AND($AU911&gt;=31,$AU911&lt;=45),"31-45",AND($AU911&gt;=46,$AU911&lt;=60),"46-60",AND($AU911&gt;=61,$AU911&lt;=90),"61-90",AND($AU911&gt;=91),"&gt; 90",AND($AU911&gt;=2000),""),"")</f>
        <v/>
      </c>
      <c r="AW911" s="79" t="str" cm="1">
        <f t="array" aca="1" ref="AW911" ca="1">IFERROR(_xlfn.IFS(OR($M911="",$AM911=""),"",OR($C911="Offered",$C911="Joined"),($AM911-$M911)-$AT911),"")</f>
        <v/>
      </c>
      <c r="AX911" s="79" t="str" cm="1">
        <f t="array" aca="1" ref="AX911" ca="1">IFERROR(_xlfn.IFS(OR($M911="",$AS911=""),"",$C911="Joined",($AS911-$M911)-$AT911),"")</f>
        <v/>
      </c>
      <c r="AY911" s="67" t="str">
        <f>IFERROR(IF(COUNTIFS('Candidate Tracker'!$E:$E,'Positions Tracker'!$B911,'Candidate Tracker'!$C:$C,"Offer Drop")=0,"",COUNTIFS('Candidate Tracker'!$E:$E,'Positions Tracker'!$B911,'Candidate Tracker'!$C:$C,"Offer Drop")),"")</f>
        <v/>
      </c>
      <c r="AZ911" s="80">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0.88111888111888115</v>
      </c>
      <c r="BA911" s="81" t="str">
        <f>IFERROR(IF(COUNTIFS('Candidate Tracker'!$E:$E,'Positions Tracker'!$B911,'Candidate Tracker'!$I:$I,"Female")=0,"",COUNTIFS('Candidate Tracker'!$E:$E,'Positions Tracker'!$B911,'Candidate Tracker'!$I:$I,"Female")),"")</f>
        <v/>
      </c>
      <c r="BB911" s="81" t="str">
        <f>IFERROR(IF(COUNTIFS('Candidate Tracker'!$E:$E,'Positions Tracker'!$B911,'Candidate Tracker'!$I:$I,"male")=0,"",COUNTIFS('Candidate Tracker'!$E:$E,'Positions Tracker'!$B911,'Candidate Tracker'!$I:$I,"male")),"")</f>
        <v/>
      </c>
      <c r="BC911" s="80" t="str">
        <f>IFERROR(IF(COUNTIFS('Candidate Tracker'!$E:$E,'Positions Tracker'!$B911,'Candidate Tracker'!$C:$C,"&lt;&gt;WIP",'Candidate Tracker'!$C:$C,"&lt;&gt;Hold",'Candidate Tracker'!$C:$C,"&lt;&gt;Cancelled",'Candidate Tracker'!$C:$C,"&lt;&gt;Closed")/COUNTIFS('Candidate Tracker'!$E:$E,'Positions Tracker'!$B911)=0,"",COUNTIFS('Candidate Tracker'!$E:$E,'Positions Tracker'!$B911,'Candidate Tracker'!$C:$C,"&lt;&gt;WIP",'Candidate Tracker'!$C:$C,"&lt;&gt;Hold",'Candidate Tracker'!$C:$C,"&lt;&gt;Cancelled",'Candidate Tracker'!$C:$C,"&lt;&gt;Closed")/COUNTIFS('Candidate Tracker'!$E:$E,'Positions Tracker'!$B911)),"")</f>
        <v/>
      </c>
      <c r="BD911" s="67" t="str">
        <f t="shared" si="84"/>
        <v/>
      </c>
      <c r="BE911" s="67" t="str">
        <f t="shared" si="85"/>
        <v/>
      </c>
      <c r="BF911" s="67" t="str">
        <f t="shared" si="86"/>
        <v/>
      </c>
      <c r="BG911" s="67" t="str">
        <f t="shared" si="87"/>
        <v/>
      </c>
    </row>
    <row r="912" spans="1:59">
      <c r="A912" s="55"/>
      <c r="B912" s="56"/>
      <c r="C912" s="56"/>
      <c r="D912" s="56"/>
      <c r="E912" s="56"/>
      <c r="F912" s="56"/>
      <c r="G912" s="56"/>
      <c r="H912" s="56"/>
      <c r="I912" s="6"/>
      <c r="J912" s="6"/>
      <c r="K912" s="57"/>
      <c r="L912" s="57"/>
      <c r="M912" s="57"/>
      <c r="N912" s="56"/>
      <c r="O912" s="56"/>
      <c r="P912" s="56"/>
      <c r="Q912" s="56"/>
      <c r="R912" s="56"/>
      <c r="S912" s="56"/>
      <c r="T912" s="56"/>
      <c r="U912" s="56"/>
      <c r="V912" s="56"/>
      <c r="W912" s="56"/>
      <c r="X912" s="56"/>
      <c r="Y912" s="56"/>
      <c r="Z912" s="56"/>
      <c r="AA912" s="56"/>
      <c r="AB912" s="56"/>
      <c r="AC912" s="56"/>
      <c r="AD912" s="56"/>
      <c r="AE912" s="56"/>
      <c r="AF912" s="56"/>
      <c r="AG912" s="56"/>
      <c r="AH912" s="56"/>
      <c r="AI912" s="58"/>
      <c r="AJ912" s="56"/>
      <c r="AK912" s="56"/>
      <c r="AL912" s="56"/>
      <c r="AM912" s="57"/>
      <c r="AN912" s="57"/>
      <c r="AO912" s="56"/>
      <c r="AP912" s="56"/>
      <c r="AQ912" s="57"/>
      <c r="AR912" s="57"/>
      <c r="AS912" s="57"/>
      <c r="AT912" s="67">
        <f t="shared" ca="1" si="88"/>
        <v>0</v>
      </c>
      <c r="AU912" s="79" t="str">
        <f t="shared" ca="1" si="89"/>
        <v/>
      </c>
      <c r="AV912" s="79" t="str" cm="1">
        <f t="array" aca="1" ref="AV912" ca="1">IFERROR(_xlfn.IFS($AU912="","",$AU912&lt;=15,"0-15",AND($AU912&gt;=16,$AU912&lt;=30),"16-30",AND($AU912&gt;=31,$AU912&lt;=45),"31-45",AND($AU912&gt;=46,$AU912&lt;=60),"46-60",AND($AU912&gt;=61,$AU912&lt;=90),"61-90",AND($AU912&gt;=91),"&gt; 90",AND($AU912&gt;=2000),""),"")</f>
        <v/>
      </c>
      <c r="AW912" s="79" t="str" cm="1">
        <f t="array" aca="1" ref="AW912" ca="1">IFERROR(_xlfn.IFS(OR($M912="",$AM912=""),"",OR($C912="Offered",$C912="Joined"),($AM912-$M912)-$AT912),"")</f>
        <v/>
      </c>
      <c r="AX912" s="79" t="str" cm="1">
        <f t="array" aca="1" ref="AX912" ca="1">IFERROR(_xlfn.IFS(OR($M912="",$AS912=""),"",$C912="Joined",($AS912-$M912)-$AT912),"")</f>
        <v/>
      </c>
      <c r="AY912" s="67" t="str">
        <f>IFERROR(IF(COUNTIFS('Candidate Tracker'!$E:$E,'Positions Tracker'!$B912,'Candidate Tracker'!$C:$C,"Offer Drop")=0,"",COUNTIFS('Candidate Tracker'!$E:$E,'Positions Tracker'!$B912,'Candidate Tracker'!$C:$C,"Offer Drop")),"")</f>
        <v/>
      </c>
      <c r="AZ912" s="80">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0.88111888111888115</v>
      </c>
      <c r="BA912" s="81" t="str">
        <f>IFERROR(IF(COUNTIFS('Candidate Tracker'!$E:$E,'Positions Tracker'!$B912,'Candidate Tracker'!$I:$I,"Female")=0,"",COUNTIFS('Candidate Tracker'!$E:$E,'Positions Tracker'!$B912,'Candidate Tracker'!$I:$I,"Female")),"")</f>
        <v/>
      </c>
      <c r="BB912" s="81" t="str">
        <f>IFERROR(IF(COUNTIFS('Candidate Tracker'!$E:$E,'Positions Tracker'!$B912,'Candidate Tracker'!$I:$I,"male")=0,"",COUNTIFS('Candidate Tracker'!$E:$E,'Positions Tracker'!$B912,'Candidate Tracker'!$I:$I,"male")),"")</f>
        <v/>
      </c>
      <c r="BC912" s="80" t="str">
        <f>IFERROR(IF(COUNTIFS('Candidate Tracker'!$E:$E,'Positions Tracker'!$B912,'Candidate Tracker'!$C:$C,"&lt;&gt;WIP",'Candidate Tracker'!$C:$C,"&lt;&gt;Hold",'Candidate Tracker'!$C:$C,"&lt;&gt;Cancelled",'Candidate Tracker'!$C:$C,"&lt;&gt;Closed")/COUNTIFS('Candidate Tracker'!$E:$E,'Positions Tracker'!$B912)=0,"",COUNTIFS('Candidate Tracker'!$E:$E,'Positions Tracker'!$B912,'Candidate Tracker'!$C:$C,"&lt;&gt;WIP",'Candidate Tracker'!$C:$C,"&lt;&gt;Hold",'Candidate Tracker'!$C:$C,"&lt;&gt;Cancelled",'Candidate Tracker'!$C:$C,"&lt;&gt;Closed")/COUNTIFS('Candidate Tracker'!$E:$E,'Positions Tracker'!$B912)),"")</f>
        <v/>
      </c>
      <c r="BD912" s="67" t="str">
        <f t="shared" si="84"/>
        <v/>
      </c>
      <c r="BE912" s="67" t="str">
        <f t="shared" si="85"/>
        <v/>
      </c>
      <c r="BF912" s="67" t="str">
        <f t="shared" si="86"/>
        <v/>
      </c>
      <c r="BG912" s="67" t="str">
        <f t="shared" si="87"/>
        <v/>
      </c>
    </row>
    <row r="913" spans="1:59">
      <c r="A913" s="55"/>
      <c r="B913" s="56"/>
      <c r="C913" s="56"/>
      <c r="D913" s="56"/>
      <c r="E913" s="56"/>
      <c r="F913" s="56"/>
      <c r="G913" s="56"/>
      <c r="H913" s="56"/>
      <c r="I913" s="6"/>
      <c r="J913" s="6"/>
      <c r="K913" s="57"/>
      <c r="L913" s="57"/>
      <c r="M913" s="57"/>
      <c r="N913" s="56"/>
      <c r="O913" s="56"/>
      <c r="P913" s="56"/>
      <c r="Q913" s="56"/>
      <c r="R913" s="56"/>
      <c r="S913" s="56"/>
      <c r="T913" s="56"/>
      <c r="U913" s="56"/>
      <c r="V913" s="56"/>
      <c r="W913" s="56"/>
      <c r="X913" s="56"/>
      <c r="Y913" s="56"/>
      <c r="Z913" s="56"/>
      <c r="AA913" s="56"/>
      <c r="AB913" s="56"/>
      <c r="AC913" s="56"/>
      <c r="AD913" s="56"/>
      <c r="AE913" s="56"/>
      <c r="AF913" s="56"/>
      <c r="AG913" s="56"/>
      <c r="AH913" s="56"/>
      <c r="AI913" s="58"/>
      <c r="AJ913" s="56"/>
      <c r="AK913" s="56"/>
      <c r="AL913" s="56"/>
      <c r="AM913" s="57"/>
      <c r="AN913" s="57"/>
      <c r="AO913" s="56"/>
      <c r="AP913" s="56"/>
      <c r="AQ913" s="57"/>
      <c r="AR913" s="57"/>
      <c r="AS913" s="57"/>
      <c r="AT913" s="67">
        <f t="shared" ca="1" si="88"/>
        <v>0</v>
      </c>
      <c r="AU913" s="79" t="str">
        <f t="shared" ca="1" si="89"/>
        <v/>
      </c>
      <c r="AV913" s="79" t="str" cm="1">
        <f t="array" aca="1" ref="AV913" ca="1">IFERROR(_xlfn.IFS($AU913="","",$AU913&lt;=15,"0-15",AND($AU913&gt;=16,$AU913&lt;=30),"16-30",AND($AU913&gt;=31,$AU913&lt;=45),"31-45",AND($AU913&gt;=46,$AU913&lt;=60),"46-60",AND($AU913&gt;=61,$AU913&lt;=90),"61-90",AND($AU913&gt;=91),"&gt; 90",AND($AU913&gt;=2000),""),"")</f>
        <v/>
      </c>
      <c r="AW913" s="79" t="str" cm="1">
        <f t="array" aca="1" ref="AW913" ca="1">IFERROR(_xlfn.IFS(OR($M913="",$AM913=""),"",OR($C913="Offered",$C913="Joined"),($AM913-$M913)-$AT913),"")</f>
        <v/>
      </c>
      <c r="AX913" s="79" t="str" cm="1">
        <f t="array" aca="1" ref="AX913" ca="1">IFERROR(_xlfn.IFS(OR($M913="",$AS913=""),"",$C913="Joined",($AS913-$M913)-$AT913),"")</f>
        <v/>
      </c>
      <c r="AY913" s="67" t="str">
        <f>IFERROR(IF(COUNTIFS('Candidate Tracker'!$E:$E,'Positions Tracker'!$B913,'Candidate Tracker'!$C:$C,"Offer Drop")=0,"",COUNTIFS('Candidate Tracker'!$E:$E,'Positions Tracker'!$B913,'Candidate Tracker'!$C:$C,"Offer Drop")),"")</f>
        <v/>
      </c>
      <c r="AZ913" s="80">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0.88111888111888115</v>
      </c>
      <c r="BA913" s="81" t="str">
        <f>IFERROR(IF(COUNTIFS('Candidate Tracker'!$E:$E,'Positions Tracker'!$B913,'Candidate Tracker'!$I:$I,"Female")=0,"",COUNTIFS('Candidate Tracker'!$E:$E,'Positions Tracker'!$B913,'Candidate Tracker'!$I:$I,"Female")),"")</f>
        <v/>
      </c>
      <c r="BB913" s="81" t="str">
        <f>IFERROR(IF(COUNTIFS('Candidate Tracker'!$E:$E,'Positions Tracker'!$B913,'Candidate Tracker'!$I:$I,"male")=0,"",COUNTIFS('Candidate Tracker'!$E:$E,'Positions Tracker'!$B913,'Candidate Tracker'!$I:$I,"male")),"")</f>
        <v/>
      </c>
      <c r="BC913" s="80" t="str">
        <f>IFERROR(IF(COUNTIFS('Candidate Tracker'!$E:$E,'Positions Tracker'!$B913,'Candidate Tracker'!$C:$C,"&lt;&gt;WIP",'Candidate Tracker'!$C:$C,"&lt;&gt;Hold",'Candidate Tracker'!$C:$C,"&lt;&gt;Cancelled",'Candidate Tracker'!$C:$C,"&lt;&gt;Closed")/COUNTIFS('Candidate Tracker'!$E:$E,'Positions Tracker'!$B913)=0,"",COUNTIFS('Candidate Tracker'!$E:$E,'Positions Tracker'!$B913,'Candidate Tracker'!$C:$C,"&lt;&gt;WIP",'Candidate Tracker'!$C:$C,"&lt;&gt;Hold",'Candidate Tracker'!$C:$C,"&lt;&gt;Cancelled",'Candidate Tracker'!$C:$C,"&lt;&gt;Closed")/COUNTIFS('Candidate Tracker'!$E:$E,'Positions Tracker'!$B913)),"")</f>
        <v/>
      </c>
      <c r="BD913" s="67" t="str">
        <f t="shared" si="84"/>
        <v/>
      </c>
      <c r="BE913" s="67" t="str">
        <f t="shared" si="85"/>
        <v/>
      </c>
      <c r="BF913" s="67" t="str">
        <f t="shared" si="86"/>
        <v/>
      </c>
      <c r="BG913" s="67" t="str">
        <f t="shared" si="87"/>
        <v/>
      </c>
    </row>
    <row r="914" spans="1:59">
      <c r="A914" s="55"/>
      <c r="B914" s="56"/>
      <c r="C914" s="56"/>
      <c r="D914" s="56"/>
      <c r="E914" s="56"/>
      <c r="F914" s="56"/>
      <c r="G914" s="56"/>
      <c r="H914" s="56"/>
      <c r="I914" s="6"/>
      <c r="J914" s="6"/>
      <c r="K914" s="57"/>
      <c r="L914" s="57"/>
      <c r="M914" s="57"/>
      <c r="N914" s="56"/>
      <c r="O914" s="56"/>
      <c r="P914" s="56"/>
      <c r="Q914" s="56"/>
      <c r="R914" s="56"/>
      <c r="S914" s="56"/>
      <c r="T914" s="56"/>
      <c r="U914" s="56"/>
      <c r="V914" s="56"/>
      <c r="W914" s="56"/>
      <c r="X914" s="56"/>
      <c r="Y914" s="56"/>
      <c r="Z914" s="56"/>
      <c r="AA914" s="56"/>
      <c r="AB914" s="56"/>
      <c r="AC914" s="56"/>
      <c r="AD914" s="56"/>
      <c r="AE914" s="56"/>
      <c r="AF914" s="56"/>
      <c r="AG914" s="56"/>
      <c r="AH914" s="56"/>
      <c r="AI914" s="58"/>
      <c r="AJ914" s="56"/>
      <c r="AK914" s="56"/>
      <c r="AL914" s="56"/>
      <c r="AM914" s="57"/>
      <c r="AN914" s="57"/>
      <c r="AO914" s="56"/>
      <c r="AP914" s="56"/>
      <c r="AQ914" s="57"/>
      <c r="AR914" s="57"/>
      <c r="AS914" s="57"/>
      <c r="AT914" s="67">
        <f t="shared" ca="1" si="88"/>
        <v>0</v>
      </c>
      <c r="AU914" s="79" t="str">
        <f t="shared" ca="1" si="89"/>
        <v/>
      </c>
      <c r="AV914" s="79" t="str" cm="1">
        <f t="array" aca="1" ref="AV914" ca="1">IFERROR(_xlfn.IFS($AU914="","",$AU914&lt;=15,"0-15",AND($AU914&gt;=16,$AU914&lt;=30),"16-30",AND($AU914&gt;=31,$AU914&lt;=45),"31-45",AND($AU914&gt;=46,$AU914&lt;=60),"46-60",AND($AU914&gt;=61,$AU914&lt;=90),"61-90",AND($AU914&gt;=91),"&gt; 90",AND($AU914&gt;=2000),""),"")</f>
        <v/>
      </c>
      <c r="AW914" s="79" t="str" cm="1">
        <f t="array" aca="1" ref="AW914" ca="1">IFERROR(_xlfn.IFS(OR($M914="",$AM914=""),"",OR($C914="Offered",$C914="Joined"),($AM914-$M914)-$AT914),"")</f>
        <v/>
      </c>
      <c r="AX914" s="79" t="str" cm="1">
        <f t="array" aca="1" ref="AX914" ca="1">IFERROR(_xlfn.IFS(OR($M914="",$AS914=""),"",$C914="Joined",($AS914-$M914)-$AT914),"")</f>
        <v/>
      </c>
      <c r="AY914" s="67" t="str">
        <f>IFERROR(IF(COUNTIFS('Candidate Tracker'!$E:$E,'Positions Tracker'!$B914,'Candidate Tracker'!$C:$C,"Offer Drop")=0,"",COUNTIFS('Candidate Tracker'!$E:$E,'Positions Tracker'!$B914,'Candidate Tracker'!$C:$C,"Offer Drop")),"")</f>
        <v/>
      </c>
      <c r="AZ914" s="80">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0.88111888111888115</v>
      </c>
      <c r="BA914" s="81" t="str">
        <f>IFERROR(IF(COUNTIFS('Candidate Tracker'!$E:$E,'Positions Tracker'!$B914,'Candidate Tracker'!$I:$I,"Female")=0,"",COUNTIFS('Candidate Tracker'!$E:$E,'Positions Tracker'!$B914,'Candidate Tracker'!$I:$I,"Female")),"")</f>
        <v/>
      </c>
      <c r="BB914" s="81" t="str">
        <f>IFERROR(IF(COUNTIFS('Candidate Tracker'!$E:$E,'Positions Tracker'!$B914,'Candidate Tracker'!$I:$I,"male")=0,"",COUNTIFS('Candidate Tracker'!$E:$E,'Positions Tracker'!$B914,'Candidate Tracker'!$I:$I,"male")),"")</f>
        <v/>
      </c>
      <c r="BC914" s="80" t="str">
        <f>IFERROR(IF(COUNTIFS('Candidate Tracker'!$E:$E,'Positions Tracker'!$B914,'Candidate Tracker'!$C:$C,"&lt;&gt;WIP",'Candidate Tracker'!$C:$C,"&lt;&gt;Hold",'Candidate Tracker'!$C:$C,"&lt;&gt;Cancelled",'Candidate Tracker'!$C:$C,"&lt;&gt;Closed")/COUNTIFS('Candidate Tracker'!$E:$E,'Positions Tracker'!$B914)=0,"",COUNTIFS('Candidate Tracker'!$E:$E,'Positions Tracker'!$B914,'Candidate Tracker'!$C:$C,"&lt;&gt;WIP",'Candidate Tracker'!$C:$C,"&lt;&gt;Hold",'Candidate Tracker'!$C:$C,"&lt;&gt;Cancelled",'Candidate Tracker'!$C:$C,"&lt;&gt;Closed")/COUNTIFS('Candidate Tracker'!$E:$E,'Positions Tracker'!$B914)),"")</f>
        <v/>
      </c>
      <c r="BD914" s="67" t="str">
        <f t="shared" si="84"/>
        <v/>
      </c>
      <c r="BE914" s="67" t="str">
        <f t="shared" si="85"/>
        <v/>
      </c>
      <c r="BF914" s="67" t="str">
        <f t="shared" si="86"/>
        <v/>
      </c>
      <c r="BG914" s="67" t="str">
        <f t="shared" si="87"/>
        <v/>
      </c>
    </row>
    <row r="915" spans="1:59">
      <c r="A915" s="55"/>
      <c r="B915" s="56"/>
      <c r="C915" s="56"/>
      <c r="D915" s="56"/>
      <c r="E915" s="56"/>
      <c r="F915" s="56"/>
      <c r="G915" s="56"/>
      <c r="H915" s="56"/>
      <c r="I915" s="6"/>
      <c r="J915" s="6"/>
      <c r="K915" s="57"/>
      <c r="L915" s="57"/>
      <c r="M915" s="57"/>
      <c r="N915" s="56"/>
      <c r="O915" s="56"/>
      <c r="P915" s="56"/>
      <c r="Q915" s="56"/>
      <c r="R915" s="56"/>
      <c r="S915" s="56"/>
      <c r="T915" s="56"/>
      <c r="U915" s="56"/>
      <c r="V915" s="56"/>
      <c r="W915" s="56"/>
      <c r="X915" s="56"/>
      <c r="Y915" s="56"/>
      <c r="Z915" s="56"/>
      <c r="AA915" s="56"/>
      <c r="AB915" s="56"/>
      <c r="AC915" s="56"/>
      <c r="AD915" s="56"/>
      <c r="AE915" s="56"/>
      <c r="AF915" s="56"/>
      <c r="AG915" s="56"/>
      <c r="AH915" s="56"/>
      <c r="AI915" s="58"/>
      <c r="AJ915" s="56"/>
      <c r="AK915" s="56"/>
      <c r="AL915" s="56"/>
      <c r="AM915" s="57"/>
      <c r="AN915" s="57"/>
      <c r="AO915" s="56"/>
      <c r="AP915" s="56"/>
      <c r="AQ915" s="57"/>
      <c r="AR915" s="57"/>
      <c r="AS915" s="57"/>
      <c r="AT915" s="67">
        <f t="shared" ca="1" si="88"/>
        <v>0</v>
      </c>
      <c r="AU915" s="79" t="str">
        <f t="shared" ca="1" si="89"/>
        <v/>
      </c>
      <c r="AV915" s="79" t="str" cm="1">
        <f t="array" aca="1" ref="AV915" ca="1">IFERROR(_xlfn.IFS($AU915="","",$AU915&lt;=15,"0-15",AND($AU915&gt;=16,$AU915&lt;=30),"16-30",AND($AU915&gt;=31,$AU915&lt;=45),"31-45",AND($AU915&gt;=46,$AU915&lt;=60),"46-60",AND($AU915&gt;=61,$AU915&lt;=90),"61-90",AND($AU915&gt;=91),"&gt; 90",AND($AU915&gt;=2000),""),"")</f>
        <v/>
      </c>
      <c r="AW915" s="79" t="str" cm="1">
        <f t="array" aca="1" ref="AW915" ca="1">IFERROR(_xlfn.IFS(OR($M915="",$AM915=""),"",OR($C915="Offered",$C915="Joined"),($AM915-$M915)-$AT915),"")</f>
        <v/>
      </c>
      <c r="AX915" s="79" t="str" cm="1">
        <f t="array" aca="1" ref="AX915" ca="1">IFERROR(_xlfn.IFS(OR($M915="",$AS915=""),"",$C915="Joined",($AS915-$M915)-$AT915),"")</f>
        <v/>
      </c>
      <c r="AY915" s="67" t="str">
        <f>IFERROR(IF(COUNTIFS('Candidate Tracker'!$E:$E,'Positions Tracker'!$B915,'Candidate Tracker'!$C:$C,"Offer Drop")=0,"",COUNTIFS('Candidate Tracker'!$E:$E,'Positions Tracker'!$B915,'Candidate Tracker'!$C:$C,"Offer Drop")),"")</f>
        <v/>
      </c>
      <c r="AZ915" s="80">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0.88111888111888115</v>
      </c>
      <c r="BA915" s="81" t="str">
        <f>IFERROR(IF(COUNTIFS('Candidate Tracker'!$E:$E,'Positions Tracker'!$B915,'Candidate Tracker'!$I:$I,"Female")=0,"",COUNTIFS('Candidate Tracker'!$E:$E,'Positions Tracker'!$B915,'Candidate Tracker'!$I:$I,"Female")),"")</f>
        <v/>
      </c>
      <c r="BB915" s="81" t="str">
        <f>IFERROR(IF(COUNTIFS('Candidate Tracker'!$E:$E,'Positions Tracker'!$B915,'Candidate Tracker'!$I:$I,"male")=0,"",COUNTIFS('Candidate Tracker'!$E:$E,'Positions Tracker'!$B915,'Candidate Tracker'!$I:$I,"male")),"")</f>
        <v/>
      </c>
      <c r="BC915" s="80" t="str">
        <f>IFERROR(IF(COUNTIFS('Candidate Tracker'!$E:$E,'Positions Tracker'!$B915,'Candidate Tracker'!$C:$C,"&lt;&gt;WIP",'Candidate Tracker'!$C:$C,"&lt;&gt;Hold",'Candidate Tracker'!$C:$C,"&lt;&gt;Cancelled",'Candidate Tracker'!$C:$C,"&lt;&gt;Closed")/COUNTIFS('Candidate Tracker'!$E:$E,'Positions Tracker'!$B915)=0,"",COUNTIFS('Candidate Tracker'!$E:$E,'Positions Tracker'!$B915,'Candidate Tracker'!$C:$C,"&lt;&gt;WIP",'Candidate Tracker'!$C:$C,"&lt;&gt;Hold",'Candidate Tracker'!$C:$C,"&lt;&gt;Cancelled",'Candidate Tracker'!$C:$C,"&lt;&gt;Closed")/COUNTIFS('Candidate Tracker'!$E:$E,'Positions Tracker'!$B915)),"")</f>
        <v/>
      </c>
      <c r="BD915" s="67" t="str">
        <f t="shared" si="84"/>
        <v/>
      </c>
      <c r="BE915" s="67" t="str">
        <f t="shared" si="85"/>
        <v/>
      </c>
      <c r="BF915" s="67" t="str">
        <f t="shared" si="86"/>
        <v/>
      </c>
      <c r="BG915" s="67" t="str">
        <f t="shared" si="87"/>
        <v/>
      </c>
    </row>
    <row r="916" spans="1:59">
      <c r="A916" s="55"/>
      <c r="B916" s="56"/>
      <c r="C916" s="56"/>
      <c r="D916" s="56"/>
      <c r="E916" s="56"/>
      <c r="F916" s="56"/>
      <c r="G916" s="56"/>
      <c r="H916" s="56"/>
      <c r="I916" s="6"/>
      <c r="J916" s="6"/>
      <c r="K916" s="57"/>
      <c r="L916" s="57"/>
      <c r="M916" s="57"/>
      <c r="N916" s="56"/>
      <c r="O916" s="56"/>
      <c r="P916" s="56"/>
      <c r="Q916" s="56"/>
      <c r="R916" s="56"/>
      <c r="S916" s="56"/>
      <c r="T916" s="56"/>
      <c r="U916" s="56"/>
      <c r="V916" s="56"/>
      <c r="W916" s="56"/>
      <c r="X916" s="56"/>
      <c r="Y916" s="56"/>
      <c r="Z916" s="56"/>
      <c r="AA916" s="56"/>
      <c r="AB916" s="56"/>
      <c r="AC916" s="56"/>
      <c r="AD916" s="56"/>
      <c r="AE916" s="56"/>
      <c r="AF916" s="56"/>
      <c r="AG916" s="56"/>
      <c r="AH916" s="56"/>
      <c r="AI916" s="58"/>
      <c r="AJ916" s="56"/>
      <c r="AK916" s="56"/>
      <c r="AL916" s="56"/>
      <c r="AM916" s="57"/>
      <c r="AN916" s="57"/>
      <c r="AO916" s="56"/>
      <c r="AP916" s="56"/>
      <c r="AQ916" s="57"/>
      <c r="AR916" s="57"/>
      <c r="AS916" s="57"/>
      <c r="AT916" s="67">
        <f t="shared" ca="1" si="88"/>
        <v>0</v>
      </c>
      <c r="AU916" s="79" t="str">
        <f t="shared" ca="1" si="89"/>
        <v/>
      </c>
      <c r="AV916" s="79" t="str" cm="1">
        <f t="array" aca="1" ref="AV916" ca="1">IFERROR(_xlfn.IFS($AU916="","",$AU916&lt;=15,"0-15",AND($AU916&gt;=16,$AU916&lt;=30),"16-30",AND($AU916&gt;=31,$AU916&lt;=45),"31-45",AND($AU916&gt;=46,$AU916&lt;=60),"46-60",AND($AU916&gt;=61,$AU916&lt;=90),"61-90",AND($AU916&gt;=91),"&gt; 90",AND($AU916&gt;=2000),""),"")</f>
        <v/>
      </c>
      <c r="AW916" s="79" t="str" cm="1">
        <f t="array" aca="1" ref="AW916" ca="1">IFERROR(_xlfn.IFS(OR($M916="",$AM916=""),"",OR($C916="Offered",$C916="Joined"),($AM916-$M916)-$AT916),"")</f>
        <v/>
      </c>
      <c r="AX916" s="79" t="str" cm="1">
        <f t="array" aca="1" ref="AX916" ca="1">IFERROR(_xlfn.IFS(OR($M916="",$AS916=""),"",$C916="Joined",($AS916-$M916)-$AT916),"")</f>
        <v/>
      </c>
      <c r="AY916" s="67" t="str">
        <f>IFERROR(IF(COUNTIFS('Candidate Tracker'!$E:$E,'Positions Tracker'!$B916,'Candidate Tracker'!$C:$C,"Offer Drop")=0,"",COUNTIFS('Candidate Tracker'!$E:$E,'Positions Tracker'!$B916,'Candidate Tracker'!$C:$C,"Offer Drop")),"")</f>
        <v/>
      </c>
      <c r="AZ916" s="80">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0.88111888111888115</v>
      </c>
      <c r="BA916" s="81" t="str">
        <f>IFERROR(IF(COUNTIFS('Candidate Tracker'!$E:$E,'Positions Tracker'!$B916,'Candidate Tracker'!$I:$I,"Female")=0,"",COUNTIFS('Candidate Tracker'!$E:$E,'Positions Tracker'!$B916,'Candidate Tracker'!$I:$I,"Female")),"")</f>
        <v/>
      </c>
      <c r="BB916" s="81" t="str">
        <f>IFERROR(IF(COUNTIFS('Candidate Tracker'!$E:$E,'Positions Tracker'!$B916,'Candidate Tracker'!$I:$I,"male")=0,"",COUNTIFS('Candidate Tracker'!$E:$E,'Positions Tracker'!$B916,'Candidate Tracker'!$I:$I,"male")),"")</f>
        <v/>
      </c>
      <c r="BC916" s="80" t="str">
        <f>IFERROR(IF(COUNTIFS('Candidate Tracker'!$E:$E,'Positions Tracker'!$B916,'Candidate Tracker'!$C:$C,"&lt;&gt;WIP",'Candidate Tracker'!$C:$C,"&lt;&gt;Hold",'Candidate Tracker'!$C:$C,"&lt;&gt;Cancelled",'Candidate Tracker'!$C:$C,"&lt;&gt;Closed")/COUNTIFS('Candidate Tracker'!$E:$E,'Positions Tracker'!$B916)=0,"",COUNTIFS('Candidate Tracker'!$E:$E,'Positions Tracker'!$B916,'Candidate Tracker'!$C:$C,"&lt;&gt;WIP",'Candidate Tracker'!$C:$C,"&lt;&gt;Hold",'Candidate Tracker'!$C:$C,"&lt;&gt;Cancelled",'Candidate Tracker'!$C:$C,"&lt;&gt;Closed")/COUNTIFS('Candidate Tracker'!$E:$E,'Positions Tracker'!$B916)),"")</f>
        <v/>
      </c>
      <c r="BD916" s="67" t="str">
        <f t="shared" si="84"/>
        <v/>
      </c>
      <c r="BE916" s="67" t="str">
        <f t="shared" si="85"/>
        <v/>
      </c>
      <c r="BF916" s="67" t="str">
        <f t="shared" si="86"/>
        <v/>
      </c>
      <c r="BG916" s="67" t="str">
        <f t="shared" si="87"/>
        <v/>
      </c>
    </row>
    <row r="917" spans="1:59">
      <c r="A917" s="55"/>
      <c r="B917" s="56"/>
      <c r="C917" s="56"/>
      <c r="D917" s="56"/>
      <c r="E917" s="56"/>
      <c r="F917" s="56"/>
      <c r="G917" s="56"/>
      <c r="H917" s="56"/>
      <c r="I917" s="6"/>
      <c r="J917" s="6"/>
      <c r="K917" s="57"/>
      <c r="L917" s="57"/>
      <c r="M917" s="57"/>
      <c r="N917" s="56"/>
      <c r="O917" s="56"/>
      <c r="P917" s="56"/>
      <c r="Q917" s="56"/>
      <c r="R917" s="56"/>
      <c r="S917" s="56"/>
      <c r="T917" s="56"/>
      <c r="U917" s="56"/>
      <c r="V917" s="56"/>
      <c r="W917" s="56"/>
      <c r="X917" s="56"/>
      <c r="Y917" s="56"/>
      <c r="Z917" s="56"/>
      <c r="AA917" s="56"/>
      <c r="AB917" s="56"/>
      <c r="AC917" s="56"/>
      <c r="AD917" s="56"/>
      <c r="AE917" s="56"/>
      <c r="AF917" s="56"/>
      <c r="AG917" s="56"/>
      <c r="AH917" s="56"/>
      <c r="AI917" s="58"/>
      <c r="AJ917" s="56"/>
      <c r="AK917" s="56"/>
      <c r="AL917" s="56"/>
      <c r="AM917" s="57"/>
      <c r="AN917" s="57"/>
      <c r="AO917" s="56"/>
      <c r="AP917" s="56"/>
      <c r="AQ917" s="57"/>
      <c r="AR917" s="57"/>
      <c r="AS917" s="57"/>
      <c r="AT917" s="67">
        <f t="shared" ca="1" si="88"/>
        <v>0</v>
      </c>
      <c r="AU917" s="79" t="str">
        <f t="shared" ca="1" si="89"/>
        <v/>
      </c>
      <c r="AV917" s="79" t="str" cm="1">
        <f t="array" aca="1" ref="AV917" ca="1">IFERROR(_xlfn.IFS($AU917="","",$AU917&lt;=15,"0-15",AND($AU917&gt;=16,$AU917&lt;=30),"16-30",AND($AU917&gt;=31,$AU917&lt;=45),"31-45",AND($AU917&gt;=46,$AU917&lt;=60),"46-60",AND($AU917&gt;=61,$AU917&lt;=90),"61-90",AND($AU917&gt;=91),"&gt; 90",AND($AU917&gt;=2000),""),"")</f>
        <v/>
      </c>
      <c r="AW917" s="79" t="str" cm="1">
        <f t="array" aca="1" ref="AW917" ca="1">IFERROR(_xlfn.IFS(OR($M917="",$AM917=""),"",OR($C917="Offered",$C917="Joined"),($AM917-$M917)-$AT917),"")</f>
        <v/>
      </c>
      <c r="AX917" s="79" t="str" cm="1">
        <f t="array" aca="1" ref="AX917" ca="1">IFERROR(_xlfn.IFS(OR($M917="",$AS917=""),"",$C917="Joined",($AS917-$M917)-$AT917),"")</f>
        <v/>
      </c>
      <c r="AY917" s="67" t="str">
        <f>IFERROR(IF(COUNTIFS('Candidate Tracker'!$E:$E,'Positions Tracker'!$B917,'Candidate Tracker'!$C:$C,"Offer Drop")=0,"",COUNTIFS('Candidate Tracker'!$E:$E,'Positions Tracker'!$B917,'Candidate Tracker'!$C:$C,"Offer Drop")),"")</f>
        <v/>
      </c>
      <c r="AZ917" s="80">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0.88111888111888115</v>
      </c>
      <c r="BA917" s="81" t="str">
        <f>IFERROR(IF(COUNTIFS('Candidate Tracker'!$E:$E,'Positions Tracker'!$B917,'Candidate Tracker'!$I:$I,"Female")=0,"",COUNTIFS('Candidate Tracker'!$E:$E,'Positions Tracker'!$B917,'Candidate Tracker'!$I:$I,"Female")),"")</f>
        <v/>
      </c>
      <c r="BB917" s="81" t="str">
        <f>IFERROR(IF(COUNTIFS('Candidate Tracker'!$E:$E,'Positions Tracker'!$B917,'Candidate Tracker'!$I:$I,"male")=0,"",COUNTIFS('Candidate Tracker'!$E:$E,'Positions Tracker'!$B917,'Candidate Tracker'!$I:$I,"male")),"")</f>
        <v/>
      </c>
      <c r="BC917" s="80" t="str">
        <f>IFERROR(IF(COUNTIFS('Candidate Tracker'!$E:$E,'Positions Tracker'!$B917,'Candidate Tracker'!$C:$C,"&lt;&gt;WIP",'Candidate Tracker'!$C:$C,"&lt;&gt;Hold",'Candidate Tracker'!$C:$C,"&lt;&gt;Cancelled",'Candidate Tracker'!$C:$C,"&lt;&gt;Closed")/COUNTIFS('Candidate Tracker'!$E:$E,'Positions Tracker'!$B917)=0,"",COUNTIFS('Candidate Tracker'!$E:$E,'Positions Tracker'!$B917,'Candidate Tracker'!$C:$C,"&lt;&gt;WIP",'Candidate Tracker'!$C:$C,"&lt;&gt;Hold",'Candidate Tracker'!$C:$C,"&lt;&gt;Cancelled",'Candidate Tracker'!$C:$C,"&lt;&gt;Closed")/COUNTIFS('Candidate Tracker'!$E:$E,'Positions Tracker'!$B917)),"")</f>
        <v/>
      </c>
      <c r="BD917" s="67" t="str">
        <f t="shared" si="84"/>
        <v/>
      </c>
      <c r="BE917" s="67" t="str">
        <f t="shared" si="85"/>
        <v/>
      </c>
      <c r="BF917" s="67" t="str">
        <f t="shared" si="86"/>
        <v/>
      </c>
      <c r="BG917" s="67" t="str">
        <f t="shared" si="87"/>
        <v/>
      </c>
    </row>
    <row r="918" spans="1:59">
      <c r="A918" s="55"/>
      <c r="B918" s="56"/>
      <c r="C918" s="56"/>
      <c r="D918" s="56"/>
      <c r="E918" s="56"/>
      <c r="F918" s="56"/>
      <c r="G918" s="56"/>
      <c r="H918" s="56"/>
      <c r="I918" s="6"/>
      <c r="J918" s="6"/>
      <c r="K918" s="57"/>
      <c r="L918" s="57"/>
      <c r="M918" s="57"/>
      <c r="N918" s="56"/>
      <c r="O918" s="56"/>
      <c r="P918" s="56"/>
      <c r="Q918" s="56"/>
      <c r="R918" s="56"/>
      <c r="S918" s="56"/>
      <c r="T918" s="56"/>
      <c r="U918" s="56"/>
      <c r="V918" s="56"/>
      <c r="W918" s="56"/>
      <c r="X918" s="56"/>
      <c r="Y918" s="56"/>
      <c r="Z918" s="56"/>
      <c r="AA918" s="56"/>
      <c r="AB918" s="56"/>
      <c r="AC918" s="56"/>
      <c r="AD918" s="56"/>
      <c r="AE918" s="56"/>
      <c r="AF918" s="56"/>
      <c r="AG918" s="56"/>
      <c r="AH918" s="56"/>
      <c r="AI918" s="58"/>
      <c r="AJ918" s="56"/>
      <c r="AK918" s="56"/>
      <c r="AL918" s="56"/>
      <c r="AM918" s="57"/>
      <c r="AN918" s="57"/>
      <c r="AO918" s="56"/>
      <c r="AP918" s="56"/>
      <c r="AQ918" s="57"/>
      <c r="AR918" s="57"/>
      <c r="AS918" s="57"/>
      <c r="AT918" s="67">
        <f t="shared" ca="1" si="88"/>
        <v>0</v>
      </c>
      <c r="AU918" s="79" t="str">
        <f t="shared" ca="1" si="89"/>
        <v/>
      </c>
      <c r="AV918" s="79" t="str" cm="1">
        <f t="array" aca="1" ref="AV918" ca="1">IFERROR(_xlfn.IFS($AU918="","",$AU918&lt;=15,"0-15",AND($AU918&gt;=16,$AU918&lt;=30),"16-30",AND($AU918&gt;=31,$AU918&lt;=45),"31-45",AND($AU918&gt;=46,$AU918&lt;=60),"46-60",AND($AU918&gt;=61,$AU918&lt;=90),"61-90",AND($AU918&gt;=91),"&gt; 90",AND($AU918&gt;=2000),""),"")</f>
        <v/>
      </c>
      <c r="AW918" s="79" t="str" cm="1">
        <f t="array" aca="1" ref="AW918" ca="1">IFERROR(_xlfn.IFS(OR($M918="",$AM918=""),"",OR($C918="Offered",$C918="Joined"),($AM918-$M918)-$AT918),"")</f>
        <v/>
      </c>
      <c r="AX918" s="79" t="str" cm="1">
        <f t="array" aca="1" ref="AX918" ca="1">IFERROR(_xlfn.IFS(OR($M918="",$AS918=""),"",$C918="Joined",($AS918-$M918)-$AT918),"")</f>
        <v/>
      </c>
      <c r="AY918" s="67" t="str">
        <f>IFERROR(IF(COUNTIFS('Candidate Tracker'!$E:$E,'Positions Tracker'!$B918,'Candidate Tracker'!$C:$C,"Offer Drop")=0,"",COUNTIFS('Candidate Tracker'!$E:$E,'Positions Tracker'!$B918,'Candidate Tracker'!$C:$C,"Offer Drop")),"")</f>
        <v/>
      </c>
      <c r="AZ918" s="80">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0.88111888111888115</v>
      </c>
      <c r="BA918" s="81" t="str">
        <f>IFERROR(IF(COUNTIFS('Candidate Tracker'!$E:$E,'Positions Tracker'!$B918,'Candidate Tracker'!$I:$I,"Female")=0,"",COUNTIFS('Candidate Tracker'!$E:$E,'Positions Tracker'!$B918,'Candidate Tracker'!$I:$I,"Female")),"")</f>
        <v/>
      </c>
      <c r="BB918" s="81" t="str">
        <f>IFERROR(IF(COUNTIFS('Candidate Tracker'!$E:$E,'Positions Tracker'!$B918,'Candidate Tracker'!$I:$I,"male")=0,"",COUNTIFS('Candidate Tracker'!$E:$E,'Positions Tracker'!$B918,'Candidate Tracker'!$I:$I,"male")),"")</f>
        <v/>
      </c>
      <c r="BC918" s="80" t="str">
        <f>IFERROR(IF(COUNTIFS('Candidate Tracker'!$E:$E,'Positions Tracker'!$B918,'Candidate Tracker'!$C:$C,"&lt;&gt;WIP",'Candidate Tracker'!$C:$C,"&lt;&gt;Hold",'Candidate Tracker'!$C:$C,"&lt;&gt;Cancelled",'Candidate Tracker'!$C:$C,"&lt;&gt;Closed")/COUNTIFS('Candidate Tracker'!$E:$E,'Positions Tracker'!$B918)=0,"",COUNTIFS('Candidate Tracker'!$E:$E,'Positions Tracker'!$B918,'Candidate Tracker'!$C:$C,"&lt;&gt;WIP",'Candidate Tracker'!$C:$C,"&lt;&gt;Hold",'Candidate Tracker'!$C:$C,"&lt;&gt;Cancelled",'Candidate Tracker'!$C:$C,"&lt;&gt;Closed")/COUNTIFS('Candidate Tracker'!$E:$E,'Positions Tracker'!$B918)),"")</f>
        <v/>
      </c>
      <c r="BD918" s="67" t="str">
        <f t="shared" si="84"/>
        <v/>
      </c>
      <c r="BE918" s="67" t="str">
        <f t="shared" si="85"/>
        <v/>
      </c>
      <c r="BF918" s="67" t="str">
        <f t="shared" si="86"/>
        <v/>
      </c>
      <c r="BG918" s="67" t="str">
        <f t="shared" si="87"/>
        <v/>
      </c>
    </row>
    <row r="919" spans="1:59">
      <c r="A919" s="55"/>
      <c r="B919" s="56"/>
      <c r="C919" s="56"/>
      <c r="D919" s="56"/>
      <c r="E919" s="56"/>
      <c r="F919" s="56"/>
      <c r="G919" s="56"/>
      <c r="H919" s="56"/>
      <c r="I919" s="6"/>
      <c r="J919" s="6"/>
      <c r="K919" s="57"/>
      <c r="L919" s="57"/>
      <c r="M919" s="57"/>
      <c r="N919" s="56"/>
      <c r="O919" s="56"/>
      <c r="P919" s="56"/>
      <c r="Q919" s="56"/>
      <c r="R919" s="56"/>
      <c r="S919" s="56"/>
      <c r="T919" s="56"/>
      <c r="U919" s="56"/>
      <c r="V919" s="56"/>
      <c r="W919" s="56"/>
      <c r="X919" s="56"/>
      <c r="Y919" s="56"/>
      <c r="Z919" s="56"/>
      <c r="AA919" s="56"/>
      <c r="AB919" s="56"/>
      <c r="AC919" s="56"/>
      <c r="AD919" s="56"/>
      <c r="AE919" s="56"/>
      <c r="AF919" s="56"/>
      <c r="AG919" s="56"/>
      <c r="AH919" s="56"/>
      <c r="AI919" s="58"/>
      <c r="AJ919" s="56"/>
      <c r="AK919" s="56"/>
      <c r="AL919" s="56"/>
      <c r="AM919" s="57"/>
      <c r="AN919" s="57"/>
      <c r="AO919" s="56"/>
      <c r="AP919" s="56"/>
      <c r="AQ919" s="57"/>
      <c r="AR919" s="57"/>
      <c r="AS919" s="57"/>
      <c r="AT919" s="67">
        <f t="shared" ca="1" si="88"/>
        <v>0</v>
      </c>
      <c r="AU919" s="79" t="str">
        <f t="shared" ca="1" si="89"/>
        <v/>
      </c>
      <c r="AV919" s="79" t="str" cm="1">
        <f t="array" aca="1" ref="AV919" ca="1">IFERROR(_xlfn.IFS($AU919="","",$AU919&lt;=15,"0-15",AND($AU919&gt;=16,$AU919&lt;=30),"16-30",AND($AU919&gt;=31,$AU919&lt;=45),"31-45",AND($AU919&gt;=46,$AU919&lt;=60),"46-60",AND($AU919&gt;=61,$AU919&lt;=90),"61-90",AND($AU919&gt;=91),"&gt; 90",AND($AU919&gt;=2000),""),"")</f>
        <v/>
      </c>
      <c r="AW919" s="79" t="str" cm="1">
        <f t="array" aca="1" ref="AW919" ca="1">IFERROR(_xlfn.IFS(OR($M919="",$AM919=""),"",OR($C919="Offered",$C919="Joined"),($AM919-$M919)-$AT919),"")</f>
        <v/>
      </c>
      <c r="AX919" s="79" t="str" cm="1">
        <f t="array" aca="1" ref="AX919" ca="1">IFERROR(_xlfn.IFS(OR($M919="",$AS919=""),"",$C919="Joined",($AS919-$M919)-$AT919),"")</f>
        <v/>
      </c>
      <c r="AY919" s="67" t="str">
        <f>IFERROR(IF(COUNTIFS('Candidate Tracker'!$E:$E,'Positions Tracker'!$B919,'Candidate Tracker'!$C:$C,"Offer Drop")=0,"",COUNTIFS('Candidate Tracker'!$E:$E,'Positions Tracker'!$B919,'Candidate Tracker'!$C:$C,"Offer Drop")),"")</f>
        <v/>
      </c>
      <c r="AZ919" s="80">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0.88111888111888115</v>
      </c>
      <c r="BA919" s="81" t="str">
        <f>IFERROR(IF(COUNTIFS('Candidate Tracker'!$E:$E,'Positions Tracker'!$B919,'Candidate Tracker'!$I:$I,"Female")=0,"",COUNTIFS('Candidate Tracker'!$E:$E,'Positions Tracker'!$B919,'Candidate Tracker'!$I:$I,"Female")),"")</f>
        <v/>
      </c>
      <c r="BB919" s="81" t="str">
        <f>IFERROR(IF(COUNTIFS('Candidate Tracker'!$E:$E,'Positions Tracker'!$B919,'Candidate Tracker'!$I:$I,"male")=0,"",COUNTIFS('Candidate Tracker'!$E:$E,'Positions Tracker'!$B919,'Candidate Tracker'!$I:$I,"male")),"")</f>
        <v/>
      </c>
      <c r="BC919" s="80" t="str">
        <f>IFERROR(IF(COUNTIFS('Candidate Tracker'!$E:$E,'Positions Tracker'!$B919,'Candidate Tracker'!$C:$C,"&lt;&gt;WIP",'Candidate Tracker'!$C:$C,"&lt;&gt;Hold",'Candidate Tracker'!$C:$C,"&lt;&gt;Cancelled",'Candidate Tracker'!$C:$C,"&lt;&gt;Closed")/COUNTIFS('Candidate Tracker'!$E:$E,'Positions Tracker'!$B919)=0,"",COUNTIFS('Candidate Tracker'!$E:$E,'Positions Tracker'!$B919,'Candidate Tracker'!$C:$C,"&lt;&gt;WIP",'Candidate Tracker'!$C:$C,"&lt;&gt;Hold",'Candidate Tracker'!$C:$C,"&lt;&gt;Cancelled",'Candidate Tracker'!$C:$C,"&lt;&gt;Closed")/COUNTIFS('Candidate Tracker'!$E:$E,'Positions Tracker'!$B919)),"")</f>
        <v/>
      </c>
      <c r="BD919" s="67" t="str">
        <f t="shared" si="84"/>
        <v/>
      </c>
      <c r="BE919" s="67" t="str">
        <f t="shared" si="85"/>
        <v/>
      </c>
      <c r="BF919" s="67" t="str">
        <f t="shared" si="86"/>
        <v/>
      </c>
      <c r="BG919" s="67" t="str">
        <f t="shared" si="87"/>
        <v/>
      </c>
    </row>
    <row r="920" spans="1:59">
      <c r="A920" s="55"/>
      <c r="B920" s="56"/>
      <c r="C920" s="56"/>
      <c r="D920" s="56"/>
      <c r="E920" s="56"/>
      <c r="F920" s="56"/>
      <c r="G920" s="56"/>
      <c r="H920" s="56"/>
      <c r="I920" s="6"/>
      <c r="J920" s="6"/>
      <c r="K920" s="57"/>
      <c r="L920" s="57"/>
      <c r="M920" s="57"/>
      <c r="N920" s="56"/>
      <c r="O920" s="56"/>
      <c r="P920" s="56"/>
      <c r="Q920" s="56"/>
      <c r="R920" s="56"/>
      <c r="S920" s="56"/>
      <c r="T920" s="56"/>
      <c r="U920" s="56"/>
      <c r="V920" s="56"/>
      <c r="W920" s="56"/>
      <c r="X920" s="56"/>
      <c r="Y920" s="56"/>
      <c r="Z920" s="56"/>
      <c r="AA920" s="56"/>
      <c r="AB920" s="56"/>
      <c r="AC920" s="56"/>
      <c r="AD920" s="56"/>
      <c r="AE920" s="56"/>
      <c r="AF920" s="56"/>
      <c r="AG920" s="56"/>
      <c r="AH920" s="56"/>
      <c r="AI920" s="58"/>
      <c r="AJ920" s="56"/>
      <c r="AK920" s="56"/>
      <c r="AL920" s="56"/>
      <c r="AM920" s="57"/>
      <c r="AN920" s="57"/>
      <c r="AO920" s="56"/>
      <c r="AP920" s="56"/>
      <c r="AQ920" s="57"/>
      <c r="AR920" s="57"/>
      <c r="AS920" s="57"/>
      <c r="AT920" s="67">
        <f t="shared" ca="1" si="88"/>
        <v>0</v>
      </c>
      <c r="AU920" s="79" t="str">
        <f t="shared" ca="1" si="89"/>
        <v/>
      </c>
      <c r="AV920" s="79" t="str" cm="1">
        <f t="array" aca="1" ref="AV920" ca="1">IFERROR(_xlfn.IFS($AU920="","",$AU920&lt;=15,"0-15",AND($AU920&gt;=16,$AU920&lt;=30),"16-30",AND($AU920&gt;=31,$AU920&lt;=45),"31-45",AND($AU920&gt;=46,$AU920&lt;=60),"46-60",AND($AU920&gt;=61,$AU920&lt;=90),"61-90",AND($AU920&gt;=91),"&gt; 90",AND($AU920&gt;=2000),""),"")</f>
        <v/>
      </c>
      <c r="AW920" s="79" t="str" cm="1">
        <f t="array" aca="1" ref="AW920" ca="1">IFERROR(_xlfn.IFS(OR($M920="",$AM920=""),"",OR($C920="Offered",$C920="Joined"),($AM920-$M920)-$AT920),"")</f>
        <v/>
      </c>
      <c r="AX920" s="79" t="str" cm="1">
        <f t="array" aca="1" ref="AX920" ca="1">IFERROR(_xlfn.IFS(OR($M920="",$AS920=""),"",$C920="Joined",($AS920-$M920)-$AT920),"")</f>
        <v/>
      </c>
      <c r="AY920" s="67" t="str">
        <f>IFERROR(IF(COUNTIFS('Candidate Tracker'!$E:$E,'Positions Tracker'!$B920,'Candidate Tracker'!$C:$C,"Offer Drop")=0,"",COUNTIFS('Candidate Tracker'!$E:$E,'Positions Tracker'!$B920,'Candidate Tracker'!$C:$C,"Offer Drop")),"")</f>
        <v/>
      </c>
      <c r="AZ920" s="80">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0.88111888111888115</v>
      </c>
      <c r="BA920" s="81" t="str">
        <f>IFERROR(IF(COUNTIFS('Candidate Tracker'!$E:$E,'Positions Tracker'!$B920,'Candidate Tracker'!$I:$I,"Female")=0,"",COUNTIFS('Candidate Tracker'!$E:$E,'Positions Tracker'!$B920,'Candidate Tracker'!$I:$I,"Female")),"")</f>
        <v/>
      </c>
      <c r="BB920" s="81" t="str">
        <f>IFERROR(IF(COUNTIFS('Candidate Tracker'!$E:$E,'Positions Tracker'!$B920,'Candidate Tracker'!$I:$I,"male")=0,"",COUNTIFS('Candidate Tracker'!$E:$E,'Positions Tracker'!$B920,'Candidate Tracker'!$I:$I,"male")),"")</f>
        <v/>
      </c>
      <c r="BC920" s="80" t="str">
        <f>IFERROR(IF(COUNTIFS('Candidate Tracker'!$E:$E,'Positions Tracker'!$B920,'Candidate Tracker'!$C:$C,"&lt;&gt;WIP",'Candidate Tracker'!$C:$C,"&lt;&gt;Hold",'Candidate Tracker'!$C:$C,"&lt;&gt;Cancelled",'Candidate Tracker'!$C:$C,"&lt;&gt;Closed")/COUNTIFS('Candidate Tracker'!$E:$E,'Positions Tracker'!$B920)=0,"",COUNTIFS('Candidate Tracker'!$E:$E,'Positions Tracker'!$B920,'Candidate Tracker'!$C:$C,"&lt;&gt;WIP",'Candidate Tracker'!$C:$C,"&lt;&gt;Hold",'Candidate Tracker'!$C:$C,"&lt;&gt;Cancelled",'Candidate Tracker'!$C:$C,"&lt;&gt;Closed")/COUNTIFS('Candidate Tracker'!$E:$E,'Positions Tracker'!$B920)),"")</f>
        <v/>
      </c>
      <c r="BD920" s="67" t="str">
        <f t="shared" si="84"/>
        <v/>
      </c>
      <c r="BE920" s="67" t="str">
        <f t="shared" si="85"/>
        <v/>
      </c>
      <c r="BF920" s="67" t="str">
        <f t="shared" si="86"/>
        <v/>
      </c>
      <c r="BG920" s="67" t="str">
        <f t="shared" si="87"/>
        <v/>
      </c>
    </row>
    <row r="921" spans="1:59">
      <c r="A921" s="55"/>
      <c r="B921" s="56"/>
      <c r="C921" s="56"/>
      <c r="D921" s="56"/>
      <c r="E921" s="56"/>
      <c r="F921" s="56"/>
      <c r="G921" s="56"/>
      <c r="H921" s="56"/>
      <c r="I921" s="6"/>
      <c r="J921" s="6"/>
      <c r="K921" s="57"/>
      <c r="L921" s="57"/>
      <c r="M921" s="57"/>
      <c r="N921" s="56"/>
      <c r="O921" s="56"/>
      <c r="P921" s="56"/>
      <c r="Q921" s="56"/>
      <c r="R921" s="56"/>
      <c r="S921" s="56"/>
      <c r="T921" s="56"/>
      <c r="U921" s="56"/>
      <c r="V921" s="56"/>
      <c r="W921" s="56"/>
      <c r="X921" s="56"/>
      <c r="Y921" s="56"/>
      <c r="Z921" s="56"/>
      <c r="AA921" s="56"/>
      <c r="AB921" s="56"/>
      <c r="AC921" s="56"/>
      <c r="AD921" s="56"/>
      <c r="AE921" s="56"/>
      <c r="AF921" s="56"/>
      <c r="AG921" s="56"/>
      <c r="AH921" s="56"/>
      <c r="AI921" s="58"/>
      <c r="AJ921" s="56"/>
      <c r="AK921" s="56"/>
      <c r="AL921" s="56"/>
      <c r="AM921" s="57"/>
      <c r="AN921" s="57"/>
      <c r="AO921" s="56"/>
      <c r="AP921" s="56"/>
      <c r="AQ921" s="57"/>
      <c r="AR921" s="57"/>
      <c r="AS921" s="57"/>
      <c r="AT921" s="67">
        <f t="shared" ca="1" si="88"/>
        <v>0</v>
      </c>
      <c r="AU921" s="79" t="str">
        <f t="shared" ca="1" si="89"/>
        <v/>
      </c>
      <c r="AV921" s="79" t="str" cm="1">
        <f t="array" aca="1" ref="AV921" ca="1">IFERROR(_xlfn.IFS($AU921="","",$AU921&lt;=15,"0-15",AND($AU921&gt;=16,$AU921&lt;=30),"16-30",AND($AU921&gt;=31,$AU921&lt;=45),"31-45",AND($AU921&gt;=46,$AU921&lt;=60),"46-60",AND($AU921&gt;=61,$AU921&lt;=90),"61-90",AND($AU921&gt;=91),"&gt; 90",AND($AU921&gt;=2000),""),"")</f>
        <v/>
      </c>
      <c r="AW921" s="79" t="str" cm="1">
        <f t="array" aca="1" ref="AW921" ca="1">IFERROR(_xlfn.IFS(OR($M921="",$AM921=""),"",OR($C921="Offered",$C921="Joined"),($AM921-$M921)-$AT921),"")</f>
        <v/>
      </c>
      <c r="AX921" s="79" t="str" cm="1">
        <f t="array" aca="1" ref="AX921" ca="1">IFERROR(_xlfn.IFS(OR($M921="",$AS921=""),"",$C921="Joined",($AS921-$M921)-$AT921),"")</f>
        <v/>
      </c>
      <c r="AY921" s="67" t="str">
        <f>IFERROR(IF(COUNTIFS('Candidate Tracker'!$E:$E,'Positions Tracker'!$B921,'Candidate Tracker'!$C:$C,"Offer Drop")=0,"",COUNTIFS('Candidate Tracker'!$E:$E,'Positions Tracker'!$B921,'Candidate Tracker'!$C:$C,"Offer Drop")),"")</f>
        <v/>
      </c>
      <c r="AZ921" s="80">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0.88111888111888115</v>
      </c>
      <c r="BA921" s="81" t="str">
        <f>IFERROR(IF(COUNTIFS('Candidate Tracker'!$E:$E,'Positions Tracker'!$B921,'Candidate Tracker'!$I:$I,"Female")=0,"",COUNTIFS('Candidate Tracker'!$E:$E,'Positions Tracker'!$B921,'Candidate Tracker'!$I:$I,"Female")),"")</f>
        <v/>
      </c>
      <c r="BB921" s="81" t="str">
        <f>IFERROR(IF(COUNTIFS('Candidate Tracker'!$E:$E,'Positions Tracker'!$B921,'Candidate Tracker'!$I:$I,"male")=0,"",COUNTIFS('Candidate Tracker'!$E:$E,'Positions Tracker'!$B921,'Candidate Tracker'!$I:$I,"male")),"")</f>
        <v/>
      </c>
      <c r="BC921" s="80" t="str">
        <f>IFERROR(IF(COUNTIFS('Candidate Tracker'!$E:$E,'Positions Tracker'!$B921,'Candidate Tracker'!$C:$C,"&lt;&gt;WIP",'Candidate Tracker'!$C:$C,"&lt;&gt;Hold",'Candidate Tracker'!$C:$C,"&lt;&gt;Cancelled",'Candidate Tracker'!$C:$C,"&lt;&gt;Closed")/COUNTIFS('Candidate Tracker'!$E:$E,'Positions Tracker'!$B921)=0,"",COUNTIFS('Candidate Tracker'!$E:$E,'Positions Tracker'!$B921,'Candidate Tracker'!$C:$C,"&lt;&gt;WIP",'Candidate Tracker'!$C:$C,"&lt;&gt;Hold",'Candidate Tracker'!$C:$C,"&lt;&gt;Cancelled",'Candidate Tracker'!$C:$C,"&lt;&gt;Closed")/COUNTIFS('Candidate Tracker'!$E:$E,'Positions Tracker'!$B921)),"")</f>
        <v/>
      </c>
      <c r="BD921" s="67" t="str">
        <f t="shared" si="84"/>
        <v/>
      </c>
      <c r="BE921" s="67" t="str">
        <f t="shared" si="85"/>
        <v/>
      </c>
      <c r="BF921" s="67" t="str">
        <f t="shared" si="86"/>
        <v/>
      </c>
      <c r="BG921" s="67" t="str">
        <f t="shared" si="87"/>
        <v/>
      </c>
    </row>
    <row r="922" spans="1:59">
      <c r="A922" s="55"/>
      <c r="B922" s="56"/>
      <c r="C922" s="56"/>
      <c r="D922" s="56"/>
      <c r="E922" s="56"/>
      <c r="F922" s="56"/>
      <c r="G922" s="56"/>
      <c r="H922" s="56"/>
      <c r="I922" s="6"/>
      <c r="J922" s="6"/>
      <c r="K922" s="57"/>
      <c r="L922" s="57"/>
      <c r="M922" s="57"/>
      <c r="N922" s="56"/>
      <c r="O922" s="56"/>
      <c r="P922" s="56"/>
      <c r="Q922" s="56"/>
      <c r="R922" s="56"/>
      <c r="S922" s="56"/>
      <c r="T922" s="56"/>
      <c r="U922" s="56"/>
      <c r="V922" s="56"/>
      <c r="W922" s="56"/>
      <c r="X922" s="56"/>
      <c r="Y922" s="56"/>
      <c r="Z922" s="56"/>
      <c r="AA922" s="56"/>
      <c r="AB922" s="56"/>
      <c r="AC922" s="56"/>
      <c r="AD922" s="56"/>
      <c r="AE922" s="56"/>
      <c r="AF922" s="56"/>
      <c r="AG922" s="56"/>
      <c r="AH922" s="56"/>
      <c r="AI922" s="58"/>
      <c r="AJ922" s="56"/>
      <c r="AK922" s="56"/>
      <c r="AL922" s="56"/>
      <c r="AM922" s="57"/>
      <c r="AN922" s="57"/>
      <c r="AO922" s="56"/>
      <c r="AP922" s="56"/>
      <c r="AQ922" s="57"/>
      <c r="AR922" s="57"/>
      <c r="AS922" s="57"/>
      <c r="AT922" s="67">
        <f t="shared" ca="1" si="88"/>
        <v>0</v>
      </c>
      <c r="AU922" s="79" t="str">
        <f t="shared" ca="1" si="89"/>
        <v/>
      </c>
      <c r="AV922" s="79" t="str" cm="1">
        <f t="array" aca="1" ref="AV922" ca="1">IFERROR(_xlfn.IFS($AU922="","",$AU922&lt;=15,"0-15",AND($AU922&gt;=16,$AU922&lt;=30),"16-30",AND($AU922&gt;=31,$AU922&lt;=45),"31-45",AND($AU922&gt;=46,$AU922&lt;=60),"46-60",AND($AU922&gt;=61,$AU922&lt;=90),"61-90",AND($AU922&gt;=91),"&gt; 90",AND($AU922&gt;=2000),""),"")</f>
        <v/>
      </c>
      <c r="AW922" s="79" t="str" cm="1">
        <f t="array" aca="1" ref="AW922" ca="1">IFERROR(_xlfn.IFS(OR($M922="",$AM922=""),"",OR($C922="Offered",$C922="Joined"),($AM922-$M922)-$AT922),"")</f>
        <v/>
      </c>
      <c r="AX922" s="79" t="str" cm="1">
        <f t="array" aca="1" ref="AX922" ca="1">IFERROR(_xlfn.IFS(OR($M922="",$AS922=""),"",$C922="Joined",($AS922-$M922)-$AT922),"")</f>
        <v/>
      </c>
      <c r="AY922" s="67" t="str">
        <f>IFERROR(IF(COUNTIFS('Candidate Tracker'!$E:$E,'Positions Tracker'!$B922,'Candidate Tracker'!$C:$C,"Offer Drop")=0,"",COUNTIFS('Candidate Tracker'!$E:$E,'Positions Tracker'!$B922,'Candidate Tracker'!$C:$C,"Offer Drop")),"")</f>
        <v/>
      </c>
      <c r="AZ922" s="80">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0.88111888111888115</v>
      </c>
      <c r="BA922" s="81" t="str">
        <f>IFERROR(IF(COUNTIFS('Candidate Tracker'!$E:$E,'Positions Tracker'!$B922,'Candidate Tracker'!$I:$I,"Female")=0,"",COUNTIFS('Candidate Tracker'!$E:$E,'Positions Tracker'!$B922,'Candidate Tracker'!$I:$I,"Female")),"")</f>
        <v/>
      </c>
      <c r="BB922" s="81" t="str">
        <f>IFERROR(IF(COUNTIFS('Candidate Tracker'!$E:$E,'Positions Tracker'!$B922,'Candidate Tracker'!$I:$I,"male")=0,"",COUNTIFS('Candidate Tracker'!$E:$E,'Positions Tracker'!$B922,'Candidate Tracker'!$I:$I,"male")),"")</f>
        <v/>
      </c>
      <c r="BC922" s="80" t="str">
        <f>IFERROR(IF(COUNTIFS('Candidate Tracker'!$E:$E,'Positions Tracker'!$B922,'Candidate Tracker'!$C:$C,"&lt;&gt;WIP",'Candidate Tracker'!$C:$C,"&lt;&gt;Hold",'Candidate Tracker'!$C:$C,"&lt;&gt;Cancelled",'Candidate Tracker'!$C:$C,"&lt;&gt;Closed")/COUNTIFS('Candidate Tracker'!$E:$E,'Positions Tracker'!$B922)=0,"",COUNTIFS('Candidate Tracker'!$E:$E,'Positions Tracker'!$B922,'Candidate Tracker'!$C:$C,"&lt;&gt;WIP",'Candidate Tracker'!$C:$C,"&lt;&gt;Hold",'Candidate Tracker'!$C:$C,"&lt;&gt;Cancelled",'Candidate Tracker'!$C:$C,"&lt;&gt;Closed")/COUNTIFS('Candidate Tracker'!$E:$E,'Positions Tracker'!$B922)),"")</f>
        <v/>
      </c>
      <c r="BD922" s="67" t="str">
        <f t="shared" si="84"/>
        <v/>
      </c>
      <c r="BE922" s="67" t="str">
        <f t="shared" si="85"/>
        <v/>
      </c>
      <c r="BF922" s="67" t="str">
        <f t="shared" si="86"/>
        <v/>
      </c>
      <c r="BG922" s="67" t="str">
        <f t="shared" si="87"/>
        <v/>
      </c>
    </row>
    <row r="923" spans="1:59">
      <c r="A923" s="55"/>
      <c r="B923" s="56"/>
      <c r="C923" s="56"/>
      <c r="D923" s="56"/>
      <c r="E923" s="56"/>
      <c r="F923" s="56"/>
      <c r="G923" s="56"/>
      <c r="H923" s="56"/>
      <c r="I923" s="6"/>
      <c r="J923" s="6"/>
      <c r="K923" s="57"/>
      <c r="L923" s="57"/>
      <c r="M923" s="57"/>
      <c r="N923" s="56"/>
      <c r="O923" s="56"/>
      <c r="P923" s="56"/>
      <c r="Q923" s="56"/>
      <c r="R923" s="56"/>
      <c r="S923" s="56"/>
      <c r="T923" s="56"/>
      <c r="U923" s="56"/>
      <c r="V923" s="56"/>
      <c r="W923" s="56"/>
      <c r="X923" s="56"/>
      <c r="Y923" s="56"/>
      <c r="Z923" s="56"/>
      <c r="AA923" s="56"/>
      <c r="AB923" s="56"/>
      <c r="AC923" s="56"/>
      <c r="AD923" s="56"/>
      <c r="AE923" s="56"/>
      <c r="AF923" s="56"/>
      <c r="AG923" s="56"/>
      <c r="AH923" s="56"/>
      <c r="AI923" s="58"/>
      <c r="AJ923" s="56"/>
      <c r="AK923" s="56"/>
      <c r="AL923" s="56"/>
      <c r="AM923" s="57"/>
      <c r="AN923" s="57"/>
      <c r="AO923" s="56"/>
      <c r="AP923" s="56"/>
      <c r="AQ923" s="57"/>
      <c r="AR923" s="57"/>
      <c r="AS923" s="57"/>
      <c r="AT923" s="67">
        <f t="shared" ca="1" si="88"/>
        <v>0</v>
      </c>
      <c r="AU923" s="79" t="str">
        <f t="shared" ca="1" si="89"/>
        <v/>
      </c>
      <c r="AV923" s="79" t="str" cm="1">
        <f t="array" aca="1" ref="AV923" ca="1">IFERROR(_xlfn.IFS($AU923="","",$AU923&lt;=15,"0-15",AND($AU923&gt;=16,$AU923&lt;=30),"16-30",AND($AU923&gt;=31,$AU923&lt;=45),"31-45",AND($AU923&gt;=46,$AU923&lt;=60),"46-60",AND($AU923&gt;=61,$AU923&lt;=90),"61-90",AND($AU923&gt;=91),"&gt; 90",AND($AU923&gt;=2000),""),"")</f>
        <v/>
      </c>
      <c r="AW923" s="79" t="str" cm="1">
        <f t="array" aca="1" ref="AW923" ca="1">IFERROR(_xlfn.IFS(OR($M923="",$AM923=""),"",OR($C923="Offered",$C923="Joined"),($AM923-$M923)-$AT923),"")</f>
        <v/>
      </c>
      <c r="AX923" s="79" t="str" cm="1">
        <f t="array" aca="1" ref="AX923" ca="1">IFERROR(_xlfn.IFS(OR($M923="",$AS923=""),"",$C923="Joined",($AS923-$M923)-$AT923),"")</f>
        <v/>
      </c>
      <c r="AY923" s="67" t="str">
        <f>IFERROR(IF(COUNTIFS('Candidate Tracker'!$E:$E,'Positions Tracker'!$B923,'Candidate Tracker'!$C:$C,"Offer Drop")=0,"",COUNTIFS('Candidate Tracker'!$E:$E,'Positions Tracker'!$B923,'Candidate Tracker'!$C:$C,"Offer Drop")),"")</f>
        <v/>
      </c>
      <c r="AZ923" s="80">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0.88111888111888115</v>
      </c>
      <c r="BA923" s="81" t="str">
        <f>IFERROR(IF(COUNTIFS('Candidate Tracker'!$E:$E,'Positions Tracker'!$B923,'Candidate Tracker'!$I:$I,"Female")=0,"",COUNTIFS('Candidate Tracker'!$E:$E,'Positions Tracker'!$B923,'Candidate Tracker'!$I:$I,"Female")),"")</f>
        <v/>
      </c>
      <c r="BB923" s="81" t="str">
        <f>IFERROR(IF(COUNTIFS('Candidate Tracker'!$E:$E,'Positions Tracker'!$B923,'Candidate Tracker'!$I:$I,"male")=0,"",COUNTIFS('Candidate Tracker'!$E:$E,'Positions Tracker'!$B923,'Candidate Tracker'!$I:$I,"male")),"")</f>
        <v/>
      </c>
      <c r="BC923" s="80" t="str">
        <f>IFERROR(IF(COUNTIFS('Candidate Tracker'!$E:$E,'Positions Tracker'!$B923,'Candidate Tracker'!$C:$C,"&lt;&gt;WIP",'Candidate Tracker'!$C:$C,"&lt;&gt;Hold",'Candidate Tracker'!$C:$C,"&lt;&gt;Cancelled",'Candidate Tracker'!$C:$C,"&lt;&gt;Closed")/COUNTIFS('Candidate Tracker'!$E:$E,'Positions Tracker'!$B923)=0,"",COUNTIFS('Candidate Tracker'!$E:$E,'Positions Tracker'!$B923,'Candidate Tracker'!$C:$C,"&lt;&gt;WIP",'Candidate Tracker'!$C:$C,"&lt;&gt;Hold",'Candidate Tracker'!$C:$C,"&lt;&gt;Cancelled",'Candidate Tracker'!$C:$C,"&lt;&gt;Closed")/COUNTIFS('Candidate Tracker'!$E:$E,'Positions Tracker'!$B923)),"")</f>
        <v/>
      </c>
      <c r="BD923" s="67" t="str">
        <f t="shared" si="84"/>
        <v/>
      </c>
      <c r="BE923" s="67" t="str">
        <f t="shared" si="85"/>
        <v/>
      </c>
      <c r="BF923" s="67" t="str">
        <f t="shared" si="86"/>
        <v/>
      </c>
      <c r="BG923" s="67" t="str">
        <f t="shared" si="87"/>
        <v/>
      </c>
    </row>
    <row r="924" spans="1:59">
      <c r="A924" s="55"/>
      <c r="B924" s="56"/>
      <c r="C924" s="56"/>
      <c r="D924" s="56"/>
      <c r="E924" s="56"/>
      <c r="F924" s="56"/>
      <c r="G924" s="56"/>
      <c r="H924" s="56"/>
      <c r="I924" s="6"/>
      <c r="J924" s="6"/>
      <c r="K924" s="57"/>
      <c r="L924" s="57"/>
      <c r="M924" s="57"/>
      <c r="N924" s="56"/>
      <c r="O924" s="56"/>
      <c r="P924" s="56"/>
      <c r="Q924" s="56"/>
      <c r="R924" s="56"/>
      <c r="S924" s="56"/>
      <c r="T924" s="56"/>
      <c r="U924" s="56"/>
      <c r="V924" s="56"/>
      <c r="W924" s="56"/>
      <c r="X924" s="56"/>
      <c r="Y924" s="56"/>
      <c r="Z924" s="56"/>
      <c r="AA924" s="56"/>
      <c r="AB924" s="56"/>
      <c r="AC924" s="56"/>
      <c r="AD924" s="56"/>
      <c r="AE924" s="56"/>
      <c r="AF924" s="56"/>
      <c r="AG924" s="56"/>
      <c r="AH924" s="56"/>
      <c r="AI924" s="58"/>
      <c r="AJ924" s="56"/>
      <c r="AK924" s="56"/>
      <c r="AL924" s="56"/>
      <c r="AM924" s="57"/>
      <c r="AN924" s="57"/>
      <c r="AO924" s="56"/>
      <c r="AP924" s="56"/>
      <c r="AQ924" s="57"/>
      <c r="AR924" s="57"/>
      <c r="AS924" s="57"/>
      <c r="AT924" s="67">
        <f t="shared" ca="1" si="88"/>
        <v>0</v>
      </c>
      <c r="AU924" s="79" t="str">
        <f t="shared" ca="1" si="89"/>
        <v/>
      </c>
      <c r="AV924" s="79" t="str" cm="1">
        <f t="array" aca="1" ref="AV924" ca="1">IFERROR(_xlfn.IFS($AU924="","",$AU924&lt;=15,"0-15",AND($AU924&gt;=16,$AU924&lt;=30),"16-30",AND($AU924&gt;=31,$AU924&lt;=45),"31-45",AND($AU924&gt;=46,$AU924&lt;=60),"46-60",AND($AU924&gt;=61,$AU924&lt;=90),"61-90",AND($AU924&gt;=91),"&gt; 90",AND($AU924&gt;=2000),""),"")</f>
        <v/>
      </c>
      <c r="AW924" s="79" t="str" cm="1">
        <f t="array" aca="1" ref="AW924" ca="1">IFERROR(_xlfn.IFS(OR($M924="",$AM924=""),"",OR($C924="Offered",$C924="Joined"),($AM924-$M924)-$AT924),"")</f>
        <v/>
      </c>
      <c r="AX924" s="79" t="str" cm="1">
        <f t="array" aca="1" ref="AX924" ca="1">IFERROR(_xlfn.IFS(OR($M924="",$AS924=""),"",$C924="Joined",($AS924-$M924)-$AT924),"")</f>
        <v/>
      </c>
      <c r="AY924" s="67" t="str">
        <f>IFERROR(IF(COUNTIFS('Candidate Tracker'!$E:$E,'Positions Tracker'!$B924,'Candidate Tracker'!$C:$C,"Offer Drop")=0,"",COUNTIFS('Candidate Tracker'!$E:$E,'Positions Tracker'!$B924,'Candidate Tracker'!$C:$C,"Offer Drop")),"")</f>
        <v/>
      </c>
      <c r="AZ924" s="80">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0.88111888111888115</v>
      </c>
      <c r="BA924" s="81" t="str">
        <f>IFERROR(IF(COUNTIFS('Candidate Tracker'!$E:$E,'Positions Tracker'!$B924,'Candidate Tracker'!$I:$I,"Female")=0,"",COUNTIFS('Candidate Tracker'!$E:$E,'Positions Tracker'!$B924,'Candidate Tracker'!$I:$I,"Female")),"")</f>
        <v/>
      </c>
      <c r="BB924" s="81" t="str">
        <f>IFERROR(IF(COUNTIFS('Candidate Tracker'!$E:$E,'Positions Tracker'!$B924,'Candidate Tracker'!$I:$I,"male")=0,"",COUNTIFS('Candidate Tracker'!$E:$E,'Positions Tracker'!$B924,'Candidate Tracker'!$I:$I,"male")),"")</f>
        <v/>
      </c>
      <c r="BC924" s="80" t="str">
        <f>IFERROR(IF(COUNTIFS('Candidate Tracker'!$E:$E,'Positions Tracker'!$B924,'Candidate Tracker'!$C:$C,"&lt;&gt;WIP",'Candidate Tracker'!$C:$C,"&lt;&gt;Hold",'Candidate Tracker'!$C:$C,"&lt;&gt;Cancelled",'Candidate Tracker'!$C:$C,"&lt;&gt;Closed")/COUNTIFS('Candidate Tracker'!$E:$E,'Positions Tracker'!$B924)=0,"",COUNTIFS('Candidate Tracker'!$E:$E,'Positions Tracker'!$B924,'Candidate Tracker'!$C:$C,"&lt;&gt;WIP",'Candidate Tracker'!$C:$C,"&lt;&gt;Hold",'Candidate Tracker'!$C:$C,"&lt;&gt;Cancelled",'Candidate Tracker'!$C:$C,"&lt;&gt;Closed")/COUNTIFS('Candidate Tracker'!$E:$E,'Positions Tracker'!$B924)),"")</f>
        <v/>
      </c>
      <c r="BD924" s="67" t="str">
        <f t="shared" si="84"/>
        <v/>
      </c>
      <c r="BE924" s="67" t="str">
        <f t="shared" si="85"/>
        <v/>
      </c>
      <c r="BF924" s="67" t="str">
        <f t="shared" si="86"/>
        <v/>
      </c>
      <c r="BG924" s="67" t="str">
        <f t="shared" si="87"/>
        <v/>
      </c>
    </row>
    <row r="925" spans="1:59">
      <c r="A925" s="55"/>
      <c r="B925" s="56"/>
      <c r="C925" s="56"/>
      <c r="D925" s="56"/>
      <c r="E925" s="56"/>
      <c r="F925" s="56"/>
      <c r="G925" s="56"/>
      <c r="H925" s="56"/>
      <c r="I925" s="6"/>
      <c r="J925" s="6"/>
      <c r="K925" s="57"/>
      <c r="L925" s="57"/>
      <c r="M925" s="57"/>
      <c r="N925" s="56"/>
      <c r="O925" s="56"/>
      <c r="P925" s="56"/>
      <c r="Q925" s="56"/>
      <c r="R925" s="56"/>
      <c r="S925" s="56"/>
      <c r="T925" s="56"/>
      <c r="U925" s="56"/>
      <c r="V925" s="56"/>
      <c r="W925" s="56"/>
      <c r="X925" s="56"/>
      <c r="Y925" s="56"/>
      <c r="Z925" s="56"/>
      <c r="AA925" s="56"/>
      <c r="AB925" s="56"/>
      <c r="AC925" s="56"/>
      <c r="AD925" s="56"/>
      <c r="AE925" s="56"/>
      <c r="AF925" s="56"/>
      <c r="AG925" s="56"/>
      <c r="AH925" s="56"/>
      <c r="AI925" s="58"/>
      <c r="AJ925" s="56"/>
      <c r="AK925" s="56"/>
      <c r="AL925" s="56"/>
      <c r="AM925" s="57"/>
      <c r="AN925" s="57"/>
      <c r="AO925" s="56"/>
      <c r="AP925" s="56"/>
      <c r="AQ925" s="57"/>
      <c r="AR925" s="57"/>
      <c r="AS925" s="57"/>
      <c r="AT925" s="67">
        <f t="shared" ca="1" si="88"/>
        <v>0</v>
      </c>
      <c r="AU925" s="79" t="str">
        <f t="shared" ca="1" si="89"/>
        <v/>
      </c>
      <c r="AV925" s="79" t="str" cm="1">
        <f t="array" aca="1" ref="AV925" ca="1">IFERROR(_xlfn.IFS($AU925="","",$AU925&lt;=15,"0-15",AND($AU925&gt;=16,$AU925&lt;=30),"16-30",AND($AU925&gt;=31,$AU925&lt;=45),"31-45",AND($AU925&gt;=46,$AU925&lt;=60),"46-60",AND($AU925&gt;=61,$AU925&lt;=90),"61-90",AND($AU925&gt;=91),"&gt; 90",AND($AU925&gt;=2000),""),"")</f>
        <v/>
      </c>
      <c r="AW925" s="79" t="str" cm="1">
        <f t="array" aca="1" ref="AW925" ca="1">IFERROR(_xlfn.IFS(OR($M925="",$AM925=""),"",OR($C925="Offered",$C925="Joined"),($AM925-$M925)-$AT925),"")</f>
        <v/>
      </c>
      <c r="AX925" s="79" t="str" cm="1">
        <f t="array" aca="1" ref="AX925" ca="1">IFERROR(_xlfn.IFS(OR($M925="",$AS925=""),"",$C925="Joined",($AS925-$M925)-$AT925),"")</f>
        <v/>
      </c>
      <c r="AY925" s="67" t="str">
        <f>IFERROR(IF(COUNTIFS('Candidate Tracker'!$E:$E,'Positions Tracker'!$B925,'Candidate Tracker'!$C:$C,"Offer Drop")=0,"",COUNTIFS('Candidate Tracker'!$E:$E,'Positions Tracker'!$B925,'Candidate Tracker'!$C:$C,"Offer Drop")),"")</f>
        <v/>
      </c>
      <c r="AZ925" s="80">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0.88111888111888115</v>
      </c>
      <c r="BA925" s="81" t="str">
        <f>IFERROR(IF(COUNTIFS('Candidate Tracker'!$E:$E,'Positions Tracker'!$B925,'Candidate Tracker'!$I:$I,"Female")=0,"",COUNTIFS('Candidate Tracker'!$E:$E,'Positions Tracker'!$B925,'Candidate Tracker'!$I:$I,"Female")),"")</f>
        <v/>
      </c>
      <c r="BB925" s="81" t="str">
        <f>IFERROR(IF(COUNTIFS('Candidate Tracker'!$E:$E,'Positions Tracker'!$B925,'Candidate Tracker'!$I:$I,"male")=0,"",COUNTIFS('Candidate Tracker'!$E:$E,'Positions Tracker'!$B925,'Candidate Tracker'!$I:$I,"male")),"")</f>
        <v/>
      </c>
      <c r="BC925" s="80" t="str">
        <f>IFERROR(IF(COUNTIFS('Candidate Tracker'!$E:$E,'Positions Tracker'!$B925,'Candidate Tracker'!$C:$C,"&lt;&gt;WIP",'Candidate Tracker'!$C:$C,"&lt;&gt;Hold",'Candidate Tracker'!$C:$C,"&lt;&gt;Cancelled",'Candidate Tracker'!$C:$C,"&lt;&gt;Closed")/COUNTIFS('Candidate Tracker'!$E:$E,'Positions Tracker'!$B925)=0,"",COUNTIFS('Candidate Tracker'!$E:$E,'Positions Tracker'!$B925,'Candidate Tracker'!$C:$C,"&lt;&gt;WIP",'Candidate Tracker'!$C:$C,"&lt;&gt;Hold",'Candidate Tracker'!$C:$C,"&lt;&gt;Cancelled",'Candidate Tracker'!$C:$C,"&lt;&gt;Closed")/COUNTIFS('Candidate Tracker'!$E:$E,'Positions Tracker'!$B925)),"")</f>
        <v/>
      </c>
      <c r="BD925" s="67" t="str">
        <f t="shared" si="84"/>
        <v/>
      </c>
      <c r="BE925" s="67" t="str">
        <f t="shared" si="85"/>
        <v/>
      </c>
      <c r="BF925" s="67" t="str">
        <f t="shared" si="86"/>
        <v/>
      </c>
      <c r="BG925" s="67" t="str">
        <f t="shared" si="87"/>
        <v/>
      </c>
    </row>
    <row r="926" spans="1:59">
      <c r="A926" s="55"/>
      <c r="B926" s="56"/>
      <c r="C926" s="56"/>
      <c r="D926" s="56"/>
      <c r="E926" s="56"/>
      <c r="F926" s="56"/>
      <c r="G926" s="56"/>
      <c r="H926" s="56"/>
      <c r="I926" s="6"/>
      <c r="J926" s="6"/>
      <c r="K926" s="57"/>
      <c r="L926" s="57"/>
      <c r="M926" s="57"/>
      <c r="N926" s="56"/>
      <c r="O926" s="56"/>
      <c r="P926" s="56"/>
      <c r="Q926" s="56"/>
      <c r="R926" s="56"/>
      <c r="S926" s="56"/>
      <c r="T926" s="56"/>
      <c r="U926" s="56"/>
      <c r="V926" s="56"/>
      <c r="W926" s="56"/>
      <c r="X926" s="56"/>
      <c r="Y926" s="56"/>
      <c r="Z926" s="56"/>
      <c r="AA926" s="56"/>
      <c r="AB926" s="56"/>
      <c r="AC926" s="56"/>
      <c r="AD926" s="56"/>
      <c r="AE926" s="56"/>
      <c r="AF926" s="56"/>
      <c r="AG926" s="56"/>
      <c r="AH926" s="56"/>
      <c r="AI926" s="58"/>
      <c r="AJ926" s="56"/>
      <c r="AK926" s="56"/>
      <c r="AL926" s="56"/>
      <c r="AM926" s="57"/>
      <c r="AN926" s="57"/>
      <c r="AO926" s="56"/>
      <c r="AP926" s="56"/>
      <c r="AQ926" s="57"/>
      <c r="AR926" s="57"/>
      <c r="AS926" s="57"/>
      <c r="AT926" s="67">
        <f t="shared" ca="1" si="88"/>
        <v>0</v>
      </c>
      <c r="AU926" s="79" t="str">
        <f t="shared" ca="1" si="89"/>
        <v/>
      </c>
      <c r="AV926" s="79" t="str" cm="1">
        <f t="array" aca="1" ref="AV926" ca="1">IFERROR(_xlfn.IFS($AU926="","",$AU926&lt;=15,"0-15",AND($AU926&gt;=16,$AU926&lt;=30),"16-30",AND($AU926&gt;=31,$AU926&lt;=45),"31-45",AND($AU926&gt;=46,$AU926&lt;=60),"46-60",AND($AU926&gt;=61,$AU926&lt;=90),"61-90",AND($AU926&gt;=91),"&gt; 90",AND($AU926&gt;=2000),""),"")</f>
        <v/>
      </c>
      <c r="AW926" s="79" t="str" cm="1">
        <f t="array" aca="1" ref="AW926" ca="1">IFERROR(_xlfn.IFS(OR($M926="",$AM926=""),"",OR($C926="Offered",$C926="Joined"),($AM926-$M926)-$AT926),"")</f>
        <v/>
      </c>
      <c r="AX926" s="79" t="str" cm="1">
        <f t="array" aca="1" ref="AX926" ca="1">IFERROR(_xlfn.IFS(OR($M926="",$AS926=""),"",$C926="Joined",($AS926-$M926)-$AT926),"")</f>
        <v/>
      </c>
      <c r="AY926" s="67" t="str">
        <f>IFERROR(IF(COUNTIFS('Candidate Tracker'!$E:$E,'Positions Tracker'!$B926,'Candidate Tracker'!$C:$C,"Offer Drop")=0,"",COUNTIFS('Candidate Tracker'!$E:$E,'Positions Tracker'!$B926,'Candidate Tracker'!$C:$C,"Offer Drop")),"")</f>
        <v/>
      </c>
      <c r="AZ926" s="80">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0.88111888111888115</v>
      </c>
      <c r="BA926" s="81" t="str">
        <f>IFERROR(IF(COUNTIFS('Candidate Tracker'!$E:$E,'Positions Tracker'!$B926,'Candidate Tracker'!$I:$I,"Female")=0,"",COUNTIFS('Candidate Tracker'!$E:$E,'Positions Tracker'!$B926,'Candidate Tracker'!$I:$I,"Female")),"")</f>
        <v/>
      </c>
      <c r="BB926" s="81" t="str">
        <f>IFERROR(IF(COUNTIFS('Candidate Tracker'!$E:$E,'Positions Tracker'!$B926,'Candidate Tracker'!$I:$I,"male")=0,"",COUNTIFS('Candidate Tracker'!$E:$E,'Positions Tracker'!$B926,'Candidate Tracker'!$I:$I,"male")),"")</f>
        <v/>
      </c>
      <c r="BC926" s="80" t="str">
        <f>IFERROR(IF(COUNTIFS('Candidate Tracker'!$E:$E,'Positions Tracker'!$B926,'Candidate Tracker'!$C:$C,"&lt;&gt;WIP",'Candidate Tracker'!$C:$C,"&lt;&gt;Hold",'Candidate Tracker'!$C:$C,"&lt;&gt;Cancelled",'Candidate Tracker'!$C:$C,"&lt;&gt;Closed")/COUNTIFS('Candidate Tracker'!$E:$E,'Positions Tracker'!$B926)=0,"",COUNTIFS('Candidate Tracker'!$E:$E,'Positions Tracker'!$B926,'Candidate Tracker'!$C:$C,"&lt;&gt;WIP",'Candidate Tracker'!$C:$C,"&lt;&gt;Hold",'Candidate Tracker'!$C:$C,"&lt;&gt;Cancelled",'Candidate Tracker'!$C:$C,"&lt;&gt;Closed")/COUNTIFS('Candidate Tracker'!$E:$E,'Positions Tracker'!$B926)),"")</f>
        <v/>
      </c>
      <c r="BD926" s="67" t="str">
        <f t="shared" si="84"/>
        <v/>
      </c>
      <c r="BE926" s="67" t="str">
        <f t="shared" si="85"/>
        <v/>
      </c>
      <c r="BF926" s="67" t="str">
        <f t="shared" si="86"/>
        <v/>
      </c>
      <c r="BG926" s="67" t="str">
        <f t="shared" si="87"/>
        <v/>
      </c>
    </row>
    <row r="927" spans="1:59">
      <c r="A927" s="55"/>
      <c r="B927" s="56"/>
      <c r="C927" s="56"/>
      <c r="D927" s="56"/>
      <c r="E927" s="56"/>
      <c r="F927" s="56"/>
      <c r="G927" s="56"/>
      <c r="H927" s="56"/>
      <c r="I927" s="6"/>
      <c r="J927" s="6"/>
      <c r="K927" s="57"/>
      <c r="L927" s="57"/>
      <c r="M927" s="57"/>
      <c r="N927" s="56"/>
      <c r="O927" s="56"/>
      <c r="P927" s="56"/>
      <c r="Q927" s="56"/>
      <c r="R927" s="56"/>
      <c r="S927" s="56"/>
      <c r="T927" s="56"/>
      <c r="U927" s="56"/>
      <c r="V927" s="56"/>
      <c r="W927" s="56"/>
      <c r="X927" s="56"/>
      <c r="Y927" s="56"/>
      <c r="Z927" s="56"/>
      <c r="AA927" s="56"/>
      <c r="AB927" s="56"/>
      <c r="AC927" s="56"/>
      <c r="AD927" s="56"/>
      <c r="AE927" s="56"/>
      <c r="AF927" s="56"/>
      <c r="AG927" s="56"/>
      <c r="AH927" s="56"/>
      <c r="AI927" s="58"/>
      <c r="AJ927" s="56"/>
      <c r="AK927" s="56"/>
      <c r="AL927" s="56"/>
      <c r="AM927" s="57"/>
      <c r="AN927" s="57"/>
      <c r="AO927" s="56"/>
      <c r="AP927" s="56"/>
      <c r="AQ927" s="57"/>
      <c r="AR927" s="57"/>
      <c r="AS927" s="57"/>
      <c r="AT927" s="67">
        <f t="shared" ca="1" si="88"/>
        <v>0</v>
      </c>
      <c r="AU927" s="79" t="str">
        <f t="shared" ca="1" si="89"/>
        <v/>
      </c>
      <c r="AV927" s="79" t="str" cm="1">
        <f t="array" aca="1" ref="AV927" ca="1">IFERROR(_xlfn.IFS($AU927="","",$AU927&lt;=15,"0-15",AND($AU927&gt;=16,$AU927&lt;=30),"16-30",AND($AU927&gt;=31,$AU927&lt;=45),"31-45",AND($AU927&gt;=46,$AU927&lt;=60),"46-60",AND($AU927&gt;=61,$AU927&lt;=90),"61-90",AND($AU927&gt;=91),"&gt; 90",AND($AU927&gt;=2000),""),"")</f>
        <v/>
      </c>
      <c r="AW927" s="79" t="str" cm="1">
        <f t="array" aca="1" ref="AW927" ca="1">IFERROR(_xlfn.IFS(OR($M927="",$AM927=""),"",OR($C927="Offered",$C927="Joined"),($AM927-$M927)-$AT927),"")</f>
        <v/>
      </c>
      <c r="AX927" s="79" t="str" cm="1">
        <f t="array" aca="1" ref="AX927" ca="1">IFERROR(_xlfn.IFS(OR($M927="",$AS927=""),"",$C927="Joined",($AS927-$M927)-$AT927),"")</f>
        <v/>
      </c>
      <c r="AY927" s="67" t="str">
        <f>IFERROR(IF(COUNTIFS('Candidate Tracker'!$E:$E,'Positions Tracker'!$B927,'Candidate Tracker'!$C:$C,"Offer Drop")=0,"",COUNTIFS('Candidate Tracker'!$E:$E,'Positions Tracker'!$B927,'Candidate Tracker'!$C:$C,"Offer Drop")),"")</f>
        <v/>
      </c>
      <c r="AZ927" s="80">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0.88111888111888115</v>
      </c>
      <c r="BA927" s="81" t="str">
        <f>IFERROR(IF(COUNTIFS('Candidate Tracker'!$E:$E,'Positions Tracker'!$B927,'Candidate Tracker'!$I:$I,"Female")=0,"",COUNTIFS('Candidate Tracker'!$E:$E,'Positions Tracker'!$B927,'Candidate Tracker'!$I:$I,"Female")),"")</f>
        <v/>
      </c>
      <c r="BB927" s="81" t="str">
        <f>IFERROR(IF(COUNTIFS('Candidate Tracker'!$E:$E,'Positions Tracker'!$B927,'Candidate Tracker'!$I:$I,"male")=0,"",COUNTIFS('Candidate Tracker'!$E:$E,'Positions Tracker'!$B927,'Candidate Tracker'!$I:$I,"male")),"")</f>
        <v/>
      </c>
      <c r="BC927" s="80" t="str">
        <f>IFERROR(IF(COUNTIFS('Candidate Tracker'!$E:$E,'Positions Tracker'!$B927,'Candidate Tracker'!$C:$C,"&lt;&gt;WIP",'Candidate Tracker'!$C:$C,"&lt;&gt;Hold",'Candidate Tracker'!$C:$C,"&lt;&gt;Cancelled",'Candidate Tracker'!$C:$C,"&lt;&gt;Closed")/COUNTIFS('Candidate Tracker'!$E:$E,'Positions Tracker'!$B927)=0,"",COUNTIFS('Candidate Tracker'!$E:$E,'Positions Tracker'!$B927,'Candidate Tracker'!$C:$C,"&lt;&gt;WIP",'Candidate Tracker'!$C:$C,"&lt;&gt;Hold",'Candidate Tracker'!$C:$C,"&lt;&gt;Cancelled",'Candidate Tracker'!$C:$C,"&lt;&gt;Closed")/COUNTIFS('Candidate Tracker'!$E:$E,'Positions Tracker'!$B927)),"")</f>
        <v/>
      </c>
      <c r="BD927" s="67" t="str">
        <f t="shared" si="84"/>
        <v/>
      </c>
      <c r="BE927" s="67" t="str">
        <f t="shared" si="85"/>
        <v/>
      </c>
      <c r="BF927" s="67" t="str">
        <f t="shared" si="86"/>
        <v/>
      </c>
      <c r="BG927" s="67" t="str">
        <f t="shared" si="87"/>
        <v/>
      </c>
    </row>
    <row r="928" spans="1:59">
      <c r="A928" s="55"/>
      <c r="B928" s="56"/>
      <c r="C928" s="56"/>
      <c r="D928" s="56"/>
      <c r="E928" s="56"/>
      <c r="F928" s="56"/>
      <c r="G928" s="56"/>
      <c r="H928" s="56"/>
      <c r="I928" s="6"/>
      <c r="J928" s="6"/>
      <c r="K928" s="57"/>
      <c r="L928" s="57"/>
      <c r="M928" s="57"/>
      <c r="N928" s="56"/>
      <c r="O928" s="56"/>
      <c r="P928" s="56"/>
      <c r="Q928" s="56"/>
      <c r="R928" s="56"/>
      <c r="S928" s="56"/>
      <c r="T928" s="56"/>
      <c r="U928" s="56"/>
      <c r="V928" s="56"/>
      <c r="W928" s="56"/>
      <c r="X928" s="56"/>
      <c r="Y928" s="56"/>
      <c r="Z928" s="56"/>
      <c r="AA928" s="56"/>
      <c r="AB928" s="56"/>
      <c r="AC928" s="56"/>
      <c r="AD928" s="56"/>
      <c r="AE928" s="56"/>
      <c r="AF928" s="56"/>
      <c r="AG928" s="56"/>
      <c r="AH928" s="56"/>
      <c r="AI928" s="58"/>
      <c r="AJ928" s="56"/>
      <c r="AK928" s="56"/>
      <c r="AL928" s="56"/>
      <c r="AM928" s="57"/>
      <c r="AN928" s="57"/>
      <c r="AO928" s="56"/>
      <c r="AP928" s="56"/>
      <c r="AQ928" s="57"/>
      <c r="AR928" s="57"/>
      <c r="AS928" s="57"/>
      <c r="AT928" s="67">
        <f t="shared" ca="1" si="88"/>
        <v>0</v>
      </c>
      <c r="AU928" s="79" t="str">
        <f t="shared" ca="1" si="89"/>
        <v/>
      </c>
      <c r="AV928" s="79" t="str" cm="1">
        <f t="array" aca="1" ref="AV928" ca="1">IFERROR(_xlfn.IFS($AU928="","",$AU928&lt;=15,"0-15",AND($AU928&gt;=16,$AU928&lt;=30),"16-30",AND($AU928&gt;=31,$AU928&lt;=45),"31-45",AND($AU928&gt;=46,$AU928&lt;=60),"46-60",AND($AU928&gt;=61,$AU928&lt;=90),"61-90",AND($AU928&gt;=91),"&gt; 90",AND($AU928&gt;=2000),""),"")</f>
        <v/>
      </c>
      <c r="AW928" s="79" t="str" cm="1">
        <f t="array" aca="1" ref="AW928" ca="1">IFERROR(_xlfn.IFS(OR($M928="",$AM928=""),"",OR($C928="Offered",$C928="Joined"),($AM928-$M928)-$AT928),"")</f>
        <v/>
      </c>
      <c r="AX928" s="79" t="str" cm="1">
        <f t="array" aca="1" ref="AX928" ca="1">IFERROR(_xlfn.IFS(OR($M928="",$AS928=""),"",$C928="Joined",($AS928-$M928)-$AT928),"")</f>
        <v/>
      </c>
      <c r="AY928" s="67" t="str">
        <f>IFERROR(IF(COUNTIFS('Candidate Tracker'!$E:$E,'Positions Tracker'!$B928,'Candidate Tracker'!$C:$C,"Offer Drop")=0,"",COUNTIFS('Candidate Tracker'!$E:$E,'Positions Tracker'!$B928,'Candidate Tracker'!$C:$C,"Offer Drop")),"")</f>
        <v/>
      </c>
      <c r="AZ928" s="80">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0.88111888111888115</v>
      </c>
      <c r="BA928" s="81" t="str">
        <f>IFERROR(IF(COUNTIFS('Candidate Tracker'!$E:$E,'Positions Tracker'!$B928,'Candidate Tracker'!$I:$I,"Female")=0,"",COUNTIFS('Candidate Tracker'!$E:$E,'Positions Tracker'!$B928,'Candidate Tracker'!$I:$I,"Female")),"")</f>
        <v/>
      </c>
      <c r="BB928" s="81" t="str">
        <f>IFERROR(IF(COUNTIFS('Candidate Tracker'!$E:$E,'Positions Tracker'!$B928,'Candidate Tracker'!$I:$I,"male")=0,"",COUNTIFS('Candidate Tracker'!$E:$E,'Positions Tracker'!$B928,'Candidate Tracker'!$I:$I,"male")),"")</f>
        <v/>
      </c>
      <c r="BC928" s="80" t="str">
        <f>IFERROR(IF(COUNTIFS('Candidate Tracker'!$E:$E,'Positions Tracker'!$B928,'Candidate Tracker'!$C:$C,"&lt;&gt;WIP",'Candidate Tracker'!$C:$C,"&lt;&gt;Hold",'Candidate Tracker'!$C:$C,"&lt;&gt;Cancelled",'Candidate Tracker'!$C:$C,"&lt;&gt;Closed")/COUNTIFS('Candidate Tracker'!$E:$E,'Positions Tracker'!$B928)=0,"",COUNTIFS('Candidate Tracker'!$E:$E,'Positions Tracker'!$B928,'Candidate Tracker'!$C:$C,"&lt;&gt;WIP",'Candidate Tracker'!$C:$C,"&lt;&gt;Hold",'Candidate Tracker'!$C:$C,"&lt;&gt;Cancelled",'Candidate Tracker'!$C:$C,"&lt;&gt;Closed")/COUNTIFS('Candidate Tracker'!$E:$E,'Positions Tracker'!$B928)),"")</f>
        <v/>
      </c>
      <c r="BD928" s="67" t="str">
        <f t="shared" si="84"/>
        <v/>
      </c>
      <c r="BE928" s="67" t="str">
        <f t="shared" si="85"/>
        <v/>
      </c>
      <c r="BF928" s="67" t="str">
        <f t="shared" si="86"/>
        <v/>
      </c>
      <c r="BG928" s="67" t="str">
        <f t="shared" si="87"/>
        <v/>
      </c>
    </row>
    <row r="929" spans="1:59">
      <c r="A929" s="55"/>
      <c r="B929" s="56"/>
      <c r="C929" s="56"/>
      <c r="D929" s="56"/>
      <c r="E929" s="56"/>
      <c r="F929" s="56"/>
      <c r="G929" s="56"/>
      <c r="H929" s="56"/>
      <c r="I929" s="6"/>
      <c r="J929" s="6"/>
      <c r="K929" s="57"/>
      <c r="L929" s="57"/>
      <c r="M929" s="57"/>
      <c r="N929" s="56"/>
      <c r="O929" s="56"/>
      <c r="P929" s="56"/>
      <c r="Q929" s="56"/>
      <c r="R929" s="56"/>
      <c r="S929" s="56"/>
      <c r="T929" s="56"/>
      <c r="U929" s="56"/>
      <c r="V929" s="56"/>
      <c r="W929" s="56"/>
      <c r="X929" s="56"/>
      <c r="Y929" s="56"/>
      <c r="Z929" s="56"/>
      <c r="AA929" s="56"/>
      <c r="AB929" s="56"/>
      <c r="AC929" s="56"/>
      <c r="AD929" s="56"/>
      <c r="AE929" s="56"/>
      <c r="AF929" s="56"/>
      <c r="AG929" s="56"/>
      <c r="AH929" s="56"/>
      <c r="AI929" s="58"/>
      <c r="AJ929" s="56"/>
      <c r="AK929" s="56"/>
      <c r="AL929" s="56"/>
      <c r="AM929" s="57"/>
      <c r="AN929" s="57"/>
      <c r="AO929" s="56"/>
      <c r="AP929" s="56"/>
      <c r="AQ929" s="57"/>
      <c r="AR929" s="57"/>
      <c r="AS929" s="57"/>
      <c r="AT929" s="67">
        <f t="shared" ca="1" si="88"/>
        <v>0</v>
      </c>
      <c r="AU929" s="79" t="str">
        <f t="shared" ca="1" si="89"/>
        <v/>
      </c>
      <c r="AV929" s="79" t="str" cm="1">
        <f t="array" aca="1" ref="AV929" ca="1">IFERROR(_xlfn.IFS($AU929="","",$AU929&lt;=15,"0-15",AND($AU929&gt;=16,$AU929&lt;=30),"16-30",AND($AU929&gt;=31,$AU929&lt;=45),"31-45",AND($AU929&gt;=46,$AU929&lt;=60),"46-60",AND($AU929&gt;=61,$AU929&lt;=90),"61-90",AND($AU929&gt;=91),"&gt; 90",AND($AU929&gt;=2000),""),"")</f>
        <v/>
      </c>
      <c r="AW929" s="79" t="str" cm="1">
        <f t="array" aca="1" ref="AW929" ca="1">IFERROR(_xlfn.IFS(OR($M929="",$AM929=""),"",OR($C929="Offered",$C929="Joined"),($AM929-$M929)-$AT929),"")</f>
        <v/>
      </c>
      <c r="AX929" s="79" t="str" cm="1">
        <f t="array" aca="1" ref="AX929" ca="1">IFERROR(_xlfn.IFS(OR($M929="",$AS929=""),"",$C929="Joined",($AS929-$M929)-$AT929),"")</f>
        <v/>
      </c>
      <c r="AY929" s="67" t="str">
        <f>IFERROR(IF(COUNTIFS('Candidate Tracker'!$E:$E,'Positions Tracker'!$B929,'Candidate Tracker'!$C:$C,"Offer Drop")=0,"",COUNTIFS('Candidate Tracker'!$E:$E,'Positions Tracker'!$B929,'Candidate Tracker'!$C:$C,"Offer Drop")),"")</f>
        <v/>
      </c>
      <c r="AZ929" s="80">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0.88111888111888115</v>
      </c>
      <c r="BA929" s="81" t="str">
        <f>IFERROR(IF(COUNTIFS('Candidate Tracker'!$E:$E,'Positions Tracker'!$B929,'Candidate Tracker'!$I:$I,"Female")=0,"",COUNTIFS('Candidate Tracker'!$E:$E,'Positions Tracker'!$B929,'Candidate Tracker'!$I:$I,"Female")),"")</f>
        <v/>
      </c>
      <c r="BB929" s="81" t="str">
        <f>IFERROR(IF(COUNTIFS('Candidate Tracker'!$E:$E,'Positions Tracker'!$B929,'Candidate Tracker'!$I:$I,"male")=0,"",COUNTIFS('Candidate Tracker'!$E:$E,'Positions Tracker'!$B929,'Candidate Tracker'!$I:$I,"male")),"")</f>
        <v/>
      </c>
      <c r="BC929" s="80" t="str">
        <f>IFERROR(IF(COUNTIFS('Candidate Tracker'!$E:$E,'Positions Tracker'!$B929,'Candidate Tracker'!$C:$C,"&lt;&gt;WIP",'Candidate Tracker'!$C:$C,"&lt;&gt;Hold",'Candidate Tracker'!$C:$C,"&lt;&gt;Cancelled",'Candidate Tracker'!$C:$C,"&lt;&gt;Closed")/COUNTIFS('Candidate Tracker'!$E:$E,'Positions Tracker'!$B929)=0,"",COUNTIFS('Candidate Tracker'!$E:$E,'Positions Tracker'!$B929,'Candidate Tracker'!$C:$C,"&lt;&gt;WIP",'Candidate Tracker'!$C:$C,"&lt;&gt;Hold",'Candidate Tracker'!$C:$C,"&lt;&gt;Cancelled",'Candidate Tracker'!$C:$C,"&lt;&gt;Closed")/COUNTIFS('Candidate Tracker'!$E:$E,'Positions Tracker'!$B929)),"")</f>
        <v/>
      </c>
      <c r="BD929" s="67" t="str">
        <f t="shared" si="84"/>
        <v/>
      </c>
      <c r="BE929" s="67" t="str">
        <f t="shared" si="85"/>
        <v/>
      </c>
      <c r="BF929" s="67" t="str">
        <f t="shared" si="86"/>
        <v/>
      </c>
      <c r="BG929" s="67" t="str">
        <f t="shared" si="87"/>
        <v/>
      </c>
    </row>
    <row r="930" spans="1:59">
      <c r="A930" s="55"/>
      <c r="B930" s="56"/>
      <c r="C930" s="56"/>
      <c r="D930" s="56"/>
      <c r="E930" s="56"/>
      <c r="F930" s="56"/>
      <c r="G930" s="56"/>
      <c r="H930" s="56"/>
      <c r="I930" s="6"/>
      <c r="J930" s="6"/>
      <c r="K930" s="57"/>
      <c r="L930" s="57"/>
      <c r="M930" s="57"/>
      <c r="N930" s="56"/>
      <c r="O930" s="56"/>
      <c r="P930" s="56"/>
      <c r="Q930" s="56"/>
      <c r="R930" s="56"/>
      <c r="S930" s="56"/>
      <c r="T930" s="56"/>
      <c r="U930" s="56"/>
      <c r="V930" s="56"/>
      <c r="W930" s="56"/>
      <c r="X930" s="56"/>
      <c r="Y930" s="56"/>
      <c r="Z930" s="56"/>
      <c r="AA930" s="56"/>
      <c r="AB930" s="56"/>
      <c r="AC930" s="56"/>
      <c r="AD930" s="56"/>
      <c r="AE930" s="56"/>
      <c r="AF930" s="56"/>
      <c r="AG930" s="56"/>
      <c r="AH930" s="56"/>
      <c r="AI930" s="58"/>
      <c r="AJ930" s="56"/>
      <c r="AK930" s="56"/>
      <c r="AL930" s="56"/>
      <c r="AM930" s="57"/>
      <c r="AN930" s="57"/>
      <c r="AO930" s="56"/>
      <c r="AP930" s="56"/>
      <c r="AQ930" s="57"/>
      <c r="AR930" s="57"/>
      <c r="AS930" s="57"/>
      <c r="AT930" s="67">
        <f t="shared" ca="1" si="88"/>
        <v>0</v>
      </c>
      <c r="AU930" s="79" t="str">
        <f t="shared" ca="1" si="89"/>
        <v/>
      </c>
      <c r="AV930" s="79" t="str" cm="1">
        <f t="array" aca="1" ref="AV930" ca="1">IFERROR(_xlfn.IFS($AU930="","",$AU930&lt;=15,"0-15",AND($AU930&gt;=16,$AU930&lt;=30),"16-30",AND($AU930&gt;=31,$AU930&lt;=45),"31-45",AND($AU930&gt;=46,$AU930&lt;=60),"46-60",AND($AU930&gt;=61,$AU930&lt;=90),"61-90",AND($AU930&gt;=91),"&gt; 90",AND($AU930&gt;=2000),""),"")</f>
        <v/>
      </c>
      <c r="AW930" s="79" t="str" cm="1">
        <f t="array" aca="1" ref="AW930" ca="1">IFERROR(_xlfn.IFS(OR($M930="",$AM930=""),"",OR($C930="Offered",$C930="Joined"),($AM930-$M930)-$AT930),"")</f>
        <v/>
      </c>
      <c r="AX930" s="79" t="str" cm="1">
        <f t="array" aca="1" ref="AX930" ca="1">IFERROR(_xlfn.IFS(OR($M930="",$AS930=""),"",$C930="Joined",($AS930-$M930)-$AT930),"")</f>
        <v/>
      </c>
      <c r="AY930" s="67" t="str">
        <f>IFERROR(IF(COUNTIFS('Candidate Tracker'!$E:$E,'Positions Tracker'!$B930,'Candidate Tracker'!$C:$C,"Offer Drop")=0,"",COUNTIFS('Candidate Tracker'!$E:$E,'Positions Tracker'!$B930,'Candidate Tracker'!$C:$C,"Offer Drop")),"")</f>
        <v/>
      </c>
      <c r="AZ930" s="80">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0.88111888111888115</v>
      </c>
      <c r="BA930" s="81" t="str">
        <f>IFERROR(IF(COUNTIFS('Candidate Tracker'!$E:$E,'Positions Tracker'!$B930,'Candidate Tracker'!$I:$I,"Female")=0,"",COUNTIFS('Candidate Tracker'!$E:$E,'Positions Tracker'!$B930,'Candidate Tracker'!$I:$I,"Female")),"")</f>
        <v/>
      </c>
      <c r="BB930" s="81" t="str">
        <f>IFERROR(IF(COUNTIFS('Candidate Tracker'!$E:$E,'Positions Tracker'!$B930,'Candidate Tracker'!$I:$I,"male")=0,"",COUNTIFS('Candidate Tracker'!$E:$E,'Positions Tracker'!$B930,'Candidate Tracker'!$I:$I,"male")),"")</f>
        <v/>
      </c>
      <c r="BC930" s="80" t="str">
        <f>IFERROR(IF(COUNTIFS('Candidate Tracker'!$E:$E,'Positions Tracker'!$B930,'Candidate Tracker'!$C:$C,"&lt;&gt;WIP",'Candidate Tracker'!$C:$C,"&lt;&gt;Hold",'Candidate Tracker'!$C:$C,"&lt;&gt;Cancelled",'Candidate Tracker'!$C:$C,"&lt;&gt;Closed")/COUNTIFS('Candidate Tracker'!$E:$E,'Positions Tracker'!$B930)=0,"",COUNTIFS('Candidate Tracker'!$E:$E,'Positions Tracker'!$B930,'Candidate Tracker'!$C:$C,"&lt;&gt;WIP",'Candidate Tracker'!$C:$C,"&lt;&gt;Hold",'Candidate Tracker'!$C:$C,"&lt;&gt;Cancelled",'Candidate Tracker'!$C:$C,"&lt;&gt;Closed")/COUNTIFS('Candidate Tracker'!$E:$E,'Positions Tracker'!$B930)),"")</f>
        <v/>
      </c>
      <c r="BD930" s="67" t="str">
        <f t="shared" si="84"/>
        <v/>
      </c>
      <c r="BE930" s="67" t="str">
        <f t="shared" si="85"/>
        <v/>
      </c>
      <c r="BF930" s="67" t="str">
        <f t="shared" si="86"/>
        <v/>
      </c>
      <c r="BG930" s="67" t="str">
        <f t="shared" si="87"/>
        <v/>
      </c>
    </row>
    <row r="931" spans="1:59">
      <c r="A931" s="55"/>
      <c r="B931" s="56"/>
      <c r="C931" s="56"/>
      <c r="D931" s="56"/>
      <c r="E931" s="56"/>
      <c r="F931" s="56"/>
      <c r="G931" s="56"/>
      <c r="H931" s="56"/>
      <c r="I931" s="6"/>
      <c r="J931" s="6"/>
      <c r="K931" s="57"/>
      <c r="L931" s="57"/>
      <c r="M931" s="57"/>
      <c r="N931" s="56"/>
      <c r="O931" s="56"/>
      <c r="P931" s="56"/>
      <c r="Q931" s="56"/>
      <c r="R931" s="56"/>
      <c r="S931" s="56"/>
      <c r="T931" s="56"/>
      <c r="U931" s="56"/>
      <c r="V931" s="56"/>
      <c r="W931" s="56"/>
      <c r="X931" s="56"/>
      <c r="Y931" s="56"/>
      <c r="Z931" s="56"/>
      <c r="AA931" s="56"/>
      <c r="AB931" s="56"/>
      <c r="AC931" s="56"/>
      <c r="AD931" s="56"/>
      <c r="AE931" s="56"/>
      <c r="AF931" s="56"/>
      <c r="AG931" s="56"/>
      <c r="AH931" s="56"/>
      <c r="AI931" s="58"/>
      <c r="AJ931" s="56"/>
      <c r="AK931" s="56"/>
      <c r="AL931" s="56"/>
      <c r="AM931" s="57"/>
      <c r="AN931" s="57"/>
      <c r="AO931" s="56"/>
      <c r="AP931" s="56"/>
      <c r="AQ931" s="57"/>
      <c r="AR931" s="57"/>
      <c r="AS931" s="57"/>
      <c r="AT931" s="67">
        <f t="shared" ca="1" si="88"/>
        <v>0</v>
      </c>
      <c r="AU931" s="79" t="str">
        <f t="shared" ca="1" si="89"/>
        <v/>
      </c>
      <c r="AV931" s="79" t="str" cm="1">
        <f t="array" aca="1" ref="AV931" ca="1">IFERROR(_xlfn.IFS($AU931="","",$AU931&lt;=15,"0-15",AND($AU931&gt;=16,$AU931&lt;=30),"16-30",AND($AU931&gt;=31,$AU931&lt;=45),"31-45",AND($AU931&gt;=46,$AU931&lt;=60),"46-60",AND($AU931&gt;=61,$AU931&lt;=90),"61-90",AND($AU931&gt;=91),"&gt; 90",AND($AU931&gt;=2000),""),"")</f>
        <v/>
      </c>
      <c r="AW931" s="79" t="str" cm="1">
        <f t="array" aca="1" ref="AW931" ca="1">IFERROR(_xlfn.IFS(OR($M931="",$AM931=""),"",OR($C931="Offered",$C931="Joined"),($AM931-$M931)-$AT931),"")</f>
        <v/>
      </c>
      <c r="AX931" s="79" t="str" cm="1">
        <f t="array" aca="1" ref="AX931" ca="1">IFERROR(_xlfn.IFS(OR($M931="",$AS931=""),"",$C931="Joined",($AS931-$M931)-$AT931),"")</f>
        <v/>
      </c>
      <c r="AY931" s="67" t="str">
        <f>IFERROR(IF(COUNTIFS('Candidate Tracker'!$E:$E,'Positions Tracker'!$B931,'Candidate Tracker'!$C:$C,"Offer Drop")=0,"",COUNTIFS('Candidate Tracker'!$E:$E,'Positions Tracker'!$B931,'Candidate Tracker'!$C:$C,"Offer Drop")),"")</f>
        <v/>
      </c>
      <c r="AZ931" s="80">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0.88111888111888115</v>
      </c>
      <c r="BA931" s="81" t="str">
        <f>IFERROR(IF(COUNTIFS('Candidate Tracker'!$E:$E,'Positions Tracker'!$B931,'Candidate Tracker'!$I:$I,"Female")=0,"",COUNTIFS('Candidate Tracker'!$E:$E,'Positions Tracker'!$B931,'Candidate Tracker'!$I:$I,"Female")),"")</f>
        <v/>
      </c>
      <c r="BB931" s="81" t="str">
        <f>IFERROR(IF(COUNTIFS('Candidate Tracker'!$E:$E,'Positions Tracker'!$B931,'Candidate Tracker'!$I:$I,"male")=0,"",COUNTIFS('Candidate Tracker'!$E:$E,'Positions Tracker'!$B931,'Candidate Tracker'!$I:$I,"male")),"")</f>
        <v/>
      </c>
      <c r="BC931" s="80" t="str">
        <f>IFERROR(IF(COUNTIFS('Candidate Tracker'!$E:$E,'Positions Tracker'!$B931,'Candidate Tracker'!$C:$C,"&lt;&gt;WIP",'Candidate Tracker'!$C:$C,"&lt;&gt;Hold",'Candidate Tracker'!$C:$C,"&lt;&gt;Cancelled",'Candidate Tracker'!$C:$C,"&lt;&gt;Closed")/COUNTIFS('Candidate Tracker'!$E:$E,'Positions Tracker'!$B931)=0,"",COUNTIFS('Candidate Tracker'!$E:$E,'Positions Tracker'!$B931,'Candidate Tracker'!$C:$C,"&lt;&gt;WIP",'Candidate Tracker'!$C:$C,"&lt;&gt;Hold",'Candidate Tracker'!$C:$C,"&lt;&gt;Cancelled",'Candidate Tracker'!$C:$C,"&lt;&gt;Closed")/COUNTIFS('Candidate Tracker'!$E:$E,'Positions Tracker'!$B931)),"")</f>
        <v/>
      </c>
      <c r="BD931" s="67" t="str">
        <f t="shared" si="84"/>
        <v/>
      </c>
      <c r="BE931" s="67" t="str">
        <f t="shared" si="85"/>
        <v/>
      </c>
      <c r="BF931" s="67" t="str">
        <f t="shared" si="86"/>
        <v/>
      </c>
      <c r="BG931" s="67" t="str">
        <f t="shared" si="87"/>
        <v/>
      </c>
    </row>
    <row r="932" spans="1:59">
      <c r="A932" s="55"/>
      <c r="B932" s="56"/>
      <c r="C932" s="56"/>
      <c r="D932" s="56"/>
      <c r="E932" s="56"/>
      <c r="F932" s="56"/>
      <c r="G932" s="56"/>
      <c r="H932" s="56"/>
      <c r="I932" s="6"/>
      <c r="J932" s="6"/>
      <c r="K932" s="57"/>
      <c r="L932" s="57"/>
      <c r="M932" s="57"/>
      <c r="N932" s="56"/>
      <c r="O932" s="56"/>
      <c r="P932" s="56"/>
      <c r="Q932" s="56"/>
      <c r="R932" s="56"/>
      <c r="S932" s="56"/>
      <c r="T932" s="56"/>
      <c r="U932" s="56"/>
      <c r="V932" s="56"/>
      <c r="W932" s="56"/>
      <c r="X932" s="56"/>
      <c r="Y932" s="56"/>
      <c r="Z932" s="56"/>
      <c r="AA932" s="56"/>
      <c r="AB932" s="56"/>
      <c r="AC932" s="56"/>
      <c r="AD932" s="56"/>
      <c r="AE932" s="56"/>
      <c r="AF932" s="56"/>
      <c r="AG932" s="56"/>
      <c r="AH932" s="56"/>
      <c r="AI932" s="58"/>
      <c r="AJ932" s="56"/>
      <c r="AK932" s="56"/>
      <c r="AL932" s="56"/>
      <c r="AM932" s="57"/>
      <c r="AN932" s="57"/>
      <c r="AO932" s="56"/>
      <c r="AP932" s="56"/>
      <c r="AQ932" s="57"/>
      <c r="AR932" s="57"/>
      <c r="AS932" s="57"/>
      <c r="AT932" s="67">
        <f t="shared" ca="1" si="88"/>
        <v>0</v>
      </c>
      <c r="AU932" s="79" t="str">
        <f t="shared" ca="1" si="89"/>
        <v/>
      </c>
      <c r="AV932" s="79" t="str" cm="1">
        <f t="array" aca="1" ref="AV932" ca="1">IFERROR(_xlfn.IFS($AU932="","",$AU932&lt;=15,"0-15",AND($AU932&gt;=16,$AU932&lt;=30),"16-30",AND($AU932&gt;=31,$AU932&lt;=45),"31-45",AND($AU932&gt;=46,$AU932&lt;=60),"46-60",AND($AU932&gt;=61,$AU932&lt;=90),"61-90",AND($AU932&gt;=91),"&gt; 90",AND($AU932&gt;=2000),""),"")</f>
        <v/>
      </c>
      <c r="AW932" s="79" t="str" cm="1">
        <f t="array" aca="1" ref="AW932" ca="1">IFERROR(_xlfn.IFS(OR($M932="",$AM932=""),"",OR($C932="Offered",$C932="Joined"),($AM932-$M932)-$AT932),"")</f>
        <v/>
      </c>
      <c r="AX932" s="79" t="str" cm="1">
        <f t="array" aca="1" ref="AX932" ca="1">IFERROR(_xlfn.IFS(OR($M932="",$AS932=""),"",$C932="Joined",($AS932-$M932)-$AT932),"")</f>
        <v/>
      </c>
      <c r="AY932" s="67" t="str">
        <f>IFERROR(IF(COUNTIFS('Candidate Tracker'!$E:$E,'Positions Tracker'!$B932,'Candidate Tracker'!$C:$C,"Offer Drop")=0,"",COUNTIFS('Candidate Tracker'!$E:$E,'Positions Tracker'!$B932,'Candidate Tracker'!$C:$C,"Offer Drop")),"")</f>
        <v/>
      </c>
      <c r="AZ932" s="80">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0.88111888111888115</v>
      </c>
      <c r="BA932" s="81" t="str">
        <f>IFERROR(IF(COUNTIFS('Candidate Tracker'!$E:$E,'Positions Tracker'!$B932,'Candidate Tracker'!$I:$I,"Female")=0,"",COUNTIFS('Candidate Tracker'!$E:$E,'Positions Tracker'!$B932,'Candidate Tracker'!$I:$I,"Female")),"")</f>
        <v/>
      </c>
      <c r="BB932" s="81" t="str">
        <f>IFERROR(IF(COUNTIFS('Candidate Tracker'!$E:$E,'Positions Tracker'!$B932,'Candidate Tracker'!$I:$I,"male")=0,"",COUNTIFS('Candidate Tracker'!$E:$E,'Positions Tracker'!$B932,'Candidate Tracker'!$I:$I,"male")),"")</f>
        <v/>
      </c>
      <c r="BC932" s="80" t="str">
        <f>IFERROR(IF(COUNTIFS('Candidate Tracker'!$E:$E,'Positions Tracker'!$B932,'Candidate Tracker'!$C:$C,"&lt;&gt;WIP",'Candidate Tracker'!$C:$C,"&lt;&gt;Hold",'Candidate Tracker'!$C:$C,"&lt;&gt;Cancelled",'Candidate Tracker'!$C:$C,"&lt;&gt;Closed")/COUNTIFS('Candidate Tracker'!$E:$E,'Positions Tracker'!$B932)=0,"",COUNTIFS('Candidate Tracker'!$E:$E,'Positions Tracker'!$B932,'Candidate Tracker'!$C:$C,"&lt;&gt;WIP",'Candidate Tracker'!$C:$C,"&lt;&gt;Hold",'Candidate Tracker'!$C:$C,"&lt;&gt;Cancelled",'Candidate Tracker'!$C:$C,"&lt;&gt;Closed")/COUNTIFS('Candidate Tracker'!$E:$E,'Positions Tracker'!$B932)),"")</f>
        <v/>
      </c>
      <c r="BD932" s="67" t="str">
        <f t="shared" si="84"/>
        <v/>
      </c>
      <c r="BE932" s="67" t="str">
        <f t="shared" si="85"/>
        <v/>
      </c>
      <c r="BF932" s="67" t="str">
        <f t="shared" si="86"/>
        <v/>
      </c>
      <c r="BG932" s="67" t="str">
        <f t="shared" si="87"/>
        <v/>
      </c>
    </row>
    <row r="933" spans="1:59">
      <c r="A933" s="55"/>
      <c r="B933" s="56"/>
      <c r="C933" s="56"/>
      <c r="D933" s="56"/>
      <c r="E933" s="56"/>
      <c r="F933" s="56"/>
      <c r="G933" s="56"/>
      <c r="H933" s="56"/>
      <c r="I933" s="6"/>
      <c r="J933" s="6"/>
      <c r="K933" s="57"/>
      <c r="L933" s="57"/>
      <c r="M933" s="57"/>
      <c r="N933" s="56"/>
      <c r="O933" s="56"/>
      <c r="P933" s="56"/>
      <c r="Q933" s="56"/>
      <c r="R933" s="56"/>
      <c r="S933" s="56"/>
      <c r="T933" s="56"/>
      <c r="U933" s="56"/>
      <c r="V933" s="56"/>
      <c r="W933" s="56"/>
      <c r="X933" s="56"/>
      <c r="Y933" s="56"/>
      <c r="Z933" s="56"/>
      <c r="AA933" s="56"/>
      <c r="AB933" s="56"/>
      <c r="AC933" s="56"/>
      <c r="AD933" s="56"/>
      <c r="AE933" s="56"/>
      <c r="AF933" s="56"/>
      <c r="AG933" s="56"/>
      <c r="AH933" s="56"/>
      <c r="AI933" s="58"/>
      <c r="AJ933" s="56"/>
      <c r="AK933" s="56"/>
      <c r="AL933" s="56"/>
      <c r="AM933" s="57"/>
      <c r="AN933" s="57"/>
      <c r="AO933" s="56"/>
      <c r="AP933" s="56"/>
      <c r="AQ933" s="57"/>
      <c r="AR933" s="57"/>
      <c r="AS933" s="57"/>
      <c r="AT933" s="67">
        <f t="shared" ca="1" si="88"/>
        <v>0</v>
      </c>
      <c r="AU933" s="79" t="str">
        <f t="shared" ca="1" si="89"/>
        <v/>
      </c>
      <c r="AV933" s="79" t="str" cm="1">
        <f t="array" aca="1" ref="AV933" ca="1">IFERROR(_xlfn.IFS($AU933="","",$AU933&lt;=15,"0-15",AND($AU933&gt;=16,$AU933&lt;=30),"16-30",AND($AU933&gt;=31,$AU933&lt;=45),"31-45",AND($AU933&gt;=46,$AU933&lt;=60),"46-60",AND($AU933&gt;=61,$AU933&lt;=90),"61-90",AND($AU933&gt;=91),"&gt; 90",AND($AU933&gt;=2000),""),"")</f>
        <v/>
      </c>
      <c r="AW933" s="79" t="str" cm="1">
        <f t="array" aca="1" ref="AW933" ca="1">IFERROR(_xlfn.IFS(OR($M933="",$AM933=""),"",OR($C933="Offered",$C933="Joined"),($AM933-$M933)-$AT933),"")</f>
        <v/>
      </c>
      <c r="AX933" s="79" t="str" cm="1">
        <f t="array" aca="1" ref="AX933" ca="1">IFERROR(_xlfn.IFS(OR($M933="",$AS933=""),"",$C933="Joined",($AS933-$M933)-$AT933),"")</f>
        <v/>
      </c>
      <c r="AY933" s="67" t="str">
        <f>IFERROR(IF(COUNTIFS('Candidate Tracker'!$E:$E,'Positions Tracker'!$B933,'Candidate Tracker'!$C:$C,"Offer Drop")=0,"",COUNTIFS('Candidate Tracker'!$E:$E,'Positions Tracker'!$B933,'Candidate Tracker'!$C:$C,"Offer Drop")),"")</f>
        <v/>
      </c>
      <c r="AZ933" s="80">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0.88111888111888115</v>
      </c>
      <c r="BA933" s="81" t="str">
        <f>IFERROR(IF(COUNTIFS('Candidate Tracker'!$E:$E,'Positions Tracker'!$B933,'Candidate Tracker'!$I:$I,"Female")=0,"",COUNTIFS('Candidate Tracker'!$E:$E,'Positions Tracker'!$B933,'Candidate Tracker'!$I:$I,"Female")),"")</f>
        <v/>
      </c>
      <c r="BB933" s="81" t="str">
        <f>IFERROR(IF(COUNTIFS('Candidate Tracker'!$E:$E,'Positions Tracker'!$B933,'Candidate Tracker'!$I:$I,"male")=0,"",COUNTIFS('Candidate Tracker'!$E:$E,'Positions Tracker'!$B933,'Candidate Tracker'!$I:$I,"male")),"")</f>
        <v/>
      </c>
      <c r="BC933" s="80" t="str">
        <f>IFERROR(IF(COUNTIFS('Candidate Tracker'!$E:$E,'Positions Tracker'!$B933,'Candidate Tracker'!$C:$C,"&lt;&gt;WIP",'Candidate Tracker'!$C:$C,"&lt;&gt;Hold",'Candidate Tracker'!$C:$C,"&lt;&gt;Cancelled",'Candidate Tracker'!$C:$C,"&lt;&gt;Closed")/COUNTIFS('Candidate Tracker'!$E:$E,'Positions Tracker'!$B933)=0,"",COUNTIFS('Candidate Tracker'!$E:$E,'Positions Tracker'!$B933,'Candidate Tracker'!$C:$C,"&lt;&gt;WIP",'Candidate Tracker'!$C:$C,"&lt;&gt;Hold",'Candidate Tracker'!$C:$C,"&lt;&gt;Cancelled",'Candidate Tracker'!$C:$C,"&lt;&gt;Closed")/COUNTIFS('Candidate Tracker'!$E:$E,'Positions Tracker'!$B933)),"")</f>
        <v/>
      </c>
      <c r="BD933" s="67" t="str">
        <f t="shared" si="84"/>
        <v/>
      </c>
      <c r="BE933" s="67" t="str">
        <f t="shared" si="85"/>
        <v/>
      </c>
      <c r="BF933" s="67" t="str">
        <f t="shared" si="86"/>
        <v/>
      </c>
      <c r="BG933" s="67" t="str">
        <f t="shared" si="87"/>
        <v/>
      </c>
    </row>
    <row r="934" spans="1:59">
      <c r="A934" s="55"/>
      <c r="B934" s="56"/>
      <c r="C934" s="56"/>
      <c r="D934" s="56"/>
      <c r="E934" s="56"/>
      <c r="F934" s="56"/>
      <c r="G934" s="56"/>
      <c r="H934" s="56"/>
      <c r="I934" s="6"/>
      <c r="J934" s="6"/>
      <c r="K934" s="57"/>
      <c r="L934" s="57"/>
      <c r="M934" s="57"/>
      <c r="N934" s="56"/>
      <c r="O934" s="56"/>
      <c r="P934" s="56"/>
      <c r="Q934" s="56"/>
      <c r="R934" s="56"/>
      <c r="S934" s="56"/>
      <c r="T934" s="56"/>
      <c r="U934" s="56"/>
      <c r="V934" s="56"/>
      <c r="W934" s="56"/>
      <c r="X934" s="56"/>
      <c r="Y934" s="56"/>
      <c r="Z934" s="56"/>
      <c r="AA934" s="56"/>
      <c r="AB934" s="56"/>
      <c r="AC934" s="56"/>
      <c r="AD934" s="56"/>
      <c r="AE934" s="56"/>
      <c r="AF934" s="56"/>
      <c r="AG934" s="56"/>
      <c r="AH934" s="56"/>
      <c r="AI934" s="58"/>
      <c r="AJ934" s="56"/>
      <c r="AK934" s="56"/>
      <c r="AL934" s="56"/>
      <c r="AM934" s="57"/>
      <c r="AN934" s="57"/>
      <c r="AO934" s="56"/>
      <c r="AP934" s="56"/>
      <c r="AQ934" s="57"/>
      <c r="AR934" s="57"/>
      <c r="AS934" s="57"/>
      <c r="AT934" s="67">
        <f t="shared" ca="1" si="88"/>
        <v>0</v>
      </c>
      <c r="AU934" s="79" t="str">
        <f t="shared" ca="1" si="89"/>
        <v/>
      </c>
      <c r="AV934" s="79" t="str" cm="1">
        <f t="array" aca="1" ref="AV934" ca="1">IFERROR(_xlfn.IFS($AU934="","",$AU934&lt;=15,"0-15",AND($AU934&gt;=16,$AU934&lt;=30),"16-30",AND($AU934&gt;=31,$AU934&lt;=45),"31-45",AND($AU934&gt;=46,$AU934&lt;=60),"46-60",AND($AU934&gt;=61,$AU934&lt;=90),"61-90",AND($AU934&gt;=91),"&gt; 90",AND($AU934&gt;=2000),""),"")</f>
        <v/>
      </c>
      <c r="AW934" s="79" t="str" cm="1">
        <f t="array" aca="1" ref="AW934" ca="1">IFERROR(_xlfn.IFS(OR($M934="",$AM934=""),"",OR($C934="Offered",$C934="Joined"),($AM934-$M934)-$AT934),"")</f>
        <v/>
      </c>
      <c r="AX934" s="79" t="str" cm="1">
        <f t="array" aca="1" ref="AX934" ca="1">IFERROR(_xlfn.IFS(OR($M934="",$AS934=""),"",$C934="Joined",($AS934-$M934)-$AT934),"")</f>
        <v/>
      </c>
      <c r="AY934" s="67" t="str">
        <f>IFERROR(IF(COUNTIFS('Candidate Tracker'!$E:$E,'Positions Tracker'!$B934,'Candidate Tracker'!$C:$C,"Offer Drop")=0,"",COUNTIFS('Candidate Tracker'!$E:$E,'Positions Tracker'!$B934,'Candidate Tracker'!$C:$C,"Offer Drop")),"")</f>
        <v/>
      </c>
      <c r="AZ934" s="80">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0.88111888111888115</v>
      </c>
      <c r="BA934" s="81" t="str">
        <f>IFERROR(IF(COUNTIFS('Candidate Tracker'!$E:$E,'Positions Tracker'!$B934,'Candidate Tracker'!$I:$I,"Female")=0,"",COUNTIFS('Candidate Tracker'!$E:$E,'Positions Tracker'!$B934,'Candidate Tracker'!$I:$I,"Female")),"")</f>
        <v/>
      </c>
      <c r="BB934" s="81" t="str">
        <f>IFERROR(IF(COUNTIFS('Candidate Tracker'!$E:$E,'Positions Tracker'!$B934,'Candidate Tracker'!$I:$I,"male")=0,"",COUNTIFS('Candidate Tracker'!$E:$E,'Positions Tracker'!$B934,'Candidate Tracker'!$I:$I,"male")),"")</f>
        <v/>
      </c>
      <c r="BC934" s="80" t="str">
        <f>IFERROR(IF(COUNTIFS('Candidate Tracker'!$E:$E,'Positions Tracker'!$B934,'Candidate Tracker'!$C:$C,"&lt;&gt;WIP",'Candidate Tracker'!$C:$C,"&lt;&gt;Hold",'Candidate Tracker'!$C:$C,"&lt;&gt;Cancelled",'Candidate Tracker'!$C:$C,"&lt;&gt;Closed")/COUNTIFS('Candidate Tracker'!$E:$E,'Positions Tracker'!$B934)=0,"",COUNTIFS('Candidate Tracker'!$E:$E,'Positions Tracker'!$B934,'Candidate Tracker'!$C:$C,"&lt;&gt;WIP",'Candidate Tracker'!$C:$C,"&lt;&gt;Hold",'Candidate Tracker'!$C:$C,"&lt;&gt;Cancelled",'Candidate Tracker'!$C:$C,"&lt;&gt;Closed")/COUNTIFS('Candidate Tracker'!$E:$E,'Positions Tracker'!$B934)),"")</f>
        <v/>
      </c>
      <c r="BD934" s="67" t="str">
        <f t="shared" si="84"/>
        <v/>
      </c>
      <c r="BE934" s="67" t="str">
        <f t="shared" si="85"/>
        <v/>
      </c>
      <c r="BF934" s="67" t="str">
        <f t="shared" si="86"/>
        <v/>
      </c>
      <c r="BG934" s="67" t="str">
        <f t="shared" si="87"/>
        <v/>
      </c>
    </row>
    <row r="935" spans="1:59">
      <c r="A935" s="55"/>
      <c r="B935" s="56"/>
      <c r="C935" s="56"/>
      <c r="D935" s="56"/>
      <c r="E935" s="56"/>
      <c r="F935" s="56"/>
      <c r="G935" s="56"/>
      <c r="H935" s="56"/>
      <c r="I935" s="6"/>
      <c r="J935" s="6"/>
      <c r="K935" s="57"/>
      <c r="L935" s="57"/>
      <c r="M935" s="57"/>
      <c r="N935" s="56"/>
      <c r="O935" s="56"/>
      <c r="P935" s="56"/>
      <c r="Q935" s="56"/>
      <c r="R935" s="56"/>
      <c r="S935" s="56"/>
      <c r="T935" s="56"/>
      <c r="U935" s="56"/>
      <c r="V935" s="56"/>
      <c r="W935" s="56"/>
      <c r="X935" s="56"/>
      <c r="Y935" s="56"/>
      <c r="Z935" s="56"/>
      <c r="AA935" s="56"/>
      <c r="AB935" s="56"/>
      <c r="AC935" s="56"/>
      <c r="AD935" s="56"/>
      <c r="AE935" s="56"/>
      <c r="AF935" s="56"/>
      <c r="AG935" s="56"/>
      <c r="AH935" s="56"/>
      <c r="AI935" s="58"/>
      <c r="AJ935" s="56"/>
      <c r="AK935" s="56"/>
      <c r="AL935" s="56"/>
      <c r="AM935" s="57"/>
      <c r="AN935" s="57"/>
      <c r="AO935" s="56"/>
      <c r="AP935" s="56"/>
      <c r="AQ935" s="57"/>
      <c r="AR935" s="57"/>
      <c r="AS935" s="57"/>
      <c r="AT935" s="67">
        <f t="shared" ca="1" si="88"/>
        <v>0</v>
      </c>
      <c r="AU935" s="79" t="str">
        <f t="shared" ca="1" si="89"/>
        <v/>
      </c>
      <c r="AV935" s="79" t="str" cm="1">
        <f t="array" aca="1" ref="AV935" ca="1">IFERROR(_xlfn.IFS($AU935="","",$AU935&lt;=15,"0-15",AND($AU935&gt;=16,$AU935&lt;=30),"16-30",AND($AU935&gt;=31,$AU935&lt;=45),"31-45",AND($AU935&gt;=46,$AU935&lt;=60),"46-60",AND($AU935&gt;=61,$AU935&lt;=90),"61-90",AND($AU935&gt;=91),"&gt; 90",AND($AU935&gt;=2000),""),"")</f>
        <v/>
      </c>
      <c r="AW935" s="79" t="str" cm="1">
        <f t="array" aca="1" ref="AW935" ca="1">IFERROR(_xlfn.IFS(OR($M935="",$AM935=""),"",OR($C935="Offered",$C935="Joined"),($AM935-$M935)-$AT935),"")</f>
        <v/>
      </c>
      <c r="AX935" s="79" t="str" cm="1">
        <f t="array" aca="1" ref="AX935" ca="1">IFERROR(_xlfn.IFS(OR($M935="",$AS935=""),"",$C935="Joined",($AS935-$M935)-$AT935),"")</f>
        <v/>
      </c>
      <c r="AY935" s="67" t="str">
        <f>IFERROR(IF(COUNTIFS('Candidate Tracker'!$E:$E,'Positions Tracker'!$B935,'Candidate Tracker'!$C:$C,"Offer Drop")=0,"",COUNTIFS('Candidate Tracker'!$E:$E,'Positions Tracker'!$B935,'Candidate Tracker'!$C:$C,"Offer Drop")),"")</f>
        <v/>
      </c>
      <c r="AZ935" s="80">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0.88111888111888115</v>
      </c>
      <c r="BA935" s="81" t="str">
        <f>IFERROR(IF(COUNTIFS('Candidate Tracker'!$E:$E,'Positions Tracker'!$B935,'Candidate Tracker'!$I:$I,"Female")=0,"",COUNTIFS('Candidate Tracker'!$E:$E,'Positions Tracker'!$B935,'Candidate Tracker'!$I:$I,"Female")),"")</f>
        <v/>
      </c>
      <c r="BB935" s="81" t="str">
        <f>IFERROR(IF(COUNTIFS('Candidate Tracker'!$E:$E,'Positions Tracker'!$B935,'Candidate Tracker'!$I:$I,"male")=0,"",COUNTIFS('Candidate Tracker'!$E:$E,'Positions Tracker'!$B935,'Candidate Tracker'!$I:$I,"male")),"")</f>
        <v/>
      </c>
      <c r="BC935" s="80" t="str">
        <f>IFERROR(IF(COUNTIFS('Candidate Tracker'!$E:$E,'Positions Tracker'!$B935,'Candidate Tracker'!$C:$C,"&lt;&gt;WIP",'Candidate Tracker'!$C:$C,"&lt;&gt;Hold",'Candidate Tracker'!$C:$C,"&lt;&gt;Cancelled",'Candidate Tracker'!$C:$C,"&lt;&gt;Closed")/COUNTIFS('Candidate Tracker'!$E:$E,'Positions Tracker'!$B935)=0,"",COUNTIFS('Candidate Tracker'!$E:$E,'Positions Tracker'!$B935,'Candidate Tracker'!$C:$C,"&lt;&gt;WIP",'Candidate Tracker'!$C:$C,"&lt;&gt;Hold",'Candidate Tracker'!$C:$C,"&lt;&gt;Cancelled",'Candidate Tracker'!$C:$C,"&lt;&gt;Closed")/COUNTIFS('Candidate Tracker'!$E:$E,'Positions Tracker'!$B935)),"")</f>
        <v/>
      </c>
      <c r="BD935" s="67" t="str">
        <f t="shared" si="84"/>
        <v/>
      </c>
      <c r="BE935" s="67" t="str">
        <f t="shared" si="85"/>
        <v/>
      </c>
      <c r="BF935" s="67" t="str">
        <f t="shared" si="86"/>
        <v/>
      </c>
      <c r="BG935" s="67" t="str">
        <f t="shared" si="87"/>
        <v/>
      </c>
    </row>
    <row r="936" spans="1:59">
      <c r="A936" s="55"/>
      <c r="B936" s="56"/>
      <c r="C936" s="56"/>
      <c r="D936" s="56"/>
      <c r="E936" s="56"/>
      <c r="F936" s="56"/>
      <c r="G936" s="56"/>
      <c r="H936" s="56"/>
      <c r="I936" s="6"/>
      <c r="J936" s="6"/>
      <c r="K936" s="57"/>
      <c r="L936" s="57"/>
      <c r="M936" s="57"/>
      <c r="N936" s="56"/>
      <c r="O936" s="56"/>
      <c r="P936" s="56"/>
      <c r="Q936" s="56"/>
      <c r="R936" s="56"/>
      <c r="S936" s="56"/>
      <c r="T936" s="56"/>
      <c r="U936" s="56"/>
      <c r="V936" s="56"/>
      <c r="W936" s="56"/>
      <c r="X936" s="56"/>
      <c r="Y936" s="56"/>
      <c r="Z936" s="56"/>
      <c r="AA936" s="56"/>
      <c r="AB936" s="56"/>
      <c r="AC936" s="56"/>
      <c r="AD936" s="56"/>
      <c r="AE936" s="56"/>
      <c r="AF936" s="56"/>
      <c r="AG936" s="56"/>
      <c r="AH936" s="56"/>
      <c r="AI936" s="58"/>
      <c r="AJ936" s="56"/>
      <c r="AK936" s="56"/>
      <c r="AL936" s="56"/>
      <c r="AM936" s="57"/>
      <c r="AN936" s="57"/>
      <c r="AO936" s="56"/>
      <c r="AP936" s="56"/>
      <c r="AQ936" s="57"/>
      <c r="AR936" s="57"/>
      <c r="AS936" s="57"/>
      <c r="AT936" s="67">
        <f t="shared" ca="1" si="88"/>
        <v>0</v>
      </c>
      <c r="AU936" s="79" t="str">
        <f t="shared" ca="1" si="89"/>
        <v/>
      </c>
      <c r="AV936" s="79" t="str" cm="1">
        <f t="array" aca="1" ref="AV936" ca="1">IFERROR(_xlfn.IFS($AU936="","",$AU936&lt;=15,"0-15",AND($AU936&gt;=16,$AU936&lt;=30),"16-30",AND($AU936&gt;=31,$AU936&lt;=45),"31-45",AND($AU936&gt;=46,$AU936&lt;=60),"46-60",AND($AU936&gt;=61,$AU936&lt;=90),"61-90",AND($AU936&gt;=91),"&gt; 90",AND($AU936&gt;=2000),""),"")</f>
        <v/>
      </c>
      <c r="AW936" s="79" t="str" cm="1">
        <f t="array" aca="1" ref="AW936" ca="1">IFERROR(_xlfn.IFS(OR($M936="",$AM936=""),"",OR($C936="Offered",$C936="Joined"),($AM936-$M936)-$AT936),"")</f>
        <v/>
      </c>
      <c r="AX936" s="79" t="str" cm="1">
        <f t="array" aca="1" ref="AX936" ca="1">IFERROR(_xlfn.IFS(OR($M936="",$AS936=""),"",$C936="Joined",($AS936-$M936)-$AT936),"")</f>
        <v/>
      </c>
      <c r="AY936" s="67" t="str">
        <f>IFERROR(IF(COUNTIFS('Candidate Tracker'!$E:$E,'Positions Tracker'!$B936,'Candidate Tracker'!$C:$C,"Offer Drop")=0,"",COUNTIFS('Candidate Tracker'!$E:$E,'Positions Tracker'!$B936,'Candidate Tracker'!$C:$C,"Offer Drop")),"")</f>
        <v/>
      </c>
      <c r="AZ936" s="80">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0.88111888111888115</v>
      </c>
      <c r="BA936" s="81" t="str">
        <f>IFERROR(IF(COUNTIFS('Candidate Tracker'!$E:$E,'Positions Tracker'!$B936,'Candidate Tracker'!$I:$I,"Female")=0,"",COUNTIFS('Candidate Tracker'!$E:$E,'Positions Tracker'!$B936,'Candidate Tracker'!$I:$I,"Female")),"")</f>
        <v/>
      </c>
      <c r="BB936" s="81" t="str">
        <f>IFERROR(IF(COUNTIFS('Candidate Tracker'!$E:$E,'Positions Tracker'!$B936,'Candidate Tracker'!$I:$I,"male")=0,"",COUNTIFS('Candidate Tracker'!$E:$E,'Positions Tracker'!$B936,'Candidate Tracker'!$I:$I,"male")),"")</f>
        <v/>
      </c>
      <c r="BC936" s="80" t="str">
        <f>IFERROR(IF(COUNTIFS('Candidate Tracker'!$E:$E,'Positions Tracker'!$B936,'Candidate Tracker'!$C:$C,"&lt;&gt;WIP",'Candidate Tracker'!$C:$C,"&lt;&gt;Hold",'Candidate Tracker'!$C:$C,"&lt;&gt;Cancelled",'Candidate Tracker'!$C:$C,"&lt;&gt;Closed")/COUNTIFS('Candidate Tracker'!$E:$E,'Positions Tracker'!$B936)=0,"",COUNTIFS('Candidate Tracker'!$E:$E,'Positions Tracker'!$B936,'Candidate Tracker'!$C:$C,"&lt;&gt;WIP",'Candidate Tracker'!$C:$C,"&lt;&gt;Hold",'Candidate Tracker'!$C:$C,"&lt;&gt;Cancelled",'Candidate Tracker'!$C:$C,"&lt;&gt;Closed")/COUNTIFS('Candidate Tracker'!$E:$E,'Positions Tracker'!$B936)),"")</f>
        <v/>
      </c>
      <c r="BD936" s="67" t="str">
        <f t="shared" si="84"/>
        <v/>
      </c>
      <c r="BE936" s="67" t="str">
        <f t="shared" si="85"/>
        <v/>
      </c>
      <c r="BF936" s="67" t="str">
        <f t="shared" si="86"/>
        <v/>
      </c>
      <c r="BG936" s="67" t="str">
        <f t="shared" si="87"/>
        <v/>
      </c>
    </row>
    <row r="937" spans="1:59">
      <c r="A937" s="55"/>
      <c r="B937" s="56"/>
      <c r="C937" s="56"/>
      <c r="D937" s="56"/>
      <c r="E937" s="56"/>
      <c r="F937" s="56"/>
      <c r="G937" s="56"/>
      <c r="H937" s="56"/>
      <c r="I937" s="6"/>
      <c r="J937" s="6"/>
      <c r="K937" s="57"/>
      <c r="L937" s="57"/>
      <c r="M937" s="57"/>
      <c r="N937" s="56"/>
      <c r="O937" s="56"/>
      <c r="P937" s="56"/>
      <c r="Q937" s="56"/>
      <c r="R937" s="56"/>
      <c r="S937" s="56"/>
      <c r="T937" s="56"/>
      <c r="U937" s="56"/>
      <c r="V937" s="56"/>
      <c r="W937" s="56"/>
      <c r="X937" s="56"/>
      <c r="Y937" s="56"/>
      <c r="Z937" s="56"/>
      <c r="AA937" s="56"/>
      <c r="AB937" s="56"/>
      <c r="AC937" s="56"/>
      <c r="AD937" s="56"/>
      <c r="AE937" s="56"/>
      <c r="AF937" s="56"/>
      <c r="AG937" s="56"/>
      <c r="AH937" s="56"/>
      <c r="AI937" s="58"/>
      <c r="AJ937" s="56"/>
      <c r="AK937" s="56"/>
      <c r="AL937" s="56"/>
      <c r="AM937" s="57"/>
      <c r="AN937" s="57"/>
      <c r="AO937" s="56"/>
      <c r="AP937" s="56"/>
      <c r="AQ937" s="57"/>
      <c r="AR937" s="57"/>
      <c r="AS937" s="57"/>
      <c r="AT937" s="67">
        <f t="shared" ca="1" si="88"/>
        <v>0</v>
      </c>
      <c r="AU937" s="79" t="str">
        <f t="shared" ca="1" si="89"/>
        <v/>
      </c>
      <c r="AV937" s="79" t="str" cm="1">
        <f t="array" aca="1" ref="AV937" ca="1">IFERROR(_xlfn.IFS($AU937="","",$AU937&lt;=15,"0-15",AND($AU937&gt;=16,$AU937&lt;=30),"16-30",AND($AU937&gt;=31,$AU937&lt;=45),"31-45",AND($AU937&gt;=46,$AU937&lt;=60),"46-60",AND($AU937&gt;=61,$AU937&lt;=90),"61-90",AND($AU937&gt;=91),"&gt; 90",AND($AU937&gt;=2000),""),"")</f>
        <v/>
      </c>
      <c r="AW937" s="79" t="str" cm="1">
        <f t="array" aca="1" ref="AW937" ca="1">IFERROR(_xlfn.IFS(OR($M937="",$AM937=""),"",OR($C937="Offered",$C937="Joined"),($AM937-$M937)-$AT937),"")</f>
        <v/>
      </c>
      <c r="AX937" s="79" t="str" cm="1">
        <f t="array" aca="1" ref="AX937" ca="1">IFERROR(_xlfn.IFS(OR($M937="",$AS937=""),"",$C937="Joined",($AS937-$M937)-$AT937),"")</f>
        <v/>
      </c>
      <c r="AY937" s="67" t="str">
        <f>IFERROR(IF(COUNTIFS('Candidate Tracker'!$E:$E,'Positions Tracker'!$B937,'Candidate Tracker'!$C:$C,"Offer Drop")=0,"",COUNTIFS('Candidate Tracker'!$E:$E,'Positions Tracker'!$B937,'Candidate Tracker'!$C:$C,"Offer Drop")),"")</f>
        <v/>
      </c>
      <c r="AZ937" s="80">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0.88111888111888115</v>
      </c>
      <c r="BA937" s="81" t="str">
        <f>IFERROR(IF(COUNTIFS('Candidate Tracker'!$E:$E,'Positions Tracker'!$B937,'Candidate Tracker'!$I:$I,"Female")=0,"",COUNTIFS('Candidate Tracker'!$E:$E,'Positions Tracker'!$B937,'Candidate Tracker'!$I:$I,"Female")),"")</f>
        <v/>
      </c>
      <c r="BB937" s="81" t="str">
        <f>IFERROR(IF(COUNTIFS('Candidate Tracker'!$E:$E,'Positions Tracker'!$B937,'Candidate Tracker'!$I:$I,"male")=0,"",COUNTIFS('Candidate Tracker'!$E:$E,'Positions Tracker'!$B937,'Candidate Tracker'!$I:$I,"male")),"")</f>
        <v/>
      </c>
      <c r="BC937" s="80" t="str">
        <f>IFERROR(IF(COUNTIFS('Candidate Tracker'!$E:$E,'Positions Tracker'!$B937,'Candidate Tracker'!$C:$C,"&lt;&gt;WIP",'Candidate Tracker'!$C:$C,"&lt;&gt;Hold",'Candidate Tracker'!$C:$C,"&lt;&gt;Cancelled",'Candidate Tracker'!$C:$C,"&lt;&gt;Closed")/COUNTIFS('Candidate Tracker'!$E:$E,'Positions Tracker'!$B937)=0,"",COUNTIFS('Candidate Tracker'!$E:$E,'Positions Tracker'!$B937,'Candidate Tracker'!$C:$C,"&lt;&gt;WIP",'Candidate Tracker'!$C:$C,"&lt;&gt;Hold",'Candidate Tracker'!$C:$C,"&lt;&gt;Cancelled",'Candidate Tracker'!$C:$C,"&lt;&gt;Closed")/COUNTIFS('Candidate Tracker'!$E:$E,'Positions Tracker'!$B937)),"")</f>
        <v/>
      </c>
      <c r="BD937" s="67" t="str">
        <f t="shared" si="84"/>
        <v/>
      </c>
      <c r="BE937" s="67" t="str">
        <f t="shared" si="85"/>
        <v/>
      </c>
      <c r="BF937" s="67" t="str">
        <f t="shared" si="86"/>
        <v/>
      </c>
      <c r="BG937" s="67" t="str">
        <f t="shared" si="87"/>
        <v/>
      </c>
    </row>
    <row r="938" spans="1:59">
      <c r="A938" s="55"/>
      <c r="B938" s="56"/>
      <c r="C938" s="56"/>
      <c r="D938" s="56"/>
      <c r="E938" s="56"/>
      <c r="F938" s="56"/>
      <c r="G938" s="56"/>
      <c r="H938" s="56"/>
      <c r="I938" s="6"/>
      <c r="J938" s="6"/>
      <c r="K938" s="57"/>
      <c r="L938" s="57"/>
      <c r="M938" s="57"/>
      <c r="N938" s="56"/>
      <c r="O938" s="56"/>
      <c r="P938" s="56"/>
      <c r="Q938" s="56"/>
      <c r="R938" s="56"/>
      <c r="S938" s="56"/>
      <c r="T938" s="56"/>
      <c r="U938" s="56"/>
      <c r="V938" s="56"/>
      <c r="W938" s="56"/>
      <c r="X938" s="56"/>
      <c r="Y938" s="56"/>
      <c r="Z938" s="56"/>
      <c r="AA938" s="56"/>
      <c r="AB938" s="56"/>
      <c r="AC938" s="56"/>
      <c r="AD938" s="56"/>
      <c r="AE938" s="56"/>
      <c r="AF938" s="56"/>
      <c r="AG938" s="56"/>
      <c r="AH938" s="56"/>
      <c r="AI938" s="58"/>
      <c r="AJ938" s="56"/>
      <c r="AK938" s="56"/>
      <c r="AL938" s="56"/>
      <c r="AM938" s="57"/>
      <c r="AN938" s="57"/>
      <c r="AO938" s="56"/>
      <c r="AP938" s="56"/>
      <c r="AQ938" s="57"/>
      <c r="AR938" s="57"/>
      <c r="AS938" s="57"/>
      <c r="AT938" s="67">
        <f t="shared" ca="1" si="88"/>
        <v>0</v>
      </c>
      <c r="AU938" s="79" t="str">
        <f t="shared" ca="1" si="89"/>
        <v/>
      </c>
      <c r="AV938" s="79" t="str" cm="1">
        <f t="array" aca="1" ref="AV938" ca="1">IFERROR(_xlfn.IFS($AU938="","",$AU938&lt;=15,"0-15",AND($AU938&gt;=16,$AU938&lt;=30),"16-30",AND($AU938&gt;=31,$AU938&lt;=45),"31-45",AND($AU938&gt;=46,$AU938&lt;=60),"46-60",AND($AU938&gt;=61,$AU938&lt;=90),"61-90",AND($AU938&gt;=91),"&gt; 90",AND($AU938&gt;=2000),""),"")</f>
        <v/>
      </c>
      <c r="AW938" s="79" t="str" cm="1">
        <f t="array" aca="1" ref="AW938" ca="1">IFERROR(_xlfn.IFS(OR($M938="",$AM938=""),"",OR($C938="Offered",$C938="Joined"),($AM938-$M938)-$AT938),"")</f>
        <v/>
      </c>
      <c r="AX938" s="79" t="str" cm="1">
        <f t="array" aca="1" ref="AX938" ca="1">IFERROR(_xlfn.IFS(OR($M938="",$AS938=""),"",$C938="Joined",($AS938-$M938)-$AT938),"")</f>
        <v/>
      </c>
      <c r="AY938" s="67" t="str">
        <f>IFERROR(IF(COUNTIFS('Candidate Tracker'!$E:$E,'Positions Tracker'!$B938,'Candidate Tracker'!$C:$C,"Offer Drop")=0,"",COUNTIFS('Candidate Tracker'!$E:$E,'Positions Tracker'!$B938,'Candidate Tracker'!$C:$C,"Offer Drop")),"")</f>
        <v/>
      </c>
      <c r="AZ938" s="80">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0.88111888111888115</v>
      </c>
      <c r="BA938" s="81" t="str">
        <f>IFERROR(IF(COUNTIFS('Candidate Tracker'!$E:$E,'Positions Tracker'!$B938,'Candidate Tracker'!$I:$I,"Female")=0,"",COUNTIFS('Candidate Tracker'!$E:$E,'Positions Tracker'!$B938,'Candidate Tracker'!$I:$I,"Female")),"")</f>
        <v/>
      </c>
      <c r="BB938" s="81" t="str">
        <f>IFERROR(IF(COUNTIFS('Candidate Tracker'!$E:$E,'Positions Tracker'!$B938,'Candidate Tracker'!$I:$I,"male")=0,"",COUNTIFS('Candidate Tracker'!$E:$E,'Positions Tracker'!$B938,'Candidate Tracker'!$I:$I,"male")),"")</f>
        <v/>
      </c>
      <c r="BC938" s="80" t="str">
        <f>IFERROR(IF(COUNTIFS('Candidate Tracker'!$E:$E,'Positions Tracker'!$B938,'Candidate Tracker'!$C:$C,"&lt;&gt;WIP",'Candidate Tracker'!$C:$C,"&lt;&gt;Hold",'Candidate Tracker'!$C:$C,"&lt;&gt;Cancelled",'Candidate Tracker'!$C:$C,"&lt;&gt;Closed")/COUNTIFS('Candidate Tracker'!$E:$E,'Positions Tracker'!$B938)=0,"",COUNTIFS('Candidate Tracker'!$E:$E,'Positions Tracker'!$B938,'Candidate Tracker'!$C:$C,"&lt;&gt;WIP",'Candidate Tracker'!$C:$C,"&lt;&gt;Hold",'Candidate Tracker'!$C:$C,"&lt;&gt;Cancelled",'Candidate Tracker'!$C:$C,"&lt;&gt;Closed")/COUNTIFS('Candidate Tracker'!$E:$E,'Positions Tracker'!$B938)),"")</f>
        <v/>
      </c>
      <c r="BD938" s="67" t="str">
        <f t="shared" si="84"/>
        <v/>
      </c>
      <c r="BE938" s="67" t="str">
        <f t="shared" si="85"/>
        <v/>
      </c>
      <c r="BF938" s="67" t="str">
        <f t="shared" si="86"/>
        <v/>
      </c>
      <c r="BG938" s="67" t="str">
        <f t="shared" si="87"/>
        <v/>
      </c>
    </row>
    <row r="939" spans="1:59">
      <c r="A939" s="55"/>
      <c r="B939" s="56"/>
      <c r="C939" s="56"/>
      <c r="D939" s="56"/>
      <c r="E939" s="56"/>
      <c r="F939" s="56"/>
      <c r="G939" s="56"/>
      <c r="H939" s="56"/>
      <c r="I939" s="6"/>
      <c r="J939" s="6"/>
      <c r="K939" s="57"/>
      <c r="L939" s="57"/>
      <c r="M939" s="57"/>
      <c r="N939" s="56"/>
      <c r="O939" s="56"/>
      <c r="P939" s="56"/>
      <c r="Q939" s="56"/>
      <c r="R939" s="56"/>
      <c r="S939" s="56"/>
      <c r="T939" s="56"/>
      <c r="U939" s="56"/>
      <c r="V939" s="56"/>
      <c r="W939" s="56"/>
      <c r="X939" s="56"/>
      <c r="Y939" s="56"/>
      <c r="Z939" s="56"/>
      <c r="AA939" s="56"/>
      <c r="AB939" s="56"/>
      <c r="AC939" s="56"/>
      <c r="AD939" s="56"/>
      <c r="AE939" s="56"/>
      <c r="AF939" s="56"/>
      <c r="AG939" s="56"/>
      <c r="AH939" s="56"/>
      <c r="AI939" s="58"/>
      <c r="AJ939" s="56"/>
      <c r="AK939" s="56"/>
      <c r="AL939" s="56"/>
      <c r="AM939" s="57"/>
      <c r="AN939" s="57"/>
      <c r="AO939" s="56"/>
      <c r="AP939" s="56"/>
      <c r="AQ939" s="57"/>
      <c r="AR939" s="57"/>
      <c r="AS939" s="57"/>
      <c r="AT939" s="67">
        <f t="shared" ca="1" si="88"/>
        <v>0</v>
      </c>
      <c r="AU939" s="79" t="str">
        <f t="shared" ca="1" si="89"/>
        <v/>
      </c>
      <c r="AV939" s="79" t="str" cm="1">
        <f t="array" aca="1" ref="AV939" ca="1">IFERROR(_xlfn.IFS($AU939="","",$AU939&lt;=15,"0-15",AND($AU939&gt;=16,$AU939&lt;=30),"16-30",AND($AU939&gt;=31,$AU939&lt;=45),"31-45",AND($AU939&gt;=46,$AU939&lt;=60),"46-60",AND($AU939&gt;=61,$AU939&lt;=90),"61-90",AND($AU939&gt;=91),"&gt; 90",AND($AU939&gt;=2000),""),"")</f>
        <v/>
      </c>
      <c r="AW939" s="79" t="str" cm="1">
        <f t="array" aca="1" ref="AW939" ca="1">IFERROR(_xlfn.IFS(OR($M939="",$AM939=""),"",OR($C939="Offered",$C939="Joined"),($AM939-$M939)-$AT939),"")</f>
        <v/>
      </c>
      <c r="AX939" s="79" t="str" cm="1">
        <f t="array" aca="1" ref="AX939" ca="1">IFERROR(_xlfn.IFS(OR($M939="",$AS939=""),"",$C939="Joined",($AS939-$M939)-$AT939),"")</f>
        <v/>
      </c>
      <c r="AY939" s="67" t="str">
        <f>IFERROR(IF(COUNTIFS('Candidate Tracker'!$E:$E,'Positions Tracker'!$B939,'Candidate Tracker'!$C:$C,"Offer Drop")=0,"",COUNTIFS('Candidate Tracker'!$E:$E,'Positions Tracker'!$B939,'Candidate Tracker'!$C:$C,"Offer Drop")),"")</f>
        <v/>
      </c>
      <c r="AZ939" s="80">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0.88111888111888115</v>
      </c>
      <c r="BA939" s="81" t="str">
        <f>IFERROR(IF(COUNTIFS('Candidate Tracker'!$E:$E,'Positions Tracker'!$B939,'Candidate Tracker'!$I:$I,"Female")=0,"",COUNTIFS('Candidate Tracker'!$E:$E,'Positions Tracker'!$B939,'Candidate Tracker'!$I:$I,"Female")),"")</f>
        <v/>
      </c>
      <c r="BB939" s="81" t="str">
        <f>IFERROR(IF(COUNTIFS('Candidate Tracker'!$E:$E,'Positions Tracker'!$B939,'Candidate Tracker'!$I:$I,"male")=0,"",COUNTIFS('Candidate Tracker'!$E:$E,'Positions Tracker'!$B939,'Candidate Tracker'!$I:$I,"male")),"")</f>
        <v/>
      </c>
      <c r="BC939" s="80" t="str">
        <f>IFERROR(IF(COUNTIFS('Candidate Tracker'!$E:$E,'Positions Tracker'!$B939,'Candidate Tracker'!$C:$C,"&lt;&gt;WIP",'Candidate Tracker'!$C:$C,"&lt;&gt;Hold",'Candidate Tracker'!$C:$C,"&lt;&gt;Cancelled",'Candidate Tracker'!$C:$C,"&lt;&gt;Closed")/COUNTIFS('Candidate Tracker'!$E:$E,'Positions Tracker'!$B939)=0,"",COUNTIFS('Candidate Tracker'!$E:$E,'Positions Tracker'!$B939,'Candidate Tracker'!$C:$C,"&lt;&gt;WIP",'Candidate Tracker'!$C:$C,"&lt;&gt;Hold",'Candidate Tracker'!$C:$C,"&lt;&gt;Cancelled",'Candidate Tracker'!$C:$C,"&lt;&gt;Closed")/COUNTIFS('Candidate Tracker'!$E:$E,'Positions Tracker'!$B939)),"")</f>
        <v/>
      </c>
      <c r="BD939" s="67" t="str">
        <f t="shared" si="84"/>
        <v/>
      </c>
      <c r="BE939" s="67" t="str">
        <f t="shared" si="85"/>
        <v/>
      </c>
      <c r="BF939" s="67" t="str">
        <f t="shared" si="86"/>
        <v/>
      </c>
      <c r="BG939" s="67" t="str">
        <f t="shared" si="87"/>
        <v/>
      </c>
    </row>
    <row r="940" spans="1:59">
      <c r="A940" s="55"/>
      <c r="B940" s="56"/>
      <c r="C940" s="56"/>
      <c r="D940" s="56"/>
      <c r="E940" s="56"/>
      <c r="F940" s="56"/>
      <c r="G940" s="56"/>
      <c r="H940" s="56"/>
      <c r="I940" s="6"/>
      <c r="J940" s="6"/>
      <c r="K940" s="57"/>
      <c r="L940" s="57"/>
      <c r="M940" s="57"/>
      <c r="N940" s="56"/>
      <c r="O940" s="56"/>
      <c r="P940" s="56"/>
      <c r="Q940" s="56"/>
      <c r="R940" s="56"/>
      <c r="S940" s="56"/>
      <c r="T940" s="56"/>
      <c r="U940" s="56"/>
      <c r="V940" s="56"/>
      <c r="W940" s="56"/>
      <c r="X940" s="56"/>
      <c r="Y940" s="56"/>
      <c r="Z940" s="56"/>
      <c r="AA940" s="56"/>
      <c r="AB940" s="56"/>
      <c r="AC940" s="56"/>
      <c r="AD940" s="56"/>
      <c r="AE940" s="56"/>
      <c r="AF940" s="56"/>
      <c r="AG940" s="56"/>
      <c r="AH940" s="56"/>
      <c r="AI940" s="58"/>
      <c r="AJ940" s="56"/>
      <c r="AK940" s="56"/>
      <c r="AL940" s="56"/>
      <c r="AM940" s="57"/>
      <c r="AN940" s="57"/>
      <c r="AO940" s="56"/>
      <c r="AP940" s="56"/>
      <c r="AQ940" s="57"/>
      <c r="AR940" s="57"/>
      <c r="AS940" s="57"/>
      <c r="AT940" s="67">
        <f t="shared" ca="1" si="88"/>
        <v>0</v>
      </c>
      <c r="AU940" s="79" t="str">
        <f t="shared" ca="1" si="89"/>
        <v/>
      </c>
      <c r="AV940" s="79" t="str" cm="1">
        <f t="array" aca="1" ref="AV940" ca="1">IFERROR(_xlfn.IFS($AU940="","",$AU940&lt;=15,"0-15",AND($AU940&gt;=16,$AU940&lt;=30),"16-30",AND($AU940&gt;=31,$AU940&lt;=45),"31-45",AND($AU940&gt;=46,$AU940&lt;=60),"46-60",AND($AU940&gt;=61,$AU940&lt;=90),"61-90",AND($AU940&gt;=91),"&gt; 90",AND($AU940&gt;=2000),""),"")</f>
        <v/>
      </c>
      <c r="AW940" s="79" t="str" cm="1">
        <f t="array" aca="1" ref="AW940" ca="1">IFERROR(_xlfn.IFS(OR($M940="",$AM940=""),"",OR($C940="Offered",$C940="Joined"),($AM940-$M940)-$AT940),"")</f>
        <v/>
      </c>
      <c r="AX940" s="79" t="str" cm="1">
        <f t="array" aca="1" ref="AX940" ca="1">IFERROR(_xlfn.IFS(OR($M940="",$AS940=""),"",$C940="Joined",($AS940-$M940)-$AT940),"")</f>
        <v/>
      </c>
      <c r="AY940" s="67" t="str">
        <f>IFERROR(IF(COUNTIFS('Candidate Tracker'!$E:$E,'Positions Tracker'!$B940,'Candidate Tracker'!$C:$C,"Offer Drop")=0,"",COUNTIFS('Candidate Tracker'!$E:$E,'Positions Tracker'!$B940,'Candidate Tracker'!$C:$C,"Offer Drop")),"")</f>
        <v/>
      </c>
      <c r="AZ940" s="80">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0.88111888111888115</v>
      </c>
      <c r="BA940" s="81" t="str">
        <f>IFERROR(IF(COUNTIFS('Candidate Tracker'!$E:$E,'Positions Tracker'!$B940,'Candidate Tracker'!$I:$I,"Female")=0,"",COUNTIFS('Candidate Tracker'!$E:$E,'Positions Tracker'!$B940,'Candidate Tracker'!$I:$I,"Female")),"")</f>
        <v/>
      </c>
      <c r="BB940" s="81" t="str">
        <f>IFERROR(IF(COUNTIFS('Candidate Tracker'!$E:$E,'Positions Tracker'!$B940,'Candidate Tracker'!$I:$I,"male")=0,"",COUNTIFS('Candidate Tracker'!$E:$E,'Positions Tracker'!$B940,'Candidate Tracker'!$I:$I,"male")),"")</f>
        <v/>
      </c>
      <c r="BC940" s="80" t="str">
        <f>IFERROR(IF(COUNTIFS('Candidate Tracker'!$E:$E,'Positions Tracker'!$B940,'Candidate Tracker'!$C:$C,"&lt;&gt;WIP",'Candidate Tracker'!$C:$C,"&lt;&gt;Hold",'Candidate Tracker'!$C:$C,"&lt;&gt;Cancelled",'Candidate Tracker'!$C:$C,"&lt;&gt;Closed")/COUNTIFS('Candidate Tracker'!$E:$E,'Positions Tracker'!$B940)=0,"",COUNTIFS('Candidate Tracker'!$E:$E,'Positions Tracker'!$B940,'Candidate Tracker'!$C:$C,"&lt;&gt;WIP",'Candidate Tracker'!$C:$C,"&lt;&gt;Hold",'Candidate Tracker'!$C:$C,"&lt;&gt;Cancelled",'Candidate Tracker'!$C:$C,"&lt;&gt;Closed")/COUNTIFS('Candidate Tracker'!$E:$E,'Positions Tracker'!$B940)),"")</f>
        <v/>
      </c>
      <c r="BD940" s="67" t="str">
        <f t="shared" si="84"/>
        <v/>
      </c>
      <c r="BE940" s="67" t="str">
        <f t="shared" si="85"/>
        <v/>
      </c>
      <c r="BF940" s="67" t="str">
        <f t="shared" si="86"/>
        <v/>
      </c>
      <c r="BG940" s="67" t="str">
        <f t="shared" si="87"/>
        <v/>
      </c>
    </row>
    <row r="941" spans="1:59">
      <c r="A941" s="55"/>
      <c r="B941" s="56"/>
      <c r="C941" s="56"/>
      <c r="D941" s="56"/>
      <c r="E941" s="56"/>
      <c r="F941" s="56"/>
      <c r="G941" s="56"/>
      <c r="H941" s="56"/>
      <c r="I941" s="6"/>
      <c r="J941" s="6"/>
      <c r="K941" s="57"/>
      <c r="L941" s="57"/>
      <c r="M941" s="57"/>
      <c r="N941" s="56"/>
      <c r="O941" s="56"/>
      <c r="P941" s="56"/>
      <c r="Q941" s="56"/>
      <c r="R941" s="56"/>
      <c r="S941" s="56"/>
      <c r="T941" s="56"/>
      <c r="U941" s="56"/>
      <c r="V941" s="56"/>
      <c r="W941" s="56"/>
      <c r="X941" s="56"/>
      <c r="Y941" s="56"/>
      <c r="Z941" s="56"/>
      <c r="AA941" s="56"/>
      <c r="AB941" s="56"/>
      <c r="AC941" s="56"/>
      <c r="AD941" s="56"/>
      <c r="AE941" s="56"/>
      <c r="AF941" s="56"/>
      <c r="AG941" s="56"/>
      <c r="AH941" s="56"/>
      <c r="AI941" s="58"/>
      <c r="AJ941" s="56"/>
      <c r="AK941" s="56"/>
      <c r="AL941" s="56"/>
      <c r="AM941" s="57"/>
      <c r="AN941" s="57"/>
      <c r="AO941" s="56"/>
      <c r="AP941" s="56"/>
      <c r="AQ941" s="57"/>
      <c r="AR941" s="57"/>
      <c r="AS941" s="57"/>
      <c r="AT941" s="67">
        <f t="shared" ca="1" si="88"/>
        <v>0</v>
      </c>
      <c r="AU941" s="79" t="str">
        <f t="shared" ca="1" si="89"/>
        <v/>
      </c>
      <c r="AV941" s="79" t="str" cm="1">
        <f t="array" aca="1" ref="AV941" ca="1">IFERROR(_xlfn.IFS($AU941="","",$AU941&lt;=15,"0-15",AND($AU941&gt;=16,$AU941&lt;=30),"16-30",AND($AU941&gt;=31,$AU941&lt;=45),"31-45",AND($AU941&gt;=46,$AU941&lt;=60),"46-60",AND($AU941&gt;=61,$AU941&lt;=90),"61-90",AND($AU941&gt;=91),"&gt; 90",AND($AU941&gt;=2000),""),"")</f>
        <v/>
      </c>
      <c r="AW941" s="79" t="str" cm="1">
        <f t="array" aca="1" ref="AW941" ca="1">IFERROR(_xlfn.IFS(OR($M941="",$AM941=""),"",OR($C941="Offered",$C941="Joined"),($AM941-$M941)-$AT941),"")</f>
        <v/>
      </c>
      <c r="AX941" s="79" t="str" cm="1">
        <f t="array" aca="1" ref="AX941" ca="1">IFERROR(_xlfn.IFS(OR($M941="",$AS941=""),"",$C941="Joined",($AS941-$M941)-$AT941),"")</f>
        <v/>
      </c>
      <c r="AY941" s="67" t="str">
        <f>IFERROR(IF(COUNTIFS('Candidate Tracker'!$E:$E,'Positions Tracker'!$B941,'Candidate Tracker'!$C:$C,"Offer Drop")=0,"",COUNTIFS('Candidate Tracker'!$E:$E,'Positions Tracker'!$B941,'Candidate Tracker'!$C:$C,"Offer Drop")),"")</f>
        <v/>
      </c>
      <c r="AZ941" s="80">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0.88111888111888115</v>
      </c>
      <c r="BA941" s="81" t="str">
        <f>IFERROR(IF(COUNTIFS('Candidate Tracker'!$E:$E,'Positions Tracker'!$B941,'Candidate Tracker'!$I:$I,"Female")=0,"",COUNTIFS('Candidate Tracker'!$E:$E,'Positions Tracker'!$B941,'Candidate Tracker'!$I:$I,"Female")),"")</f>
        <v/>
      </c>
      <c r="BB941" s="81" t="str">
        <f>IFERROR(IF(COUNTIFS('Candidate Tracker'!$E:$E,'Positions Tracker'!$B941,'Candidate Tracker'!$I:$I,"male")=0,"",COUNTIFS('Candidate Tracker'!$E:$E,'Positions Tracker'!$B941,'Candidate Tracker'!$I:$I,"male")),"")</f>
        <v/>
      </c>
      <c r="BC941" s="80" t="str">
        <f>IFERROR(IF(COUNTIFS('Candidate Tracker'!$E:$E,'Positions Tracker'!$B941,'Candidate Tracker'!$C:$C,"&lt;&gt;WIP",'Candidate Tracker'!$C:$C,"&lt;&gt;Hold",'Candidate Tracker'!$C:$C,"&lt;&gt;Cancelled",'Candidate Tracker'!$C:$C,"&lt;&gt;Closed")/COUNTIFS('Candidate Tracker'!$E:$E,'Positions Tracker'!$B941)=0,"",COUNTIFS('Candidate Tracker'!$E:$E,'Positions Tracker'!$B941,'Candidate Tracker'!$C:$C,"&lt;&gt;WIP",'Candidate Tracker'!$C:$C,"&lt;&gt;Hold",'Candidate Tracker'!$C:$C,"&lt;&gt;Cancelled",'Candidate Tracker'!$C:$C,"&lt;&gt;Closed")/COUNTIFS('Candidate Tracker'!$E:$E,'Positions Tracker'!$B941)),"")</f>
        <v/>
      </c>
      <c r="BD941" s="67" t="str">
        <f t="shared" si="84"/>
        <v/>
      </c>
      <c r="BE941" s="67" t="str">
        <f t="shared" si="85"/>
        <v/>
      </c>
      <c r="BF941" s="67" t="str">
        <f t="shared" si="86"/>
        <v/>
      </c>
      <c r="BG941" s="67" t="str">
        <f t="shared" si="87"/>
        <v/>
      </c>
    </row>
    <row r="942" spans="1:59">
      <c r="A942" s="55"/>
      <c r="B942" s="56"/>
      <c r="C942" s="56"/>
      <c r="D942" s="56"/>
      <c r="E942" s="56"/>
      <c r="F942" s="56"/>
      <c r="G942" s="56"/>
      <c r="H942" s="56"/>
      <c r="I942" s="6"/>
      <c r="J942" s="6"/>
      <c r="K942" s="57"/>
      <c r="L942" s="57"/>
      <c r="M942" s="57"/>
      <c r="N942" s="56"/>
      <c r="O942" s="56"/>
      <c r="P942" s="56"/>
      <c r="Q942" s="56"/>
      <c r="R942" s="56"/>
      <c r="S942" s="56"/>
      <c r="T942" s="56"/>
      <c r="U942" s="56"/>
      <c r="V942" s="56"/>
      <c r="W942" s="56"/>
      <c r="X942" s="56"/>
      <c r="Y942" s="56"/>
      <c r="Z942" s="56"/>
      <c r="AA942" s="56"/>
      <c r="AB942" s="56"/>
      <c r="AC942" s="56"/>
      <c r="AD942" s="56"/>
      <c r="AE942" s="56"/>
      <c r="AF942" s="56"/>
      <c r="AG942" s="56"/>
      <c r="AH942" s="56"/>
      <c r="AI942" s="58"/>
      <c r="AJ942" s="56"/>
      <c r="AK942" s="56"/>
      <c r="AL942" s="56"/>
      <c r="AM942" s="57"/>
      <c r="AN942" s="57"/>
      <c r="AO942" s="56"/>
      <c r="AP942" s="56"/>
      <c r="AQ942" s="57"/>
      <c r="AR942" s="57"/>
      <c r="AS942" s="57"/>
      <c r="AT942" s="67">
        <f t="shared" ca="1" si="88"/>
        <v>0</v>
      </c>
      <c r="AU942" s="79" t="str">
        <f t="shared" ca="1" si="89"/>
        <v/>
      </c>
      <c r="AV942" s="79" t="str" cm="1">
        <f t="array" aca="1" ref="AV942" ca="1">IFERROR(_xlfn.IFS($AU942="","",$AU942&lt;=15,"0-15",AND($AU942&gt;=16,$AU942&lt;=30),"16-30",AND($AU942&gt;=31,$AU942&lt;=45),"31-45",AND($AU942&gt;=46,$AU942&lt;=60),"46-60",AND($AU942&gt;=61,$AU942&lt;=90),"61-90",AND($AU942&gt;=91),"&gt; 90",AND($AU942&gt;=2000),""),"")</f>
        <v/>
      </c>
      <c r="AW942" s="79" t="str" cm="1">
        <f t="array" aca="1" ref="AW942" ca="1">IFERROR(_xlfn.IFS(OR($M942="",$AM942=""),"",OR($C942="Offered",$C942="Joined"),($AM942-$M942)-$AT942),"")</f>
        <v/>
      </c>
      <c r="AX942" s="79" t="str" cm="1">
        <f t="array" aca="1" ref="AX942" ca="1">IFERROR(_xlfn.IFS(OR($M942="",$AS942=""),"",$C942="Joined",($AS942-$M942)-$AT942),"")</f>
        <v/>
      </c>
      <c r="AY942" s="67" t="str">
        <f>IFERROR(IF(COUNTIFS('Candidate Tracker'!$E:$E,'Positions Tracker'!$B942,'Candidate Tracker'!$C:$C,"Offer Drop")=0,"",COUNTIFS('Candidate Tracker'!$E:$E,'Positions Tracker'!$B942,'Candidate Tracker'!$C:$C,"Offer Drop")),"")</f>
        <v/>
      </c>
      <c r="AZ942" s="80">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0.88111888111888115</v>
      </c>
      <c r="BA942" s="81" t="str">
        <f>IFERROR(IF(COUNTIFS('Candidate Tracker'!$E:$E,'Positions Tracker'!$B942,'Candidate Tracker'!$I:$I,"Female")=0,"",COUNTIFS('Candidate Tracker'!$E:$E,'Positions Tracker'!$B942,'Candidate Tracker'!$I:$I,"Female")),"")</f>
        <v/>
      </c>
      <c r="BB942" s="81" t="str">
        <f>IFERROR(IF(COUNTIFS('Candidate Tracker'!$E:$E,'Positions Tracker'!$B942,'Candidate Tracker'!$I:$I,"male")=0,"",COUNTIFS('Candidate Tracker'!$E:$E,'Positions Tracker'!$B942,'Candidate Tracker'!$I:$I,"male")),"")</f>
        <v/>
      </c>
      <c r="BC942" s="80" t="str">
        <f>IFERROR(IF(COUNTIFS('Candidate Tracker'!$E:$E,'Positions Tracker'!$B942,'Candidate Tracker'!$C:$C,"&lt;&gt;WIP",'Candidate Tracker'!$C:$C,"&lt;&gt;Hold",'Candidate Tracker'!$C:$C,"&lt;&gt;Cancelled",'Candidate Tracker'!$C:$C,"&lt;&gt;Closed")/COUNTIFS('Candidate Tracker'!$E:$E,'Positions Tracker'!$B942)=0,"",COUNTIFS('Candidate Tracker'!$E:$E,'Positions Tracker'!$B942,'Candidate Tracker'!$C:$C,"&lt;&gt;WIP",'Candidate Tracker'!$C:$C,"&lt;&gt;Hold",'Candidate Tracker'!$C:$C,"&lt;&gt;Cancelled",'Candidate Tracker'!$C:$C,"&lt;&gt;Closed")/COUNTIFS('Candidate Tracker'!$E:$E,'Positions Tracker'!$B942)),"")</f>
        <v/>
      </c>
      <c r="BD942" s="67" t="str">
        <f t="shared" si="84"/>
        <v/>
      </c>
      <c r="BE942" s="67" t="str">
        <f t="shared" si="85"/>
        <v/>
      </c>
      <c r="BF942" s="67" t="str">
        <f t="shared" si="86"/>
        <v/>
      </c>
      <c r="BG942" s="67" t="str">
        <f t="shared" si="87"/>
        <v/>
      </c>
    </row>
    <row r="943" spans="1:59">
      <c r="A943" s="55"/>
      <c r="B943" s="56"/>
      <c r="C943" s="56"/>
      <c r="D943" s="56"/>
      <c r="E943" s="56"/>
      <c r="F943" s="56"/>
      <c r="G943" s="56"/>
      <c r="H943" s="56"/>
      <c r="I943" s="6"/>
      <c r="J943" s="6"/>
      <c r="K943" s="57"/>
      <c r="L943" s="57"/>
      <c r="M943" s="57"/>
      <c r="N943" s="56"/>
      <c r="O943" s="56"/>
      <c r="P943" s="56"/>
      <c r="Q943" s="56"/>
      <c r="R943" s="56"/>
      <c r="S943" s="56"/>
      <c r="T943" s="56"/>
      <c r="U943" s="56"/>
      <c r="V943" s="56"/>
      <c r="W943" s="56"/>
      <c r="X943" s="56"/>
      <c r="Y943" s="56"/>
      <c r="Z943" s="56"/>
      <c r="AA943" s="56"/>
      <c r="AB943" s="56"/>
      <c r="AC943" s="56"/>
      <c r="AD943" s="56"/>
      <c r="AE943" s="56"/>
      <c r="AF943" s="56"/>
      <c r="AG943" s="56"/>
      <c r="AH943" s="56"/>
      <c r="AI943" s="58"/>
      <c r="AJ943" s="56"/>
      <c r="AK943" s="56"/>
      <c r="AL943" s="56"/>
      <c r="AM943" s="57"/>
      <c r="AN943" s="57"/>
      <c r="AO943" s="56"/>
      <c r="AP943" s="56"/>
      <c r="AQ943" s="57"/>
      <c r="AR943" s="57"/>
      <c r="AS943" s="57"/>
      <c r="AT943" s="67">
        <f t="shared" ca="1" si="88"/>
        <v>0</v>
      </c>
      <c r="AU943" s="79" t="str">
        <f t="shared" ca="1" si="89"/>
        <v/>
      </c>
      <c r="AV943" s="79" t="str" cm="1">
        <f t="array" aca="1" ref="AV943" ca="1">IFERROR(_xlfn.IFS($AU943="","",$AU943&lt;=15,"0-15",AND($AU943&gt;=16,$AU943&lt;=30),"16-30",AND($AU943&gt;=31,$AU943&lt;=45),"31-45",AND($AU943&gt;=46,$AU943&lt;=60),"46-60",AND($AU943&gt;=61,$AU943&lt;=90),"61-90",AND($AU943&gt;=91),"&gt; 90",AND($AU943&gt;=2000),""),"")</f>
        <v/>
      </c>
      <c r="AW943" s="79" t="str" cm="1">
        <f t="array" aca="1" ref="AW943" ca="1">IFERROR(_xlfn.IFS(OR($M943="",$AM943=""),"",OR($C943="Offered",$C943="Joined"),($AM943-$M943)-$AT943),"")</f>
        <v/>
      </c>
      <c r="AX943" s="79" t="str" cm="1">
        <f t="array" aca="1" ref="AX943" ca="1">IFERROR(_xlfn.IFS(OR($M943="",$AS943=""),"",$C943="Joined",($AS943-$M943)-$AT943),"")</f>
        <v/>
      </c>
      <c r="AY943" s="67" t="str">
        <f>IFERROR(IF(COUNTIFS('Candidate Tracker'!$E:$E,'Positions Tracker'!$B943,'Candidate Tracker'!$C:$C,"Offer Drop")=0,"",COUNTIFS('Candidate Tracker'!$E:$E,'Positions Tracker'!$B943,'Candidate Tracker'!$C:$C,"Offer Drop")),"")</f>
        <v/>
      </c>
      <c r="AZ943" s="80">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0.88111888111888115</v>
      </c>
      <c r="BA943" s="81" t="str">
        <f>IFERROR(IF(COUNTIFS('Candidate Tracker'!$E:$E,'Positions Tracker'!$B943,'Candidate Tracker'!$I:$I,"Female")=0,"",COUNTIFS('Candidate Tracker'!$E:$E,'Positions Tracker'!$B943,'Candidate Tracker'!$I:$I,"Female")),"")</f>
        <v/>
      </c>
      <c r="BB943" s="81" t="str">
        <f>IFERROR(IF(COUNTIFS('Candidate Tracker'!$E:$E,'Positions Tracker'!$B943,'Candidate Tracker'!$I:$I,"male")=0,"",COUNTIFS('Candidate Tracker'!$E:$E,'Positions Tracker'!$B943,'Candidate Tracker'!$I:$I,"male")),"")</f>
        <v/>
      </c>
      <c r="BC943" s="80" t="str">
        <f>IFERROR(IF(COUNTIFS('Candidate Tracker'!$E:$E,'Positions Tracker'!$B943,'Candidate Tracker'!$C:$C,"&lt;&gt;WIP",'Candidate Tracker'!$C:$C,"&lt;&gt;Hold",'Candidate Tracker'!$C:$C,"&lt;&gt;Cancelled",'Candidate Tracker'!$C:$C,"&lt;&gt;Closed")/COUNTIFS('Candidate Tracker'!$E:$E,'Positions Tracker'!$B943)=0,"",COUNTIFS('Candidate Tracker'!$E:$E,'Positions Tracker'!$B943,'Candidate Tracker'!$C:$C,"&lt;&gt;WIP",'Candidate Tracker'!$C:$C,"&lt;&gt;Hold",'Candidate Tracker'!$C:$C,"&lt;&gt;Cancelled",'Candidate Tracker'!$C:$C,"&lt;&gt;Closed")/COUNTIFS('Candidate Tracker'!$E:$E,'Positions Tracker'!$B943)),"")</f>
        <v/>
      </c>
      <c r="BD943" s="67" t="str">
        <f t="shared" si="84"/>
        <v/>
      </c>
      <c r="BE943" s="67" t="str">
        <f t="shared" si="85"/>
        <v/>
      </c>
      <c r="BF943" s="67" t="str">
        <f t="shared" si="86"/>
        <v/>
      </c>
      <c r="BG943" s="67" t="str">
        <f t="shared" si="87"/>
        <v/>
      </c>
    </row>
    <row r="944" spans="1:59">
      <c r="A944" s="55"/>
      <c r="B944" s="56"/>
      <c r="C944" s="56"/>
      <c r="D944" s="56"/>
      <c r="E944" s="56"/>
      <c r="F944" s="56"/>
      <c r="G944" s="56"/>
      <c r="H944" s="56"/>
      <c r="I944" s="6"/>
      <c r="J944" s="6"/>
      <c r="K944" s="57"/>
      <c r="L944" s="57"/>
      <c r="M944" s="57"/>
      <c r="N944" s="56"/>
      <c r="O944" s="56"/>
      <c r="P944" s="56"/>
      <c r="Q944" s="56"/>
      <c r="R944" s="56"/>
      <c r="S944" s="56"/>
      <c r="T944" s="56"/>
      <c r="U944" s="56"/>
      <c r="V944" s="56"/>
      <c r="W944" s="56"/>
      <c r="X944" s="56"/>
      <c r="Y944" s="56"/>
      <c r="Z944" s="56"/>
      <c r="AA944" s="56"/>
      <c r="AB944" s="56"/>
      <c r="AC944" s="56"/>
      <c r="AD944" s="56"/>
      <c r="AE944" s="56"/>
      <c r="AF944" s="56"/>
      <c r="AG944" s="56"/>
      <c r="AH944" s="56"/>
      <c r="AI944" s="58"/>
      <c r="AJ944" s="56"/>
      <c r="AK944" s="56"/>
      <c r="AL944" s="56"/>
      <c r="AM944" s="57"/>
      <c r="AN944" s="57"/>
      <c r="AO944" s="56"/>
      <c r="AP944" s="56"/>
      <c r="AQ944" s="57"/>
      <c r="AR944" s="57"/>
      <c r="AS944" s="57"/>
      <c r="AT944" s="67">
        <f t="shared" ca="1" si="88"/>
        <v>0</v>
      </c>
      <c r="AU944" s="79" t="str">
        <f t="shared" ca="1" si="89"/>
        <v/>
      </c>
      <c r="AV944" s="79" t="str" cm="1">
        <f t="array" aca="1" ref="AV944" ca="1">IFERROR(_xlfn.IFS($AU944="","",$AU944&lt;=15,"0-15",AND($AU944&gt;=16,$AU944&lt;=30),"16-30",AND($AU944&gt;=31,$AU944&lt;=45),"31-45",AND($AU944&gt;=46,$AU944&lt;=60),"46-60",AND($AU944&gt;=61,$AU944&lt;=90),"61-90",AND($AU944&gt;=91),"&gt; 90",AND($AU944&gt;=2000),""),"")</f>
        <v/>
      </c>
      <c r="AW944" s="79" t="str" cm="1">
        <f t="array" aca="1" ref="AW944" ca="1">IFERROR(_xlfn.IFS(OR($M944="",$AM944=""),"",OR($C944="Offered",$C944="Joined"),($AM944-$M944)-$AT944),"")</f>
        <v/>
      </c>
      <c r="AX944" s="79" t="str" cm="1">
        <f t="array" aca="1" ref="AX944" ca="1">IFERROR(_xlfn.IFS(OR($M944="",$AS944=""),"",$C944="Joined",($AS944-$M944)-$AT944),"")</f>
        <v/>
      </c>
      <c r="AY944" s="67" t="str">
        <f>IFERROR(IF(COUNTIFS('Candidate Tracker'!$E:$E,'Positions Tracker'!$B944,'Candidate Tracker'!$C:$C,"Offer Drop")=0,"",COUNTIFS('Candidate Tracker'!$E:$E,'Positions Tracker'!$B944,'Candidate Tracker'!$C:$C,"Offer Drop")),"")</f>
        <v/>
      </c>
      <c r="AZ944" s="80">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0.88111888111888115</v>
      </c>
      <c r="BA944" s="81" t="str">
        <f>IFERROR(IF(COUNTIFS('Candidate Tracker'!$E:$E,'Positions Tracker'!$B944,'Candidate Tracker'!$I:$I,"Female")=0,"",COUNTIFS('Candidate Tracker'!$E:$E,'Positions Tracker'!$B944,'Candidate Tracker'!$I:$I,"Female")),"")</f>
        <v/>
      </c>
      <c r="BB944" s="81" t="str">
        <f>IFERROR(IF(COUNTIFS('Candidate Tracker'!$E:$E,'Positions Tracker'!$B944,'Candidate Tracker'!$I:$I,"male")=0,"",COUNTIFS('Candidate Tracker'!$E:$E,'Positions Tracker'!$B944,'Candidate Tracker'!$I:$I,"male")),"")</f>
        <v/>
      </c>
      <c r="BC944" s="80" t="str">
        <f>IFERROR(IF(COUNTIFS('Candidate Tracker'!$E:$E,'Positions Tracker'!$B944,'Candidate Tracker'!$C:$C,"&lt;&gt;WIP",'Candidate Tracker'!$C:$C,"&lt;&gt;Hold",'Candidate Tracker'!$C:$C,"&lt;&gt;Cancelled",'Candidate Tracker'!$C:$C,"&lt;&gt;Closed")/COUNTIFS('Candidate Tracker'!$E:$E,'Positions Tracker'!$B944)=0,"",COUNTIFS('Candidate Tracker'!$E:$E,'Positions Tracker'!$B944,'Candidate Tracker'!$C:$C,"&lt;&gt;WIP",'Candidate Tracker'!$C:$C,"&lt;&gt;Hold",'Candidate Tracker'!$C:$C,"&lt;&gt;Cancelled",'Candidate Tracker'!$C:$C,"&lt;&gt;Closed")/COUNTIFS('Candidate Tracker'!$E:$E,'Positions Tracker'!$B944)),"")</f>
        <v/>
      </c>
      <c r="BD944" s="67" t="str">
        <f t="shared" si="84"/>
        <v/>
      </c>
      <c r="BE944" s="67" t="str">
        <f t="shared" si="85"/>
        <v/>
      </c>
      <c r="BF944" s="67" t="str">
        <f t="shared" si="86"/>
        <v/>
      </c>
      <c r="BG944" s="67" t="str">
        <f t="shared" si="87"/>
        <v/>
      </c>
    </row>
    <row r="945" spans="1:59">
      <c r="A945" s="55"/>
      <c r="B945" s="56"/>
      <c r="C945" s="56"/>
      <c r="D945" s="56"/>
      <c r="E945" s="56"/>
      <c r="F945" s="56"/>
      <c r="G945" s="56"/>
      <c r="H945" s="56"/>
      <c r="I945" s="6"/>
      <c r="J945" s="6"/>
      <c r="K945" s="57"/>
      <c r="L945" s="57"/>
      <c r="M945" s="57"/>
      <c r="N945" s="56"/>
      <c r="O945" s="56"/>
      <c r="P945" s="56"/>
      <c r="Q945" s="56"/>
      <c r="R945" s="56"/>
      <c r="S945" s="56"/>
      <c r="T945" s="56"/>
      <c r="U945" s="56"/>
      <c r="V945" s="56"/>
      <c r="W945" s="56"/>
      <c r="X945" s="56"/>
      <c r="Y945" s="56"/>
      <c r="Z945" s="56"/>
      <c r="AA945" s="56"/>
      <c r="AB945" s="56"/>
      <c r="AC945" s="56"/>
      <c r="AD945" s="56"/>
      <c r="AE945" s="56"/>
      <c r="AF945" s="56"/>
      <c r="AG945" s="56"/>
      <c r="AH945" s="56"/>
      <c r="AI945" s="58"/>
      <c r="AJ945" s="56"/>
      <c r="AK945" s="56"/>
      <c r="AL945" s="56"/>
      <c r="AM945" s="57"/>
      <c r="AN945" s="57"/>
      <c r="AO945" s="56"/>
      <c r="AP945" s="56"/>
      <c r="AQ945" s="57"/>
      <c r="AR945" s="57"/>
      <c r="AS945" s="57"/>
      <c r="AT945" s="67">
        <f t="shared" ca="1" si="88"/>
        <v>0</v>
      </c>
      <c r="AU945" s="79" t="str">
        <f t="shared" ca="1" si="89"/>
        <v/>
      </c>
      <c r="AV945" s="79" t="str" cm="1">
        <f t="array" aca="1" ref="AV945" ca="1">IFERROR(_xlfn.IFS($AU945="","",$AU945&lt;=15,"0-15",AND($AU945&gt;=16,$AU945&lt;=30),"16-30",AND($AU945&gt;=31,$AU945&lt;=45),"31-45",AND($AU945&gt;=46,$AU945&lt;=60),"46-60",AND($AU945&gt;=61,$AU945&lt;=90),"61-90",AND($AU945&gt;=91),"&gt; 90",AND($AU945&gt;=2000),""),"")</f>
        <v/>
      </c>
      <c r="AW945" s="79" t="str" cm="1">
        <f t="array" aca="1" ref="AW945" ca="1">IFERROR(_xlfn.IFS(OR($M945="",$AM945=""),"",OR($C945="Offered",$C945="Joined"),($AM945-$M945)-$AT945),"")</f>
        <v/>
      </c>
      <c r="AX945" s="79" t="str" cm="1">
        <f t="array" aca="1" ref="AX945" ca="1">IFERROR(_xlfn.IFS(OR($M945="",$AS945=""),"",$C945="Joined",($AS945-$M945)-$AT945),"")</f>
        <v/>
      </c>
      <c r="AY945" s="67" t="str">
        <f>IFERROR(IF(COUNTIFS('Candidate Tracker'!$E:$E,'Positions Tracker'!$B945,'Candidate Tracker'!$C:$C,"Offer Drop")=0,"",COUNTIFS('Candidate Tracker'!$E:$E,'Positions Tracker'!$B945,'Candidate Tracker'!$C:$C,"Offer Drop")),"")</f>
        <v/>
      </c>
      <c r="AZ945" s="80">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0.88111888111888115</v>
      </c>
      <c r="BA945" s="81" t="str">
        <f>IFERROR(IF(COUNTIFS('Candidate Tracker'!$E:$E,'Positions Tracker'!$B945,'Candidate Tracker'!$I:$I,"Female")=0,"",COUNTIFS('Candidate Tracker'!$E:$E,'Positions Tracker'!$B945,'Candidate Tracker'!$I:$I,"Female")),"")</f>
        <v/>
      </c>
      <c r="BB945" s="81" t="str">
        <f>IFERROR(IF(COUNTIFS('Candidate Tracker'!$E:$E,'Positions Tracker'!$B945,'Candidate Tracker'!$I:$I,"male")=0,"",COUNTIFS('Candidate Tracker'!$E:$E,'Positions Tracker'!$B945,'Candidate Tracker'!$I:$I,"male")),"")</f>
        <v/>
      </c>
      <c r="BC945" s="80" t="str">
        <f>IFERROR(IF(COUNTIFS('Candidate Tracker'!$E:$E,'Positions Tracker'!$B945,'Candidate Tracker'!$C:$C,"&lt;&gt;WIP",'Candidate Tracker'!$C:$C,"&lt;&gt;Hold",'Candidate Tracker'!$C:$C,"&lt;&gt;Cancelled",'Candidate Tracker'!$C:$C,"&lt;&gt;Closed")/COUNTIFS('Candidate Tracker'!$E:$E,'Positions Tracker'!$B945)=0,"",COUNTIFS('Candidate Tracker'!$E:$E,'Positions Tracker'!$B945,'Candidate Tracker'!$C:$C,"&lt;&gt;WIP",'Candidate Tracker'!$C:$C,"&lt;&gt;Hold",'Candidate Tracker'!$C:$C,"&lt;&gt;Cancelled",'Candidate Tracker'!$C:$C,"&lt;&gt;Closed")/COUNTIFS('Candidate Tracker'!$E:$E,'Positions Tracker'!$B945)),"")</f>
        <v/>
      </c>
      <c r="BD945" s="67" t="str">
        <f t="shared" si="84"/>
        <v/>
      </c>
      <c r="BE945" s="67" t="str">
        <f t="shared" si="85"/>
        <v/>
      </c>
      <c r="BF945" s="67" t="str">
        <f t="shared" si="86"/>
        <v/>
      </c>
      <c r="BG945" s="67" t="str">
        <f t="shared" si="87"/>
        <v/>
      </c>
    </row>
    <row r="946" spans="1:59">
      <c r="A946" s="55"/>
      <c r="B946" s="56"/>
      <c r="C946" s="56"/>
      <c r="D946" s="56"/>
      <c r="E946" s="56"/>
      <c r="F946" s="56"/>
      <c r="G946" s="56"/>
      <c r="H946" s="56"/>
      <c r="I946" s="6"/>
      <c r="J946" s="6"/>
      <c r="K946" s="57"/>
      <c r="L946" s="57"/>
      <c r="M946" s="57"/>
      <c r="N946" s="56"/>
      <c r="O946" s="56"/>
      <c r="P946" s="56"/>
      <c r="Q946" s="56"/>
      <c r="R946" s="56"/>
      <c r="S946" s="56"/>
      <c r="T946" s="56"/>
      <c r="U946" s="56"/>
      <c r="V946" s="56"/>
      <c r="W946" s="56"/>
      <c r="X946" s="56"/>
      <c r="Y946" s="56"/>
      <c r="Z946" s="56"/>
      <c r="AA946" s="56"/>
      <c r="AB946" s="56"/>
      <c r="AC946" s="56"/>
      <c r="AD946" s="56"/>
      <c r="AE946" s="56"/>
      <c r="AF946" s="56"/>
      <c r="AG946" s="56"/>
      <c r="AH946" s="56"/>
      <c r="AI946" s="58"/>
      <c r="AJ946" s="56"/>
      <c r="AK946" s="56"/>
      <c r="AL946" s="56"/>
      <c r="AM946" s="57"/>
      <c r="AN946" s="57"/>
      <c r="AO946" s="56"/>
      <c r="AP946" s="56"/>
      <c r="AQ946" s="57"/>
      <c r="AR946" s="57"/>
      <c r="AS946" s="57"/>
      <c r="AT946" s="67">
        <f t="shared" ca="1" si="88"/>
        <v>0</v>
      </c>
      <c r="AU946" s="79" t="str">
        <f t="shared" ca="1" si="89"/>
        <v/>
      </c>
      <c r="AV946" s="79" t="str" cm="1">
        <f t="array" aca="1" ref="AV946" ca="1">IFERROR(_xlfn.IFS($AU946="","",$AU946&lt;=15,"0-15",AND($AU946&gt;=16,$AU946&lt;=30),"16-30",AND($AU946&gt;=31,$AU946&lt;=45),"31-45",AND($AU946&gt;=46,$AU946&lt;=60),"46-60",AND($AU946&gt;=61,$AU946&lt;=90),"61-90",AND($AU946&gt;=91),"&gt; 90",AND($AU946&gt;=2000),""),"")</f>
        <v/>
      </c>
      <c r="AW946" s="79" t="str" cm="1">
        <f t="array" aca="1" ref="AW946" ca="1">IFERROR(_xlfn.IFS(OR($M946="",$AM946=""),"",OR($C946="Offered",$C946="Joined"),($AM946-$M946)-$AT946),"")</f>
        <v/>
      </c>
      <c r="AX946" s="79" t="str" cm="1">
        <f t="array" aca="1" ref="AX946" ca="1">IFERROR(_xlfn.IFS(OR($M946="",$AS946=""),"",$C946="Joined",($AS946-$M946)-$AT946),"")</f>
        <v/>
      </c>
      <c r="AY946" s="67" t="str">
        <f>IFERROR(IF(COUNTIFS('Candidate Tracker'!$E:$E,'Positions Tracker'!$B946,'Candidate Tracker'!$C:$C,"Offer Drop")=0,"",COUNTIFS('Candidate Tracker'!$E:$E,'Positions Tracker'!$B946,'Candidate Tracker'!$C:$C,"Offer Drop")),"")</f>
        <v/>
      </c>
      <c r="AZ946" s="80">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0.88111888111888115</v>
      </c>
      <c r="BA946" s="81" t="str">
        <f>IFERROR(IF(COUNTIFS('Candidate Tracker'!$E:$E,'Positions Tracker'!$B946,'Candidate Tracker'!$I:$I,"Female")=0,"",COUNTIFS('Candidate Tracker'!$E:$E,'Positions Tracker'!$B946,'Candidate Tracker'!$I:$I,"Female")),"")</f>
        <v/>
      </c>
      <c r="BB946" s="81" t="str">
        <f>IFERROR(IF(COUNTIFS('Candidate Tracker'!$E:$E,'Positions Tracker'!$B946,'Candidate Tracker'!$I:$I,"male")=0,"",COUNTIFS('Candidate Tracker'!$E:$E,'Positions Tracker'!$B946,'Candidate Tracker'!$I:$I,"male")),"")</f>
        <v/>
      </c>
      <c r="BC946" s="80" t="str">
        <f>IFERROR(IF(COUNTIFS('Candidate Tracker'!$E:$E,'Positions Tracker'!$B946,'Candidate Tracker'!$C:$C,"&lt;&gt;WIP",'Candidate Tracker'!$C:$C,"&lt;&gt;Hold",'Candidate Tracker'!$C:$C,"&lt;&gt;Cancelled",'Candidate Tracker'!$C:$C,"&lt;&gt;Closed")/COUNTIFS('Candidate Tracker'!$E:$E,'Positions Tracker'!$B946)=0,"",COUNTIFS('Candidate Tracker'!$E:$E,'Positions Tracker'!$B946,'Candidate Tracker'!$C:$C,"&lt;&gt;WIP",'Candidate Tracker'!$C:$C,"&lt;&gt;Hold",'Candidate Tracker'!$C:$C,"&lt;&gt;Cancelled",'Candidate Tracker'!$C:$C,"&lt;&gt;Closed")/COUNTIFS('Candidate Tracker'!$E:$E,'Positions Tracker'!$B946)),"")</f>
        <v/>
      </c>
      <c r="BD946" s="67" t="str">
        <f t="shared" si="84"/>
        <v/>
      </c>
      <c r="BE946" s="67" t="str">
        <f t="shared" si="85"/>
        <v/>
      </c>
      <c r="BF946" s="67" t="str">
        <f t="shared" si="86"/>
        <v/>
      </c>
      <c r="BG946" s="67" t="str">
        <f t="shared" si="87"/>
        <v/>
      </c>
    </row>
    <row r="947" spans="1:59">
      <c r="A947" s="55"/>
      <c r="B947" s="56"/>
      <c r="C947" s="56"/>
      <c r="D947" s="56"/>
      <c r="E947" s="56"/>
      <c r="F947" s="56"/>
      <c r="G947" s="56"/>
      <c r="H947" s="56"/>
      <c r="I947" s="6"/>
      <c r="J947" s="6"/>
      <c r="K947" s="57"/>
      <c r="L947" s="57"/>
      <c r="M947" s="57"/>
      <c r="N947" s="56"/>
      <c r="O947" s="56"/>
      <c r="P947" s="56"/>
      <c r="Q947" s="56"/>
      <c r="R947" s="56"/>
      <c r="S947" s="56"/>
      <c r="T947" s="56"/>
      <c r="U947" s="56"/>
      <c r="V947" s="56"/>
      <c r="W947" s="56"/>
      <c r="X947" s="56"/>
      <c r="Y947" s="56"/>
      <c r="Z947" s="56"/>
      <c r="AA947" s="56"/>
      <c r="AB947" s="56"/>
      <c r="AC947" s="56"/>
      <c r="AD947" s="56"/>
      <c r="AE947" s="56"/>
      <c r="AF947" s="56"/>
      <c r="AG947" s="56"/>
      <c r="AH947" s="56"/>
      <c r="AI947" s="58"/>
      <c r="AJ947" s="56"/>
      <c r="AK947" s="56"/>
      <c r="AL947" s="56"/>
      <c r="AM947" s="57"/>
      <c r="AN947" s="57"/>
      <c r="AO947" s="56"/>
      <c r="AP947" s="56"/>
      <c r="AQ947" s="57"/>
      <c r="AR947" s="57"/>
      <c r="AS947" s="57"/>
      <c r="AT947" s="67">
        <f t="shared" ca="1" si="88"/>
        <v>0</v>
      </c>
      <c r="AU947" s="79" t="str">
        <f t="shared" ca="1" si="89"/>
        <v/>
      </c>
      <c r="AV947" s="79" t="str" cm="1">
        <f t="array" aca="1" ref="AV947" ca="1">IFERROR(_xlfn.IFS($AU947="","",$AU947&lt;=15,"0-15",AND($AU947&gt;=16,$AU947&lt;=30),"16-30",AND($AU947&gt;=31,$AU947&lt;=45),"31-45",AND($AU947&gt;=46,$AU947&lt;=60),"46-60",AND($AU947&gt;=61,$AU947&lt;=90),"61-90",AND($AU947&gt;=91),"&gt; 90",AND($AU947&gt;=2000),""),"")</f>
        <v/>
      </c>
      <c r="AW947" s="79" t="str" cm="1">
        <f t="array" aca="1" ref="AW947" ca="1">IFERROR(_xlfn.IFS(OR($M947="",$AM947=""),"",OR($C947="Offered",$C947="Joined"),($AM947-$M947)-$AT947),"")</f>
        <v/>
      </c>
      <c r="AX947" s="79" t="str" cm="1">
        <f t="array" aca="1" ref="AX947" ca="1">IFERROR(_xlfn.IFS(OR($M947="",$AS947=""),"",$C947="Joined",($AS947-$M947)-$AT947),"")</f>
        <v/>
      </c>
      <c r="AY947" s="67" t="str">
        <f>IFERROR(IF(COUNTIFS('Candidate Tracker'!$E:$E,'Positions Tracker'!$B947,'Candidate Tracker'!$C:$C,"Offer Drop")=0,"",COUNTIFS('Candidate Tracker'!$E:$E,'Positions Tracker'!$B947,'Candidate Tracker'!$C:$C,"Offer Drop")),"")</f>
        <v/>
      </c>
      <c r="AZ947" s="80">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0.88111888111888115</v>
      </c>
      <c r="BA947" s="81" t="str">
        <f>IFERROR(IF(COUNTIFS('Candidate Tracker'!$E:$E,'Positions Tracker'!$B947,'Candidate Tracker'!$I:$I,"Female")=0,"",COUNTIFS('Candidate Tracker'!$E:$E,'Positions Tracker'!$B947,'Candidate Tracker'!$I:$I,"Female")),"")</f>
        <v/>
      </c>
      <c r="BB947" s="81" t="str">
        <f>IFERROR(IF(COUNTIFS('Candidate Tracker'!$E:$E,'Positions Tracker'!$B947,'Candidate Tracker'!$I:$I,"male")=0,"",COUNTIFS('Candidate Tracker'!$E:$E,'Positions Tracker'!$B947,'Candidate Tracker'!$I:$I,"male")),"")</f>
        <v/>
      </c>
      <c r="BC947" s="80" t="str">
        <f>IFERROR(IF(COUNTIFS('Candidate Tracker'!$E:$E,'Positions Tracker'!$B947,'Candidate Tracker'!$C:$C,"&lt;&gt;WIP",'Candidate Tracker'!$C:$C,"&lt;&gt;Hold",'Candidate Tracker'!$C:$C,"&lt;&gt;Cancelled",'Candidate Tracker'!$C:$C,"&lt;&gt;Closed")/COUNTIFS('Candidate Tracker'!$E:$E,'Positions Tracker'!$B947)=0,"",COUNTIFS('Candidate Tracker'!$E:$E,'Positions Tracker'!$B947,'Candidate Tracker'!$C:$C,"&lt;&gt;WIP",'Candidate Tracker'!$C:$C,"&lt;&gt;Hold",'Candidate Tracker'!$C:$C,"&lt;&gt;Cancelled",'Candidate Tracker'!$C:$C,"&lt;&gt;Closed")/COUNTIFS('Candidate Tracker'!$E:$E,'Positions Tracker'!$B947)),"")</f>
        <v/>
      </c>
      <c r="BD947" s="67" t="str">
        <f t="shared" si="84"/>
        <v/>
      </c>
      <c r="BE947" s="67" t="str">
        <f t="shared" si="85"/>
        <v/>
      </c>
      <c r="BF947" s="67" t="str">
        <f t="shared" si="86"/>
        <v/>
      </c>
      <c r="BG947" s="67" t="str">
        <f t="shared" si="87"/>
        <v/>
      </c>
    </row>
    <row r="948" spans="1:59">
      <c r="A948" s="55"/>
      <c r="B948" s="56"/>
      <c r="C948" s="56"/>
      <c r="D948" s="56"/>
      <c r="E948" s="56"/>
      <c r="F948" s="56"/>
      <c r="G948" s="56"/>
      <c r="H948" s="56"/>
      <c r="I948" s="6"/>
      <c r="J948" s="6"/>
      <c r="K948" s="57"/>
      <c r="L948" s="57"/>
      <c r="M948" s="57"/>
      <c r="N948" s="56"/>
      <c r="O948" s="56"/>
      <c r="P948" s="56"/>
      <c r="Q948" s="56"/>
      <c r="R948" s="56"/>
      <c r="S948" s="56"/>
      <c r="T948" s="56"/>
      <c r="U948" s="56"/>
      <c r="V948" s="56"/>
      <c r="W948" s="56"/>
      <c r="X948" s="56"/>
      <c r="Y948" s="56"/>
      <c r="Z948" s="56"/>
      <c r="AA948" s="56"/>
      <c r="AB948" s="56"/>
      <c r="AC948" s="56"/>
      <c r="AD948" s="56"/>
      <c r="AE948" s="56"/>
      <c r="AF948" s="56"/>
      <c r="AG948" s="56"/>
      <c r="AH948" s="56"/>
      <c r="AI948" s="58"/>
      <c r="AJ948" s="56"/>
      <c r="AK948" s="56"/>
      <c r="AL948" s="56"/>
      <c r="AM948" s="57"/>
      <c r="AN948" s="57"/>
      <c r="AO948" s="56"/>
      <c r="AP948" s="56"/>
      <c r="AQ948" s="57"/>
      <c r="AR948" s="57"/>
      <c r="AS948" s="57"/>
      <c r="AT948" s="67">
        <f t="shared" ca="1" si="88"/>
        <v>0</v>
      </c>
      <c r="AU948" s="79" t="str">
        <f t="shared" ca="1" si="89"/>
        <v/>
      </c>
      <c r="AV948" s="79" t="str" cm="1">
        <f t="array" aca="1" ref="AV948" ca="1">IFERROR(_xlfn.IFS($AU948="","",$AU948&lt;=15,"0-15",AND($AU948&gt;=16,$AU948&lt;=30),"16-30",AND($AU948&gt;=31,$AU948&lt;=45),"31-45",AND($AU948&gt;=46,$AU948&lt;=60),"46-60",AND($AU948&gt;=61,$AU948&lt;=90),"61-90",AND($AU948&gt;=91),"&gt; 90",AND($AU948&gt;=2000),""),"")</f>
        <v/>
      </c>
      <c r="AW948" s="79" t="str" cm="1">
        <f t="array" aca="1" ref="AW948" ca="1">IFERROR(_xlfn.IFS(OR($M948="",$AM948=""),"",OR($C948="Offered",$C948="Joined"),($AM948-$M948)-$AT948),"")</f>
        <v/>
      </c>
      <c r="AX948" s="79" t="str" cm="1">
        <f t="array" aca="1" ref="AX948" ca="1">IFERROR(_xlfn.IFS(OR($M948="",$AS948=""),"",$C948="Joined",($AS948-$M948)-$AT948),"")</f>
        <v/>
      </c>
      <c r="AY948" s="67" t="str">
        <f>IFERROR(IF(COUNTIFS('Candidate Tracker'!$E:$E,'Positions Tracker'!$B948,'Candidate Tracker'!$C:$C,"Offer Drop")=0,"",COUNTIFS('Candidate Tracker'!$E:$E,'Positions Tracker'!$B948,'Candidate Tracker'!$C:$C,"Offer Drop")),"")</f>
        <v/>
      </c>
      <c r="AZ948" s="80">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0.88111888111888115</v>
      </c>
      <c r="BA948" s="81" t="str">
        <f>IFERROR(IF(COUNTIFS('Candidate Tracker'!$E:$E,'Positions Tracker'!$B948,'Candidate Tracker'!$I:$I,"Female")=0,"",COUNTIFS('Candidate Tracker'!$E:$E,'Positions Tracker'!$B948,'Candidate Tracker'!$I:$I,"Female")),"")</f>
        <v/>
      </c>
      <c r="BB948" s="81" t="str">
        <f>IFERROR(IF(COUNTIFS('Candidate Tracker'!$E:$E,'Positions Tracker'!$B948,'Candidate Tracker'!$I:$I,"male")=0,"",COUNTIFS('Candidate Tracker'!$E:$E,'Positions Tracker'!$B948,'Candidate Tracker'!$I:$I,"male")),"")</f>
        <v/>
      </c>
      <c r="BC948" s="80" t="str">
        <f>IFERROR(IF(COUNTIFS('Candidate Tracker'!$E:$E,'Positions Tracker'!$B948,'Candidate Tracker'!$C:$C,"&lt;&gt;WIP",'Candidate Tracker'!$C:$C,"&lt;&gt;Hold",'Candidate Tracker'!$C:$C,"&lt;&gt;Cancelled",'Candidate Tracker'!$C:$C,"&lt;&gt;Closed")/COUNTIFS('Candidate Tracker'!$E:$E,'Positions Tracker'!$B948)=0,"",COUNTIFS('Candidate Tracker'!$E:$E,'Positions Tracker'!$B948,'Candidate Tracker'!$C:$C,"&lt;&gt;WIP",'Candidate Tracker'!$C:$C,"&lt;&gt;Hold",'Candidate Tracker'!$C:$C,"&lt;&gt;Cancelled",'Candidate Tracker'!$C:$C,"&lt;&gt;Closed")/COUNTIFS('Candidate Tracker'!$E:$E,'Positions Tracker'!$B948)),"")</f>
        <v/>
      </c>
      <c r="BD948" s="67" t="str">
        <f t="shared" si="84"/>
        <v/>
      </c>
      <c r="BE948" s="67" t="str">
        <f t="shared" si="85"/>
        <v/>
      </c>
      <c r="BF948" s="67" t="str">
        <f t="shared" si="86"/>
        <v/>
      </c>
      <c r="BG948" s="67" t="str">
        <f t="shared" si="87"/>
        <v/>
      </c>
    </row>
    <row r="949" spans="1:59">
      <c r="A949" s="55"/>
      <c r="B949" s="56"/>
      <c r="C949" s="56"/>
      <c r="D949" s="56"/>
      <c r="E949" s="56"/>
      <c r="F949" s="56"/>
      <c r="G949" s="56"/>
      <c r="H949" s="56"/>
      <c r="I949" s="6"/>
      <c r="J949" s="6"/>
      <c r="K949" s="57"/>
      <c r="L949" s="57"/>
      <c r="M949" s="57"/>
      <c r="N949" s="56"/>
      <c r="O949" s="56"/>
      <c r="P949" s="56"/>
      <c r="Q949" s="56"/>
      <c r="R949" s="56"/>
      <c r="S949" s="56"/>
      <c r="T949" s="56"/>
      <c r="U949" s="56"/>
      <c r="V949" s="56"/>
      <c r="W949" s="56"/>
      <c r="X949" s="56"/>
      <c r="Y949" s="56"/>
      <c r="Z949" s="56"/>
      <c r="AA949" s="56"/>
      <c r="AB949" s="56"/>
      <c r="AC949" s="56"/>
      <c r="AD949" s="56"/>
      <c r="AE949" s="56"/>
      <c r="AF949" s="56"/>
      <c r="AG949" s="56"/>
      <c r="AH949" s="56"/>
      <c r="AI949" s="58"/>
      <c r="AJ949" s="56"/>
      <c r="AK949" s="56"/>
      <c r="AL949" s="56"/>
      <c r="AM949" s="57"/>
      <c r="AN949" s="57"/>
      <c r="AO949" s="56"/>
      <c r="AP949" s="56"/>
      <c r="AQ949" s="57"/>
      <c r="AR949" s="57"/>
      <c r="AS949" s="57"/>
      <c r="AT949" s="67">
        <f t="shared" ca="1" si="88"/>
        <v>0</v>
      </c>
      <c r="AU949" s="79" t="str">
        <f t="shared" ca="1" si="89"/>
        <v/>
      </c>
      <c r="AV949" s="79" t="str" cm="1">
        <f t="array" aca="1" ref="AV949" ca="1">IFERROR(_xlfn.IFS($AU949="","",$AU949&lt;=15,"0-15",AND($AU949&gt;=16,$AU949&lt;=30),"16-30",AND($AU949&gt;=31,$AU949&lt;=45),"31-45",AND($AU949&gt;=46,$AU949&lt;=60),"46-60",AND($AU949&gt;=61,$AU949&lt;=90),"61-90",AND($AU949&gt;=91),"&gt; 90",AND($AU949&gt;=2000),""),"")</f>
        <v/>
      </c>
      <c r="AW949" s="79" t="str" cm="1">
        <f t="array" aca="1" ref="AW949" ca="1">IFERROR(_xlfn.IFS(OR($M949="",$AM949=""),"",OR($C949="Offered",$C949="Joined"),($AM949-$M949)-$AT949),"")</f>
        <v/>
      </c>
      <c r="AX949" s="79" t="str" cm="1">
        <f t="array" aca="1" ref="AX949" ca="1">IFERROR(_xlfn.IFS(OR($M949="",$AS949=""),"",$C949="Joined",($AS949-$M949)-$AT949),"")</f>
        <v/>
      </c>
      <c r="AY949" s="67" t="str">
        <f>IFERROR(IF(COUNTIFS('Candidate Tracker'!$E:$E,'Positions Tracker'!$B949,'Candidate Tracker'!$C:$C,"Offer Drop")=0,"",COUNTIFS('Candidate Tracker'!$E:$E,'Positions Tracker'!$B949,'Candidate Tracker'!$C:$C,"Offer Drop")),"")</f>
        <v/>
      </c>
      <c r="AZ949" s="80">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0.88111888111888115</v>
      </c>
      <c r="BA949" s="81" t="str">
        <f>IFERROR(IF(COUNTIFS('Candidate Tracker'!$E:$E,'Positions Tracker'!$B949,'Candidate Tracker'!$I:$I,"Female")=0,"",COUNTIFS('Candidate Tracker'!$E:$E,'Positions Tracker'!$B949,'Candidate Tracker'!$I:$I,"Female")),"")</f>
        <v/>
      </c>
      <c r="BB949" s="81" t="str">
        <f>IFERROR(IF(COUNTIFS('Candidate Tracker'!$E:$E,'Positions Tracker'!$B949,'Candidate Tracker'!$I:$I,"male")=0,"",COUNTIFS('Candidate Tracker'!$E:$E,'Positions Tracker'!$B949,'Candidate Tracker'!$I:$I,"male")),"")</f>
        <v/>
      </c>
      <c r="BC949" s="80" t="str">
        <f>IFERROR(IF(COUNTIFS('Candidate Tracker'!$E:$E,'Positions Tracker'!$B949,'Candidate Tracker'!$C:$C,"&lt;&gt;WIP",'Candidate Tracker'!$C:$C,"&lt;&gt;Hold",'Candidate Tracker'!$C:$C,"&lt;&gt;Cancelled",'Candidate Tracker'!$C:$C,"&lt;&gt;Closed")/COUNTIFS('Candidate Tracker'!$E:$E,'Positions Tracker'!$B949)=0,"",COUNTIFS('Candidate Tracker'!$E:$E,'Positions Tracker'!$B949,'Candidate Tracker'!$C:$C,"&lt;&gt;WIP",'Candidate Tracker'!$C:$C,"&lt;&gt;Hold",'Candidate Tracker'!$C:$C,"&lt;&gt;Cancelled",'Candidate Tracker'!$C:$C,"&lt;&gt;Closed")/COUNTIFS('Candidate Tracker'!$E:$E,'Positions Tracker'!$B949)),"")</f>
        <v/>
      </c>
      <c r="BD949" s="67" t="str">
        <f t="shared" si="84"/>
        <v/>
      </c>
      <c r="BE949" s="67" t="str">
        <f t="shared" si="85"/>
        <v/>
      </c>
      <c r="BF949" s="67" t="str">
        <f t="shared" si="86"/>
        <v/>
      </c>
      <c r="BG949" s="67" t="str">
        <f t="shared" si="87"/>
        <v/>
      </c>
    </row>
    <row r="950" spans="1:59">
      <c r="A950" s="55"/>
      <c r="B950" s="56"/>
      <c r="C950" s="56"/>
      <c r="D950" s="56"/>
      <c r="E950" s="56"/>
      <c r="F950" s="56"/>
      <c r="G950" s="56"/>
      <c r="H950" s="56"/>
      <c r="I950" s="6"/>
      <c r="J950" s="6"/>
      <c r="K950" s="57"/>
      <c r="L950" s="57"/>
      <c r="M950" s="57"/>
      <c r="N950" s="56"/>
      <c r="O950" s="56"/>
      <c r="P950" s="56"/>
      <c r="Q950" s="56"/>
      <c r="R950" s="56"/>
      <c r="S950" s="56"/>
      <c r="T950" s="56"/>
      <c r="U950" s="56"/>
      <c r="V950" s="56"/>
      <c r="W950" s="56"/>
      <c r="X950" s="56"/>
      <c r="Y950" s="56"/>
      <c r="Z950" s="56"/>
      <c r="AA950" s="56"/>
      <c r="AB950" s="56"/>
      <c r="AC950" s="56"/>
      <c r="AD950" s="56"/>
      <c r="AE950" s="56"/>
      <c r="AF950" s="56"/>
      <c r="AG950" s="56"/>
      <c r="AH950" s="56"/>
      <c r="AI950" s="58"/>
      <c r="AJ950" s="56"/>
      <c r="AK950" s="56"/>
      <c r="AL950" s="56"/>
      <c r="AM950" s="57"/>
      <c r="AN950" s="57"/>
      <c r="AO950" s="56"/>
      <c r="AP950" s="56"/>
      <c r="AQ950" s="57"/>
      <c r="AR950" s="57"/>
      <c r="AS950" s="57"/>
      <c r="AT950" s="67">
        <f t="shared" ca="1" si="88"/>
        <v>0</v>
      </c>
      <c r="AU950" s="79" t="str">
        <f t="shared" ca="1" si="89"/>
        <v/>
      </c>
      <c r="AV950" s="79" t="str" cm="1">
        <f t="array" aca="1" ref="AV950" ca="1">IFERROR(_xlfn.IFS($AU950="","",$AU950&lt;=15,"0-15",AND($AU950&gt;=16,$AU950&lt;=30),"16-30",AND($AU950&gt;=31,$AU950&lt;=45),"31-45",AND($AU950&gt;=46,$AU950&lt;=60),"46-60",AND($AU950&gt;=61,$AU950&lt;=90),"61-90",AND($AU950&gt;=91),"&gt; 90",AND($AU950&gt;=2000),""),"")</f>
        <v/>
      </c>
      <c r="AW950" s="79" t="str" cm="1">
        <f t="array" aca="1" ref="AW950" ca="1">IFERROR(_xlfn.IFS(OR($M950="",$AM950=""),"",OR($C950="Offered",$C950="Joined"),($AM950-$M950)-$AT950),"")</f>
        <v/>
      </c>
      <c r="AX950" s="79" t="str" cm="1">
        <f t="array" aca="1" ref="AX950" ca="1">IFERROR(_xlfn.IFS(OR($M950="",$AS950=""),"",$C950="Joined",($AS950-$M950)-$AT950),"")</f>
        <v/>
      </c>
      <c r="AY950" s="67" t="str">
        <f>IFERROR(IF(COUNTIFS('Candidate Tracker'!$E:$E,'Positions Tracker'!$B950,'Candidate Tracker'!$C:$C,"Offer Drop")=0,"",COUNTIFS('Candidate Tracker'!$E:$E,'Positions Tracker'!$B950,'Candidate Tracker'!$C:$C,"Offer Drop")),"")</f>
        <v/>
      </c>
      <c r="AZ950" s="80">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0.88111888111888115</v>
      </c>
      <c r="BA950" s="81" t="str">
        <f>IFERROR(IF(COUNTIFS('Candidate Tracker'!$E:$E,'Positions Tracker'!$B950,'Candidate Tracker'!$I:$I,"Female")=0,"",COUNTIFS('Candidate Tracker'!$E:$E,'Positions Tracker'!$B950,'Candidate Tracker'!$I:$I,"Female")),"")</f>
        <v/>
      </c>
      <c r="BB950" s="81" t="str">
        <f>IFERROR(IF(COUNTIFS('Candidate Tracker'!$E:$E,'Positions Tracker'!$B950,'Candidate Tracker'!$I:$I,"male")=0,"",COUNTIFS('Candidate Tracker'!$E:$E,'Positions Tracker'!$B950,'Candidate Tracker'!$I:$I,"male")),"")</f>
        <v/>
      </c>
      <c r="BC950" s="80" t="str">
        <f>IFERROR(IF(COUNTIFS('Candidate Tracker'!$E:$E,'Positions Tracker'!$B950,'Candidate Tracker'!$C:$C,"&lt;&gt;WIP",'Candidate Tracker'!$C:$C,"&lt;&gt;Hold",'Candidate Tracker'!$C:$C,"&lt;&gt;Cancelled",'Candidate Tracker'!$C:$C,"&lt;&gt;Closed")/COUNTIFS('Candidate Tracker'!$E:$E,'Positions Tracker'!$B950)=0,"",COUNTIFS('Candidate Tracker'!$E:$E,'Positions Tracker'!$B950,'Candidate Tracker'!$C:$C,"&lt;&gt;WIP",'Candidate Tracker'!$C:$C,"&lt;&gt;Hold",'Candidate Tracker'!$C:$C,"&lt;&gt;Cancelled",'Candidate Tracker'!$C:$C,"&lt;&gt;Closed")/COUNTIFS('Candidate Tracker'!$E:$E,'Positions Tracker'!$B950)),"")</f>
        <v/>
      </c>
      <c r="BD950" s="67" t="str">
        <f t="shared" si="84"/>
        <v/>
      </c>
      <c r="BE950" s="67" t="str">
        <f t="shared" si="85"/>
        <v/>
      </c>
      <c r="BF950" s="67" t="str">
        <f t="shared" si="86"/>
        <v/>
      </c>
      <c r="BG950" s="67" t="str">
        <f t="shared" si="87"/>
        <v/>
      </c>
    </row>
    <row r="951" spans="1:59">
      <c r="A951" s="55"/>
      <c r="B951" s="56"/>
      <c r="C951" s="56"/>
      <c r="D951" s="56"/>
      <c r="E951" s="56"/>
      <c r="F951" s="56"/>
      <c r="G951" s="56"/>
      <c r="H951" s="56"/>
      <c r="I951" s="6"/>
      <c r="J951" s="6"/>
      <c r="K951" s="57"/>
      <c r="L951" s="57"/>
      <c r="M951" s="57"/>
      <c r="N951" s="56"/>
      <c r="O951" s="56"/>
      <c r="P951" s="56"/>
      <c r="Q951" s="56"/>
      <c r="R951" s="56"/>
      <c r="S951" s="56"/>
      <c r="T951" s="56"/>
      <c r="U951" s="56"/>
      <c r="V951" s="56"/>
      <c r="W951" s="56"/>
      <c r="X951" s="56"/>
      <c r="Y951" s="56"/>
      <c r="Z951" s="56"/>
      <c r="AA951" s="56"/>
      <c r="AB951" s="56"/>
      <c r="AC951" s="56"/>
      <c r="AD951" s="56"/>
      <c r="AE951" s="56"/>
      <c r="AF951" s="56"/>
      <c r="AG951" s="56"/>
      <c r="AH951" s="56"/>
      <c r="AI951" s="58"/>
      <c r="AJ951" s="56"/>
      <c r="AK951" s="56"/>
      <c r="AL951" s="56"/>
      <c r="AM951" s="57"/>
      <c r="AN951" s="57"/>
      <c r="AO951" s="56"/>
      <c r="AP951" s="56"/>
      <c r="AQ951" s="57"/>
      <c r="AR951" s="57"/>
      <c r="AS951" s="57"/>
      <c r="AT951" s="67">
        <f t="shared" ca="1" si="88"/>
        <v>0</v>
      </c>
      <c r="AU951" s="79" t="str">
        <f t="shared" ca="1" si="89"/>
        <v/>
      </c>
      <c r="AV951" s="79" t="str" cm="1">
        <f t="array" aca="1" ref="AV951" ca="1">IFERROR(_xlfn.IFS($AU951="","",$AU951&lt;=15,"0-15",AND($AU951&gt;=16,$AU951&lt;=30),"16-30",AND($AU951&gt;=31,$AU951&lt;=45),"31-45",AND($AU951&gt;=46,$AU951&lt;=60),"46-60",AND($AU951&gt;=61,$AU951&lt;=90),"61-90",AND($AU951&gt;=91),"&gt; 90",AND($AU951&gt;=2000),""),"")</f>
        <v/>
      </c>
      <c r="AW951" s="79" t="str" cm="1">
        <f t="array" aca="1" ref="AW951" ca="1">IFERROR(_xlfn.IFS(OR($M951="",$AM951=""),"",OR($C951="Offered",$C951="Joined"),($AM951-$M951)-$AT951),"")</f>
        <v/>
      </c>
      <c r="AX951" s="79" t="str" cm="1">
        <f t="array" aca="1" ref="AX951" ca="1">IFERROR(_xlfn.IFS(OR($M951="",$AS951=""),"",$C951="Joined",($AS951-$M951)-$AT951),"")</f>
        <v/>
      </c>
      <c r="AY951" s="67" t="str">
        <f>IFERROR(IF(COUNTIFS('Candidate Tracker'!$E:$E,'Positions Tracker'!$B951,'Candidate Tracker'!$C:$C,"Offer Drop")=0,"",COUNTIFS('Candidate Tracker'!$E:$E,'Positions Tracker'!$B951,'Candidate Tracker'!$C:$C,"Offer Drop")),"")</f>
        <v/>
      </c>
      <c r="AZ951" s="80">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0.88111888111888115</v>
      </c>
      <c r="BA951" s="81" t="str">
        <f>IFERROR(IF(COUNTIFS('Candidate Tracker'!$E:$E,'Positions Tracker'!$B951,'Candidate Tracker'!$I:$I,"Female")=0,"",COUNTIFS('Candidate Tracker'!$E:$E,'Positions Tracker'!$B951,'Candidate Tracker'!$I:$I,"Female")),"")</f>
        <v/>
      </c>
      <c r="BB951" s="81" t="str">
        <f>IFERROR(IF(COUNTIFS('Candidate Tracker'!$E:$E,'Positions Tracker'!$B951,'Candidate Tracker'!$I:$I,"male")=0,"",COUNTIFS('Candidate Tracker'!$E:$E,'Positions Tracker'!$B951,'Candidate Tracker'!$I:$I,"male")),"")</f>
        <v/>
      </c>
      <c r="BC951" s="80" t="str">
        <f>IFERROR(IF(COUNTIFS('Candidate Tracker'!$E:$E,'Positions Tracker'!$B951,'Candidate Tracker'!$C:$C,"&lt;&gt;WIP",'Candidate Tracker'!$C:$C,"&lt;&gt;Hold",'Candidate Tracker'!$C:$C,"&lt;&gt;Cancelled",'Candidate Tracker'!$C:$C,"&lt;&gt;Closed")/COUNTIFS('Candidate Tracker'!$E:$E,'Positions Tracker'!$B951)=0,"",COUNTIFS('Candidate Tracker'!$E:$E,'Positions Tracker'!$B951,'Candidate Tracker'!$C:$C,"&lt;&gt;WIP",'Candidate Tracker'!$C:$C,"&lt;&gt;Hold",'Candidate Tracker'!$C:$C,"&lt;&gt;Cancelled",'Candidate Tracker'!$C:$C,"&lt;&gt;Closed")/COUNTIFS('Candidate Tracker'!$E:$E,'Positions Tracker'!$B951)),"")</f>
        <v/>
      </c>
      <c r="BD951" s="67" t="str">
        <f t="shared" si="84"/>
        <v/>
      </c>
      <c r="BE951" s="67" t="str">
        <f t="shared" si="85"/>
        <v/>
      </c>
      <c r="BF951" s="67" t="str">
        <f t="shared" si="86"/>
        <v/>
      </c>
      <c r="BG951" s="67" t="str">
        <f t="shared" si="87"/>
        <v/>
      </c>
    </row>
    <row r="952" spans="1:59">
      <c r="A952" s="55"/>
      <c r="B952" s="56"/>
      <c r="C952" s="56"/>
      <c r="D952" s="56"/>
      <c r="E952" s="56"/>
      <c r="F952" s="56"/>
      <c r="G952" s="56"/>
      <c r="H952" s="56"/>
      <c r="I952" s="6"/>
      <c r="J952" s="6"/>
      <c r="K952" s="57"/>
      <c r="L952" s="57"/>
      <c r="M952" s="57"/>
      <c r="N952" s="56"/>
      <c r="O952" s="56"/>
      <c r="P952" s="56"/>
      <c r="Q952" s="56"/>
      <c r="R952" s="56"/>
      <c r="S952" s="56"/>
      <c r="T952" s="56"/>
      <c r="U952" s="56"/>
      <c r="V952" s="56"/>
      <c r="W952" s="56"/>
      <c r="X952" s="56"/>
      <c r="Y952" s="56"/>
      <c r="Z952" s="56"/>
      <c r="AA952" s="56"/>
      <c r="AB952" s="56"/>
      <c r="AC952" s="56"/>
      <c r="AD952" s="56"/>
      <c r="AE952" s="56"/>
      <c r="AF952" s="56"/>
      <c r="AG952" s="56"/>
      <c r="AH952" s="56"/>
      <c r="AI952" s="58"/>
      <c r="AJ952" s="56"/>
      <c r="AK952" s="56"/>
      <c r="AL952" s="56"/>
      <c r="AM952" s="57"/>
      <c r="AN952" s="57"/>
      <c r="AO952" s="56"/>
      <c r="AP952" s="56"/>
      <c r="AQ952" s="57"/>
      <c r="AR952" s="57"/>
      <c r="AS952" s="57"/>
      <c r="AT952" s="67">
        <f t="shared" ca="1" si="88"/>
        <v>0</v>
      </c>
      <c r="AU952" s="79" t="str">
        <f t="shared" ca="1" si="89"/>
        <v/>
      </c>
      <c r="AV952" s="79" t="str" cm="1">
        <f t="array" aca="1" ref="AV952" ca="1">IFERROR(_xlfn.IFS($AU952="","",$AU952&lt;=15,"0-15",AND($AU952&gt;=16,$AU952&lt;=30),"16-30",AND($AU952&gt;=31,$AU952&lt;=45),"31-45",AND($AU952&gt;=46,$AU952&lt;=60),"46-60",AND($AU952&gt;=61,$AU952&lt;=90),"61-90",AND($AU952&gt;=91),"&gt; 90",AND($AU952&gt;=2000),""),"")</f>
        <v/>
      </c>
      <c r="AW952" s="79" t="str" cm="1">
        <f t="array" aca="1" ref="AW952" ca="1">IFERROR(_xlfn.IFS(OR($M952="",$AM952=""),"",OR($C952="Offered",$C952="Joined"),($AM952-$M952)-$AT952),"")</f>
        <v/>
      </c>
      <c r="AX952" s="79" t="str" cm="1">
        <f t="array" aca="1" ref="AX952" ca="1">IFERROR(_xlfn.IFS(OR($M952="",$AS952=""),"",$C952="Joined",($AS952-$M952)-$AT952),"")</f>
        <v/>
      </c>
      <c r="AY952" s="67" t="str">
        <f>IFERROR(IF(COUNTIFS('Candidate Tracker'!$E:$E,'Positions Tracker'!$B952,'Candidate Tracker'!$C:$C,"Offer Drop")=0,"",COUNTIFS('Candidate Tracker'!$E:$E,'Positions Tracker'!$B952,'Candidate Tracker'!$C:$C,"Offer Drop")),"")</f>
        <v/>
      </c>
      <c r="AZ952" s="80">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0.88111888111888115</v>
      </c>
      <c r="BA952" s="81" t="str">
        <f>IFERROR(IF(COUNTIFS('Candidate Tracker'!$E:$E,'Positions Tracker'!$B952,'Candidate Tracker'!$I:$I,"Female")=0,"",COUNTIFS('Candidate Tracker'!$E:$E,'Positions Tracker'!$B952,'Candidate Tracker'!$I:$I,"Female")),"")</f>
        <v/>
      </c>
      <c r="BB952" s="81" t="str">
        <f>IFERROR(IF(COUNTIFS('Candidate Tracker'!$E:$E,'Positions Tracker'!$B952,'Candidate Tracker'!$I:$I,"male")=0,"",COUNTIFS('Candidate Tracker'!$E:$E,'Positions Tracker'!$B952,'Candidate Tracker'!$I:$I,"male")),"")</f>
        <v/>
      </c>
      <c r="BC952" s="80" t="str">
        <f>IFERROR(IF(COUNTIFS('Candidate Tracker'!$E:$E,'Positions Tracker'!$B952,'Candidate Tracker'!$C:$C,"&lt;&gt;WIP",'Candidate Tracker'!$C:$C,"&lt;&gt;Hold",'Candidate Tracker'!$C:$C,"&lt;&gt;Cancelled",'Candidate Tracker'!$C:$C,"&lt;&gt;Closed")/COUNTIFS('Candidate Tracker'!$E:$E,'Positions Tracker'!$B952)=0,"",COUNTIFS('Candidate Tracker'!$E:$E,'Positions Tracker'!$B952,'Candidate Tracker'!$C:$C,"&lt;&gt;WIP",'Candidate Tracker'!$C:$C,"&lt;&gt;Hold",'Candidate Tracker'!$C:$C,"&lt;&gt;Cancelled",'Candidate Tracker'!$C:$C,"&lt;&gt;Closed")/COUNTIFS('Candidate Tracker'!$E:$E,'Positions Tracker'!$B952)),"")</f>
        <v/>
      </c>
      <c r="BD952" s="67" t="str">
        <f t="shared" si="84"/>
        <v/>
      </c>
      <c r="BE952" s="67" t="str">
        <f t="shared" si="85"/>
        <v/>
      </c>
      <c r="BF952" s="67" t="str">
        <f t="shared" si="86"/>
        <v/>
      </c>
      <c r="BG952" s="67" t="str">
        <f t="shared" si="87"/>
        <v/>
      </c>
    </row>
    <row r="953" spans="1:59">
      <c r="A953" s="55"/>
      <c r="B953" s="56"/>
      <c r="C953" s="56"/>
      <c r="D953" s="56"/>
      <c r="E953" s="56"/>
      <c r="F953" s="56"/>
      <c r="G953" s="56"/>
      <c r="H953" s="56"/>
      <c r="I953" s="6"/>
      <c r="J953" s="6"/>
      <c r="K953" s="57"/>
      <c r="L953" s="57"/>
      <c r="M953" s="57"/>
      <c r="N953" s="56"/>
      <c r="O953" s="56"/>
      <c r="P953" s="56"/>
      <c r="Q953" s="56"/>
      <c r="R953" s="56"/>
      <c r="S953" s="56"/>
      <c r="T953" s="56"/>
      <c r="U953" s="56"/>
      <c r="V953" s="56"/>
      <c r="W953" s="56"/>
      <c r="X953" s="56"/>
      <c r="Y953" s="56"/>
      <c r="Z953" s="56"/>
      <c r="AA953" s="56"/>
      <c r="AB953" s="56"/>
      <c r="AC953" s="56"/>
      <c r="AD953" s="56"/>
      <c r="AE953" s="56"/>
      <c r="AF953" s="56"/>
      <c r="AG953" s="56"/>
      <c r="AH953" s="56"/>
      <c r="AI953" s="58"/>
      <c r="AJ953" s="56"/>
      <c r="AK953" s="56"/>
      <c r="AL953" s="56"/>
      <c r="AM953" s="57"/>
      <c r="AN953" s="57"/>
      <c r="AO953" s="56"/>
      <c r="AP953" s="56"/>
      <c r="AQ953" s="57"/>
      <c r="AR953" s="57"/>
      <c r="AS953" s="57"/>
      <c r="AT953" s="67">
        <f t="shared" ca="1" si="88"/>
        <v>0</v>
      </c>
      <c r="AU953" s="79" t="str">
        <f t="shared" ca="1" si="89"/>
        <v/>
      </c>
      <c r="AV953" s="79" t="str" cm="1">
        <f t="array" aca="1" ref="AV953" ca="1">IFERROR(_xlfn.IFS($AU953="","",$AU953&lt;=15,"0-15",AND($AU953&gt;=16,$AU953&lt;=30),"16-30",AND($AU953&gt;=31,$AU953&lt;=45),"31-45",AND($AU953&gt;=46,$AU953&lt;=60),"46-60",AND($AU953&gt;=61,$AU953&lt;=90),"61-90",AND($AU953&gt;=91),"&gt; 90",AND($AU953&gt;=2000),""),"")</f>
        <v/>
      </c>
      <c r="AW953" s="79" t="str" cm="1">
        <f t="array" aca="1" ref="AW953" ca="1">IFERROR(_xlfn.IFS(OR($M953="",$AM953=""),"",OR($C953="Offered",$C953="Joined"),($AM953-$M953)-$AT953),"")</f>
        <v/>
      </c>
      <c r="AX953" s="79" t="str" cm="1">
        <f t="array" aca="1" ref="AX953" ca="1">IFERROR(_xlfn.IFS(OR($M953="",$AS953=""),"",$C953="Joined",($AS953-$M953)-$AT953),"")</f>
        <v/>
      </c>
      <c r="AY953" s="67" t="str">
        <f>IFERROR(IF(COUNTIFS('Candidate Tracker'!$E:$E,'Positions Tracker'!$B953,'Candidate Tracker'!$C:$C,"Offer Drop")=0,"",COUNTIFS('Candidate Tracker'!$E:$E,'Positions Tracker'!$B953,'Candidate Tracker'!$C:$C,"Offer Drop")),"")</f>
        <v/>
      </c>
      <c r="AZ953" s="80">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0.88111888111888115</v>
      </c>
      <c r="BA953" s="81" t="str">
        <f>IFERROR(IF(COUNTIFS('Candidate Tracker'!$E:$E,'Positions Tracker'!$B953,'Candidate Tracker'!$I:$I,"Female")=0,"",COUNTIFS('Candidate Tracker'!$E:$E,'Positions Tracker'!$B953,'Candidate Tracker'!$I:$I,"Female")),"")</f>
        <v/>
      </c>
      <c r="BB953" s="81" t="str">
        <f>IFERROR(IF(COUNTIFS('Candidate Tracker'!$E:$E,'Positions Tracker'!$B953,'Candidate Tracker'!$I:$I,"male")=0,"",COUNTIFS('Candidate Tracker'!$E:$E,'Positions Tracker'!$B953,'Candidate Tracker'!$I:$I,"male")),"")</f>
        <v/>
      </c>
      <c r="BC953" s="80" t="str">
        <f>IFERROR(IF(COUNTIFS('Candidate Tracker'!$E:$E,'Positions Tracker'!$B953,'Candidate Tracker'!$C:$C,"&lt;&gt;WIP",'Candidate Tracker'!$C:$C,"&lt;&gt;Hold",'Candidate Tracker'!$C:$C,"&lt;&gt;Cancelled",'Candidate Tracker'!$C:$C,"&lt;&gt;Closed")/COUNTIFS('Candidate Tracker'!$E:$E,'Positions Tracker'!$B953)=0,"",COUNTIFS('Candidate Tracker'!$E:$E,'Positions Tracker'!$B953,'Candidate Tracker'!$C:$C,"&lt;&gt;WIP",'Candidate Tracker'!$C:$C,"&lt;&gt;Hold",'Candidate Tracker'!$C:$C,"&lt;&gt;Cancelled",'Candidate Tracker'!$C:$C,"&lt;&gt;Closed")/COUNTIFS('Candidate Tracker'!$E:$E,'Positions Tracker'!$B953)),"")</f>
        <v/>
      </c>
      <c r="BD953" s="67" t="str">
        <f t="shared" si="84"/>
        <v/>
      </c>
      <c r="BE953" s="67" t="str">
        <f t="shared" si="85"/>
        <v/>
      </c>
      <c r="BF953" s="67" t="str">
        <f t="shared" si="86"/>
        <v/>
      </c>
      <c r="BG953" s="67" t="str">
        <f t="shared" si="87"/>
        <v/>
      </c>
    </row>
    <row r="954" spans="1:59">
      <c r="A954" s="55"/>
      <c r="B954" s="56"/>
      <c r="C954" s="56"/>
      <c r="D954" s="56"/>
      <c r="E954" s="56"/>
      <c r="F954" s="56"/>
      <c r="G954" s="56"/>
      <c r="H954" s="56"/>
      <c r="I954" s="6"/>
      <c r="J954" s="6"/>
      <c r="K954" s="57"/>
      <c r="L954" s="57"/>
      <c r="M954" s="57"/>
      <c r="N954" s="56"/>
      <c r="O954" s="56"/>
      <c r="P954" s="56"/>
      <c r="Q954" s="56"/>
      <c r="R954" s="56"/>
      <c r="S954" s="56"/>
      <c r="T954" s="56"/>
      <c r="U954" s="56"/>
      <c r="V954" s="56"/>
      <c r="W954" s="56"/>
      <c r="X954" s="56"/>
      <c r="Y954" s="56"/>
      <c r="Z954" s="56"/>
      <c r="AA954" s="56"/>
      <c r="AB954" s="56"/>
      <c r="AC954" s="56"/>
      <c r="AD954" s="56"/>
      <c r="AE954" s="56"/>
      <c r="AF954" s="56"/>
      <c r="AG954" s="56"/>
      <c r="AH954" s="56"/>
      <c r="AI954" s="58"/>
      <c r="AJ954" s="56"/>
      <c r="AK954" s="56"/>
      <c r="AL954" s="56"/>
      <c r="AM954" s="57"/>
      <c r="AN954" s="57"/>
      <c r="AO954" s="56"/>
      <c r="AP954" s="56"/>
      <c r="AQ954" s="57"/>
      <c r="AR954" s="57"/>
      <c r="AS954" s="57"/>
      <c r="AT954" s="67">
        <f t="shared" ca="1" si="88"/>
        <v>0</v>
      </c>
      <c r="AU954" s="79" t="str">
        <f t="shared" ca="1" si="89"/>
        <v/>
      </c>
      <c r="AV954" s="79" t="str" cm="1">
        <f t="array" aca="1" ref="AV954" ca="1">IFERROR(_xlfn.IFS($AU954="","",$AU954&lt;=15,"0-15",AND($AU954&gt;=16,$AU954&lt;=30),"16-30",AND($AU954&gt;=31,$AU954&lt;=45),"31-45",AND($AU954&gt;=46,$AU954&lt;=60),"46-60",AND($AU954&gt;=61,$AU954&lt;=90),"61-90",AND($AU954&gt;=91),"&gt; 90",AND($AU954&gt;=2000),""),"")</f>
        <v/>
      </c>
      <c r="AW954" s="79" t="str" cm="1">
        <f t="array" aca="1" ref="AW954" ca="1">IFERROR(_xlfn.IFS(OR($M954="",$AM954=""),"",OR($C954="Offered",$C954="Joined"),($AM954-$M954)-$AT954),"")</f>
        <v/>
      </c>
      <c r="AX954" s="79" t="str" cm="1">
        <f t="array" aca="1" ref="AX954" ca="1">IFERROR(_xlfn.IFS(OR($M954="",$AS954=""),"",$C954="Joined",($AS954-$M954)-$AT954),"")</f>
        <v/>
      </c>
      <c r="AY954" s="67" t="str">
        <f>IFERROR(IF(COUNTIFS('Candidate Tracker'!$E:$E,'Positions Tracker'!$B954,'Candidate Tracker'!$C:$C,"Offer Drop")=0,"",COUNTIFS('Candidate Tracker'!$E:$E,'Positions Tracker'!$B954,'Candidate Tracker'!$C:$C,"Offer Drop")),"")</f>
        <v/>
      </c>
      <c r="AZ954" s="80">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0.88111888111888115</v>
      </c>
      <c r="BA954" s="81" t="str">
        <f>IFERROR(IF(COUNTIFS('Candidate Tracker'!$E:$E,'Positions Tracker'!$B954,'Candidate Tracker'!$I:$I,"Female")=0,"",COUNTIFS('Candidate Tracker'!$E:$E,'Positions Tracker'!$B954,'Candidate Tracker'!$I:$I,"Female")),"")</f>
        <v/>
      </c>
      <c r="BB954" s="81" t="str">
        <f>IFERROR(IF(COUNTIFS('Candidate Tracker'!$E:$E,'Positions Tracker'!$B954,'Candidate Tracker'!$I:$I,"male")=0,"",COUNTIFS('Candidate Tracker'!$E:$E,'Positions Tracker'!$B954,'Candidate Tracker'!$I:$I,"male")),"")</f>
        <v/>
      </c>
      <c r="BC954" s="80" t="str">
        <f>IFERROR(IF(COUNTIFS('Candidate Tracker'!$E:$E,'Positions Tracker'!$B954,'Candidate Tracker'!$C:$C,"&lt;&gt;WIP",'Candidate Tracker'!$C:$C,"&lt;&gt;Hold",'Candidate Tracker'!$C:$C,"&lt;&gt;Cancelled",'Candidate Tracker'!$C:$C,"&lt;&gt;Closed")/COUNTIFS('Candidate Tracker'!$E:$E,'Positions Tracker'!$B954)=0,"",COUNTIFS('Candidate Tracker'!$E:$E,'Positions Tracker'!$B954,'Candidate Tracker'!$C:$C,"&lt;&gt;WIP",'Candidate Tracker'!$C:$C,"&lt;&gt;Hold",'Candidate Tracker'!$C:$C,"&lt;&gt;Cancelled",'Candidate Tracker'!$C:$C,"&lt;&gt;Closed")/COUNTIFS('Candidate Tracker'!$E:$E,'Positions Tracker'!$B954)),"")</f>
        <v/>
      </c>
      <c r="BD954" s="67" t="str">
        <f t="shared" si="84"/>
        <v/>
      </c>
      <c r="BE954" s="67" t="str">
        <f t="shared" si="85"/>
        <v/>
      </c>
      <c r="BF954" s="67" t="str">
        <f t="shared" si="86"/>
        <v/>
      </c>
      <c r="BG954" s="67" t="str">
        <f t="shared" si="87"/>
        <v/>
      </c>
    </row>
    <row r="955" spans="1:59">
      <c r="A955" s="55"/>
      <c r="B955" s="56"/>
      <c r="C955" s="56"/>
      <c r="D955" s="56"/>
      <c r="E955" s="56"/>
      <c r="F955" s="56"/>
      <c r="G955" s="56"/>
      <c r="H955" s="56"/>
      <c r="I955" s="6"/>
      <c r="J955" s="6"/>
      <c r="K955" s="57"/>
      <c r="L955" s="57"/>
      <c r="M955" s="57"/>
      <c r="N955" s="56"/>
      <c r="O955" s="56"/>
      <c r="P955" s="56"/>
      <c r="Q955" s="56"/>
      <c r="R955" s="56"/>
      <c r="S955" s="56"/>
      <c r="T955" s="56"/>
      <c r="U955" s="56"/>
      <c r="V955" s="56"/>
      <c r="W955" s="56"/>
      <c r="X955" s="56"/>
      <c r="Y955" s="56"/>
      <c r="Z955" s="56"/>
      <c r="AA955" s="56"/>
      <c r="AB955" s="56"/>
      <c r="AC955" s="56"/>
      <c r="AD955" s="56"/>
      <c r="AE955" s="56"/>
      <c r="AF955" s="56"/>
      <c r="AG955" s="56"/>
      <c r="AH955" s="56"/>
      <c r="AI955" s="58"/>
      <c r="AJ955" s="56"/>
      <c r="AK955" s="56"/>
      <c r="AL955" s="56"/>
      <c r="AM955" s="57"/>
      <c r="AN955" s="57"/>
      <c r="AO955" s="56"/>
      <c r="AP955" s="56"/>
      <c r="AQ955" s="57"/>
      <c r="AR955" s="57"/>
      <c r="AS955" s="57"/>
      <c r="AT955" s="67">
        <f t="shared" ca="1" si="88"/>
        <v>0</v>
      </c>
      <c r="AU955" s="79" t="str">
        <f t="shared" ca="1" si="89"/>
        <v/>
      </c>
      <c r="AV955" s="79" t="str" cm="1">
        <f t="array" aca="1" ref="AV955" ca="1">IFERROR(_xlfn.IFS($AU955="","",$AU955&lt;=15,"0-15",AND($AU955&gt;=16,$AU955&lt;=30),"16-30",AND($AU955&gt;=31,$AU955&lt;=45),"31-45",AND($AU955&gt;=46,$AU955&lt;=60),"46-60",AND($AU955&gt;=61,$AU955&lt;=90),"61-90",AND($AU955&gt;=91),"&gt; 90",AND($AU955&gt;=2000),""),"")</f>
        <v/>
      </c>
      <c r="AW955" s="79" t="str" cm="1">
        <f t="array" aca="1" ref="AW955" ca="1">IFERROR(_xlfn.IFS(OR($M955="",$AM955=""),"",OR($C955="Offered",$C955="Joined"),($AM955-$M955)-$AT955),"")</f>
        <v/>
      </c>
      <c r="AX955" s="79" t="str" cm="1">
        <f t="array" aca="1" ref="AX955" ca="1">IFERROR(_xlfn.IFS(OR($M955="",$AS955=""),"",$C955="Joined",($AS955-$M955)-$AT955),"")</f>
        <v/>
      </c>
      <c r="AY955" s="67" t="str">
        <f>IFERROR(IF(COUNTIFS('Candidate Tracker'!$E:$E,'Positions Tracker'!$B955,'Candidate Tracker'!$C:$C,"Offer Drop")=0,"",COUNTIFS('Candidate Tracker'!$E:$E,'Positions Tracker'!$B955,'Candidate Tracker'!$C:$C,"Offer Drop")),"")</f>
        <v/>
      </c>
      <c r="AZ955" s="80">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0.88111888111888115</v>
      </c>
      <c r="BA955" s="81" t="str">
        <f>IFERROR(IF(COUNTIFS('Candidate Tracker'!$E:$E,'Positions Tracker'!$B955,'Candidate Tracker'!$I:$I,"Female")=0,"",COUNTIFS('Candidate Tracker'!$E:$E,'Positions Tracker'!$B955,'Candidate Tracker'!$I:$I,"Female")),"")</f>
        <v/>
      </c>
      <c r="BB955" s="81" t="str">
        <f>IFERROR(IF(COUNTIFS('Candidate Tracker'!$E:$E,'Positions Tracker'!$B955,'Candidate Tracker'!$I:$I,"male")=0,"",COUNTIFS('Candidate Tracker'!$E:$E,'Positions Tracker'!$B955,'Candidate Tracker'!$I:$I,"male")),"")</f>
        <v/>
      </c>
      <c r="BC955" s="80" t="str">
        <f>IFERROR(IF(COUNTIFS('Candidate Tracker'!$E:$E,'Positions Tracker'!$B955,'Candidate Tracker'!$C:$C,"&lt;&gt;WIP",'Candidate Tracker'!$C:$C,"&lt;&gt;Hold",'Candidate Tracker'!$C:$C,"&lt;&gt;Cancelled",'Candidate Tracker'!$C:$C,"&lt;&gt;Closed")/COUNTIFS('Candidate Tracker'!$E:$E,'Positions Tracker'!$B955)=0,"",COUNTIFS('Candidate Tracker'!$E:$E,'Positions Tracker'!$B955,'Candidate Tracker'!$C:$C,"&lt;&gt;WIP",'Candidate Tracker'!$C:$C,"&lt;&gt;Hold",'Candidate Tracker'!$C:$C,"&lt;&gt;Cancelled",'Candidate Tracker'!$C:$C,"&lt;&gt;Closed")/COUNTIFS('Candidate Tracker'!$E:$E,'Positions Tracker'!$B955)),"")</f>
        <v/>
      </c>
      <c r="BD955" s="67" t="str">
        <f t="shared" si="84"/>
        <v/>
      </c>
      <c r="BE955" s="67" t="str">
        <f t="shared" si="85"/>
        <v/>
      </c>
      <c r="BF955" s="67" t="str">
        <f t="shared" si="86"/>
        <v/>
      </c>
      <c r="BG955" s="67" t="str">
        <f t="shared" si="87"/>
        <v/>
      </c>
    </row>
    <row r="956" spans="1:59">
      <c r="A956" s="55"/>
      <c r="B956" s="56"/>
      <c r="C956" s="56"/>
      <c r="D956" s="56"/>
      <c r="E956" s="56"/>
      <c r="F956" s="56"/>
      <c r="G956" s="56"/>
      <c r="H956" s="56"/>
      <c r="I956" s="6"/>
      <c r="J956" s="6"/>
      <c r="K956" s="57"/>
      <c r="L956" s="57"/>
      <c r="M956" s="57"/>
      <c r="N956" s="56"/>
      <c r="O956" s="56"/>
      <c r="P956" s="56"/>
      <c r="Q956" s="56"/>
      <c r="R956" s="56"/>
      <c r="S956" s="56"/>
      <c r="T956" s="56"/>
      <c r="U956" s="56"/>
      <c r="V956" s="56"/>
      <c r="W956" s="56"/>
      <c r="X956" s="56"/>
      <c r="Y956" s="56"/>
      <c r="Z956" s="56"/>
      <c r="AA956" s="56"/>
      <c r="AB956" s="56"/>
      <c r="AC956" s="56"/>
      <c r="AD956" s="56"/>
      <c r="AE956" s="56"/>
      <c r="AF956" s="56"/>
      <c r="AG956" s="56"/>
      <c r="AH956" s="56"/>
      <c r="AI956" s="58"/>
      <c r="AJ956" s="56"/>
      <c r="AK956" s="56"/>
      <c r="AL956" s="56"/>
      <c r="AM956" s="57"/>
      <c r="AN956" s="57"/>
      <c r="AO956" s="56"/>
      <c r="AP956" s="56"/>
      <c r="AQ956" s="57"/>
      <c r="AR956" s="57"/>
      <c r="AS956" s="57"/>
      <c r="AT956" s="67">
        <f t="shared" ca="1" si="88"/>
        <v>0</v>
      </c>
      <c r="AU956" s="79" t="str">
        <f t="shared" ca="1" si="89"/>
        <v/>
      </c>
      <c r="AV956" s="79" t="str" cm="1">
        <f t="array" aca="1" ref="AV956" ca="1">IFERROR(_xlfn.IFS($AU956="","",$AU956&lt;=15,"0-15",AND($AU956&gt;=16,$AU956&lt;=30),"16-30",AND($AU956&gt;=31,$AU956&lt;=45),"31-45",AND($AU956&gt;=46,$AU956&lt;=60),"46-60",AND($AU956&gt;=61,$AU956&lt;=90),"61-90",AND($AU956&gt;=91),"&gt; 90",AND($AU956&gt;=2000),""),"")</f>
        <v/>
      </c>
      <c r="AW956" s="79" t="str" cm="1">
        <f t="array" aca="1" ref="AW956" ca="1">IFERROR(_xlfn.IFS(OR($M956="",$AM956=""),"",OR($C956="Offered",$C956="Joined"),($AM956-$M956)-$AT956),"")</f>
        <v/>
      </c>
      <c r="AX956" s="79" t="str" cm="1">
        <f t="array" aca="1" ref="AX956" ca="1">IFERROR(_xlfn.IFS(OR($M956="",$AS956=""),"",$C956="Joined",($AS956-$M956)-$AT956),"")</f>
        <v/>
      </c>
      <c r="AY956" s="67" t="str">
        <f>IFERROR(IF(COUNTIFS('Candidate Tracker'!$E:$E,'Positions Tracker'!$B956,'Candidate Tracker'!$C:$C,"Offer Drop")=0,"",COUNTIFS('Candidate Tracker'!$E:$E,'Positions Tracker'!$B956,'Candidate Tracker'!$C:$C,"Offer Drop")),"")</f>
        <v/>
      </c>
      <c r="AZ956" s="80">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0.88111888111888115</v>
      </c>
      <c r="BA956" s="81" t="str">
        <f>IFERROR(IF(COUNTIFS('Candidate Tracker'!$E:$E,'Positions Tracker'!$B956,'Candidate Tracker'!$I:$I,"Female")=0,"",COUNTIFS('Candidate Tracker'!$E:$E,'Positions Tracker'!$B956,'Candidate Tracker'!$I:$I,"Female")),"")</f>
        <v/>
      </c>
      <c r="BB956" s="81" t="str">
        <f>IFERROR(IF(COUNTIFS('Candidate Tracker'!$E:$E,'Positions Tracker'!$B956,'Candidate Tracker'!$I:$I,"male")=0,"",COUNTIFS('Candidate Tracker'!$E:$E,'Positions Tracker'!$B956,'Candidate Tracker'!$I:$I,"male")),"")</f>
        <v/>
      </c>
      <c r="BC956" s="80" t="str">
        <f>IFERROR(IF(COUNTIFS('Candidate Tracker'!$E:$E,'Positions Tracker'!$B956,'Candidate Tracker'!$C:$C,"&lt;&gt;WIP",'Candidate Tracker'!$C:$C,"&lt;&gt;Hold",'Candidate Tracker'!$C:$C,"&lt;&gt;Cancelled",'Candidate Tracker'!$C:$C,"&lt;&gt;Closed")/COUNTIFS('Candidate Tracker'!$E:$E,'Positions Tracker'!$B956)=0,"",COUNTIFS('Candidate Tracker'!$E:$E,'Positions Tracker'!$B956,'Candidate Tracker'!$C:$C,"&lt;&gt;WIP",'Candidate Tracker'!$C:$C,"&lt;&gt;Hold",'Candidate Tracker'!$C:$C,"&lt;&gt;Cancelled",'Candidate Tracker'!$C:$C,"&lt;&gt;Closed")/COUNTIFS('Candidate Tracker'!$E:$E,'Positions Tracker'!$B956)),"")</f>
        <v/>
      </c>
      <c r="BD956" s="67" t="str">
        <f t="shared" si="84"/>
        <v/>
      </c>
      <c r="BE956" s="67" t="str">
        <f t="shared" si="85"/>
        <v/>
      </c>
      <c r="BF956" s="67" t="str">
        <f t="shared" si="86"/>
        <v/>
      </c>
      <c r="BG956" s="67" t="str">
        <f t="shared" si="87"/>
        <v/>
      </c>
    </row>
    <row r="957" spans="1:59">
      <c r="A957" s="55"/>
      <c r="B957" s="56"/>
      <c r="C957" s="56"/>
      <c r="D957" s="56"/>
      <c r="E957" s="56"/>
      <c r="F957" s="56"/>
      <c r="G957" s="56"/>
      <c r="H957" s="56"/>
      <c r="I957" s="6"/>
      <c r="J957" s="6"/>
      <c r="K957" s="57"/>
      <c r="L957" s="57"/>
      <c r="M957" s="57"/>
      <c r="N957" s="56"/>
      <c r="O957" s="56"/>
      <c r="P957" s="56"/>
      <c r="Q957" s="56"/>
      <c r="R957" s="56"/>
      <c r="S957" s="56"/>
      <c r="T957" s="56"/>
      <c r="U957" s="56"/>
      <c r="V957" s="56"/>
      <c r="W957" s="56"/>
      <c r="X957" s="56"/>
      <c r="Y957" s="56"/>
      <c r="Z957" s="56"/>
      <c r="AA957" s="56"/>
      <c r="AB957" s="56"/>
      <c r="AC957" s="56"/>
      <c r="AD957" s="56"/>
      <c r="AE957" s="56"/>
      <c r="AF957" s="56"/>
      <c r="AG957" s="56"/>
      <c r="AH957" s="56"/>
      <c r="AI957" s="58"/>
      <c r="AJ957" s="56"/>
      <c r="AK957" s="56"/>
      <c r="AL957" s="56"/>
      <c r="AM957" s="57"/>
      <c r="AN957" s="57"/>
      <c r="AO957" s="56"/>
      <c r="AP957" s="56"/>
      <c r="AQ957" s="57"/>
      <c r="AR957" s="57"/>
      <c r="AS957" s="57"/>
      <c r="AT957" s="67">
        <f t="shared" ca="1" si="88"/>
        <v>0</v>
      </c>
      <c r="AU957" s="79" t="str">
        <f t="shared" ca="1" si="89"/>
        <v/>
      </c>
      <c r="AV957" s="79" t="str" cm="1">
        <f t="array" aca="1" ref="AV957" ca="1">IFERROR(_xlfn.IFS($AU957="","",$AU957&lt;=15,"0-15",AND($AU957&gt;=16,$AU957&lt;=30),"16-30",AND($AU957&gt;=31,$AU957&lt;=45),"31-45",AND($AU957&gt;=46,$AU957&lt;=60),"46-60",AND($AU957&gt;=61,$AU957&lt;=90),"61-90",AND($AU957&gt;=91),"&gt; 90",AND($AU957&gt;=2000),""),"")</f>
        <v/>
      </c>
      <c r="AW957" s="79" t="str" cm="1">
        <f t="array" aca="1" ref="AW957" ca="1">IFERROR(_xlfn.IFS(OR($M957="",$AM957=""),"",OR($C957="Offered",$C957="Joined"),($AM957-$M957)-$AT957),"")</f>
        <v/>
      </c>
      <c r="AX957" s="79" t="str" cm="1">
        <f t="array" aca="1" ref="AX957" ca="1">IFERROR(_xlfn.IFS(OR($M957="",$AS957=""),"",$C957="Joined",($AS957-$M957)-$AT957),"")</f>
        <v/>
      </c>
      <c r="AY957" s="67" t="str">
        <f>IFERROR(IF(COUNTIFS('Candidate Tracker'!$E:$E,'Positions Tracker'!$B957,'Candidate Tracker'!$C:$C,"Offer Drop")=0,"",COUNTIFS('Candidate Tracker'!$E:$E,'Positions Tracker'!$B957,'Candidate Tracker'!$C:$C,"Offer Drop")),"")</f>
        <v/>
      </c>
      <c r="AZ957" s="80">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0.88111888111888115</v>
      </c>
      <c r="BA957" s="81" t="str">
        <f>IFERROR(IF(COUNTIFS('Candidate Tracker'!$E:$E,'Positions Tracker'!$B957,'Candidate Tracker'!$I:$I,"Female")=0,"",COUNTIFS('Candidate Tracker'!$E:$E,'Positions Tracker'!$B957,'Candidate Tracker'!$I:$I,"Female")),"")</f>
        <v/>
      </c>
      <c r="BB957" s="81" t="str">
        <f>IFERROR(IF(COUNTIFS('Candidate Tracker'!$E:$E,'Positions Tracker'!$B957,'Candidate Tracker'!$I:$I,"male")=0,"",COUNTIFS('Candidate Tracker'!$E:$E,'Positions Tracker'!$B957,'Candidate Tracker'!$I:$I,"male")),"")</f>
        <v/>
      </c>
      <c r="BC957" s="80" t="str">
        <f>IFERROR(IF(COUNTIFS('Candidate Tracker'!$E:$E,'Positions Tracker'!$B957,'Candidate Tracker'!$C:$C,"&lt;&gt;WIP",'Candidate Tracker'!$C:$C,"&lt;&gt;Hold",'Candidate Tracker'!$C:$C,"&lt;&gt;Cancelled",'Candidate Tracker'!$C:$C,"&lt;&gt;Closed")/COUNTIFS('Candidate Tracker'!$E:$E,'Positions Tracker'!$B957)=0,"",COUNTIFS('Candidate Tracker'!$E:$E,'Positions Tracker'!$B957,'Candidate Tracker'!$C:$C,"&lt;&gt;WIP",'Candidate Tracker'!$C:$C,"&lt;&gt;Hold",'Candidate Tracker'!$C:$C,"&lt;&gt;Cancelled",'Candidate Tracker'!$C:$C,"&lt;&gt;Closed")/COUNTIFS('Candidate Tracker'!$E:$E,'Positions Tracker'!$B957)),"")</f>
        <v/>
      </c>
      <c r="BD957" s="67" t="str">
        <f t="shared" si="84"/>
        <v/>
      </c>
      <c r="BE957" s="67" t="str">
        <f t="shared" si="85"/>
        <v/>
      </c>
      <c r="BF957" s="67" t="str">
        <f t="shared" si="86"/>
        <v/>
      </c>
      <c r="BG957" s="67" t="str">
        <f t="shared" si="87"/>
        <v/>
      </c>
    </row>
    <row r="958" spans="1:59">
      <c r="A958" s="55"/>
      <c r="B958" s="56"/>
      <c r="C958" s="56"/>
      <c r="D958" s="56"/>
      <c r="E958" s="56"/>
      <c r="F958" s="56"/>
      <c r="G958" s="56"/>
      <c r="H958" s="56"/>
      <c r="I958" s="6"/>
      <c r="J958" s="6"/>
      <c r="K958" s="57"/>
      <c r="L958" s="57"/>
      <c r="M958" s="57"/>
      <c r="N958" s="56"/>
      <c r="O958" s="56"/>
      <c r="P958" s="56"/>
      <c r="Q958" s="56"/>
      <c r="R958" s="56"/>
      <c r="S958" s="56"/>
      <c r="T958" s="56"/>
      <c r="U958" s="56"/>
      <c r="V958" s="56"/>
      <c r="W958" s="56"/>
      <c r="X958" s="56"/>
      <c r="Y958" s="56"/>
      <c r="Z958" s="56"/>
      <c r="AA958" s="56"/>
      <c r="AB958" s="56"/>
      <c r="AC958" s="56"/>
      <c r="AD958" s="56"/>
      <c r="AE958" s="56"/>
      <c r="AF958" s="56"/>
      <c r="AG958" s="56"/>
      <c r="AH958" s="56"/>
      <c r="AI958" s="58"/>
      <c r="AJ958" s="56"/>
      <c r="AK958" s="56"/>
      <c r="AL958" s="56"/>
      <c r="AM958" s="57"/>
      <c r="AN958" s="57"/>
      <c r="AO958" s="56"/>
      <c r="AP958" s="56"/>
      <c r="AQ958" s="57"/>
      <c r="AR958" s="57"/>
      <c r="AS958" s="57"/>
      <c r="AT958" s="67">
        <f t="shared" ca="1" si="88"/>
        <v>0</v>
      </c>
      <c r="AU958" s="79" t="str">
        <f t="shared" ca="1" si="89"/>
        <v/>
      </c>
      <c r="AV958" s="79" t="str" cm="1">
        <f t="array" aca="1" ref="AV958" ca="1">IFERROR(_xlfn.IFS($AU958="","",$AU958&lt;=15,"0-15",AND($AU958&gt;=16,$AU958&lt;=30),"16-30",AND($AU958&gt;=31,$AU958&lt;=45),"31-45",AND($AU958&gt;=46,$AU958&lt;=60),"46-60",AND($AU958&gt;=61,$AU958&lt;=90),"61-90",AND($AU958&gt;=91),"&gt; 90",AND($AU958&gt;=2000),""),"")</f>
        <v/>
      </c>
      <c r="AW958" s="79" t="str" cm="1">
        <f t="array" aca="1" ref="AW958" ca="1">IFERROR(_xlfn.IFS(OR($M958="",$AM958=""),"",OR($C958="Offered",$C958="Joined"),($AM958-$M958)-$AT958),"")</f>
        <v/>
      </c>
      <c r="AX958" s="79" t="str" cm="1">
        <f t="array" aca="1" ref="AX958" ca="1">IFERROR(_xlfn.IFS(OR($M958="",$AS958=""),"",$C958="Joined",($AS958-$M958)-$AT958),"")</f>
        <v/>
      </c>
      <c r="AY958" s="67" t="str">
        <f>IFERROR(IF(COUNTIFS('Candidate Tracker'!$E:$E,'Positions Tracker'!$B958,'Candidate Tracker'!$C:$C,"Offer Drop")=0,"",COUNTIFS('Candidate Tracker'!$E:$E,'Positions Tracker'!$B958,'Candidate Tracker'!$C:$C,"Offer Drop")),"")</f>
        <v/>
      </c>
      <c r="AZ958" s="80">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0.88111888111888115</v>
      </c>
      <c r="BA958" s="81" t="str">
        <f>IFERROR(IF(COUNTIFS('Candidate Tracker'!$E:$E,'Positions Tracker'!$B958,'Candidate Tracker'!$I:$I,"Female")=0,"",COUNTIFS('Candidate Tracker'!$E:$E,'Positions Tracker'!$B958,'Candidate Tracker'!$I:$I,"Female")),"")</f>
        <v/>
      </c>
      <c r="BB958" s="81" t="str">
        <f>IFERROR(IF(COUNTIFS('Candidate Tracker'!$E:$E,'Positions Tracker'!$B958,'Candidate Tracker'!$I:$I,"male")=0,"",COUNTIFS('Candidate Tracker'!$E:$E,'Positions Tracker'!$B958,'Candidate Tracker'!$I:$I,"male")),"")</f>
        <v/>
      </c>
      <c r="BC958" s="80" t="str">
        <f>IFERROR(IF(COUNTIFS('Candidate Tracker'!$E:$E,'Positions Tracker'!$B958,'Candidate Tracker'!$C:$C,"&lt;&gt;WIP",'Candidate Tracker'!$C:$C,"&lt;&gt;Hold",'Candidate Tracker'!$C:$C,"&lt;&gt;Cancelled",'Candidate Tracker'!$C:$C,"&lt;&gt;Closed")/COUNTIFS('Candidate Tracker'!$E:$E,'Positions Tracker'!$B958)=0,"",COUNTIFS('Candidate Tracker'!$E:$E,'Positions Tracker'!$B958,'Candidate Tracker'!$C:$C,"&lt;&gt;WIP",'Candidate Tracker'!$C:$C,"&lt;&gt;Hold",'Candidate Tracker'!$C:$C,"&lt;&gt;Cancelled",'Candidate Tracker'!$C:$C,"&lt;&gt;Closed")/COUNTIFS('Candidate Tracker'!$E:$E,'Positions Tracker'!$B958)),"")</f>
        <v/>
      </c>
      <c r="BD958" s="67" t="str">
        <f t="shared" si="84"/>
        <v/>
      </c>
      <c r="BE958" s="67" t="str">
        <f t="shared" si="85"/>
        <v/>
      </c>
      <c r="BF958" s="67" t="str">
        <f t="shared" si="86"/>
        <v/>
      </c>
      <c r="BG958" s="67" t="str">
        <f t="shared" si="87"/>
        <v/>
      </c>
    </row>
    <row r="959" spans="1:59">
      <c r="A959" s="55"/>
      <c r="B959" s="56"/>
      <c r="C959" s="56"/>
      <c r="D959" s="56"/>
      <c r="E959" s="56"/>
      <c r="F959" s="56"/>
      <c r="G959" s="56"/>
      <c r="H959" s="56"/>
      <c r="I959" s="6"/>
      <c r="J959" s="6"/>
      <c r="K959" s="57"/>
      <c r="L959" s="57"/>
      <c r="M959" s="57"/>
      <c r="N959" s="56"/>
      <c r="O959" s="56"/>
      <c r="P959" s="56"/>
      <c r="Q959" s="56"/>
      <c r="R959" s="56"/>
      <c r="S959" s="56"/>
      <c r="T959" s="56"/>
      <c r="U959" s="56"/>
      <c r="V959" s="56"/>
      <c r="W959" s="56"/>
      <c r="X959" s="56"/>
      <c r="Y959" s="56"/>
      <c r="Z959" s="56"/>
      <c r="AA959" s="56"/>
      <c r="AB959" s="56"/>
      <c r="AC959" s="56"/>
      <c r="AD959" s="56"/>
      <c r="AE959" s="56"/>
      <c r="AF959" s="56"/>
      <c r="AG959" s="56"/>
      <c r="AH959" s="56"/>
      <c r="AI959" s="58"/>
      <c r="AJ959" s="56"/>
      <c r="AK959" s="56"/>
      <c r="AL959" s="56"/>
      <c r="AM959" s="57"/>
      <c r="AN959" s="57"/>
      <c r="AO959" s="56"/>
      <c r="AP959" s="56"/>
      <c r="AQ959" s="57"/>
      <c r="AR959" s="57"/>
      <c r="AS959" s="57"/>
      <c r="AT959" s="67">
        <f t="shared" ca="1" si="88"/>
        <v>0</v>
      </c>
      <c r="AU959" s="79" t="str">
        <f t="shared" ca="1" si="89"/>
        <v/>
      </c>
      <c r="AV959" s="79" t="str" cm="1">
        <f t="array" aca="1" ref="AV959" ca="1">IFERROR(_xlfn.IFS($AU959="","",$AU959&lt;=15,"0-15",AND($AU959&gt;=16,$AU959&lt;=30),"16-30",AND($AU959&gt;=31,$AU959&lt;=45),"31-45",AND($AU959&gt;=46,$AU959&lt;=60),"46-60",AND($AU959&gt;=61,$AU959&lt;=90),"61-90",AND($AU959&gt;=91),"&gt; 90",AND($AU959&gt;=2000),""),"")</f>
        <v/>
      </c>
      <c r="AW959" s="79" t="str" cm="1">
        <f t="array" aca="1" ref="AW959" ca="1">IFERROR(_xlfn.IFS(OR($M959="",$AM959=""),"",OR($C959="Offered",$C959="Joined"),($AM959-$M959)-$AT959),"")</f>
        <v/>
      </c>
      <c r="AX959" s="79" t="str" cm="1">
        <f t="array" aca="1" ref="AX959" ca="1">IFERROR(_xlfn.IFS(OR($M959="",$AS959=""),"",$C959="Joined",($AS959-$M959)-$AT959),"")</f>
        <v/>
      </c>
      <c r="AY959" s="67" t="str">
        <f>IFERROR(IF(COUNTIFS('Candidate Tracker'!$E:$E,'Positions Tracker'!$B959,'Candidate Tracker'!$C:$C,"Offer Drop")=0,"",COUNTIFS('Candidate Tracker'!$E:$E,'Positions Tracker'!$B959,'Candidate Tracker'!$C:$C,"Offer Drop")),"")</f>
        <v/>
      </c>
      <c r="AZ959" s="80">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0.88111888111888115</v>
      </c>
      <c r="BA959" s="81" t="str">
        <f>IFERROR(IF(COUNTIFS('Candidate Tracker'!$E:$E,'Positions Tracker'!$B959,'Candidate Tracker'!$I:$I,"Female")=0,"",COUNTIFS('Candidate Tracker'!$E:$E,'Positions Tracker'!$B959,'Candidate Tracker'!$I:$I,"Female")),"")</f>
        <v/>
      </c>
      <c r="BB959" s="81" t="str">
        <f>IFERROR(IF(COUNTIFS('Candidate Tracker'!$E:$E,'Positions Tracker'!$B959,'Candidate Tracker'!$I:$I,"male")=0,"",COUNTIFS('Candidate Tracker'!$E:$E,'Positions Tracker'!$B959,'Candidate Tracker'!$I:$I,"male")),"")</f>
        <v/>
      </c>
      <c r="BC959" s="80" t="str">
        <f>IFERROR(IF(COUNTIFS('Candidate Tracker'!$E:$E,'Positions Tracker'!$B959,'Candidate Tracker'!$C:$C,"&lt;&gt;WIP",'Candidate Tracker'!$C:$C,"&lt;&gt;Hold",'Candidate Tracker'!$C:$C,"&lt;&gt;Cancelled",'Candidate Tracker'!$C:$C,"&lt;&gt;Closed")/COUNTIFS('Candidate Tracker'!$E:$E,'Positions Tracker'!$B959)=0,"",COUNTIFS('Candidate Tracker'!$E:$E,'Positions Tracker'!$B959,'Candidate Tracker'!$C:$C,"&lt;&gt;WIP",'Candidate Tracker'!$C:$C,"&lt;&gt;Hold",'Candidate Tracker'!$C:$C,"&lt;&gt;Cancelled",'Candidate Tracker'!$C:$C,"&lt;&gt;Closed")/COUNTIFS('Candidate Tracker'!$E:$E,'Positions Tracker'!$B959)),"")</f>
        <v/>
      </c>
      <c r="BD959" s="67" t="str">
        <f t="shared" si="84"/>
        <v/>
      </c>
      <c r="BE959" s="67" t="str">
        <f t="shared" si="85"/>
        <v/>
      </c>
      <c r="BF959" s="67" t="str">
        <f t="shared" si="86"/>
        <v/>
      </c>
      <c r="BG959" s="67" t="str">
        <f t="shared" si="87"/>
        <v/>
      </c>
    </row>
    <row r="960" spans="1:59">
      <c r="A960" s="55"/>
      <c r="B960" s="56"/>
      <c r="C960" s="56"/>
      <c r="D960" s="56"/>
      <c r="E960" s="56"/>
      <c r="F960" s="56"/>
      <c r="G960" s="56"/>
      <c r="H960" s="56"/>
      <c r="I960" s="6"/>
      <c r="J960" s="6"/>
      <c r="K960" s="57"/>
      <c r="L960" s="57"/>
      <c r="M960" s="57"/>
      <c r="N960" s="56"/>
      <c r="O960" s="56"/>
      <c r="P960" s="56"/>
      <c r="Q960" s="56"/>
      <c r="R960" s="56"/>
      <c r="S960" s="56"/>
      <c r="T960" s="56"/>
      <c r="U960" s="56"/>
      <c r="V960" s="56"/>
      <c r="W960" s="56"/>
      <c r="X960" s="56"/>
      <c r="Y960" s="56"/>
      <c r="Z960" s="56"/>
      <c r="AA960" s="56"/>
      <c r="AB960" s="56"/>
      <c r="AC960" s="56"/>
      <c r="AD960" s="56"/>
      <c r="AE960" s="56"/>
      <c r="AF960" s="56"/>
      <c r="AG960" s="56"/>
      <c r="AH960" s="56"/>
      <c r="AI960" s="58"/>
      <c r="AJ960" s="56"/>
      <c r="AK960" s="56"/>
      <c r="AL960" s="56"/>
      <c r="AM960" s="57"/>
      <c r="AN960" s="57"/>
      <c r="AO960" s="56"/>
      <c r="AP960" s="56"/>
      <c r="AQ960" s="57"/>
      <c r="AR960" s="57"/>
      <c r="AS960" s="57"/>
      <c r="AT960" s="67">
        <f t="shared" ca="1" si="88"/>
        <v>0</v>
      </c>
      <c r="AU960" s="79" t="str">
        <f t="shared" ca="1" si="89"/>
        <v/>
      </c>
      <c r="AV960" s="79" t="str" cm="1">
        <f t="array" aca="1" ref="AV960" ca="1">IFERROR(_xlfn.IFS($AU960="","",$AU960&lt;=15,"0-15",AND($AU960&gt;=16,$AU960&lt;=30),"16-30",AND($AU960&gt;=31,$AU960&lt;=45),"31-45",AND($AU960&gt;=46,$AU960&lt;=60),"46-60",AND($AU960&gt;=61,$AU960&lt;=90),"61-90",AND($AU960&gt;=91),"&gt; 90",AND($AU960&gt;=2000),""),"")</f>
        <v/>
      </c>
      <c r="AW960" s="79" t="str" cm="1">
        <f t="array" aca="1" ref="AW960" ca="1">IFERROR(_xlfn.IFS(OR($M960="",$AM960=""),"",OR($C960="Offered",$C960="Joined"),($AM960-$M960)-$AT960),"")</f>
        <v/>
      </c>
      <c r="AX960" s="79" t="str" cm="1">
        <f t="array" aca="1" ref="AX960" ca="1">IFERROR(_xlfn.IFS(OR($M960="",$AS960=""),"",$C960="Joined",($AS960-$M960)-$AT960),"")</f>
        <v/>
      </c>
      <c r="AY960" s="67" t="str">
        <f>IFERROR(IF(COUNTIFS('Candidate Tracker'!$E:$E,'Positions Tracker'!$B960,'Candidate Tracker'!$C:$C,"Offer Drop")=0,"",COUNTIFS('Candidate Tracker'!$E:$E,'Positions Tracker'!$B960,'Candidate Tracker'!$C:$C,"Offer Drop")),"")</f>
        <v/>
      </c>
      <c r="AZ960" s="80">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0.88111888111888115</v>
      </c>
      <c r="BA960" s="81" t="str">
        <f>IFERROR(IF(COUNTIFS('Candidate Tracker'!$E:$E,'Positions Tracker'!$B960,'Candidate Tracker'!$I:$I,"Female")=0,"",COUNTIFS('Candidate Tracker'!$E:$E,'Positions Tracker'!$B960,'Candidate Tracker'!$I:$I,"Female")),"")</f>
        <v/>
      </c>
      <c r="BB960" s="81" t="str">
        <f>IFERROR(IF(COUNTIFS('Candidate Tracker'!$E:$E,'Positions Tracker'!$B960,'Candidate Tracker'!$I:$I,"male")=0,"",COUNTIFS('Candidate Tracker'!$E:$E,'Positions Tracker'!$B960,'Candidate Tracker'!$I:$I,"male")),"")</f>
        <v/>
      </c>
      <c r="BC960" s="80" t="str">
        <f>IFERROR(IF(COUNTIFS('Candidate Tracker'!$E:$E,'Positions Tracker'!$B960,'Candidate Tracker'!$C:$C,"&lt;&gt;WIP",'Candidate Tracker'!$C:$C,"&lt;&gt;Hold",'Candidate Tracker'!$C:$C,"&lt;&gt;Cancelled",'Candidate Tracker'!$C:$C,"&lt;&gt;Closed")/COUNTIFS('Candidate Tracker'!$E:$E,'Positions Tracker'!$B960)=0,"",COUNTIFS('Candidate Tracker'!$E:$E,'Positions Tracker'!$B960,'Candidate Tracker'!$C:$C,"&lt;&gt;WIP",'Candidate Tracker'!$C:$C,"&lt;&gt;Hold",'Candidate Tracker'!$C:$C,"&lt;&gt;Cancelled",'Candidate Tracker'!$C:$C,"&lt;&gt;Closed")/COUNTIFS('Candidate Tracker'!$E:$E,'Positions Tracker'!$B960)),"")</f>
        <v/>
      </c>
      <c r="BD960" s="67" t="str">
        <f t="shared" si="84"/>
        <v/>
      </c>
      <c r="BE960" s="67" t="str">
        <f t="shared" si="85"/>
        <v/>
      </c>
      <c r="BF960" s="67" t="str">
        <f t="shared" si="86"/>
        <v/>
      </c>
      <c r="BG960" s="67" t="str">
        <f t="shared" si="87"/>
        <v/>
      </c>
    </row>
    <row r="961" spans="1:59">
      <c r="A961" s="55"/>
      <c r="B961" s="56"/>
      <c r="C961" s="56"/>
      <c r="D961" s="56"/>
      <c r="E961" s="56"/>
      <c r="F961" s="56"/>
      <c r="G961" s="56"/>
      <c r="H961" s="56"/>
      <c r="I961" s="6"/>
      <c r="J961" s="6"/>
      <c r="K961" s="57"/>
      <c r="L961" s="57"/>
      <c r="M961" s="57"/>
      <c r="N961" s="56"/>
      <c r="O961" s="56"/>
      <c r="P961" s="56"/>
      <c r="Q961" s="56"/>
      <c r="R961" s="56"/>
      <c r="S961" s="56"/>
      <c r="T961" s="56"/>
      <c r="U961" s="56"/>
      <c r="V961" s="56"/>
      <c r="W961" s="56"/>
      <c r="X961" s="56"/>
      <c r="Y961" s="56"/>
      <c r="Z961" s="56"/>
      <c r="AA961" s="56"/>
      <c r="AB961" s="56"/>
      <c r="AC961" s="56"/>
      <c r="AD961" s="56"/>
      <c r="AE961" s="56"/>
      <c r="AF961" s="56"/>
      <c r="AG961" s="56"/>
      <c r="AH961" s="56"/>
      <c r="AI961" s="58"/>
      <c r="AJ961" s="56"/>
      <c r="AK961" s="56"/>
      <c r="AL961" s="56"/>
      <c r="AM961" s="57"/>
      <c r="AN961" s="57"/>
      <c r="AO961" s="56"/>
      <c r="AP961" s="56"/>
      <c r="AQ961" s="57"/>
      <c r="AR961" s="57"/>
      <c r="AS961" s="57"/>
      <c r="AT961" s="67">
        <f t="shared" ca="1" si="88"/>
        <v>0</v>
      </c>
      <c r="AU961" s="79" t="str">
        <f t="shared" ca="1" si="89"/>
        <v/>
      </c>
      <c r="AV961" s="79" t="str" cm="1">
        <f t="array" aca="1" ref="AV961" ca="1">IFERROR(_xlfn.IFS($AU961="","",$AU961&lt;=15,"0-15",AND($AU961&gt;=16,$AU961&lt;=30),"16-30",AND($AU961&gt;=31,$AU961&lt;=45),"31-45",AND($AU961&gt;=46,$AU961&lt;=60),"46-60",AND($AU961&gt;=61,$AU961&lt;=90),"61-90",AND($AU961&gt;=91),"&gt; 90",AND($AU961&gt;=2000),""),"")</f>
        <v/>
      </c>
      <c r="AW961" s="79" t="str" cm="1">
        <f t="array" aca="1" ref="AW961" ca="1">IFERROR(_xlfn.IFS(OR($M961="",$AM961=""),"",OR($C961="Offered",$C961="Joined"),($AM961-$M961)-$AT961),"")</f>
        <v/>
      </c>
      <c r="AX961" s="79" t="str" cm="1">
        <f t="array" aca="1" ref="AX961" ca="1">IFERROR(_xlfn.IFS(OR($M961="",$AS961=""),"",$C961="Joined",($AS961-$M961)-$AT961),"")</f>
        <v/>
      </c>
      <c r="AY961" s="67" t="str">
        <f>IFERROR(IF(COUNTIFS('Candidate Tracker'!$E:$E,'Positions Tracker'!$B961,'Candidate Tracker'!$C:$C,"Offer Drop")=0,"",COUNTIFS('Candidate Tracker'!$E:$E,'Positions Tracker'!$B961,'Candidate Tracker'!$C:$C,"Offer Drop")),"")</f>
        <v/>
      </c>
      <c r="AZ961" s="80">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0.88111888111888115</v>
      </c>
      <c r="BA961" s="81" t="str">
        <f>IFERROR(IF(COUNTIFS('Candidate Tracker'!$E:$E,'Positions Tracker'!$B961,'Candidate Tracker'!$I:$I,"Female")=0,"",COUNTIFS('Candidate Tracker'!$E:$E,'Positions Tracker'!$B961,'Candidate Tracker'!$I:$I,"Female")),"")</f>
        <v/>
      </c>
      <c r="BB961" s="81" t="str">
        <f>IFERROR(IF(COUNTIFS('Candidate Tracker'!$E:$E,'Positions Tracker'!$B961,'Candidate Tracker'!$I:$I,"male")=0,"",COUNTIFS('Candidate Tracker'!$E:$E,'Positions Tracker'!$B961,'Candidate Tracker'!$I:$I,"male")),"")</f>
        <v/>
      </c>
      <c r="BC961" s="80" t="str">
        <f>IFERROR(IF(COUNTIFS('Candidate Tracker'!$E:$E,'Positions Tracker'!$B961,'Candidate Tracker'!$C:$C,"&lt;&gt;WIP",'Candidate Tracker'!$C:$C,"&lt;&gt;Hold",'Candidate Tracker'!$C:$C,"&lt;&gt;Cancelled",'Candidate Tracker'!$C:$C,"&lt;&gt;Closed")/COUNTIFS('Candidate Tracker'!$E:$E,'Positions Tracker'!$B961)=0,"",COUNTIFS('Candidate Tracker'!$E:$E,'Positions Tracker'!$B961,'Candidate Tracker'!$C:$C,"&lt;&gt;WIP",'Candidate Tracker'!$C:$C,"&lt;&gt;Hold",'Candidate Tracker'!$C:$C,"&lt;&gt;Cancelled",'Candidate Tracker'!$C:$C,"&lt;&gt;Closed")/COUNTIFS('Candidate Tracker'!$E:$E,'Positions Tracker'!$B961)),"")</f>
        <v/>
      </c>
      <c r="BD961" s="67" t="str">
        <f t="shared" ref="BD961:BD993" si="90">IFERROR(IF($M961="","",TEXT($M961,"MMM-YY")),"")</f>
        <v/>
      </c>
      <c r="BE961" s="67" t="str">
        <f t="shared" ref="BE961:BE993" si="91">IFERROR(IF($AI961="","",TEXT($AI961,"MMM-YY")),"")</f>
        <v/>
      </c>
      <c r="BF961" s="67" t="str">
        <f t="shared" ref="BF961:BF993" si="92">IFERROR(IF($AM961="","",TEXT($AM961,"MMM-YY")),"")</f>
        <v/>
      </c>
      <c r="BG961" s="67" t="str">
        <f t="shared" ref="BG961:BG993" si="93">IFERROR(IF($AS961="","",TEXT($AS961,"MMM-YY")),"")</f>
        <v/>
      </c>
    </row>
    <row r="962" spans="1:59">
      <c r="A962" s="55"/>
      <c r="B962" s="56"/>
      <c r="C962" s="56"/>
      <c r="D962" s="56"/>
      <c r="E962" s="56"/>
      <c r="F962" s="56"/>
      <c r="G962" s="56"/>
      <c r="H962" s="56"/>
      <c r="I962" s="6"/>
      <c r="J962" s="6"/>
      <c r="K962" s="57"/>
      <c r="L962" s="57"/>
      <c r="M962" s="57"/>
      <c r="N962" s="56"/>
      <c r="O962" s="56"/>
      <c r="P962" s="56"/>
      <c r="Q962" s="56"/>
      <c r="R962" s="56"/>
      <c r="S962" s="56"/>
      <c r="T962" s="56"/>
      <c r="U962" s="56"/>
      <c r="V962" s="56"/>
      <c r="W962" s="56"/>
      <c r="X962" s="56"/>
      <c r="Y962" s="56"/>
      <c r="Z962" s="56"/>
      <c r="AA962" s="56"/>
      <c r="AB962" s="56"/>
      <c r="AC962" s="56"/>
      <c r="AD962" s="56"/>
      <c r="AE962" s="56"/>
      <c r="AF962" s="56"/>
      <c r="AG962" s="56"/>
      <c r="AH962" s="56"/>
      <c r="AI962" s="58"/>
      <c r="AJ962" s="56"/>
      <c r="AK962" s="56"/>
      <c r="AL962" s="56"/>
      <c r="AM962" s="57"/>
      <c r="AN962" s="57"/>
      <c r="AO962" s="56"/>
      <c r="AP962" s="56"/>
      <c r="AQ962" s="57"/>
      <c r="AR962" s="57"/>
      <c r="AS962" s="57"/>
      <c r="AT962" s="67">
        <f t="shared" ref="AT962:AT993" ca="1" si="94">IFERROR(SUM(IF(AND(ISBLANK(T962),ISBLANK(Q962)),0,IF(T962="",TODAY()-Q962,T962-Q962))+IF(AND(ISBLANK(S962),ISBLANK(P962)),0,IF(S962="",TODAY()-P962,S962-P962))+IF(AND(ISBLANK(O962),ISBLANK(R962)),0,IF(R962="",TODAY()-O962,R962-O962))),"")</f>
        <v>0</v>
      </c>
      <c r="AU962" s="79" t="str">
        <f t="shared" ref="AU962:AU993" ca="1" si="95">IFERROR(IF(($M962=""),"",IF(OR(,$C962="Offer in Progress",$C962="WIP",$C962="WIP/Drop",$C962="WIP/New",$C962="WIP/Hold"),(TODAY()-$M962)-$AT962,"")),"")</f>
        <v/>
      </c>
      <c r="AV962" s="79" t="str" cm="1">
        <f t="array" aca="1" ref="AV962" ca="1">IFERROR(_xlfn.IFS($AU962="","",$AU962&lt;=15,"0-15",AND($AU962&gt;=16,$AU962&lt;=30),"16-30",AND($AU962&gt;=31,$AU962&lt;=45),"31-45",AND($AU962&gt;=46,$AU962&lt;=60),"46-60",AND($AU962&gt;=61,$AU962&lt;=90),"61-90",AND($AU962&gt;=91),"&gt; 90",AND($AU962&gt;=2000),""),"")</f>
        <v/>
      </c>
      <c r="AW962" s="79" t="str" cm="1">
        <f t="array" aca="1" ref="AW962" ca="1">IFERROR(_xlfn.IFS(OR($M962="",$AM962=""),"",OR($C962="Offered",$C962="Joined"),($AM962-$M962)-$AT962),"")</f>
        <v/>
      </c>
      <c r="AX962" s="79" t="str" cm="1">
        <f t="array" aca="1" ref="AX962" ca="1">IFERROR(_xlfn.IFS(OR($M962="",$AS962=""),"",$C962="Joined",($AS962-$M962)-$AT962),"")</f>
        <v/>
      </c>
      <c r="AY962" s="67" t="str">
        <f>IFERROR(IF(COUNTIFS('Candidate Tracker'!$E:$E,'Positions Tracker'!$B962,'Candidate Tracker'!$C:$C,"Offer Drop")=0,"",COUNTIFS('Candidate Tracker'!$E:$E,'Positions Tracker'!$B962,'Candidate Tracker'!$C:$C,"Offer Drop")),"")</f>
        <v/>
      </c>
      <c r="AZ962" s="80">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0.88111888111888115</v>
      </c>
      <c r="BA962" s="81" t="str">
        <f>IFERROR(IF(COUNTIFS('Candidate Tracker'!$E:$E,'Positions Tracker'!$B962,'Candidate Tracker'!$I:$I,"Female")=0,"",COUNTIFS('Candidate Tracker'!$E:$E,'Positions Tracker'!$B962,'Candidate Tracker'!$I:$I,"Female")),"")</f>
        <v/>
      </c>
      <c r="BB962" s="81" t="str">
        <f>IFERROR(IF(COUNTIFS('Candidate Tracker'!$E:$E,'Positions Tracker'!$B962,'Candidate Tracker'!$I:$I,"male")=0,"",COUNTIFS('Candidate Tracker'!$E:$E,'Positions Tracker'!$B962,'Candidate Tracker'!$I:$I,"male")),"")</f>
        <v/>
      </c>
      <c r="BC962" s="80" t="str">
        <f>IFERROR(IF(COUNTIFS('Candidate Tracker'!$E:$E,'Positions Tracker'!$B962,'Candidate Tracker'!$C:$C,"&lt;&gt;WIP",'Candidate Tracker'!$C:$C,"&lt;&gt;Hold",'Candidate Tracker'!$C:$C,"&lt;&gt;Cancelled",'Candidate Tracker'!$C:$C,"&lt;&gt;Closed")/COUNTIFS('Candidate Tracker'!$E:$E,'Positions Tracker'!$B962)=0,"",COUNTIFS('Candidate Tracker'!$E:$E,'Positions Tracker'!$B962,'Candidate Tracker'!$C:$C,"&lt;&gt;WIP",'Candidate Tracker'!$C:$C,"&lt;&gt;Hold",'Candidate Tracker'!$C:$C,"&lt;&gt;Cancelled",'Candidate Tracker'!$C:$C,"&lt;&gt;Closed")/COUNTIFS('Candidate Tracker'!$E:$E,'Positions Tracker'!$B962)),"")</f>
        <v/>
      </c>
      <c r="BD962" s="67" t="str">
        <f t="shared" si="90"/>
        <v/>
      </c>
      <c r="BE962" s="67" t="str">
        <f t="shared" si="91"/>
        <v/>
      </c>
      <c r="BF962" s="67" t="str">
        <f t="shared" si="92"/>
        <v/>
      </c>
      <c r="BG962" s="67" t="str">
        <f t="shared" si="93"/>
        <v/>
      </c>
    </row>
    <row r="963" spans="1:59">
      <c r="A963" s="55"/>
      <c r="B963" s="56"/>
      <c r="C963" s="56"/>
      <c r="D963" s="56"/>
      <c r="E963" s="56"/>
      <c r="F963" s="56"/>
      <c r="G963" s="56"/>
      <c r="H963" s="56"/>
      <c r="I963" s="6"/>
      <c r="J963" s="6"/>
      <c r="K963" s="57"/>
      <c r="L963" s="57"/>
      <c r="M963" s="57"/>
      <c r="N963" s="56"/>
      <c r="O963" s="56"/>
      <c r="P963" s="56"/>
      <c r="Q963" s="56"/>
      <c r="R963" s="56"/>
      <c r="S963" s="56"/>
      <c r="T963" s="56"/>
      <c r="U963" s="56"/>
      <c r="V963" s="56"/>
      <c r="W963" s="56"/>
      <c r="X963" s="56"/>
      <c r="Y963" s="56"/>
      <c r="Z963" s="56"/>
      <c r="AA963" s="56"/>
      <c r="AB963" s="56"/>
      <c r="AC963" s="56"/>
      <c r="AD963" s="56"/>
      <c r="AE963" s="56"/>
      <c r="AF963" s="56"/>
      <c r="AG963" s="56"/>
      <c r="AH963" s="56"/>
      <c r="AI963" s="58"/>
      <c r="AJ963" s="56"/>
      <c r="AK963" s="56"/>
      <c r="AL963" s="56"/>
      <c r="AM963" s="57"/>
      <c r="AN963" s="57"/>
      <c r="AO963" s="56"/>
      <c r="AP963" s="56"/>
      <c r="AQ963" s="57"/>
      <c r="AR963" s="57"/>
      <c r="AS963" s="57"/>
      <c r="AT963" s="67">
        <f t="shared" ca="1" si="94"/>
        <v>0</v>
      </c>
      <c r="AU963" s="79" t="str">
        <f t="shared" ca="1" si="95"/>
        <v/>
      </c>
      <c r="AV963" s="79" t="str" cm="1">
        <f t="array" aca="1" ref="AV963" ca="1">IFERROR(_xlfn.IFS($AU963="","",$AU963&lt;=15,"0-15",AND($AU963&gt;=16,$AU963&lt;=30),"16-30",AND($AU963&gt;=31,$AU963&lt;=45),"31-45",AND($AU963&gt;=46,$AU963&lt;=60),"46-60",AND($AU963&gt;=61,$AU963&lt;=90),"61-90",AND($AU963&gt;=91),"&gt; 90",AND($AU963&gt;=2000),""),"")</f>
        <v/>
      </c>
      <c r="AW963" s="79" t="str" cm="1">
        <f t="array" aca="1" ref="AW963" ca="1">IFERROR(_xlfn.IFS(OR($M963="",$AM963=""),"",OR($C963="Offered",$C963="Joined"),($AM963-$M963)-$AT963),"")</f>
        <v/>
      </c>
      <c r="AX963" s="79" t="str" cm="1">
        <f t="array" aca="1" ref="AX963" ca="1">IFERROR(_xlfn.IFS(OR($M963="",$AS963=""),"",$C963="Joined",($AS963-$M963)-$AT963),"")</f>
        <v/>
      </c>
      <c r="AY963" s="67" t="str">
        <f>IFERROR(IF(COUNTIFS('Candidate Tracker'!$E:$E,'Positions Tracker'!$B963,'Candidate Tracker'!$C:$C,"Offer Drop")=0,"",COUNTIFS('Candidate Tracker'!$E:$E,'Positions Tracker'!$B963,'Candidate Tracker'!$C:$C,"Offer Drop")),"")</f>
        <v/>
      </c>
      <c r="AZ963" s="80">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0.88111888111888115</v>
      </c>
      <c r="BA963" s="81" t="str">
        <f>IFERROR(IF(COUNTIFS('Candidate Tracker'!$E:$E,'Positions Tracker'!$B963,'Candidate Tracker'!$I:$I,"Female")=0,"",COUNTIFS('Candidate Tracker'!$E:$E,'Positions Tracker'!$B963,'Candidate Tracker'!$I:$I,"Female")),"")</f>
        <v/>
      </c>
      <c r="BB963" s="81" t="str">
        <f>IFERROR(IF(COUNTIFS('Candidate Tracker'!$E:$E,'Positions Tracker'!$B963,'Candidate Tracker'!$I:$I,"male")=0,"",COUNTIFS('Candidate Tracker'!$E:$E,'Positions Tracker'!$B963,'Candidate Tracker'!$I:$I,"male")),"")</f>
        <v/>
      </c>
      <c r="BC963" s="80" t="str">
        <f>IFERROR(IF(COUNTIFS('Candidate Tracker'!$E:$E,'Positions Tracker'!$B963,'Candidate Tracker'!$C:$C,"&lt;&gt;WIP",'Candidate Tracker'!$C:$C,"&lt;&gt;Hold",'Candidate Tracker'!$C:$C,"&lt;&gt;Cancelled",'Candidate Tracker'!$C:$C,"&lt;&gt;Closed")/COUNTIFS('Candidate Tracker'!$E:$E,'Positions Tracker'!$B963)=0,"",COUNTIFS('Candidate Tracker'!$E:$E,'Positions Tracker'!$B963,'Candidate Tracker'!$C:$C,"&lt;&gt;WIP",'Candidate Tracker'!$C:$C,"&lt;&gt;Hold",'Candidate Tracker'!$C:$C,"&lt;&gt;Cancelled",'Candidate Tracker'!$C:$C,"&lt;&gt;Closed")/COUNTIFS('Candidate Tracker'!$E:$E,'Positions Tracker'!$B963)),"")</f>
        <v/>
      </c>
      <c r="BD963" s="67" t="str">
        <f t="shared" si="90"/>
        <v/>
      </c>
      <c r="BE963" s="67" t="str">
        <f t="shared" si="91"/>
        <v/>
      </c>
      <c r="BF963" s="67" t="str">
        <f t="shared" si="92"/>
        <v/>
      </c>
      <c r="BG963" s="67" t="str">
        <f t="shared" si="93"/>
        <v/>
      </c>
    </row>
    <row r="964" spans="1:59">
      <c r="A964" s="55"/>
      <c r="B964" s="56"/>
      <c r="C964" s="56"/>
      <c r="D964" s="56"/>
      <c r="E964" s="56"/>
      <c r="F964" s="56"/>
      <c r="G964" s="56"/>
      <c r="H964" s="56"/>
      <c r="I964" s="6"/>
      <c r="J964" s="6"/>
      <c r="K964" s="57"/>
      <c r="L964" s="57"/>
      <c r="M964" s="57"/>
      <c r="N964" s="56"/>
      <c r="O964" s="56"/>
      <c r="P964" s="56"/>
      <c r="Q964" s="56"/>
      <c r="R964" s="56"/>
      <c r="S964" s="56"/>
      <c r="T964" s="56"/>
      <c r="U964" s="56"/>
      <c r="V964" s="56"/>
      <c r="W964" s="56"/>
      <c r="X964" s="56"/>
      <c r="Y964" s="56"/>
      <c r="Z964" s="56"/>
      <c r="AA964" s="56"/>
      <c r="AB964" s="56"/>
      <c r="AC964" s="56"/>
      <c r="AD964" s="56"/>
      <c r="AE964" s="56"/>
      <c r="AF964" s="56"/>
      <c r="AG964" s="56"/>
      <c r="AH964" s="56"/>
      <c r="AI964" s="58"/>
      <c r="AJ964" s="56"/>
      <c r="AK964" s="56"/>
      <c r="AL964" s="56"/>
      <c r="AM964" s="57"/>
      <c r="AN964" s="57"/>
      <c r="AO964" s="56"/>
      <c r="AP964" s="56"/>
      <c r="AQ964" s="57"/>
      <c r="AR964" s="57"/>
      <c r="AS964" s="57"/>
      <c r="AT964" s="67">
        <f t="shared" ca="1" si="94"/>
        <v>0</v>
      </c>
      <c r="AU964" s="79" t="str">
        <f t="shared" ca="1" si="95"/>
        <v/>
      </c>
      <c r="AV964" s="79" t="str" cm="1">
        <f t="array" aca="1" ref="AV964" ca="1">IFERROR(_xlfn.IFS($AU964="","",$AU964&lt;=15,"0-15",AND($AU964&gt;=16,$AU964&lt;=30),"16-30",AND($AU964&gt;=31,$AU964&lt;=45),"31-45",AND($AU964&gt;=46,$AU964&lt;=60),"46-60",AND($AU964&gt;=61,$AU964&lt;=90),"61-90",AND($AU964&gt;=91),"&gt; 90",AND($AU964&gt;=2000),""),"")</f>
        <v/>
      </c>
      <c r="AW964" s="79" t="str" cm="1">
        <f t="array" aca="1" ref="AW964" ca="1">IFERROR(_xlfn.IFS(OR($M964="",$AM964=""),"",OR($C964="Offered",$C964="Joined"),($AM964-$M964)-$AT964),"")</f>
        <v/>
      </c>
      <c r="AX964" s="79" t="str" cm="1">
        <f t="array" aca="1" ref="AX964" ca="1">IFERROR(_xlfn.IFS(OR($M964="",$AS964=""),"",$C964="Joined",($AS964-$M964)-$AT964),"")</f>
        <v/>
      </c>
      <c r="AY964" s="67" t="str">
        <f>IFERROR(IF(COUNTIFS('Candidate Tracker'!$E:$E,'Positions Tracker'!$B964,'Candidate Tracker'!$C:$C,"Offer Drop")=0,"",COUNTIFS('Candidate Tracker'!$E:$E,'Positions Tracker'!$B964,'Candidate Tracker'!$C:$C,"Offer Drop")),"")</f>
        <v/>
      </c>
      <c r="AZ964" s="80">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0.88111888111888115</v>
      </c>
      <c r="BA964" s="81" t="str">
        <f>IFERROR(IF(COUNTIFS('Candidate Tracker'!$E:$E,'Positions Tracker'!$B964,'Candidate Tracker'!$I:$I,"Female")=0,"",COUNTIFS('Candidate Tracker'!$E:$E,'Positions Tracker'!$B964,'Candidate Tracker'!$I:$I,"Female")),"")</f>
        <v/>
      </c>
      <c r="BB964" s="81" t="str">
        <f>IFERROR(IF(COUNTIFS('Candidate Tracker'!$E:$E,'Positions Tracker'!$B964,'Candidate Tracker'!$I:$I,"male")=0,"",COUNTIFS('Candidate Tracker'!$E:$E,'Positions Tracker'!$B964,'Candidate Tracker'!$I:$I,"male")),"")</f>
        <v/>
      </c>
      <c r="BC964" s="80" t="str">
        <f>IFERROR(IF(COUNTIFS('Candidate Tracker'!$E:$E,'Positions Tracker'!$B964,'Candidate Tracker'!$C:$C,"&lt;&gt;WIP",'Candidate Tracker'!$C:$C,"&lt;&gt;Hold",'Candidate Tracker'!$C:$C,"&lt;&gt;Cancelled",'Candidate Tracker'!$C:$C,"&lt;&gt;Closed")/COUNTIFS('Candidate Tracker'!$E:$E,'Positions Tracker'!$B964)=0,"",COUNTIFS('Candidate Tracker'!$E:$E,'Positions Tracker'!$B964,'Candidate Tracker'!$C:$C,"&lt;&gt;WIP",'Candidate Tracker'!$C:$C,"&lt;&gt;Hold",'Candidate Tracker'!$C:$C,"&lt;&gt;Cancelled",'Candidate Tracker'!$C:$C,"&lt;&gt;Closed")/COUNTIFS('Candidate Tracker'!$E:$E,'Positions Tracker'!$B964)),"")</f>
        <v/>
      </c>
      <c r="BD964" s="67" t="str">
        <f t="shared" si="90"/>
        <v/>
      </c>
      <c r="BE964" s="67" t="str">
        <f t="shared" si="91"/>
        <v/>
      </c>
      <c r="BF964" s="67" t="str">
        <f t="shared" si="92"/>
        <v/>
      </c>
      <c r="BG964" s="67" t="str">
        <f t="shared" si="93"/>
        <v/>
      </c>
    </row>
    <row r="965" spans="1:59">
      <c r="A965" s="55"/>
      <c r="B965" s="56"/>
      <c r="C965" s="56"/>
      <c r="D965" s="56"/>
      <c r="E965" s="56"/>
      <c r="F965" s="56"/>
      <c r="G965" s="56"/>
      <c r="H965" s="56"/>
      <c r="I965" s="6"/>
      <c r="J965" s="6"/>
      <c r="K965" s="57"/>
      <c r="L965" s="57"/>
      <c r="M965" s="57"/>
      <c r="N965" s="56"/>
      <c r="O965" s="56"/>
      <c r="P965" s="56"/>
      <c r="Q965" s="56"/>
      <c r="R965" s="56"/>
      <c r="S965" s="56"/>
      <c r="T965" s="56"/>
      <c r="U965" s="56"/>
      <c r="V965" s="56"/>
      <c r="W965" s="56"/>
      <c r="X965" s="56"/>
      <c r="Y965" s="56"/>
      <c r="Z965" s="56"/>
      <c r="AA965" s="56"/>
      <c r="AB965" s="56"/>
      <c r="AC965" s="56"/>
      <c r="AD965" s="56"/>
      <c r="AE965" s="56"/>
      <c r="AF965" s="56"/>
      <c r="AG965" s="56"/>
      <c r="AH965" s="56"/>
      <c r="AI965" s="58"/>
      <c r="AJ965" s="56"/>
      <c r="AK965" s="56"/>
      <c r="AL965" s="56"/>
      <c r="AM965" s="57"/>
      <c r="AN965" s="57"/>
      <c r="AO965" s="56"/>
      <c r="AP965" s="56"/>
      <c r="AQ965" s="57"/>
      <c r="AR965" s="57"/>
      <c r="AS965" s="57"/>
      <c r="AT965" s="67">
        <f t="shared" ca="1" si="94"/>
        <v>0</v>
      </c>
      <c r="AU965" s="79" t="str">
        <f t="shared" ca="1" si="95"/>
        <v/>
      </c>
      <c r="AV965" s="79" t="str" cm="1">
        <f t="array" aca="1" ref="AV965" ca="1">IFERROR(_xlfn.IFS($AU965="","",$AU965&lt;=15,"0-15",AND($AU965&gt;=16,$AU965&lt;=30),"16-30",AND($AU965&gt;=31,$AU965&lt;=45),"31-45",AND($AU965&gt;=46,$AU965&lt;=60),"46-60",AND($AU965&gt;=61,$AU965&lt;=90),"61-90",AND($AU965&gt;=91),"&gt; 90",AND($AU965&gt;=2000),""),"")</f>
        <v/>
      </c>
      <c r="AW965" s="79" t="str" cm="1">
        <f t="array" aca="1" ref="AW965" ca="1">IFERROR(_xlfn.IFS(OR($M965="",$AM965=""),"",OR($C965="Offered",$C965="Joined"),($AM965-$M965)-$AT965),"")</f>
        <v/>
      </c>
      <c r="AX965" s="79" t="str" cm="1">
        <f t="array" aca="1" ref="AX965" ca="1">IFERROR(_xlfn.IFS(OR($M965="",$AS965=""),"",$C965="Joined",($AS965-$M965)-$AT965),"")</f>
        <v/>
      </c>
      <c r="AY965" s="67" t="str">
        <f>IFERROR(IF(COUNTIFS('Candidate Tracker'!$E:$E,'Positions Tracker'!$B965,'Candidate Tracker'!$C:$C,"Offer Drop")=0,"",COUNTIFS('Candidate Tracker'!$E:$E,'Positions Tracker'!$B965,'Candidate Tracker'!$C:$C,"Offer Drop")),"")</f>
        <v/>
      </c>
      <c r="AZ965" s="80">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0.88111888111888115</v>
      </c>
      <c r="BA965" s="81" t="str">
        <f>IFERROR(IF(COUNTIFS('Candidate Tracker'!$E:$E,'Positions Tracker'!$B965,'Candidate Tracker'!$I:$I,"Female")=0,"",COUNTIFS('Candidate Tracker'!$E:$E,'Positions Tracker'!$B965,'Candidate Tracker'!$I:$I,"Female")),"")</f>
        <v/>
      </c>
      <c r="BB965" s="81" t="str">
        <f>IFERROR(IF(COUNTIFS('Candidate Tracker'!$E:$E,'Positions Tracker'!$B965,'Candidate Tracker'!$I:$I,"male")=0,"",COUNTIFS('Candidate Tracker'!$E:$E,'Positions Tracker'!$B965,'Candidate Tracker'!$I:$I,"male")),"")</f>
        <v/>
      </c>
      <c r="BC965" s="80" t="str">
        <f>IFERROR(IF(COUNTIFS('Candidate Tracker'!$E:$E,'Positions Tracker'!$B965,'Candidate Tracker'!$C:$C,"&lt;&gt;WIP",'Candidate Tracker'!$C:$C,"&lt;&gt;Hold",'Candidate Tracker'!$C:$C,"&lt;&gt;Cancelled",'Candidate Tracker'!$C:$C,"&lt;&gt;Closed")/COUNTIFS('Candidate Tracker'!$E:$E,'Positions Tracker'!$B965)=0,"",COUNTIFS('Candidate Tracker'!$E:$E,'Positions Tracker'!$B965,'Candidate Tracker'!$C:$C,"&lt;&gt;WIP",'Candidate Tracker'!$C:$C,"&lt;&gt;Hold",'Candidate Tracker'!$C:$C,"&lt;&gt;Cancelled",'Candidate Tracker'!$C:$C,"&lt;&gt;Closed")/COUNTIFS('Candidate Tracker'!$E:$E,'Positions Tracker'!$B965)),"")</f>
        <v/>
      </c>
      <c r="BD965" s="67" t="str">
        <f t="shared" si="90"/>
        <v/>
      </c>
      <c r="BE965" s="67" t="str">
        <f t="shared" si="91"/>
        <v/>
      </c>
      <c r="BF965" s="67" t="str">
        <f t="shared" si="92"/>
        <v/>
      </c>
      <c r="BG965" s="67" t="str">
        <f t="shared" si="93"/>
        <v/>
      </c>
    </row>
    <row r="966" spans="1:59">
      <c r="A966" s="55"/>
      <c r="B966" s="56"/>
      <c r="C966" s="56"/>
      <c r="D966" s="56"/>
      <c r="E966" s="56"/>
      <c r="F966" s="56"/>
      <c r="G966" s="56"/>
      <c r="H966" s="56"/>
      <c r="I966" s="6"/>
      <c r="J966" s="6"/>
      <c r="K966" s="57"/>
      <c r="L966" s="57"/>
      <c r="M966" s="57"/>
      <c r="N966" s="56"/>
      <c r="O966" s="56"/>
      <c r="P966" s="56"/>
      <c r="Q966" s="56"/>
      <c r="R966" s="56"/>
      <c r="S966" s="56"/>
      <c r="T966" s="56"/>
      <c r="U966" s="56"/>
      <c r="V966" s="56"/>
      <c r="W966" s="56"/>
      <c r="X966" s="56"/>
      <c r="Y966" s="56"/>
      <c r="Z966" s="56"/>
      <c r="AA966" s="56"/>
      <c r="AB966" s="56"/>
      <c r="AC966" s="56"/>
      <c r="AD966" s="56"/>
      <c r="AE966" s="56"/>
      <c r="AF966" s="56"/>
      <c r="AG966" s="56"/>
      <c r="AH966" s="56"/>
      <c r="AI966" s="58"/>
      <c r="AJ966" s="56"/>
      <c r="AK966" s="56"/>
      <c r="AL966" s="56"/>
      <c r="AM966" s="57"/>
      <c r="AN966" s="57"/>
      <c r="AO966" s="56"/>
      <c r="AP966" s="56"/>
      <c r="AQ966" s="57"/>
      <c r="AR966" s="57"/>
      <c r="AS966" s="57"/>
      <c r="AT966" s="67">
        <f t="shared" ca="1" si="94"/>
        <v>0</v>
      </c>
      <c r="AU966" s="79" t="str">
        <f t="shared" ca="1" si="95"/>
        <v/>
      </c>
      <c r="AV966" s="79" t="str" cm="1">
        <f t="array" aca="1" ref="AV966" ca="1">IFERROR(_xlfn.IFS($AU966="","",$AU966&lt;=15,"0-15",AND($AU966&gt;=16,$AU966&lt;=30),"16-30",AND($AU966&gt;=31,$AU966&lt;=45),"31-45",AND($AU966&gt;=46,$AU966&lt;=60),"46-60",AND($AU966&gt;=61,$AU966&lt;=90),"61-90",AND($AU966&gt;=91),"&gt; 90",AND($AU966&gt;=2000),""),"")</f>
        <v/>
      </c>
      <c r="AW966" s="79" t="str" cm="1">
        <f t="array" aca="1" ref="AW966" ca="1">IFERROR(_xlfn.IFS(OR($M966="",$AM966=""),"",OR($C966="Offered",$C966="Joined"),($AM966-$M966)-$AT966),"")</f>
        <v/>
      </c>
      <c r="AX966" s="79" t="str" cm="1">
        <f t="array" aca="1" ref="AX966" ca="1">IFERROR(_xlfn.IFS(OR($M966="",$AS966=""),"",$C966="Joined",($AS966-$M966)-$AT966),"")</f>
        <v/>
      </c>
      <c r="AY966" s="67" t="str">
        <f>IFERROR(IF(COUNTIFS('Candidate Tracker'!$E:$E,'Positions Tracker'!$B966,'Candidate Tracker'!$C:$C,"Offer Drop")=0,"",COUNTIFS('Candidate Tracker'!$E:$E,'Positions Tracker'!$B966,'Candidate Tracker'!$C:$C,"Offer Drop")),"")</f>
        <v/>
      </c>
      <c r="AZ966" s="80">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0.88111888111888115</v>
      </c>
      <c r="BA966" s="81" t="str">
        <f>IFERROR(IF(COUNTIFS('Candidate Tracker'!$E:$E,'Positions Tracker'!$B966,'Candidate Tracker'!$I:$I,"Female")=0,"",COUNTIFS('Candidate Tracker'!$E:$E,'Positions Tracker'!$B966,'Candidate Tracker'!$I:$I,"Female")),"")</f>
        <v/>
      </c>
      <c r="BB966" s="81" t="str">
        <f>IFERROR(IF(COUNTIFS('Candidate Tracker'!$E:$E,'Positions Tracker'!$B966,'Candidate Tracker'!$I:$I,"male")=0,"",COUNTIFS('Candidate Tracker'!$E:$E,'Positions Tracker'!$B966,'Candidate Tracker'!$I:$I,"male")),"")</f>
        <v/>
      </c>
      <c r="BC966" s="80" t="str">
        <f>IFERROR(IF(COUNTIFS('Candidate Tracker'!$E:$E,'Positions Tracker'!$B966,'Candidate Tracker'!$C:$C,"&lt;&gt;WIP",'Candidate Tracker'!$C:$C,"&lt;&gt;Hold",'Candidate Tracker'!$C:$C,"&lt;&gt;Cancelled",'Candidate Tracker'!$C:$C,"&lt;&gt;Closed")/COUNTIFS('Candidate Tracker'!$E:$E,'Positions Tracker'!$B966)=0,"",COUNTIFS('Candidate Tracker'!$E:$E,'Positions Tracker'!$B966,'Candidate Tracker'!$C:$C,"&lt;&gt;WIP",'Candidate Tracker'!$C:$C,"&lt;&gt;Hold",'Candidate Tracker'!$C:$C,"&lt;&gt;Cancelled",'Candidate Tracker'!$C:$C,"&lt;&gt;Closed")/COUNTIFS('Candidate Tracker'!$E:$E,'Positions Tracker'!$B966)),"")</f>
        <v/>
      </c>
      <c r="BD966" s="67" t="str">
        <f t="shared" si="90"/>
        <v/>
      </c>
      <c r="BE966" s="67" t="str">
        <f t="shared" si="91"/>
        <v/>
      </c>
      <c r="BF966" s="67" t="str">
        <f t="shared" si="92"/>
        <v/>
      </c>
      <c r="BG966" s="67" t="str">
        <f t="shared" si="93"/>
        <v/>
      </c>
    </row>
    <row r="967" spans="1:59">
      <c r="A967" s="55"/>
      <c r="B967" s="56"/>
      <c r="C967" s="56"/>
      <c r="D967" s="56"/>
      <c r="E967" s="56"/>
      <c r="F967" s="56"/>
      <c r="G967" s="56"/>
      <c r="H967" s="56"/>
      <c r="I967" s="6"/>
      <c r="J967" s="6"/>
      <c r="K967" s="57"/>
      <c r="L967" s="57"/>
      <c r="M967" s="57"/>
      <c r="N967" s="56"/>
      <c r="O967" s="56"/>
      <c r="P967" s="56"/>
      <c r="Q967" s="56"/>
      <c r="R967" s="56"/>
      <c r="S967" s="56"/>
      <c r="T967" s="56"/>
      <c r="U967" s="56"/>
      <c r="V967" s="56"/>
      <c r="W967" s="56"/>
      <c r="X967" s="56"/>
      <c r="Y967" s="56"/>
      <c r="Z967" s="56"/>
      <c r="AA967" s="56"/>
      <c r="AB967" s="56"/>
      <c r="AC967" s="56"/>
      <c r="AD967" s="56"/>
      <c r="AE967" s="56"/>
      <c r="AF967" s="56"/>
      <c r="AG967" s="56"/>
      <c r="AH967" s="56"/>
      <c r="AI967" s="58"/>
      <c r="AJ967" s="56"/>
      <c r="AK967" s="56"/>
      <c r="AL967" s="56"/>
      <c r="AM967" s="57"/>
      <c r="AN967" s="57"/>
      <c r="AO967" s="56"/>
      <c r="AP967" s="56"/>
      <c r="AQ967" s="57"/>
      <c r="AR967" s="57"/>
      <c r="AS967" s="57"/>
      <c r="AT967" s="67">
        <f t="shared" ca="1" si="94"/>
        <v>0</v>
      </c>
      <c r="AU967" s="79" t="str">
        <f t="shared" ca="1" si="95"/>
        <v/>
      </c>
      <c r="AV967" s="79" t="str" cm="1">
        <f t="array" aca="1" ref="AV967" ca="1">IFERROR(_xlfn.IFS($AU967="","",$AU967&lt;=15,"0-15",AND($AU967&gt;=16,$AU967&lt;=30),"16-30",AND($AU967&gt;=31,$AU967&lt;=45),"31-45",AND($AU967&gt;=46,$AU967&lt;=60),"46-60",AND($AU967&gt;=61,$AU967&lt;=90),"61-90",AND($AU967&gt;=91),"&gt; 90",AND($AU967&gt;=2000),""),"")</f>
        <v/>
      </c>
      <c r="AW967" s="79" t="str" cm="1">
        <f t="array" aca="1" ref="AW967" ca="1">IFERROR(_xlfn.IFS(OR($M967="",$AM967=""),"",OR($C967="Offered",$C967="Joined"),($AM967-$M967)-$AT967),"")</f>
        <v/>
      </c>
      <c r="AX967" s="79" t="str" cm="1">
        <f t="array" aca="1" ref="AX967" ca="1">IFERROR(_xlfn.IFS(OR($M967="",$AS967=""),"",$C967="Joined",($AS967-$M967)-$AT967),"")</f>
        <v/>
      </c>
      <c r="AY967" s="67" t="str">
        <f>IFERROR(IF(COUNTIFS('Candidate Tracker'!$E:$E,'Positions Tracker'!$B967,'Candidate Tracker'!$C:$C,"Offer Drop")=0,"",COUNTIFS('Candidate Tracker'!$E:$E,'Positions Tracker'!$B967,'Candidate Tracker'!$C:$C,"Offer Drop")),"")</f>
        <v/>
      </c>
      <c r="AZ967" s="80">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0.88111888111888115</v>
      </c>
      <c r="BA967" s="81" t="str">
        <f>IFERROR(IF(COUNTIFS('Candidate Tracker'!$E:$E,'Positions Tracker'!$B967,'Candidate Tracker'!$I:$I,"Female")=0,"",COUNTIFS('Candidate Tracker'!$E:$E,'Positions Tracker'!$B967,'Candidate Tracker'!$I:$I,"Female")),"")</f>
        <v/>
      </c>
      <c r="BB967" s="81" t="str">
        <f>IFERROR(IF(COUNTIFS('Candidate Tracker'!$E:$E,'Positions Tracker'!$B967,'Candidate Tracker'!$I:$I,"male")=0,"",COUNTIFS('Candidate Tracker'!$E:$E,'Positions Tracker'!$B967,'Candidate Tracker'!$I:$I,"male")),"")</f>
        <v/>
      </c>
      <c r="BC967" s="80" t="str">
        <f>IFERROR(IF(COUNTIFS('Candidate Tracker'!$E:$E,'Positions Tracker'!$B967,'Candidate Tracker'!$C:$C,"&lt;&gt;WIP",'Candidate Tracker'!$C:$C,"&lt;&gt;Hold",'Candidate Tracker'!$C:$C,"&lt;&gt;Cancelled",'Candidate Tracker'!$C:$C,"&lt;&gt;Closed")/COUNTIFS('Candidate Tracker'!$E:$E,'Positions Tracker'!$B967)=0,"",COUNTIFS('Candidate Tracker'!$E:$E,'Positions Tracker'!$B967,'Candidate Tracker'!$C:$C,"&lt;&gt;WIP",'Candidate Tracker'!$C:$C,"&lt;&gt;Hold",'Candidate Tracker'!$C:$C,"&lt;&gt;Cancelled",'Candidate Tracker'!$C:$C,"&lt;&gt;Closed")/COUNTIFS('Candidate Tracker'!$E:$E,'Positions Tracker'!$B967)),"")</f>
        <v/>
      </c>
      <c r="BD967" s="67" t="str">
        <f t="shared" si="90"/>
        <v/>
      </c>
      <c r="BE967" s="67" t="str">
        <f t="shared" si="91"/>
        <v/>
      </c>
      <c r="BF967" s="67" t="str">
        <f t="shared" si="92"/>
        <v/>
      </c>
      <c r="BG967" s="67" t="str">
        <f t="shared" si="93"/>
        <v/>
      </c>
    </row>
    <row r="968" spans="1:59">
      <c r="A968" s="55"/>
      <c r="B968" s="56"/>
      <c r="C968" s="56"/>
      <c r="D968" s="56"/>
      <c r="E968" s="56"/>
      <c r="F968" s="56"/>
      <c r="G968" s="56"/>
      <c r="H968" s="56"/>
      <c r="I968" s="6"/>
      <c r="J968" s="6"/>
      <c r="K968" s="57"/>
      <c r="L968" s="57"/>
      <c r="M968" s="57"/>
      <c r="N968" s="56"/>
      <c r="O968" s="56"/>
      <c r="P968" s="56"/>
      <c r="Q968" s="56"/>
      <c r="R968" s="56"/>
      <c r="S968" s="56"/>
      <c r="T968" s="56"/>
      <c r="U968" s="56"/>
      <c r="V968" s="56"/>
      <c r="W968" s="56"/>
      <c r="X968" s="56"/>
      <c r="Y968" s="56"/>
      <c r="Z968" s="56"/>
      <c r="AA968" s="56"/>
      <c r="AB968" s="56"/>
      <c r="AC968" s="56"/>
      <c r="AD968" s="56"/>
      <c r="AE968" s="56"/>
      <c r="AF968" s="56"/>
      <c r="AG968" s="56"/>
      <c r="AH968" s="56"/>
      <c r="AI968" s="58"/>
      <c r="AJ968" s="56"/>
      <c r="AK968" s="56"/>
      <c r="AL968" s="56"/>
      <c r="AM968" s="57"/>
      <c r="AN968" s="57"/>
      <c r="AO968" s="56"/>
      <c r="AP968" s="56"/>
      <c r="AQ968" s="57"/>
      <c r="AR968" s="57"/>
      <c r="AS968" s="57"/>
      <c r="AT968" s="67">
        <f t="shared" ca="1" si="94"/>
        <v>0</v>
      </c>
      <c r="AU968" s="79" t="str">
        <f t="shared" ca="1" si="95"/>
        <v/>
      </c>
      <c r="AV968" s="79" t="str" cm="1">
        <f t="array" aca="1" ref="AV968" ca="1">IFERROR(_xlfn.IFS($AU968="","",$AU968&lt;=15,"0-15",AND($AU968&gt;=16,$AU968&lt;=30),"16-30",AND($AU968&gt;=31,$AU968&lt;=45),"31-45",AND($AU968&gt;=46,$AU968&lt;=60),"46-60",AND($AU968&gt;=61,$AU968&lt;=90),"61-90",AND($AU968&gt;=91),"&gt; 90",AND($AU968&gt;=2000),""),"")</f>
        <v/>
      </c>
      <c r="AW968" s="79" t="str" cm="1">
        <f t="array" aca="1" ref="AW968" ca="1">IFERROR(_xlfn.IFS(OR($M968="",$AM968=""),"",OR($C968="Offered",$C968="Joined"),($AM968-$M968)-$AT968),"")</f>
        <v/>
      </c>
      <c r="AX968" s="79" t="str" cm="1">
        <f t="array" aca="1" ref="AX968" ca="1">IFERROR(_xlfn.IFS(OR($M968="",$AS968=""),"",$C968="Joined",($AS968-$M968)-$AT968),"")</f>
        <v/>
      </c>
      <c r="AY968" s="67" t="str">
        <f>IFERROR(IF(COUNTIFS('Candidate Tracker'!$E:$E,'Positions Tracker'!$B968,'Candidate Tracker'!$C:$C,"Offer Drop")=0,"",COUNTIFS('Candidate Tracker'!$E:$E,'Positions Tracker'!$B968,'Candidate Tracker'!$C:$C,"Offer Drop")),"")</f>
        <v/>
      </c>
      <c r="AZ968" s="80">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0.88111888111888115</v>
      </c>
      <c r="BA968" s="81" t="str">
        <f>IFERROR(IF(COUNTIFS('Candidate Tracker'!$E:$E,'Positions Tracker'!$B968,'Candidate Tracker'!$I:$I,"Female")=0,"",COUNTIFS('Candidate Tracker'!$E:$E,'Positions Tracker'!$B968,'Candidate Tracker'!$I:$I,"Female")),"")</f>
        <v/>
      </c>
      <c r="BB968" s="81" t="str">
        <f>IFERROR(IF(COUNTIFS('Candidate Tracker'!$E:$E,'Positions Tracker'!$B968,'Candidate Tracker'!$I:$I,"male")=0,"",COUNTIFS('Candidate Tracker'!$E:$E,'Positions Tracker'!$B968,'Candidate Tracker'!$I:$I,"male")),"")</f>
        <v/>
      </c>
      <c r="BC968" s="80" t="str">
        <f>IFERROR(IF(COUNTIFS('Candidate Tracker'!$E:$E,'Positions Tracker'!$B968,'Candidate Tracker'!$C:$C,"&lt;&gt;WIP",'Candidate Tracker'!$C:$C,"&lt;&gt;Hold",'Candidate Tracker'!$C:$C,"&lt;&gt;Cancelled",'Candidate Tracker'!$C:$C,"&lt;&gt;Closed")/COUNTIFS('Candidate Tracker'!$E:$E,'Positions Tracker'!$B968)=0,"",COUNTIFS('Candidate Tracker'!$E:$E,'Positions Tracker'!$B968,'Candidate Tracker'!$C:$C,"&lt;&gt;WIP",'Candidate Tracker'!$C:$C,"&lt;&gt;Hold",'Candidate Tracker'!$C:$C,"&lt;&gt;Cancelled",'Candidate Tracker'!$C:$C,"&lt;&gt;Closed")/COUNTIFS('Candidate Tracker'!$E:$E,'Positions Tracker'!$B968)),"")</f>
        <v/>
      </c>
      <c r="BD968" s="67" t="str">
        <f t="shared" si="90"/>
        <v/>
      </c>
      <c r="BE968" s="67" t="str">
        <f t="shared" si="91"/>
        <v/>
      </c>
      <c r="BF968" s="67" t="str">
        <f t="shared" si="92"/>
        <v/>
      </c>
      <c r="BG968" s="67" t="str">
        <f t="shared" si="93"/>
        <v/>
      </c>
    </row>
    <row r="969" spans="1:59">
      <c r="A969" s="55"/>
      <c r="B969" s="56"/>
      <c r="C969" s="56"/>
      <c r="D969" s="56"/>
      <c r="E969" s="56"/>
      <c r="F969" s="56"/>
      <c r="G969" s="56"/>
      <c r="H969" s="56"/>
      <c r="I969" s="6"/>
      <c r="J969" s="6"/>
      <c r="K969" s="57"/>
      <c r="L969" s="57"/>
      <c r="M969" s="57"/>
      <c r="N969" s="56"/>
      <c r="O969" s="56"/>
      <c r="P969" s="56"/>
      <c r="Q969" s="56"/>
      <c r="R969" s="56"/>
      <c r="S969" s="56"/>
      <c r="T969" s="56"/>
      <c r="U969" s="56"/>
      <c r="V969" s="56"/>
      <c r="W969" s="56"/>
      <c r="X969" s="56"/>
      <c r="Y969" s="56"/>
      <c r="Z969" s="56"/>
      <c r="AA969" s="56"/>
      <c r="AB969" s="56"/>
      <c r="AC969" s="56"/>
      <c r="AD969" s="56"/>
      <c r="AE969" s="56"/>
      <c r="AF969" s="56"/>
      <c r="AG969" s="56"/>
      <c r="AH969" s="56"/>
      <c r="AI969" s="58"/>
      <c r="AJ969" s="56"/>
      <c r="AK969" s="56"/>
      <c r="AL969" s="56"/>
      <c r="AM969" s="57"/>
      <c r="AN969" s="57"/>
      <c r="AO969" s="56"/>
      <c r="AP969" s="56"/>
      <c r="AQ969" s="57"/>
      <c r="AR969" s="57"/>
      <c r="AS969" s="57"/>
      <c r="AT969" s="67">
        <f t="shared" ca="1" si="94"/>
        <v>0</v>
      </c>
      <c r="AU969" s="79" t="str">
        <f t="shared" ca="1" si="95"/>
        <v/>
      </c>
      <c r="AV969" s="79" t="str" cm="1">
        <f t="array" aca="1" ref="AV969" ca="1">IFERROR(_xlfn.IFS($AU969="","",$AU969&lt;=15,"0-15",AND($AU969&gt;=16,$AU969&lt;=30),"16-30",AND($AU969&gt;=31,$AU969&lt;=45),"31-45",AND($AU969&gt;=46,$AU969&lt;=60),"46-60",AND($AU969&gt;=61,$AU969&lt;=90),"61-90",AND($AU969&gt;=91),"&gt; 90",AND($AU969&gt;=2000),""),"")</f>
        <v/>
      </c>
      <c r="AW969" s="79" t="str" cm="1">
        <f t="array" aca="1" ref="AW969" ca="1">IFERROR(_xlfn.IFS(OR($M969="",$AM969=""),"",OR($C969="Offered",$C969="Joined"),($AM969-$M969)-$AT969),"")</f>
        <v/>
      </c>
      <c r="AX969" s="79" t="str" cm="1">
        <f t="array" aca="1" ref="AX969" ca="1">IFERROR(_xlfn.IFS(OR($M969="",$AS969=""),"",$C969="Joined",($AS969-$M969)-$AT969),"")</f>
        <v/>
      </c>
      <c r="AY969" s="67" t="str">
        <f>IFERROR(IF(COUNTIFS('Candidate Tracker'!$E:$E,'Positions Tracker'!$B969,'Candidate Tracker'!$C:$C,"Offer Drop")=0,"",COUNTIFS('Candidate Tracker'!$E:$E,'Positions Tracker'!$B969,'Candidate Tracker'!$C:$C,"Offer Drop")),"")</f>
        <v/>
      </c>
      <c r="AZ969" s="80">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0.88111888111888115</v>
      </c>
      <c r="BA969" s="81" t="str">
        <f>IFERROR(IF(COUNTIFS('Candidate Tracker'!$E:$E,'Positions Tracker'!$B969,'Candidate Tracker'!$I:$I,"Female")=0,"",COUNTIFS('Candidate Tracker'!$E:$E,'Positions Tracker'!$B969,'Candidate Tracker'!$I:$I,"Female")),"")</f>
        <v/>
      </c>
      <c r="BB969" s="81" t="str">
        <f>IFERROR(IF(COUNTIFS('Candidate Tracker'!$E:$E,'Positions Tracker'!$B969,'Candidate Tracker'!$I:$I,"male")=0,"",COUNTIFS('Candidate Tracker'!$E:$E,'Positions Tracker'!$B969,'Candidate Tracker'!$I:$I,"male")),"")</f>
        <v/>
      </c>
      <c r="BC969" s="80" t="str">
        <f>IFERROR(IF(COUNTIFS('Candidate Tracker'!$E:$E,'Positions Tracker'!$B969,'Candidate Tracker'!$C:$C,"&lt;&gt;WIP",'Candidate Tracker'!$C:$C,"&lt;&gt;Hold",'Candidate Tracker'!$C:$C,"&lt;&gt;Cancelled",'Candidate Tracker'!$C:$C,"&lt;&gt;Closed")/COUNTIFS('Candidate Tracker'!$E:$E,'Positions Tracker'!$B969)=0,"",COUNTIFS('Candidate Tracker'!$E:$E,'Positions Tracker'!$B969,'Candidate Tracker'!$C:$C,"&lt;&gt;WIP",'Candidate Tracker'!$C:$C,"&lt;&gt;Hold",'Candidate Tracker'!$C:$C,"&lt;&gt;Cancelled",'Candidate Tracker'!$C:$C,"&lt;&gt;Closed")/COUNTIFS('Candidate Tracker'!$E:$E,'Positions Tracker'!$B969)),"")</f>
        <v/>
      </c>
      <c r="BD969" s="67" t="str">
        <f t="shared" si="90"/>
        <v/>
      </c>
      <c r="BE969" s="67" t="str">
        <f t="shared" si="91"/>
        <v/>
      </c>
      <c r="BF969" s="67" t="str">
        <f t="shared" si="92"/>
        <v/>
      </c>
      <c r="BG969" s="67" t="str">
        <f t="shared" si="93"/>
        <v/>
      </c>
    </row>
    <row r="970" spans="1:59">
      <c r="A970" s="55"/>
      <c r="B970" s="56"/>
      <c r="C970" s="56"/>
      <c r="D970" s="56"/>
      <c r="E970" s="56"/>
      <c r="F970" s="56"/>
      <c r="G970" s="56"/>
      <c r="H970" s="56"/>
      <c r="I970" s="6"/>
      <c r="J970" s="6"/>
      <c r="K970" s="57"/>
      <c r="L970" s="57"/>
      <c r="M970" s="57"/>
      <c r="N970" s="56"/>
      <c r="O970" s="56"/>
      <c r="P970" s="56"/>
      <c r="Q970" s="56"/>
      <c r="R970" s="56"/>
      <c r="S970" s="56"/>
      <c r="T970" s="56"/>
      <c r="U970" s="56"/>
      <c r="V970" s="56"/>
      <c r="W970" s="56"/>
      <c r="X970" s="56"/>
      <c r="Y970" s="56"/>
      <c r="Z970" s="56"/>
      <c r="AA970" s="56"/>
      <c r="AB970" s="56"/>
      <c r="AC970" s="56"/>
      <c r="AD970" s="56"/>
      <c r="AE970" s="56"/>
      <c r="AF970" s="56"/>
      <c r="AG970" s="56"/>
      <c r="AH970" s="56"/>
      <c r="AI970" s="58"/>
      <c r="AJ970" s="56"/>
      <c r="AK970" s="56"/>
      <c r="AL970" s="56"/>
      <c r="AM970" s="57"/>
      <c r="AN970" s="57"/>
      <c r="AO970" s="56"/>
      <c r="AP970" s="56"/>
      <c r="AQ970" s="57"/>
      <c r="AR970" s="57"/>
      <c r="AS970" s="57"/>
      <c r="AT970" s="67">
        <f t="shared" ca="1" si="94"/>
        <v>0</v>
      </c>
      <c r="AU970" s="79" t="str">
        <f t="shared" ca="1" si="95"/>
        <v/>
      </c>
      <c r="AV970" s="79" t="str" cm="1">
        <f t="array" aca="1" ref="AV970" ca="1">IFERROR(_xlfn.IFS($AU970="","",$AU970&lt;=15,"0-15",AND($AU970&gt;=16,$AU970&lt;=30),"16-30",AND($AU970&gt;=31,$AU970&lt;=45),"31-45",AND($AU970&gt;=46,$AU970&lt;=60),"46-60",AND($AU970&gt;=61,$AU970&lt;=90),"61-90",AND($AU970&gt;=91),"&gt; 90",AND($AU970&gt;=2000),""),"")</f>
        <v/>
      </c>
      <c r="AW970" s="79" t="str" cm="1">
        <f t="array" aca="1" ref="AW970" ca="1">IFERROR(_xlfn.IFS(OR($M970="",$AM970=""),"",OR($C970="Offered",$C970="Joined"),($AM970-$M970)-$AT970),"")</f>
        <v/>
      </c>
      <c r="AX970" s="79" t="str" cm="1">
        <f t="array" aca="1" ref="AX970" ca="1">IFERROR(_xlfn.IFS(OR($M970="",$AS970=""),"",$C970="Joined",($AS970-$M970)-$AT970),"")</f>
        <v/>
      </c>
      <c r="AY970" s="67" t="str">
        <f>IFERROR(IF(COUNTIFS('Candidate Tracker'!$E:$E,'Positions Tracker'!$B970,'Candidate Tracker'!$C:$C,"Offer Drop")=0,"",COUNTIFS('Candidate Tracker'!$E:$E,'Positions Tracker'!$B970,'Candidate Tracker'!$C:$C,"Offer Drop")),"")</f>
        <v/>
      </c>
      <c r="AZ970" s="80">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0.88111888111888115</v>
      </c>
      <c r="BA970" s="81" t="str">
        <f>IFERROR(IF(COUNTIFS('Candidate Tracker'!$E:$E,'Positions Tracker'!$B970,'Candidate Tracker'!$I:$I,"Female")=0,"",COUNTIFS('Candidate Tracker'!$E:$E,'Positions Tracker'!$B970,'Candidate Tracker'!$I:$I,"Female")),"")</f>
        <v/>
      </c>
      <c r="BB970" s="81" t="str">
        <f>IFERROR(IF(COUNTIFS('Candidate Tracker'!$E:$E,'Positions Tracker'!$B970,'Candidate Tracker'!$I:$I,"male")=0,"",COUNTIFS('Candidate Tracker'!$E:$E,'Positions Tracker'!$B970,'Candidate Tracker'!$I:$I,"male")),"")</f>
        <v/>
      </c>
      <c r="BC970" s="80" t="str">
        <f>IFERROR(IF(COUNTIFS('Candidate Tracker'!$E:$E,'Positions Tracker'!$B970,'Candidate Tracker'!$C:$C,"&lt;&gt;WIP",'Candidate Tracker'!$C:$C,"&lt;&gt;Hold",'Candidate Tracker'!$C:$C,"&lt;&gt;Cancelled",'Candidate Tracker'!$C:$C,"&lt;&gt;Closed")/COUNTIFS('Candidate Tracker'!$E:$E,'Positions Tracker'!$B970)=0,"",COUNTIFS('Candidate Tracker'!$E:$E,'Positions Tracker'!$B970,'Candidate Tracker'!$C:$C,"&lt;&gt;WIP",'Candidate Tracker'!$C:$C,"&lt;&gt;Hold",'Candidate Tracker'!$C:$C,"&lt;&gt;Cancelled",'Candidate Tracker'!$C:$C,"&lt;&gt;Closed")/COUNTIFS('Candidate Tracker'!$E:$E,'Positions Tracker'!$B970)),"")</f>
        <v/>
      </c>
      <c r="BD970" s="67" t="str">
        <f t="shared" si="90"/>
        <v/>
      </c>
      <c r="BE970" s="67" t="str">
        <f t="shared" si="91"/>
        <v/>
      </c>
      <c r="BF970" s="67" t="str">
        <f t="shared" si="92"/>
        <v/>
      </c>
      <c r="BG970" s="67" t="str">
        <f t="shared" si="93"/>
        <v/>
      </c>
    </row>
    <row r="971" spans="1:59">
      <c r="A971" s="55"/>
      <c r="B971" s="56"/>
      <c r="C971" s="56"/>
      <c r="D971" s="56"/>
      <c r="E971" s="56"/>
      <c r="F971" s="56"/>
      <c r="G971" s="56"/>
      <c r="H971" s="56"/>
      <c r="I971" s="6"/>
      <c r="J971" s="6"/>
      <c r="K971" s="57"/>
      <c r="L971" s="57"/>
      <c r="M971" s="57"/>
      <c r="N971" s="56"/>
      <c r="O971" s="56"/>
      <c r="P971" s="56"/>
      <c r="Q971" s="56"/>
      <c r="R971" s="56"/>
      <c r="S971" s="56"/>
      <c r="T971" s="56"/>
      <c r="U971" s="56"/>
      <c r="V971" s="56"/>
      <c r="W971" s="56"/>
      <c r="X971" s="56"/>
      <c r="Y971" s="56"/>
      <c r="Z971" s="56"/>
      <c r="AA971" s="56"/>
      <c r="AB971" s="56"/>
      <c r="AC971" s="56"/>
      <c r="AD971" s="56"/>
      <c r="AE971" s="56"/>
      <c r="AF971" s="56"/>
      <c r="AG971" s="56"/>
      <c r="AH971" s="56"/>
      <c r="AI971" s="58"/>
      <c r="AJ971" s="56"/>
      <c r="AK971" s="56"/>
      <c r="AL971" s="56"/>
      <c r="AM971" s="57"/>
      <c r="AN971" s="57"/>
      <c r="AO971" s="56"/>
      <c r="AP971" s="56"/>
      <c r="AQ971" s="57"/>
      <c r="AR971" s="57"/>
      <c r="AS971" s="57"/>
      <c r="AT971" s="67">
        <f t="shared" ca="1" si="94"/>
        <v>0</v>
      </c>
      <c r="AU971" s="79" t="str">
        <f t="shared" ca="1" si="95"/>
        <v/>
      </c>
      <c r="AV971" s="79" t="str" cm="1">
        <f t="array" aca="1" ref="AV971" ca="1">IFERROR(_xlfn.IFS($AU971="","",$AU971&lt;=15,"0-15",AND($AU971&gt;=16,$AU971&lt;=30),"16-30",AND($AU971&gt;=31,$AU971&lt;=45),"31-45",AND($AU971&gt;=46,$AU971&lt;=60),"46-60",AND($AU971&gt;=61,$AU971&lt;=90),"61-90",AND($AU971&gt;=91),"&gt; 90",AND($AU971&gt;=2000),""),"")</f>
        <v/>
      </c>
      <c r="AW971" s="79" t="str" cm="1">
        <f t="array" aca="1" ref="AW971" ca="1">IFERROR(_xlfn.IFS(OR($M971="",$AM971=""),"",OR($C971="Offered",$C971="Joined"),($AM971-$M971)-$AT971),"")</f>
        <v/>
      </c>
      <c r="AX971" s="79" t="str" cm="1">
        <f t="array" aca="1" ref="AX971" ca="1">IFERROR(_xlfn.IFS(OR($M971="",$AS971=""),"",$C971="Joined",($AS971-$M971)-$AT971),"")</f>
        <v/>
      </c>
      <c r="AY971" s="67" t="str">
        <f>IFERROR(IF(COUNTIFS('Candidate Tracker'!$E:$E,'Positions Tracker'!$B971,'Candidate Tracker'!$C:$C,"Offer Drop")=0,"",COUNTIFS('Candidate Tracker'!$E:$E,'Positions Tracker'!$B971,'Candidate Tracker'!$C:$C,"Offer Drop")),"")</f>
        <v/>
      </c>
      <c r="AZ971" s="80">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0.88111888111888115</v>
      </c>
      <c r="BA971" s="81" t="str">
        <f>IFERROR(IF(COUNTIFS('Candidate Tracker'!$E:$E,'Positions Tracker'!$B971,'Candidate Tracker'!$I:$I,"Female")=0,"",COUNTIFS('Candidate Tracker'!$E:$E,'Positions Tracker'!$B971,'Candidate Tracker'!$I:$I,"Female")),"")</f>
        <v/>
      </c>
      <c r="BB971" s="81" t="str">
        <f>IFERROR(IF(COUNTIFS('Candidate Tracker'!$E:$E,'Positions Tracker'!$B971,'Candidate Tracker'!$I:$I,"male")=0,"",COUNTIFS('Candidate Tracker'!$E:$E,'Positions Tracker'!$B971,'Candidate Tracker'!$I:$I,"male")),"")</f>
        <v/>
      </c>
      <c r="BC971" s="80" t="str">
        <f>IFERROR(IF(COUNTIFS('Candidate Tracker'!$E:$E,'Positions Tracker'!$B971,'Candidate Tracker'!$C:$C,"&lt;&gt;WIP",'Candidate Tracker'!$C:$C,"&lt;&gt;Hold",'Candidate Tracker'!$C:$C,"&lt;&gt;Cancelled",'Candidate Tracker'!$C:$C,"&lt;&gt;Closed")/COUNTIFS('Candidate Tracker'!$E:$E,'Positions Tracker'!$B971)=0,"",COUNTIFS('Candidate Tracker'!$E:$E,'Positions Tracker'!$B971,'Candidate Tracker'!$C:$C,"&lt;&gt;WIP",'Candidate Tracker'!$C:$C,"&lt;&gt;Hold",'Candidate Tracker'!$C:$C,"&lt;&gt;Cancelled",'Candidate Tracker'!$C:$C,"&lt;&gt;Closed")/COUNTIFS('Candidate Tracker'!$E:$E,'Positions Tracker'!$B971)),"")</f>
        <v/>
      </c>
      <c r="BD971" s="67" t="str">
        <f t="shared" si="90"/>
        <v/>
      </c>
      <c r="BE971" s="67" t="str">
        <f t="shared" si="91"/>
        <v/>
      </c>
      <c r="BF971" s="67" t="str">
        <f t="shared" si="92"/>
        <v/>
      </c>
      <c r="BG971" s="67" t="str">
        <f t="shared" si="93"/>
        <v/>
      </c>
    </row>
    <row r="972" spans="1:59">
      <c r="A972" s="55"/>
      <c r="B972" s="56"/>
      <c r="C972" s="56"/>
      <c r="D972" s="56"/>
      <c r="E972" s="56"/>
      <c r="F972" s="56"/>
      <c r="G972" s="56"/>
      <c r="H972" s="56"/>
      <c r="I972" s="6"/>
      <c r="J972" s="6"/>
      <c r="K972" s="57"/>
      <c r="L972" s="57"/>
      <c r="M972" s="57"/>
      <c r="N972" s="56"/>
      <c r="O972" s="56"/>
      <c r="P972" s="56"/>
      <c r="Q972" s="56"/>
      <c r="R972" s="56"/>
      <c r="S972" s="56"/>
      <c r="T972" s="56"/>
      <c r="U972" s="56"/>
      <c r="V972" s="56"/>
      <c r="W972" s="56"/>
      <c r="X972" s="56"/>
      <c r="Y972" s="56"/>
      <c r="Z972" s="56"/>
      <c r="AA972" s="56"/>
      <c r="AB972" s="56"/>
      <c r="AC972" s="56"/>
      <c r="AD972" s="56"/>
      <c r="AE972" s="56"/>
      <c r="AF972" s="56"/>
      <c r="AG972" s="56"/>
      <c r="AH972" s="56"/>
      <c r="AI972" s="58"/>
      <c r="AJ972" s="56"/>
      <c r="AK972" s="56"/>
      <c r="AL972" s="56"/>
      <c r="AM972" s="57"/>
      <c r="AN972" s="57"/>
      <c r="AO972" s="56"/>
      <c r="AP972" s="56"/>
      <c r="AQ972" s="57"/>
      <c r="AR972" s="57"/>
      <c r="AS972" s="57"/>
      <c r="AT972" s="67">
        <f t="shared" ca="1" si="94"/>
        <v>0</v>
      </c>
      <c r="AU972" s="79" t="str">
        <f t="shared" ca="1" si="95"/>
        <v/>
      </c>
      <c r="AV972" s="79" t="str" cm="1">
        <f t="array" aca="1" ref="AV972" ca="1">IFERROR(_xlfn.IFS($AU972="","",$AU972&lt;=15,"0-15",AND($AU972&gt;=16,$AU972&lt;=30),"16-30",AND($AU972&gt;=31,$AU972&lt;=45),"31-45",AND($AU972&gt;=46,$AU972&lt;=60),"46-60",AND($AU972&gt;=61,$AU972&lt;=90),"61-90",AND($AU972&gt;=91),"&gt; 90",AND($AU972&gt;=2000),""),"")</f>
        <v/>
      </c>
      <c r="AW972" s="79" t="str" cm="1">
        <f t="array" aca="1" ref="AW972" ca="1">IFERROR(_xlfn.IFS(OR($M972="",$AM972=""),"",OR($C972="Offered",$C972="Joined"),($AM972-$M972)-$AT972),"")</f>
        <v/>
      </c>
      <c r="AX972" s="79" t="str" cm="1">
        <f t="array" aca="1" ref="AX972" ca="1">IFERROR(_xlfn.IFS(OR($M972="",$AS972=""),"",$C972="Joined",($AS972-$M972)-$AT972),"")</f>
        <v/>
      </c>
      <c r="AY972" s="67" t="str">
        <f>IFERROR(IF(COUNTIFS('Candidate Tracker'!$E:$E,'Positions Tracker'!$B972,'Candidate Tracker'!$C:$C,"Offer Drop")=0,"",COUNTIFS('Candidate Tracker'!$E:$E,'Positions Tracker'!$B972,'Candidate Tracker'!$C:$C,"Offer Drop")),"")</f>
        <v/>
      </c>
      <c r="AZ972" s="80">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0.88111888111888115</v>
      </c>
      <c r="BA972" s="81" t="str">
        <f>IFERROR(IF(COUNTIFS('Candidate Tracker'!$E:$E,'Positions Tracker'!$B972,'Candidate Tracker'!$I:$I,"Female")=0,"",COUNTIFS('Candidate Tracker'!$E:$E,'Positions Tracker'!$B972,'Candidate Tracker'!$I:$I,"Female")),"")</f>
        <v/>
      </c>
      <c r="BB972" s="81" t="str">
        <f>IFERROR(IF(COUNTIFS('Candidate Tracker'!$E:$E,'Positions Tracker'!$B972,'Candidate Tracker'!$I:$I,"male")=0,"",COUNTIFS('Candidate Tracker'!$E:$E,'Positions Tracker'!$B972,'Candidate Tracker'!$I:$I,"male")),"")</f>
        <v/>
      </c>
      <c r="BC972" s="80" t="str">
        <f>IFERROR(IF(COUNTIFS('Candidate Tracker'!$E:$E,'Positions Tracker'!$B972,'Candidate Tracker'!$C:$C,"&lt;&gt;WIP",'Candidate Tracker'!$C:$C,"&lt;&gt;Hold",'Candidate Tracker'!$C:$C,"&lt;&gt;Cancelled",'Candidate Tracker'!$C:$C,"&lt;&gt;Closed")/COUNTIFS('Candidate Tracker'!$E:$E,'Positions Tracker'!$B972)=0,"",COUNTIFS('Candidate Tracker'!$E:$E,'Positions Tracker'!$B972,'Candidate Tracker'!$C:$C,"&lt;&gt;WIP",'Candidate Tracker'!$C:$C,"&lt;&gt;Hold",'Candidate Tracker'!$C:$C,"&lt;&gt;Cancelled",'Candidate Tracker'!$C:$C,"&lt;&gt;Closed")/COUNTIFS('Candidate Tracker'!$E:$E,'Positions Tracker'!$B972)),"")</f>
        <v/>
      </c>
      <c r="BD972" s="67" t="str">
        <f t="shared" si="90"/>
        <v/>
      </c>
      <c r="BE972" s="67" t="str">
        <f t="shared" si="91"/>
        <v/>
      </c>
      <c r="BF972" s="67" t="str">
        <f t="shared" si="92"/>
        <v/>
      </c>
      <c r="BG972" s="67" t="str">
        <f t="shared" si="93"/>
        <v/>
      </c>
    </row>
    <row r="973" spans="1:59">
      <c r="A973" s="55"/>
      <c r="B973" s="56"/>
      <c r="C973" s="56"/>
      <c r="D973" s="56"/>
      <c r="E973" s="56"/>
      <c r="F973" s="56"/>
      <c r="G973" s="56"/>
      <c r="H973" s="56"/>
      <c r="I973" s="6"/>
      <c r="J973" s="6"/>
      <c r="K973" s="57"/>
      <c r="L973" s="57"/>
      <c r="M973" s="57"/>
      <c r="N973" s="56"/>
      <c r="O973" s="56"/>
      <c r="P973" s="56"/>
      <c r="Q973" s="56"/>
      <c r="R973" s="56"/>
      <c r="S973" s="56"/>
      <c r="T973" s="56"/>
      <c r="U973" s="56"/>
      <c r="V973" s="56"/>
      <c r="W973" s="56"/>
      <c r="X973" s="56"/>
      <c r="Y973" s="56"/>
      <c r="Z973" s="56"/>
      <c r="AA973" s="56"/>
      <c r="AB973" s="56"/>
      <c r="AC973" s="56"/>
      <c r="AD973" s="56"/>
      <c r="AE973" s="56"/>
      <c r="AF973" s="56"/>
      <c r="AG973" s="56"/>
      <c r="AH973" s="56"/>
      <c r="AI973" s="58"/>
      <c r="AJ973" s="56"/>
      <c r="AK973" s="56"/>
      <c r="AL973" s="56"/>
      <c r="AM973" s="57"/>
      <c r="AN973" s="57"/>
      <c r="AO973" s="56"/>
      <c r="AP973" s="56"/>
      <c r="AQ973" s="57"/>
      <c r="AR973" s="57"/>
      <c r="AS973" s="57"/>
      <c r="AT973" s="67">
        <f t="shared" ca="1" si="94"/>
        <v>0</v>
      </c>
      <c r="AU973" s="79" t="str">
        <f t="shared" ca="1" si="95"/>
        <v/>
      </c>
      <c r="AV973" s="79" t="str" cm="1">
        <f t="array" aca="1" ref="AV973" ca="1">IFERROR(_xlfn.IFS($AU973="","",$AU973&lt;=15,"0-15",AND($AU973&gt;=16,$AU973&lt;=30),"16-30",AND($AU973&gt;=31,$AU973&lt;=45),"31-45",AND($AU973&gt;=46,$AU973&lt;=60),"46-60",AND($AU973&gt;=61,$AU973&lt;=90),"61-90",AND($AU973&gt;=91),"&gt; 90",AND($AU973&gt;=2000),""),"")</f>
        <v/>
      </c>
      <c r="AW973" s="79" t="str" cm="1">
        <f t="array" aca="1" ref="AW973" ca="1">IFERROR(_xlfn.IFS(OR($M973="",$AM973=""),"",OR($C973="Offered",$C973="Joined"),($AM973-$M973)-$AT973),"")</f>
        <v/>
      </c>
      <c r="AX973" s="79" t="str" cm="1">
        <f t="array" aca="1" ref="AX973" ca="1">IFERROR(_xlfn.IFS(OR($M973="",$AS973=""),"",$C973="Joined",($AS973-$M973)-$AT973),"")</f>
        <v/>
      </c>
      <c r="AY973" s="67" t="str">
        <f>IFERROR(IF(COUNTIFS('Candidate Tracker'!$E:$E,'Positions Tracker'!$B973,'Candidate Tracker'!$C:$C,"Offer Drop")=0,"",COUNTIFS('Candidate Tracker'!$E:$E,'Positions Tracker'!$B973,'Candidate Tracker'!$C:$C,"Offer Drop")),"")</f>
        <v/>
      </c>
      <c r="AZ973" s="80">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0.88111888111888115</v>
      </c>
      <c r="BA973" s="81" t="str">
        <f>IFERROR(IF(COUNTIFS('Candidate Tracker'!$E:$E,'Positions Tracker'!$B973,'Candidate Tracker'!$I:$I,"Female")=0,"",COUNTIFS('Candidate Tracker'!$E:$E,'Positions Tracker'!$B973,'Candidate Tracker'!$I:$I,"Female")),"")</f>
        <v/>
      </c>
      <c r="BB973" s="81" t="str">
        <f>IFERROR(IF(COUNTIFS('Candidate Tracker'!$E:$E,'Positions Tracker'!$B973,'Candidate Tracker'!$I:$I,"male")=0,"",COUNTIFS('Candidate Tracker'!$E:$E,'Positions Tracker'!$B973,'Candidate Tracker'!$I:$I,"male")),"")</f>
        <v/>
      </c>
      <c r="BC973" s="80" t="str">
        <f>IFERROR(IF(COUNTIFS('Candidate Tracker'!$E:$E,'Positions Tracker'!$B973,'Candidate Tracker'!$C:$C,"&lt;&gt;WIP",'Candidate Tracker'!$C:$C,"&lt;&gt;Hold",'Candidate Tracker'!$C:$C,"&lt;&gt;Cancelled",'Candidate Tracker'!$C:$C,"&lt;&gt;Closed")/COUNTIFS('Candidate Tracker'!$E:$E,'Positions Tracker'!$B973)=0,"",COUNTIFS('Candidate Tracker'!$E:$E,'Positions Tracker'!$B973,'Candidate Tracker'!$C:$C,"&lt;&gt;WIP",'Candidate Tracker'!$C:$C,"&lt;&gt;Hold",'Candidate Tracker'!$C:$C,"&lt;&gt;Cancelled",'Candidate Tracker'!$C:$C,"&lt;&gt;Closed")/COUNTIFS('Candidate Tracker'!$E:$E,'Positions Tracker'!$B973)),"")</f>
        <v/>
      </c>
      <c r="BD973" s="67" t="str">
        <f t="shared" si="90"/>
        <v/>
      </c>
      <c r="BE973" s="67" t="str">
        <f t="shared" si="91"/>
        <v/>
      </c>
      <c r="BF973" s="67" t="str">
        <f t="shared" si="92"/>
        <v/>
      </c>
      <c r="BG973" s="67" t="str">
        <f t="shared" si="93"/>
        <v/>
      </c>
    </row>
    <row r="974" spans="1:59">
      <c r="A974" s="55"/>
      <c r="B974" s="56"/>
      <c r="C974" s="56"/>
      <c r="D974" s="56"/>
      <c r="E974" s="56"/>
      <c r="F974" s="56"/>
      <c r="G974" s="56"/>
      <c r="H974" s="56"/>
      <c r="I974" s="6"/>
      <c r="J974" s="6"/>
      <c r="K974" s="57"/>
      <c r="L974" s="57"/>
      <c r="M974" s="57"/>
      <c r="N974" s="56"/>
      <c r="O974" s="56"/>
      <c r="P974" s="56"/>
      <c r="Q974" s="56"/>
      <c r="R974" s="56"/>
      <c r="S974" s="56"/>
      <c r="T974" s="56"/>
      <c r="U974" s="56"/>
      <c r="V974" s="56"/>
      <c r="W974" s="56"/>
      <c r="X974" s="56"/>
      <c r="Y974" s="56"/>
      <c r="Z974" s="56"/>
      <c r="AA974" s="56"/>
      <c r="AB974" s="56"/>
      <c r="AC974" s="56"/>
      <c r="AD974" s="56"/>
      <c r="AE974" s="56"/>
      <c r="AF974" s="56"/>
      <c r="AG974" s="56"/>
      <c r="AH974" s="56"/>
      <c r="AI974" s="58"/>
      <c r="AJ974" s="56"/>
      <c r="AK974" s="56"/>
      <c r="AL974" s="56"/>
      <c r="AM974" s="57"/>
      <c r="AN974" s="57"/>
      <c r="AO974" s="56"/>
      <c r="AP974" s="56"/>
      <c r="AQ974" s="57"/>
      <c r="AR974" s="57"/>
      <c r="AS974" s="57"/>
      <c r="AT974" s="67">
        <f t="shared" ca="1" si="94"/>
        <v>0</v>
      </c>
      <c r="AU974" s="79" t="str">
        <f t="shared" ca="1" si="95"/>
        <v/>
      </c>
      <c r="AV974" s="79" t="str" cm="1">
        <f t="array" aca="1" ref="AV974" ca="1">IFERROR(_xlfn.IFS($AU974="","",$AU974&lt;=15,"0-15",AND($AU974&gt;=16,$AU974&lt;=30),"16-30",AND($AU974&gt;=31,$AU974&lt;=45),"31-45",AND($AU974&gt;=46,$AU974&lt;=60),"46-60",AND($AU974&gt;=61,$AU974&lt;=90),"61-90",AND($AU974&gt;=91),"&gt; 90",AND($AU974&gt;=2000),""),"")</f>
        <v/>
      </c>
      <c r="AW974" s="79" t="str" cm="1">
        <f t="array" aca="1" ref="AW974" ca="1">IFERROR(_xlfn.IFS(OR($M974="",$AM974=""),"",OR($C974="Offered",$C974="Joined"),($AM974-$M974)-$AT974),"")</f>
        <v/>
      </c>
      <c r="AX974" s="79" t="str" cm="1">
        <f t="array" aca="1" ref="AX974" ca="1">IFERROR(_xlfn.IFS(OR($M974="",$AS974=""),"",$C974="Joined",($AS974-$M974)-$AT974),"")</f>
        <v/>
      </c>
      <c r="AY974" s="67" t="str">
        <f>IFERROR(IF(COUNTIFS('Candidate Tracker'!$E:$E,'Positions Tracker'!$B974,'Candidate Tracker'!$C:$C,"Offer Drop")=0,"",COUNTIFS('Candidate Tracker'!$E:$E,'Positions Tracker'!$B974,'Candidate Tracker'!$C:$C,"Offer Drop")),"")</f>
        <v/>
      </c>
      <c r="AZ974" s="80">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0.88111888111888115</v>
      </c>
      <c r="BA974" s="81" t="str">
        <f>IFERROR(IF(COUNTIFS('Candidate Tracker'!$E:$E,'Positions Tracker'!$B974,'Candidate Tracker'!$I:$I,"Female")=0,"",COUNTIFS('Candidate Tracker'!$E:$E,'Positions Tracker'!$B974,'Candidate Tracker'!$I:$I,"Female")),"")</f>
        <v/>
      </c>
      <c r="BB974" s="81" t="str">
        <f>IFERROR(IF(COUNTIFS('Candidate Tracker'!$E:$E,'Positions Tracker'!$B974,'Candidate Tracker'!$I:$I,"male")=0,"",COUNTIFS('Candidate Tracker'!$E:$E,'Positions Tracker'!$B974,'Candidate Tracker'!$I:$I,"male")),"")</f>
        <v/>
      </c>
      <c r="BC974" s="80" t="str">
        <f>IFERROR(IF(COUNTIFS('Candidate Tracker'!$E:$E,'Positions Tracker'!$B974,'Candidate Tracker'!$C:$C,"&lt;&gt;WIP",'Candidate Tracker'!$C:$C,"&lt;&gt;Hold",'Candidate Tracker'!$C:$C,"&lt;&gt;Cancelled",'Candidate Tracker'!$C:$C,"&lt;&gt;Closed")/COUNTIFS('Candidate Tracker'!$E:$E,'Positions Tracker'!$B974)=0,"",COUNTIFS('Candidate Tracker'!$E:$E,'Positions Tracker'!$B974,'Candidate Tracker'!$C:$C,"&lt;&gt;WIP",'Candidate Tracker'!$C:$C,"&lt;&gt;Hold",'Candidate Tracker'!$C:$C,"&lt;&gt;Cancelled",'Candidate Tracker'!$C:$C,"&lt;&gt;Closed")/COUNTIFS('Candidate Tracker'!$E:$E,'Positions Tracker'!$B974)),"")</f>
        <v/>
      </c>
      <c r="BD974" s="67" t="str">
        <f t="shared" si="90"/>
        <v/>
      </c>
      <c r="BE974" s="67" t="str">
        <f t="shared" si="91"/>
        <v/>
      </c>
      <c r="BF974" s="67" t="str">
        <f t="shared" si="92"/>
        <v/>
      </c>
      <c r="BG974" s="67" t="str">
        <f t="shared" si="93"/>
        <v/>
      </c>
    </row>
    <row r="975" spans="1:59">
      <c r="A975" s="55"/>
      <c r="B975" s="56"/>
      <c r="C975" s="56"/>
      <c r="D975" s="56"/>
      <c r="E975" s="56"/>
      <c r="F975" s="56"/>
      <c r="G975" s="56"/>
      <c r="H975" s="56"/>
      <c r="I975" s="6"/>
      <c r="J975" s="6"/>
      <c r="K975" s="57"/>
      <c r="L975" s="57"/>
      <c r="M975" s="57"/>
      <c r="N975" s="56"/>
      <c r="O975" s="56"/>
      <c r="P975" s="56"/>
      <c r="Q975" s="56"/>
      <c r="R975" s="56"/>
      <c r="S975" s="56"/>
      <c r="T975" s="56"/>
      <c r="U975" s="56"/>
      <c r="V975" s="56"/>
      <c r="W975" s="56"/>
      <c r="X975" s="56"/>
      <c r="Y975" s="56"/>
      <c r="Z975" s="56"/>
      <c r="AA975" s="56"/>
      <c r="AB975" s="56"/>
      <c r="AC975" s="56"/>
      <c r="AD975" s="56"/>
      <c r="AE975" s="56"/>
      <c r="AF975" s="56"/>
      <c r="AG975" s="56"/>
      <c r="AH975" s="56"/>
      <c r="AI975" s="58"/>
      <c r="AJ975" s="56"/>
      <c r="AK975" s="56"/>
      <c r="AL975" s="56"/>
      <c r="AM975" s="57"/>
      <c r="AN975" s="57"/>
      <c r="AO975" s="56"/>
      <c r="AP975" s="56"/>
      <c r="AQ975" s="57"/>
      <c r="AR975" s="57"/>
      <c r="AS975" s="57"/>
      <c r="AT975" s="67">
        <f t="shared" ca="1" si="94"/>
        <v>0</v>
      </c>
      <c r="AU975" s="79" t="str">
        <f t="shared" ca="1" si="95"/>
        <v/>
      </c>
      <c r="AV975" s="79" t="str" cm="1">
        <f t="array" aca="1" ref="AV975" ca="1">IFERROR(_xlfn.IFS($AU975="","",$AU975&lt;=15,"0-15",AND($AU975&gt;=16,$AU975&lt;=30),"16-30",AND($AU975&gt;=31,$AU975&lt;=45),"31-45",AND($AU975&gt;=46,$AU975&lt;=60),"46-60",AND($AU975&gt;=61,$AU975&lt;=90),"61-90",AND($AU975&gt;=91),"&gt; 90",AND($AU975&gt;=2000),""),"")</f>
        <v/>
      </c>
      <c r="AW975" s="79" t="str" cm="1">
        <f t="array" aca="1" ref="AW975" ca="1">IFERROR(_xlfn.IFS(OR($M975="",$AM975=""),"",OR($C975="Offered",$C975="Joined"),($AM975-$M975)-$AT975),"")</f>
        <v/>
      </c>
      <c r="AX975" s="79" t="str" cm="1">
        <f t="array" aca="1" ref="AX975" ca="1">IFERROR(_xlfn.IFS(OR($M975="",$AS975=""),"",$C975="Joined",($AS975-$M975)-$AT975),"")</f>
        <v/>
      </c>
      <c r="AY975" s="67" t="str">
        <f>IFERROR(IF(COUNTIFS('Candidate Tracker'!$E:$E,'Positions Tracker'!$B975,'Candidate Tracker'!$C:$C,"Offer Drop")=0,"",COUNTIFS('Candidate Tracker'!$E:$E,'Positions Tracker'!$B975,'Candidate Tracker'!$C:$C,"Offer Drop")),"")</f>
        <v/>
      </c>
      <c r="AZ975" s="80">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0.88111888111888115</v>
      </c>
      <c r="BA975" s="81" t="str">
        <f>IFERROR(IF(COUNTIFS('Candidate Tracker'!$E:$E,'Positions Tracker'!$B975,'Candidate Tracker'!$I:$I,"Female")=0,"",COUNTIFS('Candidate Tracker'!$E:$E,'Positions Tracker'!$B975,'Candidate Tracker'!$I:$I,"Female")),"")</f>
        <v/>
      </c>
      <c r="BB975" s="81" t="str">
        <f>IFERROR(IF(COUNTIFS('Candidate Tracker'!$E:$E,'Positions Tracker'!$B975,'Candidate Tracker'!$I:$I,"male")=0,"",COUNTIFS('Candidate Tracker'!$E:$E,'Positions Tracker'!$B975,'Candidate Tracker'!$I:$I,"male")),"")</f>
        <v/>
      </c>
      <c r="BC975" s="80" t="str">
        <f>IFERROR(IF(COUNTIFS('Candidate Tracker'!$E:$E,'Positions Tracker'!$B975,'Candidate Tracker'!$C:$C,"&lt;&gt;WIP",'Candidate Tracker'!$C:$C,"&lt;&gt;Hold",'Candidate Tracker'!$C:$C,"&lt;&gt;Cancelled",'Candidate Tracker'!$C:$C,"&lt;&gt;Closed")/COUNTIFS('Candidate Tracker'!$E:$E,'Positions Tracker'!$B975)=0,"",COUNTIFS('Candidate Tracker'!$E:$E,'Positions Tracker'!$B975,'Candidate Tracker'!$C:$C,"&lt;&gt;WIP",'Candidate Tracker'!$C:$C,"&lt;&gt;Hold",'Candidate Tracker'!$C:$C,"&lt;&gt;Cancelled",'Candidate Tracker'!$C:$C,"&lt;&gt;Closed")/COUNTIFS('Candidate Tracker'!$E:$E,'Positions Tracker'!$B975)),"")</f>
        <v/>
      </c>
      <c r="BD975" s="67" t="str">
        <f t="shared" si="90"/>
        <v/>
      </c>
      <c r="BE975" s="67" t="str">
        <f t="shared" si="91"/>
        <v/>
      </c>
      <c r="BF975" s="67" t="str">
        <f t="shared" si="92"/>
        <v/>
      </c>
      <c r="BG975" s="67" t="str">
        <f t="shared" si="93"/>
        <v/>
      </c>
    </row>
    <row r="976" spans="1:59">
      <c r="A976" s="55"/>
      <c r="B976" s="56"/>
      <c r="C976" s="56"/>
      <c r="D976" s="56"/>
      <c r="E976" s="56"/>
      <c r="F976" s="56"/>
      <c r="G976" s="56"/>
      <c r="H976" s="56"/>
      <c r="I976" s="6"/>
      <c r="J976" s="6"/>
      <c r="K976" s="57"/>
      <c r="L976" s="57"/>
      <c r="M976" s="57"/>
      <c r="N976" s="56"/>
      <c r="O976" s="56"/>
      <c r="P976" s="56"/>
      <c r="Q976" s="56"/>
      <c r="R976" s="56"/>
      <c r="S976" s="56"/>
      <c r="T976" s="56"/>
      <c r="U976" s="56"/>
      <c r="V976" s="56"/>
      <c r="W976" s="56"/>
      <c r="X976" s="56"/>
      <c r="Y976" s="56"/>
      <c r="Z976" s="56"/>
      <c r="AA976" s="56"/>
      <c r="AB976" s="56"/>
      <c r="AC976" s="56"/>
      <c r="AD976" s="56"/>
      <c r="AE976" s="56"/>
      <c r="AF976" s="56"/>
      <c r="AG976" s="56"/>
      <c r="AH976" s="56"/>
      <c r="AI976" s="58"/>
      <c r="AJ976" s="56"/>
      <c r="AK976" s="56"/>
      <c r="AL976" s="56"/>
      <c r="AM976" s="57"/>
      <c r="AN976" s="57"/>
      <c r="AO976" s="56"/>
      <c r="AP976" s="56"/>
      <c r="AQ976" s="57"/>
      <c r="AR976" s="57"/>
      <c r="AS976" s="57"/>
      <c r="AT976" s="67">
        <f t="shared" ca="1" si="94"/>
        <v>0</v>
      </c>
      <c r="AU976" s="79" t="str">
        <f t="shared" ca="1" si="95"/>
        <v/>
      </c>
      <c r="AV976" s="79" t="str" cm="1">
        <f t="array" aca="1" ref="AV976" ca="1">IFERROR(_xlfn.IFS($AU976="","",$AU976&lt;=15,"0-15",AND($AU976&gt;=16,$AU976&lt;=30),"16-30",AND($AU976&gt;=31,$AU976&lt;=45),"31-45",AND($AU976&gt;=46,$AU976&lt;=60),"46-60",AND($AU976&gt;=61,$AU976&lt;=90),"61-90",AND($AU976&gt;=91),"&gt; 90",AND($AU976&gt;=2000),""),"")</f>
        <v/>
      </c>
      <c r="AW976" s="79" t="str" cm="1">
        <f t="array" aca="1" ref="AW976" ca="1">IFERROR(_xlfn.IFS(OR($M976="",$AM976=""),"",OR($C976="Offered",$C976="Joined"),($AM976-$M976)-$AT976),"")</f>
        <v/>
      </c>
      <c r="AX976" s="79" t="str" cm="1">
        <f t="array" aca="1" ref="AX976" ca="1">IFERROR(_xlfn.IFS(OR($M976="",$AS976=""),"",$C976="Joined",($AS976-$M976)-$AT976),"")</f>
        <v/>
      </c>
      <c r="AY976" s="67" t="str">
        <f>IFERROR(IF(COUNTIFS('Candidate Tracker'!$E:$E,'Positions Tracker'!$B976,'Candidate Tracker'!$C:$C,"Offer Drop")=0,"",COUNTIFS('Candidate Tracker'!$E:$E,'Positions Tracker'!$B976,'Candidate Tracker'!$C:$C,"Offer Drop")),"")</f>
        <v/>
      </c>
      <c r="AZ976" s="80">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0.88111888111888115</v>
      </c>
      <c r="BA976" s="81" t="str">
        <f>IFERROR(IF(COUNTIFS('Candidate Tracker'!$E:$E,'Positions Tracker'!$B976,'Candidate Tracker'!$I:$I,"Female")=0,"",COUNTIFS('Candidate Tracker'!$E:$E,'Positions Tracker'!$B976,'Candidate Tracker'!$I:$I,"Female")),"")</f>
        <v/>
      </c>
      <c r="BB976" s="81" t="str">
        <f>IFERROR(IF(COUNTIFS('Candidate Tracker'!$E:$E,'Positions Tracker'!$B976,'Candidate Tracker'!$I:$I,"male")=0,"",COUNTIFS('Candidate Tracker'!$E:$E,'Positions Tracker'!$B976,'Candidate Tracker'!$I:$I,"male")),"")</f>
        <v/>
      </c>
      <c r="BC976" s="80" t="str">
        <f>IFERROR(IF(COUNTIFS('Candidate Tracker'!$E:$E,'Positions Tracker'!$B976,'Candidate Tracker'!$C:$C,"&lt;&gt;WIP",'Candidate Tracker'!$C:$C,"&lt;&gt;Hold",'Candidate Tracker'!$C:$C,"&lt;&gt;Cancelled",'Candidate Tracker'!$C:$C,"&lt;&gt;Closed")/COUNTIFS('Candidate Tracker'!$E:$E,'Positions Tracker'!$B976)=0,"",COUNTIFS('Candidate Tracker'!$E:$E,'Positions Tracker'!$B976,'Candidate Tracker'!$C:$C,"&lt;&gt;WIP",'Candidate Tracker'!$C:$C,"&lt;&gt;Hold",'Candidate Tracker'!$C:$C,"&lt;&gt;Cancelled",'Candidate Tracker'!$C:$C,"&lt;&gt;Closed")/COUNTIFS('Candidate Tracker'!$E:$E,'Positions Tracker'!$B976)),"")</f>
        <v/>
      </c>
      <c r="BD976" s="67" t="str">
        <f t="shared" si="90"/>
        <v/>
      </c>
      <c r="BE976" s="67" t="str">
        <f t="shared" si="91"/>
        <v/>
      </c>
      <c r="BF976" s="67" t="str">
        <f t="shared" si="92"/>
        <v/>
      </c>
      <c r="BG976" s="67" t="str">
        <f t="shared" si="93"/>
        <v/>
      </c>
    </row>
    <row r="977" spans="1:59">
      <c r="A977" s="55"/>
      <c r="B977" s="56"/>
      <c r="C977" s="56"/>
      <c r="D977" s="56"/>
      <c r="E977" s="56"/>
      <c r="F977" s="56"/>
      <c r="G977" s="56"/>
      <c r="H977" s="56"/>
      <c r="I977" s="6"/>
      <c r="J977" s="6"/>
      <c r="K977" s="57"/>
      <c r="L977" s="57"/>
      <c r="M977" s="57"/>
      <c r="N977" s="56"/>
      <c r="O977" s="56"/>
      <c r="P977" s="56"/>
      <c r="Q977" s="56"/>
      <c r="R977" s="56"/>
      <c r="S977" s="56"/>
      <c r="T977" s="56"/>
      <c r="U977" s="56"/>
      <c r="V977" s="56"/>
      <c r="W977" s="56"/>
      <c r="X977" s="56"/>
      <c r="Y977" s="56"/>
      <c r="Z977" s="56"/>
      <c r="AA977" s="56"/>
      <c r="AB977" s="56"/>
      <c r="AC977" s="56"/>
      <c r="AD977" s="56"/>
      <c r="AE977" s="56"/>
      <c r="AF977" s="56"/>
      <c r="AG977" s="56"/>
      <c r="AH977" s="56"/>
      <c r="AI977" s="58"/>
      <c r="AJ977" s="56"/>
      <c r="AK977" s="56"/>
      <c r="AL977" s="56"/>
      <c r="AM977" s="57"/>
      <c r="AN977" s="57"/>
      <c r="AO977" s="56"/>
      <c r="AP977" s="56"/>
      <c r="AQ977" s="57"/>
      <c r="AR977" s="57"/>
      <c r="AS977" s="57"/>
      <c r="AT977" s="67">
        <f t="shared" ca="1" si="94"/>
        <v>0</v>
      </c>
      <c r="AU977" s="79" t="str">
        <f t="shared" ca="1" si="95"/>
        <v/>
      </c>
      <c r="AV977" s="79" t="str" cm="1">
        <f t="array" aca="1" ref="AV977" ca="1">IFERROR(_xlfn.IFS($AU977="","",$AU977&lt;=15,"0-15",AND($AU977&gt;=16,$AU977&lt;=30),"16-30",AND($AU977&gt;=31,$AU977&lt;=45),"31-45",AND($AU977&gt;=46,$AU977&lt;=60),"46-60",AND($AU977&gt;=61,$AU977&lt;=90),"61-90",AND($AU977&gt;=91),"&gt; 90",AND($AU977&gt;=2000),""),"")</f>
        <v/>
      </c>
      <c r="AW977" s="79" t="str" cm="1">
        <f t="array" aca="1" ref="AW977" ca="1">IFERROR(_xlfn.IFS(OR($M977="",$AM977=""),"",OR($C977="Offered",$C977="Joined"),($AM977-$M977)-$AT977),"")</f>
        <v/>
      </c>
      <c r="AX977" s="79" t="str" cm="1">
        <f t="array" aca="1" ref="AX977" ca="1">IFERROR(_xlfn.IFS(OR($M977="",$AS977=""),"",$C977="Joined",($AS977-$M977)-$AT977),"")</f>
        <v/>
      </c>
      <c r="AY977" s="67" t="str">
        <f>IFERROR(IF(COUNTIFS('Candidate Tracker'!$E:$E,'Positions Tracker'!$B977,'Candidate Tracker'!$C:$C,"Offer Drop")=0,"",COUNTIFS('Candidate Tracker'!$E:$E,'Positions Tracker'!$B977,'Candidate Tracker'!$C:$C,"Offer Drop")),"")</f>
        <v/>
      </c>
      <c r="AZ977" s="80">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0.88111888111888115</v>
      </c>
      <c r="BA977" s="81" t="str">
        <f>IFERROR(IF(COUNTIFS('Candidate Tracker'!$E:$E,'Positions Tracker'!$B977,'Candidate Tracker'!$I:$I,"Female")=0,"",COUNTIFS('Candidate Tracker'!$E:$E,'Positions Tracker'!$B977,'Candidate Tracker'!$I:$I,"Female")),"")</f>
        <v/>
      </c>
      <c r="BB977" s="81" t="str">
        <f>IFERROR(IF(COUNTIFS('Candidate Tracker'!$E:$E,'Positions Tracker'!$B977,'Candidate Tracker'!$I:$I,"male")=0,"",COUNTIFS('Candidate Tracker'!$E:$E,'Positions Tracker'!$B977,'Candidate Tracker'!$I:$I,"male")),"")</f>
        <v/>
      </c>
      <c r="BC977" s="80" t="str">
        <f>IFERROR(IF(COUNTIFS('Candidate Tracker'!$E:$E,'Positions Tracker'!$B977,'Candidate Tracker'!$C:$C,"&lt;&gt;WIP",'Candidate Tracker'!$C:$C,"&lt;&gt;Hold",'Candidate Tracker'!$C:$C,"&lt;&gt;Cancelled",'Candidate Tracker'!$C:$C,"&lt;&gt;Closed")/COUNTIFS('Candidate Tracker'!$E:$E,'Positions Tracker'!$B977)=0,"",COUNTIFS('Candidate Tracker'!$E:$E,'Positions Tracker'!$B977,'Candidate Tracker'!$C:$C,"&lt;&gt;WIP",'Candidate Tracker'!$C:$C,"&lt;&gt;Hold",'Candidate Tracker'!$C:$C,"&lt;&gt;Cancelled",'Candidate Tracker'!$C:$C,"&lt;&gt;Closed")/COUNTIFS('Candidate Tracker'!$E:$E,'Positions Tracker'!$B977)),"")</f>
        <v/>
      </c>
      <c r="BD977" s="67" t="str">
        <f t="shared" si="90"/>
        <v/>
      </c>
      <c r="BE977" s="67" t="str">
        <f t="shared" si="91"/>
        <v/>
      </c>
      <c r="BF977" s="67" t="str">
        <f t="shared" si="92"/>
        <v/>
      </c>
      <c r="BG977" s="67" t="str">
        <f t="shared" si="93"/>
        <v/>
      </c>
    </row>
    <row r="978" spans="1:59">
      <c r="A978" s="55"/>
      <c r="B978" s="56"/>
      <c r="C978" s="56"/>
      <c r="D978" s="56"/>
      <c r="E978" s="56"/>
      <c r="F978" s="56"/>
      <c r="G978" s="56"/>
      <c r="H978" s="56"/>
      <c r="I978" s="6"/>
      <c r="J978" s="6"/>
      <c r="K978" s="57"/>
      <c r="L978" s="57"/>
      <c r="M978" s="57"/>
      <c r="N978" s="56"/>
      <c r="O978" s="56"/>
      <c r="P978" s="56"/>
      <c r="Q978" s="56"/>
      <c r="R978" s="56"/>
      <c r="S978" s="56"/>
      <c r="T978" s="56"/>
      <c r="U978" s="56"/>
      <c r="V978" s="56"/>
      <c r="W978" s="56"/>
      <c r="X978" s="56"/>
      <c r="Y978" s="56"/>
      <c r="Z978" s="56"/>
      <c r="AA978" s="56"/>
      <c r="AB978" s="56"/>
      <c r="AC978" s="56"/>
      <c r="AD978" s="56"/>
      <c r="AE978" s="56"/>
      <c r="AF978" s="56"/>
      <c r="AG978" s="56"/>
      <c r="AH978" s="56"/>
      <c r="AI978" s="58"/>
      <c r="AJ978" s="56"/>
      <c r="AK978" s="56"/>
      <c r="AL978" s="56"/>
      <c r="AM978" s="57"/>
      <c r="AN978" s="57"/>
      <c r="AO978" s="56"/>
      <c r="AP978" s="56"/>
      <c r="AQ978" s="57"/>
      <c r="AR978" s="57"/>
      <c r="AS978" s="57"/>
      <c r="AT978" s="67">
        <f t="shared" ca="1" si="94"/>
        <v>0</v>
      </c>
      <c r="AU978" s="79" t="str">
        <f t="shared" ca="1" si="95"/>
        <v/>
      </c>
      <c r="AV978" s="79" t="str" cm="1">
        <f t="array" aca="1" ref="AV978" ca="1">IFERROR(_xlfn.IFS($AU978="","",$AU978&lt;=15,"0-15",AND($AU978&gt;=16,$AU978&lt;=30),"16-30",AND($AU978&gt;=31,$AU978&lt;=45),"31-45",AND($AU978&gt;=46,$AU978&lt;=60),"46-60",AND($AU978&gt;=61,$AU978&lt;=90),"61-90",AND($AU978&gt;=91),"&gt; 90",AND($AU978&gt;=2000),""),"")</f>
        <v/>
      </c>
      <c r="AW978" s="79" t="str" cm="1">
        <f t="array" aca="1" ref="AW978" ca="1">IFERROR(_xlfn.IFS(OR($M978="",$AM978=""),"",OR($C978="Offered",$C978="Joined"),($AM978-$M978)-$AT978),"")</f>
        <v/>
      </c>
      <c r="AX978" s="79" t="str" cm="1">
        <f t="array" aca="1" ref="AX978" ca="1">IFERROR(_xlfn.IFS(OR($M978="",$AS978=""),"",$C978="Joined",($AS978-$M978)-$AT978),"")</f>
        <v/>
      </c>
      <c r="AY978" s="67" t="str">
        <f>IFERROR(IF(COUNTIFS('Candidate Tracker'!$E:$E,'Positions Tracker'!$B978,'Candidate Tracker'!$C:$C,"Offer Drop")=0,"",COUNTIFS('Candidate Tracker'!$E:$E,'Positions Tracker'!$B978,'Candidate Tracker'!$C:$C,"Offer Drop")),"")</f>
        <v/>
      </c>
      <c r="AZ978" s="80">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0.88111888111888115</v>
      </c>
      <c r="BA978" s="81" t="str">
        <f>IFERROR(IF(COUNTIFS('Candidate Tracker'!$E:$E,'Positions Tracker'!$B978,'Candidate Tracker'!$I:$I,"Female")=0,"",COUNTIFS('Candidate Tracker'!$E:$E,'Positions Tracker'!$B978,'Candidate Tracker'!$I:$I,"Female")),"")</f>
        <v/>
      </c>
      <c r="BB978" s="81" t="str">
        <f>IFERROR(IF(COUNTIFS('Candidate Tracker'!$E:$E,'Positions Tracker'!$B978,'Candidate Tracker'!$I:$I,"male")=0,"",COUNTIFS('Candidate Tracker'!$E:$E,'Positions Tracker'!$B978,'Candidate Tracker'!$I:$I,"male")),"")</f>
        <v/>
      </c>
      <c r="BC978" s="80" t="str">
        <f>IFERROR(IF(COUNTIFS('Candidate Tracker'!$E:$E,'Positions Tracker'!$B978,'Candidate Tracker'!$C:$C,"&lt;&gt;WIP",'Candidate Tracker'!$C:$C,"&lt;&gt;Hold",'Candidate Tracker'!$C:$C,"&lt;&gt;Cancelled",'Candidate Tracker'!$C:$C,"&lt;&gt;Closed")/COUNTIFS('Candidate Tracker'!$E:$E,'Positions Tracker'!$B978)=0,"",COUNTIFS('Candidate Tracker'!$E:$E,'Positions Tracker'!$B978,'Candidate Tracker'!$C:$C,"&lt;&gt;WIP",'Candidate Tracker'!$C:$C,"&lt;&gt;Hold",'Candidate Tracker'!$C:$C,"&lt;&gt;Cancelled",'Candidate Tracker'!$C:$C,"&lt;&gt;Closed")/COUNTIFS('Candidate Tracker'!$E:$E,'Positions Tracker'!$B978)),"")</f>
        <v/>
      </c>
      <c r="BD978" s="67" t="str">
        <f t="shared" si="90"/>
        <v/>
      </c>
      <c r="BE978" s="67" t="str">
        <f t="shared" si="91"/>
        <v/>
      </c>
      <c r="BF978" s="67" t="str">
        <f t="shared" si="92"/>
        <v/>
      </c>
      <c r="BG978" s="67" t="str">
        <f t="shared" si="93"/>
        <v/>
      </c>
    </row>
    <row r="979" spans="1:59">
      <c r="A979" s="55"/>
      <c r="B979" s="56"/>
      <c r="C979" s="56"/>
      <c r="D979" s="56"/>
      <c r="E979" s="56"/>
      <c r="F979" s="56"/>
      <c r="G979" s="56"/>
      <c r="H979" s="56"/>
      <c r="I979" s="6"/>
      <c r="J979" s="6"/>
      <c r="K979" s="57"/>
      <c r="L979" s="57"/>
      <c r="M979" s="57"/>
      <c r="N979" s="56"/>
      <c r="O979" s="56"/>
      <c r="P979" s="56"/>
      <c r="Q979" s="56"/>
      <c r="R979" s="56"/>
      <c r="S979" s="56"/>
      <c r="T979" s="56"/>
      <c r="U979" s="56"/>
      <c r="V979" s="56"/>
      <c r="W979" s="56"/>
      <c r="X979" s="56"/>
      <c r="Y979" s="56"/>
      <c r="Z979" s="56"/>
      <c r="AA979" s="56"/>
      <c r="AB979" s="56"/>
      <c r="AC979" s="56"/>
      <c r="AD979" s="56"/>
      <c r="AE979" s="56"/>
      <c r="AF979" s="56"/>
      <c r="AG979" s="56"/>
      <c r="AH979" s="56"/>
      <c r="AI979" s="58"/>
      <c r="AJ979" s="56"/>
      <c r="AK979" s="56"/>
      <c r="AL979" s="56"/>
      <c r="AM979" s="57"/>
      <c r="AN979" s="57"/>
      <c r="AO979" s="56"/>
      <c r="AP979" s="56"/>
      <c r="AQ979" s="57"/>
      <c r="AR979" s="57"/>
      <c r="AS979" s="57"/>
      <c r="AT979" s="67">
        <f t="shared" ca="1" si="94"/>
        <v>0</v>
      </c>
      <c r="AU979" s="79" t="str">
        <f t="shared" ca="1" si="95"/>
        <v/>
      </c>
      <c r="AV979" s="79" t="str" cm="1">
        <f t="array" aca="1" ref="AV979" ca="1">IFERROR(_xlfn.IFS($AU979="","",$AU979&lt;=15,"0-15",AND($AU979&gt;=16,$AU979&lt;=30),"16-30",AND($AU979&gt;=31,$AU979&lt;=45),"31-45",AND($AU979&gt;=46,$AU979&lt;=60),"46-60",AND($AU979&gt;=61,$AU979&lt;=90),"61-90",AND($AU979&gt;=91),"&gt; 90",AND($AU979&gt;=2000),""),"")</f>
        <v/>
      </c>
      <c r="AW979" s="79" t="str" cm="1">
        <f t="array" aca="1" ref="AW979" ca="1">IFERROR(_xlfn.IFS(OR($M979="",$AM979=""),"",OR($C979="Offered",$C979="Joined"),($AM979-$M979)-$AT979),"")</f>
        <v/>
      </c>
      <c r="AX979" s="79" t="str" cm="1">
        <f t="array" aca="1" ref="AX979" ca="1">IFERROR(_xlfn.IFS(OR($M979="",$AS979=""),"",$C979="Joined",($AS979-$M979)-$AT979),"")</f>
        <v/>
      </c>
      <c r="AY979" s="67" t="str">
        <f>IFERROR(IF(COUNTIFS('Candidate Tracker'!$E:$E,'Positions Tracker'!$B979,'Candidate Tracker'!$C:$C,"Offer Drop")=0,"",COUNTIFS('Candidate Tracker'!$E:$E,'Positions Tracker'!$B979,'Candidate Tracker'!$C:$C,"Offer Drop")),"")</f>
        <v/>
      </c>
      <c r="AZ979" s="80">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0.88111888111888115</v>
      </c>
      <c r="BA979" s="81" t="str">
        <f>IFERROR(IF(COUNTIFS('Candidate Tracker'!$E:$E,'Positions Tracker'!$B979,'Candidate Tracker'!$I:$I,"Female")=0,"",COUNTIFS('Candidate Tracker'!$E:$E,'Positions Tracker'!$B979,'Candidate Tracker'!$I:$I,"Female")),"")</f>
        <v/>
      </c>
      <c r="BB979" s="81" t="str">
        <f>IFERROR(IF(COUNTIFS('Candidate Tracker'!$E:$E,'Positions Tracker'!$B979,'Candidate Tracker'!$I:$I,"male")=0,"",COUNTIFS('Candidate Tracker'!$E:$E,'Positions Tracker'!$B979,'Candidate Tracker'!$I:$I,"male")),"")</f>
        <v/>
      </c>
      <c r="BC979" s="80" t="str">
        <f>IFERROR(IF(COUNTIFS('Candidate Tracker'!$E:$E,'Positions Tracker'!$B979,'Candidate Tracker'!$C:$C,"&lt;&gt;WIP",'Candidate Tracker'!$C:$C,"&lt;&gt;Hold",'Candidate Tracker'!$C:$C,"&lt;&gt;Cancelled",'Candidate Tracker'!$C:$C,"&lt;&gt;Closed")/COUNTIFS('Candidate Tracker'!$E:$E,'Positions Tracker'!$B979)=0,"",COUNTIFS('Candidate Tracker'!$E:$E,'Positions Tracker'!$B979,'Candidate Tracker'!$C:$C,"&lt;&gt;WIP",'Candidate Tracker'!$C:$C,"&lt;&gt;Hold",'Candidate Tracker'!$C:$C,"&lt;&gt;Cancelled",'Candidate Tracker'!$C:$C,"&lt;&gt;Closed")/COUNTIFS('Candidate Tracker'!$E:$E,'Positions Tracker'!$B979)),"")</f>
        <v/>
      </c>
      <c r="BD979" s="67" t="str">
        <f t="shared" si="90"/>
        <v/>
      </c>
      <c r="BE979" s="67" t="str">
        <f t="shared" si="91"/>
        <v/>
      </c>
      <c r="BF979" s="67" t="str">
        <f t="shared" si="92"/>
        <v/>
      </c>
      <c r="BG979" s="67" t="str">
        <f t="shared" si="93"/>
        <v/>
      </c>
    </row>
    <row r="980" spans="1:59">
      <c r="A980" s="55"/>
      <c r="B980" s="56"/>
      <c r="C980" s="56"/>
      <c r="D980" s="56"/>
      <c r="E980" s="56"/>
      <c r="F980" s="56"/>
      <c r="G980" s="56"/>
      <c r="H980" s="56"/>
      <c r="I980" s="6"/>
      <c r="J980" s="6"/>
      <c r="K980" s="57"/>
      <c r="L980" s="57"/>
      <c r="M980" s="57"/>
      <c r="N980" s="56"/>
      <c r="O980" s="56"/>
      <c r="P980" s="56"/>
      <c r="Q980" s="56"/>
      <c r="R980" s="56"/>
      <c r="S980" s="56"/>
      <c r="T980" s="56"/>
      <c r="U980" s="56"/>
      <c r="V980" s="56"/>
      <c r="W980" s="56"/>
      <c r="X980" s="56"/>
      <c r="Y980" s="56"/>
      <c r="Z980" s="56"/>
      <c r="AA980" s="56"/>
      <c r="AB980" s="56"/>
      <c r="AC980" s="56"/>
      <c r="AD980" s="56"/>
      <c r="AE980" s="56"/>
      <c r="AF980" s="56"/>
      <c r="AG980" s="56"/>
      <c r="AH980" s="56"/>
      <c r="AI980" s="58"/>
      <c r="AJ980" s="56"/>
      <c r="AK980" s="56"/>
      <c r="AL980" s="56"/>
      <c r="AM980" s="57"/>
      <c r="AN980" s="57"/>
      <c r="AO980" s="56"/>
      <c r="AP980" s="56"/>
      <c r="AQ980" s="57"/>
      <c r="AR980" s="57"/>
      <c r="AS980" s="57"/>
      <c r="AT980" s="67">
        <f t="shared" ca="1" si="94"/>
        <v>0</v>
      </c>
      <c r="AU980" s="79" t="str">
        <f t="shared" ca="1" si="95"/>
        <v/>
      </c>
      <c r="AV980" s="79" t="str" cm="1">
        <f t="array" aca="1" ref="AV980" ca="1">IFERROR(_xlfn.IFS($AU980="","",$AU980&lt;=15,"0-15",AND($AU980&gt;=16,$AU980&lt;=30),"16-30",AND($AU980&gt;=31,$AU980&lt;=45),"31-45",AND($AU980&gt;=46,$AU980&lt;=60),"46-60",AND($AU980&gt;=61,$AU980&lt;=90),"61-90",AND($AU980&gt;=91),"&gt; 90",AND($AU980&gt;=2000),""),"")</f>
        <v/>
      </c>
      <c r="AW980" s="79" t="str" cm="1">
        <f t="array" aca="1" ref="AW980" ca="1">IFERROR(_xlfn.IFS(OR($M980="",$AM980=""),"",OR($C980="Offered",$C980="Joined"),($AM980-$M980)-$AT980),"")</f>
        <v/>
      </c>
      <c r="AX980" s="79" t="str" cm="1">
        <f t="array" aca="1" ref="AX980" ca="1">IFERROR(_xlfn.IFS(OR($M980="",$AS980=""),"",$C980="Joined",($AS980-$M980)-$AT980),"")</f>
        <v/>
      </c>
      <c r="AY980" s="67" t="str">
        <f>IFERROR(IF(COUNTIFS('Candidate Tracker'!$E:$E,'Positions Tracker'!$B980,'Candidate Tracker'!$C:$C,"Offer Drop")=0,"",COUNTIFS('Candidate Tracker'!$E:$E,'Positions Tracker'!$B980,'Candidate Tracker'!$C:$C,"Offer Drop")),"")</f>
        <v/>
      </c>
      <c r="AZ980" s="80">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0.88111888111888115</v>
      </c>
      <c r="BA980" s="81" t="str">
        <f>IFERROR(IF(COUNTIFS('Candidate Tracker'!$E:$E,'Positions Tracker'!$B980,'Candidate Tracker'!$I:$I,"Female")=0,"",COUNTIFS('Candidate Tracker'!$E:$E,'Positions Tracker'!$B980,'Candidate Tracker'!$I:$I,"Female")),"")</f>
        <v/>
      </c>
      <c r="BB980" s="81" t="str">
        <f>IFERROR(IF(COUNTIFS('Candidate Tracker'!$E:$E,'Positions Tracker'!$B980,'Candidate Tracker'!$I:$I,"male")=0,"",COUNTIFS('Candidate Tracker'!$E:$E,'Positions Tracker'!$B980,'Candidate Tracker'!$I:$I,"male")),"")</f>
        <v/>
      </c>
      <c r="BC980" s="80" t="str">
        <f>IFERROR(IF(COUNTIFS('Candidate Tracker'!$E:$E,'Positions Tracker'!$B980,'Candidate Tracker'!$C:$C,"&lt;&gt;WIP",'Candidate Tracker'!$C:$C,"&lt;&gt;Hold",'Candidate Tracker'!$C:$C,"&lt;&gt;Cancelled",'Candidate Tracker'!$C:$C,"&lt;&gt;Closed")/COUNTIFS('Candidate Tracker'!$E:$E,'Positions Tracker'!$B980)=0,"",COUNTIFS('Candidate Tracker'!$E:$E,'Positions Tracker'!$B980,'Candidate Tracker'!$C:$C,"&lt;&gt;WIP",'Candidate Tracker'!$C:$C,"&lt;&gt;Hold",'Candidate Tracker'!$C:$C,"&lt;&gt;Cancelled",'Candidate Tracker'!$C:$C,"&lt;&gt;Closed")/COUNTIFS('Candidate Tracker'!$E:$E,'Positions Tracker'!$B980)),"")</f>
        <v/>
      </c>
      <c r="BD980" s="67" t="str">
        <f t="shared" si="90"/>
        <v/>
      </c>
      <c r="BE980" s="67" t="str">
        <f t="shared" si="91"/>
        <v/>
      </c>
      <c r="BF980" s="67" t="str">
        <f t="shared" si="92"/>
        <v/>
      </c>
      <c r="BG980" s="67" t="str">
        <f t="shared" si="93"/>
        <v/>
      </c>
    </row>
    <row r="981" spans="1:59">
      <c r="A981" s="55"/>
      <c r="B981" s="56"/>
      <c r="C981" s="56"/>
      <c r="D981" s="56"/>
      <c r="E981" s="56"/>
      <c r="F981" s="56"/>
      <c r="G981" s="56"/>
      <c r="H981" s="56"/>
      <c r="I981" s="6"/>
      <c r="J981" s="6"/>
      <c r="K981" s="57"/>
      <c r="L981" s="57"/>
      <c r="M981" s="57"/>
      <c r="N981" s="56"/>
      <c r="O981" s="56"/>
      <c r="P981" s="56"/>
      <c r="Q981" s="56"/>
      <c r="R981" s="56"/>
      <c r="S981" s="56"/>
      <c r="T981" s="56"/>
      <c r="U981" s="56"/>
      <c r="V981" s="56"/>
      <c r="W981" s="56"/>
      <c r="X981" s="56"/>
      <c r="Y981" s="56"/>
      <c r="Z981" s="56"/>
      <c r="AA981" s="56"/>
      <c r="AB981" s="56"/>
      <c r="AC981" s="56"/>
      <c r="AD981" s="56"/>
      <c r="AE981" s="56"/>
      <c r="AF981" s="56"/>
      <c r="AG981" s="56"/>
      <c r="AH981" s="56"/>
      <c r="AI981" s="58"/>
      <c r="AJ981" s="56"/>
      <c r="AK981" s="56"/>
      <c r="AL981" s="56"/>
      <c r="AM981" s="57"/>
      <c r="AN981" s="57"/>
      <c r="AO981" s="56"/>
      <c r="AP981" s="56"/>
      <c r="AQ981" s="57"/>
      <c r="AR981" s="57"/>
      <c r="AS981" s="57"/>
      <c r="AT981" s="67">
        <f t="shared" ca="1" si="94"/>
        <v>0</v>
      </c>
      <c r="AU981" s="79" t="str">
        <f t="shared" ca="1" si="95"/>
        <v/>
      </c>
      <c r="AV981" s="79" t="str" cm="1">
        <f t="array" aca="1" ref="AV981" ca="1">IFERROR(_xlfn.IFS($AU981="","",$AU981&lt;=15,"0-15",AND($AU981&gt;=16,$AU981&lt;=30),"16-30",AND($AU981&gt;=31,$AU981&lt;=45),"31-45",AND($AU981&gt;=46,$AU981&lt;=60),"46-60",AND($AU981&gt;=61,$AU981&lt;=90),"61-90",AND($AU981&gt;=91),"&gt; 90",AND($AU981&gt;=2000),""),"")</f>
        <v/>
      </c>
      <c r="AW981" s="79" t="str" cm="1">
        <f t="array" aca="1" ref="AW981" ca="1">IFERROR(_xlfn.IFS(OR($M981="",$AM981=""),"",OR($C981="Offered",$C981="Joined"),($AM981-$M981)-$AT981),"")</f>
        <v/>
      </c>
      <c r="AX981" s="79" t="str" cm="1">
        <f t="array" aca="1" ref="AX981" ca="1">IFERROR(_xlfn.IFS(OR($M981="",$AS981=""),"",$C981="Joined",($AS981-$M981)-$AT981),"")</f>
        <v/>
      </c>
      <c r="AY981" s="67" t="str">
        <f>IFERROR(IF(COUNTIFS('Candidate Tracker'!$E:$E,'Positions Tracker'!$B981,'Candidate Tracker'!$C:$C,"Offer Drop")=0,"",COUNTIFS('Candidate Tracker'!$E:$E,'Positions Tracker'!$B981,'Candidate Tracker'!$C:$C,"Offer Drop")),"")</f>
        <v/>
      </c>
      <c r="AZ981" s="80">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0.88111888111888115</v>
      </c>
      <c r="BA981" s="81" t="str">
        <f>IFERROR(IF(COUNTIFS('Candidate Tracker'!$E:$E,'Positions Tracker'!$B981,'Candidate Tracker'!$I:$I,"Female")=0,"",COUNTIFS('Candidate Tracker'!$E:$E,'Positions Tracker'!$B981,'Candidate Tracker'!$I:$I,"Female")),"")</f>
        <v/>
      </c>
      <c r="BB981" s="81" t="str">
        <f>IFERROR(IF(COUNTIFS('Candidate Tracker'!$E:$E,'Positions Tracker'!$B981,'Candidate Tracker'!$I:$I,"male")=0,"",COUNTIFS('Candidate Tracker'!$E:$E,'Positions Tracker'!$B981,'Candidate Tracker'!$I:$I,"male")),"")</f>
        <v/>
      </c>
      <c r="BC981" s="80" t="str">
        <f>IFERROR(IF(COUNTIFS('Candidate Tracker'!$E:$E,'Positions Tracker'!$B981,'Candidate Tracker'!$C:$C,"&lt;&gt;WIP",'Candidate Tracker'!$C:$C,"&lt;&gt;Hold",'Candidate Tracker'!$C:$C,"&lt;&gt;Cancelled",'Candidate Tracker'!$C:$C,"&lt;&gt;Closed")/COUNTIFS('Candidate Tracker'!$E:$E,'Positions Tracker'!$B981)=0,"",COUNTIFS('Candidate Tracker'!$E:$E,'Positions Tracker'!$B981,'Candidate Tracker'!$C:$C,"&lt;&gt;WIP",'Candidate Tracker'!$C:$C,"&lt;&gt;Hold",'Candidate Tracker'!$C:$C,"&lt;&gt;Cancelled",'Candidate Tracker'!$C:$C,"&lt;&gt;Closed")/COUNTIFS('Candidate Tracker'!$E:$E,'Positions Tracker'!$B981)),"")</f>
        <v/>
      </c>
      <c r="BD981" s="67" t="str">
        <f t="shared" si="90"/>
        <v/>
      </c>
      <c r="BE981" s="67" t="str">
        <f t="shared" si="91"/>
        <v/>
      </c>
      <c r="BF981" s="67" t="str">
        <f t="shared" si="92"/>
        <v/>
      </c>
      <c r="BG981" s="67" t="str">
        <f t="shared" si="93"/>
        <v/>
      </c>
    </row>
    <row r="982" spans="1:59">
      <c r="A982" s="55"/>
      <c r="B982" s="56"/>
      <c r="C982" s="56"/>
      <c r="D982" s="56"/>
      <c r="E982" s="56"/>
      <c r="F982" s="56"/>
      <c r="G982" s="56"/>
      <c r="H982" s="56"/>
      <c r="I982" s="6"/>
      <c r="J982" s="6"/>
      <c r="K982" s="57"/>
      <c r="L982" s="57"/>
      <c r="M982" s="57"/>
      <c r="N982" s="56"/>
      <c r="O982" s="56"/>
      <c r="P982" s="56"/>
      <c r="Q982" s="56"/>
      <c r="R982" s="56"/>
      <c r="S982" s="56"/>
      <c r="T982" s="56"/>
      <c r="U982" s="56"/>
      <c r="V982" s="56"/>
      <c r="W982" s="56"/>
      <c r="X982" s="56"/>
      <c r="Y982" s="56"/>
      <c r="Z982" s="56"/>
      <c r="AA982" s="56"/>
      <c r="AB982" s="56"/>
      <c r="AC982" s="56"/>
      <c r="AD982" s="56"/>
      <c r="AE982" s="56"/>
      <c r="AF982" s="56"/>
      <c r="AG982" s="56"/>
      <c r="AH982" s="56"/>
      <c r="AI982" s="58"/>
      <c r="AJ982" s="56"/>
      <c r="AK982" s="56"/>
      <c r="AL982" s="56"/>
      <c r="AM982" s="57"/>
      <c r="AN982" s="57"/>
      <c r="AO982" s="56"/>
      <c r="AP982" s="56"/>
      <c r="AQ982" s="57"/>
      <c r="AR982" s="57"/>
      <c r="AS982" s="57"/>
      <c r="AT982" s="67">
        <f t="shared" ca="1" si="94"/>
        <v>0</v>
      </c>
      <c r="AU982" s="79" t="str">
        <f t="shared" ca="1" si="95"/>
        <v/>
      </c>
      <c r="AV982" s="79" t="str" cm="1">
        <f t="array" aca="1" ref="AV982" ca="1">IFERROR(_xlfn.IFS($AU982="","",$AU982&lt;=15,"0-15",AND($AU982&gt;=16,$AU982&lt;=30),"16-30",AND($AU982&gt;=31,$AU982&lt;=45),"31-45",AND($AU982&gt;=46,$AU982&lt;=60),"46-60",AND($AU982&gt;=61,$AU982&lt;=90),"61-90",AND($AU982&gt;=91),"&gt; 90",AND($AU982&gt;=2000),""),"")</f>
        <v/>
      </c>
      <c r="AW982" s="79" t="str" cm="1">
        <f t="array" aca="1" ref="AW982" ca="1">IFERROR(_xlfn.IFS(OR($M982="",$AM982=""),"",OR($C982="Offered",$C982="Joined"),($AM982-$M982)-$AT982),"")</f>
        <v/>
      </c>
      <c r="AX982" s="79" t="str" cm="1">
        <f t="array" aca="1" ref="AX982" ca="1">IFERROR(_xlfn.IFS(OR($M982="",$AS982=""),"",$C982="Joined",($AS982-$M982)-$AT982),"")</f>
        <v/>
      </c>
      <c r="AY982" s="67" t="str">
        <f>IFERROR(IF(COUNTIFS('Candidate Tracker'!$E:$E,'Positions Tracker'!$B982,'Candidate Tracker'!$C:$C,"Offer Drop")=0,"",COUNTIFS('Candidate Tracker'!$E:$E,'Positions Tracker'!$B982,'Candidate Tracker'!$C:$C,"Offer Drop")),"")</f>
        <v/>
      </c>
      <c r="AZ982" s="80">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0.88111888111888115</v>
      </c>
      <c r="BA982" s="81" t="str">
        <f>IFERROR(IF(COUNTIFS('Candidate Tracker'!$E:$E,'Positions Tracker'!$B982,'Candidate Tracker'!$I:$I,"Female")=0,"",COUNTIFS('Candidate Tracker'!$E:$E,'Positions Tracker'!$B982,'Candidate Tracker'!$I:$I,"Female")),"")</f>
        <v/>
      </c>
      <c r="BB982" s="81" t="str">
        <f>IFERROR(IF(COUNTIFS('Candidate Tracker'!$E:$E,'Positions Tracker'!$B982,'Candidate Tracker'!$I:$I,"male")=0,"",COUNTIFS('Candidate Tracker'!$E:$E,'Positions Tracker'!$B982,'Candidate Tracker'!$I:$I,"male")),"")</f>
        <v/>
      </c>
      <c r="BC982" s="80" t="str">
        <f>IFERROR(IF(COUNTIFS('Candidate Tracker'!$E:$E,'Positions Tracker'!$B982,'Candidate Tracker'!$C:$C,"&lt;&gt;WIP",'Candidate Tracker'!$C:$C,"&lt;&gt;Hold",'Candidate Tracker'!$C:$C,"&lt;&gt;Cancelled",'Candidate Tracker'!$C:$C,"&lt;&gt;Closed")/COUNTIFS('Candidate Tracker'!$E:$E,'Positions Tracker'!$B982)=0,"",COUNTIFS('Candidate Tracker'!$E:$E,'Positions Tracker'!$B982,'Candidate Tracker'!$C:$C,"&lt;&gt;WIP",'Candidate Tracker'!$C:$C,"&lt;&gt;Hold",'Candidate Tracker'!$C:$C,"&lt;&gt;Cancelled",'Candidate Tracker'!$C:$C,"&lt;&gt;Closed")/COUNTIFS('Candidate Tracker'!$E:$E,'Positions Tracker'!$B982)),"")</f>
        <v/>
      </c>
      <c r="BD982" s="67" t="str">
        <f t="shared" si="90"/>
        <v/>
      </c>
      <c r="BE982" s="67" t="str">
        <f t="shared" si="91"/>
        <v/>
      </c>
      <c r="BF982" s="67" t="str">
        <f t="shared" si="92"/>
        <v/>
      </c>
      <c r="BG982" s="67" t="str">
        <f t="shared" si="93"/>
        <v/>
      </c>
    </row>
    <row r="983" spans="1:59">
      <c r="A983" s="55"/>
      <c r="B983" s="56"/>
      <c r="C983" s="56"/>
      <c r="D983" s="56"/>
      <c r="E983" s="56"/>
      <c r="F983" s="56"/>
      <c r="G983" s="56"/>
      <c r="H983" s="56"/>
      <c r="I983" s="6"/>
      <c r="J983" s="6"/>
      <c r="K983" s="57"/>
      <c r="L983" s="57"/>
      <c r="M983" s="57"/>
      <c r="N983" s="56"/>
      <c r="O983" s="56"/>
      <c r="P983" s="56"/>
      <c r="Q983" s="56"/>
      <c r="R983" s="56"/>
      <c r="S983" s="56"/>
      <c r="T983" s="56"/>
      <c r="U983" s="56"/>
      <c r="V983" s="56"/>
      <c r="W983" s="56"/>
      <c r="X983" s="56"/>
      <c r="Y983" s="56"/>
      <c r="Z983" s="56"/>
      <c r="AA983" s="56"/>
      <c r="AB983" s="56"/>
      <c r="AC983" s="56"/>
      <c r="AD983" s="56"/>
      <c r="AE983" s="56"/>
      <c r="AF983" s="56"/>
      <c r="AG983" s="56"/>
      <c r="AH983" s="56"/>
      <c r="AI983" s="58"/>
      <c r="AJ983" s="56"/>
      <c r="AK983" s="56"/>
      <c r="AL983" s="56"/>
      <c r="AM983" s="57"/>
      <c r="AN983" s="57"/>
      <c r="AO983" s="56"/>
      <c r="AP983" s="56"/>
      <c r="AQ983" s="57"/>
      <c r="AR983" s="57"/>
      <c r="AS983" s="57"/>
      <c r="AT983" s="67">
        <f t="shared" ca="1" si="94"/>
        <v>0</v>
      </c>
      <c r="AU983" s="79" t="str">
        <f t="shared" ca="1" si="95"/>
        <v/>
      </c>
      <c r="AV983" s="79" t="str" cm="1">
        <f t="array" aca="1" ref="AV983" ca="1">IFERROR(_xlfn.IFS($AU983="","",$AU983&lt;=15,"0-15",AND($AU983&gt;=16,$AU983&lt;=30),"16-30",AND($AU983&gt;=31,$AU983&lt;=45),"31-45",AND($AU983&gt;=46,$AU983&lt;=60),"46-60",AND($AU983&gt;=61,$AU983&lt;=90),"61-90",AND($AU983&gt;=91),"&gt; 90",AND($AU983&gt;=2000),""),"")</f>
        <v/>
      </c>
      <c r="AW983" s="79" t="str" cm="1">
        <f t="array" aca="1" ref="AW983" ca="1">IFERROR(_xlfn.IFS(OR($M983="",$AM983=""),"",OR($C983="Offered",$C983="Joined"),($AM983-$M983)-$AT983),"")</f>
        <v/>
      </c>
      <c r="AX983" s="79" t="str" cm="1">
        <f t="array" aca="1" ref="AX983" ca="1">IFERROR(_xlfn.IFS(OR($M983="",$AS983=""),"",$C983="Joined",($AS983-$M983)-$AT983),"")</f>
        <v/>
      </c>
      <c r="AY983" s="67" t="str">
        <f>IFERROR(IF(COUNTIFS('Candidate Tracker'!$E:$E,'Positions Tracker'!$B983,'Candidate Tracker'!$C:$C,"Offer Drop")=0,"",COUNTIFS('Candidate Tracker'!$E:$E,'Positions Tracker'!$B983,'Candidate Tracker'!$C:$C,"Offer Drop")),"")</f>
        <v/>
      </c>
      <c r="AZ983" s="80">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0.88111888111888115</v>
      </c>
      <c r="BA983" s="81" t="str">
        <f>IFERROR(IF(COUNTIFS('Candidate Tracker'!$E:$E,'Positions Tracker'!$B983,'Candidate Tracker'!$I:$I,"Female")=0,"",COUNTIFS('Candidate Tracker'!$E:$E,'Positions Tracker'!$B983,'Candidate Tracker'!$I:$I,"Female")),"")</f>
        <v/>
      </c>
      <c r="BB983" s="81" t="str">
        <f>IFERROR(IF(COUNTIFS('Candidate Tracker'!$E:$E,'Positions Tracker'!$B983,'Candidate Tracker'!$I:$I,"male")=0,"",COUNTIFS('Candidate Tracker'!$E:$E,'Positions Tracker'!$B983,'Candidate Tracker'!$I:$I,"male")),"")</f>
        <v/>
      </c>
      <c r="BC983" s="80" t="str">
        <f>IFERROR(IF(COUNTIFS('Candidate Tracker'!$E:$E,'Positions Tracker'!$B983,'Candidate Tracker'!$C:$C,"&lt;&gt;WIP",'Candidate Tracker'!$C:$C,"&lt;&gt;Hold",'Candidate Tracker'!$C:$C,"&lt;&gt;Cancelled",'Candidate Tracker'!$C:$C,"&lt;&gt;Closed")/COUNTIFS('Candidate Tracker'!$E:$E,'Positions Tracker'!$B983)=0,"",COUNTIFS('Candidate Tracker'!$E:$E,'Positions Tracker'!$B983,'Candidate Tracker'!$C:$C,"&lt;&gt;WIP",'Candidate Tracker'!$C:$C,"&lt;&gt;Hold",'Candidate Tracker'!$C:$C,"&lt;&gt;Cancelled",'Candidate Tracker'!$C:$C,"&lt;&gt;Closed")/COUNTIFS('Candidate Tracker'!$E:$E,'Positions Tracker'!$B983)),"")</f>
        <v/>
      </c>
      <c r="BD983" s="67" t="str">
        <f t="shared" si="90"/>
        <v/>
      </c>
      <c r="BE983" s="67" t="str">
        <f t="shared" si="91"/>
        <v/>
      </c>
      <c r="BF983" s="67" t="str">
        <f t="shared" si="92"/>
        <v/>
      </c>
      <c r="BG983" s="67" t="str">
        <f t="shared" si="93"/>
        <v/>
      </c>
    </row>
    <row r="984" spans="1:59">
      <c r="A984" s="55"/>
      <c r="B984" s="56"/>
      <c r="C984" s="56"/>
      <c r="D984" s="56"/>
      <c r="E984" s="56"/>
      <c r="F984" s="56"/>
      <c r="G984" s="56"/>
      <c r="H984" s="56"/>
      <c r="I984" s="6"/>
      <c r="J984" s="6"/>
      <c r="K984" s="57"/>
      <c r="L984" s="57"/>
      <c r="M984" s="57"/>
      <c r="N984" s="56"/>
      <c r="O984" s="56"/>
      <c r="P984" s="56"/>
      <c r="Q984" s="56"/>
      <c r="R984" s="56"/>
      <c r="S984" s="56"/>
      <c r="T984" s="56"/>
      <c r="U984" s="56"/>
      <c r="V984" s="56"/>
      <c r="W984" s="56"/>
      <c r="X984" s="56"/>
      <c r="Y984" s="56"/>
      <c r="Z984" s="56"/>
      <c r="AA984" s="56"/>
      <c r="AB984" s="56"/>
      <c r="AC984" s="56"/>
      <c r="AD984" s="56"/>
      <c r="AE984" s="56"/>
      <c r="AF984" s="56"/>
      <c r="AG984" s="56"/>
      <c r="AH984" s="56"/>
      <c r="AI984" s="58"/>
      <c r="AJ984" s="56"/>
      <c r="AK984" s="56"/>
      <c r="AL984" s="56"/>
      <c r="AM984" s="57"/>
      <c r="AN984" s="57"/>
      <c r="AO984" s="56"/>
      <c r="AP984" s="56"/>
      <c r="AQ984" s="57"/>
      <c r="AR984" s="57"/>
      <c r="AS984" s="57"/>
      <c r="AT984" s="67">
        <f t="shared" ca="1" si="94"/>
        <v>0</v>
      </c>
      <c r="AU984" s="79" t="str">
        <f t="shared" ca="1" si="95"/>
        <v/>
      </c>
      <c r="AV984" s="79" t="str" cm="1">
        <f t="array" aca="1" ref="AV984" ca="1">IFERROR(_xlfn.IFS($AU984="","",$AU984&lt;=15,"0-15",AND($AU984&gt;=16,$AU984&lt;=30),"16-30",AND($AU984&gt;=31,$AU984&lt;=45),"31-45",AND($AU984&gt;=46,$AU984&lt;=60),"46-60",AND($AU984&gt;=61,$AU984&lt;=90),"61-90",AND($AU984&gt;=91),"&gt; 90",AND($AU984&gt;=2000),""),"")</f>
        <v/>
      </c>
      <c r="AW984" s="79" t="str" cm="1">
        <f t="array" aca="1" ref="AW984" ca="1">IFERROR(_xlfn.IFS(OR($M984="",$AM984=""),"",OR($C984="Offered",$C984="Joined"),($AM984-$M984)-$AT984),"")</f>
        <v/>
      </c>
      <c r="AX984" s="79" t="str" cm="1">
        <f t="array" aca="1" ref="AX984" ca="1">IFERROR(_xlfn.IFS(OR($M984="",$AS984=""),"",$C984="Joined",($AS984-$M984)-$AT984),"")</f>
        <v/>
      </c>
      <c r="AY984" s="67" t="str">
        <f>IFERROR(IF(COUNTIFS('Candidate Tracker'!$E:$E,'Positions Tracker'!$B984,'Candidate Tracker'!$C:$C,"Offer Drop")=0,"",COUNTIFS('Candidate Tracker'!$E:$E,'Positions Tracker'!$B984,'Candidate Tracker'!$C:$C,"Offer Drop")),"")</f>
        <v/>
      </c>
      <c r="AZ984" s="80">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0.88111888111888115</v>
      </c>
      <c r="BA984" s="81" t="str">
        <f>IFERROR(IF(COUNTIFS('Candidate Tracker'!$E:$E,'Positions Tracker'!$B984,'Candidate Tracker'!$I:$I,"Female")=0,"",COUNTIFS('Candidate Tracker'!$E:$E,'Positions Tracker'!$B984,'Candidate Tracker'!$I:$I,"Female")),"")</f>
        <v/>
      </c>
      <c r="BB984" s="81" t="str">
        <f>IFERROR(IF(COUNTIFS('Candidate Tracker'!$E:$E,'Positions Tracker'!$B984,'Candidate Tracker'!$I:$I,"male")=0,"",COUNTIFS('Candidate Tracker'!$E:$E,'Positions Tracker'!$B984,'Candidate Tracker'!$I:$I,"male")),"")</f>
        <v/>
      </c>
      <c r="BC984" s="80" t="str">
        <f>IFERROR(IF(COUNTIFS('Candidate Tracker'!$E:$E,'Positions Tracker'!$B984,'Candidate Tracker'!$C:$C,"&lt;&gt;WIP",'Candidate Tracker'!$C:$C,"&lt;&gt;Hold",'Candidate Tracker'!$C:$C,"&lt;&gt;Cancelled",'Candidate Tracker'!$C:$C,"&lt;&gt;Closed")/COUNTIFS('Candidate Tracker'!$E:$E,'Positions Tracker'!$B984)=0,"",COUNTIFS('Candidate Tracker'!$E:$E,'Positions Tracker'!$B984,'Candidate Tracker'!$C:$C,"&lt;&gt;WIP",'Candidate Tracker'!$C:$C,"&lt;&gt;Hold",'Candidate Tracker'!$C:$C,"&lt;&gt;Cancelled",'Candidate Tracker'!$C:$C,"&lt;&gt;Closed")/COUNTIFS('Candidate Tracker'!$E:$E,'Positions Tracker'!$B984)),"")</f>
        <v/>
      </c>
      <c r="BD984" s="67" t="str">
        <f t="shared" si="90"/>
        <v/>
      </c>
      <c r="BE984" s="67" t="str">
        <f t="shared" si="91"/>
        <v/>
      </c>
      <c r="BF984" s="67" t="str">
        <f t="shared" si="92"/>
        <v/>
      </c>
      <c r="BG984" s="67" t="str">
        <f t="shared" si="93"/>
        <v/>
      </c>
    </row>
    <row r="985" spans="1:59">
      <c r="A985" s="55"/>
      <c r="B985" s="56"/>
      <c r="C985" s="56"/>
      <c r="D985" s="56"/>
      <c r="E985" s="56"/>
      <c r="F985" s="56"/>
      <c r="G985" s="56"/>
      <c r="H985" s="56"/>
      <c r="I985" s="6"/>
      <c r="J985" s="6"/>
      <c r="K985" s="57"/>
      <c r="L985" s="57"/>
      <c r="M985" s="57"/>
      <c r="N985" s="56"/>
      <c r="O985" s="56"/>
      <c r="P985" s="56"/>
      <c r="Q985" s="56"/>
      <c r="R985" s="56"/>
      <c r="S985" s="56"/>
      <c r="T985" s="56"/>
      <c r="U985" s="56"/>
      <c r="V985" s="56"/>
      <c r="W985" s="56"/>
      <c r="X985" s="56"/>
      <c r="Y985" s="56"/>
      <c r="Z985" s="56"/>
      <c r="AA985" s="56"/>
      <c r="AB985" s="56"/>
      <c r="AC985" s="56"/>
      <c r="AD985" s="56"/>
      <c r="AE985" s="56"/>
      <c r="AF985" s="56"/>
      <c r="AG985" s="56"/>
      <c r="AH985" s="56"/>
      <c r="AI985" s="58"/>
      <c r="AJ985" s="56"/>
      <c r="AK985" s="56"/>
      <c r="AL985" s="56"/>
      <c r="AM985" s="57"/>
      <c r="AN985" s="57"/>
      <c r="AO985" s="56"/>
      <c r="AP985" s="56"/>
      <c r="AQ985" s="57"/>
      <c r="AR985" s="57"/>
      <c r="AS985" s="57"/>
      <c r="AT985" s="67">
        <f t="shared" ca="1" si="94"/>
        <v>0</v>
      </c>
      <c r="AU985" s="79" t="str">
        <f t="shared" ca="1" si="95"/>
        <v/>
      </c>
      <c r="AV985" s="79" t="str" cm="1">
        <f t="array" aca="1" ref="AV985" ca="1">IFERROR(_xlfn.IFS($AU985="","",$AU985&lt;=15,"0-15",AND($AU985&gt;=16,$AU985&lt;=30),"16-30",AND($AU985&gt;=31,$AU985&lt;=45),"31-45",AND($AU985&gt;=46,$AU985&lt;=60),"46-60",AND($AU985&gt;=61,$AU985&lt;=90),"61-90",AND($AU985&gt;=91),"&gt; 90",AND($AU985&gt;=2000),""),"")</f>
        <v/>
      </c>
      <c r="AW985" s="79" t="str" cm="1">
        <f t="array" aca="1" ref="AW985" ca="1">IFERROR(_xlfn.IFS(OR($M985="",$AM985=""),"",OR($C985="Offered",$C985="Joined"),($AM985-$M985)-$AT985),"")</f>
        <v/>
      </c>
      <c r="AX985" s="79" t="str" cm="1">
        <f t="array" aca="1" ref="AX985" ca="1">IFERROR(_xlfn.IFS(OR($M985="",$AS985=""),"",$C985="Joined",($AS985-$M985)-$AT985),"")</f>
        <v/>
      </c>
      <c r="AY985" s="67" t="str">
        <f>IFERROR(IF(COUNTIFS('Candidate Tracker'!$E:$E,'Positions Tracker'!$B985,'Candidate Tracker'!$C:$C,"Offer Drop")=0,"",COUNTIFS('Candidate Tracker'!$E:$E,'Positions Tracker'!$B985,'Candidate Tracker'!$C:$C,"Offer Drop")),"")</f>
        <v/>
      </c>
      <c r="AZ985" s="80">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0.88111888111888115</v>
      </c>
      <c r="BA985" s="81" t="str">
        <f>IFERROR(IF(COUNTIFS('Candidate Tracker'!$E:$E,'Positions Tracker'!$B985,'Candidate Tracker'!$I:$I,"Female")=0,"",COUNTIFS('Candidate Tracker'!$E:$E,'Positions Tracker'!$B985,'Candidate Tracker'!$I:$I,"Female")),"")</f>
        <v/>
      </c>
      <c r="BB985" s="81" t="str">
        <f>IFERROR(IF(COUNTIFS('Candidate Tracker'!$E:$E,'Positions Tracker'!$B985,'Candidate Tracker'!$I:$I,"male")=0,"",COUNTIFS('Candidate Tracker'!$E:$E,'Positions Tracker'!$B985,'Candidate Tracker'!$I:$I,"male")),"")</f>
        <v/>
      </c>
      <c r="BC985" s="80" t="str">
        <f>IFERROR(IF(COUNTIFS('Candidate Tracker'!$E:$E,'Positions Tracker'!$B985,'Candidate Tracker'!$C:$C,"&lt;&gt;WIP",'Candidate Tracker'!$C:$C,"&lt;&gt;Hold",'Candidate Tracker'!$C:$C,"&lt;&gt;Cancelled",'Candidate Tracker'!$C:$C,"&lt;&gt;Closed")/COUNTIFS('Candidate Tracker'!$E:$E,'Positions Tracker'!$B985)=0,"",COUNTIFS('Candidate Tracker'!$E:$E,'Positions Tracker'!$B985,'Candidate Tracker'!$C:$C,"&lt;&gt;WIP",'Candidate Tracker'!$C:$C,"&lt;&gt;Hold",'Candidate Tracker'!$C:$C,"&lt;&gt;Cancelled",'Candidate Tracker'!$C:$C,"&lt;&gt;Closed")/COUNTIFS('Candidate Tracker'!$E:$E,'Positions Tracker'!$B985)),"")</f>
        <v/>
      </c>
      <c r="BD985" s="67" t="str">
        <f t="shared" si="90"/>
        <v/>
      </c>
      <c r="BE985" s="67" t="str">
        <f t="shared" si="91"/>
        <v/>
      </c>
      <c r="BF985" s="67" t="str">
        <f t="shared" si="92"/>
        <v/>
      </c>
      <c r="BG985" s="67" t="str">
        <f t="shared" si="93"/>
        <v/>
      </c>
    </row>
    <row r="986" spans="1:59">
      <c r="A986" s="55"/>
      <c r="B986" s="56"/>
      <c r="C986" s="56"/>
      <c r="D986" s="56"/>
      <c r="E986" s="56"/>
      <c r="F986" s="56"/>
      <c r="G986" s="56"/>
      <c r="H986" s="56"/>
      <c r="I986" s="6"/>
      <c r="J986" s="6"/>
      <c r="K986" s="57"/>
      <c r="L986" s="57"/>
      <c r="M986" s="57"/>
      <c r="N986" s="56"/>
      <c r="O986" s="56"/>
      <c r="P986" s="56"/>
      <c r="Q986" s="56"/>
      <c r="R986" s="56"/>
      <c r="S986" s="56"/>
      <c r="T986" s="56"/>
      <c r="U986" s="56"/>
      <c r="V986" s="56"/>
      <c r="W986" s="56"/>
      <c r="X986" s="56"/>
      <c r="Y986" s="56"/>
      <c r="Z986" s="56"/>
      <c r="AA986" s="56"/>
      <c r="AB986" s="56"/>
      <c r="AC986" s="56"/>
      <c r="AD986" s="56"/>
      <c r="AE986" s="56"/>
      <c r="AF986" s="56"/>
      <c r="AG986" s="56"/>
      <c r="AH986" s="56"/>
      <c r="AI986" s="58"/>
      <c r="AJ986" s="56"/>
      <c r="AK986" s="56"/>
      <c r="AL986" s="56"/>
      <c r="AM986" s="57"/>
      <c r="AN986" s="57"/>
      <c r="AO986" s="56"/>
      <c r="AP986" s="56"/>
      <c r="AQ986" s="57"/>
      <c r="AR986" s="57"/>
      <c r="AS986" s="57"/>
      <c r="AT986" s="67">
        <f t="shared" ca="1" si="94"/>
        <v>0</v>
      </c>
      <c r="AU986" s="79" t="str">
        <f t="shared" ca="1" si="95"/>
        <v/>
      </c>
      <c r="AV986" s="79" t="str" cm="1">
        <f t="array" aca="1" ref="AV986" ca="1">IFERROR(_xlfn.IFS($AU986="","",$AU986&lt;=15,"0-15",AND($AU986&gt;=16,$AU986&lt;=30),"16-30",AND($AU986&gt;=31,$AU986&lt;=45),"31-45",AND($AU986&gt;=46,$AU986&lt;=60),"46-60",AND($AU986&gt;=61,$AU986&lt;=90),"61-90",AND($AU986&gt;=91),"&gt; 90",AND($AU986&gt;=2000),""),"")</f>
        <v/>
      </c>
      <c r="AW986" s="79" t="str" cm="1">
        <f t="array" aca="1" ref="AW986" ca="1">IFERROR(_xlfn.IFS(OR($M986="",$AM986=""),"",OR($C986="Offered",$C986="Joined"),($AM986-$M986)-$AT986),"")</f>
        <v/>
      </c>
      <c r="AX986" s="79" t="str" cm="1">
        <f t="array" aca="1" ref="AX986" ca="1">IFERROR(_xlfn.IFS(OR($M986="",$AS986=""),"",$C986="Joined",($AS986-$M986)-$AT986),"")</f>
        <v/>
      </c>
      <c r="AY986" s="67" t="str">
        <f>IFERROR(IF(COUNTIFS('Candidate Tracker'!$E:$E,'Positions Tracker'!$B986,'Candidate Tracker'!$C:$C,"Offer Drop")=0,"",COUNTIFS('Candidate Tracker'!$E:$E,'Positions Tracker'!$B986,'Candidate Tracker'!$C:$C,"Offer Drop")),"")</f>
        <v/>
      </c>
      <c r="AZ986" s="80">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0.88111888111888115</v>
      </c>
      <c r="BA986" s="81" t="str">
        <f>IFERROR(IF(COUNTIFS('Candidate Tracker'!$E:$E,'Positions Tracker'!$B986,'Candidate Tracker'!$I:$I,"Female")=0,"",COUNTIFS('Candidate Tracker'!$E:$E,'Positions Tracker'!$B986,'Candidate Tracker'!$I:$I,"Female")),"")</f>
        <v/>
      </c>
      <c r="BB986" s="81" t="str">
        <f>IFERROR(IF(COUNTIFS('Candidate Tracker'!$E:$E,'Positions Tracker'!$B986,'Candidate Tracker'!$I:$I,"male")=0,"",COUNTIFS('Candidate Tracker'!$E:$E,'Positions Tracker'!$B986,'Candidate Tracker'!$I:$I,"male")),"")</f>
        <v/>
      </c>
      <c r="BC986" s="80" t="str">
        <f>IFERROR(IF(COUNTIFS('Candidate Tracker'!$E:$E,'Positions Tracker'!$B986,'Candidate Tracker'!$C:$C,"&lt;&gt;WIP",'Candidate Tracker'!$C:$C,"&lt;&gt;Hold",'Candidate Tracker'!$C:$C,"&lt;&gt;Cancelled",'Candidate Tracker'!$C:$C,"&lt;&gt;Closed")/COUNTIFS('Candidate Tracker'!$E:$E,'Positions Tracker'!$B986)=0,"",COUNTIFS('Candidate Tracker'!$E:$E,'Positions Tracker'!$B986,'Candidate Tracker'!$C:$C,"&lt;&gt;WIP",'Candidate Tracker'!$C:$C,"&lt;&gt;Hold",'Candidate Tracker'!$C:$C,"&lt;&gt;Cancelled",'Candidate Tracker'!$C:$C,"&lt;&gt;Closed")/COUNTIFS('Candidate Tracker'!$E:$E,'Positions Tracker'!$B986)),"")</f>
        <v/>
      </c>
      <c r="BD986" s="67" t="str">
        <f t="shared" si="90"/>
        <v/>
      </c>
      <c r="BE986" s="67" t="str">
        <f t="shared" si="91"/>
        <v/>
      </c>
      <c r="BF986" s="67" t="str">
        <f t="shared" si="92"/>
        <v/>
      </c>
      <c r="BG986" s="67" t="str">
        <f t="shared" si="93"/>
        <v/>
      </c>
    </row>
    <row r="987" spans="1:59">
      <c r="A987" s="55"/>
      <c r="B987" s="56"/>
      <c r="C987" s="56"/>
      <c r="D987" s="56"/>
      <c r="E987" s="56"/>
      <c r="F987" s="56"/>
      <c r="G987" s="56"/>
      <c r="H987" s="56"/>
      <c r="I987" s="6"/>
      <c r="J987" s="6"/>
      <c r="K987" s="57"/>
      <c r="L987" s="57"/>
      <c r="M987" s="57"/>
      <c r="N987" s="56"/>
      <c r="O987" s="56"/>
      <c r="P987" s="56"/>
      <c r="Q987" s="56"/>
      <c r="R987" s="56"/>
      <c r="S987" s="56"/>
      <c r="T987" s="56"/>
      <c r="U987" s="56"/>
      <c r="V987" s="56"/>
      <c r="W987" s="56"/>
      <c r="X987" s="56"/>
      <c r="Y987" s="56"/>
      <c r="Z987" s="56"/>
      <c r="AA987" s="56"/>
      <c r="AB987" s="56"/>
      <c r="AC987" s="56"/>
      <c r="AD987" s="56"/>
      <c r="AE987" s="56"/>
      <c r="AF987" s="56"/>
      <c r="AG987" s="56"/>
      <c r="AH987" s="56"/>
      <c r="AI987" s="58"/>
      <c r="AJ987" s="56"/>
      <c r="AK987" s="56"/>
      <c r="AL987" s="56"/>
      <c r="AM987" s="57"/>
      <c r="AN987" s="57"/>
      <c r="AO987" s="56"/>
      <c r="AP987" s="56"/>
      <c r="AQ987" s="57"/>
      <c r="AR987" s="57"/>
      <c r="AS987" s="57"/>
      <c r="AT987" s="67">
        <f t="shared" ca="1" si="94"/>
        <v>0</v>
      </c>
      <c r="AU987" s="79" t="str">
        <f t="shared" ca="1" si="95"/>
        <v/>
      </c>
      <c r="AV987" s="79" t="str" cm="1">
        <f t="array" aca="1" ref="AV987" ca="1">IFERROR(_xlfn.IFS($AU987="","",$AU987&lt;=15,"0-15",AND($AU987&gt;=16,$AU987&lt;=30),"16-30",AND($AU987&gt;=31,$AU987&lt;=45),"31-45",AND($AU987&gt;=46,$AU987&lt;=60),"46-60",AND($AU987&gt;=61,$AU987&lt;=90),"61-90",AND($AU987&gt;=91),"&gt; 90",AND($AU987&gt;=2000),""),"")</f>
        <v/>
      </c>
      <c r="AW987" s="79" t="str" cm="1">
        <f t="array" aca="1" ref="AW987" ca="1">IFERROR(_xlfn.IFS(OR($M987="",$AM987=""),"",OR($C987="Offered",$C987="Joined"),($AM987-$M987)-$AT987),"")</f>
        <v/>
      </c>
      <c r="AX987" s="79" t="str" cm="1">
        <f t="array" aca="1" ref="AX987" ca="1">IFERROR(_xlfn.IFS(OR($M987="",$AS987=""),"",$C987="Joined",($AS987-$M987)-$AT987),"")</f>
        <v/>
      </c>
      <c r="AY987" s="67" t="str">
        <f>IFERROR(IF(COUNTIFS('Candidate Tracker'!$E:$E,'Positions Tracker'!$B987,'Candidate Tracker'!$C:$C,"Offer Drop")=0,"",COUNTIFS('Candidate Tracker'!$E:$E,'Positions Tracker'!$B987,'Candidate Tracker'!$C:$C,"Offer Drop")),"")</f>
        <v/>
      </c>
      <c r="AZ987" s="80">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0.88111888111888115</v>
      </c>
      <c r="BA987" s="81" t="str">
        <f>IFERROR(IF(COUNTIFS('Candidate Tracker'!$E:$E,'Positions Tracker'!$B987,'Candidate Tracker'!$I:$I,"Female")=0,"",COUNTIFS('Candidate Tracker'!$E:$E,'Positions Tracker'!$B987,'Candidate Tracker'!$I:$I,"Female")),"")</f>
        <v/>
      </c>
      <c r="BB987" s="81" t="str">
        <f>IFERROR(IF(COUNTIFS('Candidate Tracker'!$E:$E,'Positions Tracker'!$B987,'Candidate Tracker'!$I:$I,"male")=0,"",COUNTIFS('Candidate Tracker'!$E:$E,'Positions Tracker'!$B987,'Candidate Tracker'!$I:$I,"male")),"")</f>
        <v/>
      </c>
      <c r="BC987" s="80" t="str">
        <f>IFERROR(IF(COUNTIFS('Candidate Tracker'!$E:$E,'Positions Tracker'!$B987,'Candidate Tracker'!$C:$C,"&lt;&gt;WIP",'Candidate Tracker'!$C:$C,"&lt;&gt;Hold",'Candidate Tracker'!$C:$C,"&lt;&gt;Cancelled",'Candidate Tracker'!$C:$C,"&lt;&gt;Closed")/COUNTIFS('Candidate Tracker'!$E:$E,'Positions Tracker'!$B987)=0,"",COUNTIFS('Candidate Tracker'!$E:$E,'Positions Tracker'!$B987,'Candidate Tracker'!$C:$C,"&lt;&gt;WIP",'Candidate Tracker'!$C:$C,"&lt;&gt;Hold",'Candidate Tracker'!$C:$C,"&lt;&gt;Cancelled",'Candidate Tracker'!$C:$C,"&lt;&gt;Closed")/COUNTIFS('Candidate Tracker'!$E:$E,'Positions Tracker'!$B987)),"")</f>
        <v/>
      </c>
      <c r="BD987" s="67" t="str">
        <f t="shared" si="90"/>
        <v/>
      </c>
      <c r="BE987" s="67" t="str">
        <f t="shared" si="91"/>
        <v/>
      </c>
      <c r="BF987" s="67" t="str">
        <f t="shared" si="92"/>
        <v/>
      </c>
      <c r="BG987" s="67" t="str">
        <f t="shared" si="93"/>
        <v/>
      </c>
    </row>
    <row r="988" spans="1:59">
      <c r="A988" s="55"/>
      <c r="B988" s="56"/>
      <c r="C988" s="56"/>
      <c r="D988" s="56"/>
      <c r="E988" s="56"/>
      <c r="F988" s="56"/>
      <c r="G988" s="56"/>
      <c r="H988" s="56"/>
      <c r="I988" s="6"/>
      <c r="J988" s="6"/>
      <c r="K988" s="57"/>
      <c r="L988" s="57"/>
      <c r="M988" s="57"/>
      <c r="N988" s="56"/>
      <c r="O988" s="56"/>
      <c r="P988" s="56"/>
      <c r="Q988" s="56"/>
      <c r="R988" s="56"/>
      <c r="S988" s="56"/>
      <c r="T988" s="56"/>
      <c r="U988" s="56"/>
      <c r="V988" s="56"/>
      <c r="W988" s="56"/>
      <c r="X988" s="56"/>
      <c r="Y988" s="56"/>
      <c r="Z988" s="56"/>
      <c r="AA988" s="56"/>
      <c r="AB988" s="56"/>
      <c r="AC988" s="56"/>
      <c r="AD988" s="56"/>
      <c r="AE988" s="56"/>
      <c r="AF988" s="56"/>
      <c r="AG988" s="56"/>
      <c r="AH988" s="56"/>
      <c r="AI988" s="58"/>
      <c r="AJ988" s="56"/>
      <c r="AK988" s="56"/>
      <c r="AL988" s="56"/>
      <c r="AM988" s="57"/>
      <c r="AN988" s="57"/>
      <c r="AO988" s="56"/>
      <c r="AP988" s="56"/>
      <c r="AQ988" s="57"/>
      <c r="AR988" s="57"/>
      <c r="AS988" s="57"/>
      <c r="AT988" s="67">
        <f t="shared" ca="1" si="94"/>
        <v>0</v>
      </c>
      <c r="AU988" s="79" t="str">
        <f t="shared" ca="1" si="95"/>
        <v/>
      </c>
      <c r="AV988" s="79" t="str" cm="1">
        <f t="array" aca="1" ref="AV988" ca="1">IFERROR(_xlfn.IFS($AU988="","",$AU988&lt;=15,"0-15",AND($AU988&gt;=16,$AU988&lt;=30),"16-30",AND($AU988&gt;=31,$AU988&lt;=45),"31-45",AND($AU988&gt;=46,$AU988&lt;=60),"46-60",AND($AU988&gt;=61,$AU988&lt;=90),"61-90",AND($AU988&gt;=91),"&gt; 90",AND($AU988&gt;=2000),""),"")</f>
        <v/>
      </c>
      <c r="AW988" s="79" t="str" cm="1">
        <f t="array" aca="1" ref="AW988" ca="1">IFERROR(_xlfn.IFS(OR($M988="",$AM988=""),"",OR($C988="Offered",$C988="Joined"),($AM988-$M988)-$AT988),"")</f>
        <v/>
      </c>
      <c r="AX988" s="79" t="str" cm="1">
        <f t="array" aca="1" ref="AX988" ca="1">IFERROR(_xlfn.IFS(OR($M988="",$AS988=""),"",$C988="Joined",($AS988-$M988)-$AT988),"")</f>
        <v/>
      </c>
      <c r="AY988" s="67" t="str">
        <f>IFERROR(IF(COUNTIFS('Candidate Tracker'!$E:$E,'Positions Tracker'!$B988,'Candidate Tracker'!$C:$C,"Offer Drop")=0,"",COUNTIFS('Candidate Tracker'!$E:$E,'Positions Tracker'!$B988,'Candidate Tracker'!$C:$C,"Offer Drop")),"")</f>
        <v/>
      </c>
      <c r="AZ988" s="80">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0.88111888111888115</v>
      </c>
      <c r="BA988" s="81" t="str">
        <f>IFERROR(IF(COUNTIFS('Candidate Tracker'!$E:$E,'Positions Tracker'!$B988,'Candidate Tracker'!$I:$I,"Female")=0,"",COUNTIFS('Candidate Tracker'!$E:$E,'Positions Tracker'!$B988,'Candidate Tracker'!$I:$I,"Female")),"")</f>
        <v/>
      </c>
      <c r="BB988" s="81" t="str">
        <f>IFERROR(IF(COUNTIFS('Candidate Tracker'!$E:$E,'Positions Tracker'!$B988,'Candidate Tracker'!$I:$I,"male")=0,"",COUNTIFS('Candidate Tracker'!$E:$E,'Positions Tracker'!$B988,'Candidate Tracker'!$I:$I,"male")),"")</f>
        <v/>
      </c>
      <c r="BC988" s="80" t="str">
        <f>IFERROR(IF(COUNTIFS('Candidate Tracker'!$E:$E,'Positions Tracker'!$B988,'Candidate Tracker'!$C:$C,"&lt;&gt;WIP",'Candidate Tracker'!$C:$C,"&lt;&gt;Hold",'Candidate Tracker'!$C:$C,"&lt;&gt;Cancelled",'Candidate Tracker'!$C:$C,"&lt;&gt;Closed")/COUNTIFS('Candidate Tracker'!$E:$E,'Positions Tracker'!$B988)=0,"",COUNTIFS('Candidate Tracker'!$E:$E,'Positions Tracker'!$B988,'Candidate Tracker'!$C:$C,"&lt;&gt;WIP",'Candidate Tracker'!$C:$C,"&lt;&gt;Hold",'Candidate Tracker'!$C:$C,"&lt;&gt;Cancelled",'Candidate Tracker'!$C:$C,"&lt;&gt;Closed")/COUNTIFS('Candidate Tracker'!$E:$E,'Positions Tracker'!$B988)),"")</f>
        <v/>
      </c>
      <c r="BD988" s="67" t="str">
        <f t="shared" si="90"/>
        <v/>
      </c>
      <c r="BE988" s="67" t="str">
        <f t="shared" si="91"/>
        <v/>
      </c>
      <c r="BF988" s="67" t="str">
        <f t="shared" si="92"/>
        <v/>
      </c>
      <c r="BG988" s="67" t="str">
        <f t="shared" si="93"/>
        <v/>
      </c>
    </row>
    <row r="989" spans="1:59">
      <c r="A989" s="55"/>
      <c r="B989" s="56"/>
      <c r="C989" s="56"/>
      <c r="D989" s="56"/>
      <c r="E989" s="56"/>
      <c r="F989" s="56"/>
      <c r="G989" s="56"/>
      <c r="H989" s="56"/>
      <c r="I989" s="6"/>
      <c r="J989" s="6"/>
      <c r="K989" s="57"/>
      <c r="L989" s="57"/>
      <c r="M989" s="57"/>
      <c r="N989" s="56"/>
      <c r="O989" s="56"/>
      <c r="P989" s="56"/>
      <c r="Q989" s="56"/>
      <c r="R989" s="56"/>
      <c r="S989" s="56"/>
      <c r="T989" s="56"/>
      <c r="U989" s="56"/>
      <c r="V989" s="56"/>
      <c r="W989" s="56"/>
      <c r="X989" s="56"/>
      <c r="Y989" s="56"/>
      <c r="Z989" s="56"/>
      <c r="AA989" s="56"/>
      <c r="AB989" s="56"/>
      <c r="AC989" s="56"/>
      <c r="AD989" s="56"/>
      <c r="AE989" s="56"/>
      <c r="AF989" s="56"/>
      <c r="AG989" s="56"/>
      <c r="AH989" s="56"/>
      <c r="AI989" s="58" t="s">
        <v>6</v>
      </c>
      <c r="AJ989" s="56"/>
      <c r="AK989" s="56"/>
      <c r="AL989" s="56"/>
      <c r="AM989" s="57"/>
      <c r="AN989" s="57"/>
      <c r="AO989" s="56"/>
      <c r="AP989" s="56"/>
      <c r="AQ989" s="57"/>
      <c r="AR989" s="57"/>
      <c r="AS989" s="57"/>
      <c r="AT989" s="67">
        <f t="shared" ca="1" si="94"/>
        <v>0</v>
      </c>
      <c r="AU989" s="79" t="str">
        <f t="shared" ca="1" si="95"/>
        <v/>
      </c>
      <c r="AV989" s="79" t="str" cm="1">
        <f t="array" aca="1" ref="AV989" ca="1">IFERROR(_xlfn.IFS($AU989="","",$AU989&lt;=15,"0-15",AND($AU989&gt;=16,$AU989&lt;=30),"16-30",AND($AU989&gt;=31,$AU989&lt;=45),"31-45",AND($AU989&gt;=46,$AU989&lt;=60),"46-60",AND($AU989&gt;=61,$AU989&lt;=90),"61-90",AND($AU989&gt;=91),"&gt; 90",AND($AU989&gt;=2000),""),"")</f>
        <v/>
      </c>
      <c r="AW989" s="79" t="str" cm="1">
        <f t="array" aca="1" ref="AW989" ca="1">IFERROR(_xlfn.IFS(OR($M989="",$AM989=""),"",OR($C989="Offered",$C989="Joined"),($AM989-$M989)-$AT989),"")</f>
        <v/>
      </c>
      <c r="AX989" s="79" t="str" cm="1">
        <f t="array" aca="1" ref="AX989" ca="1">IFERROR(_xlfn.IFS(OR($M989="",$AS989=""),"",$C989="Joined",($AS989-$M989)-$AT989),"")</f>
        <v/>
      </c>
      <c r="AY989" s="67" t="str">
        <f>IFERROR(IF(COUNTIFS('Candidate Tracker'!$E:$E,'Positions Tracker'!$B989,'Candidate Tracker'!$C:$C,"Offer Drop")=0,"",COUNTIFS('Candidate Tracker'!$E:$E,'Positions Tracker'!$B989,'Candidate Tracker'!$C:$C,"Offer Drop")),"")</f>
        <v/>
      </c>
      <c r="AZ989" s="80">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0.88111888111888115</v>
      </c>
      <c r="BA989" s="81" t="str">
        <f>IFERROR(IF(COUNTIFS('Candidate Tracker'!$E:$E,'Positions Tracker'!$B989,'Candidate Tracker'!$I:$I,"Female")=0,"",COUNTIFS('Candidate Tracker'!$E:$E,'Positions Tracker'!$B989,'Candidate Tracker'!$I:$I,"Female")),"")</f>
        <v/>
      </c>
      <c r="BB989" s="81" t="str">
        <f>IFERROR(IF(COUNTIFS('Candidate Tracker'!$E:$E,'Positions Tracker'!$B989,'Candidate Tracker'!$I:$I,"male")=0,"",COUNTIFS('Candidate Tracker'!$E:$E,'Positions Tracker'!$B989,'Candidate Tracker'!$I:$I,"male")),"")</f>
        <v/>
      </c>
      <c r="BC989" s="80" t="str">
        <f>IFERROR(IF(COUNTIFS('Candidate Tracker'!$E:$E,'Positions Tracker'!$B989,'Candidate Tracker'!$C:$C,"&lt;&gt;WIP",'Candidate Tracker'!$C:$C,"&lt;&gt;Hold",'Candidate Tracker'!$C:$C,"&lt;&gt;Cancelled",'Candidate Tracker'!$C:$C,"&lt;&gt;Closed")/COUNTIFS('Candidate Tracker'!$E:$E,'Positions Tracker'!$B989)=0,"",COUNTIFS('Candidate Tracker'!$E:$E,'Positions Tracker'!$B989,'Candidate Tracker'!$C:$C,"&lt;&gt;WIP",'Candidate Tracker'!$C:$C,"&lt;&gt;Hold",'Candidate Tracker'!$C:$C,"&lt;&gt;Cancelled",'Candidate Tracker'!$C:$C,"&lt;&gt;Closed")/COUNTIFS('Candidate Tracker'!$E:$E,'Positions Tracker'!$B989)),"")</f>
        <v/>
      </c>
      <c r="BD989" s="67" t="str">
        <f t="shared" si="90"/>
        <v/>
      </c>
      <c r="BE989" s="67" t="str">
        <f t="shared" si="91"/>
        <v xml:space="preserve"> </v>
      </c>
      <c r="BF989" s="67" t="str">
        <f t="shared" si="92"/>
        <v/>
      </c>
      <c r="BG989" s="67" t="str">
        <f t="shared" si="93"/>
        <v/>
      </c>
    </row>
    <row r="990" spans="1:59">
      <c r="A990" s="55"/>
      <c r="B990" s="56"/>
      <c r="C990" s="56"/>
      <c r="D990" s="56"/>
      <c r="E990" s="56"/>
      <c r="F990" s="56"/>
      <c r="G990" s="56"/>
      <c r="H990" s="56"/>
      <c r="I990" s="6"/>
      <c r="J990" s="6"/>
      <c r="K990" s="57"/>
      <c r="L990" s="57"/>
      <c r="M990" s="57"/>
      <c r="N990" s="56"/>
      <c r="O990" s="56"/>
      <c r="P990" s="56"/>
      <c r="Q990" s="56"/>
      <c r="R990" s="56"/>
      <c r="S990" s="56"/>
      <c r="T990" s="56"/>
      <c r="U990" s="56"/>
      <c r="V990" s="56"/>
      <c r="W990" s="56"/>
      <c r="X990" s="56"/>
      <c r="Y990" s="56"/>
      <c r="Z990" s="56"/>
      <c r="AA990" s="56"/>
      <c r="AB990" s="56"/>
      <c r="AC990" s="56"/>
      <c r="AD990" s="56"/>
      <c r="AE990" s="56"/>
      <c r="AF990" s="56"/>
      <c r="AG990" s="56"/>
      <c r="AH990" s="56"/>
      <c r="AI990" s="58"/>
      <c r="AJ990" s="56"/>
      <c r="AK990" s="56"/>
      <c r="AL990" s="56"/>
      <c r="AM990" s="57"/>
      <c r="AN990" s="57"/>
      <c r="AO990" s="56"/>
      <c r="AP990" s="56"/>
      <c r="AQ990" s="57"/>
      <c r="AR990" s="57"/>
      <c r="AS990" s="57"/>
      <c r="AT990" s="67">
        <f t="shared" ca="1" si="94"/>
        <v>0</v>
      </c>
      <c r="AU990" s="79" t="str">
        <f t="shared" ca="1" si="95"/>
        <v/>
      </c>
      <c r="AV990" s="79" t="str" cm="1">
        <f t="array" aca="1" ref="AV990" ca="1">IFERROR(_xlfn.IFS($AU990="","",$AU990&lt;=15,"0-15",AND($AU990&gt;=16,$AU990&lt;=30),"16-30",AND($AU990&gt;=31,$AU990&lt;=45),"31-45",AND($AU990&gt;=46,$AU990&lt;=60),"46-60",AND($AU990&gt;=61,$AU990&lt;=90),"61-90",AND($AU990&gt;=91),"&gt; 90",AND($AU990&gt;=2000),""),"")</f>
        <v/>
      </c>
      <c r="AW990" s="79" t="str" cm="1">
        <f t="array" aca="1" ref="AW990" ca="1">IFERROR(_xlfn.IFS(OR($M990="",$AM990=""),"",OR($C990="Offered",$C990="Joined"),($AM990-$M990)-$AT990),"")</f>
        <v/>
      </c>
      <c r="AX990" s="79" t="str" cm="1">
        <f t="array" aca="1" ref="AX990" ca="1">IFERROR(_xlfn.IFS(OR($M990="",$AS990=""),"",$C990="Joined",($AS990-$M990)-$AT990),"")</f>
        <v/>
      </c>
      <c r="AY990" s="67" t="str">
        <f>IFERROR(IF(COUNTIFS('Candidate Tracker'!$E:$E,'Positions Tracker'!$B990,'Candidate Tracker'!$C:$C,"Offer Drop")=0,"",COUNTIFS('Candidate Tracker'!$E:$E,'Positions Tracker'!$B990,'Candidate Tracker'!$C:$C,"Offer Drop")),"")</f>
        <v/>
      </c>
      <c r="AZ990" s="80">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0.88111888111888115</v>
      </c>
      <c r="BA990" s="81" t="str">
        <f>IFERROR(IF(COUNTIFS('Candidate Tracker'!$E:$E,'Positions Tracker'!$B990,'Candidate Tracker'!$I:$I,"Female")=0,"",COUNTIFS('Candidate Tracker'!$E:$E,'Positions Tracker'!$B990,'Candidate Tracker'!$I:$I,"Female")),"")</f>
        <v/>
      </c>
      <c r="BB990" s="81" t="str">
        <f>IFERROR(IF(COUNTIFS('Candidate Tracker'!$E:$E,'Positions Tracker'!$B990,'Candidate Tracker'!$I:$I,"male")=0,"",COUNTIFS('Candidate Tracker'!$E:$E,'Positions Tracker'!$B990,'Candidate Tracker'!$I:$I,"male")),"")</f>
        <v/>
      </c>
      <c r="BC990" s="80" t="str">
        <f>IFERROR(IF(COUNTIFS('Candidate Tracker'!$E:$E,'Positions Tracker'!$B990,'Candidate Tracker'!$C:$C,"&lt;&gt;WIP",'Candidate Tracker'!$C:$C,"&lt;&gt;Hold",'Candidate Tracker'!$C:$C,"&lt;&gt;Cancelled",'Candidate Tracker'!$C:$C,"&lt;&gt;Closed")/COUNTIFS('Candidate Tracker'!$E:$E,'Positions Tracker'!$B990)=0,"",COUNTIFS('Candidate Tracker'!$E:$E,'Positions Tracker'!$B990,'Candidate Tracker'!$C:$C,"&lt;&gt;WIP",'Candidate Tracker'!$C:$C,"&lt;&gt;Hold",'Candidate Tracker'!$C:$C,"&lt;&gt;Cancelled",'Candidate Tracker'!$C:$C,"&lt;&gt;Closed")/COUNTIFS('Candidate Tracker'!$E:$E,'Positions Tracker'!$B990)),"")</f>
        <v/>
      </c>
      <c r="BD990" s="67" t="str">
        <f t="shared" si="90"/>
        <v/>
      </c>
      <c r="BE990" s="67" t="str">
        <f t="shared" si="91"/>
        <v/>
      </c>
      <c r="BF990" s="67" t="str">
        <f t="shared" si="92"/>
        <v/>
      </c>
      <c r="BG990" s="67" t="str">
        <f t="shared" si="93"/>
        <v/>
      </c>
    </row>
    <row r="991" spans="1:59">
      <c r="A991" s="55"/>
      <c r="B991" s="56"/>
      <c r="C991" s="56"/>
      <c r="D991" s="56"/>
      <c r="E991" s="56"/>
      <c r="F991" s="56"/>
      <c r="G991" s="56"/>
      <c r="H991" s="56"/>
      <c r="I991" s="6"/>
      <c r="J991" s="6"/>
      <c r="K991" s="57"/>
      <c r="L991" s="57"/>
      <c r="M991" s="57"/>
      <c r="N991" s="56"/>
      <c r="O991" s="56"/>
      <c r="P991" s="56"/>
      <c r="Q991" s="56"/>
      <c r="R991" s="56"/>
      <c r="S991" s="56"/>
      <c r="T991" s="56"/>
      <c r="U991" s="56"/>
      <c r="V991" s="56"/>
      <c r="W991" s="56"/>
      <c r="X991" s="56"/>
      <c r="Y991" s="56"/>
      <c r="Z991" s="56"/>
      <c r="AA991" s="56"/>
      <c r="AB991" s="56"/>
      <c r="AC991" s="56"/>
      <c r="AD991" s="56"/>
      <c r="AE991" s="56"/>
      <c r="AF991" s="56"/>
      <c r="AG991" s="56"/>
      <c r="AH991" s="56"/>
      <c r="AI991" s="58"/>
      <c r="AJ991" s="56"/>
      <c r="AK991" s="56"/>
      <c r="AL991" s="56"/>
      <c r="AM991" s="57"/>
      <c r="AN991" s="57"/>
      <c r="AO991" s="56"/>
      <c r="AP991" s="56"/>
      <c r="AQ991" s="57"/>
      <c r="AR991" s="57"/>
      <c r="AS991" s="57"/>
      <c r="AT991" s="67">
        <f t="shared" ca="1" si="94"/>
        <v>0</v>
      </c>
      <c r="AU991" s="79" t="str">
        <f t="shared" ca="1" si="95"/>
        <v/>
      </c>
      <c r="AV991" s="79" t="str" cm="1">
        <f t="array" aca="1" ref="AV991" ca="1">IFERROR(_xlfn.IFS($AU991="","",$AU991&lt;=15,"0-15",AND($AU991&gt;=16,$AU991&lt;=30),"16-30",AND($AU991&gt;=31,$AU991&lt;=45),"31-45",AND($AU991&gt;=46,$AU991&lt;=60),"46-60",AND($AU991&gt;=61,$AU991&lt;=90),"61-90",AND($AU991&gt;=91),"&gt; 90",AND($AU991&gt;=2000),""),"")</f>
        <v/>
      </c>
      <c r="AW991" s="79" t="str" cm="1">
        <f t="array" aca="1" ref="AW991" ca="1">IFERROR(_xlfn.IFS(OR($M991="",$AM991=""),"",OR($C991="Offered",$C991="Joined"),($AM991-$M991)-$AT991),"")</f>
        <v/>
      </c>
      <c r="AX991" s="79" t="str" cm="1">
        <f t="array" aca="1" ref="AX991" ca="1">IFERROR(_xlfn.IFS(OR($M991="",$AS991=""),"",$C991="Joined",($AS991-$M991)-$AT991),"")</f>
        <v/>
      </c>
      <c r="AY991" s="67" t="str">
        <f>IFERROR(IF(COUNTIFS('Candidate Tracker'!$E:$E,'Positions Tracker'!$B991,'Candidate Tracker'!$C:$C,"Offer Drop")=0,"",COUNTIFS('Candidate Tracker'!$E:$E,'Positions Tracker'!$B991,'Candidate Tracker'!$C:$C,"Offer Drop")),"")</f>
        <v/>
      </c>
      <c r="AZ991" s="80">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0.88111888111888115</v>
      </c>
      <c r="BA991" s="81" t="str">
        <f>IFERROR(IF(COUNTIFS('Candidate Tracker'!$E:$E,'Positions Tracker'!$B991,'Candidate Tracker'!$I:$I,"Female")=0,"",COUNTIFS('Candidate Tracker'!$E:$E,'Positions Tracker'!$B991,'Candidate Tracker'!$I:$I,"Female")),"")</f>
        <v/>
      </c>
      <c r="BB991" s="81" t="str">
        <f>IFERROR(IF(COUNTIFS('Candidate Tracker'!$E:$E,'Positions Tracker'!$B991,'Candidate Tracker'!$I:$I,"male")=0,"",COUNTIFS('Candidate Tracker'!$E:$E,'Positions Tracker'!$B991,'Candidate Tracker'!$I:$I,"male")),"")</f>
        <v/>
      </c>
      <c r="BC991" s="80" t="str">
        <f>IFERROR(IF(COUNTIFS('Candidate Tracker'!$E:$E,'Positions Tracker'!$B991,'Candidate Tracker'!$C:$C,"&lt;&gt;WIP",'Candidate Tracker'!$C:$C,"&lt;&gt;Hold",'Candidate Tracker'!$C:$C,"&lt;&gt;Cancelled",'Candidate Tracker'!$C:$C,"&lt;&gt;Closed")/COUNTIFS('Candidate Tracker'!$E:$E,'Positions Tracker'!$B991)=0,"",COUNTIFS('Candidate Tracker'!$E:$E,'Positions Tracker'!$B991,'Candidate Tracker'!$C:$C,"&lt;&gt;WIP",'Candidate Tracker'!$C:$C,"&lt;&gt;Hold",'Candidate Tracker'!$C:$C,"&lt;&gt;Cancelled",'Candidate Tracker'!$C:$C,"&lt;&gt;Closed")/COUNTIFS('Candidate Tracker'!$E:$E,'Positions Tracker'!$B991)),"")</f>
        <v/>
      </c>
      <c r="BD991" s="67" t="str">
        <f t="shared" si="90"/>
        <v/>
      </c>
      <c r="BE991" s="67" t="str">
        <f t="shared" si="91"/>
        <v/>
      </c>
      <c r="BF991" s="67" t="str">
        <f t="shared" si="92"/>
        <v/>
      </c>
      <c r="BG991" s="67" t="str">
        <f t="shared" si="93"/>
        <v/>
      </c>
    </row>
    <row r="992" spans="1:59">
      <c r="A992" s="55"/>
      <c r="B992" s="56"/>
      <c r="C992" s="56"/>
      <c r="D992" s="56"/>
      <c r="E992" s="56"/>
      <c r="F992" s="56"/>
      <c r="G992" s="56"/>
      <c r="H992" s="56"/>
      <c r="I992" s="6"/>
      <c r="J992" s="6"/>
      <c r="K992" s="57"/>
      <c r="L992" s="57"/>
      <c r="M992" s="57"/>
      <c r="N992" s="56"/>
      <c r="O992" s="56"/>
      <c r="P992" s="56"/>
      <c r="Q992" s="56"/>
      <c r="R992" s="56"/>
      <c r="S992" s="56"/>
      <c r="T992" s="56"/>
      <c r="U992" s="56"/>
      <c r="V992" s="56"/>
      <c r="W992" s="56"/>
      <c r="X992" s="56"/>
      <c r="Y992" s="56"/>
      <c r="Z992" s="56"/>
      <c r="AA992" s="56"/>
      <c r="AB992" s="56"/>
      <c r="AC992" s="56"/>
      <c r="AD992" s="56"/>
      <c r="AE992" s="56"/>
      <c r="AF992" s="56"/>
      <c r="AG992" s="56"/>
      <c r="AH992" s="56"/>
      <c r="AI992" s="58"/>
      <c r="AJ992" s="56"/>
      <c r="AK992" s="56"/>
      <c r="AL992" s="56"/>
      <c r="AM992" s="57"/>
      <c r="AN992" s="57"/>
      <c r="AO992" s="56"/>
      <c r="AP992" s="56"/>
      <c r="AQ992" s="57"/>
      <c r="AR992" s="57"/>
      <c r="AS992" s="57"/>
      <c r="AT992" s="67">
        <f t="shared" ca="1" si="94"/>
        <v>0</v>
      </c>
      <c r="AU992" s="79" t="str">
        <f t="shared" ca="1" si="95"/>
        <v/>
      </c>
      <c r="AV992" s="79" t="str" cm="1">
        <f t="array" aca="1" ref="AV992" ca="1">IFERROR(_xlfn.IFS($AU992="","",$AU992&lt;=15,"0-15",AND($AU992&gt;=16,$AU992&lt;=30),"16-30",AND($AU992&gt;=31,$AU992&lt;=45),"31-45",AND($AU992&gt;=46,$AU992&lt;=60),"46-60",AND($AU992&gt;=61,$AU992&lt;=90),"61-90",AND($AU992&gt;=91),"&gt; 90",AND($AU992&gt;=2000),""),"")</f>
        <v/>
      </c>
      <c r="AW992" s="79" t="str" cm="1">
        <f t="array" aca="1" ref="AW992" ca="1">IFERROR(_xlfn.IFS(OR($M992="",$AM992=""),"",OR($C992="Offered",$C992="Joined"),($AM992-$M992)-$AT992),"")</f>
        <v/>
      </c>
      <c r="AX992" s="79" t="str" cm="1">
        <f t="array" aca="1" ref="AX992" ca="1">IFERROR(_xlfn.IFS(OR($M992="",$AS992=""),"",$C992="Joined",($AS992-$M992)-$AT992),"")</f>
        <v/>
      </c>
      <c r="AY992" s="67" t="str">
        <f>IFERROR(IF(COUNTIFS('Candidate Tracker'!$E:$E,'Positions Tracker'!$B992,'Candidate Tracker'!$C:$C,"Offer Drop")=0,"",COUNTIFS('Candidate Tracker'!$E:$E,'Positions Tracker'!$B992,'Candidate Tracker'!$C:$C,"Offer Drop")),"")</f>
        <v/>
      </c>
      <c r="AZ992" s="80">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0.88111888111888115</v>
      </c>
      <c r="BA992" s="81" t="str">
        <f>IFERROR(IF(COUNTIFS('Candidate Tracker'!$E:$E,'Positions Tracker'!$B992,'Candidate Tracker'!$I:$I,"Female")=0,"",COUNTIFS('Candidate Tracker'!$E:$E,'Positions Tracker'!$B992,'Candidate Tracker'!$I:$I,"Female")),"")</f>
        <v/>
      </c>
      <c r="BB992" s="81" t="str">
        <f>IFERROR(IF(COUNTIFS('Candidate Tracker'!$E:$E,'Positions Tracker'!$B992,'Candidate Tracker'!$I:$I,"male")=0,"",COUNTIFS('Candidate Tracker'!$E:$E,'Positions Tracker'!$B992,'Candidate Tracker'!$I:$I,"male")),"")</f>
        <v/>
      </c>
      <c r="BC992" s="80" t="str">
        <f>IFERROR(IF(COUNTIFS('Candidate Tracker'!$E:$E,'Positions Tracker'!$B992,'Candidate Tracker'!$C:$C,"&lt;&gt;WIP",'Candidate Tracker'!$C:$C,"&lt;&gt;Hold",'Candidate Tracker'!$C:$C,"&lt;&gt;Cancelled",'Candidate Tracker'!$C:$C,"&lt;&gt;Closed")/COUNTIFS('Candidate Tracker'!$E:$E,'Positions Tracker'!$B992)=0,"",COUNTIFS('Candidate Tracker'!$E:$E,'Positions Tracker'!$B992,'Candidate Tracker'!$C:$C,"&lt;&gt;WIP",'Candidate Tracker'!$C:$C,"&lt;&gt;Hold",'Candidate Tracker'!$C:$C,"&lt;&gt;Cancelled",'Candidate Tracker'!$C:$C,"&lt;&gt;Closed")/COUNTIFS('Candidate Tracker'!$E:$E,'Positions Tracker'!$B992)),"")</f>
        <v/>
      </c>
      <c r="BD992" s="67" t="str">
        <f t="shared" si="90"/>
        <v/>
      </c>
      <c r="BE992" s="67" t="str">
        <f t="shared" si="91"/>
        <v/>
      </c>
      <c r="BF992" s="67" t="str">
        <f t="shared" si="92"/>
        <v/>
      </c>
      <c r="BG992" s="67" t="str">
        <f t="shared" si="93"/>
        <v/>
      </c>
    </row>
    <row r="993" spans="1:59">
      <c r="A993" s="62">
        <v>1</v>
      </c>
      <c r="B993" s="64"/>
      <c r="C993" s="64"/>
      <c r="D993" s="64"/>
      <c r="E993" s="64"/>
      <c r="F993" s="64"/>
      <c r="G993" s="64"/>
      <c r="H993" s="64"/>
      <c r="I993" s="66"/>
      <c r="J993" s="66"/>
      <c r="K993" s="65"/>
      <c r="L993" s="65"/>
      <c r="M993" s="65"/>
      <c r="N993" s="64"/>
      <c r="O993" s="64"/>
      <c r="P993" s="64"/>
      <c r="Q993" s="64"/>
      <c r="R993" s="64"/>
      <c r="S993" s="64"/>
      <c r="T993" s="64"/>
      <c r="U993" s="64"/>
      <c r="V993" s="64"/>
      <c r="W993" s="64"/>
      <c r="X993" s="64"/>
      <c r="Y993" s="64"/>
      <c r="Z993" s="64"/>
      <c r="AA993" s="64"/>
      <c r="AB993" s="64"/>
      <c r="AC993" s="64"/>
      <c r="AD993" s="64"/>
      <c r="AE993" s="64"/>
      <c r="AF993" s="64"/>
      <c r="AG993" s="64"/>
      <c r="AH993" s="64"/>
      <c r="AI993" s="63"/>
      <c r="AJ993" s="64"/>
      <c r="AK993" s="64"/>
      <c r="AL993" s="64"/>
      <c r="AM993" s="65"/>
      <c r="AN993" s="65"/>
      <c r="AO993" s="64"/>
      <c r="AP993" s="64"/>
      <c r="AQ993" s="65"/>
      <c r="AR993" s="65"/>
      <c r="AS993" s="65"/>
      <c r="AT993" s="67">
        <f t="shared" ca="1" si="94"/>
        <v>0</v>
      </c>
      <c r="AU993" s="79" t="str">
        <f t="shared" ca="1" si="95"/>
        <v/>
      </c>
      <c r="AV993" s="79" t="str" cm="1">
        <f t="array" aca="1" ref="AV993" ca="1">IFERROR(_xlfn.IFS($AU993="","",$AU993&lt;=15,"0-15",AND($AU993&gt;=16,$AU993&lt;=30),"16-30",AND($AU993&gt;=31,$AU993&lt;=45),"31-45",AND($AU993&gt;=46,$AU993&lt;=60),"46-60",AND($AU993&gt;=61,$AU993&lt;=90),"61-90",AND($AU993&gt;=91),"&gt; 90",AND($AU993&gt;=2000),""),"")</f>
        <v/>
      </c>
      <c r="AW993" s="79" t="str" cm="1">
        <f t="array" aca="1" ref="AW993" ca="1">IFERROR(_xlfn.IFS(OR($M993="",$AM993=""),"",OR($C993="Offered",$C993="Joined"),($AM993-$M993)-$AT993),"")</f>
        <v/>
      </c>
      <c r="AX993" s="79" t="str" cm="1">
        <f t="array" aca="1" ref="AX993" ca="1">IFERROR(_xlfn.IFS(OR($M993="",$AS993=""),"",$C993="Joined",($AS993-$M993)-$AT993),"")</f>
        <v/>
      </c>
      <c r="AY993" s="67" t="str">
        <f>IFERROR(IF(COUNTIFS('Candidate Tracker'!$E:$E,'Positions Tracker'!$B993,'Candidate Tracker'!$C:$C,"Offer Drop")=0,"",COUNTIFS('Candidate Tracker'!$E:$E,'Positions Tracker'!$B993,'Candidate Tracker'!$C:$C,"Offer Drop")),"")</f>
        <v/>
      </c>
      <c r="AZ993" s="80">
        <f>IFERROR(IF((COUNTIFS('Candidate Tracker'!$D:$D,"&lt;&gt;",'Candidate Tracker'!$D:$D,"&lt;&gt;Screening",'Candidate Tracker'!$D:$D,"&lt;&gt;Screening Pending",'Candidate Tracker'!$D:$D,"&lt;&gt;Candidate Hold",'Candidate Tracker'!$D:$D,"&lt;&gt;Position Cancelled",'Candidate Tracker'!$D:$D,"&lt;&gt;Internal closed")/COUNTIF('Candidate Tracker'!$D:$D,"&lt;&gt;"))=0,"",(COUNTIFS('Candidate Tracker'!$D:$D,"&lt;&gt;",'Candidate Tracker'!$D:$D,"&lt;&gt;Screening",'Candidate Tracker'!$D:$D,"&lt;&gt;Candidate Hold",'Candidate Tracker'!$D:$D,"&lt;&gt;Position Cancelled",'Candidate Tracker'!$D:$D,"&lt;&gt;Internal closed")/COUNTIF('Candidate Tracker'!$D:$D,"&lt;&gt;"))),"")</f>
        <v>0.88111888111888115</v>
      </c>
      <c r="BA993" s="81" t="str">
        <f>IFERROR(IF(COUNTIFS('Candidate Tracker'!$E:$E,'Positions Tracker'!$B993,'Candidate Tracker'!$I:$I,"Female")=0,"",COUNTIFS('Candidate Tracker'!$E:$E,'Positions Tracker'!$B993,'Candidate Tracker'!$I:$I,"Female")),"")</f>
        <v/>
      </c>
      <c r="BB993" s="81" t="str">
        <f>IFERROR(IF(COUNTIFS('Candidate Tracker'!$E:$E,'Positions Tracker'!$B993,'Candidate Tracker'!$I:$I,"male")=0,"",COUNTIFS('Candidate Tracker'!$E:$E,'Positions Tracker'!$B993,'Candidate Tracker'!$I:$I,"male")),"")</f>
        <v/>
      </c>
      <c r="BC993" s="80" t="str">
        <f>IFERROR(IF(COUNTIFS('Candidate Tracker'!$E:$E,'Positions Tracker'!$B993,'Candidate Tracker'!$C:$C,"&lt;&gt;WIP",'Candidate Tracker'!$C:$C,"&lt;&gt;Hold",'Candidate Tracker'!$C:$C,"&lt;&gt;Cancelled",'Candidate Tracker'!$C:$C,"&lt;&gt;Closed")/COUNTIFS('Candidate Tracker'!$E:$E,'Positions Tracker'!$B993)=0,"",COUNTIFS('Candidate Tracker'!$E:$E,'Positions Tracker'!$B993,'Candidate Tracker'!$C:$C,"&lt;&gt;WIP",'Candidate Tracker'!$C:$C,"&lt;&gt;Hold",'Candidate Tracker'!$C:$C,"&lt;&gt;Cancelled",'Candidate Tracker'!$C:$C,"&lt;&gt;Closed")/COUNTIFS('Candidate Tracker'!$E:$E,'Positions Tracker'!$B993)),"")</f>
        <v/>
      </c>
      <c r="BD993" s="67" t="str">
        <f t="shared" si="90"/>
        <v/>
      </c>
      <c r="BE993" s="67" t="str">
        <f t="shared" si="91"/>
        <v/>
      </c>
      <c r="BF993" s="67" t="str">
        <f t="shared" si="92"/>
        <v/>
      </c>
      <c r="BG993" s="67" t="str">
        <f t="shared" si="93"/>
        <v/>
      </c>
    </row>
    <row r="997" spans="1:59">
      <c r="D997" s="67"/>
    </row>
  </sheetData>
  <phoneticPr fontId="22" type="noConversion"/>
  <conditionalFormatting sqref="AE177:AE181">
    <cfRule type="duplicateValues" dxfId="15" priority="12"/>
  </conditionalFormatting>
  <conditionalFormatting sqref="AE180:AE181 AE177">
    <cfRule type="duplicateValues" dxfId="14" priority="13"/>
  </conditionalFormatting>
  <conditionalFormatting sqref="AF132">
    <cfRule type="duplicateValues" dxfId="13" priority="16"/>
    <cfRule type="duplicateValues" dxfId="12" priority="17"/>
  </conditionalFormatting>
  <conditionalFormatting sqref="AF133">
    <cfRule type="duplicateValues" dxfId="11" priority="14"/>
    <cfRule type="duplicateValues" dxfId="10" priority="15"/>
  </conditionalFormatting>
  <conditionalFormatting sqref="AF1:AG1">
    <cfRule type="duplicateValues" dxfId="9" priority="2"/>
  </conditionalFormatting>
  <conditionalFormatting sqref="AF16:AG16">
    <cfRule type="duplicateValues" dxfId="8" priority="6"/>
  </conditionalFormatting>
  <conditionalFormatting sqref="AF45:AG50">
    <cfRule type="duplicateValues" dxfId="7" priority="3"/>
  </conditionalFormatting>
  <conditionalFormatting sqref="AF123:AG123 AG76">
    <cfRule type="duplicateValues" dxfId="6" priority="5"/>
  </conditionalFormatting>
  <conditionalFormatting sqref="AF193:AG194">
    <cfRule type="duplicateValues" dxfId="5" priority="4"/>
  </conditionalFormatting>
  <conditionalFormatting sqref="AF225:AG227 AF2:AG201 AJ215:AK215 AG220 AJ217:AK219 AK216 AJ221:AK222 AK220 AJ225:AK992 AK223 AF229:AG229 AG228 AF210:AG219 AG209 AF203:AG208 AG202 AG222:AG224">
    <cfRule type="duplicateValues" dxfId="4" priority="24"/>
  </conditionalFormatting>
  <conditionalFormatting sqref="AG129">
    <cfRule type="duplicateValues" dxfId="3" priority="7"/>
  </conditionalFormatting>
  <conditionalFormatting sqref="AJ993:AK993">
    <cfRule type="duplicateValues" dxfId="2" priority="1"/>
  </conditionalFormatting>
  <dataValidations disablePrompts="1" count="1">
    <dataValidation type="list" allowBlank="1" showInputMessage="1" showErrorMessage="1" sqref="D2:D992 C2:C993 Y2:Z992 AH2:AH992 G234:H992 G2:H232 J234:J992 J2:J232" xr:uid="{A94222F3-7AE7-431E-8074-57B2CB2B6D8D}">
      <formula1>#REF!</formula1>
    </dataValidation>
  </dataValidations>
  <hyperlinks>
    <hyperlink ref="AG233" r:id="rId1" xr:uid="{6FB8B203-E8F0-4AB6-8575-14E8F72AF53A}"/>
    <hyperlink ref="AG52" r:id="rId2" xr:uid="{FC27EF58-B1A2-4D25-873E-68DFFFA58D14}"/>
    <hyperlink ref="AG184" r:id="rId3" xr:uid="{ECF24A6B-8F0F-4D83-BB92-B170A022666E}"/>
    <hyperlink ref="AG158" r:id="rId4" xr:uid="{AE6A250C-65E1-4D50-BF03-F2105F5B1A94}"/>
    <hyperlink ref="AG83" r:id="rId5" xr:uid="{B8F8E8DE-60D4-4D4B-85F6-508D4DE51FDA}"/>
    <hyperlink ref="AG244" r:id="rId6" xr:uid="{0C0F6D42-7B3A-4D04-99B6-391E820A39D4}"/>
  </hyperlinks>
  <pageMargins left="0.7" right="0.7" top="0.75" bottom="0.75" header="0.3" footer="0.3"/>
  <pageSetup orientation="portrait" r:id="rId7"/>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F93031-6221-47AA-B2BE-F60EA3EB940D}">
  <dimension ref="A1:AS4971"/>
  <sheetViews>
    <sheetView workbookViewId="0">
      <pane ySplit="1" topLeftCell="A2" activePane="bottomLeft" state="frozen"/>
      <selection pane="bottomLeft"/>
    </sheetView>
  </sheetViews>
  <sheetFormatPr defaultColWidth="9.1796875" defaultRowHeight="14.5"/>
  <cols>
    <col min="1" max="1" width="7" style="1" bestFit="1" customWidth="1"/>
    <col min="2" max="2" width="23" style="2" customWidth="1"/>
    <col min="3" max="3" width="23.7265625" style="1" bestFit="1" customWidth="1"/>
    <col min="4" max="4" width="35.26953125" style="1" customWidth="1"/>
    <col min="5" max="5" width="23" style="1" customWidth="1"/>
    <col min="6" max="6" width="34.1796875" style="1" bestFit="1" customWidth="1"/>
    <col min="7" max="7" width="40.7265625" style="1" customWidth="1"/>
    <col min="8" max="8" width="39.81640625" style="1" customWidth="1"/>
    <col min="9" max="9" width="27.54296875" style="1" customWidth="1"/>
    <col min="10" max="10" width="44.7265625" style="1" bestFit="1" customWidth="1"/>
    <col min="11" max="11" width="20.26953125" style="1" customWidth="1"/>
    <col min="12" max="12" width="15.453125" style="1" customWidth="1"/>
    <col min="13" max="13" width="49.1796875" style="1" customWidth="1"/>
    <col min="14" max="14" width="26" style="1" customWidth="1"/>
    <col min="15" max="15" width="12.54296875" style="1" customWidth="1"/>
    <col min="16" max="16" width="21.54296875" style="1" customWidth="1"/>
    <col min="17" max="17" width="20.81640625" style="1" customWidth="1"/>
    <col min="18" max="18" width="25" style="1" customWidth="1"/>
    <col min="19" max="19" width="41.26953125" style="1" customWidth="1"/>
    <col min="20" max="22" width="24.26953125" style="1" customWidth="1"/>
    <col min="23" max="24" width="17.54296875" style="1" bestFit="1" customWidth="1"/>
    <col min="25" max="25" width="12" style="1" bestFit="1" customWidth="1"/>
    <col min="26" max="26" width="15.81640625" style="1" bestFit="1" customWidth="1"/>
    <col min="27" max="27" width="12.54296875" style="1" bestFit="1" customWidth="1"/>
    <col min="28" max="28" width="10.54296875" style="1" bestFit="1" customWidth="1"/>
    <col min="29" max="29" width="10.26953125" style="1" bestFit="1" customWidth="1"/>
    <col min="30" max="30" width="44.54296875" style="1" bestFit="1" customWidth="1"/>
    <col min="31" max="31" width="11.54296875" style="1" bestFit="1" customWidth="1"/>
    <col min="32" max="32" width="12.1796875" style="1" customWidth="1"/>
    <col min="33" max="33" width="10.1796875" style="1" bestFit="1" customWidth="1"/>
    <col min="34" max="34" width="11.54296875" style="1" bestFit="1" customWidth="1"/>
    <col min="35" max="35" width="10.26953125" style="1" bestFit="1" customWidth="1"/>
    <col min="36" max="36" width="9.453125" style="1" bestFit="1" customWidth="1"/>
    <col min="37" max="37" width="9.1796875" style="1"/>
    <col min="38" max="38" width="10" style="1" bestFit="1" customWidth="1"/>
    <col min="39" max="39" width="11.54296875" style="1" bestFit="1" customWidth="1"/>
    <col min="40" max="40" width="9.26953125" style="1" bestFit="1" customWidth="1"/>
    <col min="41" max="41" width="9.1796875" style="1"/>
    <col min="42" max="43" width="9.453125" style="1" bestFit="1" customWidth="1"/>
    <col min="44" max="44" width="11.54296875" style="1" bestFit="1" customWidth="1"/>
    <col min="45" max="45" width="10.26953125" style="28" bestFit="1" customWidth="1"/>
    <col min="46" max="16384" width="9.1796875" style="1"/>
  </cols>
  <sheetData>
    <row r="1" spans="1:45" customFormat="1" ht="31.5" customHeight="1">
      <c r="A1" s="9" t="s">
        <v>1029</v>
      </c>
      <c r="B1" s="10" t="s">
        <v>1030</v>
      </c>
      <c r="C1" s="7" t="s">
        <v>9</v>
      </c>
      <c r="D1" s="7" t="s">
        <v>1031</v>
      </c>
      <c r="E1" s="10" t="s">
        <v>8</v>
      </c>
      <c r="F1" s="9" t="s">
        <v>35</v>
      </c>
      <c r="G1" s="9" t="s">
        <v>1032</v>
      </c>
      <c r="H1" s="9" t="s">
        <v>1033</v>
      </c>
      <c r="I1" s="7" t="s">
        <v>38</v>
      </c>
      <c r="J1" s="10" t="s">
        <v>1034</v>
      </c>
      <c r="K1" s="9" t="s">
        <v>15</v>
      </c>
      <c r="L1" s="9" t="s">
        <v>1035</v>
      </c>
      <c r="M1" s="9" t="s">
        <v>1036</v>
      </c>
      <c r="N1" s="9" t="s">
        <v>1037</v>
      </c>
      <c r="O1" s="9" t="s">
        <v>1038</v>
      </c>
      <c r="P1" s="9" t="s">
        <v>1039</v>
      </c>
      <c r="Q1" s="9" t="s">
        <v>1040</v>
      </c>
      <c r="R1" s="9" t="s">
        <v>1041</v>
      </c>
      <c r="S1" s="9" t="s">
        <v>1042</v>
      </c>
      <c r="T1" s="9" t="s">
        <v>1043</v>
      </c>
      <c r="U1" s="11" t="s">
        <v>49</v>
      </c>
      <c r="V1" s="12" t="s">
        <v>1044</v>
      </c>
      <c r="W1" s="7" t="s">
        <v>29</v>
      </c>
      <c r="X1" s="7" t="s">
        <v>30</v>
      </c>
      <c r="Y1" s="7" t="s">
        <v>1045</v>
      </c>
      <c r="Z1" s="7" t="s">
        <v>14</v>
      </c>
      <c r="AA1" s="13" t="s">
        <v>1046</v>
      </c>
      <c r="AB1" s="14" t="s">
        <v>1047</v>
      </c>
      <c r="AC1" s="14" t="s">
        <v>1048</v>
      </c>
      <c r="AD1" s="14" t="s">
        <v>1049</v>
      </c>
      <c r="AE1" s="14" t="s">
        <v>1050</v>
      </c>
      <c r="AF1" s="14" t="s">
        <v>1051</v>
      </c>
      <c r="AG1" s="14" t="s">
        <v>1052</v>
      </c>
      <c r="AH1" s="15" t="s">
        <v>1053</v>
      </c>
      <c r="AI1" s="15" t="s">
        <v>39</v>
      </c>
      <c r="AJ1" s="15" t="s">
        <v>40</v>
      </c>
      <c r="AK1" s="16" t="s">
        <v>41</v>
      </c>
      <c r="AL1" s="16" t="s">
        <v>42</v>
      </c>
      <c r="AM1" s="17" t="s">
        <v>43</v>
      </c>
      <c r="AN1" s="17" t="s">
        <v>44</v>
      </c>
      <c r="AO1" s="18" t="s">
        <v>45</v>
      </c>
      <c r="AP1" s="18" t="s">
        <v>46</v>
      </c>
      <c r="AQ1" s="18" t="s">
        <v>47</v>
      </c>
      <c r="AR1" s="18" t="s">
        <v>48</v>
      </c>
      <c r="AS1" s="26" t="s">
        <v>49</v>
      </c>
    </row>
    <row r="2" spans="1:45">
      <c r="A2" s="19">
        <v>1</v>
      </c>
      <c r="B2" s="20">
        <v>45117</v>
      </c>
      <c r="C2" s="19" t="s">
        <v>116</v>
      </c>
      <c r="D2" s="19" t="s">
        <v>116</v>
      </c>
      <c r="E2" s="19" t="s">
        <v>451</v>
      </c>
      <c r="F2" s="19" t="s">
        <v>455</v>
      </c>
      <c r="G2" s="19">
        <v>9082352201</v>
      </c>
      <c r="H2" s="19" t="s">
        <v>456</v>
      </c>
      <c r="I2" s="19" t="s">
        <v>123</v>
      </c>
      <c r="J2" s="19" t="s">
        <v>452</v>
      </c>
      <c r="K2" s="19" t="s">
        <v>454</v>
      </c>
      <c r="L2" s="19" t="s">
        <v>1054</v>
      </c>
      <c r="M2" s="19" t="s">
        <v>1055</v>
      </c>
      <c r="N2" s="19" t="s">
        <v>1056</v>
      </c>
      <c r="O2" s="19" t="s">
        <v>1057</v>
      </c>
      <c r="P2" s="19" t="s">
        <v>1058</v>
      </c>
      <c r="Q2" s="19" t="s">
        <v>72</v>
      </c>
      <c r="R2" s="19" t="s">
        <v>72</v>
      </c>
      <c r="S2" s="19" t="s">
        <v>1059</v>
      </c>
      <c r="T2" s="19"/>
      <c r="U2" s="21">
        <v>45138</v>
      </c>
      <c r="V2" s="19"/>
      <c r="W2" s="19" t="s">
        <v>245</v>
      </c>
      <c r="X2" s="19" t="s">
        <v>245</v>
      </c>
      <c r="Y2" s="19"/>
      <c r="Z2" s="19" t="s">
        <v>68</v>
      </c>
      <c r="AA2" s="19"/>
      <c r="AB2" s="19"/>
      <c r="AC2" s="19"/>
      <c r="AD2" s="19"/>
      <c r="AE2" s="19"/>
      <c r="AF2" s="19"/>
      <c r="AG2" s="19"/>
      <c r="AH2" s="19"/>
      <c r="AI2" s="19"/>
      <c r="AJ2" s="19"/>
      <c r="AK2" s="19"/>
      <c r="AL2" s="19"/>
      <c r="AM2" s="19"/>
      <c r="AN2" s="19"/>
      <c r="AO2" s="19"/>
      <c r="AP2" s="19"/>
      <c r="AQ2" s="19"/>
      <c r="AR2" s="19"/>
      <c r="AS2" s="27"/>
    </row>
    <row r="3" spans="1:45">
      <c r="A3" s="19">
        <f t="shared" ref="A3:A66" si="0">A2+1</f>
        <v>2</v>
      </c>
      <c r="B3" s="20">
        <v>45167</v>
      </c>
      <c r="C3" s="19" t="s">
        <v>116</v>
      </c>
      <c r="D3" s="19" t="s">
        <v>116</v>
      </c>
      <c r="E3" s="19" t="s">
        <v>457</v>
      </c>
      <c r="F3" s="19" t="s">
        <v>460</v>
      </c>
      <c r="G3" s="19">
        <v>8237231584</v>
      </c>
      <c r="H3" s="19" t="s">
        <v>461</v>
      </c>
      <c r="I3" s="19" t="s">
        <v>123</v>
      </c>
      <c r="J3" s="19" t="s">
        <v>458</v>
      </c>
      <c r="K3" s="19" t="s">
        <v>459</v>
      </c>
      <c r="L3" s="19"/>
      <c r="M3" s="19"/>
      <c r="N3" s="19"/>
      <c r="O3" s="19"/>
      <c r="P3" s="19">
        <v>900000</v>
      </c>
      <c r="Q3" s="19" t="e" vm="1">
        <v>#VALUE!</v>
      </c>
      <c r="R3" s="19" t="s">
        <v>72</v>
      </c>
      <c r="S3" s="19"/>
      <c r="T3" s="19"/>
      <c r="U3" s="21">
        <v>45208</v>
      </c>
      <c r="V3" s="19"/>
      <c r="W3" s="19" t="s">
        <v>245</v>
      </c>
      <c r="X3" s="19" t="s">
        <v>245</v>
      </c>
      <c r="Y3" s="19"/>
      <c r="Z3" s="19" t="s">
        <v>68</v>
      </c>
      <c r="AA3" s="19"/>
      <c r="AB3" s="19"/>
      <c r="AC3" s="19"/>
      <c r="AD3" s="19"/>
      <c r="AE3" s="19"/>
      <c r="AF3" s="19"/>
      <c r="AG3" s="19"/>
      <c r="AH3" s="19"/>
      <c r="AI3" s="19"/>
      <c r="AJ3" s="19"/>
      <c r="AK3" s="19"/>
      <c r="AL3" s="19"/>
      <c r="AM3" s="19"/>
      <c r="AN3" s="19"/>
      <c r="AO3" s="19"/>
      <c r="AP3" s="19"/>
      <c r="AQ3" s="19"/>
      <c r="AR3" s="19"/>
      <c r="AS3" s="27"/>
    </row>
    <row r="4" spans="1:45">
      <c r="A4" s="19">
        <f t="shared" si="0"/>
        <v>3</v>
      </c>
      <c r="B4" s="20">
        <v>45182</v>
      </c>
      <c r="C4" s="19" t="s">
        <v>116</v>
      </c>
      <c r="D4" s="19" t="s">
        <v>116</v>
      </c>
      <c r="E4" s="19" t="s">
        <v>462</v>
      </c>
      <c r="F4" s="19" t="s">
        <v>464</v>
      </c>
      <c r="G4" s="19">
        <v>7050402981</v>
      </c>
      <c r="H4" s="19" t="s">
        <v>465</v>
      </c>
      <c r="I4" s="19" t="s">
        <v>123</v>
      </c>
      <c r="J4" s="19" t="s">
        <v>463</v>
      </c>
      <c r="K4" s="19" t="s">
        <v>454</v>
      </c>
      <c r="L4" s="19"/>
      <c r="M4" s="19"/>
      <c r="N4" s="19"/>
      <c r="O4" s="19"/>
      <c r="P4" s="19">
        <v>900000</v>
      </c>
      <c r="Q4" s="19" t="e" vm="1">
        <v>#VALUE!</v>
      </c>
      <c r="R4" s="19" t="s">
        <v>72</v>
      </c>
      <c r="S4" s="19"/>
      <c r="T4" s="19"/>
      <c r="U4" s="21">
        <v>45293</v>
      </c>
      <c r="V4" s="19"/>
      <c r="W4" s="19" t="s">
        <v>245</v>
      </c>
      <c r="X4" s="19" t="s">
        <v>245</v>
      </c>
      <c r="Y4" s="19"/>
      <c r="Z4" s="19" t="s">
        <v>345</v>
      </c>
      <c r="AA4" s="19"/>
      <c r="AB4" s="19"/>
      <c r="AC4" s="19"/>
      <c r="AD4" s="19"/>
      <c r="AE4" s="19"/>
      <c r="AF4" s="19"/>
      <c r="AG4" s="19"/>
      <c r="AH4" s="19"/>
      <c r="AI4" s="19"/>
      <c r="AJ4" s="19"/>
      <c r="AK4" s="19"/>
      <c r="AL4" s="19"/>
      <c r="AM4" s="19"/>
      <c r="AN4" s="19"/>
      <c r="AO4" s="19"/>
      <c r="AP4" s="19"/>
      <c r="AQ4" s="19"/>
      <c r="AR4" s="19"/>
      <c r="AS4" s="27"/>
    </row>
    <row r="5" spans="1:45">
      <c r="A5" s="19">
        <f t="shared" si="0"/>
        <v>4</v>
      </c>
      <c r="B5" s="20">
        <v>45194</v>
      </c>
      <c r="C5" s="19" t="s">
        <v>116</v>
      </c>
      <c r="D5" s="19" t="s">
        <v>116</v>
      </c>
      <c r="E5" s="19" t="s">
        <v>466</v>
      </c>
      <c r="F5" s="19" t="s">
        <v>469</v>
      </c>
      <c r="G5" s="19">
        <v>7620790404</v>
      </c>
      <c r="H5" s="19" t="s">
        <v>470</v>
      </c>
      <c r="I5" s="19" t="s">
        <v>123</v>
      </c>
      <c r="J5" s="19" t="s">
        <v>467</v>
      </c>
      <c r="K5" s="19" t="s">
        <v>576</v>
      </c>
      <c r="L5" s="19"/>
      <c r="M5" s="19"/>
      <c r="N5" s="19"/>
      <c r="O5" s="19"/>
      <c r="P5" s="19">
        <v>1500000</v>
      </c>
      <c r="Q5" s="19" t="e" vm="1">
        <v>#VALUE!</v>
      </c>
      <c r="R5" s="19" t="s">
        <v>72</v>
      </c>
      <c r="S5" s="19"/>
      <c r="T5" s="19"/>
      <c r="U5" s="21">
        <v>45271</v>
      </c>
      <c r="V5" s="19"/>
      <c r="W5" s="19" t="s">
        <v>245</v>
      </c>
      <c r="X5" s="19" t="s">
        <v>245</v>
      </c>
      <c r="Y5" s="19"/>
      <c r="Z5" s="19" t="s">
        <v>68</v>
      </c>
      <c r="AA5" s="19"/>
      <c r="AB5" s="19"/>
      <c r="AC5" s="19"/>
      <c r="AD5" s="19"/>
      <c r="AE5" s="19"/>
      <c r="AF5" s="19"/>
      <c r="AG5" s="19"/>
      <c r="AH5" s="19"/>
      <c r="AI5" s="19"/>
      <c r="AJ5" s="19"/>
      <c r="AK5" s="19"/>
      <c r="AL5" s="19"/>
      <c r="AM5" s="19"/>
      <c r="AN5" s="19"/>
      <c r="AO5" s="19"/>
      <c r="AP5" s="19"/>
      <c r="AQ5" s="19"/>
      <c r="AR5" s="19"/>
      <c r="AS5" s="27"/>
    </row>
    <row r="6" spans="1:45">
      <c r="A6" s="19">
        <f t="shared" si="0"/>
        <v>5</v>
      </c>
      <c r="B6" s="20">
        <v>45212</v>
      </c>
      <c r="C6" s="19" t="s">
        <v>116</v>
      </c>
      <c r="D6" s="19" t="s">
        <v>116</v>
      </c>
      <c r="E6" s="19" t="s">
        <v>471</v>
      </c>
      <c r="F6" s="19" t="s">
        <v>473</v>
      </c>
      <c r="G6" s="19">
        <v>8839262451</v>
      </c>
      <c r="H6" s="19" t="s">
        <v>474</v>
      </c>
      <c r="I6" s="19" t="s">
        <v>123</v>
      </c>
      <c r="J6" s="19" t="s">
        <v>472</v>
      </c>
      <c r="K6" s="19" t="s">
        <v>576</v>
      </c>
      <c r="L6" s="19"/>
      <c r="M6" s="19"/>
      <c r="N6" s="19"/>
      <c r="O6" s="19"/>
      <c r="P6" s="19">
        <v>600000</v>
      </c>
      <c r="Q6" s="19" t="e" vm="1">
        <v>#VALUE!</v>
      </c>
      <c r="R6" s="19" t="s">
        <v>72</v>
      </c>
      <c r="S6" s="19"/>
      <c r="T6" s="19"/>
      <c r="U6" s="21">
        <v>45250</v>
      </c>
      <c r="V6" s="19"/>
      <c r="W6" s="19" t="s">
        <v>245</v>
      </c>
      <c r="X6" s="19" t="s">
        <v>245</v>
      </c>
      <c r="Y6" s="19"/>
      <c r="Z6" s="19" t="s">
        <v>68</v>
      </c>
      <c r="AA6" s="19"/>
      <c r="AB6" s="19"/>
      <c r="AC6" s="19"/>
      <c r="AD6" s="19"/>
      <c r="AE6" s="19"/>
      <c r="AF6" s="19"/>
      <c r="AG6" s="19"/>
      <c r="AH6" s="19"/>
      <c r="AI6" s="19"/>
      <c r="AJ6" s="19"/>
      <c r="AK6" s="19"/>
      <c r="AL6" s="19"/>
      <c r="AM6" s="19"/>
      <c r="AN6" s="19"/>
      <c r="AO6" s="19"/>
      <c r="AP6" s="19"/>
      <c r="AQ6" s="19"/>
      <c r="AR6" s="19"/>
      <c r="AS6" s="27"/>
    </row>
    <row r="7" spans="1:45">
      <c r="A7" s="19">
        <f t="shared" si="0"/>
        <v>6</v>
      </c>
      <c r="B7" s="20">
        <v>45215</v>
      </c>
      <c r="C7" s="19" t="s">
        <v>116</v>
      </c>
      <c r="D7" s="19" t="s">
        <v>116</v>
      </c>
      <c r="E7" s="19" t="s">
        <v>479</v>
      </c>
      <c r="F7" s="19" t="s">
        <v>480</v>
      </c>
      <c r="G7" s="19">
        <v>9449880713</v>
      </c>
      <c r="H7" s="19" t="s">
        <v>481</v>
      </c>
      <c r="I7" s="19" t="s">
        <v>123</v>
      </c>
      <c r="J7" s="19" t="s">
        <v>476</v>
      </c>
      <c r="K7" s="19" t="s">
        <v>576</v>
      </c>
      <c r="L7" s="19"/>
      <c r="M7" s="19"/>
      <c r="N7" s="19"/>
      <c r="O7" s="19"/>
      <c r="P7" s="19">
        <v>850000</v>
      </c>
      <c r="Q7" s="19" t="e" vm="1">
        <v>#VALUE!</v>
      </c>
      <c r="R7" s="19" t="s">
        <v>72</v>
      </c>
      <c r="S7" s="19"/>
      <c r="T7" s="19"/>
      <c r="U7" s="21">
        <v>45299</v>
      </c>
      <c r="V7" s="19"/>
      <c r="W7" s="19" t="s">
        <v>245</v>
      </c>
      <c r="X7" s="19" t="s">
        <v>245</v>
      </c>
      <c r="Y7" s="19"/>
      <c r="Z7" s="19" t="s">
        <v>68</v>
      </c>
      <c r="AA7" s="19"/>
      <c r="AB7" s="19"/>
      <c r="AC7" s="19"/>
      <c r="AD7" s="19"/>
      <c r="AE7" s="19"/>
      <c r="AF7" s="19"/>
      <c r="AG7" s="19"/>
      <c r="AH7" s="19"/>
      <c r="AI7" s="19"/>
      <c r="AJ7" s="19"/>
      <c r="AK7" s="19"/>
      <c r="AL7" s="19"/>
      <c r="AM7" s="19"/>
      <c r="AN7" s="19"/>
      <c r="AO7" s="19"/>
      <c r="AP7" s="19"/>
      <c r="AQ7" s="19"/>
      <c r="AR7" s="19"/>
      <c r="AS7" s="27"/>
    </row>
    <row r="8" spans="1:45">
      <c r="A8" s="19">
        <f t="shared" si="0"/>
        <v>7</v>
      </c>
      <c r="B8" s="20">
        <v>45224</v>
      </c>
      <c r="C8" s="19" t="s">
        <v>116</v>
      </c>
      <c r="D8" s="19" t="s">
        <v>116</v>
      </c>
      <c r="E8" s="19" t="s">
        <v>475</v>
      </c>
      <c r="F8" s="19" t="s">
        <v>477</v>
      </c>
      <c r="G8" s="19">
        <v>8805040144</v>
      </c>
      <c r="H8" s="19" t="s">
        <v>478</v>
      </c>
      <c r="I8" s="19" t="s">
        <v>123</v>
      </c>
      <c r="J8" s="19" t="s">
        <v>476</v>
      </c>
      <c r="K8" s="19" t="s">
        <v>576</v>
      </c>
      <c r="L8" s="19"/>
      <c r="M8" s="19"/>
      <c r="N8" s="19"/>
      <c r="O8" s="19"/>
      <c r="P8" s="19">
        <v>950000</v>
      </c>
      <c r="Q8" s="19" t="e" vm="1">
        <v>#VALUE!</v>
      </c>
      <c r="R8" s="19" t="s">
        <v>72</v>
      </c>
      <c r="S8" s="19"/>
      <c r="T8" s="19"/>
      <c r="U8" s="21">
        <v>45327</v>
      </c>
      <c r="V8" s="19"/>
      <c r="W8" s="19" t="s">
        <v>245</v>
      </c>
      <c r="X8" s="19" t="s">
        <v>144</v>
      </c>
      <c r="Y8" s="19"/>
      <c r="Z8" s="19" t="s">
        <v>68</v>
      </c>
      <c r="AA8" s="19"/>
      <c r="AB8" s="19"/>
      <c r="AC8" s="19"/>
      <c r="AD8" s="19"/>
      <c r="AE8" s="19"/>
      <c r="AF8" s="19"/>
      <c r="AG8" s="19"/>
      <c r="AH8" s="19"/>
      <c r="AI8" s="19"/>
      <c r="AJ8" s="19"/>
      <c r="AK8" s="19"/>
      <c r="AL8" s="19"/>
      <c r="AM8" s="19"/>
      <c r="AN8" s="19"/>
      <c r="AO8" s="19"/>
      <c r="AP8" s="19"/>
      <c r="AQ8" s="19"/>
      <c r="AR8" s="19"/>
      <c r="AS8" s="27"/>
    </row>
    <row r="9" spans="1:45">
      <c r="A9" s="19">
        <f t="shared" si="0"/>
        <v>8</v>
      </c>
      <c r="B9" s="20">
        <v>45231</v>
      </c>
      <c r="C9" s="19" t="s">
        <v>116</v>
      </c>
      <c r="D9" s="19" t="s">
        <v>116</v>
      </c>
      <c r="E9" s="19" t="s">
        <v>482</v>
      </c>
      <c r="F9" s="19" t="s">
        <v>484</v>
      </c>
      <c r="G9" s="19">
        <v>8805766463</v>
      </c>
      <c r="H9" s="19" t="s">
        <v>485</v>
      </c>
      <c r="I9" s="19" t="s">
        <v>123</v>
      </c>
      <c r="J9" s="19" t="s">
        <v>483</v>
      </c>
      <c r="K9" s="19" t="s">
        <v>459</v>
      </c>
      <c r="L9" s="19"/>
      <c r="M9" s="19"/>
      <c r="N9" s="19"/>
      <c r="O9" s="19"/>
      <c r="P9" s="19">
        <v>800000</v>
      </c>
      <c r="Q9" s="19" t="e" vm="1">
        <v>#VALUE!</v>
      </c>
      <c r="R9" s="19" t="s">
        <v>72</v>
      </c>
      <c r="S9" s="19"/>
      <c r="T9" s="19"/>
      <c r="U9" s="21">
        <v>45327</v>
      </c>
      <c r="V9" s="19"/>
      <c r="W9" s="19" t="s">
        <v>245</v>
      </c>
      <c r="X9" s="19" t="s">
        <v>245</v>
      </c>
      <c r="Y9" s="19"/>
      <c r="Z9" s="19" t="s">
        <v>68</v>
      </c>
      <c r="AA9" s="19"/>
      <c r="AB9" s="19"/>
      <c r="AC9" s="19"/>
      <c r="AD9" s="19"/>
      <c r="AE9" s="19"/>
      <c r="AF9" s="19"/>
      <c r="AG9" s="19"/>
      <c r="AH9" s="19"/>
      <c r="AI9" s="19"/>
      <c r="AJ9" s="19"/>
      <c r="AK9" s="19"/>
      <c r="AL9" s="19"/>
      <c r="AM9" s="19"/>
      <c r="AN9" s="19"/>
      <c r="AO9" s="19"/>
      <c r="AP9" s="19"/>
      <c r="AQ9" s="19"/>
      <c r="AR9" s="19"/>
      <c r="AS9" s="27"/>
    </row>
    <row r="10" spans="1:45">
      <c r="A10" s="19">
        <f t="shared" si="0"/>
        <v>9</v>
      </c>
      <c r="B10" s="20">
        <v>45231</v>
      </c>
      <c r="C10" s="19" t="s">
        <v>116</v>
      </c>
      <c r="D10" s="19" t="s">
        <v>116</v>
      </c>
      <c r="E10" s="19" t="s">
        <v>486</v>
      </c>
      <c r="F10" s="19" t="s">
        <v>488</v>
      </c>
      <c r="G10" s="19">
        <v>9637167353</v>
      </c>
      <c r="H10" s="19" t="s">
        <v>1060</v>
      </c>
      <c r="I10" s="19" t="s">
        <v>86</v>
      </c>
      <c r="J10" s="19" t="s">
        <v>487</v>
      </c>
      <c r="K10" s="19" t="s">
        <v>459</v>
      </c>
      <c r="L10" s="19"/>
      <c r="M10" s="19"/>
      <c r="N10" s="19"/>
      <c r="O10" s="19"/>
      <c r="P10" s="19">
        <v>1200000</v>
      </c>
      <c r="Q10" s="19" t="e" vm="1">
        <v>#VALUE!</v>
      </c>
      <c r="R10" s="19" t="s">
        <v>72</v>
      </c>
      <c r="S10" s="19"/>
      <c r="T10" s="19"/>
      <c r="U10" s="21">
        <v>45351</v>
      </c>
      <c r="V10" s="19"/>
      <c r="W10" s="19" t="s">
        <v>245</v>
      </c>
      <c r="X10" s="19" t="s">
        <v>245</v>
      </c>
      <c r="Y10" s="19"/>
      <c r="Z10" s="19" t="s">
        <v>68</v>
      </c>
      <c r="AA10" s="19"/>
      <c r="AB10" s="19"/>
      <c r="AC10" s="19"/>
      <c r="AD10" s="19"/>
      <c r="AE10" s="19"/>
      <c r="AF10" s="19"/>
      <c r="AG10" s="19"/>
      <c r="AH10" s="19"/>
      <c r="AI10" s="19"/>
      <c r="AJ10" s="19"/>
      <c r="AK10" s="19"/>
      <c r="AL10" s="19"/>
      <c r="AM10" s="19"/>
      <c r="AN10" s="19"/>
      <c r="AO10" s="19"/>
      <c r="AP10" s="19"/>
      <c r="AQ10" s="19"/>
      <c r="AR10" s="19"/>
      <c r="AS10" s="27"/>
    </row>
    <row r="11" spans="1:45">
      <c r="A11" s="19">
        <f t="shared" si="0"/>
        <v>10</v>
      </c>
      <c r="B11" s="20">
        <v>45231</v>
      </c>
      <c r="C11" s="19" t="s">
        <v>116</v>
      </c>
      <c r="D11" s="19" t="s">
        <v>116</v>
      </c>
      <c r="E11" s="19" t="s">
        <v>490</v>
      </c>
      <c r="F11" s="19" t="s">
        <v>491</v>
      </c>
      <c r="G11" s="19">
        <v>9130333075</v>
      </c>
      <c r="H11" s="19" t="s">
        <v>489</v>
      </c>
      <c r="I11" s="19" t="s">
        <v>123</v>
      </c>
      <c r="J11" s="19" t="s">
        <v>476</v>
      </c>
      <c r="K11" s="19" t="s">
        <v>576</v>
      </c>
      <c r="L11" s="19"/>
      <c r="M11" s="19"/>
      <c r="N11" s="19"/>
      <c r="O11" s="19"/>
      <c r="P11" s="19">
        <v>850000</v>
      </c>
      <c r="Q11" s="19" t="e" vm="1">
        <v>#VALUE!</v>
      </c>
      <c r="R11" s="19" t="s">
        <v>72</v>
      </c>
      <c r="S11" s="19"/>
      <c r="T11" s="19"/>
      <c r="U11" s="21">
        <v>45250</v>
      </c>
      <c r="V11" s="19"/>
      <c r="W11" s="19" t="s">
        <v>245</v>
      </c>
      <c r="X11" s="19" t="s">
        <v>245</v>
      </c>
      <c r="Y11" s="19"/>
      <c r="Z11" s="19" t="s">
        <v>68</v>
      </c>
      <c r="AA11" s="19"/>
      <c r="AB11" s="19"/>
      <c r="AC11" s="19"/>
      <c r="AD11" s="19"/>
      <c r="AE11" s="19"/>
      <c r="AF11" s="19"/>
      <c r="AG11" s="19"/>
      <c r="AH11" s="19"/>
      <c r="AI11" s="19"/>
      <c r="AJ11" s="19"/>
      <c r="AK11" s="19"/>
      <c r="AL11" s="19"/>
      <c r="AM11" s="19"/>
      <c r="AN11" s="19"/>
      <c r="AO11" s="19"/>
      <c r="AP11" s="19"/>
      <c r="AQ11" s="19"/>
      <c r="AR11" s="19"/>
      <c r="AS11" s="27"/>
    </row>
    <row r="12" spans="1:45">
      <c r="A12" s="19">
        <f t="shared" si="0"/>
        <v>11</v>
      </c>
      <c r="B12" s="20">
        <v>45231</v>
      </c>
      <c r="C12" s="19" t="s">
        <v>116</v>
      </c>
      <c r="D12" s="19" t="s">
        <v>116</v>
      </c>
      <c r="E12" s="19" t="s">
        <v>493</v>
      </c>
      <c r="F12" s="19" t="s">
        <v>494</v>
      </c>
      <c r="G12" s="19">
        <v>9850674952</v>
      </c>
      <c r="H12" s="19" t="s">
        <v>495</v>
      </c>
      <c r="I12" s="19" t="s">
        <v>123</v>
      </c>
      <c r="J12" s="19" t="s">
        <v>476</v>
      </c>
      <c r="K12" s="19" t="s">
        <v>576</v>
      </c>
      <c r="L12" s="19"/>
      <c r="M12" s="19"/>
      <c r="N12" s="19"/>
      <c r="O12" s="19"/>
      <c r="P12" s="19">
        <v>790000</v>
      </c>
      <c r="Q12" s="19" t="e" vm="1">
        <v>#VALUE!</v>
      </c>
      <c r="R12" s="19" t="s">
        <v>72</v>
      </c>
      <c r="S12" s="19"/>
      <c r="T12" s="19"/>
      <c r="U12" s="21">
        <v>45327</v>
      </c>
      <c r="V12" s="19"/>
      <c r="W12" s="19" t="s">
        <v>245</v>
      </c>
      <c r="X12" s="19" t="s">
        <v>144</v>
      </c>
      <c r="Y12" s="19"/>
      <c r="Z12" s="19" t="s">
        <v>68</v>
      </c>
      <c r="AA12" s="19"/>
      <c r="AB12" s="19"/>
      <c r="AC12" s="19"/>
      <c r="AD12" s="19"/>
      <c r="AE12" s="19"/>
      <c r="AF12" s="19"/>
      <c r="AG12" s="19"/>
      <c r="AH12" s="19"/>
      <c r="AI12" s="19"/>
      <c r="AJ12" s="19"/>
      <c r="AK12" s="19"/>
      <c r="AL12" s="19"/>
      <c r="AM12" s="19"/>
      <c r="AN12" s="19"/>
      <c r="AO12" s="19"/>
      <c r="AP12" s="19"/>
      <c r="AQ12" s="19"/>
      <c r="AR12" s="19"/>
      <c r="AS12" s="27"/>
    </row>
    <row r="13" spans="1:45">
      <c r="A13" s="19">
        <f t="shared" si="0"/>
        <v>12</v>
      </c>
      <c r="B13" s="20">
        <v>45257</v>
      </c>
      <c r="C13" s="19" t="s">
        <v>116</v>
      </c>
      <c r="D13" s="19" t="s">
        <v>116</v>
      </c>
      <c r="E13" s="19" t="s">
        <v>500</v>
      </c>
      <c r="F13" s="19" t="s">
        <v>502</v>
      </c>
      <c r="G13" s="19">
        <v>9041199799</v>
      </c>
      <c r="H13" s="19" t="s">
        <v>503</v>
      </c>
      <c r="I13" s="19" t="s">
        <v>123</v>
      </c>
      <c r="J13" s="19" t="s">
        <v>501</v>
      </c>
      <c r="K13" s="19" t="s">
        <v>576</v>
      </c>
      <c r="L13" s="19"/>
      <c r="M13" s="19"/>
      <c r="N13" s="19"/>
      <c r="O13" s="19"/>
      <c r="P13" s="19">
        <v>2550000</v>
      </c>
      <c r="Q13" s="19" t="e" vm="1">
        <v>#VALUE!</v>
      </c>
      <c r="R13" s="19" t="s">
        <v>72</v>
      </c>
      <c r="S13" s="19"/>
      <c r="T13" s="19"/>
      <c r="U13" s="21">
        <v>45306</v>
      </c>
      <c r="V13" s="19"/>
      <c r="W13" s="19" t="s">
        <v>245</v>
      </c>
      <c r="X13" s="19" t="s">
        <v>245</v>
      </c>
      <c r="Y13" s="19"/>
      <c r="Z13" s="19" t="s">
        <v>68</v>
      </c>
      <c r="AA13" s="19"/>
      <c r="AB13" s="19"/>
      <c r="AC13" s="19"/>
      <c r="AD13" s="19"/>
      <c r="AE13" s="19"/>
      <c r="AF13" s="19"/>
      <c r="AG13" s="19"/>
      <c r="AH13" s="19"/>
      <c r="AI13" s="19"/>
      <c r="AJ13" s="19"/>
      <c r="AK13" s="19"/>
      <c r="AL13" s="19"/>
      <c r="AM13" s="19"/>
      <c r="AN13" s="19"/>
      <c r="AO13" s="19"/>
      <c r="AP13" s="19"/>
      <c r="AQ13" s="19"/>
      <c r="AR13" s="19"/>
      <c r="AS13" s="27"/>
    </row>
    <row r="14" spans="1:45">
      <c r="A14" s="19">
        <f t="shared" si="0"/>
        <v>13</v>
      </c>
      <c r="B14" s="20">
        <v>45266</v>
      </c>
      <c r="C14" s="19" t="s">
        <v>116</v>
      </c>
      <c r="D14" s="19" t="s">
        <v>116</v>
      </c>
      <c r="E14" s="19" t="s">
        <v>496</v>
      </c>
      <c r="F14" s="19" t="s">
        <v>498</v>
      </c>
      <c r="G14" s="19">
        <v>8796289621</v>
      </c>
      <c r="H14" s="19"/>
      <c r="I14" s="19" t="s">
        <v>123</v>
      </c>
      <c r="J14" s="19" t="s">
        <v>497</v>
      </c>
      <c r="K14" s="19" t="s">
        <v>228</v>
      </c>
      <c r="L14" s="19"/>
      <c r="M14" s="19"/>
      <c r="N14" s="19"/>
      <c r="O14" s="19"/>
      <c r="P14" s="19" t="s">
        <v>492</v>
      </c>
      <c r="Q14" s="19" t="e" vm="1">
        <v>#VALUE!</v>
      </c>
      <c r="R14" s="19" t="s">
        <v>72</v>
      </c>
      <c r="S14" s="19"/>
      <c r="T14" s="19"/>
      <c r="U14" s="21">
        <v>45293</v>
      </c>
      <c r="V14" s="19"/>
      <c r="W14" s="19" t="s">
        <v>245</v>
      </c>
      <c r="X14" s="19" t="s">
        <v>245</v>
      </c>
      <c r="Y14" s="19"/>
      <c r="Z14" s="19" t="s">
        <v>111</v>
      </c>
      <c r="AA14" s="19"/>
      <c r="AB14" s="19"/>
      <c r="AC14" s="19"/>
      <c r="AD14" s="19"/>
      <c r="AE14" s="19"/>
      <c r="AF14" s="19"/>
      <c r="AG14" s="19"/>
      <c r="AH14" s="19"/>
      <c r="AI14" s="19"/>
      <c r="AJ14" s="19"/>
      <c r="AK14" s="19"/>
      <c r="AL14" s="19"/>
      <c r="AM14" s="19"/>
      <c r="AN14" s="19"/>
      <c r="AO14" s="19"/>
      <c r="AP14" s="19"/>
      <c r="AQ14" s="19"/>
      <c r="AR14" s="19"/>
      <c r="AS14" s="27"/>
    </row>
    <row r="15" spans="1:45">
      <c r="A15" s="19">
        <f t="shared" si="0"/>
        <v>14</v>
      </c>
      <c r="B15" s="20">
        <v>45289</v>
      </c>
      <c r="C15" s="19" t="s">
        <v>116</v>
      </c>
      <c r="D15" s="19" t="s">
        <v>116</v>
      </c>
      <c r="E15" s="19" t="s">
        <v>504</v>
      </c>
      <c r="F15" s="19" t="s">
        <v>506</v>
      </c>
      <c r="G15" s="19">
        <v>9595590095</v>
      </c>
      <c r="H15" s="19" t="s">
        <v>1061</v>
      </c>
      <c r="I15" s="19" t="s">
        <v>123</v>
      </c>
      <c r="J15" s="19" t="s">
        <v>505</v>
      </c>
      <c r="K15" s="19" t="s">
        <v>228</v>
      </c>
      <c r="L15" s="19"/>
      <c r="M15" s="19"/>
      <c r="N15" s="19"/>
      <c r="O15" s="19"/>
      <c r="P15" s="19">
        <v>2200000</v>
      </c>
      <c r="Q15" s="19" t="e" vm="1">
        <v>#VALUE!</v>
      </c>
      <c r="R15" s="19" t="s">
        <v>72</v>
      </c>
      <c r="S15" s="19"/>
      <c r="T15" s="19"/>
      <c r="U15" s="21">
        <v>45357</v>
      </c>
      <c r="V15" s="19"/>
      <c r="W15" s="19" t="s">
        <v>245</v>
      </c>
      <c r="X15" s="19" t="s">
        <v>657</v>
      </c>
      <c r="Y15" s="19"/>
      <c r="Z15" s="19" t="s">
        <v>111</v>
      </c>
      <c r="AA15" s="19"/>
      <c r="AB15" s="19"/>
      <c r="AC15" s="19"/>
      <c r="AD15" s="19"/>
      <c r="AE15" s="19"/>
      <c r="AF15" s="19"/>
      <c r="AG15" s="19"/>
      <c r="AH15" s="19"/>
      <c r="AI15" s="19"/>
      <c r="AJ15" s="19"/>
      <c r="AK15" s="19"/>
      <c r="AL15" s="19"/>
      <c r="AM15" s="19"/>
      <c r="AN15" s="19"/>
      <c r="AO15" s="19"/>
      <c r="AP15" s="19"/>
      <c r="AQ15" s="19"/>
      <c r="AR15" s="19"/>
      <c r="AS15" s="27"/>
    </row>
    <row r="16" spans="1:45">
      <c r="A16" s="19">
        <f t="shared" si="0"/>
        <v>15</v>
      </c>
      <c r="B16" s="20">
        <v>45301</v>
      </c>
      <c r="C16" s="19" t="s">
        <v>116</v>
      </c>
      <c r="D16" s="19" t="s">
        <v>116</v>
      </c>
      <c r="E16" s="19" t="s">
        <v>140</v>
      </c>
      <c r="F16" s="19" t="s">
        <v>146</v>
      </c>
      <c r="G16" s="19">
        <v>8793916009</v>
      </c>
      <c r="H16" s="19" t="s">
        <v>148</v>
      </c>
      <c r="I16" s="19" t="s">
        <v>123</v>
      </c>
      <c r="J16" s="19" t="s">
        <v>141</v>
      </c>
      <c r="K16" s="19" t="s">
        <v>1062</v>
      </c>
      <c r="L16" s="19" t="s">
        <v>1063</v>
      </c>
      <c r="M16" s="19" t="s">
        <v>1064</v>
      </c>
      <c r="N16" s="19" t="s">
        <v>1065</v>
      </c>
      <c r="O16" s="19"/>
      <c r="P16" s="19" t="s">
        <v>1066</v>
      </c>
      <c r="Q16" s="19" t="e" vm="1">
        <v>#VALUE!</v>
      </c>
      <c r="R16" s="19" t="s">
        <v>72</v>
      </c>
      <c r="S16" s="19" t="s">
        <v>1067</v>
      </c>
      <c r="T16" s="19" t="s">
        <v>858</v>
      </c>
      <c r="U16" s="21">
        <v>45362</v>
      </c>
      <c r="V16" s="19"/>
      <c r="W16" s="19" t="s">
        <v>144</v>
      </c>
      <c r="X16" s="19" t="s">
        <v>144</v>
      </c>
      <c r="Y16" s="19" t="s">
        <v>70</v>
      </c>
      <c r="Z16" s="19" t="s">
        <v>68</v>
      </c>
      <c r="AA16" s="19"/>
      <c r="AB16" s="19"/>
      <c r="AC16" s="19"/>
      <c r="AD16" s="19"/>
      <c r="AE16" s="19"/>
      <c r="AF16" s="19"/>
      <c r="AG16" s="19"/>
      <c r="AH16" s="19"/>
      <c r="AI16" s="19"/>
      <c r="AJ16" s="19"/>
      <c r="AK16" s="19"/>
      <c r="AL16" s="19"/>
      <c r="AM16" s="19"/>
      <c r="AN16" s="19"/>
      <c r="AO16" s="19"/>
      <c r="AP16" s="19"/>
      <c r="AQ16" s="19"/>
      <c r="AR16" s="19"/>
      <c r="AS16" s="27"/>
    </row>
    <row r="17" spans="1:45">
      <c r="A17" s="19">
        <f t="shared" si="0"/>
        <v>16</v>
      </c>
      <c r="B17" s="20">
        <v>45301</v>
      </c>
      <c r="C17" s="19" t="s">
        <v>116</v>
      </c>
      <c r="D17" s="19" t="s">
        <v>116</v>
      </c>
      <c r="E17" s="19" t="s">
        <v>183</v>
      </c>
      <c r="F17" s="19" t="s">
        <v>1068</v>
      </c>
      <c r="G17" s="19">
        <v>8668520481</v>
      </c>
      <c r="H17" s="19" t="s">
        <v>187</v>
      </c>
      <c r="I17" s="19" t="s">
        <v>86</v>
      </c>
      <c r="J17" s="19" t="s">
        <v>1069</v>
      </c>
      <c r="K17" s="19" t="s">
        <v>652</v>
      </c>
      <c r="L17" s="19" t="s">
        <v>1070</v>
      </c>
      <c r="M17" s="19" t="s">
        <v>1071</v>
      </c>
      <c r="N17" s="19" t="s">
        <v>1072</v>
      </c>
      <c r="O17" s="19"/>
      <c r="P17" s="19" t="s">
        <v>1073</v>
      </c>
      <c r="Q17" s="19" t="s">
        <v>72</v>
      </c>
      <c r="R17" s="19" t="s">
        <v>72</v>
      </c>
      <c r="S17" s="19" t="s">
        <v>1074</v>
      </c>
      <c r="T17" s="19" t="s">
        <v>1075</v>
      </c>
      <c r="U17" s="21">
        <v>45271</v>
      </c>
      <c r="V17" s="19"/>
      <c r="W17" s="19" t="s">
        <v>144</v>
      </c>
      <c r="X17" s="19" t="s">
        <v>144</v>
      </c>
      <c r="Y17" s="19" t="s">
        <v>70</v>
      </c>
      <c r="Z17" s="19" t="s">
        <v>151</v>
      </c>
      <c r="AA17" s="19"/>
      <c r="AB17" s="19"/>
      <c r="AC17" s="19"/>
      <c r="AD17" s="19"/>
      <c r="AE17" s="19"/>
      <c r="AF17" s="19"/>
      <c r="AG17" s="19"/>
      <c r="AH17" s="19"/>
      <c r="AI17" s="19"/>
      <c r="AJ17" s="19"/>
      <c r="AK17" s="19"/>
      <c r="AL17" s="19"/>
      <c r="AM17" s="19"/>
      <c r="AN17" s="19"/>
      <c r="AO17" s="19"/>
      <c r="AP17" s="19"/>
      <c r="AQ17" s="19"/>
      <c r="AR17" s="19"/>
      <c r="AS17" s="27"/>
    </row>
    <row r="18" spans="1:45">
      <c r="A18" s="19">
        <f t="shared" si="0"/>
        <v>17</v>
      </c>
      <c r="B18" s="20">
        <v>45301</v>
      </c>
      <c r="C18" s="19" t="s">
        <v>116</v>
      </c>
      <c r="D18" s="19" t="s">
        <v>116</v>
      </c>
      <c r="E18" s="19" t="s">
        <v>177</v>
      </c>
      <c r="F18" s="19" t="s">
        <v>180</v>
      </c>
      <c r="G18" s="19">
        <v>9850569538</v>
      </c>
      <c r="H18" s="19" t="s">
        <v>182</v>
      </c>
      <c r="I18" s="19" t="s">
        <v>123</v>
      </c>
      <c r="J18" s="19" t="s">
        <v>1069</v>
      </c>
      <c r="K18" s="19" t="s">
        <v>652</v>
      </c>
      <c r="L18" s="19" t="s">
        <v>1076</v>
      </c>
      <c r="M18" s="19" t="s">
        <v>1077</v>
      </c>
      <c r="N18" s="19" t="s">
        <v>1078</v>
      </c>
      <c r="O18" s="19"/>
      <c r="P18" s="19" t="s">
        <v>1079</v>
      </c>
      <c r="Q18" s="19" t="s">
        <v>72</v>
      </c>
      <c r="R18" s="19" t="s">
        <v>72</v>
      </c>
      <c r="S18" s="19" t="s">
        <v>1080</v>
      </c>
      <c r="T18" s="19" t="s">
        <v>858</v>
      </c>
      <c r="U18" s="21">
        <v>45271</v>
      </c>
      <c r="V18" s="19"/>
      <c r="W18" s="19" t="s">
        <v>144</v>
      </c>
      <c r="X18" s="19" t="s">
        <v>144</v>
      </c>
      <c r="Y18" s="19" t="s">
        <v>70</v>
      </c>
      <c r="Z18" s="19" t="s">
        <v>151</v>
      </c>
      <c r="AA18" s="19"/>
      <c r="AB18" s="19"/>
      <c r="AC18" s="19"/>
      <c r="AD18" s="19"/>
      <c r="AE18" s="19"/>
      <c r="AF18" s="19"/>
      <c r="AG18" s="19"/>
      <c r="AH18" s="19"/>
      <c r="AI18" s="19"/>
      <c r="AJ18" s="19"/>
      <c r="AK18" s="19"/>
      <c r="AL18" s="19"/>
      <c r="AM18" s="19"/>
      <c r="AN18" s="19"/>
      <c r="AO18" s="19"/>
      <c r="AP18" s="19"/>
      <c r="AQ18" s="19"/>
      <c r="AR18" s="19"/>
      <c r="AS18" s="27"/>
    </row>
    <row r="19" spans="1:45">
      <c r="A19" s="19">
        <f t="shared" si="0"/>
        <v>18</v>
      </c>
      <c r="B19" s="20">
        <v>45301</v>
      </c>
      <c r="C19" s="19" t="s">
        <v>116</v>
      </c>
      <c r="D19" s="19" t="s">
        <v>116</v>
      </c>
      <c r="E19" s="19" t="s">
        <v>188</v>
      </c>
      <c r="F19" s="19" t="s">
        <v>193</v>
      </c>
      <c r="G19" s="19">
        <v>8097756156</v>
      </c>
      <c r="H19" s="19" t="s">
        <v>195</v>
      </c>
      <c r="I19" s="19" t="s">
        <v>123</v>
      </c>
      <c r="J19" s="19" t="s">
        <v>189</v>
      </c>
      <c r="K19" s="19" t="s">
        <v>977</v>
      </c>
      <c r="L19" s="19" t="s">
        <v>1081</v>
      </c>
      <c r="M19" s="19" t="s">
        <v>1082</v>
      </c>
      <c r="N19" s="19" t="s">
        <v>1083</v>
      </c>
      <c r="O19" s="19"/>
      <c r="P19" s="19" t="s">
        <v>1084</v>
      </c>
      <c r="Q19" s="19" t="s">
        <v>1085</v>
      </c>
      <c r="R19" s="19" t="s">
        <v>72</v>
      </c>
      <c r="S19" s="19" t="s">
        <v>1067</v>
      </c>
      <c r="T19" s="19" t="s">
        <v>858</v>
      </c>
      <c r="U19" s="21">
        <v>45348</v>
      </c>
      <c r="V19" s="19"/>
      <c r="W19" s="19" t="s">
        <v>144</v>
      </c>
      <c r="X19" s="19" t="s">
        <v>144</v>
      </c>
      <c r="Y19" s="19" t="s">
        <v>70</v>
      </c>
      <c r="Z19" s="19" t="s">
        <v>1086</v>
      </c>
      <c r="AA19" s="19"/>
      <c r="AB19" s="19"/>
      <c r="AC19" s="19"/>
      <c r="AD19" s="19"/>
      <c r="AE19" s="19"/>
      <c r="AF19" s="19"/>
      <c r="AG19" s="19"/>
      <c r="AH19" s="19"/>
      <c r="AI19" s="19"/>
      <c r="AJ19" s="19"/>
      <c r="AK19" s="19"/>
      <c r="AL19" s="19"/>
      <c r="AM19" s="19"/>
      <c r="AN19" s="19"/>
      <c r="AO19" s="19"/>
      <c r="AP19" s="19"/>
      <c r="AQ19" s="19"/>
      <c r="AR19" s="19"/>
      <c r="AS19" s="27"/>
    </row>
    <row r="20" spans="1:45">
      <c r="A20" s="19">
        <f t="shared" si="0"/>
        <v>19</v>
      </c>
      <c r="B20" s="20">
        <v>45301</v>
      </c>
      <c r="C20" s="19" t="s">
        <v>116</v>
      </c>
      <c r="D20" s="19" t="s">
        <v>116</v>
      </c>
      <c r="E20" s="19" t="s">
        <v>209</v>
      </c>
      <c r="F20" s="19" t="s">
        <v>212</v>
      </c>
      <c r="G20" s="19">
        <v>7709985010</v>
      </c>
      <c r="H20" s="19" t="s">
        <v>214</v>
      </c>
      <c r="I20" s="19" t="s">
        <v>123</v>
      </c>
      <c r="J20" s="19" t="s">
        <v>189</v>
      </c>
      <c r="K20" s="19" t="s">
        <v>977</v>
      </c>
      <c r="L20" s="19" t="s">
        <v>1087</v>
      </c>
      <c r="M20" s="19" t="s">
        <v>1088</v>
      </c>
      <c r="N20" s="19" t="s">
        <v>1089</v>
      </c>
      <c r="O20" s="19"/>
      <c r="P20" s="19" t="s">
        <v>1090</v>
      </c>
      <c r="Q20" s="19" t="s">
        <v>1091</v>
      </c>
      <c r="R20" s="19" t="s">
        <v>72</v>
      </c>
      <c r="S20" s="19" t="s">
        <v>1092</v>
      </c>
      <c r="T20" s="19" t="s">
        <v>858</v>
      </c>
      <c r="U20" s="21">
        <v>45362</v>
      </c>
      <c r="V20" s="19"/>
      <c r="W20" s="19" t="s">
        <v>144</v>
      </c>
      <c r="X20" s="19" t="s">
        <v>144</v>
      </c>
      <c r="Y20" s="19" t="s">
        <v>70</v>
      </c>
      <c r="Z20" s="19" t="s">
        <v>1086</v>
      </c>
      <c r="AA20" s="19"/>
      <c r="AB20" s="19"/>
      <c r="AC20" s="19"/>
      <c r="AD20" s="19"/>
      <c r="AE20" s="19"/>
      <c r="AF20" s="19"/>
      <c r="AG20" s="19"/>
      <c r="AH20" s="19"/>
      <c r="AI20" s="19"/>
      <c r="AJ20" s="19"/>
      <c r="AK20" s="19"/>
      <c r="AL20" s="19"/>
      <c r="AM20" s="19"/>
      <c r="AN20" s="19"/>
      <c r="AO20" s="19"/>
      <c r="AP20" s="19"/>
      <c r="AQ20" s="19"/>
      <c r="AR20" s="19"/>
      <c r="AS20" s="27"/>
    </row>
    <row r="21" spans="1:45">
      <c r="A21" s="19">
        <f t="shared" si="0"/>
        <v>20</v>
      </c>
      <c r="B21" s="20">
        <v>45301</v>
      </c>
      <c r="C21" s="19" t="s">
        <v>116</v>
      </c>
      <c r="D21" s="19" t="s">
        <v>116</v>
      </c>
      <c r="E21" s="19" t="s">
        <v>166</v>
      </c>
      <c r="F21" s="19" t="s">
        <v>169</v>
      </c>
      <c r="G21" s="19">
        <v>7989696428</v>
      </c>
      <c r="H21" s="19" t="s">
        <v>171</v>
      </c>
      <c r="I21" s="19" t="s">
        <v>123</v>
      </c>
      <c r="J21" s="19" t="s">
        <v>167</v>
      </c>
      <c r="K21" s="19" t="s">
        <v>1062</v>
      </c>
      <c r="L21" s="19" t="s">
        <v>1093</v>
      </c>
      <c r="M21" s="19" t="s">
        <v>1094</v>
      </c>
      <c r="N21" s="19" t="s">
        <v>1090</v>
      </c>
      <c r="O21" s="19"/>
      <c r="P21" s="19" t="s">
        <v>1095</v>
      </c>
      <c r="Q21" s="19" t="s">
        <v>72</v>
      </c>
      <c r="R21" s="19" t="s">
        <v>72</v>
      </c>
      <c r="S21" s="19" t="s">
        <v>1096</v>
      </c>
      <c r="T21" s="19" t="s">
        <v>1097</v>
      </c>
      <c r="U21" s="21">
        <v>45390</v>
      </c>
      <c r="V21" s="19"/>
      <c r="W21" s="19" t="s">
        <v>144</v>
      </c>
      <c r="X21" s="19" t="s">
        <v>144</v>
      </c>
      <c r="Y21" s="19" t="s">
        <v>70</v>
      </c>
      <c r="Z21" s="19" t="s">
        <v>142</v>
      </c>
      <c r="AA21" s="19"/>
      <c r="AB21" s="19"/>
      <c r="AC21" s="19"/>
      <c r="AD21" s="19"/>
      <c r="AE21" s="19"/>
      <c r="AF21" s="19"/>
      <c r="AG21" s="19"/>
      <c r="AH21" s="19"/>
      <c r="AI21" s="19"/>
      <c r="AJ21" s="19"/>
      <c r="AK21" s="19"/>
      <c r="AL21" s="19"/>
      <c r="AM21" s="19"/>
      <c r="AN21" s="19"/>
      <c r="AO21" s="19"/>
      <c r="AP21" s="19"/>
      <c r="AQ21" s="19"/>
      <c r="AR21" s="19"/>
      <c r="AS21" s="27"/>
    </row>
    <row r="22" spans="1:45">
      <c r="A22" s="19">
        <f t="shared" si="0"/>
        <v>21</v>
      </c>
      <c r="B22" s="20">
        <v>45303</v>
      </c>
      <c r="C22" s="19" t="s">
        <v>116</v>
      </c>
      <c r="D22" s="19" t="s">
        <v>116</v>
      </c>
      <c r="E22" s="19" t="s">
        <v>522</v>
      </c>
      <c r="F22" s="19" t="s">
        <v>524</v>
      </c>
      <c r="G22" s="19">
        <v>8237253283</v>
      </c>
      <c r="H22" s="19" t="s">
        <v>525</v>
      </c>
      <c r="I22" s="19" t="s">
        <v>123</v>
      </c>
      <c r="J22" s="19" t="s">
        <v>523</v>
      </c>
      <c r="K22" s="19" t="s">
        <v>530</v>
      </c>
      <c r="L22" s="19"/>
      <c r="M22" s="19"/>
      <c r="N22" s="19"/>
      <c r="O22" s="19"/>
      <c r="P22" s="19">
        <v>2300000</v>
      </c>
      <c r="Q22" s="19" t="e" vm="1">
        <v>#VALUE!</v>
      </c>
      <c r="R22" s="19" t="s">
        <v>72</v>
      </c>
      <c r="S22" s="19"/>
      <c r="T22" s="19"/>
      <c r="U22" s="21">
        <v>45418</v>
      </c>
      <c r="V22" s="19"/>
      <c r="W22" s="19" t="s">
        <v>245</v>
      </c>
      <c r="X22" s="19" t="s">
        <v>245</v>
      </c>
      <c r="Y22" s="19"/>
      <c r="Z22" s="19" t="s">
        <v>68</v>
      </c>
      <c r="AA22" s="19"/>
      <c r="AB22" s="19"/>
      <c r="AC22" s="19"/>
      <c r="AD22" s="19"/>
      <c r="AE22" s="19"/>
      <c r="AF22" s="19"/>
      <c r="AG22" s="19"/>
      <c r="AH22" s="19"/>
      <c r="AI22" s="19"/>
      <c r="AJ22" s="19"/>
      <c r="AK22" s="19"/>
      <c r="AL22" s="19"/>
      <c r="AM22" s="19"/>
      <c r="AN22" s="19"/>
      <c r="AO22" s="19"/>
      <c r="AP22" s="19"/>
      <c r="AQ22" s="19"/>
      <c r="AR22" s="19"/>
      <c r="AS22" s="27"/>
    </row>
    <row r="23" spans="1:45">
      <c r="A23" s="19">
        <f t="shared" si="0"/>
        <v>22</v>
      </c>
      <c r="B23" s="20">
        <v>45306</v>
      </c>
      <c r="C23" s="19" t="s">
        <v>116</v>
      </c>
      <c r="D23" s="19" t="s">
        <v>116</v>
      </c>
      <c r="E23" s="19" t="s">
        <v>508</v>
      </c>
      <c r="F23" s="19" t="s">
        <v>509</v>
      </c>
      <c r="G23" s="19">
        <v>9561479035</v>
      </c>
      <c r="H23" s="19" t="s">
        <v>1098</v>
      </c>
      <c r="I23" s="19" t="s">
        <v>123</v>
      </c>
      <c r="J23" s="19" t="s">
        <v>476</v>
      </c>
      <c r="K23" s="19" t="s">
        <v>576</v>
      </c>
      <c r="L23" s="19"/>
      <c r="M23" s="19"/>
      <c r="N23" s="19"/>
      <c r="O23" s="19"/>
      <c r="P23" s="19">
        <v>1000000</v>
      </c>
      <c r="Q23" s="19" t="e" vm="1">
        <v>#VALUE!</v>
      </c>
      <c r="R23" s="19" t="s">
        <v>72</v>
      </c>
      <c r="S23" s="19"/>
      <c r="T23" s="19"/>
      <c r="U23" s="21">
        <v>45397</v>
      </c>
      <c r="V23" s="19"/>
      <c r="W23" s="19" t="s">
        <v>245</v>
      </c>
      <c r="X23" s="19" t="s">
        <v>245</v>
      </c>
      <c r="Y23" s="19"/>
      <c r="Z23" s="19" t="s">
        <v>68</v>
      </c>
      <c r="AA23" s="19"/>
      <c r="AB23" s="19"/>
      <c r="AC23" s="19"/>
      <c r="AD23" s="19"/>
      <c r="AE23" s="19"/>
      <c r="AF23" s="19"/>
      <c r="AG23" s="19"/>
      <c r="AH23" s="19"/>
      <c r="AI23" s="19"/>
      <c r="AJ23" s="19"/>
      <c r="AK23" s="19"/>
      <c r="AL23" s="19"/>
      <c r="AM23" s="19"/>
      <c r="AN23" s="19"/>
      <c r="AO23" s="19"/>
      <c r="AP23" s="19"/>
      <c r="AQ23" s="19"/>
      <c r="AR23" s="19"/>
      <c r="AS23" s="27"/>
    </row>
    <row r="24" spans="1:45">
      <c r="A24" s="19">
        <f t="shared" si="0"/>
        <v>23</v>
      </c>
      <c r="B24" s="20">
        <v>45321</v>
      </c>
      <c r="C24" s="19" t="s">
        <v>116</v>
      </c>
      <c r="D24" s="19" t="s">
        <v>116</v>
      </c>
      <c r="E24" s="19" t="s">
        <v>515</v>
      </c>
      <c r="F24" s="19" t="s">
        <v>516</v>
      </c>
      <c r="G24" s="19">
        <v>9657766648</v>
      </c>
      <c r="H24" s="19" t="s">
        <v>518</v>
      </c>
      <c r="I24" s="19" t="s">
        <v>123</v>
      </c>
      <c r="J24" s="19" t="s">
        <v>476</v>
      </c>
      <c r="K24" s="19" t="s">
        <v>576</v>
      </c>
      <c r="L24" s="19"/>
      <c r="M24" s="19"/>
      <c r="N24" s="19"/>
      <c r="O24" s="19"/>
      <c r="P24" s="19">
        <v>1150000</v>
      </c>
      <c r="Q24" s="19" t="e" vm="1">
        <v>#VALUE!</v>
      </c>
      <c r="R24" s="19" t="s">
        <v>72</v>
      </c>
      <c r="S24" s="19"/>
      <c r="T24" s="19"/>
      <c r="U24" s="21">
        <v>45334</v>
      </c>
      <c r="V24" s="19"/>
      <c r="W24" s="19" t="s">
        <v>245</v>
      </c>
      <c r="X24" s="19" t="s">
        <v>245</v>
      </c>
      <c r="Y24" s="19"/>
      <c r="Z24" s="19" t="s">
        <v>68</v>
      </c>
      <c r="AA24" s="19"/>
      <c r="AB24" s="19"/>
      <c r="AC24" s="19"/>
      <c r="AD24" s="19"/>
      <c r="AE24" s="19"/>
      <c r="AF24" s="19"/>
      <c r="AG24" s="19"/>
      <c r="AH24" s="19"/>
      <c r="AI24" s="19"/>
      <c r="AJ24" s="19"/>
      <c r="AK24" s="19"/>
      <c r="AL24" s="19"/>
      <c r="AM24" s="19"/>
      <c r="AN24" s="19"/>
      <c r="AO24" s="19"/>
      <c r="AP24" s="19"/>
      <c r="AQ24" s="19"/>
      <c r="AR24" s="19"/>
      <c r="AS24" s="27"/>
    </row>
    <row r="25" spans="1:45">
      <c r="A25" s="19">
        <f t="shared" si="0"/>
        <v>24</v>
      </c>
      <c r="B25" s="20">
        <v>45329</v>
      </c>
      <c r="C25" s="19" t="s">
        <v>116</v>
      </c>
      <c r="D25" s="19" t="s">
        <v>116</v>
      </c>
      <c r="E25" s="19" t="s">
        <v>519</v>
      </c>
      <c r="F25" s="19" t="s">
        <v>520</v>
      </c>
      <c r="G25" s="19">
        <v>9720572067</v>
      </c>
      <c r="H25" s="19" t="s">
        <v>521</v>
      </c>
      <c r="I25" s="19" t="s">
        <v>86</v>
      </c>
      <c r="J25" s="19" t="s">
        <v>472</v>
      </c>
      <c r="K25" s="19" t="s">
        <v>576</v>
      </c>
      <c r="L25" s="19"/>
      <c r="M25" s="19"/>
      <c r="N25" s="19"/>
      <c r="O25" s="19"/>
      <c r="P25" s="19">
        <v>700000</v>
      </c>
      <c r="Q25" s="19" t="e" vm="1">
        <v>#VALUE!</v>
      </c>
      <c r="R25" s="19" t="s">
        <v>72</v>
      </c>
      <c r="S25" s="19"/>
      <c r="T25" s="19"/>
      <c r="U25" s="21">
        <v>45378</v>
      </c>
      <c r="V25" s="19"/>
      <c r="W25" s="19" t="s">
        <v>245</v>
      </c>
      <c r="X25" s="19" t="s">
        <v>245</v>
      </c>
      <c r="Y25" s="19"/>
      <c r="Z25" s="19" t="s">
        <v>68</v>
      </c>
      <c r="AA25" s="19"/>
      <c r="AB25" s="19"/>
      <c r="AC25" s="19"/>
      <c r="AD25" s="19"/>
      <c r="AE25" s="19"/>
      <c r="AF25" s="19"/>
      <c r="AG25" s="19"/>
      <c r="AH25" s="19"/>
      <c r="AI25" s="19"/>
      <c r="AJ25" s="19"/>
      <c r="AK25" s="19"/>
      <c r="AL25" s="19"/>
      <c r="AM25" s="19"/>
      <c r="AN25" s="19"/>
      <c r="AO25" s="19"/>
      <c r="AP25" s="19"/>
      <c r="AQ25" s="19"/>
      <c r="AR25" s="19"/>
      <c r="AS25" s="27"/>
    </row>
    <row r="26" spans="1:45">
      <c r="A26" s="19">
        <f t="shared" si="0"/>
        <v>25</v>
      </c>
      <c r="B26" s="20">
        <v>45348</v>
      </c>
      <c r="C26" s="19" t="s">
        <v>116</v>
      </c>
      <c r="D26" s="19" t="s">
        <v>116</v>
      </c>
      <c r="E26" s="19" t="s">
        <v>511</v>
      </c>
      <c r="F26" s="19" t="s">
        <v>1099</v>
      </c>
      <c r="G26" s="19">
        <v>8983603275</v>
      </c>
      <c r="H26" s="19"/>
      <c r="I26" s="19" t="s">
        <v>123</v>
      </c>
      <c r="J26" s="19" t="s">
        <v>512</v>
      </c>
      <c r="K26" s="19" t="s">
        <v>228</v>
      </c>
      <c r="L26" s="19"/>
      <c r="M26" s="19"/>
      <c r="N26" s="19"/>
      <c r="O26" s="19"/>
      <c r="P26" s="19" t="s">
        <v>1100</v>
      </c>
      <c r="Q26" s="19" t="e" vm="1">
        <v>#VALUE!</v>
      </c>
      <c r="R26" s="19" t="s">
        <v>72</v>
      </c>
      <c r="S26" s="19"/>
      <c r="T26" s="19"/>
      <c r="U26" s="21">
        <v>45397</v>
      </c>
      <c r="V26" s="19"/>
      <c r="W26" s="19" t="s">
        <v>245</v>
      </c>
      <c r="X26" s="19" t="s">
        <v>657</v>
      </c>
      <c r="Y26" s="19"/>
      <c r="Z26" s="19" t="s">
        <v>111</v>
      </c>
      <c r="AA26" s="19"/>
      <c r="AB26" s="19"/>
      <c r="AC26" s="19"/>
      <c r="AD26" s="19"/>
      <c r="AE26" s="19"/>
      <c r="AF26" s="19"/>
      <c r="AG26" s="19"/>
      <c r="AH26" s="19"/>
      <c r="AI26" s="19"/>
      <c r="AJ26" s="19"/>
      <c r="AK26" s="19"/>
      <c r="AL26" s="19"/>
      <c r="AM26" s="19"/>
      <c r="AN26" s="19"/>
      <c r="AO26" s="19"/>
      <c r="AP26" s="19"/>
      <c r="AQ26" s="19"/>
      <c r="AR26" s="19"/>
      <c r="AS26" s="27"/>
    </row>
    <row r="27" spans="1:45">
      <c r="A27" s="19">
        <f t="shared" si="0"/>
        <v>26</v>
      </c>
      <c r="B27" s="20">
        <v>45357</v>
      </c>
      <c r="C27" s="19" t="s">
        <v>116</v>
      </c>
      <c r="D27" s="19" t="s">
        <v>116</v>
      </c>
      <c r="E27" s="19" t="s">
        <v>533</v>
      </c>
      <c r="F27" s="19" t="s">
        <v>536</v>
      </c>
      <c r="G27" s="19">
        <v>9096014822</v>
      </c>
      <c r="H27" s="19" t="s">
        <v>537</v>
      </c>
      <c r="I27" s="19" t="s">
        <v>123</v>
      </c>
      <c r="J27" s="19" t="s">
        <v>534</v>
      </c>
      <c r="K27" s="19" t="s">
        <v>652</v>
      </c>
      <c r="L27" s="19"/>
      <c r="M27" s="19"/>
      <c r="N27" s="19"/>
      <c r="O27" s="19"/>
      <c r="P27" s="19">
        <v>2400000</v>
      </c>
      <c r="Q27" s="19" t="e" vm="1">
        <v>#VALUE!</v>
      </c>
      <c r="R27" s="19" t="s">
        <v>72</v>
      </c>
      <c r="S27" s="19"/>
      <c r="T27" s="19"/>
      <c r="U27" s="21">
        <v>45433</v>
      </c>
      <c r="V27" s="19"/>
      <c r="W27" s="19" t="s">
        <v>245</v>
      </c>
      <c r="X27" s="19" t="s">
        <v>245</v>
      </c>
      <c r="Y27" s="19"/>
      <c r="Z27" s="19" t="s">
        <v>151</v>
      </c>
      <c r="AA27" s="19"/>
      <c r="AB27" s="19"/>
      <c r="AC27" s="19"/>
      <c r="AD27" s="19"/>
      <c r="AE27" s="19"/>
      <c r="AF27" s="19"/>
      <c r="AG27" s="19"/>
      <c r="AH27" s="19"/>
      <c r="AI27" s="19"/>
      <c r="AJ27" s="19"/>
      <c r="AK27" s="19"/>
      <c r="AL27" s="19"/>
      <c r="AM27" s="19"/>
      <c r="AN27" s="19"/>
      <c r="AO27" s="19"/>
      <c r="AP27" s="19"/>
      <c r="AQ27" s="19"/>
      <c r="AR27" s="19"/>
      <c r="AS27" s="27"/>
    </row>
    <row r="28" spans="1:45">
      <c r="A28" s="19">
        <f t="shared" si="0"/>
        <v>27</v>
      </c>
      <c r="B28" s="20">
        <v>45361</v>
      </c>
      <c r="C28" s="19" t="s">
        <v>1101</v>
      </c>
      <c r="D28" s="19" t="s">
        <v>1102</v>
      </c>
      <c r="E28" s="19">
        <v>20242803</v>
      </c>
      <c r="F28" s="19" t="s">
        <v>1103</v>
      </c>
      <c r="G28" s="19">
        <v>7020711585</v>
      </c>
      <c r="H28" s="19" t="s">
        <v>1104</v>
      </c>
      <c r="I28" s="19" t="s">
        <v>86</v>
      </c>
      <c r="J28" s="19" t="s">
        <v>109</v>
      </c>
      <c r="K28" s="19" t="s">
        <v>1105</v>
      </c>
      <c r="L28" s="19">
        <v>2.8</v>
      </c>
      <c r="M28" s="19" t="s">
        <v>1106</v>
      </c>
      <c r="N28" s="19">
        <v>4.25</v>
      </c>
      <c r="O28" s="19">
        <v>0</v>
      </c>
      <c r="P28" s="19">
        <v>6</v>
      </c>
      <c r="Q28" s="19" t="s">
        <v>1107</v>
      </c>
      <c r="R28" s="19" t="s">
        <v>72</v>
      </c>
      <c r="S28" s="19" t="s">
        <v>1108</v>
      </c>
      <c r="T28" s="19" t="s">
        <v>1109</v>
      </c>
      <c r="U28" s="21"/>
      <c r="V28" s="19"/>
      <c r="W28" s="19" t="s">
        <v>74</v>
      </c>
      <c r="X28" s="19" t="s">
        <v>74</v>
      </c>
      <c r="Y28" s="19" t="s">
        <v>70</v>
      </c>
      <c r="Z28" s="19" t="s">
        <v>68</v>
      </c>
      <c r="AA28" s="20">
        <v>45361</v>
      </c>
      <c r="AB28" s="20">
        <v>45362</v>
      </c>
      <c r="AC28" s="20">
        <v>45362</v>
      </c>
      <c r="AD28" s="19"/>
      <c r="AE28" s="19"/>
      <c r="AF28" s="19"/>
      <c r="AG28" s="19"/>
      <c r="AH28" s="19"/>
      <c r="AI28" s="19"/>
      <c r="AJ28" s="19"/>
      <c r="AK28" s="19"/>
      <c r="AL28" s="19"/>
      <c r="AM28" s="19"/>
      <c r="AN28" s="19"/>
      <c r="AO28" s="19"/>
      <c r="AP28" s="19"/>
      <c r="AQ28" s="19"/>
      <c r="AR28" s="19"/>
      <c r="AS28" s="27"/>
    </row>
    <row r="29" spans="1:45">
      <c r="A29" s="19">
        <f t="shared" si="0"/>
        <v>28</v>
      </c>
      <c r="B29" s="20">
        <v>45361</v>
      </c>
      <c r="C29" s="19" t="s">
        <v>1101</v>
      </c>
      <c r="D29" s="19" t="s">
        <v>1102</v>
      </c>
      <c r="E29" s="19">
        <v>20242803</v>
      </c>
      <c r="F29" s="19" t="s">
        <v>1110</v>
      </c>
      <c r="G29" s="19">
        <v>7972057896</v>
      </c>
      <c r="H29" s="19" t="s">
        <v>1111</v>
      </c>
      <c r="I29" s="19" t="s">
        <v>123</v>
      </c>
      <c r="J29" s="19" t="s">
        <v>109</v>
      </c>
      <c r="K29" s="19" t="s">
        <v>1105</v>
      </c>
      <c r="L29" s="19">
        <v>2.2000000000000002</v>
      </c>
      <c r="M29" s="19" t="s">
        <v>1112</v>
      </c>
      <c r="N29" s="19">
        <v>5</v>
      </c>
      <c r="O29" s="19">
        <v>0</v>
      </c>
      <c r="P29" s="19" t="s">
        <v>1113</v>
      </c>
      <c r="Q29" s="19" t="s">
        <v>1114</v>
      </c>
      <c r="R29" s="19" t="s">
        <v>72</v>
      </c>
      <c r="S29" s="19" t="s">
        <v>1115</v>
      </c>
      <c r="T29" s="19" t="s">
        <v>1116</v>
      </c>
      <c r="U29" s="21"/>
      <c r="V29" s="19"/>
      <c r="W29" s="19" t="s">
        <v>74</v>
      </c>
      <c r="X29" s="19" t="s">
        <v>74</v>
      </c>
      <c r="Y29" s="19" t="s">
        <v>70</v>
      </c>
      <c r="Z29" s="19" t="s">
        <v>68</v>
      </c>
      <c r="AA29" s="4">
        <v>45361</v>
      </c>
      <c r="AB29" s="4">
        <v>45363</v>
      </c>
      <c r="AC29" s="4">
        <v>45363</v>
      </c>
      <c r="AD29" s="19"/>
      <c r="AE29" s="19"/>
      <c r="AF29" s="19"/>
      <c r="AG29" s="19"/>
      <c r="AH29" s="19"/>
      <c r="AI29" s="19"/>
      <c r="AJ29" s="19"/>
      <c r="AK29" s="19"/>
      <c r="AL29" s="19"/>
      <c r="AM29" s="19"/>
      <c r="AN29" s="19"/>
      <c r="AO29" s="19"/>
      <c r="AP29" s="19"/>
      <c r="AQ29" s="19"/>
      <c r="AR29" s="19"/>
      <c r="AS29" s="27"/>
    </row>
    <row r="30" spans="1:45">
      <c r="A30" s="19">
        <f t="shared" si="0"/>
        <v>29</v>
      </c>
      <c r="B30" s="20">
        <v>45361</v>
      </c>
      <c r="C30" s="19" t="s">
        <v>1101</v>
      </c>
      <c r="D30" s="19" t="s">
        <v>1102</v>
      </c>
      <c r="E30" s="19">
        <v>20242803</v>
      </c>
      <c r="F30" s="19" t="s">
        <v>1117</v>
      </c>
      <c r="G30" s="19">
        <v>918699000000</v>
      </c>
      <c r="H30" s="19" t="s">
        <v>1118</v>
      </c>
      <c r="I30" s="19" t="s">
        <v>86</v>
      </c>
      <c r="J30" s="19" t="s">
        <v>109</v>
      </c>
      <c r="K30" s="19" t="s">
        <v>1105</v>
      </c>
      <c r="L30" s="19">
        <v>2.2000000000000002</v>
      </c>
      <c r="M30" s="19" t="s">
        <v>1119</v>
      </c>
      <c r="N30" s="19">
        <v>3.5</v>
      </c>
      <c r="O30" s="19">
        <v>0</v>
      </c>
      <c r="P30" s="19">
        <v>7</v>
      </c>
      <c r="Q30" s="19" t="s">
        <v>1120</v>
      </c>
      <c r="R30" s="19" t="s">
        <v>72</v>
      </c>
      <c r="S30" s="19" t="s">
        <v>1121</v>
      </c>
      <c r="T30" s="19" t="s">
        <v>858</v>
      </c>
      <c r="U30" s="21"/>
      <c r="V30" s="19"/>
      <c r="W30" s="19" t="s">
        <v>74</v>
      </c>
      <c r="X30" s="19" t="s">
        <v>74</v>
      </c>
      <c r="Y30" s="19" t="s">
        <v>70</v>
      </c>
      <c r="Z30" s="19" t="s">
        <v>68</v>
      </c>
      <c r="AA30" s="4">
        <v>45361</v>
      </c>
      <c r="AB30" s="4">
        <v>45364</v>
      </c>
      <c r="AC30" s="4">
        <v>45364</v>
      </c>
      <c r="AD30" s="19"/>
      <c r="AE30" s="19"/>
      <c r="AF30" s="19"/>
      <c r="AG30" s="19"/>
      <c r="AH30" s="19"/>
      <c r="AI30" s="19"/>
      <c r="AJ30" s="19"/>
      <c r="AK30" s="19"/>
      <c r="AL30" s="19"/>
      <c r="AM30" s="19"/>
      <c r="AN30" s="19"/>
      <c r="AO30" s="19"/>
      <c r="AP30" s="19"/>
      <c r="AQ30" s="19"/>
      <c r="AR30" s="19"/>
      <c r="AS30" s="27"/>
    </row>
    <row r="31" spans="1:45">
      <c r="A31" s="19">
        <f t="shared" si="0"/>
        <v>30</v>
      </c>
      <c r="B31" s="20">
        <v>45361</v>
      </c>
      <c r="C31" s="19" t="s">
        <v>1101</v>
      </c>
      <c r="D31" s="19" t="s">
        <v>1122</v>
      </c>
      <c r="E31" s="19">
        <v>20242803</v>
      </c>
      <c r="F31" s="19" t="s">
        <v>1123</v>
      </c>
      <c r="G31" s="19">
        <v>9762079442</v>
      </c>
      <c r="H31" s="19" t="s">
        <v>1124</v>
      </c>
      <c r="I31" s="19" t="s">
        <v>123</v>
      </c>
      <c r="J31" s="19" t="s">
        <v>109</v>
      </c>
      <c r="K31" s="19" t="s">
        <v>1105</v>
      </c>
      <c r="L31" s="19">
        <v>3</v>
      </c>
      <c r="M31" s="19" t="s">
        <v>1125</v>
      </c>
      <c r="N31" s="19">
        <v>8</v>
      </c>
      <c r="O31" s="19">
        <v>0</v>
      </c>
      <c r="P31" s="19" t="s">
        <v>1126</v>
      </c>
      <c r="Q31" s="19" t="s">
        <v>1127</v>
      </c>
      <c r="R31" s="19" t="s">
        <v>72</v>
      </c>
      <c r="S31" s="19" t="s">
        <v>1128</v>
      </c>
      <c r="T31" s="19" t="s">
        <v>1129</v>
      </c>
      <c r="U31" s="21"/>
      <c r="V31" s="19"/>
      <c r="W31" s="19" t="s">
        <v>74</v>
      </c>
      <c r="X31" s="19" t="s">
        <v>74</v>
      </c>
      <c r="Y31" s="19" t="s">
        <v>70</v>
      </c>
      <c r="Z31" s="19" t="s">
        <v>68</v>
      </c>
      <c r="AA31" s="4">
        <v>45363</v>
      </c>
      <c r="AB31" s="4">
        <v>45364</v>
      </c>
      <c r="AC31" s="4">
        <v>45364</v>
      </c>
      <c r="AD31" s="19"/>
      <c r="AE31" s="19"/>
      <c r="AF31" s="19"/>
      <c r="AG31" s="19"/>
      <c r="AH31" s="19"/>
      <c r="AI31" s="19"/>
      <c r="AJ31" s="19"/>
      <c r="AK31" s="19"/>
      <c r="AL31" s="19"/>
      <c r="AM31" s="19"/>
      <c r="AN31" s="19"/>
      <c r="AO31" s="19"/>
      <c r="AP31" s="19"/>
      <c r="AQ31" s="19"/>
      <c r="AR31" s="19"/>
      <c r="AS31" s="27"/>
    </row>
    <row r="32" spans="1:45">
      <c r="A32" s="19">
        <f t="shared" si="0"/>
        <v>31</v>
      </c>
      <c r="B32" s="20">
        <v>45361</v>
      </c>
      <c r="C32" s="19" t="s">
        <v>116</v>
      </c>
      <c r="D32" s="19" t="s">
        <v>116</v>
      </c>
      <c r="E32" s="19" t="s">
        <v>550</v>
      </c>
      <c r="F32" s="19" t="s">
        <v>553</v>
      </c>
      <c r="G32" s="19">
        <v>9833314105</v>
      </c>
      <c r="H32" s="19" t="s">
        <v>554</v>
      </c>
      <c r="I32" s="19" t="s">
        <v>123</v>
      </c>
      <c r="J32" s="19" t="s">
        <v>551</v>
      </c>
      <c r="K32" s="19" t="s">
        <v>544</v>
      </c>
      <c r="L32" s="19"/>
      <c r="M32" s="19"/>
      <c r="N32" s="19"/>
      <c r="O32" s="19"/>
      <c r="P32" s="19">
        <v>1000000</v>
      </c>
      <c r="Q32" s="19" t="e" vm="1">
        <v>#VALUE!</v>
      </c>
      <c r="R32" s="19" t="s">
        <v>72</v>
      </c>
      <c r="S32" s="19"/>
      <c r="T32" s="19"/>
      <c r="U32" s="21">
        <v>45460</v>
      </c>
      <c r="V32" s="19"/>
      <c r="W32" s="19" t="s">
        <v>245</v>
      </c>
      <c r="X32" s="19" t="s">
        <v>245</v>
      </c>
      <c r="Y32" s="19"/>
      <c r="Z32" s="19" t="s">
        <v>68</v>
      </c>
      <c r="AA32" s="19">
        <v>45577</v>
      </c>
      <c r="AB32" s="4">
        <v>45714</v>
      </c>
      <c r="AC32" s="4"/>
      <c r="AD32" s="19"/>
      <c r="AE32" s="19"/>
      <c r="AF32" s="19"/>
      <c r="AG32" s="19"/>
      <c r="AH32" s="19"/>
      <c r="AI32" s="19"/>
      <c r="AJ32" s="19"/>
      <c r="AK32" s="19"/>
      <c r="AL32" s="19"/>
      <c r="AM32" s="19"/>
      <c r="AN32" s="19"/>
      <c r="AO32" s="19"/>
      <c r="AP32" s="19"/>
      <c r="AQ32" s="19"/>
      <c r="AR32" s="19"/>
      <c r="AS32" s="27"/>
    </row>
    <row r="33" spans="1:45">
      <c r="A33" s="19">
        <f t="shared" si="0"/>
        <v>32</v>
      </c>
      <c r="B33" s="20">
        <v>45363</v>
      </c>
      <c r="C33" s="19" t="s">
        <v>1101</v>
      </c>
      <c r="D33" s="19" t="s">
        <v>1102</v>
      </c>
      <c r="E33" s="19">
        <v>20242803</v>
      </c>
      <c r="F33" s="19" t="s">
        <v>1130</v>
      </c>
      <c r="G33" s="19">
        <v>6301110995</v>
      </c>
      <c r="H33" s="19" t="s">
        <v>1131</v>
      </c>
      <c r="I33" s="19" t="s">
        <v>123</v>
      </c>
      <c r="J33" s="19" t="s">
        <v>109</v>
      </c>
      <c r="K33" s="19" t="s">
        <v>1105</v>
      </c>
      <c r="L33" s="19">
        <v>2.2999999999999998</v>
      </c>
      <c r="M33" s="19" t="s">
        <v>1132</v>
      </c>
      <c r="N33" s="19">
        <v>4.8600000000000003</v>
      </c>
      <c r="O33" s="19">
        <v>0</v>
      </c>
      <c r="P33" s="19">
        <v>7.5</v>
      </c>
      <c r="Q33" s="19" t="s">
        <v>1133</v>
      </c>
      <c r="R33" s="19" t="s">
        <v>72</v>
      </c>
      <c r="S33" s="19" t="s">
        <v>1134</v>
      </c>
      <c r="T33" s="19" t="s">
        <v>1057</v>
      </c>
      <c r="U33" s="21"/>
      <c r="V33" s="19"/>
      <c r="W33" s="19" t="s">
        <v>74</v>
      </c>
      <c r="X33" s="19" t="s">
        <v>74</v>
      </c>
      <c r="Y33" s="19" t="s">
        <v>70</v>
      </c>
      <c r="Z33" s="19" t="s">
        <v>68</v>
      </c>
      <c r="AA33" s="20">
        <v>45577</v>
      </c>
      <c r="AB33" s="4">
        <v>45932</v>
      </c>
      <c r="AC33" s="4">
        <v>45579</v>
      </c>
      <c r="AD33" s="19"/>
      <c r="AE33" s="19"/>
      <c r="AF33" s="19"/>
      <c r="AG33" s="19"/>
      <c r="AH33" s="19"/>
      <c r="AI33" s="19"/>
      <c r="AJ33" s="19"/>
      <c r="AK33" s="19"/>
      <c r="AL33" s="19"/>
      <c r="AM33" s="19"/>
      <c r="AN33" s="19"/>
      <c r="AO33" s="19"/>
      <c r="AP33" s="19"/>
      <c r="AQ33" s="19"/>
      <c r="AR33" s="19"/>
      <c r="AS33" s="27"/>
    </row>
    <row r="34" spans="1:45">
      <c r="A34" s="19">
        <f t="shared" si="0"/>
        <v>33</v>
      </c>
      <c r="B34" s="20">
        <v>45363</v>
      </c>
      <c r="C34" s="19" t="s">
        <v>1101</v>
      </c>
      <c r="D34" s="19" t="s">
        <v>1102</v>
      </c>
      <c r="E34" s="19">
        <v>20250696</v>
      </c>
      <c r="F34" s="19" t="s">
        <v>1135</v>
      </c>
      <c r="G34" s="19">
        <v>8055522687</v>
      </c>
      <c r="H34" s="19" t="s">
        <v>1136</v>
      </c>
      <c r="I34" s="19" t="s">
        <v>123</v>
      </c>
      <c r="J34" s="19" t="s">
        <v>103</v>
      </c>
      <c r="K34" s="19" t="s">
        <v>101</v>
      </c>
      <c r="L34" s="19">
        <v>7.5</v>
      </c>
      <c r="M34" s="19" t="s">
        <v>1137</v>
      </c>
      <c r="N34" s="19">
        <v>7.5</v>
      </c>
      <c r="O34" s="19">
        <v>0</v>
      </c>
      <c r="P34" s="19">
        <v>10</v>
      </c>
      <c r="Q34" s="19" t="s">
        <v>1138</v>
      </c>
      <c r="R34" s="19" t="s">
        <v>72</v>
      </c>
      <c r="S34" s="19" t="s">
        <v>1139</v>
      </c>
      <c r="T34" s="19"/>
      <c r="U34" s="21"/>
      <c r="V34" s="19"/>
      <c r="W34" s="19" t="s">
        <v>74</v>
      </c>
      <c r="X34" s="19" t="s">
        <v>74</v>
      </c>
      <c r="Y34" s="19" t="s">
        <v>70</v>
      </c>
      <c r="Z34" s="19" t="s">
        <v>68</v>
      </c>
      <c r="AA34" s="20">
        <v>45577</v>
      </c>
      <c r="AB34" s="4">
        <v>45577</v>
      </c>
      <c r="AC34" s="4">
        <v>45580</v>
      </c>
      <c r="AD34" s="19"/>
      <c r="AE34" s="19"/>
      <c r="AF34" s="19"/>
      <c r="AG34" s="19"/>
      <c r="AH34" s="19"/>
      <c r="AI34" s="19"/>
      <c r="AJ34" s="19"/>
      <c r="AK34" s="19"/>
      <c r="AL34" s="19"/>
      <c r="AM34" s="19"/>
      <c r="AN34" s="19"/>
      <c r="AO34" s="19"/>
      <c r="AP34" s="19"/>
      <c r="AQ34" s="19"/>
      <c r="AR34" s="19"/>
      <c r="AS34" s="27"/>
    </row>
    <row r="35" spans="1:45">
      <c r="A35" s="19">
        <f t="shared" si="0"/>
        <v>34</v>
      </c>
      <c r="B35" s="20">
        <v>45363</v>
      </c>
      <c r="C35" s="19" t="s">
        <v>1101</v>
      </c>
      <c r="D35" s="19" t="s">
        <v>961</v>
      </c>
      <c r="E35" s="19">
        <v>20250696</v>
      </c>
      <c r="F35" s="19" t="s">
        <v>1140</v>
      </c>
      <c r="G35" s="19">
        <v>9356518487</v>
      </c>
      <c r="H35" s="19" t="s">
        <v>1141</v>
      </c>
      <c r="I35" s="19" t="s">
        <v>123</v>
      </c>
      <c r="J35" s="19" t="s">
        <v>103</v>
      </c>
      <c r="K35" s="19" t="s">
        <v>101</v>
      </c>
      <c r="L35" s="19">
        <v>5</v>
      </c>
      <c r="M35" s="19" t="s">
        <v>1142</v>
      </c>
      <c r="N35" s="19">
        <v>4.8</v>
      </c>
      <c r="O35" s="19">
        <v>0</v>
      </c>
      <c r="P35" s="19">
        <v>7</v>
      </c>
      <c r="Q35" s="19" t="s">
        <v>1143</v>
      </c>
      <c r="R35" s="19" t="s">
        <v>72</v>
      </c>
      <c r="S35" s="19" t="s">
        <v>1139</v>
      </c>
      <c r="T35" s="19"/>
      <c r="U35" s="21"/>
      <c r="V35" s="19"/>
      <c r="W35" s="19" t="s">
        <v>74</v>
      </c>
      <c r="X35" s="19" t="s">
        <v>74</v>
      </c>
      <c r="Y35" s="19" t="s">
        <v>70</v>
      </c>
      <c r="Z35" s="19" t="s">
        <v>68</v>
      </c>
      <c r="AA35" s="20">
        <v>45577</v>
      </c>
      <c r="AB35" s="4">
        <v>45577</v>
      </c>
      <c r="AC35" s="4">
        <v>45581</v>
      </c>
      <c r="AD35" s="19"/>
      <c r="AE35" s="19"/>
      <c r="AF35" s="19"/>
      <c r="AG35" s="19"/>
      <c r="AH35" s="19"/>
      <c r="AI35" s="19"/>
      <c r="AJ35" s="19"/>
      <c r="AK35" s="19"/>
      <c r="AL35" s="19"/>
      <c r="AM35" s="19"/>
      <c r="AN35" s="19"/>
      <c r="AO35" s="19"/>
      <c r="AP35" s="19"/>
      <c r="AQ35" s="19"/>
      <c r="AR35" s="19"/>
      <c r="AS35" s="27"/>
    </row>
    <row r="36" spans="1:45">
      <c r="A36" s="19">
        <f t="shared" si="0"/>
        <v>35</v>
      </c>
      <c r="B36" s="20">
        <v>45363</v>
      </c>
      <c r="C36" s="19" t="s">
        <v>1101</v>
      </c>
      <c r="D36" s="19" t="s">
        <v>961</v>
      </c>
      <c r="E36" s="19">
        <v>20250697</v>
      </c>
      <c r="F36" s="19" t="s">
        <v>1144</v>
      </c>
      <c r="G36" s="19" t="s">
        <v>1145</v>
      </c>
      <c r="H36" s="19" t="s">
        <v>1146</v>
      </c>
      <c r="I36" s="19" t="s">
        <v>86</v>
      </c>
      <c r="J36" s="19" t="s">
        <v>99</v>
      </c>
      <c r="K36" s="19" t="s">
        <v>101</v>
      </c>
      <c r="L36" s="19">
        <v>4</v>
      </c>
      <c r="M36" s="19" t="s">
        <v>1147</v>
      </c>
      <c r="N36" s="19">
        <v>4.5</v>
      </c>
      <c r="O36" s="19">
        <v>0</v>
      </c>
      <c r="P36" s="19">
        <v>6</v>
      </c>
      <c r="Q36" s="19" t="s">
        <v>1148</v>
      </c>
      <c r="R36" s="19" t="s">
        <v>72</v>
      </c>
      <c r="S36" s="19">
        <v>0</v>
      </c>
      <c r="T36" s="19"/>
      <c r="U36" s="21"/>
      <c r="V36" s="19"/>
      <c r="W36" s="19" t="s">
        <v>74</v>
      </c>
      <c r="X36" s="19" t="s">
        <v>74</v>
      </c>
      <c r="Y36" s="19" t="s">
        <v>70</v>
      </c>
      <c r="Z36" s="19" t="s">
        <v>68</v>
      </c>
      <c r="AA36" s="20">
        <v>45586</v>
      </c>
      <c r="AB36" s="4"/>
      <c r="AC36" s="4"/>
      <c r="AD36" s="19"/>
      <c r="AE36" s="19"/>
      <c r="AF36" s="19"/>
      <c r="AG36" s="19"/>
      <c r="AH36" s="19"/>
      <c r="AI36" s="19"/>
      <c r="AJ36" s="19"/>
      <c r="AK36" s="19"/>
      <c r="AL36" s="19"/>
      <c r="AM36" s="19"/>
      <c r="AN36" s="19"/>
      <c r="AO36" s="19"/>
      <c r="AP36" s="19"/>
      <c r="AQ36" s="19"/>
      <c r="AR36" s="19"/>
      <c r="AS36" s="27"/>
    </row>
    <row r="37" spans="1:45">
      <c r="A37" s="19">
        <f t="shared" si="0"/>
        <v>36</v>
      </c>
      <c r="B37" s="20">
        <v>45363</v>
      </c>
      <c r="C37" s="19" t="s">
        <v>1101</v>
      </c>
      <c r="D37" s="19" t="s">
        <v>961</v>
      </c>
      <c r="E37" s="19">
        <v>20250697</v>
      </c>
      <c r="F37" s="19" t="s">
        <v>1149</v>
      </c>
      <c r="G37" s="19">
        <v>7875297267</v>
      </c>
      <c r="H37" s="19" t="s">
        <v>1150</v>
      </c>
      <c r="I37" s="19" t="s">
        <v>123</v>
      </c>
      <c r="J37" s="19" t="s">
        <v>99</v>
      </c>
      <c r="K37" s="19" t="s">
        <v>101</v>
      </c>
      <c r="L37" s="19">
        <v>4</v>
      </c>
      <c r="M37" s="19" t="s">
        <v>1151</v>
      </c>
      <c r="N37" s="19">
        <v>4.8</v>
      </c>
      <c r="O37" s="19">
        <v>0</v>
      </c>
      <c r="P37" s="19">
        <v>6</v>
      </c>
      <c r="Q37" s="19" t="s">
        <v>1152</v>
      </c>
      <c r="R37" s="19" t="s">
        <v>72</v>
      </c>
      <c r="S37" s="19" t="s">
        <v>1139</v>
      </c>
      <c r="T37" s="19"/>
      <c r="U37" s="21"/>
      <c r="V37" s="19"/>
      <c r="W37" s="19" t="s">
        <v>74</v>
      </c>
      <c r="X37" s="19" t="s">
        <v>74</v>
      </c>
      <c r="Y37" s="19" t="s">
        <v>70</v>
      </c>
      <c r="Z37" s="19" t="s">
        <v>68</v>
      </c>
      <c r="AA37" s="20">
        <v>45586</v>
      </c>
      <c r="AB37" s="4"/>
      <c r="AC37" s="4"/>
      <c r="AD37" s="19"/>
      <c r="AE37" s="19"/>
      <c r="AF37" s="19"/>
      <c r="AG37" s="19"/>
      <c r="AH37" s="19"/>
      <c r="AI37" s="19"/>
      <c r="AJ37" s="19"/>
      <c r="AK37" s="19"/>
      <c r="AL37" s="19"/>
      <c r="AM37" s="19"/>
      <c r="AN37" s="19"/>
      <c r="AO37" s="19"/>
      <c r="AP37" s="19"/>
      <c r="AQ37" s="19"/>
      <c r="AR37" s="19"/>
      <c r="AS37" s="27"/>
    </row>
    <row r="38" spans="1:45">
      <c r="A38" s="19">
        <f t="shared" si="0"/>
        <v>37</v>
      </c>
      <c r="B38" s="20">
        <v>45364</v>
      </c>
      <c r="C38" s="19" t="s">
        <v>116</v>
      </c>
      <c r="D38" s="19" t="s">
        <v>116</v>
      </c>
      <c r="E38" s="19" t="s">
        <v>542</v>
      </c>
      <c r="F38" s="19" t="s">
        <v>545</v>
      </c>
      <c r="G38" s="19">
        <v>9374432607</v>
      </c>
      <c r="H38" s="19" t="s">
        <v>546</v>
      </c>
      <c r="I38" s="19" t="s">
        <v>123</v>
      </c>
      <c r="J38" s="19" t="s">
        <v>543</v>
      </c>
      <c r="K38" s="19" t="s">
        <v>454</v>
      </c>
      <c r="L38" s="19"/>
      <c r="M38" s="19"/>
      <c r="N38" s="19"/>
      <c r="O38" s="19"/>
      <c r="P38" s="19">
        <v>800000</v>
      </c>
      <c r="Q38" s="19" t="e" vm="1">
        <v>#VALUE!</v>
      </c>
      <c r="R38" s="19" t="s">
        <v>72</v>
      </c>
      <c r="S38" s="19"/>
      <c r="T38" s="19"/>
      <c r="U38" s="21">
        <v>45453</v>
      </c>
      <c r="V38" s="19"/>
      <c r="W38" s="19" t="s">
        <v>245</v>
      </c>
      <c r="X38" s="19" t="s">
        <v>245</v>
      </c>
      <c r="Y38" s="19"/>
      <c r="Z38" s="19" t="s">
        <v>68</v>
      </c>
      <c r="AA38" s="19"/>
      <c r="AB38" s="4"/>
      <c r="AC38" s="4"/>
      <c r="AD38" s="19"/>
      <c r="AE38" s="19"/>
      <c r="AF38" s="19"/>
      <c r="AG38" s="19"/>
      <c r="AH38" s="19"/>
      <c r="AI38" s="19"/>
      <c r="AJ38" s="19"/>
      <c r="AK38" s="19"/>
      <c r="AL38" s="19"/>
      <c r="AM38" s="19"/>
      <c r="AN38" s="19"/>
      <c r="AO38" s="19"/>
      <c r="AP38" s="19"/>
      <c r="AQ38" s="19"/>
      <c r="AR38" s="19"/>
      <c r="AS38" s="27"/>
    </row>
    <row r="39" spans="1:45">
      <c r="A39" s="19">
        <f t="shared" si="0"/>
        <v>38</v>
      </c>
      <c r="B39" s="20">
        <v>45371</v>
      </c>
      <c r="C39" s="19" t="s">
        <v>116</v>
      </c>
      <c r="D39" s="19" t="s">
        <v>116</v>
      </c>
      <c r="E39" s="19" t="s">
        <v>248</v>
      </c>
      <c r="F39" s="19" t="s">
        <v>249</v>
      </c>
      <c r="G39" s="19">
        <v>9096041070</v>
      </c>
      <c r="H39" s="19" t="s">
        <v>251</v>
      </c>
      <c r="I39" s="19" t="s">
        <v>123</v>
      </c>
      <c r="J39" s="19" t="s">
        <v>1153</v>
      </c>
      <c r="K39" s="19" t="s">
        <v>644</v>
      </c>
      <c r="L39" s="19" t="s">
        <v>1154</v>
      </c>
      <c r="M39" s="19" t="s">
        <v>1155</v>
      </c>
      <c r="N39" s="19" t="s">
        <v>1090</v>
      </c>
      <c r="O39" s="19"/>
      <c r="P39" s="19" t="s">
        <v>1156</v>
      </c>
      <c r="Q39" s="19" t="s">
        <v>1157</v>
      </c>
      <c r="R39" s="19" t="s">
        <v>72</v>
      </c>
      <c r="S39" s="19" t="s">
        <v>1158</v>
      </c>
      <c r="T39" s="19" t="s">
        <v>858</v>
      </c>
      <c r="U39" s="21">
        <v>45488</v>
      </c>
      <c r="V39" s="19"/>
      <c r="W39" s="19" t="s">
        <v>144</v>
      </c>
      <c r="X39" s="19" t="s">
        <v>144</v>
      </c>
      <c r="Y39" s="19" t="s">
        <v>70</v>
      </c>
      <c r="Z39" s="19" t="s">
        <v>68</v>
      </c>
      <c r="AA39" s="19"/>
      <c r="AB39" s="4"/>
      <c r="AC39" s="4"/>
      <c r="AD39" s="19"/>
      <c r="AE39" s="19"/>
      <c r="AF39" s="19"/>
      <c r="AG39" s="19"/>
      <c r="AH39" s="19"/>
      <c r="AI39" s="19"/>
      <c r="AJ39" s="19"/>
      <c r="AK39" s="19"/>
      <c r="AL39" s="19"/>
      <c r="AM39" s="19"/>
      <c r="AN39" s="19"/>
      <c r="AO39" s="19"/>
      <c r="AP39" s="19"/>
      <c r="AQ39" s="19"/>
      <c r="AR39" s="19"/>
      <c r="AS39" s="27"/>
    </row>
    <row r="40" spans="1:45">
      <c r="A40" s="19">
        <f t="shared" si="0"/>
        <v>39</v>
      </c>
      <c r="B40" s="20">
        <v>45373</v>
      </c>
      <c r="C40" s="19" t="s">
        <v>116</v>
      </c>
      <c r="D40" s="19" t="s">
        <v>116</v>
      </c>
      <c r="E40" s="19" t="s">
        <v>528</v>
      </c>
      <c r="F40" s="19" t="s">
        <v>531</v>
      </c>
      <c r="G40" s="19">
        <v>9510446790</v>
      </c>
      <c r="H40" s="19" t="s">
        <v>532</v>
      </c>
      <c r="I40" s="19" t="s">
        <v>123</v>
      </c>
      <c r="J40" s="19" t="s">
        <v>529</v>
      </c>
      <c r="K40" s="19" t="s">
        <v>454</v>
      </c>
      <c r="L40" s="19"/>
      <c r="M40" s="19"/>
      <c r="N40" s="19"/>
      <c r="O40" s="19"/>
      <c r="P40" s="19">
        <v>900000</v>
      </c>
      <c r="Q40" s="19" t="e" vm="2">
        <v>#VALUE!</v>
      </c>
      <c r="R40" s="19" t="s">
        <v>72</v>
      </c>
      <c r="S40" s="19"/>
      <c r="T40" s="19"/>
      <c r="U40" s="21">
        <v>45432</v>
      </c>
      <c r="V40" s="19"/>
      <c r="W40" s="19" t="s">
        <v>245</v>
      </c>
      <c r="X40" s="19" t="s">
        <v>245</v>
      </c>
      <c r="Y40" s="19"/>
      <c r="Z40" s="19" t="s">
        <v>68</v>
      </c>
      <c r="AA40" s="19"/>
      <c r="AB40" s="4"/>
      <c r="AC40" s="4"/>
      <c r="AD40" s="19"/>
      <c r="AE40" s="19"/>
      <c r="AF40" s="19"/>
      <c r="AG40" s="19"/>
      <c r="AH40" s="19"/>
      <c r="AI40" s="19"/>
      <c r="AJ40" s="19"/>
      <c r="AK40" s="19"/>
      <c r="AL40" s="19"/>
      <c r="AM40" s="19"/>
      <c r="AN40" s="19"/>
      <c r="AO40" s="19"/>
      <c r="AP40" s="19"/>
      <c r="AQ40" s="19"/>
      <c r="AR40" s="19"/>
      <c r="AS40" s="27"/>
    </row>
    <row r="41" spans="1:45">
      <c r="A41" s="19">
        <f t="shared" si="0"/>
        <v>40</v>
      </c>
      <c r="B41" s="20">
        <v>45373</v>
      </c>
      <c r="C41" s="19" t="s">
        <v>116</v>
      </c>
      <c r="D41" s="19" t="s">
        <v>116</v>
      </c>
      <c r="E41" s="19" t="s">
        <v>547</v>
      </c>
      <c r="F41" s="19" t="s">
        <v>549</v>
      </c>
      <c r="G41" s="19">
        <v>9405771202</v>
      </c>
      <c r="H41" s="19" t="s">
        <v>1159</v>
      </c>
      <c r="I41" s="19" t="s">
        <v>123</v>
      </c>
      <c r="J41" s="19" t="s">
        <v>548</v>
      </c>
      <c r="K41" s="19" t="s">
        <v>228</v>
      </c>
      <c r="L41" s="19"/>
      <c r="M41" s="19"/>
      <c r="N41" s="19"/>
      <c r="O41" s="19"/>
      <c r="P41" s="19">
        <v>2575000</v>
      </c>
      <c r="Q41" s="19" t="e" vm="1">
        <v>#VALUE!</v>
      </c>
      <c r="R41" s="19" t="s">
        <v>72</v>
      </c>
      <c r="S41" s="19"/>
      <c r="T41" s="19"/>
      <c r="U41" s="21">
        <v>45460</v>
      </c>
      <c r="V41" s="19"/>
      <c r="W41" s="19" t="s">
        <v>245</v>
      </c>
      <c r="X41" s="19" t="s">
        <v>245</v>
      </c>
      <c r="Y41" s="19"/>
      <c r="Z41" s="19" t="s">
        <v>345</v>
      </c>
      <c r="AA41" s="19"/>
      <c r="AB41" s="4"/>
      <c r="AC41" s="4"/>
      <c r="AD41" s="19"/>
      <c r="AE41" s="19"/>
      <c r="AF41" s="19"/>
      <c r="AG41" s="19"/>
      <c r="AH41" s="19"/>
      <c r="AI41" s="19"/>
      <c r="AJ41" s="19"/>
      <c r="AK41" s="19"/>
      <c r="AL41" s="19"/>
      <c r="AM41" s="19"/>
      <c r="AN41" s="19"/>
      <c r="AO41" s="19"/>
      <c r="AP41" s="19"/>
      <c r="AQ41" s="19"/>
      <c r="AR41" s="19"/>
      <c r="AS41" s="27"/>
    </row>
    <row r="42" spans="1:45">
      <c r="A42" s="19">
        <f t="shared" si="0"/>
        <v>41</v>
      </c>
      <c r="B42" s="20">
        <v>45392</v>
      </c>
      <c r="C42" s="19" t="s">
        <v>1101</v>
      </c>
      <c r="D42" s="19" t="s">
        <v>1160</v>
      </c>
      <c r="E42" s="19">
        <v>20245321</v>
      </c>
      <c r="F42" s="19" t="s">
        <v>1161</v>
      </c>
      <c r="G42" s="19">
        <v>8007253664</v>
      </c>
      <c r="H42" s="19" t="s">
        <v>1162</v>
      </c>
      <c r="I42" s="19" t="s">
        <v>123</v>
      </c>
      <c r="J42" s="19" t="s">
        <v>114</v>
      </c>
      <c r="K42" s="19" t="s">
        <v>1105</v>
      </c>
      <c r="L42" s="19">
        <v>5.0999999999999996</v>
      </c>
      <c r="M42" s="19" t="s">
        <v>1163</v>
      </c>
      <c r="N42" s="19">
        <v>14</v>
      </c>
      <c r="O42" s="19">
        <v>0</v>
      </c>
      <c r="P42" s="19">
        <v>17</v>
      </c>
      <c r="Q42" s="19" t="s">
        <v>1114</v>
      </c>
      <c r="R42" s="19" t="s">
        <v>72</v>
      </c>
      <c r="S42" s="19" t="s">
        <v>1164</v>
      </c>
      <c r="T42" s="19" t="s">
        <v>1109</v>
      </c>
      <c r="U42" s="21"/>
      <c r="V42" s="19"/>
      <c r="W42" s="19" t="s">
        <v>74</v>
      </c>
      <c r="X42" s="19" t="s">
        <v>74</v>
      </c>
      <c r="Y42" s="19" t="s">
        <v>70</v>
      </c>
      <c r="Z42" s="19" t="s">
        <v>68</v>
      </c>
      <c r="AA42" s="4">
        <v>45392</v>
      </c>
      <c r="AB42" s="4">
        <v>45400</v>
      </c>
      <c r="AC42" s="4">
        <v>45400</v>
      </c>
      <c r="AD42" s="19"/>
      <c r="AE42" s="19"/>
      <c r="AF42" s="19"/>
      <c r="AG42" s="19"/>
      <c r="AH42" s="19"/>
      <c r="AI42" s="19"/>
      <c r="AJ42" s="19"/>
      <c r="AK42" s="19"/>
      <c r="AL42" s="19"/>
      <c r="AM42" s="19"/>
      <c r="AN42" s="19"/>
      <c r="AO42" s="19"/>
      <c r="AP42" s="19"/>
      <c r="AQ42" s="19"/>
      <c r="AR42" s="19"/>
      <c r="AS42" s="27"/>
    </row>
    <row r="43" spans="1:45">
      <c r="A43" s="19">
        <f t="shared" si="0"/>
        <v>42</v>
      </c>
      <c r="B43" s="20">
        <v>45392</v>
      </c>
      <c r="C43" s="19" t="s">
        <v>1101</v>
      </c>
      <c r="D43" s="19" t="s">
        <v>1102</v>
      </c>
      <c r="E43" s="19">
        <v>20245321</v>
      </c>
      <c r="F43" s="19" t="s">
        <v>1165</v>
      </c>
      <c r="G43" s="19">
        <v>8830850521</v>
      </c>
      <c r="H43" s="19" t="s">
        <v>1166</v>
      </c>
      <c r="I43" s="19" t="s">
        <v>123</v>
      </c>
      <c r="J43" s="19" t="s">
        <v>114</v>
      </c>
      <c r="K43" s="19" t="s">
        <v>1105</v>
      </c>
      <c r="L43" s="19" t="s">
        <v>1167</v>
      </c>
      <c r="M43" s="19" t="s">
        <v>1168</v>
      </c>
      <c r="N43" s="19">
        <v>10</v>
      </c>
      <c r="O43" s="19">
        <v>0</v>
      </c>
      <c r="P43" s="19" t="s">
        <v>1169</v>
      </c>
      <c r="Q43" s="19" t="s">
        <v>1170</v>
      </c>
      <c r="R43" s="19" t="s">
        <v>72</v>
      </c>
      <c r="S43" s="19" t="s">
        <v>1171</v>
      </c>
      <c r="T43" s="19" t="s">
        <v>1172</v>
      </c>
      <c r="U43" s="21"/>
      <c r="V43" s="19"/>
      <c r="W43" s="19" t="s">
        <v>74</v>
      </c>
      <c r="X43" s="19" t="s">
        <v>74</v>
      </c>
      <c r="Y43" s="19" t="s">
        <v>70</v>
      </c>
      <c r="Z43" s="19" t="s">
        <v>68</v>
      </c>
      <c r="AA43" s="4">
        <v>45392</v>
      </c>
      <c r="AB43" s="4">
        <v>45399</v>
      </c>
      <c r="AC43" s="4">
        <v>45399</v>
      </c>
      <c r="AD43" s="19"/>
      <c r="AE43" s="19"/>
      <c r="AF43" s="19"/>
      <c r="AG43" s="19"/>
      <c r="AH43" s="19"/>
      <c r="AI43" s="19"/>
      <c r="AJ43" s="19"/>
      <c r="AK43" s="19"/>
      <c r="AL43" s="19"/>
      <c r="AM43" s="19"/>
      <c r="AN43" s="19"/>
      <c r="AO43" s="19"/>
      <c r="AP43" s="19"/>
      <c r="AQ43" s="19"/>
      <c r="AR43" s="19"/>
      <c r="AS43" s="27"/>
    </row>
    <row r="44" spans="1:45">
      <c r="A44" s="19">
        <f t="shared" si="0"/>
        <v>43</v>
      </c>
      <c r="B44" s="20">
        <v>45392</v>
      </c>
      <c r="C44" s="19" t="s">
        <v>1101</v>
      </c>
      <c r="D44" s="19" t="s">
        <v>1102</v>
      </c>
      <c r="E44" s="19">
        <v>20245321</v>
      </c>
      <c r="F44" s="19" t="s">
        <v>1173</v>
      </c>
      <c r="G44" s="19">
        <v>9766347642</v>
      </c>
      <c r="H44" s="19" t="s">
        <v>1174</v>
      </c>
      <c r="I44" s="19" t="s">
        <v>123</v>
      </c>
      <c r="J44" s="19" t="s">
        <v>114</v>
      </c>
      <c r="K44" s="19" t="s">
        <v>1105</v>
      </c>
      <c r="L44" s="19">
        <v>5.5</v>
      </c>
      <c r="M44" s="19" t="s">
        <v>1175</v>
      </c>
      <c r="N44" s="19">
        <v>16.5</v>
      </c>
      <c r="O44" s="19">
        <v>0</v>
      </c>
      <c r="P44" s="19">
        <v>18</v>
      </c>
      <c r="Q44" s="19" t="s">
        <v>1170</v>
      </c>
      <c r="R44" s="19" t="s">
        <v>72</v>
      </c>
      <c r="S44" s="19" t="s">
        <v>1139</v>
      </c>
      <c r="T44" s="19" t="s">
        <v>1109</v>
      </c>
      <c r="U44" s="21"/>
      <c r="V44" s="19"/>
      <c r="W44" s="19" t="s">
        <v>74</v>
      </c>
      <c r="X44" s="19" t="s">
        <v>74</v>
      </c>
      <c r="Y44" s="19" t="s">
        <v>70</v>
      </c>
      <c r="Z44" s="19" t="s">
        <v>68</v>
      </c>
      <c r="AA44" s="4">
        <v>45392</v>
      </c>
      <c r="AB44" s="4">
        <v>45398</v>
      </c>
      <c r="AC44" s="4">
        <v>45398</v>
      </c>
      <c r="AD44" s="19"/>
      <c r="AE44" s="19"/>
      <c r="AF44" s="19"/>
      <c r="AG44" s="19"/>
      <c r="AH44" s="19"/>
      <c r="AI44" s="19"/>
      <c r="AJ44" s="19"/>
      <c r="AK44" s="19"/>
      <c r="AL44" s="19"/>
      <c r="AM44" s="19"/>
      <c r="AN44" s="19"/>
      <c r="AO44" s="19"/>
      <c r="AP44" s="19"/>
      <c r="AQ44" s="19"/>
      <c r="AR44" s="19"/>
      <c r="AS44" s="27"/>
    </row>
    <row r="45" spans="1:45">
      <c r="A45" s="19">
        <f t="shared" si="0"/>
        <v>44</v>
      </c>
      <c r="B45" s="20">
        <v>45392</v>
      </c>
      <c r="C45" s="19" t="s">
        <v>1101</v>
      </c>
      <c r="D45" s="19" t="s">
        <v>1102</v>
      </c>
      <c r="E45" s="19">
        <v>20245321</v>
      </c>
      <c r="F45" s="19" t="s">
        <v>1176</v>
      </c>
      <c r="G45" s="19">
        <v>7038685984</v>
      </c>
      <c r="H45" s="19" t="s">
        <v>1177</v>
      </c>
      <c r="I45" s="19" t="s">
        <v>123</v>
      </c>
      <c r="J45" s="19" t="s">
        <v>114</v>
      </c>
      <c r="K45" s="19" t="s">
        <v>1105</v>
      </c>
      <c r="L45" s="19">
        <v>5</v>
      </c>
      <c r="M45" s="19" t="s">
        <v>1178</v>
      </c>
      <c r="N45" s="19">
        <v>7.65</v>
      </c>
      <c r="O45" s="19">
        <v>0</v>
      </c>
      <c r="P45" s="19">
        <v>14</v>
      </c>
      <c r="Q45" s="19" t="s">
        <v>1179</v>
      </c>
      <c r="R45" s="19" t="s">
        <v>72</v>
      </c>
      <c r="S45" s="19" t="s">
        <v>1180</v>
      </c>
      <c r="T45" s="19" t="s">
        <v>1181</v>
      </c>
      <c r="U45" s="21"/>
      <c r="V45" s="19"/>
      <c r="W45" s="19" t="s">
        <v>74</v>
      </c>
      <c r="X45" s="19" t="s">
        <v>74</v>
      </c>
      <c r="Y45" s="19" t="s">
        <v>70</v>
      </c>
      <c r="Z45" s="19" t="s">
        <v>68</v>
      </c>
      <c r="AA45" s="4">
        <v>45392</v>
      </c>
      <c r="AB45" s="4">
        <v>45397</v>
      </c>
      <c r="AC45" s="4">
        <v>45397</v>
      </c>
      <c r="AD45" s="19"/>
      <c r="AE45" s="19"/>
      <c r="AF45" s="19"/>
      <c r="AG45" s="19"/>
      <c r="AH45" s="19"/>
      <c r="AI45" s="19"/>
      <c r="AJ45" s="19"/>
      <c r="AK45" s="19"/>
      <c r="AL45" s="19"/>
      <c r="AM45" s="19"/>
      <c r="AN45" s="19"/>
      <c r="AO45" s="19"/>
      <c r="AP45" s="19"/>
      <c r="AQ45" s="19"/>
      <c r="AR45" s="19"/>
      <c r="AS45" s="27"/>
    </row>
    <row r="46" spans="1:45">
      <c r="A46" s="19">
        <f t="shared" si="0"/>
        <v>45</v>
      </c>
      <c r="B46" s="20">
        <v>45398</v>
      </c>
      <c r="C46" s="19" t="s">
        <v>116</v>
      </c>
      <c r="D46" s="19" t="s">
        <v>116</v>
      </c>
      <c r="E46" s="19" t="s">
        <v>526</v>
      </c>
      <c r="F46" s="19" t="s">
        <v>527</v>
      </c>
      <c r="G46" s="19">
        <v>9813929007</v>
      </c>
      <c r="H46" s="19" t="s">
        <v>1182</v>
      </c>
      <c r="I46" s="19" t="s">
        <v>123</v>
      </c>
      <c r="J46" s="19" t="s">
        <v>393</v>
      </c>
      <c r="K46" s="19" t="s">
        <v>652</v>
      </c>
      <c r="L46" s="19"/>
      <c r="M46" s="19"/>
      <c r="N46" s="19"/>
      <c r="O46" s="19"/>
      <c r="P46" s="19">
        <v>2000000</v>
      </c>
      <c r="Q46" s="19" t="e" vm="3">
        <v>#VALUE!</v>
      </c>
      <c r="R46" s="19" t="s">
        <v>72</v>
      </c>
      <c r="S46" s="19"/>
      <c r="T46" s="19"/>
      <c r="U46" s="21">
        <v>45427</v>
      </c>
      <c r="V46" s="19"/>
      <c r="W46" s="19" t="s">
        <v>245</v>
      </c>
      <c r="X46" s="19" t="s">
        <v>245</v>
      </c>
      <c r="Y46" s="19"/>
      <c r="Z46" s="19" t="s">
        <v>151</v>
      </c>
      <c r="AA46" s="19">
        <v>45423</v>
      </c>
      <c r="AB46" s="4">
        <v>45423</v>
      </c>
      <c r="AC46" s="4">
        <v>45423</v>
      </c>
      <c r="AD46" s="19"/>
      <c r="AE46" s="19"/>
      <c r="AF46" s="19"/>
      <c r="AG46" s="19"/>
      <c r="AH46" s="19"/>
      <c r="AI46" s="19"/>
      <c r="AJ46" s="19"/>
      <c r="AK46" s="19"/>
      <c r="AL46" s="19"/>
      <c r="AM46" s="19"/>
      <c r="AN46" s="19"/>
      <c r="AO46" s="19"/>
      <c r="AP46" s="19"/>
      <c r="AQ46" s="19"/>
      <c r="AR46" s="19"/>
      <c r="AS46" s="27"/>
    </row>
    <row r="47" spans="1:45">
      <c r="A47" s="19">
        <f t="shared" si="0"/>
        <v>46</v>
      </c>
      <c r="B47" s="20">
        <v>45399</v>
      </c>
      <c r="C47" s="19" t="s">
        <v>1101</v>
      </c>
      <c r="D47" s="19" t="s">
        <v>80</v>
      </c>
      <c r="E47" s="19" t="s">
        <v>634</v>
      </c>
      <c r="F47" s="19" t="s">
        <v>637</v>
      </c>
      <c r="G47" s="19">
        <v>7018665972</v>
      </c>
      <c r="H47" s="19" t="s">
        <v>1183</v>
      </c>
      <c r="I47" s="19" t="s">
        <v>123</v>
      </c>
      <c r="J47" s="19" t="s">
        <v>472</v>
      </c>
      <c r="K47" s="19" t="s">
        <v>576</v>
      </c>
      <c r="L47" s="19">
        <v>1</v>
      </c>
      <c r="M47" s="19" t="s">
        <v>1184</v>
      </c>
      <c r="N47" s="19" t="s">
        <v>1185</v>
      </c>
      <c r="O47" s="19">
        <v>0</v>
      </c>
      <c r="P47" s="19" t="s">
        <v>1186</v>
      </c>
      <c r="Q47" s="19" t="s">
        <v>72</v>
      </c>
      <c r="R47" s="19" t="s">
        <v>72</v>
      </c>
      <c r="S47" s="19" t="s">
        <v>1139</v>
      </c>
      <c r="T47" s="19"/>
      <c r="U47" s="21"/>
      <c r="V47" s="19"/>
      <c r="W47" s="19" t="s">
        <v>245</v>
      </c>
      <c r="X47" s="19" t="s">
        <v>245</v>
      </c>
      <c r="Y47" s="19" t="s">
        <v>70</v>
      </c>
      <c r="Z47" s="19" t="s">
        <v>68</v>
      </c>
      <c r="AA47" s="19"/>
      <c r="AB47" s="4">
        <v>45644</v>
      </c>
      <c r="AC47" s="4"/>
      <c r="AD47" s="19"/>
      <c r="AE47" s="19"/>
      <c r="AF47" s="19"/>
      <c r="AG47" s="19"/>
      <c r="AH47" s="19"/>
      <c r="AI47" s="19"/>
      <c r="AJ47" s="19"/>
      <c r="AK47" s="19"/>
      <c r="AL47" s="19"/>
      <c r="AM47" s="19"/>
      <c r="AN47" s="19"/>
      <c r="AO47" s="19"/>
      <c r="AP47" s="19"/>
      <c r="AQ47" s="19"/>
      <c r="AR47" s="19"/>
      <c r="AS47" s="27"/>
    </row>
    <row r="48" spans="1:45">
      <c r="A48" s="19">
        <f t="shared" si="0"/>
        <v>47</v>
      </c>
      <c r="B48" s="20">
        <v>45414</v>
      </c>
      <c r="C48" s="19" t="s">
        <v>116</v>
      </c>
      <c r="D48" s="19" t="s">
        <v>116</v>
      </c>
      <c r="E48" s="19" t="s">
        <v>204</v>
      </c>
      <c r="F48" s="19" t="s">
        <v>1187</v>
      </c>
      <c r="G48" s="19">
        <v>7767934337</v>
      </c>
      <c r="H48" s="19" t="s">
        <v>208</v>
      </c>
      <c r="I48" s="19" t="s">
        <v>86</v>
      </c>
      <c r="J48" s="19" t="s">
        <v>141</v>
      </c>
      <c r="K48" s="19" t="s">
        <v>644</v>
      </c>
      <c r="L48" s="19" t="s">
        <v>1188</v>
      </c>
      <c r="M48" s="19" t="s">
        <v>1189</v>
      </c>
      <c r="N48" s="19" t="s">
        <v>1190</v>
      </c>
      <c r="O48" s="19"/>
      <c r="P48" s="19" t="s">
        <v>1191</v>
      </c>
      <c r="Q48" s="19" t="s">
        <v>72</v>
      </c>
      <c r="R48" s="19" t="s">
        <v>72</v>
      </c>
      <c r="S48" s="19" t="s">
        <v>1158</v>
      </c>
      <c r="T48" s="19" t="s">
        <v>858</v>
      </c>
      <c r="U48" s="21">
        <v>45432</v>
      </c>
      <c r="V48" s="19"/>
      <c r="W48" s="19" t="s">
        <v>144</v>
      </c>
      <c r="X48" s="19" t="s">
        <v>144</v>
      </c>
      <c r="Y48" s="19" t="s">
        <v>70</v>
      </c>
      <c r="Z48" s="19" t="s">
        <v>68</v>
      </c>
      <c r="AA48" s="19"/>
      <c r="AB48" s="4"/>
      <c r="AC48" s="4"/>
      <c r="AD48" s="19"/>
      <c r="AE48" s="19"/>
      <c r="AF48" s="19"/>
      <c r="AG48" s="19"/>
      <c r="AH48" s="19"/>
      <c r="AI48" s="19"/>
      <c r="AJ48" s="19"/>
      <c r="AK48" s="19"/>
      <c r="AL48" s="19"/>
      <c r="AM48" s="19"/>
      <c r="AN48" s="19"/>
      <c r="AO48" s="19"/>
      <c r="AP48" s="19"/>
      <c r="AQ48" s="19"/>
      <c r="AR48" s="19"/>
      <c r="AS48" s="27"/>
    </row>
    <row r="49" spans="1:45">
      <c r="A49" s="19">
        <f t="shared" si="0"/>
        <v>48</v>
      </c>
      <c r="B49" s="20">
        <v>45420</v>
      </c>
      <c r="C49" s="19" t="s">
        <v>116</v>
      </c>
      <c r="D49" s="19" t="s">
        <v>116</v>
      </c>
      <c r="E49" s="19">
        <v>20243791</v>
      </c>
      <c r="F49" s="19" t="s">
        <v>231</v>
      </c>
      <c r="G49" s="19">
        <v>8097346716</v>
      </c>
      <c r="H49" s="19" t="s">
        <v>233</v>
      </c>
      <c r="I49" s="19" t="s">
        <v>123</v>
      </c>
      <c r="J49" s="19" t="s">
        <v>230</v>
      </c>
      <c r="K49" s="19" t="s">
        <v>217</v>
      </c>
      <c r="L49" s="19" t="s">
        <v>1192</v>
      </c>
      <c r="M49" s="19" t="s">
        <v>1193</v>
      </c>
      <c r="N49" s="19" t="s">
        <v>1194</v>
      </c>
      <c r="O49" s="19"/>
      <c r="P49" s="19" t="s">
        <v>1195</v>
      </c>
      <c r="Q49" s="19" t="s">
        <v>72</v>
      </c>
      <c r="R49" s="19" t="s">
        <v>72</v>
      </c>
      <c r="S49" s="19" t="s">
        <v>1196</v>
      </c>
      <c r="T49" s="19" t="s">
        <v>858</v>
      </c>
      <c r="U49" s="21">
        <v>45559</v>
      </c>
      <c r="V49" s="19"/>
      <c r="W49" s="19" t="s">
        <v>144</v>
      </c>
      <c r="X49" s="19" t="s">
        <v>144</v>
      </c>
      <c r="Y49" s="19" t="s">
        <v>70</v>
      </c>
      <c r="Z49" s="19" t="s">
        <v>68</v>
      </c>
      <c r="AA49" s="19"/>
      <c r="AB49" s="4"/>
      <c r="AC49" s="4"/>
      <c r="AD49" s="19"/>
      <c r="AE49" s="19"/>
      <c r="AF49" s="19"/>
      <c r="AG49" s="19"/>
      <c r="AH49" s="19"/>
      <c r="AI49" s="19"/>
      <c r="AJ49" s="19"/>
      <c r="AK49" s="19"/>
      <c r="AL49" s="19"/>
      <c r="AM49" s="19"/>
      <c r="AN49" s="19"/>
      <c r="AO49" s="19"/>
      <c r="AP49" s="19"/>
      <c r="AQ49" s="19"/>
      <c r="AR49" s="19"/>
      <c r="AS49" s="27"/>
    </row>
    <row r="50" spans="1:45">
      <c r="A50" s="19">
        <f t="shared" si="0"/>
        <v>49</v>
      </c>
      <c r="B50" s="20">
        <v>45421</v>
      </c>
      <c r="C50" s="19" t="s">
        <v>116</v>
      </c>
      <c r="D50" s="19" t="s">
        <v>116</v>
      </c>
      <c r="E50" s="19">
        <v>20246912</v>
      </c>
      <c r="F50" s="19" t="s">
        <v>1197</v>
      </c>
      <c r="G50" s="19" t="s">
        <v>1198</v>
      </c>
      <c r="H50" s="19" t="s">
        <v>1199</v>
      </c>
      <c r="I50" s="19" t="s">
        <v>86</v>
      </c>
      <c r="J50" s="19" t="s">
        <v>1200</v>
      </c>
      <c r="K50" s="19" t="s">
        <v>652</v>
      </c>
      <c r="L50" s="19" t="s">
        <v>1201</v>
      </c>
      <c r="M50" s="19" t="s">
        <v>1202</v>
      </c>
      <c r="N50" s="19" t="s">
        <v>1203</v>
      </c>
      <c r="O50" s="19"/>
      <c r="P50" s="19" t="s">
        <v>1204</v>
      </c>
      <c r="Q50" s="19" t="s">
        <v>72</v>
      </c>
      <c r="R50" s="19" t="s">
        <v>72</v>
      </c>
      <c r="S50" s="19" t="s">
        <v>1158</v>
      </c>
      <c r="T50" s="19" t="s">
        <v>858</v>
      </c>
      <c r="U50" s="21">
        <v>45635</v>
      </c>
      <c r="V50" s="19"/>
      <c r="W50" s="19" t="s">
        <v>144</v>
      </c>
      <c r="X50" s="19" t="s">
        <v>144</v>
      </c>
      <c r="Y50" s="19" t="s">
        <v>94</v>
      </c>
      <c r="Z50" s="19" t="s">
        <v>68</v>
      </c>
      <c r="AA50" s="19"/>
      <c r="AB50" s="4"/>
      <c r="AC50" s="4"/>
      <c r="AD50" s="19"/>
      <c r="AE50" s="19"/>
      <c r="AF50" s="19"/>
      <c r="AG50" s="19"/>
      <c r="AH50" s="19"/>
      <c r="AI50" s="19"/>
      <c r="AJ50" s="19"/>
      <c r="AK50" s="19"/>
      <c r="AL50" s="19"/>
      <c r="AM50" s="19"/>
      <c r="AN50" s="19"/>
      <c r="AO50" s="19"/>
      <c r="AP50" s="19"/>
      <c r="AQ50" s="19"/>
      <c r="AR50" s="19"/>
      <c r="AS50" s="27"/>
    </row>
    <row r="51" spans="1:45">
      <c r="A51" s="19">
        <f t="shared" si="0"/>
        <v>50</v>
      </c>
      <c r="B51" s="20">
        <v>45421</v>
      </c>
      <c r="C51" s="19" t="s">
        <v>116</v>
      </c>
      <c r="D51" s="19" t="s">
        <v>116</v>
      </c>
      <c r="E51" s="19" t="s">
        <v>538</v>
      </c>
      <c r="F51" s="19" t="s">
        <v>540</v>
      </c>
      <c r="G51" s="19">
        <v>9657208855</v>
      </c>
      <c r="H51" s="19" t="s">
        <v>541</v>
      </c>
      <c r="I51" s="19" t="s">
        <v>123</v>
      </c>
      <c r="J51" s="19" t="s">
        <v>539</v>
      </c>
      <c r="K51" s="19" t="s">
        <v>228</v>
      </c>
      <c r="L51" s="19"/>
      <c r="M51" s="19"/>
      <c r="N51" s="19"/>
      <c r="O51" s="19"/>
      <c r="P51" s="19">
        <v>2500000</v>
      </c>
      <c r="Q51" s="19" t="e" vm="1">
        <v>#VALUE!</v>
      </c>
      <c r="R51" s="19" t="s">
        <v>72</v>
      </c>
      <c r="S51" s="19"/>
      <c r="T51" s="19"/>
      <c r="U51" s="21">
        <v>45433</v>
      </c>
      <c r="V51" s="19"/>
      <c r="W51" s="19" t="s">
        <v>245</v>
      </c>
      <c r="X51" s="19" t="s">
        <v>245</v>
      </c>
      <c r="Y51" s="19"/>
      <c r="Z51" s="19" t="s">
        <v>111</v>
      </c>
      <c r="AA51" s="19"/>
      <c r="AB51" s="4"/>
      <c r="AC51" s="4"/>
      <c r="AD51" s="19"/>
      <c r="AE51" s="19"/>
      <c r="AF51" s="19"/>
      <c r="AG51" s="19"/>
      <c r="AH51" s="19"/>
      <c r="AI51" s="19"/>
      <c r="AJ51" s="19"/>
      <c r="AK51" s="19"/>
      <c r="AL51" s="19"/>
      <c r="AM51" s="19"/>
      <c r="AN51" s="19"/>
      <c r="AO51" s="19"/>
      <c r="AP51" s="19"/>
      <c r="AQ51" s="19"/>
      <c r="AR51" s="19"/>
      <c r="AS51" s="27"/>
    </row>
    <row r="52" spans="1:45">
      <c r="A52" s="19">
        <f t="shared" si="0"/>
        <v>51</v>
      </c>
      <c r="B52" s="20">
        <v>45392</v>
      </c>
      <c r="C52" s="19" t="s">
        <v>1101</v>
      </c>
      <c r="D52" s="19" t="s">
        <v>1102</v>
      </c>
      <c r="E52" s="19">
        <v>20245321</v>
      </c>
      <c r="F52" s="19" t="s">
        <v>1205</v>
      </c>
      <c r="G52" s="19">
        <v>7875261955</v>
      </c>
      <c r="H52" s="19" t="s">
        <v>1206</v>
      </c>
      <c r="I52" s="19" t="s">
        <v>86</v>
      </c>
      <c r="J52" s="19" t="s">
        <v>114</v>
      </c>
      <c r="K52" s="19" t="s">
        <v>1105</v>
      </c>
      <c r="L52" s="19">
        <v>5.5</v>
      </c>
      <c r="M52" s="19" t="s">
        <v>1207</v>
      </c>
      <c r="N52" s="19">
        <v>13.2</v>
      </c>
      <c r="O52" s="19">
        <v>0</v>
      </c>
      <c r="P52" s="19" t="s">
        <v>1208</v>
      </c>
      <c r="Q52" s="19" t="s">
        <v>1209</v>
      </c>
      <c r="R52" s="19" t="s">
        <v>72</v>
      </c>
      <c r="S52" s="19" t="s">
        <v>1210</v>
      </c>
      <c r="T52" s="19" t="s">
        <v>1211</v>
      </c>
      <c r="U52" s="21"/>
      <c r="V52" s="19"/>
      <c r="W52" s="19" t="s">
        <v>74</v>
      </c>
      <c r="X52" s="19" t="s">
        <v>74</v>
      </c>
      <c r="Y52" s="19" t="s">
        <v>70</v>
      </c>
      <c r="Z52" s="19" t="s">
        <v>68</v>
      </c>
      <c r="AA52" s="4">
        <v>45392</v>
      </c>
      <c r="AB52" s="4">
        <v>45398</v>
      </c>
      <c r="AC52" s="4">
        <v>45398</v>
      </c>
      <c r="AD52" s="19"/>
      <c r="AE52" s="19"/>
      <c r="AF52" s="19"/>
      <c r="AG52" s="19"/>
      <c r="AH52" s="19"/>
      <c r="AI52" s="19"/>
      <c r="AJ52" s="19"/>
      <c r="AK52" s="19"/>
      <c r="AL52" s="19"/>
      <c r="AM52" s="19"/>
      <c r="AN52" s="19"/>
      <c r="AO52" s="19"/>
      <c r="AP52" s="19"/>
      <c r="AQ52" s="19"/>
      <c r="AR52" s="19"/>
      <c r="AS52" s="27"/>
    </row>
    <row r="53" spans="1:45">
      <c r="A53" s="19">
        <f t="shared" si="0"/>
        <v>52</v>
      </c>
      <c r="B53" s="20">
        <v>45424</v>
      </c>
      <c r="C53" s="19" t="s">
        <v>1101</v>
      </c>
      <c r="D53" s="19" t="s">
        <v>961</v>
      </c>
      <c r="E53" s="19">
        <v>20250696</v>
      </c>
      <c r="F53" s="19" t="s">
        <v>1212</v>
      </c>
      <c r="G53" s="19">
        <v>8421962854</v>
      </c>
      <c r="H53" s="19" t="s">
        <v>1213</v>
      </c>
      <c r="I53" s="19" t="s">
        <v>123</v>
      </c>
      <c r="J53" s="19" t="s">
        <v>103</v>
      </c>
      <c r="K53" s="19" t="s">
        <v>101</v>
      </c>
      <c r="L53" s="19">
        <v>6</v>
      </c>
      <c r="M53" s="19" t="s">
        <v>1214</v>
      </c>
      <c r="N53" s="19">
        <v>7</v>
      </c>
      <c r="O53" s="19">
        <v>0</v>
      </c>
      <c r="P53" s="19">
        <v>10</v>
      </c>
      <c r="Q53" s="19" t="s">
        <v>1143</v>
      </c>
      <c r="R53" s="19" t="s">
        <v>72</v>
      </c>
      <c r="S53" s="19" t="s">
        <v>1215</v>
      </c>
      <c r="T53" s="19"/>
      <c r="U53" s="21"/>
      <c r="V53" s="19"/>
      <c r="W53" s="19" t="s">
        <v>74</v>
      </c>
      <c r="X53" s="19" t="s">
        <v>74</v>
      </c>
      <c r="Y53" s="19" t="s">
        <v>70</v>
      </c>
      <c r="Z53" s="19" t="s">
        <v>68</v>
      </c>
      <c r="AA53" s="19"/>
      <c r="AB53" s="4">
        <v>45644</v>
      </c>
      <c r="AC53" s="4"/>
      <c r="AD53" s="19"/>
      <c r="AE53" s="19"/>
      <c r="AF53" s="19"/>
      <c r="AG53" s="19"/>
      <c r="AH53" s="19"/>
      <c r="AI53" s="19"/>
      <c r="AJ53" s="19"/>
      <c r="AK53" s="19"/>
      <c r="AL53" s="19"/>
      <c r="AM53" s="19"/>
      <c r="AN53" s="19"/>
      <c r="AO53" s="19"/>
      <c r="AP53" s="19"/>
      <c r="AQ53" s="19"/>
      <c r="AR53" s="19"/>
      <c r="AS53" s="27"/>
    </row>
    <row r="54" spans="1:45">
      <c r="A54" s="19">
        <f t="shared" si="0"/>
        <v>53</v>
      </c>
      <c r="B54" s="20">
        <v>45424</v>
      </c>
      <c r="C54" s="19" t="s">
        <v>1101</v>
      </c>
      <c r="D54" s="19" t="s">
        <v>1216</v>
      </c>
      <c r="E54" s="19">
        <v>20250696</v>
      </c>
      <c r="F54" s="19" t="s">
        <v>1217</v>
      </c>
      <c r="G54" s="19">
        <v>7350560768</v>
      </c>
      <c r="H54" s="19" t="s">
        <v>1218</v>
      </c>
      <c r="I54" s="19" t="s">
        <v>123</v>
      </c>
      <c r="J54" s="19" t="s">
        <v>103</v>
      </c>
      <c r="K54" s="19" t="s">
        <v>101</v>
      </c>
      <c r="L54" s="19">
        <v>7</v>
      </c>
      <c r="M54" s="19" t="s">
        <v>1219</v>
      </c>
      <c r="N54" s="19">
        <v>12</v>
      </c>
      <c r="O54" s="19">
        <v>0</v>
      </c>
      <c r="P54" s="19">
        <v>14</v>
      </c>
      <c r="Q54" s="19" t="s">
        <v>1220</v>
      </c>
      <c r="R54" s="19" t="s">
        <v>72</v>
      </c>
      <c r="S54" s="19" t="s">
        <v>1221</v>
      </c>
      <c r="T54" s="19"/>
      <c r="U54" s="21"/>
      <c r="V54" s="19"/>
      <c r="W54" s="19" t="s">
        <v>74</v>
      </c>
      <c r="X54" s="19" t="s">
        <v>74</v>
      </c>
      <c r="Y54" s="19" t="s">
        <v>70</v>
      </c>
      <c r="Z54" s="19" t="s">
        <v>68</v>
      </c>
      <c r="AA54" s="19"/>
      <c r="AB54" s="4"/>
      <c r="AC54" s="4"/>
      <c r="AD54" s="19"/>
      <c r="AE54" s="19"/>
      <c r="AF54" s="19"/>
      <c r="AG54" s="19"/>
      <c r="AH54" s="19"/>
      <c r="AI54" s="19"/>
      <c r="AJ54" s="19"/>
      <c r="AK54" s="19"/>
      <c r="AL54" s="19"/>
      <c r="AM54" s="19"/>
      <c r="AN54" s="19"/>
      <c r="AO54" s="19"/>
      <c r="AP54" s="19"/>
      <c r="AQ54" s="19"/>
      <c r="AR54" s="19"/>
      <c r="AS54" s="27"/>
    </row>
    <row r="55" spans="1:45">
      <c r="A55" s="19">
        <f t="shared" si="0"/>
        <v>54</v>
      </c>
      <c r="B55" s="20">
        <v>45424</v>
      </c>
      <c r="C55" s="19" t="s">
        <v>1101</v>
      </c>
      <c r="D55" s="19" t="s">
        <v>961</v>
      </c>
      <c r="E55" s="19">
        <v>20250696</v>
      </c>
      <c r="F55" s="19" t="s">
        <v>1222</v>
      </c>
      <c r="G55" s="19">
        <v>9773208771</v>
      </c>
      <c r="H55" s="19" t="s">
        <v>1223</v>
      </c>
      <c r="I55" s="19" t="s">
        <v>123</v>
      </c>
      <c r="J55" s="19" t="s">
        <v>103</v>
      </c>
      <c r="K55" s="19" t="s">
        <v>101</v>
      </c>
      <c r="L55" s="19">
        <v>15</v>
      </c>
      <c r="M55" s="19" t="s">
        <v>1224</v>
      </c>
      <c r="N55" s="19">
        <v>12</v>
      </c>
      <c r="O55" s="19">
        <v>0</v>
      </c>
      <c r="P55" s="19">
        <v>13</v>
      </c>
      <c r="Q55" s="19" t="s">
        <v>1225</v>
      </c>
      <c r="R55" s="19" t="s">
        <v>72</v>
      </c>
      <c r="S55" s="19">
        <v>30</v>
      </c>
      <c r="T55" s="19"/>
      <c r="U55" s="21"/>
      <c r="V55" s="19"/>
      <c r="W55" s="19" t="s">
        <v>74</v>
      </c>
      <c r="X55" s="19" t="s">
        <v>74</v>
      </c>
      <c r="Y55" s="19" t="s">
        <v>70</v>
      </c>
      <c r="Z55" s="19" t="s">
        <v>68</v>
      </c>
      <c r="AA55" s="19"/>
      <c r="AB55" s="4"/>
      <c r="AC55" s="4"/>
      <c r="AD55" s="19"/>
      <c r="AE55" s="19"/>
      <c r="AF55" s="19"/>
      <c r="AG55" s="19"/>
      <c r="AH55" s="19"/>
      <c r="AI55" s="19"/>
      <c r="AJ55" s="19"/>
      <c r="AK55" s="19"/>
      <c r="AL55" s="19"/>
      <c r="AM55" s="19"/>
      <c r="AN55" s="19"/>
      <c r="AO55" s="19"/>
      <c r="AP55" s="19"/>
      <c r="AQ55" s="19"/>
      <c r="AR55" s="19"/>
      <c r="AS55" s="27"/>
    </row>
    <row r="56" spans="1:45">
      <c r="A56" s="19">
        <f t="shared" si="0"/>
        <v>55</v>
      </c>
      <c r="B56" s="20">
        <v>45424</v>
      </c>
      <c r="C56" s="19" t="s">
        <v>1101</v>
      </c>
      <c r="D56" s="19" t="s">
        <v>1102</v>
      </c>
      <c r="E56" s="19">
        <v>20250717</v>
      </c>
      <c r="F56" s="19" t="s">
        <v>1226</v>
      </c>
      <c r="G56" s="19">
        <v>9975856427</v>
      </c>
      <c r="H56" s="19" t="s">
        <v>1227</v>
      </c>
      <c r="I56" s="19" t="s">
        <v>123</v>
      </c>
      <c r="J56" s="19" t="s">
        <v>1228</v>
      </c>
      <c r="K56" s="19" t="s">
        <v>569</v>
      </c>
      <c r="L56" s="19">
        <v>8.5</v>
      </c>
      <c r="M56" s="19" t="s">
        <v>1229</v>
      </c>
      <c r="N56" s="19">
        <v>11.73</v>
      </c>
      <c r="O56" s="19">
        <v>0</v>
      </c>
      <c r="P56" s="19">
        <v>16</v>
      </c>
      <c r="Q56" s="19" t="s">
        <v>72</v>
      </c>
      <c r="R56" s="19" t="s">
        <v>72</v>
      </c>
      <c r="S56" s="19" t="s">
        <v>1158</v>
      </c>
      <c r="T56" s="19"/>
      <c r="U56" s="21"/>
      <c r="V56" s="19"/>
      <c r="W56" s="19" t="s">
        <v>74</v>
      </c>
      <c r="X56" s="19" t="s">
        <v>74</v>
      </c>
      <c r="Y56" s="19" t="s">
        <v>70</v>
      </c>
      <c r="Z56" s="19" t="s">
        <v>68</v>
      </c>
      <c r="AA56" s="19"/>
      <c r="AB56" s="4"/>
      <c r="AC56" s="4"/>
      <c r="AD56" s="19"/>
      <c r="AE56" s="19"/>
      <c r="AF56" s="19"/>
      <c r="AG56" s="19"/>
      <c r="AH56" s="19"/>
      <c r="AI56" s="19"/>
      <c r="AJ56" s="19"/>
      <c r="AK56" s="19"/>
      <c r="AL56" s="19"/>
      <c r="AM56" s="19"/>
      <c r="AN56" s="19"/>
      <c r="AO56" s="19"/>
      <c r="AP56" s="19"/>
      <c r="AQ56" s="19"/>
      <c r="AR56" s="19"/>
      <c r="AS56" s="27"/>
    </row>
    <row r="57" spans="1:45">
      <c r="A57" s="19">
        <f t="shared" si="0"/>
        <v>56</v>
      </c>
      <c r="B57" s="20">
        <v>45427</v>
      </c>
      <c r="C57" s="19" t="s">
        <v>116</v>
      </c>
      <c r="D57" s="19" t="s">
        <v>116</v>
      </c>
      <c r="E57" s="19" t="s">
        <v>196</v>
      </c>
      <c r="F57" s="19" t="s">
        <v>201</v>
      </c>
      <c r="G57" s="19">
        <v>9096115118</v>
      </c>
      <c r="H57" s="19" t="s">
        <v>203</v>
      </c>
      <c r="I57" s="19" t="s">
        <v>123</v>
      </c>
      <c r="J57" s="19" t="s">
        <v>1153</v>
      </c>
      <c r="K57" s="19" t="s">
        <v>644</v>
      </c>
      <c r="L57" s="19" t="s">
        <v>1230</v>
      </c>
      <c r="M57" s="19" t="s">
        <v>1231</v>
      </c>
      <c r="N57" s="19" t="s">
        <v>1232</v>
      </c>
      <c r="O57" s="19"/>
      <c r="P57" s="19" t="s">
        <v>1233</v>
      </c>
      <c r="Q57" s="19" t="s">
        <v>1234</v>
      </c>
      <c r="R57" s="19" t="s">
        <v>72</v>
      </c>
      <c r="S57" s="19" t="s">
        <v>1067</v>
      </c>
      <c r="T57" s="19" t="s">
        <v>858</v>
      </c>
      <c r="U57" s="21">
        <v>45502</v>
      </c>
      <c r="V57" s="19"/>
      <c r="W57" s="19" t="s">
        <v>144</v>
      </c>
      <c r="X57" s="19" t="s">
        <v>144</v>
      </c>
      <c r="Y57" s="19" t="s">
        <v>70</v>
      </c>
      <c r="Z57" s="19" t="s">
        <v>68</v>
      </c>
      <c r="AA57" s="19"/>
      <c r="AB57" s="4"/>
      <c r="AC57" s="4"/>
      <c r="AD57" s="19"/>
      <c r="AE57" s="19"/>
      <c r="AF57" s="19"/>
      <c r="AG57" s="19"/>
      <c r="AH57" s="19"/>
      <c r="AI57" s="19"/>
      <c r="AJ57" s="19"/>
      <c r="AK57" s="19"/>
      <c r="AL57" s="19"/>
      <c r="AM57" s="19"/>
      <c r="AN57" s="19"/>
      <c r="AO57" s="19"/>
      <c r="AP57" s="19"/>
      <c r="AQ57" s="19"/>
      <c r="AR57" s="19"/>
      <c r="AS57" s="27"/>
    </row>
    <row r="58" spans="1:45">
      <c r="A58" s="19">
        <f t="shared" si="0"/>
        <v>57</v>
      </c>
      <c r="B58" s="20">
        <v>45427</v>
      </c>
      <c r="C58" s="19" t="s">
        <v>116</v>
      </c>
      <c r="D58" s="19" t="s">
        <v>116</v>
      </c>
      <c r="E58" s="19" t="s">
        <v>234</v>
      </c>
      <c r="F58" s="19" t="s">
        <v>235</v>
      </c>
      <c r="G58" s="19">
        <v>9960004432</v>
      </c>
      <c r="H58" s="19" t="s">
        <v>237</v>
      </c>
      <c r="I58" s="19" t="s">
        <v>123</v>
      </c>
      <c r="J58" s="19" t="s">
        <v>1153</v>
      </c>
      <c r="K58" s="19" t="s">
        <v>644</v>
      </c>
      <c r="L58" s="19" t="s">
        <v>1235</v>
      </c>
      <c r="M58" s="19" t="s">
        <v>1236</v>
      </c>
      <c r="N58" s="19" t="s">
        <v>1237</v>
      </c>
      <c r="O58" s="19"/>
      <c r="P58" s="19" t="s">
        <v>1238</v>
      </c>
      <c r="Q58" s="19" t="s">
        <v>72</v>
      </c>
      <c r="R58" s="19" t="s">
        <v>72</v>
      </c>
      <c r="S58" s="19" t="s">
        <v>1239</v>
      </c>
      <c r="T58" s="19" t="s">
        <v>858</v>
      </c>
      <c r="U58" s="21">
        <v>45495</v>
      </c>
      <c r="V58" s="19"/>
      <c r="W58" s="19" t="s">
        <v>144</v>
      </c>
      <c r="X58" s="19" t="s">
        <v>144</v>
      </c>
      <c r="Y58" s="19" t="s">
        <v>70</v>
      </c>
      <c r="Z58" s="19" t="s">
        <v>68</v>
      </c>
      <c r="AA58" s="19"/>
      <c r="AB58" s="4"/>
      <c r="AC58" s="4"/>
      <c r="AD58" s="19"/>
      <c r="AE58" s="19"/>
      <c r="AF58" s="19"/>
      <c r="AG58" s="19"/>
      <c r="AH58" s="19"/>
      <c r="AI58" s="19"/>
      <c r="AJ58" s="19"/>
      <c r="AK58" s="19"/>
      <c r="AL58" s="19"/>
      <c r="AM58" s="19"/>
      <c r="AN58" s="19"/>
      <c r="AO58" s="19"/>
      <c r="AP58" s="19"/>
      <c r="AQ58" s="19"/>
      <c r="AR58" s="19"/>
      <c r="AS58" s="27"/>
    </row>
    <row r="59" spans="1:45">
      <c r="A59" s="19">
        <f t="shared" si="0"/>
        <v>58</v>
      </c>
      <c r="B59" s="20">
        <v>45433</v>
      </c>
      <c r="C59" s="19" t="s">
        <v>116</v>
      </c>
      <c r="D59" s="19" t="s">
        <v>116</v>
      </c>
      <c r="E59" s="19">
        <v>20235907</v>
      </c>
      <c r="F59" s="19" t="s">
        <v>154</v>
      </c>
      <c r="G59" s="19">
        <v>8421691758</v>
      </c>
      <c r="H59" s="19" t="s">
        <v>156</v>
      </c>
      <c r="I59" s="19" t="s">
        <v>86</v>
      </c>
      <c r="J59" s="19" t="s">
        <v>1240</v>
      </c>
      <c r="K59" s="19" t="s">
        <v>652</v>
      </c>
      <c r="L59" s="19" t="s">
        <v>1241</v>
      </c>
      <c r="M59" s="19" t="s">
        <v>1242</v>
      </c>
      <c r="N59" s="19" t="s">
        <v>1243</v>
      </c>
      <c r="O59" s="19"/>
      <c r="P59" s="19" t="s">
        <v>1084</v>
      </c>
      <c r="Q59" s="19" t="s">
        <v>72</v>
      </c>
      <c r="R59" s="19" t="s">
        <v>72</v>
      </c>
      <c r="S59" s="19" t="s">
        <v>1244</v>
      </c>
      <c r="T59" s="19" t="s">
        <v>858</v>
      </c>
      <c r="U59" s="21">
        <v>45449</v>
      </c>
      <c r="V59" s="19"/>
      <c r="W59" s="19" t="s">
        <v>144</v>
      </c>
      <c r="X59" s="19" t="s">
        <v>144</v>
      </c>
      <c r="Y59" s="19" t="s">
        <v>70</v>
      </c>
      <c r="Z59" s="19" t="s">
        <v>68</v>
      </c>
      <c r="AA59" s="19"/>
      <c r="AB59" s="4"/>
      <c r="AC59" s="4"/>
      <c r="AD59" s="19"/>
      <c r="AE59" s="19"/>
      <c r="AF59" s="19"/>
      <c r="AG59" s="19"/>
      <c r="AH59" s="19"/>
      <c r="AI59" s="19"/>
      <c r="AJ59" s="19"/>
      <c r="AK59" s="19"/>
      <c r="AL59" s="19"/>
      <c r="AM59" s="19"/>
      <c r="AN59" s="19"/>
      <c r="AO59" s="19"/>
      <c r="AP59" s="19"/>
      <c r="AQ59" s="19"/>
      <c r="AR59" s="19"/>
      <c r="AS59" s="27"/>
    </row>
    <row r="60" spans="1:45">
      <c r="A60" s="19">
        <f t="shared" si="0"/>
        <v>59</v>
      </c>
      <c r="B60" s="20">
        <v>45436</v>
      </c>
      <c r="C60" s="19" t="s">
        <v>116</v>
      </c>
      <c r="D60" s="19" t="s">
        <v>116</v>
      </c>
      <c r="E60" s="19" t="s">
        <v>558</v>
      </c>
      <c r="F60" s="19" t="s">
        <v>560</v>
      </c>
      <c r="G60" s="19">
        <v>9960435181</v>
      </c>
      <c r="H60" s="19" t="s">
        <v>561</v>
      </c>
      <c r="I60" s="19" t="s">
        <v>123</v>
      </c>
      <c r="J60" s="19" t="s">
        <v>559</v>
      </c>
      <c r="K60" s="19" t="s">
        <v>228</v>
      </c>
      <c r="L60" s="19"/>
      <c r="M60" s="19"/>
      <c r="N60" s="19"/>
      <c r="O60" s="19"/>
      <c r="P60" s="19">
        <v>2425000</v>
      </c>
      <c r="Q60" s="19" t="e" vm="1">
        <v>#VALUE!</v>
      </c>
      <c r="R60" s="19" t="s">
        <v>72</v>
      </c>
      <c r="S60" s="19"/>
      <c r="T60" s="19"/>
      <c r="U60" s="21">
        <v>45468</v>
      </c>
      <c r="V60" s="19"/>
      <c r="W60" s="19" t="s">
        <v>245</v>
      </c>
      <c r="X60" s="19" t="s">
        <v>245</v>
      </c>
      <c r="Y60" s="19"/>
      <c r="Z60" s="19" t="s">
        <v>111</v>
      </c>
      <c r="AA60" s="19"/>
      <c r="AB60" s="4"/>
      <c r="AC60" s="4"/>
      <c r="AD60" s="19"/>
      <c r="AE60" s="19"/>
      <c r="AF60" s="19"/>
      <c r="AG60" s="19"/>
      <c r="AH60" s="19"/>
      <c r="AI60" s="19"/>
      <c r="AJ60" s="19"/>
      <c r="AK60" s="19"/>
      <c r="AL60" s="19"/>
      <c r="AM60" s="19"/>
      <c r="AN60" s="19"/>
      <c r="AO60" s="19"/>
      <c r="AP60" s="19"/>
      <c r="AQ60" s="19"/>
      <c r="AR60" s="19"/>
      <c r="AS60" s="27"/>
    </row>
    <row r="61" spans="1:45">
      <c r="A61" s="19">
        <f t="shared" si="0"/>
        <v>60</v>
      </c>
      <c r="B61" s="20">
        <v>45447</v>
      </c>
      <c r="C61" s="19" t="s">
        <v>116</v>
      </c>
      <c r="D61" s="19" t="s">
        <v>116</v>
      </c>
      <c r="E61" s="19" t="s">
        <v>555</v>
      </c>
      <c r="F61" s="19" t="s">
        <v>557</v>
      </c>
      <c r="G61" s="19">
        <v>9953374213</v>
      </c>
      <c r="H61" s="19" t="s">
        <v>1245</v>
      </c>
      <c r="I61" s="19" t="s">
        <v>123</v>
      </c>
      <c r="J61" s="19" t="s">
        <v>556</v>
      </c>
      <c r="K61" s="19" t="s">
        <v>228</v>
      </c>
      <c r="L61" s="19"/>
      <c r="M61" s="19"/>
      <c r="N61" s="19"/>
      <c r="O61" s="19"/>
      <c r="P61" s="19">
        <v>757000</v>
      </c>
      <c r="Q61" s="19" t="e" vm="4">
        <v>#VALUE!</v>
      </c>
      <c r="R61" s="19" t="s">
        <v>72</v>
      </c>
      <c r="S61" s="19"/>
      <c r="T61" s="19"/>
      <c r="U61" s="21">
        <v>45460</v>
      </c>
      <c r="V61" s="19"/>
      <c r="W61" s="19" t="s">
        <v>245</v>
      </c>
      <c r="X61" s="19" t="s">
        <v>245</v>
      </c>
      <c r="Y61" s="19"/>
      <c r="Z61" s="19" t="s">
        <v>111</v>
      </c>
      <c r="AA61" s="19"/>
      <c r="AB61" s="4"/>
      <c r="AC61" s="4"/>
      <c r="AD61" s="19"/>
      <c r="AE61" s="19"/>
      <c r="AF61" s="19"/>
      <c r="AG61" s="19"/>
      <c r="AH61" s="19"/>
      <c r="AI61" s="19"/>
      <c r="AJ61" s="19"/>
      <c r="AK61" s="19"/>
      <c r="AL61" s="19"/>
      <c r="AM61" s="19"/>
      <c r="AN61" s="19"/>
      <c r="AO61" s="19"/>
      <c r="AP61" s="19"/>
      <c r="AQ61" s="19"/>
      <c r="AR61" s="19"/>
      <c r="AS61" s="27"/>
    </row>
    <row r="62" spans="1:45">
      <c r="A62" s="19">
        <f t="shared" si="0"/>
        <v>61</v>
      </c>
      <c r="B62" s="20">
        <v>45463</v>
      </c>
      <c r="C62" s="19" t="s">
        <v>116</v>
      </c>
      <c r="D62" s="19" t="s">
        <v>116</v>
      </c>
      <c r="E62" s="19" t="s">
        <v>562</v>
      </c>
      <c r="F62" s="19" t="s">
        <v>565</v>
      </c>
      <c r="G62" s="19">
        <v>9922091330</v>
      </c>
      <c r="H62" s="19" t="s">
        <v>1246</v>
      </c>
      <c r="I62" s="19" t="s">
        <v>123</v>
      </c>
      <c r="J62" s="19" t="s">
        <v>563</v>
      </c>
      <c r="K62" s="19" t="s">
        <v>159</v>
      </c>
      <c r="L62" s="19"/>
      <c r="M62" s="19"/>
      <c r="N62" s="19"/>
      <c r="O62" s="19"/>
      <c r="P62" s="19">
        <v>2800000</v>
      </c>
      <c r="Q62" s="19" t="e" vm="1">
        <v>#VALUE!</v>
      </c>
      <c r="R62" s="19" t="s">
        <v>72</v>
      </c>
      <c r="S62" s="19"/>
      <c r="T62" s="19"/>
      <c r="U62" s="21">
        <v>45516</v>
      </c>
      <c r="V62" s="19"/>
      <c r="W62" s="19" t="s">
        <v>245</v>
      </c>
      <c r="X62" s="19" t="s">
        <v>245</v>
      </c>
      <c r="Y62" s="19"/>
      <c r="Z62" s="19" t="s">
        <v>151</v>
      </c>
      <c r="AA62" s="19"/>
      <c r="AB62" s="4"/>
      <c r="AC62" s="4"/>
      <c r="AD62" s="19"/>
      <c r="AE62" s="19"/>
      <c r="AF62" s="19"/>
      <c r="AG62" s="19"/>
      <c r="AH62" s="19"/>
      <c r="AI62" s="19"/>
      <c r="AJ62" s="19"/>
      <c r="AK62" s="19"/>
      <c r="AL62" s="19"/>
      <c r="AM62" s="19"/>
      <c r="AN62" s="19"/>
      <c r="AO62" s="19"/>
      <c r="AP62" s="19"/>
      <c r="AQ62" s="19"/>
      <c r="AR62" s="19"/>
      <c r="AS62" s="27"/>
    </row>
    <row r="63" spans="1:45">
      <c r="A63" s="19">
        <f t="shared" si="0"/>
        <v>62</v>
      </c>
      <c r="B63" s="20">
        <v>45476</v>
      </c>
      <c r="C63" s="19" t="s">
        <v>116</v>
      </c>
      <c r="D63" s="19" t="s">
        <v>116</v>
      </c>
      <c r="E63" s="19" t="s">
        <v>221</v>
      </c>
      <c r="F63" s="19" t="s">
        <v>222</v>
      </c>
      <c r="G63" s="19">
        <v>8238422816</v>
      </c>
      <c r="H63" s="19" t="s">
        <v>224</v>
      </c>
      <c r="I63" s="19" t="s">
        <v>123</v>
      </c>
      <c r="J63" s="19" t="s">
        <v>141</v>
      </c>
      <c r="K63" s="19" t="s">
        <v>644</v>
      </c>
      <c r="L63" s="19" t="s">
        <v>1247</v>
      </c>
      <c r="M63" s="19" t="s">
        <v>1248</v>
      </c>
      <c r="N63" s="19" t="s">
        <v>1186</v>
      </c>
      <c r="O63" s="19"/>
      <c r="P63" s="19" t="s">
        <v>1095</v>
      </c>
      <c r="Q63" s="19" t="s">
        <v>1249</v>
      </c>
      <c r="R63" s="19" t="s">
        <v>72</v>
      </c>
      <c r="S63" s="19" t="s">
        <v>1092</v>
      </c>
      <c r="T63" s="19" t="s">
        <v>858</v>
      </c>
      <c r="U63" s="21">
        <v>45446</v>
      </c>
      <c r="V63" s="19"/>
      <c r="W63" s="19" t="s">
        <v>144</v>
      </c>
      <c r="X63" s="19" t="s">
        <v>144</v>
      </c>
      <c r="Y63" s="19" t="s">
        <v>70</v>
      </c>
      <c r="Z63" s="19" t="s">
        <v>68</v>
      </c>
      <c r="AA63" s="19"/>
      <c r="AB63" s="4"/>
      <c r="AC63" s="4"/>
      <c r="AD63" s="19"/>
      <c r="AE63" s="19"/>
      <c r="AF63" s="19"/>
      <c r="AG63" s="19"/>
      <c r="AH63" s="19"/>
      <c r="AI63" s="19"/>
      <c r="AJ63" s="19"/>
      <c r="AK63" s="19"/>
      <c r="AL63" s="19"/>
      <c r="AM63" s="19"/>
      <c r="AN63" s="19"/>
      <c r="AO63" s="19"/>
      <c r="AP63" s="19"/>
      <c r="AQ63" s="19"/>
      <c r="AR63" s="19"/>
      <c r="AS63" s="27"/>
    </row>
    <row r="64" spans="1:45">
      <c r="A64" s="19">
        <f t="shared" si="0"/>
        <v>63</v>
      </c>
      <c r="B64" s="20">
        <v>45491</v>
      </c>
      <c r="C64" s="19" t="s">
        <v>116</v>
      </c>
      <c r="D64" s="19" t="s">
        <v>116</v>
      </c>
      <c r="E64" s="19" t="s">
        <v>572</v>
      </c>
      <c r="F64" s="19" t="s">
        <v>574</v>
      </c>
      <c r="G64" s="19">
        <v>8200390283</v>
      </c>
      <c r="H64" s="19" t="s">
        <v>1250</v>
      </c>
      <c r="I64" s="19" t="s">
        <v>123</v>
      </c>
      <c r="J64" s="19" t="s">
        <v>573</v>
      </c>
      <c r="K64" s="19" t="s">
        <v>438</v>
      </c>
      <c r="L64" s="19"/>
      <c r="M64" s="19"/>
      <c r="N64" s="19"/>
      <c r="O64" s="19"/>
      <c r="P64" s="19">
        <v>950000</v>
      </c>
      <c r="Q64" s="19" t="s">
        <v>1251</v>
      </c>
      <c r="R64" s="19" t="s">
        <v>72</v>
      </c>
      <c r="S64" s="19"/>
      <c r="T64" s="19"/>
      <c r="U64" s="21">
        <v>45516</v>
      </c>
      <c r="V64" s="19"/>
      <c r="W64" s="19" t="s">
        <v>245</v>
      </c>
      <c r="X64" s="19" t="s">
        <v>245</v>
      </c>
      <c r="Y64" s="19" t="s">
        <v>94</v>
      </c>
      <c r="Z64" s="19" t="s">
        <v>68</v>
      </c>
      <c r="AA64" s="19"/>
      <c r="AB64" s="4"/>
      <c r="AC64" s="4"/>
      <c r="AD64" s="19"/>
      <c r="AE64" s="19"/>
      <c r="AF64" s="19"/>
      <c r="AG64" s="19"/>
      <c r="AH64" s="19"/>
      <c r="AI64" s="19"/>
      <c r="AJ64" s="19"/>
      <c r="AK64" s="19"/>
      <c r="AL64" s="19"/>
      <c r="AM64" s="19"/>
      <c r="AN64" s="19"/>
      <c r="AO64" s="19"/>
      <c r="AP64" s="19"/>
      <c r="AQ64" s="19"/>
      <c r="AR64" s="19"/>
      <c r="AS64" s="27"/>
    </row>
    <row r="65" spans="1:45">
      <c r="A65" s="19">
        <f t="shared" si="0"/>
        <v>64</v>
      </c>
      <c r="B65" s="20">
        <v>45491</v>
      </c>
      <c r="C65" s="19" t="s">
        <v>116</v>
      </c>
      <c r="D65" s="19" t="s">
        <v>116</v>
      </c>
      <c r="E65" s="19">
        <v>20246740</v>
      </c>
      <c r="F65" s="19" t="s">
        <v>577</v>
      </c>
      <c r="G65" s="19">
        <v>8013201104</v>
      </c>
      <c r="H65" s="19" t="s">
        <v>578</v>
      </c>
      <c r="I65" s="19" t="s">
        <v>123</v>
      </c>
      <c r="J65" s="19" t="s">
        <v>391</v>
      </c>
      <c r="K65" s="19" t="s">
        <v>107</v>
      </c>
      <c r="L65" s="19"/>
      <c r="M65" s="19"/>
      <c r="N65" s="19"/>
      <c r="O65" s="19"/>
      <c r="P65" s="19">
        <v>1700000</v>
      </c>
      <c r="Q65" s="19" t="e" vm="5">
        <v>#VALUE!</v>
      </c>
      <c r="R65" s="19" t="s">
        <v>72</v>
      </c>
      <c r="S65" s="19"/>
      <c r="T65" s="19"/>
      <c r="U65" s="21">
        <v>45537</v>
      </c>
      <c r="V65" s="19"/>
      <c r="W65" s="19" t="s">
        <v>245</v>
      </c>
      <c r="X65" s="19" t="s">
        <v>245</v>
      </c>
      <c r="Y65" s="19"/>
      <c r="Z65" s="19" t="s">
        <v>68</v>
      </c>
      <c r="AA65" s="19"/>
      <c r="AB65" s="4"/>
      <c r="AC65" s="4"/>
      <c r="AD65" s="19"/>
      <c r="AE65" s="19"/>
      <c r="AF65" s="19"/>
      <c r="AG65" s="19"/>
      <c r="AH65" s="19"/>
      <c r="AI65" s="19"/>
      <c r="AJ65" s="19"/>
      <c r="AK65" s="19"/>
      <c r="AL65" s="19"/>
      <c r="AM65" s="19"/>
      <c r="AN65" s="19"/>
      <c r="AO65" s="19"/>
      <c r="AP65" s="19"/>
      <c r="AQ65" s="19"/>
      <c r="AR65" s="19"/>
      <c r="AS65" s="27"/>
    </row>
    <row r="66" spans="1:45">
      <c r="A66" s="19">
        <f t="shared" si="0"/>
        <v>65</v>
      </c>
      <c r="B66" s="20">
        <v>45497</v>
      </c>
      <c r="C66" s="19" t="s">
        <v>116</v>
      </c>
      <c r="D66" s="19" t="s">
        <v>116</v>
      </c>
      <c r="E66" s="19" t="s">
        <v>567</v>
      </c>
      <c r="F66" s="19" t="s">
        <v>569</v>
      </c>
      <c r="G66" s="19" t="s">
        <v>570</v>
      </c>
      <c r="H66" s="19" t="s">
        <v>571</v>
      </c>
      <c r="I66" s="19" t="s">
        <v>123</v>
      </c>
      <c r="J66" s="19" t="s">
        <v>568</v>
      </c>
      <c r="K66" s="19" t="s">
        <v>746</v>
      </c>
      <c r="L66" s="19"/>
      <c r="M66" s="19"/>
      <c r="N66" s="19"/>
      <c r="O66" s="19"/>
      <c r="P66" s="19">
        <v>3050000</v>
      </c>
      <c r="Q66" s="19" t="e" vm="1">
        <v>#VALUE!</v>
      </c>
      <c r="R66" s="19" t="s">
        <v>72</v>
      </c>
      <c r="S66" s="19"/>
      <c r="T66" s="19"/>
      <c r="U66" s="21">
        <v>45607</v>
      </c>
      <c r="V66" s="19"/>
      <c r="W66" s="19" t="s">
        <v>245</v>
      </c>
      <c r="X66" s="19" t="s">
        <v>245</v>
      </c>
      <c r="Y66" s="19" t="s">
        <v>94</v>
      </c>
      <c r="Z66" s="19" t="s">
        <v>68</v>
      </c>
      <c r="AA66" s="19"/>
      <c r="AB66" s="4"/>
      <c r="AC66" s="4"/>
      <c r="AD66" s="19"/>
      <c r="AE66" s="19"/>
      <c r="AF66" s="19"/>
      <c r="AG66" s="19"/>
      <c r="AH66" s="19"/>
      <c r="AI66" s="19"/>
      <c r="AJ66" s="19"/>
      <c r="AK66" s="19"/>
      <c r="AL66" s="19"/>
      <c r="AM66" s="19"/>
      <c r="AN66" s="19"/>
      <c r="AO66" s="19"/>
      <c r="AP66" s="19"/>
      <c r="AQ66" s="19"/>
      <c r="AR66" s="19"/>
      <c r="AS66" s="27"/>
    </row>
    <row r="67" spans="1:45">
      <c r="A67" s="19">
        <f t="shared" ref="A67:A130" si="1">A66+1</f>
        <v>66</v>
      </c>
      <c r="B67" s="20">
        <v>45498</v>
      </c>
      <c r="C67" s="19" t="s">
        <v>116</v>
      </c>
      <c r="D67" s="19" t="s">
        <v>116</v>
      </c>
      <c r="E67" s="19" t="s">
        <v>584</v>
      </c>
      <c r="F67" s="19" t="s">
        <v>585</v>
      </c>
      <c r="G67" s="19">
        <v>8004906910</v>
      </c>
      <c r="H67" s="19" t="s">
        <v>586</v>
      </c>
      <c r="I67" s="19" t="s">
        <v>123</v>
      </c>
      <c r="J67" s="19" t="s">
        <v>472</v>
      </c>
      <c r="K67" s="19" t="s">
        <v>576</v>
      </c>
      <c r="L67" s="19"/>
      <c r="M67" s="19"/>
      <c r="N67" s="19"/>
      <c r="O67" s="19"/>
      <c r="P67" s="19">
        <v>756077</v>
      </c>
      <c r="Q67" s="19" t="e" vm="4">
        <v>#VALUE!</v>
      </c>
      <c r="R67" s="19" t="s">
        <v>72</v>
      </c>
      <c r="S67" s="19"/>
      <c r="T67" s="19"/>
      <c r="U67" s="21">
        <v>45551</v>
      </c>
      <c r="V67" s="19"/>
      <c r="W67" s="19" t="s">
        <v>245</v>
      </c>
      <c r="X67" s="19" t="s">
        <v>245</v>
      </c>
      <c r="Y67" s="19"/>
      <c r="Z67" s="19" t="s">
        <v>68</v>
      </c>
      <c r="AA67" s="19"/>
      <c r="AB67" s="4"/>
      <c r="AC67" s="4"/>
      <c r="AD67" s="19"/>
      <c r="AE67" s="19"/>
      <c r="AF67" s="19"/>
      <c r="AG67" s="19"/>
      <c r="AH67" s="19"/>
      <c r="AI67" s="19"/>
      <c r="AJ67" s="19"/>
      <c r="AK67" s="19"/>
      <c r="AL67" s="19"/>
      <c r="AM67" s="19"/>
      <c r="AN67" s="19"/>
      <c r="AO67" s="19"/>
      <c r="AP67" s="19"/>
      <c r="AQ67" s="19"/>
      <c r="AR67" s="19"/>
      <c r="AS67" s="27"/>
    </row>
    <row r="68" spans="1:45">
      <c r="A68" s="19">
        <f t="shared" si="1"/>
        <v>67</v>
      </c>
      <c r="B68" s="20">
        <v>45518</v>
      </c>
      <c r="C68" s="19" t="s">
        <v>116</v>
      </c>
      <c r="D68" s="19" t="s">
        <v>116</v>
      </c>
      <c r="E68" s="19" t="s">
        <v>592</v>
      </c>
      <c r="F68" s="19" t="s">
        <v>594</v>
      </c>
      <c r="G68" s="19">
        <v>6383231342</v>
      </c>
      <c r="H68" s="19" t="s">
        <v>595</v>
      </c>
      <c r="I68" s="19" t="s">
        <v>123</v>
      </c>
      <c r="J68" s="19" t="s">
        <v>593</v>
      </c>
      <c r="K68" s="19" t="s">
        <v>746</v>
      </c>
      <c r="L68" s="19"/>
      <c r="M68" s="19"/>
      <c r="N68" s="19"/>
      <c r="O68" s="19"/>
      <c r="P68" s="19">
        <v>1250000</v>
      </c>
      <c r="Q68" s="19" t="e" vm="1">
        <v>#VALUE!</v>
      </c>
      <c r="R68" s="19" t="s">
        <v>72</v>
      </c>
      <c r="S68" s="19"/>
      <c r="T68" s="19"/>
      <c r="U68" s="21">
        <v>45593</v>
      </c>
      <c r="V68" s="19"/>
      <c r="W68" s="19" t="s">
        <v>245</v>
      </c>
      <c r="X68" s="19" t="s">
        <v>245</v>
      </c>
      <c r="Y68" s="19" t="s">
        <v>94</v>
      </c>
      <c r="Z68" s="19" t="s">
        <v>68</v>
      </c>
      <c r="AA68" s="19"/>
      <c r="AB68" s="4"/>
      <c r="AC68" s="4"/>
      <c r="AD68" s="19"/>
      <c r="AE68" s="19"/>
      <c r="AF68" s="19"/>
      <c r="AG68" s="19"/>
      <c r="AH68" s="19"/>
      <c r="AI68" s="19"/>
      <c r="AJ68" s="19"/>
      <c r="AK68" s="19"/>
      <c r="AL68" s="19"/>
      <c r="AM68" s="19"/>
      <c r="AN68" s="19"/>
      <c r="AO68" s="19"/>
      <c r="AP68" s="19"/>
      <c r="AQ68" s="19"/>
      <c r="AR68" s="19"/>
      <c r="AS68" s="27"/>
    </row>
    <row r="69" spans="1:45">
      <c r="A69" s="19">
        <f t="shared" si="1"/>
        <v>68</v>
      </c>
      <c r="B69" s="20">
        <v>45525</v>
      </c>
      <c r="C69" s="19" t="s">
        <v>116</v>
      </c>
      <c r="D69" s="19" t="s">
        <v>116</v>
      </c>
      <c r="E69" s="19" t="s">
        <v>587</v>
      </c>
      <c r="F69" s="19" t="s">
        <v>590</v>
      </c>
      <c r="G69" s="19">
        <v>9552498454</v>
      </c>
      <c r="H69" s="19" t="s">
        <v>591</v>
      </c>
      <c r="I69" s="19" t="s">
        <v>86</v>
      </c>
      <c r="J69" s="19" t="s">
        <v>588</v>
      </c>
      <c r="K69" s="19" t="s">
        <v>746</v>
      </c>
      <c r="L69" s="19"/>
      <c r="M69" s="19"/>
      <c r="N69" s="19"/>
      <c r="O69" s="19"/>
      <c r="P69" s="19">
        <v>650000</v>
      </c>
      <c r="Q69" s="19" t="e" vm="1">
        <v>#VALUE!</v>
      </c>
      <c r="R69" s="19" t="s">
        <v>72</v>
      </c>
      <c r="S69" s="19"/>
      <c r="T69" s="19"/>
      <c r="U69" s="21">
        <v>45586</v>
      </c>
      <c r="V69" s="19"/>
      <c r="W69" s="19" t="s">
        <v>245</v>
      </c>
      <c r="X69" s="19" t="s">
        <v>245</v>
      </c>
      <c r="Y69" s="19"/>
      <c r="Z69" s="19" t="s">
        <v>68</v>
      </c>
      <c r="AA69" s="19"/>
      <c r="AB69" s="4"/>
      <c r="AC69" s="4"/>
      <c r="AD69" s="19"/>
      <c r="AE69" s="19"/>
      <c r="AF69" s="19"/>
      <c r="AG69" s="19"/>
      <c r="AH69" s="19"/>
      <c r="AI69" s="19"/>
      <c r="AJ69" s="19"/>
      <c r="AK69" s="19"/>
      <c r="AL69" s="19"/>
      <c r="AM69" s="19"/>
      <c r="AN69" s="19"/>
      <c r="AO69" s="19"/>
      <c r="AP69" s="19"/>
      <c r="AQ69" s="19"/>
      <c r="AR69" s="19"/>
      <c r="AS69" s="27"/>
    </row>
    <row r="70" spans="1:45">
      <c r="A70" s="19">
        <f t="shared" si="1"/>
        <v>69</v>
      </c>
      <c r="B70" s="20">
        <v>45533</v>
      </c>
      <c r="C70" s="19" t="s">
        <v>116</v>
      </c>
      <c r="D70" s="19" t="s">
        <v>116</v>
      </c>
      <c r="E70" s="19" t="s">
        <v>579</v>
      </c>
      <c r="F70" s="19" t="s">
        <v>582</v>
      </c>
      <c r="G70" s="19">
        <v>7666280966</v>
      </c>
      <c r="H70" s="19" t="s">
        <v>583</v>
      </c>
      <c r="I70" s="19" t="s">
        <v>123</v>
      </c>
      <c r="J70" s="19" t="s">
        <v>580</v>
      </c>
      <c r="K70" s="19" t="s">
        <v>228</v>
      </c>
      <c r="L70" s="19"/>
      <c r="M70" s="19"/>
      <c r="N70" s="19"/>
      <c r="O70" s="19"/>
      <c r="P70" s="19">
        <v>1600000</v>
      </c>
      <c r="Q70" s="19" t="e" vm="1">
        <v>#VALUE!</v>
      </c>
      <c r="R70" s="19" t="s">
        <v>72</v>
      </c>
      <c r="S70" s="19"/>
      <c r="T70" s="19"/>
      <c r="U70" s="21">
        <v>45544</v>
      </c>
      <c r="V70" s="19"/>
      <c r="W70" s="19" t="s">
        <v>245</v>
      </c>
      <c r="X70" s="19" t="s">
        <v>245</v>
      </c>
      <c r="Y70" s="19"/>
      <c r="Z70" s="19" t="s">
        <v>111</v>
      </c>
      <c r="AA70" s="19"/>
      <c r="AB70" s="4"/>
      <c r="AC70" s="4"/>
      <c r="AD70" s="19"/>
      <c r="AE70" s="19"/>
      <c r="AF70" s="19"/>
      <c r="AG70" s="19"/>
      <c r="AH70" s="19"/>
      <c r="AI70" s="19"/>
      <c r="AJ70" s="19"/>
      <c r="AK70" s="19"/>
      <c r="AL70" s="19"/>
      <c r="AM70" s="19"/>
      <c r="AN70" s="19"/>
      <c r="AO70" s="19"/>
      <c r="AP70" s="19"/>
      <c r="AQ70" s="19"/>
      <c r="AR70" s="19"/>
      <c r="AS70" s="27"/>
    </row>
    <row r="71" spans="1:45">
      <c r="A71" s="19">
        <f t="shared" si="1"/>
        <v>70</v>
      </c>
      <c r="B71" s="20">
        <v>45546</v>
      </c>
      <c r="C71" s="19" t="s">
        <v>116</v>
      </c>
      <c r="D71" s="19" t="s">
        <v>116</v>
      </c>
      <c r="E71" s="19" t="s">
        <v>596</v>
      </c>
      <c r="F71" s="19" t="s">
        <v>599</v>
      </c>
      <c r="G71" s="19">
        <v>8333002363</v>
      </c>
      <c r="H71" s="19" t="s">
        <v>600</v>
      </c>
      <c r="I71" s="19" t="s">
        <v>123</v>
      </c>
      <c r="J71" s="19" t="s">
        <v>597</v>
      </c>
      <c r="K71" s="19" t="s">
        <v>722</v>
      </c>
      <c r="L71" s="19"/>
      <c r="M71" s="19"/>
      <c r="N71" s="19"/>
      <c r="O71" s="19"/>
      <c r="P71" s="19">
        <v>750000</v>
      </c>
      <c r="Q71" s="19" t="s">
        <v>714</v>
      </c>
      <c r="R71" s="19" t="s">
        <v>72</v>
      </c>
      <c r="S71" s="19"/>
      <c r="T71" s="19"/>
      <c r="U71" s="21">
        <v>45614</v>
      </c>
      <c r="V71" s="19"/>
      <c r="W71" s="19" t="s">
        <v>245</v>
      </c>
      <c r="X71" s="19" t="s">
        <v>245</v>
      </c>
      <c r="Y71" s="19"/>
      <c r="Z71" s="19" t="s">
        <v>345</v>
      </c>
      <c r="AA71" s="19"/>
      <c r="AB71" s="4"/>
      <c r="AC71" s="4"/>
      <c r="AD71" s="19"/>
      <c r="AE71" s="19"/>
      <c r="AF71" s="19"/>
      <c r="AG71" s="19"/>
      <c r="AH71" s="19"/>
      <c r="AI71" s="19"/>
      <c r="AJ71" s="19"/>
      <c r="AK71" s="19"/>
      <c r="AL71" s="19"/>
      <c r="AM71" s="19"/>
      <c r="AN71" s="19"/>
      <c r="AO71" s="19"/>
      <c r="AP71" s="19"/>
      <c r="AQ71" s="19"/>
      <c r="AR71" s="19"/>
      <c r="AS71" s="27"/>
    </row>
    <row r="72" spans="1:45">
      <c r="A72" s="19">
        <f t="shared" si="1"/>
        <v>71</v>
      </c>
      <c r="B72" s="20">
        <v>45547</v>
      </c>
      <c r="C72" s="19" t="s">
        <v>1101</v>
      </c>
      <c r="D72" s="19" t="s">
        <v>1216</v>
      </c>
      <c r="E72" s="19">
        <v>20250697</v>
      </c>
      <c r="F72" s="19" t="s">
        <v>1252</v>
      </c>
      <c r="G72" s="19">
        <v>7875001257</v>
      </c>
      <c r="H72" s="19" t="s">
        <v>1253</v>
      </c>
      <c r="I72" s="19" t="s">
        <v>123</v>
      </c>
      <c r="J72" s="19" t="s">
        <v>99</v>
      </c>
      <c r="K72" s="19" t="s">
        <v>101</v>
      </c>
      <c r="L72" s="19">
        <v>2.5</v>
      </c>
      <c r="M72" s="19" t="s">
        <v>1254</v>
      </c>
      <c r="N72" s="19">
        <v>4.3</v>
      </c>
      <c r="O72" s="19">
        <v>0</v>
      </c>
      <c r="P72" s="19">
        <v>6</v>
      </c>
      <c r="Q72" s="19" t="s">
        <v>1255</v>
      </c>
      <c r="R72" s="19" t="s">
        <v>72</v>
      </c>
      <c r="S72" s="19" t="s">
        <v>1139</v>
      </c>
      <c r="T72" s="19"/>
      <c r="U72" s="21"/>
      <c r="V72" s="19"/>
      <c r="W72" s="19" t="s">
        <v>74</v>
      </c>
      <c r="X72" s="19" t="s">
        <v>74</v>
      </c>
      <c r="Y72" s="19" t="s">
        <v>70</v>
      </c>
      <c r="Z72" s="19" t="s">
        <v>68</v>
      </c>
      <c r="AA72" s="19"/>
      <c r="AB72" s="4"/>
      <c r="AC72" s="4"/>
      <c r="AD72" s="19"/>
      <c r="AE72" s="19"/>
      <c r="AF72" s="19"/>
      <c r="AG72" s="19"/>
      <c r="AH72" s="19"/>
      <c r="AI72" s="19"/>
      <c r="AJ72" s="19"/>
      <c r="AK72" s="19"/>
      <c r="AL72" s="19"/>
      <c r="AM72" s="19"/>
      <c r="AN72" s="19"/>
      <c r="AO72" s="19"/>
      <c r="AP72" s="19"/>
      <c r="AQ72" s="19"/>
      <c r="AR72" s="19"/>
      <c r="AS72" s="27"/>
    </row>
    <row r="73" spans="1:45">
      <c r="A73" s="19">
        <f t="shared" si="1"/>
        <v>72</v>
      </c>
      <c r="B73" s="20">
        <v>45547</v>
      </c>
      <c r="C73" s="19" t="s">
        <v>1101</v>
      </c>
      <c r="D73" s="19" t="s">
        <v>961</v>
      </c>
      <c r="E73" s="19">
        <v>20250697</v>
      </c>
      <c r="F73" s="19" t="s">
        <v>1256</v>
      </c>
      <c r="G73" s="19">
        <v>9067048222</v>
      </c>
      <c r="H73" s="19" t="s">
        <v>1257</v>
      </c>
      <c r="I73" s="19" t="s">
        <v>123</v>
      </c>
      <c r="J73" s="19" t="s">
        <v>99</v>
      </c>
      <c r="K73" s="19" t="s">
        <v>101</v>
      </c>
      <c r="L73" s="19">
        <v>4</v>
      </c>
      <c r="M73" s="19" t="s">
        <v>1258</v>
      </c>
      <c r="N73" s="19">
        <v>5.8</v>
      </c>
      <c r="O73" s="19">
        <v>0</v>
      </c>
      <c r="P73" s="19" t="s">
        <v>1259</v>
      </c>
      <c r="Q73" s="19" t="s">
        <v>72</v>
      </c>
      <c r="R73" s="19" t="s">
        <v>72</v>
      </c>
      <c r="S73" s="19" t="s">
        <v>1260</v>
      </c>
      <c r="T73" s="19"/>
      <c r="U73" s="21"/>
      <c r="V73" s="19"/>
      <c r="W73" s="19" t="s">
        <v>74</v>
      </c>
      <c r="X73" s="19" t="s">
        <v>74</v>
      </c>
      <c r="Y73" s="19" t="s">
        <v>70</v>
      </c>
      <c r="Z73" s="19" t="s">
        <v>68</v>
      </c>
      <c r="AA73" s="19"/>
      <c r="AB73" s="4"/>
      <c r="AC73" s="4"/>
      <c r="AD73" s="19"/>
      <c r="AE73" s="19"/>
      <c r="AF73" s="19"/>
      <c r="AG73" s="19"/>
      <c r="AH73" s="19"/>
      <c r="AI73" s="19"/>
      <c r="AJ73" s="19"/>
      <c r="AK73" s="19"/>
      <c r="AL73" s="19"/>
      <c r="AM73" s="19"/>
      <c r="AN73" s="19"/>
      <c r="AO73" s="19"/>
      <c r="AP73" s="19"/>
      <c r="AQ73" s="19"/>
      <c r="AR73" s="19"/>
      <c r="AS73" s="27"/>
    </row>
    <row r="74" spans="1:45">
      <c r="A74" s="19">
        <f t="shared" si="1"/>
        <v>73</v>
      </c>
      <c r="B74" s="20">
        <v>45547</v>
      </c>
      <c r="C74" s="19" t="s">
        <v>1101</v>
      </c>
      <c r="D74" s="19" t="s">
        <v>1102</v>
      </c>
      <c r="E74" s="19">
        <v>20250697</v>
      </c>
      <c r="F74" s="19" t="s">
        <v>1261</v>
      </c>
      <c r="G74" s="19">
        <v>7987253651</v>
      </c>
      <c r="H74" s="19" t="s">
        <v>1262</v>
      </c>
      <c r="I74" s="19" t="s">
        <v>123</v>
      </c>
      <c r="J74" s="19" t="s">
        <v>99</v>
      </c>
      <c r="K74" s="19" t="s">
        <v>101</v>
      </c>
      <c r="L74" s="19">
        <v>3</v>
      </c>
      <c r="M74" s="19" t="s">
        <v>1263</v>
      </c>
      <c r="N74" s="19">
        <v>6</v>
      </c>
      <c r="O74" s="19">
        <v>0</v>
      </c>
      <c r="P74" s="19">
        <v>9</v>
      </c>
      <c r="Q74" s="19" t="s">
        <v>1264</v>
      </c>
      <c r="R74" s="19" t="s">
        <v>72</v>
      </c>
      <c r="S74" s="19" t="s">
        <v>1139</v>
      </c>
      <c r="T74" s="19"/>
      <c r="U74" s="21"/>
      <c r="V74" s="19"/>
      <c r="W74" s="19" t="s">
        <v>74</v>
      </c>
      <c r="X74" s="19" t="s">
        <v>74</v>
      </c>
      <c r="Y74" s="19" t="s">
        <v>70</v>
      </c>
      <c r="Z74" s="19" t="s">
        <v>68</v>
      </c>
      <c r="AA74" s="19"/>
      <c r="AB74" s="4"/>
      <c r="AC74" s="4"/>
      <c r="AD74" s="19"/>
      <c r="AE74" s="19"/>
      <c r="AF74" s="19"/>
      <c r="AG74" s="19"/>
      <c r="AH74" s="19"/>
      <c r="AI74" s="19"/>
      <c r="AJ74" s="19"/>
      <c r="AK74" s="19"/>
      <c r="AL74" s="19"/>
      <c r="AM74" s="19"/>
      <c r="AN74" s="19"/>
      <c r="AO74" s="19"/>
      <c r="AP74" s="19"/>
      <c r="AQ74" s="19"/>
      <c r="AR74" s="19"/>
      <c r="AS74" s="27"/>
    </row>
    <row r="75" spans="1:45">
      <c r="A75" s="19">
        <f t="shared" si="1"/>
        <v>74</v>
      </c>
      <c r="B75" s="20">
        <v>45547</v>
      </c>
      <c r="C75" s="19" t="s">
        <v>1101</v>
      </c>
      <c r="D75" s="19" t="s">
        <v>1102</v>
      </c>
      <c r="E75" s="19">
        <v>20250717</v>
      </c>
      <c r="F75" s="19" t="s">
        <v>1265</v>
      </c>
      <c r="G75" s="19">
        <v>9404457405</v>
      </c>
      <c r="H75" s="19" t="s">
        <v>1266</v>
      </c>
      <c r="I75" s="19" t="s">
        <v>123</v>
      </c>
      <c r="J75" s="19" t="s">
        <v>1228</v>
      </c>
      <c r="K75" s="19" t="s">
        <v>569</v>
      </c>
      <c r="L75" s="19">
        <v>10</v>
      </c>
      <c r="M75" s="19" t="s">
        <v>1267</v>
      </c>
      <c r="N75" s="19">
        <v>10</v>
      </c>
      <c r="O75" s="19">
        <v>0</v>
      </c>
      <c r="P75" s="19">
        <v>15</v>
      </c>
      <c r="Q75" s="19" t="s">
        <v>72</v>
      </c>
      <c r="R75" s="19" t="s">
        <v>72</v>
      </c>
      <c r="S75" s="19" t="s">
        <v>1268</v>
      </c>
      <c r="T75" s="19"/>
      <c r="U75" s="21"/>
      <c r="V75" s="19"/>
      <c r="W75" s="19" t="s">
        <v>74</v>
      </c>
      <c r="X75" s="19" t="s">
        <v>74</v>
      </c>
      <c r="Y75" s="19" t="s">
        <v>70</v>
      </c>
      <c r="Z75" s="19" t="s">
        <v>68</v>
      </c>
      <c r="AA75" s="19"/>
      <c r="AB75" s="4"/>
      <c r="AC75" s="4"/>
      <c r="AD75" s="19"/>
      <c r="AE75" s="19"/>
      <c r="AF75" s="19"/>
      <c r="AG75" s="19"/>
      <c r="AH75" s="19"/>
      <c r="AI75" s="19"/>
      <c r="AJ75" s="19"/>
      <c r="AK75" s="19"/>
      <c r="AL75" s="19"/>
      <c r="AM75" s="19"/>
      <c r="AN75" s="19"/>
      <c r="AO75" s="19"/>
      <c r="AP75" s="19"/>
      <c r="AQ75" s="19"/>
      <c r="AR75" s="19"/>
      <c r="AS75" s="27"/>
    </row>
    <row r="76" spans="1:45">
      <c r="A76" s="19">
        <f t="shared" si="1"/>
        <v>75</v>
      </c>
      <c r="B76" s="20">
        <v>45547</v>
      </c>
      <c r="C76" s="19" t="s">
        <v>1101</v>
      </c>
      <c r="D76" s="19" t="s">
        <v>1102</v>
      </c>
      <c r="E76" s="19">
        <v>20250717</v>
      </c>
      <c r="F76" s="19" t="s">
        <v>1269</v>
      </c>
      <c r="G76" s="19" t="s">
        <v>1270</v>
      </c>
      <c r="H76" s="19" t="s">
        <v>1271</v>
      </c>
      <c r="I76" s="19" t="s">
        <v>123</v>
      </c>
      <c r="J76" s="19" t="s">
        <v>1228</v>
      </c>
      <c r="K76" s="19" t="s">
        <v>569</v>
      </c>
      <c r="L76" s="19">
        <v>10</v>
      </c>
      <c r="M76" s="19" t="s">
        <v>1272</v>
      </c>
      <c r="N76" s="19">
        <v>20</v>
      </c>
      <c r="O76" s="19">
        <v>0</v>
      </c>
      <c r="P76" s="19">
        <v>25</v>
      </c>
      <c r="Q76" s="19" t="s">
        <v>72</v>
      </c>
      <c r="R76" s="19" t="s">
        <v>72</v>
      </c>
      <c r="S76" s="19" t="s">
        <v>1273</v>
      </c>
      <c r="T76" s="19"/>
      <c r="U76" s="21"/>
      <c r="V76" s="19"/>
      <c r="W76" s="19" t="s">
        <v>74</v>
      </c>
      <c r="X76" s="19" t="s">
        <v>74</v>
      </c>
      <c r="Y76" s="19" t="s">
        <v>70</v>
      </c>
      <c r="Z76" s="19" t="s">
        <v>68</v>
      </c>
      <c r="AA76" s="19"/>
      <c r="AB76" s="4"/>
      <c r="AC76" s="4"/>
      <c r="AD76" s="19"/>
      <c r="AE76" s="19"/>
      <c r="AF76" s="19"/>
      <c r="AG76" s="19"/>
      <c r="AH76" s="19"/>
      <c r="AI76" s="19"/>
      <c r="AJ76" s="19"/>
      <c r="AK76" s="19"/>
      <c r="AL76" s="19"/>
      <c r="AM76" s="19"/>
      <c r="AN76" s="19"/>
      <c r="AO76" s="19"/>
      <c r="AP76" s="19"/>
      <c r="AQ76" s="19"/>
      <c r="AR76" s="19"/>
      <c r="AS76" s="27"/>
    </row>
    <row r="77" spans="1:45">
      <c r="A77" s="19">
        <f t="shared" si="1"/>
        <v>76</v>
      </c>
      <c r="B77" s="20">
        <v>45547</v>
      </c>
      <c r="C77" s="19" t="s">
        <v>1101</v>
      </c>
      <c r="D77" s="19" t="s">
        <v>1102</v>
      </c>
      <c r="E77" s="19">
        <v>20250717</v>
      </c>
      <c r="F77" s="19" t="s">
        <v>1274</v>
      </c>
      <c r="G77" s="19">
        <v>8793480138</v>
      </c>
      <c r="H77" s="19" t="s">
        <v>1275</v>
      </c>
      <c r="I77" s="19" t="s">
        <v>123</v>
      </c>
      <c r="J77" s="19" t="s">
        <v>1228</v>
      </c>
      <c r="K77" s="19" t="s">
        <v>569</v>
      </c>
      <c r="L77" s="19">
        <v>8.9</v>
      </c>
      <c r="M77" s="19" t="s">
        <v>1267</v>
      </c>
      <c r="N77" s="19">
        <v>12</v>
      </c>
      <c r="O77" s="19">
        <v>0</v>
      </c>
      <c r="P77" s="19">
        <v>18</v>
      </c>
      <c r="Q77" s="19" t="s">
        <v>1276</v>
      </c>
      <c r="R77" s="19" t="s">
        <v>72</v>
      </c>
      <c r="S77" s="19" t="s">
        <v>1277</v>
      </c>
      <c r="T77" s="19"/>
      <c r="U77" s="21"/>
      <c r="V77" s="19"/>
      <c r="W77" s="19" t="s">
        <v>74</v>
      </c>
      <c r="X77" s="19" t="s">
        <v>74</v>
      </c>
      <c r="Y77" s="19" t="s">
        <v>70</v>
      </c>
      <c r="Z77" s="19" t="s">
        <v>68</v>
      </c>
      <c r="AA77" s="19"/>
      <c r="AB77" s="4"/>
      <c r="AC77" s="4"/>
      <c r="AD77" s="19"/>
      <c r="AE77" s="19"/>
      <c r="AF77" s="19"/>
      <c r="AG77" s="19"/>
      <c r="AH77" s="19"/>
      <c r="AI77" s="19"/>
      <c r="AJ77" s="19"/>
      <c r="AK77" s="19"/>
      <c r="AL77" s="19"/>
      <c r="AM77" s="19"/>
      <c r="AN77" s="19"/>
      <c r="AO77" s="19"/>
      <c r="AP77" s="19"/>
      <c r="AQ77" s="19"/>
      <c r="AR77" s="19"/>
      <c r="AS77" s="27"/>
    </row>
    <row r="78" spans="1:45">
      <c r="A78" s="19">
        <f t="shared" si="1"/>
        <v>77</v>
      </c>
      <c r="B78" s="20">
        <v>45547</v>
      </c>
      <c r="C78" s="19" t="s">
        <v>1101</v>
      </c>
      <c r="D78" s="19" t="s">
        <v>1278</v>
      </c>
      <c r="E78" s="19">
        <v>20250717</v>
      </c>
      <c r="F78" s="19" t="s">
        <v>1279</v>
      </c>
      <c r="G78" s="19">
        <v>7387653807</v>
      </c>
      <c r="H78" s="19" t="s">
        <v>1280</v>
      </c>
      <c r="I78" s="19" t="s">
        <v>123</v>
      </c>
      <c r="J78" s="19" t="s">
        <v>1228</v>
      </c>
      <c r="K78" s="19" t="s">
        <v>569</v>
      </c>
      <c r="L78" s="19">
        <v>5.0999999999999996</v>
      </c>
      <c r="M78" s="19" t="s">
        <v>1281</v>
      </c>
      <c r="N78" s="19">
        <v>10</v>
      </c>
      <c r="O78" s="19">
        <v>0</v>
      </c>
      <c r="P78" s="19">
        <v>15</v>
      </c>
      <c r="Q78" s="19" t="s">
        <v>1282</v>
      </c>
      <c r="R78" s="19" t="s">
        <v>72</v>
      </c>
      <c r="S78" s="19" t="s">
        <v>1268</v>
      </c>
      <c r="T78" s="19"/>
      <c r="U78" s="21"/>
      <c r="V78" s="19"/>
      <c r="W78" s="19" t="s">
        <v>74</v>
      </c>
      <c r="X78" s="19" t="s">
        <v>74</v>
      </c>
      <c r="Y78" s="19" t="s">
        <v>70</v>
      </c>
      <c r="Z78" s="19" t="s">
        <v>68</v>
      </c>
      <c r="AA78" s="19"/>
      <c r="AB78" s="4"/>
      <c r="AC78" s="4"/>
      <c r="AD78" s="19"/>
      <c r="AE78" s="19"/>
      <c r="AF78" s="19"/>
      <c r="AG78" s="19"/>
      <c r="AH78" s="19"/>
      <c r="AI78" s="19"/>
      <c r="AJ78" s="19"/>
      <c r="AK78" s="19"/>
      <c r="AL78" s="19"/>
      <c r="AM78" s="19"/>
      <c r="AN78" s="19"/>
      <c r="AO78" s="19"/>
      <c r="AP78" s="19"/>
      <c r="AQ78" s="19"/>
      <c r="AR78" s="19"/>
      <c r="AS78" s="27"/>
    </row>
    <row r="79" spans="1:45">
      <c r="A79" s="19">
        <f t="shared" si="1"/>
        <v>78</v>
      </c>
      <c r="B79" s="20">
        <v>45548</v>
      </c>
      <c r="C79" s="19" t="s">
        <v>116</v>
      </c>
      <c r="D79" s="19" t="s">
        <v>116</v>
      </c>
      <c r="E79" s="19">
        <v>20245072</v>
      </c>
      <c r="F79" s="19" t="s">
        <v>163</v>
      </c>
      <c r="G79" s="19">
        <v>9823065456</v>
      </c>
      <c r="H79" s="19" t="s">
        <v>1283</v>
      </c>
      <c r="I79" s="19" t="s">
        <v>123</v>
      </c>
      <c r="J79" s="19" t="s">
        <v>141</v>
      </c>
      <c r="K79" s="19" t="s">
        <v>107</v>
      </c>
      <c r="L79" s="19" t="s">
        <v>1188</v>
      </c>
      <c r="M79" s="19" t="s">
        <v>1284</v>
      </c>
      <c r="N79" s="19" t="s">
        <v>1066</v>
      </c>
      <c r="O79" s="19"/>
      <c r="P79" s="19" t="s">
        <v>1285</v>
      </c>
      <c r="Q79" s="19" t="s">
        <v>72</v>
      </c>
      <c r="R79" s="19" t="s">
        <v>72</v>
      </c>
      <c r="S79" s="19" t="s">
        <v>1067</v>
      </c>
      <c r="T79" s="19" t="s">
        <v>858</v>
      </c>
      <c r="U79" s="21">
        <v>45642</v>
      </c>
      <c r="V79" s="19"/>
      <c r="W79" s="19" t="s">
        <v>144</v>
      </c>
      <c r="X79" s="19" t="s">
        <v>144</v>
      </c>
      <c r="Y79" s="19" t="s">
        <v>70</v>
      </c>
      <c r="Z79" s="19" t="s">
        <v>68</v>
      </c>
      <c r="AA79" s="19"/>
      <c r="AB79" s="4"/>
      <c r="AC79" s="4"/>
      <c r="AD79" s="19"/>
      <c r="AE79" s="19"/>
      <c r="AF79" s="19"/>
      <c r="AG79" s="19"/>
      <c r="AH79" s="19"/>
      <c r="AI79" s="19"/>
      <c r="AJ79" s="19"/>
      <c r="AK79" s="19"/>
      <c r="AL79" s="19"/>
      <c r="AM79" s="19"/>
      <c r="AN79" s="19"/>
      <c r="AO79" s="19"/>
      <c r="AP79" s="19"/>
      <c r="AQ79" s="19"/>
      <c r="AR79" s="19"/>
      <c r="AS79" s="27"/>
    </row>
    <row r="80" spans="1:45">
      <c r="A80" s="19">
        <f t="shared" si="1"/>
        <v>79</v>
      </c>
      <c r="B80" s="20">
        <v>45559</v>
      </c>
      <c r="C80" s="19" t="s">
        <v>116</v>
      </c>
      <c r="D80" s="19" t="s">
        <v>116</v>
      </c>
      <c r="E80" s="19">
        <v>20241946</v>
      </c>
      <c r="F80" s="19" t="s">
        <v>721</v>
      </c>
      <c r="G80" s="19">
        <v>9657633373</v>
      </c>
      <c r="H80" s="19" t="s">
        <v>1286</v>
      </c>
      <c r="I80" s="19" t="s">
        <v>123</v>
      </c>
      <c r="J80" s="19" t="s">
        <v>683</v>
      </c>
      <c r="K80" s="19" t="s">
        <v>228</v>
      </c>
      <c r="L80" s="19"/>
      <c r="M80" s="19"/>
      <c r="N80" s="19"/>
      <c r="O80" s="19"/>
      <c r="P80" s="19">
        <v>2100000</v>
      </c>
      <c r="Q80" s="19" t="s">
        <v>72</v>
      </c>
      <c r="R80" s="19" t="s">
        <v>72</v>
      </c>
      <c r="S80" s="19"/>
      <c r="T80" s="19"/>
      <c r="U80" s="21">
        <v>45624</v>
      </c>
      <c r="V80" s="19"/>
      <c r="W80" s="19" t="s">
        <v>245</v>
      </c>
      <c r="X80" s="19" t="s">
        <v>245</v>
      </c>
      <c r="Y80" s="19"/>
      <c r="Z80" s="19" t="s">
        <v>111</v>
      </c>
      <c r="AA80" s="19"/>
      <c r="AB80" s="4"/>
      <c r="AC80" s="4"/>
      <c r="AD80" s="19"/>
      <c r="AE80" s="19"/>
      <c r="AF80" s="19"/>
      <c r="AG80" s="19"/>
      <c r="AH80" s="19"/>
      <c r="AI80" s="19"/>
      <c r="AJ80" s="19"/>
      <c r="AK80" s="19"/>
      <c r="AL80" s="19"/>
      <c r="AM80" s="19"/>
      <c r="AN80" s="19"/>
      <c r="AO80" s="19"/>
      <c r="AP80" s="19"/>
      <c r="AQ80" s="19"/>
      <c r="AR80" s="19"/>
      <c r="AS80" s="27"/>
    </row>
    <row r="81" spans="1:45">
      <c r="A81" s="19">
        <f t="shared" si="1"/>
        <v>80</v>
      </c>
      <c r="B81" s="20">
        <v>45577</v>
      </c>
      <c r="C81" s="19" t="s">
        <v>1101</v>
      </c>
      <c r="D81" s="19" t="s">
        <v>1102</v>
      </c>
      <c r="E81" s="19">
        <v>20242803</v>
      </c>
      <c r="F81" s="19" t="s">
        <v>1287</v>
      </c>
      <c r="G81" s="19">
        <v>8530707848</v>
      </c>
      <c r="H81" s="19" t="s">
        <v>1288</v>
      </c>
      <c r="I81" s="19" t="s">
        <v>123</v>
      </c>
      <c r="J81" s="19" t="s">
        <v>109</v>
      </c>
      <c r="K81" s="19" t="s">
        <v>1105</v>
      </c>
      <c r="L81" s="19">
        <v>3.3</v>
      </c>
      <c r="M81" s="19" t="s">
        <v>1289</v>
      </c>
      <c r="N81" s="19">
        <v>13.39</v>
      </c>
      <c r="O81" s="19">
        <v>0</v>
      </c>
      <c r="P81" s="19">
        <v>0.5</v>
      </c>
      <c r="Q81" s="19" t="s">
        <v>72</v>
      </c>
      <c r="R81" s="19" t="s">
        <v>72</v>
      </c>
      <c r="S81" s="19" t="s">
        <v>1290</v>
      </c>
      <c r="T81" s="19" t="s">
        <v>1291</v>
      </c>
      <c r="U81" s="21"/>
      <c r="V81" s="19"/>
      <c r="W81" s="19" t="s">
        <v>74</v>
      </c>
      <c r="X81" s="19" t="s">
        <v>74</v>
      </c>
      <c r="Y81" s="19" t="s">
        <v>70</v>
      </c>
      <c r="Z81" s="19" t="s">
        <v>68</v>
      </c>
      <c r="AA81" s="4">
        <v>45577</v>
      </c>
      <c r="AB81" s="4">
        <v>45580</v>
      </c>
      <c r="AC81" s="4">
        <v>45580</v>
      </c>
      <c r="AD81" s="19"/>
      <c r="AE81" s="19"/>
      <c r="AF81" s="19"/>
      <c r="AG81" s="19"/>
      <c r="AH81" s="19"/>
      <c r="AI81" s="19"/>
      <c r="AJ81" s="19"/>
      <c r="AK81" s="19"/>
      <c r="AL81" s="19"/>
      <c r="AM81" s="19"/>
      <c r="AN81" s="19"/>
      <c r="AO81" s="19"/>
      <c r="AP81" s="19"/>
      <c r="AQ81" s="19"/>
      <c r="AR81" s="19"/>
      <c r="AS81" s="27"/>
    </row>
    <row r="82" spans="1:45">
      <c r="A82" s="19">
        <f t="shared" si="1"/>
        <v>81</v>
      </c>
      <c r="B82" s="20">
        <v>45577</v>
      </c>
      <c r="C82" s="19" t="s">
        <v>1101</v>
      </c>
      <c r="D82" s="19" t="s">
        <v>1102</v>
      </c>
      <c r="E82" s="19">
        <v>20242803</v>
      </c>
      <c r="F82" s="19" t="s">
        <v>1292</v>
      </c>
      <c r="G82" s="19">
        <v>7792099405</v>
      </c>
      <c r="H82" s="19" t="s">
        <v>1293</v>
      </c>
      <c r="I82" s="19" t="s">
        <v>123</v>
      </c>
      <c r="J82" s="19" t="s">
        <v>109</v>
      </c>
      <c r="K82" s="19" t="s">
        <v>1105</v>
      </c>
      <c r="L82" s="19">
        <v>10.4</v>
      </c>
      <c r="M82" s="19" t="s">
        <v>1294</v>
      </c>
      <c r="N82" s="19">
        <v>14</v>
      </c>
      <c r="O82" s="19">
        <v>0</v>
      </c>
      <c r="P82" s="19">
        <v>19</v>
      </c>
      <c r="Q82" s="19" t="s">
        <v>72</v>
      </c>
      <c r="R82" s="19" t="s">
        <v>72</v>
      </c>
      <c r="S82" s="19" t="s">
        <v>1295</v>
      </c>
      <c r="T82" s="19" t="s">
        <v>1057</v>
      </c>
      <c r="U82" s="21"/>
      <c r="V82" s="19"/>
      <c r="W82" s="19" t="s">
        <v>74</v>
      </c>
      <c r="X82" s="19" t="s">
        <v>74</v>
      </c>
      <c r="Y82" s="19" t="s">
        <v>70</v>
      </c>
      <c r="Z82" s="19" t="s">
        <v>68</v>
      </c>
      <c r="AA82" s="4">
        <v>45577</v>
      </c>
      <c r="AB82" s="4">
        <v>45581</v>
      </c>
      <c r="AC82" s="4">
        <v>45581</v>
      </c>
      <c r="AD82" s="19"/>
      <c r="AE82" s="19"/>
      <c r="AF82" s="19"/>
      <c r="AG82" s="19"/>
      <c r="AH82" s="19"/>
      <c r="AI82" s="19"/>
      <c r="AJ82" s="19"/>
      <c r="AK82" s="19"/>
      <c r="AL82" s="19"/>
      <c r="AM82" s="19"/>
      <c r="AN82" s="19"/>
      <c r="AO82" s="19"/>
      <c r="AP82" s="19"/>
      <c r="AQ82" s="19"/>
      <c r="AR82" s="19"/>
      <c r="AS82" s="27"/>
    </row>
    <row r="83" spans="1:45">
      <c r="A83" s="19">
        <f t="shared" si="1"/>
        <v>82</v>
      </c>
      <c r="B83" s="20">
        <v>45577</v>
      </c>
      <c r="C83" s="19" t="s">
        <v>1101</v>
      </c>
      <c r="D83" s="19" t="s">
        <v>1102</v>
      </c>
      <c r="E83" s="19">
        <v>20242803</v>
      </c>
      <c r="F83" s="19" t="s">
        <v>1296</v>
      </c>
      <c r="G83" s="19">
        <v>9704515902</v>
      </c>
      <c r="H83" s="19" t="s">
        <v>1297</v>
      </c>
      <c r="I83" s="19" t="s">
        <v>123</v>
      </c>
      <c r="J83" s="19" t="s">
        <v>109</v>
      </c>
      <c r="K83" s="19" t="s">
        <v>1105</v>
      </c>
      <c r="L83" s="19">
        <v>5.5</v>
      </c>
      <c r="M83" s="19" t="s">
        <v>1298</v>
      </c>
      <c r="N83" s="19">
        <v>11.3</v>
      </c>
      <c r="O83" s="19">
        <v>0</v>
      </c>
      <c r="P83" s="19">
        <v>16</v>
      </c>
      <c r="Q83" s="19" t="s">
        <v>1299</v>
      </c>
      <c r="R83" s="19" t="s">
        <v>72</v>
      </c>
      <c r="S83" s="19" t="s">
        <v>1300</v>
      </c>
      <c r="T83" s="19" t="s">
        <v>1057</v>
      </c>
      <c r="U83" s="21"/>
      <c r="V83" s="19"/>
      <c r="W83" s="19" t="s">
        <v>74</v>
      </c>
      <c r="X83" s="19" t="s">
        <v>74</v>
      </c>
      <c r="Y83" s="19" t="s">
        <v>70</v>
      </c>
      <c r="Z83" s="19" t="s">
        <v>68</v>
      </c>
      <c r="AA83" s="4">
        <v>45577</v>
      </c>
      <c r="AB83" s="4">
        <v>45581</v>
      </c>
      <c r="AC83" s="4">
        <v>45581</v>
      </c>
      <c r="AD83" s="19"/>
      <c r="AE83" s="19"/>
      <c r="AF83" s="19"/>
      <c r="AG83" s="19"/>
      <c r="AH83" s="19"/>
      <c r="AI83" s="19"/>
      <c r="AJ83" s="19"/>
      <c r="AK83" s="19"/>
      <c r="AL83" s="19"/>
      <c r="AM83" s="19"/>
      <c r="AN83" s="19"/>
      <c r="AO83" s="19"/>
      <c r="AP83" s="19"/>
      <c r="AQ83" s="19"/>
      <c r="AR83" s="19"/>
      <c r="AS83" s="27"/>
    </row>
    <row r="84" spans="1:45">
      <c r="A84" s="19">
        <f t="shared" si="1"/>
        <v>83</v>
      </c>
      <c r="B84" s="20">
        <v>45577</v>
      </c>
      <c r="C84" s="19" t="s">
        <v>1101</v>
      </c>
      <c r="D84" s="19" t="s">
        <v>1102</v>
      </c>
      <c r="E84" s="19">
        <v>20242803</v>
      </c>
      <c r="F84" s="19" t="s">
        <v>1301</v>
      </c>
      <c r="G84" s="19">
        <v>7776072588</v>
      </c>
      <c r="H84" s="19" t="s">
        <v>1302</v>
      </c>
      <c r="I84" s="19" t="s">
        <v>86</v>
      </c>
      <c r="J84" s="19" t="s">
        <v>109</v>
      </c>
      <c r="K84" s="19" t="s">
        <v>1105</v>
      </c>
      <c r="L84" s="19">
        <v>3.4</v>
      </c>
      <c r="M84" s="19" t="s">
        <v>1214</v>
      </c>
      <c r="N84" s="19">
        <v>4.0999999999999996</v>
      </c>
      <c r="O84" s="19">
        <v>0</v>
      </c>
      <c r="P84" s="19">
        <v>9</v>
      </c>
      <c r="Q84" s="19" t="s">
        <v>1107</v>
      </c>
      <c r="R84" s="19" t="s">
        <v>72</v>
      </c>
      <c r="S84" s="19" t="s">
        <v>1303</v>
      </c>
      <c r="T84" s="19" t="s">
        <v>1057</v>
      </c>
      <c r="U84" s="21"/>
      <c r="V84" s="19"/>
      <c r="W84" s="19" t="s">
        <v>74</v>
      </c>
      <c r="X84" s="19" t="s">
        <v>74</v>
      </c>
      <c r="Y84" s="19" t="s">
        <v>70</v>
      </c>
      <c r="Z84" s="19" t="s">
        <v>68</v>
      </c>
      <c r="AA84" s="4">
        <v>45586</v>
      </c>
      <c r="AB84" s="4">
        <v>45589</v>
      </c>
      <c r="AC84" s="4">
        <v>45589</v>
      </c>
      <c r="AD84" s="19"/>
      <c r="AE84" s="19"/>
      <c r="AF84" s="19"/>
      <c r="AG84" s="19"/>
      <c r="AH84" s="19"/>
      <c r="AI84" s="19"/>
      <c r="AJ84" s="19"/>
      <c r="AK84" s="19"/>
      <c r="AL84" s="19"/>
      <c r="AM84" s="19"/>
      <c r="AN84" s="19"/>
      <c r="AO84" s="19"/>
      <c r="AP84" s="19"/>
      <c r="AQ84" s="19"/>
      <c r="AR84" s="19"/>
      <c r="AS84" s="27"/>
    </row>
    <row r="85" spans="1:45">
      <c r="A85" s="19">
        <f t="shared" si="1"/>
        <v>84</v>
      </c>
      <c r="B85" s="20">
        <v>45577</v>
      </c>
      <c r="C85" s="19" t="s">
        <v>1101</v>
      </c>
      <c r="D85" s="19" t="s">
        <v>1102</v>
      </c>
      <c r="E85" s="19">
        <v>20241431</v>
      </c>
      <c r="F85" s="19" t="s">
        <v>1304</v>
      </c>
      <c r="G85" s="19" t="s">
        <v>1305</v>
      </c>
      <c r="H85" s="19" t="s">
        <v>1306</v>
      </c>
      <c r="I85" s="19" t="s">
        <v>123</v>
      </c>
      <c r="J85" s="19" t="s">
        <v>604</v>
      </c>
      <c r="K85" s="19" t="s">
        <v>228</v>
      </c>
      <c r="L85" s="19">
        <v>3</v>
      </c>
      <c r="M85" s="19" t="s">
        <v>1307</v>
      </c>
      <c r="N85" s="19">
        <v>5</v>
      </c>
      <c r="O85" s="19">
        <v>0</v>
      </c>
      <c r="P85" s="19">
        <v>9</v>
      </c>
      <c r="Q85" s="19" t="s">
        <v>1308</v>
      </c>
      <c r="R85" s="19" t="s">
        <v>72</v>
      </c>
      <c r="S85" s="19" t="s">
        <v>1309</v>
      </c>
      <c r="T85" s="19" t="s">
        <v>1057</v>
      </c>
      <c r="U85" s="21"/>
      <c r="V85" s="19"/>
      <c r="W85" s="19" t="s">
        <v>74</v>
      </c>
      <c r="X85" s="19" t="s">
        <v>74</v>
      </c>
      <c r="Y85" s="19" t="s">
        <v>70</v>
      </c>
      <c r="Z85" s="19" t="s">
        <v>68</v>
      </c>
      <c r="AA85" s="4">
        <v>45586</v>
      </c>
      <c r="AB85" s="4">
        <v>45580</v>
      </c>
      <c r="AC85" s="4">
        <v>45580</v>
      </c>
      <c r="AD85" s="19"/>
      <c r="AE85" s="19"/>
      <c r="AF85" s="19"/>
      <c r="AG85" s="19"/>
      <c r="AH85" s="19"/>
      <c r="AI85" s="19"/>
      <c r="AJ85" s="19"/>
      <c r="AK85" s="19"/>
      <c r="AL85" s="19"/>
      <c r="AM85" s="19"/>
      <c r="AN85" s="19"/>
      <c r="AO85" s="19"/>
      <c r="AP85" s="19"/>
      <c r="AQ85" s="19"/>
      <c r="AR85" s="19"/>
      <c r="AS85" s="27"/>
    </row>
    <row r="86" spans="1:45">
      <c r="A86" s="19">
        <f t="shared" si="1"/>
        <v>85</v>
      </c>
      <c r="B86" s="20">
        <v>45577</v>
      </c>
      <c r="C86" s="19" t="s">
        <v>1101</v>
      </c>
      <c r="D86" s="19" t="s">
        <v>80</v>
      </c>
      <c r="E86" s="19">
        <v>20241431</v>
      </c>
      <c r="F86" s="19" t="s">
        <v>719</v>
      </c>
      <c r="G86" s="19">
        <v>9604794548</v>
      </c>
      <c r="H86" s="19" t="s">
        <v>1310</v>
      </c>
      <c r="I86" s="19" t="s">
        <v>123</v>
      </c>
      <c r="J86" s="19" t="s">
        <v>604</v>
      </c>
      <c r="K86" s="19" t="s">
        <v>228</v>
      </c>
      <c r="L86" s="19">
        <v>3.8</v>
      </c>
      <c r="M86" s="19" t="s">
        <v>1311</v>
      </c>
      <c r="N86" s="19">
        <v>11</v>
      </c>
      <c r="O86" s="19">
        <v>0</v>
      </c>
      <c r="P86" s="19">
        <v>16</v>
      </c>
      <c r="Q86" s="19" t="s">
        <v>1312</v>
      </c>
      <c r="R86" s="19" t="s">
        <v>72</v>
      </c>
      <c r="S86" s="19" t="s">
        <v>1139</v>
      </c>
      <c r="T86" s="19" t="s">
        <v>1313</v>
      </c>
      <c r="U86" s="21">
        <v>45712</v>
      </c>
      <c r="V86" s="19">
        <v>45712</v>
      </c>
      <c r="W86" s="19" t="s">
        <v>74</v>
      </c>
      <c r="X86" s="19" t="s">
        <v>74</v>
      </c>
      <c r="Y86" s="19" t="s">
        <v>70</v>
      </c>
      <c r="Z86" s="19" t="s">
        <v>68</v>
      </c>
      <c r="AA86" s="4">
        <v>45577</v>
      </c>
      <c r="AB86" s="4">
        <v>45580</v>
      </c>
      <c r="AC86" s="4">
        <v>45580</v>
      </c>
      <c r="AD86" s="19"/>
      <c r="AE86" s="19"/>
      <c r="AF86" s="19"/>
      <c r="AG86" s="19"/>
      <c r="AH86" s="19">
        <v>45615</v>
      </c>
      <c r="AI86" s="19">
        <v>45663</v>
      </c>
      <c r="AJ86" s="19">
        <v>45663</v>
      </c>
      <c r="AK86" s="19" t="s">
        <v>72</v>
      </c>
      <c r="AL86" s="19">
        <v>1500000</v>
      </c>
      <c r="AM86" s="19">
        <v>45664</v>
      </c>
      <c r="AN86" s="19">
        <v>45664</v>
      </c>
      <c r="AO86" s="19">
        <v>45708</v>
      </c>
      <c r="AP86" s="19">
        <v>45664</v>
      </c>
      <c r="AQ86" s="19">
        <v>45666</v>
      </c>
      <c r="AR86" s="19">
        <v>45694</v>
      </c>
      <c r="AS86" s="27">
        <v>45698</v>
      </c>
    </row>
    <row r="87" spans="1:45">
      <c r="A87" s="19">
        <f t="shared" si="1"/>
        <v>86</v>
      </c>
      <c r="B87" s="20">
        <v>45577</v>
      </c>
      <c r="C87" s="19" t="s">
        <v>1101</v>
      </c>
      <c r="D87" s="19" t="s">
        <v>1102</v>
      </c>
      <c r="E87" s="19">
        <v>20241431</v>
      </c>
      <c r="F87" s="19" t="s">
        <v>1314</v>
      </c>
      <c r="G87" s="19">
        <v>9028944857</v>
      </c>
      <c r="H87" s="19" t="s">
        <v>1315</v>
      </c>
      <c r="I87" s="19" t="s">
        <v>86</v>
      </c>
      <c r="J87" s="19" t="s">
        <v>604</v>
      </c>
      <c r="K87" s="19" t="s">
        <v>228</v>
      </c>
      <c r="L87" s="19">
        <v>3</v>
      </c>
      <c r="M87" s="19" t="s">
        <v>1316</v>
      </c>
      <c r="N87" s="19">
        <v>4.4800000000000004</v>
      </c>
      <c r="O87" s="19">
        <v>0</v>
      </c>
      <c r="P87" s="19">
        <v>10</v>
      </c>
      <c r="Q87" s="19" t="s">
        <v>1317</v>
      </c>
      <c r="R87" s="19" t="s">
        <v>72</v>
      </c>
      <c r="S87" s="19" t="s">
        <v>1318</v>
      </c>
      <c r="T87" s="19" t="s">
        <v>1290</v>
      </c>
      <c r="U87" s="21"/>
      <c r="V87" s="19"/>
      <c r="W87" s="19" t="s">
        <v>74</v>
      </c>
      <c r="X87" s="19" t="s">
        <v>74</v>
      </c>
      <c r="Y87" s="19" t="s">
        <v>70</v>
      </c>
      <c r="Z87" s="19" t="s">
        <v>68</v>
      </c>
      <c r="AA87" s="4">
        <v>45577</v>
      </c>
      <c r="AB87" s="4">
        <v>45579</v>
      </c>
      <c r="AC87" s="4">
        <v>45579</v>
      </c>
      <c r="AD87" s="19"/>
      <c r="AE87" s="19"/>
      <c r="AF87" s="19"/>
      <c r="AG87" s="19"/>
      <c r="AH87" s="19"/>
      <c r="AI87" s="19"/>
      <c r="AJ87" s="19"/>
      <c r="AK87" s="19"/>
      <c r="AL87" s="19"/>
      <c r="AM87" s="19"/>
      <c r="AN87" s="19"/>
      <c r="AO87" s="19"/>
      <c r="AP87" s="19"/>
      <c r="AQ87" s="19"/>
      <c r="AR87" s="19"/>
      <c r="AS87" s="27"/>
    </row>
    <row r="88" spans="1:45">
      <c r="A88" s="19">
        <f t="shared" si="1"/>
        <v>87</v>
      </c>
      <c r="B88" s="20">
        <v>45579</v>
      </c>
      <c r="C88" s="19" t="s">
        <v>1101</v>
      </c>
      <c r="D88" s="19" t="s">
        <v>1102</v>
      </c>
      <c r="E88" s="19">
        <v>20245321</v>
      </c>
      <c r="F88" s="19" t="s">
        <v>1319</v>
      </c>
      <c r="G88" s="19">
        <v>7097059593</v>
      </c>
      <c r="H88" s="19" t="s">
        <v>1320</v>
      </c>
      <c r="I88" s="19" t="s">
        <v>86</v>
      </c>
      <c r="J88" s="19" t="s">
        <v>114</v>
      </c>
      <c r="K88" s="19" t="s">
        <v>1105</v>
      </c>
      <c r="L88" s="19">
        <v>5</v>
      </c>
      <c r="M88" s="19" t="s">
        <v>1321</v>
      </c>
      <c r="N88" s="19">
        <v>9</v>
      </c>
      <c r="O88" s="19">
        <v>0</v>
      </c>
      <c r="P88" s="19">
        <v>16</v>
      </c>
      <c r="Q88" s="19" t="s">
        <v>714</v>
      </c>
      <c r="R88" s="19" t="s">
        <v>72</v>
      </c>
      <c r="S88" s="19" t="s">
        <v>1158</v>
      </c>
      <c r="T88" s="19" t="s">
        <v>1109</v>
      </c>
      <c r="U88" s="21"/>
      <c r="V88" s="19"/>
      <c r="W88" s="19" t="s">
        <v>74</v>
      </c>
      <c r="X88" s="19" t="s">
        <v>74</v>
      </c>
      <c r="Y88" s="19" t="s">
        <v>70</v>
      </c>
      <c r="Z88" s="19" t="s">
        <v>68</v>
      </c>
      <c r="AA88" s="4">
        <v>45644</v>
      </c>
      <c r="AB88" s="4">
        <v>45644</v>
      </c>
      <c r="AC88" s="4">
        <v>45645</v>
      </c>
      <c r="AD88" s="19"/>
      <c r="AE88" s="19"/>
      <c r="AF88" s="19"/>
      <c r="AG88" s="19"/>
      <c r="AH88" s="19"/>
      <c r="AI88" s="19"/>
      <c r="AJ88" s="19"/>
      <c r="AK88" s="19"/>
      <c r="AL88" s="19"/>
      <c r="AM88" s="19"/>
      <c r="AN88" s="19"/>
      <c r="AO88" s="19"/>
      <c r="AP88" s="19"/>
      <c r="AQ88" s="19"/>
      <c r="AR88" s="19"/>
      <c r="AS88" s="27"/>
    </row>
    <row r="89" spans="1:45">
      <c r="A89" s="19">
        <f t="shared" si="1"/>
        <v>88</v>
      </c>
      <c r="B89" s="20">
        <v>45579</v>
      </c>
      <c r="C89" s="19" t="s">
        <v>116</v>
      </c>
      <c r="D89" s="19" t="s">
        <v>116</v>
      </c>
      <c r="E89" s="19">
        <v>20246589</v>
      </c>
      <c r="F89" s="19" t="s">
        <v>218</v>
      </c>
      <c r="G89" s="19">
        <v>7875200079</v>
      </c>
      <c r="H89" s="19" t="s">
        <v>220</v>
      </c>
      <c r="I89" s="19" t="s">
        <v>86</v>
      </c>
      <c r="J89" s="19" t="s">
        <v>215</v>
      </c>
      <c r="K89" s="19" t="s">
        <v>217</v>
      </c>
      <c r="L89" s="19" t="s">
        <v>1322</v>
      </c>
      <c r="M89" s="19" t="s">
        <v>1323</v>
      </c>
      <c r="N89" s="19" t="s">
        <v>1324</v>
      </c>
      <c r="O89" s="19"/>
      <c r="P89" s="19" t="s">
        <v>1325</v>
      </c>
      <c r="Q89" s="19" t="s">
        <v>72</v>
      </c>
      <c r="R89" s="19" t="s">
        <v>72</v>
      </c>
      <c r="S89" s="19" t="s">
        <v>1067</v>
      </c>
      <c r="T89" s="19" t="s">
        <v>858</v>
      </c>
      <c r="U89" s="21">
        <v>45712</v>
      </c>
      <c r="V89" s="19"/>
      <c r="W89" s="19" t="s">
        <v>144</v>
      </c>
      <c r="X89" s="19" t="s">
        <v>144</v>
      </c>
      <c r="Y89" s="19" t="s">
        <v>70</v>
      </c>
      <c r="Z89" s="19" t="s">
        <v>68</v>
      </c>
      <c r="AA89" s="19">
        <v>45644</v>
      </c>
      <c r="AB89" s="4"/>
      <c r="AC89" s="4">
        <v>45714</v>
      </c>
      <c r="AD89" s="19"/>
      <c r="AE89" s="19"/>
      <c r="AF89" s="19"/>
      <c r="AG89" s="19"/>
      <c r="AH89" s="19"/>
      <c r="AI89" s="19"/>
      <c r="AJ89" s="19"/>
      <c r="AK89" s="19"/>
      <c r="AL89" s="19"/>
      <c r="AM89" s="19"/>
      <c r="AN89" s="19"/>
      <c r="AO89" s="19"/>
      <c r="AP89" s="19"/>
      <c r="AQ89" s="19"/>
      <c r="AR89" s="19"/>
      <c r="AS89" s="27"/>
    </row>
    <row r="90" spans="1:45">
      <c r="A90" s="19">
        <f t="shared" si="1"/>
        <v>89</v>
      </c>
      <c r="B90" s="20">
        <v>45579</v>
      </c>
      <c r="C90" s="19" t="s">
        <v>116</v>
      </c>
      <c r="D90" s="19" t="s">
        <v>116</v>
      </c>
      <c r="E90" s="19">
        <v>20246613</v>
      </c>
      <c r="F90" s="19" t="s">
        <v>263</v>
      </c>
      <c r="G90" s="19" t="s">
        <v>1326</v>
      </c>
      <c r="H90" s="19" t="s">
        <v>1327</v>
      </c>
      <c r="I90" s="19" t="s">
        <v>123</v>
      </c>
      <c r="J90" s="19" t="s">
        <v>141</v>
      </c>
      <c r="K90" s="19" t="s">
        <v>217</v>
      </c>
      <c r="L90" s="19" t="s">
        <v>1328</v>
      </c>
      <c r="M90" s="19" t="s">
        <v>1329</v>
      </c>
      <c r="N90" s="19" t="s">
        <v>1330</v>
      </c>
      <c r="O90" s="19"/>
      <c r="P90" s="19" t="s">
        <v>1331</v>
      </c>
      <c r="Q90" s="19" t="s">
        <v>72</v>
      </c>
      <c r="R90" s="19" t="s">
        <v>72</v>
      </c>
      <c r="S90" s="19" t="s">
        <v>1158</v>
      </c>
      <c r="T90" s="19" t="s">
        <v>858</v>
      </c>
      <c r="U90" s="21">
        <v>45677</v>
      </c>
      <c r="V90" s="19"/>
      <c r="W90" s="19" t="s">
        <v>144</v>
      </c>
      <c r="X90" s="19" t="s">
        <v>144</v>
      </c>
      <c r="Y90" s="19" t="s">
        <v>70</v>
      </c>
      <c r="Z90" s="19" t="s">
        <v>68</v>
      </c>
      <c r="AA90" s="19">
        <v>45644</v>
      </c>
      <c r="AB90" s="4"/>
      <c r="AC90" s="4">
        <v>45705</v>
      </c>
      <c r="AD90" s="19"/>
      <c r="AE90" s="19"/>
      <c r="AF90" s="19"/>
      <c r="AG90" s="19"/>
      <c r="AH90" s="19"/>
      <c r="AI90" s="19"/>
      <c r="AJ90" s="19"/>
      <c r="AK90" s="19"/>
      <c r="AL90" s="19"/>
      <c r="AM90" s="19"/>
      <c r="AN90" s="19"/>
      <c r="AO90" s="19"/>
      <c r="AP90" s="19"/>
      <c r="AQ90" s="19"/>
      <c r="AR90" s="19"/>
      <c r="AS90" s="27"/>
    </row>
    <row r="91" spans="1:45">
      <c r="A91" s="19">
        <f t="shared" si="1"/>
        <v>90</v>
      </c>
      <c r="B91" s="20">
        <v>45580</v>
      </c>
      <c r="C91" s="19" t="s">
        <v>1101</v>
      </c>
      <c r="D91" s="19" t="s">
        <v>1102</v>
      </c>
      <c r="E91" s="19">
        <v>20245321</v>
      </c>
      <c r="F91" s="19" t="s">
        <v>1332</v>
      </c>
      <c r="G91" s="19">
        <v>8500490190</v>
      </c>
      <c r="H91" s="19" t="s">
        <v>1333</v>
      </c>
      <c r="I91" s="19" t="s">
        <v>123</v>
      </c>
      <c r="J91" s="19" t="s">
        <v>114</v>
      </c>
      <c r="K91" s="19" t="s">
        <v>1105</v>
      </c>
      <c r="L91" s="19">
        <v>6.9</v>
      </c>
      <c r="M91" s="19" t="s">
        <v>1334</v>
      </c>
      <c r="N91" s="19">
        <v>10</v>
      </c>
      <c r="O91" s="19">
        <v>0</v>
      </c>
      <c r="P91" s="19">
        <v>15</v>
      </c>
      <c r="Q91" s="19" t="s">
        <v>1335</v>
      </c>
      <c r="R91" s="19" t="s">
        <v>72</v>
      </c>
      <c r="S91" s="19" t="s">
        <v>1139</v>
      </c>
      <c r="T91" s="19" t="s">
        <v>1336</v>
      </c>
      <c r="U91" s="21"/>
      <c r="V91" s="19"/>
      <c r="W91" s="19" t="s">
        <v>74</v>
      </c>
      <c r="X91" s="19" t="s">
        <v>74</v>
      </c>
      <c r="Y91" s="19" t="s">
        <v>70</v>
      </c>
      <c r="Z91" s="19" t="s">
        <v>68</v>
      </c>
      <c r="AA91" s="4">
        <v>45644</v>
      </c>
      <c r="AB91" s="4">
        <v>45707</v>
      </c>
      <c r="AC91" s="4">
        <v>45707</v>
      </c>
      <c r="AD91" s="19"/>
      <c r="AE91" s="19"/>
      <c r="AF91" s="19"/>
      <c r="AG91" s="19"/>
      <c r="AH91" s="19"/>
      <c r="AI91" s="19"/>
      <c r="AJ91" s="19"/>
      <c r="AK91" s="19"/>
      <c r="AL91" s="19"/>
      <c r="AM91" s="19"/>
      <c r="AN91" s="19"/>
      <c r="AO91" s="19"/>
      <c r="AP91" s="19"/>
      <c r="AQ91" s="19"/>
      <c r="AR91" s="19"/>
      <c r="AS91" s="27"/>
    </row>
    <row r="92" spans="1:45">
      <c r="A92" s="19">
        <f t="shared" si="1"/>
        <v>91</v>
      </c>
      <c r="B92" s="20">
        <v>45580</v>
      </c>
      <c r="C92" s="19" t="s">
        <v>1101</v>
      </c>
      <c r="D92" s="19" t="s">
        <v>1102</v>
      </c>
      <c r="E92" s="19">
        <v>20245321</v>
      </c>
      <c r="F92" s="19" t="s">
        <v>1337</v>
      </c>
      <c r="G92" s="19">
        <v>9555329730</v>
      </c>
      <c r="H92" s="19" t="s">
        <v>1338</v>
      </c>
      <c r="I92" s="19" t="s">
        <v>123</v>
      </c>
      <c r="J92" s="19" t="s">
        <v>114</v>
      </c>
      <c r="K92" s="19" t="s">
        <v>1105</v>
      </c>
      <c r="L92" s="19" t="s">
        <v>1339</v>
      </c>
      <c r="M92" s="19" t="s">
        <v>1340</v>
      </c>
      <c r="N92" s="19">
        <v>9</v>
      </c>
      <c r="O92" s="19">
        <v>0</v>
      </c>
      <c r="P92" s="19">
        <v>13</v>
      </c>
      <c r="Q92" s="19" t="s">
        <v>1341</v>
      </c>
      <c r="R92" s="19" t="s">
        <v>72</v>
      </c>
      <c r="S92" s="19" t="s">
        <v>1342</v>
      </c>
      <c r="T92" s="19" t="s">
        <v>1336</v>
      </c>
      <c r="U92" s="21"/>
      <c r="V92" s="19"/>
      <c r="W92" s="19" t="s">
        <v>74</v>
      </c>
      <c r="X92" s="19" t="s">
        <v>74</v>
      </c>
      <c r="Y92" s="19" t="s">
        <v>70</v>
      </c>
      <c r="Z92" s="19" t="s">
        <v>68</v>
      </c>
      <c r="AA92" s="4">
        <v>45703</v>
      </c>
      <c r="AB92" s="4">
        <v>45709</v>
      </c>
      <c r="AC92" s="4">
        <v>45709</v>
      </c>
      <c r="AD92" s="19"/>
      <c r="AE92" s="19"/>
      <c r="AF92" s="19"/>
      <c r="AG92" s="19"/>
      <c r="AH92" s="19"/>
      <c r="AI92" s="19"/>
      <c r="AJ92" s="19"/>
      <c r="AK92" s="19"/>
      <c r="AL92" s="19"/>
      <c r="AM92" s="19"/>
      <c r="AN92" s="19"/>
      <c r="AO92" s="19"/>
      <c r="AP92" s="19"/>
      <c r="AQ92" s="19"/>
      <c r="AR92" s="19"/>
      <c r="AS92" s="27"/>
    </row>
    <row r="93" spans="1:45">
      <c r="A93" s="19">
        <f t="shared" si="1"/>
        <v>92</v>
      </c>
      <c r="B93" s="20">
        <v>45580</v>
      </c>
      <c r="C93" s="19" t="s">
        <v>116</v>
      </c>
      <c r="D93" s="19" t="s">
        <v>116</v>
      </c>
      <c r="E93" s="19">
        <v>20243901</v>
      </c>
      <c r="F93" s="19" t="s">
        <v>255</v>
      </c>
      <c r="G93" s="19">
        <v>7030678844</v>
      </c>
      <c r="H93" s="19" t="s">
        <v>257</v>
      </c>
      <c r="I93" s="19" t="s">
        <v>123</v>
      </c>
      <c r="J93" s="19" t="s">
        <v>1343</v>
      </c>
      <c r="K93" s="19" t="s">
        <v>119</v>
      </c>
      <c r="L93" s="19" t="s">
        <v>1344</v>
      </c>
      <c r="M93" s="19" t="s">
        <v>1345</v>
      </c>
      <c r="N93" s="19" t="s">
        <v>1285</v>
      </c>
      <c r="O93" s="19"/>
      <c r="P93" s="19" t="s">
        <v>1346</v>
      </c>
      <c r="Q93" s="19" t="s">
        <v>72</v>
      </c>
      <c r="R93" s="19" t="s">
        <v>72</v>
      </c>
      <c r="S93" s="19" t="s">
        <v>1158</v>
      </c>
      <c r="T93" s="19" t="s">
        <v>858</v>
      </c>
      <c r="U93" s="21">
        <v>45628</v>
      </c>
      <c r="V93" s="19"/>
      <c r="W93" s="19" t="s">
        <v>144</v>
      </c>
      <c r="X93" s="19" t="s">
        <v>144</v>
      </c>
      <c r="Y93" s="19" t="s">
        <v>70</v>
      </c>
      <c r="Z93" s="19" t="s">
        <v>254</v>
      </c>
      <c r="AA93" s="19">
        <v>45703</v>
      </c>
      <c r="AB93" s="4"/>
      <c r="AC93" s="4">
        <v>45709</v>
      </c>
      <c r="AD93" s="19"/>
      <c r="AE93" s="19"/>
      <c r="AF93" s="19"/>
      <c r="AG93" s="19"/>
      <c r="AH93" s="19"/>
      <c r="AI93" s="19"/>
      <c r="AJ93" s="19"/>
      <c r="AK93" s="19"/>
      <c r="AL93" s="19"/>
      <c r="AM93" s="19"/>
      <c r="AN93" s="19"/>
      <c r="AO93" s="19"/>
      <c r="AP93" s="19"/>
      <c r="AQ93" s="19"/>
      <c r="AR93" s="19"/>
      <c r="AS93" s="27"/>
    </row>
    <row r="94" spans="1:45">
      <c r="A94" s="19">
        <f t="shared" si="1"/>
        <v>93</v>
      </c>
      <c r="B94" s="20">
        <v>45586</v>
      </c>
      <c r="C94" s="19" t="s">
        <v>1101</v>
      </c>
      <c r="D94" s="19" t="s">
        <v>1102</v>
      </c>
      <c r="E94" s="19">
        <v>20242803</v>
      </c>
      <c r="F94" s="19" t="s">
        <v>1347</v>
      </c>
      <c r="G94" s="19">
        <v>7276907852</v>
      </c>
      <c r="H94" s="19" t="s">
        <v>1348</v>
      </c>
      <c r="I94" s="19" t="s">
        <v>123</v>
      </c>
      <c r="J94" s="19" t="s">
        <v>109</v>
      </c>
      <c r="K94" s="19" t="s">
        <v>1105</v>
      </c>
      <c r="L94" s="19">
        <v>2.2999999999999998</v>
      </c>
      <c r="M94" s="19" t="s">
        <v>1349</v>
      </c>
      <c r="N94" s="19">
        <v>5.5</v>
      </c>
      <c r="O94" s="19">
        <v>0</v>
      </c>
      <c r="P94" s="19">
        <v>10</v>
      </c>
      <c r="Q94" s="19" t="s">
        <v>1350</v>
      </c>
      <c r="R94" s="19" t="s">
        <v>72</v>
      </c>
      <c r="S94" s="19" t="s">
        <v>1351</v>
      </c>
      <c r="T94" s="19" t="s">
        <v>1352</v>
      </c>
      <c r="U94" s="21"/>
      <c r="V94" s="19"/>
      <c r="W94" s="19" t="s">
        <v>74</v>
      </c>
      <c r="X94" s="19" t="s">
        <v>74</v>
      </c>
      <c r="Y94" s="19" t="s">
        <v>70</v>
      </c>
      <c r="Z94" s="19" t="s">
        <v>68</v>
      </c>
      <c r="AA94" s="4">
        <v>45703</v>
      </c>
      <c r="AB94" s="4">
        <v>45705</v>
      </c>
      <c r="AC94" s="4">
        <v>45709</v>
      </c>
      <c r="AD94" s="19"/>
      <c r="AE94" s="19"/>
      <c r="AF94" s="19"/>
      <c r="AG94" s="19"/>
      <c r="AH94" s="19"/>
      <c r="AI94" s="19"/>
      <c r="AJ94" s="19"/>
      <c r="AK94" s="19"/>
      <c r="AL94" s="19"/>
      <c r="AM94" s="19"/>
      <c r="AN94" s="19"/>
      <c r="AO94" s="19"/>
      <c r="AP94" s="19"/>
      <c r="AQ94" s="19"/>
      <c r="AR94" s="19"/>
      <c r="AS94" s="27"/>
    </row>
    <row r="95" spans="1:45">
      <c r="A95" s="19">
        <f t="shared" si="1"/>
        <v>94</v>
      </c>
      <c r="B95" s="20">
        <v>45586</v>
      </c>
      <c r="C95" s="19" t="s">
        <v>1101</v>
      </c>
      <c r="D95" s="19" t="s">
        <v>1102</v>
      </c>
      <c r="E95" s="19">
        <v>20242803</v>
      </c>
      <c r="F95" s="19" t="s">
        <v>1353</v>
      </c>
      <c r="G95" s="19">
        <v>7972593174</v>
      </c>
      <c r="H95" s="19" t="s">
        <v>1354</v>
      </c>
      <c r="I95" s="19" t="s">
        <v>86</v>
      </c>
      <c r="J95" s="19" t="s">
        <v>109</v>
      </c>
      <c r="K95" s="19" t="s">
        <v>1105</v>
      </c>
      <c r="L95" s="19">
        <v>3.5</v>
      </c>
      <c r="M95" s="19" t="s">
        <v>1355</v>
      </c>
      <c r="N95" s="19">
        <v>7.8</v>
      </c>
      <c r="O95" s="19">
        <v>0</v>
      </c>
      <c r="P95" s="19" t="s">
        <v>1356</v>
      </c>
      <c r="Q95" s="19" t="s">
        <v>1127</v>
      </c>
      <c r="R95" s="19" t="s">
        <v>72</v>
      </c>
      <c r="S95" s="19" t="s">
        <v>1357</v>
      </c>
      <c r="T95" s="19" t="s">
        <v>1358</v>
      </c>
      <c r="U95" s="21"/>
      <c r="V95" s="19"/>
      <c r="W95" s="19" t="s">
        <v>74</v>
      </c>
      <c r="X95" s="19" t="s">
        <v>74</v>
      </c>
      <c r="Y95" s="19" t="s">
        <v>70</v>
      </c>
      <c r="Z95" s="19" t="s">
        <v>68</v>
      </c>
      <c r="AA95" s="4">
        <v>45703</v>
      </c>
      <c r="AB95" s="4">
        <v>45706</v>
      </c>
      <c r="AC95" s="4">
        <v>45706</v>
      </c>
      <c r="AD95" s="19"/>
      <c r="AE95" s="19"/>
      <c r="AF95" s="19"/>
      <c r="AG95" s="19"/>
      <c r="AH95" s="19"/>
      <c r="AI95" s="19"/>
      <c r="AJ95" s="19"/>
      <c r="AK95" s="19"/>
      <c r="AL95" s="19"/>
      <c r="AM95" s="19"/>
      <c r="AN95" s="19"/>
      <c r="AO95" s="19"/>
      <c r="AP95" s="19"/>
      <c r="AQ95" s="19"/>
      <c r="AR95" s="19"/>
      <c r="AS95" s="27"/>
    </row>
    <row r="96" spans="1:45">
      <c r="A96" s="19">
        <f t="shared" si="1"/>
        <v>95</v>
      </c>
      <c r="B96" s="20">
        <v>45586</v>
      </c>
      <c r="C96" s="19" t="s">
        <v>1101</v>
      </c>
      <c r="D96" s="19" t="s">
        <v>1102</v>
      </c>
      <c r="E96" s="19">
        <v>20242803</v>
      </c>
      <c r="F96" s="19" t="s">
        <v>1359</v>
      </c>
      <c r="G96" s="19">
        <v>918530000000</v>
      </c>
      <c r="H96" s="19" t="s">
        <v>1360</v>
      </c>
      <c r="I96" s="19" t="s">
        <v>86</v>
      </c>
      <c r="J96" s="19" t="s">
        <v>109</v>
      </c>
      <c r="K96" s="19" t="s">
        <v>1105</v>
      </c>
      <c r="L96" s="19">
        <v>2.8</v>
      </c>
      <c r="M96" s="19" t="s">
        <v>1361</v>
      </c>
      <c r="N96" s="19">
        <v>4.8</v>
      </c>
      <c r="O96" s="19">
        <v>0</v>
      </c>
      <c r="P96" s="19">
        <v>9</v>
      </c>
      <c r="Q96" s="19" t="s">
        <v>1362</v>
      </c>
      <c r="R96" s="19" t="s">
        <v>72</v>
      </c>
      <c r="S96" s="19" t="s">
        <v>1363</v>
      </c>
      <c r="T96" s="19" t="s">
        <v>1057</v>
      </c>
      <c r="U96" s="21"/>
      <c r="V96" s="19"/>
      <c r="W96" s="19" t="s">
        <v>74</v>
      </c>
      <c r="X96" s="19" t="s">
        <v>74</v>
      </c>
      <c r="Y96" s="19" t="s">
        <v>70</v>
      </c>
      <c r="Z96" s="19" t="s">
        <v>68</v>
      </c>
      <c r="AA96" s="4">
        <v>45703</v>
      </c>
      <c r="AB96" s="4">
        <v>45707</v>
      </c>
      <c r="AC96" s="4">
        <v>45707</v>
      </c>
      <c r="AD96" s="19"/>
      <c r="AE96" s="19"/>
      <c r="AF96" s="19"/>
      <c r="AG96" s="19"/>
      <c r="AH96" s="19"/>
      <c r="AI96" s="19"/>
      <c r="AJ96" s="19"/>
      <c r="AK96" s="19"/>
      <c r="AL96" s="19"/>
      <c r="AM96" s="19"/>
      <c r="AN96" s="19"/>
      <c r="AO96" s="19"/>
      <c r="AP96" s="19"/>
      <c r="AQ96" s="19"/>
      <c r="AR96" s="19"/>
      <c r="AS96" s="27"/>
    </row>
    <row r="97" spans="1:45">
      <c r="A97" s="19">
        <f t="shared" si="1"/>
        <v>96</v>
      </c>
      <c r="B97" s="20">
        <v>45586</v>
      </c>
      <c r="C97" s="19" t="s">
        <v>1101</v>
      </c>
      <c r="D97" s="19" t="s">
        <v>1102</v>
      </c>
      <c r="E97" s="19">
        <v>20242803</v>
      </c>
      <c r="F97" s="19" t="s">
        <v>1364</v>
      </c>
      <c r="G97" s="19">
        <v>7755918360</v>
      </c>
      <c r="H97" s="19" t="s">
        <v>1365</v>
      </c>
      <c r="I97" s="19" t="s">
        <v>86</v>
      </c>
      <c r="J97" s="19" t="s">
        <v>109</v>
      </c>
      <c r="K97" s="19" t="s">
        <v>1105</v>
      </c>
      <c r="L97" s="19" t="s">
        <v>1366</v>
      </c>
      <c r="M97" s="19" t="s">
        <v>1367</v>
      </c>
      <c r="N97" s="19">
        <v>4.7</v>
      </c>
      <c r="O97" s="19">
        <v>0</v>
      </c>
      <c r="P97" s="19">
        <v>10</v>
      </c>
      <c r="Q97" s="19" t="s">
        <v>1170</v>
      </c>
      <c r="R97" s="19" t="s">
        <v>72</v>
      </c>
      <c r="S97" s="19" t="s">
        <v>1368</v>
      </c>
      <c r="T97" s="19" t="s">
        <v>1352</v>
      </c>
      <c r="U97" s="21"/>
      <c r="V97" s="19"/>
      <c r="W97" s="19" t="s">
        <v>74</v>
      </c>
      <c r="X97" s="19" t="s">
        <v>74</v>
      </c>
      <c r="Y97" s="19" t="s">
        <v>70</v>
      </c>
      <c r="Z97" s="19" t="s">
        <v>68</v>
      </c>
      <c r="AA97" s="4">
        <v>45707</v>
      </c>
      <c r="AB97" s="4">
        <v>45708</v>
      </c>
      <c r="AC97" s="4">
        <v>45708</v>
      </c>
      <c r="AD97" s="19"/>
      <c r="AE97" s="19"/>
      <c r="AF97" s="19"/>
      <c r="AG97" s="19"/>
      <c r="AH97" s="19"/>
      <c r="AI97" s="19"/>
      <c r="AJ97" s="19"/>
      <c r="AK97" s="19"/>
      <c r="AL97" s="19"/>
      <c r="AM97" s="19"/>
      <c r="AN97" s="19"/>
      <c r="AO97" s="19"/>
      <c r="AP97" s="19"/>
      <c r="AQ97" s="19"/>
      <c r="AR97" s="19"/>
      <c r="AS97" s="27"/>
    </row>
    <row r="98" spans="1:45">
      <c r="A98" s="19">
        <f t="shared" si="1"/>
        <v>97</v>
      </c>
      <c r="B98" s="20">
        <v>45587</v>
      </c>
      <c r="C98" s="19" t="s">
        <v>116</v>
      </c>
      <c r="D98" s="19" t="s">
        <v>116</v>
      </c>
      <c r="E98" s="19">
        <v>20248963</v>
      </c>
      <c r="F98" s="19" t="s">
        <v>1369</v>
      </c>
      <c r="G98" s="19" t="s">
        <v>1370</v>
      </c>
      <c r="H98" s="19" t="s">
        <v>1371</v>
      </c>
      <c r="I98" s="19" t="s">
        <v>86</v>
      </c>
      <c r="J98" s="19" t="s">
        <v>141</v>
      </c>
      <c r="K98" s="19" t="s">
        <v>217</v>
      </c>
      <c r="L98" s="19" t="s">
        <v>1372</v>
      </c>
      <c r="M98" s="19" t="s">
        <v>1373</v>
      </c>
      <c r="N98" s="19" t="s">
        <v>1374</v>
      </c>
      <c r="O98" s="19"/>
      <c r="P98" s="19" t="s">
        <v>1375</v>
      </c>
      <c r="Q98" s="19" t="s">
        <v>72</v>
      </c>
      <c r="R98" s="19" t="s">
        <v>72</v>
      </c>
      <c r="S98" s="19" t="s">
        <v>1092</v>
      </c>
      <c r="T98" s="19" t="s">
        <v>858</v>
      </c>
      <c r="U98" s="21">
        <v>45642</v>
      </c>
      <c r="V98" s="19"/>
      <c r="W98" s="19" t="s">
        <v>144</v>
      </c>
      <c r="X98" s="19" t="s">
        <v>144</v>
      </c>
      <c r="Y98" s="19" t="s">
        <v>70</v>
      </c>
      <c r="Z98" s="19" t="s">
        <v>68</v>
      </c>
      <c r="AA98" s="19">
        <v>45714</v>
      </c>
      <c r="AB98" s="4"/>
      <c r="AC98" s="4">
        <v>45709</v>
      </c>
      <c r="AD98" s="19"/>
      <c r="AE98" s="19"/>
      <c r="AF98" s="19"/>
      <c r="AG98" s="19"/>
      <c r="AH98" s="19"/>
      <c r="AI98" s="19"/>
      <c r="AJ98" s="19"/>
      <c r="AK98" s="19"/>
      <c r="AL98" s="19"/>
      <c r="AM98" s="19"/>
      <c r="AN98" s="19"/>
      <c r="AO98" s="19"/>
      <c r="AP98" s="19"/>
      <c r="AQ98" s="19"/>
      <c r="AR98" s="19"/>
      <c r="AS98" s="27"/>
    </row>
    <row r="99" spans="1:45">
      <c r="A99" s="19">
        <f t="shared" si="1"/>
        <v>98</v>
      </c>
      <c r="B99" s="20">
        <v>45600</v>
      </c>
      <c r="C99" s="19" t="s">
        <v>116</v>
      </c>
      <c r="D99" s="19" t="s">
        <v>116</v>
      </c>
      <c r="E99" s="19" t="s">
        <v>634</v>
      </c>
      <c r="F99" s="19" t="s">
        <v>758</v>
      </c>
      <c r="G99" s="19">
        <v>9766899143</v>
      </c>
      <c r="H99" s="19" t="s">
        <v>1376</v>
      </c>
      <c r="I99" s="19" t="s">
        <v>86</v>
      </c>
      <c r="J99" s="19" t="s">
        <v>756</v>
      </c>
      <c r="K99" s="19" t="s">
        <v>228</v>
      </c>
      <c r="L99" s="19"/>
      <c r="M99" s="19"/>
      <c r="N99" s="19"/>
      <c r="O99" s="19"/>
      <c r="P99" s="19">
        <v>800000</v>
      </c>
      <c r="Q99" s="19" t="e" vm="1">
        <v>#VALUE!</v>
      </c>
      <c r="R99" s="19" t="s">
        <v>72</v>
      </c>
      <c r="S99" s="19"/>
      <c r="T99" s="19"/>
      <c r="U99" s="21">
        <v>45628</v>
      </c>
      <c r="V99" s="19"/>
      <c r="W99" s="19" t="s">
        <v>245</v>
      </c>
      <c r="X99" s="19" t="s">
        <v>245</v>
      </c>
      <c r="Y99" s="19"/>
      <c r="Z99" s="19" t="s">
        <v>111</v>
      </c>
      <c r="AA99" s="19">
        <v>45714</v>
      </c>
      <c r="AB99" s="4"/>
      <c r="AC99" s="4"/>
      <c r="AD99" s="19"/>
      <c r="AE99" s="19"/>
      <c r="AF99" s="19"/>
      <c r="AG99" s="19"/>
      <c r="AH99" s="19"/>
      <c r="AI99" s="19"/>
      <c r="AJ99" s="19"/>
      <c r="AK99" s="19"/>
      <c r="AL99" s="19"/>
      <c r="AM99" s="19"/>
      <c r="AN99" s="19"/>
      <c r="AO99" s="19"/>
      <c r="AP99" s="19"/>
      <c r="AQ99" s="19"/>
      <c r="AR99" s="19"/>
      <c r="AS99" s="27"/>
    </row>
    <row r="100" spans="1:45">
      <c r="A100" s="19">
        <f t="shared" si="1"/>
        <v>99</v>
      </c>
      <c r="B100" s="20">
        <v>45607</v>
      </c>
      <c r="C100" s="19" t="s">
        <v>1101</v>
      </c>
      <c r="D100" s="19" t="s">
        <v>1102</v>
      </c>
      <c r="E100" s="19">
        <v>20242803</v>
      </c>
      <c r="F100" s="19" t="s">
        <v>1377</v>
      </c>
      <c r="G100" s="19">
        <v>7499820906</v>
      </c>
      <c r="H100" s="19" t="s">
        <v>1378</v>
      </c>
      <c r="I100" s="19" t="s">
        <v>86</v>
      </c>
      <c r="J100" s="19" t="s">
        <v>109</v>
      </c>
      <c r="K100" s="19" t="s">
        <v>1105</v>
      </c>
      <c r="L100" s="19">
        <v>3.4</v>
      </c>
      <c r="M100" s="19" t="s">
        <v>1379</v>
      </c>
      <c r="N100" s="19">
        <v>6</v>
      </c>
      <c r="O100" s="19">
        <v>0</v>
      </c>
      <c r="P100" s="19">
        <v>9</v>
      </c>
      <c r="Q100" s="19" t="s">
        <v>1380</v>
      </c>
      <c r="R100" s="19" t="s">
        <v>72</v>
      </c>
      <c r="S100" s="19" t="s">
        <v>1121</v>
      </c>
      <c r="T100" s="19" t="s">
        <v>1057</v>
      </c>
      <c r="U100" s="21"/>
      <c r="V100" s="19"/>
      <c r="W100" s="19" t="s">
        <v>74</v>
      </c>
      <c r="X100" s="19" t="s">
        <v>74</v>
      </c>
      <c r="Y100" s="19" t="s">
        <v>70</v>
      </c>
      <c r="Z100" s="19" t="s">
        <v>68</v>
      </c>
      <c r="AA100" s="4">
        <v>45714</v>
      </c>
      <c r="AB100" s="4">
        <v>45709</v>
      </c>
      <c r="AC100" s="4">
        <v>45709</v>
      </c>
      <c r="AD100" s="19"/>
      <c r="AE100" s="19"/>
      <c r="AF100" s="19"/>
      <c r="AG100" s="19"/>
      <c r="AH100" s="19"/>
      <c r="AI100" s="19"/>
      <c r="AJ100" s="19"/>
      <c r="AK100" s="19"/>
      <c r="AL100" s="19"/>
      <c r="AM100" s="19"/>
      <c r="AN100" s="19"/>
      <c r="AO100" s="19"/>
      <c r="AP100" s="19"/>
      <c r="AQ100" s="19"/>
      <c r="AR100" s="19"/>
      <c r="AS100" s="27"/>
    </row>
    <row r="101" spans="1:45">
      <c r="A101" s="19">
        <f t="shared" si="1"/>
        <v>100</v>
      </c>
      <c r="B101" s="20">
        <v>45607</v>
      </c>
      <c r="C101" s="19" t="s">
        <v>1101</v>
      </c>
      <c r="D101" s="19" t="s">
        <v>1102</v>
      </c>
      <c r="E101" s="19">
        <v>20242803</v>
      </c>
      <c r="F101" s="19" t="s">
        <v>1381</v>
      </c>
      <c r="G101" s="19">
        <v>8983557456</v>
      </c>
      <c r="H101" s="19" t="s">
        <v>1382</v>
      </c>
      <c r="I101" s="19" t="s">
        <v>123</v>
      </c>
      <c r="J101" s="19" t="s">
        <v>109</v>
      </c>
      <c r="K101" s="19" t="s">
        <v>1105</v>
      </c>
      <c r="L101" s="19">
        <v>3</v>
      </c>
      <c r="M101" s="19" t="s">
        <v>1294</v>
      </c>
      <c r="N101" s="19">
        <v>4</v>
      </c>
      <c r="O101" s="19">
        <v>0</v>
      </c>
      <c r="P101" s="19" t="s">
        <v>1383</v>
      </c>
      <c r="Q101" s="19" t="s">
        <v>1317</v>
      </c>
      <c r="R101" s="19" t="s">
        <v>72</v>
      </c>
      <c r="S101" s="19" t="s">
        <v>1384</v>
      </c>
      <c r="T101" s="19" t="s">
        <v>1385</v>
      </c>
      <c r="U101" s="21"/>
      <c r="V101" s="19"/>
      <c r="W101" s="19" t="s">
        <v>74</v>
      </c>
      <c r="X101" s="19" t="s">
        <v>74</v>
      </c>
      <c r="Y101" s="19" t="s">
        <v>70</v>
      </c>
      <c r="Z101" s="19" t="s">
        <v>68</v>
      </c>
      <c r="AA101" s="4">
        <v>45714</v>
      </c>
      <c r="AB101" s="4">
        <v>45715</v>
      </c>
      <c r="AC101" s="4">
        <v>45715</v>
      </c>
      <c r="AD101" s="19"/>
      <c r="AE101" s="19"/>
      <c r="AF101" s="19"/>
      <c r="AG101" s="19"/>
      <c r="AH101" s="19"/>
      <c r="AI101" s="19"/>
      <c r="AJ101" s="19"/>
      <c r="AK101" s="19"/>
      <c r="AL101" s="19"/>
      <c r="AM101" s="19"/>
      <c r="AN101" s="19"/>
      <c r="AO101" s="19"/>
      <c r="AP101" s="19"/>
      <c r="AQ101" s="19"/>
      <c r="AR101" s="19"/>
      <c r="AS101" s="27"/>
    </row>
    <row r="102" spans="1:45">
      <c r="A102" s="19">
        <f t="shared" si="1"/>
        <v>101</v>
      </c>
      <c r="B102" s="20">
        <v>45607</v>
      </c>
      <c r="C102" s="19" t="s">
        <v>1101</v>
      </c>
      <c r="D102" s="19" t="s">
        <v>1102</v>
      </c>
      <c r="E102" s="19">
        <v>20242803</v>
      </c>
      <c r="F102" s="19" t="s">
        <v>1386</v>
      </c>
      <c r="G102" s="19">
        <v>8669422630</v>
      </c>
      <c r="H102" s="19" t="s">
        <v>1387</v>
      </c>
      <c r="I102" s="19" t="s">
        <v>86</v>
      </c>
      <c r="J102" s="19" t="s">
        <v>109</v>
      </c>
      <c r="K102" s="19" t="s">
        <v>1105</v>
      </c>
      <c r="L102" s="19">
        <v>2</v>
      </c>
      <c r="M102" s="19" t="s">
        <v>1388</v>
      </c>
      <c r="N102" s="19">
        <v>7</v>
      </c>
      <c r="O102" s="19">
        <v>0</v>
      </c>
      <c r="P102" s="19">
        <v>10</v>
      </c>
      <c r="Q102" s="19" t="s">
        <v>72</v>
      </c>
      <c r="R102" s="19" t="s">
        <v>72</v>
      </c>
      <c r="S102" s="19" t="s">
        <v>1164</v>
      </c>
      <c r="T102" s="19" t="s">
        <v>1057</v>
      </c>
      <c r="U102" s="21"/>
      <c r="V102" s="19"/>
      <c r="W102" s="19" t="s">
        <v>74</v>
      </c>
      <c r="X102" s="19" t="s">
        <v>74</v>
      </c>
      <c r="Y102" s="19" t="s">
        <v>70</v>
      </c>
      <c r="Z102" s="19" t="s">
        <v>68</v>
      </c>
      <c r="AA102" s="4">
        <v>45714</v>
      </c>
      <c r="AB102" s="4">
        <v>45716</v>
      </c>
      <c r="AC102" s="4">
        <v>45716</v>
      </c>
      <c r="AD102" s="19"/>
      <c r="AE102" s="19"/>
      <c r="AF102" s="19"/>
      <c r="AG102" s="19"/>
      <c r="AH102" s="19"/>
      <c r="AI102" s="19"/>
      <c r="AJ102" s="19"/>
      <c r="AK102" s="19"/>
      <c r="AL102" s="19"/>
      <c r="AM102" s="19"/>
      <c r="AN102" s="19"/>
      <c r="AO102" s="19"/>
      <c r="AP102" s="19"/>
      <c r="AQ102" s="19"/>
      <c r="AR102" s="19"/>
      <c r="AS102" s="27"/>
    </row>
    <row r="103" spans="1:45">
      <c r="A103" s="19">
        <f t="shared" si="1"/>
        <v>102</v>
      </c>
      <c r="B103" s="20">
        <v>45607</v>
      </c>
      <c r="C103" s="19" t="s">
        <v>1101</v>
      </c>
      <c r="D103" s="19" t="s">
        <v>1102</v>
      </c>
      <c r="E103" s="19">
        <v>20242803</v>
      </c>
      <c r="F103" s="19" t="s">
        <v>1389</v>
      </c>
      <c r="G103" s="19">
        <v>9503497103</v>
      </c>
      <c r="H103" s="19" t="s">
        <v>1390</v>
      </c>
      <c r="I103" s="19" t="s">
        <v>123</v>
      </c>
      <c r="J103" s="19" t="s">
        <v>109</v>
      </c>
      <c r="K103" s="19" t="s">
        <v>1105</v>
      </c>
      <c r="L103" s="19">
        <v>2.2999999999999998</v>
      </c>
      <c r="M103" s="19" t="s">
        <v>1391</v>
      </c>
      <c r="N103" s="19">
        <v>5.6</v>
      </c>
      <c r="O103" s="19">
        <v>0</v>
      </c>
      <c r="P103" s="19">
        <v>8.5</v>
      </c>
      <c r="Q103" s="19" t="s">
        <v>1392</v>
      </c>
      <c r="R103" s="19" t="s">
        <v>72</v>
      </c>
      <c r="S103" s="19" t="s">
        <v>1363</v>
      </c>
      <c r="T103" s="19" t="s">
        <v>1057</v>
      </c>
      <c r="U103" s="21"/>
      <c r="V103" s="19"/>
      <c r="W103" s="19" t="s">
        <v>74</v>
      </c>
      <c r="X103" s="19" t="s">
        <v>74</v>
      </c>
      <c r="Y103" s="19" t="s">
        <v>70</v>
      </c>
      <c r="Z103" s="19" t="s">
        <v>68</v>
      </c>
      <c r="AA103" s="4">
        <v>45714</v>
      </c>
      <c r="AB103" s="4">
        <v>45719</v>
      </c>
      <c r="AC103" s="4">
        <v>45719</v>
      </c>
      <c r="AD103" s="19"/>
      <c r="AE103" s="19"/>
      <c r="AF103" s="19"/>
      <c r="AG103" s="19"/>
      <c r="AH103" s="19"/>
      <c r="AI103" s="19"/>
      <c r="AJ103" s="19"/>
      <c r="AK103" s="19"/>
      <c r="AL103" s="19"/>
      <c r="AM103" s="19"/>
      <c r="AN103" s="19"/>
      <c r="AO103" s="19"/>
      <c r="AP103" s="19"/>
      <c r="AQ103" s="19"/>
      <c r="AR103" s="19"/>
      <c r="AS103" s="27"/>
    </row>
    <row r="104" spans="1:45">
      <c r="A104" s="19">
        <f t="shared" si="1"/>
        <v>103</v>
      </c>
      <c r="B104" s="20">
        <v>45610</v>
      </c>
      <c r="C104" s="19" t="s">
        <v>116</v>
      </c>
      <c r="D104" s="19" t="s">
        <v>116</v>
      </c>
      <c r="E104" s="19">
        <v>20245964</v>
      </c>
      <c r="F104" s="19" t="s">
        <v>270</v>
      </c>
      <c r="G104" s="19">
        <v>9975965098</v>
      </c>
      <c r="H104" s="19" t="s">
        <v>272</v>
      </c>
      <c r="I104" s="19" t="s">
        <v>123</v>
      </c>
      <c r="J104" s="19" t="s">
        <v>266</v>
      </c>
      <c r="K104" s="19" t="s">
        <v>269</v>
      </c>
      <c r="L104" s="19" t="s">
        <v>1393</v>
      </c>
      <c r="M104" s="19" t="s">
        <v>1394</v>
      </c>
      <c r="N104" s="19" t="s">
        <v>1243</v>
      </c>
      <c r="O104" s="19"/>
      <c r="P104" s="19" t="s">
        <v>1395</v>
      </c>
      <c r="Q104" s="19" t="s">
        <v>72</v>
      </c>
      <c r="R104" s="19" t="s">
        <v>72</v>
      </c>
      <c r="S104" s="19" t="s">
        <v>1396</v>
      </c>
      <c r="T104" s="19" t="s">
        <v>858</v>
      </c>
      <c r="U104" s="21">
        <v>45684</v>
      </c>
      <c r="V104" s="19"/>
      <c r="W104" s="19" t="s">
        <v>144</v>
      </c>
      <c r="X104" s="19" t="s">
        <v>144</v>
      </c>
      <c r="Y104" s="19" t="s">
        <v>94</v>
      </c>
      <c r="Z104" s="19" t="s">
        <v>68</v>
      </c>
      <c r="AA104" s="19">
        <v>45714</v>
      </c>
      <c r="AB104" s="4">
        <v>45714</v>
      </c>
      <c r="AC104" s="4">
        <v>45720</v>
      </c>
      <c r="AD104" s="19"/>
      <c r="AE104" s="19"/>
      <c r="AF104" s="19"/>
      <c r="AG104" s="19"/>
      <c r="AH104" s="19"/>
      <c r="AI104" s="19"/>
      <c r="AJ104" s="19"/>
      <c r="AK104" s="19"/>
      <c r="AL104" s="19"/>
      <c r="AM104" s="19"/>
      <c r="AN104" s="19"/>
      <c r="AO104" s="19"/>
      <c r="AP104" s="19"/>
      <c r="AQ104" s="19"/>
      <c r="AR104" s="19"/>
      <c r="AS104" s="27"/>
    </row>
    <row r="105" spans="1:45">
      <c r="A105" s="19">
        <f t="shared" si="1"/>
        <v>104</v>
      </c>
      <c r="B105" s="20">
        <v>45615</v>
      </c>
      <c r="C105" s="19" t="s">
        <v>1101</v>
      </c>
      <c r="D105" s="19" t="s">
        <v>974</v>
      </c>
      <c r="E105" s="19">
        <v>20242803</v>
      </c>
      <c r="F105" s="19" t="s">
        <v>1397</v>
      </c>
      <c r="G105" s="19">
        <v>7057627488</v>
      </c>
      <c r="H105" s="19" t="s">
        <v>1398</v>
      </c>
      <c r="I105" s="19" t="s">
        <v>123</v>
      </c>
      <c r="J105" s="19" t="s">
        <v>109</v>
      </c>
      <c r="K105" s="19" t="s">
        <v>1105</v>
      </c>
      <c r="L105" s="19">
        <v>3.5</v>
      </c>
      <c r="M105" s="19" t="s">
        <v>1294</v>
      </c>
      <c r="N105" s="19">
        <v>8.5</v>
      </c>
      <c r="O105" s="19">
        <v>0</v>
      </c>
      <c r="P105" s="19">
        <v>13</v>
      </c>
      <c r="Q105" s="19" t="s">
        <v>1399</v>
      </c>
      <c r="R105" s="19" t="s">
        <v>72</v>
      </c>
      <c r="S105" s="19" t="s">
        <v>1400</v>
      </c>
      <c r="T105" s="19" t="s">
        <v>1057</v>
      </c>
      <c r="U105" s="21"/>
      <c r="V105" s="19"/>
      <c r="W105" s="19" t="s">
        <v>74</v>
      </c>
      <c r="X105" s="19" t="s">
        <v>74</v>
      </c>
      <c r="Y105" s="19" t="s">
        <v>70</v>
      </c>
      <c r="Z105" s="19" t="s">
        <v>68</v>
      </c>
      <c r="AA105" s="4">
        <v>45714</v>
      </c>
      <c r="AB105" s="4">
        <v>45719</v>
      </c>
      <c r="AC105" s="4">
        <v>45719</v>
      </c>
      <c r="AD105" s="19"/>
      <c r="AE105" s="19"/>
      <c r="AF105" s="19"/>
      <c r="AG105" s="19"/>
      <c r="AH105" s="19"/>
      <c r="AI105" s="19"/>
      <c r="AJ105" s="19"/>
      <c r="AK105" s="19"/>
      <c r="AL105" s="19"/>
      <c r="AM105" s="19"/>
      <c r="AN105" s="19"/>
      <c r="AO105" s="19"/>
      <c r="AP105" s="19"/>
      <c r="AQ105" s="19"/>
      <c r="AR105" s="19"/>
      <c r="AS105" s="27"/>
    </row>
    <row r="106" spans="1:45">
      <c r="A106" s="19">
        <f t="shared" si="1"/>
        <v>105</v>
      </c>
      <c r="B106" s="20">
        <v>45615</v>
      </c>
      <c r="C106" s="19" t="s">
        <v>1101</v>
      </c>
      <c r="D106" s="19" t="s">
        <v>1102</v>
      </c>
      <c r="E106" s="19">
        <v>20242803</v>
      </c>
      <c r="F106" s="19" t="s">
        <v>1401</v>
      </c>
      <c r="G106" s="19">
        <v>8823894525</v>
      </c>
      <c r="H106" s="19" t="s">
        <v>1402</v>
      </c>
      <c r="I106" s="19" t="s">
        <v>86</v>
      </c>
      <c r="J106" s="19" t="s">
        <v>109</v>
      </c>
      <c r="K106" s="19" t="s">
        <v>1105</v>
      </c>
      <c r="L106" s="19">
        <v>3</v>
      </c>
      <c r="M106" s="19" t="s">
        <v>1132</v>
      </c>
      <c r="N106" s="19">
        <v>7</v>
      </c>
      <c r="O106" s="19">
        <v>0</v>
      </c>
      <c r="P106" s="19" t="s">
        <v>1403</v>
      </c>
      <c r="Q106" s="19" t="s">
        <v>1404</v>
      </c>
      <c r="R106" s="19" t="s">
        <v>72</v>
      </c>
      <c r="S106" s="19" t="s">
        <v>1405</v>
      </c>
      <c r="T106" s="19" t="s">
        <v>1057</v>
      </c>
      <c r="U106" s="21"/>
      <c r="V106" s="19"/>
      <c r="W106" s="19" t="s">
        <v>74</v>
      </c>
      <c r="X106" s="19" t="s">
        <v>74</v>
      </c>
      <c r="Y106" s="19" t="s">
        <v>70</v>
      </c>
      <c r="Z106" s="19" t="s">
        <v>68</v>
      </c>
      <c r="AA106" s="4">
        <v>45714</v>
      </c>
      <c r="AB106" s="4">
        <v>45932</v>
      </c>
      <c r="AC106" s="4">
        <v>45720</v>
      </c>
      <c r="AD106" s="19"/>
      <c r="AE106" s="19"/>
      <c r="AF106" s="19"/>
      <c r="AG106" s="19"/>
      <c r="AH106" s="19"/>
      <c r="AI106" s="19"/>
      <c r="AJ106" s="19"/>
      <c r="AK106" s="19"/>
      <c r="AL106" s="19"/>
      <c r="AM106" s="19"/>
      <c r="AN106" s="19"/>
      <c r="AO106" s="19"/>
      <c r="AP106" s="19"/>
      <c r="AQ106" s="19"/>
      <c r="AR106" s="19"/>
      <c r="AS106" s="27"/>
    </row>
    <row r="107" spans="1:45">
      <c r="A107" s="19">
        <f t="shared" si="1"/>
        <v>106</v>
      </c>
      <c r="B107" s="20">
        <v>45615</v>
      </c>
      <c r="C107" s="19" t="s">
        <v>1101</v>
      </c>
      <c r="D107" s="19" t="s">
        <v>1102</v>
      </c>
      <c r="E107" s="19">
        <v>20242803</v>
      </c>
      <c r="F107" s="19" t="s">
        <v>1406</v>
      </c>
      <c r="G107" s="19">
        <v>9621678367</v>
      </c>
      <c r="H107" s="19" t="s">
        <v>1407</v>
      </c>
      <c r="I107" s="19" t="s">
        <v>123</v>
      </c>
      <c r="J107" s="19" t="s">
        <v>109</v>
      </c>
      <c r="K107" s="19" t="s">
        <v>1105</v>
      </c>
      <c r="L107" s="19">
        <v>3.4</v>
      </c>
      <c r="M107" s="19" t="s">
        <v>1294</v>
      </c>
      <c r="N107" s="19">
        <v>10.35</v>
      </c>
      <c r="O107" s="19">
        <v>0</v>
      </c>
      <c r="P107" s="19">
        <v>18</v>
      </c>
      <c r="Q107" s="19" t="s">
        <v>1408</v>
      </c>
      <c r="R107" s="19" t="s">
        <v>72</v>
      </c>
      <c r="S107" s="19" t="s">
        <v>1409</v>
      </c>
      <c r="T107" s="19" t="s">
        <v>1057</v>
      </c>
      <c r="U107" s="21"/>
      <c r="V107" s="19"/>
      <c r="W107" s="19" t="s">
        <v>74</v>
      </c>
      <c r="X107" s="19" t="s">
        <v>74</v>
      </c>
      <c r="Y107" s="19" t="s">
        <v>70</v>
      </c>
      <c r="Z107" s="19" t="s">
        <v>68</v>
      </c>
      <c r="AA107" s="4">
        <v>45993</v>
      </c>
      <c r="AB107" s="4">
        <v>45995</v>
      </c>
      <c r="AC107" s="4">
        <v>45995</v>
      </c>
      <c r="AD107" s="19"/>
      <c r="AE107" s="19"/>
      <c r="AF107" s="19"/>
      <c r="AG107" s="19"/>
      <c r="AH107" s="19"/>
      <c r="AI107" s="19"/>
      <c r="AJ107" s="19"/>
      <c r="AK107" s="19"/>
      <c r="AL107" s="19"/>
      <c r="AM107" s="19"/>
      <c r="AN107" s="19"/>
      <c r="AO107" s="19"/>
      <c r="AP107" s="19"/>
      <c r="AQ107" s="19"/>
      <c r="AR107" s="19"/>
      <c r="AS107" s="27"/>
    </row>
    <row r="108" spans="1:45">
      <c r="A108" s="19">
        <f t="shared" si="1"/>
        <v>107</v>
      </c>
      <c r="B108" s="20">
        <v>45615</v>
      </c>
      <c r="C108" s="19" t="s">
        <v>1101</v>
      </c>
      <c r="D108" s="19" t="s">
        <v>1102</v>
      </c>
      <c r="E108" s="19">
        <v>20245321</v>
      </c>
      <c r="F108" s="19" t="s">
        <v>1410</v>
      </c>
      <c r="G108" s="19">
        <v>8340380177</v>
      </c>
      <c r="H108" s="19" t="s">
        <v>1411</v>
      </c>
      <c r="I108" s="19" t="s">
        <v>123</v>
      </c>
      <c r="J108" s="19" t="s">
        <v>114</v>
      </c>
      <c r="K108" s="19" t="s">
        <v>1105</v>
      </c>
      <c r="L108" s="19">
        <v>5</v>
      </c>
      <c r="M108" s="19" t="s">
        <v>1412</v>
      </c>
      <c r="N108" s="19">
        <v>6</v>
      </c>
      <c r="O108" s="19">
        <v>0</v>
      </c>
      <c r="P108" s="19">
        <v>11</v>
      </c>
      <c r="Q108" s="19" t="s">
        <v>1413</v>
      </c>
      <c r="R108" s="19" t="s">
        <v>72</v>
      </c>
      <c r="S108" s="19" t="s">
        <v>1414</v>
      </c>
      <c r="T108" s="19" t="s">
        <v>1415</v>
      </c>
      <c r="U108" s="21"/>
      <c r="V108" s="19"/>
      <c r="W108" s="19" t="s">
        <v>74</v>
      </c>
      <c r="X108" s="19" t="s">
        <v>74</v>
      </c>
      <c r="Y108" s="19" t="s">
        <v>70</v>
      </c>
      <c r="Z108" s="19" t="s">
        <v>68</v>
      </c>
      <c r="AA108" s="4">
        <v>45993</v>
      </c>
      <c r="AB108" s="4">
        <v>45996</v>
      </c>
      <c r="AC108" s="4">
        <v>45996</v>
      </c>
      <c r="AD108" s="19"/>
      <c r="AE108" s="19"/>
      <c r="AF108" s="19"/>
      <c r="AG108" s="19"/>
      <c r="AH108" s="19"/>
      <c r="AI108" s="19"/>
      <c r="AJ108" s="19"/>
      <c r="AK108" s="19"/>
      <c r="AL108" s="19"/>
      <c r="AM108" s="19"/>
      <c r="AN108" s="19"/>
      <c r="AO108" s="19"/>
      <c r="AP108" s="19"/>
      <c r="AQ108" s="19"/>
      <c r="AR108" s="19"/>
      <c r="AS108" s="27"/>
    </row>
    <row r="109" spans="1:45">
      <c r="A109" s="19">
        <f t="shared" si="1"/>
        <v>108</v>
      </c>
      <c r="B109" s="20">
        <v>45615</v>
      </c>
      <c r="C109" s="19" t="s">
        <v>1101</v>
      </c>
      <c r="D109" s="19" t="s">
        <v>1102</v>
      </c>
      <c r="E109" s="19">
        <v>20245321</v>
      </c>
      <c r="F109" s="19" t="s">
        <v>1416</v>
      </c>
      <c r="G109" s="19">
        <v>9730067575</v>
      </c>
      <c r="H109" s="19" t="s">
        <v>1417</v>
      </c>
      <c r="I109" s="19" t="s">
        <v>86</v>
      </c>
      <c r="J109" s="19" t="s">
        <v>114</v>
      </c>
      <c r="K109" s="19" t="s">
        <v>1105</v>
      </c>
      <c r="L109" s="19">
        <v>7</v>
      </c>
      <c r="M109" s="19" t="s">
        <v>1418</v>
      </c>
      <c r="N109" s="19">
        <v>12.5</v>
      </c>
      <c r="O109" s="19">
        <v>0</v>
      </c>
      <c r="P109" s="19" t="s">
        <v>1419</v>
      </c>
      <c r="Q109" s="19" t="s">
        <v>72</v>
      </c>
      <c r="R109" s="19" t="s">
        <v>72</v>
      </c>
      <c r="S109" s="19" t="s">
        <v>1139</v>
      </c>
      <c r="T109" s="19" t="s">
        <v>1057</v>
      </c>
      <c r="U109" s="21"/>
      <c r="V109" s="19"/>
      <c r="W109" s="19" t="s">
        <v>74</v>
      </c>
      <c r="X109" s="19" t="s">
        <v>74</v>
      </c>
      <c r="Y109" s="19" t="s">
        <v>70</v>
      </c>
      <c r="Z109" s="19" t="s">
        <v>68</v>
      </c>
      <c r="AA109" s="4">
        <v>45993</v>
      </c>
      <c r="AB109" s="4">
        <v>45999</v>
      </c>
      <c r="AC109" s="4">
        <v>45999</v>
      </c>
      <c r="AD109" s="19"/>
      <c r="AE109" s="19"/>
      <c r="AF109" s="19"/>
      <c r="AG109" s="19"/>
      <c r="AH109" s="19"/>
      <c r="AI109" s="19"/>
      <c r="AJ109" s="19"/>
      <c r="AK109" s="19"/>
      <c r="AL109" s="19"/>
      <c r="AM109" s="19"/>
      <c r="AN109" s="19"/>
      <c r="AO109" s="19"/>
      <c r="AP109" s="19"/>
      <c r="AQ109" s="19"/>
      <c r="AR109" s="19"/>
      <c r="AS109" s="27"/>
    </row>
    <row r="110" spans="1:45">
      <c r="A110" s="19">
        <f t="shared" si="1"/>
        <v>109</v>
      </c>
      <c r="B110" s="20">
        <v>45618</v>
      </c>
      <c r="C110" s="19" t="s">
        <v>116</v>
      </c>
      <c r="D110" s="19" t="s">
        <v>116</v>
      </c>
      <c r="E110" s="19" t="s">
        <v>609</v>
      </c>
      <c r="F110" s="19" t="s">
        <v>614</v>
      </c>
      <c r="G110" s="19">
        <v>7992308690</v>
      </c>
      <c r="H110" s="19" t="s">
        <v>1420</v>
      </c>
      <c r="I110" s="19" t="s">
        <v>123</v>
      </c>
      <c r="J110" s="19" t="s">
        <v>610</v>
      </c>
      <c r="K110" s="19" t="s">
        <v>101</v>
      </c>
      <c r="L110" s="19"/>
      <c r="M110" s="19"/>
      <c r="N110" s="19"/>
      <c r="O110" s="19"/>
      <c r="P110" s="19">
        <v>850000</v>
      </c>
      <c r="Q110" s="19" t="s">
        <v>72</v>
      </c>
      <c r="R110" s="19" t="s">
        <v>72</v>
      </c>
      <c r="S110" s="19"/>
      <c r="T110" s="19"/>
      <c r="U110" s="21">
        <v>45649</v>
      </c>
      <c r="V110" s="19"/>
      <c r="W110" s="19" t="s">
        <v>245</v>
      </c>
      <c r="X110" s="19" t="s">
        <v>245</v>
      </c>
      <c r="Y110" s="19"/>
      <c r="Z110" s="19" t="s">
        <v>345</v>
      </c>
      <c r="AA110" s="19">
        <v>45993</v>
      </c>
      <c r="AB110" s="4"/>
      <c r="AC110" s="4"/>
      <c r="AD110" s="19"/>
      <c r="AE110" s="19"/>
      <c r="AF110" s="19"/>
      <c r="AG110" s="19"/>
      <c r="AH110" s="19"/>
      <c r="AI110" s="19"/>
      <c r="AJ110" s="19"/>
      <c r="AK110" s="19"/>
      <c r="AL110" s="19"/>
      <c r="AM110" s="19"/>
      <c r="AN110" s="19"/>
      <c r="AO110" s="19"/>
      <c r="AP110" s="19"/>
      <c r="AQ110" s="19"/>
      <c r="AR110" s="19"/>
      <c r="AS110" s="27"/>
    </row>
    <row r="111" spans="1:45">
      <c r="A111" s="19">
        <f t="shared" si="1"/>
        <v>110</v>
      </c>
      <c r="B111" s="20">
        <v>45618</v>
      </c>
      <c r="C111" s="19" t="s">
        <v>1101</v>
      </c>
      <c r="D111" s="19" t="s">
        <v>80</v>
      </c>
      <c r="E111" s="19" t="s">
        <v>638</v>
      </c>
      <c r="F111" s="19" t="s">
        <v>640</v>
      </c>
      <c r="G111" s="19">
        <v>9096150394</v>
      </c>
      <c r="H111" s="19" t="s">
        <v>1421</v>
      </c>
      <c r="I111" s="19" t="s">
        <v>123</v>
      </c>
      <c r="J111" s="19" t="s">
        <v>1422</v>
      </c>
      <c r="K111" s="19" t="s">
        <v>438</v>
      </c>
      <c r="L111" s="19" t="s">
        <v>1423</v>
      </c>
      <c r="M111" s="19"/>
      <c r="N111" s="19">
        <v>14.5</v>
      </c>
      <c r="O111" s="19"/>
      <c r="P111" s="19">
        <v>21</v>
      </c>
      <c r="Q111" s="19" t="s">
        <v>923</v>
      </c>
      <c r="R111" s="19" t="s">
        <v>923</v>
      </c>
      <c r="S111" s="19" t="s">
        <v>1424</v>
      </c>
      <c r="T111" s="19" t="s">
        <v>1425</v>
      </c>
      <c r="U111" s="21"/>
      <c r="V111" s="19"/>
      <c r="W111" s="19" t="s">
        <v>245</v>
      </c>
      <c r="X111" s="19" t="s">
        <v>245</v>
      </c>
      <c r="Y111" s="19" t="s">
        <v>70</v>
      </c>
      <c r="Z111" s="19" t="s">
        <v>68</v>
      </c>
      <c r="AA111" s="19"/>
      <c r="AB111" s="4"/>
      <c r="AC111" s="4"/>
      <c r="AD111" s="19"/>
      <c r="AE111" s="19"/>
      <c r="AF111" s="19"/>
      <c r="AG111" s="19"/>
      <c r="AH111" s="19"/>
      <c r="AI111" s="19"/>
      <c r="AJ111" s="19"/>
      <c r="AK111" s="19"/>
      <c r="AL111" s="19"/>
      <c r="AM111" s="19"/>
      <c r="AN111" s="19"/>
      <c r="AO111" s="19"/>
      <c r="AP111" s="19"/>
      <c r="AQ111" s="19"/>
      <c r="AR111" s="19"/>
      <c r="AS111" s="27"/>
    </row>
    <row r="112" spans="1:45">
      <c r="A112" s="19">
        <f t="shared" si="1"/>
        <v>111</v>
      </c>
      <c r="B112" s="20">
        <v>45625</v>
      </c>
      <c r="C112" s="19" t="s">
        <v>1101</v>
      </c>
      <c r="D112" s="19" t="s">
        <v>1102</v>
      </c>
      <c r="E112" s="19">
        <v>20242803</v>
      </c>
      <c r="F112" s="19" t="s">
        <v>1426</v>
      </c>
      <c r="G112" s="19">
        <v>6300312621</v>
      </c>
      <c r="H112" s="19" t="s">
        <v>1427</v>
      </c>
      <c r="I112" s="19" t="s">
        <v>123</v>
      </c>
      <c r="J112" s="19" t="s">
        <v>109</v>
      </c>
      <c r="K112" s="19" t="s">
        <v>1105</v>
      </c>
      <c r="L112" s="19">
        <v>3</v>
      </c>
      <c r="M112" s="19" t="s">
        <v>1388</v>
      </c>
      <c r="N112" s="19">
        <v>5</v>
      </c>
      <c r="O112" s="19">
        <v>0</v>
      </c>
      <c r="P112" s="19">
        <v>9</v>
      </c>
      <c r="Q112" s="19" t="s">
        <v>714</v>
      </c>
      <c r="R112" s="19" t="s">
        <v>72</v>
      </c>
      <c r="S112" s="19" t="s">
        <v>1290</v>
      </c>
      <c r="T112" s="19" t="s">
        <v>1057</v>
      </c>
      <c r="U112" s="21"/>
      <c r="V112" s="19"/>
      <c r="W112" s="19" t="s">
        <v>74</v>
      </c>
      <c r="X112" s="19" t="s">
        <v>74</v>
      </c>
      <c r="Y112" s="19" t="s">
        <v>70</v>
      </c>
      <c r="Z112" s="19" t="s">
        <v>68</v>
      </c>
      <c r="AA112" s="4">
        <v>45625</v>
      </c>
      <c r="AB112" s="4">
        <v>45628</v>
      </c>
      <c r="AC112" s="4">
        <v>45628</v>
      </c>
      <c r="AD112" s="19"/>
      <c r="AE112" s="19"/>
      <c r="AF112" s="19"/>
      <c r="AG112" s="19"/>
      <c r="AH112" s="19"/>
      <c r="AI112" s="19"/>
      <c r="AJ112" s="19"/>
      <c r="AK112" s="19"/>
      <c r="AL112" s="19"/>
      <c r="AM112" s="19"/>
      <c r="AN112" s="19"/>
      <c r="AO112" s="19"/>
      <c r="AP112" s="19"/>
      <c r="AQ112" s="19"/>
      <c r="AR112" s="19"/>
      <c r="AS112" s="27"/>
    </row>
    <row r="113" spans="1:45">
      <c r="A113" s="19">
        <f t="shared" si="1"/>
        <v>112</v>
      </c>
      <c r="B113" s="20">
        <v>45625</v>
      </c>
      <c r="C113" s="19" t="s">
        <v>1101</v>
      </c>
      <c r="D113" s="19" t="s">
        <v>80</v>
      </c>
      <c r="E113" s="19">
        <v>20242803</v>
      </c>
      <c r="F113" s="19" t="s">
        <v>715</v>
      </c>
      <c r="G113" s="19">
        <v>8466889501</v>
      </c>
      <c r="H113" s="19" t="s">
        <v>1428</v>
      </c>
      <c r="I113" s="19" t="s">
        <v>123</v>
      </c>
      <c r="J113" s="19" t="s">
        <v>109</v>
      </c>
      <c r="K113" s="19" t="s">
        <v>1105</v>
      </c>
      <c r="L113" s="19">
        <v>3</v>
      </c>
      <c r="M113" s="19" t="s">
        <v>1429</v>
      </c>
      <c r="N113" s="19">
        <v>9.1999999999999993</v>
      </c>
      <c r="O113" s="19">
        <v>0</v>
      </c>
      <c r="P113" s="19" t="s">
        <v>1430</v>
      </c>
      <c r="Q113" s="19" t="s">
        <v>714</v>
      </c>
      <c r="R113" s="19" t="s">
        <v>72</v>
      </c>
      <c r="S113" s="19" t="s">
        <v>1121</v>
      </c>
      <c r="T113" s="19" t="s">
        <v>1431</v>
      </c>
      <c r="U113" s="21">
        <v>45719</v>
      </c>
      <c r="V113" s="19">
        <v>45703</v>
      </c>
      <c r="W113" s="19" t="s">
        <v>74</v>
      </c>
      <c r="X113" s="19" t="s">
        <v>74</v>
      </c>
      <c r="Y113" s="19" t="s">
        <v>70</v>
      </c>
      <c r="Z113" s="19" t="s">
        <v>68</v>
      </c>
      <c r="AA113" s="4">
        <v>45625</v>
      </c>
      <c r="AB113" s="4">
        <v>45628</v>
      </c>
      <c r="AC113" s="4">
        <v>45628</v>
      </c>
      <c r="AD113" s="19"/>
      <c r="AE113" s="19"/>
      <c r="AF113" s="19"/>
      <c r="AG113" s="19"/>
      <c r="AH113" s="19"/>
      <c r="AI113" s="19"/>
      <c r="AJ113" s="19"/>
      <c r="AK113" s="19"/>
      <c r="AL113" s="19"/>
      <c r="AM113" s="19"/>
      <c r="AN113" s="19"/>
      <c r="AO113" s="19"/>
      <c r="AP113" s="19"/>
      <c r="AQ113" s="19"/>
      <c r="AR113" s="19"/>
      <c r="AS113" s="27"/>
    </row>
    <row r="114" spans="1:45">
      <c r="A114" s="19">
        <f t="shared" si="1"/>
        <v>113</v>
      </c>
      <c r="B114" s="20">
        <v>45625</v>
      </c>
      <c r="C114" s="19" t="s">
        <v>1101</v>
      </c>
      <c r="D114" s="19" t="s">
        <v>1432</v>
      </c>
      <c r="E114" s="19">
        <v>20252855</v>
      </c>
      <c r="F114" s="19" t="s">
        <v>1433</v>
      </c>
      <c r="G114" s="19">
        <v>8975381915</v>
      </c>
      <c r="H114" s="19" t="s">
        <v>1434</v>
      </c>
      <c r="I114" s="19" t="s">
        <v>123</v>
      </c>
      <c r="J114" s="19" t="s">
        <v>276</v>
      </c>
      <c r="K114" s="19" t="s">
        <v>228</v>
      </c>
      <c r="L114" s="19" t="s">
        <v>1435</v>
      </c>
      <c r="M114" s="19" t="s">
        <v>1436</v>
      </c>
      <c r="N114" s="19" t="s">
        <v>1079</v>
      </c>
      <c r="O114" s="19"/>
      <c r="P114" s="19" t="s">
        <v>1238</v>
      </c>
      <c r="Q114" s="19" t="s">
        <v>72</v>
      </c>
      <c r="R114" s="19" t="s">
        <v>72</v>
      </c>
      <c r="S114" s="19" t="s">
        <v>1437</v>
      </c>
      <c r="T114" s="19" t="s">
        <v>1438</v>
      </c>
      <c r="U114" s="21"/>
      <c r="V114" s="19"/>
      <c r="W114" s="19" t="s">
        <v>144</v>
      </c>
      <c r="X114" s="19" t="s">
        <v>144</v>
      </c>
      <c r="Y114" s="19"/>
      <c r="Z114" s="19" t="s">
        <v>68</v>
      </c>
      <c r="AA114" s="19">
        <v>45932</v>
      </c>
      <c r="AB114" s="4"/>
      <c r="AC114" s="4"/>
      <c r="AD114" s="19"/>
      <c r="AE114" s="19"/>
      <c r="AF114" s="19"/>
      <c r="AG114" s="19"/>
      <c r="AH114" s="19"/>
      <c r="AI114" s="19"/>
      <c r="AJ114" s="19"/>
      <c r="AK114" s="19"/>
      <c r="AL114" s="19"/>
      <c r="AM114" s="19"/>
      <c r="AN114" s="19"/>
      <c r="AO114" s="19"/>
      <c r="AP114" s="19"/>
      <c r="AQ114" s="19"/>
      <c r="AR114" s="19"/>
      <c r="AS114" s="27"/>
    </row>
    <row r="115" spans="1:45">
      <c r="A115" s="19">
        <f t="shared" si="1"/>
        <v>114</v>
      </c>
      <c r="B115" s="20">
        <v>45625</v>
      </c>
      <c r="C115" s="19" t="s">
        <v>1101</v>
      </c>
      <c r="D115" s="19" t="s">
        <v>1102</v>
      </c>
      <c r="E115" s="19">
        <v>20252855</v>
      </c>
      <c r="F115" s="19" t="s">
        <v>1439</v>
      </c>
      <c r="G115" s="19">
        <v>9156477977</v>
      </c>
      <c r="H115" s="19" t="s">
        <v>1440</v>
      </c>
      <c r="I115" s="19" t="s">
        <v>123</v>
      </c>
      <c r="J115" s="19" t="s">
        <v>276</v>
      </c>
      <c r="K115" s="19" t="s">
        <v>228</v>
      </c>
      <c r="L115" s="19" t="s">
        <v>1247</v>
      </c>
      <c r="M115" s="19" t="s">
        <v>1071</v>
      </c>
      <c r="N115" s="19" t="s">
        <v>1441</v>
      </c>
      <c r="O115" s="19"/>
      <c r="P115" s="19" t="s">
        <v>1194</v>
      </c>
      <c r="Q115" s="19" t="s">
        <v>72</v>
      </c>
      <c r="R115" s="19" t="s">
        <v>72</v>
      </c>
      <c r="S115" s="19" t="s">
        <v>1442</v>
      </c>
      <c r="T115" s="19" t="s">
        <v>1443</v>
      </c>
      <c r="U115" s="21"/>
      <c r="V115" s="19"/>
      <c r="W115" s="19" t="s">
        <v>144</v>
      </c>
      <c r="X115" s="19" t="s">
        <v>144</v>
      </c>
      <c r="Y115" s="19"/>
      <c r="Z115" s="19" t="s">
        <v>68</v>
      </c>
      <c r="AA115" s="19">
        <v>45932</v>
      </c>
      <c r="AB115" s="4"/>
      <c r="AC115" s="4"/>
      <c r="AD115" s="19"/>
      <c r="AE115" s="19"/>
      <c r="AF115" s="19"/>
      <c r="AG115" s="19"/>
      <c r="AH115" s="19"/>
      <c r="AI115" s="19"/>
      <c r="AJ115" s="19"/>
      <c r="AK115" s="19"/>
      <c r="AL115" s="19"/>
      <c r="AM115" s="19"/>
      <c r="AN115" s="19"/>
      <c r="AO115" s="19"/>
      <c r="AP115" s="19"/>
      <c r="AQ115" s="19"/>
      <c r="AR115" s="19"/>
      <c r="AS115" s="27"/>
    </row>
    <row r="116" spans="1:45">
      <c r="A116" s="19">
        <f t="shared" si="1"/>
        <v>115</v>
      </c>
      <c r="B116" s="20">
        <v>45625</v>
      </c>
      <c r="C116" s="19" t="s">
        <v>1101</v>
      </c>
      <c r="D116" s="19" t="s">
        <v>1432</v>
      </c>
      <c r="E116" s="19">
        <v>20252855</v>
      </c>
      <c r="F116" s="19" t="s">
        <v>1444</v>
      </c>
      <c r="G116" s="19">
        <v>8087736260</v>
      </c>
      <c r="H116" s="19" t="s">
        <v>1445</v>
      </c>
      <c r="I116" s="19" t="s">
        <v>123</v>
      </c>
      <c r="J116" s="19" t="s">
        <v>276</v>
      </c>
      <c r="K116" s="19" t="s">
        <v>228</v>
      </c>
      <c r="L116" s="19" t="s">
        <v>1446</v>
      </c>
      <c r="M116" s="19" t="s">
        <v>1447</v>
      </c>
      <c r="N116" s="19" t="s">
        <v>1448</v>
      </c>
      <c r="O116" s="19"/>
      <c r="P116" s="19" t="s">
        <v>1084</v>
      </c>
      <c r="Q116" s="19" t="s">
        <v>72</v>
      </c>
      <c r="R116" s="19" t="s">
        <v>72</v>
      </c>
      <c r="S116" s="19" t="s">
        <v>1067</v>
      </c>
      <c r="T116" s="19" t="s">
        <v>858</v>
      </c>
      <c r="U116" s="21"/>
      <c r="V116" s="19"/>
      <c r="W116" s="19" t="s">
        <v>144</v>
      </c>
      <c r="X116" s="19" t="s">
        <v>144</v>
      </c>
      <c r="Y116" s="19"/>
      <c r="Z116" s="19" t="s">
        <v>68</v>
      </c>
      <c r="AA116" s="19"/>
      <c r="AB116" s="4"/>
      <c r="AC116" s="4"/>
      <c r="AD116" s="19"/>
      <c r="AE116" s="19"/>
      <c r="AF116" s="19"/>
      <c r="AG116" s="19"/>
      <c r="AH116" s="19"/>
      <c r="AI116" s="19"/>
      <c r="AJ116" s="19"/>
      <c r="AK116" s="19"/>
      <c r="AL116" s="19"/>
      <c r="AM116" s="19"/>
      <c r="AN116" s="19"/>
      <c r="AO116" s="19"/>
      <c r="AP116" s="19"/>
      <c r="AQ116" s="19"/>
      <c r="AR116" s="19"/>
      <c r="AS116" s="27"/>
    </row>
    <row r="117" spans="1:45">
      <c r="A117" s="19">
        <f t="shared" si="1"/>
        <v>116</v>
      </c>
      <c r="B117" s="20">
        <v>45625</v>
      </c>
      <c r="C117" s="19" t="s">
        <v>1101</v>
      </c>
      <c r="D117" s="19" t="s">
        <v>1432</v>
      </c>
      <c r="E117" s="19">
        <v>20252855</v>
      </c>
      <c r="F117" s="19" t="s">
        <v>1449</v>
      </c>
      <c r="G117" s="19" t="s">
        <v>1450</v>
      </c>
      <c r="H117" s="19" t="s">
        <v>1451</v>
      </c>
      <c r="I117" s="19" t="s">
        <v>123</v>
      </c>
      <c r="J117" s="19" t="s">
        <v>276</v>
      </c>
      <c r="K117" s="19" t="s">
        <v>228</v>
      </c>
      <c r="L117" s="19" t="s">
        <v>1452</v>
      </c>
      <c r="M117" s="19" t="s">
        <v>1453</v>
      </c>
      <c r="N117" s="19" t="s">
        <v>1454</v>
      </c>
      <c r="O117" s="19"/>
      <c r="P117" s="19" t="s">
        <v>1194</v>
      </c>
      <c r="Q117" s="19" t="s">
        <v>72</v>
      </c>
      <c r="R117" s="19" t="s">
        <v>72</v>
      </c>
      <c r="S117" s="19" t="s">
        <v>1455</v>
      </c>
      <c r="T117" s="19" t="s">
        <v>858</v>
      </c>
      <c r="U117" s="21"/>
      <c r="V117" s="19"/>
      <c r="W117" s="19" t="s">
        <v>144</v>
      </c>
      <c r="X117" s="19" t="s">
        <v>144</v>
      </c>
      <c r="Y117" s="19"/>
      <c r="Z117" s="19" t="s">
        <v>68</v>
      </c>
      <c r="AA117" s="19"/>
      <c r="AB117" s="4"/>
      <c r="AC117" s="4"/>
      <c r="AD117" s="19"/>
      <c r="AE117" s="19"/>
      <c r="AF117" s="19"/>
      <c r="AG117" s="19"/>
      <c r="AH117" s="19"/>
      <c r="AI117" s="19"/>
      <c r="AJ117" s="19"/>
      <c r="AK117" s="19"/>
      <c r="AL117" s="19"/>
      <c r="AM117" s="19"/>
      <c r="AN117" s="19"/>
      <c r="AO117" s="19"/>
      <c r="AP117" s="19"/>
      <c r="AQ117" s="19"/>
      <c r="AR117" s="19"/>
      <c r="AS117" s="27"/>
    </row>
    <row r="118" spans="1:45">
      <c r="A118" s="19">
        <f t="shared" si="1"/>
        <v>117</v>
      </c>
      <c r="B118" s="20">
        <v>45625</v>
      </c>
      <c r="C118" s="19" t="s">
        <v>1101</v>
      </c>
      <c r="D118" s="19" t="s">
        <v>1432</v>
      </c>
      <c r="E118" s="19">
        <v>20252855</v>
      </c>
      <c r="F118" s="19" t="s">
        <v>1456</v>
      </c>
      <c r="G118" s="19">
        <v>7972853353</v>
      </c>
      <c r="H118" s="19" t="s">
        <v>1457</v>
      </c>
      <c r="I118" s="19" t="s">
        <v>123</v>
      </c>
      <c r="J118" s="19" t="s">
        <v>276</v>
      </c>
      <c r="K118" s="19" t="s">
        <v>228</v>
      </c>
      <c r="L118" s="19" t="s">
        <v>1458</v>
      </c>
      <c r="M118" s="19" t="s">
        <v>1459</v>
      </c>
      <c r="N118" s="19" t="s">
        <v>1186</v>
      </c>
      <c r="O118" s="19"/>
      <c r="P118" s="19" t="s">
        <v>1448</v>
      </c>
      <c r="Q118" s="19" t="s">
        <v>72</v>
      </c>
      <c r="R118" s="19" t="s">
        <v>72</v>
      </c>
      <c r="S118" s="19" t="s">
        <v>1067</v>
      </c>
      <c r="T118" s="19" t="s">
        <v>858</v>
      </c>
      <c r="U118" s="21"/>
      <c r="V118" s="19"/>
      <c r="W118" s="19" t="s">
        <v>144</v>
      </c>
      <c r="X118" s="19" t="s">
        <v>144</v>
      </c>
      <c r="Y118" s="19"/>
      <c r="Z118" s="19" t="s">
        <v>68</v>
      </c>
      <c r="AA118" s="19"/>
      <c r="AB118" s="4"/>
      <c r="AC118" s="4"/>
      <c r="AD118" s="19"/>
      <c r="AE118" s="19"/>
      <c r="AF118" s="19"/>
      <c r="AG118" s="19"/>
      <c r="AH118" s="19"/>
      <c r="AI118" s="19"/>
      <c r="AJ118" s="19"/>
      <c r="AK118" s="19"/>
      <c r="AL118" s="19"/>
      <c r="AM118" s="19"/>
      <c r="AN118" s="19"/>
      <c r="AO118" s="19"/>
      <c r="AP118" s="19"/>
      <c r="AQ118" s="19"/>
      <c r="AR118" s="19"/>
      <c r="AS118" s="27"/>
    </row>
    <row r="119" spans="1:45">
      <c r="A119" s="19">
        <f t="shared" si="1"/>
        <v>118</v>
      </c>
      <c r="B119" s="20">
        <v>45625</v>
      </c>
      <c r="C119" s="19" t="s">
        <v>1101</v>
      </c>
      <c r="D119" s="19" t="s">
        <v>1432</v>
      </c>
      <c r="E119" s="19">
        <v>20252855</v>
      </c>
      <c r="F119" s="19" t="s">
        <v>1460</v>
      </c>
      <c r="G119" s="19" t="s">
        <v>1461</v>
      </c>
      <c r="H119" s="19" t="s">
        <v>1462</v>
      </c>
      <c r="I119" s="19" t="s">
        <v>123</v>
      </c>
      <c r="J119" s="19" t="s">
        <v>276</v>
      </c>
      <c r="K119" s="19" t="s">
        <v>228</v>
      </c>
      <c r="L119" s="19" t="s">
        <v>1063</v>
      </c>
      <c r="M119" s="19" t="s">
        <v>1071</v>
      </c>
      <c r="N119" s="19" t="s">
        <v>1186</v>
      </c>
      <c r="O119" s="19"/>
      <c r="P119" s="19" t="s">
        <v>1079</v>
      </c>
      <c r="Q119" s="19" t="s">
        <v>72</v>
      </c>
      <c r="R119" s="19" t="s">
        <v>72</v>
      </c>
      <c r="S119" s="19" t="s">
        <v>1067</v>
      </c>
      <c r="T119" s="19" t="s">
        <v>858</v>
      </c>
      <c r="U119" s="21"/>
      <c r="V119" s="19"/>
      <c r="W119" s="19" t="s">
        <v>144</v>
      </c>
      <c r="X119" s="19" t="s">
        <v>144</v>
      </c>
      <c r="Y119" s="19"/>
      <c r="Z119" s="19" t="s">
        <v>68</v>
      </c>
      <c r="AA119" s="19"/>
      <c r="AB119" s="4"/>
      <c r="AC119" s="4"/>
      <c r="AD119" s="19"/>
      <c r="AE119" s="19"/>
      <c r="AF119" s="19"/>
      <c r="AG119" s="19"/>
      <c r="AH119" s="19"/>
      <c r="AI119" s="19"/>
      <c r="AJ119" s="19"/>
      <c r="AK119" s="19"/>
      <c r="AL119" s="19"/>
      <c r="AM119" s="19"/>
      <c r="AN119" s="19"/>
      <c r="AO119" s="19"/>
      <c r="AP119" s="19"/>
      <c r="AQ119" s="19"/>
      <c r="AR119" s="19"/>
      <c r="AS119" s="27"/>
    </row>
    <row r="120" spans="1:45">
      <c r="A120" s="19">
        <f t="shared" si="1"/>
        <v>119</v>
      </c>
      <c r="B120" s="20">
        <v>45637</v>
      </c>
      <c r="C120" s="19" t="s">
        <v>1101</v>
      </c>
      <c r="D120" s="19" t="s">
        <v>1102</v>
      </c>
      <c r="E120" s="19">
        <v>20247804</v>
      </c>
      <c r="F120" s="19" t="s">
        <v>1463</v>
      </c>
      <c r="G120" s="19">
        <v>9673642319</v>
      </c>
      <c r="H120" s="19" t="s">
        <v>1464</v>
      </c>
      <c r="I120" s="19" t="s">
        <v>123</v>
      </c>
      <c r="J120" s="19" t="s">
        <v>286</v>
      </c>
      <c r="K120" s="19" t="s">
        <v>289</v>
      </c>
      <c r="L120" s="19" t="s">
        <v>1465</v>
      </c>
      <c r="M120" s="19" t="s">
        <v>1466</v>
      </c>
      <c r="N120" s="19" t="s">
        <v>1204</v>
      </c>
      <c r="O120" s="19"/>
      <c r="P120" s="19" t="s">
        <v>1191</v>
      </c>
      <c r="Q120" s="19" t="s">
        <v>72</v>
      </c>
      <c r="R120" s="19" t="s">
        <v>72</v>
      </c>
      <c r="S120" s="19" t="s">
        <v>1092</v>
      </c>
      <c r="T120" s="19" t="s">
        <v>858</v>
      </c>
      <c r="U120" s="21"/>
      <c r="V120" s="19"/>
      <c r="W120" s="19" t="s">
        <v>144</v>
      </c>
      <c r="X120" s="19" t="s">
        <v>144</v>
      </c>
      <c r="Y120" s="19"/>
      <c r="Z120" s="19" t="s">
        <v>68</v>
      </c>
      <c r="AA120" s="19"/>
      <c r="AB120" s="4"/>
      <c r="AC120" s="4"/>
      <c r="AD120" s="19"/>
      <c r="AE120" s="19"/>
      <c r="AF120" s="19"/>
      <c r="AG120" s="19"/>
      <c r="AH120" s="19"/>
      <c r="AI120" s="19"/>
      <c r="AJ120" s="19"/>
      <c r="AK120" s="19"/>
      <c r="AL120" s="19"/>
      <c r="AM120" s="19"/>
      <c r="AN120" s="19"/>
      <c r="AO120" s="19"/>
      <c r="AP120" s="19"/>
      <c r="AQ120" s="19"/>
      <c r="AR120" s="19"/>
      <c r="AS120" s="27"/>
    </row>
    <row r="121" spans="1:45">
      <c r="A121" s="19">
        <f t="shared" si="1"/>
        <v>120</v>
      </c>
      <c r="B121" s="20">
        <v>45637</v>
      </c>
      <c r="C121" s="19" t="s">
        <v>1101</v>
      </c>
      <c r="D121" s="19" t="s">
        <v>1102</v>
      </c>
      <c r="E121" s="19">
        <v>20247804</v>
      </c>
      <c r="F121" s="19" t="s">
        <v>1467</v>
      </c>
      <c r="G121" s="19" t="s">
        <v>1468</v>
      </c>
      <c r="H121" s="19" t="s">
        <v>1469</v>
      </c>
      <c r="I121" s="19" t="s">
        <v>123</v>
      </c>
      <c r="J121" s="19" t="s">
        <v>286</v>
      </c>
      <c r="K121" s="19" t="s">
        <v>289</v>
      </c>
      <c r="L121" s="19" t="s">
        <v>1247</v>
      </c>
      <c r="M121" s="19" t="s">
        <v>1470</v>
      </c>
      <c r="N121" s="19" t="s">
        <v>1471</v>
      </c>
      <c r="O121" s="19"/>
      <c r="P121" s="19" t="s">
        <v>1073</v>
      </c>
      <c r="Q121" s="19" t="s">
        <v>1472</v>
      </c>
      <c r="R121" s="19" t="s">
        <v>72</v>
      </c>
      <c r="S121" s="19" t="s">
        <v>1067</v>
      </c>
      <c r="T121" s="19" t="s">
        <v>858</v>
      </c>
      <c r="U121" s="21"/>
      <c r="V121" s="19"/>
      <c r="W121" s="19" t="s">
        <v>144</v>
      </c>
      <c r="X121" s="19" t="s">
        <v>144</v>
      </c>
      <c r="Y121" s="19"/>
      <c r="Z121" s="19" t="s">
        <v>68</v>
      </c>
      <c r="AA121" s="19"/>
      <c r="AB121" s="4"/>
      <c r="AC121" s="4"/>
      <c r="AD121" s="19"/>
      <c r="AE121" s="19"/>
      <c r="AF121" s="19"/>
      <c r="AG121" s="19"/>
      <c r="AH121" s="19"/>
      <c r="AI121" s="19"/>
      <c r="AJ121" s="19"/>
      <c r="AK121" s="19"/>
      <c r="AL121" s="19"/>
      <c r="AM121" s="19"/>
      <c r="AN121" s="19"/>
      <c r="AO121" s="19"/>
      <c r="AP121" s="19"/>
      <c r="AQ121" s="19"/>
      <c r="AR121" s="19"/>
      <c r="AS121" s="27"/>
    </row>
    <row r="122" spans="1:45">
      <c r="A122" s="19">
        <f t="shared" si="1"/>
        <v>121</v>
      </c>
      <c r="B122" s="20">
        <v>45637</v>
      </c>
      <c r="C122" s="19" t="s">
        <v>1101</v>
      </c>
      <c r="D122" s="19" t="s">
        <v>1432</v>
      </c>
      <c r="E122" s="19">
        <v>20247804</v>
      </c>
      <c r="F122" s="19" t="s">
        <v>1473</v>
      </c>
      <c r="G122" s="19" t="s">
        <v>1474</v>
      </c>
      <c r="H122" s="19" t="s">
        <v>1475</v>
      </c>
      <c r="I122" s="19" t="s">
        <v>123</v>
      </c>
      <c r="J122" s="19" t="s">
        <v>286</v>
      </c>
      <c r="K122" s="19" t="s">
        <v>289</v>
      </c>
      <c r="L122" s="19" t="s">
        <v>1435</v>
      </c>
      <c r="M122" s="19" t="s">
        <v>1476</v>
      </c>
      <c r="N122" s="19" t="s">
        <v>1186</v>
      </c>
      <c r="O122" s="19"/>
      <c r="P122" s="19" t="s">
        <v>1477</v>
      </c>
      <c r="Q122" s="19" t="s">
        <v>1392</v>
      </c>
      <c r="R122" s="19" t="s">
        <v>72</v>
      </c>
      <c r="S122" s="19" t="s">
        <v>1092</v>
      </c>
      <c r="T122" s="19" t="s">
        <v>858</v>
      </c>
      <c r="U122" s="21"/>
      <c r="V122" s="19"/>
      <c r="W122" s="19" t="s">
        <v>144</v>
      </c>
      <c r="X122" s="19" t="s">
        <v>144</v>
      </c>
      <c r="Y122" s="19"/>
      <c r="Z122" s="19" t="s">
        <v>68</v>
      </c>
      <c r="AA122" s="19"/>
      <c r="AB122" s="4"/>
      <c r="AC122" s="4"/>
      <c r="AD122" s="19"/>
      <c r="AE122" s="19"/>
      <c r="AF122" s="19"/>
      <c r="AG122" s="19"/>
      <c r="AH122" s="19"/>
      <c r="AI122" s="19"/>
      <c r="AJ122" s="19"/>
      <c r="AK122" s="19"/>
      <c r="AL122" s="19"/>
      <c r="AM122" s="19"/>
      <c r="AN122" s="19"/>
      <c r="AO122" s="19"/>
      <c r="AP122" s="19"/>
      <c r="AQ122" s="19"/>
      <c r="AR122" s="19"/>
      <c r="AS122" s="27"/>
    </row>
    <row r="123" spans="1:45">
      <c r="A123" s="19">
        <f t="shared" si="1"/>
        <v>122</v>
      </c>
      <c r="B123" s="20">
        <v>45637</v>
      </c>
      <c r="C123" s="19" t="s">
        <v>1101</v>
      </c>
      <c r="D123" s="19" t="s">
        <v>1432</v>
      </c>
      <c r="E123" s="19">
        <v>20247973</v>
      </c>
      <c r="F123" s="19" t="s">
        <v>1478</v>
      </c>
      <c r="G123" s="19">
        <v>8411016671</v>
      </c>
      <c r="H123" s="19" t="s">
        <v>1479</v>
      </c>
      <c r="I123" s="19" t="s">
        <v>123</v>
      </c>
      <c r="J123" s="19" t="s">
        <v>286</v>
      </c>
      <c r="K123" s="19" t="s">
        <v>289</v>
      </c>
      <c r="L123" s="19" t="s">
        <v>1480</v>
      </c>
      <c r="M123" s="19" t="s">
        <v>1481</v>
      </c>
      <c r="N123" s="19" t="s">
        <v>1482</v>
      </c>
      <c r="O123" s="19"/>
      <c r="P123" s="19" t="s">
        <v>1477</v>
      </c>
      <c r="Q123" s="19" t="s">
        <v>72</v>
      </c>
      <c r="R123" s="19" t="s">
        <v>72</v>
      </c>
      <c r="S123" s="19" t="s">
        <v>1092</v>
      </c>
      <c r="T123" s="19" t="s">
        <v>858</v>
      </c>
      <c r="U123" s="21"/>
      <c r="V123" s="19"/>
      <c r="W123" s="19" t="s">
        <v>144</v>
      </c>
      <c r="X123" s="19" t="s">
        <v>144</v>
      </c>
      <c r="Y123" s="19"/>
      <c r="Z123" s="19" t="s">
        <v>68</v>
      </c>
      <c r="AA123" s="19"/>
      <c r="AB123" s="4"/>
      <c r="AC123" s="4"/>
      <c r="AD123" s="19"/>
      <c r="AE123" s="19"/>
      <c r="AF123" s="19"/>
      <c r="AG123" s="19"/>
      <c r="AH123" s="19"/>
      <c r="AI123" s="19"/>
      <c r="AJ123" s="19"/>
      <c r="AK123" s="19"/>
      <c r="AL123" s="19"/>
      <c r="AM123" s="19"/>
      <c r="AN123" s="19"/>
      <c r="AO123" s="19"/>
      <c r="AP123" s="19"/>
      <c r="AQ123" s="19"/>
      <c r="AR123" s="19"/>
      <c r="AS123" s="27"/>
    </row>
    <row r="124" spans="1:45">
      <c r="A124" s="19">
        <f t="shared" si="1"/>
        <v>123</v>
      </c>
      <c r="B124" s="20">
        <v>45638</v>
      </c>
      <c r="C124" s="19" t="s">
        <v>1101</v>
      </c>
      <c r="D124" s="19" t="s">
        <v>1102</v>
      </c>
      <c r="E124" s="19">
        <v>20249317</v>
      </c>
      <c r="F124" s="19" t="s">
        <v>1483</v>
      </c>
      <c r="G124" s="19">
        <v>9766036879</v>
      </c>
      <c r="H124" s="19" t="s">
        <v>1484</v>
      </c>
      <c r="I124" s="19" t="s">
        <v>123</v>
      </c>
      <c r="J124" s="19" t="s">
        <v>1485</v>
      </c>
      <c r="K124" s="19" t="s">
        <v>977</v>
      </c>
      <c r="L124" s="19" t="s">
        <v>1486</v>
      </c>
      <c r="M124" s="19" t="s">
        <v>1487</v>
      </c>
      <c r="N124" s="19" t="s">
        <v>1488</v>
      </c>
      <c r="O124" s="19"/>
      <c r="P124" s="19" t="s">
        <v>1489</v>
      </c>
      <c r="Q124" s="19" t="s">
        <v>72</v>
      </c>
      <c r="R124" s="19" t="s">
        <v>72</v>
      </c>
      <c r="S124" s="19" t="s">
        <v>1490</v>
      </c>
      <c r="T124" s="19" t="s">
        <v>858</v>
      </c>
      <c r="U124" s="21"/>
      <c r="V124" s="19"/>
      <c r="W124" s="19" t="s">
        <v>144</v>
      </c>
      <c r="X124" s="19" t="s">
        <v>144</v>
      </c>
      <c r="Y124" s="19"/>
      <c r="Z124" s="19" t="s">
        <v>68</v>
      </c>
      <c r="AA124" s="19"/>
      <c r="AB124" s="4"/>
      <c r="AC124" s="4"/>
      <c r="AD124" s="19"/>
      <c r="AE124" s="19"/>
      <c r="AF124" s="19"/>
      <c r="AG124" s="19"/>
      <c r="AH124" s="19"/>
      <c r="AI124" s="19"/>
      <c r="AJ124" s="19"/>
      <c r="AK124" s="19"/>
      <c r="AL124" s="19"/>
      <c r="AM124" s="19"/>
      <c r="AN124" s="19"/>
      <c r="AO124" s="19"/>
      <c r="AP124" s="19"/>
      <c r="AQ124" s="19"/>
      <c r="AR124" s="19"/>
      <c r="AS124" s="27"/>
    </row>
    <row r="125" spans="1:45">
      <c r="A125" s="19">
        <f t="shared" si="1"/>
        <v>124</v>
      </c>
      <c r="B125" s="20">
        <v>45638</v>
      </c>
      <c r="C125" s="19" t="s">
        <v>1101</v>
      </c>
      <c r="D125" s="19" t="s">
        <v>1432</v>
      </c>
      <c r="E125" s="19">
        <v>20249317</v>
      </c>
      <c r="F125" s="19" t="s">
        <v>1491</v>
      </c>
      <c r="G125" s="19">
        <v>9573850673</v>
      </c>
      <c r="H125" s="19" t="s">
        <v>1492</v>
      </c>
      <c r="I125" s="19" t="s">
        <v>123</v>
      </c>
      <c r="J125" s="19" t="s">
        <v>1485</v>
      </c>
      <c r="K125" s="19" t="s">
        <v>977</v>
      </c>
      <c r="L125" s="19" t="s">
        <v>1493</v>
      </c>
      <c r="M125" s="19" t="s">
        <v>1494</v>
      </c>
      <c r="N125" s="19" t="s">
        <v>1495</v>
      </c>
      <c r="O125" s="19"/>
      <c r="P125" s="19" t="s">
        <v>1496</v>
      </c>
      <c r="Q125" s="19" t="s">
        <v>72</v>
      </c>
      <c r="R125" s="19" t="s">
        <v>72</v>
      </c>
      <c r="S125" s="19" t="s">
        <v>1067</v>
      </c>
      <c r="T125" s="19" t="s">
        <v>858</v>
      </c>
      <c r="U125" s="21"/>
      <c r="V125" s="19"/>
      <c r="W125" s="19" t="s">
        <v>144</v>
      </c>
      <c r="X125" s="19" t="s">
        <v>144</v>
      </c>
      <c r="Y125" s="19"/>
      <c r="Z125" s="19" t="s">
        <v>68</v>
      </c>
      <c r="AA125" s="19"/>
      <c r="AB125" s="4"/>
      <c r="AC125" s="4"/>
      <c r="AD125" s="19"/>
      <c r="AE125" s="19"/>
      <c r="AF125" s="19"/>
      <c r="AG125" s="19"/>
      <c r="AH125" s="19"/>
      <c r="AI125" s="19"/>
      <c r="AJ125" s="19"/>
      <c r="AK125" s="19"/>
      <c r="AL125" s="19"/>
      <c r="AM125" s="19"/>
      <c r="AN125" s="19"/>
      <c r="AO125" s="19"/>
      <c r="AP125" s="19"/>
      <c r="AQ125" s="19"/>
      <c r="AR125" s="19"/>
      <c r="AS125" s="27"/>
    </row>
    <row r="126" spans="1:45">
      <c r="A126" s="19">
        <f t="shared" si="1"/>
        <v>125</v>
      </c>
      <c r="B126" s="20">
        <v>45638</v>
      </c>
      <c r="C126" s="19" t="s">
        <v>1101</v>
      </c>
      <c r="D126" s="19" t="s">
        <v>1432</v>
      </c>
      <c r="E126" s="19">
        <v>20249317</v>
      </c>
      <c r="F126" s="19" t="s">
        <v>1497</v>
      </c>
      <c r="G126" s="19">
        <v>9739591177</v>
      </c>
      <c r="H126" s="19" t="s">
        <v>1498</v>
      </c>
      <c r="I126" s="19" t="s">
        <v>123</v>
      </c>
      <c r="J126" s="19" t="s">
        <v>1485</v>
      </c>
      <c r="K126" s="19" t="s">
        <v>977</v>
      </c>
      <c r="L126" s="19" t="s">
        <v>1499</v>
      </c>
      <c r="M126" s="19" t="s">
        <v>1500</v>
      </c>
      <c r="N126" s="19" t="s">
        <v>1501</v>
      </c>
      <c r="O126" s="19"/>
      <c r="P126" s="19" t="s">
        <v>1502</v>
      </c>
      <c r="Q126" s="19" t="s">
        <v>1392</v>
      </c>
      <c r="R126" s="19" t="s">
        <v>72</v>
      </c>
      <c r="S126" s="19" t="s">
        <v>1158</v>
      </c>
      <c r="T126" s="19" t="s">
        <v>858</v>
      </c>
      <c r="U126" s="21"/>
      <c r="V126" s="19"/>
      <c r="W126" s="19" t="s">
        <v>144</v>
      </c>
      <c r="X126" s="19" t="s">
        <v>144</v>
      </c>
      <c r="Y126" s="19"/>
      <c r="Z126" s="19" t="s">
        <v>68</v>
      </c>
      <c r="AA126" s="19"/>
      <c r="AB126" s="4"/>
      <c r="AC126" s="4"/>
      <c r="AD126" s="19"/>
      <c r="AE126" s="19"/>
      <c r="AF126" s="19"/>
      <c r="AG126" s="19"/>
      <c r="AH126" s="19"/>
      <c r="AI126" s="19"/>
      <c r="AJ126" s="19"/>
      <c r="AK126" s="19"/>
      <c r="AL126" s="19"/>
      <c r="AM126" s="19"/>
      <c r="AN126" s="19"/>
      <c r="AO126" s="19"/>
      <c r="AP126" s="19"/>
      <c r="AQ126" s="19"/>
      <c r="AR126" s="19"/>
      <c r="AS126" s="27"/>
    </row>
    <row r="127" spans="1:45">
      <c r="A127" s="19">
        <f t="shared" si="1"/>
        <v>126</v>
      </c>
      <c r="B127" s="20">
        <v>45638</v>
      </c>
      <c r="C127" s="19" t="s">
        <v>1101</v>
      </c>
      <c r="D127" s="19" t="s">
        <v>1102</v>
      </c>
      <c r="E127" s="19">
        <v>20249317</v>
      </c>
      <c r="F127" s="19" t="s">
        <v>1503</v>
      </c>
      <c r="G127" s="19">
        <v>9840651280</v>
      </c>
      <c r="H127" s="19" t="s">
        <v>1504</v>
      </c>
      <c r="I127" s="19" t="s">
        <v>123</v>
      </c>
      <c r="J127" s="19" t="s">
        <v>1485</v>
      </c>
      <c r="K127" s="19" t="s">
        <v>977</v>
      </c>
      <c r="L127" s="19" t="s">
        <v>1505</v>
      </c>
      <c r="M127" s="19" t="s">
        <v>1506</v>
      </c>
      <c r="N127" s="19" t="s">
        <v>1501</v>
      </c>
      <c r="O127" s="19"/>
      <c r="P127" s="19" t="s">
        <v>1502</v>
      </c>
      <c r="Q127" s="19" t="s">
        <v>1392</v>
      </c>
      <c r="R127" s="19" t="s">
        <v>72</v>
      </c>
      <c r="S127" s="19" t="s">
        <v>1092</v>
      </c>
      <c r="T127" s="19" t="s">
        <v>858</v>
      </c>
      <c r="U127" s="21"/>
      <c r="V127" s="19"/>
      <c r="W127" s="19" t="s">
        <v>144</v>
      </c>
      <c r="X127" s="19" t="s">
        <v>144</v>
      </c>
      <c r="Y127" s="19"/>
      <c r="Z127" s="19" t="s">
        <v>68</v>
      </c>
      <c r="AA127" s="19"/>
      <c r="AB127" s="4"/>
      <c r="AC127" s="4"/>
      <c r="AD127" s="19"/>
      <c r="AE127" s="19"/>
      <c r="AF127" s="19"/>
      <c r="AG127" s="19"/>
      <c r="AH127" s="19"/>
      <c r="AI127" s="19"/>
      <c r="AJ127" s="19"/>
      <c r="AK127" s="19"/>
      <c r="AL127" s="19"/>
      <c r="AM127" s="19"/>
      <c r="AN127" s="19"/>
      <c r="AO127" s="19"/>
      <c r="AP127" s="19"/>
      <c r="AQ127" s="19"/>
      <c r="AR127" s="19"/>
      <c r="AS127" s="27"/>
    </row>
    <row r="128" spans="1:45">
      <c r="A128" s="19">
        <f t="shared" si="1"/>
        <v>127</v>
      </c>
      <c r="B128" s="20">
        <v>45638</v>
      </c>
      <c r="C128" s="19" t="s">
        <v>1101</v>
      </c>
      <c r="D128" s="19" t="s">
        <v>1432</v>
      </c>
      <c r="E128" s="19">
        <v>20249317</v>
      </c>
      <c r="F128" s="19" t="s">
        <v>1507</v>
      </c>
      <c r="G128" s="19">
        <v>9910155703</v>
      </c>
      <c r="H128" s="19" t="s">
        <v>1508</v>
      </c>
      <c r="I128" s="19" t="s">
        <v>123</v>
      </c>
      <c r="J128" s="19" t="s">
        <v>1485</v>
      </c>
      <c r="K128" s="19" t="s">
        <v>977</v>
      </c>
      <c r="L128" s="19" t="s">
        <v>1509</v>
      </c>
      <c r="M128" s="19" t="s">
        <v>1510</v>
      </c>
      <c r="N128" s="19" t="s">
        <v>1511</v>
      </c>
      <c r="O128" s="19"/>
      <c r="P128" s="19">
        <v>0.4</v>
      </c>
      <c r="Q128" s="19" t="s">
        <v>1512</v>
      </c>
      <c r="R128" s="19" t="s">
        <v>72</v>
      </c>
      <c r="S128" s="19" t="s">
        <v>1158</v>
      </c>
      <c r="T128" s="19" t="s">
        <v>858</v>
      </c>
      <c r="U128" s="21"/>
      <c r="V128" s="19"/>
      <c r="W128" s="19" t="s">
        <v>144</v>
      </c>
      <c r="X128" s="19" t="s">
        <v>144</v>
      </c>
      <c r="Y128" s="19"/>
      <c r="Z128" s="19" t="s">
        <v>68</v>
      </c>
      <c r="AA128" s="19"/>
      <c r="AB128" s="4"/>
      <c r="AC128" s="4"/>
      <c r="AD128" s="19"/>
      <c r="AE128" s="19"/>
      <c r="AF128" s="19"/>
      <c r="AG128" s="19"/>
      <c r="AH128" s="19"/>
      <c r="AI128" s="19"/>
      <c r="AJ128" s="19"/>
      <c r="AK128" s="19"/>
      <c r="AL128" s="19"/>
      <c r="AM128" s="19"/>
      <c r="AN128" s="19"/>
      <c r="AO128" s="19"/>
      <c r="AP128" s="19"/>
      <c r="AQ128" s="19"/>
      <c r="AR128" s="19"/>
      <c r="AS128" s="27"/>
    </row>
    <row r="129" spans="1:45">
      <c r="A129" s="19">
        <f t="shared" si="1"/>
        <v>128</v>
      </c>
      <c r="B129" s="20">
        <v>45638</v>
      </c>
      <c r="C129" s="19" t="s">
        <v>1101</v>
      </c>
      <c r="D129" s="19" t="s">
        <v>1102</v>
      </c>
      <c r="E129" s="19">
        <v>20249317</v>
      </c>
      <c r="F129" s="19" t="s">
        <v>1513</v>
      </c>
      <c r="G129" s="19">
        <v>9948785571</v>
      </c>
      <c r="H129" s="19" t="s">
        <v>1514</v>
      </c>
      <c r="I129" s="19" t="s">
        <v>123</v>
      </c>
      <c r="J129" s="19" t="s">
        <v>1485</v>
      </c>
      <c r="K129" s="19" t="s">
        <v>977</v>
      </c>
      <c r="L129" s="19" t="s">
        <v>1515</v>
      </c>
      <c r="M129" s="19" t="s">
        <v>1516</v>
      </c>
      <c r="N129" s="19" t="s">
        <v>1517</v>
      </c>
      <c r="O129" s="19"/>
      <c r="P129" s="19" t="s">
        <v>1518</v>
      </c>
      <c r="Q129" s="19" t="s">
        <v>714</v>
      </c>
      <c r="R129" s="19" t="s">
        <v>72</v>
      </c>
      <c r="S129" s="19" t="s">
        <v>1158</v>
      </c>
      <c r="T129" s="19" t="s">
        <v>858</v>
      </c>
      <c r="U129" s="21"/>
      <c r="V129" s="19"/>
      <c r="W129" s="19" t="s">
        <v>144</v>
      </c>
      <c r="X129" s="19" t="s">
        <v>144</v>
      </c>
      <c r="Y129" s="19"/>
      <c r="Z129" s="19" t="s">
        <v>68</v>
      </c>
      <c r="AA129" s="19"/>
      <c r="AB129" s="4"/>
      <c r="AC129" s="4"/>
      <c r="AD129" s="19"/>
      <c r="AE129" s="19"/>
      <c r="AF129" s="19"/>
      <c r="AG129" s="19"/>
      <c r="AH129" s="19"/>
      <c r="AI129" s="19"/>
      <c r="AJ129" s="19"/>
      <c r="AK129" s="19"/>
      <c r="AL129" s="19"/>
      <c r="AM129" s="19"/>
      <c r="AN129" s="19"/>
      <c r="AO129" s="19"/>
      <c r="AP129" s="19"/>
      <c r="AQ129" s="19"/>
      <c r="AR129" s="19"/>
      <c r="AS129" s="27"/>
    </row>
    <row r="130" spans="1:45">
      <c r="A130" s="19">
        <f t="shared" si="1"/>
        <v>129</v>
      </c>
      <c r="B130" s="20">
        <v>45638</v>
      </c>
      <c r="C130" s="19" t="s">
        <v>1101</v>
      </c>
      <c r="D130" s="19" t="s">
        <v>1432</v>
      </c>
      <c r="E130" s="19">
        <v>20249317</v>
      </c>
      <c r="F130" s="19" t="s">
        <v>1519</v>
      </c>
      <c r="G130" s="19">
        <v>7022156289</v>
      </c>
      <c r="H130" s="19" t="s">
        <v>1520</v>
      </c>
      <c r="I130" s="19" t="s">
        <v>123</v>
      </c>
      <c r="J130" s="19" t="s">
        <v>1485</v>
      </c>
      <c r="K130" s="19" t="s">
        <v>977</v>
      </c>
      <c r="L130" s="19" t="s">
        <v>1486</v>
      </c>
      <c r="M130" s="19" t="s">
        <v>1521</v>
      </c>
      <c r="N130" s="19" t="s">
        <v>1195</v>
      </c>
      <c r="O130" s="19"/>
      <c r="P130" s="19" t="s">
        <v>1522</v>
      </c>
      <c r="Q130" s="19" t="s">
        <v>1392</v>
      </c>
      <c r="R130" s="19" t="s">
        <v>72</v>
      </c>
      <c r="S130" s="19" t="s">
        <v>1067</v>
      </c>
      <c r="T130" s="19" t="s">
        <v>858</v>
      </c>
      <c r="U130" s="21"/>
      <c r="V130" s="19"/>
      <c r="W130" s="19" t="s">
        <v>144</v>
      </c>
      <c r="X130" s="19" t="s">
        <v>144</v>
      </c>
      <c r="Y130" s="19"/>
      <c r="Z130" s="19" t="s">
        <v>68</v>
      </c>
      <c r="AA130" s="19"/>
      <c r="AB130" s="4"/>
      <c r="AC130" s="4"/>
      <c r="AD130" s="19"/>
      <c r="AE130" s="19"/>
      <c r="AF130" s="19"/>
      <c r="AG130" s="19"/>
      <c r="AH130" s="19"/>
      <c r="AI130" s="19"/>
      <c r="AJ130" s="19"/>
      <c r="AK130" s="19"/>
      <c r="AL130" s="19"/>
      <c r="AM130" s="19"/>
      <c r="AN130" s="19"/>
      <c r="AO130" s="19"/>
      <c r="AP130" s="19"/>
      <c r="AQ130" s="19"/>
      <c r="AR130" s="19"/>
      <c r="AS130" s="27"/>
    </row>
    <row r="131" spans="1:45">
      <c r="A131" s="19">
        <f t="shared" ref="A131:A194" si="2">A130+1</f>
        <v>130</v>
      </c>
      <c r="B131" s="20">
        <v>45638</v>
      </c>
      <c r="C131" s="19" t="s">
        <v>1101</v>
      </c>
      <c r="D131" s="19" t="s">
        <v>1102</v>
      </c>
      <c r="E131" s="19">
        <v>20249317</v>
      </c>
      <c r="F131" s="19" t="s">
        <v>1523</v>
      </c>
      <c r="G131" s="19">
        <v>8087862543</v>
      </c>
      <c r="H131" s="19" t="s">
        <v>1524</v>
      </c>
      <c r="I131" s="19" t="s">
        <v>123</v>
      </c>
      <c r="J131" s="19" t="s">
        <v>1485</v>
      </c>
      <c r="K131" s="19" t="s">
        <v>977</v>
      </c>
      <c r="L131" s="19" t="s">
        <v>1525</v>
      </c>
      <c r="M131" s="19" t="s">
        <v>1487</v>
      </c>
      <c r="N131" s="19" t="s">
        <v>1526</v>
      </c>
      <c r="O131" s="19"/>
      <c r="P131" s="19" t="s">
        <v>1527</v>
      </c>
      <c r="Q131" s="19" t="s">
        <v>72</v>
      </c>
      <c r="R131" s="19" t="s">
        <v>72</v>
      </c>
      <c r="S131" s="19" t="s">
        <v>1158</v>
      </c>
      <c r="T131" s="19" t="s">
        <v>858</v>
      </c>
      <c r="U131" s="21"/>
      <c r="V131" s="19"/>
      <c r="W131" s="19" t="s">
        <v>144</v>
      </c>
      <c r="X131" s="19" t="s">
        <v>144</v>
      </c>
      <c r="Y131" s="19"/>
      <c r="Z131" s="19" t="s">
        <v>68</v>
      </c>
      <c r="AA131" s="19"/>
      <c r="AB131" s="4"/>
      <c r="AC131" s="4"/>
      <c r="AD131" s="19"/>
      <c r="AE131" s="19"/>
      <c r="AF131" s="19"/>
      <c r="AG131" s="19"/>
      <c r="AH131" s="19"/>
      <c r="AI131" s="19"/>
      <c r="AJ131" s="19"/>
      <c r="AK131" s="19"/>
      <c r="AL131" s="19"/>
      <c r="AM131" s="19"/>
      <c r="AN131" s="19"/>
      <c r="AO131" s="19"/>
      <c r="AP131" s="19"/>
      <c r="AQ131" s="19"/>
      <c r="AR131" s="19"/>
      <c r="AS131" s="27"/>
    </row>
    <row r="132" spans="1:45">
      <c r="A132" s="19">
        <f t="shared" si="2"/>
        <v>131</v>
      </c>
      <c r="B132" s="20">
        <v>45638</v>
      </c>
      <c r="C132" s="19" t="s">
        <v>1101</v>
      </c>
      <c r="D132" s="19" t="s">
        <v>1432</v>
      </c>
      <c r="E132" s="19">
        <v>20251843</v>
      </c>
      <c r="F132" s="19" t="s">
        <v>1528</v>
      </c>
      <c r="G132" s="19">
        <v>8550911181</v>
      </c>
      <c r="H132" s="19" t="s">
        <v>1529</v>
      </c>
      <c r="I132" s="19" t="s">
        <v>123</v>
      </c>
      <c r="J132" s="19" t="s">
        <v>305</v>
      </c>
      <c r="K132" s="19" t="s">
        <v>306</v>
      </c>
      <c r="L132" s="19" t="s">
        <v>1230</v>
      </c>
      <c r="M132" s="19" t="s">
        <v>1064</v>
      </c>
      <c r="N132" s="19" t="s">
        <v>1090</v>
      </c>
      <c r="O132" s="19"/>
      <c r="P132" s="19" t="s">
        <v>1075</v>
      </c>
      <c r="Q132" s="19" t="s">
        <v>72</v>
      </c>
      <c r="R132" s="19" t="s">
        <v>72</v>
      </c>
      <c r="S132" s="19" t="s">
        <v>1530</v>
      </c>
      <c r="T132" s="19" t="s">
        <v>858</v>
      </c>
      <c r="U132" s="21"/>
      <c r="V132" s="19"/>
      <c r="W132" s="19" t="s">
        <v>144</v>
      </c>
      <c r="X132" s="19" t="s">
        <v>144</v>
      </c>
      <c r="Y132" s="19"/>
      <c r="Z132" s="19" t="s">
        <v>68</v>
      </c>
      <c r="AA132" s="19"/>
      <c r="AB132" s="4"/>
      <c r="AC132" s="4"/>
      <c r="AD132" s="19"/>
      <c r="AE132" s="19"/>
      <c r="AF132" s="19"/>
      <c r="AG132" s="19"/>
      <c r="AH132" s="19"/>
      <c r="AI132" s="19"/>
      <c r="AJ132" s="19"/>
      <c r="AK132" s="19"/>
      <c r="AL132" s="19"/>
      <c r="AM132" s="19"/>
      <c r="AN132" s="19"/>
      <c r="AO132" s="19"/>
      <c r="AP132" s="19"/>
      <c r="AQ132" s="19"/>
      <c r="AR132" s="19"/>
      <c r="AS132" s="27"/>
    </row>
    <row r="133" spans="1:45">
      <c r="A133" s="19">
        <f t="shared" si="2"/>
        <v>132</v>
      </c>
      <c r="B133" s="20">
        <v>45638</v>
      </c>
      <c r="C133" s="19" t="s">
        <v>1101</v>
      </c>
      <c r="D133" s="19" t="s">
        <v>1102</v>
      </c>
      <c r="E133" s="19">
        <v>20251843</v>
      </c>
      <c r="F133" s="19" t="s">
        <v>1531</v>
      </c>
      <c r="G133" s="19">
        <v>9823538454</v>
      </c>
      <c r="H133" s="19" t="s">
        <v>1532</v>
      </c>
      <c r="I133" s="19" t="s">
        <v>123</v>
      </c>
      <c r="J133" s="19" t="s">
        <v>305</v>
      </c>
      <c r="K133" s="19" t="s">
        <v>306</v>
      </c>
      <c r="L133" s="19" t="s">
        <v>1247</v>
      </c>
      <c r="M133" s="19" t="s">
        <v>1533</v>
      </c>
      <c r="N133" s="19" t="s">
        <v>1191</v>
      </c>
      <c r="O133" s="19"/>
      <c r="P133" s="19" t="s">
        <v>1285</v>
      </c>
      <c r="Q133" s="19" t="s">
        <v>72</v>
      </c>
      <c r="R133" s="19" t="s">
        <v>72</v>
      </c>
      <c r="S133" s="19" t="s">
        <v>1067</v>
      </c>
      <c r="T133" s="19" t="s">
        <v>858</v>
      </c>
      <c r="U133" s="21"/>
      <c r="V133" s="19"/>
      <c r="W133" s="19" t="s">
        <v>144</v>
      </c>
      <c r="X133" s="19" t="s">
        <v>144</v>
      </c>
      <c r="Y133" s="19"/>
      <c r="Z133" s="19" t="s">
        <v>68</v>
      </c>
      <c r="AA133" s="19"/>
      <c r="AB133" s="4"/>
      <c r="AC133" s="4"/>
      <c r="AD133" s="19"/>
      <c r="AE133" s="19"/>
      <c r="AF133" s="19"/>
      <c r="AG133" s="19"/>
      <c r="AH133" s="19"/>
      <c r="AI133" s="19"/>
      <c r="AJ133" s="19"/>
      <c r="AK133" s="19"/>
      <c r="AL133" s="19"/>
      <c r="AM133" s="19"/>
      <c r="AN133" s="19"/>
      <c r="AO133" s="19"/>
      <c r="AP133" s="19"/>
      <c r="AQ133" s="19"/>
      <c r="AR133" s="19"/>
      <c r="AS133" s="27"/>
    </row>
    <row r="134" spans="1:45">
      <c r="A134" s="19">
        <f t="shared" si="2"/>
        <v>133</v>
      </c>
      <c r="B134" s="20">
        <v>45638</v>
      </c>
      <c r="C134" s="19" t="s">
        <v>1101</v>
      </c>
      <c r="D134" s="19" t="s">
        <v>1102</v>
      </c>
      <c r="E134" s="19">
        <v>20251843</v>
      </c>
      <c r="F134" s="19" t="s">
        <v>1534</v>
      </c>
      <c r="G134" s="19">
        <v>8007662271</v>
      </c>
      <c r="H134" s="19" t="s">
        <v>1535</v>
      </c>
      <c r="I134" s="19" t="s">
        <v>123</v>
      </c>
      <c r="J134" s="19" t="s">
        <v>305</v>
      </c>
      <c r="K134" s="19" t="s">
        <v>306</v>
      </c>
      <c r="L134" s="19" t="s">
        <v>1247</v>
      </c>
      <c r="M134" s="19" t="s">
        <v>1536</v>
      </c>
      <c r="N134" s="19" t="s">
        <v>1066</v>
      </c>
      <c r="O134" s="19"/>
      <c r="P134" s="19" t="s">
        <v>1448</v>
      </c>
      <c r="Q134" s="19" t="s">
        <v>72</v>
      </c>
      <c r="R134" s="19" t="s">
        <v>72</v>
      </c>
      <c r="S134" s="19" t="s">
        <v>1067</v>
      </c>
      <c r="T134" s="19" t="s">
        <v>858</v>
      </c>
      <c r="U134" s="21"/>
      <c r="V134" s="19"/>
      <c r="W134" s="19" t="s">
        <v>144</v>
      </c>
      <c r="X134" s="19" t="s">
        <v>144</v>
      </c>
      <c r="Y134" s="19"/>
      <c r="Z134" s="19" t="s">
        <v>68</v>
      </c>
      <c r="AA134" s="19"/>
      <c r="AB134" s="4"/>
      <c r="AC134" s="4"/>
      <c r="AD134" s="19"/>
      <c r="AE134" s="19"/>
      <c r="AF134" s="19"/>
      <c r="AG134" s="19"/>
      <c r="AH134" s="19"/>
      <c r="AI134" s="19"/>
      <c r="AJ134" s="19"/>
      <c r="AK134" s="19"/>
      <c r="AL134" s="19"/>
      <c r="AM134" s="19"/>
      <c r="AN134" s="19"/>
      <c r="AO134" s="19"/>
      <c r="AP134" s="19"/>
      <c r="AQ134" s="19"/>
      <c r="AR134" s="19"/>
      <c r="AS134" s="27"/>
    </row>
    <row r="135" spans="1:45">
      <c r="A135" s="19">
        <f t="shared" si="2"/>
        <v>134</v>
      </c>
      <c r="B135" s="20">
        <v>45638</v>
      </c>
      <c r="C135" s="19" t="s">
        <v>1101</v>
      </c>
      <c r="D135" s="19" t="s">
        <v>1102</v>
      </c>
      <c r="E135" s="19">
        <v>20251843</v>
      </c>
      <c r="F135" s="19" t="s">
        <v>1537</v>
      </c>
      <c r="G135" s="19">
        <v>9665093131</v>
      </c>
      <c r="H135" s="19" t="s">
        <v>1538</v>
      </c>
      <c r="I135" s="19" t="s">
        <v>123</v>
      </c>
      <c r="J135" s="19" t="s">
        <v>305</v>
      </c>
      <c r="K135" s="19" t="s">
        <v>306</v>
      </c>
      <c r="L135" s="19" t="s">
        <v>1076</v>
      </c>
      <c r="M135" s="19" t="s">
        <v>1539</v>
      </c>
      <c r="N135" s="19" t="s">
        <v>1079</v>
      </c>
      <c r="O135" s="19"/>
      <c r="P135" s="19" t="s">
        <v>1540</v>
      </c>
      <c r="Q135" s="19" t="s">
        <v>72</v>
      </c>
      <c r="R135" s="19" t="s">
        <v>72</v>
      </c>
      <c r="S135" s="19" t="s">
        <v>1530</v>
      </c>
      <c r="T135" s="19" t="s">
        <v>858</v>
      </c>
      <c r="U135" s="21"/>
      <c r="V135" s="19"/>
      <c r="W135" s="19" t="s">
        <v>144</v>
      </c>
      <c r="X135" s="19" t="s">
        <v>144</v>
      </c>
      <c r="Y135" s="19"/>
      <c r="Z135" s="19" t="s">
        <v>68</v>
      </c>
      <c r="AA135" s="19"/>
      <c r="AB135" s="4"/>
      <c r="AC135" s="4"/>
      <c r="AD135" s="19"/>
      <c r="AE135" s="19"/>
      <c r="AF135" s="19"/>
      <c r="AG135" s="19"/>
      <c r="AH135" s="19"/>
      <c r="AI135" s="19"/>
      <c r="AJ135" s="19"/>
      <c r="AK135" s="19"/>
      <c r="AL135" s="19"/>
      <c r="AM135" s="19"/>
      <c r="AN135" s="19"/>
      <c r="AO135" s="19"/>
      <c r="AP135" s="19"/>
      <c r="AQ135" s="19"/>
      <c r="AR135" s="19"/>
      <c r="AS135" s="27"/>
    </row>
    <row r="136" spans="1:45">
      <c r="A136" s="19">
        <f t="shared" si="2"/>
        <v>135</v>
      </c>
      <c r="B136" s="20">
        <v>45638</v>
      </c>
      <c r="C136" s="19" t="s">
        <v>1101</v>
      </c>
      <c r="D136" s="19" t="s">
        <v>1160</v>
      </c>
      <c r="E136" s="19">
        <v>20251843</v>
      </c>
      <c r="F136" s="19" t="s">
        <v>1541</v>
      </c>
      <c r="G136" s="19">
        <v>9921133883</v>
      </c>
      <c r="H136" s="19" t="s">
        <v>1542</v>
      </c>
      <c r="I136" s="19" t="s">
        <v>123</v>
      </c>
      <c r="J136" s="19" t="s">
        <v>305</v>
      </c>
      <c r="K136" s="19" t="s">
        <v>306</v>
      </c>
      <c r="L136" s="19" t="s">
        <v>1458</v>
      </c>
      <c r="M136" s="19" t="s">
        <v>1543</v>
      </c>
      <c r="N136" s="19" t="s">
        <v>1544</v>
      </c>
      <c r="O136" s="19"/>
      <c r="P136" s="19">
        <v>0.3</v>
      </c>
      <c r="Q136" s="19" t="s">
        <v>72</v>
      </c>
      <c r="R136" s="19" t="s">
        <v>72</v>
      </c>
      <c r="S136" s="19" t="s">
        <v>1067</v>
      </c>
      <c r="T136" s="19" t="s">
        <v>858</v>
      </c>
      <c r="U136" s="21"/>
      <c r="V136" s="19"/>
      <c r="W136" s="19" t="s">
        <v>144</v>
      </c>
      <c r="X136" s="19" t="s">
        <v>144</v>
      </c>
      <c r="Y136" s="19"/>
      <c r="Z136" s="19" t="s">
        <v>68</v>
      </c>
      <c r="AA136" s="19"/>
      <c r="AB136" s="4"/>
      <c r="AC136" s="4"/>
      <c r="AD136" s="19"/>
      <c r="AE136" s="19"/>
      <c r="AF136" s="19"/>
      <c r="AG136" s="19"/>
      <c r="AH136" s="19"/>
      <c r="AI136" s="19"/>
      <c r="AJ136" s="19"/>
      <c r="AK136" s="19"/>
      <c r="AL136" s="19"/>
      <c r="AM136" s="19"/>
      <c r="AN136" s="19"/>
      <c r="AO136" s="19"/>
      <c r="AP136" s="19"/>
      <c r="AQ136" s="19"/>
      <c r="AR136" s="19"/>
      <c r="AS136" s="27"/>
    </row>
    <row r="137" spans="1:45">
      <c r="A137" s="19">
        <f t="shared" si="2"/>
        <v>136</v>
      </c>
      <c r="B137" s="20">
        <v>45638</v>
      </c>
      <c r="C137" s="19" t="s">
        <v>1101</v>
      </c>
      <c r="D137" s="19" t="s">
        <v>1102</v>
      </c>
      <c r="E137" s="19">
        <v>20251843</v>
      </c>
      <c r="F137" s="19" t="s">
        <v>1545</v>
      </c>
      <c r="G137" s="19" t="s">
        <v>1546</v>
      </c>
      <c r="H137" s="19" t="s">
        <v>1547</v>
      </c>
      <c r="I137" s="19" t="s">
        <v>123</v>
      </c>
      <c r="J137" s="19" t="s">
        <v>305</v>
      </c>
      <c r="K137" s="19" t="s">
        <v>306</v>
      </c>
      <c r="L137" s="19" t="s">
        <v>1328</v>
      </c>
      <c r="M137" s="19" t="s">
        <v>1548</v>
      </c>
      <c r="N137" s="19" t="s">
        <v>1238</v>
      </c>
      <c r="O137" s="19"/>
      <c r="P137" s="19" t="s">
        <v>1194</v>
      </c>
      <c r="Q137" s="19" t="s">
        <v>72</v>
      </c>
      <c r="R137" s="19" t="s">
        <v>72</v>
      </c>
      <c r="S137" s="19" t="s">
        <v>1067</v>
      </c>
      <c r="T137" s="19" t="s">
        <v>858</v>
      </c>
      <c r="U137" s="21"/>
      <c r="V137" s="19"/>
      <c r="W137" s="19" t="s">
        <v>144</v>
      </c>
      <c r="X137" s="19" t="s">
        <v>144</v>
      </c>
      <c r="Y137" s="19"/>
      <c r="Z137" s="19" t="s">
        <v>68</v>
      </c>
      <c r="AA137" s="19"/>
      <c r="AB137" s="4"/>
      <c r="AC137" s="4"/>
      <c r="AD137" s="19"/>
      <c r="AE137" s="19"/>
      <c r="AF137" s="19"/>
      <c r="AG137" s="19"/>
      <c r="AH137" s="19"/>
      <c r="AI137" s="19"/>
      <c r="AJ137" s="19"/>
      <c r="AK137" s="19"/>
      <c r="AL137" s="19"/>
      <c r="AM137" s="19"/>
      <c r="AN137" s="19"/>
      <c r="AO137" s="19"/>
      <c r="AP137" s="19"/>
      <c r="AQ137" s="19"/>
      <c r="AR137" s="19"/>
      <c r="AS137" s="27"/>
    </row>
    <row r="138" spans="1:45">
      <c r="A138" s="19">
        <f t="shared" si="2"/>
        <v>137</v>
      </c>
      <c r="B138" s="20">
        <v>45642</v>
      </c>
      <c r="C138" s="19" t="s">
        <v>1101</v>
      </c>
      <c r="D138" s="19" t="s">
        <v>1102</v>
      </c>
      <c r="E138" s="19">
        <v>20245321</v>
      </c>
      <c r="F138" s="19" t="s">
        <v>1549</v>
      </c>
      <c r="G138" s="19">
        <v>7066510038</v>
      </c>
      <c r="H138" s="19" t="s">
        <v>1550</v>
      </c>
      <c r="I138" s="19" t="s">
        <v>86</v>
      </c>
      <c r="J138" s="19" t="s">
        <v>114</v>
      </c>
      <c r="K138" s="19" t="s">
        <v>1105</v>
      </c>
      <c r="L138" s="19">
        <v>12</v>
      </c>
      <c r="M138" s="19" t="s">
        <v>1551</v>
      </c>
      <c r="N138" s="19">
        <v>6</v>
      </c>
      <c r="O138" s="19">
        <v>0</v>
      </c>
      <c r="P138" s="19">
        <v>12</v>
      </c>
      <c r="Q138" s="19" t="s">
        <v>1552</v>
      </c>
      <c r="R138" s="19" t="s">
        <v>72</v>
      </c>
      <c r="S138" s="19" t="s">
        <v>1121</v>
      </c>
      <c r="T138" s="19" t="s">
        <v>1057</v>
      </c>
      <c r="U138" s="21"/>
      <c r="V138" s="19"/>
      <c r="W138" s="19" t="s">
        <v>74</v>
      </c>
      <c r="X138" s="19" t="s">
        <v>74</v>
      </c>
      <c r="Y138" s="19" t="s">
        <v>70</v>
      </c>
      <c r="Z138" s="19" t="s">
        <v>68</v>
      </c>
      <c r="AA138" s="4">
        <v>45642</v>
      </c>
      <c r="AB138" s="4">
        <v>45643</v>
      </c>
      <c r="AC138" s="4">
        <v>45643</v>
      </c>
      <c r="AD138" s="19"/>
      <c r="AE138" s="19"/>
      <c r="AF138" s="19"/>
      <c r="AG138" s="19"/>
      <c r="AH138" s="19"/>
      <c r="AI138" s="19"/>
      <c r="AJ138" s="19"/>
      <c r="AK138" s="19"/>
      <c r="AL138" s="19"/>
      <c r="AM138" s="19"/>
      <c r="AN138" s="19"/>
      <c r="AO138" s="19"/>
      <c r="AP138" s="19"/>
      <c r="AQ138" s="19"/>
      <c r="AR138" s="19"/>
      <c r="AS138" s="27"/>
    </row>
    <row r="139" spans="1:45">
      <c r="A139" s="19">
        <f t="shared" si="2"/>
        <v>138</v>
      </c>
      <c r="B139" s="20">
        <v>45642</v>
      </c>
      <c r="C139" s="19" t="s">
        <v>1101</v>
      </c>
      <c r="D139" s="19" t="s">
        <v>1122</v>
      </c>
      <c r="E139" s="19">
        <v>20250717</v>
      </c>
      <c r="F139" s="19" t="s">
        <v>1553</v>
      </c>
      <c r="G139" s="19">
        <v>7875100364</v>
      </c>
      <c r="H139" s="19" t="s">
        <v>1554</v>
      </c>
      <c r="I139" s="19" t="s">
        <v>86</v>
      </c>
      <c r="J139" s="19" t="s">
        <v>1228</v>
      </c>
      <c r="K139" s="19" t="s">
        <v>569</v>
      </c>
      <c r="L139" s="19" t="s">
        <v>1555</v>
      </c>
      <c r="M139" s="19" t="s">
        <v>1281</v>
      </c>
      <c r="N139" s="19">
        <v>11.5</v>
      </c>
      <c r="O139" s="19">
        <v>0.06</v>
      </c>
      <c r="P139" s="19">
        <v>15</v>
      </c>
      <c r="Q139" s="19" t="s">
        <v>1556</v>
      </c>
      <c r="R139" s="19" t="s">
        <v>72</v>
      </c>
      <c r="S139" s="19" t="s">
        <v>1557</v>
      </c>
      <c r="T139" s="19"/>
      <c r="U139" s="21"/>
      <c r="V139" s="19"/>
      <c r="W139" s="19" t="s">
        <v>74</v>
      </c>
      <c r="X139" s="19" t="s">
        <v>74</v>
      </c>
      <c r="Y139" s="19" t="s">
        <v>70</v>
      </c>
      <c r="Z139" s="19" t="s">
        <v>68</v>
      </c>
      <c r="AA139" s="4">
        <v>45686</v>
      </c>
      <c r="AB139" s="4"/>
      <c r="AC139" s="4"/>
      <c r="AD139" s="19"/>
      <c r="AE139" s="19"/>
      <c r="AF139" s="19"/>
      <c r="AG139" s="19"/>
      <c r="AH139" s="19"/>
      <c r="AI139" s="19"/>
      <c r="AJ139" s="19"/>
      <c r="AK139" s="19"/>
      <c r="AL139" s="19"/>
      <c r="AM139" s="19"/>
      <c r="AN139" s="19"/>
      <c r="AO139" s="19"/>
      <c r="AP139" s="19"/>
      <c r="AQ139" s="19"/>
      <c r="AR139" s="19"/>
      <c r="AS139" s="27"/>
    </row>
    <row r="140" spans="1:45">
      <c r="A140" s="19">
        <f t="shared" si="2"/>
        <v>139</v>
      </c>
      <c r="B140" s="20">
        <v>45642</v>
      </c>
      <c r="C140" s="19" t="s">
        <v>1101</v>
      </c>
      <c r="D140" s="19" t="s">
        <v>974</v>
      </c>
      <c r="E140" s="19">
        <v>20250717</v>
      </c>
      <c r="F140" s="19" t="s">
        <v>1558</v>
      </c>
      <c r="G140" s="19">
        <v>9994598106</v>
      </c>
      <c r="H140" s="19" t="s">
        <v>1559</v>
      </c>
      <c r="I140" s="19" t="s">
        <v>123</v>
      </c>
      <c r="J140" s="19" t="s">
        <v>1228</v>
      </c>
      <c r="K140" s="19" t="s">
        <v>569</v>
      </c>
      <c r="L140" s="19">
        <v>7</v>
      </c>
      <c r="M140" s="19" t="s">
        <v>1106</v>
      </c>
      <c r="N140" s="19">
        <v>14</v>
      </c>
      <c r="O140" s="19">
        <v>0.1</v>
      </c>
      <c r="P140" s="19">
        <v>18</v>
      </c>
      <c r="Q140" s="19" t="s">
        <v>72</v>
      </c>
      <c r="R140" s="19" t="s">
        <v>72</v>
      </c>
      <c r="S140" s="19" t="s">
        <v>1139</v>
      </c>
      <c r="T140" s="19"/>
      <c r="U140" s="21"/>
      <c r="V140" s="19"/>
      <c r="W140" s="19" t="s">
        <v>74</v>
      </c>
      <c r="X140" s="19" t="s">
        <v>74</v>
      </c>
      <c r="Y140" s="19" t="s">
        <v>70</v>
      </c>
      <c r="Z140" s="19" t="s">
        <v>68</v>
      </c>
      <c r="AA140" s="4">
        <v>45686</v>
      </c>
      <c r="AB140" s="4"/>
      <c r="AC140" s="4"/>
      <c r="AD140" s="19"/>
      <c r="AE140" s="19"/>
      <c r="AF140" s="19"/>
      <c r="AG140" s="19"/>
      <c r="AH140" s="19"/>
      <c r="AI140" s="19"/>
      <c r="AJ140" s="19"/>
      <c r="AK140" s="19"/>
      <c r="AL140" s="19"/>
      <c r="AM140" s="19"/>
      <c r="AN140" s="19"/>
      <c r="AO140" s="19"/>
      <c r="AP140" s="19"/>
      <c r="AQ140" s="19"/>
      <c r="AR140" s="19"/>
      <c r="AS140" s="27"/>
    </row>
    <row r="141" spans="1:45">
      <c r="A141" s="19">
        <f t="shared" si="2"/>
        <v>140</v>
      </c>
      <c r="B141" s="20">
        <v>45642</v>
      </c>
      <c r="C141" s="19" t="s">
        <v>1101</v>
      </c>
      <c r="D141" s="19" t="s">
        <v>1102</v>
      </c>
      <c r="E141" s="19">
        <v>20250717</v>
      </c>
      <c r="F141" s="19" t="s">
        <v>1560</v>
      </c>
      <c r="G141" s="19">
        <v>8233622080</v>
      </c>
      <c r="H141" s="19" t="s">
        <v>1561</v>
      </c>
      <c r="I141" s="19" t="s">
        <v>123</v>
      </c>
      <c r="J141" s="19" t="s">
        <v>1228</v>
      </c>
      <c r="K141" s="19" t="s">
        <v>569</v>
      </c>
      <c r="L141" s="19">
        <v>6</v>
      </c>
      <c r="M141" s="19" t="s">
        <v>1551</v>
      </c>
      <c r="N141" s="19">
        <v>18</v>
      </c>
      <c r="O141" s="19">
        <v>0</v>
      </c>
      <c r="P141" s="19">
        <v>0.35</v>
      </c>
      <c r="Q141" s="19" t="s">
        <v>1562</v>
      </c>
      <c r="R141" s="19" t="s">
        <v>72</v>
      </c>
      <c r="S141" s="19" t="s">
        <v>1557</v>
      </c>
      <c r="T141" s="19"/>
      <c r="U141" s="21"/>
      <c r="V141" s="19"/>
      <c r="W141" s="19" t="s">
        <v>74</v>
      </c>
      <c r="X141" s="19" t="s">
        <v>74</v>
      </c>
      <c r="Y141" s="19" t="s">
        <v>70</v>
      </c>
      <c r="Z141" s="19" t="s">
        <v>68</v>
      </c>
      <c r="AA141" s="4">
        <v>45686</v>
      </c>
      <c r="AB141" s="4"/>
      <c r="AC141" s="4"/>
      <c r="AD141" s="19"/>
      <c r="AE141" s="19"/>
      <c r="AF141" s="19"/>
      <c r="AG141" s="19"/>
      <c r="AH141" s="19"/>
      <c r="AI141" s="19"/>
      <c r="AJ141" s="19"/>
      <c r="AK141" s="19"/>
      <c r="AL141" s="19"/>
      <c r="AM141" s="19"/>
      <c r="AN141" s="19"/>
      <c r="AO141" s="19"/>
      <c r="AP141" s="19"/>
      <c r="AQ141" s="19"/>
      <c r="AR141" s="19"/>
      <c r="AS141" s="27"/>
    </row>
    <row r="142" spans="1:45">
      <c r="A142" s="19">
        <f t="shared" si="2"/>
        <v>141</v>
      </c>
      <c r="B142" s="20">
        <v>45642</v>
      </c>
      <c r="C142" s="19" t="s">
        <v>1101</v>
      </c>
      <c r="D142" s="19" t="s">
        <v>1278</v>
      </c>
      <c r="E142" s="19">
        <v>20250717</v>
      </c>
      <c r="F142" s="19" t="s">
        <v>1563</v>
      </c>
      <c r="G142" s="19">
        <v>8766094018</v>
      </c>
      <c r="H142" s="19" t="s">
        <v>1564</v>
      </c>
      <c r="I142" s="19" t="s">
        <v>123</v>
      </c>
      <c r="J142" s="19" t="s">
        <v>1228</v>
      </c>
      <c r="K142" s="19" t="s">
        <v>569</v>
      </c>
      <c r="L142" s="19">
        <v>1.5</v>
      </c>
      <c r="M142" s="19" t="s">
        <v>1565</v>
      </c>
      <c r="N142" s="19">
        <v>3</v>
      </c>
      <c r="O142" s="19">
        <v>0</v>
      </c>
      <c r="P142" s="19">
        <v>5</v>
      </c>
      <c r="Q142" s="19" t="s">
        <v>1562</v>
      </c>
      <c r="R142" s="19" t="s">
        <v>72</v>
      </c>
      <c r="S142" s="19" t="s">
        <v>1566</v>
      </c>
      <c r="T142" s="19"/>
      <c r="U142" s="21"/>
      <c r="V142" s="19"/>
      <c r="W142" s="19" t="s">
        <v>74</v>
      </c>
      <c r="X142" s="19" t="s">
        <v>74</v>
      </c>
      <c r="Y142" s="19" t="s">
        <v>70</v>
      </c>
      <c r="Z142" s="19" t="s">
        <v>68</v>
      </c>
      <c r="AA142" s="4">
        <v>45686</v>
      </c>
      <c r="AB142" s="4"/>
      <c r="AC142" s="4"/>
      <c r="AD142" s="19"/>
      <c r="AE142" s="19"/>
      <c r="AF142" s="19"/>
      <c r="AG142" s="19"/>
      <c r="AH142" s="19"/>
      <c r="AI142" s="19"/>
      <c r="AJ142" s="19"/>
      <c r="AK142" s="19"/>
      <c r="AL142" s="19"/>
      <c r="AM142" s="19"/>
      <c r="AN142" s="19"/>
      <c r="AO142" s="19"/>
      <c r="AP142" s="19"/>
      <c r="AQ142" s="19"/>
      <c r="AR142" s="19"/>
      <c r="AS142" s="27"/>
    </row>
    <row r="143" spans="1:45">
      <c r="A143" s="19">
        <f t="shared" si="2"/>
        <v>142</v>
      </c>
      <c r="B143" s="20">
        <v>45642</v>
      </c>
      <c r="C143" s="19" t="s">
        <v>1101</v>
      </c>
      <c r="D143" s="19" t="s">
        <v>1278</v>
      </c>
      <c r="E143" s="19">
        <v>20250717</v>
      </c>
      <c r="F143" s="19" t="s">
        <v>1567</v>
      </c>
      <c r="G143" s="19">
        <v>9960172359</v>
      </c>
      <c r="H143" s="19" t="s">
        <v>1568</v>
      </c>
      <c r="I143" s="19" t="s">
        <v>123</v>
      </c>
      <c r="J143" s="19" t="s">
        <v>1228</v>
      </c>
      <c r="K143" s="19" t="s">
        <v>569</v>
      </c>
      <c r="L143" s="19">
        <v>10</v>
      </c>
      <c r="M143" s="19" t="s">
        <v>1569</v>
      </c>
      <c r="N143" s="19">
        <v>9</v>
      </c>
      <c r="O143" s="19">
        <v>0</v>
      </c>
      <c r="P143" s="19">
        <v>0.13</v>
      </c>
      <c r="Q143" s="19" t="s">
        <v>1282</v>
      </c>
      <c r="R143" s="19" t="s">
        <v>72</v>
      </c>
      <c r="S143" s="19" t="s">
        <v>1139</v>
      </c>
      <c r="T143" s="19"/>
      <c r="U143" s="21"/>
      <c r="V143" s="19"/>
      <c r="W143" s="19" t="s">
        <v>74</v>
      </c>
      <c r="X143" s="19" t="s">
        <v>74</v>
      </c>
      <c r="Y143" s="19" t="s">
        <v>70</v>
      </c>
      <c r="Z143" s="19" t="s">
        <v>68</v>
      </c>
      <c r="AA143" s="4">
        <v>45932</v>
      </c>
      <c r="AB143" s="4"/>
      <c r="AC143" s="4"/>
      <c r="AD143" s="19"/>
      <c r="AE143" s="19"/>
      <c r="AF143" s="19"/>
      <c r="AG143" s="19"/>
      <c r="AH143" s="19"/>
      <c r="AI143" s="19"/>
      <c r="AJ143" s="19"/>
      <c r="AK143" s="19"/>
      <c r="AL143" s="19"/>
      <c r="AM143" s="19"/>
      <c r="AN143" s="19"/>
      <c r="AO143" s="19"/>
      <c r="AP143" s="19"/>
      <c r="AQ143" s="19"/>
      <c r="AR143" s="19"/>
      <c r="AS143" s="27"/>
    </row>
    <row r="144" spans="1:45">
      <c r="A144" s="19">
        <f t="shared" si="2"/>
        <v>143</v>
      </c>
      <c r="B144" s="20">
        <v>45644</v>
      </c>
      <c r="C144" s="19" t="s">
        <v>1101</v>
      </c>
      <c r="D144" s="19" t="s">
        <v>1102</v>
      </c>
      <c r="E144" s="19">
        <v>20241431</v>
      </c>
      <c r="F144" s="19" t="s">
        <v>1570</v>
      </c>
      <c r="G144" s="19">
        <v>8446807024</v>
      </c>
      <c r="H144" s="19" t="s">
        <v>1571</v>
      </c>
      <c r="I144" s="19" t="s">
        <v>123</v>
      </c>
      <c r="J144" s="19" t="s">
        <v>604</v>
      </c>
      <c r="K144" s="19" t="s">
        <v>228</v>
      </c>
      <c r="L144" s="19">
        <v>4.5999999999999996</v>
      </c>
      <c r="M144" s="19" t="s">
        <v>1572</v>
      </c>
      <c r="N144" s="19">
        <v>7.5</v>
      </c>
      <c r="O144" s="19">
        <v>0</v>
      </c>
      <c r="P144" s="19">
        <v>12</v>
      </c>
      <c r="Q144" s="19" t="s">
        <v>1573</v>
      </c>
      <c r="R144" s="19" t="s">
        <v>72</v>
      </c>
      <c r="S144" s="19" t="s">
        <v>1574</v>
      </c>
      <c r="T144" s="19" t="s">
        <v>1575</v>
      </c>
      <c r="U144" s="21"/>
      <c r="V144" s="19"/>
      <c r="W144" s="19" t="s">
        <v>74</v>
      </c>
      <c r="X144" s="19" t="s">
        <v>74</v>
      </c>
      <c r="Y144" s="19" t="s">
        <v>70</v>
      </c>
      <c r="Z144" s="19" t="s">
        <v>68</v>
      </c>
      <c r="AA144" s="4">
        <v>45644</v>
      </c>
      <c r="AB144" s="4">
        <v>45645</v>
      </c>
      <c r="AC144" s="4">
        <v>45645</v>
      </c>
      <c r="AD144" s="19"/>
      <c r="AE144" s="19"/>
      <c r="AF144" s="19"/>
      <c r="AG144" s="19"/>
      <c r="AH144" s="19"/>
      <c r="AI144" s="19"/>
      <c r="AJ144" s="19"/>
      <c r="AK144" s="19"/>
      <c r="AL144" s="19"/>
      <c r="AM144" s="19"/>
      <c r="AN144" s="19"/>
      <c r="AO144" s="19"/>
      <c r="AP144" s="19"/>
      <c r="AQ144" s="19"/>
      <c r="AR144" s="19"/>
      <c r="AS144" s="27"/>
    </row>
    <row r="145" spans="1:45">
      <c r="A145" s="19">
        <f t="shared" si="2"/>
        <v>144</v>
      </c>
      <c r="B145" s="20">
        <v>45644</v>
      </c>
      <c r="C145" s="19" t="s">
        <v>1101</v>
      </c>
      <c r="D145" s="19" t="s">
        <v>1102</v>
      </c>
      <c r="E145" s="19">
        <v>20241431</v>
      </c>
      <c r="F145" s="19" t="s">
        <v>1576</v>
      </c>
      <c r="G145" s="19">
        <v>9699088357</v>
      </c>
      <c r="H145" s="19" t="s">
        <v>1577</v>
      </c>
      <c r="I145" s="19" t="s">
        <v>86</v>
      </c>
      <c r="J145" s="19" t="s">
        <v>604</v>
      </c>
      <c r="K145" s="19" t="s">
        <v>228</v>
      </c>
      <c r="L145" s="19">
        <v>5.5</v>
      </c>
      <c r="M145" s="19" t="s">
        <v>1214</v>
      </c>
      <c r="N145" s="19">
        <v>7.5</v>
      </c>
      <c r="O145" s="19" t="s">
        <v>1578</v>
      </c>
      <c r="P145" s="19">
        <v>16</v>
      </c>
      <c r="Q145" s="19" t="s">
        <v>1579</v>
      </c>
      <c r="R145" s="19" t="s">
        <v>72</v>
      </c>
      <c r="S145" s="19" t="s">
        <v>1580</v>
      </c>
      <c r="T145" s="19" t="s">
        <v>1057</v>
      </c>
      <c r="U145" s="21"/>
      <c r="V145" s="19"/>
      <c r="W145" s="19" t="s">
        <v>74</v>
      </c>
      <c r="X145" s="19" t="s">
        <v>74</v>
      </c>
      <c r="Y145" s="19" t="s">
        <v>70</v>
      </c>
      <c r="Z145" s="19" t="s">
        <v>68</v>
      </c>
      <c r="AA145" s="4">
        <v>45644</v>
      </c>
      <c r="AB145" s="4">
        <v>45645</v>
      </c>
      <c r="AC145" s="4">
        <v>45714</v>
      </c>
      <c r="AD145" s="19"/>
      <c r="AE145" s="19"/>
      <c r="AF145" s="19"/>
      <c r="AG145" s="19"/>
      <c r="AH145" s="19"/>
      <c r="AI145" s="19"/>
      <c r="AJ145" s="19"/>
      <c r="AK145" s="19"/>
      <c r="AL145" s="19"/>
      <c r="AM145" s="19"/>
      <c r="AN145" s="19"/>
      <c r="AO145" s="19"/>
      <c r="AP145" s="19"/>
      <c r="AQ145" s="19"/>
      <c r="AR145" s="19"/>
      <c r="AS145" s="27"/>
    </row>
    <row r="146" spans="1:45">
      <c r="A146" s="19">
        <f t="shared" si="2"/>
        <v>145</v>
      </c>
      <c r="B146" s="20">
        <v>45644</v>
      </c>
      <c r="C146" s="19" t="s">
        <v>1101</v>
      </c>
      <c r="D146" s="19" t="s">
        <v>1102</v>
      </c>
      <c r="E146" s="19">
        <v>20241431</v>
      </c>
      <c r="F146" s="19" t="s">
        <v>1581</v>
      </c>
      <c r="G146" s="19">
        <v>7276075617</v>
      </c>
      <c r="H146" s="19" t="s">
        <v>1582</v>
      </c>
      <c r="I146" s="19" t="s">
        <v>123</v>
      </c>
      <c r="J146" s="19" t="s">
        <v>604</v>
      </c>
      <c r="K146" s="19" t="s">
        <v>228</v>
      </c>
      <c r="L146" s="19">
        <v>3.3</v>
      </c>
      <c r="M146" s="19" t="s">
        <v>1583</v>
      </c>
      <c r="N146" s="19">
        <v>6.75</v>
      </c>
      <c r="O146" s="19">
        <v>0.1</v>
      </c>
      <c r="P146" s="19">
        <v>11</v>
      </c>
      <c r="Q146" s="19" t="s">
        <v>1584</v>
      </c>
      <c r="R146" s="19" t="s">
        <v>72</v>
      </c>
      <c r="S146" s="19" t="s">
        <v>1580</v>
      </c>
      <c r="T146" s="19" t="s">
        <v>1057</v>
      </c>
      <c r="U146" s="21"/>
      <c r="V146" s="19"/>
      <c r="W146" s="19" t="s">
        <v>74</v>
      </c>
      <c r="X146" s="19" t="s">
        <v>74</v>
      </c>
      <c r="Y146" s="19" t="s">
        <v>70</v>
      </c>
      <c r="Z146" s="19" t="s">
        <v>68</v>
      </c>
      <c r="AA146" s="4">
        <v>45644</v>
      </c>
      <c r="AB146" s="4">
        <v>45645</v>
      </c>
      <c r="AC146" s="4">
        <v>45705</v>
      </c>
      <c r="AD146" s="19"/>
      <c r="AE146" s="19"/>
      <c r="AF146" s="19"/>
      <c r="AG146" s="19"/>
      <c r="AH146" s="19"/>
      <c r="AI146" s="19"/>
      <c r="AJ146" s="19"/>
      <c r="AK146" s="19"/>
      <c r="AL146" s="19"/>
      <c r="AM146" s="19"/>
      <c r="AN146" s="19"/>
      <c r="AO146" s="19"/>
      <c r="AP146" s="19"/>
      <c r="AQ146" s="19"/>
      <c r="AR146" s="19"/>
      <c r="AS146" s="27"/>
    </row>
    <row r="147" spans="1:45">
      <c r="A147" s="19">
        <f t="shared" si="2"/>
        <v>146</v>
      </c>
      <c r="B147" s="20">
        <v>45644</v>
      </c>
      <c r="C147" s="19" t="s">
        <v>1101</v>
      </c>
      <c r="D147" s="19" t="s">
        <v>1102</v>
      </c>
      <c r="E147" s="19">
        <v>20241431</v>
      </c>
      <c r="F147" s="19" t="s">
        <v>1585</v>
      </c>
      <c r="G147" s="19" t="s">
        <v>1586</v>
      </c>
      <c r="H147" s="19" t="s">
        <v>1587</v>
      </c>
      <c r="I147" s="19" t="s">
        <v>123</v>
      </c>
      <c r="J147" s="19" t="s">
        <v>604</v>
      </c>
      <c r="K147" s="19" t="s">
        <v>228</v>
      </c>
      <c r="L147" s="19">
        <v>3</v>
      </c>
      <c r="M147" s="19" t="s">
        <v>1588</v>
      </c>
      <c r="N147" s="19">
        <v>4.8</v>
      </c>
      <c r="O147" s="19">
        <v>0</v>
      </c>
      <c r="P147" s="19">
        <v>8</v>
      </c>
      <c r="Q147" s="19" t="s">
        <v>1589</v>
      </c>
      <c r="R147" s="19" t="s">
        <v>72</v>
      </c>
      <c r="S147" s="19" t="s">
        <v>1590</v>
      </c>
      <c r="T147" s="19" t="s">
        <v>1057</v>
      </c>
      <c r="U147" s="21"/>
      <c r="V147" s="19"/>
      <c r="W147" s="19" t="s">
        <v>74</v>
      </c>
      <c r="X147" s="19" t="s">
        <v>74</v>
      </c>
      <c r="Y147" s="19" t="s">
        <v>70</v>
      </c>
      <c r="Z147" s="19" t="s">
        <v>68</v>
      </c>
      <c r="AA147" s="4">
        <v>45644</v>
      </c>
      <c r="AB147" s="4">
        <v>45645</v>
      </c>
      <c r="AC147" s="4">
        <v>45645</v>
      </c>
      <c r="AD147" s="19"/>
      <c r="AE147" s="19"/>
      <c r="AF147" s="19"/>
      <c r="AG147" s="19"/>
      <c r="AH147" s="19"/>
      <c r="AI147" s="19"/>
      <c r="AJ147" s="19"/>
      <c r="AK147" s="19"/>
      <c r="AL147" s="19"/>
      <c r="AM147" s="19"/>
      <c r="AN147" s="19"/>
      <c r="AO147" s="19"/>
      <c r="AP147" s="19"/>
      <c r="AQ147" s="19"/>
      <c r="AR147" s="19"/>
      <c r="AS147" s="27"/>
    </row>
    <row r="148" spans="1:45">
      <c r="A148" s="19">
        <f t="shared" si="2"/>
        <v>147</v>
      </c>
      <c r="B148" s="20">
        <v>45644</v>
      </c>
      <c r="C148" s="19" t="s">
        <v>1101</v>
      </c>
      <c r="D148" s="19" t="s">
        <v>1160</v>
      </c>
      <c r="E148" s="19">
        <v>20249317</v>
      </c>
      <c r="F148" s="19" t="s">
        <v>1591</v>
      </c>
      <c r="G148" s="19" t="s">
        <v>1592</v>
      </c>
      <c r="H148" s="19" t="s">
        <v>1593</v>
      </c>
      <c r="I148" s="19" t="s">
        <v>123</v>
      </c>
      <c r="J148" s="19" t="s">
        <v>1485</v>
      </c>
      <c r="K148" s="19" t="s">
        <v>977</v>
      </c>
      <c r="L148" s="19" t="s">
        <v>1081</v>
      </c>
      <c r="M148" s="19" t="s">
        <v>1594</v>
      </c>
      <c r="N148" s="19" t="s">
        <v>1448</v>
      </c>
      <c r="O148" s="19"/>
      <c r="P148" s="19" t="s">
        <v>1522</v>
      </c>
      <c r="Q148" s="19" t="s">
        <v>1595</v>
      </c>
      <c r="R148" s="19" t="s">
        <v>72</v>
      </c>
      <c r="S148" s="19" t="s">
        <v>1067</v>
      </c>
      <c r="T148" s="19" t="s">
        <v>858</v>
      </c>
      <c r="U148" s="21"/>
      <c r="V148" s="19"/>
      <c r="W148" s="19" t="s">
        <v>144</v>
      </c>
      <c r="X148" s="19" t="s">
        <v>144</v>
      </c>
      <c r="Y148" s="19"/>
      <c r="Z148" s="19" t="s">
        <v>68</v>
      </c>
      <c r="AA148" s="4"/>
      <c r="AB148" s="4"/>
      <c r="AC148" s="4">
        <v>45705</v>
      </c>
      <c r="AD148" s="19"/>
      <c r="AE148" s="19"/>
      <c r="AF148" s="19"/>
      <c r="AG148" s="19"/>
      <c r="AH148" s="19"/>
      <c r="AI148" s="19"/>
      <c r="AJ148" s="19"/>
      <c r="AK148" s="19"/>
      <c r="AL148" s="19"/>
      <c r="AM148" s="19"/>
      <c r="AN148" s="19"/>
      <c r="AO148" s="19"/>
      <c r="AP148" s="19"/>
      <c r="AQ148" s="19"/>
      <c r="AR148" s="19"/>
      <c r="AS148" s="27"/>
    </row>
    <row r="149" spans="1:45">
      <c r="A149" s="19">
        <f t="shared" si="2"/>
        <v>148</v>
      </c>
      <c r="B149" s="20">
        <v>45644</v>
      </c>
      <c r="C149" s="19" t="s">
        <v>1101</v>
      </c>
      <c r="D149" s="19" t="s">
        <v>1432</v>
      </c>
      <c r="E149" s="19">
        <v>20249317</v>
      </c>
      <c r="F149" s="19" t="s">
        <v>1596</v>
      </c>
      <c r="G149" s="19">
        <v>9763162499</v>
      </c>
      <c r="H149" s="19" t="s">
        <v>1597</v>
      </c>
      <c r="I149" s="19" t="s">
        <v>123</v>
      </c>
      <c r="J149" s="19" t="s">
        <v>1485</v>
      </c>
      <c r="K149" s="19" t="s">
        <v>977</v>
      </c>
      <c r="L149" s="19" t="s">
        <v>1192</v>
      </c>
      <c r="M149" s="19" t="s">
        <v>1598</v>
      </c>
      <c r="N149" s="19" t="s">
        <v>1599</v>
      </c>
      <c r="O149" s="19"/>
      <c r="P149" s="19">
        <v>0.3</v>
      </c>
      <c r="Q149" s="19" t="s">
        <v>1408</v>
      </c>
      <c r="R149" s="19" t="s">
        <v>72</v>
      </c>
      <c r="S149" s="19" t="s">
        <v>1067</v>
      </c>
      <c r="T149" s="19" t="s">
        <v>858</v>
      </c>
      <c r="U149" s="21"/>
      <c r="V149" s="19"/>
      <c r="W149" s="19" t="s">
        <v>144</v>
      </c>
      <c r="X149" s="19" t="s">
        <v>144</v>
      </c>
      <c r="Y149" s="19"/>
      <c r="Z149" s="19" t="s">
        <v>68</v>
      </c>
      <c r="AA149" s="19"/>
      <c r="AB149" s="4"/>
      <c r="AC149" s="4"/>
      <c r="AD149" s="19"/>
      <c r="AE149" s="19"/>
      <c r="AF149" s="19"/>
      <c r="AG149" s="19"/>
      <c r="AH149" s="19"/>
      <c r="AI149" s="19"/>
      <c r="AJ149" s="19"/>
      <c r="AK149" s="19"/>
      <c r="AL149" s="19"/>
      <c r="AM149" s="19"/>
      <c r="AN149" s="19"/>
      <c r="AO149" s="19"/>
      <c r="AP149" s="19"/>
      <c r="AQ149" s="19"/>
      <c r="AR149" s="19"/>
      <c r="AS149" s="27"/>
    </row>
    <row r="150" spans="1:45">
      <c r="A150" s="19">
        <f t="shared" si="2"/>
        <v>149</v>
      </c>
      <c r="B150" s="20">
        <v>45644</v>
      </c>
      <c r="C150" s="19" t="s">
        <v>400</v>
      </c>
      <c r="D150" s="19" t="s">
        <v>952</v>
      </c>
      <c r="E150" s="19">
        <v>20249317</v>
      </c>
      <c r="F150" s="19" t="s">
        <v>1600</v>
      </c>
      <c r="G150" s="19">
        <v>9291588656</v>
      </c>
      <c r="H150" s="19" t="s">
        <v>285</v>
      </c>
      <c r="I150" s="19" t="s">
        <v>123</v>
      </c>
      <c r="J150" s="19" t="s">
        <v>1485</v>
      </c>
      <c r="K150" s="19" t="s">
        <v>977</v>
      </c>
      <c r="L150" s="19" t="s">
        <v>1322</v>
      </c>
      <c r="M150" s="19" t="s">
        <v>1601</v>
      </c>
      <c r="N150" s="19" t="s">
        <v>1602</v>
      </c>
      <c r="O150" s="19"/>
      <c r="P150" s="19" t="s">
        <v>1522</v>
      </c>
      <c r="Q150" s="19" t="s">
        <v>1603</v>
      </c>
      <c r="R150" s="19" t="s">
        <v>72</v>
      </c>
      <c r="S150" s="19" t="s">
        <v>1067</v>
      </c>
      <c r="T150" s="19" t="s">
        <v>858</v>
      </c>
      <c r="U150" s="21"/>
      <c r="V150" s="19"/>
      <c r="W150" s="19" t="s">
        <v>144</v>
      </c>
      <c r="X150" s="19" t="s">
        <v>144</v>
      </c>
      <c r="Y150" s="19" t="s">
        <v>70</v>
      </c>
      <c r="Z150" s="19" t="s">
        <v>68</v>
      </c>
      <c r="AA150" s="19"/>
      <c r="AB150" s="4"/>
      <c r="AC150" s="4"/>
      <c r="AD150" s="19"/>
      <c r="AE150" s="19"/>
      <c r="AF150" s="19"/>
      <c r="AG150" s="19"/>
      <c r="AH150" s="19"/>
      <c r="AI150" s="19"/>
      <c r="AJ150" s="19"/>
      <c r="AK150" s="19"/>
      <c r="AL150" s="19"/>
      <c r="AM150" s="19"/>
      <c r="AN150" s="19"/>
      <c r="AO150" s="19"/>
      <c r="AP150" s="19"/>
      <c r="AQ150" s="19"/>
      <c r="AR150" s="19"/>
      <c r="AS150" s="27"/>
    </row>
    <row r="151" spans="1:45">
      <c r="A151" s="19">
        <f t="shared" si="2"/>
        <v>150</v>
      </c>
      <c r="B151" s="20">
        <v>45644</v>
      </c>
      <c r="C151" s="19" t="s">
        <v>1101</v>
      </c>
      <c r="D151" s="19" t="s">
        <v>1432</v>
      </c>
      <c r="E151" s="19">
        <v>20249317</v>
      </c>
      <c r="F151" s="19" t="s">
        <v>1604</v>
      </c>
      <c r="G151" s="19">
        <v>9814725588</v>
      </c>
      <c r="H151" s="19" t="s">
        <v>1605</v>
      </c>
      <c r="I151" s="19" t="s">
        <v>123</v>
      </c>
      <c r="J151" s="19" t="s">
        <v>1485</v>
      </c>
      <c r="K151" s="19" t="s">
        <v>977</v>
      </c>
      <c r="L151" s="19" t="s">
        <v>1606</v>
      </c>
      <c r="M151" s="19" t="s">
        <v>1607</v>
      </c>
      <c r="N151" s="19" t="s">
        <v>1194</v>
      </c>
      <c r="O151" s="19"/>
      <c r="P151" s="19" t="s">
        <v>1522</v>
      </c>
      <c r="Q151" s="19" t="s">
        <v>1603</v>
      </c>
      <c r="R151" s="19" t="s">
        <v>72</v>
      </c>
      <c r="S151" s="19" t="s">
        <v>1608</v>
      </c>
      <c r="T151" s="19" t="s">
        <v>1609</v>
      </c>
      <c r="U151" s="21"/>
      <c r="V151" s="19"/>
      <c r="W151" s="19" t="s">
        <v>144</v>
      </c>
      <c r="X151" s="19" t="s">
        <v>144</v>
      </c>
      <c r="Y151" s="19"/>
      <c r="Z151" s="19" t="s">
        <v>68</v>
      </c>
      <c r="AA151" s="19"/>
      <c r="AB151" s="4"/>
      <c r="AC151" s="4"/>
      <c r="AD151" s="19"/>
      <c r="AE151" s="19"/>
      <c r="AF151" s="19"/>
      <c r="AG151" s="19"/>
      <c r="AH151" s="19"/>
      <c r="AI151" s="19"/>
      <c r="AJ151" s="19"/>
      <c r="AK151" s="19"/>
      <c r="AL151" s="19"/>
      <c r="AM151" s="19"/>
      <c r="AN151" s="19"/>
      <c r="AO151" s="19"/>
      <c r="AP151" s="19"/>
      <c r="AQ151" s="19"/>
      <c r="AR151" s="19"/>
      <c r="AS151" s="27"/>
    </row>
    <row r="152" spans="1:45">
      <c r="A152" s="19">
        <f t="shared" si="2"/>
        <v>151</v>
      </c>
      <c r="B152" s="20">
        <v>45644</v>
      </c>
      <c r="C152" s="19" t="s">
        <v>1101</v>
      </c>
      <c r="D152" s="19" t="s">
        <v>1102</v>
      </c>
      <c r="E152" s="19">
        <v>20249317</v>
      </c>
      <c r="F152" s="19" t="s">
        <v>1610</v>
      </c>
      <c r="G152" s="19">
        <v>8018319807</v>
      </c>
      <c r="H152" s="19" t="s">
        <v>1611</v>
      </c>
      <c r="I152" s="19" t="s">
        <v>123</v>
      </c>
      <c r="J152" s="19" t="s">
        <v>1485</v>
      </c>
      <c r="K152" s="19" t="s">
        <v>977</v>
      </c>
      <c r="L152" s="19" t="s">
        <v>1285</v>
      </c>
      <c r="M152" s="19" t="s">
        <v>1612</v>
      </c>
      <c r="N152" s="19" t="s">
        <v>1084</v>
      </c>
      <c r="O152" s="19"/>
      <c r="P152" s="19" t="s">
        <v>1233</v>
      </c>
      <c r="Q152" s="19" t="s">
        <v>1392</v>
      </c>
      <c r="R152" s="19" t="s">
        <v>72</v>
      </c>
      <c r="S152" s="19" t="s">
        <v>1067</v>
      </c>
      <c r="T152" s="19" t="s">
        <v>858</v>
      </c>
      <c r="U152" s="21"/>
      <c r="V152" s="19"/>
      <c r="W152" s="19" t="s">
        <v>144</v>
      </c>
      <c r="X152" s="19" t="s">
        <v>144</v>
      </c>
      <c r="Y152" s="19"/>
      <c r="Z152" s="19" t="s">
        <v>68</v>
      </c>
      <c r="AA152" s="19"/>
      <c r="AB152" s="4"/>
      <c r="AC152" s="4"/>
      <c r="AD152" s="19"/>
      <c r="AE152" s="19"/>
      <c r="AF152" s="19"/>
      <c r="AG152" s="19"/>
      <c r="AH152" s="19"/>
      <c r="AI152" s="19"/>
      <c r="AJ152" s="19"/>
      <c r="AK152" s="19"/>
      <c r="AL152" s="19"/>
      <c r="AM152" s="19"/>
      <c r="AN152" s="19"/>
      <c r="AO152" s="19"/>
      <c r="AP152" s="19"/>
      <c r="AQ152" s="19"/>
      <c r="AR152" s="19"/>
      <c r="AS152" s="27"/>
    </row>
    <row r="153" spans="1:45">
      <c r="A153" s="19">
        <f t="shared" si="2"/>
        <v>152</v>
      </c>
      <c r="B153" s="20">
        <v>45644</v>
      </c>
      <c r="C153" s="19" t="s">
        <v>1101</v>
      </c>
      <c r="D153" s="19" t="s">
        <v>1432</v>
      </c>
      <c r="E153" s="19">
        <v>20249317</v>
      </c>
      <c r="F153" s="19" t="s">
        <v>1613</v>
      </c>
      <c r="G153" s="19">
        <v>8796655354</v>
      </c>
      <c r="H153" s="19" t="s">
        <v>1614</v>
      </c>
      <c r="I153" s="19" t="s">
        <v>123</v>
      </c>
      <c r="J153" s="19" t="s">
        <v>1485</v>
      </c>
      <c r="K153" s="19" t="s">
        <v>977</v>
      </c>
      <c r="L153" s="19" t="s">
        <v>1452</v>
      </c>
      <c r="M153" s="19" t="s">
        <v>1487</v>
      </c>
      <c r="N153" s="19" t="s">
        <v>1615</v>
      </c>
      <c r="O153" s="19"/>
      <c r="P153" s="19" t="s">
        <v>1522</v>
      </c>
      <c r="Q153" s="19" t="s">
        <v>72</v>
      </c>
      <c r="R153" s="19" t="s">
        <v>72</v>
      </c>
      <c r="S153" s="19" t="s">
        <v>1158</v>
      </c>
      <c r="T153" s="19" t="s">
        <v>858</v>
      </c>
      <c r="U153" s="21"/>
      <c r="V153" s="19"/>
      <c r="W153" s="19" t="s">
        <v>144</v>
      </c>
      <c r="X153" s="19" t="s">
        <v>144</v>
      </c>
      <c r="Y153" s="19"/>
      <c r="Z153" s="19" t="s">
        <v>68</v>
      </c>
      <c r="AA153" s="19"/>
      <c r="AB153" s="4"/>
      <c r="AC153" s="4"/>
      <c r="AD153" s="19"/>
      <c r="AE153" s="19"/>
      <c r="AF153" s="19"/>
      <c r="AG153" s="19"/>
      <c r="AH153" s="19"/>
      <c r="AI153" s="19"/>
      <c r="AJ153" s="19"/>
      <c r="AK153" s="19"/>
      <c r="AL153" s="19"/>
      <c r="AM153" s="19"/>
      <c r="AN153" s="19"/>
      <c r="AO153" s="19"/>
      <c r="AP153" s="19"/>
      <c r="AQ153" s="19"/>
      <c r="AR153" s="19"/>
      <c r="AS153" s="27"/>
    </row>
    <row r="154" spans="1:45">
      <c r="A154" s="19">
        <f t="shared" si="2"/>
        <v>153</v>
      </c>
      <c r="B154" s="20">
        <v>45736</v>
      </c>
      <c r="C154" s="19" t="s">
        <v>1101</v>
      </c>
      <c r="D154" s="19" t="s">
        <v>961</v>
      </c>
      <c r="E154" s="19">
        <v>20252855</v>
      </c>
      <c r="F154" s="19" t="s">
        <v>1616</v>
      </c>
      <c r="G154" s="19">
        <v>9421641725</v>
      </c>
      <c r="H154" s="19" t="s">
        <v>1617</v>
      </c>
      <c r="I154" s="19" t="s">
        <v>123</v>
      </c>
      <c r="J154" s="19" t="s">
        <v>276</v>
      </c>
      <c r="K154" s="19" t="s">
        <v>228</v>
      </c>
      <c r="L154" s="19" t="s">
        <v>1235</v>
      </c>
      <c r="M154" s="19" t="s">
        <v>1618</v>
      </c>
      <c r="N154" s="19" t="s">
        <v>1540</v>
      </c>
      <c r="O154" s="19"/>
      <c r="P154" s="19" t="s">
        <v>1194</v>
      </c>
      <c r="Q154" s="19" t="s">
        <v>72</v>
      </c>
      <c r="R154" s="19" t="s">
        <v>72</v>
      </c>
      <c r="S154" s="19" t="s">
        <v>1067</v>
      </c>
      <c r="T154" s="19" t="s">
        <v>858</v>
      </c>
      <c r="U154" s="21"/>
      <c r="V154" s="19"/>
      <c r="W154" s="19" t="s">
        <v>144</v>
      </c>
      <c r="X154" s="19" t="s">
        <v>144</v>
      </c>
      <c r="Y154" s="19"/>
      <c r="Z154" s="19" t="s">
        <v>68</v>
      </c>
      <c r="AA154" s="19"/>
      <c r="AB154" s="4"/>
      <c r="AC154" s="4"/>
      <c r="AD154" s="19"/>
      <c r="AE154" s="19"/>
      <c r="AF154" s="19"/>
      <c r="AG154" s="19"/>
      <c r="AH154" s="19"/>
      <c r="AI154" s="19"/>
      <c r="AJ154" s="19"/>
      <c r="AK154" s="19"/>
      <c r="AL154" s="19"/>
      <c r="AM154" s="19"/>
      <c r="AN154" s="19"/>
      <c r="AO154" s="19"/>
      <c r="AP154" s="19"/>
      <c r="AQ154" s="19"/>
      <c r="AR154" s="19"/>
      <c r="AS154" s="27"/>
    </row>
    <row r="155" spans="1:45">
      <c r="A155" s="19">
        <f t="shared" si="2"/>
        <v>154</v>
      </c>
      <c r="B155" s="20">
        <v>45645</v>
      </c>
      <c r="C155" s="19" t="s">
        <v>1101</v>
      </c>
      <c r="D155" s="19" t="s">
        <v>1102</v>
      </c>
      <c r="E155" s="19">
        <v>20252855</v>
      </c>
      <c r="F155" s="19" t="s">
        <v>1619</v>
      </c>
      <c r="G155" s="19">
        <v>9819498037</v>
      </c>
      <c r="H155" s="19" t="s">
        <v>1620</v>
      </c>
      <c r="I155" s="19" t="s">
        <v>123</v>
      </c>
      <c r="J155" s="19" t="s">
        <v>276</v>
      </c>
      <c r="K155" s="19" t="s">
        <v>228</v>
      </c>
      <c r="L155" s="19" t="s">
        <v>1452</v>
      </c>
      <c r="M155" s="19" t="s">
        <v>1621</v>
      </c>
      <c r="N155" s="19" t="s">
        <v>1448</v>
      </c>
      <c r="O155" s="19"/>
      <c r="P155" s="19" t="s">
        <v>1084</v>
      </c>
      <c r="Q155" s="19" t="s">
        <v>72</v>
      </c>
      <c r="R155" s="19" t="s">
        <v>72</v>
      </c>
      <c r="S155" s="19" t="s">
        <v>1067</v>
      </c>
      <c r="T155" s="19" t="s">
        <v>858</v>
      </c>
      <c r="U155" s="21"/>
      <c r="V155" s="19"/>
      <c r="W155" s="19" t="s">
        <v>144</v>
      </c>
      <c r="X155" s="19" t="s">
        <v>144</v>
      </c>
      <c r="Y155" s="19"/>
      <c r="Z155" s="19" t="s">
        <v>68</v>
      </c>
      <c r="AA155" s="19"/>
      <c r="AB155" s="4"/>
      <c r="AC155" s="4"/>
      <c r="AD155" s="19"/>
      <c r="AE155" s="19"/>
      <c r="AF155" s="19"/>
      <c r="AG155" s="19"/>
      <c r="AH155" s="19"/>
      <c r="AI155" s="19"/>
      <c r="AJ155" s="19"/>
      <c r="AK155" s="19"/>
      <c r="AL155" s="19"/>
      <c r="AM155" s="19"/>
      <c r="AN155" s="19"/>
      <c r="AO155" s="19"/>
      <c r="AP155" s="19"/>
      <c r="AQ155" s="19"/>
      <c r="AR155" s="19"/>
      <c r="AS155" s="27"/>
    </row>
    <row r="156" spans="1:45">
      <c r="A156" s="19">
        <f t="shared" si="2"/>
        <v>155</v>
      </c>
      <c r="B156" s="20">
        <v>45646</v>
      </c>
      <c r="C156" s="19" t="s">
        <v>400</v>
      </c>
      <c r="D156" s="19" t="s">
        <v>952</v>
      </c>
      <c r="E156">
        <v>20243108</v>
      </c>
      <c r="F156" s="19" t="s">
        <v>444</v>
      </c>
      <c r="G156" s="19">
        <v>9871282834</v>
      </c>
      <c r="H156" s="19" t="s">
        <v>445</v>
      </c>
      <c r="I156" s="19" t="s">
        <v>123</v>
      </c>
      <c r="J156" s="19" t="s">
        <v>1622</v>
      </c>
      <c r="K156" s="19" t="s">
        <v>1099</v>
      </c>
      <c r="L156" s="19" t="s">
        <v>1623</v>
      </c>
      <c r="M156" s="19" t="s">
        <v>1624</v>
      </c>
      <c r="N156" s="19">
        <v>36.5</v>
      </c>
      <c r="O156" s="19"/>
      <c r="P156" s="19" t="s">
        <v>1625</v>
      </c>
      <c r="Q156" s="19" t="s">
        <v>923</v>
      </c>
      <c r="R156" s="19" t="s">
        <v>923</v>
      </c>
      <c r="S156" s="19" t="s">
        <v>1626</v>
      </c>
      <c r="T156" s="19"/>
      <c r="U156" s="21">
        <v>45754</v>
      </c>
      <c r="V156" s="19"/>
      <c r="W156" s="19" t="s">
        <v>245</v>
      </c>
      <c r="X156" s="19" t="s">
        <v>245</v>
      </c>
      <c r="Y156" s="19" t="s">
        <v>70</v>
      </c>
      <c r="Z156" s="19" t="s">
        <v>68</v>
      </c>
      <c r="AA156" s="19"/>
      <c r="AB156" s="4"/>
      <c r="AC156" s="4"/>
      <c r="AD156" s="19"/>
      <c r="AE156" s="19"/>
      <c r="AF156" s="19"/>
      <c r="AG156" s="19"/>
      <c r="AH156" s="19"/>
      <c r="AI156" s="19"/>
      <c r="AJ156" s="19"/>
      <c r="AK156" s="19"/>
      <c r="AL156" s="19"/>
      <c r="AM156" s="19"/>
      <c r="AN156" s="19"/>
      <c r="AO156" s="19"/>
      <c r="AP156" s="19"/>
      <c r="AQ156" s="19"/>
      <c r="AR156" s="19"/>
      <c r="AS156" s="27"/>
    </row>
    <row r="157" spans="1:45">
      <c r="A157" s="19">
        <f t="shared" si="2"/>
        <v>156</v>
      </c>
      <c r="B157" s="20">
        <v>45651</v>
      </c>
      <c r="C157" s="19" t="s">
        <v>400</v>
      </c>
      <c r="D157" s="19" t="s">
        <v>952</v>
      </c>
      <c r="E157" s="19">
        <v>20243903</v>
      </c>
      <c r="F157" s="19" t="s">
        <v>434</v>
      </c>
      <c r="G157" s="19">
        <v>8862086872</v>
      </c>
      <c r="H157" s="19" t="s">
        <v>435</v>
      </c>
      <c r="I157" s="19" t="s">
        <v>86</v>
      </c>
      <c r="J157" s="19" t="s">
        <v>1627</v>
      </c>
      <c r="K157" s="19" t="s">
        <v>1628</v>
      </c>
      <c r="L157" s="19" t="s">
        <v>1629</v>
      </c>
      <c r="M157" s="19" t="s">
        <v>1630</v>
      </c>
      <c r="N157" s="19">
        <v>6.3</v>
      </c>
      <c r="O157" s="19"/>
      <c r="P157" s="19">
        <v>8</v>
      </c>
      <c r="Q157" s="19" t="s">
        <v>923</v>
      </c>
      <c r="R157" s="19" t="s">
        <v>923</v>
      </c>
      <c r="S157" s="19" t="s">
        <v>1631</v>
      </c>
      <c r="T157" s="19" t="s">
        <v>1632</v>
      </c>
      <c r="U157" s="21">
        <v>45740</v>
      </c>
      <c r="V157" s="19"/>
      <c r="W157" s="19" t="s">
        <v>245</v>
      </c>
      <c r="X157" s="19" t="s">
        <v>245</v>
      </c>
      <c r="Y157" s="19" t="s">
        <v>70</v>
      </c>
      <c r="Z157" s="19" t="s">
        <v>68</v>
      </c>
      <c r="AA157" s="19"/>
      <c r="AB157" s="4"/>
      <c r="AC157" s="4"/>
      <c r="AD157" s="19"/>
      <c r="AE157" s="19"/>
      <c r="AF157" s="19"/>
      <c r="AG157" s="19"/>
      <c r="AH157" s="19"/>
      <c r="AI157" s="19"/>
      <c r="AJ157" s="19"/>
      <c r="AK157" s="19"/>
      <c r="AL157" s="19"/>
      <c r="AM157" s="19"/>
      <c r="AN157" s="19"/>
      <c r="AO157" s="19"/>
      <c r="AP157" s="19"/>
      <c r="AQ157" s="19"/>
      <c r="AR157" s="19"/>
      <c r="AS157" s="27">
        <v>45747</v>
      </c>
    </row>
    <row r="158" spans="1:45">
      <c r="A158" s="19">
        <f t="shared" si="2"/>
        <v>157</v>
      </c>
      <c r="B158" s="20">
        <v>45658</v>
      </c>
      <c r="C158" s="19" t="s">
        <v>1101</v>
      </c>
      <c r="D158" s="19" t="s">
        <v>1432</v>
      </c>
      <c r="E158" s="19">
        <v>20252855</v>
      </c>
      <c r="F158" s="19" t="s">
        <v>1633</v>
      </c>
      <c r="G158" s="19">
        <v>9029320216</v>
      </c>
      <c r="H158" s="19" t="s">
        <v>1634</v>
      </c>
      <c r="I158" s="19" t="s">
        <v>123</v>
      </c>
      <c r="J158" s="19" t="s">
        <v>276</v>
      </c>
      <c r="K158" s="19" t="s">
        <v>228</v>
      </c>
      <c r="L158" s="19" t="s">
        <v>1247</v>
      </c>
      <c r="M158" s="19" t="s">
        <v>1635</v>
      </c>
      <c r="N158" s="19" t="s">
        <v>1540</v>
      </c>
      <c r="O158" s="19"/>
      <c r="P158" s="19" t="s">
        <v>1156</v>
      </c>
      <c r="Q158" s="19" t="s">
        <v>72</v>
      </c>
      <c r="R158" s="19" t="s">
        <v>72</v>
      </c>
      <c r="S158" s="19" t="s">
        <v>1636</v>
      </c>
      <c r="T158" s="19" t="s">
        <v>1637</v>
      </c>
      <c r="U158" s="21"/>
      <c r="V158" s="19"/>
      <c r="W158" s="19" t="s">
        <v>144</v>
      </c>
      <c r="X158" s="19" t="s">
        <v>144</v>
      </c>
      <c r="Y158" s="19"/>
      <c r="Z158" s="19" t="s">
        <v>68</v>
      </c>
      <c r="AA158" s="19"/>
      <c r="AB158" s="4"/>
      <c r="AC158" s="4"/>
      <c r="AD158" s="19"/>
      <c r="AE158" s="19"/>
      <c r="AF158" s="19"/>
      <c r="AG158" s="19"/>
      <c r="AH158" s="19"/>
      <c r="AI158" s="19"/>
      <c r="AJ158" s="19"/>
      <c r="AK158" s="19"/>
      <c r="AL158" s="19"/>
      <c r="AM158" s="19"/>
      <c r="AN158" s="19"/>
      <c r="AO158" s="19"/>
      <c r="AP158" s="19"/>
      <c r="AQ158" s="19"/>
      <c r="AR158" s="19"/>
      <c r="AS158" s="27"/>
    </row>
    <row r="159" spans="1:45">
      <c r="A159" s="19">
        <f t="shared" si="2"/>
        <v>158</v>
      </c>
      <c r="B159" s="20">
        <v>45658</v>
      </c>
      <c r="C159" s="19" t="s">
        <v>1101</v>
      </c>
      <c r="D159" s="19" t="s">
        <v>1432</v>
      </c>
      <c r="E159" s="19">
        <v>20252855</v>
      </c>
      <c r="F159" s="19" t="s">
        <v>1638</v>
      </c>
      <c r="G159" s="19">
        <v>9664795492</v>
      </c>
      <c r="H159" s="19" t="s">
        <v>1639</v>
      </c>
      <c r="I159" s="19" t="s">
        <v>123</v>
      </c>
      <c r="J159" s="19" t="s">
        <v>276</v>
      </c>
      <c r="K159" s="19" t="s">
        <v>228</v>
      </c>
      <c r="L159" s="19" t="s">
        <v>1435</v>
      </c>
      <c r="M159" s="19" t="s">
        <v>1640</v>
      </c>
      <c r="N159" s="19" t="s">
        <v>1641</v>
      </c>
      <c r="O159" s="19"/>
      <c r="P159" s="19" t="s">
        <v>1642</v>
      </c>
      <c r="Q159" s="19" t="s">
        <v>708</v>
      </c>
      <c r="R159" s="19" t="s">
        <v>72</v>
      </c>
      <c r="S159" s="19" t="s">
        <v>1067</v>
      </c>
      <c r="T159" s="19" t="s">
        <v>858</v>
      </c>
      <c r="U159" s="21"/>
      <c r="V159" s="19"/>
      <c r="W159" s="19" t="s">
        <v>144</v>
      </c>
      <c r="X159" s="19" t="s">
        <v>144</v>
      </c>
      <c r="Y159" s="19"/>
      <c r="Z159" s="19" t="s">
        <v>68</v>
      </c>
      <c r="AA159" s="19"/>
      <c r="AB159" s="4"/>
      <c r="AC159" s="4"/>
      <c r="AD159" s="19"/>
      <c r="AE159" s="19"/>
      <c r="AF159" s="19"/>
      <c r="AG159" s="19"/>
      <c r="AH159" s="19"/>
      <c r="AI159" s="19"/>
      <c r="AJ159" s="19"/>
      <c r="AK159" s="19"/>
      <c r="AL159" s="19"/>
      <c r="AM159" s="19"/>
      <c r="AN159" s="19"/>
      <c r="AO159" s="19"/>
      <c r="AP159" s="19"/>
      <c r="AQ159" s="19"/>
      <c r="AR159" s="19"/>
      <c r="AS159" s="27"/>
    </row>
    <row r="160" spans="1:45">
      <c r="A160" s="19">
        <f t="shared" si="2"/>
        <v>159</v>
      </c>
      <c r="B160" s="20">
        <v>45658</v>
      </c>
      <c r="C160" s="19" t="s">
        <v>1101</v>
      </c>
      <c r="D160" s="19" t="s">
        <v>1432</v>
      </c>
      <c r="E160" s="19">
        <v>20252855</v>
      </c>
      <c r="F160" s="19" t="s">
        <v>1643</v>
      </c>
      <c r="G160" s="19">
        <v>8380835781</v>
      </c>
      <c r="H160" s="19" t="s">
        <v>1644</v>
      </c>
      <c r="I160" s="19" t="s">
        <v>123</v>
      </c>
      <c r="J160" s="19" t="s">
        <v>276</v>
      </c>
      <c r="K160" s="19" t="s">
        <v>228</v>
      </c>
      <c r="L160" s="19" t="s">
        <v>1645</v>
      </c>
      <c r="M160" s="19" t="s">
        <v>1646</v>
      </c>
      <c r="N160" s="19" t="s">
        <v>1243</v>
      </c>
      <c r="O160" s="19"/>
      <c r="P160" s="19" t="s">
        <v>1156</v>
      </c>
      <c r="Q160" s="19" t="s">
        <v>1647</v>
      </c>
      <c r="R160" s="19" t="s">
        <v>72</v>
      </c>
      <c r="S160" s="19" t="s">
        <v>1092</v>
      </c>
      <c r="T160" s="19" t="s">
        <v>858</v>
      </c>
      <c r="U160" s="21"/>
      <c r="V160" s="19"/>
      <c r="W160" s="19" t="s">
        <v>144</v>
      </c>
      <c r="X160" s="19" t="s">
        <v>144</v>
      </c>
      <c r="Y160" s="19"/>
      <c r="Z160" s="19" t="s">
        <v>68</v>
      </c>
      <c r="AA160" s="19"/>
      <c r="AB160" s="4"/>
      <c r="AC160" s="4"/>
      <c r="AD160" s="19"/>
      <c r="AE160" s="19"/>
      <c r="AF160" s="19"/>
      <c r="AG160" s="19"/>
      <c r="AH160" s="19"/>
      <c r="AI160" s="19"/>
      <c r="AJ160" s="19"/>
      <c r="AK160" s="19"/>
      <c r="AL160" s="19"/>
      <c r="AM160" s="19"/>
      <c r="AN160" s="19"/>
      <c r="AO160" s="19"/>
      <c r="AP160" s="19"/>
      <c r="AQ160" s="19"/>
      <c r="AR160" s="19"/>
      <c r="AS160" s="27"/>
    </row>
    <row r="161" spans="1:45">
      <c r="A161" s="19">
        <f t="shared" si="2"/>
        <v>160</v>
      </c>
      <c r="B161" s="20">
        <v>45659</v>
      </c>
      <c r="C161" s="19" t="s">
        <v>1101</v>
      </c>
      <c r="D161" s="19" t="s">
        <v>1432</v>
      </c>
      <c r="E161" s="19">
        <v>20247973</v>
      </c>
      <c r="F161" s="19" t="s">
        <v>1648</v>
      </c>
      <c r="G161" s="19">
        <v>9150369654</v>
      </c>
      <c r="H161" s="19" t="s">
        <v>1649</v>
      </c>
      <c r="I161" s="19" t="s">
        <v>123</v>
      </c>
      <c r="J161" s="19" t="s">
        <v>286</v>
      </c>
      <c r="K161" s="19" t="s">
        <v>289</v>
      </c>
      <c r="L161" s="19" t="s">
        <v>1093</v>
      </c>
      <c r="M161" s="19" t="s">
        <v>1650</v>
      </c>
      <c r="N161" s="19" t="s">
        <v>1190</v>
      </c>
      <c r="O161" s="19"/>
      <c r="P161" s="19" t="s">
        <v>1056</v>
      </c>
      <c r="Q161" s="19" t="s">
        <v>1603</v>
      </c>
      <c r="R161" s="19" t="s">
        <v>72</v>
      </c>
      <c r="S161" s="19" t="s">
        <v>1651</v>
      </c>
      <c r="T161" s="19" t="s">
        <v>858</v>
      </c>
      <c r="U161" s="21"/>
      <c r="V161" s="19"/>
      <c r="W161" s="19" t="s">
        <v>144</v>
      </c>
      <c r="X161" s="19" t="s">
        <v>144</v>
      </c>
      <c r="Y161" s="19"/>
      <c r="Z161" s="19" t="s">
        <v>68</v>
      </c>
      <c r="AA161" s="19"/>
      <c r="AB161" s="4"/>
      <c r="AC161" s="4"/>
      <c r="AD161" s="19"/>
      <c r="AE161" s="19"/>
      <c r="AF161" s="19"/>
      <c r="AG161" s="19"/>
      <c r="AH161" s="19"/>
      <c r="AI161" s="19"/>
      <c r="AJ161" s="19"/>
      <c r="AK161" s="19"/>
      <c r="AL161" s="19"/>
      <c r="AM161" s="19"/>
      <c r="AN161" s="19"/>
      <c r="AO161" s="19"/>
      <c r="AP161" s="19"/>
      <c r="AQ161" s="19"/>
      <c r="AR161" s="19"/>
      <c r="AS161" s="27"/>
    </row>
    <row r="162" spans="1:45">
      <c r="A162" s="19">
        <f t="shared" si="2"/>
        <v>161</v>
      </c>
      <c r="B162" s="20">
        <v>45659</v>
      </c>
      <c r="C162" s="19" t="s">
        <v>400</v>
      </c>
      <c r="D162" s="19" t="s">
        <v>952</v>
      </c>
      <c r="E162" s="19">
        <v>20247804</v>
      </c>
      <c r="F162" s="19" t="s">
        <v>300</v>
      </c>
      <c r="G162" s="19">
        <v>7000553986</v>
      </c>
      <c r="H162" s="19" t="s">
        <v>302</v>
      </c>
      <c r="I162" s="19" t="s">
        <v>123</v>
      </c>
      <c r="J162" s="19" t="s">
        <v>286</v>
      </c>
      <c r="K162" s="19" t="s">
        <v>289</v>
      </c>
      <c r="L162" s="19" t="s">
        <v>1652</v>
      </c>
      <c r="M162" s="19" t="s">
        <v>1653</v>
      </c>
      <c r="N162" s="19" t="s">
        <v>1654</v>
      </c>
      <c r="O162" s="19"/>
      <c r="P162" s="19" t="s">
        <v>1238</v>
      </c>
      <c r="Q162" s="19" t="s">
        <v>72</v>
      </c>
      <c r="R162" s="19" t="s">
        <v>72</v>
      </c>
      <c r="S162" s="19" t="s">
        <v>1067</v>
      </c>
      <c r="T162" s="19" t="s">
        <v>858</v>
      </c>
      <c r="U162" s="21">
        <v>45782</v>
      </c>
      <c r="V162" s="19"/>
      <c r="W162" s="19" t="s">
        <v>144</v>
      </c>
      <c r="X162" s="19" t="s">
        <v>144</v>
      </c>
      <c r="Y162" s="19" t="s">
        <v>70</v>
      </c>
      <c r="Z162" s="19" t="s">
        <v>68</v>
      </c>
      <c r="AA162" s="19"/>
      <c r="AB162" s="4"/>
      <c r="AC162" s="4"/>
      <c r="AD162" s="19"/>
      <c r="AE162" s="19"/>
      <c r="AF162" s="19"/>
      <c r="AG162" s="19"/>
      <c r="AH162" s="19"/>
      <c r="AI162" s="19"/>
      <c r="AJ162" s="19"/>
      <c r="AK162" s="19"/>
      <c r="AL162" s="19"/>
      <c r="AM162" s="19"/>
      <c r="AN162" s="19"/>
      <c r="AO162" s="19"/>
      <c r="AP162" s="19"/>
      <c r="AQ162" s="19"/>
      <c r="AR162" s="19"/>
      <c r="AS162" s="27"/>
    </row>
    <row r="163" spans="1:45">
      <c r="A163" s="19">
        <f t="shared" si="2"/>
        <v>162</v>
      </c>
      <c r="B163" s="20">
        <v>45659</v>
      </c>
      <c r="C163" s="19" t="s">
        <v>1101</v>
      </c>
      <c r="D163" s="19" t="s">
        <v>1432</v>
      </c>
      <c r="E163" s="19">
        <v>20247973</v>
      </c>
      <c r="F163" s="19" t="s">
        <v>1655</v>
      </c>
      <c r="G163" s="19">
        <v>7020939862</v>
      </c>
      <c r="H163" s="19" t="s">
        <v>1656</v>
      </c>
      <c r="I163" s="19" t="s">
        <v>123</v>
      </c>
      <c r="J163" s="19" t="s">
        <v>286</v>
      </c>
      <c r="K163" s="19" t="s">
        <v>289</v>
      </c>
      <c r="L163" s="19" t="s">
        <v>1235</v>
      </c>
      <c r="M163" s="19" t="s">
        <v>1657</v>
      </c>
      <c r="N163" s="19" t="s">
        <v>1056</v>
      </c>
      <c r="O163" s="19"/>
      <c r="P163" s="19" t="s">
        <v>1090</v>
      </c>
      <c r="Q163" s="19" t="s">
        <v>72</v>
      </c>
      <c r="R163" s="19" t="s">
        <v>72</v>
      </c>
      <c r="S163" s="19" t="s">
        <v>1158</v>
      </c>
      <c r="T163" s="19" t="s">
        <v>858</v>
      </c>
      <c r="U163" s="21"/>
      <c r="V163" s="19"/>
      <c r="W163" s="19" t="s">
        <v>144</v>
      </c>
      <c r="X163" s="19" t="s">
        <v>144</v>
      </c>
      <c r="Y163" s="19"/>
      <c r="Z163" s="19" t="s">
        <v>68</v>
      </c>
      <c r="AA163" s="19"/>
      <c r="AB163" s="4"/>
      <c r="AC163" s="4"/>
      <c r="AD163" s="19"/>
      <c r="AE163" s="19"/>
      <c r="AF163" s="19"/>
      <c r="AG163" s="19"/>
      <c r="AH163" s="19"/>
      <c r="AI163" s="19"/>
      <c r="AJ163" s="19"/>
      <c r="AK163" s="19"/>
      <c r="AL163" s="19"/>
      <c r="AM163" s="19"/>
      <c r="AN163" s="19"/>
      <c r="AO163" s="19"/>
      <c r="AP163" s="19"/>
      <c r="AQ163" s="19"/>
      <c r="AR163" s="19"/>
      <c r="AS163" s="27"/>
    </row>
    <row r="164" spans="1:45">
      <c r="A164" s="19">
        <f t="shared" si="2"/>
        <v>163</v>
      </c>
      <c r="B164" s="20">
        <v>45662</v>
      </c>
      <c r="C164" s="19" t="s">
        <v>1101</v>
      </c>
      <c r="D164" s="19" t="s">
        <v>1432</v>
      </c>
      <c r="E164" s="19">
        <v>20249317</v>
      </c>
      <c r="F164" s="19" t="s">
        <v>1658</v>
      </c>
      <c r="G164" s="19">
        <v>9004892575</v>
      </c>
      <c r="H164" s="19" t="s">
        <v>1659</v>
      </c>
      <c r="I164" s="19" t="s">
        <v>123</v>
      </c>
      <c r="J164" s="19" t="s">
        <v>1485</v>
      </c>
      <c r="K164" s="19" t="s">
        <v>977</v>
      </c>
      <c r="L164" s="19" t="s">
        <v>1660</v>
      </c>
      <c r="M164" s="19" t="s">
        <v>1612</v>
      </c>
      <c r="N164" s="19" t="s">
        <v>1661</v>
      </c>
      <c r="O164" s="19"/>
      <c r="P164" s="19" t="s">
        <v>1522</v>
      </c>
      <c r="Q164" s="19" t="s">
        <v>72</v>
      </c>
      <c r="R164" s="19" t="s">
        <v>72</v>
      </c>
      <c r="S164" s="19" t="s">
        <v>1158</v>
      </c>
      <c r="T164" s="19" t="s">
        <v>858</v>
      </c>
      <c r="U164" s="21"/>
      <c r="V164" s="19"/>
      <c r="W164" s="19" t="s">
        <v>144</v>
      </c>
      <c r="X164" s="19" t="s">
        <v>144</v>
      </c>
      <c r="Y164" s="19"/>
      <c r="Z164" s="19" t="s">
        <v>68</v>
      </c>
      <c r="AA164" s="19"/>
      <c r="AB164" s="4"/>
      <c r="AC164" s="4"/>
      <c r="AD164" s="19"/>
      <c r="AE164" s="19"/>
      <c r="AF164" s="19"/>
      <c r="AG164" s="19"/>
      <c r="AH164" s="19"/>
      <c r="AI164" s="19"/>
      <c r="AJ164" s="19"/>
      <c r="AK164" s="19"/>
      <c r="AL164" s="19"/>
      <c r="AM164" s="19"/>
      <c r="AN164" s="19"/>
      <c r="AO164" s="19"/>
      <c r="AP164" s="19"/>
      <c r="AQ164" s="19"/>
      <c r="AR164" s="19"/>
      <c r="AS164" s="27"/>
    </row>
    <row r="165" spans="1:45">
      <c r="A165" s="19">
        <f t="shared" si="2"/>
        <v>164</v>
      </c>
      <c r="B165" s="20">
        <v>45662</v>
      </c>
      <c r="C165" s="19" t="s">
        <v>1101</v>
      </c>
      <c r="D165" s="19" t="s">
        <v>1432</v>
      </c>
      <c r="E165" s="19">
        <v>20249317</v>
      </c>
      <c r="F165" s="19" t="s">
        <v>1662</v>
      </c>
      <c r="G165" s="19">
        <v>9912762761</v>
      </c>
      <c r="H165" s="19" t="s">
        <v>1663</v>
      </c>
      <c r="I165" s="19" t="s">
        <v>123</v>
      </c>
      <c r="J165" s="19" t="s">
        <v>1485</v>
      </c>
      <c r="K165" s="19" t="s">
        <v>977</v>
      </c>
      <c r="L165" s="19" t="s">
        <v>1664</v>
      </c>
      <c r="M165" s="19" t="s">
        <v>1665</v>
      </c>
      <c r="N165" s="19" t="s">
        <v>1095</v>
      </c>
      <c r="O165" s="19"/>
      <c r="P165" s="19" t="s">
        <v>1522</v>
      </c>
      <c r="Q165" s="19" t="s">
        <v>72</v>
      </c>
      <c r="R165" s="19" t="s">
        <v>72</v>
      </c>
      <c r="S165" s="19" t="s">
        <v>1158</v>
      </c>
      <c r="T165" s="19" t="s">
        <v>858</v>
      </c>
      <c r="U165" s="21"/>
      <c r="V165" s="19"/>
      <c r="W165" s="19" t="s">
        <v>144</v>
      </c>
      <c r="X165" s="19" t="s">
        <v>144</v>
      </c>
      <c r="Y165" s="19"/>
      <c r="Z165" s="19" t="s">
        <v>68</v>
      </c>
      <c r="AA165" s="19"/>
      <c r="AB165" s="4"/>
      <c r="AC165" s="4"/>
      <c r="AD165" s="19"/>
      <c r="AE165" s="19"/>
      <c r="AF165" s="19"/>
      <c r="AG165" s="19"/>
      <c r="AH165" s="19"/>
      <c r="AI165" s="19"/>
      <c r="AJ165" s="19"/>
      <c r="AK165" s="19"/>
      <c r="AL165" s="19"/>
      <c r="AM165" s="19"/>
      <c r="AN165" s="19"/>
      <c r="AO165" s="19"/>
      <c r="AP165" s="19"/>
      <c r="AQ165" s="19"/>
      <c r="AR165" s="19"/>
      <c r="AS165" s="27"/>
    </row>
    <row r="166" spans="1:45">
      <c r="A166" s="19">
        <f t="shared" si="2"/>
        <v>165</v>
      </c>
      <c r="B166" s="20">
        <v>45663</v>
      </c>
      <c r="C166" s="19" t="s">
        <v>1101</v>
      </c>
      <c r="D166" s="19" t="s">
        <v>1160</v>
      </c>
      <c r="E166" s="19">
        <v>20251843</v>
      </c>
      <c r="F166" s="19" t="s">
        <v>1666</v>
      </c>
      <c r="G166" s="19">
        <v>9049049053</v>
      </c>
      <c r="H166" s="19" t="s">
        <v>1667</v>
      </c>
      <c r="I166" s="19" t="s">
        <v>123</v>
      </c>
      <c r="J166" s="19" t="s">
        <v>305</v>
      </c>
      <c r="K166" s="19" t="s">
        <v>306</v>
      </c>
      <c r="L166" s="19" t="s">
        <v>1087</v>
      </c>
      <c r="M166" s="19" t="s">
        <v>1668</v>
      </c>
      <c r="N166" s="19" t="s">
        <v>1066</v>
      </c>
      <c r="O166" s="19"/>
      <c r="P166" s="19" t="s">
        <v>1669</v>
      </c>
      <c r="Q166" s="19" t="s">
        <v>72</v>
      </c>
      <c r="R166" s="19" t="s">
        <v>72</v>
      </c>
      <c r="S166" s="19" t="s">
        <v>1067</v>
      </c>
      <c r="T166" s="19" t="s">
        <v>858</v>
      </c>
      <c r="U166" s="21"/>
      <c r="V166" s="19"/>
      <c r="W166" s="19" t="s">
        <v>144</v>
      </c>
      <c r="X166" s="19" t="s">
        <v>144</v>
      </c>
      <c r="Y166" s="19"/>
      <c r="Z166" s="19" t="s">
        <v>68</v>
      </c>
      <c r="AA166" s="19"/>
      <c r="AB166" s="4"/>
      <c r="AC166" s="4"/>
      <c r="AD166" s="19"/>
      <c r="AE166" s="19"/>
      <c r="AF166" s="19"/>
      <c r="AG166" s="19"/>
      <c r="AH166" s="19"/>
      <c r="AI166" s="19"/>
      <c r="AJ166" s="19"/>
      <c r="AK166" s="19"/>
      <c r="AL166" s="19"/>
      <c r="AM166" s="19"/>
      <c r="AN166" s="19"/>
      <c r="AO166" s="19"/>
      <c r="AP166" s="19"/>
      <c r="AQ166" s="19"/>
      <c r="AR166" s="19"/>
      <c r="AS166" s="27"/>
    </row>
    <row r="167" spans="1:45">
      <c r="A167" s="19">
        <f t="shared" si="2"/>
        <v>166</v>
      </c>
      <c r="B167" s="20">
        <v>45663</v>
      </c>
      <c r="C167" s="19" t="s">
        <v>400</v>
      </c>
      <c r="D167" s="19" t="s">
        <v>952</v>
      </c>
      <c r="E167" s="19">
        <v>20251843</v>
      </c>
      <c r="F167" s="19" t="s">
        <v>308</v>
      </c>
      <c r="G167" s="19">
        <v>8669030508</v>
      </c>
      <c r="H167" s="19" t="s">
        <v>309</v>
      </c>
      <c r="I167" s="19" t="s">
        <v>123</v>
      </c>
      <c r="J167" s="19" t="s">
        <v>305</v>
      </c>
      <c r="K167" s="19" t="s">
        <v>306</v>
      </c>
      <c r="L167" s="19" t="s">
        <v>1247</v>
      </c>
      <c r="M167" s="19" t="s">
        <v>1670</v>
      </c>
      <c r="N167" s="19" t="s">
        <v>1191</v>
      </c>
      <c r="O167" s="19"/>
      <c r="P167" s="19" t="s">
        <v>1285</v>
      </c>
      <c r="Q167" s="19" t="s">
        <v>72</v>
      </c>
      <c r="R167" s="19" t="s">
        <v>72</v>
      </c>
      <c r="S167" s="19" t="s">
        <v>1067</v>
      </c>
      <c r="T167" s="19" t="s">
        <v>858</v>
      </c>
      <c r="U167" s="21">
        <v>45740</v>
      </c>
      <c r="V167" s="19"/>
      <c r="W167" s="19" t="s">
        <v>144</v>
      </c>
      <c r="X167" s="19" t="s">
        <v>144</v>
      </c>
      <c r="Y167" s="19" t="s">
        <v>70</v>
      </c>
      <c r="Z167" s="19" t="s">
        <v>68</v>
      </c>
      <c r="AA167" s="19"/>
      <c r="AB167" s="4"/>
      <c r="AC167" s="4"/>
      <c r="AD167" s="19"/>
      <c r="AE167" s="19"/>
      <c r="AF167" s="19"/>
      <c r="AG167" s="19"/>
      <c r="AH167" s="19"/>
      <c r="AI167" s="19"/>
      <c r="AJ167" s="19"/>
      <c r="AK167" s="19"/>
      <c r="AL167" s="19"/>
      <c r="AM167" s="19"/>
      <c r="AN167" s="19"/>
      <c r="AO167" s="19"/>
      <c r="AP167" s="19"/>
      <c r="AQ167" s="19"/>
      <c r="AR167" s="19"/>
      <c r="AS167" s="27"/>
    </row>
    <row r="168" spans="1:45">
      <c r="A168" s="19">
        <f t="shared" si="2"/>
        <v>167</v>
      </c>
      <c r="B168" s="20">
        <v>45663</v>
      </c>
      <c r="C168" s="19" t="s">
        <v>116</v>
      </c>
      <c r="D168" s="19" t="s">
        <v>116</v>
      </c>
      <c r="E168" s="19" t="s">
        <v>451</v>
      </c>
      <c r="F168" s="19" t="s">
        <v>618</v>
      </c>
      <c r="G168" s="19">
        <v>8197463496</v>
      </c>
      <c r="H168" s="19" t="s">
        <v>1671</v>
      </c>
      <c r="I168" s="19" t="s">
        <v>123</v>
      </c>
      <c r="J168" s="19" t="s">
        <v>610</v>
      </c>
      <c r="K168" s="19" t="s">
        <v>101</v>
      </c>
      <c r="L168" s="19"/>
      <c r="M168" s="19"/>
      <c r="N168" s="19"/>
      <c r="O168" s="19"/>
      <c r="P168" s="19">
        <v>850000</v>
      </c>
      <c r="Q168" s="19" t="e" vm="1">
        <v>#VALUE!</v>
      </c>
      <c r="R168" s="19" t="s">
        <v>72</v>
      </c>
      <c r="S168" s="19"/>
      <c r="T168" s="19"/>
      <c r="U168" s="21">
        <v>45684</v>
      </c>
      <c r="V168" s="19"/>
      <c r="W168" s="19" t="s">
        <v>245</v>
      </c>
      <c r="X168" s="19" t="s">
        <v>245</v>
      </c>
      <c r="Y168" s="19"/>
      <c r="Z168" s="19" t="s">
        <v>345</v>
      </c>
      <c r="AA168" s="19"/>
      <c r="AB168" s="4"/>
      <c r="AC168" s="4"/>
      <c r="AD168" s="19"/>
      <c r="AE168" s="19"/>
      <c r="AF168" s="19"/>
      <c r="AG168" s="19"/>
      <c r="AH168" s="19"/>
      <c r="AI168" s="19"/>
      <c r="AJ168" s="19"/>
      <c r="AK168" s="19"/>
      <c r="AL168" s="19"/>
      <c r="AM168" s="19"/>
      <c r="AN168" s="19"/>
      <c r="AO168" s="19"/>
      <c r="AP168" s="19"/>
      <c r="AQ168" s="19"/>
      <c r="AR168" s="19"/>
      <c r="AS168" s="27"/>
    </row>
    <row r="169" spans="1:45">
      <c r="A169" s="19">
        <f t="shared" si="2"/>
        <v>168</v>
      </c>
      <c r="B169" s="20">
        <v>45663</v>
      </c>
      <c r="C169" s="19" t="s">
        <v>400</v>
      </c>
      <c r="D169" s="19" t="s">
        <v>116</v>
      </c>
      <c r="E169" s="19">
        <v>20244851</v>
      </c>
      <c r="F169" s="19" t="s">
        <v>1672</v>
      </c>
      <c r="G169" s="19">
        <v>8668428223</v>
      </c>
      <c r="H169" s="19" t="s">
        <v>441</v>
      </c>
      <c r="I169" s="19" t="s">
        <v>123</v>
      </c>
      <c r="J169" s="19" t="s">
        <v>707</v>
      </c>
      <c r="K169" s="19" t="s">
        <v>438</v>
      </c>
      <c r="L169" s="19" t="s">
        <v>1673</v>
      </c>
      <c r="M169" s="19" t="s">
        <v>1674</v>
      </c>
      <c r="N169" s="19" t="s">
        <v>1675</v>
      </c>
      <c r="O169" s="19"/>
      <c r="P169" s="19" t="s">
        <v>1676</v>
      </c>
      <c r="Q169" s="19" t="s">
        <v>1472</v>
      </c>
      <c r="R169" s="19" t="s">
        <v>923</v>
      </c>
      <c r="S169" s="19" t="s">
        <v>1677</v>
      </c>
      <c r="T169" s="19" t="s">
        <v>1678</v>
      </c>
      <c r="U169" s="21">
        <v>45726</v>
      </c>
      <c r="V169" s="19"/>
      <c r="W169" s="19" t="s">
        <v>245</v>
      </c>
      <c r="X169" s="19" t="s">
        <v>245</v>
      </c>
      <c r="Y169" s="19" t="s">
        <v>94</v>
      </c>
      <c r="Z169" s="19" t="s">
        <v>68</v>
      </c>
      <c r="AA169" s="19"/>
      <c r="AB169" s="4"/>
      <c r="AC169" s="4"/>
      <c r="AD169" s="19"/>
      <c r="AE169" s="19"/>
      <c r="AF169" s="19"/>
      <c r="AG169" s="19"/>
      <c r="AH169" s="19"/>
      <c r="AI169" s="19"/>
      <c r="AJ169" s="19"/>
      <c r="AK169" s="19"/>
      <c r="AL169" s="19"/>
      <c r="AM169" s="19"/>
      <c r="AN169" s="19"/>
      <c r="AO169" s="19"/>
      <c r="AP169" s="19"/>
      <c r="AQ169" s="19"/>
      <c r="AR169" s="19"/>
      <c r="AS169" s="27"/>
    </row>
    <row r="170" spans="1:45">
      <c r="A170" s="19">
        <f t="shared" si="2"/>
        <v>169</v>
      </c>
      <c r="B170" s="20">
        <v>45664</v>
      </c>
      <c r="C170" s="19" t="s">
        <v>1101</v>
      </c>
      <c r="D170" s="19" t="s">
        <v>1160</v>
      </c>
      <c r="E170" s="19">
        <v>20242406</v>
      </c>
      <c r="F170" s="19" t="s">
        <v>1679</v>
      </c>
      <c r="G170" s="19">
        <v>8605757480</v>
      </c>
      <c r="H170" s="19" t="s">
        <v>1680</v>
      </c>
      <c r="I170" s="19" t="s">
        <v>123</v>
      </c>
      <c r="J170" s="19" t="s">
        <v>1681</v>
      </c>
      <c r="K170" s="19" t="s">
        <v>1682</v>
      </c>
      <c r="L170" s="19" t="s">
        <v>1683</v>
      </c>
      <c r="M170" s="19" t="s">
        <v>1684</v>
      </c>
      <c r="N170" s="19">
        <v>14</v>
      </c>
      <c r="O170" s="19" t="s">
        <v>1057</v>
      </c>
      <c r="P170" s="19" t="s">
        <v>1685</v>
      </c>
      <c r="Q170" s="19" t="s">
        <v>923</v>
      </c>
      <c r="R170" s="19" t="s">
        <v>923</v>
      </c>
      <c r="S170" s="19" t="s">
        <v>1686</v>
      </c>
      <c r="T170" s="19" t="s">
        <v>1057</v>
      </c>
      <c r="U170" s="21"/>
      <c r="V170" s="19"/>
      <c r="W170" s="19" t="s">
        <v>245</v>
      </c>
      <c r="X170" s="19" t="s">
        <v>245</v>
      </c>
      <c r="Y170" s="19"/>
      <c r="Z170" s="19" t="s">
        <v>68</v>
      </c>
      <c r="AA170" s="19"/>
      <c r="AB170" s="4">
        <v>45685</v>
      </c>
      <c r="AC170" s="4"/>
      <c r="AD170" s="19"/>
      <c r="AE170" s="19"/>
      <c r="AF170" s="19"/>
      <c r="AG170" s="19"/>
      <c r="AH170" s="19"/>
      <c r="AI170" s="19"/>
      <c r="AJ170" s="19"/>
      <c r="AK170" s="19"/>
      <c r="AL170" s="19"/>
      <c r="AM170" s="19"/>
      <c r="AN170" s="19"/>
      <c r="AO170" s="19"/>
      <c r="AP170" s="19"/>
      <c r="AQ170" s="19"/>
      <c r="AR170" s="19"/>
      <c r="AS170" s="27"/>
    </row>
    <row r="171" spans="1:45">
      <c r="A171" s="19">
        <f t="shared" si="2"/>
        <v>170</v>
      </c>
      <c r="B171" s="20">
        <v>45664</v>
      </c>
      <c r="C171" s="19" t="s">
        <v>1101</v>
      </c>
      <c r="D171" s="19" t="s">
        <v>1102</v>
      </c>
      <c r="E171" s="19">
        <v>20242406</v>
      </c>
      <c r="F171" s="19" t="s">
        <v>1687</v>
      </c>
      <c r="G171" s="19">
        <v>8106594053</v>
      </c>
      <c r="H171" s="19" t="s">
        <v>1688</v>
      </c>
      <c r="I171" s="19" t="s">
        <v>123</v>
      </c>
      <c r="J171" s="19" t="s">
        <v>1681</v>
      </c>
      <c r="K171" s="19" t="s">
        <v>1682</v>
      </c>
      <c r="L171" s="19" t="s">
        <v>1054</v>
      </c>
      <c r="M171" s="19" t="s">
        <v>1689</v>
      </c>
      <c r="N171" s="19">
        <v>9.3000000000000007</v>
      </c>
      <c r="O171" s="19" t="s">
        <v>1057</v>
      </c>
      <c r="P171" s="19">
        <v>13</v>
      </c>
      <c r="Q171" s="19" t="s">
        <v>1392</v>
      </c>
      <c r="R171" s="19" t="s">
        <v>923</v>
      </c>
      <c r="S171" s="19" t="s">
        <v>1690</v>
      </c>
      <c r="T171" s="19" t="s">
        <v>1691</v>
      </c>
      <c r="U171" s="21"/>
      <c r="V171" s="19"/>
      <c r="W171" s="19" t="s">
        <v>245</v>
      </c>
      <c r="X171" s="19" t="s">
        <v>245</v>
      </c>
      <c r="Y171" s="19"/>
      <c r="Z171" s="19" t="s">
        <v>68</v>
      </c>
      <c r="AA171" s="19"/>
      <c r="AB171" s="4">
        <v>45693</v>
      </c>
      <c r="AC171" s="4"/>
      <c r="AD171" s="19"/>
      <c r="AE171" s="19"/>
      <c r="AF171" s="19"/>
      <c r="AG171" s="19"/>
      <c r="AH171" s="19"/>
      <c r="AI171" s="19"/>
      <c r="AJ171" s="19"/>
      <c r="AK171" s="19"/>
      <c r="AL171" s="19"/>
      <c r="AM171" s="19"/>
      <c r="AN171" s="19"/>
      <c r="AO171" s="19"/>
      <c r="AP171" s="19"/>
      <c r="AQ171" s="19"/>
      <c r="AR171" s="19"/>
      <c r="AS171" s="27"/>
    </row>
    <row r="172" spans="1:45">
      <c r="A172" s="19">
        <f t="shared" si="2"/>
        <v>171</v>
      </c>
      <c r="B172" s="20">
        <v>45664</v>
      </c>
      <c r="C172" s="19" t="s">
        <v>1101</v>
      </c>
      <c r="D172" s="19" t="s">
        <v>1102</v>
      </c>
      <c r="E172" s="19">
        <v>20242406</v>
      </c>
      <c r="F172" s="19" t="s">
        <v>1692</v>
      </c>
      <c r="G172" s="19">
        <v>9022940954</v>
      </c>
      <c r="H172" s="19" t="s">
        <v>1693</v>
      </c>
      <c r="I172" s="19" t="s">
        <v>86</v>
      </c>
      <c r="J172" s="19" t="s">
        <v>1681</v>
      </c>
      <c r="K172" s="19" t="s">
        <v>1682</v>
      </c>
      <c r="L172" s="19" t="s">
        <v>1683</v>
      </c>
      <c r="M172" s="19" t="s">
        <v>1689</v>
      </c>
      <c r="N172" s="19">
        <v>9.3000000000000007</v>
      </c>
      <c r="O172" s="19" t="s">
        <v>1057</v>
      </c>
      <c r="P172" s="19">
        <v>13</v>
      </c>
      <c r="Q172" s="19" t="s">
        <v>923</v>
      </c>
      <c r="R172" s="19" t="s">
        <v>923</v>
      </c>
      <c r="S172" s="19" t="s">
        <v>1694</v>
      </c>
      <c r="T172" s="19" t="s">
        <v>1057</v>
      </c>
      <c r="U172" s="21"/>
      <c r="V172" s="19"/>
      <c r="W172" s="19" t="s">
        <v>245</v>
      </c>
      <c r="X172" s="19" t="s">
        <v>245</v>
      </c>
      <c r="Y172" s="19"/>
      <c r="Z172" s="19" t="s">
        <v>68</v>
      </c>
      <c r="AA172" s="19"/>
      <c r="AB172" s="4">
        <v>45686</v>
      </c>
      <c r="AC172" s="4"/>
      <c r="AD172" s="19"/>
      <c r="AE172" s="19"/>
      <c r="AF172" s="19"/>
      <c r="AG172" s="19"/>
      <c r="AH172" s="19"/>
      <c r="AI172" s="19"/>
      <c r="AJ172" s="19"/>
      <c r="AK172" s="19"/>
      <c r="AL172" s="19"/>
      <c r="AM172" s="19"/>
      <c r="AN172" s="19"/>
      <c r="AO172" s="19"/>
      <c r="AP172" s="19"/>
      <c r="AQ172" s="19"/>
      <c r="AR172" s="19"/>
      <c r="AS172" s="27"/>
    </row>
    <row r="173" spans="1:45">
      <c r="A173" s="19">
        <f t="shared" si="2"/>
        <v>172</v>
      </c>
      <c r="B173" s="20">
        <v>45664</v>
      </c>
      <c r="C173" s="19" t="s">
        <v>1101</v>
      </c>
      <c r="D173" s="19" t="s">
        <v>1102</v>
      </c>
      <c r="E173" s="19">
        <v>20242406</v>
      </c>
      <c r="F173" s="19" t="s">
        <v>1695</v>
      </c>
      <c r="G173" s="19">
        <v>9503649636</v>
      </c>
      <c r="H173" s="19" t="s">
        <v>1696</v>
      </c>
      <c r="I173" s="19" t="s">
        <v>123</v>
      </c>
      <c r="J173" s="19" t="s">
        <v>1681</v>
      </c>
      <c r="K173" s="19" t="s">
        <v>1682</v>
      </c>
      <c r="L173" s="19" t="s">
        <v>1054</v>
      </c>
      <c r="M173" s="19" t="s">
        <v>1697</v>
      </c>
      <c r="N173" s="19">
        <v>9.5</v>
      </c>
      <c r="O173" s="19" t="s">
        <v>1057</v>
      </c>
      <c r="P173" s="19">
        <v>14</v>
      </c>
      <c r="Q173" s="19" t="s">
        <v>923</v>
      </c>
      <c r="R173" s="19" t="s">
        <v>923</v>
      </c>
      <c r="S173" s="19" t="s">
        <v>1698</v>
      </c>
      <c r="T173" s="19" t="s">
        <v>1057</v>
      </c>
      <c r="U173" s="21"/>
      <c r="V173" s="19"/>
      <c r="W173" s="19" t="s">
        <v>245</v>
      </c>
      <c r="X173" s="19" t="s">
        <v>245</v>
      </c>
      <c r="Y173" s="19"/>
      <c r="Z173" s="19" t="s">
        <v>68</v>
      </c>
      <c r="AA173" s="19"/>
      <c r="AB173" s="4">
        <v>45668</v>
      </c>
      <c r="AC173" s="4"/>
      <c r="AD173" s="19"/>
      <c r="AE173" s="19"/>
      <c r="AF173" s="19"/>
      <c r="AG173" s="19"/>
      <c r="AH173" s="19"/>
      <c r="AI173" s="19"/>
      <c r="AJ173" s="19"/>
      <c r="AK173" s="19"/>
      <c r="AL173" s="19"/>
      <c r="AM173" s="19"/>
      <c r="AN173" s="19"/>
      <c r="AO173" s="19"/>
      <c r="AP173" s="19"/>
      <c r="AQ173" s="19"/>
      <c r="AR173" s="19"/>
      <c r="AS173" s="27"/>
    </row>
    <row r="174" spans="1:45">
      <c r="A174" s="19">
        <f t="shared" si="2"/>
        <v>173</v>
      </c>
      <c r="B174" s="20">
        <v>45665</v>
      </c>
      <c r="C174" s="19" t="s">
        <v>1101</v>
      </c>
      <c r="D174" s="19" t="s">
        <v>1699</v>
      </c>
      <c r="E174" s="19">
        <v>20251172</v>
      </c>
      <c r="F174" s="19" t="s">
        <v>1700</v>
      </c>
      <c r="G174" s="19">
        <v>8178947522</v>
      </c>
      <c r="H174" s="19" t="s">
        <v>1701</v>
      </c>
      <c r="I174" s="19" t="s">
        <v>86</v>
      </c>
      <c r="J174" s="19" t="s">
        <v>446</v>
      </c>
      <c r="K174" s="19" t="s">
        <v>438</v>
      </c>
      <c r="L174" s="19" t="s">
        <v>1702</v>
      </c>
      <c r="M174" s="19" t="s">
        <v>1703</v>
      </c>
      <c r="N174" s="19">
        <v>5.5</v>
      </c>
      <c r="O174" s="19" t="s">
        <v>1057</v>
      </c>
      <c r="P174" s="19" t="s">
        <v>1704</v>
      </c>
      <c r="Q174" s="19" t="s">
        <v>923</v>
      </c>
      <c r="R174" s="19" t="s">
        <v>923</v>
      </c>
      <c r="S174" s="19" t="s">
        <v>1705</v>
      </c>
      <c r="T174" s="19" t="s">
        <v>1706</v>
      </c>
      <c r="U174" s="21"/>
      <c r="V174" s="19"/>
      <c r="W174" s="19" t="s">
        <v>245</v>
      </c>
      <c r="X174" s="19" t="s">
        <v>245</v>
      </c>
      <c r="Y174" s="19"/>
      <c r="Z174" s="19" t="s">
        <v>68</v>
      </c>
      <c r="AA174" s="19"/>
      <c r="AB174" s="4"/>
      <c r="AC174" s="4"/>
      <c r="AD174" s="19"/>
      <c r="AE174" s="19"/>
      <c r="AF174" s="19"/>
      <c r="AG174" s="19"/>
      <c r="AH174" s="19"/>
      <c r="AI174" s="19"/>
      <c r="AJ174" s="19"/>
      <c r="AK174" s="19"/>
      <c r="AL174" s="19"/>
      <c r="AM174" s="19"/>
      <c r="AN174" s="19"/>
      <c r="AO174" s="19"/>
      <c r="AP174" s="19"/>
      <c r="AQ174" s="19"/>
      <c r="AR174" s="19"/>
      <c r="AS174" s="27"/>
    </row>
    <row r="175" spans="1:45">
      <c r="A175" s="19">
        <f t="shared" si="2"/>
        <v>174</v>
      </c>
      <c r="B175" s="20">
        <v>45665</v>
      </c>
      <c r="C175" s="19" t="s">
        <v>1101</v>
      </c>
      <c r="D175" s="19" t="s">
        <v>1707</v>
      </c>
      <c r="E175" s="19" t="s">
        <v>601</v>
      </c>
      <c r="F175" s="19" t="s">
        <v>1708</v>
      </c>
      <c r="G175" s="19">
        <v>9769142587</v>
      </c>
      <c r="H175" s="19" t="s">
        <v>1709</v>
      </c>
      <c r="I175" s="19" t="s">
        <v>123</v>
      </c>
      <c r="J175" s="19" t="s">
        <v>602</v>
      </c>
      <c r="K175" s="19" t="s">
        <v>438</v>
      </c>
      <c r="L175" s="19" t="s">
        <v>1710</v>
      </c>
      <c r="M175" s="19" t="s">
        <v>1711</v>
      </c>
      <c r="N175" s="19">
        <v>24</v>
      </c>
      <c r="O175" s="19" t="s">
        <v>1057</v>
      </c>
      <c r="P175" s="19" t="s">
        <v>1712</v>
      </c>
      <c r="Q175" s="19" t="s">
        <v>1408</v>
      </c>
      <c r="R175" s="19" t="s">
        <v>923</v>
      </c>
      <c r="S175" s="19" t="s">
        <v>1705</v>
      </c>
      <c r="T175" s="19" t="s">
        <v>1713</v>
      </c>
      <c r="U175" s="21"/>
      <c r="V175" s="19"/>
      <c r="W175" s="19" t="s">
        <v>245</v>
      </c>
      <c r="X175" s="19" t="s">
        <v>245</v>
      </c>
      <c r="Y175" s="19"/>
      <c r="Z175" s="19" t="s">
        <v>68</v>
      </c>
      <c r="AA175" s="19"/>
      <c r="AB175" s="4"/>
      <c r="AC175" s="4"/>
      <c r="AD175" s="19"/>
      <c r="AE175" s="19"/>
      <c r="AF175" s="19"/>
      <c r="AG175" s="19"/>
      <c r="AH175" s="19"/>
      <c r="AI175" s="19"/>
      <c r="AJ175" s="19"/>
      <c r="AK175" s="19"/>
      <c r="AL175" s="19"/>
      <c r="AM175" s="19"/>
      <c r="AN175" s="19"/>
      <c r="AO175" s="19"/>
      <c r="AP175" s="19"/>
      <c r="AQ175" s="19"/>
      <c r="AR175" s="19"/>
      <c r="AS175" s="27"/>
    </row>
    <row r="176" spans="1:45">
      <c r="A176" s="19">
        <f t="shared" si="2"/>
        <v>175</v>
      </c>
      <c r="B176" s="20">
        <v>45665</v>
      </c>
      <c r="C176" s="19" t="s">
        <v>1101</v>
      </c>
      <c r="D176" s="19" t="s">
        <v>1714</v>
      </c>
      <c r="E176" s="19">
        <v>20251172</v>
      </c>
      <c r="F176" s="19" t="s">
        <v>1715</v>
      </c>
      <c r="G176" s="19">
        <v>8500178304</v>
      </c>
      <c r="H176" s="19" t="s">
        <v>1716</v>
      </c>
      <c r="I176" s="19" t="s">
        <v>86</v>
      </c>
      <c r="J176" s="19" t="s">
        <v>446</v>
      </c>
      <c r="K176" s="19" t="s">
        <v>438</v>
      </c>
      <c r="L176" s="19" t="s">
        <v>1717</v>
      </c>
      <c r="M176" s="19" t="s">
        <v>1718</v>
      </c>
      <c r="N176" s="19">
        <v>6.5</v>
      </c>
      <c r="O176" s="19" t="s">
        <v>1057</v>
      </c>
      <c r="P176" s="19" t="s">
        <v>1719</v>
      </c>
      <c r="Q176" s="19" t="s">
        <v>1720</v>
      </c>
      <c r="R176" s="19" t="s">
        <v>923</v>
      </c>
      <c r="S176" s="19" t="s">
        <v>1059</v>
      </c>
      <c r="T176" s="19" t="s">
        <v>1721</v>
      </c>
      <c r="U176" s="21"/>
      <c r="V176" s="19"/>
      <c r="W176" s="19" t="s">
        <v>245</v>
      </c>
      <c r="X176" s="19" t="s">
        <v>245</v>
      </c>
      <c r="Y176" s="19"/>
      <c r="Z176" s="19" t="s">
        <v>68</v>
      </c>
      <c r="AA176" s="19"/>
      <c r="AB176" s="4">
        <v>45672</v>
      </c>
      <c r="AC176" s="4"/>
      <c r="AD176" s="19"/>
      <c r="AE176" s="19"/>
      <c r="AF176" s="19"/>
      <c r="AG176" s="19"/>
      <c r="AH176" s="19"/>
      <c r="AI176" s="19"/>
      <c r="AJ176" s="19"/>
      <c r="AK176" s="19"/>
      <c r="AL176" s="19"/>
      <c r="AM176" s="19"/>
      <c r="AN176" s="19"/>
      <c r="AO176" s="19"/>
      <c r="AP176" s="19"/>
      <c r="AQ176" s="19"/>
      <c r="AR176" s="19"/>
      <c r="AS176" s="27"/>
    </row>
    <row r="177" spans="1:45">
      <c r="A177" s="19">
        <f t="shared" si="2"/>
        <v>176</v>
      </c>
      <c r="B177" s="20">
        <v>45665</v>
      </c>
      <c r="C177" s="19" t="s">
        <v>1101</v>
      </c>
      <c r="D177" s="19" t="s">
        <v>1707</v>
      </c>
      <c r="E177" s="19" t="s">
        <v>601</v>
      </c>
      <c r="F177" s="19" t="s">
        <v>1722</v>
      </c>
      <c r="G177" s="19">
        <v>8600339399</v>
      </c>
      <c r="H177" s="19" t="s">
        <v>1723</v>
      </c>
      <c r="I177" s="19" t="s">
        <v>123</v>
      </c>
      <c r="J177" s="19" t="s">
        <v>602</v>
      </c>
      <c r="K177" s="19" t="s">
        <v>438</v>
      </c>
      <c r="L177" s="19" t="s">
        <v>1423</v>
      </c>
      <c r="M177" s="19" t="s">
        <v>1724</v>
      </c>
      <c r="N177" s="19">
        <v>12.5</v>
      </c>
      <c r="O177" s="19" t="s">
        <v>1057</v>
      </c>
      <c r="P177" s="19">
        <v>15</v>
      </c>
      <c r="Q177" s="19" t="s">
        <v>923</v>
      </c>
      <c r="R177" s="19" t="s">
        <v>923</v>
      </c>
      <c r="S177" s="19" t="s">
        <v>1705</v>
      </c>
      <c r="T177" s="19" t="s">
        <v>1725</v>
      </c>
      <c r="U177" s="21"/>
      <c r="V177" s="19"/>
      <c r="W177" s="19" t="s">
        <v>245</v>
      </c>
      <c r="X177" s="19" t="s">
        <v>245</v>
      </c>
      <c r="Y177" s="19"/>
      <c r="Z177" s="19" t="s">
        <v>68</v>
      </c>
      <c r="AA177" s="19"/>
      <c r="AB177" s="4"/>
      <c r="AC177" s="4"/>
      <c r="AD177" s="19"/>
      <c r="AE177" s="19"/>
      <c r="AF177" s="19"/>
      <c r="AG177" s="19"/>
      <c r="AH177" s="19"/>
      <c r="AI177" s="19"/>
      <c r="AJ177" s="19"/>
      <c r="AK177" s="19"/>
      <c r="AL177" s="19"/>
      <c r="AM177" s="19"/>
      <c r="AN177" s="19"/>
      <c r="AO177" s="19"/>
      <c r="AP177" s="19"/>
      <c r="AQ177" s="19"/>
      <c r="AR177" s="19"/>
      <c r="AS177" s="27"/>
    </row>
    <row r="178" spans="1:45">
      <c r="A178" s="19">
        <f t="shared" si="2"/>
        <v>177</v>
      </c>
      <c r="B178" s="20">
        <v>45665</v>
      </c>
      <c r="C178" s="19" t="s">
        <v>1101</v>
      </c>
      <c r="D178" s="19" t="s">
        <v>1707</v>
      </c>
      <c r="E178" s="19">
        <v>20251172</v>
      </c>
      <c r="F178" s="19" t="s">
        <v>1726</v>
      </c>
      <c r="G178" s="19">
        <v>9158583655</v>
      </c>
      <c r="H178" s="19" t="s">
        <v>1727</v>
      </c>
      <c r="I178" s="19" t="s">
        <v>123</v>
      </c>
      <c r="J178" s="19" t="s">
        <v>446</v>
      </c>
      <c r="K178" s="19" t="s">
        <v>438</v>
      </c>
      <c r="L178" s="19" t="s">
        <v>1683</v>
      </c>
      <c r="M178" s="19" t="s">
        <v>1724</v>
      </c>
      <c r="N178" s="19">
        <v>14.32</v>
      </c>
      <c r="O178" s="19" t="s">
        <v>1057</v>
      </c>
      <c r="P178" s="19" t="s">
        <v>1704</v>
      </c>
      <c r="Q178" s="19" t="s">
        <v>923</v>
      </c>
      <c r="R178" s="19" t="s">
        <v>923</v>
      </c>
      <c r="S178" s="19" t="s">
        <v>1728</v>
      </c>
      <c r="T178" s="19" t="s">
        <v>1713</v>
      </c>
      <c r="U178" s="21"/>
      <c r="V178" s="19"/>
      <c r="W178" s="19" t="s">
        <v>245</v>
      </c>
      <c r="X178" s="19" t="s">
        <v>245</v>
      </c>
      <c r="Y178" s="19"/>
      <c r="Z178" s="19" t="s">
        <v>68</v>
      </c>
      <c r="AA178" s="19"/>
      <c r="AB178" s="4"/>
      <c r="AC178" s="4"/>
      <c r="AD178" s="19"/>
      <c r="AE178" s="19"/>
      <c r="AF178" s="19"/>
      <c r="AG178" s="19"/>
      <c r="AH178" s="19"/>
      <c r="AI178" s="19"/>
      <c r="AJ178" s="19"/>
      <c r="AK178" s="19"/>
      <c r="AL178" s="19"/>
      <c r="AM178" s="19"/>
      <c r="AN178" s="19"/>
      <c r="AO178" s="19"/>
      <c r="AP178" s="19"/>
      <c r="AQ178" s="19"/>
      <c r="AR178" s="19"/>
      <c r="AS178" s="27"/>
    </row>
    <row r="179" spans="1:45">
      <c r="A179" s="19">
        <f t="shared" si="2"/>
        <v>178</v>
      </c>
      <c r="B179" s="20">
        <v>45665</v>
      </c>
      <c r="C179" s="19" t="s">
        <v>1101</v>
      </c>
      <c r="D179" s="19" t="s">
        <v>1707</v>
      </c>
      <c r="E179" s="19" t="s">
        <v>601</v>
      </c>
      <c r="F179" s="19" t="s">
        <v>1729</v>
      </c>
      <c r="G179" s="19">
        <v>8310265670</v>
      </c>
      <c r="H179" s="19" t="s">
        <v>1730</v>
      </c>
      <c r="I179" s="19" t="s">
        <v>123</v>
      </c>
      <c r="J179" s="19" t="s">
        <v>602</v>
      </c>
      <c r="K179" s="19" t="s">
        <v>438</v>
      </c>
      <c r="L179" s="19" t="s">
        <v>1731</v>
      </c>
      <c r="M179" s="19" t="s">
        <v>1732</v>
      </c>
      <c r="N179" s="19">
        <v>35</v>
      </c>
      <c r="O179" s="19">
        <v>7</v>
      </c>
      <c r="P179" s="19" t="s">
        <v>1057</v>
      </c>
      <c r="Q179" s="19" t="s">
        <v>1057</v>
      </c>
      <c r="R179" s="19" t="s">
        <v>1057</v>
      </c>
      <c r="S179" s="19" t="s">
        <v>1733</v>
      </c>
      <c r="T179" s="19" t="s">
        <v>1734</v>
      </c>
      <c r="U179" s="21"/>
      <c r="V179" s="19"/>
      <c r="W179" s="19" t="s">
        <v>245</v>
      </c>
      <c r="X179" s="19" t="s">
        <v>245</v>
      </c>
      <c r="Y179" s="19"/>
      <c r="Z179" s="19" t="s">
        <v>68</v>
      </c>
      <c r="AA179" s="19"/>
      <c r="AB179" s="4"/>
      <c r="AC179" s="4"/>
      <c r="AD179" s="19"/>
      <c r="AE179" s="19"/>
      <c r="AF179" s="19"/>
      <c r="AG179" s="19"/>
      <c r="AH179" s="19"/>
      <c r="AI179" s="19"/>
      <c r="AJ179" s="19"/>
      <c r="AK179" s="19"/>
      <c r="AL179" s="19"/>
      <c r="AM179" s="19"/>
      <c r="AN179" s="19"/>
      <c r="AO179" s="19"/>
      <c r="AP179" s="19"/>
      <c r="AQ179" s="19"/>
      <c r="AR179" s="19"/>
      <c r="AS179" s="27"/>
    </row>
    <row r="180" spans="1:45">
      <c r="A180" s="19">
        <f t="shared" si="2"/>
        <v>179</v>
      </c>
      <c r="B180" s="20">
        <v>45665</v>
      </c>
      <c r="C180" s="19" t="s">
        <v>400</v>
      </c>
      <c r="D180" s="19" t="s">
        <v>952</v>
      </c>
      <c r="E180" s="19">
        <v>20247973</v>
      </c>
      <c r="F180" s="19" t="s">
        <v>296</v>
      </c>
      <c r="G180" s="19">
        <v>8488997632</v>
      </c>
      <c r="H180" s="19" t="s">
        <v>297</v>
      </c>
      <c r="I180" s="19" t="s">
        <v>123</v>
      </c>
      <c r="J180" s="19" t="s">
        <v>286</v>
      </c>
      <c r="K180" s="19" t="s">
        <v>289</v>
      </c>
      <c r="L180" s="19" t="s">
        <v>1344</v>
      </c>
      <c r="M180" s="19" t="s">
        <v>1735</v>
      </c>
      <c r="N180" s="19" t="s">
        <v>1736</v>
      </c>
      <c r="O180" s="19"/>
      <c r="P180" s="19" t="s">
        <v>1511</v>
      </c>
      <c r="Q180" s="19" t="s">
        <v>72</v>
      </c>
      <c r="R180" s="19" t="s">
        <v>72</v>
      </c>
      <c r="S180" s="19" t="s">
        <v>1067</v>
      </c>
      <c r="T180" s="19" t="s">
        <v>858</v>
      </c>
      <c r="U180" s="21">
        <v>45782</v>
      </c>
      <c r="V180" s="19"/>
      <c r="W180" s="19" t="s">
        <v>144</v>
      </c>
      <c r="X180" s="19" t="s">
        <v>144</v>
      </c>
      <c r="Y180" s="19" t="s">
        <v>70</v>
      </c>
      <c r="Z180" s="19" t="s">
        <v>68</v>
      </c>
      <c r="AA180" s="19"/>
      <c r="AB180" s="4"/>
      <c r="AC180" s="4"/>
      <c r="AD180" s="19"/>
      <c r="AE180" s="19"/>
      <c r="AF180" s="19"/>
      <c r="AG180" s="19"/>
      <c r="AH180" s="19"/>
      <c r="AI180" s="19"/>
      <c r="AJ180" s="19"/>
      <c r="AK180" s="19"/>
      <c r="AL180" s="19"/>
      <c r="AM180" s="19"/>
      <c r="AN180" s="19"/>
      <c r="AO180" s="19"/>
      <c r="AP180" s="19"/>
      <c r="AQ180" s="19"/>
      <c r="AR180" s="19"/>
      <c r="AS180" s="27"/>
    </row>
    <row r="181" spans="1:45">
      <c r="A181" s="19">
        <f t="shared" si="2"/>
        <v>180</v>
      </c>
      <c r="B181" s="20">
        <v>45665</v>
      </c>
      <c r="C181" s="19" t="s">
        <v>400</v>
      </c>
      <c r="D181" s="19" t="s">
        <v>952</v>
      </c>
      <c r="E181" s="19">
        <v>20247894</v>
      </c>
      <c r="F181" s="19" t="s">
        <v>1737</v>
      </c>
      <c r="G181" s="19" t="s">
        <v>1738</v>
      </c>
      <c r="H181" s="19" t="s">
        <v>1739</v>
      </c>
      <c r="I181" s="19" t="s">
        <v>123</v>
      </c>
      <c r="J181" s="19" t="s">
        <v>286</v>
      </c>
      <c r="K181" s="19" t="s">
        <v>289</v>
      </c>
      <c r="L181" s="19" t="s">
        <v>1435</v>
      </c>
      <c r="M181" s="19" t="s">
        <v>1740</v>
      </c>
      <c r="N181" s="19" t="s">
        <v>1741</v>
      </c>
      <c r="O181" s="19"/>
      <c r="P181" s="19" t="s">
        <v>1346</v>
      </c>
      <c r="Q181" s="19" t="s">
        <v>72</v>
      </c>
      <c r="R181" s="19" t="s">
        <v>72</v>
      </c>
      <c r="S181" s="19" t="s">
        <v>1067</v>
      </c>
      <c r="T181" s="19" t="s">
        <v>858</v>
      </c>
      <c r="U181" s="21">
        <v>45782</v>
      </c>
      <c r="V181" s="19"/>
      <c r="W181" s="19" t="s">
        <v>144</v>
      </c>
      <c r="X181" s="19" t="s">
        <v>144</v>
      </c>
      <c r="Y181" s="19" t="s">
        <v>70</v>
      </c>
      <c r="Z181" s="19" t="s">
        <v>68</v>
      </c>
      <c r="AA181" s="19"/>
      <c r="AB181" s="4"/>
      <c r="AC181" s="4"/>
      <c r="AD181" s="19"/>
      <c r="AE181" s="19"/>
      <c r="AF181" s="19"/>
      <c r="AG181" s="19"/>
      <c r="AH181" s="19"/>
      <c r="AI181" s="19"/>
      <c r="AJ181" s="19"/>
      <c r="AK181" s="19"/>
      <c r="AL181" s="19"/>
      <c r="AM181" s="19"/>
      <c r="AN181" s="19"/>
      <c r="AO181" s="19"/>
      <c r="AP181" s="19"/>
      <c r="AQ181" s="19"/>
      <c r="AR181" s="19"/>
      <c r="AS181" s="27"/>
    </row>
    <row r="182" spans="1:45">
      <c r="A182" s="19">
        <f t="shared" si="2"/>
        <v>181</v>
      </c>
      <c r="B182" s="20">
        <v>45665</v>
      </c>
      <c r="C182" s="19" t="s">
        <v>400</v>
      </c>
      <c r="D182" s="19" t="s">
        <v>952</v>
      </c>
      <c r="E182" s="19">
        <v>20251172</v>
      </c>
      <c r="F182" s="19" t="s">
        <v>449</v>
      </c>
      <c r="G182" s="19">
        <v>8446493765</v>
      </c>
      <c r="H182" s="19" t="s">
        <v>450</v>
      </c>
      <c r="I182" s="19" t="s">
        <v>123</v>
      </c>
      <c r="J182" s="19" t="s">
        <v>446</v>
      </c>
      <c r="K182" s="19" t="s">
        <v>438</v>
      </c>
      <c r="L182" s="19" t="s">
        <v>1742</v>
      </c>
      <c r="M182" s="19" t="s">
        <v>1743</v>
      </c>
      <c r="N182" s="19">
        <v>5.5</v>
      </c>
      <c r="O182" s="19"/>
      <c r="P182" s="19" t="s">
        <v>1744</v>
      </c>
      <c r="Q182" s="19" t="s">
        <v>714</v>
      </c>
      <c r="R182" s="19" t="s">
        <v>923</v>
      </c>
      <c r="S182" s="19" t="s">
        <v>1705</v>
      </c>
      <c r="T182" s="19" t="s">
        <v>1706</v>
      </c>
      <c r="U182" s="21">
        <v>45775</v>
      </c>
      <c r="V182" s="19"/>
      <c r="W182" s="19" t="s">
        <v>245</v>
      </c>
      <c r="X182" s="19" t="s">
        <v>245</v>
      </c>
      <c r="Y182" s="19" t="s">
        <v>70</v>
      </c>
      <c r="Z182" s="19" t="s">
        <v>68</v>
      </c>
      <c r="AA182" s="19"/>
      <c r="AB182" s="4"/>
      <c r="AC182" s="4"/>
      <c r="AD182" s="19"/>
      <c r="AE182" s="19"/>
      <c r="AF182" s="19"/>
      <c r="AG182" s="19"/>
      <c r="AH182" s="19"/>
      <c r="AI182" s="19"/>
      <c r="AJ182" s="19"/>
      <c r="AK182" s="19"/>
      <c r="AL182" s="19"/>
      <c r="AM182" s="19"/>
      <c r="AN182" s="19"/>
      <c r="AO182" s="19"/>
      <c r="AP182" s="19"/>
      <c r="AQ182" s="19"/>
      <c r="AR182" s="19"/>
      <c r="AS182" s="27"/>
    </row>
    <row r="183" spans="1:45">
      <c r="A183" s="19">
        <f t="shared" si="2"/>
        <v>182</v>
      </c>
      <c r="B183" s="20">
        <v>45666</v>
      </c>
      <c r="C183" s="19" t="s">
        <v>1101</v>
      </c>
      <c r="D183" s="19" t="s">
        <v>1102</v>
      </c>
      <c r="E183" s="19" t="s">
        <v>601</v>
      </c>
      <c r="F183" s="19" t="s">
        <v>1745</v>
      </c>
      <c r="G183" s="19">
        <v>9503989834</v>
      </c>
      <c r="H183" s="19" t="s">
        <v>1746</v>
      </c>
      <c r="I183" s="19" t="s">
        <v>123</v>
      </c>
      <c r="J183" s="19" t="s">
        <v>1747</v>
      </c>
      <c r="K183" s="19" t="s">
        <v>438</v>
      </c>
      <c r="L183" s="19" t="s">
        <v>1748</v>
      </c>
      <c r="M183" s="19" t="s">
        <v>1749</v>
      </c>
      <c r="N183" s="19" t="s">
        <v>1750</v>
      </c>
      <c r="O183" s="19" t="s">
        <v>1057</v>
      </c>
      <c r="P183" s="19">
        <v>18</v>
      </c>
      <c r="Q183" s="19" t="s">
        <v>923</v>
      </c>
      <c r="R183" s="19" t="s">
        <v>923</v>
      </c>
      <c r="S183" s="19" t="s">
        <v>1751</v>
      </c>
      <c r="T183" s="19" t="s">
        <v>1752</v>
      </c>
      <c r="U183" s="21"/>
      <c r="V183" s="19"/>
      <c r="W183" s="19" t="s">
        <v>245</v>
      </c>
      <c r="X183" s="19" t="s">
        <v>245</v>
      </c>
      <c r="Y183" s="19"/>
      <c r="Z183" s="19" t="s">
        <v>68</v>
      </c>
      <c r="AA183" s="19"/>
      <c r="AB183" s="4">
        <v>45667</v>
      </c>
      <c r="AC183" s="4"/>
      <c r="AD183" s="19"/>
      <c r="AE183" s="19"/>
      <c r="AF183" s="19"/>
      <c r="AG183" s="19"/>
      <c r="AH183" s="19"/>
      <c r="AI183" s="19"/>
      <c r="AJ183" s="19"/>
      <c r="AK183" s="19"/>
      <c r="AL183" s="19"/>
      <c r="AM183" s="19"/>
      <c r="AN183" s="19"/>
      <c r="AO183" s="19"/>
      <c r="AP183" s="19"/>
      <c r="AQ183" s="19"/>
      <c r="AR183" s="19"/>
      <c r="AS183" s="27"/>
    </row>
    <row r="184" spans="1:45">
      <c r="A184" s="19">
        <f t="shared" si="2"/>
        <v>183</v>
      </c>
      <c r="B184" s="20">
        <v>45666</v>
      </c>
      <c r="C184" s="19" t="s">
        <v>1101</v>
      </c>
      <c r="D184" s="19" t="s">
        <v>1102</v>
      </c>
      <c r="E184" s="19">
        <v>20251977</v>
      </c>
      <c r="F184" s="19" t="s">
        <v>1753</v>
      </c>
      <c r="G184" s="19">
        <v>9930508939</v>
      </c>
      <c r="H184" s="19" t="s">
        <v>1754</v>
      </c>
      <c r="I184" s="19" t="s">
        <v>123</v>
      </c>
      <c r="J184" s="19" t="s">
        <v>1755</v>
      </c>
      <c r="K184" s="19" t="s">
        <v>1099</v>
      </c>
      <c r="L184" s="19" t="s">
        <v>1756</v>
      </c>
      <c r="M184" s="19" t="s">
        <v>1757</v>
      </c>
      <c r="N184" s="19">
        <v>30</v>
      </c>
      <c r="O184" s="19">
        <v>3</v>
      </c>
      <c r="P184" s="19" t="s">
        <v>1744</v>
      </c>
      <c r="Q184" s="19" t="s">
        <v>923</v>
      </c>
      <c r="R184" s="19" t="s">
        <v>923</v>
      </c>
      <c r="S184" s="19" t="s">
        <v>1758</v>
      </c>
      <c r="T184" s="19" t="s">
        <v>1057</v>
      </c>
      <c r="U184" s="21"/>
      <c r="V184" s="19"/>
      <c r="W184" s="19" t="s">
        <v>245</v>
      </c>
      <c r="X184" s="19" t="s">
        <v>245</v>
      </c>
      <c r="Y184" s="19"/>
      <c r="Z184" s="19" t="s">
        <v>68</v>
      </c>
      <c r="AA184" s="19"/>
      <c r="AB184" s="4">
        <v>45670</v>
      </c>
      <c r="AC184" s="4"/>
      <c r="AD184" s="19"/>
      <c r="AE184" s="19"/>
      <c r="AF184" s="19"/>
      <c r="AG184" s="19"/>
      <c r="AH184" s="19"/>
      <c r="AI184" s="19"/>
      <c r="AJ184" s="19"/>
      <c r="AK184" s="19"/>
      <c r="AL184" s="19"/>
      <c r="AM184" s="19"/>
      <c r="AN184" s="19"/>
      <c r="AO184" s="19"/>
      <c r="AP184" s="19"/>
      <c r="AQ184" s="19"/>
      <c r="AR184" s="19"/>
      <c r="AS184" s="27"/>
    </row>
    <row r="185" spans="1:45">
      <c r="A185" s="19">
        <f t="shared" si="2"/>
        <v>184</v>
      </c>
      <c r="B185" s="20">
        <v>45666</v>
      </c>
      <c r="C185" s="19" t="s">
        <v>1101</v>
      </c>
      <c r="D185" s="19" t="s">
        <v>1102</v>
      </c>
      <c r="E185" s="19">
        <v>20251977</v>
      </c>
      <c r="F185" s="19" t="s">
        <v>1759</v>
      </c>
      <c r="G185" s="19">
        <v>7506195858</v>
      </c>
      <c r="H185" s="19" t="s">
        <v>1760</v>
      </c>
      <c r="I185" s="19" t="s">
        <v>123</v>
      </c>
      <c r="J185" s="19" t="s">
        <v>1755</v>
      </c>
      <c r="K185" s="19" t="s">
        <v>1099</v>
      </c>
      <c r="L185" s="19" t="s">
        <v>1761</v>
      </c>
      <c r="M185" s="19" t="s">
        <v>1762</v>
      </c>
      <c r="N185" s="19">
        <v>26.28</v>
      </c>
      <c r="O185" s="19" t="s">
        <v>1057</v>
      </c>
      <c r="P185" s="19">
        <v>33</v>
      </c>
      <c r="Q185" s="19" t="s">
        <v>1085</v>
      </c>
      <c r="R185" s="19" t="s">
        <v>923</v>
      </c>
      <c r="S185" s="19" t="s">
        <v>1763</v>
      </c>
      <c r="T185" s="19" t="s">
        <v>1764</v>
      </c>
      <c r="U185" s="21"/>
      <c r="V185" s="19"/>
      <c r="W185" s="19" t="s">
        <v>245</v>
      </c>
      <c r="X185" s="19" t="s">
        <v>245</v>
      </c>
      <c r="Y185" s="19"/>
      <c r="Z185" s="19" t="s">
        <v>68</v>
      </c>
      <c r="AA185" s="19"/>
      <c r="AB185" s="4"/>
      <c r="AC185" s="4"/>
      <c r="AD185" s="19"/>
      <c r="AE185" s="19"/>
      <c r="AF185" s="19"/>
      <c r="AG185" s="19"/>
      <c r="AH185" s="19"/>
      <c r="AI185" s="19"/>
      <c r="AJ185" s="19"/>
      <c r="AK185" s="19"/>
      <c r="AL185" s="19"/>
      <c r="AM185" s="19"/>
      <c r="AN185" s="19"/>
      <c r="AO185" s="19"/>
      <c r="AP185" s="19"/>
      <c r="AQ185" s="19"/>
      <c r="AR185" s="19"/>
      <c r="AS185" s="27"/>
    </row>
    <row r="186" spans="1:45">
      <c r="A186" s="19">
        <f t="shared" si="2"/>
        <v>185</v>
      </c>
      <c r="B186" s="20">
        <v>45666</v>
      </c>
      <c r="C186" s="19" t="s">
        <v>1101</v>
      </c>
      <c r="D186" s="19" t="s">
        <v>1432</v>
      </c>
      <c r="E186" s="19">
        <v>20251210</v>
      </c>
      <c r="F186" s="19" t="s">
        <v>1765</v>
      </c>
      <c r="G186" s="19">
        <v>7028193515</v>
      </c>
      <c r="H186" s="19" t="s">
        <v>1766</v>
      </c>
      <c r="I186" s="19" t="s">
        <v>123</v>
      </c>
      <c r="J186" s="19" t="s">
        <v>328</v>
      </c>
      <c r="K186" s="19" t="s">
        <v>1767</v>
      </c>
      <c r="L186" s="19" t="s">
        <v>1452</v>
      </c>
      <c r="M186" s="19" t="s">
        <v>1768</v>
      </c>
      <c r="N186" s="19" t="s">
        <v>1540</v>
      </c>
      <c r="O186" s="19"/>
      <c r="P186" s="19" t="s">
        <v>1194</v>
      </c>
      <c r="Q186" s="19" t="s">
        <v>72</v>
      </c>
      <c r="R186" s="19" t="s">
        <v>72</v>
      </c>
      <c r="S186" s="19" t="s">
        <v>1769</v>
      </c>
      <c r="T186" s="19" t="s">
        <v>858</v>
      </c>
      <c r="U186" s="21"/>
      <c r="V186" s="19"/>
      <c r="W186" s="19" t="s">
        <v>144</v>
      </c>
      <c r="X186" s="19" t="s">
        <v>144</v>
      </c>
      <c r="Y186" s="19"/>
      <c r="Z186" s="19" t="s">
        <v>68</v>
      </c>
      <c r="AA186" s="19"/>
      <c r="AB186" s="4"/>
      <c r="AC186" s="4"/>
      <c r="AD186" s="19"/>
      <c r="AE186" s="19"/>
      <c r="AF186" s="19"/>
      <c r="AG186" s="19"/>
      <c r="AH186" s="19"/>
      <c r="AI186" s="19"/>
      <c r="AJ186" s="19"/>
      <c r="AK186" s="19"/>
      <c r="AL186" s="19"/>
      <c r="AM186" s="19"/>
      <c r="AN186" s="19"/>
      <c r="AO186" s="19"/>
      <c r="AP186" s="19"/>
      <c r="AQ186" s="19"/>
      <c r="AR186" s="19"/>
      <c r="AS186" s="27"/>
    </row>
    <row r="187" spans="1:45">
      <c r="A187" s="19">
        <f t="shared" si="2"/>
        <v>186</v>
      </c>
      <c r="B187" s="20">
        <v>45666</v>
      </c>
      <c r="C187" s="19" t="s">
        <v>1101</v>
      </c>
      <c r="D187" s="19" t="s">
        <v>1102</v>
      </c>
      <c r="E187" s="19">
        <v>20251210</v>
      </c>
      <c r="F187" s="19" t="s">
        <v>1770</v>
      </c>
      <c r="G187" s="19" t="s">
        <v>1771</v>
      </c>
      <c r="H187" s="19" t="s">
        <v>1772</v>
      </c>
      <c r="I187" s="19" t="s">
        <v>123</v>
      </c>
      <c r="J187" s="19" t="s">
        <v>1773</v>
      </c>
      <c r="K187" s="19" t="s">
        <v>1767</v>
      </c>
      <c r="L187" s="19" t="s">
        <v>1774</v>
      </c>
      <c r="M187" s="19" t="s">
        <v>1775</v>
      </c>
      <c r="N187" s="19" t="s">
        <v>1776</v>
      </c>
      <c r="O187" s="19"/>
      <c r="P187" s="19" t="s">
        <v>1191</v>
      </c>
      <c r="Q187" s="19" t="s">
        <v>72</v>
      </c>
      <c r="R187" s="19" t="s">
        <v>72</v>
      </c>
      <c r="S187" s="19" t="s">
        <v>1769</v>
      </c>
      <c r="T187" s="19" t="s">
        <v>858</v>
      </c>
      <c r="U187" s="21"/>
      <c r="V187" s="19"/>
      <c r="W187" s="19" t="s">
        <v>144</v>
      </c>
      <c r="X187" s="19" t="s">
        <v>144</v>
      </c>
      <c r="Y187" s="19"/>
      <c r="Z187" s="19" t="s">
        <v>68</v>
      </c>
      <c r="AA187" s="19"/>
      <c r="AB187" s="4"/>
      <c r="AC187" s="4"/>
      <c r="AD187" s="19"/>
      <c r="AE187" s="19"/>
      <c r="AF187" s="19"/>
      <c r="AG187" s="19"/>
      <c r="AH187" s="19"/>
      <c r="AI187" s="19"/>
      <c r="AJ187" s="19"/>
      <c r="AK187" s="19"/>
      <c r="AL187" s="19"/>
      <c r="AM187" s="19"/>
      <c r="AN187" s="19"/>
      <c r="AO187" s="19"/>
      <c r="AP187" s="19"/>
      <c r="AQ187" s="19"/>
      <c r="AR187" s="19"/>
      <c r="AS187" s="27"/>
    </row>
    <row r="188" spans="1:45">
      <c r="A188" s="19">
        <f t="shared" si="2"/>
        <v>187</v>
      </c>
      <c r="B188" s="20">
        <v>45666</v>
      </c>
      <c r="C188" s="19" t="s">
        <v>1101</v>
      </c>
      <c r="D188" s="19" t="s">
        <v>1102</v>
      </c>
      <c r="E188" s="19">
        <v>20251210</v>
      </c>
      <c r="F188" s="19" t="s">
        <v>1777</v>
      </c>
      <c r="G188" s="19" t="s">
        <v>1778</v>
      </c>
      <c r="H188" s="19" t="s">
        <v>1779</v>
      </c>
      <c r="I188" s="19" t="s">
        <v>123</v>
      </c>
      <c r="J188" s="19" t="s">
        <v>328</v>
      </c>
      <c r="K188" s="19" t="s">
        <v>1767</v>
      </c>
      <c r="L188" s="19" t="s">
        <v>1093</v>
      </c>
      <c r="M188" s="19" t="s">
        <v>1780</v>
      </c>
      <c r="N188" s="19" t="s">
        <v>1395</v>
      </c>
      <c r="O188" s="19"/>
      <c r="P188" s="19" t="s">
        <v>1156</v>
      </c>
      <c r="Q188" s="19" t="s">
        <v>1392</v>
      </c>
      <c r="R188" s="19" t="s">
        <v>72</v>
      </c>
      <c r="S188" s="19" t="s">
        <v>1158</v>
      </c>
      <c r="T188" s="19" t="s">
        <v>858</v>
      </c>
      <c r="U188" s="21"/>
      <c r="V188" s="19"/>
      <c r="W188" s="19" t="s">
        <v>144</v>
      </c>
      <c r="X188" s="19" t="s">
        <v>144</v>
      </c>
      <c r="Y188" s="19"/>
      <c r="Z188" s="19" t="s">
        <v>68</v>
      </c>
      <c r="AA188" s="19"/>
      <c r="AB188" s="4"/>
      <c r="AC188" s="4"/>
      <c r="AD188" s="19"/>
      <c r="AE188" s="19"/>
      <c r="AF188" s="19"/>
      <c r="AG188" s="19"/>
      <c r="AH188" s="19"/>
      <c r="AI188" s="19"/>
      <c r="AJ188" s="19"/>
      <c r="AK188" s="19"/>
      <c r="AL188" s="19"/>
      <c r="AM188" s="19"/>
      <c r="AN188" s="19"/>
      <c r="AO188" s="19"/>
      <c r="AP188" s="19"/>
      <c r="AQ188" s="19"/>
      <c r="AR188" s="19"/>
      <c r="AS188" s="27"/>
    </row>
    <row r="189" spans="1:45">
      <c r="A189" s="19">
        <f t="shared" si="2"/>
        <v>188</v>
      </c>
      <c r="B189" s="20">
        <v>45666</v>
      </c>
      <c r="C189" s="19" t="s">
        <v>55</v>
      </c>
      <c r="D189" s="19" t="s">
        <v>80</v>
      </c>
      <c r="E189" s="19">
        <v>20251210</v>
      </c>
      <c r="F189" s="19" t="s">
        <v>1781</v>
      </c>
      <c r="G189" s="19">
        <v>7406747353</v>
      </c>
      <c r="H189" s="19" t="s">
        <v>326</v>
      </c>
      <c r="I189" s="19" t="s">
        <v>123</v>
      </c>
      <c r="J189" s="19" t="s">
        <v>1773</v>
      </c>
      <c r="K189" s="19" t="s">
        <v>1767</v>
      </c>
      <c r="L189" s="19" t="s">
        <v>1087</v>
      </c>
      <c r="M189" s="19" t="s">
        <v>1782</v>
      </c>
      <c r="N189" s="19" t="s">
        <v>1191</v>
      </c>
      <c r="O189" s="19"/>
      <c r="P189" s="19" t="s">
        <v>1090</v>
      </c>
      <c r="Q189" s="19" t="s">
        <v>1392</v>
      </c>
      <c r="R189" s="19" t="s">
        <v>72</v>
      </c>
      <c r="S189" s="19" t="s">
        <v>1783</v>
      </c>
      <c r="T189" s="19" t="s">
        <v>858</v>
      </c>
      <c r="U189" s="21">
        <v>45782</v>
      </c>
      <c r="V189" s="19"/>
      <c r="W189" s="19" t="s">
        <v>144</v>
      </c>
      <c r="X189" s="19" t="s">
        <v>144</v>
      </c>
      <c r="Y189" s="19" t="s">
        <v>70</v>
      </c>
      <c r="Z189" s="19" t="s">
        <v>68</v>
      </c>
      <c r="AA189" s="19"/>
      <c r="AB189" s="4"/>
      <c r="AC189" s="4"/>
      <c r="AD189" s="19"/>
      <c r="AE189" s="19"/>
      <c r="AF189" s="19"/>
      <c r="AG189" s="19"/>
      <c r="AH189" s="19"/>
      <c r="AI189" s="19"/>
      <c r="AJ189" s="19"/>
      <c r="AK189" s="19"/>
      <c r="AL189" s="19"/>
      <c r="AM189" s="19"/>
      <c r="AN189" s="19"/>
      <c r="AO189" s="19"/>
      <c r="AP189" s="19"/>
      <c r="AQ189" s="19"/>
      <c r="AR189" s="19"/>
      <c r="AS189" s="27"/>
    </row>
    <row r="190" spans="1:45">
      <c r="A190" s="19">
        <f t="shared" si="2"/>
        <v>189</v>
      </c>
      <c r="B190" s="20">
        <v>45667</v>
      </c>
      <c r="C190" s="19" t="s">
        <v>1101</v>
      </c>
      <c r="D190" s="19" t="s">
        <v>1707</v>
      </c>
      <c r="E190" s="19">
        <v>20245965</v>
      </c>
      <c r="F190" s="19" t="s">
        <v>1784</v>
      </c>
      <c r="G190" s="19">
        <v>9871464099</v>
      </c>
      <c r="H190" s="19" t="s">
        <v>1785</v>
      </c>
      <c r="I190" s="19" t="s">
        <v>123</v>
      </c>
      <c r="J190" s="19" t="s">
        <v>407</v>
      </c>
      <c r="K190" s="19" t="s">
        <v>963</v>
      </c>
      <c r="L190" s="19" t="s">
        <v>1786</v>
      </c>
      <c r="M190" s="19" t="s">
        <v>1787</v>
      </c>
      <c r="N190" s="19">
        <v>15.5</v>
      </c>
      <c r="O190" s="19" t="s">
        <v>1057</v>
      </c>
      <c r="P190" s="19">
        <v>20</v>
      </c>
      <c r="Q190" s="19" t="s">
        <v>1392</v>
      </c>
      <c r="R190" s="19" t="s">
        <v>923</v>
      </c>
      <c r="S190" s="19" t="s">
        <v>1788</v>
      </c>
      <c r="T190" s="19" t="s">
        <v>1057</v>
      </c>
      <c r="U190" s="21"/>
      <c r="V190" s="19"/>
      <c r="W190" s="19" t="s">
        <v>245</v>
      </c>
      <c r="X190" s="19" t="s">
        <v>245</v>
      </c>
      <c r="Y190" s="19"/>
      <c r="Z190" s="19" t="s">
        <v>68</v>
      </c>
      <c r="AA190" s="19"/>
      <c r="AB190" s="4"/>
      <c r="AC190" s="4"/>
      <c r="AD190" s="19"/>
      <c r="AE190" s="19"/>
      <c r="AF190" s="19"/>
      <c r="AG190" s="19"/>
      <c r="AH190" s="19"/>
      <c r="AI190" s="19"/>
      <c r="AJ190" s="19"/>
      <c r="AK190" s="19"/>
      <c r="AL190" s="19"/>
      <c r="AM190" s="19"/>
      <c r="AN190" s="19"/>
      <c r="AO190" s="19"/>
      <c r="AP190" s="19"/>
      <c r="AQ190" s="19"/>
      <c r="AR190" s="19"/>
      <c r="AS190" s="27"/>
    </row>
    <row r="191" spans="1:45">
      <c r="A191" s="19">
        <f t="shared" si="2"/>
        <v>190</v>
      </c>
      <c r="B191" s="20">
        <v>45667</v>
      </c>
      <c r="C191" s="19" t="s">
        <v>1101</v>
      </c>
      <c r="D191" s="19" t="s">
        <v>1026</v>
      </c>
      <c r="E191" s="19">
        <v>20245965</v>
      </c>
      <c r="F191" s="19" t="s">
        <v>1789</v>
      </c>
      <c r="G191" s="19">
        <v>7299800436</v>
      </c>
      <c r="H191" s="19" t="s">
        <v>1790</v>
      </c>
      <c r="I191" s="19" t="s">
        <v>123</v>
      </c>
      <c r="J191" s="19" t="s">
        <v>1791</v>
      </c>
      <c r="K191" s="19" t="s">
        <v>963</v>
      </c>
      <c r="L191" s="19" t="s">
        <v>1792</v>
      </c>
      <c r="M191" s="19" t="s">
        <v>1787</v>
      </c>
      <c r="N191" s="19">
        <v>17</v>
      </c>
      <c r="O191" s="19" t="s">
        <v>1057</v>
      </c>
      <c r="P191" s="19" t="s">
        <v>1793</v>
      </c>
      <c r="Q191" s="19" t="s">
        <v>1603</v>
      </c>
      <c r="R191" s="19" t="s">
        <v>923</v>
      </c>
      <c r="S191" s="19" t="s">
        <v>1794</v>
      </c>
      <c r="T191" s="19" t="s">
        <v>1795</v>
      </c>
      <c r="U191" s="21"/>
      <c r="V191" s="19"/>
      <c r="W191" s="19" t="s">
        <v>245</v>
      </c>
      <c r="X191" s="19" t="s">
        <v>245</v>
      </c>
      <c r="Y191" s="19"/>
      <c r="Z191" s="19" t="s">
        <v>68</v>
      </c>
      <c r="AA191" s="19"/>
      <c r="AB191" s="4"/>
      <c r="AC191" s="4"/>
      <c r="AD191" s="19"/>
      <c r="AE191" s="19"/>
      <c r="AF191" s="19"/>
      <c r="AG191" s="19"/>
      <c r="AH191" s="19"/>
      <c r="AI191" s="19"/>
      <c r="AJ191" s="19"/>
      <c r="AK191" s="19"/>
      <c r="AL191" s="19"/>
      <c r="AM191" s="19"/>
      <c r="AN191" s="19"/>
      <c r="AO191" s="19"/>
      <c r="AP191" s="19"/>
      <c r="AQ191" s="19"/>
      <c r="AR191" s="19"/>
      <c r="AS191" s="27"/>
    </row>
    <row r="192" spans="1:45">
      <c r="A192" s="19">
        <f t="shared" si="2"/>
        <v>191</v>
      </c>
      <c r="B192" s="20">
        <v>45667</v>
      </c>
      <c r="C192" s="19" t="s">
        <v>1101</v>
      </c>
      <c r="D192" s="19" t="s">
        <v>1102</v>
      </c>
      <c r="E192" s="19">
        <v>20245965</v>
      </c>
      <c r="F192" s="19" t="s">
        <v>1796</v>
      </c>
      <c r="G192" s="19">
        <v>8074256930</v>
      </c>
      <c r="H192" s="19" t="s">
        <v>1797</v>
      </c>
      <c r="I192" s="19" t="s">
        <v>123</v>
      </c>
      <c r="J192" s="19" t="s">
        <v>1791</v>
      </c>
      <c r="K192" s="19" t="s">
        <v>963</v>
      </c>
      <c r="L192" s="19" t="s">
        <v>1748</v>
      </c>
      <c r="M192" s="19" t="s">
        <v>1798</v>
      </c>
      <c r="N192" s="19">
        <v>16</v>
      </c>
      <c r="O192" s="19" t="s">
        <v>1057</v>
      </c>
      <c r="P192" s="19">
        <v>23</v>
      </c>
      <c r="Q192" s="19" t="s">
        <v>1057</v>
      </c>
      <c r="R192" s="19" t="s">
        <v>923</v>
      </c>
      <c r="S192" s="19" t="s">
        <v>1799</v>
      </c>
      <c r="T192" s="19" t="s">
        <v>1800</v>
      </c>
      <c r="U192" s="21"/>
      <c r="V192" s="19"/>
      <c r="W192" s="19" t="s">
        <v>245</v>
      </c>
      <c r="X192" s="19" t="s">
        <v>245</v>
      </c>
      <c r="Y192" s="19"/>
      <c r="Z192" s="19" t="s">
        <v>68</v>
      </c>
      <c r="AA192" s="19"/>
      <c r="AB192" s="4"/>
      <c r="AC192" s="4"/>
      <c r="AD192" s="19"/>
      <c r="AE192" s="19"/>
      <c r="AF192" s="19"/>
      <c r="AG192" s="19"/>
      <c r="AH192" s="19"/>
      <c r="AI192" s="19"/>
      <c r="AJ192" s="19"/>
      <c r="AK192" s="19"/>
      <c r="AL192" s="19"/>
      <c r="AM192" s="19"/>
      <c r="AN192" s="19"/>
      <c r="AO192" s="19"/>
      <c r="AP192" s="19"/>
      <c r="AQ192" s="19"/>
      <c r="AR192" s="19"/>
      <c r="AS192" s="27"/>
    </row>
    <row r="193" spans="1:45">
      <c r="A193" s="19">
        <f t="shared" si="2"/>
        <v>192</v>
      </c>
      <c r="B193" s="20">
        <v>45667</v>
      </c>
      <c r="C193" s="19" t="s">
        <v>1101</v>
      </c>
      <c r="D193" s="19" t="s">
        <v>1102</v>
      </c>
      <c r="E193" s="19">
        <v>20245965</v>
      </c>
      <c r="F193" s="19" t="s">
        <v>1801</v>
      </c>
      <c r="G193" s="19">
        <v>9429959185</v>
      </c>
      <c r="H193" s="19" t="s">
        <v>1802</v>
      </c>
      <c r="I193" s="19" t="s">
        <v>123</v>
      </c>
      <c r="J193" s="19" t="s">
        <v>1791</v>
      </c>
      <c r="K193" s="19" t="s">
        <v>963</v>
      </c>
      <c r="L193" s="19" t="s">
        <v>1803</v>
      </c>
      <c r="M193" s="19" t="s">
        <v>1804</v>
      </c>
      <c r="N193" s="19">
        <v>16</v>
      </c>
      <c r="O193" s="19" t="s">
        <v>1057</v>
      </c>
      <c r="P193" s="19">
        <v>25</v>
      </c>
      <c r="Q193" s="19" t="s">
        <v>923</v>
      </c>
      <c r="R193" s="19" t="s">
        <v>923</v>
      </c>
      <c r="S193" s="19" t="s">
        <v>1758</v>
      </c>
      <c r="T193" s="19" t="s">
        <v>1057</v>
      </c>
      <c r="U193" s="21"/>
      <c r="V193" s="19"/>
      <c r="W193" s="19" t="s">
        <v>245</v>
      </c>
      <c r="X193" s="19" t="s">
        <v>245</v>
      </c>
      <c r="Y193" s="19"/>
      <c r="Z193" s="19" t="s">
        <v>68</v>
      </c>
      <c r="AA193" s="19"/>
      <c r="AB193" s="4">
        <v>45679</v>
      </c>
      <c r="AC193" s="4"/>
      <c r="AD193" s="19"/>
      <c r="AE193" s="19"/>
      <c r="AF193" s="19"/>
      <c r="AG193" s="19"/>
      <c r="AH193" s="19"/>
      <c r="AI193" s="19"/>
      <c r="AJ193" s="19"/>
      <c r="AK193" s="19"/>
      <c r="AL193" s="19"/>
      <c r="AM193" s="19"/>
      <c r="AN193" s="19"/>
      <c r="AO193" s="19"/>
      <c r="AP193" s="19"/>
      <c r="AQ193" s="19"/>
      <c r="AR193" s="19"/>
      <c r="AS193" s="27"/>
    </row>
    <row r="194" spans="1:45">
      <c r="A194" s="19">
        <f t="shared" si="2"/>
        <v>193</v>
      </c>
      <c r="B194" s="20">
        <v>45667</v>
      </c>
      <c r="C194" s="19" t="s">
        <v>1101</v>
      </c>
      <c r="D194" s="19" t="s">
        <v>1707</v>
      </c>
      <c r="E194" s="19">
        <v>20245965</v>
      </c>
      <c r="F194" s="19" t="s">
        <v>1805</v>
      </c>
      <c r="G194" s="19">
        <v>9033213942</v>
      </c>
      <c r="H194" s="19" t="s">
        <v>1806</v>
      </c>
      <c r="I194" s="19" t="s">
        <v>123</v>
      </c>
      <c r="J194" s="19" t="s">
        <v>407</v>
      </c>
      <c r="K194" s="19" t="s">
        <v>963</v>
      </c>
      <c r="L194" s="19" t="s">
        <v>1807</v>
      </c>
      <c r="M194" s="19" t="s">
        <v>1808</v>
      </c>
      <c r="N194" s="19">
        <v>20.5</v>
      </c>
      <c r="O194" s="19" t="s">
        <v>1057</v>
      </c>
      <c r="P194" s="19">
        <v>35</v>
      </c>
      <c r="Q194" s="19" t="s">
        <v>1809</v>
      </c>
      <c r="R194" s="19" t="s">
        <v>923</v>
      </c>
      <c r="S194" s="19" t="s">
        <v>1810</v>
      </c>
      <c r="T194" s="19" t="s">
        <v>1811</v>
      </c>
      <c r="U194" s="21"/>
      <c r="V194" s="19"/>
      <c r="W194" s="19" t="s">
        <v>245</v>
      </c>
      <c r="X194" s="19" t="s">
        <v>245</v>
      </c>
      <c r="Y194" s="19"/>
      <c r="Z194" s="19" t="s">
        <v>68</v>
      </c>
      <c r="AA194" s="19"/>
      <c r="AB194" s="4"/>
      <c r="AC194" s="4"/>
      <c r="AD194" s="19"/>
      <c r="AE194" s="19"/>
      <c r="AF194" s="19"/>
      <c r="AG194" s="19"/>
      <c r="AH194" s="19"/>
      <c r="AI194" s="19"/>
      <c r="AJ194" s="19"/>
      <c r="AK194" s="19"/>
      <c r="AL194" s="19"/>
      <c r="AM194" s="19"/>
      <c r="AN194" s="19"/>
      <c r="AO194" s="19"/>
      <c r="AP194" s="19"/>
      <c r="AQ194" s="19"/>
      <c r="AR194" s="19"/>
      <c r="AS194" s="27"/>
    </row>
    <row r="195" spans="1:45">
      <c r="A195" s="19">
        <f t="shared" ref="A195:A258" si="3">A194+1</f>
        <v>194</v>
      </c>
      <c r="B195" s="20">
        <v>45670</v>
      </c>
      <c r="C195" s="19" t="s">
        <v>1101</v>
      </c>
      <c r="D195" s="19" t="s">
        <v>1160</v>
      </c>
      <c r="E195" s="19">
        <v>20252407</v>
      </c>
      <c r="F195" s="19" t="s">
        <v>1679</v>
      </c>
      <c r="G195" s="19">
        <v>8605757480</v>
      </c>
      <c r="H195" s="19" t="s">
        <v>1680</v>
      </c>
      <c r="I195" s="19" t="s">
        <v>123</v>
      </c>
      <c r="J195" s="19" t="s">
        <v>393</v>
      </c>
      <c r="K195" s="19" t="s">
        <v>1812</v>
      </c>
      <c r="L195" s="19" t="s">
        <v>1683</v>
      </c>
      <c r="M195" s="19" t="s">
        <v>1684</v>
      </c>
      <c r="N195" s="19">
        <v>14</v>
      </c>
      <c r="O195" s="19" t="s">
        <v>1057</v>
      </c>
      <c r="P195" s="19" t="s">
        <v>1685</v>
      </c>
      <c r="Q195" s="19" t="s">
        <v>923</v>
      </c>
      <c r="R195" s="19" t="s">
        <v>923</v>
      </c>
      <c r="S195" s="19" t="s">
        <v>1686</v>
      </c>
      <c r="T195" s="19" t="s">
        <v>1057</v>
      </c>
      <c r="U195" s="21"/>
      <c r="V195" s="19"/>
      <c r="W195" s="19" t="s">
        <v>245</v>
      </c>
      <c r="X195" s="19" t="s">
        <v>245</v>
      </c>
      <c r="Y195" s="19"/>
      <c r="Z195" s="19" t="s">
        <v>68</v>
      </c>
      <c r="AA195" s="19"/>
      <c r="AB195" s="4">
        <v>45668</v>
      </c>
      <c r="AC195" s="4"/>
      <c r="AD195" s="19"/>
      <c r="AE195" s="19"/>
      <c r="AF195" s="19"/>
      <c r="AG195" s="19"/>
      <c r="AH195" s="19"/>
      <c r="AI195" s="19"/>
      <c r="AJ195" s="19"/>
      <c r="AK195" s="19"/>
      <c r="AL195" s="19"/>
      <c r="AM195" s="19"/>
      <c r="AN195" s="19"/>
      <c r="AO195" s="19"/>
      <c r="AP195" s="19"/>
      <c r="AQ195" s="19"/>
      <c r="AR195" s="19"/>
      <c r="AS195" s="27"/>
    </row>
    <row r="196" spans="1:45">
      <c r="A196" s="19">
        <f t="shared" si="3"/>
        <v>195</v>
      </c>
      <c r="B196" s="20">
        <v>45670</v>
      </c>
      <c r="C196" s="19" t="s">
        <v>1101</v>
      </c>
      <c r="D196" s="19" t="s">
        <v>1102</v>
      </c>
      <c r="E196" s="19">
        <v>20252407</v>
      </c>
      <c r="F196" s="19" t="s">
        <v>1687</v>
      </c>
      <c r="G196" s="19">
        <v>8106594053</v>
      </c>
      <c r="H196" s="19" t="s">
        <v>1688</v>
      </c>
      <c r="I196" s="19" t="s">
        <v>123</v>
      </c>
      <c r="J196" s="19" t="s">
        <v>393</v>
      </c>
      <c r="K196" s="19" t="s">
        <v>1812</v>
      </c>
      <c r="L196" s="19" t="s">
        <v>1054</v>
      </c>
      <c r="M196" s="19" t="s">
        <v>1689</v>
      </c>
      <c r="N196" s="19">
        <v>9.3000000000000007</v>
      </c>
      <c r="O196" s="19" t="s">
        <v>1057</v>
      </c>
      <c r="P196" s="19">
        <v>13</v>
      </c>
      <c r="Q196" s="19" t="s">
        <v>1392</v>
      </c>
      <c r="R196" s="19" t="s">
        <v>923</v>
      </c>
      <c r="S196" s="19" t="s">
        <v>1690</v>
      </c>
      <c r="T196" s="19" t="s">
        <v>1691</v>
      </c>
      <c r="U196" s="21"/>
      <c r="V196" s="19"/>
      <c r="W196" s="19" t="s">
        <v>245</v>
      </c>
      <c r="X196" s="19" t="s">
        <v>245</v>
      </c>
      <c r="Y196" s="19"/>
      <c r="Z196" s="19" t="s">
        <v>68</v>
      </c>
      <c r="AA196" s="19"/>
      <c r="AB196" s="4"/>
      <c r="AC196" s="4"/>
      <c r="AD196" s="19"/>
      <c r="AE196" s="19"/>
      <c r="AF196" s="19"/>
      <c r="AG196" s="19"/>
      <c r="AH196" s="19"/>
      <c r="AI196" s="19"/>
      <c r="AJ196" s="19"/>
      <c r="AK196" s="19"/>
      <c r="AL196" s="19"/>
      <c r="AM196" s="19"/>
      <c r="AN196" s="19"/>
      <c r="AO196" s="19"/>
      <c r="AP196" s="19"/>
      <c r="AQ196" s="19"/>
      <c r="AR196" s="19"/>
      <c r="AS196" s="27"/>
    </row>
    <row r="197" spans="1:45">
      <c r="A197" s="19">
        <f t="shared" si="3"/>
        <v>196</v>
      </c>
      <c r="B197" s="20">
        <v>45670</v>
      </c>
      <c r="C197" s="19" t="s">
        <v>1101</v>
      </c>
      <c r="D197" s="19" t="s">
        <v>1160</v>
      </c>
      <c r="E197" s="19">
        <v>20252407</v>
      </c>
      <c r="F197" s="19" t="s">
        <v>1692</v>
      </c>
      <c r="G197" s="19">
        <v>9022940954</v>
      </c>
      <c r="H197" s="19" t="s">
        <v>1693</v>
      </c>
      <c r="I197" s="19" t="s">
        <v>86</v>
      </c>
      <c r="J197" s="19" t="s">
        <v>393</v>
      </c>
      <c r="K197" s="19" t="s">
        <v>1812</v>
      </c>
      <c r="L197" s="19" t="s">
        <v>1683</v>
      </c>
      <c r="M197" s="19" t="s">
        <v>1689</v>
      </c>
      <c r="N197" s="19">
        <v>9.3000000000000007</v>
      </c>
      <c r="O197" s="19" t="s">
        <v>1057</v>
      </c>
      <c r="P197" s="19">
        <v>13</v>
      </c>
      <c r="Q197" s="19" t="s">
        <v>923</v>
      </c>
      <c r="R197" s="19" t="s">
        <v>923</v>
      </c>
      <c r="S197" s="19" t="s">
        <v>1694</v>
      </c>
      <c r="T197" s="19" t="s">
        <v>1057</v>
      </c>
      <c r="U197" s="21"/>
      <c r="V197" s="19"/>
      <c r="W197" s="19" t="s">
        <v>245</v>
      </c>
      <c r="X197" s="19" t="s">
        <v>245</v>
      </c>
      <c r="Y197" s="19"/>
      <c r="Z197" s="19" t="s">
        <v>68</v>
      </c>
      <c r="AA197" s="19"/>
      <c r="AB197" s="4">
        <v>45670</v>
      </c>
      <c r="AC197" s="4"/>
      <c r="AD197" s="19"/>
      <c r="AE197" s="19"/>
      <c r="AF197" s="19"/>
      <c r="AG197" s="19"/>
      <c r="AH197" s="19"/>
      <c r="AI197" s="19"/>
      <c r="AJ197" s="19"/>
      <c r="AK197" s="19"/>
      <c r="AL197" s="19"/>
      <c r="AM197" s="19"/>
      <c r="AN197" s="19"/>
      <c r="AO197" s="19"/>
      <c r="AP197" s="19"/>
      <c r="AQ197" s="19"/>
      <c r="AR197" s="19"/>
      <c r="AS197" s="27"/>
    </row>
    <row r="198" spans="1:45">
      <c r="A198" s="19">
        <f t="shared" si="3"/>
        <v>197</v>
      </c>
      <c r="B198" s="20">
        <v>45670</v>
      </c>
      <c r="C198" s="19" t="s">
        <v>1101</v>
      </c>
      <c r="D198" s="19" t="s">
        <v>1102</v>
      </c>
      <c r="E198" s="19">
        <v>20252407</v>
      </c>
      <c r="F198" s="19" t="s">
        <v>1695</v>
      </c>
      <c r="G198" s="19">
        <v>9503649636</v>
      </c>
      <c r="H198" s="19" t="s">
        <v>1696</v>
      </c>
      <c r="I198" s="19" t="s">
        <v>123</v>
      </c>
      <c r="J198" s="19" t="s">
        <v>393</v>
      </c>
      <c r="K198" s="19" t="s">
        <v>1812</v>
      </c>
      <c r="L198" s="19" t="s">
        <v>1054</v>
      </c>
      <c r="M198" s="19" t="s">
        <v>1697</v>
      </c>
      <c r="N198" s="19">
        <v>9.5</v>
      </c>
      <c r="O198" s="19" t="s">
        <v>1057</v>
      </c>
      <c r="P198" s="19">
        <v>14</v>
      </c>
      <c r="Q198" s="19" t="s">
        <v>923</v>
      </c>
      <c r="R198" s="19" t="s">
        <v>923</v>
      </c>
      <c r="S198" s="19" t="s">
        <v>1698</v>
      </c>
      <c r="T198" s="19" t="s">
        <v>1057</v>
      </c>
      <c r="U198" s="21"/>
      <c r="V198" s="19"/>
      <c r="W198" s="19" t="s">
        <v>245</v>
      </c>
      <c r="X198" s="19" t="s">
        <v>245</v>
      </c>
      <c r="Y198" s="19"/>
      <c r="Z198" s="19" t="s">
        <v>68</v>
      </c>
      <c r="AA198" s="19"/>
      <c r="AB198" s="4">
        <v>45667</v>
      </c>
      <c r="AC198" s="4"/>
      <c r="AD198" s="19"/>
      <c r="AE198" s="19"/>
      <c r="AF198" s="19"/>
      <c r="AG198" s="19"/>
      <c r="AH198" s="19"/>
      <c r="AI198" s="19"/>
      <c r="AJ198" s="19"/>
      <c r="AK198" s="19"/>
      <c r="AL198" s="19"/>
      <c r="AM198" s="19"/>
      <c r="AN198" s="19"/>
      <c r="AO198" s="19"/>
      <c r="AP198" s="19"/>
      <c r="AQ198" s="19"/>
      <c r="AR198" s="19"/>
      <c r="AS198" s="27"/>
    </row>
    <row r="199" spans="1:45">
      <c r="A199" s="19">
        <f t="shared" si="3"/>
        <v>198</v>
      </c>
      <c r="B199" s="20">
        <v>45672</v>
      </c>
      <c r="C199" s="19" t="s">
        <v>1101</v>
      </c>
      <c r="D199" s="19" t="s">
        <v>1813</v>
      </c>
      <c r="E199" s="19">
        <v>20242406</v>
      </c>
      <c r="F199" s="19" t="s">
        <v>1814</v>
      </c>
      <c r="G199" s="19">
        <v>7263955564</v>
      </c>
      <c r="H199" s="19" t="s">
        <v>1815</v>
      </c>
      <c r="I199" s="19" t="s">
        <v>123</v>
      </c>
      <c r="J199" s="19" t="s">
        <v>1681</v>
      </c>
      <c r="K199" s="19" t="s">
        <v>1682</v>
      </c>
      <c r="L199" s="19" t="s">
        <v>1816</v>
      </c>
      <c r="M199" s="19" t="s">
        <v>1057</v>
      </c>
      <c r="N199" s="19">
        <v>9</v>
      </c>
      <c r="O199" s="19" t="s">
        <v>1057</v>
      </c>
      <c r="P199" s="19" t="s">
        <v>1817</v>
      </c>
      <c r="Q199" s="19" t="s">
        <v>72</v>
      </c>
      <c r="R199" s="19" t="s">
        <v>72</v>
      </c>
      <c r="S199" s="19" t="s">
        <v>1818</v>
      </c>
      <c r="T199" s="19" t="s">
        <v>1819</v>
      </c>
      <c r="U199" s="21"/>
      <c r="V199" s="19"/>
      <c r="W199" s="19" t="s">
        <v>245</v>
      </c>
      <c r="X199" s="19" t="s">
        <v>245</v>
      </c>
      <c r="Y199" s="19"/>
      <c r="Z199" s="19" t="s">
        <v>68</v>
      </c>
      <c r="AA199" s="19"/>
      <c r="AB199" s="4"/>
      <c r="AC199" s="4"/>
      <c r="AD199" s="19"/>
      <c r="AE199" s="19"/>
      <c r="AF199" s="19"/>
      <c r="AG199" s="19"/>
      <c r="AH199" s="19"/>
      <c r="AI199" s="19"/>
      <c r="AJ199" s="19"/>
      <c r="AK199" s="19"/>
      <c r="AL199" s="19"/>
      <c r="AM199" s="19"/>
      <c r="AN199" s="19"/>
      <c r="AO199" s="19"/>
      <c r="AP199" s="19"/>
      <c r="AQ199" s="19"/>
      <c r="AR199" s="19"/>
      <c r="AS199" s="27"/>
    </row>
    <row r="200" spans="1:45">
      <c r="A200" s="19">
        <f t="shared" si="3"/>
        <v>199</v>
      </c>
      <c r="B200" s="20">
        <v>45672</v>
      </c>
      <c r="C200" s="19" t="s">
        <v>1101</v>
      </c>
      <c r="D200" s="19" t="s">
        <v>1707</v>
      </c>
      <c r="E200" s="19">
        <v>20242406</v>
      </c>
      <c r="F200" s="19" t="s">
        <v>1820</v>
      </c>
      <c r="G200" s="19">
        <v>8341150783</v>
      </c>
      <c r="H200" s="19" t="s">
        <v>1821</v>
      </c>
      <c r="I200" s="19" t="s">
        <v>123</v>
      </c>
      <c r="J200" s="19" t="s">
        <v>1681</v>
      </c>
      <c r="K200" s="19" t="s">
        <v>1682</v>
      </c>
      <c r="L200" s="19" t="s">
        <v>1822</v>
      </c>
      <c r="M200" s="19" t="s">
        <v>1355</v>
      </c>
      <c r="N200" s="19">
        <v>7</v>
      </c>
      <c r="O200" s="19" t="s">
        <v>1057</v>
      </c>
      <c r="P200" s="19" t="s">
        <v>1817</v>
      </c>
      <c r="Q200" s="19" t="s">
        <v>1823</v>
      </c>
      <c r="R200" s="19" t="s">
        <v>923</v>
      </c>
      <c r="S200" s="19" t="s">
        <v>1824</v>
      </c>
      <c r="T200" s="19" t="s">
        <v>1825</v>
      </c>
      <c r="U200" s="21"/>
      <c r="V200" s="19"/>
      <c r="W200" s="19" t="s">
        <v>245</v>
      </c>
      <c r="X200" s="19" t="s">
        <v>245</v>
      </c>
      <c r="Y200" s="19"/>
      <c r="Z200" s="19" t="s">
        <v>68</v>
      </c>
      <c r="AA200" s="19"/>
      <c r="AB200" s="4"/>
      <c r="AC200" s="4"/>
      <c r="AD200" s="19"/>
      <c r="AE200" s="19"/>
      <c r="AF200" s="19"/>
      <c r="AG200" s="19"/>
      <c r="AH200" s="19"/>
      <c r="AI200" s="19"/>
      <c r="AJ200" s="19"/>
      <c r="AK200" s="19"/>
      <c r="AL200" s="19"/>
      <c r="AM200" s="19"/>
      <c r="AN200" s="19"/>
      <c r="AO200" s="19"/>
      <c r="AP200" s="19"/>
      <c r="AQ200" s="19"/>
      <c r="AR200" s="19"/>
      <c r="AS200" s="27"/>
    </row>
    <row r="201" spans="1:45">
      <c r="A201" s="19">
        <f t="shared" si="3"/>
        <v>200</v>
      </c>
      <c r="B201" s="20">
        <v>45672</v>
      </c>
      <c r="C201" s="19" t="s">
        <v>1101</v>
      </c>
      <c r="D201" s="19" t="s">
        <v>1707</v>
      </c>
      <c r="E201" s="19">
        <v>20242406</v>
      </c>
      <c r="F201" s="19" t="s">
        <v>1826</v>
      </c>
      <c r="G201" s="19">
        <v>7841070382</v>
      </c>
      <c r="H201" s="19" t="s">
        <v>1827</v>
      </c>
      <c r="I201" s="19" t="s">
        <v>86</v>
      </c>
      <c r="J201" s="19" t="s">
        <v>1681</v>
      </c>
      <c r="K201" s="19" t="s">
        <v>1682</v>
      </c>
      <c r="L201" s="19" t="s">
        <v>1054</v>
      </c>
      <c r="M201" s="19" t="s">
        <v>1551</v>
      </c>
      <c r="N201" s="19">
        <v>4.3</v>
      </c>
      <c r="O201" s="19" t="s">
        <v>1057</v>
      </c>
      <c r="P201" s="19">
        <v>7.5</v>
      </c>
      <c r="Q201" s="19" t="s">
        <v>1091</v>
      </c>
      <c r="R201" s="19" t="s">
        <v>923</v>
      </c>
      <c r="S201" s="19" t="s">
        <v>1405</v>
      </c>
      <c r="T201" s="19" t="s">
        <v>1057</v>
      </c>
      <c r="U201" s="21"/>
      <c r="V201" s="19"/>
      <c r="W201" s="19" t="s">
        <v>245</v>
      </c>
      <c r="X201" s="19" t="s">
        <v>245</v>
      </c>
      <c r="Y201" s="19"/>
      <c r="Z201" s="19" t="s">
        <v>68</v>
      </c>
      <c r="AA201" s="19"/>
      <c r="AB201" s="4"/>
      <c r="AC201" s="4"/>
      <c r="AD201" s="19"/>
      <c r="AE201" s="19"/>
      <c r="AF201" s="19"/>
      <c r="AG201" s="19"/>
      <c r="AH201" s="19"/>
      <c r="AI201" s="19"/>
      <c r="AJ201" s="19"/>
      <c r="AK201" s="19"/>
      <c r="AL201" s="19"/>
      <c r="AM201" s="19"/>
      <c r="AN201" s="19"/>
      <c r="AO201" s="19"/>
      <c r="AP201" s="19"/>
      <c r="AQ201" s="19"/>
      <c r="AR201" s="19"/>
      <c r="AS201" s="27"/>
    </row>
    <row r="202" spans="1:45">
      <c r="A202" s="19">
        <f t="shared" si="3"/>
        <v>201</v>
      </c>
      <c r="B202" s="20">
        <v>45672</v>
      </c>
      <c r="C202" s="19" t="s">
        <v>1101</v>
      </c>
      <c r="D202" s="19" t="s">
        <v>1707</v>
      </c>
      <c r="E202" s="19">
        <v>20242406</v>
      </c>
      <c r="F202" s="19" t="s">
        <v>1828</v>
      </c>
      <c r="G202" s="19">
        <v>9529132520</v>
      </c>
      <c r="H202" s="19" t="s">
        <v>1829</v>
      </c>
      <c r="I202" s="19" t="s">
        <v>123</v>
      </c>
      <c r="J202" s="19" t="s">
        <v>1681</v>
      </c>
      <c r="K202" s="19" t="s">
        <v>1682</v>
      </c>
      <c r="L202" s="19" t="s">
        <v>1830</v>
      </c>
      <c r="M202" s="19" t="s">
        <v>1831</v>
      </c>
      <c r="N202" s="19">
        <v>7.7</v>
      </c>
      <c r="O202" s="19" t="s">
        <v>1057</v>
      </c>
      <c r="P202" s="19" t="s">
        <v>1744</v>
      </c>
      <c r="Q202" s="19" t="s">
        <v>923</v>
      </c>
      <c r="R202" s="19" t="s">
        <v>923</v>
      </c>
      <c r="S202" s="19" t="s">
        <v>1832</v>
      </c>
      <c r="T202" s="19" t="s">
        <v>1833</v>
      </c>
      <c r="U202" s="21"/>
      <c r="V202" s="19"/>
      <c r="W202" s="19" t="s">
        <v>245</v>
      </c>
      <c r="X202" s="19" t="s">
        <v>245</v>
      </c>
      <c r="Y202" s="19"/>
      <c r="Z202" s="19" t="s">
        <v>68</v>
      </c>
      <c r="AA202" s="19"/>
      <c r="AB202" s="4"/>
      <c r="AC202" s="4"/>
      <c r="AD202" s="19"/>
      <c r="AE202" s="19"/>
      <c r="AF202" s="19"/>
      <c r="AG202" s="19"/>
      <c r="AH202" s="19"/>
      <c r="AI202" s="19"/>
      <c r="AJ202" s="19"/>
      <c r="AK202" s="19"/>
      <c r="AL202" s="19"/>
      <c r="AM202" s="19"/>
      <c r="AN202" s="19"/>
      <c r="AO202" s="19"/>
      <c r="AP202" s="19"/>
      <c r="AQ202" s="19"/>
      <c r="AR202" s="19"/>
      <c r="AS202" s="27"/>
    </row>
    <row r="203" spans="1:45">
      <c r="A203" s="19">
        <f t="shared" si="3"/>
        <v>202</v>
      </c>
      <c r="B203" s="20">
        <v>45672</v>
      </c>
      <c r="C203" s="19" t="s">
        <v>1101</v>
      </c>
      <c r="D203" s="19" t="s">
        <v>1707</v>
      </c>
      <c r="E203" s="19">
        <v>20242406</v>
      </c>
      <c r="F203" s="19" t="s">
        <v>1834</v>
      </c>
      <c r="G203" s="19">
        <v>9096776137</v>
      </c>
      <c r="H203" s="19" t="s">
        <v>1835</v>
      </c>
      <c r="I203" s="19" t="s">
        <v>123</v>
      </c>
      <c r="J203" s="19" t="s">
        <v>1681</v>
      </c>
      <c r="K203" s="19" t="s">
        <v>1682</v>
      </c>
      <c r="L203" s="19" t="s">
        <v>1836</v>
      </c>
      <c r="M203" s="19" t="s">
        <v>1214</v>
      </c>
      <c r="N203" s="19">
        <v>9</v>
      </c>
      <c r="O203" s="19" t="s">
        <v>1057</v>
      </c>
      <c r="P203" s="19">
        <v>16</v>
      </c>
      <c r="Q203" s="19" t="s">
        <v>923</v>
      </c>
      <c r="R203" s="19" t="s">
        <v>923</v>
      </c>
      <c r="S203" s="19" t="s">
        <v>1837</v>
      </c>
      <c r="T203" s="19" t="s">
        <v>1833</v>
      </c>
      <c r="U203" s="21"/>
      <c r="V203" s="19"/>
      <c r="W203" s="19" t="s">
        <v>245</v>
      </c>
      <c r="X203" s="19" t="s">
        <v>245</v>
      </c>
      <c r="Y203" s="19"/>
      <c r="Z203" s="19" t="s">
        <v>68</v>
      </c>
      <c r="AA203" s="19"/>
      <c r="AB203" s="4"/>
      <c r="AC203" s="4"/>
      <c r="AD203" s="19"/>
      <c r="AE203" s="19"/>
      <c r="AF203" s="19"/>
      <c r="AG203" s="19"/>
      <c r="AH203" s="19"/>
      <c r="AI203" s="19"/>
      <c r="AJ203" s="19"/>
      <c r="AK203" s="19"/>
      <c r="AL203" s="19"/>
      <c r="AM203" s="19"/>
      <c r="AN203" s="19"/>
      <c r="AO203" s="19"/>
      <c r="AP203" s="19"/>
      <c r="AQ203" s="19"/>
      <c r="AR203" s="19"/>
      <c r="AS203" s="27"/>
    </row>
    <row r="204" spans="1:45">
      <c r="A204" s="19">
        <f t="shared" si="3"/>
        <v>203</v>
      </c>
      <c r="B204" s="20">
        <v>45672</v>
      </c>
      <c r="C204" s="19" t="s">
        <v>1101</v>
      </c>
      <c r="D204" s="19" t="s">
        <v>1707</v>
      </c>
      <c r="E204" s="19">
        <v>20242406</v>
      </c>
      <c r="F204" s="19" t="s">
        <v>1838</v>
      </c>
      <c r="G204" s="19">
        <v>9130933643</v>
      </c>
      <c r="H204" s="19" t="s">
        <v>1839</v>
      </c>
      <c r="I204" s="19" t="s">
        <v>86</v>
      </c>
      <c r="J204" s="19" t="s">
        <v>1681</v>
      </c>
      <c r="K204" s="19" t="s">
        <v>1682</v>
      </c>
      <c r="L204" s="19" t="s">
        <v>1683</v>
      </c>
      <c r="M204" s="19" t="s">
        <v>1840</v>
      </c>
      <c r="N204" s="19">
        <v>7.2</v>
      </c>
      <c r="O204" s="19" t="s">
        <v>1057</v>
      </c>
      <c r="P204" s="19">
        <v>13</v>
      </c>
      <c r="Q204" s="19" t="s">
        <v>923</v>
      </c>
      <c r="R204" s="19" t="s">
        <v>923</v>
      </c>
      <c r="S204" s="19" t="s">
        <v>1841</v>
      </c>
      <c r="T204" s="19" t="s">
        <v>1833</v>
      </c>
      <c r="U204" s="21"/>
      <c r="V204" s="19"/>
      <c r="W204" s="19" t="s">
        <v>245</v>
      </c>
      <c r="X204" s="19" t="s">
        <v>245</v>
      </c>
      <c r="Y204" s="19"/>
      <c r="Z204" s="19" t="s">
        <v>68</v>
      </c>
      <c r="AA204" s="19"/>
      <c r="AB204" s="4"/>
      <c r="AC204" s="4"/>
      <c r="AD204" s="19"/>
      <c r="AE204" s="19"/>
      <c r="AF204" s="19"/>
      <c r="AG204" s="19"/>
      <c r="AH204" s="19"/>
      <c r="AI204" s="19"/>
      <c r="AJ204" s="19"/>
      <c r="AK204" s="19"/>
      <c r="AL204" s="19"/>
      <c r="AM204" s="19"/>
      <c r="AN204" s="19"/>
      <c r="AO204" s="19"/>
      <c r="AP204" s="19"/>
      <c r="AQ204" s="19"/>
      <c r="AR204" s="19"/>
      <c r="AS204" s="27"/>
    </row>
    <row r="205" spans="1:45">
      <c r="A205" s="19">
        <f t="shared" si="3"/>
        <v>204</v>
      </c>
      <c r="B205" s="20">
        <v>45672</v>
      </c>
      <c r="C205" s="19" t="s">
        <v>1101</v>
      </c>
      <c r="D205" s="19" t="s">
        <v>1160</v>
      </c>
      <c r="E205" s="19">
        <v>20245965</v>
      </c>
      <c r="F205" s="19" t="s">
        <v>1842</v>
      </c>
      <c r="G205" s="19">
        <v>8669160895</v>
      </c>
      <c r="H205" s="19" t="s">
        <v>1843</v>
      </c>
      <c r="I205" s="19" t="s">
        <v>123</v>
      </c>
      <c r="J205" s="19" t="s">
        <v>407</v>
      </c>
      <c r="K205" s="19" t="s">
        <v>963</v>
      </c>
      <c r="L205" s="19" t="s">
        <v>1786</v>
      </c>
      <c r="M205" s="19" t="s">
        <v>1844</v>
      </c>
      <c r="N205" s="19">
        <v>10</v>
      </c>
      <c r="O205" s="19" t="s">
        <v>1057</v>
      </c>
      <c r="P205" s="19" t="s">
        <v>1845</v>
      </c>
      <c r="Q205" s="19" t="s">
        <v>923</v>
      </c>
      <c r="R205" s="19" t="s">
        <v>923</v>
      </c>
      <c r="S205" s="19" t="s">
        <v>1846</v>
      </c>
      <c r="T205" s="19" t="s">
        <v>1847</v>
      </c>
      <c r="U205" s="21"/>
      <c r="V205" s="19"/>
      <c r="W205" s="19" t="s">
        <v>245</v>
      </c>
      <c r="X205" s="19" t="s">
        <v>245</v>
      </c>
      <c r="Y205" s="19"/>
      <c r="Z205" s="19" t="s">
        <v>68</v>
      </c>
      <c r="AA205" s="19"/>
      <c r="AB205" s="4">
        <v>45679</v>
      </c>
      <c r="AC205" s="4"/>
      <c r="AD205" s="19"/>
      <c r="AE205" s="19"/>
      <c r="AF205" s="19"/>
      <c r="AG205" s="19"/>
      <c r="AH205" s="19"/>
      <c r="AI205" s="19"/>
      <c r="AJ205" s="19"/>
      <c r="AK205" s="19"/>
      <c r="AL205" s="19"/>
      <c r="AM205" s="19"/>
      <c r="AN205" s="19"/>
      <c r="AO205" s="19"/>
      <c r="AP205" s="19"/>
      <c r="AQ205" s="19"/>
      <c r="AR205" s="19"/>
      <c r="AS205" s="27"/>
    </row>
    <row r="206" spans="1:45">
      <c r="A206" s="19">
        <f t="shared" si="3"/>
        <v>205</v>
      </c>
      <c r="B206" s="20">
        <v>45674</v>
      </c>
      <c r="C206" s="19" t="s">
        <v>1101</v>
      </c>
      <c r="D206" s="19" t="s">
        <v>1278</v>
      </c>
      <c r="E206" s="19">
        <v>20250717</v>
      </c>
      <c r="F206" s="19" t="s">
        <v>1848</v>
      </c>
      <c r="G206" s="19">
        <v>8446583580</v>
      </c>
      <c r="H206" s="19" t="s">
        <v>1849</v>
      </c>
      <c r="I206" s="19" t="s">
        <v>123</v>
      </c>
      <c r="J206" s="19" t="s">
        <v>1228</v>
      </c>
      <c r="K206" s="19" t="s">
        <v>569</v>
      </c>
      <c r="L206" s="19">
        <v>7</v>
      </c>
      <c r="M206" s="19" t="s">
        <v>1850</v>
      </c>
      <c r="N206" s="19">
        <v>15</v>
      </c>
      <c r="O206" s="19" t="s">
        <v>1851</v>
      </c>
      <c r="P206" s="19" t="s">
        <v>1852</v>
      </c>
      <c r="Q206" s="19" t="s">
        <v>1562</v>
      </c>
      <c r="R206" s="19" t="s">
        <v>72</v>
      </c>
      <c r="S206" s="19" t="s">
        <v>1121</v>
      </c>
      <c r="T206" s="19" t="s">
        <v>1057</v>
      </c>
      <c r="U206" s="21"/>
      <c r="V206" s="19"/>
      <c r="W206" s="19" t="s">
        <v>74</v>
      </c>
      <c r="X206" s="19" t="s">
        <v>74</v>
      </c>
      <c r="Y206" s="19" t="s">
        <v>70</v>
      </c>
      <c r="Z206" s="19" t="s">
        <v>68</v>
      </c>
      <c r="AA206" s="19"/>
      <c r="AB206" s="4"/>
      <c r="AC206" s="4"/>
      <c r="AD206" s="19"/>
      <c r="AE206" s="19"/>
      <c r="AF206" s="19"/>
      <c r="AG206" s="19"/>
      <c r="AH206" s="19"/>
      <c r="AI206" s="19"/>
      <c r="AJ206" s="19"/>
      <c r="AK206" s="19"/>
      <c r="AL206" s="19"/>
      <c r="AM206" s="19"/>
      <c r="AN206" s="19"/>
      <c r="AO206" s="19"/>
      <c r="AP206" s="19"/>
      <c r="AQ206" s="19"/>
      <c r="AR206" s="19"/>
      <c r="AS206" s="27"/>
    </row>
    <row r="207" spans="1:45">
      <c r="A207" s="19">
        <f t="shared" si="3"/>
        <v>206</v>
      </c>
      <c r="B207" s="20">
        <v>45674</v>
      </c>
      <c r="C207" s="19" t="s">
        <v>1101</v>
      </c>
      <c r="D207" s="19" t="s">
        <v>1026</v>
      </c>
      <c r="E207" s="19">
        <v>20250719</v>
      </c>
      <c r="F207" s="19" t="s">
        <v>1853</v>
      </c>
      <c r="G207" s="19">
        <v>9922146797</v>
      </c>
      <c r="H207" s="19" t="s">
        <v>1854</v>
      </c>
      <c r="I207" s="19" t="s">
        <v>123</v>
      </c>
      <c r="J207" s="19" t="s">
        <v>1855</v>
      </c>
      <c r="K207" s="19" t="s">
        <v>569</v>
      </c>
      <c r="L207" s="19">
        <v>5</v>
      </c>
      <c r="M207" s="19" t="s">
        <v>1856</v>
      </c>
      <c r="N207" s="19">
        <v>6.5</v>
      </c>
      <c r="O207" s="19" t="s">
        <v>1857</v>
      </c>
      <c r="P207" s="19">
        <v>9</v>
      </c>
      <c r="Q207" s="19" t="s">
        <v>1858</v>
      </c>
      <c r="R207" s="19" t="s">
        <v>72</v>
      </c>
      <c r="S207" s="19" t="s">
        <v>1859</v>
      </c>
      <c r="T207" s="19"/>
      <c r="U207" s="21"/>
      <c r="V207" s="19"/>
      <c r="W207" s="19" t="s">
        <v>74</v>
      </c>
      <c r="X207" s="19" t="s">
        <v>74</v>
      </c>
      <c r="Y207" s="19" t="s">
        <v>70</v>
      </c>
      <c r="Z207" s="19" t="s">
        <v>68</v>
      </c>
      <c r="AA207" s="19"/>
      <c r="AB207" s="4"/>
      <c r="AC207" s="4"/>
      <c r="AD207" s="19"/>
      <c r="AE207" s="19"/>
      <c r="AF207" s="19"/>
      <c r="AG207" s="19"/>
      <c r="AH207" s="19"/>
      <c r="AI207" s="19"/>
      <c r="AJ207" s="19"/>
      <c r="AK207" s="19"/>
      <c r="AL207" s="19"/>
      <c r="AM207" s="19"/>
      <c r="AN207" s="19"/>
      <c r="AO207" s="19"/>
      <c r="AP207" s="19"/>
      <c r="AQ207" s="19"/>
      <c r="AR207" s="19"/>
      <c r="AS207" s="27"/>
    </row>
    <row r="208" spans="1:45">
      <c r="A208" s="19">
        <f t="shared" si="3"/>
        <v>207</v>
      </c>
      <c r="B208" s="20">
        <v>45674</v>
      </c>
      <c r="C208" s="19" t="s">
        <v>1101</v>
      </c>
      <c r="D208" s="19" t="s">
        <v>1860</v>
      </c>
      <c r="E208" s="19">
        <v>20245469</v>
      </c>
      <c r="F208" s="19" t="s">
        <v>1861</v>
      </c>
      <c r="G208" s="19">
        <v>8806429919</v>
      </c>
      <c r="H208" s="19" t="s">
        <v>1862</v>
      </c>
      <c r="I208" s="19" t="s">
        <v>86</v>
      </c>
      <c r="J208" s="19" t="s">
        <v>1863</v>
      </c>
      <c r="K208" s="19" t="s">
        <v>1864</v>
      </c>
      <c r="L208" s="19" t="s">
        <v>1865</v>
      </c>
      <c r="M208" s="19" t="s">
        <v>1866</v>
      </c>
      <c r="N208" s="19">
        <v>21</v>
      </c>
      <c r="O208" s="19" t="s">
        <v>1057</v>
      </c>
      <c r="P208" s="19" t="s">
        <v>1867</v>
      </c>
      <c r="Q208" s="19" t="s">
        <v>923</v>
      </c>
      <c r="R208" s="19" t="s">
        <v>923</v>
      </c>
      <c r="S208" s="19" t="s">
        <v>1868</v>
      </c>
      <c r="T208" s="19" t="s">
        <v>1057</v>
      </c>
      <c r="U208" s="21"/>
      <c r="V208" s="19"/>
      <c r="W208" s="19" t="s">
        <v>245</v>
      </c>
      <c r="X208" s="19" t="s">
        <v>245</v>
      </c>
      <c r="Y208" s="19"/>
      <c r="Z208" s="19" t="s">
        <v>68</v>
      </c>
      <c r="AA208" s="19"/>
      <c r="AB208" s="4"/>
      <c r="AC208" s="4"/>
      <c r="AD208" s="19"/>
      <c r="AE208" s="19"/>
      <c r="AF208" s="19"/>
      <c r="AG208" s="19"/>
      <c r="AH208" s="19"/>
      <c r="AI208" s="19"/>
      <c r="AJ208" s="19"/>
      <c r="AK208" s="19"/>
      <c r="AL208" s="19"/>
      <c r="AM208" s="19"/>
      <c r="AN208" s="19"/>
      <c r="AO208" s="19"/>
      <c r="AP208" s="19"/>
      <c r="AQ208" s="19"/>
      <c r="AR208" s="19"/>
      <c r="AS208" s="27"/>
    </row>
    <row r="209" spans="1:45">
      <c r="A209" s="19">
        <f t="shared" si="3"/>
        <v>208</v>
      </c>
      <c r="B209" s="20">
        <v>45674</v>
      </c>
      <c r="C209" s="19" t="s">
        <v>1101</v>
      </c>
      <c r="D209" s="19" t="s">
        <v>1699</v>
      </c>
      <c r="E209" s="19">
        <v>20242178</v>
      </c>
      <c r="F209" s="19" t="s">
        <v>1869</v>
      </c>
      <c r="G209" s="19">
        <v>9373166256</v>
      </c>
      <c r="H209" s="19" t="s">
        <v>1870</v>
      </c>
      <c r="I209" s="19" t="s">
        <v>123</v>
      </c>
      <c r="J209" s="19" t="s">
        <v>624</v>
      </c>
      <c r="K209" s="19" t="s">
        <v>1864</v>
      </c>
      <c r="L209" s="19" t="s">
        <v>1871</v>
      </c>
      <c r="M209" s="19" t="s">
        <v>1872</v>
      </c>
      <c r="N209" s="19">
        <v>17.8</v>
      </c>
      <c r="O209" s="19" t="s">
        <v>1057</v>
      </c>
      <c r="P209" s="19" t="s">
        <v>1873</v>
      </c>
      <c r="Q209" s="19" t="s">
        <v>923</v>
      </c>
      <c r="R209" s="19" t="s">
        <v>923</v>
      </c>
      <c r="S209" s="19" t="s">
        <v>1874</v>
      </c>
      <c r="T209" s="19" t="s">
        <v>1875</v>
      </c>
      <c r="U209" s="21"/>
      <c r="V209" s="19"/>
      <c r="W209" s="19" t="s">
        <v>245</v>
      </c>
      <c r="X209" s="19" t="s">
        <v>245</v>
      </c>
      <c r="Y209" s="19"/>
      <c r="Z209" s="19" t="s">
        <v>68</v>
      </c>
      <c r="AA209" s="19"/>
      <c r="AB209" s="4"/>
      <c r="AC209" s="4"/>
      <c r="AD209" s="19"/>
      <c r="AE209" s="19"/>
      <c r="AF209" s="19"/>
      <c r="AG209" s="19"/>
      <c r="AH209" s="19"/>
      <c r="AI209" s="19"/>
      <c r="AJ209" s="19"/>
      <c r="AK209" s="19"/>
      <c r="AL209" s="19"/>
      <c r="AM209" s="19"/>
      <c r="AN209" s="19"/>
      <c r="AO209" s="19"/>
      <c r="AP209" s="19"/>
      <c r="AQ209" s="19"/>
      <c r="AR209" s="19"/>
      <c r="AS209" s="27"/>
    </row>
    <row r="210" spans="1:45">
      <c r="A210" s="19">
        <f t="shared" si="3"/>
        <v>209</v>
      </c>
      <c r="B210" s="20">
        <v>45674</v>
      </c>
      <c r="C210" s="19" t="s">
        <v>1101</v>
      </c>
      <c r="D210" s="19" t="s">
        <v>1699</v>
      </c>
      <c r="E210" s="19">
        <v>20242178</v>
      </c>
      <c r="F210" s="19" t="s">
        <v>1876</v>
      </c>
      <c r="G210" s="19">
        <v>9970692874</v>
      </c>
      <c r="H210" s="19" t="s">
        <v>1877</v>
      </c>
      <c r="I210" s="19" t="s">
        <v>123</v>
      </c>
      <c r="J210" s="19" t="s">
        <v>624</v>
      </c>
      <c r="K210" s="19" t="s">
        <v>1864</v>
      </c>
      <c r="L210" s="19" t="s">
        <v>1871</v>
      </c>
      <c r="M210" s="19" t="s">
        <v>1866</v>
      </c>
      <c r="N210" s="19">
        <v>18</v>
      </c>
      <c r="O210" s="19" t="s">
        <v>1057</v>
      </c>
      <c r="P210" s="19">
        <v>22</v>
      </c>
      <c r="Q210" s="19" t="s">
        <v>923</v>
      </c>
      <c r="R210" s="19" t="s">
        <v>923</v>
      </c>
      <c r="S210" s="19" t="s">
        <v>1878</v>
      </c>
      <c r="T210" s="19" t="s">
        <v>1879</v>
      </c>
      <c r="U210" s="21"/>
      <c r="V210" s="19"/>
      <c r="W210" s="19" t="s">
        <v>245</v>
      </c>
      <c r="X210" s="19" t="s">
        <v>245</v>
      </c>
      <c r="Y210" s="19"/>
      <c r="Z210" s="19" t="s">
        <v>68</v>
      </c>
      <c r="AA210" s="19"/>
      <c r="AB210" s="4"/>
      <c r="AC210" s="4"/>
      <c r="AD210" s="19"/>
      <c r="AE210" s="19"/>
      <c r="AF210" s="19"/>
      <c r="AG210" s="19"/>
      <c r="AH210" s="19"/>
      <c r="AI210" s="19"/>
      <c r="AJ210" s="19"/>
      <c r="AK210" s="19"/>
      <c r="AL210" s="19"/>
      <c r="AM210" s="19"/>
      <c r="AN210" s="19"/>
      <c r="AO210" s="19"/>
      <c r="AP210" s="19"/>
      <c r="AQ210" s="19"/>
      <c r="AR210" s="19"/>
      <c r="AS210" s="27"/>
    </row>
    <row r="211" spans="1:45">
      <c r="A211" s="19">
        <f t="shared" si="3"/>
        <v>210</v>
      </c>
      <c r="B211" s="20">
        <v>45674</v>
      </c>
      <c r="C211" s="19" t="s">
        <v>1101</v>
      </c>
      <c r="D211" s="19" t="s">
        <v>1699</v>
      </c>
      <c r="E211" s="19">
        <v>20242178</v>
      </c>
      <c r="F211" s="19" t="s">
        <v>1880</v>
      </c>
      <c r="G211" s="19">
        <v>9156024979</v>
      </c>
      <c r="H211" s="19" t="s">
        <v>1881</v>
      </c>
      <c r="I211" s="19" t="s">
        <v>86</v>
      </c>
      <c r="J211" s="19" t="s">
        <v>624</v>
      </c>
      <c r="K211" s="19" t="s">
        <v>1864</v>
      </c>
      <c r="L211" s="19" t="s">
        <v>1882</v>
      </c>
      <c r="M211" s="19" t="s">
        <v>1883</v>
      </c>
      <c r="N211" s="19">
        <v>21</v>
      </c>
      <c r="O211" s="19" t="s">
        <v>1057</v>
      </c>
      <c r="P211" s="19" t="s">
        <v>1873</v>
      </c>
      <c r="Q211" s="19" t="s">
        <v>923</v>
      </c>
      <c r="R211" s="19" t="s">
        <v>923</v>
      </c>
      <c r="S211" s="19" t="s">
        <v>1884</v>
      </c>
      <c r="T211" s="19" t="s">
        <v>1885</v>
      </c>
      <c r="U211" s="21"/>
      <c r="V211" s="19"/>
      <c r="W211" s="19" t="s">
        <v>245</v>
      </c>
      <c r="X211" s="19" t="s">
        <v>245</v>
      </c>
      <c r="Y211" s="19"/>
      <c r="Z211" s="19" t="s">
        <v>68</v>
      </c>
      <c r="AA211" s="19"/>
      <c r="AB211" s="4"/>
      <c r="AC211" s="4"/>
      <c r="AD211" s="19"/>
      <c r="AE211" s="19"/>
      <c r="AF211" s="19"/>
      <c r="AG211" s="19"/>
      <c r="AH211" s="19"/>
      <c r="AI211" s="19"/>
      <c r="AJ211" s="19"/>
      <c r="AK211" s="19"/>
      <c r="AL211" s="19"/>
      <c r="AM211" s="19"/>
      <c r="AN211" s="19"/>
      <c r="AO211" s="19"/>
      <c r="AP211" s="19"/>
      <c r="AQ211" s="19"/>
      <c r="AR211" s="19"/>
      <c r="AS211" s="27"/>
    </row>
    <row r="212" spans="1:45">
      <c r="A212" s="19">
        <f t="shared" si="3"/>
        <v>211</v>
      </c>
      <c r="B212" s="20">
        <v>45674</v>
      </c>
      <c r="C212" s="19" t="s">
        <v>1101</v>
      </c>
      <c r="D212" s="19" t="s">
        <v>1432</v>
      </c>
      <c r="E212" s="19">
        <v>20245469</v>
      </c>
      <c r="F212" s="19" t="s">
        <v>1886</v>
      </c>
      <c r="G212" s="19">
        <v>7039861451</v>
      </c>
      <c r="H212" s="19" t="s">
        <v>1887</v>
      </c>
      <c r="I212" s="19" t="s">
        <v>123</v>
      </c>
      <c r="J212" s="19" t="s">
        <v>1863</v>
      </c>
      <c r="K212" s="19" t="s">
        <v>1864</v>
      </c>
      <c r="L212" s="19" t="s">
        <v>1888</v>
      </c>
      <c r="M212" s="19" t="s">
        <v>1883</v>
      </c>
      <c r="N212" s="19">
        <v>30</v>
      </c>
      <c r="O212" s="19" t="s">
        <v>1057</v>
      </c>
      <c r="P212" s="19">
        <v>0.4</v>
      </c>
      <c r="Q212" s="19" t="s">
        <v>923</v>
      </c>
      <c r="R212" s="19" t="s">
        <v>923</v>
      </c>
      <c r="S212" s="19" t="s">
        <v>1686</v>
      </c>
      <c r="T212" s="19" t="s">
        <v>1889</v>
      </c>
      <c r="U212" s="21"/>
      <c r="V212" s="19"/>
      <c r="W212" s="19" t="s">
        <v>245</v>
      </c>
      <c r="X212" s="19" t="s">
        <v>245</v>
      </c>
      <c r="Y212" s="19"/>
      <c r="Z212" s="19" t="s">
        <v>68</v>
      </c>
      <c r="AA212" s="19"/>
      <c r="AB212" s="4"/>
      <c r="AC212" s="4"/>
      <c r="AD212" s="19"/>
      <c r="AE212" s="19"/>
      <c r="AF212" s="19"/>
      <c r="AG212" s="19"/>
      <c r="AH212" s="19"/>
      <c r="AI212" s="19"/>
      <c r="AJ212" s="19"/>
      <c r="AK212" s="19"/>
      <c r="AL212" s="19"/>
      <c r="AM212" s="19"/>
      <c r="AN212" s="19"/>
      <c r="AO212" s="19"/>
      <c r="AP212" s="19"/>
      <c r="AQ212" s="19"/>
      <c r="AR212" s="19"/>
      <c r="AS212" s="27"/>
    </row>
    <row r="213" spans="1:45">
      <c r="A213" s="19">
        <f t="shared" si="3"/>
        <v>212</v>
      </c>
      <c r="B213" s="20">
        <v>45674</v>
      </c>
      <c r="C213" s="19" t="s">
        <v>1101</v>
      </c>
      <c r="D213" s="19" t="s">
        <v>1699</v>
      </c>
      <c r="E213" s="19">
        <v>20242178</v>
      </c>
      <c r="F213" s="19" t="s">
        <v>1890</v>
      </c>
      <c r="G213" s="19">
        <v>9561485554</v>
      </c>
      <c r="H213" s="19" t="s">
        <v>1891</v>
      </c>
      <c r="I213" s="19" t="s">
        <v>123</v>
      </c>
      <c r="J213" s="19" t="s">
        <v>624</v>
      </c>
      <c r="K213" s="19" t="s">
        <v>1864</v>
      </c>
      <c r="L213" s="19" t="s">
        <v>1786</v>
      </c>
      <c r="M213" s="19" t="s">
        <v>1892</v>
      </c>
      <c r="N213" s="19">
        <v>16</v>
      </c>
      <c r="O213" s="19" t="s">
        <v>1057</v>
      </c>
      <c r="P213" s="19">
        <v>20</v>
      </c>
      <c r="Q213" s="19" t="s">
        <v>923</v>
      </c>
      <c r="R213" s="19" t="s">
        <v>923</v>
      </c>
      <c r="S213" s="19" t="s">
        <v>1893</v>
      </c>
      <c r="T213" s="19" t="s">
        <v>1057</v>
      </c>
      <c r="U213" s="21"/>
      <c r="V213" s="19"/>
      <c r="W213" s="19" t="s">
        <v>245</v>
      </c>
      <c r="X213" s="19" t="s">
        <v>245</v>
      </c>
      <c r="Y213" s="19"/>
      <c r="Z213" s="19" t="s">
        <v>68</v>
      </c>
      <c r="AA213" s="19"/>
      <c r="AB213" s="4"/>
      <c r="AC213" s="4"/>
      <c r="AD213" s="19"/>
      <c r="AE213" s="19"/>
      <c r="AF213" s="19"/>
      <c r="AG213" s="19"/>
      <c r="AH213" s="19"/>
      <c r="AI213" s="19"/>
      <c r="AJ213" s="19"/>
      <c r="AK213" s="19"/>
      <c r="AL213" s="19"/>
      <c r="AM213" s="19"/>
      <c r="AN213" s="19"/>
      <c r="AO213" s="19"/>
      <c r="AP213" s="19"/>
      <c r="AQ213" s="19"/>
      <c r="AR213" s="19"/>
      <c r="AS213" s="27"/>
    </row>
    <row r="214" spans="1:45">
      <c r="A214" s="19">
        <f t="shared" si="3"/>
        <v>213</v>
      </c>
      <c r="B214" s="20">
        <v>45674</v>
      </c>
      <c r="C214" s="19" t="s">
        <v>1101</v>
      </c>
      <c r="D214" s="19" t="s">
        <v>1699</v>
      </c>
      <c r="E214" s="19">
        <v>20245469</v>
      </c>
      <c r="F214" s="19" t="s">
        <v>1894</v>
      </c>
      <c r="G214" s="19">
        <v>8484052555</v>
      </c>
      <c r="H214" s="19" t="s">
        <v>1895</v>
      </c>
      <c r="I214" s="19" t="s">
        <v>123</v>
      </c>
      <c r="J214" s="19" t="s">
        <v>1863</v>
      </c>
      <c r="K214" s="19" t="s">
        <v>1864</v>
      </c>
      <c r="L214" s="19" t="s">
        <v>1896</v>
      </c>
      <c r="M214" s="19" t="s">
        <v>1883</v>
      </c>
      <c r="N214" s="19">
        <v>16</v>
      </c>
      <c r="O214" s="19" t="s">
        <v>1057</v>
      </c>
      <c r="P214" s="19">
        <v>25</v>
      </c>
      <c r="Q214" s="19" t="s">
        <v>923</v>
      </c>
      <c r="R214" s="19" t="s">
        <v>923</v>
      </c>
      <c r="S214" s="19" t="s">
        <v>1837</v>
      </c>
      <c r="T214" s="19" t="s">
        <v>1897</v>
      </c>
      <c r="U214" s="21"/>
      <c r="V214" s="19"/>
      <c r="W214" s="19" t="s">
        <v>245</v>
      </c>
      <c r="X214" s="19" t="s">
        <v>245</v>
      </c>
      <c r="Y214" s="19"/>
      <c r="Z214" s="19" t="s">
        <v>68</v>
      </c>
      <c r="AA214" s="19"/>
      <c r="AB214" s="4"/>
      <c r="AC214" s="4"/>
      <c r="AD214" s="19"/>
      <c r="AE214" s="19"/>
      <c r="AF214" s="19"/>
      <c r="AG214" s="19"/>
      <c r="AH214" s="19"/>
      <c r="AI214" s="19"/>
      <c r="AJ214" s="19"/>
      <c r="AK214" s="19"/>
      <c r="AL214" s="19"/>
      <c r="AM214" s="19"/>
      <c r="AN214" s="19"/>
      <c r="AO214" s="19"/>
      <c r="AP214" s="19"/>
      <c r="AQ214" s="19"/>
      <c r="AR214" s="19"/>
      <c r="AS214" s="27"/>
    </row>
    <row r="215" spans="1:45">
      <c r="A215" s="19">
        <f t="shared" si="3"/>
        <v>214</v>
      </c>
      <c r="B215" s="20">
        <v>45674</v>
      </c>
      <c r="C215" s="19" t="s">
        <v>400</v>
      </c>
      <c r="D215" s="19" t="s">
        <v>952</v>
      </c>
      <c r="E215" s="19">
        <v>20251212</v>
      </c>
      <c r="F215" s="19" t="s">
        <v>1898</v>
      </c>
      <c r="G215" s="19">
        <v>7972959010</v>
      </c>
      <c r="H215" s="19" t="s">
        <v>321</v>
      </c>
      <c r="I215" s="19" t="s">
        <v>123</v>
      </c>
      <c r="J215" s="19" t="s">
        <v>1773</v>
      </c>
      <c r="K215" s="19" t="s">
        <v>1767</v>
      </c>
      <c r="L215" s="19" t="s">
        <v>1344</v>
      </c>
      <c r="M215" s="19" t="s">
        <v>1899</v>
      </c>
      <c r="N215" s="19" t="s">
        <v>1191</v>
      </c>
      <c r="O215" s="19"/>
      <c r="P215" s="19" t="s">
        <v>1285</v>
      </c>
      <c r="Q215" s="19" t="s">
        <v>72</v>
      </c>
      <c r="R215" s="19" t="s">
        <v>72</v>
      </c>
      <c r="S215" s="19" t="s">
        <v>1158</v>
      </c>
      <c r="T215" s="19" t="s">
        <v>858</v>
      </c>
      <c r="U215" s="21">
        <v>45768</v>
      </c>
      <c r="V215" s="19"/>
      <c r="W215" s="19" t="s">
        <v>144</v>
      </c>
      <c r="X215" s="19" t="s">
        <v>144</v>
      </c>
      <c r="Y215" s="19" t="s">
        <v>70</v>
      </c>
      <c r="Z215" s="19" t="s">
        <v>68</v>
      </c>
      <c r="AA215" s="19"/>
      <c r="AB215" s="4"/>
      <c r="AC215" s="4"/>
      <c r="AD215" s="19"/>
      <c r="AE215" s="19"/>
      <c r="AF215" s="19"/>
      <c r="AG215" s="19"/>
      <c r="AH215" s="19"/>
      <c r="AI215" s="19"/>
      <c r="AJ215" s="19"/>
      <c r="AK215" s="19"/>
      <c r="AL215" s="19"/>
      <c r="AM215" s="19"/>
      <c r="AN215" s="19"/>
      <c r="AO215" s="19"/>
      <c r="AP215" s="19"/>
      <c r="AQ215" s="19"/>
      <c r="AR215" s="19"/>
      <c r="AS215" s="27"/>
    </row>
    <row r="216" spans="1:45">
      <c r="A216" s="19">
        <f t="shared" si="3"/>
        <v>215</v>
      </c>
      <c r="B216" s="20">
        <v>45674</v>
      </c>
      <c r="C216" s="19" t="s">
        <v>1101</v>
      </c>
      <c r="D216" s="19" t="s">
        <v>1432</v>
      </c>
      <c r="E216" s="19">
        <v>20251212</v>
      </c>
      <c r="F216" s="19" t="s">
        <v>1900</v>
      </c>
      <c r="G216" s="19">
        <v>9119545858</v>
      </c>
      <c r="H216" s="19" t="s">
        <v>1901</v>
      </c>
      <c r="I216" s="19" t="s">
        <v>123</v>
      </c>
      <c r="J216" s="19" t="s">
        <v>1902</v>
      </c>
      <c r="K216" s="19" t="s">
        <v>1767</v>
      </c>
      <c r="L216" s="19" t="s">
        <v>1903</v>
      </c>
      <c r="M216" s="19" t="s">
        <v>1904</v>
      </c>
      <c r="N216" s="19" t="s">
        <v>1905</v>
      </c>
      <c r="O216" s="19"/>
      <c r="P216" s="19" t="s">
        <v>1056</v>
      </c>
      <c r="Q216" s="19" t="s">
        <v>72</v>
      </c>
      <c r="R216" s="19" t="s">
        <v>72</v>
      </c>
      <c r="S216" s="19" t="s">
        <v>1769</v>
      </c>
      <c r="T216" s="19" t="s">
        <v>858</v>
      </c>
      <c r="U216" s="21">
        <v>45789</v>
      </c>
      <c r="V216" s="19"/>
      <c r="W216" s="19" t="s">
        <v>144</v>
      </c>
      <c r="X216" s="19" t="s">
        <v>144</v>
      </c>
      <c r="Y216" s="19"/>
      <c r="Z216" s="19" t="s">
        <v>68</v>
      </c>
      <c r="AA216" s="19"/>
      <c r="AB216" s="4"/>
      <c r="AC216" s="4"/>
      <c r="AD216" s="19"/>
      <c r="AE216" s="19"/>
      <c r="AF216" s="19"/>
      <c r="AG216" s="19"/>
      <c r="AH216" s="19"/>
      <c r="AI216" s="19"/>
      <c r="AJ216" s="19"/>
      <c r="AK216" s="19"/>
      <c r="AL216" s="19"/>
      <c r="AM216" s="19"/>
      <c r="AN216" s="19"/>
      <c r="AO216" s="19"/>
      <c r="AP216" s="19"/>
      <c r="AQ216" s="19"/>
      <c r="AR216" s="19"/>
      <c r="AS216" s="27"/>
    </row>
    <row r="217" spans="1:45">
      <c r="A217" s="19">
        <f t="shared" si="3"/>
        <v>216</v>
      </c>
      <c r="B217" s="20">
        <v>45674</v>
      </c>
      <c r="C217" s="19" t="s">
        <v>1101</v>
      </c>
      <c r="D217" s="19" t="s">
        <v>1160</v>
      </c>
      <c r="E217" s="19">
        <v>20251212</v>
      </c>
      <c r="F217" s="19" t="s">
        <v>1906</v>
      </c>
      <c r="G217" s="19">
        <v>8010535335</v>
      </c>
      <c r="H217" s="19" t="s">
        <v>1907</v>
      </c>
      <c r="I217" s="19" t="s">
        <v>123</v>
      </c>
      <c r="J217" s="19" t="s">
        <v>1902</v>
      </c>
      <c r="K217" s="19" t="s">
        <v>1767</v>
      </c>
      <c r="L217" s="19" t="s">
        <v>1908</v>
      </c>
      <c r="M217" s="19" t="s">
        <v>1909</v>
      </c>
      <c r="N217" s="19" t="s">
        <v>1477</v>
      </c>
      <c r="O217" s="19"/>
      <c r="P217" s="19" t="s">
        <v>1669</v>
      </c>
      <c r="Q217" s="19" t="s">
        <v>72</v>
      </c>
      <c r="R217" s="19" t="s">
        <v>72</v>
      </c>
      <c r="S217" s="19" t="s">
        <v>1092</v>
      </c>
      <c r="T217" s="19" t="s">
        <v>858</v>
      </c>
      <c r="U217" s="21"/>
      <c r="V217" s="19"/>
      <c r="W217" s="19" t="s">
        <v>144</v>
      </c>
      <c r="X217" s="19" t="s">
        <v>144</v>
      </c>
      <c r="Y217" s="19"/>
      <c r="Z217" s="19" t="s">
        <v>68</v>
      </c>
      <c r="AA217" s="19"/>
      <c r="AB217" s="4"/>
      <c r="AC217" s="4"/>
      <c r="AD217" s="19"/>
      <c r="AE217" s="19"/>
      <c r="AF217" s="19"/>
      <c r="AG217" s="19"/>
      <c r="AH217" s="19"/>
      <c r="AI217" s="19"/>
      <c r="AJ217" s="19"/>
      <c r="AK217" s="19"/>
      <c r="AL217" s="19"/>
      <c r="AM217" s="19"/>
      <c r="AN217" s="19"/>
      <c r="AO217" s="19"/>
      <c r="AP217" s="19"/>
      <c r="AQ217" s="19"/>
      <c r="AR217" s="19"/>
      <c r="AS217" s="27"/>
    </row>
    <row r="218" spans="1:45">
      <c r="A218" s="19">
        <f t="shared" si="3"/>
        <v>217</v>
      </c>
      <c r="B218" s="20">
        <v>45674</v>
      </c>
      <c r="C218" s="19" t="s">
        <v>1101</v>
      </c>
      <c r="D218" s="19" t="s">
        <v>1160</v>
      </c>
      <c r="E218" s="19">
        <v>20251212</v>
      </c>
      <c r="F218" s="19" t="s">
        <v>1910</v>
      </c>
      <c r="G218" s="19" t="s">
        <v>1911</v>
      </c>
      <c r="H218" s="19" t="s">
        <v>1912</v>
      </c>
      <c r="I218" s="19" t="s">
        <v>123</v>
      </c>
      <c r="J218" s="19" t="s">
        <v>328</v>
      </c>
      <c r="K218" s="19" t="s">
        <v>1767</v>
      </c>
      <c r="L218" s="19" t="s">
        <v>1913</v>
      </c>
      <c r="M218" s="19" t="s">
        <v>1914</v>
      </c>
      <c r="N218" s="19" t="s">
        <v>1915</v>
      </c>
      <c r="O218" s="19"/>
      <c r="P218" s="19" t="s">
        <v>1669</v>
      </c>
      <c r="Q218" s="19" t="s">
        <v>72</v>
      </c>
      <c r="R218" s="19" t="s">
        <v>72</v>
      </c>
      <c r="S218" s="19" t="s">
        <v>1916</v>
      </c>
      <c r="T218" s="19" t="s">
        <v>1917</v>
      </c>
      <c r="U218" s="21"/>
      <c r="V218" s="19"/>
      <c r="W218" s="19" t="s">
        <v>144</v>
      </c>
      <c r="X218" s="19" t="s">
        <v>144</v>
      </c>
      <c r="Y218" s="19"/>
      <c r="Z218" s="19" t="s">
        <v>68</v>
      </c>
      <c r="AA218" s="19"/>
      <c r="AB218" s="4"/>
      <c r="AC218" s="4"/>
      <c r="AD218" s="19"/>
      <c r="AE218" s="19"/>
      <c r="AF218" s="19"/>
      <c r="AG218" s="19"/>
      <c r="AH218" s="19"/>
      <c r="AI218" s="19"/>
      <c r="AJ218" s="19"/>
      <c r="AK218" s="19"/>
      <c r="AL218" s="19"/>
      <c r="AM218" s="19"/>
      <c r="AN218" s="19"/>
      <c r="AO218" s="19"/>
      <c r="AP218" s="19"/>
      <c r="AQ218" s="19"/>
      <c r="AR218" s="19"/>
      <c r="AS218" s="27"/>
    </row>
    <row r="219" spans="1:45">
      <c r="A219" s="19">
        <f t="shared" si="3"/>
        <v>218</v>
      </c>
      <c r="B219" s="20">
        <v>45674</v>
      </c>
      <c r="C219" s="19" t="s">
        <v>400</v>
      </c>
      <c r="D219" s="19" t="s">
        <v>952</v>
      </c>
      <c r="E219" s="19">
        <v>20251215</v>
      </c>
      <c r="F219" s="19" t="s">
        <v>315</v>
      </c>
      <c r="G219" s="19" t="s">
        <v>1918</v>
      </c>
      <c r="H219" s="19" t="s">
        <v>316</v>
      </c>
      <c r="I219" s="19" t="s">
        <v>123</v>
      </c>
      <c r="J219" s="19" t="s">
        <v>1902</v>
      </c>
      <c r="K219" s="19" t="s">
        <v>1767</v>
      </c>
      <c r="L219" s="19" t="s">
        <v>1919</v>
      </c>
      <c r="M219" s="19" t="s">
        <v>1920</v>
      </c>
      <c r="N219" s="19" t="s">
        <v>1065</v>
      </c>
      <c r="O219" s="19"/>
      <c r="P219" s="19" t="s">
        <v>1921</v>
      </c>
      <c r="Q219" s="19" t="s">
        <v>72</v>
      </c>
      <c r="R219" s="19" t="s">
        <v>72</v>
      </c>
      <c r="S219" s="19" t="s">
        <v>1769</v>
      </c>
      <c r="T219" s="19" t="s">
        <v>858</v>
      </c>
      <c r="U219" s="21">
        <v>45789</v>
      </c>
      <c r="V219" s="19"/>
      <c r="W219" s="19" t="s">
        <v>144</v>
      </c>
      <c r="X219" s="19" t="s">
        <v>144</v>
      </c>
      <c r="Y219" s="19" t="s">
        <v>70</v>
      </c>
      <c r="Z219" s="19" t="s">
        <v>68</v>
      </c>
      <c r="AA219" s="19"/>
      <c r="AB219" s="4"/>
      <c r="AC219" s="4"/>
      <c r="AD219" s="19"/>
      <c r="AE219" s="19"/>
      <c r="AF219" s="19"/>
      <c r="AG219" s="19"/>
      <c r="AH219" s="19"/>
      <c r="AI219" s="19"/>
      <c r="AJ219" s="19"/>
      <c r="AK219" s="19"/>
      <c r="AL219" s="19"/>
      <c r="AM219" s="27"/>
      <c r="AN219" s="27"/>
      <c r="AO219" s="27"/>
      <c r="AP219" s="27"/>
      <c r="AQ219" s="27"/>
      <c r="AR219" s="27"/>
      <c r="AS219" s="27"/>
    </row>
    <row r="220" spans="1:45">
      <c r="A220" s="19">
        <f t="shared" si="3"/>
        <v>219</v>
      </c>
      <c r="B220" s="20">
        <v>45678</v>
      </c>
      <c r="C220" s="19" t="s">
        <v>1101</v>
      </c>
      <c r="D220" s="19" t="s">
        <v>1026</v>
      </c>
      <c r="E220" s="19">
        <v>20249156</v>
      </c>
      <c r="F220" s="19" t="s">
        <v>1922</v>
      </c>
      <c r="G220" s="19">
        <v>8390921379</v>
      </c>
      <c r="H220" s="19" t="s">
        <v>1923</v>
      </c>
      <c r="I220" s="19" t="s">
        <v>123</v>
      </c>
      <c r="J220" s="19" t="s">
        <v>1924</v>
      </c>
      <c r="K220" s="19" t="s">
        <v>135</v>
      </c>
      <c r="L220" s="19">
        <v>6.5</v>
      </c>
      <c r="M220" s="19" t="s">
        <v>1925</v>
      </c>
      <c r="N220" s="19">
        <v>12</v>
      </c>
      <c r="O220" s="19">
        <v>7.0000000000000007E-2</v>
      </c>
      <c r="P220" s="19">
        <v>18</v>
      </c>
      <c r="Q220" s="19" t="s">
        <v>1926</v>
      </c>
      <c r="R220" s="19" t="s">
        <v>72</v>
      </c>
      <c r="S220" s="19" t="s">
        <v>1139</v>
      </c>
      <c r="T220" s="19"/>
      <c r="U220" s="21"/>
      <c r="V220" s="19"/>
      <c r="W220" s="19" t="s">
        <v>74</v>
      </c>
      <c r="X220" s="19" t="s">
        <v>74</v>
      </c>
      <c r="Y220" s="19" t="s">
        <v>70</v>
      </c>
      <c r="Z220" s="19" t="s">
        <v>68</v>
      </c>
      <c r="AA220" s="19"/>
      <c r="AB220" s="4"/>
      <c r="AC220" s="4"/>
      <c r="AD220" s="19"/>
      <c r="AE220" s="19"/>
      <c r="AF220" s="19"/>
      <c r="AG220" s="19"/>
      <c r="AH220" s="19"/>
      <c r="AI220" s="19"/>
      <c r="AJ220" s="19"/>
      <c r="AK220" s="19"/>
      <c r="AL220" s="19"/>
      <c r="AM220" s="19"/>
      <c r="AN220" s="19"/>
      <c r="AO220" s="19"/>
      <c r="AP220" s="19"/>
      <c r="AQ220" s="19"/>
      <c r="AR220" s="19"/>
      <c r="AS220" s="27"/>
    </row>
    <row r="221" spans="1:45">
      <c r="A221" s="19">
        <f t="shared" si="3"/>
        <v>220</v>
      </c>
      <c r="B221" s="20">
        <v>45680</v>
      </c>
      <c r="C221" s="19" t="s">
        <v>116</v>
      </c>
      <c r="D221" s="19" t="s">
        <v>116</v>
      </c>
      <c r="E221" s="19">
        <v>20248561</v>
      </c>
      <c r="F221" s="19" t="s">
        <v>621</v>
      </c>
      <c r="G221" s="19">
        <v>6301261188</v>
      </c>
      <c r="H221" s="19" t="s">
        <v>1927</v>
      </c>
      <c r="I221" s="19" t="s">
        <v>123</v>
      </c>
      <c r="J221" s="19" t="s">
        <v>620</v>
      </c>
      <c r="K221" s="19" t="s">
        <v>228</v>
      </c>
      <c r="L221" s="19"/>
      <c r="M221" s="19"/>
      <c r="N221" s="19"/>
      <c r="O221" s="19"/>
      <c r="P221" s="19">
        <v>825000</v>
      </c>
      <c r="Q221" s="19" t="e" vm="3">
        <v>#VALUE!</v>
      </c>
      <c r="R221" s="19" t="s">
        <v>72</v>
      </c>
      <c r="S221" s="19"/>
      <c r="T221" s="19"/>
      <c r="U221" s="21">
        <v>45698</v>
      </c>
      <c r="V221" s="19"/>
      <c r="W221" s="19" t="s">
        <v>245</v>
      </c>
      <c r="X221" s="19" t="s">
        <v>245</v>
      </c>
      <c r="Y221" s="19"/>
      <c r="Z221" s="19" t="s">
        <v>111</v>
      </c>
      <c r="AA221" s="19"/>
      <c r="AB221" s="4"/>
      <c r="AC221" s="4"/>
      <c r="AD221" s="19"/>
      <c r="AE221" s="19"/>
      <c r="AF221" s="19"/>
      <c r="AG221" s="19"/>
      <c r="AH221" s="19"/>
      <c r="AI221" s="19"/>
      <c r="AJ221" s="19"/>
      <c r="AK221" s="19"/>
      <c r="AL221" s="19"/>
      <c r="AM221" s="19"/>
      <c r="AN221" s="19"/>
      <c r="AO221" s="19"/>
      <c r="AP221" s="19"/>
      <c r="AQ221" s="19"/>
      <c r="AR221" s="19"/>
      <c r="AS221" s="27"/>
    </row>
    <row r="222" spans="1:45">
      <c r="A222" s="19">
        <f t="shared" si="3"/>
        <v>221</v>
      </c>
      <c r="B222" s="20">
        <v>45681</v>
      </c>
      <c r="C222" s="19" t="s">
        <v>1101</v>
      </c>
      <c r="D222" s="19" t="s">
        <v>1707</v>
      </c>
      <c r="E222" s="19">
        <v>20251977</v>
      </c>
      <c r="F222" s="19" t="s">
        <v>1928</v>
      </c>
      <c r="G222" s="19">
        <v>9886803249</v>
      </c>
      <c r="H222" s="19" t="s">
        <v>1929</v>
      </c>
      <c r="I222" s="19" t="s">
        <v>123</v>
      </c>
      <c r="J222" s="19" t="s">
        <v>1755</v>
      </c>
      <c r="K222" s="19" t="s">
        <v>1099</v>
      </c>
      <c r="L222" s="19" t="s">
        <v>1930</v>
      </c>
      <c r="M222" s="19" t="s">
        <v>1931</v>
      </c>
      <c r="N222" s="19">
        <v>32</v>
      </c>
      <c r="O222" s="19" t="s">
        <v>1057</v>
      </c>
      <c r="P222" s="19">
        <v>38</v>
      </c>
      <c r="Q222" s="19" t="s">
        <v>1392</v>
      </c>
      <c r="R222" s="19" t="s">
        <v>923</v>
      </c>
      <c r="S222" s="19" t="s">
        <v>1874</v>
      </c>
      <c r="T222" s="19" t="s">
        <v>1932</v>
      </c>
      <c r="U222" s="21"/>
      <c r="V222" s="19"/>
      <c r="W222" s="19" t="s">
        <v>245</v>
      </c>
      <c r="X222" s="19" t="s">
        <v>245</v>
      </c>
      <c r="Y222" s="19"/>
      <c r="Z222" s="19" t="s">
        <v>68</v>
      </c>
      <c r="AA222" s="19"/>
      <c r="AB222" s="4"/>
      <c r="AC222" s="4"/>
      <c r="AD222" s="19"/>
      <c r="AE222" s="19"/>
      <c r="AF222" s="19"/>
      <c r="AG222" s="19"/>
      <c r="AH222" s="19"/>
      <c r="AI222" s="19"/>
      <c r="AJ222" s="19"/>
      <c r="AK222" s="19"/>
      <c r="AL222" s="19"/>
      <c r="AM222" s="19"/>
      <c r="AN222" s="19"/>
      <c r="AO222" s="19"/>
      <c r="AP222" s="19"/>
      <c r="AQ222" s="19"/>
      <c r="AR222" s="19"/>
      <c r="AS222" s="27"/>
    </row>
    <row r="223" spans="1:45">
      <c r="A223" s="19">
        <f t="shared" si="3"/>
        <v>222</v>
      </c>
      <c r="B223" s="20">
        <v>45681</v>
      </c>
      <c r="C223" s="19" t="s">
        <v>1101</v>
      </c>
      <c r="D223" s="19" t="s">
        <v>1933</v>
      </c>
      <c r="E223" s="19">
        <v>20251977</v>
      </c>
      <c r="F223" s="19" t="s">
        <v>1934</v>
      </c>
      <c r="G223" s="19">
        <v>8080449954</v>
      </c>
      <c r="H223" s="19" t="s">
        <v>1935</v>
      </c>
      <c r="I223" s="19" t="s">
        <v>123</v>
      </c>
      <c r="J223" s="19" t="s">
        <v>1755</v>
      </c>
      <c r="K223" s="19" t="s">
        <v>1099</v>
      </c>
      <c r="L223" s="19" t="s">
        <v>1423</v>
      </c>
      <c r="M223" s="19" t="s">
        <v>1936</v>
      </c>
      <c r="N223" s="19">
        <v>39</v>
      </c>
      <c r="O223" s="19" t="s">
        <v>1057</v>
      </c>
      <c r="P223" s="19" t="s">
        <v>1937</v>
      </c>
      <c r="Q223" s="19" t="s">
        <v>923</v>
      </c>
      <c r="R223" s="19" t="s">
        <v>923</v>
      </c>
      <c r="S223" s="19" t="s">
        <v>1832</v>
      </c>
      <c r="T223" s="19" t="s">
        <v>1057</v>
      </c>
      <c r="U223" s="21"/>
      <c r="V223" s="19"/>
      <c r="W223" s="19" t="s">
        <v>245</v>
      </c>
      <c r="X223" s="19" t="s">
        <v>245</v>
      </c>
      <c r="Y223" s="19"/>
      <c r="Z223" s="19" t="s">
        <v>68</v>
      </c>
      <c r="AA223" s="19"/>
      <c r="AB223" s="4"/>
      <c r="AC223" s="4"/>
      <c r="AD223" s="19"/>
      <c r="AE223" s="19"/>
      <c r="AF223" s="19"/>
      <c r="AG223" s="19"/>
      <c r="AH223" s="19"/>
      <c r="AI223" s="19"/>
      <c r="AJ223" s="19"/>
      <c r="AK223" s="19"/>
      <c r="AL223" s="19"/>
      <c r="AM223" s="19"/>
      <c r="AN223" s="19"/>
      <c r="AO223" s="19"/>
      <c r="AP223" s="19"/>
      <c r="AQ223" s="19"/>
      <c r="AR223" s="19"/>
      <c r="AS223" s="27"/>
    </row>
    <row r="224" spans="1:45">
      <c r="A224" s="19">
        <f t="shared" si="3"/>
        <v>223</v>
      </c>
      <c r="B224" s="20">
        <v>45681</v>
      </c>
      <c r="C224" s="19" t="s">
        <v>1101</v>
      </c>
      <c r="D224" s="19" t="s">
        <v>1102</v>
      </c>
      <c r="E224" s="19">
        <v>20251977</v>
      </c>
      <c r="F224" s="19" t="s">
        <v>1938</v>
      </c>
      <c r="G224" s="19">
        <v>9987804679</v>
      </c>
      <c r="H224" s="19" t="s">
        <v>1939</v>
      </c>
      <c r="I224" s="19" t="s">
        <v>123</v>
      </c>
      <c r="J224" s="19" t="s">
        <v>1755</v>
      </c>
      <c r="K224" s="19" t="s">
        <v>1099</v>
      </c>
      <c r="L224" s="19" t="s">
        <v>1940</v>
      </c>
      <c r="M224" s="19" t="s">
        <v>1941</v>
      </c>
      <c r="N224" s="19">
        <v>24</v>
      </c>
      <c r="O224" s="19" t="s">
        <v>1057</v>
      </c>
      <c r="P224" s="19">
        <v>33</v>
      </c>
      <c r="Q224" s="19" t="s">
        <v>1392</v>
      </c>
      <c r="R224" s="19" t="s">
        <v>923</v>
      </c>
      <c r="S224" s="19" t="s">
        <v>1942</v>
      </c>
      <c r="T224" s="19" t="s">
        <v>1943</v>
      </c>
      <c r="U224" s="21"/>
      <c r="V224" s="19"/>
      <c r="W224" s="19" t="s">
        <v>245</v>
      </c>
      <c r="X224" s="19" t="s">
        <v>245</v>
      </c>
      <c r="Y224" s="19"/>
      <c r="Z224" s="19" t="s">
        <v>68</v>
      </c>
      <c r="AA224" s="19"/>
      <c r="AB224" s="4">
        <v>45692</v>
      </c>
      <c r="AC224" s="4"/>
      <c r="AD224" s="19"/>
      <c r="AE224" s="19"/>
      <c r="AF224" s="19"/>
      <c r="AG224" s="19"/>
      <c r="AH224" s="19"/>
      <c r="AI224" s="19"/>
      <c r="AJ224" s="19"/>
      <c r="AK224" s="19"/>
      <c r="AL224" s="19"/>
      <c r="AM224" s="19"/>
      <c r="AN224" s="19"/>
      <c r="AO224" s="19"/>
      <c r="AP224" s="19"/>
      <c r="AQ224" s="19"/>
      <c r="AR224" s="19"/>
      <c r="AS224" s="27"/>
    </row>
    <row r="225" spans="1:45">
      <c r="A225" s="19">
        <f t="shared" si="3"/>
        <v>224</v>
      </c>
      <c r="B225" s="20">
        <v>45681</v>
      </c>
      <c r="C225" s="19" t="s">
        <v>1101</v>
      </c>
      <c r="D225" s="19" t="s">
        <v>1026</v>
      </c>
      <c r="E225" s="19">
        <v>20251977</v>
      </c>
      <c r="F225" s="19" t="s">
        <v>1944</v>
      </c>
      <c r="G225" s="19">
        <v>9881988262</v>
      </c>
      <c r="H225" s="19" t="s">
        <v>1945</v>
      </c>
      <c r="I225" s="19" t="s">
        <v>123</v>
      </c>
      <c r="J225" s="19" t="s">
        <v>1755</v>
      </c>
      <c r="K225" s="19" t="s">
        <v>1099</v>
      </c>
      <c r="L225" s="19" t="s">
        <v>1057</v>
      </c>
      <c r="M225" s="19" t="s">
        <v>1946</v>
      </c>
      <c r="N225" s="19" t="s">
        <v>1057</v>
      </c>
      <c r="O225" s="19" t="s">
        <v>1057</v>
      </c>
      <c r="P225" s="19" t="s">
        <v>1057</v>
      </c>
      <c r="Q225" s="19" t="s">
        <v>1057</v>
      </c>
      <c r="R225" s="19" t="s">
        <v>1057</v>
      </c>
      <c r="S225" s="19" t="s">
        <v>1057</v>
      </c>
      <c r="T225" s="19" t="s">
        <v>1057</v>
      </c>
      <c r="U225" s="21"/>
      <c r="V225" s="19"/>
      <c r="W225" s="19" t="s">
        <v>245</v>
      </c>
      <c r="X225" s="19" t="s">
        <v>245</v>
      </c>
      <c r="Y225" s="19"/>
      <c r="Z225" s="19" t="s">
        <v>68</v>
      </c>
      <c r="AA225" s="19"/>
      <c r="AB225" s="4"/>
      <c r="AC225" s="4"/>
      <c r="AD225" s="19"/>
      <c r="AE225" s="19"/>
      <c r="AF225" s="19"/>
      <c r="AG225" s="19"/>
      <c r="AH225" s="19"/>
      <c r="AI225" s="19"/>
      <c r="AJ225" s="19"/>
      <c r="AK225" s="19"/>
      <c r="AL225" s="19"/>
      <c r="AM225" s="19"/>
      <c r="AN225" s="19"/>
      <c r="AO225" s="19"/>
      <c r="AP225" s="19"/>
      <c r="AQ225" s="19"/>
      <c r="AR225" s="19"/>
      <c r="AS225" s="27"/>
    </row>
    <row r="226" spans="1:45">
      <c r="A226" s="19">
        <f t="shared" si="3"/>
        <v>225</v>
      </c>
      <c r="B226" s="20">
        <v>45681</v>
      </c>
      <c r="C226" s="19" t="s">
        <v>1101</v>
      </c>
      <c r="D226" s="19" t="s">
        <v>1102</v>
      </c>
      <c r="E226" s="19">
        <v>20251977</v>
      </c>
      <c r="F226" s="19" t="s">
        <v>1947</v>
      </c>
      <c r="G226" s="19">
        <v>8000619173</v>
      </c>
      <c r="H226" s="19" t="s">
        <v>1948</v>
      </c>
      <c r="I226" s="19" t="s">
        <v>123</v>
      </c>
      <c r="J226" s="19" t="s">
        <v>1755</v>
      </c>
      <c r="K226" s="19" t="s">
        <v>1099</v>
      </c>
      <c r="L226" s="19" t="s">
        <v>1949</v>
      </c>
      <c r="M226" s="19" t="s">
        <v>1950</v>
      </c>
      <c r="N226" s="19" t="s">
        <v>1057</v>
      </c>
      <c r="O226" s="19" t="s">
        <v>1057</v>
      </c>
      <c r="P226" s="19" t="s">
        <v>1057</v>
      </c>
      <c r="Q226" s="19" t="s">
        <v>1057</v>
      </c>
      <c r="R226" s="19" t="s">
        <v>1057</v>
      </c>
      <c r="S226" s="19" t="s">
        <v>1057</v>
      </c>
      <c r="T226" s="19" t="s">
        <v>1057</v>
      </c>
      <c r="U226" s="21"/>
      <c r="V226" s="19"/>
      <c r="W226" s="19" t="s">
        <v>245</v>
      </c>
      <c r="X226" s="19" t="s">
        <v>245</v>
      </c>
      <c r="Y226" s="19"/>
      <c r="Z226" s="19" t="s">
        <v>68</v>
      </c>
      <c r="AA226" s="19"/>
      <c r="AB226" s="4">
        <v>45686</v>
      </c>
      <c r="AC226" s="4"/>
      <c r="AD226" s="19"/>
      <c r="AE226" s="19"/>
      <c r="AF226" s="19"/>
      <c r="AG226" s="19"/>
      <c r="AH226" s="19"/>
      <c r="AI226" s="19"/>
      <c r="AJ226" s="19"/>
      <c r="AK226" s="19"/>
      <c r="AL226" s="19"/>
      <c r="AM226" s="19"/>
      <c r="AN226" s="19"/>
      <c r="AO226" s="19"/>
      <c r="AP226" s="19"/>
      <c r="AQ226" s="19"/>
      <c r="AR226" s="19"/>
      <c r="AS226" s="27"/>
    </row>
    <row r="227" spans="1:45">
      <c r="A227" s="19">
        <f t="shared" si="3"/>
        <v>226</v>
      </c>
      <c r="B227" s="20">
        <v>45684</v>
      </c>
      <c r="C227" s="19" t="s">
        <v>1101</v>
      </c>
      <c r="D227" s="19" t="s">
        <v>1102</v>
      </c>
      <c r="E227" s="19">
        <v>20250718</v>
      </c>
      <c r="F227" s="19" t="s">
        <v>1951</v>
      </c>
      <c r="G227" s="19" t="s">
        <v>1952</v>
      </c>
      <c r="H227" s="19" t="s">
        <v>1953</v>
      </c>
      <c r="I227" s="19" t="s">
        <v>86</v>
      </c>
      <c r="J227" s="19" t="s">
        <v>91</v>
      </c>
      <c r="K227" s="19" t="s">
        <v>569</v>
      </c>
      <c r="L227" s="19">
        <v>7</v>
      </c>
      <c r="M227" s="19" t="s">
        <v>1954</v>
      </c>
      <c r="N227" s="19">
        <v>10.5</v>
      </c>
      <c r="O227" s="19">
        <v>0</v>
      </c>
      <c r="P227" s="19">
        <v>14</v>
      </c>
      <c r="Q227" s="19" t="s">
        <v>708</v>
      </c>
      <c r="R227" s="19" t="s">
        <v>72</v>
      </c>
      <c r="S227" s="19" t="s">
        <v>1210</v>
      </c>
      <c r="T227" s="19" t="s">
        <v>1057</v>
      </c>
      <c r="U227" s="21"/>
      <c r="V227" s="19"/>
      <c r="W227" s="19" t="s">
        <v>74</v>
      </c>
      <c r="X227" s="19" t="s">
        <v>74</v>
      </c>
      <c r="Y227" s="19" t="s">
        <v>70</v>
      </c>
      <c r="Z227" s="19" t="s">
        <v>68</v>
      </c>
      <c r="AA227" s="19"/>
      <c r="AB227" s="4"/>
      <c r="AC227" s="4"/>
      <c r="AD227" s="19"/>
      <c r="AE227" s="19"/>
      <c r="AF227" s="19"/>
      <c r="AG227" s="19"/>
      <c r="AH227" s="19"/>
      <c r="AI227" s="19"/>
      <c r="AJ227" s="19"/>
      <c r="AK227" s="19"/>
      <c r="AL227" s="19"/>
      <c r="AM227" s="19"/>
      <c r="AN227" s="19"/>
      <c r="AO227" s="19"/>
      <c r="AP227" s="19"/>
      <c r="AQ227" s="19"/>
      <c r="AR227" s="19"/>
      <c r="AS227" s="27"/>
    </row>
    <row r="228" spans="1:45">
      <c r="A228" s="19">
        <f t="shared" si="3"/>
        <v>227</v>
      </c>
      <c r="B228" s="20">
        <v>45684</v>
      </c>
      <c r="C228" s="19" t="s">
        <v>1101</v>
      </c>
      <c r="D228" s="19" t="s">
        <v>1102</v>
      </c>
      <c r="E228" s="19">
        <v>20250720</v>
      </c>
      <c r="F228" s="19" t="s">
        <v>1955</v>
      </c>
      <c r="G228" s="19">
        <v>7709067670</v>
      </c>
      <c r="H228" s="19" t="s">
        <v>1956</v>
      </c>
      <c r="I228" s="19" t="s">
        <v>86</v>
      </c>
      <c r="J228" s="19" t="s">
        <v>81</v>
      </c>
      <c r="K228" s="19" t="s">
        <v>569</v>
      </c>
      <c r="L228" s="19">
        <v>10</v>
      </c>
      <c r="M228" s="19" t="s">
        <v>1957</v>
      </c>
      <c r="N228" s="19">
        <v>10.9</v>
      </c>
      <c r="O228" s="19">
        <v>0</v>
      </c>
      <c r="P228" s="19" t="s">
        <v>1958</v>
      </c>
      <c r="Q228" s="19" t="s">
        <v>72</v>
      </c>
      <c r="R228" s="19" t="s">
        <v>72</v>
      </c>
      <c r="S228" s="19" t="s">
        <v>1959</v>
      </c>
      <c r="T228" s="19" t="s">
        <v>1960</v>
      </c>
      <c r="U228" s="21"/>
      <c r="V228" s="19"/>
      <c r="W228" s="19" t="s">
        <v>74</v>
      </c>
      <c r="X228" s="19" t="s">
        <v>74</v>
      </c>
      <c r="Y228" s="19" t="s">
        <v>70</v>
      </c>
      <c r="Z228" s="19" t="s">
        <v>68</v>
      </c>
      <c r="AA228" s="19"/>
      <c r="AB228" s="4"/>
      <c r="AC228" s="4"/>
      <c r="AD228" s="19"/>
      <c r="AE228" s="19"/>
      <c r="AF228" s="19"/>
      <c r="AG228" s="19"/>
      <c r="AH228" s="19"/>
      <c r="AI228" s="19"/>
      <c r="AJ228" s="19"/>
      <c r="AK228" s="19"/>
      <c r="AL228" s="19"/>
      <c r="AM228" s="19"/>
      <c r="AN228" s="19"/>
      <c r="AO228" s="19"/>
      <c r="AP228" s="19"/>
      <c r="AQ228" s="19"/>
      <c r="AR228" s="19"/>
      <c r="AS228" s="27"/>
    </row>
    <row r="229" spans="1:45">
      <c r="A229" s="19">
        <f t="shared" si="3"/>
        <v>228</v>
      </c>
      <c r="B229" s="20">
        <v>45684</v>
      </c>
      <c r="C229" s="19" t="s">
        <v>400</v>
      </c>
      <c r="D229" s="19" t="s">
        <v>952</v>
      </c>
      <c r="E229" s="19">
        <v>20250720</v>
      </c>
      <c r="F229" s="19" t="s">
        <v>84</v>
      </c>
      <c r="G229" s="19" t="s">
        <v>1961</v>
      </c>
      <c r="H229" s="19" t="s">
        <v>85</v>
      </c>
      <c r="I229" s="19" t="s">
        <v>86</v>
      </c>
      <c r="J229" s="19" t="s">
        <v>81</v>
      </c>
      <c r="K229" s="19" t="s">
        <v>569</v>
      </c>
      <c r="L229" s="19">
        <v>5.8</v>
      </c>
      <c r="M229" s="19" t="s">
        <v>1962</v>
      </c>
      <c r="N229" s="19" t="s">
        <v>1963</v>
      </c>
      <c r="O229" s="19" t="s">
        <v>1964</v>
      </c>
      <c r="P229" s="19">
        <v>1100000</v>
      </c>
      <c r="Q229" s="19" t="s">
        <v>72</v>
      </c>
      <c r="R229" s="19" t="s">
        <v>923</v>
      </c>
      <c r="S229" s="19" t="s">
        <v>1139</v>
      </c>
      <c r="T229" s="19" t="s">
        <v>1965</v>
      </c>
      <c r="U229" s="21">
        <v>45761</v>
      </c>
      <c r="V229" s="19"/>
      <c r="W229" s="19" t="s">
        <v>74</v>
      </c>
      <c r="X229" s="19" t="s">
        <v>74</v>
      </c>
      <c r="Y229" s="19" t="s">
        <v>94</v>
      </c>
      <c r="Z229" s="19" t="s">
        <v>68</v>
      </c>
      <c r="AA229" s="27">
        <v>45688</v>
      </c>
      <c r="AB229" s="4">
        <v>45691</v>
      </c>
      <c r="AC229" s="4">
        <v>45691</v>
      </c>
      <c r="AD229" s="4">
        <v>45693</v>
      </c>
      <c r="AE229" s="4">
        <v>45693</v>
      </c>
      <c r="AF229" s="4">
        <v>45695</v>
      </c>
      <c r="AG229" s="4">
        <v>45695</v>
      </c>
      <c r="AH229" s="4">
        <v>45625</v>
      </c>
      <c r="AI229" s="4">
        <v>45695</v>
      </c>
      <c r="AJ229" s="4">
        <v>45693</v>
      </c>
      <c r="AK229" s="19" t="s">
        <v>72</v>
      </c>
      <c r="AL229" s="19">
        <v>1000000</v>
      </c>
      <c r="AM229" s="4">
        <v>45693</v>
      </c>
      <c r="AN229" s="4">
        <v>45693</v>
      </c>
      <c r="AO229" s="4"/>
      <c r="AP229" s="4">
        <v>45698</v>
      </c>
      <c r="AQ229" s="4">
        <v>45698</v>
      </c>
      <c r="AR229" s="4">
        <v>45757</v>
      </c>
      <c r="AS229" s="4">
        <v>45761</v>
      </c>
    </row>
    <row r="230" spans="1:45">
      <c r="A230" s="19">
        <f t="shared" si="3"/>
        <v>229</v>
      </c>
      <c r="B230" s="20">
        <v>45684</v>
      </c>
      <c r="C230" s="19" t="s">
        <v>1101</v>
      </c>
      <c r="D230" s="19" t="s">
        <v>1122</v>
      </c>
      <c r="E230" s="19">
        <v>20250718</v>
      </c>
      <c r="F230" s="19" t="s">
        <v>1966</v>
      </c>
      <c r="G230" s="19">
        <v>8796945958</v>
      </c>
      <c r="H230" s="19" t="s">
        <v>1967</v>
      </c>
      <c r="I230" s="19" t="s">
        <v>123</v>
      </c>
      <c r="J230" s="19" t="s">
        <v>91</v>
      </c>
      <c r="K230" s="19" t="s">
        <v>569</v>
      </c>
      <c r="L230" s="19">
        <v>5</v>
      </c>
      <c r="M230" s="19" t="s">
        <v>1968</v>
      </c>
      <c r="N230" s="19">
        <v>13.5</v>
      </c>
      <c r="O230" s="19" t="s">
        <v>1851</v>
      </c>
      <c r="P230" s="19" t="s">
        <v>1969</v>
      </c>
      <c r="Q230" s="19" t="s">
        <v>72</v>
      </c>
      <c r="R230" s="19" t="s">
        <v>72</v>
      </c>
      <c r="S230" s="19">
        <v>60</v>
      </c>
      <c r="T230" s="19" t="s">
        <v>1960</v>
      </c>
      <c r="U230" s="21"/>
      <c r="V230" s="19"/>
      <c r="W230" s="19" t="s">
        <v>74</v>
      </c>
      <c r="X230" s="19" t="s">
        <v>74</v>
      </c>
      <c r="Y230" s="19" t="s">
        <v>70</v>
      </c>
      <c r="Z230" s="19" t="s">
        <v>68</v>
      </c>
      <c r="AA230" s="19"/>
      <c r="AB230" s="4"/>
      <c r="AC230" s="4"/>
      <c r="AD230" s="19"/>
      <c r="AE230" s="19"/>
      <c r="AF230" s="19"/>
      <c r="AG230" s="19"/>
      <c r="AH230" s="19"/>
      <c r="AI230" s="19"/>
      <c r="AJ230" s="19"/>
      <c r="AK230" s="19"/>
      <c r="AL230" s="19">
        <v>700000</v>
      </c>
      <c r="AM230" s="19">
        <v>45699</v>
      </c>
      <c r="AN230" s="19">
        <v>45702</v>
      </c>
      <c r="AO230" s="19"/>
      <c r="AP230" s="19">
        <v>45706</v>
      </c>
      <c r="AQ230" s="19">
        <v>45706</v>
      </c>
      <c r="AR230" s="19"/>
      <c r="AS230" s="27">
        <v>45740</v>
      </c>
    </row>
    <row r="231" spans="1:45">
      <c r="A231" s="19">
        <f t="shared" si="3"/>
        <v>230</v>
      </c>
      <c r="B231" s="20">
        <v>45684</v>
      </c>
      <c r="C231" s="19" t="s">
        <v>1101</v>
      </c>
      <c r="D231" s="19" t="s">
        <v>1102</v>
      </c>
      <c r="E231" s="19">
        <v>20250721</v>
      </c>
      <c r="F231" s="19" t="s">
        <v>1970</v>
      </c>
      <c r="G231" s="19">
        <v>9478006155</v>
      </c>
      <c r="H231" s="19" t="s">
        <v>1971</v>
      </c>
      <c r="I231" s="19" t="s">
        <v>123</v>
      </c>
      <c r="J231" s="19" t="s">
        <v>91</v>
      </c>
      <c r="K231" s="19" t="s">
        <v>569</v>
      </c>
      <c r="L231" s="19">
        <v>3.5</v>
      </c>
      <c r="M231" s="19" t="s">
        <v>1972</v>
      </c>
      <c r="N231" s="19">
        <v>8.5</v>
      </c>
      <c r="O231" s="19" t="s">
        <v>1973</v>
      </c>
      <c r="P231" s="19">
        <v>12.5</v>
      </c>
      <c r="Q231" s="19" t="s">
        <v>714</v>
      </c>
      <c r="R231" s="19" t="s">
        <v>72</v>
      </c>
      <c r="S231" s="19" t="s">
        <v>1139</v>
      </c>
      <c r="T231" s="19" t="s">
        <v>1960</v>
      </c>
      <c r="U231" s="21"/>
      <c r="V231" s="19"/>
      <c r="W231" s="19" t="s">
        <v>74</v>
      </c>
      <c r="X231" s="19" t="s">
        <v>74</v>
      </c>
      <c r="Y231" s="19" t="s">
        <v>70</v>
      </c>
      <c r="Z231" s="19" t="s">
        <v>68</v>
      </c>
      <c r="AA231" s="19"/>
      <c r="AB231" s="4"/>
      <c r="AC231" s="4"/>
      <c r="AD231" s="19"/>
      <c r="AE231" s="19"/>
      <c r="AF231" s="19"/>
      <c r="AG231" s="19"/>
      <c r="AH231" s="19"/>
      <c r="AI231" s="19"/>
      <c r="AJ231" s="19"/>
      <c r="AK231" s="19"/>
      <c r="AL231" s="19">
        <v>1050000</v>
      </c>
      <c r="AM231" s="19">
        <v>45709</v>
      </c>
      <c r="AN231" s="19">
        <v>45712</v>
      </c>
      <c r="AO231" s="19"/>
      <c r="AP231" s="19"/>
      <c r="AQ231" s="19"/>
      <c r="AR231" s="19"/>
      <c r="AS231" s="27"/>
    </row>
    <row r="232" spans="1:45">
      <c r="A232" s="19">
        <f t="shared" si="3"/>
        <v>231</v>
      </c>
      <c r="B232" s="20">
        <v>45684</v>
      </c>
      <c r="C232" s="19" t="s">
        <v>1101</v>
      </c>
      <c r="D232" s="19" t="s">
        <v>1026</v>
      </c>
      <c r="E232" s="19">
        <v>20250719</v>
      </c>
      <c r="F232" s="19" t="s">
        <v>1974</v>
      </c>
      <c r="G232" s="19">
        <v>7261976694</v>
      </c>
      <c r="H232" s="19" t="s">
        <v>1975</v>
      </c>
      <c r="I232" s="19" t="s">
        <v>86</v>
      </c>
      <c r="J232" s="19" t="s">
        <v>1855</v>
      </c>
      <c r="K232" s="19" t="s">
        <v>569</v>
      </c>
      <c r="L232" s="19">
        <v>7</v>
      </c>
      <c r="M232" s="19" t="s">
        <v>1976</v>
      </c>
      <c r="N232" s="19">
        <v>13.5</v>
      </c>
      <c r="O232" s="19">
        <v>0.1</v>
      </c>
      <c r="P232" s="19" t="s">
        <v>1977</v>
      </c>
      <c r="Q232" s="19" t="s">
        <v>1978</v>
      </c>
      <c r="R232" s="19" t="s">
        <v>72</v>
      </c>
      <c r="S232" s="19" t="s">
        <v>1859</v>
      </c>
      <c r="T232" s="19"/>
      <c r="U232" s="21"/>
      <c r="V232" s="19"/>
      <c r="W232" s="19" t="s">
        <v>74</v>
      </c>
      <c r="X232" s="19" t="s">
        <v>74</v>
      </c>
      <c r="Y232" s="19" t="s">
        <v>70</v>
      </c>
      <c r="Z232" s="19" t="s">
        <v>68</v>
      </c>
      <c r="AA232" s="19"/>
      <c r="AB232" s="4"/>
      <c r="AC232" s="4"/>
      <c r="AD232" s="19"/>
      <c r="AE232" s="19"/>
      <c r="AF232" s="19"/>
      <c r="AG232" s="19"/>
      <c r="AH232" s="19"/>
      <c r="AI232" s="19"/>
      <c r="AJ232" s="19"/>
      <c r="AK232" s="19"/>
      <c r="AL232" s="19" t="s">
        <v>630</v>
      </c>
      <c r="AM232" s="19">
        <v>45734</v>
      </c>
      <c r="AN232" s="19">
        <v>45736</v>
      </c>
      <c r="AO232" s="19"/>
      <c r="AP232" s="19"/>
      <c r="AQ232" s="19"/>
      <c r="AR232" s="19"/>
      <c r="AS232" s="27"/>
    </row>
    <row r="233" spans="1:45">
      <c r="A233" s="19">
        <f t="shared" si="3"/>
        <v>232</v>
      </c>
      <c r="B233" s="20">
        <v>45684</v>
      </c>
      <c r="C233" s="19" t="s">
        <v>1101</v>
      </c>
      <c r="D233" s="19" t="s">
        <v>1102</v>
      </c>
      <c r="E233" s="19">
        <v>20251977</v>
      </c>
      <c r="F233" s="19" t="s">
        <v>1979</v>
      </c>
      <c r="G233" s="19">
        <v>9654389027</v>
      </c>
      <c r="H233" s="19" t="s">
        <v>1980</v>
      </c>
      <c r="I233" s="19" t="s">
        <v>86</v>
      </c>
      <c r="J233" s="19" t="s">
        <v>1755</v>
      </c>
      <c r="K233" s="19" t="s">
        <v>1099</v>
      </c>
      <c r="L233" s="19" t="s">
        <v>1710</v>
      </c>
      <c r="M233" s="19" t="s">
        <v>1981</v>
      </c>
      <c r="N233" s="19">
        <v>27</v>
      </c>
      <c r="O233" s="19" t="s">
        <v>1057</v>
      </c>
      <c r="P233" s="19">
        <v>35</v>
      </c>
      <c r="Q233" s="19" t="s">
        <v>1392</v>
      </c>
      <c r="R233" s="19" t="s">
        <v>923</v>
      </c>
      <c r="S233" s="19" t="s">
        <v>1686</v>
      </c>
      <c r="T233" s="19"/>
      <c r="U233" s="21"/>
      <c r="V233" s="19"/>
      <c r="W233" s="19" t="s">
        <v>245</v>
      </c>
      <c r="X233" s="19" t="s">
        <v>245</v>
      </c>
      <c r="Y233" s="19"/>
      <c r="Z233" s="19" t="s">
        <v>68</v>
      </c>
      <c r="AA233" s="19"/>
      <c r="AB233" s="4">
        <v>45688</v>
      </c>
      <c r="AC233" s="4"/>
      <c r="AD233" s="19"/>
      <c r="AE233" s="19"/>
      <c r="AF233" s="19"/>
      <c r="AG233" s="19"/>
      <c r="AH233" s="19"/>
      <c r="AI233" s="19"/>
      <c r="AJ233" s="19"/>
      <c r="AK233" s="19"/>
      <c r="AL233" s="19"/>
      <c r="AM233" s="19"/>
      <c r="AN233" s="19"/>
      <c r="AO233" s="19"/>
      <c r="AP233" s="19"/>
      <c r="AQ233" s="19"/>
      <c r="AR233" s="19"/>
      <c r="AS233" s="27"/>
    </row>
    <row r="234" spans="1:45">
      <c r="A234" s="19">
        <f t="shared" si="3"/>
        <v>233</v>
      </c>
      <c r="B234" s="20">
        <v>45684</v>
      </c>
      <c r="C234" s="19" t="s">
        <v>1101</v>
      </c>
      <c r="D234" s="19" t="s">
        <v>1707</v>
      </c>
      <c r="E234" s="19">
        <v>20251977</v>
      </c>
      <c r="F234" s="19" t="s">
        <v>1982</v>
      </c>
      <c r="G234" s="19">
        <v>9673997217</v>
      </c>
      <c r="H234" s="19" t="s">
        <v>1983</v>
      </c>
      <c r="I234" s="19" t="s">
        <v>123</v>
      </c>
      <c r="J234" s="19" t="s">
        <v>1755</v>
      </c>
      <c r="K234" s="19" t="s">
        <v>1099</v>
      </c>
      <c r="L234" s="19" t="s">
        <v>1984</v>
      </c>
      <c r="M234" s="19" t="s">
        <v>1985</v>
      </c>
      <c r="N234" s="19">
        <v>28</v>
      </c>
      <c r="O234" s="19" t="s">
        <v>1057</v>
      </c>
      <c r="P234" s="19">
        <v>32</v>
      </c>
      <c r="Q234" s="19" t="s">
        <v>923</v>
      </c>
      <c r="R234" s="19" t="s">
        <v>923</v>
      </c>
      <c r="S234" s="19" t="s">
        <v>1626</v>
      </c>
      <c r="T234" s="19"/>
      <c r="U234" s="21"/>
      <c r="V234" s="19"/>
      <c r="W234" s="19" t="s">
        <v>245</v>
      </c>
      <c r="X234" s="19" t="s">
        <v>245</v>
      </c>
      <c r="Y234" s="19"/>
      <c r="Z234" s="19" t="s">
        <v>68</v>
      </c>
      <c r="AA234" s="19"/>
      <c r="AB234" s="4"/>
      <c r="AC234" s="4"/>
      <c r="AD234" s="19"/>
      <c r="AE234" s="19"/>
      <c r="AF234" s="19"/>
      <c r="AG234" s="19"/>
      <c r="AH234" s="19"/>
      <c r="AI234" s="19"/>
      <c r="AJ234" s="19"/>
      <c r="AK234" s="19"/>
      <c r="AL234" s="19"/>
      <c r="AM234" s="19"/>
      <c r="AN234" s="19"/>
      <c r="AO234" s="19"/>
      <c r="AP234" s="19"/>
      <c r="AQ234" s="19"/>
      <c r="AR234" s="19"/>
      <c r="AS234" s="27"/>
    </row>
    <row r="235" spans="1:45">
      <c r="A235" s="19">
        <f t="shared" si="3"/>
        <v>234</v>
      </c>
      <c r="B235" s="20">
        <v>45684</v>
      </c>
      <c r="C235" s="19" t="s">
        <v>1101</v>
      </c>
      <c r="D235" s="19" t="s">
        <v>1707</v>
      </c>
      <c r="E235" s="19">
        <v>20251977</v>
      </c>
      <c r="F235" s="19" t="s">
        <v>1986</v>
      </c>
      <c r="G235" s="19">
        <v>9916863943</v>
      </c>
      <c r="H235" s="19" t="s">
        <v>1987</v>
      </c>
      <c r="I235" s="19" t="s">
        <v>123</v>
      </c>
      <c r="J235" s="19" t="s">
        <v>1755</v>
      </c>
      <c r="K235" s="19" t="s">
        <v>1099</v>
      </c>
      <c r="L235" s="19" t="s">
        <v>1988</v>
      </c>
      <c r="M235" s="19" t="s">
        <v>1989</v>
      </c>
      <c r="N235" s="19">
        <v>70</v>
      </c>
      <c r="O235" s="19" t="s">
        <v>1057</v>
      </c>
      <c r="P235" s="19" t="s">
        <v>1817</v>
      </c>
      <c r="Q235" s="19" t="s">
        <v>923</v>
      </c>
      <c r="R235" s="19" t="s">
        <v>923</v>
      </c>
      <c r="S235" s="19" t="s">
        <v>1139</v>
      </c>
      <c r="T235" s="19"/>
      <c r="U235" s="21"/>
      <c r="V235" s="19"/>
      <c r="W235" s="19" t="s">
        <v>245</v>
      </c>
      <c r="X235" s="19" t="s">
        <v>245</v>
      </c>
      <c r="Y235" s="19"/>
      <c r="Z235" s="19" t="s">
        <v>68</v>
      </c>
      <c r="AA235" s="19"/>
      <c r="AB235" s="4"/>
      <c r="AC235" s="4"/>
      <c r="AD235" s="19"/>
      <c r="AE235" s="19"/>
      <c r="AF235" s="19"/>
      <c r="AG235" s="19"/>
      <c r="AH235" s="19"/>
      <c r="AI235" s="19"/>
      <c r="AJ235" s="19"/>
      <c r="AK235" s="19"/>
      <c r="AL235" s="19"/>
      <c r="AM235" s="19"/>
      <c r="AN235" s="19"/>
      <c r="AO235" s="19"/>
      <c r="AP235" s="19"/>
      <c r="AQ235" s="19"/>
      <c r="AR235" s="19"/>
      <c r="AS235" s="27"/>
    </row>
    <row r="236" spans="1:45">
      <c r="A236" s="19">
        <f t="shared" si="3"/>
        <v>235</v>
      </c>
      <c r="B236" s="20">
        <v>45684</v>
      </c>
      <c r="C236" s="19" t="s">
        <v>1101</v>
      </c>
      <c r="D236" s="19" t="s">
        <v>1707</v>
      </c>
      <c r="E236" s="19">
        <v>20251977</v>
      </c>
      <c r="F236" s="19" t="s">
        <v>1990</v>
      </c>
      <c r="G236" s="19">
        <v>9406953191</v>
      </c>
      <c r="H236" s="19" t="s">
        <v>1991</v>
      </c>
      <c r="I236" s="19" t="s">
        <v>123</v>
      </c>
      <c r="J236" s="19" t="s">
        <v>1755</v>
      </c>
      <c r="K236" s="19" t="s">
        <v>1099</v>
      </c>
      <c r="L236" s="19" t="s">
        <v>1816</v>
      </c>
      <c r="M236" s="19" t="s">
        <v>1621</v>
      </c>
      <c r="N236" s="19">
        <v>11</v>
      </c>
      <c r="O236" s="19" t="s">
        <v>1057</v>
      </c>
      <c r="P236" s="19">
        <v>24</v>
      </c>
      <c r="Q236" s="19" t="s">
        <v>923</v>
      </c>
      <c r="R236" s="19" t="s">
        <v>923</v>
      </c>
      <c r="S236" s="19" t="s">
        <v>1631</v>
      </c>
      <c r="T236" s="19"/>
      <c r="U236" s="21"/>
      <c r="V236" s="19"/>
      <c r="W236" s="19" t="s">
        <v>245</v>
      </c>
      <c r="X236" s="19" t="s">
        <v>245</v>
      </c>
      <c r="Y236" s="19"/>
      <c r="Z236" s="19" t="s">
        <v>68</v>
      </c>
      <c r="AA236" s="19"/>
      <c r="AB236" s="4"/>
      <c r="AC236" s="4"/>
      <c r="AD236" s="19"/>
      <c r="AE236" s="19"/>
      <c r="AF236" s="19"/>
      <c r="AG236" s="19"/>
      <c r="AH236" s="19"/>
      <c r="AI236" s="19"/>
      <c r="AJ236" s="19"/>
      <c r="AK236" s="19"/>
      <c r="AL236" s="19"/>
      <c r="AM236" s="19"/>
      <c r="AN236" s="19"/>
      <c r="AO236" s="19"/>
      <c r="AP236" s="19"/>
      <c r="AQ236" s="19"/>
      <c r="AR236" s="19"/>
      <c r="AS236" s="27"/>
    </row>
    <row r="237" spans="1:45">
      <c r="A237" s="19">
        <f t="shared" si="3"/>
        <v>236</v>
      </c>
      <c r="B237" s="20">
        <v>45684</v>
      </c>
      <c r="C237" s="19" t="s">
        <v>1101</v>
      </c>
      <c r="D237" s="19" t="s">
        <v>1707</v>
      </c>
      <c r="E237" s="19">
        <v>20251977</v>
      </c>
      <c r="F237" s="19" t="s">
        <v>1992</v>
      </c>
      <c r="G237" s="19">
        <v>9167511938</v>
      </c>
      <c r="H237" s="19" t="s">
        <v>1993</v>
      </c>
      <c r="I237" s="19" t="s">
        <v>123</v>
      </c>
      <c r="J237" s="19" t="s">
        <v>1755</v>
      </c>
      <c r="K237" s="19" t="s">
        <v>1099</v>
      </c>
      <c r="L237" s="19" t="s">
        <v>1949</v>
      </c>
      <c r="M237" s="19" t="s">
        <v>1994</v>
      </c>
      <c r="N237" s="19">
        <v>26.5</v>
      </c>
      <c r="O237" s="19" t="s">
        <v>1057</v>
      </c>
      <c r="P237" s="19">
        <v>34</v>
      </c>
      <c r="Q237" s="19" t="s">
        <v>1392</v>
      </c>
      <c r="R237" s="19" t="s">
        <v>923</v>
      </c>
      <c r="S237" s="19" t="s">
        <v>1626</v>
      </c>
      <c r="T237" s="19"/>
      <c r="U237" s="21"/>
      <c r="V237" s="19"/>
      <c r="W237" s="19" t="s">
        <v>245</v>
      </c>
      <c r="X237" s="19" t="s">
        <v>245</v>
      </c>
      <c r="Y237" s="19"/>
      <c r="Z237" s="19" t="s">
        <v>68</v>
      </c>
      <c r="AA237" s="19"/>
      <c r="AB237" s="4"/>
      <c r="AC237" s="4"/>
      <c r="AD237" s="19"/>
      <c r="AE237" s="19"/>
      <c r="AF237" s="19"/>
      <c r="AG237" s="19"/>
      <c r="AH237" s="19"/>
      <c r="AI237" s="19"/>
      <c r="AJ237" s="19"/>
      <c r="AK237" s="19"/>
      <c r="AL237" s="19"/>
      <c r="AM237" s="19"/>
      <c r="AN237" s="19"/>
      <c r="AO237" s="19"/>
      <c r="AP237" s="19"/>
      <c r="AQ237" s="19"/>
      <c r="AR237" s="19"/>
      <c r="AS237" s="27"/>
    </row>
    <row r="238" spans="1:45">
      <c r="A238" s="19">
        <f t="shared" si="3"/>
        <v>237</v>
      </c>
      <c r="B238" s="20">
        <v>45684</v>
      </c>
      <c r="C238" s="19" t="s">
        <v>1101</v>
      </c>
      <c r="D238" s="19" t="s">
        <v>1707</v>
      </c>
      <c r="E238" s="19">
        <v>20251977</v>
      </c>
      <c r="F238" s="19" t="s">
        <v>1995</v>
      </c>
      <c r="G238" s="19">
        <v>7498852193</v>
      </c>
      <c r="H238" s="19" t="s">
        <v>1996</v>
      </c>
      <c r="I238" s="19" t="s">
        <v>123</v>
      </c>
      <c r="J238" s="19" t="s">
        <v>1755</v>
      </c>
      <c r="K238" s="19" t="s">
        <v>1099</v>
      </c>
      <c r="L238" s="19" t="s">
        <v>1997</v>
      </c>
      <c r="M238" s="19" t="s">
        <v>1551</v>
      </c>
      <c r="N238" s="19">
        <v>4.5</v>
      </c>
      <c r="O238" s="19" t="s">
        <v>1057</v>
      </c>
      <c r="P238" s="19" t="s">
        <v>1998</v>
      </c>
      <c r="Q238" s="19" t="s">
        <v>923</v>
      </c>
      <c r="R238" s="19" t="s">
        <v>923</v>
      </c>
      <c r="S238" s="19" t="s">
        <v>1686</v>
      </c>
      <c r="T238" s="19"/>
      <c r="U238" s="21"/>
      <c r="V238" s="19"/>
      <c r="W238" s="19" t="s">
        <v>245</v>
      </c>
      <c r="X238" s="19" t="s">
        <v>245</v>
      </c>
      <c r="Y238" s="19"/>
      <c r="Z238" s="19" t="s">
        <v>68</v>
      </c>
      <c r="AA238" s="19"/>
      <c r="AB238" s="4"/>
      <c r="AC238" s="4"/>
      <c r="AD238" s="19"/>
      <c r="AE238" s="19"/>
      <c r="AF238" s="19"/>
      <c r="AG238" s="19"/>
      <c r="AH238" s="19"/>
      <c r="AI238" s="19"/>
      <c r="AJ238" s="19"/>
      <c r="AK238" s="19"/>
      <c r="AL238" s="19"/>
      <c r="AM238" s="19"/>
      <c r="AN238" s="19"/>
      <c r="AO238" s="19"/>
      <c r="AP238" s="19"/>
      <c r="AQ238" s="19"/>
      <c r="AR238" s="19"/>
      <c r="AS238" s="27"/>
    </row>
    <row r="239" spans="1:45">
      <c r="A239" s="19">
        <f t="shared" si="3"/>
        <v>238</v>
      </c>
      <c r="B239" s="20">
        <v>45684</v>
      </c>
      <c r="C239" s="19" t="s">
        <v>1101</v>
      </c>
      <c r="D239" s="19" t="s">
        <v>1699</v>
      </c>
      <c r="E239" s="19">
        <v>20243793</v>
      </c>
      <c r="F239" s="19" t="s">
        <v>1999</v>
      </c>
      <c r="G239" s="19">
        <v>7989536989</v>
      </c>
      <c r="H239" s="19" t="s">
        <v>2000</v>
      </c>
      <c r="I239" s="19" t="s">
        <v>123</v>
      </c>
      <c r="J239" s="19" t="s">
        <v>1153</v>
      </c>
      <c r="K239" s="19" t="s">
        <v>963</v>
      </c>
      <c r="L239" s="19" t="s">
        <v>1731</v>
      </c>
      <c r="M239" s="19" t="s">
        <v>2001</v>
      </c>
      <c r="N239" s="19">
        <v>19</v>
      </c>
      <c r="O239" s="19" t="s">
        <v>1057</v>
      </c>
      <c r="P239" s="19">
        <v>26</v>
      </c>
      <c r="Q239" s="19" t="s">
        <v>714</v>
      </c>
      <c r="R239" s="19" t="s">
        <v>923</v>
      </c>
      <c r="S239" s="19" t="s">
        <v>1868</v>
      </c>
      <c r="T239" s="19" t="s">
        <v>1833</v>
      </c>
      <c r="U239" s="21"/>
      <c r="V239" s="19"/>
      <c r="W239" s="19" t="s">
        <v>245</v>
      </c>
      <c r="X239" s="19" t="s">
        <v>245</v>
      </c>
      <c r="Y239" s="19"/>
      <c r="Z239" s="19" t="s">
        <v>68</v>
      </c>
      <c r="AA239" s="19"/>
      <c r="AB239" s="4"/>
      <c r="AC239" s="4"/>
      <c r="AD239" s="19"/>
      <c r="AE239" s="19"/>
      <c r="AF239" s="19"/>
      <c r="AG239" s="19"/>
      <c r="AH239" s="19"/>
      <c r="AI239" s="19"/>
      <c r="AJ239" s="19"/>
      <c r="AK239" s="19"/>
      <c r="AL239" s="19"/>
      <c r="AM239" s="19"/>
      <c r="AN239" s="19"/>
      <c r="AO239" s="19"/>
      <c r="AP239" s="19"/>
      <c r="AQ239" s="19"/>
      <c r="AR239" s="19"/>
      <c r="AS239" s="27"/>
    </row>
    <row r="240" spans="1:45">
      <c r="A240" s="19">
        <f t="shared" si="3"/>
        <v>239</v>
      </c>
      <c r="B240" s="20">
        <v>45684</v>
      </c>
      <c r="C240" s="19" t="s">
        <v>1101</v>
      </c>
      <c r="D240" s="19" t="s">
        <v>1699</v>
      </c>
      <c r="E240" s="19">
        <v>20243793</v>
      </c>
      <c r="F240" s="19" t="s">
        <v>2002</v>
      </c>
      <c r="G240" s="19">
        <v>9028353200</v>
      </c>
      <c r="H240" s="19" t="s">
        <v>2003</v>
      </c>
      <c r="I240" s="19" t="s">
        <v>123</v>
      </c>
      <c r="J240" s="19" t="s">
        <v>1153</v>
      </c>
      <c r="K240" s="19" t="s">
        <v>963</v>
      </c>
      <c r="L240" s="19" t="s">
        <v>1786</v>
      </c>
      <c r="M240" s="19" t="s">
        <v>2004</v>
      </c>
      <c r="N240" s="19">
        <v>19</v>
      </c>
      <c r="O240" s="19" t="s">
        <v>1057</v>
      </c>
      <c r="P240" s="19">
        <v>26</v>
      </c>
      <c r="Q240" s="19" t="s">
        <v>923</v>
      </c>
      <c r="R240" s="19" t="s">
        <v>923</v>
      </c>
      <c r="S240" s="19" t="s">
        <v>1686</v>
      </c>
      <c r="T240" s="19" t="s">
        <v>1057</v>
      </c>
      <c r="U240" s="21"/>
      <c r="V240" s="19"/>
      <c r="W240" s="19" t="s">
        <v>245</v>
      </c>
      <c r="X240" s="19" t="s">
        <v>245</v>
      </c>
      <c r="Y240" s="19"/>
      <c r="Z240" s="19" t="s">
        <v>68</v>
      </c>
      <c r="AA240" s="19"/>
      <c r="AB240" s="4"/>
      <c r="AC240" s="4"/>
      <c r="AD240" s="19"/>
      <c r="AE240" s="19"/>
      <c r="AF240" s="19"/>
      <c r="AG240" s="19"/>
      <c r="AH240" s="19"/>
      <c r="AI240" s="19"/>
      <c r="AJ240" s="19"/>
      <c r="AK240" s="19"/>
      <c r="AL240" s="19"/>
      <c r="AM240" s="19"/>
      <c r="AN240" s="19"/>
      <c r="AO240" s="19"/>
      <c r="AP240" s="19"/>
      <c r="AQ240" s="19"/>
      <c r="AR240" s="19"/>
      <c r="AS240" s="27"/>
    </row>
    <row r="241" spans="1:45">
      <c r="A241" s="19">
        <f t="shared" si="3"/>
        <v>240</v>
      </c>
      <c r="B241" s="20">
        <v>45684</v>
      </c>
      <c r="C241" s="19" t="s">
        <v>1101</v>
      </c>
      <c r="D241" s="19" t="s">
        <v>1102</v>
      </c>
      <c r="E241" s="19">
        <v>20245965</v>
      </c>
      <c r="F241" s="19" t="s">
        <v>2005</v>
      </c>
      <c r="G241" s="19">
        <v>8425930006</v>
      </c>
      <c r="H241" s="19" t="s">
        <v>2006</v>
      </c>
      <c r="I241" s="19" t="s">
        <v>123</v>
      </c>
      <c r="J241" s="19" t="s">
        <v>407</v>
      </c>
      <c r="K241" s="19" t="s">
        <v>963</v>
      </c>
      <c r="L241" s="19" t="s">
        <v>2007</v>
      </c>
      <c r="M241" s="19" t="s">
        <v>2008</v>
      </c>
      <c r="N241" s="19">
        <v>19</v>
      </c>
      <c r="O241" s="19" t="s">
        <v>1057</v>
      </c>
      <c r="P241" s="19">
        <v>25</v>
      </c>
      <c r="Q241" s="19" t="s">
        <v>708</v>
      </c>
      <c r="R241" s="19" t="s">
        <v>923</v>
      </c>
      <c r="S241" s="19" t="s">
        <v>2009</v>
      </c>
      <c r="T241" s="19" t="s">
        <v>2010</v>
      </c>
      <c r="U241" s="21"/>
      <c r="V241" s="19"/>
      <c r="W241" s="19" t="s">
        <v>245</v>
      </c>
      <c r="X241" s="19" t="s">
        <v>245</v>
      </c>
      <c r="Y241" s="19"/>
      <c r="Z241" s="19" t="s">
        <v>68</v>
      </c>
      <c r="AA241" s="19"/>
      <c r="AB241" s="4">
        <v>45688</v>
      </c>
      <c r="AC241" s="4"/>
      <c r="AD241" s="19"/>
      <c r="AE241" s="19"/>
      <c r="AF241" s="19"/>
      <c r="AG241" s="19"/>
      <c r="AH241" s="19"/>
      <c r="AI241" s="19"/>
      <c r="AJ241" s="19"/>
      <c r="AK241" s="19"/>
      <c r="AL241" s="19"/>
      <c r="AM241" s="19"/>
      <c r="AN241" s="19"/>
      <c r="AO241" s="19"/>
      <c r="AP241" s="19"/>
      <c r="AQ241" s="19"/>
      <c r="AR241" s="19"/>
      <c r="AS241" s="27"/>
    </row>
    <row r="242" spans="1:45">
      <c r="A242" s="19">
        <f t="shared" si="3"/>
        <v>241</v>
      </c>
      <c r="B242" s="20">
        <v>45684</v>
      </c>
      <c r="C242" s="19" t="s">
        <v>1101</v>
      </c>
      <c r="D242" s="19" t="s">
        <v>952</v>
      </c>
      <c r="E242" s="19">
        <v>20245965</v>
      </c>
      <c r="F242" s="19" t="s">
        <v>2011</v>
      </c>
      <c r="G242" s="19" t="s">
        <v>2012</v>
      </c>
      <c r="H242" s="19" t="s">
        <v>428</v>
      </c>
      <c r="I242" s="19" t="s">
        <v>123</v>
      </c>
      <c r="J242" s="19" t="s">
        <v>407</v>
      </c>
      <c r="K242" s="19" t="s">
        <v>963</v>
      </c>
      <c r="L242" s="19" t="s">
        <v>2013</v>
      </c>
      <c r="M242" s="19" t="s">
        <v>2014</v>
      </c>
      <c r="N242" s="19">
        <v>23.5</v>
      </c>
      <c r="O242" s="19" t="s">
        <v>1057</v>
      </c>
      <c r="P242" s="19" t="s">
        <v>2015</v>
      </c>
      <c r="Q242" s="19" t="s">
        <v>923</v>
      </c>
      <c r="R242" s="19" t="s">
        <v>923</v>
      </c>
      <c r="S242" s="19" t="s">
        <v>1121</v>
      </c>
      <c r="T242" s="19" t="s">
        <v>1057</v>
      </c>
      <c r="U242" s="21"/>
      <c r="V242" s="19"/>
      <c r="W242" s="19" t="s">
        <v>245</v>
      </c>
      <c r="X242" s="19" t="s">
        <v>245</v>
      </c>
      <c r="Y242" s="19"/>
      <c r="Z242" s="19" t="s">
        <v>68</v>
      </c>
      <c r="AA242" s="19"/>
      <c r="AB242" s="4"/>
      <c r="AC242" s="4"/>
      <c r="AD242" s="27"/>
      <c r="AE242" s="27"/>
      <c r="AF242" s="27"/>
      <c r="AG242" s="27"/>
      <c r="AH242" s="27"/>
      <c r="AI242" s="27"/>
      <c r="AJ242" s="27"/>
      <c r="AK242" s="19"/>
      <c r="AL242" s="19"/>
      <c r="AM242" s="27"/>
      <c r="AN242" s="27"/>
      <c r="AO242" s="27"/>
      <c r="AP242" s="27"/>
      <c r="AQ242" s="27"/>
      <c r="AR242" s="27"/>
      <c r="AS242" s="27"/>
    </row>
    <row r="243" spans="1:45">
      <c r="A243" s="19">
        <f t="shared" si="3"/>
        <v>242</v>
      </c>
      <c r="B243" s="20">
        <v>45685</v>
      </c>
      <c r="C243" s="19" t="s">
        <v>1101</v>
      </c>
      <c r="D243" s="19" t="s">
        <v>974</v>
      </c>
      <c r="E243" s="19">
        <v>20243902</v>
      </c>
      <c r="F243" s="19" t="s">
        <v>2016</v>
      </c>
      <c r="G243" s="19">
        <v>8888556609</v>
      </c>
      <c r="H243" s="19" t="s">
        <v>2017</v>
      </c>
      <c r="I243" s="19" t="s">
        <v>123</v>
      </c>
      <c r="J243" s="19" t="s">
        <v>117</v>
      </c>
      <c r="K243" s="19" t="s">
        <v>119</v>
      </c>
      <c r="L243" s="19">
        <v>5.8</v>
      </c>
      <c r="M243" s="19" t="s">
        <v>2018</v>
      </c>
      <c r="N243" s="19">
        <v>6.25</v>
      </c>
      <c r="O243" s="19">
        <v>0</v>
      </c>
      <c r="P243" s="19">
        <v>8.5</v>
      </c>
      <c r="Q243" s="19" t="s">
        <v>1127</v>
      </c>
      <c r="R243" s="19" t="s">
        <v>72</v>
      </c>
      <c r="S243" s="19" t="s">
        <v>1139</v>
      </c>
      <c r="T243" s="19"/>
      <c r="U243" s="21"/>
      <c r="V243" s="19"/>
      <c r="W243" s="19" t="s">
        <v>74</v>
      </c>
      <c r="X243" s="19" t="s">
        <v>74</v>
      </c>
      <c r="Y243" s="19" t="s">
        <v>70</v>
      </c>
      <c r="Z243" s="19" t="s">
        <v>68</v>
      </c>
      <c r="AA243" s="19"/>
      <c r="AB243" s="4"/>
      <c r="AC243" s="4"/>
      <c r="AD243" s="19"/>
      <c r="AE243" s="19"/>
      <c r="AF243" s="19"/>
      <c r="AG243" s="19"/>
      <c r="AH243" s="19"/>
      <c r="AI243" s="19"/>
      <c r="AJ243" s="19"/>
      <c r="AK243" s="19"/>
      <c r="AL243" s="19"/>
      <c r="AM243" s="19"/>
      <c r="AN243" s="19"/>
      <c r="AO243" s="19"/>
      <c r="AP243" s="19"/>
      <c r="AQ243" s="19"/>
      <c r="AR243" s="19"/>
      <c r="AS243" s="27"/>
    </row>
    <row r="244" spans="1:45">
      <c r="A244" s="19">
        <f t="shared" si="3"/>
        <v>243</v>
      </c>
      <c r="B244" s="20">
        <v>45685</v>
      </c>
      <c r="C244" s="19" t="s">
        <v>1101</v>
      </c>
      <c r="D244" s="19" t="s">
        <v>1102</v>
      </c>
      <c r="E244" s="19">
        <v>20243902</v>
      </c>
      <c r="F244" s="19" t="s">
        <v>2019</v>
      </c>
      <c r="G244" s="19">
        <v>9881821571</v>
      </c>
      <c r="H244" s="19" t="s">
        <v>2020</v>
      </c>
      <c r="I244" s="19" t="s">
        <v>123</v>
      </c>
      <c r="J244" s="19" t="s">
        <v>117</v>
      </c>
      <c r="K244" s="19" t="s">
        <v>119</v>
      </c>
      <c r="L244" s="19">
        <v>3</v>
      </c>
      <c r="M244" s="19" t="s">
        <v>2021</v>
      </c>
      <c r="N244" s="19">
        <v>3.7</v>
      </c>
      <c r="O244" s="19">
        <v>0</v>
      </c>
      <c r="P244" s="19">
        <v>6</v>
      </c>
      <c r="Q244" s="19" t="s">
        <v>2022</v>
      </c>
      <c r="R244" s="19" t="s">
        <v>72</v>
      </c>
      <c r="S244" s="19" t="s">
        <v>2023</v>
      </c>
      <c r="T244" s="19"/>
      <c r="U244" s="21"/>
      <c r="V244" s="19"/>
      <c r="W244" s="19" t="s">
        <v>74</v>
      </c>
      <c r="X244" s="19" t="s">
        <v>74</v>
      </c>
      <c r="Y244" s="19" t="s">
        <v>70</v>
      </c>
      <c r="Z244" s="19" t="s">
        <v>68</v>
      </c>
      <c r="AA244" s="19"/>
      <c r="AB244" s="4"/>
      <c r="AC244" s="4"/>
      <c r="AD244" s="19"/>
      <c r="AE244" s="19"/>
      <c r="AF244" s="19"/>
      <c r="AG244" s="19"/>
      <c r="AH244" s="19"/>
      <c r="AI244" s="19"/>
      <c r="AJ244" s="19"/>
      <c r="AK244" s="19"/>
      <c r="AL244" s="19"/>
      <c r="AM244" s="19"/>
      <c r="AN244" s="19"/>
      <c r="AO244" s="19"/>
      <c r="AP244" s="19"/>
      <c r="AQ244" s="19"/>
      <c r="AR244" s="19"/>
      <c r="AS244" s="27"/>
    </row>
    <row r="245" spans="1:45">
      <c r="A245" s="19">
        <f t="shared" si="3"/>
        <v>244</v>
      </c>
      <c r="B245" s="20">
        <v>45685</v>
      </c>
      <c r="C245" s="19" t="s">
        <v>1101</v>
      </c>
      <c r="D245" s="19" t="s">
        <v>1102</v>
      </c>
      <c r="E245" s="19">
        <v>20242406</v>
      </c>
      <c r="F245" s="19" t="s">
        <v>2024</v>
      </c>
      <c r="G245" s="19">
        <v>8555963471</v>
      </c>
      <c r="H245" s="19" t="s">
        <v>2025</v>
      </c>
      <c r="I245" s="19" t="s">
        <v>123</v>
      </c>
      <c r="J245" s="19" t="s">
        <v>1681</v>
      </c>
      <c r="K245" s="19" t="s">
        <v>1682</v>
      </c>
      <c r="L245" s="19" t="s">
        <v>1683</v>
      </c>
      <c r="M245" s="19" t="s">
        <v>2026</v>
      </c>
      <c r="N245" s="19">
        <v>9.5</v>
      </c>
      <c r="O245" s="19" t="s">
        <v>1057</v>
      </c>
      <c r="P245" s="19">
        <v>14</v>
      </c>
      <c r="Q245" s="19" t="s">
        <v>1392</v>
      </c>
      <c r="R245" s="19" t="s">
        <v>923</v>
      </c>
      <c r="S245" s="19" t="s">
        <v>2027</v>
      </c>
      <c r="T245" s="19" t="s">
        <v>2028</v>
      </c>
      <c r="U245" s="21"/>
      <c r="V245" s="19"/>
      <c r="W245" s="19" t="s">
        <v>245</v>
      </c>
      <c r="X245" s="19" t="s">
        <v>245</v>
      </c>
      <c r="Y245" s="19"/>
      <c r="Z245" s="19" t="s">
        <v>68</v>
      </c>
      <c r="AA245" s="19"/>
      <c r="AB245" s="4">
        <v>45692</v>
      </c>
      <c r="AC245" s="4"/>
      <c r="AD245" s="19"/>
      <c r="AE245" s="19"/>
      <c r="AF245" s="19"/>
      <c r="AG245" s="19"/>
      <c r="AH245" s="19"/>
      <c r="AI245" s="19"/>
      <c r="AJ245" s="19"/>
      <c r="AK245" s="19"/>
      <c r="AL245" s="19"/>
      <c r="AM245" s="19"/>
      <c r="AN245" s="19"/>
      <c r="AO245" s="19"/>
      <c r="AP245" s="19"/>
      <c r="AQ245" s="19"/>
      <c r="AR245" s="19"/>
      <c r="AS245" s="27"/>
    </row>
    <row r="246" spans="1:45">
      <c r="A246" s="19">
        <f t="shared" si="3"/>
        <v>245</v>
      </c>
      <c r="B246" s="20">
        <v>45685</v>
      </c>
      <c r="C246" s="19" t="s">
        <v>1101</v>
      </c>
      <c r="D246" s="19" t="s">
        <v>1102</v>
      </c>
      <c r="E246" s="19">
        <v>20242406</v>
      </c>
      <c r="F246" s="19" t="s">
        <v>2029</v>
      </c>
      <c r="G246" s="19">
        <v>9834597156</v>
      </c>
      <c r="H246" s="19" t="s">
        <v>2030</v>
      </c>
      <c r="I246" s="19" t="s">
        <v>123</v>
      </c>
      <c r="J246" s="19" t="s">
        <v>1681</v>
      </c>
      <c r="K246" s="19" t="s">
        <v>1682</v>
      </c>
      <c r="L246" s="19" t="s">
        <v>1683</v>
      </c>
      <c r="M246" s="19" t="s">
        <v>2031</v>
      </c>
      <c r="N246" s="19">
        <v>7.3</v>
      </c>
      <c r="O246" s="19" t="s">
        <v>1057</v>
      </c>
      <c r="P246" s="19">
        <v>12</v>
      </c>
      <c r="Q246" s="19" t="s">
        <v>1392</v>
      </c>
      <c r="R246" s="19" t="s">
        <v>923</v>
      </c>
      <c r="S246" s="19" t="s">
        <v>1139</v>
      </c>
      <c r="T246" s="19" t="s">
        <v>2032</v>
      </c>
      <c r="U246" s="21"/>
      <c r="V246" s="19"/>
      <c r="W246" s="19" t="s">
        <v>245</v>
      </c>
      <c r="X246" s="19" t="s">
        <v>245</v>
      </c>
      <c r="Y246" s="19"/>
      <c r="Z246" s="19" t="s">
        <v>68</v>
      </c>
      <c r="AA246" s="19"/>
      <c r="AB246" s="4">
        <v>45687</v>
      </c>
      <c r="AC246" s="4"/>
      <c r="AD246" s="19"/>
      <c r="AE246" s="19"/>
      <c r="AF246" s="19"/>
      <c r="AG246" s="19"/>
      <c r="AH246" s="19"/>
      <c r="AI246" s="19"/>
      <c r="AJ246" s="19"/>
      <c r="AK246" s="19"/>
      <c r="AL246" s="19"/>
      <c r="AM246" s="19"/>
      <c r="AN246" s="19"/>
      <c r="AO246" s="19"/>
      <c r="AP246" s="19"/>
      <c r="AQ246" s="19"/>
      <c r="AR246" s="19"/>
      <c r="AS246" s="27"/>
    </row>
    <row r="247" spans="1:45">
      <c r="A247" s="19">
        <f t="shared" si="3"/>
        <v>246</v>
      </c>
      <c r="B247" s="20">
        <v>45685</v>
      </c>
      <c r="C247" s="19" t="s">
        <v>1101</v>
      </c>
      <c r="D247" s="19" t="s">
        <v>1102</v>
      </c>
      <c r="E247" s="19">
        <v>20242406</v>
      </c>
      <c r="F247" s="19" t="s">
        <v>2033</v>
      </c>
      <c r="G247" s="19">
        <v>9514512162</v>
      </c>
      <c r="H247" s="19" t="s">
        <v>2034</v>
      </c>
      <c r="I247" s="19" t="s">
        <v>123</v>
      </c>
      <c r="J247" s="19" t="s">
        <v>1681</v>
      </c>
      <c r="K247" s="19" t="s">
        <v>1682</v>
      </c>
      <c r="L247" s="19" t="s">
        <v>2035</v>
      </c>
      <c r="M247" s="19" t="s">
        <v>2036</v>
      </c>
      <c r="N247" s="19">
        <v>10</v>
      </c>
      <c r="O247" s="19" t="s">
        <v>1057</v>
      </c>
      <c r="P247" s="19" t="s">
        <v>2037</v>
      </c>
      <c r="Q247" s="19" t="s">
        <v>923</v>
      </c>
      <c r="R247" s="19" t="s">
        <v>923</v>
      </c>
      <c r="S247" s="19" t="s">
        <v>1121</v>
      </c>
      <c r="T247" s="19" t="s">
        <v>1057</v>
      </c>
      <c r="U247" s="21"/>
      <c r="V247" s="19"/>
      <c r="W247" s="19" t="s">
        <v>245</v>
      </c>
      <c r="X247" s="19" t="s">
        <v>245</v>
      </c>
      <c r="Y247" s="19"/>
      <c r="Z247" s="19" t="s">
        <v>68</v>
      </c>
      <c r="AA247" s="19"/>
      <c r="AB247" s="4">
        <v>45688</v>
      </c>
      <c r="AC247" s="4"/>
      <c r="AD247" s="19"/>
      <c r="AE247" s="19"/>
      <c r="AF247" s="19"/>
      <c r="AG247" s="19"/>
      <c r="AH247" s="19"/>
      <c r="AI247" s="19"/>
      <c r="AJ247" s="19"/>
      <c r="AK247" s="19"/>
      <c r="AL247" s="19"/>
      <c r="AM247" s="19"/>
      <c r="AN247" s="19"/>
      <c r="AO247" s="19"/>
      <c r="AP247" s="19"/>
      <c r="AQ247" s="19"/>
      <c r="AR247" s="19"/>
      <c r="AS247" s="27"/>
    </row>
    <row r="248" spans="1:45">
      <c r="A248" s="19">
        <f t="shared" si="3"/>
        <v>247</v>
      </c>
      <c r="B248" s="20">
        <v>45685</v>
      </c>
      <c r="C248" s="19" t="s">
        <v>1101</v>
      </c>
      <c r="D248" s="19" t="s">
        <v>1216</v>
      </c>
      <c r="E248" s="19">
        <v>20242406</v>
      </c>
      <c r="F248" s="19" t="s">
        <v>2038</v>
      </c>
      <c r="G248" s="19">
        <v>7879196479</v>
      </c>
      <c r="H248" s="19" t="s">
        <v>2039</v>
      </c>
      <c r="I248" s="19" t="s">
        <v>123</v>
      </c>
      <c r="J248" s="19" t="s">
        <v>1681</v>
      </c>
      <c r="K248" s="19" t="s">
        <v>1682</v>
      </c>
      <c r="L248" s="19" t="s">
        <v>1807</v>
      </c>
      <c r="M248" s="19" t="s">
        <v>2040</v>
      </c>
      <c r="N248" s="19">
        <v>15.5</v>
      </c>
      <c r="O248" s="19" t="s">
        <v>1057</v>
      </c>
      <c r="P248" s="19" t="s">
        <v>2041</v>
      </c>
      <c r="Q248" s="19" t="s">
        <v>923</v>
      </c>
      <c r="R248" s="19" t="s">
        <v>923</v>
      </c>
      <c r="S248" s="19" t="s">
        <v>1210</v>
      </c>
      <c r="T248" s="19" t="s">
        <v>1057</v>
      </c>
      <c r="U248" s="21"/>
      <c r="V248" s="19"/>
      <c r="W248" s="19" t="s">
        <v>245</v>
      </c>
      <c r="X248" s="19" t="s">
        <v>245</v>
      </c>
      <c r="Y248" s="19"/>
      <c r="Z248" s="19" t="s">
        <v>68</v>
      </c>
      <c r="AA248" s="19"/>
      <c r="AB248" s="4"/>
      <c r="AC248" s="4"/>
      <c r="AD248" s="19"/>
      <c r="AE248" s="19"/>
      <c r="AF248" s="19"/>
      <c r="AG248" s="19"/>
      <c r="AH248" s="19"/>
      <c r="AI248" s="19"/>
      <c r="AJ248" s="19"/>
      <c r="AK248" s="19"/>
      <c r="AL248" s="19"/>
      <c r="AM248" s="19"/>
      <c r="AN248" s="19"/>
      <c r="AO248" s="19"/>
      <c r="AP248" s="19"/>
      <c r="AQ248" s="19"/>
      <c r="AR248" s="19"/>
      <c r="AS248" s="27"/>
    </row>
    <row r="249" spans="1:45">
      <c r="A249" s="19">
        <f t="shared" si="3"/>
        <v>248</v>
      </c>
      <c r="B249" s="20">
        <v>45685</v>
      </c>
      <c r="C249" s="19" t="s">
        <v>1101</v>
      </c>
      <c r="D249" s="19" t="s">
        <v>1813</v>
      </c>
      <c r="E249" s="19">
        <v>20242406</v>
      </c>
      <c r="F249" s="19" t="s">
        <v>2042</v>
      </c>
      <c r="G249" s="19">
        <v>9100546536</v>
      </c>
      <c r="H249" s="19" t="s">
        <v>2043</v>
      </c>
      <c r="I249" s="19" t="s">
        <v>123</v>
      </c>
      <c r="J249" s="19" t="s">
        <v>1681</v>
      </c>
      <c r="K249" s="19" t="s">
        <v>1682</v>
      </c>
      <c r="L249" s="19" t="s">
        <v>2035</v>
      </c>
      <c r="M249" s="19" t="s">
        <v>2044</v>
      </c>
      <c r="N249" s="19">
        <v>16</v>
      </c>
      <c r="O249" s="19" t="s">
        <v>1057</v>
      </c>
      <c r="P249" s="19" t="s">
        <v>1817</v>
      </c>
      <c r="Q249" s="19" t="s">
        <v>1392</v>
      </c>
      <c r="R249" s="19" t="s">
        <v>923</v>
      </c>
      <c r="S249" s="19" t="s">
        <v>2045</v>
      </c>
      <c r="T249" s="19" t="s">
        <v>2046</v>
      </c>
      <c r="U249" s="21"/>
      <c r="V249" s="19"/>
      <c r="W249" s="19" t="s">
        <v>245</v>
      </c>
      <c r="X249" s="19" t="s">
        <v>245</v>
      </c>
      <c r="Y249" s="19"/>
      <c r="Z249" s="19" t="s">
        <v>68</v>
      </c>
      <c r="AA249" s="19"/>
      <c r="AB249" s="4"/>
      <c r="AC249" s="4"/>
      <c r="AD249" s="19"/>
      <c r="AE249" s="19"/>
      <c r="AF249" s="19"/>
      <c r="AG249" s="19"/>
      <c r="AH249" s="19"/>
      <c r="AI249" s="19"/>
      <c r="AJ249" s="19"/>
      <c r="AK249" s="19"/>
      <c r="AL249" s="19"/>
      <c r="AM249" s="19"/>
      <c r="AN249" s="19"/>
      <c r="AO249" s="19"/>
      <c r="AP249" s="19"/>
      <c r="AQ249" s="19"/>
      <c r="AR249" s="19"/>
      <c r="AS249" s="27"/>
    </row>
    <row r="250" spans="1:45">
      <c r="A250" s="19">
        <f t="shared" si="3"/>
        <v>249</v>
      </c>
      <c r="B250" s="20">
        <v>45685</v>
      </c>
      <c r="C250" s="19" t="s">
        <v>1101</v>
      </c>
      <c r="D250" s="19" t="s">
        <v>1707</v>
      </c>
      <c r="E250" s="19">
        <v>20251977</v>
      </c>
      <c r="F250" s="19" t="s">
        <v>2047</v>
      </c>
      <c r="G250" s="19">
        <v>8237684862</v>
      </c>
      <c r="H250" s="19" t="s">
        <v>2048</v>
      </c>
      <c r="I250" s="19" t="s">
        <v>123</v>
      </c>
      <c r="J250" s="19" t="s">
        <v>1755</v>
      </c>
      <c r="K250" s="19" t="s">
        <v>1099</v>
      </c>
      <c r="L250" s="19" t="s">
        <v>1683</v>
      </c>
      <c r="M250" s="19" t="s">
        <v>2049</v>
      </c>
      <c r="N250" s="19">
        <v>23</v>
      </c>
      <c r="O250" s="19" t="s">
        <v>1057</v>
      </c>
      <c r="P250" s="19" t="s">
        <v>1817</v>
      </c>
      <c r="Q250" s="19" t="s">
        <v>923</v>
      </c>
      <c r="R250" s="19" t="s">
        <v>923</v>
      </c>
      <c r="S250" s="19" t="s">
        <v>2023</v>
      </c>
      <c r="T250" s="19" t="s">
        <v>2050</v>
      </c>
      <c r="U250" s="21"/>
      <c r="V250" s="19"/>
      <c r="W250" s="19" t="s">
        <v>245</v>
      </c>
      <c r="X250" s="19" t="s">
        <v>245</v>
      </c>
      <c r="Y250" s="19"/>
      <c r="Z250" s="19" t="s">
        <v>68</v>
      </c>
      <c r="AA250" s="19"/>
      <c r="AB250" s="4"/>
      <c r="AC250" s="4"/>
      <c r="AD250" s="19"/>
      <c r="AE250" s="19"/>
      <c r="AF250" s="19"/>
      <c r="AG250" s="19"/>
      <c r="AH250" s="19"/>
      <c r="AI250" s="19"/>
      <c r="AJ250" s="19"/>
      <c r="AK250" s="19"/>
      <c r="AL250" s="19"/>
      <c r="AM250" s="19"/>
      <c r="AN250" s="19"/>
      <c r="AO250" s="19"/>
      <c r="AP250" s="19"/>
      <c r="AQ250" s="19"/>
      <c r="AR250" s="19"/>
      <c r="AS250" s="27"/>
    </row>
    <row r="251" spans="1:45">
      <c r="A251" s="19">
        <f t="shared" si="3"/>
        <v>250</v>
      </c>
      <c r="B251" s="20">
        <v>45685</v>
      </c>
      <c r="C251" s="19" t="s">
        <v>1101</v>
      </c>
      <c r="D251" s="19" t="s">
        <v>1102</v>
      </c>
      <c r="E251" s="19">
        <v>20251215</v>
      </c>
      <c r="F251" s="19" t="s">
        <v>2051</v>
      </c>
      <c r="G251" s="19">
        <v>9980882123</v>
      </c>
      <c r="H251" s="19" t="s">
        <v>2052</v>
      </c>
      <c r="I251" s="19" t="s">
        <v>123</v>
      </c>
      <c r="J251" s="19" t="s">
        <v>328</v>
      </c>
      <c r="K251" s="19" t="s">
        <v>1767</v>
      </c>
      <c r="L251" s="19" t="s">
        <v>1192</v>
      </c>
      <c r="M251" s="19" t="s">
        <v>2053</v>
      </c>
      <c r="N251" s="19" t="s">
        <v>2054</v>
      </c>
      <c r="O251" s="19"/>
      <c r="P251" s="19" t="s">
        <v>1517</v>
      </c>
      <c r="Q251" s="19" t="s">
        <v>72</v>
      </c>
      <c r="R251" s="19" t="s">
        <v>72</v>
      </c>
      <c r="S251" s="19" t="s">
        <v>1067</v>
      </c>
      <c r="T251" s="19" t="s">
        <v>858</v>
      </c>
      <c r="U251" s="21">
        <v>45804</v>
      </c>
      <c r="V251" s="19"/>
      <c r="W251" s="19" t="s">
        <v>144</v>
      </c>
      <c r="X251" s="19" t="s">
        <v>144</v>
      </c>
      <c r="Y251" s="19"/>
      <c r="Z251" s="19" t="s">
        <v>68</v>
      </c>
      <c r="AA251" s="19"/>
      <c r="AB251" s="4"/>
      <c r="AC251" s="4"/>
      <c r="AD251" s="19"/>
      <c r="AE251" s="19"/>
      <c r="AF251" s="19"/>
      <c r="AG251" s="19"/>
      <c r="AH251" s="19"/>
      <c r="AI251" s="19"/>
      <c r="AJ251" s="19"/>
      <c r="AK251" s="19"/>
      <c r="AL251" s="19"/>
      <c r="AM251" s="19"/>
      <c r="AN251" s="19"/>
      <c r="AO251" s="19"/>
      <c r="AP251" s="19"/>
      <c r="AQ251" s="19"/>
      <c r="AR251" s="19"/>
      <c r="AS251" s="27"/>
    </row>
    <row r="252" spans="1:45">
      <c r="A252" s="19">
        <f t="shared" si="3"/>
        <v>251</v>
      </c>
      <c r="B252" s="20">
        <v>45685</v>
      </c>
      <c r="C252" s="19" t="s">
        <v>1101</v>
      </c>
      <c r="D252" s="19" t="s">
        <v>1102</v>
      </c>
      <c r="E252" s="19">
        <v>20251215</v>
      </c>
      <c r="F252" s="19" t="s">
        <v>2055</v>
      </c>
      <c r="G252" s="19">
        <v>8019473689</v>
      </c>
      <c r="H252" s="19" t="s">
        <v>2056</v>
      </c>
      <c r="I252" s="19" t="s">
        <v>123</v>
      </c>
      <c r="J252" s="19" t="s">
        <v>328</v>
      </c>
      <c r="K252" s="19" t="s">
        <v>1767</v>
      </c>
      <c r="L252" s="19" t="s">
        <v>1093</v>
      </c>
      <c r="M252" s="19" t="s">
        <v>2057</v>
      </c>
      <c r="N252" s="19" t="s">
        <v>2058</v>
      </c>
      <c r="O252" s="19"/>
      <c r="P252" s="19" t="s">
        <v>1156</v>
      </c>
      <c r="Q252" s="19" t="s">
        <v>714</v>
      </c>
      <c r="R252" s="19" t="s">
        <v>72</v>
      </c>
      <c r="S252" s="19" t="s">
        <v>1059</v>
      </c>
      <c r="T252" s="19" t="s">
        <v>858</v>
      </c>
      <c r="U252" s="21">
        <v>45740</v>
      </c>
      <c r="V252" s="19"/>
      <c r="W252" s="19" t="s">
        <v>144</v>
      </c>
      <c r="X252" s="19" t="s">
        <v>144</v>
      </c>
      <c r="Y252" s="19"/>
      <c r="Z252" s="19" t="s">
        <v>68</v>
      </c>
      <c r="AA252" s="19"/>
      <c r="AB252" s="4"/>
      <c r="AC252" s="4"/>
      <c r="AD252" s="19"/>
      <c r="AE252" s="19"/>
      <c r="AF252" s="19"/>
      <c r="AG252" s="19"/>
      <c r="AH252" s="19"/>
      <c r="AI252" s="19"/>
      <c r="AJ252" s="19"/>
      <c r="AK252" s="19"/>
      <c r="AL252" s="19"/>
      <c r="AM252" s="19"/>
      <c r="AN252" s="19"/>
      <c r="AO252" s="19"/>
      <c r="AP252" s="19"/>
      <c r="AQ252" s="19"/>
      <c r="AR252" s="19"/>
      <c r="AS252" s="27"/>
    </row>
    <row r="253" spans="1:45">
      <c r="A253" s="19">
        <f t="shared" si="3"/>
        <v>252</v>
      </c>
      <c r="B253" s="20">
        <v>45685</v>
      </c>
      <c r="C253" s="19" t="s">
        <v>1101</v>
      </c>
      <c r="D253" s="19" t="s">
        <v>1102</v>
      </c>
      <c r="E253" s="19">
        <v>20251215</v>
      </c>
      <c r="F253" s="19" t="s">
        <v>2059</v>
      </c>
      <c r="G253" s="19">
        <v>7420803760</v>
      </c>
      <c r="H253" s="19" t="s">
        <v>2060</v>
      </c>
      <c r="I253" s="19" t="s">
        <v>123</v>
      </c>
      <c r="J253" s="19" t="s">
        <v>328</v>
      </c>
      <c r="K253" s="19" t="s">
        <v>1767</v>
      </c>
      <c r="L253" s="19" t="s">
        <v>2061</v>
      </c>
      <c r="M253" s="19" t="s">
        <v>2062</v>
      </c>
      <c r="N253" s="19" t="s">
        <v>2063</v>
      </c>
      <c r="O253" s="19"/>
      <c r="P253" s="19" t="s">
        <v>1073</v>
      </c>
      <c r="Q253" s="19" t="s">
        <v>72</v>
      </c>
      <c r="R253" s="19" t="s">
        <v>72</v>
      </c>
      <c r="S253" s="19" t="s">
        <v>1769</v>
      </c>
      <c r="T253" s="19" t="s">
        <v>858</v>
      </c>
      <c r="U253" s="21"/>
      <c r="V253" s="19"/>
      <c r="W253" s="19" t="s">
        <v>144</v>
      </c>
      <c r="X253" s="19" t="s">
        <v>144</v>
      </c>
      <c r="Y253" s="19"/>
      <c r="Z253" s="19" t="s">
        <v>68</v>
      </c>
      <c r="AA253" s="19"/>
      <c r="AB253" s="4"/>
      <c r="AC253" s="4"/>
      <c r="AD253" s="19"/>
      <c r="AE253" s="19"/>
      <c r="AF253" s="19"/>
      <c r="AG253" s="19"/>
      <c r="AH253" s="19"/>
      <c r="AI253" s="19"/>
      <c r="AJ253" s="19"/>
      <c r="AK253" s="19"/>
      <c r="AL253" s="19"/>
      <c r="AM253" s="19"/>
      <c r="AN253" s="19"/>
      <c r="AO253" s="19"/>
      <c r="AP253" s="19"/>
      <c r="AQ253" s="19"/>
      <c r="AR253" s="19"/>
      <c r="AS253" s="27"/>
    </row>
    <row r="254" spans="1:45">
      <c r="A254" s="19">
        <f t="shared" si="3"/>
        <v>253</v>
      </c>
      <c r="B254" s="20">
        <v>45685</v>
      </c>
      <c r="C254" s="19" t="s">
        <v>1101</v>
      </c>
      <c r="D254" s="19" t="s">
        <v>1102</v>
      </c>
      <c r="E254" s="19">
        <v>20251215</v>
      </c>
      <c r="F254" s="19" t="s">
        <v>2064</v>
      </c>
      <c r="G254" s="19" t="s">
        <v>2065</v>
      </c>
      <c r="H254" s="19" t="s">
        <v>2066</v>
      </c>
      <c r="I254" s="19" t="s">
        <v>123</v>
      </c>
      <c r="J254" s="19" t="s">
        <v>328</v>
      </c>
      <c r="K254" s="19" t="s">
        <v>1767</v>
      </c>
      <c r="L254" s="19" t="s">
        <v>2067</v>
      </c>
      <c r="M254" s="19" t="s">
        <v>2068</v>
      </c>
      <c r="N254" s="19" t="s">
        <v>2069</v>
      </c>
      <c r="O254" s="19"/>
      <c r="P254" s="19" t="s">
        <v>1238</v>
      </c>
      <c r="Q254" s="19" t="s">
        <v>72</v>
      </c>
      <c r="R254" s="19" t="s">
        <v>72</v>
      </c>
      <c r="S254" s="19" t="s">
        <v>1769</v>
      </c>
      <c r="T254" s="19" t="s">
        <v>858</v>
      </c>
      <c r="U254" s="21"/>
      <c r="V254" s="19"/>
      <c r="W254" s="19" t="s">
        <v>144</v>
      </c>
      <c r="X254" s="19" t="s">
        <v>144</v>
      </c>
      <c r="Y254" s="19"/>
      <c r="Z254" s="19" t="s">
        <v>68</v>
      </c>
      <c r="AA254" s="19"/>
      <c r="AB254" s="4"/>
      <c r="AC254" s="4"/>
      <c r="AD254" s="19"/>
      <c r="AE254" s="19"/>
      <c r="AF254" s="19"/>
      <c r="AG254" s="19"/>
      <c r="AH254" s="19"/>
      <c r="AI254" s="19"/>
      <c r="AJ254" s="19"/>
      <c r="AK254" s="19"/>
      <c r="AL254" s="19"/>
      <c r="AM254" s="19"/>
      <c r="AN254" s="19"/>
      <c r="AO254" s="19"/>
      <c r="AP254" s="19"/>
      <c r="AQ254" s="19"/>
      <c r="AR254" s="19"/>
      <c r="AS254" s="27"/>
    </row>
    <row r="255" spans="1:45">
      <c r="A255" s="19">
        <f t="shared" si="3"/>
        <v>254</v>
      </c>
      <c r="B255" s="20">
        <v>45685</v>
      </c>
      <c r="C255" s="19" t="s">
        <v>1101</v>
      </c>
      <c r="D255" s="19" t="s">
        <v>1160</v>
      </c>
      <c r="E255" s="19">
        <v>20251215</v>
      </c>
      <c r="F255" s="19" t="s">
        <v>2070</v>
      </c>
      <c r="G255" s="19">
        <v>9890386580</v>
      </c>
      <c r="H255" s="19" t="s">
        <v>2071</v>
      </c>
      <c r="I255" s="19" t="s">
        <v>123</v>
      </c>
      <c r="J255" s="19" t="s">
        <v>328</v>
      </c>
      <c r="K255" s="19" t="s">
        <v>1767</v>
      </c>
      <c r="L255" s="19" t="s">
        <v>1664</v>
      </c>
      <c r="M255" s="19" t="s">
        <v>2072</v>
      </c>
      <c r="N255" s="19" t="s">
        <v>1191</v>
      </c>
      <c r="O255" s="19"/>
      <c r="P255" s="19" t="s">
        <v>1090</v>
      </c>
      <c r="Q255" s="19" t="s">
        <v>72</v>
      </c>
      <c r="R255" s="19" t="s">
        <v>72</v>
      </c>
      <c r="S255" s="19" t="s">
        <v>1769</v>
      </c>
      <c r="T255" s="19" t="s">
        <v>858</v>
      </c>
      <c r="U255" s="21"/>
      <c r="V255" s="19"/>
      <c r="W255" s="19" t="s">
        <v>144</v>
      </c>
      <c r="X255" s="19" t="s">
        <v>144</v>
      </c>
      <c r="Y255" s="19"/>
      <c r="Z255" s="19" t="s">
        <v>68</v>
      </c>
      <c r="AA255" s="19"/>
      <c r="AB255" s="4"/>
      <c r="AC255" s="4"/>
      <c r="AD255" s="19"/>
      <c r="AE255" s="19"/>
      <c r="AF255" s="19"/>
      <c r="AG255" s="19"/>
      <c r="AH255" s="19"/>
      <c r="AI255" s="19"/>
      <c r="AJ255" s="19"/>
      <c r="AK255" s="19"/>
      <c r="AL255" s="19"/>
      <c r="AM255" s="19"/>
      <c r="AN255" s="19"/>
      <c r="AO255" s="19"/>
      <c r="AP255" s="19"/>
      <c r="AQ255" s="19"/>
      <c r="AR255" s="19"/>
      <c r="AS255" s="27"/>
    </row>
    <row r="256" spans="1:45">
      <c r="A256" s="19">
        <f t="shared" si="3"/>
        <v>255</v>
      </c>
      <c r="B256" s="20">
        <v>45685</v>
      </c>
      <c r="C256" s="19" t="s">
        <v>1101</v>
      </c>
      <c r="D256" s="19" t="s">
        <v>1160</v>
      </c>
      <c r="E256" s="19">
        <v>20251215</v>
      </c>
      <c r="F256" s="19" t="s">
        <v>2073</v>
      </c>
      <c r="G256" s="19">
        <v>9604554277</v>
      </c>
      <c r="H256" s="19" t="s">
        <v>2074</v>
      </c>
      <c r="I256" s="19" t="s">
        <v>123</v>
      </c>
      <c r="J256" s="19" t="s">
        <v>328</v>
      </c>
      <c r="K256" s="19" t="s">
        <v>1767</v>
      </c>
      <c r="L256" s="19" t="s">
        <v>1664</v>
      </c>
      <c r="M256" s="19" t="s">
        <v>2075</v>
      </c>
      <c r="N256" s="19">
        <v>10.25</v>
      </c>
      <c r="O256" s="19"/>
      <c r="P256" s="19" t="s">
        <v>1540</v>
      </c>
      <c r="Q256" s="19" t="s">
        <v>72</v>
      </c>
      <c r="R256" s="19" t="s">
        <v>72</v>
      </c>
      <c r="S256" s="19" t="s">
        <v>1783</v>
      </c>
      <c r="T256" s="19" t="s">
        <v>858</v>
      </c>
      <c r="U256" s="21"/>
      <c r="V256" s="19"/>
      <c r="W256" s="19" t="s">
        <v>144</v>
      </c>
      <c r="X256" s="19" t="s">
        <v>144</v>
      </c>
      <c r="Y256" s="19"/>
      <c r="Z256" s="19" t="s">
        <v>68</v>
      </c>
      <c r="AA256" s="19"/>
      <c r="AB256" s="4"/>
      <c r="AC256" s="4"/>
      <c r="AD256" s="19"/>
      <c r="AE256" s="19"/>
      <c r="AF256" s="19"/>
      <c r="AG256" s="19"/>
      <c r="AH256" s="19"/>
      <c r="AI256" s="19"/>
      <c r="AJ256" s="19"/>
      <c r="AK256" s="19"/>
      <c r="AL256" s="19"/>
      <c r="AM256" s="19"/>
      <c r="AN256" s="19"/>
      <c r="AO256" s="19"/>
      <c r="AP256" s="19"/>
      <c r="AQ256" s="19"/>
      <c r="AR256" s="19"/>
      <c r="AS256" s="27"/>
    </row>
    <row r="257" spans="1:45">
      <c r="A257" s="19">
        <f t="shared" si="3"/>
        <v>256</v>
      </c>
      <c r="B257" s="20">
        <v>45685</v>
      </c>
      <c r="C257" s="19" t="s">
        <v>1101</v>
      </c>
      <c r="D257" s="19" t="s">
        <v>1432</v>
      </c>
      <c r="E257" s="19">
        <v>20252855</v>
      </c>
      <c r="F257" s="19" t="s">
        <v>2076</v>
      </c>
      <c r="G257" s="19">
        <v>7083399241</v>
      </c>
      <c r="H257" s="19" t="s">
        <v>2077</v>
      </c>
      <c r="I257" s="19" t="s">
        <v>123</v>
      </c>
      <c r="J257" s="19" t="s">
        <v>276</v>
      </c>
      <c r="K257" s="19" t="s">
        <v>228</v>
      </c>
      <c r="L257" s="19" t="s">
        <v>1328</v>
      </c>
      <c r="M257" s="19" t="s">
        <v>2078</v>
      </c>
      <c r="N257" s="19" t="s">
        <v>2079</v>
      </c>
      <c r="O257" s="19"/>
      <c r="P257" s="19" t="s">
        <v>1285</v>
      </c>
      <c r="Q257" s="19" t="s">
        <v>72</v>
      </c>
      <c r="R257" s="19" t="s">
        <v>72</v>
      </c>
      <c r="S257" s="19" t="s">
        <v>1092</v>
      </c>
      <c r="T257" s="19" t="s">
        <v>858</v>
      </c>
      <c r="U257" s="21"/>
      <c r="V257" s="19"/>
      <c r="W257" s="19" t="s">
        <v>144</v>
      </c>
      <c r="X257" s="19" t="s">
        <v>144</v>
      </c>
      <c r="Y257" s="19"/>
      <c r="Z257" s="19" t="s">
        <v>68</v>
      </c>
      <c r="AA257" s="19"/>
      <c r="AB257" s="4"/>
      <c r="AC257" s="4"/>
      <c r="AD257" s="19"/>
      <c r="AE257" s="19"/>
      <c r="AF257" s="19"/>
      <c r="AG257" s="19"/>
      <c r="AH257" s="19"/>
      <c r="AI257" s="19"/>
      <c r="AJ257" s="19"/>
      <c r="AK257" s="19"/>
      <c r="AL257" s="19"/>
      <c r="AM257" s="19"/>
      <c r="AN257" s="19"/>
      <c r="AO257" s="19"/>
      <c r="AP257" s="19"/>
      <c r="AQ257" s="19"/>
      <c r="AR257" s="19"/>
      <c r="AS257" s="27"/>
    </row>
    <row r="258" spans="1:45">
      <c r="A258" s="19">
        <f t="shared" si="3"/>
        <v>257</v>
      </c>
      <c r="B258" s="20">
        <v>45685</v>
      </c>
      <c r="C258" s="19" t="s">
        <v>1101</v>
      </c>
      <c r="D258" s="19" t="s">
        <v>1432</v>
      </c>
      <c r="E258" s="19">
        <v>20252855</v>
      </c>
      <c r="F258" s="19" t="s">
        <v>2080</v>
      </c>
      <c r="G258" s="19">
        <v>9781039139</v>
      </c>
      <c r="H258" s="19" t="s">
        <v>2081</v>
      </c>
      <c r="I258" s="19" t="s">
        <v>123</v>
      </c>
      <c r="J258" s="19" t="s">
        <v>276</v>
      </c>
      <c r="K258" s="19" t="s">
        <v>228</v>
      </c>
      <c r="L258" s="19" t="s">
        <v>1465</v>
      </c>
      <c r="M258" s="19" t="s">
        <v>2082</v>
      </c>
      <c r="N258" s="19" t="s">
        <v>2083</v>
      </c>
      <c r="O258" s="19"/>
      <c r="P258" s="19" t="s">
        <v>2084</v>
      </c>
      <c r="Q258" s="19" t="s">
        <v>72</v>
      </c>
      <c r="R258" s="19" t="s">
        <v>72</v>
      </c>
      <c r="S258" s="19" t="s">
        <v>2085</v>
      </c>
      <c r="T258" s="19" t="s">
        <v>858</v>
      </c>
      <c r="U258" s="21"/>
      <c r="V258" s="19"/>
      <c r="W258" s="19" t="s">
        <v>144</v>
      </c>
      <c r="X258" s="19" t="s">
        <v>144</v>
      </c>
      <c r="Y258" s="19"/>
      <c r="Z258" s="19" t="s">
        <v>68</v>
      </c>
      <c r="AA258" s="19"/>
      <c r="AB258" s="4"/>
      <c r="AC258" s="4"/>
      <c r="AD258" s="19"/>
      <c r="AE258" s="19"/>
      <c r="AF258" s="19"/>
      <c r="AG258" s="19"/>
      <c r="AH258" s="19"/>
      <c r="AI258" s="19"/>
      <c r="AJ258" s="19"/>
      <c r="AK258" s="19"/>
      <c r="AL258" s="19"/>
      <c r="AM258" s="19"/>
      <c r="AN258" s="19"/>
      <c r="AO258" s="19"/>
      <c r="AP258" s="19"/>
      <c r="AQ258" s="19"/>
      <c r="AR258" s="19"/>
      <c r="AS258" s="27"/>
    </row>
    <row r="259" spans="1:45">
      <c r="A259" s="19">
        <f t="shared" ref="A259:A322" si="4">A258+1</f>
        <v>258</v>
      </c>
      <c r="B259" s="20">
        <v>45685</v>
      </c>
      <c r="C259" s="19" t="s">
        <v>1101</v>
      </c>
      <c r="D259" s="19" t="s">
        <v>1102</v>
      </c>
      <c r="E259" s="19">
        <v>20252855</v>
      </c>
      <c r="F259" s="19" t="s">
        <v>2086</v>
      </c>
      <c r="G259" s="19" t="s">
        <v>2087</v>
      </c>
      <c r="H259" s="19" t="s">
        <v>2088</v>
      </c>
      <c r="I259" s="19" t="s">
        <v>123</v>
      </c>
      <c r="J259" s="19" t="s">
        <v>276</v>
      </c>
      <c r="K259" s="19" t="s">
        <v>228</v>
      </c>
      <c r="L259" s="19" t="s">
        <v>1063</v>
      </c>
      <c r="M259" s="19" t="s">
        <v>2089</v>
      </c>
      <c r="N259" s="19" t="s">
        <v>2090</v>
      </c>
      <c r="O259" s="19"/>
      <c r="P259" s="19" t="s">
        <v>1090</v>
      </c>
      <c r="Q259" s="19" t="s">
        <v>2091</v>
      </c>
      <c r="R259" s="19" t="s">
        <v>72</v>
      </c>
      <c r="S259" s="19" t="s">
        <v>1769</v>
      </c>
      <c r="T259" s="19" t="s">
        <v>858</v>
      </c>
      <c r="U259" s="21"/>
      <c r="V259" s="19"/>
      <c r="W259" s="19" t="s">
        <v>144</v>
      </c>
      <c r="X259" s="19" t="s">
        <v>144</v>
      </c>
      <c r="Y259" s="19"/>
      <c r="Z259" s="19" t="s">
        <v>68</v>
      </c>
      <c r="AA259" s="19"/>
      <c r="AB259" s="4"/>
      <c r="AC259" s="4"/>
      <c r="AD259" s="19"/>
      <c r="AE259" s="19"/>
      <c r="AF259" s="19"/>
      <c r="AG259" s="19"/>
      <c r="AH259" s="19"/>
      <c r="AI259" s="19"/>
      <c r="AJ259" s="19"/>
      <c r="AK259" s="19"/>
      <c r="AL259" s="19"/>
      <c r="AM259" s="19"/>
      <c r="AN259" s="19"/>
      <c r="AO259" s="19"/>
      <c r="AP259" s="19"/>
      <c r="AQ259" s="19"/>
      <c r="AR259" s="19"/>
      <c r="AS259" s="27"/>
    </row>
    <row r="260" spans="1:45">
      <c r="A260" s="19">
        <f t="shared" si="4"/>
        <v>259</v>
      </c>
      <c r="B260" s="20">
        <v>45685</v>
      </c>
      <c r="C260" s="19" t="s">
        <v>1101</v>
      </c>
      <c r="D260" s="19" t="s">
        <v>1432</v>
      </c>
      <c r="E260" s="19">
        <v>20252855</v>
      </c>
      <c r="F260" s="19" t="s">
        <v>2092</v>
      </c>
      <c r="G260" s="19">
        <v>9650445756</v>
      </c>
      <c r="H260" s="19" t="s">
        <v>2093</v>
      </c>
      <c r="I260" s="19" t="s">
        <v>123</v>
      </c>
      <c r="J260" s="19" t="s">
        <v>276</v>
      </c>
      <c r="K260" s="19" t="s">
        <v>228</v>
      </c>
      <c r="L260" s="19" t="s">
        <v>2094</v>
      </c>
      <c r="M260" s="19" t="s">
        <v>2095</v>
      </c>
      <c r="N260" s="19" t="s">
        <v>2096</v>
      </c>
      <c r="O260" s="19"/>
      <c r="P260" s="19" t="s">
        <v>1084</v>
      </c>
      <c r="Q260" s="19" t="s">
        <v>1512</v>
      </c>
      <c r="R260" s="19" t="s">
        <v>72</v>
      </c>
      <c r="S260" s="19" t="s">
        <v>1092</v>
      </c>
      <c r="T260" s="19" t="s">
        <v>858</v>
      </c>
      <c r="U260" s="21"/>
      <c r="V260" s="19"/>
      <c r="W260" s="19" t="s">
        <v>144</v>
      </c>
      <c r="X260" s="19" t="s">
        <v>144</v>
      </c>
      <c r="Y260" s="19"/>
      <c r="Z260" s="19" t="s">
        <v>68</v>
      </c>
      <c r="AA260" s="19"/>
      <c r="AB260" s="4"/>
      <c r="AC260" s="4"/>
      <c r="AD260" s="19"/>
      <c r="AE260" s="19"/>
      <c r="AF260" s="19"/>
      <c r="AG260" s="19"/>
      <c r="AH260" s="19"/>
      <c r="AI260" s="19"/>
      <c r="AJ260" s="19"/>
      <c r="AK260" s="19"/>
      <c r="AL260" s="19"/>
      <c r="AM260" s="19"/>
      <c r="AN260" s="19"/>
      <c r="AO260" s="19"/>
      <c r="AP260" s="19"/>
      <c r="AQ260" s="19"/>
      <c r="AR260" s="19"/>
      <c r="AS260" s="27"/>
    </row>
    <row r="261" spans="1:45">
      <c r="A261" s="19">
        <f t="shared" si="4"/>
        <v>260</v>
      </c>
      <c r="B261" s="20">
        <v>45685</v>
      </c>
      <c r="C261" s="19" t="s">
        <v>1101</v>
      </c>
      <c r="D261" s="19" t="s">
        <v>1102</v>
      </c>
      <c r="E261" s="19">
        <v>20252855</v>
      </c>
      <c r="F261" s="19" t="s">
        <v>2097</v>
      </c>
      <c r="G261" s="19">
        <v>7276606590</v>
      </c>
      <c r="H261" s="19" t="s">
        <v>2098</v>
      </c>
      <c r="I261" s="19" t="s">
        <v>123</v>
      </c>
      <c r="J261" s="19" t="s">
        <v>276</v>
      </c>
      <c r="K261" s="19" t="s">
        <v>228</v>
      </c>
      <c r="L261" s="19" t="s">
        <v>2099</v>
      </c>
      <c r="M261" s="19" t="s">
        <v>2100</v>
      </c>
      <c r="N261" s="19" t="s">
        <v>2101</v>
      </c>
      <c r="O261" s="19"/>
      <c r="P261" s="19" t="s">
        <v>1090</v>
      </c>
      <c r="Q261" s="19" t="s">
        <v>72</v>
      </c>
      <c r="R261" s="19" t="s">
        <v>72</v>
      </c>
      <c r="S261" s="19" t="s">
        <v>2102</v>
      </c>
      <c r="T261" s="19" t="s">
        <v>858</v>
      </c>
      <c r="U261" s="21"/>
      <c r="V261" s="19"/>
      <c r="W261" s="19" t="s">
        <v>144</v>
      </c>
      <c r="X261" s="19" t="s">
        <v>144</v>
      </c>
      <c r="Y261" s="19"/>
      <c r="Z261" s="19" t="s">
        <v>68</v>
      </c>
      <c r="AA261" s="19"/>
      <c r="AB261" s="4"/>
      <c r="AC261" s="4"/>
      <c r="AD261" s="19"/>
      <c r="AE261" s="19"/>
      <c r="AF261" s="19"/>
      <c r="AG261" s="19"/>
      <c r="AH261" s="19"/>
      <c r="AI261" s="19"/>
      <c r="AJ261" s="19"/>
      <c r="AK261" s="19"/>
      <c r="AL261" s="19"/>
      <c r="AM261" s="19"/>
      <c r="AN261" s="19"/>
      <c r="AO261" s="19"/>
      <c r="AP261" s="19"/>
      <c r="AQ261" s="19"/>
      <c r="AR261" s="19"/>
      <c r="AS261" s="27"/>
    </row>
    <row r="262" spans="1:45">
      <c r="A262" s="19">
        <f t="shared" si="4"/>
        <v>261</v>
      </c>
      <c r="B262" s="20">
        <v>45686</v>
      </c>
      <c r="C262" s="19" t="s">
        <v>1101</v>
      </c>
      <c r="D262" s="19" t="s">
        <v>1216</v>
      </c>
      <c r="E262" s="19">
        <v>20245321</v>
      </c>
      <c r="F262" s="19" t="s">
        <v>2103</v>
      </c>
      <c r="G262" s="19">
        <v>7972675890</v>
      </c>
      <c r="H262" s="19" t="s">
        <v>2104</v>
      </c>
      <c r="I262" s="19" t="s">
        <v>86</v>
      </c>
      <c r="J262" s="19" t="s">
        <v>114</v>
      </c>
      <c r="K262" s="19" t="s">
        <v>1105</v>
      </c>
      <c r="L262" s="19">
        <v>10</v>
      </c>
      <c r="M262" s="19" t="s">
        <v>2105</v>
      </c>
      <c r="N262" s="19">
        <v>18</v>
      </c>
      <c r="O262" s="19">
        <v>0</v>
      </c>
      <c r="P262" s="19">
        <v>23</v>
      </c>
      <c r="Q262" s="19" t="s">
        <v>2106</v>
      </c>
      <c r="R262" s="19" t="s">
        <v>72</v>
      </c>
      <c r="S262" s="19" t="s">
        <v>1139</v>
      </c>
      <c r="T262" s="19" t="s">
        <v>1057</v>
      </c>
      <c r="U262" s="21"/>
      <c r="V262" s="19"/>
      <c r="W262" s="19" t="s">
        <v>74</v>
      </c>
      <c r="X262" s="19" t="s">
        <v>74</v>
      </c>
      <c r="Y262" s="19" t="s">
        <v>70</v>
      </c>
      <c r="Z262" s="19" t="s">
        <v>68</v>
      </c>
      <c r="AA262" s="4">
        <v>45686</v>
      </c>
      <c r="AB262" s="4">
        <v>45686</v>
      </c>
      <c r="AC262" s="4">
        <v>45686</v>
      </c>
      <c r="AD262" s="19"/>
      <c r="AE262" s="19"/>
      <c r="AF262" s="19"/>
      <c r="AG262" s="19"/>
      <c r="AH262" s="19"/>
      <c r="AI262" s="19"/>
      <c r="AJ262" s="19"/>
      <c r="AK262" s="19"/>
      <c r="AL262" s="19"/>
      <c r="AM262" s="19"/>
      <c r="AN262" s="19"/>
      <c r="AO262" s="19"/>
      <c r="AP262" s="19"/>
      <c r="AQ262" s="19"/>
      <c r="AR262" s="19"/>
      <c r="AS262" s="27"/>
    </row>
    <row r="263" spans="1:45">
      <c r="A263" s="19">
        <f t="shared" si="4"/>
        <v>262</v>
      </c>
      <c r="B263" s="20">
        <v>45686</v>
      </c>
      <c r="C263" s="19" t="s">
        <v>1101</v>
      </c>
      <c r="D263" s="19" t="s">
        <v>1102</v>
      </c>
      <c r="E263" s="19">
        <v>20245321</v>
      </c>
      <c r="F263" s="19" t="s">
        <v>2107</v>
      </c>
      <c r="G263" s="19">
        <v>9370313151</v>
      </c>
      <c r="H263" s="19" t="s">
        <v>2108</v>
      </c>
      <c r="I263" s="19" t="s">
        <v>123</v>
      </c>
      <c r="J263" s="19" t="s">
        <v>114</v>
      </c>
      <c r="K263" s="19" t="s">
        <v>1105</v>
      </c>
      <c r="L263" s="19">
        <v>9</v>
      </c>
      <c r="M263" s="19" t="s">
        <v>2109</v>
      </c>
      <c r="N263" s="19">
        <v>10.199999999999999</v>
      </c>
      <c r="O263" s="19">
        <v>0</v>
      </c>
      <c r="P263" s="19">
        <v>16</v>
      </c>
      <c r="Q263" s="19" t="s">
        <v>1091</v>
      </c>
      <c r="R263" s="19" t="s">
        <v>72</v>
      </c>
      <c r="S263" s="19" t="s">
        <v>2110</v>
      </c>
      <c r="T263" s="19" t="s">
        <v>1057</v>
      </c>
      <c r="U263" s="21"/>
      <c r="V263" s="19"/>
      <c r="W263" s="19" t="s">
        <v>74</v>
      </c>
      <c r="X263" s="19" t="s">
        <v>74</v>
      </c>
      <c r="Y263" s="19" t="s">
        <v>70</v>
      </c>
      <c r="Z263" s="19" t="s">
        <v>68</v>
      </c>
      <c r="AA263" s="4">
        <v>45686</v>
      </c>
      <c r="AB263" s="4">
        <v>45688</v>
      </c>
      <c r="AC263" s="4">
        <v>45688</v>
      </c>
      <c r="AD263" s="19"/>
      <c r="AE263" s="19"/>
      <c r="AF263" s="19"/>
      <c r="AG263" s="19"/>
      <c r="AH263" s="19"/>
      <c r="AI263" s="19"/>
      <c r="AJ263" s="19"/>
      <c r="AK263" s="19"/>
      <c r="AL263" s="19"/>
      <c r="AM263" s="19"/>
      <c r="AN263" s="19"/>
      <c r="AO263" s="19"/>
      <c r="AP263" s="19"/>
      <c r="AQ263" s="19"/>
      <c r="AR263" s="19"/>
      <c r="AS263" s="27"/>
    </row>
    <row r="264" spans="1:45">
      <c r="A264" s="19">
        <f t="shared" si="4"/>
        <v>263</v>
      </c>
      <c r="B264" s="20">
        <v>45686</v>
      </c>
      <c r="C264" s="19" t="s">
        <v>1101</v>
      </c>
      <c r="D264" s="19" t="s">
        <v>1102</v>
      </c>
      <c r="E264" s="19">
        <v>20245321</v>
      </c>
      <c r="F264" s="19" t="s">
        <v>2111</v>
      </c>
      <c r="G264" s="19">
        <v>7008856452</v>
      </c>
      <c r="H264" s="19" t="s">
        <v>2112</v>
      </c>
      <c r="I264" s="19" t="s">
        <v>123</v>
      </c>
      <c r="J264" s="19" t="s">
        <v>114</v>
      </c>
      <c r="K264" s="19" t="s">
        <v>1105</v>
      </c>
      <c r="L264" s="19">
        <v>5.2</v>
      </c>
      <c r="M264" s="19" t="s">
        <v>2113</v>
      </c>
      <c r="N264" s="19">
        <v>8</v>
      </c>
      <c r="O264" s="19">
        <v>0</v>
      </c>
      <c r="P264" s="19">
        <v>14</v>
      </c>
      <c r="Q264" s="19" t="s">
        <v>2114</v>
      </c>
      <c r="R264" s="19" t="s">
        <v>72</v>
      </c>
      <c r="S264" s="19" t="s">
        <v>2115</v>
      </c>
      <c r="T264" s="19" t="s">
        <v>1057</v>
      </c>
      <c r="U264" s="21"/>
      <c r="V264" s="19"/>
      <c r="W264" s="19" t="s">
        <v>74</v>
      </c>
      <c r="X264" s="19" t="s">
        <v>74</v>
      </c>
      <c r="Y264" s="19" t="s">
        <v>70</v>
      </c>
      <c r="Z264" s="19" t="s">
        <v>68</v>
      </c>
      <c r="AA264" s="4">
        <v>45686</v>
      </c>
      <c r="AB264" s="4">
        <v>45691</v>
      </c>
      <c r="AC264" s="4">
        <v>45691</v>
      </c>
      <c r="AD264" s="19"/>
      <c r="AE264" s="19"/>
      <c r="AF264" s="19"/>
      <c r="AG264" s="19"/>
      <c r="AH264" s="19"/>
      <c r="AI264" s="19"/>
      <c r="AJ264" s="19"/>
      <c r="AK264" s="19"/>
      <c r="AL264" s="19"/>
      <c r="AM264" s="19"/>
      <c r="AN264" s="19"/>
      <c r="AO264" s="19"/>
      <c r="AP264" s="19"/>
      <c r="AQ264" s="19"/>
      <c r="AR264" s="19"/>
      <c r="AS264" s="27"/>
    </row>
    <row r="265" spans="1:45">
      <c r="A265" s="19">
        <f t="shared" si="4"/>
        <v>264</v>
      </c>
      <c r="B265" s="20">
        <v>45686</v>
      </c>
      <c r="C265" s="19" t="s">
        <v>1101</v>
      </c>
      <c r="D265" s="19" t="s">
        <v>1102</v>
      </c>
      <c r="E265" s="19">
        <v>20245321</v>
      </c>
      <c r="F265" s="19" t="s">
        <v>2116</v>
      </c>
      <c r="G265" s="19" t="s">
        <v>2117</v>
      </c>
      <c r="H265" s="19" t="s">
        <v>2118</v>
      </c>
      <c r="I265" s="19" t="s">
        <v>86</v>
      </c>
      <c r="J265" s="19" t="s">
        <v>114</v>
      </c>
      <c r="K265" s="19" t="s">
        <v>1105</v>
      </c>
      <c r="L265" s="19">
        <v>9.1</v>
      </c>
      <c r="M265" s="19" t="s">
        <v>2119</v>
      </c>
      <c r="N265" s="19">
        <v>24</v>
      </c>
      <c r="O265" s="19">
        <v>0</v>
      </c>
      <c r="P265" s="19">
        <v>0.3</v>
      </c>
      <c r="Q265" s="19" t="s">
        <v>72</v>
      </c>
      <c r="R265" s="19" t="s">
        <v>72</v>
      </c>
      <c r="S265" s="19" t="s">
        <v>2120</v>
      </c>
      <c r="T265" s="19" t="s">
        <v>1057</v>
      </c>
      <c r="U265" s="21"/>
      <c r="V265" s="19"/>
      <c r="W265" s="19" t="s">
        <v>74</v>
      </c>
      <c r="X265" s="19" t="s">
        <v>74</v>
      </c>
      <c r="Y265" s="19" t="s">
        <v>70</v>
      </c>
      <c r="Z265" s="19" t="s">
        <v>68</v>
      </c>
      <c r="AA265" s="4">
        <v>45686</v>
      </c>
      <c r="AB265" s="4">
        <v>45692</v>
      </c>
      <c r="AC265" s="4">
        <v>45692</v>
      </c>
      <c r="AD265" s="19"/>
      <c r="AE265" s="19"/>
      <c r="AF265" s="19"/>
      <c r="AG265" s="19"/>
      <c r="AH265" s="19"/>
      <c r="AI265" s="19"/>
      <c r="AJ265" s="19"/>
      <c r="AK265" s="19"/>
      <c r="AL265" s="19"/>
      <c r="AM265" s="19"/>
      <c r="AN265" s="19"/>
      <c r="AO265" s="19"/>
      <c r="AP265" s="19"/>
      <c r="AQ265" s="19"/>
      <c r="AR265" s="19"/>
      <c r="AS265" s="27"/>
    </row>
    <row r="266" spans="1:45">
      <c r="A266" s="19">
        <f t="shared" si="4"/>
        <v>265</v>
      </c>
      <c r="B266" s="20">
        <v>45686</v>
      </c>
      <c r="C266" s="19" t="s">
        <v>1101</v>
      </c>
      <c r="D266" s="19" t="s">
        <v>1216</v>
      </c>
      <c r="E266" s="19" t="s">
        <v>601</v>
      </c>
      <c r="F266" s="19" t="s">
        <v>2121</v>
      </c>
      <c r="G266" s="19">
        <v>9921994025</v>
      </c>
      <c r="H266" s="19" t="s">
        <v>2122</v>
      </c>
      <c r="I266" s="19" t="s">
        <v>123</v>
      </c>
      <c r="J266" s="19" t="s">
        <v>602</v>
      </c>
      <c r="K266" s="19" t="s">
        <v>438</v>
      </c>
      <c r="L266" s="19" t="s">
        <v>1423</v>
      </c>
      <c r="M266" s="19" t="s">
        <v>2123</v>
      </c>
      <c r="N266" s="19">
        <v>14.2</v>
      </c>
      <c r="O266" s="19" t="s">
        <v>1057</v>
      </c>
      <c r="P266" s="19" t="s">
        <v>1817</v>
      </c>
      <c r="Q266" s="19" t="s">
        <v>923</v>
      </c>
      <c r="R266" s="19" t="s">
        <v>923</v>
      </c>
      <c r="S266" s="19" t="s">
        <v>1626</v>
      </c>
      <c r="T266" s="19" t="s">
        <v>1057</v>
      </c>
      <c r="U266" s="21"/>
      <c r="V266" s="19"/>
      <c r="W266" s="19" t="s">
        <v>245</v>
      </c>
      <c r="X266" s="19" t="s">
        <v>245</v>
      </c>
      <c r="Y266" s="19"/>
      <c r="Z266" s="19" t="s">
        <v>68</v>
      </c>
      <c r="AA266" s="4"/>
      <c r="AB266" s="4">
        <v>45932</v>
      </c>
      <c r="AC266" s="4"/>
      <c r="AD266" s="19"/>
      <c r="AE266" s="19"/>
      <c r="AF266" s="19"/>
      <c r="AG266" s="19"/>
      <c r="AH266" s="19"/>
      <c r="AI266" s="19"/>
      <c r="AJ266" s="19"/>
      <c r="AK266" s="19"/>
      <c r="AL266" s="19"/>
      <c r="AM266" s="19"/>
      <c r="AN266" s="19"/>
      <c r="AO266" s="19"/>
      <c r="AP266" s="19"/>
      <c r="AQ266" s="19"/>
      <c r="AR266" s="19"/>
      <c r="AS266" s="27"/>
    </row>
    <row r="267" spans="1:45">
      <c r="A267" s="19">
        <f t="shared" si="4"/>
        <v>266</v>
      </c>
      <c r="B267" s="20">
        <v>45686</v>
      </c>
      <c r="C267" s="19" t="s">
        <v>1101</v>
      </c>
      <c r="D267" s="19" t="s">
        <v>1707</v>
      </c>
      <c r="E267" s="19" t="s">
        <v>601</v>
      </c>
      <c r="F267" s="19" t="s">
        <v>2124</v>
      </c>
      <c r="G267" s="19">
        <v>8149936366</v>
      </c>
      <c r="H267" s="19" t="s">
        <v>2125</v>
      </c>
      <c r="I267" s="19" t="s">
        <v>123</v>
      </c>
      <c r="J267" s="19" t="s">
        <v>602</v>
      </c>
      <c r="K267" s="19" t="s">
        <v>438</v>
      </c>
      <c r="L267" s="19" t="s">
        <v>1786</v>
      </c>
      <c r="M267" s="19" t="s">
        <v>2126</v>
      </c>
      <c r="N267" s="19">
        <v>12.7</v>
      </c>
      <c r="O267" s="19" t="s">
        <v>1057</v>
      </c>
      <c r="P267" s="19" t="s">
        <v>2127</v>
      </c>
      <c r="Q267" s="19" t="s">
        <v>923</v>
      </c>
      <c r="R267" s="19" t="s">
        <v>923</v>
      </c>
      <c r="S267" s="19" t="s">
        <v>1057</v>
      </c>
      <c r="T267" s="19" t="s">
        <v>1057</v>
      </c>
      <c r="U267" s="21"/>
      <c r="V267" s="19"/>
      <c r="W267" s="19" t="s">
        <v>245</v>
      </c>
      <c r="X267" s="19" t="s">
        <v>245</v>
      </c>
      <c r="Y267" s="19"/>
      <c r="Z267" s="19" t="s">
        <v>68</v>
      </c>
      <c r="AA267" s="4"/>
      <c r="AB267" s="4"/>
      <c r="AC267" s="4"/>
      <c r="AD267" s="19"/>
      <c r="AE267" s="19"/>
      <c r="AF267" s="19"/>
      <c r="AG267" s="19"/>
      <c r="AH267" s="19"/>
      <c r="AI267" s="19"/>
      <c r="AJ267" s="19"/>
      <c r="AK267" s="19"/>
      <c r="AL267" s="19"/>
      <c r="AM267" s="19"/>
      <c r="AN267" s="19"/>
      <c r="AO267" s="19"/>
      <c r="AP267" s="19"/>
      <c r="AQ267" s="19"/>
      <c r="AR267" s="19"/>
      <c r="AS267" s="27"/>
    </row>
    <row r="268" spans="1:45">
      <c r="A268" s="19">
        <f t="shared" si="4"/>
        <v>267</v>
      </c>
      <c r="B268" s="20">
        <v>45686</v>
      </c>
      <c r="C268" s="19" t="s">
        <v>1101</v>
      </c>
      <c r="D268" s="19" t="s">
        <v>1707</v>
      </c>
      <c r="E268" s="19">
        <v>20251172</v>
      </c>
      <c r="F268" s="19" t="s">
        <v>2128</v>
      </c>
      <c r="G268" s="19">
        <v>9503907795</v>
      </c>
      <c r="H268" s="19" t="s">
        <v>2129</v>
      </c>
      <c r="I268" s="19" t="s">
        <v>123</v>
      </c>
      <c r="J268" s="19" t="s">
        <v>707</v>
      </c>
      <c r="K268" s="19" t="s">
        <v>438</v>
      </c>
      <c r="L268" s="19" t="s">
        <v>2130</v>
      </c>
      <c r="M268" s="19" t="s">
        <v>2131</v>
      </c>
      <c r="N268" s="19">
        <v>8</v>
      </c>
      <c r="O268" s="19" t="s">
        <v>1057</v>
      </c>
      <c r="P268" s="19">
        <v>13</v>
      </c>
      <c r="Q268" s="19" t="s">
        <v>923</v>
      </c>
      <c r="R268" s="19" t="s">
        <v>923</v>
      </c>
      <c r="S268" s="19" t="s">
        <v>2132</v>
      </c>
      <c r="T268" s="19" t="s">
        <v>2133</v>
      </c>
      <c r="U268" s="21"/>
      <c r="V268" s="19"/>
      <c r="W268" s="19" t="s">
        <v>245</v>
      </c>
      <c r="X268" s="19" t="s">
        <v>245</v>
      </c>
      <c r="Y268" s="19"/>
      <c r="Z268" s="19" t="s">
        <v>68</v>
      </c>
      <c r="AA268" s="27"/>
      <c r="AB268" s="4"/>
      <c r="AC268" s="4"/>
      <c r="AD268" s="19"/>
      <c r="AE268" s="19"/>
      <c r="AF268" s="19"/>
      <c r="AG268" s="19"/>
      <c r="AH268" s="19"/>
      <c r="AI268" s="19"/>
      <c r="AJ268" s="19"/>
      <c r="AK268" s="19"/>
      <c r="AL268" s="19"/>
      <c r="AM268" s="19"/>
      <c r="AN268" s="19"/>
      <c r="AO268" s="19"/>
      <c r="AP268" s="19"/>
      <c r="AQ268" s="19"/>
      <c r="AR268" s="19"/>
      <c r="AS268" s="27"/>
    </row>
    <row r="269" spans="1:45">
      <c r="A269" s="19">
        <f t="shared" si="4"/>
        <v>268</v>
      </c>
      <c r="B269" s="20">
        <v>45686</v>
      </c>
      <c r="C269" s="19" t="s">
        <v>1101</v>
      </c>
      <c r="D269" s="19" t="s">
        <v>1860</v>
      </c>
      <c r="E269" s="19">
        <v>20246232</v>
      </c>
      <c r="F269" s="19" t="s">
        <v>2134</v>
      </c>
      <c r="G269" s="19">
        <v>8989650297</v>
      </c>
      <c r="H269" s="19" t="s">
        <v>2135</v>
      </c>
      <c r="I269" s="19" t="s">
        <v>123</v>
      </c>
      <c r="J269" s="19" t="s">
        <v>2136</v>
      </c>
      <c r="K269" s="19" t="s">
        <v>2137</v>
      </c>
      <c r="L269" s="19" t="s">
        <v>1247</v>
      </c>
      <c r="M269" s="19" t="s">
        <v>2138</v>
      </c>
      <c r="N269" s="19" t="s">
        <v>1346</v>
      </c>
      <c r="O269" s="19"/>
      <c r="P269" s="19" t="s">
        <v>1194</v>
      </c>
      <c r="Q269" s="19" t="s">
        <v>708</v>
      </c>
      <c r="R269" s="19" t="s">
        <v>72</v>
      </c>
      <c r="S269" s="19" t="s">
        <v>2139</v>
      </c>
      <c r="T269" s="19" t="s">
        <v>2140</v>
      </c>
      <c r="U269" s="21"/>
      <c r="V269" s="19"/>
      <c r="W269" s="19" t="s">
        <v>144</v>
      </c>
      <c r="X269" s="19" t="s">
        <v>144</v>
      </c>
      <c r="Y269" s="19"/>
      <c r="Z269" s="19" t="s">
        <v>68</v>
      </c>
      <c r="AA269" s="19"/>
      <c r="AB269" s="4"/>
      <c r="AC269" s="4"/>
      <c r="AD269" s="19"/>
      <c r="AE269" s="19"/>
      <c r="AF269" s="19"/>
      <c r="AG269" s="19"/>
      <c r="AH269" s="19"/>
      <c r="AI269" s="19"/>
      <c r="AJ269" s="19"/>
      <c r="AK269" s="19"/>
      <c r="AL269" s="19"/>
      <c r="AM269" s="19"/>
      <c r="AN269" s="19"/>
      <c r="AO269" s="19"/>
      <c r="AP269" s="19"/>
      <c r="AQ269" s="19"/>
      <c r="AR269" s="19"/>
      <c r="AS269" s="27"/>
    </row>
    <row r="270" spans="1:45">
      <c r="A270" s="19">
        <f t="shared" si="4"/>
        <v>269</v>
      </c>
      <c r="B270" s="20">
        <v>45686</v>
      </c>
      <c r="C270" s="19" t="s">
        <v>1101</v>
      </c>
      <c r="D270" s="19" t="s">
        <v>1432</v>
      </c>
      <c r="E270" s="19">
        <v>20246232</v>
      </c>
      <c r="F270" s="19" t="s">
        <v>2141</v>
      </c>
      <c r="G270" s="19">
        <v>9922996228</v>
      </c>
      <c r="H270" s="19" t="s">
        <v>2142</v>
      </c>
      <c r="I270" s="19" t="s">
        <v>123</v>
      </c>
      <c r="J270" s="19" t="s">
        <v>2136</v>
      </c>
      <c r="K270" s="19" t="s">
        <v>2137</v>
      </c>
      <c r="L270" s="19" t="s">
        <v>2143</v>
      </c>
      <c r="M270" s="19" t="s">
        <v>2144</v>
      </c>
      <c r="N270" s="19" t="s">
        <v>1330</v>
      </c>
      <c r="O270" s="19"/>
      <c r="P270" s="19" t="s">
        <v>1156</v>
      </c>
      <c r="Q270" s="19" t="s">
        <v>72</v>
      </c>
      <c r="R270" s="19" t="s">
        <v>72</v>
      </c>
      <c r="S270" s="19" t="s">
        <v>1067</v>
      </c>
      <c r="T270" s="19" t="s">
        <v>2145</v>
      </c>
      <c r="U270" s="21"/>
      <c r="V270" s="19"/>
      <c r="W270" s="19" t="s">
        <v>144</v>
      </c>
      <c r="X270" s="19" t="s">
        <v>144</v>
      </c>
      <c r="Y270" s="19"/>
      <c r="Z270" s="19" t="s">
        <v>68</v>
      </c>
      <c r="AA270" s="19"/>
      <c r="AB270" s="4"/>
      <c r="AC270" s="4"/>
      <c r="AD270" s="19"/>
      <c r="AE270" s="19"/>
      <c r="AF270" s="19"/>
      <c r="AG270" s="19"/>
      <c r="AH270" s="19"/>
      <c r="AI270" s="19"/>
      <c r="AJ270" s="19"/>
      <c r="AK270" s="19"/>
      <c r="AL270" s="19"/>
      <c r="AM270" s="19"/>
      <c r="AN270" s="19"/>
      <c r="AO270" s="19"/>
      <c r="AP270" s="19"/>
      <c r="AQ270" s="19"/>
      <c r="AR270" s="19"/>
      <c r="AS270" s="27"/>
    </row>
    <row r="271" spans="1:45">
      <c r="A271" s="19">
        <f t="shared" si="4"/>
        <v>270</v>
      </c>
      <c r="B271" s="20">
        <v>45686</v>
      </c>
      <c r="C271" s="19" t="s">
        <v>1101</v>
      </c>
      <c r="D271" s="19" t="s">
        <v>1432</v>
      </c>
      <c r="E271" s="19">
        <v>20246232</v>
      </c>
      <c r="F271" s="19" t="s">
        <v>2146</v>
      </c>
      <c r="G271" s="19" t="s">
        <v>2147</v>
      </c>
      <c r="H271" s="19" t="s">
        <v>2148</v>
      </c>
      <c r="I271" s="19" t="s">
        <v>123</v>
      </c>
      <c r="J271" s="19" t="s">
        <v>2136</v>
      </c>
      <c r="K271" s="19" t="s">
        <v>2137</v>
      </c>
      <c r="L271" s="19" t="s">
        <v>2149</v>
      </c>
      <c r="M271" s="19" t="s">
        <v>2150</v>
      </c>
      <c r="N271" s="19" t="s">
        <v>1540</v>
      </c>
      <c r="O271" s="19"/>
      <c r="P271" s="19" t="s">
        <v>1073</v>
      </c>
      <c r="Q271" s="19" t="s">
        <v>72</v>
      </c>
      <c r="R271" s="19" t="s">
        <v>72</v>
      </c>
      <c r="S271" s="19" t="s">
        <v>2151</v>
      </c>
      <c r="T271" s="19" t="s">
        <v>858</v>
      </c>
      <c r="U271" s="21"/>
      <c r="V271" s="19"/>
      <c r="W271" s="19" t="s">
        <v>144</v>
      </c>
      <c r="X271" s="19" t="s">
        <v>144</v>
      </c>
      <c r="Y271" s="19"/>
      <c r="Z271" s="19" t="s">
        <v>68</v>
      </c>
      <c r="AA271" s="19"/>
      <c r="AB271" s="4"/>
      <c r="AC271" s="4"/>
      <c r="AD271" s="19"/>
      <c r="AE271" s="19"/>
      <c r="AF271" s="19"/>
      <c r="AG271" s="19"/>
      <c r="AH271" s="19"/>
      <c r="AI271" s="19"/>
      <c r="AJ271" s="19"/>
      <c r="AK271" s="19"/>
      <c r="AL271" s="19"/>
      <c r="AM271" s="19"/>
      <c r="AN271" s="19"/>
      <c r="AO271" s="19"/>
      <c r="AP271" s="19"/>
      <c r="AQ271" s="19"/>
      <c r="AR271" s="19"/>
      <c r="AS271" s="27"/>
    </row>
    <row r="272" spans="1:45">
      <c r="A272" s="19">
        <f t="shared" si="4"/>
        <v>271</v>
      </c>
      <c r="B272" s="20">
        <v>45686</v>
      </c>
      <c r="C272" s="19" t="s">
        <v>1101</v>
      </c>
      <c r="D272" s="19" t="s">
        <v>1860</v>
      </c>
      <c r="E272" s="19">
        <v>20246232</v>
      </c>
      <c r="F272" s="19" t="s">
        <v>2152</v>
      </c>
      <c r="G272" s="19">
        <v>9527238410</v>
      </c>
      <c r="H272" s="19" t="s">
        <v>2153</v>
      </c>
      <c r="I272" s="19" t="s">
        <v>123</v>
      </c>
      <c r="J272" s="19" t="s">
        <v>2136</v>
      </c>
      <c r="K272" s="19" t="s">
        <v>2137</v>
      </c>
      <c r="L272" s="19" t="s">
        <v>1452</v>
      </c>
      <c r="M272" s="19" t="s">
        <v>2154</v>
      </c>
      <c r="N272" s="19" t="s">
        <v>1073</v>
      </c>
      <c r="O272" s="19"/>
      <c r="P272" s="19" t="s">
        <v>2155</v>
      </c>
      <c r="Q272" s="19" t="s">
        <v>708</v>
      </c>
      <c r="R272" s="19" t="s">
        <v>72</v>
      </c>
      <c r="S272" s="19" t="s">
        <v>1769</v>
      </c>
      <c r="T272" s="19" t="s">
        <v>858</v>
      </c>
      <c r="U272" s="21"/>
      <c r="V272" s="19"/>
      <c r="W272" s="19" t="s">
        <v>144</v>
      </c>
      <c r="X272" s="19" t="s">
        <v>144</v>
      </c>
      <c r="Y272" s="19"/>
      <c r="Z272" s="19" t="s">
        <v>68</v>
      </c>
      <c r="AA272" s="19"/>
      <c r="AB272" s="4"/>
      <c r="AC272" s="4"/>
      <c r="AD272" s="19"/>
      <c r="AE272" s="19"/>
      <c r="AF272" s="19"/>
      <c r="AG272" s="19"/>
      <c r="AH272" s="19"/>
      <c r="AI272" s="19"/>
      <c r="AJ272" s="19"/>
      <c r="AK272" s="19"/>
      <c r="AL272" s="19"/>
      <c r="AM272" s="19"/>
      <c r="AN272" s="19"/>
      <c r="AO272" s="19"/>
      <c r="AP272" s="19"/>
      <c r="AQ272" s="19"/>
      <c r="AR272" s="19"/>
      <c r="AS272" s="27"/>
    </row>
    <row r="273" spans="1:45">
      <c r="A273" s="19">
        <f t="shared" si="4"/>
        <v>272</v>
      </c>
      <c r="B273" s="20">
        <v>45686</v>
      </c>
      <c r="C273" s="19" t="s">
        <v>1101</v>
      </c>
      <c r="D273" s="19" t="s">
        <v>1160</v>
      </c>
      <c r="E273" s="19">
        <v>20246232</v>
      </c>
      <c r="F273" s="19" t="s">
        <v>2156</v>
      </c>
      <c r="G273" s="19">
        <v>9911331818</v>
      </c>
      <c r="H273" s="19" t="s">
        <v>2157</v>
      </c>
      <c r="I273" s="19" t="s">
        <v>123</v>
      </c>
      <c r="J273" s="19" t="s">
        <v>2136</v>
      </c>
      <c r="K273" s="19" t="s">
        <v>2137</v>
      </c>
      <c r="L273" s="19" t="s">
        <v>1192</v>
      </c>
      <c r="M273" s="19" t="s">
        <v>2158</v>
      </c>
      <c r="N273" s="19" t="s">
        <v>2159</v>
      </c>
      <c r="O273" s="19"/>
      <c r="P273" s="19" t="s">
        <v>1195</v>
      </c>
      <c r="Q273" s="19" t="s">
        <v>902</v>
      </c>
      <c r="R273" s="19" t="s">
        <v>72</v>
      </c>
      <c r="S273" s="19" t="s">
        <v>2160</v>
      </c>
      <c r="T273" s="19" t="s">
        <v>858</v>
      </c>
      <c r="U273" s="21"/>
      <c r="V273" s="19"/>
      <c r="W273" s="19" t="s">
        <v>144</v>
      </c>
      <c r="X273" s="19" t="s">
        <v>144</v>
      </c>
      <c r="Y273" s="19"/>
      <c r="Z273" s="19" t="s">
        <v>68</v>
      </c>
      <c r="AA273" s="19"/>
      <c r="AB273" s="4"/>
      <c r="AC273" s="4"/>
      <c r="AD273" s="19"/>
      <c r="AE273" s="19"/>
      <c r="AF273" s="19"/>
      <c r="AG273" s="19"/>
      <c r="AH273" s="19"/>
      <c r="AI273" s="19"/>
      <c r="AJ273" s="19"/>
      <c r="AK273" s="19"/>
      <c r="AL273" s="19"/>
      <c r="AM273" s="19"/>
      <c r="AN273" s="19"/>
      <c r="AO273" s="19"/>
      <c r="AP273" s="19"/>
      <c r="AQ273" s="19"/>
      <c r="AR273" s="19"/>
      <c r="AS273" s="27"/>
    </row>
    <row r="274" spans="1:45">
      <c r="A274" s="19">
        <f t="shared" si="4"/>
        <v>273</v>
      </c>
      <c r="B274" s="20">
        <v>45686</v>
      </c>
      <c r="C274" s="19" t="s">
        <v>1101</v>
      </c>
      <c r="D274" s="19" t="s">
        <v>1432</v>
      </c>
      <c r="E274" s="19">
        <v>20246232</v>
      </c>
      <c r="F274" s="19" t="s">
        <v>2161</v>
      </c>
      <c r="G274" s="19">
        <v>8617748736</v>
      </c>
      <c r="H274" s="19" t="s">
        <v>2162</v>
      </c>
      <c r="I274" s="19" t="s">
        <v>123</v>
      </c>
      <c r="J274" s="19" t="s">
        <v>2136</v>
      </c>
      <c r="K274" s="19" t="s">
        <v>2137</v>
      </c>
      <c r="L274" s="19" t="s">
        <v>2163</v>
      </c>
      <c r="M274" s="19" t="s">
        <v>2164</v>
      </c>
      <c r="N274" s="19" t="s">
        <v>1075</v>
      </c>
      <c r="O274" s="19"/>
      <c r="P274" s="19" t="s">
        <v>1324</v>
      </c>
      <c r="Q274" s="19" t="s">
        <v>72</v>
      </c>
      <c r="R274" s="19" t="s">
        <v>72</v>
      </c>
      <c r="S274" s="19" t="s">
        <v>2165</v>
      </c>
      <c r="T274" s="19" t="s">
        <v>2166</v>
      </c>
      <c r="U274" s="21"/>
      <c r="V274" s="19"/>
      <c r="W274" s="19" t="s">
        <v>144</v>
      </c>
      <c r="X274" s="19" t="s">
        <v>144</v>
      </c>
      <c r="Y274" s="19"/>
      <c r="Z274" s="19" t="s">
        <v>68</v>
      </c>
      <c r="AA274" s="19"/>
      <c r="AB274" s="4"/>
      <c r="AC274" s="4"/>
      <c r="AD274" s="19"/>
      <c r="AE274" s="19"/>
      <c r="AF274" s="19"/>
      <c r="AG274" s="19"/>
      <c r="AH274" s="19"/>
      <c r="AI274" s="19"/>
      <c r="AJ274" s="19"/>
      <c r="AK274" s="19"/>
      <c r="AL274" s="19"/>
      <c r="AM274" s="19"/>
      <c r="AN274" s="19"/>
      <c r="AO274" s="19"/>
      <c r="AP274" s="19"/>
      <c r="AQ274" s="19"/>
      <c r="AR274" s="19"/>
      <c r="AS274" s="27"/>
    </row>
    <row r="275" spans="1:45">
      <c r="A275" s="19">
        <f t="shared" si="4"/>
        <v>274</v>
      </c>
      <c r="B275" s="20">
        <v>45686</v>
      </c>
      <c r="C275" s="19" t="s">
        <v>1101</v>
      </c>
      <c r="D275" s="19" t="s">
        <v>1860</v>
      </c>
      <c r="E275" s="19">
        <v>20246232</v>
      </c>
      <c r="F275" s="19" t="s">
        <v>2167</v>
      </c>
      <c r="G275" s="19">
        <v>8291734245</v>
      </c>
      <c r="H275" s="19" t="s">
        <v>2168</v>
      </c>
      <c r="I275" s="19" t="s">
        <v>123</v>
      </c>
      <c r="J275" s="19" t="s">
        <v>2136</v>
      </c>
      <c r="K275" s="19" t="s">
        <v>2137</v>
      </c>
      <c r="L275" s="19" t="s">
        <v>1230</v>
      </c>
      <c r="M275" s="19" t="s">
        <v>2169</v>
      </c>
      <c r="N275" s="19" t="s">
        <v>1084</v>
      </c>
      <c r="O275" s="19"/>
      <c r="P275" s="19" t="s">
        <v>2170</v>
      </c>
      <c r="Q275" s="19" t="s">
        <v>72</v>
      </c>
      <c r="R275" s="19" t="s">
        <v>72</v>
      </c>
      <c r="S275" s="19" t="s">
        <v>2171</v>
      </c>
      <c r="T275" s="19" t="s">
        <v>858</v>
      </c>
      <c r="U275" s="21"/>
      <c r="V275" s="19"/>
      <c r="W275" s="19" t="s">
        <v>144</v>
      </c>
      <c r="X275" s="19" t="s">
        <v>144</v>
      </c>
      <c r="Y275" s="19"/>
      <c r="Z275" s="19" t="s">
        <v>68</v>
      </c>
      <c r="AA275" s="19"/>
      <c r="AB275" s="4"/>
      <c r="AC275" s="4"/>
      <c r="AD275" s="19"/>
      <c r="AE275" s="19"/>
      <c r="AF275" s="19"/>
      <c r="AG275" s="19"/>
      <c r="AH275" s="19"/>
      <c r="AI275" s="19"/>
      <c r="AJ275" s="19"/>
      <c r="AK275" s="19"/>
      <c r="AL275" s="19"/>
      <c r="AM275" s="19"/>
      <c r="AN275" s="19"/>
      <c r="AO275" s="19"/>
      <c r="AP275" s="19"/>
      <c r="AQ275" s="19"/>
      <c r="AR275" s="19"/>
      <c r="AS275" s="27"/>
    </row>
    <row r="276" spans="1:45">
      <c r="A276" s="19">
        <f t="shared" si="4"/>
        <v>275</v>
      </c>
      <c r="B276" s="20">
        <v>45687</v>
      </c>
      <c r="C276" s="19" t="s">
        <v>1101</v>
      </c>
      <c r="D276" s="19" t="s">
        <v>1102</v>
      </c>
      <c r="E276" s="19">
        <v>20243902</v>
      </c>
      <c r="F276" s="19" t="s">
        <v>2172</v>
      </c>
      <c r="G276" s="19">
        <v>9922793762</v>
      </c>
      <c r="H276" s="19" t="s">
        <v>2173</v>
      </c>
      <c r="I276" s="19" t="s">
        <v>123</v>
      </c>
      <c r="J276" s="19" t="s">
        <v>117</v>
      </c>
      <c r="K276" s="19" t="s">
        <v>119</v>
      </c>
      <c r="L276" s="19">
        <v>2.5</v>
      </c>
      <c r="M276" s="19" t="s">
        <v>1551</v>
      </c>
      <c r="N276" s="19">
        <v>3</v>
      </c>
      <c r="O276" s="19" t="s">
        <v>1057</v>
      </c>
      <c r="P276" s="19">
        <v>5</v>
      </c>
      <c r="Q276" s="19" t="s">
        <v>72</v>
      </c>
      <c r="R276" s="19" t="s">
        <v>72</v>
      </c>
      <c r="S276" s="19" t="s">
        <v>1121</v>
      </c>
      <c r="T276" s="19"/>
      <c r="U276" s="21"/>
      <c r="V276" s="19"/>
      <c r="W276" s="19" t="s">
        <v>74</v>
      </c>
      <c r="X276" s="19" t="s">
        <v>74</v>
      </c>
      <c r="Y276" s="19" t="s">
        <v>70</v>
      </c>
      <c r="Z276" s="19" t="s">
        <v>68</v>
      </c>
      <c r="AA276" s="19"/>
      <c r="AB276" s="4"/>
      <c r="AC276" s="4"/>
      <c r="AD276" s="19"/>
      <c r="AE276" s="19"/>
      <c r="AF276" s="19"/>
      <c r="AG276" s="19"/>
      <c r="AH276" s="19"/>
      <c r="AI276" s="19"/>
      <c r="AJ276" s="19"/>
      <c r="AK276" s="19"/>
      <c r="AL276" s="19"/>
      <c r="AM276" s="19"/>
      <c r="AN276" s="19"/>
      <c r="AO276" s="19"/>
      <c r="AP276" s="19"/>
      <c r="AQ276" s="19"/>
      <c r="AR276" s="19"/>
      <c r="AS276" s="27"/>
    </row>
    <row r="277" spans="1:45">
      <c r="A277" s="19">
        <f t="shared" si="4"/>
        <v>276</v>
      </c>
      <c r="B277" s="20">
        <v>45687</v>
      </c>
      <c r="C277" s="19" t="s">
        <v>1101</v>
      </c>
      <c r="D277" s="19" t="s">
        <v>1102</v>
      </c>
      <c r="E277" s="19">
        <v>20243902</v>
      </c>
      <c r="F277" s="19" t="s">
        <v>2174</v>
      </c>
      <c r="G277" s="19">
        <v>9403459850</v>
      </c>
      <c r="H277" s="19" t="s">
        <v>2175</v>
      </c>
      <c r="I277" s="19" t="s">
        <v>123</v>
      </c>
      <c r="J277" s="19" t="s">
        <v>117</v>
      </c>
      <c r="K277" s="19" t="s">
        <v>119</v>
      </c>
      <c r="L277" s="19">
        <v>3</v>
      </c>
      <c r="M277" s="19" t="s">
        <v>2176</v>
      </c>
      <c r="N277" s="19">
        <v>3.5</v>
      </c>
      <c r="O277" s="19" t="s">
        <v>1057</v>
      </c>
      <c r="P277" s="19">
        <v>6</v>
      </c>
      <c r="Q277" s="19" t="s">
        <v>1282</v>
      </c>
      <c r="R277" s="19" t="s">
        <v>72</v>
      </c>
      <c r="S277" s="19" t="s">
        <v>1121</v>
      </c>
      <c r="T277" s="19"/>
      <c r="U277" s="21"/>
      <c r="V277" s="19"/>
      <c r="W277" s="19" t="s">
        <v>74</v>
      </c>
      <c r="X277" s="19" t="s">
        <v>74</v>
      </c>
      <c r="Y277" s="19" t="s">
        <v>70</v>
      </c>
      <c r="Z277" s="19" t="s">
        <v>68</v>
      </c>
      <c r="AA277" s="19"/>
      <c r="AB277" s="4"/>
      <c r="AC277" s="4"/>
      <c r="AD277" s="19"/>
      <c r="AE277" s="19"/>
      <c r="AF277" s="19"/>
      <c r="AG277" s="19"/>
      <c r="AH277" s="19"/>
      <c r="AI277" s="19"/>
      <c r="AJ277" s="19"/>
      <c r="AK277" s="19"/>
      <c r="AL277" s="19"/>
      <c r="AM277" s="19"/>
      <c r="AN277" s="19"/>
      <c r="AO277" s="19"/>
      <c r="AP277" s="19"/>
      <c r="AQ277" s="19"/>
      <c r="AR277" s="19"/>
      <c r="AS277" s="27"/>
    </row>
    <row r="278" spans="1:45">
      <c r="A278" s="19">
        <f t="shared" si="4"/>
        <v>277</v>
      </c>
      <c r="B278" s="20">
        <v>45687</v>
      </c>
      <c r="C278" s="19" t="s">
        <v>1101</v>
      </c>
      <c r="D278" s="19" t="s">
        <v>1813</v>
      </c>
      <c r="E278" s="19">
        <v>20245969</v>
      </c>
      <c r="F278" s="19" t="s">
        <v>2177</v>
      </c>
      <c r="G278" s="19">
        <v>7776876275</v>
      </c>
      <c r="H278" s="19" t="s">
        <v>2178</v>
      </c>
      <c r="I278" s="19" t="s">
        <v>123</v>
      </c>
      <c r="J278" s="19" t="s">
        <v>393</v>
      </c>
      <c r="K278" s="19" t="s">
        <v>1812</v>
      </c>
      <c r="L278" s="19" t="s">
        <v>1054</v>
      </c>
      <c r="M278" s="19" t="s">
        <v>2179</v>
      </c>
      <c r="N278" s="19">
        <v>13</v>
      </c>
      <c r="O278" s="19" t="s">
        <v>1057</v>
      </c>
      <c r="P278" s="19" t="s">
        <v>1744</v>
      </c>
      <c r="Q278" s="19" t="s">
        <v>72</v>
      </c>
      <c r="R278" s="19" t="s">
        <v>72</v>
      </c>
      <c r="S278" s="19" t="s">
        <v>2180</v>
      </c>
      <c r="T278" s="19" t="s">
        <v>2181</v>
      </c>
      <c r="U278" s="21"/>
      <c r="V278" s="19"/>
      <c r="W278" s="19" t="s">
        <v>245</v>
      </c>
      <c r="X278" s="19" t="s">
        <v>245</v>
      </c>
      <c r="Y278" s="19"/>
      <c r="Z278" s="19" t="s">
        <v>68</v>
      </c>
      <c r="AA278" s="19"/>
      <c r="AB278" s="4"/>
      <c r="AC278" s="4"/>
      <c r="AD278" s="19"/>
      <c r="AE278" s="19"/>
      <c r="AF278" s="19"/>
      <c r="AG278" s="19"/>
      <c r="AH278" s="19"/>
      <c r="AI278" s="19"/>
      <c r="AJ278" s="19"/>
      <c r="AK278" s="19"/>
      <c r="AL278" s="19"/>
      <c r="AM278" s="19"/>
      <c r="AN278" s="19"/>
      <c r="AO278" s="19"/>
      <c r="AP278" s="19"/>
      <c r="AQ278" s="19"/>
      <c r="AR278" s="19"/>
      <c r="AS278" s="27"/>
    </row>
    <row r="279" spans="1:45">
      <c r="A279" s="19">
        <f t="shared" si="4"/>
        <v>278</v>
      </c>
      <c r="B279" s="20">
        <v>45687</v>
      </c>
      <c r="C279" s="19" t="s">
        <v>1101</v>
      </c>
      <c r="D279" s="19" t="s">
        <v>1102</v>
      </c>
      <c r="E279" s="19">
        <v>20245969</v>
      </c>
      <c r="F279" s="19" t="s">
        <v>2182</v>
      </c>
      <c r="G279" s="19">
        <v>9561821339</v>
      </c>
      <c r="H279" s="19" t="s">
        <v>2183</v>
      </c>
      <c r="I279" s="19" t="s">
        <v>123</v>
      </c>
      <c r="J279" s="19" t="s">
        <v>393</v>
      </c>
      <c r="K279" s="19" t="s">
        <v>1812</v>
      </c>
      <c r="L279" s="19" t="s">
        <v>1786</v>
      </c>
      <c r="M279" s="19" t="s">
        <v>2184</v>
      </c>
      <c r="N279" s="19">
        <v>5.6</v>
      </c>
      <c r="O279" s="19" t="s">
        <v>1057</v>
      </c>
      <c r="P279" s="19">
        <v>10</v>
      </c>
      <c r="Q279" s="19" t="s">
        <v>72</v>
      </c>
      <c r="R279" s="19" t="s">
        <v>72</v>
      </c>
      <c r="S279" s="19" t="s">
        <v>2185</v>
      </c>
      <c r="T279" s="19" t="s">
        <v>1057</v>
      </c>
      <c r="U279" s="21"/>
      <c r="V279" s="19"/>
      <c r="W279" s="19" t="s">
        <v>245</v>
      </c>
      <c r="X279" s="19" t="s">
        <v>245</v>
      </c>
      <c r="Y279" s="19"/>
      <c r="Z279" s="19" t="s">
        <v>68</v>
      </c>
      <c r="AA279" s="19"/>
      <c r="AB279" s="4">
        <v>45694</v>
      </c>
      <c r="AC279" s="4"/>
      <c r="AD279" s="19"/>
      <c r="AE279" s="19"/>
      <c r="AF279" s="19"/>
      <c r="AG279" s="19"/>
      <c r="AH279" s="19"/>
      <c r="AI279" s="19"/>
      <c r="AJ279" s="19"/>
      <c r="AK279" s="19"/>
      <c r="AL279" s="19"/>
      <c r="AM279" s="19"/>
      <c r="AN279" s="19"/>
      <c r="AO279" s="19"/>
      <c r="AP279" s="19"/>
      <c r="AQ279" s="19"/>
      <c r="AR279" s="19"/>
      <c r="AS279" s="27"/>
    </row>
    <row r="280" spans="1:45">
      <c r="A280" s="19">
        <f t="shared" si="4"/>
        <v>279</v>
      </c>
      <c r="B280" s="20">
        <v>45687</v>
      </c>
      <c r="C280" s="19" t="s">
        <v>1101</v>
      </c>
      <c r="D280" s="19" t="s">
        <v>1102</v>
      </c>
      <c r="E280" s="19">
        <v>20245969</v>
      </c>
      <c r="F280" s="19" t="s">
        <v>2186</v>
      </c>
      <c r="G280" s="19">
        <v>7620741012</v>
      </c>
      <c r="H280" s="19" t="s">
        <v>2187</v>
      </c>
      <c r="I280" s="19" t="s">
        <v>123</v>
      </c>
      <c r="J280" s="19" t="s">
        <v>393</v>
      </c>
      <c r="K280" s="19" t="s">
        <v>1812</v>
      </c>
      <c r="L280" s="19" t="s">
        <v>2188</v>
      </c>
      <c r="M280" s="19" t="s">
        <v>2189</v>
      </c>
      <c r="N280" s="19">
        <v>6.6</v>
      </c>
      <c r="O280" s="19" t="s">
        <v>1057</v>
      </c>
      <c r="P280" s="19" t="s">
        <v>2190</v>
      </c>
      <c r="Q280" s="19" t="s">
        <v>72</v>
      </c>
      <c r="R280" s="19" t="s">
        <v>72</v>
      </c>
      <c r="S280" s="19" t="s">
        <v>2191</v>
      </c>
      <c r="T280" s="19" t="s">
        <v>1057</v>
      </c>
      <c r="U280" s="21"/>
      <c r="V280" s="19"/>
      <c r="W280" s="19" t="s">
        <v>245</v>
      </c>
      <c r="X280" s="19" t="s">
        <v>245</v>
      </c>
      <c r="Y280" s="19"/>
      <c r="Z280" s="19" t="s">
        <v>68</v>
      </c>
      <c r="AA280" s="19"/>
      <c r="AB280" s="4">
        <v>45693</v>
      </c>
      <c r="AC280" s="4"/>
      <c r="AD280" s="19"/>
      <c r="AE280" s="19"/>
      <c r="AF280" s="19"/>
      <c r="AG280" s="19"/>
      <c r="AH280" s="19"/>
      <c r="AI280" s="19"/>
      <c r="AJ280" s="19"/>
      <c r="AK280" s="19"/>
      <c r="AL280" s="19"/>
      <c r="AM280" s="19"/>
      <c r="AN280" s="19"/>
      <c r="AO280" s="19"/>
      <c r="AP280" s="19"/>
      <c r="AQ280" s="19"/>
      <c r="AR280" s="19"/>
      <c r="AS280" s="27"/>
    </row>
    <row r="281" spans="1:45">
      <c r="A281" s="19">
        <f t="shared" si="4"/>
        <v>280</v>
      </c>
      <c r="B281" s="20">
        <v>45687</v>
      </c>
      <c r="C281" s="19" t="s">
        <v>1101</v>
      </c>
      <c r="D281" s="19" t="s">
        <v>845</v>
      </c>
      <c r="E281" s="19">
        <v>20245969</v>
      </c>
      <c r="F281" s="19" t="s">
        <v>2192</v>
      </c>
      <c r="G281" s="19">
        <v>9392491628</v>
      </c>
      <c r="H281" s="19" t="s">
        <v>2193</v>
      </c>
      <c r="I281" s="19" t="s">
        <v>123</v>
      </c>
      <c r="J281" s="19" t="s">
        <v>393</v>
      </c>
      <c r="K281" s="19" t="s">
        <v>1812</v>
      </c>
      <c r="L281" s="19" t="s">
        <v>1054</v>
      </c>
      <c r="M281" s="19" t="s">
        <v>2194</v>
      </c>
      <c r="N281" s="19">
        <v>6.8</v>
      </c>
      <c r="O281" s="19" t="s">
        <v>1057</v>
      </c>
      <c r="P281" s="19">
        <v>12</v>
      </c>
      <c r="Q281" s="19" t="s">
        <v>72</v>
      </c>
      <c r="R281" s="19" t="s">
        <v>72</v>
      </c>
      <c r="S281" s="19" t="s">
        <v>2195</v>
      </c>
      <c r="T281" s="19" t="s">
        <v>1691</v>
      </c>
      <c r="U281" s="21"/>
      <c r="V281" s="19"/>
      <c r="W281" s="19" t="s">
        <v>245</v>
      </c>
      <c r="X281" s="19" t="s">
        <v>245</v>
      </c>
      <c r="Y281" s="19"/>
      <c r="Z281" s="19" t="s">
        <v>68</v>
      </c>
      <c r="AA281" s="19"/>
      <c r="AB281" s="4">
        <v>45698</v>
      </c>
      <c r="AC281" s="4"/>
      <c r="AD281" s="19"/>
      <c r="AE281" s="19"/>
      <c r="AF281" s="19"/>
      <c r="AG281" s="19"/>
      <c r="AH281" s="19"/>
      <c r="AI281" s="19"/>
      <c r="AJ281" s="19"/>
      <c r="AK281" s="19"/>
      <c r="AL281" s="19"/>
      <c r="AM281" s="19"/>
      <c r="AN281" s="19"/>
      <c r="AO281" s="19"/>
      <c r="AP281" s="19"/>
      <c r="AQ281" s="19"/>
      <c r="AR281" s="19"/>
      <c r="AS281" s="27"/>
    </row>
    <row r="282" spans="1:45">
      <c r="A282" s="19">
        <f t="shared" si="4"/>
        <v>281</v>
      </c>
      <c r="B282" s="20">
        <v>45688</v>
      </c>
      <c r="C282" s="19" t="s">
        <v>1101</v>
      </c>
      <c r="D282" s="19" t="s">
        <v>1026</v>
      </c>
      <c r="E282" s="19">
        <v>20250696</v>
      </c>
      <c r="F282" s="19" t="s">
        <v>2196</v>
      </c>
      <c r="G282" s="19">
        <v>9766608483</v>
      </c>
      <c r="H282" s="19" t="s">
        <v>2197</v>
      </c>
      <c r="I282" s="19" t="s">
        <v>123</v>
      </c>
      <c r="J282" s="19" t="s">
        <v>103</v>
      </c>
      <c r="K282" s="19" t="s">
        <v>101</v>
      </c>
      <c r="L282" s="19">
        <v>8</v>
      </c>
      <c r="M282" s="19" t="s">
        <v>1214</v>
      </c>
      <c r="N282" s="19">
        <v>6</v>
      </c>
      <c r="O282" s="19">
        <v>0</v>
      </c>
      <c r="P282" s="19">
        <v>8</v>
      </c>
      <c r="Q282" s="19" t="s">
        <v>2198</v>
      </c>
      <c r="R282" s="19" t="s">
        <v>72</v>
      </c>
      <c r="S282" s="19" t="s">
        <v>2023</v>
      </c>
      <c r="T282" s="19"/>
      <c r="U282" s="21"/>
      <c r="V282" s="19"/>
      <c r="W282" s="19" t="s">
        <v>74</v>
      </c>
      <c r="X282" s="19" t="s">
        <v>74</v>
      </c>
      <c r="Y282" s="19" t="s">
        <v>70</v>
      </c>
      <c r="Z282" s="19" t="s">
        <v>68</v>
      </c>
      <c r="AA282" s="19"/>
      <c r="AB282" s="4"/>
      <c r="AC282" s="4"/>
      <c r="AD282" s="19"/>
      <c r="AE282" s="19"/>
      <c r="AF282" s="19"/>
      <c r="AG282" s="19"/>
      <c r="AH282" s="19"/>
      <c r="AI282" s="19"/>
      <c r="AJ282" s="19"/>
      <c r="AK282" s="19"/>
      <c r="AL282" s="19"/>
      <c r="AM282" s="19"/>
      <c r="AN282" s="19"/>
      <c r="AO282" s="19"/>
      <c r="AP282" s="19"/>
      <c r="AQ282" s="19"/>
      <c r="AR282" s="19"/>
      <c r="AS282" s="27"/>
    </row>
    <row r="283" spans="1:45">
      <c r="A283" s="19">
        <f t="shared" si="4"/>
        <v>282</v>
      </c>
      <c r="B283" s="20">
        <v>45688</v>
      </c>
      <c r="C283" s="19" t="s">
        <v>1101</v>
      </c>
      <c r="D283" s="19" t="s">
        <v>1102</v>
      </c>
      <c r="E283" s="19">
        <v>20250696</v>
      </c>
      <c r="F283" s="19" t="s">
        <v>2199</v>
      </c>
      <c r="G283" s="19">
        <v>7020226882</v>
      </c>
      <c r="H283" s="19" t="s">
        <v>2200</v>
      </c>
      <c r="I283" s="19" t="s">
        <v>123</v>
      </c>
      <c r="J283" s="19" t="s">
        <v>103</v>
      </c>
      <c r="K283" s="19" t="s">
        <v>101</v>
      </c>
      <c r="L283" s="19">
        <v>7</v>
      </c>
      <c r="M283" s="19" t="s">
        <v>2201</v>
      </c>
      <c r="N283" s="19">
        <v>6.7</v>
      </c>
      <c r="O283" s="19">
        <v>0</v>
      </c>
      <c r="P283" s="19">
        <v>9</v>
      </c>
      <c r="Q283" s="19" t="s">
        <v>708</v>
      </c>
      <c r="R283" s="19" t="s">
        <v>72</v>
      </c>
      <c r="S283" s="19" t="s">
        <v>1139</v>
      </c>
      <c r="T283" s="19"/>
      <c r="U283" s="21"/>
      <c r="V283" s="19"/>
      <c r="W283" s="19" t="s">
        <v>74</v>
      </c>
      <c r="X283" s="19" t="s">
        <v>74</v>
      </c>
      <c r="Y283" s="19" t="s">
        <v>70</v>
      </c>
      <c r="Z283" s="19" t="s">
        <v>68</v>
      </c>
      <c r="AA283" s="19"/>
      <c r="AB283" s="4"/>
      <c r="AC283" s="4"/>
      <c r="AD283" s="19"/>
      <c r="AE283" s="19"/>
      <c r="AF283" s="19"/>
      <c r="AG283" s="19"/>
      <c r="AH283" s="19"/>
      <c r="AI283" s="19"/>
      <c r="AJ283" s="19"/>
      <c r="AK283" s="19"/>
      <c r="AL283" s="19"/>
      <c r="AM283" s="19"/>
      <c r="AN283" s="19"/>
      <c r="AO283" s="19"/>
      <c r="AP283" s="19"/>
      <c r="AQ283" s="19"/>
      <c r="AR283" s="19"/>
      <c r="AS283" s="27"/>
    </row>
    <row r="284" spans="1:45">
      <c r="A284" s="19">
        <f t="shared" si="4"/>
        <v>283</v>
      </c>
      <c r="B284" s="20">
        <v>45688</v>
      </c>
      <c r="C284" s="19" t="s">
        <v>1101</v>
      </c>
      <c r="D284" s="19" t="s">
        <v>1102</v>
      </c>
      <c r="E284" s="19">
        <v>20250717</v>
      </c>
      <c r="F284" s="19" t="s">
        <v>2202</v>
      </c>
      <c r="G284" s="19">
        <v>9561144344</v>
      </c>
      <c r="H284" s="19" t="s">
        <v>2203</v>
      </c>
      <c r="I284" s="19" t="s">
        <v>123</v>
      </c>
      <c r="J284" s="19" t="s">
        <v>1228</v>
      </c>
      <c r="K284" s="19" t="s">
        <v>569</v>
      </c>
      <c r="L284" s="19">
        <v>7</v>
      </c>
      <c r="M284" s="19" t="s">
        <v>2204</v>
      </c>
      <c r="N284" s="19">
        <v>8</v>
      </c>
      <c r="O284" s="19">
        <v>0</v>
      </c>
      <c r="P284" s="19">
        <v>12</v>
      </c>
      <c r="Q284" s="19" t="s">
        <v>72</v>
      </c>
      <c r="R284" s="19" t="s">
        <v>72</v>
      </c>
      <c r="S284" s="19">
        <v>0</v>
      </c>
      <c r="T284" s="19"/>
      <c r="U284" s="21"/>
      <c r="V284" s="19"/>
      <c r="W284" s="19" t="s">
        <v>74</v>
      </c>
      <c r="X284" s="19" t="s">
        <v>74</v>
      </c>
      <c r="Y284" s="19" t="s">
        <v>70</v>
      </c>
      <c r="Z284" s="19" t="s">
        <v>68</v>
      </c>
      <c r="AA284" s="19"/>
      <c r="AB284" s="4"/>
      <c r="AC284" s="4"/>
      <c r="AD284" s="19"/>
      <c r="AE284" s="19"/>
      <c r="AF284" s="19"/>
      <c r="AG284" s="19"/>
      <c r="AH284" s="19"/>
      <c r="AI284" s="19"/>
      <c r="AJ284" s="19"/>
      <c r="AK284" s="19"/>
      <c r="AL284" s="19"/>
      <c r="AM284" s="19"/>
      <c r="AN284" s="19"/>
      <c r="AO284" s="19"/>
      <c r="AP284" s="19"/>
      <c r="AQ284" s="19"/>
      <c r="AR284" s="19"/>
      <c r="AS284" s="27"/>
    </row>
    <row r="285" spans="1:45">
      <c r="A285" s="19">
        <f t="shared" si="4"/>
        <v>284</v>
      </c>
      <c r="B285" s="20">
        <v>45688</v>
      </c>
      <c r="C285" s="19" t="s">
        <v>1101</v>
      </c>
      <c r="D285" s="19" t="s">
        <v>1102</v>
      </c>
      <c r="E285" s="19">
        <v>20250717</v>
      </c>
      <c r="F285" s="19" t="s">
        <v>2205</v>
      </c>
      <c r="G285" s="19">
        <v>8892643479</v>
      </c>
      <c r="H285" s="19" t="s">
        <v>2206</v>
      </c>
      <c r="I285" s="19" t="s">
        <v>123</v>
      </c>
      <c r="J285" s="19" t="s">
        <v>1228</v>
      </c>
      <c r="K285" s="19" t="s">
        <v>569</v>
      </c>
      <c r="L285" s="19">
        <v>6</v>
      </c>
      <c r="M285" s="19" t="s">
        <v>2207</v>
      </c>
      <c r="N285" s="19">
        <v>5.5</v>
      </c>
      <c r="O285" s="19">
        <v>0</v>
      </c>
      <c r="P285" s="19">
        <v>9</v>
      </c>
      <c r="Q285" s="19" t="s">
        <v>2208</v>
      </c>
      <c r="R285" s="19" t="s">
        <v>72</v>
      </c>
      <c r="S285" s="19" t="s">
        <v>1139</v>
      </c>
      <c r="T285" s="19" t="s">
        <v>1057</v>
      </c>
      <c r="U285" s="21"/>
      <c r="V285" s="19"/>
      <c r="W285" s="19" t="s">
        <v>74</v>
      </c>
      <c r="X285" s="19" t="s">
        <v>74</v>
      </c>
      <c r="Y285" s="19" t="s">
        <v>70</v>
      </c>
      <c r="Z285" s="19" t="s">
        <v>68</v>
      </c>
      <c r="AA285" s="19"/>
      <c r="AB285" s="4"/>
      <c r="AC285" s="4"/>
      <c r="AD285" s="19"/>
      <c r="AE285" s="19"/>
      <c r="AF285" s="19"/>
      <c r="AG285" s="19"/>
      <c r="AH285" s="19"/>
      <c r="AI285" s="19"/>
      <c r="AJ285" s="19"/>
      <c r="AK285" s="19"/>
      <c r="AL285" s="19"/>
      <c r="AM285" s="19"/>
      <c r="AN285" s="19"/>
      <c r="AO285" s="19"/>
      <c r="AP285" s="19"/>
      <c r="AQ285" s="19"/>
      <c r="AR285" s="19"/>
      <c r="AS285" s="27"/>
    </row>
    <row r="286" spans="1:45">
      <c r="A286" s="19">
        <f t="shared" si="4"/>
        <v>285</v>
      </c>
      <c r="B286" s="20">
        <v>45688</v>
      </c>
      <c r="C286" s="19" t="s">
        <v>1101</v>
      </c>
      <c r="D286" s="19" t="s">
        <v>1026</v>
      </c>
      <c r="E286" s="19">
        <v>20250717</v>
      </c>
      <c r="F286" s="19" t="s">
        <v>2209</v>
      </c>
      <c r="G286" s="19">
        <v>7016152007</v>
      </c>
      <c r="H286" s="19" t="s">
        <v>2210</v>
      </c>
      <c r="I286" s="19" t="s">
        <v>123</v>
      </c>
      <c r="J286" s="19" t="s">
        <v>1228</v>
      </c>
      <c r="K286" s="19" t="s">
        <v>569</v>
      </c>
      <c r="L286" s="19">
        <v>5.8</v>
      </c>
      <c r="M286" s="19" t="s">
        <v>2211</v>
      </c>
      <c r="N286" s="19">
        <v>11.5</v>
      </c>
      <c r="O286" s="19">
        <v>0</v>
      </c>
      <c r="P286" s="19" t="s">
        <v>1169</v>
      </c>
      <c r="Q286" s="19" t="s">
        <v>1276</v>
      </c>
      <c r="R286" s="19" t="s">
        <v>72</v>
      </c>
      <c r="S286" s="19" t="s">
        <v>1121</v>
      </c>
      <c r="T286" s="19">
        <v>0</v>
      </c>
      <c r="U286" s="21"/>
      <c r="V286" s="19"/>
      <c r="W286" s="19" t="s">
        <v>74</v>
      </c>
      <c r="X286" s="19" t="s">
        <v>74</v>
      </c>
      <c r="Y286" s="19" t="s">
        <v>70</v>
      </c>
      <c r="Z286" s="19" t="s">
        <v>68</v>
      </c>
      <c r="AA286" s="19"/>
      <c r="AB286" s="4"/>
      <c r="AC286" s="4"/>
      <c r="AD286" s="19"/>
      <c r="AE286" s="19"/>
      <c r="AF286" s="19"/>
      <c r="AG286" s="19"/>
      <c r="AH286" s="19"/>
      <c r="AI286" s="19"/>
      <c r="AJ286" s="19"/>
      <c r="AK286" s="19"/>
      <c r="AL286" s="19"/>
      <c r="AM286" s="19"/>
      <c r="AN286" s="19"/>
      <c r="AO286" s="19"/>
      <c r="AP286" s="19"/>
      <c r="AQ286" s="19"/>
      <c r="AR286" s="19"/>
      <c r="AS286" s="27"/>
    </row>
    <row r="287" spans="1:45">
      <c r="A287" s="19">
        <f t="shared" si="4"/>
        <v>286</v>
      </c>
      <c r="B287" s="20">
        <v>45688</v>
      </c>
      <c r="C287" s="19" t="s">
        <v>1101</v>
      </c>
      <c r="D287" s="19" t="s">
        <v>1102</v>
      </c>
      <c r="E287" s="19">
        <v>20250717</v>
      </c>
      <c r="F287" s="19" t="s">
        <v>2212</v>
      </c>
      <c r="G287" s="19">
        <v>7219545883</v>
      </c>
      <c r="H287" s="19" t="s">
        <v>2213</v>
      </c>
      <c r="I287" s="19" t="s">
        <v>123</v>
      </c>
      <c r="J287" s="19" t="s">
        <v>1228</v>
      </c>
      <c r="K287" s="19" t="s">
        <v>569</v>
      </c>
      <c r="L287" s="19">
        <v>3</v>
      </c>
      <c r="M287" s="19" t="s">
        <v>2211</v>
      </c>
      <c r="N287" s="19">
        <v>5</v>
      </c>
      <c r="O287" s="19">
        <v>0</v>
      </c>
      <c r="P287" s="19">
        <v>8</v>
      </c>
      <c r="Q287" s="19" t="s">
        <v>2214</v>
      </c>
      <c r="R287" s="19" t="s">
        <v>72</v>
      </c>
      <c r="S287" s="19">
        <v>0</v>
      </c>
      <c r="T287" s="19" t="s">
        <v>1057</v>
      </c>
      <c r="U287" s="21"/>
      <c r="V287" s="19"/>
      <c r="W287" s="19" t="s">
        <v>74</v>
      </c>
      <c r="X287" s="19" t="s">
        <v>74</v>
      </c>
      <c r="Y287" s="19" t="s">
        <v>70</v>
      </c>
      <c r="Z287" s="19" t="s">
        <v>68</v>
      </c>
      <c r="AA287" s="19"/>
      <c r="AB287" s="4"/>
      <c r="AC287" s="4"/>
      <c r="AD287" s="19"/>
      <c r="AE287" s="19"/>
      <c r="AF287" s="19"/>
      <c r="AG287" s="19"/>
      <c r="AH287" s="19"/>
      <c r="AI287" s="19"/>
      <c r="AJ287" s="19"/>
      <c r="AK287" s="19"/>
      <c r="AL287" s="19"/>
      <c r="AM287" s="19"/>
      <c r="AN287" s="19"/>
      <c r="AO287" s="19"/>
      <c r="AP287" s="19"/>
      <c r="AQ287" s="19"/>
      <c r="AR287" s="19"/>
      <c r="AS287" s="27"/>
    </row>
    <row r="288" spans="1:45">
      <c r="A288" s="19">
        <f t="shared" si="4"/>
        <v>287</v>
      </c>
      <c r="B288" s="20">
        <v>45688</v>
      </c>
      <c r="C288" s="19" t="s">
        <v>1101</v>
      </c>
      <c r="D288" s="19" t="s">
        <v>1026</v>
      </c>
      <c r="E288" s="19">
        <v>20250719</v>
      </c>
      <c r="F288" s="19" t="s">
        <v>2215</v>
      </c>
      <c r="G288" s="19" t="s">
        <v>2216</v>
      </c>
      <c r="H288" s="19" t="s">
        <v>2217</v>
      </c>
      <c r="I288" s="19" t="s">
        <v>123</v>
      </c>
      <c r="J288" s="19" t="s">
        <v>1855</v>
      </c>
      <c r="K288" s="19" t="s">
        <v>569</v>
      </c>
      <c r="L288" s="19">
        <v>7</v>
      </c>
      <c r="M288" s="19" t="s">
        <v>2218</v>
      </c>
      <c r="N288" s="19">
        <v>6.5</v>
      </c>
      <c r="O288" s="19" t="s">
        <v>2219</v>
      </c>
      <c r="P288" s="19">
        <v>10</v>
      </c>
      <c r="Q288" s="19" t="s">
        <v>2220</v>
      </c>
      <c r="R288" s="19" t="s">
        <v>72</v>
      </c>
      <c r="S288" s="19" t="s">
        <v>1121</v>
      </c>
      <c r="T288" s="19"/>
      <c r="U288" s="21"/>
      <c r="V288" s="19"/>
      <c r="W288" s="19" t="s">
        <v>74</v>
      </c>
      <c r="X288" s="19" t="s">
        <v>74</v>
      </c>
      <c r="Y288" s="19" t="s">
        <v>70</v>
      </c>
      <c r="Z288" s="19" t="s">
        <v>68</v>
      </c>
      <c r="AA288" s="19"/>
      <c r="AB288" s="4"/>
      <c r="AC288" s="4"/>
      <c r="AD288" s="19"/>
      <c r="AE288" s="19"/>
      <c r="AF288" s="19"/>
      <c r="AG288" s="19"/>
      <c r="AH288" s="19"/>
      <c r="AI288" s="19"/>
      <c r="AJ288" s="19"/>
      <c r="AK288" s="19"/>
      <c r="AL288" s="19"/>
      <c r="AM288" s="19"/>
      <c r="AN288" s="19"/>
      <c r="AO288" s="19"/>
      <c r="AP288" s="19"/>
      <c r="AQ288" s="19"/>
      <c r="AR288" s="19"/>
      <c r="AS288" s="27"/>
    </row>
    <row r="289" spans="1:45">
      <c r="A289" s="19">
        <f t="shared" si="4"/>
        <v>288</v>
      </c>
      <c r="B289" s="20">
        <v>45688</v>
      </c>
      <c r="C289" s="19" t="s">
        <v>1101</v>
      </c>
      <c r="D289" s="19" t="s">
        <v>1813</v>
      </c>
      <c r="E289" s="19">
        <v>20251975</v>
      </c>
      <c r="F289" s="19" t="s">
        <v>2221</v>
      </c>
      <c r="G289" s="19">
        <v>8600759927</v>
      </c>
      <c r="H289" s="19" t="s">
        <v>2222</v>
      </c>
      <c r="I289" s="19" t="s">
        <v>123</v>
      </c>
      <c r="J289" s="19" t="s">
        <v>2223</v>
      </c>
      <c r="K289" s="19" t="s">
        <v>2224</v>
      </c>
      <c r="L289" s="19" t="s">
        <v>1786</v>
      </c>
      <c r="M289" s="19" t="s">
        <v>2225</v>
      </c>
      <c r="N289" s="19">
        <v>15</v>
      </c>
      <c r="O289" s="19"/>
      <c r="P289" s="19" t="s">
        <v>2226</v>
      </c>
      <c r="Q289" s="19" t="s">
        <v>72</v>
      </c>
      <c r="R289" s="19" t="s">
        <v>72</v>
      </c>
      <c r="S289" s="19" t="s">
        <v>2227</v>
      </c>
      <c r="T289" s="19" t="s">
        <v>2228</v>
      </c>
      <c r="U289" s="21"/>
      <c r="V289" s="19"/>
      <c r="W289" s="19" t="s">
        <v>245</v>
      </c>
      <c r="X289" s="19" t="s">
        <v>245</v>
      </c>
      <c r="Y289" s="19"/>
      <c r="Z289" s="19" t="s">
        <v>68</v>
      </c>
      <c r="AA289" s="19"/>
      <c r="AB289" s="4"/>
      <c r="AC289" s="4"/>
      <c r="AD289" s="19"/>
      <c r="AE289" s="19"/>
      <c r="AF289" s="19"/>
      <c r="AG289" s="19"/>
      <c r="AH289" s="19"/>
      <c r="AI289" s="19"/>
      <c r="AJ289" s="19"/>
      <c r="AK289" s="19"/>
      <c r="AL289" s="19"/>
      <c r="AM289" s="19"/>
      <c r="AN289" s="19"/>
      <c r="AO289" s="19"/>
      <c r="AP289" s="19"/>
      <c r="AQ289" s="19"/>
      <c r="AR289" s="19"/>
      <c r="AS289" s="27"/>
    </row>
    <row r="290" spans="1:45">
      <c r="A290" s="19">
        <f t="shared" si="4"/>
        <v>289</v>
      </c>
      <c r="B290" s="20">
        <v>45688</v>
      </c>
      <c r="C290" s="19" t="s">
        <v>1101</v>
      </c>
      <c r="D290" s="19" t="s">
        <v>1160</v>
      </c>
      <c r="E290" s="19">
        <v>20252855</v>
      </c>
      <c r="F290" s="19" t="s">
        <v>2229</v>
      </c>
      <c r="G290" s="19">
        <v>8149377289</v>
      </c>
      <c r="H290" s="19" t="s">
        <v>2230</v>
      </c>
      <c r="I290" s="19" t="s">
        <v>123</v>
      </c>
      <c r="J290" s="19" t="s">
        <v>276</v>
      </c>
      <c r="K290" s="19" t="s">
        <v>228</v>
      </c>
      <c r="L290" s="19" t="s">
        <v>2231</v>
      </c>
      <c r="M290" s="19" t="s">
        <v>2232</v>
      </c>
      <c r="N290" s="19" t="s">
        <v>1073</v>
      </c>
      <c r="O290" s="19"/>
      <c r="P290" s="19" t="s">
        <v>2233</v>
      </c>
      <c r="Q290" s="19" t="s">
        <v>72</v>
      </c>
      <c r="R290" s="19" t="s">
        <v>72</v>
      </c>
      <c r="S290" s="19" t="s">
        <v>2234</v>
      </c>
      <c r="T290" s="19" t="s">
        <v>858</v>
      </c>
      <c r="U290" s="21"/>
      <c r="V290" s="19"/>
      <c r="W290" s="19" t="s">
        <v>144</v>
      </c>
      <c r="X290" s="19" t="s">
        <v>144</v>
      </c>
      <c r="Y290" s="19"/>
      <c r="Z290" s="19" t="s">
        <v>68</v>
      </c>
      <c r="AA290" s="19"/>
      <c r="AB290" s="4"/>
      <c r="AC290" s="4"/>
      <c r="AD290" s="19"/>
      <c r="AE290" s="19"/>
      <c r="AF290" s="19"/>
      <c r="AG290" s="19"/>
      <c r="AH290" s="19"/>
      <c r="AI290" s="19"/>
      <c r="AJ290" s="19"/>
      <c r="AK290" s="19"/>
      <c r="AL290" s="19"/>
      <c r="AM290" s="19"/>
      <c r="AN290" s="19"/>
      <c r="AO290" s="19"/>
      <c r="AP290" s="19"/>
      <c r="AQ290" s="19"/>
      <c r="AR290" s="19"/>
      <c r="AS290" s="27"/>
    </row>
    <row r="291" spans="1:45">
      <c r="A291" s="19">
        <f t="shared" si="4"/>
        <v>290</v>
      </c>
      <c r="B291" s="20">
        <v>45688</v>
      </c>
      <c r="C291" s="19" t="s">
        <v>55</v>
      </c>
      <c r="D291" s="19" t="s">
        <v>80</v>
      </c>
      <c r="E291" s="19">
        <v>20252855</v>
      </c>
      <c r="F291" s="19" t="s">
        <v>2235</v>
      </c>
      <c r="G291" s="19">
        <v>7057700769</v>
      </c>
      <c r="H291" s="19" t="s">
        <v>280</v>
      </c>
      <c r="I291" s="19" t="s">
        <v>123</v>
      </c>
      <c r="J291" s="19" t="s">
        <v>276</v>
      </c>
      <c r="K291" s="19" t="s">
        <v>228</v>
      </c>
      <c r="L291" s="19" t="s">
        <v>1063</v>
      </c>
      <c r="M291" s="19" t="s">
        <v>1294</v>
      </c>
      <c r="N291" s="19" t="s">
        <v>1477</v>
      </c>
      <c r="O291" s="19"/>
      <c r="P291" s="19" t="s">
        <v>1243</v>
      </c>
      <c r="Q291" s="19" t="s">
        <v>72</v>
      </c>
      <c r="R291" s="19" t="s">
        <v>72</v>
      </c>
      <c r="S291" s="19" t="s">
        <v>2236</v>
      </c>
      <c r="T291" s="19" t="s">
        <v>2237</v>
      </c>
      <c r="U291" s="21">
        <v>45740</v>
      </c>
      <c r="V291" s="19"/>
      <c r="W291" s="19" t="s">
        <v>144</v>
      </c>
      <c r="X291" s="19" t="s">
        <v>144</v>
      </c>
      <c r="Y291" s="19" t="s">
        <v>70</v>
      </c>
      <c r="Z291" s="19" t="s">
        <v>68</v>
      </c>
      <c r="AA291" s="19"/>
      <c r="AB291" s="4"/>
      <c r="AC291" s="4"/>
      <c r="AD291" s="19"/>
      <c r="AE291" s="19"/>
      <c r="AF291" s="19"/>
      <c r="AG291" s="19"/>
      <c r="AH291" s="19"/>
      <c r="AI291" s="19"/>
      <c r="AJ291" s="19"/>
      <c r="AK291" s="19"/>
      <c r="AL291" s="19"/>
      <c r="AM291" s="19"/>
      <c r="AN291" s="19"/>
      <c r="AO291" s="19"/>
      <c r="AP291" s="19"/>
      <c r="AQ291" s="19"/>
      <c r="AR291" s="19"/>
      <c r="AS291" s="27"/>
    </row>
    <row r="292" spans="1:45">
      <c r="A292" s="19">
        <f t="shared" si="4"/>
        <v>291</v>
      </c>
      <c r="B292" s="20">
        <v>45688</v>
      </c>
      <c r="C292" s="19" t="s">
        <v>1101</v>
      </c>
      <c r="D292" s="19" t="s">
        <v>1432</v>
      </c>
      <c r="E292" s="19">
        <v>20252855</v>
      </c>
      <c r="F292" s="19" t="s">
        <v>2238</v>
      </c>
      <c r="G292" s="19" t="s">
        <v>2239</v>
      </c>
      <c r="H292" s="19" t="s">
        <v>2240</v>
      </c>
      <c r="I292" s="19" t="s">
        <v>86</v>
      </c>
      <c r="J292" s="19" t="s">
        <v>276</v>
      </c>
      <c r="K292" s="19" t="s">
        <v>228</v>
      </c>
      <c r="L292" s="19" t="s">
        <v>2241</v>
      </c>
      <c r="M292" s="19" t="s">
        <v>2242</v>
      </c>
      <c r="N292" s="19" t="s">
        <v>1395</v>
      </c>
      <c r="O292" s="19"/>
      <c r="P292" s="19" t="s">
        <v>2233</v>
      </c>
      <c r="Q292" s="19" t="s">
        <v>72</v>
      </c>
      <c r="R292" s="19" t="s">
        <v>72</v>
      </c>
      <c r="S292" s="19" t="s">
        <v>1067</v>
      </c>
      <c r="T292" s="19" t="s">
        <v>858</v>
      </c>
      <c r="U292" s="21"/>
      <c r="V292" s="19"/>
      <c r="W292" s="19" t="s">
        <v>144</v>
      </c>
      <c r="X292" s="19" t="s">
        <v>2243</v>
      </c>
      <c r="Y292" s="19"/>
      <c r="Z292" s="19" t="s">
        <v>68</v>
      </c>
      <c r="AA292" s="19"/>
      <c r="AB292" s="4"/>
      <c r="AC292" s="4"/>
      <c r="AD292" s="19"/>
      <c r="AE292" s="19"/>
      <c r="AF292" s="19"/>
      <c r="AG292" s="19"/>
      <c r="AH292" s="19"/>
      <c r="AI292" s="19"/>
      <c r="AJ292" s="19"/>
      <c r="AK292" s="19"/>
      <c r="AL292" s="19"/>
      <c r="AM292" s="19"/>
      <c r="AN292" s="19"/>
      <c r="AO292" s="19"/>
      <c r="AP292" s="19"/>
      <c r="AQ292" s="19"/>
      <c r="AR292" s="19"/>
      <c r="AS292" s="27"/>
    </row>
    <row r="293" spans="1:45">
      <c r="A293" s="19">
        <f t="shared" si="4"/>
        <v>292</v>
      </c>
      <c r="B293" s="20">
        <v>45688</v>
      </c>
      <c r="C293" s="19" t="s">
        <v>1101</v>
      </c>
      <c r="D293" s="19" t="s">
        <v>1432</v>
      </c>
      <c r="E293" s="19">
        <v>20252855</v>
      </c>
      <c r="F293" s="19" t="s">
        <v>2244</v>
      </c>
      <c r="G293" s="19">
        <v>8319843083</v>
      </c>
      <c r="H293" s="19" t="s">
        <v>2245</v>
      </c>
      <c r="I293" s="19" t="s">
        <v>86</v>
      </c>
      <c r="J293" s="19" t="s">
        <v>276</v>
      </c>
      <c r="K293" s="19" t="s">
        <v>228</v>
      </c>
      <c r="L293" s="19" t="s">
        <v>2246</v>
      </c>
      <c r="M293" s="19" t="s">
        <v>1447</v>
      </c>
      <c r="N293" s="19" t="s">
        <v>1471</v>
      </c>
      <c r="O293" s="19"/>
      <c r="P293" s="19" t="s">
        <v>1084</v>
      </c>
      <c r="Q293" s="19" t="s">
        <v>72</v>
      </c>
      <c r="R293" s="19" t="s">
        <v>72</v>
      </c>
      <c r="S293" s="19" t="s">
        <v>2247</v>
      </c>
      <c r="T293" s="19" t="s">
        <v>2248</v>
      </c>
      <c r="U293" s="21"/>
      <c r="V293" s="19"/>
      <c r="W293" s="19" t="s">
        <v>144</v>
      </c>
      <c r="X293" s="19" t="s">
        <v>2243</v>
      </c>
      <c r="Y293" s="19"/>
      <c r="Z293" s="19" t="s">
        <v>68</v>
      </c>
      <c r="AA293" s="19"/>
      <c r="AB293" s="4"/>
      <c r="AC293" s="4"/>
      <c r="AD293" s="19"/>
      <c r="AE293" s="19"/>
      <c r="AF293" s="19"/>
      <c r="AG293" s="19"/>
      <c r="AH293" s="19"/>
      <c r="AI293" s="19"/>
      <c r="AJ293" s="19"/>
      <c r="AK293" s="19"/>
      <c r="AL293" s="19"/>
      <c r="AM293" s="19"/>
      <c r="AN293" s="19"/>
      <c r="AO293" s="19"/>
      <c r="AP293" s="19"/>
      <c r="AQ293" s="19"/>
      <c r="AR293" s="19"/>
      <c r="AS293" s="27"/>
    </row>
    <row r="294" spans="1:45">
      <c r="A294" s="19">
        <f t="shared" si="4"/>
        <v>293</v>
      </c>
      <c r="B294" s="20">
        <v>45690</v>
      </c>
      <c r="C294" s="19" t="s">
        <v>1101</v>
      </c>
      <c r="D294" s="19" t="s">
        <v>1432</v>
      </c>
      <c r="E294" s="19">
        <v>20252855</v>
      </c>
      <c r="F294" s="19" t="s">
        <v>2249</v>
      </c>
      <c r="G294" s="19">
        <v>9833397372</v>
      </c>
      <c r="H294" s="19" t="s">
        <v>2250</v>
      </c>
      <c r="I294" s="19" t="s">
        <v>123</v>
      </c>
      <c r="J294" s="19" t="s">
        <v>276</v>
      </c>
      <c r="K294" s="19" t="s">
        <v>228</v>
      </c>
      <c r="L294" s="19" t="s">
        <v>1949</v>
      </c>
      <c r="M294" s="19" t="s">
        <v>2251</v>
      </c>
      <c r="N294" s="19" t="s">
        <v>1238</v>
      </c>
      <c r="O294" s="19"/>
      <c r="P294" s="19" t="s">
        <v>1744</v>
      </c>
      <c r="Q294" s="19" t="s">
        <v>708</v>
      </c>
      <c r="R294" s="19" t="s">
        <v>72</v>
      </c>
      <c r="S294" s="19" t="s">
        <v>1121</v>
      </c>
      <c r="T294" s="19" t="s">
        <v>858</v>
      </c>
      <c r="U294" s="21"/>
      <c r="V294" s="19"/>
      <c r="W294" s="19" t="s">
        <v>144</v>
      </c>
      <c r="X294" s="19" t="s">
        <v>2243</v>
      </c>
      <c r="Y294" s="19"/>
      <c r="Z294" s="19" t="s">
        <v>68</v>
      </c>
      <c r="AA294" s="19"/>
      <c r="AB294" s="4"/>
      <c r="AC294" s="4"/>
      <c r="AD294" s="19"/>
      <c r="AE294" s="19"/>
      <c r="AF294" s="19"/>
      <c r="AG294" s="19"/>
      <c r="AH294" s="19"/>
      <c r="AI294" s="19"/>
      <c r="AJ294" s="19"/>
      <c r="AK294" s="19"/>
      <c r="AL294" s="19"/>
      <c r="AM294" s="19"/>
      <c r="AN294" s="19"/>
      <c r="AO294" s="19"/>
      <c r="AP294" s="19"/>
      <c r="AQ294" s="19"/>
      <c r="AR294" s="19"/>
      <c r="AS294" s="27"/>
    </row>
    <row r="295" spans="1:45">
      <c r="A295" s="19">
        <f t="shared" si="4"/>
        <v>294</v>
      </c>
      <c r="B295" s="20">
        <v>45690</v>
      </c>
      <c r="C295" s="19" t="s">
        <v>1101</v>
      </c>
      <c r="D295" s="19" t="s">
        <v>1160</v>
      </c>
      <c r="E295" s="19">
        <v>20252855</v>
      </c>
      <c r="F295" s="19" t="s">
        <v>2252</v>
      </c>
      <c r="G295" s="19" t="s">
        <v>2253</v>
      </c>
      <c r="H295" s="19" t="s">
        <v>2254</v>
      </c>
      <c r="I295" s="19" t="s">
        <v>86</v>
      </c>
      <c r="J295" s="19" t="s">
        <v>276</v>
      </c>
      <c r="K295" s="19" t="s">
        <v>228</v>
      </c>
      <c r="L295" s="19" t="s">
        <v>1673</v>
      </c>
      <c r="M295" s="19" t="s">
        <v>2255</v>
      </c>
      <c r="N295" s="19" t="s">
        <v>1186</v>
      </c>
      <c r="O295" s="19"/>
      <c r="P295" s="19" t="s">
        <v>1079</v>
      </c>
      <c r="Q295" s="19" t="s">
        <v>72</v>
      </c>
      <c r="R295" s="19" t="s">
        <v>72</v>
      </c>
      <c r="S295" s="19" t="s">
        <v>1139</v>
      </c>
      <c r="T295" s="19" t="s">
        <v>858</v>
      </c>
      <c r="U295" s="21"/>
      <c r="V295" s="19"/>
      <c r="W295" s="19" t="s">
        <v>144</v>
      </c>
      <c r="X295" s="19" t="s">
        <v>2243</v>
      </c>
      <c r="Y295" s="19"/>
      <c r="Z295" s="19" t="s">
        <v>68</v>
      </c>
      <c r="AA295" s="19"/>
      <c r="AB295" s="4"/>
      <c r="AC295" s="4"/>
      <c r="AD295" s="19"/>
      <c r="AE295" s="19"/>
      <c r="AF295" s="19"/>
      <c r="AG295" s="19"/>
      <c r="AH295" s="19"/>
      <c r="AI295" s="19"/>
      <c r="AJ295" s="19"/>
      <c r="AK295" s="19"/>
      <c r="AL295" s="19"/>
      <c r="AM295" s="19"/>
      <c r="AN295" s="19"/>
      <c r="AO295" s="19"/>
      <c r="AP295" s="19"/>
      <c r="AQ295" s="19"/>
      <c r="AR295" s="19"/>
      <c r="AS295" s="27"/>
    </row>
    <row r="296" spans="1:45">
      <c r="A296" s="19">
        <f t="shared" si="4"/>
        <v>295</v>
      </c>
      <c r="B296" s="20">
        <v>45690</v>
      </c>
      <c r="C296" s="19" t="s">
        <v>1101</v>
      </c>
      <c r="D296" s="19" t="s">
        <v>1432</v>
      </c>
      <c r="E296" s="19">
        <v>20252855</v>
      </c>
      <c r="F296" s="19" t="s">
        <v>2256</v>
      </c>
      <c r="G296" s="19">
        <v>9923668823</v>
      </c>
      <c r="H296" s="19" t="s">
        <v>2257</v>
      </c>
      <c r="I296" s="19" t="s">
        <v>123</v>
      </c>
      <c r="J296" s="19" t="s">
        <v>276</v>
      </c>
      <c r="K296" s="19" t="s">
        <v>228</v>
      </c>
      <c r="L296" s="19" t="s">
        <v>1423</v>
      </c>
      <c r="M296" s="19" t="s">
        <v>2258</v>
      </c>
      <c r="N296" s="19" t="s">
        <v>1095</v>
      </c>
      <c r="O296" s="19"/>
      <c r="P296" s="19" t="s">
        <v>1195</v>
      </c>
      <c r="Q296" s="19" t="s">
        <v>72</v>
      </c>
      <c r="R296" s="19" t="s">
        <v>72</v>
      </c>
      <c r="S296" s="19" t="s">
        <v>1121</v>
      </c>
      <c r="T296" s="19" t="s">
        <v>858</v>
      </c>
      <c r="U296" s="21"/>
      <c r="V296" s="19"/>
      <c r="W296" s="19" t="s">
        <v>144</v>
      </c>
      <c r="X296" s="19" t="s">
        <v>2243</v>
      </c>
      <c r="Y296" s="19"/>
      <c r="Z296" s="19" t="s">
        <v>68</v>
      </c>
      <c r="AA296" s="19"/>
      <c r="AB296" s="4"/>
      <c r="AC296" s="4"/>
      <c r="AD296" s="19"/>
      <c r="AE296" s="19"/>
      <c r="AF296" s="19"/>
      <c r="AG296" s="19"/>
      <c r="AH296" s="19"/>
      <c r="AI296" s="19"/>
      <c r="AJ296" s="19"/>
      <c r="AK296" s="19"/>
      <c r="AL296" s="19"/>
      <c r="AM296" s="19"/>
      <c r="AN296" s="19"/>
      <c r="AO296" s="19"/>
      <c r="AP296" s="19"/>
      <c r="AQ296" s="19"/>
      <c r="AR296" s="19"/>
      <c r="AS296" s="27"/>
    </row>
    <row r="297" spans="1:45">
      <c r="A297" s="19">
        <f t="shared" si="4"/>
        <v>296</v>
      </c>
      <c r="B297" s="20">
        <v>45694</v>
      </c>
      <c r="C297" s="19" t="s">
        <v>1101</v>
      </c>
      <c r="D297" s="19" t="s">
        <v>1102</v>
      </c>
      <c r="E297" s="19">
        <v>20251215</v>
      </c>
      <c r="F297" s="19" t="s">
        <v>2259</v>
      </c>
      <c r="G297" s="19">
        <v>8975754275</v>
      </c>
      <c r="H297" s="19" t="s">
        <v>2260</v>
      </c>
      <c r="I297" s="19" t="s">
        <v>123</v>
      </c>
      <c r="J297" s="19" t="s">
        <v>328</v>
      </c>
      <c r="K297" s="19" t="s">
        <v>1767</v>
      </c>
      <c r="L297" s="19" t="s">
        <v>1322</v>
      </c>
      <c r="M297" s="19" t="s">
        <v>2261</v>
      </c>
      <c r="N297" s="19" t="s">
        <v>2262</v>
      </c>
      <c r="O297" s="19"/>
      <c r="P297" s="19" t="s">
        <v>1642</v>
      </c>
      <c r="Q297" s="19" t="s">
        <v>72</v>
      </c>
      <c r="R297" s="19" t="s">
        <v>72</v>
      </c>
      <c r="S297" s="19" t="s">
        <v>2263</v>
      </c>
      <c r="T297" s="19" t="s">
        <v>858</v>
      </c>
      <c r="U297" s="21"/>
      <c r="V297" s="19"/>
      <c r="W297" s="19" t="s">
        <v>144</v>
      </c>
      <c r="X297" s="19" t="s">
        <v>144</v>
      </c>
      <c r="Y297" s="19"/>
      <c r="Z297" s="19" t="s">
        <v>68</v>
      </c>
      <c r="AA297" s="19"/>
      <c r="AB297" s="4"/>
      <c r="AC297" s="4"/>
      <c r="AD297" s="19"/>
      <c r="AE297" s="19"/>
      <c r="AF297" s="19"/>
      <c r="AG297" s="19"/>
      <c r="AH297" s="19"/>
      <c r="AI297" s="19"/>
      <c r="AJ297" s="19"/>
      <c r="AK297" s="19"/>
      <c r="AL297" s="19"/>
      <c r="AM297" s="19"/>
      <c r="AN297" s="19"/>
      <c r="AO297" s="19"/>
      <c r="AP297" s="19"/>
      <c r="AQ297" s="19"/>
      <c r="AR297" s="19"/>
      <c r="AS297" s="27"/>
    </row>
    <row r="298" spans="1:45">
      <c r="A298" s="19">
        <f t="shared" si="4"/>
        <v>297</v>
      </c>
      <c r="B298" s="20">
        <v>45694</v>
      </c>
      <c r="C298" s="19" t="s">
        <v>400</v>
      </c>
      <c r="D298" s="19" t="s">
        <v>952</v>
      </c>
      <c r="E298" s="19">
        <v>20251215</v>
      </c>
      <c r="F298" s="19" t="s">
        <v>784</v>
      </c>
      <c r="G298" s="19">
        <v>9421392992</v>
      </c>
      <c r="H298" s="19" t="s">
        <v>785</v>
      </c>
      <c r="I298" s="19" t="s">
        <v>123</v>
      </c>
      <c r="J298" s="19" t="s">
        <v>318</v>
      </c>
      <c r="K298" s="19" t="s">
        <v>1767</v>
      </c>
      <c r="L298" s="19" t="s">
        <v>1458</v>
      </c>
      <c r="M298" s="19" t="s">
        <v>2264</v>
      </c>
      <c r="N298" s="19" t="s">
        <v>2265</v>
      </c>
      <c r="O298" s="19"/>
      <c r="P298" s="19" t="s">
        <v>1669</v>
      </c>
      <c r="Q298" s="19" t="s">
        <v>72</v>
      </c>
      <c r="R298" s="19" t="s">
        <v>72</v>
      </c>
      <c r="S298" s="19" t="s">
        <v>1158</v>
      </c>
      <c r="T298" s="19" t="s">
        <v>858</v>
      </c>
      <c r="U298" s="21"/>
      <c r="V298" s="19"/>
      <c r="W298" s="19" t="s">
        <v>144</v>
      </c>
      <c r="X298" s="19" t="s">
        <v>144</v>
      </c>
      <c r="Y298" s="19" t="s">
        <v>94</v>
      </c>
      <c r="Z298" s="19" t="s">
        <v>68</v>
      </c>
      <c r="AA298" s="19"/>
      <c r="AB298" s="4"/>
      <c r="AC298" s="4"/>
      <c r="AD298" s="27"/>
      <c r="AE298" s="27"/>
      <c r="AF298" s="27"/>
      <c r="AG298" s="27"/>
      <c r="AH298" s="27"/>
      <c r="AI298" s="27"/>
      <c r="AJ298" s="27"/>
      <c r="AK298" s="19"/>
      <c r="AL298" s="19"/>
      <c r="AM298" s="27"/>
      <c r="AN298" s="27"/>
      <c r="AO298" s="27"/>
      <c r="AP298" s="27"/>
      <c r="AQ298" s="27"/>
      <c r="AR298" s="27"/>
      <c r="AS298" s="27"/>
    </row>
    <row r="299" spans="1:45">
      <c r="A299" s="19">
        <f t="shared" si="4"/>
        <v>298</v>
      </c>
      <c r="B299" s="20">
        <v>45694</v>
      </c>
      <c r="C299" s="19" t="s">
        <v>1101</v>
      </c>
      <c r="D299" s="19" t="s">
        <v>1160</v>
      </c>
      <c r="E299" s="19">
        <v>20251215</v>
      </c>
      <c r="F299" s="19" t="s">
        <v>2266</v>
      </c>
      <c r="G299" s="19">
        <v>8411926593</v>
      </c>
      <c r="H299" s="19" t="s">
        <v>2267</v>
      </c>
      <c r="I299" s="19" t="s">
        <v>123</v>
      </c>
      <c r="J299" s="19" t="s">
        <v>318</v>
      </c>
      <c r="K299" s="19" t="s">
        <v>1767</v>
      </c>
      <c r="L299" s="19" t="s">
        <v>1446</v>
      </c>
      <c r="M299" s="19" t="s">
        <v>2268</v>
      </c>
      <c r="N299" s="19" t="s">
        <v>1540</v>
      </c>
      <c r="O299" s="19"/>
      <c r="P299" s="19" t="s">
        <v>1395</v>
      </c>
      <c r="Q299" s="19" t="s">
        <v>72</v>
      </c>
      <c r="R299" s="19" t="s">
        <v>72</v>
      </c>
      <c r="S299" s="19" t="s">
        <v>1783</v>
      </c>
      <c r="T299" s="19" t="s">
        <v>858</v>
      </c>
      <c r="U299" s="21"/>
      <c r="V299" s="19"/>
      <c r="W299" s="19" t="s">
        <v>144</v>
      </c>
      <c r="X299" s="19" t="s">
        <v>144</v>
      </c>
      <c r="Y299" s="19"/>
      <c r="Z299" s="19" t="s">
        <v>68</v>
      </c>
      <c r="AA299" s="19"/>
      <c r="AB299" s="4"/>
      <c r="AC299" s="4"/>
      <c r="AD299" s="19"/>
      <c r="AE299" s="19"/>
      <c r="AF299" s="19"/>
      <c r="AG299" s="19"/>
      <c r="AH299" s="19"/>
      <c r="AI299" s="19"/>
      <c r="AJ299" s="19"/>
      <c r="AK299" s="19"/>
      <c r="AL299" s="19"/>
      <c r="AM299" s="19"/>
      <c r="AN299" s="19"/>
      <c r="AO299" s="19"/>
      <c r="AP299" s="19"/>
      <c r="AQ299" s="19"/>
      <c r="AR299" s="19"/>
      <c r="AS299" s="27"/>
    </row>
    <row r="300" spans="1:45">
      <c r="A300" s="19">
        <f t="shared" si="4"/>
        <v>299</v>
      </c>
      <c r="B300" s="20">
        <v>45694</v>
      </c>
      <c r="C300" s="19" t="s">
        <v>1101</v>
      </c>
      <c r="D300" s="19" t="s">
        <v>1432</v>
      </c>
      <c r="E300" s="19">
        <v>20251215</v>
      </c>
      <c r="F300" s="19" t="s">
        <v>2269</v>
      </c>
      <c r="G300" s="19" t="s">
        <v>2270</v>
      </c>
      <c r="H300" s="19" t="s">
        <v>2271</v>
      </c>
      <c r="I300" s="19" t="s">
        <v>123</v>
      </c>
      <c r="J300" s="19" t="s">
        <v>328</v>
      </c>
      <c r="K300" s="19" t="s">
        <v>1767</v>
      </c>
      <c r="L300" s="19" t="s">
        <v>1652</v>
      </c>
      <c r="M300" s="19" t="s">
        <v>2272</v>
      </c>
      <c r="N300" s="19" t="s">
        <v>2273</v>
      </c>
      <c r="O300" s="19"/>
      <c r="P300" s="19" t="s">
        <v>1084</v>
      </c>
      <c r="Q300" s="19" t="s">
        <v>72</v>
      </c>
      <c r="R300" s="19" t="s">
        <v>72</v>
      </c>
      <c r="S300" s="19" t="s">
        <v>1769</v>
      </c>
      <c r="T300" s="19" t="s">
        <v>858</v>
      </c>
      <c r="U300" s="21"/>
      <c r="V300" s="19"/>
      <c r="W300" s="19" t="s">
        <v>144</v>
      </c>
      <c r="X300" s="19" t="s">
        <v>144</v>
      </c>
      <c r="Y300" s="19"/>
      <c r="Z300" s="19" t="s">
        <v>68</v>
      </c>
      <c r="AA300" s="19"/>
      <c r="AB300" s="4"/>
      <c r="AC300" s="4"/>
      <c r="AD300" s="19"/>
      <c r="AE300" s="19"/>
      <c r="AF300" s="19"/>
      <c r="AG300" s="19"/>
      <c r="AH300" s="19"/>
      <c r="AI300" s="19"/>
      <c r="AJ300" s="19"/>
      <c r="AK300" s="19"/>
      <c r="AL300" s="19"/>
      <c r="AM300" s="19"/>
      <c r="AN300" s="19"/>
      <c r="AO300" s="19"/>
      <c r="AP300" s="19"/>
      <c r="AQ300" s="19"/>
      <c r="AR300" s="19"/>
      <c r="AS300" s="27"/>
    </row>
    <row r="301" spans="1:45">
      <c r="A301" s="19">
        <f t="shared" si="4"/>
        <v>300</v>
      </c>
      <c r="B301" s="20">
        <v>45694</v>
      </c>
      <c r="C301" s="19" t="s">
        <v>1101</v>
      </c>
      <c r="D301" s="19" t="s">
        <v>1432</v>
      </c>
      <c r="E301" s="19">
        <v>20251215</v>
      </c>
      <c r="F301" s="19" t="s">
        <v>2274</v>
      </c>
      <c r="G301" s="19">
        <v>9503738181</v>
      </c>
      <c r="H301" s="19" t="s">
        <v>2275</v>
      </c>
      <c r="I301" s="19" t="s">
        <v>123</v>
      </c>
      <c r="J301" s="19" t="s">
        <v>328</v>
      </c>
      <c r="K301" s="19" t="s">
        <v>1767</v>
      </c>
      <c r="L301" s="19" t="s">
        <v>1093</v>
      </c>
      <c r="M301" s="19" t="s">
        <v>2276</v>
      </c>
      <c r="N301" s="19" t="s">
        <v>1079</v>
      </c>
      <c r="O301" s="19"/>
      <c r="P301" s="19" t="s">
        <v>1540</v>
      </c>
      <c r="Q301" s="19" t="s">
        <v>72</v>
      </c>
      <c r="R301" s="19" t="s">
        <v>72</v>
      </c>
      <c r="S301" s="19" t="s">
        <v>1092</v>
      </c>
      <c r="T301" s="19" t="s">
        <v>858</v>
      </c>
      <c r="U301" s="21"/>
      <c r="V301" s="19"/>
      <c r="W301" s="19" t="s">
        <v>144</v>
      </c>
      <c r="X301" s="19" t="s">
        <v>144</v>
      </c>
      <c r="Y301" s="19"/>
      <c r="Z301" s="19" t="s">
        <v>68</v>
      </c>
      <c r="AA301" s="19"/>
      <c r="AB301" s="4"/>
      <c r="AC301" s="4"/>
      <c r="AD301" s="19"/>
      <c r="AE301" s="19"/>
      <c r="AF301" s="19"/>
      <c r="AG301" s="19"/>
      <c r="AH301" s="19"/>
      <c r="AI301" s="19"/>
      <c r="AJ301" s="19"/>
      <c r="AK301" s="19"/>
      <c r="AL301" s="19"/>
      <c r="AM301" s="19"/>
      <c r="AN301" s="19"/>
      <c r="AO301" s="19"/>
      <c r="AP301" s="19"/>
      <c r="AQ301" s="19"/>
      <c r="AR301" s="19"/>
      <c r="AS301" s="27"/>
    </row>
    <row r="302" spans="1:45">
      <c r="A302" s="19">
        <f t="shared" si="4"/>
        <v>301</v>
      </c>
      <c r="B302" s="20">
        <v>45694</v>
      </c>
      <c r="C302" s="19" t="s">
        <v>1101</v>
      </c>
      <c r="D302" s="19" t="s">
        <v>1102</v>
      </c>
      <c r="E302" s="19">
        <v>20251215</v>
      </c>
      <c r="F302" s="19" t="s">
        <v>2277</v>
      </c>
      <c r="G302" s="19">
        <v>8552861949</v>
      </c>
      <c r="H302" s="19" t="s">
        <v>2278</v>
      </c>
      <c r="I302" s="19" t="s">
        <v>123</v>
      </c>
      <c r="J302" s="19" t="s">
        <v>318</v>
      </c>
      <c r="K302" s="19" t="s">
        <v>1767</v>
      </c>
      <c r="L302" s="19" t="s">
        <v>2279</v>
      </c>
      <c r="M302" s="19" t="s">
        <v>2280</v>
      </c>
      <c r="N302" s="19" t="s">
        <v>2281</v>
      </c>
      <c r="O302" s="19"/>
      <c r="P302" s="19" t="s">
        <v>2282</v>
      </c>
      <c r="Q302" s="19" t="s">
        <v>72</v>
      </c>
      <c r="R302" s="19" t="s">
        <v>72</v>
      </c>
      <c r="S302" s="19" t="s">
        <v>1769</v>
      </c>
      <c r="T302" s="19" t="s">
        <v>858</v>
      </c>
      <c r="U302" s="21"/>
      <c r="V302" s="19"/>
      <c r="W302" s="19" t="s">
        <v>144</v>
      </c>
      <c r="X302" s="19" t="s">
        <v>144</v>
      </c>
      <c r="Y302" s="19"/>
      <c r="Z302" s="19" t="s">
        <v>68</v>
      </c>
      <c r="AA302" s="19"/>
      <c r="AB302" s="4"/>
      <c r="AC302" s="4"/>
      <c r="AD302" s="19"/>
      <c r="AE302" s="19"/>
      <c r="AF302" s="19"/>
      <c r="AG302" s="19"/>
      <c r="AH302" s="19"/>
      <c r="AI302" s="19"/>
      <c r="AJ302" s="19"/>
      <c r="AK302" s="19"/>
      <c r="AL302" s="19"/>
      <c r="AM302" s="19"/>
      <c r="AN302" s="19"/>
      <c r="AO302" s="19"/>
      <c r="AP302" s="19"/>
      <c r="AQ302" s="19"/>
      <c r="AR302" s="19"/>
      <c r="AS302" s="27"/>
    </row>
    <row r="303" spans="1:45">
      <c r="A303" s="19">
        <f t="shared" si="4"/>
        <v>302</v>
      </c>
      <c r="B303" s="20">
        <v>45699</v>
      </c>
      <c r="C303" s="19" t="s">
        <v>1101</v>
      </c>
      <c r="D303" s="19" t="s">
        <v>1102</v>
      </c>
      <c r="E303" s="19">
        <v>20251215</v>
      </c>
      <c r="F303" s="19" t="s">
        <v>2283</v>
      </c>
      <c r="G303" s="19">
        <v>8087515184</v>
      </c>
      <c r="H303" s="19" t="s">
        <v>2284</v>
      </c>
      <c r="I303" s="19" t="s">
        <v>123</v>
      </c>
      <c r="J303" s="19" t="s">
        <v>318</v>
      </c>
      <c r="K303" s="19" t="s">
        <v>1767</v>
      </c>
      <c r="L303" s="19" t="s">
        <v>2279</v>
      </c>
      <c r="M303" s="19" t="s">
        <v>2285</v>
      </c>
      <c r="N303" s="19" t="s">
        <v>2286</v>
      </c>
      <c r="O303" s="19"/>
      <c r="P303" s="19" t="s">
        <v>2282</v>
      </c>
      <c r="Q303" s="19" t="s">
        <v>72</v>
      </c>
      <c r="R303" s="19" t="s">
        <v>72</v>
      </c>
      <c r="S303" s="19" t="s">
        <v>1092</v>
      </c>
      <c r="T303" s="19" t="s">
        <v>858</v>
      </c>
      <c r="U303" s="21"/>
      <c r="V303" s="19"/>
      <c r="W303" s="19" t="s">
        <v>144</v>
      </c>
      <c r="X303" s="19" t="s">
        <v>144</v>
      </c>
      <c r="Y303" s="19"/>
      <c r="Z303" s="19" t="s">
        <v>68</v>
      </c>
      <c r="AA303" s="19"/>
      <c r="AB303" s="4"/>
      <c r="AC303" s="4"/>
      <c r="AD303" s="19"/>
      <c r="AE303" s="19"/>
      <c r="AF303" s="19"/>
      <c r="AG303" s="19"/>
      <c r="AH303" s="19"/>
      <c r="AI303" s="19"/>
      <c r="AJ303" s="19"/>
      <c r="AK303" s="19"/>
      <c r="AL303" s="19"/>
      <c r="AM303" s="19"/>
      <c r="AN303" s="19"/>
      <c r="AO303" s="19"/>
      <c r="AP303" s="19"/>
      <c r="AQ303" s="19"/>
      <c r="AR303" s="19"/>
      <c r="AS303" s="27"/>
    </row>
    <row r="304" spans="1:45">
      <c r="A304" s="19">
        <f t="shared" si="4"/>
        <v>303</v>
      </c>
      <c r="B304" s="20">
        <v>45699</v>
      </c>
      <c r="C304" s="19" t="s">
        <v>1101</v>
      </c>
      <c r="D304" s="19" t="s">
        <v>1102</v>
      </c>
      <c r="E304" s="19">
        <v>20251215</v>
      </c>
      <c r="F304" s="19" t="s">
        <v>2287</v>
      </c>
      <c r="G304" s="19">
        <v>9738842921</v>
      </c>
      <c r="H304" s="19" t="s">
        <v>2288</v>
      </c>
      <c r="I304" s="19" t="s">
        <v>123</v>
      </c>
      <c r="J304" s="19" t="s">
        <v>328</v>
      </c>
      <c r="K304" s="19" t="s">
        <v>1767</v>
      </c>
      <c r="L304" s="19" t="s">
        <v>2289</v>
      </c>
      <c r="M304" s="19" t="s">
        <v>2290</v>
      </c>
      <c r="N304" s="19" t="s">
        <v>1448</v>
      </c>
      <c r="O304" s="19"/>
      <c r="P304" s="19" t="s">
        <v>1073</v>
      </c>
      <c r="Q304" s="19" t="s">
        <v>72</v>
      </c>
      <c r="R304" s="19" t="s">
        <v>72</v>
      </c>
      <c r="S304" s="19" t="s">
        <v>1769</v>
      </c>
      <c r="T304" s="19" t="s">
        <v>2291</v>
      </c>
      <c r="U304" s="21"/>
      <c r="V304" s="19"/>
      <c r="W304" s="19" t="s">
        <v>144</v>
      </c>
      <c r="X304" s="19" t="s">
        <v>144</v>
      </c>
      <c r="Y304" s="19"/>
      <c r="Z304" s="19" t="s">
        <v>68</v>
      </c>
      <c r="AA304" s="19"/>
      <c r="AB304" s="4"/>
      <c r="AC304" s="4"/>
      <c r="AD304" s="19"/>
      <c r="AE304" s="19"/>
      <c r="AF304" s="19"/>
      <c r="AG304" s="19"/>
      <c r="AH304" s="19"/>
      <c r="AI304" s="19"/>
      <c r="AJ304" s="19"/>
      <c r="AK304" s="19"/>
      <c r="AL304" s="19"/>
      <c r="AM304" s="19"/>
      <c r="AN304" s="19"/>
      <c r="AO304" s="19"/>
      <c r="AP304" s="19"/>
      <c r="AQ304" s="19"/>
      <c r="AR304" s="19"/>
      <c r="AS304" s="27"/>
    </row>
    <row r="305" spans="1:45">
      <c r="A305" s="19">
        <f t="shared" si="4"/>
        <v>304</v>
      </c>
      <c r="B305" s="20">
        <v>45699</v>
      </c>
      <c r="C305" s="19" t="s">
        <v>1101</v>
      </c>
      <c r="D305" s="19" t="s">
        <v>1102</v>
      </c>
      <c r="E305" s="19">
        <v>20251215</v>
      </c>
      <c r="F305" s="19" t="s">
        <v>2292</v>
      </c>
      <c r="G305" s="19">
        <v>9766120176</v>
      </c>
      <c r="H305" s="19" t="s">
        <v>2293</v>
      </c>
      <c r="I305" s="19" t="s">
        <v>123</v>
      </c>
      <c r="J305" s="19" t="s">
        <v>328</v>
      </c>
      <c r="K305" s="19" t="s">
        <v>1767</v>
      </c>
      <c r="L305" s="19" t="s">
        <v>1525</v>
      </c>
      <c r="M305" s="19" t="s">
        <v>2294</v>
      </c>
      <c r="N305" s="19" t="s">
        <v>2295</v>
      </c>
      <c r="O305" s="19"/>
      <c r="P305" s="19" t="s">
        <v>1084</v>
      </c>
      <c r="Q305" s="19" t="s">
        <v>72</v>
      </c>
      <c r="R305" s="19" t="s">
        <v>72</v>
      </c>
      <c r="S305" s="19" t="s">
        <v>1783</v>
      </c>
      <c r="T305" s="19" t="s">
        <v>858</v>
      </c>
      <c r="U305" s="21"/>
      <c r="V305" s="19"/>
      <c r="W305" s="19" t="s">
        <v>144</v>
      </c>
      <c r="X305" s="19" t="s">
        <v>144</v>
      </c>
      <c r="Y305" s="19"/>
      <c r="Z305" s="19" t="s">
        <v>68</v>
      </c>
      <c r="AA305" s="19"/>
      <c r="AB305" s="4"/>
      <c r="AC305" s="4"/>
      <c r="AD305" s="19"/>
      <c r="AE305" s="19"/>
      <c r="AF305" s="19"/>
      <c r="AG305" s="19"/>
      <c r="AH305" s="19"/>
      <c r="AI305" s="19"/>
      <c r="AJ305" s="19"/>
      <c r="AK305" s="19"/>
      <c r="AL305" s="19"/>
      <c r="AM305" s="19"/>
      <c r="AN305" s="19"/>
      <c r="AO305" s="19"/>
      <c r="AP305" s="19"/>
      <c r="AQ305" s="19"/>
      <c r="AR305" s="19"/>
      <c r="AS305" s="27"/>
    </row>
    <row r="306" spans="1:45">
      <c r="A306" s="19">
        <f t="shared" si="4"/>
        <v>305</v>
      </c>
      <c r="B306" s="20">
        <v>45699</v>
      </c>
      <c r="C306" s="19" t="s">
        <v>400</v>
      </c>
      <c r="D306" s="19" t="s">
        <v>80</v>
      </c>
      <c r="E306" s="19">
        <v>20251209</v>
      </c>
      <c r="F306" s="19" t="s">
        <v>330</v>
      </c>
      <c r="G306" s="19">
        <v>9503192369</v>
      </c>
      <c r="H306" s="19" t="s">
        <v>332</v>
      </c>
      <c r="I306" s="19" t="s">
        <v>123</v>
      </c>
      <c r="J306" s="19" t="s">
        <v>328</v>
      </c>
      <c r="K306" s="19" t="s">
        <v>1767</v>
      </c>
      <c r="L306" s="19" t="s">
        <v>1192</v>
      </c>
      <c r="M306" s="19" t="s">
        <v>2296</v>
      </c>
      <c r="N306" s="19" t="s">
        <v>2297</v>
      </c>
      <c r="O306" s="19"/>
      <c r="P306" s="19" t="s">
        <v>1243</v>
      </c>
      <c r="Q306" s="19" t="s">
        <v>72</v>
      </c>
      <c r="R306" s="19" t="s">
        <v>72</v>
      </c>
      <c r="S306" s="19" t="s">
        <v>1067</v>
      </c>
      <c r="T306" s="19" t="s">
        <v>858</v>
      </c>
      <c r="U306" s="21">
        <v>45804</v>
      </c>
      <c r="V306" s="19"/>
      <c r="W306" s="19" t="s">
        <v>144</v>
      </c>
      <c r="X306" s="19" t="s">
        <v>144</v>
      </c>
      <c r="Y306" s="19" t="s">
        <v>70</v>
      </c>
      <c r="Z306" s="19" t="s">
        <v>68</v>
      </c>
      <c r="AA306" s="19"/>
      <c r="AB306" s="4"/>
      <c r="AC306" s="4"/>
      <c r="AD306" s="27"/>
      <c r="AE306" s="27"/>
      <c r="AF306" s="27"/>
      <c r="AG306" s="27"/>
      <c r="AH306" s="27"/>
      <c r="AI306" s="27"/>
      <c r="AJ306" s="27"/>
      <c r="AK306" s="19"/>
      <c r="AL306" s="19"/>
      <c r="AM306" s="27"/>
      <c r="AN306" s="27"/>
      <c r="AO306" s="27"/>
      <c r="AP306" s="27"/>
      <c r="AQ306" s="27"/>
      <c r="AR306" s="27"/>
      <c r="AS306" s="27"/>
    </row>
    <row r="307" spans="1:45">
      <c r="A307" s="19">
        <f t="shared" si="4"/>
        <v>306</v>
      </c>
      <c r="B307" s="20">
        <v>45699</v>
      </c>
      <c r="C307" s="19" t="s">
        <v>1101</v>
      </c>
      <c r="D307" s="19" t="s">
        <v>1432</v>
      </c>
      <c r="E307" s="19">
        <v>20251209</v>
      </c>
      <c r="F307" s="19" t="s">
        <v>2298</v>
      </c>
      <c r="G307" s="19" t="s">
        <v>2299</v>
      </c>
      <c r="H307" s="19" t="s">
        <v>2300</v>
      </c>
      <c r="I307" s="19" t="s">
        <v>123</v>
      </c>
      <c r="J307" s="19" t="s">
        <v>328</v>
      </c>
      <c r="K307" s="19" t="s">
        <v>1767</v>
      </c>
      <c r="L307" s="19" t="s">
        <v>1230</v>
      </c>
      <c r="M307" s="19" t="s">
        <v>2301</v>
      </c>
      <c r="N307" s="19" t="s">
        <v>1540</v>
      </c>
      <c r="O307" s="19"/>
      <c r="P307" s="19" t="s">
        <v>1395</v>
      </c>
      <c r="Q307" s="19" t="s">
        <v>72</v>
      </c>
      <c r="R307" s="19" t="s">
        <v>72</v>
      </c>
      <c r="S307" s="19" t="s">
        <v>1783</v>
      </c>
      <c r="T307" s="19" t="s">
        <v>858</v>
      </c>
      <c r="U307" s="21">
        <v>45740</v>
      </c>
      <c r="V307" s="19"/>
      <c r="W307" s="19" t="s">
        <v>144</v>
      </c>
      <c r="X307" s="19" t="s">
        <v>144</v>
      </c>
      <c r="Y307" s="19"/>
      <c r="Z307" s="19" t="s">
        <v>68</v>
      </c>
      <c r="AA307" s="19"/>
      <c r="AB307" s="4"/>
      <c r="AC307" s="4"/>
      <c r="AD307" s="19"/>
      <c r="AE307" s="19"/>
      <c r="AF307" s="19"/>
      <c r="AG307" s="19"/>
      <c r="AH307" s="19"/>
      <c r="AI307" s="19"/>
      <c r="AJ307" s="19"/>
      <c r="AK307" s="19"/>
      <c r="AL307" s="19"/>
      <c r="AM307" s="19"/>
      <c r="AN307" s="19"/>
      <c r="AO307" s="19"/>
      <c r="AP307" s="19"/>
      <c r="AQ307" s="19"/>
      <c r="AR307" s="19"/>
      <c r="AS307" s="27"/>
    </row>
    <row r="308" spans="1:45">
      <c r="A308" s="19">
        <f t="shared" si="4"/>
        <v>307</v>
      </c>
      <c r="B308" s="20">
        <v>45699</v>
      </c>
      <c r="C308" s="19" t="s">
        <v>1101</v>
      </c>
      <c r="D308" s="19" t="s">
        <v>1432</v>
      </c>
      <c r="E308" s="19">
        <v>20251209</v>
      </c>
      <c r="F308" s="19" t="s">
        <v>795</v>
      </c>
      <c r="G308" s="19">
        <v>9960412200</v>
      </c>
      <c r="H308" s="19" t="s">
        <v>796</v>
      </c>
      <c r="I308" s="19" t="s">
        <v>123</v>
      </c>
      <c r="J308" s="19" t="s">
        <v>328</v>
      </c>
      <c r="K308" s="19" t="s">
        <v>1767</v>
      </c>
      <c r="L308" s="19" t="s">
        <v>1192</v>
      </c>
      <c r="M308" s="19" t="s">
        <v>2302</v>
      </c>
      <c r="N308" s="19" t="s">
        <v>1471</v>
      </c>
      <c r="O308" s="19"/>
      <c r="P308" s="19" t="s">
        <v>1243</v>
      </c>
      <c r="Q308" s="19" t="s">
        <v>72</v>
      </c>
      <c r="R308" s="19" t="s">
        <v>72</v>
      </c>
      <c r="S308" s="19" t="s">
        <v>1067</v>
      </c>
      <c r="T308" s="19" t="s">
        <v>858</v>
      </c>
      <c r="U308" s="21"/>
      <c r="V308" s="19"/>
      <c r="W308" s="19" t="s">
        <v>144</v>
      </c>
      <c r="X308" s="19" t="s">
        <v>144</v>
      </c>
      <c r="Y308" s="19"/>
      <c r="Z308" s="19" t="s">
        <v>68</v>
      </c>
      <c r="AA308" s="19"/>
      <c r="AB308" s="4"/>
      <c r="AC308" s="4"/>
      <c r="AD308" s="19"/>
      <c r="AE308" s="19"/>
      <c r="AF308" s="19"/>
      <c r="AG308" s="19"/>
      <c r="AH308" s="19"/>
      <c r="AI308" s="19"/>
      <c r="AJ308" s="19"/>
      <c r="AK308" s="19"/>
      <c r="AL308" s="19"/>
      <c r="AM308" s="19"/>
      <c r="AN308" s="19"/>
      <c r="AO308" s="19"/>
      <c r="AP308" s="19"/>
      <c r="AQ308" s="19"/>
      <c r="AR308" s="19"/>
      <c r="AS308" s="27"/>
    </row>
    <row r="309" spans="1:45">
      <c r="A309" s="19">
        <f t="shared" si="4"/>
        <v>308</v>
      </c>
      <c r="B309" s="20">
        <v>45699</v>
      </c>
      <c r="C309" s="19" t="s">
        <v>1101</v>
      </c>
      <c r="D309" s="19" t="s">
        <v>1432</v>
      </c>
      <c r="E309" s="19">
        <v>20251209</v>
      </c>
      <c r="F309" s="19" t="s">
        <v>2303</v>
      </c>
      <c r="G309" s="19">
        <v>9766482790</v>
      </c>
      <c r="H309" s="19" t="s">
        <v>2304</v>
      </c>
      <c r="I309" s="19" t="s">
        <v>123</v>
      </c>
      <c r="J309" s="19" t="s">
        <v>328</v>
      </c>
      <c r="K309" s="19" t="s">
        <v>1767</v>
      </c>
      <c r="L309" s="19" t="s">
        <v>1664</v>
      </c>
      <c r="M309" s="19" t="s">
        <v>2305</v>
      </c>
      <c r="N309" s="19" t="s">
        <v>1079</v>
      </c>
      <c r="O309" s="19"/>
      <c r="P309" s="19" t="s">
        <v>1540</v>
      </c>
      <c r="Q309" s="19" t="s">
        <v>72</v>
      </c>
      <c r="R309" s="19" t="s">
        <v>72</v>
      </c>
      <c r="S309" s="19" t="s">
        <v>1067</v>
      </c>
      <c r="T309" s="19" t="s">
        <v>858</v>
      </c>
      <c r="U309" s="21"/>
      <c r="V309" s="19"/>
      <c r="W309" s="19" t="s">
        <v>144</v>
      </c>
      <c r="X309" s="19" t="s">
        <v>144</v>
      </c>
      <c r="Y309" s="19"/>
      <c r="Z309" s="19" t="s">
        <v>68</v>
      </c>
      <c r="AA309" s="19"/>
      <c r="AB309" s="4"/>
      <c r="AC309" s="4"/>
      <c r="AD309" s="19"/>
      <c r="AE309" s="19"/>
      <c r="AF309" s="19"/>
      <c r="AG309" s="19"/>
      <c r="AH309" s="19"/>
      <c r="AI309" s="19"/>
      <c r="AJ309" s="19"/>
      <c r="AK309" s="19"/>
      <c r="AL309" s="19"/>
      <c r="AM309" s="19"/>
      <c r="AN309" s="19"/>
      <c r="AO309" s="19"/>
      <c r="AP309" s="19"/>
      <c r="AQ309" s="19"/>
      <c r="AR309" s="19"/>
      <c r="AS309" s="27"/>
    </row>
    <row r="310" spans="1:45">
      <c r="A310" s="19">
        <f t="shared" si="4"/>
        <v>309</v>
      </c>
      <c r="B310" s="20">
        <v>45699</v>
      </c>
      <c r="C310" s="19" t="s">
        <v>1101</v>
      </c>
      <c r="D310" s="19" t="s">
        <v>1160</v>
      </c>
      <c r="E310" s="19">
        <v>20251209</v>
      </c>
      <c r="F310" s="19" t="s">
        <v>2306</v>
      </c>
      <c r="G310" s="19">
        <v>7042356979</v>
      </c>
      <c r="H310" s="19" t="s">
        <v>2307</v>
      </c>
      <c r="I310" s="19" t="s">
        <v>123</v>
      </c>
      <c r="J310" s="19" t="s">
        <v>328</v>
      </c>
      <c r="K310" s="19" t="s">
        <v>1767</v>
      </c>
      <c r="L310" s="19" t="s">
        <v>1452</v>
      </c>
      <c r="M310" s="19" t="s">
        <v>2305</v>
      </c>
      <c r="N310" s="19" t="s">
        <v>2308</v>
      </c>
      <c r="O310" s="19"/>
      <c r="P310" s="19" t="s">
        <v>1073</v>
      </c>
      <c r="Q310" s="19" t="s">
        <v>72</v>
      </c>
      <c r="R310" s="19" t="s">
        <v>72</v>
      </c>
      <c r="S310" s="19" t="s">
        <v>1067</v>
      </c>
      <c r="T310" s="19" t="s">
        <v>858</v>
      </c>
      <c r="U310" s="21"/>
      <c r="V310" s="19"/>
      <c r="W310" s="19" t="s">
        <v>144</v>
      </c>
      <c r="X310" s="19" t="s">
        <v>144</v>
      </c>
      <c r="Y310" s="19"/>
      <c r="Z310" s="19" t="s">
        <v>68</v>
      </c>
      <c r="AA310" s="19"/>
      <c r="AB310" s="4"/>
      <c r="AC310" s="4"/>
      <c r="AD310" s="19"/>
      <c r="AE310" s="19"/>
      <c r="AF310" s="19"/>
      <c r="AG310" s="19"/>
      <c r="AH310" s="19"/>
      <c r="AI310" s="19"/>
      <c r="AJ310" s="19"/>
      <c r="AK310" s="19"/>
      <c r="AL310" s="19"/>
      <c r="AM310" s="19"/>
      <c r="AN310" s="19"/>
      <c r="AO310" s="19"/>
      <c r="AP310" s="19"/>
      <c r="AQ310" s="19"/>
      <c r="AR310" s="19"/>
      <c r="AS310" s="27"/>
    </row>
    <row r="311" spans="1:45">
      <c r="A311" s="19">
        <f t="shared" si="4"/>
        <v>310</v>
      </c>
      <c r="B311" s="20">
        <v>45699</v>
      </c>
      <c r="C311" s="19" t="s">
        <v>1101</v>
      </c>
      <c r="D311" s="19" t="s">
        <v>1160</v>
      </c>
      <c r="E311" s="19">
        <v>20251209</v>
      </c>
      <c r="F311" s="19" t="s">
        <v>2309</v>
      </c>
      <c r="G311" s="19">
        <v>9921665848</v>
      </c>
      <c r="H311" s="19" t="s">
        <v>2310</v>
      </c>
      <c r="I311" s="19" t="s">
        <v>123</v>
      </c>
      <c r="J311" s="19" t="s">
        <v>328</v>
      </c>
      <c r="K311" s="19" t="s">
        <v>1767</v>
      </c>
      <c r="L311" s="19" t="s">
        <v>1452</v>
      </c>
      <c r="M311" s="19" t="s">
        <v>2311</v>
      </c>
      <c r="N311" s="19" t="s">
        <v>1079</v>
      </c>
      <c r="O311" s="19"/>
      <c r="P311" s="19" t="s">
        <v>1540</v>
      </c>
      <c r="Q311" s="19" t="s">
        <v>72</v>
      </c>
      <c r="R311" s="19" t="s">
        <v>72</v>
      </c>
      <c r="S311" s="19" t="s">
        <v>1769</v>
      </c>
      <c r="T311" s="19" t="s">
        <v>858</v>
      </c>
      <c r="U311" s="21"/>
      <c r="V311" s="19"/>
      <c r="W311" s="19" t="s">
        <v>144</v>
      </c>
      <c r="X311" s="19" t="s">
        <v>144</v>
      </c>
      <c r="Y311" s="19"/>
      <c r="Z311" s="19" t="s">
        <v>68</v>
      </c>
      <c r="AA311" s="19"/>
      <c r="AB311" s="4"/>
      <c r="AC311" s="4"/>
      <c r="AD311" s="19"/>
      <c r="AE311" s="19"/>
      <c r="AF311" s="19"/>
      <c r="AG311" s="19"/>
      <c r="AH311" s="19"/>
      <c r="AI311" s="19"/>
      <c r="AJ311" s="19"/>
      <c r="AK311" s="19"/>
      <c r="AL311" s="19"/>
      <c r="AM311" s="19"/>
      <c r="AN311" s="19"/>
      <c r="AO311" s="19"/>
      <c r="AP311" s="19"/>
      <c r="AQ311" s="19"/>
      <c r="AR311" s="19"/>
      <c r="AS311" s="27"/>
    </row>
    <row r="312" spans="1:45">
      <c r="A312" s="19">
        <f t="shared" si="4"/>
        <v>311</v>
      </c>
      <c r="B312" s="20">
        <v>45700</v>
      </c>
      <c r="C312" s="19" t="s">
        <v>1101</v>
      </c>
      <c r="D312" s="19" t="s">
        <v>1160</v>
      </c>
      <c r="E312" s="19">
        <v>20246741</v>
      </c>
      <c r="F312" s="19" t="s">
        <v>2312</v>
      </c>
      <c r="G312" s="19">
        <v>9975576334</v>
      </c>
      <c r="H312" s="19" t="s">
        <v>2313</v>
      </c>
      <c r="I312" s="19" t="s">
        <v>123</v>
      </c>
      <c r="J312" s="19" t="s">
        <v>769</v>
      </c>
      <c r="K312" s="19" t="s">
        <v>159</v>
      </c>
      <c r="L312" s="19" t="s">
        <v>1822</v>
      </c>
      <c r="M312" s="19" t="s">
        <v>1106</v>
      </c>
      <c r="N312" s="19" t="s">
        <v>1075</v>
      </c>
      <c r="O312" s="19"/>
      <c r="P312" s="19" t="s">
        <v>1194</v>
      </c>
      <c r="Q312" s="19" t="s">
        <v>72</v>
      </c>
      <c r="R312" s="19" t="s">
        <v>72</v>
      </c>
      <c r="S312" s="19" t="s">
        <v>1121</v>
      </c>
      <c r="T312" s="19" t="s">
        <v>858</v>
      </c>
      <c r="U312" s="21"/>
      <c r="V312" s="19"/>
      <c r="W312" s="19" t="s">
        <v>144</v>
      </c>
      <c r="X312" s="19" t="s">
        <v>2243</v>
      </c>
      <c r="Y312" s="19"/>
      <c r="Z312" s="19" t="s">
        <v>151</v>
      </c>
      <c r="AA312" s="19"/>
      <c r="AB312" s="4"/>
      <c r="AC312" s="4"/>
      <c r="AD312" s="19"/>
      <c r="AE312" s="19"/>
      <c r="AF312" s="19"/>
      <c r="AG312" s="19"/>
      <c r="AH312" s="19"/>
      <c r="AI312" s="19"/>
      <c r="AJ312" s="19"/>
      <c r="AK312" s="19"/>
      <c r="AL312" s="19"/>
      <c r="AM312" s="19"/>
      <c r="AN312" s="19"/>
      <c r="AO312" s="19"/>
      <c r="AP312" s="19"/>
      <c r="AQ312" s="19"/>
      <c r="AR312" s="19"/>
      <c r="AS312" s="27"/>
    </row>
    <row r="313" spans="1:45">
      <c r="A313" s="19">
        <f t="shared" si="4"/>
        <v>312</v>
      </c>
      <c r="B313" s="20">
        <v>45700</v>
      </c>
      <c r="C313" s="19" t="s">
        <v>1101</v>
      </c>
      <c r="D313" s="19" t="s">
        <v>1102</v>
      </c>
      <c r="E313" s="19">
        <v>20246741</v>
      </c>
      <c r="F313" s="19" t="s">
        <v>2314</v>
      </c>
      <c r="G313" s="19">
        <v>8806696225</v>
      </c>
      <c r="H313" s="19" t="s">
        <v>2315</v>
      </c>
      <c r="I313" s="19" t="s">
        <v>86</v>
      </c>
      <c r="J313" s="19" t="s">
        <v>769</v>
      </c>
      <c r="K313" s="19" t="s">
        <v>159</v>
      </c>
      <c r="L313" s="19" t="s">
        <v>1683</v>
      </c>
      <c r="M313" s="19" t="s">
        <v>2316</v>
      </c>
      <c r="N313" s="19" t="s">
        <v>1191</v>
      </c>
      <c r="O313" s="19"/>
      <c r="P313" s="19" t="s">
        <v>1285</v>
      </c>
      <c r="Q313" s="19" t="s">
        <v>72</v>
      </c>
      <c r="R313" s="19" t="s">
        <v>72</v>
      </c>
      <c r="S313" s="19" t="s">
        <v>1139</v>
      </c>
      <c r="T313" s="19" t="s">
        <v>858</v>
      </c>
      <c r="U313" s="21"/>
      <c r="V313" s="19"/>
      <c r="W313" s="19" t="s">
        <v>144</v>
      </c>
      <c r="X313" s="19" t="s">
        <v>2243</v>
      </c>
      <c r="Y313" s="19"/>
      <c r="Z313" s="19" t="s">
        <v>151</v>
      </c>
      <c r="AA313" s="19"/>
      <c r="AB313" s="4"/>
      <c r="AC313" s="4"/>
      <c r="AD313" s="19"/>
      <c r="AE313" s="19"/>
      <c r="AF313" s="19"/>
      <c r="AG313" s="19"/>
      <c r="AH313" s="19"/>
      <c r="AI313" s="19"/>
      <c r="AJ313" s="19"/>
      <c r="AK313" s="19"/>
      <c r="AL313" s="19"/>
      <c r="AM313" s="19"/>
      <c r="AN313" s="19"/>
      <c r="AO313" s="19"/>
      <c r="AP313" s="19"/>
      <c r="AQ313" s="19"/>
      <c r="AR313" s="19"/>
      <c r="AS313" s="27"/>
    </row>
    <row r="314" spans="1:45">
      <c r="A314" s="19">
        <f t="shared" si="4"/>
        <v>313</v>
      </c>
      <c r="B314" s="20">
        <v>45700</v>
      </c>
      <c r="C314" s="19" t="s">
        <v>1101</v>
      </c>
      <c r="D314" s="19" t="s">
        <v>1102</v>
      </c>
      <c r="E314" s="19">
        <v>20246741</v>
      </c>
      <c r="F314" s="19" t="s">
        <v>2317</v>
      </c>
      <c r="G314" s="19" t="s">
        <v>2318</v>
      </c>
      <c r="H314" s="19" t="s">
        <v>2319</v>
      </c>
      <c r="I314" s="19" t="s">
        <v>86</v>
      </c>
      <c r="J314" s="19" t="s">
        <v>769</v>
      </c>
      <c r="K314" s="19" t="s">
        <v>159</v>
      </c>
      <c r="L314" s="19" t="s">
        <v>2320</v>
      </c>
      <c r="M314" s="19" t="s">
        <v>2321</v>
      </c>
      <c r="N314" s="19" t="s">
        <v>2170</v>
      </c>
      <c r="O314" s="19"/>
      <c r="P314" s="19" t="s">
        <v>1233</v>
      </c>
      <c r="Q314" s="19" t="s">
        <v>72</v>
      </c>
      <c r="R314" s="19" t="s">
        <v>72</v>
      </c>
      <c r="S314" s="19" t="s">
        <v>2322</v>
      </c>
      <c r="T314" s="19" t="s">
        <v>858</v>
      </c>
      <c r="U314" s="21"/>
      <c r="V314" s="19"/>
      <c r="W314" s="19" t="s">
        <v>144</v>
      </c>
      <c r="X314" s="19" t="s">
        <v>2243</v>
      </c>
      <c r="Y314" s="19"/>
      <c r="Z314" s="19" t="s">
        <v>151</v>
      </c>
      <c r="AA314" s="19"/>
      <c r="AB314" s="4"/>
      <c r="AC314" s="4"/>
      <c r="AD314" s="19"/>
      <c r="AE314" s="19"/>
      <c r="AF314" s="19"/>
      <c r="AG314" s="19"/>
      <c r="AH314" s="19"/>
      <c r="AI314" s="19"/>
      <c r="AJ314" s="19"/>
      <c r="AK314" s="19"/>
      <c r="AL314" s="19"/>
      <c r="AM314" s="19"/>
      <c r="AN314" s="19"/>
      <c r="AO314" s="19"/>
      <c r="AP314" s="19"/>
      <c r="AQ314" s="19"/>
      <c r="AR314" s="19"/>
      <c r="AS314" s="27"/>
    </row>
    <row r="315" spans="1:45">
      <c r="A315" s="19">
        <f t="shared" si="4"/>
        <v>314</v>
      </c>
      <c r="B315" s="20">
        <v>45700</v>
      </c>
      <c r="C315" s="19" t="s">
        <v>1101</v>
      </c>
      <c r="D315" s="19" t="s">
        <v>1102</v>
      </c>
      <c r="E315" s="19">
        <v>20246741</v>
      </c>
      <c r="F315" s="19" t="s">
        <v>2323</v>
      </c>
      <c r="G315" s="19" t="s">
        <v>2324</v>
      </c>
      <c r="H315" s="19" t="s">
        <v>2325</v>
      </c>
      <c r="I315" s="19" t="s">
        <v>123</v>
      </c>
      <c r="J315" s="19" t="s">
        <v>769</v>
      </c>
      <c r="K315" s="19" t="s">
        <v>159</v>
      </c>
      <c r="L315" s="19" t="s">
        <v>1786</v>
      </c>
      <c r="M315" s="19" t="s">
        <v>2326</v>
      </c>
      <c r="N315" s="19" t="s">
        <v>2327</v>
      </c>
      <c r="O315" s="19"/>
      <c r="P315" s="19" t="s">
        <v>1073</v>
      </c>
      <c r="Q315" s="19" t="s">
        <v>1157</v>
      </c>
      <c r="R315" s="19" t="s">
        <v>72</v>
      </c>
      <c r="S315" s="19" t="s">
        <v>1139</v>
      </c>
      <c r="T315" s="19" t="s">
        <v>858</v>
      </c>
      <c r="U315" s="21"/>
      <c r="V315" s="19"/>
      <c r="W315" s="19" t="s">
        <v>144</v>
      </c>
      <c r="X315" s="19" t="s">
        <v>2243</v>
      </c>
      <c r="Y315" s="19"/>
      <c r="Z315" s="19" t="s">
        <v>151</v>
      </c>
      <c r="AA315" s="19"/>
      <c r="AB315" s="4"/>
      <c r="AC315" s="4"/>
      <c r="AD315" s="19"/>
      <c r="AE315" s="19"/>
      <c r="AF315" s="19"/>
      <c r="AG315" s="19"/>
      <c r="AH315" s="19"/>
      <c r="AI315" s="19"/>
      <c r="AJ315" s="19"/>
      <c r="AK315" s="19"/>
      <c r="AL315" s="19"/>
      <c r="AM315" s="19"/>
      <c r="AN315" s="19"/>
      <c r="AO315" s="19"/>
      <c r="AP315" s="19"/>
      <c r="AQ315" s="19"/>
      <c r="AR315" s="19"/>
      <c r="AS315" s="27"/>
    </row>
    <row r="316" spans="1:45">
      <c r="A316" s="19">
        <f t="shared" si="4"/>
        <v>315</v>
      </c>
      <c r="B316" s="20">
        <v>45700</v>
      </c>
      <c r="C316" s="19" t="s">
        <v>1101</v>
      </c>
      <c r="D316" s="19" t="s">
        <v>1102</v>
      </c>
      <c r="E316" s="19">
        <v>20246741</v>
      </c>
      <c r="F316" s="19" t="s">
        <v>2328</v>
      </c>
      <c r="G316" s="19">
        <v>9834275862</v>
      </c>
      <c r="H316" s="19" t="s">
        <v>2329</v>
      </c>
      <c r="I316" s="19" t="s">
        <v>123</v>
      </c>
      <c r="J316" s="19" t="s">
        <v>769</v>
      </c>
      <c r="K316" s="19" t="s">
        <v>159</v>
      </c>
      <c r="L316" s="19" t="s">
        <v>1683</v>
      </c>
      <c r="M316" s="19" t="s">
        <v>2330</v>
      </c>
      <c r="N316" s="19" t="s">
        <v>2331</v>
      </c>
      <c r="O316" s="19"/>
      <c r="P316" s="19" t="s">
        <v>1375</v>
      </c>
      <c r="Q316" s="19" t="s">
        <v>72</v>
      </c>
      <c r="R316" s="19" t="s">
        <v>72</v>
      </c>
      <c r="S316" s="19" t="s">
        <v>1210</v>
      </c>
      <c r="T316" s="19" t="s">
        <v>858</v>
      </c>
      <c r="U316" s="21"/>
      <c r="V316" s="19"/>
      <c r="W316" s="19" t="s">
        <v>144</v>
      </c>
      <c r="X316" s="19" t="s">
        <v>2243</v>
      </c>
      <c r="Y316" s="19"/>
      <c r="Z316" s="19" t="s">
        <v>151</v>
      </c>
      <c r="AA316" s="19"/>
      <c r="AB316" s="4"/>
      <c r="AC316" s="4"/>
      <c r="AD316" s="19"/>
      <c r="AE316" s="19"/>
      <c r="AF316" s="19"/>
      <c r="AG316" s="19"/>
      <c r="AH316" s="19"/>
      <c r="AI316" s="19"/>
      <c r="AJ316" s="19"/>
      <c r="AK316" s="19"/>
      <c r="AL316" s="19"/>
      <c r="AM316" s="19"/>
      <c r="AN316" s="19"/>
      <c r="AO316" s="19"/>
      <c r="AP316" s="19"/>
      <c r="AQ316" s="19"/>
      <c r="AR316" s="19"/>
      <c r="AS316" s="27"/>
    </row>
    <row r="317" spans="1:45">
      <c r="A317" s="19">
        <f t="shared" si="4"/>
        <v>316</v>
      </c>
      <c r="B317" s="20">
        <v>45700</v>
      </c>
      <c r="C317" s="19" t="s">
        <v>1101</v>
      </c>
      <c r="D317" s="19" t="s">
        <v>1160</v>
      </c>
      <c r="E317" s="19">
        <v>20246741</v>
      </c>
      <c r="F317" s="19" t="s">
        <v>2332</v>
      </c>
      <c r="G317" s="19">
        <v>9634331969</v>
      </c>
      <c r="H317" s="19" t="s">
        <v>2333</v>
      </c>
      <c r="I317" s="19" t="s">
        <v>123</v>
      </c>
      <c r="J317" s="19" t="s">
        <v>769</v>
      </c>
      <c r="K317" s="19" t="s">
        <v>159</v>
      </c>
      <c r="L317" s="19" t="s">
        <v>2279</v>
      </c>
      <c r="M317" s="19" t="s">
        <v>1447</v>
      </c>
      <c r="N317" s="19" t="s">
        <v>1243</v>
      </c>
      <c r="O317" s="19"/>
      <c r="P317" s="19" t="s">
        <v>1084</v>
      </c>
      <c r="Q317" s="19" t="s">
        <v>72</v>
      </c>
      <c r="R317" s="19" t="s">
        <v>72</v>
      </c>
      <c r="S317" s="19" t="s">
        <v>2334</v>
      </c>
      <c r="T317" s="19" t="s">
        <v>858</v>
      </c>
      <c r="U317" s="21"/>
      <c r="V317" s="19"/>
      <c r="W317" s="19" t="s">
        <v>144</v>
      </c>
      <c r="X317" s="19" t="s">
        <v>2243</v>
      </c>
      <c r="Y317" s="19"/>
      <c r="Z317" s="19" t="s">
        <v>151</v>
      </c>
      <c r="AA317" s="19"/>
      <c r="AB317" s="4"/>
      <c r="AC317" s="4"/>
      <c r="AD317" s="19"/>
      <c r="AE317" s="19"/>
      <c r="AF317" s="19"/>
      <c r="AG317" s="19"/>
      <c r="AH317" s="19"/>
      <c r="AI317" s="19"/>
      <c r="AJ317" s="19"/>
      <c r="AK317" s="19"/>
      <c r="AL317" s="19"/>
      <c r="AM317" s="19"/>
      <c r="AN317" s="19"/>
      <c r="AO317" s="19"/>
      <c r="AP317" s="19"/>
      <c r="AQ317" s="19"/>
      <c r="AR317" s="19"/>
      <c r="AS317" s="27"/>
    </row>
    <row r="318" spans="1:45">
      <c r="A318" s="19">
        <f t="shared" si="4"/>
        <v>317</v>
      </c>
      <c r="B318" s="20">
        <v>45700</v>
      </c>
      <c r="C318" s="19" t="s">
        <v>1101</v>
      </c>
      <c r="D318" s="19" t="s">
        <v>1102</v>
      </c>
      <c r="E318" s="19">
        <v>20246741</v>
      </c>
      <c r="F318" s="19" t="s">
        <v>2335</v>
      </c>
      <c r="G318" s="19">
        <v>9604810785</v>
      </c>
      <c r="H318" s="19" t="s">
        <v>2336</v>
      </c>
      <c r="I318" s="19" t="s">
        <v>123</v>
      </c>
      <c r="J318" s="19" t="s">
        <v>769</v>
      </c>
      <c r="K318" s="19" t="s">
        <v>159</v>
      </c>
      <c r="L318" s="19" t="s">
        <v>2337</v>
      </c>
      <c r="M318" s="19" t="s">
        <v>2338</v>
      </c>
      <c r="N318" s="19" t="s">
        <v>1448</v>
      </c>
      <c r="O318" s="19"/>
      <c r="P318" s="19" t="s">
        <v>1073</v>
      </c>
      <c r="Q318" s="19" t="s">
        <v>1091</v>
      </c>
      <c r="R318" s="19" t="s">
        <v>72</v>
      </c>
      <c r="S318" s="19" t="s">
        <v>2339</v>
      </c>
      <c r="T318" s="19" t="s">
        <v>2340</v>
      </c>
      <c r="U318" s="21"/>
      <c r="V318" s="19"/>
      <c r="W318" s="19" t="s">
        <v>144</v>
      </c>
      <c r="X318" s="19" t="s">
        <v>2243</v>
      </c>
      <c r="Y318" s="19"/>
      <c r="Z318" s="19" t="s">
        <v>151</v>
      </c>
      <c r="AA318" s="19"/>
      <c r="AB318" s="4"/>
      <c r="AC318" s="4"/>
      <c r="AD318" s="19"/>
      <c r="AE318" s="19"/>
      <c r="AF318" s="19"/>
      <c r="AG318" s="19"/>
      <c r="AH318" s="19"/>
      <c r="AI318" s="19"/>
      <c r="AJ318" s="19"/>
      <c r="AK318" s="19"/>
      <c r="AL318" s="19"/>
      <c r="AM318" s="19"/>
      <c r="AN318" s="19"/>
      <c r="AO318" s="19"/>
      <c r="AP318" s="19"/>
      <c r="AQ318" s="19"/>
      <c r="AR318" s="19"/>
      <c r="AS318" s="27"/>
    </row>
    <row r="319" spans="1:45">
      <c r="A319" s="19">
        <f t="shared" si="4"/>
        <v>318</v>
      </c>
      <c r="B319" s="20">
        <v>45700</v>
      </c>
      <c r="C319" s="19" t="s">
        <v>1101</v>
      </c>
      <c r="D319" s="19" t="s">
        <v>1102</v>
      </c>
      <c r="E319" s="19">
        <v>20246741</v>
      </c>
      <c r="F319" s="19" t="s">
        <v>2341</v>
      </c>
      <c r="G319" s="19">
        <v>8329162569</v>
      </c>
      <c r="H319" s="19" t="s">
        <v>2342</v>
      </c>
      <c r="I319" s="19" t="s">
        <v>86</v>
      </c>
      <c r="J319" s="19" t="s">
        <v>769</v>
      </c>
      <c r="K319" s="19" t="s">
        <v>159</v>
      </c>
      <c r="L319" s="19" t="s">
        <v>1786</v>
      </c>
      <c r="M319" s="19" t="s">
        <v>2343</v>
      </c>
      <c r="N319" s="19" t="s">
        <v>1395</v>
      </c>
      <c r="O319" s="19"/>
      <c r="P319" s="19" t="s">
        <v>1084</v>
      </c>
      <c r="Q319" s="19" t="s">
        <v>72</v>
      </c>
      <c r="R319" s="19" t="s">
        <v>72</v>
      </c>
      <c r="S319" s="19" t="s">
        <v>2344</v>
      </c>
      <c r="T319" s="19" t="s">
        <v>858</v>
      </c>
      <c r="U319" s="21"/>
      <c r="V319" s="19"/>
      <c r="W319" s="19" t="s">
        <v>144</v>
      </c>
      <c r="X319" s="19" t="s">
        <v>2243</v>
      </c>
      <c r="Y319" s="19"/>
      <c r="Z319" s="19" t="s">
        <v>151</v>
      </c>
      <c r="AA319" s="19"/>
      <c r="AB319" s="4"/>
      <c r="AC319" s="4"/>
      <c r="AD319" s="19"/>
      <c r="AE319" s="19"/>
      <c r="AF319" s="19"/>
      <c r="AG319" s="19"/>
      <c r="AH319" s="19"/>
      <c r="AI319" s="19"/>
      <c r="AJ319" s="19"/>
      <c r="AK319" s="19"/>
      <c r="AL319" s="19"/>
      <c r="AM319" s="19"/>
      <c r="AN319" s="19"/>
      <c r="AO319" s="19"/>
      <c r="AP319" s="19"/>
      <c r="AQ319" s="19"/>
      <c r="AR319" s="19"/>
      <c r="AS319" s="27"/>
    </row>
    <row r="320" spans="1:45">
      <c r="A320" s="19">
        <f t="shared" si="4"/>
        <v>319</v>
      </c>
      <c r="B320" s="20">
        <v>45700</v>
      </c>
      <c r="C320" s="19" t="s">
        <v>1101</v>
      </c>
      <c r="D320" s="19" t="s">
        <v>1102</v>
      </c>
      <c r="E320" s="19">
        <v>20246741</v>
      </c>
      <c r="F320" s="19" t="s">
        <v>2345</v>
      </c>
      <c r="G320" s="19">
        <v>9763359251</v>
      </c>
      <c r="H320" s="19" t="s">
        <v>2346</v>
      </c>
      <c r="I320" s="19" t="s">
        <v>123</v>
      </c>
      <c r="J320" s="19" t="s">
        <v>769</v>
      </c>
      <c r="K320" s="19" t="s">
        <v>159</v>
      </c>
      <c r="L320" s="19" t="s">
        <v>1683</v>
      </c>
      <c r="M320" s="19" t="s">
        <v>2347</v>
      </c>
      <c r="N320" s="19" t="s">
        <v>1395</v>
      </c>
      <c r="O320" s="19"/>
      <c r="P320" s="19" t="s">
        <v>1194</v>
      </c>
      <c r="Q320" s="19" t="s">
        <v>72</v>
      </c>
      <c r="R320" s="19" t="s">
        <v>72</v>
      </c>
      <c r="S320" s="19" t="s">
        <v>1139</v>
      </c>
      <c r="T320" s="19" t="s">
        <v>858</v>
      </c>
      <c r="U320" s="21"/>
      <c r="V320" s="19"/>
      <c r="W320" s="19" t="s">
        <v>144</v>
      </c>
      <c r="X320" s="19" t="s">
        <v>2243</v>
      </c>
      <c r="Y320" s="19"/>
      <c r="Z320" s="19" t="s">
        <v>151</v>
      </c>
      <c r="AA320" s="19"/>
      <c r="AB320" s="4"/>
      <c r="AC320" s="4"/>
      <c r="AD320" s="19"/>
      <c r="AE320" s="19"/>
      <c r="AF320" s="19"/>
      <c r="AG320" s="19"/>
      <c r="AH320" s="19"/>
      <c r="AI320" s="19"/>
      <c r="AJ320" s="19"/>
      <c r="AK320" s="19"/>
      <c r="AL320" s="19"/>
      <c r="AM320" s="19"/>
      <c r="AN320" s="19"/>
      <c r="AO320" s="19"/>
      <c r="AP320" s="19"/>
      <c r="AQ320" s="19"/>
      <c r="AR320" s="19"/>
      <c r="AS320" s="27"/>
    </row>
    <row r="321" spans="1:45">
      <c r="A321" s="19">
        <f t="shared" si="4"/>
        <v>320</v>
      </c>
      <c r="B321" s="20">
        <v>45700</v>
      </c>
      <c r="C321" s="19" t="s">
        <v>1101</v>
      </c>
      <c r="D321" s="19" t="s">
        <v>1102</v>
      </c>
      <c r="E321" s="19">
        <v>20246741</v>
      </c>
      <c r="F321" s="19" t="s">
        <v>2348</v>
      </c>
      <c r="G321" s="19">
        <v>8077395998</v>
      </c>
      <c r="H321" s="19" t="s">
        <v>2349</v>
      </c>
      <c r="I321" s="19" t="s">
        <v>123</v>
      </c>
      <c r="J321" s="19" t="s">
        <v>769</v>
      </c>
      <c r="K321" s="19" t="s">
        <v>159</v>
      </c>
      <c r="L321" s="19" t="s">
        <v>2350</v>
      </c>
      <c r="M321" s="19" t="s">
        <v>2204</v>
      </c>
      <c r="N321" s="19" t="s">
        <v>1395</v>
      </c>
      <c r="O321" s="19"/>
      <c r="P321" s="19" t="s">
        <v>2170</v>
      </c>
      <c r="Q321" s="19" t="s">
        <v>72</v>
      </c>
      <c r="R321" s="19" t="s">
        <v>72</v>
      </c>
      <c r="S321" s="19" t="s">
        <v>2351</v>
      </c>
      <c r="T321" s="19" t="s">
        <v>2340</v>
      </c>
      <c r="U321" s="21"/>
      <c r="V321" s="19"/>
      <c r="W321" s="19" t="s">
        <v>144</v>
      </c>
      <c r="X321" s="19" t="s">
        <v>2243</v>
      </c>
      <c r="Y321" s="19"/>
      <c r="Z321" s="19" t="s">
        <v>151</v>
      </c>
      <c r="AA321" s="19"/>
      <c r="AB321" s="4"/>
      <c r="AC321" s="4"/>
      <c r="AD321" s="19"/>
      <c r="AE321" s="19"/>
      <c r="AF321" s="19"/>
      <c r="AG321" s="19"/>
      <c r="AH321" s="19"/>
      <c r="AI321" s="19"/>
      <c r="AJ321" s="19"/>
      <c r="AK321" s="19"/>
      <c r="AL321" s="19"/>
      <c r="AM321" s="19"/>
      <c r="AN321" s="19"/>
      <c r="AO321" s="19"/>
      <c r="AP321" s="19"/>
      <c r="AQ321" s="19"/>
      <c r="AR321" s="19"/>
      <c r="AS321" s="27"/>
    </row>
    <row r="322" spans="1:45">
      <c r="A322" s="19">
        <f t="shared" si="4"/>
        <v>321</v>
      </c>
      <c r="B322" s="20">
        <v>45701</v>
      </c>
      <c r="C322" s="19" t="s">
        <v>1101</v>
      </c>
      <c r="D322" s="19" t="s">
        <v>1432</v>
      </c>
      <c r="E322" s="19">
        <v>20242803</v>
      </c>
      <c r="F322" s="19" t="s">
        <v>2352</v>
      </c>
      <c r="G322" s="19">
        <v>9818173194</v>
      </c>
      <c r="H322" s="19" t="s">
        <v>2353</v>
      </c>
      <c r="I322" s="19" t="s">
        <v>123</v>
      </c>
      <c r="J322" s="19" t="s">
        <v>109</v>
      </c>
      <c r="K322" s="19" t="s">
        <v>1105</v>
      </c>
      <c r="L322" s="19">
        <v>4</v>
      </c>
      <c r="M322" s="19" t="s">
        <v>1207</v>
      </c>
      <c r="N322" s="19">
        <v>7</v>
      </c>
      <c r="O322" s="19">
        <v>0</v>
      </c>
      <c r="P322" s="19">
        <v>12</v>
      </c>
      <c r="Q322" s="19" t="s">
        <v>902</v>
      </c>
      <c r="R322" s="19" t="s">
        <v>72</v>
      </c>
      <c r="S322" s="19" t="s">
        <v>2354</v>
      </c>
      <c r="T322" s="19" t="s">
        <v>2355</v>
      </c>
      <c r="U322" s="21"/>
      <c r="V322" s="19"/>
      <c r="W322" s="19" t="s">
        <v>74</v>
      </c>
      <c r="X322" s="19" t="s">
        <v>74</v>
      </c>
      <c r="Y322" s="19" t="s">
        <v>70</v>
      </c>
      <c r="Z322" s="19" t="s">
        <v>68</v>
      </c>
      <c r="AA322" s="4">
        <v>45701</v>
      </c>
      <c r="AB322" s="4">
        <v>45701</v>
      </c>
      <c r="AC322" s="4">
        <v>45701</v>
      </c>
      <c r="AD322" s="19"/>
      <c r="AE322" s="19"/>
      <c r="AF322" s="19"/>
      <c r="AG322" s="19"/>
      <c r="AH322" s="19"/>
      <c r="AI322" s="19"/>
      <c r="AJ322" s="19"/>
      <c r="AK322" s="19"/>
      <c r="AL322" s="19"/>
      <c r="AM322" s="19"/>
      <c r="AN322" s="19"/>
      <c r="AO322" s="19"/>
      <c r="AP322" s="19"/>
      <c r="AQ322" s="19"/>
      <c r="AR322" s="19"/>
      <c r="AS322" s="27"/>
    </row>
    <row r="323" spans="1:45">
      <c r="A323" s="19">
        <f t="shared" ref="A323:A386" si="5">A322+1</f>
        <v>322</v>
      </c>
      <c r="B323" s="20">
        <v>45701</v>
      </c>
      <c r="C323" s="19" t="s">
        <v>1101</v>
      </c>
      <c r="D323" s="19" t="s">
        <v>1216</v>
      </c>
      <c r="E323" s="19">
        <v>20242803</v>
      </c>
      <c r="F323" s="19" t="s">
        <v>2356</v>
      </c>
      <c r="G323" s="19" t="s">
        <v>2357</v>
      </c>
      <c r="H323" s="19" t="s">
        <v>2358</v>
      </c>
      <c r="I323" s="19" t="s">
        <v>123</v>
      </c>
      <c r="J323" s="19" t="s">
        <v>109</v>
      </c>
      <c r="K323" s="19" t="s">
        <v>1105</v>
      </c>
      <c r="L323" s="19">
        <v>5</v>
      </c>
      <c r="M323" s="19" t="s">
        <v>2359</v>
      </c>
      <c r="N323" s="19">
        <v>7.6</v>
      </c>
      <c r="O323" s="19">
        <v>0</v>
      </c>
      <c r="P323" s="19">
        <v>14</v>
      </c>
      <c r="Q323" s="19" t="s">
        <v>1512</v>
      </c>
      <c r="R323" s="19" t="s">
        <v>72</v>
      </c>
      <c r="S323" s="19" t="s">
        <v>2360</v>
      </c>
      <c r="T323" s="19" t="s">
        <v>2361</v>
      </c>
      <c r="U323" s="21"/>
      <c r="V323" s="19"/>
      <c r="W323" s="19" t="s">
        <v>74</v>
      </c>
      <c r="X323" s="19" t="s">
        <v>74</v>
      </c>
      <c r="Y323" s="19" t="s">
        <v>70</v>
      </c>
      <c r="Z323" s="19" t="s">
        <v>68</v>
      </c>
      <c r="AA323" s="4">
        <v>45701</v>
      </c>
      <c r="AB323" s="4">
        <v>45701</v>
      </c>
      <c r="AC323" s="4">
        <v>45701</v>
      </c>
      <c r="AD323" s="19"/>
      <c r="AE323" s="19"/>
      <c r="AF323" s="19"/>
      <c r="AG323" s="19"/>
      <c r="AH323" s="19"/>
      <c r="AI323" s="19"/>
      <c r="AJ323" s="19"/>
      <c r="AK323" s="19"/>
      <c r="AL323" s="19"/>
      <c r="AM323" s="19"/>
      <c r="AN323" s="19"/>
      <c r="AO323" s="19"/>
      <c r="AP323" s="19"/>
      <c r="AQ323" s="19"/>
      <c r="AR323" s="19"/>
      <c r="AS323" s="27"/>
    </row>
    <row r="324" spans="1:45">
      <c r="A324" s="19">
        <f t="shared" si="5"/>
        <v>323</v>
      </c>
      <c r="B324" s="20">
        <v>45701</v>
      </c>
      <c r="C324" s="19" t="s">
        <v>1101</v>
      </c>
      <c r="D324" s="19" t="s">
        <v>1026</v>
      </c>
      <c r="E324" s="19">
        <v>20245762</v>
      </c>
      <c r="F324" s="19" t="s">
        <v>2362</v>
      </c>
      <c r="G324" s="19">
        <v>7795241378</v>
      </c>
      <c r="H324" s="19" t="s">
        <v>2363</v>
      </c>
      <c r="I324" s="19" t="s">
        <v>123</v>
      </c>
      <c r="J324" s="19" t="s">
        <v>66</v>
      </c>
      <c r="K324" s="19" t="s">
        <v>2364</v>
      </c>
      <c r="L324" s="19">
        <v>1.6</v>
      </c>
      <c r="M324" s="19" t="s">
        <v>2365</v>
      </c>
      <c r="N324" s="19">
        <v>4</v>
      </c>
      <c r="O324" s="19">
        <v>0</v>
      </c>
      <c r="P324" s="19">
        <v>6</v>
      </c>
      <c r="Q324" s="19" t="s">
        <v>2366</v>
      </c>
      <c r="R324" s="19" t="s">
        <v>72</v>
      </c>
      <c r="S324" s="19">
        <v>0</v>
      </c>
      <c r="T324" s="19"/>
      <c r="U324" s="21"/>
      <c r="V324" s="19"/>
      <c r="W324" s="19" t="s">
        <v>74</v>
      </c>
      <c r="X324" s="19" t="s">
        <v>74</v>
      </c>
      <c r="Y324" s="19" t="s">
        <v>70</v>
      </c>
      <c r="Z324" s="19" t="s">
        <v>68</v>
      </c>
      <c r="AA324" s="4">
        <v>45714</v>
      </c>
      <c r="AB324" s="4">
        <v>45714</v>
      </c>
      <c r="AC324" s="4">
        <v>45714</v>
      </c>
      <c r="AD324" s="19"/>
      <c r="AE324" s="19"/>
      <c r="AF324" s="19"/>
      <c r="AG324" s="19"/>
      <c r="AH324" s="19"/>
      <c r="AI324" s="19"/>
      <c r="AJ324" s="19"/>
      <c r="AK324" s="19"/>
      <c r="AL324" s="19"/>
      <c r="AM324" s="19"/>
      <c r="AN324" s="19"/>
      <c r="AO324" s="19"/>
      <c r="AP324" s="19"/>
      <c r="AQ324" s="19"/>
      <c r="AR324" s="19"/>
      <c r="AS324" s="27"/>
    </row>
    <row r="325" spans="1:45">
      <c r="A325" s="19">
        <f t="shared" si="5"/>
        <v>324</v>
      </c>
      <c r="B325" s="20">
        <v>45701</v>
      </c>
      <c r="C325" s="19" t="s">
        <v>1101</v>
      </c>
      <c r="D325" s="19" t="s">
        <v>1102</v>
      </c>
      <c r="E325" s="19">
        <v>20245762</v>
      </c>
      <c r="F325" s="19" t="s">
        <v>2367</v>
      </c>
      <c r="G325" s="19">
        <v>7743972055</v>
      </c>
      <c r="H325" s="19" t="s">
        <v>2368</v>
      </c>
      <c r="I325" s="19" t="s">
        <v>123</v>
      </c>
      <c r="J325" s="19" t="s">
        <v>66</v>
      </c>
      <c r="K325" s="19" t="s">
        <v>2364</v>
      </c>
      <c r="L325" s="19">
        <v>1</v>
      </c>
      <c r="M325" s="19" t="s">
        <v>2369</v>
      </c>
      <c r="N325" s="19">
        <v>3</v>
      </c>
      <c r="O325" s="19">
        <v>0</v>
      </c>
      <c r="P325" s="19">
        <v>6</v>
      </c>
      <c r="Q325" s="19" t="s">
        <v>1085</v>
      </c>
      <c r="R325" s="19" t="s">
        <v>72</v>
      </c>
      <c r="S325" s="19" t="s">
        <v>1139</v>
      </c>
      <c r="T325" s="19"/>
      <c r="U325" s="21"/>
      <c r="V325" s="19"/>
      <c r="W325" s="19" t="s">
        <v>74</v>
      </c>
      <c r="X325" s="19" t="s">
        <v>74</v>
      </c>
      <c r="Y325" s="19" t="s">
        <v>70</v>
      </c>
      <c r="Z325" s="19" t="s">
        <v>68</v>
      </c>
      <c r="AA325" s="4"/>
      <c r="AB325" s="4"/>
      <c r="AC325" s="4"/>
      <c r="AD325" s="19"/>
      <c r="AE325" s="19"/>
      <c r="AF325" s="19"/>
      <c r="AG325" s="19"/>
      <c r="AH325" s="19"/>
      <c r="AI325" s="19"/>
      <c r="AJ325" s="19"/>
      <c r="AK325" s="19"/>
      <c r="AL325" s="19"/>
      <c r="AM325" s="19"/>
      <c r="AN325" s="19"/>
      <c r="AO325" s="19"/>
      <c r="AP325" s="19"/>
      <c r="AQ325" s="19"/>
      <c r="AR325" s="19"/>
      <c r="AS325" s="27"/>
    </row>
    <row r="326" spans="1:45">
      <c r="A326" s="19">
        <f t="shared" si="5"/>
        <v>325</v>
      </c>
      <c r="B326" s="20">
        <v>45701</v>
      </c>
      <c r="C326" s="19" t="s">
        <v>1101</v>
      </c>
      <c r="D326" s="19" t="s">
        <v>1102</v>
      </c>
      <c r="E326" s="19">
        <v>20245762</v>
      </c>
      <c r="F326" s="19" t="s">
        <v>2370</v>
      </c>
      <c r="G326" s="19">
        <v>8970016393</v>
      </c>
      <c r="H326" s="19" t="s">
        <v>2371</v>
      </c>
      <c r="I326" s="19" t="s">
        <v>123</v>
      </c>
      <c r="J326" s="19" t="s">
        <v>66</v>
      </c>
      <c r="K326" s="19" t="s">
        <v>2364</v>
      </c>
      <c r="L326" s="19">
        <v>2.5</v>
      </c>
      <c r="M326" s="19" t="s">
        <v>2372</v>
      </c>
      <c r="N326" s="19">
        <v>6</v>
      </c>
      <c r="O326" s="19" t="s">
        <v>1057</v>
      </c>
      <c r="P326" s="19">
        <v>8</v>
      </c>
      <c r="Q326" s="19" t="s">
        <v>2373</v>
      </c>
      <c r="R326" s="19" t="s">
        <v>72</v>
      </c>
      <c r="S326" s="19" t="s">
        <v>1121</v>
      </c>
      <c r="T326" s="19"/>
      <c r="U326" s="21"/>
      <c r="V326" s="19"/>
      <c r="W326" s="19" t="s">
        <v>74</v>
      </c>
      <c r="X326" s="19" t="s">
        <v>74</v>
      </c>
      <c r="Y326" s="19" t="s">
        <v>70</v>
      </c>
      <c r="Z326" s="19" t="s">
        <v>68</v>
      </c>
      <c r="AA326" s="4"/>
      <c r="AB326" s="4"/>
      <c r="AC326" s="4"/>
      <c r="AD326" s="19"/>
      <c r="AE326" s="19"/>
      <c r="AF326" s="19"/>
      <c r="AG326" s="19"/>
      <c r="AH326" s="19"/>
      <c r="AI326" s="19"/>
      <c r="AJ326" s="19"/>
      <c r="AK326" s="19"/>
      <c r="AL326" s="19"/>
      <c r="AM326" s="19"/>
      <c r="AN326" s="19"/>
      <c r="AO326" s="19"/>
      <c r="AP326" s="19"/>
      <c r="AQ326" s="19"/>
      <c r="AR326" s="19"/>
      <c r="AS326" s="27"/>
    </row>
    <row r="327" spans="1:45">
      <c r="A327" s="19">
        <f t="shared" si="5"/>
        <v>326</v>
      </c>
      <c r="B327" s="20">
        <v>45701</v>
      </c>
      <c r="C327" s="19" t="s">
        <v>1101</v>
      </c>
      <c r="D327" s="19" t="s">
        <v>1699</v>
      </c>
      <c r="E327" s="19">
        <v>20245762</v>
      </c>
      <c r="F327" s="19" t="s">
        <v>2374</v>
      </c>
      <c r="G327" s="19">
        <v>8788774854</v>
      </c>
      <c r="H327" s="19" t="s">
        <v>2375</v>
      </c>
      <c r="I327" s="19" t="s">
        <v>123</v>
      </c>
      <c r="J327" s="19" t="s">
        <v>66</v>
      </c>
      <c r="K327" s="19" t="s">
        <v>2364</v>
      </c>
      <c r="L327" s="19">
        <v>1.5</v>
      </c>
      <c r="M327" s="19" t="s">
        <v>2376</v>
      </c>
      <c r="N327" s="19">
        <v>5</v>
      </c>
      <c r="O327" s="19">
        <v>0</v>
      </c>
      <c r="P327" s="19" t="s">
        <v>2377</v>
      </c>
      <c r="Q327" s="19" t="s">
        <v>2378</v>
      </c>
      <c r="R327" s="19" t="s">
        <v>72</v>
      </c>
      <c r="S327" s="19" t="s">
        <v>1139</v>
      </c>
      <c r="T327" s="19"/>
      <c r="U327" s="21"/>
      <c r="V327" s="19"/>
      <c r="W327" s="19" t="s">
        <v>74</v>
      </c>
      <c r="X327" s="19" t="s">
        <v>74</v>
      </c>
      <c r="Y327" s="19" t="s">
        <v>70</v>
      </c>
      <c r="Z327" s="19" t="s">
        <v>68</v>
      </c>
      <c r="AA327" s="4"/>
      <c r="AB327" s="4"/>
      <c r="AC327" s="4"/>
      <c r="AD327" s="19"/>
      <c r="AE327" s="19"/>
      <c r="AF327" s="19"/>
      <c r="AG327" s="19"/>
      <c r="AH327" s="19"/>
      <c r="AI327" s="19"/>
      <c r="AJ327" s="19"/>
      <c r="AK327" s="19"/>
      <c r="AL327" s="19"/>
      <c r="AM327" s="19"/>
      <c r="AN327" s="19"/>
      <c r="AO327" s="19"/>
      <c r="AP327" s="19"/>
      <c r="AQ327" s="19"/>
      <c r="AR327" s="19"/>
      <c r="AS327" s="27"/>
    </row>
    <row r="328" spans="1:45">
      <c r="A328" s="19">
        <f t="shared" si="5"/>
        <v>327</v>
      </c>
      <c r="B328" s="20">
        <v>45701</v>
      </c>
      <c r="C328" s="19" t="s">
        <v>1101</v>
      </c>
      <c r="D328" s="19" t="s">
        <v>1102</v>
      </c>
      <c r="E328" s="19">
        <v>20245969</v>
      </c>
      <c r="F328" s="19" t="s">
        <v>2379</v>
      </c>
      <c r="G328" s="19">
        <v>9346531372</v>
      </c>
      <c r="H328" s="19" t="s">
        <v>2380</v>
      </c>
      <c r="I328" s="19" t="s">
        <v>86</v>
      </c>
      <c r="J328" s="19" t="s">
        <v>393</v>
      </c>
      <c r="K328" s="19" t="s">
        <v>1812</v>
      </c>
      <c r="L328" s="19" t="s">
        <v>2035</v>
      </c>
      <c r="M328" s="19" t="s">
        <v>1624</v>
      </c>
      <c r="N328" s="19">
        <v>12</v>
      </c>
      <c r="O328" s="19" t="s">
        <v>1057</v>
      </c>
      <c r="P328" s="19">
        <v>16</v>
      </c>
      <c r="Q328" s="19" t="s">
        <v>1392</v>
      </c>
      <c r="R328" s="19" t="s">
        <v>72</v>
      </c>
      <c r="S328" s="19" t="s">
        <v>1139</v>
      </c>
      <c r="T328" s="19" t="s">
        <v>2381</v>
      </c>
      <c r="U328" s="21"/>
      <c r="V328" s="19"/>
      <c r="W328" s="19" t="s">
        <v>245</v>
      </c>
      <c r="X328" s="19" t="s">
        <v>245</v>
      </c>
      <c r="Y328" s="19"/>
      <c r="Z328" s="19" t="s">
        <v>68</v>
      </c>
      <c r="AA328" s="27"/>
      <c r="AB328" s="4">
        <v>45702</v>
      </c>
      <c r="AC328" s="4"/>
      <c r="AD328" s="19"/>
      <c r="AE328" s="19"/>
      <c r="AF328" s="19"/>
      <c r="AG328" s="19"/>
      <c r="AH328" s="19"/>
      <c r="AI328" s="19"/>
      <c r="AJ328" s="19"/>
      <c r="AK328" s="19"/>
      <c r="AL328" s="19"/>
      <c r="AM328" s="19"/>
      <c r="AN328" s="19"/>
      <c r="AO328" s="19"/>
      <c r="AP328" s="19"/>
      <c r="AQ328" s="19"/>
      <c r="AR328" s="19"/>
      <c r="AS328" s="27"/>
    </row>
    <row r="329" spans="1:45">
      <c r="A329" s="19">
        <f t="shared" si="5"/>
        <v>328</v>
      </c>
      <c r="B329" s="20">
        <v>45701</v>
      </c>
      <c r="C329" s="19" t="s">
        <v>1101</v>
      </c>
      <c r="D329" s="19" t="s">
        <v>2382</v>
      </c>
      <c r="E329" s="19">
        <v>20245969</v>
      </c>
      <c r="F329" s="19" t="s">
        <v>2383</v>
      </c>
      <c r="G329" s="19">
        <v>7767838249</v>
      </c>
      <c r="H329" s="19" t="s">
        <v>2384</v>
      </c>
      <c r="I329" s="19" t="s">
        <v>123</v>
      </c>
      <c r="J329" s="19" t="s">
        <v>393</v>
      </c>
      <c r="K329" s="19" t="s">
        <v>1812</v>
      </c>
      <c r="L329" s="19" t="s">
        <v>1816</v>
      </c>
      <c r="M329" s="19" t="s">
        <v>2385</v>
      </c>
      <c r="N329" s="19">
        <v>14.3</v>
      </c>
      <c r="O329" s="19" t="s">
        <v>1057</v>
      </c>
      <c r="P329" s="19" t="s">
        <v>2386</v>
      </c>
      <c r="Q329" s="19" t="s">
        <v>1392</v>
      </c>
      <c r="R329" s="19" t="s">
        <v>72</v>
      </c>
      <c r="S329" s="19" t="s">
        <v>1210</v>
      </c>
      <c r="T329" s="19" t="s">
        <v>2381</v>
      </c>
      <c r="U329" s="21"/>
      <c r="V329" s="19"/>
      <c r="W329" s="19" t="s">
        <v>245</v>
      </c>
      <c r="X329" s="19" t="s">
        <v>245</v>
      </c>
      <c r="Y329" s="19"/>
      <c r="Z329" s="19" t="s">
        <v>68</v>
      </c>
      <c r="AA329" s="27"/>
      <c r="AB329" s="4"/>
      <c r="AC329" s="4"/>
      <c r="AD329" s="19"/>
      <c r="AE329" s="19"/>
      <c r="AF329" s="19"/>
      <c r="AG329" s="19"/>
      <c r="AH329" s="19"/>
      <c r="AI329" s="19"/>
      <c r="AJ329" s="19"/>
      <c r="AK329" s="19"/>
      <c r="AL329" s="19"/>
      <c r="AM329" s="19"/>
      <c r="AN329" s="19"/>
      <c r="AO329" s="19"/>
      <c r="AP329" s="19"/>
      <c r="AQ329" s="19"/>
      <c r="AR329" s="19"/>
      <c r="AS329" s="27"/>
    </row>
    <row r="330" spans="1:45">
      <c r="A330" s="19">
        <f t="shared" si="5"/>
        <v>329</v>
      </c>
      <c r="B330" s="20">
        <v>45701</v>
      </c>
      <c r="C330" s="19" t="s">
        <v>1101</v>
      </c>
      <c r="D330" s="19" t="s">
        <v>1216</v>
      </c>
      <c r="E330" s="19">
        <v>20245969</v>
      </c>
      <c r="F330" s="19" t="s">
        <v>2387</v>
      </c>
      <c r="G330" s="19">
        <v>9156581080</v>
      </c>
      <c r="H330" s="19" t="s">
        <v>2388</v>
      </c>
      <c r="I330" s="19" t="s">
        <v>123</v>
      </c>
      <c r="J330" s="19" t="s">
        <v>393</v>
      </c>
      <c r="K330" s="19" t="s">
        <v>1812</v>
      </c>
      <c r="L330" s="19" t="s">
        <v>1683</v>
      </c>
      <c r="M330" s="19" t="s">
        <v>2389</v>
      </c>
      <c r="N330" s="19">
        <v>14</v>
      </c>
      <c r="O330" s="19" t="s">
        <v>1057</v>
      </c>
      <c r="P330" s="19">
        <v>18</v>
      </c>
      <c r="Q330" s="19" t="s">
        <v>72</v>
      </c>
      <c r="R330" s="19" t="s">
        <v>72</v>
      </c>
      <c r="S330" s="19" t="s">
        <v>1626</v>
      </c>
      <c r="T330" s="19" t="s">
        <v>1057</v>
      </c>
      <c r="U330" s="21"/>
      <c r="V330" s="19"/>
      <c r="W330" s="19" t="s">
        <v>245</v>
      </c>
      <c r="X330" s="19" t="s">
        <v>245</v>
      </c>
      <c r="Y330" s="19"/>
      <c r="Z330" s="19" t="s">
        <v>68</v>
      </c>
      <c r="AA330" s="27"/>
      <c r="AB330" s="4"/>
      <c r="AC330" s="4"/>
      <c r="AD330" s="19"/>
      <c r="AE330" s="19"/>
      <c r="AF330" s="19"/>
      <c r="AG330" s="19"/>
      <c r="AH330" s="19"/>
      <c r="AI330" s="19"/>
      <c r="AJ330" s="19"/>
      <c r="AK330" s="19"/>
      <c r="AL330" s="19"/>
      <c r="AM330" s="19"/>
      <c r="AN330" s="19"/>
      <c r="AO330" s="19"/>
      <c r="AP330" s="19"/>
      <c r="AQ330" s="19"/>
      <c r="AR330" s="19"/>
      <c r="AS330" s="27"/>
    </row>
    <row r="331" spans="1:45">
      <c r="A331" s="19">
        <f t="shared" si="5"/>
        <v>330</v>
      </c>
      <c r="B331" s="20">
        <v>45701</v>
      </c>
      <c r="C331" s="19" t="s">
        <v>1101</v>
      </c>
      <c r="D331" s="19" t="s">
        <v>1216</v>
      </c>
      <c r="E331" s="19">
        <v>20245969</v>
      </c>
      <c r="F331" s="19" t="s">
        <v>2390</v>
      </c>
      <c r="G331" s="19">
        <v>8483907347</v>
      </c>
      <c r="H331" s="19" t="s">
        <v>2391</v>
      </c>
      <c r="I331" s="19" t="s">
        <v>86</v>
      </c>
      <c r="J331" s="19" t="s">
        <v>393</v>
      </c>
      <c r="K331" s="19" t="s">
        <v>1812</v>
      </c>
      <c r="L331" s="19" t="s">
        <v>1786</v>
      </c>
      <c r="M331" s="19" t="s">
        <v>2392</v>
      </c>
      <c r="N331" s="19">
        <v>13</v>
      </c>
      <c r="O331" s="19">
        <v>2</v>
      </c>
      <c r="P331" s="19">
        <v>18</v>
      </c>
      <c r="Q331" s="19" t="s">
        <v>72</v>
      </c>
      <c r="R331" s="19" t="s">
        <v>72</v>
      </c>
      <c r="S331" s="19" t="s">
        <v>2393</v>
      </c>
      <c r="T331" s="19" t="s">
        <v>2394</v>
      </c>
      <c r="U331" s="21"/>
      <c r="V331" s="19"/>
      <c r="W331" s="19" t="s">
        <v>245</v>
      </c>
      <c r="X331" s="19" t="s">
        <v>245</v>
      </c>
      <c r="Y331" s="19"/>
      <c r="Z331" s="19" t="s">
        <v>68</v>
      </c>
      <c r="AA331" s="27"/>
      <c r="AB331" s="4"/>
      <c r="AC331" s="4"/>
      <c r="AD331" s="19"/>
      <c r="AE331" s="19"/>
      <c r="AF331" s="19"/>
      <c r="AG331" s="19"/>
      <c r="AH331" s="19"/>
      <c r="AI331" s="19"/>
      <c r="AJ331" s="19"/>
      <c r="AK331" s="19"/>
      <c r="AL331" s="19"/>
      <c r="AM331" s="19"/>
      <c r="AN331" s="19"/>
      <c r="AO331" s="19"/>
      <c r="AP331" s="19"/>
      <c r="AQ331" s="19"/>
      <c r="AR331" s="19"/>
      <c r="AS331" s="27"/>
    </row>
    <row r="332" spans="1:45">
      <c r="A332" s="19">
        <f t="shared" si="5"/>
        <v>331</v>
      </c>
      <c r="B332" s="20">
        <v>45701</v>
      </c>
      <c r="C332" s="19" t="s">
        <v>1101</v>
      </c>
      <c r="D332" s="19" t="s">
        <v>2395</v>
      </c>
      <c r="E332" s="19">
        <v>20245969</v>
      </c>
      <c r="F332" s="19" t="s">
        <v>2396</v>
      </c>
      <c r="G332" s="19">
        <v>9420937321</v>
      </c>
      <c r="H332" s="19" t="s">
        <v>2397</v>
      </c>
      <c r="I332" s="19" t="s">
        <v>86</v>
      </c>
      <c r="J332" s="19" t="s">
        <v>393</v>
      </c>
      <c r="K332" s="19" t="s">
        <v>1812</v>
      </c>
      <c r="L332" s="19" t="s">
        <v>2398</v>
      </c>
      <c r="M332" s="19" t="s">
        <v>2399</v>
      </c>
      <c r="N332" s="19">
        <v>8</v>
      </c>
      <c r="O332" s="19" t="s">
        <v>1057</v>
      </c>
      <c r="P332" s="19">
        <v>16</v>
      </c>
      <c r="Q332" s="19" t="s">
        <v>72</v>
      </c>
      <c r="R332" s="19" t="s">
        <v>72</v>
      </c>
      <c r="S332" s="19" t="s">
        <v>2400</v>
      </c>
      <c r="T332" s="19" t="s">
        <v>2401</v>
      </c>
      <c r="U332" s="21"/>
      <c r="V332" s="19"/>
      <c r="W332" s="19" t="s">
        <v>245</v>
      </c>
      <c r="X332" s="19" t="s">
        <v>245</v>
      </c>
      <c r="Y332" s="19"/>
      <c r="Z332" s="19" t="s">
        <v>68</v>
      </c>
      <c r="AA332" s="27"/>
      <c r="AB332" s="4">
        <v>45705</v>
      </c>
      <c r="AC332" s="4"/>
      <c r="AD332" s="19"/>
      <c r="AE332" s="19"/>
      <c r="AF332" s="19"/>
      <c r="AG332" s="19"/>
      <c r="AH332" s="19"/>
      <c r="AI332" s="19"/>
      <c r="AJ332" s="19"/>
      <c r="AK332" s="19"/>
      <c r="AL332" s="19"/>
      <c r="AM332" s="19"/>
      <c r="AN332" s="19"/>
      <c r="AO332" s="19"/>
      <c r="AP332" s="19"/>
      <c r="AQ332" s="19"/>
      <c r="AR332" s="19"/>
      <c r="AS332" s="27"/>
    </row>
    <row r="333" spans="1:45">
      <c r="A333" s="19">
        <f t="shared" si="5"/>
        <v>332</v>
      </c>
      <c r="B333" s="20">
        <v>45701</v>
      </c>
      <c r="C333" s="19" t="s">
        <v>1101</v>
      </c>
      <c r="D333" s="19" t="s">
        <v>1216</v>
      </c>
      <c r="E333" s="19">
        <v>20245969</v>
      </c>
      <c r="F333" s="19" t="s">
        <v>2402</v>
      </c>
      <c r="G333" s="19">
        <v>7498326945</v>
      </c>
      <c r="H333" s="19" t="s">
        <v>2403</v>
      </c>
      <c r="I333" s="19" t="s">
        <v>123</v>
      </c>
      <c r="J333" s="19" t="s">
        <v>393</v>
      </c>
      <c r="K333" s="19" t="s">
        <v>1812</v>
      </c>
      <c r="L333" s="19" t="s">
        <v>2404</v>
      </c>
      <c r="M333" s="19" t="s">
        <v>2405</v>
      </c>
      <c r="N333" s="19">
        <v>8</v>
      </c>
      <c r="O333" s="19" t="s">
        <v>1057</v>
      </c>
      <c r="P333" s="19">
        <v>14</v>
      </c>
      <c r="Q333" s="19" t="s">
        <v>72</v>
      </c>
      <c r="R333" s="19" t="s">
        <v>72</v>
      </c>
      <c r="S333" s="19" t="s">
        <v>2406</v>
      </c>
      <c r="T333" s="19" t="s">
        <v>2407</v>
      </c>
      <c r="U333" s="21"/>
      <c r="V333" s="19"/>
      <c r="W333" s="19" t="s">
        <v>245</v>
      </c>
      <c r="X333" s="19" t="s">
        <v>245</v>
      </c>
      <c r="Y333" s="19"/>
      <c r="Z333" s="19" t="s">
        <v>68</v>
      </c>
      <c r="AA333" s="27"/>
      <c r="AB333" s="4"/>
      <c r="AC333" s="4"/>
      <c r="AD333" s="19"/>
      <c r="AE333" s="19"/>
      <c r="AF333" s="19"/>
      <c r="AG333" s="19"/>
      <c r="AH333" s="19"/>
      <c r="AI333" s="19"/>
      <c r="AJ333" s="19"/>
      <c r="AK333" s="19"/>
      <c r="AL333" s="19"/>
      <c r="AM333" s="19"/>
      <c r="AN333" s="19"/>
      <c r="AO333" s="19"/>
      <c r="AP333" s="19"/>
      <c r="AQ333" s="19"/>
      <c r="AR333" s="19"/>
      <c r="AS333" s="27"/>
    </row>
    <row r="334" spans="1:45">
      <c r="A334" s="19">
        <f t="shared" si="5"/>
        <v>333</v>
      </c>
      <c r="B334" s="20">
        <v>45701</v>
      </c>
      <c r="C334" s="19" t="s">
        <v>1101</v>
      </c>
      <c r="D334" s="19" t="s">
        <v>952</v>
      </c>
      <c r="E334" s="19">
        <v>20245969</v>
      </c>
      <c r="F334" s="19" t="s">
        <v>2408</v>
      </c>
      <c r="G334" s="19">
        <v>8421499897</v>
      </c>
      <c r="H334" s="19" t="s">
        <v>2409</v>
      </c>
      <c r="I334" s="19" t="s">
        <v>123</v>
      </c>
      <c r="J334" s="19" t="s">
        <v>393</v>
      </c>
      <c r="K334" s="19" t="s">
        <v>1812</v>
      </c>
      <c r="L334" s="19" t="s">
        <v>2130</v>
      </c>
      <c r="M334" s="19" t="s">
        <v>2410</v>
      </c>
      <c r="N334" s="19">
        <v>7.8</v>
      </c>
      <c r="O334" s="19" t="s">
        <v>1057</v>
      </c>
      <c r="P334" s="19">
        <v>12</v>
      </c>
      <c r="Q334" s="19" t="s">
        <v>902</v>
      </c>
      <c r="R334" s="19" t="s">
        <v>72</v>
      </c>
      <c r="S334" s="19" t="s">
        <v>1868</v>
      </c>
      <c r="T334" s="19" t="s">
        <v>1057</v>
      </c>
      <c r="U334" s="21"/>
      <c r="V334" s="19"/>
      <c r="W334" s="19" t="s">
        <v>245</v>
      </c>
      <c r="X334" s="19" t="s">
        <v>245</v>
      </c>
      <c r="Y334" s="19"/>
      <c r="Z334" s="19" t="s">
        <v>68</v>
      </c>
      <c r="AA334" s="27"/>
      <c r="AB334" s="4">
        <v>45715</v>
      </c>
      <c r="AC334" s="4"/>
      <c r="AD334" s="27"/>
      <c r="AE334" s="27"/>
      <c r="AF334" s="27"/>
      <c r="AG334" s="27"/>
      <c r="AH334" s="27"/>
      <c r="AI334" s="27"/>
      <c r="AJ334" s="27"/>
      <c r="AK334" s="19"/>
      <c r="AL334" s="19"/>
      <c r="AM334" s="27"/>
      <c r="AN334" s="27"/>
      <c r="AO334" s="27"/>
      <c r="AP334" s="27"/>
      <c r="AQ334" s="27"/>
      <c r="AR334" s="27"/>
      <c r="AS334" s="27"/>
    </row>
    <row r="335" spans="1:45">
      <c r="A335" s="19">
        <f t="shared" si="5"/>
        <v>334</v>
      </c>
      <c r="B335" s="20">
        <v>45702</v>
      </c>
      <c r="C335" s="19" t="s">
        <v>1101</v>
      </c>
      <c r="D335" s="19" t="s">
        <v>961</v>
      </c>
      <c r="E335" s="19">
        <v>20250696</v>
      </c>
      <c r="F335" s="19" t="s">
        <v>2411</v>
      </c>
      <c r="G335" s="19">
        <v>8551026245</v>
      </c>
      <c r="H335" s="19" t="s">
        <v>2412</v>
      </c>
      <c r="I335" s="19" t="s">
        <v>123</v>
      </c>
      <c r="J335" s="19" t="s">
        <v>103</v>
      </c>
      <c r="K335" s="19" t="s">
        <v>101</v>
      </c>
      <c r="L335" s="19">
        <v>5.5</v>
      </c>
      <c r="M335" s="19" t="s">
        <v>2413</v>
      </c>
      <c r="N335" s="19">
        <v>5.4</v>
      </c>
      <c r="O335" s="19" t="s">
        <v>2219</v>
      </c>
      <c r="P335" s="19">
        <v>8</v>
      </c>
      <c r="Q335" s="19" t="s">
        <v>1978</v>
      </c>
      <c r="R335" s="19" t="s">
        <v>72</v>
      </c>
      <c r="S335" s="19" t="s">
        <v>1139</v>
      </c>
      <c r="T335" s="19"/>
      <c r="U335" s="21"/>
      <c r="V335" s="19"/>
      <c r="W335" s="19" t="s">
        <v>74</v>
      </c>
      <c r="X335" s="19" t="s">
        <v>74</v>
      </c>
      <c r="Y335" s="19" t="s">
        <v>70</v>
      </c>
      <c r="Z335" s="19" t="s">
        <v>68</v>
      </c>
      <c r="AA335" s="27"/>
      <c r="AB335" s="4"/>
      <c r="AC335" s="4"/>
      <c r="AD335" s="19"/>
      <c r="AE335" s="19"/>
      <c r="AF335" s="19"/>
      <c r="AG335" s="19"/>
      <c r="AH335" s="19"/>
      <c r="AI335" s="19"/>
      <c r="AJ335" s="19"/>
      <c r="AK335" s="19"/>
      <c r="AL335" s="19"/>
      <c r="AM335" s="19"/>
      <c r="AN335" s="19"/>
      <c r="AO335" s="19"/>
      <c r="AP335" s="19"/>
      <c r="AQ335" s="19"/>
      <c r="AR335" s="19"/>
      <c r="AS335" s="27"/>
    </row>
    <row r="336" spans="1:45">
      <c r="A336" s="19">
        <f t="shared" si="5"/>
        <v>335</v>
      </c>
      <c r="B336" s="20">
        <v>45702</v>
      </c>
      <c r="C336" s="19" t="s">
        <v>1101</v>
      </c>
      <c r="D336" s="19" t="s">
        <v>961</v>
      </c>
      <c r="E336" s="19">
        <v>20250696</v>
      </c>
      <c r="F336" s="19" t="s">
        <v>2414</v>
      </c>
      <c r="G336" s="19">
        <v>8793341564</v>
      </c>
      <c r="H336" s="19" t="s">
        <v>2415</v>
      </c>
      <c r="I336" s="19" t="s">
        <v>123</v>
      </c>
      <c r="J336" s="19" t="s">
        <v>103</v>
      </c>
      <c r="K336" s="19" t="s">
        <v>101</v>
      </c>
      <c r="L336" s="19">
        <v>7</v>
      </c>
      <c r="M336" s="19" t="s">
        <v>2416</v>
      </c>
      <c r="N336" s="19">
        <v>2.5</v>
      </c>
      <c r="O336" s="19">
        <v>0</v>
      </c>
      <c r="P336" s="19">
        <v>5</v>
      </c>
      <c r="Q336" s="19" t="s">
        <v>2417</v>
      </c>
      <c r="R336" s="19" t="s">
        <v>72</v>
      </c>
      <c r="S336" s="19" t="s">
        <v>2418</v>
      </c>
      <c r="T336" s="19"/>
      <c r="U336" s="21"/>
      <c r="V336" s="19"/>
      <c r="W336" s="19" t="s">
        <v>74</v>
      </c>
      <c r="X336" s="19" t="s">
        <v>74</v>
      </c>
      <c r="Y336" s="19" t="s">
        <v>70</v>
      </c>
      <c r="Z336" s="19" t="s">
        <v>68</v>
      </c>
      <c r="AA336" s="27"/>
      <c r="AB336" s="4"/>
      <c r="AC336" s="4"/>
      <c r="AD336" s="19"/>
      <c r="AE336" s="19"/>
      <c r="AF336" s="19"/>
      <c r="AG336" s="19"/>
      <c r="AH336" s="19"/>
      <c r="AI336" s="19"/>
      <c r="AJ336" s="19"/>
      <c r="AK336" s="19"/>
      <c r="AL336" s="19"/>
      <c r="AM336" s="19"/>
      <c r="AN336" s="19"/>
      <c r="AO336" s="19"/>
      <c r="AP336" s="19"/>
      <c r="AQ336" s="19"/>
      <c r="AR336" s="19"/>
      <c r="AS336" s="27"/>
    </row>
    <row r="337" spans="1:45">
      <c r="A337" s="19">
        <f t="shared" si="5"/>
        <v>336</v>
      </c>
      <c r="B337" s="20">
        <v>45702</v>
      </c>
      <c r="C337" s="19" t="s">
        <v>1101</v>
      </c>
      <c r="D337" s="19" t="s">
        <v>961</v>
      </c>
      <c r="E337" s="19">
        <v>20250696</v>
      </c>
      <c r="F337" s="19" t="s">
        <v>2419</v>
      </c>
      <c r="G337" s="19">
        <v>9730753691</v>
      </c>
      <c r="H337" s="19" t="s">
        <v>2420</v>
      </c>
      <c r="I337" s="19" t="s">
        <v>123</v>
      </c>
      <c r="J337" s="19" t="s">
        <v>103</v>
      </c>
      <c r="K337" s="19" t="s">
        <v>101</v>
      </c>
      <c r="L337" s="19">
        <v>5.5</v>
      </c>
      <c r="M337" s="19" t="s">
        <v>2421</v>
      </c>
      <c r="N337" s="19">
        <v>7</v>
      </c>
      <c r="O337" s="19">
        <v>0</v>
      </c>
      <c r="P337" s="19">
        <v>12</v>
      </c>
      <c r="Q337" s="19" t="s">
        <v>2422</v>
      </c>
      <c r="R337" s="19" t="s">
        <v>72</v>
      </c>
      <c r="S337" s="19" t="s">
        <v>1139</v>
      </c>
      <c r="T337" s="19"/>
      <c r="U337" s="21"/>
      <c r="V337" s="19"/>
      <c r="W337" s="19" t="s">
        <v>74</v>
      </c>
      <c r="X337" s="19" t="s">
        <v>74</v>
      </c>
      <c r="Y337" s="19" t="s">
        <v>70</v>
      </c>
      <c r="Z337" s="19" t="s">
        <v>68</v>
      </c>
      <c r="AA337" s="27"/>
      <c r="AB337" s="4"/>
      <c r="AC337" s="4"/>
      <c r="AD337" s="19"/>
      <c r="AE337" s="19"/>
      <c r="AF337" s="19"/>
      <c r="AG337" s="19"/>
      <c r="AH337" s="19"/>
      <c r="AI337" s="19"/>
      <c r="AJ337" s="19"/>
      <c r="AK337" s="19"/>
      <c r="AL337" s="19"/>
      <c r="AM337" s="19"/>
      <c r="AN337" s="19"/>
      <c r="AO337" s="19"/>
      <c r="AP337" s="19"/>
      <c r="AQ337" s="19"/>
      <c r="AR337" s="19"/>
      <c r="AS337" s="27"/>
    </row>
    <row r="338" spans="1:45">
      <c r="A338" s="19">
        <f t="shared" si="5"/>
        <v>337</v>
      </c>
      <c r="B338" s="20">
        <v>45702</v>
      </c>
      <c r="C338" s="19" t="s">
        <v>1101</v>
      </c>
      <c r="D338" s="19" t="s">
        <v>961</v>
      </c>
      <c r="E338" s="19">
        <v>20250696</v>
      </c>
      <c r="F338" s="19" t="s">
        <v>2423</v>
      </c>
      <c r="G338" s="19">
        <v>8237629422</v>
      </c>
      <c r="H338" s="19" t="s">
        <v>2424</v>
      </c>
      <c r="I338" s="19" t="s">
        <v>86</v>
      </c>
      <c r="J338" s="19" t="s">
        <v>103</v>
      </c>
      <c r="K338" s="19" t="s">
        <v>101</v>
      </c>
      <c r="L338" s="19">
        <v>7</v>
      </c>
      <c r="M338" s="19" t="s">
        <v>2425</v>
      </c>
      <c r="N338" s="19">
        <v>5.5</v>
      </c>
      <c r="O338" s="19">
        <v>0</v>
      </c>
      <c r="P338" s="19">
        <v>9</v>
      </c>
      <c r="Q338" s="19" t="s">
        <v>2417</v>
      </c>
      <c r="R338" s="19" t="s">
        <v>72</v>
      </c>
      <c r="S338" s="19" t="s">
        <v>2426</v>
      </c>
      <c r="T338" s="19"/>
      <c r="U338" s="21"/>
      <c r="V338" s="19"/>
      <c r="W338" s="19" t="s">
        <v>74</v>
      </c>
      <c r="X338" s="19" t="s">
        <v>74</v>
      </c>
      <c r="Y338" s="19" t="s">
        <v>70</v>
      </c>
      <c r="Z338" s="19" t="s">
        <v>68</v>
      </c>
      <c r="AA338" s="27"/>
      <c r="AB338" s="4"/>
      <c r="AC338" s="4"/>
      <c r="AD338" s="19"/>
      <c r="AE338" s="19"/>
      <c r="AF338" s="19"/>
      <c r="AG338" s="19"/>
      <c r="AH338" s="19"/>
      <c r="AI338" s="19"/>
      <c r="AJ338" s="19"/>
      <c r="AK338" s="19"/>
      <c r="AL338" s="19"/>
      <c r="AM338" s="19"/>
      <c r="AN338" s="19"/>
      <c r="AO338" s="19"/>
      <c r="AP338" s="19"/>
      <c r="AQ338" s="19"/>
      <c r="AR338" s="19"/>
      <c r="AS338" s="27"/>
    </row>
    <row r="339" spans="1:45">
      <c r="A339" s="19">
        <f t="shared" si="5"/>
        <v>338</v>
      </c>
      <c r="B339" s="20">
        <v>45702</v>
      </c>
      <c r="C339" s="19" t="s">
        <v>1101</v>
      </c>
      <c r="D339" s="19" t="s">
        <v>961</v>
      </c>
      <c r="E339" s="19">
        <v>20250696</v>
      </c>
      <c r="F339" s="19" t="s">
        <v>2427</v>
      </c>
      <c r="G339" s="19">
        <v>9327044873</v>
      </c>
      <c r="H339" s="19" t="s">
        <v>2428</v>
      </c>
      <c r="I339" s="19" t="s">
        <v>86</v>
      </c>
      <c r="J339" s="19" t="s">
        <v>103</v>
      </c>
      <c r="K339" s="19" t="s">
        <v>101</v>
      </c>
      <c r="L339" s="19">
        <v>7</v>
      </c>
      <c r="M339" s="19" t="s">
        <v>2429</v>
      </c>
      <c r="N339" s="19">
        <v>7</v>
      </c>
      <c r="O339" s="19">
        <v>0</v>
      </c>
      <c r="P339" s="19">
        <v>9.5</v>
      </c>
      <c r="Q339" s="19" t="s">
        <v>1282</v>
      </c>
      <c r="R339" s="19" t="s">
        <v>72</v>
      </c>
      <c r="S339" s="19" t="s">
        <v>2430</v>
      </c>
      <c r="T339" s="19"/>
      <c r="U339" s="21"/>
      <c r="V339" s="19"/>
      <c r="W339" s="19" t="s">
        <v>74</v>
      </c>
      <c r="X339" s="19" t="s">
        <v>74</v>
      </c>
      <c r="Y339" s="19" t="s">
        <v>70</v>
      </c>
      <c r="Z339" s="19" t="s">
        <v>68</v>
      </c>
      <c r="AA339" s="27"/>
      <c r="AB339" s="4"/>
      <c r="AC339" s="4"/>
      <c r="AD339" s="19"/>
      <c r="AE339" s="19"/>
      <c r="AF339" s="19"/>
      <c r="AG339" s="19"/>
      <c r="AH339" s="19"/>
      <c r="AI339" s="19"/>
      <c r="AJ339" s="19"/>
      <c r="AK339" s="19"/>
      <c r="AL339" s="19"/>
      <c r="AM339" s="19"/>
      <c r="AN339" s="19"/>
      <c r="AO339" s="19"/>
      <c r="AP339" s="19"/>
      <c r="AQ339" s="19"/>
      <c r="AR339" s="19"/>
      <c r="AS339" s="27"/>
    </row>
    <row r="340" spans="1:45">
      <c r="A340" s="19">
        <f t="shared" si="5"/>
        <v>339</v>
      </c>
      <c r="B340" s="20">
        <v>45702</v>
      </c>
      <c r="C340" s="19" t="s">
        <v>1101</v>
      </c>
      <c r="D340" s="19" t="s">
        <v>2431</v>
      </c>
      <c r="E340" s="19">
        <v>20245762</v>
      </c>
      <c r="F340" s="19" t="s">
        <v>2432</v>
      </c>
      <c r="G340" s="19">
        <v>7676963387</v>
      </c>
      <c r="H340" s="19" t="s">
        <v>2433</v>
      </c>
      <c r="I340" s="19" t="s">
        <v>123</v>
      </c>
      <c r="J340" s="19" t="s">
        <v>66</v>
      </c>
      <c r="K340" s="19" t="s">
        <v>2364</v>
      </c>
      <c r="L340" s="19">
        <v>1</v>
      </c>
      <c r="M340" s="19" t="s">
        <v>2434</v>
      </c>
      <c r="N340" s="19">
        <v>5</v>
      </c>
      <c r="O340" s="19">
        <v>0</v>
      </c>
      <c r="P340" s="19">
        <v>8</v>
      </c>
      <c r="Q340" s="19" t="s">
        <v>1562</v>
      </c>
      <c r="R340" s="19" t="s">
        <v>72</v>
      </c>
      <c r="S340" s="19" t="s">
        <v>1121</v>
      </c>
      <c r="T340" s="19"/>
      <c r="U340" s="21"/>
      <c r="V340" s="19"/>
      <c r="W340" s="19" t="s">
        <v>74</v>
      </c>
      <c r="X340" s="19" t="s">
        <v>74</v>
      </c>
      <c r="Y340" s="19" t="s">
        <v>70</v>
      </c>
      <c r="Z340" s="19" t="s">
        <v>68</v>
      </c>
      <c r="AA340" s="27"/>
      <c r="AB340" s="4"/>
      <c r="AC340" s="4"/>
      <c r="AD340" s="19"/>
      <c r="AE340" s="19"/>
      <c r="AF340" s="19"/>
      <c r="AG340" s="19"/>
      <c r="AH340" s="19"/>
      <c r="AI340" s="19"/>
      <c r="AJ340" s="19"/>
      <c r="AK340" s="19"/>
      <c r="AL340" s="19"/>
      <c r="AM340" s="19"/>
      <c r="AN340" s="19"/>
      <c r="AO340" s="19"/>
      <c r="AP340" s="19"/>
      <c r="AQ340" s="19"/>
      <c r="AR340" s="19"/>
      <c r="AS340" s="27"/>
    </row>
    <row r="341" spans="1:45">
      <c r="A341" s="19">
        <f t="shared" si="5"/>
        <v>340</v>
      </c>
      <c r="B341" s="20">
        <v>45702</v>
      </c>
      <c r="C341" s="19" t="s">
        <v>1101</v>
      </c>
      <c r="D341" s="19" t="s">
        <v>1707</v>
      </c>
      <c r="E341" s="19">
        <v>20245965</v>
      </c>
      <c r="F341" s="19" t="s">
        <v>2435</v>
      </c>
      <c r="G341" s="19">
        <v>9999461269</v>
      </c>
      <c r="H341" s="19" t="s">
        <v>2436</v>
      </c>
      <c r="I341" s="19" t="s">
        <v>123</v>
      </c>
      <c r="J341" s="19" t="s">
        <v>407</v>
      </c>
      <c r="K341" s="19" t="s">
        <v>963</v>
      </c>
      <c r="L341" s="19" t="s">
        <v>1423</v>
      </c>
      <c r="M341" s="19" t="s">
        <v>2437</v>
      </c>
      <c r="N341" s="19" t="s">
        <v>2438</v>
      </c>
      <c r="O341" s="19" t="s">
        <v>1512</v>
      </c>
      <c r="P341" s="19" t="s">
        <v>72</v>
      </c>
      <c r="Q341" s="19" t="s">
        <v>2439</v>
      </c>
      <c r="R341" s="19" t="s">
        <v>2440</v>
      </c>
      <c r="S341" s="19" t="s">
        <v>2441</v>
      </c>
      <c r="T341" s="19" t="s">
        <v>1057</v>
      </c>
      <c r="U341" s="21"/>
      <c r="V341" s="19"/>
      <c r="W341" s="19" t="s">
        <v>245</v>
      </c>
      <c r="X341" s="19" t="s">
        <v>245</v>
      </c>
      <c r="Y341" s="19"/>
      <c r="Z341" s="19" t="s">
        <v>68</v>
      </c>
      <c r="AA341" s="27"/>
      <c r="AB341" s="4"/>
      <c r="AC341" s="4"/>
      <c r="AD341" s="19"/>
      <c r="AE341" s="19"/>
      <c r="AF341" s="19"/>
      <c r="AG341" s="19"/>
      <c r="AH341" s="19"/>
      <c r="AI341" s="19"/>
      <c r="AJ341" s="19"/>
      <c r="AK341" s="19"/>
      <c r="AL341" s="19"/>
      <c r="AM341" s="19"/>
      <c r="AN341" s="19"/>
      <c r="AO341" s="19"/>
      <c r="AP341" s="19"/>
      <c r="AQ341" s="19"/>
      <c r="AR341" s="19"/>
      <c r="AS341" s="27"/>
    </row>
    <row r="342" spans="1:45">
      <c r="A342" s="19">
        <f t="shared" si="5"/>
        <v>341</v>
      </c>
      <c r="B342" s="20">
        <v>45702</v>
      </c>
      <c r="C342" s="19" t="s">
        <v>1101</v>
      </c>
      <c r="D342" s="19" t="s">
        <v>1699</v>
      </c>
      <c r="E342" s="19">
        <v>20245965</v>
      </c>
      <c r="F342" s="19" t="s">
        <v>2442</v>
      </c>
      <c r="G342" s="19">
        <v>9083145592</v>
      </c>
      <c r="H342" s="19" t="s">
        <v>2443</v>
      </c>
      <c r="I342" s="19" t="s">
        <v>123</v>
      </c>
      <c r="J342" s="19" t="s">
        <v>407</v>
      </c>
      <c r="K342" s="19" t="s">
        <v>963</v>
      </c>
      <c r="L342" s="19" t="s">
        <v>2444</v>
      </c>
      <c r="M342" s="19" t="s">
        <v>1238</v>
      </c>
      <c r="N342" s="19" t="s">
        <v>2170</v>
      </c>
      <c r="O342" s="19" t="s">
        <v>72</v>
      </c>
      <c r="P342" s="19" t="s">
        <v>72</v>
      </c>
      <c r="Q342" s="19" t="s">
        <v>2445</v>
      </c>
      <c r="R342" s="19" t="s">
        <v>2446</v>
      </c>
      <c r="S342" s="19" t="s">
        <v>2447</v>
      </c>
      <c r="T342" s="19" t="s">
        <v>1057</v>
      </c>
      <c r="U342" s="21"/>
      <c r="V342" s="19"/>
      <c r="W342" s="19" t="s">
        <v>245</v>
      </c>
      <c r="X342" s="19" t="s">
        <v>245</v>
      </c>
      <c r="Y342" s="19"/>
      <c r="Z342" s="19" t="s">
        <v>68</v>
      </c>
      <c r="AA342" s="27"/>
      <c r="AB342" s="4"/>
      <c r="AC342" s="4"/>
      <c r="AD342" s="19"/>
      <c r="AE342" s="19"/>
      <c r="AF342" s="19"/>
      <c r="AG342" s="19"/>
      <c r="AH342" s="19"/>
      <c r="AI342" s="19"/>
      <c r="AJ342" s="19"/>
      <c r="AK342" s="19"/>
      <c r="AL342" s="19"/>
      <c r="AM342" s="19"/>
      <c r="AN342" s="19"/>
      <c r="AO342" s="19"/>
      <c r="AP342" s="19"/>
      <c r="AQ342" s="19"/>
      <c r="AR342" s="19"/>
      <c r="AS342" s="27"/>
    </row>
    <row r="343" spans="1:45">
      <c r="A343" s="19">
        <f t="shared" si="5"/>
        <v>342</v>
      </c>
      <c r="B343" s="20">
        <v>45702</v>
      </c>
      <c r="C343" s="19" t="s">
        <v>1101</v>
      </c>
      <c r="D343" s="19" t="s">
        <v>1707</v>
      </c>
      <c r="E343" s="19">
        <v>20245965</v>
      </c>
      <c r="F343" s="19" t="s">
        <v>2448</v>
      </c>
      <c r="G343" s="19">
        <v>9812405757</v>
      </c>
      <c r="H343" s="19" t="s">
        <v>2449</v>
      </c>
      <c r="I343" s="19" t="s">
        <v>123</v>
      </c>
      <c r="J343" s="19" t="s">
        <v>407</v>
      </c>
      <c r="K343" s="19" t="s">
        <v>963</v>
      </c>
      <c r="L343" s="19" t="s">
        <v>1054</v>
      </c>
      <c r="M343" s="19" t="s">
        <v>1375</v>
      </c>
      <c r="N343" s="19" t="s">
        <v>1324</v>
      </c>
      <c r="O343" s="19" t="s">
        <v>1392</v>
      </c>
      <c r="P343" s="19" t="s">
        <v>72</v>
      </c>
      <c r="Q343" s="19" t="s">
        <v>1059</v>
      </c>
      <c r="R343" s="19" t="s">
        <v>2450</v>
      </c>
      <c r="S343" s="19" t="s">
        <v>2441</v>
      </c>
      <c r="T343" s="19" t="s">
        <v>1057</v>
      </c>
      <c r="U343" s="21"/>
      <c r="V343" s="19"/>
      <c r="W343" s="19" t="s">
        <v>245</v>
      </c>
      <c r="X343" s="19" t="s">
        <v>245</v>
      </c>
      <c r="Y343" s="19"/>
      <c r="Z343" s="19" t="s">
        <v>68</v>
      </c>
      <c r="AA343" s="27"/>
      <c r="AB343" s="4"/>
      <c r="AC343" s="4"/>
      <c r="AD343" s="19"/>
      <c r="AE343" s="19"/>
      <c r="AF343" s="19"/>
      <c r="AG343" s="19"/>
      <c r="AH343" s="19"/>
      <c r="AI343" s="19"/>
      <c r="AJ343" s="19"/>
      <c r="AK343" s="19"/>
      <c r="AL343" s="19"/>
      <c r="AM343" s="19"/>
      <c r="AN343" s="19"/>
      <c r="AO343" s="19"/>
      <c r="AP343" s="19"/>
      <c r="AQ343" s="19"/>
      <c r="AR343" s="19"/>
      <c r="AS343" s="27"/>
    </row>
    <row r="344" spans="1:45">
      <c r="A344" s="19">
        <f t="shared" si="5"/>
        <v>343</v>
      </c>
      <c r="B344" s="20">
        <v>45702</v>
      </c>
      <c r="C344" s="19" t="s">
        <v>1101</v>
      </c>
      <c r="D344" s="19" t="s">
        <v>1699</v>
      </c>
      <c r="E344" s="19">
        <v>20245969</v>
      </c>
      <c r="F344" s="19" t="s">
        <v>2451</v>
      </c>
      <c r="G344" s="19">
        <v>7022157252</v>
      </c>
      <c r="H344" s="19" t="s">
        <v>2452</v>
      </c>
      <c r="I344" s="19" t="s">
        <v>123</v>
      </c>
      <c r="J344" s="19" t="s">
        <v>393</v>
      </c>
      <c r="K344" s="19" t="s">
        <v>1812</v>
      </c>
      <c r="L344" s="19" t="s">
        <v>1748</v>
      </c>
      <c r="M344" s="19" t="s">
        <v>2453</v>
      </c>
      <c r="N344" s="19">
        <v>21</v>
      </c>
      <c r="O344" s="19" t="s">
        <v>1057</v>
      </c>
      <c r="P344" s="19">
        <v>24</v>
      </c>
      <c r="Q344" s="19" t="s">
        <v>72</v>
      </c>
      <c r="R344" s="19" t="s">
        <v>72</v>
      </c>
      <c r="S344" s="19" t="s">
        <v>2454</v>
      </c>
      <c r="T344" s="19" t="s">
        <v>2455</v>
      </c>
      <c r="U344" s="21"/>
      <c r="V344" s="19"/>
      <c r="W344" s="19" t="s">
        <v>245</v>
      </c>
      <c r="X344" s="19" t="s">
        <v>245</v>
      </c>
      <c r="Y344" s="19"/>
      <c r="Z344" s="19" t="s">
        <v>68</v>
      </c>
      <c r="AA344" s="27"/>
      <c r="AB344" s="4"/>
      <c r="AC344" s="4"/>
      <c r="AD344" s="19"/>
      <c r="AE344" s="19"/>
      <c r="AF344" s="19"/>
      <c r="AG344" s="19"/>
      <c r="AH344" s="19"/>
      <c r="AI344" s="19"/>
      <c r="AJ344" s="19"/>
      <c r="AK344" s="19"/>
      <c r="AL344" s="19"/>
      <c r="AM344" s="19"/>
      <c r="AN344" s="19"/>
      <c r="AO344" s="19"/>
      <c r="AP344" s="19"/>
      <c r="AQ344" s="19"/>
      <c r="AR344" s="19"/>
      <c r="AS344" s="27"/>
    </row>
    <row r="345" spans="1:45">
      <c r="A345" s="19">
        <f t="shared" si="5"/>
        <v>344</v>
      </c>
      <c r="B345" s="20">
        <v>45702</v>
      </c>
      <c r="C345" s="19" t="s">
        <v>1101</v>
      </c>
      <c r="D345" s="19" t="s">
        <v>1216</v>
      </c>
      <c r="E345" s="19">
        <v>20245969</v>
      </c>
      <c r="F345" s="19" t="s">
        <v>2456</v>
      </c>
      <c r="G345" s="19">
        <v>9284514358</v>
      </c>
      <c r="H345" s="19" t="s">
        <v>2457</v>
      </c>
      <c r="I345" s="19" t="s">
        <v>123</v>
      </c>
      <c r="J345" s="19" t="s">
        <v>393</v>
      </c>
      <c r="K345" s="19" t="s">
        <v>1812</v>
      </c>
      <c r="L345" s="19" t="s">
        <v>1673</v>
      </c>
      <c r="M345" s="19" t="s">
        <v>2458</v>
      </c>
      <c r="N345" s="19">
        <v>7.7</v>
      </c>
      <c r="O345" s="19" t="s">
        <v>1057</v>
      </c>
      <c r="P345" s="19">
        <v>14</v>
      </c>
      <c r="Q345" s="19" t="s">
        <v>72</v>
      </c>
      <c r="R345" s="19" t="s">
        <v>72</v>
      </c>
      <c r="S345" s="19" t="s">
        <v>1139</v>
      </c>
      <c r="T345" s="19" t="s">
        <v>1057</v>
      </c>
      <c r="U345" s="21"/>
      <c r="V345" s="19"/>
      <c r="W345" s="19" t="s">
        <v>245</v>
      </c>
      <c r="X345" s="19" t="s">
        <v>245</v>
      </c>
      <c r="Y345" s="19"/>
      <c r="Z345" s="19" t="s">
        <v>68</v>
      </c>
      <c r="AA345" s="27"/>
      <c r="AB345" s="4">
        <v>45714</v>
      </c>
      <c r="AC345" s="4"/>
      <c r="AD345" s="19"/>
      <c r="AE345" s="19"/>
      <c r="AF345" s="19"/>
      <c r="AG345" s="19"/>
      <c r="AH345" s="19"/>
      <c r="AI345" s="19"/>
      <c r="AJ345" s="19"/>
      <c r="AK345" s="19"/>
      <c r="AL345" s="19"/>
      <c r="AM345" s="19"/>
      <c r="AN345" s="19"/>
      <c r="AO345" s="19"/>
      <c r="AP345" s="19"/>
      <c r="AQ345" s="19"/>
      <c r="AR345" s="19"/>
      <c r="AS345" s="27"/>
    </row>
    <row r="346" spans="1:45">
      <c r="A346" s="19">
        <f t="shared" si="5"/>
        <v>345</v>
      </c>
      <c r="B346" s="20">
        <v>45702</v>
      </c>
      <c r="C346" s="19" t="s">
        <v>1101</v>
      </c>
      <c r="D346" s="19" t="s">
        <v>2431</v>
      </c>
      <c r="E346" s="19">
        <v>20245969</v>
      </c>
      <c r="F346" s="19" t="s">
        <v>2459</v>
      </c>
      <c r="G346" s="19">
        <v>9049086729</v>
      </c>
      <c r="H346" s="19" t="s">
        <v>2460</v>
      </c>
      <c r="I346" s="19" t="s">
        <v>123</v>
      </c>
      <c r="J346" s="19" t="s">
        <v>393</v>
      </c>
      <c r="K346" s="19" t="s">
        <v>1812</v>
      </c>
      <c r="L346" s="19" t="s">
        <v>2461</v>
      </c>
      <c r="M346" s="19" t="s">
        <v>2462</v>
      </c>
      <c r="N346" s="19">
        <v>8</v>
      </c>
      <c r="O346" s="19" t="s">
        <v>1057</v>
      </c>
      <c r="P346" s="19" t="s">
        <v>2463</v>
      </c>
      <c r="Q346" s="19" t="s">
        <v>72</v>
      </c>
      <c r="R346" s="19" t="s">
        <v>72</v>
      </c>
      <c r="S346" s="19" t="s">
        <v>2464</v>
      </c>
      <c r="T346" s="19" t="s">
        <v>1057</v>
      </c>
      <c r="U346" s="21"/>
      <c r="V346" s="19"/>
      <c r="W346" s="19" t="s">
        <v>245</v>
      </c>
      <c r="X346" s="19" t="s">
        <v>245</v>
      </c>
      <c r="Y346" s="19"/>
      <c r="Z346" s="19" t="s">
        <v>68</v>
      </c>
      <c r="AA346" s="27"/>
      <c r="AB346" s="4">
        <v>45704</v>
      </c>
      <c r="AC346" s="4"/>
      <c r="AD346" s="19"/>
      <c r="AE346" s="19"/>
      <c r="AF346" s="19"/>
      <c r="AG346" s="19"/>
      <c r="AH346" s="19"/>
      <c r="AI346" s="19"/>
      <c r="AJ346" s="19"/>
      <c r="AK346" s="19"/>
      <c r="AL346" s="19"/>
      <c r="AM346" s="19"/>
      <c r="AN346" s="19"/>
      <c r="AO346" s="19"/>
      <c r="AP346" s="19"/>
      <c r="AQ346" s="19"/>
      <c r="AR346" s="19"/>
      <c r="AS346" s="27"/>
    </row>
    <row r="347" spans="1:45">
      <c r="A347" s="19">
        <f t="shared" si="5"/>
        <v>346</v>
      </c>
      <c r="B347" s="20">
        <v>45702</v>
      </c>
      <c r="C347" s="19" t="s">
        <v>1101</v>
      </c>
      <c r="D347" s="19" t="s">
        <v>1216</v>
      </c>
      <c r="E347" s="19">
        <v>20245969</v>
      </c>
      <c r="F347" s="19" t="s">
        <v>2465</v>
      </c>
      <c r="G347" s="19">
        <v>9112067768</v>
      </c>
      <c r="H347" s="19" t="s">
        <v>2466</v>
      </c>
      <c r="I347" s="19" t="s">
        <v>86</v>
      </c>
      <c r="J347" s="19" t="s">
        <v>393</v>
      </c>
      <c r="K347" s="19" t="s">
        <v>1812</v>
      </c>
      <c r="L347" s="19" t="s">
        <v>1673</v>
      </c>
      <c r="M347" s="19" t="s">
        <v>1321</v>
      </c>
      <c r="N347" s="19">
        <v>5</v>
      </c>
      <c r="O347" s="19" t="s">
        <v>1057</v>
      </c>
      <c r="P347" s="19">
        <v>9</v>
      </c>
      <c r="Q347" s="19" t="s">
        <v>72</v>
      </c>
      <c r="R347" s="19" t="s">
        <v>72</v>
      </c>
      <c r="S347" s="19" t="s">
        <v>2464</v>
      </c>
      <c r="T347" s="19" t="s">
        <v>1057</v>
      </c>
      <c r="U347" s="21"/>
      <c r="V347" s="19"/>
      <c r="W347" s="19" t="s">
        <v>245</v>
      </c>
      <c r="X347" s="19" t="s">
        <v>245</v>
      </c>
      <c r="Y347" s="19"/>
      <c r="Z347" s="19" t="s">
        <v>68</v>
      </c>
      <c r="AA347" s="27"/>
      <c r="AB347" s="4">
        <v>45712</v>
      </c>
      <c r="AC347" s="4"/>
      <c r="AD347" s="19"/>
      <c r="AE347" s="19"/>
      <c r="AF347" s="19"/>
      <c r="AG347" s="19"/>
      <c r="AH347" s="19"/>
      <c r="AI347" s="19"/>
      <c r="AJ347" s="19"/>
      <c r="AK347" s="19"/>
      <c r="AL347" s="19"/>
      <c r="AM347" s="19"/>
      <c r="AN347" s="19"/>
      <c r="AO347" s="19"/>
      <c r="AP347" s="19"/>
      <c r="AQ347" s="19"/>
      <c r="AR347" s="19"/>
      <c r="AS347" s="27"/>
    </row>
    <row r="348" spans="1:45">
      <c r="A348" s="19">
        <f t="shared" si="5"/>
        <v>347</v>
      </c>
      <c r="B348" s="20">
        <v>45702</v>
      </c>
      <c r="C348" s="19" t="s">
        <v>1101</v>
      </c>
      <c r="D348" s="19" t="s">
        <v>2431</v>
      </c>
      <c r="E348" s="19">
        <v>20245969</v>
      </c>
      <c r="F348" s="19" t="s">
        <v>2467</v>
      </c>
      <c r="G348" s="19">
        <v>8788479157</v>
      </c>
      <c r="H348" s="19" t="s">
        <v>2468</v>
      </c>
      <c r="I348" s="19" t="s">
        <v>123</v>
      </c>
      <c r="J348" s="19" t="s">
        <v>393</v>
      </c>
      <c r="K348" s="19" t="s">
        <v>1812</v>
      </c>
      <c r="L348" s="19" t="s">
        <v>1673</v>
      </c>
      <c r="M348" s="19" t="s">
        <v>2469</v>
      </c>
      <c r="N348" s="19">
        <v>6</v>
      </c>
      <c r="O348" s="19" t="s">
        <v>1057</v>
      </c>
      <c r="P348" s="19" t="s">
        <v>2463</v>
      </c>
      <c r="Q348" s="19" t="s">
        <v>72</v>
      </c>
      <c r="R348" s="19" t="s">
        <v>72</v>
      </c>
      <c r="S348" s="19" t="s">
        <v>2191</v>
      </c>
      <c r="T348" s="19" t="s">
        <v>1057</v>
      </c>
      <c r="U348" s="21"/>
      <c r="V348" s="19"/>
      <c r="W348" s="19" t="s">
        <v>245</v>
      </c>
      <c r="X348" s="19" t="s">
        <v>245</v>
      </c>
      <c r="Y348" s="19"/>
      <c r="Z348" s="19" t="s">
        <v>68</v>
      </c>
      <c r="AA348" s="27"/>
      <c r="AB348" s="4">
        <v>45704</v>
      </c>
      <c r="AC348" s="4"/>
      <c r="AD348" s="19"/>
      <c r="AE348" s="19"/>
      <c r="AF348" s="19"/>
      <c r="AG348" s="19"/>
      <c r="AH348" s="19"/>
      <c r="AI348" s="19"/>
      <c r="AJ348" s="19"/>
      <c r="AK348" s="19"/>
      <c r="AL348" s="19"/>
      <c r="AM348" s="19"/>
      <c r="AN348" s="19"/>
      <c r="AO348" s="19"/>
      <c r="AP348" s="19"/>
      <c r="AQ348" s="19"/>
      <c r="AR348" s="19"/>
      <c r="AS348" s="27"/>
    </row>
    <row r="349" spans="1:45">
      <c r="A349" s="19">
        <f t="shared" si="5"/>
        <v>348</v>
      </c>
      <c r="B349" s="20">
        <v>45702</v>
      </c>
      <c r="C349" s="19" t="s">
        <v>1101</v>
      </c>
      <c r="D349" s="19" t="s">
        <v>1699</v>
      </c>
      <c r="E349" s="19">
        <v>20252407</v>
      </c>
      <c r="F349" s="19" t="s">
        <v>2470</v>
      </c>
      <c r="G349" s="19" t="s">
        <v>2471</v>
      </c>
      <c r="H349" s="19" t="s">
        <v>2472</v>
      </c>
      <c r="I349" s="19" t="s">
        <v>123</v>
      </c>
      <c r="J349" s="19" t="s">
        <v>393</v>
      </c>
      <c r="K349" s="19" t="s">
        <v>1812</v>
      </c>
      <c r="L349" s="19" t="s">
        <v>1830</v>
      </c>
      <c r="M349" s="19" t="s">
        <v>1621</v>
      </c>
      <c r="N349" s="19">
        <v>8.8000000000000007</v>
      </c>
      <c r="O349" s="19" t="s">
        <v>1057</v>
      </c>
      <c r="P349" s="19">
        <v>14</v>
      </c>
      <c r="Q349" s="19" t="s">
        <v>1392</v>
      </c>
      <c r="R349" s="19" t="s">
        <v>72</v>
      </c>
      <c r="S349" s="19" t="s">
        <v>1868</v>
      </c>
      <c r="T349" s="19" t="s">
        <v>1057</v>
      </c>
      <c r="U349" s="21"/>
      <c r="V349" s="19"/>
      <c r="W349" s="19" t="s">
        <v>245</v>
      </c>
      <c r="X349" s="19" t="s">
        <v>245</v>
      </c>
      <c r="Y349" s="19"/>
      <c r="Z349" s="19" t="s">
        <v>68</v>
      </c>
      <c r="AA349" s="27"/>
      <c r="AB349" s="4"/>
      <c r="AC349" s="4"/>
      <c r="AD349" s="19"/>
      <c r="AE349" s="19"/>
      <c r="AF349" s="19"/>
      <c r="AG349" s="19"/>
      <c r="AH349" s="19"/>
      <c r="AI349" s="19"/>
      <c r="AJ349" s="19"/>
      <c r="AK349" s="19"/>
      <c r="AL349" s="19"/>
      <c r="AM349" s="19"/>
      <c r="AN349" s="19"/>
      <c r="AO349" s="19"/>
      <c r="AP349" s="19"/>
      <c r="AQ349" s="19"/>
      <c r="AR349" s="19"/>
      <c r="AS349" s="27"/>
    </row>
    <row r="350" spans="1:45">
      <c r="A350" s="19">
        <f t="shared" si="5"/>
        <v>349</v>
      </c>
      <c r="B350" s="20">
        <v>45702</v>
      </c>
      <c r="C350" s="19" t="s">
        <v>1101</v>
      </c>
      <c r="D350" s="19" t="s">
        <v>2473</v>
      </c>
      <c r="E350" s="19">
        <v>20245969</v>
      </c>
      <c r="F350" s="19" t="s">
        <v>2474</v>
      </c>
      <c r="G350" s="19">
        <v>9137986694</v>
      </c>
      <c r="H350" s="19" t="s">
        <v>2475</v>
      </c>
      <c r="I350" s="19" t="s">
        <v>123</v>
      </c>
      <c r="J350" s="19" t="s">
        <v>393</v>
      </c>
      <c r="K350" s="19" t="s">
        <v>1812</v>
      </c>
      <c r="L350" s="19" t="s">
        <v>1997</v>
      </c>
      <c r="M350" s="19" t="s">
        <v>1621</v>
      </c>
      <c r="N350" s="19">
        <v>8.5</v>
      </c>
      <c r="O350" s="19" t="s">
        <v>1057</v>
      </c>
      <c r="P350" s="19" t="s">
        <v>2476</v>
      </c>
      <c r="Q350" s="19" t="s">
        <v>72</v>
      </c>
      <c r="R350" s="19" t="s">
        <v>72</v>
      </c>
      <c r="S350" s="19" t="s">
        <v>1868</v>
      </c>
      <c r="T350" s="19" t="s">
        <v>1057</v>
      </c>
      <c r="U350" s="21"/>
      <c r="V350" s="19"/>
      <c r="W350" s="19" t="s">
        <v>245</v>
      </c>
      <c r="X350" s="19" t="s">
        <v>245</v>
      </c>
      <c r="Y350" s="19"/>
      <c r="Z350" s="19" t="s">
        <v>68</v>
      </c>
      <c r="AA350" s="27"/>
      <c r="AB350" s="4">
        <v>45714</v>
      </c>
      <c r="AC350" s="4"/>
      <c r="AD350" s="19"/>
      <c r="AE350" s="19"/>
      <c r="AF350" s="19"/>
      <c r="AG350" s="19"/>
      <c r="AH350" s="19"/>
      <c r="AI350" s="19"/>
      <c r="AJ350" s="19"/>
      <c r="AK350" s="19"/>
      <c r="AL350" s="19"/>
      <c r="AM350" s="19"/>
      <c r="AN350" s="19"/>
      <c r="AO350" s="19"/>
      <c r="AP350" s="19"/>
      <c r="AQ350" s="19"/>
      <c r="AR350" s="19"/>
      <c r="AS350" s="27"/>
    </row>
    <row r="351" spans="1:45">
      <c r="A351" s="19">
        <f t="shared" si="5"/>
        <v>350</v>
      </c>
      <c r="B351" s="20">
        <v>45702</v>
      </c>
      <c r="C351" s="19" t="s">
        <v>1101</v>
      </c>
      <c r="D351" s="19" t="s">
        <v>1278</v>
      </c>
      <c r="E351" s="19">
        <v>20246232</v>
      </c>
      <c r="F351" s="19" t="s">
        <v>2477</v>
      </c>
      <c r="G351" s="19">
        <v>9096439660</v>
      </c>
      <c r="H351" s="19" t="s">
        <v>2478</v>
      </c>
      <c r="I351" s="19" t="s">
        <v>123</v>
      </c>
      <c r="J351" s="19" t="s">
        <v>2136</v>
      </c>
      <c r="K351" s="19" t="s">
        <v>2137</v>
      </c>
      <c r="L351" s="19" t="s">
        <v>1087</v>
      </c>
      <c r="M351" s="19" t="s">
        <v>1551</v>
      </c>
      <c r="N351" s="19" t="s">
        <v>2479</v>
      </c>
      <c r="O351" s="19"/>
      <c r="P351" s="19" t="s">
        <v>1073</v>
      </c>
      <c r="Q351" s="19" t="s">
        <v>72</v>
      </c>
      <c r="R351" s="19" t="s">
        <v>72</v>
      </c>
      <c r="S351" s="19" t="s">
        <v>2480</v>
      </c>
      <c r="T351" s="19" t="s">
        <v>2481</v>
      </c>
      <c r="U351" s="21"/>
      <c r="V351" s="19"/>
      <c r="W351" s="19" t="s">
        <v>144</v>
      </c>
      <c r="X351" s="19" t="s">
        <v>144</v>
      </c>
      <c r="Y351" s="19"/>
      <c r="Z351" s="19" t="s">
        <v>68</v>
      </c>
      <c r="AA351" s="27"/>
      <c r="AB351" s="4"/>
      <c r="AC351" s="4"/>
      <c r="AD351" s="19"/>
      <c r="AE351" s="19"/>
      <c r="AF351" s="19"/>
      <c r="AG351" s="19"/>
      <c r="AH351" s="19"/>
      <c r="AI351" s="19"/>
      <c r="AJ351" s="19"/>
      <c r="AK351" s="19"/>
      <c r="AL351" s="19"/>
      <c r="AM351" s="19"/>
      <c r="AN351" s="19"/>
      <c r="AO351" s="19"/>
      <c r="AP351" s="19"/>
      <c r="AQ351" s="19"/>
      <c r="AR351" s="19"/>
      <c r="AS351" s="27"/>
    </row>
    <row r="352" spans="1:45">
      <c r="A352" s="19">
        <f t="shared" si="5"/>
        <v>351</v>
      </c>
      <c r="B352" s="20">
        <v>45702</v>
      </c>
      <c r="C352" s="19" t="s">
        <v>1101</v>
      </c>
      <c r="D352" s="19" t="s">
        <v>1278</v>
      </c>
      <c r="E352" s="19">
        <v>20246232</v>
      </c>
      <c r="F352" s="19" t="s">
        <v>2482</v>
      </c>
      <c r="G352" s="19">
        <v>7978615698</v>
      </c>
      <c r="H352" s="19" t="s">
        <v>2483</v>
      </c>
      <c r="I352" s="19" t="s">
        <v>123</v>
      </c>
      <c r="J352" s="19" t="s">
        <v>2136</v>
      </c>
      <c r="K352" s="19" t="s">
        <v>2137</v>
      </c>
      <c r="L352" s="19" t="s">
        <v>1458</v>
      </c>
      <c r="M352" s="19" t="s">
        <v>1447</v>
      </c>
      <c r="N352" s="19" t="s">
        <v>1669</v>
      </c>
      <c r="O352" s="19"/>
      <c r="P352" s="19" t="s">
        <v>1238</v>
      </c>
      <c r="Q352" s="19" t="s">
        <v>72</v>
      </c>
      <c r="R352" s="19" t="s">
        <v>72</v>
      </c>
      <c r="S352" s="19" t="s">
        <v>2484</v>
      </c>
      <c r="T352" s="19" t="s">
        <v>2485</v>
      </c>
      <c r="U352" s="21"/>
      <c r="V352" s="19"/>
      <c r="W352" s="19" t="s">
        <v>144</v>
      </c>
      <c r="X352" s="19" t="s">
        <v>144</v>
      </c>
      <c r="Y352" s="19"/>
      <c r="Z352" s="19" t="s">
        <v>68</v>
      </c>
      <c r="AA352" s="27"/>
      <c r="AB352" s="4"/>
      <c r="AC352" s="4"/>
      <c r="AD352" s="19"/>
      <c r="AE352" s="19"/>
      <c r="AF352" s="19"/>
      <c r="AG352" s="19"/>
      <c r="AH352" s="19"/>
      <c r="AI352" s="19"/>
      <c r="AJ352" s="19"/>
      <c r="AK352" s="19"/>
      <c r="AL352" s="19"/>
      <c r="AM352" s="19"/>
      <c r="AN352" s="19"/>
      <c r="AO352" s="19"/>
      <c r="AP352" s="19"/>
      <c r="AQ352" s="19"/>
      <c r="AR352" s="19"/>
      <c r="AS352" s="27"/>
    </row>
    <row r="353" spans="1:45">
      <c r="A353" s="19">
        <f t="shared" si="5"/>
        <v>352</v>
      </c>
      <c r="B353" s="20">
        <v>45702</v>
      </c>
      <c r="C353" s="19" t="s">
        <v>1101</v>
      </c>
      <c r="D353" s="19" t="s">
        <v>1278</v>
      </c>
      <c r="E353" s="19">
        <v>20246232</v>
      </c>
      <c r="F353" s="19" t="s">
        <v>2486</v>
      </c>
      <c r="G353" s="19">
        <v>7304664143</v>
      </c>
      <c r="H353" s="19" t="s">
        <v>2487</v>
      </c>
      <c r="I353" s="19" t="s">
        <v>123</v>
      </c>
      <c r="J353" s="19" t="s">
        <v>2136</v>
      </c>
      <c r="K353" s="19" t="s">
        <v>2137</v>
      </c>
      <c r="L353" s="19" t="s">
        <v>1247</v>
      </c>
      <c r="M353" s="19" t="s">
        <v>2488</v>
      </c>
      <c r="N353" s="19" t="s">
        <v>1073</v>
      </c>
      <c r="O353" s="19"/>
      <c r="P353" s="19" t="s">
        <v>1084</v>
      </c>
      <c r="Q353" s="19" t="s">
        <v>72</v>
      </c>
      <c r="R353" s="19" t="s">
        <v>72</v>
      </c>
      <c r="S353" s="19" t="s">
        <v>1158</v>
      </c>
      <c r="T353" s="19" t="s">
        <v>858</v>
      </c>
      <c r="U353" s="21"/>
      <c r="V353" s="19"/>
      <c r="W353" s="19" t="s">
        <v>144</v>
      </c>
      <c r="X353" s="19" t="s">
        <v>144</v>
      </c>
      <c r="Y353" s="19"/>
      <c r="Z353" s="19" t="s">
        <v>68</v>
      </c>
      <c r="AA353" s="27"/>
      <c r="AB353" s="4"/>
      <c r="AC353" s="4"/>
      <c r="AD353" s="19"/>
      <c r="AE353" s="19"/>
      <c r="AF353" s="19"/>
      <c r="AG353" s="19"/>
      <c r="AH353" s="19"/>
      <c r="AI353" s="19"/>
      <c r="AJ353" s="19"/>
      <c r="AK353" s="19"/>
      <c r="AL353" s="19"/>
      <c r="AM353" s="19"/>
      <c r="AN353" s="19"/>
      <c r="AO353" s="19"/>
      <c r="AP353" s="19"/>
      <c r="AQ353" s="19"/>
      <c r="AR353" s="19"/>
      <c r="AS353" s="27"/>
    </row>
    <row r="354" spans="1:45">
      <c r="A354" s="19">
        <f t="shared" si="5"/>
        <v>353</v>
      </c>
      <c r="B354" s="20">
        <v>45702</v>
      </c>
      <c r="C354" s="19" t="s">
        <v>1101</v>
      </c>
      <c r="D354" s="19" t="s">
        <v>1278</v>
      </c>
      <c r="E354" s="19">
        <v>20246232</v>
      </c>
      <c r="F354" s="19" t="s">
        <v>2489</v>
      </c>
      <c r="G354" s="19">
        <v>8623828842</v>
      </c>
      <c r="H354" s="19" t="s">
        <v>2490</v>
      </c>
      <c r="I354" s="19" t="s">
        <v>123</v>
      </c>
      <c r="J354" s="19" t="s">
        <v>2136</v>
      </c>
      <c r="K354" s="19" t="s">
        <v>2137</v>
      </c>
      <c r="L354" s="19" t="s">
        <v>2491</v>
      </c>
      <c r="M354" s="19" t="s">
        <v>1621</v>
      </c>
      <c r="N354" s="19" t="s">
        <v>2492</v>
      </c>
      <c r="O354" s="19"/>
      <c r="P354" s="19" t="s">
        <v>1084</v>
      </c>
      <c r="Q354" s="19" t="s">
        <v>72</v>
      </c>
      <c r="R354" s="19" t="s">
        <v>72</v>
      </c>
      <c r="S354" s="19" t="s">
        <v>1067</v>
      </c>
      <c r="T354" s="19" t="s">
        <v>858</v>
      </c>
      <c r="U354" s="21"/>
      <c r="V354" s="19"/>
      <c r="W354" s="19" t="s">
        <v>144</v>
      </c>
      <c r="X354" s="19" t="s">
        <v>144</v>
      </c>
      <c r="Y354" s="19"/>
      <c r="Z354" s="19" t="s">
        <v>68</v>
      </c>
      <c r="AA354" s="27"/>
      <c r="AB354" s="4"/>
      <c r="AC354" s="4"/>
      <c r="AD354" s="19"/>
      <c r="AE354" s="19"/>
      <c r="AF354" s="19"/>
      <c r="AG354" s="19"/>
      <c r="AH354" s="19"/>
      <c r="AI354" s="19"/>
      <c r="AJ354" s="19"/>
      <c r="AK354" s="19"/>
      <c r="AL354" s="19"/>
      <c r="AM354" s="19"/>
      <c r="AN354" s="19"/>
      <c r="AO354" s="19"/>
      <c r="AP354" s="19"/>
      <c r="AQ354" s="19"/>
      <c r="AR354" s="19"/>
      <c r="AS354" s="27"/>
    </row>
    <row r="355" spans="1:45">
      <c r="A355" s="19">
        <f t="shared" si="5"/>
        <v>354</v>
      </c>
      <c r="B355" s="20">
        <v>45702</v>
      </c>
      <c r="C355" s="19" t="s">
        <v>1101</v>
      </c>
      <c r="D355" s="19" t="s">
        <v>1432</v>
      </c>
      <c r="E355" s="19">
        <v>20246232</v>
      </c>
      <c r="F355" s="19" t="s">
        <v>2493</v>
      </c>
      <c r="G355" s="19" t="s">
        <v>2494</v>
      </c>
      <c r="H355" s="19" t="s">
        <v>2495</v>
      </c>
      <c r="I355" s="19" t="s">
        <v>123</v>
      </c>
      <c r="J355" s="19" t="s">
        <v>2136</v>
      </c>
      <c r="K355" s="19" t="s">
        <v>2137</v>
      </c>
      <c r="L355" s="19" t="s">
        <v>2496</v>
      </c>
      <c r="M355" s="19" t="s">
        <v>2497</v>
      </c>
      <c r="N355" s="19" t="s">
        <v>1285</v>
      </c>
      <c r="O355" s="19"/>
      <c r="P355" s="19" t="s">
        <v>1238</v>
      </c>
      <c r="Q355" s="19" t="s">
        <v>72</v>
      </c>
      <c r="R355" s="19" t="s">
        <v>72</v>
      </c>
      <c r="S355" s="19" t="s">
        <v>1158</v>
      </c>
      <c r="T355" s="19" t="s">
        <v>858</v>
      </c>
      <c r="U355" s="21"/>
      <c r="V355" s="19"/>
      <c r="W355" s="19" t="s">
        <v>144</v>
      </c>
      <c r="X355" s="19" t="s">
        <v>144</v>
      </c>
      <c r="Y355" s="19"/>
      <c r="Z355" s="19" t="s">
        <v>68</v>
      </c>
      <c r="AA355" s="27"/>
      <c r="AB355" s="4"/>
      <c r="AC355" s="4"/>
      <c r="AD355" s="19"/>
      <c r="AE355" s="19"/>
      <c r="AF355" s="19"/>
      <c r="AG355" s="19"/>
      <c r="AH355" s="19"/>
      <c r="AI355" s="19"/>
      <c r="AJ355" s="19"/>
      <c r="AK355" s="19"/>
      <c r="AL355" s="19"/>
      <c r="AM355" s="19"/>
      <c r="AN355" s="19"/>
      <c r="AO355" s="19"/>
      <c r="AP355" s="19"/>
      <c r="AQ355" s="19"/>
      <c r="AR355" s="19"/>
      <c r="AS355" s="27"/>
    </row>
    <row r="356" spans="1:45">
      <c r="A356" s="19">
        <f t="shared" si="5"/>
        <v>355</v>
      </c>
      <c r="B356" s="20">
        <v>45702</v>
      </c>
      <c r="C356" s="19" t="s">
        <v>1101</v>
      </c>
      <c r="D356" s="19" t="s">
        <v>1278</v>
      </c>
      <c r="E356" s="19">
        <v>20246232</v>
      </c>
      <c r="F356" s="19" t="s">
        <v>2498</v>
      </c>
      <c r="G356" s="19">
        <v>9712495903</v>
      </c>
      <c r="H356" s="19" t="s">
        <v>2499</v>
      </c>
      <c r="I356" s="19" t="s">
        <v>123</v>
      </c>
      <c r="J356" s="19" t="s">
        <v>2136</v>
      </c>
      <c r="K356" s="19" t="s">
        <v>2137</v>
      </c>
      <c r="L356" s="19" t="s">
        <v>1458</v>
      </c>
      <c r="M356" s="19" t="s">
        <v>1844</v>
      </c>
      <c r="N356" s="19" t="s">
        <v>2500</v>
      </c>
      <c r="O356" s="19"/>
      <c r="P356" s="19" t="s">
        <v>1194</v>
      </c>
      <c r="Q356" s="19" t="s">
        <v>72</v>
      </c>
      <c r="R356" s="19" t="s">
        <v>72</v>
      </c>
      <c r="S356" s="19" t="s">
        <v>1158</v>
      </c>
      <c r="T356" s="19" t="s">
        <v>858</v>
      </c>
      <c r="U356" s="21"/>
      <c r="V356" s="19"/>
      <c r="W356" s="19" t="s">
        <v>144</v>
      </c>
      <c r="X356" s="19" t="s">
        <v>144</v>
      </c>
      <c r="Y356" s="19"/>
      <c r="Z356" s="19" t="s">
        <v>68</v>
      </c>
      <c r="AA356" s="27"/>
      <c r="AB356" s="4"/>
      <c r="AC356" s="4"/>
      <c r="AD356" s="19"/>
      <c r="AE356" s="19"/>
      <c r="AF356" s="19"/>
      <c r="AG356" s="19"/>
      <c r="AH356" s="19"/>
      <c r="AI356" s="19"/>
      <c r="AJ356" s="19"/>
      <c r="AK356" s="19"/>
      <c r="AL356" s="19"/>
      <c r="AM356" s="19"/>
      <c r="AN356" s="19"/>
      <c r="AO356" s="19"/>
      <c r="AP356" s="19"/>
      <c r="AQ356" s="19"/>
      <c r="AR356" s="19"/>
      <c r="AS356" s="27"/>
    </row>
    <row r="357" spans="1:45">
      <c r="A357" s="19">
        <f t="shared" si="5"/>
        <v>356</v>
      </c>
      <c r="B357" s="20">
        <v>45736</v>
      </c>
      <c r="C357" s="19" t="s">
        <v>1101</v>
      </c>
      <c r="D357" s="19" t="s">
        <v>1699</v>
      </c>
      <c r="E357" s="19">
        <v>20252855</v>
      </c>
      <c r="F357" s="19" t="s">
        <v>2501</v>
      </c>
      <c r="G357" s="19">
        <v>9028719444</v>
      </c>
      <c r="H357" s="19" t="s">
        <v>2502</v>
      </c>
      <c r="I357" s="19" t="s">
        <v>123</v>
      </c>
      <c r="J357" s="19" t="s">
        <v>276</v>
      </c>
      <c r="K357" s="19" t="s">
        <v>228</v>
      </c>
      <c r="L357" s="19" t="s">
        <v>1949</v>
      </c>
      <c r="M357" s="19" t="s">
        <v>1321</v>
      </c>
      <c r="N357" s="19" t="s">
        <v>2503</v>
      </c>
      <c r="O357" s="19"/>
      <c r="P357" s="19" t="s">
        <v>1084</v>
      </c>
      <c r="Q357" s="19" t="s">
        <v>72</v>
      </c>
      <c r="R357" s="19" t="s">
        <v>72</v>
      </c>
      <c r="S357" s="19" t="s">
        <v>1210</v>
      </c>
      <c r="T357" s="19" t="s">
        <v>858</v>
      </c>
      <c r="U357" s="21"/>
      <c r="V357" s="19"/>
      <c r="W357" s="19" t="s">
        <v>144</v>
      </c>
      <c r="X357" s="19" t="s">
        <v>2243</v>
      </c>
      <c r="Y357" s="19"/>
      <c r="Z357" s="19" t="s">
        <v>68</v>
      </c>
      <c r="AA357" s="27"/>
      <c r="AB357" s="4"/>
      <c r="AC357" s="4"/>
      <c r="AD357" s="19"/>
      <c r="AE357" s="19"/>
      <c r="AF357" s="19"/>
      <c r="AG357" s="19"/>
      <c r="AH357" s="19"/>
      <c r="AI357" s="19"/>
      <c r="AJ357" s="19"/>
      <c r="AK357" s="19"/>
      <c r="AL357" s="19"/>
      <c r="AM357" s="19"/>
      <c r="AN357" s="19"/>
      <c r="AO357" s="19"/>
      <c r="AP357" s="19"/>
      <c r="AQ357" s="19"/>
      <c r="AR357" s="19"/>
      <c r="AS357" s="27"/>
    </row>
    <row r="358" spans="1:45">
      <c r="A358" s="19">
        <f t="shared" si="5"/>
        <v>357</v>
      </c>
      <c r="B358" s="20">
        <v>45702</v>
      </c>
      <c r="C358" s="19" t="s">
        <v>1101</v>
      </c>
      <c r="D358" s="19" t="s">
        <v>1432</v>
      </c>
      <c r="E358" s="19">
        <v>20252855</v>
      </c>
      <c r="F358" s="19" t="s">
        <v>2504</v>
      </c>
      <c r="G358" s="19">
        <v>9307220253</v>
      </c>
      <c r="H358" s="19" t="s">
        <v>2505</v>
      </c>
      <c r="I358" s="19" t="s">
        <v>123</v>
      </c>
      <c r="J358" s="19" t="s">
        <v>276</v>
      </c>
      <c r="K358" s="19" t="s">
        <v>228</v>
      </c>
      <c r="L358" s="19" t="s">
        <v>1822</v>
      </c>
      <c r="M358" s="19" t="s">
        <v>1321</v>
      </c>
      <c r="N358" s="19" t="s">
        <v>2506</v>
      </c>
      <c r="O358" s="19"/>
      <c r="P358" s="19" t="s">
        <v>1233</v>
      </c>
      <c r="Q358" s="19" t="s">
        <v>72</v>
      </c>
      <c r="R358" s="19" t="s">
        <v>72</v>
      </c>
      <c r="S358" s="19" t="s">
        <v>2507</v>
      </c>
      <c r="T358" s="19" t="s">
        <v>2508</v>
      </c>
      <c r="U358" s="21"/>
      <c r="V358" s="19"/>
      <c r="W358" s="19" t="s">
        <v>144</v>
      </c>
      <c r="X358" s="19" t="s">
        <v>2243</v>
      </c>
      <c r="Y358" s="19"/>
      <c r="Z358" s="19" t="s">
        <v>68</v>
      </c>
      <c r="AA358" s="27"/>
      <c r="AB358" s="4"/>
      <c r="AC358" s="4"/>
      <c r="AD358" s="19"/>
      <c r="AE358" s="19"/>
      <c r="AF358" s="19"/>
      <c r="AG358" s="19"/>
      <c r="AH358" s="19"/>
      <c r="AI358" s="19"/>
      <c r="AJ358" s="19"/>
      <c r="AK358" s="19"/>
      <c r="AL358" s="19"/>
      <c r="AM358" s="19"/>
      <c r="AN358" s="19"/>
      <c r="AO358" s="19"/>
      <c r="AP358" s="19"/>
      <c r="AQ358" s="19"/>
      <c r="AR358" s="19"/>
      <c r="AS358" s="27"/>
    </row>
    <row r="359" spans="1:45">
      <c r="A359" s="19">
        <f t="shared" si="5"/>
        <v>358</v>
      </c>
      <c r="B359" s="20">
        <v>45702</v>
      </c>
      <c r="C359" s="19" t="s">
        <v>1101</v>
      </c>
      <c r="D359" s="19" t="s">
        <v>1102</v>
      </c>
      <c r="E359" s="19">
        <v>20252855</v>
      </c>
      <c r="F359" s="19" t="s">
        <v>2509</v>
      </c>
      <c r="G359" s="19">
        <v>8960685653</v>
      </c>
      <c r="H359" s="19" t="s">
        <v>2510</v>
      </c>
      <c r="I359" s="19" t="s">
        <v>123</v>
      </c>
      <c r="J359" s="19" t="s">
        <v>276</v>
      </c>
      <c r="K359" s="19" t="s">
        <v>228</v>
      </c>
      <c r="L359" s="19" t="s">
        <v>1949</v>
      </c>
      <c r="M359" s="19" t="s">
        <v>2511</v>
      </c>
      <c r="N359" s="19" t="s">
        <v>2512</v>
      </c>
      <c r="O359" s="19"/>
      <c r="P359" s="19" t="s">
        <v>1238</v>
      </c>
      <c r="Q359" s="19" t="s">
        <v>1603</v>
      </c>
      <c r="R359" s="19" t="s">
        <v>72</v>
      </c>
      <c r="S359" s="19" t="s">
        <v>1121</v>
      </c>
      <c r="T359" s="19" t="s">
        <v>858</v>
      </c>
      <c r="U359" s="21"/>
      <c r="V359" s="19"/>
      <c r="W359" s="19" t="s">
        <v>144</v>
      </c>
      <c r="X359" s="19" t="s">
        <v>2243</v>
      </c>
      <c r="Y359" s="19"/>
      <c r="Z359" s="19" t="s">
        <v>68</v>
      </c>
      <c r="AA359" s="27"/>
      <c r="AB359" s="4"/>
      <c r="AC359" s="4"/>
      <c r="AD359" s="19"/>
      <c r="AE359" s="19"/>
      <c r="AF359" s="19"/>
      <c r="AG359" s="19"/>
      <c r="AH359" s="19"/>
      <c r="AI359" s="19"/>
      <c r="AJ359" s="19"/>
      <c r="AK359" s="19"/>
      <c r="AL359" s="19"/>
      <c r="AM359" s="19"/>
      <c r="AN359" s="19"/>
      <c r="AO359" s="19"/>
      <c r="AP359" s="19"/>
      <c r="AQ359" s="19"/>
      <c r="AR359" s="19"/>
      <c r="AS359" s="27"/>
    </row>
    <row r="360" spans="1:45">
      <c r="A360" s="19">
        <f t="shared" si="5"/>
        <v>359</v>
      </c>
      <c r="B360" s="20">
        <v>45736</v>
      </c>
      <c r="C360" s="19" t="s">
        <v>1101</v>
      </c>
      <c r="D360" s="19" t="s">
        <v>1699</v>
      </c>
      <c r="E360" s="19">
        <v>20252855</v>
      </c>
      <c r="F360" s="19" t="s">
        <v>2513</v>
      </c>
      <c r="G360" s="19">
        <v>7249439999</v>
      </c>
      <c r="H360" s="19" t="s">
        <v>2514</v>
      </c>
      <c r="I360" s="19" t="s">
        <v>123</v>
      </c>
      <c r="J360" s="19" t="s">
        <v>276</v>
      </c>
      <c r="K360" s="19" t="s">
        <v>228</v>
      </c>
      <c r="L360" s="19" t="s">
        <v>1830</v>
      </c>
      <c r="M360" s="19" t="s">
        <v>2515</v>
      </c>
      <c r="N360" s="19" t="s">
        <v>2516</v>
      </c>
      <c r="O360" s="19"/>
      <c r="P360" s="19" t="s">
        <v>1073</v>
      </c>
      <c r="Q360" s="19" t="s">
        <v>72</v>
      </c>
      <c r="R360" s="19" t="s">
        <v>72</v>
      </c>
      <c r="S360" s="19" t="s">
        <v>1210</v>
      </c>
      <c r="T360" s="19" t="s">
        <v>858</v>
      </c>
      <c r="U360" s="21"/>
      <c r="V360" s="19"/>
      <c r="W360" s="19" t="s">
        <v>144</v>
      </c>
      <c r="X360" s="19" t="s">
        <v>2243</v>
      </c>
      <c r="Y360" s="19"/>
      <c r="Z360" s="19" t="s">
        <v>68</v>
      </c>
      <c r="AA360" s="27"/>
      <c r="AB360" s="4"/>
      <c r="AC360" s="4"/>
      <c r="AD360" s="19"/>
      <c r="AE360" s="19"/>
      <c r="AF360" s="19"/>
      <c r="AG360" s="19"/>
      <c r="AH360" s="19"/>
      <c r="AI360" s="19"/>
      <c r="AJ360" s="19"/>
      <c r="AK360" s="19"/>
      <c r="AL360" s="19"/>
      <c r="AM360" s="19"/>
      <c r="AN360" s="19"/>
      <c r="AO360" s="19"/>
      <c r="AP360" s="19"/>
      <c r="AQ360" s="19"/>
      <c r="AR360" s="19"/>
      <c r="AS360" s="27"/>
    </row>
    <row r="361" spans="1:45">
      <c r="A361" s="19">
        <f t="shared" si="5"/>
        <v>360</v>
      </c>
      <c r="B361" s="20">
        <v>45702</v>
      </c>
      <c r="C361" s="19" t="s">
        <v>1101</v>
      </c>
      <c r="D361" s="19" t="s">
        <v>1432</v>
      </c>
      <c r="E361" s="19">
        <v>20252855</v>
      </c>
      <c r="F361" s="19" t="s">
        <v>2517</v>
      </c>
      <c r="G361" s="19">
        <v>9423465460</v>
      </c>
      <c r="H361" s="19" t="s">
        <v>2518</v>
      </c>
      <c r="I361" s="19" t="s">
        <v>86</v>
      </c>
      <c r="J361" s="19" t="s">
        <v>276</v>
      </c>
      <c r="K361" s="19" t="s">
        <v>228</v>
      </c>
      <c r="L361" s="19" t="s">
        <v>1673</v>
      </c>
      <c r="M361" s="19" t="s">
        <v>2519</v>
      </c>
      <c r="N361" s="19" t="s">
        <v>1285</v>
      </c>
      <c r="O361" s="19"/>
      <c r="P361" s="19" t="s">
        <v>1084</v>
      </c>
      <c r="Q361" s="19" t="s">
        <v>72</v>
      </c>
      <c r="R361" s="19" t="s">
        <v>72</v>
      </c>
      <c r="S361" s="19" t="s">
        <v>1121</v>
      </c>
      <c r="T361" s="19" t="s">
        <v>858</v>
      </c>
      <c r="U361" s="21"/>
      <c r="V361" s="19"/>
      <c r="W361" s="19" t="s">
        <v>144</v>
      </c>
      <c r="X361" s="19" t="s">
        <v>2243</v>
      </c>
      <c r="Y361" s="19"/>
      <c r="Z361" s="19" t="s">
        <v>68</v>
      </c>
      <c r="AA361" s="27"/>
      <c r="AB361" s="4"/>
      <c r="AC361" s="4"/>
      <c r="AD361" s="19"/>
      <c r="AE361" s="19"/>
      <c r="AF361" s="19"/>
      <c r="AG361" s="19"/>
      <c r="AH361" s="19"/>
      <c r="AI361" s="19"/>
      <c r="AJ361" s="19"/>
      <c r="AK361" s="19"/>
      <c r="AL361" s="19"/>
      <c r="AM361" s="19"/>
      <c r="AN361" s="19"/>
      <c r="AO361" s="19"/>
      <c r="AP361" s="19"/>
      <c r="AQ361" s="19"/>
      <c r="AR361" s="19"/>
      <c r="AS361" s="27"/>
    </row>
    <row r="362" spans="1:45">
      <c r="A362" s="19">
        <f t="shared" si="5"/>
        <v>361</v>
      </c>
      <c r="B362" s="20">
        <v>45736</v>
      </c>
      <c r="C362" s="19" t="s">
        <v>1101</v>
      </c>
      <c r="D362" s="19" t="s">
        <v>1699</v>
      </c>
      <c r="E362" s="19">
        <v>20252855</v>
      </c>
      <c r="F362" s="19" t="s">
        <v>2520</v>
      </c>
      <c r="G362" s="19" t="s">
        <v>2521</v>
      </c>
      <c r="H362" s="19" t="s">
        <v>2522</v>
      </c>
      <c r="I362" s="19" t="s">
        <v>86</v>
      </c>
      <c r="J362" s="19" t="s">
        <v>276</v>
      </c>
      <c r="K362" s="19" t="s">
        <v>228</v>
      </c>
      <c r="L362" s="19" t="s">
        <v>1673</v>
      </c>
      <c r="M362" s="19" t="s">
        <v>2523</v>
      </c>
      <c r="N362" s="19" t="s">
        <v>2524</v>
      </c>
      <c r="O362" s="19"/>
      <c r="P362" s="19" t="s">
        <v>1090</v>
      </c>
      <c r="Q362" s="19" t="s">
        <v>72</v>
      </c>
      <c r="R362" s="19" t="s">
        <v>72</v>
      </c>
      <c r="S362" s="19" t="s">
        <v>2525</v>
      </c>
      <c r="T362" s="19" t="s">
        <v>2340</v>
      </c>
      <c r="U362" s="21"/>
      <c r="V362" s="19"/>
      <c r="W362" s="19" t="s">
        <v>144</v>
      </c>
      <c r="X362" s="19" t="s">
        <v>2243</v>
      </c>
      <c r="Y362" s="19"/>
      <c r="Z362" s="19" t="s">
        <v>68</v>
      </c>
      <c r="AA362" s="27"/>
      <c r="AB362" s="4"/>
      <c r="AC362" s="4"/>
      <c r="AD362" s="19"/>
      <c r="AE362" s="19"/>
      <c r="AF362" s="19"/>
      <c r="AG362" s="19"/>
      <c r="AH362" s="19"/>
      <c r="AI362" s="19"/>
      <c r="AJ362" s="19"/>
      <c r="AK362" s="19"/>
      <c r="AL362" s="19"/>
      <c r="AM362" s="19"/>
      <c r="AN362" s="19"/>
      <c r="AO362" s="19"/>
      <c r="AP362" s="19"/>
      <c r="AQ362" s="19"/>
      <c r="AR362" s="19"/>
      <c r="AS362" s="27"/>
    </row>
    <row r="363" spans="1:45">
      <c r="A363" s="19">
        <f t="shared" si="5"/>
        <v>362</v>
      </c>
      <c r="B363" s="20">
        <v>45703</v>
      </c>
      <c r="C363" s="19" t="s">
        <v>1101</v>
      </c>
      <c r="D363" s="19" t="s">
        <v>1102</v>
      </c>
      <c r="E363" s="19">
        <v>20241431</v>
      </c>
      <c r="F363" s="19" t="s">
        <v>2526</v>
      </c>
      <c r="G363" s="19">
        <v>6370707370</v>
      </c>
      <c r="H363" s="19" t="s">
        <v>2527</v>
      </c>
      <c r="I363" s="19" t="s">
        <v>86</v>
      </c>
      <c r="J363" s="19" t="s">
        <v>604</v>
      </c>
      <c r="K363" s="19" t="s">
        <v>228</v>
      </c>
      <c r="L363" s="19">
        <v>3.4</v>
      </c>
      <c r="M363" s="19" t="s">
        <v>2528</v>
      </c>
      <c r="N363" s="19">
        <v>7</v>
      </c>
      <c r="O363" s="19" t="s">
        <v>1578</v>
      </c>
      <c r="P363" s="19" t="s">
        <v>2529</v>
      </c>
      <c r="Q363" s="19" t="s">
        <v>2530</v>
      </c>
      <c r="R363" s="19" t="s">
        <v>72</v>
      </c>
      <c r="S363" s="19" t="s">
        <v>2531</v>
      </c>
      <c r="T363" s="19" t="s">
        <v>1057</v>
      </c>
      <c r="U363" s="21"/>
      <c r="V363" s="19"/>
      <c r="W363" s="19" t="s">
        <v>74</v>
      </c>
      <c r="X363" s="19" t="s">
        <v>74</v>
      </c>
      <c r="Y363" s="19" t="s">
        <v>70</v>
      </c>
      <c r="Z363" s="19" t="s">
        <v>68</v>
      </c>
      <c r="AA363" s="4">
        <v>45703</v>
      </c>
      <c r="AB363" s="4">
        <v>45705</v>
      </c>
      <c r="AC363" s="4">
        <v>45705</v>
      </c>
      <c r="AD363" s="19"/>
      <c r="AE363" s="19"/>
      <c r="AF363" s="19"/>
      <c r="AG363" s="19"/>
      <c r="AH363" s="19"/>
      <c r="AI363" s="19"/>
      <c r="AJ363" s="19"/>
      <c r="AK363" s="19"/>
      <c r="AL363" s="19"/>
      <c r="AM363" s="19"/>
      <c r="AN363" s="19"/>
      <c r="AO363" s="19"/>
      <c r="AP363" s="19"/>
      <c r="AQ363" s="19"/>
      <c r="AR363" s="19"/>
      <c r="AS363" s="27"/>
    </row>
    <row r="364" spans="1:45">
      <c r="A364" s="19">
        <f t="shared" si="5"/>
        <v>363</v>
      </c>
      <c r="B364" s="20">
        <v>45703</v>
      </c>
      <c r="C364" s="19" t="s">
        <v>1101</v>
      </c>
      <c r="D364" s="19" t="s">
        <v>1102</v>
      </c>
      <c r="E364" s="19">
        <v>20241431</v>
      </c>
      <c r="F364" s="19" t="s">
        <v>2532</v>
      </c>
      <c r="G364" s="19">
        <v>7893558983</v>
      </c>
      <c r="H364" s="19" t="s">
        <v>2533</v>
      </c>
      <c r="I364" s="19" t="s">
        <v>123</v>
      </c>
      <c r="J364" s="19" t="s">
        <v>604</v>
      </c>
      <c r="K364" s="19" t="s">
        <v>228</v>
      </c>
      <c r="L364" s="19">
        <v>3</v>
      </c>
      <c r="M364" s="19" t="s">
        <v>2534</v>
      </c>
      <c r="N364" s="19">
        <v>4.0999999999999996</v>
      </c>
      <c r="O364" s="19">
        <v>0</v>
      </c>
      <c r="P364" s="19" t="s">
        <v>2535</v>
      </c>
      <c r="Q364" s="19" t="s">
        <v>2536</v>
      </c>
      <c r="R364" s="19" t="s">
        <v>72</v>
      </c>
      <c r="S364" s="19" t="s">
        <v>1139</v>
      </c>
      <c r="T364" s="19" t="s">
        <v>1057</v>
      </c>
      <c r="U364" s="21"/>
      <c r="V364" s="19"/>
      <c r="W364" s="19" t="s">
        <v>74</v>
      </c>
      <c r="X364" s="19" t="s">
        <v>74</v>
      </c>
      <c r="Y364" s="19" t="s">
        <v>70</v>
      </c>
      <c r="Z364" s="19" t="s">
        <v>68</v>
      </c>
      <c r="AA364" s="4">
        <v>45703</v>
      </c>
      <c r="AB364" s="4">
        <v>45714</v>
      </c>
      <c r="AC364" s="4">
        <v>45716</v>
      </c>
      <c r="AD364" s="19"/>
      <c r="AE364" s="19"/>
      <c r="AF364" s="19"/>
      <c r="AG364" s="19"/>
      <c r="AH364" s="19"/>
      <c r="AI364" s="19"/>
      <c r="AJ364" s="19"/>
      <c r="AK364" s="19"/>
      <c r="AL364" s="19"/>
      <c r="AM364" s="19"/>
      <c r="AN364" s="19"/>
      <c r="AO364" s="19"/>
      <c r="AP364" s="19"/>
      <c r="AQ364" s="19"/>
      <c r="AR364" s="19"/>
      <c r="AS364" s="27"/>
    </row>
    <row r="365" spans="1:45">
      <c r="A365" s="19">
        <f t="shared" si="5"/>
        <v>364</v>
      </c>
      <c r="B365" s="20">
        <v>45703</v>
      </c>
      <c r="C365" s="19" t="s">
        <v>1101</v>
      </c>
      <c r="D365" s="19" t="s">
        <v>1102</v>
      </c>
      <c r="E365" s="19">
        <v>20241431</v>
      </c>
      <c r="F365" s="19" t="s">
        <v>2537</v>
      </c>
      <c r="G365" s="19">
        <v>8381016170</v>
      </c>
      <c r="H365" s="19" t="s">
        <v>2538</v>
      </c>
      <c r="I365" s="19" t="s">
        <v>86</v>
      </c>
      <c r="J365" s="19" t="s">
        <v>604</v>
      </c>
      <c r="K365" s="19" t="s">
        <v>228</v>
      </c>
      <c r="L365" s="19">
        <v>3.6</v>
      </c>
      <c r="M365" s="19" t="s">
        <v>2539</v>
      </c>
      <c r="N365" s="19">
        <v>4.2</v>
      </c>
      <c r="O365" s="19">
        <v>0</v>
      </c>
      <c r="P365" s="19">
        <v>7</v>
      </c>
      <c r="Q365" s="19" t="s">
        <v>72</v>
      </c>
      <c r="R365" s="19" t="s">
        <v>72</v>
      </c>
      <c r="S365" s="19" t="s">
        <v>1139</v>
      </c>
      <c r="T365" s="19" t="s">
        <v>2540</v>
      </c>
      <c r="U365" s="21"/>
      <c r="V365" s="19"/>
      <c r="W365" s="19" t="s">
        <v>74</v>
      </c>
      <c r="X365" s="19" t="s">
        <v>74</v>
      </c>
      <c r="Y365" s="19" t="s">
        <v>70</v>
      </c>
      <c r="Z365" s="19" t="s">
        <v>68</v>
      </c>
      <c r="AA365" s="4">
        <v>45703</v>
      </c>
      <c r="AB365" s="4">
        <v>45705</v>
      </c>
      <c r="AC365" s="4">
        <v>45705</v>
      </c>
      <c r="AD365" s="19"/>
      <c r="AE365" s="19"/>
      <c r="AF365" s="19"/>
      <c r="AG365" s="19"/>
      <c r="AH365" s="19"/>
      <c r="AI365" s="19"/>
      <c r="AJ365" s="19"/>
      <c r="AK365" s="19"/>
      <c r="AL365" s="19"/>
      <c r="AM365" s="19"/>
      <c r="AN365" s="19"/>
      <c r="AO365" s="19"/>
      <c r="AP365" s="19"/>
      <c r="AQ365" s="19"/>
      <c r="AR365" s="19"/>
      <c r="AS365" s="27"/>
    </row>
    <row r="366" spans="1:45">
      <c r="A366" s="19">
        <f t="shared" si="5"/>
        <v>365</v>
      </c>
      <c r="B366" s="20">
        <v>45703</v>
      </c>
      <c r="C366" s="19" t="s">
        <v>1101</v>
      </c>
      <c r="D366" s="19" t="s">
        <v>1216</v>
      </c>
      <c r="E366" s="19">
        <v>20241431</v>
      </c>
      <c r="F366" s="19" t="s">
        <v>2541</v>
      </c>
      <c r="G366" s="19">
        <v>8308178774</v>
      </c>
      <c r="H366" s="19" t="s">
        <v>2542</v>
      </c>
      <c r="I366" s="19" t="s">
        <v>123</v>
      </c>
      <c r="J366" s="19" t="s">
        <v>604</v>
      </c>
      <c r="K366" s="19" t="s">
        <v>228</v>
      </c>
      <c r="L366" s="19">
        <v>4.0999999999999996</v>
      </c>
      <c r="M366" s="19" t="s">
        <v>1349</v>
      </c>
      <c r="N366" s="19">
        <v>6.5</v>
      </c>
      <c r="O366" s="19" t="s">
        <v>1964</v>
      </c>
      <c r="P366" s="19">
        <v>11</v>
      </c>
      <c r="Q366" s="19" t="s">
        <v>2543</v>
      </c>
      <c r="R366" s="19" t="s">
        <v>72</v>
      </c>
      <c r="S366" s="19" t="s">
        <v>1139</v>
      </c>
      <c r="T366" s="19" t="s">
        <v>1057</v>
      </c>
      <c r="U366" s="21"/>
      <c r="V366" s="19"/>
      <c r="W366" s="19" t="s">
        <v>74</v>
      </c>
      <c r="X366" s="19" t="s">
        <v>74</v>
      </c>
      <c r="Y366" s="19" t="s">
        <v>70</v>
      </c>
      <c r="Z366" s="19" t="s">
        <v>68</v>
      </c>
      <c r="AA366" s="4">
        <v>45703</v>
      </c>
      <c r="AB366" s="4">
        <v>45705</v>
      </c>
      <c r="AC366" s="4">
        <v>45705</v>
      </c>
      <c r="AD366" s="19"/>
      <c r="AE366" s="19"/>
      <c r="AF366" s="19"/>
      <c r="AG366" s="19"/>
      <c r="AH366" s="19"/>
      <c r="AI366" s="19"/>
      <c r="AJ366" s="19"/>
      <c r="AK366" s="19"/>
      <c r="AL366" s="19"/>
      <c r="AM366" s="19"/>
      <c r="AN366" s="19"/>
      <c r="AO366" s="19"/>
      <c r="AP366" s="19"/>
      <c r="AQ366" s="19"/>
      <c r="AR366" s="19"/>
      <c r="AS366" s="27"/>
    </row>
    <row r="367" spans="1:45">
      <c r="A367" s="19">
        <f t="shared" si="5"/>
        <v>366</v>
      </c>
      <c r="B367" s="20">
        <v>45703</v>
      </c>
      <c r="C367" s="19" t="s">
        <v>1101</v>
      </c>
      <c r="D367" s="19" t="s">
        <v>1102</v>
      </c>
      <c r="E367" s="19">
        <v>20241431</v>
      </c>
      <c r="F367" s="19" t="s">
        <v>2544</v>
      </c>
      <c r="G367" s="19">
        <v>7620612024</v>
      </c>
      <c r="H367" s="19" t="s">
        <v>2545</v>
      </c>
      <c r="I367" s="19" t="s">
        <v>123</v>
      </c>
      <c r="J367" s="19" t="s">
        <v>604</v>
      </c>
      <c r="K367" s="19" t="s">
        <v>228</v>
      </c>
      <c r="L367" s="19">
        <v>4.2</v>
      </c>
      <c r="M367" s="19" t="s">
        <v>2546</v>
      </c>
      <c r="N367" s="19">
        <v>6.5</v>
      </c>
      <c r="O367" s="19">
        <v>0</v>
      </c>
      <c r="P367" s="19" t="s">
        <v>2547</v>
      </c>
      <c r="Q367" s="19" t="s">
        <v>72</v>
      </c>
      <c r="R367" s="19" t="s">
        <v>72</v>
      </c>
      <c r="S367" s="19" t="s">
        <v>1139</v>
      </c>
      <c r="T367" s="19" t="s">
        <v>2548</v>
      </c>
      <c r="U367" s="21"/>
      <c r="V367" s="19"/>
      <c r="W367" s="19" t="s">
        <v>74</v>
      </c>
      <c r="X367" s="19" t="s">
        <v>74</v>
      </c>
      <c r="Y367" s="19" t="s">
        <v>70</v>
      </c>
      <c r="Z367" s="19" t="s">
        <v>68</v>
      </c>
      <c r="AA367" s="4">
        <v>45703</v>
      </c>
      <c r="AB367" s="4">
        <v>45707</v>
      </c>
      <c r="AC367" s="4">
        <v>45707</v>
      </c>
      <c r="AD367" s="19"/>
      <c r="AE367" s="19"/>
      <c r="AF367" s="19"/>
      <c r="AG367" s="19"/>
      <c r="AH367" s="19"/>
      <c r="AI367" s="19"/>
      <c r="AJ367" s="19"/>
      <c r="AK367" s="19"/>
      <c r="AL367" s="19"/>
      <c r="AM367" s="19"/>
      <c r="AN367" s="19"/>
      <c r="AO367" s="19"/>
      <c r="AP367" s="19"/>
      <c r="AQ367" s="19"/>
      <c r="AR367" s="19"/>
      <c r="AS367" s="27"/>
    </row>
    <row r="368" spans="1:45">
      <c r="A368" s="19">
        <f t="shared" si="5"/>
        <v>367</v>
      </c>
      <c r="B368" s="20">
        <v>45705</v>
      </c>
      <c r="C368" s="19" t="s">
        <v>1101</v>
      </c>
      <c r="D368" s="19" t="s">
        <v>1102</v>
      </c>
      <c r="E368" s="19">
        <v>20250718</v>
      </c>
      <c r="F368" s="19" t="s">
        <v>2549</v>
      </c>
      <c r="G368" s="19">
        <v>8007209555</v>
      </c>
      <c r="H368" s="19" t="s">
        <v>2550</v>
      </c>
      <c r="I368" s="19" t="s">
        <v>123</v>
      </c>
      <c r="J368" s="19" t="s">
        <v>91</v>
      </c>
      <c r="K368" s="19" t="s">
        <v>569</v>
      </c>
      <c r="L368" s="19">
        <v>5.5</v>
      </c>
      <c r="M368" s="19" t="s">
        <v>2551</v>
      </c>
      <c r="N368" s="19">
        <v>5.4</v>
      </c>
      <c r="O368" s="19">
        <v>0</v>
      </c>
      <c r="P368" s="19">
        <v>0.3</v>
      </c>
      <c r="Q368" s="19" t="s">
        <v>1143</v>
      </c>
      <c r="R368" s="19" t="s">
        <v>72</v>
      </c>
      <c r="S368" s="19" t="s">
        <v>1139</v>
      </c>
      <c r="T368" s="19" t="s">
        <v>1057</v>
      </c>
      <c r="U368" s="21"/>
      <c r="V368" s="19"/>
      <c r="W368" s="19" t="s">
        <v>74</v>
      </c>
      <c r="X368" s="19" t="s">
        <v>74</v>
      </c>
      <c r="Y368" s="19" t="s">
        <v>70</v>
      </c>
      <c r="Z368" s="19" t="s">
        <v>68</v>
      </c>
      <c r="AA368" s="27"/>
      <c r="AB368" s="4"/>
      <c r="AC368" s="4"/>
      <c r="AD368" s="19"/>
      <c r="AE368" s="19"/>
      <c r="AF368" s="19"/>
      <c r="AG368" s="19"/>
      <c r="AH368" s="19"/>
      <c r="AI368" s="19"/>
      <c r="AJ368" s="19"/>
      <c r="AK368" s="19"/>
      <c r="AL368" s="19"/>
      <c r="AM368" s="19"/>
      <c r="AN368" s="19"/>
      <c r="AO368" s="19"/>
      <c r="AP368" s="19"/>
      <c r="AQ368" s="19"/>
      <c r="AR368" s="19"/>
      <c r="AS368" s="27"/>
    </row>
    <row r="369" spans="1:45">
      <c r="A369" s="19">
        <f t="shared" si="5"/>
        <v>368</v>
      </c>
      <c r="B369" s="20">
        <v>45705</v>
      </c>
      <c r="C369" s="19" t="s">
        <v>1101</v>
      </c>
      <c r="D369" s="19" t="s">
        <v>1102</v>
      </c>
      <c r="E369" s="19">
        <v>20250718</v>
      </c>
      <c r="F369" s="19" t="s">
        <v>2552</v>
      </c>
      <c r="G369" s="19" t="s">
        <v>2553</v>
      </c>
      <c r="H369" s="19" t="s">
        <v>2554</v>
      </c>
      <c r="I369" s="19" t="s">
        <v>123</v>
      </c>
      <c r="J369" s="19" t="s">
        <v>91</v>
      </c>
      <c r="K369" s="19" t="s">
        <v>569</v>
      </c>
      <c r="L369" s="19">
        <v>6.5</v>
      </c>
      <c r="M369" s="19" t="s">
        <v>1621</v>
      </c>
      <c r="N369" s="19">
        <v>4.7</v>
      </c>
      <c r="O369" s="19">
        <v>0</v>
      </c>
      <c r="P369" s="19">
        <v>11</v>
      </c>
      <c r="Q369" s="19" t="s">
        <v>2555</v>
      </c>
      <c r="R369" s="19" t="s">
        <v>72</v>
      </c>
      <c r="S369" s="19" t="s">
        <v>1139</v>
      </c>
      <c r="T369" s="19" t="s">
        <v>2556</v>
      </c>
      <c r="U369" s="21"/>
      <c r="V369" s="19"/>
      <c r="W369" s="19" t="s">
        <v>74</v>
      </c>
      <c r="X369" s="19" t="s">
        <v>74</v>
      </c>
      <c r="Y369" s="19" t="s">
        <v>70</v>
      </c>
      <c r="Z369" s="19" t="s">
        <v>68</v>
      </c>
      <c r="AA369" s="27"/>
      <c r="AB369" s="4"/>
      <c r="AC369" s="4"/>
      <c r="AD369" s="19"/>
      <c r="AE369" s="19"/>
      <c r="AF369" s="19"/>
      <c r="AG369" s="19"/>
      <c r="AH369" s="19"/>
      <c r="AI369" s="19"/>
      <c r="AJ369" s="19"/>
      <c r="AK369" s="19"/>
      <c r="AL369" s="19"/>
      <c r="AM369" s="19"/>
      <c r="AN369" s="19"/>
      <c r="AO369" s="19"/>
      <c r="AP369" s="19"/>
      <c r="AQ369" s="19"/>
      <c r="AR369" s="19"/>
      <c r="AS369" s="27"/>
    </row>
    <row r="370" spans="1:45">
      <c r="A370" s="19">
        <f t="shared" si="5"/>
        <v>369</v>
      </c>
      <c r="B370" s="20">
        <v>45705</v>
      </c>
      <c r="C370" s="19" t="s">
        <v>1101</v>
      </c>
      <c r="D370" s="19" t="s">
        <v>1102</v>
      </c>
      <c r="E370" s="19">
        <v>20250718</v>
      </c>
      <c r="F370" s="19" t="s">
        <v>2557</v>
      </c>
      <c r="G370" s="19" t="s">
        <v>2558</v>
      </c>
      <c r="H370" s="19" t="s">
        <v>2559</v>
      </c>
      <c r="I370" s="19" t="s">
        <v>123</v>
      </c>
      <c r="J370" s="19" t="s">
        <v>91</v>
      </c>
      <c r="K370" s="19" t="s">
        <v>569</v>
      </c>
      <c r="L370" s="19">
        <v>7</v>
      </c>
      <c r="M370" s="19" t="s">
        <v>2560</v>
      </c>
      <c r="N370" s="19">
        <v>5.3</v>
      </c>
      <c r="O370" s="19">
        <v>0</v>
      </c>
      <c r="P370" s="19">
        <v>8</v>
      </c>
      <c r="Q370" s="19" t="s">
        <v>2198</v>
      </c>
      <c r="R370" s="19" t="s">
        <v>72</v>
      </c>
      <c r="S370" s="19" t="s">
        <v>1092</v>
      </c>
      <c r="T370" s="19"/>
      <c r="U370" s="21"/>
      <c r="V370" s="19"/>
      <c r="W370" s="19" t="s">
        <v>74</v>
      </c>
      <c r="X370" s="19" t="s">
        <v>74</v>
      </c>
      <c r="Y370" s="19" t="s">
        <v>70</v>
      </c>
      <c r="Z370" s="19" t="s">
        <v>68</v>
      </c>
      <c r="AA370" s="27"/>
      <c r="AB370" s="4"/>
      <c r="AC370" s="4"/>
      <c r="AD370" s="19"/>
      <c r="AE370" s="19"/>
      <c r="AF370" s="19"/>
      <c r="AG370" s="19"/>
      <c r="AH370" s="19"/>
      <c r="AI370" s="19"/>
      <c r="AJ370" s="19"/>
      <c r="AK370" s="19"/>
      <c r="AL370" s="19"/>
      <c r="AM370" s="19"/>
      <c r="AN370" s="19"/>
      <c r="AO370" s="19"/>
      <c r="AP370" s="19"/>
      <c r="AQ370" s="19"/>
      <c r="AR370" s="19"/>
      <c r="AS370" s="27"/>
    </row>
    <row r="371" spans="1:45">
      <c r="A371" s="19">
        <f t="shared" si="5"/>
        <v>370</v>
      </c>
      <c r="B371" s="20">
        <v>45705</v>
      </c>
      <c r="C371" s="19" t="s">
        <v>1101</v>
      </c>
      <c r="D371" s="19" t="s">
        <v>1102</v>
      </c>
      <c r="E371" s="19">
        <v>20250718</v>
      </c>
      <c r="F371" s="19" t="s">
        <v>2561</v>
      </c>
      <c r="G371" s="19" t="s">
        <v>2562</v>
      </c>
      <c r="H371" s="19" t="s">
        <v>2563</v>
      </c>
      <c r="I371" s="19" t="s">
        <v>123</v>
      </c>
      <c r="J371" s="19" t="s">
        <v>91</v>
      </c>
      <c r="K371" s="19" t="s">
        <v>569</v>
      </c>
      <c r="L371" s="19">
        <v>7.2</v>
      </c>
      <c r="M371" s="19" t="s">
        <v>2564</v>
      </c>
      <c r="N371" s="19">
        <v>7</v>
      </c>
      <c r="O371" s="19">
        <v>0</v>
      </c>
      <c r="P371" s="19">
        <v>11</v>
      </c>
      <c r="Q371" s="19" t="s">
        <v>72</v>
      </c>
      <c r="R371" s="19" t="s">
        <v>72</v>
      </c>
      <c r="S371" s="19" t="s">
        <v>1121</v>
      </c>
      <c r="T371" s="19" t="s">
        <v>1057</v>
      </c>
      <c r="U371" s="21"/>
      <c r="V371" s="19"/>
      <c r="W371" s="19" t="s">
        <v>74</v>
      </c>
      <c r="X371" s="19" t="s">
        <v>74</v>
      </c>
      <c r="Y371" s="19" t="s">
        <v>70</v>
      </c>
      <c r="Z371" s="19" t="s">
        <v>68</v>
      </c>
      <c r="AA371" s="27"/>
      <c r="AB371" s="4"/>
      <c r="AC371" s="4"/>
      <c r="AD371" s="19"/>
      <c r="AE371" s="19"/>
      <c r="AF371" s="19"/>
      <c r="AG371" s="19"/>
      <c r="AH371" s="19"/>
      <c r="AI371" s="19"/>
      <c r="AJ371" s="19"/>
      <c r="AK371" s="19"/>
      <c r="AL371" s="19"/>
      <c r="AM371" s="19"/>
      <c r="AN371" s="19"/>
      <c r="AO371" s="19"/>
      <c r="AP371" s="19"/>
      <c r="AQ371" s="19"/>
      <c r="AR371" s="19"/>
      <c r="AS371" s="27"/>
    </row>
    <row r="372" spans="1:45">
      <c r="A372" s="19">
        <f t="shared" si="5"/>
        <v>371</v>
      </c>
      <c r="B372" s="20">
        <v>45705</v>
      </c>
      <c r="C372" s="19" t="s">
        <v>1101</v>
      </c>
      <c r="D372" s="19" t="s">
        <v>1102</v>
      </c>
      <c r="E372" s="19">
        <v>20250718</v>
      </c>
      <c r="F372" s="19" t="s">
        <v>2565</v>
      </c>
      <c r="G372" s="19">
        <v>9545524270</v>
      </c>
      <c r="H372" s="19" t="s">
        <v>2566</v>
      </c>
      <c r="I372" s="19" t="s">
        <v>123</v>
      </c>
      <c r="J372" s="19" t="s">
        <v>91</v>
      </c>
      <c r="K372" s="19" t="s">
        <v>569</v>
      </c>
      <c r="L372" s="19">
        <v>7.5</v>
      </c>
      <c r="M372" s="19" t="s">
        <v>2567</v>
      </c>
      <c r="N372" s="19">
        <v>10</v>
      </c>
      <c r="O372" s="19" t="s">
        <v>1057</v>
      </c>
      <c r="P372" s="19">
        <v>14</v>
      </c>
      <c r="Q372" s="19" t="s">
        <v>2568</v>
      </c>
      <c r="R372" s="19" t="s">
        <v>72</v>
      </c>
      <c r="S372" s="19" t="s">
        <v>1121</v>
      </c>
      <c r="T372" s="19" t="s">
        <v>1057</v>
      </c>
      <c r="U372" s="21"/>
      <c r="V372" s="19"/>
      <c r="W372" s="19" t="s">
        <v>74</v>
      </c>
      <c r="X372" s="19" t="s">
        <v>74</v>
      </c>
      <c r="Y372" s="19" t="s">
        <v>70</v>
      </c>
      <c r="Z372" s="19" t="s">
        <v>68</v>
      </c>
      <c r="AA372" s="27"/>
      <c r="AB372" s="4"/>
      <c r="AC372" s="4"/>
      <c r="AD372" s="19"/>
      <c r="AE372" s="19"/>
      <c r="AF372" s="19"/>
      <c r="AG372" s="19"/>
      <c r="AH372" s="19"/>
      <c r="AI372" s="19"/>
      <c r="AJ372" s="19"/>
      <c r="AK372" s="19"/>
      <c r="AL372" s="19"/>
      <c r="AM372" s="19"/>
      <c r="AN372" s="19"/>
      <c r="AO372" s="19"/>
      <c r="AP372" s="19"/>
      <c r="AQ372" s="19"/>
      <c r="AR372" s="19"/>
      <c r="AS372" s="27"/>
    </row>
    <row r="373" spans="1:45">
      <c r="A373" s="19">
        <f t="shared" si="5"/>
        <v>372</v>
      </c>
      <c r="B373" s="20">
        <v>45705</v>
      </c>
      <c r="C373" s="19" t="s">
        <v>1101</v>
      </c>
      <c r="D373" s="19" t="s">
        <v>1102</v>
      </c>
      <c r="E373" s="19">
        <v>20243793</v>
      </c>
      <c r="F373" s="19" t="s">
        <v>2569</v>
      </c>
      <c r="G373" s="19">
        <v>9948115429</v>
      </c>
      <c r="H373" s="19" t="s">
        <v>2570</v>
      </c>
      <c r="I373" s="19" t="s">
        <v>123</v>
      </c>
      <c r="J373" s="19" t="s">
        <v>1153</v>
      </c>
      <c r="K373" s="19" t="s">
        <v>963</v>
      </c>
      <c r="L373" s="19" t="s">
        <v>1748</v>
      </c>
      <c r="M373" s="19" t="s">
        <v>2571</v>
      </c>
      <c r="N373" s="19">
        <v>13.5</v>
      </c>
      <c r="O373" s="19" t="s">
        <v>1057</v>
      </c>
      <c r="P373" s="19">
        <v>19</v>
      </c>
      <c r="Q373" s="19" t="s">
        <v>714</v>
      </c>
      <c r="R373" s="19" t="s">
        <v>72</v>
      </c>
      <c r="S373" s="19" t="s">
        <v>1705</v>
      </c>
      <c r="T373" s="19" t="s">
        <v>1057</v>
      </c>
      <c r="U373" s="21"/>
      <c r="V373" s="19"/>
      <c r="W373" s="19" t="s">
        <v>245</v>
      </c>
      <c r="X373" s="19" t="s">
        <v>245</v>
      </c>
      <c r="Y373" s="19"/>
      <c r="Z373" s="19" t="s">
        <v>68</v>
      </c>
      <c r="AA373" s="27"/>
      <c r="AB373" s="4">
        <v>45738</v>
      </c>
      <c r="AC373" s="4"/>
      <c r="AD373" s="19"/>
      <c r="AE373" s="19"/>
      <c r="AF373" s="19"/>
      <c r="AG373" s="19"/>
      <c r="AH373" s="19"/>
      <c r="AI373" s="19"/>
      <c r="AJ373" s="19"/>
      <c r="AK373" s="19"/>
      <c r="AL373" s="19"/>
      <c r="AM373" s="19"/>
      <c r="AN373" s="19"/>
      <c r="AO373" s="19"/>
      <c r="AP373" s="19"/>
      <c r="AQ373" s="19"/>
      <c r="AR373" s="19"/>
      <c r="AS373" s="27"/>
    </row>
    <row r="374" spans="1:45">
      <c r="A374" s="19">
        <f t="shared" si="5"/>
        <v>373</v>
      </c>
      <c r="B374" s="20">
        <v>45705</v>
      </c>
      <c r="C374" s="19" t="s">
        <v>1101</v>
      </c>
      <c r="D374" s="19" t="s">
        <v>1707</v>
      </c>
      <c r="E374" s="19">
        <v>20243793</v>
      </c>
      <c r="F374" s="19" t="s">
        <v>2572</v>
      </c>
      <c r="G374" s="19">
        <v>7709173993</v>
      </c>
      <c r="H374" s="19" t="s">
        <v>2573</v>
      </c>
      <c r="I374" s="19" t="s">
        <v>123</v>
      </c>
      <c r="J374" s="19" t="s">
        <v>1153</v>
      </c>
      <c r="K374" s="19" t="s">
        <v>963</v>
      </c>
      <c r="L374" s="19" t="s">
        <v>2444</v>
      </c>
      <c r="M374" s="19" t="s">
        <v>2574</v>
      </c>
      <c r="N374" s="19">
        <v>17.600000000000001</v>
      </c>
      <c r="O374" s="19">
        <v>1.5</v>
      </c>
      <c r="P374" s="19">
        <v>25</v>
      </c>
      <c r="Q374" s="19" t="s">
        <v>72</v>
      </c>
      <c r="R374" s="19" t="s">
        <v>72</v>
      </c>
      <c r="S374" s="19" t="s">
        <v>2575</v>
      </c>
      <c r="T374" s="19" t="s">
        <v>2576</v>
      </c>
      <c r="U374" s="21"/>
      <c r="V374" s="19"/>
      <c r="W374" s="19" t="s">
        <v>245</v>
      </c>
      <c r="X374" s="19" t="s">
        <v>245</v>
      </c>
      <c r="Y374" s="19"/>
      <c r="Z374" s="19" t="s">
        <v>68</v>
      </c>
      <c r="AA374" s="27"/>
      <c r="AB374" s="4"/>
      <c r="AC374" s="4"/>
      <c r="AD374" s="19"/>
      <c r="AE374" s="19"/>
      <c r="AF374" s="19"/>
      <c r="AG374" s="19"/>
      <c r="AH374" s="19"/>
      <c r="AI374" s="19"/>
      <c r="AJ374" s="19"/>
      <c r="AK374" s="19"/>
      <c r="AL374" s="19"/>
      <c r="AM374" s="19"/>
      <c r="AN374" s="19"/>
      <c r="AO374" s="19"/>
      <c r="AP374" s="19"/>
      <c r="AQ374" s="19"/>
      <c r="AR374" s="19"/>
      <c r="AS374" s="27"/>
    </row>
    <row r="375" spans="1:45">
      <c r="A375" s="19">
        <f t="shared" si="5"/>
        <v>374</v>
      </c>
      <c r="B375" s="20">
        <v>45705</v>
      </c>
      <c r="C375" s="19" t="s">
        <v>1101</v>
      </c>
      <c r="D375" s="19" t="s">
        <v>1160</v>
      </c>
      <c r="E375" s="19">
        <v>20243793</v>
      </c>
      <c r="F375" s="19" t="s">
        <v>2577</v>
      </c>
      <c r="G375" s="19">
        <v>7276101464</v>
      </c>
      <c r="H375" s="19" t="s">
        <v>2578</v>
      </c>
      <c r="I375" s="19" t="s">
        <v>123</v>
      </c>
      <c r="J375" s="19" t="s">
        <v>1153</v>
      </c>
      <c r="K375" s="19" t="s">
        <v>963</v>
      </c>
      <c r="L375" s="19" t="s">
        <v>1807</v>
      </c>
      <c r="M375" s="19" t="s">
        <v>2579</v>
      </c>
      <c r="N375" s="19">
        <v>16.5</v>
      </c>
      <c r="O375" s="19">
        <v>1.5</v>
      </c>
      <c r="P375" s="19">
        <v>24</v>
      </c>
      <c r="Q375" s="19" t="s">
        <v>72</v>
      </c>
      <c r="R375" s="19" t="s">
        <v>72</v>
      </c>
      <c r="S375" s="19" t="s">
        <v>1121</v>
      </c>
      <c r="T375" s="19" t="s">
        <v>1057</v>
      </c>
      <c r="U375" s="21"/>
      <c r="V375" s="19"/>
      <c r="W375" s="19" t="s">
        <v>245</v>
      </c>
      <c r="X375" s="19" t="s">
        <v>245</v>
      </c>
      <c r="Y375" s="19"/>
      <c r="Z375" s="19" t="s">
        <v>68</v>
      </c>
      <c r="AA375" s="27"/>
      <c r="AB375" s="4">
        <v>45712</v>
      </c>
      <c r="AC375" s="4"/>
      <c r="AD375" s="19"/>
      <c r="AE375" s="19"/>
      <c r="AF375" s="19"/>
      <c r="AG375" s="19"/>
      <c r="AH375" s="19"/>
      <c r="AI375" s="19"/>
      <c r="AJ375" s="19"/>
      <c r="AK375" s="19"/>
      <c r="AL375" s="19"/>
      <c r="AM375" s="19"/>
      <c r="AN375" s="19"/>
      <c r="AO375" s="19"/>
      <c r="AP375" s="19"/>
      <c r="AQ375" s="19"/>
      <c r="AR375" s="19"/>
      <c r="AS375" s="27"/>
    </row>
    <row r="376" spans="1:45">
      <c r="A376" s="19">
        <f t="shared" si="5"/>
        <v>375</v>
      </c>
      <c r="B376" s="20">
        <v>45705</v>
      </c>
      <c r="C376" s="19" t="s">
        <v>1101</v>
      </c>
      <c r="D376" s="19" t="s">
        <v>1102</v>
      </c>
      <c r="E376" s="19">
        <v>20245965</v>
      </c>
      <c r="F376" s="19" t="s">
        <v>2580</v>
      </c>
      <c r="G376" s="19">
        <v>9971610996</v>
      </c>
      <c r="H376" s="19" t="s">
        <v>2581</v>
      </c>
      <c r="I376" s="19" t="s">
        <v>123</v>
      </c>
      <c r="J376" s="19" t="s">
        <v>2582</v>
      </c>
      <c r="K376" s="19" t="s">
        <v>963</v>
      </c>
      <c r="L376" s="19" t="s">
        <v>1731</v>
      </c>
      <c r="M376" s="19" t="s">
        <v>2583</v>
      </c>
      <c r="N376" s="19">
        <v>30</v>
      </c>
      <c r="O376" s="19" t="s">
        <v>1057</v>
      </c>
      <c r="P376" s="19" t="s">
        <v>2584</v>
      </c>
      <c r="Q376" s="19" t="s">
        <v>1512</v>
      </c>
      <c r="R376" s="19" t="s">
        <v>72</v>
      </c>
      <c r="S376" s="19" t="s">
        <v>1139</v>
      </c>
      <c r="T376" s="19" t="s">
        <v>2585</v>
      </c>
      <c r="U376" s="21"/>
      <c r="V376" s="19"/>
      <c r="W376" s="19" t="s">
        <v>245</v>
      </c>
      <c r="X376" s="19" t="s">
        <v>245</v>
      </c>
      <c r="Y376" s="19"/>
      <c r="Z376" s="19" t="s">
        <v>68</v>
      </c>
      <c r="AA376" s="27"/>
      <c r="AB376" s="4">
        <v>45707</v>
      </c>
      <c r="AC376" s="4"/>
      <c r="AD376" s="19"/>
      <c r="AE376" s="19"/>
      <c r="AF376" s="19"/>
      <c r="AG376" s="19"/>
      <c r="AH376" s="19"/>
      <c r="AI376" s="19"/>
      <c r="AJ376" s="19"/>
      <c r="AK376" s="19"/>
      <c r="AL376" s="19"/>
      <c r="AM376" s="19"/>
      <c r="AN376" s="19"/>
      <c r="AO376" s="19"/>
      <c r="AP376" s="19"/>
      <c r="AQ376" s="19"/>
      <c r="AR376" s="19"/>
      <c r="AS376" s="27"/>
    </row>
    <row r="377" spans="1:45">
      <c r="A377" s="19">
        <f t="shared" si="5"/>
        <v>376</v>
      </c>
      <c r="B377" s="20">
        <v>45706</v>
      </c>
      <c r="C377" s="19" t="s">
        <v>1101</v>
      </c>
      <c r="D377" s="19" t="s">
        <v>1102</v>
      </c>
      <c r="E377" s="19">
        <v>20250697</v>
      </c>
      <c r="F377" s="19" t="s">
        <v>2586</v>
      </c>
      <c r="G377" s="19">
        <v>9373911235</v>
      </c>
      <c r="H377" s="19" t="s">
        <v>2587</v>
      </c>
      <c r="I377" s="19" t="s">
        <v>123</v>
      </c>
      <c r="J377" s="19" t="s">
        <v>99</v>
      </c>
      <c r="K377" s="19" t="s">
        <v>101</v>
      </c>
      <c r="L377" s="19">
        <v>4</v>
      </c>
      <c r="M377" s="19" t="s">
        <v>2588</v>
      </c>
      <c r="N377" s="19">
        <v>3.6</v>
      </c>
      <c r="O377" s="19">
        <v>0</v>
      </c>
      <c r="P377" s="19">
        <v>6</v>
      </c>
      <c r="Q377" s="19" t="s">
        <v>1170</v>
      </c>
      <c r="R377" s="19" t="s">
        <v>72</v>
      </c>
      <c r="S377" s="19" t="s">
        <v>1139</v>
      </c>
      <c r="T377" s="19" t="s">
        <v>1057</v>
      </c>
      <c r="U377" s="21"/>
      <c r="V377" s="19"/>
      <c r="W377" s="19" t="s">
        <v>74</v>
      </c>
      <c r="X377" s="19" t="s">
        <v>74</v>
      </c>
      <c r="Y377" s="19" t="s">
        <v>70</v>
      </c>
      <c r="Z377" s="19" t="s">
        <v>68</v>
      </c>
      <c r="AA377" s="27"/>
      <c r="AB377" s="4"/>
      <c r="AC377" s="4"/>
      <c r="AD377" s="19"/>
      <c r="AE377" s="19"/>
      <c r="AF377" s="19"/>
      <c r="AG377" s="19"/>
      <c r="AH377" s="19"/>
      <c r="AI377" s="19"/>
      <c r="AJ377" s="19"/>
      <c r="AK377" s="19"/>
      <c r="AL377" s="19"/>
      <c r="AM377" s="19"/>
      <c r="AN377" s="19"/>
      <c r="AO377" s="19"/>
      <c r="AP377" s="19"/>
      <c r="AQ377" s="19"/>
      <c r="AR377" s="19"/>
      <c r="AS377" s="27"/>
    </row>
    <row r="378" spans="1:45">
      <c r="A378" s="19">
        <f t="shared" si="5"/>
        <v>377</v>
      </c>
      <c r="B378" s="20">
        <v>45706</v>
      </c>
      <c r="C378" s="19" t="s">
        <v>1101</v>
      </c>
      <c r="D378" s="19" t="s">
        <v>961</v>
      </c>
      <c r="E378" s="19">
        <v>20250697</v>
      </c>
      <c r="F378" s="19" t="s">
        <v>2589</v>
      </c>
      <c r="G378" s="19">
        <v>9144944441</v>
      </c>
      <c r="H378" s="19" t="s">
        <v>2590</v>
      </c>
      <c r="I378" s="19" t="s">
        <v>123</v>
      </c>
      <c r="J378" s="19" t="s">
        <v>99</v>
      </c>
      <c r="K378" s="19" t="s">
        <v>101</v>
      </c>
      <c r="L378" s="19">
        <v>5</v>
      </c>
      <c r="M378" s="19" t="s">
        <v>2591</v>
      </c>
      <c r="N378" s="19">
        <v>5.8</v>
      </c>
      <c r="O378" s="19">
        <v>0</v>
      </c>
      <c r="P378" s="19">
        <v>9</v>
      </c>
      <c r="Q378" s="19" t="s">
        <v>1209</v>
      </c>
      <c r="R378" s="19" t="s">
        <v>72</v>
      </c>
      <c r="S378" s="19">
        <v>0</v>
      </c>
      <c r="T378" s="19" t="s">
        <v>2592</v>
      </c>
      <c r="U378" s="21"/>
      <c r="V378" s="19"/>
      <c r="W378" s="19" t="s">
        <v>74</v>
      </c>
      <c r="X378" s="19" t="s">
        <v>74</v>
      </c>
      <c r="Y378" s="19" t="s">
        <v>70</v>
      </c>
      <c r="Z378" s="19" t="s">
        <v>68</v>
      </c>
      <c r="AA378" s="20"/>
      <c r="AB378" s="4"/>
      <c r="AC378" s="4"/>
      <c r="AD378" s="19"/>
      <c r="AE378" s="19"/>
      <c r="AF378" s="19"/>
      <c r="AG378" s="19"/>
      <c r="AH378" s="19"/>
      <c r="AI378" s="19"/>
      <c r="AJ378" s="19"/>
      <c r="AK378" s="19"/>
      <c r="AL378" s="19"/>
      <c r="AM378" s="19"/>
      <c r="AN378" s="19"/>
      <c r="AO378" s="19"/>
      <c r="AP378" s="19"/>
      <c r="AQ378" s="19"/>
      <c r="AR378" s="19"/>
      <c r="AS378" s="27"/>
    </row>
    <row r="379" spans="1:45">
      <c r="A379" s="19">
        <f t="shared" si="5"/>
        <v>378</v>
      </c>
      <c r="B379" s="20">
        <v>45706</v>
      </c>
      <c r="C379" s="19" t="s">
        <v>1101</v>
      </c>
      <c r="D379" s="19" t="s">
        <v>1813</v>
      </c>
      <c r="E379" s="19">
        <v>20251977</v>
      </c>
      <c r="F379" s="19" t="s">
        <v>2593</v>
      </c>
      <c r="G379" s="19">
        <v>9446674610</v>
      </c>
      <c r="H379" s="19" t="s">
        <v>2594</v>
      </c>
      <c r="I379" s="19" t="s">
        <v>123</v>
      </c>
      <c r="J379" s="19" t="s">
        <v>1755</v>
      </c>
      <c r="K379" s="19" t="s">
        <v>1099</v>
      </c>
      <c r="L379" s="19" t="s">
        <v>2595</v>
      </c>
      <c r="M379" s="19" t="s">
        <v>2596</v>
      </c>
      <c r="N379" s="19" t="s">
        <v>2597</v>
      </c>
      <c r="O379" s="19" t="s">
        <v>1057</v>
      </c>
      <c r="P379" s="19" t="s">
        <v>2598</v>
      </c>
      <c r="Q379" s="19" t="s">
        <v>2599</v>
      </c>
      <c r="R379" s="19" t="s">
        <v>72</v>
      </c>
      <c r="S379" s="19" t="s">
        <v>1059</v>
      </c>
      <c r="T379" s="19"/>
      <c r="U379" s="21"/>
      <c r="V379" s="19"/>
      <c r="W379" s="19" t="s">
        <v>245</v>
      </c>
      <c r="X379" s="19" t="s">
        <v>245</v>
      </c>
      <c r="Y379" s="19"/>
      <c r="Z379" s="19" t="s">
        <v>68</v>
      </c>
      <c r="AA379" s="20"/>
      <c r="AB379" s="4"/>
      <c r="AC379" s="4"/>
      <c r="AD379" s="19"/>
      <c r="AE379" s="19"/>
      <c r="AF379" s="19"/>
      <c r="AG379" s="19"/>
      <c r="AH379" s="19"/>
      <c r="AI379" s="19"/>
      <c r="AJ379" s="19"/>
      <c r="AK379" s="19"/>
      <c r="AL379" s="19"/>
      <c r="AM379" s="19"/>
      <c r="AN379" s="19"/>
      <c r="AO379" s="19"/>
      <c r="AP379" s="19"/>
      <c r="AQ379" s="19"/>
      <c r="AR379" s="19"/>
      <c r="AS379" s="27"/>
    </row>
    <row r="380" spans="1:45">
      <c r="A380" s="19">
        <f t="shared" si="5"/>
        <v>379</v>
      </c>
      <c r="B380" s="20">
        <v>45706</v>
      </c>
      <c r="C380" s="19" t="s">
        <v>1101</v>
      </c>
      <c r="D380" s="19" t="s">
        <v>1813</v>
      </c>
      <c r="E380" s="19">
        <v>20251977</v>
      </c>
      <c r="F380" s="19" t="s">
        <v>2600</v>
      </c>
      <c r="G380" s="19">
        <v>8018135798</v>
      </c>
      <c r="H380" s="19" t="s">
        <v>2601</v>
      </c>
      <c r="I380" s="19" t="s">
        <v>123</v>
      </c>
      <c r="J380" s="19" t="s">
        <v>1755</v>
      </c>
      <c r="K380" s="19" t="s">
        <v>1099</v>
      </c>
      <c r="L380" s="19" t="s">
        <v>1423</v>
      </c>
      <c r="M380" s="19" t="s">
        <v>2602</v>
      </c>
      <c r="N380" s="19">
        <v>30</v>
      </c>
      <c r="O380" s="19" t="s">
        <v>1057</v>
      </c>
      <c r="P380" s="19" t="s">
        <v>2603</v>
      </c>
      <c r="Q380" s="19" t="s">
        <v>72</v>
      </c>
      <c r="R380" s="19" t="s">
        <v>72</v>
      </c>
      <c r="S380" s="19" t="s">
        <v>1121</v>
      </c>
      <c r="T380" s="19"/>
      <c r="U380" s="21"/>
      <c r="V380" s="19"/>
      <c r="W380" s="19" t="s">
        <v>245</v>
      </c>
      <c r="X380" s="19" t="s">
        <v>245</v>
      </c>
      <c r="Y380" s="19"/>
      <c r="Z380" s="19" t="s">
        <v>68</v>
      </c>
      <c r="AA380" s="20"/>
      <c r="AB380" s="4"/>
      <c r="AC380" s="4"/>
      <c r="AD380" s="19"/>
      <c r="AE380" s="19"/>
      <c r="AF380" s="19"/>
      <c r="AG380" s="19"/>
      <c r="AH380" s="19"/>
      <c r="AI380" s="19"/>
      <c r="AJ380" s="19"/>
      <c r="AK380" s="19"/>
      <c r="AL380" s="19"/>
      <c r="AM380" s="19"/>
      <c r="AN380" s="19"/>
      <c r="AO380" s="19"/>
      <c r="AP380" s="19"/>
      <c r="AQ380" s="19"/>
      <c r="AR380" s="19"/>
      <c r="AS380" s="27"/>
    </row>
    <row r="381" spans="1:45">
      <c r="A381" s="19">
        <f t="shared" si="5"/>
        <v>380</v>
      </c>
      <c r="B381" s="20">
        <v>45706</v>
      </c>
      <c r="C381" s="19" t="s">
        <v>1101</v>
      </c>
      <c r="D381" s="19" t="s">
        <v>1699</v>
      </c>
      <c r="E381" s="19">
        <v>20251977</v>
      </c>
      <c r="F381" s="19" t="s">
        <v>2604</v>
      </c>
      <c r="G381" s="19">
        <v>9770490665</v>
      </c>
      <c r="H381" s="19" t="s">
        <v>2605</v>
      </c>
      <c r="I381" s="19" t="s">
        <v>86</v>
      </c>
      <c r="J381" s="19" t="s">
        <v>1755</v>
      </c>
      <c r="K381" s="19" t="s">
        <v>1099</v>
      </c>
      <c r="L381" s="19" t="s">
        <v>1803</v>
      </c>
      <c r="M381" s="19" t="s">
        <v>2606</v>
      </c>
      <c r="N381" s="19">
        <v>23</v>
      </c>
      <c r="O381" s="19" t="s">
        <v>1057</v>
      </c>
      <c r="P381" s="19">
        <v>36</v>
      </c>
      <c r="Q381" s="19" t="s">
        <v>72</v>
      </c>
      <c r="R381" s="19" t="s">
        <v>72</v>
      </c>
      <c r="S381" s="19" t="s">
        <v>2607</v>
      </c>
      <c r="T381" s="19"/>
      <c r="U381" s="21"/>
      <c r="V381" s="19"/>
      <c r="W381" s="19" t="s">
        <v>245</v>
      </c>
      <c r="X381" s="19" t="s">
        <v>245</v>
      </c>
      <c r="Y381" s="19"/>
      <c r="Z381" s="19" t="s">
        <v>68</v>
      </c>
      <c r="AA381" s="20"/>
      <c r="AB381" s="4"/>
      <c r="AC381" s="4"/>
      <c r="AD381" s="19"/>
      <c r="AE381" s="19"/>
      <c r="AF381" s="19"/>
      <c r="AG381" s="19"/>
      <c r="AH381" s="19"/>
      <c r="AI381" s="19"/>
      <c r="AJ381" s="19"/>
      <c r="AK381" s="19"/>
      <c r="AL381" s="19"/>
      <c r="AM381" s="19"/>
      <c r="AN381" s="19"/>
      <c r="AO381" s="19"/>
      <c r="AP381" s="19"/>
      <c r="AQ381" s="19"/>
      <c r="AR381" s="19"/>
      <c r="AS381" s="27"/>
    </row>
    <row r="382" spans="1:45">
      <c r="A382" s="19">
        <f t="shared" si="5"/>
        <v>381</v>
      </c>
      <c r="B382" s="20">
        <v>45706</v>
      </c>
      <c r="C382" s="19" t="s">
        <v>1101</v>
      </c>
      <c r="D382" s="19" t="s">
        <v>1707</v>
      </c>
      <c r="E382" s="19">
        <v>20251975</v>
      </c>
      <c r="F382" s="19" t="s">
        <v>2608</v>
      </c>
      <c r="G382" s="19">
        <v>9427387968</v>
      </c>
      <c r="H382" s="19" t="s">
        <v>2609</v>
      </c>
      <c r="I382" s="19" t="s">
        <v>123</v>
      </c>
      <c r="J382" s="19" t="s">
        <v>2223</v>
      </c>
      <c r="K382" s="19" t="s">
        <v>2224</v>
      </c>
      <c r="L382" s="19" t="s">
        <v>1786</v>
      </c>
      <c r="M382" s="19" t="s">
        <v>2338</v>
      </c>
      <c r="N382" s="19" t="s">
        <v>2610</v>
      </c>
      <c r="O382" s="19" t="s">
        <v>2611</v>
      </c>
      <c r="P382" s="19" t="s">
        <v>2233</v>
      </c>
      <c r="Q382" s="19" t="s">
        <v>72</v>
      </c>
      <c r="R382" s="19" t="s">
        <v>72</v>
      </c>
      <c r="S382" s="19" t="s">
        <v>2612</v>
      </c>
      <c r="T382" s="19" t="s">
        <v>1057</v>
      </c>
      <c r="U382" s="21"/>
      <c r="V382" s="19"/>
      <c r="W382" s="19" t="s">
        <v>245</v>
      </c>
      <c r="X382" s="19" t="s">
        <v>245</v>
      </c>
      <c r="Y382" s="19"/>
      <c r="Z382" s="19" t="s">
        <v>68</v>
      </c>
      <c r="AA382" s="20"/>
      <c r="AB382" s="4"/>
      <c r="AC382" s="4"/>
      <c r="AD382" s="19"/>
      <c r="AE382" s="19"/>
      <c r="AF382" s="19"/>
      <c r="AG382" s="19"/>
      <c r="AH382" s="19"/>
      <c r="AI382" s="19"/>
      <c r="AJ382" s="19"/>
      <c r="AK382" s="19"/>
      <c r="AL382" s="19"/>
      <c r="AM382" s="19"/>
      <c r="AN382" s="19"/>
      <c r="AO382" s="19"/>
      <c r="AP382" s="19"/>
      <c r="AQ382" s="19"/>
      <c r="AR382" s="19"/>
      <c r="AS382" s="27"/>
    </row>
    <row r="383" spans="1:45">
      <c r="A383" s="19">
        <f t="shared" si="5"/>
        <v>382</v>
      </c>
      <c r="B383" s="20">
        <v>45706</v>
      </c>
      <c r="C383" s="19" t="s">
        <v>1101</v>
      </c>
      <c r="D383" s="19" t="s">
        <v>845</v>
      </c>
      <c r="E383" s="19">
        <v>20251975</v>
      </c>
      <c r="F383" s="19" t="s">
        <v>2613</v>
      </c>
      <c r="G383" s="19">
        <v>9665419998</v>
      </c>
      <c r="H383" s="19" t="s">
        <v>2614</v>
      </c>
      <c r="I383" s="19" t="s">
        <v>123</v>
      </c>
      <c r="J383" s="19" t="s">
        <v>2223</v>
      </c>
      <c r="K383" s="19" t="s">
        <v>2224</v>
      </c>
      <c r="L383" s="19" t="s">
        <v>1673</v>
      </c>
      <c r="M383" s="19" t="s">
        <v>2615</v>
      </c>
      <c r="N383" s="19" t="s">
        <v>2616</v>
      </c>
      <c r="O383" s="19" t="s">
        <v>1057</v>
      </c>
      <c r="P383" s="19" t="s">
        <v>1238</v>
      </c>
      <c r="Q383" s="19" t="s">
        <v>708</v>
      </c>
      <c r="R383" s="19" t="s">
        <v>72</v>
      </c>
      <c r="S383" s="19" t="s">
        <v>1121</v>
      </c>
      <c r="T383" s="19" t="s">
        <v>1057</v>
      </c>
      <c r="U383" s="21"/>
      <c r="V383" s="19"/>
      <c r="W383" s="19" t="s">
        <v>245</v>
      </c>
      <c r="X383" s="19" t="s">
        <v>245</v>
      </c>
      <c r="Y383" s="19"/>
      <c r="Z383" s="19" t="s">
        <v>68</v>
      </c>
      <c r="AA383" s="20"/>
      <c r="AB383" s="4">
        <v>45713</v>
      </c>
      <c r="AC383" s="4"/>
      <c r="AD383" s="19"/>
      <c r="AE383" s="19"/>
      <c r="AF383" s="19"/>
      <c r="AG383" s="19"/>
      <c r="AH383" s="19"/>
      <c r="AI383" s="19"/>
      <c r="AJ383" s="19"/>
      <c r="AK383" s="19"/>
      <c r="AL383" s="19"/>
      <c r="AM383" s="19"/>
      <c r="AN383" s="19"/>
      <c r="AO383" s="19"/>
      <c r="AP383" s="19"/>
      <c r="AQ383" s="19"/>
      <c r="AR383" s="19"/>
      <c r="AS383" s="27"/>
    </row>
    <row r="384" spans="1:45">
      <c r="A384" s="19">
        <f t="shared" si="5"/>
        <v>383</v>
      </c>
      <c r="B384" s="20">
        <v>45706</v>
      </c>
      <c r="C384" s="19" t="s">
        <v>1101</v>
      </c>
      <c r="D384" s="19" t="s">
        <v>1699</v>
      </c>
      <c r="E384" s="19">
        <v>20251975</v>
      </c>
      <c r="F384" s="19" t="s">
        <v>2617</v>
      </c>
      <c r="G384" s="19">
        <v>9971733203</v>
      </c>
      <c r="H384" s="19" t="s">
        <v>2618</v>
      </c>
      <c r="I384" s="19" t="s">
        <v>123</v>
      </c>
      <c r="J384" s="19" t="s">
        <v>2223</v>
      </c>
      <c r="K384" s="19" t="s">
        <v>2224</v>
      </c>
      <c r="L384" s="19" t="s">
        <v>2461</v>
      </c>
      <c r="M384" s="19" t="s">
        <v>1689</v>
      </c>
      <c r="N384" s="19" t="s">
        <v>1056</v>
      </c>
      <c r="O384" s="19" t="s">
        <v>1057</v>
      </c>
      <c r="P384" s="19" t="s">
        <v>1073</v>
      </c>
      <c r="Q384" s="19" t="s">
        <v>714</v>
      </c>
      <c r="R384" s="19" t="s">
        <v>72</v>
      </c>
      <c r="S384" s="19" t="s">
        <v>1121</v>
      </c>
      <c r="T384" s="19" t="s">
        <v>1057</v>
      </c>
      <c r="U384" s="21"/>
      <c r="V384" s="19"/>
      <c r="W384" s="19" t="s">
        <v>245</v>
      </c>
      <c r="X384" s="19" t="s">
        <v>245</v>
      </c>
      <c r="Y384" s="19"/>
      <c r="Z384" s="19" t="s">
        <v>68</v>
      </c>
      <c r="AA384" s="20"/>
      <c r="AB384" s="4"/>
      <c r="AC384" s="4"/>
      <c r="AD384" s="19"/>
      <c r="AE384" s="19"/>
      <c r="AF384" s="19"/>
      <c r="AG384" s="19"/>
      <c r="AH384" s="19"/>
      <c r="AI384" s="19"/>
      <c r="AJ384" s="19"/>
      <c r="AK384" s="19"/>
      <c r="AL384" s="19"/>
      <c r="AM384" s="19"/>
      <c r="AN384" s="19"/>
      <c r="AO384" s="19"/>
      <c r="AP384" s="19"/>
      <c r="AQ384" s="19"/>
      <c r="AR384" s="19"/>
      <c r="AS384" s="27"/>
    </row>
    <row r="385" spans="1:45">
      <c r="A385" s="19">
        <f t="shared" si="5"/>
        <v>384</v>
      </c>
      <c r="B385" s="20">
        <v>45707</v>
      </c>
      <c r="C385" s="19" t="s">
        <v>1101</v>
      </c>
      <c r="D385" s="19" t="s">
        <v>1102</v>
      </c>
      <c r="E385" s="19">
        <v>20241431</v>
      </c>
      <c r="F385" s="19" t="s">
        <v>2619</v>
      </c>
      <c r="G385" s="19">
        <v>7040368399</v>
      </c>
      <c r="H385" s="19" t="s">
        <v>2620</v>
      </c>
      <c r="I385" s="19" t="s">
        <v>86</v>
      </c>
      <c r="J385" s="19" t="s">
        <v>604</v>
      </c>
      <c r="K385" s="19" t="s">
        <v>228</v>
      </c>
      <c r="L385" s="19">
        <v>4</v>
      </c>
      <c r="M385" s="19" t="s">
        <v>2621</v>
      </c>
      <c r="N385" s="19">
        <v>7</v>
      </c>
      <c r="O385" s="19">
        <v>0</v>
      </c>
      <c r="P385" s="19">
        <v>13</v>
      </c>
      <c r="Q385" s="19" t="s">
        <v>72</v>
      </c>
      <c r="R385" s="19" t="s">
        <v>72</v>
      </c>
      <c r="S385" s="19" t="s">
        <v>1121</v>
      </c>
      <c r="T385" s="19"/>
      <c r="U385" s="21"/>
      <c r="V385" s="19"/>
      <c r="W385" s="19" t="s">
        <v>74</v>
      </c>
      <c r="X385" s="19" t="s">
        <v>74</v>
      </c>
      <c r="Y385" s="19" t="s">
        <v>70</v>
      </c>
      <c r="Z385" s="19" t="s">
        <v>68</v>
      </c>
      <c r="AA385" s="4">
        <v>45707</v>
      </c>
      <c r="AB385" s="4">
        <v>45709</v>
      </c>
      <c r="AC385" s="4">
        <v>45709</v>
      </c>
      <c r="AD385" s="19"/>
      <c r="AE385" s="19"/>
      <c r="AF385" s="19"/>
      <c r="AG385" s="19"/>
      <c r="AH385" s="19"/>
      <c r="AI385" s="19"/>
      <c r="AJ385" s="19"/>
      <c r="AK385" s="19"/>
      <c r="AL385" s="19"/>
      <c r="AM385" s="19"/>
      <c r="AN385" s="19"/>
      <c r="AO385" s="19"/>
      <c r="AP385" s="19"/>
      <c r="AQ385" s="19"/>
      <c r="AR385" s="19"/>
      <c r="AS385" s="27"/>
    </row>
    <row r="386" spans="1:45">
      <c r="A386" s="19">
        <f t="shared" si="5"/>
        <v>385</v>
      </c>
      <c r="B386" s="20">
        <v>45707</v>
      </c>
      <c r="C386" s="19" t="s">
        <v>1101</v>
      </c>
      <c r="D386" s="19" t="s">
        <v>1026</v>
      </c>
      <c r="E386" s="19">
        <v>20245762</v>
      </c>
      <c r="F386" s="19" t="s">
        <v>2622</v>
      </c>
      <c r="G386" s="19">
        <v>8182819435</v>
      </c>
      <c r="H386" s="19" t="s">
        <v>2623</v>
      </c>
      <c r="I386" s="19" t="s">
        <v>123</v>
      </c>
      <c r="J386" s="19" t="s">
        <v>66</v>
      </c>
      <c r="K386" s="19" t="s">
        <v>2364</v>
      </c>
      <c r="L386" s="19">
        <v>1.7</v>
      </c>
      <c r="M386" s="19" t="s">
        <v>2624</v>
      </c>
      <c r="N386" s="19">
        <v>6</v>
      </c>
      <c r="O386" s="19">
        <v>0.1</v>
      </c>
      <c r="P386" s="19">
        <v>8.5</v>
      </c>
      <c r="Q386" s="19" t="s">
        <v>2625</v>
      </c>
      <c r="R386" s="19" t="s">
        <v>72</v>
      </c>
      <c r="S386" s="19" t="s">
        <v>1139</v>
      </c>
      <c r="T386" s="19"/>
      <c r="U386" s="21"/>
      <c r="V386" s="19"/>
      <c r="W386" s="19" t="s">
        <v>74</v>
      </c>
      <c r="X386" s="19" t="s">
        <v>74</v>
      </c>
      <c r="Y386" s="19" t="s">
        <v>70</v>
      </c>
      <c r="Z386" s="19" t="s">
        <v>68</v>
      </c>
      <c r="AA386" s="4">
        <v>45705</v>
      </c>
      <c r="AB386" s="4">
        <v>45706</v>
      </c>
      <c r="AC386" s="4">
        <v>45709</v>
      </c>
      <c r="AD386" s="19"/>
      <c r="AE386" s="19"/>
      <c r="AF386" s="19"/>
      <c r="AG386" s="19"/>
      <c r="AH386" s="19"/>
      <c r="AI386" s="19"/>
      <c r="AJ386" s="19"/>
      <c r="AK386" s="19"/>
      <c r="AL386" s="19"/>
      <c r="AM386" s="19"/>
      <c r="AN386" s="19"/>
      <c r="AO386" s="19"/>
      <c r="AP386" s="19"/>
      <c r="AQ386" s="19"/>
      <c r="AR386" s="19"/>
      <c r="AS386" s="27"/>
    </row>
    <row r="387" spans="1:45">
      <c r="A387" s="19">
        <f t="shared" ref="A387:A450" si="6">A386+1</f>
        <v>386</v>
      </c>
      <c r="B387" s="20">
        <v>45707</v>
      </c>
      <c r="C387" s="19" t="s">
        <v>1101</v>
      </c>
      <c r="D387" s="19" t="s">
        <v>65</v>
      </c>
      <c r="E387" s="19">
        <v>20245762</v>
      </c>
      <c r="F387" s="19" t="s">
        <v>2626</v>
      </c>
      <c r="G387" s="19">
        <v>9997495017</v>
      </c>
      <c r="H387" s="19" t="s">
        <v>2627</v>
      </c>
      <c r="I387" s="19" t="s">
        <v>123</v>
      </c>
      <c r="J387" s="19" t="s">
        <v>66</v>
      </c>
      <c r="K387" s="19" t="s">
        <v>2364</v>
      </c>
      <c r="L387" s="19">
        <v>2.5</v>
      </c>
      <c r="M387" s="19" t="s">
        <v>2628</v>
      </c>
      <c r="N387" s="19">
        <v>7.6</v>
      </c>
      <c r="O387" s="19">
        <v>0</v>
      </c>
      <c r="P387" s="19">
        <v>0.3</v>
      </c>
      <c r="Q387" s="19" t="s">
        <v>1276</v>
      </c>
      <c r="R387" s="19" t="s">
        <v>72</v>
      </c>
      <c r="S387" s="19" t="s">
        <v>2629</v>
      </c>
      <c r="T387" s="19"/>
      <c r="U387" s="21"/>
      <c r="V387" s="19"/>
      <c r="W387" s="19" t="s">
        <v>74</v>
      </c>
      <c r="X387" s="19" t="s">
        <v>74</v>
      </c>
      <c r="Y387" s="19" t="s">
        <v>70</v>
      </c>
      <c r="Z387" s="19" t="s">
        <v>68</v>
      </c>
      <c r="AA387" s="20"/>
      <c r="AB387" s="4"/>
      <c r="AC387" s="4"/>
      <c r="AD387" s="19"/>
      <c r="AE387" s="19"/>
      <c r="AF387" s="19"/>
      <c r="AG387" s="19"/>
      <c r="AH387" s="19"/>
      <c r="AI387" s="19"/>
      <c r="AJ387" s="19"/>
      <c r="AK387" s="19"/>
      <c r="AL387" s="19"/>
      <c r="AM387" s="19"/>
      <c r="AN387" s="19"/>
      <c r="AO387" s="19"/>
      <c r="AP387" s="19"/>
      <c r="AQ387" s="19"/>
      <c r="AR387" s="19"/>
      <c r="AS387" s="27"/>
    </row>
    <row r="388" spans="1:45">
      <c r="A388" s="19">
        <f t="shared" si="6"/>
        <v>387</v>
      </c>
      <c r="B388" s="20">
        <v>45708</v>
      </c>
      <c r="C388" s="19" t="s">
        <v>1101</v>
      </c>
      <c r="D388" s="19" t="s">
        <v>2630</v>
      </c>
      <c r="E388" s="19" t="s">
        <v>601</v>
      </c>
      <c r="F388" s="19" t="s">
        <v>2631</v>
      </c>
      <c r="G388" s="19">
        <v>8861503607</v>
      </c>
      <c r="H388" s="19" t="s">
        <v>2632</v>
      </c>
      <c r="I388" s="19" t="s">
        <v>123</v>
      </c>
      <c r="J388" s="19" t="s">
        <v>602</v>
      </c>
      <c r="K388" s="19" t="s">
        <v>438</v>
      </c>
      <c r="L388" s="19" t="s">
        <v>1731</v>
      </c>
      <c r="M388" s="19" t="s">
        <v>1551</v>
      </c>
      <c r="N388" s="19" t="s">
        <v>2090</v>
      </c>
      <c r="O388" s="19" t="s">
        <v>2633</v>
      </c>
      <c r="P388" s="19" t="s">
        <v>1126</v>
      </c>
      <c r="Q388" s="19" t="s">
        <v>72</v>
      </c>
      <c r="R388" s="19" t="s">
        <v>72</v>
      </c>
      <c r="S388" s="19" t="s">
        <v>1210</v>
      </c>
      <c r="T388" s="19"/>
      <c r="U388" s="21"/>
      <c r="V388" s="19"/>
      <c r="W388" s="19" t="s">
        <v>245</v>
      </c>
      <c r="X388" s="19" t="s">
        <v>2243</v>
      </c>
      <c r="Y388" s="19"/>
      <c r="Z388" s="19" t="s">
        <v>68</v>
      </c>
      <c r="AA388" s="20"/>
      <c r="AB388" s="4"/>
      <c r="AC388" s="4"/>
      <c r="AD388" s="19"/>
      <c r="AE388" s="19"/>
      <c r="AF388" s="19"/>
      <c r="AG388" s="19"/>
      <c r="AH388" s="19"/>
      <c r="AI388" s="19"/>
      <c r="AJ388" s="19"/>
      <c r="AK388" s="19"/>
      <c r="AL388" s="19"/>
      <c r="AM388" s="19"/>
      <c r="AN388" s="19"/>
      <c r="AO388" s="19"/>
      <c r="AP388" s="19"/>
      <c r="AQ388" s="19"/>
      <c r="AR388" s="19"/>
      <c r="AS388" s="27"/>
    </row>
    <row r="389" spans="1:45">
      <c r="A389" s="19">
        <f t="shared" si="6"/>
        <v>388</v>
      </c>
      <c r="B389" s="20">
        <v>45708</v>
      </c>
      <c r="C389" s="19" t="s">
        <v>1101</v>
      </c>
      <c r="D389" s="19" t="s">
        <v>2630</v>
      </c>
      <c r="E389" s="19" t="s">
        <v>601</v>
      </c>
      <c r="F389" s="19" t="s">
        <v>2634</v>
      </c>
      <c r="G389" s="19">
        <v>8308966500</v>
      </c>
      <c r="H389" s="19" t="s">
        <v>2635</v>
      </c>
      <c r="I389" s="19" t="s">
        <v>123</v>
      </c>
      <c r="J389" s="19" t="s">
        <v>602</v>
      </c>
      <c r="K389" s="19" t="s">
        <v>438</v>
      </c>
      <c r="L389" s="19" t="s">
        <v>1731</v>
      </c>
      <c r="M389" s="19" t="s">
        <v>2636</v>
      </c>
      <c r="N389" s="19" t="s">
        <v>2637</v>
      </c>
      <c r="O389" s="19" t="s">
        <v>858</v>
      </c>
      <c r="P389" s="19" t="s">
        <v>1744</v>
      </c>
      <c r="Q389" s="19" t="s">
        <v>72</v>
      </c>
      <c r="R389" s="19" t="s">
        <v>72</v>
      </c>
      <c r="S389" s="19" t="s">
        <v>1210</v>
      </c>
      <c r="T389" s="19"/>
      <c r="U389" s="21"/>
      <c r="V389" s="19"/>
      <c r="W389" s="19" t="s">
        <v>245</v>
      </c>
      <c r="X389" s="19" t="s">
        <v>2243</v>
      </c>
      <c r="Y389" s="19"/>
      <c r="Z389" s="19" t="s">
        <v>68</v>
      </c>
      <c r="AA389" s="8"/>
      <c r="AB389" s="4"/>
      <c r="AC389" s="4"/>
      <c r="AD389" s="19"/>
      <c r="AE389" s="19"/>
      <c r="AF389" s="19"/>
      <c r="AG389" s="19"/>
      <c r="AH389" s="19"/>
      <c r="AI389" s="19"/>
      <c r="AJ389" s="19"/>
      <c r="AK389" s="19"/>
      <c r="AL389" s="19"/>
      <c r="AM389" s="19"/>
      <c r="AN389" s="19"/>
      <c r="AO389" s="19"/>
      <c r="AP389" s="19"/>
      <c r="AQ389" s="19"/>
      <c r="AR389" s="19"/>
      <c r="AS389" s="27"/>
    </row>
    <row r="390" spans="1:45">
      <c r="A390" s="19">
        <f t="shared" si="6"/>
        <v>389</v>
      </c>
      <c r="B390" s="20">
        <v>45708</v>
      </c>
      <c r="C390" s="19" t="s">
        <v>1101</v>
      </c>
      <c r="D390" s="19" t="s">
        <v>2630</v>
      </c>
      <c r="E390" s="19" t="s">
        <v>601</v>
      </c>
      <c r="F390" s="19" t="s">
        <v>881</v>
      </c>
      <c r="G390" s="19">
        <v>9901013009</v>
      </c>
      <c r="H390" s="19" t="s">
        <v>2638</v>
      </c>
      <c r="I390" s="19" t="s">
        <v>123</v>
      </c>
      <c r="J390" s="19" t="s">
        <v>602</v>
      </c>
      <c r="K390" s="19" t="s">
        <v>438</v>
      </c>
      <c r="L390" s="19" t="s">
        <v>1731</v>
      </c>
      <c r="M390" s="19" t="s">
        <v>2639</v>
      </c>
      <c r="N390" s="19" t="s">
        <v>1243</v>
      </c>
      <c r="O390" s="19" t="s">
        <v>2640</v>
      </c>
      <c r="P390" s="19" t="s">
        <v>1084</v>
      </c>
      <c r="Q390" s="19" t="s">
        <v>72</v>
      </c>
      <c r="R390" s="19" t="s">
        <v>72</v>
      </c>
      <c r="S390" s="19" t="s">
        <v>1210</v>
      </c>
      <c r="T390" s="19"/>
      <c r="U390" s="21"/>
      <c r="V390" s="19"/>
      <c r="W390" s="19" t="s">
        <v>245</v>
      </c>
      <c r="X390" s="19" t="s">
        <v>2243</v>
      </c>
      <c r="Y390" s="19"/>
      <c r="Z390" s="19" t="s">
        <v>68</v>
      </c>
      <c r="AA390" s="4"/>
      <c r="AB390" s="4"/>
      <c r="AC390" s="4"/>
      <c r="AD390" s="19"/>
      <c r="AE390" s="19"/>
      <c r="AF390" s="19"/>
      <c r="AG390" s="19"/>
      <c r="AH390" s="19"/>
      <c r="AI390" s="19"/>
      <c r="AJ390" s="19"/>
      <c r="AK390" s="19"/>
      <c r="AL390" s="19"/>
      <c r="AM390" s="19"/>
      <c r="AN390" s="19"/>
      <c r="AO390" s="19"/>
      <c r="AP390" s="19"/>
      <c r="AQ390" s="19"/>
      <c r="AR390" s="19"/>
      <c r="AS390" s="27"/>
    </row>
    <row r="391" spans="1:45">
      <c r="A391" s="19">
        <f t="shared" si="6"/>
        <v>390</v>
      </c>
      <c r="B391" s="20">
        <v>45708</v>
      </c>
      <c r="C391" s="19" t="s">
        <v>1101</v>
      </c>
      <c r="D391" s="19" t="s">
        <v>2630</v>
      </c>
      <c r="E391" s="19" t="s">
        <v>601</v>
      </c>
      <c r="F391" s="19" t="s">
        <v>2641</v>
      </c>
      <c r="G391" s="19">
        <v>9398833077</v>
      </c>
      <c r="H391" s="19" t="s">
        <v>2642</v>
      </c>
      <c r="I391" s="19" t="s">
        <v>123</v>
      </c>
      <c r="J391" s="19" t="s">
        <v>602</v>
      </c>
      <c r="K391" s="19" t="s">
        <v>438</v>
      </c>
      <c r="L391" s="19" t="s">
        <v>1756</v>
      </c>
      <c r="M391" s="19" t="s">
        <v>2639</v>
      </c>
      <c r="N391" s="19" t="s">
        <v>1095</v>
      </c>
      <c r="O391" s="19" t="s">
        <v>2643</v>
      </c>
      <c r="P391" s="19" t="s">
        <v>1194</v>
      </c>
      <c r="Q391" s="19" t="s">
        <v>72</v>
      </c>
      <c r="R391" s="19" t="s">
        <v>72</v>
      </c>
      <c r="S391" s="19" t="s">
        <v>1210</v>
      </c>
      <c r="T391" s="19"/>
      <c r="U391" s="21"/>
      <c r="V391" s="19"/>
      <c r="W391" s="19" t="s">
        <v>245</v>
      </c>
      <c r="X391" s="19" t="s">
        <v>2243</v>
      </c>
      <c r="Y391" s="19"/>
      <c r="Z391" s="19" t="s">
        <v>68</v>
      </c>
      <c r="AA391" s="4"/>
      <c r="AB391" s="4"/>
      <c r="AC391" s="4"/>
      <c r="AD391" s="19"/>
      <c r="AE391" s="19"/>
      <c r="AF391" s="19"/>
      <c r="AG391" s="19"/>
      <c r="AH391" s="19"/>
      <c r="AI391" s="19"/>
      <c r="AJ391" s="19"/>
      <c r="AK391" s="19"/>
      <c r="AL391" s="19"/>
      <c r="AM391" s="19"/>
      <c r="AN391" s="19"/>
      <c r="AO391" s="19"/>
      <c r="AP391" s="19"/>
      <c r="AQ391" s="19"/>
      <c r="AR391" s="19"/>
      <c r="AS391" s="27"/>
    </row>
    <row r="392" spans="1:45">
      <c r="A392" s="19">
        <f t="shared" si="6"/>
        <v>391</v>
      </c>
      <c r="B392" s="20">
        <v>45709</v>
      </c>
      <c r="C392" s="19" t="s">
        <v>1101</v>
      </c>
      <c r="D392" s="19" t="s">
        <v>1102</v>
      </c>
      <c r="E392" s="19">
        <v>20250721</v>
      </c>
      <c r="F392" s="19" t="s">
        <v>2644</v>
      </c>
      <c r="G392" s="19">
        <v>9972405756</v>
      </c>
      <c r="H392" s="19" t="s">
        <v>2645</v>
      </c>
      <c r="I392" s="19" t="s">
        <v>123</v>
      </c>
      <c r="J392" s="19" t="s">
        <v>76</v>
      </c>
      <c r="K392" s="19" t="s">
        <v>569</v>
      </c>
      <c r="L392" s="19">
        <v>2.5</v>
      </c>
      <c r="M392" s="19" t="s">
        <v>2646</v>
      </c>
      <c r="N392" s="19">
        <v>5</v>
      </c>
      <c r="O392" s="19">
        <v>0</v>
      </c>
      <c r="P392" s="19">
        <v>8</v>
      </c>
      <c r="Q392" s="19" t="s">
        <v>72</v>
      </c>
      <c r="R392" s="19" t="s">
        <v>72</v>
      </c>
      <c r="S392" s="19" t="s">
        <v>1405</v>
      </c>
      <c r="T392" s="19" t="s">
        <v>2647</v>
      </c>
      <c r="U392" s="21"/>
      <c r="V392" s="19"/>
      <c r="W392" s="19" t="s">
        <v>74</v>
      </c>
      <c r="X392" s="19" t="s">
        <v>74</v>
      </c>
      <c r="Y392" s="19" t="s">
        <v>70</v>
      </c>
      <c r="Z392" s="19" t="s">
        <v>68</v>
      </c>
      <c r="AA392" s="4"/>
      <c r="AB392" s="4"/>
      <c r="AC392" s="4"/>
      <c r="AD392" s="19"/>
      <c r="AE392" s="19"/>
      <c r="AF392" s="19"/>
      <c r="AG392" s="19"/>
      <c r="AH392" s="19"/>
      <c r="AI392" s="19"/>
      <c r="AJ392" s="19"/>
      <c r="AK392" s="19"/>
      <c r="AL392" s="19"/>
      <c r="AM392" s="19"/>
      <c r="AN392" s="19"/>
      <c r="AO392" s="19"/>
      <c r="AP392" s="19"/>
      <c r="AQ392" s="19"/>
      <c r="AR392" s="19"/>
      <c r="AS392" s="27"/>
    </row>
    <row r="393" spans="1:45">
      <c r="A393" s="19">
        <f t="shared" si="6"/>
        <v>392</v>
      </c>
      <c r="B393" s="20">
        <v>45709</v>
      </c>
      <c r="C393" s="19" t="s">
        <v>116</v>
      </c>
      <c r="D393" s="19" t="s">
        <v>116</v>
      </c>
      <c r="E393" s="19">
        <v>20252045</v>
      </c>
      <c r="F393" s="19" t="s">
        <v>127</v>
      </c>
      <c r="G393" s="19">
        <v>8766529114</v>
      </c>
      <c r="H393" s="19" t="s">
        <v>128</v>
      </c>
      <c r="I393" s="19" t="s">
        <v>123</v>
      </c>
      <c r="J393" s="19" t="s">
        <v>124</v>
      </c>
      <c r="K393" s="19" t="s">
        <v>569</v>
      </c>
      <c r="L393" s="19">
        <v>1.6</v>
      </c>
      <c r="M393" s="19" t="s">
        <v>2648</v>
      </c>
      <c r="N393" s="19">
        <v>4.5</v>
      </c>
      <c r="O393" s="19">
        <v>0</v>
      </c>
      <c r="P393" s="19">
        <v>7</v>
      </c>
      <c r="Q393" s="19" t="s">
        <v>1562</v>
      </c>
      <c r="R393" s="19" t="s">
        <v>72</v>
      </c>
      <c r="S393" s="19" t="s">
        <v>1210</v>
      </c>
      <c r="T393" s="19" t="s">
        <v>1965</v>
      </c>
      <c r="U393" s="21">
        <v>45740</v>
      </c>
      <c r="V393" s="19"/>
      <c r="W393" s="19" t="s">
        <v>74</v>
      </c>
      <c r="X393" s="19" t="s">
        <v>74</v>
      </c>
      <c r="Y393" s="19" t="s">
        <v>94</v>
      </c>
      <c r="Z393" s="19" t="s">
        <v>68</v>
      </c>
      <c r="AA393" s="4">
        <v>45693</v>
      </c>
      <c r="AB393" s="4">
        <v>45694</v>
      </c>
      <c r="AC393" s="4">
        <v>45694</v>
      </c>
      <c r="AD393" s="4">
        <v>45698</v>
      </c>
      <c r="AE393" s="27">
        <v>45698</v>
      </c>
      <c r="AF393" s="27">
        <v>45699</v>
      </c>
      <c r="AG393" s="27">
        <v>45699</v>
      </c>
      <c r="AH393" s="27">
        <v>45625</v>
      </c>
      <c r="AI393" s="27">
        <v>45693</v>
      </c>
      <c r="AJ393" s="27">
        <v>45700</v>
      </c>
      <c r="AK393" s="19" t="s">
        <v>72</v>
      </c>
      <c r="AL393" s="19">
        <v>70000</v>
      </c>
      <c r="AM393" s="4">
        <v>45699</v>
      </c>
      <c r="AN393" s="4">
        <v>45702</v>
      </c>
      <c r="AO393" s="27"/>
      <c r="AP393" s="4">
        <v>45706</v>
      </c>
      <c r="AQ393" s="4">
        <v>45706</v>
      </c>
      <c r="AR393" s="4">
        <v>45751</v>
      </c>
      <c r="AS393" s="4">
        <v>45740</v>
      </c>
    </row>
    <row r="394" spans="1:45">
      <c r="A394" s="19">
        <f t="shared" si="6"/>
        <v>393</v>
      </c>
      <c r="B394" s="20">
        <v>45709</v>
      </c>
      <c r="C394" s="19" t="s">
        <v>400</v>
      </c>
      <c r="D394" s="19" t="s">
        <v>952</v>
      </c>
      <c r="E394" s="19">
        <v>20252046</v>
      </c>
      <c r="F394" s="19" t="s">
        <v>2649</v>
      </c>
      <c r="G394" s="19">
        <v>9973287316</v>
      </c>
      <c r="H394" s="19" t="s">
        <v>132</v>
      </c>
      <c r="I394" s="19" t="s">
        <v>123</v>
      </c>
      <c r="J394" s="19" t="s">
        <v>2650</v>
      </c>
      <c r="K394" s="19" t="s">
        <v>569</v>
      </c>
      <c r="L394" s="19">
        <v>5.0999999999999996</v>
      </c>
      <c r="M394" s="19" t="s">
        <v>2651</v>
      </c>
      <c r="N394" s="19" t="s">
        <v>2652</v>
      </c>
      <c r="O394" s="19">
        <v>0</v>
      </c>
      <c r="P394" s="19" t="s">
        <v>2653</v>
      </c>
      <c r="Q394" s="19" t="s">
        <v>1562</v>
      </c>
      <c r="R394" s="19" t="s">
        <v>923</v>
      </c>
      <c r="S394" s="19" t="s">
        <v>1686</v>
      </c>
      <c r="T394" s="19" t="s">
        <v>1965</v>
      </c>
      <c r="U394" s="21">
        <v>45810</v>
      </c>
      <c r="V394" s="19"/>
      <c r="W394" s="19" t="s">
        <v>74</v>
      </c>
      <c r="X394" s="19" t="s">
        <v>74</v>
      </c>
      <c r="Y394" s="19" t="s">
        <v>94</v>
      </c>
      <c r="Z394" s="19" t="s">
        <v>68</v>
      </c>
      <c r="AA394" s="4">
        <v>45699</v>
      </c>
      <c r="AB394" s="4">
        <v>45700</v>
      </c>
      <c r="AC394" s="4">
        <v>45700</v>
      </c>
      <c r="AD394" s="4">
        <v>45702</v>
      </c>
      <c r="AE394" s="4">
        <v>45702</v>
      </c>
      <c r="AF394" s="4">
        <v>45705</v>
      </c>
      <c r="AG394" s="4">
        <v>45705</v>
      </c>
      <c r="AH394" s="4">
        <v>45625</v>
      </c>
      <c r="AI394" s="4">
        <v>45695</v>
      </c>
      <c r="AJ394" s="4">
        <v>45706</v>
      </c>
      <c r="AK394" s="19" t="s">
        <v>72</v>
      </c>
      <c r="AL394" s="19">
        <v>1050000</v>
      </c>
      <c r="AM394" s="4">
        <v>45709</v>
      </c>
      <c r="AN394" s="4">
        <v>45712</v>
      </c>
      <c r="AO394" s="4"/>
      <c r="AP394" s="4">
        <v>45713</v>
      </c>
      <c r="AQ394" s="4">
        <v>45713</v>
      </c>
      <c r="AR394" s="4">
        <v>45807</v>
      </c>
      <c r="AS394" s="4">
        <v>45810</v>
      </c>
    </row>
    <row r="395" spans="1:45">
      <c r="A395" s="19">
        <f t="shared" si="6"/>
        <v>394</v>
      </c>
      <c r="B395" s="20">
        <v>45709</v>
      </c>
      <c r="C395" s="19" t="s">
        <v>1101</v>
      </c>
      <c r="D395" s="19" t="s">
        <v>1102</v>
      </c>
      <c r="E395" s="19">
        <v>20250721</v>
      </c>
      <c r="F395" s="19" t="s">
        <v>2654</v>
      </c>
      <c r="G395" s="19">
        <v>9825161928</v>
      </c>
      <c r="H395" s="19" t="s">
        <v>2655</v>
      </c>
      <c r="I395" s="19" t="s">
        <v>123</v>
      </c>
      <c r="J395" s="19" t="s">
        <v>76</v>
      </c>
      <c r="K395" s="19" t="s">
        <v>569</v>
      </c>
      <c r="L395" s="19">
        <v>3.5</v>
      </c>
      <c r="M395" s="19" t="s">
        <v>2204</v>
      </c>
      <c r="N395" s="19">
        <v>4.92</v>
      </c>
      <c r="O395" s="19">
        <v>0</v>
      </c>
      <c r="P395" s="19">
        <v>7</v>
      </c>
      <c r="Q395" s="19" t="s">
        <v>1603</v>
      </c>
      <c r="R395" s="19" t="s">
        <v>72</v>
      </c>
      <c r="S395" s="19" t="s">
        <v>1121</v>
      </c>
      <c r="T395" s="19" t="s">
        <v>1057</v>
      </c>
      <c r="U395" s="21"/>
      <c r="V395" s="19"/>
      <c r="W395" s="19" t="s">
        <v>74</v>
      </c>
      <c r="X395" s="19" t="s">
        <v>74</v>
      </c>
      <c r="Y395" s="19" t="s">
        <v>70</v>
      </c>
      <c r="Z395" s="19" t="s">
        <v>68</v>
      </c>
      <c r="AA395" s="4"/>
      <c r="AB395" s="4"/>
      <c r="AC395" s="4"/>
      <c r="AD395" s="19"/>
      <c r="AE395" s="19"/>
      <c r="AF395" s="19"/>
      <c r="AG395" s="19"/>
      <c r="AH395" s="19"/>
      <c r="AI395" s="19"/>
      <c r="AJ395" s="19"/>
      <c r="AK395" s="19"/>
      <c r="AL395" s="19"/>
      <c r="AM395" s="19"/>
      <c r="AN395" s="19"/>
      <c r="AO395" s="19"/>
      <c r="AP395" s="19"/>
      <c r="AQ395" s="19"/>
      <c r="AR395" s="19"/>
      <c r="AS395" s="27"/>
    </row>
    <row r="396" spans="1:45">
      <c r="A396" s="19">
        <f t="shared" si="6"/>
        <v>395</v>
      </c>
      <c r="B396" s="20">
        <v>45709</v>
      </c>
      <c r="C396" s="19" t="s">
        <v>1101</v>
      </c>
      <c r="D396" s="19" t="s">
        <v>1102</v>
      </c>
      <c r="E396" s="19">
        <v>20250721</v>
      </c>
      <c r="F396" s="19" t="s">
        <v>2656</v>
      </c>
      <c r="G396" s="19">
        <v>7893013813</v>
      </c>
      <c r="H396" s="19" t="s">
        <v>2657</v>
      </c>
      <c r="I396" s="19" t="s">
        <v>123</v>
      </c>
      <c r="J396" s="19" t="s">
        <v>76</v>
      </c>
      <c r="K396" s="19" t="s">
        <v>569</v>
      </c>
      <c r="L396" s="19">
        <v>3</v>
      </c>
      <c r="M396" s="19" t="s">
        <v>1551</v>
      </c>
      <c r="N396" s="19">
        <v>4.5</v>
      </c>
      <c r="O396" s="19">
        <v>0</v>
      </c>
      <c r="P396" s="19">
        <v>8</v>
      </c>
      <c r="Q396" s="19" t="s">
        <v>2658</v>
      </c>
      <c r="R396" s="19" t="s">
        <v>72</v>
      </c>
      <c r="S396" s="19" t="s">
        <v>2659</v>
      </c>
      <c r="T396" s="19" t="s">
        <v>1057</v>
      </c>
      <c r="U396" s="21"/>
      <c r="V396" s="19"/>
      <c r="W396" s="19" t="s">
        <v>74</v>
      </c>
      <c r="X396" s="19" t="s">
        <v>74</v>
      </c>
      <c r="Y396" s="19" t="s">
        <v>70</v>
      </c>
      <c r="Z396" s="19" t="s">
        <v>68</v>
      </c>
      <c r="AA396" s="4"/>
      <c r="AB396" s="4"/>
      <c r="AC396" s="4"/>
      <c r="AD396" s="19"/>
      <c r="AE396" s="19"/>
      <c r="AF396" s="19"/>
      <c r="AG396" s="19"/>
      <c r="AH396" s="19"/>
      <c r="AI396" s="19"/>
      <c r="AJ396" s="19"/>
      <c r="AK396" s="19"/>
      <c r="AL396" s="19"/>
      <c r="AM396" s="19"/>
      <c r="AN396" s="19"/>
      <c r="AO396" s="19"/>
      <c r="AP396" s="19"/>
      <c r="AQ396" s="19"/>
      <c r="AR396" s="19"/>
      <c r="AS396" s="27"/>
    </row>
    <row r="397" spans="1:45">
      <c r="A397" s="19">
        <f t="shared" si="6"/>
        <v>396</v>
      </c>
      <c r="B397" s="20">
        <v>45709</v>
      </c>
      <c r="C397" s="19" t="s">
        <v>1101</v>
      </c>
      <c r="D397" s="19" t="s">
        <v>1102</v>
      </c>
      <c r="E397" s="19">
        <v>20250721</v>
      </c>
      <c r="F397" s="19" t="s">
        <v>2660</v>
      </c>
      <c r="G397" s="19">
        <v>9607582100</v>
      </c>
      <c r="H397" s="19" t="s">
        <v>2661</v>
      </c>
      <c r="I397" s="19" t="s">
        <v>123</v>
      </c>
      <c r="J397" s="19" t="s">
        <v>76</v>
      </c>
      <c r="K397" s="19" t="s">
        <v>569</v>
      </c>
      <c r="L397" s="19">
        <v>2</v>
      </c>
      <c r="M397" s="19" t="s">
        <v>2662</v>
      </c>
      <c r="N397" s="19">
        <v>7.5</v>
      </c>
      <c r="O397" s="19" t="s">
        <v>2663</v>
      </c>
      <c r="P397" s="19">
        <v>0.3</v>
      </c>
      <c r="Q397" s="19" t="s">
        <v>2664</v>
      </c>
      <c r="R397" s="19" t="s">
        <v>72</v>
      </c>
      <c r="S397" s="19">
        <v>0</v>
      </c>
      <c r="T397" s="19" t="s">
        <v>1057</v>
      </c>
      <c r="U397" s="21"/>
      <c r="V397" s="19"/>
      <c r="W397" s="19" t="s">
        <v>74</v>
      </c>
      <c r="X397" s="19" t="s">
        <v>74</v>
      </c>
      <c r="Y397" s="19" t="s">
        <v>70</v>
      </c>
      <c r="Z397" s="19" t="s">
        <v>68</v>
      </c>
      <c r="AA397" s="4"/>
      <c r="AB397" s="4"/>
      <c r="AC397" s="4"/>
      <c r="AD397" s="19"/>
      <c r="AE397" s="19"/>
      <c r="AF397" s="19"/>
      <c r="AG397" s="19"/>
      <c r="AH397" s="19"/>
      <c r="AI397" s="19"/>
      <c r="AJ397" s="19"/>
      <c r="AK397" s="19"/>
      <c r="AL397" s="19"/>
      <c r="AM397" s="19"/>
      <c r="AN397" s="19"/>
      <c r="AO397" s="19"/>
      <c r="AP397" s="19"/>
      <c r="AQ397" s="19"/>
      <c r="AR397" s="19"/>
      <c r="AS397" s="27"/>
    </row>
    <row r="398" spans="1:45">
      <c r="A398" s="19">
        <f t="shared" si="6"/>
        <v>397</v>
      </c>
      <c r="B398" s="20">
        <v>45709</v>
      </c>
      <c r="C398" s="19" t="s">
        <v>1101</v>
      </c>
      <c r="D398" s="19" t="s">
        <v>1122</v>
      </c>
      <c r="E398" s="19">
        <v>20250721</v>
      </c>
      <c r="F398" s="19" t="s">
        <v>2665</v>
      </c>
      <c r="G398" s="19">
        <v>8605834049</v>
      </c>
      <c r="H398" s="19" t="s">
        <v>2666</v>
      </c>
      <c r="I398" s="19" t="s">
        <v>123</v>
      </c>
      <c r="J398" s="19" t="s">
        <v>76</v>
      </c>
      <c r="K398" s="19" t="s">
        <v>569</v>
      </c>
      <c r="L398" s="19">
        <v>2.6</v>
      </c>
      <c r="M398" s="19" t="s">
        <v>2667</v>
      </c>
      <c r="N398" s="19">
        <v>6</v>
      </c>
      <c r="O398" s="19">
        <v>0</v>
      </c>
      <c r="P398" s="19">
        <v>9</v>
      </c>
      <c r="Q398" s="19" t="s">
        <v>2664</v>
      </c>
      <c r="R398" s="19" t="s">
        <v>72</v>
      </c>
      <c r="S398" s="19" t="s">
        <v>1158</v>
      </c>
      <c r="T398" s="19" t="s">
        <v>1057</v>
      </c>
      <c r="U398" s="21"/>
      <c r="V398" s="19"/>
      <c r="W398" s="19" t="s">
        <v>74</v>
      </c>
      <c r="X398" s="19" t="s">
        <v>74</v>
      </c>
      <c r="Y398" s="19" t="s">
        <v>70</v>
      </c>
      <c r="Z398" s="19" t="s">
        <v>68</v>
      </c>
      <c r="AA398" s="4"/>
      <c r="AB398" s="4"/>
      <c r="AC398" s="4"/>
      <c r="AD398" s="19"/>
      <c r="AE398" s="19"/>
      <c r="AF398" s="19"/>
      <c r="AG398" s="19"/>
      <c r="AH398" s="19"/>
      <c r="AI398" s="19"/>
      <c r="AJ398" s="19"/>
      <c r="AK398" s="19"/>
      <c r="AL398" s="19"/>
      <c r="AM398" s="19"/>
      <c r="AN398" s="19"/>
      <c r="AO398" s="19"/>
      <c r="AP398" s="19"/>
      <c r="AQ398" s="19"/>
      <c r="AR398" s="19"/>
      <c r="AS398" s="27"/>
    </row>
    <row r="399" spans="1:45">
      <c r="A399" s="19">
        <f t="shared" si="6"/>
        <v>398</v>
      </c>
      <c r="B399" s="20">
        <v>45709</v>
      </c>
      <c r="C399" s="19" t="s">
        <v>1101</v>
      </c>
      <c r="D399" s="19" t="s">
        <v>1026</v>
      </c>
      <c r="E399" s="19">
        <v>20250721</v>
      </c>
      <c r="F399" s="19" t="s">
        <v>2668</v>
      </c>
      <c r="G399" s="19">
        <v>9545914957</v>
      </c>
      <c r="H399" s="19" t="s">
        <v>2669</v>
      </c>
      <c r="I399" s="19" t="s">
        <v>123</v>
      </c>
      <c r="J399" s="19" t="s">
        <v>76</v>
      </c>
      <c r="K399" s="19" t="s">
        <v>569</v>
      </c>
      <c r="L399" s="19">
        <v>1.5</v>
      </c>
      <c r="M399" s="19" t="s">
        <v>2670</v>
      </c>
      <c r="N399" s="19">
        <v>3.8</v>
      </c>
      <c r="O399" s="19">
        <v>0</v>
      </c>
      <c r="P399" s="19">
        <v>6</v>
      </c>
      <c r="Q399" s="19" t="s">
        <v>1170</v>
      </c>
      <c r="R399" s="19" t="s">
        <v>72</v>
      </c>
      <c r="S399" s="19" t="s">
        <v>1139</v>
      </c>
      <c r="T399" s="19" t="s">
        <v>1057</v>
      </c>
      <c r="U399" s="21"/>
      <c r="V399" s="19"/>
      <c r="W399" s="19" t="s">
        <v>74</v>
      </c>
      <c r="X399" s="19" t="s">
        <v>74</v>
      </c>
      <c r="Y399" s="19" t="s">
        <v>70</v>
      </c>
      <c r="Z399" s="19" t="s">
        <v>68</v>
      </c>
      <c r="AA399" s="4"/>
      <c r="AB399" s="4"/>
      <c r="AC399" s="4"/>
      <c r="AD399" s="19"/>
      <c r="AE399" s="19"/>
      <c r="AF399" s="19"/>
      <c r="AG399" s="19"/>
      <c r="AH399" s="19"/>
      <c r="AI399" s="19"/>
      <c r="AJ399" s="19"/>
      <c r="AK399" s="19"/>
      <c r="AL399" s="19"/>
      <c r="AM399" s="19"/>
      <c r="AN399" s="19"/>
      <c r="AO399" s="19"/>
      <c r="AP399" s="19"/>
      <c r="AQ399" s="19"/>
      <c r="AR399" s="19"/>
      <c r="AS399" s="27"/>
    </row>
    <row r="400" spans="1:45">
      <c r="A400" s="19">
        <f t="shared" si="6"/>
        <v>399</v>
      </c>
      <c r="B400" s="20">
        <v>45709</v>
      </c>
      <c r="C400" s="19" t="s">
        <v>1101</v>
      </c>
      <c r="D400" s="19" t="s">
        <v>1699</v>
      </c>
      <c r="E400" s="19">
        <v>20251975</v>
      </c>
      <c r="F400" s="19" t="s">
        <v>2671</v>
      </c>
      <c r="G400" s="19">
        <v>8867737881</v>
      </c>
      <c r="H400" s="19" t="s">
        <v>2672</v>
      </c>
      <c r="I400" s="19" t="s">
        <v>123</v>
      </c>
      <c r="J400" s="19" t="s">
        <v>2223</v>
      </c>
      <c r="K400" s="19" t="s">
        <v>2224</v>
      </c>
      <c r="L400" s="19" t="s">
        <v>1673</v>
      </c>
      <c r="M400" s="19" t="s">
        <v>1355</v>
      </c>
      <c r="N400" s="19" t="s">
        <v>1079</v>
      </c>
      <c r="O400" s="19" t="s">
        <v>1057</v>
      </c>
      <c r="P400" s="19" t="s">
        <v>1540</v>
      </c>
      <c r="Q400" s="19" t="s">
        <v>2673</v>
      </c>
      <c r="R400" s="19" t="s">
        <v>72</v>
      </c>
      <c r="S400" s="19" t="s">
        <v>2674</v>
      </c>
      <c r="T400" s="19" t="s">
        <v>1057</v>
      </c>
      <c r="U400" s="21"/>
      <c r="V400" s="19"/>
      <c r="W400" s="19" t="s">
        <v>245</v>
      </c>
      <c r="X400" s="19" t="s">
        <v>245</v>
      </c>
      <c r="Y400" s="19"/>
      <c r="Z400" s="19" t="s">
        <v>68</v>
      </c>
      <c r="AA400" s="4"/>
      <c r="AB400" s="4"/>
      <c r="AC400" s="4"/>
      <c r="AD400" s="19"/>
      <c r="AE400" s="19"/>
      <c r="AF400" s="19"/>
      <c r="AG400" s="19"/>
      <c r="AH400" s="19"/>
      <c r="AI400" s="19"/>
      <c r="AJ400" s="19"/>
      <c r="AK400" s="19"/>
      <c r="AL400" s="19"/>
      <c r="AM400" s="19"/>
      <c r="AN400" s="19"/>
      <c r="AO400" s="19"/>
      <c r="AP400" s="19"/>
      <c r="AQ400" s="19"/>
      <c r="AR400" s="19"/>
      <c r="AS400" s="27"/>
    </row>
    <row r="401" spans="1:45">
      <c r="A401" s="19">
        <f t="shared" si="6"/>
        <v>400</v>
      </c>
      <c r="B401" s="20">
        <v>45709</v>
      </c>
      <c r="C401" s="19" t="s">
        <v>1101</v>
      </c>
      <c r="D401" s="19" t="s">
        <v>1432</v>
      </c>
      <c r="E401" s="19">
        <v>20251975</v>
      </c>
      <c r="F401" s="19" t="s">
        <v>2675</v>
      </c>
      <c r="G401" s="19">
        <v>999918165</v>
      </c>
      <c r="H401" s="19" t="s">
        <v>2676</v>
      </c>
      <c r="I401" s="19" t="s">
        <v>123</v>
      </c>
      <c r="J401" s="19" t="s">
        <v>2223</v>
      </c>
      <c r="K401" s="19" t="s">
        <v>2224</v>
      </c>
      <c r="L401" s="19" t="s">
        <v>2404</v>
      </c>
      <c r="M401" s="19" t="s">
        <v>2677</v>
      </c>
      <c r="N401" s="19" t="s">
        <v>2678</v>
      </c>
      <c r="O401" s="19" t="s">
        <v>1057</v>
      </c>
      <c r="P401" s="19" t="s">
        <v>1375</v>
      </c>
      <c r="Q401" s="19" t="s">
        <v>1392</v>
      </c>
      <c r="R401" s="19" t="s">
        <v>72</v>
      </c>
      <c r="S401" s="19" t="s">
        <v>2679</v>
      </c>
      <c r="T401" s="19" t="s">
        <v>1057</v>
      </c>
      <c r="U401" s="21"/>
      <c r="V401" s="19"/>
      <c r="W401" s="19" t="s">
        <v>245</v>
      </c>
      <c r="X401" s="19" t="s">
        <v>245</v>
      </c>
      <c r="Y401" s="19"/>
      <c r="Z401" s="19" t="s">
        <v>68</v>
      </c>
      <c r="AA401" s="4"/>
      <c r="AB401" s="4"/>
      <c r="AC401" s="4"/>
      <c r="AD401" s="19"/>
      <c r="AE401" s="19"/>
      <c r="AF401" s="19"/>
      <c r="AG401" s="19"/>
      <c r="AH401" s="19"/>
      <c r="AI401" s="19"/>
      <c r="AJ401" s="19"/>
      <c r="AK401" s="19"/>
      <c r="AL401" s="19"/>
      <c r="AM401" s="19"/>
      <c r="AN401" s="19"/>
      <c r="AO401" s="19"/>
      <c r="AP401" s="19"/>
      <c r="AQ401" s="19"/>
      <c r="AR401" s="19"/>
      <c r="AS401" s="27"/>
    </row>
    <row r="402" spans="1:45">
      <c r="A402" s="19">
        <f t="shared" si="6"/>
        <v>401</v>
      </c>
      <c r="B402" s="20">
        <v>45709</v>
      </c>
      <c r="C402" s="19" t="s">
        <v>1101</v>
      </c>
      <c r="D402" s="19" t="s">
        <v>1216</v>
      </c>
      <c r="E402" s="19">
        <v>20251975</v>
      </c>
      <c r="F402" s="19" t="s">
        <v>2680</v>
      </c>
      <c r="G402" s="19">
        <v>8080709733</v>
      </c>
      <c r="H402" s="19" t="s">
        <v>2681</v>
      </c>
      <c r="I402" s="19" t="s">
        <v>86</v>
      </c>
      <c r="J402" s="19" t="s">
        <v>2223</v>
      </c>
      <c r="K402" s="19" t="s">
        <v>2224</v>
      </c>
      <c r="L402" s="19" t="s">
        <v>2682</v>
      </c>
      <c r="M402" s="19" t="s">
        <v>2683</v>
      </c>
      <c r="N402" s="19" t="s">
        <v>1057</v>
      </c>
      <c r="O402" s="19" t="s">
        <v>1057</v>
      </c>
      <c r="P402" s="19" t="s">
        <v>1057</v>
      </c>
      <c r="Q402" s="19" t="s">
        <v>72</v>
      </c>
      <c r="R402" s="19" t="s">
        <v>72</v>
      </c>
      <c r="S402" s="19" t="s">
        <v>1057</v>
      </c>
      <c r="T402" s="19" t="s">
        <v>1057</v>
      </c>
      <c r="U402" s="21"/>
      <c r="V402" s="19"/>
      <c r="W402" s="19" t="s">
        <v>245</v>
      </c>
      <c r="X402" s="19" t="s">
        <v>245</v>
      </c>
      <c r="Y402" s="19"/>
      <c r="Z402" s="19" t="s">
        <v>68</v>
      </c>
      <c r="AA402" s="4"/>
      <c r="AB402" s="4"/>
      <c r="AC402" s="4"/>
      <c r="AD402" s="19"/>
      <c r="AE402" s="19"/>
      <c r="AF402" s="19"/>
      <c r="AG402" s="19"/>
      <c r="AH402" s="19"/>
      <c r="AI402" s="19"/>
      <c r="AJ402" s="19"/>
      <c r="AK402" s="19"/>
      <c r="AL402" s="19"/>
      <c r="AM402" s="19"/>
      <c r="AN402" s="19"/>
      <c r="AO402" s="19"/>
      <c r="AP402" s="19"/>
      <c r="AQ402" s="19"/>
      <c r="AR402" s="19"/>
      <c r="AS402" s="27"/>
    </row>
    <row r="403" spans="1:45">
      <c r="A403" s="19">
        <f t="shared" si="6"/>
        <v>402</v>
      </c>
      <c r="B403" s="20">
        <v>45714</v>
      </c>
      <c r="C403" s="19" t="s">
        <v>1101</v>
      </c>
      <c r="D403" s="19" t="s">
        <v>1216</v>
      </c>
      <c r="E403" s="19">
        <v>20242803</v>
      </c>
      <c r="F403" s="19" t="s">
        <v>2684</v>
      </c>
      <c r="G403" s="19">
        <v>8360253050</v>
      </c>
      <c r="H403" s="19" t="s">
        <v>2685</v>
      </c>
      <c r="I403" s="19" t="s">
        <v>86</v>
      </c>
      <c r="J403" s="19" t="s">
        <v>109</v>
      </c>
      <c r="K403" s="19" t="s">
        <v>1105</v>
      </c>
      <c r="L403" s="19">
        <v>4.7</v>
      </c>
      <c r="M403" s="19" t="s">
        <v>2686</v>
      </c>
      <c r="N403" s="19">
        <v>15</v>
      </c>
      <c r="O403" s="19" t="s">
        <v>1851</v>
      </c>
      <c r="P403" s="19">
        <v>20</v>
      </c>
      <c r="Q403" s="19" t="s">
        <v>2687</v>
      </c>
      <c r="R403" s="19" t="s">
        <v>72</v>
      </c>
      <c r="S403" s="19" t="s">
        <v>1139</v>
      </c>
      <c r="T403" s="19"/>
      <c r="U403" s="21">
        <v>45362</v>
      </c>
      <c r="V403" s="19"/>
      <c r="W403" s="19" t="s">
        <v>74</v>
      </c>
      <c r="X403" s="19" t="s">
        <v>74</v>
      </c>
      <c r="Y403" s="19" t="s">
        <v>70</v>
      </c>
      <c r="Z403" s="19" t="s">
        <v>68</v>
      </c>
      <c r="AA403" s="4">
        <v>45714</v>
      </c>
      <c r="AB403" s="4">
        <v>45714</v>
      </c>
      <c r="AC403" s="4">
        <v>45714</v>
      </c>
      <c r="AD403" s="19"/>
      <c r="AE403" s="19"/>
      <c r="AF403" s="19"/>
      <c r="AG403" s="19"/>
      <c r="AH403" s="19"/>
      <c r="AI403" s="19"/>
      <c r="AJ403" s="19"/>
      <c r="AK403" s="19"/>
      <c r="AL403" s="19"/>
      <c r="AM403" s="19"/>
      <c r="AN403" s="19"/>
      <c r="AO403" s="19"/>
      <c r="AP403" s="19"/>
      <c r="AQ403" s="19"/>
      <c r="AR403" s="19"/>
      <c r="AS403" s="27"/>
    </row>
    <row r="404" spans="1:45">
      <c r="A404" s="19">
        <f t="shared" si="6"/>
        <v>403</v>
      </c>
      <c r="B404" s="20">
        <v>45714</v>
      </c>
      <c r="C404" s="19" t="s">
        <v>1101</v>
      </c>
      <c r="D404" s="19" t="s">
        <v>1102</v>
      </c>
      <c r="E404" s="19">
        <v>20241431</v>
      </c>
      <c r="F404" s="19" t="s">
        <v>2688</v>
      </c>
      <c r="G404" s="19">
        <v>7218632952</v>
      </c>
      <c r="H404" s="19" t="s">
        <v>2689</v>
      </c>
      <c r="I404" s="19" t="s">
        <v>86</v>
      </c>
      <c r="J404" s="19" t="s">
        <v>604</v>
      </c>
      <c r="K404" s="19" t="s">
        <v>228</v>
      </c>
      <c r="L404" s="19" t="s">
        <v>2690</v>
      </c>
      <c r="M404" s="19" t="s">
        <v>2691</v>
      </c>
      <c r="N404" s="19" t="s">
        <v>1204</v>
      </c>
      <c r="O404" s="19">
        <v>0</v>
      </c>
      <c r="P404" s="19" t="s">
        <v>2692</v>
      </c>
      <c r="Q404" s="19" t="s">
        <v>72</v>
      </c>
      <c r="R404" s="19" t="s">
        <v>72</v>
      </c>
      <c r="S404" s="19" t="s">
        <v>2693</v>
      </c>
      <c r="T404" s="19" t="s">
        <v>1057</v>
      </c>
      <c r="U404" s="21">
        <v>45390</v>
      </c>
      <c r="V404" s="19"/>
      <c r="W404" s="19" t="s">
        <v>74</v>
      </c>
      <c r="X404" s="19" t="s">
        <v>2243</v>
      </c>
      <c r="Y404" s="19" t="s">
        <v>70</v>
      </c>
      <c r="Z404" s="19" t="s">
        <v>68</v>
      </c>
      <c r="AA404" s="4">
        <v>45714</v>
      </c>
      <c r="AB404" s="4">
        <v>45712</v>
      </c>
      <c r="AC404" s="4">
        <v>45712</v>
      </c>
      <c r="AD404" s="19"/>
      <c r="AE404" s="19"/>
      <c r="AF404" s="19"/>
      <c r="AG404" s="19"/>
      <c r="AH404" s="19"/>
      <c r="AI404" s="19"/>
      <c r="AJ404" s="19"/>
      <c r="AK404" s="19"/>
      <c r="AL404" s="19"/>
      <c r="AM404" s="19"/>
      <c r="AN404" s="19"/>
      <c r="AO404" s="19"/>
      <c r="AP404" s="19"/>
      <c r="AQ404" s="19"/>
      <c r="AR404" s="19"/>
      <c r="AS404" s="27"/>
    </row>
    <row r="405" spans="1:45">
      <c r="A405" s="19">
        <f t="shared" si="6"/>
        <v>404</v>
      </c>
      <c r="B405" s="20">
        <v>45714</v>
      </c>
      <c r="C405" s="19" t="s">
        <v>1101</v>
      </c>
      <c r="D405" s="19" t="s">
        <v>1102</v>
      </c>
      <c r="E405" s="19">
        <v>20241431</v>
      </c>
      <c r="F405" s="19" t="s">
        <v>2694</v>
      </c>
      <c r="G405" s="19">
        <v>8381080987</v>
      </c>
      <c r="H405" s="19" t="s">
        <v>2695</v>
      </c>
      <c r="I405" s="19" t="s">
        <v>123</v>
      </c>
      <c r="J405" s="19" t="s">
        <v>604</v>
      </c>
      <c r="K405" s="19" t="s">
        <v>228</v>
      </c>
      <c r="L405" s="19" t="s">
        <v>2696</v>
      </c>
      <c r="M405" s="19" t="s">
        <v>2697</v>
      </c>
      <c r="N405" s="19" t="s">
        <v>1776</v>
      </c>
      <c r="O405" s="19">
        <v>0</v>
      </c>
      <c r="P405" s="19" t="s">
        <v>1126</v>
      </c>
      <c r="Q405" s="19" t="s">
        <v>72</v>
      </c>
      <c r="R405" s="19" t="s">
        <v>72</v>
      </c>
      <c r="S405" s="19" t="s">
        <v>2023</v>
      </c>
      <c r="T405" s="19" t="s">
        <v>2698</v>
      </c>
      <c r="U405" s="21">
        <v>45628</v>
      </c>
      <c r="V405" s="19"/>
      <c r="W405" s="19" t="s">
        <v>74</v>
      </c>
      <c r="X405" s="19" t="s">
        <v>2243</v>
      </c>
      <c r="Y405" s="19" t="s">
        <v>70</v>
      </c>
      <c r="Z405" s="19" t="s">
        <v>68</v>
      </c>
      <c r="AA405" s="4">
        <v>45714</v>
      </c>
      <c r="AB405" s="4">
        <v>45712</v>
      </c>
      <c r="AC405" s="4">
        <v>45712</v>
      </c>
      <c r="AD405" s="19"/>
      <c r="AE405" s="19"/>
      <c r="AF405" s="19"/>
      <c r="AG405" s="19"/>
      <c r="AH405" s="19"/>
      <c r="AI405" s="19"/>
      <c r="AJ405" s="19"/>
      <c r="AK405" s="19"/>
      <c r="AL405" s="19"/>
      <c r="AM405" s="19"/>
      <c r="AN405" s="19"/>
      <c r="AO405" s="19"/>
      <c r="AP405" s="19"/>
      <c r="AQ405" s="19"/>
      <c r="AR405" s="19"/>
      <c r="AS405" s="27"/>
    </row>
    <row r="406" spans="1:45">
      <c r="A406" s="19">
        <f t="shared" si="6"/>
        <v>405</v>
      </c>
      <c r="B406" s="20">
        <v>45714</v>
      </c>
      <c r="C406" s="19" t="s">
        <v>1101</v>
      </c>
      <c r="D406" s="19" t="s">
        <v>1102</v>
      </c>
      <c r="E406" s="19">
        <v>20241431</v>
      </c>
      <c r="F406" s="19" t="s">
        <v>2699</v>
      </c>
      <c r="G406" s="19">
        <v>7987485491</v>
      </c>
      <c r="H406" s="19" t="s">
        <v>2700</v>
      </c>
      <c r="I406" s="19" t="s">
        <v>123</v>
      </c>
      <c r="J406" s="19" t="s">
        <v>604</v>
      </c>
      <c r="K406" s="19" t="s">
        <v>228</v>
      </c>
      <c r="L406" s="19" t="s">
        <v>1673</v>
      </c>
      <c r="M406" s="19" t="s">
        <v>1551</v>
      </c>
      <c r="N406" s="19" t="s">
        <v>2701</v>
      </c>
      <c r="O406" s="19">
        <v>0</v>
      </c>
      <c r="P406" s="19" t="s">
        <v>1090</v>
      </c>
      <c r="Q406" s="19" t="s">
        <v>1091</v>
      </c>
      <c r="R406" s="19" t="s">
        <v>72</v>
      </c>
      <c r="S406" s="19" t="s">
        <v>2702</v>
      </c>
      <c r="T406" s="19" t="s">
        <v>2703</v>
      </c>
      <c r="U406" s="21"/>
      <c r="V406" s="19"/>
      <c r="W406" s="19" t="s">
        <v>74</v>
      </c>
      <c r="X406" s="19" t="s">
        <v>2243</v>
      </c>
      <c r="Y406" s="19" t="s">
        <v>70</v>
      </c>
      <c r="Z406" s="19" t="s">
        <v>68</v>
      </c>
      <c r="AA406" s="4">
        <v>45714</v>
      </c>
      <c r="AB406" s="4">
        <v>45709</v>
      </c>
      <c r="AC406" s="4">
        <v>45709</v>
      </c>
      <c r="AD406" s="19"/>
      <c r="AE406" s="19"/>
      <c r="AF406" s="19"/>
      <c r="AG406" s="19"/>
      <c r="AH406" s="19"/>
      <c r="AI406" s="19"/>
      <c r="AJ406" s="19"/>
      <c r="AK406" s="19"/>
      <c r="AL406" s="19"/>
      <c r="AM406" s="19"/>
      <c r="AN406" s="19"/>
      <c r="AO406" s="19"/>
      <c r="AP406" s="19"/>
      <c r="AQ406" s="19"/>
      <c r="AR406" s="19"/>
      <c r="AS406" s="27"/>
    </row>
    <row r="407" spans="1:45">
      <c r="A407" s="19">
        <f t="shared" si="6"/>
        <v>406</v>
      </c>
      <c r="B407" s="20">
        <v>45714</v>
      </c>
      <c r="C407" s="19" t="s">
        <v>1101</v>
      </c>
      <c r="D407" s="19" t="s">
        <v>1102</v>
      </c>
      <c r="E407" s="19">
        <v>20241431</v>
      </c>
      <c r="F407" s="19" t="s">
        <v>2704</v>
      </c>
      <c r="G407" s="19">
        <v>8888004463</v>
      </c>
      <c r="H407" s="19" t="s">
        <v>2705</v>
      </c>
      <c r="I407" s="19" t="s">
        <v>86</v>
      </c>
      <c r="J407" s="19" t="s">
        <v>604</v>
      </c>
      <c r="K407" s="19" t="s">
        <v>228</v>
      </c>
      <c r="L407" s="19" t="s">
        <v>1673</v>
      </c>
      <c r="M407" s="19" t="s">
        <v>2706</v>
      </c>
      <c r="N407" s="19" t="s">
        <v>2707</v>
      </c>
      <c r="O407" s="19">
        <v>0</v>
      </c>
      <c r="P407" s="19" t="s">
        <v>1090</v>
      </c>
      <c r="Q407" s="19" t="s">
        <v>72</v>
      </c>
      <c r="R407" s="19" t="s">
        <v>72</v>
      </c>
      <c r="S407" s="19" t="s">
        <v>1405</v>
      </c>
      <c r="T407" s="19" t="s">
        <v>2708</v>
      </c>
      <c r="U407" s="21"/>
      <c r="V407" s="19"/>
      <c r="W407" s="19" t="s">
        <v>74</v>
      </c>
      <c r="X407" s="19" t="s">
        <v>2243</v>
      </c>
      <c r="Y407" s="19" t="s">
        <v>70</v>
      </c>
      <c r="Z407" s="19" t="s">
        <v>68</v>
      </c>
      <c r="AA407" s="4">
        <v>45714</v>
      </c>
      <c r="AB407" s="4">
        <v>45708</v>
      </c>
      <c r="AC407" s="4">
        <v>45708</v>
      </c>
      <c r="AD407" s="19"/>
      <c r="AE407" s="19"/>
      <c r="AF407" s="19"/>
      <c r="AG407" s="19"/>
      <c r="AH407" s="19"/>
      <c r="AI407" s="19"/>
      <c r="AJ407" s="19"/>
      <c r="AK407" s="19"/>
      <c r="AL407" s="19"/>
      <c r="AM407" s="19"/>
      <c r="AN407" s="19"/>
      <c r="AO407" s="19"/>
      <c r="AP407" s="19"/>
      <c r="AQ407" s="19"/>
      <c r="AR407" s="19"/>
      <c r="AS407" s="27"/>
    </row>
    <row r="408" spans="1:45">
      <c r="A408" s="19">
        <f t="shared" si="6"/>
        <v>407</v>
      </c>
      <c r="B408" s="20">
        <v>45714</v>
      </c>
      <c r="C408" s="19" t="s">
        <v>1101</v>
      </c>
      <c r="D408" s="19" t="s">
        <v>1102</v>
      </c>
      <c r="E408" s="19">
        <v>20241431</v>
      </c>
      <c r="F408" s="19" t="s">
        <v>2709</v>
      </c>
      <c r="G408" s="19">
        <v>9852997940</v>
      </c>
      <c r="H408" s="19" t="s">
        <v>2710</v>
      </c>
      <c r="I408" s="19" t="s">
        <v>123</v>
      </c>
      <c r="J408" s="19" t="s">
        <v>604</v>
      </c>
      <c r="K408" s="19" t="s">
        <v>228</v>
      </c>
      <c r="L408" s="19">
        <v>4.2</v>
      </c>
      <c r="M408" s="19" t="s">
        <v>2338</v>
      </c>
      <c r="N408" s="19">
        <v>7.1</v>
      </c>
      <c r="O408" s="19" t="s">
        <v>2711</v>
      </c>
      <c r="P408" s="19" t="s">
        <v>2712</v>
      </c>
      <c r="Q408" s="19" t="s">
        <v>1276</v>
      </c>
      <c r="R408" s="19" t="s">
        <v>72</v>
      </c>
      <c r="S408" s="19" t="s">
        <v>2713</v>
      </c>
      <c r="T408" s="19" t="s">
        <v>2714</v>
      </c>
      <c r="U408" s="21"/>
      <c r="V408" s="19"/>
      <c r="W408" s="19" t="s">
        <v>74</v>
      </c>
      <c r="X408" s="19" t="s">
        <v>74</v>
      </c>
      <c r="Y408" s="19" t="s">
        <v>70</v>
      </c>
      <c r="Z408" s="19" t="s">
        <v>68</v>
      </c>
      <c r="AA408" s="4">
        <v>45714</v>
      </c>
      <c r="AB408" s="4">
        <v>45708</v>
      </c>
      <c r="AC408" s="4">
        <v>45708</v>
      </c>
      <c r="AD408" s="19"/>
      <c r="AE408" s="19"/>
      <c r="AF408" s="19"/>
      <c r="AG408" s="19"/>
      <c r="AH408" s="19"/>
      <c r="AI408" s="19"/>
      <c r="AJ408" s="19"/>
      <c r="AK408" s="19"/>
      <c r="AL408" s="19"/>
      <c r="AM408" s="19"/>
      <c r="AN408" s="19"/>
      <c r="AO408" s="19"/>
      <c r="AP408" s="19"/>
      <c r="AQ408" s="19"/>
      <c r="AR408" s="19"/>
      <c r="AS408" s="27"/>
    </row>
    <row r="409" spans="1:45">
      <c r="A409" s="19">
        <f t="shared" si="6"/>
        <v>408</v>
      </c>
      <c r="B409" s="20">
        <v>45714</v>
      </c>
      <c r="C409" s="19" t="s">
        <v>1101</v>
      </c>
      <c r="D409" s="19" t="s">
        <v>1102</v>
      </c>
      <c r="E409" s="19">
        <v>20241431</v>
      </c>
      <c r="F409" s="19" t="s">
        <v>2715</v>
      </c>
      <c r="G409" s="19">
        <v>7249409151</v>
      </c>
      <c r="H409" s="19" t="s">
        <v>2716</v>
      </c>
      <c r="I409" s="19" t="s">
        <v>123</v>
      </c>
      <c r="J409" s="19" t="s">
        <v>604</v>
      </c>
      <c r="K409" s="19" t="s">
        <v>228</v>
      </c>
      <c r="L409" s="19">
        <v>5.7</v>
      </c>
      <c r="M409" s="19" t="s">
        <v>2717</v>
      </c>
      <c r="N409" s="19">
        <v>10</v>
      </c>
      <c r="O409" s="19">
        <v>0</v>
      </c>
      <c r="P409" s="19" t="s">
        <v>2718</v>
      </c>
      <c r="Q409" s="19" t="s">
        <v>1556</v>
      </c>
      <c r="R409" s="19" t="s">
        <v>72</v>
      </c>
      <c r="S409" s="19" t="s">
        <v>1121</v>
      </c>
      <c r="T409" s="19"/>
      <c r="U409" s="21"/>
      <c r="V409" s="19"/>
      <c r="W409" s="19" t="s">
        <v>74</v>
      </c>
      <c r="X409" s="19" t="s">
        <v>74</v>
      </c>
      <c r="Y409" s="19" t="s">
        <v>70</v>
      </c>
      <c r="Z409" s="19" t="s">
        <v>68</v>
      </c>
      <c r="AA409" s="4">
        <v>45714</v>
      </c>
      <c r="AB409" s="4">
        <v>45709</v>
      </c>
      <c r="AC409" s="4">
        <v>45709</v>
      </c>
      <c r="AD409" s="19"/>
      <c r="AE409" s="19"/>
      <c r="AF409" s="19"/>
      <c r="AG409" s="19"/>
      <c r="AH409" s="19"/>
      <c r="AI409" s="19"/>
      <c r="AJ409" s="19"/>
      <c r="AK409" s="19"/>
      <c r="AL409" s="19"/>
      <c r="AM409" s="19"/>
      <c r="AN409" s="19"/>
      <c r="AO409" s="19"/>
      <c r="AP409" s="19"/>
      <c r="AQ409" s="19"/>
      <c r="AR409" s="19"/>
      <c r="AS409" s="27"/>
    </row>
    <row r="410" spans="1:45">
      <c r="A410" s="19">
        <f t="shared" si="6"/>
        <v>409</v>
      </c>
      <c r="B410" s="20">
        <v>45714</v>
      </c>
      <c r="C410" s="19" t="s">
        <v>1101</v>
      </c>
      <c r="D410" s="19" t="s">
        <v>1102</v>
      </c>
      <c r="E410" s="19">
        <v>20241431</v>
      </c>
      <c r="F410" s="19" t="s">
        <v>2719</v>
      </c>
      <c r="G410" s="19">
        <v>8889337713</v>
      </c>
      <c r="H410" s="19" t="s">
        <v>2720</v>
      </c>
      <c r="I410" s="19" t="s">
        <v>86</v>
      </c>
      <c r="J410" s="19" t="s">
        <v>604</v>
      </c>
      <c r="K410" s="19" t="s">
        <v>228</v>
      </c>
      <c r="L410" s="19">
        <v>4</v>
      </c>
      <c r="M410" s="19" t="s">
        <v>1106</v>
      </c>
      <c r="N410" s="19">
        <v>6.5</v>
      </c>
      <c r="O410" s="19" t="s">
        <v>2721</v>
      </c>
      <c r="P410" s="19">
        <v>12</v>
      </c>
      <c r="Q410" s="19" t="s">
        <v>1282</v>
      </c>
      <c r="R410" s="19" t="s">
        <v>72</v>
      </c>
      <c r="S410" s="19" t="s">
        <v>1139</v>
      </c>
      <c r="T410" s="19" t="s">
        <v>2722</v>
      </c>
      <c r="U410" s="21"/>
      <c r="V410" s="19"/>
      <c r="W410" s="19" t="s">
        <v>74</v>
      </c>
      <c r="X410" s="19" t="s">
        <v>74</v>
      </c>
      <c r="Y410" s="19" t="s">
        <v>70</v>
      </c>
      <c r="Z410" s="19" t="s">
        <v>68</v>
      </c>
      <c r="AA410" s="4">
        <v>45714</v>
      </c>
      <c r="AB410" s="4">
        <v>45712</v>
      </c>
      <c r="AC410" s="4">
        <v>45712</v>
      </c>
      <c r="AD410" s="19"/>
      <c r="AE410" s="19"/>
      <c r="AF410" s="19"/>
      <c r="AG410" s="19"/>
      <c r="AH410" s="19"/>
      <c r="AI410" s="19"/>
      <c r="AJ410" s="19"/>
      <c r="AK410" s="19"/>
      <c r="AL410" s="19"/>
      <c r="AM410" s="19"/>
      <c r="AN410" s="19"/>
      <c r="AO410" s="19"/>
      <c r="AP410" s="19"/>
      <c r="AQ410" s="19"/>
      <c r="AR410" s="19"/>
      <c r="AS410" s="27"/>
    </row>
    <row r="411" spans="1:45">
      <c r="A411" s="19">
        <f t="shared" si="6"/>
        <v>410</v>
      </c>
      <c r="B411" s="20">
        <v>45714</v>
      </c>
      <c r="C411" s="19" t="s">
        <v>1101</v>
      </c>
      <c r="D411" s="19" t="s">
        <v>1102</v>
      </c>
      <c r="E411" s="19">
        <v>20241431</v>
      </c>
      <c r="F411" s="19" t="s">
        <v>2723</v>
      </c>
      <c r="G411" s="19">
        <v>7024858886</v>
      </c>
      <c r="H411" s="19" t="s">
        <v>2724</v>
      </c>
      <c r="I411" s="19" t="s">
        <v>86</v>
      </c>
      <c r="J411" s="19" t="s">
        <v>604</v>
      </c>
      <c r="K411" s="19" t="s">
        <v>228</v>
      </c>
      <c r="L411" s="19">
        <v>6</v>
      </c>
      <c r="M411" s="19" t="s">
        <v>1551</v>
      </c>
      <c r="N411" s="19">
        <v>8</v>
      </c>
      <c r="O411" s="19">
        <v>0</v>
      </c>
      <c r="P411" s="19">
        <v>13</v>
      </c>
      <c r="Q411" s="19" t="s">
        <v>2725</v>
      </c>
      <c r="R411" s="19" t="s">
        <v>72</v>
      </c>
      <c r="S411" s="19" t="s">
        <v>2726</v>
      </c>
      <c r="T411" s="19"/>
      <c r="U411" s="21"/>
      <c r="V411" s="19"/>
      <c r="W411" s="19" t="s">
        <v>74</v>
      </c>
      <c r="X411" s="19" t="s">
        <v>74</v>
      </c>
      <c r="Y411" s="19" t="s">
        <v>70</v>
      </c>
      <c r="Z411" s="19" t="s">
        <v>68</v>
      </c>
      <c r="AA411" s="4">
        <v>45714</v>
      </c>
      <c r="AB411" s="4">
        <v>45713</v>
      </c>
      <c r="AC411" s="4">
        <v>45713</v>
      </c>
      <c r="AD411" s="19"/>
      <c r="AE411" s="19"/>
      <c r="AF411" s="19"/>
      <c r="AG411" s="19"/>
      <c r="AH411" s="19"/>
      <c r="AI411" s="19"/>
      <c r="AJ411" s="19"/>
      <c r="AK411" s="19"/>
      <c r="AL411" s="19"/>
      <c r="AM411" s="19"/>
      <c r="AN411" s="19"/>
      <c r="AO411" s="19"/>
      <c r="AP411" s="19"/>
      <c r="AQ411" s="19"/>
      <c r="AR411" s="19"/>
      <c r="AS411" s="27"/>
    </row>
    <row r="412" spans="1:45">
      <c r="A412" s="19">
        <f t="shared" si="6"/>
        <v>411</v>
      </c>
      <c r="B412" s="20">
        <v>45714</v>
      </c>
      <c r="C412" s="19" t="s">
        <v>1101</v>
      </c>
      <c r="D412" s="19" t="s">
        <v>1102</v>
      </c>
      <c r="E412" s="19">
        <v>20241431</v>
      </c>
      <c r="F412" s="19" t="s">
        <v>2727</v>
      </c>
      <c r="G412" s="19">
        <v>9028526886</v>
      </c>
      <c r="H412" s="19" t="s">
        <v>2728</v>
      </c>
      <c r="I412" s="19" t="s">
        <v>123</v>
      </c>
      <c r="J412" s="19" t="s">
        <v>604</v>
      </c>
      <c r="K412" s="19" t="s">
        <v>228</v>
      </c>
      <c r="L412" s="19">
        <v>4.3</v>
      </c>
      <c r="M412" s="19" t="s">
        <v>2729</v>
      </c>
      <c r="N412" s="19">
        <v>11</v>
      </c>
      <c r="O412" s="19">
        <v>0</v>
      </c>
      <c r="P412" s="19">
        <v>17</v>
      </c>
      <c r="Q412" s="19" t="s">
        <v>1312</v>
      </c>
      <c r="R412" s="19" t="s">
        <v>72</v>
      </c>
      <c r="S412" s="19" t="s">
        <v>2730</v>
      </c>
      <c r="T412" s="19" t="s">
        <v>1691</v>
      </c>
      <c r="U412" s="21"/>
      <c r="V412" s="19"/>
      <c r="W412" s="19" t="s">
        <v>74</v>
      </c>
      <c r="X412" s="19" t="s">
        <v>74</v>
      </c>
      <c r="Y412" s="19" t="s">
        <v>70</v>
      </c>
      <c r="Z412" s="19" t="s">
        <v>68</v>
      </c>
      <c r="AA412" s="4">
        <v>45714</v>
      </c>
      <c r="AB412" s="4">
        <v>45711</v>
      </c>
      <c r="AC412" s="4">
        <v>45711</v>
      </c>
      <c r="AD412" s="19"/>
      <c r="AE412" s="19"/>
      <c r="AF412" s="19"/>
      <c r="AG412" s="19"/>
      <c r="AH412" s="19"/>
      <c r="AI412" s="19"/>
      <c r="AJ412" s="19"/>
      <c r="AK412" s="19"/>
      <c r="AL412" s="19"/>
      <c r="AM412" s="19"/>
      <c r="AN412" s="19"/>
      <c r="AO412" s="19"/>
      <c r="AP412" s="19"/>
      <c r="AQ412" s="19"/>
      <c r="AR412" s="19"/>
      <c r="AS412" s="27"/>
    </row>
    <row r="413" spans="1:45">
      <c r="A413" s="19">
        <f t="shared" si="6"/>
        <v>412</v>
      </c>
      <c r="B413" s="20">
        <v>45715</v>
      </c>
      <c r="C413" s="19" t="s">
        <v>1101</v>
      </c>
      <c r="D413" s="19" t="s">
        <v>1216</v>
      </c>
      <c r="E413" s="19">
        <v>20243793</v>
      </c>
      <c r="F413" s="19" t="s">
        <v>2731</v>
      </c>
      <c r="G413" s="19">
        <v>8329790672</v>
      </c>
      <c r="H413" s="19" t="s">
        <v>2732</v>
      </c>
      <c r="I413" s="19" t="s">
        <v>123</v>
      </c>
      <c r="J413" s="19" t="s">
        <v>1153</v>
      </c>
      <c r="K413" s="19" t="s">
        <v>963</v>
      </c>
      <c r="L413" s="19" t="s">
        <v>1328</v>
      </c>
      <c r="M413" s="19"/>
      <c r="N413" s="19"/>
      <c r="O413" s="19"/>
      <c r="P413" s="19"/>
      <c r="Q413" s="19"/>
      <c r="R413" s="19"/>
      <c r="S413" s="19"/>
      <c r="T413" s="19"/>
      <c r="U413" s="21"/>
      <c r="V413" s="19"/>
      <c r="W413" s="19" t="s">
        <v>245</v>
      </c>
      <c r="X413" s="19" t="s">
        <v>2243</v>
      </c>
      <c r="Y413" s="19"/>
      <c r="Z413" s="19" t="s">
        <v>68</v>
      </c>
      <c r="AA413" s="4"/>
      <c r="AB413" s="4"/>
      <c r="AC413" s="4"/>
      <c r="AD413" s="19"/>
      <c r="AE413" s="19"/>
      <c r="AF413" s="19"/>
      <c r="AG413" s="19"/>
      <c r="AH413" s="19"/>
      <c r="AI413" s="19"/>
      <c r="AJ413" s="19"/>
      <c r="AK413" s="19"/>
      <c r="AL413" s="19"/>
      <c r="AM413" s="19"/>
      <c r="AN413" s="19"/>
      <c r="AO413" s="19"/>
      <c r="AP413" s="19"/>
      <c r="AQ413" s="19"/>
      <c r="AR413" s="19"/>
      <c r="AS413" s="27"/>
    </row>
    <row r="414" spans="1:45">
      <c r="A414" s="19">
        <f t="shared" si="6"/>
        <v>413</v>
      </c>
      <c r="B414" s="20">
        <v>45715</v>
      </c>
      <c r="C414" s="19" t="s">
        <v>1101</v>
      </c>
      <c r="D414" s="19" t="s">
        <v>1102</v>
      </c>
      <c r="E414" s="19">
        <v>20243793</v>
      </c>
      <c r="F414" s="19" t="s">
        <v>2733</v>
      </c>
      <c r="G414" s="19">
        <v>7405763221</v>
      </c>
      <c r="H414" s="19" t="s">
        <v>2734</v>
      </c>
      <c r="I414" s="19" t="s">
        <v>123</v>
      </c>
      <c r="J414" s="19" t="s">
        <v>1153</v>
      </c>
      <c r="K414" s="19" t="s">
        <v>963</v>
      </c>
      <c r="L414" s="19" t="s">
        <v>1786</v>
      </c>
      <c r="M414" s="19" t="s">
        <v>2735</v>
      </c>
      <c r="N414" s="19" t="s">
        <v>1079</v>
      </c>
      <c r="O414" s="19">
        <v>0</v>
      </c>
      <c r="P414" s="19" t="s">
        <v>1126</v>
      </c>
      <c r="Q414" s="19" t="s">
        <v>2736</v>
      </c>
      <c r="R414" s="19" t="s">
        <v>72</v>
      </c>
      <c r="S414" s="19" t="s">
        <v>1139</v>
      </c>
      <c r="T414" s="19"/>
      <c r="U414" s="21"/>
      <c r="V414" s="19"/>
      <c r="W414" s="19" t="s">
        <v>245</v>
      </c>
      <c r="X414" s="19" t="s">
        <v>2243</v>
      </c>
      <c r="Y414" s="19"/>
      <c r="Z414" s="19" t="s">
        <v>68</v>
      </c>
      <c r="AA414" s="4"/>
      <c r="AB414" s="4">
        <v>45731</v>
      </c>
      <c r="AC414" s="4"/>
      <c r="AD414" s="19"/>
      <c r="AE414" s="19"/>
      <c r="AF414" s="19"/>
      <c r="AG414" s="19"/>
      <c r="AH414" s="19"/>
      <c r="AI414" s="19"/>
      <c r="AJ414" s="19"/>
      <c r="AK414" s="19"/>
      <c r="AL414" s="19"/>
      <c r="AM414" s="19"/>
      <c r="AN414" s="19"/>
      <c r="AO414" s="19"/>
      <c r="AP414" s="19"/>
      <c r="AQ414" s="19"/>
      <c r="AR414" s="19"/>
      <c r="AS414" s="27"/>
    </row>
    <row r="415" spans="1:45">
      <c r="A415" s="19">
        <f t="shared" si="6"/>
        <v>414</v>
      </c>
      <c r="B415" s="20">
        <v>45715</v>
      </c>
      <c r="C415" s="19" t="s">
        <v>1101</v>
      </c>
      <c r="D415" s="19" t="s">
        <v>1102</v>
      </c>
      <c r="E415" s="19">
        <v>20243793</v>
      </c>
      <c r="F415" s="19" t="s">
        <v>2737</v>
      </c>
      <c r="G415" s="19">
        <v>9096237408</v>
      </c>
      <c r="H415" s="19" t="s">
        <v>2738</v>
      </c>
      <c r="I415" s="19" t="s">
        <v>123</v>
      </c>
      <c r="J415" s="19" t="s">
        <v>1153</v>
      </c>
      <c r="K415" s="19" t="s">
        <v>963</v>
      </c>
      <c r="L415" s="19">
        <v>9.6</v>
      </c>
      <c r="M415" s="19"/>
      <c r="N415" s="19"/>
      <c r="O415" s="19"/>
      <c r="P415" s="19"/>
      <c r="Q415" s="19"/>
      <c r="R415" s="19"/>
      <c r="S415" s="19"/>
      <c r="T415" s="19"/>
      <c r="U415" s="21"/>
      <c r="V415" s="19"/>
      <c r="W415" s="19" t="s">
        <v>245</v>
      </c>
      <c r="X415" s="19" t="s">
        <v>2243</v>
      </c>
      <c r="Y415" s="19"/>
      <c r="Z415" s="19" t="s">
        <v>68</v>
      </c>
      <c r="AA415" s="4"/>
      <c r="AB415" s="4"/>
      <c r="AC415" s="4"/>
      <c r="AD415" s="19"/>
      <c r="AE415" s="19"/>
      <c r="AF415" s="19"/>
      <c r="AG415" s="19"/>
      <c r="AH415" s="19"/>
      <c r="AI415" s="19"/>
      <c r="AJ415" s="19"/>
      <c r="AK415" s="19"/>
      <c r="AL415" s="19"/>
      <c r="AM415" s="19"/>
      <c r="AN415" s="19"/>
      <c r="AO415" s="19"/>
      <c r="AP415" s="19"/>
      <c r="AQ415" s="19"/>
      <c r="AR415" s="19"/>
      <c r="AS415" s="27"/>
    </row>
    <row r="416" spans="1:45">
      <c r="A416" s="19">
        <f t="shared" si="6"/>
        <v>415</v>
      </c>
      <c r="B416" s="20">
        <v>45715</v>
      </c>
      <c r="C416" s="19" t="s">
        <v>1101</v>
      </c>
      <c r="D416" s="19" t="s">
        <v>1699</v>
      </c>
      <c r="E416" s="19">
        <v>20243793</v>
      </c>
      <c r="F416" s="19" t="s">
        <v>2739</v>
      </c>
      <c r="G416" s="19">
        <v>9023651641</v>
      </c>
      <c r="H416" s="19" t="s">
        <v>2740</v>
      </c>
      <c r="I416" s="19" t="s">
        <v>86</v>
      </c>
      <c r="J416" s="19" t="s">
        <v>1153</v>
      </c>
      <c r="K416" s="19" t="s">
        <v>963</v>
      </c>
      <c r="L416" s="19">
        <v>7</v>
      </c>
      <c r="M416" s="19" t="s">
        <v>2741</v>
      </c>
      <c r="N416" s="19" t="s">
        <v>1285</v>
      </c>
      <c r="O416" s="19">
        <v>0</v>
      </c>
      <c r="P416" s="19" t="s">
        <v>1084</v>
      </c>
      <c r="Q416" s="19" t="s">
        <v>72</v>
      </c>
      <c r="R416" s="19" t="s">
        <v>72</v>
      </c>
      <c r="S416" s="19" t="s">
        <v>1409</v>
      </c>
      <c r="T416" s="19"/>
      <c r="U416" s="21"/>
      <c r="V416" s="19"/>
      <c r="W416" s="19" t="s">
        <v>245</v>
      </c>
      <c r="X416" s="19" t="s">
        <v>2243</v>
      </c>
      <c r="Y416" s="19"/>
      <c r="Z416" s="19" t="s">
        <v>68</v>
      </c>
      <c r="AA416" s="4"/>
      <c r="AB416" s="4"/>
      <c r="AC416" s="4"/>
      <c r="AD416" s="19"/>
      <c r="AE416" s="19"/>
      <c r="AF416" s="19"/>
      <c r="AG416" s="19"/>
      <c r="AH416" s="19"/>
      <c r="AI416" s="19"/>
      <c r="AJ416" s="19"/>
      <c r="AK416" s="19"/>
      <c r="AL416" s="19"/>
      <c r="AM416" s="19"/>
      <c r="AN416" s="19"/>
      <c r="AO416" s="19"/>
      <c r="AP416" s="19"/>
      <c r="AQ416" s="19"/>
      <c r="AR416" s="19"/>
      <c r="AS416" s="27"/>
    </row>
    <row r="417" spans="1:45">
      <c r="A417" s="19">
        <f t="shared" si="6"/>
        <v>416</v>
      </c>
      <c r="B417" s="20">
        <v>45715</v>
      </c>
      <c r="C417" s="19" t="s">
        <v>1101</v>
      </c>
      <c r="D417" s="19" t="s">
        <v>1432</v>
      </c>
      <c r="E417" s="19">
        <v>20243793</v>
      </c>
      <c r="F417" s="19" t="s">
        <v>2742</v>
      </c>
      <c r="G417" s="19" t="s">
        <v>2743</v>
      </c>
      <c r="H417" s="19" t="s">
        <v>2744</v>
      </c>
      <c r="I417" s="19" t="s">
        <v>123</v>
      </c>
      <c r="J417" s="19" t="s">
        <v>1153</v>
      </c>
      <c r="K417" s="19" t="s">
        <v>963</v>
      </c>
      <c r="L417" s="19" t="s">
        <v>2745</v>
      </c>
      <c r="M417" s="19" t="s">
        <v>2746</v>
      </c>
      <c r="N417" s="19" t="s">
        <v>2747</v>
      </c>
      <c r="O417" s="19">
        <v>0</v>
      </c>
      <c r="P417" s="19" t="s">
        <v>1194</v>
      </c>
      <c r="Q417" s="19" t="s">
        <v>72</v>
      </c>
      <c r="R417" s="19" t="s">
        <v>72</v>
      </c>
      <c r="S417" s="19" t="s">
        <v>1686</v>
      </c>
      <c r="T417" s="19"/>
      <c r="U417" s="21"/>
      <c r="V417" s="19"/>
      <c r="W417" s="19" t="s">
        <v>245</v>
      </c>
      <c r="X417" s="19" t="s">
        <v>2243</v>
      </c>
      <c r="Y417" s="19"/>
      <c r="Z417" s="19" t="s">
        <v>68</v>
      </c>
      <c r="AA417" s="4"/>
      <c r="AB417" s="4"/>
      <c r="AC417" s="4"/>
      <c r="AD417" s="19"/>
      <c r="AE417" s="19"/>
      <c r="AF417" s="19"/>
      <c r="AG417" s="19"/>
      <c r="AH417" s="19"/>
      <c r="AI417" s="19"/>
      <c r="AJ417" s="19"/>
      <c r="AK417" s="19"/>
      <c r="AL417" s="19"/>
      <c r="AM417" s="19"/>
      <c r="AN417" s="19"/>
      <c r="AO417" s="19"/>
      <c r="AP417" s="19"/>
      <c r="AQ417" s="19"/>
      <c r="AR417" s="19"/>
      <c r="AS417" s="27"/>
    </row>
    <row r="418" spans="1:45">
      <c r="A418" s="19">
        <f t="shared" si="6"/>
        <v>417</v>
      </c>
      <c r="B418" s="20">
        <v>45715</v>
      </c>
      <c r="C418" s="19" t="s">
        <v>1101</v>
      </c>
      <c r="D418" s="19" t="s">
        <v>1026</v>
      </c>
      <c r="E418" s="19">
        <v>20243793</v>
      </c>
      <c r="F418" s="19" t="s">
        <v>2748</v>
      </c>
      <c r="G418" s="19">
        <v>7096591887</v>
      </c>
      <c r="H418" s="19" t="s">
        <v>2749</v>
      </c>
      <c r="I418" s="19" t="s">
        <v>123</v>
      </c>
      <c r="J418" s="19" t="s">
        <v>1153</v>
      </c>
      <c r="K418" s="19" t="s">
        <v>963</v>
      </c>
      <c r="L418" s="19" t="s">
        <v>1807</v>
      </c>
      <c r="M418" s="19" t="s">
        <v>2750</v>
      </c>
      <c r="N418" s="19" t="s">
        <v>1204</v>
      </c>
      <c r="O418" s="19">
        <v>0</v>
      </c>
      <c r="P418" s="19" t="s">
        <v>1191</v>
      </c>
      <c r="Q418" s="19" t="s">
        <v>2736</v>
      </c>
      <c r="R418" s="19" t="s">
        <v>72</v>
      </c>
      <c r="S418" s="19" t="s">
        <v>2751</v>
      </c>
      <c r="T418" s="19"/>
      <c r="U418" s="21"/>
      <c r="V418" s="19"/>
      <c r="W418" s="19" t="s">
        <v>245</v>
      </c>
      <c r="X418" s="19" t="s">
        <v>2243</v>
      </c>
      <c r="Y418" s="19"/>
      <c r="Z418" s="19" t="s">
        <v>68</v>
      </c>
      <c r="AA418" s="4"/>
      <c r="AB418" s="4"/>
      <c r="AC418" s="4"/>
      <c r="AD418" s="19"/>
      <c r="AE418" s="19"/>
      <c r="AF418" s="19"/>
      <c r="AG418" s="19"/>
      <c r="AH418" s="19"/>
      <c r="AI418" s="19"/>
      <c r="AJ418" s="19"/>
      <c r="AK418" s="19"/>
      <c r="AL418" s="19"/>
      <c r="AM418" s="19"/>
      <c r="AN418" s="19"/>
      <c r="AO418" s="19"/>
      <c r="AP418" s="19"/>
      <c r="AQ418" s="19"/>
      <c r="AR418" s="19"/>
      <c r="AS418" s="27"/>
    </row>
    <row r="419" spans="1:45">
      <c r="A419" s="19">
        <f t="shared" si="6"/>
        <v>418</v>
      </c>
      <c r="B419" s="20">
        <v>45715</v>
      </c>
      <c r="C419" s="19" t="s">
        <v>1101</v>
      </c>
      <c r="D419" s="19" t="s">
        <v>1026</v>
      </c>
      <c r="E419" s="19">
        <v>20243793</v>
      </c>
      <c r="F419" s="19" t="s">
        <v>2752</v>
      </c>
      <c r="G419" s="19">
        <v>9004503181</v>
      </c>
      <c r="H419" s="19" t="s">
        <v>2753</v>
      </c>
      <c r="I419" s="19" t="s">
        <v>123</v>
      </c>
      <c r="J419" s="19" t="s">
        <v>1153</v>
      </c>
      <c r="K419" s="19" t="s">
        <v>963</v>
      </c>
      <c r="L419" s="19" t="s">
        <v>2754</v>
      </c>
      <c r="M419" s="19" t="s">
        <v>2755</v>
      </c>
      <c r="N419" s="19" t="s">
        <v>2233</v>
      </c>
      <c r="O419" s="19">
        <v>0</v>
      </c>
      <c r="P419" s="19" t="s">
        <v>2756</v>
      </c>
      <c r="Q419" s="19" t="s">
        <v>72</v>
      </c>
      <c r="R419" s="19" t="s">
        <v>923</v>
      </c>
      <c r="S419" s="19" t="s">
        <v>1139</v>
      </c>
      <c r="T419" s="19"/>
      <c r="U419" s="21"/>
      <c r="V419" s="19"/>
      <c r="W419" s="19" t="s">
        <v>245</v>
      </c>
      <c r="X419" s="19" t="s">
        <v>2243</v>
      </c>
      <c r="Y419" s="19"/>
      <c r="Z419" s="19" t="s">
        <v>68</v>
      </c>
      <c r="AA419" s="4"/>
      <c r="AB419" s="4"/>
      <c r="AC419" s="4"/>
      <c r="AD419" s="19"/>
      <c r="AE419" s="19"/>
      <c r="AF419" s="19"/>
      <c r="AG419" s="19"/>
      <c r="AH419" s="19"/>
      <c r="AI419" s="19"/>
      <c r="AJ419" s="19"/>
      <c r="AK419" s="19"/>
      <c r="AL419" s="19"/>
      <c r="AM419" s="19"/>
      <c r="AN419" s="19"/>
      <c r="AO419" s="19"/>
      <c r="AP419" s="19"/>
      <c r="AQ419" s="19"/>
      <c r="AR419" s="19"/>
      <c r="AS419" s="27"/>
    </row>
    <row r="420" spans="1:45">
      <c r="A420" s="19">
        <f t="shared" si="6"/>
        <v>419</v>
      </c>
      <c r="B420" s="20">
        <v>45715</v>
      </c>
      <c r="C420" s="19" t="s">
        <v>1101</v>
      </c>
      <c r="D420" s="19" t="s">
        <v>1699</v>
      </c>
      <c r="E420" s="19">
        <v>20243793</v>
      </c>
      <c r="F420" s="19" t="s">
        <v>1999</v>
      </c>
      <c r="G420" s="19">
        <v>7989536989</v>
      </c>
      <c r="H420" s="19" t="s">
        <v>2000</v>
      </c>
      <c r="I420" s="19" t="s">
        <v>123</v>
      </c>
      <c r="J420" s="19" t="s">
        <v>1153</v>
      </c>
      <c r="K420" s="19" t="s">
        <v>963</v>
      </c>
      <c r="L420" s="19" t="s">
        <v>1731</v>
      </c>
      <c r="M420" s="19" t="s">
        <v>2001</v>
      </c>
      <c r="N420" s="19">
        <v>19</v>
      </c>
      <c r="O420" s="19" t="s">
        <v>1057</v>
      </c>
      <c r="P420" s="19">
        <v>26</v>
      </c>
      <c r="Q420" s="19" t="s">
        <v>714</v>
      </c>
      <c r="R420" s="19" t="s">
        <v>923</v>
      </c>
      <c r="S420" s="19" t="s">
        <v>1868</v>
      </c>
      <c r="T420" s="19" t="s">
        <v>1833</v>
      </c>
      <c r="U420" s="21"/>
      <c r="V420" s="19"/>
      <c r="W420" s="19" t="s">
        <v>245</v>
      </c>
      <c r="X420" s="19" t="s">
        <v>245</v>
      </c>
      <c r="Y420" s="19"/>
      <c r="Z420" s="19" t="s">
        <v>68</v>
      </c>
      <c r="AA420" s="4"/>
      <c r="AB420" s="4"/>
      <c r="AC420" s="4"/>
      <c r="AD420" s="19"/>
      <c r="AE420" s="19"/>
      <c r="AF420" s="19"/>
      <c r="AG420" s="19"/>
      <c r="AH420" s="19"/>
      <c r="AI420" s="19"/>
      <c r="AJ420" s="19"/>
      <c r="AK420" s="19"/>
      <c r="AL420" s="19"/>
      <c r="AM420" s="19"/>
      <c r="AN420" s="19"/>
      <c r="AO420" s="19"/>
      <c r="AP420" s="19"/>
      <c r="AQ420" s="19"/>
      <c r="AR420" s="19"/>
      <c r="AS420" s="27"/>
    </row>
    <row r="421" spans="1:45">
      <c r="A421" s="19">
        <f t="shared" si="6"/>
        <v>420</v>
      </c>
      <c r="B421" s="20">
        <v>45715</v>
      </c>
      <c r="C421" s="19" t="s">
        <v>1101</v>
      </c>
      <c r="D421" s="19" t="s">
        <v>1699</v>
      </c>
      <c r="E421" s="19">
        <v>20243793</v>
      </c>
      <c r="F421" s="19" t="s">
        <v>2002</v>
      </c>
      <c r="G421" s="19">
        <v>9028353200</v>
      </c>
      <c r="H421" s="19" t="s">
        <v>2003</v>
      </c>
      <c r="I421" s="19" t="s">
        <v>123</v>
      </c>
      <c r="J421" s="19" t="s">
        <v>1153</v>
      </c>
      <c r="K421" s="19" t="s">
        <v>963</v>
      </c>
      <c r="L421" s="19" t="s">
        <v>1786</v>
      </c>
      <c r="M421" s="19" t="s">
        <v>2004</v>
      </c>
      <c r="N421" s="19">
        <v>19</v>
      </c>
      <c r="O421" s="19" t="s">
        <v>1057</v>
      </c>
      <c r="P421" s="19">
        <v>26</v>
      </c>
      <c r="Q421" s="19" t="s">
        <v>923</v>
      </c>
      <c r="R421" s="19" t="s">
        <v>923</v>
      </c>
      <c r="S421" s="19" t="s">
        <v>1686</v>
      </c>
      <c r="T421" s="19"/>
      <c r="U421" s="21"/>
      <c r="V421" s="19"/>
      <c r="W421" s="19" t="s">
        <v>245</v>
      </c>
      <c r="X421" s="19" t="s">
        <v>245</v>
      </c>
      <c r="Y421" s="19"/>
      <c r="Z421" s="19" t="s">
        <v>68</v>
      </c>
      <c r="AA421" s="4"/>
      <c r="AB421" s="4"/>
      <c r="AC421" s="4"/>
      <c r="AD421" s="19"/>
      <c r="AE421" s="19"/>
      <c r="AF421" s="19"/>
      <c r="AG421" s="19"/>
      <c r="AH421" s="19"/>
      <c r="AI421" s="19"/>
      <c r="AJ421" s="19"/>
      <c r="AK421" s="19"/>
      <c r="AL421" s="19"/>
      <c r="AM421" s="19"/>
      <c r="AN421" s="19"/>
      <c r="AO421" s="19"/>
      <c r="AP421" s="19"/>
      <c r="AQ421" s="19"/>
      <c r="AR421" s="19"/>
      <c r="AS421" s="27"/>
    </row>
    <row r="422" spans="1:45">
      <c r="A422" s="19">
        <f t="shared" si="6"/>
        <v>421</v>
      </c>
      <c r="B422" s="20">
        <v>45717</v>
      </c>
      <c r="C422" s="19" t="s">
        <v>116</v>
      </c>
      <c r="D422" s="19" t="s">
        <v>116</v>
      </c>
      <c r="E422" s="19" t="s">
        <v>482</v>
      </c>
      <c r="F422" s="19" t="s">
        <v>633</v>
      </c>
      <c r="G422" s="19">
        <v>8237707010</v>
      </c>
      <c r="H422" s="19" t="s">
        <v>378</v>
      </c>
      <c r="I422" s="19" t="s">
        <v>123</v>
      </c>
      <c r="J422" s="19" t="s">
        <v>632</v>
      </c>
      <c r="K422" s="19" t="s">
        <v>368</v>
      </c>
      <c r="L422" s="19">
        <v>7</v>
      </c>
      <c r="M422" s="19" t="s">
        <v>1621</v>
      </c>
      <c r="N422" s="19">
        <v>450000</v>
      </c>
      <c r="O422" s="19"/>
      <c r="P422" s="19">
        <v>650000</v>
      </c>
      <c r="Q422" s="19" t="s">
        <v>72</v>
      </c>
      <c r="R422" s="19" t="s">
        <v>72</v>
      </c>
      <c r="S422" s="19" t="s">
        <v>1686</v>
      </c>
      <c r="T422" s="19" t="s">
        <v>116</v>
      </c>
      <c r="U422" s="21">
        <v>45637</v>
      </c>
      <c r="V422" s="19"/>
      <c r="W422" s="19" t="s">
        <v>74</v>
      </c>
      <c r="X422" s="19" t="s">
        <v>74</v>
      </c>
      <c r="Y422" s="19" t="s">
        <v>70</v>
      </c>
      <c r="Z422" s="19" t="s">
        <v>68</v>
      </c>
      <c r="AA422" s="4">
        <v>45621</v>
      </c>
      <c r="AB422" s="4">
        <v>45622</v>
      </c>
      <c r="AC422" s="4">
        <v>45622</v>
      </c>
      <c r="AD422" s="4">
        <v>45623</v>
      </c>
      <c r="AE422" s="4">
        <v>45623</v>
      </c>
      <c r="AF422" s="4">
        <v>45625</v>
      </c>
      <c r="AG422" s="4">
        <v>45625</v>
      </c>
      <c r="AH422" s="4">
        <v>45617</v>
      </c>
      <c r="AI422" s="4">
        <v>45625</v>
      </c>
      <c r="AJ422" s="4">
        <v>45625</v>
      </c>
      <c r="AK422" s="19" t="s">
        <v>72</v>
      </c>
      <c r="AL422" s="19">
        <v>650000</v>
      </c>
      <c r="AM422" s="4">
        <v>45625</v>
      </c>
      <c r="AN422" s="4">
        <v>45622</v>
      </c>
      <c r="AO422" s="19"/>
      <c r="AP422" s="4">
        <v>45625</v>
      </c>
      <c r="AQ422" s="4">
        <v>45625</v>
      </c>
      <c r="AR422" s="4">
        <v>45579</v>
      </c>
      <c r="AS422" s="4">
        <v>45642</v>
      </c>
    </row>
    <row r="423" spans="1:45">
      <c r="A423" s="19">
        <f t="shared" si="6"/>
        <v>422</v>
      </c>
      <c r="B423" s="20">
        <v>45717</v>
      </c>
      <c r="C423" s="19" t="s">
        <v>116</v>
      </c>
      <c r="D423" s="19" t="s">
        <v>116</v>
      </c>
      <c r="E423" s="19">
        <v>20242136</v>
      </c>
      <c r="F423" s="19" t="s">
        <v>2757</v>
      </c>
      <c r="G423" s="19" t="s">
        <v>2758</v>
      </c>
      <c r="H423" s="19" t="s">
        <v>365</v>
      </c>
      <c r="I423" s="19" t="s">
        <v>123</v>
      </c>
      <c r="J423" s="19" t="s">
        <v>360</v>
      </c>
      <c r="K423" s="19" t="s">
        <v>362</v>
      </c>
      <c r="L423" s="19">
        <v>10</v>
      </c>
      <c r="M423" s="19" t="s">
        <v>1214</v>
      </c>
      <c r="N423" s="19">
        <v>1680000</v>
      </c>
      <c r="O423" s="19">
        <v>0</v>
      </c>
      <c r="P423" s="19">
        <v>1680000</v>
      </c>
      <c r="Q423" s="19" t="s">
        <v>2022</v>
      </c>
      <c r="R423" s="19" t="s">
        <v>2022</v>
      </c>
      <c r="S423" s="19" t="s">
        <v>1139</v>
      </c>
      <c r="T423" s="19" t="s">
        <v>116</v>
      </c>
      <c r="U423" s="21">
        <v>45271</v>
      </c>
      <c r="V423" s="19"/>
      <c r="W423" s="19" t="s">
        <v>74</v>
      </c>
      <c r="X423" s="19" t="s">
        <v>74</v>
      </c>
      <c r="Y423" s="19" t="s">
        <v>70</v>
      </c>
      <c r="Z423" s="19" t="s">
        <v>68</v>
      </c>
      <c r="AA423" s="4">
        <v>45260</v>
      </c>
      <c r="AB423" s="4">
        <v>45264</v>
      </c>
      <c r="AC423" s="4">
        <v>45264</v>
      </c>
      <c r="AD423" s="4">
        <v>45266</v>
      </c>
      <c r="AE423" s="4">
        <v>45266</v>
      </c>
      <c r="AF423" s="4">
        <v>45268</v>
      </c>
      <c r="AG423" s="4">
        <v>45268</v>
      </c>
      <c r="AH423" s="4">
        <v>45597</v>
      </c>
      <c r="AI423" s="4">
        <v>45617</v>
      </c>
      <c r="AJ423" s="4">
        <v>45617</v>
      </c>
      <c r="AK423" s="19" t="s">
        <v>72</v>
      </c>
      <c r="AL423" s="19">
        <v>1680000</v>
      </c>
      <c r="AM423" s="4">
        <v>45617</v>
      </c>
      <c r="AN423" s="4">
        <v>45624</v>
      </c>
      <c r="AO423" s="19"/>
      <c r="AP423" s="4">
        <v>45625</v>
      </c>
      <c r="AQ423" s="4">
        <v>45625</v>
      </c>
      <c r="AR423" s="4">
        <v>45626</v>
      </c>
      <c r="AS423" s="4">
        <v>45628</v>
      </c>
    </row>
    <row r="424" spans="1:45">
      <c r="A424" s="19">
        <f t="shared" si="6"/>
        <v>423</v>
      </c>
      <c r="B424" s="20">
        <v>45717</v>
      </c>
      <c r="C424" s="19" t="s">
        <v>116</v>
      </c>
      <c r="D424" s="19" t="s">
        <v>116</v>
      </c>
      <c r="E424" s="19">
        <v>20244871</v>
      </c>
      <c r="F424" s="19" t="s">
        <v>387</v>
      </c>
      <c r="G424" s="19">
        <v>8169353813</v>
      </c>
      <c r="H424" s="19" t="s">
        <v>2759</v>
      </c>
      <c r="I424" s="19" t="s">
        <v>123</v>
      </c>
      <c r="J424" s="19" t="s">
        <v>383</v>
      </c>
      <c r="K424" s="19" t="s">
        <v>2760</v>
      </c>
      <c r="L424" s="19">
        <v>6.4</v>
      </c>
      <c r="M424" s="19" t="s">
        <v>2761</v>
      </c>
      <c r="N424" s="19">
        <v>1100000</v>
      </c>
      <c r="O424" s="19"/>
      <c r="P424" s="19">
        <v>1500000</v>
      </c>
      <c r="Q424" s="19" t="s">
        <v>72</v>
      </c>
      <c r="R424" s="19" t="s">
        <v>72</v>
      </c>
      <c r="S424" s="19" t="s">
        <v>1139</v>
      </c>
      <c r="T424" s="19" t="s">
        <v>116</v>
      </c>
      <c r="U424" s="21">
        <v>45348</v>
      </c>
      <c r="V424" s="19"/>
      <c r="W424" s="19" t="s">
        <v>74</v>
      </c>
      <c r="X424" s="19" t="s">
        <v>74</v>
      </c>
      <c r="Y424" s="19" t="s">
        <v>70</v>
      </c>
      <c r="Z424" s="19" t="s">
        <v>68</v>
      </c>
      <c r="AA424" s="4">
        <v>45337</v>
      </c>
      <c r="AB424" s="4">
        <v>45341</v>
      </c>
      <c r="AC424" s="4">
        <v>45341</v>
      </c>
      <c r="AD424" s="4">
        <v>45343</v>
      </c>
      <c r="AE424" s="4">
        <v>45343</v>
      </c>
      <c r="AF424" s="4">
        <v>45345</v>
      </c>
      <c r="AG424" s="4">
        <v>45625</v>
      </c>
      <c r="AH424" s="4">
        <v>45625</v>
      </c>
      <c r="AI424" s="4">
        <v>45625</v>
      </c>
      <c r="AJ424" s="4">
        <v>45625</v>
      </c>
      <c r="AK424" s="19" t="s">
        <v>72</v>
      </c>
      <c r="AL424" s="19">
        <v>1500000</v>
      </c>
      <c r="AM424" s="4">
        <v>45625</v>
      </c>
      <c r="AN424" s="4">
        <v>45622</v>
      </c>
      <c r="AO424" s="19"/>
      <c r="AP424" s="4">
        <v>45625</v>
      </c>
      <c r="AQ424" s="4">
        <v>45625</v>
      </c>
      <c r="AR424" s="4">
        <v>45579</v>
      </c>
      <c r="AS424" s="4">
        <v>45642</v>
      </c>
    </row>
    <row r="425" spans="1:45">
      <c r="A425" s="19">
        <f t="shared" si="6"/>
        <v>424</v>
      </c>
      <c r="B425" s="20">
        <v>45718</v>
      </c>
      <c r="C425" s="19" t="s">
        <v>1101</v>
      </c>
      <c r="D425" s="19" t="s">
        <v>1160</v>
      </c>
      <c r="E425" s="19">
        <v>20250717</v>
      </c>
      <c r="F425" s="19" t="s">
        <v>2762</v>
      </c>
      <c r="G425" s="19">
        <v>845205706</v>
      </c>
      <c r="H425" s="19" t="s">
        <v>2763</v>
      </c>
      <c r="I425" s="19" t="s">
        <v>86</v>
      </c>
      <c r="J425" s="19" t="s">
        <v>1228</v>
      </c>
      <c r="K425" s="19" t="s">
        <v>569</v>
      </c>
      <c r="L425" s="19">
        <v>8</v>
      </c>
      <c r="M425" s="19" t="s">
        <v>2764</v>
      </c>
      <c r="N425" s="19">
        <v>14</v>
      </c>
      <c r="O425" s="19">
        <v>0</v>
      </c>
      <c r="P425" s="19">
        <v>19</v>
      </c>
      <c r="Q425" s="19" t="s">
        <v>72</v>
      </c>
      <c r="R425" s="19" t="s">
        <v>72</v>
      </c>
      <c r="S425" s="19" t="s">
        <v>2023</v>
      </c>
      <c r="T425" s="19">
        <v>0</v>
      </c>
      <c r="U425" s="21"/>
      <c r="V425" s="19"/>
      <c r="W425" s="19" t="s">
        <v>74</v>
      </c>
      <c r="X425" s="19" t="s">
        <v>74</v>
      </c>
      <c r="Y425" s="19" t="s">
        <v>70</v>
      </c>
      <c r="Z425" s="19" t="s">
        <v>68</v>
      </c>
      <c r="AA425" s="4"/>
      <c r="AB425" s="4"/>
      <c r="AC425" s="4"/>
      <c r="AD425" s="19"/>
      <c r="AE425" s="19"/>
      <c r="AF425" s="19"/>
      <c r="AG425" s="19"/>
      <c r="AH425" s="19"/>
      <c r="AI425" s="19"/>
      <c r="AJ425" s="19"/>
      <c r="AK425" s="19"/>
      <c r="AL425" s="19"/>
      <c r="AM425" s="19"/>
      <c r="AN425" s="19"/>
      <c r="AO425" s="19"/>
      <c r="AP425" s="19"/>
      <c r="AQ425" s="19"/>
      <c r="AR425" s="19"/>
      <c r="AS425" s="27"/>
    </row>
    <row r="426" spans="1:45">
      <c r="A426" s="19">
        <f t="shared" si="6"/>
        <v>425</v>
      </c>
      <c r="B426" s="20">
        <v>45718</v>
      </c>
      <c r="C426" s="19" t="s">
        <v>1101</v>
      </c>
      <c r="D426" s="19" t="s">
        <v>1102</v>
      </c>
      <c r="E426" s="19">
        <v>20250721</v>
      </c>
      <c r="F426" s="19" t="s">
        <v>2765</v>
      </c>
      <c r="G426" s="19" t="s">
        <v>2766</v>
      </c>
      <c r="H426" s="19" t="s">
        <v>2767</v>
      </c>
      <c r="I426" s="19" t="s">
        <v>123</v>
      </c>
      <c r="J426" s="19" t="s">
        <v>76</v>
      </c>
      <c r="K426" s="19" t="s">
        <v>569</v>
      </c>
      <c r="L426" s="19">
        <v>2</v>
      </c>
      <c r="M426" s="19" t="s">
        <v>2768</v>
      </c>
      <c r="N426" s="19">
        <v>3</v>
      </c>
      <c r="O426" s="19">
        <v>0</v>
      </c>
      <c r="P426" s="19">
        <v>5</v>
      </c>
      <c r="Q426" s="19" t="s">
        <v>1170</v>
      </c>
      <c r="R426" s="19" t="s">
        <v>72</v>
      </c>
      <c r="S426" s="19" t="s">
        <v>2769</v>
      </c>
      <c r="T426" s="19" t="s">
        <v>1965</v>
      </c>
      <c r="U426" s="21"/>
      <c r="V426" s="19"/>
      <c r="W426" s="19" t="s">
        <v>74</v>
      </c>
      <c r="X426" s="19" t="s">
        <v>74</v>
      </c>
      <c r="Y426" s="19" t="s">
        <v>70</v>
      </c>
      <c r="Z426" s="19" t="s">
        <v>68</v>
      </c>
      <c r="AA426" s="4"/>
      <c r="AB426" s="4"/>
      <c r="AC426" s="4"/>
      <c r="AD426" s="19"/>
      <c r="AE426" s="19"/>
      <c r="AF426" s="19"/>
      <c r="AG426" s="19"/>
      <c r="AH426" s="19"/>
      <c r="AI426" s="19"/>
      <c r="AJ426" s="19"/>
      <c r="AK426" s="19"/>
      <c r="AL426" s="19"/>
      <c r="AM426" s="19"/>
      <c r="AN426" s="19"/>
      <c r="AO426" s="19"/>
      <c r="AP426" s="19"/>
      <c r="AQ426" s="19"/>
      <c r="AR426" s="19"/>
      <c r="AS426" s="27"/>
    </row>
    <row r="427" spans="1:45">
      <c r="A427" s="19">
        <f t="shared" si="6"/>
        <v>426</v>
      </c>
      <c r="B427" s="20">
        <v>45718</v>
      </c>
      <c r="C427" s="19" t="s">
        <v>1101</v>
      </c>
      <c r="D427" s="19" t="s">
        <v>1278</v>
      </c>
      <c r="E427" s="19">
        <v>20250721</v>
      </c>
      <c r="F427" s="19" t="s">
        <v>2770</v>
      </c>
      <c r="G427" s="19">
        <v>8805476920</v>
      </c>
      <c r="H427" s="19" t="s">
        <v>2771</v>
      </c>
      <c r="I427" s="19" t="s">
        <v>123</v>
      </c>
      <c r="J427" s="19" t="s">
        <v>76</v>
      </c>
      <c r="K427" s="19" t="s">
        <v>569</v>
      </c>
      <c r="L427" s="19">
        <v>2</v>
      </c>
      <c r="M427" s="19" t="s">
        <v>2772</v>
      </c>
      <c r="N427" s="19">
        <v>5</v>
      </c>
      <c r="O427" s="19">
        <v>0</v>
      </c>
      <c r="P427" s="19">
        <v>8.5</v>
      </c>
      <c r="Q427" s="19" t="s">
        <v>2773</v>
      </c>
      <c r="R427" s="19" t="s">
        <v>72</v>
      </c>
      <c r="S427" s="19" t="s">
        <v>2774</v>
      </c>
      <c r="T427" s="19" t="s">
        <v>1057</v>
      </c>
      <c r="U427" s="21"/>
      <c r="V427" s="19"/>
      <c r="W427" s="19" t="s">
        <v>74</v>
      </c>
      <c r="X427" s="19" t="s">
        <v>74</v>
      </c>
      <c r="Y427" s="19" t="s">
        <v>70</v>
      </c>
      <c r="Z427" s="19" t="s">
        <v>68</v>
      </c>
      <c r="AA427" s="4"/>
      <c r="AB427" s="4"/>
      <c r="AC427" s="4"/>
      <c r="AD427" s="19"/>
      <c r="AE427" s="19"/>
      <c r="AF427" s="19"/>
      <c r="AG427" s="19"/>
      <c r="AH427" s="19"/>
      <c r="AI427" s="19"/>
      <c r="AJ427" s="19"/>
      <c r="AK427" s="19"/>
      <c r="AL427" s="19"/>
      <c r="AM427" s="19"/>
      <c r="AN427" s="19"/>
      <c r="AO427" s="19"/>
      <c r="AP427" s="19"/>
      <c r="AQ427" s="19"/>
      <c r="AR427" s="19"/>
      <c r="AS427" s="27"/>
    </row>
    <row r="428" spans="1:45">
      <c r="A428" s="19">
        <f t="shared" si="6"/>
        <v>427</v>
      </c>
      <c r="B428" s="20">
        <v>45718</v>
      </c>
      <c r="C428" s="19" t="s">
        <v>1101</v>
      </c>
      <c r="D428" s="19" t="s">
        <v>974</v>
      </c>
      <c r="E428" s="19">
        <v>20249156</v>
      </c>
      <c r="F428" s="19" t="s">
        <v>138</v>
      </c>
      <c r="G428" s="19">
        <v>8983128692</v>
      </c>
      <c r="H428" s="19" t="s">
        <v>139</v>
      </c>
      <c r="I428" s="19" t="s">
        <v>123</v>
      </c>
      <c r="J428" s="19" t="s">
        <v>1924</v>
      </c>
      <c r="K428" s="19" t="s">
        <v>135</v>
      </c>
      <c r="L428" s="19">
        <v>13</v>
      </c>
      <c r="M428" s="19" t="s">
        <v>1925</v>
      </c>
      <c r="N428" s="19">
        <v>18</v>
      </c>
      <c r="O428" s="19">
        <v>0.1</v>
      </c>
      <c r="P428" s="19">
        <v>0.35</v>
      </c>
      <c r="Q428" s="19" t="s">
        <v>1225</v>
      </c>
      <c r="R428" s="19" t="s">
        <v>72</v>
      </c>
      <c r="S428" s="19" t="s">
        <v>1121</v>
      </c>
      <c r="T428" s="19"/>
      <c r="U428" s="21"/>
      <c r="V428" s="19"/>
      <c r="W428" s="19" t="s">
        <v>74</v>
      </c>
      <c r="X428" s="19" t="s">
        <v>74</v>
      </c>
      <c r="Y428" s="19" t="s">
        <v>70</v>
      </c>
      <c r="Z428" s="19" t="s">
        <v>68</v>
      </c>
      <c r="AA428" s="4"/>
      <c r="AB428" s="4"/>
      <c r="AC428" s="4"/>
      <c r="AD428" s="19"/>
      <c r="AE428" s="19"/>
      <c r="AF428" s="19"/>
      <c r="AG428" s="19"/>
      <c r="AH428" s="19"/>
      <c r="AI428" s="19"/>
      <c r="AJ428" s="19"/>
      <c r="AK428" s="19"/>
      <c r="AL428" s="19"/>
      <c r="AM428" s="19"/>
      <c r="AN428" s="19"/>
      <c r="AO428" s="19"/>
      <c r="AP428" s="19"/>
      <c r="AQ428" s="19"/>
      <c r="AR428" s="19"/>
      <c r="AS428" s="27"/>
    </row>
    <row r="429" spans="1:45">
      <c r="A429" s="19">
        <f t="shared" si="6"/>
        <v>428</v>
      </c>
      <c r="B429" s="20">
        <v>45718</v>
      </c>
      <c r="C429" s="19" t="s">
        <v>1101</v>
      </c>
      <c r="D429" s="19" t="s">
        <v>1707</v>
      </c>
      <c r="E429" s="19">
        <v>20245965</v>
      </c>
      <c r="F429" s="19" t="s">
        <v>2775</v>
      </c>
      <c r="G429" s="19" t="s">
        <v>2776</v>
      </c>
      <c r="H429" s="19" t="s">
        <v>2777</v>
      </c>
      <c r="I429" s="19" t="s">
        <v>123</v>
      </c>
      <c r="J429" s="19" t="s">
        <v>407</v>
      </c>
      <c r="K429" s="19" t="s">
        <v>963</v>
      </c>
      <c r="L429" s="19" t="s">
        <v>1816</v>
      </c>
      <c r="M429" s="19" t="s">
        <v>2778</v>
      </c>
      <c r="N429" s="19">
        <v>19</v>
      </c>
      <c r="O429" s="19" t="s">
        <v>1057</v>
      </c>
      <c r="P429" s="19" t="s">
        <v>1156</v>
      </c>
      <c r="Q429" s="19" t="s">
        <v>714</v>
      </c>
      <c r="R429" s="19" t="s">
        <v>72</v>
      </c>
      <c r="S429" s="19" t="s">
        <v>1868</v>
      </c>
      <c r="T429" s="19" t="s">
        <v>1057</v>
      </c>
      <c r="U429" s="21"/>
      <c r="V429" s="19"/>
      <c r="W429" s="19" t="s">
        <v>245</v>
      </c>
      <c r="X429" s="19" t="s">
        <v>245</v>
      </c>
      <c r="Y429" s="19"/>
      <c r="Z429" s="19" t="s">
        <v>68</v>
      </c>
      <c r="AA429" s="4"/>
      <c r="AB429" s="4"/>
      <c r="AC429" s="4"/>
      <c r="AD429" s="19"/>
      <c r="AE429" s="19"/>
      <c r="AF429" s="19"/>
      <c r="AG429" s="19"/>
      <c r="AH429" s="19"/>
      <c r="AI429" s="19"/>
      <c r="AJ429" s="19"/>
      <c r="AK429" s="19"/>
      <c r="AL429" s="19"/>
      <c r="AM429" s="19"/>
      <c r="AN429" s="19"/>
      <c r="AO429" s="19"/>
      <c r="AP429" s="19"/>
      <c r="AQ429" s="19"/>
      <c r="AR429" s="19"/>
      <c r="AS429" s="27"/>
    </row>
    <row r="430" spans="1:45">
      <c r="A430" s="19">
        <f t="shared" si="6"/>
        <v>429</v>
      </c>
      <c r="B430" s="20">
        <v>45718</v>
      </c>
      <c r="C430" s="19" t="s">
        <v>1101</v>
      </c>
      <c r="D430" s="19" t="s">
        <v>1707</v>
      </c>
      <c r="E430" s="19">
        <v>20245965</v>
      </c>
      <c r="F430" s="19" t="s">
        <v>2779</v>
      </c>
      <c r="G430" s="19">
        <v>8460128114</v>
      </c>
      <c r="H430" s="19" t="s">
        <v>2780</v>
      </c>
      <c r="I430" s="19" t="s">
        <v>123</v>
      </c>
      <c r="J430" s="19" t="s">
        <v>407</v>
      </c>
      <c r="K430" s="19" t="s">
        <v>963</v>
      </c>
      <c r="L430" s="19" t="s">
        <v>2007</v>
      </c>
      <c r="M430" s="19" t="s">
        <v>2781</v>
      </c>
      <c r="N430" s="19">
        <v>15.7</v>
      </c>
      <c r="O430" s="19" t="s">
        <v>1057</v>
      </c>
      <c r="P430" s="19" t="s">
        <v>1156</v>
      </c>
      <c r="Q430" s="19" t="s">
        <v>2782</v>
      </c>
      <c r="R430" s="19" t="s">
        <v>72</v>
      </c>
      <c r="S430" s="19" t="s">
        <v>1210</v>
      </c>
      <c r="T430" s="19" t="s">
        <v>1057</v>
      </c>
      <c r="U430" s="21"/>
      <c r="V430" s="19"/>
      <c r="W430" s="19" t="s">
        <v>245</v>
      </c>
      <c r="X430" s="19" t="s">
        <v>245</v>
      </c>
      <c r="Y430" s="19"/>
      <c r="Z430" s="19" t="s">
        <v>68</v>
      </c>
      <c r="AA430" s="4"/>
      <c r="AB430" s="4"/>
      <c r="AC430" s="4"/>
      <c r="AD430" s="19"/>
      <c r="AE430" s="19"/>
      <c r="AF430" s="19"/>
      <c r="AG430" s="19"/>
      <c r="AH430" s="19"/>
      <c r="AI430" s="19"/>
      <c r="AJ430" s="19"/>
      <c r="AK430" s="19"/>
      <c r="AL430" s="19"/>
      <c r="AM430" s="19"/>
      <c r="AN430" s="19"/>
      <c r="AO430" s="19"/>
      <c r="AP430" s="19"/>
      <c r="AQ430" s="19"/>
      <c r="AR430" s="19"/>
      <c r="AS430" s="27"/>
    </row>
    <row r="431" spans="1:45">
      <c r="A431" s="19">
        <f t="shared" si="6"/>
        <v>430</v>
      </c>
      <c r="B431" s="20">
        <v>45718</v>
      </c>
      <c r="C431" s="19" t="s">
        <v>1101</v>
      </c>
      <c r="D431" s="19" t="s">
        <v>1160</v>
      </c>
      <c r="E431" s="19">
        <v>20245965</v>
      </c>
      <c r="F431" s="19" t="s">
        <v>2783</v>
      </c>
      <c r="G431" s="19">
        <v>9601517264</v>
      </c>
      <c r="H431" s="19" t="s">
        <v>2784</v>
      </c>
      <c r="I431" s="19" t="s">
        <v>123</v>
      </c>
      <c r="J431" s="19" t="s">
        <v>407</v>
      </c>
      <c r="K431" s="19" t="s">
        <v>963</v>
      </c>
      <c r="L431" s="19" t="s">
        <v>2785</v>
      </c>
      <c r="M431" s="19" t="s">
        <v>2781</v>
      </c>
      <c r="N431" s="19">
        <v>17.5</v>
      </c>
      <c r="O431" s="19" t="s">
        <v>1057</v>
      </c>
      <c r="P431" s="19" t="s">
        <v>1156</v>
      </c>
      <c r="Q431" s="19" t="s">
        <v>2782</v>
      </c>
      <c r="R431" s="19" t="s">
        <v>72</v>
      </c>
      <c r="S431" s="19" t="s">
        <v>1631</v>
      </c>
      <c r="T431" s="19" t="s">
        <v>1057</v>
      </c>
      <c r="U431" s="21"/>
      <c r="V431" s="19"/>
      <c r="W431" s="19" t="s">
        <v>245</v>
      </c>
      <c r="X431" s="19" t="s">
        <v>245</v>
      </c>
      <c r="Y431" s="19"/>
      <c r="Z431" s="19" t="s">
        <v>68</v>
      </c>
      <c r="AA431" s="4"/>
      <c r="AB431" s="4">
        <v>45709</v>
      </c>
      <c r="AC431" s="4"/>
      <c r="AD431" s="19"/>
      <c r="AE431" s="19"/>
      <c r="AF431" s="19"/>
      <c r="AG431" s="19"/>
      <c r="AH431" s="19"/>
      <c r="AI431" s="19"/>
      <c r="AJ431" s="19"/>
      <c r="AK431" s="19"/>
      <c r="AL431" s="19"/>
      <c r="AM431" s="19"/>
      <c r="AN431" s="19"/>
      <c r="AO431" s="19"/>
      <c r="AP431" s="19"/>
      <c r="AQ431" s="19"/>
      <c r="AR431" s="19"/>
      <c r="AS431" s="27"/>
    </row>
    <row r="432" spans="1:45">
      <c r="A432" s="19">
        <f t="shared" si="6"/>
        <v>431</v>
      </c>
      <c r="B432" s="20">
        <v>45718</v>
      </c>
      <c r="C432" s="19" t="s">
        <v>1101</v>
      </c>
      <c r="D432" s="19" t="s">
        <v>1707</v>
      </c>
      <c r="E432" s="19">
        <v>20245965</v>
      </c>
      <c r="F432" s="19" t="s">
        <v>2786</v>
      </c>
      <c r="G432" s="19">
        <v>9131818268</v>
      </c>
      <c r="H432" s="19" t="s">
        <v>2787</v>
      </c>
      <c r="I432" s="19" t="s">
        <v>123</v>
      </c>
      <c r="J432" s="19" t="s">
        <v>407</v>
      </c>
      <c r="K432" s="19" t="s">
        <v>963</v>
      </c>
      <c r="L432" s="19" t="s">
        <v>1683</v>
      </c>
      <c r="M432" s="19" t="s">
        <v>2741</v>
      </c>
      <c r="N432" s="19">
        <v>12</v>
      </c>
      <c r="O432" s="19" t="s">
        <v>1057</v>
      </c>
      <c r="P432" s="19" t="s">
        <v>2788</v>
      </c>
      <c r="Q432" s="19" t="s">
        <v>72</v>
      </c>
      <c r="R432" s="19" t="s">
        <v>72</v>
      </c>
      <c r="S432" s="19" t="s">
        <v>2789</v>
      </c>
      <c r="T432" s="19" t="s">
        <v>2790</v>
      </c>
      <c r="U432" s="21"/>
      <c r="V432" s="19"/>
      <c r="W432" s="19" t="s">
        <v>245</v>
      </c>
      <c r="X432" s="19" t="s">
        <v>245</v>
      </c>
      <c r="Y432" s="19"/>
      <c r="Z432" s="19" t="s">
        <v>68</v>
      </c>
      <c r="AA432" s="4"/>
      <c r="AB432" s="4"/>
      <c r="AC432" s="4"/>
      <c r="AD432" s="19"/>
      <c r="AE432" s="19"/>
      <c r="AF432" s="19"/>
      <c r="AG432" s="19"/>
      <c r="AH432" s="19"/>
      <c r="AI432" s="19"/>
      <c r="AJ432" s="19"/>
      <c r="AK432" s="19"/>
      <c r="AL432" s="19"/>
      <c r="AM432" s="19"/>
      <c r="AN432" s="19"/>
      <c r="AO432" s="19"/>
      <c r="AP432" s="19"/>
      <c r="AQ432" s="19"/>
      <c r="AR432" s="19"/>
      <c r="AS432" s="27"/>
    </row>
    <row r="433" spans="1:45">
      <c r="A433" s="19">
        <f t="shared" si="6"/>
        <v>432</v>
      </c>
      <c r="B433" s="20">
        <v>45718</v>
      </c>
      <c r="C433" s="19" t="s">
        <v>1101</v>
      </c>
      <c r="D433" s="19" t="s">
        <v>845</v>
      </c>
      <c r="E433" s="19">
        <v>20245965</v>
      </c>
      <c r="F433" s="19" t="s">
        <v>2791</v>
      </c>
      <c r="G433" s="19">
        <v>9630242436</v>
      </c>
      <c r="H433" s="19" t="s">
        <v>2792</v>
      </c>
      <c r="I433" s="19" t="s">
        <v>123</v>
      </c>
      <c r="J433" s="19" t="s">
        <v>407</v>
      </c>
      <c r="K433" s="19" t="s">
        <v>963</v>
      </c>
      <c r="L433" s="19" t="s">
        <v>2793</v>
      </c>
      <c r="M433" s="19" t="s">
        <v>2794</v>
      </c>
      <c r="N433" s="19" t="s">
        <v>2795</v>
      </c>
      <c r="O433" s="19" t="s">
        <v>1057</v>
      </c>
      <c r="P433" s="19" t="s">
        <v>1195</v>
      </c>
      <c r="Q433" s="19" t="s">
        <v>2796</v>
      </c>
      <c r="R433" s="19" t="s">
        <v>72</v>
      </c>
      <c r="S433" s="19" t="s">
        <v>1059</v>
      </c>
      <c r="T433" s="19" t="s">
        <v>2797</v>
      </c>
      <c r="U433" s="21"/>
      <c r="V433" s="19"/>
      <c r="W433" s="19" t="s">
        <v>245</v>
      </c>
      <c r="X433" s="19" t="s">
        <v>245</v>
      </c>
      <c r="Y433" s="19"/>
      <c r="Z433" s="19" t="s">
        <v>68</v>
      </c>
      <c r="AA433" s="4"/>
      <c r="AB433" s="4">
        <v>45699</v>
      </c>
      <c r="AC433" s="4"/>
      <c r="AD433" s="19"/>
      <c r="AE433" s="19"/>
      <c r="AF433" s="19"/>
      <c r="AG433" s="19"/>
      <c r="AH433" s="19"/>
      <c r="AI433" s="19"/>
      <c r="AJ433" s="19"/>
      <c r="AK433" s="19"/>
      <c r="AL433" s="19"/>
      <c r="AM433" s="19"/>
      <c r="AN433" s="19"/>
      <c r="AO433" s="19"/>
      <c r="AP433" s="19"/>
      <c r="AQ433" s="19"/>
      <c r="AR433" s="19"/>
      <c r="AS433" s="27"/>
    </row>
    <row r="434" spans="1:45">
      <c r="A434" s="19">
        <f t="shared" si="6"/>
        <v>433</v>
      </c>
      <c r="B434" s="20">
        <v>45718</v>
      </c>
      <c r="C434" s="19" t="s">
        <v>1101</v>
      </c>
      <c r="D434" s="19" t="s">
        <v>1813</v>
      </c>
      <c r="E434" s="19">
        <v>20245965</v>
      </c>
      <c r="F434" s="19" t="s">
        <v>2798</v>
      </c>
      <c r="G434" s="19">
        <v>9538659080</v>
      </c>
      <c r="H434" s="19" t="s">
        <v>2799</v>
      </c>
      <c r="I434" s="19" t="s">
        <v>123</v>
      </c>
      <c r="J434" s="19" t="s">
        <v>407</v>
      </c>
      <c r="K434" s="19" t="s">
        <v>963</v>
      </c>
      <c r="L434" s="19" t="s">
        <v>1423</v>
      </c>
      <c r="M434" s="19" t="s">
        <v>2800</v>
      </c>
      <c r="N434" s="19"/>
      <c r="O434" s="19">
        <v>30</v>
      </c>
      <c r="P434" s="19"/>
      <c r="Q434" s="19" t="s">
        <v>1704</v>
      </c>
      <c r="R434" s="19" t="s">
        <v>1392</v>
      </c>
      <c r="S434" s="19" t="s">
        <v>72</v>
      </c>
      <c r="T434" s="19" t="s">
        <v>1121</v>
      </c>
      <c r="U434" s="21"/>
      <c r="V434" s="19"/>
      <c r="W434" s="19" t="s">
        <v>245</v>
      </c>
      <c r="X434" s="19" t="s">
        <v>245</v>
      </c>
      <c r="Y434" s="19"/>
      <c r="Z434" s="19" t="s">
        <v>68</v>
      </c>
      <c r="AA434" s="4"/>
      <c r="AB434" s="4"/>
      <c r="AC434" s="4"/>
      <c r="AD434" s="19"/>
      <c r="AE434" s="19"/>
      <c r="AF434" s="19"/>
      <c r="AG434" s="19"/>
      <c r="AH434" s="19"/>
      <c r="AI434" s="19"/>
      <c r="AJ434" s="19"/>
      <c r="AK434" s="19"/>
      <c r="AL434" s="19"/>
      <c r="AM434" s="19"/>
      <c r="AN434" s="19"/>
      <c r="AO434" s="19"/>
      <c r="AP434" s="19"/>
      <c r="AQ434" s="19"/>
      <c r="AR434" s="19"/>
      <c r="AS434" s="27"/>
    </row>
    <row r="435" spans="1:45">
      <c r="A435" s="19">
        <f t="shared" si="6"/>
        <v>434</v>
      </c>
      <c r="B435" s="20">
        <v>45718</v>
      </c>
      <c r="C435" s="19" t="s">
        <v>1101</v>
      </c>
      <c r="D435" s="19" t="s">
        <v>1707</v>
      </c>
      <c r="E435" s="19">
        <v>20245965</v>
      </c>
      <c r="F435" s="19" t="s">
        <v>2775</v>
      </c>
      <c r="G435" s="19" t="s">
        <v>2776</v>
      </c>
      <c r="H435" s="19" t="s">
        <v>2777</v>
      </c>
      <c r="I435" s="19" t="s">
        <v>123</v>
      </c>
      <c r="J435" s="19" t="s">
        <v>2223</v>
      </c>
      <c r="K435" s="19" t="s">
        <v>2224</v>
      </c>
      <c r="L435" s="19" t="s">
        <v>1816</v>
      </c>
      <c r="M435" s="19" t="s">
        <v>2778</v>
      </c>
      <c r="N435" s="19">
        <v>19</v>
      </c>
      <c r="O435" s="19"/>
      <c r="P435" s="19" t="s">
        <v>1156</v>
      </c>
      <c r="Q435" s="19" t="s">
        <v>714</v>
      </c>
      <c r="R435" s="19" t="s">
        <v>72</v>
      </c>
      <c r="S435" s="19" t="s">
        <v>1868</v>
      </c>
      <c r="T435" s="19" t="s">
        <v>1057</v>
      </c>
      <c r="U435" s="21"/>
      <c r="V435" s="19"/>
      <c r="W435" s="19" t="s">
        <v>245</v>
      </c>
      <c r="X435" s="19" t="s">
        <v>245</v>
      </c>
      <c r="Y435" s="19"/>
      <c r="Z435" s="19" t="s">
        <v>68</v>
      </c>
      <c r="AA435" s="4"/>
      <c r="AB435" s="4"/>
      <c r="AC435" s="4"/>
      <c r="AD435" s="19"/>
      <c r="AE435" s="19"/>
      <c r="AF435" s="19"/>
      <c r="AG435" s="19"/>
      <c r="AH435" s="19"/>
      <c r="AI435" s="19"/>
      <c r="AJ435" s="19"/>
      <c r="AK435" s="19"/>
      <c r="AL435" s="19"/>
      <c r="AM435" s="19"/>
      <c r="AN435" s="19"/>
      <c r="AO435" s="19"/>
      <c r="AP435" s="19"/>
      <c r="AQ435" s="19"/>
      <c r="AR435" s="19"/>
      <c r="AS435" s="27"/>
    </row>
    <row r="436" spans="1:45">
      <c r="A436" s="19">
        <f t="shared" si="6"/>
        <v>435</v>
      </c>
      <c r="B436" s="20">
        <v>45718</v>
      </c>
      <c r="C436" s="19" t="s">
        <v>1101</v>
      </c>
      <c r="D436" s="19" t="s">
        <v>1707</v>
      </c>
      <c r="E436" s="19">
        <v>20245965</v>
      </c>
      <c r="F436" s="19" t="s">
        <v>2779</v>
      </c>
      <c r="G436" s="19">
        <v>8460128114</v>
      </c>
      <c r="H436" s="19" t="s">
        <v>2780</v>
      </c>
      <c r="I436" s="19" t="s">
        <v>123</v>
      </c>
      <c r="J436" s="19" t="s">
        <v>2223</v>
      </c>
      <c r="K436" s="19" t="s">
        <v>2224</v>
      </c>
      <c r="L436" s="19" t="s">
        <v>2007</v>
      </c>
      <c r="M436" s="19" t="s">
        <v>2781</v>
      </c>
      <c r="N436" s="19">
        <v>15.7</v>
      </c>
      <c r="O436" s="19"/>
      <c r="P436" s="19" t="s">
        <v>1156</v>
      </c>
      <c r="Q436" s="19" t="s">
        <v>2782</v>
      </c>
      <c r="R436" s="19" t="s">
        <v>72</v>
      </c>
      <c r="S436" s="19" t="s">
        <v>1210</v>
      </c>
      <c r="T436" s="19" t="s">
        <v>1057</v>
      </c>
      <c r="U436" s="21"/>
      <c r="V436" s="19"/>
      <c r="W436" s="19" t="s">
        <v>245</v>
      </c>
      <c r="X436" s="19" t="s">
        <v>245</v>
      </c>
      <c r="Y436" s="19"/>
      <c r="Z436" s="19" t="s">
        <v>68</v>
      </c>
      <c r="AA436" s="4"/>
      <c r="AB436" s="4"/>
      <c r="AC436" s="4"/>
      <c r="AD436" s="19"/>
      <c r="AE436" s="19"/>
      <c r="AF436" s="19"/>
      <c r="AG436" s="19"/>
      <c r="AH436" s="19"/>
      <c r="AI436" s="19"/>
      <c r="AJ436" s="19"/>
      <c r="AK436" s="19"/>
      <c r="AL436" s="19"/>
      <c r="AM436" s="19"/>
      <c r="AN436" s="19"/>
      <c r="AO436" s="19"/>
      <c r="AP436" s="19"/>
      <c r="AQ436" s="19"/>
      <c r="AR436" s="19"/>
      <c r="AS436" s="27"/>
    </row>
    <row r="437" spans="1:45">
      <c r="A437" s="19">
        <f t="shared" si="6"/>
        <v>436</v>
      </c>
      <c r="B437" s="20">
        <v>45718</v>
      </c>
      <c r="C437" s="19" t="s">
        <v>1101</v>
      </c>
      <c r="D437" s="19" t="s">
        <v>2431</v>
      </c>
      <c r="E437" s="19">
        <v>20245965</v>
      </c>
      <c r="F437" s="19" t="s">
        <v>2783</v>
      </c>
      <c r="G437" s="19">
        <v>9601517264</v>
      </c>
      <c r="H437" s="19" t="s">
        <v>2784</v>
      </c>
      <c r="I437" s="19" t="s">
        <v>123</v>
      </c>
      <c r="J437" s="19" t="s">
        <v>2223</v>
      </c>
      <c r="K437" s="19" t="s">
        <v>2224</v>
      </c>
      <c r="L437" s="19" t="s">
        <v>2785</v>
      </c>
      <c r="M437" s="19" t="s">
        <v>2781</v>
      </c>
      <c r="N437" s="19">
        <v>17.5</v>
      </c>
      <c r="O437" s="19"/>
      <c r="P437" s="19" t="s">
        <v>1156</v>
      </c>
      <c r="Q437" s="19" t="s">
        <v>2782</v>
      </c>
      <c r="R437" s="19" t="s">
        <v>72</v>
      </c>
      <c r="S437" s="19" t="s">
        <v>1631</v>
      </c>
      <c r="T437" s="19" t="s">
        <v>1057</v>
      </c>
      <c r="U437" s="21"/>
      <c r="V437" s="19"/>
      <c r="W437" s="19" t="s">
        <v>245</v>
      </c>
      <c r="X437" s="19" t="s">
        <v>245</v>
      </c>
      <c r="Y437" s="19"/>
      <c r="Z437" s="19" t="s">
        <v>68</v>
      </c>
      <c r="AA437" s="4"/>
      <c r="AB437" s="4">
        <v>45701</v>
      </c>
      <c r="AC437" s="4"/>
      <c r="AD437" s="19"/>
      <c r="AE437" s="19"/>
      <c r="AF437" s="19"/>
      <c r="AG437" s="19"/>
      <c r="AH437" s="19"/>
      <c r="AI437" s="19"/>
      <c r="AJ437" s="19"/>
      <c r="AK437" s="19"/>
      <c r="AL437" s="19"/>
      <c r="AM437" s="19"/>
      <c r="AN437" s="19"/>
      <c r="AO437" s="19"/>
      <c r="AP437" s="19"/>
      <c r="AQ437" s="19"/>
      <c r="AR437" s="19"/>
      <c r="AS437" s="27"/>
    </row>
    <row r="438" spans="1:45">
      <c r="A438" s="19">
        <f t="shared" si="6"/>
        <v>437</v>
      </c>
      <c r="B438" s="20">
        <v>45718</v>
      </c>
      <c r="C438" s="19" t="s">
        <v>1101</v>
      </c>
      <c r="D438" s="19" t="s">
        <v>1707</v>
      </c>
      <c r="E438" s="19">
        <v>20245965</v>
      </c>
      <c r="F438" s="19" t="s">
        <v>2786</v>
      </c>
      <c r="G438" s="19">
        <v>9131818268</v>
      </c>
      <c r="H438" s="19" t="s">
        <v>2787</v>
      </c>
      <c r="I438" s="19" t="s">
        <v>86</v>
      </c>
      <c r="J438" s="19" t="s">
        <v>2223</v>
      </c>
      <c r="K438" s="19" t="s">
        <v>2224</v>
      </c>
      <c r="L438" s="19" t="s">
        <v>1683</v>
      </c>
      <c r="M438" s="19" t="s">
        <v>2741</v>
      </c>
      <c r="N438" s="19">
        <v>12</v>
      </c>
      <c r="O438" s="19"/>
      <c r="P438" s="19" t="s">
        <v>2788</v>
      </c>
      <c r="Q438" s="19" t="s">
        <v>72</v>
      </c>
      <c r="R438" s="19" t="s">
        <v>72</v>
      </c>
      <c r="S438" s="19" t="s">
        <v>2789</v>
      </c>
      <c r="T438" s="19" t="s">
        <v>2790</v>
      </c>
      <c r="U438" s="21"/>
      <c r="V438" s="19"/>
      <c r="W438" s="19" t="s">
        <v>245</v>
      </c>
      <c r="X438" s="19" t="s">
        <v>245</v>
      </c>
      <c r="Y438" s="19"/>
      <c r="Z438" s="19" t="s">
        <v>68</v>
      </c>
      <c r="AA438" s="4"/>
      <c r="AB438" s="4"/>
      <c r="AC438" s="4"/>
      <c r="AD438" s="19"/>
      <c r="AE438" s="19"/>
      <c r="AF438" s="19"/>
      <c r="AG438" s="19"/>
      <c r="AH438" s="19"/>
      <c r="AI438" s="19"/>
      <c r="AJ438" s="19"/>
      <c r="AK438" s="19"/>
      <c r="AL438" s="19"/>
      <c r="AM438" s="19"/>
      <c r="AN438" s="19"/>
      <c r="AO438" s="19"/>
      <c r="AP438" s="19"/>
      <c r="AQ438" s="19"/>
      <c r="AR438" s="19"/>
      <c r="AS438" s="27"/>
    </row>
    <row r="439" spans="1:45">
      <c r="A439" s="19">
        <f t="shared" si="6"/>
        <v>438</v>
      </c>
      <c r="B439" s="20">
        <v>45718</v>
      </c>
      <c r="C439" s="19" t="s">
        <v>1101</v>
      </c>
      <c r="D439" s="19" t="s">
        <v>845</v>
      </c>
      <c r="E439" s="19">
        <v>20245965</v>
      </c>
      <c r="F439" s="19" t="s">
        <v>2791</v>
      </c>
      <c r="G439" s="19">
        <v>9630242436</v>
      </c>
      <c r="H439" s="19" t="s">
        <v>2792</v>
      </c>
      <c r="I439" s="19" t="s">
        <v>123</v>
      </c>
      <c r="J439" s="19" t="s">
        <v>2223</v>
      </c>
      <c r="K439" s="19" t="s">
        <v>2224</v>
      </c>
      <c r="L439" s="19" t="s">
        <v>2793</v>
      </c>
      <c r="M439" s="19" t="s">
        <v>2794</v>
      </c>
      <c r="N439" s="19" t="s">
        <v>2795</v>
      </c>
      <c r="O439" s="19"/>
      <c r="P439" s="19" t="s">
        <v>1195</v>
      </c>
      <c r="Q439" s="19" t="s">
        <v>2796</v>
      </c>
      <c r="R439" s="19" t="s">
        <v>72</v>
      </c>
      <c r="S439" s="19" t="s">
        <v>1059</v>
      </c>
      <c r="T439" s="19" t="s">
        <v>2797</v>
      </c>
      <c r="U439" s="21"/>
      <c r="V439" s="19"/>
      <c r="W439" s="19" t="s">
        <v>245</v>
      </c>
      <c r="X439" s="19" t="s">
        <v>245</v>
      </c>
      <c r="Y439" s="19"/>
      <c r="Z439" s="19" t="s">
        <v>68</v>
      </c>
      <c r="AA439" s="4"/>
      <c r="AB439" s="4"/>
      <c r="AC439" s="4"/>
      <c r="AD439" s="19"/>
      <c r="AE439" s="19"/>
      <c r="AF439" s="19"/>
      <c r="AG439" s="19"/>
      <c r="AH439" s="19"/>
      <c r="AI439" s="19"/>
      <c r="AJ439" s="19"/>
      <c r="AK439" s="19"/>
      <c r="AL439" s="19"/>
      <c r="AM439" s="19"/>
      <c r="AN439" s="19"/>
      <c r="AO439" s="19"/>
      <c r="AP439" s="19"/>
      <c r="AQ439" s="19"/>
      <c r="AR439" s="19"/>
      <c r="AS439" s="27"/>
    </row>
    <row r="440" spans="1:45">
      <c r="A440" s="19">
        <f t="shared" si="6"/>
        <v>439</v>
      </c>
      <c r="B440" s="20">
        <v>45779</v>
      </c>
      <c r="C440" s="19" t="s">
        <v>1101</v>
      </c>
      <c r="D440" s="19" t="s">
        <v>845</v>
      </c>
      <c r="E440" s="19">
        <v>20245469</v>
      </c>
      <c r="F440" s="19" t="s">
        <v>2801</v>
      </c>
      <c r="G440" s="19">
        <v>9975772385</v>
      </c>
      <c r="H440" s="19" t="s">
        <v>2802</v>
      </c>
      <c r="I440" s="19" t="s">
        <v>123</v>
      </c>
      <c r="J440" s="19" t="s">
        <v>1863</v>
      </c>
      <c r="K440" s="19" t="s">
        <v>1864</v>
      </c>
      <c r="L440" s="19" t="s">
        <v>1865</v>
      </c>
      <c r="M440" s="19" t="s">
        <v>2803</v>
      </c>
      <c r="N440" s="19"/>
      <c r="O440" s="19">
        <v>22</v>
      </c>
      <c r="P440" s="19">
        <v>0.1</v>
      </c>
      <c r="Q440" s="19" t="s">
        <v>2804</v>
      </c>
      <c r="R440" s="19" t="s">
        <v>923</v>
      </c>
      <c r="S440" s="19" t="s">
        <v>923</v>
      </c>
      <c r="T440" s="19" t="s">
        <v>2805</v>
      </c>
      <c r="U440" s="21"/>
      <c r="V440" s="19"/>
      <c r="W440" s="19" t="s">
        <v>245</v>
      </c>
      <c r="X440" s="19" t="s">
        <v>245</v>
      </c>
      <c r="Y440" s="19"/>
      <c r="Z440" s="19" t="s">
        <v>68</v>
      </c>
      <c r="AA440" s="4"/>
      <c r="AB440" s="4"/>
      <c r="AC440" s="4"/>
      <c r="AD440" s="19"/>
      <c r="AE440" s="19"/>
      <c r="AF440" s="19"/>
      <c r="AG440" s="19"/>
      <c r="AH440" s="19"/>
      <c r="AI440" s="19"/>
      <c r="AJ440" s="19"/>
      <c r="AK440" s="19"/>
      <c r="AL440" s="19"/>
      <c r="AM440" s="19"/>
      <c r="AN440" s="19"/>
      <c r="AO440" s="19"/>
      <c r="AP440" s="19"/>
      <c r="AQ440" s="19"/>
      <c r="AR440" s="19"/>
      <c r="AS440" s="27"/>
    </row>
    <row r="441" spans="1:45">
      <c r="A441" s="19">
        <f t="shared" si="6"/>
        <v>440</v>
      </c>
      <c r="B441" s="20">
        <v>45779</v>
      </c>
      <c r="C441" s="19" t="s">
        <v>1101</v>
      </c>
      <c r="D441" s="19" t="s">
        <v>1860</v>
      </c>
      <c r="E441" s="19">
        <v>20245469</v>
      </c>
      <c r="F441" s="19" t="s">
        <v>2806</v>
      </c>
      <c r="G441" s="19">
        <v>8554045590</v>
      </c>
      <c r="H441" s="19" t="s">
        <v>2807</v>
      </c>
      <c r="I441" s="19" t="s">
        <v>123</v>
      </c>
      <c r="J441" s="19" t="s">
        <v>1863</v>
      </c>
      <c r="K441" s="19" t="s">
        <v>1864</v>
      </c>
      <c r="L441" s="19" t="s">
        <v>1930</v>
      </c>
      <c r="M441" s="19" t="s">
        <v>2808</v>
      </c>
      <c r="N441" s="19">
        <v>28</v>
      </c>
      <c r="O441" s="19" t="s">
        <v>1057</v>
      </c>
      <c r="P441" s="19" t="s">
        <v>2809</v>
      </c>
      <c r="Q441" s="19" t="s">
        <v>923</v>
      </c>
      <c r="R441" s="19" t="s">
        <v>923</v>
      </c>
      <c r="S441" s="19" t="s">
        <v>2810</v>
      </c>
      <c r="T441" s="19" t="s">
        <v>2811</v>
      </c>
      <c r="U441" s="21"/>
      <c r="V441" s="19"/>
      <c r="W441" s="19" t="s">
        <v>245</v>
      </c>
      <c r="X441" s="19" t="s">
        <v>245</v>
      </c>
      <c r="Y441" s="19"/>
      <c r="Z441" s="19" t="s">
        <v>68</v>
      </c>
      <c r="AA441" s="4"/>
      <c r="AB441" s="4"/>
      <c r="AC441" s="4"/>
      <c r="AD441" s="19"/>
      <c r="AE441" s="19"/>
      <c r="AF441" s="19"/>
      <c r="AG441" s="19"/>
      <c r="AH441" s="19"/>
      <c r="AI441" s="19"/>
      <c r="AJ441" s="19"/>
      <c r="AK441" s="19"/>
      <c r="AL441" s="19"/>
      <c r="AM441" s="19"/>
      <c r="AN441" s="19"/>
      <c r="AO441" s="19"/>
      <c r="AP441" s="19"/>
      <c r="AQ441" s="19"/>
      <c r="AR441" s="19"/>
      <c r="AS441" s="27"/>
    </row>
    <row r="442" spans="1:45">
      <c r="A442" s="19">
        <f t="shared" si="6"/>
        <v>441</v>
      </c>
      <c r="B442" s="20">
        <v>45779</v>
      </c>
      <c r="C442" s="19" t="s">
        <v>1101</v>
      </c>
      <c r="D442" s="19" t="s">
        <v>1699</v>
      </c>
      <c r="E442" s="19">
        <v>20245469</v>
      </c>
      <c r="F442" s="19" t="s">
        <v>2812</v>
      </c>
      <c r="G442" s="19">
        <v>9224290334</v>
      </c>
      <c r="H442" s="19" t="s">
        <v>2813</v>
      </c>
      <c r="I442" s="19" t="s">
        <v>86</v>
      </c>
      <c r="J442" s="19" t="s">
        <v>1863</v>
      </c>
      <c r="K442" s="19" t="s">
        <v>1864</v>
      </c>
      <c r="L442" s="19" t="s">
        <v>2814</v>
      </c>
      <c r="M442" s="19" t="s">
        <v>1447</v>
      </c>
      <c r="N442" s="19">
        <v>24</v>
      </c>
      <c r="O442" s="19" t="s">
        <v>1057</v>
      </c>
      <c r="P442" s="19" t="s">
        <v>1676</v>
      </c>
      <c r="Q442" s="19" t="s">
        <v>923</v>
      </c>
      <c r="R442" s="19" t="s">
        <v>923</v>
      </c>
      <c r="S442" s="19" t="s">
        <v>1686</v>
      </c>
      <c r="T442" s="19" t="s">
        <v>1057</v>
      </c>
      <c r="U442" s="21"/>
      <c r="V442" s="19"/>
      <c r="W442" s="19" t="s">
        <v>245</v>
      </c>
      <c r="X442" s="19" t="s">
        <v>245</v>
      </c>
      <c r="Y442" s="19"/>
      <c r="Z442" s="19" t="s">
        <v>68</v>
      </c>
      <c r="AA442" s="4"/>
      <c r="AB442" s="4"/>
      <c r="AC442" s="4"/>
      <c r="AD442" s="19"/>
      <c r="AE442" s="19"/>
      <c r="AF442" s="19"/>
      <c r="AG442" s="19"/>
      <c r="AH442" s="19"/>
      <c r="AI442" s="19"/>
      <c r="AJ442" s="19"/>
      <c r="AK442" s="19"/>
      <c r="AL442" s="19"/>
      <c r="AM442" s="19"/>
      <c r="AN442" s="19"/>
      <c r="AO442" s="19"/>
      <c r="AP442" s="19"/>
      <c r="AQ442" s="19"/>
      <c r="AR442" s="19"/>
      <c r="AS442" s="27"/>
    </row>
    <row r="443" spans="1:45">
      <c r="A443" s="19">
        <f t="shared" si="6"/>
        <v>442</v>
      </c>
      <c r="B443" s="20">
        <v>45779</v>
      </c>
      <c r="C443" s="19" t="s">
        <v>1101</v>
      </c>
      <c r="D443" s="19" t="s">
        <v>845</v>
      </c>
      <c r="E443" s="19">
        <v>20245469</v>
      </c>
      <c r="F443" s="19" t="s">
        <v>2815</v>
      </c>
      <c r="G443" s="19">
        <v>9953763760</v>
      </c>
      <c r="H443" s="19" t="s">
        <v>2816</v>
      </c>
      <c r="I443" s="19" t="s">
        <v>123</v>
      </c>
      <c r="J443" s="19" t="s">
        <v>1863</v>
      </c>
      <c r="K443" s="19" t="s">
        <v>1864</v>
      </c>
      <c r="L443" s="19" t="s">
        <v>1803</v>
      </c>
      <c r="M443" s="19" t="s">
        <v>1388</v>
      </c>
      <c r="N443" s="19">
        <v>20.100000000000001</v>
      </c>
      <c r="O443" s="19" t="s">
        <v>1057</v>
      </c>
      <c r="P443" s="19">
        <v>28</v>
      </c>
      <c r="Q443" s="19" t="s">
        <v>923</v>
      </c>
      <c r="R443" s="19" t="s">
        <v>923</v>
      </c>
      <c r="S443" s="19" t="s">
        <v>2817</v>
      </c>
      <c r="T443" s="19" t="s">
        <v>2818</v>
      </c>
      <c r="U443" s="21"/>
      <c r="V443" s="19"/>
      <c r="W443" s="19" t="s">
        <v>245</v>
      </c>
      <c r="X443" s="19" t="s">
        <v>245</v>
      </c>
      <c r="Y443" s="19"/>
      <c r="Z443" s="19" t="s">
        <v>68</v>
      </c>
      <c r="AA443" s="4"/>
      <c r="AB443" s="4"/>
      <c r="AC443" s="4"/>
      <c r="AD443" s="19"/>
      <c r="AE443" s="19"/>
      <c r="AF443" s="19"/>
      <c r="AG443" s="19"/>
      <c r="AH443" s="19"/>
      <c r="AI443" s="19"/>
      <c r="AJ443" s="19"/>
      <c r="AK443" s="19"/>
      <c r="AL443" s="19"/>
      <c r="AM443" s="19"/>
      <c r="AN443" s="19"/>
      <c r="AO443" s="19"/>
      <c r="AP443" s="19"/>
      <c r="AQ443" s="19"/>
      <c r="AR443" s="19"/>
      <c r="AS443" s="27"/>
    </row>
    <row r="444" spans="1:45">
      <c r="A444" s="19">
        <f t="shared" si="6"/>
        <v>443</v>
      </c>
      <c r="B444" s="20">
        <v>45779</v>
      </c>
      <c r="C444" s="19" t="s">
        <v>1101</v>
      </c>
      <c r="D444" s="19" t="s">
        <v>845</v>
      </c>
      <c r="E444" s="19">
        <v>20245469</v>
      </c>
      <c r="F444" s="19" t="s">
        <v>2819</v>
      </c>
      <c r="G444" s="19">
        <v>8975600483</v>
      </c>
      <c r="H444" s="19" t="s">
        <v>2820</v>
      </c>
      <c r="I444" s="19" t="s">
        <v>123</v>
      </c>
      <c r="J444" s="19" t="s">
        <v>1863</v>
      </c>
      <c r="K444" s="19" t="s">
        <v>1864</v>
      </c>
      <c r="L444" s="19" t="s">
        <v>1803</v>
      </c>
      <c r="M444" s="19" t="s">
        <v>2821</v>
      </c>
      <c r="N444" s="19">
        <v>21.5</v>
      </c>
      <c r="O444" s="19">
        <v>1.5</v>
      </c>
      <c r="P444" s="19">
        <v>28</v>
      </c>
      <c r="Q444" s="19" t="s">
        <v>72</v>
      </c>
      <c r="R444" s="19" t="s">
        <v>923</v>
      </c>
      <c r="S444" s="19" t="s">
        <v>2454</v>
      </c>
      <c r="T444" s="19" t="s">
        <v>1833</v>
      </c>
      <c r="U444" s="21"/>
      <c r="V444" s="19"/>
      <c r="W444" s="19" t="s">
        <v>245</v>
      </c>
      <c r="X444" s="19" t="s">
        <v>245</v>
      </c>
      <c r="Y444" s="19"/>
      <c r="Z444" s="19" t="s">
        <v>68</v>
      </c>
      <c r="AA444" s="4"/>
      <c r="AB444" s="4"/>
      <c r="AC444" s="4"/>
      <c r="AD444" s="19"/>
      <c r="AE444" s="19"/>
      <c r="AF444" s="19"/>
      <c r="AG444" s="19"/>
      <c r="AH444" s="19"/>
      <c r="AI444" s="19"/>
      <c r="AJ444" s="19"/>
      <c r="AK444" s="19"/>
      <c r="AL444" s="19"/>
      <c r="AM444" s="19"/>
      <c r="AN444" s="19"/>
      <c r="AO444" s="19"/>
      <c r="AP444" s="19"/>
      <c r="AQ444" s="19"/>
      <c r="AR444" s="19"/>
      <c r="AS444" s="27"/>
    </row>
    <row r="445" spans="1:45">
      <c r="A445" s="19">
        <f t="shared" si="6"/>
        <v>444</v>
      </c>
      <c r="B445" s="20">
        <v>45810</v>
      </c>
      <c r="C445" s="19" t="s">
        <v>1101</v>
      </c>
      <c r="D445" s="19" t="s">
        <v>1102</v>
      </c>
      <c r="E445" s="19">
        <v>20250697</v>
      </c>
      <c r="F445" s="19" t="s">
        <v>2822</v>
      </c>
      <c r="G445" s="19">
        <v>9009924823</v>
      </c>
      <c r="H445" s="19" t="s">
        <v>2823</v>
      </c>
      <c r="I445" s="19" t="s">
        <v>123</v>
      </c>
      <c r="J445" s="19" t="s">
        <v>99</v>
      </c>
      <c r="K445" s="19" t="s">
        <v>101</v>
      </c>
      <c r="L445" s="19">
        <v>4</v>
      </c>
      <c r="M445" s="19" t="s">
        <v>2768</v>
      </c>
      <c r="N445" s="19">
        <v>12</v>
      </c>
      <c r="O445" s="19">
        <v>0</v>
      </c>
      <c r="P445" s="19"/>
      <c r="Q445" s="19"/>
      <c r="R445" s="19" t="s">
        <v>72</v>
      </c>
      <c r="S445" s="19" t="s">
        <v>2023</v>
      </c>
      <c r="T445" s="19"/>
      <c r="U445" s="21"/>
      <c r="V445" s="19"/>
      <c r="W445" s="19" t="s">
        <v>74</v>
      </c>
      <c r="X445" s="19" t="s">
        <v>74</v>
      </c>
      <c r="Y445" s="19" t="s">
        <v>70</v>
      </c>
      <c r="Z445" s="19" t="s">
        <v>68</v>
      </c>
      <c r="AA445" s="4"/>
      <c r="AB445" s="4"/>
      <c r="AC445" s="4"/>
      <c r="AD445" s="19"/>
      <c r="AE445" s="19"/>
      <c r="AF445" s="19"/>
      <c r="AG445" s="19"/>
      <c r="AH445" s="19"/>
      <c r="AI445" s="19"/>
      <c r="AJ445" s="19"/>
      <c r="AK445" s="19"/>
      <c r="AL445" s="19"/>
      <c r="AM445" s="19"/>
      <c r="AN445" s="19"/>
      <c r="AO445" s="19"/>
      <c r="AP445" s="19"/>
      <c r="AQ445" s="19"/>
      <c r="AR445" s="19"/>
      <c r="AS445" s="27"/>
    </row>
    <row r="446" spans="1:45">
      <c r="A446" s="19">
        <f t="shared" si="6"/>
        <v>445</v>
      </c>
      <c r="B446" s="20">
        <v>45810</v>
      </c>
      <c r="C446" s="19" t="s">
        <v>1101</v>
      </c>
      <c r="D446" s="19" t="s">
        <v>1026</v>
      </c>
      <c r="E446" s="19">
        <v>20249156</v>
      </c>
      <c r="F446" s="19" t="s">
        <v>2824</v>
      </c>
      <c r="G446" s="19" t="s">
        <v>2825</v>
      </c>
      <c r="H446" s="19" t="s">
        <v>2826</v>
      </c>
      <c r="I446" s="19" t="s">
        <v>123</v>
      </c>
      <c r="J446" s="19" t="s">
        <v>1924</v>
      </c>
      <c r="K446" s="19" t="s">
        <v>135</v>
      </c>
      <c r="L446" s="19">
        <v>10</v>
      </c>
      <c r="M446" s="19" t="s">
        <v>2827</v>
      </c>
      <c r="N446" s="19">
        <v>7</v>
      </c>
      <c r="O446" s="19">
        <v>0</v>
      </c>
      <c r="P446" s="19">
        <v>12</v>
      </c>
      <c r="Q446" s="19" t="s">
        <v>72</v>
      </c>
      <c r="R446" s="19" t="s">
        <v>72</v>
      </c>
      <c r="S446" s="19" t="s">
        <v>1121</v>
      </c>
      <c r="T446" s="19"/>
      <c r="U446" s="21"/>
      <c r="V446" s="19"/>
      <c r="W446" s="19" t="s">
        <v>74</v>
      </c>
      <c r="X446" s="19" t="s">
        <v>74</v>
      </c>
      <c r="Y446" s="19" t="s">
        <v>70</v>
      </c>
      <c r="Z446" s="19" t="s">
        <v>68</v>
      </c>
      <c r="AA446" s="4"/>
      <c r="AB446" s="4"/>
      <c r="AC446" s="4"/>
      <c r="AD446" s="19"/>
      <c r="AE446" s="19"/>
      <c r="AF446" s="19"/>
      <c r="AG446" s="19"/>
      <c r="AH446" s="19"/>
      <c r="AI446" s="19"/>
      <c r="AJ446" s="19"/>
      <c r="AK446" s="19"/>
      <c r="AL446" s="19"/>
      <c r="AM446" s="19"/>
      <c r="AN446" s="19"/>
      <c r="AO446" s="19"/>
      <c r="AP446" s="19"/>
      <c r="AQ446" s="19"/>
      <c r="AR446" s="19"/>
      <c r="AS446" s="27"/>
    </row>
    <row r="447" spans="1:45">
      <c r="A447" s="19">
        <f t="shared" si="6"/>
        <v>446</v>
      </c>
      <c r="B447" s="20">
        <v>45810</v>
      </c>
      <c r="C447" s="19" t="s">
        <v>1101</v>
      </c>
      <c r="D447" s="19" t="s">
        <v>1026</v>
      </c>
      <c r="E447" s="19">
        <v>20249156</v>
      </c>
      <c r="F447" s="19" t="s">
        <v>2828</v>
      </c>
      <c r="G447" s="19">
        <v>8793888235</v>
      </c>
      <c r="H447" s="19" t="s">
        <v>2829</v>
      </c>
      <c r="I447" s="19" t="s">
        <v>123</v>
      </c>
      <c r="J447" s="19" t="s">
        <v>1924</v>
      </c>
      <c r="K447" s="19" t="s">
        <v>135</v>
      </c>
      <c r="L447" s="19">
        <v>15</v>
      </c>
      <c r="M447" s="19" t="s">
        <v>2830</v>
      </c>
      <c r="N447" s="19">
        <v>14.5</v>
      </c>
      <c r="O447" s="19">
        <v>0.2</v>
      </c>
      <c r="P447" s="19" t="s">
        <v>1057</v>
      </c>
      <c r="Q447" s="19" t="s">
        <v>2831</v>
      </c>
      <c r="R447" s="19" t="s">
        <v>72</v>
      </c>
      <c r="S447" s="19" t="s">
        <v>1210</v>
      </c>
      <c r="T447" s="19"/>
      <c r="U447" s="21"/>
      <c r="V447" s="19"/>
      <c r="W447" s="19" t="s">
        <v>74</v>
      </c>
      <c r="X447" s="19" t="s">
        <v>74</v>
      </c>
      <c r="Y447" s="19" t="s">
        <v>70</v>
      </c>
      <c r="Z447" s="19" t="s">
        <v>68</v>
      </c>
      <c r="AA447" s="4"/>
      <c r="AB447" s="4"/>
      <c r="AC447" s="4"/>
      <c r="AD447" s="19"/>
      <c r="AE447" s="19"/>
      <c r="AF447" s="19"/>
      <c r="AG447" s="19"/>
      <c r="AH447" s="19"/>
      <c r="AI447" s="19"/>
      <c r="AJ447" s="19"/>
      <c r="AK447" s="19"/>
      <c r="AL447" s="19"/>
      <c r="AM447" s="19"/>
      <c r="AN447" s="19"/>
      <c r="AO447" s="19"/>
      <c r="AP447" s="19"/>
      <c r="AQ447" s="19"/>
      <c r="AR447" s="19"/>
      <c r="AS447" s="27"/>
    </row>
    <row r="448" spans="1:45">
      <c r="A448" s="19">
        <f t="shared" si="6"/>
        <v>447</v>
      </c>
      <c r="B448" s="20">
        <v>45810</v>
      </c>
      <c r="C448" s="19" t="s">
        <v>1101</v>
      </c>
      <c r="D448" s="19" t="s">
        <v>1026</v>
      </c>
      <c r="E448" s="19">
        <v>20249156</v>
      </c>
      <c r="F448" s="19" t="s">
        <v>2832</v>
      </c>
      <c r="G448" s="19">
        <v>9730107010</v>
      </c>
      <c r="H448" s="19" t="s">
        <v>2833</v>
      </c>
      <c r="I448" s="19" t="s">
        <v>123</v>
      </c>
      <c r="J448" s="19" t="s">
        <v>1924</v>
      </c>
      <c r="K448" s="19" t="s">
        <v>135</v>
      </c>
      <c r="L448" s="19">
        <v>8.5</v>
      </c>
      <c r="M448" s="19" t="s">
        <v>2834</v>
      </c>
      <c r="N448" s="19">
        <v>7.9</v>
      </c>
      <c r="O448" s="19">
        <v>0</v>
      </c>
      <c r="P448" s="19">
        <v>0.3</v>
      </c>
      <c r="Q448" s="19" t="s">
        <v>2835</v>
      </c>
      <c r="R448" s="19" t="s">
        <v>72</v>
      </c>
      <c r="S448" s="19" t="s">
        <v>1121</v>
      </c>
      <c r="T448" s="19"/>
      <c r="U448" s="21"/>
      <c r="V448" s="19"/>
      <c r="W448" s="19" t="s">
        <v>74</v>
      </c>
      <c r="X448" s="19" t="s">
        <v>74</v>
      </c>
      <c r="Y448" s="19" t="s">
        <v>70</v>
      </c>
      <c r="Z448" s="19" t="s">
        <v>68</v>
      </c>
      <c r="AA448" s="4"/>
      <c r="AB448" s="4"/>
      <c r="AC448" s="4"/>
      <c r="AD448" s="19"/>
      <c r="AE448" s="19"/>
      <c r="AF448" s="19"/>
      <c r="AG448" s="19"/>
      <c r="AH448" s="19"/>
      <c r="AI448" s="19"/>
      <c r="AJ448" s="19"/>
      <c r="AK448" s="19"/>
      <c r="AL448" s="19"/>
      <c r="AM448" s="19"/>
      <c r="AN448" s="19"/>
      <c r="AO448" s="19"/>
      <c r="AP448" s="19"/>
      <c r="AQ448" s="19"/>
      <c r="AR448" s="19"/>
      <c r="AS448" s="27"/>
    </row>
    <row r="449" spans="1:45">
      <c r="A449" s="19">
        <f t="shared" si="6"/>
        <v>448</v>
      </c>
      <c r="B449" s="20">
        <v>45810</v>
      </c>
      <c r="C449" s="19" t="s">
        <v>1101</v>
      </c>
      <c r="D449" s="19" t="s">
        <v>1102</v>
      </c>
      <c r="E449" s="19">
        <v>20242406</v>
      </c>
      <c r="F449" s="19" t="s">
        <v>2836</v>
      </c>
      <c r="G449" s="19">
        <v>8000166189</v>
      </c>
      <c r="H449" s="19" t="s">
        <v>2837</v>
      </c>
      <c r="I449" s="19" t="s">
        <v>86</v>
      </c>
      <c r="J449" s="19" t="s">
        <v>1681</v>
      </c>
      <c r="K449" s="19" t="s">
        <v>1682</v>
      </c>
      <c r="L449" s="19" t="s">
        <v>1786</v>
      </c>
      <c r="M449" s="19" t="s">
        <v>2838</v>
      </c>
      <c r="N449" s="19">
        <v>13.2</v>
      </c>
      <c r="O449" s="19" t="s">
        <v>2839</v>
      </c>
      <c r="P449" s="19" t="s">
        <v>2598</v>
      </c>
      <c r="Q449" s="19" t="s">
        <v>72</v>
      </c>
      <c r="R449" s="19" t="s">
        <v>72</v>
      </c>
      <c r="S449" s="19" t="s">
        <v>1631</v>
      </c>
      <c r="T449" s="19" t="s">
        <v>1833</v>
      </c>
      <c r="U449" s="21"/>
      <c r="V449" s="19"/>
      <c r="W449" s="19" t="s">
        <v>245</v>
      </c>
      <c r="X449" s="19" t="s">
        <v>245</v>
      </c>
      <c r="Y449" s="19"/>
      <c r="Z449" s="19" t="s">
        <v>68</v>
      </c>
      <c r="AA449" s="4"/>
      <c r="AB449" s="4"/>
      <c r="AC449" s="4"/>
      <c r="AD449" s="19"/>
      <c r="AE449" s="19"/>
      <c r="AF449" s="19"/>
      <c r="AG449" s="19"/>
      <c r="AH449" s="19"/>
      <c r="AI449" s="19"/>
      <c r="AJ449" s="19"/>
      <c r="AK449" s="19"/>
      <c r="AL449" s="19"/>
      <c r="AM449" s="19"/>
      <c r="AN449" s="19"/>
      <c r="AO449" s="19"/>
      <c r="AP449" s="19"/>
      <c r="AQ449" s="19"/>
      <c r="AR449" s="19"/>
      <c r="AS449" s="27"/>
    </row>
    <row r="450" spans="1:45">
      <c r="A450" s="19">
        <f t="shared" si="6"/>
        <v>449</v>
      </c>
      <c r="B450" s="20">
        <v>45810</v>
      </c>
      <c r="C450" s="19" t="s">
        <v>1101</v>
      </c>
      <c r="D450" s="19" t="s">
        <v>1707</v>
      </c>
      <c r="E450" s="19">
        <v>20252407</v>
      </c>
      <c r="F450" s="19" t="s">
        <v>2836</v>
      </c>
      <c r="G450" s="19">
        <v>8000166189</v>
      </c>
      <c r="H450" s="19" t="s">
        <v>2837</v>
      </c>
      <c r="I450" s="19" t="s">
        <v>86</v>
      </c>
      <c r="J450" s="19" t="s">
        <v>393</v>
      </c>
      <c r="K450" s="19" t="s">
        <v>1812</v>
      </c>
      <c r="L450" s="19" t="s">
        <v>1786</v>
      </c>
      <c r="M450" s="19" t="s">
        <v>2838</v>
      </c>
      <c r="N450" s="19">
        <v>13.2</v>
      </c>
      <c r="O450" s="19" t="s">
        <v>2839</v>
      </c>
      <c r="P450" s="19" t="s">
        <v>2598</v>
      </c>
      <c r="Q450" s="19" t="s">
        <v>72</v>
      </c>
      <c r="R450" s="19" t="s">
        <v>72</v>
      </c>
      <c r="S450" s="19" t="s">
        <v>1631</v>
      </c>
      <c r="T450" s="19" t="s">
        <v>1833</v>
      </c>
      <c r="U450" s="21"/>
      <c r="V450" s="19"/>
      <c r="W450" s="19" t="s">
        <v>245</v>
      </c>
      <c r="X450" s="19" t="s">
        <v>245</v>
      </c>
      <c r="Y450" s="19"/>
      <c r="Z450" s="19" t="s">
        <v>68</v>
      </c>
      <c r="AA450" s="4"/>
      <c r="AB450" s="4"/>
      <c r="AC450" s="4"/>
      <c r="AD450" s="19"/>
      <c r="AE450" s="19"/>
      <c r="AF450" s="19"/>
      <c r="AG450" s="19"/>
      <c r="AH450" s="19"/>
      <c r="AI450" s="19"/>
      <c r="AJ450" s="19"/>
      <c r="AK450" s="19"/>
      <c r="AL450" s="19"/>
      <c r="AM450" s="19"/>
      <c r="AN450" s="19"/>
      <c r="AO450" s="19"/>
      <c r="AP450" s="19"/>
      <c r="AQ450" s="19"/>
      <c r="AR450" s="19"/>
      <c r="AS450" s="27"/>
    </row>
    <row r="451" spans="1:45">
      <c r="A451" s="19">
        <f t="shared" ref="A451:A514" si="7">A450+1</f>
        <v>450</v>
      </c>
      <c r="B451" s="20">
        <v>45810</v>
      </c>
      <c r="C451" s="19" t="s">
        <v>1101</v>
      </c>
      <c r="D451" s="19" t="s">
        <v>1707</v>
      </c>
      <c r="E451" s="19">
        <v>20245969</v>
      </c>
      <c r="F451" s="19" t="s">
        <v>2840</v>
      </c>
      <c r="G451" s="19">
        <v>9964267461</v>
      </c>
      <c r="H451" s="19" t="s">
        <v>2841</v>
      </c>
      <c r="I451" s="19" t="s">
        <v>123</v>
      </c>
      <c r="J451" s="19" t="s">
        <v>393</v>
      </c>
      <c r="K451" s="19" t="s">
        <v>1812</v>
      </c>
      <c r="L451" s="19" t="s">
        <v>2842</v>
      </c>
      <c r="M451" s="19" t="s">
        <v>2044</v>
      </c>
      <c r="N451" s="19">
        <v>14.4</v>
      </c>
      <c r="O451" s="19" t="s">
        <v>2843</v>
      </c>
      <c r="P451" s="19" t="s">
        <v>2844</v>
      </c>
      <c r="Q451" s="19" t="s">
        <v>1392</v>
      </c>
      <c r="R451" s="19" t="s">
        <v>72</v>
      </c>
      <c r="S451" s="19" t="s">
        <v>2845</v>
      </c>
      <c r="T451" s="19" t="s">
        <v>2846</v>
      </c>
      <c r="U451" s="21"/>
      <c r="V451" s="19"/>
      <c r="W451" s="19" t="s">
        <v>245</v>
      </c>
      <c r="X451" s="19" t="s">
        <v>245</v>
      </c>
      <c r="Y451" s="19"/>
      <c r="Z451" s="19" t="s">
        <v>68</v>
      </c>
      <c r="AA451" s="4"/>
      <c r="AB451" s="4"/>
      <c r="AC451" s="4"/>
      <c r="AD451" s="19"/>
      <c r="AE451" s="19"/>
      <c r="AF451" s="19"/>
      <c r="AG451" s="19"/>
      <c r="AH451" s="19"/>
      <c r="AI451" s="19"/>
      <c r="AJ451" s="19"/>
      <c r="AK451" s="19"/>
      <c r="AL451" s="19"/>
      <c r="AM451" s="19"/>
      <c r="AN451" s="19"/>
      <c r="AO451" s="19"/>
      <c r="AP451" s="19"/>
      <c r="AQ451" s="19"/>
      <c r="AR451" s="19"/>
      <c r="AS451" s="27"/>
    </row>
    <row r="452" spans="1:45">
      <c r="A452" s="19">
        <f t="shared" si="7"/>
        <v>451</v>
      </c>
      <c r="B452" s="20">
        <v>45810</v>
      </c>
      <c r="C452" s="19" t="s">
        <v>1101</v>
      </c>
      <c r="D452" s="19" t="s">
        <v>1707</v>
      </c>
      <c r="E452" s="19">
        <v>20245969</v>
      </c>
      <c r="F452" s="19" t="s">
        <v>2847</v>
      </c>
      <c r="G452" s="19">
        <v>7004789066</v>
      </c>
      <c r="H452" s="19" t="s">
        <v>2848</v>
      </c>
      <c r="I452" s="19" t="s">
        <v>123</v>
      </c>
      <c r="J452" s="19" t="s">
        <v>393</v>
      </c>
      <c r="K452" s="19" t="s">
        <v>1812</v>
      </c>
      <c r="L452" s="19" t="s">
        <v>2849</v>
      </c>
      <c r="M452" s="19" t="s">
        <v>2338</v>
      </c>
      <c r="N452" s="19">
        <v>11</v>
      </c>
      <c r="O452" s="19" t="s">
        <v>1057</v>
      </c>
      <c r="P452" s="19" t="s">
        <v>2844</v>
      </c>
      <c r="Q452" s="19" t="s">
        <v>1392</v>
      </c>
      <c r="R452" s="19" t="s">
        <v>72</v>
      </c>
      <c r="S452" s="19" t="s">
        <v>2850</v>
      </c>
      <c r="T452" s="19" t="s">
        <v>2851</v>
      </c>
      <c r="U452" s="21"/>
      <c r="V452" s="19"/>
      <c r="W452" s="19" t="s">
        <v>245</v>
      </c>
      <c r="X452" s="19" t="s">
        <v>245</v>
      </c>
      <c r="Y452" s="19"/>
      <c r="Z452" s="19" t="s">
        <v>68</v>
      </c>
      <c r="AA452" s="4"/>
      <c r="AB452" s="4"/>
      <c r="AC452" s="4"/>
      <c r="AD452" s="19"/>
      <c r="AE452" s="19"/>
      <c r="AF452" s="19"/>
      <c r="AG452" s="19"/>
      <c r="AH452" s="19"/>
      <c r="AI452" s="19"/>
      <c r="AJ452" s="19"/>
      <c r="AK452" s="19"/>
      <c r="AL452" s="19"/>
      <c r="AM452" s="19"/>
      <c r="AN452" s="19"/>
      <c r="AO452" s="19"/>
      <c r="AP452" s="19"/>
      <c r="AQ452" s="19"/>
      <c r="AR452" s="19"/>
      <c r="AS452" s="27"/>
    </row>
    <row r="453" spans="1:45">
      <c r="A453" s="19">
        <f t="shared" si="7"/>
        <v>452</v>
      </c>
      <c r="B453" s="20">
        <v>45840</v>
      </c>
      <c r="C453" s="19" t="s">
        <v>1101</v>
      </c>
      <c r="D453" s="19" t="s">
        <v>1102</v>
      </c>
      <c r="E453" s="19">
        <v>20243902</v>
      </c>
      <c r="F453" s="19" t="s">
        <v>2852</v>
      </c>
      <c r="G453" s="19">
        <v>9922493317</v>
      </c>
      <c r="H453" s="19" t="s">
        <v>2853</v>
      </c>
      <c r="I453" s="19" t="s">
        <v>123</v>
      </c>
      <c r="J453" s="19" t="s">
        <v>117</v>
      </c>
      <c r="K453" s="19" t="s">
        <v>119</v>
      </c>
      <c r="L453" s="19">
        <v>2.6</v>
      </c>
      <c r="M453" s="19" t="s">
        <v>1551</v>
      </c>
      <c r="N453" s="19">
        <v>4.4000000000000004</v>
      </c>
      <c r="O453" s="19" t="s">
        <v>1973</v>
      </c>
      <c r="P453" s="19">
        <v>6</v>
      </c>
      <c r="Q453" s="19" t="s">
        <v>72</v>
      </c>
      <c r="R453" s="19" t="s">
        <v>72</v>
      </c>
      <c r="S453" s="19" t="s">
        <v>1139</v>
      </c>
      <c r="T453" s="19"/>
      <c r="U453" s="21"/>
      <c r="V453" s="19"/>
      <c r="W453" s="19" t="s">
        <v>74</v>
      </c>
      <c r="X453" s="19" t="s">
        <v>74</v>
      </c>
      <c r="Y453" s="19" t="s">
        <v>70</v>
      </c>
      <c r="Z453" s="19" t="s">
        <v>68</v>
      </c>
      <c r="AA453" s="4"/>
      <c r="AB453" s="4"/>
      <c r="AC453" s="4"/>
      <c r="AD453" s="19"/>
      <c r="AE453" s="19"/>
      <c r="AF453" s="19"/>
      <c r="AG453" s="19"/>
      <c r="AH453" s="19"/>
      <c r="AI453" s="19"/>
      <c r="AJ453" s="19"/>
      <c r="AK453" s="19"/>
      <c r="AL453" s="19"/>
      <c r="AM453" s="19"/>
      <c r="AN453" s="19"/>
      <c r="AO453" s="19"/>
      <c r="AP453" s="19"/>
      <c r="AQ453" s="19"/>
      <c r="AR453" s="19"/>
      <c r="AS453" s="27"/>
    </row>
    <row r="454" spans="1:45">
      <c r="A454" s="19">
        <f t="shared" si="7"/>
        <v>453</v>
      </c>
      <c r="B454" s="20">
        <v>45840</v>
      </c>
      <c r="C454" s="19" t="s">
        <v>1101</v>
      </c>
      <c r="D454" s="19" t="s">
        <v>1707</v>
      </c>
      <c r="E454" s="19">
        <v>20245966</v>
      </c>
      <c r="F454" s="19" t="s">
        <v>2854</v>
      </c>
      <c r="G454" s="19">
        <v>7809069706</v>
      </c>
      <c r="H454" s="19" t="s">
        <v>2855</v>
      </c>
      <c r="I454" s="19" t="s">
        <v>123</v>
      </c>
      <c r="J454" s="19" t="s">
        <v>2856</v>
      </c>
      <c r="K454" s="19" t="s">
        <v>963</v>
      </c>
      <c r="L454" s="19" t="s">
        <v>1054</v>
      </c>
      <c r="M454" s="19" t="s">
        <v>1551</v>
      </c>
      <c r="N454" s="19">
        <v>5.75</v>
      </c>
      <c r="O454" s="19" t="s">
        <v>1057</v>
      </c>
      <c r="P454" s="19" t="s">
        <v>2857</v>
      </c>
      <c r="Q454" s="19" t="s">
        <v>72</v>
      </c>
      <c r="R454" s="19" t="s">
        <v>72</v>
      </c>
      <c r="S454" s="19" t="s">
        <v>1139</v>
      </c>
      <c r="T454" s="19" t="s">
        <v>1885</v>
      </c>
      <c r="U454" s="21"/>
      <c r="V454" s="19"/>
      <c r="W454" s="19" t="s">
        <v>245</v>
      </c>
      <c r="X454" s="19" t="s">
        <v>245</v>
      </c>
      <c r="Y454" s="19"/>
      <c r="Z454" s="19" t="s">
        <v>68</v>
      </c>
      <c r="AA454" s="4"/>
      <c r="AB454" s="4"/>
      <c r="AC454" s="4"/>
      <c r="AD454" s="19"/>
      <c r="AE454" s="19"/>
      <c r="AF454" s="19"/>
      <c r="AG454" s="19"/>
      <c r="AH454" s="19"/>
      <c r="AI454" s="19"/>
      <c r="AJ454" s="19"/>
      <c r="AK454" s="19"/>
      <c r="AL454" s="19"/>
      <c r="AM454" s="19"/>
      <c r="AN454" s="19"/>
      <c r="AO454" s="19"/>
      <c r="AP454" s="19"/>
      <c r="AQ454" s="19"/>
      <c r="AR454" s="19"/>
      <c r="AS454" s="27"/>
    </row>
    <row r="455" spans="1:45">
      <c r="A455" s="19">
        <f t="shared" si="7"/>
        <v>454</v>
      </c>
      <c r="B455" s="20">
        <v>45840</v>
      </c>
      <c r="C455" s="19" t="s">
        <v>1101</v>
      </c>
      <c r="D455" s="19" t="s">
        <v>1699</v>
      </c>
      <c r="E455" s="19">
        <v>20245966</v>
      </c>
      <c r="F455" s="19" t="s">
        <v>2858</v>
      </c>
      <c r="G455" s="19">
        <v>8669451131</v>
      </c>
      <c r="H455" s="19" t="s">
        <v>2859</v>
      </c>
      <c r="I455" s="19" t="s">
        <v>123</v>
      </c>
      <c r="J455" s="19" t="s">
        <v>2856</v>
      </c>
      <c r="K455" s="19" t="s">
        <v>963</v>
      </c>
      <c r="L455" s="19" t="s">
        <v>2860</v>
      </c>
      <c r="M455" s="19" t="s">
        <v>2861</v>
      </c>
      <c r="N455" s="19" t="s">
        <v>1204</v>
      </c>
      <c r="O455" s="19" t="s">
        <v>1057</v>
      </c>
      <c r="P455" s="19" t="s">
        <v>1090</v>
      </c>
      <c r="Q455" s="19" t="s">
        <v>72</v>
      </c>
      <c r="R455" s="19" t="s">
        <v>72</v>
      </c>
      <c r="S455" s="19" t="s">
        <v>1405</v>
      </c>
      <c r="T455" s="19" t="s">
        <v>1057</v>
      </c>
      <c r="U455" s="21"/>
      <c r="V455" s="19"/>
      <c r="W455" s="19" t="s">
        <v>245</v>
      </c>
      <c r="X455" s="19" t="s">
        <v>245</v>
      </c>
      <c r="Y455" s="19"/>
      <c r="Z455" s="19" t="s">
        <v>68</v>
      </c>
      <c r="AA455" s="4"/>
      <c r="AB455" s="4"/>
      <c r="AC455" s="4"/>
      <c r="AD455" s="19"/>
      <c r="AE455" s="19"/>
      <c r="AF455" s="19"/>
      <c r="AG455" s="19"/>
      <c r="AH455" s="19"/>
      <c r="AI455" s="19"/>
      <c r="AJ455" s="19"/>
      <c r="AK455" s="19"/>
      <c r="AL455" s="19"/>
      <c r="AM455" s="19"/>
      <c r="AN455" s="19"/>
      <c r="AO455" s="19"/>
      <c r="AP455" s="19"/>
      <c r="AQ455" s="19"/>
      <c r="AR455" s="19"/>
      <c r="AS455" s="27"/>
    </row>
    <row r="456" spans="1:45">
      <c r="A456" s="19">
        <f t="shared" si="7"/>
        <v>455</v>
      </c>
      <c r="B456" s="20">
        <v>45840</v>
      </c>
      <c r="C456" s="19" t="s">
        <v>1101</v>
      </c>
      <c r="D456" s="19" t="s">
        <v>1707</v>
      </c>
      <c r="E456" s="19">
        <v>20245966</v>
      </c>
      <c r="F456" s="19" t="s">
        <v>2862</v>
      </c>
      <c r="G456" s="19">
        <v>9767264150</v>
      </c>
      <c r="H456" s="19" t="s">
        <v>2863</v>
      </c>
      <c r="I456" s="19" t="s">
        <v>123</v>
      </c>
      <c r="J456" s="19" t="s">
        <v>2856</v>
      </c>
      <c r="K456" s="19" t="s">
        <v>963</v>
      </c>
      <c r="L456" s="19" t="s">
        <v>2864</v>
      </c>
      <c r="M456" s="19" t="s">
        <v>2865</v>
      </c>
      <c r="N456" s="19" t="s">
        <v>1540</v>
      </c>
      <c r="O456" s="19" t="s">
        <v>1057</v>
      </c>
      <c r="P456" s="19" t="s">
        <v>1712</v>
      </c>
      <c r="Q456" s="19" t="s">
        <v>72</v>
      </c>
      <c r="R456" s="19" t="s">
        <v>72</v>
      </c>
      <c r="S456" s="19" t="s">
        <v>2866</v>
      </c>
      <c r="T456" s="19" t="s">
        <v>1057</v>
      </c>
      <c r="U456" s="21"/>
      <c r="V456" s="19"/>
      <c r="W456" s="19" t="s">
        <v>245</v>
      </c>
      <c r="X456" s="19" t="s">
        <v>245</v>
      </c>
      <c r="Y456" s="19"/>
      <c r="Z456" s="19" t="s">
        <v>68</v>
      </c>
      <c r="AA456" s="4"/>
      <c r="AB456" s="4"/>
      <c r="AC456" s="4"/>
      <c r="AD456" s="19"/>
      <c r="AE456" s="19"/>
      <c r="AF456" s="19"/>
      <c r="AG456" s="19"/>
      <c r="AH456" s="19"/>
      <c r="AI456" s="19"/>
      <c r="AJ456" s="19"/>
      <c r="AK456" s="19"/>
      <c r="AL456" s="19"/>
      <c r="AM456" s="19"/>
      <c r="AN456" s="19"/>
      <c r="AO456" s="19"/>
      <c r="AP456" s="19"/>
      <c r="AQ456" s="19"/>
      <c r="AR456" s="19"/>
      <c r="AS456" s="27"/>
    </row>
    <row r="457" spans="1:45">
      <c r="A457" s="19">
        <f t="shared" si="7"/>
        <v>456</v>
      </c>
      <c r="B457" s="20">
        <v>45840</v>
      </c>
      <c r="C457" s="19" t="s">
        <v>1101</v>
      </c>
      <c r="D457" s="19" t="s">
        <v>2431</v>
      </c>
      <c r="E457" s="19">
        <v>20245966</v>
      </c>
      <c r="F457" s="19" t="s">
        <v>2867</v>
      </c>
      <c r="G457" s="19">
        <v>8484055446</v>
      </c>
      <c r="H457" s="19" t="s">
        <v>2868</v>
      </c>
      <c r="I457" s="19" t="s">
        <v>123</v>
      </c>
      <c r="J457" s="19" t="s">
        <v>2856</v>
      </c>
      <c r="K457" s="19" t="s">
        <v>963</v>
      </c>
      <c r="L457" s="19" t="s">
        <v>1054</v>
      </c>
      <c r="M457" s="19" t="s">
        <v>2869</v>
      </c>
      <c r="N457" s="19" t="s">
        <v>2870</v>
      </c>
      <c r="O457" s="19" t="s">
        <v>1057</v>
      </c>
      <c r="P457" s="19" t="s">
        <v>2871</v>
      </c>
      <c r="Q457" s="19" t="s">
        <v>72</v>
      </c>
      <c r="R457" s="19" t="s">
        <v>72</v>
      </c>
      <c r="S457" s="19" t="s">
        <v>1626</v>
      </c>
      <c r="T457" s="19" t="s">
        <v>1057</v>
      </c>
      <c r="U457" s="21"/>
      <c r="V457" s="19"/>
      <c r="W457" s="19" t="s">
        <v>245</v>
      </c>
      <c r="X457" s="19" t="s">
        <v>245</v>
      </c>
      <c r="Y457" s="19"/>
      <c r="Z457" s="19" t="s">
        <v>68</v>
      </c>
      <c r="AA457" s="4"/>
      <c r="AB457" s="4"/>
      <c r="AC457" s="4"/>
      <c r="AD457" s="19"/>
      <c r="AE457" s="19"/>
      <c r="AF457" s="19"/>
      <c r="AG457" s="19"/>
      <c r="AH457" s="19"/>
      <c r="AI457" s="19"/>
      <c r="AJ457" s="19"/>
      <c r="AK457" s="19"/>
      <c r="AL457" s="19"/>
      <c r="AM457" s="19"/>
      <c r="AN457" s="19"/>
      <c r="AO457" s="19"/>
      <c r="AP457" s="19"/>
      <c r="AQ457" s="19"/>
      <c r="AR457" s="19"/>
      <c r="AS457" s="27"/>
    </row>
    <row r="458" spans="1:45">
      <c r="A458" s="19">
        <f t="shared" si="7"/>
        <v>457</v>
      </c>
      <c r="B458" s="20">
        <v>45840</v>
      </c>
      <c r="C458" s="19" t="s">
        <v>1101</v>
      </c>
      <c r="D458" s="19" t="s">
        <v>2431</v>
      </c>
      <c r="E458" s="19">
        <v>20245966</v>
      </c>
      <c r="F458" s="19" t="s">
        <v>2872</v>
      </c>
      <c r="G458" s="19">
        <v>9716943929</v>
      </c>
      <c r="H458" s="19" t="s">
        <v>2873</v>
      </c>
      <c r="I458" s="19" t="s">
        <v>123</v>
      </c>
      <c r="J458" s="19" t="s">
        <v>2856</v>
      </c>
      <c r="K458" s="19" t="s">
        <v>963</v>
      </c>
      <c r="L458" s="19" t="s">
        <v>1683</v>
      </c>
      <c r="M458" s="19" t="s">
        <v>2874</v>
      </c>
      <c r="N458" s="19" t="s">
        <v>1285</v>
      </c>
      <c r="O458" s="19" t="s">
        <v>1057</v>
      </c>
      <c r="P458" s="19" t="s">
        <v>1712</v>
      </c>
      <c r="Q458" s="19" t="s">
        <v>72</v>
      </c>
      <c r="R458" s="19" t="s">
        <v>72</v>
      </c>
      <c r="S458" s="19" t="s">
        <v>2875</v>
      </c>
      <c r="T458" s="19" t="s">
        <v>1057</v>
      </c>
      <c r="U458" s="21"/>
      <c r="V458" s="19"/>
      <c r="W458" s="19" t="s">
        <v>245</v>
      </c>
      <c r="X458" s="19" t="s">
        <v>245</v>
      </c>
      <c r="Y458" s="19"/>
      <c r="Z458" s="19" t="s">
        <v>68</v>
      </c>
      <c r="AA458" s="4"/>
      <c r="AB458" s="4"/>
      <c r="AC458" s="4"/>
      <c r="AD458" s="19"/>
      <c r="AE458" s="19"/>
      <c r="AF458" s="19"/>
      <c r="AG458" s="19"/>
      <c r="AH458" s="19"/>
      <c r="AI458" s="19"/>
      <c r="AJ458" s="19"/>
      <c r="AK458" s="19"/>
      <c r="AL458" s="19"/>
      <c r="AM458" s="19"/>
      <c r="AN458" s="19"/>
      <c r="AO458" s="19"/>
      <c r="AP458" s="19"/>
      <c r="AQ458" s="19"/>
      <c r="AR458" s="19"/>
      <c r="AS458" s="27"/>
    </row>
    <row r="459" spans="1:45">
      <c r="A459" s="19">
        <f t="shared" si="7"/>
        <v>458</v>
      </c>
      <c r="B459" s="20">
        <v>45932</v>
      </c>
      <c r="C459" s="19" t="s">
        <v>1101</v>
      </c>
      <c r="D459" s="19" t="s">
        <v>1160</v>
      </c>
      <c r="E459" s="19">
        <v>20242803</v>
      </c>
      <c r="F459" s="19" t="s">
        <v>2876</v>
      </c>
      <c r="G459" s="19">
        <v>7028185311</v>
      </c>
      <c r="H459" s="19" t="s">
        <v>2877</v>
      </c>
      <c r="I459" s="19" t="s">
        <v>123</v>
      </c>
      <c r="J459" s="19" t="s">
        <v>109</v>
      </c>
      <c r="K459" s="19" t="s">
        <v>1105</v>
      </c>
      <c r="L459" s="19">
        <v>4.3</v>
      </c>
      <c r="M459" s="19" t="s">
        <v>1321</v>
      </c>
      <c r="N459" s="19">
        <v>8.9</v>
      </c>
      <c r="O459" s="19">
        <v>0</v>
      </c>
      <c r="P459" s="19">
        <v>14</v>
      </c>
      <c r="Q459" s="19" t="s">
        <v>1107</v>
      </c>
      <c r="R459" s="19" t="s">
        <v>72</v>
      </c>
      <c r="S459" s="19" t="s">
        <v>2878</v>
      </c>
      <c r="T459" s="19" t="s">
        <v>1057</v>
      </c>
      <c r="U459" s="21"/>
      <c r="V459" s="19"/>
      <c r="W459" s="19" t="s">
        <v>74</v>
      </c>
      <c r="X459" s="19" t="s">
        <v>74</v>
      </c>
      <c r="Y459" s="19" t="s">
        <v>70</v>
      </c>
      <c r="Z459" s="19" t="s">
        <v>68</v>
      </c>
      <c r="AA459" s="4">
        <v>45932</v>
      </c>
      <c r="AB459" s="4">
        <v>45936</v>
      </c>
      <c r="AC459" s="4">
        <v>45936</v>
      </c>
      <c r="AD459" s="19"/>
      <c r="AE459" s="19"/>
      <c r="AF459" s="19"/>
      <c r="AG459" s="19"/>
      <c r="AH459" s="19"/>
      <c r="AI459" s="19"/>
      <c r="AJ459" s="19"/>
      <c r="AK459" s="19"/>
      <c r="AL459" s="19"/>
      <c r="AM459" s="19"/>
      <c r="AN459" s="19"/>
      <c r="AO459" s="19"/>
      <c r="AP459" s="19"/>
      <c r="AQ459" s="19"/>
      <c r="AR459" s="19"/>
      <c r="AS459" s="27"/>
    </row>
    <row r="460" spans="1:45">
      <c r="A460" s="19">
        <f t="shared" si="7"/>
        <v>459</v>
      </c>
      <c r="B460" s="20">
        <v>45932</v>
      </c>
      <c r="C460" s="19" t="s">
        <v>1101</v>
      </c>
      <c r="D460" s="19" t="s">
        <v>1102</v>
      </c>
      <c r="E460" s="19">
        <v>20242803</v>
      </c>
      <c r="F460" s="19" t="s">
        <v>2879</v>
      </c>
      <c r="G460" s="19">
        <v>9158448681</v>
      </c>
      <c r="H460" s="19" t="s">
        <v>2880</v>
      </c>
      <c r="I460" s="19" t="s">
        <v>123</v>
      </c>
      <c r="J460" s="19" t="s">
        <v>109</v>
      </c>
      <c r="K460" s="19" t="s">
        <v>1105</v>
      </c>
      <c r="L460" s="19">
        <v>5</v>
      </c>
      <c r="M460" s="19" t="s">
        <v>2881</v>
      </c>
      <c r="N460" s="19">
        <v>6</v>
      </c>
      <c r="O460" s="19">
        <v>0</v>
      </c>
      <c r="P460" s="19" t="s">
        <v>2882</v>
      </c>
      <c r="Q460" s="19" t="s">
        <v>72</v>
      </c>
      <c r="R460" s="19" t="s">
        <v>72</v>
      </c>
      <c r="S460" s="19" t="s">
        <v>2883</v>
      </c>
      <c r="T460" s="19" t="s">
        <v>1057</v>
      </c>
      <c r="U460" s="21"/>
      <c r="V460" s="19"/>
      <c r="W460" s="19" t="s">
        <v>74</v>
      </c>
      <c r="X460" s="19" t="s">
        <v>74</v>
      </c>
      <c r="Y460" s="19" t="s">
        <v>70</v>
      </c>
      <c r="Z460" s="19" t="s">
        <v>68</v>
      </c>
      <c r="AA460" s="4">
        <v>45932</v>
      </c>
      <c r="AB460" s="4">
        <v>45936</v>
      </c>
      <c r="AC460" s="4">
        <v>45936</v>
      </c>
      <c r="AD460" s="19"/>
      <c r="AE460" s="19"/>
      <c r="AF460" s="19"/>
      <c r="AG460" s="19"/>
      <c r="AH460" s="19"/>
      <c r="AI460" s="19"/>
      <c r="AJ460" s="19"/>
      <c r="AK460" s="19"/>
      <c r="AL460" s="19"/>
      <c r="AM460" s="19"/>
      <c r="AN460" s="19"/>
      <c r="AO460" s="19"/>
      <c r="AP460" s="19"/>
      <c r="AQ460" s="19"/>
      <c r="AR460" s="19"/>
      <c r="AS460" s="27"/>
    </row>
    <row r="461" spans="1:45">
      <c r="A461" s="19">
        <f t="shared" si="7"/>
        <v>460</v>
      </c>
      <c r="B461" s="20">
        <v>45932</v>
      </c>
      <c r="C461" s="19" t="s">
        <v>1101</v>
      </c>
      <c r="D461" s="19" t="s">
        <v>1102</v>
      </c>
      <c r="E461" s="19">
        <v>20242803</v>
      </c>
      <c r="F461" s="19" t="s">
        <v>2884</v>
      </c>
      <c r="G461" s="19">
        <v>8788091085</v>
      </c>
      <c r="H461" s="19" t="s">
        <v>2885</v>
      </c>
      <c r="I461" s="19" t="s">
        <v>86</v>
      </c>
      <c r="J461" s="19" t="s">
        <v>109</v>
      </c>
      <c r="K461" s="19" t="s">
        <v>1105</v>
      </c>
      <c r="L461" s="19">
        <v>3.3</v>
      </c>
      <c r="M461" s="19" t="s">
        <v>1294</v>
      </c>
      <c r="N461" s="19">
        <v>4.74</v>
      </c>
      <c r="O461" s="19">
        <v>0</v>
      </c>
      <c r="P461" s="19">
        <v>10</v>
      </c>
      <c r="Q461" s="19" t="s">
        <v>1107</v>
      </c>
      <c r="R461" s="19" t="s">
        <v>72</v>
      </c>
      <c r="S461" s="19" t="s">
        <v>1405</v>
      </c>
      <c r="T461" s="19" t="s">
        <v>2886</v>
      </c>
      <c r="U461" s="21"/>
      <c r="V461" s="19"/>
      <c r="W461" s="19" t="s">
        <v>74</v>
      </c>
      <c r="X461" s="19" t="s">
        <v>74</v>
      </c>
      <c r="Y461" s="19" t="s">
        <v>70</v>
      </c>
      <c r="Z461" s="19" t="s">
        <v>68</v>
      </c>
      <c r="AA461" s="4">
        <v>45932</v>
      </c>
      <c r="AB461" s="4">
        <v>45933</v>
      </c>
      <c r="AC461" s="4">
        <v>45933</v>
      </c>
      <c r="AD461" s="19"/>
      <c r="AE461" s="19"/>
      <c r="AF461" s="19"/>
      <c r="AG461" s="19"/>
      <c r="AH461" s="19"/>
      <c r="AI461" s="19"/>
      <c r="AJ461" s="19"/>
      <c r="AK461" s="19"/>
      <c r="AL461" s="19"/>
      <c r="AM461" s="19"/>
      <c r="AN461" s="19"/>
      <c r="AO461" s="19"/>
      <c r="AP461" s="19"/>
      <c r="AQ461" s="19"/>
      <c r="AR461" s="19"/>
      <c r="AS461" s="27"/>
    </row>
    <row r="462" spans="1:45">
      <c r="A462" s="19">
        <f t="shared" si="7"/>
        <v>461</v>
      </c>
      <c r="B462" s="20">
        <v>45932</v>
      </c>
      <c r="C462" s="19" t="s">
        <v>1101</v>
      </c>
      <c r="D462" s="19" t="s">
        <v>1102</v>
      </c>
      <c r="E462" s="19">
        <v>20242803</v>
      </c>
      <c r="F462" s="19" t="s">
        <v>2887</v>
      </c>
      <c r="G462" s="19">
        <v>8482852678</v>
      </c>
      <c r="H462" s="19" t="s">
        <v>2888</v>
      </c>
      <c r="I462" s="19" t="s">
        <v>123</v>
      </c>
      <c r="J462" s="19" t="s">
        <v>109</v>
      </c>
      <c r="K462" s="19" t="s">
        <v>1105</v>
      </c>
      <c r="L462" s="19">
        <v>3.2</v>
      </c>
      <c r="M462" s="19" t="s">
        <v>2889</v>
      </c>
      <c r="N462" s="19">
        <v>4.5</v>
      </c>
      <c r="O462" s="19">
        <v>0</v>
      </c>
      <c r="P462" s="19">
        <v>10</v>
      </c>
      <c r="Q462" s="19" t="s">
        <v>1107</v>
      </c>
      <c r="R462" s="19" t="s">
        <v>72</v>
      </c>
      <c r="S462" s="19" t="s">
        <v>2890</v>
      </c>
      <c r="T462" s="19" t="s">
        <v>1057</v>
      </c>
      <c r="U462" s="21"/>
      <c r="V462" s="19"/>
      <c r="W462" s="19" t="s">
        <v>74</v>
      </c>
      <c r="X462" s="19" t="s">
        <v>74</v>
      </c>
      <c r="Y462" s="19" t="s">
        <v>70</v>
      </c>
      <c r="Z462" s="19" t="s">
        <v>68</v>
      </c>
      <c r="AA462" s="4">
        <v>45932</v>
      </c>
      <c r="AB462" s="4">
        <v>45940</v>
      </c>
      <c r="AC462" s="4">
        <v>45940</v>
      </c>
      <c r="AD462" s="19"/>
      <c r="AE462" s="19"/>
      <c r="AF462" s="19"/>
      <c r="AG462" s="19"/>
      <c r="AH462" s="19"/>
      <c r="AI462" s="19"/>
      <c r="AJ462" s="19"/>
      <c r="AK462" s="19"/>
      <c r="AL462" s="19"/>
      <c r="AM462" s="19"/>
      <c r="AN462" s="19"/>
      <c r="AO462" s="19"/>
      <c r="AP462" s="19"/>
      <c r="AQ462" s="19"/>
      <c r="AR462" s="19"/>
      <c r="AS462" s="27"/>
    </row>
    <row r="463" spans="1:45">
      <c r="A463" s="19">
        <f t="shared" si="7"/>
        <v>462</v>
      </c>
      <c r="B463" s="20">
        <v>45932</v>
      </c>
      <c r="C463" s="19" t="s">
        <v>1101</v>
      </c>
      <c r="D463" s="19" t="s">
        <v>1102</v>
      </c>
      <c r="E463" s="19">
        <v>20245321</v>
      </c>
      <c r="F463" s="19" t="s">
        <v>2891</v>
      </c>
      <c r="G463" s="19">
        <v>7206520261</v>
      </c>
      <c r="H463" s="19" t="s">
        <v>2892</v>
      </c>
      <c r="I463" s="19" t="s">
        <v>123</v>
      </c>
      <c r="J463" s="19" t="s">
        <v>114</v>
      </c>
      <c r="K463" s="19" t="s">
        <v>1105</v>
      </c>
      <c r="L463" s="19">
        <v>5.7</v>
      </c>
      <c r="M463" s="19" t="s">
        <v>2893</v>
      </c>
      <c r="N463" s="19">
        <v>16.7</v>
      </c>
      <c r="O463" s="19">
        <v>0</v>
      </c>
      <c r="P463" s="19">
        <v>25</v>
      </c>
      <c r="Q463" s="19" t="s">
        <v>2894</v>
      </c>
      <c r="R463" s="19" t="s">
        <v>72</v>
      </c>
      <c r="S463" s="19" t="s">
        <v>1121</v>
      </c>
      <c r="T463" s="19" t="s">
        <v>2895</v>
      </c>
      <c r="U463" s="21"/>
      <c r="V463" s="19"/>
      <c r="W463" s="19" t="s">
        <v>74</v>
      </c>
      <c r="X463" s="19" t="s">
        <v>74</v>
      </c>
      <c r="Y463" s="19" t="s">
        <v>70</v>
      </c>
      <c r="Z463" s="19" t="s">
        <v>68</v>
      </c>
      <c r="AA463" s="4">
        <v>45932</v>
      </c>
      <c r="AB463" s="4">
        <v>45936</v>
      </c>
      <c r="AC463" s="4">
        <v>45936</v>
      </c>
      <c r="AD463" s="19"/>
      <c r="AE463" s="19"/>
      <c r="AF463" s="19"/>
      <c r="AG463" s="19"/>
      <c r="AH463" s="19"/>
      <c r="AI463" s="19"/>
      <c r="AJ463" s="19"/>
      <c r="AK463" s="19"/>
      <c r="AL463" s="19"/>
      <c r="AM463" s="19"/>
      <c r="AN463" s="19"/>
      <c r="AO463" s="19"/>
      <c r="AP463" s="19"/>
      <c r="AQ463" s="19"/>
      <c r="AR463" s="19"/>
      <c r="AS463" s="27"/>
    </row>
    <row r="464" spans="1:45">
      <c r="A464" s="19">
        <f t="shared" si="7"/>
        <v>463</v>
      </c>
      <c r="B464" s="20">
        <v>45932</v>
      </c>
      <c r="C464" s="19" t="s">
        <v>1101</v>
      </c>
      <c r="D464" s="19" t="s">
        <v>1707</v>
      </c>
      <c r="E464" s="19">
        <v>20251977</v>
      </c>
      <c r="F464" s="19" t="s">
        <v>2896</v>
      </c>
      <c r="G464" s="19">
        <v>9552546194</v>
      </c>
      <c r="H464" s="19" t="s">
        <v>2897</v>
      </c>
      <c r="I464" s="19" t="s">
        <v>123</v>
      </c>
      <c r="J464" s="19" t="s">
        <v>1755</v>
      </c>
      <c r="K464" s="19" t="s">
        <v>1099</v>
      </c>
      <c r="L464" s="19" t="s">
        <v>2595</v>
      </c>
      <c r="M464" s="19" t="s">
        <v>1976</v>
      </c>
      <c r="N464" s="19">
        <v>23</v>
      </c>
      <c r="O464" s="19" t="s">
        <v>1057</v>
      </c>
      <c r="P464" s="19">
        <v>33</v>
      </c>
      <c r="Q464" s="19" t="s">
        <v>923</v>
      </c>
      <c r="R464" s="19" t="s">
        <v>923</v>
      </c>
      <c r="S464" s="19" t="s">
        <v>2898</v>
      </c>
      <c r="T464" s="19" t="s">
        <v>2899</v>
      </c>
      <c r="U464" s="21"/>
      <c r="V464" s="19"/>
      <c r="W464" s="19" t="s">
        <v>245</v>
      </c>
      <c r="X464" s="19" t="s">
        <v>245</v>
      </c>
      <c r="Y464" s="19"/>
      <c r="Z464" s="19" t="s">
        <v>68</v>
      </c>
      <c r="AA464" s="4"/>
      <c r="AB464" s="4">
        <v>45932</v>
      </c>
      <c r="AC464" s="4"/>
      <c r="AD464" s="19"/>
      <c r="AE464" s="19"/>
      <c r="AF464" s="19"/>
      <c r="AG464" s="19"/>
      <c r="AH464" s="19"/>
      <c r="AI464" s="19"/>
      <c r="AJ464" s="19"/>
      <c r="AK464" s="19"/>
      <c r="AL464" s="19"/>
      <c r="AM464" s="19"/>
      <c r="AN464" s="19"/>
      <c r="AO464" s="19"/>
      <c r="AP464" s="19"/>
      <c r="AQ464" s="19"/>
      <c r="AR464" s="19"/>
      <c r="AS464" s="27"/>
    </row>
    <row r="465" spans="1:45">
      <c r="A465" s="19">
        <f t="shared" si="7"/>
        <v>464</v>
      </c>
      <c r="B465" s="20">
        <v>45932</v>
      </c>
      <c r="C465" s="19" t="s">
        <v>1101</v>
      </c>
      <c r="D465" s="19" t="s">
        <v>1160</v>
      </c>
      <c r="E465" s="19">
        <v>20251977</v>
      </c>
      <c r="F465" s="19" t="s">
        <v>2900</v>
      </c>
      <c r="G465" s="19">
        <v>9158999177</v>
      </c>
      <c r="H465" s="19" t="s">
        <v>2901</v>
      </c>
      <c r="I465" s="19" t="s">
        <v>86</v>
      </c>
      <c r="J465" s="19" t="s">
        <v>1755</v>
      </c>
      <c r="K465" s="19" t="s">
        <v>1099</v>
      </c>
      <c r="L465" s="19" t="s">
        <v>2902</v>
      </c>
      <c r="M465" s="19" t="s">
        <v>2903</v>
      </c>
      <c r="N465" s="19">
        <v>32</v>
      </c>
      <c r="O465" s="19" t="s">
        <v>1057</v>
      </c>
      <c r="P465" s="19" t="s">
        <v>2904</v>
      </c>
      <c r="Q465" s="19" t="s">
        <v>72</v>
      </c>
      <c r="R465" s="19" t="s">
        <v>72</v>
      </c>
      <c r="S465" s="19" t="s">
        <v>1942</v>
      </c>
      <c r="T465" s="19" t="s">
        <v>2905</v>
      </c>
      <c r="U465" s="21"/>
      <c r="V465" s="19"/>
      <c r="W465" s="19" t="s">
        <v>245</v>
      </c>
      <c r="X465" s="19" t="s">
        <v>245</v>
      </c>
      <c r="Y465" s="19"/>
      <c r="Z465" s="19" t="s">
        <v>68</v>
      </c>
      <c r="AA465" s="4"/>
      <c r="AB465" s="4">
        <v>45700</v>
      </c>
      <c r="AC465" s="4"/>
      <c r="AD465" s="19"/>
      <c r="AE465" s="19"/>
      <c r="AF465" s="19"/>
      <c r="AG465" s="19"/>
      <c r="AH465" s="19"/>
      <c r="AI465" s="19"/>
      <c r="AJ465" s="19"/>
      <c r="AK465" s="19"/>
      <c r="AL465" s="19"/>
      <c r="AM465" s="19"/>
      <c r="AN465" s="19"/>
      <c r="AO465" s="19"/>
      <c r="AP465" s="19"/>
      <c r="AQ465" s="19"/>
      <c r="AR465" s="19"/>
      <c r="AS465" s="27"/>
    </row>
    <row r="466" spans="1:45">
      <c r="A466" s="19">
        <f t="shared" si="7"/>
        <v>465</v>
      </c>
      <c r="B466" s="20">
        <v>45932</v>
      </c>
      <c r="C466" s="19" t="s">
        <v>1101</v>
      </c>
      <c r="D466" s="19" t="s">
        <v>1102</v>
      </c>
      <c r="E466" s="19">
        <v>20245965</v>
      </c>
      <c r="F466" s="19" t="s">
        <v>2906</v>
      </c>
      <c r="G466" s="19">
        <v>8263009693</v>
      </c>
      <c r="H466" s="19" t="s">
        <v>2907</v>
      </c>
      <c r="I466" s="19" t="s">
        <v>123</v>
      </c>
      <c r="J466" s="19" t="s">
        <v>407</v>
      </c>
      <c r="K466" s="19" t="s">
        <v>963</v>
      </c>
      <c r="L466" s="19" t="s">
        <v>2908</v>
      </c>
      <c r="M466" s="19" t="s">
        <v>2909</v>
      </c>
      <c r="N466" s="19">
        <v>14</v>
      </c>
      <c r="O466" s="19" t="s">
        <v>1057</v>
      </c>
      <c r="P466" s="19">
        <v>22</v>
      </c>
      <c r="Q466" s="19" t="s">
        <v>72</v>
      </c>
      <c r="R466" s="19" t="s">
        <v>72</v>
      </c>
      <c r="S466" s="19" t="s">
        <v>2910</v>
      </c>
      <c r="T466" s="19" t="s">
        <v>1932</v>
      </c>
      <c r="U466" s="21"/>
      <c r="V466" s="19"/>
      <c r="W466" s="19" t="s">
        <v>245</v>
      </c>
      <c r="X466" s="19" t="s">
        <v>245</v>
      </c>
      <c r="Y466" s="19"/>
      <c r="Z466" s="19" t="s">
        <v>68</v>
      </c>
      <c r="AA466" s="4"/>
      <c r="AB466" s="4"/>
      <c r="AC466" s="4"/>
      <c r="AD466" s="19"/>
      <c r="AE466" s="19"/>
      <c r="AF466" s="19"/>
      <c r="AG466" s="19"/>
      <c r="AH466" s="19"/>
      <c r="AI466" s="19"/>
      <c r="AJ466" s="19"/>
      <c r="AK466" s="19"/>
      <c r="AL466" s="19"/>
      <c r="AM466" s="19"/>
      <c r="AN466" s="19"/>
      <c r="AO466" s="19"/>
      <c r="AP466" s="19"/>
      <c r="AQ466" s="19"/>
      <c r="AR466" s="19"/>
      <c r="AS466" s="27"/>
    </row>
    <row r="467" spans="1:45">
      <c r="A467" s="19">
        <f t="shared" si="7"/>
        <v>466</v>
      </c>
      <c r="B467" s="20">
        <v>45932</v>
      </c>
      <c r="C467" s="19" t="s">
        <v>1101</v>
      </c>
      <c r="D467" s="19" t="s">
        <v>1699</v>
      </c>
      <c r="E467" s="19">
        <v>20245965</v>
      </c>
      <c r="F467" s="19" t="s">
        <v>2911</v>
      </c>
      <c r="G467" s="19">
        <v>8401789024</v>
      </c>
      <c r="H467" s="19" t="s">
        <v>2912</v>
      </c>
      <c r="I467" s="19" t="s">
        <v>86</v>
      </c>
      <c r="J467" s="19" t="s">
        <v>407</v>
      </c>
      <c r="K467" s="19" t="s">
        <v>963</v>
      </c>
      <c r="L467" s="19" t="s">
        <v>1054</v>
      </c>
      <c r="M467" s="19" t="s">
        <v>1624</v>
      </c>
      <c r="N467" s="19">
        <v>11.5</v>
      </c>
      <c r="O467" s="19" t="s">
        <v>1057</v>
      </c>
      <c r="P467" s="19" t="s">
        <v>2598</v>
      </c>
      <c r="Q467" s="19" t="s">
        <v>72</v>
      </c>
      <c r="R467" s="19" t="s">
        <v>72</v>
      </c>
      <c r="S467" s="19" t="s">
        <v>2913</v>
      </c>
      <c r="T467" s="19" t="s">
        <v>1057</v>
      </c>
      <c r="U467" s="21"/>
      <c r="V467" s="19"/>
      <c r="W467" s="19" t="s">
        <v>245</v>
      </c>
      <c r="X467" s="19" t="s">
        <v>245</v>
      </c>
      <c r="Y467" s="19"/>
      <c r="Z467" s="19" t="s">
        <v>68</v>
      </c>
      <c r="AA467" s="4"/>
      <c r="AB467" s="4"/>
      <c r="AC467" s="4"/>
      <c r="AD467" s="19"/>
      <c r="AE467" s="19"/>
      <c r="AF467" s="19"/>
      <c r="AG467" s="19"/>
      <c r="AH467" s="19"/>
      <c r="AI467" s="19"/>
      <c r="AJ467" s="19"/>
      <c r="AK467" s="19"/>
      <c r="AL467" s="19"/>
      <c r="AM467" s="19"/>
      <c r="AN467" s="19"/>
      <c r="AO467" s="19"/>
      <c r="AP467" s="19"/>
      <c r="AQ467" s="19"/>
      <c r="AR467" s="19"/>
      <c r="AS467" s="27"/>
    </row>
    <row r="468" spans="1:45">
      <c r="A468" s="19">
        <f t="shared" si="7"/>
        <v>467</v>
      </c>
      <c r="B468" s="20">
        <v>45932</v>
      </c>
      <c r="C468" s="19" t="s">
        <v>1101</v>
      </c>
      <c r="D468" s="19" t="s">
        <v>2914</v>
      </c>
      <c r="E468" s="19">
        <v>20245965</v>
      </c>
      <c r="F468" s="19" t="s">
        <v>2915</v>
      </c>
      <c r="G468" s="19">
        <v>8140307951</v>
      </c>
      <c r="H468" s="19" t="s">
        <v>2916</v>
      </c>
      <c r="I468" s="19" t="s">
        <v>86</v>
      </c>
      <c r="J468" s="19" t="s">
        <v>407</v>
      </c>
      <c r="K468" s="19" t="s">
        <v>963</v>
      </c>
      <c r="L468" s="19" t="s">
        <v>2793</v>
      </c>
      <c r="M468" s="19" t="s">
        <v>2917</v>
      </c>
      <c r="N468" s="19">
        <v>17.25</v>
      </c>
      <c r="O468" s="19" t="s">
        <v>1057</v>
      </c>
      <c r="P468" s="19">
        <v>25</v>
      </c>
      <c r="Q468" s="19" t="s">
        <v>72</v>
      </c>
      <c r="R468" s="19" t="s">
        <v>72</v>
      </c>
      <c r="S468" s="19" t="s">
        <v>2918</v>
      </c>
      <c r="T468" s="19" t="s">
        <v>1057</v>
      </c>
      <c r="U468" s="21"/>
      <c r="V468" s="19"/>
      <c r="W468" s="19" t="s">
        <v>245</v>
      </c>
      <c r="X468" s="19" t="s">
        <v>245</v>
      </c>
      <c r="Y468" s="19"/>
      <c r="Z468" s="19" t="s">
        <v>68</v>
      </c>
      <c r="AA468" s="4"/>
      <c r="AB468" s="4">
        <v>45714</v>
      </c>
      <c r="AC468" s="4"/>
      <c r="AD468" s="19"/>
      <c r="AE468" s="19"/>
      <c r="AF468" s="19"/>
      <c r="AG468" s="19"/>
      <c r="AH468" s="19"/>
      <c r="AI468" s="19"/>
      <c r="AJ468" s="19"/>
      <c r="AK468" s="19"/>
      <c r="AL468" s="19"/>
      <c r="AM468" s="19"/>
      <c r="AN468" s="19"/>
      <c r="AO468" s="19"/>
      <c r="AP468" s="19"/>
      <c r="AQ468" s="19"/>
      <c r="AR468" s="19"/>
      <c r="AS468" s="27"/>
    </row>
    <row r="469" spans="1:45">
      <c r="A469" s="19">
        <f t="shared" si="7"/>
        <v>468</v>
      </c>
      <c r="B469" s="20">
        <v>45965</v>
      </c>
      <c r="C469" s="19" t="s">
        <v>1101</v>
      </c>
      <c r="D469" s="19" t="s">
        <v>952</v>
      </c>
      <c r="E469" s="19">
        <v>20242406</v>
      </c>
      <c r="F469" s="19" t="s">
        <v>2919</v>
      </c>
      <c r="G469" s="19">
        <v>9764938777</v>
      </c>
      <c r="H469" s="19" t="s">
        <v>406</v>
      </c>
      <c r="I469" s="19" t="s">
        <v>123</v>
      </c>
      <c r="J469" s="19" t="s">
        <v>1681</v>
      </c>
      <c r="K469" s="19" t="s">
        <v>1682</v>
      </c>
      <c r="L469" s="19" t="s">
        <v>2920</v>
      </c>
      <c r="M469" s="19" t="s">
        <v>2921</v>
      </c>
      <c r="N469" s="19">
        <v>17</v>
      </c>
      <c r="O469" s="19" t="s">
        <v>1057</v>
      </c>
      <c r="P469" s="19">
        <v>20</v>
      </c>
      <c r="Q469" s="19" t="s">
        <v>923</v>
      </c>
      <c r="R469" s="19" t="s">
        <v>923</v>
      </c>
      <c r="S469" s="19" t="s">
        <v>2922</v>
      </c>
      <c r="T469" s="19"/>
      <c r="U469" s="21">
        <v>45756</v>
      </c>
      <c r="V469" s="19"/>
      <c r="W469" s="19" t="s">
        <v>245</v>
      </c>
      <c r="X469" s="19" t="s">
        <v>245</v>
      </c>
      <c r="Y469" s="19"/>
      <c r="Z469" s="19" t="s">
        <v>68</v>
      </c>
      <c r="AA469" s="4"/>
      <c r="AB469" s="4"/>
      <c r="AC469" s="4"/>
      <c r="AD469" s="19"/>
      <c r="AE469" s="19"/>
      <c r="AF469" s="19"/>
      <c r="AG469" s="19"/>
      <c r="AH469" s="19"/>
      <c r="AI469" s="19"/>
      <c r="AJ469" s="19"/>
      <c r="AK469" s="19"/>
      <c r="AL469" s="19"/>
      <c r="AM469" s="19"/>
      <c r="AN469" s="19"/>
      <c r="AO469" s="19"/>
      <c r="AP469" s="19"/>
      <c r="AQ469" s="19"/>
      <c r="AR469" s="19"/>
      <c r="AS469" s="27"/>
    </row>
    <row r="470" spans="1:45">
      <c r="A470" s="19">
        <f t="shared" si="7"/>
        <v>469</v>
      </c>
      <c r="B470" s="20">
        <v>45965</v>
      </c>
      <c r="C470" s="19" t="s">
        <v>1101</v>
      </c>
      <c r="D470" s="19" t="s">
        <v>1813</v>
      </c>
      <c r="E470" s="19">
        <v>20242406</v>
      </c>
      <c r="F470" s="19" t="s">
        <v>2923</v>
      </c>
      <c r="G470" s="19">
        <v>9096568970</v>
      </c>
      <c r="H470" s="19" t="s">
        <v>2924</v>
      </c>
      <c r="I470" s="19" t="s">
        <v>123</v>
      </c>
      <c r="J470" s="19" t="s">
        <v>1681</v>
      </c>
      <c r="K470" s="19" t="s">
        <v>1682</v>
      </c>
      <c r="L470" s="19" t="s">
        <v>2130</v>
      </c>
      <c r="M470" s="19" t="s">
        <v>2925</v>
      </c>
      <c r="N470" s="19">
        <v>7.5</v>
      </c>
      <c r="O470" s="19" t="s">
        <v>1057</v>
      </c>
      <c r="P470" s="19">
        <v>15</v>
      </c>
      <c r="Q470" s="19" t="s">
        <v>923</v>
      </c>
      <c r="R470" s="19" t="s">
        <v>923</v>
      </c>
      <c r="S470" s="19" t="s">
        <v>2926</v>
      </c>
      <c r="T470" s="19" t="s">
        <v>2927</v>
      </c>
      <c r="U470" s="21"/>
      <c r="V470" s="19"/>
      <c r="W470" s="19" t="s">
        <v>245</v>
      </c>
      <c r="X470" s="19" t="s">
        <v>245</v>
      </c>
      <c r="Y470" s="19"/>
      <c r="Z470" s="19" t="s">
        <v>68</v>
      </c>
      <c r="AA470" s="4"/>
      <c r="AB470" s="4"/>
      <c r="AC470" s="4"/>
      <c r="AD470" s="19"/>
      <c r="AE470" s="19"/>
      <c r="AF470" s="19"/>
      <c r="AG470" s="19"/>
      <c r="AH470" s="19"/>
      <c r="AI470" s="19"/>
      <c r="AJ470" s="19"/>
      <c r="AK470" s="19"/>
      <c r="AL470" s="19"/>
      <c r="AM470" s="19"/>
      <c r="AN470" s="19"/>
      <c r="AO470" s="19"/>
      <c r="AP470" s="19"/>
      <c r="AQ470" s="19"/>
      <c r="AR470" s="19"/>
      <c r="AS470" s="27"/>
    </row>
    <row r="471" spans="1:45">
      <c r="A471" s="19">
        <f t="shared" si="7"/>
        <v>470</v>
      </c>
      <c r="B471" s="20">
        <v>45965</v>
      </c>
      <c r="C471" s="19" t="s">
        <v>1101</v>
      </c>
      <c r="D471" s="19" t="s">
        <v>1216</v>
      </c>
      <c r="E471" s="19">
        <v>20242406</v>
      </c>
      <c r="F471" s="19" t="s">
        <v>2928</v>
      </c>
      <c r="G471" s="19">
        <v>9717546884</v>
      </c>
      <c r="H471" s="19" t="s">
        <v>2929</v>
      </c>
      <c r="I471" s="19" t="s">
        <v>123</v>
      </c>
      <c r="J471" s="19" t="s">
        <v>1681</v>
      </c>
      <c r="K471" s="19" t="s">
        <v>1682</v>
      </c>
      <c r="L471" s="19" t="s">
        <v>1822</v>
      </c>
      <c r="M471" s="19" t="s">
        <v>2930</v>
      </c>
      <c r="N471" s="19">
        <v>12</v>
      </c>
      <c r="O471" s="19" t="s">
        <v>1057</v>
      </c>
      <c r="P471" s="19" t="s">
        <v>1744</v>
      </c>
      <c r="Q471" s="19" t="s">
        <v>2931</v>
      </c>
      <c r="R471" s="19" t="s">
        <v>923</v>
      </c>
      <c r="S471" s="19" t="s">
        <v>1626</v>
      </c>
      <c r="T471" s="19" t="s">
        <v>1057</v>
      </c>
      <c r="U471" s="21"/>
      <c r="V471" s="19"/>
      <c r="W471" s="19" t="s">
        <v>245</v>
      </c>
      <c r="X471" s="19" t="s">
        <v>245</v>
      </c>
      <c r="Y471" s="19"/>
      <c r="Z471" s="19" t="s">
        <v>68</v>
      </c>
      <c r="AA471" s="4"/>
      <c r="AB471" s="4">
        <v>45735</v>
      </c>
      <c r="AC471" s="4"/>
      <c r="AD471" s="19"/>
      <c r="AE471" s="19"/>
      <c r="AF471" s="19"/>
      <c r="AG471" s="19"/>
      <c r="AH471" s="19"/>
      <c r="AI471" s="19"/>
      <c r="AJ471" s="19"/>
      <c r="AK471" s="19"/>
      <c r="AL471" s="19"/>
      <c r="AM471" s="19"/>
      <c r="AN471" s="19"/>
      <c r="AO471" s="19"/>
      <c r="AP471" s="19"/>
      <c r="AQ471" s="19"/>
      <c r="AR471" s="19"/>
      <c r="AS471" s="27"/>
    </row>
    <row r="472" spans="1:45">
      <c r="A472" s="19">
        <f t="shared" si="7"/>
        <v>471</v>
      </c>
      <c r="B472" s="20">
        <v>45965</v>
      </c>
      <c r="C472" s="19" t="s">
        <v>1101</v>
      </c>
      <c r="D472" s="19" t="s">
        <v>1102</v>
      </c>
      <c r="E472" s="19">
        <v>20242406</v>
      </c>
      <c r="F472" s="19" t="s">
        <v>2932</v>
      </c>
      <c r="G472" s="19">
        <v>8793361002</v>
      </c>
      <c r="H472" s="19" t="s">
        <v>2933</v>
      </c>
      <c r="I472" s="19" t="s">
        <v>123</v>
      </c>
      <c r="J472" s="19" t="s">
        <v>1681</v>
      </c>
      <c r="K472" s="19" t="s">
        <v>1682</v>
      </c>
      <c r="L472" s="19" t="s">
        <v>2934</v>
      </c>
      <c r="M472" s="19" t="s">
        <v>2935</v>
      </c>
      <c r="N472" s="19">
        <v>12.07</v>
      </c>
      <c r="O472" s="19" t="s">
        <v>1057</v>
      </c>
      <c r="P472" s="19">
        <v>16</v>
      </c>
      <c r="Q472" s="19" t="s">
        <v>923</v>
      </c>
      <c r="R472" s="19" t="s">
        <v>923</v>
      </c>
      <c r="S472" s="19" t="s">
        <v>2936</v>
      </c>
      <c r="T472" s="19" t="s">
        <v>2937</v>
      </c>
      <c r="U472" s="21"/>
      <c r="V472" s="19"/>
      <c r="W472" s="19" t="s">
        <v>245</v>
      </c>
      <c r="X472" s="19" t="s">
        <v>245</v>
      </c>
      <c r="Y472" s="19"/>
      <c r="Z472" s="19" t="s">
        <v>68</v>
      </c>
      <c r="AA472" s="4"/>
      <c r="AB472" s="4">
        <v>45701</v>
      </c>
      <c r="AC472" s="4"/>
      <c r="AD472" s="19"/>
      <c r="AE472" s="19"/>
      <c r="AF472" s="19"/>
      <c r="AG472" s="19"/>
      <c r="AH472" s="19"/>
      <c r="AI472" s="19"/>
      <c r="AJ472" s="19"/>
      <c r="AK472" s="19"/>
      <c r="AL472" s="19"/>
      <c r="AM472" s="19"/>
      <c r="AN472" s="19"/>
      <c r="AO472" s="19"/>
      <c r="AP472" s="19"/>
      <c r="AQ472" s="19"/>
      <c r="AR472" s="19"/>
      <c r="AS472" s="27"/>
    </row>
    <row r="473" spans="1:45">
      <c r="A473" s="19">
        <f t="shared" si="7"/>
        <v>472</v>
      </c>
      <c r="B473" s="20">
        <v>45993</v>
      </c>
      <c r="C473" s="19" t="s">
        <v>1101</v>
      </c>
      <c r="D473" s="19" t="s">
        <v>1102</v>
      </c>
      <c r="E473" s="19">
        <v>20241431</v>
      </c>
      <c r="F473" s="19" t="s">
        <v>2938</v>
      </c>
      <c r="G473" s="19">
        <v>9527234027</v>
      </c>
      <c r="H473" s="19" t="s">
        <v>2939</v>
      </c>
      <c r="I473" s="19" t="s">
        <v>123</v>
      </c>
      <c r="J473" s="19" t="s">
        <v>604</v>
      </c>
      <c r="K473" s="19" t="s">
        <v>228</v>
      </c>
      <c r="L473" s="19">
        <v>3.1</v>
      </c>
      <c r="M473" s="19" t="s">
        <v>2940</v>
      </c>
      <c r="N473" s="19">
        <v>2.1</v>
      </c>
      <c r="O473" s="19">
        <v>0</v>
      </c>
      <c r="P473" s="19">
        <v>7</v>
      </c>
      <c r="Q473" s="19" t="s">
        <v>2941</v>
      </c>
      <c r="R473" s="19" t="s">
        <v>72</v>
      </c>
      <c r="S473" s="19" t="s">
        <v>2942</v>
      </c>
      <c r="T473" s="19" t="s">
        <v>2943</v>
      </c>
      <c r="U473" s="21"/>
      <c r="V473" s="19"/>
      <c r="W473" s="19" t="s">
        <v>74</v>
      </c>
      <c r="X473" s="19" t="s">
        <v>74</v>
      </c>
      <c r="Y473" s="19" t="s">
        <v>70</v>
      </c>
      <c r="Z473" s="19" t="s">
        <v>68</v>
      </c>
      <c r="AA473" s="4">
        <v>45993</v>
      </c>
      <c r="AB473" s="4">
        <v>45999</v>
      </c>
      <c r="AC473" s="4">
        <v>45999</v>
      </c>
      <c r="AD473" s="19"/>
      <c r="AE473" s="19"/>
      <c r="AF473" s="19"/>
      <c r="AG473" s="19"/>
      <c r="AH473" s="19"/>
      <c r="AI473" s="19"/>
      <c r="AJ473" s="19"/>
      <c r="AK473" s="19"/>
      <c r="AL473" s="19"/>
      <c r="AM473" s="19"/>
      <c r="AN473" s="19"/>
      <c r="AO473" s="19"/>
      <c r="AP473" s="19"/>
      <c r="AQ473" s="19"/>
      <c r="AR473" s="19"/>
      <c r="AS473" s="27"/>
    </row>
    <row r="474" spans="1:45">
      <c r="A474" s="19">
        <f t="shared" si="7"/>
        <v>473</v>
      </c>
      <c r="B474" s="20">
        <v>45993</v>
      </c>
      <c r="C474" s="19" t="s">
        <v>1101</v>
      </c>
      <c r="D474" s="19" t="s">
        <v>1102</v>
      </c>
      <c r="E474" s="19">
        <v>20241431</v>
      </c>
      <c r="F474" s="19" t="s">
        <v>2944</v>
      </c>
      <c r="G474" s="19">
        <v>7977339589</v>
      </c>
      <c r="H474" s="19" t="s">
        <v>2945</v>
      </c>
      <c r="I474" s="19" t="s">
        <v>123</v>
      </c>
      <c r="J474" s="19" t="s">
        <v>604</v>
      </c>
      <c r="K474" s="19" t="s">
        <v>228</v>
      </c>
      <c r="L474" s="19">
        <v>3.5</v>
      </c>
      <c r="M474" s="19" t="s">
        <v>2946</v>
      </c>
      <c r="N474" s="19">
        <v>5</v>
      </c>
      <c r="O474" s="19">
        <v>0</v>
      </c>
      <c r="P474" s="19">
        <v>10</v>
      </c>
      <c r="Q474" s="19" t="s">
        <v>2658</v>
      </c>
      <c r="R474" s="19" t="s">
        <v>72</v>
      </c>
      <c r="S474" s="19" t="s">
        <v>2947</v>
      </c>
      <c r="T474" s="19" t="s">
        <v>2943</v>
      </c>
      <c r="U474" s="21"/>
      <c r="V474" s="19"/>
      <c r="W474" s="19" t="s">
        <v>74</v>
      </c>
      <c r="X474" s="19" t="s">
        <v>74</v>
      </c>
      <c r="Y474" s="19" t="s">
        <v>70</v>
      </c>
      <c r="Z474" s="19" t="s">
        <v>68</v>
      </c>
      <c r="AA474" s="4">
        <v>45993</v>
      </c>
      <c r="AB474" s="4">
        <v>45996</v>
      </c>
      <c r="AC474" s="4">
        <v>45996</v>
      </c>
      <c r="AD474" s="19"/>
      <c r="AE474" s="19"/>
      <c r="AF474" s="19"/>
      <c r="AG474" s="19"/>
      <c r="AH474" s="19"/>
      <c r="AI474" s="19"/>
      <c r="AJ474" s="19"/>
      <c r="AK474" s="19"/>
      <c r="AL474" s="19"/>
      <c r="AM474" s="19"/>
      <c r="AN474" s="19"/>
      <c r="AO474" s="19"/>
      <c r="AP474" s="19"/>
      <c r="AQ474" s="19"/>
      <c r="AR474" s="19"/>
      <c r="AS474" s="27"/>
    </row>
    <row r="475" spans="1:45">
      <c r="A475" s="19">
        <f t="shared" si="7"/>
        <v>474</v>
      </c>
      <c r="B475" s="20">
        <v>45993</v>
      </c>
      <c r="C475" s="19" t="s">
        <v>1101</v>
      </c>
      <c r="D475" s="19" t="s">
        <v>1102</v>
      </c>
      <c r="E475" s="19">
        <v>20241431</v>
      </c>
      <c r="F475" s="19" t="s">
        <v>2948</v>
      </c>
      <c r="G475" s="19">
        <v>8446920331</v>
      </c>
      <c r="H475" s="19" t="s">
        <v>2949</v>
      </c>
      <c r="I475" s="19" t="s">
        <v>123</v>
      </c>
      <c r="J475" s="19" t="s">
        <v>604</v>
      </c>
      <c r="K475" s="19" t="s">
        <v>228</v>
      </c>
      <c r="L475" s="19">
        <v>4</v>
      </c>
      <c r="M475" s="19" t="s">
        <v>2950</v>
      </c>
      <c r="N475" s="19">
        <v>5.6</v>
      </c>
      <c r="O475" s="19">
        <v>0</v>
      </c>
      <c r="P475" s="19" t="s">
        <v>2951</v>
      </c>
      <c r="Q475" s="19" t="s">
        <v>2214</v>
      </c>
      <c r="R475" s="19" t="s">
        <v>72</v>
      </c>
      <c r="S475" s="19" t="s">
        <v>1139</v>
      </c>
      <c r="T475" s="19" t="s">
        <v>1057</v>
      </c>
      <c r="U475" s="21"/>
      <c r="V475" s="19"/>
      <c r="W475" s="19" t="s">
        <v>74</v>
      </c>
      <c r="X475" s="19" t="s">
        <v>74</v>
      </c>
      <c r="Y475" s="19" t="s">
        <v>70</v>
      </c>
      <c r="Z475" s="19" t="s">
        <v>68</v>
      </c>
      <c r="AA475" s="4">
        <v>45993</v>
      </c>
      <c r="AB475" s="4">
        <v>45994</v>
      </c>
      <c r="AC475" s="4">
        <v>45994</v>
      </c>
      <c r="AD475" s="19"/>
      <c r="AE475" s="19"/>
      <c r="AF475" s="19"/>
      <c r="AG475" s="19"/>
      <c r="AH475" s="19"/>
      <c r="AI475" s="19"/>
      <c r="AJ475" s="19"/>
      <c r="AK475" s="19"/>
      <c r="AL475" s="19"/>
      <c r="AM475" s="19"/>
      <c r="AN475" s="19"/>
      <c r="AO475" s="19"/>
      <c r="AP475" s="19"/>
      <c r="AQ475" s="19"/>
      <c r="AR475" s="19"/>
      <c r="AS475" s="27"/>
    </row>
    <row r="476" spans="1:45">
      <c r="A476" s="19">
        <f t="shared" si="7"/>
        <v>475</v>
      </c>
      <c r="B476" s="20">
        <v>45993</v>
      </c>
      <c r="C476" s="19" t="s">
        <v>1101</v>
      </c>
      <c r="D476" s="19" t="s">
        <v>1216</v>
      </c>
      <c r="E476" s="19">
        <v>20241431</v>
      </c>
      <c r="F476" s="19" t="s">
        <v>2952</v>
      </c>
      <c r="G476" s="19">
        <v>8618776845</v>
      </c>
      <c r="H476" s="19" t="s">
        <v>2953</v>
      </c>
      <c r="I476" s="19" t="s">
        <v>123</v>
      </c>
      <c r="J476" s="19" t="s">
        <v>604</v>
      </c>
      <c r="K476" s="19" t="s">
        <v>228</v>
      </c>
      <c r="L476" s="19">
        <v>3.4</v>
      </c>
      <c r="M476" s="19" t="s">
        <v>2954</v>
      </c>
      <c r="N476" s="19">
        <v>4.7</v>
      </c>
      <c r="O476" s="19">
        <v>0</v>
      </c>
      <c r="P476" s="19">
        <v>8</v>
      </c>
      <c r="Q476" s="19" t="s">
        <v>2214</v>
      </c>
      <c r="R476" s="19" t="s">
        <v>72</v>
      </c>
      <c r="S476" s="19" t="s">
        <v>1295</v>
      </c>
      <c r="T476" s="19" t="s">
        <v>2955</v>
      </c>
      <c r="U476" s="21"/>
      <c r="V476" s="19"/>
      <c r="W476" s="19" t="s">
        <v>74</v>
      </c>
      <c r="X476" s="19" t="s">
        <v>74</v>
      </c>
      <c r="Y476" s="19" t="s">
        <v>70</v>
      </c>
      <c r="Z476" s="19" t="s">
        <v>68</v>
      </c>
      <c r="AA476" s="4">
        <v>45707</v>
      </c>
      <c r="AB476" s="4">
        <v>45709</v>
      </c>
      <c r="AC476" s="4">
        <v>45709</v>
      </c>
      <c r="AD476" s="19"/>
      <c r="AE476" s="19"/>
      <c r="AF476" s="19"/>
      <c r="AG476" s="19"/>
      <c r="AH476" s="19"/>
      <c r="AI476" s="19"/>
      <c r="AJ476" s="19"/>
      <c r="AK476" s="19"/>
      <c r="AL476" s="19"/>
      <c r="AM476" s="19"/>
      <c r="AN476" s="19"/>
      <c r="AO476" s="19"/>
      <c r="AP476" s="19"/>
      <c r="AQ476" s="19"/>
      <c r="AR476" s="19"/>
      <c r="AS476" s="27"/>
    </row>
    <row r="477" spans="1:45">
      <c r="A477" s="19">
        <f t="shared" si="7"/>
        <v>476</v>
      </c>
      <c r="B477" s="20">
        <v>45993</v>
      </c>
      <c r="C477" s="19" t="s">
        <v>1101</v>
      </c>
      <c r="D477" s="19" t="s">
        <v>1699</v>
      </c>
      <c r="E477" s="19">
        <v>20242406</v>
      </c>
      <c r="F477" s="19" t="s">
        <v>2470</v>
      </c>
      <c r="G477" s="19" t="s">
        <v>2471</v>
      </c>
      <c r="H477" s="19" t="s">
        <v>2472</v>
      </c>
      <c r="I477" s="19" t="s">
        <v>86</v>
      </c>
      <c r="J477" s="19" t="s">
        <v>1681</v>
      </c>
      <c r="K477" s="19" t="s">
        <v>1682</v>
      </c>
      <c r="L477" s="19" t="s">
        <v>1830</v>
      </c>
      <c r="M477" s="19" t="s">
        <v>1621</v>
      </c>
      <c r="N477" s="19">
        <v>8.8000000000000007</v>
      </c>
      <c r="O477" s="19" t="s">
        <v>1057</v>
      </c>
      <c r="P477" s="19">
        <v>14</v>
      </c>
      <c r="Q477" s="19" t="s">
        <v>1392</v>
      </c>
      <c r="R477" s="19" t="s">
        <v>72</v>
      </c>
      <c r="S477" s="19" t="s">
        <v>1868</v>
      </c>
      <c r="T477" s="19" t="s">
        <v>1057</v>
      </c>
      <c r="U477" s="21"/>
      <c r="V477" s="19"/>
      <c r="W477" s="19" t="s">
        <v>245</v>
      </c>
      <c r="X477" s="19" t="s">
        <v>245</v>
      </c>
      <c r="Y477" s="19"/>
      <c r="Z477" s="19" t="s">
        <v>68</v>
      </c>
      <c r="AA477" s="4"/>
      <c r="AB477" s="4"/>
      <c r="AC477" s="4"/>
      <c r="AD477" s="19"/>
      <c r="AE477" s="19"/>
      <c r="AF477" s="19"/>
      <c r="AG477" s="19"/>
      <c r="AH477" s="19"/>
      <c r="AI477" s="19"/>
      <c r="AJ477" s="19"/>
      <c r="AK477" s="19"/>
      <c r="AL477" s="19"/>
      <c r="AM477" s="19"/>
      <c r="AN477" s="19"/>
      <c r="AO477" s="19"/>
      <c r="AP477" s="19"/>
      <c r="AQ477" s="19"/>
      <c r="AR477" s="19"/>
      <c r="AS477" s="27"/>
    </row>
    <row r="478" spans="1:45">
      <c r="A478" s="19">
        <f t="shared" si="7"/>
        <v>477</v>
      </c>
      <c r="B478" s="20">
        <v>45993</v>
      </c>
      <c r="C478" s="19" t="s">
        <v>1101</v>
      </c>
      <c r="D478" s="19" t="s">
        <v>1699</v>
      </c>
      <c r="E478" s="19">
        <v>20242406</v>
      </c>
      <c r="F478" s="19" t="s">
        <v>2956</v>
      </c>
      <c r="G478" s="19">
        <v>9381043499</v>
      </c>
      <c r="H478" s="19" t="s">
        <v>2957</v>
      </c>
      <c r="I478" s="19" t="s">
        <v>86</v>
      </c>
      <c r="J478" s="19" t="s">
        <v>1681</v>
      </c>
      <c r="K478" s="19" t="s">
        <v>1682</v>
      </c>
      <c r="L478" s="19" t="s">
        <v>1949</v>
      </c>
      <c r="M478" s="19" t="s">
        <v>2958</v>
      </c>
      <c r="N478" s="19">
        <v>9.5</v>
      </c>
      <c r="O478" s="19" t="s">
        <v>1057</v>
      </c>
      <c r="P478" s="19">
        <v>15</v>
      </c>
      <c r="Q478" s="19" t="s">
        <v>72</v>
      </c>
      <c r="R478" s="19" t="s">
        <v>72</v>
      </c>
      <c r="S478" s="19" t="s">
        <v>2959</v>
      </c>
      <c r="T478" s="19" t="s">
        <v>1057</v>
      </c>
      <c r="U478" s="21"/>
      <c r="V478" s="19"/>
      <c r="W478" s="19" t="s">
        <v>245</v>
      </c>
      <c r="X478" s="19" t="s">
        <v>245</v>
      </c>
      <c r="Y478" s="19"/>
      <c r="Z478" s="19" t="s">
        <v>68</v>
      </c>
      <c r="AA478" s="4"/>
      <c r="AB478" s="4"/>
      <c r="AC478" s="4"/>
      <c r="AD478" s="19"/>
      <c r="AE478" s="19"/>
      <c r="AF478" s="19"/>
      <c r="AG478" s="19"/>
      <c r="AH478" s="19"/>
      <c r="AI478" s="19"/>
      <c r="AJ478" s="19"/>
      <c r="AK478" s="19"/>
      <c r="AL478" s="19"/>
      <c r="AM478" s="19"/>
      <c r="AN478" s="19"/>
      <c r="AO478" s="19"/>
      <c r="AP478" s="19"/>
      <c r="AQ478" s="19"/>
      <c r="AR478" s="19"/>
      <c r="AS478" s="27"/>
    </row>
    <row r="479" spans="1:45">
      <c r="A479" s="19">
        <f t="shared" si="7"/>
        <v>478</v>
      </c>
      <c r="B479" s="20">
        <v>45993</v>
      </c>
      <c r="C479" s="19" t="s">
        <v>1101</v>
      </c>
      <c r="D479" s="19" t="s">
        <v>1102</v>
      </c>
      <c r="E479" s="19">
        <v>20242406</v>
      </c>
      <c r="F479" s="19" t="s">
        <v>2960</v>
      </c>
      <c r="G479" s="19">
        <v>9765090197</v>
      </c>
      <c r="H479" s="19" t="s">
        <v>2961</v>
      </c>
      <c r="I479" s="19" t="s">
        <v>123</v>
      </c>
      <c r="J479" s="19" t="s">
        <v>1681</v>
      </c>
      <c r="K479" s="19" t="s">
        <v>1682</v>
      </c>
      <c r="L479" s="19" t="s">
        <v>1816</v>
      </c>
      <c r="M479" s="19" t="s">
        <v>2962</v>
      </c>
      <c r="N479" s="19">
        <v>11.3</v>
      </c>
      <c r="O479" s="19" t="s">
        <v>1057</v>
      </c>
      <c r="P479" s="19">
        <v>15</v>
      </c>
      <c r="Q479" s="19" t="s">
        <v>72</v>
      </c>
      <c r="R479" s="19" t="s">
        <v>72</v>
      </c>
      <c r="S479" s="19" t="s">
        <v>2963</v>
      </c>
      <c r="T479" s="19" t="s">
        <v>2964</v>
      </c>
      <c r="U479" s="21"/>
      <c r="V479" s="19"/>
      <c r="W479" s="19" t="s">
        <v>245</v>
      </c>
      <c r="X479" s="19" t="s">
        <v>245</v>
      </c>
      <c r="Y479" s="19"/>
      <c r="Z479" s="19" t="s">
        <v>68</v>
      </c>
      <c r="AA479" s="4"/>
      <c r="AB479" s="4">
        <v>45706</v>
      </c>
      <c r="AC479" s="4"/>
      <c r="AD479" s="19"/>
      <c r="AE479" s="19"/>
      <c r="AF479" s="19"/>
      <c r="AG479" s="19"/>
      <c r="AH479" s="19"/>
      <c r="AI479" s="19"/>
      <c r="AJ479" s="19"/>
      <c r="AK479" s="19"/>
      <c r="AL479" s="19"/>
      <c r="AM479" s="19"/>
      <c r="AN479" s="19"/>
      <c r="AO479" s="19"/>
      <c r="AP479" s="19"/>
      <c r="AQ479" s="19"/>
      <c r="AR479" s="19"/>
      <c r="AS479" s="27"/>
    </row>
    <row r="480" spans="1:45">
      <c r="A480" s="19">
        <f t="shared" si="7"/>
        <v>479</v>
      </c>
      <c r="B480" s="20">
        <v>45993</v>
      </c>
      <c r="C480" s="19" t="s">
        <v>1101</v>
      </c>
      <c r="D480" s="19" t="s">
        <v>1102</v>
      </c>
      <c r="E480" s="19">
        <v>20242406</v>
      </c>
      <c r="F480" s="19" t="s">
        <v>2965</v>
      </c>
      <c r="G480" s="19">
        <v>8851467892</v>
      </c>
      <c r="H480" s="19" t="s">
        <v>2966</v>
      </c>
      <c r="I480" s="19" t="s">
        <v>123</v>
      </c>
      <c r="J480" s="19" t="s">
        <v>1681</v>
      </c>
      <c r="K480" s="19" t="s">
        <v>1682</v>
      </c>
      <c r="L480" s="19" t="s">
        <v>1683</v>
      </c>
      <c r="M480" s="19" t="s">
        <v>2040</v>
      </c>
      <c r="N480" s="19">
        <v>10</v>
      </c>
      <c r="O480" s="19" t="s">
        <v>1057</v>
      </c>
      <c r="P480" s="19">
        <v>15</v>
      </c>
      <c r="Q480" s="19" t="s">
        <v>72</v>
      </c>
      <c r="R480" s="19" t="s">
        <v>72</v>
      </c>
      <c r="S480" s="19" t="s">
        <v>1868</v>
      </c>
      <c r="T480" s="19" t="s">
        <v>1057</v>
      </c>
      <c r="U480" s="21"/>
      <c r="V480" s="19"/>
      <c r="W480" s="19" t="s">
        <v>245</v>
      </c>
      <c r="X480" s="19" t="s">
        <v>245</v>
      </c>
      <c r="Y480" s="19"/>
      <c r="Z480" s="19" t="s">
        <v>68</v>
      </c>
      <c r="AA480" s="4"/>
      <c r="AB480" s="4">
        <v>45701</v>
      </c>
      <c r="AC480" s="4"/>
      <c r="AD480" s="19"/>
      <c r="AE480" s="19"/>
      <c r="AF480" s="19"/>
      <c r="AG480" s="19"/>
      <c r="AH480" s="19"/>
      <c r="AI480" s="19"/>
      <c r="AJ480" s="19"/>
      <c r="AK480" s="19"/>
      <c r="AL480" s="19"/>
      <c r="AM480" s="19"/>
      <c r="AN480" s="19"/>
      <c r="AO480" s="19"/>
      <c r="AP480" s="19"/>
      <c r="AQ480" s="19"/>
      <c r="AR480" s="19"/>
      <c r="AS480" s="27"/>
    </row>
    <row r="481" spans="1:45">
      <c r="A481" s="19">
        <f t="shared" si="7"/>
        <v>480</v>
      </c>
      <c r="B481" s="20">
        <v>45993</v>
      </c>
      <c r="C481" s="19" t="s">
        <v>1101</v>
      </c>
      <c r="D481" s="19" t="s">
        <v>1160</v>
      </c>
      <c r="E481" s="19">
        <v>20242406</v>
      </c>
      <c r="F481" s="19" t="s">
        <v>2967</v>
      </c>
      <c r="G481" s="19">
        <v>8919719695</v>
      </c>
      <c r="H481" s="19" t="s">
        <v>2968</v>
      </c>
      <c r="I481" s="19" t="s">
        <v>86</v>
      </c>
      <c r="J481" s="19" t="s">
        <v>1681</v>
      </c>
      <c r="K481" s="19" t="s">
        <v>1682</v>
      </c>
      <c r="L481" s="19" t="s">
        <v>1683</v>
      </c>
      <c r="M481" s="19" t="s">
        <v>2969</v>
      </c>
      <c r="N481" s="19">
        <v>11.5</v>
      </c>
      <c r="O481" s="19" t="s">
        <v>1057</v>
      </c>
      <c r="P481" s="19">
        <v>15</v>
      </c>
      <c r="Q481" s="19" t="s">
        <v>1392</v>
      </c>
      <c r="R481" s="19" t="s">
        <v>72</v>
      </c>
      <c r="S481" s="19" t="s">
        <v>2970</v>
      </c>
      <c r="T481" s="19" t="s">
        <v>2971</v>
      </c>
      <c r="U481" s="21"/>
      <c r="V481" s="19"/>
      <c r="W481" s="19" t="s">
        <v>245</v>
      </c>
      <c r="X481" s="19" t="s">
        <v>245</v>
      </c>
      <c r="Y481" s="19"/>
      <c r="Z481" s="19" t="s">
        <v>68</v>
      </c>
      <c r="AA481" s="4"/>
      <c r="AB481" s="4">
        <v>45705</v>
      </c>
      <c r="AC481" s="4"/>
      <c r="AD481" s="19"/>
      <c r="AE481" s="19"/>
      <c r="AF481" s="19"/>
      <c r="AG481" s="19"/>
      <c r="AH481" s="19"/>
      <c r="AI481" s="19"/>
      <c r="AJ481" s="19"/>
      <c r="AK481" s="19"/>
      <c r="AL481" s="19"/>
      <c r="AM481" s="19"/>
      <c r="AN481" s="19"/>
      <c r="AO481" s="19"/>
      <c r="AP481" s="19"/>
      <c r="AQ481" s="19"/>
      <c r="AR481" s="19"/>
      <c r="AS481" s="27"/>
    </row>
    <row r="482" spans="1:45">
      <c r="A482" s="19">
        <f t="shared" si="7"/>
        <v>481</v>
      </c>
      <c r="B482" s="20">
        <v>45993</v>
      </c>
      <c r="C482" s="19" t="s">
        <v>1101</v>
      </c>
      <c r="D482" s="19" t="s">
        <v>1699</v>
      </c>
      <c r="E482" s="19">
        <v>20242406</v>
      </c>
      <c r="F482" s="19" t="s">
        <v>2972</v>
      </c>
      <c r="G482" s="19">
        <v>9701484822</v>
      </c>
      <c r="H482" s="19" t="s">
        <v>2973</v>
      </c>
      <c r="I482" s="19" t="s">
        <v>86</v>
      </c>
      <c r="J482" s="19" t="s">
        <v>1681</v>
      </c>
      <c r="K482" s="19" t="s">
        <v>1682</v>
      </c>
      <c r="L482" s="19" t="s">
        <v>1830</v>
      </c>
      <c r="M482" s="19" t="s">
        <v>2974</v>
      </c>
      <c r="N482" s="19">
        <v>13</v>
      </c>
      <c r="O482" s="19" t="s">
        <v>1057</v>
      </c>
      <c r="P482" s="19" t="s">
        <v>1685</v>
      </c>
      <c r="Q482" s="19" t="s">
        <v>714</v>
      </c>
      <c r="R482" s="19" t="s">
        <v>72</v>
      </c>
      <c r="S482" s="19" t="s">
        <v>1893</v>
      </c>
      <c r="T482" s="19" t="s">
        <v>2975</v>
      </c>
      <c r="U482" s="21"/>
      <c r="V482" s="19"/>
      <c r="W482" s="19" t="s">
        <v>245</v>
      </c>
      <c r="X482" s="19" t="s">
        <v>245</v>
      </c>
      <c r="Y482" s="19"/>
      <c r="Z482" s="19" t="s">
        <v>68</v>
      </c>
      <c r="AA482" s="4"/>
      <c r="AB482" s="4"/>
      <c r="AC482" s="4"/>
      <c r="AD482" s="19"/>
      <c r="AE482" s="19"/>
      <c r="AF482" s="19"/>
      <c r="AG482" s="19"/>
      <c r="AH482" s="19"/>
      <c r="AI482" s="19"/>
      <c r="AJ482" s="19"/>
      <c r="AK482" s="19"/>
      <c r="AL482" s="19"/>
      <c r="AM482" s="19"/>
      <c r="AN482" s="19"/>
      <c r="AO482" s="19"/>
      <c r="AP482" s="19"/>
      <c r="AQ482" s="19"/>
      <c r="AR482" s="19"/>
      <c r="AS482" s="27"/>
    </row>
    <row r="483" spans="1:45">
      <c r="A483" s="19">
        <f t="shared" si="7"/>
        <v>482</v>
      </c>
      <c r="B483" s="20">
        <v>45993</v>
      </c>
      <c r="C483" s="19" t="s">
        <v>1101</v>
      </c>
      <c r="D483" s="19" t="s">
        <v>1813</v>
      </c>
      <c r="E483" s="19">
        <v>20242406</v>
      </c>
      <c r="F483" s="19" t="s">
        <v>2976</v>
      </c>
      <c r="G483" s="19">
        <v>8917638742</v>
      </c>
      <c r="H483" s="19" t="s">
        <v>2977</v>
      </c>
      <c r="I483" s="19" t="s">
        <v>123</v>
      </c>
      <c r="J483" s="19" t="s">
        <v>1681</v>
      </c>
      <c r="K483" s="19" t="s">
        <v>1682</v>
      </c>
      <c r="L483" s="19" t="s">
        <v>1683</v>
      </c>
      <c r="M483" s="19" t="s">
        <v>2978</v>
      </c>
      <c r="N483" s="19">
        <v>15.5</v>
      </c>
      <c r="O483" s="19" t="s">
        <v>1057</v>
      </c>
      <c r="P483" s="19" t="s">
        <v>1817</v>
      </c>
      <c r="Q483" s="19" t="s">
        <v>72</v>
      </c>
      <c r="R483" s="19" t="s">
        <v>72</v>
      </c>
      <c r="S483" s="19" t="s">
        <v>2979</v>
      </c>
      <c r="T483" s="19" t="s">
        <v>1057</v>
      </c>
      <c r="U483" s="21"/>
      <c r="V483" s="19"/>
      <c r="W483" s="19" t="s">
        <v>245</v>
      </c>
      <c r="X483" s="19" t="s">
        <v>245</v>
      </c>
      <c r="Y483" s="19"/>
      <c r="Z483" s="19" t="s">
        <v>68</v>
      </c>
      <c r="AA483" s="4"/>
      <c r="AB483" s="4"/>
      <c r="AC483" s="4"/>
      <c r="AD483" s="19"/>
      <c r="AE483" s="19"/>
      <c r="AF483" s="19"/>
      <c r="AG483" s="19"/>
      <c r="AH483" s="19"/>
      <c r="AI483" s="19"/>
      <c r="AJ483" s="19"/>
      <c r="AK483" s="19"/>
      <c r="AL483" s="19"/>
      <c r="AM483" s="19"/>
      <c r="AN483" s="19"/>
      <c r="AO483" s="19"/>
      <c r="AP483" s="19"/>
      <c r="AQ483" s="19"/>
      <c r="AR483" s="19"/>
      <c r="AS483" s="27"/>
    </row>
    <row r="484" spans="1:45">
      <c r="A484" s="19">
        <f t="shared" si="7"/>
        <v>483</v>
      </c>
      <c r="B484" s="20">
        <v>46010</v>
      </c>
      <c r="C484" s="19" t="s">
        <v>400</v>
      </c>
      <c r="D484" s="19" t="s">
        <v>952</v>
      </c>
      <c r="E484" s="19">
        <v>20242261</v>
      </c>
      <c r="F484" s="19" t="s">
        <v>241</v>
      </c>
      <c r="G484" s="19" t="s">
        <v>2980</v>
      </c>
      <c r="H484" s="19" t="s">
        <v>2981</v>
      </c>
      <c r="I484" s="19" t="s">
        <v>86</v>
      </c>
      <c r="J484" s="19" t="s">
        <v>238</v>
      </c>
      <c r="K484" s="19" t="s">
        <v>228</v>
      </c>
      <c r="L484" s="19" t="s">
        <v>2491</v>
      </c>
      <c r="M484" s="19" t="s">
        <v>2982</v>
      </c>
      <c r="N484" s="19" t="s">
        <v>1065</v>
      </c>
      <c r="O484" s="19"/>
      <c r="P484" s="19" t="s">
        <v>1477</v>
      </c>
      <c r="Q484" s="19" t="s">
        <v>72</v>
      </c>
      <c r="R484" s="19" t="s">
        <v>72</v>
      </c>
      <c r="S484" s="19" t="s">
        <v>1158</v>
      </c>
      <c r="T484" s="19" t="s">
        <v>858</v>
      </c>
      <c r="U484" s="21">
        <v>45754</v>
      </c>
      <c r="V484" s="19"/>
      <c r="W484" s="19" t="s">
        <v>144</v>
      </c>
      <c r="X484" s="19" t="s">
        <v>144</v>
      </c>
      <c r="Y484" s="19" t="s">
        <v>94</v>
      </c>
      <c r="Z484" s="19" t="s">
        <v>68</v>
      </c>
      <c r="AA484" s="4"/>
      <c r="AB484" s="4"/>
      <c r="AC484" s="4"/>
      <c r="AD484" s="19"/>
      <c r="AE484" s="19"/>
      <c r="AF484" s="19"/>
      <c r="AG484" s="19"/>
      <c r="AH484" s="19"/>
      <c r="AI484" s="19"/>
      <c r="AJ484" s="19"/>
      <c r="AK484" s="19"/>
      <c r="AL484" s="19"/>
      <c r="AM484" s="19"/>
      <c r="AN484" s="19"/>
      <c r="AO484" s="19"/>
      <c r="AP484" s="19"/>
      <c r="AQ484" s="19"/>
      <c r="AR484" s="19"/>
      <c r="AS484" s="27"/>
    </row>
    <row r="485" spans="1:45">
      <c r="A485" s="19">
        <f t="shared" si="7"/>
        <v>484</v>
      </c>
      <c r="B485" s="20">
        <v>46010</v>
      </c>
      <c r="C485" s="19" t="s">
        <v>400</v>
      </c>
      <c r="D485" s="19" t="s">
        <v>952</v>
      </c>
      <c r="E485" s="19">
        <v>20245279</v>
      </c>
      <c r="F485" s="19" t="s">
        <v>2983</v>
      </c>
      <c r="G485" s="19" t="s">
        <v>2984</v>
      </c>
      <c r="H485" s="19" t="s">
        <v>2985</v>
      </c>
      <c r="I485" s="19" t="s">
        <v>123</v>
      </c>
      <c r="J485" s="19" t="s">
        <v>238</v>
      </c>
      <c r="K485" s="19" t="s">
        <v>228</v>
      </c>
      <c r="L485" s="19" t="s">
        <v>1230</v>
      </c>
      <c r="M485" s="19" t="s">
        <v>2986</v>
      </c>
      <c r="N485" s="19" t="s">
        <v>1090</v>
      </c>
      <c r="O485" s="19"/>
      <c r="P485" s="19" t="s">
        <v>1073</v>
      </c>
      <c r="Q485" s="19" t="s">
        <v>72</v>
      </c>
      <c r="R485" s="19" t="s">
        <v>72</v>
      </c>
      <c r="S485" s="19" t="s">
        <v>1158</v>
      </c>
      <c r="T485" s="19" t="s">
        <v>858</v>
      </c>
      <c r="U485" s="21">
        <v>45768</v>
      </c>
      <c r="V485" s="19"/>
      <c r="W485" s="19" t="s">
        <v>144</v>
      </c>
      <c r="X485" s="19" t="s">
        <v>144</v>
      </c>
      <c r="Y485" s="19" t="s">
        <v>94</v>
      </c>
      <c r="Z485" s="19" t="s">
        <v>68</v>
      </c>
      <c r="AA485" s="4"/>
      <c r="AB485" s="4"/>
      <c r="AC485" s="4"/>
      <c r="AD485" s="19"/>
      <c r="AE485" s="19"/>
      <c r="AF485" s="19"/>
      <c r="AG485" s="19"/>
      <c r="AH485" s="19"/>
      <c r="AI485" s="19"/>
      <c r="AJ485" s="19"/>
      <c r="AK485" s="19"/>
      <c r="AL485" s="19"/>
      <c r="AM485" s="19"/>
      <c r="AN485" s="19"/>
      <c r="AO485" s="19"/>
      <c r="AP485" s="19"/>
      <c r="AQ485" s="19"/>
      <c r="AR485" s="19"/>
      <c r="AS485" s="27"/>
    </row>
    <row r="486" spans="1:45">
      <c r="A486" s="19">
        <f t="shared" si="7"/>
        <v>485</v>
      </c>
      <c r="B486" s="20">
        <v>45933</v>
      </c>
      <c r="C486" s="19" t="s">
        <v>1101</v>
      </c>
      <c r="D486" s="19" t="s">
        <v>2987</v>
      </c>
      <c r="E486" s="19">
        <v>20241431</v>
      </c>
      <c r="F486" s="19" t="s">
        <v>2988</v>
      </c>
      <c r="G486" s="19">
        <v>6354711529</v>
      </c>
      <c r="H486" s="19" t="s">
        <v>2989</v>
      </c>
      <c r="I486" s="19" t="s">
        <v>123</v>
      </c>
      <c r="J486" s="19" t="s">
        <v>604</v>
      </c>
      <c r="K486" s="19" t="s">
        <v>228</v>
      </c>
      <c r="L486" s="19">
        <v>4.0999999999999996</v>
      </c>
      <c r="M486" s="19" t="s">
        <v>1057</v>
      </c>
      <c r="N486" s="19">
        <v>9</v>
      </c>
      <c r="O486" s="19" t="s">
        <v>2990</v>
      </c>
      <c r="P486" s="19" t="s">
        <v>2991</v>
      </c>
      <c r="Q486" s="19" t="s">
        <v>1276</v>
      </c>
      <c r="R486" s="19" t="s">
        <v>72</v>
      </c>
      <c r="S486" s="19" t="s">
        <v>2992</v>
      </c>
      <c r="T486" s="19"/>
      <c r="U486" s="21"/>
      <c r="V486" s="19"/>
      <c r="W486" s="19"/>
      <c r="X486" s="19"/>
      <c r="Y486" s="19"/>
      <c r="Z486" s="19"/>
      <c r="AA486" s="4"/>
      <c r="AB486" s="4"/>
      <c r="AC486" s="4"/>
      <c r="AD486" s="19"/>
      <c r="AE486" s="19"/>
      <c r="AF486" s="19"/>
      <c r="AG486" s="19"/>
      <c r="AH486" s="19"/>
      <c r="AI486" s="19"/>
      <c r="AJ486" s="19"/>
      <c r="AK486" s="19"/>
      <c r="AL486" s="19"/>
      <c r="AM486" s="19"/>
      <c r="AN486" s="19"/>
      <c r="AO486" s="19"/>
      <c r="AP486" s="19"/>
      <c r="AQ486" s="19"/>
      <c r="AR486" s="19"/>
      <c r="AS486" s="27"/>
    </row>
    <row r="487" spans="1:45">
      <c r="A487" s="19">
        <f t="shared" si="7"/>
        <v>486</v>
      </c>
      <c r="B487" s="20">
        <v>45933</v>
      </c>
      <c r="C487" s="19" t="s">
        <v>1101</v>
      </c>
      <c r="D487" s="19" t="s">
        <v>2987</v>
      </c>
      <c r="E487" s="19">
        <v>20241431</v>
      </c>
      <c r="F487" s="19" t="s">
        <v>2993</v>
      </c>
      <c r="G487" s="19">
        <v>7013489281</v>
      </c>
      <c r="H487" s="19" t="s">
        <v>2994</v>
      </c>
      <c r="I487" s="19" t="s">
        <v>123</v>
      </c>
      <c r="J487" s="19" t="s">
        <v>604</v>
      </c>
      <c r="K487" s="19" t="s">
        <v>228</v>
      </c>
      <c r="L487" s="19">
        <v>4.0999999999999996</v>
      </c>
      <c r="M487" s="19" t="s">
        <v>1057</v>
      </c>
      <c r="N487" s="19">
        <v>4.5</v>
      </c>
      <c r="O487" s="19">
        <v>0</v>
      </c>
      <c r="P487" s="19">
        <v>8</v>
      </c>
      <c r="Q487" s="19" t="s">
        <v>1556</v>
      </c>
      <c r="R487" s="19" t="s">
        <v>72</v>
      </c>
      <c r="S487" s="19" t="s">
        <v>1121</v>
      </c>
      <c r="T487" s="19"/>
      <c r="U487" s="21"/>
      <c r="V487" s="19"/>
      <c r="W487" s="19"/>
      <c r="X487" s="19"/>
      <c r="Y487" s="19"/>
      <c r="Z487" s="19"/>
      <c r="AA487" s="4"/>
      <c r="AB487" s="4"/>
      <c r="AC487" s="4"/>
      <c r="AD487" s="19"/>
      <c r="AE487" s="19"/>
      <c r="AF487" s="19"/>
      <c r="AG487" s="19"/>
      <c r="AH487" s="19"/>
      <c r="AI487" s="19"/>
      <c r="AJ487" s="19"/>
      <c r="AK487" s="19"/>
      <c r="AL487" s="19"/>
      <c r="AM487" s="19"/>
      <c r="AN487" s="19"/>
      <c r="AO487" s="19"/>
      <c r="AP487" s="19"/>
      <c r="AQ487" s="19"/>
      <c r="AR487" s="19"/>
      <c r="AS487" s="27"/>
    </row>
    <row r="488" spans="1:45">
      <c r="A488" s="19">
        <f t="shared" si="7"/>
        <v>487</v>
      </c>
      <c r="B488" s="20">
        <v>45933</v>
      </c>
      <c r="C488" s="19" t="s">
        <v>1101</v>
      </c>
      <c r="D488" s="19" t="s">
        <v>1026</v>
      </c>
      <c r="E488" s="19">
        <v>20241431</v>
      </c>
      <c r="F488" s="19" t="s">
        <v>2995</v>
      </c>
      <c r="G488" s="19">
        <v>7709734230</v>
      </c>
      <c r="H488" s="19" t="s">
        <v>2996</v>
      </c>
      <c r="I488" s="19" t="s">
        <v>123</v>
      </c>
      <c r="J488" s="19" t="s">
        <v>604</v>
      </c>
      <c r="K488" s="19" t="s">
        <v>228</v>
      </c>
      <c r="L488" s="19">
        <v>4</v>
      </c>
      <c r="M488" s="19" t="s">
        <v>1057</v>
      </c>
      <c r="N488" s="19">
        <v>8.5</v>
      </c>
      <c r="O488" s="19">
        <v>0</v>
      </c>
      <c r="P488" s="19">
        <v>15</v>
      </c>
      <c r="Q488" s="19" t="s">
        <v>72</v>
      </c>
      <c r="R488" s="19" t="s">
        <v>72</v>
      </c>
      <c r="S488" s="19" t="s">
        <v>2997</v>
      </c>
      <c r="T488" s="19"/>
      <c r="U488" s="21"/>
      <c r="V488" s="19"/>
      <c r="W488" s="19"/>
      <c r="X488" s="19"/>
      <c r="Y488" s="19"/>
      <c r="Z488" s="19"/>
      <c r="AA488" s="4"/>
      <c r="AB488" s="4"/>
      <c r="AC488" s="4"/>
      <c r="AD488" s="19"/>
      <c r="AE488" s="19"/>
      <c r="AF488" s="19"/>
      <c r="AG488" s="19"/>
      <c r="AH488" s="19"/>
      <c r="AI488" s="19"/>
      <c r="AJ488" s="19"/>
      <c r="AK488" s="19"/>
      <c r="AL488" s="19"/>
      <c r="AM488" s="19"/>
      <c r="AN488" s="19"/>
      <c r="AO488" s="19"/>
      <c r="AP488" s="19"/>
      <c r="AQ488" s="19"/>
      <c r="AR488" s="19"/>
      <c r="AS488" s="27"/>
    </row>
    <row r="489" spans="1:45">
      <c r="A489" s="19">
        <f t="shared" si="7"/>
        <v>488</v>
      </c>
      <c r="B489" s="20">
        <v>45722</v>
      </c>
      <c r="C489" s="19" t="s">
        <v>1101</v>
      </c>
      <c r="D489" s="19" t="s">
        <v>2431</v>
      </c>
      <c r="E489" s="19">
        <v>20243902</v>
      </c>
      <c r="F489" s="19" t="s">
        <v>2998</v>
      </c>
      <c r="G489" s="19">
        <v>9673035222</v>
      </c>
      <c r="H489" s="19" t="s">
        <v>2999</v>
      </c>
      <c r="I489" s="19" t="s">
        <v>123</v>
      </c>
      <c r="J489" s="19" t="s">
        <v>117</v>
      </c>
      <c r="K489" s="19" t="s">
        <v>119</v>
      </c>
      <c r="L489" s="19">
        <v>2.5</v>
      </c>
      <c r="M489" s="19" t="s">
        <v>1057</v>
      </c>
      <c r="N489" s="19">
        <v>4.5</v>
      </c>
      <c r="O489" s="19">
        <v>0</v>
      </c>
      <c r="P489" s="19">
        <v>7</v>
      </c>
      <c r="Q489" s="19" t="s">
        <v>1282</v>
      </c>
      <c r="R489" s="19" t="s">
        <v>72</v>
      </c>
      <c r="S489" s="19" t="s">
        <v>1139</v>
      </c>
      <c r="T489" s="19"/>
      <c r="U489" s="21"/>
      <c r="V489" s="19"/>
      <c r="W489" s="19"/>
      <c r="X489" s="19"/>
      <c r="Y489" s="19"/>
      <c r="Z489" s="19"/>
      <c r="AA489" s="4"/>
      <c r="AB489" s="4"/>
      <c r="AC489" s="4"/>
      <c r="AD489" s="19"/>
      <c r="AE489" s="19"/>
      <c r="AF489" s="19"/>
      <c r="AG489" s="19"/>
      <c r="AH489" s="19"/>
      <c r="AI489" s="19"/>
      <c r="AJ489" s="19"/>
      <c r="AK489" s="19"/>
      <c r="AL489" s="19"/>
      <c r="AM489" s="19"/>
      <c r="AN489" s="19"/>
      <c r="AO489" s="19"/>
      <c r="AP489" s="19"/>
      <c r="AQ489" s="19"/>
      <c r="AR489" s="19"/>
      <c r="AS489" s="27"/>
    </row>
    <row r="490" spans="1:45">
      <c r="A490" s="19">
        <f t="shared" si="7"/>
        <v>489</v>
      </c>
      <c r="B490" s="20">
        <v>45722</v>
      </c>
      <c r="C490" s="19" t="s">
        <v>1101</v>
      </c>
      <c r="D490" s="19" t="s">
        <v>1026</v>
      </c>
      <c r="E490" s="19">
        <v>20243902</v>
      </c>
      <c r="F490" s="19" t="s">
        <v>3000</v>
      </c>
      <c r="G490" s="19">
        <v>9960346483</v>
      </c>
      <c r="H490" s="19" t="s">
        <v>3001</v>
      </c>
      <c r="I490" s="19" t="s">
        <v>123</v>
      </c>
      <c r="J490" s="19" t="s">
        <v>117</v>
      </c>
      <c r="K490" s="19" t="s">
        <v>119</v>
      </c>
      <c r="L490" s="19">
        <v>3.6</v>
      </c>
      <c r="M490" s="19" t="s">
        <v>3002</v>
      </c>
      <c r="N490" s="19">
        <v>5</v>
      </c>
      <c r="O490" s="19">
        <v>0</v>
      </c>
      <c r="P490" s="19">
        <v>8.5</v>
      </c>
      <c r="Q490" s="19" t="s">
        <v>72</v>
      </c>
      <c r="R490" s="19" t="s">
        <v>72</v>
      </c>
      <c r="S490" s="19" t="s">
        <v>1405</v>
      </c>
      <c r="T490" s="19"/>
      <c r="U490" s="21"/>
      <c r="V490" s="19"/>
      <c r="W490" s="19"/>
      <c r="X490" s="19"/>
      <c r="Y490" s="19"/>
      <c r="Z490" s="19"/>
      <c r="AA490" s="4"/>
      <c r="AB490" s="4"/>
      <c r="AC490" s="4"/>
      <c r="AD490" s="19"/>
      <c r="AE490" s="19"/>
      <c r="AF490" s="19"/>
      <c r="AG490" s="19"/>
      <c r="AH490" s="19"/>
      <c r="AI490" s="19"/>
      <c r="AJ490" s="19"/>
      <c r="AK490" s="19"/>
      <c r="AL490" s="19"/>
      <c r="AM490" s="19"/>
      <c r="AN490" s="19"/>
      <c r="AO490" s="19"/>
      <c r="AP490" s="19"/>
      <c r="AQ490" s="19"/>
      <c r="AR490" s="19"/>
      <c r="AS490" s="27"/>
    </row>
    <row r="491" spans="1:45">
      <c r="A491" s="19">
        <f t="shared" si="7"/>
        <v>490</v>
      </c>
      <c r="B491" s="20">
        <v>45722</v>
      </c>
      <c r="C491" s="19" t="s">
        <v>1101</v>
      </c>
      <c r="D491" s="19" t="s">
        <v>1026</v>
      </c>
      <c r="E491" s="19">
        <v>20243902</v>
      </c>
      <c r="F491" s="19" t="s">
        <v>3003</v>
      </c>
      <c r="G491" s="19">
        <v>7776813776</v>
      </c>
      <c r="H491" s="19" t="s">
        <v>3004</v>
      </c>
      <c r="I491" s="19" t="s">
        <v>123</v>
      </c>
      <c r="J491" s="19" t="s">
        <v>117</v>
      </c>
      <c r="K491" s="19" t="s">
        <v>119</v>
      </c>
      <c r="L491" s="19" t="s">
        <v>1057</v>
      </c>
      <c r="M491" s="19" t="s">
        <v>1057</v>
      </c>
      <c r="N491" s="19" t="s">
        <v>1057</v>
      </c>
      <c r="O491" s="19" t="s">
        <v>1057</v>
      </c>
      <c r="P491" s="19" t="s">
        <v>1057</v>
      </c>
      <c r="Q491" s="19" t="s">
        <v>1057</v>
      </c>
      <c r="R491" s="19" t="s">
        <v>1057</v>
      </c>
      <c r="S491" s="19" t="s">
        <v>1057</v>
      </c>
      <c r="T491" s="19"/>
      <c r="U491" s="21"/>
      <c r="V491" s="19"/>
      <c r="W491" s="19"/>
      <c r="X491" s="19"/>
      <c r="Y491" s="19"/>
      <c r="Z491" s="19"/>
      <c r="AA491" s="4"/>
      <c r="AB491" s="4"/>
      <c r="AC491" s="4"/>
      <c r="AD491" s="19"/>
      <c r="AE491" s="19"/>
      <c r="AF491" s="19"/>
      <c r="AG491" s="19"/>
      <c r="AH491" s="19"/>
      <c r="AI491" s="19"/>
      <c r="AJ491" s="19"/>
      <c r="AK491" s="19"/>
      <c r="AL491" s="19"/>
      <c r="AM491" s="19"/>
      <c r="AN491" s="19"/>
      <c r="AO491" s="19"/>
      <c r="AP491" s="19"/>
      <c r="AQ491" s="19"/>
      <c r="AR491" s="19"/>
      <c r="AS491" s="27"/>
    </row>
    <row r="492" spans="1:45">
      <c r="A492" s="19">
        <f t="shared" si="7"/>
        <v>491</v>
      </c>
      <c r="B492" s="20">
        <v>45722</v>
      </c>
      <c r="C492" s="19" t="s">
        <v>1101</v>
      </c>
      <c r="D492" s="19" t="s">
        <v>1026</v>
      </c>
      <c r="E492" s="19">
        <v>20243902</v>
      </c>
      <c r="F492" s="19" t="s">
        <v>3005</v>
      </c>
      <c r="G492" s="19">
        <v>8308318378</v>
      </c>
      <c r="H492" s="19" t="s">
        <v>3006</v>
      </c>
      <c r="I492" s="19" t="s">
        <v>123</v>
      </c>
      <c r="J492" s="19" t="s">
        <v>117</v>
      </c>
      <c r="K492" s="19" t="s">
        <v>119</v>
      </c>
      <c r="L492" s="19">
        <v>5</v>
      </c>
      <c r="M492" s="19" t="s">
        <v>1057</v>
      </c>
      <c r="N492" s="19">
        <v>6.8</v>
      </c>
      <c r="O492" s="19">
        <v>0</v>
      </c>
      <c r="P492" s="19">
        <v>8.5</v>
      </c>
      <c r="Q492" s="19" t="s">
        <v>3007</v>
      </c>
      <c r="R492" s="19" t="s">
        <v>72</v>
      </c>
      <c r="S492" s="19" t="s">
        <v>1121</v>
      </c>
      <c r="T492" s="19"/>
      <c r="U492" s="21"/>
      <c r="V492" s="19"/>
      <c r="W492" s="19"/>
      <c r="X492" s="19"/>
      <c r="Y492" s="19"/>
      <c r="Z492" s="19"/>
      <c r="AA492" s="4"/>
      <c r="AB492" s="4"/>
      <c r="AC492" s="4"/>
      <c r="AD492" s="19"/>
      <c r="AE492" s="19"/>
      <c r="AF492" s="19"/>
      <c r="AG492" s="19"/>
      <c r="AH492" s="19"/>
      <c r="AI492" s="19"/>
      <c r="AJ492" s="19"/>
      <c r="AK492" s="19"/>
      <c r="AL492" s="19"/>
      <c r="AM492" s="19"/>
      <c r="AN492" s="19"/>
      <c r="AO492" s="19"/>
      <c r="AP492" s="19"/>
      <c r="AQ492" s="19"/>
      <c r="AR492" s="19"/>
      <c r="AS492" s="27"/>
    </row>
    <row r="493" spans="1:45">
      <c r="A493" s="19">
        <f t="shared" si="7"/>
        <v>492</v>
      </c>
      <c r="B493" s="20">
        <v>45724</v>
      </c>
      <c r="C493" s="19" t="s">
        <v>1101</v>
      </c>
      <c r="D493" s="19" t="s">
        <v>1026</v>
      </c>
      <c r="E493" s="19">
        <v>20243902</v>
      </c>
      <c r="F493" s="19" t="s">
        <v>3008</v>
      </c>
      <c r="G493" s="19">
        <v>7498028203</v>
      </c>
      <c r="H493" s="19" t="s">
        <v>3009</v>
      </c>
      <c r="I493" s="19" t="s">
        <v>123</v>
      </c>
      <c r="J493" s="19" t="s">
        <v>117</v>
      </c>
      <c r="K493" s="19" t="s">
        <v>119</v>
      </c>
      <c r="L493" s="19">
        <v>2</v>
      </c>
      <c r="M493" s="19" t="s">
        <v>1057</v>
      </c>
      <c r="N493" s="19">
        <v>5</v>
      </c>
      <c r="O493" s="19">
        <v>0</v>
      </c>
      <c r="P493" s="19" t="s">
        <v>3010</v>
      </c>
      <c r="Q493" s="19" t="s">
        <v>3011</v>
      </c>
      <c r="R493" s="19" t="s">
        <v>72</v>
      </c>
      <c r="S493" s="19" t="s">
        <v>1121</v>
      </c>
      <c r="T493" s="19"/>
      <c r="U493" s="21"/>
      <c r="V493" s="19"/>
      <c r="W493" s="19"/>
      <c r="X493" s="19"/>
      <c r="Y493" s="19"/>
      <c r="Z493" s="19"/>
      <c r="AA493" s="4"/>
      <c r="AB493" s="4"/>
      <c r="AC493" s="4"/>
      <c r="AD493" s="19"/>
      <c r="AE493" s="19"/>
      <c r="AF493" s="19"/>
      <c r="AG493" s="19"/>
      <c r="AH493" s="19"/>
      <c r="AI493" s="19"/>
      <c r="AJ493" s="19"/>
      <c r="AK493" s="19"/>
      <c r="AL493" s="19"/>
      <c r="AM493" s="19"/>
      <c r="AN493" s="19"/>
      <c r="AO493" s="19"/>
      <c r="AP493" s="19"/>
      <c r="AQ493" s="19"/>
      <c r="AR493" s="19"/>
      <c r="AS493" s="27"/>
    </row>
    <row r="494" spans="1:45">
      <c r="A494" s="19">
        <f t="shared" si="7"/>
        <v>493</v>
      </c>
      <c r="B494" s="20">
        <v>45724</v>
      </c>
      <c r="C494" s="19" t="s">
        <v>1101</v>
      </c>
      <c r="D494" s="19" t="s">
        <v>1026</v>
      </c>
      <c r="E494" s="19">
        <v>20243902</v>
      </c>
      <c r="F494" s="19" t="s">
        <v>3012</v>
      </c>
      <c r="G494" s="19">
        <v>7972821098</v>
      </c>
      <c r="H494" s="19" t="s">
        <v>3013</v>
      </c>
      <c r="I494" s="19" t="s">
        <v>123</v>
      </c>
      <c r="J494" s="19" t="s">
        <v>117</v>
      </c>
      <c r="K494" s="19" t="s">
        <v>119</v>
      </c>
      <c r="L494" s="19">
        <v>5</v>
      </c>
      <c r="M494" s="19" t="s">
        <v>1057</v>
      </c>
      <c r="N494" s="19">
        <v>5.8</v>
      </c>
      <c r="O494" s="19">
        <v>0</v>
      </c>
      <c r="P494" s="19">
        <v>8.5</v>
      </c>
      <c r="Q494" s="19" t="s">
        <v>714</v>
      </c>
      <c r="R494" s="19" t="s">
        <v>72</v>
      </c>
      <c r="S494" s="19" t="s">
        <v>1121</v>
      </c>
      <c r="T494" s="19"/>
      <c r="U494" s="21"/>
      <c r="V494" s="19"/>
      <c r="W494" s="19"/>
      <c r="X494" s="19"/>
      <c r="Y494" s="19"/>
      <c r="Z494" s="19"/>
      <c r="AA494" s="4"/>
      <c r="AB494" s="4"/>
      <c r="AC494" s="4"/>
      <c r="AD494" s="19"/>
      <c r="AE494" s="19"/>
      <c r="AF494" s="19"/>
      <c r="AG494" s="19"/>
      <c r="AH494" s="19"/>
      <c r="AI494" s="19"/>
      <c r="AJ494" s="19"/>
      <c r="AK494" s="19"/>
      <c r="AL494" s="19"/>
      <c r="AM494" s="19"/>
      <c r="AN494" s="19"/>
      <c r="AO494" s="19"/>
      <c r="AP494" s="19"/>
      <c r="AQ494" s="19"/>
      <c r="AR494" s="19"/>
      <c r="AS494" s="27"/>
    </row>
    <row r="495" spans="1:45">
      <c r="A495" s="19">
        <f t="shared" si="7"/>
        <v>494</v>
      </c>
      <c r="B495" s="20">
        <v>45726</v>
      </c>
      <c r="C495" s="19" t="s">
        <v>1101</v>
      </c>
      <c r="D495" s="19" t="s">
        <v>1026</v>
      </c>
      <c r="E495" s="19">
        <v>20243902</v>
      </c>
      <c r="F495" s="19" t="s">
        <v>3014</v>
      </c>
      <c r="G495" s="19" t="s">
        <v>3015</v>
      </c>
      <c r="H495" s="19" t="s">
        <v>3016</v>
      </c>
      <c r="I495" s="19" t="s">
        <v>123</v>
      </c>
      <c r="J495" s="19" t="s">
        <v>117</v>
      </c>
      <c r="K495" s="19" t="s">
        <v>119</v>
      </c>
      <c r="L495" s="19">
        <v>5.8</v>
      </c>
      <c r="M495" s="19" t="s">
        <v>1057</v>
      </c>
      <c r="N495" s="19">
        <v>21.4</v>
      </c>
      <c r="O495" s="19">
        <v>0.1</v>
      </c>
      <c r="P495" s="19">
        <v>30</v>
      </c>
      <c r="Q495" s="19" t="s">
        <v>1472</v>
      </c>
      <c r="R495" s="19" t="s">
        <v>72</v>
      </c>
      <c r="S495" s="19" t="s">
        <v>1210</v>
      </c>
      <c r="T495" s="19"/>
      <c r="U495" s="21"/>
      <c r="V495" s="19"/>
      <c r="W495" s="19"/>
      <c r="X495" s="19"/>
      <c r="Y495" s="19"/>
      <c r="Z495" s="19"/>
      <c r="AA495" s="4"/>
      <c r="AB495" s="4"/>
      <c r="AC495" s="4"/>
      <c r="AD495" s="19"/>
      <c r="AE495" s="19"/>
      <c r="AF495" s="19"/>
      <c r="AG495" s="19"/>
      <c r="AH495" s="19"/>
      <c r="AI495" s="19"/>
      <c r="AJ495" s="19"/>
      <c r="AK495" s="19"/>
      <c r="AL495" s="19"/>
      <c r="AM495" s="19"/>
      <c r="AN495" s="19"/>
      <c r="AO495" s="19"/>
      <c r="AP495" s="19"/>
      <c r="AQ495" s="19"/>
      <c r="AR495" s="19"/>
      <c r="AS495" s="27"/>
    </row>
    <row r="496" spans="1:45">
      <c r="A496" s="19">
        <f t="shared" si="7"/>
        <v>495</v>
      </c>
      <c r="B496" s="20">
        <v>45726</v>
      </c>
      <c r="C496" s="19" t="s">
        <v>1101</v>
      </c>
      <c r="D496" s="19" t="s">
        <v>1026</v>
      </c>
      <c r="E496" s="19">
        <v>20243902</v>
      </c>
      <c r="F496" s="19" t="s">
        <v>3017</v>
      </c>
      <c r="G496" s="19" t="s">
        <v>3018</v>
      </c>
      <c r="H496" s="19" t="s">
        <v>3019</v>
      </c>
      <c r="I496" s="19" t="s">
        <v>86</v>
      </c>
      <c r="J496" s="19" t="s">
        <v>117</v>
      </c>
      <c r="K496" s="19" t="s">
        <v>119</v>
      </c>
      <c r="L496" s="19">
        <v>6</v>
      </c>
      <c r="M496" s="19">
        <v>0</v>
      </c>
      <c r="N496" s="19">
        <v>6.3</v>
      </c>
      <c r="O496" s="19">
        <v>0</v>
      </c>
      <c r="P496" s="19">
        <v>9</v>
      </c>
      <c r="Q496" s="19" t="s">
        <v>2831</v>
      </c>
      <c r="R496" s="19" t="s">
        <v>72</v>
      </c>
      <c r="S496" s="19" t="s">
        <v>1139</v>
      </c>
      <c r="T496" s="19"/>
      <c r="U496" s="21"/>
      <c r="V496" s="19"/>
      <c r="W496" s="19"/>
      <c r="X496" s="19"/>
      <c r="Y496" s="19"/>
      <c r="Z496" s="19"/>
      <c r="AA496" s="4"/>
      <c r="AB496" s="4"/>
      <c r="AC496" s="4"/>
      <c r="AD496" s="19"/>
      <c r="AE496" s="19"/>
      <c r="AF496" s="19"/>
      <c r="AG496" s="19"/>
      <c r="AH496" s="19"/>
      <c r="AI496" s="19"/>
      <c r="AJ496" s="19"/>
      <c r="AK496" s="19"/>
      <c r="AL496" s="19"/>
      <c r="AM496" s="19"/>
      <c r="AN496" s="19"/>
      <c r="AO496" s="19"/>
      <c r="AP496" s="19"/>
      <c r="AQ496" s="19"/>
      <c r="AR496" s="19"/>
      <c r="AS496" s="27"/>
    </row>
    <row r="497" spans="1:45">
      <c r="A497" s="19">
        <f t="shared" si="7"/>
        <v>496</v>
      </c>
      <c r="B497" s="20">
        <v>45726</v>
      </c>
      <c r="C497" s="19" t="s">
        <v>1101</v>
      </c>
      <c r="D497" s="19" t="s">
        <v>1432</v>
      </c>
      <c r="E497" s="19">
        <v>20242803</v>
      </c>
      <c r="F497" s="19" t="s">
        <v>3020</v>
      </c>
      <c r="G497" s="19">
        <v>7032121251</v>
      </c>
      <c r="H497" s="19" t="s">
        <v>3021</v>
      </c>
      <c r="I497" s="19" t="s">
        <v>86</v>
      </c>
      <c r="J497" s="19" t="s">
        <v>109</v>
      </c>
      <c r="K497" s="19" t="s">
        <v>1105</v>
      </c>
      <c r="L497" s="19">
        <v>3.5</v>
      </c>
      <c r="M497" s="19" t="s">
        <v>1057</v>
      </c>
      <c r="N497" s="19">
        <v>4.5</v>
      </c>
      <c r="O497" s="19" t="s">
        <v>1057</v>
      </c>
      <c r="P497" s="19">
        <v>8.5</v>
      </c>
      <c r="Q497" s="19" t="s">
        <v>714</v>
      </c>
      <c r="R497" s="19" t="s">
        <v>72</v>
      </c>
      <c r="S497" s="19" t="s">
        <v>1405</v>
      </c>
      <c r="T497" s="19"/>
      <c r="U497" s="21"/>
      <c r="V497" s="19"/>
      <c r="W497" s="19" t="s">
        <v>74</v>
      </c>
      <c r="X497" s="19" t="s">
        <v>74</v>
      </c>
      <c r="Y497" s="19" t="s">
        <v>70</v>
      </c>
      <c r="Z497" s="19" t="s">
        <v>68</v>
      </c>
      <c r="AA497" s="4">
        <v>45726</v>
      </c>
      <c r="AB497" s="4">
        <v>45728</v>
      </c>
      <c r="AC497" s="4">
        <v>45728</v>
      </c>
      <c r="AD497" s="19"/>
      <c r="AE497" s="19"/>
      <c r="AF497" s="19"/>
      <c r="AG497" s="19"/>
      <c r="AH497" s="19"/>
      <c r="AI497" s="19"/>
      <c r="AJ497" s="19"/>
      <c r="AK497" s="19"/>
      <c r="AL497" s="19"/>
      <c r="AM497" s="19"/>
      <c r="AN497" s="19"/>
      <c r="AO497" s="19"/>
      <c r="AP497" s="19"/>
      <c r="AQ497" s="19"/>
      <c r="AR497" s="19"/>
      <c r="AS497" s="27"/>
    </row>
    <row r="498" spans="1:45">
      <c r="A498" s="19">
        <f t="shared" si="7"/>
        <v>497</v>
      </c>
      <c r="B498" s="20">
        <v>45726</v>
      </c>
      <c r="C498" s="19" t="s">
        <v>1101</v>
      </c>
      <c r="D498" s="19" t="s">
        <v>1102</v>
      </c>
      <c r="E498" s="19">
        <v>20242803</v>
      </c>
      <c r="F498" s="19" t="s">
        <v>3022</v>
      </c>
      <c r="G498" s="19">
        <v>9956470822</v>
      </c>
      <c r="H498" s="19" t="s">
        <v>3023</v>
      </c>
      <c r="I498" s="19" t="s">
        <v>123</v>
      </c>
      <c r="J498" s="19" t="s">
        <v>109</v>
      </c>
      <c r="K498" s="19" t="s">
        <v>1105</v>
      </c>
      <c r="L498" s="19">
        <v>3.5</v>
      </c>
      <c r="M498" s="19" t="s">
        <v>1057</v>
      </c>
      <c r="N498" s="19">
        <v>17</v>
      </c>
      <c r="O498" s="19" t="s">
        <v>1057</v>
      </c>
      <c r="P498" s="19" t="s">
        <v>3024</v>
      </c>
      <c r="Q498" s="19" t="s">
        <v>1562</v>
      </c>
      <c r="R498" s="19" t="s">
        <v>72</v>
      </c>
      <c r="S498" s="19" t="s">
        <v>3025</v>
      </c>
      <c r="T498" s="19"/>
      <c r="U498" s="21"/>
      <c r="V498" s="19"/>
      <c r="W498" s="19" t="s">
        <v>74</v>
      </c>
      <c r="X498" s="19" t="s">
        <v>74</v>
      </c>
      <c r="Y498" s="19" t="s">
        <v>70</v>
      </c>
      <c r="Z498" s="19" t="s">
        <v>68</v>
      </c>
      <c r="AA498" s="4">
        <v>45726</v>
      </c>
      <c r="AB498" s="4">
        <v>45727</v>
      </c>
      <c r="AC498" s="4">
        <v>45727</v>
      </c>
      <c r="AD498" s="19"/>
      <c r="AE498" s="19"/>
      <c r="AF498" s="19"/>
      <c r="AG498" s="19"/>
      <c r="AH498" s="19"/>
      <c r="AI498" s="19"/>
      <c r="AJ498" s="19"/>
      <c r="AK498" s="19"/>
      <c r="AL498" s="19"/>
      <c r="AM498" s="19"/>
      <c r="AN498" s="19"/>
      <c r="AO498" s="19"/>
      <c r="AP498" s="19"/>
      <c r="AQ498" s="19"/>
      <c r="AR498" s="19"/>
      <c r="AS498" s="27"/>
    </row>
    <row r="499" spans="1:45">
      <c r="A499" s="19">
        <f t="shared" si="7"/>
        <v>498</v>
      </c>
      <c r="B499" s="20">
        <v>45726</v>
      </c>
      <c r="C499" s="19" t="s">
        <v>1101</v>
      </c>
      <c r="D499" s="19" t="s">
        <v>1102</v>
      </c>
      <c r="E499" s="19">
        <v>20242803</v>
      </c>
      <c r="F499" s="19" t="s">
        <v>3026</v>
      </c>
      <c r="G499" s="19">
        <v>6388801671</v>
      </c>
      <c r="H499" s="19" t="s">
        <v>3027</v>
      </c>
      <c r="I499" s="19" t="s">
        <v>123</v>
      </c>
      <c r="J499" s="19" t="s">
        <v>109</v>
      </c>
      <c r="K499" s="19" t="s">
        <v>1105</v>
      </c>
      <c r="L499" s="19"/>
      <c r="M499" s="19"/>
      <c r="N499" s="19"/>
      <c r="O499" s="19"/>
      <c r="P499" s="19"/>
      <c r="Q499" s="19"/>
      <c r="R499" s="19"/>
      <c r="S499" s="19"/>
      <c r="T499" s="19"/>
      <c r="U499" s="21"/>
      <c r="V499" s="19"/>
      <c r="W499" s="19" t="s">
        <v>74</v>
      </c>
      <c r="X499" s="19" t="s">
        <v>74</v>
      </c>
      <c r="Y499" s="19" t="s">
        <v>70</v>
      </c>
      <c r="Z499" s="19" t="s">
        <v>68</v>
      </c>
      <c r="AA499" s="4">
        <v>45726</v>
      </c>
      <c r="AB499" s="4">
        <v>45728</v>
      </c>
      <c r="AC499" s="4">
        <v>45728</v>
      </c>
      <c r="AD499" s="19"/>
      <c r="AE499" s="19"/>
      <c r="AF499" s="19"/>
      <c r="AG499" s="19"/>
      <c r="AH499" s="19"/>
      <c r="AI499" s="19"/>
      <c r="AJ499" s="19"/>
      <c r="AK499" s="19"/>
      <c r="AL499" s="19"/>
      <c r="AM499" s="19"/>
      <c r="AN499" s="19"/>
      <c r="AO499" s="19"/>
      <c r="AP499" s="19"/>
      <c r="AQ499" s="19"/>
      <c r="AR499" s="19"/>
      <c r="AS499" s="27"/>
    </row>
    <row r="500" spans="1:45">
      <c r="A500" s="19">
        <f t="shared" si="7"/>
        <v>499</v>
      </c>
      <c r="B500" s="20">
        <v>45726</v>
      </c>
      <c r="C500" s="19" t="s">
        <v>1101</v>
      </c>
      <c r="D500" s="19" t="s">
        <v>1102</v>
      </c>
      <c r="E500" s="19">
        <v>20242803</v>
      </c>
      <c r="F500" s="19" t="s">
        <v>3028</v>
      </c>
      <c r="G500" s="19">
        <v>9930912606</v>
      </c>
      <c r="H500" s="19" t="s">
        <v>3029</v>
      </c>
      <c r="I500" s="19" t="s">
        <v>123</v>
      </c>
      <c r="J500" s="19" t="s">
        <v>109</v>
      </c>
      <c r="K500" s="19" t="s">
        <v>1105</v>
      </c>
      <c r="L500" s="19"/>
      <c r="M500" s="19"/>
      <c r="N500" s="19"/>
      <c r="O500" s="19"/>
      <c r="P500" s="19"/>
      <c r="Q500" s="19"/>
      <c r="R500" s="19"/>
      <c r="S500" s="19"/>
      <c r="T500" s="19"/>
      <c r="U500" s="21"/>
      <c r="V500" s="19"/>
      <c r="W500" s="19" t="s">
        <v>74</v>
      </c>
      <c r="X500" s="19" t="s">
        <v>74</v>
      </c>
      <c r="Y500" s="19" t="s">
        <v>70</v>
      </c>
      <c r="Z500" s="19" t="s">
        <v>68</v>
      </c>
      <c r="AA500" s="4">
        <v>45726</v>
      </c>
      <c r="AB500" s="4">
        <v>45729</v>
      </c>
      <c r="AC500" s="4">
        <v>45729</v>
      </c>
      <c r="AD500" s="19"/>
      <c r="AE500" s="19"/>
      <c r="AF500" s="19"/>
      <c r="AG500" s="19"/>
      <c r="AH500" s="19"/>
      <c r="AI500" s="19"/>
      <c r="AJ500" s="19"/>
      <c r="AK500" s="19"/>
      <c r="AL500" s="19"/>
      <c r="AM500" s="19"/>
      <c r="AN500" s="19"/>
      <c r="AO500" s="19"/>
      <c r="AP500" s="19"/>
      <c r="AQ500" s="19"/>
      <c r="AR500" s="19"/>
      <c r="AS500" s="27"/>
    </row>
    <row r="501" spans="1:45">
      <c r="A501" s="19">
        <f t="shared" si="7"/>
        <v>500</v>
      </c>
      <c r="B501" s="20">
        <v>45726</v>
      </c>
      <c r="C501" s="19" t="s">
        <v>1101</v>
      </c>
      <c r="D501" s="19" t="s">
        <v>1432</v>
      </c>
      <c r="E501" s="19">
        <v>20242803</v>
      </c>
      <c r="F501" s="19" t="s">
        <v>3030</v>
      </c>
      <c r="G501" s="19">
        <v>6283732625</v>
      </c>
      <c r="H501" s="19" t="s">
        <v>3031</v>
      </c>
      <c r="I501" s="19" t="s">
        <v>123</v>
      </c>
      <c r="J501" s="19" t="s">
        <v>109</v>
      </c>
      <c r="K501" s="19" t="s">
        <v>1105</v>
      </c>
      <c r="L501" s="19">
        <v>3.6</v>
      </c>
      <c r="M501" s="19" t="s">
        <v>3032</v>
      </c>
      <c r="N501" s="19">
        <v>7.5</v>
      </c>
      <c r="O501" s="19" t="s">
        <v>2711</v>
      </c>
      <c r="P501" s="19">
        <v>14</v>
      </c>
      <c r="Q501" s="19" t="s">
        <v>1512</v>
      </c>
      <c r="R501" s="19" t="s">
        <v>72</v>
      </c>
      <c r="S501" s="19" t="s">
        <v>3033</v>
      </c>
      <c r="T501" s="19"/>
      <c r="U501" s="21"/>
      <c r="V501" s="19"/>
      <c r="W501" s="19" t="s">
        <v>74</v>
      </c>
      <c r="X501" s="19" t="s">
        <v>74</v>
      </c>
      <c r="Y501" s="19" t="s">
        <v>70</v>
      </c>
      <c r="Z501" s="19" t="s">
        <v>68</v>
      </c>
      <c r="AA501" s="4">
        <v>45726</v>
      </c>
      <c r="AB501" s="4">
        <v>45726</v>
      </c>
      <c r="AC501" s="4">
        <v>45726</v>
      </c>
      <c r="AD501" s="19"/>
      <c r="AE501" s="19"/>
      <c r="AF501" s="19"/>
      <c r="AG501" s="19"/>
      <c r="AH501" s="19"/>
      <c r="AI501" s="19"/>
      <c r="AJ501" s="19"/>
      <c r="AK501" s="19"/>
      <c r="AL501" s="19"/>
      <c r="AM501" s="19"/>
      <c r="AN501" s="19"/>
      <c r="AO501" s="19"/>
      <c r="AP501" s="19"/>
      <c r="AQ501" s="19"/>
      <c r="AR501" s="19"/>
      <c r="AS501" s="27"/>
    </row>
    <row r="502" spans="1:45">
      <c r="A502" s="19">
        <f t="shared" si="7"/>
        <v>501</v>
      </c>
      <c r="B502" s="20">
        <v>45726</v>
      </c>
      <c r="C502" s="19" t="s">
        <v>1101</v>
      </c>
      <c r="D502" s="19" t="s">
        <v>1432</v>
      </c>
      <c r="E502" s="19">
        <v>20242803</v>
      </c>
      <c r="F502" s="19" t="s">
        <v>3034</v>
      </c>
      <c r="G502" s="19" t="s">
        <v>3035</v>
      </c>
      <c r="H502" s="19" t="s">
        <v>3036</v>
      </c>
      <c r="I502" s="19" t="s">
        <v>123</v>
      </c>
      <c r="J502" s="19" t="s">
        <v>109</v>
      </c>
      <c r="K502" s="19" t="s">
        <v>1105</v>
      </c>
      <c r="L502" s="19">
        <v>3.1</v>
      </c>
      <c r="M502" s="19" t="s">
        <v>1294</v>
      </c>
      <c r="N502" s="19">
        <v>8</v>
      </c>
      <c r="O502" s="19" t="s">
        <v>3037</v>
      </c>
      <c r="P502" s="19">
        <v>14</v>
      </c>
      <c r="Q502" s="19" t="s">
        <v>1276</v>
      </c>
      <c r="R502" s="19" t="s">
        <v>72</v>
      </c>
      <c r="S502" s="19" t="s">
        <v>3038</v>
      </c>
      <c r="T502" s="19"/>
      <c r="U502" s="21"/>
      <c r="V502" s="19"/>
      <c r="W502" s="19" t="s">
        <v>74</v>
      </c>
      <c r="X502" s="19" t="s">
        <v>74</v>
      </c>
      <c r="Y502" s="19" t="s">
        <v>70</v>
      </c>
      <c r="Z502" s="19" t="s">
        <v>68</v>
      </c>
      <c r="AA502" s="4">
        <v>45726</v>
      </c>
      <c r="AB502" s="4">
        <v>45726</v>
      </c>
      <c r="AC502" s="4">
        <v>45726</v>
      </c>
      <c r="AD502" s="19"/>
      <c r="AE502" s="19"/>
      <c r="AF502" s="19"/>
      <c r="AG502" s="19"/>
      <c r="AH502" s="19"/>
      <c r="AI502" s="19"/>
      <c r="AJ502" s="19"/>
      <c r="AK502" s="19"/>
      <c r="AL502" s="19"/>
      <c r="AM502" s="19"/>
      <c r="AN502" s="19"/>
      <c r="AO502" s="19"/>
      <c r="AP502" s="19"/>
      <c r="AQ502" s="19"/>
      <c r="AR502" s="19"/>
      <c r="AS502" s="27"/>
    </row>
    <row r="503" spans="1:45">
      <c r="A503" s="19">
        <f t="shared" si="7"/>
        <v>502</v>
      </c>
      <c r="B503" s="20">
        <v>45726</v>
      </c>
      <c r="C503" s="19" t="s">
        <v>1101</v>
      </c>
      <c r="D503" s="19" t="s">
        <v>2987</v>
      </c>
      <c r="E503" s="19">
        <v>20245321</v>
      </c>
      <c r="F503" s="19" t="s">
        <v>3039</v>
      </c>
      <c r="G503" s="19">
        <v>9689791380</v>
      </c>
      <c r="H503" s="19" t="s">
        <v>3040</v>
      </c>
      <c r="I503" s="19" t="s">
        <v>86</v>
      </c>
      <c r="J503" s="19" t="s">
        <v>353</v>
      </c>
      <c r="K503" s="19" t="s">
        <v>356</v>
      </c>
      <c r="L503" s="19">
        <v>3.1</v>
      </c>
      <c r="M503" s="19" t="s">
        <v>3041</v>
      </c>
      <c r="N503" s="19">
        <v>5</v>
      </c>
      <c r="O503" s="19">
        <v>0</v>
      </c>
      <c r="P503" s="19">
        <v>8</v>
      </c>
      <c r="Q503" s="19" t="s">
        <v>1170</v>
      </c>
      <c r="R503" s="19" t="s">
        <v>72</v>
      </c>
      <c r="S503" s="19" t="s">
        <v>1121</v>
      </c>
      <c r="T503" s="19"/>
      <c r="U503" s="21"/>
      <c r="V503" s="19"/>
      <c r="W503" s="19"/>
      <c r="X503" s="19"/>
      <c r="Y503" s="19"/>
      <c r="Z503" s="19"/>
      <c r="AA503" s="4">
        <v>45722</v>
      </c>
      <c r="AB503" s="4">
        <v>45726</v>
      </c>
      <c r="AC503" s="4">
        <v>45726</v>
      </c>
      <c r="AD503" s="19"/>
      <c r="AE503" s="19"/>
      <c r="AF503" s="19"/>
      <c r="AG503" s="19"/>
      <c r="AH503" s="19"/>
      <c r="AI503" s="19"/>
      <c r="AJ503" s="19"/>
      <c r="AK503" s="19"/>
      <c r="AL503" s="19"/>
      <c r="AM503" s="19"/>
      <c r="AN503" s="19"/>
      <c r="AO503" s="19"/>
      <c r="AP503" s="19"/>
      <c r="AQ503" s="19"/>
      <c r="AR503" s="19"/>
      <c r="AS503" s="27"/>
    </row>
    <row r="504" spans="1:45">
      <c r="A504" s="19">
        <f t="shared" si="7"/>
        <v>503</v>
      </c>
      <c r="B504" s="20">
        <v>45726</v>
      </c>
      <c r="C504" s="19" t="s">
        <v>1101</v>
      </c>
      <c r="D504" s="19" t="s">
        <v>1026</v>
      </c>
      <c r="E504" s="19">
        <v>20245321</v>
      </c>
      <c r="F504" s="19" t="s">
        <v>3042</v>
      </c>
      <c r="G504" s="19">
        <v>8208515536</v>
      </c>
      <c r="H504" s="19" t="s">
        <v>3043</v>
      </c>
      <c r="I504" s="19" t="s">
        <v>123</v>
      </c>
      <c r="J504" s="19" t="s">
        <v>353</v>
      </c>
      <c r="K504" s="19" t="s">
        <v>356</v>
      </c>
      <c r="L504" s="19">
        <v>4</v>
      </c>
      <c r="M504" s="19" t="s">
        <v>3044</v>
      </c>
      <c r="N504" s="19">
        <v>4.5</v>
      </c>
      <c r="O504" s="19">
        <v>0</v>
      </c>
      <c r="P504" s="19">
        <v>8</v>
      </c>
      <c r="Q504" s="19" t="s">
        <v>3045</v>
      </c>
      <c r="R504" s="19" t="s">
        <v>72</v>
      </c>
      <c r="S504" s="19" t="s">
        <v>2023</v>
      </c>
      <c r="T504" s="19"/>
      <c r="U504" s="21"/>
      <c r="V504" s="19"/>
      <c r="W504" s="19"/>
      <c r="X504" s="19"/>
      <c r="Y504" s="19"/>
      <c r="Z504" s="19"/>
      <c r="AA504" s="4">
        <v>45722</v>
      </c>
      <c r="AB504" s="4"/>
      <c r="AC504" s="4"/>
      <c r="AD504" s="19"/>
      <c r="AE504" s="19"/>
      <c r="AF504" s="19"/>
      <c r="AG504" s="19"/>
      <c r="AH504" s="19"/>
      <c r="AI504" s="19"/>
      <c r="AJ504" s="19"/>
      <c r="AK504" s="19"/>
      <c r="AL504" s="19"/>
      <c r="AM504" s="19"/>
      <c r="AN504" s="19"/>
      <c r="AO504" s="19"/>
      <c r="AP504" s="19"/>
      <c r="AQ504" s="19"/>
      <c r="AR504" s="19"/>
      <c r="AS504" s="27"/>
    </row>
    <row r="505" spans="1:45">
      <c r="A505" s="19">
        <f t="shared" si="7"/>
        <v>504</v>
      </c>
      <c r="B505" s="20">
        <v>45726</v>
      </c>
      <c r="C505" s="19" t="s">
        <v>1101</v>
      </c>
      <c r="D505" s="19" t="s">
        <v>2987</v>
      </c>
      <c r="E505" s="19">
        <v>20245321</v>
      </c>
      <c r="F505" s="19" t="s">
        <v>3046</v>
      </c>
      <c r="G505" s="19">
        <v>8309886536</v>
      </c>
      <c r="H505" s="19" t="s">
        <v>3047</v>
      </c>
      <c r="I505" s="19" t="s">
        <v>123</v>
      </c>
      <c r="J505" s="19" t="s">
        <v>353</v>
      </c>
      <c r="K505" s="19" t="s">
        <v>356</v>
      </c>
      <c r="L505" s="19">
        <v>2.8</v>
      </c>
      <c r="M505" s="19" t="s">
        <v>3048</v>
      </c>
      <c r="N505" s="19">
        <v>7.2</v>
      </c>
      <c r="O505" s="19">
        <v>0</v>
      </c>
      <c r="P505" s="19" t="s">
        <v>3049</v>
      </c>
      <c r="Q505" s="19" t="s">
        <v>3050</v>
      </c>
      <c r="R505" s="19" t="s">
        <v>72</v>
      </c>
      <c r="S505" s="19" t="s">
        <v>1139</v>
      </c>
      <c r="T505" s="19"/>
      <c r="U505" s="21"/>
      <c r="V505" s="19"/>
      <c r="W505" s="19"/>
      <c r="X505" s="19"/>
      <c r="Y505" s="19"/>
      <c r="Z505" s="19"/>
      <c r="AA505" s="4">
        <v>45722</v>
      </c>
      <c r="AB505" s="4"/>
      <c r="AC505" s="4"/>
      <c r="AD505" s="19"/>
      <c r="AE505" s="19"/>
      <c r="AF505" s="19"/>
      <c r="AG505" s="19"/>
      <c r="AH505" s="19"/>
      <c r="AI505" s="19"/>
      <c r="AJ505" s="19"/>
      <c r="AK505" s="19"/>
      <c r="AL505" s="19"/>
      <c r="AM505" s="19"/>
      <c r="AN505" s="19"/>
      <c r="AO505" s="19"/>
      <c r="AP505" s="19"/>
      <c r="AQ505" s="19"/>
      <c r="AR505" s="19"/>
      <c r="AS505" s="27"/>
    </row>
    <row r="506" spans="1:45">
      <c r="A506" s="19">
        <f t="shared" si="7"/>
        <v>505</v>
      </c>
      <c r="B506" s="20">
        <v>45726</v>
      </c>
      <c r="C506" s="19" t="s">
        <v>1101</v>
      </c>
      <c r="D506" s="19" t="s">
        <v>2987</v>
      </c>
      <c r="E506" s="19">
        <v>20245321</v>
      </c>
      <c r="F506" s="19" t="s">
        <v>3051</v>
      </c>
      <c r="G506" s="19">
        <v>9773439358</v>
      </c>
      <c r="H506" s="19" t="s">
        <v>3052</v>
      </c>
      <c r="I506" s="19" t="s">
        <v>123</v>
      </c>
      <c r="J506" s="19" t="s">
        <v>353</v>
      </c>
      <c r="K506" s="19" t="s">
        <v>356</v>
      </c>
      <c r="L506" s="19">
        <v>3</v>
      </c>
      <c r="M506" s="19" t="s">
        <v>3053</v>
      </c>
      <c r="N506" s="19">
        <v>3.6</v>
      </c>
      <c r="O506" s="19">
        <v>0</v>
      </c>
      <c r="P506" s="19">
        <v>6</v>
      </c>
      <c r="Q506" s="19" t="s">
        <v>3054</v>
      </c>
      <c r="R506" s="19" t="s">
        <v>72</v>
      </c>
      <c r="S506" s="19" t="s">
        <v>1139</v>
      </c>
      <c r="T506" s="19"/>
      <c r="U506" s="21"/>
      <c r="V506" s="19"/>
      <c r="W506" s="19"/>
      <c r="X506" s="19"/>
      <c r="Y506" s="19"/>
      <c r="Z506" s="19"/>
      <c r="AA506" s="4">
        <v>45722</v>
      </c>
      <c r="AB506" s="4"/>
      <c r="AC506" s="4"/>
      <c r="AD506" s="19"/>
      <c r="AE506" s="19"/>
      <c r="AF506" s="19"/>
      <c r="AG506" s="19"/>
      <c r="AH506" s="19"/>
      <c r="AI506" s="19"/>
      <c r="AJ506" s="19"/>
      <c r="AK506" s="19"/>
      <c r="AL506" s="19"/>
      <c r="AM506" s="19"/>
      <c r="AN506" s="19"/>
      <c r="AO506" s="19"/>
      <c r="AP506" s="19"/>
      <c r="AQ506" s="19"/>
      <c r="AR506" s="19"/>
      <c r="AS506" s="27"/>
    </row>
    <row r="507" spans="1:45">
      <c r="A507" s="19">
        <f t="shared" si="7"/>
        <v>506</v>
      </c>
      <c r="B507" s="20">
        <v>45726</v>
      </c>
      <c r="C507" s="19" t="s">
        <v>1101</v>
      </c>
      <c r="D507" s="19" t="s">
        <v>2987</v>
      </c>
      <c r="E507" s="19">
        <v>20252743</v>
      </c>
      <c r="F507" s="19" t="s">
        <v>628</v>
      </c>
      <c r="G507" s="19">
        <v>8551988617</v>
      </c>
      <c r="H507" s="19" t="s">
        <v>629</v>
      </c>
      <c r="I507" s="19" t="s">
        <v>123</v>
      </c>
      <c r="J507" s="19" t="s">
        <v>353</v>
      </c>
      <c r="K507" s="19" t="s">
        <v>356</v>
      </c>
      <c r="L507" s="19">
        <v>3.1</v>
      </c>
      <c r="M507" s="19" t="s">
        <v>1057</v>
      </c>
      <c r="N507" s="19">
        <v>4.4000000000000004</v>
      </c>
      <c r="O507" s="19">
        <v>0</v>
      </c>
      <c r="P507" s="19" t="s">
        <v>1259</v>
      </c>
      <c r="Q507" s="19" t="s">
        <v>2220</v>
      </c>
      <c r="R507" s="19" t="s">
        <v>72</v>
      </c>
      <c r="S507" s="19" t="s">
        <v>3055</v>
      </c>
      <c r="T507" s="19"/>
      <c r="U507" s="21"/>
      <c r="V507" s="19"/>
      <c r="W507" s="19"/>
      <c r="X507" s="19"/>
      <c r="Y507" s="19"/>
      <c r="Z507" s="19"/>
      <c r="AA507" s="4">
        <v>45722</v>
      </c>
      <c r="AB507" s="4"/>
      <c r="AC507" s="4"/>
      <c r="AD507" s="19"/>
      <c r="AE507" s="19"/>
      <c r="AF507" s="19"/>
      <c r="AG507" s="19"/>
      <c r="AH507" s="19"/>
      <c r="AI507" s="19"/>
      <c r="AJ507" s="19"/>
      <c r="AK507" s="19"/>
      <c r="AL507" s="19"/>
      <c r="AM507" s="19"/>
      <c r="AN507" s="19"/>
      <c r="AO507" s="19"/>
      <c r="AP507" s="19"/>
      <c r="AQ507" s="19"/>
      <c r="AR507" s="19"/>
      <c r="AS507" s="27"/>
    </row>
    <row r="508" spans="1:45">
      <c r="A508" s="19">
        <f t="shared" si="7"/>
        <v>507</v>
      </c>
      <c r="B508" s="20">
        <v>45726</v>
      </c>
      <c r="C508" s="19" t="s">
        <v>1101</v>
      </c>
      <c r="D508" s="19" t="s">
        <v>1026</v>
      </c>
      <c r="E508" s="19">
        <v>20252743</v>
      </c>
      <c r="F508" s="19" t="s">
        <v>3056</v>
      </c>
      <c r="G508" s="19">
        <v>7981850661</v>
      </c>
      <c r="H508" s="19" t="s">
        <v>3057</v>
      </c>
      <c r="I508" s="19" t="s">
        <v>123</v>
      </c>
      <c r="J508" s="19" t="s">
        <v>353</v>
      </c>
      <c r="K508" s="19" t="s">
        <v>356</v>
      </c>
      <c r="L508" s="19">
        <v>3.4</v>
      </c>
      <c r="M508" s="19" t="s">
        <v>1057</v>
      </c>
      <c r="N508" s="19">
        <v>5.5</v>
      </c>
      <c r="O508" s="19">
        <v>0</v>
      </c>
      <c r="P508" s="19">
        <v>8.5</v>
      </c>
      <c r="Q508" s="19" t="s">
        <v>3058</v>
      </c>
      <c r="R508" s="19" t="s">
        <v>72</v>
      </c>
      <c r="S508" s="19" t="s">
        <v>3059</v>
      </c>
      <c r="T508" s="19"/>
      <c r="U508" s="21"/>
      <c r="V508" s="19"/>
      <c r="W508" s="19"/>
      <c r="X508" s="19"/>
      <c r="Y508" s="19"/>
      <c r="Z508" s="19"/>
      <c r="AA508" s="4">
        <v>45722</v>
      </c>
      <c r="AB508" s="4"/>
      <c r="AC508" s="4"/>
      <c r="AD508" s="19"/>
      <c r="AE508" s="19"/>
      <c r="AF508" s="19"/>
      <c r="AG508" s="19"/>
      <c r="AH508" s="19"/>
      <c r="AI508" s="19"/>
      <c r="AJ508" s="19"/>
      <c r="AK508" s="19"/>
      <c r="AL508" s="19"/>
      <c r="AM508" s="19"/>
      <c r="AN508" s="19"/>
      <c r="AO508" s="19"/>
      <c r="AP508" s="19"/>
      <c r="AQ508" s="19"/>
      <c r="AR508" s="19"/>
      <c r="AS508" s="27"/>
    </row>
    <row r="509" spans="1:45">
      <c r="A509" s="19">
        <f t="shared" si="7"/>
        <v>508</v>
      </c>
      <c r="B509" s="20">
        <v>45726</v>
      </c>
      <c r="C509" s="19" t="s">
        <v>1101</v>
      </c>
      <c r="D509" s="19" t="s">
        <v>1699</v>
      </c>
      <c r="E509" s="19">
        <v>20252743</v>
      </c>
      <c r="F509" s="19" t="s">
        <v>3060</v>
      </c>
      <c r="G509" s="19">
        <v>8637702757</v>
      </c>
      <c r="H509" s="19" t="s">
        <v>3061</v>
      </c>
      <c r="I509" s="19" t="s">
        <v>123</v>
      </c>
      <c r="J509" s="19" t="s">
        <v>353</v>
      </c>
      <c r="K509" s="19" t="s">
        <v>356</v>
      </c>
      <c r="L509" s="19">
        <v>3.5</v>
      </c>
      <c r="M509" s="19" t="s">
        <v>1057</v>
      </c>
      <c r="N509" s="19">
        <v>6</v>
      </c>
      <c r="O509" s="19">
        <v>0</v>
      </c>
      <c r="P509" s="19" t="s">
        <v>3062</v>
      </c>
      <c r="Q509" s="19" t="s">
        <v>3063</v>
      </c>
      <c r="R509" s="19" t="s">
        <v>72</v>
      </c>
      <c r="S509" s="19" t="s">
        <v>1139</v>
      </c>
      <c r="T509" s="19"/>
      <c r="U509" s="21"/>
      <c r="V509" s="19"/>
      <c r="W509" s="19"/>
      <c r="X509" s="19"/>
      <c r="Y509" s="19"/>
      <c r="Z509" s="19"/>
      <c r="AA509" s="4">
        <v>45722</v>
      </c>
      <c r="AB509" s="4"/>
      <c r="AC509" s="4"/>
      <c r="AD509" s="19"/>
      <c r="AE509" s="19"/>
      <c r="AF509" s="19"/>
      <c r="AG509" s="19"/>
      <c r="AH509" s="19"/>
      <c r="AI509" s="19"/>
      <c r="AJ509" s="19"/>
      <c r="AK509" s="19"/>
      <c r="AL509" s="19"/>
      <c r="AM509" s="19"/>
      <c r="AN509" s="19"/>
      <c r="AO509" s="19"/>
      <c r="AP509" s="19"/>
      <c r="AQ509" s="19"/>
      <c r="AR509" s="19"/>
      <c r="AS509" s="27"/>
    </row>
    <row r="510" spans="1:45">
      <c r="A510" s="19">
        <f t="shared" si="7"/>
        <v>509</v>
      </c>
      <c r="B510" s="20">
        <v>45726</v>
      </c>
      <c r="C510" s="19" t="s">
        <v>1101</v>
      </c>
      <c r="D510" s="19" t="s">
        <v>1026</v>
      </c>
      <c r="E510" s="19">
        <v>20252743</v>
      </c>
      <c r="F510" s="19" t="s">
        <v>3064</v>
      </c>
      <c r="G510" s="19">
        <v>9398721176</v>
      </c>
      <c r="H510" s="19" t="s">
        <v>3065</v>
      </c>
      <c r="I510" s="19" t="s">
        <v>123</v>
      </c>
      <c r="J510" s="19" t="s">
        <v>353</v>
      </c>
      <c r="K510" s="19" t="s">
        <v>356</v>
      </c>
      <c r="L510" s="19">
        <v>3.3</v>
      </c>
      <c r="M510" s="19" t="s">
        <v>1057</v>
      </c>
      <c r="N510" s="19">
        <v>6.4</v>
      </c>
      <c r="O510" s="19">
        <v>0</v>
      </c>
      <c r="P510" s="19">
        <v>0.35</v>
      </c>
      <c r="Q510" s="19" t="s">
        <v>3066</v>
      </c>
      <c r="R510" s="19" t="s">
        <v>72</v>
      </c>
      <c r="S510" s="19" t="s">
        <v>3067</v>
      </c>
      <c r="T510" s="19"/>
      <c r="U510" s="21"/>
      <c r="V510" s="19"/>
      <c r="W510" s="19"/>
      <c r="X510" s="19"/>
      <c r="Y510" s="19"/>
      <c r="Z510" s="19"/>
      <c r="AA510" s="4">
        <v>45722</v>
      </c>
      <c r="AB510" s="4"/>
      <c r="AC510" s="4"/>
      <c r="AD510" s="19"/>
      <c r="AE510" s="19"/>
      <c r="AF510" s="19"/>
      <c r="AG510" s="19"/>
      <c r="AH510" s="19"/>
      <c r="AI510" s="19"/>
      <c r="AJ510" s="19"/>
      <c r="AK510" s="19"/>
      <c r="AL510" s="19"/>
      <c r="AM510" s="19"/>
      <c r="AN510" s="19"/>
      <c r="AO510" s="19"/>
      <c r="AP510" s="19"/>
      <c r="AQ510" s="19"/>
      <c r="AR510" s="19"/>
      <c r="AS510" s="27"/>
    </row>
    <row r="511" spans="1:45" ht="19">
      <c r="A511" s="19">
        <f t="shared" si="7"/>
        <v>510</v>
      </c>
      <c r="B511" s="20">
        <v>45726</v>
      </c>
      <c r="C511" s="19" t="s">
        <v>1101</v>
      </c>
      <c r="D511" s="19" t="s">
        <v>1026</v>
      </c>
      <c r="E511" s="19">
        <v>20252743</v>
      </c>
      <c r="F511" s="19" t="s">
        <v>3068</v>
      </c>
      <c r="G511" s="19">
        <v>9130948200</v>
      </c>
      <c r="H511" s="19" t="s">
        <v>3069</v>
      </c>
      <c r="I511" s="19" t="s">
        <v>123</v>
      </c>
      <c r="J511" s="19" t="s">
        <v>353</v>
      </c>
      <c r="K511" s="19" t="s">
        <v>356</v>
      </c>
      <c r="L511" s="19">
        <v>4</v>
      </c>
      <c r="M511" s="19"/>
      <c r="N511" s="19"/>
      <c r="O511" s="19">
        <v>0</v>
      </c>
      <c r="P511" s="19"/>
      <c r="Q511" s="19"/>
      <c r="R511" s="19"/>
      <c r="S511" s="19"/>
      <c r="T511" s="19"/>
      <c r="U511" s="21"/>
      <c r="V511" s="19"/>
      <c r="W511" s="19"/>
      <c r="X511" s="19"/>
      <c r="Y511" s="19"/>
      <c r="Z511" s="19"/>
      <c r="AA511" s="4">
        <v>45722</v>
      </c>
      <c r="AB511" s="4"/>
      <c r="AC511" s="4"/>
      <c r="AD511" s="19"/>
      <c r="AE511" s="19"/>
      <c r="AF511" s="19"/>
      <c r="AG511" s="19"/>
      <c r="AH511" s="19"/>
      <c r="AI511" s="19"/>
      <c r="AJ511" s="19"/>
      <c r="AK511" s="19"/>
      <c r="AL511" s="19"/>
      <c r="AM511" s="19"/>
      <c r="AN511" s="19"/>
      <c r="AO511" s="19"/>
      <c r="AP511" s="19"/>
      <c r="AQ511" s="19"/>
      <c r="AR511" s="19"/>
      <c r="AS511" s="27"/>
    </row>
    <row r="512" spans="1:45">
      <c r="A512" s="19">
        <f t="shared" si="7"/>
        <v>511</v>
      </c>
      <c r="B512" s="20">
        <v>45726</v>
      </c>
      <c r="C512" s="19" t="s">
        <v>1101</v>
      </c>
      <c r="D512" s="19" t="s">
        <v>2987</v>
      </c>
      <c r="E512" s="19">
        <v>20252743</v>
      </c>
      <c r="F512" s="19" t="s">
        <v>3070</v>
      </c>
      <c r="G512" s="19">
        <v>9505945397</v>
      </c>
      <c r="H512" s="19" t="s">
        <v>3071</v>
      </c>
      <c r="I512" s="19" t="s">
        <v>123</v>
      </c>
      <c r="J512" s="19" t="s">
        <v>353</v>
      </c>
      <c r="K512" s="19" t="s">
        <v>356</v>
      </c>
      <c r="L512" s="19">
        <v>3</v>
      </c>
      <c r="M512" s="19" t="s">
        <v>1057</v>
      </c>
      <c r="N512" s="19">
        <v>6.2</v>
      </c>
      <c r="O512" s="19" t="s">
        <v>1057</v>
      </c>
      <c r="P512" s="19">
        <v>8</v>
      </c>
      <c r="Q512" s="19" t="s">
        <v>72</v>
      </c>
      <c r="R512" s="19" t="s">
        <v>72</v>
      </c>
      <c r="S512" s="19" t="s">
        <v>1121</v>
      </c>
      <c r="T512" s="19"/>
      <c r="U512" s="21"/>
      <c r="V512" s="19"/>
      <c r="W512" s="19"/>
      <c r="X512" s="19"/>
      <c r="Y512" s="19"/>
      <c r="Z512" s="19"/>
      <c r="AA512" s="4">
        <v>45722</v>
      </c>
      <c r="AB512" s="4"/>
      <c r="AC512" s="4"/>
      <c r="AD512" s="19"/>
      <c r="AE512" s="19"/>
      <c r="AF512" s="19"/>
      <c r="AG512" s="19"/>
      <c r="AH512" s="19"/>
      <c r="AI512" s="19"/>
      <c r="AJ512" s="19"/>
      <c r="AK512" s="19"/>
      <c r="AL512" s="19"/>
      <c r="AM512" s="19"/>
      <c r="AN512" s="19"/>
      <c r="AO512" s="19"/>
      <c r="AP512" s="19"/>
      <c r="AQ512" s="19"/>
      <c r="AR512" s="19"/>
      <c r="AS512" s="27"/>
    </row>
    <row r="513" spans="1:45">
      <c r="A513" s="19">
        <f t="shared" si="7"/>
        <v>512</v>
      </c>
      <c r="B513" s="20">
        <v>45722</v>
      </c>
      <c r="C513" s="19" t="s">
        <v>1101</v>
      </c>
      <c r="D513" s="19" t="s">
        <v>1432</v>
      </c>
      <c r="E513" s="19">
        <v>20245321</v>
      </c>
      <c r="F513" s="19" t="s">
        <v>3072</v>
      </c>
      <c r="G513" s="19">
        <v>9391683116</v>
      </c>
      <c r="H513" s="19" t="s">
        <v>3073</v>
      </c>
      <c r="I513" s="19" t="s">
        <v>123</v>
      </c>
      <c r="J513" s="19" t="s">
        <v>114</v>
      </c>
      <c r="K513" s="19" t="s">
        <v>1105</v>
      </c>
      <c r="L513" s="19" t="s">
        <v>1057</v>
      </c>
      <c r="M513" s="19" t="s">
        <v>1057</v>
      </c>
      <c r="N513" s="19" t="s">
        <v>1057</v>
      </c>
      <c r="O513" s="19" t="s">
        <v>1057</v>
      </c>
      <c r="P513" s="19" t="s">
        <v>1057</v>
      </c>
      <c r="Q513" s="19" t="s">
        <v>1057</v>
      </c>
      <c r="R513" s="19" t="s">
        <v>1057</v>
      </c>
      <c r="S513" s="19" t="s">
        <v>1057</v>
      </c>
      <c r="T513" s="19"/>
      <c r="U513" s="21"/>
      <c r="V513" s="19"/>
      <c r="W513" s="19" t="s">
        <v>74</v>
      </c>
      <c r="X513" s="19" t="s">
        <v>74</v>
      </c>
      <c r="Y513" s="19" t="s">
        <v>70</v>
      </c>
      <c r="Z513" s="19" t="s">
        <v>68</v>
      </c>
      <c r="AA513" s="4">
        <v>45726</v>
      </c>
      <c r="AB513" s="4">
        <v>45726</v>
      </c>
      <c r="AC513" s="4">
        <v>45726</v>
      </c>
      <c r="AD513" s="19"/>
      <c r="AE513" s="19"/>
      <c r="AF513" s="19"/>
      <c r="AG513" s="19"/>
      <c r="AH513" s="19"/>
      <c r="AI513" s="19"/>
      <c r="AJ513" s="19"/>
      <c r="AK513" s="19"/>
      <c r="AL513" s="19"/>
      <c r="AM513" s="19"/>
      <c r="AN513" s="19"/>
      <c r="AO513" s="19"/>
      <c r="AP513" s="19"/>
      <c r="AQ513" s="19"/>
      <c r="AR513" s="19"/>
      <c r="AS513" s="27"/>
    </row>
    <row r="514" spans="1:45">
      <c r="A514" s="19">
        <f t="shared" si="7"/>
        <v>513</v>
      </c>
      <c r="B514" s="20">
        <v>45722</v>
      </c>
      <c r="C514" s="19" t="s">
        <v>1101</v>
      </c>
      <c r="D514" s="19" t="s">
        <v>1432</v>
      </c>
      <c r="E514" s="19">
        <v>20245321</v>
      </c>
      <c r="F514" s="19" t="s">
        <v>3074</v>
      </c>
      <c r="G514" s="19" t="s">
        <v>3075</v>
      </c>
      <c r="H514" s="19" t="s">
        <v>3076</v>
      </c>
      <c r="I514" s="19" t="s">
        <v>86</v>
      </c>
      <c r="J514" s="19" t="s">
        <v>114</v>
      </c>
      <c r="K514" s="19" t="s">
        <v>1105</v>
      </c>
      <c r="L514" s="19" t="s">
        <v>1057</v>
      </c>
      <c r="M514" s="19" t="s">
        <v>1057</v>
      </c>
      <c r="N514" s="19" t="s">
        <v>1057</v>
      </c>
      <c r="O514" s="19" t="s">
        <v>1057</v>
      </c>
      <c r="P514" s="19" t="s">
        <v>1057</v>
      </c>
      <c r="Q514" s="19" t="s">
        <v>1057</v>
      </c>
      <c r="R514" s="19" t="s">
        <v>1057</v>
      </c>
      <c r="S514" s="19" t="s">
        <v>1057</v>
      </c>
      <c r="T514" s="19"/>
      <c r="U514" s="21"/>
      <c r="V514" s="19"/>
      <c r="W514" s="19" t="s">
        <v>74</v>
      </c>
      <c r="X514" s="19" t="s">
        <v>74</v>
      </c>
      <c r="Y514" s="19" t="s">
        <v>70</v>
      </c>
      <c r="Z514" s="19" t="s">
        <v>68</v>
      </c>
      <c r="AA514" s="4">
        <v>45722</v>
      </c>
      <c r="AB514" s="4">
        <v>45722</v>
      </c>
      <c r="AC514" s="4">
        <v>45722</v>
      </c>
      <c r="AD514" s="19"/>
      <c r="AE514" s="19"/>
      <c r="AF514" s="19"/>
      <c r="AG514" s="19"/>
      <c r="AH514" s="19"/>
      <c r="AI514" s="19"/>
      <c r="AJ514" s="19"/>
      <c r="AK514" s="19"/>
      <c r="AL514" s="19"/>
      <c r="AM514" s="19"/>
      <c r="AN514" s="19"/>
      <c r="AO514" s="19"/>
      <c r="AP514" s="19"/>
      <c r="AQ514" s="19"/>
      <c r="AR514" s="19"/>
      <c r="AS514" s="27"/>
    </row>
    <row r="515" spans="1:45">
      <c r="A515" s="19">
        <f t="shared" ref="A515:A575" si="8">A514+1</f>
        <v>514</v>
      </c>
      <c r="B515" s="20">
        <v>45722</v>
      </c>
      <c r="C515" s="19" t="s">
        <v>1101</v>
      </c>
      <c r="D515" s="19" t="s">
        <v>1699</v>
      </c>
      <c r="E515" s="19">
        <v>20245321</v>
      </c>
      <c r="F515" s="19" t="s">
        <v>3077</v>
      </c>
      <c r="G515" s="19">
        <v>7350320761</v>
      </c>
      <c r="H515" s="19" t="s">
        <v>3078</v>
      </c>
      <c r="I515" s="19" t="s">
        <v>123</v>
      </c>
      <c r="J515" s="19" t="s">
        <v>114</v>
      </c>
      <c r="K515" s="19" t="s">
        <v>1105</v>
      </c>
      <c r="L515" s="19">
        <v>4.5999999999999996</v>
      </c>
      <c r="M515" s="19" t="s">
        <v>1355</v>
      </c>
      <c r="N515" s="19">
        <v>16.5</v>
      </c>
      <c r="O515" s="19">
        <v>0</v>
      </c>
      <c r="P515" s="19">
        <v>26</v>
      </c>
      <c r="Q515" s="19" t="s">
        <v>1276</v>
      </c>
      <c r="R515" s="19" t="s">
        <v>72</v>
      </c>
      <c r="S515" s="19" t="s">
        <v>2726</v>
      </c>
      <c r="T515" s="19"/>
      <c r="U515" s="21"/>
      <c r="V515" s="19"/>
      <c r="W515" s="19" t="s">
        <v>74</v>
      </c>
      <c r="X515" s="19" t="s">
        <v>74</v>
      </c>
      <c r="Y515" s="19" t="s">
        <v>70</v>
      </c>
      <c r="Z515" s="19" t="s">
        <v>68</v>
      </c>
      <c r="AA515" s="4">
        <v>45722</v>
      </c>
      <c r="AB515" s="4">
        <v>45722</v>
      </c>
      <c r="AC515" s="4">
        <v>45722</v>
      </c>
      <c r="AD515" s="19"/>
      <c r="AE515" s="19"/>
      <c r="AF515" s="19"/>
      <c r="AG515" s="19"/>
      <c r="AH515" s="19"/>
      <c r="AI515" s="19"/>
      <c r="AJ515" s="19"/>
      <c r="AK515" s="19"/>
      <c r="AL515" s="19"/>
      <c r="AM515" s="19"/>
      <c r="AN515" s="19"/>
      <c r="AO515" s="19"/>
      <c r="AP515" s="19"/>
      <c r="AQ515" s="19"/>
      <c r="AR515" s="19"/>
      <c r="AS515" s="27"/>
    </row>
    <row r="516" spans="1:45">
      <c r="A516" s="19">
        <f t="shared" si="8"/>
        <v>515</v>
      </c>
      <c r="B516" s="20">
        <v>45722</v>
      </c>
      <c r="C516" s="19" t="s">
        <v>1101</v>
      </c>
      <c r="D516" s="19" t="s">
        <v>1699</v>
      </c>
      <c r="E516" s="19">
        <v>20245321</v>
      </c>
      <c r="F516" s="19" t="s">
        <v>3079</v>
      </c>
      <c r="G516" s="19">
        <v>6304496266</v>
      </c>
      <c r="H516" s="19" t="s">
        <v>3080</v>
      </c>
      <c r="I516" s="19" t="s">
        <v>86</v>
      </c>
      <c r="J516" s="19" t="s">
        <v>114</v>
      </c>
      <c r="K516" s="19" t="s">
        <v>1105</v>
      </c>
      <c r="L516" s="19">
        <v>5.6</v>
      </c>
      <c r="M516" s="19" t="s">
        <v>1057</v>
      </c>
      <c r="N516" s="19">
        <v>10.5</v>
      </c>
      <c r="O516" s="19">
        <v>0</v>
      </c>
      <c r="P516" s="19">
        <v>18</v>
      </c>
      <c r="Q516" s="19" t="s">
        <v>714</v>
      </c>
      <c r="R516" s="19" t="s">
        <v>72</v>
      </c>
      <c r="S516" s="19" t="s">
        <v>3081</v>
      </c>
      <c r="T516" s="19"/>
      <c r="U516" s="21"/>
      <c r="V516" s="19"/>
      <c r="W516" s="19" t="s">
        <v>74</v>
      </c>
      <c r="X516" s="19" t="s">
        <v>74</v>
      </c>
      <c r="Y516" s="19" t="s">
        <v>70</v>
      </c>
      <c r="Z516" s="19" t="s">
        <v>68</v>
      </c>
      <c r="AA516" s="4">
        <v>45722</v>
      </c>
      <c r="AB516" s="4">
        <v>45722</v>
      </c>
      <c r="AC516" s="4">
        <v>45722</v>
      </c>
      <c r="AD516" s="19"/>
      <c r="AE516" s="19"/>
      <c r="AF516" s="19"/>
      <c r="AG516" s="19"/>
      <c r="AH516" s="19"/>
      <c r="AI516" s="19"/>
      <c r="AJ516" s="19"/>
      <c r="AK516" s="19"/>
      <c r="AL516" s="19"/>
      <c r="AM516" s="19"/>
      <c r="AN516" s="19"/>
      <c r="AO516" s="19"/>
      <c r="AP516" s="19"/>
      <c r="AQ516" s="19"/>
      <c r="AR516" s="19"/>
      <c r="AS516" s="27"/>
    </row>
    <row r="517" spans="1:45">
      <c r="A517" s="19">
        <f t="shared" si="8"/>
        <v>516</v>
      </c>
      <c r="B517" s="20">
        <v>45733</v>
      </c>
      <c r="C517" s="19" t="s">
        <v>1101</v>
      </c>
      <c r="D517" s="19" t="s">
        <v>1102</v>
      </c>
      <c r="E517" s="19"/>
      <c r="F517" s="19" t="s">
        <v>3082</v>
      </c>
      <c r="G517" s="19">
        <v>8888186174</v>
      </c>
      <c r="H517" s="19" t="s">
        <v>3083</v>
      </c>
      <c r="I517" s="19" t="s">
        <v>86</v>
      </c>
      <c r="J517" s="19" t="s">
        <v>3084</v>
      </c>
      <c r="K517" s="19"/>
      <c r="L517" s="19">
        <v>6.5</v>
      </c>
      <c r="M517" s="19" t="s">
        <v>3085</v>
      </c>
      <c r="N517" s="19" t="s">
        <v>3086</v>
      </c>
      <c r="O517" s="19"/>
      <c r="P517" s="19" t="s">
        <v>3087</v>
      </c>
      <c r="Q517" s="19" t="s">
        <v>72</v>
      </c>
      <c r="R517" s="19" t="s">
        <v>72</v>
      </c>
      <c r="S517" s="19" t="s">
        <v>3088</v>
      </c>
      <c r="T517" s="19"/>
      <c r="U517" s="21"/>
      <c r="V517" s="19"/>
      <c r="W517" s="19" t="s">
        <v>73</v>
      </c>
      <c r="X517" s="19" t="s">
        <v>73</v>
      </c>
      <c r="Y517" s="19" t="s">
        <v>70</v>
      </c>
      <c r="Z517" s="19" t="s">
        <v>612</v>
      </c>
      <c r="AA517" s="4">
        <v>45726</v>
      </c>
      <c r="AB517" s="4">
        <v>45726</v>
      </c>
      <c r="AC517" s="4">
        <v>45726</v>
      </c>
      <c r="AD517" s="19"/>
      <c r="AE517" s="19"/>
      <c r="AF517" s="19"/>
      <c r="AG517" s="19"/>
      <c r="AH517" s="19"/>
      <c r="AI517" s="19"/>
      <c r="AJ517" s="19"/>
      <c r="AK517" s="19"/>
      <c r="AL517" s="19"/>
      <c r="AM517" s="19"/>
      <c r="AN517" s="19"/>
      <c r="AO517" s="19"/>
      <c r="AP517" s="19"/>
      <c r="AQ517" s="19"/>
      <c r="AR517" s="19"/>
      <c r="AS517" s="27"/>
    </row>
    <row r="518" spans="1:45">
      <c r="A518" s="19">
        <f t="shared" si="8"/>
        <v>517</v>
      </c>
      <c r="B518" s="20">
        <v>45733</v>
      </c>
      <c r="C518" s="19" t="s">
        <v>1101</v>
      </c>
      <c r="D518" s="19" t="s">
        <v>961</v>
      </c>
      <c r="E518" s="19"/>
      <c r="F518" s="19" t="s">
        <v>3089</v>
      </c>
      <c r="G518" s="19">
        <v>9421785319</v>
      </c>
      <c r="H518" s="19" t="s">
        <v>3090</v>
      </c>
      <c r="I518" s="19" t="s">
        <v>123</v>
      </c>
      <c r="J518" s="19" t="s">
        <v>3084</v>
      </c>
      <c r="K518" s="19"/>
      <c r="L518" s="19">
        <v>8</v>
      </c>
      <c r="M518" s="19" t="s">
        <v>3091</v>
      </c>
      <c r="N518" s="19" t="s">
        <v>3092</v>
      </c>
      <c r="O518" s="19"/>
      <c r="P518" s="19" t="s">
        <v>3093</v>
      </c>
      <c r="Q518" s="19" t="s">
        <v>72</v>
      </c>
      <c r="R518" s="19" t="s">
        <v>72</v>
      </c>
      <c r="S518" s="19" t="s">
        <v>3088</v>
      </c>
      <c r="T518" s="19"/>
      <c r="U518" s="21"/>
      <c r="V518" s="19"/>
      <c r="W518" s="19" t="s">
        <v>73</v>
      </c>
      <c r="X518" s="19" t="s">
        <v>73</v>
      </c>
      <c r="Y518" s="19" t="s">
        <v>70</v>
      </c>
      <c r="Z518" s="19" t="s">
        <v>612</v>
      </c>
      <c r="AA518" s="4"/>
      <c r="AB518" s="4"/>
      <c r="AC518" s="4"/>
      <c r="AD518" s="19"/>
      <c r="AE518" s="19"/>
      <c r="AF518" s="19"/>
      <c r="AG518" s="19"/>
      <c r="AH518" s="19"/>
      <c r="AI518" s="19"/>
      <c r="AJ518" s="19"/>
      <c r="AK518" s="19"/>
      <c r="AL518" s="19"/>
      <c r="AM518" s="19"/>
      <c r="AN518" s="19"/>
      <c r="AO518" s="19"/>
      <c r="AP518" s="19"/>
      <c r="AQ518" s="19"/>
      <c r="AR518" s="19"/>
      <c r="AS518" s="27"/>
    </row>
    <row r="519" spans="1:45">
      <c r="A519" s="19">
        <f t="shared" si="8"/>
        <v>518</v>
      </c>
      <c r="B519" s="20">
        <v>45733</v>
      </c>
      <c r="C519" s="19" t="s">
        <v>1101</v>
      </c>
      <c r="D519" s="19" t="s">
        <v>961</v>
      </c>
      <c r="E519" s="19"/>
      <c r="F519" s="19" t="s">
        <v>3094</v>
      </c>
      <c r="G519" s="19">
        <v>8668307546</v>
      </c>
      <c r="H519" s="19" t="s">
        <v>3095</v>
      </c>
      <c r="I519" s="19" t="s">
        <v>123</v>
      </c>
      <c r="J519" s="19" t="s">
        <v>3084</v>
      </c>
      <c r="K519" s="19"/>
      <c r="L519" s="19">
        <v>6.5</v>
      </c>
      <c r="M519" s="19" t="s">
        <v>3096</v>
      </c>
      <c r="N519" s="19" t="s">
        <v>3097</v>
      </c>
      <c r="O519" s="19"/>
      <c r="P519" s="19" t="s">
        <v>3098</v>
      </c>
      <c r="Q519" s="19" t="s">
        <v>72</v>
      </c>
      <c r="R519" s="19" t="s">
        <v>72</v>
      </c>
      <c r="S519" s="19" t="s">
        <v>3099</v>
      </c>
      <c r="T519" s="19"/>
      <c r="U519" s="21"/>
      <c r="V519" s="19"/>
      <c r="W519" s="19" t="s">
        <v>73</v>
      </c>
      <c r="X519" s="19" t="s">
        <v>73</v>
      </c>
      <c r="Y519" s="19" t="s">
        <v>70</v>
      </c>
      <c r="Z519" s="19" t="s">
        <v>612</v>
      </c>
      <c r="AA519" s="4"/>
      <c r="AB519" s="4"/>
      <c r="AC519" s="4"/>
      <c r="AD519" s="19"/>
      <c r="AE519" s="19"/>
      <c r="AF519" s="19"/>
      <c r="AG519" s="19"/>
      <c r="AH519" s="19"/>
      <c r="AI519" s="19"/>
      <c r="AJ519" s="19"/>
      <c r="AK519" s="19"/>
      <c r="AL519" s="19"/>
      <c r="AM519" s="19"/>
      <c r="AN519" s="19"/>
      <c r="AO519" s="19"/>
      <c r="AP519" s="19"/>
      <c r="AQ519" s="19"/>
      <c r="AR519" s="19"/>
      <c r="AS519" s="27"/>
    </row>
    <row r="520" spans="1:45">
      <c r="A520" s="19">
        <f t="shared" si="8"/>
        <v>519</v>
      </c>
      <c r="B520" s="20">
        <v>45734</v>
      </c>
      <c r="C520" s="19" t="s">
        <v>1101</v>
      </c>
      <c r="D520" s="19" t="s">
        <v>1102</v>
      </c>
      <c r="E520" s="19"/>
      <c r="F520" s="19" t="s">
        <v>3100</v>
      </c>
      <c r="G520" s="19">
        <v>9702393712</v>
      </c>
      <c r="H520" s="19" t="s">
        <v>3101</v>
      </c>
      <c r="I520" s="19" t="s">
        <v>123</v>
      </c>
      <c r="J520" s="19" t="s">
        <v>3102</v>
      </c>
      <c r="K520" s="19" t="s">
        <v>3103</v>
      </c>
      <c r="L520" s="19" t="s">
        <v>3104</v>
      </c>
      <c r="M520" s="19" t="s">
        <v>3105</v>
      </c>
      <c r="N520" s="19" t="s">
        <v>3106</v>
      </c>
      <c r="O520" s="19"/>
      <c r="P520" s="19" t="s">
        <v>3107</v>
      </c>
      <c r="Q520" s="19" t="s">
        <v>72</v>
      </c>
      <c r="R520" s="19" t="s">
        <v>72</v>
      </c>
      <c r="S520" s="19" t="s">
        <v>3108</v>
      </c>
      <c r="T520" s="19"/>
      <c r="U520" s="21"/>
      <c r="V520" s="19"/>
      <c r="W520" s="19" t="s">
        <v>73</v>
      </c>
      <c r="X520" s="19" t="s">
        <v>73</v>
      </c>
      <c r="Y520" s="19" t="s">
        <v>70</v>
      </c>
      <c r="Z520" s="19" t="s">
        <v>612</v>
      </c>
      <c r="AA520" s="4"/>
      <c r="AB520" s="4"/>
      <c r="AC520" s="4"/>
      <c r="AD520" s="19"/>
      <c r="AE520" s="19"/>
      <c r="AF520" s="19"/>
      <c r="AG520" s="19"/>
      <c r="AH520" s="19"/>
      <c r="AI520" s="19"/>
      <c r="AJ520" s="19"/>
      <c r="AK520" s="19"/>
      <c r="AL520" s="19"/>
      <c r="AM520" s="19"/>
      <c r="AN520" s="19"/>
      <c r="AO520" s="19"/>
      <c r="AP520" s="19"/>
      <c r="AQ520" s="19"/>
      <c r="AR520" s="19"/>
      <c r="AS520" s="27"/>
    </row>
    <row r="521" spans="1:45">
      <c r="A521" s="19">
        <f t="shared" si="8"/>
        <v>520</v>
      </c>
      <c r="B521" s="20">
        <v>45734</v>
      </c>
      <c r="C521" s="19" t="s">
        <v>1101</v>
      </c>
      <c r="D521" s="19" t="s">
        <v>1102</v>
      </c>
      <c r="E521" s="19"/>
      <c r="F521" s="19" t="s">
        <v>3109</v>
      </c>
      <c r="G521" s="19">
        <v>7972805380</v>
      </c>
      <c r="H521" s="19" t="s">
        <v>3110</v>
      </c>
      <c r="I521" s="19" t="s">
        <v>123</v>
      </c>
      <c r="J521" s="19" t="s">
        <v>3102</v>
      </c>
      <c r="K521" s="19" t="s">
        <v>3103</v>
      </c>
      <c r="L521" s="19" t="s">
        <v>3111</v>
      </c>
      <c r="M521" s="19" t="s">
        <v>3112</v>
      </c>
      <c r="N521" s="19" t="s">
        <v>3113</v>
      </c>
      <c r="O521" s="19"/>
      <c r="P521" s="19" t="s">
        <v>3114</v>
      </c>
      <c r="Q521" s="19" t="s">
        <v>72</v>
      </c>
      <c r="R521" s="19" t="s">
        <v>72</v>
      </c>
      <c r="S521" s="19" t="s">
        <v>1092</v>
      </c>
      <c r="T521" s="19"/>
      <c r="U521" s="21"/>
      <c r="V521" s="19"/>
      <c r="W521" s="19" t="s">
        <v>73</v>
      </c>
      <c r="X521" s="19" t="s">
        <v>73</v>
      </c>
      <c r="Y521" s="19" t="s">
        <v>70</v>
      </c>
      <c r="Z521" s="19" t="s">
        <v>612</v>
      </c>
      <c r="AA521" s="4"/>
      <c r="AB521" s="4"/>
      <c r="AC521" s="4"/>
      <c r="AD521" s="19"/>
      <c r="AE521" s="19"/>
      <c r="AF521" s="19"/>
      <c r="AG521" s="19"/>
      <c r="AH521" s="19"/>
      <c r="AI521" s="19"/>
      <c r="AJ521" s="19"/>
      <c r="AK521" s="19"/>
      <c r="AL521" s="19"/>
      <c r="AM521" s="19"/>
      <c r="AN521" s="19"/>
      <c r="AO521" s="19"/>
      <c r="AP521" s="19"/>
      <c r="AQ521" s="19"/>
      <c r="AR521" s="19"/>
      <c r="AS521" s="27"/>
    </row>
    <row r="522" spans="1:45">
      <c r="A522" s="19">
        <f t="shared" si="8"/>
        <v>521</v>
      </c>
      <c r="B522" s="20">
        <v>45734</v>
      </c>
      <c r="C522" s="19" t="s">
        <v>1101</v>
      </c>
      <c r="D522" s="19" t="s">
        <v>961</v>
      </c>
      <c r="E522" s="19"/>
      <c r="F522" s="19" t="s">
        <v>3115</v>
      </c>
      <c r="G522" s="19" t="s">
        <v>3116</v>
      </c>
      <c r="H522" s="19" t="s">
        <v>3117</v>
      </c>
      <c r="I522" s="19" t="s">
        <v>123</v>
      </c>
      <c r="J522" s="19" t="s">
        <v>3102</v>
      </c>
      <c r="K522" s="19" t="s">
        <v>3103</v>
      </c>
      <c r="L522" s="19" t="s">
        <v>1435</v>
      </c>
      <c r="M522" s="19" t="s">
        <v>3118</v>
      </c>
      <c r="N522" s="19" t="s">
        <v>3119</v>
      </c>
      <c r="O522" s="19"/>
      <c r="P522" s="19" t="s">
        <v>3120</v>
      </c>
      <c r="Q522" s="19" t="s">
        <v>72</v>
      </c>
      <c r="R522" s="19" t="s">
        <v>72</v>
      </c>
      <c r="S522" s="19" t="s">
        <v>3108</v>
      </c>
      <c r="T522" s="19"/>
      <c r="U522" s="21"/>
      <c r="V522" s="19"/>
      <c r="W522" s="19" t="s">
        <v>73</v>
      </c>
      <c r="X522" s="19" t="s">
        <v>73</v>
      </c>
      <c r="Y522" s="19" t="s">
        <v>70</v>
      </c>
      <c r="Z522" s="19" t="s">
        <v>612</v>
      </c>
      <c r="AA522" s="4"/>
      <c r="AB522" s="4"/>
      <c r="AC522" s="4"/>
      <c r="AD522" s="19"/>
      <c r="AE522" s="19"/>
      <c r="AF522" s="19"/>
      <c r="AG522" s="19"/>
      <c r="AH522" s="19"/>
      <c r="AI522" s="19"/>
      <c r="AJ522" s="19"/>
      <c r="AK522" s="19"/>
      <c r="AL522" s="19"/>
      <c r="AM522" s="19"/>
      <c r="AN522" s="19"/>
      <c r="AO522" s="19"/>
      <c r="AP522" s="19"/>
      <c r="AQ522" s="19"/>
      <c r="AR522" s="19"/>
      <c r="AS522" s="27"/>
    </row>
    <row r="523" spans="1:45">
      <c r="A523" s="19">
        <f t="shared" si="8"/>
        <v>522</v>
      </c>
      <c r="B523" s="20">
        <v>45735</v>
      </c>
      <c r="C523" s="19" t="s">
        <v>1101</v>
      </c>
      <c r="D523" s="19" t="s">
        <v>1026</v>
      </c>
      <c r="E523" s="19"/>
      <c r="F523" s="19" t="s">
        <v>3121</v>
      </c>
      <c r="G523" s="19">
        <v>9657799215</v>
      </c>
      <c r="H523" s="19" t="s">
        <v>3122</v>
      </c>
      <c r="I523" s="19" t="s">
        <v>123</v>
      </c>
      <c r="J523" s="19" t="s">
        <v>3102</v>
      </c>
      <c r="K523" s="19" t="s">
        <v>3103</v>
      </c>
      <c r="L523" s="19" t="s">
        <v>3123</v>
      </c>
      <c r="M523" s="19" t="s">
        <v>3124</v>
      </c>
      <c r="N523" s="19" t="s">
        <v>3125</v>
      </c>
      <c r="O523" s="19"/>
      <c r="P523" s="19" t="s">
        <v>3126</v>
      </c>
      <c r="Q523" s="19" t="s">
        <v>72</v>
      </c>
      <c r="R523" s="19" t="s">
        <v>72</v>
      </c>
      <c r="S523" s="19" t="s">
        <v>1092</v>
      </c>
      <c r="T523" s="19"/>
      <c r="U523" s="21"/>
      <c r="V523" s="19"/>
      <c r="W523" s="19" t="s">
        <v>73</v>
      </c>
      <c r="X523" s="19" t="s">
        <v>73</v>
      </c>
      <c r="Y523" s="19" t="s">
        <v>70</v>
      </c>
      <c r="Z523" s="19" t="s">
        <v>612</v>
      </c>
      <c r="AA523" s="4"/>
      <c r="AB523" s="4"/>
      <c r="AC523" s="4"/>
      <c r="AD523" s="19"/>
      <c r="AE523" s="19"/>
      <c r="AF523" s="19"/>
      <c r="AG523" s="19"/>
      <c r="AH523" s="19"/>
      <c r="AI523" s="19"/>
      <c r="AJ523" s="19"/>
      <c r="AK523" s="19"/>
      <c r="AL523" s="19"/>
      <c r="AM523" s="19"/>
      <c r="AN523" s="19"/>
      <c r="AO523" s="19"/>
      <c r="AP523" s="19"/>
      <c r="AQ523" s="19"/>
      <c r="AR523" s="19"/>
      <c r="AS523" s="27"/>
    </row>
    <row r="524" spans="1:45">
      <c r="A524" s="19">
        <f t="shared" si="8"/>
        <v>523</v>
      </c>
      <c r="B524" s="20">
        <v>45735</v>
      </c>
      <c r="C524" s="19" t="s">
        <v>1101</v>
      </c>
      <c r="D524" s="19" t="s">
        <v>1026</v>
      </c>
      <c r="E524" s="19"/>
      <c r="F524" s="19" t="s">
        <v>3127</v>
      </c>
      <c r="G524" s="19">
        <v>7219767254</v>
      </c>
      <c r="H524" s="19" t="s">
        <v>3128</v>
      </c>
      <c r="I524" s="19" t="s">
        <v>123</v>
      </c>
      <c r="J524" s="19" t="s">
        <v>3102</v>
      </c>
      <c r="K524" s="19" t="s">
        <v>3103</v>
      </c>
      <c r="L524" s="19" t="s">
        <v>3123</v>
      </c>
      <c r="M524" s="19" t="s">
        <v>3129</v>
      </c>
      <c r="N524" s="19" t="s">
        <v>3130</v>
      </c>
      <c r="O524" s="19"/>
      <c r="P524" s="19" t="s">
        <v>3131</v>
      </c>
      <c r="Q524" s="19" t="s">
        <v>72</v>
      </c>
      <c r="R524" s="19" t="s">
        <v>72</v>
      </c>
      <c r="S524" s="19" t="s">
        <v>3132</v>
      </c>
      <c r="T524" s="19"/>
      <c r="U524" s="21"/>
      <c r="V524" s="19"/>
      <c r="W524" s="19" t="s">
        <v>73</v>
      </c>
      <c r="X524" s="19" t="s">
        <v>73</v>
      </c>
      <c r="Y524" s="19" t="s">
        <v>70</v>
      </c>
      <c r="Z524" s="19" t="s">
        <v>612</v>
      </c>
      <c r="AA524" s="4"/>
      <c r="AB524" s="4"/>
      <c r="AC524" s="4"/>
      <c r="AD524" s="19"/>
      <c r="AE524" s="19"/>
      <c r="AF524" s="19"/>
      <c r="AG524" s="19"/>
      <c r="AH524" s="19"/>
      <c r="AI524" s="19"/>
      <c r="AJ524" s="19"/>
      <c r="AK524" s="19"/>
      <c r="AL524" s="19"/>
      <c r="AM524" s="19"/>
      <c r="AN524" s="19"/>
      <c r="AO524" s="19"/>
      <c r="AP524" s="19"/>
      <c r="AQ524" s="19"/>
      <c r="AR524" s="19"/>
      <c r="AS524" s="27"/>
    </row>
    <row r="525" spans="1:45">
      <c r="A525" s="19">
        <f t="shared" si="8"/>
        <v>524</v>
      </c>
      <c r="B525" s="20">
        <v>45735</v>
      </c>
      <c r="C525" s="19" t="s">
        <v>1101</v>
      </c>
      <c r="D525" s="19" t="s">
        <v>1026</v>
      </c>
      <c r="E525" s="19"/>
      <c r="F525" s="19" t="s">
        <v>3133</v>
      </c>
      <c r="G525" s="19">
        <v>8271826312</v>
      </c>
      <c r="H525" s="19" t="s">
        <v>3134</v>
      </c>
      <c r="I525" s="19" t="s">
        <v>123</v>
      </c>
      <c r="J525" s="19" t="s">
        <v>3102</v>
      </c>
      <c r="K525" s="19" t="s">
        <v>3103</v>
      </c>
      <c r="L525" s="19" t="s">
        <v>3123</v>
      </c>
      <c r="M525" s="19" t="s">
        <v>3135</v>
      </c>
      <c r="N525" s="19" t="s">
        <v>3136</v>
      </c>
      <c r="O525" s="19"/>
      <c r="P525" s="19" t="s">
        <v>3126</v>
      </c>
      <c r="Q525" s="19" t="s">
        <v>72</v>
      </c>
      <c r="R525" s="19" t="s">
        <v>72</v>
      </c>
      <c r="S525" s="19" t="s">
        <v>3137</v>
      </c>
      <c r="T525" s="19"/>
      <c r="U525" s="21"/>
      <c r="V525" s="19"/>
      <c r="W525" s="19" t="s">
        <v>73</v>
      </c>
      <c r="X525" s="19" t="s">
        <v>73</v>
      </c>
      <c r="Y525" s="19" t="s">
        <v>70</v>
      </c>
      <c r="Z525" s="19" t="s">
        <v>612</v>
      </c>
      <c r="AA525" s="4"/>
      <c r="AB525" s="4"/>
      <c r="AC525" s="4"/>
      <c r="AD525" s="19"/>
      <c r="AE525" s="19"/>
      <c r="AF525" s="19"/>
      <c r="AG525" s="19"/>
      <c r="AH525" s="19"/>
      <c r="AI525" s="19"/>
      <c r="AJ525" s="19"/>
      <c r="AK525" s="19"/>
      <c r="AL525" s="19"/>
      <c r="AM525" s="19"/>
      <c r="AN525" s="19"/>
      <c r="AO525" s="19"/>
      <c r="AP525" s="19"/>
      <c r="AQ525" s="19"/>
      <c r="AR525" s="19"/>
      <c r="AS525" s="27"/>
    </row>
    <row r="526" spans="1:45">
      <c r="A526" s="19">
        <f t="shared" si="8"/>
        <v>525</v>
      </c>
      <c r="B526" s="20">
        <v>45735</v>
      </c>
      <c r="C526" s="19" t="s">
        <v>1101</v>
      </c>
      <c r="D526" s="19" t="s">
        <v>961</v>
      </c>
      <c r="E526" s="19"/>
      <c r="F526" s="19" t="s">
        <v>3138</v>
      </c>
      <c r="G526" s="19">
        <v>9767624458</v>
      </c>
      <c r="H526" s="19" t="s">
        <v>3139</v>
      </c>
      <c r="I526" s="19" t="s">
        <v>123</v>
      </c>
      <c r="J526" s="19" t="s">
        <v>3102</v>
      </c>
      <c r="K526" s="19" t="s">
        <v>3103</v>
      </c>
      <c r="L526" s="19" t="s">
        <v>3140</v>
      </c>
      <c r="M526" s="19" t="s">
        <v>3141</v>
      </c>
      <c r="N526" s="19" t="s">
        <v>3142</v>
      </c>
      <c r="O526" s="19"/>
      <c r="P526" s="19" t="s">
        <v>3143</v>
      </c>
      <c r="Q526" s="19" t="s">
        <v>72</v>
      </c>
      <c r="R526" s="19" t="s">
        <v>72</v>
      </c>
      <c r="S526" s="19" t="s">
        <v>3144</v>
      </c>
      <c r="T526" s="19"/>
      <c r="U526" s="21"/>
      <c r="V526" s="19"/>
      <c r="W526" s="19" t="s">
        <v>73</v>
      </c>
      <c r="X526" s="19" t="s">
        <v>73</v>
      </c>
      <c r="Y526" s="19" t="s">
        <v>70</v>
      </c>
      <c r="Z526" s="19" t="s">
        <v>612</v>
      </c>
      <c r="AA526" s="4"/>
      <c r="AB526" s="4"/>
      <c r="AC526" s="4"/>
      <c r="AD526" s="19"/>
      <c r="AE526" s="19"/>
      <c r="AF526" s="19"/>
      <c r="AG526" s="19"/>
      <c r="AH526" s="19"/>
      <c r="AI526" s="19"/>
      <c r="AJ526" s="19"/>
      <c r="AK526" s="19"/>
      <c r="AL526" s="19"/>
      <c r="AM526" s="19"/>
      <c r="AN526" s="19"/>
      <c r="AO526" s="19"/>
      <c r="AP526" s="19"/>
      <c r="AQ526" s="19"/>
      <c r="AR526" s="19"/>
      <c r="AS526" s="27"/>
    </row>
    <row r="527" spans="1:45">
      <c r="A527" s="19">
        <f t="shared" si="8"/>
        <v>526</v>
      </c>
      <c r="B527" s="20">
        <v>45736</v>
      </c>
      <c r="C527" s="19" t="s">
        <v>1101</v>
      </c>
      <c r="D527" s="19" t="s">
        <v>1026</v>
      </c>
      <c r="E527" s="19"/>
      <c r="F527" s="19" t="s">
        <v>3145</v>
      </c>
      <c r="G527" s="19">
        <v>9307159697</v>
      </c>
      <c r="H527" s="19" t="s">
        <v>3146</v>
      </c>
      <c r="I527" s="19" t="s">
        <v>123</v>
      </c>
      <c r="J527" s="19" t="s">
        <v>3147</v>
      </c>
      <c r="K527" s="19"/>
      <c r="L527" s="19" t="s">
        <v>3111</v>
      </c>
      <c r="M527" s="19" t="s">
        <v>3148</v>
      </c>
      <c r="N527" s="19" t="s">
        <v>3149</v>
      </c>
      <c r="O527" s="19"/>
      <c r="P527" s="19" t="s">
        <v>3150</v>
      </c>
      <c r="Q527" s="19" t="s">
        <v>72</v>
      </c>
      <c r="R527" s="19" t="s">
        <v>72</v>
      </c>
      <c r="S527" s="19" t="s">
        <v>3151</v>
      </c>
      <c r="T527" s="19"/>
      <c r="U527" s="21"/>
      <c r="V527" s="19"/>
      <c r="W527" s="19" t="s">
        <v>73</v>
      </c>
      <c r="X527" s="19" t="s">
        <v>73</v>
      </c>
      <c r="Y527" s="19" t="s">
        <v>70</v>
      </c>
      <c r="Z527" s="19" t="s">
        <v>612</v>
      </c>
      <c r="AA527" s="4"/>
      <c r="AB527" s="4"/>
      <c r="AC527" s="4"/>
      <c r="AD527" s="19"/>
      <c r="AE527" s="19"/>
      <c r="AF527" s="19"/>
      <c r="AG527" s="19"/>
      <c r="AH527" s="19"/>
      <c r="AI527" s="19"/>
      <c r="AJ527" s="19"/>
      <c r="AK527" s="19"/>
      <c r="AL527" s="19"/>
      <c r="AM527" s="19"/>
      <c r="AN527" s="19"/>
      <c r="AO527" s="19"/>
      <c r="AP527" s="19"/>
      <c r="AQ527" s="19"/>
      <c r="AR527" s="19"/>
      <c r="AS527" s="27"/>
    </row>
    <row r="528" spans="1:45">
      <c r="A528" s="19">
        <f t="shared" si="8"/>
        <v>527</v>
      </c>
      <c r="B528" s="20">
        <v>45736</v>
      </c>
      <c r="C528" s="19" t="s">
        <v>1101</v>
      </c>
      <c r="D528" s="19" t="s">
        <v>1026</v>
      </c>
      <c r="E528" s="19"/>
      <c r="F528" s="19" t="s">
        <v>3152</v>
      </c>
      <c r="G528" s="19">
        <v>9921958216</v>
      </c>
      <c r="H528" s="19" t="s">
        <v>3153</v>
      </c>
      <c r="I528" s="19" t="s">
        <v>123</v>
      </c>
      <c r="J528" s="19" t="s">
        <v>3147</v>
      </c>
      <c r="K528" s="19"/>
      <c r="L528" s="19" t="s">
        <v>3154</v>
      </c>
      <c r="M528" s="19" t="s">
        <v>3155</v>
      </c>
      <c r="N528" s="19" t="s">
        <v>3156</v>
      </c>
      <c r="O528" s="19"/>
      <c r="P528" s="19" t="s">
        <v>3150</v>
      </c>
      <c r="Q528" s="19" t="s">
        <v>72</v>
      </c>
      <c r="R528" s="19" t="s">
        <v>72</v>
      </c>
      <c r="S528" s="19" t="s">
        <v>3157</v>
      </c>
      <c r="T528" s="19"/>
      <c r="U528" s="21"/>
      <c r="V528" s="19"/>
      <c r="W528" s="19" t="s">
        <v>73</v>
      </c>
      <c r="X528" s="19" t="s">
        <v>73</v>
      </c>
      <c r="Y528" s="19" t="s">
        <v>70</v>
      </c>
      <c r="Z528" s="19" t="s">
        <v>612</v>
      </c>
      <c r="AA528" s="4"/>
      <c r="AB528" s="4"/>
      <c r="AC528" s="4"/>
      <c r="AD528" s="19"/>
      <c r="AE528" s="19"/>
      <c r="AF528" s="19"/>
      <c r="AG528" s="19"/>
      <c r="AH528" s="19"/>
      <c r="AI528" s="19"/>
      <c r="AJ528" s="19"/>
      <c r="AK528" s="19"/>
      <c r="AL528" s="19"/>
      <c r="AM528" s="19"/>
      <c r="AN528" s="19"/>
      <c r="AO528" s="19"/>
      <c r="AP528" s="19"/>
      <c r="AQ528" s="19"/>
      <c r="AR528" s="19"/>
      <c r="AS528" s="27"/>
    </row>
    <row r="529" spans="1:45">
      <c r="A529" s="19">
        <f t="shared" si="8"/>
        <v>528</v>
      </c>
      <c r="B529" s="20">
        <v>45737</v>
      </c>
      <c r="C529" s="19" t="s">
        <v>116</v>
      </c>
      <c r="D529" s="19" t="s">
        <v>116</v>
      </c>
      <c r="E529" s="19">
        <v>20252743</v>
      </c>
      <c r="F529" s="19" t="s">
        <v>628</v>
      </c>
      <c r="G529" s="19">
        <v>8551988617</v>
      </c>
      <c r="H529" s="19" t="s">
        <v>629</v>
      </c>
      <c r="I529" s="19" t="s">
        <v>123</v>
      </c>
      <c r="J529" s="19" t="s">
        <v>3158</v>
      </c>
      <c r="K529" s="19" t="s">
        <v>356</v>
      </c>
      <c r="L529" s="19">
        <v>3.1</v>
      </c>
      <c r="M529" s="19" t="s">
        <v>2667</v>
      </c>
      <c r="N529" s="19" t="s">
        <v>3159</v>
      </c>
      <c r="O529" s="19">
        <v>0</v>
      </c>
      <c r="P529" s="19">
        <v>1000000</v>
      </c>
      <c r="Q529" s="19" t="s">
        <v>72</v>
      </c>
      <c r="R529" s="19" t="s">
        <v>72</v>
      </c>
      <c r="S529" s="19">
        <v>0</v>
      </c>
      <c r="T529" s="19" t="s">
        <v>1965</v>
      </c>
      <c r="U529" s="21">
        <v>45740</v>
      </c>
      <c r="V529" s="19"/>
      <c r="W529" s="19" t="s">
        <v>74</v>
      </c>
      <c r="X529" s="19" t="s">
        <v>74</v>
      </c>
      <c r="Y529" s="19" t="s">
        <v>70</v>
      </c>
      <c r="Z529" s="19" t="s">
        <v>68</v>
      </c>
      <c r="AA529" s="4">
        <v>45727</v>
      </c>
      <c r="AB529" s="4">
        <v>45729</v>
      </c>
      <c r="AC529" s="4">
        <v>45729</v>
      </c>
      <c r="AD529" s="4">
        <v>45730</v>
      </c>
      <c r="AE529" s="4">
        <v>45730</v>
      </c>
      <c r="AF529" s="4">
        <v>45733</v>
      </c>
      <c r="AG529" s="4">
        <v>45733</v>
      </c>
      <c r="AH529" s="4">
        <v>45715</v>
      </c>
      <c r="AI529" s="4">
        <v>45733</v>
      </c>
      <c r="AJ529" s="4">
        <v>45734</v>
      </c>
      <c r="AK529" s="19" t="s">
        <v>72</v>
      </c>
      <c r="AL529" s="19">
        <v>971942</v>
      </c>
      <c r="AM529" s="4">
        <v>45734</v>
      </c>
      <c r="AN529" s="4">
        <v>45736</v>
      </c>
      <c r="AO529" s="19"/>
      <c r="AP529" s="4">
        <v>45736</v>
      </c>
      <c r="AQ529" s="4">
        <v>45736</v>
      </c>
      <c r="AR529" s="4">
        <v>45737</v>
      </c>
      <c r="AS529" s="4">
        <v>45740</v>
      </c>
    </row>
    <row r="530" spans="1:45">
      <c r="A530" s="19">
        <f t="shared" si="8"/>
        <v>529</v>
      </c>
      <c r="B530" s="20">
        <v>45737</v>
      </c>
      <c r="C530" s="19"/>
      <c r="D530" s="19"/>
      <c r="E530" s="19"/>
      <c r="F530" s="19" t="s">
        <v>3160</v>
      </c>
      <c r="G530" s="19">
        <v>7028144916</v>
      </c>
      <c r="H530" s="19" t="s">
        <v>3161</v>
      </c>
      <c r="I530" s="19" t="s">
        <v>123</v>
      </c>
      <c r="J530" s="19" t="s">
        <v>3162</v>
      </c>
      <c r="K530" s="19" t="s">
        <v>228</v>
      </c>
      <c r="L530" s="19" t="s">
        <v>3163</v>
      </c>
      <c r="M530" s="19" t="s">
        <v>1447</v>
      </c>
      <c r="N530" s="19" t="s">
        <v>3164</v>
      </c>
      <c r="O530" s="19"/>
      <c r="P530" s="19" t="s">
        <v>3165</v>
      </c>
      <c r="Q530" s="19" t="s">
        <v>72</v>
      </c>
      <c r="R530" s="19" t="s">
        <v>72</v>
      </c>
      <c r="S530" s="19" t="s">
        <v>3088</v>
      </c>
      <c r="T530" s="19"/>
      <c r="U530" s="21"/>
      <c r="V530" s="19"/>
      <c r="W530" s="19"/>
      <c r="X530" s="19"/>
      <c r="Y530" s="19"/>
      <c r="Z530" s="19"/>
      <c r="AA530" s="4"/>
      <c r="AB530" s="4"/>
      <c r="AC530" s="4"/>
      <c r="AD530" s="19"/>
      <c r="AE530" s="19"/>
      <c r="AF530" s="19"/>
      <c r="AG530" s="4"/>
      <c r="AH530" s="19"/>
      <c r="AI530" s="19"/>
      <c r="AJ530" s="19"/>
      <c r="AK530" s="19"/>
      <c r="AL530" s="19"/>
      <c r="AM530" s="19"/>
      <c r="AN530" s="19"/>
      <c r="AO530" s="19"/>
      <c r="AP530" s="19"/>
      <c r="AQ530" s="19"/>
      <c r="AR530" s="19"/>
      <c r="AS530" s="27"/>
    </row>
    <row r="531" spans="1:45">
      <c r="A531" s="19">
        <f t="shared" si="8"/>
        <v>530</v>
      </c>
      <c r="B531" s="20">
        <v>45737</v>
      </c>
      <c r="C531" s="19"/>
      <c r="D531" s="19"/>
      <c r="E531" s="19"/>
      <c r="F531" s="19" t="s">
        <v>3166</v>
      </c>
      <c r="G531" s="19">
        <v>9970927984</v>
      </c>
      <c r="H531" s="19" t="s">
        <v>3167</v>
      </c>
      <c r="I531" s="19" t="s">
        <v>123</v>
      </c>
      <c r="J531" s="19" t="s">
        <v>3162</v>
      </c>
      <c r="K531" s="19" t="s">
        <v>228</v>
      </c>
      <c r="L531" s="19" t="s">
        <v>3168</v>
      </c>
      <c r="M531" s="19" t="s">
        <v>1883</v>
      </c>
      <c r="N531" s="19" t="s">
        <v>3169</v>
      </c>
      <c r="O531" s="19"/>
      <c r="P531" s="19" t="s">
        <v>3170</v>
      </c>
      <c r="Q531" s="19" t="s">
        <v>72</v>
      </c>
      <c r="R531" s="19" t="s">
        <v>72</v>
      </c>
      <c r="S531" s="19" t="s">
        <v>3171</v>
      </c>
      <c r="T531" s="19"/>
      <c r="U531" s="21"/>
      <c r="V531" s="19"/>
      <c r="W531" s="19"/>
      <c r="X531" s="19"/>
      <c r="Y531" s="19"/>
      <c r="Z531" s="19"/>
      <c r="AA531" s="4"/>
      <c r="AB531" s="4"/>
      <c r="AC531" s="4"/>
      <c r="AD531" s="19"/>
      <c r="AE531" s="19"/>
      <c r="AF531" s="19"/>
      <c r="AG531" s="4"/>
      <c r="AH531" s="19"/>
      <c r="AI531" s="19"/>
      <c r="AJ531" s="19"/>
      <c r="AK531" s="19"/>
      <c r="AL531" s="19"/>
      <c r="AM531" s="19"/>
      <c r="AN531" s="19"/>
      <c r="AO531" s="19"/>
      <c r="AP531" s="19"/>
      <c r="AQ531" s="19"/>
      <c r="AR531" s="19"/>
      <c r="AS531" s="27"/>
    </row>
    <row r="532" spans="1:45">
      <c r="A532" s="19">
        <f t="shared" si="8"/>
        <v>531</v>
      </c>
      <c r="B532" s="20">
        <v>45737</v>
      </c>
      <c r="C532" s="19"/>
      <c r="D532" s="19"/>
      <c r="E532" s="19"/>
      <c r="F532" s="19" t="s">
        <v>3172</v>
      </c>
      <c r="G532" s="19">
        <v>9502374624</v>
      </c>
      <c r="H532" s="19" t="s">
        <v>3173</v>
      </c>
      <c r="I532" s="19" t="s">
        <v>123</v>
      </c>
      <c r="J532" s="19" t="s">
        <v>3162</v>
      </c>
      <c r="K532" s="19" t="s">
        <v>228</v>
      </c>
      <c r="L532" s="19" t="s">
        <v>3174</v>
      </c>
      <c r="M532" s="19" t="s">
        <v>3175</v>
      </c>
      <c r="N532" s="19" t="s">
        <v>3176</v>
      </c>
      <c r="O532" s="19"/>
      <c r="P532" s="19" t="s">
        <v>3177</v>
      </c>
      <c r="Q532" s="19" t="s">
        <v>3178</v>
      </c>
      <c r="R532" s="19" t="s">
        <v>72</v>
      </c>
      <c r="S532" s="19" t="s">
        <v>3179</v>
      </c>
      <c r="T532" s="19" t="s">
        <v>3180</v>
      </c>
      <c r="U532" s="21"/>
      <c r="V532" s="19"/>
      <c r="W532" s="19"/>
      <c r="X532" s="19"/>
      <c r="Y532" s="19"/>
      <c r="Z532" s="19"/>
      <c r="AA532" s="4"/>
      <c r="AB532" s="4"/>
      <c r="AC532" s="4"/>
      <c r="AD532" s="19"/>
      <c r="AE532" s="19"/>
      <c r="AF532" s="19"/>
      <c r="AG532" s="4"/>
      <c r="AH532" s="19"/>
      <c r="AI532" s="19"/>
      <c r="AJ532" s="19"/>
      <c r="AK532" s="19"/>
      <c r="AL532" s="19"/>
      <c r="AM532" s="19"/>
      <c r="AN532" s="19"/>
      <c r="AO532" s="19"/>
      <c r="AP532" s="19"/>
      <c r="AQ532" s="19"/>
      <c r="AR532" s="19"/>
      <c r="AS532" s="27"/>
    </row>
    <row r="533" spans="1:45">
      <c r="A533" s="19">
        <f t="shared" si="8"/>
        <v>532</v>
      </c>
      <c r="B533" s="20">
        <v>45722</v>
      </c>
      <c r="C533" s="19" t="s">
        <v>1101</v>
      </c>
      <c r="D533" s="19" t="s">
        <v>1102</v>
      </c>
      <c r="E533" s="19">
        <v>20241431</v>
      </c>
      <c r="F533" s="19" t="s">
        <v>2694</v>
      </c>
      <c r="G533" s="19">
        <v>8381080987</v>
      </c>
      <c r="H533" s="19" t="s">
        <v>2695</v>
      </c>
      <c r="I533" s="19" t="s">
        <v>123</v>
      </c>
      <c r="J533" s="19" t="s">
        <v>604</v>
      </c>
      <c r="K533" s="19" t="s">
        <v>228</v>
      </c>
      <c r="L533" s="19" t="s">
        <v>2696</v>
      </c>
      <c r="M533" s="19" t="s">
        <v>2697</v>
      </c>
      <c r="N533" s="19" t="s">
        <v>1776</v>
      </c>
      <c r="O533" s="19">
        <v>0</v>
      </c>
      <c r="P533" s="19" t="s">
        <v>1126</v>
      </c>
      <c r="Q533" s="19" t="s">
        <v>72</v>
      </c>
      <c r="R533" s="19" t="s">
        <v>72</v>
      </c>
      <c r="S533" s="19" t="s">
        <v>2023</v>
      </c>
      <c r="T533" s="19" t="s">
        <v>2698</v>
      </c>
      <c r="U533" s="21"/>
      <c r="V533" s="19"/>
      <c r="W533" s="19" t="s">
        <v>74</v>
      </c>
      <c r="X533" s="19" t="s">
        <v>74</v>
      </c>
      <c r="Y533" s="19" t="s">
        <v>70</v>
      </c>
      <c r="Z533" s="19" t="s">
        <v>68</v>
      </c>
      <c r="AA533" s="4">
        <v>45722</v>
      </c>
      <c r="AB533" s="4">
        <v>45723</v>
      </c>
      <c r="AC533" s="4">
        <v>45723</v>
      </c>
      <c r="AD533" s="19"/>
      <c r="AE533" s="19"/>
      <c r="AF533" s="19"/>
      <c r="AG533" s="4"/>
      <c r="AH533" s="19"/>
      <c r="AI533" s="19"/>
      <c r="AJ533" s="19"/>
      <c r="AK533" s="19"/>
      <c r="AL533" s="19"/>
      <c r="AM533" s="19"/>
      <c r="AN533" s="19"/>
      <c r="AO533" s="19"/>
      <c r="AP533" s="19"/>
      <c r="AQ533" s="19"/>
      <c r="AR533" s="19"/>
      <c r="AS533" s="27"/>
    </row>
    <row r="534" spans="1:45">
      <c r="A534" s="19">
        <f t="shared" si="8"/>
        <v>533</v>
      </c>
      <c r="B534" s="20">
        <v>45722</v>
      </c>
      <c r="C534" s="19" t="s">
        <v>1101</v>
      </c>
      <c r="D534" s="19" t="s">
        <v>1102</v>
      </c>
      <c r="E534" s="19">
        <v>20241431</v>
      </c>
      <c r="F534" s="19" t="s">
        <v>3181</v>
      </c>
      <c r="G534" s="19">
        <v>7972924900</v>
      </c>
      <c r="H534" s="19" t="s">
        <v>3182</v>
      </c>
      <c r="I534" s="19" t="s">
        <v>86</v>
      </c>
      <c r="J534" s="19" t="s">
        <v>604</v>
      </c>
      <c r="K534" s="19" t="s">
        <v>228</v>
      </c>
      <c r="L534" s="19" t="s">
        <v>1997</v>
      </c>
      <c r="M534" s="19" t="s">
        <v>3183</v>
      </c>
      <c r="N534" s="19" t="s">
        <v>1482</v>
      </c>
      <c r="O534" s="19">
        <v>0</v>
      </c>
      <c r="P534" s="19" t="s">
        <v>1186</v>
      </c>
      <c r="Q534" s="19" t="s">
        <v>72</v>
      </c>
      <c r="R534" s="19" t="s">
        <v>72</v>
      </c>
      <c r="S534" s="19" t="s">
        <v>3184</v>
      </c>
      <c r="T534" s="19" t="s">
        <v>1057</v>
      </c>
      <c r="U534" s="21"/>
      <c r="V534" s="19"/>
      <c r="W534" s="19" t="s">
        <v>74</v>
      </c>
      <c r="X534" s="19" t="s">
        <v>74</v>
      </c>
      <c r="Y534" s="19" t="s">
        <v>70</v>
      </c>
      <c r="Z534" s="19" t="s">
        <v>68</v>
      </c>
      <c r="AA534" s="4">
        <v>45722</v>
      </c>
      <c r="AB534" s="4">
        <v>45723</v>
      </c>
      <c r="AC534" s="4">
        <v>45723</v>
      </c>
      <c r="AD534" s="19"/>
      <c r="AE534" s="19"/>
      <c r="AF534" s="19"/>
      <c r="AG534" s="4"/>
      <c r="AH534" s="19"/>
      <c r="AI534" s="19"/>
      <c r="AJ534" s="19"/>
      <c r="AK534" s="19"/>
      <c r="AL534" s="19"/>
      <c r="AM534" s="19"/>
      <c r="AN534" s="19"/>
      <c r="AO534" s="19"/>
      <c r="AP534" s="19"/>
      <c r="AQ534" s="19"/>
      <c r="AR534" s="19"/>
      <c r="AS534" s="27"/>
    </row>
    <row r="535" spans="1:45">
      <c r="A535" s="19">
        <f t="shared" si="8"/>
        <v>534</v>
      </c>
      <c r="B535" s="20">
        <v>45722</v>
      </c>
      <c r="C535" s="19" t="s">
        <v>1101</v>
      </c>
      <c r="D535" s="19" t="s">
        <v>1102</v>
      </c>
      <c r="E535" s="19">
        <v>20241431</v>
      </c>
      <c r="F535" s="19" t="s">
        <v>2699</v>
      </c>
      <c r="G535" s="19">
        <v>7987485491</v>
      </c>
      <c r="H535" s="19" t="s">
        <v>2700</v>
      </c>
      <c r="I535" s="19" t="s">
        <v>123</v>
      </c>
      <c r="J535" s="19" t="s">
        <v>604</v>
      </c>
      <c r="K535" s="19" t="s">
        <v>228</v>
      </c>
      <c r="L535" s="19" t="s">
        <v>1673</v>
      </c>
      <c r="M535" s="19" t="s">
        <v>1551</v>
      </c>
      <c r="N535" s="19" t="s">
        <v>2701</v>
      </c>
      <c r="O535" s="19">
        <v>0</v>
      </c>
      <c r="P535" s="19" t="s">
        <v>1090</v>
      </c>
      <c r="Q535" s="19" t="s">
        <v>1091</v>
      </c>
      <c r="R535" s="19" t="s">
        <v>72</v>
      </c>
      <c r="S535" s="19" t="s">
        <v>2702</v>
      </c>
      <c r="T535" s="19" t="s">
        <v>2703</v>
      </c>
      <c r="U535" s="21"/>
      <c r="V535" s="19"/>
      <c r="W535" s="19" t="s">
        <v>74</v>
      </c>
      <c r="X535" s="19" t="s">
        <v>74</v>
      </c>
      <c r="Y535" s="19" t="s">
        <v>70</v>
      </c>
      <c r="Z535" s="19" t="s">
        <v>68</v>
      </c>
      <c r="AA535" s="4">
        <v>45722</v>
      </c>
      <c r="AB535" s="4">
        <v>45726</v>
      </c>
      <c r="AC535" s="4">
        <v>45726</v>
      </c>
      <c r="AD535" s="19"/>
      <c r="AE535" s="19"/>
      <c r="AF535" s="19"/>
      <c r="AG535" s="4"/>
      <c r="AH535" s="19"/>
      <c r="AI535" s="19"/>
      <c r="AJ535" s="19"/>
      <c r="AK535" s="19"/>
      <c r="AL535" s="19"/>
      <c r="AM535" s="19"/>
      <c r="AN535" s="19"/>
      <c r="AO535" s="19"/>
      <c r="AP535" s="19"/>
      <c r="AQ535" s="19"/>
      <c r="AR535" s="19"/>
      <c r="AS535" s="27"/>
    </row>
    <row r="536" spans="1:45">
      <c r="A536" s="19">
        <f t="shared" si="8"/>
        <v>535</v>
      </c>
      <c r="B536" s="20">
        <v>45722</v>
      </c>
      <c r="C536" s="19" t="s">
        <v>1101</v>
      </c>
      <c r="D536" s="19" t="s">
        <v>1102</v>
      </c>
      <c r="E536" s="19">
        <v>20241431</v>
      </c>
      <c r="F536" s="19" t="s">
        <v>2704</v>
      </c>
      <c r="G536" s="19">
        <v>8888004463</v>
      </c>
      <c r="H536" s="19" t="s">
        <v>2705</v>
      </c>
      <c r="I536" s="19" t="s">
        <v>86</v>
      </c>
      <c r="J536" s="19" t="s">
        <v>604</v>
      </c>
      <c r="K536" s="19" t="s">
        <v>228</v>
      </c>
      <c r="L536" s="19" t="s">
        <v>1673</v>
      </c>
      <c r="M536" s="19" t="s">
        <v>1551</v>
      </c>
      <c r="N536" s="19" t="s">
        <v>2707</v>
      </c>
      <c r="O536" s="19">
        <v>0</v>
      </c>
      <c r="P536" s="19" t="s">
        <v>1090</v>
      </c>
      <c r="Q536" s="19" t="s">
        <v>72</v>
      </c>
      <c r="R536" s="19" t="s">
        <v>72</v>
      </c>
      <c r="S536" s="19" t="s">
        <v>1405</v>
      </c>
      <c r="T536" s="19" t="s">
        <v>2708</v>
      </c>
      <c r="U536" s="21"/>
      <c r="V536" s="19"/>
      <c r="W536" s="19" t="s">
        <v>74</v>
      </c>
      <c r="X536" s="19" t="s">
        <v>74</v>
      </c>
      <c r="Y536" s="19" t="s">
        <v>70</v>
      </c>
      <c r="Z536" s="19" t="s">
        <v>68</v>
      </c>
      <c r="AA536" s="4">
        <v>45722</v>
      </c>
      <c r="AB536" s="4">
        <v>45726</v>
      </c>
      <c r="AC536" s="4">
        <v>45726</v>
      </c>
      <c r="AD536" s="19"/>
      <c r="AE536" s="19"/>
      <c r="AF536" s="19"/>
      <c r="AG536" s="4"/>
      <c r="AH536" s="19"/>
      <c r="AI536" s="19"/>
      <c r="AJ536" s="19"/>
      <c r="AK536" s="19"/>
      <c r="AL536" s="19"/>
      <c r="AM536" s="19"/>
      <c r="AN536" s="19"/>
      <c r="AO536" s="19"/>
      <c r="AP536" s="19"/>
      <c r="AQ536" s="19"/>
      <c r="AR536" s="19"/>
      <c r="AS536" s="27"/>
    </row>
    <row r="537" spans="1:45">
      <c r="A537" s="19">
        <f t="shared" si="8"/>
        <v>536</v>
      </c>
      <c r="B537" s="20">
        <v>45726</v>
      </c>
      <c r="C537" s="19" t="s">
        <v>1101</v>
      </c>
      <c r="D537" s="19" t="s">
        <v>1102</v>
      </c>
      <c r="E537" s="19">
        <v>20241431</v>
      </c>
      <c r="F537" s="19" t="s">
        <v>2988</v>
      </c>
      <c r="G537" s="19">
        <v>6354711529</v>
      </c>
      <c r="H537" s="19" t="s">
        <v>2989</v>
      </c>
      <c r="I537" s="19" t="s">
        <v>123</v>
      </c>
      <c r="J537" s="19" t="s">
        <v>604</v>
      </c>
      <c r="K537" s="19" t="s">
        <v>228</v>
      </c>
      <c r="L537" s="19">
        <v>4.0999999999999996</v>
      </c>
      <c r="M537" s="19" t="s">
        <v>3185</v>
      </c>
      <c r="N537" s="19">
        <v>9</v>
      </c>
      <c r="O537" s="19" t="s">
        <v>2990</v>
      </c>
      <c r="P537" s="19" t="s">
        <v>2991</v>
      </c>
      <c r="Q537" s="19" t="s">
        <v>1276</v>
      </c>
      <c r="R537" s="19" t="s">
        <v>72</v>
      </c>
      <c r="S537" s="19" t="s">
        <v>2992</v>
      </c>
      <c r="T537" s="19"/>
      <c r="U537" s="21"/>
      <c r="V537" s="19"/>
      <c r="W537" s="19" t="s">
        <v>74</v>
      </c>
      <c r="X537" s="19" t="s">
        <v>74</v>
      </c>
      <c r="Y537" s="19" t="s">
        <v>70</v>
      </c>
      <c r="Z537" s="19" t="s">
        <v>68</v>
      </c>
      <c r="AA537" s="4">
        <v>45726</v>
      </c>
      <c r="AB537" s="4">
        <v>45728</v>
      </c>
      <c r="AC537" s="4">
        <v>45728</v>
      </c>
      <c r="AD537" s="19"/>
      <c r="AE537" s="19"/>
      <c r="AF537" s="19"/>
      <c r="AG537" s="4"/>
      <c r="AH537" s="19"/>
      <c r="AI537" s="19"/>
      <c r="AJ537" s="19"/>
      <c r="AK537" s="19"/>
      <c r="AL537" s="19"/>
      <c r="AM537" s="19"/>
      <c r="AN537" s="19"/>
      <c r="AO537" s="19"/>
      <c r="AP537" s="19"/>
      <c r="AQ537" s="19"/>
      <c r="AR537" s="19"/>
      <c r="AS537" s="27"/>
    </row>
    <row r="538" spans="1:45">
      <c r="A538" s="19">
        <f t="shared" si="8"/>
        <v>537</v>
      </c>
      <c r="B538" s="20">
        <v>45726</v>
      </c>
      <c r="C538" s="19" t="s">
        <v>1101</v>
      </c>
      <c r="D538" s="19" t="s">
        <v>1102</v>
      </c>
      <c r="E538" s="19">
        <v>20241431</v>
      </c>
      <c r="F538" s="19" t="s">
        <v>2993</v>
      </c>
      <c r="G538" s="19">
        <v>7013489281</v>
      </c>
      <c r="H538" s="19" t="s">
        <v>2994</v>
      </c>
      <c r="I538" s="19" t="s">
        <v>123</v>
      </c>
      <c r="J538" s="19" t="s">
        <v>604</v>
      </c>
      <c r="K538" s="19" t="s">
        <v>228</v>
      </c>
      <c r="L538" s="19">
        <v>4.0999999999999996</v>
      </c>
      <c r="M538" s="19" t="s">
        <v>3183</v>
      </c>
      <c r="N538" s="19">
        <v>4.5</v>
      </c>
      <c r="O538" s="19">
        <v>0</v>
      </c>
      <c r="P538" s="19">
        <v>8</v>
      </c>
      <c r="Q538" s="19" t="s">
        <v>1556</v>
      </c>
      <c r="R538" s="19" t="s">
        <v>72</v>
      </c>
      <c r="S538" s="19" t="s">
        <v>1121</v>
      </c>
      <c r="T538" s="19"/>
      <c r="U538" s="21"/>
      <c r="V538" s="19"/>
      <c r="W538" s="19" t="s">
        <v>74</v>
      </c>
      <c r="X538" s="19" t="s">
        <v>74</v>
      </c>
      <c r="Y538" s="19" t="s">
        <v>70</v>
      </c>
      <c r="Z538" s="19" t="s">
        <v>68</v>
      </c>
      <c r="AA538" s="4">
        <v>45726</v>
      </c>
      <c r="AB538" s="4">
        <v>45728</v>
      </c>
      <c r="AC538" s="4">
        <v>45728</v>
      </c>
      <c r="AD538" s="19"/>
      <c r="AE538" s="19"/>
      <c r="AF538" s="19"/>
      <c r="AG538" s="4"/>
      <c r="AH538" s="19"/>
      <c r="AI538" s="19"/>
      <c r="AJ538" s="19"/>
      <c r="AK538" s="19"/>
      <c r="AL538" s="19"/>
      <c r="AM538" s="19"/>
      <c r="AN538" s="19"/>
      <c r="AO538" s="19"/>
      <c r="AP538" s="19"/>
      <c r="AQ538" s="19"/>
      <c r="AR538" s="19"/>
      <c r="AS538" s="27"/>
    </row>
    <row r="539" spans="1:45">
      <c r="A539" s="19">
        <f t="shared" si="8"/>
        <v>538</v>
      </c>
      <c r="B539" s="20">
        <v>45726</v>
      </c>
      <c r="C539" s="19" t="s">
        <v>1101</v>
      </c>
      <c r="D539" s="19" t="s">
        <v>1102</v>
      </c>
      <c r="E539" s="19">
        <v>20241431</v>
      </c>
      <c r="F539" s="19" t="s">
        <v>3186</v>
      </c>
      <c r="G539" s="19">
        <v>8793447817</v>
      </c>
      <c r="H539" s="19" t="s">
        <v>3187</v>
      </c>
      <c r="I539" s="19" t="s">
        <v>123</v>
      </c>
      <c r="J539" s="19" t="s">
        <v>604</v>
      </c>
      <c r="K539" s="19" t="s">
        <v>228</v>
      </c>
      <c r="L539" s="19">
        <v>4.2</v>
      </c>
      <c r="M539" s="19" t="s">
        <v>1214</v>
      </c>
      <c r="N539" s="19">
        <v>9</v>
      </c>
      <c r="O539" s="19">
        <v>0</v>
      </c>
      <c r="P539" s="19">
        <v>15</v>
      </c>
      <c r="Q539" s="19" t="s">
        <v>3188</v>
      </c>
      <c r="R539" s="19" t="s">
        <v>72</v>
      </c>
      <c r="S539" s="19" t="s">
        <v>1139</v>
      </c>
      <c r="T539" s="19" t="s">
        <v>1057</v>
      </c>
      <c r="U539" s="21"/>
      <c r="V539" s="19"/>
      <c r="W539" s="19" t="s">
        <v>74</v>
      </c>
      <c r="X539" s="19" t="s">
        <v>74</v>
      </c>
      <c r="Y539" s="19" t="s">
        <v>70</v>
      </c>
      <c r="Z539" s="19" t="s">
        <v>68</v>
      </c>
      <c r="AA539" s="4">
        <v>45726</v>
      </c>
      <c r="AB539" s="4">
        <v>45730</v>
      </c>
      <c r="AC539" s="4">
        <v>45730</v>
      </c>
      <c r="AD539" s="19"/>
      <c r="AE539" s="19"/>
      <c r="AF539" s="19"/>
      <c r="AG539" s="4"/>
      <c r="AH539" s="19"/>
      <c r="AI539" s="19"/>
      <c r="AJ539" s="19"/>
      <c r="AK539" s="19"/>
      <c r="AL539" s="19"/>
      <c r="AM539" s="19"/>
      <c r="AN539" s="19"/>
      <c r="AO539" s="19"/>
      <c r="AP539" s="19"/>
      <c r="AQ539" s="19"/>
      <c r="AR539" s="19"/>
      <c r="AS539" s="27"/>
    </row>
    <row r="540" spans="1:45">
      <c r="A540" s="19">
        <f t="shared" si="8"/>
        <v>539</v>
      </c>
      <c r="B540" s="20">
        <v>45726</v>
      </c>
      <c r="C540" s="5" t="s">
        <v>885</v>
      </c>
      <c r="D540" s="19" t="s">
        <v>1004</v>
      </c>
      <c r="E540" s="19">
        <v>20241431</v>
      </c>
      <c r="F540" s="19" t="s">
        <v>3189</v>
      </c>
      <c r="G540" s="19">
        <v>9860527800</v>
      </c>
      <c r="H540" s="19" t="s">
        <v>3190</v>
      </c>
      <c r="I540" s="19" t="s">
        <v>123</v>
      </c>
      <c r="J540" s="19" t="s">
        <v>604</v>
      </c>
      <c r="K540" s="19" t="s">
        <v>228</v>
      </c>
      <c r="L540" s="19">
        <v>4</v>
      </c>
      <c r="M540" s="19" t="s">
        <v>3185</v>
      </c>
      <c r="N540" s="19">
        <v>10.5</v>
      </c>
      <c r="O540" s="19">
        <v>0</v>
      </c>
      <c r="P540" s="19" t="s">
        <v>2991</v>
      </c>
      <c r="Q540" s="19" t="s">
        <v>3191</v>
      </c>
      <c r="R540" s="19" t="s">
        <v>72</v>
      </c>
      <c r="S540" s="19" t="s">
        <v>3192</v>
      </c>
      <c r="T540" s="19" t="s">
        <v>3193</v>
      </c>
      <c r="U540" s="21"/>
      <c r="V540" s="19"/>
      <c r="W540" s="19" t="s">
        <v>74</v>
      </c>
      <c r="X540" s="19" t="s">
        <v>74</v>
      </c>
      <c r="Y540" s="19" t="s">
        <v>70</v>
      </c>
      <c r="Z540" s="19" t="s">
        <v>68</v>
      </c>
      <c r="AA540" s="4">
        <v>45726</v>
      </c>
      <c r="AB540" s="4">
        <v>45726</v>
      </c>
      <c r="AC540" s="4">
        <v>45736</v>
      </c>
      <c r="AD540" s="19"/>
      <c r="AE540" s="19"/>
      <c r="AF540" s="19"/>
      <c r="AG540" s="4"/>
      <c r="AH540" s="4">
        <v>45660</v>
      </c>
      <c r="AI540" s="4">
        <v>45756</v>
      </c>
      <c r="AJ540" s="19"/>
      <c r="AK540" s="19"/>
      <c r="AL540" s="19"/>
      <c r="AM540" s="19"/>
      <c r="AN540" s="19"/>
      <c r="AO540" s="19"/>
      <c r="AP540" s="19"/>
      <c r="AQ540" s="19"/>
      <c r="AR540" s="19"/>
      <c r="AS540" s="27"/>
    </row>
    <row r="541" spans="1:45">
      <c r="A541" s="19">
        <f t="shared" si="8"/>
        <v>540</v>
      </c>
      <c r="B541" s="20">
        <v>45726</v>
      </c>
      <c r="C541" s="19" t="s">
        <v>1101</v>
      </c>
      <c r="D541" s="19" t="s">
        <v>1102</v>
      </c>
      <c r="E541" s="19">
        <v>20241431</v>
      </c>
      <c r="F541" s="19" t="s">
        <v>3194</v>
      </c>
      <c r="G541" s="19">
        <v>7327091438</v>
      </c>
      <c r="H541" s="19" t="s">
        <v>3195</v>
      </c>
      <c r="I541" s="19" t="s">
        <v>123</v>
      </c>
      <c r="J541" s="19" t="s">
        <v>604</v>
      </c>
      <c r="K541" s="19" t="s">
        <v>228</v>
      </c>
      <c r="L541" s="19">
        <v>4</v>
      </c>
      <c r="M541" s="19" t="s">
        <v>1551</v>
      </c>
      <c r="N541" s="19">
        <v>4.5</v>
      </c>
      <c r="O541" s="19">
        <v>0</v>
      </c>
      <c r="P541" s="19" t="s">
        <v>3196</v>
      </c>
      <c r="Q541" s="19" t="s">
        <v>1107</v>
      </c>
      <c r="R541" s="19" t="s">
        <v>72</v>
      </c>
      <c r="S541" s="19" t="s">
        <v>3197</v>
      </c>
      <c r="T541" s="19" t="s">
        <v>1057</v>
      </c>
      <c r="U541" s="21"/>
      <c r="V541" s="19"/>
      <c r="W541" s="19" t="s">
        <v>74</v>
      </c>
      <c r="X541" s="19" t="s">
        <v>74</v>
      </c>
      <c r="Y541" s="19" t="s">
        <v>70</v>
      </c>
      <c r="Z541" s="19" t="s">
        <v>68</v>
      </c>
      <c r="AA541" s="4">
        <v>45726</v>
      </c>
      <c r="AB541" s="4">
        <v>45730</v>
      </c>
      <c r="AC541" s="4">
        <v>45730</v>
      </c>
      <c r="AD541" s="19"/>
      <c r="AE541" s="19"/>
      <c r="AF541" s="19"/>
      <c r="AG541" s="4"/>
      <c r="AH541" s="19"/>
      <c r="AI541" s="19"/>
      <c r="AJ541" s="19"/>
      <c r="AK541" s="19"/>
      <c r="AL541" s="19"/>
      <c r="AM541" s="19"/>
      <c r="AN541" s="19"/>
      <c r="AO541" s="19"/>
      <c r="AP541" s="19"/>
      <c r="AQ541" s="19"/>
      <c r="AR541" s="19"/>
      <c r="AS541" s="27"/>
    </row>
    <row r="542" spans="1:45">
      <c r="A542" s="19">
        <f t="shared" si="8"/>
        <v>541</v>
      </c>
      <c r="B542" s="20">
        <v>45721</v>
      </c>
      <c r="C542" s="19" t="s">
        <v>1101</v>
      </c>
      <c r="D542" s="19" t="s">
        <v>1102</v>
      </c>
      <c r="E542" s="19">
        <v>20242803</v>
      </c>
      <c r="F542" s="19" t="s">
        <v>3198</v>
      </c>
      <c r="G542" s="19">
        <v>9028314991</v>
      </c>
      <c r="H542" s="19" t="s">
        <v>3199</v>
      </c>
      <c r="I542" s="19" t="s">
        <v>123</v>
      </c>
      <c r="J542" s="19" t="s">
        <v>109</v>
      </c>
      <c r="K542" s="19" t="s">
        <v>1105</v>
      </c>
      <c r="L542" s="19">
        <v>4.5</v>
      </c>
      <c r="M542" s="19" t="s">
        <v>3200</v>
      </c>
      <c r="N542" s="19">
        <v>4.0999999999999996</v>
      </c>
      <c r="O542" s="19">
        <v>0</v>
      </c>
      <c r="P542" s="19" t="s">
        <v>3062</v>
      </c>
      <c r="Q542" s="19" t="s">
        <v>3201</v>
      </c>
      <c r="R542" s="19" t="s">
        <v>72</v>
      </c>
      <c r="S542" s="19" t="s">
        <v>3202</v>
      </c>
      <c r="T542" s="19"/>
      <c r="U542" s="21"/>
      <c r="V542" s="19"/>
      <c r="W542" s="19" t="s">
        <v>74</v>
      </c>
      <c r="X542" s="19" t="s">
        <v>74</v>
      </c>
      <c r="Y542" s="19" t="s">
        <v>70</v>
      </c>
      <c r="Z542" s="19" t="s">
        <v>68</v>
      </c>
      <c r="AA542" s="4">
        <v>45721</v>
      </c>
      <c r="AB542" s="4">
        <v>45722</v>
      </c>
      <c r="AC542" s="4">
        <v>45722</v>
      </c>
      <c r="AD542" s="19"/>
      <c r="AE542" s="19"/>
      <c r="AF542" s="19"/>
      <c r="AG542" s="4"/>
      <c r="AH542" s="19"/>
      <c r="AI542" s="19"/>
      <c r="AJ542" s="19"/>
      <c r="AK542" s="19"/>
      <c r="AL542" s="19"/>
      <c r="AM542" s="19"/>
      <c r="AN542" s="19"/>
      <c r="AO542" s="19"/>
      <c r="AP542" s="19"/>
      <c r="AQ542" s="19"/>
      <c r="AR542" s="19"/>
      <c r="AS542" s="27"/>
    </row>
    <row r="543" spans="1:45">
      <c r="A543" s="19">
        <f t="shared" si="8"/>
        <v>542</v>
      </c>
      <c r="B543" s="20">
        <v>45721</v>
      </c>
      <c r="C543" s="19" t="s">
        <v>1101</v>
      </c>
      <c r="D543" s="19" t="s">
        <v>1216</v>
      </c>
      <c r="E543" s="19">
        <v>20242803</v>
      </c>
      <c r="F543" s="19" t="s">
        <v>3203</v>
      </c>
      <c r="G543" s="19" t="s">
        <v>3204</v>
      </c>
      <c r="H543" s="19" t="s">
        <v>3205</v>
      </c>
      <c r="I543" s="19" t="s">
        <v>86</v>
      </c>
      <c r="J543" s="19" t="s">
        <v>109</v>
      </c>
      <c r="K543" s="19" t="s">
        <v>1105</v>
      </c>
      <c r="L543" s="19">
        <v>3</v>
      </c>
      <c r="M543" s="19" t="s">
        <v>3206</v>
      </c>
      <c r="N543" s="19">
        <v>5.2</v>
      </c>
      <c r="O543" s="19">
        <v>0</v>
      </c>
      <c r="P543" s="19">
        <v>9</v>
      </c>
      <c r="Q543" s="19" t="s">
        <v>3207</v>
      </c>
      <c r="R543" s="19" t="s">
        <v>72</v>
      </c>
      <c r="S543" s="19" t="s">
        <v>3208</v>
      </c>
      <c r="T543" s="19"/>
      <c r="U543" s="21"/>
      <c r="V543" s="19"/>
      <c r="W543" s="19" t="s">
        <v>74</v>
      </c>
      <c r="X543" s="19" t="s">
        <v>74</v>
      </c>
      <c r="Y543" s="19" t="s">
        <v>70</v>
      </c>
      <c r="Z543" s="19" t="s">
        <v>68</v>
      </c>
      <c r="AA543" s="4">
        <v>45721</v>
      </c>
      <c r="AB543" s="4">
        <v>45723</v>
      </c>
      <c r="AC543" s="4">
        <v>45723</v>
      </c>
      <c r="AD543" s="19"/>
      <c r="AE543" s="19"/>
      <c r="AF543" s="19"/>
      <c r="AG543" s="4"/>
      <c r="AH543" s="19"/>
      <c r="AI543" s="19"/>
      <c r="AJ543" s="19"/>
      <c r="AK543" s="19"/>
      <c r="AL543" s="19"/>
      <c r="AM543" s="19"/>
      <c r="AN543" s="19"/>
      <c r="AO543" s="19"/>
      <c r="AP543" s="19"/>
      <c r="AQ543" s="19"/>
      <c r="AR543" s="19"/>
      <c r="AS543" s="27"/>
    </row>
    <row r="544" spans="1:45">
      <c r="A544" s="19">
        <f t="shared" si="8"/>
        <v>543</v>
      </c>
      <c r="B544" s="20">
        <v>45721</v>
      </c>
      <c r="C544" s="19" t="s">
        <v>1101</v>
      </c>
      <c r="D544" s="19" t="s">
        <v>1699</v>
      </c>
      <c r="E544" s="19">
        <v>20242803</v>
      </c>
      <c r="F544" s="19" t="s">
        <v>3209</v>
      </c>
      <c r="G544" s="19">
        <v>9848084663</v>
      </c>
      <c r="H544" s="19" t="s">
        <v>3210</v>
      </c>
      <c r="I544" s="19" t="s">
        <v>123</v>
      </c>
      <c r="J544" s="19" t="s">
        <v>109</v>
      </c>
      <c r="K544" s="19" t="s">
        <v>1105</v>
      </c>
      <c r="L544" s="19">
        <v>3.1</v>
      </c>
      <c r="M544" s="19" t="s">
        <v>1321</v>
      </c>
      <c r="N544" s="19">
        <v>6</v>
      </c>
      <c r="O544" s="19">
        <v>0</v>
      </c>
      <c r="P544" s="19" t="s">
        <v>3211</v>
      </c>
      <c r="Q544" s="19" t="s">
        <v>1562</v>
      </c>
      <c r="R544" s="19" t="s">
        <v>72</v>
      </c>
      <c r="S544" s="19" t="s">
        <v>3212</v>
      </c>
      <c r="T544" s="19"/>
      <c r="U544" s="21"/>
      <c r="V544" s="19"/>
      <c r="W544" s="19" t="s">
        <v>74</v>
      </c>
      <c r="X544" s="19" t="s">
        <v>74</v>
      </c>
      <c r="Y544" s="19" t="s">
        <v>70</v>
      </c>
      <c r="Z544" s="19" t="s">
        <v>68</v>
      </c>
      <c r="AA544" s="4">
        <v>45721</v>
      </c>
      <c r="AB544" s="4">
        <v>45727</v>
      </c>
      <c r="AC544" s="4">
        <v>45727</v>
      </c>
      <c r="AD544" s="19"/>
      <c r="AE544" s="19"/>
      <c r="AF544" s="19"/>
      <c r="AG544" s="4"/>
      <c r="AH544" s="19"/>
      <c r="AI544" s="19"/>
      <c r="AJ544" s="19"/>
      <c r="AK544" s="19"/>
      <c r="AL544" s="19"/>
      <c r="AM544" s="19"/>
      <c r="AN544" s="19"/>
      <c r="AO544" s="19"/>
      <c r="AP544" s="19"/>
      <c r="AQ544" s="19"/>
      <c r="AR544" s="19"/>
      <c r="AS544" s="27"/>
    </row>
    <row r="545" spans="1:45">
      <c r="A545" s="19">
        <f t="shared" si="8"/>
        <v>544</v>
      </c>
      <c r="B545" s="20">
        <v>45721</v>
      </c>
      <c r="C545" s="19" t="s">
        <v>1101</v>
      </c>
      <c r="D545" s="19" t="s">
        <v>1102</v>
      </c>
      <c r="E545" s="19">
        <v>20242803</v>
      </c>
      <c r="F545" s="19" t="s">
        <v>3213</v>
      </c>
      <c r="G545" s="19">
        <v>9731326904</v>
      </c>
      <c r="H545" s="19" t="s">
        <v>3214</v>
      </c>
      <c r="I545" s="19" t="s">
        <v>123</v>
      </c>
      <c r="J545" s="19" t="s">
        <v>109</v>
      </c>
      <c r="K545" s="19" t="s">
        <v>1105</v>
      </c>
      <c r="L545" s="19">
        <v>3</v>
      </c>
      <c r="M545" s="19" t="s">
        <v>2359</v>
      </c>
      <c r="N545" s="19">
        <v>4.5</v>
      </c>
      <c r="O545" s="19">
        <v>0</v>
      </c>
      <c r="P545" s="19" t="s">
        <v>3062</v>
      </c>
      <c r="Q545" s="19" t="s">
        <v>1562</v>
      </c>
      <c r="R545" s="19" t="s">
        <v>72</v>
      </c>
      <c r="S545" s="19" t="s">
        <v>3033</v>
      </c>
      <c r="T545" s="19"/>
      <c r="U545" s="21"/>
      <c r="V545" s="19"/>
      <c r="W545" s="19" t="s">
        <v>74</v>
      </c>
      <c r="X545" s="19" t="s">
        <v>74</v>
      </c>
      <c r="Y545" s="19" t="s">
        <v>70</v>
      </c>
      <c r="Z545" s="19" t="s">
        <v>68</v>
      </c>
      <c r="AA545" s="4">
        <v>45721</v>
      </c>
      <c r="AB545" s="4">
        <v>45726</v>
      </c>
      <c r="AC545" s="4">
        <v>45726</v>
      </c>
      <c r="AD545" s="19"/>
      <c r="AE545" s="19"/>
      <c r="AF545" s="19"/>
      <c r="AG545" s="4"/>
      <c r="AH545" s="19"/>
      <c r="AI545" s="19"/>
      <c r="AJ545" s="19"/>
      <c r="AK545" s="19"/>
      <c r="AL545" s="19"/>
      <c r="AM545" s="19"/>
      <c r="AN545" s="19"/>
      <c r="AO545" s="19"/>
      <c r="AP545" s="19"/>
      <c r="AQ545" s="19"/>
      <c r="AR545" s="19"/>
      <c r="AS545" s="27"/>
    </row>
    <row r="546" spans="1:45">
      <c r="A546" s="19">
        <f t="shared" si="8"/>
        <v>545</v>
      </c>
      <c r="B546" s="20">
        <v>45721</v>
      </c>
      <c r="C546" s="19" t="s">
        <v>1101</v>
      </c>
      <c r="D546" s="19" t="s">
        <v>1216</v>
      </c>
      <c r="E546" s="19">
        <v>20242803</v>
      </c>
      <c r="F546" s="19" t="s">
        <v>3215</v>
      </c>
      <c r="G546" s="19">
        <v>8839222168</v>
      </c>
      <c r="H546" s="19" t="s">
        <v>3216</v>
      </c>
      <c r="I546" s="19" t="s">
        <v>123</v>
      </c>
      <c r="J546" s="19" t="s">
        <v>109</v>
      </c>
      <c r="K546" s="19" t="s">
        <v>1105</v>
      </c>
      <c r="L546" s="19">
        <v>3.8</v>
      </c>
      <c r="M546" s="19" t="s">
        <v>3217</v>
      </c>
      <c r="N546" s="19">
        <v>6.5</v>
      </c>
      <c r="O546" s="19">
        <v>0</v>
      </c>
      <c r="P546" s="19">
        <v>11</v>
      </c>
      <c r="Q546" s="19" t="s">
        <v>72</v>
      </c>
      <c r="R546" s="19" t="s">
        <v>72</v>
      </c>
      <c r="S546" s="19" t="s">
        <v>2997</v>
      </c>
      <c r="T546" s="19" t="s">
        <v>3218</v>
      </c>
      <c r="U546" s="21"/>
      <c r="V546" s="19"/>
      <c r="W546" s="19" t="s">
        <v>74</v>
      </c>
      <c r="X546" s="19" t="s">
        <v>74</v>
      </c>
      <c r="Y546" s="19" t="s">
        <v>70</v>
      </c>
      <c r="Z546" s="19" t="s">
        <v>68</v>
      </c>
      <c r="AA546" s="4">
        <v>45721</v>
      </c>
      <c r="AB546" s="4">
        <v>45728</v>
      </c>
      <c r="AC546" s="4">
        <v>45728</v>
      </c>
      <c r="AD546" s="19"/>
      <c r="AE546" s="19"/>
      <c r="AF546" s="19"/>
      <c r="AG546" s="4"/>
      <c r="AH546" s="19"/>
      <c r="AI546" s="19"/>
      <c r="AJ546" s="19"/>
      <c r="AK546" s="19"/>
      <c r="AL546" s="19"/>
      <c r="AM546" s="19"/>
      <c r="AN546" s="19"/>
      <c r="AO546" s="19"/>
      <c r="AP546" s="19"/>
      <c r="AQ546" s="19"/>
      <c r="AR546" s="19"/>
      <c r="AS546" s="27"/>
    </row>
    <row r="547" spans="1:45">
      <c r="A547" s="19">
        <f t="shared" si="8"/>
        <v>546</v>
      </c>
      <c r="B547" s="20">
        <v>45722</v>
      </c>
      <c r="C547" s="19" t="s">
        <v>1101</v>
      </c>
      <c r="D547" s="19" t="s">
        <v>1699</v>
      </c>
      <c r="E547" s="19">
        <v>20245321</v>
      </c>
      <c r="F547" s="19" t="s">
        <v>3219</v>
      </c>
      <c r="G547" s="19">
        <v>8962089631</v>
      </c>
      <c r="H547" s="19" t="s">
        <v>3220</v>
      </c>
      <c r="I547" s="19" t="s">
        <v>123</v>
      </c>
      <c r="J547" s="19" t="s">
        <v>114</v>
      </c>
      <c r="K547" s="19" t="s">
        <v>1105</v>
      </c>
      <c r="L547" s="19">
        <v>5</v>
      </c>
      <c r="M547" s="19" t="s">
        <v>3221</v>
      </c>
      <c r="N547" s="19">
        <v>14</v>
      </c>
      <c r="O547" s="19" t="s">
        <v>3222</v>
      </c>
      <c r="P547" s="19">
        <v>20</v>
      </c>
      <c r="Q547" s="19" t="s">
        <v>3223</v>
      </c>
      <c r="R547" s="19" t="s">
        <v>72</v>
      </c>
      <c r="S547" s="19" t="s">
        <v>3224</v>
      </c>
      <c r="T547" s="19" t="s">
        <v>3225</v>
      </c>
      <c r="U547" s="21"/>
      <c r="V547" s="19"/>
      <c r="W547" s="19" t="s">
        <v>74</v>
      </c>
      <c r="X547" s="19" t="s">
        <v>74</v>
      </c>
      <c r="Y547" s="19" t="s">
        <v>70</v>
      </c>
      <c r="Z547" s="19" t="s">
        <v>68</v>
      </c>
      <c r="AA547" s="4">
        <v>45722</v>
      </c>
      <c r="AB547" s="4">
        <v>45726</v>
      </c>
      <c r="AC547" s="4">
        <v>45726</v>
      </c>
      <c r="AD547" s="19"/>
      <c r="AE547" s="19"/>
      <c r="AF547" s="19"/>
      <c r="AG547" s="4"/>
      <c r="AH547" s="19"/>
      <c r="AI547" s="19"/>
      <c r="AJ547" s="19"/>
      <c r="AK547" s="19"/>
      <c r="AL547" s="19"/>
      <c r="AM547" s="19"/>
      <c r="AN547" s="19"/>
      <c r="AO547" s="19"/>
      <c r="AP547" s="19"/>
      <c r="AQ547" s="19"/>
      <c r="AR547" s="19"/>
      <c r="AS547" s="27"/>
    </row>
    <row r="548" spans="1:45">
      <c r="A548" s="19">
        <f t="shared" si="8"/>
        <v>547</v>
      </c>
      <c r="B548" s="20">
        <v>45722</v>
      </c>
      <c r="C548" s="19" t="s">
        <v>1101</v>
      </c>
      <c r="D548" s="19" t="s">
        <v>1699</v>
      </c>
      <c r="E548" s="19">
        <v>20245321</v>
      </c>
      <c r="F548" s="19" t="s">
        <v>3226</v>
      </c>
      <c r="G548" s="19">
        <v>7060979597</v>
      </c>
      <c r="H548" s="19" t="s">
        <v>3227</v>
      </c>
      <c r="I548" s="19" t="s">
        <v>123</v>
      </c>
      <c r="J548" s="19" t="s">
        <v>114</v>
      </c>
      <c r="K548" s="19" t="s">
        <v>1105</v>
      </c>
      <c r="L548" s="19">
        <v>4</v>
      </c>
      <c r="M548" s="19" t="s">
        <v>1551</v>
      </c>
      <c r="N548" s="19">
        <v>12</v>
      </c>
      <c r="O548" s="19">
        <v>0</v>
      </c>
      <c r="P548" s="19">
        <v>16</v>
      </c>
      <c r="Q548" s="19" t="s">
        <v>1276</v>
      </c>
      <c r="R548" s="19" t="s">
        <v>72</v>
      </c>
      <c r="S548" s="19" t="s">
        <v>1121</v>
      </c>
      <c r="T548" s="19"/>
      <c r="U548" s="21"/>
      <c r="V548" s="19"/>
      <c r="W548" s="19" t="s">
        <v>74</v>
      </c>
      <c r="X548" s="19" t="s">
        <v>74</v>
      </c>
      <c r="Y548" s="19" t="s">
        <v>70</v>
      </c>
      <c r="Z548" s="19" t="s">
        <v>68</v>
      </c>
      <c r="AA548" s="4">
        <v>45722</v>
      </c>
      <c r="AB548" s="4">
        <v>45727</v>
      </c>
      <c r="AC548" s="4">
        <v>45727</v>
      </c>
      <c r="AD548" s="19"/>
      <c r="AE548" s="19"/>
      <c r="AF548" s="19"/>
      <c r="AG548" s="4"/>
      <c r="AH548" s="19"/>
      <c r="AI548" s="19"/>
      <c r="AJ548" s="19"/>
      <c r="AK548" s="19"/>
      <c r="AL548" s="19"/>
      <c r="AM548" s="19"/>
      <c r="AN548" s="19"/>
      <c r="AO548" s="19"/>
      <c r="AP548" s="19"/>
      <c r="AQ548" s="19"/>
      <c r="AR548" s="19"/>
      <c r="AS548" s="27"/>
    </row>
    <row r="549" spans="1:45">
      <c r="A549" s="19">
        <f t="shared" si="8"/>
        <v>548</v>
      </c>
      <c r="B549" s="20">
        <v>45722</v>
      </c>
      <c r="C549" s="19" t="s">
        <v>1101</v>
      </c>
      <c r="D549" s="19" t="s">
        <v>1699</v>
      </c>
      <c r="E549" s="19">
        <v>20245321</v>
      </c>
      <c r="F549" s="19" t="s">
        <v>3228</v>
      </c>
      <c r="G549" s="19">
        <v>8286145535</v>
      </c>
      <c r="H549" s="19" t="s">
        <v>3229</v>
      </c>
      <c r="I549" s="19" t="s">
        <v>123</v>
      </c>
      <c r="J549" s="19" t="s">
        <v>114</v>
      </c>
      <c r="K549" s="19" t="s">
        <v>1105</v>
      </c>
      <c r="L549" s="19">
        <v>5</v>
      </c>
      <c r="M549" s="19" t="s">
        <v>3230</v>
      </c>
      <c r="N549" s="19">
        <v>14.5</v>
      </c>
      <c r="O549" s="19" t="s">
        <v>3231</v>
      </c>
      <c r="P549" s="19">
        <v>0.4</v>
      </c>
      <c r="Q549" s="19" t="s">
        <v>708</v>
      </c>
      <c r="R549" s="19" t="s">
        <v>72</v>
      </c>
      <c r="S549" s="19" t="s">
        <v>1405</v>
      </c>
      <c r="T549" s="19" t="s">
        <v>3232</v>
      </c>
      <c r="U549" s="21"/>
      <c r="V549" s="19"/>
      <c r="W549" s="19" t="s">
        <v>74</v>
      </c>
      <c r="X549" s="19" t="s">
        <v>74</v>
      </c>
      <c r="Y549" s="19" t="s">
        <v>70</v>
      </c>
      <c r="Z549" s="19" t="s">
        <v>68</v>
      </c>
      <c r="AA549" s="4">
        <v>45722</v>
      </c>
      <c r="AB549" s="4">
        <v>45729</v>
      </c>
      <c r="AC549" s="4">
        <v>45729</v>
      </c>
      <c r="AD549" s="19"/>
      <c r="AE549" s="19"/>
      <c r="AF549" s="19"/>
      <c r="AG549" s="4"/>
      <c r="AH549" s="19"/>
      <c r="AI549" s="19"/>
      <c r="AJ549" s="19"/>
      <c r="AK549" s="19"/>
      <c r="AL549" s="19"/>
      <c r="AM549" s="19"/>
      <c r="AN549" s="19"/>
      <c r="AO549" s="19"/>
      <c r="AP549" s="19"/>
      <c r="AQ549" s="19"/>
      <c r="AR549" s="19"/>
      <c r="AS549" s="27"/>
    </row>
    <row r="550" spans="1:45">
      <c r="A550" s="19">
        <f t="shared" si="8"/>
        <v>549</v>
      </c>
      <c r="B550" s="20">
        <v>45717</v>
      </c>
      <c r="C550" s="19" t="s">
        <v>116</v>
      </c>
      <c r="D550" s="19" t="s">
        <v>116</v>
      </c>
      <c r="E550" s="19"/>
      <c r="F550" s="19" t="s">
        <v>753</v>
      </c>
      <c r="G550" s="19" t="s">
        <v>754</v>
      </c>
      <c r="H550" s="19" t="s">
        <v>755</v>
      </c>
      <c r="I550" s="19" t="s">
        <v>123</v>
      </c>
      <c r="J550" s="19" t="s">
        <v>751</v>
      </c>
      <c r="K550" s="19" t="s">
        <v>617</v>
      </c>
      <c r="L550" s="19">
        <v>8</v>
      </c>
      <c r="M550" s="19" t="s">
        <v>1621</v>
      </c>
      <c r="N550" s="19">
        <v>900000</v>
      </c>
      <c r="O550" s="19"/>
      <c r="P550" s="19">
        <v>1100000</v>
      </c>
      <c r="Q550" s="19" t="s">
        <v>72</v>
      </c>
      <c r="R550" s="19" t="s">
        <v>72</v>
      </c>
      <c r="S550" s="19" t="s">
        <v>1121</v>
      </c>
      <c r="T550" s="19" t="s">
        <v>116</v>
      </c>
      <c r="U550" s="21">
        <v>45572</v>
      </c>
      <c r="V550" s="19"/>
      <c r="W550" s="19" t="s">
        <v>74</v>
      </c>
      <c r="X550" s="19" t="s">
        <v>74</v>
      </c>
      <c r="Y550" s="19" t="s">
        <v>70</v>
      </c>
      <c r="Z550" s="19" t="s">
        <v>68</v>
      </c>
      <c r="AA550" s="4">
        <v>45473</v>
      </c>
      <c r="AB550" s="4">
        <v>45475</v>
      </c>
      <c r="AC550" s="4">
        <v>45475</v>
      </c>
      <c r="AD550" s="4">
        <v>45477</v>
      </c>
      <c r="AE550" s="4">
        <v>45477</v>
      </c>
      <c r="AF550" s="4">
        <v>45481</v>
      </c>
      <c r="AG550" s="4">
        <v>45492</v>
      </c>
      <c r="AH550" s="4">
        <v>45492</v>
      </c>
      <c r="AI550" s="4">
        <v>45492</v>
      </c>
      <c r="AJ550" s="4">
        <v>45507</v>
      </c>
      <c r="AK550" s="19" t="s">
        <v>72</v>
      </c>
      <c r="AL550" s="19">
        <v>1100000</v>
      </c>
      <c r="AM550" s="4">
        <v>45507</v>
      </c>
      <c r="AN550" s="4">
        <v>45391</v>
      </c>
      <c r="AO550" s="19"/>
      <c r="AP550" s="4">
        <v>45391</v>
      </c>
      <c r="AQ550" s="4">
        <v>45393</v>
      </c>
      <c r="AR550" s="4">
        <v>45568</v>
      </c>
      <c r="AS550" s="4">
        <v>45572</v>
      </c>
    </row>
    <row r="551" spans="1:45">
      <c r="A551" s="19">
        <f t="shared" si="8"/>
        <v>550</v>
      </c>
      <c r="B551" s="20">
        <v>45737</v>
      </c>
      <c r="C551" s="19" t="s">
        <v>1101</v>
      </c>
      <c r="D551" s="19" t="s">
        <v>3233</v>
      </c>
      <c r="E551" s="19"/>
      <c r="F551" s="19" t="s">
        <v>3234</v>
      </c>
      <c r="G551" s="19"/>
      <c r="H551" s="19" t="s">
        <v>3235</v>
      </c>
      <c r="I551" s="19" t="s">
        <v>123</v>
      </c>
      <c r="J551" s="19" t="s">
        <v>3102</v>
      </c>
      <c r="K551" s="19" t="s">
        <v>3103</v>
      </c>
      <c r="L551" s="19"/>
      <c r="M551" s="19" t="s">
        <v>3236</v>
      </c>
      <c r="N551" s="19" t="s">
        <v>3237</v>
      </c>
      <c r="O551" s="19"/>
      <c r="P551" s="19" t="s">
        <v>3238</v>
      </c>
      <c r="Q551" s="19" t="s">
        <v>72</v>
      </c>
      <c r="R551" s="19" t="s">
        <v>72</v>
      </c>
      <c r="S551" s="19" t="s">
        <v>3239</v>
      </c>
      <c r="T551" s="19"/>
      <c r="U551" s="21"/>
      <c r="V551" s="19"/>
      <c r="W551" s="19" t="s">
        <v>73</v>
      </c>
      <c r="X551" s="19" t="s">
        <v>73</v>
      </c>
      <c r="Y551" s="19" t="s">
        <v>70</v>
      </c>
      <c r="Z551" s="19" t="s">
        <v>612</v>
      </c>
      <c r="AA551" s="4"/>
      <c r="AB551" s="4"/>
      <c r="AC551" s="4"/>
      <c r="AD551" s="19"/>
      <c r="AE551" s="19"/>
      <c r="AF551" s="19"/>
      <c r="AG551" s="4"/>
      <c r="AH551" s="4"/>
      <c r="AI551" s="4"/>
      <c r="AJ551" s="19"/>
      <c r="AK551" s="19"/>
      <c r="AL551" s="19"/>
      <c r="AM551" s="19"/>
      <c r="AN551" s="19"/>
      <c r="AO551" s="19"/>
      <c r="AP551" s="19"/>
      <c r="AQ551" s="19"/>
      <c r="AR551" s="19"/>
      <c r="AS551" s="27"/>
    </row>
    <row r="552" spans="1:45">
      <c r="A552" s="19">
        <f t="shared" si="8"/>
        <v>551</v>
      </c>
      <c r="B552" s="20">
        <v>45737</v>
      </c>
      <c r="C552" s="19" t="s">
        <v>1101</v>
      </c>
      <c r="D552" s="19" t="s">
        <v>3233</v>
      </c>
      <c r="E552" s="19"/>
      <c r="F552" s="19" t="s">
        <v>3240</v>
      </c>
      <c r="G552" s="19"/>
      <c r="H552" s="19" t="s">
        <v>3241</v>
      </c>
      <c r="I552" s="19" t="s">
        <v>123</v>
      </c>
      <c r="J552" s="19" t="s">
        <v>3102</v>
      </c>
      <c r="K552" s="19" t="s">
        <v>3103</v>
      </c>
      <c r="L552" s="19"/>
      <c r="M552" s="19" t="s">
        <v>3242</v>
      </c>
      <c r="N552" s="19" t="s">
        <v>3238</v>
      </c>
      <c r="O552" s="19"/>
      <c r="P552" s="19" t="s">
        <v>3243</v>
      </c>
      <c r="Q552" s="19" t="s">
        <v>72</v>
      </c>
      <c r="R552" s="19" t="s">
        <v>72</v>
      </c>
      <c r="S552" s="19" t="s">
        <v>3157</v>
      </c>
      <c r="T552" s="19"/>
      <c r="U552" s="21"/>
      <c r="V552" s="19"/>
      <c r="W552" s="19" t="s">
        <v>73</v>
      </c>
      <c r="X552" s="19" t="s">
        <v>73</v>
      </c>
      <c r="Y552" s="19" t="s">
        <v>70</v>
      </c>
      <c r="Z552" s="19" t="s">
        <v>612</v>
      </c>
      <c r="AA552" s="4"/>
      <c r="AB552" s="4"/>
      <c r="AC552" s="4"/>
      <c r="AD552" s="19"/>
      <c r="AE552" s="19"/>
      <c r="AF552" s="19"/>
      <c r="AG552" s="4"/>
      <c r="AH552" s="19"/>
      <c r="AI552" s="19"/>
      <c r="AJ552" s="19"/>
      <c r="AK552" s="19"/>
      <c r="AL552" s="19"/>
      <c r="AM552" s="19"/>
      <c r="AN552" s="19"/>
      <c r="AO552" s="19"/>
      <c r="AP552" s="19"/>
      <c r="AQ552" s="19"/>
      <c r="AR552" s="19"/>
      <c r="AS552" s="27"/>
    </row>
    <row r="553" spans="1:45" ht="15.5">
      <c r="A553" s="19">
        <f t="shared" si="8"/>
        <v>552</v>
      </c>
      <c r="B553" s="20">
        <v>45740</v>
      </c>
      <c r="C553" s="19" t="s">
        <v>1101</v>
      </c>
      <c r="D553" s="19" t="s">
        <v>1026</v>
      </c>
      <c r="E553" s="19"/>
      <c r="F553" s="19" t="s">
        <v>3244</v>
      </c>
      <c r="G553" s="19"/>
      <c r="H553" s="19" t="s">
        <v>3245</v>
      </c>
      <c r="I553" s="19" t="s">
        <v>123</v>
      </c>
      <c r="J553" s="19" t="s">
        <v>414</v>
      </c>
      <c r="K553" s="22"/>
      <c r="L553" s="19"/>
      <c r="M553" s="22" t="s">
        <v>3246</v>
      </c>
      <c r="N553" s="22" t="s">
        <v>3176</v>
      </c>
      <c r="O553" s="22"/>
      <c r="P553" s="22" t="s">
        <v>3247</v>
      </c>
      <c r="Q553" s="22" t="s">
        <v>72</v>
      </c>
      <c r="R553" s="22" t="s">
        <v>72</v>
      </c>
      <c r="S553" s="22" t="s">
        <v>3248</v>
      </c>
      <c r="T553" s="19"/>
      <c r="U553" s="21"/>
      <c r="V553" s="19"/>
      <c r="W553" s="19" t="s">
        <v>73</v>
      </c>
      <c r="X553" s="19" t="s">
        <v>73</v>
      </c>
      <c r="Y553" s="19" t="s">
        <v>70</v>
      </c>
      <c r="Z553" s="19" t="s">
        <v>612</v>
      </c>
      <c r="AA553" s="4"/>
      <c r="AB553" s="4"/>
      <c r="AC553" s="4"/>
      <c r="AD553" s="19"/>
      <c r="AE553" s="19"/>
      <c r="AF553" s="19"/>
      <c r="AG553" s="4"/>
      <c r="AH553" s="19"/>
      <c r="AI553" s="19"/>
      <c r="AJ553" s="19"/>
      <c r="AK553" s="19"/>
      <c r="AL553" s="19"/>
      <c r="AM553" s="19"/>
      <c r="AN553" s="19"/>
      <c r="AO553" s="19"/>
      <c r="AP553" s="19"/>
      <c r="AQ553" s="19"/>
      <c r="AR553" s="19"/>
      <c r="AS553" s="27"/>
    </row>
    <row r="554" spans="1:45" ht="15.5">
      <c r="A554" s="19">
        <f t="shared" si="8"/>
        <v>553</v>
      </c>
      <c r="B554" s="20">
        <v>45740</v>
      </c>
      <c r="C554" s="19" t="s">
        <v>1101</v>
      </c>
      <c r="D554" s="19" t="s">
        <v>1026</v>
      </c>
      <c r="E554" s="19"/>
      <c r="F554" s="19" t="s">
        <v>3249</v>
      </c>
      <c r="G554" s="19"/>
      <c r="H554" s="19" t="s">
        <v>3250</v>
      </c>
      <c r="I554" s="19" t="s">
        <v>123</v>
      </c>
      <c r="J554" s="19" t="s">
        <v>414</v>
      </c>
      <c r="K554" s="22"/>
      <c r="L554" s="19"/>
      <c r="M554" s="22" t="s">
        <v>3251</v>
      </c>
      <c r="N554" s="22" t="s">
        <v>3252</v>
      </c>
      <c r="O554" s="22"/>
      <c r="P554" s="22" t="s">
        <v>3177</v>
      </c>
      <c r="Q554" s="22" t="s">
        <v>72</v>
      </c>
      <c r="R554" s="22" t="s">
        <v>72</v>
      </c>
      <c r="S554" s="22" t="s">
        <v>3239</v>
      </c>
      <c r="T554" s="19"/>
      <c r="U554" s="21"/>
      <c r="V554" s="19"/>
      <c r="W554" s="19" t="s">
        <v>73</v>
      </c>
      <c r="X554" s="19" t="s">
        <v>73</v>
      </c>
      <c r="Y554" s="19" t="s">
        <v>70</v>
      </c>
      <c r="Z554" s="19" t="s">
        <v>612</v>
      </c>
      <c r="AA554" s="4"/>
      <c r="AB554" s="4"/>
      <c r="AC554" s="4"/>
      <c r="AD554" s="19"/>
      <c r="AE554" s="19"/>
      <c r="AF554" s="19"/>
      <c r="AG554" s="4"/>
      <c r="AH554" s="19"/>
      <c r="AI554" s="19"/>
      <c r="AJ554" s="19"/>
      <c r="AK554" s="19"/>
      <c r="AL554" s="19"/>
      <c r="AM554" s="19"/>
      <c r="AN554" s="19"/>
      <c r="AO554" s="19"/>
      <c r="AP554" s="19"/>
      <c r="AQ554" s="19"/>
      <c r="AR554" s="19"/>
      <c r="AS554" s="27"/>
    </row>
    <row r="555" spans="1:45" ht="15.5">
      <c r="A555" s="19">
        <f t="shared" si="8"/>
        <v>554</v>
      </c>
      <c r="B555" s="20">
        <v>45740</v>
      </c>
      <c r="C555" s="19" t="s">
        <v>1101</v>
      </c>
      <c r="D555" s="19" t="s">
        <v>1026</v>
      </c>
      <c r="E555" s="19"/>
      <c r="F555" s="19" t="s">
        <v>3253</v>
      </c>
      <c r="G555" s="19"/>
      <c r="H555" s="19" t="s">
        <v>3254</v>
      </c>
      <c r="I555" s="19" t="s">
        <v>123</v>
      </c>
      <c r="J555" s="19" t="s">
        <v>414</v>
      </c>
      <c r="K555" s="23"/>
      <c r="L555" s="19"/>
      <c r="M555" s="23" t="s">
        <v>3255</v>
      </c>
      <c r="N555" s="23" t="s">
        <v>3256</v>
      </c>
      <c r="O555" s="23"/>
      <c r="P555" s="23" t="s">
        <v>3257</v>
      </c>
      <c r="Q555" s="22" t="s">
        <v>72</v>
      </c>
      <c r="R555" s="22" t="s">
        <v>72</v>
      </c>
      <c r="S555" s="23" t="s">
        <v>3258</v>
      </c>
      <c r="T555" s="19"/>
      <c r="U555" s="21"/>
      <c r="V555" s="19"/>
      <c r="W555" s="19" t="s">
        <v>73</v>
      </c>
      <c r="X555" s="19" t="s">
        <v>73</v>
      </c>
      <c r="Y555" s="19" t="s">
        <v>70</v>
      </c>
      <c r="Z555" s="19" t="s">
        <v>612</v>
      </c>
      <c r="AA555" s="4"/>
      <c r="AB555" s="4"/>
      <c r="AC555" s="4"/>
      <c r="AD555" s="19"/>
      <c r="AE555" s="19"/>
      <c r="AF555" s="19"/>
      <c r="AG555" s="4"/>
      <c r="AH555" s="19"/>
      <c r="AI555" s="19"/>
      <c r="AJ555" s="19"/>
      <c r="AK555" s="19"/>
      <c r="AL555" s="19"/>
      <c r="AM555" s="19"/>
      <c r="AN555" s="19"/>
      <c r="AO555" s="19"/>
      <c r="AP555" s="19"/>
      <c r="AQ555" s="19"/>
      <c r="AR555" s="19"/>
      <c r="AS555" s="27"/>
    </row>
    <row r="556" spans="1:45" ht="15.5">
      <c r="A556" s="19">
        <f t="shared" si="8"/>
        <v>555</v>
      </c>
      <c r="B556" s="20">
        <v>45740</v>
      </c>
      <c r="C556" s="19" t="s">
        <v>1101</v>
      </c>
      <c r="D556" s="19" t="s">
        <v>1026</v>
      </c>
      <c r="E556" s="19"/>
      <c r="F556" s="19" t="s">
        <v>3259</v>
      </c>
      <c r="G556" s="19"/>
      <c r="H556" s="19" t="s">
        <v>3260</v>
      </c>
      <c r="I556" s="19" t="s">
        <v>123</v>
      </c>
      <c r="J556" s="19" t="s">
        <v>414</v>
      </c>
      <c r="K556" s="24"/>
      <c r="L556" s="19"/>
      <c r="M556" s="24" t="s">
        <v>3261</v>
      </c>
      <c r="N556" s="25" t="s">
        <v>3262</v>
      </c>
      <c r="O556" s="25"/>
      <c r="P556" s="25" t="s">
        <v>3263</v>
      </c>
      <c r="Q556" s="22" t="s">
        <v>72</v>
      </c>
      <c r="R556" s="22" t="s">
        <v>72</v>
      </c>
      <c r="S556" s="23" t="s">
        <v>3264</v>
      </c>
      <c r="T556" s="19"/>
      <c r="U556" s="21"/>
      <c r="V556" s="19"/>
      <c r="W556" s="19" t="s">
        <v>73</v>
      </c>
      <c r="X556" s="19" t="s">
        <v>73</v>
      </c>
      <c r="Y556" s="19" t="s">
        <v>70</v>
      </c>
      <c r="Z556" s="19" t="s">
        <v>612</v>
      </c>
      <c r="AA556" s="4"/>
      <c r="AB556" s="4"/>
      <c r="AC556" s="4"/>
      <c r="AD556" s="19"/>
      <c r="AE556" s="19"/>
      <c r="AF556" s="19"/>
      <c r="AG556" s="4"/>
      <c r="AH556" s="19"/>
      <c r="AI556" s="19"/>
      <c r="AJ556" s="19"/>
      <c r="AK556" s="19"/>
      <c r="AL556" s="19"/>
      <c r="AM556" s="19"/>
      <c r="AN556" s="19"/>
      <c r="AO556" s="19"/>
      <c r="AP556" s="19"/>
      <c r="AQ556" s="19"/>
      <c r="AR556" s="19"/>
      <c r="AS556" s="27"/>
    </row>
    <row r="557" spans="1:45" ht="15.5">
      <c r="A557" s="19">
        <f t="shared" si="8"/>
        <v>556</v>
      </c>
      <c r="B557" s="20">
        <v>45743</v>
      </c>
      <c r="C557" s="20" t="s">
        <v>1101</v>
      </c>
      <c r="D557" s="19" t="s">
        <v>1026</v>
      </c>
      <c r="E557" s="22"/>
      <c r="F557" s="29" t="s">
        <v>3265</v>
      </c>
      <c r="G557" s="22"/>
      <c r="H557" s="29" t="s">
        <v>3266</v>
      </c>
      <c r="I557" s="19" t="s">
        <v>123</v>
      </c>
      <c r="J557" s="29" t="s">
        <v>797</v>
      </c>
      <c r="K557" s="22"/>
      <c r="L557" s="22"/>
      <c r="M557" s="29" t="s">
        <v>3267</v>
      </c>
      <c r="N557" s="29" t="s">
        <v>3268</v>
      </c>
      <c r="O557" s="22"/>
      <c r="P557" s="29" t="s">
        <v>3269</v>
      </c>
      <c r="Q557" s="29" t="s">
        <v>72</v>
      </c>
      <c r="R557" s="29" t="s">
        <v>72</v>
      </c>
      <c r="S557" s="29" t="s">
        <v>3239</v>
      </c>
      <c r="T557" s="20"/>
      <c r="U557" s="20"/>
      <c r="V557" s="20"/>
      <c r="W557" s="19" t="s">
        <v>73</v>
      </c>
      <c r="X557" s="19" t="s">
        <v>73</v>
      </c>
      <c r="Y557" s="20" t="s">
        <v>70</v>
      </c>
      <c r="Z557" s="20" t="s">
        <v>612</v>
      </c>
      <c r="AA557" s="4"/>
      <c r="AB557" s="4"/>
      <c r="AC557" s="4"/>
      <c r="AD557" s="19"/>
      <c r="AE557" s="19"/>
      <c r="AF557" s="19"/>
      <c r="AG557" s="4"/>
      <c r="AH557" s="19"/>
      <c r="AI557" s="19"/>
      <c r="AJ557" s="19"/>
      <c r="AK557" s="19"/>
      <c r="AL557" s="19"/>
      <c r="AM557" s="19"/>
      <c r="AN557" s="19"/>
      <c r="AO557" s="19"/>
      <c r="AP557" s="19"/>
      <c r="AQ557" s="19"/>
      <c r="AR557" s="19"/>
      <c r="AS557" s="27"/>
    </row>
    <row r="558" spans="1:45" ht="15.5">
      <c r="A558" s="19">
        <f t="shared" si="8"/>
        <v>557</v>
      </c>
      <c r="B558" s="20">
        <v>45743</v>
      </c>
      <c r="C558" s="20" t="s">
        <v>1101</v>
      </c>
      <c r="D558" s="19" t="s">
        <v>1026</v>
      </c>
      <c r="E558" s="22"/>
      <c r="F558" s="29" t="s">
        <v>3270</v>
      </c>
      <c r="G558" s="22"/>
      <c r="H558" s="29" t="s">
        <v>3271</v>
      </c>
      <c r="I558" s="19" t="s">
        <v>123</v>
      </c>
      <c r="J558" s="29" t="s">
        <v>797</v>
      </c>
      <c r="K558" s="22"/>
      <c r="L558" s="22"/>
      <c r="M558" s="29" t="s">
        <v>3272</v>
      </c>
      <c r="N558" s="29" t="s">
        <v>3273</v>
      </c>
      <c r="O558" s="22"/>
      <c r="P558" s="29" t="s">
        <v>3107</v>
      </c>
      <c r="Q558" s="29" t="s">
        <v>72</v>
      </c>
      <c r="R558" s="29" t="s">
        <v>72</v>
      </c>
      <c r="S558" s="29" t="s">
        <v>3258</v>
      </c>
      <c r="T558" s="20"/>
      <c r="U558" s="20"/>
      <c r="V558" s="20"/>
      <c r="W558" s="19" t="s">
        <v>73</v>
      </c>
      <c r="X558" s="19" t="s">
        <v>73</v>
      </c>
      <c r="Y558" s="20" t="s">
        <v>70</v>
      </c>
      <c r="Z558" s="20" t="s">
        <v>612</v>
      </c>
      <c r="AA558" s="4"/>
      <c r="AB558" s="4"/>
      <c r="AC558" s="4"/>
      <c r="AD558" s="19"/>
      <c r="AE558" s="19"/>
      <c r="AF558" s="19"/>
      <c r="AG558" s="4"/>
      <c r="AH558" s="19"/>
      <c r="AI558" s="19"/>
      <c r="AJ558" s="19"/>
      <c r="AK558" s="19"/>
      <c r="AL558" s="19"/>
      <c r="AM558" s="19"/>
      <c r="AN558" s="19"/>
      <c r="AO558" s="19"/>
      <c r="AP558" s="19"/>
      <c r="AQ558" s="19"/>
      <c r="AR558" s="19"/>
      <c r="AS558" s="27"/>
    </row>
    <row r="559" spans="1:45" ht="15.5">
      <c r="A559" s="19">
        <f t="shared" si="8"/>
        <v>558</v>
      </c>
      <c r="B559" s="20">
        <v>45743</v>
      </c>
      <c r="C559" s="20" t="s">
        <v>1101</v>
      </c>
      <c r="D559" s="19" t="s">
        <v>1026</v>
      </c>
      <c r="E559" s="22"/>
      <c r="F559" s="29" t="s">
        <v>3274</v>
      </c>
      <c r="G559" s="30"/>
      <c r="H559" s="29" t="s">
        <v>3275</v>
      </c>
      <c r="I559" s="19" t="s">
        <v>123</v>
      </c>
      <c r="J559" s="29" t="s">
        <v>797</v>
      </c>
      <c r="K559" s="23"/>
      <c r="L559" s="23"/>
      <c r="M559" s="29" t="s">
        <v>3276</v>
      </c>
      <c r="N559" s="29" t="s">
        <v>3277</v>
      </c>
      <c r="O559" s="23"/>
      <c r="P559" s="29" t="s">
        <v>3278</v>
      </c>
      <c r="Q559" s="29" t="s">
        <v>72</v>
      </c>
      <c r="R559" s="29" t="s">
        <v>72</v>
      </c>
      <c r="S559" s="29" t="s">
        <v>3279</v>
      </c>
      <c r="T559" s="20"/>
      <c r="U559" s="20"/>
      <c r="V559" s="20"/>
      <c r="W559" s="19" t="s">
        <v>73</v>
      </c>
      <c r="X559" s="19" t="s">
        <v>73</v>
      </c>
      <c r="Y559" s="20" t="s">
        <v>70</v>
      </c>
      <c r="Z559" s="20" t="s">
        <v>612</v>
      </c>
      <c r="AA559" s="4"/>
      <c r="AB559" s="4"/>
      <c r="AC559" s="4"/>
      <c r="AD559" s="19"/>
      <c r="AE559" s="19"/>
      <c r="AF559" s="19"/>
      <c r="AG559" s="4"/>
      <c r="AH559" s="19"/>
      <c r="AI559" s="19"/>
      <c r="AJ559" s="19"/>
      <c r="AK559" s="19"/>
      <c r="AL559" s="19"/>
      <c r="AM559" s="19"/>
      <c r="AN559" s="19"/>
      <c r="AO559" s="19"/>
      <c r="AP559" s="19"/>
      <c r="AQ559" s="19"/>
      <c r="AR559" s="19"/>
      <c r="AS559" s="27"/>
    </row>
    <row r="560" spans="1:45">
      <c r="A560" s="19">
        <f t="shared" si="8"/>
        <v>559</v>
      </c>
      <c r="B560" s="34">
        <v>45744</v>
      </c>
      <c r="C560" s="19" t="s">
        <v>1101</v>
      </c>
      <c r="D560" s="19" t="s">
        <v>974</v>
      </c>
      <c r="E560" s="43">
        <v>20241431</v>
      </c>
      <c r="F560" s="31" t="s">
        <v>3280</v>
      </c>
      <c r="G560" s="32">
        <v>9913164111</v>
      </c>
      <c r="H560" s="19" t="s">
        <v>3281</v>
      </c>
      <c r="I560" s="32" t="s">
        <v>86</v>
      </c>
      <c r="J560" s="32" t="s">
        <v>3282</v>
      </c>
      <c r="K560" s="32" t="s">
        <v>228</v>
      </c>
      <c r="L560" s="32">
        <v>3.9</v>
      </c>
      <c r="M560" s="33" t="s">
        <v>3283</v>
      </c>
      <c r="N560" s="32">
        <v>10</v>
      </c>
      <c r="O560" s="32">
        <v>0</v>
      </c>
      <c r="P560" s="32">
        <v>15</v>
      </c>
      <c r="Q560" s="32" t="s">
        <v>3284</v>
      </c>
      <c r="R560" s="32" t="s">
        <v>72</v>
      </c>
      <c r="S560" s="32" t="s">
        <v>1121</v>
      </c>
      <c r="T560" s="32" t="s">
        <v>3285</v>
      </c>
      <c r="U560" s="20"/>
      <c r="V560" s="20"/>
      <c r="W560" s="19" t="s">
        <v>74</v>
      </c>
      <c r="X560" s="19" t="s">
        <v>74</v>
      </c>
      <c r="Y560" s="19" t="s">
        <v>70</v>
      </c>
      <c r="Z560" s="19" t="s">
        <v>68</v>
      </c>
      <c r="AA560" s="34">
        <v>45743</v>
      </c>
      <c r="AB560" s="34">
        <v>45744</v>
      </c>
      <c r="AC560" s="34">
        <v>45744</v>
      </c>
      <c r="AD560" s="34">
        <v>45749</v>
      </c>
      <c r="AE560" s="19"/>
      <c r="AF560" s="19"/>
      <c r="AG560" s="4"/>
      <c r="AH560" s="4">
        <v>45669</v>
      </c>
      <c r="AI560" s="4">
        <v>45726</v>
      </c>
      <c r="AJ560" s="19"/>
      <c r="AK560" s="19"/>
      <c r="AL560" s="19"/>
      <c r="AM560" s="19"/>
      <c r="AN560" s="19"/>
      <c r="AO560" s="19"/>
      <c r="AP560" s="19"/>
      <c r="AQ560" s="19"/>
      <c r="AR560" s="19"/>
      <c r="AS560" s="27"/>
    </row>
    <row r="561" spans="1:45">
      <c r="A561" s="19">
        <f t="shared" si="8"/>
        <v>560</v>
      </c>
      <c r="B561" s="34">
        <v>45744</v>
      </c>
      <c r="C561" s="19" t="s">
        <v>1101</v>
      </c>
      <c r="D561" s="19" t="s">
        <v>974</v>
      </c>
      <c r="E561" s="44">
        <v>20241431</v>
      </c>
      <c r="F561" s="31" t="s">
        <v>3286</v>
      </c>
      <c r="G561" s="32">
        <v>9359513300</v>
      </c>
      <c r="H561" s="32" t="s">
        <v>3287</v>
      </c>
      <c r="I561" s="32" t="s">
        <v>123</v>
      </c>
      <c r="J561" s="32" t="s">
        <v>3282</v>
      </c>
      <c r="K561" s="32" t="s">
        <v>228</v>
      </c>
      <c r="L561" s="32">
        <v>4.3</v>
      </c>
      <c r="M561" s="33" t="s">
        <v>3288</v>
      </c>
      <c r="N561" s="32">
        <v>9.17</v>
      </c>
      <c r="O561" s="32">
        <v>0</v>
      </c>
      <c r="P561" s="32">
        <v>15</v>
      </c>
      <c r="Q561" s="32" t="s">
        <v>3289</v>
      </c>
      <c r="R561" s="32" t="s">
        <v>72</v>
      </c>
      <c r="S561" s="32" t="s">
        <v>1121</v>
      </c>
      <c r="T561" s="32" t="s">
        <v>1057</v>
      </c>
      <c r="U561" s="20"/>
      <c r="V561" s="20"/>
      <c r="W561" s="19" t="s">
        <v>74</v>
      </c>
      <c r="X561" s="19" t="s">
        <v>74</v>
      </c>
      <c r="Y561" s="19" t="s">
        <v>70</v>
      </c>
      <c r="Z561" s="19" t="s">
        <v>68</v>
      </c>
      <c r="AA561" s="34">
        <v>45743</v>
      </c>
      <c r="AB561" s="34">
        <v>45744</v>
      </c>
      <c r="AC561" s="34">
        <v>45744</v>
      </c>
      <c r="AD561" s="34">
        <v>45778</v>
      </c>
      <c r="AE561" s="19"/>
      <c r="AF561" s="19"/>
      <c r="AG561" s="4"/>
      <c r="AH561" s="19"/>
      <c r="AI561" s="19"/>
      <c r="AJ561" s="19"/>
      <c r="AK561" s="19"/>
      <c r="AL561" s="19"/>
      <c r="AM561" s="19"/>
      <c r="AN561" s="19"/>
      <c r="AO561" s="19"/>
      <c r="AP561" s="19"/>
      <c r="AQ561" s="19"/>
      <c r="AR561" s="19"/>
      <c r="AS561" s="27"/>
    </row>
    <row r="562" spans="1:45">
      <c r="A562" s="19">
        <f t="shared" si="8"/>
        <v>561</v>
      </c>
      <c r="B562" s="20">
        <v>45751</v>
      </c>
      <c r="C562" s="19" t="s">
        <v>1101</v>
      </c>
      <c r="D562" s="39" t="s">
        <v>1026</v>
      </c>
      <c r="E562" s="54">
        <v>20242803</v>
      </c>
      <c r="F562" s="40" t="s">
        <v>3290</v>
      </c>
      <c r="G562" s="32">
        <v>7697811379</v>
      </c>
      <c r="H562" s="32" t="s">
        <v>3291</v>
      </c>
      <c r="I562" s="32" t="s">
        <v>123</v>
      </c>
      <c r="J562" s="32" t="s">
        <v>109</v>
      </c>
      <c r="K562" s="32" t="s">
        <v>1105</v>
      </c>
      <c r="L562" s="32">
        <v>3.8</v>
      </c>
      <c r="M562" s="32" t="s">
        <v>3292</v>
      </c>
      <c r="N562" s="32">
        <v>4</v>
      </c>
      <c r="O562" s="32">
        <v>0</v>
      </c>
      <c r="P562" s="32">
        <v>8</v>
      </c>
      <c r="Q562" s="32" t="s">
        <v>1556</v>
      </c>
      <c r="R562" s="32" t="s">
        <v>72</v>
      </c>
      <c r="S562" s="32" t="s">
        <v>3293</v>
      </c>
      <c r="T562" s="32" t="s">
        <v>2714</v>
      </c>
      <c r="U562" s="20"/>
      <c r="V562" s="20"/>
      <c r="W562" s="19" t="s">
        <v>74</v>
      </c>
      <c r="X562" s="19" t="s">
        <v>74</v>
      </c>
      <c r="Y562" s="19" t="s">
        <v>70</v>
      </c>
      <c r="Z562" s="20" t="s">
        <v>111</v>
      </c>
      <c r="AA562" s="4">
        <v>45751</v>
      </c>
      <c r="AB562" s="4"/>
      <c r="AC562" s="4"/>
      <c r="AD562" s="19"/>
      <c r="AE562" s="19"/>
      <c r="AF562" s="19"/>
      <c r="AG562" s="4"/>
      <c r="AH562" s="19"/>
      <c r="AI562" s="19"/>
      <c r="AJ562" s="19"/>
      <c r="AK562" s="19"/>
      <c r="AL562" s="19"/>
      <c r="AM562" s="19"/>
      <c r="AN562" s="19"/>
      <c r="AO562" s="19"/>
      <c r="AP562" s="19"/>
      <c r="AQ562" s="19"/>
      <c r="AR562" s="19"/>
      <c r="AS562" s="27"/>
    </row>
    <row r="563" spans="1:45">
      <c r="A563" s="19">
        <f t="shared" si="8"/>
        <v>562</v>
      </c>
      <c r="B563" s="20">
        <v>45751</v>
      </c>
      <c r="C563" s="19" t="s">
        <v>1101</v>
      </c>
      <c r="D563" s="39" t="s">
        <v>1026</v>
      </c>
      <c r="E563" s="54">
        <v>20242803</v>
      </c>
      <c r="F563" s="41" t="s">
        <v>3294</v>
      </c>
      <c r="G563" s="37">
        <v>8118858003</v>
      </c>
      <c r="H563" s="37" t="s">
        <v>3295</v>
      </c>
      <c r="I563" s="37" t="s">
        <v>123</v>
      </c>
      <c r="J563" s="37" t="s">
        <v>114</v>
      </c>
      <c r="K563" s="37" t="s">
        <v>1105</v>
      </c>
      <c r="L563" s="37">
        <v>5</v>
      </c>
      <c r="M563" s="37" t="s">
        <v>2359</v>
      </c>
      <c r="N563" s="37">
        <v>21</v>
      </c>
      <c r="O563" s="37">
        <v>0</v>
      </c>
      <c r="P563" s="37">
        <v>32</v>
      </c>
      <c r="Q563" s="37" t="s">
        <v>3296</v>
      </c>
      <c r="R563" s="37" t="s">
        <v>72</v>
      </c>
      <c r="S563" s="37" t="s">
        <v>1121</v>
      </c>
      <c r="T563" s="37" t="s">
        <v>2714</v>
      </c>
      <c r="U563" s="20"/>
      <c r="V563" s="20"/>
      <c r="W563" s="19" t="s">
        <v>74</v>
      </c>
      <c r="X563" s="19" t="s">
        <v>74</v>
      </c>
      <c r="Y563" s="19" t="s">
        <v>70</v>
      </c>
      <c r="Z563" s="20" t="s">
        <v>111</v>
      </c>
      <c r="AA563" s="4">
        <v>45751</v>
      </c>
      <c r="AB563" s="4"/>
      <c r="AC563" s="4"/>
      <c r="AD563" s="19"/>
      <c r="AE563" s="19"/>
      <c r="AF563" s="19"/>
      <c r="AG563" s="4"/>
      <c r="AH563" s="19"/>
      <c r="AI563" s="19"/>
      <c r="AJ563" s="19"/>
      <c r="AK563" s="19"/>
      <c r="AL563" s="19"/>
      <c r="AM563" s="19"/>
      <c r="AN563" s="19"/>
      <c r="AO563" s="19"/>
      <c r="AP563" s="19"/>
      <c r="AQ563" s="19"/>
      <c r="AR563" s="19"/>
      <c r="AS563" s="27"/>
    </row>
    <row r="564" spans="1:45">
      <c r="A564" s="19">
        <f t="shared" si="8"/>
        <v>563</v>
      </c>
      <c r="B564" s="20">
        <v>45751</v>
      </c>
      <c r="C564" s="19" t="s">
        <v>1101</v>
      </c>
      <c r="D564" s="39" t="s">
        <v>1026</v>
      </c>
      <c r="E564" s="54">
        <v>20242803</v>
      </c>
      <c r="F564" s="41" t="s">
        <v>3297</v>
      </c>
      <c r="G564" s="37">
        <v>8103910507</v>
      </c>
      <c r="H564" s="37" t="s">
        <v>3298</v>
      </c>
      <c r="I564" s="37" t="s">
        <v>86</v>
      </c>
      <c r="J564" s="37" t="s">
        <v>109</v>
      </c>
      <c r="K564" s="37" t="s">
        <v>1105</v>
      </c>
      <c r="L564" s="37">
        <v>3</v>
      </c>
      <c r="M564" s="37" t="s">
        <v>3299</v>
      </c>
      <c r="N564" s="37">
        <v>8</v>
      </c>
      <c r="O564" s="37">
        <v>0</v>
      </c>
      <c r="P564" s="37">
        <v>15</v>
      </c>
      <c r="Q564" s="37" t="s">
        <v>3300</v>
      </c>
      <c r="R564" s="37" t="s">
        <v>72</v>
      </c>
      <c r="S564" s="37" t="s">
        <v>1121</v>
      </c>
      <c r="T564" s="37" t="s">
        <v>2714</v>
      </c>
      <c r="U564" s="20"/>
      <c r="V564" s="20"/>
      <c r="W564" s="19" t="s">
        <v>74</v>
      </c>
      <c r="X564" s="19" t="s">
        <v>74</v>
      </c>
      <c r="Y564" s="19" t="s">
        <v>70</v>
      </c>
      <c r="Z564" s="20" t="s">
        <v>111</v>
      </c>
      <c r="AA564" s="4">
        <v>45751</v>
      </c>
      <c r="AB564" s="4"/>
      <c r="AC564" s="4"/>
      <c r="AD564" s="19"/>
      <c r="AE564" s="19"/>
      <c r="AF564" s="19"/>
      <c r="AG564" s="4"/>
      <c r="AH564" s="19"/>
      <c r="AI564" s="19"/>
      <c r="AJ564" s="19"/>
      <c r="AK564" s="19"/>
      <c r="AL564" s="19"/>
      <c r="AM564" s="19"/>
      <c r="AN564" s="19"/>
      <c r="AO564" s="19"/>
      <c r="AP564" s="19"/>
      <c r="AQ564" s="19"/>
      <c r="AR564" s="19"/>
      <c r="AS564" s="27"/>
    </row>
    <row r="565" spans="1:45">
      <c r="A565" s="19">
        <f t="shared" si="8"/>
        <v>564</v>
      </c>
      <c r="B565" s="20">
        <v>45751</v>
      </c>
      <c r="C565" s="19" t="s">
        <v>1101</v>
      </c>
      <c r="D565" s="39" t="s">
        <v>1026</v>
      </c>
      <c r="E565" s="54">
        <v>20242803</v>
      </c>
      <c r="F565" s="40" t="s">
        <v>3301</v>
      </c>
      <c r="G565" s="32">
        <v>7058383199</v>
      </c>
      <c r="H565" s="35" t="s">
        <v>3302</v>
      </c>
      <c r="I565" s="32" t="s">
        <v>123</v>
      </c>
      <c r="J565" s="32" t="s">
        <v>109</v>
      </c>
      <c r="K565" s="32" t="s">
        <v>1105</v>
      </c>
      <c r="L565" s="32">
        <v>3</v>
      </c>
      <c r="M565" s="32" t="s">
        <v>3303</v>
      </c>
      <c r="N565" s="32">
        <v>5</v>
      </c>
      <c r="O565" s="32">
        <v>0</v>
      </c>
      <c r="P565" s="32">
        <v>9</v>
      </c>
      <c r="Q565" s="32" t="s">
        <v>1552</v>
      </c>
      <c r="R565" s="32" t="s">
        <v>72</v>
      </c>
      <c r="S565" s="32" t="s">
        <v>1139</v>
      </c>
      <c r="T565" s="32" t="s">
        <v>2714</v>
      </c>
      <c r="U565" s="20"/>
      <c r="V565" s="20"/>
      <c r="W565" s="19" t="s">
        <v>74</v>
      </c>
      <c r="X565" s="19" t="s">
        <v>74</v>
      </c>
      <c r="Y565" s="19" t="s">
        <v>70</v>
      </c>
      <c r="Z565" s="20" t="s">
        <v>111</v>
      </c>
      <c r="AA565" s="4">
        <v>45751</v>
      </c>
      <c r="AB565" s="4"/>
      <c r="AC565" s="4"/>
      <c r="AD565" s="19"/>
      <c r="AE565" s="19"/>
      <c r="AF565" s="19"/>
      <c r="AG565" s="4"/>
      <c r="AH565" s="19"/>
      <c r="AI565" s="19"/>
      <c r="AJ565" s="19"/>
      <c r="AK565" s="19"/>
      <c r="AL565" s="19"/>
      <c r="AM565" s="19"/>
      <c r="AN565" s="19"/>
      <c r="AO565" s="19"/>
      <c r="AP565" s="19"/>
      <c r="AQ565" s="19"/>
      <c r="AR565" s="19"/>
      <c r="AS565" s="27"/>
    </row>
    <row r="566" spans="1:45">
      <c r="A566" s="19">
        <f t="shared" si="8"/>
        <v>565</v>
      </c>
      <c r="B566" s="20">
        <v>45751</v>
      </c>
      <c r="C566" s="19" t="s">
        <v>1101</v>
      </c>
      <c r="D566" s="39" t="s">
        <v>1026</v>
      </c>
      <c r="E566" s="54">
        <v>20242803</v>
      </c>
      <c r="F566" s="41" t="s">
        <v>3304</v>
      </c>
      <c r="G566" s="37">
        <v>8983557456</v>
      </c>
      <c r="H566" s="38" t="s">
        <v>1382</v>
      </c>
      <c r="I566" s="37" t="s">
        <v>123</v>
      </c>
      <c r="J566" s="37" t="s">
        <v>109</v>
      </c>
      <c r="K566" s="37" t="s">
        <v>1105</v>
      </c>
      <c r="L566" s="37">
        <v>3.4</v>
      </c>
      <c r="M566" s="37" t="s">
        <v>3305</v>
      </c>
      <c r="N566" s="37">
        <v>7</v>
      </c>
      <c r="O566" s="37">
        <v>0</v>
      </c>
      <c r="P566" s="37">
        <v>11</v>
      </c>
      <c r="Q566" s="37" t="s">
        <v>1276</v>
      </c>
      <c r="R566" s="37" t="s">
        <v>72</v>
      </c>
      <c r="S566" s="37" t="s">
        <v>1139</v>
      </c>
      <c r="T566" s="37" t="s">
        <v>2714</v>
      </c>
      <c r="U566" s="20"/>
      <c r="V566" s="20"/>
      <c r="W566" s="19" t="s">
        <v>74</v>
      </c>
      <c r="X566" s="19" t="s">
        <v>74</v>
      </c>
      <c r="Y566" s="19" t="s">
        <v>70</v>
      </c>
      <c r="Z566" s="20" t="s">
        <v>111</v>
      </c>
      <c r="AA566" s="4">
        <v>45751</v>
      </c>
      <c r="AB566" s="4"/>
      <c r="AC566" s="4"/>
      <c r="AD566" s="19"/>
      <c r="AE566" s="19"/>
      <c r="AF566" s="19"/>
      <c r="AG566" s="4"/>
      <c r="AH566" s="19"/>
      <c r="AI566" s="19"/>
      <c r="AJ566" s="19"/>
      <c r="AK566" s="19"/>
      <c r="AL566" s="19"/>
      <c r="AM566" s="19"/>
      <c r="AN566" s="19"/>
      <c r="AO566" s="19"/>
      <c r="AP566" s="19"/>
      <c r="AQ566" s="19"/>
      <c r="AR566" s="19"/>
      <c r="AS566" s="27"/>
    </row>
    <row r="567" spans="1:45">
      <c r="A567" s="19">
        <f t="shared" si="8"/>
        <v>566</v>
      </c>
      <c r="B567" s="20">
        <v>45749</v>
      </c>
      <c r="C567" s="19" t="s">
        <v>1101</v>
      </c>
      <c r="D567" s="39" t="s">
        <v>1026</v>
      </c>
      <c r="E567" s="45">
        <v>20253846</v>
      </c>
      <c r="F567" s="31" t="s">
        <v>3306</v>
      </c>
      <c r="G567" s="32">
        <v>8308607320</v>
      </c>
      <c r="H567" s="32" t="s">
        <v>3307</v>
      </c>
      <c r="I567" s="32" t="s">
        <v>123</v>
      </c>
      <c r="J567" s="5" t="s">
        <v>88</v>
      </c>
      <c r="K567" s="32" t="s">
        <v>89</v>
      </c>
      <c r="L567" s="32">
        <v>7</v>
      </c>
      <c r="M567" s="32" t="s">
        <v>1447</v>
      </c>
      <c r="N567" s="32">
        <v>12.4</v>
      </c>
      <c r="O567" s="32">
        <v>0</v>
      </c>
      <c r="P567" s="32">
        <v>15</v>
      </c>
      <c r="Q567" s="32" t="s">
        <v>3308</v>
      </c>
      <c r="R567" s="32" t="s">
        <v>72</v>
      </c>
      <c r="S567" s="32" t="s">
        <v>1121</v>
      </c>
      <c r="T567" s="20"/>
      <c r="U567" s="20"/>
      <c r="V567" s="20"/>
      <c r="W567" s="19" t="s">
        <v>74</v>
      </c>
      <c r="X567" s="19" t="s">
        <v>74</v>
      </c>
      <c r="Y567" s="19" t="s">
        <v>70</v>
      </c>
      <c r="Z567" s="20" t="s">
        <v>111</v>
      </c>
      <c r="AA567" s="20">
        <v>45749</v>
      </c>
      <c r="AB567" s="4"/>
      <c r="AC567" s="4"/>
      <c r="AD567" s="19"/>
      <c r="AE567" s="19"/>
      <c r="AF567" s="19"/>
      <c r="AG567" s="4"/>
      <c r="AH567" s="19"/>
      <c r="AI567" s="19"/>
      <c r="AJ567" s="19"/>
      <c r="AK567" s="19"/>
      <c r="AL567" s="19"/>
      <c r="AM567" s="19"/>
      <c r="AN567" s="19"/>
      <c r="AO567" s="19"/>
      <c r="AP567" s="19"/>
      <c r="AQ567" s="19"/>
      <c r="AR567" s="19"/>
      <c r="AS567" s="27"/>
    </row>
    <row r="568" spans="1:45">
      <c r="A568" s="19">
        <f t="shared" si="8"/>
        <v>567</v>
      </c>
      <c r="B568" s="20">
        <v>45749</v>
      </c>
      <c r="C568" s="19" t="s">
        <v>1101</v>
      </c>
      <c r="D568" s="39" t="s">
        <v>1026</v>
      </c>
      <c r="E568" s="45">
        <v>20253846</v>
      </c>
      <c r="F568" s="36" t="s">
        <v>3309</v>
      </c>
      <c r="G568" s="37">
        <v>9066065069</v>
      </c>
      <c r="H568" s="37" t="s">
        <v>3310</v>
      </c>
      <c r="I568" s="37" t="s">
        <v>86</v>
      </c>
      <c r="J568" s="5" t="s">
        <v>88</v>
      </c>
      <c r="K568" s="37" t="s">
        <v>89</v>
      </c>
      <c r="L568" s="37">
        <v>8</v>
      </c>
      <c r="M568" s="37" t="s">
        <v>3311</v>
      </c>
      <c r="N568" s="37">
        <v>10</v>
      </c>
      <c r="O568" s="37">
        <v>0</v>
      </c>
      <c r="P568" s="37">
        <v>14</v>
      </c>
      <c r="Q568" s="37" t="s">
        <v>1562</v>
      </c>
      <c r="R568" s="37" t="s">
        <v>72</v>
      </c>
      <c r="S568" s="37" t="s">
        <v>1139</v>
      </c>
      <c r="T568" s="20"/>
      <c r="U568" s="20"/>
      <c r="V568" s="20"/>
      <c r="W568" s="19" t="s">
        <v>74</v>
      </c>
      <c r="X568" s="19" t="s">
        <v>74</v>
      </c>
      <c r="Y568" s="19" t="s">
        <v>70</v>
      </c>
      <c r="Z568" s="20" t="s">
        <v>111</v>
      </c>
      <c r="AA568" s="20">
        <v>45749</v>
      </c>
      <c r="AB568" s="4"/>
      <c r="AC568" s="4"/>
      <c r="AD568" s="19"/>
      <c r="AE568" s="19"/>
      <c r="AF568" s="19"/>
      <c r="AG568" s="4"/>
      <c r="AH568" s="19"/>
      <c r="AI568" s="19"/>
      <c r="AJ568" s="19"/>
      <c r="AK568" s="19"/>
      <c r="AL568" s="19"/>
      <c r="AM568" s="19"/>
      <c r="AN568" s="19"/>
      <c r="AO568" s="19"/>
      <c r="AP568" s="19"/>
      <c r="AQ568" s="19"/>
      <c r="AR568" s="19"/>
      <c r="AS568" s="27"/>
    </row>
    <row r="569" spans="1:45">
      <c r="A569" s="19">
        <f t="shared" si="8"/>
        <v>568</v>
      </c>
      <c r="B569" s="20">
        <v>45749</v>
      </c>
      <c r="C569" s="19" t="s">
        <v>1101</v>
      </c>
      <c r="D569" s="39" t="s">
        <v>1026</v>
      </c>
      <c r="E569" s="45">
        <v>20253846</v>
      </c>
      <c r="F569" s="36" t="s">
        <v>3312</v>
      </c>
      <c r="G569" s="37">
        <v>9322808602</v>
      </c>
      <c r="H569" s="32" t="s">
        <v>3313</v>
      </c>
      <c r="I569" s="37" t="s">
        <v>123</v>
      </c>
      <c r="J569" s="5" t="s">
        <v>88</v>
      </c>
      <c r="K569" s="37" t="s">
        <v>89</v>
      </c>
      <c r="L569" s="37">
        <v>3</v>
      </c>
      <c r="M569" s="37" t="s">
        <v>3314</v>
      </c>
      <c r="N569" s="37">
        <v>7</v>
      </c>
      <c r="O569" s="37" t="s">
        <v>1057</v>
      </c>
      <c r="P569" s="42">
        <v>0.35</v>
      </c>
      <c r="Q569" s="37" t="s">
        <v>3315</v>
      </c>
      <c r="R569" s="37" t="s">
        <v>72</v>
      </c>
      <c r="S569" s="37" t="s">
        <v>1139</v>
      </c>
      <c r="T569" s="20"/>
      <c r="U569" s="20"/>
      <c r="V569" s="20"/>
      <c r="W569" s="19" t="s">
        <v>74</v>
      </c>
      <c r="X569" s="19" t="s">
        <v>74</v>
      </c>
      <c r="Y569" s="19" t="s">
        <v>70</v>
      </c>
      <c r="Z569" s="20" t="s">
        <v>111</v>
      </c>
      <c r="AA569" s="20">
        <v>45749</v>
      </c>
      <c r="AB569" s="4"/>
      <c r="AC569" s="4"/>
      <c r="AD569" s="19"/>
      <c r="AE569" s="19"/>
      <c r="AF569" s="19"/>
      <c r="AG569" s="4"/>
      <c r="AH569" s="19"/>
      <c r="AI569" s="19"/>
      <c r="AJ569" s="19"/>
      <c r="AK569" s="19"/>
      <c r="AL569" s="19"/>
      <c r="AM569" s="19"/>
      <c r="AN569" s="19"/>
      <c r="AO569" s="19"/>
      <c r="AP569" s="19"/>
      <c r="AQ569" s="19"/>
      <c r="AR569" s="19"/>
      <c r="AS569" s="27"/>
    </row>
    <row r="570" spans="1:45">
      <c r="A570" s="19">
        <f t="shared" si="8"/>
        <v>569</v>
      </c>
      <c r="B570" s="20">
        <v>45750</v>
      </c>
      <c r="C570" s="19" t="s">
        <v>1101</v>
      </c>
      <c r="D570" s="19" t="s">
        <v>961</v>
      </c>
      <c r="E570" s="47">
        <v>20243902</v>
      </c>
      <c r="F570" s="36" t="s">
        <v>3316</v>
      </c>
      <c r="G570" s="46">
        <v>9637764488</v>
      </c>
      <c r="H570" s="32" t="s">
        <v>122</v>
      </c>
      <c r="I570" s="37" t="s">
        <v>123</v>
      </c>
      <c r="J570" s="37" t="s">
        <v>117</v>
      </c>
      <c r="K570" s="37" t="s">
        <v>119</v>
      </c>
      <c r="L570" s="37">
        <v>4</v>
      </c>
      <c r="M570" s="37" t="s">
        <v>1057</v>
      </c>
      <c r="N570" s="37">
        <v>5</v>
      </c>
      <c r="O570" s="37"/>
      <c r="P570" s="37">
        <v>8</v>
      </c>
      <c r="Q570" s="37" t="s">
        <v>3317</v>
      </c>
      <c r="R570" s="37" t="s">
        <v>72</v>
      </c>
      <c r="S570" s="37" t="s">
        <v>1121</v>
      </c>
      <c r="T570" s="20"/>
      <c r="U570" s="20"/>
      <c r="V570" s="20"/>
      <c r="W570" s="19" t="s">
        <v>74</v>
      </c>
      <c r="X570" s="19" t="s">
        <v>74</v>
      </c>
      <c r="Y570" s="19" t="s">
        <v>70</v>
      </c>
      <c r="Z570" s="20" t="s">
        <v>68</v>
      </c>
      <c r="AA570" s="4">
        <v>45726</v>
      </c>
      <c r="AB570" s="4">
        <v>45755</v>
      </c>
      <c r="AC570" s="4"/>
      <c r="AD570" s="19"/>
      <c r="AE570" s="19"/>
      <c r="AF570" s="19"/>
      <c r="AG570" s="4"/>
      <c r="AH570" s="19"/>
      <c r="AI570" s="19"/>
      <c r="AJ570" s="19"/>
      <c r="AK570" s="19"/>
      <c r="AL570" s="19"/>
      <c r="AM570" s="19"/>
      <c r="AN570" s="19"/>
      <c r="AO570" s="19"/>
      <c r="AP570" s="19"/>
      <c r="AQ570" s="19"/>
      <c r="AR570" s="19"/>
      <c r="AS570" s="27"/>
    </row>
    <row r="571" spans="1:45">
      <c r="A571" s="19">
        <f t="shared" si="8"/>
        <v>570</v>
      </c>
      <c r="B571" s="20">
        <v>45750</v>
      </c>
      <c r="C571" s="19" t="s">
        <v>1101</v>
      </c>
      <c r="D571" s="19" t="s">
        <v>961</v>
      </c>
      <c r="E571" s="45">
        <v>20243902</v>
      </c>
      <c r="F571" s="36" t="s">
        <v>3017</v>
      </c>
      <c r="G571" s="53" t="s">
        <v>3018</v>
      </c>
      <c r="H571" s="32" t="s">
        <v>3019</v>
      </c>
      <c r="I571" s="37" t="s">
        <v>86</v>
      </c>
      <c r="J571" s="5" t="s">
        <v>117</v>
      </c>
      <c r="K571" s="37" t="s">
        <v>119</v>
      </c>
      <c r="L571" s="37">
        <v>6</v>
      </c>
      <c r="M571" s="37">
        <v>0</v>
      </c>
      <c r="N571" s="37">
        <v>6.3</v>
      </c>
      <c r="O571" s="37">
        <v>0</v>
      </c>
      <c r="P571" s="37">
        <v>9</v>
      </c>
      <c r="Q571" s="37" t="s">
        <v>2831</v>
      </c>
      <c r="R571" s="37" t="s">
        <v>72</v>
      </c>
      <c r="S571" s="37" t="s">
        <v>1139</v>
      </c>
      <c r="T571" s="20"/>
      <c r="U571" s="20"/>
      <c r="V571" s="20"/>
      <c r="W571" s="19" t="s">
        <v>74</v>
      </c>
      <c r="X571" s="19" t="s">
        <v>74</v>
      </c>
      <c r="Y571" s="19" t="s">
        <v>70</v>
      </c>
      <c r="Z571" s="20" t="s">
        <v>68</v>
      </c>
      <c r="AA571" s="20">
        <v>45726</v>
      </c>
      <c r="AB571" s="4">
        <v>45754</v>
      </c>
      <c r="AC571" s="4"/>
      <c r="AD571" s="19"/>
      <c r="AE571" s="19"/>
      <c r="AF571" s="19"/>
      <c r="AG571" s="4"/>
      <c r="AH571" s="19"/>
      <c r="AI571" s="19"/>
      <c r="AJ571" s="19"/>
      <c r="AK571" s="19"/>
      <c r="AL571" s="19"/>
      <c r="AM571" s="19"/>
      <c r="AN571" s="19"/>
      <c r="AO571" s="19"/>
      <c r="AP571" s="19"/>
      <c r="AQ571" s="19"/>
      <c r="AR571" s="19"/>
      <c r="AS571" s="27"/>
    </row>
    <row r="572" spans="1:45">
      <c r="A572" s="19">
        <f t="shared" si="8"/>
        <v>571</v>
      </c>
      <c r="B572" s="50">
        <v>45748</v>
      </c>
      <c r="C572" s="3" t="s">
        <v>797</v>
      </c>
      <c r="D572" s="3" t="s">
        <v>3318</v>
      </c>
      <c r="E572" s="51">
        <v>20249197</v>
      </c>
      <c r="F572" s="3" t="s">
        <v>3318</v>
      </c>
      <c r="G572" s="51">
        <v>7387317308</v>
      </c>
      <c r="H572" s="3" t="s">
        <v>3319</v>
      </c>
      <c r="I572" s="48" t="s">
        <v>123</v>
      </c>
      <c r="J572" s="3" t="s">
        <v>797</v>
      </c>
      <c r="K572" s="3" t="s">
        <v>3320</v>
      </c>
      <c r="L572" s="3"/>
      <c r="M572" s="3" t="s">
        <v>3321</v>
      </c>
      <c r="N572" s="3" t="s">
        <v>3322</v>
      </c>
      <c r="O572" s="3"/>
      <c r="P572" s="3" t="s">
        <v>3323</v>
      </c>
      <c r="Q572" s="20" t="s">
        <v>72</v>
      </c>
      <c r="R572" s="20" t="s">
        <v>72</v>
      </c>
      <c r="S572" s="3" t="s">
        <v>3324</v>
      </c>
      <c r="T572" s="20"/>
      <c r="U572" s="20"/>
      <c r="V572" s="20"/>
      <c r="W572" s="20" t="s">
        <v>73</v>
      </c>
      <c r="X572" s="20" t="s">
        <v>73</v>
      </c>
      <c r="Y572" s="20" t="s">
        <v>70</v>
      </c>
      <c r="Z572" s="20"/>
      <c r="AA572" s="4"/>
      <c r="AB572" s="4"/>
      <c r="AC572" s="4"/>
      <c r="AD572" s="19"/>
      <c r="AE572" s="19"/>
      <c r="AF572" s="19"/>
      <c r="AG572" s="4"/>
      <c r="AH572" s="19"/>
      <c r="AI572" s="19"/>
      <c r="AJ572" s="19"/>
      <c r="AK572" s="19"/>
      <c r="AL572" s="19"/>
      <c r="AM572" s="19"/>
      <c r="AN572" s="19"/>
      <c r="AO572" s="19"/>
      <c r="AP572" s="19"/>
      <c r="AQ572" s="19"/>
      <c r="AR572" s="19"/>
      <c r="AS572" s="27"/>
    </row>
    <row r="573" spans="1:45">
      <c r="A573" s="19">
        <f t="shared" si="8"/>
        <v>572</v>
      </c>
      <c r="B573" s="50">
        <v>45748</v>
      </c>
      <c r="C573" s="3" t="s">
        <v>797</v>
      </c>
      <c r="D573" s="3" t="s">
        <v>3325</v>
      </c>
      <c r="E573" s="51">
        <v>20249197</v>
      </c>
      <c r="F573" s="3" t="s">
        <v>3325</v>
      </c>
      <c r="G573" s="51" t="s">
        <v>3326</v>
      </c>
      <c r="H573" s="3" t="s">
        <v>3327</v>
      </c>
      <c r="I573" s="48" t="s">
        <v>123</v>
      </c>
      <c r="J573" s="3" t="s">
        <v>797</v>
      </c>
      <c r="K573" s="3" t="s">
        <v>3320</v>
      </c>
      <c r="L573" s="3"/>
      <c r="M573" s="3" t="s">
        <v>3272</v>
      </c>
      <c r="N573" s="3" t="s">
        <v>3269</v>
      </c>
      <c r="O573" s="3"/>
      <c r="P573" s="3" t="s">
        <v>3165</v>
      </c>
      <c r="Q573" s="20" t="s">
        <v>72</v>
      </c>
      <c r="R573" s="20" t="s">
        <v>72</v>
      </c>
      <c r="S573" s="3" t="s">
        <v>3324</v>
      </c>
      <c r="T573" s="20"/>
      <c r="U573" s="20"/>
      <c r="V573" s="20"/>
      <c r="W573" s="20" t="s">
        <v>73</v>
      </c>
      <c r="X573" s="20" t="s">
        <v>73</v>
      </c>
      <c r="Y573" s="20" t="s">
        <v>70</v>
      </c>
      <c r="Z573" s="20"/>
      <c r="AA573" s="4"/>
      <c r="AB573" s="4"/>
      <c r="AC573" s="4"/>
      <c r="AD573" s="19"/>
      <c r="AE573" s="19"/>
      <c r="AF573" s="19"/>
      <c r="AG573" s="4"/>
      <c r="AH573" s="19"/>
      <c r="AI573" s="19"/>
      <c r="AJ573" s="19"/>
      <c r="AK573" s="19"/>
      <c r="AL573" s="19"/>
      <c r="AM573" s="19"/>
      <c r="AN573" s="19"/>
      <c r="AO573" s="19"/>
      <c r="AP573" s="19"/>
      <c r="AQ573" s="19"/>
      <c r="AR573" s="19"/>
      <c r="AS573" s="27"/>
    </row>
    <row r="574" spans="1:45" ht="15.5">
      <c r="A574" s="19">
        <f t="shared" si="8"/>
        <v>573</v>
      </c>
      <c r="B574" s="50">
        <v>45748</v>
      </c>
      <c r="C574" s="3" t="s">
        <v>797</v>
      </c>
      <c r="D574" s="49" t="s">
        <v>3328</v>
      </c>
      <c r="E574" s="51">
        <v>20249197</v>
      </c>
      <c r="F574" s="49" t="s">
        <v>3328</v>
      </c>
      <c r="G574" s="52" t="s">
        <v>3329</v>
      </c>
      <c r="H574" s="3" t="s">
        <v>3330</v>
      </c>
      <c r="I574" s="48" t="s">
        <v>123</v>
      </c>
      <c r="J574" s="3" t="s">
        <v>797</v>
      </c>
      <c r="K574" s="3" t="s">
        <v>3320</v>
      </c>
      <c r="L574" s="3"/>
      <c r="M574" s="3" t="s">
        <v>3331</v>
      </c>
      <c r="N574" s="3" t="s">
        <v>3323</v>
      </c>
      <c r="O574" s="3"/>
      <c r="P574" s="3" t="s">
        <v>3247</v>
      </c>
      <c r="Q574" s="20" t="s">
        <v>72</v>
      </c>
      <c r="R574" s="20" t="s">
        <v>72</v>
      </c>
      <c r="S574" s="3" t="s">
        <v>3324</v>
      </c>
      <c r="T574" s="20"/>
      <c r="U574" s="20"/>
      <c r="V574" s="20"/>
      <c r="W574" s="20" t="s">
        <v>73</v>
      </c>
      <c r="X574" s="20" t="s">
        <v>73</v>
      </c>
      <c r="Y574" s="20" t="s">
        <v>70</v>
      </c>
      <c r="Z574" s="20"/>
      <c r="AA574" s="4"/>
      <c r="AB574" s="4"/>
      <c r="AC574" s="4"/>
      <c r="AD574" s="19"/>
      <c r="AE574" s="19"/>
      <c r="AF574" s="19"/>
      <c r="AG574" s="4"/>
      <c r="AH574" s="19"/>
      <c r="AI574" s="19"/>
      <c r="AJ574" s="19"/>
      <c r="AK574" s="19"/>
      <c r="AL574" s="19"/>
      <c r="AM574" s="19"/>
      <c r="AN574" s="19"/>
      <c r="AO574" s="19"/>
      <c r="AP574" s="19"/>
      <c r="AQ574" s="19"/>
      <c r="AR574" s="19"/>
      <c r="AS574" s="27"/>
    </row>
    <row r="575" spans="1:45">
      <c r="A575" s="19">
        <f t="shared" si="8"/>
        <v>574</v>
      </c>
      <c r="B575" s="50">
        <v>45748</v>
      </c>
      <c r="C575" s="3" t="s">
        <v>797</v>
      </c>
      <c r="D575" s="3" t="s">
        <v>3332</v>
      </c>
      <c r="E575" s="51">
        <v>20249197</v>
      </c>
      <c r="F575" s="3" t="s">
        <v>3332</v>
      </c>
      <c r="G575" s="51">
        <v>8888906366</v>
      </c>
      <c r="H575" s="3" t="s">
        <v>3333</v>
      </c>
      <c r="I575" s="48" t="s">
        <v>123</v>
      </c>
      <c r="J575" s="3" t="s">
        <v>797</v>
      </c>
      <c r="K575" s="3" t="s">
        <v>3320</v>
      </c>
      <c r="L575" s="3"/>
      <c r="M575" s="3" t="s">
        <v>3334</v>
      </c>
      <c r="N575" s="3" t="s">
        <v>3335</v>
      </c>
      <c r="O575" s="3"/>
      <c r="P575" s="3" t="s">
        <v>3323</v>
      </c>
      <c r="Q575" s="20" t="s">
        <v>72</v>
      </c>
      <c r="R575" s="20" t="s">
        <v>72</v>
      </c>
      <c r="S575" s="3" t="s">
        <v>3336</v>
      </c>
      <c r="T575" s="20"/>
      <c r="U575" s="20"/>
      <c r="V575" s="20"/>
      <c r="W575" s="20" t="s">
        <v>73</v>
      </c>
      <c r="X575" s="20" t="s">
        <v>73</v>
      </c>
      <c r="Y575" s="20" t="s">
        <v>70</v>
      </c>
      <c r="Z575" s="20"/>
      <c r="AA575" s="4"/>
      <c r="AB575" s="4"/>
      <c r="AC575" s="4"/>
      <c r="AD575" s="19"/>
      <c r="AE575" s="19"/>
      <c r="AF575" s="19"/>
      <c r="AG575" s="4"/>
      <c r="AH575" s="19"/>
      <c r="AI575" s="19"/>
      <c r="AJ575" s="19"/>
      <c r="AK575" s="19"/>
      <c r="AL575" s="19"/>
      <c r="AM575" s="19"/>
      <c r="AN575" s="19"/>
      <c r="AO575" s="19"/>
      <c r="AP575" s="19"/>
      <c r="AQ575" s="19"/>
      <c r="AR575" s="19"/>
      <c r="AS575" s="27"/>
    </row>
    <row r="577" spans="6:6">
      <c r="F577" s="85"/>
    </row>
    <row r="4971" spans="1:1">
      <c r="A4971" s="5">
        <v>1</v>
      </c>
    </row>
  </sheetData>
  <conditionalFormatting sqref="G550:H550">
    <cfRule type="duplicateValues" dxfId="1" priority="1"/>
  </conditionalFormatting>
  <conditionalFormatting sqref="J576:J1048576 J517:J528 J553:J556">
    <cfRule type="duplicateValues" dxfId="0" priority="2"/>
  </conditionalFormatting>
  <dataValidations count="1">
    <dataValidation type="list" allowBlank="1" showInputMessage="1" showErrorMessage="1" sqref="C560:C4971 J572:J575 C292:C379 C476:C485 C489:C496 C112:C115 C110 W572:W4994 W2:X571 X572:X4998 I550 C117:C290 C531:D550 I517:I526 M572:M575 I576:I4971 I553:I559 I2:I485 Y2:Z4971 C2:C108 D553:D4971 D517:D526 C381:C471 D491:D502 D292:D485 D513:D514 C529:D529 F572:F575 D2:D290 D489" xr:uid="{70FA4731-86F4-42F6-BD0C-05767AC86E84}">
      <formula1>#REF!</formula1>
    </dataValidation>
  </dataValidations>
  <hyperlinks>
    <hyperlink ref="H423" r:id="rId1" xr:uid="{A5909D03-AB3F-45F6-909D-291E5C455C8B}"/>
    <hyperlink ref="H422" r:id="rId2" xr:uid="{B84F37D2-91D8-4421-B878-757937466DFB}"/>
    <hyperlink ref="H312" r:id="rId3" xr:uid="{F19122A5-CB8E-499C-8B6E-EE0EFA626CAC}"/>
    <hyperlink ref="H313" r:id="rId4" xr:uid="{94D44466-7352-4D05-B875-C73A8935DB19}"/>
    <hyperlink ref="H314" r:id="rId5" xr:uid="{D187F156-CDC5-4DB9-8AE4-6D597FBF8C89}"/>
    <hyperlink ref="H315" r:id="rId6" xr:uid="{537A7160-E9BA-44D6-B319-2D6EE1ADAE65}"/>
    <hyperlink ref="H316" r:id="rId7" xr:uid="{37FF8600-B039-4DFF-BEB5-8F6DF14162C0}"/>
    <hyperlink ref="H317" r:id="rId8" xr:uid="{91373BF3-7DF2-4894-9E06-D5D774CDE7FB}"/>
    <hyperlink ref="H318" r:id="rId9" xr:uid="{37E95E7D-EC29-4422-B437-E62101C443F4}"/>
    <hyperlink ref="H319" r:id="rId10" xr:uid="{B986ACDC-17D5-44BA-8F5B-09E816F992FF}"/>
    <hyperlink ref="H320" r:id="rId11" xr:uid="{D4AB9763-05ED-4F6D-878B-ECB6DFF0EEE4}"/>
    <hyperlink ref="H321" r:id="rId12" xr:uid="{7F056927-7258-416C-A9C6-2C27CAA52E53}"/>
    <hyperlink ref="H111" r:id="rId13" xr:uid="{8384FF48-3D40-480E-80A2-ED13ABB8E949}"/>
    <hyperlink ref="H157" r:id="rId14" xr:uid="{71CD32DC-E51A-4C2C-8AA5-BBFEE8EF7928}"/>
    <hyperlink ref="H169" r:id="rId15" xr:uid="{8D392EEF-573B-4215-BEF9-C7CB2030F17A}"/>
    <hyperlink ref="H182" r:id="rId16" xr:uid="{940A50CF-31B2-472D-9B48-47AC9F9E8C21}"/>
    <hyperlink ref="H32" r:id="rId17" xr:uid="{DB4E2D0A-7262-4817-9603-AC4F9B735DC1}"/>
    <hyperlink ref="H46" r:id="rId18" xr:uid="{9F60F8DC-BE6A-41E4-8A66-738937F376C2}"/>
    <hyperlink ref="H41" r:id="rId19" xr:uid="{3BD8C0D7-F67B-486E-A987-D2E66118CEDE}"/>
    <hyperlink ref="H61" r:id="rId20" xr:uid="{CDF8CD3E-52CA-4F43-B026-6F1E96822723}"/>
    <hyperlink ref="H62" r:id="rId21" xr:uid="{AC444C16-1D87-4500-8507-2A9A4D066979}"/>
    <hyperlink ref="H64" r:id="rId22" xr:uid="{4E48174C-CFFC-4E23-98A5-38572E073532}"/>
    <hyperlink ref="H221" r:id="rId23" xr:uid="{313A85FA-B2FD-486A-90AD-64D085466476}"/>
    <hyperlink ref="H156" r:id="rId24" xr:uid="{9BB7BE71-A0CD-4D6B-A5FD-803B2A778964}"/>
    <hyperlink ref="H487" r:id="rId25" xr:uid="{81F0398D-1C21-4430-97CA-E308916BD2D6}"/>
    <hyperlink ref="H503" r:id="rId26" xr:uid="{D5A19139-98CB-4CE2-93B8-B9C7B9275F3B}"/>
    <hyperlink ref="H504" r:id="rId27" xr:uid="{2DD7E8B0-6FEE-4746-9AE0-91D1CFB9FA7F}"/>
    <hyperlink ref="H505" r:id="rId28" xr:uid="{04DB7162-4611-4069-A16F-04E98123F893}"/>
    <hyperlink ref="H507" r:id="rId29" xr:uid="{B12BDDBA-5542-4F20-BD8B-9548B920AE25}"/>
    <hyperlink ref="H511" r:id="rId30" xr:uid="{EC3555C7-96C4-492D-8BA8-38A6FE9CEB1A}"/>
    <hyperlink ref="H520" r:id="rId31" xr:uid="{57B08417-06F6-4DEF-ADFE-DF14696195A9}"/>
    <hyperlink ref="H526" r:id="rId32" xr:uid="{6BF87289-FF6B-4135-AF73-9BAF39F97C56}"/>
    <hyperlink ref="H523" r:id="rId33" xr:uid="{CB1A1111-1C33-443D-AB92-B94679DF8931}"/>
    <hyperlink ref="H529" r:id="rId34" xr:uid="{E373FA15-28FA-4C1E-827C-4E7C3AA05F4D}"/>
    <hyperlink ref="H531" r:id="rId35" xr:uid="{C3CE68C9-47EF-4645-94A0-E6D6F56BFCC7}"/>
    <hyperlink ref="H532" r:id="rId36" xr:uid="{17A34E09-8346-4ACA-9083-EF12A020FB00}"/>
    <hyperlink ref="H533" r:id="rId37" xr:uid="{F4367E74-3BEE-4E41-9F6F-2E9D6BD734C1}"/>
    <hyperlink ref="H534" r:id="rId38" xr:uid="{F808C465-C950-4C86-802C-1E5DEFFE9036}"/>
    <hyperlink ref="H535" r:id="rId39" xr:uid="{96376584-E28D-475E-A676-689FD22CABC9}"/>
    <hyperlink ref="H536" r:id="rId40" xr:uid="{C2122BFA-B55E-4149-986A-1967A037A502}"/>
    <hyperlink ref="H538" r:id="rId41" xr:uid="{F44B33EF-9D3D-40D1-A999-D088D304F403}"/>
    <hyperlink ref="H544" r:id="rId42" xr:uid="{AC228656-A8BA-4B9A-B242-AC00705931EA}"/>
    <hyperlink ref="H550" r:id="rId43" xr:uid="{D7B4F552-65E0-447A-863D-A9C85D4018FF}"/>
    <hyperlink ref="H551" r:id="rId44" tooltip="mailto:akshaywajge56@gmail.com" display="mailto:akshaywajge56@gmail.com" xr:uid="{8C1FF69B-3347-4F90-B7D8-EABDA21491FA}"/>
    <hyperlink ref="H560" r:id="rId45" xr:uid="{C367E904-637B-4A98-8C38-CF4ABC57870C}"/>
    <hyperlink ref="H569" r:id="rId46" xr:uid="{9EF50BEB-774B-4EB5-B533-D2FF71E546BA}"/>
    <hyperlink ref="H570" r:id="rId47" xr:uid="{4842FD43-F4B8-4BF8-8FF4-A96015881141}"/>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B63EB5-E947-4D41-AE61-E3A200B6E8F2}">
  <dimension ref="A1:B17"/>
  <sheetViews>
    <sheetView workbookViewId="0">
      <selection activeCell="A9" sqref="A9"/>
    </sheetView>
  </sheetViews>
  <sheetFormatPr defaultRowHeight="14.5"/>
  <cols>
    <col min="1" max="1" width="15.54296875" bestFit="1" customWidth="1"/>
    <col min="2" max="2" width="10.90625" bestFit="1" customWidth="1"/>
  </cols>
  <sheetData>
    <row r="1" spans="1:2">
      <c r="A1" t="s">
        <v>3337</v>
      </c>
      <c r="B1" t="s">
        <v>3339</v>
      </c>
    </row>
    <row r="2" spans="1:2">
      <c r="A2" t="s">
        <v>3338</v>
      </c>
      <c r="B2">
        <v>20000</v>
      </c>
    </row>
    <row r="3" spans="1:2">
      <c r="A3" t="s">
        <v>3340</v>
      </c>
      <c r="B3">
        <v>20000</v>
      </c>
    </row>
    <row r="4" spans="1:2">
      <c r="A4" t="s">
        <v>3341</v>
      </c>
      <c r="B4">
        <v>20000</v>
      </c>
    </row>
    <row r="5" spans="1:2">
      <c r="A5" t="s">
        <v>3342</v>
      </c>
      <c r="B5">
        <v>20000</v>
      </c>
    </row>
    <row r="6" spans="1:2">
      <c r="A6" t="s">
        <v>3343</v>
      </c>
      <c r="B6">
        <v>20000</v>
      </c>
    </row>
    <row r="9" spans="1:2">
      <c r="A9" t="s">
        <v>3337</v>
      </c>
      <c r="B9" t="s">
        <v>3344</v>
      </c>
    </row>
    <row r="10" spans="1:2">
      <c r="A10" t="s">
        <v>3338</v>
      </c>
      <c r="B10" s="119">
        <v>7.0000000000000007E-2</v>
      </c>
    </row>
    <row r="11" spans="1:2">
      <c r="A11" t="s">
        <v>3340</v>
      </c>
      <c r="B11" s="119">
        <v>7.0000000000000007E-2</v>
      </c>
    </row>
    <row r="12" spans="1:2">
      <c r="A12" t="s">
        <v>3341</v>
      </c>
      <c r="B12" s="119">
        <v>7.0000000000000007E-2</v>
      </c>
    </row>
    <row r="13" spans="1:2">
      <c r="A13" t="s">
        <v>3342</v>
      </c>
      <c r="B13" s="119">
        <v>7.0000000000000007E-2</v>
      </c>
    </row>
    <row r="14" spans="1:2">
      <c r="A14" t="s">
        <v>3343</v>
      </c>
      <c r="B14" s="119">
        <v>7.0000000000000007E-2</v>
      </c>
    </row>
    <row r="16" spans="1:2">
      <c r="A16" t="s">
        <v>3345</v>
      </c>
      <c r="B16" t="s">
        <v>3344</v>
      </c>
    </row>
    <row r="17" spans="1:2">
      <c r="A17" t="s">
        <v>3346</v>
      </c>
      <c r="B17" s="119">
        <v>75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Positions Tracker</vt:lpstr>
      <vt:lpstr>Candidate Tracker</vt:lpstr>
      <vt:lpstr>Contractual</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Chanchal 1</dc:creator>
  <cp:keywords/>
  <dc:description/>
  <cp:lastModifiedBy>Baljeet Singh</cp:lastModifiedBy>
  <cp:revision/>
  <dcterms:created xsi:type="dcterms:W3CDTF">2025-02-27T04:12:02Z</dcterms:created>
  <dcterms:modified xsi:type="dcterms:W3CDTF">2025-12-10T05:32:24Z</dcterms:modified>
  <cp:category/>
  <cp:contentStatus/>
</cp:coreProperties>
</file>