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2420" documentId="14_{1A8CFA67-1CF0-426C-908A-A30607048483}" xr6:coauthVersionLast="47" xr6:coauthVersionMax="47" xr10:uidLastSave="{5D98A5F7-B226-43D0-AA50-B255E1C40F73}"/>
  <bookViews>
    <workbookView xWindow="-120" yWindow="-120" windowWidth="20730" windowHeight="11040" tabRatio="904" firstSheet="4" activeTab="9" xr2:uid="{F8AAF2D4-C4C3-4960-A2A0-065862D27101}"/>
  </bookViews>
  <sheets>
    <sheet name="Revenue_Budget" sheetId="1" r:id="rId1"/>
    <sheet name="CM_Budget" sheetId="15" r:id="rId2"/>
    <sheet name="Target_Rev_Productivity" sheetId="16" r:id="rId3"/>
    <sheet name="Rev_Forecast" sheetId="2" r:id="rId4"/>
    <sheet name="CM_Forecast" sheetId="13" r:id="rId5"/>
    <sheet name="Revenue_Actual" sheetId="3" r:id="rId6"/>
    <sheet name="Mapping" sheetId="29" r:id="rId7"/>
    <sheet name="CM_Actual" sheetId="25" r:id="rId8"/>
    <sheet name="Taggd_Source_Joiner" sheetId="22" r:id="rId9"/>
    <sheet name="Non Taggd Source Joiner" sheetId="23" r:id="rId10"/>
    <sheet name="Rev_Adjustment" sheetId="27" r:id="rId11"/>
    <sheet name="Actual Headcount WL1" sheetId="24" r:id="rId12"/>
    <sheet name="Approved_Headcount" sheetId="18" r:id="rId13"/>
    <sheet name="Actual_Headcount Overall" sheetId="17" r:id="rId14"/>
    <sheet name="Actual_PPC" sheetId="19" r:id="rId15"/>
    <sheet name="Unbilled" sheetId="9" r:id="rId16"/>
    <sheet name="Collection Target" sheetId="10" r:id="rId17"/>
    <sheet name="Revenue_Collected" sheetId="11" r:id="rId18"/>
    <sheet name="Bad Debt" sheetId="31" r:id="rId19"/>
  </sheets>
  <definedNames>
    <definedName name="_xlnm._FilterDatabase" localSheetId="11" hidden="1">'Actual Headcount WL1'!$B$1:$S$58</definedName>
    <definedName name="_xlnm._FilterDatabase" localSheetId="13" hidden="1">'Actual_Headcount Overall'!$B$1:$S$57</definedName>
    <definedName name="_xlnm._FilterDatabase" localSheetId="12" hidden="1">Approved_Headcount!$B$1:$S$56</definedName>
    <definedName name="_xlnm._FilterDatabase" localSheetId="18" hidden="1">'Bad Debt'!$B$1:$S$67</definedName>
    <definedName name="_xlnm._FilterDatabase" localSheetId="1" hidden="1">CM_Budget!$B$1:$S$50</definedName>
    <definedName name="_xlnm._FilterDatabase" localSheetId="4" hidden="1">CM_Forecast!$B$1:$S$57</definedName>
    <definedName name="_xlnm._FilterDatabase" localSheetId="16" hidden="1">'Collection Target'!$B$1:$S$68</definedName>
    <definedName name="_xlnm._FilterDatabase" localSheetId="9" hidden="1">'Non Taggd Source Joiner'!$B$1:$S$57</definedName>
    <definedName name="_xlnm._FilterDatabase" localSheetId="10" hidden="1">Rev_Adjustment!$B$1:$S$57</definedName>
    <definedName name="_xlnm._FilterDatabase" localSheetId="3" hidden="1">Rev_Forecast!$B$1:$S$67</definedName>
    <definedName name="_xlnm._FilterDatabase" localSheetId="5" hidden="1">Revenue_Actual!$A$1:$S$57</definedName>
    <definedName name="_xlnm._FilterDatabase" localSheetId="0" hidden="1">Revenue_Budget!$B$1:$S$58</definedName>
    <definedName name="_xlnm._FilterDatabase" localSheetId="17" hidden="1">Revenue_Collected!$B$1:$S$67</definedName>
    <definedName name="_xlnm._FilterDatabase" localSheetId="8" hidden="1">Taggd_Source_Joiner!$A$1:$S$57</definedName>
    <definedName name="_xlnm._FilterDatabase" localSheetId="2" hidden="1">Target_Rev_Productivity!$B$1:$S$58</definedName>
    <definedName name="_xlnm._FilterDatabase" localSheetId="15" hidden="1">Unbilled!$B$1:$S$56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G2" i="31"/>
  <c r="F2" i="31"/>
  <c r="E2" i="31"/>
  <c r="D2" i="31"/>
  <c r="C2" i="31"/>
  <c r="I1" i="3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G2" i="11"/>
  <c r="F2" i="11"/>
  <c r="E2" i="11"/>
  <c r="D2" i="11"/>
  <c r="C2" i="1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C3" i="10"/>
  <c r="D3" i="10"/>
  <c r="E3" i="10"/>
  <c r="F3" i="10"/>
  <c r="G3" i="10"/>
  <c r="C4" i="10"/>
  <c r="D4" i="10"/>
  <c r="E4" i="10"/>
  <c r="F4" i="10"/>
  <c r="G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E28" i="10"/>
  <c r="F28" i="10"/>
  <c r="G28" i="10"/>
  <c r="C29" i="10"/>
  <c r="D29" i="10"/>
  <c r="E29" i="10"/>
  <c r="F29" i="10"/>
  <c r="G29" i="10"/>
  <c r="C30" i="10"/>
  <c r="D30" i="10"/>
  <c r="E30" i="10"/>
  <c r="F30" i="10"/>
  <c r="G30" i="10"/>
  <c r="C31" i="10"/>
  <c r="D31" i="10"/>
  <c r="E31" i="10"/>
  <c r="F31" i="10"/>
  <c r="G31" i="10"/>
  <c r="C32" i="10"/>
  <c r="D32" i="10"/>
  <c r="E32" i="10"/>
  <c r="F32" i="10"/>
  <c r="G32" i="10"/>
  <c r="C33" i="10"/>
  <c r="D33" i="10"/>
  <c r="E33" i="10"/>
  <c r="F33" i="10"/>
  <c r="G33" i="10"/>
  <c r="C34" i="10"/>
  <c r="D34" i="10"/>
  <c r="E34" i="10"/>
  <c r="F34" i="10"/>
  <c r="G34" i="10"/>
  <c r="C35" i="10"/>
  <c r="D35" i="10"/>
  <c r="E35" i="10"/>
  <c r="F35" i="10"/>
  <c r="G35" i="10"/>
  <c r="C36" i="10"/>
  <c r="D36" i="10"/>
  <c r="E36" i="10"/>
  <c r="F36" i="10"/>
  <c r="G36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3" i="10"/>
  <c r="D43" i="10"/>
  <c r="E43" i="10"/>
  <c r="F43" i="10"/>
  <c r="G43" i="10"/>
  <c r="C44" i="10"/>
  <c r="D44" i="10"/>
  <c r="E44" i="10"/>
  <c r="F44" i="10"/>
  <c r="G44" i="10"/>
  <c r="C45" i="10"/>
  <c r="D45" i="10"/>
  <c r="E45" i="10"/>
  <c r="F45" i="10"/>
  <c r="G45" i="10"/>
  <c r="C46" i="10"/>
  <c r="D46" i="10"/>
  <c r="E46" i="10"/>
  <c r="F46" i="10"/>
  <c r="G46" i="10"/>
  <c r="C47" i="10"/>
  <c r="D47" i="10"/>
  <c r="E47" i="10"/>
  <c r="F47" i="10"/>
  <c r="G47" i="10"/>
  <c r="C48" i="10"/>
  <c r="D48" i="10"/>
  <c r="E48" i="10"/>
  <c r="F48" i="10"/>
  <c r="G48" i="10"/>
  <c r="C49" i="10"/>
  <c r="D49" i="10"/>
  <c r="E49" i="10"/>
  <c r="F49" i="10"/>
  <c r="G49" i="10"/>
  <c r="C50" i="10"/>
  <c r="D50" i="10"/>
  <c r="E50" i="10"/>
  <c r="F50" i="10"/>
  <c r="G50" i="10"/>
  <c r="C51" i="10"/>
  <c r="D51" i="10"/>
  <c r="E51" i="10"/>
  <c r="F51" i="10"/>
  <c r="G51" i="10"/>
  <c r="C52" i="10"/>
  <c r="D52" i="10"/>
  <c r="E52" i="10"/>
  <c r="F52" i="10"/>
  <c r="G52" i="10"/>
  <c r="C53" i="10"/>
  <c r="D53" i="10"/>
  <c r="E53" i="10"/>
  <c r="F53" i="10"/>
  <c r="G53" i="10"/>
  <c r="C54" i="10"/>
  <c r="D54" i="10"/>
  <c r="E54" i="10"/>
  <c r="F54" i="10"/>
  <c r="G54" i="10"/>
  <c r="C55" i="10"/>
  <c r="D55" i="10"/>
  <c r="E55" i="10"/>
  <c r="F55" i="10"/>
  <c r="G55" i="10"/>
  <c r="C56" i="10"/>
  <c r="D56" i="10"/>
  <c r="E56" i="10"/>
  <c r="F56" i="10"/>
  <c r="G56" i="10"/>
  <c r="C57" i="10"/>
  <c r="D57" i="10"/>
  <c r="E57" i="10"/>
  <c r="F57" i="10"/>
  <c r="G57" i="10"/>
  <c r="C58" i="10"/>
  <c r="D58" i="10"/>
  <c r="E58" i="10"/>
  <c r="F58" i="10"/>
  <c r="G58" i="10"/>
  <c r="C59" i="10"/>
  <c r="D59" i="10"/>
  <c r="E59" i="10"/>
  <c r="F59" i="10"/>
  <c r="G59" i="10"/>
  <c r="C60" i="10"/>
  <c r="D60" i="10"/>
  <c r="E60" i="10"/>
  <c r="F60" i="10"/>
  <c r="G60" i="10"/>
  <c r="C61" i="10"/>
  <c r="D61" i="10"/>
  <c r="E61" i="10"/>
  <c r="F61" i="10"/>
  <c r="G61" i="10"/>
  <c r="C62" i="10"/>
  <c r="D62" i="10"/>
  <c r="E62" i="10"/>
  <c r="F62" i="10"/>
  <c r="G62" i="10"/>
  <c r="C63" i="10"/>
  <c r="D63" i="10"/>
  <c r="E63" i="10"/>
  <c r="F63" i="10"/>
  <c r="G63" i="10"/>
  <c r="C64" i="10"/>
  <c r="D64" i="10"/>
  <c r="E64" i="10"/>
  <c r="F64" i="10"/>
  <c r="G64" i="10"/>
  <c r="C65" i="10"/>
  <c r="D65" i="10"/>
  <c r="E65" i="10"/>
  <c r="F65" i="10"/>
  <c r="G65" i="10"/>
  <c r="C66" i="10"/>
  <c r="D66" i="10"/>
  <c r="E66" i="10"/>
  <c r="F66" i="10"/>
  <c r="G66" i="10"/>
  <c r="C67" i="10"/>
  <c r="D67" i="10"/>
  <c r="E67" i="10"/>
  <c r="F67" i="10"/>
  <c r="G67" i="10"/>
  <c r="C68" i="10"/>
  <c r="D68" i="10"/>
  <c r="E68" i="10"/>
  <c r="F68" i="10"/>
  <c r="G68" i="10"/>
  <c r="G2" i="10"/>
  <c r="F2" i="10"/>
  <c r="E2" i="10"/>
  <c r="D2" i="10"/>
  <c r="C2" i="10"/>
  <c r="I1" i="10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G2" i="9"/>
  <c r="F2" i="9"/>
  <c r="E2" i="9"/>
  <c r="D2" i="9"/>
  <c r="C2" i="9"/>
  <c r="I1" i="9"/>
  <c r="J1" i="9" s="1"/>
  <c r="K1" i="9" s="1"/>
  <c r="L1" i="9" s="1"/>
  <c r="M1" i="9" s="1"/>
  <c r="N1" i="9" s="1"/>
  <c r="O1" i="9" s="1"/>
  <c r="P1" i="9" s="1"/>
  <c r="Q1" i="9" s="1"/>
  <c r="R1" i="9" s="1"/>
  <c r="S1" i="9" s="1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G2" i="19"/>
  <c r="F2" i="19"/>
  <c r="E2" i="19"/>
  <c r="D2" i="19"/>
  <c r="C2" i="19"/>
  <c r="I1" i="19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G2" i="17"/>
  <c r="F2" i="17"/>
  <c r="E2" i="17"/>
  <c r="D2" i="17"/>
  <c r="C2" i="17"/>
  <c r="I1" i="17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C12" i="18"/>
  <c r="D12" i="18"/>
  <c r="E12" i="18"/>
  <c r="F12" i="18"/>
  <c r="G12" i="18"/>
  <c r="C13" i="18"/>
  <c r="D13" i="18"/>
  <c r="E13" i="18"/>
  <c r="F13" i="18"/>
  <c r="G13" i="18"/>
  <c r="C14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C17" i="18"/>
  <c r="D17" i="18"/>
  <c r="E17" i="18"/>
  <c r="F17" i="18"/>
  <c r="G17" i="18"/>
  <c r="C18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C21" i="18"/>
  <c r="D21" i="18"/>
  <c r="E21" i="18"/>
  <c r="F21" i="18"/>
  <c r="G21" i="18"/>
  <c r="C22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G2" i="18"/>
  <c r="F2" i="18"/>
  <c r="E2" i="18"/>
  <c r="D2" i="18"/>
  <c r="C2" i="18"/>
  <c r="I1" i="18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G2" i="24"/>
  <c r="F2" i="24"/>
  <c r="E2" i="24"/>
  <c r="D2" i="24"/>
  <c r="C2" i="24"/>
  <c r="I1" i="24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C3" i="27"/>
  <c r="D3" i="27"/>
  <c r="E3" i="27"/>
  <c r="F3" i="27"/>
  <c r="G3" i="27"/>
  <c r="C4" i="27"/>
  <c r="D4" i="27"/>
  <c r="E4" i="27"/>
  <c r="F4" i="27"/>
  <c r="G4" i="27"/>
  <c r="C5" i="27"/>
  <c r="D5" i="27"/>
  <c r="E5" i="27"/>
  <c r="F5" i="27"/>
  <c r="G5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30" i="27"/>
  <c r="D30" i="27"/>
  <c r="E30" i="27"/>
  <c r="F30" i="27"/>
  <c r="G30" i="27"/>
  <c r="C31" i="27"/>
  <c r="D31" i="27"/>
  <c r="E31" i="27"/>
  <c r="F31" i="27"/>
  <c r="G31" i="27"/>
  <c r="C32" i="27"/>
  <c r="D32" i="27"/>
  <c r="E32" i="27"/>
  <c r="F32" i="27"/>
  <c r="G32" i="27"/>
  <c r="C33" i="27"/>
  <c r="D33" i="27"/>
  <c r="E33" i="27"/>
  <c r="F33" i="27"/>
  <c r="G33" i="27"/>
  <c r="C34" i="27"/>
  <c r="D34" i="27"/>
  <c r="E34" i="27"/>
  <c r="F34" i="27"/>
  <c r="G34" i="27"/>
  <c r="C35" i="27"/>
  <c r="D35" i="27"/>
  <c r="E35" i="27"/>
  <c r="F35" i="27"/>
  <c r="G35" i="27"/>
  <c r="C36" i="27"/>
  <c r="D36" i="27"/>
  <c r="E36" i="27"/>
  <c r="F36" i="27"/>
  <c r="G36" i="27"/>
  <c r="C37" i="27"/>
  <c r="D37" i="27"/>
  <c r="E37" i="27"/>
  <c r="F37" i="27"/>
  <c r="G37" i="27"/>
  <c r="C38" i="27"/>
  <c r="D38" i="27"/>
  <c r="E38" i="27"/>
  <c r="F38" i="27"/>
  <c r="G38" i="27"/>
  <c r="C39" i="27"/>
  <c r="D39" i="27"/>
  <c r="E39" i="27"/>
  <c r="F39" i="27"/>
  <c r="G39" i="27"/>
  <c r="C40" i="27"/>
  <c r="D40" i="27"/>
  <c r="E40" i="27"/>
  <c r="F40" i="27"/>
  <c r="G40" i="27"/>
  <c r="C41" i="27"/>
  <c r="D41" i="27"/>
  <c r="E41" i="27"/>
  <c r="F41" i="27"/>
  <c r="G41" i="27"/>
  <c r="C42" i="27"/>
  <c r="D42" i="27"/>
  <c r="E42" i="27"/>
  <c r="F42" i="27"/>
  <c r="G42" i="27"/>
  <c r="C43" i="27"/>
  <c r="D43" i="27"/>
  <c r="E43" i="27"/>
  <c r="F43" i="27"/>
  <c r="G43" i="27"/>
  <c r="C44" i="27"/>
  <c r="D44" i="27"/>
  <c r="E44" i="27"/>
  <c r="F44" i="27"/>
  <c r="G44" i="27"/>
  <c r="C45" i="27"/>
  <c r="D45" i="27"/>
  <c r="E45" i="27"/>
  <c r="F45" i="27"/>
  <c r="G45" i="27"/>
  <c r="C46" i="27"/>
  <c r="D46" i="27"/>
  <c r="E46" i="27"/>
  <c r="F46" i="27"/>
  <c r="G46" i="27"/>
  <c r="C47" i="27"/>
  <c r="D47" i="27"/>
  <c r="E47" i="27"/>
  <c r="F47" i="27"/>
  <c r="G47" i="27"/>
  <c r="C48" i="27"/>
  <c r="D48" i="27"/>
  <c r="E48" i="27"/>
  <c r="F48" i="27"/>
  <c r="G48" i="27"/>
  <c r="C49" i="27"/>
  <c r="D49" i="27"/>
  <c r="E49" i="27"/>
  <c r="F49" i="27"/>
  <c r="G49" i="27"/>
  <c r="C50" i="27"/>
  <c r="D50" i="27"/>
  <c r="E50" i="27"/>
  <c r="F50" i="27"/>
  <c r="G50" i="27"/>
  <c r="C51" i="27"/>
  <c r="D51" i="27"/>
  <c r="E51" i="27"/>
  <c r="F51" i="27"/>
  <c r="G51" i="27"/>
  <c r="C52" i="27"/>
  <c r="D52" i="27"/>
  <c r="E52" i="27"/>
  <c r="F52" i="27"/>
  <c r="G52" i="27"/>
  <c r="C53" i="27"/>
  <c r="D53" i="27"/>
  <c r="E53" i="27"/>
  <c r="F53" i="27"/>
  <c r="G53" i="27"/>
  <c r="C54" i="27"/>
  <c r="D54" i="27"/>
  <c r="E54" i="27"/>
  <c r="F54" i="27"/>
  <c r="G54" i="27"/>
  <c r="C55" i="27"/>
  <c r="D55" i="27"/>
  <c r="E55" i="27"/>
  <c r="F55" i="27"/>
  <c r="G55" i="27"/>
  <c r="C56" i="27"/>
  <c r="D56" i="27"/>
  <c r="E56" i="27"/>
  <c r="F56" i="27"/>
  <c r="G56" i="27"/>
  <c r="C57" i="27"/>
  <c r="D57" i="27"/>
  <c r="E57" i="27"/>
  <c r="F57" i="27"/>
  <c r="G57" i="27"/>
  <c r="G2" i="27"/>
  <c r="F2" i="27"/>
  <c r="E2" i="27"/>
  <c r="D2" i="27"/>
  <c r="C2" i="27"/>
  <c r="I1" i="27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I1" i="23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G2" i="23"/>
  <c r="F2" i="23"/>
  <c r="E2" i="23"/>
  <c r="D2" i="23"/>
  <c r="C2" i="23"/>
  <c r="C3" i="22"/>
  <c r="D3" i="22"/>
  <c r="E3" i="22"/>
  <c r="F3" i="22"/>
  <c r="G3" i="22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G2" i="22"/>
  <c r="F2" i="22"/>
  <c r="E2" i="22"/>
  <c r="D2" i="22"/>
  <c r="C2" i="22"/>
  <c r="I1" i="22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G2" i="25"/>
  <c r="F2" i="25"/>
  <c r="E2" i="25"/>
  <c r="D2" i="25"/>
  <c r="C2" i="25"/>
  <c r="I1" i="25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G2" i="3"/>
  <c r="F2" i="3"/>
  <c r="E2" i="3"/>
  <c r="D2" i="3"/>
  <c r="C2" i="3"/>
  <c r="I1" i="3"/>
  <c r="J1" i="3" s="1"/>
  <c r="K1" i="3" s="1"/>
  <c r="L1" i="3" s="1"/>
  <c r="M1" i="3" s="1"/>
  <c r="N1" i="3" s="1"/>
  <c r="O1" i="3" s="1"/>
  <c r="P1" i="3" s="1"/>
  <c r="Q1" i="3" s="1"/>
  <c r="R1" i="3" s="1"/>
  <c r="S1" i="3" s="1"/>
  <c r="C3" i="13"/>
  <c r="D3" i="13"/>
  <c r="E3" i="13"/>
  <c r="F3" i="13"/>
  <c r="G3" i="13"/>
  <c r="C4" i="13"/>
  <c r="D4" i="13"/>
  <c r="E4" i="13"/>
  <c r="F4" i="13"/>
  <c r="G4" i="13"/>
  <c r="C5" i="13"/>
  <c r="D5" i="13"/>
  <c r="E5" i="13"/>
  <c r="F5" i="13"/>
  <c r="G5" i="13"/>
  <c r="C6" i="13"/>
  <c r="D6" i="13"/>
  <c r="E6" i="13"/>
  <c r="F6" i="13"/>
  <c r="G6" i="13"/>
  <c r="C7" i="13"/>
  <c r="D7" i="13"/>
  <c r="E7" i="13"/>
  <c r="F7" i="13"/>
  <c r="G7" i="13"/>
  <c r="C8" i="13"/>
  <c r="D8" i="13"/>
  <c r="E8" i="13"/>
  <c r="F8" i="13"/>
  <c r="G8" i="13"/>
  <c r="C9" i="13"/>
  <c r="D9" i="13"/>
  <c r="E9" i="13"/>
  <c r="F9" i="13"/>
  <c r="G9" i="13"/>
  <c r="C10" i="13"/>
  <c r="D10" i="13"/>
  <c r="E10" i="13"/>
  <c r="F10" i="13"/>
  <c r="G10" i="13"/>
  <c r="C11" i="13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D14" i="13"/>
  <c r="E14" i="13"/>
  <c r="F14" i="13"/>
  <c r="G14" i="13"/>
  <c r="C15" i="13"/>
  <c r="D15" i="13"/>
  <c r="E15" i="13"/>
  <c r="F15" i="13"/>
  <c r="G15" i="13"/>
  <c r="C16" i="13"/>
  <c r="D16" i="13"/>
  <c r="E16" i="13"/>
  <c r="F16" i="13"/>
  <c r="G16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G20" i="13"/>
  <c r="C21" i="13"/>
  <c r="D21" i="13"/>
  <c r="E21" i="13"/>
  <c r="F21" i="13"/>
  <c r="G21" i="13"/>
  <c r="C22" i="13"/>
  <c r="D22" i="13"/>
  <c r="E22" i="13"/>
  <c r="F22" i="13"/>
  <c r="G22" i="13"/>
  <c r="C23" i="13"/>
  <c r="D23" i="13"/>
  <c r="E23" i="13"/>
  <c r="F23" i="13"/>
  <c r="G23" i="13"/>
  <c r="C24" i="13"/>
  <c r="D24" i="13"/>
  <c r="E24" i="13"/>
  <c r="F24" i="13"/>
  <c r="G24" i="13"/>
  <c r="C25" i="13"/>
  <c r="D25" i="13"/>
  <c r="E25" i="13"/>
  <c r="F25" i="13"/>
  <c r="G25" i="13"/>
  <c r="C26" i="13"/>
  <c r="D26" i="13"/>
  <c r="E26" i="13"/>
  <c r="F26" i="13"/>
  <c r="G26" i="13"/>
  <c r="C27" i="13"/>
  <c r="D27" i="13"/>
  <c r="E27" i="13"/>
  <c r="F27" i="13"/>
  <c r="G27" i="13"/>
  <c r="C28" i="13"/>
  <c r="D28" i="13"/>
  <c r="E28" i="13"/>
  <c r="F28" i="13"/>
  <c r="G28" i="13"/>
  <c r="C29" i="13"/>
  <c r="D29" i="13"/>
  <c r="E29" i="13"/>
  <c r="F29" i="13"/>
  <c r="G29" i="13"/>
  <c r="C30" i="13"/>
  <c r="D30" i="13"/>
  <c r="E30" i="13"/>
  <c r="F30" i="13"/>
  <c r="G30" i="13"/>
  <c r="C31" i="13"/>
  <c r="D31" i="13"/>
  <c r="E31" i="13"/>
  <c r="F31" i="13"/>
  <c r="G31" i="13"/>
  <c r="C32" i="13"/>
  <c r="D32" i="13"/>
  <c r="E32" i="13"/>
  <c r="F32" i="13"/>
  <c r="G32" i="13"/>
  <c r="C33" i="13"/>
  <c r="D33" i="13"/>
  <c r="E33" i="13"/>
  <c r="F33" i="13"/>
  <c r="G33" i="13"/>
  <c r="C34" i="13"/>
  <c r="D34" i="13"/>
  <c r="E34" i="13"/>
  <c r="F34" i="13"/>
  <c r="G34" i="13"/>
  <c r="C35" i="13"/>
  <c r="D35" i="13"/>
  <c r="E35" i="13"/>
  <c r="F35" i="13"/>
  <c r="G35" i="13"/>
  <c r="C36" i="13"/>
  <c r="D36" i="13"/>
  <c r="E36" i="13"/>
  <c r="F36" i="13"/>
  <c r="G36" i="13"/>
  <c r="C37" i="13"/>
  <c r="D37" i="13"/>
  <c r="E37" i="13"/>
  <c r="F37" i="13"/>
  <c r="G37" i="13"/>
  <c r="C38" i="13"/>
  <c r="D38" i="13"/>
  <c r="E38" i="13"/>
  <c r="F38" i="13"/>
  <c r="G38" i="13"/>
  <c r="C39" i="13"/>
  <c r="D39" i="13"/>
  <c r="E39" i="13"/>
  <c r="F39" i="13"/>
  <c r="G39" i="13"/>
  <c r="C40" i="13"/>
  <c r="D40" i="13"/>
  <c r="E40" i="13"/>
  <c r="F40" i="13"/>
  <c r="G40" i="13"/>
  <c r="C41" i="13"/>
  <c r="D41" i="13"/>
  <c r="E41" i="13"/>
  <c r="F41" i="13"/>
  <c r="G41" i="13"/>
  <c r="C42" i="13"/>
  <c r="D42" i="13"/>
  <c r="E42" i="13"/>
  <c r="F42" i="13"/>
  <c r="G42" i="13"/>
  <c r="C43" i="13"/>
  <c r="D43" i="13"/>
  <c r="E43" i="13"/>
  <c r="F43" i="13"/>
  <c r="G43" i="13"/>
  <c r="C44" i="13"/>
  <c r="D44" i="13"/>
  <c r="E44" i="13"/>
  <c r="F44" i="13"/>
  <c r="G44" i="13"/>
  <c r="C45" i="13"/>
  <c r="D45" i="13"/>
  <c r="E45" i="13"/>
  <c r="F45" i="13"/>
  <c r="G45" i="13"/>
  <c r="C46" i="13"/>
  <c r="D46" i="13"/>
  <c r="E46" i="13"/>
  <c r="F46" i="13"/>
  <c r="G46" i="13"/>
  <c r="C47" i="13"/>
  <c r="D47" i="13"/>
  <c r="E47" i="13"/>
  <c r="F47" i="13"/>
  <c r="G47" i="13"/>
  <c r="C48" i="13"/>
  <c r="D48" i="13"/>
  <c r="E48" i="13"/>
  <c r="F48" i="13"/>
  <c r="G48" i="13"/>
  <c r="C49" i="13"/>
  <c r="D49" i="13"/>
  <c r="E49" i="13"/>
  <c r="F49" i="13"/>
  <c r="G49" i="13"/>
  <c r="C50" i="13"/>
  <c r="D50" i="13"/>
  <c r="E50" i="13"/>
  <c r="F50" i="13"/>
  <c r="G50" i="13"/>
  <c r="C51" i="13"/>
  <c r="D51" i="13"/>
  <c r="E51" i="13"/>
  <c r="F51" i="13"/>
  <c r="G5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G2" i="13"/>
  <c r="F2" i="13"/>
  <c r="E2" i="13"/>
  <c r="D2" i="13"/>
  <c r="C2" i="13"/>
  <c r="I1" i="13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G2" i="2"/>
  <c r="F2" i="2"/>
  <c r="E2" i="2"/>
  <c r="D2" i="2"/>
  <c r="C2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C3" i="16"/>
  <c r="D3" i="16"/>
  <c r="E3" i="16"/>
  <c r="F3" i="16"/>
  <c r="G3" i="16"/>
  <c r="C4" i="16"/>
  <c r="D4" i="16"/>
  <c r="E4" i="16"/>
  <c r="F4" i="16"/>
  <c r="G4" i="16"/>
  <c r="C5" i="16"/>
  <c r="D5" i="16"/>
  <c r="E5" i="16"/>
  <c r="F5" i="16"/>
  <c r="G5" i="16"/>
  <c r="C6" i="16"/>
  <c r="D6" i="16"/>
  <c r="E6" i="16"/>
  <c r="F6" i="16"/>
  <c r="G6" i="16"/>
  <c r="C7" i="16"/>
  <c r="D7" i="16"/>
  <c r="E7" i="16"/>
  <c r="F7" i="16"/>
  <c r="G7" i="16"/>
  <c r="C8" i="16"/>
  <c r="D8" i="16"/>
  <c r="E8" i="16"/>
  <c r="F8" i="16"/>
  <c r="G8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C12" i="16"/>
  <c r="D12" i="16"/>
  <c r="E12" i="16"/>
  <c r="F12" i="16"/>
  <c r="G12" i="16"/>
  <c r="C13" i="16"/>
  <c r="D13" i="16"/>
  <c r="E13" i="16"/>
  <c r="F13" i="16"/>
  <c r="G13" i="16"/>
  <c r="C14" i="16"/>
  <c r="D14" i="16"/>
  <c r="E14" i="16"/>
  <c r="F14" i="16"/>
  <c r="G14" i="16"/>
  <c r="C15" i="16"/>
  <c r="D15" i="16"/>
  <c r="E15" i="16"/>
  <c r="F15" i="16"/>
  <c r="G15" i="16"/>
  <c r="C16" i="16"/>
  <c r="D16" i="16"/>
  <c r="E16" i="16"/>
  <c r="F16" i="16"/>
  <c r="G16" i="16"/>
  <c r="C17" i="16"/>
  <c r="D17" i="16"/>
  <c r="E17" i="16"/>
  <c r="F17" i="16"/>
  <c r="G17" i="16"/>
  <c r="C18" i="16"/>
  <c r="D18" i="16"/>
  <c r="E18" i="16"/>
  <c r="F18" i="16"/>
  <c r="G18" i="16"/>
  <c r="C19" i="16"/>
  <c r="D19" i="16"/>
  <c r="E19" i="16"/>
  <c r="F19" i="16"/>
  <c r="G19" i="16"/>
  <c r="C20" i="16"/>
  <c r="D20" i="16"/>
  <c r="E20" i="16"/>
  <c r="F20" i="16"/>
  <c r="G20" i="16"/>
  <c r="C21" i="16"/>
  <c r="D21" i="16"/>
  <c r="E21" i="16"/>
  <c r="F21" i="16"/>
  <c r="G21" i="16"/>
  <c r="C22" i="16"/>
  <c r="D22" i="16"/>
  <c r="E22" i="16"/>
  <c r="F22" i="16"/>
  <c r="G22" i="16"/>
  <c r="C23" i="16"/>
  <c r="D23" i="16"/>
  <c r="E23" i="16"/>
  <c r="F23" i="16"/>
  <c r="G23" i="16"/>
  <c r="C24" i="16"/>
  <c r="D24" i="16"/>
  <c r="E24" i="16"/>
  <c r="F24" i="16"/>
  <c r="G24" i="16"/>
  <c r="C25" i="16"/>
  <c r="D25" i="16"/>
  <c r="E25" i="16"/>
  <c r="F25" i="16"/>
  <c r="G25" i="16"/>
  <c r="C26" i="16"/>
  <c r="D26" i="16"/>
  <c r="E26" i="16"/>
  <c r="F26" i="16"/>
  <c r="G26" i="16"/>
  <c r="C27" i="16"/>
  <c r="D27" i="16"/>
  <c r="E27" i="16"/>
  <c r="F27" i="16"/>
  <c r="G27" i="16"/>
  <c r="C28" i="16"/>
  <c r="D28" i="16"/>
  <c r="E28" i="16"/>
  <c r="F28" i="16"/>
  <c r="G28" i="16"/>
  <c r="C29" i="16"/>
  <c r="D29" i="16"/>
  <c r="E29" i="16"/>
  <c r="F29" i="16"/>
  <c r="G29" i="16"/>
  <c r="C30" i="16"/>
  <c r="D30" i="16"/>
  <c r="E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G2" i="16"/>
  <c r="F2" i="16"/>
  <c r="E2" i="16"/>
  <c r="D2" i="16"/>
  <c r="C2" i="16"/>
  <c r="I1" i="16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G2" i="15"/>
  <c r="F2" i="15"/>
  <c r="E2" i="15"/>
  <c r="D2" i="15"/>
  <c r="C2" i="15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F3" i="1"/>
  <c r="G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F18" i="1"/>
  <c r="G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F42" i="1"/>
  <c r="G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F2" i="1"/>
  <c r="G2" i="1"/>
  <c r="D2" i="1"/>
  <c r="M3" i="18" l="1"/>
  <c r="N3" i="18"/>
  <c r="O3" i="18"/>
  <c r="P3" i="18"/>
  <c r="Q3" i="18"/>
  <c r="R3" i="18"/>
  <c r="S3" i="18"/>
  <c r="H4" i="18"/>
  <c r="I4" i="18"/>
  <c r="J4" i="18"/>
  <c r="K4" i="18"/>
  <c r="M4" i="18"/>
  <c r="N4" i="18"/>
  <c r="O4" i="18"/>
  <c r="P4" i="18"/>
  <c r="Q4" i="18"/>
  <c r="R4" i="18"/>
  <c r="S4" i="18"/>
  <c r="H5" i="18"/>
  <c r="I5" i="18"/>
  <c r="J5" i="18"/>
  <c r="K5" i="18"/>
  <c r="L5" i="18"/>
  <c r="M5" i="18"/>
  <c r="N5" i="18"/>
  <c r="O5" i="18"/>
  <c r="P5" i="18"/>
  <c r="Q5" i="18"/>
  <c r="R5" i="18"/>
  <c r="S5" i="18"/>
  <c r="H6" i="18"/>
  <c r="I6" i="18"/>
  <c r="J6" i="18"/>
  <c r="K6" i="18"/>
  <c r="L6" i="18"/>
  <c r="M6" i="18"/>
  <c r="N6" i="18"/>
  <c r="O6" i="18"/>
  <c r="P6" i="18"/>
  <c r="Q6" i="18"/>
  <c r="R6" i="18"/>
  <c r="S6" i="18"/>
  <c r="H7" i="18"/>
  <c r="I7" i="18"/>
  <c r="J7" i="18"/>
  <c r="K7" i="18"/>
  <c r="L7" i="18"/>
  <c r="M7" i="18"/>
  <c r="N7" i="18"/>
  <c r="O7" i="18"/>
  <c r="P7" i="18"/>
  <c r="Q7" i="18"/>
  <c r="R7" i="18"/>
  <c r="S7" i="18"/>
  <c r="H8" i="18"/>
  <c r="I8" i="18"/>
  <c r="J8" i="18"/>
  <c r="K8" i="18"/>
  <c r="L8" i="18"/>
  <c r="M8" i="18"/>
  <c r="N8" i="18"/>
  <c r="O8" i="18"/>
  <c r="P8" i="18"/>
  <c r="Q8" i="18"/>
  <c r="S8" i="18"/>
  <c r="H9" i="18"/>
  <c r="J9" i="18"/>
  <c r="K9" i="18"/>
  <c r="L9" i="18"/>
  <c r="M9" i="18"/>
  <c r="N9" i="18"/>
  <c r="O9" i="18"/>
  <c r="P9" i="18"/>
  <c r="Q9" i="18"/>
  <c r="R9" i="18"/>
  <c r="S9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I12" i="18"/>
  <c r="J12" i="18"/>
  <c r="K12" i="18"/>
  <c r="L12" i="18"/>
  <c r="M12" i="18"/>
  <c r="N12" i="18"/>
  <c r="O12" i="18"/>
  <c r="P12" i="18"/>
  <c r="Q12" i="18"/>
  <c r="R12" i="18"/>
  <c r="S12" i="18"/>
  <c r="H13" i="18"/>
  <c r="I13" i="18"/>
  <c r="J13" i="18"/>
  <c r="K13" i="18"/>
  <c r="L13" i="18"/>
  <c r="M13" i="18"/>
  <c r="N13" i="18"/>
  <c r="O13" i="18"/>
  <c r="P13" i="18"/>
  <c r="Q13" i="18"/>
  <c r="S13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H19" i="18"/>
  <c r="I19" i="18"/>
  <c r="J19" i="18"/>
  <c r="K19" i="18"/>
  <c r="L19" i="18"/>
  <c r="M19" i="18"/>
  <c r="N19" i="18"/>
  <c r="O19" i="18"/>
  <c r="P19" i="18"/>
  <c r="Q19" i="18"/>
  <c r="S19" i="18"/>
  <c r="I20" i="18"/>
  <c r="J20" i="18"/>
  <c r="K20" i="18"/>
  <c r="L20" i="18"/>
  <c r="M20" i="18"/>
  <c r="N20" i="18"/>
  <c r="O20" i="18"/>
  <c r="P20" i="18"/>
  <c r="Q20" i="18"/>
  <c r="R20" i="18"/>
  <c r="S20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H31" i="18"/>
  <c r="I31" i="18"/>
  <c r="J31" i="18"/>
  <c r="K31" i="18"/>
  <c r="L31" i="18"/>
  <c r="M31" i="18"/>
  <c r="N31" i="18"/>
  <c r="O31" i="18"/>
  <c r="P31" i="18"/>
  <c r="Q31" i="18"/>
  <c r="S31" i="18"/>
  <c r="H32" i="18"/>
  <c r="I32" i="18"/>
  <c r="J32" i="18"/>
  <c r="K32" i="18"/>
  <c r="M32" i="18"/>
  <c r="N32" i="18"/>
  <c r="O32" i="18"/>
  <c r="P32" i="18"/>
  <c r="Q32" i="18"/>
  <c r="R32" i="18"/>
  <c r="S32" i="18"/>
  <c r="H33" i="18"/>
  <c r="J33" i="18"/>
  <c r="K33" i="18"/>
  <c r="L33" i="18"/>
  <c r="M33" i="18"/>
  <c r="N33" i="18"/>
  <c r="O33" i="18"/>
  <c r="P33" i="18"/>
  <c r="Q33" i="18"/>
  <c r="R33" i="18"/>
  <c r="S33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H46" i="18"/>
  <c r="J46" i="18"/>
  <c r="K46" i="18"/>
  <c r="L46" i="18"/>
  <c r="M46" i="18"/>
  <c r="N46" i="18"/>
  <c r="O46" i="18"/>
  <c r="P46" i="18"/>
  <c r="Q46" i="18"/>
  <c r="R46" i="18"/>
  <c r="S46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H49" i="18"/>
  <c r="J49" i="18"/>
  <c r="L49" i="18"/>
  <c r="M49" i="18"/>
  <c r="N49" i="18"/>
  <c r="O49" i="18"/>
  <c r="P49" i="18"/>
  <c r="Q49" i="18"/>
  <c r="R49" i="18"/>
  <c r="S49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I2" i="18"/>
  <c r="J2" i="18"/>
  <c r="K2" i="18"/>
  <c r="L2" i="18"/>
  <c r="M2" i="18"/>
  <c r="N2" i="18"/>
  <c r="O2" i="18"/>
  <c r="P2" i="18"/>
  <c r="Q2" i="18"/>
  <c r="R2" i="18"/>
  <c r="S2" i="18"/>
  <c r="H2" i="18"/>
  <c r="H3" i="18"/>
  <c r="I3" i="18"/>
  <c r="J3" i="18"/>
  <c r="K3" i="18"/>
  <c r="L3" i="18"/>
  <c r="L4" i="18"/>
  <c r="R8" i="18"/>
  <c r="I9" i="18"/>
  <c r="H12" i="18"/>
  <c r="R13" i="18"/>
  <c r="R19" i="18"/>
  <c r="H20" i="18"/>
  <c r="R31" i="18"/>
  <c r="L32" i="18"/>
  <c r="I33" i="18"/>
  <c r="I46" i="18"/>
  <c r="I49" i="18"/>
  <c r="K49" i="18"/>
  <c r="S57" i="9"/>
  <c r="H58" i="15"/>
  <c r="I58" i="15"/>
  <c r="J58" i="15"/>
  <c r="K58" i="15"/>
  <c r="L58" i="15"/>
  <c r="M58" i="15"/>
  <c r="N58" i="15"/>
  <c r="O58" i="15"/>
  <c r="P58" i="15"/>
  <c r="Q58" i="15"/>
  <c r="R58" i="15"/>
  <c r="S58" i="15"/>
  <c r="H3" i="15"/>
  <c r="H3" i="13" s="1"/>
  <c r="I3" i="15"/>
  <c r="I3" i="13" s="1"/>
  <c r="J3" i="15"/>
  <c r="J3" i="13" s="1"/>
  <c r="K3" i="15"/>
  <c r="K3" i="13" s="1"/>
  <c r="L3" i="15"/>
  <c r="L3" i="13" s="1"/>
  <c r="M3" i="15"/>
  <c r="M3" i="13" s="1"/>
  <c r="N3" i="15"/>
  <c r="N3" i="13" s="1"/>
  <c r="O3" i="15"/>
  <c r="O3" i="13" s="1"/>
  <c r="P3" i="15"/>
  <c r="P3" i="13" s="1"/>
  <c r="Q3" i="15"/>
  <c r="Q3" i="13" s="1"/>
  <c r="R3" i="15"/>
  <c r="R3" i="13" s="1"/>
  <c r="S3" i="15"/>
  <c r="S3" i="13" s="1"/>
  <c r="H4" i="15"/>
  <c r="H4" i="13" s="1"/>
  <c r="I4" i="15"/>
  <c r="I4" i="13" s="1"/>
  <c r="J4" i="15"/>
  <c r="J4" i="13" s="1"/>
  <c r="K4" i="15"/>
  <c r="K4" i="13" s="1"/>
  <c r="L4" i="15"/>
  <c r="L4" i="13" s="1"/>
  <c r="M4" i="15"/>
  <c r="M4" i="13" s="1"/>
  <c r="N4" i="15"/>
  <c r="N4" i="13" s="1"/>
  <c r="O4" i="15"/>
  <c r="O4" i="13" s="1"/>
  <c r="P4" i="15"/>
  <c r="P4" i="13" s="1"/>
  <c r="Q4" i="15"/>
  <c r="Q4" i="13" s="1"/>
  <c r="R4" i="15"/>
  <c r="R4" i="13" s="1"/>
  <c r="S4" i="15"/>
  <c r="S4" i="13" s="1"/>
  <c r="H5" i="15"/>
  <c r="H5" i="13" s="1"/>
  <c r="I5" i="15"/>
  <c r="I5" i="13" s="1"/>
  <c r="J5" i="15"/>
  <c r="J5" i="13" s="1"/>
  <c r="K5" i="15"/>
  <c r="K5" i="13" s="1"/>
  <c r="L5" i="15"/>
  <c r="L5" i="13" s="1"/>
  <c r="M5" i="15"/>
  <c r="M5" i="13" s="1"/>
  <c r="N5" i="15"/>
  <c r="N5" i="13" s="1"/>
  <c r="O5" i="15"/>
  <c r="O5" i="13" s="1"/>
  <c r="P5" i="15"/>
  <c r="P5" i="13" s="1"/>
  <c r="Q5" i="15"/>
  <c r="Q5" i="13" s="1"/>
  <c r="R5" i="15"/>
  <c r="R5" i="13" s="1"/>
  <c r="S5" i="15"/>
  <c r="S5" i="13" s="1"/>
  <c r="H6" i="15"/>
  <c r="H6" i="13" s="1"/>
  <c r="I6" i="15"/>
  <c r="I6" i="13" s="1"/>
  <c r="J6" i="15"/>
  <c r="J6" i="13" s="1"/>
  <c r="K6" i="15"/>
  <c r="K6" i="13" s="1"/>
  <c r="L6" i="15"/>
  <c r="L6" i="13" s="1"/>
  <c r="M6" i="15"/>
  <c r="M6" i="13" s="1"/>
  <c r="N6" i="15"/>
  <c r="N6" i="13" s="1"/>
  <c r="O6" i="15"/>
  <c r="O6" i="13" s="1"/>
  <c r="P6" i="15"/>
  <c r="P6" i="13" s="1"/>
  <c r="Q6" i="15"/>
  <c r="Q6" i="13" s="1"/>
  <c r="R6" i="15"/>
  <c r="R6" i="13" s="1"/>
  <c r="S6" i="15"/>
  <c r="S6" i="13" s="1"/>
  <c r="H7" i="15"/>
  <c r="H7" i="13" s="1"/>
  <c r="I7" i="15"/>
  <c r="I7" i="13" s="1"/>
  <c r="J7" i="15"/>
  <c r="J7" i="13" s="1"/>
  <c r="K7" i="15"/>
  <c r="K7" i="13" s="1"/>
  <c r="L7" i="15"/>
  <c r="L7" i="13" s="1"/>
  <c r="M7" i="15"/>
  <c r="M7" i="13" s="1"/>
  <c r="N7" i="15"/>
  <c r="N7" i="13" s="1"/>
  <c r="O7" i="15"/>
  <c r="O7" i="13" s="1"/>
  <c r="P7" i="15"/>
  <c r="P7" i="13" s="1"/>
  <c r="Q7" i="15"/>
  <c r="Q7" i="13" s="1"/>
  <c r="R7" i="15"/>
  <c r="R7" i="13" s="1"/>
  <c r="S7" i="15"/>
  <c r="S7" i="13" s="1"/>
  <c r="H8" i="15"/>
  <c r="H8" i="13" s="1"/>
  <c r="I8" i="15"/>
  <c r="I8" i="13" s="1"/>
  <c r="J8" i="15"/>
  <c r="J8" i="13" s="1"/>
  <c r="K8" i="15"/>
  <c r="K8" i="13" s="1"/>
  <c r="L8" i="15"/>
  <c r="L8" i="13" s="1"/>
  <c r="M8" i="15"/>
  <c r="M8" i="13" s="1"/>
  <c r="N8" i="15"/>
  <c r="N8" i="13" s="1"/>
  <c r="O8" i="15"/>
  <c r="O8" i="13" s="1"/>
  <c r="P8" i="15"/>
  <c r="P8" i="13" s="1"/>
  <c r="Q8" i="15"/>
  <c r="Q8" i="13" s="1"/>
  <c r="R8" i="15"/>
  <c r="R8" i="13" s="1"/>
  <c r="S8" i="15"/>
  <c r="S8" i="13" s="1"/>
  <c r="H9" i="15"/>
  <c r="H9" i="13" s="1"/>
  <c r="I9" i="15"/>
  <c r="I9" i="13" s="1"/>
  <c r="J9" i="15"/>
  <c r="J9" i="13" s="1"/>
  <c r="K9" i="15"/>
  <c r="K9" i="13" s="1"/>
  <c r="L9" i="15"/>
  <c r="L9" i="13" s="1"/>
  <c r="M9" i="15"/>
  <c r="M9" i="13" s="1"/>
  <c r="N9" i="15"/>
  <c r="N9" i="13" s="1"/>
  <c r="O9" i="15"/>
  <c r="O9" i="13" s="1"/>
  <c r="P9" i="15"/>
  <c r="P9" i="13" s="1"/>
  <c r="Q9" i="15"/>
  <c r="Q9" i="13" s="1"/>
  <c r="R9" i="15"/>
  <c r="R9" i="13" s="1"/>
  <c r="S9" i="15"/>
  <c r="S9" i="13" s="1"/>
  <c r="H10" i="15"/>
  <c r="H10" i="13" s="1"/>
  <c r="I10" i="15"/>
  <c r="I10" i="13" s="1"/>
  <c r="J10" i="15"/>
  <c r="J10" i="13" s="1"/>
  <c r="K10" i="15"/>
  <c r="K10" i="13" s="1"/>
  <c r="L10" i="15"/>
  <c r="L10" i="13" s="1"/>
  <c r="M10" i="15"/>
  <c r="M10" i="13" s="1"/>
  <c r="N10" i="15"/>
  <c r="N10" i="13" s="1"/>
  <c r="O10" i="15"/>
  <c r="O10" i="13" s="1"/>
  <c r="P10" i="15"/>
  <c r="P10" i="13" s="1"/>
  <c r="Q10" i="15"/>
  <c r="Q10" i="13" s="1"/>
  <c r="R10" i="15"/>
  <c r="R10" i="13" s="1"/>
  <c r="S10" i="15"/>
  <c r="S10" i="13" s="1"/>
  <c r="H11" i="15"/>
  <c r="H11" i="13" s="1"/>
  <c r="I11" i="15"/>
  <c r="I11" i="13" s="1"/>
  <c r="J11" i="15"/>
  <c r="J11" i="13" s="1"/>
  <c r="K11" i="15"/>
  <c r="K11" i="13" s="1"/>
  <c r="L11" i="15"/>
  <c r="L11" i="13" s="1"/>
  <c r="M11" i="15"/>
  <c r="M11" i="13" s="1"/>
  <c r="N11" i="15"/>
  <c r="N11" i="13" s="1"/>
  <c r="O11" i="15"/>
  <c r="O11" i="13" s="1"/>
  <c r="P11" i="15"/>
  <c r="P11" i="13" s="1"/>
  <c r="Q11" i="15"/>
  <c r="Q11" i="13" s="1"/>
  <c r="R11" i="15"/>
  <c r="R11" i="13" s="1"/>
  <c r="S11" i="15"/>
  <c r="S11" i="13" s="1"/>
  <c r="H12" i="15"/>
  <c r="H12" i="13" s="1"/>
  <c r="I12" i="15"/>
  <c r="I12" i="13" s="1"/>
  <c r="J12" i="15"/>
  <c r="J12" i="13" s="1"/>
  <c r="K12" i="15"/>
  <c r="K12" i="13" s="1"/>
  <c r="L12" i="15"/>
  <c r="L12" i="13" s="1"/>
  <c r="M12" i="15"/>
  <c r="M12" i="13" s="1"/>
  <c r="N12" i="15"/>
  <c r="N12" i="13" s="1"/>
  <c r="O12" i="15"/>
  <c r="O12" i="13" s="1"/>
  <c r="P12" i="15"/>
  <c r="P12" i="13" s="1"/>
  <c r="Q12" i="15"/>
  <c r="Q12" i="13" s="1"/>
  <c r="R12" i="15"/>
  <c r="R12" i="13" s="1"/>
  <c r="S12" i="15"/>
  <c r="S12" i="13" s="1"/>
  <c r="H13" i="15"/>
  <c r="H13" i="13" s="1"/>
  <c r="I13" i="15"/>
  <c r="I13" i="13" s="1"/>
  <c r="J13" i="15"/>
  <c r="J13" i="13" s="1"/>
  <c r="K13" i="15"/>
  <c r="K13" i="13" s="1"/>
  <c r="L13" i="15"/>
  <c r="L13" i="13" s="1"/>
  <c r="M13" i="15"/>
  <c r="M13" i="13" s="1"/>
  <c r="N13" i="15"/>
  <c r="N13" i="13" s="1"/>
  <c r="O13" i="15"/>
  <c r="O13" i="13" s="1"/>
  <c r="P13" i="15"/>
  <c r="P13" i="13" s="1"/>
  <c r="Q13" i="15"/>
  <c r="Q13" i="13" s="1"/>
  <c r="R13" i="15"/>
  <c r="R13" i="13" s="1"/>
  <c r="S13" i="15"/>
  <c r="S13" i="13" s="1"/>
  <c r="H14" i="15"/>
  <c r="H14" i="13" s="1"/>
  <c r="I14" i="15"/>
  <c r="I14" i="13" s="1"/>
  <c r="J14" i="15"/>
  <c r="J14" i="13" s="1"/>
  <c r="K14" i="15"/>
  <c r="K14" i="13" s="1"/>
  <c r="L14" i="15"/>
  <c r="L14" i="13" s="1"/>
  <c r="M14" i="15"/>
  <c r="M14" i="13" s="1"/>
  <c r="N14" i="15"/>
  <c r="N14" i="13" s="1"/>
  <c r="O14" i="15"/>
  <c r="O14" i="13" s="1"/>
  <c r="P14" i="15"/>
  <c r="P14" i="13" s="1"/>
  <c r="Q14" i="15"/>
  <c r="Q14" i="13" s="1"/>
  <c r="R14" i="15"/>
  <c r="R14" i="13" s="1"/>
  <c r="S14" i="15"/>
  <c r="S14" i="13" s="1"/>
  <c r="H15" i="15"/>
  <c r="H15" i="13" s="1"/>
  <c r="I15" i="15"/>
  <c r="I15" i="13" s="1"/>
  <c r="J15" i="15"/>
  <c r="J15" i="13" s="1"/>
  <c r="K15" i="15"/>
  <c r="K15" i="13" s="1"/>
  <c r="L15" i="15"/>
  <c r="L15" i="13" s="1"/>
  <c r="M15" i="15"/>
  <c r="M15" i="13" s="1"/>
  <c r="N15" i="15"/>
  <c r="N15" i="13" s="1"/>
  <c r="O15" i="15"/>
  <c r="O15" i="13" s="1"/>
  <c r="P15" i="15"/>
  <c r="P15" i="13" s="1"/>
  <c r="Q15" i="15"/>
  <c r="Q15" i="13" s="1"/>
  <c r="R15" i="15"/>
  <c r="R15" i="13" s="1"/>
  <c r="S15" i="15"/>
  <c r="S15" i="13" s="1"/>
  <c r="H16" i="15"/>
  <c r="H16" i="13" s="1"/>
  <c r="I16" i="15"/>
  <c r="I16" i="13" s="1"/>
  <c r="J16" i="15"/>
  <c r="J16" i="13" s="1"/>
  <c r="K16" i="15"/>
  <c r="K16" i="13" s="1"/>
  <c r="L16" i="15"/>
  <c r="L16" i="13" s="1"/>
  <c r="M16" i="15"/>
  <c r="M16" i="13" s="1"/>
  <c r="N16" i="15"/>
  <c r="N16" i="13" s="1"/>
  <c r="O16" i="15"/>
  <c r="O16" i="13" s="1"/>
  <c r="P16" i="15"/>
  <c r="P16" i="13" s="1"/>
  <c r="Q16" i="15"/>
  <c r="Q16" i="13" s="1"/>
  <c r="R16" i="15"/>
  <c r="R16" i="13" s="1"/>
  <c r="S16" i="15"/>
  <c r="S16" i="13" s="1"/>
  <c r="H17" i="15"/>
  <c r="H17" i="13" s="1"/>
  <c r="I17" i="15"/>
  <c r="I17" i="13" s="1"/>
  <c r="J17" i="15"/>
  <c r="J17" i="13" s="1"/>
  <c r="K17" i="15"/>
  <c r="K17" i="13" s="1"/>
  <c r="L17" i="15"/>
  <c r="L17" i="13" s="1"/>
  <c r="M17" i="15"/>
  <c r="M17" i="13" s="1"/>
  <c r="N17" i="15"/>
  <c r="N17" i="13" s="1"/>
  <c r="O17" i="15"/>
  <c r="O17" i="13" s="1"/>
  <c r="P17" i="15"/>
  <c r="P17" i="13" s="1"/>
  <c r="Q17" i="15"/>
  <c r="Q17" i="13" s="1"/>
  <c r="R17" i="15"/>
  <c r="R17" i="13" s="1"/>
  <c r="S17" i="15"/>
  <c r="S17" i="13" s="1"/>
  <c r="H18" i="15"/>
  <c r="H18" i="13" s="1"/>
  <c r="I18" i="15"/>
  <c r="I18" i="13" s="1"/>
  <c r="J18" i="15"/>
  <c r="J18" i="13" s="1"/>
  <c r="K18" i="15"/>
  <c r="K18" i="13" s="1"/>
  <c r="L18" i="15"/>
  <c r="L18" i="13" s="1"/>
  <c r="M18" i="15"/>
  <c r="M18" i="13" s="1"/>
  <c r="N18" i="15"/>
  <c r="N18" i="13" s="1"/>
  <c r="O18" i="15"/>
  <c r="O18" i="13" s="1"/>
  <c r="P18" i="15"/>
  <c r="P18" i="13" s="1"/>
  <c r="Q18" i="15"/>
  <c r="Q18" i="13" s="1"/>
  <c r="R18" i="15"/>
  <c r="R18" i="13" s="1"/>
  <c r="S18" i="15"/>
  <c r="S18" i="13" s="1"/>
  <c r="H19" i="15"/>
  <c r="H19" i="13" s="1"/>
  <c r="I19" i="15"/>
  <c r="I19" i="13" s="1"/>
  <c r="J19" i="15"/>
  <c r="J19" i="13" s="1"/>
  <c r="K19" i="15"/>
  <c r="K19" i="13" s="1"/>
  <c r="L19" i="15"/>
  <c r="L19" i="13" s="1"/>
  <c r="M19" i="15"/>
  <c r="M19" i="13" s="1"/>
  <c r="N19" i="15"/>
  <c r="N19" i="13" s="1"/>
  <c r="O19" i="15"/>
  <c r="O19" i="13" s="1"/>
  <c r="P19" i="15"/>
  <c r="P19" i="13" s="1"/>
  <c r="Q19" i="15"/>
  <c r="Q19" i="13" s="1"/>
  <c r="R19" i="15"/>
  <c r="R19" i="13" s="1"/>
  <c r="S19" i="15"/>
  <c r="S19" i="13" s="1"/>
  <c r="H20" i="15"/>
  <c r="H20" i="13" s="1"/>
  <c r="I20" i="15"/>
  <c r="I20" i="13" s="1"/>
  <c r="J20" i="15"/>
  <c r="J20" i="13" s="1"/>
  <c r="K20" i="15"/>
  <c r="K20" i="13" s="1"/>
  <c r="L20" i="15"/>
  <c r="L20" i="13" s="1"/>
  <c r="M20" i="15"/>
  <c r="M20" i="13" s="1"/>
  <c r="N20" i="15"/>
  <c r="N20" i="13" s="1"/>
  <c r="O20" i="15"/>
  <c r="O20" i="13" s="1"/>
  <c r="P20" i="15"/>
  <c r="P20" i="13" s="1"/>
  <c r="Q20" i="15"/>
  <c r="Q20" i="13" s="1"/>
  <c r="R20" i="15"/>
  <c r="R20" i="13" s="1"/>
  <c r="S20" i="15"/>
  <c r="S20" i="13" s="1"/>
  <c r="H21" i="15"/>
  <c r="H21" i="13" s="1"/>
  <c r="I21" i="15"/>
  <c r="I21" i="13" s="1"/>
  <c r="J21" i="15"/>
  <c r="J21" i="13" s="1"/>
  <c r="K21" i="15"/>
  <c r="K21" i="13" s="1"/>
  <c r="L21" i="15"/>
  <c r="L21" i="13" s="1"/>
  <c r="M21" i="15"/>
  <c r="M21" i="13" s="1"/>
  <c r="N21" i="15"/>
  <c r="N21" i="13" s="1"/>
  <c r="O21" i="15"/>
  <c r="O21" i="13" s="1"/>
  <c r="P21" i="15"/>
  <c r="P21" i="13" s="1"/>
  <c r="Q21" i="15"/>
  <c r="Q21" i="13" s="1"/>
  <c r="R21" i="15"/>
  <c r="R21" i="13" s="1"/>
  <c r="S21" i="15"/>
  <c r="S21" i="13" s="1"/>
  <c r="H22" i="15"/>
  <c r="H22" i="13" s="1"/>
  <c r="I22" i="15"/>
  <c r="I22" i="13" s="1"/>
  <c r="J22" i="15"/>
  <c r="J22" i="13" s="1"/>
  <c r="K22" i="15"/>
  <c r="K22" i="13" s="1"/>
  <c r="L22" i="15"/>
  <c r="L22" i="13" s="1"/>
  <c r="M22" i="15"/>
  <c r="M22" i="13" s="1"/>
  <c r="N22" i="15"/>
  <c r="N22" i="13" s="1"/>
  <c r="O22" i="15"/>
  <c r="O22" i="13" s="1"/>
  <c r="P22" i="15"/>
  <c r="P22" i="13" s="1"/>
  <c r="Q22" i="15"/>
  <c r="Q22" i="13" s="1"/>
  <c r="R22" i="15"/>
  <c r="R22" i="13" s="1"/>
  <c r="S22" i="15"/>
  <c r="S22" i="13" s="1"/>
  <c r="H23" i="15"/>
  <c r="H23" i="13" s="1"/>
  <c r="I23" i="15"/>
  <c r="I23" i="13" s="1"/>
  <c r="J23" i="15"/>
  <c r="J23" i="13" s="1"/>
  <c r="K23" i="15"/>
  <c r="K23" i="13" s="1"/>
  <c r="L23" i="15"/>
  <c r="L23" i="13" s="1"/>
  <c r="M23" i="15"/>
  <c r="M23" i="13" s="1"/>
  <c r="N23" i="15"/>
  <c r="N23" i="13" s="1"/>
  <c r="O23" i="15"/>
  <c r="O23" i="13" s="1"/>
  <c r="P23" i="15"/>
  <c r="P23" i="13" s="1"/>
  <c r="Q23" i="15"/>
  <c r="Q23" i="13" s="1"/>
  <c r="R23" i="15"/>
  <c r="R23" i="13" s="1"/>
  <c r="S23" i="15"/>
  <c r="S23" i="13" s="1"/>
  <c r="H24" i="15"/>
  <c r="H24" i="13" s="1"/>
  <c r="I24" i="15"/>
  <c r="I24" i="13" s="1"/>
  <c r="J24" i="15"/>
  <c r="J24" i="13" s="1"/>
  <c r="K24" i="15"/>
  <c r="K24" i="13" s="1"/>
  <c r="L24" i="15"/>
  <c r="L24" i="13" s="1"/>
  <c r="M24" i="15"/>
  <c r="M24" i="13" s="1"/>
  <c r="N24" i="15"/>
  <c r="N24" i="13" s="1"/>
  <c r="O24" i="15"/>
  <c r="O24" i="13" s="1"/>
  <c r="P24" i="15"/>
  <c r="P24" i="13" s="1"/>
  <c r="Q24" i="15"/>
  <c r="Q24" i="13" s="1"/>
  <c r="R24" i="15"/>
  <c r="R24" i="13" s="1"/>
  <c r="S24" i="15"/>
  <c r="S24" i="13" s="1"/>
  <c r="H25" i="15"/>
  <c r="H25" i="13" s="1"/>
  <c r="I25" i="15"/>
  <c r="I25" i="13" s="1"/>
  <c r="J25" i="15"/>
  <c r="J25" i="13" s="1"/>
  <c r="K25" i="15"/>
  <c r="K25" i="13" s="1"/>
  <c r="L25" i="15"/>
  <c r="L25" i="13" s="1"/>
  <c r="M25" i="15"/>
  <c r="M25" i="13" s="1"/>
  <c r="N25" i="15"/>
  <c r="N25" i="13" s="1"/>
  <c r="O25" i="15"/>
  <c r="O25" i="13" s="1"/>
  <c r="P25" i="15"/>
  <c r="P25" i="13" s="1"/>
  <c r="Q25" i="15"/>
  <c r="Q25" i="13" s="1"/>
  <c r="R25" i="15"/>
  <c r="R25" i="13" s="1"/>
  <c r="S25" i="15"/>
  <c r="S25" i="13" s="1"/>
  <c r="H26" i="15"/>
  <c r="H26" i="13" s="1"/>
  <c r="I26" i="15"/>
  <c r="I26" i="13" s="1"/>
  <c r="J26" i="15"/>
  <c r="J26" i="13" s="1"/>
  <c r="K26" i="15"/>
  <c r="K26" i="13" s="1"/>
  <c r="L26" i="15"/>
  <c r="L26" i="13" s="1"/>
  <c r="M26" i="15"/>
  <c r="M26" i="13" s="1"/>
  <c r="N26" i="15"/>
  <c r="N26" i="13" s="1"/>
  <c r="O26" i="15"/>
  <c r="O26" i="13" s="1"/>
  <c r="P26" i="15"/>
  <c r="P26" i="13" s="1"/>
  <c r="Q26" i="15"/>
  <c r="Q26" i="13" s="1"/>
  <c r="R26" i="15"/>
  <c r="R26" i="13" s="1"/>
  <c r="S26" i="15"/>
  <c r="S26" i="13" s="1"/>
  <c r="H27" i="15"/>
  <c r="H27" i="13" s="1"/>
  <c r="I27" i="15"/>
  <c r="I27" i="13" s="1"/>
  <c r="J27" i="15"/>
  <c r="J27" i="13" s="1"/>
  <c r="K27" i="15"/>
  <c r="K27" i="13" s="1"/>
  <c r="L27" i="15"/>
  <c r="L27" i="13" s="1"/>
  <c r="M27" i="15"/>
  <c r="M27" i="13" s="1"/>
  <c r="N27" i="15"/>
  <c r="N27" i="13" s="1"/>
  <c r="O27" i="15"/>
  <c r="O27" i="13" s="1"/>
  <c r="P27" i="15"/>
  <c r="P27" i="13" s="1"/>
  <c r="Q27" i="15"/>
  <c r="Q27" i="13" s="1"/>
  <c r="R27" i="15"/>
  <c r="R27" i="13" s="1"/>
  <c r="S27" i="15"/>
  <c r="S27" i="13" s="1"/>
  <c r="H28" i="15"/>
  <c r="H28" i="13" s="1"/>
  <c r="I28" i="15"/>
  <c r="I28" i="13" s="1"/>
  <c r="J28" i="15"/>
  <c r="J28" i="13" s="1"/>
  <c r="K28" i="15"/>
  <c r="K28" i="13" s="1"/>
  <c r="L28" i="15"/>
  <c r="L28" i="13" s="1"/>
  <c r="M28" i="15"/>
  <c r="M28" i="13" s="1"/>
  <c r="N28" i="15"/>
  <c r="N28" i="13" s="1"/>
  <c r="O28" i="15"/>
  <c r="O28" i="13" s="1"/>
  <c r="P28" i="15"/>
  <c r="P28" i="13" s="1"/>
  <c r="Q28" i="15"/>
  <c r="Q28" i="13" s="1"/>
  <c r="R28" i="15"/>
  <c r="R28" i="13" s="1"/>
  <c r="S28" i="15"/>
  <c r="S28" i="13" s="1"/>
  <c r="H29" i="15"/>
  <c r="H29" i="13" s="1"/>
  <c r="I29" i="15"/>
  <c r="I29" i="13" s="1"/>
  <c r="J29" i="15"/>
  <c r="J29" i="13" s="1"/>
  <c r="K29" i="15"/>
  <c r="K29" i="13" s="1"/>
  <c r="L29" i="15"/>
  <c r="L29" i="13" s="1"/>
  <c r="M29" i="15"/>
  <c r="M29" i="13" s="1"/>
  <c r="N29" i="15"/>
  <c r="N29" i="13" s="1"/>
  <c r="O29" i="15"/>
  <c r="O29" i="13" s="1"/>
  <c r="P29" i="15"/>
  <c r="P29" i="13" s="1"/>
  <c r="Q29" i="15"/>
  <c r="Q29" i="13" s="1"/>
  <c r="R29" i="15"/>
  <c r="R29" i="13" s="1"/>
  <c r="S29" i="15"/>
  <c r="S29" i="13" s="1"/>
  <c r="H30" i="15"/>
  <c r="H30" i="13" s="1"/>
  <c r="I30" i="15"/>
  <c r="I30" i="13" s="1"/>
  <c r="J30" i="15"/>
  <c r="J30" i="13" s="1"/>
  <c r="K30" i="15"/>
  <c r="K30" i="13" s="1"/>
  <c r="L30" i="15"/>
  <c r="L30" i="13" s="1"/>
  <c r="M30" i="15"/>
  <c r="M30" i="13" s="1"/>
  <c r="N30" i="15"/>
  <c r="N30" i="13" s="1"/>
  <c r="O30" i="15"/>
  <c r="O30" i="13" s="1"/>
  <c r="P30" i="15"/>
  <c r="P30" i="13" s="1"/>
  <c r="Q30" i="15"/>
  <c r="Q30" i="13" s="1"/>
  <c r="R30" i="15"/>
  <c r="R30" i="13" s="1"/>
  <c r="S30" i="15"/>
  <c r="S30" i="13" s="1"/>
  <c r="H31" i="15"/>
  <c r="H31" i="13" s="1"/>
  <c r="I31" i="15"/>
  <c r="I31" i="13" s="1"/>
  <c r="J31" i="15"/>
  <c r="J31" i="13" s="1"/>
  <c r="K31" i="15"/>
  <c r="K31" i="13" s="1"/>
  <c r="L31" i="15"/>
  <c r="L31" i="13" s="1"/>
  <c r="M31" i="15"/>
  <c r="M31" i="13" s="1"/>
  <c r="N31" i="15"/>
  <c r="N31" i="13" s="1"/>
  <c r="O31" i="15"/>
  <c r="O31" i="13" s="1"/>
  <c r="P31" i="15"/>
  <c r="P31" i="13" s="1"/>
  <c r="Q31" i="15"/>
  <c r="Q31" i="13" s="1"/>
  <c r="R31" i="15"/>
  <c r="R31" i="13" s="1"/>
  <c r="S31" i="15"/>
  <c r="S31" i="13" s="1"/>
  <c r="H32" i="15"/>
  <c r="H32" i="13" s="1"/>
  <c r="I32" i="15"/>
  <c r="I32" i="13" s="1"/>
  <c r="J32" i="15"/>
  <c r="J32" i="13" s="1"/>
  <c r="K32" i="15"/>
  <c r="K32" i="13" s="1"/>
  <c r="L32" i="15"/>
  <c r="L32" i="13" s="1"/>
  <c r="M32" i="15"/>
  <c r="M32" i="13" s="1"/>
  <c r="N32" i="15"/>
  <c r="N32" i="13" s="1"/>
  <c r="O32" i="15"/>
  <c r="O32" i="13" s="1"/>
  <c r="P32" i="15"/>
  <c r="P32" i="13" s="1"/>
  <c r="Q32" i="15"/>
  <c r="Q32" i="13" s="1"/>
  <c r="R32" i="15"/>
  <c r="R32" i="13" s="1"/>
  <c r="S32" i="15"/>
  <c r="S32" i="13" s="1"/>
  <c r="H33" i="15"/>
  <c r="H33" i="13" s="1"/>
  <c r="I33" i="15"/>
  <c r="I33" i="13" s="1"/>
  <c r="J33" i="15"/>
  <c r="J33" i="13" s="1"/>
  <c r="K33" i="15"/>
  <c r="K33" i="13" s="1"/>
  <c r="L33" i="15"/>
  <c r="L33" i="13" s="1"/>
  <c r="M33" i="15"/>
  <c r="M33" i="13" s="1"/>
  <c r="N33" i="15"/>
  <c r="N33" i="13" s="1"/>
  <c r="O33" i="15"/>
  <c r="O33" i="13" s="1"/>
  <c r="P33" i="15"/>
  <c r="P33" i="13" s="1"/>
  <c r="Q33" i="15"/>
  <c r="Q33" i="13" s="1"/>
  <c r="R33" i="15"/>
  <c r="R33" i="13" s="1"/>
  <c r="S33" i="15"/>
  <c r="S33" i="13" s="1"/>
  <c r="H34" i="15"/>
  <c r="H34" i="13" s="1"/>
  <c r="I34" i="15"/>
  <c r="I34" i="13" s="1"/>
  <c r="J34" i="15"/>
  <c r="J34" i="13" s="1"/>
  <c r="K34" i="15"/>
  <c r="K34" i="13" s="1"/>
  <c r="L34" i="15"/>
  <c r="L34" i="13" s="1"/>
  <c r="M34" i="15"/>
  <c r="M34" i="13" s="1"/>
  <c r="N34" i="15"/>
  <c r="N34" i="13" s="1"/>
  <c r="O34" i="15"/>
  <c r="O34" i="13" s="1"/>
  <c r="P34" i="15"/>
  <c r="P34" i="13" s="1"/>
  <c r="Q34" i="15"/>
  <c r="Q34" i="13" s="1"/>
  <c r="R34" i="15"/>
  <c r="R34" i="13" s="1"/>
  <c r="S34" i="15"/>
  <c r="S34" i="13" s="1"/>
  <c r="H35" i="15"/>
  <c r="H35" i="13" s="1"/>
  <c r="I35" i="15"/>
  <c r="I35" i="13" s="1"/>
  <c r="J35" i="15"/>
  <c r="J35" i="13" s="1"/>
  <c r="K35" i="15"/>
  <c r="K35" i="13" s="1"/>
  <c r="L35" i="15"/>
  <c r="L35" i="13" s="1"/>
  <c r="M35" i="15"/>
  <c r="M35" i="13" s="1"/>
  <c r="N35" i="15"/>
  <c r="N35" i="13" s="1"/>
  <c r="O35" i="15"/>
  <c r="O35" i="13" s="1"/>
  <c r="P35" i="15"/>
  <c r="P35" i="13" s="1"/>
  <c r="Q35" i="15"/>
  <c r="Q35" i="13" s="1"/>
  <c r="R35" i="15"/>
  <c r="R35" i="13" s="1"/>
  <c r="S35" i="15"/>
  <c r="S35" i="13" s="1"/>
  <c r="H36" i="15"/>
  <c r="H36" i="13" s="1"/>
  <c r="I36" i="15"/>
  <c r="I36" i="13" s="1"/>
  <c r="J36" i="15"/>
  <c r="J36" i="13" s="1"/>
  <c r="K36" i="15"/>
  <c r="K36" i="13" s="1"/>
  <c r="L36" i="15"/>
  <c r="L36" i="13" s="1"/>
  <c r="M36" i="15"/>
  <c r="M36" i="13" s="1"/>
  <c r="N36" i="15"/>
  <c r="N36" i="13" s="1"/>
  <c r="O36" i="15"/>
  <c r="O36" i="13" s="1"/>
  <c r="P36" i="15"/>
  <c r="P36" i="13" s="1"/>
  <c r="Q36" i="15"/>
  <c r="Q36" i="13" s="1"/>
  <c r="R36" i="15"/>
  <c r="R36" i="13" s="1"/>
  <c r="S36" i="15"/>
  <c r="S36" i="13" s="1"/>
  <c r="H37" i="15"/>
  <c r="H37" i="13" s="1"/>
  <c r="I37" i="15"/>
  <c r="I37" i="13" s="1"/>
  <c r="J37" i="15"/>
  <c r="J37" i="13" s="1"/>
  <c r="K37" i="15"/>
  <c r="K37" i="13" s="1"/>
  <c r="L37" i="15"/>
  <c r="L37" i="13" s="1"/>
  <c r="M37" i="15"/>
  <c r="M37" i="13" s="1"/>
  <c r="N37" i="15"/>
  <c r="N37" i="13" s="1"/>
  <c r="O37" i="15"/>
  <c r="O37" i="13" s="1"/>
  <c r="P37" i="15"/>
  <c r="P37" i="13" s="1"/>
  <c r="Q37" i="15"/>
  <c r="Q37" i="13" s="1"/>
  <c r="R37" i="15"/>
  <c r="R37" i="13" s="1"/>
  <c r="S37" i="15"/>
  <c r="S37" i="13" s="1"/>
  <c r="H38" i="15"/>
  <c r="H38" i="13" s="1"/>
  <c r="I38" i="15"/>
  <c r="I38" i="13" s="1"/>
  <c r="J38" i="15"/>
  <c r="J38" i="13" s="1"/>
  <c r="K38" i="15"/>
  <c r="K38" i="13" s="1"/>
  <c r="L38" i="15"/>
  <c r="L38" i="13" s="1"/>
  <c r="M38" i="15"/>
  <c r="M38" i="13" s="1"/>
  <c r="N38" i="15"/>
  <c r="N38" i="13" s="1"/>
  <c r="O38" i="15"/>
  <c r="O38" i="13" s="1"/>
  <c r="P38" i="15"/>
  <c r="P38" i="13" s="1"/>
  <c r="Q38" i="15"/>
  <c r="Q38" i="13" s="1"/>
  <c r="R38" i="15"/>
  <c r="R38" i="13" s="1"/>
  <c r="S38" i="15"/>
  <c r="S38" i="13" s="1"/>
  <c r="H39" i="15"/>
  <c r="H39" i="13" s="1"/>
  <c r="I39" i="15"/>
  <c r="I39" i="13" s="1"/>
  <c r="J39" i="15"/>
  <c r="J39" i="13" s="1"/>
  <c r="K39" i="15"/>
  <c r="K39" i="13" s="1"/>
  <c r="L39" i="15"/>
  <c r="L39" i="13" s="1"/>
  <c r="M39" i="15"/>
  <c r="M39" i="13" s="1"/>
  <c r="N39" i="15"/>
  <c r="N39" i="13" s="1"/>
  <c r="O39" i="15"/>
  <c r="O39" i="13" s="1"/>
  <c r="P39" i="15"/>
  <c r="P39" i="13" s="1"/>
  <c r="Q39" i="15"/>
  <c r="Q39" i="13" s="1"/>
  <c r="R39" i="15"/>
  <c r="R39" i="13" s="1"/>
  <c r="S39" i="15"/>
  <c r="S39" i="13" s="1"/>
  <c r="H40" i="15"/>
  <c r="H40" i="13" s="1"/>
  <c r="I40" i="15"/>
  <c r="I40" i="13" s="1"/>
  <c r="J40" i="15"/>
  <c r="J40" i="13" s="1"/>
  <c r="K40" i="15"/>
  <c r="K40" i="13" s="1"/>
  <c r="L40" i="15"/>
  <c r="L40" i="13" s="1"/>
  <c r="M40" i="15"/>
  <c r="M40" i="13" s="1"/>
  <c r="N40" i="15"/>
  <c r="N40" i="13" s="1"/>
  <c r="O40" i="15"/>
  <c r="O40" i="13" s="1"/>
  <c r="P40" i="15"/>
  <c r="P40" i="13" s="1"/>
  <c r="Q40" i="15"/>
  <c r="Q40" i="13" s="1"/>
  <c r="R40" i="15"/>
  <c r="R40" i="13" s="1"/>
  <c r="S40" i="15"/>
  <c r="S40" i="13" s="1"/>
  <c r="H41" i="15"/>
  <c r="H41" i="13" s="1"/>
  <c r="I41" i="15"/>
  <c r="I41" i="13" s="1"/>
  <c r="J41" i="15"/>
  <c r="J41" i="13" s="1"/>
  <c r="K41" i="15"/>
  <c r="K41" i="13" s="1"/>
  <c r="L41" i="15"/>
  <c r="L41" i="13" s="1"/>
  <c r="M41" i="15"/>
  <c r="M41" i="13" s="1"/>
  <c r="N41" i="15"/>
  <c r="N41" i="13" s="1"/>
  <c r="O41" i="15"/>
  <c r="O41" i="13" s="1"/>
  <c r="P41" i="15"/>
  <c r="P41" i="13" s="1"/>
  <c r="Q41" i="15"/>
  <c r="Q41" i="13" s="1"/>
  <c r="R41" i="15"/>
  <c r="R41" i="13" s="1"/>
  <c r="S41" i="15"/>
  <c r="S41" i="13" s="1"/>
  <c r="H42" i="15"/>
  <c r="H42" i="13" s="1"/>
  <c r="I42" i="15"/>
  <c r="I42" i="13" s="1"/>
  <c r="J42" i="15"/>
  <c r="J42" i="13" s="1"/>
  <c r="K42" i="15"/>
  <c r="K42" i="13" s="1"/>
  <c r="L42" i="15"/>
  <c r="L42" i="13" s="1"/>
  <c r="M42" i="15"/>
  <c r="M42" i="13" s="1"/>
  <c r="N42" i="15"/>
  <c r="N42" i="13" s="1"/>
  <c r="O42" i="15"/>
  <c r="O42" i="13" s="1"/>
  <c r="P42" i="15"/>
  <c r="P42" i="13" s="1"/>
  <c r="Q42" i="15"/>
  <c r="Q42" i="13" s="1"/>
  <c r="R42" i="15"/>
  <c r="R42" i="13" s="1"/>
  <c r="S42" i="15"/>
  <c r="S42" i="13" s="1"/>
  <c r="H43" i="15"/>
  <c r="H43" i="13" s="1"/>
  <c r="I43" i="15"/>
  <c r="I43" i="13" s="1"/>
  <c r="J43" i="15"/>
  <c r="J43" i="13" s="1"/>
  <c r="K43" i="15"/>
  <c r="K43" i="13" s="1"/>
  <c r="L43" i="15"/>
  <c r="L43" i="13" s="1"/>
  <c r="M43" i="15"/>
  <c r="M43" i="13" s="1"/>
  <c r="N43" i="15"/>
  <c r="N43" i="13" s="1"/>
  <c r="O43" i="15"/>
  <c r="O43" i="13" s="1"/>
  <c r="P43" i="15"/>
  <c r="P43" i="13" s="1"/>
  <c r="Q43" i="15"/>
  <c r="Q43" i="13" s="1"/>
  <c r="R43" i="15"/>
  <c r="R43" i="13" s="1"/>
  <c r="S43" i="15"/>
  <c r="S43" i="13" s="1"/>
  <c r="H44" i="15"/>
  <c r="H44" i="13" s="1"/>
  <c r="I44" i="15"/>
  <c r="I44" i="13" s="1"/>
  <c r="J44" i="15"/>
  <c r="J44" i="13" s="1"/>
  <c r="K44" i="15"/>
  <c r="K44" i="13" s="1"/>
  <c r="L44" i="15"/>
  <c r="L44" i="13" s="1"/>
  <c r="M44" i="15"/>
  <c r="M44" i="13" s="1"/>
  <c r="N44" i="15"/>
  <c r="N44" i="13" s="1"/>
  <c r="O44" i="15"/>
  <c r="O44" i="13" s="1"/>
  <c r="P44" i="15"/>
  <c r="P44" i="13" s="1"/>
  <c r="Q44" i="15"/>
  <c r="Q44" i="13" s="1"/>
  <c r="R44" i="15"/>
  <c r="R44" i="13" s="1"/>
  <c r="S44" i="15"/>
  <c r="S44" i="13" s="1"/>
  <c r="H45" i="15"/>
  <c r="H45" i="13" s="1"/>
  <c r="I45" i="15"/>
  <c r="I45" i="13" s="1"/>
  <c r="J45" i="15"/>
  <c r="J45" i="13" s="1"/>
  <c r="K45" i="15"/>
  <c r="K45" i="13" s="1"/>
  <c r="L45" i="15"/>
  <c r="L45" i="13" s="1"/>
  <c r="M45" i="15"/>
  <c r="M45" i="13" s="1"/>
  <c r="N45" i="15"/>
  <c r="N45" i="13" s="1"/>
  <c r="O45" i="15"/>
  <c r="O45" i="13" s="1"/>
  <c r="P45" i="15"/>
  <c r="P45" i="13" s="1"/>
  <c r="Q45" i="15"/>
  <c r="Q45" i="13" s="1"/>
  <c r="R45" i="15"/>
  <c r="R45" i="13" s="1"/>
  <c r="S45" i="15"/>
  <c r="S45" i="13" s="1"/>
  <c r="H46" i="15"/>
  <c r="H46" i="13" s="1"/>
  <c r="I46" i="15"/>
  <c r="I46" i="13" s="1"/>
  <c r="J46" i="15"/>
  <c r="J46" i="13" s="1"/>
  <c r="K46" i="15"/>
  <c r="K46" i="13" s="1"/>
  <c r="L46" i="15"/>
  <c r="L46" i="13" s="1"/>
  <c r="M46" i="15"/>
  <c r="M46" i="13" s="1"/>
  <c r="N46" i="15"/>
  <c r="N46" i="13" s="1"/>
  <c r="O46" i="15"/>
  <c r="O46" i="13" s="1"/>
  <c r="P46" i="15"/>
  <c r="P46" i="13" s="1"/>
  <c r="Q46" i="15"/>
  <c r="Q46" i="13" s="1"/>
  <c r="R46" i="15"/>
  <c r="R46" i="13" s="1"/>
  <c r="S46" i="15"/>
  <c r="S46" i="13" s="1"/>
  <c r="H47" i="15"/>
  <c r="H47" i="13" s="1"/>
  <c r="I47" i="15"/>
  <c r="I47" i="13" s="1"/>
  <c r="J47" i="15"/>
  <c r="J47" i="13" s="1"/>
  <c r="K47" i="15"/>
  <c r="K47" i="13" s="1"/>
  <c r="L47" i="15"/>
  <c r="L47" i="13" s="1"/>
  <c r="M47" i="15"/>
  <c r="M47" i="13" s="1"/>
  <c r="N47" i="15"/>
  <c r="N47" i="13" s="1"/>
  <c r="O47" i="15"/>
  <c r="O47" i="13" s="1"/>
  <c r="P47" i="15"/>
  <c r="P47" i="13" s="1"/>
  <c r="Q47" i="15"/>
  <c r="Q47" i="13" s="1"/>
  <c r="R47" i="15"/>
  <c r="R47" i="13" s="1"/>
  <c r="S47" i="15"/>
  <c r="S47" i="13" s="1"/>
  <c r="H48" i="15"/>
  <c r="H48" i="13" s="1"/>
  <c r="I48" i="15"/>
  <c r="I48" i="13" s="1"/>
  <c r="J48" i="15"/>
  <c r="J48" i="13" s="1"/>
  <c r="K48" i="15"/>
  <c r="K48" i="13" s="1"/>
  <c r="L48" i="15"/>
  <c r="L48" i="13" s="1"/>
  <c r="M48" i="15"/>
  <c r="M48" i="13" s="1"/>
  <c r="N48" i="15"/>
  <c r="N48" i="13" s="1"/>
  <c r="O48" i="15"/>
  <c r="O48" i="13" s="1"/>
  <c r="P48" i="15"/>
  <c r="P48" i="13" s="1"/>
  <c r="Q48" i="15"/>
  <c r="Q48" i="13" s="1"/>
  <c r="R48" i="15"/>
  <c r="R48" i="13" s="1"/>
  <c r="S48" i="15"/>
  <c r="S48" i="13" s="1"/>
  <c r="H49" i="15"/>
  <c r="H49" i="13" s="1"/>
  <c r="I49" i="15"/>
  <c r="I49" i="13" s="1"/>
  <c r="J49" i="15"/>
  <c r="J49" i="13" s="1"/>
  <c r="K49" i="15"/>
  <c r="K49" i="13" s="1"/>
  <c r="L49" i="15"/>
  <c r="L49" i="13" s="1"/>
  <c r="M49" i="15"/>
  <c r="M49" i="13" s="1"/>
  <c r="N49" i="15"/>
  <c r="N49" i="13" s="1"/>
  <c r="O49" i="15"/>
  <c r="O49" i="13" s="1"/>
  <c r="P49" i="15"/>
  <c r="P49" i="13" s="1"/>
  <c r="Q49" i="15"/>
  <c r="Q49" i="13" s="1"/>
  <c r="R49" i="15"/>
  <c r="R49" i="13" s="1"/>
  <c r="S49" i="15"/>
  <c r="S49" i="13" s="1"/>
  <c r="H50" i="15"/>
  <c r="H50" i="13" s="1"/>
  <c r="I50" i="15"/>
  <c r="I50" i="13" s="1"/>
  <c r="J50" i="15"/>
  <c r="J50" i="13" s="1"/>
  <c r="K50" i="15"/>
  <c r="K50" i="13" s="1"/>
  <c r="L50" i="15"/>
  <c r="L50" i="13" s="1"/>
  <c r="M50" i="15"/>
  <c r="M50" i="13" s="1"/>
  <c r="N50" i="15"/>
  <c r="N50" i="13" s="1"/>
  <c r="O50" i="15"/>
  <c r="O50" i="13" s="1"/>
  <c r="P50" i="15"/>
  <c r="P50" i="13" s="1"/>
  <c r="Q50" i="15"/>
  <c r="Q50" i="13" s="1"/>
  <c r="R50" i="15"/>
  <c r="R50" i="13" s="1"/>
  <c r="S50" i="15"/>
  <c r="S50" i="13" s="1"/>
  <c r="H51" i="15"/>
  <c r="H51" i="13" s="1"/>
  <c r="I51" i="15"/>
  <c r="I51" i="13" s="1"/>
  <c r="J51" i="15"/>
  <c r="J51" i="13" s="1"/>
  <c r="K51" i="15"/>
  <c r="K51" i="13" s="1"/>
  <c r="L51" i="15"/>
  <c r="L51" i="13" s="1"/>
  <c r="M51" i="15"/>
  <c r="M51" i="13" s="1"/>
  <c r="N51" i="15"/>
  <c r="N51" i="13" s="1"/>
  <c r="O51" i="15"/>
  <c r="O51" i="13" s="1"/>
  <c r="P51" i="15"/>
  <c r="P51" i="13" s="1"/>
  <c r="Q51" i="15"/>
  <c r="Q51" i="13" s="1"/>
  <c r="R51" i="15"/>
  <c r="R51" i="13" s="1"/>
  <c r="S51" i="15"/>
  <c r="S51" i="13" s="1"/>
  <c r="H52" i="15"/>
  <c r="H52" i="13" s="1"/>
  <c r="I52" i="15"/>
  <c r="I52" i="13" s="1"/>
  <c r="J52" i="15"/>
  <c r="J52" i="13" s="1"/>
  <c r="K52" i="15"/>
  <c r="K52" i="13" s="1"/>
  <c r="L52" i="15"/>
  <c r="L52" i="13" s="1"/>
  <c r="M52" i="15"/>
  <c r="M52" i="13" s="1"/>
  <c r="N52" i="15"/>
  <c r="N52" i="13" s="1"/>
  <c r="O52" i="15"/>
  <c r="O52" i="13" s="1"/>
  <c r="P52" i="15"/>
  <c r="P52" i="13" s="1"/>
  <c r="Q52" i="15"/>
  <c r="Q52" i="13" s="1"/>
  <c r="R52" i="15"/>
  <c r="R52" i="13" s="1"/>
  <c r="S52" i="15"/>
  <c r="S52" i="13" s="1"/>
  <c r="H53" i="15"/>
  <c r="H53" i="13" s="1"/>
  <c r="I53" i="15"/>
  <c r="I53" i="13" s="1"/>
  <c r="J53" i="15"/>
  <c r="J53" i="13" s="1"/>
  <c r="K53" i="15"/>
  <c r="K53" i="13" s="1"/>
  <c r="L53" i="15"/>
  <c r="L53" i="13" s="1"/>
  <c r="M53" i="15"/>
  <c r="M53" i="13" s="1"/>
  <c r="N53" i="15"/>
  <c r="N53" i="13" s="1"/>
  <c r="O53" i="15"/>
  <c r="O53" i="13" s="1"/>
  <c r="P53" i="15"/>
  <c r="P53" i="13" s="1"/>
  <c r="Q53" i="15"/>
  <c r="Q53" i="13" s="1"/>
  <c r="R53" i="15"/>
  <c r="R53" i="13" s="1"/>
  <c r="S53" i="15"/>
  <c r="S53" i="13" s="1"/>
  <c r="H54" i="15"/>
  <c r="H54" i="13" s="1"/>
  <c r="I54" i="15"/>
  <c r="I54" i="13" s="1"/>
  <c r="J54" i="15"/>
  <c r="J54" i="13" s="1"/>
  <c r="K54" i="15"/>
  <c r="K54" i="13" s="1"/>
  <c r="L54" i="15"/>
  <c r="L54" i="13" s="1"/>
  <c r="M54" i="15"/>
  <c r="M54" i="13" s="1"/>
  <c r="N54" i="15"/>
  <c r="N54" i="13" s="1"/>
  <c r="O54" i="15"/>
  <c r="O54" i="13" s="1"/>
  <c r="P54" i="15"/>
  <c r="P54" i="13" s="1"/>
  <c r="Q54" i="15"/>
  <c r="Q54" i="13" s="1"/>
  <c r="R54" i="15"/>
  <c r="R54" i="13" s="1"/>
  <c r="S54" i="15"/>
  <c r="S54" i="13" s="1"/>
  <c r="H55" i="15"/>
  <c r="H55" i="13" s="1"/>
  <c r="I55" i="15"/>
  <c r="I55" i="13" s="1"/>
  <c r="J55" i="15"/>
  <c r="J55" i="13" s="1"/>
  <c r="K55" i="15"/>
  <c r="K55" i="13" s="1"/>
  <c r="L55" i="15"/>
  <c r="L55" i="13" s="1"/>
  <c r="M55" i="15"/>
  <c r="M55" i="13" s="1"/>
  <c r="N55" i="15"/>
  <c r="N55" i="13" s="1"/>
  <c r="O55" i="15"/>
  <c r="O55" i="13" s="1"/>
  <c r="P55" i="15"/>
  <c r="P55" i="13" s="1"/>
  <c r="Q55" i="15"/>
  <c r="Q55" i="13" s="1"/>
  <c r="R55" i="15"/>
  <c r="R55" i="13" s="1"/>
  <c r="S55" i="15"/>
  <c r="S55" i="13" s="1"/>
  <c r="H56" i="15"/>
  <c r="H56" i="13" s="1"/>
  <c r="I56" i="15"/>
  <c r="I56" i="13" s="1"/>
  <c r="J56" i="15"/>
  <c r="J56" i="13" s="1"/>
  <c r="K56" i="15"/>
  <c r="K56" i="13" s="1"/>
  <c r="L56" i="15"/>
  <c r="L56" i="13" s="1"/>
  <c r="M56" i="15"/>
  <c r="M56" i="13" s="1"/>
  <c r="N56" i="15"/>
  <c r="N56" i="13" s="1"/>
  <c r="O56" i="15"/>
  <c r="O56" i="13" s="1"/>
  <c r="P56" i="15"/>
  <c r="P56" i="13" s="1"/>
  <c r="Q56" i="15"/>
  <c r="Q56" i="13" s="1"/>
  <c r="R56" i="15"/>
  <c r="R56" i="13" s="1"/>
  <c r="S56" i="15"/>
  <c r="S56" i="13" s="1"/>
  <c r="H57" i="15"/>
  <c r="H57" i="13" s="1"/>
  <c r="I57" i="15"/>
  <c r="I57" i="13" s="1"/>
  <c r="J57" i="15"/>
  <c r="J57" i="13" s="1"/>
  <c r="K57" i="15"/>
  <c r="K57" i="13" s="1"/>
  <c r="L57" i="15"/>
  <c r="L57" i="13" s="1"/>
  <c r="M57" i="15"/>
  <c r="M57" i="13" s="1"/>
  <c r="N57" i="15"/>
  <c r="N57" i="13" s="1"/>
  <c r="O57" i="15"/>
  <c r="O57" i="13" s="1"/>
  <c r="P57" i="15"/>
  <c r="P57" i="13" s="1"/>
  <c r="Q57" i="15"/>
  <c r="Q57" i="13" s="1"/>
  <c r="R57" i="15"/>
  <c r="R57" i="13" s="1"/>
  <c r="S57" i="15"/>
  <c r="S57" i="13" s="1"/>
  <c r="I2" i="15"/>
  <c r="I2" i="13" s="1"/>
  <c r="J2" i="15"/>
  <c r="J2" i="13" s="1"/>
  <c r="K2" i="15"/>
  <c r="K2" i="13" s="1"/>
  <c r="L2" i="15"/>
  <c r="L2" i="13" s="1"/>
  <c r="M2" i="15"/>
  <c r="M2" i="13" s="1"/>
  <c r="N2" i="15"/>
  <c r="N2" i="13" s="1"/>
  <c r="O2" i="15"/>
  <c r="O2" i="13" s="1"/>
  <c r="P2" i="15"/>
  <c r="P2" i="13" s="1"/>
  <c r="Q2" i="15"/>
  <c r="Q2" i="13" s="1"/>
  <c r="R2" i="15"/>
  <c r="R2" i="13" s="1"/>
  <c r="S2" i="15"/>
  <c r="S2" i="13" s="1"/>
  <c r="H2" i="15"/>
  <c r="H2" i="13" s="1"/>
  <c r="S57" i="17" l="1"/>
  <c r="R57" i="17"/>
  <c r="P57" i="17"/>
  <c r="O57" i="17"/>
  <c r="N57" i="17"/>
  <c r="M57" i="17"/>
  <c r="L57" i="17"/>
  <c r="K57" i="17"/>
  <c r="J57" i="17"/>
  <c r="I57" i="17"/>
  <c r="H57" i="17"/>
  <c r="S8" i="9" l="1"/>
  <c r="S9" i="9"/>
  <c r="S28" i="9"/>
  <c r="S42" i="9"/>
  <c r="S21" i="9"/>
  <c r="S6" i="9"/>
  <c r="S11" i="9"/>
  <c r="S40" i="9"/>
  <c r="S15" i="9"/>
  <c r="S36" i="9"/>
  <c r="S54" i="9"/>
  <c r="S27" i="9"/>
  <c r="S48" i="9"/>
  <c r="S37" i="9"/>
  <c r="S4" i="9"/>
  <c r="S10" i="9"/>
  <c r="S31" i="9"/>
  <c r="S5" i="9"/>
  <c r="S43" i="9"/>
  <c r="S41" i="9"/>
  <c r="S16" i="9"/>
  <c r="S14" i="9"/>
  <c r="S51" i="9"/>
  <c r="S12" i="9"/>
  <c r="S24" i="9"/>
  <c r="S55" i="9"/>
  <c r="S53" i="9"/>
  <c r="S32" i="9"/>
  <c r="S18" i="9"/>
  <c r="S3" i="9"/>
  <c r="S44" i="9"/>
  <c r="S22" i="9"/>
  <c r="S13" i="9"/>
  <c r="S19" i="9"/>
  <c r="S26" i="9"/>
  <c r="S7" i="9"/>
  <c r="S25" i="9"/>
  <c r="S30" i="9"/>
  <c r="S23" i="9"/>
  <c r="S20" i="9"/>
  <c r="S33" i="9"/>
  <c r="S38" i="9"/>
  <c r="S34" i="9"/>
  <c r="S52" i="9"/>
  <c r="S17" i="9"/>
  <c r="S39" i="9"/>
  <c r="S50" i="9"/>
  <c r="S35" i="9"/>
  <c r="S45" i="9"/>
  <c r="S46" i="9"/>
  <c r="S47" i="9"/>
  <c r="S56" i="9"/>
  <c r="S29" i="9"/>
  <c r="S2" i="9"/>
  <c r="S49" i="9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<sst xmlns="http://schemas.openxmlformats.org/spreadsheetml/2006/main" count="2845" uniqueCount="109">
  <si>
    <t>Project</t>
  </si>
  <si>
    <t>Honeywell</t>
  </si>
  <si>
    <t>Pfizer</t>
  </si>
  <si>
    <t>Tata Motors</t>
  </si>
  <si>
    <t>Tata Power</t>
  </si>
  <si>
    <t>SKF India</t>
  </si>
  <si>
    <t>Siemens</t>
  </si>
  <si>
    <t>Robert Bosch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</si>
  <si>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</si>
  <si>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</si>
  <si>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</si>
  <si>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</si>
  <si>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</si>
  <si>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</si>
  <si>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</si>
  <si>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</si>
  <si>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</si>
  <si>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</si>
  <si>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P&amp;G</t>
  </si>
  <si>
    <t>Wipro</t>
  </si>
  <si>
    <t>Fedex</t>
  </si>
  <si>
    <t>DP World</t>
  </si>
  <si>
    <t>Ametek</t>
  </si>
  <si>
    <t>AMNS</t>
  </si>
  <si>
    <t>Titan</t>
  </si>
  <si>
    <t>Ultratech</t>
  </si>
  <si>
    <t>Tata Electronics</t>
  </si>
  <si>
    <t>Tata Teleservices</t>
  </si>
  <si>
    <t>Jindal Stainless</t>
  </si>
  <si>
    <t>L&amp;T (New)</t>
  </si>
  <si>
    <t>Nomiso</t>
  </si>
  <si>
    <t>Schaeffler</t>
  </si>
  <si>
    <t>Royal Enfield</t>
  </si>
  <si>
    <t>SBI Card</t>
  </si>
  <si>
    <t>Hyundai Motor</t>
  </si>
  <si>
    <t>DRL</t>
  </si>
  <si>
    <t>Maruti Suzuki(MSIL)</t>
  </si>
  <si>
    <t>Excelacom</t>
  </si>
  <si>
    <t>Tata Consumer</t>
  </si>
  <si>
    <t>Tata Play</t>
  </si>
  <si>
    <t>Mahindra Finance</t>
  </si>
  <si>
    <t>Subros Ltd</t>
  </si>
  <si>
    <t>Atomberg Technologies</t>
  </si>
  <si>
    <t>Bridgestone</t>
  </si>
  <si>
    <t>Ambuja Cement</t>
  </si>
  <si>
    <t>Ashok Leyland</t>
  </si>
  <si>
    <t>Sterling Tools</t>
  </si>
  <si>
    <t>Optum</t>
  </si>
  <si>
    <t>ABB</t>
  </si>
  <si>
    <t>Suzuki R&amp;D</t>
  </si>
  <si>
    <t>M2P Fintech</t>
  </si>
  <si>
    <t>Pernod Ricard</t>
  </si>
  <si>
    <t/>
  </si>
  <si>
    <t>Region</t>
  </si>
  <si>
    <t>Bapi</t>
  </si>
  <si>
    <t>West</t>
  </si>
  <si>
    <t>Anjli</t>
  </si>
  <si>
    <t>Usha</t>
  </si>
  <si>
    <t>Shweta</t>
  </si>
  <si>
    <t>North</t>
  </si>
  <si>
    <t>South</t>
  </si>
  <si>
    <t>Sulabh</t>
  </si>
  <si>
    <t>Kunal</t>
  </si>
  <si>
    <t>Geetu</t>
  </si>
  <si>
    <t>Mahak</t>
  </si>
  <si>
    <t>Satya</t>
  </si>
  <si>
    <t>Krishna</t>
  </si>
  <si>
    <t>Subu</t>
  </si>
  <si>
    <t>Alifia</t>
  </si>
  <si>
    <t>Ankit</t>
  </si>
  <si>
    <t>Ashish</t>
  </si>
  <si>
    <t>Vertical</t>
  </si>
  <si>
    <t>Lateral</t>
  </si>
  <si>
    <t>New Sales</t>
  </si>
  <si>
    <t>Nizar</t>
  </si>
  <si>
    <t>Tata Marcopolo</t>
  </si>
  <si>
    <t>WTW</t>
  </si>
  <si>
    <t>Common</t>
  </si>
  <si>
    <t>Viteos</t>
  </si>
  <si>
    <t>IBM</t>
  </si>
  <si>
    <t>L&amp;T Energy</t>
  </si>
  <si>
    <t>ABFRL</t>
  </si>
  <si>
    <t xml:space="preserve"> </t>
  </si>
  <si>
    <t>Bench</t>
  </si>
  <si>
    <t>Teleperformance</t>
  </si>
  <si>
    <t>Centum</t>
  </si>
  <si>
    <t>Servify</t>
  </si>
  <si>
    <t>Atul</t>
  </si>
  <si>
    <t>Atos</t>
  </si>
  <si>
    <t>NCC</t>
  </si>
  <si>
    <t>Nagarjuna</t>
  </si>
  <si>
    <t>Parul</t>
  </si>
  <si>
    <t>Infocepts</t>
  </si>
  <si>
    <t>Kale Logistics</t>
  </si>
  <si>
    <t>Region Head</t>
  </si>
  <si>
    <t>Practice Head</t>
  </si>
  <si>
    <t>West 2</t>
  </si>
  <si>
    <t>West 1</t>
  </si>
  <si>
    <t>Elton</t>
  </si>
  <si>
    <t>Archana</t>
  </si>
  <si>
    <t>Lateral &amp; Leadership</t>
  </si>
  <si>
    <t>Dhriti</t>
  </si>
  <si>
    <t>South 1</t>
  </si>
  <si>
    <t>South 2</t>
  </si>
  <si>
    <t>Abhilash</t>
  </si>
  <si>
    <t>New Sales + Mining</t>
  </si>
  <si>
    <t>Sub Region</t>
  </si>
  <si>
    <t>FY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</si>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</sst>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17" fontId="0" fillId="2" borderId="3" xfId="0" quotePrefix="1" applyNumberFormat="1" applyFill="1" applyBorder="1" applyAlignment="1">
      <alignment horizontal="center"/>
    </xf>
  </cellXfs>
  <cellStyles count="2">
    <cellStyle name="Normal" xfId="0" builtinId="0"/>
    <cellStyle name="Percent 2" xfId="1" xr:uid="{82AAC54E-7B5B-4ADD-AAC7-E644DFF80335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363-B629-4B5A-ABC3-B28EDF9C3FDF}">
  <sheetPr codeName="Sheet1">
    <tabColor rgb="FF002060"/>
  </sheetPr>
  <dimension ref="A1:S58"/>
  <sheetViews>
    <sheetView topLeftCell="D1" workbookViewId="0">
      <pane ySplit="1" topLeftCell="A2" activePane="bottomLeft" state="frozen"/>
      <selection pane="bottomLeft" sqref="A1:S1"/>
    </sheetView>
  </sheetViews>
  <sheetFormatPr defaultRowHeight="15" x14ac:dyDescent="0.25"/>
  <cols>
    <col min="1" max="1" width="9.7109375" bestFit="1" customWidth="1"/>
    <col min="2" max="2" width="21.140625" bestFit="1" customWidth="1"/>
    <col min="3" max="3" width="21.140625" customWidth="1"/>
    <col min="4" max="4" width="10" bestFit="1" customWidth="1"/>
    <col min="5" max="5" width="10" customWidth="1"/>
    <col min="6" max="6" width="12" bestFit="1" customWidth="1"/>
    <col min="7" max="7" width="13.28515625" bestFit="1" customWidth="1"/>
    <col min="8" max="8" width="9.5703125" bestFit="1" customWidth="1"/>
    <col min="9" max="18" width="10.42578125" bestFit="1" customWidth="1"/>
    <col min="19" max="19" width="10.85546875" bestFit="1" customWidth="1"/>
  </cols>
  <sheetData>
    <row r="1" spans="1:19" s="8" customFormat="1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v>25</v>
      </c>
      <c r="I2" s="14">
        <v>35</v>
      </c>
      <c r="J2" s="14">
        <v>40</v>
      </c>
      <c r="K2" s="14">
        <v>43.5</v>
      </c>
      <c r="L2" s="14">
        <v>60.9</v>
      </c>
      <c r="M2" s="14">
        <v>69.600000000000009</v>
      </c>
      <c r="N2" s="14">
        <v>49.024999999999999</v>
      </c>
      <c r="O2" s="14">
        <v>68.634999999999991</v>
      </c>
      <c r="P2" s="14">
        <v>78.44</v>
      </c>
      <c r="Q2" s="14">
        <v>50.8825</v>
      </c>
      <c r="R2" s="14">
        <v>71.235500000000002</v>
      </c>
      <c r="S2" s="14">
        <v>81.412000000000006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v>6.1750000000000007</v>
      </c>
      <c r="I3" s="14">
        <v>8.6449999999999996</v>
      </c>
      <c r="J3" s="14">
        <v>9.8800000000000026</v>
      </c>
      <c r="K3" s="14">
        <v>6.3500000000000005</v>
      </c>
      <c r="L3" s="14">
        <v>8.89</v>
      </c>
      <c r="M3" s="14">
        <v>10.160000000000002</v>
      </c>
      <c r="N3" s="14">
        <v>6.6500000000000012</v>
      </c>
      <c r="O3" s="14">
        <v>9.31</v>
      </c>
      <c r="P3" s="14">
        <v>10.640000000000002</v>
      </c>
      <c r="Q3" s="14">
        <v>7.0324999999999989</v>
      </c>
      <c r="R3" s="14">
        <v>9.8454999999999977</v>
      </c>
      <c r="S3" s="14">
        <v>11.251999999999999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v>3</v>
      </c>
      <c r="I4" s="14">
        <v>4.1999999999999993</v>
      </c>
      <c r="J4" s="14">
        <v>4.8000000000000007</v>
      </c>
      <c r="K4" s="14">
        <v>3.6749999999999998</v>
      </c>
      <c r="L4" s="14">
        <v>5.1449999999999996</v>
      </c>
      <c r="M4" s="14">
        <v>5.88</v>
      </c>
      <c r="N4" s="14">
        <v>3.8250000000000002</v>
      </c>
      <c r="O4" s="14">
        <v>5.3549999999999995</v>
      </c>
      <c r="P4" s="14">
        <v>6.120000000000001</v>
      </c>
      <c r="Q4" s="14">
        <v>4.057500000000001</v>
      </c>
      <c r="R4" s="14">
        <v>5.6805000000000012</v>
      </c>
      <c r="S4" s="14">
        <v>6.4920000000000018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v>1.125</v>
      </c>
      <c r="I5" s="14">
        <v>1.575</v>
      </c>
      <c r="J5" s="14">
        <v>1.8</v>
      </c>
      <c r="K5" s="14">
        <v>1.125</v>
      </c>
      <c r="L5" s="14">
        <v>1.575</v>
      </c>
      <c r="M5" s="14">
        <v>1.8</v>
      </c>
      <c r="N5" s="14">
        <v>1.125</v>
      </c>
      <c r="O5" s="14">
        <v>1.575</v>
      </c>
      <c r="P5" s="14">
        <v>1.8</v>
      </c>
      <c r="Q5" s="14">
        <v>1.2075</v>
      </c>
      <c r="R5" s="14">
        <v>1.6904999999999999</v>
      </c>
      <c r="S5" s="14">
        <v>1.9320000000000002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v>15.399999999999999</v>
      </c>
      <c r="I6" s="14">
        <v>21.559999999999995</v>
      </c>
      <c r="J6" s="14">
        <v>24.64</v>
      </c>
      <c r="K6" s="14">
        <v>15.924999999999999</v>
      </c>
      <c r="L6" s="14">
        <v>22.294999999999998</v>
      </c>
      <c r="M6" s="14">
        <v>25.48</v>
      </c>
      <c r="N6" s="14">
        <v>16.574999999999999</v>
      </c>
      <c r="O6" s="14">
        <v>23.204999999999998</v>
      </c>
      <c r="P6" s="14">
        <v>26.52</v>
      </c>
      <c r="Q6" s="14">
        <v>17.307500000000008</v>
      </c>
      <c r="R6" s="14">
        <v>24.23050000000001</v>
      </c>
      <c r="S6" s="14">
        <v>27.692000000000014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v>0.375</v>
      </c>
      <c r="I7" s="14">
        <v>0.52499999999999991</v>
      </c>
      <c r="J7" s="14">
        <v>0.60000000000000009</v>
      </c>
      <c r="K7" s="14">
        <v>1.7999999999999998</v>
      </c>
      <c r="L7" s="14">
        <v>2.5199999999999996</v>
      </c>
      <c r="M7" s="14">
        <v>2.88</v>
      </c>
      <c r="N7" s="14">
        <v>1.9500000000000002</v>
      </c>
      <c r="O7" s="14">
        <v>2.73</v>
      </c>
      <c r="P7" s="14">
        <v>3.1200000000000006</v>
      </c>
      <c r="Q7" s="14">
        <v>2.1825000000000001</v>
      </c>
      <c r="R7" s="14">
        <v>3.0554999999999999</v>
      </c>
      <c r="S7" s="14">
        <v>3.4920000000000004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v>3.125</v>
      </c>
      <c r="I8" s="14">
        <v>4.375</v>
      </c>
      <c r="J8" s="14">
        <v>5</v>
      </c>
      <c r="K8" s="14">
        <v>6.25</v>
      </c>
      <c r="L8" s="14">
        <v>8.75</v>
      </c>
      <c r="M8" s="14">
        <v>10</v>
      </c>
      <c r="N8" s="14">
        <v>6.25</v>
      </c>
      <c r="O8" s="14">
        <v>8.75</v>
      </c>
      <c r="P8" s="14">
        <v>10</v>
      </c>
      <c r="Q8" s="14">
        <v>6.3324999999999996</v>
      </c>
      <c r="R8" s="14">
        <v>8.865499999999999</v>
      </c>
      <c r="S8" s="14">
        <v>10.132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v>3.75</v>
      </c>
      <c r="I9" s="14">
        <v>5.25</v>
      </c>
      <c r="J9" s="14">
        <v>6</v>
      </c>
      <c r="K9" s="14">
        <v>7.5</v>
      </c>
      <c r="L9" s="14">
        <v>10.5</v>
      </c>
      <c r="M9" s="14">
        <v>12</v>
      </c>
      <c r="N9" s="14">
        <v>10</v>
      </c>
      <c r="O9" s="14">
        <v>14</v>
      </c>
      <c r="P9" s="14">
        <v>16</v>
      </c>
      <c r="Q9" s="14">
        <v>8</v>
      </c>
      <c r="R9" s="14">
        <v>11.2</v>
      </c>
      <c r="S9" s="14">
        <v>12.8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v>11.375</v>
      </c>
      <c r="I11" s="14">
        <v>15.924999999999999</v>
      </c>
      <c r="J11" s="14">
        <v>18.2</v>
      </c>
      <c r="K11" s="14">
        <v>11.5</v>
      </c>
      <c r="L11" s="14">
        <v>16.099999999999998</v>
      </c>
      <c r="M11" s="14">
        <v>18.400000000000002</v>
      </c>
      <c r="N11" s="14">
        <v>11.5</v>
      </c>
      <c r="O11" s="14">
        <v>16.099999999999998</v>
      </c>
      <c r="P11" s="14">
        <v>18.400000000000002</v>
      </c>
      <c r="Q11" s="14">
        <v>11.5825</v>
      </c>
      <c r="R11" s="14">
        <v>16.215499999999999</v>
      </c>
      <c r="S11" s="14">
        <v>18.532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v>9</v>
      </c>
      <c r="I12" s="14">
        <v>12.6</v>
      </c>
      <c r="J12" s="14">
        <v>14.4</v>
      </c>
      <c r="K12" s="14">
        <v>7.9075000000000006</v>
      </c>
      <c r="L12" s="14">
        <v>11.070500000000001</v>
      </c>
      <c r="M12" s="14">
        <v>12.652000000000001</v>
      </c>
      <c r="N12" s="14">
        <v>7.6575000000000006</v>
      </c>
      <c r="O12" s="14">
        <v>10.720499999999999</v>
      </c>
      <c r="P12" s="14">
        <v>12.252000000000002</v>
      </c>
      <c r="Q12" s="14">
        <v>7.8650000000000002</v>
      </c>
      <c r="R12" s="14">
        <v>11.010999999999999</v>
      </c>
      <c r="S12" s="14">
        <v>12.584000000000001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v>4.25</v>
      </c>
      <c r="I13" s="14">
        <v>5.9499999999999993</v>
      </c>
      <c r="J13" s="14">
        <v>6.8000000000000007</v>
      </c>
      <c r="K13" s="14">
        <v>7.5</v>
      </c>
      <c r="L13" s="14">
        <v>10.5</v>
      </c>
      <c r="M13" s="14">
        <v>12</v>
      </c>
      <c r="N13" s="14">
        <v>8.75</v>
      </c>
      <c r="O13" s="14">
        <v>12.25</v>
      </c>
      <c r="P13" s="14">
        <v>14</v>
      </c>
      <c r="Q13" s="14">
        <v>10</v>
      </c>
      <c r="R13" s="14">
        <v>14</v>
      </c>
      <c r="S13" s="14">
        <v>16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v>7.5</v>
      </c>
      <c r="I17" s="14">
        <v>10.5</v>
      </c>
      <c r="J17" s="14">
        <v>12</v>
      </c>
      <c r="K17" s="14">
        <v>11.25</v>
      </c>
      <c r="L17" s="14">
        <v>15.749999999999998</v>
      </c>
      <c r="M17" s="14">
        <v>18</v>
      </c>
      <c r="N17" s="14">
        <v>11.25</v>
      </c>
      <c r="O17" s="14">
        <v>15.749999999999998</v>
      </c>
      <c r="P17" s="14">
        <v>18</v>
      </c>
      <c r="Q17" s="14">
        <v>11.3325</v>
      </c>
      <c r="R17" s="14">
        <v>15.865499999999999</v>
      </c>
      <c r="S17" s="14">
        <v>18.132000000000001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v>5.125</v>
      </c>
      <c r="I18" s="14">
        <v>7.1749999999999998</v>
      </c>
      <c r="J18" s="14">
        <v>8.2000000000000011</v>
      </c>
      <c r="K18" s="14">
        <v>5</v>
      </c>
      <c r="L18" s="14">
        <v>7</v>
      </c>
      <c r="M18" s="14">
        <v>8</v>
      </c>
      <c r="N18" s="14">
        <v>5</v>
      </c>
      <c r="O18" s="14">
        <v>7</v>
      </c>
      <c r="P18" s="14">
        <v>8</v>
      </c>
      <c r="Q18" s="14">
        <v>5.0824999999999996</v>
      </c>
      <c r="R18" s="14">
        <v>7.115499999999999</v>
      </c>
      <c r="S18" s="14">
        <v>8.1319999999999997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v>13</v>
      </c>
      <c r="I19" s="14">
        <v>18.2</v>
      </c>
      <c r="J19" s="14">
        <v>20.8</v>
      </c>
      <c r="K19" s="14">
        <v>13.75</v>
      </c>
      <c r="L19" s="14">
        <v>19.25</v>
      </c>
      <c r="M19" s="14">
        <v>22</v>
      </c>
      <c r="N19" s="14">
        <v>15</v>
      </c>
      <c r="O19" s="14">
        <v>21</v>
      </c>
      <c r="P19" s="14">
        <v>24</v>
      </c>
      <c r="Q19" s="14">
        <v>12.5825</v>
      </c>
      <c r="R19" s="14">
        <v>17.615499999999997</v>
      </c>
      <c r="S19" s="14">
        <v>20.132000000000001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v>14.8125</v>
      </c>
      <c r="I20" s="14">
        <v>20.737499999999997</v>
      </c>
      <c r="J20" s="14">
        <v>23.700000000000003</v>
      </c>
      <c r="K20" s="14">
        <v>15.3125</v>
      </c>
      <c r="L20" s="14">
        <v>21.4375</v>
      </c>
      <c r="M20" s="14">
        <v>24.5</v>
      </c>
      <c r="N20" s="14">
        <v>15.9375</v>
      </c>
      <c r="O20" s="14">
        <v>22.3125</v>
      </c>
      <c r="P20" s="14">
        <v>25.5</v>
      </c>
      <c r="Q20" s="14">
        <v>16.645</v>
      </c>
      <c r="R20" s="14">
        <v>23.302999999999997</v>
      </c>
      <c r="S20" s="14">
        <v>26.632000000000001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v>60.125</v>
      </c>
      <c r="I21" s="14">
        <v>84.174999999999997</v>
      </c>
      <c r="J21" s="14">
        <v>96.2</v>
      </c>
      <c r="K21" s="14">
        <v>70</v>
      </c>
      <c r="L21" s="14">
        <v>98</v>
      </c>
      <c r="M21" s="14">
        <v>112</v>
      </c>
      <c r="N21" s="14">
        <v>77.5</v>
      </c>
      <c r="O21" s="14">
        <v>108.5</v>
      </c>
      <c r="P21" s="14">
        <v>124</v>
      </c>
      <c r="Q21" s="14">
        <v>77.582499999999996</v>
      </c>
      <c r="R21" s="14">
        <v>108.61549999999998</v>
      </c>
      <c r="S21" s="14">
        <v>124.13200000000001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v>13.875</v>
      </c>
      <c r="I22" s="14">
        <v>19.424999999999997</v>
      </c>
      <c r="J22" s="14">
        <v>22.200000000000003</v>
      </c>
      <c r="K22" s="14">
        <v>13.75</v>
      </c>
      <c r="L22" s="14">
        <v>19.25</v>
      </c>
      <c r="M22" s="14">
        <v>22</v>
      </c>
      <c r="N22" s="14">
        <v>13.75</v>
      </c>
      <c r="O22" s="14">
        <v>19.25</v>
      </c>
      <c r="P22" s="14">
        <v>22</v>
      </c>
      <c r="Q22" s="14">
        <v>13.8325</v>
      </c>
      <c r="R22" s="14">
        <v>19.365499999999997</v>
      </c>
      <c r="S22" s="14">
        <v>22.132000000000001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v>22.625</v>
      </c>
      <c r="I23" s="14">
        <v>31.674999999999997</v>
      </c>
      <c r="J23" s="14">
        <v>36.200000000000003</v>
      </c>
      <c r="K23" s="14">
        <v>24.475000000000001</v>
      </c>
      <c r="L23" s="14">
        <v>34.265000000000001</v>
      </c>
      <c r="M23" s="14">
        <v>39.160000000000004</v>
      </c>
      <c r="N23" s="14">
        <v>25.524999999999999</v>
      </c>
      <c r="O23" s="14">
        <v>35.734999999999992</v>
      </c>
      <c r="P23" s="14">
        <v>40.840000000000003</v>
      </c>
      <c r="Q23" s="14">
        <v>27.482499999999998</v>
      </c>
      <c r="R23" s="14">
        <v>38.475499999999997</v>
      </c>
      <c r="S23" s="14">
        <v>43.972000000000001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v>10</v>
      </c>
      <c r="I24" s="14">
        <v>14</v>
      </c>
      <c r="J24" s="14">
        <v>16</v>
      </c>
      <c r="K24" s="14">
        <v>12.5</v>
      </c>
      <c r="L24" s="14">
        <v>17.5</v>
      </c>
      <c r="M24" s="14">
        <v>20</v>
      </c>
      <c r="N24" s="14">
        <v>12.5</v>
      </c>
      <c r="O24" s="14">
        <v>17.5</v>
      </c>
      <c r="P24" s="14">
        <v>20</v>
      </c>
      <c r="Q24" s="14">
        <v>12.5825</v>
      </c>
      <c r="R24" s="14">
        <v>17.615499999999997</v>
      </c>
      <c r="S24" s="14">
        <v>20.132000000000001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v>3.875</v>
      </c>
      <c r="I25" s="14">
        <v>5.4249999999999998</v>
      </c>
      <c r="J25" s="14">
        <v>6.2</v>
      </c>
      <c r="K25" s="14">
        <v>3.875</v>
      </c>
      <c r="L25" s="14">
        <v>5.4249999999999998</v>
      </c>
      <c r="M25" s="14">
        <v>6.2</v>
      </c>
      <c r="N25" s="14">
        <v>12.5</v>
      </c>
      <c r="O25" s="14">
        <v>17.5</v>
      </c>
      <c r="P25" s="14">
        <v>20</v>
      </c>
      <c r="Q25" s="14">
        <v>12.5825</v>
      </c>
      <c r="R25" s="14">
        <v>17.615499999999997</v>
      </c>
      <c r="S25" s="14">
        <v>20.132000000000001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v>1.25</v>
      </c>
      <c r="I26" s="14">
        <v>1.75</v>
      </c>
      <c r="J26" s="14">
        <v>2</v>
      </c>
      <c r="K26" s="14">
        <v>6.25</v>
      </c>
      <c r="L26" s="14">
        <v>8.75</v>
      </c>
      <c r="M26" s="14">
        <v>10</v>
      </c>
      <c r="N26" s="14">
        <v>6.25</v>
      </c>
      <c r="O26" s="14">
        <v>8.75</v>
      </c>
      <c r="P26" s="14">
        <v>10</v>
      </c>
      <c r="Q26" s="14">
        <v>6.3324999999999996</v>
      </c>
      <c r="R26" s="14">
        <v>8.865499999999999</v>
      </c>
      <c r="S26" s="14">
        <v>10.132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v>9.375</v>
      </c>
      <c r="I33" s="14">
        <v>13.125</v>
      </c>
      <c r="J33" s="14">
        <v>15</v>
      </c>
      <c r="K33" s="14">
        <v>13</v>
      </c>
      <c r="L33" s="14">
        <v>18.2</v>
      </c>
      <c r="M33" s="14">
        <v>20.8</v>
      </c>
      <c r="N33" s="14">
        <v>13.5</v>
      </c>
      <c r="O33" s="14">
        <v>18.899999999999999</v>
      </c>
      <c r="P33" s="14">
        <v>21.6</v>
      </c>
      <c r="Q33" s="14">
        <v>14.3325</v>
      </c>
      <c r="R33" s="14">
        <v>20.065499999999997</v>
      </c>
      <c r="S33" s="14">
        <v>22.932000000000002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v>6</v>
      </c>
      <c r="I34" s="14">
        <v>8.3999999999999986</v>
      </c>
      <c r="J34" s="14">
        <v>9.6000000000000014</v>
      </c>
      <c r="K34" s="14">
        <v>6.125</v>
      </c>
      <c r="L34" s="14">
        <v>8.5749999999999993</v>
      </c>
      <c r="M34" s="14">
        <v>9.8000000000000007</v>
      </c>
      <c r="N34" s="14">
        <v>6.375</v>
      </c>
      <c r="O34" s="14">
        <v>8.9249999999999989</v>
      </c>
      <c r="P34" s="14">
        <v>10.200000000000001</v>
      </c>
      <c r="Q34" s="14">
        <v>6.7074999999999996</v>
      </c>
      <c r="R34" s="14">
        <v>9.3904999999999994</v>
      </c>
      <c r="S34" s="14">
        <v>10.731999999999999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v>3.875</v>
      </c>
      <c r="I35" s="14">
        <v>5.4249999999999998</v>
      </c>
      <c r="J35" s="14">
        <v>6.2</v>
      </c>
      <c r="K35" s="14">
        <v>3.75</v>
      </c>
      <c r="L35" s="14">
        <v>5.25</v>
      </c>
      <c r="M35" s="14">
        <v>6</v>
      </c>
      <c r="N35" s="14">
        <v>3.75</v>
      </c>
      <c r="O35" s="14">
        <v>5.25</v>
      </c>
      <c r="P35" s="14">
        <v>6</v>
      </c>
      <c r="Q35" s="14">
        <v>3.75</v>
      </c>
      <c r="R35" s="14">
        <v>5.25</v>
      </c>
      <c r="S35" s="14">
        <v>6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v>7.5</v>
      </c>
      <c r="I37" s="14">
        <v>10.5</v>
      </c>
      <c r="J37" s="14">
        <v>12</v>
      </c>
      <c r="K37" s="14">
        <v>10</v>
      </c>
      <c r="L37" s="14">
        <v>14</v>
      </c>
      <c r="M37" s="14">
        <v>16</v>
      </c>
      <c r="N37" s="14">
        <v>10</v>
      </c>
      <c r="O37" s="14">
        <v>14</v>
      </c>
      <c r="P37" s="14">
        <v>16</v>
      </c>
      <c r="Q37" s="14">
        <v>10</v>
      </c>
      <c r="R37" s="14">
        <v>14</v>
      </c>
      <c r="S37" s="14">
        <v>16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v>2.375</v>
      </c>
      <c r="I39" s="14">
        <v>3.3249999999999997</v>
      </c>
      <c r="J39" s="14">
        <v>3.8000000000000003</v>
      </c>
      <c r="K39" s="14">
        <v>2.25</v>
      </c>
      <c r="L39" s="14">
        <v>3.15</v>
      </c>
      <c r="M39" s="14">
        <v>3.6</v>
      </c>
      <c r="N39" s="14">
        <v>2.25</v>
      </c>
      <c r="O39" s="14">
        <v>3.15</v>
      </c>
      <c r="P39" s="14">
        <v>3.6</v>
      </c>
      <c r="Q39" s="14">
        <v>2.3325</v>
      </c>
      <c r="R39" s="14">
        <v>3.2654999999999998</v>
      </c>
      <c r="S39" s="14">
        <v>3.7320000000000002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v>1.1875</v>
      </c>
      <c r="I40" s="14">
        <v>1.6624999999999999</v>
      </c>
      <c r="J40" s="14">
        <v>1.9000000000000001</v>
      </c>
      <c r="K40" s="14">
        <v>1.1875</v>
      </c>
      <c r="L40" s="14">
        <v>1.6624999999999999</v>
      </c>
      <c r="M40" s="14">
        <v>1.9000000000000001</v>
      </c>
      <c r="N40" s="14">
        <v>1.1875</v>
      </c>
      <c r="O40" s="14">
        <v>1.6624999999999999</v>
      </c>
      <c r="P40" s="14">
        <v>1.9000000000000001</v>
      </c>
      <c r="Q40" s="14">
        <v>1.27</v>
      </c>
      <c r="R40" s="14">
        <v>1.7779999999999998</v>
      </c>
      <c r="S40" s="14">
        <v>2.032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v>12.5</v>
      </c>
      <c r="I42" s="14">
        <v>17.5</v>
      </c>
      <c r="J42" s="14">
        <v>20</v>
      </c>
      <c r="K42" s="14">
        <v>11.25</v>
      </c>
      <c r="L42" s="14">
        <v>15.749999999999998</v>
      </c>
      <c r="M42" s="14">
        <v>18</v>
      </c>
      <c r="N42" s="14">
        <v>11.25</v>
      </c>
      <c r="O42" s="14">
        <v>15.749999999999998</v>
      </c>
      <c r="P42" s="14">
        <v>18</v>
      </c>
      <c r="Q42" s="14">
        <v>11.3325</v>
      </c>
      <c r="R42" s="14">
        <v>15.865499999999999</v>
      </c>
      <c r="S42" s="14">
        <v>18.132000000000001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v>3.75</v>
      </c>
      <c r="I43" s="14">
        <v>5.25</v>
      </c>
      <c r="J43" s="14">
        <v>6</v>
      </c>
      <c r="K43" s="14">
        <v>4.5863999999999994</v>
      </c>
      <c r="L43" s="14">
        <v>6.4209599999999991</v>
      </c>
      <c r="M43" s="14">
        <v>7.338239999999999</v>
      </c>
      <c r="N43" s="14">
        <v>4.7736000000000001</v>
      </c>
      <c r="O43" s="14">
        <v>6.6830400000000001</v>
      </c>
      <c r="P43" s="14">
        <v>7.6377600000000001</v>
      </c>
      <c r="Q43" s="14">
        <v>5.0433000000000003</v>
      </c>
      <c r="R43" s="14">
        <v>7.0606200000000001</v>
      </c>
      <c r="S43" s="14">
        <v>8.0692800000000009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v>1.39375</v>
      </c>
      <c r="I44" s="14">
        <v>1.9512499999999999</v>
      </c>
      <c r="J44" s="14">
        <v>2.23</v>
      </c>
      <c r="K44" s="14">
        <v>4.3187499999999996</v>
      </c>
      <c r="L44" s="14">
        <v>6.0462499999999988</v>
      </c>
      <c r="M44" s="14">
        <v>6.91</v>
      </c>
      <c r="N44" s="14">
        <v>4.3187499999999996</v>
      </c>
      <c r="O44" s="14">
        <v>6.0462499999999988</v>
      </c>
      <c r="P44" s="14">
        <v>6.91</v>
      </c>
      <c r="Q44" s="14">
        <v>4.3187499999999996</v>
      </c>
      <c r="R44" s="14">
        <v>6.0462499999999988</v>
      </c>
      <c r="S44" s="14">
        <v>6.91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v>1.5</v>
      </c>
      <c r="I45" s="14">
        <v>2.0999999999999996</v>
      </c>
      <c r="J45" s="14">
        <v>2.4000000000000004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v>112.5</v>
      </c>
      <c r="I49" s="14">
        <v>157.5</v>
      </c>
      <c r="J49" s="14">
        <v>180</v>
      </c>
      <c r="K49" s="14">
        <v>103.625</v>
      </c>
      <c r="L49" s="14">
        <v>145.07499999999999</v>
      </c>
      <c r="M49" s="14">
        <v>165.8</v>
      </c>
      <c r="N49" s="14">
        <v>88.875</v>
      </c>
      <c r="O49" s="14">
        <v>124.425</v>
      </c>
      <c r="P49" s="14">
        <v>142.20000000000002</v>
      </c>
      <c r="Q49" s="14">
        <v>89.957499999999996</v>
      </c>
      <c r="R49" s="14">
        <v>125.94049999999999</v>
      </c>
      <c r="S49" s="14">
        <v>143.93199999999999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v>12.5</v>
      </c>
      <c r="I50" s="14">
        <v>17.5</v>
      </c>
      <c r="J50" s="14">
        <v>20</v>
      </c>
      <c r="K50" s="14">
        <v>15</v>
      </c>
      <c r="L50" s="14">
        <v>21</v>
      </c>
      <c r="M50" s="14">
        <v>24</v>
      </c>
      <c r="N50" s="14">
        <v>14</v>
      </c>
      <c r="O50" s="14">
        <v>19.599999999999998</v>
      </c>
      <c r="P50" s="14">
        <v>22.400000000000002</v>
      </c>
      <c r="Q50" s="14">
        <v>15.5825</v>
      </c>
      <c r="R50" s="14">
        <v>21.815499999999997</v>
      </c>
      <c r="S50" s="14">
        <v>24.932000000000002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v>6.5</v>
      </c>
      <c r="I51" s="14">
        <v>9.1</v>
      </c>
      <c r="J51" s="14">
        <v>10.4</v>
      </c>
      <c r="K51" s="14">
        <v>16.875</v>
      </c>
      <c r="L51" s="14">
        <v>23.625</v>
      </c>
      <c r="M51" s="14">
        <v>27</v>
      </c>
      <c r="N51" s="14">
        <v>11.875</v>
      </c>
      <c r="O51" s="14">
        <v>16.625</v>
      </c>
      <c r="P51" s="14">
        <v>19</v>
      </c>
      <c r="Q51" s="14">
        <v>16.9575</v>
      </c>
      <c r="R51" s="14">
        <v>23.740499999999997</v>
      </c>
      <c r="S51" s="14">
        <v>27.132000000000001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v>87</v>
      </c>
      <c r="I52" s="14">
        <v>121.8</v>
      </c>
      <c r="J52" s="14">
        <v>139.20000000000002</v>
      </c>
      <c r="K52" s="14">
        <v>89.375</v>
      </c>
      <c r="L52" s="14">
        <v>125.12499999999999</v>
      </c>
      <c r="M52" s="14">
        <v>143</v>
      </c>
      <c r="N52" s="14">
        <v>81.875</v>
      </c>
      <c r="O52" s="14">
        <v>114.62499999999999</v>
      </c>
      <c r="P52" s="14">
        <v>131</v>
      </c>
      <c r="Q52" s="14">
        <v>89.457499999999996</v>
      </c>
      <c r="R52" s="14">
        <v>125.24049999999998</v>
      </c>
      <c r="S52" s="14">
        <v>143.13200000000001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v>6</v>
      </c>
      <c r="I53" s="14">
        <v>8.3999999999999986</v>
      </c>
      <c r="J53" s="14">
        <v>9.6000000000000014</v>
      </c>
      <c r="K53" s="14">
        <v>5.916666666666667</v>
      </c>
      <c r="L53" s="14">
        <v>8.2833333333333332</v>
      </c>
      <c r="M53" s="14">
        <v>9.4666666666666668</v>
      </c>
      <c r="N53" s="14">
        <v>5.916666666666667</v>
      </c>
      <c r="O53" s="14">
        <v>8.2833333333333332</v>
      </c>
      <c r="P53" s="14">
        <v>9.4666666666666668</v>
      </c>
      <c r="Q53" s="14">
        <v>5.9991666666666665</v>
      </c>
      <c r="R53" s="14">
        <v>8.3988333333333323</v>
      </c>
      <c r="S53" s="14">
        <v>9.5986666666666665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v>2.5</v>
      </c>
      <c r="I54" s="14">
        <v>3.5</v>
      </c>
      <c r="J54" s="14">
        <v>4</v>
      </c>
      <c r="K54" s="14">
        <v>2.9166666666666665</v>
      </c>
      <c r="L54" s="14">
        <v>4.083333333333333</v>
      </c>
      <c r="M54" s="14">
        <v>4.666666666666667</v>
      </c>
      <c r="N54" s="14">
        <v>2.9166666666666665</v>
      </c>
      <c r="O54" s="14">
        <v>4.083333333333333</v>
      </c>
      <c r="P54" s="14">
        <v>4.666666666666667</v>
      </c>
      <c r="Q54" s="14">
        <v>2.9991666666666665</v>
      </c>
      <c r="R54" s="14">
        <v>4.198833333333333</v>
      </c>
      <c r="S54" s="14">
        <v>4.7986666666666666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v>3.75</v>
      </c>
      <c r="I55" s="14">
        <v>5.25</v>
      </c>
      <c r="J55" s="14">
        <v>6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v>12.5</v>
      </c>
      <c r="I57" s="14">
        <v>17.5</v>
      </c>
      <c r="J57" s="14">
        <v>20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v>95.92492</v>
      </c>
      <c r="I58" s="14">
        <v>134.29488799999999</v>
      </c>
      <c r="J58" s="14">
        <v>153.479872</v>
      </c>
      <c r="K58" s="14">
        <v>191.84984</v>
      </c>
      <c r="L58" s="14">
        <v>268.58977599999997</v>
      </c>
      <c r="M58" s="14">
        <v>306.959744</v>
      </c>
      <c r="N58" s="14">
        <v>287.77476000000001</v>
      </c>
      <c r="O58" s="14">
        <v>402.88466399999999</v>
      </c>
      <c r="P58" s="14">
        <v>460.439616</v>
      </c>
      <c r="Q58" s="14">
        <v>383.69968</v>
      </c>
      <c r="R58" s="14">
        <v>537.17955199999994</v>
      </c>
      <c r="S58" s="14">
        <v>613.919488</v>
      </c>
    </row>
  </sheetData>
  <conditionalFormatting sqref="B1:C1">
    <cfRule type="duplicateValues" dxfId="86" priority="2"/>
  </conditionalFormatting>
  <conditionalFormatting sqref="B2:C1048576">
    <cfRule type="duplicateValues" dxfId="85" priority="28"/>
  </conditionalFormatting>
  <conditionalFormatting sqref="D1:E1">
    <cfRule type="duplicateValues" dxfId="8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E20-3FE7-4E81-8C2F-5B597338F0CA}">
  <sheetPr codeName="Sheet2">
    <tabColor rgb="FF002060"/>
  </sheetPr>
  <dimension ref="A1:S5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8">
        <f>Revenue_Budget!H1</f>
        <v>45383</v>
      </c>
      <c r="I1" s="18">
        <f>Revenue_Budget!I1</f>
        <v>45413</v>
      </c>
      <c r="J1" s="18">
        <f>Revenue_Budget!J1</f>
        <v>45444</v>
      </c>
      <c r="K1" s="18">
        <f>Revenue_Budget!K1</f>
        <v>45474</v>
      </c>
      <c r="L1" s="18">
        <f>Revenue_Budget!L1</f>
        <v>45505</v>
      </c>
      <c r="M1" s="18">
        <f>Revenue_Budget!M1</f>
        <v>45536</v>
      </c>
      <c r="N1" s="18">
        <f>Revenue_Budget!N1</f>
        <v>45566</v>
      </c>
      <c r="O1" s="18">
        <f>Revenue_Budget!O1</f>
        <v>45597</v>
      </c>
      <c r="P1" s="18">
        <f>Revenue_Budget!P1</f>
        <v>45627</v>
      </c>
      <c r="Q1" s="18">
        <f>Revenue_Budget!Q1</f>
        <v>45658</v>
      </c>
      <c r="R1" s="18">
        <f>Revenue_Budget!R1</f>
        <v>45689</v>
      </c>
      <c r="S1" s="18">
        <f>Revenue_Budget!S1</f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f>Revenue_Budget!H2*42%</f>
        <v>10.5</v>
      </c>
      <c r="I2" s="14">
        <f>Revenue_Budget!I2*42%</f>
        <v>14.7</v>
      </c>
      <c r="J2" s="14">
        <f>Revenue_Budget!J2*42%</f>
        <v>16.8</v>
      </c>
      <c r="K2" s="14">
        <f>Revenue_Budget!K2*42%</f>
        <v>18.27</v>
      </c>
      <c r="L2" s="14">
        <f>Revenue_Budget!L2*42%</f>
        <v>25.577999999999999</v>
      </c>
      <c r="M2" s="14">
        <f>Revenue_Budget!M2*42%</f>
        <v>29.232000000000003</v>
      </c>
      <c r="N2" s="14">
        <f>Revenue_Budget!N2*42%</f>
        <v>20.590499999999999</v>
      </c>
      <c r="O2" s="14">
        <f>Revenue_Budget!O2*42%</f>
        <v>28.826699999999995</v>
      </c>
      <c r="P2" s="14">
        <f>Revenue_Budget!P2*42%</f>
        <v>32.944800000000001</v>
      </c>
      <c r="Q2" s="14">
        <f>Revenue_Budget!Q2*42%</f>
        <v>21.370649999999998</v>
      </c>
      <c r="R2" s="14">
        <f>Revenue_Budget!R2*42%</f>
        <v>29.91891</v>
      </c>
      <c r="S2" s="14">
        <f>Revenue_Budget!S2*42%</f>
        <v>34.193040000000003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f>Revenue_Budget!H3*42%</f>
        <v>2.5935000000000001</v>
      </c>
      <c r="I3" s="14">
        <f>Revenue_Budget!I3*42%</f>
        <v>3.6308999999999996</v>
      </c>
      <c r="J3" s="14">
        <f>Revenue_Budget!J3*42%</f>
        <v>4.1496000000000013</v>
      </c>
      <c r="K3" s="14">
        <f>Revenue_Budget!K3*42%</f>
        <v>2.6670000000000003</v>
      </c>
      <c r="L3" s="14">
        <f>Revenue_Budget!L3*42%</f>
        <v>3.7338</v>
      </c>
      <c r="M3" s="14">
        <f>Revenue_Budget!M3*42%</f>
        <v>4.2672000000000008</v>
      </c>
      <c r="N3" s="14">
        <f>Revenue_Budget!N3*42%</f>
        <v>2.7930000000000006</v>
      </c>
      <c r="O3" s="14">
        <f>Revenue_Budget!O3*42%</f>
        <v>3.9102000000000001</v>
      </c>
      <c r="P3" s="14">
        <f>Revenue_Budget!P3*42%</f>
        <v>4.4688000000000008</v>
      </c>
      <c r="Q3" s="14">
        <f>Revenue_Budget!Q3*42%</f>
        <v>2.9536499999999992</v>
      </c>
      <c r="R3" s="14">
        <f>Revenue_Budget!R3*42%</f>
        <v>4.1351099999999992</v>
      </c>
      <c r="S3" s="14">
        <f>Revenue_Budget!S3*42%</f>
        <v>4.7258399999999989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f>Revenue_Budget!H4*42%</f>
        <v>1.26</v>
      </c>
      <c r="I4" s="14">
        <f>Revenue_Budget!I4*42%</f>
        <v>1.7639999999999996</v>
      </c>
      <c r="J4" s="14">
        <f>Revenue_Budget!J4*42%</f>
        <v>2.016</v>
      </c>
      <c r="K4" s="14">
        <f>Revenue_Budget!K4*42%</f>
        <v>1.5434999999999999</v>
      </c>
      <c r="L4" s="14">
        <f>Revenue_Budget!L4*42%</f>
        <v>2.1608999999999998</v>
      </c>
      <c r="M4" s="14">
        <f>Revenue_Budget!M4*42%</f>
        <v>2.4695999999999998</v>
      </c>
      <c r="N4" s="14">
        <f>Revenue_Budget!N4*42%</f>
        <v>1.6065</v>
      </c>
      <c r="O4" s="14">
        <f>Revenue_Budget!O4*42%</f>
        <v>2.2490999999999999</v>
      </c>
      <c r="P4" s="14">
        <f>Revenue_Budget!P4*42%</f>
        <v>2.5704000000000002</v>
      </c>
      <c r="Q4" s="14">
        <f>Revenue_Budget!Q4*42%</f>
        <v>1.7041500000000003</v>
      </c>
      <c r="R4" s="14">
        <f>Revenue_Budget!R4*42%</f>
        <v>2.3858100000000002</v>
      </c>
      <c r="S4" s="14">
        <f>Revenue_Budget!S4*42%</f>
        <v>2.7266400000000006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f>Revenue_Budget!H5*42%</f>
        <v>0.47249999999999998</v>
      </c>
      <c r="I5" s="14">
        <f>Revenue_Budget!I5*42%</f>
        <v>0.66149999999999998</v>
      </c>
      <c r="J5" s="14">
        <f>Revenue_Budget!J5*42%</f>
        <v>0.75600000000000001</v>
      </c>
      <c r="K5" s="14">
        <f>Revenue_Budget!K5*42%</f>
        <v>0.47249999999999998</v>
      </c>
      <c r="L5" s="14">
        <f>Revenue_Budget!L5*42%</f>
        <v>0.66149999999999998</v>
      </c>
      <c r="M5" s="14">
        <f>Revenue_Budget!M5*42%</f>
        <v>0.75600000000000001</v>
      </c>
      <c r="N5" s="14">
        <f>Revenue_Budget!N5*42%</f>
        <v>0.47249999999999998</v>
      </c>
      <c r="O5" s="14">
        <f>Revenue_Budget!O5*42%</f>
        <v>0.66149999999999998</v>
      </c>
      <c r="P5" s="14">
        <f>Revenue_Budget!P5*42%</f>
        <v>0.75600000000000001</v>
      </c>
      <c r="Q5" s="14">
        <f>Revenue_Budget!Q5*42%</f>
        <v>0.50714999999999999</v>
      </c>
      <c r="R5" s="14">
        <f>Revenue_Budget!R5*42%</f>
        <v>0.71000999999999992</v>
      </c>
      <c r="S5" s="14">
        <f>Revenue_Budget!S5*42%</f>
        <v>0.81144000000000005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f>Revenue_Budget!H6*42%</f>
        <v>6.4679999999999991</v>
      </c>
      <c r="I6" s="14">
        <f>Revenue_Budget!I6*42%</f>
        <v>9.0551999999999975</v>
      </c>
      <c r="J6" s="14">
        <f>Revenue_Budget!J6*42%</f>
        <v>10.348800000000001</v>
      </c>
      <c r="K6" s="14">
        <f>Revenue_Budget!K6*42%</f>
        <v>6.6884999999999994</v>
      </c>
      <c r="L6" s="14">
        <f>Revenue_Budget!L6*42%</f>
        <v>9.3638999999999992</v>
      </c>
      <c r="M6" s="14">
        <f>Revenue_Budget!M6*42%</f>
        <v>10.701599999999999</v>
      </c>
      <c r="N6" s="14">
        <f>Revenue_Budget!N6*42%</f>
        <v>6.9614999999999991</v>
      </c>
      <c r="O6" s="14">
        <f>Revenue_Budget!O6*42%</f>
        <v>9.7460999999999984</v>
      </c>
      <c r="P6" s="14">
        <f>Revenue_Budget!P6*42%</f>
        <v>11.138399999999999</v>
      </c>
      <c r="Q6" s="14">
        <f>Revenue_Budget!Q6*42%</f>
        <v>7.2691500000000033</v>
      </c>
      <c r="R6" s="14">
        <f>Revenue_Budget!R6*42%</f>
        <v>10.176810000000003</v>
      </c>
      <c r="S6" s="14">
        <f>Revenue_Budget!S6*42%</f>
        <v>11.630640000000005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f>Revenue_Budget!H7*42%</f>
        <v>0.1575</v>
      </c>
      <c r="I7" s="14">
        <f>Revenue_Budget!I7*42%</f>
        <v>0.22049999999999995</v>
      </c>
      <c r="J7" s="14">
        <f>Revenue_Budget!J7*42%</f>
        <v>0.252</v>
      </c>
      <c r="K7" s="14">
        <f>Revenue_Budget!K7*42%</f>
        <v>0.75599999999999989</v>
      </c>
      <c r="L7" s="14">
        <f>Revenue_Budget!L7*42%</f>
        <v>1.0583999999999998</v>
      </c>
      <c r="M7" s="14">
        <f>Revenue_Budget!M7*42%</f>
        <v>1.2096</v>
      </c>
      <c r="N7" s="14">
        <f>Revenue_Budget!N7*42%</f>
        <v>0.81900000000000006</v>
      </c>
      <c r="O7" s="14">
        <f>Revenue_Budget!O7*42%</f>
        <v>1.1465999999999998</v>
      </c>
      <c r="P7" s="14">
        <f>Revenue_Budget!P7*42%</f>
        <v>1.3104000000000002</v>
      </c>
      <c r="Q7" s="14">
        <f>Revenue_Budget!Q7*42%</f>
        <v>0.91664999999999996</v>
      </c>
      <c r="R7" s="14">
        <f>Revenue_Budget!R7*42%</f>
        <v>1.28331</v>
      </c>
      <c r="S7" s="14">
        <f>Revenue_Budget!S7*42%</f>
        <v>1.4666400000000002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f>Revenue_Budget!H8*42%</f>
        <v>1.3125</v>
      </c>
      <c r="I8" s="14">
        <f>Revenue_Budget!I8*42%</f>
        <v>1.8374999999999999</v>
      </c>
      <c r="J8" s="14">
        <f>Revenue_Budget!J8*42%</f>
        <v>2.1</v>
      </c>
      <c r="K8" s="14">
        <f>Revenue_Budget!K8*42%</f>
        <v>2.625</v>
      </c>
      <c r="L8" s="14">
        <f>Revenue_Budget!L8*42%</f>
        <v>3.6749999999999998</v>
      </c>
      <c r="M8" s="14">
        <f>Revenue_Budget!M8*42%</f>
        <v>4.2</v>
      </c>
      <c r="N8" s="14">
        <f>Revenue_Budget!N8*42%</f>
        <v>2.625</v>
      </c>
      <c r="O8" s="14">
        <f>Revenue_Budget!O8*42%</f>
        <v>3.6749999999999998</v>
      </c>
      <c r="P8" s="14">
        <f>Revenue_Budget!P8*42%</f>
        <v>4.2</v>
      </c>
      <c r="Q8" s="14">
        <f>Revenue_Budget!Q8*42%</f>
        <v>2.6596499999999996</v>
      </c>
      <c r="R8" s="14">
        <f>Revenue_Budget!R8*42%</f>
        <v>3.7235099999999997</v>
      </c>
      <c r="S8" s="14">
        <f>Revenue_Budget!S8*42%</f>
        <v>4.2554400000000001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f>Revenue_Budget!H9*42%</f>
        <v>1.575</v>
      </c>
      <c r="I9" s="14">
        <f>Revenue_Budget!I9*42%</f>
        <v>2.2050000000000001</v>
      </c>
      <c r="J9" s="14">
        <f>Revenue_Budget!J9*42%</f>
        <v>2.52</v>
      </c>
      <c r="K9" s="14">
        <f>Revenue_Budget!K9*42%</f>
        <v>3.15</v>
      </c>
      <c r="L9" s="14">
        <f>Revenue_Budget!L9*42%</f>
        <v>4.41</v>
      </c>
      <c r="M9" s="14">
        <f>Revenue_Budget!M9*42%</f>
        <v>5.04</v>
      </c>
      <c r="N9" s="14">
        <f>Revenue_Budget!N9*42%</f>
        <v>4.2</v>
      </c>
      <c r="O9" s="14">
        <f>Revenue_Budget!O9*42%</f>
        <v>5.88</v>
      </c>
      <c r="P9" s="14">
        <f>Revenue_Budget!P9*42%</f>
        <v>6.72</v>
      </c>
      <c r="Q9" s="14">
        <f>Revenue_Budget!Q9*42%</f>
        <v>3.36</v>
      </c>
      <c r="R9" s="14">
        <f>Revenue_Budget!R9*42%</f>
        <v>4.7039999999999997</v>
      </c>
      <c r="S9" s="14">
        <f>Revenue_Budget!S9*42%</f>
        <v>5.3760000000000003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f>Revenue_Budget!H10*42%</f>
        <v>0</v>
      </c>
      <c r="I10" s="14">
        <f>Revenue_Budget!I10*42%</f>
        <v>0</v>
      </c>
      <c r="J10" s="14">
        <f>Revenue_Budget!J10*42%</f>
        <v>0</v>
      </c>
      <c r="K10" s="14">
        <f>Revenue_Budget!K10*42%</f>
        <v>0</v>
      </c>
      <c r="L10" s="14">
        <f>Revenue_Budget!L10*42%</f>
        <v>0</v>
      </c>
      <c r="M10" s="14">
        <f>Revenue_Budget!M10*42%</f>
        <v>0</v>
      </c>
      <c r="N10" s="14">
        <f>Revenue_Budget!N10*42%</f>
        <v>0</v>
      </c>
      <c r="O10" s="14">
        <f>Revenue_Budget!O10*42%</f>
        <v>0</v>
      </c>
      <c r="P10" s="14">
        <f>Revenue_Budget!P10*42%</f>
        <v>0</v>
      </c>
      <c r="Q10" s="14">
        <f>Revenue_Budget!Q10*42%</f>
        <v>0</v>
      </c>
      <c r="R10" s="14">
        <f>Revenue_Budget!R10*42%</f>
        <v>0</v>
      </c>
      <c r="S10" s="14">
        <f>Revenue_Budget!S10*42%</f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f>Revenue_Budget!H11*42%</f>
        <v>4.7774999999999999</v>
      </c>
      <c r="I11" s="14">
        <f>Revenue_Budget!I11*42%</f>
        <v>6.6884999999999994</v>
      </c>
      <c r="J11" s="14">
        <f>Revenue_Budget!J11*42%</f>
        <v>7.6439999999999992</v>
      </c>
      <c r="K11" s="14">
        <f>Revenue_Budget!K11*42%</f>
        <v>4.83</v>
      </c>
      <c r="L11" s="14">
        <f>Revenue_Budget!L11*42%</f>
        <v>6.7619999999999987</v>
      </c>
      <c r="M11" s="14">
        <f>Revenue_Budget!M11*42%</f>
        <v>7.7280000000000006</v>
      </c>
      <c r="N11" s="14">
        <f>Revenue_Budget!N11*42%</f>
        <v>4.83</v>
      </c>
      <c r="O11" s="14">
        <f>Revenue_Budget!O11*42%</f>
        <v>6.7619999999999987</v>
      </c>
      <c r="P11" s="14">
        <f>Revenue_Budget!P11*42%</f>
        <v>7.7280000000000006</v>
      </c>
      <c r="Q11" s="14">
        <f>Revenue_Budget!Q11*42%</f>
        <v>4.8646499999999993</v>
      </c>
      <c r="R11" s="14">
        <f>Revenue_Budget!R11*42%</f>
        <v>6.810509999999999</v>
      </c>
      <c r="S11" s="14">
        <f>Revenue_Budget!S11*42%</f>
        <v>7.7834399999999997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f>Revenue_Budget!H12*42%</f>
        <v>3.78</v>
      </c>
      <c r="I12" s="14">
        <f>Revenue_Budget!I12*42%</f>
        <v>5.2919999999999998</v>
      </c>
      <c r="J12" s="14">
        <f>Revenue_Budget!J12*42%</f>
        <v>6.048</v>
      </c>
      <c r="K12" s="14">
        <f>Revenue_Budget!K12*42%</f>
        <v>3.3211500000000003</v>
      </c>
      <c r="L12" s="14">
        <f>Revenue_Budget!L12*42%</f>
        <v>4.64961</v>
      </c>
      <c r="M12" s="14">
        <f>Revenue_Budget!M12*42%</f>
        <v>5.3138399999999999</v>
      </c>
      <c r="N12" s="14">
        <f>Revenue_Budget!N12*42%</f>
        <v>3.2161500000000003</v>
      </c>
      <c r="O12" s="14">
        <f>Revenue_Budget!O12*42%</f>
        <v>4.5026099999999998</v>
      </c>
      <c r="P12" s="14">
        <f>Revenue_Budget!P12*42%</f>
        <v>5.1458400000000006</v>
      </c>
      <c r="Q12" s="14">
        <f>Revenue_Budget!Q12*42%</f>
        <v>3.3033000000000001</v>
      </c>
      <c r="R12" s="14">
        <f>Revenue_Budget!R12*42%</f>
        <v>4.6246199999999993</v>
      </c>
      <c r="S12" s="14">
        <f>Revenue_Budget!S12*42%</f>
        <v>5.2852800000000002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f>Revenue_Budget!H13*42%</f>
        <v>1.7849999999999999</v>
      </c>
      <c r="I13" s="14">
        <f>Revenue_Budget!I13*42%</f>
        <v>2.4989999999999997</v>
      </c>
      <c r="J13" s="14">
        <f>Revenue_Budget!J13*42%</f>
        <v>2.8560000000000003</v>
      </c>
      <c r="K13" s="14">
        <f>Revenue_Budget!K13*42%</f>
        <v>3.15</v>
      </c>
      <c r="L13" s="14">
        <f>Revenue_Budget!L13*42%</f>
        <v>4.41</v>
      </c>
      <c r="M13" s="14">
        <f>Revenue_Budget!M13*42%</f>
        <v>5.04</v>
      </c>
      <c r="N13" s="14">
        <f>Revenue_Budget!N13*42%</f>
        <v>3.6749999999999998</v>
      </c>
      <c r="O13" s="14">
        <f>Revenue_Budget!O13*42%</f>
        <v>5.1449999999999996</v>
      </c>
      <c r="P13" s="14">
        <f>Revenue_Budget!P13*42%</f>
        <v>5.88</v>
      </c>
      <c r="Q13" s="14">
        <f>Revenue_Budget!Q13*42%</f>
        <v>4.2</v>
      </c>
      <c r="R13" s="14">
        <f>Revenue_Budget!R13*42%</f>
        <v>5.88</v>
      </c>
      <c r="S13" s="14">
        <f>Revenue_Budget!S13*42%</f>
        <v>6.72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f>Revenue_Budget!H14*42%</f>
        <v>0</v>
      </c>
      <c r="I14" s="14">
        <f>Revenue_Budget!I14*42%</f>
        <v>0</v>
      </c>
      <c r="J14" s="14">
        <f>Revenue_Budget!J14*42%</f>
        <v>0</v>
      </c>
      <c r="K14" s="14">
        <f>Revenue_Budget!K14*42%</f>
        <v>0</v>
      </c>
      <c r="L14" s="14">
        <f>Revenue_Budget!L14*42%</f>
        <v>0</v>
      </c>
      <c r="M14" s="14">
        <f>Revenue_Budget!M14*42%</f>
        <v>0</v>
      </c>
      <c r="N14" s="14">
        <f>Revenue_Budget!N14*42%</f>
        <v>0</v>
      </c>
      <c r="O14" s="14">
        <f>Revenue_Budget!O14*42%</f>
        <v>0</v>
      </c>
      <c r="P14" s="14">
        <f>Revenue_Budget!P14*42%</f>
        <v>0</v>
      </c>
      <c r="Q14" s="14">
        <f>Revenue_Budget!Q14*42%</f>
        <v>0</v>
      </c>
      <c r="R14" s="14">
        <f>Revenue_Budget!R14*42%</f>
        <v>0</v>
      </c>
      <c r="S14" s="14">
        <f>Revenue_Budget!S14*42%</f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f>Revenue_Budget!H15*42%</f>
        <v>0</v>
      </c>
      <c r="I15" s="14">
        <f>Revenue_Budget!I15*42%</f>
        <v>0</v>
      </c>
      <c r="J15" s="14">
        <f>Revenue_Budget!J15*42%</f>
        <v>0</v>
      </c>
      <c r="K15" s="14">
        <f>Revenue_Budget!K15*42%</f>
        <v>0</v>
      </c>
      <c r="L15" s="14">
        <f>Revenue_Budget!L15*42%</f>
        <v>0</v>
      </c>
      <c r="M15" s="14">
        <f>Revenue_Budget!M15*42%</f>
        <v>0</v>
      </c>
      <c r="N15" s="14">
        <f>Revenue_Budget!N15*42%</f>
        <v>0</v>
      </c>
      <c r="O15" s="14">
        <f>Revenue_Budget!O15*42%</f>
        <v>0</v>
      </c>
      <c r="P15" s="14">
        <f>Revenue_Budget!P15*42%</f>
        <v>0</v>
      </c>
      <c r="Q15" s="14">
        <f>Revenue_Budget!Q15*42%</f>
        <v>0</v>
      </c>
      <c r="R15" s="14">
        <f>Revenue_Budget!R15*42%</f>
        <v>0</v>
      </c>
      <c r="S15" s="14">
        <f>Revenue_Budget!S15*42%</f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f>Revenue_Budget!H16*42%</f>
        <v>0</v>
      </c>
      <c r="I16" s="14">
        <f>Revenue_Budget!I16*42%</f>
        <v>0</v>
      </c>
      <c r="J16" s="14">
        <f>Revenue_Budget!J16*42%</f>
        <v>0</v>
      </c>
      <c r="K16" s="14">
        <f>Revenue_Budget!K16*42%</f>
        <v>0</v>
      </c>
      <c r="L16" s="14">
        <f>Revenue_Budget!L16*42%</f>
        <v>0</v>
      </c>
      <c r="M16" s="14">
        <f>Revenue_Budget!M16*42%</f>
        <v>0</v>
      </c>
      <c r="N16" s="14">
        <f>Revenue_Budget!N16*42%</f>
        <v>0</v>
      </c>
      <c r="O16" s="14">
        <f>Revenue_Budget!O16*42%</f>
        <v>0</v>
      </c>
      <c r="P16" s="14">
        <f>Revenue_Budget!P16*42%</f>
        <v>0</v>
      </c>
      <c r="Q16" s="14">
        <f>Revenue_Budget!Q16*42%</f>
        <v>0</v>
      </c>
      <c r="R16" s="14">
        <f>Revenue_Budget!R16*42%</f>
        <v>0</v>
      </c>
      <c r="S16" s="14">
        <f>Revenue_Budget!S16*42%</f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f>Revenue_Budget!H17*42%</f>
        <v>3.15</v>
      </c>
      <c r="I17" s="14">
        <f>Revenue_Budget!I17*42%</f>
        <v>4.41</v>
      </c>
      <c r="J17" s="14">
        <f>Revenue_Budget!J17*42%</f>
        <v>5.04</v>
      </c>
      <c r="K17" s="14">
        <f>Revenue_Budget!K17*42%</f>
        <v>4.7249999999999996</v>
      </c>
      <c r="L17" s="14">
        <f>Revenue_Budget!L17*42%</f>
        <v>6.6149999999999993</v>
      </c>
      <c r="M17" s="14">
        <f>Revenue_Budget!M17*42%</f>
        <v>7.56</v>
      </c>
      <c r="N17" s="14">
        <f>Revenue_Budget!N17*42%</f>
        <v>4.7249999999999996</v>
      </c>
      <c r="O17" s="14">
        <f>Revenue_Budget!O17*42%</f>
        <v>6.6149999999999993</v>
      </c>
      <c r="P17" s="14">
        <f>Revenue_Budget!P17*42%</f>
        <v>7.56</v>
      </c>
      <c r="Q17" s="14">
        <f>Revenue_Budget!Q17*42%</f>
        <v>4.7596499999999997</v>
      </c>
      <c r="R17" s="14">
        <f>Revenue_Budget!R17*42%</f>
        <v>6.6635099999999996</v>
      </c>
      <c r="S17" s="14">
        <f>Revenue_Budget!S17*42%</f>
        <v>7.6154400000000004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f>Revenue_Budget!H18*42%</f>
        <v>2.1524999999999999</v>
      </c>
      <c r="I18" s="14">
        <f>Revenue_Budget!I18*42%</f>
        <v>3.0134999999999996</v>
      </c>
      <c r="J18" s="14">
        <f>Revenue_Budget!J18*42%</f>
        <v>3.4440000000000004</v>
      </c>
      <c r="K18" s="14">
        <f>Revenue_Budget!K18*42%</f>
        <v>2.1</v>
      </c>
      <c r="L18" s="14">
        <f>Revenue_Budget!L18*42%</f>
        <v>2.94</v>
      </c>
      <c r="M18" s="14">
        <f>Revenue_Budget!M18*42%</f>
        <v>3.36</v>
      </c>
      <c r="N18" s="14">
        <f>Revenue_Budget!N18*42%</f>
        <v>2.1</v>
      </c>
      <c r="O18" s="14">
        <f>Revenue_Budget!O18*42%</f>
        <v>2.94</v>
      </c>
      <c r="P18" s="14">
        <f>Revenue_Budget!P18*42%</f>
        <v>3.36</v>
      </c>
      <c r="Q18" s="14">
        <f>Revenue_Budget!Q18*42%</f>
        <v>2.1346499999999997</v>
      </c>
      <c r="R18" s="14">
        <f>Revenue_Budget!R18*42%</f>
        <v>2.9885099999999993</v>
      </c>
      <c r="S18" s="14">
        <f>Revenue_Budget!S18*42%</f>
        <v>3.4154399999999998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f>Revenue_Budget!H19*42%</f>
        <v>5.46</v>
      </c>
      <c r="I19" s="14">
        <f>Revenue_Budget!I19*42%</f>
        <v>7.6439999999999992</v>
      </c>
      <c r="J19" s="14">
        <f>Revenue_Budget!J19*42%</f>
        <v>8.7360000000000007</v>
      </c>
      <c r="K19" s="14">
        <f>Revenue_Budget!K19*42%</f>
        <v>5.7749999999999995</v>
      </c>
      <c r="L19" s="14">
        <f>Revenue_Budget!L19*42%</f>
        <v>8.0849999999999991</v>
      </c>
      <c r="M19" s="14">
        <f>Revenue_Budget!M19*42%</f>
        <v>9.24</v>
      </c>
      <c r="N19" s="14">
        <f>Revenue_Budget!N19*42%</f>
        <v>6.3</v>
      </c>
      <c r="O19" s="14">
        <f>Revenue_Budget!O19*42%</f>
        <v>8.82</v>
      </c>
      <c r="P19" s="14">
        <f>Revenue_Budget!P19*42%</f>
        <v>10.08</v>
      </c>
      <c r="Q19" s="14">
        <f>Revenue_Budget!Q19*42%</f>
        <v>5.2846499999999992</v>
      </c>
      <c r="R19" s="14">
        <f>Revenue_Budget!R19*42%</f>
        <v>7.3985099999999981</v>
      </c>
      <c r="S19" s="14">
        <f>Revenue_Budget!S19*42%</f>
        <v>8.4554400000000012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f>Revenue_Budget!H20*42%</f>
        <v>6.2212499999999995</v>
      </c>
      <c r="I20" s="14">
        <f>Revenue_Budget!I20*42%</f>
        <v>8.7097499999999979</v>
      </c>
      <c r="J20" s="14">
        <f>Revenue_Budget!J20*42%</f>
        <v>9.9540000000000006</v>
      </c>
      <c r="K20" s="14">
        <f>Revenue_Budget!K20*42%</f>
        <v>6.4312499999999995</v>
      </c>
      <c r="L20" s="14">
        <f>Revenue_Budget!L20*42%</f>
        <v>9.0037500000000001</v>
      </c>
      <c r="M20" s="14">
        <f>Revenue_Budget!M20*42%</f>
        <v>10.29</v>
      </c>
      <c r="N20" s="14">
        <f>Revenue_Budget!N20*42%</f>
        <v>6.6937499999999996</v>
      </c>
      <c r="O20" s="14">
        <f>Revenue_Budget!O20*42%</f>
        <v>9.3712499999999999</v>
      </c>
      <c r="P20" s="14">
        <f>Revenue_Budget!P20*42%</f>
        <v>10.709999999999999</v>
      </c>
      <c r="Q20" s="14">
        <f>Revenue_Budget!Q20*42%</f>
        <v>6.9908999999999999</v>
      </c>
      <c r="R20" s="14">
        <f>Revenue_Budget!R20*42%</f>
        <v>9.7872599999999981</v>
      </c>
      <c r="S20" s="14">
        <f>Revenue_Budget!S20*42%</f>
        <v>11.18544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f>Revenue_Budget!H21*42%</f>
        <v>25.252499999999998</v>
      </c>
      <c r="I21" s="14">
        <f>Revenue_Budget!I21*42%</f>
        <v>35.353499999999997</v>
      </c>
      <c r="J21" s="14">
        <f>Revenue_Budget!J21*42%</f>
        <v>40.403999999999996</v>
      </c>
      <c r="K21" s="14">
        <f>Revenue_Budget!K21*42%</f>
        <v>29.4</v>
      </c>
      <c r="L21" s="14">
        <f>Revenue_Budget!L21*42%</f>
        <v>41.16</v>
      </c>
      <c r="M21" s="14">
        <f>Revenue_Budget!M21*42%</f>
        <v>47.04</v>
      </c>
      <c r="N21" s="14">
        <f>Revenue_Budget!N21*42%</f>
        <v>32.549999999999997</v>
      </c>
      <c r="O21" s="14">
        <f>Revenue_Budget!O21*42%</f>
        <v>45.57</v>
      </c>
      <c r="P21" s="14">
        <f>Revenue_Budget!P21*42%</f>
        <v>52.08</v>
      </c>
      <c r="Q21" s="14">
        <f>Revenue_Budget!Q21*42%</f>
        <v>32.584649999999996</v>
      </c>
      <c r="R21" s="14">
        <f>Revenue_Budget!R21*42%</f>
        <v>45.618509999999993</v>
      </c>
      <c r="S21" s="14">
        <f>Revenue_Budget!S21*42%</f>
        <v>52.135440000000003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f>Revenue_Budget!H22*42%</f>
        <v>5.8274999999999997</v>
      </c>
      <c r="I22" s="14">
        <f>Revenue_Budget!I22*42%</f>
        <v>8.1584999999999983</v>
      </c>
      <c r="J22" s="14">
        <f>Revenue_Budget!J22*42%</f>
        <v>9.3240000000000016</v>
      </c>
      <c r="K22" s="14">
        <f>Revenue_Budget!K22*42%</f>
        <v>5.7749999999999995</v>
      </c>
      <c r="L22" s="14">
        <f>Revenue_Budget!L22*42%</f>
        <v>8.0849999999999991</v>
      </c>
      <c r="M22" s="14">
        <f>Revenue_Budget!M22*42%</f>
        <v>9.24</v>
      </c>
      <c r="N22" s="14">
        <f>Revenue_Budget!N22*42%</f>
        <v>5.7749999999999995</v>
      </c>
      <c r="O22" s="14">
        <f>Revenue_Budget!O22*42%</f>
        <v>8.0849999999999991</v>
      </c>
      <c r="P22" s="14">
        <f>Revenue_Budget!P22*42%</f>
        <v>9.24</v>
      </c>
      <c r="Q22" s="14">
        <f>Revenue_Budget!Q22*42%</f>
        <v>5.8096499999999995</v>
      </c>
      <c r="R22" s="14">
        <f>Revenue_Budget!R22*42%</f>
        <v>8.1335099999999994</v>
      </c>
      <c r="S22" s="14">
        <f>Revenue_Budget!S22*42%</f>
        <v>9.295440000000001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f>Revenue_Budget!H23*42%</f>
        <v>9.5024999999999995</v>
      </c>
      <c r="I23" s="14">
        <f>Revenue_Budget!I23*42%</f>
        <v>13.303499999999998</v>
      </c>
      <c r="J23" s="14">
        <f>Revenue_Budget!J23*42%</f>
        <v>15.204000000000001</v>
      </c>
      <c r="K23" s="14">
        <f>Revenue_Budget!K23*42%</f>
        <v>10.279500000000001</v>
      </c>
      <c r="L23" s="14">
        <f>Revenue_Budget!L23*42%</f>
        <v>14.391299999999999</v>
      </c>
      <c r="M23" s="14">
        <f>Revenue_Budget!M23*42%</f>
        <v>16.447200000000002</v>
      </c>
      <c r="N23" s="14">
        <f>Revenue_Budget!N23*42%</f>
        <v>10.720499999999999</v>
      </c>
      <c r="O23" s="14">
        <f>Revenue_Budget!O23*42%</f>
        <v>15.008699999999996</v>
      </c>
      <c r="P23" s="14">
        <f>Revenue_Budget!P23*42%</f>
        <v>17.152799999999999</v>
      </c>
      <c r="Q23" s="14">
        <f>Revenue_Budget!Q23*42%</f>
        <v>11.542649999999998</v>
      </c>
      <c r="R23" s="14">
        <f>Revenue_Budget!R23*42%</f>
        <v>16.159709999999997</v>
      </c>
      <c r="S23" s="14">
        <f>Revenue_Budget!S23*42%</f>
        <v>18.468240000000002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f>Revenue_Budget!H24*42%</f>
        <v>4.2</v>
      </c>
      <c r="I24" s="14">
        <f>Revenue_Budget!I24*42%</f>
        <v>5.88</v>
      </c>
      <c r="J24" s="14">
        <f>Revenue_Budget!J24*42%</f>
        <v>6.72</v>
      </c>
      <c r="K24" s="14">
        <f>Revenue_Budget!K24*42%</f>
        <v>5.25</v>
      </c>
      <c r="L24" s="14">
        <f>Revenue_Budget!L24*42%</f>
        <v>7.35</v>
      </c>
      <c r="M24" s="14">
        <f>Revenue_Budget!M24*42%</f>
        <v>8.4</v>
      </c>
      <c r="N24" s="14">
        <f>Revenue_Budget!N24*42%</f>
        <v>5.25</v>
      </c>
      <c r="O24" s="14">
        <f>Revenue_Budget!O24*42%</f>
        <v>7.35</v>
      </c>
      <c r="P24" s="14">
        <f>Revenue_Budget!P24*42%</f>
        <v>8.4</v>
      </c>
      <c r="Q24" s="14">
        <f>Revenue_Budget!Q24*42%</f>
        <v>5.2846499999999992</v>
      </c>
      <c r="R24" s="14">
        <f>Revenue_Budget!R24*42%</f>
        <v>7.3985099999999981</v>
      </c>
      <c r="S24" s="14">
        <f>Revenue_Budget!S24*42%</f>
        <v>8.4554400000000012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f>Revenue_Budget!H25*42%</f>
        <v>1.6274999999999999</v>
      </c>
      <c r="I25" s="14">
        <f>Revenue_Budget!I25*42%</f>
        <v>2.2784999999999997</v>
      </c>
      <c r="J25" s="14">
        <f>Revenue_Budget!J25*42%</f>
        <v>2.6040000000000001</v>
      </c>
      <c r="K25" s="14">
        <f>Revenue_Budget!K25*42%</f>
        <v>1.6274999999999999</v>
      </c>
      <c r="L25" s="14">
        <f>Revenue_Budget!L25*42%</f>
        <v>2.2784999999999997</v>
      </c>
      <c r="M25" s="14">
        <f>Revenue_Budget!M25*42%</f>
        <v>2.6040000000000001</v>
      </c>
      <c r="N25" s="14">
        <f>Revenue_Budget!N25*42%</f>
        <v>5.25</v>
      </c>
      <c r="O25" s="14">
        <f>Revenue_Budget!O25*42%</f>
        <v>7.35</v>
      </c>
      <c r="P25" s="14">
        <f>Revenue_Budget!P25*42%</f>
        <v>8.4</v>
      </c>
      <c r="Q25" s="14">
        <f>Revenue_Budget!Q25*42%</f>
        <v>5.2846499999999992</v>
      </c>
      <c r="R25" s="14">
        <f>Revenue_Budget!R25*42%</f>
        <v>7.3985099999999981</v>
      </c>
      <c r="S25" s="14">
        <f>Revenue_Budget!S25*42%</f>
        <v>8.4554400000000012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f>Revenue_Budget!H26*42%</f>
        <v>0.52500000000000002</v>
      </c>
      <c r="I26" s="14">
        <f>Revenue_Budget!I26*42%</f>
        <v>0.73499999999999999</v>
      </c>
      <c r="J26" s="14">
        <f>Revenue_Budget!J26*42%</f>
        <v>0.84</v>
      </c>
      <c r="K26" s="14">
        <f>Revenue_Budget!K26*42%</f>
        <v>2.625</v>
      </c>
      <c r="L26" s="14">
        <f>Revenue_Budget!L26*42%</f>
        <v>3.6749999999999998</v>
      </c>
      <c r="M26" s="14">
        <f>Revenue_Budget!M26*42%</f>
        <v>4.2</v>
      </c>
      <c r="N26" s="14">
        <f>Revenue_Budget!N26*42%</f>
        <v>2.625</v>
      </c>
      <c r="O26" s="14">
        <f>Revenue_Budget!O26*42%</f>
        <v>3.6749999999999998</v>
      </c>
      <c r="P26" s="14">
        <f>Revenue_Budget!P26*42%</f>
        <v>4.2</v>
      </c>
      <c r="Q26" s="14">
        <f>Revenue_Budget!Q26*42%</f>
        <v>2.6596499999999996</v>
      </c>
      <c r="R26" s="14">
        <f>Revenue_Budget!R26*42%</f>
        <v>3.7235099999999997</v>
      </c>
      <c r="S26" s="14">
        <f>Revenue_Budget!S26*42%</f>
        <v>4.2554400000000001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f>Revenue_Budget!H27*42%</f>
        <v>0</v>
      </c>
      <c r="I27" s="14">
        <f>Revenue_Budget!I27*42%</f>
        <v>0</v>
      </c>
      <c r="J27" s="14">
        <f>Revenue_Budget!J27*42%</f>
        <v>0</v>
      </c>
      <c r="K27" s="14">
        <f>Revenue_Budget!K27*42%</f>
        <v>0</v>
      </c>
      <c r="L27" s="14">
        <f>Revenue_Budget!L27*42%</f>
        <v>0</v>
      </c>
      <c r="M27" s="14">
        <f>Revenue_Budget!M27*42%</f>
        <v>0</v>
      </c>
      <c r="N27" s="14">
        <f>Revenue_Budget!N27*42%</f>
        <v>0</v>
      </c>
      <c r="O27" s="14">
        <f>Revenue_Budget!O27*42%</f>
        <v>0</v>
      </c>
      <c r="P27" s="14">
        <f>Revenue_Budget!P27*42%</f>
        <v>0</v>
      </c>
      <c r="Q27" s="14">
        <f>Revenue_Budget!Q27*42%</f>
        <v>0</v>
      </c>
      <c r="R27" s="14">
        <f>Revenue_Budget!R27*42%</f>
        <v>0</v>
      </c>
      <c r="S27" s="14">
        <f>Revenue_Budget!S27*42%</f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f>Revenue_Budget!H28*42%</f>
        <v>0</v>
      </c>
      <c r="I28" s="14">
        <f>Revenue_Budget!I28*42%</f>
        <v>0</v>
      </c>
      <c r="J28" s="14">
        <f>Revenue_Budget!J28*42%</f>
        <v>0</v>
      </c>
      <c r="K28" s="14">
        <f>Revenue_Budget!K28*42%</f>
        <v>0</v>
      </c>
      <c r="L28" s="14">
        <f>Revenue_Budget!L28*42%</f>
        <v>0</v>
      </c>
      <c r="M28" s="14">
        <f>Revenue_Budget!M28*42%</f>
        <v>0</v>
      </c>
      <c r="N28" s="14">
        <f>Revenue_Budget!N28*42%</f>
        <v>0</v>
      </c>
      <c r="O28" s="14">
        <f>Revenue_Budget!O28*42%</f>
        <v>0</v>
      </c>
      <c r="P28" s="14">
        <f>Revenue_Budget!P28*42%</f>
        <v>0</v>
      </c>
      <c r="Q28" s="14">
        <f>Revenue_Budget!Q28*42%</f>
        <v>0</v>
      </c>
      <c r="R28" s="14">
        <f>Revenue_Budget!R28*42%</f>
        <v>0</v>
      </c>
      <c r="S28" s="14">
        <f>Revenue_Budget!S28*42%</f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f>Revenue_Budget!H29*42%</f>
        <v>0</v>
      </c>
      <c r="I29" s="14">
        <f>Revenue_Budget!I29*42%</f>
        <v>0</v>
      </c>
      <c r="J29" s="14">
        <f>Revenue_Budget!J29*42%</f>
        <v>0</v>
      </c>
      <c r="K29" s="14">
        <f>Revenue_Budget!K29*42%</f>
        <v>0</v>
      </c>
      <c r="L29" s="14">
        <f>Revenue_Budget!L29*42%</f>
        <v>0</v>
      </c>
      <c r="M29" s="14">
        <f>Revenue_Budget!M29*42%</f>
        <v>0</v>
      </c>
      <c r="N29" s="14">
        <f>Revenue_Budget!N29*42%</f>
        <v>0</v>
      </c>
      <c r="O29" s="14">
        <f>Revenue_Budget!O29*42%</f>
        <v>0</v>
      </c>
      <c r="P29" s="14">
        <f>Revenue_Budget!P29*42%</f>
        <v>0</v>
      </c>
      <c r="Q29" s="14">
        <f>Revenue_Budget!Q29*42%</f>
        <v>0</v>
      </c>
      <c r="R29" s="14">
        <f>Revenue_Budget!R29*42%</f>
        <v>0</v>
      </c>
      <c r="S29" s="14">
        <f>Revenue_Budget!S29*42%</f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f>Revenue_Budget!H30*42%</f>
        <v>0</v>
      </c>
      <c r="I30" s="14">
        <f>Revenue_Budget!I30*42%</f>
        <v>0</v>
      </c>
      <c r="J30" s="14">
        <f>Revenue_Budget!J30*42%</f>
        <v>0</v>
      </c>
      <c r="K30" s="14">
        <f>Revenue_Budget!K30*42%</f>
        <v>0</v>
      </c>
      <c r="L30" s="14">
        <f>Revenue_Budget!L30*42%</f>
        <v>0</v>
      </c>
      <c r="M30" s="14">
        <f>Revenue_Budget!M30*42%</f>
        <v>0</v>
      </c>
      <c r="N30" s="14">
        <f>Revenue_Budget!N30*42%</f>
        <v>0</v>
      </c>
      <c r="O30" s="14">
        <f>Revenue_Budget!O30*42%</f>
        <v>0</v>
      </c>
      <c r="P30" s="14">
        <f>Revenue_Budget!P30*42%</f>
        <v>0</v>
      </c>
      <c r="Q30" s="14">
        <f>Revenue_Budget!Q30*42%</f>
        <v>0</v>
      </c>
      <c r="R30" s="14">
        <f>Revenue_Budget!R30*42%</f>
        <v>0</v>
      </c>
      <c r="S30" s="14">
        <f>Revenue_Budget!S30*42%</f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f>Revenue_Budget!H31*42%</f>
        <v>0</v>
      </c>
      <c r="I31" s="14">
        <f>Revenue_Budget!I31*42%</f>
        <v>0</v>
      </c>
      <c r="J31" s="14">
        <f>Revenue_Budget!J31*42%</f>
        <v>0</v>
      </c>
      <c r="K31" s="14">
        <f>Revenue_Budget!K31*42%</f>
        <v>0</v>
      </c>
      <c r="L31" s="14">
        <f>Revenue_Budget!L31*42%</f>
        <v>0</v>
      </c>
      <c r="M31" s="14">
        <f>Revenue_Budget!M31*42%</f>
        <v>0</v>
      </c>
      <c r="N31" s="14">
        <f>Revenue_Budget!N31*42%</f>
        <v>0</v>
      </c>
      <c r="O31" s="14">
        <f>Revenue_Budget!O31*42%</f>
        <v>0</v>
      </c>
      <c r="P31" s="14">
        <f>Revenue_Budget!P31*42%</f>
        <v>0</v>
      </c>
      <c r="Q31" s="14">
        <f>Revenue_Budget!Q31*42%</f>
        <v>0</v>
      </c>
      <c r="R31" s="14">
        <f>Revenue_Budget!R31*42%</f>
        <v>0</v>
      </c>
      <c r="S31" s="14">
        <f>Revenue_Budget!S31*42%</f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f>Revenue_Budget!H32*42%</f>
        <v>0</v>
      </c>
      <c r="I32" s="14">
        <f>Revenue_Budget!I32*42%</f>
        <v>0</v>
      </c>
      <c r="J32" s="14">
        <f>Revenue_Budget!J32*42%</f>
        <v>0</v>
      </c>
      <c r="K32" s="14">
        <f>Revenue_Budget!K32*42%</f>
        <v>0</v>
      </c>
      <c r="L32" s="14">
        <f>Revenue_Budget!L32*42%</f>
        <v>0</v>
      </c>
      <c r="M32" s="14">
        <f>Revenue_Budget!M32*42%</f>
        <v>0</v>
      </c>
      <c r="N32" s="14">
        <f>Revenue_Budget!N32*42%</f>
        <v>0</v>
      </c>
      <c r="O32" s="14">
        <f>Revenue_Budget!O32*42%</f>
        <v>0</v>
      </c>
      <c r="P32" s="14">
        <f>Revenue_Budget!P32*42%</f>
        <v>0</v>
      </c>
      <c r="Q32" s="14">
        <f>Revenue_Budget!Q32*42%</f>
        <v>0</v>
      </c>
      <c r="R32" s="14">
        <f>Revenue_Budget!R32*42%</f>
        <v>0</v>
      </c>
      <c r="S32" s="14">
        <f>Revenue_Budget!S32*42%</f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f>Revenue_Budget!H33*42%</f>
        <v>3.9375</v>
      </c>
      <c r="I33" s="14">
        <f>Revenue_Budget!I33*42%</f>
        <v>5.5125000000000002</v>
      </c>
      <c r="J33" s="14">
        <f>Revenue_Budget!J33*42%</f>
        <v>6.3</v>
      </c>
      <c r="K33" s="14">
        <f>Revenue_Budget!K33*42%</f>
        <v>5.46</v>
      </c>
      <c r="L33" s="14">
        <f>Revenue_Budget!L33*42%</f>
        <v>7.6439999999999992</v>
      </c>
      <c r="M33" s="14">
        <f>Revenue_Budget!M33*42%</f>
        <v>8.7360000000000007</v>
      </c>
      <c r="N33" s="14">
        <f>Revenue_Budget!N33*42%</f>
        <v>5.67</v>
      </c>
      <c r="O33" s="14">
        <f>Revenue_Budget!O33*42%</f>
        <v>7.9379999999999988</v>
      </c>
      <c r="P33" s="14">
        <f>Revenue_Budget!P33*42%</f>
        <v>9.072000000000001</v>
      </c>
      <c r="Q33" s="14">
        <f>Revenue_Budget!Q33*42%</f>
        <v>6.0196499999999995</v>
      </c>
      <c r="R33" s="14">
        <f>Revenue_Budget!R33*42%</f>
        <v>8.4275099999999981</v>
      </c>
      <c r="S33" s="14">
        <f>Revenue_Budget!S33*42%</f>
        <v>9.6314400000000013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f>Revenue_Budget!H34*42%</f>
        <v>2.52</v>
      </c>
      <c r="I34" s="14">
        <f>Revenue_Budget!I34*42%</f>
        <v>3.5279999999999991</v>
      </c>
      <c r="J34" s="14">
        <f>Revenue_Budget!J34*42%</f>
        <v>4.032</v>
      </c>
      <c r="K34" s="14">
        <f>Revenue_Budget!K34*42%</f>
        <v>2.5724999999999998</v>
      </c>
      <c r="L34" s="14">
        <f>Revenue_Budget!L34*42%</f>
        <v>3.6014999999999997</v>
      </c>
      <c r="M34" s="14">
        <f>Revenue_Budget!M34*42%</f>
        <v>4.1160000000000005</v>
      </c>
      <c r="N34" s="14">
        <f>Revenue_Budget!N34*42%</f>
        <v>2.6774999999999998</v>
      </c>
      <c r="O34" s="14">
        <f>Revenue_Budget!O34*42%</f>
        <v>3.7484999999999995</v>
      </c>
      <c r="P34" s="14">
        <f>Revenue_Budget!P34*42%</f>
        <v>4.2840000000000007</v>
      </c>
      <c r="Q34" s="14">
        <f>Revenue_Budget!Q34*42%</f>
        <v>2.8171499999999998</v>
      </c>
      <c r="R34" s="14">
        <f>Revenue_Budget!R34*42%</f>
        <v>3.9440099999999996</v>
      </c>
      <c r="S34" s="14">
        <f>Revenue_Budget!S34*42%</f>
        <v>4.5074399999999999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f>Revenue_Budget!H35*42%</f>
        <v>1.6274999999999999</v>
      </c>
      <c r="I35" s="14">
        <f>Revenue_Budget!I35*42%</f>
        <v>2.2784999999999997</v>
      </c>
      <c r="J35" s="14">
        <f>Revenue_Budget!J35*42%</f>
        <v>2.6040000000000001</v>
      </c>
      <c r="K35" s="14">
        <f>Revenue_Budget!K35*42%</f>
        <v>1.575</v>
      </c>
      <c r="L35" s="14">
        <f>Revenue_Budget!L35*42%</f>
        <v>2.2050000000000001</v>
      </c>
      <c r="M35" s="14">
        <f>Revenue_Budget!M35*42%</f>
        <v>2.52</v>
      </c>
      <c r="N35" s="14">
        <f>Revenue_Budget!N35*42%</f>
        <v>1.575</v>
      </c>
      <c r="O35" s="14">
        <f>Revenue_Budget!O35*42%</f>
        <v>2.2050000000000001</v>
      </c>
      <c r="P35" s="14">
        <f>Revenue_Budget!P35*42%</f>
        <v>2.52</v>
      </c>
      <c r="Q35" s="14">
        <f>Revenue_Budget!Q35*42%</f>
        <v>1.575</v>
      </c>
      <c r="R35" s="14">
        <f>Revenue_Budget!R35*42%</f>
        <v>2.2050000000000001</v>
      </c>
      <c r="S35" s="14">
        <f>Revenue_Budget!S35*42%</f>
        <v>2.52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f>Revenue_Budget!H36*42%</f>
        <v>0</v>
      </c>
      <c r="I36" s="14">
        <f>Revenue_Budget!I36*42%</f>
        <v>0</v>
      </c>
      <c r="J36" s="14">
        <f>Revenue_Budget!J36*42%</f>
        <v>0</v>
      </c>
      <c r="K36" s="14">
        <f>Revenue_Budget!K36*42%</f>
        <v>0</v>
      </c>
      <c r="L36" s="14">
        <f>Revenue_Budget!L36*42%</f>
        <v>0</v>
      </c>
      <c r="M36" s="14">
        <f>Revenue_Budget!M36*42%</f>
        <v>0</v>
      </c>
      <c r="N36" s="14">
        <f>Revenue_Budget!N36*42%</f>
        <v>0</v>
      </c>
      <c r="O36" s="14">
        <f>Revenue_Budget!O36*42%</f>
        <v>0</v>
      </c>
      <c r="P36" s="14">
        <f>Revenue_Budget!P36*42%</f>
        <v>0</v>
      </c>
      <c r="Q36" s="14">
        <f>Revenue_Budget!Q36*42%</f>
        <v>0</v>
      </c>
      <c r="R36" s="14">
        <f>Revenue_Budget!R36*42%</f>
        <v>0</v>
      </c>
      <c r="S36" s="14">
        <f>Revenue_Budget!S36*42%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f>Revenue_Budget!H37*42%</f>
        <v>3.15</v>
      </c>
      <c r="I37" s="14">
        <f>Revenue_Budget!I37*42%</f>
        <v>4.41</v>
      </c>
      <c r="J37" s="14">
        <f>Revenue_Budget!J37*42%</f>
        <v>5.04</v>
      </c>
      <c r="K37" s="14">
        <f>Revenue_Budget!K37*42%</f>
        <v>4.2</v>
      </c>
      <c r="L37" s="14">
        <f>Revenue_Budget!L37*42%</f>
        <v>5.88</v>
      </c>
      <c r="M37" s="14">
        <f>Revenue_Budget!M37*42%</f>
        <v>6.72</v>
      </c>
      <c r="N37" s="14">
        <f>Revenue_Budget!N37*42%</f>
        <v>4.2</v>
      </c>
      <c r="O37" s="14">
        <f>Revenue_Budget!O37*42%</f>
        <v>5.88</v>
      </c>
      <c r="P37" s="14">
        <f>Revenue_Budget!P37*42%</f>
        <v>6.72</v>
      </c>
      <c r="Q37" s="14">
        <f>Revenue_Budget!Q37*42%</f>
        <v>4.2</v>
      </c>
      <c r="R37" s="14">
        <f>Revenue_Budget!R37*42%</f>
        <v>5.88</v>
      </c>
      <c r="S37" s="14">
        <f>Revenue_Budget!S37*42%</f>
        <v>6.72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f>Revenue_Budget!H38*42%</f>
        <v>0</v>
      </c>
      <c r="I38" s="14">
        <f>Revenue_Budget!I38*42%</f>
        <v>0</v>
      </c>
      <c r="J38" s="14">
        <f>Revenue_Budget!J38*42%</f>
        <v>0</v>
      </c>
      <c r="K38" s="14">
        <f>Revenue_Budget!K38*42%</f>
        <v>0</v>
      </c>
      <c r="L38" s="14">
        <f>Revenue_Budget!L38*42%</f>
        <v>0</v>
      </c>
      <c r="M38" s="14">
        <f>Revenue_Budget!M38*42%</f>
        <v>0</v>
      </c>
      <c r="N38" s="14">
        <f>Revenue_Budget!N38*42%</f>
        <v>0</v>
      </c>
      <c r="O38" s="14">
        <f>Revenue_Budget!O38*42%</f>
        <v>0</v>
      </c>
      <c r="P38" s="14">
        <f>Revenue_Budget!P38*42%</f>
        <v>0</v>
      </c>
      <c r="Q38" s="14">
        <f>Revenue_Budget!Q38*42%</f>
        <v>0</v>
      </c>
      <c r="R38" s="14">
        <f>Revenue_Budget!R38*42%</f>
        <v>0</v>
      </c>
      <c r="S38" s="14">
        <f>Revenue_Budget!S38*42%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f>Revenue_Budget!H39*42%</f>
        <v>0.99749999999999994</v>
      </c>
      <c r="I39" s="14">
        <f>Revenue_Budget!I39*42%</f>
        <v>1.3964999999999999</v>
      </c>
      <c r="J39" s="14">
        <f>Revenue_Budget!J39*42%</f>
        <v>1.5960000000000001</v>
      </c>
      <c r="K39" s="14">
        <f>Revenue_Budget!K39*42%</f>
        <v>0.94499999999999995</v>
      </c>
      <c r="L39" s="14">
        <f>Revenue_Budget!L39*42%</f>
        <v>1.323</v>
      </c>
      <c r="M39" s="14">
        <f>Revenue_Budget!M39*42%</f>
        <v>1.512</v>
      </c>
      <c r="N39" s="14">
        <f>Revenue_Budget!N39*42%</f>
        <v>0.94499999999999995</v>
      </c>
      <c r="O39" s="14">
        <f>Revenue_Budget!O39*42%</f>
        <v>1.323</v>
      </c>
      <c r="P39" s="14">
        <f>Revenue_Budget!P39*42%</f>
        <v>1.512</v>
      </c>
      <c r="Q39" s="14">
        <f>Revenue_Budget!Q39*42%</f>
        <v>0.97965000000000002</v>
      </c>
      <c r="R39" s="14">
        <f>Revenue_Budget!R39*42%</f>
        <v>1.3715099999999998</v>
      </c>
      <c r="S39" s="14">
        <f>Revenue_Budget!S39*42%</f>
        <v>1.5674399999999999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f>Revenue_Budget!H40*42%</f>
        <v>0.49874999999999997</v>
      </c>
      <c r="I40" s="14">
        <f>Revenue_Budget!I40*42%</f>
        <v>0.69824999999999993</v>
      </c>
      <c r="J40" s="14">
        <f>Revenue_Budget!J40*42%</f>
        <v>0.79800000000000004</v>
      </c>
      <c r="K40" s="14">
        <f>Revenue_Budget!K40*42%</f>
        <v>0.49874999999999997</v>
      </c>
      <c r="L40" s="14">
        <f>Revenue_Budget!L40*42%</f>
        <v>0.69824999999999993</v>
      </c>
      <c r="M40" s="14">
        <f>Revenue_Budget!M40*42%</f>
        <v>0.79800000000000004</v>
      </c>
      <c r="N40" s="14">
        <f>Revenue_Budget!N40*42%</f>
        <v>0.49874999999999997</v>
      </c>
      <c r="O40" s="14">
        <f>Revenue_Budget!O40*42%</f>
        <v>0.69824999999999993</v>
      </c>
      <c r="P40" s="14">
        <f>Revenue_Budget!P40*42%</f>
        <v>0.79800000000000004</v>
      </c>
      <c r="Q40" s="14">
        <f>Revenue_Budget!Q40*42%</f>
        <v>0.53339999999999999</v>
      </c>
      <c r="R40" s="14">
        <f>Revenue_Budget!R40*42%</f>
        <v>0.74675999999999987</v>
      </c>
      <c r="S40" s="14">
        <f>Revenue_Budget!S40*42%</f>
        <v>0.85343999999999998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f>Revenue_Budget!H41*42%</f>
        <v>0</v>
      </c>
      <c r="I41" s="14">
        <f>Revenue_Budget!I41*42%</f>
        <v>0</v>
      </c>
      <c r="J41" s="14">
        <f>Revenue_Budget!J41*42%</f>
        <v>0</v>
      </c>
      <c r="K41" s="14">
        <f>Revenue_Budget!K41*42%</f>
        <v>0</v>
      </c>
      <c r="L41" s="14">
        <f>Revenue_Budget!L41*42%</f>
        <v>0</v>
      </c>
      <c r="M41" s="14">
        <f>Revenue_Budget!M41*42%</f>
        <v>0</v>
      </c>
      <c r="N41" s="14">
        <f>Revenue_Budget!N41*42%</f>
        <v>0</v>
      </c>
      <c r="O41" s="14">
        <f>Revenue_Budget!O41*42%</f>
        <v>0</v>
      </c>
      <c r="P41" s="14">
        <f>Revenue_Budget!P41*42%</f>
        <v>0</v>
      </c>
      <c r="Q41" s="14">
        <f>Revenue_Budget!Q41*42%</f>
        <v>0</v>
      </c>
      <c r="R41" s="14">
        <f>Revenue_Budget!R41*42%</f>
        <v>0</v>
      </c>
      <c r="S41" s="14">
        <f>Revenue_Budget!S41*42%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f>Revenue_Budget!H42*42%</f>
        <v>5.25</v>
      </c>
      <c r="I42" s="14">
        <f>Revenue_Budget!I42*42%</f>
        <v>7.35</v>
      </c>
      <c r="J42" s="14">
        <f>Revenue_Budget!J42*42%</f>
        <v>8.4</v>
      </c>
      <c r="K42" s="14">
        <f>Revenue_Budget!K42*42%</f>
        <v>4.7249999999999996</v>
      </c>
      <c r="L42" s="14">
        <f>Revenue_Budget!L42*42%</f>
        <v>6.6149999999999993</v>
      </c>
      <c r="M42" s="14">
        <f>Revenue_Budget!M42*42%</f>
        <v>7.56</v>
      </c>
      <c r="N42" s="14">
        <f>Revenue_Budget!N42*42%</f>
        <v>4.7249999999999996</v>
      </c>
      <c r="O42" s="14">
        <f>Revenue_Budget!O42*42%</f>
        <v>6.6149999999999993</v>
      </c>
      <c r="P42" s="14">
        <f>Revenue_Budget!P42*42%</f>
        <v>7.56</v>
      </c>
      <c r="Q42" s="14">
        <f>Revenue_Budget!Q42*42%</f>
        <v>4.7596499999999997</v>
      </c>
      <c r="R42" s="14">
        <f>Revenue_Budget!R42*42%</f>
        <v>6.6635099999999996</v>
      </c>
      <c r="S42" s="14">
        <f>Revenue_Budget!S42*42%</f>
        <v>7.6154400000000004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f>Revenue_Budget!H43*42%</f>
        <v>1.575</v>
      </c>
      <c r="I43" s="14">
        <f>Revenue_Budget!I43*42%</f>
        <v>2.2050000000000001</v>
      </c>
      <c r="J43" s="14">
        <f>Revenue_Budget!J43*42%</f>
        <v>2.52</v>
      </c>
      <c r="K43" s="14">
        <f>Revenue_Budget!K43*42%</f>
        <v>1.9262879999999996</v>
      </c>
      <c r="L43" s="14">
        <f>Revenue_Budget!L43*42%</f>
        <v>2.6968031999999997</v>
      </c>
      <c r="M43" s="14">
        <f>Revenue_Budget!M43*42%</f>
        <v>3.0820607999999994</v>
      </c>
      <c r="N43" s="14">
        <f>Revenue_Budget!N43*42%</f>
        <v>2.004912</v>
      </c>
      <c r="O43" s="14">
        <f>Revenue_Budget!O43*42%</f>
        <v>2.8068767999999999</v>
      </c>
      <c r="P43" s="14">
        <f>Revenue_Budget!P43*42%</f>
        <v>3.2078592000000001</v>
      </c>
      <c r="Q43" s="14">
        <f>Revenue_Budget!Q43*42%</f>
        <v>2.1181860000000001</v>
      </c>
      <c r="R43" s="14">
        <f>Revenue_Budget!R43*42%</f>
        <v>2.9654604</v>
      </c>
      <c r="S43" s="14">
        <f>Revenue_Budget!S43*42%</f>
        <v>3.3890976000000004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f>Revenue_Budget!H44*42%</f>
        <v>0.58537499999999998</v>
      </c>
      <c r="I44" s="14">
        <f>Revenue_Budget!I44*42%</f>
        <v>0.81952499999999995</v>
      </c>
      <c r="J44" s="14">
        <f>Revenue_Budget!J44*42%</f>
        <v>0.93659999999999999</v>
      </c>
      <c r="K44" s="14">
        <f>Revenue_Budget!K44*42%</f>
        <v>1.8138749999999997</v>
      </c>
      <c r="L44" s="14">
        <f>Revenue_Budget!L44*42%</f>
        <v>2.5394249999999996</v>
      </c>
      <c r="M44" s="14">
        <f>Revenue_Budget!M44*42%</f>
        <v>2.9022000000000001</v>
      </c>
      <c r="N44" s="14">
        <f>Revenue_Budget!N44*42%</f>
        <v>1.8138749999999997</v>
      </c>
      <c r="O44" s="14">
        <f>Revenue_Budget!O44*42%</f>
        <v>2.5394249999999996</v>
      </c>
      <c r="P44" s="14">
        <f>Revenue_Budget!P44*42%</f>
        <v>2.9022000000000001</v>
      </c>
      <c r="Q44" s="14">
        <f>Revenue_Budget!Q44*42%</f>
        <v>1.8138749999999997</v>
      </c>
      <c r="R44" s="14">
        <f>Revenue_Budget!R44*42%</f>
        <v>2.5394249999999996</v>
      </c>
      <c r="S44" s="14">
        <f>Revenue_Budget!S44*42%</f>
        <v>2.9022000000000001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f>Revenue_Budget!H45*42%</f>
        <v>0.63</v>
      </c>
      <c r="I45" s="14">
        <f>Revenue_Budget!I45*42%</f>
        <v>0.88199999999999978</v>
      </c>
      <c r="J45" s="14">
        <f>Revenue_Budget!J45*42%</f>
        <v>1.008</v>
      </c>
      <c r="K45" s="14">
        <f>Revenue_Budget!K45*42%</f>
        <v>0</v>
      </c>
      <c r="L45" s="14">
        <f>Revenue_Budget!L45*42%</f>
        <v>0</v>
      </c>
      <c r="M45" s="14">
        <f>Revenue_Budget!M45*42%</f>
        <v>0</v>
      </c>
      <c r="N45" s="14">
        <f>Revenue_Budget!N45*42%</f>
        <v>0</v>
      </c>
      <c r="O45" s="14">
        <f>Revenue_Budget!O45*42%</f>
        <v>0</v>
      </c>
      <c r="P45" s="14">
        <f>Revenue_Budget!P45*42%</f>
        <v>0</v>
      </c>
      <c r="Q45" s="14">
        <f>Revenue_Budget!Q45*42%</f>
        <v>0</v>
      </c>
      <c r="R45" s="14">
        <f>Revenue_Budget!R45*42%</f>
        <v>0</v>
      </c>
      <c r="S45" s="14">
        <f>Revenue_Budget!S45*42%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f>Revenue_Budget!H46*42%</f>
        <v>0</v>
      </c>
      <c r="I46" s="14">
        <f>Revenue_Budget!I46*42%</f>
        <v>0</v>
      </c>
      <c r="J46" s="14">
        <f>Revenue_Budget!J46*42%</f>
        <v>0</v>
      </c>
      <c r="K46" s="14">
        <f>Revenue_Budget!K46*42%</f>
        <v>0</v>
      </c>
      <c r="L46" s="14">
        <f>Revenue_Budget!L46*42%</f>
        <v>0</v>
      </c>
      <c r="M46" s="14">
        <f>Revenue_Budget!M46*42%</f>
        <v>0</v>
      </c>
      <c r="N46" s="14">
        <f>Revenue_Budget!N46*42%</f>
        <v>0</v>
      </c>
      <c r="O46" s="14">
        <f>Revenue_Budget!O46*42%</f>
        <v>0</v>
      </c>
      <c r="P46" s="14">
        <f>Revenue_Budget!P46*42%</f>
        <v>0</v>
      </c>
      <c r="Q46" s="14">
        <f>Revenue_Budget!Q46*42%</f>
        <v>0</v>
      </c>
      <c r="R46" s="14">
        <f>Revenue_Budget!R46*42%</f>
        <v>0</v>
      </c>
      <c r="S46" s="14">
        <f>Revenue_Budget!S46*42%</f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f>Revenue_Budget!H47*42%</f>
        <v>0</v>
      </c>
      <c r="I47" s="14">
        <f>Revenue_Budget!I47*42%</f>
        <v>0</v>
      </c>
      <c r="J47" s="14">
        <f>Revenue_Budget!J47*42%</f>
        <v>0</v>
      </c>
      <c r="K47" s="14">
        <f>Revenue_Budget!K47*42%</f>
        <v>0</v>
      </c>
      <c r="L47" s="14">
        <f>Revenue_Budget!L47*42%</f>
        <v>0</v>
      </c>
      <c r="M47" s="14">
        <f>Revenue_Budget!M47*42%</f>
        <v>0</v>
      </c>
      <c r="N47" s="14">
        <f>Revenue_Budget!N47*42%</f>
        <v>0</v>
      </c>
      <c r="O47" s="14">
        <f>Revenue_Budget!O47*42%</f>
        <v>0</v>
      </c>
      <c r="P47" s="14">
        <f>Revenue_Budget!P47*42%</f>
        <v>0</v>
      </c>
      <c r="Q47" s="14">
        <f>Revenue_Budget!Q47*42%</f>
        <v>0</v>
      </c>
      <c r="R47" s="14">
        <f>Revenue_Budget!R47*42%</f>
        <v>0</v>
      </c>
      <c r="S47" s="14">
        <f>Revenue_Budget!S47*42%</f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f>Revenue_Budget!H48*42%</f>
        <v>0</v>
      </c>
      <c r="I48" s="14">
        <f>Revenue_Budget!I48*42%</f>
        <v>0</v>
      </c>
      <c r="J48" s="14">
        <f>Revenue_Budget!J48*42%</f>
        <v>0</v>
      </c>
      <c r="K48" s="14">
        <f>Revenue_Budget!K48*42%</f>
        <v>0</v>
      </c>
      <c r="L48" s="14">
        <f>Revenue_Budget!L48*42%</f>
        <v>0</v>
      </c>
      <c r="M48" s="14">
        <f>Revenue_Budget!M48*42%</f>
        <v>0</v>
      </c>
      <c r="N48" s="14">
        <f>Revenue_Budget!N48*42%</f>
        <v>0</v>
      </c>
      <c r="O48" s="14">
        <f>Revenue_Budget!O48*42%</f>
        <v>0</v>
      </c>
      <c r="P48" s="14">
        <f>Revenue_Budget!P48*42%</f>
        <v>0</v>
      </c>
      <c r="Q48" s="14">
        <f>Revenue_Budget!Q48*42%</f>
        <v>0</v>
      </c>
      <c r="R48" s="14">
        <f>Revenue_Budget!R48*42%</f>
        <v>0</v>
      </c>
      <c r="S48" s="14">
        <f>Revenue_Budget!S48*42%</f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f>Revenue_Budget!H49*42%</f>
        <v>47.25</v>
      </c>
      <c r="I49" s="14">
        <f>Revenue_Budget!I49*42%</f>
        <v>66.149999999999991</v>
      </c>
      <c r="J49" s="14">
        <f>Revenue_Budget!J49*42%</f>
        <v>75.599999999999994</v>
      </c>
      <c r="K49" s="14">
        <f>Revenue_Budget!K49*42%</f>
        <v>43.522500000000001</v>
      </c>
      <c r="L49" s="14">
        <f>Revenue_Budget!L49*42%</f>
        <v>60.931499999999993</v>
      </c>
      <c r="M49" s="14">
        <f>Revenue_Budget!M49*42%</f>
        <v>69.635999999999996</v>
      </c>
      <c r="N49" s="14">
        <f>Revenue_Budget!N49*42%</f>
        <v>37.327500000000001</v>
      </c>
      <c r="O49" s="14">
        <f>Revenue_Budget!O49*42%</f>
        <v>52.258499999999998</v>
      </c>
      <c r="P49" s="14">
        <f>Revenue_Budget!P49*42%</f>
        <v>59.724000000000004</v>
      </c>
      <c r="Q49" s="14">
        <f>Revenue_Budget!Q49*42%</f>
        <v>37.782149999999994</v>
      </c>
      <c r="R49" s="14">
        <f>Revenue_Budget!R49*42%</f>
        <v>52.895009999999992</v>
      </c>
      <c r="S49" s="14">
        <f>Revenue_Budget!S49*42%</f>
        <v>60.451439999999991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f>Revenue_Budget!H50*42%</f>
        <v>5.25</v>
      </c>
      <c r="I50" s="14">
        <f>Revenue_Budget!I50*42%</f>
        <v>7.35</v>
      </c>
      <c r="J50" s="14">
        <f>Revenue_Budget!J50*42%</f>
        <v>8.4</v>
      </c>
      <c r="K50" s="14">
        <f>Revenue_Budget!K50*42%</f>
        <v>6.3</v>
      </c>
      <c r="L50" s="14">
        <f>Revenue_Budget!L50*42%</f>
        <v>8.82</v>
      </c>
      <c r="M50" s="14">
        <f>Revenue_Budget!M50*42%</f>
        <v>10.08</v>
      </c>
      <c r="N50" s="14">
        <f>Revenue_Budget!N50*42%</f>
        <v>5.88</v>
      </c>
      <c r="O50" s="14">
        <f>Revenue_Budget!O50*42%</f>
        <v>8.2319999999999993</v>
      </c>
      <c r="P50" s="14">
        <f>Revenue_Budget!P50*42%</f>
        <v>9.4080000000000013</v>
      </c>
      <c r="Q50" s="14">
        <f>Revenue_Budget!Q50*42%</f>
        <v>6.5446499999999999</v>
      </c>
      <c r="R50" s="14">
        <f>Revenue_Budget!R50*42%</f>
        <v>9.1625099999999975</v>
      </c>
      <c r="S50" s="14">
        <f>Revenue_Budget!S50*42%</f>
        <v>10.471440000000001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f>Revenue_Budget!H51*42%</f>
        <v>2.73</v>
      </c>
      <c r="I51" s="14">
        <f>Revenue_Budget!I51*42%</f>
        <v>3.8219999999999996</v>
      </c>
      <c r="J51" s="14">
        <f>Revenue_Budget!J51*42%</f>
        <v>4.3680000000000003</v>
      </c>
      <c r="K51" s="14">
        <f>Revenue_Budget!K51*42%</f>
        <v>7.0874999999999995</v>
      </c>
      <c r="L51" s="14">
        <f>Revenue_Budget!L51*42%</f>
        <v>9.9224999999999994</v>
      </c>
      <c r="M51" s="14">
        <f>Revenue_Budget!M51*42%</f>
        <v>11.34</v>
      </c>
      <c r="N51" s="14">
        <f>Revenue_Budget!N51*42%</f>
        <v>4.9874999999999998</v>
      </c>
      <c r="O51" s="14">
        <f>Revenue_Budget!O51*42%</f>
        <v>6.9824999999999999</v>
      </c>
      <c r="P51" s="14">
        <f>Revenue_Budget!P51*42%</f>
        <v>7.9799999999999995</v>
      </c>
      <c r="Q51" s="14">
        <f>Revenue_Budget!Q51*42%</f>
        <v>7.1221499999999995</v>
      </c>
      <c r="R51" s="14">
        <f>Revenue_Budget!R51*42%</f>
        <v>9.9710099999999979</v>
      </c>
      <c r="S51" s="14">
        <f>Revenue_Budget!S51*42%</f>
        <v>11.395440000000001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f>Revenue_Budget!H52*42%</f>
        <v>36.54</v>
      </c>
      <c r="I52" s="14">
        <f>Revenue_Budget!I52*42%</f>
        <v>51.155999999999999</v>
      </c>
      <c r="J52" s="14">
        <f>Revenue_Budget!J52*42%</f>
        <v>58.464000000000006</v>
      </c>
      <c r="K52" s="14">
        <f>Revenue_Budget!K52*42%</f>
        <v>37.537500000000001</v>
      </c>
      <c r="L52" s="14">
        <f>Revenue_Budget!L52*42%</f>
        <v>52.552499999999995</v>
      </c>
      <c r="M52" s="14">
        <f>Revenue_Budget!M52*42%</f>
        <v>60.059999999999995</v>
      </c>
      <c r="N52" s="14">
        <f>Revenue_Budget!N52*42%</f>
        <v>34.387499999999996</v>
      </c>
      <c r="O52" s="14">
        <f>Revenue_Budget!O52*42%</f>
        <v>48.142499999999991</v>
      </c>
      <c r="P52" s="14">
        <f>Revenue_Budget!P52*42%</f>
        <v>55.019999999999996</v>
      </c>
      <c r="Q52" s="14">
        <f>Revenue_Budget!Q52*42%</f>
        <v>37.572149999999993</v>
      </c>
      <c r="R52" s="14">
        <f>Revenue_Budget!R52*42%</f>
        <v>52.601009999999988</v>
      </c>
      <c r="S52" s="14">
        <f>Revenue_Budget!S52*42%</f>
        <v>60.11544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f>Revenue_Budget!H53*42%</f>
        <v>2.52</v>
      </c>
      <c r="I53" s="14">
        <f>Revenue_Budget!I53*42%</f>
        <v>3.5279999999999991</v>
      </c>
      <c r="J53" s="14">
        <f>Revenue_Budget!J53*42%</f>
        <v>4.032</v>
      </c>
      <c r="K53" s="14">
        <f>Revenue_Budget!K53*42%</f>
        <v>2.4849999999999999</v>
      </c>
      <c r="L53" s="14">
        <f>Revenue_Budget!L53*42%</f>
        <v>3.4789999999999996</v>
      </c>
      <c r="M53" s="14">
        <f>Revenue_Budget!M53*42%</f>
        <v>3.976</v>
      </c>
      <c r="N53" s="14">
        <f>Revenue_Budget!N53*42%</f>
        <v>2.4849999999999999</v>
      </c>
      <c r="O53" s="14">
        <f>Revenue_Budget!O53*42%</f>
        <v>3.4789999999999996</v>
      </c>
      <c r="P53" s="14">
        <f>Revenue_Budget!P53*42%</f>
        <v>3.976</v>
      </c>
      <c r="Q53" s="14">
        <f>Revenue_Budget!Q53*42%</f>
        <v>2.5196499999999999</v>
      </c>
      <c r="R53" s="14">
        <f>Revenue_Budget!R53*42%</f>
        <v>3.5275099999999995</v>
      </c>
      <c r="S53" s="14">
        <f>Revenue_Budget!S53*42%</f>
        <v>4.0314399999999999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f>Revenue_Budget!H54*42%</f>
        <v>1.05</v>
      </c>
      <c r="I54" s="14">
        <f>Revenue_Budget!I54*42%</f>
        <v>1.47</v>
      </c>
      <c r="J54" s="14">
        <f>Revenue_Budget!J54*42%</f>
        <v>1.68</v>
      </c>
      <c r="K54" s="14">
        <f>Revenue_Budget!K54*42%</f>
        <v>1.2249999999999999</v>
      </c>
      <c r="L54" s="14">
        <f>Revenue_Budget!L54*42%</f>
        <v>1.7149999999999999</v>
      </c>
      <c r="M54" s="14">
        <f>Revenue_Budget!M54*42%</f>
        <v>1.96</v>
      </c>
      <c r="N54" s="14">
        <f>Revenue_Budget!N54*42%</f>
        <v>1.2249999999999999</v>
      </c>
      <c r="O54" s="14">
        <f>Revenue_Budget!O54*42%</f>
        <v>1.7149999999999999</v>
      </c>
      <c r="P54" s="14">
        <f>Revenue_Budget!P54*42%</f>
        <v>1.96</v>
      </c>
      <c r="Q54" s="14">
        <f>Revenue_Budget!Q54*42%</f>
        <v>1.2596499999999999</v>
      </c>
      <c r="R54" s="14">
        <f>Revenue_Budget!R54*42%</f>
        <v>1.7635099999999997</v>
      </c>
      <c r="S54" s="14">
        <f>Revenue_Budget!S54*42%</f>
        <v>2.0154399999999999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f>Revenue_Budget!H55*42%</f>
        <v>1.575</v>
      </c>
      <c r="I55" s="14">
        <f>Revenue_Budget!I55*42%</f>
        <v>2.2050000000000001</v>
      </c>
      <c r="J55" s="14">
        <f>Revenue_Budget!J55*42%</f>
        <v>2.52</v>
      </c>
      <c r="K55" s="14">
        <f>Revenue_Budget!K55*42%</f>
        <v>0</v>
      </c>
      <c r="L55" s="14">
        <f>Revenue_Budget!L55*42%</f>
        <v>0</v>
      </c>
      <c r="M55" s="14">
        <f>Revenue_Budget!M55*42%</f>
        <v>0</v>
      </c>
      <c r="N55" s="14">
        <f>Revenue_Budget!N55*42%</f>
        <v>0</v>
      </c>
      <c r="O55" s="14">
        <f>Revenue_Budget!O55*42%</f>
        <v>0</v>
      </c>
      <c r="P55" s="14">
        <f>Revenue_Budget!P55*42%</f>
        <v>0</v>
      </c>
      <c r="Q55" s="14">
        <f>Revenue_Budget!Q55*42%</f>
        <v>0</v>
      </c>
      <c r="R55" s="14">
        <f>Revenue_Budget!R55*42%</f>
        <v>0</v>
      </c>
      <c r="S55" s="14">
        <f>Revenue_Budget!S55*42%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f>Revenue_Budget!H56*42%</f>
        <v>0</v>
      </c>
      <c r="I56" s="14">
        <f>Revenue_Budget!I56*42%</f>
        <v>0</v>
      </c>
      <c r="J56" s="14">
        <f>Revenue_Budget!J56*42%</f>
        <v>0</v>
      </c>
      <c r="K56" s="14">
        <f>Revenue_Budget!K56*42%</f>
        <v>0</v>
      </c>
      <c r="L56" s="14">
        <f>Revenue_Budget!L56*42%</f>
        <v>0</v>
      </c>
      <c r="M56" s="14">
        <f>Revenue_Budget!M56*42%</f>
        <v>0</v>
      </c>
      <c r="N56" s="14">
        <f>Revenue_Budget!N56*42%</f>
        <v>0</v>
      </c>
      <c r="O56" s="14">
        <f>Revenue_Budget!O56*42%</f>
        <v>0</v>
      </c>
      <c r="P56" s="14">
        <f>Revenue_Budget!P56*42%</f>
        <v>0</v>
      </c>
      <c r="Q56" s="14">
        <f>Revenue_Budget!Q56*42%</f>
        <v>0</v>
      </c>
      <c r="R56" s="14">
        <f>Revenue_Budget!R56*42%</f>
        <v>0</v>
      </c>
      <c r="S56" s="14">
        <f>Revenue_Budget!S56*42%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f>Revenue_Budget!H57*42%</f>
        <v>5.25</v>
      </c>
      <c r="I57" s="14">
        <f>Revenue_Budget!I57*42%</f>
        <v>7.35</v>
      </c>
      <c r="J57" s="14">
        <f>Revenue_Budget!J57*42%</f>
        <v>8.4</v>
      </c>
      <c r="K57" s="14">
        <f>Revenue_Budget!K57*42%</f>
        <v>0</v>
      </c>
      <c r="L57" s="14">
        <f>Revenue_Budget!L57*42%</f>
        <v>0</v>
      </c>
      <c r="M57" s="14">
        <f>Revenue_Budget!M57*42%</f>
        <v>0</v>
      </c>
      <c r="N57" s="14">
        <f>Revenue_Budget!N57*42%</f>
        <v>0</v>
      </c>
      <c r="O57" s="14">
        <f>Revenue_Budget!O57*42%</f>
        <v>0</v>
      </c>
      <c r="P57" s="14">
        <f>Revenue_Budget!P57*42%</f>
        <v>0</v>
      </c>
      <c r="Q57" s="14">
        <f>Revenue_Budget!Q57*42%</f>
        <v>0</v>
      </c>
      <c r="R57" s="14">
        <f>Revenue_Budget!R57*42%</f>
        <v>0</v>
      </c>
      <c r="S57" s="14">
        <f>Revenue_Budget!S57*42%</f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f>Revenue_Budget!H58*42%</f>
        <v>40.288466399999997</v>
      </c>
      <c r="I58" s="14">
        <f>Revenue_Budget!I58*42%</f>
        <v>56.403852959999995</v>
      </c>
      <c r="J58" s="14">
        <f>Revenue_Budget!J58*42%</f>
        <v>64.461546240000004</v>
      </c>
      <c r="K58" s="14">
        <f>Revenue_Budget!K58*42%</f>
        <v>80.576932799999994</v>
      </c>
      <c r="L58" s="14">
        <f>Revenue_Budget!L58*42%</f>
        <v>112.80770591999999</v>
      </c>
      <c r="M58" s="14">
        <f>Revenue_Budget!M58*42%</f>
        <v>128.92309248000001</v>
      </c>
      <c r="N58" s="14">
        <f>Revenue_Budget!N58*42%</f>
        <v>120.8653992</v>
      </c>
      <c r="O58" s="14">
        <f>Revenue_Budget!O58*42%</f>
        <v>169.21155887999998</v>
      </c>
      <c r="P58" s="14">
        <f>Revenue_Budget!P58*42%</f>
        <v>193.38463872</v>
      </c>
      <c r="Q58" s="14">
        <f>Revenue_Budget!Q58*42%</f>
        <v>161.15386559999999</v>
      </c>
      <c r="R58" s="14">
        <f>Revenue_Budget!R58*42%</f>
        <v>225.61541183999998</v>
      </c>
      <c r="S58" s="14">
        <f>Revenue_Budget!S58*42%</f>
        <v>257.84618496000002</v>
      </c>
    </row>
  </sheetData>
  <conditionalFormatting sqref="B2:B58">
    <cfRule type="duplicateValues" dxfId="83" priority="4"/>
  </conditionalFormatting>
  <conditionalFormatting sqref="B59:D1048576 A1:G1 I1:S1">
    <cfRule type="duplicateValues" dxfId="82" priority="45"/>
  </conditionalFormatting>
  <conditionalFormatting sqref="C2:C58">
    <cfRule type="duplicateValues" dxfId="81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06C-2F6A-466F-AF2F-68AAF7CA8902}">
  <sheetPr codeName="Sheet3">
    <tabColor rgb="FF002060"/>
  </sheetPr>
  <dimension ref="A1:S58"/>
  <sheetViews>
    <sheetView workbookViewId="0">
      <pane ySplit="1" topLeftCell="A42" activePane="bottomLeft" state="frozen"/>
      <selection pane="bottomLeft" activeCell="A58" sqref="A58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0.97948378557246851</v>
      </c>
      <c r="I2" s="3">
        <v>0.98666666666666658</v>
      </c>
      <c r="J2" s="3">
        <v>1.128526645768025</v>
      </c>
      <c r="K2" s="3">
        <v>1.2770642201834863</v>
      </c>
      <c r="L2" s="3">
        <v>1.6457142857142855</v>
      </c>
      <c r="M2" s="3">
        <v>1.1889908256880735</v>
      </c>
      <c r="N2" s="3">
        <v>1.1889908256880735</v>
      </c>
      <c r="O2" s="3">
        <v>1.2274883720930232</v>
      </c>
      <c r="P2" s="3">
        <v>2.6448979591836737</v>
      </c>
      <c r="Q2" s="3">
        <v>1.6858536585365853</v>
      </c>
      <c r="R2" s="3">
        <v>1.5652173913043479</v>
      </c>
      <c r="S2" s="3">
        <v>3.78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1.3010204081632653</v>
      </c>
      <c r="I3" s="3">
        <v>1.6363636363636362</v>
      </c>
      <c r="J3" s="3">
        <v>1.4482758620689655</v>
      </c>
      <c r="K3" s="3">
        <v>1.5867768595041323</v>
      </c>
      <c r="L3" s="3">
        <v>1.7142857142857142</v>
      </c>
      <c r="M3" s="3">
        <v>2.7428571428571424</v>
      </c>
      <c r="N3" s="3">
        <v>1.3090909090909089</v>
      </c>
      <c r="O3" s="3">
        <v>1.5</v>
      </c>
      <c r="P3" s="3">
        <v>0.22222222222222221</v>
      </c>
      <c r="Q3" s="3">
        <v>1.9039999999999999</v>
      </c>
      <c r="R3" s="3">
        <v>1.7999999999999998</v>
      </c>
      <c r="S3" s="3">
        <v>2.623733333333333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0.8</v>
      </c>
      <c r="I4" s="3">
        <v>1.4000000000000001</v>
      </c>
      <c r="J4" s="3">
        <v>0.90999999999999992</v>
      </c>
      <c r="K4" s="3">
        <v>2.25</v>
      </c>
      <c r="L4" s="3">
        <v>1.1399999999999999</v>
      </c>
      <c r="M4" s="3">
        <v>1.7999999999999998</v>
      </c>
      <c r="N4" s="3">
        <v>0.66</v>
      </c>
      <c r="O4" s="3">
        <v>1.88</v>
      </c>
      <c r="P4" s="3">
        <v>3.0399999999999996</v>
      </c>
      <c r="Q4" s="3">
        <v>1.369</v>
      </c>
      <c r="R4" s="3">
        <v>0.96</v>
      </c>
      <c r="S4" s="3">
        <v>0.248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0.84</v>
      </c>
      <c r="I5" s="3">
        <v>2.2799999999999998</v>
      </c>
      <c r="J5" s="3">
        <v>1.704</v>
      </c>
      <c r="K5" s="3">
        <v>0.49199999999999994</v>
      </c>
      <c r="L5" s="3">
        <v>2.4</v>
      </c>
      <c r="M5" s="3">
        <v>2.5079999999999996</v>
      </c>
      <c r="N5" s="3">
        <v>0.13200000000000001</v>
      </c>
      <c r="O5" s="3">
        <v>1.8</v>
      </c>
      <c r="P5" s="3">
        <v>1.8</v>
      </c>
      <c r="Q5" s="3">
        <v>1.8</v>
      </c>
      <c r="R5" s="3">
        <v>1.8</v>
      </c>
      <c r="S5" s="3">
        <v>0.91199999999999959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1.7585484996510818</v>
      </c>
      <c r="I6" s="3">
        <v>1.7999999999999998</v>
      </c>
      <c r="J6" s="3">
        <v>1.8544832</v>
      </c>
      <c r="K6" s="3">
        <v>1.4950819672131148</v>
      </c>
      <c r="L6" s="3">
        <v>1.8526315789473682</v>
      </c>
      <c r="M6" s="3">
        <v>1.7723076923076921</v>
      </c>
      <c r="N6" s="3">
        <v>1.28</v>
      </c>
      <c r="O6" s="3">
        <v>0.90857142857142859</v>
      </c>
      <c r="P6" s="3">
        <v>3.4285714285714284</v>
      </c>
      <c r="Q6" s="3">
        <v>1.8</v>
      </c>
      <c r="R6" s="3">
        <v>30</v>
      </c>
      <c r="S6" s="3">
        <v>1.8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1.248</v>
      </c>
      <c r="I7" s="3">
        <v>-0.13200000000000001</v>
      </c>
      <c r="J7" s="3">
        <v>1.2</v>
      </c>
      <c r="K7" s="3">
        <v>0.12</v>
      </c>
      <c r="L7" s="3">
        <v>1.8</v>
      </c>
      <c r="M7" s="3">
        <v>1.8</v>
      </c>
      <c r="N7" s="3">
        <v>1.8</v>
      </c>
      <c r="O7" s="3">
        <v>1.8</v>
      </c>
      <c r="P7" s="3">
        <v>1.8</v>
      </c>
      <c r="Q7" s="3">
        <v>1.8</v>
      </c>
      <c r="R7" s="3">
        <v>1.8</v>
      </c>
      <c r="S7" s="3">
        <v>1.8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1.8</v>
      </c>
      <c r="I8" s="3">
        <v>1.8</v>
      </c>
      <c r="J8" s="3">
        <v>1.8</v>
      </c>
      <c r="K8" s="3">
        <v>1.8</v>
      </c>
      <c r="L8" s="3">
        <v>1.8</v>
      </c>
      <c r="M8" s="3">
        <v>1.8</v>
      </c>
      <c r="N8" s="3">
        <v>1.8</v>
      </c>
      <c r="O8" s="3">
        <v>1.8</v>
      </c>
      <c r="P8" s="3">
        <v>1.8</v>
      </c>
      <c r="Q8" s="3">
        <v>1.8</v>
      </c>
      <c r="R8" s="3">
        <v>1.8</v>
      </c>
      <c r="S8" s="3">
        <v>1.8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0.99839999999999995</v>
      </c>
      <c r="I9" s="3">
        <v>4.919999999999999</v>
      </c>
      <c r="J9" s="3">
        <v>2.4888000000000003</v>
      </c>
      <c r="K9" s="3">
        <v>2.8571428571428572</v>
      </c>
      <c r="L9" s="3">
        <v>3.2</v>
      </c>
      <c r="M9" s="3">
        <v>3.2</v>
      </c>
      <c r="N9" s="3">
        <v>1.6340425531914893</v>
      </c>
      <c r="O9" s="3">
        <v>2.5007999999999999</v>
      </c>
      <c r="P9" s="3">
        <v>1.25</v>
      </c>
      <c r="Q9" s="3">
        <v>1.6235999999999999</v>
      </c>
      <c r="R9" s="3">
        <v>1.5</v>
      </c>
      <c r="S9" s="3">
        <v>1.3935483870967742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1.8</v>
      </c>
      <c r="I10" s="3">
        <v>1.8</v>
      </c>
      <c r="J10" s="3">
        <v>1.8</v>
      </c>
      <c r="K10" s="3">
        <v>1.8</v>
      </c>
      <c r="L10" s="3">
        <v>1.8</v>
      </c>
      <c r="M10" s="3">
        <v>1.8</v>
      </c>
      <c r="N10" s="3">
        <v>1.8</v>
      </c>
      <c r="O10" s="3">
        <v>0.72</v>
      </c>
      <c r="P10" s="3">
        <v>1.8</v>
      </c>
      <c r="Q10" s="3">
        <v>1.32</v>
      </c>
      <c r="R10" s="3">
        <v>0.6</v>
      </c>
      <c r="S10" s="3">
        <v>1.9999999999999998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2.425263157894737</v>
      </c>
      <c r="I11" s="3">
        <v>2.3428571428571425</v>
      </c>
      <c r="J11" s="3">
        <v>1.874325913043478</v>
      </c>
      <c r="K11" s="3">
        <v>1.2</v>
      </c>
      <c r="L11" s="3">
        <v>1.6363636363636362</v>
      </c>
      <c r="M11" s="3">
        <v>2.0727272727272728</v>
      </c>
      <c r="N11" s="3">
        <v>1.84</v>
      </c>
      <c r="O11" s="3">
        <v>2.7333333333333329</v>
      </c>
      <c r="P11" s="3">
        <v>1.8666666666666667</v>
      </c>
      <c r="Q11" s="3">
        <v>3.4666666666666663</v>
      </c>
      <c r="R11" s="3">
        <v>1.9999999999999998</v>
      </c>
      <c r="S11" s="3">
        <v>1.7466666666666668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1.263157894736842</v>
      </c>
      <c r="I12" s="3">
        <v>1.7999999999999998</v>
      </c>
      <c r="J12" s="3">
        <v>2.52</v>
      </c>
      <c r="K12" s="3">
        <v>1.56</v>
      </c>
      <c r="L12" s="3">
        <v>2.0666666666666664</v>
      </c>
      <c r="M12" s="3">
        <v>3</v>
      </c>
      <c r="N12" s="3">
        <v>1.7999999999999998</v>
      </c>
      <c r="O12" s="3">
        <v>1.425</v>
      </c>
      <c r="P12" s="3">
        <v>2.4</v>
      </c>
      <c r="Q12" s="3">
        <v>1.975611</v>
      </c>
      <c r="R12" s="3">
        <v>1.236</v>
      </c>
      <c r="S12" s="3">
        <v>4.0140000000000002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6</v>
      </c>
      <c r="I13" s="3">
        <v>0.438</v>
      </c>
      <c r="J13" s="3">
        <v>4.1100000000000003</v>
      </c>
      <c r="K13" s="3">
        <v>0.74534161490683226</v>
      </c>
      <c r="L13" s="3">
        <v>0.61538461538461531</v>
      </c>
      <c r="M13" s="3">
        <v>0.31840796019900497</v>
      </c>
      <c r="N13" s="3">
        <v>1.0344827586206897</v>
      </c>
      <c r="O13" s="3">
        <v>1.0068965517241379</v>
      </c>
      <c r="P13" s="3">
        <v>0.97333333333333327</v>
      </c>
      <c r="Q13" s="3">
        <v>0.6784810126582278</v>
      </c>
      <c r="R13" s="3">
        <v>0.51724137931034486</v>
      </c>
      <c r="S13" s="3">
        <v>1.9901714285714285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1.8</v>
      </c>
      <c r="I14" s="3">
        <v>1.8</v>
      </c>
      <c r="J14" s="3">
        <v>1.8</v>
      </c>
      <c r="K14" s="3">
        <v>1.8</v>
      </c>
      <c r="L14" s="3">
        <v>1.8</v>
      </c>
      <c r="M14" s="3">
        <v>1.8</v>
      </c>
      <c r="N14" s="3">
        <v>1.8</v>
      </c>
      <c r="O14" s="3">
        <v>1.8</v>
      </c>
      <c r="P14" s="3">
        <v>1.8</v>
      </c>
      <c r="Q14" s="3">
        <v>1.8</v>
      </c>
      <c r="R14" s="3">
        <v>1.8</v>
      </c>
      <c r="S14" s="3">
        <v>3.1680000000000001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1.8</v>
      </c>
      <c r="I15" s="3">
        <v>1.8</v>
      </c>
      <c r="J15" s="3">
        <v>1.8</v>
      </c>
      <c r="K15" s="3">
        <v>1.8</v>
      </c>
      <c r="L15" s="3">
        <v>1.8</v>
      </c>
      <c r="M15" s="3">
        <v>1.8</v>
      </c>
      <c r="N15" s="3">
        <v>1.8</v>
      </c>
      <c r="O15" s="3">
        <v>3.5999999999999996</v>
      </c>
      <c r="P15" s="3">
        <v>0.89999999999999991</v>
      </c>
      <c r="Q15" s="3">
        <v>1.7999999999999998</v>
      </c>
      <c r="R15" s="3">
        <v>6</v>
      </c>
      <c r="S15" s="3">
        <v>0.62999999999999956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1.8</v>
      </c>
      <c r="I16" s="3">
        <v>1.8</v>
      </c>
      <c r="J16" s="3">
        <v>1.8</v>
      </c>
      <c r="K16" s="3">
        <v>1.8</v>
      </c>
      <c r="L16" s="3">
        <v>1.8</v>
      </c>
      <c r="M16" s="3">
        <v>1.8</v>
      </c>
      <c r="N16" s="3">
        <v>1.8</v>
      </c>
      <c r="O16" s="3">
        <v>1.8</v>
      </c>
      <c r="P16" s="3">
        <v>1.8</v>
      </c>
      <c r="Q16" s="3">
        <v>1.8</v>
      </c>
      <c r="R16" s="3">
        <v>1.8</v>
      </c>
      <c r="S16" s="3">
        <v>0.89999999999999991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1.5154285714285713</v>
      </c>
      <c r="I17" s="3">
        <v>1.8857142857142857</v>
      </c>
      <c r="J17" s="3">
        <v>1.8745714285714283</v>
      </c>
      <c r="K17" s="3">
        <v>2.0940000000000003</v>
      </c>
      <c r="L17" s="3">
        <v>1.6999999999999997</v>
      </c>
      <c r="M17" s="3">
        <v>1.5428571428571427</v>
      </c>
      <c r="N17" s="3">
        <v>2.8000000000000003</v>
      </c>
      <c r="O17" s="3">
        <v>2.2507979999999996</v>
      </c>
      <c r="P17" s="3">
        <v>1.1819999999999999</v>
      </c>
      <c r="Q17" s="3">
        <v>2.5042499999999999</v>
      </c>
      <c r="R17" s="3">
        <v>2.7199999999999998</v>
      </c>
      <c r="S17" s="3">
        <v>0.82200000000000017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0.72599999999999998</v>
      </c>
      <c r="I18" s="3">
        <v>0.186</v>
      </c>
      <c r="J18" s="3">
        <v>1.8</v>
      </c>
      <c r="K18" s="3">
        <v>1.8</v>
      </c>
      <c r="L18" s="3">
        <v>1.8</v>
      </c>
      <c r="M18" s="3">
        <v>1.8</v>
      </c>
      <c r="N18" s="3">
        <v>1.8</v>
      </c>
      <c r="O18" s="3">
        <v>1.8</v>
      </c>
      <c r="P18" s="3">
        <v>1.8</v>
      </c>
      <c r="Q18" s="3">
        <v>1.8</v>
      </c>
      <c r="R18" s="3">
        <v>1.8</v>
      </c>
      <c r="S18" s="3">
        <v>1.8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</v>
      </c>
      <c r="I19" s="3">
        <v>1.2299999999999998</v>
      </c>
      <c r="J19" s="3">
        <v>1.6363636363636362</v>
      </c>
      <c r="K19" s="3">
        <v>1.4697247706422019</v>
      </c>
      <c r="L19" s="3">
        <v>1.32</v>
      </c>
      <c r="M19" s="3">
        <v>1.25</v>
      </c>
      <c r="N19" s="3">
        <v>1.0153846153846153</v>
      </c>
      <c r="O19" s="3">
        <v>1.02</v>
      </c>
      <c r="P19" s="3">
        <v>1.44</v>
      </c>
      <c r="Q19" s="3">
        <v>1.038</v>
      </c>
      <c r="R19" s="3">
        <v>0.48000000000000009</v>
      </c>
      <c r="S19" s="3">
        <v>-0.44727272727272716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1.2972972972972974</v>
      </c>
      <c r="I20" s="3">
        <v>1.65</v>
      </c>
      <c r="J20" s="3">
        <v>1.7249999999999999</v>
      </c>
      <c r="K20" s="3">
        <v>1.8075000000000001</v>
      </c>
      <c r="L20" s="3">
        <v>1.9087499999999999</v>
      </c>
      <c r="M20" s="3">
        <v>1.9087499999999999</v>
      </c>
      <c r="N20" s="3">
        <v>1.3499999999999999</v>
      </c>
      <c r="O20" s="3">
        <v>1.0909090909090911</v>
      </c>
      <c r="P20" s="3">
        <v>0.96</v>
      </c>
      <c r="Q20" s="3">
        <v>1.6889999999999998</v>
      </c>
      <c r="R20" s="3">
        <v>1.5</v>
      </c>
      <c r="S20" s="3">
        <v>2.3085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1.3333333333333333</v>
      </c>
      <c r="I21" s="3">
        <v>1.8413793103448273</v>
      </c>
      <c r="J21" s="3">
        <v>2.0607210626185957</v>
      </c>
      <c r="K21" s="3">
        <v>1.867704280155642</v>
      </c>
      <c r="L21" s="3">
        <v>2.0571428571428569</v>
      </c>
      <c r="M21" s="3">
        <v>2.4679245283018871</v>
      </c>
      <c r="N21" s="3">
        <v>2.2153846153846155</v>
      </c>
      <c r="O21" s="3">
        <v>2.64</v>
      </c>
      <c r="P21" s="3">
        <v>1.9961538461538462</v>
      </c>
      <c r="Q21" s="3">
        <v>2.13622641509434</v>
      </c>
      <c r="R21" s="3">
        <v>2.2000000000000002</v>
      </c>
      <c r="S21" s="3">
        <v>1.5716814159292036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1.5692307692307692</v>
      </c>
      <c r="I22" s="3">
        <v>2.1</v>
      </c>
      <c r="J22" s="3">
        <v>1.5272727272727271</v>
      </c>
      <c r="K22" s="3">
        <v>1.3090909090909089</v>
      </c>
      <c r="L22" s="3">
        <v>1.6363636363636362</v>
      </c>
      <c r="M22" s="3">
        <v>2.0727272727272728</v>
      </c>
      <c r="N22" s="3">
        <v>1.2</v>
      </c>
      <c r="O22" s="3">
        <v>1.2</v>
      </c>
      <c r="P22" s="3">
        <v>1.418181818181818</v>
      </c>
      <c r="Q22" s="3">
        <v>1.1527391999999999</v>
      </c>
      <c r="R22" s="3">
        <v>0.65266666666666662</v>
      </c>
      <c r="S22" s="3">
        <v>0.36133333333333345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0.98181818181818181</v>
      </c>
      <c r="I23" s="3">
        <v>1.1636363636363636</v>
      </c>
      <c r="J23" s="3">
        <v>1.4190257879656163</v>
      </c>
      <c r="K23" s="3">
        <v>1.6814159292035395</v>
      </c>
      <c r="L23" s="3">
        <v>1.6</v>
      </c>
      <c r="M23" s="3">
        <v>1.5804878048780489</v>
      </c>
      <c r="N23" s="3">
        <v>0.75</v>
      </c>
      <c r="O23" s="3">
        <v>1.3376250000000001</v>
      </c>
      <c r="P23" s="3">
        <v>3.0784285714285717</v>
      </c>
      <c r="Q23" s="3">
        <v>0.95520000000000005</v>
      </c>
      <c r="R23" s="3">
        <v>1.4666666666666666</v>
      </c>
      <c r="S23" s="3">
        <v>-2.68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0.39069767441860465</v>
      </c>
      <c r="I24" s="3">
        <v>0.46199999999999997</v>
      </c>
      <c r="J24" s="3">
        <v>0.52331873684210528</v>
      </c>
      <c r="K24" s="3">
        <v>0.53333333333333333</v>
      </c>
      <c r="L24" s="3">
        <v>0.51600000000000001</v>
      </c>
      <c r="M24" s="3">
        <v>0.6</v>
      </c>
      <c r="N24" s="3">
        <v>8.2758620689655171E-2</v>
      </c>
      <c r="O24" s="3">
        <v>0.16</v>
      </c>
      <c r="P24" s="3">
        <v>0.51724137931034486</v>
      </c>
      <c r="Q24" s="3">
        <v>0.31764705882352939</v>
      </c>
      <c r="R24" s="3">
        <v>0.47727272727272724</v>
      </c>
      <c r="S24" s="3">
        <v>-0.50039999999999996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0.89999999999999991</v>
      </c>
      <c r="I25" s="3">
        <v>2.1</v>
      </c>
      <c r="J25" s="3">
        <v>0.49135135135135133</v>
      </c>
      <c r="K25" s="3">
        <v>1.976470588235294</v>
      </c>
      <c r="L25" s="3">
        <v>1.8</v>
      </c>
      <c r="M25" s="3">
        <v>1.8</v>
      </c>
      <c r="N25" s="3">
        <v>1.8</v>
      </c>
      <c r="O25" s="3">
        <v>1.8</v>
      </c>
      <c r="P25" s="3">
        <v>1.8</v>
      </c>
      <c r="Q25" s="3">
        <v>1.8</v>
      </c>
      <c r="R25" s="3">
        <v>1.8</v>
      </c>
      <c r="S25" s="3">
        <v>1.8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0.504</v>
      </c>
      <c r="I26" s="3">
        <v>1.248</v>
      </c>
      <c r="J26" s="3">
        <v>1.8</v>
      </c>
      <c r="K26" s="3">
        <v>0.86399999999999999</v>
      </c>
      <c r="L26" s="3">
        <v>2.88</v>
      </c>
      <c r="M26" s="3">
        <v>1.8</v>
      </c>
      <c r="N26" s="3">
        <v>1.68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1.8</v>
      </c>
      <c r="I27" s="3">
        <v>1.8</v>
      </c>
      <c r="J27" s="3">
        <v>1.1399999999999999</v>
      </c>
      <c r="K27" s="3">
        <v>0.5625</v>
      </c>
      <c r="L27" s="3">
        <v>0.8</v>
      </c>
      <c r="M27" s="3">
        <v>0.82499999999999996</v>
      </c>
      <c r="N27" s="3">
        <v>1.0909090909090911</v>
      </c>
      <c r="O27" s="3">
        <v>1.2</v>
      </c>
      <c r="P27" s="3">
        <v>1.2</v>
      </c>
      <c r="Q27" s="3">
        <v>1.5708933333333333</v>
      </c>
      <c r="R27" s="3">
        <v>1.2152000000000001</v>
      </c>
      <c r="S27" s="3">
        <v>3.0257142857142849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1.8</v>
      </c>
      <c r="I28" s="3">
        <v>1.8</v>
      </c>
      <c r="J28" s="3">
        <v>0.24</v>
      </c>
      <c r="K28" s="3">
        <v>0.85199999999999998</v>
      </c>
      <c r="L28" s="3">
        <v>0.42599999999999999</v>
      </c>
      <c r="M28" s="3">
        <v>0.4</v>
      </c>
      <c r="N28" s="3">
        <v>0.6</v>
      </c>
      <c r="O28" s="3">
        <v>3.5999999999999996</v>
      </c>
      <c r="P28" s="3">
        <v>1.8</v>
      </c>
      <c r="Q28" s="3">
        <v>1.8</v>
      </c>
      <c r="R28" s="3">
        <v>1.8</v>
      </c>
      <c r="S28" s="3">
        <v>-1.0284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1.8</v>
      </c>
      <c r="I29" s="3">
        <v>3</v>
      </c>
      <c r="J29" s="3">
        <v>1.362162162162162</v>
      </c>
      <c r="K29" s="3">
        <v>0.92999999999999994</v>
      </c>
      <c r="L29" s="3">
        <v>1.2</v>
      </c>
      <c r="M29" s="3">
        <v>2.6999999999999997</v>
      </c>
      <c r="N29" s="3">
        <v>0.75</v>
      </c>
      <c r="O29" s="3">
        <v>0.99999999999999989</v>
      </c>
      <c r="P29" s="3">
        <v>1.2</v>
      </c>
      <c r="Q29" s="3">
        <v>3.4167359999999998</v>
      </c>
      <c r="R29" s="3">
        <v>1.2668571428571427</v>
      </c>
      <c r="S29" s="3">
        <v>0.38228571428571451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1.8</v>
      </c>
      <c r="I30" s="3">
        <v>1.8</v>
      </c>
      <c r="J30" s="3">
        <v>1.8</v>
      </c>
      <c r="K30" s="3">
        <v>1.8</v>
      </c>
      <c r="L30" s="3">
        <v>1.8</v>
      </c>
      <c r="M30" s="3">
        <v>6</v>
      </c>
      <c r="N30" s="3">
        <v>1.9999999999999998</v>
      </c>
      <c r="O30" s="3">
        <v>1.1786399999999997</v>
      </c>
      <c r="P30" s="3">
        <v>2.4</v>
      </c>
      <c r="Q30" s="3">
        <v>1.9344000000000001</v>
      </c>
      <c r="R30" s="3">
        <v>1.4136</v>
      </c>
      <c r="S30" s="3">
        <v>1.1952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1.8</v>
      </c>
      <c r="I31" s="3">
        <v>1.8</v>
      </c>
      <c r="J31" s="3">
        <v>1.8</v>
      </c>
      <c r="K31" s="3">
        <v>1.8</v>
      </c>
      <c r="L31" s="3">
        <v>1.8</v>
      </c>
      <c r="M31" s="3">
        <v>1.8</v>
      </c>
      <c r="N31" s="3">
        <v>1.8</v>
      </c>
      <c r="O31" s="3">
        <v>0.9035294117647058</v>
      </c>
      <c r="P31" s="3">
        <v>0.60631578947368425</v>
      </c>
      <c r="Q31" s="3">
        <v>0.46153846153846156</v>
      </c>
      <c r="R31" s="3">
        <v>1.308411214953271</v>
      </c>
      <c r="S31" s="3">
        <v>6.5910447761194026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1.8</v>
      </c>
      <c r="I32" s="3">
        <v>1.8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</v>
      </c>
      <c r="Q32" s="3">
        <v>0.6</v>
      </c>
      <c r="R32" s="3">
        <v>0.4</v>
      </c>
      <c r="S32" s="3">
        <v>0.78857142857142859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1.3104925053533187</v>
      </c>
      <c r="I33" s="3">
        <v>1.3043478260869563</v>
      </c>
      <c r="J33" s="3">
        <v>2.1818181818181821</v>
      </c>
      <c r="K33" s="3">
        <v>2.0769230769230766</v>
      </c>
      <c r="L33" s="3">
        <v>2.1913043478260872</v>
      </c>
      <c r="M33" s="3">
        <v>1.9714285714285713</v>
      </c>
      <c r="N33" s="3">
        <v>1.4666666666666666</v>
      </c>
      <c r="O33" s="3">
        <v>1.6</v>
      </c>
      <c r="P33" s="3">
        <v>2.0571428571428569</v>
      </c>
      <c r="Q33" s="3">
        <v>2.8000000000000003</v>
      </c>
      <c r="R33" s="3">
        <v>2.4</v>
      </c>
      <c r="S33" s="3">
        <v>2.0571428571428569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1.8</v>
      </c>
      <c r="I34" s="3">
        <v>5.6000000000000005</v>
      </c>
      <c r="J34" s="3">
        <v>0.89999999999999991</v>
      </c>
      <c r="K34" s="3">
        <v>0.64</v>
      </c>
      <c r="L34" s="3">
        <v>0.96</v>
      </c>
      <c r="M34" s="3">
        <v>1.8</v>
      </c>
      <c r="N34" s="3">
        <v>1.8</v>
      </c>
      <c r="O34" s="3">
        <v>1.8</v>
      </c>
      <c r="P34" s="3">
        <v>1.8</v>
      </c>
      <c r="Q34" s="3">
        <v>1.8</v>
      </c>
      <c r="R34" s="3">
        <v>1.8</v>
      </c>
      <c r="S34" s="3">
        <v>1.8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3.2432432432432425</v>
      </c>
      <c r="I35" s="3">
        <v>3.9999999999999996</v>
      </c>
      <c r="J35" s="3">
        <v>3.0716000000000001</v>
      </c>
      <c r="K35" s="3">
        <v>3.9999999999999996</v>
      </c>
      <c r="L35" s="3">
        <v>3.3999999999999995</v>
      </c>
      <c r="M35" s="3">
        <v>1.7999999999999998</v>
      </c>
      <c r="N35" s="3">
        <v>2.4</v>
      </c>
      <c r="O35" s="3">
        <v>1.76</v>
      </c>
      <c r="P35" s="3">
        <v>1.9999999999999998</v>
      </c>
      <c r="Q35" s="3">
        <v>0.48</v>
      </c>
      <c r="R35" s="3">
        <v>0.70399999999999996</v>
      </c>
      <c r="S35" s="3">
        <v>1.6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0.2</v>
      </c>
      <c r="I36" s="3">
        <v>1.4000000000000001</v>
      </c>
      <c r="J36" s="3">
        <v>9.6000000000000002E-2</v>
      </c>
      <c r="K36" s="3">
        <v>0.4</v>
      </c>
      <c r="L36" s="3">
        <v>1.8</v>
      </c>
      <c r="M36" s="3">
        <v>1.8</v>
      </c>
      <c r="N36" s="3">
        <v>1.8</v>
      </c>
      <c r="O36" s="3">
        <v>1.8</v>
      </c>
      <c r="P36" s="3">
        <v>1.8</v>
      </c>
      <c r="Q36" s="3">
        <v>1.8</v>
      </c>
      <c r="R36" s="3">
        <v>1.8</v>
      </c>
      <c r="S36" s="3">
        <v>1.8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1.8</v>
      </c>
      <c r="I37" s="3">
        <v>0.6</v>
      </c>
      <c r="J37" s="3">
        <v>0.13333333333333333</v>
      </c>
      <c r="K37" s="3">
        <v>1.5428571428571427</v>
      </c>
      <c r="L37" s="3">
        <v>1.7142857142857142</v>
      </c>
      <c r="M37" s="3">
        <v>1.7999999999999998</v>
      </c>
      <c r="N37" s="3">
        <v>1.2</v>
      </c>
      <c r="O37" s="3">
        <v>2.25</v>
      </c>
      <c r="P37" s="3">
        <v>2.25</v>
      </c>
      <c r="Q37" s="3">
        <v>2.3249999999999997</v>
      </c>
      <c r="R37" s="3">
        <v>1.2</v>
      </c>
      <c r="S37" s="3">
        <v>2.2000000000000002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1.8</v>
      </c>
      <c r="I38" s="3">
        <v>4.8</v>
      </c>
      <c r="J38" s="3">
        <v>0.4</v>
      </c>
      <c r="K38" s="3">
        <v>0.2</v>
      </c>
      <c r="L38" s="3">
        <v>1.8</v>
      </c>
      <c r="M38" s="3">
        <v>1.8</v>
      </c>
      <c r="N38" s="3">
        <v>1.8</v>
      </c>
      <c r="O38" s="3">
        <v>1.8</v>
      </c>
      <c r="P38" s="3">
        <v>1.8</v>
      </c>
      <c r="Q38" s="3">
        <v>1.8</v>
      </c>
      <c r="R38" s="3">
        <v>1.8</v>
      </c>
      <c r="S38" s="3">
        <v>1.8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1.8999999999999995</v>
      </c>
      <c r="I39" s="3">
        <v>2.5</v>
      </c>
      <c r="J39" s="3">
        <v>2.5</v>
      </c>
      <c r="K39" s="3">
        <v>1.7999999999999998</v>
      </c>
      <c r="L39" s="3">
        <v>1.26</v>
      </c>
      <c r="M39" s="3">
        <v>1.7999999999999998</v>
      </c>
      <c r="N39" s="3">
        <v>1.7999999999999998</v>
      </c>
      <c r="O39" s="3">
        <v>4.2158639999999998</v>
      </c>
      <c r="P39" s="3">
        <v>1.8</v>
      </c>
      <c r="Q39" s="3">
        <v>1.9466579999999998</v>
      </c>
      <c r="R39" s="3">
        <v>1.8413579999999998</v>
      </c>
      <c r="S39" s="3">
        <v>4.5648059999999999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1.8999999999999995</v>
      </c>
      <c r="I40" s="3">
        <v>1.92</v>
      </c>
      <c r="J40" s="3">
        <v>1.92</v>
      </c>
      <c r="K40" s="3">
        <v>2.1120000000000001</v>
      </c>
      <c r="L40" s="3">
        <v>2.1120000000000001</v>
      </c>
      <c r="M40" s="3">
        <v>2.1120000000000001</v>
      </c>
      <c r="N40" s="3">
        <v>2.1120000000000001</v>
      </c>
      <c r="O40" s="3">
        <v>2.1120000000000001</v>
      </c>
      <c r="P40" s="3">
        <v>2.1120000000000001</v>
      </c>
      <c r="Q40" s="3">
        <v>2.1120000000000001</v>
      </c>
      <c r="R40" s="3">
        <v>2.1120000000000001</v>
      </c>
      <c r="S40" s="3">
        <v>2.1120000000000001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1.8</v>
      </c>
      <c r="I41" s="3">
        <v>1.8</v>
      </c>
      <c r="J41" s="3">
        <v>1.8</v>
      </c>
      <c r="K41" s="3">
        <v>1.8</v>
      </c>
      <c r="L41" s="3">
        <v>1.8</v>
      </c>
      <c r="M41" s="3">
        <v>1.8</v>
      </c>
      <c r="N41" s="3">
        <v>1.8</v>
      </c>
      <c r="O41" s="3">
        <v>1.8</v>
      </c>
      <c r="P41" s="3">
        <v>1.8</v>
      </c>
      <c r="Q41" s="3">
        <v>1.8</v>
      </c>
      <c r="R41" s="3">
        <v>1.8</v>
      </c>
      <c r="S41" s="3">
        <v>1.8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7.4181818181818189</v>
      </c>
      <c r="I42" s="3">
        <v>7.2509620000000004</v>
      </c>
      <c r="J42" s="3">
        <v>3.54</v>
      </c>
      <c r="K42" s="3">
        <v>2.5999999999999996</v>
      </c>
      <c r="L42" s="3">
        <v>5</v>
      </c>
      <c r="M42" s="3">
        <v>4.4000000000000004</v>
      </c>
      <c r="N42" s="3">
        <v>3.1111111111111103</v>
      </c>
      <c r="O42" s="3">
        <v>9.7974737142857133</v>
      </c>
      <c r="P42" s="3">
        <v>4.1468571428571428</v>
      </c>
      <c r="Q42" s="3">
        <v>3.4648285714285714</v>
      </c>
      <c r="R42" s="3">
        <v>4.4009657142857144</v>
      </c>
      <c r="S42" s="3">
        <v>2.9936009999999995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0.89999999999999991</v>
      </c>
      <c r="I43" s="3">
        <v>0.75</v>
      </c>
      <c r="J43" s="3">
        <v>2.693877551020408</v>
      </c>
      <c r="K43" s="3">
        <v>1.92</v>
      </c>
      <c r="L43" s="3">
        <v>1.44</v>
      </c>
      <c r="M43" s="3">
        <v>2.88</v>
      </c>
      <c r="N43" s="3">
        <v>2.1999999999999997</v>
      </c>
      <c r="O43" s="3">
        <v>-1.4652000000000001</v>
      </c>
      <c r="P43" s="3">
        <v>2.25</v>
      </c>
      <c r="Q43" s="3">
        <v>2.1491279999999997</v>
      </c>
      <c r="R43" s="3">
        <v>2.64</v>
      </c>
      <c r="S43" s="3">
        <v>3.0749039999999996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2.23</v>
      </c>
      <c r="I44" s="3">
        <v>0.75</v>
      </c>
      <c r="J44" s="3">
        <v>0.36500000000000005</v>
      </c>
      <c r="K44" s="3">
        <v>0.89999999999999991</v>
      </c>
      <c r="L44" s="3">
        <v>1.4919999999999998</v>
      </c>
      <c r="M44" s="3">
        <v>3.2</v>
      </c>
      <c r="N44" s="3">
        <v>3.9</v>
      </c>
      <c r="O44" s="3">
        <v>4.8</v>
      </c>
      <c r="P44" s="3">
        <v>0.90000000000000036</v>
      </c>
      <c r="Q44" s="3">
        <v>1.0704</v>
      </c>
      <c r="R44" s="3">
        <v>1.8</v>
      </c>
      <c r="S44" s="3">
        <v>2.8715999999999995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1.8</v>
      </c>
      <c r="I45" s="3">
        <v>1.8</v>
      </c>
      <c r="J45" s="3">
        <v>1.8</v>
      </c>
      <c r="K45" s="3">
        <v>1.8</v>
      </c>
      <c r="L45" s="3">
        <v>1.8</v>
      </c>
      <c r="M45" s="3">
        <v>1.8</v>
      </c>
      <c r="N45" s="3">
        <v>1.8</v>
      </c>
      <c r="O45" s="3">
        <v>1.8</v>
      </c>
      <c r="P45" s="3">
        <v>1.8</v>
      </c>
      <c r="Q45" s="3">
        <v>1.8</v>
      </c>
      <c r="R45" s="3">
        <v>1.8</v>
      </c>
      <c r="S45" s="3">
        <v>1.8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1.8</v>
      </c>
      <c r="I46" s="3">
        <v>1.8</v>
      </c>
      <c r="J46" s="3">
        <v>1.8</v>
      </c>
      <c r="K46" s="3">
        <v>1.8</v>
      </c>
      <c r="L46" s="3">
        <v>1.8</v>
      </c>
      <c r="M46" s="3">
        <v>1.8</v>
      </c>
      <c r="N46" s="3">
        <v>1.8</v>
      </c>
      <c r="O46" s="3">
        <v>1.5129999999999999</v>
      </c>
      <c r="P46" s="3">
        <v>0.12</v>
      </c>
      <c r="Q46" s="3">
        <v>1.494</v>
      </c>
      <c r="R46" s="3">
        <v>1.1614285714285715</v>
      </c>
      <c r="S46" s="3">
        <v>4.5878300000000003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1.8</v>
      </c>
      <c r="I47" s="3">
        <v>1.8</v>
      </c>
      <c r="J47" s="3">
        <v>1.8</v>
      </c>
      <c r="K47" s="3">
        <v>1.8</v>
      </c>
      <c r="L47" s="3">
        <v>1.8</v>
      </c>
      <c r="M47" s="3">
        <v>1.8</v>
      </c>
      <c r="N47" s="3">
        <v>1.8</v>
      </c>
      <c r="O47" s="3">
        <v>1.8</v>
      </c>
      <c r="P47" s="3">
        <v>0.6</v>
      </c>
      <c r="Q47" s="3">
        <v>0.70499999999999996</v>
      </c>
      <c r="R47" s="3">
        <v>1.83792</v>
      </c>
      <c r="S47" s="3">
        <v>1.1035200000000003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1.8</v>
      </c>
      <c r="I48" s="3">
        <v>1.8</v>
      </c>
      <c r="J48" s="3">
        <v>1.8</v>
      </c>
      <c r="K48" s="3">
        <v>1.8</v>
      </c>
      <c r="L48" s="3">
        <v>1.8</v>
      </c>
      <c r="M48" s="3">
        <v>1.8</v>
      </c>
      <c r="N48" s="3">
        <v>1.8</v>
      </c>
      <c r="O48" s="3">
        <v>1.8</v>
      </c>
      <c r="P48" s="3">
        <v>1.8</v>
      </c>
      <c r="Q48" s="3">
        <v>1.8</v>
      </c>
      <c r="R48" s="3">
        <v>1.8</v>
      </c>
      <c r="S48" s="3">
        <v>0.75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3.9139784946236555</v>
      </c>
      <c r="I49" s="3">
        <v>3.254237288135593</v>
      </c>
      <c r="J49" s="3">
        <v>3.2603725423728815</v>
      </c>
      <c r="K49" s="3">
        <v>3.3305263157894727</v>
      </c>
      <c r="L49" s="3">
        <v>3.0657777777777779</v>
      </c>
      <c r="M49" s="3">
        <v>3.177777777777778</v>
      </c>
      <c r="N49" s="3">
        <v>3.0666666666666669</v>
      </c>
      <c r="O49" s="3">
        <v>2.8735632183908044</v>
      </c>
      <c r="P49" s="3">
        <v>4.0720000000000081</v>
      </c>
      <c r="Q49" s="3">
        <v>3.048</v>
      </c>
      <c r="R49" s="3">
        <v>0.90612244897959171</v>
      </c>
      <c r="S49" s="3">
        <v>3.4749999999999996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1.180327868852459</v>
      </c>
      <c r="I50" s="3">
        <v>2.9</v>
      </c>
      <c r="J50" s="3">
        <v>2.1</v>
      </c>
      <c r="K50" s="3">
        <v>2.2999999999999998</v>
      </c>
      <c r="L50" s="3">
        <v>2.2999999999999998</v>
      </c>
      <c r="M50" s="3">
        <v>2.35</v>
      </c>
      <c r="N50" s="3">
        <v>2.0945454545454547</v>
      </c>
      <c r="O50" s="3">
        <v>1.5144999999999997</v>
      </c>
      <c r="P50" s="3">
        <v>2.9155000000000002</v>
      </c>
      <c r="Q50" s="3">
        <v>1.1000000000000001</v>
      </c>
      <c r="R50" s="3">
        <v>1.05</v>
      </c>
      <c r="S50" s="3">
        <v>1.9902857142857142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0.51600000000000001</v>
      </c>
      <c r="I51" s="3">
        <v>0.13028571428571428</v>
      </c>
      <c r="J51" s="3">
        <v>0.54600000000000004</v>
      </c>
      <c r="K51" s="3">
        <v>1.48</v>
      </c>
      <c r="L51" s="3">
        <v>0.6</v>
      </c>
      <c r="M51" s="3">
        <v>0.38999999999999996</v>
      </c>
      <c r="N51" s="3">
        <v>1.8</v>
      </c>
      <c r="O51" s="3">
        <v>1.8</v>
      </c>
      <c r="P51" s="3">
        <v>1.8</v>
      </c>
      <c r="Q51" s="3">
        <v>1.8</v>
      </c>
      <c r="R51" s="3">
        <v>1.8</v>
      </c>
      <c r="S51" s="3">
        <v>1.8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1.3155555555555556</v>
      </c>
      <c r="I52" s="3">
        <v>1.3381977600000001</v>
      </c>
      <c r="J52" s="3">
        <v>1.9591836734693877</v>
      </c>
      <c r="K52" s="3">
        <v>2.7846153846153849</v>
      </c>
      <c r="L52" s="3">
        <v>2.4558139534883723</v>
      </c>
      <c r="M52" s="3">
        <v>4.295454545454545</v>
      </c>
      <c r="N52" s="3">
        <v>2.171764705882353</v>
      </c>
      <c r="O52" s="3">
        <v>2.0987291338582676</v>
      </c>
      <c r="P52" s="3">
        <v>2.8766261538461539</v>
      </c>
      <c r="Q52" s="3">
        <v>2.0719846153846153</v>
      </c>
      <c r="R52" s="3">
        <v>4.6363636363636358</v>
      </c>
      <c r="S52" s="3">
        <v>2.8744186046511624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2.8000000000000003</v>
      </c>
      <c r="I53" s="3">
        <v>2.4</v>
      </c>
      <c r="J53" s="3">
        <v>4.7591199999999994</v>
      </c>
      <c r="K53" s="3">
        <v>2.8000000000000003</v>
      </c>
      <c r="L53" s="3">
        <v>4.8</v>
      </c>
      <c r="M53" s="3">
        <v>5.3999999999999995</v>
      </c>
      <c r="N53" s="3">
        <v>3</v>
      </c>
      <c r="O53" s="3">
        <v>2.52</v>
      </c>
      <c r="P53" s="3">
        <v>3</v>
      </c>
      <c r="Q53" s="3">
        <v>3.9086999999999996</v>
      </c>
      <c r="R53" s="3">
        <v>3.3</v>
      </c>
      <c r="S53" s="3">
        <v>5.7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4.0000000000000009</v>
      </c>
      <c r="I54" s="3">
        <v>3.9999999999999996</v>
      </c>
      <c r="J54" s="3">
        <v>-3.1999919999999995</v>
      </c>
      <c r="K54" s="3">
        <v>1.32</v>
      </c>
      <c r="L54" s="3">
        <v>1.2</v>
      </c>
      <c r="M54" s="3">
        <v>1.7999999999999998</v>
      </c>
      <c r="N54" s="3">
        <v>2.0000000000000004</v>
      </c>
      <c r="O54" s="3">
        <v>2.04</v>
      </c>
      <c r="P54" s="3">
        <v>1.9600000000000002</v>
      </c>
      <c r="Q54" s="3">
        <v>1.7999999999999998</v>
      </c>
      <c r="R54" s="3">
        <v>2.4</v>
      </c>
      <c r="S54" s="3">
        <v>1.6689959999999999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0.62047407199999993</v>
      </c>
      <c r="I55" s="3">
        <v>1.65</v>
      </c>
      <c r="J55" s="3">
        <v>3.3</v>
      </c>
      <c r="K55" s="3">
        <v>0.6</v>
      </c>
      <c r="L55" s="3">
        <v>0.99999999999999989</v>
      </c>
      <c r="M55" s="3">
        <v>1.2</v>
      </c>
      <c r="N55" s="3">
        <v>0.44999999999999996</v>
      </c>
      <c r="O55" s="3">
        <v>0.89530434782608703</v>
      </c>
      <c r="P55" s="3">
        <v>1.043076923076923</v>
      </c>
      <c r="Q55" s="3">
        <v>0.99526800000000015</v>
      </c>
      <c r="R55" s="3">
        <v>1.8</v>
      </c>
      <c r="S55" s="3">
        <v>1.8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1.8</v>
      </c>
      <c r="I56" s="3">
        <v>1.8</v>
      </c>
      <c r="J56" s="3">
        <v>1.8</v>
      </c>
      <c r="K56" s="3">
        <v>1.8</v>
      </c>
      <c r="L56" s="3">
        <v>1.8</v>
      </c>
      <c r="M56" s="3">
        <v>1.8</v>
      </c>
      <c r="N56" s="3">
        <v>1.8</v>
      </c>
      <c r="O56" s="3">
        <v>1.8</v>
      </c>
      <c r="P56" s="3">
        <v>1.8</v>
      </c>
      <c r="Q56" s="3">
        <v>1.8</v>
      </c>
      <c r="R56" s="3">
        <v>1.8</v>
      </c>
      <c r="S56" s="3">
        <v>1.8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1.8</v>
      </c>
      <c r="I57" s="3">
        <v>1.8</v>
      </c>
      <c r="J57" s="3">
        <v>1.8</v>
      </c>
      <c r="K57" s="3">
        <v>1.8</v>
      </c>
      <c r="L57" s="3">
        <v>1.8</v>
      </c>
      <c r="M57" s="3">
        <v>1.8</v>
      </c>
      <c r="N57" s="3">
        <v>1.8</v>
      </c>
      <c r="O57" s="3">
        <v>1.8</v>
      </c>
      <c r="P57" s="3">
        <v>1.8</v>
      </c>
      <c r="Q57" s="3">
        <v>1.8</v>
      </c>
      <c r="R57" s="3">
        <v>1.8</v>
      </c>
      <c r="S57" s="3">
        <v>1.8</v>
      </c>
    </row>
    <row r="58" spans="1:19" x14ac:dyDescent="0.25">
      <c r="A58" s="17" t="s">
        <v>108</v>
      </c>
      <c r="B58" s="9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3">
        <v>1.8</v>
      </c>
      <c r="I58" s="3">
        <v>1.8</v>
      </c>
      <c r="J58" s="3">
        <v>1.8</v>
      </c>
      <c r="K58" s="3">
        <v>1.8</v>
      </c>
      <c r="L58" s="3">
        <v>1.8</v>
      </c>
      <c r="M58" s="3">
        <v>1.8</v>
      </c>
      <c r="N58" s="3">
        <v>1.8</v>
      </c>
      <c r="O58" s="3">
        <v>1.8</v>
      </c>
      <c r="P58" s="3">
        <v>1.8</v>
      </c>
      <c r="Q58" s="3">
        <v>1.8</v>
      </c>
      <c r="R58" s="3">
        <v>1.8</v>
      </c>
      <c r="S58" s="3">
        <v>1.8</v>
      </c>
    </row>
  </sheetData>
  <conditionalFormatting sqref="B2:B58">
    <cfRule type="duplicateValues" dxfId="80" priority="5"/>
  </conditionalFormatting>
  <conditionalFormatting sqref="B1:C1">
    <cfRule type="duplicateValues" dxfId="79" priority="3"/>
  </conditionalFormatting>
  <conditionalFormatting sqref="B59:D1048576">
    <cfRule type="duplicateValues" dxfId="78" priority="46"/>
  </conditionalFormatting>
  <conditionalFormatting sqref="C2:C58">
    <cfRule type="duplicateValues" dxfId="77" priority="1"/>
  </conditionalFormatting>
  <conditionalFormatting sqref="D1:E1">
    <cfRule type="duplicateValues" dxfId="7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E26-C52F-4E7D-9566-B57CE49C534C}">
  <sheetPr codeName="Sheet4">
    <tabColor rgb="FFFFC00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25</v>
      </c>
      <c r="I2" s="5">
        <v>35</v>
      </c>
      <c r="J2" s="5">
        <v>40</v>
      </c>
      <c r="K2" s="5">
        <v>43.5</v>
      </c>
      <c r="L2" s="5">
        <v>60.9</v>
      </c>
      <c r="M2" s="5">
        <v>69.600000000000009</v>
      </c>
      <c r="N2" s="5">
        <v>49.024999999999999</v>
      </c>
      <c r="O2" s="5">
        <v>68.634999999999991</v>
      </c>
      <c r="P2" s="5">
        <v>78.44</v>
      </c>
      <c r="Q2" s="1">
        <v>50.8825</v>
      </c>
      <c r="R2" s="1">
        <v>71.235500000000002</v>
      </c>
      <c r="S2" s="1">
        <v>81.412000000000006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6.1750000000000007</v>
      </c>
      <c r="I3" s="5">
        <v>8.6449999999999996</v>
      </c>
      <c r="J3" s="5">
        <v>9.8800000000000026</v>
      </c>
      <c r="K3" s="5">
        <v>6.3500000000000005</v>
      </c>
      <c r="L3" s="5">
        <v>8.89</v>
      </c>
      <c r="M3" s="5">
        <v>10.160000000000002</v>
      </c>
      <c r="N3" s="5">
        <v>6.6500000000000012</v>
      </c>
      <c r="O3" s="5">
        <v>9.31</v>
      </c>
      <c r="P3" s="5">
        <v>10.640000000000002</v>
      </c>
      <c r="Q3" s="1">
        <v>7.0324999999999989</v>
      </c>
      <c r="R3" s="1">
        <v>9.8454999999999977</v>
      </c>
      <c r="S3" s="1">
        <v>11.251999999999999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3</v>
      </c>
      <c r="I4" s="5">
        <v>4.1999999999999993</v>
      </c>
      <c r="J4" s="5">
        <v>4.8000000000000007</v>
      </c>
      <c r="K4" s="5">
        <v>3.6749999999999998</v>
      </c>
      <c r="L4" s="5">
        <v>5.1449999999999996</v>
      </c>
      <c r="M4" s="5">
        <v>5.88</v>
      </c>
      <c r="N4" s="5">
        <v>3.8250000000000002</v>
      </c>
      <c r="O4" s="5">
        <v>5.3549999999999995</v>
      </c>
      <c r="P4" s="5">
        <v>6.120000000000001</v>
      </c>
      <c r="Q4" s="1">
        <v>4.057500000000001</v>
      </c>
      <c r="R4" s="1">
        <v>5.6805000000000012</v>
      </c>
      <c r="S4" s="1">
        <v>6.4920000000000018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1.125</v>
      </c>
      <c r="I5" s="5">
        <v>1.575</v>
      </c>
      <c r="J5" s="5">
        <v>1.8</v>
      </c>
      <c r="K5" s="5">
        <v>1.125</v>
      </c>
      <c r="L5" s="5">
        <v>1.575</v>
      </c>
      <c r="M5" s="5">
        <v>1.8</v>
      </c>
      <c r="N5" s="5">
        <v>1.125</v>
      </c>
      <c r="O5" s="5">
        <v>1.575</v>
      </c>
      <c r="P5" s="5">
        <v>1.8</v>
      </c>
      <c r="Q5" s="1">
        <v>1.2075</v>
      </c>
      <c r="R5" s="1">
        <v>1.6904999999999999</v>
      </c>
      <c r="S5" s="1">
        <v>1.9320000000000002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15.399999999999999</v>
      </c>
      <c r="I6" s="5">
        <v>21.559999999999995</v>
      </c>
      <c r="J6" s="5">
        <v>24.64</v>
      </c>
      <c r="K6" s="5">
        <v>15.924999999999999</v>
      </c>
      <c r="L6" s="5">
        <v>22.294999999999998</v>
      </c>
      <c r="M6" s="5">
        <v>25.48</v>
      </c>
      <c r="N6" s="5">
        <v>16.574999999999999</v>
      </c>
      <c r="O6" s="5">
        <v>23.204999999999998</v>
      </c>
      <c r="P6" s="5">
        <v>26.52</v>
      </c>
      <c r="Q6" s="1">
        <v>17.307500000000008</v>
      </c>
      <c r="R6" s="1">
        <v>24.23050000000001</v>
      </c>
      <c r="S6" s="1">
        <v>27.692000000000014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0.375</v>
      </c>
      <c r="I7" s="5">
        <v>0.52499999999999991</v>
      </c>
      <c r="J7" s="5">
        <v>0.60000000000000009</v>
      </c>
      <c r="K7" s="5">
        <v>1.7999999999999998</v>
      </c>
      <c r="L7" s="5">
        <v>2.5199999999999996</v>
      </c>
      <c r="M7" s="5">
        <v>2.88</v>
      </c>
      <c r="N7" s="5">
        <v>1.9500000000000002</v>
      </c>
      <c r="O7" s="5">
        <v>2.73</v>
      </c>
      <c r="P7" s="5">
        <v>3.1200000000000006</v>
      </c>
      <c r="Q7" s="1">
        <v>2.1825000000000001</v>
      </c>
      <c r="R7" s="1">
        <v>3.0554999999999999</v>
      </c>
      <c r="S7" s="1">
        <v>3.4920000000000004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3.125</v>
      </c>
      <c r="I8" s="5">
        <v>4.375</v>
      </c>
      <c r="J8" s="5">
        <v>5</v>
      </c>
      <c r="K8" s="5">
        <v>6.25</v>
      </c>
      <c r="L8" s="5">
        <v>8.75</v>
      </c>
      <c r="M8" s="5">
        <v>10</v>
      </c>
      <c r="N8" s="5">
        <v>6.25</v>
      </c>
      <c r="O8" s="5">
        <v>8.75</v>
      </c>
      <c r="P8" s="5">
        <v>10</v>
      </c>
      <c r="Q8" s="1">
        <v>6.3324999999999996</v>
      </c>
      <c r="R8" s="1">
        <v>8.865499999999999</v>
      </c>
      <c r="S8" s="1">
        <v>10.132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3.75</v>
      </c>
      <c r="I9" s="5">
        <v>5.25</v>
      </c>
      <c r="J9" s="5">
        <v>6</v>
      </c>
      <c r="K9" s="5">
        <v>7.5</v>
      </c>
      <c r="L9" s="5">
        <v>10.5</v>
      </c>
      <c r="M9" s="5">
        <v>12</v>
      </c>
      <c r="N9" s="5">
        <v>10</v>
      </c>
      <c r="O9" s="5">
        <v>14</v>
      </c>
      <c r="P9" s="5">
        <v>16</v>
      </c>
      <c r="Q9" s="1">
        <v>8</v>
      </c>
      <c r="R9" s="1">
        <v>11.2</v>
      </c>
      <c r="S9" s="1">
        <v>12.8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11.375</v>
      </c>
      <c r="I11" s="5">
        <v>15.924999999999999</v>
      </c>
      <c r="J11" s="5">
        <v>18.2</v>
      </c>
      <c r="K11" s="5">
        <v>11.5</v>
      </c>
      <c r="L11" s="5">
        <v>16.099999999999998</v>
      </c>
      <c r="M11" s="5">
        <v>18.400000000000002</v>
      </c>
      <c r="N11" s="5">
        <v>11.5</v>
      </c>
      <c r="O11" s="5">
        <v>16.099999999999998</v>
      </c>
      <c r="P11" s="5">
        <v>18.400000000000002</v>
      </c>
      <c r="Q11" s="1">
        <v>11.5825</v>
      </c>
      <c r="R11" s="1">
        <v>16.215499999999999</v>
      </c>
      <c r="S11" s="1">
        <v>18.532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9</v>
      </c>
      <c r="I12" s="5">
        <v>12.6</v>
      </c>
      <c r="J12" s="5">
        <v>14.4</v>
      </c>
      <c r="K12" s="5">
        <v>7.9075000000000006</v>
      </c>
      <c r="L12" s="5">
        <v>11.070500000000001</v>
      </c>
      <c r="M12" s="5">
        <v>12.652000000000001</v>
      </c>
      <c r="N12" s="5">
        <v>7.6575000000000006</v>
      </c>
      <c r="O12" s="5">
        <v>10.720499999999999</v>
      </c>
      <c r="P12" s="5">
        <v>12.252000000000002</v>
      </c>
      <c r="Q12" s="1">
        <v>7.8650000000000002</v>
      </c>
      <c r="R12" s="1">
        <v>11.010999999999999</v>
      </c>
      <c r="S12" s="1">
        <v>12.584000000000001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4.25</v>
      </c>
      <c r="I13" s="5">
        <v>5.9499999999999993</v>
      </c>
      <c r="J13" s="5">
        <v>6.8000000000000007</v>
      </c>
      <c r="K13" s="5">
        <v>7.5</v>
      </c>
      <c r="L13" s="5">
        <v>10.5</v>
      </c>
      <c r="M13" s="5">
        <v>12</v>
      </c>
      <c r="N13" s="5">
        <v>8.75</v>
      </c>
      <c r="O13" s="5">
        <v>12.25</v>
      </c>
      <c r="P13" s="5">
        <v>14</v>
      </c>
      <c r="Q13" s="1">
        <v>10</v>
      </c>
      <c r="R13" s="1">
        <v>14</v>
      </c>
      <c r="S13" s="1">
        <v>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7.5</v>
      </c>
      <c r="I17" s="5">
        <v>10.5</v>
      </c>
      <c r="J17" s="5">
        <v>12</v>
      </c>
      <c r="K17" s="5">
        <v>11.25</v>
      </c>
      <c r="L17" s="5">
        <v>15.749999999999998</v>
      </c>
      <c r="M17" s="5">
        <v>18</v>
      </c>
      <c r="N17" s="5">
        <v>11.25</v>
      </c>
      <c r="O17" s="5">
        <v>15.749999999999998</v>
      </c>
      <c r="P17" s="5">
        <v>18</v>
      </c>
      <c r="Q17" s="1">
        <v>11.3325</v>
      </c>
      <c r="R17" s="1">
        <v>15.865499999999999</v>
      </c>
      <c r="S17" s="1">
        <v>18.132000000000001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5.125</v>
      </c>
      <c r="I18" s="5">
        <v>7.1749999999999998</v>
      </c>
      <c r="J18" s="5">
        <v>8.2000000000000011</v>
      </c>
      <c r="K18" s="5">
        <v>5</v>
      </c>
      <c r="L18" s="5">
        <v>7</v>
      </c>
      <c r="M18" s="5">
        <v>8</v>
      </c>
      <c r="N18" s="5">
        <v>5</v>
      </c>
      <c r="O18" s="5">
        <v>7</v>
      </c>
      <c r="P18" s="5">
        <v>8</v>
      </c>
      <c r="Q18" s="1">
        <v>5.0824999999999996</v>
      </c>
      <c r="R18" s="1">
        <v>7.115499999999999</v>
      </c>
      <c r="S18" s="1">
        <v>8.1319999999999997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18.2</v>
      </c>
      <c r="J19" s="5">
        <v>20.8</v>
      </c>
      <c r="K19" s="5">
        <v>13.75</v>
      </c>
      <c r="L19" s="5">
        <v>19.25</v>
      </c>
      <c r="M19" s="5">
        <v>22</v>
      </c>
      <c r="N19" s="5">
        <v>15</v>
      </c>
      <c r="O19" s="5">
        <v>21</v>
      </c>
      <c r="P19" s="5">
        <v>24</v>
      </c>
      <c r="Q19" s="1">
        <v>12.5825</v>
      </c>
      <c r="R19" s="1">
        <v>17.615499999999997</v>
      </c>
      <c r="S19" s="1">
        <v>20.132000000000001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14.8125</v>
      </c>
      <c r="I20" s="5">
        <v>20.737499999999997</v>
      </c>
      <c r="J20" s="5">
        <v>23.700000000000003</v>
      </c>
      <c r="K20" s="5">
        <v>15.3125</v>
      </c>
      <c r="L20" s="5">
        <v>21.4375</v>
      </c>
      <c r="M20" s="5">
        <v>24.5</v>
      </c>
      <c r="N20" s="5">
        <v>15.9375</v>
      </c>
      <c r="O20" s="5">
        <v>22.3125</v>
      </c>
      <c r="P20" s="5">
        <v>25.5</v>
      </c>
      <c r="Q20" s="1">
        <v>16.645</v>
      </c>
      <c r="R20" s="1">
        <v>23.302999999999997</v>
      </c>
      <c r="S20" s="1">
        <v>26.632000000000001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60.125</v>
      </c>
      <c r="I21" s="5">
        <v>84.174999999999997</v>
      </c>
      <c r="J21" s="5">
        <v>96.2</v>
      </c>
      <c r="K21" s="5">
        <v>70</v>
      </c>
      <c r="L21" s="5">
        <v>98</v>
      </c>
      <c r="M21" s="5">
        <v>112</v>
      </c>
      <c r="N21" s="5">
        <v>77.5</v>
      </c>
      <c r="O21" s="5">
        <v>108.5</v>
      </c>
      <c r="P21" s="5">
        <v>124</v>
      </c>
      <c r="Q21" s="1">
        <v>77.582499999999996</v>
      </c>
      <c r="R21" s="1">
        <v>108.61549999999998</v>
      </c>
      <c r="S21" s="1">
        <v>124.13200000000001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13.875</v>
      </c>
      <c r="I22" s="5">
        <v>19.424999999999997</v>
      </c>
      <c r="J22" s="5">
        <v>22.200000000000003</v>
      </c>
      <c r="K22" s="5">
        <v>13.75</v>
      </c>
      <c r="L22" s="5">
        <v>19.25</v>
      </c>
      <c r="M22" s="5">
        <v>22</v>
      </c>
      <c r="N22" s="5">
        <v>13.75</v>
      </c>
      <c r="O22" s="5">
        <v>19.25</v>
      </c>
      <c r="P22" s="5">
        <v>22</v>
      </c>
      <c r="Q22" s="1">
        <v>13.8325</v>
      </c>
      <c r="R22" s="1">
        <v>19.365499999999997</v>
      </c>
      <c r="S22" s="1">
        <v>22.132000000000001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22.625</v>
      </c>
      <c r="I23" s="5">
        <v>31.674999999999997</v>
      </c>
      <c r="J23" s="5">
        <v>36.200000000000003</v>
      </c>
      <c r="K23" s="5">
        <v>24.475000000000001</v>
      </c>
      <c r="L23" s="5">
        <v>34.265000000000001</v>
      </c>
      <c r="M23" s="5">
        <v>39.160000000000004</v>
      </c>
      <c r="N23" s="5">
        <v>25.524999999999999</v>
      </c>
      <c r="O23" s="5">
        <v>35.734999999999992</v>
      </c>
      <c r="P23" s="5">
        <v>40.840000000000003</v>
      </c>
      <c r="Q23" s="1">
        <v>27.482499999999998</v>
      </c>
      <c r="R23" s="1">
        <v>38.475499999999997</v>
      </c>
      <c r="S23" s="1">
        <v>43.972000000000001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10</v>
      </c>
      <c r="I24" s="5">
        <v>14</v>
      </c>
      <c r="J24" s="5">
        <v>16</v>
      </c>
      <c r="K24" s="5">
        <v>12.5</v>
      </c>
      <c r="L24" s="5">
        <v>17.5</v>
      </c>
      <c r="M24" s="5">
        <v>20</v>
      </c>
      <c r="N24" s="5">
        <v>12.5</v>
      </c>
      <c r="O24" s="5">
        <v>17.5</v>
      </c>
      <c r="P24" s="5">
        <v>20</v>
      </c>
      <c r="Q24" s="1">
        <v>12.5825</v>
      </c>
      <c r="R24" s="1">
        <v>17.615499999999997</v>
      </c>
      <c r="S24" s="1">
        <v>20.132000000000001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3.875</v>
      </c>
      <c r="I25" s="5">
        <v>5.4249999999999998</v>
      </c>
      <c r="J25" s="5">
        <v>6.2</v>
      </c>
      <c r="K25" s="5">
        <v>3.875</v>
      </c>
      <c r="L25" s="5">
        <v>5.4249999999999998</v>
      </c>
      <c r="M25" s="5">
        <v>6.2</v>
      </c>
      <c r="N25" s="5">
        <v>12.5</v>
      </c>
      <c r="O25" s="5">
        <v>17.5</v>
      </c>
      <c r="P25" s="5">
        <v>20</v>
      </c>
      <c r="Q25" s="1">
        <v>12.5825</v>
      </c>
      <c r="R25" s="1">
        <v>17.615499999999997</v>
      </c>
      <c r="S25" s="1">
        <v>20.132000000000001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1.25</v>
      </c>
      <c r="I26" s="5">
        <v>1.75</v>
      </c>
      <c r="J26" s="5">
        <v>2</v>
      </c>
      <c r="K26" s="5">
        <v>6.25</v>
      </c>
      <c r="L26" s="5">
        <v>8.75</v>
      </c>
      <c r="M26" s="5">
        <v>10</v>
      </c>
      <c r="N26" s="5">
        <v>6.25</v>
      </c>
      <c r="O26" s="5">
        <v>8.75</v>
      </c>
      <c r="P26" s="5">
        <v>10</v>
      </c>
      <c r="Q26" s="1">
        <v>6.3324999999999996</v>
      </c>
      <c r="R26" s="1">
        <v>8.865499999999999</v>
      </c>
      <c r="S26" s="1">
        <v>10.132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9.375</v>
      </c>
      <c r="I33" s="5">
        <v>13.125</v>
      </c>
      <c r="J33" s="5">
        <v>15</v>
      </c>
      <c r="K33" s="5">
        <v>13</v>
      </c>
      <c r="L33" s="5">
        <v>18.2</v>
      </c>
      <c r="M33" s="5">
        <v>20.8</v>
      </c>
      <c r="N33" s="5">
        <v>13.5</v>
      </c>
      <c r="O33" s="5">
        <v>18.899999999999999</v>
      </c>
      <c r="P33" s="5">
        <v>21.6</v>
      </c>
      <c r="Q33" s="1">
        <v>14.3325</v>
      </c>
      <c r="R33" s="1">
        <v>20.065499999999997</v>
      </c>
      <c r="S33" s="1">
        <v>22.932000000000002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6</v>
      </c>
      <c r="I34" s="5">
        <v>8.3999999999999986</v>
      </c>
      <c r="J34" s="5">
        <v>9.6000000000000014</v>
      </c>
      <c r="K34" s="5">
        <v>6.125</v>
      </c>
      <c r="L34" s="5">
        <v>8.5749999999999993</v>
      </c>
      <c r="M34" s="5">
        <v>9.8000000000000007</v>
      </c>
      <c r="N34" s="5">
        <v>6.375</v>
      </c>
      <c r="O34" s="5">
        <v>8.9249999999999989</v>
      </c>
      <c r="P34" s="5">
        <v>10.200000000000001</v>
      </c>
      <c r="Q34" s="1">
        <v>6.7074999999999996</v>
      </c>
      <c r="R34" s="1">
        <v>9.3904999999999994</v>
      </c>
      <c r="S34" s="1">
        <v>10.731999999999999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3.875</v>
      </c>
      <c r="I35" s="5">
        <v>5.4249999999999998</v>
      </c>
      <c r="J35" s="5">
        <v>6.2</v>
      </c>
      <c r="K35" s="5">
        <v>3.75</v>
      </c>
      <c r="L35" s="5">
        <v>5.25</v>
      </c>
      <c r="M35" s="5">
        <v>6</v>
      </c>
      <c r="N35" s="5">
        <v>3.75</v>
      </c>
      <c r="O35" s="5">
        <v>5.25</v>
      </c>
      <c r="P35" s="5">
        <v>6</v>
      </c>
      <c r="Q35" s="1">
        <v>3.75</v>
      </c>
      <c r="R35" s="1">
        <v>5.25</v>
      </c>
      <c r="S35" s="1">
        <v>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7.5</v>
      </c>
      <c r="I37" s="5">
        <v>10.5</v>
      </c>
      <c r="J37" s="5">
        <v>12</v>
      </c>
      <c r="K37" s="5">
        <v>10</v>
      </c>
      <c r="L37" s="5">
        <v>14</v>
      </c>
      <c r="M37" s="5">
        <v>16</v>
      </c>
      <c r="N37" s="5">
        <v>10</v>
      </c>
      <c r="O37" s="5">
        <v>14</v>
      </c>
      <c r="P37" s="5">
        <v>16</v>
      </c>
      <c r="Q37" s="1">
        <v>10</v>
      </c>
      <c r="R37" s="1">
        <v>14</v>
      </c>
      <c r="S37" s="1">
        <v>16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2.375</v>
      </c>
      <c r="I39" s="5">
        <v>3.3249999999999997</v>
      </c>
      <c r="J39" s="5">
        <v>3.8000000000000003</v>
      </c>
      <c r="K39" s="5">
        <v>2.25</v>
      </c>
      <c r="L39" s="5">
        <v>3.15</v>
      </c>
      <c r="M39" s="5">
        <v>3.6</v>
      </c>
      <c r="N39" s="5">
        <v>2.25</v>
      </c>
      <c r="O39" s="5">
        <v>3.15</v>
      </c>
      <c r="P39" s="5">
        <v>3.6</v>
      </c>
      <c r="Q39" s="1">
        <v>2.3325</v>
      </c>
      <c r="R39" s="1">
        <v>3.2654999999999998</v>
      </c>
      <c r="S39" s="1">
        <v>3.7320000000000002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1.1875</v>
      </c>
      <c r="I40" s="5">
        <v>1.6624999999999999</v>
      </c>
      <c r="J40" s="5">
        <v>1.9000000000000001</v>
      </c>
      <c r="K40" s="5">
        <v>1.1875</v>
      </c>
      <c r="L40" s="5">
        <v>1.6624999999999999</v>
      </c>
      <c r="M40" s="5">
        <v>1.9000000000000001</v>
      </c>
      <c r="N40" s="5">
        <v>1.1875</v>
      </c>
      <c r="O40" s="5">
        <v>1.6624999999999999</v>
      </c>
      <c r="P40" s="5">
        <v>1.9000000000000001</v>
      </c>
      <c r="Q40" s="1">
        <v>1.27</v>
      </c>
      <c r="R40" s="1">
        <v>1.7779999999999998</v>
      </c>
      <c r="S40" s="1">
        <v>2.032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12.5</v>
      </c>
      <c r="I42" s="5">
        <v>17.5</v>
      </c>
      <c r="J42" s="5">
        <v>20</v>
      </c>
      <c r="K42" s="5">
        <v>11.25</v>
      </c>
      <c r="L42" s="5">
        <v>15.749999999999998</v>
      </c>
      <c r="M42" s="5">
        <v>18</v>
      </c>
      <c r="N42" s="5">
        <v>11.25</v>
      </c>
      <c r="O42" s="5">
        <v>15.749999999999998</v>
      </c>
      <c r="P42" s="5">
        <v>18</v>
      </c>
      <c r="Q42" s="1">
        <v>11.3325</v>
      </c>
      <c r="R42" s="1">
        <v>15.865499999999999</v>
      </c>
      <c r="S42" s="1">
        <v>18.132000000000001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3.75</v>
      </c>
      <c r="I43" s="5">
        <v>5.25</v>
      </c>
      <c r="J43" s="5">
        <v>6</v>
      </c>
      <c r="K43" s="5">
        <v>4.5863999999999994</v>
      </c>
      <c r="L43" s="5">
        <v>6.4209599999999991</v>
      </c>
      <c r="M43" s="5">
        <v>7.338239999999999</v>
      </c>
      <c r="N43" s="5">
        <v>4.7736000000000001</v>
      </c>
      <c r="O43" s="5">
        <v>6.6830400000000001</v>
      </c>
      <c r="P43" s="5">
        <v>7.6377600000000001</v>
      </c>
      <c r="Q43" s="1">
        <v>5.0433000000000003</v>
      </c>
      <c r="R43" s="1">
        <v>7.0606200000000001</v>
      </c>
      <c r="S43" s="1">
        <v>8.0692800000000009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1.39375</v>
      </c>
      <c r="I44" s="5">
        <v>1.9512499999999999</v>
      </c>
      <c r="J44" s="5">
        <v>2.23</v>
      </c>
      <c r="K44" s="5">
        <v>4.3187499999999996</v>
      </c>
      <c r="L44" s="5">
        <v>6.0462499999999988</v>
      </c>
      <c r="M44" s="5">
        <v>6.91</v>
      </c>
      <c r="N44" s="5">
        <v>4.3187499999999996</v>
      </c>
      <c r="O44" s="5">
        <v>6.0462499999999988</v>
      </c>
      <c r="P44" s="5">
        <v>6.91</v>
      </c>
      <c r="Q44" s="1">
        <v>4.3187499999999996</v>
      </c>
      <c r="R44" s="1">
        <v>6.0462499999999988</v>
      </c>
      <c r="S44" s="1">
        <v>6.91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1.5</v>
      </c>
      <c r="I45" s="5">
        <v>2.0999999999999996</v>
      </c>
      <c r="J45" s="5">
        <v>2.4000000000000004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112.5</v>
      </c>
      <c r="I49" s="5">
        <v>157.5</v>
      </c>
      <c r="J49" s="5">
        <v>180</v>
      </c>
      <c r="K49" s="5">
        <v>103.625</v>
      </c>
      <c r="L49" s="5">
        <v>145.07499999999999</v>
      </c>
      <c r="M49" s="5">
        <v>165.8</v>
      </c>
      <c r="N49" s="5">
        <v>88.875</v>
      </c>
      <c r="O49" s="5">
        <v>124.425</v>
      </c>
      <c r="P49" s="5">
        <v>142.20000000000002</v>
      </c>
      <c r="Q49" s="1">
        <v>89.957499999999996</v>
      </c>
      <c r="R49" s="1">
        <v>125.94049999999999</v>
      </c>
      <c r="S49" s="1">
        <v>143.93199999999999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12.5</v>
      </c>
      <c r="I50" s="5">
        <v>17.5</v>
      </c>
      <c r="J50" s="5">
        <v>20</v>
      </c>
      <c r="K50" s="5">
        <v>15</v>
      </c>
      <c r="L50" s="5">
        <v>21</v>
      </c>
      <c r="M50" s="5">
        <v>24</v>
      </c>
      <c r="N50" s="5">
        <v>14</v>
      </c>
      <c r="O50" s="5">
        <v>19.599999999999998</v>
      </c>
      <c r="P50" s="5">
        <v>22.400000000000002</v>
      </c>
      <c r="Q50" s="1">
        <v>15.5825</v>
      </c>
      <c r="R50" s="1">
        <v>21.815499999999997</v>
      </c>
      <c r="S50" s="1">
        <v>24.932000000000002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6.5</v>
      </c>
      <c r="I51" s="5">
        <v>9.1</v>
      </c>
      <c r="J51" s="5">
        <v>10.4</v>
      </c>
      <c r="K51" s="5">
        <v>16.875</v>
      </c>
      <c r="L51" s="5">
        <v>23.625</v>
      </c>
      <c r="M51" s="5">
        <v>27</v>
      </c>
      <c r="N51" s="5">
        <v>11.875</v>
      </c>
      <c r="O51" s="5">
        <v>16.625</v>
      </c>
      <c r="P51" s="5">
        <v>19</v>
      </c>
      <c r="Q51" s="1">
        <v>16.9575</v>
      </c>
      <c r="R51" s="1">
        <v>23.740499999999997</v>
      </c>
      <c r="S51" s="1">
        <v>27.132000000000001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87</v>
      </c>
      <c r="I52" s="5">
        <v>121.8</v>
      </c>
      <c r="J52" s="5">
        <v>139.20000000000002</v>
      </c>
      <c r="K52" s="5">
        <v>89.375</v>
      </c>
      <c r="L52" s="5">
        <v>125.12499999999999</v>
      </c>
      <c r="M52" s="5">
        <v>143</v>
      </c>
      <c r="N52" s="5">
        <v>81.875</v>
      </c>
      <c r="O52" s="5">
        <v>114.62499999999999</v>
      </c>
      <c r="P52" s="5">
        <v>131</v>
      </c>
      <c r="Q52" s="1">
        <v>89.457499999999996</v>
      </c>
      <c r="R52" s="1">
        <v>125.24049999999998</v>
      </c>
      <c r="S52" s="1">
        <v>143.13200000000001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6</v>
      </c>
      <c r="I53" s="5">
        <v>8.3999999999999986</v>
      </c>
      <c r="J53" s="5">
        <v>9.6000000000000014</v>
      </c>
      <c r="K53" s="5">
        <v>5.916666666666667</v>
      </c>
      <c r="L53" s="5">
        <v>8.2833333333333332</v>
      </c>
      <c r="M53" s="5">
        <v>9.4666666666666668</v>
      </c>
      <c r="N53" s="5">
        <v>5.916666666666667</v>
      </c>
      <c r="O53" s="5">
        <v>8.2833333333333332</v>
      </c>
      <c r="P53" s="5">
        <v>9.4666666666666668</v>
      </c>
      <c r="Q53" s="1">
        <v>5.9991666666666665</v>
      </c>
      <c r="R53" s="1">
        <v>8.3988333333333323</v>
      </c>
      <c r="S53" s="1">
        <v>9.5986666666666665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2.5</v>
      </c>
      <c r="I54" s="5">
        <v>3.5</v>
      </c>
      <c r="J54" s="5">
        <v>4</v>
      </c>
      <c r="K54" s="5">
        <v>2.9166666666666665</v>
      </c>
      <c r="L54" s="5">
        <v>4.083333333333333</v>
      </c>
      <c r="M54" s="5">
        <v>4.666666666666667</v>
      </c>
      <c r="N54" s="5">
        <v>2.9166666666666665</v>
      </c>
      <c r="O54" s="5">
        <v>4.083333333333333</v>
      </c>
      <c r="P54" s="5">
        <v>4.666666666666667</v>
      </c>
      <c r="Q54" s="1">
        <v>2.9991666666666665</v>
      </c>
      <c r="R54" s="1">
        <v>4.198833333333333</v>
      </c>
      <c r="S54" s="1">
        <v>4.7986666666666666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3.75</v>
      </c>
      <c r="I55" s="5">
        <v>5.25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12.5</v>
      </c>
      <c r="I57" s="5">
        <v>17.5</v>
      </c>
      <c r="J57" s="5">
        <v>20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">
        <v>0</v>
      </c>
      <c r="R57" s="1">
        <v>0</v>
      </c>
      <c r="S57" s="1">
        <v>0</v>
      </c>
    </row>
    <row r="58" spans="1:19" x14ac:dyDescent="0.25">
      <c r="B58" s="2"/>
      <c r="C58" s="2"/>
      <c r="D58" s="2"/>
      <c r="E58" s="2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1:19" x14ac:dyDescent="0.25">
      <c r="B59" s="2"/>
      <c r="C59" s="2"/>
      <c r="D59" s="2"/>
      <c r="E59" s="2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1:19" x14ac:dyDescent="0.25">
      <c r="B60" s="2"/>
      <c r="C60" s="2"/>
      <c r="D60" s="2"/>
      <c r="E60" s="2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1:19" x14ac:dyDescent="0.25">
      <c r="B61" s="2"/>
      <c r="C61" s="2"/>
      <c r="D61" s="2"/>
      <c r="E61" s="2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1:19" x14ac:dyDescent="0.25">
      <c r="B62" s="2"/>
      <c r="C62" s="2"/>
      <c r="D62" s="2"/>
      <c r="E62" s="2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1:19" x14ac:dyDescent="0.25">
      <c r="B63" s="2"/>
      <c r="C63" s="2"/>
      <c r="D63" s="2"/>
      <c r="E63" s="2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1:19" x14ac:dyDescent="0.25">
      <c r="B64" s="8"/>
      <c r="C64" s="8"/>
      <c r="D64" s="8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2:19" x14ac:dyDescent="0.25">
      <c r="B65" s="11"/>
      <c r="C65" s="11"/>
      <c r="D65" s="11"/>
      <c r="E65" s="9"/>
      <c r="F65" s="9"/>
      <c r="G65" s="9"/>
      <c r="H65" s="8"/>
      <c r="I65" s="8"/>
      <c r="J65" s="8"/>
      <c r="K65" s="8"/>
      <c r="L65" s="8"/>
      <c r="M65" s="8"/>
      <c r="N65" s="8"/>
      <c r="O65" s="5"/>
      <c r="P65" s="5"/>
      <c r="Q65" s="1"/>
      <c r="R65" s="1"/>
      <c r="S65" s="1"/>
    </row>
    <row r="66" spans="2:19" x14ac:dyDescent="0.25"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1"/>
      <c r="S66" s="1"/>
    </row>
    <row r="67" spans="2:19" x14ac:dyDescent="0.25">
      <c r="B67" s="8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  <c r="S67" s="1"/>
    </row>
  </sheetData>
  <conditionalFormatting sqref="B2:B57">
    <cfRule type="duplicateValues" dxfId="75" priority="47"/>
  </conditionalFormatting>
  <conditionalFormatting sqref="B1:C1">
    <cfRule type="duplicateValues" dxfId="74" priority="3"/>
  </conditionalFormatting>
  <conditionalFormatting sqref="B58:D63 B65:D65">
    <cfRule type="duplicateValues" dxfId="73" priority="26"/>
    <cfRule type="duplicateValues" dxfId="72" priority="27"/>
  </conditionalFormatting>
  <conditionalFormatting sqref="C2:C57">
    <cfRule type="duplicateValues" dxfId="71" priority="50"/>
  </conditionalFormatting>
  <conditionalFormatting sqref="D1:E1">
    <cfRule type="duplicateValues" dxfId="7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A75D-37C4-4592-B220-0D604DBA5980}">
  <sheetPr codeName="Sheet5">
    <tabColor rgb="FFFFC000"/>
  </sheetPr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4">
        <f>CM_Budget!H2-95%</f>
        <v>9.5500000000000007</v>
      </c>
      <c r="I2" s="4">
        <f>CM_Budget!I2-95%</f>
        <v>13.75</v>
      </c>
      <c r="J2" s="4">
        <f>CM_Budget!J2-95%</f>
        <v>15.850000000000001</v>
      </c>
      <c r="K2" s="4">
        <f>CM_Budget!K2-95%</f>
        <v>17.32</v>
      </c>
      <c r="L2" s="4">
        <f>CM_Budget!L2-95%</f>
        <v>24.628</v>
      </c>
      <c r="M2" s="4">
        <f>CM_Budget!M2-95%</f>
        <v>28.282000000000004</v>
      </c>
      <c r="N2" s="4">
        <f>CM_Budget!N2-95%</f>
        <v>19.640499999999999</v>
      </c>
      <c r="O2" s="4">
        <f>CM_Budget!O2-95%</f>
        <v>27.876699999999996</v>
      </c>
      <c r="P2" s="4">
        <f>CM_Budget!P2-95%</f>
        <v>31.994800000000001</v>
      </c>
      <c r="Q2" s="4">
        <f>CM_Budget!Q2-95%</f>
        <v>20.420649999999998</v>
      </c>
      <c r="R2" s="4">
        <f>CM_Budget!R2-95%</f>
        <v>28.968910000000001</v>
      </c>
      <c r="S2" s="4">
        <f>CM_Budget!S2-95%</f>
        <v>33.243040000000001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4">
        <f>CM_Budget!H3-95%</f>
        <v>1.6435000000000002</v>
      </c>
      <c r="I3" s="4">
        <f>CM_Budget!I3-95%</f>
        <v>2.6808999999999994</v>
      </c>
      <c r="J3" s="4">
        <f>CM_Budget!J3-95%</f>
        <v>3.1996000000000011</v>
      </c>
      <c r="K3" s="4">
        <f>CM_Budget!K3-95%</f>
        <v>1.7170000000000003</v>
      </c>
      <c r="L3" s="4">
        <f>CM_Budget!L3-95%</f>
        <v>2.7838000000000003</v>
      </c>
      <c r="M3" s="4">
        <f>CM_Budget!M3-95%</f>
        <v>3.3172000000000006</v>
      </c>
      <c r="N3" s="4">
        <f>CM_Budget!N3-95%</f>
        <v>1.8430000000000006</v>
      </c>
      <c r="O3" s="4">
        <f>CM_Budget!O3-95%</f>
        <v>2.9602000000000004</v>
      </c>
      <c r="P3" s="4">
        <f>CM_Budget!P3-95%</f>
        <v>3.5188000000000006</v>
      </c>
      <c r="Q3" s="4">
        <f>CM_Budget!Q3-95%</f>
        <v>2.0036499999999995</v>
      </c>
      <c r="R3" s="4">
        <f>CM_Budget!R3-95%</f>
        <v>3.185109999999999</v>
      </c>
      <c r="S3" s="4">
        <f>CM_Budget!S3-95%</f>
        <v>3.7758399999999988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4">
        <f>CM_Budget!H4-95%</f>
        <v>0.31000000000000005</v>
      </c>
      <c r="I4" s="4">
        <f>CM_Budget!I4-95%</f>
        <v>0.81399999999999961</v>
      </c>
      <c r="J4" s="4">
        <f>CM_Budget!J4-95%</f>
        <v>1.0660000000000001</v>
      </c>
      <c r="K4" s="4">
        <f>CM_Budget!K4-95%</f>
        <v>0.59349999999999992</v>
      </c>
      <c r="L4" s="4">
        <f>CM_Budget!L4-95%</f>
        <v>1.2108999999999999</v>
      </c>
      <c r="M4" s="4">
        <f>CM_Budget!M4-95%</f>
        <v>1.5195999999999998</v>
      </c>
      <c r="N4" s="4">
        <f>CM_Budget!N4-95%</f>
        <v>0.65650000000000008</v>
      </c>
      <c r="O4" s="4">
        <f>CM_Budget!O4-95%</f>
        <v>1.2990999999999999</v>
      </c>
      <c r="P4" s="4">
        <f>CM_Budget!P4-95%</f>
        <v>1.6204000000000003</v>
      </c>
      <c r="Q4" s="4">
        <f>CM_Budget!Q4-95%</f>
        <v>0.75415000000000032</v>
      </c>
      <c r="R4" s="4">
        <f>CM_Budget!R4-95%</f>
        <v>1.4358100000000003</v>
      </c>
      <c r="S4" s="4">
        <f>CM_Budget!S4-95%</f>
        <v>1.7766400000000007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4">
        <f>CM_Budget!H5-95%</f>
        <v>-0.47749999999999998</v>
      </c>
      <c r="I5" s="4">
        <f>CM_Budget!I5-95%</f>
        <v>-0.28849999999999998</v>
      </c>
      <c r="J5" s="4">
        <f>CM_Budget!J5-95%</f>
        <v>-0.19399999999999995</v>
      </c>
      <c r="K5" s="4">
        <f>CM_Budget!K5-95%</f>
        <v>-0.47749999999999998</v>
      </c>
      <c r="L5" s="4">
        <f>CM_Budget!L5-95%</f>
        <v>-0.28849999999999998</v>
      </c>
      <c r="M5" s="4">
        <f>CM_Budget!M5-95%</f>
        <v>-0.19399999999999995</v>
      </c>
      <c r="N5" s="4">
        <f>CM_Budget!N5-95%</f>
        <v>-0.47749999999999998</v>
      </c>
      <c r="O5" s="4">
        <f>CM_Budget!O5-95%</f>
        <v>-0.28849999999999998</v>
      </c>
      <c r="P5" s="4">
        <f>CM_Budget!P5-95%</f>
        <v>-0.19399999999999995</v>
      </c>
      <c r="Q5" s="4">
        <f>CM_Budget!Q5-95%</f>
        <v>-0.44284999999999997</v>
      </c>
      <c r="R5" s="4">
        <f>CM_Budget!R5-95%</f>
        <v>-0.23999000000000004</v>
      </c>
      <c r="S5" s="4">
        <f>CM_Budget!S5-95%</f>
        <v>-0.13855999999999991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4">
        <f>CM_Budget!H6-95%</f>
        <v>5.5179999999999989</v>
      </c>
      <c r="I6" s="4">
        <f>CM_Budget!I6-95%</f>
        <v>8.1051999999999982</v>
      </c>
      <c r="J6" s="4">
        <f>CM_Budget!J6-95%</f>
        <v>9.3988000000000014</v>
      </c>
      <c r="K6" s="4">
        <f>CM_Budget!K6-95%</f>
        <v>5.7384999999999993</v>
      </c>
      <c r="L6" s="4">
        <f>CM_Budget!L6-95%</f>
        <v>8.4138999999999999</v>
      </c>
      <c r="M6" s="4">
        <f>CM_Budget!M6-95%</f>
        <v>9.7515999999999998</v>
      </c>
      <c r="N6" s="4">
        <f>CM_Budget!N6-95%</f>
        <v>6.011499999999999</v>
      </c>
      <c r="O6" s="4">
        <f>CM_Budget!O6-95%</f>
        <v>8.7960999999999991</v>
      </c>
      <c r="P6" s="4">
        <f>CM_Budget!P6-95%</f>
        <v>10.1884</v>
      </c>
      <c r="Q6" s="4">
        <f>CM_Budget!Q6-95%</f>
        <v>6.3191500000000032</v>
      </c>
      <c r="R6" s="4">
        <f>CM_Budget!R6-95%</f>
        <v>9.226810000000004</v>
      </c>
      <c r="S6" s="4">
        <f>CM_Budget!S6-95%</f>
        <v>10.680640000000006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4">
        <f>CM_Budget!H7-95%</f>
        <v>-0.79249999999999998</v>
      </c>
      <c r="I7" s="4">
        <f>CM_Budget!I7-95%</f>
        <v>-0.72950000000000004</v>
      </c>
      <c r="J7" s="4">
        <f>CM_Budget!J7-95%</f>
        <v>-0.69799999999999995</v>
      </c>
      <c r="K7" s="4">
        <f>CM_Budget!K7-95%</f>
        <v>-0.19400000000000006</v>
      </c>
      <c r="L7" s="4">
        <f>CM_Budget!L7-95%</f>
        <v>0.10839999999999983</v>
      </c>
      <c r="M7" s="4">
        <f>CM_Budget!M7-95%</f>
        <v>0.25960000000000005</v>
      </c>
      <c r="N7" s="4">
        <f>CM_Budget!N7-95%</f>
        <v>-0.13099999999999989</v>
      </c>
      <c r="O7" s="4">
        <f>CM_Budget!O7-95%</f>
        <v>0.19659999999999989</v>
      </c>
      <c r="P7" s="4">
        <f>CM_Budget!P7-95%</f>
        <v>0.36040000000000028</v>
      </c>
      <c r="Q7" s="4">
        <f>CM_Budget!Q7-95%</f>
        <v>-3.3349999999999991E-2</v>
      </c>
      <c r="R7" s="4">
        <f>CM_Budget!R7-95%</f>
        <v>0.33331</v>
      </c>
      <c r="S7" s="4">
        <f>CM_Budget!S7-95%</f>
        <v>0.51664000000000021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4">
        <f>CM_Budget!H8-95%</f>
        <v>0.36250000000000004</v>
      </c>
      <c r="I8" s="4">
        <f>CM_Budget!I8-95%</f>
        <v>0.88749999999999996</v>
      </c>
      <c r="J8" s="4">
        <f>CM_Budget!J8-95%</f>
        <v>1.1500000000000001</v>
      </c>
      <c r="K8" s="4">
        <f>CM_Budget!K8-95%</f>
        <v>1.675</v>
      </c>
      <c r="L8" s="4">
        <f>CM_Budget!L8-95%</f>
        <v>2.7249999999999996</v>
      </c>
      <c r="M8" s="4">
        <f>CM_Budget!M8-95%</f>
        <v>3.25</v>
      </c>
      <c r="N8" s="4">
        <f>CM_Budget!N8-95%</f>
        <v>1.675</v>
      </c>
      <c r="O8" s="4">
        <f>CM_Budget!O8-95%</f>
        <v>2.7249999999999996</v>
      </c>
      <c r="P8" s="4">
        <f>CM_Budget!P8-95%</f>
        <v>3.25</v>
      </c>
      <c r="Q8" s="4">
        <f>CM_Budget!Q8-95%</f>
        <v>1.7096499999999997</v>
      </c>
      <c r="R8" s="4">
        <f>CM_Budget!R8-95%</f>
        <v>2.7735099999999999</v>
      </c>
      <c r="S8" s="4">
        <f>CM_Budget!S8-95%</f>
        <v>3.3054399999999999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4">
        <f>CM_Budget!H9-95%</f>
        <v>0.625</v>
      </c>
      <c r="I9" s="4">
        <f>CM_Budget!I9-95%</f>
        <v>1.2550000000000001</v>
      </c>
      <c r="J9" s="4">
        <f>CM_Budget!J9-95%</f>
        <v>1.57</v>
      </c>
      <c r="K9" s="4">
        <f>CM_Budget!K9-95%</f>
        <v>2.2000000000000002</v>
      </c>
      <c r="L9" s="4">
        <f>CM_Budget!L9-95%</f>
        <v>3.46</v>
      </c>
      <c r="M9" s="4">
        <f>CM_Budget!M9-95%</f>
        <v>4.09</v>
      </c>
      <c r="N9" s="4">
        <f>CM_Budget!N9-95%</f>
        <v>3.25</v>
      </c>
      <c r="O9" s="4">
        <f>CM_Budget!O9-95%</f>
        <v>4.93</v>
      </c>
      <c r="P9" s="4">
        <f>CM_Budget!P9-95%</f>
        <v>5.77</v>
      </c>
      <c r="Q9" s="4">
        <f>CM_Budget!Q9-95%</f>
        <v>2.41</v>
      </c>
      <c r="R9" s="4">
        <f>CM_Budget!R9-95%</f>
        <v>3.7539999999999996</v>
      </c>
      <c r="S9" s="4">
        <f>CM_Budget!S9-95%</f>
        <v>4.4260000000000002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4">
        <f>CM_Budget!H10-95%</f>
        <v>-0.95</v>
      </c>
      <c r="I10" s="4">
        <f>CM_Budget!I10-95%</f>
        <v>-0.95</v>
      </c>
      <c r="J10" s="4">
        <f>CM_Budget!J10-95%</f>
        <v>-0.95</v>
      </c>
      <c r="K10" s="4">
        <f>CM_Budget!K10-95%</f>
        <v>-0.95</v>
      </c>
      <c r="L10" s="4">
        <f>CM_Budget!L10-95%</f>
        <v>-0.95</v>
      </c>
      <c r="M10" s="4">
        <f>CM_Budget!M10-95%</f>
        <v>-0.95</v>
      </c>
      <c r="N10" s="4">
        <f>CM_Budget!N10-95%</f>
        <v>-0.95</v>
      </c>
      <c r="O10" s="4">
        <f>CM_Budget!O10-95%</f>
        <v>-0.95</v>
      </c>
      <c r="P10" s="4">
        <f>CM_Budget!P10-95%</f>
        <v>-0.95</v>
      </c>
      <c r="Q10" s="4">
        <f>CM_Budget!Q10-95%</f>
        <v>-0.95</v>
      </c>
      <c r="R10" s="4">
        <f>CM_Budget!R10-95%</f>
        <v>-0.95</v>
      </c>
      <c r="S10" s="4">
        <f>CM_Budget!S10-95%</f>
        <v>-0.95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4">
        <f>CM_Budget!H11-95%</f>
        <v>3.8274999999999997</v>
      </c>
      <c r="I11" s="4">
        <f>CM_Budget!I11-95%</f>
        <v>5.7384999999999993</v>
      </c>
      <c r="J11" s="4">
        <f>CM_Budget!J11-95%</f>
        <v>6.6939999999999991</v>
      </c>
      <c r="K11" s="4">
        <f>CM_Budget!K11-95%</f>
        <v>3.88</v>
      </c>
      <c r="L11" s="4">
        <f>CM_Budget!L11-95%</f>
        <v>5.8119999999999985</v>
      </c>
      <c r="M11" s="4">
        <f>CM_Budget!M11-95%</f>
        <v>6.7780000000000005</v>
      </c>
      <c r="N11" s="4">
        <f>CM_Budget!N11-95%</f>
        <v>3.88</v>
      </c>
      <c r="O11" s="4">
        <f>CM_Budget!O11-95%</f>
        <v>5.8119999999999985</v>
      </c>
      <c r="P11" s="4">
        <f>CM_Budget!P11-95%</f>
        <v>6.7780000000000005</v>
      </c>
      <c r="Q11" s="4">
        <f>CM_Budget!Q11-95%</f>
        <v>3.9146499999999991</v>
      </c>
      <c r="R11" s="4">
        <f>CM_Budget!R11-95%</f>
        <v>5.8605099999999988</v>
      </c>
      <c r="S11" s="4">
        <f>CM_Budget!S11-95%</f>
        <v>6.8334399999999995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4">
        <f>CM_Budget!H12-95%</f>
        <v>2.83</v>
      </c>
      <c r="I12" s="4">
        <f>CM_Budget!I12-95%</f>
        <v>4.3419999999999996</v>
      </c>
      <c r="J12" s="4">
        <f>CM_Budget!J12-95%</f>
        <v>5.0979999999999999</v>
      </c>
      <c r="K12" s="4">
        <f>CM_Budget!K12-95%</f>
        <v>2.3711500000000001</v>
      </c>
      <c r="L12" s="4">
        <f>CM_Budget!L12-95%</f>
        <v>3.6996099999999998</v>
      </c>
      <c r="M12" s="4">
        <f>CM_Budget!M12-95%</f>
        <v>4.3638399999999997</v>
      </c>
      <c r="N12" s="4">
        <f>CM_Budget!N12-95%</f>
        <v>2.2661500000000006</v>
      </c>
      <c r="O12" s="4">
        <f>CM_Budget!O12-95%</f>
        <v>3.5526099999999996</v>
      </c>
      <c r="P12" s="4">
        <f>CM_Budget!P12-95%</f>
        <v>4.1958400000000005</v>
      </c>
      <c r="Q12" s="4">
        <f>CM_Budget!Q12-95%</f>
        <v>2.3532999999999999</v>
      </c>
      <c r="R12" s="4">
        <f>CM_Budget!R12-95%</f>
        <v>3.6746199999999991</v>
      </c>
      <c r="S12" s="4">
        <f>CM_Budget!S12-95%</f>
        <v>4.33528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4">
        <f>CM_Budget!H13-95%</f>
        <v>0.83499999999999996</v>
      </c>
      <c r="I13" s="4">
        <f>CM_Budget!I13-95%</f>
        <v>1.5489999999999997</v>
      </c>
      <c r="J13" s="4">
        <f>CM_Budget!J13-95%</f>
        <v>1.9060000000000004</v>
      </c>
      <c r="K13" s="4">
        <f>CM_Budget!K13-95%</f>
        <v>2.2000000000000002</v>
      </c>
      <c r="L13" s="4">
        <f>CM_Budget!L13-95%</f>
        <v>3.46</v>
      </c>
      <c r="M13" s="4">
        <f>CM_Budget!M13-95%</f>
        <v>4.09</v>
      </c>
      <c r="N13" s="4">
        <f>CM_Budget!N13-95%</f>
        <v>2.7249999999999996</v>
      </c>
      <c r="O13" s="4">
        <f>CM_Budget!O13-95%</f>
        <v>4.1949999999999994</v>
      </c>
      <c r="P13" s="4">
        <f>CM_Budget!P13-95%</f>
        <v>4.93</v>
      </c>
      <c r="Q13" s="4">
        <f>CM_Budget!Q13-95%</f>
        <v>3.25</v>
      </c>
      <c r="R13" s="4">
        <f>CM_Budget!R13-95%</f>
        <v>4.93</v>
      </c>
      <c r="S13" s="4">
        <f>CM_Budget!S13-95%</f>
        <v>5.77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4">
        <f>CM_Budget!H14-95%</f>
        <v>-0.95</v>
      </c>
      <c r="I14" s="4">
        <f>CM_Budget!I14-95%</f>
        <v>-0.95</v>
      </c>
      <c r="J14" s="4">
        <f>CM_Budget!J14-95%</f>
        <v>-0.95</v>
      </c>
      <c r="K14" s="4">
        <f>CM_Budget!K14-95%</f>
        <v>-0.95</v>
      </c>
      <c r="L14" s="4">
        <f>CM_Budget!L14-95%</f>
        <v>-0.95</v>
      </c>
      <c r="M14" s="4">
        <f>CM_Budget!M14-95%</f>
        <v>-0.95</v>
      </c>
      <c r="N14" s="4">
        <f>CM_Budget!N14-95%</f>
        <v>-0.95</v>
      </c>
      <c r="O14" s="4">
        <f>CM_Budget!O14-95%</f>
        <v>-0.95</v>
      </c>
      <c r="P14" s="4">
        <f>CM_Budget!P14-95%</f>
        <v>-0.95</v>
      </c>
      <c r="Q14" s="4">
        <f>CM_Budget!Q14-95%</f>
        <v>-0.95</v>
      </c>
      <c r="R14" s="4">
        <f>CM_Budget!R14-95%</f>
        <v>-0.95</v>
      </c>
      <c r="S14" s="4">
        <f>CM_Budget!S14-95%</f>
        <v>-0.95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4">
        <f>CM_Budget!H15-95%</f>
        <v>-0.95</v>
      </c>
      <c r="I15" s="4">
        <f>CM_Budget!I15-95%</f>
        <v>-0.95</v>
      </c>
      <c r="J15" s="4">
        <f>CM_Budget!J15-95%</f>
        <v>-0.95</v>
      </c>
      <c r="K15" s="4">
        <f>CM_Budget!K15-95%</f>
        <v>-0.95</v>
      </c>
      <c r="L15" s="4">
        <f>CM_Budget!L15-95%</f>
        <v>-0.95</v>
      </c>
      <c r="M15" s="4">
        <f>CM_Budget!M15-95%</f>
        <v>-0.95</v>
      </c>
      <c r="N15" s="4">
        <f>CM_Budget!N15-95%</f>
        <v>-0.95</v>
      </c>
      <c r="O15" s="4">
        <f>CM_Budget!O15-95%</f>
        <v>-0.95</v>
      </c>
      <c r="P15" s="4">
        <f>CM_Budget!P15-95%</f>
        <v>-0.95</v>
      </c>
      <c r="Q15" s="4">
        <f>CM_Budget!Q15-95%</f>
        <v>-0.95</v>
      </c>
      <c r="R15" s="4">
        <f>CM_Budget!R15-95%</f>
        <v>-0.95</v>
      </c>
      <c r="S15" s="4">
        <f>CM_Budget!S15-95%</f>
        <v>-0.95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4">
        <f>CM_Budget!H16-95%</f>
        <v>-0.95</v>
      </c>
      <c r="I16" s="4">
        <f>CM_Budget!I16-95%</f>
        <v>-0.95</v>
      </c>
      <c r="J16" s="4">
        <f>CM_Budget!J16-95%</f>
        <v>-0.95</v>
      </c>
      <c r="K16" s="4">
        <f>CM_Budget!K16-95%</f>
        <v>-0.95</v>
      </c>
      <c r="L16" s="4">
        <f>CM_Budget!L16-95%</f>
        <v>-0.95</v>
      </c>
      <c r="M16" s="4">
        <f>CM_Budget!M16-95%</f>
        <v>-0.95</v>
      </c>
      <c r="N16" s="4">
        <f>CM_Budget!N16-95%</f>
        <v>-0.95</v>
      </c>
      <c r="O16" s="4">
        <f>CM_Budget!O16-95%</f>
        <v>-0.95</v>
      </c>
      <c r="P16" s="4">
        <f>CM_Budget!P16-95%</f>
        <v>-0.95</v>
      </c>
      <c r="Q16" s="4">
        <f>CM_Budget!Q16-95%</f>
        <v>-0.95</v>
      </c>
      <c r="R16" s="4">
        <f>CM_Budget!R16-95%</f>
        <v>-0.95</v>
      </c>
      <c r="S16" s="4">
        <f>CM_Budget!S16-95%</f>
        <v>-0.95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4">
        <f>CM_Budget!H17-95%</f>
        <v>2.2000000000000002</v>
      </c>
      <c r="I17" s="4">
        <f>CM_Budget!I17-95%</f>
        <v>3.46</v>
      </c>
      <c r="J17" s="4">
        <f>CM_Budget!J17-95%</f>
        <v>4.09</v>
      </c>
      <c r="K17" s="4">
        <f>CM_Budget!K17-95%</f>
        <v>3.7749999999999995</v>
      </c>
      <c r="L17" s="4">
        <f>CM_Budget!L17-95%</f>
        <v>5.6649999999999991</v>
      </c>
      <c r="M17" s="4">
        <f>CM_Budget!M17-95%</f>
        <v>6.6099999999999994</v>
      </c>
      <c r="N17" s="4">
        <f>CM_Budget!N17-95%</f>
        <v>3.7749999999999995</v>
      </c>
      <c r="O17" s="4">
        <f>CM_Budget!O17-95%</f>
        <v>5.6649999999999991</v>
      </c>
      <c r="P17" s="4">
        <f>CM_Budget!P17-95%</f>
        <v>6.6099999999999994</v>
      </c>
      <c r="Q17" s="4">
        <f>CM_Budget!Q17-95%</f>
        <v>3.8096499999999995</v>
      </c>
      <c r="R17" s="4">
        <f>CM_Budget!R17-95%</f>
        <v>5.7135099999999994</v>
      </c>
      <c r="S17" s="4">
        <f>CM_Budget!S17-95%</f>
        <v>6.6654400000000003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4">
        <f>CM_Budget!H18-95%</f>
        <v>1.2024999999999999</v>
      </c>
      <c r="I18" s="4">
        <f>CM_Budget!I18-95%</f>
        <v>2.0634999999999994</v>
      </c>
      <c r="J18" s="4">
        <f>CM_Budget!J18-95%</f>
        <v>2.4940000000000007</v>
      </c>
      <c r="K18" s="4">
        <f>CM_Budget!K18-95%</f>
        <v>1.1500000000000001</v>
      </c>
      <c r="L18" s="4">
        <f>CM_Budget!L18-95%</f>
        <v>1.99</v>
      </c>
      <c r="M18" s="4">
        <f>CM_Budget!M18-95%</f>
        <v>2.41</v>
      </c>
      <c r="N18" s="4">
        <f>CM_Budget!N18-95%</f>
        <v>1.1500000000000001</v>
      </c>
      <c r="O18" s="4">
        <f>CM_Budget!O18-95%</f>
        <v>1.99</v>
      </c>
      <c r="P18" s="4">
        <f>CM_Budget!P18-95%</f>
        <v>2.41</v>
      </c>
      <c r="Q18" s="4">
        <f>CM_Budget!Q18-95%</f>
        <v>1.1846499999999998</v>
      </c>
      <c r="R18" s="4">
        <f>CM_Budget!R18-95%</f>
        <v>2.0385099999999996</v>
      </c>
      <c r="S18" s="4">
        <f>CM_Budget!S18-95%</f>
        <v>2.4654400000000001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4">
        <f>CM_Budget!H19-95%</f>
        <v>4.51</v>
      </c>
      <c r="I19" s="4">
        <f>CM_Budget!I19-95%</f>
        <v>6.6939999999999991</v>
      </c>
      <c r="J19" s="4">
        <f>CM_Budget!J19-95%</f>
        <v>7.7860000000000005</v>
      </c>
      <c r="K19" s="4">
        <f>CM_Budget!K19-95%</f>
        <v>4.8249999999999993</v>
      </c>
      <c r="L19" s="4">
        <f>CM_Budget!L19-95%</f>
        <v>7.1349999999999989</v>
      </c>
      <c r="M19" s="4">
        <f>CM_Budget!M19-95%</f>
        <v>8.2900000000000009</v>
      </c>
      <c r="N19" s="4">
        <f>CM_Budget!N19-95%</f>
        <v>5.35</v>
      </c>
      <c r="O19" s="4">
        <f>CM_Budget!O19-95%</f>
        <v>7.87</v>
      </c>
      <c r="P19" s="4">
        <f>CM_Budget!P19-95%</f>
        <v>9.1300000000000008</v>
      </c>
      <c r="Q19" s="4">
        <f>CM_Budget!Q19-95%</f>
        <v>4.334649999999999</v>
      </c>
      <c r="R19" s="4">
        <f>CM_Budget!R19-95%</f>
        <v>6.448509999999998</v>
      </c>
      <c r="S19" s="4">
        <f>CM_Budget!S19-95%</f>
        <v>7.505440000000001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4">
        <f>CM_Budget!H20-95%</f>
        <v>5.2712499999999993</v>
      </c>
      <c r="I20" s="4">
        <f>CM_Budget!I20-95%</f>
        <v>7.7597499999999977</v>
      </c>
      <c r="J20" s="4">
        <f>CM_Budget!J20-95%</f>
        <v>9.0040000000000013</v>
      </c>
      <c r="K20" s="4">
        <f>CM_Budget!K20-95%</f>
        <v>5.4812499999999993</v>
      </c>
      <c r="L20" s="4">
        <f>CM_Budget!L20-95%</f>
        <v>8.0537500000000009</v>
      </c>
      <c r="M20" s="4">
        <f>CM_Budget!M20-95%</f>
        <v>9.34</v>
      </c>
      <c r="N20" s="4">
        <f>CM_Budget!N20-95%</f>
        <v>5.7437499999999995</v>
      </c>
      <c r="O20" s="4">
        <f>CM_Budget!O20-95%</f>
        <v>8.4212500000000006</v>
      </c>
      <c r="P20" s="4">
        <f>CM_Budget!P20-95%</f>
        <v>9.76</v>
      </c>
      <c r="Q20" s="4">
        <f>CM_Budget!Q20-95%</f>
        <v>6.0408999999999997</v>
      </c>
      <c r="R20" s="4">
        <f>CM_Budget!R20-95%</f>
        <v>8.8372599999999988</v>
      </c>
      <c r="S20" s="4">
        <f>CM_Budget!S20-95%</f>
        <v>10.235440000000001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4">
        <f>CM_Budget!H21-95%</f>
        <v>24.302499999999998</v>
      </c>
      <c r="I21" s="4">
        <f>CM_Budget!I21-95%</f>
        <v>34.403499999999994</v>
      </c>
      <c r="J21" s="4">
        <f>CM_Budget!J21-95%</f>
        <v>39.453999999999994</v>
      </c>
      <c r="K21" s="4">
        <f>CM_Budget!K21-95%</f>
        <v>28.45</v>
      </c>
      <c r="L21" s="4">
        <f>CM_Budget!L21-95%</f>
        <v>40.209999999999994</v>
      </c>
      <c r="M21" s="4">
        <f>CM_Budget!M21-95%</f>
        <v>46.089999999999996</v>
      </c>
      <c r="N21" s="4">
        <f>CM_Budget!N21-95%</f>
        <v>31.599999999999998</v>
      </c>
      <c r="O21" s="4">
        <f>CM_Budget!O21-95%</f>
        <v>44.62</v>
      </c>
      <c r="P21" s="4">
        <f>CM_Budget!P21-95%</f>
        <v>51.129999999999995</v>
      </c>
      <c r="Q21" s="4">
        <f>CM_Budget!Q21-95%</f>
        <v>31.634649999999997</v>
      </c>
      <c r="R21" s="4">
        <f>CM_Budget!R21-95%</f>
        <v>44.668509999999991</v>
      </c>
      <c r="S21" s="4">
        <f>CM_Budget!S21-95%</f>
        <v>51.18544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4">
        <f>CM_Budget!H22-95%</f>
        <v>4.8774999999999995</v>
      </c>
      <c r="I22" s="4">
        <f>CM_Budget!I22-95%</f>
        <v>7.2084999999999981</v>
      </c>
      <c r="J22" s="4">
        <f>CM_Budget!J22-95%</f>
        <v>8.3740000000000023</v>
      </c>
      <c r="K22" s="4">
        <f>CM_Budget!K22-95%</f>
        <v>4.8249999999999993</v>
      </c>
      <c r="L22" s="4">
        <f>CM_Budget!L22-95%</f>
        <v>7.1349999999999989</v>
      </c>
      <c r="M22" s="4">
        <f>CM_Budget!M22-95%</f>
        <v>8.2900000000000009</v>
      </c>
      <c r="N22" s="4">
        <f>CM_Budget!N22-95%</f>
        <v>4.8249999999999993</v>
      </c>
      <c r="O22" s="4">
        <f>CM_Budget!O22-95%</f>
        <v>7.1349999999999989</v>
      </c>
      <c r="P22" s="4">
        <f>CM_Budget!P22-95%</f>
        <v>8.2900000000000009</v>
      </c>
      <c r="Q22" s="4">
        <f>CM_Budget!Q22-95%</f>
        <v>4.8596499999999994</v>
      </c>
      <c r="R22" s="4">
        <f>CM_Budget!R22-95%</f>
        <v>7.1835099999999992</v>
      </c>
      <c r="S22" s="4">
        <f>CM_Budget!S22-95%</f>
        <v>8.3454400000000017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4">
        <f>CM_Budget!H23-95%</f>
        <v>8.5525000000000002</v>
      </c>
      <c r="I23" s="4">
        <f>CM_Budget!I23-95%</f>
        <v>12.353499999999999</v>
      </c>
      <c r="J23" s="4">
        <f>CM_Budget!J23-95%</f>
        <v>14.254000000000001</v>
      </c>
      <c r="K23" s="4">
        <f>CM_Budget!K23-95%</f>
        <v>9.3295000000000012</v>
      </c>
      <c r="L23" s="4">
        <f>CM_Budget!L23-95%</f>
        <v>13.4413</v>
      </c>
      <c r="M23" s="4">
        <f>CM_Budget!M23-95%</f>
        <v>15.497200000000003</v>
      </c>
      <c r="N23" s="4">
        <f>CM_Budget!N23-95%</f>
        <v>9.7705000000000002</v>
      </c>
      <c r="O23" s="4">
        <f>CM_Budget!O23-95%</f>
        <v>14.058699999999996</v>
      </c>
      <c r="P23" s="4">
        <f>CM_Budget!P23-95%</f>
        <v>16.2028</v>
      </c>
      <c r="Q23" s="4">
        <f>CM_Budget!Q23-95%</f>
        <v>10.592649999999999</v>
      </c>
      <c r="R23" s="4">
        <f>CM_Budget!R23-95%</f>
        <v>15.209709999999998</v>
      </c>
      <c r="S23" s="4">
        <f>CM_Budget!S23-95%</f>
        <v>17.518240000000002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4">
        <f>CM_Budget!H24-95%</f>
        <v>3.25</v>
      </c>
      <c r="I24" s="4">
        <f>CM_Budget!I24-95%</f>
        <v>4.93</v>
      </c>
      <c r="J24" s="4">
        <f>CM_Budget!J24-95%</f>
        <v>5.77</v>
      </c>
      <c r="K24" s="4">
        <f>CM_Budget!K24-95%</f>
        <v>4.3</v>
      </c>
      <c r="L24" s="4">
        <f>CM_Budget!L24-95%</f>
        <v>6.3999999999999995</v>
      </c>
      <c r="M24" s="4">
        <f>CM_Budget!M24-95%</f>
        <v>7.45</v>
      </c>
      <c r="N24" s="4">
        <f>CM_Budget!N24-95%</f>
        <v>4.3</v>
      </c>
      <c r="O24" s="4">
        <f>CM_Budget!O24-95%</f>
        <v>6.3999999999999995</v>
      </c>
      <c r="P24" s="4">
        <f>CM_Budget!P24-95%</f>
        <v>7.45</v>
      </c>
      <c r="Q24" s="4">
        <f>CM_Budget!Q24-95%</f>
        <v>4.334649999999999</v>
      </c>
      <c r="R24" s="4">
        <f>CM_Budget!R24-95%</f>
        <v>6.448509999999998</v>
      </c>
      <c r="S24" s="4">
        <f>CM_Budget!S24-95%</f>
        <v>7.505440000000001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4">
        <f>CM_Budget!H25-95%</f>
        <v>0.67749999999999999</v>
      </c>
      <c r="I25" s="4">
        <f>CM_Budget!I25-95%</f>
        <v>1.3284999999999998</v>
      </c>
      <c r="J25" s="4">
        <f>CM_Budget!J25-95%</f>
        <v>1.6540000000000001</v>
      </c>
      <c r="K25" s="4">
        <f>CM_Budget!K25-95%</f>
        <v>0.67749999999999999</v>
      </c>
      <c r="L25" s="4">
        <f>CM_Budget!L25-95%</f>
        <v>1.3284999999999998</v>
      </c>
      <c r="M25" s="4">
        <f>CM_Budget!M25-95%</f>
        <v>1.6540000000000001</v>
      </c>
      <c r="N25" s="4">
        <f>CM_Budget!N25-95%</f>
        <v>4.3</v>
      </c>
      <c r="O25" s="4">
        <f>CM_Budget!O25-95%</f>
        <v>6.3999999999999995</v>
      </c>
      <c r="P25" s="4">
        <f>CM_Budget!P25-95%</f>
        <v>7.45</v>
      </c>
      <c r="Q25" s="4">
        <f>CM_Budget!Q25-95%</f>
        <v>4.334649999999999</v>
      </c>
      <c r="R25" s="4">
        <f>CM_Budget!R25-95%</f>
        <v>6.448509999999998</v>
      </c>
      <c r="S25" s="4">
        <f>CM_Budget!S25-95%</f>
        <v>7.505440000000001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4">
        <f>CM_Budget!H26-95%</f>
        <v>-0.42499999999999993</v>
      </c>
      <c r="I26" s="4">
        <f>CM_Budget!I26-95%</f>
        <v>-0.21499999999999997</v>
      </c>
      <c r="J26" s="4">
        <f>CM_Budget!J26-95%</f>
        <v>-0.10999999999999999</v>
      </c>
      <c r="K26" s="4">
        <f>CM_Budget!K26-95%</f>
        <v>1.675</v>
      </c>
      <c r="L26" s="4">
        <f>CM_Budget!L26-95%</f>
        <v>2.7249999999999996</v>
      </c>
      <c r="M26" s="4">
        <f>CM_Budget!M26-95%</f>
        <v>3.25</v>
      </c>
      <c r="N26" s="4">
        <f>CM_Budget!N26-95%</f>
        <v>1.675</v>
      </c>
      <c r="O26" s="4">
        <f>CM_Budget!O26-95%</f>
        <v>2.7249999999999996</v>
      </c>
      <c r="P26" s="4">
        <f>CM_Budget!P26-95%</f>
        <v>3.25</v>
      </c>
      <c r="Q26" s="4">
        <f>CM_Budget!Q26-95%</f>
        <v>1.7096499999999997</v>
      </c>
      <c r="R26" s="4">
        <f>CM_Budget!R26-95%</f>
        <v>2.7735099999999999</v>
      </c>
      <c r="S26" s="4">
        <f>CM_Budget!S26-95%</f>
        <v>3.3054399999999999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4">
        <f>CM_Budget!H27-95%</f>
        <v>-0.95</v>
      </c>
      <c r="I27" s="4">
        <f>CM_Budget!I27-95%</f>
        <v>-0.95</v>
      </c>
      <c r="J27" s="4">
        <f>CM_Budget!J27-95%</f>
        <v>-0.95</v>
      </c>
      <c r="K27" s="4">
        <f>CM_Budget!K27-95%</f>
        <v>-0.95</v>
      </c>
      <c r="L27" s="4">
        <f>CM_Budget!L27-95%</f>
        <v>-0.95</v>
      </c>
      <c r="M27" s="4">
        <f>CM_Budget!M27-95%</f>
        <v>-0.95</v>
      </c>
      <c r="N27" s="4">
        <f>CM_Budget!N27-95%</f>
        <v>-0.95</v>
      </c>
      <c r="O27" s="4">
        <f>CM_Budget!O27-95%</f>
        <v>-0.95</v>
      </c>
      <c r="P27" s="4">
        <f>CM_Budget!P27-95%</f>
        <v>-0.95</v>
      </c>
      <c r="Q27" s="4">
        <f>CM_Budget!Q27-95%</f>
        <v>-0.95</v>
      </c>
      <c r="R27" s="4">
        <f>CM_Budget!R27-95%</f>
        <v>-0.95</v>
      </c>
      <c r="S27" s="4">
        <f>CM_Budget!S27-95%</f>
        <v>-0.95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4">
        <f>CM_Budget!H28-95%</f>
        <v>-0.95</v>
      </c>
      <c r="I28" s="4">
        <f>CM_Budget!I28-95%</f>
        <v>-0.95</v>
      </c>
      <c r="J28" s="4">
        <f>CM_Budget!J28-95%</f>
        <v>-0.95</v>
      </c>
      <c r="K28" s="4">
        <f>CM_Budget!K28-95%</f>
        <v>-0.95</v>
      </c>
      <c r="L28" s="4">
        <f>CM_Budget!L28-95%</f>
        <v>-0.95</v>
      </c>
      <c r="M28" s="4">
        <f>CM_Budget!M28-95%</f>
        <v>-0.95</v>
      </c>
      <c r="N28" s="4">
        <f>CM_Budget!N28-95%</f>
        <v>-0.95</v>
      </c>
      <c r="O28" s="4">
        <f>CM_Budget!O28-95%</f>
        <v>-0.95</v>
      </c>
      <c r="P28" s="4">
        <f>CM_Budget!P28-95%</f>
        <v>-0.95</v>
      </c>
      <c r="Q28" s="4">
        <f>CM_Budget!Q28-95%</f>
        <v>-0.95</v>
      </c>
      <c r="R28" s="4">
        <f>CM_Budget!R28-95%</f>
        <v>-0.95</v>
      </c>
      <c r="S28" s="4">
        <f>CM_Budget!S28-95%</f>
        <v>-0.95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4">
        <f>CM_Budget!H29-95%</f>
        <v>-0.95</v>
      </c>
      <c r="I29" s="4">
        <f>CM_Budget!I29-95%</f>
        <v>-0.95</v>
      </c>
      <c r="J29" s="4">
        <f>CM_Budget!J29-95%</f>
        <v>-0.95</v>
      </c>
      <c r="K29" s="4">
        <f>CM_Budget!K29-95%</f>
        <v>-0.95</v>
      </c>
      <c r="L29" s="4">
        <f>CM_Budget!L29-95%</f>
        <v>-0.95</v>
      </c>
      <c r="M29" s="4">
        <f>CM_Budget!M29-95%</f>
        <v>-0.95</v>
      </c>
      <c r="N29" s="4">
        <f>CM_Budget!N29-95%</f>
        <v>-0.95</v>
      </c>
      <c r="O29" s="4">
        <f>CM_Budget!O29-95%</f>
        <v>-0.95</v>
      </c>
      <c r="P29" s="4">
        <f>CM_Budget!P29-95%</f>
        <v>-0.95</v>
      </c>
      <c r="Q29" s="4">
        <f>CM_Budget!Q29-95%</f>
        <v>-0.95</v>
      </c>
      <c r="R29" s="4">
        <f>CM_Budget!R29-95%</f>
        <v>-0.95</v>
      </c>
      <c r="S29" s="4">
        <f>CM_Budget!S29-95%</f>
        <v>-0.95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4">
        <f>CM_Budget!H30-95%</f>
        <v>-0.95</v>
      </c>
      <c r="I30" s="4">
        <f>CM_Budget!I30-95%</f>
        <v>-0.95</v>
      </c>
      <c r="J30" s="4">
        <f>CM_Budget!J30-95%</f>
        <v>-0.95</v>
      </c>
      <c r="K30" s="4">
        <f>CM_Budget!K30-95%</f>
        <v>-0.95</v>
      </c>
      <c r="L30" s="4">
        <f>CM_Budget!L30-95%</f>
        <v>-0.95</v>
      </c>
      <c r="M30" s="4">
        <f>CM_Budget!M30-95%</f>
        <v>-0.95</v>
      </c>
      <c r="N30" s="4">
        <f>CM_Budget!N30-95%</f>
        <v>-0.95</v>
      </c>
      <c r="O30" s="4">
        <f>CM_Budget!O30-95%</f>
        <v>-0.95</v>
      </c>
      <c r="P30" s="4">
        <f>CM_Budget!P30-95%</f>
        <v>-0.95</v>
      </c>
      <c r="Q30" s="4">
        <f>CM_Budget!Q30-95%</f>
        <v>-0.95</v>
      </c>
      <c r="R30" s="4">
        <f>CM_Budget!R30-95%</f>
        <v>-0.95</v>
      </c>
      <c r="S30" s="4">
        <f>CM_Budget!S30-95%</f>
        <v>-0.95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4">
        <f>CM_Budget!H31-95%</f>
        <v>-0.95</v>
      </c>
      <c r="I31" s="4">
        <f>CM_Budget!I31-95%</f>
        <v>-0.95</v>
      </c>
      <c r="J31" s="4">
        <f>CM_Budget!J31-95%</f>
        <v>-0.95</v>
      </c>
      <c r="K31" s="4">
        <f>CM_Budget!K31-95%</f>
        <v>-0.95</v>
      </c>
      <c r="L31" s="4">
        <f>CM_Budget!L31-95%</f>
        <v>-0.95</v>
      </c>
      <c r="M31" s="4">
        <f>CM_Budget!M31-95%</f>
        <v>-0.95</v>
      </c>
      <c r="N31" s="4">
        <f>CM_Budget!N31-95%</f>
        <v>-0.95</v>
      </c>
      <c r="O31" s="4">
        <f>CM_Budget!O31-95%</f>
        <v>-0.95</v>
      </c>
      <c r="P31" s="4">
        <f>CM_Budget!P31-95%</f>
        <v>-0.95</v>
      </c>
      <c r="Q31" s="4">
        <f>CM_Budget!Q31-95%</f>
        <v>-0.95</v>
      </c>
      <c r="R31" s="4">
        <f>CM_Budget!R31-95%</f>
        <v>-0.95</v>
      </c>
      <c r="S31" s="4">
        <f>CM_Budget!S31-95%</f>
        <v>-0.95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4">
        <f>CM_Budget!H32-95%</f>
        <v>-0.95</v>
      </c>
      <c r="I32" s="4">
        <f>CM_Budget!I32-95%</f>
        <v>-0.95</v>
      </c>
      <c r="J32" s="4">
        <f>CM_Budget!J32-95%</f>
        <v>-0.95</v>
      </c>
      <c r="K32" s="4">
        <f>CM_Budget!K32-95%</f>
        <v>-0.95</v>
      </c>
      <c r="L32" s="4">
        <f>CM_Budget!L32-95%</f>
        <v>-0.95</v>
      </c>
      <c r="M32" s="4">
        <f>CM_Budget!M32-95%</f>
        <v>-0.95</v>
      </c>
      <c r="N32" s="4">
        <f>CM_Budget!N32-95%</f>
        <v>-0.95</v>
      </c>
      <c r="O32" s="4">
        <f>CM_Budget!O32-95%</f>
        <v>-0.95</v>
      </c>
      <c r="P32" s="4">
        <f>CM_Budget!P32-95%</f>
        <v>-0.95</v>
      </c>
      <c r="Q32" s="4">
        <f>CM_Budget!Q32-95%</f>
        <v>-0.95</v>
      </c>
      <c r="R32" s="4">
        <f>CM_Budget!R32-95%</f>
        <v>-0.95</v>
      </c>
      <c r="S32" s="4">
        <f>CM_Budget!S32-95%</f>
        <v>-0.95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4">
        <f>CM_Budget!H33-95%</f>
        <v>2.9874999999999998</v>
      </c>
      <c r="I33" s="4">
        <f>CM_Budget!I33-95%</f>
        <v>4.5625</v>
      </c>
      <c r="J33" s="4">
        <f>CM_Budget!J33-95%</f>
        <v>5.35</v>
      </c>
      <c r="K33" s="4">
        <f>CM_Budget!K33-95%</f>
        <v>4.51</v>
      </c>
      <c r="L33" s="4">
        <f>CM_Budget!L33-95%</f>
        <v>6.6939999999999991</v>
      </c>
      <c r="M33" s="4">
        <f>CM_Budget!M33-95%</f>
        <v>7.7860000000000005</v>
      </c>
      <c r="N33" s="4">
        <f>CM_Budget!N33-95%</f>
        <v>4.72</v>
      </c>
      <c r="O33" s="4">
        <f>CM_Budget!O33-95%</f>
        <v>6.9879999999999987</v>
      </c>
      <c r="P33" s="4">
        <f>CM_Budget!P33-95%</f>
        <v>8.1220000000000017</v>
      </c>
      <c r="Q33" s="4">
        <f>CM_Budget!Q33-95%</f>
        <v>5.0696499999999993</v>
      </c>
      <c r="R33" s="4">
        <f>CM_Budget!R33-95%</f>
        <v>7.4775099999999979</v>
      </c>
      <c r="S33" s="4">
        <f>CM_Budget!S33-95%</f>
        <v>8.681440000000002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4">
        <f>CM_Budget!H34-95%</f>
        <v>1.57</v>
      </c>
      <c r="I34" s="4">
        <f>CM_Budget!I34-95%</f>
        <v>2.5779999999999994</v>
      </c>
      <c r="J34" s="4">
        <f>CM_Budget!J34-95%</f>
        <v>3.0819999999999999</v>
      </c>
      <c r="K34" s="4">
        <f>CM_Budget!K34-95%</f>
        <v>1.6224999999999998</v>
      </c>
      <c r="L34" s="4">
        <f>CM_Budget!L34-95%</f>
        <v>2.6514999999999995</v>
      </c>
      <c r="M34" s="4">
        <f>CM_Budget!M34-95%</f>
        <v>3.1660000000000004</v>
      </c>
      <c r="N34" s="4">
        <f>CM_Budget!N34-95%</f>
        <v>1.7274999999999998</v>
      </c>
      <c r="O34" s="4">
        <f>CM_Budget!O34-95%</f>
        <v>2.7984999999999998</v>
      </c>
      <c r="P34" s="4">
        <f>CM_Budget!P34-95%</f>
        <v>3.3340000000000005</v>
      </c>
      <c r="Q34" s="4">
        <f>CM_Budget!Q34-95%</f>
        <v>1.8671499999999999</v>
      </c>
      <c r="R34" s="4">
        <f>CM_Budget!R34-95%</f>
        <v>2.9940099999999994</v>
      </c>
      <c r="S34" s="4">
        <f>CM_Budget!S34-95%</f>
        <v>3.5574399999999997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4">
        <f>CM_Budget!H35-95%</f>
        <v>0.67749999999999999</v>
      </c>
      <c r="I35" s="4">
        <f>CM_Budget!I35-95%</f>
        <v>1.3284999999999998</v>
      </c>
      <c r="J35" s="4">
        <f>CM_Budget!J35-95%</f>
        <v>1.6540000000000001</v>
      </c>
      <c r="K35" s="4">
        <f>CM_Budget!K35-95%</f>
        <v>0.625</v>
      </c>
      <c r="L35" s="4">
        <f>CM_Budget!L35-95%</f>
        <v>1.2550000000000001</v>
      </c>
      <c r="M35" s="4">
        <f>CM_Budget!M35-95%</f>
        <v>1.57</v>
      </c>
      <c r="N35" s="4">
        <f>CM_Budget!N35-95%</f>
        <v>0.625</v>
      </c>
      <c r="O35" s="4">
        <f>CM_Budget!O35-95%</f>
        <v>1.2550000000000001</v>
      </c>
      <c r="P35" s="4">
        <f>CM_Budget!P35-95%</f>
        <v>1.57</v>
      </c>
      <c r="Q35" s="4">
        <f>CM_Budget!Q35-95%</f>
        <v>0.625</v>
      </c>
      <c r="R35" s="4">
        <f>CM_Budget!R35-95%</f>
        <v>1.2550000000000001</v>
      </c>
      <c r="S35" s="4">
        <f>CM_Budget!S35-95%</f>
        <v>1.57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4">
        <f>CM_Budget!H36-95%</f>
        <v>-0.95</v>
      </c>
      <c r="I36" s="4">
        <f>CM_Budget!I36-95%</f>
        <v>-0.95</v>
      </c>
      <c r="J36" s="4">
        <f>CM_Budget!J36-95%</f>
        <v>-0.95</v>
      </c>
      <c r="K36" s="4">
        <f>CM_Budget!K36-95%</f>
        <v>-0.95</v>
      </c>
      <c r="L36" s="4">
        <f>CM_Budget!L36-95%</f>
        <v>-0.95</v>
      </c>
      <c r="M36" s="4">
        <f>CM_Budget!M36-95%</f>
        <v>-0.95</v>
      </c>
      <c r="N36" s="4">
        <f>CM_Budget!N36-95%</f>
        <v>-0.95</v>
      </c>
      <c r="O36" s="4">
        <f>CM_Budget!O36-95%</f>
        <v>-0.95</v>
      </c>
      <c r="P36" s="4">
        <f>CM_Budget!P36-95%</f>
        <v>-0.95</v>
      </c>
      <c r="Q36" s="4">
        <f>CM_Budget!Q36-95%</f>
        <v>-0.95</v>
      </c>
      <c r="R36" s="4">
        <f>CM_Budget!R36-95%</f>
        <v>-0.95</v>
      </c>
      <c r="S36" s="4">
        <f>CM_Budget!S36-95%</f>
        <v>-0.95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4">
        <f>CM_Budget!H37-95%</f>
        <v>2.2000000000000002</v>
      </c>
      <c r="I37" s="4">
        <f>CM_Budget!I37-95%</f>
        <v>3.46</v>
      </c>
      <c r="J37" s="4">
        <f>CM_Budget!J37-95%</f>
        <v>4.09</v>
      </c>
      <c r="K37" s="4">
        <f>CM_Budget!K37-95%</f>
        <v>3.25</v>
      </c>
      <c r="L37" s="4">
        <f>CM_Budget!L37-95%</f>
        <v>4.93</v>
      </c>
      <c r="M37" s="4">
        <f>CM_Budget!M37-95%</f>
        <v>5.77</v>
      </c>
      <c r="N37" s="4">
        <f>CM_Budget!N37-95%</f>
        <v>3.25</v>
      </c>
      <c r="O37" s="4">
        <f>CM_Budget!O37-95%</f>
        <v>4.93</v>
      </c>
      <c r="P37" s="4">
        <f>CM_Budget!P37-95%</f>
        <v>5.77</v>
      </c>
      <c r="Q37" s="4">
        <f>CM_Budget!Q37-95%</f>
        <v>3.25</v>
      </c>
      <c r="R37" s="4">
        <f>CM_Budget!R37-95%</f>
        <v>4.93</v>
      </c>
      <c r="S37" s="4">
        <f>CM_Budget!S37-95%</f>
        <v>5.77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4">
        <f>CM_Budget!H38-95%</f>
        <v>-0.95</v>
      </c>
      <c r="I38" s="4">
        <f>CM_Budget!I38-95%</f>
        <v>-0.95</v>
      </c>
      <c r="J38" s="4">
        <f>CM_Budget!J38-95%</f>
        <v>-0.95</v>
      </c>
      <c r="K38" s="4">
        <f>CM_Budget!K38-95%</f>
        <v>-0.95</v>
      </c>
      <c r="L38" s="4">
        <f>CM_Budget!L38-95%</f>
        <v>-0.95</v>
      </c>
      <c r="M38" s="4">
        <f>CM_Budget!M38-95%</f>
        <v>-0.95</v>
      </c>
      <c r="N38" s="4">
        <f>CM_Budget!N38-95%</f>
        <v>-0.95</v>
      </c>
      <c r="O38" s="4">
        <f>CM_Budget!O38-95%</f>
        <v>-0.95</v>
      </c>
      <c r="P38" s="4">
        <f>CM_Budget!P38-95%</f>
        <v>-0.95</v>
      </c>
      <c r="Q38" s="4">
        <f>CM_Budget!Q38-95%</f>
        <v>-0.95</v>
      </c>
      <c r="R38" s="4">
        <f>CM_Budget!R38-95%</f>
        <v>-0.95</v>
      </c>
      <c r="S38" s="4">
        <f>CM_Budget!S38-95%</f>
        <v>-0.95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4">
        <f>CM_Budget!H39-95%</f>
        <v>4.7499999999999987E-2</v>
      </c>
      <c r="I39" s="4">
        <f>CM_Budget!I39-95%</f>
        <v>0.4464999999999999</v>
      </c>
      <c r="J39" s="4">
        <f>CM_Budget!J39-95%</f>
        <v>0.64600000000000013</v>
      </c>
      <c r="K39" s="4">
        <f>CM_Budget!K39-95%</f>
        <v>-5.0000000000000044E-3</v>
      </c>
      <c r="L39" s="4">
        <f>CM_Budget!L39-95%</f>
        <v>0.373</v>
      </c>
      <c r="M39" s="4">
        <f>CM_Budget!M39-95%</f>
        <v>0.56200000000000006</v>
      </c>
      <c r="N39" s="4">
        <f>CM_Budget!N39-95%</f>
        <v>-5.0000000000000044E-3</v>
      </c>
      <c r="O39" s="4">
        <f>CM_Budget!O39-95%</f>
        <v>0.373</v>
      </c>
      <c r="P39" s="4">
        <f>CM_Budget!P39-95%</f>
        <v>0.56200000000000006</v>
      </c>
      <c r="Q39" s="4">
        <f>CM_Budget!Q39-95%</f>
        <v>2.9650000000000065E-2</v>
      </c>
      <c r="R39" s="4">
        <f>CM_Budget!R39-95%</f>
        <v>0.42150999999999983</v>
      </c>
      <c r="S39" s="4">
        <f>CM_Budget!S39-95%</f>
        <v>0.61743999999999999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4">
        <f>CM_Budget!H40-95%</f>
        <v>-0.45124999999999998</v>
      </c>
      <c r="I40" s="4">
        <f>CM_Budget!I40-95%</f>
        <v>-0.25175000000000003</v>
      </c>
      <c r="J40" s="4">
        <f>CM_Budget!J40-95%</f>
        <v>-0.15199999999999991</v>
      </c>
      <c r="K40" s="4">
        <f>CM_Budget!K40-95%</f>
        <v>-0.45124999999999998</v>
      </c>
      <c r="L40" s="4">
        <f>CM_Budget!L40-95%</f>
        <v>-0.25175000000000003</v>
      </c>
      <c r="M40" s="4">
        <f>CM_Budget!M40-95%</f>
        <v>-0.15199999999999991</v>
      </c>
      <c r="N40" s="4">
        <f>CM_Budget!N40-95%</f>
        <v>-0.45124999999999998</v>
      </c>
      <c r="O40" s="4">
        <f>CM_Budget!O40-95%</f>
        <v>-0.25175000000000003</v>
      </c>
      <c r="P40" s="4">
        <f>CM_Budget!P40-95%</f>
        <v>-0.15199999999999991</v>
      </c>
      <c r="Q40" s="4">
        <f>CM_Budget!Q40-95%</f>
        <v>-0.41659999999999997</v>
      </c>
      <c r="R40" s="4">
        <f>CM_Budget!R40-95%</f>
        <v>-0.20324000000000009</v>
      </c>
      <c r="S40" s="4">
        <f>CM_Budget!S40-95%</f>
        <v>-9.6559999999999979E-2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4">
        <f>CM_Budget!H41-95%</f>
        <v>-0.95</v>
      </c>
      <c r="I41" s="4">
        <f>CM_Budget!I41-95%</f>
        <v>-0.95</v>
      </c>
      <c r="J41" s="4">
        <f>CM_Budget!J41-95%</f>
        <v>-0.95</v>
      </c>
      <c r="K41" s="4">
        <f>CM_Budget!K41-95%</f>
        <v>-0.95</v>
      </c>
      <c r="L41" s="4">
        <f>CM_Budget!L41-95%</f>
        <v>-0.95</v>
      </c>
      <c r="M41" s="4">
        <f>CM_Budget!M41-95%</f>
        <v>-0.95</v>
      </c>
      <c r="N41" s="4">
        <f>CM_Budget!N41-95%</f>
        <v>-0.95</v>
      </c>
      <c r="O41" s="4">
        <f>CM_Budget!O41-95%</f>
        <v>-0.95</v>
      </c>
      <c r="P41" s="4">
        <f>CM_Budget!P41-95%</f>
        <v>-0.95</v>
      </c>
      <c r="Q41" s="4">
        <f>CM_Budget!Q41-95%</f>
        <v>-0.95</v>
      </c>
      <c r="R41" s="4">
        <f>CM_Budget!R41-95%</f>
        <v>-0.95</v>
      </c>
      <c r="S41" s="4">
        <f>CM_Budget!S41-95%</f>
        <v>-0.95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4">
        <f>CM_Budget!H42-95%</f>
        <v>4.3</v>
      </c>
      <c r="I42" s="4">
        <f>CM_Budget!I42-95%</f>
        <v>6.3999999999999995</v>
      </c>
      <c r="J42" s="4">
        <f>CM_Budget!J42-95%</f>
        <v>7.45</v>
      </c>
      <c r="K42" s="4">
        <f>CM_Budget!K42-95%</f>
        <v>3.7749999999999995</v>
      </c>
      <c r="L42" s="4">
        <f>CM_Budget!L42-95%</f>
        <v>5.6649999999999991</v>
      </c>
      <c r="M42" s="4">
        <f>CM_Budget!M42-95%</f>
        <v>6.6099999999999994</v>
      </c>
      <c r="N42" s="4">
        <f>CM_Budget!N42-95%</f>
        <v>3.7749999999999995</v>
      </c>
      <c r="O42" s="4">
        <f>CM_Budget!O42-95%</f>
        <v>5.6649999999999991</v>
      </c>
      <c r="P42" s="4">
        <f>CM_Budget!P42-95%</f>
        <v>6.6099999999999994</v>
      </c>
      <c r="Q42" s="4">
        <f>CM_Budget!Q42-95%</f>
        <v>3.8096499999999995</v>
      </c>
      <c r="R42" s="4">
        <f>CM_Budget!R42-95%</f>
        <v>5.7135099999999994</v>
      </c>
      <c r="S42" s="4">
        <f>CM_Budget!S42-95%</f>
        <v>6.6654400000000003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4">
        <f>CM_Budget!H43-95%</f>
        <v>0.625</v>
      </c>
      <c r="I43" s="4">
        <f>CM_Budget!I43-95%</f>
        <v>1.2550000000000001</v>
      </c>
      <c r="J43" s="4">
        <f>CM_Budget!J43-95%</f>
        <v>1.57</v>
      </c>
      <c r="K43" s="4">
        <f>CM_Budget!K43-95%</f>
        <v>0.9762879999999996</v>
      </c>
      <c r="L43" s="4">
        <f>CM_Budget!L43-95%</f>
        <v>1.7468031999999998</v>
      </c>
      <c r="M43" s="4">
        <f>CM_Budget!M43-95%</f>
        <v>2.1320607999999996</v>
      </c>
      <c r="N43" s="4">
        <f>CM_Budget!N43-95%</f>
        <v>1.0549120000000001</v>
      </c>
      <c r="O43" s="4">
        <f>CM_Budget!O43-95%</f>
        <v>1.8568768</v>
      </c>
      <c r="P43" s="4">
        <f>CM_Budget!P43-95%</f>
        <v>2.2578592000000004</v>
      </c>
      <c r="Q43" s="4">
        <f>CM_Budget!Q43-95%</f>
        <v>1.1681860000000002</v>
      </c>
      <c r="R43" s="4">
        <f>CM_Budget!R43-95%</f>
        <v>2.0154604000000003</v>
      </c>
      <c r="S43" s="4">
        <f>CM_Budget!S43-95%</f>
        <v>2.4390976000000002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4">
        <f>CM_Budget!H44-95%</f>
        <v>-0.36462499999999998</v>
      </c>
      <c r="I44" s="4">
        <f>CM_Budget!I44-95%</f>
        <v>-0.13047500000000001</v>
      </c>
      <c r="J44" s="4">
        <f>CM_Budget!J44-95%</f>
        <v>-1.3399999999999967E-2</v>
      </c>
      <c r="K44" s="4">
        <f>CM_Budget!K44-95%</f>
        <v>0.86387499999999973</v>
      </c>
      <c r="L44" s="4">
        <f>CM_Budget!L44-95%</f>
        <v>1.5894249999999996</v>
      </c>
      <c r="M44" s="4">
        <f>CM_Budget!M44-95%</f>
        <v>1.9522000000000002</v>
      </c>
      <c r="N44" s="4">
        <f>CM_Budget!N44-95%</f>
        <v>0.86387499999999973</v>
      </c>
      <c r="O44" s="4">
        <f>CM_Budget!O44-95%</f>
        <v>1.5894249999999996</v>
      </c>
      <c r="P44" s="4">
        <f>CM_Budget!P44-95%</f>
        <v>1.9522000000000002</v>
      </c>
      <c r="Q44" s="4">
        <f>CM_Budget!Q44-95%</f>
        <v>0.86387499999999973</v>
      </c>
      <c r="R44" s="4">
        <f>CM_Budget!R44-95%</f>
        <v>1.5894249999999996</v>
      </c>
      <c r="S44" s="4">
        <f>CM_Budget!S44-95%</f>
        <v>1.9522000000000002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4">
        <f>CM_Budget!H45-95%</f>
        <v>-0.31999999999999995</v>
      </c>
      <c r="I45" s="4">
        <f>CM_Budget!I45-95%</f>
        <v>-6.8000000000000171E-2</v>
      </c>
      <c r="J45" s="4">
        <f>CM_Budget!J45-95%</f>
        <v>5.8000000000000052E-2</v>
      </c>
      <c r="K45" s="4">
        <f>CM_Budget!K45-95%</f>
        <v>-0.95</v>
      </c>
      <c r="L45" s="4">
        <f>CM_Budget!L45-95%</f>
        <v>-0.95</v>
      </c>
      <c r="M45" s="4">
        <f>CM_Budget!M45-95%</f>
        <v>-0.95</v>
      </c>
      <c r="N45" s="4">
        <f>CM_Budget!N45-95%</f>
        <v>-0.95</v>
      </c>
      <c r="O45" s="4">
        <f>CM_Budget!O45-95%</f>
        <v>-0.95</v>
      </c>
      <c r="P45" s="4">
        <f>CM_Budget!P45-95%</f>
        <v>-0.95</v>
      </c>
      <c r="Q45" s="4">
        <f>CM_Budget!Q45-95%</f>
        <v>-0.95</v>
      </c>
      <c r="R45" s="4">
        <f>CM_Budget!R45-95%</f>
        <v>-0.95</v>
      </c>
      <c r="S45" s="4">
        <f>CM_Budget!S45-95%</f>
        <v>-0.95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4">
        <f>CM_Budget!H46-95%</f>
        <v>-0.95</v>
      </c>
      <c r="I46" s="4">
        <f>CM_Budget!I46-95%</f>
        <v>-0.95</v>
      </c>
      <c r="J46" s="4">
        <f>CM_Budget!J46-95%</f>
        <v>-0.95</v>
      </c>
      <c r="K46" s="4">
        <f>CM_Budget!K46-95%</f>
        <v>-0.95</v>
      </c>
      <c r="L46" s="4">
        <f>CM_Budget!L46-95%</f>
        <v>-0.95</v>
      </c>
      <c r="M46" s="4">
        <f>CM_Budget!M46-95%</f>
        <v>-0.95</v>
      </c>
      <c r="N46" s="4">
        <f>CM_Budget!N46-95%</f>
        <v>-0.95</v>
      </c>
      <c r="O46" s="4">
        <f>CM_Budget!O46-95%</f>
        <v>-0.95</v>
      </c>
      <c r="P46" s="4">
        <f>CM_Budget!P46-95%</f>
        <v>-0.95</v>
      </c>
      <c r="Q46" s="4">
        <f>CM_Budget!Q46-95%</f>
        <v>-0.95</v>
      </c>
      <c r="R46" s="4">
        <f>CM_Budget!R46-95%</f>
        <v>-0.95</v>
      </c>
      <c r="S46" s="4">
        <f>CM_Budget!S46-95%</f>
        <v>-0.95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4">
        <f>CM_Budget!H47-95%</f>
        <v>-0.95</v>
      </c>
      <c r="I47" s="4">
        <f>CM_Budget!I47-95%</f>
        <v>-0.95</v>
      </c>
      <c r="J47" s="4">
        <f>CM_Budget!J47-95%</f>
        <v>-0.95</v>
      </c>
      <c r="K47" s="4">
        <f>CM_Budget!K47-95%</f>
        <v>-0.95</v>
      </c>
      <c r="L47" s="4">
        <f>CM_Budget!L47-95%</f>
        <v>-0.95</v>
      </c>
      <c r="M47" s="4">
        <f>CM_Budget!M47-95%</f>
        <v>-0.95</v>
      </c>
      <c r="N47" s="4">
        <f>CM_Budget!N47-95%</f>
        <v>-0.95</v>
      </c>
      <c r="O47" s="4">
        <f>CM_Budget!O47-95%</f>
        <v>-0.95</v>
      </c>
      <c r="P47" s="4">
        <f>CM_Budget!P47-95%</f>
        <v>-0.95</v>
      </c>
      <c r="Q47" s="4">
        <f>CM_Budget!Q47-95%</f>
        <v>-0.95</v>
      </c>
      <c r="R47" s="4">
        <f>CM_Budget!R47-95%</f>
        <v>-0.95</v>
      </c>
      <c r="S47" s="4">
        <f>CM_Budget!S47-95%</f>
        <v>-0.95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4">
        <f>CM_Budget!H48-95%</f>
        <v>-0.95</v>
      </c>
      <c r="I48" s="4">
        <f>CM_Budget!I48-95%</f>
        <v>-0.95</v>
      </c>
      <c r="J48" s="4">
        <f>CM_Budget!J48-95%</f>
        <v>-0.95</v>
      </c>
      <c r="K48" s="4">
        <f>CM_Budget!K48-95%</f>
        <v>-0.95</v>
      </c>
      <c r="L48" s="4">
        <f>CM_Budget!L48-95%</f>
        <v>-0.95</v>
      </c>
      <c r="M48" s="4">
        <f>CM_Budget!M48-95%</f>
        <v>-0.95</v>
      </c>
      <c r="N48" s="4">
        <f>CM_Budget!N48-95%</f>
        <v>-0.95</v>
      </c>
      <c r="O48" s="4">
        <f>CM_Budget!O48-95%</f>
        <v>-0.95</v>
      </c>
      <c r="P48" s="4">
        <f>CM_Budget!P48-95%</f>
        <v>-0.95</v>
      </c>
      <c r="Q48" s="4">
        <f>CM_Budget!Q48-95%</f>
        <v>-0.95</v>
      </c>
      <c r="R48" s="4">
        <f>CM_Budget!R48-95%</f>
        <v>-0.95</v>
      </c>
      <c r="S48" s="4">
        <f>CM_Budget!S48-95%</f>
        <v>-0.95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4">
        <f>CM_Budget!H49-95%</f>
        <v>46.3</v>
      </c>
      <c r="I49" s="4">
        <f>CM_Budget!I49-95%</f>
        <v>65.199999999999989</v>
      </c>
      <c r="J49" s="4">
        <f>CM_Budget!J49-95%</f>
        <v>74.649999999999991</v>
      </c>
      <c r="K49" s="4">
        <f>CM_Budget!K49-95%</f>
        <v>42.572499999999998</v>
      </c>
      <c r="L49" s="4">
        <f>CM_Budget!L49-95%</f>
        <v>59.98149999999999</v>
      </c>
      <c r="M49" s="4">
        <f>CM_Budget!M49-95%</f>
        <v>68.685999999999993</v>
      </c>
      <c r="N49" s="4">
        <f>CM_Budget!N49-95%</f>
        <v>36.377499999999998</v>
      </c>
      <c r="O49" s="4">
        <f>CM_Budget!O49-95%</f>
        <v>51.308499999999995</v>
      </c>
      <c r="P49" s="4">
        <f>CM_Budget!P49-95%</f>
        <v>58.774000000000001</v>
      </c>
      <c r="Q49" s="4">
        <f>CM_Budget!Q49-95%</f>
        <v>36.832149999999992</v>
      </c>
      <c r="R49" s="4">
        <f>CM_Budget!R49-95%</f>
        <v>51.945009999999989</v>
      </c>
      <c r="S49" s="4">
        <f>CM_Budget!S49-95%</f>
        <v>59.501439999999988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4">
        <f>CM_Budget!H50-95%</f>
        <v>4.3</v>
      </c>
      <c r="I50" s="4">
        <f>CM_Budget!I50-95%</f>
        <v>6.3999999999999995</v>
      </c>
      <c r="J50" s="4">
        <f>CM_Budget!J50-95%</f>
        <v>7.45</v>
      </c>
      <c r="K50" s="4">
        <f>CM_Budget!K50-95%</f>
        <v>5.35</v>
      </c>
      <c r="L50" s="4">
        <f>CM_Budget!L50-95%</f>
        <v>7.87</v>
      </c>
      <c r="M50" s="4">
        <f>CM_Budget!M50-95%</f>
        <v>9.1300000000000008</v>
      </c>
      <c r="N50" s="4">
        <f>CM_Budget!N50-95%</f>
        <v>4.93</v>
      </c>
      <c r="O50" s="4">
        <f>CM_Budget!O50-95%</f>
        <v>7.2819999999999991</v>
      </c>
      <c r="P50" s="4">
        <f>CM_Budget!P50-95%</f>
        <v>8.458000000000002</v>
      </c>
      <c r="Q50" s="4">
        <f>CM_Budget!Q50-95%</f>
        <v>5.5946499999999997</v>
      </c>
      <c r="R50" s="4">
        <f>CM_Budget!R50-95%</f>
        <v>8.2125099999999982</v>
      </c>
      <c r="S50" s="4">
        <f>CM_Budget!S50-95%</f>
        <v>9.5214400000000019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4">
        <f>CM_Budget!H51-95%</f>
        <v>1.78</v>
      </c>
      <c r="I51" s="4">
        <f>CM_Budget!I51-95%</f>
        <v>2.8719999999999999</v>
      </c>
      <c r="J51" s="4">
        <f>CM_Budget!J51-95%</f>
        <v>3.4180000000000001</v>
      </c>
      <c r="K51" s="4">
        <f>CM_Budget!K51-95%</f>
        <v>6.1374999999999993</v>
      </c>
      <c r="L51" s="4">
        <f>CM_Budget!L51-95%</f>
        <v>8.9725000000000001</v>
      </c>
      <c r="M51" s="4">
        <f>CM_Budget!M51-95%</f>
        <v>10.39</v>
      </c>
      <c r="N51" s="4">
        <f>CM_Budget!N51-95%</f>
        <v>4.0374999999999996</v>
      </c>
      <c r="O51" s="4">
        <f>CM_Budget!O51-95%</f>
        <v>6.0324999999999998</v>
      </c>
      <c r="P51" s="4">
        <f>CM_Budget!P51-95%</f>
        <v>7.0299999999999994</v>
      </c>
      <c r="Q51" s="4">
        <f>CM_Budget!Q51-95%</f>
        <v>6.1721499999999994</v>
      </c>
      <c r="R51" s="4">
        <f>CM_Budget!R51-95%</f>
        <v>9.0210099999999986</v>
      </c>
      <c r="S51" s="4">
        <f>CM_Budget!S51-95%</f>
        <v>10.445440000000001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4">
        <f>CM_Budget!H52-95%</f>
        <v>35.589999999999996</v>
      </c>
      <c r="I52" s="4">
        <f>CM_Budget!I52-95%</f>
        <v>50.205999999999996</v>
      </c>
      <c r="J52" s="4">
        <f>CM_Budget!J52-95%</f>
        <v>57.514000000000003</v>
      </c>
      <c r="K52" s="4">
        <f>CM_Budget!K52-95%</f>
        <v>36.587499999999999</v>
      </c>
      <c r="L52" s="4">
        <f>CM_Budget!L52-95%</f>
        <v>51.602499999999992</v>
      </c>
      <c r="M52" s="4">
        <f>CM_Budget!M52-95%</f>
        <v>59.109999999999992</v>
      </c>
      <c r="N52" s="4">
        <f>CM_Budget!N52-95%</f>
        <v>33.437499999999993</v>
      </c>
      <c r="O52" s="4">
        <f>CM_Budget!O52-95%</f>
        <v>47.192499999999988</v>
      </c>
      <c r="P52" s="4">
        <f>CM_Budget!P52-95%</f>
        <v>54.069999999999993</v>
      </c>
      <c r="Q52" s="4">
        <f>CM_Budget!Q52-95%</f>
        <v>36.622149999999991</v>
      </c>
      <c r="R52" s="4">
        <f>CM_Budget!R52-95%</f>
        <v>51.651009999999985</v>
      </c>
      <c r="S52" s="4">
        <f>CM_Budget!S52-95%</f>
        <v>59.165439999999997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4">
        <f>CM_Budget!H53-95%</f>
        <v>1.57</v>
      </c>
      <c r="I53" s="4">
        <f>CM_Budget!I53-95%</f>
        <v>2.5779999999999994</v>
      </c>
      <c r="J53" s="4">
        <f>CM_Budget!J53-95%</f>
        <v>3.0819999999999999</v>
      </c>
      <c r="K53" s="4">
        <f>CM_Budget!K53-95%</f>
        <v>1.5349999999999999</v>
      </c>
      <c r="L53" s="4">
        <f>CM_Budget!L53-95%</f>
        <v>2.5289999999999999</v>
      </c>
      <c r="M53" s="4">
        <f>CM_Budget!M53-95%</f>
        <v>3.0259999999999998</v>
      </c>
      <c r="N53" s="4">
        <f>CM_Budget!N53-95%</f>
        <v>1.5349999999999999</v>
      </c>
      <c r="O53" s="4">
        <f>CM_Budget!O53-95%</f>
        <v>2.5289999999999999</v>
      </c>
      <c r="P53" s="4">
        <f>CM_Budget!P53-95%</f>
        <v>3.0259999999999998</v>
      </c>
      <c r="Q53" s="4">
        <f>CM_Budget!Q53-95%</f>
        <v>1.56965</v>
      </c>
      <c r="R53" s="4">
        <f>CM_Budget!R53-95%</f>
        <v>2.5775099999999993</v>
      </c>
      <c r="S53" s="4">
        <f>CM_Budget!S53-95%</f>
        <v>3.0814399999999997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4">
        <f>CM_Budget!H54-95%</f>
        <v>0.10000000000000009</v>
      </c>
      <c r="I54" s="4">
        <f>CM_Budget!I54-95%</f>
        <v>0.52</v>
      </c>
      <c r="J54" s="4">
        <f>CM_Budget!J54-95%</f>
        <v>0.73</v>
      </c>
      <c r="K54" s="4">
        <f>CM_Budget!K54-95%</f>
        <v>0.27499999999999991</v>
      </c>
      <c r="L54" s="4">
        <f>CM_Budget!L54-95%</f>
        <v>0.7649999999999999</v>
      </c>
      <c r="M54" s="4">
        <f>CM_Budget!M54-95%</f>
        <v>1.01</v>
      </c>
      <c r="N54" s="4">
        <f>CM_Budget!N54-95%</f>
        <v>0.27499999999999991</v>
      </c>
      <c r="O54" s="4">
        <f>CM_Budget!O54-95%</f>
        <v>0.7649999999999999</v>
      </c>
      <c r="P54" s="4">
        <f>CM_Budget!P54-95%</f>
        <v>1.01</v>
      </c>
      <c r="Q54" s="4">
        <f>CM_Budget!Q54-95%</f>
        <v>0.30964999999999998</v>
      </c>
      <c r="R54" s="4">
        <f>CM_Budget!R54-95%</f>
        <v>0.81350999999999973</v>
      </c>
      <c r="S54" s="4">
        <f>CM_Budget!S54-95%</f>
        <v>1.0654399999999999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4">
        <f>CM_Budget!H55-95%</f>
        <v>0.625</v>
      </c>
      <c r="I55" s="4">
        <f>CM_Budget!I55-95%</f>
        <v>1.2550000000000001</v>
      </c>
      <c r="J55" s="4">
        <f>CM_Budget!J55-95%</f>
        <v>1.57</v>
      </c>
      <c r="K55" s="4">
        <f>CM_Budget!K55-95%</f>
        <v>-0.95</v>
      </c>
      <c r="L55" s="4">
        <f>CM_Budget!L55-95%</f>
        <v>-0.95</v>
      </c>
      <c r="M55" s="4">
        <f>CM_Budget!M55-95%</f>
        <v>-0.95</v>
      </c>
      <c r="N55" s="4">
        <f>CM_Budget!N55-95%</f>
        <v>-0.95</v>
      </c>
      <c r="O55" s="4">
        <f>CM_Budget!O55-95%</f>
        <v>-0.95</v>
      </c>
      <c r="P55" s="4">
        <f>CM_Budget!P55-95%</f>
        <v>-0.95</v>
      </c>
      <c r="Q55" s="4">
        <f>CM_Budget!Q55-95%</f>
        <v>-0.95</v>
      </c>
      <c r="R55" s="4">
        <f>CM_Budget!R55-95%</f>
        <v>-0.95</v>
      </c>
      <c r="S55" s="4">
        <f>CM_Budget!S55-95%</f>
        <v>-0.95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4">
        <f>CM_Budget!H56-95%</f>
        <v>-0.95</v>
      </c>
      <c r="I56" s="4">
        <f>CM_Budget!I56-95%</f>
        <v>-0.95</v>
      </c>
      <c r="J56" s="4">
        <f>CM_Budget!J56-95%</f>
        <v>-0.95</v>
      </c>
      <c r="K56" s="4">
        <f>CM_Budget!K56-95%</f>
        <v>-0.95</v>
      </c>
      <c r="L56" s="4">
        <f>CM_Budget!L56-95%</f>
        <v>-0.95</v>
      </c>
      <c r="M56" s="4">
        <f>CM_Budget!M56-95%</f>
        <v>-0.95</v>
      </c>
      <c r="N56" s="4">
        <f>CM_Budget!N56-95%</f>
        <v>-0.95</v>
      </c>
      <c r="O56" s="4">
        <f>CM_Budget!O56-95%</f>
        <v>-0.95</v>
      </c>
      <c r="P56" s="4">
        <f>CM_Budget!P56-95%</f>
        <v>-0.95</v>
      </c>
      <c r="Q56" s="4">
        <f>CM_Budget!Q56-95%</f>
        <v>-0.95</v>
      </c>
      <c r="R56" s="4">
        <f>CM_Budget!R56-95%</f>
        <v>-0.95</v>
      </c>
      <c r="S56" s="4">
        <f>CM_Budget!S56-95%</f>
        <v>-0.95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4">
        <f>CM_Budget!H57-95%</f>
        <v>4.3</v>
      </c>
      <c r="I57" s="4">
        <f>CM_Budget!I57-95%</f>
        <v>6.3999999999999995</v>
      </c>
      <c r="J57" s="4">
        <f>CM_Budget!J57-95%</f>
        <v>7.45</v>
      </c>
      <c r="K57" s="4">
        <f>CM_Budget!K57-95%</f>
        <v>-0.95</v>
      </c>
      <c r="L57" s="4">
        <f>CM_Budget!L57-95%</f>
        <v>-0.95</v>
      </c>
      <c r="M57" s="4">
        <f>CM_Budget!M57-95%</f>
        <v>-0.95</v>
      </c>
      <c r="N57" s="4">
        <f>CM_Budget!N57-95%</f>
        <v>-0.95</v>
      </c>
      <c r="O57" s="4">
        <f>CM_Budget!O57-95%</f>
        <v>-0.95</v>
      </c>
      <c r="P57" s="4">
        <f>CM_Budget!P57-95%</f>
        <v>-0.95</v>
      </c>
      <c r="Q57" s="4">
        <f>CM_Budget!Q57-95%</f>
        <v>-0.95</v>
      </c>
      <c r="R57" s="4">
        <f>CM_Budget!R57-95%</f>
        <v>-0.95</v>
      </c>
      <c r="S57" s="4">
        <f>CM_Budget!S57-95%</f>
        <v>-0.95</v>
      </c>
    </row>
  </sheetData>
  <conditionalFormatting sqref="B2:B57">
    <cfRule type="duplicateValues" dxfId="69" priority="5"/>
  </conditionalFormatting>
  <conditionalFormatting sqref="B1:C1">
    <cfRule type="duplicateValues" dxfId="68" priority="3"/>
  </conditionalFormatting>
  <conditionalFormatting sqref="C2:C57">
    <cfRule type="duplicateValues" dxfId="67" priority="1"/>
  </conditionalFormatting>
  <conditionalFormatting sqref="D1:E1">
    <cfRule type="duplicateValues" dxfId="6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D58-F62F-46FA-8E07-8949E7742F6A}">
  <sheetPr codeName="Sheet6">
    <tabColor rgb="FF92D050"/>
  </sheetPr>
  <dimension ref="A1:S57"/>
  <sheetViews>
    <sheetView showGridLines="0" topLeftCell="A38" workbookViewId="0">
      <selection activeCell="S2" sqref="S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37</v>
      </c>
      <c r="I2" s="3">
        <v>37</v>
      </c>
      <c r="J2" s="3">
        <v>30</v>
      </c>
      <c r="K2" s="3">
        <v>29</v>
      </c>
      <c r="L2" s="3">
        <v>36</v>
      </c>
      <c r="M2" s="3">
        <v>31</v>
      </c>
      <c r="N2" s="3">
        <v>27</v>
      </c>
      <c r="O2" s="3">
        <v>26.390999999999998</v>
      </c>
      <c r="P2" s="3">
        <v>54</v>
      </c>
      <c r="Q2" s="3">
        <v>28.8</v>
      </c>
      <c r="R2" s="3">
        <v>15</v>
      </c>
      <c r="S2" s="3">
        <v>6.3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8.5</v>
      </c>
      <c r="I3" s="3">
        <v>7.5</v>
      </c>
      <c r="J3" s="3">
        <v>7</v>
      </c>
      <c r="K3" s="3">
        <v>8</v>
      </c>
      <c r="L3" s="3">
        <v>10</v>
      </c>
      <c r="M3" s="3">
        <v>12</v>
      </c>
      <c r="N3" s="3">
        <v>3</v>
      </c>
      <c r="O3" s="3">
        <v>4</v>
      </c>
      <c r="P3" s="3">
        <v>0.5</v>
      </c>
      <c r="Q3" s="3">
        <v>4.76</v>
      </c>
      <c r="R3" s="3">
        <v>6</v>
      </c>
      <c r="S3" s="3">
        <v>9.8390000000000004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</v>
      </c>
      <c r="I4" s="3">
        <v>7</v>
      </c>
      <c r="J4" s="3">
        <v>4.55</v>
      </c>
      <c r="K4" s="3">
        <v>7.5</v>
      </c>
      <c r="L4" s="3">
        <v>3.8</v>
      </c>
      <c r="M4" s="3">
        <v>6</v>
      </c>
      <c r="N4" s="3">
        <v>2.2000000000000002</v>
      </c>
      <c r="O4" s="3">
        <v>4.7</v>
      </c>
      <c r="P4" s="3">
        <v>7.6</v>
      </c>
      <c r="Q4" s="3">
        <v>3.4224999999999999</v>
      </c>
      <c r="R4" s="3">
        <v>4</v>
      </c>
      <c r="S4" s="3">
        <v>0.93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0.7</v>
      </c>
      <c r="I5" s="3">
        <v>1.9</v>
      </c>
      <c r="J5" s="3">
        <v>1.42</v>
      </c>
      <c r="K5" s="3">
        <v>0.41</v>
      </c>
      <c r="L5" s="3">
        <v>2</v>
      </c>
      <c r="M5" s="3">
        <v>2.09</v>
      </c>
      <c r="N5" s="3">
        <v>0.11</v>
      </c>
      <c r="O5" s="3">
        <v>0</v>
      </c>
      <c r="P5" s="3">
        <v>3</v>
      </c>
      <c r="Q5" s="3">
        <v>0</v>
      </c>
      <c r="R5" s="3">
        <v>0</v>
      </c>
      <c r="S5" s="3">
        <v>0.75999999999999968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21</v>
      </c>
      <c r="I6" s="3">
        <v>21</v>
      </c>
      <c r="J6" s="3">
        <v>23.181039999999999</v>
      </c>
      <c r="K6" s="3">
        <v>19</v>
      </c>
      <c r="L6" s="3">
        <v>22</v>
      </c>
      <c r="M6" s="3">
        <v>24</v>
      </c>
      <c r="N6" s="3">
        <v>12</v>
      </c>
      <c r="O6" s="3">
        <v>2.12</v>
      </c>
      <c r="P6" s="3">
        <v>10</v>
      </c>
      <c r="Q6" s="3">
        <v>0</v>
      </c>
      <c r="R6" s="3">
        <v>5</v>
      </c>
      <c r="S6" s="3">
        <v>-9.9346899999999998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1.56</v>
      </c>
      <c r="I7" s="3">
        <v>-0.16500000000000001</v>
      </c>
      <c r="J7" s="3">
        <v>1.5</v>
      </c>
      <c r="K7" s="3">
        <v>0.15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4.16</v>
      </c>
      <c r="I9" s="3">
        <v>20.5</v>
      </c>
      <c r="J9" s="3">
        <v>10.370000000000001</v>
      </c>
      <c r="K9" s="3">
        <v>12.5</v>
      </c>
      <c r="L9" s="3">
        <v>18</v>
      </c>
      <c r="M9" s="3">
        <v>26</v>
      </c>
      <c r="N9" s="3">
        <v>16</v>
      </c>
      <c r="O9" s="3">
        <v>28.134</v>
      </c>
      <c r="P9" s="3">
        <v>12.5</v>
      </c>
      <c r="Q9" s="3">
        <v>16.236000000000001</v>
      </c>
      <c r="R9" s="3">
        <v>15</v>
      </c>
      <c r="S9" s="3">
        <v>18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0.6</v>
      </c>
      <c r="P10" s="3">
        <v>0</v>
      </c>
      <c r="Q10" s="3">
        <v>1.1000000000000001</v>
      </c>
      <c r="R10" s="3">
        <v>1</v>
      </c>
      <c r="S10" s="3">
        <v>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19.2</v>
      </c>
      <c r="I11" s="3">
        <v>20.5</v>
      </c>
      <c r="J11" s="3">
        <v>17.962289999999999</v>
      </c>
      <c r="K11" s="3">
        <v>12</v>
      </c>
      <c r="L11" s="3">
        <v>15</v>
      </c>
      <c r="M11" s="3">
        <v>19</v>
      </c>
      <c r="N11" s="3">
        <v>15.333333333333336</v>
      </c>
      <c r="O11" s="3">
        <v>20.5</v>
      </c>
      <c r="P11" s="3">
        <v>14</v>
      </c>
      <c r="Q11" s="3">
        <v>26</v>
      </c>
      <c r="R11" s="3">
        <v>15</v>
      </c>
      <c r="S11" s="3">
        <v>13.1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</v>
      </c>
      <c r="I12" s="3">
        <v>15</v>
      </c>
      <c r="J12" s="3">
        <v>21</v>
      </c>
      <c r="K12" s="3">
        <v>13</v>
      </c>
      <c r="L12" s="3">
        <v>15.5</v>
      </c>
      <c r="M12" s="3">
        <v>25</v>
      </c>
      <c r="N12" s="3">
        <v>15</v>
      </c>
      <c r="O12" s="3">
        <v>9.5</v>
      </c>
      <c r="P12" s="3">
        <v>16</v>
      </c>
      <c r="Q12" s="3">
        <v>13.17074</v>
      </c>
      <c r="R12" s="3">
        <v>8.24</v>
      </c>
      <c r="S12" s="3">
        <v>13.38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</v>
      </c>
      <c r="I13" s="3">
        <v>0.73</v>
      </c>
      <c r="J13" s="3">
        <v>22.262500000000006</v>
      </c>
      <c r="K13" s="3">
        <v>10</v>
      </c>
      <c r="L13" s="3">
        <v>10</v>
      </c>
      <c r="M13" s="3">
        <v>8</v>
      </c>
      <c r="N13" s="3">
        <v>25</v>
      </c>
      <c r="O13" s="3">
        <v>36.5</v>
      </c>
      <c r="P13" s="3">
        <v>36.5</v>
      </c>
      <c r="Q13" s="3">
        <v>26.8</v>
      </c>
      <c r="R13" s="3">
        <v>20</v>
      </c>
      <c r="S13" s="3">
        <v>87.07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0</v>
      </c>
      <c r="N14" s="3">
        <v>0</v>
      </c>
      <c r="O14" s="3">
        <v>0</v>
      </c>
      <c r="P14" s="3">
        <v>0</v>
      </c>
      <c r="Q14" s="3">
        <v>1.4</v>
      </c>
      <c r="R14" s="3">
        <v>0</v>
      </c>
      <c r="S14" s="3">
        <v>2.64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0</v>
      </c>
      <c r="O15" s="3">
        <v>3</v>
      </c>
      <c r="P15" s="3">
        <v>1.5</v>
      </c>
      <c r="Q15" s="3">
        <v>1.5</v>
      </c>
      <c r="R15" s="3">
        <v>5</v>
      </c>
      <c r="S15" s="3">
        <v>1.0499999999999994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1.5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8.84</v>
      </c>
      <c r="I17" s="3">
        <v>11</v>
      </c>
      <c r="J17" s="3">
        <v>10.935</v>
      </c>
      <c r="K17" s="3">
        <v>10.47</v>
      </c>
      <c r="L17" s="3">
        <v>8.5</v>
      </c>
      <c r="M17" s="3">
        <v>9</v>
      </c>
      <c r="N17" s="3">
        <v>7</v>
      </c>
      <c r="O17" s="3">
        <v>7.5026599999999997</v>
      </c>
      <c r="P17" s="3">
        <v>3.94</v>
      </c>
      <c r="Q17" s="3">
        <v>8.3475000000000001</v>
      </c>
      <c r="R17" s="3">
        <v>6.8</v>
      </c>
      <c r="S17" s="3">
        <v>2.7400000000000007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1.21</v>
      </c>
      <c r="I18" s="3">
        <v>0.31</v>
      </c>
      <c r="J18" s="3">
        <v>-9.0999999999999998E-2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13</v>
      </c>
      <c r="I19" s="3">
        <v>12.3</v>
      </c>
      <c r="J19" s="3">
        <v>15</v>
      </c>
      <c r="K19" s="3">
        <v>13.35</v>
      </c>
      <c r="L19" s="3">
        <v>11</v>
      </c>
      <c r="M19" s="3">
        <v>12.5</v>
      </c>
      <c r="N19" s="3">
        <v>11</v>
      </c>
      <c r="O19" s="3">
        <v>8.5</v>
      </c>
      <c r="P19" s="3">
        <v>12</v>
      </c>
      <c r="Q19" s="3">
        <v>8.65</v>
      </c>
      <c r="R19" s="3">
        <v>4.4000000000000004</v>
      </c>
      <c r="S19" s="3">
        <v>-4.0999999999999996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20</v>
      </c>
      <c r="I20" s="3">
        <v>22</v>
      </c>
      <c r="J20" s="3">
        <v>23</v>
      </c>
      <c r="K20" s="3">
        <v>24.1</v>
      </c>
      <c r="L20" s="3">
        <v>25.45</v>
      </c>
      <c r="M20" s="3">
        <v>25.45</v>
      </c>
      <c r="N20" s="3">
        <v>18</v>
      </c>
      <c r="O20" s="3">
        <v>15</v>
      </c>
      <c r="P20" s="3">
        <v>10</v>
      </c>
      <c r="Q20" s="3">
        <v>11.26</v>
      </c>
      <c r="R20" s="3">
        <v>10</v>
      </c>
      <c r="S20" s="3">
        <v>15.39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68</v>
      </c>
      <c r="I21" s="3">
        <v>89</v>
      </c>
      <c r="J21" s="3">
        <v>90.5</v>
      </c>
      <c r="K21" s="3">
        <v>80</v>
      </c>
      <c r="L21" s="3">
        <v>90</v>
      </c>
      <c r="M21" s="3">
        <v>109</v>
      </c>
      <c r="N21" s="3">
        <v>96</v>
      </c>
      <c r="O21" s="3">
        <v>110</v>
      </c>
      <c r="P21" s="3">
        <v>86.5</v>
      </c>
      <c r="Q21" s="3">
        <v>94.35</v>
      </c>
      <c r="R21" s="3">
        <v>99</v>
      </c>
      <c r="S21" s="3">
        <v>74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17</v>
      </c>
      <c r="I22" s="3">
        <v>21</v>
      </c>
      <c r="J22" s="3">
        <v>14</v>
      </c>
      <c r="K22" s="3">
        <v>12</v>
      </c>
      <c r="L22" s="3">
        <v>15</v>
      </c>
      <c r="M22" s="3">
        <v>19</v>
      </c>
      <c r="N22" s="3">
        <v>11</v>
      </c>
      <c r="O22" s="3">
        <v>12</v>
      </c>
      <c r="P22" s="3">
        <v>13</v>
      </c>
      <c r="Q22" s="3">
        <v>9.6061599999999991</v>
      </c>
      <c r="R22" s="3">
        <v>4.8949999999999996</v>
      </c>
      <c r="S22" s="3">
        <v>2.7100000000000013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27</v>
      </c>
      <c r="I23" s="3">
        <v>32</v>
      </c>
      <c r="J23" s="3">
        <v>41.27</v>
      </c>
      <c r="K23" s="3">
        <v>47.5</v>
      </c>
      <c r="L23" s="3">
        <v>40</v>
      </c>
      <c r="M23" s="3">
        <v>45.9</v>
      </c>
      <c r="N23" s="3">
        <v>20</v>
      </c>
      <c r="O23" s="3">
        <v>35.67</v>
      </c>
      <c r="P23" s="3">
        <v>71.83</v>
      </c>
      <c r="Q23" s="3">
        <v>23.88</v>
      </c>
      <c r="R23" s="3">
        <v>33</v>
      </c>
      <c r="S23" s="3">
        <v>-67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7</v>
      </c>
      <c r="I24" s="3">
        <v>7.7</v>
      </c>
      <c r="J24" s="3">
        <v>8.2858800000000006</v>
      </c>
      <c r="K24" s="3">
        <v>8</v>
      </c>
      <c r="L24" s="3">
        <v>8.6</v>
      </c>
      <c r="M24" s="3">
        <v>7</v>
      </c>
      <c r="N24" s="3">
        <v>1</v>
      </c>
      <c r="O24" s="3">
        <v>1</v>
      </c>
      <c r="P24" s="3">
        <v>2.5</v>
      </c>
      <c r="Q24" s="3">
        <v>1.8</v>
      </c>
      <c r="R24" s="3">
        <v>3.5</v>
      </c>
      <c r="S24" s="3">
        <v>-4.17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3</v>
      </c>
      <c r="I25" s="3">
        <v>7</v>
      </c>
      <c r="J25" s="3">
        <v>1.5149999999999999</v>
      </c>
      <c r="K25" s="3">
        <v>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0.84</v>
      </c>
      <c r="I26" s="3">
        <v>2.08</v>
      </c>
      <c r="J26" s="3">
        <v>0</v>
      </c>
      <c r="K26" s="3">
        <v>1.44</v>
      </c>
      <c r="L26" s="3">
        <v>2.4</v>
      </c>
      <c r="M26" s="3">
        <v>0</v>
      </c>
      <c r="N26" s="3">
        <v>1.4</v>
      </c>
      <c r="O26" s="3">
        <v>0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1.9</v>
      </c>
      <c r="K27" s="3">
        <v>3.75</v>
      </c>
      <c r="L27" s="3">
        <v>6</v>
      </c>
      <c r="M27" s="3">
        <v>11</v>
      </c>
      <c r="N27" s="3">
        <v>10</v>
      </c>
      <c r="O27" s="3">
        <v>10</v>
      </c>
      <c r="P27" s="3">
        <v>10</v>
      </c>
      <c r="Q27" s="3">
        <v>11.781700000000001</v>
      </c>
      <c r="R27" s="3">
        <v>15.19</v>
      </c>
      <c r="S27" s="3">
        <v>35.299999999999997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0.2</v>
      </c>
      <c r="K28" s="3">
        <v>0.71</v>
      </c>
      <c r="L28" s="3">
        <v>0.71</v>
      </c>
      <c r="M28" s="3">
        <v>1</v>
      </c>
      <c r="N28" s="3">
        <v>1</v>
      </c>
      <c r="O28" s="3">
        <v>3</v>
      </c>
      <c r="P28" s="3">
        <v>0</v>
      </c>
      <c r="Q28" s="3">
        <v>0</v>
      </c>
      <c r="R28" s="3">
        <v>0</v>
      </c>
      <c r="S28" s="3">
        <v>-0.85699999999999998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2.5</v>
      </c>
      <c r="J29" s="3">
        <v>4.2</v>
      </c>
      <c r="K29" s="3">
        <v>6.2</v>
      </c>
      <c r="L29" s="3">
        <v>8</v>
      </c>
      <c r="M29" s="3">
        <v>18</v>
      </c>
      <c r="N29" s="3">
        <v>5</v>
      </c>
      <c r="O29" s="3">
        <v>5</v>
      </c>
      <c r="P29" s="3">
        <v>5</v>
      </c>
      <c r="Q29" s="3">
        <v>14.2364</v>
      </c>
      <c r="R29" s="3">
        <v>7.39</v>
      </c>
      <c r="S29" s="3">
        <v>2.2300000000000013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4.9109999999999996</v>
      </c>
      <c r="P30" s="3">
        <v>8</v>
      </c>
      <c r="Q30" s="3">
        <v>8.06</v>
      </c>
      <c r="R30" s="3">
        <v>5.89</v>
      </c>
      <c r="S30" s="3">
        <v>4.9800000000000004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6.4</v>
      </c>
      <c r="P31" s="3">
        <v>9.6</v>
      </c>
      <c r="Q31" s="3">
        <v>8.5</v>
      </c>
      <c r="R31" s="3">
        <v>35</v>
      </c>
      <c r="S31" s="3">
        <v>184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2</v>
      </c>
      <c r="R32" s="3">
        <v>2</v>
      </c>
      <c r="S32" s="3">
        <v>4.5999999999999996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10.199999999999999</v>
      </c>
      <c r="I33" s="3">
        <v>12.5</v>
      </c>
      <c r="J33" s="3">
        <v>20</v>
      </c>
      <c r="K33" s="3">
        <v>22.5</v>
      </c>
      <c r="L33" s="3">
        <v>21</v>
      </c>
      <c r="M33" s="3">
        <v>23</v>
      </c>
      <c r="N33" s="3">
        <v>11</v>
      </c>
      <c r="O33" s="3">
        <v>12</v>
      </c>
      <c r="P33" s="3">
        <v>12</v>
      </c>
      <c r="Q33" s="3">
        <v>14</v>
      </c>
      <c r="R33" s="3">
        <v>12</v>
      </c>
      <c r="S33" s="3">
        <v>12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4.8</v>
      </c>
      <c r="I34" s="3">
        <v>7</v>
      </c>
      <c r="J34" s="3">
        <v>1.5</v>
      </c>
      <c r="K34" s="3">
        <v>1.6</v>
      </c>
      <c r="L34" s="3">
        <v>2</v>
      </c>
      <c r="M34" s="3">
        <v>0</v>
      </c>
      <c r="N34" s="3">
        <v>0</v>
      </c>
      <c r="O34" s="3">
        <v>2.8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9</v>
      </c>
      <c r="I35" s="3">
        <v>10</v>
      </c>
      <c r="J35" s="3">
        <v>7.6790000000000003</v>
      </c>
      <c r="K35" s="3">
        <v>10</v>
      </c>
      <c r="L35" s="3">
        <v>8.5</v>
      </c>
      <c r="M35" s="3">
        <v>4.5</v>
      </c>
      <c r="N35" s="3">
        <v>6</v>
      </c>
      <c r="O35" s="3">
        <v>4.4000000000000004</v>
      </c>
      <c r="P35" s="3">
        <v>5</v>
      </c>
      <c r="Q35" s="3">
        <v>1.2</v>
      </c>
      <c r="R35" s="3">
        <v>1.76</v>
      </c>
      <c r="S35" s="3">
        <v>4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1</v>
      </c>
      <c r="I36" s="3">
        <v>7</v>
      </c>
      <c r="J36" s="3">
        <v>0.4</v>
      </c>
      <c r="K36" s="3">
        <v>1</v>
      </c>
      <c r="L36" s="3">
        <v>0</v>
      </c>
      <c r="M36" s="3">
        <v>0</v>
      </c>
      <c r="N36" s="3">
        <v>0</v>
      </c>
      <c r="O36" s="3">
        <v>3.49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2</v>
      </c>
      <c r="I37" s="3">
        <v>5</v>
      </c>
      <c r="J37" s="3">
        <v>1</v>
      </c>
      <c r="K37" s="3">
        <v>9</v>
      </c>
      <c r="L37" s="3">
        <v>10</v>
      </c>
      <c r="M37" s="3">
        <v>12</v>
      </c>
      <c r="N37" s="3">
        <v>8</v>
      </c>
      <c r="O37" s="3">
        <v>15</v>
      </c>
      <c r="P37" s="3">
        <v>15</v>
      </c>
      <c r="Q37" s="3">
        <v>15.5</v>
      </c>
      <c r="R37" s="3">
        <v>9</v>
      </c>
      <c r="S37" s="3">
        <v>16.5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4</v>
      </c>
      <c r="J38" s="3">
        <v>4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3.1666666666666661</v>
      </c>
      <c r="I39" s="3">
        <v>4.166666666666667</v>
      </c>
      <c r="J39" s="3">
        <v>4.166666666666667</v>
      </c>
      <c r="K39" s="3">
        <v>3</v>
      </c>
      <c r="L39" s="3">
        <v>2.1</v>
      </c>
      <c r="M39" s="3">
        <v>3</v>
      </c>
      <c r="N39" s="3">
        <v>3</v>
      </c>
      <c r="O39" s="3">
        <v>7.02644</v>
      </c>
      <c r="P39" s="3">
        <v>0</v>
      </c>
      <c r="Q39" s="3">
        <v>3.2444299999999999</v>
      </c>
      <c r="R39" s="3">
        <v>3.0689299999999999</v>
      </c>
      <c r="S39" s="3">
        <v>7.6080100000000002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1.583333333333333</v>
      </c>
      <c r="I40" s="3">
        <v>1.6</v>
      </c>
      <c r="J40" s="3">
        <v>1.6</v>
      </c>
      <c r="K40" s="3">
        <v>1.76</v>
      </c>
      <c r="L40" s="3">
        <v>1.76</v>
      </c>
      <c r="M40" s="3">
        <v>1.76</v>
      </c>
      <c r="N40" s="3">
        <v>1.76</v>
      </c>
      <c r="O40" s="3">
        <v>1.76</v>
      </c>
      <c r="P40" s="3">
        <v>1.76</v>
      </c>
      <c r="Q40" s="3">
        <v>1.76</v>
      </c>
      <c r="R40" s="3">
        <v>1.76</v>
      </c>
      <c r="S40" s="3">
        <v>1.76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34</v>
      </c>
      <c r="I42" s="3">
        <v>36.254809999999999</v>
      </c>
      <c r="J42" s="3">
        <v>17.7</v>
      </c>
      <c r="K42" s="3">
        <v>13</v>
      </c>
      <c r="L42" s="3">
        <v>25</v>
      </c>
      <c r="M42" s="3">
        <v>22</v>
      </c>
      <c r="N42" s="3">
        <v>23.333333333333329</v>
      </c>
      <c r="O42" s="3">
        <v>57.15193</v>
      </c>
      <c r="P42" s="3">
        <v>24.19</v>
      </c>
      <c r="Q42" s="3">
        <v>20.211500000000001</v>
      </c>
      <c r="R42" s="3">
        <v>25.6723</v>
      </c>
      <c r="S42" s="3">
        <v>19.957339999999999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</v>
      </c>
      <c r="I43" s="3">
        <v>2.5</v>
      </c>
      <c r="J43" s="3">
        <v>11</v>
      </c>
      <c r="K43" s="3">
        <v>8</v>
      </c>
      <c r="L43" s="3">
        <v>6</v>
      </c>
      <c r="M43" s="3">
        <v>12</v>
      </c>
      <c r="N43" s="3">
        <v>3.6666666666666661</v>
      </c>
      <c r="O43" s="3">
        <v>-2.4420000000000002</v>
      </c>
      <c r="P43" s="3">
        <v>3.75</v>
      </c>
      <c r="Q43" s="3">
        <v>3.58188</v>
      </c>
      <c r="R43" s="3">
        <v>4.4000000000000004</v>
      </c>
      <c r="S43" s="3">
        <v>5.1248399999999998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1.8583333333333334</v>
      </c>
      <c r="I44" s="3">
        <v>2.5</v>
      </c>
      <c r="J44" s="3">
        <v>1.2166666666666668</v>
      </c>
      <c r="K44" s="3">
        <v>3</v>
      </c>
      <c r="L44" s="3">
        <v>3.73</v>
      </c>
      <c r="M44" s="3">
        <v>8</v>
      </c>
      <c r="N44" s="3">
        <v>6.5</v>
      </c>
      <c r="O44" s="3">
        <v>8</v>
      </c>
      <c r="P44" s="3">
        <v>1.5000000000000007</v>
      </c>
      <c r="Q44" s="3">
        <v>1.784</v>
      </c>
      <c r="R44" s="3">
        <v>0</v>
      </c>
      <c r="S44" s="3">
        <v>2.3929999999999998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3.7825000000000002</v>
      </c>
      <c r="P46" s="3">
        <v>0.5</v>
      </c>
      <c r="Q46" s="3">
        <v>6.2249999999999996</v>
      </c>
      <c r="R46" s="3">
        <v>6.7750000000000004</v>
      </c>
      <c r="S46" s="3">
        <v>22.939150000000001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2.35</v>
      </c>
      <c r="R47" s="3">
        <v>7.6580000000000004</v>
      </c>
      <c r="S47" s="3">
        <v>4.5980000000000008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1.25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">
        <v>60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182</v>
      </c>
      <c r="I49" s="3">
        <v>160</v>
      </c>
      <c r="J49" s="3">
        <v>160.30165</v>
      </c>
      <c r="K49" s="3">
        <v>158.19999999999999</v>
      </c>
      <c r="L49" s="3">
        <v>137.96</v>
      </c>
      <c r="M49" s="3">
        <v>143</v>
      </c>
      <c r="N49" s="3">
        <v>138</v>
      </c>
      <c r="O49" s="3">
        <v>125</v>
      </c>
      <c r="P49" s="3">
        <v>169.66666666666703</v>
      </c>
      <c r="Q49" s="3">
        <v>127</v>
      </c>
      <c r="R49" s="3">
        <v>37</v>
      </c>
      <c r="S49" s="3">
        <v>139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12</v>
      </c>
      <c r="I50" s="3">
        <v>29</v>
      </c>
      <c r="J50" s="3">
        <v>21</v>
      </c>
      <c r="K50" s="3">
        <v>23</v>
      </c>
      <c r="L50" s="3">
        <v>23</v>
      </c>
      <c r="M50" s="3">
        <v>23.5</v>
      </c>
      <c r="N50" s="3">
        <v>19.2</v>
      </c>
      <c r="O50" s="3">
        <v>15.145</v>
      </c>
      <c r="P50" s="3">
        <v>29.155000000000001</v>
      </c>
      <c r="Q50" s="3">
        <v>11</v>
      </c>
      <c r="R50" s="3">
        <v>14</v>
      </c>
      <c r="S50" s="3">
        <v>23.22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3.01</v>
      </c>
      <c r="I51" s="3">
        <v>0.76</v>
      </c>
      <c r="J51" s="3">
        <v>1.82</v>
      </c>
      <c r="K51" s="3">
        <v>3.7</v>
      </c>
      <c r="L51" s="3">
        <v>1</v>
      </c>
      <c r="M51" s="3">
        <v>0.64999999999999991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">
        <v>60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74</v>
      </c>
      <c r="I52" s="3">
        <v>69.697800000000001</v>
      </c>
      <c r="J52" s="3">
        <v>80</v>
      </c>
      <c r="K52" s="3">
        <v>90.5</v>
      </c>
      <c r="L52" s="3">
        <v>88</v>
      </c>
      <c r="M52" s="3">
        <v>157.5</v>
      </c>
      <c r="N52" s="3">
        <v>92.3</v>
      </c>
      <c r="O52" s="3">
        <v>88.846199999999996</v>
      </c>
      <c r="P52" s="3">
        <v>124.6538</v>
      </c>
      <c r="Q52" s="3">
        <v>89.786000000000001</v>
      </c>
      <c r="R52" s="3">
        <v>170</v>
      </c>
      <c r="S52" s="3">
        <v>103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7</v>
      </c>
      <c r="I53" s="3">
        <v>6</v>
      </c>
      <c r="J53" s="3">
        <v>11.8978</v>
      </c>
      <c r="K53" s="3">
        <v>7</v>
      </c>
      <c r="L53" s="3">
        <v>8</v>
      </c>
      <c r="M53" s="3">
        <v>9</v>
      </c>
      <c r="N53" s="3">
        <v>5</v>
      </c>
      <c r="O53" s="3">
        <v>4.2</v>
      </c>
      <c r="P53" s="3">
        <v>5</v>
      </c>
      <c r="Q53" s="3">
        <v>6.5145</v>
      </c>
      <c r="R53" s="3">
        <v>5.5</v>
      </c>
      <c r="S53" s="3">
        <v>9.5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3.3333333333333339</v>
      </c>
      <c r="I54" s="3">
        <v>3.333333333333333</v>
      </c>
      <c r="J54" s="3">
        <v>-2.6666599999999998</v>
      </c>
      <c r="K54" s="3">
        <v>1.1000000000000001</v>
      </c>
      <c r="L54" s="3">
        <v>1</v>
      </c>
      <c r="M54" s="3">
        <v>1.5</v>
      </c>
      <c r="N54" s="3">
        <v>1.666666666666667</v>
      </c>
      <c r="O54" s="3">
        <v>1.7</v>
      </c>
      <c r="P54" s="3">
        <v>1.6333333333333335</v>
      </c>
      <c r="Q54" s="3">
        <v>1.5</v>
      </c>
      <c r="R54" s="3">
        <v>2</v>
      </c>
      <c r="S54" s="3">
        <v>2.78166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7.7559258999999994</v>
      </c>
      <c r="I55" s="3">
        <v>11</v>
      </c>
      <c r="J55" s="3">
        <v>22</v>
      </c>
      <c r="K55" s="3">
        <v>4</v>
      </c>
      <c r="L55" s="3">
        <v>10</v>
      </c>
      <c r="M55" s="3">
        <v>14</v>
      </c>
      <c r="N55" s="3">
        <v>4.5</v>
      </c>
      <c r="O55" s="3">
        <v>8.58</v>
      </c>
      <c r="P55" s="3">
        <v>11.3</v>
      </c>
      <c r="Q55" s="3">
        <v>9.9526800000000009</v>
      </c>
      <c r="R55" s="3">
        <v>6</v>
      </c>
      <c r="S55" s="3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</sheetData>
  <conditionalFormatting sqref="B2:B57">
    <cfRule type="duplicateValues" dxfId="65" priority="5"/>
  </conditionalFormatting>
  <conditionalFormatting sqref="B1:C1">
    <cfRule type="duplicateValues" dxfId="64" priority="3"/>
  </conditionalFormatting>
  <conditionalFormatting sqref="C2:C57">
    <cfRule type="duplicateValues" dxfId="63" priority="1"/>
  </conditionalFormatting>
  <conditionalFormatting sqref="D1:E1">
    <cfRule type="duplicateValues" dxfId="6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043-C006-4056-B5A6-4EA0C8AF97B7}">
  <dimension ref="A1:G70"/>
  <sheetViews>
    <sheetView workbookViewId="0">
      <selection activeCell="C1" sqref="C1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</cols>
  <sheetData>
    <row r="1" spans="1:7" x14ac:dyDescent="0.25">
      <c r="A1" s="13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</row>
    <row r="2" spans="1:7" x14ac:dyDescent="0.25">
      <c r="A2" s="7" t="s">
        <v>108</v>
      </c>
      <c r="B2" s="7" t="s">
        <v>3</v>
      </c>
      <c r="C2" s="7" t="s">
        <v>72</v>
      </c>
      <c r="D2" s="7" t="s">
        <v>55</v>
      </c>
      <c r="E2" s="7" t="s">
        <v>96</v>
      </c>
      <c r="F2" s="7" t="s">
        <v>56</v>
      </c>
      <c r="G2" s="14" t="s">
        <v>58</v>
      </c>
    </row>
    <row r="3" spans="1:7" x14ac:dyDescent="0.25">
      <c r="A3" s="7" t="s">
        <v>108</v>
      </c>
      <c r="B3" s="7" t="s">
        <v>31</v>
      </c>
      <c r="C3" s="7" t="s">
        <v>72</v>
      </c>
      <c r="D3" s="7" t="s">
        <v>55</v>
      </c>
      <c r="E3" s="7" t="s">
        <v>96</v>
      </c>
      <c r="F3" s="7" t="s">
        <v>56</v>
      </c>
      <c r="G3" s="14" t="s">
        <v>58</v>
      </c>
    </row>
    <row r="4" spans="1:7" x14ac:dyDescent="0.25">
      <c r="A4" s="7" t="s">
        <v>108</v>
      </c>
      <c r="B4" s="7" t="s">
        <v>9</v>
      </c>
      <c r="C4" s="7" t="s">
        <v>72</v>
      </c>
      <c r="D4" s="7" t="s">
        <v>55</v>
      </c>
      <c r="E4" s="7" t="s">
        <v>96</v>
      </c>
      <c r="F4" s="7" t="s">
        <v>56</v>
      </c>
      <c r="G4" s="14" t="s">
        <v>58</v>
      </c>
    </row>
    <row r="5" spans="1:7" x14ac:dyDescent="0.25">
      <c r="A5" s="7" t="s">
        <v>108</v>
      </c>
      <c r="B5" s="7" t="s">
        <v>75</v>
      </c>
      <c r="C5" s="7" t="s">
        <v>72</v>
      </c>
      <c r="D5" s="7" t="s">
        <v>55</v>
      </c>
      <c r="E5" s="7" t="s">
        <v>96</v>
      </c>
      <c r="F5" s="7" t="s">
        <v>56</v>
      </c>
      <c r="G5" s="14" t="s">
        <v>56</v>
      </c>
    </row>
    <row r="6" spans="1:7" x14ac:dyDescent="0.25">
      <c r="A6" s="7" t="s">
        <v>108</v>
      </c>
      <c r="B6" s="7" t="s">
        <v>14</v>
      </c>
      <c r="C6" s="7" t="s">
        <v>72</v>
      </c>
      <c r="D6" s="7" t="s">
        <v>55</v>
      </c>
      <c r="E6" s="7" t="s">
        <v>96</v>
      </c>
      <c r="F6" s="7" t="s">
        <v>56</v>
      </c>
      <c r="G6" s="14" t="s">
        <v>58</v>
      </c>
    </row>
    <row r="7" spans="1:7" x14ac:dyDescent="0.25">
      <c r="A7" s="7" t="s">
        <v>108</v>
      </c>
      <c r="B7" s="7" t="s">
        <v>25</v>
      </c>
      <c r="C7" s="7" t="s">
        <v>72</v>
      </c>
      <c r="D7" s="7" t="s">
        <v>55</v>
      </c>
      <c r="E7" s="7" t="s">
        <v>97</v>
      </c>
      <c r="F7" s="7" t="s">
        <v>56</v>
      </c>
      <c r="G7" s="14" t="s">
        <v>98</v>
      </c>
    </row>
    <row r="8" spans="1:7" x14ac:dyDescent="0.25">
      <c r="A8" s="7" t="s">
        <v>108</v>
      </c>
      <c r="B8" s="7" t="s">
        <v>27</v>
      </c>
      <c r="C8" s="7" t="s">
        <v>72</v>
      </c>
      <c r="D8" s="7" t="s">
        <v>55</v>
      </c>
      <c r="E8" s="7" t="s">
        <v>97</v>
      </c>
      <c r="F8" s="7" t="s">
        <v>56</v>
      </c>
      <c r="G8" s="14" t="s">
        <v>98</v>
      </c>
    </row>
    <row r="9" spans="1:7" x14ac:dyDescent="0.25">
      <c r="A9" s="7" t="s">
        <v>108</v>
      </c>
      <c r="B9" s="7" t="s">
        <v>34</v>
      </c>
      <c r="C9" s="7" t="s">
        <v>72</v>
      </c>
      <c r="D9" s="7" t="s">
        <v>55</v>
      </c>
      <c r="E9" s="7" t="s">
        <v>96</v>
      </c>
      <c r="F9" s="7" t="s">
        <v>56</v>
      </c>
      <c r="G9" s="14" t="s">
        <v>58</v>
      </c>
    </row>
    <row r="10" spans="1:7" x14ac:dyDescent="0.25">
      <c r="A10" s="7" t="s">
        <v>108</v>
      </c>
      <c r="B10" s="7" t="s">
        <v>43</v>
      </c>
      <c r="C10" s="7" t="s">
        <v>72</v>
      </c>
      <c r="D10" s="7" t="s">
        <v>55</v>
      </c>
      <c r="E10" s="7" t="s">
        <v>96</v>
      </c>
      <c r="F10" s="7" t="s">
        <v>56</v>
      </c>
      <c r="G10" s="14" t="s">
        <v>58</v>
      </c>
    </row>
    <row r="11" spans="1:7" x14ac:dyDescent="0.25">
      <c r="A11" s="7" t="s">
        <v>108</v>
      </c>
      <c r="B11" s="7" t="s">
        <v>5</v>
      </c>
      <c r="C11" s="7" t="s">
        <v>72</v>
      </c>
      <c r="D11" s="7" t="s">
        <v>59</v>
      </c>
      <c r="E11" s="7" t="s">
        <v>59</v>
      </c>
      <c r="F11" s="7" t="s">
        <v>56</v>
      </c>
      <c r="G11" s="14" t="s">
        <v>99</v>
      </c>
    </row>
    <row r="12" spans="1:7" x14ac:dyDescent="0.25">
      <c r="A12" s="7" t="s">
        <v>108</v>
      </c>
      <c r="B12" s="7" t="s">
        <v>28</v>
      </c>
      <c r="C12" s="7" t="s">
        <v>72</v>
      </c>
      <c r="D12" s="7" t="s">
        <v>59</v>
      </c>
      <c r="E12" s="7" t="s">
        <v>59</v>
      </c>
      <c r="F12" s="7" t="s">
        <v>56</v>
      </c>
      <c r="G12" s="14" t="s">
        <v>99</v>
      </c>
    </row>
    <row r="13" spans="1:7" x14ac:dyDescent="0.25">
      <c r="A13" s="7" t="s">
        <v>108</v>
      </c>
      <c r="B13" s="7" t="s">
        <v>36</v>
      </c>
      <c r="C13" s="7" t="s">
        <v>72</v>
      </c>
      <c r="D13" s="7" t="s">
        <v>59</v>
      </c>
      <c r="E13" s="7" t="s">
        <v>59</v>
      </c>
      <c r="F13" s="7" t="s">
        <v>56</v>
      </c>
      <c r="G13" s="14" t="s">
        <v>99</v>
      </c>
    </row>
    <row r="14" spans="1:7" x14ac:dyDescent="0.25">
      <c r="A14" s="7" t="s">
        <v>108</v>
      </c>
      <c r="B14" s="7" t="s">
        <v>49</v>
      </c>
      <c r="C14" s="7" t="s">
        <v>72</v>
      </c>
      <c r="D14" s="7" t="s">
        <v>59</v>
      </c>
      <c r="E14" s="7" t="s">
        <v>59</v>
      </c>
      <c r="F14" s="7" t="s">
        <v>56</v>
      </c>
      <c r="G14" s="14" t="s">
        <v>99</v>
      </c>
    </row>
    <row r="15" spans="1:7" x14ac:dyDescent="0.25">
      <c r="A15" s="7" t="s">
        <v>108</v>
      </c>
      <c r="B15" s="7" t="s">
        <v>41</v>
      </c>
      <c r="C15" s="7" t="s">
        <v>72</v>
      </c>
      <c r="D15" s="7" t="s">
        <v>59</v>
      </c>
      <c r="E15" s="7" t="s">
        <v>59</v>
      </c>
      <c r="F15" s="7" t="s">
        <v>56</v>
      </c>
      <c r="G15" s="14" t="s">
        <v>99</v>
      </c>
    </row>
    <row r="16" spans="1:7" x14ac:dyDescent="0.25">
      <c r="A16" s="7" t="s">
        <v>108</v>
      </c>
      <c r="B16" s="7" t="s">
        <v>51</v>
      </c>
      <c r="C16" s="7" t="s">
        <v>72</v>
      </c>
      <c r="D16" s="7" t="s">
        <v>59</v>
      </c>
      <c r="E16" s="7" t="s">
        <v>59</v>
      </c>
      <c r="F16" s="7" t="s">
        <v>56</v>
      </c>
      <c r="G16" s="14" t="s">
        <v>99</v>
      </c>
    </row>
    <row r="17" spans="1:7" x14ac:dyDescent="0.25">
      <c r="A17" s="7" t="s">
        <v>108</v>
      </c>
      <c r="B17" s="7" t="s">
        <v>2</v>
      </c>
      <c r="C17" s="7" t="s">
        <v>72</v>
      </c>
      <c r="D17" s="7" t="s">
        <v>55</v>
      </c>
      <c r="E17" s="7" t="s">
        <v>97</v>
      </c>
      <c r="F17" s="7" t="s">
        <v>56</v>
      </c>
      <c r="G17" s="14" t="s">
        <v>57</v>
      </c>
    </row>
    <row r="18" spans="1:7" x14ac:dyDescent="0.25">
      <c r="A18" s="7" t="s">
        <v>108</v>
      </c>
      <c r="B18" s="7" t="s">
        <v>4</v>
      </c>
      <c r="C18" s="7" t="s">
        <v>72</v>
      </c>
      <c r="D18" s="7" t="s">
        <v>55</v>
      </c>
      <c r="E18" s="7" t="s">
        <v>97</v>
      </c>
      <c r="F18" s="7" t="s">
        <v>56</v>
      </c>
      <c r="G18" s="14" t="s">
        <v>98</v>
      </c>
    </row>
    <row r="19" spans="1:7" x14ac:dyDescent="0.25">
      <c r="A19" s="7" t="s">
        <v>108</v>
      </c>
      <c r="B19" s="7" t="s">
        <v>8</v>
      </c>
      <c r="C19" s="7" t="s">
        <v>72</v>
      </c>
      <c r="D19" s="7" t="s">
        <v>55</v>
      </c>
      <c r="E19" s="7" t="s">
        <v>97</v>
      </c>
      <c r="F19" s="7" t="s">
        <v>56</v>
      </c>
      <c r="G19" s="14" t="s">
        <v>57</v>
      </c>
    </row>
    <row r="20" spans="1:7" x14ac:dyDescent="0.25">
      <c r="A20" s="7" t="s">
        <v>108</v>
      </c>
      <c r="B20" s="7" t="s">
        <v>10</v>
      </c>
      <c r="C20" s="7" t="s">
        <v>72</v>
      </c>
      <c r="D20" s="7" t="s">
        <v>55</v>
      </c>
      <c r="E20" s="7" t="s">
        <v>97</v>
      </c>
      <c r="F20" s="7" t="s">
        <v>56</v>
      </c>
      <c r="G20" s="14" t="s">
        <v>63</v>
      </c>
    </row>
    <row r="21" spans="1:7" x14ac:dyDescent="0.25">
      <c r="A21" s="7" t="s">
        <v>108</v>
      </c>
      <c r="B21" s="7" t="s">
        <v>17</v>
      </c>
      <c r="C21" s="7" t="s">
        <v>100</v>
      </c>
      <c r="D21" s="7" t="s">
        <v>55</v>
      </c>
      <c r="E21" s="7" t="s">
        <v>97</v>
      </c>
      <c r="F21" s="7" t="s">
        <v>56</v>
      </c>
      <c r="G21" s="14" t="s">
        <v>101</v>
      </c>
    </row>
    <row r="22" spans="1:7" x14ac:dyDescent="0.25">
      <c r="A22" s="7" t="s">
        <v>108</v>
      </c>
      <c r="B22" s="7" t="s">
        <v>21</v>
      </c>
      <c r="C22" s="7" t="s">
        <v>72</v>
      </c>
      <c r="D22" s="7" t="s">
        <v>55</v>
      </c>
      <c r="E22" s="7" t="s">
        <v>97</v>
      </c>
      <c r="F22" s="7" t="s">
        <v>56</v>
      </c>
      <c r="G22" s="14" t="s">
        <v>63</v>
      </c>
    </row>
    <row r="23" spans="1:7" x14ac:dyDescent="0.25">
      <c r="A23" s="7" t="s">
        <v>108</v>
      </c>
      <c r="B23" s="7" t="s">
        <v>23</v>
      </c>
      <c r="C23" s="7" t="s">
        <v>72</v>
      </c>
      <c r="D23" s="7" t="s">
        <v>55</v>
      </c>
      <c r="E23" s="7" t="s">
        <v>97</v>
      </c>
      <c r="F23" s="7" t="s">
        <v>56</v>
      </c>
      <c r="G23" s="14" t="s">
        <v>68</v>
      </c>
    </row>
    <row r="24" spans="1:7" x14ac:dyDescent="0.25">
      <c r="A24" s="7" t="s">
        <v>108</v>
      </c>
      <c r="B24" s="7" t="s">
        <v>15</v>
      </c>
      <c r="C24" s="7" t="s">
        <v>72</v>
      </c>
      <c r="D24" s="7" t="s">
        <v>55</v>
      </c>
      <c r="E24" s="7" t="s">
        <v>97</v>
      </c>
      <c r="F24" s="7" t="s">
        <v>56</v>
      </c>
      <c r="G24" s="14" t="s">
        <v>63</v>
      </c>
    </row>
    <row r="25" spans="1:7" x14ac:dyDescent="0.25">
      <c r="A25" s="7" t="s">
        <v>108</v>
      </c>
      <c r="B25" s="7" t="s">
        <v>76</v>
      </c>
      <c r="C25" s="7" t="s">
        <v>72</v>
      </c>
      <c r="D25" s="7" t="s">
        <v>55</v>
      </c>
      <c r="E25" s="7" t="s">
        <v>97</v>
      </c>
      <c r="F25" s="7" t="s">
        <v>56</v>
      </c>
      <c r="G25" s="14" t="s">
        <v>63</v>
      </c>
    </row>
    <row r="26" spans="1:7" x14ac:dyDescent="0.25">
      <c r="A26" s="7" t="s">
        <v>108</v>
      </c>
      <c r="B26" s="7" t="s">
        <v>20</v>
      </c>
      <c r="C26" s="7" t="s">
        <v>72</v>
      </c>
      <c r="D26" s="7" t="s">
        <v>55</v>
      </c>
      <c r="E26" s="7" t="s">
        <v>97</v>
      </c>
      <c r="F26" s="7" t="s">
        <v>56</v>
      </c>
      <c r="G26" s="14" t="s">
        <v>98</v>
      </c>
    </row>
    <row r="27" spans="1:7" x14ac:dyDescent="0.25">
      <c r="A27" s="7" t="s">
        <v>108</v>
      </c>
      <c r="B27" s="7" t="s">
        <v>38</v>
      </c>
      <c r="C27" s="7" t="s">
        <v>72</v>
      </c>
      <c r="D27" s="7" t="s">
        <v>55</v>
      </c>
      <c r="E27" s="7" t="s">
        <v>97</v>
      </c>
      <c r="F27" s="7" t="s">
        <v>56</v>
      </c>
      <c r="G27" s="14" t="s">
        <v>63</v>
      </c>
    </row>
    <row r="28" spans="1:7" x14ac:dyDescent="0.25">
      <c r="A28" s="7" t="s">
        <v>108</v>
      </c>
      <c r="B28" s="7" t="s">
        <v>39</v>
      </c>
      <c r="C28" s="7" t="s">
        <v>72</v>
      </c>
      <c r="D28" s="7" t="s">
        <v>55</v>
      </c>
      <c r="E28" s="7" t="s">
        <v>97</v>
      </c>
      <c r="F28" s="7" t="s">
        <v>56</v>
      </c>
      <c r="G28" s="14" t="s">
        <v>63</v>
      </c>
    </row>
    <row r="29" spans="1:7" x14ac:dyDescent="0.25">
      <c r="A29" s="7" t="s">
        <v>108</v>
      </c>
      <c r="B29" s="7" t="s">
        <v>40</v>
      </c>
      <c r="C29" s="7" t="s">
        <v>72</v>
      </c>
      <c r="D29" s="7" t="s">
        <v>55</v>
      </c>
      <c r="E29" s="7" t="s">
        <v>97</v>
      </c>
      <c r="F29" s="7" t="s">
        <v>56</v>
      </c>
      <c r="G29" s="14" t="s">
        <v>63</v>
      </c>
    </row>
    <row r="30" spans="1:7" x14ac:dyDescent="0.25">
      <c r="A30" s="7" t="s">
        <v>108</v>
      </c>
      <c r="B30" s="7" t="s">
        <v>42</v>
      </c>
      <c r="C30" s="7" t="s">
        <v>72</v>
      </c>
      <c r="D30" s="7" t="s">
        <v>55</v>
      </c>
      <c r="E30" s="7" t="s">
        <v>97</v>
      </c>
      <c r="F30" s="7" t="s">
        <v>56</v>
      </c>
      <c r="G30" s="14" t="s">
        <v>63</v>
      </c>
    </row>
    <row r="31" spans="1:7" x14ac:dyDescent="0.25">
      <c r="A31" s="7" t="s">
        <v>108</v>
      </c>
      <c r="B31" s="7" t="s">
        <v>44</v>
      </c>
      <c r="C31" s="7" t="s">
        <v>72</v>
      </c>
      <c r="D31" s="7" t="s">
        <v>55</v>
      </c>
      <c r="E31" s="7" t="s">
        <v>97</v>
      </c>
      <c r="F31" s="7" t="s">
        <v>56</v>
      </c>
      <c r="G31" s="14" t="s">
        <v>69</v>
      </c>
    </row>
    <row r="32" spans="1:7" x14ac:dyDescent="0.25">
      <c r="A32" s="7" t="s">
        <v>108</v>
      </c>
      <c r="B32" s="7" t="s">
        <v>46</v>
      </c>
      <c r="C32" s="7" t="s">
        <v>72</v>
      </c>
      <c r="D32" s="7" t="s">
        <v>59</v>
      </c>
      <c r="E32" s="7" t="s">
        <v>59</v>
      </c>
      <c r="F32" s="7" t="s">
        <v>56</v>
      </c>
      <c r="G32" s="14" t="s">
        <v>99</v>
      </c>
    </row>
    <row r="33" spans="1:7" x14ac:dyDescent="0.25">
      <c r="A33" s="7" t="s">
        <v>108</v>
      </c>
      <c r="B33" s="7" t="s">
        <v>19</v>
      </c>
      <c r="C33" s="7" t="s">
        <v>72</v>
      </c>
      <c r="D33" s="7" t="s">
        <v>60</v>
      </c>
      <c r="E33" s="7" t="s">
        <v>102</v>
      </c>
      <c r="F33" s="7" t="s">
        <v>61</v>
      </c>
      <c r="G33" s="14" t="s">
        <v>67</v>
      </c>
    </row>
    <row r="34" spans="1:7" x14ac:dyDescent="0.25">
      <c r="A34" s="7" t="s">
        <v>108</v>
      </c>
      <c r="B34" s="7" t="s">
        <v>30</v>
      </c>
      <c r="C34" s="7" t="s">
        <v>72</v>
      </c>
      <c r="D34" s="7" t="s">
        <v>60</v>
      </c>
      <c r="E34" s="7" t="s">
        <v>103</v>
      </c>
      <c r="F34" s="7" t="s">
        <v>61</v>
      </c>
      <c r="G34" s="14" t="s">
        <v>66</v>
      </c>
    </row>
    <row r="35" spans="1:7" x14ac:dyDescent="0.25">
      <c r="A35" s="7" t="s">
        <v>108</v>
      </c>
      <c r="B35" s="7" t="s">
        <v>11</v>
      </c>
      <c r="C35" s="7" t="s">
        <v>72</v>
      </c>
      <c r="D35" s="7" t="s">
        <v>55</v>
      </c>
      <c r="E35" s="7" t="s">
        <v>97</v>
      </c>
      <c r="F35" s="7" t="s">
        <v>56</v>
      </c>
      <c r="G35" s="14" t="s">
        <v>63</v>
      </c>
    </row>
    <row r="36" spans="1:7" x14ac:dyDescent="0.25">
      <c r="A36" s="7" t="s">
        <v>108</v>
      </c>
      <c r="B36" s="7" t="s">
        <v>35</v>
      </c>
      <c r="C36" s="7" t="s">
        <v>72</v>
      </c>
      <c r="D36" s="7" t="s">
        <v>60</v>
      </c>
      <c r="E36" s="7" t="s">
        <v>103</v>
      </c>
      <c r="F36" s="7" t="s">
        <v>61</v>
      </c>
      <c r="G36" s="14" t="s">
        <v>61</v>
      </c>
    </row>
    <row r="37" spans="1:7" x14ac:dyDescent="0.25">
      <c r="A37" s="7" t="s">
        <v>108</v>
      </c>
      <c r="B37" s="7" t="s">
        <v>33</v>
      </c>
      <c r="C37" s="7" t="s">
        <v>72</v>
      </c>
      <c r="D37" s="7" t="s">
        <v>59</v>
      </c>
      <c r="E37" s="7" t="s">
        <v>59</v>
      </c>
      <c r="F37" s="7" t="s">
        <v>56</v>
      </c>
      <c r="G37" s="14" t="s">
        <v>99</v>
      </c>
    </row>
    <row r="38" spans="1:7" x14ac:dyDescent="0.25">
      <c r="A38" s="7" t="s">
        <v>108</v>
      </c>
      <c r="B38" s="7" t="s">
        <v>79</v>
      </c>
      <c r="C38" s="7" t="s">
        <v>72</v>
      </c>
      <c r="D38" s="7" t="s">
        <v>59</v>
      </c>
      <c r="E38" s="7" t="s">
        <v>59</v>
      </c>
      <c r="F38" s="7" t="s">
        <v>56</v>
      </c>
      <c r="G38" s="14" t="s">
        <v>56</v>
      </c>
    </row>
    <row r="39" spans="1:7" x14ac:dyDescent="0.25">
      <c r="A39" s="7" t="s">
        <v>108</v>
      </c>
      <c r="B39" s="7" t="s">
        <v>16</v>
      </c>
      <c r="C39" s="7" t="s">
        <v>72</v>
      </c>
      <c r="D39" s="7" t="s">
        <v>60</v>
      </c>
      <c r="E39" s="7" t="s">
        <v>103</v>
      </c>
      <c r="F39" s="7" t="s">
        <v>61</v>
      </c>
      <c r="G39" s="14" t="s">
        <v>66</v>
      </c>
    </row>
    <row r="40" spans="1:7" x14ac:dyDescent="0.25">
      <c r="A40" s="7" t="s">
        <v>108</v>
      </c>
      <c r="B40" s="7" t="s">
        <v>18</v>
      </c>
      <c r="C40" s="7" t="s">
        <v>72</v>
      </c>
      <c r="D40" s="7" t="s">
        <v>60</v>
      </c>
      <c r="E40" s="7" t="s">
        <v>103</v>
      </c>
      <c r="F40" s="7" t="s">
        <v>61</v>
      </c>
      <c r="G40" s="14" t="s">
        <v>66</v>
      </c>
    </row>
    <row r="41" spans="1:7" x14ac:dyDescent="0.25">
      <c r="A41" s="7" t="s">
        <v>108</v>
      </c>
      <c r="B41" s="7" t="s">
        <v>80</v>
      </c>
      <c r="C41" s="7" t="s">
        <v>72</v>
      </c>
      <c r="D41" s="7" t="s">
        <v>60</v>
      </c>
      <c r="E41" s="7" t="s">
        <v>103</v>
      </c>
      <c r="F41" s="7" t="s">
        <v>61</v>
      </c>
      <c r="G41" s="14" t="s">
        <v>66</v>
      </c>
    </row>
    <row r="42" spans="1:7" x14ac:dyDescent="0.25">
      <c r="A42" s="7" t="s">
        <v>108</v>
      </c>
      <c r="B42" s="7" t="s">
        <v>26</v>
      </c>
      <c r="C42" s="7" t="s">
        <v>72</v>
      </c>
      <c r="D42" s="7" t="s">
        <v>60</v>
      </c>
      <c r="E42" s="7" t="s">
        <v>103</v>
      </c>
      <c r="F42" s="7" t="s">
        <v>61</v>
      </c>
      <c r="G42" s="14" t="s">
        <v>67</v>
      </c>
    </row>
    <row r="43" spans="1:7" x14ac:dyDescent="0.25">
      <c r="A43" s="7" t="s">
        <v>108</v>
      </c>
      <c r="B43" s="7" t="s">
        <v>32</v>
      </c>
      <c r="C43" s="7" t="s">
        <v>72</v>
      </c>
      <c r="D43" s="7" t="s">
        <v>60</v>
      </c>
      <c r="E43" s="7" t="s">
        <v>103</v>
      </c>
      <c r="F43" s="7" t="s">
        <v>61</v>
      </c>
      <c r="G43" s="14" t="s">
        <v>66</v>
      </c>
    </row>
    <row r="44" spans="1:7" x14ac:dyDescent="0.25">
      <c r="A44" s="7" t="s">
        <v>108</v>
      </c>
      <c r="B44" s="7" t="s">
        <v>37</v>
      </c>
      <c r="C44" s="7" t="s">
        <v>72</v>
      </c>
      <c r="D44" s="7" t="s">
        <v>60</v>
      </c>
      <c r="E44" s="7" t="s">
        <v>103</v>
      </c>
      <c r="F44" s="7" t="s">
        <v>61</v>
      </c>
      <c r="G44" s="14" t="s">
        <v>66</v>
      </c>
    </row>
    <row r="45" spans="1:7" x14ac:dyDescent="0.25">
      <c r="A45" s="7" t="s">
        <v>108</v>
      </c>
      <c r="B45" s="7" t="s">
        <v>78</v>
      </c>
      <c r="C45" s="7" t="s">
        <v>72</v>
      </c>
      <c r="D45" s="7" t="s">
        <v>60</v>
      </c>
      <c r="E45" s="7" t="s">
        <v>103</v>
      </c>
      <c r="F45" s="7" t="s">
        <v>61</v>
      </c>
      <c r="G45" s="14" t="s">
        <v>66</v>
      </c>
    </row>
    <row r="46" spans="1:7" x14ac:dyDescent="0.25">
      <c r="A46" s="7" t="s">
        <v>108</v>
      </c>
      <c r="B46" s="7" t="s">
        <v>45</v>
      </c>
      <c r="C46" s="7" t="s">
        <v>72</v>
      </c>
      <c r="D46" s="7" t="s">
        <v>60</v>
      </c>
      <c r="E46" s="7" t="s">
        <v>103</v>
      </c>
      <c r="F46" s="7" t="s">
        <v>61</v>
      </c>
      <c r="G46" s="14" t="s">
        <v>66</v>
      </c>
    </row>
    <row r="47" spans="1:7" x14ac:dyDescent="0.25">
      <c r="A47" s="7" t="s">
        <v>108</v>
      </c>
      <c r="B47" s="7" t="s">
        <v>50</v>
      </c>
      <c r="C47" s="7" t="s">
        <v>72</v>
      </c>
      <c r="D47" s="7" t="s">
        <v>60</v>
      </c>
      <c r="E47" s="7" t="s">
        <v>103</v>
      </c>
      <c r="F47" s="7" t="s">
        <v>61</v>
      </c>
      <c r="G47" s="14" t="s">
        <v>66</v>
      </c>
    </row>
    <row r="48" spans="1:7" x14ac:dyDescent="0.25">
      <c r="A48" s="7" t="s">
        <v>108</v>
      </c>
      <c r="B48" s="7" t="s">
        <v>48</v>
      </c>
      <c r="C48" s="7" t="s">
        <v>72</v>
      </c>
      <c r="D48" s="7" t="s">
        <v>60</v>
      </c>
      <c r="E48" s="7" t="s">
        <v>103</v>
      </c>
      <c r="F48" s="7" t="s">
        <v>61</v>
      </c>
      <c r="G48" s="14" t="s">
        <v>65</v>
      </c>
    </row>
    <row r="49" spans="1:7" x14ac:dyDescent="0.25">
      <c r="A49" s="7" t="s">
        <v>108</v>
      </c>
      <c r="B49" s="7" t="s">
        <v>1</v>
      </c>
      <c r="C49" s="7" t="s">
        <v>100</v>
      </c>
      <c r="D49" s="7" t="s">
        <v>54</v>
      </c>
      <c r="E49" s="7" t="s">
        <v>102</v>
      </c>
      <c r="F49" s="7" t="s">
        <v>54</v>
      </c>
      <c r="G49" s="14" t="s">
        <v>54</v>
      </c>
    </row>
    <row r="50" spans="1:7" x14ac:dyDescent="0.25">
      <c r="A50" s="7" t="s">
        <v>108</v>
      </c>
      <c r="B50" s="7" t="s">
        <v>6</v>
      </c>
      <c r="C50" s="7" t="s">
        <v>72</v>
      </c>
      <c r="D50" s="7" t="s">
        <v>60</v>
      </c>
      <c r="E50" s="7" t="s">
        <v>102</v>
      </c>
      <c r="F50" s="7" t="s">
        <v>61</v>
      </c>
      <c r="G50" s="14" t="s">
        <v>62</v>
      </c>
    </row>
    <row r="51" spans="1:7" x14ac:dyDescent="0.25">
      <c r="A51" s="7" t="s">
        <v>108</v>
      </c>
      <c r="B51" s="7" t="s">
        <v>7</v>
      </c>
      <c r="C51" s="7" t="s">
        <v>72</v>
      </c>
      <c r="D51" s="7" t="s">
        <v>60</v>
      </c>
      <c r="E51" s="7" t="s">
        <v>103</v>
      </c>
      <c r="F51" s="7" t="s">
        <v>61</v>
      </c>
      <c r="G51" s="14" t="s">
        <v>104</v>
      </c>
    </row>
    <row r="52" spans="1:7" x14ac:dyDescent="0.25">
      <c r="A52" s="7" t="s">
        <v>108</v>
      </c>
      <c r="B52" s="7" t="s">
        <v>12</v>
      </c>
      <c r="C52" s="7" t="s">
        <v>72</v>
      </c>
      <c r="D52" s="7" t="s">
        <v>64</v>
      </c>
      <c r="E52" s="7" t="s">
        <v>102</v>
      </c>
      <c r="F52" s="7" t="s">
        <v>64</v>
      </c>
      <c r="G52" s="14" t="s">
        <v>64</v>
      </c>
    </row>
    <row r="53" spans="1:7" x14ac:dyDescent="0.25">
      <c r="A53" s="7" t="s">
        <v>108</v>
      </c>
      <c r="B53" s="7" t="s">
        <v>13</v>
      </c>
      <c r="C53" s="7" t="s">
        <v>72</v>
      </c>
      <c r="D53" s="7" t="s">
        <v>60</v>
      </c>
      <c r="E53" s="7" t="s">
        <v>102</v>
      </c>
      <c r="F53" s="7" t="s">
        <v>61</v>
      </c>
      <c r="G53" s="14" t="s">
        <v>65</v>
      </c>
    </row>
    <row r="54" spans="1:7" x14ac:dyDescent="0.25">
      <c r="A54" s="7" t="s">
        <v>108</v>
      </c>
      <c r="B54" s="7" t="s">
        <v>22</v>
      </c>
      <c r="C54" s="7" t="s">
        <v>72</v>
      </c>
      <c r="D54" s="7" t="s">
        <v>60</v>
      </c>
      <c r="E54" s="7" t="s">
        <v>102</v>
      </c>
      <c r="F54" s="7" t="s">
        <v>61</v>
      </c>
      <c r="G54" s="14" t="s">
        <v>65</v>
      </c>
    </row>
    <row r="55" spans="1:7" x14ac:dyDescent="0.25">
      <c r="A55" s="7" t="s">
        <v>108</v>
      </c>
      <c r="B55" s="7" t="s">
        <v>24</v>
      </c>
      <c r="C55" s="7" t="s">
        <v>72</v>
      </c>
      <c r="D55" s="7" t="s">
        <v>60</v>
      </c>
      <c r="E55" s="7" t="s">
        <v>103</v>
      </c>
      <c r="F55" s="7" t="s">
        <v>61</v>
      </c>
      <c r="G55" s="14" t="s">
        <v>67</v>
      </c>
    </row>
    <row r="56" spans="1:7" x14ac:dyDescent="0.25">
      <c r="A56" s="7" t="s">
        <v>108</v>
      </c>
      <c r="B56" s="7" t="s">
        <v>81</v>
      </c>
      <c r="C56" s="7" t="s">
        <v>72</v>
      </c>
      <c r="D56" s="7" t="s">
        <v>60</v>
      </c>
      <c r="E56" s="7" t="s">
        <v>103</v>
      </c>
      <c r="F56" s="7" t="s">
        <v>61</v>
      </c>
      <c r="G56" s="14" t="s">
        <v>65</v>
      </c>
    </row>
    <row r="57" spans="1:7" x14ac:dyDescent="0.25">
      <c r="A57" s="7" t="s">
        <v>108</v>
      </c>
      <c r="B57" s="7" t="s">
        <v>77</v>
      </c>
      <c r="C57" s="7" t="s">
        <v>72</v>
      </c>
      <c r="D57" s="7" t="s">
        <v>77</v>
      </c>
      <c r="E57" s="7" t="s">
        <v>59</v>
      </c>
      <c r="F57" s="7" t="s">
        <v>77</v>
      </c>
      <c r="G57" s="14" t="s">
        <v>77</v>
      </c>
    </row>
    <row r="58" spans="1:7" x14ac:dyDescent="0.25">
      <c r="A58" s="7" t="s">
        <v>108</v>
      </c>
      <c r="B58" s="7" t="s">
        <v>105</v>
      </c>
      <c r="C58" s="7" t="s">
        <v>72</v>
      </c>
      <c r="D58" s="7" t="s">
        <v>73</v>
      </c>
      <c r="E58" s="7" t="s">
        <v>73</v>
      </c>
      <c r="F58" s="7" t="s">
        <v>74</v>
      </c>
      <c r="G58" s="14" t="s">
        <v>74</v>
      </c>
    </row>
    <row r="59" spans="1:7" x14ac:dyDescent="0.25">
      <c r="A59" s="7" t="s">
        <v>108</v>
      </c>
      <c r="B59" s="7" t="s">
        <v>84</v>
      </c>
      <c r="C59" s="7" t="s">
        <v>72</v>
      </c>
      <c r="D59" s="7" t="s">
        <v>59</v>
      </c>
      <c r="E59" s="7" t="s">
        <v>59</v>
      </c>
      <c r="F59" s="7" t="s">
        <v>56</v>
      </c>
      <c r="G59" s="7" t="s">
        <v>56</v>
      </c>
    </row>
    <row r="60" spans="1:7" x14ac:dyDescent="0.25">
      <c r="A60" s="7" t="s">
        <v>108</v>
      </c>
      <c r="B60" s="7" t="s">
        <v>85</v>
      </c>
      <c r="C60" s="7" t="s">
        <v>72</v>
      </c>
      <c r="D60" s="7" t="s">
        <v>55</v>
      </c>
      <c r="E60" s="7" t="s">
        <v>97</v>
      </c>
      <c r="F60" s="7" t="s">
        <v>56</v>
      </c>
      <c r="G60" s="7" t="s">
        <v>56</v>
      </c>
    </row>
    <row r="61" spans="1:7" x14ac:dyDescent="0.25">
      <c r="A61" s="7" t="s">
        <v>108</v>
      </c>
      <c r="B61" s="7" t="s">
        <v>86</v>
      </c>
      <c r="C61" s="7" t="s">
        <v>72</v>
      </c>
      <c r="D61" s="7" t="s">
        <v>55</v>
      </c>
      <c r="E61" s="7" t="s">
        <v>97</v>
      </c>
      <c r="F61" s="7" t="s">
        <v>56</v>
      </c>
      <c r="G61" s="7" t="s">
        <v>56</v>
      </c>
    </row>
    <row r="62" spans="1:7" x14ac:dyDescent="0.25">
      <c r="A62" s="7" t="s">
        <v>108</v>
      </c>
      <c r="B62" s="7" t="s">
        <v>87</v>
      </c>
      <c r="C62" s="7" t="s">
        <v>72</v>
      </c>
      <c r="D62" s="7" t="s">
        <v>55</v>
      </c>
      <c r="E62" s="7" t="s">
        <v>97</v>
      </c>
      <c r="F62" s="7" t="s">
        <v>56</v>
      </c>
      <c r="G62" s="7" t="s">
        <v>56</v>
      </c>
    </row>
    <row r="63" spans="1:7" x14ac:dyDescent="0.25">
      <c r="A63" s="7" t="s">
        <v>108</v>
      </c>
      <c r="B63" s="7" t="s">
        <v>88</v>
      </c>
      <c r="C63" s="7" t="s">
        <v>72</v>
      </c>
      <c r="D63" s="7" t="s">
        <v>55</v>
      </c>
      <c r="E63" s="7" t="s">
        <v>97</v>
      </c>
      <c r="F63" s="7" t="s">
        <v>56</v>
      </c>
      <c r="G63" s="7" t="s">
        <v>56</v>
      </c>
    </row>
    <row r="64" spans="1:7" x14ac:dyDescent="0.25">
      <c r="A64" s="7" t="s">
        <v>108</v>
      </c>
      <c r="B64" s="7" t="s">
        <v>29</v>
      </c>
      <c r="C64" s="7" t="s">
        <v>72</v>
      </c>
      <c r="D64" s="7" t="s">
        <v>60</v>
      </c>
      <c r="E64" s="7" t="s">
        <v>102</v>
      </c>
      <c r="F64" s="7" t="s">
        <v>61</v>
      </c>
      <c r="G64" s="7" t="s">
        <v>67</v>
      </c>
    </row>
    <row r="65" spans="1:7" x14ac:dyDescent="0.25">
      <c r="A65" s="7" t="s">
        <v>108</v>
      </c>
      <c r="B65" s="7" t="s">
        <v>89</v>
      </c>
      <c r="C65" s="7" t="s">
        <v>72</v>
      </c>
      <c r="D65" s="7" t="s">
        <v>59</v>
      </c>
      <c r="E65" s="7" t="s">
        <v>59</v>
      </c>
      <c r="F65" s="7" t="s">
        <v>56</v>
      </c>
      <c r="G65" s="7" t="s">
        <v>56</v>
      </c>
    </row>
    <row r="66" spans="1:7" x14ac:dyDescent="0.25">
      <c r="A66" s="7" t="s">
        <v>108</v>
      </c>
      <c r="B66" s="7" t="s">
        <v>90</v>
      </c>
      <c r="C66" s="7" t="s">
        <v>72</v>
      </c>
      <c r="D66" s="7" t="s">
        <v>60</v>
      </c>
      <c r="E66" s="7" t="s">
        <v>102</v>
      </c>
      <c r="F66" s="7" t="s">
        <v>61</v>
      </c>
      <c r="G66" s="7" t="s">
        <v>91</v>
      </c>
    </row>
    <row r="67" spans="1:7" x14ac:dyDescent="0.25">
      <c r="A67" s="7" t="s">
        <v>108</v>
      </c>
      <c r="B67" s="7" t="s">
        <v>92</v>
      </c>
      <c r="C67" s="7" t="s">
        <v>72</v>
      </c>
      <c r="D67" s="7" t="s">
        <v>60</v>
      </c>
      <c r="E67" s="7" t="s">
        <v>102</v>
      </c>
      <c r="F67" s="7" t="s">
        <v>61</v>
      </c>
      <c r="G67" s="7" t="s">
        <v>67</v>
      </c>
    </row>
    <row r="68" spans="1:7" x14ac:dyDescent="0.25">
      <c r="A68" s="7" t="s">
        <v>108</v>
      </c>
      <c r="B68" s="7" t="s">
        <v>47</v>
      </c>
      <c r="C68" s="7" t="s">
        <v>72</v>
      </c>
      <c r="D68" s="7" t="s">
        <v>59</v>
      </c>
      <c r="E68" s="7" t="s">
        <v>59</v>
      </c>
      <c r="F68" s="7" t="s">
        <v>70</v>
      </c>
      <c r="G68" s="7" t="s">
        <v>70</v>
      </c>
    </row>
    <row r="69" spans="1:7" x14ac:dyDescent="0.25">
      <c r="A69" s="7" t="s">
        <v>108</v>
      </c>
      <c r="B69" s="7" t="s">
        <v>93</v>
      </c>
      <c r="C69" s="7" t="s">
        <v>72</v>
      </c>
      <c r="D69" s="7" t="s">
        <v>55</v>
      </c>
      <c r="E69" s="7" t="s">
        <v>97</v>
      </c>
      <c r="F69" s="7" t="s">
        <v>56</v>
      </c>
      <c r="G69" s="7" t="s">
        <v>56</v>
      </c>
    </row>
    <row r="70" spans="1:7" x14ac:dyDescent="0.25">
      <c r="A70" s="7" t="s">
        <v>108</v>
      </c>
      <c r="B70" s="7" t="s">
        <v>83</v>
      </c>
      <c r="C70" s="7" t="s">
        <v>72</v>
      </c>
      <c r="D70" s="7" t="s">
        <v>59</v>
      </c>
      <c r="E70" s="7" t="s">
        <v>59</v>
      </c>
      <c r="F70" s="7" t="s">
        <v>56</v>
      </c>
      <c r="G70" s="7" t="s">
        <v>56</v>
      </c>
    </row>
  </sheetData>
  <conditionalFormatting sqref="B25">
    <cfRule type="duplicateValues" dxfId="61" priority="8"/>
  </conditionalFormatting>
  <conditionalFormatting sqref="B41">
    <cfRule type="duplicateValues" dxfId="60" priority="7"/>
  </conditionalFormatting>
  <conditionalFormatting sqref="B45">
    <cfRule type="duplicateValues" dxfId="59" priority="6"/>
  </conditionalFormatting>
  <conditionalFormatting sqref="B56">
    <cfRule type="duplicateValues" dxfId="58" priority="5"/>
  </conditionalFormatting>
  <conditionalFormatting sqref="B57">
    <cfRule type="duplicateValues" dxfId="57" priority="4"/>
  </conditionalFormatting>
  <conditionalFormatting sqref="B63:B66">
    <cfRule type="duplicateValues" dxfId="56" priority="1"/>
    <cfRule type="duplicateValues" dxfId="55" priority="2"/>
    <cfRule type="duplicateValues" dxfId="54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50C-AB64-4FC0-A4C6-9F3E60A49799}">
  <sheetPr>
    <tabColor rgb="FF92D050"/>
  </sheetPr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0.85546875" bestFit="1" customWidth="1"/>
    <col min="3" max="4" width="20.85546875" customWidth="1"/>
    <col min="8" max="9" width="10.42578125" bestFit="1" customWidth="1"/>
    <col min="10" max="10" width="11.42578125" bestFit="1" customWidth="1"/>
    <col min="11" max="16" width="10.42578125" bestFit="1" customWidth="1"/>
    <col min="17" max="17" width="9.42578125" bestFit="1" customWidth="1"/>
    <col min="18" max="18" width="10.42578125" bestFit="1" customWidth="1"/>
    <col min="19" max="19" width="11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-3.4984518726082983</v>
      </c>
      <c r="I2" s="3">
        <v>-6.5972696178010475</v>
      </c>
      <c r="J2" s="3">
        <v>-1.1916842283493245</v>
      </c>
      <c r="K2" s="3">
        <v>5.0178822055447663</v>
      </c>
      <c r="L2" s="3">
        <v>13.220138439609237</v>
      </c>
      <c r="M2" s="3">
        <v>4.4822497822781155</v>
      </c>
      <c r="N2" s="3">
        <v>4.8323542039711009</v>
      </c>
      <c r="O2" s="3">
        <v>5.7312193071576445</v>
      </c>
      <c r="P2" s="3">
        <v>33.229707262457865</v>
      </c>
      <c r="Q2" s="3">
        <v>11.97009713975773</v>
      </c>
      <c r="R2" s="3">
        <v>5.150893564889607</v>
      </c>
      <c r="S2" s="3">
        <v>4.6148518406985035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3.0061757744209467</v>
      </c>
      <c r="I3" s="3">
        <v>2.7177187521815007</v>
      </c>
      <c r="J3" s="3">
        <v>1.737202646920057</v>
      </c>
      <c r="K3" s="3">
        <v>3.1769207028076991</v>
      </c>
      <c r="L3" s="3">
        <v>4.746649396092363</v>
      </c>
      <c r="M3" s="3">
        <v>7.4672317231976786</v>
      </c>
      <c r="N3" s="3">
        <v>0.41144085740072189</v>
      </c>
      <c r="O3" s="3">
        <v>1.1419193762785922</v>
      </c>
      <c r="P3" s="3">
        <v>-2.291198143390726</v>
      </c>
      <c r="Q3" s="3">
        <v>1.7933944892424514</v>
      </c>
      <c r="R3" s="3">
        <v>2.2400802854065698</v>
      </c>
      <c r="S3" s="3">
        <v>3.5614800320741264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-0.56970163645518657</v>
      </c>
      <c r="I4" s="3">
        <v>2.982778848167539</v>
      </c>
      <c r="J4" s="3">
        <v>0.65480495364651448</v>
      </c>
      <c r="K4" s="3">
        <v>5.1650800441462126</v>
      </c>
      <c r="L4" s="3">
        <v>1.4827096980461814</v>
      </c>
      <c r="M4" s="3">
        <v>3.2502315595875935</v>
      </c>
      <c r="N4" s="3">
        <v>0.37179758122743717</v>
      </c>
      <c r="O4" s="3">
        <v>3.1404574832986745</v>
      </c>
      <c r="P4" s="3">
        <v>5.9769285323858981</v>
      </c>
      <c r="Q4" s="3">
        <v>1.8480258669318388</v>
      </c>
      <c r="R4" s="3">
        <v>0.75939028540656961</v>
      </c>
      <c r="S4" s="3">
        <v>-2.5081088524590163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0.15938974823766366</v>
      </c>
      <c r="I5" s="3">
        <v>1.3526798080279232</v>
      </c>
      <c r="J5" s="3">
        <v>0.88973211659192819</v>
      </c>
      <c r="K5" s="3">
        <v>-0.15096748896344697</v>
      </c>
      <c r="L5" s="3">
        <v>1.4423874245115453</v>
      </c>
      <c r="M5" s="3">
        <v>1.3917270294937811</v>
      </c>
      <c r="N5" s="3">
        <v>-0.39175310469314079</v>
      </c>
      <c r="O5" s="3">
        <v>-0.62316997902097904</v>
      </c>
      <c r="P5" s="3">
        <v>2.9845000000000002</v>
      </c>
      <c r="Q5" s="3">
        <v>0</v>
      </c>
      <c r="R5" s="3">
        <v>-0.60034794291868598</v>
      </c>
      <c r="S5" s="3">
        <v>6.3611553813257019E-2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8.5467370146022148</v>
      </c>
      <c r="I6" s="3">
        <v>8.5406570244328091</v>
      </c>
      <c r="J6" s="3">
        <v>10.467795704102816</v>
      </c>
      <c r="K6" s="3">
        <v>6.2661245576549529</v>
      </c>
      <c r="L6" s="3">
        <v>9.7793769511545285</v>
      </c>
      <c r="M6" s="3">
        <v>8.9807435545577405</v>
      </c>
      <c r="N6" s="3">
        <v>2.1368529151624545</v>
      </c>
      <c r="O6" s="3">
        <v>-1.1204576117961222</v>
      </c>
      <c r="P6" s="3">
        <v>6.5426247098478632</v>
      </c>
      <c r="Q6" s="3">
        <v>-1.113496964382571</v>
      </c>
      <c r="R6" s="3">
        <v>3.9500194399569195</v>
      </c>
      <c r="S6" s="3">
        <v>-10.185639999999999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0.5480896223564955</v>
      </c>
      <c r="I7" s="3">
        <v>-1.1869602879581151</v>
      </c>
      <c r="J7" s="3">
        <v>0.51190317488789239</v>
      </c>
      <c r="K7" s="3">
        <v>-0.85937623344517033</v>
      </c>
      <c r="L7" s="3">
        <v>-0.47666693161634105</v>
      </c>
      <c r="M7" s="3">
        <v>-0.33048960114928327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-1.8422604279959718</v>
      </c>
      <c r="I8" s="3">
        <v>-2.5059705759162303</v>
      </c>
      <c r="J8" s="3">
        <v>-1.8014569201793722</v>
      </c>
      <c r="K8" s="3">
        <v>-2.2088624668903409</v>
      </c>
      <c r="L8" s="3">
        <v>-1.6417651509769096</v>
      </c>
      <c r="M8" s="3">
        <v>-1.6650784045971327</v>
      </c>
      <c r="N8" s="3">
        <v>-1.4955862093862815</v>
      </c>
      <c r="O8" s="3">
        <v>-1.4708999650349701</v>
      </c>
      <c r="P8" s="3">
        <v>-1.5810076450760684</v>
      </c>
      <c r="Q8" s="3">
        <v>-1.5704427553787743</v>
      </c>
      <c r="R8" s="3">
        <v>-0.55099794291868598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-0.55189151057401786</v>
      </c>
      <c r="I9" s="3">
        <v>15.390728848167539</v>
      </c>
      <c r="J9" s="3">
        <v>5.2201849536465152</v>
      </c>
      <c r="K9" s="3">
        <v>6.6558432050150094</v>
      </c>
      <c r="L9" s="3">
        <v>11.663532464476022</v>
      </c>
      <c r="M9" s="3">
        <v>14.550594543690332</v>
      </c>
      <c r="N9" s="3">
        <v>9.2125416732851981</v>
      </c>
      <c r="O9" s="3">
        <v>17.331413618602681</v>
      </c>
      <c r="P9" s="3">
        <v>3.0805555424979505</v>
      </c>
      <c r="Q9" s="3">
        <v>6.2148158145000902</v>
      </c>
      <c r="R9" s="3">
        <v>5.214675153473344</v>
      </c>
      <c r="S9" s="3">
        <v>4.0521489486813973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4.2748412910320333E-2</v>
      </c>
      <c r="P10" s="3">
        <v>0</v>
      </c>
      <c r="Q10" s="3">
        <v>0.50353862231061308</v>
      </c>
      <c r="R10" s="3">
        <v>-0.50642588583737203</v>
      </c>
      <c r="S10" s="3">
        <v>1.4748987491090519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4.6980364753272923</v>
      </c>
      <c r="I11" s="3">
        <v>6.8777673123909251</v>
      </c>
      <c r="J11" s="3">
        <v>3.8764850612698334</v>
      </c>
      <c r="K11" s="3">
        <v>-3.5287873123785993</v>
      </c>
      <c r="L11" s="3">
        <v>4.252879218472401E-2</v>
      </c>
      <c r="M11" s="3">
        <v>2.873587597698827</v>
      </c>
      <c r="N11" s="3">
        <v>1.9245567629362224</v>
      </c>
      <c r="O11" s="3">
        <v>7.0447554218718409</v>
      </c>
      <c r="P11" s="3">
        <v>0.25151648446752223</v>
      </c>
      <c r="Q11" s="3">
        <v>12.345170712348581</v>
      </c>
      <c r="R11" s="3">
        <v>1.3633687991383951</v>
      </c>
      <c r="S11" s="3">
        <v>-1.8978582466143974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-7.3688688318226489E-2</v>
      </c>
      <c r="I12" s="3">
        <v>3.7797274563699821</v>
      </c>
      <c r="J12" s="3">
        <v>8.442323248497436</v>
      </c>
      <c r="K12" s="3">
        <v>1.315008271234329</v>
      </c>
      <c r="L12" s="3">
        <v>4.4873034502664302</v>
      </c>
      <c r="M12" s="3">
        <v>11.871053772801742</v>
      </c>
      <c r="N12" s="3">
        <v>4.4473037075812281</v>
      </c>
      <c r="O12" s="3">
        <v>0.46354478308473335</v>
      </c>
      <c r="P12" s="3">
        <v>7.2081350988430355</v>
      </c>
      <c r="Q12" s="3">
        <v>5.041595534261436</v>
      </c>
      <c r="R12" s="3">
        <v>0.82177898222940271</v>
      </c>
      <c r="S12" s="3">
        <v>10.56891452601568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1.7438098992950655</v>
      </c>
      <c r="I13" s="3">
        <v>-0.87595038394415348</v>
      </c>
      <c r="J13" s="3">
        <v>18.087253757847538</v>
      </c>
      <c r="K13" s="3">
        <v>-2.4251810612749423</v>
      </c>
      <c r="L13" s="3">
        <v>-7.1897253730017763</v>
      </c>
      <c r="M13" s="3">
        <v>-15.548450528856431</v>
      </c>
      <c r="N13" s="3">
        <v>2.7316406498194952</v>
      </c>
      <c r="O13" s="3">
        <v>3.0527432102029932</v>
      </c>
      <c r="P13" s="3">
        <v>2.8710284294433799</v>
      </c>
      <c r="Q13" s="3">
        <v>-8.4179521243898012</v>
      </c>
      <c r="R13" s="3">
        <v>-16.363206677436725</v>
      </c>
      <c r="S13" s="3">
        <v>36.152400694939416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-0.67014920229856656</v>
      </c>
      <c r="N14" s="3">
        <v>0</v>
      </c>
      <c r="O14" s="3">
        <v>0</v>
      </c>
      <c r="P14" s="3">
        <v>0</v>
      </c>
      <c r="Q14" s="3">
        <v>1.4</v>
      </c>
      <c r="R14" s="3">
        <v>-0.61927794291868599</v>
      </c>
      <c r="S14" s="3">
        <v>1.9103715538132575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1.8930394562606199</v>
      </c>
      <c r="N15" s="3">
        <v>-0.91345310469314078</v>
      </c>
      <c r="O15" s="3">
        <v>2.3465019946215318</v>
      </c>
      <c r="P15" s="3">
        <v>-0.6777895563450852</v>
      </c>
      <c r="Q15" s="3">
        <v>-0.12798206653408065</v>
      </c>
      <c r="R15" s="3">
        <v>3.8215930856219709</v>
      </c>
      <c r="S15" s="3">
        <v>-1.2401711154668573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-0.11436689237348539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2.4247580866062433</v>
      </c>
      <c r="I17" s="3">
        <v>4.7996305736474696</v>
      </c>
      <c r="J17" s="3">
        <v>4.8667715803729719</v>
      </c>
      <c r="K17" s="3">
        <v>5.7483819459650372</v>
      </c>
      <c r="L17" s="3">
        <v>3.5222216396092363</v>
      </c>
      <c r="M17" s="3">
        <v>3.2783306800944403</v>
      </c>
      <c r="N17" s="3">
        <v>3.7233820566787008</v>
      </c>
      <c r="O17" s="3">
        <v>4.5480312254332329</v>
      </c>
      <c r="P17" s="3">
        <v>-1.4772910239591874</v>
      </c>
      <c r="Q17" s="3">
        <v>3.5430424227083708</v>
      </c>
      <c r="R17" s="3">
        <v>2.7298392568659131</v>
      </c>
      <c r="S17" s="3">
        <v>-2.1488339201710613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-0.80012057905337364</v>
      </c>
      <c r="I18" s="3">
        <v>-1.7238204415357765</v>
      </c>
      <c r="J18" s="3">
        <v>-1.2774350263157563</v>
      </c>
      <c r="K18" s="3">
        <v>-0.65522124668903414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1.2600760725075519</v>
      </c>
      <c r="I19" s="3">
        <v>1.086209229842932</v>
      </c>
      <c r="J19" s="3">
        <v>4.4695242799245412</v>
      </c>
      <c r="K19" s="3">
        <v>4.3795007610806982</v>
      </c>
      <c r="L19" s="3">
        <v>2.1950425046181179</v>
      </c>
      <c r="M19" s="3">
        <v>2.0686285945292706</v>
      </c>
      <c r="N19" s="3">
        <v>2.3853610097472928</v>
      </c>
      <c r="O19" s="3">
        <v>1.0164574666374626</v>
      </c>
      <c r="P19" s="3">
        <v>3.6226260408126087</v>
      </c>
      <c r="Q19" s="3">
        <v>3.7874156572048089E-2</v>
      </c>
      <c r="R19" s="3">
        <v>-4.8176342864835746</v>
      </c>
      <c r="S19" s="3">
        <v>-13.503667266571631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4.5345247381671703</v>
      </c>
      <c r="I20" s="3">
        <v>8.1502464677137887</v>
      </c>
      <c r="J20" s="3">
        <v>9.4742621489458649</v>
      </c>
      <c r="K20" s="3">
        <v>9.7127014585908533</v>
      </c>
      <c r="L20" s="3">
        <v>10.651137323268207</v>
      </c>
      <c r="M20" s="3">
        <v>10.363859599082481</v>
      </c>
      <c r="N20" s="3">
        <v>5.4738181841155233</v>
      </c>
      <c r="O20" s="3">
        <v>3.6544002091216434</v>
      </c>
      <c r="P20" s="3">
        <v>-0.49565780905529738</v>
      </c>
      <c r="Q20" s="3">
        <v>3.0740380853371905</v>
      </c>
      <c r="R20" s="3">
        <v>1.6870047765212715</v>
      </c>
      <c r="S20" s="3">
        <v>5.6878830042765509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16.241412552870091</v>
      </c>
      <c r="I21" s="3">
        <v>39.285157329842932</v>
      </c>
      <c r="J21" s="3">
        <v>43.894577392628705</v>
      </c>
      <c r="K21" s="3">
        <v>34.099075666607803</v>
      </c>
      <c r="L21" s="3">
        <v>43.371051607460032</v>
      </c>
      <c r="M21" s="3">
        <v>53.126270621394099</v>
      </c>
      <c r="N21" s="3">
        <v>52.448254404332133</v>
      </c>
      <c r="O21" s="3">
        <v>66.534956859899054</v>
      </c>
      <c r="P21" s="3">
        <v>41.929070647717957</v>
      </c>
      <c r="Q21" s="3">
        <v>49.523835960947387</v>
      </c>
      <c r="R21" s="3">
        <v>49.590429596122782</v>
      </c>
      <c r="S21" s="3">
        <v>17.92849366714184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5.8722461228600205</v>
      </c>
      <c r="I22" s="3">
        <v>11.310227312390925</v>
      </c>
      <c r="J22" s="3">
        <v>5.0433497697900123</v>
      </c>
      <c r="K22" s="3">
        <v>3.3329326434751905</v>
      </c>
      <c r="L22" s="3">
        <v>6.1796265186500889</v>
      </c>
      <c r="M22" s="3">
        <v>9.0138052045945258</v>
      </c>
      <c r="N22" s="3">
        <v>4.0360827436823108</v>
      </c>
      <c r="O22" s="3">
        <v>4.7258181358287832</v>
      </c>
      <c r="P22" s="3">
        <v>5.7527141295435911</v>
      </c>
      <c r="Q22" s="3">
        <v>2.2243107765322714</v>
      </c>
      <c r="R22" s="3">
        <v>-1.8490452234787291</v>
      </c>
      <c r="S22" s="3">
        <v>-5.384006995723448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-3.8056495417925484</v>
      </c>
      <c r="I23" s="3">
        <v>-1.0599672757417102</v>
      </c>
      <c r="J23" s="3">
        <v>9.2124799097672696</v>
      </c>
      <c r="K23" s="3">
        <v>16.204114190358467</v>
      </c>
      <c r="L23" s="3">
        <v>8.8836847673179395</v>
      </c>
      <c r="M23" s="3">
        <v>9.7063302668250682</v>
      </c>
      <c r="N23" s="3">
        <v>-8.5446208050541532</v>
      </c>
      <c r="O23" s="3">
        <v>8.3987482550360255</v>
      </c>
      <c r="P23" s="3">
        <v>44.72250385624487</v>
      </c>
      <c r="Q23" s="3">
        <v>-3.684068219128549</v>
      </c>
      <c r="R23" s="3">
        <v>5.9630478836833589</v>
      </c>
      <c r="S23" s="3">
        <v>-96.687634062722736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-11.474541231117826</v>
      </c>
      <c r="I24" s="3">
        <v>-9.9195144345549728</v>
      </c>
      <c r="J24" s="3">
        <v>-7.5682837655690554</v>
      </c>
      <c r="K24" s="3">
        <v>-5.2966635281652845</v>
      </c>
      <c r="L24" s="3">
        <v>-5.2719654937833038</v>
      </c>
      <c r="M24" s="3">
        <v>-2.8718050600947502</v>
      </c>
      <c r="N24" s="3">
        <v>-9.3615668483754515</v>
      </c>
      <c r="O24" s="3">
        <v>-5.157482504706576</v>
      </c>
      <c r="P24" s="3">
        <v>-3.190870580304273</v>
      </c>
      <c r="Q24" s="3">
        <v>-4.0809142614355451</v>
      </c>
      <c r="R24" s="3">
        <v>-2.5178315778136775</v>
      </c>
      <c r="S24" s="3">
        <v>-10.666095441910192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-2.2933813595166161</v>
      </c>
      <c r="I25" s="3">
        <v>1.8432888289703317</v>
      </c>
      <c r="J25" s="3">
        <v>-3.4095651291834401</v>
      </c>
      <c r="K25" s="3">
        <v>-0.91455245806109864</v>
      </c>
      <c r="L25" s="3">
        <v>-2.1953139840142097</v>
      </c>
      <c r="M25" s="3">
        <v>-0.50741512252842313</v>
      </c>
      <c r="N25" s="3">
        <v>-0.66158062093862813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-2.3785407804632426</v>
      </c>
      <c r="I26" s="3">
        <v>-1.7266146603839443</v>
      </c>
      <c r="J26" s="3">
        <v>-3.8065677918762946</v>
      </c>
      <c r="K26" s="3">
        <v>-2.1773549620342574</v>
      </c>
      <c r="L26" s="3">
        <v>0.55982931580817064</v>
      </c>
      <c r="M26" s="3">
        <v>-1.7226512513099357</v>
      </c>
      <c r="N26" s="3">
        <v>0.46721483971119132</v>
      </c>
      <c r="O26" s="3">
        <v>-0.69050999405594415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0.60046423318385644</v>
      </c>
      <c r="K27" s="3">
        <v>-2.6224274006710226</v>
      </c>
      <c r="L27" s="3">
        <v>-1.2984857548845465</v>
      </c>
      <c r="M27" s="3">
        <v>0.27474057035777893</v>
      </c>
      <c r="N27" s="3">
        <v>2.7334627436823107</v>
      </c>
      <c r="O27" s="3">
        <v>2.3647834529342422</v>
      </c>
      <c r="P27" s="3">
        <v>2.5138431875740177</v>
      </c>
      <c r="Q27" s="3">
        <v>5.0302199475682512</v>
      </c>
      <c r="R27" s="3">
        <v>4.9241713247172862</v>
      </c>
      <c r="S27" s="3">
        <v>23.081433171774769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-1.1101168251121076</v>
      </c>
      <c r="K28" s="3">
        <v>-1.3816549779268938</v>
      </c>
      <c r="L28" s="3">
        <v>-2.0976377264653641</v>
      </c>
      <c r="M28" s="3">
        <v>-2.9112670810639556</v>
      </c>
      <c r="N28" s="3">
        <v>-1.1758893140794224</v>
      </c>
      <c r="O28" s="3">
        <v>1.7141519946215313</v>
      </c>
      <c r="P28" s="3">
        <v>-1.4425300136649359</v>
      </c>
      <c r="Q28" s="3">
        <v>-1.2693113776893872</v>
      </c>
      <c r="R28" s="3">
        <v>-1.265757942918686</v>
      </c>
      <c r="S28" s="3">
        <v>-2.6220001354240909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2.0918198080279233</v>
      </c>
      <c r="J29" s="3">
        <v>2.0902618313901344</v>
      </c>
      <c r="K29" s="3">
        <v>1.6178700882924244</v>
      </c>
      <c r="L29" s="3">
        <v>2.1862668206039073</v>
      </c>
      <c r="M29" s="3">
        <v>10.785872285658479</v>
      </c>
      <c r="N29" s="3">
        <v>-0.3474979422382673</v>
      </c>
      <c r="O29" s="3">
        <v>0.19007675269089769</v>
      </c>
      <c r="P29" s="3">
        <v>-0.14279914002004196</v>
      </c>
      <c r="Q29" s="3">
        <v>9.6179635960947394</v>
      </c>
      <c r="R29" s="3">
        <v>2.205660662358643</v>
      </c>
      <c r="S29" s="3">
        <v>-4.6877001033499628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3.1403302360544174</v>
      </c>
      <c r="N30" s="3">
        <v>2.5885875812274368</v>
      </c>
      <c r="O30" s="3">
        <v>0.86027387321992244</v>
      </c>
      <c r="P30" s="3">
        <v>4.0976023139291247</v>
      </c>
      <c r="Q30" s="3">
        <v>3.1656095272102696</v>
      </c>
      <c r="R30" s="3">
        <v>1.143816548196015</v>
      </c>
      <c r="S30" s="3">
        <v>-0.62354321097647847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-1.5047827617328522</v>
      </c>
      <c r="O31" s="3">
        <v>-2.2514069598423641</v>
      </c>
      <c r="P31" s="3">
        <v>-5.5227673927302545</v>
      </c>
      <c r="Q31" s="3">
        <v>-7.1458928602422702</v>
      </c>
      <c r="R31" s="3">
        <v>10.594552649434572</v>
      </c>
      <c r="S31" s="3">
        <v>147.98581282965074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-2.5455782661363227</v>
      </c>
      <c r="R32" s="3">
        <v>-3.8755856004308025</v>
      </c>
      <c r="S32" s="3">
        <v>-1.4356175694939421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0.97405534642497427</v>
      </c>
      <c r="I33" s="3">
        <v>1.8236075619546255</v>
      </c>
      <c r="J33" s="3">
        <v>9.2723920765164696</v>
      </c>
      <c r="K33" s="3">
        <v>11.331797656719054</v>
      </c>
      <c r="L33" s="3">
        <v>8.4830882992895198</v>
      </c>
      <c r="M33" s="3">
        <v>6.9416267096454227</v>
      </c>
      <c r="N33" s="3">
        <v>-0.21762008303249139</v>
      </c>
      <c r="O33" s="3">
        <v>1.0552481061085037</v>
      </c>
      <c r="P33" s="3">
        <v>2.3854708326500864</v>
      </c>
      <c r="Q33" s="3">
        <v>6.207218978484903</v>
      </c>
      <c r="R33" s="3">
        <v>3.758956456650512</v>
      </c>
      <c r="S33" s="3">
        <v>2.3793339843193158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-0.47980128398791538</v>
      </c>
      <c r="I34" s="3">
        <v>3.3509494912739965</v>
      </c>
      <c r="J34" s="3">
        <v>-2.3270053115175502</v>
      </c>
      <c r="K34" s="3">
        <v>-2.6241037047501328</v>
      </c>
      <c r="L34" s="3">
        <v>-1.376847726465364</v>
      </c>
      <c r="M34" s="3">
        <v>0</v>
      </c>
      <c r="N34" s="3">
        <v>0</v>
      </c>
      <c r="O34" s="3">
        <v>2.7381125119964134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5.2634198846928495</v>
      </c>
      <c r="I35" s="3">
        <v>6.2055992033158809</v>
      </c>
      <c r="J35" s="3">
        <v>3.6609229109039747</v>
      </c>
      <c r="K35" s="3">
        <v>6.3211694208016942</v>
      </c>
      <c r="L35" s="3">
        <v>4.8067803117229131</v>
      </c>
      <c r="M35" s="3">
        <v>0.50924808704734392</v>
      </c>
      <c r="N35" s="3">
        <v>2.5271896155234659</v>
      </c>
      <c r="O35" s="3">
        <v>0.93810830568966896</v>
      </c>
      <c r="P35" s="3">
        <v>1.6098823275940604</v>
      </c>
      <c r="Q35" s="3">
        <v>-1.7685655107575486</v>
      </c>
      <c r="R35" s="3">
        <v>-1.2146617716747441</v>
      </c>
      <c r="S35" s="3">
        <v>0.85016874910905216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-5.0929517875125878</v>
      </c>
      <c r="I36" s="3">
        <v>1.0873586369982549</v>
      </c>
      <c r="J36" s="3">
        <v>-4.2200250463534861</v>
      </c>
      <c r="K36" s="3">
        <v>-3.2229774448172348</v>
      </c>
      <c r="L36" s="3">
        <v>-4.222362877442273</v>
      </c>
      <c r="M36" s="3">
        <v>-4.0000000000000001E-3</v>
      </c>
      <c r="N36" s="3">
        <v>-8.0000000000000002E-3</v>
      </c>
      <c r="O36" s="3">
        <v>3.4088616667383862</v>
      </c>
      <c r="P36" s="3">
        <v>-0.8927638225380341</v>
      </c>
      <c r="Q36" s="3">
        <v>-0.8870113776893872</v>
      </c>
      <c r="R36" s="3">
        <v>-0.89736794291868605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-7.0484521294058409</v>
      </c>
      <c r="I37" s="3">
        <v>-4.0307121404886557</v>
      </c>
      <c r="J37" s="3">
        <v>-6.8887553129375432</v>
      </c>
      <c r="K37" s="3">
        <v>2.0314119759844607</v>
      </c>
      <c r="L37" s="3">
        <v>2.8233674342806392</v>
      </c>
      <c r="M37" s="3">
        <v>2.857221631934701</v>
      </c>
      <c r="N37" s="3">
        <v>-0.3984774277978344</v>
      </c>
      <c r="O37" s="3">
        <v>6.4460600823733918</v>
      </c>
      <c r="P37" s="3">
        <v>6.1473069964471172</v>
      </c>
      <c r="Q37" s="3">
        <v>7.6581548454167416</v>
      </c>
      <c r="R37" s="3">
        <v>0.40558468497576772</v>
      </c>
      <c r="S37" s="3">
        <v>6.6773786457590871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2.6895298080279235</v>
      </c>
      <c r="J38" s="3">
        <v>-5.9772341668161433</v>
      </c>
      <c r="K38" s="3">
        <v>-8.1404879798693273</v>
      </c>
      <c r="L38" s="3">
        <v>-9.4375534209591478</v>
      </c>
      <c r="M38" s="3">
        <v>-0.98968104275828006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0.9890158862034234</v>
      </c>
      <c r="I39" s="3">
        <v>2.2087760907504363</v>
      </c>
      <c r="J39" s="3">
        <v>2.2097030164424516</v>
      </c>
      <c r="K39" s="3">
        <v>0.88185753310965931</v>
      </c>
      <c r="L39" s="3">
        <v>-3.1577264653641032E-3</v>
      </c>
      <c r="M39" s="3">
        <v>0.66930157749523056</v>
      </c>
      <c r="N39" s="3">
        <v>1.0783206859205776</v>
      </c>
      <c r="O39" s="3">
        <v>4.987016937730437</v>
      </c>
      <c r="P39" s="3">
        <v>-2.0496714676141021</v>
      </c>
      <c r="Q39" s="3">
        <v>1.1755458669318386</v>
      </c>
      <c r="R39" s="3">
        <v>0.86581037695207308</v>
      </c>
      <c r="S39" s="3">
        <v>5.1270138168210977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0.18806282980866032</v>
      </c>
      <c r="I40" s="3">
        <v>0.18997961605584657</v>
      </c>
      <c r="J40" s="3">
        <v>0.19956423318385641</v>
      </c>
      <c r="K40" s="3">
        <v>0.24869502207310609</v>
      </c>
      <c r="L40" s="3">
        <v>0.23988484902309051</v>
      </c>
      <c r="M40" s="3">
        <v>0.12084631691221279</v>
      </c>
      <c r="N40" s="3">
        <v>0.37880379061371844</v>
      </c>
      <c r="O40" s="3">
        <v>0.36111932821992332</v>
      </c>
      <c r="P40" s="3">
        <v>0.2960223549239317</v>
      </c>
      <c r="Q40" s="3">
        <v>0.29255724462122568</v>
      </c>
      <c r="R40" s="3">
        <v>0.30925411416262794</v>
      </c>
      <c r="S40" s="3">
        <v>0.11266310762651476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-4.2865915105740182</v>
      </c>
      <c r="I41" s="3">
        <v>-7.2399999999999999E-3</v>
      </c>
      <c r="J41" s="3">
        <v>0</v>
      </c>
      <c r="K41" s="3">
        <v>-0.24152000000000001</v>
      </c>
      <c r="L41" s="3">
        <v>-1.0299499999999999</v>
      </c>
      <c r="M41" s="3">
        <v>-0.60284000000000004</v>
      </c>
      <c r="N41" s="3">
        <v>0</v>
      </c>
      <c r="O41" s="3">
        <v>0</v>
      </c>
      <c r="P41" s="3">
        <v>-1E-3</v>
      </c>
      <c r="Q41" s="3">
        <v>0</v>
      </c>
      <c r="R41" s="3">
        <v>0</v>
      </c>
      <c r="S41" s="3">
        <v>1.3639999999999999E-2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26.744158111782475</v>
      </c>
      <c r="I42" s="3">
        <v>26.292208272251308</v>
      </c>
      <c r="J42" s="3">
        <v>9.0825862346707904</v>
      </c>
      <c r="K42" s="3">
        <v>5.0345613438107</v>
      </c>
      <c r="L42" s="3">
        <v>14.779366820603908</v>
      </c>
      <c r="M42" s="3">
        <v>11.194581198179726</v>
      </c>
      <c r="N42" s="3">
        <v>10.452479867629361</v>
      </c>
      <c r="O42" s="3">
        <v>46.965299698644529</v>
      </c>
      <c r="P42" s="3">
        <v>14.669997952081626</v>
      </c>
      <c r="Q42" s="3">
        <v>11.518835534261438</v>
      </c>
      <c r="R42" s="3">
        <v>18.42171113085622</v>
      </c>
      <c r="S42" s="3">
        <v>11.254434693513897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-0.87117125881168178</v>
      </c>
      <c r="I43" s="3">
        <v>-1.668710959860384</v>
      </c>
      <c r="J43" s="3">
        <v>6.0678166149398489</v>
      </c>
      <c r="K43" s="3">
        <v>3.0208875772558712</v>
      </c>
      <c r="L43" s="3">
        <v>-0.1594780284191831</v>
      </c>
      <c r="M43" s="3">
        <v>5.6628023214737535</v>
      </c>
      <c r="N43" s="3">
        <v>2.6452404572803849</v>
      </c>
      <c r="O43" s="3">
        <v>-3.5997352344261224</v>
      </c>
      <c r="P43" s="3">
        <v>2.4281823549239321</v>
      </c>
      <c r="Q43" s="3">
        <v>2.2706272446212261</v>
      </c>
      <c r="R43" s="3">
        <v>2.9505883198707599</v>
      </c>
      <c r="S43" s="3">
        <v>2.1201138168210978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8.9122829808660611E-2</v>
      </c>
      <c r="I44" s="3">
        <v>-1.0629809598603839</v>
      </c>
      <c r="J44" s="3">
        <v>-3.0667527503736918</v>
      </c>
      <c r="K44" s="3">
        <v>-1.0832674448172346</v>
      </c>
      <c r="L44" s="3">
        <v>-0.208700301953819</v>
      </c>
      <c r="M44" s="3">
        <v>3.6725310158482141</v>
      </c>
      <c r="N44" s="3">
        <v>3.9601506859205782</v>
      </c>
      <c r="O44" s="3">
        <v>5.0928386581515896</v>
      </c>
      <c r="P44" s="3">
        <v>-1.1678414676141018</v>
      </c>
      <c r="Q44" s="3">
        <v>-0.86752413306816134</v>
      </c>
      <c r="R44" s="3">
        <v>-1.529E-2</v>
      </c>
      <c r="S44" s="3">
        <v>1.5467515538132572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2.2627566869569926</v>
      </c>
      <c r="P46" s="3">
        <v>-2.8515329352282044</v>
      </c>
      <c r="Q46" s="3">
        <v>0.16307084071596503</v>
      </c>
      <c r="R46" s="3">
        <v>-3.2727711093161012</v>
      </c>
      <c r="S46" s="3">
        <v>13.218354693513902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4.5378532385897709E-2</v>
      </c>
      <c r="Q47" s="3">
        <v>-1.0431750262158743</v>
      </c>
      <c r="R47" s="3">
        <v>4.3511665481960149</v>
      </c>
      <c r="S47" s="3">
        <v>0.13465003207412768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-0.10051689237348539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113.70554021148037</v>
      </c>
      <c r="I49" s="3">
        <v>88.128514104712053</v>
      </c>
      <c r="J49" s="3">
        <v>87.504478285902252</v>
      </c>
      <c r="K49" s="3">
        <v>85.373563402790012</v>
      </c>
      <c r="L49" s="3">
        <v>67.133284142095917</v>
      </c>
      <c r="M49" s="3">
        <v>62.617222944495424</v>
      </c>
      <c r="N49" s="3">
        <v>70.491275285198554</v>
      </c>
      <c r="O49" s="3">
        <v>60.573447006083626</v>
      </c>
      <c r="P49" s="3">
        <v>107.40454050195899</v>
      </c>
      <c r="Q49" s="3">
        <v>62.764291495208823</v>
      </c>
      <c r="R49" s="3">
        <v>-25.904552918686058</v>
      </c>
      <c r="S49" s="3">
        <v>71.107029324661454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-1.4772938267875138</v>
      </c>
      <c r="I50" s="3">
        <v>15.493487120418848</v>
      </c>
      <c r="J50" s="3">
        <v>6.1730713758516949</v>
      </c>
      <c r="K50" s="3">
        <v>9.4645201677556052</v>
      </c>
      <c r="L50" s="3">
        <v>9.6994514280639432</v>
      </c>
      <c r="M50" s="3">
        <v>9.350172938422638</v>
      </c>
      <c r="N50" s="3">
        <v>7.565369018050542</v>
      </c>
      <c r="O50" s="3">
        <v>2.5681652496717082</v>
      </c>
      <c r="P50" s="3">
        <v>17.232463631228931</v>
      </c>
      <c r="Q50" s="3">
        <v>-0.90912487434460321</v>
      </c>
      <c r="R50" s="3">
        <v>-1.5447435325794294</v>
      </c>
      <c r="S50" s="3">
        <v>6.7992589486813975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-3.9728920140986914</v>
      </c>
      <c r="I51" s="3">
        <v>-6.0452915357766139</v>
      </c>
      <c r="J51" s="3">
        <v>-3.2029971629454139</v>
      </c>
      <c r="K51" s="3">
        <v>-0.40687995585378783</v>
      </c>
      <c r="L51" s="3">
        <v>-2.3050477264653639</v>
      </c>
      <c r="M51" s="3">
        <v>-2.6593797836109982</v>
      </c>
      <c r="N51" s="3">
        <v>-0.60514310469314081</v>
      </c>
      <c r="O51" s="3">
        <v>-0.59279998251748245</v>
      </c>
      <c r="P51" s="3">
        <v>-0.64785382253803403</v>
      </c>
      <c r="Q51" s="3">
        <v>-0.6425713776893871</v>
      </c>
      <c r="R51" s="3">
        <v>-1.2685758858373721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-17.012100896273918</v>
      </c>
      <c r="I52" s="3">
        <v>-18.189414877835951</v>
      </c>
      <c r="J52" s="3">
        <v>4.7555581768563817</v>
      </c>
      <c r="K52" s="3">
        <v>15.49035941550415</v>
      </c>
      <c r="L52" s="3">
        <v>11.501924122557725</v>
      </c>
      <c r="M52" s="3">
        <v>72.362229675024537</v>
      </c>
      <c r="N52" s="3">
        <v>17.150549844765347</v>
      </c>
      <c r="O52" s="3">
        <v>9.6060626052872387</v>
      </c>
      <c r="P52" s="3">
        <v>39.610794777261546</v>
      </c>
      <c r="Q52" s="3">
        <v>3.9778194286747461</v>
      </c>
      <c r="R52" s="3">
        <v>90.140455767366717</v>
      </c>
      <c r="S52" s="3">
        <v>36.664037890235214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4.0300791188318223</v>
      </c>
      <c r="I53" s="3">
        <v>2.9983393280977313</v>
      </c>
      <c r="J53" s="3">
        <v>9.2285774080717502</v>
      </c>
      <c r="K53" s="3">
        <v>4.0838987886279359</v>
      </c>
      <c r="L53" s="3">
        <v>5.3369722735346361</v>
      </c>
      <c r="M53" s="3">
        <v>5.8206599462770905</v>
      </c>
      <c r="N53" s="3">
        <v>1.5567775812274369</v>
      </c>
      <c r="O53" s="3">
        <v>0.63561883792468954</v>
      </c>
      <c r="P53" s="3">
        <v>1.3846147098478634</v>
      </c>
      <c r="Q53" s="3">
        <v>2.9096444892424516</v>
      </c>
      <c r="R53" s="3">
        <v>1.9296782283252558</v>
      </c>
      <c r="S53" s="3">
        <v>5.45126621525303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0.95557282980866087</v>
      </c>
      <c r="I54" s="3">
        <v>0.92563294938917973</v>
      </c>
      <c r="J54" s="3">
        <v>-5.1306435127211989</v>
      </c>
      <c r="K54" s="3">
        <v>-0.95683497792689376</v>
      </c>
      <c r="L54" s="3">
        <v>0.14923742451154526</v>
      </c>
      <c r="M54" s="3">
        <v>0.55347038989689856</v>
      </c>
      <c r="N54" s="3">
        <v>0.88510356197352613</v>
      </c>
      <c r="O54" s="3">
        <v>0.89320547119462546</v>
      </c>
      <c r="P54" s="3">
        <v>0.71813951079529925</v>
      </c>
      <c r="Q54" s="3">
        <v>0.68100862231061288</v>
      </c>
      <c r="R54" s="3">
        <v>1.533772057081314</v>
      </c>
      <c r="S54" s="3">
        <v>-0.89489533856022807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-2.8737582540785498</v>
      </c>
      <c r="I55" s="3">
        <v>4.5414983682373471</v>
      </c>
      <c r="J55" s="3">
        <v>16.089929186830368</v>
      </c>
      <c r="K55" s="3">
        <v>-2.2678874006710226</v>
      </c>
      <c r="L55" s="3">
        <v>-0.55323599644760257</v>
      </c>
      <c r="M55" s="3">
        <v>1.56458631888613</v>
      </c>
      <c r="N55" s="3">
        <v>-5.4140409819494586</v>
      </c>
      <c r="O55" s="3">
        <v>-1.6759607216061954</v>
      </c>
      <c r="P55" s="3">
        <v>0.27139410221371918</v>
      </c>
      <c r="Q55" s="3">
        <v>2.4753952269030269E-2</v>
      </c>
      <c r="R55" s="3">
        <v>5.2985642057081312</v>
      </c>
      <c r="S55" s="3">
        <v>3.313E-2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-0.63138000000000005</v>
      </c>
      <c r="I56" s="3">
        <v>-0.62978999999999996</v>
      </c>
      <c r="J56" s="3">
        <v>-0.60101000000000004</v>
      </c>
      <c r="K56" s="3">
        <v>-0.69716999999999996</v>
      </c>
      <c r="L56" s="3">
        <v>-0.71287</v>
      </c>
      <c r="M56" s="3">
        <v>-5.5E-2</v>
      </c>
      <c r="N56" s="3">
        <v>0</v>
      </c>
      <c r="O56" s="3">
        <v>-0.2014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-6.60914</v>
      </c>
      <c r="I57" s="3">
        <v>-2.4405299999999999</v>
      </c>
      <c r="J57" s="3">
        <v>-0.56201999999999996</v>
      </c>
      <c r="K57" s="3">
        <v>-2.4799699999999998</v>
      </c>
      <c r="L57" s="3">
        <v>-7.6832099999999999</v>
      </c>
      <c r="M57" s="3">
        <v>-0.49099999999999999</v>
      </c>
      <c r="N57" s="3">
        <v>-20.97513</v>
      </c>
      <c r="O57" s="3">
        <v>-12.5116</v>
      </c>
      <c r="P57" s="3">
        <v>-16.638339999999999</v>
      </c>
      <c r="Q57" s="3">
        <v>-22.756730000000001</v>
      </c>
      <c r="R57" s="3">
        <v>-5.21211</v>
      </c>
      <c r="S57" s="3">
        <v>-3.1638500000000001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0</v>
      </c>
      <c r="I58" s="3">
        <v>0</v>
      </c>
      <c r="J58" s="3">
        <v>-5.0500000000000003E-2</v>
      </c>
      <c r="K58" s="3">
        <v>-4.65E-2</v>
      </c>
      <c r="L58" s="3">
        <v>-4.9000000000000002E-2</v>
      </c>
      <c r="M58" s="3">
        <v>-0.8</v>
      </c>
      <c r="N58" s="3">
        <v>-1.55E-2</v>
      </c>
      <c r="O58" s="3">
        <v>-1.55E-2</v>
      </c>
      <c r="P58" s="3">
        <v>-3.1E-2</v>
      </c>
      <c r="Q58" s="3">
        <v>0</v>
      </c>
      <c r="R58" s="3">
        <v>0</v>
      </c>
      <c r="S58" s="3">
        <v>0</v>
      </c>
    </row>
  </sheetData>
  <conditionalFormatting sqref="B2:B57">
    <cfRule type="duplicateValues" dxfId="53" priority="14"/>
  </conditionalFormatting>
  <conditionalFormatting sqref="B58">
    <cfRule type="duplicateValues" dxfId="52" priority="45"/>
    <cfRule type="duplicateValues" dxfId="51" priority="46"/>
    <cfRule type="duplicateValues" dxfId="50" priority="47"/>
  </conditionalFormatting>
  <conditionalFormatting sqref="B1:C1">
    <cfRule type="duplicateValues" dxfId="49" priority="3"/>
  </conditionalFormatting>
  <conditionalFormatting sqref="C2:C58">
    <cfRule type="duplicateValues" dxfId="48" priority="1"/>
  </conditionalFormatting>
  <conditionalFormatting sqref="D1:E1">
    <cfRule type="duplicateValues" dxfId="47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E126-FE5D-42C6-B5F7-625B8FB7E134}">
  <sheetPr>
    <tabColor rgb="FF92D050"/>
  </sheetPr>
  <dimension ref="A1:S57"/>
  <sheetViews>
    <sheetView workbookViewId="0">
      <selection activeCell="I2" sqref="I2:I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19</v>
      </c>
      <c r="I2" s="1">
        <v>7</v>
      </c>
      <c r="J2" s="1">
        <v>7</v>
      </c>
      <c r="K2" s="1">
        <v>24</v>
      </c>
      <c r="L2" s="1">
        <v>31</v>
      </c>
      <c r="M2" s="1">
        <v>28</v>
      </c>
      <c r="N2" s="1">
        <v>0</v>
      </c>
      <c r="O2" s="1">
        <v>28</v>
      </c>
      <c r="P2" s="1">
        <v>32</v>
      </c>
      <c r="Q2" s="1">
        <v>0</v>
      </c>
      <c r="R2" s="1">
        <v>25</v>
      </c>
      <c r="S2" s="1">
        <v>28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11</v>
      </c>
      <c r="I3" s="1">
        <v>11</v>
      </c>
      <c r="J3" s="1">
        <v>9</v>
      </c>
      <c r="K3" s="1">
        <v>10</v>
      </c>
      <c r="L3" s="1">
        <v>3</v>
      </c>
      <c r="M3" s="1">
        <v>7</v>
      </c>
      <c r="N3" s="1">
        <v>9</v>
      </c>
      <c r="O3" s="1">
        <v>9</v>
      </c>
      <c r="P3" s="1">
        <v>3</v>
      </c>
      <c r="Q3" s="1">
        <v>1</v>
      </c>
      <c r="R3" s="1">
        <v>12</v>
      </c>
      <c r="S3" s="1">
        <v>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7</v>
      </c>
      <c r="I4" s="1">
        <v>5</v>
      </c>
      <c r="J4" s="1">
        <v>8</v>
      </c>
      <c r="K4" s="1">
        <v>3</v>
      </c>
      <c r="L4" s="1">
        <v>2</v>
      </c>
      <c r="M4" s="1">
        <v>4</v>
      </c>
      <c r="N4" s="1">
        <v>3</v>
      </c>
      <c r="O4" s="1">
        <v>2</v>
      </c>
      <c r="P4" s="1">
        <v>7</v>
      </c>
      <c r="Q4" s="1">
        <v>2</v>
      </c>
      <c r="R4" s="1">
        <v>2</v>
      </c>
      <c r="S4" s="1">
        <v>1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2</v>
      </c>
      <c r="J5" s="1">
        <v>2</v>
      </c>
      <c r="K5" s="1">
        <v>1</v>
      </c>
      <c r="L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21</v>
      </c>
      <c r="J6" s="1">
        <v>18</v>
      </c>
      <c r="K6" s="1">
        <v>30</v>
      </c>
      <c r="L6" s="1">
        <v>32</v>
      </c>
      <c r="M6" s="1">
        <v>26</v>
      </c>
      <c r="N6" s="1">
        <v>14</v>
      </c>
      <c r="O6" s="1">
        <v>17</v>
      </c>
      <c r="P6" s="1">
        <v>12</v>
      </c>
      <c r="Q6" s="1">
        <v>8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46</v>
      </c>
      <c r="I9" s="1">
        <v>53</v>
      </c>
      <c r="J9" s="1">
        <v>2</v>
      </c>
      <c r="K9" s="1">
        <v>6</v>
      </c>
      <c r="L9" s="1">
        <v>18</v>
      </c>
      <c r="M9" s="1">
        <v>26</v>
      </c>
      <c r="N9" s="1">
        <v>14</v>
      </c>
      <c r="O9" s="1">
        <v>26</v>
      </c>
      <c r="P9" s="1">
        <v>30</v>
      </c>
      <c r="Q9" s="1">
        <v>26</v>
      </c>
      <c r="R9" s="1">
        <v>29</v>
      </c>
      <c r="S9" s="1">
        <v>25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12</v>
      </c>
      <c r="I11" s="1">
        <v>13</v>
      </c>
      <c r="J11" s="1">
        <v>16</v>
      </c>
      <c r="K11" s="1">
        <v>13</v>
      </c>
      <c r="L11" s="1">
        <v>15</v>
      </c>
      <c r="M11" s="1">
        <v>18</v>
      </c>
      <c r="N11" s="1">
        <v>7</v>
      </c>
      <c r="O11" s="1">
        <v>7</v>
      </c>
      <c r="P11" s="1">
        <v>12</v>
      </c>
      <c r="Q11" s="1">
        <v>2</v>
      </c>
      <c r="R11" s="1">
        <v>11</v>
      </c>
      <c r="S11" s="1">
        <v>13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11</v>
      </c>
      <c r="I12" s="1">
        <v>15</v>
      </c>
      <c r="J12" s="1">
        <v>14</v>
      </c>
      <c r="K12" s="1">
        <v>17</v>
      </c>
      <c r="L12" s="1">
        <v>14</v>
      </c>
      <c r="M12" s="1">
        <v>23</v>
      </c>
      <c r="N12" s="1">
        <v>10</v>
      </c>
      <c r="O12" s="1">
        <v>17</v>
      </c>
      <c r="P12" s="1">
        <v>21</v>
      </c>
      <c r="Q12" s="1">
        <v>7</v>
      </c>
      <c r="R12" s="1">
        <v>6</v>
      </c>
      <c r="S12" s="1">
        <v>7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63</v>
      </c>
      <c r="I13" s="1">
        <v>0</v>
      </c>
      <c r="J13" s="1">
        <v>0</v>
      </c>
      <c r="K13" s="1">
        <v>0</v>
      </c>
      <c r="L13" s="1">
        <v>2</v>
      </c>
      <c r="M13" s="1">
        <v>17</v>
      </c>
      <c r="N13" s="1">
        <v>14</v>
      </c>
      <c r="O13" s="1">
        <v>23</v>
      </c>
      <c r="P13" s="1">
        <v>28</v>
      </c>
      <c r="Q13" s="1">
        <v>69</v>
      </c>
      <c r="R13" s="1">
        <v>89</v>
      </c>
      <c r="S13" s="1">
        <v>183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1</v>
      </c>
      <c r="I14" s="1">
        <v>0</v>
      </c>
      <c r="J14" s="1" t="s">
        <v>82</v>
      </c>
      <c r="K14" s="1" t="s">
        <v>82</v>
      </c>
      <c r="L14" s="1" t="s">
        <v>82</v>
      </c>
      <c r="M14" s="1" t="s">
        <v>82</v>
      </c>
      <c r="N14" s="1" t="s">
        <v>82</v>
      </c>
      <c r="O14" s="1" t="s">
        <v>82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16</v>
      </c>
      <c r="I17" s="1">
        <v>7</v>
      </c>
      <c r="J17" s="1">
        <v>10</v>
      </c>
      <c r="K17" s="1">
        <v>10</v>
      </c>
      <c r="L17" s="1">
        <v>6</v>
      </c>
      <c r="M17" s="1">
        <v>6</v>
      </c>
      <c r="N17" s="1">
        <v>14</v>
      </c>
      <c r="O17" s="1">
        <v>16</v>
      </c>
      <c r="P17" s="1">
        <v>10</v>
      </c>
      <c r="Q17" s="1">
        <v>14</v>
      </c>
      <c r="R17" s="1">
        <v>15</v>
      </c>
      <c r="S17" s="1">
        <v>16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19</v>
      </c>
      <c r="I19" s="1">
        <v>10</v>
      </c>
      <c r="J19" s="1">
        <v>14</v>
      </c>
      <c r="K19" s="1">
        <v>15</v>
      </c>
      <c r="L19" s="1">
        <v>15</v>
      </c>
      <c r="M19" s="1">
        <v>50</v>
      </c>
      <c r="N19" s="1">
        <v>18</v>
      </c>
      <c r="O19" s="1">
        <v>21</v>
      </c>
      <c r="P19" s="1">
        <v>20</v>
      </c>
      <c r="Q19" s="1">
        <v>28</v>
      </c>
      <c r="R19" s="1">
        <v>19</v>
      </c>
      <c r="S19" s="1">
        <v>23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5</v>
      </c>
      <c r="I20" s="1">
        <v>31</v>
      </c>
      <c r="J20" s="1">
        <v>21</v>
      </c>
      <c r="K20" s="1">
        <v>11</v>
      </c>
      <c r="L20" s="1">
        <v>34</v>
      </c>
      <c r="M20" s="1">
        <v>20</v>
      </c>
      <c r="N20" s="1">
        <v>23</v>
      </c>
      <c r="O20" s="1">
        <v>6</v>
      </c>
      <c r="P20" s="1">
        <v>1</v>
      </c>
      <c r="Q20" s="1">
        <v>4</v>
      </c>
      <c r="R20" s="1">
        <v>16</v>
      </c>
      <c r="S20" s="1">
        <v>8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94</v>
      </c>
      <c r="I21" s="1">
        <v>114</v>
      </c>
      <c r="J21" s="1">
        <v>114</v>
      </c>
      <c r="K21" s="1">
        <v>114</v>
      </c>
      <c r="L21" s="1">
        <v>84</v>
      </c>
      <c r="M21" s="1">
        <v>92</v>
      </c>
      <c r="N21" s="1">
        <v>75</v>
      </c>
      <c r="O21" s="1">
        <v>89</v>
      </c>
      <c r="P21" s="1">
        <v>94</v>
      </c>
      <c r="Q21" s="1">
        <v>105</v>
      </c>
      <c r="R21" s="1">
        <v>89</v>
      </c>
      <c r="S21" s="1">
        <v>87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16</v>
      </c>
      <c r="I22" s="1">
        <v>23</v>
      </c>
      <c r="J22" s="1">
        <v>19</v>
      </c>
      <c r="K22" s="1">
        <v>18</v>
      </c>
      <c r="L22" s="1">
        <v>9</v>
      </c>
      <c r="M22" s="1">
        <v>17</v>
      </c>
      <c r="N22" s="1">
        <v>6</v>
      </c>
      <c r="O22" s="1">
        <v>11</v>
      </c>
      <c r="P22" s="1">
        <v>9</v>
      </c>
      <c r="Q22" s="1">
        <v>10</v>
      </c>
      <c r="R22" s="1">
        <v>6</v>
      </c>
      <c r="S22" s="1">
        <v>14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35</v>
      </c>
      <c r="I23" s="1">
        <v>55</v>
      </c>
      <c r="J23" s="1">
        <v>86</v>
      </c>
      <c r="K23" s="1">
        <v>75</v>
      </c>
      <c r="L23" s="1">
        <v>41</v>
      </c>
      <c r="M23" s="1">
        <v>79</v>
      </c>
      <c r="N23" s="1">
        <v>23</v>
      </c>
      <c r="O23" s="1">
        <v>32</v>
      </c>
      <c r="P23" s="1">
        <v>37</v>
      </c>
      <c r="Q23" s="1">
        <v>47</v>
      </c>
      <c r="R23" s="1">
        <v>65</v>
      </c>
      <c r="S23" s="1">
        <v>60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22</v>
      </c>
      <c r="I24" s="1">
        <v>27</v>
      </c>
      <c r="J24" s="1">
        <v>26</v>
      </c>
      <c r="K24" s="1">
        <v>10</v>
      </c>
      <c r="L24" s="1">
        <v>21</v>
      </c>
      <c r="M24" s="1">
        <v>17</v>
      </c>
      <c r="N24" s="1">
        <v>1</v>
      </c>
      <c r="O24" s="1">
        <v>2</v>
      </c>
      <c r="P24" s="1">
        <v>0</v>
      </c>
      <c r="Q24" s="1">
        <v>8</v>
      </c>
      <c r="R24" s="1">
        <v>13</v>
      </c>
      <c r="S24" s="1">
        <v>13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35</v>
      </c>
      <c r="I27" s="1">
        <v>0</v>
      </c>
      <c r="J27" s="1">
        <v>0</v>
      </c>
      <c r="K27" s="1">
        <v>0</v>
      </c>
      <c r="L27" s="1">
        <v>4</v>
      </c>
      <c r="M27" s="1">
        <v>13</v>
      </c>
      <c r="N27" s="1">
        <v>3</v>
      </c>
      <c r="O27" s="1">
        <v>7</v>
      </c>
      <c r="P27" s="1">
        <v>9</v>
      </c>
      <c r="Q27" s="1">
        <v>11</v>
      </c>
      <c r="R27" s="1">
        <v>14</v>
      </c>
      <c r="S27" s="1">
        <v>14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4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</v>
      </c>
      <c r="O29" s="1">
        <v>0</v>
      </c>
      <c r="P29" s="1">
        <v>5</v>
      </c>
      <c r="Q29" s="1">
        <v>5</v>
      </c>
      <c r="R29" s="1">
        <v>6</v>
      </c>
      <c r="S29" s="1">
        <v>2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4</v>
      </c>
      <c r="Q30" s="1">
        <v>8</v>
      </c>
      <c r="R30" s="1">
        <v>8</v>
      </c>
      <c r="S30" s="1">
        <v>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130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47</v>
      </c>
      <c r="P31" s="1">
        <v>56</v>
      </c>
      <c r="Q31" s="1">
        <v>181</v>
      </c>
      <c r="R31" s="1">
        <v>136</v>
      </c>
      <c r="S31" s="1">
        <v>178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48</v>
      </c>
      <c r="I33" s="1">
        <v>39</v>
      </c>
      <c r="J33" s="1">
        <v>56</v>
      </c>
      <c r="K33" s="1">
        <v>56</v>
      </c>
      <c r="L33" s="1">
        <v>43</v>
      </c>
      <c r="M33" s="1">
        <v>26</v>
      </c>
      <c r="N33" s="1">
        <v>46</v>
      </c>
      <c r="O33" s="1">
        <v>27</v>
      </c>
      <c r="P33" s="1">
        <v>27</v>
      </c>
      <c r="Q33" s="1">
        <v>23</v>
      </c>
      <c r="R33" s="1">
        <v>21</v>
      </c>
      <c r="S33" s="1">
        <v>28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1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</v>
      </c>
      <c r="J35" s="1">
        <v>8</v>
      </c>
      <c r="K35" s="1">
        <v>9</v>
      </c>
      <c r="L35" s="1">
        <v>7</v>
      </c>
      <c r="M35" s="1">
        <v>5</v>
      </c>
      <c r="N35" s="1">
        <v>6</v>
      </c>
      <c r="O35" s="1">
        <v>6</v>
      </c>
      <c r="P35" s="1">
        <v>8</v>
      </c>
      <c r="Q35" s="1">
        <v>2</v>
      </c>
      <c r="R35" s="1">
        <v>2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17</v>
      </c>
      <c r="I37" s="1">
        <v>4</v>
      </c>
      <c r="J37" s="1">
        <v>10</v>
      </c>
      <c r="K37" s="1">
        <v>16</v>
      </c>
      <c r="L37" s="1">
        <v>19</v>
      </c>
      <c r="M37" s="1">
        <v>17</v>
      </c>
      <c r="N37" s="1">
        <v>16</v>
      </c>
      <c r="O37" s="1">
        <v>0</v>
      </c>
      <c r="P37" s="1">
        <v>28</v>
      </c>
      <c r="Q37" s="1">
        <v>5</v>
      </c>
      <c r="R37" s="1">
        <v>10</v>
      </c>
      <c r="S37" s="1">
        <v>15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8</v>
      </c>
      <c r="I39" s="1">
        <v>13</v>
      </c>
      <c r="J39" s="1">
        <v>12</v>
      </c>
      <c r="K39" s="1">
        <v>13</v>
      </c>
      <c r="L39" s="1">
        <v>12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82</v>
      </c>
      <c r="K41" s="1" t="s">
        <v>82</v>
      </c>
      <c r="L41" s="1" t="s">
        <v>82</v>
      </c>
      <c r="M41" s="1" t="s">
        <v>82</v>
      </c>
      <c r="N41" s="1" t="s">
        <v>82</v>
      </c>
      <c r="O41" s="1" t="s">
        <v>82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7</v>
      </c>
      <c r="I42" s="1">
        <v>7</v>
      </c>
      <c r="J42" s="1">
        <v>24</v>
      </c>
      <c r="K42" s="1">
        <v>26</v>
      </c>
      <c r="L42" s="1">
        <v>48</v>
      </c>
      <c r="M42" s="1">
        <v>23</v>
      </c>
      <c r="N42" s="1">
        <v>4</v>
      </c>
      <c r="O42" s="1">
        <v>11</v>
      </c>
      <c r="P42" s="1">
        <v>9</v>
      </c>
      <c r="Q42" s="1">
        <v>7</v>
      </c>
      <c r="R42" s="1">
        <v>11</v>
      </c>
      <c r="S42" s="1">
        <v>16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1</v>
      </c>
      <c r="I43" s="1">
        <v>0</v>
      </c>
      <c r="J43" s="1">
        <v>2</v>
      </c>
      <c r="K43" s="1">
        <v>6</v>
      </c>
      <c r="L43" s="1">
        <v>4</v>
      </c>
      <c r="M43" s="1">
        <v>1</v>
      </c>
      <c r="N43" s="1">
        <v>0</v>
      </c>
      <c r="O43" s="1">
        <v>2</v>
      </c>
      <c r="P43" s="1">
        <v>0</v>
      </c>
      <c r="Q43" s="1">
        <v>3</v>
      </c>
      <c r="R43" s="1">
        <v>1</v>
      </c>
      <c r="S43" s="1">
        <v>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1</v>
      </c>
      <c r="I44" s="1">
        <v>1</v>
      </c>
      <c r="J44" s="1">
        <v>9</v>
      </c>
      <c r="K44" s="1">
        <v>1</v>
      </c>
      <c r="L44" s="1">
        <v>3</v>
      </c>
      <c r="M44" s="1">
        <v>3</v>
      </c>
      <c r="N44" s="1">
        <v>23</v>
      </c>
      <c r="O44" s="1">
        <v>3</v>
      </c>
      <c r="P44" s="1">
        <v>23</v>
      </c>
      <c r="Q44" s="1">
        <v>0</v>
      </c>
      <c r="R44" s="1">
        <v>1</v>
      </c>
      <c r="S44" s="1">
        <v>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126</v>
      </c>
      <c r="I49" s="1">
        <v>182</v>
      </c>
      <c r="J49" s="1">
        <v>164</v>
      </c>
      <c r="K49" s="1">
        <v>206</v>
      </c>
      <c r="L49" s="1">
        <v>288</v>
      </c>
      <c r="M49" s="1">
        <v>161</v>
      </c>
      <c r="N49" s="1">
        <v>103</v>
      </c>
      <c r="O49" s="1">
        <v>50</v>
      </c>
      <c r="P49" s="1">
        <v>114</v>
      </c>
      <c r="Q49" s="1">
        <v>68</v>
      </c>
      <c r="R49" s="1">
        <v>123</v>
      </c>
      <c r="S49" s="1">
        <v>195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22</v>
      </c>
      <c r="I50" s="1">
        <v>6</v>
      </c>
      <c r="J50" s="1">
        <v>20</v>
      </c>
      <c r="K50" s="1">
        <v>15</v>
      </c>
      <c r="L50" s="1">
        <v>37</v>
      </c>
      <c r="M50" s="1">
        <v>29</v>
      </c>
      <c r="N50" s="1">
        <v>0</v>
      </c>
      <c r="O50" s="1">
        <v>26</v>
      </c>
      <c r="P50" s="1">
        <v>18</v>
      </c>
      <c r="Q50" s="1">
        <v>18</v>
      </c>
      <c r="R50" s="1">
        <v>34</v>
      </c>
      <c r="S50" s="1">
        <v>31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40</v>
      </c>
      <c r="I52" s="1">
        <v>28</v>
      </c>
      <c r="J52" s="1">
        <v>0</v>
      </c>
      <c r="K52" s="1">
        <v>16</v>
      </c>
      <c r="L52" s="1">
        <v>13</v>
      </c>
      <c r="M52" s="1">
        <v>54</v>
      </c>
      <c r="N52" s="1">
        <v>23</v>
      </c>
      <c r="O52" s="1">
        <v>32</v>
      </c>
      <c r="P52" s="1">
        <v>35</v>
      </c>
      <c r="Q52" s="1">
        <v>39</v>
      </c>
      <c r="R52" s="1">
        <v>28</v>
      </c>
      <c r="S52" s="1">
        <v>34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2</v>
      </c>
      <c r="I53" s="1">
        <v>2</v>
      </c>
      <c r="J53" s="1">
        <v>3</v>
      </c>
      <c r="K53" s="1">
        <v>7</v>
      </c>
      <c r="L53" s="1">
        <v>0</v>
      </c>
      <c r="M53" s="1">
        <v>2</v>
      </c>
      <c r="N53" s="1">
        <v>3</v>
      </c>
      <c r="O53" s="1">
        <v>2</v>
      </c>
      <c r="P53" s="1">
        <v>0</v>
      </c>
      <c r="Q53" s="1">
        <v>4</v>
      </c>
      <c r="R53" s="1">
        <v>0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4</v>
      </c>
      <c r="J54" s="1">
        <v>4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12</v>
      </c>
      <c r="J55" s="1">
        <v>20</v>
      </c>
      <c r="K55" s="1">
        <v>13</v>
      </c>
      <c r="L55" s="1">
        <v>20</v>
      </c>
      <c r="M55" s="1">
        <v>17</v>
      </c>
      <c r="N55" s="1">
        <v>13</v>
      </c>
      <c r="O55" s="1">
        <v>6</v>
      </c>
      <c r="P55" s="1">
        <v>29</v>
      </c>
      <c r="Q55" s="1">
        <v>9</v>
      </c>
      <c r="R55" s="1">
        <v>15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6" priority="5"/>
  </conditionalFormatting>
  <conditionalFormatting sqref="B1:C1">
    <cfRule type="duplicateValues" dxfId="45" priority="3"/>
  </conditionalFormatting>
  <conditionalFormatting sqref="C2:C57">
    <cfRule type="duplicateValues" dxfId="44" priority="1"/>
  </conditionalFormatting>
  <conditionalFormatting sqref="D1:E1">
    <cfRule type="duplicateValues" dxfId="43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C90-849A-4ABA-99D3-335296FBEC17}">
  <sheetPr>
    <tabColor rgb="FF92D050"/>
  </sheetPr>
  <dimension ref="A1:S57"/>
  <sheetViews>
    <sheetView tabSelected="1" workbookViewId="0">
      <selection activeCell="I2" sqref="I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7</v>
      </c>
      <c r="I2" s="1">
        <v>92</v>
      </c>
      <c r="J2" s="1">
        <v>9</v>
      </c>
      <c r="K2" s="1">
        <v>351</v>
      </c>
      <c r="L2" s="1">
        <v>38</v>
      </c>
      <c r="M2" s="1">
        <v>31</v>
      </c>
      <c r="N2" s="1">
        <v>0</v>
      </c>
      <c r="O2" s="1">
        <v>23</v>
      </c>
      <c r="P2" s="1">
        <v>17</v>
      </c>
      <c r="Q2" s="1">
        <v>0</v>
      </c>
      <c r="R2" s="1">
        <v>24</v>
      </c>
      <c r="S2" s="1">
        <v>25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9</v>
      </c>
      <c r="I3" s="1">
        <v>5</v>
      </c>
      <c r="J3" s="1">
        <v>9</v>
      </c>
      <c r="K3" s="1">
        <v>10</v>
      </c>
      <c r="L3" s="1">
        <v>0</v>
      </c>
      <c r="M3" s="1">
        <v>6</v>
      </c>
      <c r="N3" s="1">
        <v>3</v>
      </c>
      <c r="O3" s="1">
        <v>3</v>
      </c>
      <c r="P3" s="1">
        <v>9</v>
      </c>
      <c r="Q3" s="1">
        <v>2</v>
      </c>
      <c r="R3" s="1">
        <v>1</v>
      </c>
      <c r="S3" s="1">
        <v>5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2</v>
      </c>
      <c r="I4" s="1">
        <v>1</v>
      </c>
      <c r="J4" s="1">
        <v>2</v>
      </c>
      <c r="K4" s="1">
        <v>0</v>
      </c>
      <c r="L4" s="1">
        <v>1</v>
      </c>
      <c r="M4" s="1">
        <v>5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2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18</v>
      </c>
      <c r="J6" s="1">
        <v>10</v>
      </c>
      <c r="K6" s="1">
        <v>12</v>
      </c>
      <c r="L6" s="1">
        <v>12</v>
      </c>
      <c r="M6" s="1">
        <v>11</v>
      </c>
      <c r="N6" s="1">
        <v>6</v>
      </c>
      <c r="O6" s="1">
        <v>7</v>
      </c>
      <c r="P6" s="1">
        <v>2</v>
      </c>
      <c r="Q6" s="1">
        <v>3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</v>
      </c>
      <c r="O9" s="1">
        <v>1</v>
      </c>
      <c r="P9" s="1">
        <v>4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16</v>
      </c>
      <c r="I11" s="1">
        <v>11</v>
      </c>
      <c r="J11" s="1">
        <v>9</v>
      </c>
      <c r="K11" s="1">
        <v>8</v>
      </c>
      <c r="L11" s="1">
        <v>5</v>
      </c>
      <c r="M11" s="1">
        <v>17</v>
      </c>
      <c r="N11" s="1">
        <v>6</v>
      </c>
      <c r="O11" s="1">
        <v>2</v>
      </c>
      <c r="P11" s="1">
        <v>6</v>
      </c>
      <c r="Q11" s="1">
        <v>7</v>
      </c>
      <c r="R11" s="1">
        <v>3</v>
      </c>
      <c r="S11" s="1">
        <v>11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78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2</v>
      </c>
      <c r="J17" s="1">
        <v>12</v>
      </c>
      <c r="K17" s="1">
        <v>16</v>
      </c>
      <c r="L17" s="1">
        <v>12</v>
      </c>
      <c r="M17" s="1">
        <v>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22</v>
      </c>
      <c r="I19" s="1">
        <v>10</v>
      </c>
      <c r="J19" s="1">
        <v>10</v>
      </c>
      <c r="K19" s="1">
        <v>0</v>
      </c>
      <c r="L19" s="1">
        <v>9</v>
      </c>
      <c r="M19" s="1">
        <v>3</v>
      </c>
      <c r="N19" s="1">
        <v>18</v>
      </c>
      <c r="O19" s="1">
        <v>7</v>
      </c>
      <c r="P19" s="1">
        <v>17</v>
      </c>
      <c r="Q19" s="1">
        <v>22</v>
      </c>
      <c r="R19" s="1">
        <v>17</v>
      </c>
      <c r="S19" s="1">
        <v>29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16</v>
      </c>
      <c r="I20" s="1">
        <v>37</v>
      </c>
      <c r="J20" s="1">
        <v>51</v>
      </c>
      <c r="K20" s="1">
        <v>5</v>
      </c>
      <c r="L20" s="1">
        <v>43</v>
      </c>
      <c r="M20" s="1">
        <v>41</v>
      </c>
      <c r="N20" s="1">
        <v>34</v>
      </c>
      <c r="O20" s="1">
        <v>18</v>
      </c>
      <c r="P20" s="1">
        <v>0</v>
      </c>
      <c r="Q20" s="1">
        <v>20</v>
      </c>
      <c r="R20" s="1">
        <v>26</v>
      </c>
      <c r="S20" s="1">
        <v>14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138</v>
      </c>
      <c r="J21" s="1">
        <v>108</v>
      </c>
      <c r="K21" s="1">
        <v>215</v>
      </c>
      <c r="L21" s="1">
        <v>651</v>
      </c>
      <c r="M21" s="1">
        <v>201</v>
      </c>
      <c r="N21" s="1">
        <v>175</v>
      </c>
      <c r="O21" s="1">
        <v>102</v>
      </c>
      <c r="P21" s="1">
        <v>94</v>
      </c>
      <c r="Q21" s="1">
        <v>133</v>
      </c>
      <c r="R21" s="1">
        <v>103</v>
      </c>
      <c r="S21" s="1">
        <v>88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37</v>
      </c>
      <c r="I22" s="1">
        <v>9</v>
      </c>
      <c r="J22" s="1">
        <v>9</v>
      </c>
      <c r="K22" s="1">
        <v>15</v>
      </c>
      <c r="L22" s="1">
        <v>10</v>
      </c>
      <c r="M22" s="1">
        <v>8</v>
      </c>
      <c r="N22" s="1">
        <v>5</v>
      </c>
      <c r="O22" s="1">
        <v>15</v>
      </c>
      <c r="P22" s="1">
        <v>15</v>
      </c>
      <c r="Q22" s="1">
        <v>18</v>
      </c>
      <c r="R22" s="1">
        <v>17</v>
      </c>
      <c r="S22" s="1">
        <v>24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32</v>
      </c>
      <c r="J23" s="1">
        <v>39</v>
      </c>
      <c r="K23" s="1">
        <v>37</v>
      </c>
      <c r="L23" s="1">
        <v>17</v>
      </c>
      <c r="M23" s="1">
        <v>20</v>
      </c>
      <c r="N23" s="1">
        <v>34</v>
      </c>
      <c r="O23" s="1">
        <v>39</v>
      </c>
      <c r="P23" s="1">
        <v>68</v>
      </c>
      <c r="Q23" s="1">
        <v>47</v>
      </c>
      <c r="R23" s="1">
        <v>43</v>
      </c>
      <c r="S23" s="1">
        <v>24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1</v>
      </c>
      <c r="I24" s="1">
        <v>4</v>
      </c>
      <c r="J24" s="1">
        <v>1</v>
      </c>
      <c r="K24" s="1">
        <v>10</v>
      </c>
      <c r="L24" s="1">
        <v>8</v>
      </c>
      <c r="M24" s="1">
        <v>0</v>
      </c>
      <c r="N24" s="1">
        <v>0</v>
      </c>
      <c r="O24" s="1">
        <v>0</v>
      </c>
      <c r="P24" s="1">
        <v>13</v>
      </c>
      <c r="Q24" s="1">
        <v>1</v>
      </c>
      <c r="R24" s="1">
        <v>0</v>
      </c>
      <c r="S24" s="1">
        <v>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36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13</v>
      </c>
      <c r="O27" s="1">
        <v>16</v>
      </c>
      <c r="P27" s="1">
        <v>11</v>
      </c>
      <c r="Q27" s="1">
        <v>11</v>
      </c>
      <c r="R27" s="1">
        <v>12</v>
      </c>
      <c r="S27" s="1">
        <v>44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">
        <v>0</v>
      </c>
      <c r="Q29" s="1">
        <v>3</v>
      </c>
      <c r="R29" s="1">
        <v>21</v>
      </c>
      <c r="S29" s="1">
        <v>15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5</v>
      </c>
      <c r="Q30" s="1">
        <v>6</v>
      </c>
      <c r="R30" s="1">
        <v>3</v>
      </c>
      <c r="S30" s="1">
        <v>1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1</v>
      </c>
      <c r="I35" s="1">
        <v>1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14</v>
      </c>
      <c r="I37" s="1">
        <v>0</v>
      </c>
      <c r="J37" s="1">
        <v>16</v>
      </c>
      <c r="K37" s="1">
        <v>15</v>
      </c>
      <c r="L37" s="1">
        <v>29</v>
      </c>
      <c r="M37" s="1">
        <v>49</v>
      </c>
      <c r="N37" s="1">
        <v>38</v>
      </c>
      <c r="O37" s="1">
        <v>0</v>
      </c>
      <c r="P37" s="1">
        <v>36</v>
      </c>
      <c r="Q37" s="1">
        <v>8</v>
      </c>
      <c r="R37" s="1">
        <v>28</v>
      </c>
      <c r="S37" s="1">
        <v>25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62</v>
      </c>
      <c r="J42" s="1">
        <v>10</v>
      </c>
      <c r="K42" s="1">
        <v>6</v>
      </c>
      <c r="L42" s="1">
        <v>4</v>
      </c>
      <c r="M42" s="1">
        <v>3</v>
      </c>
      <c r="N42" s="1">
        <v>6</v>
      </c>
      <c r="O42" s="1">
        <v>20</v>
      </c>
      <c r="P42" s="1">
        <v>3</v>
      </c>
      <c r="Q42" s="1">
        <v>2</v>
      </c>
      <c r="R42" s="1">
        <v>1</v>
      </c>
      <c r="S42" s="1">
        <v>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164</v>
      </c>
      <c r="I49" s="1">
        <v>181</v>
      </c>
      <c r="J49" s="1">
        <v>177</v>
      </c>
      <c r="K49" s="1">
        <v>240</v>
      </c>
      <c r="L49" s="1">
        <v>149</v>
      </c>
      <c r="M49" s="1">
        <v>178</v>
      </c>
      <c r="N49" s="1">
        <v>270</v>
      </c>
      <c r="O49" s="1">
        <v>141</v>
      </c>
      <c r="P49" s="1">
        <v>130</v>
      </c>
      <c r="Q49" s="1">
        <v>407</v>
      </c>
      <c r="R49" s="1">
        <v>84</v>
      </c>
      <c r="S49" s="1">
        <v>167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16</v>
      </c>
      <c r="I50" s="1">
        <v>0</v>
      </c>
      <c r="J50" s="1">
        <v>16</v>
      </c>
      <c r="K50" s="1">
        <v>6</v>
      </c>
      <c r="L50" s="1">
        <v>26</v>
      </c>
      <c r="M50" s="1">
        <v>12</v>
      </c>
      <c r="N50" s="1">
        <v>0</v>
      </c>
      <c r="O50" s="1">
        <v>16</v>
      </c>
      <c r="P50" s="1">
        <v>7</v>
      </c>
      <c r="Q50" s="1">
        <v>7</v>
      </c>
      <c r="R50" s="1">
        <v>18</v>
      </c>
      <c r="S50" s="1">
        <v>10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51</v>
      </c>
      <c r="I52" s="1">
        <v>14</v>
      </c>
      <c r="J52" s="1">
        <v>6</v>
      </c>
      <c r="K52" s="1">
        <v>189</v>
      </c>
      <c r="L52" s="1">
        <v>10</v>
      </c>
      <c r="M52" s="1">
        <v>159</v>
      </c>
      <c r="N52" s="1">
        <v>443</v>
      </c>
      <c r="O52" s="1">
        <v>51</v>
      </c>
      <c r="P52" s="1">
        <v>159</v>
      </c>
      <c r="Q52" s="1">
        <v>81</v>
      </c>
      <c r="R52" s="1">
        <v>594</v>
      </c>
      <c r="S52" s="1">
        <v>111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4</v>
      </c>
      <c r="I53" s="1">
        <v>5</v>
      </c>
      <c r="J53" s="1">
        <v>7</v>
      </c>
      <c r="K53" s="1">
        <v>1</v>
      </c>
      <c r="L53" s="1">
        <v>2</v>
      </c>
      <c r="M53" s="1">
        <v>3</v>
      </c>
      <c r="N53" s="1">
        <v>3</v>
      </c>
      <c r="O53" s="1">
        <v>3</v>
      </c>
      <c r="P53" s="1">
        <v>0</v>
      </c>
      <c r="Q53" s="1">
        <v>2</v>
      </c>
      <c r="R53" s="1">
        <v>2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65</v>
      </c>
      <c r="J55" s="1">
        <v>5</v>
      </c>
      <c r="K55" s="1">
        <v>148</v>
      </c>
      <c r="L55" s="1">
        <v>99</v>
      </c>
      <c r="M55" s="1">
        <v>94</v>
      </c>
      <c r="N55" s="1">
        <v>128</v>
      </c>
      <c r="O55" s="1">
        <v>71</v>
      </c>
      <c r="P55" s="1">
        <v>10</v>
      </c>
      <c r="Q55" s="1">
        <v>20</v>
      </c>
      <c r="R55" s="1">
        <v>2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2" priority="5"/>
  </conditionalFormatting>
  <conditionalFormatting sqref="B1:C1">
    <cfRule type="duplicateValues" dxfId="41" priority="2"/>
  </conditionalFormatting>
  <conditionalFormatting sqref="C2:C57">
    <cfRule type="duplicateValues" dxfId="40" priority="3"/>
  </conditionalFormatting>
  <conditionalFormatting sqref="D1:E1">
    <cfRule type="duplicateValues" dxfId="39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3720-48ED-4427-A1B1-72173D7C1D54}"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27.33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5.60025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17.418279999999999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9.1849900000000009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128.29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5.4367400000000004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15.0436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122.17864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16.652439999999999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</row>
  </sheetData>
  <conditionalFormatting sqref="B2:B57">
    <cfRule type="duplicateValues" dxfId="38" priority="5"/>
  </conditionalFormatting>
  <conditionalFormatting sqref="B1:C1">
    <cfRule type="duplicateValues" dxfId="37" priority="3"/>
  </conditionalFormatting>
  <conditionalFormatting sqref="C2:C57">
    <cfRule type="duplicateValues" dxfId="36" priority="1"/>
  </conditionalFormatting>
  <conditionalFormatting sqref="D1:E1">
    <cfRule type="duplicateValues" dxfId="35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3BC-A00B-4FC9-9D8B-062930C1B5B3}"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45.33</v>
      </c>
      <c r="I2" s="5">
        <v>45</v>
      </c>
      <c r="J2" s="5">
        <v>31.9</v>
      </c>
      <c r="K2" s="5">
        <v>27.25</v>
      </c>
      <c r="L2" s="5">
        <v>26.25</v>
      </c>
      <c r="M2" s="5">
        <v>27.25</v>
      </c>
      <c r="N2" s="5">
        <v>27.25</v>
      </c>
      <c r="O2" s="5">
        <v>25.8</v>
      </c>
      <c r="P2" s="5">
        <v>24.5</v>
      </c>
      <c r="Q2" s="5">
        <v>20.5</v>
      </c>
      <c r="R2" s="5">
        <v>11.5</v>
      </c>
      <c r="S2" s="5">
        <v>2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7.84</v>
      </c>
      <c r="I3" s="5">
        <v>5.5</v>
      </c>
      <c r="J3" s="5">
        <v>5.8</v>
      </c>
      <c r="K3" s="5">
        <v>6.05</v>
      </c>
      <c r="L3" s="5">
        <v>7</v>
      </c>
      <c r="M3" s="5">
        <v>5.25</v>
      </c>
      <c r="N3" s="5">
        <v>2.75</v>
      </c>
      <c r="O3" s="5">
        <v>3.2</v>
      </c>
      <c r="P3" s="5">
        <v>2.7</v>
      </c>
      <c r="Q3" s="5">
        <v>3</v>
      </c>
      <c r="R3" s="5">
        <v>4</v>
      </c>
      <c r="S3" s="5">
        <v>4.5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14.33</v>
      </c>
      <c r="I6" s="5">
        <v>14</v>
      </c>
      <c r="J6" s="5">
        <v>15</v>
      </c>
      <c r="K6" s="5">
        <v>15.25</v>
      </c>
      <c r="L6" s="5">
        <v>14.25</v>
      </c>
      <c r="M6" s="5">
        <v>16.25</v>
      </c>
      <c r="N6" s="5">
        <v>11.25</v>
      </c>
      <c r="O6" s="5">
        <v>2.8</v>
      </c>
      <c r="P6" s="5">
        <v>3.5</v>
      </c>
      <c r="Q6" s="5">
        <v>0.2</v>
      </c>
      <c r="R6" s="5">
        <v>0.2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1.5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5</v>
      </c>
      <c r="I9" s="5">
        <v>5</v>
      </c>
      <c r="J9" s="5">
        <v>5</v>
      </c>
      <c r="K9" s="5">
        <v>5.25</v>
      </c>
      <c r="L9" s="5">
        <v>6.75</v>
      </c>
      <c r="M9" s="5">
        <v>9.75</v>
      </c>
      <c r="N9" s="5">
        <v>11.75</v>
      </c>
      <c r="O9" s="5">
        <v>13.5</v>
      </c>
      <c r="P9" s="5">
        <v>12</v>
      </c>
      <c r="Q9" s="5">
        <v>12</v>
      </c>
      <c r="R9" s="5">
        <v>12</v>
      </c>
      <c r="S9" s="5">
        <v>15.5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9.5</v>
      </c>
      <c r="I11" s="5">
        <v>10.5</v>
      </c>
      <c r="J11" s="5">
        <v>11.5</v>
      </c>
      <c r="K11" s="5">
        <v>12</v>
      </c>
      <c r="L11" s="5">
        <v>11</v>
      </c>
      <c r="M11" s="5">
        <v>11</v>
      </c>
      <c r="N11" s="5">
        <v>10</v>
      </c>
      <c r="O11" s="5">
        <v>9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11.4</v>
      </c>
      <c r="I12" s="5">
        <v>10</v>
      </c>
      <c r="J12" s="5">
        <v>10</v>
      </c>
      <c r="K12" s="5">
        <v>10</v>
      </c>
      <c r="L12" s="5">
        <v>9</v>
      </c>
      <c r="M12" s="5">
        <v>10</v>
      </c>
      <c r="N12" s="5">
        <v>10</v>
      </c>
      <c r="O12" s="5">
        <v>8</v>
      </c>
      <c r="P12" s="5">
        <v>8</v>
      </c>
      <c r="Q12" s="5">
        <v>8</v>
      </c>
      <c r="R12" s="5">
        <v>8</v>
      </c>
      <c r="S12" s="5">
        <v>4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16.100000000000001</v>
      </c>
      <c r="L13" s="5">
        <v>19.5</v>
      </c>
      <c r="M13" s="5">
        <v>30.15</v>
      </c>
      <c r="N13" s="5">
        <v>29</v>
      </c>
      <c r="O13" s="5">
        <v>43.5</v>
      </c>
      <c r="P13" s="5">
        <v>45</v>
      </c>
      <c r="Q13" s="5">
        <v>47.4</v>
      </c>
      <c r="R13" s="5">
        <v>46.4</v>
      </c>
      <c r="S13" s="5">
        <v>52.5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</v>
      </c>
      <c r="I17" s="5">
        <v>7</v>
      </c>
      <c r="J17" s="5">
        <v>7</v>
      </c>
      <c r="K17" s="5">
        <v>6</v>
      </c>
      <c r="L17" s="5">
        <v>6</v>
      </c>
      <c r="M17" s="5">
        <v>7</v>
      </c>
      <c r="N17" s="5">
        <v>3</v>
      </c>
      <c r="O17" s="5">
        <v>4</v>
      </c>
      <c r="P17" s="5">
        <v>4</v>
      </c>
      <c r="Q17" s="5">
        <v>4</v>
      </c>
      <c r="R17" s="5">
        <v>3</v>
      </c>
      <c r="S17" s="5">
        <v>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12</v>
      </c>
      <c r="J19" s="5">
        <v>11</v>
      </c>
      <c r="K19" s="5">
        <v>10.9</v>
      </c>
      <c r="L19" s="5">
        <v>10</v>
      </c>
      <c r="M19" s="5">
        <v>12</v>
      </c>
      <c r="N19" s="5">
        <v>13</v>
      </c>
      <c r="O19" s="5">
        <v>10</v>
      </c>
      <c r="P19" s="5">
        <v>10</v>
      </c>
      <c r="Q19" s="5">
        <v>10</v>
      </c>
      <c r="R19" s="5">
        <v>11</v>
      </c>
      <c r="S19" s="5">
        <v>11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18.5</v>
      </c>
      <c r="I20" s="5">
        <v>16</v>
      </c>
      <c r="J20" s="5">
        <v>16</v>
      </c>
      <c r="K20" s="5">
        <v>16</v>
      </c>
      <c r="L20" s="5">
        <v>16</v>
      </c>
      <c r="M20" s="5">
        <v>16</v>
      </c>
      <c r="N20" s="5">
        <v>16</v>
      </c>
      <c r="O20" s="5">
        <v>16.5</v>
      </c>
      <c r="P20" s="5">
        <v>12.5</v>
      </c>
      <c r="Q20" s="5">
        <v>8</v>
      </c>
      <c r="R20" s="5">
        <v>8</v>
      </c>
      <c r="S20" s="5">
        <v>8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61.2</v>
      </c>
      <c r="I21" s="5">
        <v>58</v>
      </c>
      <c r="J21" s="5">
        <v>52.7</v>
      </c>
      <c r="K21" s="5">
        <v>51.4</v>
      </c>
      <c r="L21" s="5">
        <v>52.5</v>
      </c>
      <c r="M21" s="5">
        <v>53</v>
      </c>
      <c r="N21" s="5">
        <v>52</v>
      </c>
      <c r="O21" s="5">
        <v>50</v>
      </c>
      <c r="P21" s="5">
        <v>52</v>
      </c>
      <c r="Q21" s="5">
        <v>53</v>
      </c>
      <c r="R21" s="5">
        <v>54</v>
      </c>
      <c r="S21" s="5">
        <v>56.5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</v>
      </c>
      <c r="I22" s="5">
        <v>12</v>
      </c>
      <c r="J22" s="5">
        <v>11</v>
      </c>
      <c r="K22" s="5">
        <v>11</v>
      </c>
      <c r="L22" s="5">
        <v>11</v>
      </c>
      <c r="M22" s="5">
        <v>11</v>
      </c>
      <c r="N22" s="5">
        <v>11</v>
      </c>
      <c r="O22" s="5">
        <v>12</v>
      </c>
      <c r="P22" s="5">
        <v>11</v>
      </c>
      <c r="Q22" s="5">
        <v>10</v>
      </c>
      <c r="R22" s="5">
        <v>9</v>
      </c>
      <c r="S22" s="5">
        <v>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33</v>
      </c>
      <c r="I23" s="5">
        <v>33</v>
      </c>
      <c r="J23" s="5">
        <v>34.9</v>
      </c>
      <c r="K23" s="5">
        <v>33.9</v>
      </c>
      <c r="L23" s="5">
        <v>30</v>
      </c>
      <c r="M23" s="5">
        <v>34.85</v>
      </c>
      <c r="N23" s="5">
        <v>32</v>
      </c>
      <c r="O23" s="5">
        <v>32</v>
      </c>
      <c r="P23" s="5">
        <v>28</v>
      </c>
      <c r="Q23" s="5">
        <v>30</v>
      </c>
      <c r="R23" s="5">
        <v>27</v>
      </c>
      <c r="S23" s="5">
        <v>30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21.5</v>
      </c>
      <c r="I24" s="5">
        <v>20</v>
      </c>
      <c r="J24" s="5">
        <v>19</v>
      </c>
      <c r="K24" s="5">
        <v>18</v>
      </c>
      <c r="L24" s="5">
        <v>20</v>
      </c>
      <c r="M24" s="5">
        <v>14</v>
      </c>
      <c r="N24" s="5">
        <v>14.5</v>
      </c>
      <c r="O24" s="5">
        <v>7.5</v>
      </c>
      <c r="P24" s="5">
        <v>5.8</v>
      </c>
      <c r="Q24" s="5">
        <v>6.8</v>
      </c>
      <c r="R24" s="5">
        <v>8.8000000000000007</v>
      </c>
      <c r="S24" s="5">
        <v>10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4</v>
      </c>
      <c r="I25" s="5">
        <v>4</v>
      </c>
      <c r="J25" s="5">
        <v>3.7</v>
      </c>
      <c r="K25" s="5">
        <v>1.7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1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8</v>
      </c>
      <c r="L27" s="5">
        <v>9</v>
      </c>
      <c r="M27" s="5">
        <v>16</v>
      </c>
      <c r="N27" s="5">
        <v>11</v>
      </c>
      <c r="O27" s="5">
        <v>10</v>
      </c>
      <c r="P27" s="5">
        <v>10</v>
      </c>
      <c r="Q27" s="5">
        <v>9</v>
      </c>
      <c r="R27" s="5">
        <v>15</v>
      </c>
      <c r="S27" s="5">
        <v>14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</v>
      </c>
      <c r="K28" s="5">
        <v>1</v>
      </c>
      <c r="L28" s="5">
        <v>2</v>
      </c>
      <c r="M28" s="5">
        <v>3</v>
      </c>
      <c r="N28" s="5">
        <v>2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8</v>
      </c>
      <c r="M29" s="5">
        <v>8</v>
      </c>
      <c r="N29" s="5">
        <v>8</v>
      </c>
      <c r="O29" s="5">
        <v>6</v>
      </c>
      <c r="P29" s="5">
        <v>5</v>
      </c>
      <c r="Q29" s="5">
        <v>5</v>
      </c>
      <c r="R29" s="5">
        <v>7</v>
      </c>
      <c r="S29" s="5">
        <v>7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3</v>
      </c>
      <c r="O30" s="5">
        <v>5</v>
      </c>
      <c r="P30" s="5">
        <v>4</v>
      </c>
      <c r="Q30" s="5">
        <v>5</v>
      </c>
      <c r="R30" s="5">
        <v>5</v>
      </c>
      <c r="S30" s="5">
        <v>5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8.5</v>
      </c>
      <c r="P31" s="5">
        <v>19</v>
      </c>
      <c r="Q31" s="5">
        <v>22.1</v>
      </c>
      <c r="R31" s="5">
        <v>32.1</v>
      </c>
      <c r="S31" s="5">
        <v>33.5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</v>
      </c>
      <c r="R32" s="5">
        <v>6</v>
      </c>
      <c r="S32" s="5">
        <v>7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9.34</v>
      </c>
      <c r="I33" s="5">
        <v>11.5</v>
      </c>
      <c r="J33" s="5">
        <v>11</v>
      </c>
      <c r="K33" s="5">
        <v>13</v>
      </c>
      <c r="L33" s="5">
        <v>11.5</v>
      </c>
      <c r="M33" s="5">
        <v>14</v>
      </c>
      <c r="N33" s="5">
        <v>9</v>
      </c>
      <c r="O33" s="5">
        <v>9</v>
      </c>
      <c r="P33" s="5">
        <v>7</v>
      </c>
      <c r="Q33" s="5">
        <v>6</v>
      </c>
      <c r="R33" s="5">
        <v>6</v>
      </c>
      <c r="S33" s="5">
        <v>7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4</v>
      </c>
      <c r="I34" s="5">
        <v>1.5</v>
      </c>
      <c r="J34" s="5">
        <v>2</v>
      </c>
      <c r="K34" s="5">
        <v>3</v>
      </c>
      <c r="L34" s="5">
        <v>2.5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3.33</v>
      </c>
      <c r="I35" s="5">
        <v>3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6</v>
      </c>
      <c r="I36" s="5">
        <v>6</v>
      </c>
      <c r="J36" s="5">
        <v>5</v>
      </c>
      <c r="K36" s="5">
        <v>3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11.33</v>
      </c>
      <c r="I37" s="5">
        <v>10</v>
      </c>
      <c r="J37" s="5">
        <v>9</v>
      </c>
      <c r="K37" s="5">
        <v>7</v>
      </c>
      <c r="L37" s="5">
        <v>7</v>
      </c>
      <c r="M37" s="5">
        <v>8</v>
      </c>
      <c r="N37" s="5">
        <v>8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12</v>
      </c>
      <c r="K38" s="5">
        <v>12</v>
      </c>
      <c r="L38" s="5">
        <v>11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5.5</v>
      </c>
      <c r="I42" s="5">
        <v>6</v>
      </c>
      <c r="J42" s="5">
        <v>6</v>
      </c>
      <c r="K42" s="5">
        <v>6</v>
      </c>
      <c r="L42" s="5">
        <v>6</v>
      </c>
      <c r="M42" s="5">
        <v>6</v>
      </c>
      <c r="N42" s="5">
        <v>9</v>
      </c>
      <c r="O42" s="5">
        <v>7</v>
      </c>
      <c r="P42" s="5">
        <v>7</v>
      </c>
      <c r="Q42" s="5">
        <v>7</v>
      </c>
      <c r="R42" s="5">
        <v>7</v>
      </c>
      <c r="S42" s="5">
        <v>8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4</v>
      </c>
      <c r="I43" s="5">
        <v>4</v>
      </c>
      <c r="J43" s="5">
        <v>4.9000000000000004</v>
      </c>
      <c r="K43" s="5">
        <v>5</v>
      </c>
      <c r="L43" s="5">
        <v>5</v>
      </c>
      <c r="M43" s="5">
        <v>5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</v>
      </c>
      <c r="I44" s="5">
        <v>4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>
        <v>2</v>
      </c>
      <c r="P44" s="5">
        <v>2</v>
      </c>
      <c r="Q44" s="5">
        <v>2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5</v>
      </c>
      <c r="Q46" s="5">
        <v>5</v>
      </c>
      <c r="R46" s="5">
        <v>7</v>
      </c>
      <c r="S46" s="5">
        <v>6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5">
        <v>4</v>
      </c>
      <c r="R47" s="5">
        <v>5</v>
      </c>
      <c r="S47" s="5">
        <v>5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55.8</v>
      </c>
      <c r="I49" s="5">
        <v>59</v>
      </c>
      <c r="J49" s="5">
        <v>59</v>
      </c>
      <c r="K49" s="5">
        <v>57</v>
      </c>
      <c r="L49" s="5">
        <v>54</v>
      </c>
      <c r="M49" s="5">
        <v>54</v>
      </c>
      <c r="N49" s="5">
        <v>54</v>
      </c>
      <c r="O49" s="5">
        <v>52.2</v>
      </c>
      <c r="P49" s="5">
        <v>50</v>
      </c>
      <c r="Q49" s="5">
        <v>50</v>
      </c>
      <c r="R49" s="5">
        <v>49</v>
      </c>
      <c r="S49" s="5">
        <v>48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11</v>
      </c>
      <c r="O50" s="5">
        <v>12</v>
      </c>
      <c r="P50" s="5">
        <v>12</v>
      </c>
      <c r="Q50" s="5">
        <v>12</v>
      </c>
      <c r="R50" s="5">
        <v>16</v>
      </c>
      <c r="S50" s="5">
        <v>14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7</v>
      </c>
      <c r="I51" s="5">
        <v>7</v>
      </c>
      <c r="J51" s="5">
        <v>4</v>
      </c>
      <c r="K51" s="5">
        <v>3</v>
      </c>
      <c r="L51" s="5">
        <v>2</v>
      </c>
      <c r="M51" s="5">
        <v>2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67.5</v>
      </c>
      <c r="I52" s="5">
        <v>62.5</v>
      </c>
      <c r="J52" s="5">
        <v>49</v>
      </c>
      <c r="K52" s="5">
        <v>39</v>
      </c>
      <c r="L52" s="5">
        <v>43</v>
      </c>
      <c r="M52" s="5">
        <v>44</v>
      </c>
      <c r="N52" s="5">
        <v>51</v>
      </c>
      <c r="O52" s="5">
        <v>50.8</v>
      </c>
      <c r="P52" s="5">
        <v>52</v>
      </c>
      <c r="Q52" s="5">
        <v>52</v>
      </c>
      <c r="R52" s="5">
        <v>44</v>
      </c>
      <c r="S52" s="5">
        <v>43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</v>
      </c>
      <c r="I53" s="5">
        <v>3</v>
      </c>
      <c r="J53" s="5">
        <v>3</v>
      </c>
      <c r="K53" s="5">
        <v>3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15</v>
      </c>
      <c r="I55" s="5">
        <v>8</v>
      </c>
      <c r="J55" s="5">
        <v>8</v>
      </c>
      <c r="K55" s="5">
        <v>8</v>
      </c>
      <c r="L55" s="5">
        <v>12</v>
      </c>
      <c r="M55" s="5">
        <v>14</v>
      </c>
      <c r="N55" s="5">
        <v>12</v>
      </c>
      <c r="O55" s="5">
        <v>11.5</v>
      </c>
      <c r="P55" s="5">
        <v>13</v>
      </c>
      <c r="Q55" s="5">
        <v>12</v>
      </c>
      <c r="R55" s="5">
        <v>0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8</v>
      </c>
      <c r="I57" s="5">
        <v>9</v>
      </c>
      <c r="J57" s="5">
        <v>18</v>
      </c>
      <c r="K57" s="5">
        <v>6.7</v>
      </c>
      <c r="L57" s="5">
        <v>7</v>
      </c>
      <c r="M57" s="5">
        <v>7</v>
      </c>
      <c r="N57" s="5">
        <v>7</v>
      </c>
      <c r="O57" s="5">
        <v>7</v>
      </c>
      <c r="P57" s="5">
        <v>6</v>
      </c>
      <c r="Q57" s="5">
        <v>5</v>
      </c>
      <c r="R57" s="5">
        <v>3</v>
      </c>
      <c r="S57" s="5">
        <v>6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5">
        <v>29</v>
      </c>
      <c r="I58" s="5">
        <v>27</v>
      </c>
      <c r="J58" s="5">
        <v>27.5</v>
      </c>
      <c r="K58" s="5">
        <v>19</v>
      </c>
      <c r="L58" s="5">
        <v>10</v>
      </c>
      <c r="M58" s="5">
        <v>12</v>
      </c>
      <c r="N58" s="5">
        <v>11</v>
      </c>
      <c r="O58" s="5">
        <v>4</v>
      </c>
      <c r="P58" s="5">
        <v>0</v>
      </c>
      <c r="Q58" s="5">
        <v>0</v>
      </c>
      <c r="R58" s="5">
        <v>2</v>
      </c>
      <c r="S58" s="5">
        <v>1</v>
      </c>
    </row>
  </sheetData>
  <conditionalFormatting sqref="B2:B57">
    <cfRule type="duplicateValues" dxfId="34" priority="5"/>
  </conditionalFormatting>
  <conditionalFormatting sqref="B1:C1">
    <cfRule type="duplicateValues" dxfId="33" priority="3"/>
  </conditionalFormatting>
  <conditionalFormatting sqref="C2:C58">
    <cfRule type="duplicateValues" dxfId="32" priority="1"/>
  </conditionalFormatting>
  <conditionalFormatting sqref="D1:E1">
    <cfRule type="duplicateValues" dxfId="31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D52-177D-4155-B6C8-EC102419DD18}">
  <sheetPr codeName="Sheet16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f>Revenue_Actual!H2/Target_Rev_Productivity!H2</f>
        <v>37.774999999999999</v>
      </c>
      <c r="I2" s="5">
        <f>Revenue_Actual!I2/Target_Rev_Productivity!I2</f>
        <v>37.5</v>
      </c>
      <c r="J2" s="5">
        <f>Revenue_Actual!J2/Target_Rev_Productivity!J2</f>
        <v>26.583333333333336</v>
      </c>
      <c r="K2" s="5">
        <f>Revenue_Actual!K2/Target_Rev_Productivity!K2</f>
        <v>22.708333333333332</v>
      </c>
      <c r="L2" s="5">
        <f>Revenue_Actual!L2/Target_Rev_Productivity!L2</f>
        <v>21.875000000000004</v>
      </c>
      <c r="M2" s="5">
        <f>Revenue_Actual!M2/Target_Rev_Productivity!M2</f>
        <v>26.072530864197528</v>
      </c>
      <c r="N2" s="5">
        <f>Revenue_Actual!N2/Target_Rev_Productivity!N2</f>
        <v>22.708333333333332</v>
      </c>
      <c r="O2" s="5">
        <f>Revenue_Actual!O2/Target_Rev_Productivity!O2</f>
        <v>21.5</v>
      </c>
      <c r="P2" s="5">
        <f>Revenue_Actual!P2/Target_Rev_Productivity!P2</f>
        <v>20.416666666666664</v>
      </c>
      <c r="Q2" s="5">
        <f>Revenue_Actual!Q2/Target_Rev_Productivity!Q2</f>
        <v>17.083333333333336</v>
      </c>
      <c r="R2" s="5">
        <f>Revenue_Actual!R2/Target_Rev_Productivity!R2</f>
        <v>9.5833333333333321</v>
      </c>
      <c r="S2" s="5">
        <f>Revenue_Actual!S2/Target_Rev_Productivity!S2</f>
        <v>1.6666666666666667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f>Revenue_Actual!H3/Target_Rev_Productivity!H3</f>
        <v>6.5333333333333332</v>
      </c>
      <c r="I3" s="5">
        <f>Revenue_Actual!I3/Target_Rev_Productivity!I3</f>
        <v>4.5833333333333339</v>
      </c>
      <c r="J3" s="5">
        <f>Revenue_Actual!J3/Target_Rev_Productivity!J3</f>
        <v>4.833333333333333</v>
      </c>
      <c r="K3" s="5">
        <f>Revenue_Actual!K3/Target_Rev_Productivity!K3</f>
        <v>5.041666666666667</v>
      </c>
      <c r="L3" s="5">
        <f>Revenue_Actual!L3/Target_Rev_Productivity!L3</f>
        <v>5.8333333333333339</v>
      </c>
      <c r="M3" s="5">
        <f>Revenue_Actual!M3/Target_Rev_Productivity!M3</f>
        <v>4.3750000000000009</v>
      </c>
      <c r="N3" s="5">
        <f>Revenue_Actual!N3/Target_Rev_Productivity!N3</f>
        <v>2.291666666666667</v>
      </c>
      <c r="O3" s="5">
        <f>Revenue_Actual!O3/Target_Rev_Productivity!O3</f>
        <v>2.6666666666666665</v>
      </c>
      <c r="P3" s="5">
        <f>Revenue_Actual!P3/Target_Rev_Productivity!P3</f>
        <v>2.25</v>
      </c>
      <c r="Q3" s="5">
        <f>Revenue_Actual!Q3/Target_Rev_Productivity!Q3</f>
        <v>2.5</v>
      </c>
      <c r="R3" s="5">
        <f>Revenue_Actual!R3/Target_Rev_Productivity!R3</f>
        <v>3.3333333333333335</v>
      </c>
      <c r="S3" s="5">
        <f>Revenue_Actual!S3/Target_Rev_Productivity!S3</f>
        <v>3.7500000000000004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f>Revenue_Actual!H4/Target_Rev_Productivity!H4</f>
        <v>5</v>
      </c>
      <c r="I4" s="5">
        <f>Revenue_Actual!I4/Target_Rev_Productivity!I4</f>
        <v>4.9999999999999991</v>
      </c>
      <c r="J4" s="5">
        <f>Revenue_Actual!J4/Target_Rev_Productivity!J4</f>
        <v>5</v>
      </c>
      <c r="K4" s="5">
        <f>Revenue_Actual!K4/Target_Rev_Productivity!K4</f>
        <v>3.3333333333333335</v>
      </c>
      <c r="L4" s="5">
        <f>Revenue_Actual!L4/Target_Rev_Productivity!L4</f>
        <v>3.3333333333333335</v>
      </c>
      <c r="M4" s="5">
        <f>Revenue_Actual!M4/Target_Rev_Productivity!M4</f>
        <v>3.3333333333333335</v>
      </c>
      <c r="N4" s="5">
        <f>Revenue_Actual!N4/Target_Rev_Productivity!N4</f>
        <v>3.3333333333333335</v>
      </c>
      <c r="O4" s="5">
        <f>Revenue_Actual!O4/Target_Rev_Productivity!O4</f>
        <v>2.5000000000000004</v>
      </c>
      <c r="P4" s="5">
        <f>Revenue_Actual!P4/Target_Rev_Productivity!P4</f>
        <v>2.5</v>
      </c>
      <c r="Q4" s="5">
        <f>Revenue_Actual!Q4/Target_Rev_Productivity!Q4</f>
        <v>2.5</v>
      </c>
      <c r="R4" s="5">
        <f>Revenue_Actual!R4/Target_Rev_Productivity!R4</f>
        <v>4.166666666666667</v>
      </c>
      <c r="S4" s="5">
        <f>Revenue_Actual!S4/Target_Rev_Productivity!S4</f>
        <v>3.7500000000000004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f>Revenue_Actual!H5/Target_Rev_Productivity!H5</f>
        <v>0.83333333333333326</v>
      </c>
      <c r="I5" s="5">
        <f>Revenue_Actual!I5/Target_Rev_Productivity!I5</f>
        <v>0.83333333333333337</v>
      </c>
      <c r="J5" s="5">
        <f>Revenue_Actual!J5/Target_Rev_Productivity!J5</f>
        <v>0.83333333333333326</v>
      </c>
      <c r="K5" s="5">
        <f>Revenue_Actual!K5/Target_Rev_Productivity!K5</f>
        <v>0.83333333333333337</v>
      </c>
      <c r="L5" s="5">
        <f>Revenue_Actual!L5/Target_Rev_Productivity!L5</f>
        <v>0.83333333333333337</v>
      </c>
      <c r="M5" s="5">
        <f>Revenue_Actual!M5/Target_Rev_Productivity!M5</f>
        <v>0.83333333333333337</v>
      </c>
      <c r="N5" s="5">
        <f>Revenue_Actual!N5/Target_Rev_Productivity!N5</f>
        <v>0.83333333333333326</v>
      </c>
      <c r="O5" s="5">
        <f>Revenue_Actual!O5/Target_Rev_Productivity!O5</f>
        <v>0</v>
      </c>
      <c r="P5" s="5">
        <f>Revenue_Actual!P5/Target_Rev_Productivity!P5</f>
        <v>1.6666666666666665</v>
      </c>
      <c r="Q5" s="5">
        <f>Revenue_Actual!Q5/Target_Rev_Productivity!Q5</f>
        <v>0</v>
      </c>
      <c r="R5" s="5">
        <f>Revenue_Actual!R5/Target_Rev_Productivity!R5</f>
        <v>0</v>
      </c>
      <c r="S5" s="5">
        <f>Revenue_Actual!S5/Target_Rev_Productivity!S5</f>
        <v>0.83333333333333337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f>Revenue_Actual!H6/Target_Rev_Productivity!H6</f>
        <v>11.941666666666665</v>
      </c>
      <c r="I6" s="5">
        <f>Revenue_Actual!I6/Target_Rev_Productivity!I6</f>
        <v>11.666666666666668</v>
      </c>
      <c r="J6" s="5">
        <f>Revenue_Actual!J6/Target_Rev_Productivity!J6</f>
        <v>12.5</v>
      </c>
      <c r="K6" s="5">
        <f>Revenue_Actual!K6/Target_Rev_Productivity!K6</f>
        <v>12.708333333333332</v>
      </c>
      <c r="L6" s="5">
        <f>Revenue_Actual!L6/Target_Rev_Productivity!L6</f>
        <v>11.875000000000002</v>
      </c>
      <c r="M6" s="5">
        <f>Revenue_Actual!M6/Target_Rev_Productivity!M6</f>
        <v>13.541666666666668</v>
      </c>
      <c r="N6" s="5">
        <f>Revenue_Actual!N6/Target_Rev_Productivity!N6</f>
        <v>9.375</v>
      </c>
      <c r="O6" s="5">
        <f>Revenue_Actual!O6/Target_Rev_Productivity!O6</f>
        <v>2.3333333333333335</v>
      </c>
      <c r="P6" s="5">
        <f>Revenue_Actual!P6/Target_Rev_Productivity!P6</f>
        <v>2.916666666666667</v>
      </c>
      <c r="Q6" s="5">
        <f>Revenue_Actual!Q6/Target_Rev_Productivity!Q6</f>
        <v>0</v>
      </c>
      <c r="R6" s="5">
        <f>Revenue_Actual!R6/Target_Rev_Productivity!R6</f>
        <v>0.16666666666666666</v>
      </c>
      <c r="S6" s="5">
        <f>Revenue_Actual!S6/Target_Rev_Productivity!S6</f>
        <v>-5.5192722222222219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f>Revenue_Actual!H7/Target_Rev_Productivity!H7</f>
        <v>1.25</v>
      </c>
      <c r="I7" s="5">
        <f>Revenue_Actual!I7/Target_Rev_Productivity!I7</f>
        <v>1.25</v>
      </c>
      <c r="J7" s="5">
        <f>Revenue_Actual!J7/Target_Rev_Productivity!J7</f>
        <v>1.25</v>
      </c>
      <c r="K7" s="5">
        <f>Revenue_Actual!K7/Target_Rev_Productivity!K7</f>
        <v>1.25</v>
      </c>
      <c r="L7" s="5">
        <f>Revenue_Actual!L7/Target_Rev_Productivity!L7</f>
        <v>0</v>
      </c>
      <c r="M7" s="5">
        <f>Revenue_Actual!M7/Target_Rev_Productivity!M7</f>
        <v>0</v>
      </c>
      <c r="N7" s="5">
        <f>Revenue_Actual!N7/Target_Rev_Productivity!N7</f>
        <v>0</v>
      </c>
      <c r="O7" s="5">
        <f>Revenue_Actual!O7/Target_Rev_Productivity!O7</f>
        <v>0</v>
      </c>
      <c r="P7" s="5">
        <f>Revenue_Actual!P7/Target_Rev_Productivity!P7</f>
        <v>0</v>
      </c>
      <c r="Q7" s="5">
        <f>Revenue_Actual!Q7/Target_Rev_Productivity!Q7</f>
        <v>0</v>
      </c>
      <c r="R7" s="5">
        <f>Revenue_Actual!R7/Target_Rev_Productivity!R7</f>
        <v>0</v>
      </c>
      <c r="S7" s="5">
        <f>Revenue_Actual!S7/Target_Rev_Productivity!S7</f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f>Revenue_Actual!H8/Target_Rev_Productivity!H8</f>
        <v>0</v>
      </c>
      <c r="I8" s="5">
        <f>Revenue_Actual!I8/Target_Rev_Productivity!I8</f>
        <v>0</v>
      </c>
      <c r="J8" s="5">
        <f>Revenue_Actual!J8/Target_Rev_Productivity!J8</f>
        <v>0</v>
      </c>
      <c r="K8" s="5">
        <f>Revenue_Actual!K8/Target_Rev_Productivity!K8</f>
        <v>0</v>
      </c>
      <c r="L8" s="5">
        <f>Revenue_Actual!L8/Target_Rev_Productivity!L8</f>
        <v>0</v>
      </c>
      <c r="M8" s="5">
        <f>Revenue_Actual!M8/Target_Rev_Productivity!M8</f>
        <v>0</v>
      </c>
      <c r="N8" s="5">
        <f>Revenue_Actual!N8/Target_Rev_Productivity!N8</f>
        <v>0</v>
      </c>
      <c r="O8" s="5">
        <f>Revenue_Actual!O8/Target_Rev_Productivity!O8</f>
        <v>0</v>
      </c>
      <c r="P8" s="5">
        <f>Revenue_Actual!P8/Target_Rev_Productivity!P8</f>
        <v>0</v>
      </c>
      <c r="Q8" s="5">
        <f>Revenue_Actual!Q8/Target_Rev_Productivity!Q8</f>
        <v>0</v>
      </c>
      <c r="R8" s="5">
        <f>Revenue_Actual!R8/Target_Rev_Productivity!R8</f>
        <v>0</v>
      </c>
      <c r="S8" s="5">
        <f>Revenue_Actual!S8/Target_Rev_Productivity!S8</f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f>Revenue_Actual!H9/Target_Rev_Productivity!H9</f>
        <v>4.166666666666667</v>
      </c>
      <c r="I9" s="5">
        <f>Revenue_Actual!I9/Target_Rev_Productivity!I9</f>
        <v>4.1666666666666679</v>
      </c>
      <c r="J9" s="5">
        <f>Revenue_Actual!J9/Target_Rev_Productivity!J9</f>
        <v>4.1666666666666661</v>
      </c>
      <c r="K9" s="5">
        <f>Revenue_Actual!K9/Target_Rev_Productivity!K9</f>
        <v>4.375</v>
      </c>
      <c r="L9" s="5">
        <f>Revenue_Actual!L9/Target_Rev_Productivity!L9</f>
        <v>5.625</v>
      </c>
      <c r="M9" s="5">
        <f>Revenue_Actual!M9/Target_Rev_Productivity!M9</f>
        <v>8.125</v>
      </c>
      <c r="N9" s="5">
        <f>Revenue_Actual!N9/Target_Rev_Productivity!N9</f>
        <v>9.7916666666666679</v>
      </c>
      <c r="O9" s="5">
        <f>Revenue_Actual!O9/Target_Rev_Productivity!O9</f>
        <v>11.25</v>
      </c>
      <c r="P9" s="5">
        <f>Revenue_Actual!P9/Target_Rev_Productivity!P9</f>
        <v>10</v>
      </c>
      <c r="Q9" s="5">
        <f>Revenue_Actual!Q9/Target_Rev_Productivity!Q9</f>
        <v>10</v>
      </c>
      <c r="R9" s="5">
        <f>Revenue_Actual!R9/Target_Rev_Productivity!R9</f>
        <v>10</v>
      </c>
      <c r="S9" s="5">
        <f>Revenue_Actual!S9/Target_Rev_Productivity!S9</f>
        <v>12.916666666666666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f>Revenue_Actual!H10/Target_Rev_Productivity!H10</f>
        <v>0</v>
      </c>
      <c r="I10" s="5">
        <f>Revenue_Actual!I10/Target_Rev_Productivity!I10</f>
        <v>0</v>
      </c>
      <c r="J10" s="5">
        <f>Revenue_Actual!J10/Target_Rev_Productivity!J10</f>
        <v>0</v>
      </c>
      <c r="K10" s="5">
        <f>Revenue_Actual!K10/Target_Rev_Productivity!K10</f>
        <v>0</v>
      </c>
      <c r="L10" s="5">
        <f>Revenue_Actual!L10/Target_Rev_Productivity!L10</f>
        <v>0</v>
      </c>
      <c r="M10" s="5">
        <f>Revenue_Actual!M10/Target_Rev_Productivity!M10</f>
        <v>0</v>
      </c>
      <c r="N10" s="5">
        <f>Revenue_Actual!N10/Target_Rev_Productivity!N10</f>
        <v>0</v>
      </c>
      <c r="O10" s="5">
        <f>Revenue_Actual!O10/Target_Rev_Productivity!O10</f>
        <v>0.83333333333333337</v>
      </c>
      <c r="P10" s="5">
        <f>Revenue_Actual!P10/Target_Rev_Productivity!P10</f>
        <v>0</v>
      </c>
      <c r="Q10" s="5">
        <f>Revenue_Actual!Q10/Target_Rev_Productivity!Q10</f>
        <v>0.83333333333333337</v>
      </c>
      <c r="R10" s="5">
        <f>Revenue_Actual!R10/Target_Rev_Productivity!R10</f>
        <v>1.6666666666666667</v>
      </c>
      <c r="S10" s="5">
        <f>Revenue_Actual!S10/Target_Rev_Productivity!S10</f>
        <v>2.5000000000000004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f>Revenue_Actual!H11/Target_Rev_Productivity!H11</f>
        <v>7.9166666666666661</v>
      </c>
      <c r="I11" s="5">
        <f>Revenue_Actual!I11/Target_Rev_Productivity!I11</f>
        <v>8.7500000000000018</v>
      </c>
      <c r="J11" s="5">
        <f>Revenue_Actual!J11/Target_Rev_Productivity!J11</f>
        <v>9.5833333333333339</v>
      </c>
      <c r="K11" s="5">
        <f>Revenue_Actual!K11/Target_Rev_Productivity!K11</f>
        <v>10</v>
      </c>
      <c r="L11" s="5">
        <f>Revenue_Actual!L11/Target_Rev_Productivity!L11</f>
        <v>9.1666666666666679</v>
      </c>
      <c r="M11" s="5">
        <f>Revenue_Actual!M11/Target_Rev_Productivity!M11</f>
        <v>9.1666666666666661</v>
      </c>
      <c r="N11" s="5">
        <f>Revenue_Actual!N11/Target_Rev_Productivity!N11</f>
        <v>8.3333333333333339</v>
      </c>
      <c r="O11" s="5">
        <f>Revenue_Actual!O11/Target_Rev_Productivity!O11</f>
        <v>7.5000000000000009</v>
      </c>
      <c r="P11" s="5">
        <f>Revenue_Actual!P11/Target_Rev_Productivity!P11</f>
        <v>7.5</v>
      </c>
      <c r="Q11" s="5">
        <f>Revenue_Actual!Q11/Target_Rev_Productivity!Q11</f>
        <v>7.5000000000000009</v>
      </c>
      <c r="R11" s="5">
        <f>Revenue_Actual!R11/Target_Rev_Productivity!R11</f>
        <v>7.5000000000000009</v>
      </c>
      <c r="S11" s="5">
        <f>Revenue_Actual!S11/Target_Rev_Productivity!S11</f>
        <v>7.4999999999999991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f>Revenue_Actual!H12/Target_Rev_Productivity!H12</f>
        <v>9.5</v>
      </c>
      <c r="I12" s="5">
        <f>Revenue_Actual!I12/Target_Rev_Productivity!I12</f>
        <v>8.3333333333333339</v>
      </c>
      <c r="J12" s="5">
        <f>Revenue_Actual!J12/Target_Rev_Productivity!J12</f>
        <v>8.3333333333333339</v>
      </c>
      <c r="K12" s="5">
        <f>Revenue_Actual!K12/Target_Rev_Productivity!K12</f>
        <v>8.3333333333333339</v>
      </c>
      <c r="L12" s="5">
        <f>Revenue_Actual!L12/Target_Rev_Productivity!L12</f>
        <v>7.5000000000000009</v>
      </c>
      <c r="M12" s="5">
        <f>Revenue_Actual!M12/Target_Rev_Productivity!M12</f>
        <v>8.3333333333333339</v>
      </c>
      <c r="N12" s="5">
        <f>Revenue_Actual!N12/Target_Rev_Productivity!N12</f>
        <v>8.3333333333333339</v>
      </c>
      <c r="O12" s="5">
        <f>Revenue_Actual!O12/Target_Rev_Productivity!O12</f>
        <v>6.6666666666666661</v>
      </c>
      <c r="P12" s="5">
        <f>Revenue_Actual!P12/Target_Rev_Productivity!P12</f>
        <v>6.666666666666667</v>
      </c>
      <c r="Q12" s="5">
        <f>Revenue_Actual!Q12/Target_Rev_Productivity!Q12</f>
        <v>6.666666666666667</v>
      </c>
      <c r="R12" s="5">
        <f>Revenue_Actual!R12/Target_Rev_Productivity!R12</f>
        <v>6.666666666666667</v>
      </c>
      <c r="S12" s="5">
        <f>Revenue_Actual!S12/Target_Rev_Productivity!S12</f>
        <v>3.3333333333333335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f>Revenue_Actual!H13/Target_Rev_Productivity!H13</f>
        <v>0.33333333333333331</v>
      </c>
      <c r="I13" s="5">
        <f>Revenue_Actual!I13/Target_Rev_Productivity!I13</f>
        <v>1.6666666666666665</v>
      </c>
      <c r="J13" s="5">
        <f>Revenue_Actual!J13/Target_Rev_Productivity!J13</f>
        <v>5.4166666666666679</v>
      </c>
      <c r="K13" s="5">
        <f>Revenue_Actual!K13/Target_Rev_Productivity!K13</f>
        <v>13.416666666666668</v>
      </c>
      <c r="L13" s="5">
        <f>Revenue_Actual!L13/Target_Rev_Productivity!L13</f>
        <v>16.250000000000004</v>
      </c>
      <c r="M13" s="5">
        <f>Revenue_Actual!M13/Target_Rev_Productivity!M13</f>
        <v>25.125</v>
      </c>
      <c r="N13" s="5">
        <f>Revenue_Actual!N13/Target_Rev_Productivity!N13</f>
        <v>24.166666666666664</v>
      </c>
      <c r="O13" s="5">
        <f>Revenue_Actual!O13/Target_Rev_Productivity!O13</f>
        <v>36.25</v>
      </c>
      <c r="P13" s="5">
        <f>Revenue_Actual!P13/Target_Rev_Productivity!P13</f>
        <v>37.5</v>
      </c>
      <c r="Q13" s="5">
        <f>Revenue_Actual!Q13/Target_Rev_Productivity!Q13</f>
        <v>39.500000000000007</v>
      </c>
      <c r="R13" s="5">
        <f>Revenue_Actual!R13/Target_Rev_Productivity!R13</f>
        <v>38.666666666666664</v>
      </c>
      <c r="S13" s="5">
        <f>Revenue_Actual!S13/Target_Rev_Productivity!S13</f>
        <v>43.75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f>Revenue_Actual!H14/Target_Rev_Productivity!H14</f>
        <v>0</v>
      </c>
      <c r="I14" s="5">
        <f>Revenue_Actual!I14/Target_Rev_Productivity!I14</f>
        <v>0</v>
      </c>
      <c r="J14" s="5">
        <f>Revenue_Actual!J14/Target_Rev_Productivity!J14</f>
        <v>0</v>
      </c>
      <c r="K14" s="5">
        <f>Revenue_Actual!K14/Target_Rev_Productivity!K14</f>
        <v>0</v>
      </c>
      <c r="L14" s="5">
        <f>Revenue_Actual!L14/Target_Rev_Productivity!L14</f>
        <v>2.7222222222222223</v>
      </c>
      <c r="M14" s="5">
        <f>Revenue_Actual!M14/Target_Rev_Productivity!M14</f>
        <v>0</v>
      </c>
      <c r="N14" s="5">
        <f>Revenue_Actual!N14/Target_Rev_Productivity!N14</f>
        <v>0</v>
      </c>
      <c r="O14" s="5">
        <f>Revenue_Actual!O14/Target_Rev_Productivity!O14</f>
        <v>0</v>
      </c>
      <c r="P14" s="5">
        <f>Revenue_Actual!P14/Target_Rev_Productivity!P14</f>
        <v>0</v>
      </c>
      <c r="Q14" s="5">
        <f>Revenue_Actual!Q14/Target_Rev_Productivity!Q14</f>
        <v>0.77777777777777768</v>
      </c>
      <c r="R14" s="5">
        <f>Revenue_Actual!R14/Target_Rev_Productivity!R14</f>
        <v>0</v>
      </c>
      <c r="S14" s="5">
        <f>Revenue_Actual!S14/Target_Rev_Productivity!S14</f>
        <v>0.83333333333333337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f>Revenue_Actual!H15/Target_Rev_Productivity!H15</f>
        <v>0</v>
      </c>
      <c r="I15" s="5">
        <f>Revenue_Actual!I15/Target_Rev_Productivity!I15</f>
        <v>0</v>
      </c>
      <c r="J15" s="5">
        <f>Revenue_Actual!J15/Target_Rev_Productivity!J15</f>
        <v>0</v>
      </c>
      <c r="K15" s="5">
        <f>Revenue_Actual!K15/Target_Rev_Productivity!K15</f>
        <v>0</v>
      </c>
      <c r="L15" s="5">
        <f>Revenue_Actual!L15/Target_Rev_Productivity!L15</f>
        <v>0</v>
      </c>
      <c r="M15" s="5">
        <f>Revenue_Actual!M15/Target_Rev_Productivity!M15</f>
        <v>1.1111111111111112</v>
      </c>
      <c r="N15" s="5">
        <f>Revenue_Actual!N15/Target_Rev_Productivity!N15</f>
        <v>0</v>
      </c>
      <c r="O15" s="5">
        <f>Revenue_Actual!O15/Target_Rev_Productivity!O15</f>
        <v>0.83333333333333337</v>
      </c>
      <c r="P15" s="5">
        <f>Revenue_Actual!P15/Target_Rev_Productivity!P15</f>
        <v>1.6666666666666667</v>
      </c>
      <c r="Q15" s="5">
        <f>Revenue_Actual!Q15/Target_Rev_Productivity!Q15</f>
        <v>0.83333333333333337</v>
      </c>
      <c r="R15" s="5">
        <f>Revenue_Actual!R15/Target_Rev_Productivity!R15</f>
        <v>0.83333333333333337</v>
      </c>
      <c r="S15" s="5">
        <f>Revenue_Actual!S15/Target_Rev_Productivity!S15</f>
        <v>1.6666666666666667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f>Revenue_Actual!H16/Target_Rev_Productivity!H16</f>
        <v>0</v>
      </c>
      <c r="I16" s="5">
        <f>Revenue_Actual!I16/Target_Rev_Productivity!I16</f>
        <v>0</v>
      </c>
      <c r="J16" s="5">
        <f>Revenue_Actual!J16/Target_Rev_Productivity!J16</f>
        <v>0</v>
      </c>
      <c r="K16" s="5">
        <f>Revenue_Actual!K16/Target_Rev_Productivity!K16</f>
        <v>0</v>
      </c>
      <c r="L16" s="5">
        <f>Revenue_Actual!L16/Target_Rev_Productivity!L16</f>
        <v>0</v>
      </c>
      <c r="M16" s="5">
        <f>Revenue_Actual!M16/Target_Rev_Productivity!M16</f>
        <v>0</v>
      </c>
      <c r="N16" s="5">
        <f>Revenue_Actual!N16/Target_Rev_Productivity!N16</f>
        <v>0</v>
      </c>
      <c r="O16" s="5">
        <f>Revenue_Actual!O16/Target_Rev_Productivity!O16</f>
        <v>0</v>
      </c>
      <c r="P16" s="5">
        <f>Revenue_Actual!P16/Target_Rev_Productivity!P16</f>
        <v>0</v>
      </c>
      <c r="Q16" s="5">
        <f>Revenue_Actual!Q16/Target_Rev_Productivity!Q16</f>
        <v>0</v>
      </c>
      <c r="R16" s="5">
        <f>Revenue_Actual!R16/Target_Rev_Productivity!R16</f>
        <v>0</v>
      </c>
      <c r="S16" s="5">
        <f>Revenue_Actual!S16/Target_Rev_Productivity!S16</f>
        <v>1.6666666666666667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f>Revenue_Actual!H17/Target_Rev_Productivity!H17</f>
        <v>5.8333333333333339</v>
      </c>
      <c r="I17" s="5">
        <f>Revenue_Actual!I17/Target_Rev_Productivity!I17</f>
        <v>5.833333333333333</v>
      </c>
      <c r="J17" s="5">
        <f>Revenue_Actual!J17/Target_Rev_Productivity!J17</f>
        <v>5.8333333333333339</v>
      </c>
      <c r="K17" s="5">
        <f>Revenue_Actual!K17/Target_Rev_Productivity!K17</f>
        <v>5</v>
      </c>
      <c r="L17" s="5">
        <f>Revenue_Actual!L17/Target_Rev_Productivity!L17</f>
        <v>5.0000000000000009</v>
      </c>
      <c r="M17" s="5">
        <f>Revenue_Actual!M17/Target_Rev_Productivity!M17</f>
        <v>5.8333333333333339</v>
      </c>
      <c r="N17" s="5">
        <f>Revenue_Actual!N17/Target_Rev_Productivity!N17</f>
        <v>2.4999999999999996</v>
      </c>
      <c r="O17" s="5">
        <f>Revenue_Actual!O17/Target_Rev_Productivity!O17</f>
        <v>3.3333333333333339</v>
      </c>
      <c r="P17" s="5">
        <f>Revenue_Actual!P17/Target_Rev_Productivity!P17</f>
        <v>3.3333333333333335</v>
      </c>
      <c r="Q17" s="5">
        <f>Revenue_Actual!Q17/Target_Rev_Productivity!Q17</f>
        <v>3.3333333333333335</v>
      </c>
      <c r="R17" s="5">
        <f>Revenue_Actual!R17/Target_Rev_Productivity!R17</f>
        <v>2.5</v>
      </c>
      <c r="S17" s="5">
        <f>Revenue_Actual!S17/Target_Rev_Productivity!S17</f>
        <v>3.3333333333333335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f>Revenue_Actual!H18/Target_Rev_Productivity!H18</f>
        <v>1.6666666666666667</v>
      </c>
      <c r="I18" s="5">
        <f>Revenue_Actual!I18/Target_Rev_Productivity!I18</f>
        <v>1.6666666666666667</v>
      </c>
      <c r="J18" s="5">
        <f>Revenue_Actual!J18/Target_Rev_Productivity!J18</f>
        <v>-5.0555555555555555E-2</v>
      </c>
      <c r="K18" s="5">
        <f>Revenue_Actual!K18/Target_Rev_Productivity!K18</f>
        <v>0</v>
      </c>
      <c r="L18" s="5">
        <f>Revenue_Actual!L18/Target_Rev_Productivity!L18</f>
        <v>0</v>
      </c>
      <c r="M18" s="5">
        <f>Revenue_Actual!M18/Target_Rev_Productivity!M18</f>
        <v>0</v>
      </c>
      <c r="N18" s="5">
        <f>Revenue_Actual!N18/Target_Rev_Productivity!N18</f>
        <v>0</v>
      </c>
      <c r="O18" s="5">
        <f>Revenue_Actual!O18/Target_Rev_Productivity!O18</f>
        <v>0</v>
      </c>
      <c r="P18" s="5">
        <f>Revenue_Actual!P18/Target_Rev_Productivity!P18</f>
        <v>0</v>
      </c>
      <c r="Q18" s="5">
        <f>Revenue_Actual!Q18/Target_Rev_Productivity!Q18</f>
        <v>0</v>
      </c>
      <c r="R18" s="5">
        <f>Revenue_Actual!R18/Target_Rev_Productivity!R18</f>
        <v>0</v>
      </c>
      <c r="S18" s="5">
        <f>Revenue_Actual!S18/Target_Rev_Productivity!S18</f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f>Revenue_Actual!H19/Target_Rev_Productivity!H19</f>
        <v>10.833333333333334</v>
      </c>
      <c r="I19" s="5">
        <f>Revenue_Actual!I19/Target_Rev_Productivity!I19</f>
        <v>10.000000000000002</v>
      </c>
      <c r="J19" s="5">
        <f>Revenue_Actual!J19/Target_Rev_Productivity!J19</f>
        <v>9.1666666666666679</v>
      </c>
      <c r="K19" s="5">
        <f>Revenue_Actual!K19/Target_Rev_Productivity!K19</f>
        <v>9.0833333333333321</v>
      </c>
      <c r="L19" s="5">
        <f>Revenue_Actual!L19/Target_Rev_Productivity!L19</f>
        <v>8.3333333333333321</v>
      </c>
      <c r="M19" s="5">
        <f>Revenue_Actual!M19/Target_Rev_Productivity!M19</f>
        <v>10</v>
      </c>
      <c r="N19" s="5">
        <f>Revenue_Actual!N19/Target_Rev_Productivity!N19</f>
        <v>10.833333333333334</v>
      </c>
      <c r="O19" s="5">
        <f>Revenue_Actual!O19/Target_Rev_Productivity!O19</f>
        <v>8.3333333333333339</v>
      </c>
      <c r="P19" s="5">
        <f>Revenue_Actual!P19/Target_Rev_Productivity!P19</f>
        <v>8.3333333333333339</v>
      </c>
      <c r="Q19" s="5">
        <f>Revenue_Actual!Q19/Target_Rev_Productivity!Q19</f>
        <v>8.3333333333333339</v>
      </c>
      <c r="R19" s="5">
        <f>Revenue_Actual!R19/Target_Rev_Productivity!R19</f>
        <v>9.1666666666666661</v>
      </c>
      <c r="S19" s="5">
        <f>Revenue_Actual!S19/Target_Rev_Productivity!S19</f>
        <v>9.1666666666666679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f>Revenue_Actual!H20/Target_Rev_Productivity!H20</f>
        <v>15.416666666666666</v>
      </c>
      <c r="I20" s="5">
        <f>Revenue_Actual!I20/Target_Rev_Productivity!I20</f>
        <v>13.333333333333334</v>
      </c>
      <c r="J20" s="5">
        <f>Revenue_Actual!J20/Target_Rev_Productivity!J20</f>
        <v>13.333333333333334</v>
      </c>
      <c r="K20" s="5">
        <f>Revenue_Actual!K20/Target_Rev_Productivity!K20</f>
        <v>13.333333333333334</v>
      </c>
      <c r="L20" s="5">
        <f>Revenue_Actual!L20/Target_Rev_Productivity!L20</f>
        <v>13.333333333333334</v>
      </c>
      <c r="M20" s="5">
        <f>Revenue_Actual!M20/Target_Rev_Productivity!M20</f>
        <v>13.333333333333334</v>
      </c>
      <c r="N20" s="5">
        <f>Revenue_Actual!N20/Target_Rev_Productivity!N20</f>
        <v>13.333333333333334</v>
      </c>
      <c r="O20" s="5">
        <f>Revenue_Actual!O20/Target_Rev_Productivity!O20</f>
        <v>13.749999999999998</v>
      </c>
      <c r="P20" s="5">
        <f>Revenue_Actual!P20/Target_Rev_Productivity!P20</f>
        <v>10.416666666666668</v>
      </c>
      <c r="Q20" s="5">
        <f>Revenue_Actual!Q20/Target_Rev_Productivity!Q20</f>
        <v>6.666666666666667</v>
      </c>
      <c r="R20" s="5">
        <f>Revenue_Actual!R20/Target_Rev_Productivity!R20</f>
        <v>6.666666666666667</v>
      </c>
      <c r="S20" s="5">
        <f>Revenue_Actual!S20/Target_Rev_Productivity!S20</f>
        <v>6.666666666666667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f>Revenue_Actual!H21/Target_Rev_Productivity!H21</f>
        <v>51</v>
      </c>
      <c r="I21" s="5">
        <f>Revenue_Actual!I21/Target_Rev_Productivity!I21</f>
        <v>48.333333333333343</v>
      </c>
      <c r="J21" s="5">
        <f>Revenue_Actual!J21/Target_Rev_Productivity!J21</f>
        <v>43.916666666666671</v>
      </c>
      <c r="K21" s="5">
        <f>Revenue_Actual!K21/Target_Rev_Productivity!K21</f>
        <v>42.833333333333336</v>
      </c>
      <c r="L21" s="5">
        <f>Revenue_Actual!L21/Target_Rev_Productivity!L21</f>
        <v>43.750000000000007</v>
      </c>
      <c r="M21" s="5">
        <f>Revenue_Actual!M21/Target_Rev_Productivity!M21</f>
        <v>44.166666666666657</v>
      </c>
      <c r="N21" s="5">
        <f>Revenue_Actual!N21/Target_Rev_Productivity!N21</f>
        <v>43.333333333333329</v>
      </c>
      <c r="O21" s="5">
        <f>Revenue_Actual!O21/Target_Rev_Productivity!O21</f>
        <v>41.666666666666664</v>
      </c>
      <c r="P21" s="5">
        <f>Revenue_Actual!P21/Target_Rev_Productivity!P21</f>
        <v>43.333333333333336</v>
      </c>
      <c r="Q21" s="5">
        <f>Revenue_Actual!Q21/Target_Rev_Productivity!Q21</f>
        <v>44.166666666666657</v>
      </c>
      <c r="R21" s="5">
        <f>Revenue_Actual!R21/Target_Rev_Productivity!R21</f>
        <v>44.999999999999993</v>
      </c>
      <c r="S21" s="5">
        <f>Revenue_Actual!S21/Target_Rev_Productivity!S21</f>
        <v>47.083333333333329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f>Revenue_Actual!H22/Target_Rev_Productivity!H22</f>
        <v>10.833333333333334</v>
      </c>
      <c r="I22" s="5">
        <f>Revenue_Actual!I22/Target_Rev_Productivity!I22</f>
        <v>10</v>
      </c>
      <c r="J22" s="5">
        <f>Revenue_Actual!J22/Target_Rev_Productivity!J22</f>
        <v>9.1666666666666679</v>
      </c>
      <c r="K22" s="5">
        <f>Revenue_Actual!K22/Target_Rev_Productivity!K22</f>
        <v>9.1666666666666679</v>
      </c>
      <c r="L22" s="5">
        <f>Revenue_Actual!L22/Target_Rev_Productivity!L22</f>
        <v>9.1666666666666679</v>
      </c>
      <c r="M22" s="5">
        <f>Revenue_Actual!M22/Target_Rev_Productivity!M22</f>
        <v>9.1666666666666661</v>
      </c>
      <c r="N22" s="5">
        <f>Revenue_Actual!N22/Target_Rev_Productivity!N22</f>
        <v>9.1666666666666679</v>
      </c>
      <c r="O22" s="5">
        <f>Revenue_Actual!O22/Target_Rev_Productivity!O22</f>
        <v>10</v>
      </c>
      <c r="P22" s="5">
        <f>Revenue_Actual!P22/Target_Rev_Productivity!P22</f>
        <v>9.1666666666666679</v>
      </c>
      <c r="Q22" s="5">
        <f>Revenue_Actual!Q22/Target_Rev_Productivity!Q22</f>
        <v>8.3333333333333339</v>
      </c>
      <c r="R22" s="5">
        <f>Revenue_Actual!R22/Target_Rev_Productivity!R22</f>
        <v>7.5</v>
      </c>
      <c r="S22" s="5">
        <f>Revenue_Actual!S22/Target_Rev_Productivity!S22</f>
        <v>7.5000000000000009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f>Revenue_Actual!H23/Target_Rev_Productivity!H23</f>
        <v>27.5</v>
      </c>
      <c r="I23" s="5">
        <f>Revenue_Actual!I23/Target_Rev_Productivity!I23</f>
        <v>27.5</v>
      </c>
      <c r="J23" s="5">
        <f>Revenue_Actual!J23/Target_Rev_Productivity!J23</f>
        <v>29.083333333333332</v>
      </c>
      <c r="K23" s="5">
        <f>Revenue_Actual!K23/Target_Rev_Productivity!K23</f>
        <v>28.250000000000004</v>
      </c>
      <c r="L23" s="5">
        <f>Revenue_Actual!L23/Target_Rev_Productivity!L23</f>
        <v>25</v>
      </c>
      <c r="M23" s="5">
        <f>Revenue_Actual!M23/Target_Rev_Productivity!M23</f>
        <v>29.041666666666664</v>
      </c>
      <c r="N23" s="5">
        <f>Revenue_Actual!N23/Target_Rev_Productivity!N23</f>
        <v>26.666666666666668</v>
      </c>
      <c r="O23" s="5">
        <f>Revenue_Actual!O23/Target_Rev_Productivity!O23</f>
        <v>26.666666666666668</v>
      </c>
      <c r="P23" s="5">
        <f>Revenue_Actual!P23/Target_Rev_Productivity!P23</f>
        <v>23.333333333333332</v>
      </c>
      <c r="Q23" s="5">
        <f>Revenue_Actual!Q23/Target_Rev_Productivity!Q23</f>
        <v>24.999999999999996</v>
      </c>
      <c r="R23" s="5">
        <f>Revenue_Actual!R23/Target_Rev_Productivity!R23</f>
        <v>22.5</v>
      </c>
      <c r="S23" s="5">
        <f>Revenue_Actual!S23/Target_Rev_Productivity!S23</f>
        <v>25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f>Revenue_Actual!H24/Target_Rev_Productivity!H24</f>
        <v>17.916666666666668</v>
      </c>
      <c r="I24" s="5">
        <f>Revenue_Actual!I24/Target_Rev_Productivity!I24</f>
        <v>16.666666666666668</v>
      </c>
      <c r="J24" s="5">
        <f>Revenue_Actual!J24/Target_Rev_Productivity!J24</f>
        <v>15.833333333333334</v>
      </c>
      <c r="K24" s="5">
        <f>Revenue_Actual!K24/Target_Rev_Productivity!K24</f>
        <v>15</v>
      </c>
      <c r="L24" s="5">
        <f>Revenue_Actual!L24/Target_Rev_Productivity!L24</f>
        <v>16.666666666666664</v>
      </c>
      <c r="M24" s="5">
        <f>Revenue_Actual!M24/Target_Rev_Productivity!M24</f>
        <v>11.666666666666668</v>
      </c>
      <c r="N24" s="5">
        <f>Revenue_Actual!N24/Target_Rev_Productivity!N24</f>
        <v>12.083333333333334</v>
      </c>
      <c r="O24" s="5">
        <f>Revenue_Actual!O24/Target_Rev_Productivity!O24</f>
        <v>6.25</v>
      </c>
      <c r="P24" s="5">
        <f>Revenue_Actual!P24/Target_Rev_Productivity!P24</f>
        <v>4.833333333333333</v>
      </c>
      <c r="Q24" s="5">
        <f>Revenue_Actual!Q24/Target_Rev_Productivity!Q24</f>
        <v>5.666666666666667</v>
      </c>
      <c r="R24" s="5">
        <f>Revenue_Actual!R24/Target_Rev_Productivity!R24</f>
        <v>7.3333333333333339</v>
      </c>
      <c r="S24" s="5">
        <f>Revenue_Actual!S24/Target_Rev_Productivity!S24</f>
        <v>8.3333333333333339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f>Revenue_Actual!H25/Target_Rev_Productivity!H25</f>
        <v>3.3333333333333335</v>
      </c>
      <c r="I25" s="5">
        <f>Revenue_Actual!I25/Target_Rev_Productivity!I25</f>
        <v>3.333333333333333</v>
      </c>
      <c r="J25" s="5">
        <f>Revenue_Actual!J25/Target_Rev_Productivity!J25</f>
        <v>3.0833333333333335</v>
      </c>
      <c r="K25" s="5">
        <f>Revenue_Actual!K25/Target_Rev_Productivity!K25</f>
        <v>1.4166666666666667</v>
      </c>
      <c r="L25" s="5">
        <f>Revenue_Actual!L25/Target_Rev_Productivity!L25</f>
        <v>0</v>
      </c>
      <c r="M25" s="5">
        <f>Revenue_Actual!M25/Target_Rev_Productivity!M25</f>
        <v>0</v>
      </c>
      <c r="N25" s="5">
        <f>Revenue_Actual!N25/Target_Rev_Productivity!N25</f>
        <v>0</v>
      </c>
      <c r="O25" s="5">
        <f>Revenue_Actual!O25/Target_Rev_Productivity!O25</f>
        <v>0</v>
      </c>
      <c r="P25" s="5">
        <f>Revenue_Actual!P25/Target_Rev_Productivity!P25</f>
        <v>0</v>
      </c>
      <c r="Q25" s="5">
        <f>Revenue_Actual!Q25/Target_Rev_Productivity!Q25</f>
        <v>0</v>
      </c>
      <c r="R25" s="5">
        <f>Revenue_Actual!R25/Target_Rev_Productivity!R25</f>
        <v>0</v>
      </c>
      <c r="S25" s="5">
        <f>Revenue_Actual!S25/Target_Rev_Productivity!S25</f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f>Revenue_Actual!H26/Target_Rev_Productivity!H26</f>
        <v>1.6666666666666665</v>
      </c>
      <c r="I26" s="5">
        <f>Revenue_Actual!I26/Target_Rev_Productivity!I26</f>
        <v>1.6666666666666667</v>
      </c>
      <c r="J26" s="5">
        <f>Revenue_Actual!J26/Target_Rev_Productivity!J26</f>
        <v>0</v>
      </c>
      <c r="K26" s="5">
        <f>Revenue_Actual!K26/Target_Rev_Productivity!K26</f>
        <v>1.6666666666666665</v>
      </c>
      <c r="L26" s="5">
        <f>Revenue_Actual!L26/Target_Rev_Productivity!L26</f>
        <v>0.83333333333333337</v>
      </c>
      <c r="M26" s="5">
        <f>Revenue_Actual!M26/Target_Rev_Productivity!M26</f>
        <v>0</v>
      </c>
      <c r="N26" s="5">
        <f>Revenue_Actual!N26/Target_Rev_Productivity!N26</f>
        <v>0.83333333333333326</v>
      </c>
      <c r="O26" s="5">
        <f>Revenue_Actual!O26/Target_Rev_Productivity!O26</f>
        <v>0</v>
      </c>
      <c r="P26" s="5">
        <f>Revenue_Actual!P26/Target_Rev_Productivity!P26</f>
        <v>0</v>
      </c>
      <c r="Q26" s="5">
        <f>Revenue_Actual!Q26/Target_Rev_Productivity!Q26</f>
        <v>0</v>
      </c>
      <c r="R26" s="5">
        <f>Revenue_Actual!R26/Target_Rev_Productivity!R26</f>
        <v>0.77777777777777768</v>
      </c>
      <c r="S26" s="5">
        <f>Revenue_Actual!S26/Target_Rev_Productivity!S26</f>
        <v>-1.7333333333333334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f>Revenue_Actual!H27/Target_Rev_Productivity!H27</f>
        <v>0.83333333333333326</v>
      </c>
      <c r="I27" s="5">
        <f>Revenue_Actual!I27/Target_Rev_Productivity!I27</f>
        <v>1.0416666666666667</v>
      </c>
      <c r="J27" s="5">
        <f>Revenue_Actual!J27/Target_Rev_Productivity!J27</f>
        <v>1.6666666666666667</v>
      </c>
      <c r="K27" s="5">
        <f>Revenue_Actual!K27/Target_Rev_Productivity!K27</f>
        <v>6.666666666666667</v>
      </c>
      <c r="L27" s="5">
        <f>Revenue_Actual!L27/Target_Rev_Productivity!L27</f>
        <v>7.5</v>
      </c>
      <c r="M27" s="5">
        <f>Revenue_Actual!M27/Target_Rev_Productivity!M27</f>
        <v>13.333333333333334</v>
      </c>
      <c r="N27" s="5">
        <f>Revenue_Actual!N27/Target_Rev_Productivity!N27</f>
        <v>9.1666666666666661</v>
      </c>
      <c r="O27" s="5">
        <f>Revenue_Actual!O27/Target_Rev_Productivity!O27</f>
        <v>8.3333333333333339</v>
      </c>
      <c r="P27" s="5">
        <f>Revenue_Actual!P27/Target_Rev_Productivity!P27</f>
        <v>8.3333333333333339</v>
      </c>
      <c r="Q27" s="5">
        <f>Revenue_Actual!Q27/Target_Rev_Productivity!Q27</f>
        <v>7.5000000000000009</v>
      </c>
      <c r="R27" s="5">
        <f>Revenue_Actual!R27/Target_Rev_Productivity!R27</f>
        <v>12.499999999999998</v>
      </c>
      <c r="S27" s="5">
        <f>Revenue_Actual!S27/Target_Rev_Productivity!S27</f>
        <v>11.66666666666667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f>Revenue_Actual!H28/Target_Rev_Productivity!H28</f>
        <v>0.27777777777777779</v>
      </c>
      <c r="I28" s="5">
        <f>Revenue_Actual!I28/Target_Rev_Productivity!I28</f>
        <v>0.41666666666666663</v>
      </c>
      <c r="J28" s="5">
        <f>Revenue_Actual!J28/Target_Rev_Productivity!J28</f>
        <v>0.83333333333333337</v>
      </c>
      <c r="K28" s="5">
        <f>Revenue_Actual!K28/Target_Rev_Productivity!K28</f>
        <v>0.83333333333333326</v>
      </c>
      <c r="L28" s="5">
        <f>Revenue_Actual!L28/Target_Rev_Productivity!L28</f>
        <v>1.6666666666666665</v>
      </c>
      <c r="M28" s="5">
        <f>Revenue_Actual!M28/Target_Rev_Productivity!M28</f>
        <v>2.5</v>
      </c>
      <c r="N28" s="5">
        <f>Revenue_Actual!N28/Target_Rev_Productivity!N28</f>
        <v>1.6666666666666667</v>
      </c>
      <c r="O28" s="5">
        <f>Revenue_Actual!O28/Target_Rev_Productivity!O28</f>
        <v>0.83333333333333337</v>
      </c>
      <c r="P28" s="5">
        <f>Revenue_Actual!P28/Target_Rev_Productivity!P28</f>
        <v>0</v>
      </c>
      <c r="Q28" s="5">
        <f>Revenue_Actual!Q28/Target_Rev_Productivity!Q28</f>
        <v>0</v>
      </c>
      <c r="R28" s="5">
        <f>Revenue_Actual!R28/Target_Rev_Productivity!R28</f>
        <v>0</v>
      </c>
      <c r="S28" s="5">
        <f>Revenue_Actual!S28/Target_Rev_Productivity!S28</f>
        <v>0.83333333333333337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f>Revenue_Actual!H29/Target_Rev_Productivity!H29</f>
        <v>0</v>
      </c>
      <c r="I29" s="5">
        <f>Revenue_Actual!I29/Target_Rev_Productivity!I29</f>
        <v>0.83333333333333337</v>
      </c>
      <c r="J29" s="5">
        <f>Revenue_Actual!J29/Target_Rev_Productivity!J29</f>
        <v>3.0833333333333339</v>
      </c>
      <c r="K29" s="5">
        <f>Revenue_Actual!K29/Target_Rev_Productivity!K29</f>
        <v>6.666666666666667</v>
      </c>
      <c r="L29" s="5">
        <f>Revenue_Actual!L29/Target_Rev_Productivity!L29</f>
        <v>6.666666666666667</v>
      </c>
      <c r="M29" s="5">
        <f>Revenue_Actual!M29/Target_Rev_Productivity!M29</f>
        <v>6.666666666666667</v>
      </c>
      <c r="N29" s="5">
        <f>Revenue_Actual!N29/Target_Rev_Productivity!N29</f>
        <v>6.666666666666667</v>
      </c>
      <c r="O29" s="5">
        <f>Revenue_Actual!O29/Target_Rev_Productivity!O29</f>
        <v>5.0000000000000009</v>
      </c>
      <c r="P29" s="5">
        <f>Revenue_Actual!P29/Target_Rev_Productivity!P29</f>
        <v>4.166666666666667</v>
      </c>
      <c r="Q29" s="5">
        <f>Revenue_Actual!Q29/Target_Rev_Productivity!Q29</f>
        <v>4.166666666666667</v>
      </c>
      <c r="R29" s="5">
        <f>Revenue_Actual!R29/Target_Rev_Productivity!R29</f>
        <v>5.8333333333333339</v>
      </c>
      <c r="S29" s="5">
        <f>Revenue_Actual!S29/Target_Rev_Productivity!S29</f>
        <v>5.833333333333333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f>Revenue_Actual!H30/Target_Rev_Productivity!H30</f>
        <v>0</v>
      </c>
      <c r="I30" s="5">
        <f>Revenue_Actual!I30/Target_Rev_Productivity!I30</f>
        <v>0</v>
      </c>
      <c r="J30" s="5">
        <f>Revenue_Actual!J30/Target_Rev_Productivity!J30</f>
        <v>0</v>
      </c>
      <c r="K30" s="5">
        <f>Revenue_Actual!K30/Target_Rev_Productivity!K30</f>
        <v>0</v>
      </c>
      <c r="L30" s="5">
        <f>Revenue_Actual!L30/Target_Rev_Productivity!L30</f>
        <v>0</v>
      </c>
      <c r="M30" s="5">
        <f>Revenue_Actual!M30/Target_Rev_Productivity!M30</f>
        <v>0.83333333333333337</v>
      </c>
      <c r="N30" s="5">
        <f>Revenue_Actual!N30/Target_Rev_Productivity!N30</f>
        <v>2.5000000000000004</v>
      </c>
      <c r="O30" s="5">
        <f>Revenue_Actual!O30/Target_Rev_Productivity!O30</f>
        <v>4.1666666666666679</v>
      </c>
      <c r="P30" s="5">
        <f>Revenue_Actual!P30/Target_Rev_Productivity!P30</f>
        <v>3.3333333333333335</v>
      </c>
      <c r="Q30" s="5">
        <f>Revenue_Actual!Q30/Target_Rev_Productivity!Q30</f>
        <v>4.166666666666667</v>
      </c>
      <c r="R30" s="5">
        <f>Revenue_Actual!R30/Target_Rev_Productivity!R30</f>
        <v>4.166666666666667</v>
      </c>
      <c r="S30" s="5">
        <f>Revenue_Actual!S30/Target_Rev_Productivity!S30</f>
        <v>4.166666666666667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f>Revenue_Actual!H31/Target_Rev_Productivity!H31</f>
        <v>0</v>
      </c>
      <c r="I31" s="5">
        <f>Revenue_Actual!I31/Target_Rev_Productivity!I31</f>
        <v>0</v>
      </c>
      <c r="J31" s="5">
        <f>Revenue_Actual!J31/Target_Rev_Productivity!J31</f>
        <v>0</v>
      </c>
      <c r="K31" s="5">
        <f>Revenue_Actual!K31/Target_Rev_Productivity!K31</f>
        <v>0</v>
      </c>
      <c r="L31" s="5">
        <f>Revenue_Actual!L31/Target_Rev_Productivity!L31</f>
        <v>0</v>
      </c>
      <c r="M31" s="5">
        <f>Revenue_Actual!M31/Target_Rev_Productivity!M31</f>
        <v>0</v>
      </c>
      <c r="N31" s="5">
        <f>Revenue_Actual!N31/Target_Rev_Productivity!N31</f>
        <v>0</v>
      </c>
      <c r="O31" s="5">
        <f>Revenue_Actual!O31/Target_Rev_Productivity!O31</f>
        <v>7.0833333333333339</v>
      </c>
      <c r="P31" s="5">
        <f>Revenue_Actual!P31/Target_Rev_Productivity!P31</f>
        <v>15.833333333333332</v>
      </c>
      <c r="Q31" s="5">
        <f>Revenue_Actual!Q31/Target_Rev_Productivity!Q31</f>
        <v>18.416666666666664</v>
      </c>
      <c r="R31" s="5">
        <f>Revenue_Actual!R31/Target_Rev_Productivity!R31</f>
        <v>26.75</v>
      </c>
      <c r="S31" s="5">
        <f>Revenue_Actual!S31/Target_Rev_Productivity!S31</f>
        <v>27.916666666666668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f>Revenue_Actual!H32/Target_Rev_Productivity!H32</f>
        <v>0</v>
      </c>
      <c r="I32" s="5">
        <f>Revenue_Actual!I32/Target_Rev_Productivity!I32</f>
        <v>0</v>
      </c>
      <c r="J32" s="5">
        <f>Revenue_Actual!J32/Target_Rev_Productivity!J32</f>
        <v>0</v>
      </c>
      <c r="K32" s="5">
        <f>Revenue_Actual!K32/Target_Rev_Productivity!K32</f>
        <v>0</v>
      </c>
      <c r="L32" s="5">
        <f>Revenue_Actual!L32/Target_Rev_Productivity!L32</f>
        <v>0</v>
      </c>
      <c r="M32" s="5">
        <f>Revenue_Actual!M32/Target_Rev_Productivity!M32</f>
        <v>0</v>
      </c>
      <c r="N32" s="5">
        <f>Revenue_Actual!N32/Target_Rev_Productivity!N32</f>
        <v>0</v>
      </c>
      <c r="O32" s="5">
        <f>Revenue_Actual!O32/Target_Rev_Productivity!O32</f>
        <v>0</v>
      </c>
      <c r="P32" s="5">
        <f>Revenue_Actual!P32/Target_Rev_Productivity!P32</f>
        <v>0.55555555555555558</v>
      </c>
      <c r="Q32" s="5">
        <f>Revenue_Actual!Q32/Target_Rev_Productivity!Q32</f>
        <v>3.3333333333333335</v>
      </c>
      <c r="R32" s="5">
        <f>Revenue_Actual!R32/Target_Rev_Productivity!R32</f>
        <v>5</v>
      </c>
      <c r="S32" s="5">
        <f>Revenue_Actual!S32/Target_Rev_Productivity!S32</f>
        <v>5.833333333333333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f>Revenue_Actual!H33/Target_Rev_Productivity!H33</f>
        <v>7.783333333333335</v>
      </c>
      <c r="I33" s="5">
        <f>Revenue_Actual!I33/Target_Rev_Productivity!I33</f>
        <v>9.5833333333333357</v>
      </c>
      <c r="J33" s="5">
        <f>Revenue_Actual!J33/Target_Rev_Productivity!J33</f>
        <v>9.1666666666666661</v>
      </c>
      <c r="K33" s="5">
        <f>Revenue_Actual!K33/Target_Rev_Productivity!K33</f>
        <v>10.833333333333334</v>
      </c>
      <c r="L33" s="5">
        <f>Revenue_Actual!L33/Target_Rev_Productivity!L33</f>
        <v>9.5833333333333321</v>
      </c>
      <c r="M33" s="5">
        <f>Revenue_Actual!M33/Target_Rev_Productivity!M33</f>
        <v>11.666666666666668</v>
      </c>
      <c r="N33" s="5">
        <f>Revenue_Actual!N33/Target_Rev_Productivity!N33</f>
        <v>7.5000000000000009</v>
      </c>
      <c r="O33" s="5">
        <f>Revenue_Actual!O33/Target_Rev_Productivity!O33</f>
        <v>7.5</v>
      </c>
      <c r="P33" s="5">
        <f>Revenue_Actual!P33/Target_Rev_Productivity!P33</f>
        <v>5.8333333333333339</v>
      </c>
      <c r="Q33" s="5">
        <f>Revenue_Actual!Q33/Target_Rev_Productivity!Q33</f>
        <v>4.9999999999999991</v>
      </c>
      <c r="R33" s="5">
        <f>Revenue_Actual!R33/Target_Rev_Productivity!R33</f>
        <v>5</v>
      </c>
      <c r="S33" s="5">
        <f>Revenue_Actual!S33/Target_Rev_Productivity!S33</f>
        <v>5.8333333333333339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f>Revenue_Actual!H34/Target_Rev_Productivity!H34</f>
        <v>2.6666666666666665</v>
      </c>
      <c r="I34" s="5">
        <f>Revenue_Actual!I34/Target_Rev_Productivity!I34</f>
        <v>1.2499999999999998</v>
      </c>
      <c r="J34" s="5">
        <f>Revenue_Actual!J34/Target_Rev_Productivity!J34</f>
        <v>1.6666666666666667</v>
      </c>
      <c r="K34" s="5">
        <f>Revenue_Actual!K34/Target_Rev_Productivity!K34</f>
        <v>2.5</v>
      </c>
      <c r="L34" s="5">
        <f>Revenue_Actual!L34/Target_Rev_Productivity!L34</f>
        <v>2.0833333333333335</v>
      </c>
      <c r="M34" s="5">
        <f>Revenue_Actual!M34/Target_Rev_Productivity!M34</f>
        <v>0</v>
      </c>
      <c r="N34" s="5">
        <f>Revenue_Actual!N34/Target_Rev_Productivity!N34</f>
        <v>0</v>
      </c>
      <c r="O34" s="5">
        <f>Revenue_Actual!O34/Target_Rev_Productivity!O34</f>
        <v>1.5555555555555554</v>
      </c>
      <c r="P34" s="5">
        <f>Revenue_Actual!P34/Target_Rev_Productivity!P34</f>
        <v>0</v>
      </c>
      <c r="Q34" s="5">
        <f>Revenue_Actual!Q34/Target_Rev_Productivity!Q34</f>
        <v>0</v>
      </c>
      <c r="R34" s="5">
        <f>Revenue_Actual!R34/Target_Rev_Productivity!R34</f>
        <v>0</v>
      </c>
      <c r="S34" s="5">
        <f>Revenue_Actual!S34/Target_Rev_Productivity!S34</f>
        <v>-0.99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f>Revenue_Actual!H35/Target_Rev_Productivity!H35</f>
        <v>2.7750000000000008</v>
      </c>
      <c r="I35" s="5">
        <f>Revenue_Actual!I35/Target_Rev_Productivity!I35</f>
        <v>2.5000000000000004</v>
      </c>
      <c r="J35" s="5">
        <f>Revenue_Actual!J35/Target_Rev_Productivity!J35</f>
        <v>2.5</v>
      </c>
      <c r="K35" s="5">
        <f>Revenue_Actual!K35/Target_Rev_Productivity!K35</f>
        <v>2.5000000000000004</v>
      </c>
      <c r="L35" s="5">
        <f>Revenue_Actual!L35/Target_Rev_Productivity!L35</f>
        <v>2.5000000000000004</v>
      </c>
      <c r="M35" s="5">
        <f>Revenue_Actual!M35/Target_Rev_Productivity!M35</f>
        <v>2.5000000000000004</v>
      </c>
      <c r="N35" s="5">
        <f>Revenue_Actual!N35/Target_Rev_Productivity!N35</f>
        <v>2.5</v>
      </c>
      <c r="O35" s="5">
        <f>Revenue_Actual!O35/Target_Rev_Productivity!O35</f>
        <v>2.5</v>
      </c>
      <c r="P35" s="5">
        <f>Revenue_Actual!P35/Target_Rev_Productivity!P35</f>
        <v>2.5000000000000004</v>
      </c>
      <c r="Q35" s="5">
        <f>Revenue_Actual!Q35/Target_Rev_Productivity!Q35</f>
        <v>2.5</v>
      </c>
      <c r="R35" s="5">
        <f>Revenue_Actual!R35/Target_Rev_Productivity!R35</f>
        <v>2.5</v>
      </c>
      <c r="S35" s="5">
        <f>Revenue_Actual!S35/Target_Rev_Productivity!S35</f>
        <v>2.5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f>Revenue_Actual!H36/Target_Rev_Productivity!H36</f>
        <v>5</v>
      </c>
      <c r="I36" s="5">
        <f>Revenue_Actual!I36/Target_Rev_Productivity!I36</f>
        <v>4.9999999999999991</v>
      </c>
      <c r="J36" s="5">
        <f>Revenue_Actual!J36/Target_Rev_Productivity!J36</f>
        <v>4.166666666666667</v>
      </c>
      <c r="K36" s="5">
        <f>Revenue_Actual!K36/Target_Rev_Productivity!K36</f>
        <v>2.5</v>
      </c>
      <c r="L36" s="5">
        <f>Revenue_Actual!L36/Target_Rev_Productivity!L36</f>
        <v>0</v>
      </c>
      <c r="M36" s="5">
        <f>Revenue_Actual!M36/Target_Rev_Productivity!M36</f>
        <v>0</v>
      </c>
      <c r="N36" s="5">
        <f>Revenue_Actual!N36/Target_Rev_Productivity!N36</f>
        <v>0</v>
      </c>
      <c r="O36" s="5">
        <f>Revenue_Actual!O36/Target_Rev_Productivity!O36</f>
        <v>1.9388888888888889</v>
      </c>
      <c r="P36" s="5">
        <f>Revenue_Actual!P36/Target_Rev_Productivity!P36</f>
        <v>0</v>
      </c>
      <c r="Q36" s="5">
        <f>Revenue_Actual!Q36/Target_Rev_Productivity!Q36</f>
        <v>0</v>
      </c>
      <c r="R36" s="5">
        <f>Revenue_Actual!R36/Target_Rev_Productivity!R36</f>
        <v>0</v>
      </c>
      <c r="S36" s="5">
        <f>Revenue_Actual!S36/Target_Rev_Productivity!S36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f>Revenue_Actual!H37/Target_Rev_Productivity!H37</f>
        <v>1.1111111111111112</v>
      </c>
      <c r="I37" s="5">
        <f>Revenue_Actual!I37/Target_Rev_Productivity!I37</f>
        <v>8.3333333333333339</v>
      </c>
      <c r="J37" s="5">
        <f>Revenue_Actual!J37/Target_Rev_Productivity!J37</f>
        <v>7.5</v>
      </c>
      <c r="K37" s="5">
        <f>Revenue_Actual!K37/Target_Rev_Productivity!K37</f>
        <v>5.8333333333333339</v>
      </c>
      <c r="L37" s="5">
        <f>Revenue_Actual!L37/Target_Rev_Productivity!L37</f>
        <v>5.8333333333333339</v>
      </c>
      <c r="M37" s="5">
        <f>Revenue_Actual!M37/Target_Rev_Productivity!M37</f>
        <v>6.666666666666667</v>
      </c>
      <c r="N37" s="5">
        <f>Revenue_Actual!N37/Target_Rev_Productivity!N37</f>
        <v>6.666666666666667</v>
      </c>
      <c r="O37" s="5">
        <f>Revenue_Actual!O37/Target_Rev_Productivity!O37</f>
        <v>6.666666666666667</v>
      </c>
      <c r="P37" s="5">
        <f>Revenue_Actual!P37/Target_Rev_Productivity!P37</f>
        <v>6.666666666666667</v>
      </c>
      <c r="Q37" s="5">
        <f>Revenue_Actual!Q37/Target_Rev_Productivity!Q37</f>
        <v>6.6666666666666679</v>
      </c>
      <c r="R37" s="5">
        <f>Revenue_Actual!R37/Target_Rev_Productivity!R37</f>
        <v>7.5</v>
      </c>
      <c r="S37" s="5">
        <f>Revenue_Actual!S37/Target_Rev_Productivity!S37</f>
        <v>7.4999999999999991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f>Revenue_Actual!H38/Target_Rev_Productivity!H38</f>
        <v>0</v>
      </c>
      <c r="I38" s="5">
        <f>Revenue_Actual!I38/Target_Rev_Productivity!I38</f>
        <v>0.83333333333333337</v>
      </c>
      <c r="J38" s="5">
        <f>Revenue_Actual!J38/Target_Rev_Productivity!J38</f>
        <v>10</v>
      </c>
      <c r="K38" s="5">
        <f>Revenue_Actual!K38/Target_Rev_Productivity!K38</f>
        <v>10</v>
      </c>
      <c r="L38" s="5">
        <f>Revenue_Actual!L38/Target_Rev_Productivity!L38</f>
        <v>0</v>
      </c>
      <c r="M38" s="5">
        <f>Revenue_Actual!M38/Target_Rev_Productivity!M38</f>
        <v>0</v>
      </c>
      <c r="N38" s="5">
        <f>Revenue_Actual!N38/Target_Rev_Productivity!N38</f>
        <v>0</v>
      </c>
      <c r="O38" s="5">
        <f>Revenue_Actual!O38/Target_Rev_Productivity!O38</f>
        <v>0</v>
      </c>
      <c r="P38" s="5">
        <f>Revenue_Actual!P38/Target_Rev_Productivity!P38</f>
        <v>0</v>
      </c>
      <c r="Q38" s="5">
        <f>Revenue_Actual!Q38/Target_Rev_Productivity!Q38</f>
        <v>0</v>
      </c>
      <c r="R38" s="5">
        <f>Revenue_Actual!R38/Target_Rev_Productivity!R38</f>
        <v>0</v>
      </c>
      <c r="S38" s="5">
        <f>Revenue_Actual!S38/Target_Rev_Productivity!S38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f>Revenue_Actual!H39/Target_Rev_Productivity!H39</f>
        <v>1.6666666666666667</v>
      </c>
      <c r="I39" s="5">
        <f>Revenue_Actual!I39/Target_Rev_Productivity!I39</f>
        <v>1.6666666666666667</v>
      </c>
      <c r="J39" s="5">
        <f>Revenue_Actual!J39/Target_Rev_Productivity!J39</f>
        <v>1.6666666666666667</v>
      </c>
      <c r="K39" s="5">
        <f>Revenue_Actual!K39/Target_Rev_Productivity!K39</f>
        <v>1.6666666666666667</v>
      </c>
      <c r="L39" s="5">
        <f>Revenue_Actual!L39/Target_Rev_Productivity!L39</f>
        <v>1.6666666666666667</v>
      </c>
      <c r="M39" s="5">
        <f>Revenue_Actual!M39/Target_Rev_Productivity!M39</f>
        <v>1.6666666666666667</v>
      </c>
      <c r="N39" s="5">
        <f>Revenue_Actual!N39/Target_Rev_Productivity!N39</f>
        <v>1.6666666666666667</v>
      </c>
      <c r="O39" s="5">
        <f>Revenue_Actual!O39/Target_Rev_Productivity!O39</f>
        <v>1.6666666666666667</v>
      </c>
      <c r="P39" s="5">
        <f>Revenue_Actual!P39/Target_Rev_Productivity!P39</f>
        <v>0</v>
      </c>
      <c r="Q39" s="5">
        <f>Revenue_Actual!Q39/Target_Rev_Productivity!Q39</f>
        <v>1.6666666666666667</v>
      </c>
      <c r="R39" s="5">
        <f>Revenue_Actual!R39/Target_Rev_Productivity!R39</f>
        <v>1.6666666666666667</v>
      </c>
      <c r="S39" s="5">
        <f>Revenue_Actual!S39/Target_Rev_Productivity!S39</f>
        <v>1.6666666666666667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f>Revenue_Actual!H40/Target_Rev_Productivity!H40</f>
        <v>0.83333333333333337</v>
      </c>
      <c r="I40" s="5">
        <f>Revenue_Actual!I40/Target_Rev_Productivity!I40</f>
        <v>0.83333333333333337</v>
      </c>
      <c r="J40" s="5">
        <f>Revenue_Actual!J40/Target_Rev_Productivity!J40</f>
        <v>0.83333333333333337</v>
      </c>
      <c r="K40" s="5">
        <f>Revenue_Actual!K40/Target_Rev_Productivity!K40</f>
        <v>0.83333333333333326</v>
      </c>
      <c r="L40" s="5">
        <f>Revenue_Actual!L40/Target_Rev_Productivity!L40</f>
        <v>0.83333333333333326</v>
      </c>
      <c r="M40" s="5">
        <f>Revenue_Actual!M40/Target_Rev_Productivity!M40</f>
        <v>0.83333333333333326</v>
      </c>
      <c r="N40" s="5">
        <f>Revenue_Actual!N40/Target_Rev_Productivity!N40</f>
        <v>0.83333333333333326</v>
      </c>
      <c r="O40" s="5">
        <f>Revenue_Actual!O40/Target_Rev_Productivity!O40</f>
        <v>0.83333333333333326</v>
      </c>
      <c r="P40" s="5">
        <f>Revenue_Actual!P40/Target_Rev_Productivity!P40</f>
        <v>0.83333333333333326</v>
      </c>
      <c r="Q40" s="5">
        <f>Revenue_Actual!Q40/Target_Rev_Productivity!Q40</f>
        <v>0.83333333333333326</v>
      </c>
      <c r="R40" s="5">
        <f>Revenue_Actual!R40/Target_Rev_Productivity!R40</f>
        <v>0.83333333333333326</v>
      </c>
      <c r="S40" s="5">
        <f>Revenue_Actual!S40/Target_Rev_Productivity!S40</f>
        <v>0.83333333333333326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f>Revenue_Actual!H41/Target_Rev_Productivity!H41</f>
        <v>0</v>
      </c>
      <c r="I41" s="5">
        <f>Revenue_Actual!I41/Target_Rev_Productivity!I41</f>
        <v>0</v>
      </c>
      <c r="J41" s="5">
        <f>Revenue_Actual!J41/Target_Rev_Productivity!J41</f>
        <v>0</v>
      </c>
      <c r="K41" s="5">
        <f>Revenue_Actual!K41/Target_Rev_Productivity!K41</f>
        <v>0</v>
      </c>
      <c r="L41" s="5">
        <f>Revenue_Actual!L41/Target_Rev_Productivity!L41</f>
        <v>0</v>
      </c>
      <c r="M41" s="5">
        <f>Revenue_Actual!M41/Target_Rev_Productivity!M41</f>
        <v>0</v>
      </c>
      <c r="N41" s="5">
        <f>Revenue_Actual!N41/Target_Rev_Productivity!N41</f>
        <v>0</v>
      </c>
      <c r="O41" s="5">
        <f>Revenue_Actual!O41/Target_Rev_Productivity!O41</f>
        <v>0</v>
      </c>
      <c r="P41" s="5">
        <f>Revenue_Actual!P41/Target_Rev_Productivity!P41</f>
        <v>0</v>
      </c>
      <c r="Q41" s="5">
        <f>Revenue_Actual!Q41/Target_Rev_Productivity!Q41</f>
        <v>0</v>
      </c>
      <c r="R41" s="5">
        <f>Revenue_Actual!R41/Target_Rev_Productivity!R41</f>
        <v>0</v>
      </c>
      <c r="S41" s="5">
        <f>Revenue_Actual!S41/Target_Rev_Productivity!S41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f>Revenue_Actual!H42/Target_Rev_Productivity!H42</f>
        <v>4.583333333333333</v>
      </c>
      <c r="I42" s="5">
        <f>Revenue_Actual!I42/Target_Rev_Productivity!I42</f>
        <v>5</v>
      </c>
      <c r="J42" s="5">
        <f>Revenue_Actual!J42/Target_Rev_Productivity!J42</f>
        <v>5</v>
      </c>
      <c r="K42" s="5">
        <f>Revenue_Actual!K42/Target_Rev_Productivity!K42</f>
        <v>5.0000000000000009</v>
      </c>
      <c r="L42" s="5">
        <f>Revenue_Actual!L42/Target_Rev_Productivity!L42</f>
        <v>5</v>
      </c>
      <c r="M42" s="5">
        <f>Revenue_Actual!M42/Target_Rev_Productivity!M42</f>
        <v>5</v>
      </c>
      <c r="N42" s="5">
        <f>Revenue_Actual!N42/Target_Rev_Productivity!N42</f>
        <v>7.5000000000000009</v>
      </c>
      <c r="O42" s="5">
        <f>Revenue_Actual!O42/Target_Rev_Productivity!O42</f>
        <v>5.8333333333333339</v>
      </c>
      <c r="P42" s="5">
        <f>Revenue_Actual!P42/Target_Rev_Productivity!P42</f>
        <v>5.8333333333333339</v>
      </c>
      <c r="Q42" s="5">
        <f>Revenue_Actual!Q42/Target_Rev_Productivity!Q42</f>
        <v>5.8333333333333339</v>
      </c>
      <c r="R42" s="5">
        <f>Revenue_Actual!R42/Target_Rev_Productivity!R42</f>
        <v>5.833333333333333</v>
      </c>
      <c r="S42" s="5">
        <f>Revenue_Actual!S42/Target_Rev_Productivity!S42</f>
        <v>6.666666666666667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f>Revenue_Actual!H43/Target_Rev_Productivity!H43</f>
        <v>3.3333333333333335</v>
      </c>
      <c r="I43" s="5">
        <f>Revenue_Actual!I43/Target_Rev_Productivity!I43</f>
        <v>3.3333333333333335</v>
      </c>
      <c r="J43" s="5">
        <f>Revenue_Actual!J43/Target_Rev_Productivity!J43</f>
        <v>4.0833333333333339</v>
      </c>
      <c r="K43" s="5">
        <f>Revenue_Actual!K43/Target_Rev_Productivity!K43</f>
        <v>4.166666666666667</v>
      </c>
      <c r="L43" s="5">
        <f>Revenue_Actual!L43/Target_Rev_Productivity!L43</f>
        <v>4.166666666666667</v>
      </c>
      <c r="M43" s="5">
        <f>Revenue_Actual!M43/Target_Rev_Productivity!M43</f>
        <v>4.166666666666667</v>
      </c>
      <c r="N43" s="5">
        <f>Revenue_Actual!N43/Target_Rev_Productivity!N43</f>
        <v>1.6666666666666665</v>
      </c>
      <c r="O43" s="5">
        <f>Revenue_Actual!O43/Target_Rev_Productivity!O43</f>
        <v>1.6666666666666667</v>
      </c>
      <c r="P43" s="5">
        <f>Revenue_Actual!P43/Target_Rev_Productivity!P43</f>
        <v>1.6666666666666667</v>
      </c>
      <c r="Q43" s="5">
        <f>Revenue_Actual!Q43/Target_Rev_Productivity!Q43</f>
        <v>1.666666666666667</v>
      </c>
      <c r="R43" s="5">
        <f>Revenue_Actual!R43/Target_Rev_Productivity!R43</f>
        <v>1.6666666666666667</v>
      </c>
      <c r="S43" s="5">
        <f>Revenue_Actual!S43/Target_Rev_Productivity!S43</f>
        <v>1.6666666666666667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f>Revenue_Actual!H44/Target_Rev_Productivity!H44</f>
        <v>0.83333333333333337</v>
      </c>
      <c r="I44" s="5">
        <f>Revenue_Actual!I44/Target_Rev_Productivity!I44</f>
        <v>3.3333333333333335</v>
      </c>
      <c r="J44" s="5">
        <f>Revenue_Actual!J44/Target_Rev_Productivity!J44</f>
        <v>3.333333333333333</v>
      </c>
      <c r="K44" s="5">
        <f>Revenue_Actual!K44/Target_Rev_Productivity!K44</f>
        <v>3.3333333333333335</v>
      </c>
      <c r="L44" s="5">
        <f>Revenue_Actual!L44/Target_Rev_Productivity!L44</f>
        <v>2.5000000000000004</v>
      </c>
      <c r="M44" s="5">
        <f>Revenue_Actual!M44/Target_Rev_Productivity!M44</f>
        <v>2.5</v>
      </c>
      <c r="N44" s="5">
        <f>Revenue_Actual!N44/Target_Rev_Productivity!N44</f>
        <v>1.6666666666666667</v>
      </c>
      <c r="O44" s="5">
        <f>Revenue_Actual!O44/Target_Rev_Productivity!O44</f>
        <v>1.6666666666666667</v>
      </c>
      <c r="P44" s="5">
        <f>Revenue_Actual!P44/Target_Rev_Productivity!P44</f>
        <v>1.6666666666666667</v>
      </c>
      <c r="Q44" s="5">
        <f>Revenue_Actual!Q44/Target_Rev_Productivity!Q44</f>
        <v>1.6666666666666667</v>
      </c>
      <c r="R44" s="5">
        <f>Revenue_Actual!R44/Target_Rev_Productivity!R44</f>
        <v>0</v>
      </c>
      <c r="S44" s="5">
        <f>Revenue_Actual!S44/Target_Rev_Productivity!S44</f>
        <v>0.83333333333333337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f>Revenue_Actual!H45/Target_Rev_Productivity!H45</f>
        <v>1.1111111111111112</v>
      </c>
      <c r="I45" s="5">
        <f>Revenue_Actual!I45/Target_Rev_Productivity!I45</f>
        <v>-1.1111111111111112</v>
      </c>
      <c r="J45" s="5">
        <f>Revenue_Actual!J45/Target_Rev_Productivity!J45</f>
        <v>0</v>
      </c>
      <c r="K45" s="5">
        <f>Revenue_Actual!K45/Target_Rev_Productivity!K45</f>
        <v>0</v>
      </c>
      <c r="L45" s="5">
        <f>Revenue_Actual!L45/Target_Rev_Productivity!L45</f>
        <v>0</v>
      </c>
      <c r="M45" s="5">
        <f>Revenue_Actual!M45/Target_Rev_Productivity!M45</f>
        <v>0</v>
      </c>
      <c r="N45" s="5">
        <f>Revenue_Actual!N45/Target_Rev_Productivity!N45</f>
        <v>0</v>
      </c>
      <c r="O45" s="5">
        <f>Revenue_Actual!O45/Target_Rev_Productivity!O45</f>
        <v>0</v>
      </c>
      <c r="P45" s="5">
        <f>Revenue_Actual!P45/Target_Rev_Productivity!P45</f>
        <v>0</v>
      </c>
      <c r="Q45" s="5">
        <f>Revenue_Actual!Q45/Target_Rev_Productivity!Q45</f>
        <v>0</v>
      </c>
      <c r="R45" s="5">
        <f>Revenue_Actual!R45/Target_Rev_Productivity!R45</f>
        <v>0</v>
      </c>
      <c r="S45" s="5">
        <f>Revenue_Actual!S45/Target_Rev_Productivity!S45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f>Revenue_Actual!H46/Target_Rev_Productivity!H46</f>
        <v>0</v>
      </c>
      <c r="I46" s="5">
        <f>Revenue_Actual!I46/Target_Rev_Productivity!I46</f>
        <v>0</v>
      </c>
      <c r="J46" s="5">
        <f>Revenue_Actual!J46/Target_Rev_Productivity!J46</f>
        <v>0</v>
      </c>
      <c r="K46" s="5">
        <f>Revenue_Actual!K46/Target_Rev_Productivity!K46</f>
        <v>0</v>
      </c>
      <c r="L46" s="5">
        <f>Revenue_Actual!L46/Target_Rev_Productivity!L46</f>
        <v>0</v>
      </c>
      <c r="M46" s="5">
        <f>Revenue_Actual!M46/Target_Rev_Productivity!M46</f>
        <v>0</v>
      </c>
      <c r="N46" s="5">
        <f>Revenue_Actual!N46/Target_Rev_Productivity!N46</f>
        <v>0</v>
      </c>
      <c r="O46" s="5">
        <f>Revenue_Actual!O46/Target_Rev_Productivity!O46</f>
        <v>2.5000000000000004</v>
      </c>
      <c r="P46" s="5">
        <f>Revenue_Actual!P46/Target_Rev_Productivity!P46</f>
        <v>4.166666666666667</v>
      </c>
      <c r="Q46" s="5">
        <f>Revenue_Actual!Q46/Target_Rev_Productivity!Q46</f>
        <v>4.1666666666666661</v>
      </c>
      <c r="R46" s="5">
        <f>Revenue_Actual!R46/Target_Rev_Productivity!R46</f>
        <v>5.833333333333333</v>
      </c>
      <c r="S46" s="5">
        <f>Revenue_Actual!S46/Target_Rev_Productivity!S46</f>
        <v>5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f>Revenue_Actual!H47/Target_Rev_Productivity!H47</f>
        <v>0</v>
      </c>
      <c r="I47" s="5">
        <f>Revenue_Actual!I47/Target_Rev_Productivity!I47</f>
        <v>0</v>
      </c>
      <c r="J47" s="5">
        <f>Revenue_Actual!J47/Target_Rev_Productivity!J47</f>
        <v>0</v>
      </c>
      <c r="K47" s="5">
        <f>Revenue_Actual!K47/Target_Rev_Productivity!K47</f>
        <v>0</v>
      </c>
      <c r="L47" s="5">
        <f>Revenue_Actual!L47/Target_Rev_Productivity!L47</f>
        <v>0</v>
      </c>
      <c r="M47" s="5">
        <f>Revenue_Actual!M47/Target_Rev_Productivity!M47</f>
        <v>0</v>
      </c>
      <c r="N47" s="5">
        <f>Revenue_Actual!N47/Target_Rev_Productivity!N47</f>
        <v>0</v>
      </c>
      <c r="O47" s="5">
        <f>Revenue_Actual!O47/Target_Rev_Productivity!O47</f>
        <v>0</v>
      </c>
      <c r="P47" s="5">
        <f>Revenue_Actual!P47/Target_Rev_Productivity!P47</f>
        <v>1.6666666666666667</v>
      </c>
      <c r="Q47" s="5">
        <f>Revenue_Actual!Q47/Target_Rev_Productivity!Q47</f>
        <v>3.3333333333333335</v>
      </c>
      <c r="R47" s="5">
        <f>Revenue_Actual!R47/Target_Rev_Productivity!R47</f>
        <v>4.166666666666667</v>
      </c>
      <c r="S47" s="5">
        <f>Revenue_Actual!S47/Target_Rev_Productivity!S47</f>
        <v>4.1666666666666661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f>Revenue_Actual!H48/Target_Rev_Productivity!H48</f>
        <v>0</v>
      </c>
      <c r="I48" s="5">
        <f>Revenue_Actual!I48/Target_Rev_Productivity!I48</f>
        <v>0</v>
      </c>
      <c r="J48" s="5">
        <f>Revenue_Actual!J48/Target_Rev_Productivity!J48</f>
        <v>0</v>
      </c>
      <c r="K48" s="5">
        <f>Revenue_Actual!K48/Target_Rev_Productivity!K48</f>
        <v>0</v>
      </c>
      <c r="L48" s="5">
        <f>Revenue_Actual!L48/Target_Rev_Productivity!L48</f>
        <v>0</v>
      </c>
      <c r="M48" s="5">
        <f>Revenue_Actual!M48/Target_Rev_Productivity!M48</f>
        <v>0</v>
      </c>
      <c r="N48" s="5">
        <f>Revenue_Actual!N48/Target_Rev_Productivity!N48</f>
        <v>0</v>
      </c>
      <c r="O48" s="5">
        <f>Revenue_Actual!O48/Target_Rev_Productivity!O48</f>
        <v>0</v>
      </c>
      <c r="P48" s="5">
        <f>Revenue_Actual!P48/Target_Rev_Productivity!P48</f>
        <v>0</v>
      </c>
      <c r="Q48" s="5">
        <f>Revenue_Actual!Q48/Target_Rev_Productivity!Q48</f>
        <v>0</v>
      </c>
      <c r="R48" s="5">
        <f>Revenue_Actual!R48/Target_Rev_Productivity!R48</f>
        <v>0</v>
      </c>
      <c r="S48" s="5">
        <f>Revenue_Actual!S48/Target_Rev_Productivity!S48</f>
        <v>1.6666666666666667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f>Revenue_Actual!H49/Target_Rev_Productivity!H49</f>
        <v>46.500000000000007</v>
      </c>
      <c r="I49" s="5">
        <f>Revenue_Actual!I49/Target_Rev_Productivity!I49</f>
        <v>49.166666666666671</v>
      </c>
      <c r="J49" s="5">
        <f>Revenue_Actual!J49/Target_Rev_Productivity!J49</f>
        <v>49.166666666666664</v>
      </c>
      <c r="K49" s="5">
        <f>Revenue_Actual!K49/Target_Rev_Productivity!K49</f>
        <v>47.500000000000014</v>
      </c>
      <c r="L49" s="5">
        <f>Revenue_Actual!L49/Target_Rev_Productivity!L49</f>
        <v>45</v>
      </c>
      <c r="M49" s="5">
        <f>Revenue_Actual!M49/Target_Rev_Productivity!M49</f>
        <v>44.999999999999993</v>
      </c>
      <c r="N49" s="5">
        <f>Revenue_Actual!N49/Target_Rev_Productivity!N49</f>
        <v>45</v>
      </c>
      <c r="O49" s="5">
        <f>Revenue_Actual!O49/Target_Rev_Productivity!O49</f>
        <v>43.5</v>
      </c>
      <c r="P49" s="5">
        <f>Revenue_Actual!P49/Target_Rev_Productivity!P49</f>
        <v>41.666666666666671</v>
      </c>
      <c r="Q49" s="5">
        <f>Revenue_Actual!Q49/Target_Rev_Productivity!Q49</f>
        <v>41.666666666666664</v>
      </c>
      <c r="R49" s="5">
        <f>Revenue_Actual!R49/Target_Rev_Productivity!R49</f>
        <v>40.833333333333336</v>
      </c>
      <c r="S49" s="5">
        <f>Revenue_Actual!S49/Target_Rev_Productivity!S49</f>
        <v>40.000000000000007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f>Revenue_Actual!H50/Target_Rev_Productivity!H50</f>
        <v>10.166666666666666</v>
      </c>
      <c r="I50" s="5">
        <f>Revenue_Actual!I50/Target_Rev_Productivity!I50</f>
        <v>10</v>
      </c>
      <c r="J50" s="5">
        <f>Revenue_Actual!J50/Target_Rev_Productivity!J50</f>
        <v>10</v>
      </c>
      <c r="K50" s="5">
        <f>Revenue_Actual!K50/Target_Rev_Productivity!K50</f>
        <v>10</v>
      </c>
      <c r="L50" s="5">
        <f>Revenue_Actual!L50/Target_Rev_Productivity!L50</f>
        <v>10</v>
      </c>
      <c r="M50" s="5">
        <f>Revenue_Actual!M50/Target_Rev_Productivity!M50</f>
        <v>10</v>
      </c>
      <c r="N50" s="5">
        <f>Revenue_Actual!N50/Target_Rev_Productivity!N50</f>
        <v>9.1666666666666661</v>
      </c>
      <c r="O50" s="5">
        <f>Revenue_Actual!O50/Target_Rev_Productivity!O50</f>
        <v>10.000000000000002</v>
      </c>
      <c r="P50" s="5">
        <f>Revenue_Actual!P50/Target_Rev_Productivity!P50</f>
        <v>10</v>
      </c>
      <c r="Q50" s="5">
        <f>Revenue_Actual!Q50/Target_Rev_Productivity!Q50</f>
        <v>10</v>
      </c>
      <c r="R50" s="5">
        <f>Revenue_Actual!R50/Target_Rev_Productivity!R50</f>
        <v>13.333333333333332</v>
      </c>
      <c r="S50" s="5">
        <f>Revenue_Actual!S50/Target_Rev_Productivity!S50</f>
        <v>11.666666666666666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f>Revenue_Actual!H51/Target_Rev_Productivity!H51</f>
        <v>5.833333333333333</v>
      </c>
      <c r="I51" s="5">
        <f>Revenue_Actual!I51/Target_Rev_Productivity!I51</f>
        <v>5.8333333333333339</v>
      </c>
      <c r="J51" s="5">
        <f>Revenue_Actual!J51/Target_Rev_Productivity!J51</f>
        <v>3.333333333333333</v>
      </c>
      <c r="K51" s="5">
        <f>Revenue_Actual!K51/Target_Rev_Productivity!K51</f>
        <v>2.5</v>
      </c>
      <c r="L51" s="5">
        <f>Revenue_Actual!L51/Target_Rev_Productivity!L51</f>
        <v>1.6666666666666667</v>
      </c>
      <c r="M51" s="5">
        <f>Revenue_Actual!M51/Target_Rev_Productivity!M51</f>
        <v>1.6666666666666665</v>
      </c>
      <c r="N51" s="5">
        <f>Revenue_Actual!N51/Target_Rev_Productivity!N51</f>
        <v>0</v>
      </c>
      <c r="O51" s="5">
        <f>Revenue_Actual!O51/Target_Rev_Productivity!O51</f>
        <v>0</v>
      </c>
      <c r="P51" s="5">
        <f>Revenue_Actual!P51/Target_Rev_Productivity!P51</f>
        <v>0</v>
      </c>
      <c r="Q51" s="5">
        <f>Revenue_Actual!Q51/Target_Rev_Productivity!Q51</f>
        <v>0</v>
      </c>
      <c r="R51" s="5">
        <f>Revenue_Actual!R51/Target_Rev_Productivity!R51</f>
        <v>0</v>
      </c>
      <c r="S51" s="5">
        <f>Revenue_Actual!S51/Target_Rev_Productivity!S51</f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f>Revenue_Actual!H52/Target_Rev_Productivity!H52</f>
        <v>56.25</v>
      </c>
      <c r="I52" s="5">
        <f>Revenue_Actual!I52/Target_Rev_Productivity!I52</f>
        <v>52.083333333333329</v>
      </c>
      <c r="J52" s="5">
        <f>Revenue_Actual!J52/Target_Rev_Productivity!J52</f>
        <v>40.833333333333336</v>
      </c>
      <c r="K52" s="5">
        <f>Revenue_Actual!K52/Target_Rev_Productivity!K52</f>
        <v>32.499999999999993</v>
      </c>
      <c r="L52" s="5">
        <f>Revenue_Actual!L52/Target_Rev_Productivity!L52</f>
        <v>35.833333333333329</v>
      </c>
      <c r="M52" s="5">
        <f>Revenue_Actual!M52/Target_Rev_Productivity!M52</f>
        <v>36.666666666666671</v>
      </c>
      <c r="N52" s="5">
        <f>Revenue_Actual!N52/Target_Rev_Productivity!N52</f>
        <v>42.5</v>
      </c>
      <c r="O52" s="5">
        <f>Revenue_Actual!O52/Target_Rev_Productivity!O52</f>
        <v>42.333333333333336</v>
      </c>
      <c r="P52" s="5">
        <f>Revenue_Actual!P52/Target_Rev_Productivity!P52</f>
        <v>43.333333333333336</v>
      </c>
      <c r="Q52" s="5">
        <f>Revenue_Actual!Q52/Target_Rev_Productivity!Q52</f>
        <v>43.333333333333336</v>
      </c>
      <c r="R52" s="5">
        <f>Revenue_Actual!R52/Target_Rev_Productivity!R52</f>
        <v>36.666666666666671</v>
      </c>
      <c r="S52" s="5">
        <f>Revenue_Actual!S52/Target_Rev_Productivity!S52</f>
        <v>35.833333333333336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f>Revenue_Actual!H53/Target_Rev_Productivity!H53</f>
        <v>2.4999999999999996</v>
      </c>
      <c r="I53" s="5">
        <f>Revenue_Actual!I53/Target_Rev_Productivity!I53</f>
        <v>2.5</v>
      </c>
      <c r="J53" s="5">
        <f>Revenue_Actual!J53/Target_Rev_Productivity!J53</f>
        <v>2.5000000000000004</v>
      </c>
      <c r="K53" s="5">
        <f>Revenue_Actual!K53/Target_Rev_Productivity!K53</f>
        <v>2.4999999999999996</v>
      </c>
      <c r="L53" s="5">
        <f>Revenue_Actual!L53/Target_Rev_Productivity!L53</f>
        <v>1.6666666666666667</v>
      </c>
      <c r="M53" s="5">
        <f>Revenue_Actual!M53/Target_Rev_Productivity!M53</f>
        <v>1.6666666666666667</v>
      </c>
      <c r="N53" s="5">
        <f>Revenue_Actual!N53/Target_Rev_Productivity!N53</f>
        <v>1.6666666666666667</v>
      </c>
      <c r="O53" s="5">
        <f>Revenue_Actual!O53/Target_Rev_Productivity!O53</f>
        <v>1.6666666666666667</v>
      </c>
      <c r="P53" s="5">
        <f>Revenue_Actual!P53/Target_Rev_Productivity!P53</f>
        <v>1.6666666666666667</v>
      </c>
      <c r="Q53" s="5">
        <f>Revenue_Actual!Q53/Target_Rev_Productivity!Q53</f>
        <v>1.6666666666666667</v>
      </c>
      <c r="R53" s="5">
        <f>Revenue_Actual!R53/Target_Rev_Productivity!R53</f>
        <v>1.6666666666666667</v>
      </c>
      <c r="S53" s="5">
        <f>Revenue_Actual!S53/Target_Rev_Productivity!S53</f>
        <v>1.6666666666666665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f>Revenue_Actual!H54/Target_Rev_Productivity!H54</f>
        <v>0.83333333333333326</v>
      </c>
      <c r="I54" s="5">
        <f>Revenue_Actual!I54/Target_Rev_Productivity!I54</f>
        <v>0.83333333333333337</v>
      </c>
      <c r="J54" s="5">
        <f>Revenue_Actual!J54/Target_Rev_Productivity!J54</f>
        <v>0.83333333333333337</v>
      </c>
      <c r="K54" s="5">
        <f>Revenue_Actual!K54/Target_Rev_Productivity!K54</f>
        <v>0.83333333333333337</v>
      </c>
      <c r="L54" s="5">
        <f>Revenue_Actual!L54/Target_Rev_Productivity!L54</f>
        <v>0.83333333333333337</v>
      </c>
      <c r="M54" s="5">
        <f>Revenue_Actual!M54/Target_Rev_Productivity!M54</f>
        <v>0.83333333333333337</v>
      </c>
      <c r="N54" s="5">
        <f>Revenue_Actual!N54/Target_Rev_Productivity!N54</f>
        <v>0.83333333333333326</v>
      </c>
      <c r="O54" s="5">
        <f>Revenue_Actual!O54/Target_Rev_Productivity!O54</f>
        <v>0.83333333333333326</v>
      </c>
      <c r="P54" s="5">
        <f>Revenue_Actual!P54/Target_Rev_Productivity!P54</f>
        <v>0.83333333333333337</v>
      </c>
      <c r="Q54" s="5">
        <f>Revenue_Actual!Q54/Target_Rev_Productivity!Q54</f>
        <v>0.83333333333333337</v>
      </c>
      <c r="R54" s="5">
        <f>Revenue_Actual!R54/Target_Rev_Productivity!R54</f>
        <v>0.83333333333333337</v>
      </c>
      <c r="S54" s="5">
        <f>Revenue_Actual!S54/Target_Rev_Productivity!S54</f>
        <v>1.6666666666666667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f>Revenue_Actual!H55/Target_Rev_Productivity!H55</f>
        <v>12.5</v>
      </c>
      <c r="I55" s="5">
        <f>Revenue_Actual!I55/Target_Rev_Productivity!I55</f>
        <v>6.666666666666667</v>
      </c>
      <c r="J55" s="5">
        <f>Revenue_Actual!J55/Target_Rev_Productivity!J55</f>
        <v>6.666666666666667</v>
      </c>
      <c r="K55" s="5">
        <f>Revenue_Actual!K55/Target_Rev_Productivity!K55</f>
        <v>6.666666666666667</v>
      </c>
      <c r="L55" s="5">
        <f>Revenue_Actual!L55/Target_Rev_Productivity!L55</f>
        <v>10.000000000000002</v>
      </c>
      <c r="M55" s="5">
        <f>Revenue_Actual!M55/Target_Rev_Productivity!M55</f>
        <v>11.666666666666668</v>
      </c>
      <c r="N55" s="5">
        <f>Revenue_Actual!N55/Target_Rev_Productivity!N55</f>
        <v>10.000000000000002</v>
      </c>
      <c r="O55" s="5">
        <f>Revenue_Actual!O55/Target_Rev_Productivity!O55</f>
        <v>9.5833333333333321</v>
      </c>
      <c r="P55" s="5">
        <f>Revenue_Actual!P55/Target_Rev_Productivity!P55</f>
        <v>10.833333333333334</v>
      </c>
      <c r="Q55" s="5">
        <f>Revenue_Actual!Q55/Target_Rev_Productivity!Q55</f>
        <v>10</v>
      </c>
      <c r="R55" s="5">
        <f>Revenue_Actual!R55/Target_Rev_Productivity!R55</f>
        <v>3.333333333333333</v>
      </c>
      <c r="S55" s="5">
        <f>Revenue_Actual!S55/Target_Rev_Productivity!S55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f>Revenue_Actual!H56/Target_Rev_Productivity!H56</f>
        <v>0</v>
      </c>
      <c r="I56" s="5">
        <f>Revenue_Actual!I56/Target_Rev_Productivity!I56</f>
        <v>0</v>
      </c>
      <c r="J56" s="5">
        <f>Revenue_Actual!J56/Target_Rev_Productivity!J56</f>
        <v>0</v>
      </c>
      <c r="K56" s="5">
        <f>Revenue_Actual!K56/Target_Rev_Productivity!K56</f>
        <v>0</v>
      </c>
      <c r="L56" s="5">
        <f>Revenue_Actual!L56/Target_Rev_Productivity!L56</f>
        <v>0</v>
      </c>
      <c r="M56" s="5">
        <f>Revenue_Actual!M56/Target_Rev_Productivity!M56</f>
        <v>0</v>
      </c>
      <c r="N56" s="5">
        <f>Revenue_Actual!N56/Target_Rev_Productivity!N56</f>
        <v>0</v>
      </c>
      <c r="O56" s="5">
        <f>Revenue_Actual!O56/Target_Rev_Productivity!O56</f>
        <v>0</v>
      </c>
      <c r="P56" s="5">
        <f>Revenue_Actual!P56/Target_Rev_Productivity!P56</f>
        <v>0</v>
      </c>
      <c r="Q56" s="5">
        <f>Revenue_Actual!Q56/Target_Rev_Productivity!Q56</f>
        <v>0</v>
      </c>
      <c r="R56" s="5">
        <f>Revenue_Actual!R56/Target_Rev_Productivity!R56</f>
        <v>0</v>
      </c>
      <c r="S56" s="5">
        <f>Revenue_Actual!S56/Target_Rev_Productivity!S56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Revenue_Actual!H57/Target_Rev_Productivity!H57</f>
        <v>0</v>
      </c>
      <c r="I57" s="5">
        <f>Revenue_Actual!I57/Target_Rev_Productivity!I57</f>
        <v>0</v>
      </c>
      <c r="J57" s="5">
        <f>Revenue_Actual!J57/Target_Rev_Productivity!J57</f>
        <v>0</v>
      </c>
      <c r="K57" s="5">
        <f>Revenue_Actual!K57/Target_Rev_Productivity!K57</f>
        <v>0</v>
      </c>
      <c r="L57" s="5">
        <f>Revenue_Actual!L57/Target_Rev_Productivity!L57</f>
        <v>0</v>
      </c>
      <c r="M57" s="5">
        <f>Revenue_Actual!M57/Target_Rev_Productivity!M57</f>
        <v>0</v>
      </c>
      <c r="N57" s="5">
        <f>Revenue_Actual!N57/Target_Rev_Productivity!N57</f>
        <v>0</v>
      </c>
      <c r="O57" s="5">
        <f>Revenue_Actual!O57/Target_Rev_Productivity!O57</f>
        <v>0</v>
      </c>
      <c r="P57" s="5">
        <f>Revenue_Actual!P57/Target_Rev_Productivity!P57</f>
        <v>0</v>
      </c>
      <c r="Q57" s="5">
        <f>Revenue_Actual!Q57/Target_Rev_Productivity!Q57</f>
        <v>0</v>
      </c>
      <c r="R57" s="5">
        <f>Revenue_Actual!R57/Target_Rev_Productivity!R57</f>
        <v>0</v>
      </c>
      <c r="S57" s="5">
        <f>Revenue_Actual!S57/Target_Rev_Productivity!S57</f>
        <v>0</v>
      </c>
    </row>
  </sheetData>
  <conditionalFormatting sqref="B2:B57">
    <cfRule type="duplicateValues" dxfId="30" priority="5"/>
  </conditionalFormatting>
  <conditionalFormatting sqref="B1:C1">
    <cfRule type="duplicateValues" dxfId="29" priority="3"/>
  </conditionalFormatting>
  <conditionalFormatting sqref="C2:C57">
    <cfRule type="duplicateValues" dxfId="28" priority="1"/>
  </conditionalFormatting>
  <conditionalFormatting sqref="D1:E1">
    <cfRule type="duplicateValues" dxfId="27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C2C-1FF0-4AC0-8902-BFEDA70095C0}">
  <sheetPr codeName="Sheet15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51.13</v>
      </c>
      <c r="I2" s="5">
        <v>50.100000000000009</v>
      </c>
      <c r="J2" s="5">
        <v>37</v>
      </c>
      <c r="K2" s="5">
        <v>29.95</v>
      </c>
      <c r="L2" s="5">
        <v>28.95</v>
      </c>
      <c r="M2" s="5">
        <v>30.35</v>
      </c>
      <c r="N2" s="5">
        <v>30.05</v>
      </c>
      <c r="O2" s="5">
        <v>27.7</v>
      </c>
      <c r="P2" s="5">
        <v>27.4</v>
      </c>
      <c r="Q2" s="5">
        <v>22.4</v>
      </c>
      <c r="R2" s="5">
        <v>13.4</v>
      </c>
      <c r="S2" s="5">
        <v>2.15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8.84</v>
      </c>
      <c r="I3" s="5">
        <v>6.5</v>
      </c>
      <c r="J3" s="5">
        <v>6.8</v>
      </c>
      <c r="K3" s="5">
        <v>7.05</v>
      </c>
      <c r="L3" s="5">
        <v>8</v>
      </c>
      <c r="M3" s="5">
        <v>6.25</v>
      </c>
      <c r="N3" s="5">
        <v>3.75</v>
      </c>
      <c r="O3" s="5">
        <v>4.2</v>
      </c>
      <c r="P3" s="5">
        <v>3.7</v>
      </c>
      <c r="Q3" s="5">
        <v>4</v>
      </c>
      <c r="R3" s="5">
        <v>5</v>
      </c>
      <c r="S3" s="5">
        <v>7.1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6.5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4.5999999999999996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15.83</v>
      </c>
      <c r="I6" s="5">
        <v>15.5</v>
      </c>
      <c r="J6" s="5">
        <v>16.3</v>
      </c>
      <c r="K6" s="5">
        <v>16.55</v>
      </c>
      <c r="L6" s="5">
        <v>15.55</v>
      </c>
      <c r="M6" s="5">
        <v>17.649999999999999</v>
      </c>
      <c r="N6" s="5">
        <v>12.75</v>
      </c>
      <c r="O6" s="5">
        <v>3.3</v>
      </c>
      <c r="P6" s="5">
        <v>4</v>
      </c>
      <c r="Q6" s="5">
        <v>0.7</v>
      </c>
      <c r="R6" s="5">
        <v>0.7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1.7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6</v>
      </c>
      <c r="I9" s="5">
        <v>6</v>
      </c>
      <c r="J9" s="5">
        <v>6</v>
      </c>
      <c r="K9" s="5">
        <v>7.25</v>
      </c>
      <c r="L9" s="5">
        <v>8.75</v>
      </c>
      <c r="M9" s="5">
        <v>12.05</v>
      </c>
      <c r="N9" s="5">
        <v>13.149999999999999</v>
      </c>
      <c r="O9" s="5">
        <v>14.7</v>
      </c>
      <c r="P9" s="5">
        <v>13.2</v>
      </c>
      <c r="Q9" s="5">
        <v>13.2</v>
      </c>
      <c r="R9" s="5">
        <v>13.2</v>
      </c>
      <c r="S9" s="5">
        <v>16.7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3.7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14</v>
      </c>
      <c r="I11" s="5">
        <v>14</v>
      </c>
      <c r="J11" s="5">
        <v>15.5</v>
      </c>
      <c r="K11" s="5">
        <v>17</v>
      </c>
      <c r="L11" s="5">
        <v>16</v>
      </c>
      <c r="M11" s="5">
        <v>16</v>
      </c>
      <c r="N11" s="5">
        <v>15</v>
      </c>
      <c r="O11" s="5">
        <v>14</v>
      </c>
      <c r="P11" s="5">
        <v>14</v>
      </c>
      <c r="Q11" s="5">
        <v>14</v>
      </c>
      <c r="R11" s="5">
        <v>14</v>
      </c>
      <c r="S11" s="5">
        <v>14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14.65</v>
      </c>
      <c r="I12" s="5">
        <v>13.25</v>
      </c>
      <c r="J12" s="5">
        <v>13.25</v>
      </c>
      <c r="K12" s="5">
        <v>13.25</v>
      </c>
      <c r="L12" s="5">
        <v>12.25</v>
      </c>
      <c r="M12" s="5">
        <v>13.25</v>
      </c>
      <c r="N12" s="5">
        <v>13.3</v>
      </c>
      <c r="O12" s="5">
        <v>10.8</v>
      </c>
      <c r="P12" s="5">
        <v>10.7</v>
      </c>
      <c r="Q12" s="5">
        <v>10.5</v>
      </c>
      <c r="R12" s="5">
        <v>10.199999999999999</v>
      </c>
      <c r="S12" s="5">
        <v>4.2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17.100000000000001</v>
      </c>
      <c r="L13" s="5">
        <v>21.5</v>
      </c>
      <c r="M13" s="5">
        <v>32.15</v>
      </c>
      <c r="N13" s="5">
        <v>32</v>
      </c>
      <c r="O13" s="5">
        <v>47</v>
      </c>
      <c r="P13" s="5">
        <v>47.5</v>
      </c>
      <c r="Q13" s="5">
        <v>50.9</v>
      </c>
      <c r="R13" s="5">
        <v>51.199999999999996</v>
      </c>
      <c r="S13" s="5">
        <v>60.3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2.5</v>
      </c>
      <c r="Q15" s="5">
        <v>1.5</v>
      </c>
      <c r="R15" s="5">
        <v>1.5</v>
      </c>
      <c r="S15" s="5">
        <v>2.5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7.6</v>
      </c>
      <c r="I17" s="5">
        <v>7.43</v>
      </c>
      <c r="J17" s="5">
        <v>7.43</v>
      </c>
      <c r="K17" s="5">
        <v>6.43</v>
      </c>
      <c r="L17" s="5">
        <v>6.43</v>
      </c>
      <c r="M17" s="5">
        <v>7.43</v>
      </c>
      <c r="N17" s="5">
        <v>4.33</v>
      </c>
      <c r="O17" s="5">
        <v>4.33</v>
      </c>
      <c r="P17" s="5">
        <v>5.5</v>
      </c>
      <c r="Q17" s="5">
        <v>5.5</v>
      </c>
      <c r="R17" s="5">
        <v>4.5</v>
      </c>
      <c r="S17" s="5">
        <v>5.2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2.3000000000000003</v>
      </c>
      <c r="I18" s="5">
        <v>2.3000000000000003</v>
      </c>
      <c r="J18" s="5">
        <v>0.4</v>
      </c>
      <c r="K18" s="5">
        <v>0.30000000000000004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15.6</v>
      </c>
      <c r="I19" s="5">
        <v>14.43</v>
      </c>
      <c r="J19" s="5">
        <v>13.43</v>
      </c>
      <c r="K19" s="5">
        <v>12.33</v>
      </c>
      <c r="L19" s="5">
        <v>11.53</v>
      </c>
      <c r="M19" s="5">
        <v>13.53</v>
      </c>
      <c r="N19" s="5">
        <v>14.33</v>
      </c>
      <c r="O19" s="5">
        <v>11.33</v>
      </c>
      <c r="P19" s="5">
        <v>11.5</v>
      </c>
      <c r="Q19" s="5">
        <v>11.5</v>
      </c>
      <c r="R19" s="5">
        <v>12.5</v>
      </c>
      <c r="S19" s="5">
        <v>12.7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20.900000000000002</v>
      </c>
      <c r="I20" s="5">
        <v>18.400000000000002</v>
      </c>
      <c r="J20" s="5">
        <v>18.400000000000002</v>
      </c>
      <c r="K20" s="5">
        <v>18.899999999999999</v>
      </c>
      <c r="L20" s="5">
        <v>18.899999999999999</v>
      </c>
      <c r="M20" s="5">
        <v>18.2</v>
      </c>
      <c r="N20" s="5">
        <v>18.3</v>
      </c>
      <c r="O20" s="5">
        <v>18.5</v>
      </c>
      <c r="P20" s="5">
        <v>14.6</v>
      </c>
      <c r="Q20" s="5">
        <v>10.1</v>
      </c>
      <c r="R20" s="5">
        <v>10.1</v>
      </c>
      <c r="S20" s="5">
        <v>10.299999999999999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69.3</v>
      </c>
      <c r="I21" s="5">
        <v>66</v>
      </c>
      <c r="J21" s="5">
        <v>60.7</v>
      </c>
      <c r="K21" s="5">
        <v>60.4</v>
      </c>
      <c r="L21" s="5">
        <v>61.5</v>
      </c>
      <c r="M21" s="5">
        <v>63</v>
      </c>
      <c r="N21" s="5">
        <v>63</v>
      </c>
      <c r="O21" s="5">
        <v>59</v>
      </c>
      <c r="P21" s="5">
        <v>60</v>
      </c>
      <c r="Q21" s="5">
        <v>61</v>
      </c>
      <c r="R21" s="5">
        <v>63</v>
      </c>
      <c r="S21" s="5">
        <v>63.5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15.4</v>
      </c>
      <c r="I22" s="5">
        <v>14</v>
      </c>
      <c r="J22" s="5">
        <v>13</v>
      </c>
      <c r="K22" s="5">
        <v>13</v>
      </c>
      <c r="L22" s="5">
        <v>13</v>
      </c>
      <c r="M22" s="5">
        <v>13</v>
      </c>
      <c r="N22" s="5">
        <v>12</v>
      </c>
      <c r="O22" s="5">
        <v>13</v>
      </c>
      <c r="P22" s="5">
        <v>12</v>
      </c>
      <c r="Q22" s="5">
        <v>11.05</v>
      </c>
      <c r="R22" s="5">
        <v>10.1</v>
      </c>
      <c r="S22" s="5">
        <v>10.299999999999999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37.9</v>
      </c>
      <c r="I23" s="5">
        <v>37.9</v>
      </c>
      <c r="J23" s="5">
        <v>39.9</v>
      </c>
      <c r="K23" s="5">
        <v>39.9</v>
      </c>
      <c r="L23" s="5">
        <v>36.200000000000003</v>
      </c>
      <c r="M23" s="5">
        <v>41.050000000000004</v>
      </c>
      <c r="N23" s="5">
        <v>37.299999999999997</v>
      </c>
      <c r="O23" s="5">
        <v>37</v>
      </c>
      <c r="P23" s="5">
        <v>33</v>
      </c>
      <c r="Q23" s="5">
        <v>35</v>
      </c>
      <c r="R23" s="5">
        <v>33</v>
      </c>
      <c r="S23" s="5">
        <v>36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24.75</v>
      </c>
      <c r="I24" s="5">
        <v>23.1</v>
      </c>
      <c r="J24" s="5">
        <v>22.1</v>
      </c>
      <c r="K24" s="5">
        <v>20.100000000000001</v>
      </c>
      <c r="L24" s="5">
        <v>23.1</v>
      </c>
      <c r="M24" s="5">
        <v>16.100000000000001</v>
      </c>
      <c r="N24" s="5">
        <v>16.7</v>
      </c>
      <c r="O24" s="5">
        <v>9.6999999999999993</v>
      </c>
      <c r="P24" s="5">
        <v>8</v>
      </c>
      <c r="Q24" s="5">
        <v>8.9</v>
      </c>
      <c r="R24" s="5">
        <v>10.9</v>
      </c>
      <c r="S24" s="5">
        <v>11.299999999999999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5.3999999999999995</v>
      </c>
      <c r="I25" s="5">
        <v>6.1</v>
      </c>
      <c r="J25" s="5">
        <v>5.8</v>
      </c>
      <c r="K25" s="5">
        <v>3.8000000000000003</v>
      </c>
      <c r="L25" s="5">
        <v>3.1</v>
      </c>
      <c r="M25" s="5">
        <v>1.1000000000000001</v>
      </c>
      <c r="N25" s="5">
        <v>0.2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3.1</v>
      </c>
      <c r="I26" s="5">
        <v>3.44</v>
      </c>
      <c r="J26" s="5">
        <v>3.44</v>
      </c>
      <c r="K26" s="5">
        <v>3.44</v>
      </c>
      <c r="L26" s="5">
        <v>2.44</v>
      </c>
      <c r="M26" s="5">
        <v>1.4400000000000002</v>
      </c>
      <c r="N26" s="5">
        <v>1.34</v>
      </c>
      <c r="O26" s="5">
        <v>0.34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9</v>
      </c>
      <c r="L27" s="5">
        <v>10</v>
      </c>
      <c r="M27" s="5">
        <v>17</v>
      </c>
      <c r="N27" s="5">
        <v>12</v>
      </c>
      <c r="O27" s="5">
        <v>11.2</v>
      </c>
      <c r="P27" s="5">
        <v>11.2</v>
      </c>
      <c r="Q27" s="5">
        <v>10.199999999999999</v>
      </c>
      <c r="R27" s="5">
        <v>16.2</v>
      </c>
      <c r="S27" s="5">
        <v>16.2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1.5</v>
      </c>
      <c r="K28" s="5">
        <v>2</v>
      </c>
      <c r="L28" s="5">
        <v>3</v>
      </c>
      <c r="M28" s="5">
        <v>4</v>
      </c>
      <c r="N28" s="5">
        <v>3</v>
      </c>
      <c r="O28" s="5">
        <v>1</v>
      </c>
      <c r="P28" s="5">
        <v>1.05</v>
      </c>
      <c r="Q28" s="5">
        <v>1</v>
      </c>
      <c r="R28" s="5">
        <v>1</v>
      </c>
      <c r="S28" s="5">
        <v>1.2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9</v>
      </c>
      <c r="M29" s="5">
        <v>9</v>
      </c>
      <c r="N29" s="5">
        <v>9</v>
      </c>
      <c r="O29" s="5">
        <v>7.1</v>
      </c>
      <c r="P29" s="5">
        <v>7.1</v>
      </c>
      <c r="Q29" s="5">
        <v>6.1</v>
      </c>
      <c r="R29" s="5">
        <v>8.1</v>
      </c>
      <c r="S29" s="5">
        <v>8.2999999999999989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6.1</v>
      </c>
      <c r="P30" s="5">
        <v>5.15</v>
      </c>
      <c r="Q30" s="5">
        <v>6.15</v>
      </c>
      <c r="R30" s="5">
        <v>6.1</v>
      </c>
      <c r="S30" s="5">
        <v>6.3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8.9</v>
      </c>
      <c r="P31" s="5">
        <v>19.2</v>
      </c>
      <c r="Q31" s="5">
        <v>22.400000000000002</v>
      </c>
      <c r="R31" s="5">
        <v>32.4</v>
      </c>
      <c r="S31" s="5">
        <v>34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</v>
      </c>
      <c r="R32" s="5">
        <v>7</v>
      </c>
      <c r="S32" s="5">
        <v>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10.54</v>
      </c>
      <c r="I33" s="5">
        <v>12.7</v>
      </c>
      <c r="J33" s="5">
        <v>12.2</v>
      </c>
      <c r="K33" s="5">
        <v>14.2</v>
      </c>
      <c r="L33" s="5">
        <v>14.25</v>
      </c>
      <c r="M33" s="5">
        <v>16.25</v>
      </c>
      <c r="N33" s="5">
        <v>11.3</v>
      </c>
      <c r="O33" s="5">
        <v>11.3</v>
      </c>
      <c r="P33" s="5">
        <v>9.1999999999999993</v>
      </c>
      <c r="Q33" s="5">
        <v>8</v>
      </c>
      <c r="R33" s="5">
        <v>8</v>
      </c>
      <c r="S33" s="5">
        <v>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5.0999999999999996</v>
      </c>
      <c r="I34" s="5">
        <v>2.65</v>
      </c>
      <c r="J34" s="5">
        <v>3.1</v>
      </c>
      <c r="K34" s="5">
        <v>4.0999999999999996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4.43</v>
      </c>
      <c r="I35" s="5">
        <v>4.1500000000000004</v>
      </c>
      <c r="J35" s="5">
        <v>4.1500000000000004</v>
      </c>
      <c r="K35" s="5">
        <v>4.1500000000000004</v>
      </c>
      <c r="L35" s="5">
        <v>4.1500000000000004</v>
      </c>
      <c r="M35" s="5">
        <v>4.1500000000000004</v>
      </c>
      <c r="N35" s="5">
        <v>4.1500000000000004</v>
      </c>
      <c r="O35" s="5">
        <v>4.1500000000000004</v>
      </c>
      <c r="P35" s="5">
        <v>4.0999999999999996</v>
      </c>
      <c r="Q35" s="5">
        <v>4</v>
      </c>
      <c r="R35" s="5">
        <v>4</v>
      </c>
      <c r="S35" s="5">
        <v>3.7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7.1</v>
      </c>
      <c r="I36" s="5">
        <v>7.1</v>
      </c>
      <c r="J36" s="5">
        <v>6</v>
      </c>
      <c r="K36" s="5">
        <v>5</v>
      </c>
      <c r="L36" s="5">
        <v>5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12.43</v>
      </c>
      <c r="I37" s="5">
        <v>11.15</v>
      </c>
      <c r="J37" s="5">
        <v>10.15</v>
      </c>
      <c r="K37" s="5">
        <v>9.15</v>
      </c>
      <c r="L37" s="5">
        <v>9.15</v>
      </c>
      <c r="M37" s="5">
        <v>11.15</v>
      </c>
      <c r="N37" s="5">
        <v>11.25</v>
      </c>
      <c r="O37" s="5">
        <v>11.25</v>
      </c>
      <c r="P37" s="5">
        <v>11.25</v>
      </c>
      <c r="Q37" s="5">
        <v>11</v>
      </c>
      <c r="R37" s="5">
        <v>12</v>
      </c>
      <c r="S37" s="5">
        <v>12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13.15</v>
      </c>
      <c r="K38" s="5">
        <v>13.15</v>
      </c>
      <c r="L38" s="5">
        <v>12.2</v>
      </c>
      <c r="M38" s="5">
        <v>1.2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3.1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3.1</v>
      </c>
      <c r="S39" s="5">
        <v>3.1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7.5</v>
      </c>
      <c r="I42" s="5">
        <v>9</v>
      </c>
      <c r="J42" s="5">
        <v>9.5</v>
      </c>
      <c r="K42" s="5">
        <v>8.5</v>
      </c>
      <c r="L42" s="5">
        <v>9</v>
      </c>
      <c r="M42" s="5">
        <v>9</v>
      </c>
      <c r="N42" s="5">
        <v>14</v>
      </c>
      <c r="O42" s="5">
        <v>11</v>
      </c>
      <c r="P42" s="5">
        <v>11</v>
      </c>
      <c r="Q42" s="5">
        <v>10.5</v>
      </c>
      <c r="R42" s="5">
        <v>9.3000000000000007</v>
      </c>
      <c r="S42" s="5">
        <v>10.1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5</v>
      </c>
      <c r="I43" s="5">
        <v>5</v>
      </c>
      <c r="J43" s="5">
        <v>5.9</v>
      </c>
      <c r="K43" s="5">
        <v>7</v>
      </c>
      <c r="L43" s="5">
        <v>7</v>
      </c>
      <c r="M43" s="5">
        <v>7</v>
      </c>
      <c r="N43" s="5">
        <v>2</v>
      </c>
      <c r="O43" s="5">
        <v>2</v>
      </c>
      <c r="P43" s="5">
        <v>2</v>
      </c>
      <c r="Q43" s="5">
        <v>2</v>
      </c>
      <c r="R43" s="5">
        <v>2.1</v>
      </c>
      <c r="S43" s="5">
        <v>3.1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2</v>
      </c>
      <c r="I44" s="5">
        <v>5</v>
      </c>
      <c r="J44" s="5">
        <v>5</v>
      </c>
      <c r="K44" s="5">
        <v>5</v>
      </c>
      <c r="L44" s="5">
        <v>4</v>
      </c>
      <c r="M44" s="5">
        <v>4</v>
      </c>
      <c r="N44" s="5">
        <v>3</v>
      </c>
      <c r="O44" s="5">
        <v>3</v>
      </c>
      <c r="P44" s="5">
        <v>3</v>
      </c>
      <c r="Q44" s="5">
        <v>3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6</v>
      </c>
      <c r="Q46" s="5">
        <v>8.1</v>
      </c>
      <c r="R46" s="5">
        <v>12.1</v>
      </c>
      <c r="S46" s="5">
        <v>10.1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5.0999999999999996</v>
      </c>
      <c r="R47" s="5">
        <v>6.1</v>
      </c>
      <c r="S47" s="5">
        <v>7.1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78.599999999999994</v>
      </c>
      <c r="I49" s="5">
        <v>82.8</v>
      </c>
      <c r="J49" s="5">
        <v>83.8</v>
      </c>
      <c r="K49" s="5">
        <v>81.8</v>
      </c>
      <c r="L49" s="5">
        <v>77.599999999999994</v>
      </c>
      <c r="M49" s="5">
        <v>77.5</v>
      </c>
      <c r="N49" s="5">
        <v>75.599999999999994</v>
      </c>
      <c r="O49" s="5">
        <v>73.900000000000006</v>
      </c>
      <c r="P49" s="5">
        <v>71.2</v>
      </c>
      <c r="Q49" s="5">
        <v>71.5</v>
      </c>
      <c r="R49" s="5">
        <v>71.5</v>
      </c>
      <c r="S49" s="5">
        <v>68.75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15.2</v>
      </c>
      <c r="I50" s="5">
        <v>15</v>
      </c>
      <c r="J50" s="5">
        <v>15.2</v>
      </c>
      <c r="K50" s="5">
        <v>15.2</v>
      </c>
      <c r="L50" s="5">
        <v>14.2</v>
      </c>
      <c r="M50" s="5">
        <v>14.2</v>
      </c>
      <c r="N50" s="5">
        <v>13.2</v>
      </c>
      <c r="O50" s="5">
        <v>14.4</v>
      </c>
      <c r="P50" s="5">
        <v>13.7</v>
      </c>
      <c r="Q50" s="5">
        <v>13.7</v>
      </c>
      <c r="R50" s="5">
        <v>18.7</v>
      </c>
      <c r="S50" s="5">
        <v>16.7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</v>
      </c>
      <c r="I51" s="5">
        <v>8</v>
      </c>
      <c r="J51" s="5">
        <v>5</v>
      </c>
      <c r="K51" s="5">
        <v>4</v>
      </c>
      <c r="L51" s="5">
        <v>3</v>
      </c>
      <c r="M51" s="5">
        <v>3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83</v>
      </c>
      <c r="I52" s="5">
        <v>77.5</v>
      </c>
      <c r="J52" s="5">
        <v>61.8</v>
      </c>
      <c r="K52" s="5">
        <v>60.3</v>
      </c>
      <c r="L52" s="5">
        <v>61.3</v>
      </c>
      <c r="M52" s="5">
        <v>63.3</v>
      </c>
      <c r="N52" s="5">
        <v>69.3</v>
      </c>
      <c r="O52" s="5">
        <v>70.099999999999994</v>
      </c>
      <c r="P52" s="5">
        <v>72</v>
      </c>
      <c r="Q52" s="5">
        <v>73</v>
      </c>
      <c r="R52" s="5">
        <v>66</v>
      </c>
      <c r="S52" s="5">
        <v>63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3.5</v>
      </c>
      <c r="I53" s="5">
        <v>3.5</v>
      </c>
      <c r="J53" s="5">
        <v>3.5</v>
      </c>
      <c r="K53" s="5">
        <v>3.5</v>
      </c>
      <c r="L53" s="5">
        <v>3</v>
      </c>
      <c r="M53" s="5">
        <v>3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3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16.5</v>
      </c>
      <c r="I55" s="5">
        <v>8.5</v>
      </c>
      <c r="J55" s="5">
        <v>8</v>
      </c>
      <c r="K55" s="5">
        <v>9</v>
      </c>
      <c r="L55" s="5">
        <v>13.2</v>
      </c>
      <c r="M55" s="5">
        <v>15.2</v>
      </c>
      <c r="N55" s="5">
        <v>13.2</v>
      </c>
      <c r="O55" s="5">
        <v>12.8</v>
      </c>
      <c r="P55" s="5">
        <v>14.1</v>
      </c>
      <c r="Q55" s="5">
        <v>13.1</v>
      </c>
      <c r="R55" s="5">
        <v>0.1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12.7+35</f>
        <v>47.7</v>
      </c>
      <c r="I57" s="5">
        <f>18+34</f>
        <v>52</v>
      </c>
      <c r="J57" s="5">
        <f>24+34</f>
        <v>58</v>
      </c>
      <c r="K57" s="5">
        <f>10.7+26</f>
        <v>36.700000000000003</v>
      </c>
      <c r="L57" s="5">
        <f>12+27</f>
        <v>39</v>
      </c>
      <c r="M57" s="5">
        <f>11+20</f>
        <v>31</v>
      </c>
      <c r="N57" s="5">
        <f>12+19</f>
        <v>31</v>
      </c>
      <c r="O57" s="5">
        <f>11.7+11</f>
        <v>22.7</v>
      </c>
      <c r="P57" s="5">
        <f>11.1+2</f>
        <v>13.1</v>
      </c>
      <c r="Q57" s="5">
        <v>9.9</v>
      </c>
      <c r="R57" s="5">
        <f>7.9+3</f>
        <v>10.9</v>
      </c>
      <c r="S57" s="5">
        <f>12.8+3</f>
        <v>15.8</v>
      </c>
    </row>
  </sheetData>
  <conditionalFormatting sqref="B2:B57">
    <cfRule type="duplicateValues" dxfId="26" priority="8"/>
  </conditionalFormatting>
  <conditionalFormatting sqref="B1:C1">
    <cfRule type="duplicateValues" dxfId="25" priority="3"/>
  </conditionalFormatting>
  <conditionalFormatting sqref="C2:C57">
    <cfRule type="duplicateValues" dxfId="24" priority="1"/>
  </conditionalFormatting>
  <conditionalFormatting sqref="D1:E1">
    <cfRule type="duplicateValues" dxfId="2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BD7B-1B1E-4481-91A0-646EBC6D5275}">
  <sheetPr codeName="Sheet17"/>
  <dimension ref="A1:T57"/>
  <sheetViews>
    <sheetView topLeftCell="B1"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19" width="8.140625" bestFit="1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20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79206.829400759423</v>
      </c>
      <c r="I2" s="5">
        <v>87020.49823912383</v>
      </c>
      <c r="J2" s="5">
        <v>84301.849265808982</v>
      </c>
      <c r="K2" s="5">
        <v>80073.849063289599</v>
      </c>
      <c r="L2" s="5">
        <v>78686.913852817845</v>
      </c>
      <c r="M2" s="5">
        <v>87373.147340105061</v>
      </c>
      <c r="N2" s="5">
        <v>73769.203980129445</v>
      </c>
      <c r="O2" s="5">
        <v>74584.045822535583</v>
      </c>
      <c r="P2" s="5">
        <v>75803.988093219479</v>
      </c>
      <c r="Q2" s="5">
        <v>75133.49491179586</v>
      </c>
      <c r="R2" s="5">
        <v>73500.794291868602</v>
      </c>
      <c r="S2" s="5">
        <v>78378.984153558005</v>
      </c>
      <c r="T2" s="6"/>
    </row>
    <row r="3" spans="1:20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62147.332868541329</v>
      </c>
      <c r="I3" s="5">
        <v>73573.55765874614</v>
      </c>
      <c r="J3" s="5">
        <v>77394.078721763872</v>
      </c>
      <c r="K3" s="5">
        <v>68412.472300600013</v>
      </c>
      <c r="L3" s="5">
        <v>65666.88254884546</v>
      </c>
      <c r="M3" s="5">
        <v>72524.292428837143</v>
      </c>
      <c r="N3" s="5">
        <v>69028.243802647412</v>
      </c>
      <c r="O3" s="5">
        <v>68049.538660033519</v>
      </c>
      <c r="P3" s="5">
        <v>75437.787659208814</v>
      </c>
      <c r="Q3" s="5">
        <v>74165.137768938715</v>
      </c>
      <c r="R3" s="5">
        <v>75198.394291868608</v>
      </c>
      <c r="S3" s="5">
        <v>88415.774196139071</v>
      </c>
      <c r="T3" s="6"/>
    </row>
    <row r="4" spans="1:20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70303.102099310563</v>
      </c>
      <c r="I4" s="5">
        <v>66953.685863874343</v>
      </c>
      <c r="J4" s="5">
        <v>64919.917439224759</v>
      </c>
      <c r="K4" s="5">
        <v>58372.998896344696</v>
      </c>
      <c r="L4" s="5">
        <v>57932.257548845468</v>
      </c>
      <c r="M4" s="5">
        <v>68744.211010310159</v>
      </c>
      <c r="N4" s="5">
        <v>45705.060469314078</v>
      </c>
      <c r="O4" s="5">
        <v>51984.750556710846</v>
      </c>
      <c r="P4" s="5">
        <v>54102.382253803407</v>
      </c>
      <c r="Q4" s="5">
        <v>52482.471102272044</v>
      </c>
      <c r="R4" s="5">
        <v>64812.194291868611</v>
      </c>
      <c r="S4" s="5">
        <v>74741.496792587321</v>
      </c>
      <c r="T4" s="6"/>
    </row>
    <row r="5" spans="1:20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54061.025176233634</v>
      </c>
      <c r="I5" s="5">
        <v>54732.019197207679</v>
      </c>
      <c r="J5" s="5">
        <v>53026.788340807179</v>
      </c>
      <c r="K5" s="5">
        <v>56096.748896344696</v>
      </c>
      <c r="L5" s="5">
        <v>55761.257548845468</v>
      </c>
      <c r="M5" s="5">
        <v>69827.29705062187</v>
      </c>
      <c r="N5" s="5">
        <v>50175.310469314078</v>
      </c>
      <c r="O5" s="5">
        <v>51930.831585081585</v>
      </c>
      <c r="P5" s="5"/>
      <c r="Q5" s="5"/>
      <c r="R5" s="5">
        <v>60034.794291868602</v>
      </c>
      <c r="S5" s="5">
        <v>69638.844618674266</v>
      </c>
      <c r="T5" s="6"/>
    </row>
    <row r="6" spans="1:20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78668.749118116131</v>
      </c>
      <c r="I6" s="5">
        <v>80382.857906885096</v>
      </c>
      <c r="J6" s="5">
        <v>77995.363778510335</v>
      </c>
      <c r="K6" s="5">
        <v>76941.845573081853</v>
      </c>
      <c r="L6" s="5">
        <v>78589.21574820239</v>
      </c>
      <c r="M6" s="5">
        <v>85094.937367944818</v>
      </c>
      <c r="N6" s="5">
        <v>77358.016351667029</v>
      </c>
      <c r="O6" s="5">
        <v>98195.685205943111</v>
      </c>
      <c r="P6" s="5">
        <v>86434.382253803415</v>
      </c>
      <c r="Q6" s="5">
        <v>159070.99491179586</v>
      </c>
      <c r="R6" s="5">
        <v>149997.22286329718</v>
      </c>
      <c r="S6" s="5"/>
      <c r="T6" s="6"/>
    </row>
    <row r="7" spans="1:20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67460.691842900298</v>
      </c>
      <c r="I7" s="5">
        <v>68130.685863874343</v>
      </c>
      <c r="J7" s="5">
        <v>65873.121674140508</v>
      </c>
      <c r="K7" s="5">
        <v>67291.748896344696</v>
      </c>
      <c r="L7" s="5">
        <v>63555.590882178803</v>
      </c>
      <c r="M7" s="5">
        <v>66097.920229856652</v>
      </c>
      <c r="N7" s="5"/>
      <c r="O7" s="5"/>
      <c r="P7" s="5"/>
      <c r="Q7" s="5"/>
      <c r="R7" s="5" t="s">
        <v>52</v>
      </c>
      <c r="S7" s="5"/>
      <c r="T7" s="6"/>
    </row>
    <row r="8" spans="1:20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108368.26047035128</v>
      </c>
      <c r="I8" s="5">
        <v>83532.352530541015</v>
      </c>
      <c r="J8" s="5">
        <v>75060.705007473851</v>
      </c>
      <c r="K8" s="5">
        <v>73628.748896344696</v>
      </c>
      <c r="L8" s="5">
        <v>82088.257548845475</v>
      </c>
      <c r="M8" s="5">
        <v>83253.920229856638</v>
      </c>
      <c r="N8" s="5">
        <v>74779.310469314078</v>
      </c>
      <c r="O8" s="5">
        <v>73544.998251748504</v>
      </c>
      <c r="P8" s="5">
        <v>79050.382253803415</v>
      </c>
      <c r="Q8" s="5">
        <v>78522.137768938715</v>
      </c>
      <c r="R8" s="5">
        <v>55099.794291868602</v>
      </c>
      <c r="S8" s="5"/>
      <c r="T8" s="6"/>
    </row>
    <row r="9" spans="1:20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78531.525176233627</v>
      </c>
      <c r="I9" s="5">
        <v>85154.519197207686</v>
      </c>
      <c r="J9" s="5">
        <v>85830.250772558094</v>
      </c>
      <c r="K9" s="5">
        <v>80609.059241172276</v>
      </c>
      <c r="L9" s="5">
        <v>72416.771834559753</v>
      </c>
      <c r="M9" s="5">
        <v>95015.812915432922</v>
      </c>
      <c r="N9" s="5">
        <v>51615.652674637277</v>
      </c>
      <c r="O9" s="5">
        <v>73486.982186376321</v>
      </c>
      <c r="P9" s="5">
        <v>71359.427708348871</v>
      </c>
      <c r="Q9" s="5">
        <v>75918.062011362956</v>
      </c>
      <c r="R9" s="5">
        <v>74131.248837323146</v>
      </c>
      <c r="S9" s="5">
        <v>83520.066175560511</v>
      </c>
      <c r="T9" s="6"/>
    </row>
    <row r="10" spans="1:20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/>
      <c r="I10" s="5" t="s">
        <v>52</v>
      </c>
      <c r="J10" s="5" t="s">
        <v>52</v>
      </c>
      <c r="K10" s="5" t="s">
        <v>52</v>
      </c>
      <c r="L10" s="5" t="s">
        <v>52</v>
      </c>
      <c r="M10" s="5" t="s">
        <v>52</v>
      </c>
      <c r="N10" s="5" t="s">
        <v>52</v>
      </c>
      <c r="O10" s="5">
        <v>55725.158708967967</v>
      </c>
      <c r="P10" s="5" t="s">
        <v>52</v>
      </c>
      <c r="Q10" s="5">
        <v>59646.137768938708</v>
      </c>
      <c r="R10" s="5">
        <v>75321.294291868602</v>
      </c>
      <c r="S10" s="5">
        <v>95273.006780836426</v>
      </c>
      <c r="T10" s="6"/>
    </row>
    <row r="11" spans="1:20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103585.45374766221</v>
      </c>
      <c r="I11" s="5">
        <v>97301.662054350527</v>
      </c>
      <c r="J11" s="5">
        <v>90876.160895033332</v>
      </c>
      <c r="K11" s="5">
        <v>91345.807719874108</v>
      </c>
      <c r="L11" s="5">
        <v>93484.195048845475</v>
      </c>
      <c r="M11" s="5">
        <v>100790.07751438233</v>
      </c>
      <c r="N11" s="5">
        <v>89391.843802647418</v>
      </c>
      <c r="O11" s="5">
        <v>96108.889843772558</v>
      </c>
      <c r="P11" s="5">
        <v>98203.453682374835</v>
      </c>
      <c r="Q11" s="5">
        <v>97534.494911795846</v>
      </c>
      <c r="R11" s="5">
        <v>97404.508577582892</v>
      </c>
      <c r="S11" s="5">
        <v>107127.55890438856</v>
      </c>
      <c r="T11" s="6"/>
    </row>
    <row r="12" spans="1:20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82414.257258144891</v>
      </c>
      <c r="I12" s="5">
        <v>84681.302216075608</v>
      </c>
      <c r="J12" s="5">
        <v>94774.918879264646</v>
      </c>
      <c r="K12" s="5">
        <v>88188.616820872994</v>
      </c>
      <c r="L12" s="5">
        <v>89899.563671294454</v>
      </c>
      <c r="M12" s="5">
        <v>99086.38662036421</v>
      </c>
      <c r="N12" s="5">
        <v>79343.581146005803</v>
      </c>
      <c r="O12" s="5">
        <v>83670.881638104314</v>
      </c>
      <c r="P12" s="5">
        <v>82166.961693055753</v>
      </c>
      <c r="Q12" s="5">
        <v>77420.423483224426</v>
      </c>
      <c r="R12" s="5">
        <v>72727.657036966644</v>
      </c>
      <c r="S12" s="5">
        <v>66930.606523436174</v>
      </c>
      <c r="T12" s="6"/>
    </row>
    <row r="13" spans="1:20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64047.525176233634</v>
      </c>
      <c r="I13" s="5">
        <v>80297.519197207672</v>
      </c>
      <c r="J13" s="5">
        <v>64234.557571576406</v>
      </c>
      <c r="K13" s="5">
        <v>72661.877551315454</v>
      </c>
      <c r="L13" s="5">
        <v>79952.211037217567</v>
      </c>
      <c r="M13" s="5">
        <v>73245.569296598551</v>
      </c>
      <c r="N13" s="5">
        <v>69588.622969314078</v>
      </c>
      <c r="O13" s="5">
        <v>71164.376148504263</v>
      </c>
      <c r="P13" s="5">
        <v>70797.834885382355</v>
      </c>
      <c r="Q13" s="5">
        <v>69190.475686423975</v>
      </c>
      <c r="R13" s="5">
        <v>71021.888041868617</v>
      </c>
      <c r="S13" s="5">
        <v>84440.463192471943</v>
      </c>
      <c r="T13" s="6"/>
    </row>
    <row r="14" spans="1:20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/>
      <c r="I14" s="5" t="s">
        <v>52</v>
      </c>
      <c r="J14" s="5" t="s">
        <v>52</v>
      </c>
      <c r="K14" s="5" t="s">
        <v>52</v>
      </c>
      <c r="L14" s="5" t="s">
        <v>52</v>
      </c>
      <c r="M14" s="5">
        <v>67014.920229856652</v>
      </c>
      <c r="N14" s="5" t="s">
        <v>52</v>
      </c>
      <c r="O14" s="5" t="s">
        <v>52</v>
      </c>
      <c r="P14" s="5" t="s">
        <v>52</v>
      </c>
      <c r="Q14" s="5"/>
      <c r="R14" s="5">
        <v>61927.794291868602</v>
      </c>
      <c r="S14" s="5">
        <v>72962.844618674266</v>
      </c>
      <c r="T14" s="6"/>
    </row>
    <row r="15" spans="1:20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/>
      <c r="I15" s="5" t="s">
        <v>52</v>
      </c>
      <c r="J15" s="5" t="s">
        <v>52</v>
      </c>
      <c r="K15" s="5" t="s">
        <v>52</v>
      </c>
      <c r="L15" s="5" t="s">
        <v>52</v>
      </c>
      <c r="M15" s="5" t="s">
        <v>52</v>
      </c>
      <c r="N15" s="5">
        <v>91345.310469314078</v>
      </c>
      <c r="O15" s="5">
        <v>65349.800537846837</v>
      </c>
      <c r="P15" s="5">
        <v>87111.582253803412</v>
      </c>
      <c r="Q15" s="5">
        <v>108532.13776893872</v>
      </c>
      <c r="R15" s="5">
        <v>78560.460958535274</v>
      </c>
      <c r="S15" s="5">
        <v>91606.84461867428</v>
      </c>
      <c r="T15" s="6"/>
    </row>
    <row r="16" spans="1:20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80718.344618674266</v>
      </c>
      <c r="T16" s="6"/>
    </row>
    <row r="17" spans="1:20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84411.077807812588</v>
      </c>
      <c r="I17" s="5">
        <v>83450.463342564341</v>
      </c>
      <c r="J17" s="5">
        <v>81671.984113418948</v>
      </c>
      <c r="K17" s="5">
        <v>73431.073935224951</v>
      </c>
      <c r="L17" s="5">
        <v>77414.90451618607</v>
      </c>
      <c r="M17" s="5">
        <v>77007.662448257877</v>
      </c>
      <c r="N17" s="5">
        <v>75672.469822662795</v>
      </c>
      <c r="O17" s="5">
        <v>68236.230359509645</v>
      </c>
      <c r="P17" s="5">
        <v>98496.200435621577</v>
      </c>
      <c r="Q17" s="5">
        <v>87353.774132575083</v>
      </c>
      <c r="R17" s="5">
        <v>90448.016514090821</v>
      </c>
      <c r="S17" s="5">
        <v>94016.036926366563</v>
      </c>
      <c r="T17" s="6"/>
    </row>
    <row r="18" spans="1:20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87396.546915364059</v>
      </c>
      <c r="I18" s="5">
        <v>88426.975718946793</v>
      </c>
      <c r="J18" s="5">
        <v>296608.75657893904</v>
      </c>
      <c r="K18" s="5">
        <v>218407.082229678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/>
      <c r="T18" s="6"/>
    </row>
    <row r="19" spans="1:20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75255.922612131078</v>
      </c>
      <c r="I19" s="5">
        <v>77711.647748836229</v>
      </c>
      <c r="J19" s="5">
        <v>78410.094713890227</v>
      </c>
      <c r="K19" s="5">
        <v>72753.440704941619</v>
      </c>
      <c r="L19" s="5">
        <v>76365.633090909643</v>
      </c>
      <c r="M19" s="5">
        <v>77098.088732230084</v>
      </c>
      <c r="N19" s="5">
        <v>60116.112981526217</v>
      </c>
      <c r="O19" s="5">
        <v>66050.684319175081</v>
      </c>
      <c r="P19" s="5">
        <v>72846.73007989036</v>
      </c>
      <c r="Q19" s="5">
        <v>74888.050812416972</v>
      </c>
      <c r="R19" s="5">
        <v>73741.074291868601</v>
      </c>
      <c r="S19" s="5">
        <v>74044.624146233327</v>
      </c>
      <c r="T19" s="6"/>
    </row>
    <row r="20" spans="1:20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73997.489291066158</v>
      </c>
      <c r="I20" s="5">
        <v>75270.39963199028</v>
      </c>
      <c r="J20" s="5">
        <v>73509.444842685509</v>
      </c>
      <c r="K20" s="5">
        <v>76123.272705868512</v>
      </c>
      <c r="L20" s="5">
        <v>78300.860723448641</v>
      </c>
      <c r="M20" s="5">
        <v>82890.881323722642</v>
      </c>
      <c r="N20" s="5">
        <v>68449.080961117361</v>
      </c>
      <c r="O20" s="5">
        <v>61327.566437180307</v>
      </c>
      <c r="P20" s="5">
        <v>71888.067185310269</v>
      </c>
      <c r="Q20" s="5">
        <v>81049.127867948613</v>
      </c>
      <c r="R20" s="5">
        <v>82306.883400779494</v>
      </c>
      <c r="S20" s="5">
        <v>94195.310638091745</v>
      </c>
      <c r="T20" s="6"/>
    </row>
    <row r="21" spans="1:20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74687.716373924835</v>
      </c>
      <c r="I21" s="5">
        <v>75325.519197207672</v>
      </c>
      <c r="J21" s="5">
        <v>76779.938397646285</v>
      </c>
      <c r="K21" s="5">
        <v>75994.907836742044</v>
      </c>
      <c r="L21" s="5">
        <v>75819.428280552791</v>
      </c>
      <c r="M21" s="5">
        <v>88688.459331120481</v>
      </c>
      <c r="N21" s="5">
        <v>69129.754913758516</v>
      </c>
      <c r="O21" s="5">
        <v>73669.564644238897</v>
      </c>
      <c r="P21" s="5">
        <v>74284.8822538034</v>
      </c>
      <c r="Q21" s="5">
        <v>73485.514818119031</v>
      </c>
      <c r="R21" s="5">
        <v>78427.889529963839</v>
      </c>
      <c r="S21" s="5">
        <v>88301.584776154574</v>
      </c>
      <c r="T21" s="6"/>
    </row>
    <row r="22" spans="1:20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72258.142059350517</v>
      </c>
      <c r="I22" s="5">
        <v>69212.662054350527</v>
      </c>
      <c r="J22" s="5">
        <v>68897.309463153753</v>
      </c>
      <c r="K22" s="5">
        <v>66669.748896344696</v>
      </c>
      <c r="L22" s="5">
        <v>67849.026779614709</v>
      </c>
      <c r="M22" s="5">
        <v>76816.883041580586</v>
      </c>
      <c r="N22" s="5">
        <v>58032.643802647413</v>
      </c>
      <c r="O22" s="5">
        <v>55955.24510900936</v>
      </c>
      <c r="P22" s="5">
        <v>60394.048920470079</v>
      </c>
      <c r="Q22" s="5">
        <v>66804.065370748664</v>
      </c>
      <c r="R22" s="5">
        <v>66772.7249849379</v>
      </c>
      <c r="S22" s="5">
        <v>78582.592191489806</v>
      </c>
      <c r="T22" s="6"/>
    </row>
    <row r="23" spans="1:20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81281.397207895905</v>
      </c>
      <c r="I23" s="5">
        <v>87229.465107497919</v>
      </c>
      <c r="J23" s="5">
        <v>80344.66188028254</v>
      </c>
      <c r="K23" s="5">
        <v>78435.804034189307</v>
      </c>
      <c r="L23" s="5">
        <v>85956.671913486352</v>
      </c>
      <c r="M23" s="5">
        <v>88169.719203836605</v>
      </c>
      <c r="N23" s="5">
        <v>76527.133525614365</v>
      </c>
      <c r="O23" s="5">
        <v>73706.085797199936</v>
      </c>
      <c r="P23" s="5">
        <v>82143.927708348871</v>
      </c>
      <c r="Q23" s="5">
        <v>78754.480626081568</v>
      </c>
      <c r="R23" s="5">
        <v>81930.157928232249</v>
      </c>
      <c r="S23" s="5">
        <v>82465.650174229813</v>
      </c>
      <c r="T23" s="6"/>
    </row>
    <row r="24" spans="1:20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74644.611034819492</v>
      </c>
      <c r="I24" s="5">
        <v>76274.954262142739</v>
      </c>
      <c r="J24" s="5">
        <v>71738.297581760417</v>
      </c>
      <c r="K24" s="5">
        <v>66152.554866493942</v>
      </c>
      <c r="L24" s="5">
        <v>60051.798674386591</v>
      </c>
      <c r="M24" s="5">
        <v>61315.559379470498</v>
      </c>
      <c r="N24" s="5">
        <v>62045.310469314085</v>
      </c>
      <c r="O24" s="5">
        <v>63479.201079449245</v>
      </c>
      <c r="P24" s="5">
        <v>71135.882253803415</v>
      </c>
      <c r="Q24" s="5">
        <v>66077.688330736462</v>
      </c>
      <c r="R24" s="5">
        <v>55209.464016639242</v>
      </c>
      <c r="S24" s="5">
        <v>57487.570282391091</v>
      </c>
      <c r="T24" s="6"/>
    </row>
    <row r="25" spans="1:20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98025.580731789203</v>
      </c>
      <c r="I25" s="5">
        <v>84536.248705404403</v>
      </c>
      <c r="J25" s="5">
        <v>84906.295330748966</v>
      </c>
      <c r="K25" s="5">
        <v>97751.380475292055</v>
      </c>
      <c r="L25" s="5">
        <v>70816.580129490627</v>
      </c>
      <c r="M25" s="5">
        <v>46128.647502583917</v>
      </c>
      <c r="N25" s="5">
        <v>330790.31046931405</v>
      </c>
      <c r="O25" s="5" t="s">
        <v>52</v>
      </c>
      <c r="P25" s="5" t="s">
        <v>52</v>
      </c>
      <c r="Q25" s="5" t="s">
        <v>52</v>
      </c>
      <c r="R25" s="5" t="s">
        <v>52</v>
      </c>
      <c r="S25" s="5"/>
      <c r="T25" s="6"/>
    </row>
    <row r="26" spans="1:20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103823.89614397557</v>
      </c>
      <c r="I26" s="5">
        <v>110657.40291813792</v>
      </c>
      <c r="J26" s="5">
        <v>110656.0404615202</v>
      </c>
      <c r="K26" s="5">
        <v>105155.66750099586</v>
      </c>
      <c r="L26" s="5">
        <v>75416.831319337274</v>
      </c>
      <c r="M26" s="5">
        <v>119628.55911874553</v>
      </c>
      <c r="N26" s="5">
        <v>69610.832857373782</v>
      </c>
      <c r="O26" s="5">
        <v>203091.17472233649</v>
      </c>
      <c r="P26" s="5" t="s">
        <v>52</v>
      </c>
      <c r="Q26" s="5" t="s">
        <v>52</v>
      </c>
      <c r="R26" s="5" t="s">
        <v>52</v>
      </c>
      <c r="S26" s="5"/>
      <c r="T26" s="6"/>
    </row>
    <row r="27" spans="1:20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 t="s">
        <v>52</v>
      </c>
      <c r="I27" s="5" t="s">
        <v>52</v>
      </c>
      <c r="J27" s="5">
        <v>64976.788340807179</v>
      </c>
      <c r="K27" s="5">
        <v>70804.748896344696</v>
      </c>
      <c r="L27" s="5">
        <v>72984.857548845466</v>
      </c>
      <c r="M27" s="5">
        <v>63089.76135083659</v>
      </c>
      <c r="N27" s="5">
        <v>60554.477135980742</v>
      </c>
      <c r="O27" s="5">
        <v>68171.576313087135</v>
      </c>
      <c r="P27" s="5">
        <v>66840.685825231994</v>
      </c>
      <c r="Q27" s="5">
        <v>66190.98090619361</v>
      </c>
      <c r="R27" s="5">
        <v>63369.312810387128</v>
      </c>
      <c r="S27" s="5">
        <v>75423.252026081682</v>
      </c>
      <c r="T27" s="6"/>
    </row>
    <row r="28" spans="1:20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 t="s">
        <v>52</v>
      </c>
      <c r="I28" s="5" t="s">
        <v>52</v>
      </c>
      <c r="J28" s="5">
        <v>87341.121674140508</v>
      </c>
      <c r="K28" s="5">
        <v>104582.7488963447</v>
      </c>
      <c r="L28" s="5">
        <v>93587.924215512132</v>
      </c>
      <c r="M28" s="5">
        <v>97781.677026598889</v>
      </c>
      <c r="N28" s="5">
        <v>72529.643802647406</v>
      </c>
      <c r="O28" s="5">
        <v>128584.80053784684</v>
      </c>
      <c r="P28" s="5">
        <v>137383.81082523198</v>
      </c>
      <c r="Q28" s="5">
        <v>126931.13776893872</v>
      </c>
      <c r="R28" s="5">
        <v>126575.7942918686</v>
      </c>
      <c r="S28" s="5">
        <v>147083.34461867428</v>
      </c>
      <c r="T28" s="6"/>
    </row>
    <row r="29" spans="1:20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/>
      <c r="I29" s="5">
        <v>40818.019197207679</v>
      </c>
      <c r="J29" s="5">
        <v>57019.950502969339</v>
      </c>
      <c r="K29" s="5">
        <v>57276.623896344696</v>
      </c>
      <c r="L29" s="5">
        <v>64597.035326623256</v>
      </c>
      <c r="M29" s="5">
        <v>80156.974603794661</v>
      </c>
      <c r="N29" s="5">
        <v>59416.643802647413</v>
      </c>
      <c r="O29" s="5">
        <v>67745.397849423985</v>
      </c>
      <c r="P29" s="5">
        <v>72433.790704507643</v>
      </c>
      <c r="Q29" s="5">
        <v>75712.072195168221</v>
      </c>
      <c r="R29" s="5">
        <v>64004.189353597001</v>
      </c>
      <c r="S29" s="5">
        <v>83345.784377710414</v>
      </c>
      <c r="T29" s="6"/>
    </row>
    <row r="30" spans="1:20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/>
      <c r="I30" s="5" t="s">
        <v>52</v>
      </c>
      <c r="J30" s="5" t="s">
        <v>52</v>
      </c>
      <c r="K30" s="5" t="s">
        <v>52</v>
      </c>
      <c r="L30" s="5" t="s">
        <v>52</v>
      </c>
      <c r="M30" s="5">
        <v>92983.488197279148</v>
      </c>
      <c r="N30" s="5">
        <v>60285.310469314078</v>
      </c>
      <c r="O30" s="5">
        <v>66405.346340657008</v>
      </c>
      <c r="P30" s="5">
        <v>75774.712350890783</v>
      </c>
      <c r="Q30" s="5">
        <v>79583.58492341025</v>
      </c>
      <c r="R30" s="5">
        <v>77806.286095147298</v>
      </c>
      <c r="S30" s="5">
        <v>88945.13033295999</v>
      </c>
      <c r="T30" s="6"/>
    </row>
    <row r="31" spans="1:20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/>
      <c r="I31" s="5" t="s">
        <v>52</v>
      </c>
      <c r="J31" s="5" t="s">
        <v>52</v>
      </c>
      <c r="K31" s="5" t="s">
        <v>52</v>
      </c>
      <c r="L31" s="5" t="s">
        <v>52</v>
      </c>
      <c r="M31" s="5" t="s">
        <v>52</v>
      </c>
      <c r="N31" s="5">
        <v>60191.310469314085</v>
      </c>
      <c r="O31" s="5">
        <v>97206.819773509706</v>
      </c>
      <c r="P31" s="5">
        <v>78764.413503803415</v>
      </c>
      <c r="Q31" s="5">
        <v>69847.735983224411</v>
      </c>
      <c r="R31" s="5">
        <v>75325.454785695765</v>
      </c>
      <c r="S31" s="5">
        <v>105924.07991279192</v>
      </c>
      <c r="T31" s="6"/>
    </row>
    <row r="32" spans="1:20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/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 t="s">
        <v>52</v>
      </c>
      <c r="Q32" s="5">
        <v>75759.637768938715</v>
      </c>
      <c r="R32" s="5">
        <v>83936.937149011457</v>
      </c>
      <c r="S32" s="5">
        <v>75445.219618674266</v>
      </c>
      <c r="T32" s="6"/>
    </row>
    <row r="33" spans="1:20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87532.681722723195</v>
      </c>
      <c r="I33" s="5">
        <v>84066.082189333669</v>
      </c>
      <c r="J33" s="5">
        <v>87931.212487569923</v>
      </c>
      <c r="K33" s="5">
        <v>78649.312276626384</v>
      </c>
      <c r="L33" s="5">
        <v>87837.976847091079</v>
      </c>
      <c r="M33" s="5">
        <v>98820.758709874324</v>
      </c>
      <c r="N33" s="5">
        <v>99270.974186128253</v>
      </c>
      <c r="O33" s="5">
        <v>96856.21145036722</v>
      </c>
      <c r="P33" s="5">
        <v>104505.75181902081</v>
      </c>
      <c r="Q33" s="5">
        <v>97409.762768938715</v>
      </c>
      <c r="R33" s="5">
        <v>103013.0442918686</v>
      </c>
      <c r="S33" s="5">
        <v>106896.28906311872</v>
      </c>
      <c r="T33" s="6"/>
    </row>
    <row r="34" spans="1:20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/>
      <c r="I34" s="5">
        <v>137700.01919720767</v>
      </c>
      <c r="J34" s="5">
        <v>123451.78424250161</v>
      </c>
      <c r="K34" s="5">
        <v>103026.91962805203</v>
      </c>
      <c r="L34" s="5">
        <v>112561.5908821788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  <c r="R34" s="5" t="s">
        <v>52</v>
      </c>
      <c r="S34" s="5"/>
      <c r="T34" s="6"/>
    </row>
    <row r="35" spans="1:20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84347.180932441304</v>
      </c>
      <c r="I35" s="5">
        <v>91431.344498412494</v>
      </c>
      <c r="J35" s="5">
        <v>96821.134677012655</v>
      </c>
      <c r="K35" s="5">
        <v>88646.519980682046</v>
      </c>
      <c r="L35" s="5">
        <v>88993.245500652687</v>
      </c>
      <c r="M35" s="5">
        <v>96162.696697654363</v>
      </c>
      <c r="N35" s="5">
        <v>83682.177939193585</v>
      </c>
      <c r="O35" s="5">
        <v>83419.076971333299</v>
      </c>
      <c r="P35" s="5">
        <v>82685.796887949749</v>
      </c>
      <c r="Q35" s="5">
        <v>74214.137768938715</v>
      </c>
      <c r="R35" s="5">
        <v>74366.544291868602</v>
      </c>
      <c r="S35" s="5">
        <v>85130.574348403999</v>
      </c>
      <c r="T35" s="6"/>
    </row>
    <row r="36" spans="1:20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85816.222359332241</v>
      </c>
      <c r="I36" s="5">
        <v>83276.638915517542</v>
      </c>
      <c r="J36" s="5">
        <v>77000.417439224766</v>
      </c>
      <c r="K36" s="5">
        <v>84459.548896344699</v>
      </c>
      <c r="L36" s="5">
        <v>84447.25754884546</v>
      </c>
      <c r="M36" s="5" t="s">
        <v>52</v>
      </c>
      <c r="N36" s="5" t="s">
        <v>52</v>
      </c>
      <c r="O36" s="5" t="s">
        <v>52</v>
      </c>
      <c r="P36" s="5">
        <v>89276.382253803415</v>
      </c>
      <c r="Q36" s="5">
        <v>88701.137768938715</v>
      </c>
      <c r="R36" s="5">
        <v>89736.794291868602</v>
      </c>
      <c r="S36" s="5"/>
      <c r="T36" s="6"/>
    </row>
    <row r="37" spans="1:20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/>
      <c r="I37" s="5">
        <v>80992.933995413958</v>
      </c>
      <c r="J37" s="5">
        <v>77721.72722105954</v>
      </c>
      <c r="K37" s="5">
        <v>76159.431956453976</v>
      </c>
      <c r="L37" s="5">
        <v>78433.142794747109</v>
      </c>
      <c r="M37" s="5">
        <v>81998.012269643936</v>
      </c>
      <c r="N37" s="5">
        <v>74653.132691536302</v>
      </c>
      <c r="O37" s="5">
        <v>76035.021490014289</v>
      </c>
      <c r="P37" s="5">
        <v>78690.604476025634</v>
      </c>
      <c r="Q37" s="5">
        <v>71289.501405302348</v>
      </c>
      <c r="R37" s="5">
        <v>71620.127625201931</v>
      </c>
      <c r="S37" s="5">
        <v>81855.177952007609</v>
      </c>
      <c r="T37" s="6"/>
    </row>
    <row r="38" spans="1:20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/>
      <c r="I38" s="5">
        <v>131047.01919720767</v>
      </c>
      <c r="J38" s="5">
        <v>75872.503169704505</v>
      </c>
      <c r="K38" s="5">
        <v>77113.977033226824</v>
      </c>
      <c r="L38" s="5">
        <v>77356.995253763511</v>
      </c>
      <c r="M38" s="5">
        <v>82473.420229856682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/>
      <c r="T38" s="6"/>
    </row>
    <row r="39" spans="1:20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70246.79936978202</v>
      </c>
      <c r="I39" s="5">
        <v>65263.019197207679</v>
      </c>
      <c r="J39" s="5">
        <v>65232.121674140508</v>
      </c>
      <c r="K39" s="5">
        <v>70604.748896344696</v>
      </c>
      <c r="L39" s="5">
        <v>70105.257548845475</v>
      </c>
      <c r="M39" s="5">
        <v>77689.947416825642</v>
      </c>
      <c r="N39" s="5">
        <v>64055.977135980742</v>
      </c>
      <c r="O39" s="5">
        <v>67980.76874231876</v>
      </c>
      <c r="P39" s="5">
        <v>68322.382253803415</v>
      </c>
      <c r="Q39" s="5">
        <v>68962.804435605372</v>
      </c>
      <c r="R39" s="5">
        <v>71068.37493702989</v>
      </c>
      <c r="S39" s="5">
        <v>80032.134941254917</v>
      </c>
      <c r="T39" s="6"/>
    </row>
    <row r="40" spans="1:20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69763.525176233641</v>
      </c>
      <c r="I40" s="5">
        <v>70501.019197207672</v>
      </c>
      <c r="J40" s="5">
        <v>70021.788340807179</v>
      </c>
      <c r="K40" s="5">
        <v>75565.248896344696</v>
      </c>
      <c r="L40" s="5">
        <v>76005.757548845475</v>
      </c>
      <c r="M40" s="5">
        <v>81957.684154389368</v>
      </c>
      <c r="N40" s="5">
        <v>69059.810469314078</v>
      </c>
      <c r="O40" s="5">
        <v>69944.03358900384</v>
      </c>
      <c r="P40" s="5">
        <v>73198.882253803415</v>
      </c>
      <c r="Q40" s="5">
        <v>73372.137768938715</v>
      </c>
      <c r="R40" s="5">
        <v>72537.294291868602</v>
      </c>
      <c r="S40" s="5">
        <v>82366.844618674266</v>
      </c>
      <c r="T40" s="6"/>
    </row>
    <row r="41" spans="1:20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71443.191842900298</v>
      </c>
      <c r="I41" s="5" t="s">
        <v>52</v>
      </c>
      <c r="J41" s="5" t="s">
        <v>52</v>
      </c>
      <c r="K41" s="5" t="s">
        <v>52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/>
      <c r="T41" s="6"/>
    </row>
    <row r="42" spans="1:20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96744.558509566981</v>
      </c>
      <c r="I42" s="5">
        <v>110695.57475276323</v>
      </c>
      <c r="J42" s="5">
        <v>90709.618582412731</v>
      </c>
      <c r="K42" s="5">
        <v>93711.043013991759</v>
      </c>
      <c r="L42" s="5">
        <v>113562.5908821788</v>
      </c>
      <c r="M42" s="5">
        <v>120060.20890911415</v>
      </c>
      <c r="N42" s="5">
        <v>92006.096183599788</v>
      </c>
      <c r="O42" s="5">
        <v>92605.730012322383</v>
      </c>
      <c r="P42" s="5">
        <v>86545.473162894312</v>
      </c>
      <c r="Q42" s="5">
        <v>82787.280626081556</v>
      </c>
      <c r="R42" s="5">
        <v>77963.321173589036</v>
      </c>
      <c r="S42" s="5">
        <v>86167.379272139617</v>
      </c>
      <c r="T42" s="6"/>
    </row>
    <row r="43" spans="1:20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77423.425176233635</v>
      </c>
      <c r="I43" s="5">
        <v>83374.219197207683</v>
      </c>
      <c r="J43" s="5">
        <v>83596.328560341528</v>
      </c>
      <c r="K43" s="5">
        <v>71130.177467773276</v>
      </c>
      <c r="L43" s="5">
        <v>87992.543263131185</v>
      </c>
      <c r="M43" s="5">
        <v>90531.395407517804</v>
      </c>
      <c r="N43" s="5">
        <v>51071.310469314078</v>
      </c>
      <c r="O43" s="5">
        <v>57886.761721306124</v>
      </c>
      <c r="P43" s="5">
        <v>66090.8822538034</v>
      </c>
      <c r="Q43" s="5">
        <v>65562.637768938701</v>
      </c>
      <c r="R43" s="5">
        <v>69019.603815678129</v>
      </c>
      <c r="S43" s="5">
        <v>96926.65107028716</v>
      </c>
      <c r="T43" s="6"/>
    </row>
    <row r="44" spans="1:20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88460.525176233641</v>
      </c>
      <c r="I44" s="5">
        <v>71259.619197207678</v>
      </c>
      <c r="J44" s="5">
        <v>85668.388340807171</v>
      </c>
      <c r="K44" s="5">
        <v>81665.348896344687</v>
      </c>
      <c r="L44" s="5">
        <v>98467.507548845475</v>
      </c>
      <c r="M44" s="5">
        <v>108186.72460379465</v>
      </c>
      <c r="N44" s="5">
        <v>84661.643802647406</v>
      </c>
      <c r="O44" s="5">
        <v>96905.378061613665</v>
      </c>
      <c r="P44" s="5">
        <v>88928.048920470072</v>
      </c>
      <c r="Q44" s="5">
        <v>88384.137768938715</v>
      </c>
      <c r="R44" s="5" t="s">
        <v>52</v>
      </c>
      <c r="S44" s="5">
        <v>84624.844618674266</v>
      </c>
      <c r="T44" s="6"/>
    </row>
    <row r="45" spans="1:20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 t="s">
        <v>52</v>
      </c>
      <c r="I45" s="5" t="s">
        <v>52</v>
      </c>
      <c r="J45" s="5" t="s">
        <v>52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/>
      <c r="T45" s="6"/>
    </row>
    <row r="46" spans="1:20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/>
      <c r="I46" s="5" t="s">
        <v>52</v>
      </c>
      <c r="J46" s="5" t="s">
        <v>52</v>
      </c>
      <c r="K46" s="5" t="s">
        <v>52</v>
      </c>
      <c r="L46" s="5" t="s">
        <v>52</v>
      </c>
      <c r="M46" s="5" t="s">
        <v>52</v>
      </c>
      <c r="N46" s="5" t="s">
        <v>52</v>
      </c>
      <c r="O46" s="5">
        <v>50658.11043476691</v>
      </c>
      <c r="P46" s="5">
        <v>55858.882253803407</v>
      </c>
      <c r="Q46" s="5">
        <v>74838.631596099207</v>
      </c>
      <c r="R46" s="5">
        <v>83039.43065550497</v>
      </c>
      <c r="S46" s="5">
        <v>96245.498084020801</v>
      </c>
      <c r="T46" s="6"/>
    </row>
    <row r="47" spans="1:20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/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>
        <v>31820.715587136743</v>
      </c>
      <c r="Q47" s="5">
        <v>66532.843651291652</v>
      </c>
      <c r="R47" s="5">
        <v>54210.384455803032</v>
      </c>
      <c r="S47" s="5">
        <v>62864.084055293984</v>
      </c>
      <c r="T47" s="6"/>
    </row>
    <row r="48" spans="1:20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/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  <c r="R48" s="5" t="s">
        <v>52</v>
      </c>
      <c r="S48" s="5">
        <v>67525.844618674266</v>
      </c>
      <c r="T48" s="6"/>
    </row>
    <row r="49" spans="1:20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86888.625685139501</v>
      </c>
      <c r="I49" s="5">
        <v>86801.311467739084</v>
      </c>
      <c r="J49" s="5">
        <v>86870.133310379169</v>
      </c>
      <c r="K49" s="5">
        <v>89029.873590721225</v>
      </c>
      <c r="L49" s="5">
        <v>91271.541054000118</v>
      </c>
      <c r="M49" s="5">
        <v>103719.71232968332</v>
      </c>
      <c r="N49" s="5">
        <v>89297.25491375853</v>
      </c>
      <c r="O49" s="5">
        <v>87180.721236693324</v>
      </c>
      <c r="P49" s="5">
        <v>87446.80641110678</v>
      </c>
      <c r="Q49" s="5">
        <v>89840.151754952691</v>
      </c>
      <c r="R49" s="5">
        <v>87978.395690470003</v>
      </c>
      <c r="S49" s="5">
        <v>98753.411891401542</v>
      </c>
      <c r="T49" s="6"/>
    </row>
    <row r="50" spans="1:20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88666.406755181015</v>
      </c>
      <c r="I50" s="5">
        <v>90043.419197207681</v>
      </c>
      <c r="J50" s="5">
        <v>97545.583053607275</v>
      </c>
      <c r="K50" s="5">
        <v>89049.209422660497</v>
      </c>
      <c r="L50" s="5">
        <v>93665.835013634205</v>
      </c>
      <c r="M50" s="5">
        <v>99646.669447727909</v>
      </c>
      <c r="N50" s="5">
        <v>88141.143802647421</v>
      </c>
      <c r="O50" s="5">
        <v>87339.130210613133</v>
      </c>
      <c r="P50" s="5">
        <v>87025.812910737717</v>
      </c>
      <c r="Q50" s="5">
        <v>86927.918790836527</v>
      </c>
      <c r="R50" s="5">
        <v>83126.97076245684</v>
      </c>
      <c r="S50" s="5">
        <v>98327.790726458697</v>
      </c>
      <c r="T50" s="6"/>
    </row>
    <row r="51" spans="1:20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87286.150176233641</v>
      </c>
      <c r="I51" s="5">
        <v>85066.144197207672</v>
      </c>
      <c r="J51" s="5">
        <v>100459.94325890827</v>
      </c>
      <c r="K51" s="5">
        <v>102671.9988963447</v>
      </c>
      <c r="L51" s="5">
        <v>110168.25754884547</v>
      </c>
      <c r="M51" s="5">
        <v>110312.65945369995</v>
      </c>
      <c r="N51" s="5">
        <v>60514.310469314078</v>
      </c>
      <c r="O51" s="5">
        <v>59279.998251748249</v>
      </c>
      <c r="P51" s="5">
        <v>64785.382253803407</v>
      </c>
      <c r="Q51" s="5">
        <v>64257.137768938708</v>
      </c>
      <c r="R51" s="5">
        <v>63428.794291868602</v>
      </c>
      <c r="S51" s="5" t="s">
        <v>52</v>
      </c>
      <c r="T51" s="6"/>
    </row>
    <row r="52" spans="1:20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109653.13360996859</v>
      </c>
      <c r="I52" s="5">
        <v>113402.85790688511</v>
      </c>
      <c r="J52" s="5">
        <v>121754.76023162398</v>
      </c>
      <c r="K52" s="5">
        <v>124394.09715505116</v>
      </c>
      <c r="L52" s="5">
        <v>124792.94596646375</v>
      </c>
      <c r="M52" s="5">
        <v>134498.84727484273</v>
      </c>
      <c r="N52" s="5">
        <v>108440.76501476862</v>
      </c>
      <c r="O52" s="5">
        <v>113038.71240329924</v>
      </c>
      <c r="P52" s="5">
        <v>118115.2850315812</v>
      </c>
      <c r="Q52" s="5">
        <v>117545.45283743186</v>
      </c>
      <c r="R52" s="5">
        <v>120999.30944338375</v>
      </c>
      <c r="S52" s="5">
        <v>105295.17795200759</v>
      </c>
      <c r="T52" s="6"/>
    </row>
    <row r="53" spans="1:20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84854.882319090786</v>
      </c>
      <c r="I53" s="5">
        <v>85761.733482921962</v>
      </c>
      <c r="J53" s="5">
        <v>76263.502626521469</v>
      </c>
      <c r="K53" s="5">
        <v>83317.177467773276</v>
      </c>
      <c r="L53" s="5">
        <v>88767.590882178803</v>
      </c>
      <c r="M53" s="5">
        <v>105978.00179076365</v>
      </c>
      <c r="N53" s="5">
        <v>86080.560469314078</v>
      </c>
      <c r="O53" s="5">
        <v>89109.529051882768</v>
      </c>
      <c r="P53" s="5">
        <v>90384.632253803415</v>
      </c>
      <c r="Q53" s="5">
        <v>90121.387768938715</v>
      </c>
      <c r="R53" s="5">
        <v>89258.044291868602</v>
      </c>
      <c r="S53" s="5">
        <v>101218.34461867427</v>
      </c>
      <c r="T53" s="6"/>
    </row>
    <row r="54" spans="1:20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118888.02517623364</v>
      </c>
      <c r="I54" s="5">
        <v>120385.01919720767</v>
      </c>
      <c r="J54" s="5">
        <v>123199.17563605992</v>
      </c>
      <c r="K54" s="5">
        <v>102841.7488963447</v>
      </c>
      <c r="L54" s="5">
        <v>85076.257548845475</v>
      </c>
      <c r="M54" s="5">
        <v>94652.961010310144</v>
      </c>
      <c r="N54" s="5">
        <v>78156.310469314078</v>
      </c>
      <c r="O54" s="5">
        <v>80679.452880537458</v>
      </c>
      <c r="P54" s="5">
        <v>91519.382253803415</v>
      </c>
      <c r="Q54" s="5">
        <v>81899.137768938715</v>
      </c>
      <c r="R54" s="5">
        <v>46622.794291868602</v>
      </c>
      <c r="S54" s="5">
        <v>122551.84461867427</v>
      </c>
      <c r="T54" s="6"/>
    </row>
    <row r="55" spans="1:20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64422.328206536673</v>
      </c>
      <c r="I55" s="5">
        <v>75982.372138384148</v>
      </c>
      <c r="J55" s="5">
        <v>73875.885164620369</v>
      </c>
      <c r="K55" s="5">
        <v>69643.193340789134</v>
      </c>
      <c r="L55" s="5">
        <v>79948.757548845475</v>
      </c>
      <c r="M55" s="5">
        <v>81811.932112591254</v>
      </c>
      <c r="N55" s="5">
        <v>75106.371075374685</v>
      </c>
      <c r="O55" s="5">
        <v>80124.693137548398</v>
      </c>
      <c r="P55" s="5">
        <v>78217.063104867251</v>
      </c>
      <c r="Q55" s="5">
        <v>75785.69502084711</v>
      </c>
      <c r="R55" s="5">
        <v>701435.79429186846</v>
      </c>
      <c r="S55" s="5" t="s">
        <v>52</v>
      </c>
      <c r="T55" s="6"/>
    </row>
    <row r="56" spans="1:20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63138</v>
      </c>
      <c r="I56" s="5">
        <v>62979</v>
      </c>
      <c r="J56" s="5">
        <v>60101</v>
      </c>
      <c r="K56" s="5">
        <v>69717</v>
      </c>
      <c r="L56" s="5">
        <v>71287</v>
      </c>
      <c r="M56" s="5" t="s">
        <v>52</v>
      </c>
      <c r="N56" s="5" t="s">
        <v>52</v>
      </c>
      <c r="O56" s="5" t="s">
        <v>52</v>
      </c>
      <c r="P56" s="5" t="s">
        <v>52</v>
      </c>
      <c r="Q56" s="5"/>
      <c r="R56" s="5" t="s">
        <v>52</v>
      </c>
      <c r="S56" s="5" t="s">
        <v>52</v>
      </c>
      <c r="T56" s="6"/>
    </row>
    <row r="57" spans="1:20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52040.472440944883</v>
      </c>
      <c r="I57" s="5">
        <v>13558.5</v>
      </c>
      <c r="J57" s="5">
        <v>2341.75</v>
      </c>
      <c r="K57" s="5">
        <v>23177.289719626169</v>
      </c>
      <c r="L57" s="5">
        <v>64026.75</v>
      </c>
      <c r="M57" s="5">
        <v>4463.636363636364</v>
      </c>
      <c r="N57" s="5">
        <v>174792.75</v>
      </c>
      <c r="O57" s="5">
        <v>106936.75213675214</v>
      </c>
      <c r="P57" s="5">
        <v>149894.95495495497</v>
      </c>
      <c r="Q57" s="5">
        <v>229865.95959595958</v>
      </c>
      <c r="R57" s="5">
        <v>65976.075949367092</v>
      </c>
      <c r="S57" s="5">
        <v>24717.578125</v>
      </c>
      <c r="T57" s="6"/>
    </row>
  </sheetData>
  <conditionalFormatting sqref="B2:B57">
    <cfRule type="duplicateValues" dxfId="22" priority="5"/>
  </conditionalFormatting>
  <conditionalFormatting sqref="B1:C1">
    <cfRule type="duplicateValues" dxfId="21" priority="3"/>
  </conditionalFormatting>
  <conditionalFormatting sqref="C2:C57">
    <cfRule type="duplicateValues" dxfId="20" priority="1"/>
  </conditionalFormatting>
  <conditionalFormatting sqref="D1:E1">
    <cfRule type="duplicateValues" dxfId="19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8A79-BBAE-438C-ADF6-B7AB28FF4D2F}">
  <sheetPr codeName="Sheet12">
    <tabColor rgb="FFFF0000"/>
  </sheetPr>
  <dimension ref="A1:S57"/>
  <sheetViews>
    <sheetView workbookViewId="0">
      <pane ySplit="1" topLeftCell="A39" activePane="bottomLeft" state="frozen"/>
      <selection pane="bottomLeft" activeCell="S2" sqref="H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SUM(G2:R2)</f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SUM(G3:R3)</f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 t="shared" ref="S4:S51" si="1">SUM(G4:R4)</f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si="1"/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1"/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1"/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1"/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1"/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f t="shared" si="1"/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f t="shared" si="1"/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si="1"/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f t="shared" si="1"/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f t="shared" si="1"/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f t="shared" si="1"/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"/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f t="shared" si="1"/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f t="shared" si="1"/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f t="shared" si="1"/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si="1"/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f t="shared" si="1"/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f t="shared" si="1"/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f t="shared" si="1"/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f t="shared" si="1"/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"/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 t="shared" si="1"/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 t="shared" si="1"/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f t="shared" si="1"/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f t="shared" si="1"/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 t="shared" si="1"/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1"/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1"/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1"/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f t="shared" si="1"/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f t="shared" si="1"/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 t="shared" si="1"/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1"/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f t="shared" si="1"/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1"/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1"/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1"/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1"/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f t="shared" si="1"/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1"/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1"/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f t="shared" si="1"/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f t="shared" si="1"/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1"/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f t="shared" si="1"/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f t="shared" si="1"/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f t="shared" si="1"/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f t="shared" ref="S52:S56" si="2">SUM(G52:R52)</f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f t="shared" si="2"/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2"/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2"/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2"/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ref="S57" si="3">SUM(G57:R57)</f>
        <v>0</v>
      </c>
    </row>
  </sheetData>
  <conditionalFormatting sqref="B2:B57">
    <cfRule type="duplicateValues" dxfId="18" priority="6"/>
  </conditionalFormatting>
  <conditionalFormatting sqref="B1:C1">
    <cfRule type="duplicateValues" dxfId="17" priority="3"/>
  </conditionalFormatting>
  <conditionalFormatting sqref="C2:C57">
    <cfRule type="duplicateValues" dxfId="16" priority="1"/>
  </conditionalFormatting>
  <conditionalFormatting sqref="D1:E1">
    <cfRule type="duplicateValues" dxfId="15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C55-81C3-4978-84E1-F490F796DA95}">
  <sheetPr codeName="Sheet13">
    <tabColor theme="5" tint="0.39997558519241921"/>
  </sheetPr>
  <dimension ref="A1:S6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122.1236</v>
      </c>
      <c r="I2" s="3">
        <v>46.117339999999999</v>
      </c>
      <c r="J2" s="3">
        <v>148.20385999999999</v>
      </c>
      <c r="K2" s="3">
        <v>29.086400000000001</v>
      </c>
      <c r="L2" s="12">
        <v>46.712060000000001</v>
      </c>
      <c r="M2" s="3">
        <v>10.052770000000001</v>
      </c>
      <c r="N2" s="3">
        <v>6.2805400000000002</v>
      </c>
      <c r="O2" s="3">
        <v>59.025120000000001</v>
      </c>
      <c r="P2" s="3">
        <v>69.962540000000004</v>
      </c>
      <c r="Q2" s="3">
        <v>31.718979999999998</v>
      </c>
      <c r="R2" s="3">
        <v>10.251239999999999</v>
      </c>
      <c r="S2" s="3">
        <v>33.932079999999999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1.77</v>
      </c>
      <c r="I3" s="3">
        <v>27.947500000000002</v>
      </c>
      <c r="J3" s="3">
        <v>11.674469999999999</v>
      </c>
      <c r="K3" s="3">
        <v>8.4685699999999997</v>
      </c>
      <c r="L3" s="12">
        <v>8.61435</v>
      </c>
      <c r="M3" s="3">
        <v>0</v>
      </c>
      <c r="N3" s="3">
        <v>10.13458</v>
      </c>
      <c r="O3" s="3">
        <v>22.371949999999998</v>
      </c>
      <c r="P3" s="3">
        <v>21.732479999999999</v>
      </c>
      <c r="Q3" s="3">
        <v>22.444019999999998</v>
      </c>
      <c r="R3" s="3">
        <v>14.72104</v>
      </c>
      <c r="S3" s="3">
        <v>25.55509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19.438389999999998</v>
      </c>
      <c r="I4" s="3">
        <v>12.874639999999999</v>
      </c>
      <c r="J4" s="3">
        <v>21.267140000000001</v>
      </c>
      <c r="K4" s="3">
        <v>17.007339999999999</v>
      </c>
      <c r="L4" s="12">
        <v>10.794639999999999</v>
      </c>
      <c r="M4" s="3">
        <v>23.762840000000001</v>
      </c>
      <c r="N4" s="3">
        <v>17.5854</v>
      </c>
      <c r="O4" s="3">
        <v>21.9514</v>
      </c>
      <c r="P4" s="3">
        <v>23.904299999999999</v>
      </c>
      <c r="Q4" s="3">
        <v>10.76854</v>
      </c>
      <c r="R4" s="3">
        <v>7.5589399999999998</v>
      </c>
      <c r="S4" s="3">
        <v>12.72359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</v>
      </c>
      <c r="I5" s="3">
        <v>0</v>
      </c>
      <c r="J5" s="3">
        <v>1.8997999999999999</v>
      </c>
      <c r="K5" s="3">
        <v>3.2921999999999998</v>
      </c>
      <c r="L5" s="12">
        <v>1.8997999999999999</v>
      </c>
      <c r="M5" s="3">
        <v>4.4249999999999998</v>
      </c>
      <c r="N5" s="3">
        <v>1.8997999999999999</v>
      </c>
      <c r="O5" s="3">
        <v>4.3777999999999997</v>
      </c>
      <c r="P5" s="3">
        <v>4.3777999999999997</v>
      </c>
      <c r="Q5" s="3">
        <v>4.5016999999999996</v>
      </c>
      <c r="R5" s="3">
        <v>7.8292999999999999</v>
      </c>
      <c r="S5" s="3">
        <v>7.8292999999999999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35.490839999999999</v>
      </c>
      <c r="I6" s="3">
        <v>51.943579999999997</v>
      </c>
      <c r="J6" s="3">
        <v>44.583219999999997</v>
      </c>
      <c r="K6" s="3">
        <v>40.086170000000003</v>
      </c>
      <c r="L6" s="12">
        <v>62.224159999999998</v>
      </c>
      <c r="M6" s="3">
        <v>40.72157</v>
      </c>
      <c r="N6" s="3">
        <v>12.92083</v>
      </c>
      <c r="O6" s="3">
        <v>12.92083</v>
      </c>
      <c r="P6" s="3">
        <v>13.22034</v>
      </c>
      <c r="Q6" s="3">
        <v>13.22034</v>
      </c>
      <c r="R6" s="3">
        <v>21.621939999999999</v>
      </c>
      <c r="S6" s="3">
        <v>10.725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5.4392100000000001</v>
      </c>
      <c r="I7" s="3">
        <v>5.4392100000000001</v>
      </c>
      <c r="J7" s="3">
        <v>8.2346299999999992</v>
      </c>
      <c r="K7" s="3">
        <v>8.2346299999999992</v>
      </c>
      <c r="L7" s="12">
        <v>9.1904199999999996</v>
      </c>
      <c r="M7" s="3">
        <v>9.1904199999999996</v>
      </c>
      <c r="N7" s="3">
        <v>9.1904299999999992</v>
      </c>
      <c r="O7" s="3">
        <v>9.6789500000000004</v>
      </c>
      <c r="P7" s="3">
        <v>9.6789500000000004</v>
      </c>
      <c r="Q7" s="3">
        <v>9.6789500000000004</v>
      </c>
      <c r="R7" s="3">
        <v>9.6789500000000004</v>
      </c>
      <c r="S7" s="3">
        <v>9.6789500000000004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28.284600000000001</v>
      </c>
      <c r="I8" s="3">
        <v>22.724440000000001</v>
      </c>
      <c r="J8" s="3">
        <v>22.724440000000001</v>
      </c>
      <c r="K8" s="3">
        <v>5.6387799999999997</v>
      </c>
      <c r="L8" s="12">
        <v>5.6387799999999997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</v>
      </c>
      <c r="I9" s="3">
        <v>0</v>
      </c>
      <c r="J9" s="3">
        <v>14.44792</v>
      </c>
      <c r="K9" s="3">
        <v>19.158480000000001</v>
      </c>
      <c r="L9" s="12">
        <v>0</v>
      </c>
      <c r="M9" s="3">
        <v>25.639800000000001</v>
      </c>
      <c r="N9" s="3">
        <v>25.346620000000001</v>
      </c>
      <c r="O9" s="3">
        <v>32.077959999999997</v>
      </c>
      <c r="P9" s="3">
        <v>1.2330000000000001E-2</v>
      </c>
      <c r="Q9" s="3">
        <v>47.536810000000003</v>
      </c>
      <c r="R9" s="3">
        <v>46.774250000000002</v>
      </c>
      <c r="S9" s="3">
        <v>20.53988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0.70799999999999996</v>
      </c>
      <c r="S10" s="3">
        <v>2.6549999999999998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0</v>
      </c>
      <c r="I11" s="3">
        <v>0</v>
      </c>
      <c r="J11" s="3">
        <v>64.344729999999998</v>
      </c>
      <c r="K11" s="3">
        <v>31.344110000000001</v>
      </c>
      <c r="L11" s="12">
        <v>0</v>
      </c>
      <c r="M11" s="3">
        <v>22.515540000000001</v>
      </c>
      <c r="N11" s="3">
        <v>19.679480000000002</v>
      </c>
      <c r="O11" s="3">
        <v>2.7730000000000001</v>
      </c>
      <c r="P11" s="3">
        <v>2.7730000000000001</v>
      </c>
      <c r="Q11" s="3">
        <v>15.12907</v>
      </c>
      <c r="R11" s="3">
        <v>38.705129999999997</v>
      </c>
      <c r="S11" s="3">
        <v>25.7776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31.63625</v>
      </c>
      <c r="I12" s="3">
        <v>23.52112</v>
      </c>
      <c r="J12" s="3">
        <v>39.74344</v>
      </c>
      <c r="K12" s="3">
        <v>37.457140000000003</v>
      </c>
      <c r="L12" s="12">
        <v>28.14303</v>
      </c>
      <c r="M12" s="3">
        <v>9.8331800000000005</v>
      </c>
      <c r="N12" s="3">
        <v>8.8968799999999995</v>
      </c>
      <c r="O12" s="3">
        <v>58.438749999999999</v>
      </c>
      <c r="P12" s="3">
        <v>61.343440000000001</v>
      </c>
      <c r="Q12" s="3">
        <v>79.733860000000007</v>
      </c>
      <c r="R12" s="3">
        <v>68.366839999999996</v>
      </c>
      <c r="S12" s="3">
        <v>35.298050000000003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3">
        <v>0</v>
      </c>
      <c r="N13" s="3">
        <v>0</v>
      </c>
      <c r="O13" s="3">
        <v>0</v>
      </c>
      <c r="P13" s="3">
        <v>0</v>
      </c>
      <c r="Q13" s="3">
        <v>51.854770000000002</v>
      </c>
      <c r="R13" s="3">
        <v>50.189900000000002</v>
      </c>
      <c r="S13" s="3">
        <v>0.14205999999999999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3">
        <v>0</v>
      </c>
      <c r="N14" s="3">
        <v>0</v>
      </c>
      <c r="O14" s="3">
        <v>7.0906200000000004</v>
      </c>
      <c r="P14" s="3">
        <v>7.0906200000000004</v>
      </c>
      <c r="Q14" s="3">
        <v>0</v>
      </c>
      <c r="R14" s="3">
        <v>0</v>
      </c>
      <c r="S14" s="3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3">
        <v>0</v>
      </c>
      <c r="N15" s="3">
        <v>0</v>
      </c>
      <c r="O15" s="3">
        <v>0</v>
      </c>
      <c r="P15" s="3">
        <v>0</v>
      </c>
      <c r="Q15" s="3">
        <v>1.18</v>
      </c>
      <c r="R15" s="3">
        <v>4.6963999999999997</v>
      </c>
      <c r="S15" s="3">
        <v>4.6963999999999997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12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9.7932000000000006</v>
      </c>
      <c r="I17" s="3">
        <v>3.2147000000000001</v>
      </c>
      <c r="J17" s="3">
        <v>5.9672999999999998</v>
      </c>
      <c r="K17" s="3">
        <v>19.207450000000001</v>
      </c>
      <c r="L17" s="12">
        <v>2.36</v>
      </c>
      <c r="M17" s="3">
        <v>4.6477000000000004</v>
      </c>
      <c r="N17" s="3">
        <v>9.7527000000000008</v>
      </c>
      <c r="O17" s="3">
        <v>9.7527000000000008</v>
      </c>
      <c r="P17" s="3">
        <v>0</v>
      </c>
      <c r="Q17" s="3">
        <v>0</v>
      </c>
      <c r="R17" s="3">
        <v>0</v>
      </c>
      <c r="S17" s="3">
        <v>1.2448999999999999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4.1343800000000002</v>
      </c>
      <c r="I18" s="3">
        <v>3.44482</v>
      </c>
      <c r="J18" s="3">
        <v>12.111549999999999</v>
      </c>
      <c r="K18" s="3">
        <v>9.5933499999999992</v>
      </c>
      <c r="L18" s="12">
        <v>7.1507500000000004</v>
      </c>
      <c r="M18" s="3">
        <v>6.2150100000000004</v>
      </c>
      <c r="N18" s="3">
        <v>6.2043600000000003</v>
      </c>
      <c r="O18" s="3">
        <v>6.1474900000000003</v>
      </c>
      <c r="P18" s="3">
        <v>6.1474900000000003</v>
      </c>
      <c r="Q18" s="3">
        <v>6.1474900000000003</v>
      </c>
      <c r="R18" s="3">
        <v>4.9292899999999999</v>
      </c>
      <c r="S18" s="3">
        <v>4.9292899999999999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37.984200000000001</v>
      </c>
      <c r="I19" s="3">
        <v>20.520199999999999</v>
      </c>
      <c r="J19" s="3">
        <v>26.319900000000001</v>
      </c>
      <c r="K19" s="3">
        <v>10.348599999999999</v>
      </c>
      <c r="L19" s="12">
        <v>13.564500000000001</v>
      </c>
      <c r="M19" s="3">
        <v>13.564500000000001</v>
      </c>
      <c r="N19" s="3">
        <v>16.333300000000001</v>
      </c>
      <c r="O19" s="3">
        <v>25.307200000000002</v>
      </c>
      <c r="P19" s="3">
        <v>22.852</v>
      </c>
      <c r="Q19" s="3">
        <v>24.232299999999999</v>
      </c>
      <c r="R19" s="3">
        <v>19.313009999999998</v>
      </c>
      <c r="S19" s="3">
        <v>9.6370100000000001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56.534390000000002</v>
      </c>
      <c r="I20" s="3">
        <v>25.46322</v>
      </c>
      <c r="J20" s="3">
        <v>30.352360000000001</v>
      </c>
      <c r="K20" s="3">
        <v>30.759830000000001</v>
      </c>
      <c r="L20" s="12">
        <v>43.36956</v>
      </c>
      <c r="M20" s="3">
        <v>97.720569999999995</v>
      </c>
      <c r="N20" s="3">
        <v>73.162390000000002</v>
      </c>
      <c r="O20" s="3">
        <v>37.0045</v>
      </c>
      <c r="P20" s="3">
        <v>37.232529999999997</v>
      </c>
      <c r="Q20" s="3">
        <v>37.10716</v>
      </c>
      <c r="R20" s="3">
        <v>54.326030000000003</v>
      </c>
      <c r="S20" s="3">
        <v>56.150620000000004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161.57714999999999</v>
      </c>
      <c r="I21" s="3">
        <v>155.3817</v>
      </c>
      <c r="J21" s="3">
        <v>100.16649</v>
      </c>
      <c r="K21" s="3">
        <v>113.06153999999999</v>
      </c>
      <c r="L21" s="12">
        <v>116.97434</v>
      </c>
      <c r="M21" s="3">
        <v>187.67865</v>
      </c>
      <c r="N21" s="3">
        <v>205.87701999999999</v>
      </c>
      <c r="O21" s="3">
        <v>183.87603999999999</v>
      </c>
      <c r="P21" s="3">
        <v>184.88297</v>
      </c>
      <c r="Q21" s="3">
        <v>205.40442999999999</v>
      </c>
      <c r="R21" s="3">
        <v>249.21126000000001</v>
      </c>
      <c r="S21" s="3">
        <v>165.8819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40.698487199999995</v>
      </c>
      <c r="I22" s="3">
        <v>0</v>
      </c>
      <c r="J22" s="3">
        <v>42.230119999999999</v>
      </c>
      <c r="K22" s="3">
        <v>24.47702</v>
      </c>
      <c r="L22" s="12">
        <v>29.97268</v>
      </c>
      <c r="M22" s="3">
        <v>0</v>
      </c>
      <c r="N22" s="3">
        <v>0</v>
      </c>
      <c r="O22" s="3">
        <v>0</v>
      </c>
      <c r="P22" s="3">
        <v>12.08037</v>
      </c>
      <c r="Q22" s="3">
        <v>26.407219999999999</v>
      </c>
      <c r="R22" s="3">
        <v>34.631799999999998</v>
      </c>
      <c r="S22" s="3">
        <v>34.631799999999998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68.605199999999996</v>
      </c>
      <c r="I23" s="3">
        <v>58.1858</v>
      </c>
      <c r="J23" s="3">
        <v>79.803399999999996</v>
      </c>
      <c r="K23" s="3">
        <v>117.351</v>
      </c>
      <c r="L23" s="12">
        <v>97.715800000000002</v>
      </c>
      <c r="M23" s="3">
        <v>96.193600000000004</v>
      </c>
      <c r="N23" s="3">
        <v>96.193600000000004</v>
      </c>
      <c r="O23" s="3">
        <v>49.442</v>
      </c>
      <c r="P23" s="3">
        <v>138.14259999999999</v>
      </c>
      <c r="Q23" s="3">
        <v>48.840200000000003</v>
      </c>
      <c r="R23" s="3">
        <v>64.262799999999999</v>
      </c>
      <c r="S23" s="3">
        <v>114.51900000000001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27.515689999999999</v>
      </c>
      <c r="I24" s="3">
        <v>36.49306</v>
      </c>
      <c r="J24" s="3">
        <v>0</v>
      </c>
      <c r="K24" s="3">
        <v>0</v>
      </c>
      <c r="L24" s="12">
        <v>10.28481</v>
      </c>
      <c r="M24" s="3">
        <v>2.8177699999999999</v>
      </c>
      <c r="N24" s="3">
        <v>21.887609999999999</v>
      </c>
      <c r="O24" s="3">
        <v>2.6517499999999998</v>
      </c>
      <c r="P24" s="3">
        <v>8.8357700000000001</v>
      </c>
      <c r="Q24" s="3">
        <v>9.6912699999999994</v>
      </c>
      <c r="R24" s="3">
        <v>5.34185</v>
      </c>
      <c r="S24" s="3">
        <v>4.6833499999999999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6.3189000000000002</v>
      </c>
      <c r="I25" s="3">
        <v>0</v>
      </c>
      <c r="J25" s="3">
        <v>3.3423500000000002</v>
      </c>
      <c r="K25" s="3">
        <v>7.7820999999999998</v>
      </c>
      <c r="L25" s="12">
        <v>7.7820999999999998</v>
      </c>
      <c r="M25" s="3">
        <v>16.2958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</v>
      </c>
      <c r="I26" s="3">
        <v>1.6519999999999999</v>
      </c>
      <c r="J26" s="3">
        <v>5.7111999999999998</v>
      </c>
      <c r="K26" s="3">
        <v>5.7111999999999998</v>
      </c>
      <c r="L26" s="12">
        <v>6.3719999999999999</v>
      </c>
      <c r="M26" s="3">
        <v>6.3719999999999999</v>
      </c>
      <c r="N26" s="3">
        <v>6.3719999999999999</v>
      </c>
      <c r="O26" s="3">
        <v>4.72</v>
      </c>
      <c r="P26" s="3">
        <v>4.72</v>
      </c>
      <c r="Q26" s="3">
        <v>1.6519999999999999</v>
      </c>
      <c r="R26" s="3">
        <v>0</v>
      </c>
      <c r="S26" s="3">
        <v>1.6519999999999999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3">
        <v>4.4249999999999998</v>
      </c>
      <c r="N27" s="3">
        <v>4.4249999999999998</v>
      </c>
      <c r="O27" s="3">
        <v>9.5350400000000004</v>
      </c>
      <c r="P27" s="3">
        <v>13.960039999999999</v>
      </c>
      <c r="Q27" s="3">
        <v>3.7660999999999998</v>
      </c>
      <c r="R27" s="3">
        <v>10.83244</v>
      </c>
      <c r="S27" s="3">
        <v>11.765140000000001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0</v>
      </c>
      <c r="K28" s="3">
        <v>0</v>
      </c>
      <c r="L28" s="12">
        <v>1.4348799999999999</v>
      </c>
      <c r="M28" s="3">
        <v>2.27976</v>
      </c>
      <c r="N28" s="3">
        <v>2.27976</v>
      </c>
      <c r="O28" s="3">
        <v>3.9695200000000002</v>
      </c>
      <c r="P28" s="3">
        <v>6.5855800000000002</v>
      </c>
      <c r="Q28" s="3">
        <v>3.9695200000000002</v>
      </c>
      <c r="R28" s="3">
        <v>4.8144</v>
      </c>
      <c r="S28" s="3">
        <v>4.8144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3">
        <v>0</v>
      </c>
      <c r="N29" s="3">
        <v>0</v>
      </c>
      <c r="O29" s="3">
        <v>12.29088</v>
      </c>
      <c r="P29" s="3">
        <v>12.29088</v>
      </c>
      <c r="Q29" s="3">
        <v>7.3159999999999998</v>
      </c>
      <c r="R29" s="3">
        <v>0</v>
      </c>
      <c r="S29" s="3">
        <v>5.5721999999999996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6.0581199999999997</v>
      </c>
      <c r="S30" s="3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1.18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41.325400000000002</v>
      </c>
      <c r="I33" s="3">
        <v>14.456799999999999</v>
      </c>
      <c r="J33" s="3">
        <v>5.6776</v>
      </c>
      <c r="K33" s="3">
        <v>1.7718</v>
      </c>
      <c r="L33" s="12">
        <v>10.7988</v>
      </c>
      <c r="M33" s="3">
        <v>26.822800000000001</v>
      </c>
      <c r="N33" s="3">
        <v>29.366800000000001</v>
      </c>
      <c r="O33" s="3">
        <v>-1.9692000000000001</v>
      </c>
      <c r="P33" s="3">
        <v>6.4795999999999996</v>
      </c>
      <c r="Q33" s="3">
        <v>33.864600000000003</v>
      </c>
      <c r="R33" s="3">
        <v>35.7376</v>
      </c>
      <c r="S33" s="3">
        <v>28.693000000000001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3.1859999999999999</v>
      </c>
      <c r="I34" s="3">
        <v>1.9116</v>
      </c>
      <c r="J34" s="3">
        <v>12.2484</v>
      </c>
      <c r="K34" s="3">
        <v>10.866</v>
      </c>
      <c r="L34" s="12">
        <v>5.7731199999999996</v>
      </c>
      <c r="M34" s="3">
        <v>3.0282</v>
      </c>
      <c r="N34" s="3">
        <v>5.7731199999999996</v>
      </c>
      <c r="O34" s="3">
        <v>2.4407999999999999</v>
      </c>
      <c r="P34" s="3">
        <v>2.4407999999999999</v>
      </c>
      <c r="Q34" s="3">
        <v>0</v>
      </c>
      <c r="R34" s="3">
        <v>1.9116</v>
      </c>
      <c r="S34" s="3">
        <v>1.9116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4.2102399999999998</v>
      </c>
      <c r="I35" s="3">
        <v>11.192299999999999</v>
      </c>
      <c r="J35" s="3">
        <v>18.502400000000002</v>
      </c>
      <c r="K35" s="3">
        <v>18.54842</v>
      </c>
      <c r="L35" s="12">
        <v>28.498180000000001</v>
      </c>
      <c r="M35" s="3">
        <v>36.906860000000002</v>
      </c>
      <c r="N35" s="3">
        <v>35.048360000000002</v>
      </c>
      <c r="O35" s="3">
        <v>25.89038</v>
      </c>
      <c r="P35" s="3">
        <v>1.70746</v>
      </c>
      <c r="Q35" s="3">
        <v>4.4497799999999996</v>
      </c>
      <c r="R35" s="3">
        <v>16.499939999999999</v>
      </c>
      <c r="S35" s="3">
        <v>16.499939999999999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47.203229999999998</v>
      </c>
      <c r="I36" s="3">
        <v>65.666929999999994</v>
      </c>
      <c r="J36" s="3">
        <v>37.302250000000001</v>
      </c>
      <c r="K36" s="3">
        <v>7.4523999999999999</v>
      </c>
      <c r="L36" s="12">
        <v>9.5191800000000004</v>
      </c>
      <c r="M36" s="3">
        <v>10.6974</v>
      </c>
      <c r="N36" s="3">
        <v>10.6974</v>
      </c>
      <c r="O36" s="3">
        <v>10.6974</v>
      </c>
      <c r="P36" s="3">
        <v>10.6974</v>
      </c>
      <c r="Q36" s="3">
        <v>24.22813</v>
      </c>
      <c r="R36" s="3">
        <v>17.114429999999999</v>
      </c>
      <c r="S36" s="3">
        <v>10.6974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0</v>
      </c>
      <c r="I37" s="3">
        <v>0</v>
      </c>
      <c r="J37" s="3">
        <v>0</v>
      </c>
      <c r="K37" s="3">
        <v>0</v>
      </c>
      <c r="L37" s="12">
        <v>1.1799900000000001</v>
      </c>
      <c r="M37" s="3">
        <v>1.1799900000000001</v>
      </c>
      <c r="N37" s="3">
        <v>1.1799900000000001</v>
      </c>
      <c r="O37" s="3">
        <v>1.1799900000000001</v>
      </c>
      <c r="P37" s="3">
        <v>1.1799900000000001</v>
      </c>
      <c r="Q37" s="3">
        <v>1.1799900000000001</v>
      </c>
      <c r="R37" s="3">
        <v>1.1799900000000001</v>
      </c>
      <c r="S37" s="3">
        <v>1.1799900000000001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0</v>
      </c>
      <c r="J38" s="3">
        <v>0</v>
      </c>
      <c r="K38" s="3">
        <v>7.67</v>
      </c>
      <c r="L38" s="12">
        <v>0</v>
      </c>
      <c r="M38" s="3">
        <v>0</v>
      </c>
      <c r="N38" s="3">
        <v>0</v>
      </c>
      <c r="O38" s="3">
        <v>8.4177499999999998</v>
      </c>
      <c r="P38" s="3">
        <v>10.67718</v>
      </c>
      <c r="Q38" s="3">
        <v>12.211119999999999</v>
      </c>
      <c r="R38" s="3">
        <v>12.211119999999999</v>
      </c>
      <c r="S38" s="3">
        <v>12.211119999999999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0.11945</v>
      </c>
      <c r="I39" s="3">
        <v>0.97928000000000004</v>
      </c>
      <c r="J39" s="3">
        <v>0.97928000000000004</v>
      </c>
      <c r="K39" s="3">
        <v>1.9159600000000001</v>
      </c>
      <c r="L39" s="12">
        <v>0.35836000000000001</v>
      </c>
      <c r="M39" s="3">
        <v>2.09775</v>
      </c>
      <c r="N39" s="3">
        <v>2.09775</v>
      </c>
      <c r="O39" s="3">
        <v>0</v>
      </c>
      <c r="P39" s="3">
        <v>0</v>
      </c>
      <c r="Q39" s="3">
        <v>0</v>
      </c>
      <c r="R39" s="3">
        <v>0.74544999999999995</v>
      </c>
      <c r="S39" s="3">
        <v>1.4908999999999999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6.3483999999999998</v>
      </c>
      <c r="I40" s="3">
        <v>8.2363999999999997</v>
      </c>
      <c r="J40" s="3">
        <v>10.1244</v>
      </c>
      <c r="K40" s="3">
        <v>6.3483999999999998</v>
      </c>
      <c r="L40" s="12">
        <v>6.3483999999999998</v>
      </c>
      <c r="M40" s="3">
        <v>6.3483999999999998</v>
      </c>
      <c r="N40" s="3">
        <v>10.502000000000001</v>
      </c>
      <c r="O40" s="3">
        <v>8.6140000000000008</v>
      </c>
      <c r="P40" s="3">
        <v>12.7676</v>
      </c>
      <c r="Q40" s="3">
        <v>14.8444</v>
      </c>
      <c r="R40" s="3">
        <v>16.921199999999999</v>
      </c>
      <c r="S40" s="3">
        <v>12.7676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25.711569999999998</v>
      </c>
      <c r="I41" s="3">
        <v>29.129449999999999</v>
      </c>
      <c r="J41" s="3">
        <v>30.093920000000001</v>
      </c>
      <c r="K41" s="3">
        <v>30.09393</v>
      </c>
      <c r="L41" s="12">
        <v>22.61552</v>
      </c>
      <c r="M41" s="3">
        <v>22.61552</v>
      </c>
      <c r="N41" s="3">
        <v>22.61552</v>
      </c>
      <c r="O41" s="3">
        <v>22.61552</v>
      </c>
      <c r="P41" s="3">
        <v>22.61552</v>
      </c>
      <c r="Q41" s="3">
        <v>23.256830000000001</v>
      </c>
      <c r="R41" s="3">
        <v>23.256830000000001</v>
      </c>
      <c r="S41" s="3">
        <v>23.256830000000001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58.942079999999997</v>
      </c>
      <c r="I42" s="3">
        <v>36.978670000000001</v>
      </c>
      <c r="J42" s="3">
        <v>76.73715</v>
      </c>
      <c r="K42" s="3">
        <v>43.142200000000003</v>
      </c>
      <c r="L42" s="12">
        <v>15.064349999999999</v>
      </c>
      <c r="M42" s="3">
        <v>15.064349999999999</v>
      </c>
      <c r="N42" s="3">
        <v>15.064349999999999</v>
      </c>
      <c r="O42" s="3">
        <v>45.225790000000003</v>
      </c>
      <c r="P42" s="3">
        <v>68.967680000000001</v>
      </c>
      <c r="Q42" s="3">
        <v>90.243790000000004</v>
      </c>
      <c r="R42" s="3">
        <v>112.4871</v>
      </c>
      <c r="S42" s="3">
        <v>101.46648999999999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5.5377400000000003</v>
      </c>
      <c r="I43" s="3">
        <v>5.5377400000000003</v>
      </c>
      <c r="J43" s="3">
        <v>0</v>
      </c>
      <c r="K43" s="3">
        <v>0</v>
      </c>
      <c r="L43" s="12">
        <v>2.9146000000000001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0</v>
      </c>
      <c r="I44" s="3">
        <v>0</v>
      </c>
      <c r="J44" s="3">
        <v>2.6314000000000002</v>
      </c>
      <c r="K44" s="3">
        <v>2.6159400000000002</v>
      </c>
      <c r="L44" s="12">
        <v>2.3682599999999998</v>
      </c>
      <c r="M44" s="3">
        <v>0</v>
      </c>
      <c r="N44" s="3">
        <v>0</v>
      </c>
      <c r="O44" s="3">
        <v>0</v>
      </c>
      <c r="P44" s="3">
        <v>0</v>
      </c>
      <c r="Q44" s="3">
        <v>9.5497399999999999</v>
      </c>
      <c r="R44" s="3">
        <v>0</v>
      </c>
      <c r="S44" s="3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12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1.18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12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232.97869</v>
      </c>
      <c r="I49" s="3">
        <v>216.14761999999999</v>
      </c>
      <c r="J49" s="3">
        <v>354.26544999999999</v>
      </c>
      <c r="K49" s="3">
        <v>213.12759</v>
      </c>
      <c r="L49" s="12">
        <v>176.00013000000001</v>
      </c>
      <c r="M49" s="3">
        <v>198.06253000000001</v>
      </c>
      <c r="N49" s="3">
        <v>171.43276</v>
      </c>
      <c r="O49" s="3">
        <v>172.84897000000001</v>
      </c>
      <c r="P49" s="3">
        <v>186.96251000000001</v>
      </c>
      <c r="Q49" s="3">
        <v>122.97795000000001</v>
      </c>
      <c r="R49" s="3">
        <v>127.9644</v>
      </c>
      <c r="S49" s="3">
        <v>219.21118000000001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30.469889999999999</v>
      </c>
      <c r="I50" s="3">
        <v>35.888179999999998</v>
      </c>
      <c r="J50" s="3">
        <v>35.076709999999999</v>
      </c>
      <c r="K50" s="3">
        <v>22.430689999999998</v>
      </c>
      <c r="L50" s="12">
        <v>33.209989999999998</v>
      </c>
      <c r="M50" s="3">
        <v>44.88438</v>
      </c>
      <c r="N50" s="3">
        <v>45.7316</v>
      </c>
      <c r="O50" s="3">
        <v>45.7316</v>
      </c>
      <c r="P50" s="3">
        <v>6.0325899999999999</v>
      </c>
      <c r="Q50" s="3">
        <v>0.36708000000000002</v>
      </c>
      <c r="R50" s="3">
        <v>7.93499</v>
      </c>
      <c r="S50" s="3">
        <v>5.9584900000000003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</v>
      </c>
      <c r="I51" s="3">
        <v>25.940349999999999</v>
      </c>
      <c r="J51" s="3">
        <v>22.27291</v>
      </c>
      <c r="K51" s="3">
        <v>17.22015</v>
      </c>
      <c r="L51" s="12">
        <v>23.855599999999999</v>
      </c>
      <c r="M51" s="3">
        <v>-2.0614400000000002</v>
      </c>
      <c r="N51" s="3">
        <v>25.51811</v>
      </c>
      <c r="O51" s="3">
        <v>25.51811</v>
      </c>
      <c r="P51" s="3">
        <v>25.51811</v>
      </c>
      <c r="Q51" s="3">
        <v>25.51811</v>
      </c>
      <c r="R51" s="3">
        <v>25.51811</v>
      </c>
      <c r="S51" s="3">
        <v>25.51811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275.33647999999999</v>
      </c>
      <c r="I52" s="3">
        <v>221.6465</v>
      </c>
      <c r="J52" s="3">
        <v>188.71710999999999</v>
      </c>
      <c r="K52" s="3">
        <v>145.51043000000001</v>
      </c>
      <c r="L52" s="12">
        <v>157.12692999999999</v>
      </c>
      <c r="M52" s="3">
        <v>165.47152</v>
      </c>
      <c r="N52" s="3">
        <v>163.02520000000001</v>
      </c>
      <c r="O52" s="3">
        <v>201.61474000000001</v>
      </c>
      <c r="P52" s="3">
        <v>231.17463000000001</v>
      </c>
      <c r="Q52" s="3">
        <v>129.08166</v>
      </c>
      <c r="R52" s="3">
        <v>130.9614</v>
      </c>
      <c r="S52" s="3">
        <v>125.0673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0</v>
      </c>
      <c r="I53" s="3">
        <v>0</v>
      </c>
      <c r="J53" s="3">
        <v>8.3187599999999993</v>
      </c>
      <c r="K53" s="3">
        <v>10.213800000000001</v>
      </c>
      <c r="L53" s="12">
        <v>9.1426400000000001</v>
      </c>
      <c r="M53" s="3">
        <v>6.8436000000000003</v>
      </c>
      <c r="N53" s="3">
        <v>7.7712000000000003</v>
      </c>
      <c r="O53" s="3">
        <v>7.7712000000000003</v>
      </c>
      <c r="P53" s="3">
        <v>7.7712000000000003</v>
      </c>
      <c r="Q53" s="3">
        <v>4.5618800000000004</v>
      </c>
      <c r="R53" s="3">
        <v>4.5618800000000004</v>
      </c>
      <c r="S53" s="3">
        <v>15.91466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5.30124</v>
      </c>
      <c r="I54" s="3">
        <v>7.1915500000000003</v>
      </c>
      <c r="J54" s="3">
        <v>8.3715499999999992</v>
      </c>
      <c r="K54" s="3">
        <v>2.36</v>
      </c>
      <c r="L54" s="12">
        <v>4.72</v>
      </c>
      <c r="M54" s="3">
        <v>5.9827899999999996</v>
      </c>
      <c r="N54" s="3">
        <v>7.1627900000000002</v>
      </c>
      <c r="O54" s="3">
        <v>3.32674</v>
      </c>
      <c r="P54" s="3">
        <v>5.0967399999999996</v>
      </c>
      <c r="Q54" s="3">
        <v>5.0967399999999996</v>
      </c>
      <c r="R54" s="3">
        <v>1.6626700000000001</v>
      </c>
      <c r="S54" s="3">
        <v>2.8984999999999999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16.98687</v>
      </c>
      <c r="I55" s="3">
        <v>0</v>
      </c>
      <c r="J55" s="3">
        <v>9.1519999999999992</v>
      </c>
      <c r="K55" s="3">
        <v>21.633320000000001</v>
      </c>
      <c r="L55" s="12">
        <v>0</v>
      </c>
      <c r="M55" s="3">
        <v>27.245909999999999</v>
      </c>
      <c r="N55" s="3">
        <v>0</v>
      </c>
      <c r="O55" s="3">
        <v>8.4998199999999997</v>
      </c>
      <c r="P55" s="3">
        <v>0</v>
      </c>
      <c r="Q55" s="3">
        <v>13.42459</v>
      </c>
      <c r="R55" s="3">
        <v>0</v>
      </c>
      <c r="S55" s="3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17" t="s">
        <v>108</v>
      </c>
      <c r="B58" s="2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15.382479999999999</v>
      </c>
      <c r="I58" s="3">
        <v>15.382479999999999</v>
      </c>
      <c r="J58" s="3">
        <v>0</v>
      </c>
      <c r="K58" s="3">
        <v>0</v>
      </c>
      <c r="L58" s="12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17" t="s">
        <v>108</v>
      </c>
      <c r="B59" s="2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3">
        <v>10.373379999999999</v>
      </c>
      <c r="I59" s="3">
        <v>10.373379999999999</v>
      </c>
      <c r="J59" s="3">
        <v>0</v>
      </c>
      <c r="K59" s="3">
        <v>10.373379999999999</v>
      </c>
      <c r="L59" s="12">
        <v>10.373379999999999</v>
      </c>
      <c r="M59" s="3">
        <v>10.373379999999999</v>
      </c>
      <c r="N59" s="3">
        <v>0</v>
      </c>
      <c r="O59" s="3">
        <v>0</v>
      </c>
      <c r="P59" s="3">
        <v>0</v>
      </c>
      <c r="Q59" s="3">
        <v>0</v>
      </c>
      <c r="R59" s="3">
        <v>10.373379999999999</v>
      </c>
      <c r="S59" s="3">
        <v>10.373379999999999</v>
      </c>
    </row>
    <row r="60" spans="1:19" x14ac:dyDescent="0.25">
      <c r="A60" s="17" t="s">
        <v>108</v>
      </c>
      <c r="B60" s="2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3">
        <v>4.2480000000000002</v>
      </c>
      <c r="I60" s="3">
        <v>4.2480000000000002</v>
      </c>
      <c r="J60" s="3">
        <v>0</v>
      </c>
      <c r="K60" s="3">
        <v>4.2480000000000002</v>
      </c>
      <c r="L60" s="12">
        <v>4.2480000000000002</v>
      </c>
      <c r="M60" s="3">
        <v>4.2480000000000002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17" t="s">
        <v>108</v>
      </c>
      <c r="B61" s="2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3">
        <v>3.8673799999999998</v>
      </c>
      <c r="I61" s="3">
        <v>3.8673799999999998</v>
      </c>
      <c r="J61" s="3">
        <v>3.8673799999999998</v>
      </c>
      <c r="K61" s="3">
        <v>3.8673799999999998</v>
      </c>
      <c r="L61" s="12">
        <v>3.8673799999999998</v>
      </c>
      <c r="M61" s="3">
        <v>3.8673799999999998</v>
      </c>
      <c r="N61" s="3">
        <v>3.8673799999999998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17" t="s">
        <v>108</v>
      </c>
      <c r="B62" s="2" t="s">
        <v>88</v>
      </c>
      <c r="C62" s="7" t="str">
        <f>VLOOKUP(B62,Mapping!B:C,2,0)</f>
        <v>Lateral</v>
      </c>
      <c r="D62" s="7" t="str">
        <f>VLOOKUP(B62,Mapping!B:D,3,0)</f>
        <v>West</v>
      </c>
      <c r="E62" s="7" t="str">
        <f>VLOOKUP(B62,Mapping!B:E,4,0)</f>
        <v>West 1</v>
      </c>
      <c r="F62" s="7" t="str">
        <f>VLOOKUP(B62,Mapping!B:F,5,0)</f>
        <v>Anjli</v>
      </c>
      <c r="G62" s="14" t="str">
        <f>VLOOKUP(B62,Mapping!B:G,6,0)</f>
        <v>Anjli</v>
      </c>
      <c r="H62" s="3"/>
      <c r="I62" s="3"/>
      <c r="J62" s="3"/>
      <c r="K62" s="3">
        <v>22.841259999999998</v>
      </c>
      <c r="L62" s="12">
        <v>22.841259999999998</v>
      </c>
      <c r="M62" s="3">
        <v>22.841259999999998</v>
      </c>
      <c r="N62" s="3">
        <v>22.841259999999998</v>
      </c>
      <c r="O62" s="3">
        <v>0</v>
      </c>
      <c r="P62" s="3">
        <v>17.217379999999999</v>
      </c>
      <c r="Q62" s="3">
        <v>0</v>
      </c>
      <c r="R62" s="3">
        <v>0</v>
      </c>
      <c r="S62" s="3">
        <v>0</v>
      </c>
    </row>
    <row r="63" spans="1:19" x14ac:dyDescent="0.25">
      <c r="A63" s="17" t="s">
        <v>108</v>
      </c>
      <c r="B63" s="2" t="s">
        <v>29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Subu</v>
      </c>
      <c r="H63" s="3"/>
      <c r="I63" s="3"/>
      <c r="J63" s="3"/>
      <c r="K63" s="3">
        <v>0</v>
      </c>
      <c r="L63" s="12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17" t="s">
        <v>108</v>
      </c>
      <c r="B64" s="2" t="s">
        <v>89</v>
      </c>
      <c r="C64" s="7" t="str">
        <f>VLOOKUP(B64,Mapping!B:C,2,0)</f>
        <v>Lateral</v>
      </c>
      <c r="D64" s="7" t="str">
        <f>VLOOKUP(B64,Mapping!B:D,3,0)</f>
        <v>North</v>
      </c>
      <c r="E64" s="7" t="str">
        <f>VLOOKUP(B64,Mapping!B:E,4,0)</f>
        <v>North</v>
      </c>
      <c r="F64" s="7" t="str">
        <f>VLOOKUP(B64,Mapping!B:F,5,0)</f>
        <v>Anjli</v>
      </c>
      <c r="G64" s="14" t="str">
        <f>VLOOKUP(B64,Mapping!B:G,6,0)</f>
        <v>Anjli</v>
      </c>
      <c r="H64" s="3"/>
      <c r="I64" s="3"/>
      <c r="J64" s="3"/>
      <c r="K64" s="3"/>
      <c r="L64" s="12">
        <v>5.31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17" t="s">
        <v>108</v>
      </c>
      <c r="B65" s="2" t="s">
        <v>90</v>
      </c>
      <c r="C65" s="7" t="str">
        <f>VLOOKUP(B65,Mapping!B:C,2,0)</f>
        <v>Lateral</v>
      </c>
      <c r="D65" s="7" t="str">
        <f>VLOOKUP(B65,Mapping!B:D,3,0)</f>
        <v>South</v>
      </c>
      <c r="E65" s="7" t="str">
        <f>VLOOKUP(B65,Mapping!B:E,4,0)</f>
        <v>South 1</v>
      </c>
      <c r="F65" s="7" t="str">
        <f>VLOOKUP(B65,Mapping!B:F,5,0)</f>
        <v>Sulabh</v>
      </c>
      <c r="G65" s="14" t="str">
        <f>VLOOKUP(B65,Mapping!B:G,6,0)</f>
        <v>Parul</v>
      </c>
      <c r="H65" s="12"/>
      <c r="I65" s="12"/>
      <c r="J65" s="12"/>
      <c r="K65" s="12"/>
      <c r="L65" s="12"/>
      <c r="M65" s="3">
        <v>4.1724800000000002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17" t="s">
        <v>108</v>
      </c>
      <c r="B66" s="2" t="s">
        <v>92</v>
      </c>
      <c r="C66" s="7" t="str">
        <f>VLOOKUP(B66,Mapping!B:C,2,0)</f>
        <v>Lateral</v>
      </c>
      <c r="D66" s="7" t="str">
        <f>VLOOKUP(B66,Mapping!B:D,3,0)</f>
        <v>South</v>
      </c>
      <c r="E66" s="7" t="str">
        <f>VLOOKUP(B66,Mapping!B:E,4,0)</f>
        <v>South 1</v>
      </c>
      <c r="F66" s="7" t="str">
        <f>VLOOKUP(B66,Mapping!B:F,5,0)</f>
        <v>Sulabh</v>
      </c>
      <c r="G66" s="14" t="str">
        <f>VLOOKUP(B66,Mapping!B:G,6,0)</f>
        <v>Subu</v>
      </c>
      <c r="H66" s="12"/>
      <c r="I66" s="12"/>
      <c r="J66" s="12"/>
      <c r="K66" s="12"/>
      <c r="L66" s="12"/>
      <c r="M66" s="12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17" t="s">
        <v>108</v>
      </c>
      <c r="B67" s="2" t="s">
        <v>47</v>
      </c>
      <c r="C67" s="7" t="str">
        <f>VLOOKUP(B67,Mapping!B:C,2,0)</f>
        <v>Lateral</v>
      </c>
      <c r="D67" s="7" t="str">
        <f>VLOOKUP(B67,Mapping!B:D,3,0)</f>
        <v>North</v>
      </c>
      <c r="E67" s="7" t="str">
        <f>VLOOKUP(B67,Mapping!B:E,4,0)</f>
        <v>North</v>
      </c>
      <c r="F67" s="7" t="str">
        <f>VLOOKUP(B67,Mapping!B:F,5,0)</f>
        <v>Ashish</v>
      </c>
      <c r="G67" s="14" t="str">
        <f>VLOOKUP(B67,Mapping!B:G,6,0)</f>
        <v>Ashish</v>
      </c>
      <c r="H67" s="12"/>
      <c r="I67" s="12"/>
      <c r="J67" s="12"/>
      <c r="K67" s="12"/>
      <c r="L67" s="12"/>
      <c r="M67" s="12"/>
      <c r="N67" s="12"/>
      <c r="O67" s="12"/>
      <c r="P67" s="12"/>
      <c r="Q67" s="3">
        <v>0</v>
      </c>
      <c r="R67" s="3">
        <v>0</v>
      </c>
      <c r="S67" s="3">
        <v>0</v>
      </c>
    </row>
    <row r="68" spans="1:19" x14ac:dyDescent="0.25">
      <c r="A68" s="17" t="s">
        <v>108</v>
      </c>
      <c r="B68" s="2" t="s">
        <v>93</v>
      </c>
      <c r="C68" s="7" t="str">
        <f>VLOOKUP(B68,Mapping!B:C,2,0)</f>
        <v>Lateral</v>
      </c>
      <c r="D68" s="7" t="str">
        <f>VLOOKUP(B68,Mapping!B:D,3,0)</f>
        <v>West</v>
      </c>
      <c r="E68" s="7" t="str">
        <f>VLOOKUP(B68,Mapping!B:E,4,0)</f>
        <v>West 1</v>
      </c>
      <c r="F68" s="7" t="str">
        <f>VLOOKUP(B68,Mapping!B:F,5,0)</f>
        <v>Anjli</v>
      </c>
      <c r="G68" s="14" t="str">
        <f>VLOOKUP(B68,Mapping!B:G,6,0)</f>
        <v>Anjli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">
        <v>0</v>
      </c>
    </row>
  </sheetData>
  <conditionalFormatting sqref="B2:B57">
    <cfRule type="duplicateValues" dxfId="14" priority="6"/>
  </conditionalFormatting>
  <conditionalFormatting sqref="B62:B65">
    <cfRule type="duplicateValues" dxfId="13" priority="29"/>
    <cfRule type="duplicateValues" dxfId="12" priority="30"/>
    <cfRule type="duplicateValues" dxfId="11" priority="31"/>
  </conditionalFormatting>
  <conditionalFormatting sqref="B1:C1">
    <cfRule type="duplicateValues" dxfId="10" priority="3"/>
  </conditionalFormatting>
  <conditionalFormatting sqref="C2:C68">
    <cfRule type="duplicateValues" dxfId="9" priority="1"/>
  </conditionalFormatting>
  <conditionalFormatting sqref="D1:E1">
    <cfRule type="duplicateValues" dxfId="8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0DBA-86B5-4132-9AF8-C1E34910F4B4}">
  <sheetPr codeName="Sheet14">
    <tabColor rgb="FF92D05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103.06846</v>
      </c>
      <c r="I2" s="1">
        <v>90.115390000000005</v>
      </c>
      <c r="J2" s="1">
        <v>75.935779999999994</v>
      </c>
      <c r="K2" s="2">
        <v>0</v>
      </c>
      <c r="L2" s="1">
        <v>109.53426</v>
      </c>
      <c r="M2" s="1">
        <v>33.624679999999998</v>
      </c>
      <c r="N2" s="1">
        <v>11.778650000000001</v>
      </c>
      <c r="O2" s="1">
        <v>16.61626</v>
      </c>
      <c r="P2" s="1">
        <v>14.08257</v>
      </c>
      <c r="Q2" s="1">
        <v>88.538809999999998</v>
      </c>
      <c r="R2" s="1">
        <v>10.82385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27.531279999999999</v>
      </c>
      <c r="J3" s="1">
        <v>11.646789999999999</v>
      </c>
      <c r="K3" s="1">
        <v>8.3824500000000004</v>
      </c>
      <c r="L3" s="1">
        <v>8.5266400000000004</v>
      </c>
      <c r="M3" s="1">
        <v>0</v>
      </c>
      <c r="N3" s="1">
        <v>0</v>
      </c>
      <c r="O3" s="1">
        <v>10.03152</v>
      </c>
      <c r="P3" s="1">
        <v>0</v>
      </c>
      <c r="Q3" s="1">
        <v>12.112920000000001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5.8432500000000003</v>
      </c>
      <c r="I4" s="1">
        <v>2.0686499999999999</v>
      </c>
      <c r="J4" s="1">
        <v>11.002560000000001</v>
      </c>
      <c r="K4" s="1">
        <v>5.9335199999999997</v>
      </c>
      <c r="L4" s="1">
        <v>0</v>
      </c>
      <c r="M4" s="1">
        <v>14.38692</v>
      </c>
      <c r="N4" s="1">
        <v>0</v>
      </c>
      <c r="O4" s="1">
        <v>4.5960799999999997</v>
      </c>
      <c r="P4" s="1">
        <v>16.036639999999998</v>
      </c>
      <c r="Q4" s="1">
        <v>6.5291199999999998</v>
      </c>
      <c r="R4" s="1">
        <v>2.4695999999999998</v>
      </c>
      <c r="S4" s="1">
        <v>1.3049999999999999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1.6901999999999999</v>
      </c>
      <c r="I5" s="1">
        <v>0</v>
      </c>
      <c r="J5" s="1">
        <v>0.66500000000000004</v>
      </c>
      <c r="K5" s="1">
        <v>1.3653999999999999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7.16418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9.0589999999999993</v>
      </c>
      <c r="I6" s="1">
        <v>38.171166200000002</v>
      </c>
      <c r="J6" s="1">
        <v>27.263960000000001</v>
      </c>
      <c r="K6" s="1">
        <v>1.8662399999999999</v>
      </c>
      <c r="L6" s="1">
        <v>44.299570000000003</v>
      </c>
      <c r="M6" s="1">
        <v>24.701799999999999</v>
      </c>
      <c r="N6" s="1">
        <v>26.676490000000001</v>
      </c>
      <c r="O6" s="1">
        <v>24.579609999999999</v>
      </c>
      <c r="P6" s="1">
        <v>7.9352400000000003</v>
      </c>
      <c r="Q6" s="1">
        <v>0</v>
      </c>
      <c r="R6" s="1">
        <v>10.29909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1.0724400000000001</v>
      </c>
      <c r="J7" s="1">
        <v>0</v>
      </c>
      <c r="K7" s="1">
        <v>0.76139999999999997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4.3740000000000001E-2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17.085656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13.223520000000001</v>
      </c>
      <c r="K9" s="1">
        <v>17.534880000000001</v>
      </c>
      <c r="L9" s="1">
        <v>0</v>
      </c>
      <c r="M9" s="1">
        <v>0</v>
      </c>
      <c r="N9" s="1">
        <v>9.5128299999999992</v>
      </c>
      <c r="O9" s="1">
        <v>60.395533399999998</v>
      </c>
      <c r="P9" s="1">
        <v>0</v>
      </c>
      <c r="Q9" s="1">
        <v>0</v>
      </c>
      <c r="R9" s="1">
        <v>42.561970000000002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57.768363600000001</v>
      </c>
      <c r="K11" s="1">
        <v>27.329474600000001</v>
      </c>
      <c r="L11" s="1">
        <v>7.6890099999999997</v>
      </c>
      <c r="M11" s="1">
        <v>18.312760000000001</v>
      </c>
      <c r="N11" s="1">
        <v>34.39893</v>
      </c>
      <c r="O11" s="1">
        <v>22.43852</v>
      </c>
      <c r="P11" s="1">
        <v>0</v>
      </c>
      <c r="Q11" s="1">
        <v>0</v>
      </c>
      <c r="R11" s="1">
        <v>35.566718999999999</v>
      </c>
      <c r="S11" s="1">
        <v>38.131962800000004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3.23827</v>
      </c>
      <c r="I12" s="1">
        <v>3.3438099999999999</v>
      </c>
      <c r="J12" s="1">
        <v>24.64207</v>
      </c>
      <c r="K12" s="1">
        <v>16.492869899999999</v>
      </c>
      <c r="L12" s="1">
        <v>32.522550000000003</v>
      </c>
      <c r="M12" s="1">
        <v>0.32491999999999999</v>
      </c>
      <c r="N12" s="1">
        <v>3.8158500000000002</v>
      </c>
      <c r="O12" s="1">
        <v>1.7496</v>
      </c>
      <c r="P12" s="1">
        <v>0.54459000000000002</v>
      </c>
      <c r="Q12" s="1">
        <v>34.74136</v>
      </c>
      <c r="R12" s="1">
        <v>43.176290000000002</v>
      </c>
      <c r="S12" s="1">
        <v>31.671212499999999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1.62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14.37482</v>
      </c>
      <c r="Q13" s="1">
        <v>10.000201000000001</v>
      </c>
      <c r="R13" s="1">
        <v>95.836539600000009</v>
      </c>
      <c r="S13" s="1">
        <v>1.36528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6.4897200000000002</v>
      </c>
      <c r="Q14" s="1">
        <v>0</v>
      </c>
      <c r="R14" s="1">
        <v>4.3167600000000004</v>
      </c>
      <c r="S14" s="1">
        <v>2.8512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8.3103999999999996</v>
      </c>
      <c r="I17" s="1">
        <v>6.8255999999999997</v>
      </c>
      <c r="J17" s="1">
        <v>4.9787999999999997</v>
      </c>
      <c r="K17" s="1">
        <v>25.944099999999999</v>
      </c>
      <c r="L17" s="1">
        <v>6.1938000000000004</v>
      </c>
      <c r="M17" s="1">
        <v>0</v>
      </c>
      <c r="N17" s="1">
        <v>13.831</v>
      </c>
      <c r="O17" s="1">
        <v>20.2119</v>
      </c>
      <c r="P17" s="1">
        <v>10.0535</v>
      </c>
      <c r="Q17" s="1">
        <v>6.3134899999999998</v>
      </c>
      <c r="R17" s="1">
        <v>4.39391</v>
      </c>
      <c r="S17" s="1">
        <v>6.6322999999999999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0.33365</v>
      </c>
      <c r="J18" s="1">
        <v>1.05732</v>
      </c>
      <c r="K18" s="1">
        <v>2.2355999999999998</v>
      </c>
      <c r="L18" s="1">
        <v>0.85643999999999998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17.155989999999999</v>
      </c>
      <c r="I19" s="1">
        <v>14.022399999999999</v>
      </c>
      <c r="J19" s="1">
        <v>26.495200000000001</v>
      </c>
      <c r="K19" s="1">
        <v>3.4523999999999999</v>
      </c>
      <c r="L19" s="1">
        <v>0</v>
      </c>
      <c r="M19" s="1">
        <v>14.3001</v>
      </c>
      <c r="N19" s="1">
        <v>1.0367999999999999</v>
      </c>
      <c r="O19" s="1">
        <v>19.35126</v>
      </c>
      <c r="P19" s="1">
        <v>5.6691000000000003</v>
      </c>
      <c r="Q19" s="1">
        <v>16.234290000000001</v>
      </c>
      <c r="R19" s="1">
        <v>13.254300000000001</v>
      </c>
      <c r="S19" s="1">
        <v>13.1004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28.08372</v>
      </c>
      <c r="I20" s="1">
        <v>7.6026600000000002</v>
      </c>
      <c r="J20" s="1">
        <v>38.70955</v>
      </c>
      <c r="K20" s="1">
        <v>12.39076</v>
      </c>
      <c r="L20" s="1">
        <v>5.6705500000000004</v>
      </c>
      <c r="M20" s="1">
        <v>24.028549999999999</v>
      </c>
      <c r="N20" s="1">
        <v>58.195610000000002</v>
      </c>
      <c r="O20" s="1">
        <v>25.377794999999999</v>
      </c>
      <c r="P20" s="1">
        <v>21.693259999999999</v>
      </c>
      <c r="Q20" s="1">
        <v>0</v>
      </c>
      <c r="R20" s="1">
        <v>7.4158200000000001</v>
      </c>
      <c r="S20" s="1">
        <v>40.73789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111.94432999999999</v>
      </c>
      <c r="I21" s="1">
        <v>138.69655</v>
      </c>
      <c r="J21" s="1">
        <v>109.31573</v>
      </c>
      <c r="K21" s="1">
        <v>135.00949</v>
      </c>
      <c r="L21" s="1">
        <v>69.899990000000003</v>
      </c>
      <c r="M21" s="1">
        <v>154.17832999999999</v>
      </c>
      <c r="N21" s="1">
        <v>163.90889000000001</v>
      </c>
      <c r="O21" s="1">
        <v>46.907409999999999</v>
      </c>
      <c r="P21" s="1">
        <v>62.77543</v>
      </c>
      <c r="Q21" s="1">
        <v>61.941560000000003</v>
      </c>
      <c r="R21" s="1">
        <v>166.15699000000001</v>
      </c>
      <c r="S21" s="1">
        <v>202.62871000000001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42.982610000000001</v>
      </c>
      <c r="I22" s="1">
        <v>0</v>
      </c>
      <c r="J22" s="1">
        <v>9.9846000000000004</v>
      </c>
      <c r="K22" s="1">
        <v>22.402699999999999</v>
      </c>
      <c r="L22" s="1">
        <v>26.901759999999999</v>
      </c>
      <c r="M22" s="1">
        <v>12.989520000000001</v>
      </c>
      <c r="N22" s="1">
        <v>18.2967336</v>
      </c>
      <c r="O22" s="1">
        <v>0</v>
      </c>
      <c r="P22" s="1">
        <v>0</v>
      </c>
      <c r="Q22" s="1">
        <v>6.2640000000000002</v>
      </c>
      <c r="R22" s="1">
        <v>0</v>
      </c>
      <c r="S22" s="1">
        <v>37.960898399999998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9.5364000000000004</v>
      </c>
      <c r="I23" s="1">
        <v>53.254800000000003</v>
      </c>
      <c r="J23" s="1">
        <v>0</v>
      </c>
      <c r="K23" s="1">
        <v>57.887999999999998</v>
      </c>
      <c r="L23" s="1">
        <v>48.556800000000003</v>
      </c>
      <c r="M23" s="1">
        <v>0</v>
      </c>
      <c r="N23" s="1">
        <v>78.440399999999997</v>
      </c>
      <c r="O23" s="1">
        <v>0</v>
      </c>
      <c r="P23" s="1">
        <v>72.9756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33.400407600000001</v>
      </c>
      <c r="J24" s="1">
        <v>8.1755300000000002</v>
      </c>
      <c r="K24" s="1">
        <v>0</v>
      </c>
      <c r="L24" s="1">
        <v>0</v>
      </c>
      <c r="M24" s="1">
        <v>0</v>
      </c>
      <c r="N24" s="1">
        <v>28.63862</v>
      </c>
      <c r="O24" s="1">
        <v>0</v>
      </c>
      <c r="P24" s="1">
        <v>0</v>
      </c>
      <c r="Q24" s="1">
        <v>8.2004400000000004</v>
      </c>
      <c r="R24" s="1">
        <v>0</v>
      </c>
      <c r="S24" s="1">
        <v>4.0662000000000003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6.3674600000000003</v>
      </c>
      <c r="I25" s="1">
        <v>0</v>
      </c>
      <c r="J25" s="1">
        <v>0.33479999999999999</v>
      </c>
      <c r="K25" s="1">
        <v>0</v>
      </c>
      <c r="L25" s="1">
        <v>0</v>
      </c>
      <c r="M25" s="1">
        <v>15.88452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1.512</v>
      </c>
      <c r="J26" s="1">
        <v>0</v>
      </c>
      <c r="K26" s="1">
        <v>0.98111999999999999</v>
      </c>
      <c r="L26" s="1">
        <v>0</v>
      </c>
      <c r="M26" s="1">
        <v>0</v>
      </c>
      <c r="N26" s="1">
        <v>1.6352</v>
      </c>
      <c r="O26" s="1">
        <v>0</v>
      </c>
      <c r="P26" s="1">
        <v>4.6719999999999997</v>
      </c>
      <c r="Q26" s="1">
        <v>1.6352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1.62</v>
      </c>
      <c r="K27" s="1">
        <v>4.05</v>
      </c>
      <c r="L27" s="1">
        <v>0</v>
      </c>
      <c r="M27" s="1">
        <v>4.05</v>
      </c>
      <c r="N27" s="1">
        <v>8.1</v>
      </c>
      <c r="O27" s="1">
        <v>0</v>
      </c>
      <c r="P27" s="1">
        <v>16.826979999999999</v>
      </c>
      <c r="Q27" s="1">
        <v>9.7233099999999997</v>
      </c>
      <c r="R27" s="1">
        <v>9.9144299999999994</v>
      </c>
      <c r="S27" s="1">
        <v>10.768090000000001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3.16764</v>
      </c>
      <c r="Q28" s="1">
        <v>0</v>
      </c>
      <c r="R28" s="1">
        <v>0</v>
      </c>
      <c r="S28" s="1">
        <v>0.77327999999999997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6.9638400000000003</v>
      </c>
      <c r="P29" s="1">
        <v>9.5879399999999997</v>
      </c>
      <c r="Q29" s="1">
        <v>6.6959999999999997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12.01782</v>
      </c>
      <c r="R30" s="1">
        <v>19.2844044</v>
      </c>
      <c r="S30" s="1">
        <v>3.75732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3.24</v>
      </c>
      <c r="R31" s="1">
        <v>3.24</v>
      </c>
      <c r="S31" s="1">
        <v>3.24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37.7136</v>
      </c>
      <c r="I33" s="1">
        <v>14.688000000000001</v>
      </c>
      <c r="J33" s="1">
        <v>6.6528</v>
      </c>
      <c r="K33" s="1">
        <v>10.692</v>
      </c>
      <c r="L33" s="1">
        <v>10.635</v>
      </c>
      <c r="M33" s="1">
        <v>26.838000000000001</v>
      </c>
      <c r="N33" s="1">
        <v>26.405999999999999</v>
      </c>
      <c r="O33" s="1">
        <v>0</v>
      </c>
      <c r="P33" s="1">
        <v>0.79200000000000004</v>
      </c>
      <c r="Q33" s="1">
        <v>11.406599999999999</v>
      </c>
      <c r="R33" s="1">
        <v>30.261600000000001</v>
      </c>
      <c r="S33" s="1">
        <v>23.814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4.2984</v>
      </c>
      <c r="I34" s="1">
        <v>5.1894</v>
      </c>
      <c r="J34" s="1">
        <v>0</v>
      </c>
      <c r="K34" s="1">
        <v>9.4608000000000008</v>
      </c>
      <c r="L34" s="1">
        <v>6.3439199999999998</v>
      </c>
      <c r="M34" s="1">
        <v>0</v>
      </c>
      <c r="N34" s="1">
        <v>3.0499200000000002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3.8955600000000001</v>
      </c>
      <c r="J35" s="1">
        <v>0</v>
      </c>
      <c r="K35" s="1">
        <v>0</v>
      </c>
      <c r="L35" s="1">
        <v>16.495920000000002</v>
      </c>
      <c r="M35" s="1">
        <v>0</v>
      </c>
      <c r="N35" s="1">
        <v>19.378440000000001</v>
      </c>
      <c r="O35" s="1">
        <v>22.064620000000001</v>
      </c>
      <c r="P35" s="1">
        <v>3.9279600000000001</v>
      </c>
      <c r="Q35" s="1">
        <v>0</v>
      </c>
      <c r="R35" s="1">
        <v>0</v>
      </c>
      <c r="S35" s="1">
        <v>15.829688000000001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25.960899999999999</v>
      </c>
      <c r="J36" s="1">
        <v>27.520620000000001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6.51084</v>
      </c>
      <c r="R36" s="1">
        <v>5.8732100000000003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3.9661900000000001</v>
      </c>
      <c r="N37" s="1">
        <v>0</v>
      </c>
      <c r="O37" s="1">
        <v>31.0049046</v>
      </c>
      <c r="P37" s="1">
        <v>12.77364</v>
      </c>
      <c r="Q37" s="1">
        <v>28.0134592</v>
      </c>
      <c r="R37" s="1">
        <v>21.698440000000002</v>
      </c>
      <c r="S37" s="1">
        <v>2.1431401999999999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7.02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6.7059699999999998</v>
      </c>
      <c r="I39" s="1">
        <v>9.4127200000000002</v>
      </c>
      <c r="J39" s="1">
        <v>2.6644800000000002</v>
      </c>
      <c r="K39" s="1">
        <v>4.00129</v>
      </c>
      <c r="L39" s="1">
        <v>10.589600000000001</v>
      </c>
      <c r="M39" s="1">
        <v>2.45953</v>
      </c>
      <c r="N39" s="1">
        <v>10.482379999999999</v>
      </c>
      <c r="O39" s="1">
        <v>0.8952</v>
      </c>
      <c r="P39" s="1">
        <v>0.61487999999999998</v>
      </c>
      <c r="Q39" s="1">
        <v>8.7449600000000007</v>
      </c>
      <c r="R39" s="1">
        <v>0.20496</v>
      </c>
      <c r="S39" s="1">
        <v>2.2980800000000001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5.4896000000000003</v>
      </c>
      <c r="K40" s="1">
        <v>1.728</v>
      </c>
      <c r="L40" s="1">
        <v>0</v>
      </c>
      <c r="M40" s="1">
        <v>0</v>
      </c>
      <c r="N40" s="1">
        <v>1.728</v>
      </c>
      <c r="O40" s="1">
        <v>0</v>
      </c>
      <c r="P40" s="1">
        <v>0</v>
      </c>
      <c r="Q40" s="1">
        <v>0</v>
      </c>
      <c r="R40" s="1">
        <v>6.2066400000000002</v>
      </c>
      <c r="S40" s="1">
        <v>1.9008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1">
        <v>7.32883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57.943060000000003</v>
      </c>
      <c r="I42" s="1">
        <v>0</v>
      </c>
      <c r="J42" s="1">
        <v>75.956760000000003</v>
      </c>
      <c r="K42" s="1">
        <v>42.70346</v>
      </c>
      <c r="L42" s="1">
        <v>0</v>
      </c>
      <c r="M42" s="1">
        <v>0</v>
      </c>
      <c r="N42" s="1">
        <v>14.911149999999999</v>
      </c>
      <c r="O42" s="1">
        <v>8.7557899999999993</v>
      </c>
      <c r="P42" s="1">
        <v>33.250489999999999</v>
      </c>
      <c r="Q42" s="1">
        <v>13.08353</v>
      </c>
      <c r="R42" s="1">
        <v>10.908530000000001</v>
      </c>
      <c r="S42" s="1">
        <v>33.430819999999997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5.0684399999999998</v>
      </c>
      <c r="J43" s="1">
        <v>3.9075950000000002</v>
      </c>
      <c r="K43" s="1">
        <v>0</v>
      </c>
      <c r="L43" s="1">
        <v>2.6676000000000002</v>
      </c>
      <c r="M43" s="1">
        <v>21.59563</v>
      </c>
      <c r="N43" s="1">
        <v>8.6234900000000003</v>
      </c>
      <c r="O43" s="1">
        <v>2.93024</v>
      </c>
      <c r="P43" s="1">
        <v>3.7346400000000002</v>
      </c>
      <c r="Q43" s="1">
        <v>10.439959999999999</v>
      </c>
      <c r="R43" s="1">
        <v>0</v>
      </c>
      <c r="S43" s="1">
        <v>8.6629100000000001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2.16</v>
      </c>
      <c r="I44" s="1">
        <v>0</v>
      </c>
      <c r="J44" s="1">
        <v>1.92672</v>
      </c>
      <c r="K44" s="1">
        <v>2.39425</v>
      </c>
      <c r="L44" s="1">
        <v>2.1675599999999999</v>
      </c>
      <c r="M44" s="1">
        <v>2.4699599999999999</v>
      </c>
      <c r="N44" s="1">
        <v>3.3069600000000001</v>
      </c>
      <c r="O44" s="1">
        <v>3.5036299999999998</v>
      </c>
      <c r="P44" s="1">
        <v>5.1850800000000001</v>
      </c>
      <c r="Q44" s="1">
        <v>8.7404399999999995</v>
      </c>
      <c r="R44" s="1">
        <v>7.0237800000000004</v>
      </c>
      <c r="S44" s="1">
        <v>2.3662800000000002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5.1105600000000004</v>
      </c>
      <c r="R46" s="1">
        <v>0</v>
      </c>
      <c r="S46" s="1">
        <v>6.7229999999999999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184.44534999999999</v>
      </c>
      <c r="I49" s="1">
        <v>64.804959999999994</v>
      </c>
      <c r="J49" s="1">
        <v>324.1196362</v>
      </c>
      <c r="K49" s="1">
        <v>164.92175</v>
      </c>
      <c r="L49" s="1">
        <v>152.68857130000001</v>
      </c>
      <c r="M49" s="1">
        <v>166.29874670000001</v>
      </c>
      <c r="N49" s="1">
        <v>150.47328999999999</v>
      </c>
      <c r="O49" s="1">
        <v>146.31525740000001</v>
      </c>
      <c r="P49" s="1">
        <v>163.42133999999999</v>
      </c>
      <c r="Q49" s="1">
        <v>106.41939000000001</v>
      </c>
      <c r="R49" s="1">
        <v>116.02194</v>
      </c>
      <c r="S49" s="1">
        <v>204.7046522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18.369800000000001</v>
      </c>
      <c r="I50" s="1">
        <v>3.6580400000000002</v>
      </c>
      <c r="J50" s="1">
        <v>0</v>
      </c>
      <c r="K50" s="1">
        <v>0</v>
      </c>
      <c r="L50" s="1">
        <v>24.804819999999999</v>
      </c>
      <c r="M50" s="1">
        <v>34.517130000000002</v>
      </c>
      <c r="N50" s="1">
        <v>0</v>
      </c>
      <c r="O50" s="1">
        <v>36.661189999999998</v>
      </c>
      <c r="P50" s="1">
        <v>92.951250000000002</v>
      </c>
      <c r="Q50" s="1">
        <v>19.96687</v>
      </c>
      <c r="R50" s="1">
        <v>12.36909</v>
      </c>
      <c r="S50" s="1">
        <v>6.6126300000000002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265.34947</v>
      </c>
      <c r="I52" s="1">
        <v>178.89587</v>
      </c>
      <c r="J52" s="1">
        <v>161.82714940000002</v>
      </c>
      <c r="K52" s="1">
        <v>156.07926</v>
      </c>
      <c r="L52" s="1">
        <v>165.32796199999999</v>
      </c>
      <c r="M52" s="1">
        <v>178.29957399999998</v>
      </c>
      <c r="N52" s="1">
        <v>173.32418999999999</v>
      </c>
      <c r="O52" s="1">
        <v>150.71288000000001</v>
      </c>
      <c r="P52" s="1">
        <v>301.58898600000003</v>
      </c>
      <c r="Q52" s="1">
        <v>139.7258387</v>
      </c>
      <c r="R52" s="1">
        <v>141.58646669999999</v>
      </c>
      <c r="S52" s="1">
        <v>117.68548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6.5600399999999999</v>
      </c>
      <c r="I53" s="1">
        <v>0</v>
      </c>
      <c r="J53" s="1">
        <v>7.6137794999999997</v>
      </c>
      <c r="K53" s="1">
        <v>9.6336999999999993</v>
      </c>
      <c r="L53" s="1">
        <v>10.013224000000001</v>
      </c>
      <c r="M53" s="1">
        <v>0</v>
      </c>
      <c r="N53" s="1">
        <v>0</v>
      </c>
      <c r="O53" s="1">
        <v>13.896850000000001</v>
      </c>
      <c r="P53" s="1">
        <v>7.9549700000000003</v>
      </c>
      <c r="Q53" s="1">
        <v>0</v>
      </c>
      <c r="R53" s="1">
        <v>0</v>
      </c>
      <c r="S53" s="1">
        <v>11.23732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6.5820999999999996</v>
      </c>
      <c r="K54" s="1">
        <v>0</v>
      </c>
      <c r="L54" s="1">
        <v>0</v>
      </c>
      <c r="M54" s="1">
        <v>0</v>
      </c>
      <c r="N54" s="1">
        <v>6.5557699999999999</v>
      </c>
      <c r="O54" s="1">
        <v>0</v>
      </c>
      <c r="P54" s="1">
        <v>0</v>
      </c>
      <c r="Q54" s="1">
        <v>4.6648100000000001</v>
      </c>
      <c r="R54" s="1">
        <v>0.53417000000000003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15.5473</v>
      </c>
      <c r="I55" s="1">
        <v>13.711220000000001</v>
      </c>
      <c r="J55" s="1">
        <v>8.3764099999999999</v>
      </c>
      <c r="K55" s="1">
        <v>19.799990000000001</v>
      </c>
      <c r="L55" s="1">
        <v>15.29236</v>
      </c>
      <c r="M55" s="1">
        <v>8.0521499999999993</v>
      </c>
      <c r="N55" s="1">
        <v>0</v>
      </c>
      <c r="O55" s="1">
        <v>14.9267</v>
      </c>
      <c r="P55" s="1">
        <v>6.5625299999999998</v>
      </c>
      <c r="Q55" s="1">
        <v>12.286910000000001</v>
      </c>
      <c r="R55" s="1">
        <v>18.62856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14.07888</v>
      </c>
      <c r="J58" s="1">
        <v>0.65234999999999999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3.24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3.8280500000000002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/>
      <c r="I62" s="1"/>
      <c r="J62" s="1"/>
      <c r="K62" s="1">
        <v>0</v>
      </c>
      <c r="L62" s="1">
        <v>4.8600000000000003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0"/>
      <c r="I63" s="10"/>
      <c r="J63" s="10"/>
      <c r="K63" s="10"/>
      <c r="L63" s="10"/>
      <c r="M63" s="1">
        <v>3.8188800000000001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0"/>
      <c r="I64" s="10"/>
      <c r="J64" s="10"/>
      <c r="K64" s="10"/>
      <c r="L64" s="10"/>
      <c r="M64" s="10"/>
      <c r="N64" s="1">
        <v>0.72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0"/>
      <c r="I65" s="10"/>
      <c r="J65" s="10"/>
      <c r="K65" s="10"/>
      <c r="L65" s="10"/>
      <c r="M65" s="10"/>
      <c r="N65" s="10"/>
      <c r="O65" s="10"/>
      <c r="P65" s="1">
        <v>16.925560000000001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0"/>
      <c r="I66" s="10"/>
      <c r="J66" s="10"/>
      <c r="K66" s="10"/>
      <c r="L66" s="10"/>
      <c r="M66" s="10"/>
      <c r="N66" s="10"/>
      <c r="O66" s="10"/>
      <c r="P66" s="10"/>
      <c r="Q66" s="1">
        <v>17.042359999999999</v>
      </c>
      <c r="R66" s="1">
        <v>0</v>
      </c>
      <c r="S66" s="1">
        <v>45.276000000000003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">
        <v>1.728</v>
      </c>
    </row>
  </sheetData>
  <conditionalFormatting sqref="B2:B67">
    <cfRule type="duplicateValues" dxfId="7" priority="5"/>
  </conditionalFormatting>
  <conditionalFormatting sqref="B1:C1">
    <cfRule type="duplicateValues" dxfId="6" priority="3"/>
  </conditionalFormatting>
  <conditionalFormatting sqref="C2:C67">
    <cfRule type="duplicateValues" dxfId="5" priority="1"/>
  </conditionalFormatting>
  <conditionalFormatting sqref="D1:E1">
    <cfRule type="duplicateValues" dxfId="4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796E-2BC7-4DE4-AD7C-C4213A697B06}">
  <sheetPr>
    <tabColor rgb="FF92D050"/>
  </sheetPr>
  <dimension ref="A1:S67"/>
  <sheetViews>
    <sheetView topLeftCell="D48" workbookViewId="0">
      <selection activeCell="H2" sqref="H2:S67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0</v>
      </c>
      <c r="I2" s="1">
        <v>0</v>
      </c>
      <c r="J2" s="1">
        <v>0</v>
      </c>
      <c r="K2" s="2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0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0</v>
      </c>
      <c r="I4" s="1">
        <v>0</v>
      </c>
      <c r="J4" s="1">
        <v>0</v>
      </c>
      <c r="K4" s="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0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2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0</v>
      </c>
      <c r="I19" s="1"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2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2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0</v>
      </c>
      <c r="I49" s="1"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0</v>
      </c>
      <c r="I50" s="1"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0</v>
      </c>
      <c r="I52" s="1"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0</v>
      </c>
      <c r="I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">
        <v>0</v>
      </c>
      <c r="I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">
        <v>0</v>
      </c>
      <c r="I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">
        <v>0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">
        <v>0</v>
      </c>
      <c r="I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">
        <v>0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</sheetData>
  <conditionalFormatting sqref="B2:B67">
    <cfRule type="duplicateValues" dxfId="3" priority="5"/>
  </conditionalFormatting>
  <conditionalFormatting sqref="B1:C1">
    <cfRule type="duplicateValues" dxfId="2" priority="3"/>
  </conditionalFormatting>
  <conditionalFormatting sqref="C2:C67">
    <cfRule type="duplicateValues" dxfId="1" priority="1"/>
  </conditionalFormatting>
  <conditionalFormatting sqref="D1: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Revenue_Budget</vt:lpstr>
      <vt:lpstr>CM_Budget</vt:lpstr>
      <vt:lpstr>Target_Rev_Productivity</vt:lpstr>
      <vt:lpstr>Rev_Forecast</vt:lpstr>
      <vt:lpstr>CM_Forecast</vt:lpstr>
      <vt:lpstr>Revenue_Actual</vt:lpstr>
      <vt:lpstr>Mapping</vt:lpstr>
      <vt:lpstr>CM_Actual</vt:lpstr>
      <vt:lpstr>Taggd_Source_Joiner</vt:lpstr>
      <vt:lpstr>Non Taggd Source Joiner</vt:lpstr>
      <vt:lpstr>Rev_Adjustment</vt:lpstr>
      <vt:lpstr>Actual Headcount WL1</vt:lpstr>
      <vt:lpstr>Approved_Headcount</vt:lpstr>
      <vt:lpstr>Actual_Headcount Overall</vt:lpstr>
      <vt:lpstr>Actual_PPC</vt:lpstr>
      <vt:lpstr>Unbilled</vt:lpstr>
      <vt:lpstr>Collection Target</vt:lpstr>
      <vt:lpstr>Revenue_Collected</vt:lpstr>
      <vt:lpstr>Bad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Rishab Jha</cp:lastModifiedBy>
  <dcterms:created xsi:type="dcterms:W3CDTF">2025-12-22T07:19:54Z</dcterms:created>
  <dcterms:modified xsi:type="dcterms:W3CDTF">2026-03-05T06:45:20Z</dcterms:modified>
</cp:coreProperties>
</file>