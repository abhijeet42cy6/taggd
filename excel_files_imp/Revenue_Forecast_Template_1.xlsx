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Templates/"/>
    </mc:Choice>
  </mc:AlternateContent>
  <xr:revisionPtr revIDLastSave="112" documentId="8_{140A578A-CBA2-451C-A315-ABDB06612B56}" xr6:coauthVersionLast="47" xr6:coauthVersionMax="47" xr10:uidLastSave="{9A1242DB-C165-439B-B53D-8B97440DEA1F}"/>
  <bookViews>
    <workbookView xWindow="-110" yWindow="-110" windowWidth="19420" windowHeight="11500" tabRatio="500" activeTab="1" xr2:uid="{00000000-000D-0000-FFFF-FFFF00000000}"/>
  </bookViews>
  <sheets>
    <sheet name="Summary Dashboard" sheetId="1" r:id="rId1"/>
    <sheet name="Revenue Forecast Data" sheetId="2" r:id="rId2"/>
    <sheet name="Instructions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5" i="2" l="1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4" i="2" l="1"/>
  <c r="H62" i="2"/>
  <c r="G62" i="2"/>
  <c r="F62" i="2"/>
  <c r="M62" i="2"/>
  <c r="L62" i="2"/>
  <c r="G6" i="1" s="1"/>
  <c r="K62" i="2"/>
  <c r="J62" i="2"/>
  <c r="E6" i="1" s="1"/>
  <c r="I62" i="2"/>
  <c r="C6" i="1" s="1"/>
  <c r="E62" i="2"/>
  <c r="H15" i="1"/>
  <c r="H14" i="1"/>
  <c r="H13" i="1"/>
  <c r="H12" i="1"/>
  <c r="H11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I6" i="1"/>
  <c r="Q62" i="2" l="1"/>
  <c r="K6" i="1" s="1"/>
  <c r="P62" i="2"/>
  <c r="A6" i="1"/>
  <c r="G16" i="1"/>
  <c r="B16" i="1"/>
  <c r="C16" i="1"/>
  <c r="D16" i="1"/>
  <c r="E16" i="1"/>
  <c r="F16" i="1"/>
  <c r="H16" i="1" l="1"/>
</calcChain>
</file>

<file path=xl/sharedStrings.xml><?xml version="1.0" encoding="utf-8"?>
<sst xmlns="http://schemas.openxmlformats.org/spreadsheetml/2006/main" count="207" uniqueCount="119">
  <si>
    <t>TAGGD  |  Revenue Forecast – Summary Dashboard</t>
  </si>
  <si>
    <t>Auto-updated from 'Revenue Forecast Data' sheet</t>
  </si>
  <si>
    <t>Total Revenue Forecast</t>
  </si>
  <si>
    <t>Total MMF</t>
  </si>
  <si>
    <t>Total Open Reqs</t>
  </si>
  <si>
    <t>Total Joiners</t>
  </si>
  <si>
    <t>Total Joiner Fee</t>
  </si>
  <si>
    <t>Avg Achievement %</t>
  </si>
  <si>
    <t>₹ Lakhs</t>
  </si>
  <si>
    <t>#</t>
  </si>
  <si>
    <t>%</t>
  </si>
  <si>
    <t>Month</t>
  </si>
  <si>
    <t>Revenue Forecast
(₹ Lakhs)</t>
  </si>
  <si>
    <t>MMF
(₹ Lakhs)</t>
  </si>
  <si>
    <t>Open Req
(#)</t>
  </si>
  <si>
    <t>Open Fee
(₹ Lakhs)</t>
  </si>
  <si>
    <t>Joiner
(#)</t>
  </si>
  <si>
    <t>Joiner Fee
(₹ Lakhs)</t>
  </si>
  <si>
    <t>Achievement %</t>
  </si>
  <si>
    <t>TOTAL</t>
  </si>
  <si>
    <t>TAGGD  |  Revenue Forecast Tracker</t>
  </si>
  <si>
    <t>Project Name</t>
  </si>
  <si>
    <t>Update Date</t>
  </si>
  <si>
    <t>Achievement %
(Joiner Fee / Rev Fcst)</t>
  </si>
  <si>
    <t>Remarks</t>
  </si>
  <si>
    <t>Honeywell</t>
  </si>
  <si>
    <t>ℹ️  Instructions: Blue cells are inputs. Enter Project Name, Update Date, Month, and financial values. Achievement % is auto-calculated.</t>
  </si>
  <si>
    <t>Week Start and end data will be added for the weekly track of the forecasted revenue</t>
  </si>
  <si>
    <t>How to Use This Template</t>
  </si>
  <si>
    <t>SHEET</t>
  </si>
  <si>
    <t>Revenue Forecast Data</t>
  </si>
  <si>
    <t>Enter monthly forecast data here. Blue cells = inputs. Formula cells are auto-calculated.</t>
  </si>
  <si>
    <t>Summary Dashboard</t>
  </si>
  <si>
    <t>Auto-updated KPI cards, summary table and charts. No manual entry required.</t>
  </si>
  <si>
    <t>COLOR CODE</t>
  </si>
  <si>
    <t>Blue text</t>
  </si>
  <si>
    <t>Hard-coded input values entered by user</t>
  </si>
  <si>
    <t>Black text</t>
  </si>
  <si>
    <t>Formulas / auto-calculated fields</t>
  </si>
  <si>
    <t>Green text</t>
  </si>
  <si>
    <t>Values linked from other sheets</t>
  </si>
  <si>
    <t>Gold / Yellow</t>
  </si>
  <si>
    <t>KPI highlight or total row</t>
  </si>
  <si>
    <t>COLUMN</t>
  </si>
  <si>
    <t>Revenue Forecast (₹ Lakhs)</t>
  </si>
  <si>
    <t>Total forecasted billing for the month</t>
  </si>
  <si>
    <t>MMF (₹ Lakhs)</t>
  </si>
  <si>
    <t>Minimum Monthly Fee commitment</t>
  </si>
  <si>
    <t>Open Req (#)</t>
  </si>
  <si>
    <t>Count of open positions / requirements</t>
  </si>
  <si>
    <t>Open Fee (₹ Lakhs)</t>
  </si>
  <si>
    <t>Fee attached to open requirements</t>
  </si>
  <si>
    <t>Joiner (#)</t>
  </si>
  <si>
    <t>Number of candidates who joined (DOJ)</t>
  </si>
  <si>
    <t>Joiner Fee (₹ Lakhs)</t>
  </si>
  <si>
    <t>Fee earned from joiners</t>
  </si>
  <si>
    <t>Joiner Fee ÷ Revenue Forecast — auto-calculated</t>
  </si>
  <si>
    <t>Adjustment
 (If Any)</t>
  </si>
  <si>
    <t>Bad Debts
 (If Any)</t>
  </si>
  <si>
    <t>Penalty
 (If Any)</t>
  </si>
  <si>
    <t>Week</t>
  </si>
  <si>
    <t>Week 3</t>
  </si>
  <si>
    <t>Net Revenue</t>
  </si>
  <si>
    <t>To Be Offer</t>
  </si>
  <si>
    <t>To Be Offer
(₹ Lakhs)</t>
  </si>
  <si>
    <t>* Mandatory</t>
  </si>
  <si>
    <t>Pfizer</t>
  </si>
  <si>
    <t>SKF India</t>
  </si>
  <si>
    <t>Siemens (Advatnta &amp; GBS)</t>
  </si>
  <si>
    <t>Siemens Energy</t>
  </si>
  <si>
    <t>Pidilite</t>
  </si>
  <si>
    <t>Vertiv</t>
  </si>
  <si>
    <t>Birla Paints</t>
  </si>
  <si>
    <t>Mahindra Holiday</t>
  </si>
  <si>
    <t>HPE</t>
  </si>
  <si>
    <t>Isuzu</t>
  </si>
  <si>
    <t>BITS</t>
  </si>
  <si>
    <t>M&amp;M</t>
  </si>
  <si>
    <t>Wipro</t>
  </si>
  <si>
    <t>DP World</t>
  </si>
  <si>
    <t>AMNS</t>
  </si>
  <si>
    <t>Tata Electronics</t>
  </si>
  <si>
    <t>Jindal Stainless</t>
  </si>
  <si>
    <t>Schaeffler</t>
  </si>
  <si>
    <t>Royal Enfield</t>
  </si>
  <si>
    <t>SBI Card</t>
  </si>
  <si>
    <t>Hyundai Motor</t>
  </si>
  <si>
    <t>Maruti Suzuki(MSIL)</t>
  </si>
  <si>
    <t>Tata Consumer</t>
  </si>
  <si>
    <t>Tata Play</t>
  </si>
  <si>
    <t>Subros Ltd</t>
  </si>
  <si>
    <t>Atomberg Technologies</t>
  </si>
  <si>
    <t>Ambuja Cement</t>
  </si>
  <si>
    <t>Ashok Leyland</t>
  </si>
  <si>
    <t>Bridgestone</t>
  </si>
  <si>
    <t>Sterling Tools</t>
  </si>
  <si>
    <t>Pernod Ricard</t>
  </si>
  <si>
    <t>Ngarjuna Leadership</t>
  </si>
  <si>
    <t>ABB</t>
  </si>
  <si>
    <t>Siemens Healthnier</t>
  </si>
  <si>
    <t>LEAP India</t>
  </si>
  <si>
    <t>UniCharm</t>
  </si>
  <si>
    <t>Optum</t>
  </si>
  <si>
    <t>Saint Gobain</t>
  </si>
  <si>
    <t>Proterial</t>
  </si>
  <si>
    <t>Neo Soft</t>
  </si>
  <si>
    <t>M&amp;M Leadership</t>
  </si>
  <si>
    <t>Honeywell Leadership</t>
  </si>
  <si>
    <t>Vertiv Leadership</t>
  </si>
  <si>
    <t>Subros Leadership</t>
  </si>
  <si>
    <t>AMNS Leadership</t>
  </si>
  <si>
    <t>Hyundai Leadership</t>
  </si>
  <si>
    <t>Siemens Leadership</t>
  </si>
  <si>
    <t>Royal Enfield Leadership</t>
  </si>
  <si>
    <t>CG Power</t>
  </si>
  <si>
    <t>CG Power Leadership</t>
  </si>
  <si>
    <t>Exclusive</t>
  </si>
  <si>
    <t>Middle East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</si>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</sst>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0;\(#,##0.00\);\-"/>
    <numFmt numFmtId="166" formatCode="#,##0;\(#,##0\);\-"/>
    <numFmt numFmtId="167" formatCode="0.0%;\(0.0%\);\-"/>
    <numFmt numFmtId="168" formatCode="#,##0.0;\(#,##0.0\);\-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9"/>
      <color rgb="FFFFFFFF"/>
      <name val="Arial"/>
      <family val="2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F4B942"/>
      <name val="Arial"/>
      <family val="2"/>
    </font>
    <font>
      <sz val="10"/>
      <color rgb="FF0000FF"/>
      <name val="Arial"/>
      <family val="2"/>
    </font>
    <font>
      <b/>
      <sz val="14"/>
      <color rgb="FFFFFFFF"/>
      <name val="Arial"/>
      <family val="2"/>
    </font>
    <font>
      <b/>
      <sz val="9"/>
      <color rgb="FF2E75B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3CD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167" fontId="8" fillId="6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167" fontId="8" fillId="7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right" vertical="center"/>
    </xf>
    <xf numFmtId="166" fontId="9" fillId="2" borderId="2" xfId="0" applyNumberFormat="1" applyFont="1" applyFill="1" applyBorder="1" applyAlignment="1">
      <alignment horizontal="right" vertical="center"/>
    </xf>
    <xf numFmtId="167" fontId="9" fillId="2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165" fontId="10" fillId="7" borderId="2" xfId="0" applyNumberFormat="1" applyFont="1" applyFill="1" applyBorder="1" applyAlignment="1">
      <alignment horizontal="right" vertical="center"/>
    </xf>
    <xf numFmtId="166" fontId="10" fillId="7" borderId="2" xfId="0" applyNumberFormat="1" applyFont="1" applyFill="1" applyBorder="1" applyAlignment="1">
      <alignment horizontal="right" vertical="center"/>
    </xf>
    <xf numFmtId="167" fontId="10" fillId="7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165" fontId="10" fillId="6" borderId="2" xfId="0" applyNumberFormat="1" applyFont="1" applyFill="1" applyBorder="1" applyAlignment="1">
      <alignment horizontal="right" vertical="center"/>
    </xf>
    <xf numFmtId="166" fontId="10" fillId="6" borderId="2" xfId="0" applyNumberFormat="1" applyFont="1" applyFill="1" applyBorder="1" applyAlignment="1">
      <alignment horizontal="right" vertical="center"/>
    </xf>
    <xf numFmtId="0" fontId="12" fillId="5" borderId="2" xfId="0" applyFont="1" applyFill="1" applyBorder="1"/>
    <xf numFmtId="0" fontId="13" fillId="5" borderId="2" xfId="0" applyFont="1" applyFill="1" applyBorder="1"/>
    <xf numFmtId="0" fontId="14" fillId="5" borderId="2" xfId="0" applyFont="1" applyFill="1" applyBorder="1" applyAlignment="1">
      <alignment horizontal="left" vertical="center" wrapText="1"/>
    </xf>
    <xf numFmtId="0" fontId="12" fillId="7" borderId="2" xfId="0" applyFont="1" applyFill="1" applyBorder="1"/>
    <xf numFmtId="0" fontId="13" fillId="7" borderId="2" xfId="0" applyFont="1" applyFill="1" applyBorder="1"/>
    <xf numFmtId="0" fontId="14" fillId="7" borderId="2" xfId="0" applyFont="1" applyFill="1" applyBorder="1" applyAlignment="1">
      <alignment horizontal="left" vertical="center" wrapText="1"/>
    </xf>
    <xf numFmtId="0" fontId="14" fillId="5" borderId="2" xfId="0" applyFont="1" applyFill="1" applyBorder="1"/>
    <xf numFmtId="0" fontId="14" fillId="7" borderId="2" xfId="0" applyFont="1" applyFill="1" applyBorder="1"/>
    <xf numFmtId="0" fontId="0" fillId="0" borderId="0" xfId="0" applyAlignment="1">
      <alignment horizontal="center"/>
    </xf>
    <xf numFmtId="165" fontId="8" fillId="6" borderId="2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center" vertical="center"/>
    </xf>
    <xf numFmtId="166" fontId="8" fillId="7" borderId="2" xfId="0" applyNumberFormat="1" applyFont="1" applyFill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166" fontId="9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14" fontId="7" fillId="7" borderId="2" xfId="0" applyNumberFormat="1" applyFont="1" applyFill="1" applyBorder="1" applyAlignment="1">
      <alignment horizontal="center" vertical="center" wrapText="1"/>
    </xf>
    <xf numFmtId="17" fontId="7" fillId="7" borderId="2" xfId="0" applyNumberFormat="1" applyFont="1" applyFill="1" applyBorder="1" applyAlignment="1">
      <alignment horizontal="center" vertical="center" wrapText="1"/>
    </xf>
    <xf numFmtId="168" fontId="10" fillId="7" borderId="2" xfId="0" applyNumberFormat="1" applyFont="1" applyFill="1" applyBorder="1" applyAlignment="1">
      <alignment horizontal="right" vertical="center"/>
    </xf>
    <xf numFmtId="168" fontId="10" fillId="6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Forecast vs MMF  (₹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Dashboard'!$B$10</c:f>
              <c:strCache>
                <c:ptCount val="1"/>
                <c:pt idx="0">
                  <c:v>Revenue Forecast
(₹ Lakhs)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Dashboard'!$A$11:$A$15</c:f>
              <c:numCache>
                <c:formatCode>General</c:formatCode>
                <c:ptCount val="5"/>
                <c:pt idx="0">
                  <c:v>45748</c:v>
                </c:pt>
                <c:pt idx="1">
                  <c:v>45748</c:v>
                </c:pt>
                <c:pt idx="2">
                  <c:v>45748</c:v>
                </c:pt>
                <c:pt idx="3">
                  <c:v>45748</c:v>
                </c:pt>
                <c:pt idx="4">
                  <c:v>45748</c:v>
                </c:pt>
              </c:numCache>
            </c:numRef>
          </c:cat>
          <c:val>
            <c:numRef>
              <c:f>'Summary Dashboard'!$B$11:$B$15</c:f>
              <c:numCache>
                <c:formatCode>#,##0.00;\(#,##0.00\);\-</c:formatCode>
                <c:ptCount val="5"/>
                <c:pt idx="0">
                  <c:v>47500000</c:v>
                </c:pt>
                <c:pt idx="1">
                  <c:v>2250000</c:v>
                </c:pt>
                <c:pt idx="2">
                  <c:v>5600000</c:v>
                </c:pt>
                <c:pt idx="3">
                  <c:v>1900000</c:v>
                </c:pt>
                <c:pt idx="4">
                  <c:v>3300000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D-432F-9913-00FB9369B48A}"/>
            </c:ext>
          </c:extLst>
        </c:ser>
        <c:ser>
          <c:idx val="1"/>
          <c:order val="1"/>
          <c:tx>
            <c:strRef>
              <c:f>'Summary Dashboard'!$C$10</c:f>
              <c:strCache>
                <c:ptCount val="1"/>
                <c:pt idx="0">
                  <c:v>MMF
(₹ Lakhs)</c:v>
                </c:pt>
              </c:strCache>
            </c:strRef>
          </c:tx>
          <c:spPr>
            <a:solidFill>
              <a:srgbClr val="F4B94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Dashboard'!$A$11:$A$15</c:f>
              <c:numCache>
                <c:formatCode>General</c:formatCode>
                <c:ptCount val="5"/>
                <c:pt idx="0">
                  <c:v>45748</c:v>
                </c:pt>
                <c:pt idx="1">
                  <c:v>45748</c:v>
                </c:pt>
                <c:pt idx="2">
                  <c:v>45748</c:v>
                </c:pt>
                <c:pt idx="3">
                  <c:v>45748</c:v>
                </c:pt>
                <c:pt idx="4">
                  <c:v>45748</c:v>
                </c:pt>
              </c:numCache>
            </c:numRef>
          </c:cat>
          <c:val>
            <c:numRef>
              <c:f>'Summary Dashboard'!$C$11:$C$15</c:f>
              <c:numCache>
                <c:formatCode>#,##0.00;\(#,##0.00\);\-</c:formatCode>
                <c:ptCount val="5"/>
                <c:pt idx="0">
                  <c:v>13131927</c:v>
                </c:pt>
                <c:pt idx="1">
                  <c:v>1050000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D-432F-9913-00FB9369B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14122"/>
        <c:axId val="27871771"/>
      </c:barChart>
      <c:catAx>
        <c:axId val="18614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71771"/>
        <c:crosses val="autoZero"/>
        <c:auto val="1"/>
        <c:lblAlgn val="ctr"/>
        <c:lblOffset val="100"/>
        <c:noMultiLvlLbl val="0"/>
      </c:catAx>
      <c:valAx>
        <c:axId val="27871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6141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Joiner Fee (₹ Lakhs) &amp; Achievement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Dashboard'!$G$10</c:f>
              <c:strCache>
                <c:ptCount val="1"/>
                <c:pt idx="0">
                  <c:v>Joiner Fee
(₹ Lakhs)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Dashboard'!$A$11:$A$15</c:f>
              <c:numCache>
                <c:formatCode>General</c:formatCode>
                <c:ptCount val="5"/>
                <c:pt idx="0">
                  <c:v>45748</c:v>
                </c:pt>
                <c:pt idx="1">
                  <c:v>45748</c:v>
                </c:pt>
                <c:pt idx="2">
                  <c:v>45748</c:v>
                </c:pt>
                <c:pt idx="3">
                  <c:v>45748</c:v>
                </c:pt>
                <c:pt idx="4">
                  <c:v>45748</c:v>
                </c:pt>
              </c:numCache>
            </c:numRef>
          </c:cat>
          <c:val>
            <c:numRef>
              <c:f>'Summary Dashboard'!$G$11:$G$15</c:f>
              <c:numCache>
                <c:formatCode>#,##0.00;\(#,##0.00\);\-</c:formatCode>
                <c:ptCount val="5"/>
                <c:pt idx="0">
                  <c:v>34370000</c:v>
                </c:pt>
                <c:pt idx="1">
                  <c:v>1200000</c:v>
                </c:pt>
                <c:pt idx="2">
                  <c:v>1400000</c:v>
                </c:pt>
                <c:pt idx="3">
                  <c:v>718000</c:v>
                </c:pt>
                <c:pt idx="4">
                  <c:v>1739999.9999999998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90-4FEF-AB5D-CA7D18DB11A7}"/>
            </c:ext>
          </c:extLst>
        </c:ser>
        <c:ser>
          <c:idx val="1"/>
          <c:order val="1"/>
          <c:tx>
            <c:strRef>
              <c:f>'Summary Dashboard'!$H$10</c:f>
              <c:strCache>
                <c:ptCount val="1"/>
                <c:pt idx="0">
                  <c:v>Achievement %</c:v>
                </c:pt>
              </c:strCache>
            </c:strRef>
          </c:tx>
          <c:spPr>
            <a:ln w="47520">
              <a:solidFill>
                <a:srgbClr val="FF66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Dashboard'!$A$11:$A$15</c:f>
              <c:numCache>
                <c:formatCode>General</c:formatCode>
                <c:ptCount val="5"/>
                <c:pt idx="0">
                  <c:v>45748</c:v>
                </c:pt>
                <c:pt idx="1">
                  <c:v>45748</c:v>
                </c:pt>
                <c:pt idx="2">
                  <c:v>45748</c:v>
                </c:pt>
                <c:pt idx="3">
                  <c:v>45748</c:v>
                </c:pt>
                <c:pt idx="4">
                  <c:v>45748</c:v>
                </c:pt>
              </c:numCache>
            </c:numRef>
          </c:cat>
          <c:val>
            <c:numRef>
              <c:f>'Summary Dashboard'!$H$11:$H$15</c:f>
              <c:numCache>
                <c:formatCode>0.0%;\(0.0%\);\-</c:formatCode>
                <c:ptCount val="5"/>
                <c:pt idx="0">
                  <c:v>1.0000405684210527</c:v>
                </c:pt>
                <c:pt idx="1">
                  <c:v>1</c:v>
                </c:pt>
                <c:pt idx="2">
                  <c:v>1</c:v>
                </c:pt>
                <c:pt idx="3">
                  <c:v>1.0221052631578946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90-4FEF-AB5D-CA7D18DB1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467317"/>
        <c:axId val="89714663"/>
      </c:lineChart>
      <c:catAx>
        <c:axId val="83467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714663"/>
        <c:crosses val="autoZero"/>
        <c:auto val="1"/>
        <c:lblAlgn val="ctr"/>
        <c:lblOffset val="100"/>
        <c:noMultiLvlLbl val="0"/>
      </c:catAx>
      <c:valAx>
        <c:axId val="89714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467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6</xdr:col>
      <xdr:colOff>840960</xdr:colOff>
      <xdr:row>40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16</xdr:col>
      <xdr:colOff>322560</xdr:colOff>
      <xdr:row>40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N16"/>
  <sheetViews>
    <sheetView showGridLines="0" zoomScaleNormal="100" workbookViewId="0">
      <pane ySplit="5" topLeftCell="A6" activePane="bottomLeft" state="frozen"/>
      <selection pane="bottomLeft" activeCell="E6" sqref="E6:F6"/>
    </sheetView>
  </sheetViews>
  <sheetFormatPr defaultColWidth="8.54296875" defaultRowHeight="14.5" x14ac:dyDescent="0.35"/>
  <cols>
    <col min="1" max="1" width="12" customWidth="1"/>
    <col min="2" max="2" width="18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6" customWidth="1"/>
    <col min="9" max="14" width="14" customWidth="1"/>
  </cols>
  <sheetData>
    <row r="1" spans="1:14" ht="21.75" customHeight="1" x14ac:dyDescent="0.3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21.7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ht="18" customHeight="1" x14ac:dyDescent="0.35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5" spans="1:14" ht="21.75" customHeight="1" x14ac:dyDescent="0.35">
      <c r="A5" s="41" t="s">
        <v>2</v>
      </c>
      <c r="B5" s="41"/>
      <c r="C5" s="41" t="s">
        <v>3</v>
      </c>
      <c r="D5" s="41"/>
      <c r="E5" s="41" t="s">
        <v>4</v>
      </c>
      <c r="F5" s="41"/>
      <c r="G5" s="41" t="s">
        <v>5</v>
      </c>
      <c r="H5" s="41"/>
      <c r="I5" s="41" t="s">
        <v>6</v>
      </c>
      <c r="J5" s="41"/>
      <c r="K5" s="41" t="s">
        <v>7</v>
      </c>
      <c r="L5" s="41"/>
    </row>
    <row r="6" spans="1:14" ht="36" customHeight="1" x14ac:dyDescent="0.35">
      <c r="A6" s="37">
        <f>'Revenue Forecast Data'!E62</f>
        <v>60550000</v>
      </c>
      <c r="B6" s="37"/>
      <c r="C6" s="37">
        <f>'Revenue Forecast Data'!I62</f>
        <v>14181927</v>
      </c>
      <c r="D6" s="37"/>
      <c r="E6" s="38">
        <f>'Revenue Forecast Data'!J62</f>
        <v>327</v>
      </c>
      <c r="F6" s="38"/>
      <c r="G6" s="38">
        <f>'Revenue Forecast Data'!L62</f>
        <v>1284</v>
      </c>
      <c r="H6" s="38"/>
      <c r="I6" s="37">
        <f>'Revenue Forecast Data'!M62</f>
        <v>39428000</v>
      </c>
      <c r="J6" s="37"/>
      <c r="K6" s="35">
        <f>'Revenue Forecast Data'!Q62</f>
        <v>0.65116432700247728</v>
      </c>
      <c r="L6" s="35"/>
    </row>
    <row r="7" spans="1:14" ht="18" customHeight="1" x14ac:dyDescent="0.35">
      <c r="A7" s="36" t="s">
        <v>8</v>
      </c>
      <c r="B7" s="36"/>
      <c r="C7" s="36" t="s">
        <v>8</v>
      </c>
      <c r="D7" s="36"/>
      <c r="E7" s="36" t="s">
        <v>9</v>
      </c>
      <c r="F7" s="36"/>
      <c r="G7" s="36" t="s">
        <v>9</v>
      </c>
      <c r="H7" s="36"/>
      <c r="I7" s="36" t="s">
        <v>8</v>
      </c>
      <c r="J7" s="36"/>
      <c r="K7" s="36" t="s">
        <v>10</v>
      </c>
      <c r="L7" s="36"/>
    </row>
    <row r="8" spans="1:14" x14ac:dyDescent="0.3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4" ht="13.5" customHeight="1" x14ac:dyDescent="0.3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4" ht="42" customHeight="1" x14ac:dyDescent="0.3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26"/>
      <c r="J10" s="26"/>
      <c r="K10" s="26"/>
      <c r="L10" s="26"/>
    </row>
    <row r="11" spans="1:14" ht="18" customHeight="1" x14ac:dyDescent="0.35">
      <c r="A11" s="2">
        <f>'Revenue Forecast Data'!D4</f>
        <v>45748</v>
      </c>
      <c r="B11" s="27">
        <f>'Revenue Forecast Data'!E4</f>
        <v>47500000</v>
      </c>
      <c r="C11" s="27">
        <f>'Revenue Forecast Data'!I4</f>
        <v>13131927</v>
      </c>
      <c r="D11" s="28">
        <f>'Revenue Forecast Data'!J4</f>
        <v>0</v>
      </c>
      <c r="E11" s="27">
        <f>'Revenue Forecast Data'!K4</f>
        <v>0</v>
      </c>
      <c r="F11" s="28">
        <f>'Revenue Forecast Data'!L4</f>
        <v>982</v>
      </c>
      <c r="G11" s="27">
        <f>'Revenue Forecast Data'!M4</f>
        <v>34370000</v>
      </c>
      <c r="H11" s="3">
        <f>'Revenue Forecast Data'!Q4</f>
        <v>1.0000405684210527</v>
      </c>
      <c r="I11" s="26"/>
      <c r="J11" s="26"/>
      <c r="K11" s="26"/>
      <c r="L11" s="26"/>
    </row>
    <row r="12" spans="1:14" ht="18" customHeight="1" x14ac:dyDescent="0.35">
      <c r="A12" s="4">
        <f>'Revenue Forecast Data'!D5</f>
        <v>45748</v>
      </c>
      <c r="B12" s="29">
        <f>'Revenue Forecast Data'!E5</f>
        <v>2250000</v>
      </c>
      <c r="C12" s="29">
        <f>'Revenue Forecast Data'!I5</f>
        <v>1050000</v>
      </c>
      <c r="D12" s="30">
        <f>'Revenue Forecast Data'!J5</f>
        <v>10</v>
      </c>
      <c r="E12" s="29">
        <f>'Revenue Forecast Data'!K5</f>
        <v>0</v>
      </c>
      <c r="F12" s="30">
        <f>'Revenue Forecast Data'!L5</f>
        <v>35</v>
      </c>
      <c r="G12" s="29">
        <f>'Revenue Forecast Data'!M5</f>
        <v>1200000</v>
      </c>
      <c r="H12" s="5">
        <f>'Revenue Forecast Data'!Q5</f>
        <v>1</v>
      </c>
      <c r="I12" s="26"/>
      <c r="J12" s="26"/>
      <c r="K12" s="26"/>
      <c r="L12" s="26"/>
    </row>
    <row r="13" spans="1:14" ht="18" customHeight="1" x14ac:dyDescent="0.35">
      <c r="A13" s="2">
        <f>'Revenue Forecast Data'!D6</f>
        <v>45748</v>
      </c>
      <c r="B13" s="27">
        <f>'Revenue Forecast Data'!E6</f>
        <v>5600000</v>
      </c>
      <c r="C13" s="27">
        <f>'Revenue Forecast Data'!I6</f>
        <v>0</v>
      </c>
      <c r="D13" s="28">
        <f>'Revenue Forecast Data'!J6</f>
        <v>85</v>
      </c>
      <c r="E13" s="27">
        <f>'Revenue Forecast Data'!K6</f>
        <v>4200000</v>
      </c>
      <c r="F13" s="28">
        <f>'Revenue Forecast Data'!L6</f>
        <v>116</v>
      </c>
      <c r="G13" s="27">
        <f>'Revenue Forecast Data'!M6</f>
        <v>1400000</v>
      </c>
      <c r="H13" s="3">
        <f>'Revenue Forecast Data'!Q6</f>
        <v>1</v>
      </c>
      <c r="I13" s="26"/>
      <c r="J13" s="26"/>
      <c r="K13" s="26"/>
      <c r="L13" s="26"/>
    </row>
    <row r="14" spans="1:14" ht="18" customHeight="1" x14ac:dyDescent="0.35">
      <c r="A14" s="4">
        <f>'Revenue Forecast Data'!D7</f>
        <v>45748</v>
      </c>
      <c r="B14" s="29">
        <f>'Revenue Forecast Data'!E7</f>
        <v>1900000</v>
      </c>
      <c r="C14" s="29">
        <f>'Revenue Forecast Data'!I7</f>
        <v>0</v>
      </c>
      <c r="D14" s="30">
        <f>'Revenue Forecast Data'!J7</f>
        <v>102</v>
      </c>
      <c r="E14" s="29">
        <f>'Revenue Forecast Data'!K7</f>
        <v>1224000</v>
      </c>
      <c r="F14" s="30">
        <f>'Revenue Forecast Data'!L7</f>
        <v>46</v>
      </c>
      <c r="G14" s="29">
        <f>'Revenue Forecast Data'!M7</f>
        <v>718000</v>
      </c>
      <c r="H14" s="5">
        <f>'Revenue Forecast Data'!Q7</f>
        <v>1.0221052631578946</v>
      </c>
      <c r="I14" s="26"/>
      <c r="J14" s="26"/>
      <c r="K14" s="26"/>
      <c r="L14" s="26"/>
    </row>
    <row r="15" spans="1:14" ht="18" customHeight="1" x14ac:dyDescent="0.35">
      <c r="A15" s="2">
        <f>'Revenue Forecast Data'!D8</f>
        <v>45748</v>
      </c>
      <c r="B15" s="27">
        <f>'Revenue Forecast Data'!E8</f>
        <v>3300000</v>
      </c>
      <c r="C15" s="27">
        <f>'Revenue Forecast Data'!I8</f>
        <v>0</v>
      </c>
      <c r="D15" s="28">
        <f>'Revenue Forecast Data'!J8</f>
        <v>130</v>
      </c>
      <c r="E15" s="27">
        <f>'Revenue Forecast Data'!K8</f>
        <v>1560000</v>
      </c>
      <c r="F15" s="28">
        <f>'Revenue Forecast Data'!L8</f>
        <v>105</v>
      </c>
      <c r="G15" s="27">
        <f>'Revenue Forecast Data'!M8</f>
        <v>1739999.9999999998</v>
      </c>
      <c r="H15" s="3">
        <f>'Revenue Forecast Data'!Q8</f>
        <v>1</v>
      </c>
      <c r="I15" s="26"/>
      <c r="J15" s="26"/>
      <c r="K15" s="26"/>
      <c r="L15" s="26"/>
    </row>
    <row r="16" spans="1:14" ht="19.5" customHeight="1" x14ac:dyDescent="0.35">
      <c r="A16" s="6" t="s">
        <v>19</v>
      </c>
      <c r="B16" s="31">
        <f t="shared" ref="B16:G16" si="0">SUM(B11:B15)</f>
        <v>60550000</v>
      </c>
      <c r="C16" s="31">
        <f t="shared" si="0"/>
        <v>14181927</v>
      </c>
      <c r="D16" s="32">
        <f t="shared" si="0"/>
        <v>327</v>
      </c>
      <c r="E16" s="31">
        <f t="shared" si="0"/>
        <v>6984000</v>
      </c>
      <c r="F16" s="32">
        <f t="shared" si="0"/>
        <v>1284</v>
      </c>
      <c r="G16" s="31">
        <f t="shared" si="0"/>
        <v>39428000</v>
      </c>
      <c r="H16" s="9">
        <f>IF(B16=0,0,G16/B16)</f>
        <v>0.65116432700247728</v>
      </c>
      <c r="I16" s="26"/>
      <c r="J16" s="26"/>
      <c r="K16" s="26"/>
      <c r="L16" s="26"/>
    </row>
  </sheetData>
  <mergeCells count="20">
    <mergeCell ref="A1:N2"/>
    <mergeCell ref="A3:N3"/>
    <mergeCell ref="A5:B5"/>
    <mergeCell ref="C5:D5"/>
    <mergeCell ref="E5:F5"/>
    <mergeCell ref="G5:H5"/>
    <mergeCell ref="I5:J5"/>
    <mergeCell ref="K5:L5"/>
    <mergeCell ref="K6:L6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R65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ColWidth="8.54296875" defaultRowHeight="14.5" x14ac:dyDescent="0.35"/>
  <cols>
    <col min="1" max="1" width="18" customWidth="1"/>
    <col min="2" max="3" width="14" customWidth="1"/>
    <col min="4" max="4" width="12" customWidth="1"/>
    <col min="5" max="5" width="16" customWidth="1"/>
    <col min="6" max="6" width="13.26953125" customWidth="1"/>
    <col min="7" max="7" width="13.6328125" customWidth="1"/>
    <col min="8" max="8" width="14.453125" customWidth="1"/>
    <col min="9" max="9" width="14" customWidth="1"/>
    <col min="10" max="10" width="12" customWidth="1"/>
    <col min="11" max="11" width="14" customWidth="1"/>
    <col min="12" max="12" width="12" customWidth="1"/>
    <col min="13" max="13" width="14" customWidth="1"/>
    <col min="14" max="14" width="17" customWidth="1"/>
    <col min="15" max="15" width="13.7265625" customWidth="1"/>
    <col min="16" max="16" width="14" customWidth="1"/>
    <col min="17" max="17" width="22" customWidth="1"/>
    <col min="18" max="18" width="30" customWidth="1"/>
  </cols>
  <sheetData>
    <row r="1" spans="1:18" ht="19.5" customHeight="1" x14ac:dyDescent="0.35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9.5" customHeight="1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42" customHeight="1" x14ac:dyDescent="0.35">
      <c r="A3" s="10" t="s">
        <v>21</v>
      </c>
      <c r="B3" s="10" t="s">
        <v>22</v>
      </c>
      <c r="C3" s="10" t="s">
        <v>60</v>
      </c>
      <c r="D3" s="10" t="s">
        <v>11</v>
      </c>
      <c r="E3" s="10" t="s">
        <v>12</v>
      </c>
      <c r="F3" s="10" t="s">
        <v>57</v>
      </c>
      <c r="G3" s="10" t="s">
        <v>59</v>
      </c>
      <c r="H3" s="10" t="s">
        <v>58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 t="s">
        <v>63</v>
      </c>
      <c r="O3" s="10" t="s">
        <v>64</v>
      </c>
      <c r="P3" s="10" t="s">
        <v>62</v>
      </c>
      <c r="Q3" s="10" t="s">
        <v>23</v>
      </c>
      <c r="R3" s="10" t="s">
        <v>24</v>
      </c>
    </row>
    <row r="4" spans="1:18" x14ac:dyDescent="0.35">
      <c r="A4" s="11" t="s">
        <v>25</v>
      </c>
      <c r="B4" s="43">
        <v>45767</v>
      </c>
      <c r="C4" s="4" t="s">
        <v>61</v>
      </c>
      <c r="D4" s="44">
        <v>45748</v>
      </c>
      <c r="E4" s="45">
        <v>47500000</v>
      </c>
      <c r="F4" s="12">
        <v>0</v>
      </c>
      <c r="G4" s="12">
        <v>0</v>
      </c>
      <c r="H4" s="12">
        <v>0</v>
      </c>
      <c r="I4" s="12">
        <v>13131927</v>
      </c>
      <c r="J4" s="13"/>
      <c r="K4" s="12"/>
      <c r="L4" s="13">
        <v>982</v>
      </c>
      <c r="M4" s="12">
        <v>34370000</v>
      </c>
      <c r="N4" s="12"/>
      <c r="O4" s="12"/>
      <c r="P4" s="12">
        <f>E4-F4-G4-H4</f>
        <v>47500000</v>
      </c>
      <c r="Q4" s="14">
        <f>(I4+K4+M4)/E4</f>
        <v>1.0000405684210527</v>
      </c>
      <c r="R4" s="11"/>
    </row>
    <row r="5" spans="1:18" x14ac:dyDescent="0.35">
      <c r="A5" s="15" t="s">
        <v>66</v>
      </c>
      <c r="B5" s="43">
        <v>45767</v>
      </c>
      <c r="C5" s="4" t="s">
        <v>61</v>
      </c>
      <c r="D5" s="44">
        <v>45748</v>
      </c>
      <c r="E5" s="46">
        <v>2250000</v>
      </c>
      <c r="F5" s="12">
        <v>0</v>
      </c>
      <c r="G5" s="12">
        <v>0</v>
      </c>
      <c r="H5" s="12">
        <v>0</v>
      </c>
      <c r="I5" s="16">
        <v>1050000</v>
      </c>
      <c r="J5" s="17">
        <v>10</v>
      </c>
      <c r="K5" s="16">
        <v>0</v>
      </c>
      <c r="L5" s="17">
        <v>35</v>
      </c>
      <c r="M5" s="16">
        <v>1200000</v>
      </c>
      <c r="N5" s="16"/>
      <c r="O5" s="16"/>
      <c r="P5" s="12">
        <f t="shared" ref="P5:P59" si="0">E5-F5-G5-H5</f>
        <v>2250000</v>
      </c>
      <c r="Q5" s="14">
        <f t="shared" ref="Q5:Q57" si="1">(I5+K5+M5)/E5</f>
        <v>1</v>
      </c>
      <c r="R5" s="15"/>
    </row>
    <row r="6" spans="1:18" x14ac:dyDescent="0.35">
      <c r="A6" s="11" t="s">
        <v>67</v>
      </c>
      <c r="B6" s="43">
        <v>45767</v>
      </c>
      <c r="C6" s="4" t="s">
        <v>61</v>
      </c>
      <c r="D6" s="44">
        <v>45748</v>
      </c>
      <c r="E6" s="45">
        <v>5600000</v>
      </c>
      <c r="F6" s="12">
        <v>0</v>
      </c>
      <c r="G6" s="12">
        <v>0</v>
      </c>
      <c r="H6" s="12">
        <v>0</v>
      </c>
      <c r="I6" s="12"/>
      <c r="J6" s="13">
        <v>85</v>
      </c>
      <c r="K6" s="12">
        <v>4200000</v>
      </c>
      <c r="L6" s="13">
        <v>116</v>
      </c>
      <c r="M6" s="12">
        <v>1400000</v>
      </c>
      <c r="N6" s="12"/>
      <c r="O6" s="12"/>
      <c r="P6" s="12">
        <f t="shared" si="0"/>
        <v>5600000</v>
      </c>
      <c r="Q6" s="14">
        <f t="shared" si="1"/>
        <v>1</v>
      </c>
      <c r="R6" s="11"/>
    </row>
    <row r="7" spans="1:18" ht="25" x14ac:dyDescent="0.35">
      <c r="A7" s="15" t="s">
        <v>68</v>
      </c>
      <c r="B7" s="43">
        <v>45767</v>
      </c>
      <c r="C7" s="4" t="s">
        <v>61</v>
      </c>
      <c r="D7" s="44">
        <v>45748</v>
      </c>
      <c r="E7" s="46">
        <v>1900000</v>
      </c>
      <c r="F7" s="12">
        <v>0</v>
      </c>
      <c r="G7" s="12">
        <v>0</v>
      </c>
      <c r="H7" s="12">
        <v>0</v>
      </c>
      <c r="I7" s="16"/>
      <c r="J7" s="17">
        <v>102</v>
      </c>
      <c r="K7" s="16">
        <v>1224000</v>
      </c>
      <c r="L7" s="17">
        <v>46</v>
      </c>
      <c r="M7" s="16">
        <v>718000</v>
      </c>
      <c r="N7" s="16"/>
      <c r="O7" s="16"/>
      <c r="P7" s="12">
        <f t="shared" si="0"/>
        <v>1900000</v>
      </c>
      <c r="Q7" s="14">
        <f t="shared" si="1"/>
        <v>1.0221052631578946</v>
      </c>
      <c r="R7" s="15"/>
    </row>
    <row r="8" spans="1:18" x14ac:dyDescent="0.35">
      <c r="A8" s="11" t="s">
        <v>69</v>
      </c>
      <c r="B8" s="43">
        <v>45767</v>
      </c>
      <c r="C8" s="4" t="s">
        <v>61</v>
      </c>
      <c r="D8" s="44">
        <v>45748</v>
      </c>
      <c r="E8" s="45">
        <v>3300000</v>
      </c>
      <c r="F8" s="12">
        <v>0</v>
      </c>
      <c r="G8" s="12">
        <v>0</v>
      </c>
      <c r="H8" s="12">
        <v>0</v>
      </c>
      <c r="I8" s="12">
        <v>0</v>
      </c>
      <c r="J8" s="13">
        <v>130</v>
      </c>
      <c r="K8" s="12">
        <v>1560000</v>
      </c>
      <c r="L8" s="13">
        <v>105</v>
      </c>
      <c r="M8" s="12">
        <v>1739999.9999999998</v>
      </c>
      <c r="N8" s="12"/>
      <c r="O8" s="12"/>
      <c r="P8" s="12">
        <f t="shared" si="0"/>
        <v>3300000</v>
      </c>
      <c r="Q8" s="14">
        <f t="shared" si="1"/>
        <v>1</v>
      </c>
      <c r="R8" s="11"/>
    </row>
    <row r="9" spans="1:18" x14ac:dyDescent="0.35">
      <c r="A9" s="11" t="s">
        <v>70</v>
      </c>
      <c r="B9" s="43">
        <v>45767</v>
      </c>
      <c r="C9" s="4" t="s">
        <v>61</v>
      </c>
      <c r="D9" s="44">
        <v>45748</v>
      </c>
      <c r="E9" s="45">
        <v>2675000</v>
      </c>
      <c r="F9" s="12">
        <v>0</v>
      </c>
      <c r="G9" s="12">
        <v>0</v>
      </c>
      <c r="H9" s="12">
        <v>0</v>
      </c>
      <c r="I9" s="12">
        <v>675000</v>
      </c>
      <c r="J9" s="13">
        <v>0</v>
      </c>
      <c r="K9" s="12">
        <v>0</v>
      </c>
      <c r="L9" s="13">
        <v>137</v>
      </c>
      <c r="M9" s="12">
        <v>2000000</v>
      </c>
      <c r="N9" s="12"/>
      <c r="O9" s="12"/>
      <c r="P9" s="12">
        <f t="shared" si="0"/>
        <v>2675000</v>
      </c>
      <c r="Q9" s="14">
        <f t="shared" si="1"/>
        <v>1</v>
      </c>
      <c r="R9" s="11"/>
    </row>
    <row r="10" spans="1:18" x14ac:dyDescent="0.35">
      <c r="A10" s="11" t="s">
        <v>71</v>
      </c>
      <c r="B10" s="43">
        <v>45767</v>
      </c>
      <c r="C10" s="4" t="s">
        <v>61</v>
      </c>
      <c r="D10" s="44">
        <v>45748</v>
      </c>
      <c r="E10" s="45">
        <v>1200000</v>
      </c>
      <c r="F10" s="12">
        <v>0</v>
      </c>
      <c r="G10" s="12">
        <v>0</v>
      </c>
      <c r="H10" s="12">
        <v>0</v>
      </c>
      <c r="I10" s="12">
        <v>240000</v>
      </c>
      <c r="J10" s="13">
        <v>25</v>
      </c>
      <c r="K10" s="12">
        <v>360000</v>
      </c>
      <c r="L10" s="13">
        <v>16</v>
      </c>
      <c r="M10" s="12">
        <v>600000</v>
      </c>
      <c r="N10" s="12"/>
      <c r="O10" s="12"/>
      <c r="P10" s="12">
        <f t="shared" si="0"/>
        <v>1200000</v>
      </c>
      <c r="Q10" s="14">
        <f t="shared" si="1"/>
        <v>1</v>
      </c>
      <c r="R10" s="11"/>
    </row>
    <row r="11" spans="1:18" x14ac:dyDescent="0.35">
      <c r="A11" s="11" t="s">
        <v>72</v>
      </c>
      <c r="B11" s="43">
        <v>45767</v>
      </c>
      <c r="C11" s="4" t="s">
        <v>61</v>
      </c>
      <c r="D11" s="44">
        <v>45748</v>
      </c>
      <c r="E11" s="45">
        <v>4185000</v>
      </c>
      <c r="F11" s="12">
        <v>0</v>
      </c>
      <c r="G11" s="12">
        <v>0</v>
      </c>
      <c r="H11" s="12">
        <v>0</v>
      </c>
      <c r="I11" s="12">
        <v>0</v>
      </c>
      <c r="J11" s="13">
        <v>215</v>
      </c>
      <c r="K11" s="12">
        <v>1935000.0000000002</v>
      </c>
      <c r="L11" s="13">
        <v>165</v>
      </c>
      <c r="M11" s="12">
        <v>2250000</v>
      </c>
      <c r="N11" s="12"/>
      <c r="O11" s="12"/>
      <c r="P11" s="12">
        <f t="shared" si="0"/>
        <v>4185000</v>
      </c>
      <c r="Q11" s="14">
        <f t="shared" si="1"/>
        <v>1</v>
      </c>
      <c r="R11" s="11"/>
    </row>
    <row r="12" spans="1:18" x14ac:dyDescent="0.35">
      <c r="A12" s="11" t="s">
        <v>73</v>
      </c>
      <c r="B12" s="43">
        <v>45767</v>
      </c>
      <c r="C12" s="4" t="s">
        <v>61</v>
      </c>
      <c r="D12" s="44">
        <v>45748</v>
      </c>
      <c r="E12" s="45">
        <v>300000</v>
      </c>
      <c r="F12" s="12">
        <v>0</v>
      </c>
      <c r="G12" s="12">
        <v>0</v>
      </c>
      <c r="H12" s="12">
        <v>0</v>
      </c>
      <c r="I12" s="12">
        <v>300000</v>
      </c>
      <c r="J12" s="13">
        <v>0</v>
      </c>
      <c r="K12" s="12">
        <v>0</v>
      </c>
      <c r="L12" s="13">
        <v>0</v>
      </c>
      <c r="M12" s="12">
        <v>0</v>
      </c>
      <c r="N12" s="12"/>
      <c r="O12" s="12"/>
      <c r="P12" s="12">
        <f t="shared" si="0"/>
        <v>300000</v>
      </c>
      <c r="Q12" s="14">
        <f t="shared" si="1"/>
        <v>1</v>
      </c>
      <c r="R12" s="11"/>
    </row>
    <row r="13" spans="1:18" x14ac:dyDescent="0.35">
      <c r="A13" s="11" t="s">
        <v>74</v>
      </c>
      <c r="B13" s="43">
        <v>45767</v>
      </c>
      <c r="C13" s="4" t="s">
        <v>61</v>
      </c>
      <c r="D13" s="44">
        <v>45748</v>
      </c>
      <c r="E13" s="45">
        <v>41700000</v>
      </c>
      <c r="F13" s="12">
        <v>0</v>
      </c>
      <c r="G13" s="12">
        <v>0</v>
      </c>
      <c r="H13" s="12">
        <v>0</v>
      </c>
      <c r="I13" s="12">
        <v>21312000</v>
      </c>
      <c r="J13" s="13">
        <v>400</v>
      </c>
      <c r="K13" s="12"/>
      <c r="L13" s="13">
        <v>390</v>
      </c>
      <c r="M13" s="12"/>
      <c r="N13" s="12"/>
      <c r="O13" s="12"/>
      <c r="P13" s="12">
        <f t="shared" si="0"/>
        <v>41700000</v>
      </c>
      <c r="Q13" s="14">
        <f t="shared" si="1"/>
        <v>0.51107913669064753</v>
      </c>
      <c r="R13" s="11"/>
    </row>
    <row r="14" spans="1:18" x14ac:dyDescent="0.35">
      <c r="A14" s="11" t="s">
        <v>75</v>
      </c>
      <c r="B14" s="43">
        <v>45767</v>
      </c>
      <c r="C14" s="4" t="s">
        <v>61</v>
      </c>
      <c r="D14" s="44">
        <v>45748</v>
      </c>
      <c r="E14" s="45">
        <v>1500000</v>
      </c>
      <c r="F14" s="12">
        <v>0</v>
      </c>
      <c r="G14" s="12">
        <v>0</v>
      </c>
      <c r="H14" s="12">
        <v>0</v>
      </c>
      <c r="I14" s="12"/>
      <c r="J14" s="13">
        <v>17</v>
      </c>
      <c r="K14" s="12">
        <v>950000</v>
      </c>
      <c r="L14" s="13">
        <v>13</v>
      </c>
      <c r="M14" s="12">
        <v>557500</v>
      </c>
      <c r="N14" s="12"/>
      <c r="O14" s="12"/>
      <c r="P14" s="12">
        <f t="shared" si="0"/>
        <v>1500000</v>
      </c>
      <c r="Q14" s="14">
        <f t="shared" si="1"/>
        <v>1.0049999999999999</v>
      </c>
      <c r="R14" s="11"/>
    </row>
    <row r="15" spans="1:18" x14ac:dyDescent="0.35">
      <c r="A15" s="11" t="s">
        <v>76</v>
      </c>
      <c r="B15" s="43">
        <v>45767</v>
      </c>
      <c r="C15" s="4" t="s">
        <v>61</v>
      </c>
      <c r="D15" s="44">
        <v>45748</v>
      </c>
      <c r="E15" s="45">
        <v>1200000</v>
      </c>
      <c r="F15" s="12">
        <v>0</v>
      </c>
      <c r="G15" s="12">
        <v>0</v>
      </c>
      <c r="H15" s="12">
        <v>0</v>
      </c>
      <c r="I15" s="12">
        <v>0</v>
      </c>
      <c r="J15" s="13">
        <v>0</v>
      </c>
      <c r="K15" s="12">
        <v>0</v>
      </c>
      <c r="L15" s="13">
        <v>28</v>
      </c>
      <c r="M15" s="12">
        <v>1200000</v>
      </c>
      <c r="N15" s="12"/>
      <c r="O15" s="12"/>
      <c r="P15" s="12">
        <f t="shared" si="0"/>
        <v>1200000</v>
      </c>
      <c r="Q15" s="14">
        <f t="shared" si="1"/>
        <v>1</v>
      </c>
      <c r="R15" s="11"/>
    </row>
    <row r="16" spans="1:18" x14ac:dyDescent="0.35">
      <c r="A16" s="11" t="s">
        <v>77</v>
      </c>
      <c r="B16" s="43">
        <v>45767</v>
      </c>
      <c r="C16" s="4" t="s">
        <v>61</v>
      </c>
      <c r="D16" s="44">
        <v>45748</v>
      </c>
      <c r="E16" s="45">
        <v>33100000</v>
      </c>
      <c r="F16" s="12">
        <v>0</v>
      </c>
      <c r="G16" s="12">
        <v>0</v>
      </c>
      <c r="H16" s="12">
        <v>0</v>
      </c>
      <c r="I16" s="12">
        <v>0</v>
      </c>
      <c r="J16" s="13">
        <v>0</v>
      </c>
      <c r="K16" s="12">
        <v>0</v>
      </c>
      <c r="L16" s="13">
        <v>650</v>
      </c>
      <c r="M16" s="12">
        <v>33100000</v>
      </c>
      <c r="N16" s="12"/>
      <c r="O16" s="12"/>
      <c r="P16" s="12">
        <f t="shared" si="0"/>
        <v>33100000</v>
      </c>
      <c r="Q16" s="14">
        <f t="shared" si="1"/>
        <v>1</v>
      </c>
      <c r="R16" s="11"/>
    </row>
    <row r="17" spans="1:18" x14ac:dyDescent="0.35">
      <c r="A17" s="11" t="s">
        <v>78</v>
      </c>
      <c r="B17" s="43">
        <v>45767</v>
      </c>
      <c r="C17" s="4" t="s">
        <v>61</v>
      </c>
      <c r="D17" s="44">
        <v>45748</v>
      </c>
      <c r="E17" s="45">
        <v>6900000</v>
      </c>
      <c r="F17" s="12">
        <v>0</v>
      </c>
      <c r="G17" s="12">
        <v>0</v>
      </c>
      <c r="H17" s="12">
        <v>0</v>
      </c>
      <c r="I17" s="12"/>
      <c r="J17" s="13"/>
      <c r="K17" s="12"/>
      <c r="L17" s="13"/>
      <c r="M17" s="12"/>
      <c r="N17" s="12"/>
      <c r="O17" s="12"/>
      <c r="P17" s="12">
        <f t="shared" si="0"/>
        <v>6900000</v>
      </c>
      <c r="Q17" s="14">
        <f t="shared" si="1"/>
        <v>0</v>
      </c>
      <c r="R17" s="11"/>
    </row>
    <row r="18" spans="1:18" x14ac:dyDescent="0.35">
      <c r="A18" s="11" t="s">
        <v>79</v>
      </c>
      <c r="B18" s="43">
        <v>45767</v>
      </c>
      <c r="C18" s="4" t="s">
        <v>61</v>
      </c>
      <c r="D18" s="44">
        <v>45748</v>
      </c>
      <c r="E18" s="45">
        <v>2530000</v>
      </c>
      <c r="F18" s="12">
        <v>0</v>
      </c>
      <c r="G18" s="12">
        <v>0</v>
      </c>
      <c r="H18" s="12">
        <v>0</v>
      </c>
      <c r="I18" s="12">
        <v>471000</v>
      </c>
      <c r="J18" s="13">
        <v>30</v>
      </c>
      <c r="K18" s="12">
        <v>288000</v>
      </c>
      <c r="L18" s="13">
        <v>44</v>
      </c>
      <c r="M18" s="12">
        <v>300014.71000000002</v>
      </c>
      <c r="N18" s="12"/>
      <c r="O18" s="12"/>
      <c r="P18" s="12">
        <f t="shared" si="0"/>
        <v>2530000</v>
      </c>
      <c r="Q18" s="14">
        <f t="shared" si="1"/>
        <v>0.4185828893280632</v>
      </c>
      <c r="R18" s="11"/>
    </row>
    <row r="19" spans="1:18" x14ac:dyDescent="0.35">
      <c r="A19" s="11" t="s">
        <v>80</v>
      </c>
      <c r="B19" s="43">
        <v>45767</v>
      </c>
      <c r="C19" s="4" t="s">
        <v>61</v>
      </c>
      <c r="D19" s="44">
        <v>45748</v>
      </c>
      <c r="E19" s="45">
        <v>9000000</v>
      </c>
      <c r="F19" s="12">
        <v>0</v>
      </c>
      <c r="G19" s="12">
        <v>0</v>
      </c>
      <c r="H19" s="12">
        <v>0</v>
      </c>
      <c r="I19" s="12">
        <v>3264000</v>
      </c>
      <c r="J19" s="13">
        <v>300</v>
      </c>
      <c r="K19" s="12">
        <v>0</v>
      </c>
      <c r="L19" s="13">
        <v>144</v>
      </c>
      <c r="M19" s="12">
        <v>6500000</v>
      </c>
      <c r="N19" s="12"/>
      <c r="O19" s="12"/>
      <c r="P19" s="12">
        <f t="shared" si="0"/>
        <v>9000000</v>
      </c>
      <c r="Q19" s="14">
        <f t="shared" si="1"/>
        <v>1.0848888888888888</v>
      </c>
      <c r="R19" s="11"/>
    </row>
    <row r="20" spans="1:18" x14ac:dyDescent="0.35">
      <c r="A20" s="11" t="s">
        <v>81</v>
      </c>
      <c r="B20" s="43">
        <v>45767</v>
      </c>
      <c r="C20" s="4" t="s">
        <v>61</v>
      </c>
      <c r="D20" s="44">
        <v>45748</v>
      </c>
      <c r="E20" s="45">
        <v>320000</v>
      </c>
      <c r="F20" s="12">
        <v>0</v>
      </c>
      <c r="G20" s="12">
        <v>0</v>
      </c>
      <c r="H20" s="12">
        <v>0</v>
      </c>
      <c r="I20" s="12">
        <v>0</v>
      </c>
      <c r="J20" s="13">
        <v>0</v>
      </c>
      <c r="K20" s="12">
        <v>0</v>
      </c>
      <c r="L20" s="13">
        <v>6</v>
      </c>
      <c r="M20" s="12">
        <v>320000</v>
      </c>
      <c r="N20" s="12"/>
      <c r="O20" s="12"/>
      <c r="P20" s="12">
        <f t="shared" si="0"/>
        <v>320000</v>
      </c>
      <c r="Q20" s="14">
        <f t="shared" si="1"/>
        <v>1</v>
      </c>
      <c r="R20" s="11"/>
    </row>
    <row r="21" spans="1:18" x14ac:dyDescent="0.35">
      <c r="A21" s="11" t="s">
        <v>82</v>
      </c>
      <c r="B21" s="43">
        <v>45767</v>
      </c>
      <c r="C21" s="4" t="s">
        <v>61</v>
      </c>
      <c r="D21" s="44">
        <v>45748</v>
      </c>
      <c r="E21" s="45">
        <v>1122000</v>
      </c>
      <c r="F21" s="12">
        <v>0</v>
      </c>
      <c r="G21" s="12">
        <v>0</v>
      </c>
      <c r="H21" s="12">
        <v>0</v>
      </c>
      <c r="I21" s="12">
        <v>0</v>
      </c>
      <c r="J21" s="13">
        <v>0</v>
      </c>
      <c r="K21" s="12">
        <v>216000</v>
      </c>
      <c r="L21" s="13">
        <v>26</v>
      </c>
      <c r="M21" s="12">
        <v>906000</v>
      </c>
      <c r="N21" s="12"/>
      <c r="O21" s="12"/>
      <c r="P21" s="12">
        <f t="shared" si="0"/>
        <v>1122000</v>
      </c>
      <c r="Q21" s="14">
        <f t="shared" si="1"/>
        <v>1</v>
      </c>
      <c r="R21" s="11"/>
    </row>
    <row r="22" spans="1:18" x14ac:dyDescent="0.35">
      <c r="A22" s="11" t="s">
        <v>83</v>
      </c>
      <c r="B22" s="43">
        <v>45767</v>
      </c>
      <c r="C22" s="4" t="s">
        <v>61</v>
      </c>
      <c r="D22" s="44">
        <v>45748</v>
      </c>
      <c r="E22" s="45">
        <v>2100000</v>
      </c>
      <c r="F22" s="12">
        <v>0</v>
      </c>
      <c r="G22" s="12">
        <v>0</v>
      </c>
      <c r="H22" s="12">
        <v>0</v>
      </c>
      <c r="I22" s="12">
        <v>0</v>
      </c>
      <c r="J22" s="13">
        <v>54</v>
      </c>
      <c r="K22" s="12">
        <v>1000000</v>
      </c>
      <c r="L22" s="13">
        <v>42</v>
      </c>
      <c r="M22" s="12">
        <v>1100000</v>
      </c>
      <c r="N22" s="12"/>
      <c r="O22" s="12"/>
      <c r="P22" s="12">
        <f t="shared" si="0"/>
        <v>2100000</v>
      </c>
      <c r="Q22" s="14">
        <f t="shared" si="1"/>
        <v>1</v>
      </c>
      <c r="R22" s="11"/>
    </row>
    <row r="23" spans="1:18" x14ac:dyDescent="0.35">
      <c r="A23" s="11" t="s">
        <v>84</v>
      </c>
      <c r="B23" s="43">
        <v>45767</v>
      </c>
      <c r="C23" s="4" t="s">
        <v>61</v>
      </c>
      <c r="D23" s="44">
        <v>45748</v>
      </c>
      <c r="E23" s="45">
        <v>4800000</v>
      </c>
      <c r="F23" s="12">
        <v>0</v>
      </c>
      <c r="G23" s="12">
        <v>0</v>
      </c>
      <c r="H23" s="12">
        <v>0</v>
      </c>
      <c r="I23" s="12"/>
      <c r="J23" s="13"/>
      <c r="K23" s="12"/>
      <c r="L23" s="13"/>
      <c r="M23" s="12"/>
      <c r="N23" s="12"/>
      <c r="O23" s="12"/>
      <c r="P23" s="12">
        <f t="shared" si="0"/>
        <v>4800000</v>
      </c>
      <c r="Q23" s="14">
        <f t="shared" si="1"/>
        <v>0</v>
      </c>
      <c r="R23" s="11"/>
    </row>
    <row r="24" spans="1:18" x14ac:dyDescent="0.35">
      <c r="A24" s="11" t="s">
        <v>85</v>
      </c>
      <c r="B24" s="43">
        <v>45767</v>
      </c>
      <c r="C24" s="4" t="s">
        <v>61</v>
      </c>
      <c r="D24" s="44">
        <v>45748</v>
      </c>
      <c r="E24" s="45">
        <v>3950000</v>
      </c>
      <c r="F24" s="12">
        <v>0</v>
      </c>
      <c r="G24" s="12">
        <v>0</v>
      </c>
      <c r="H24" s="12">
        <v>0</v>
      </c>
      <c r="I24" s="12">
        <v>0</v>
      </c>
      <c r="J24" s="13">
        <v>0</v>
      </c>
      <c r="K24" s="12">
        <v>0</v>
      </c>
      <c r="L24" s="13">
        <v>110</v>
      </c>
      <c r="M24" s="12">
        <v>3950000</v>
      </c>
      <c r="N24" s="12"/>
      <c r="O24" s="12"/>
      <c r="P24" s="12">
        <f t="shared" si="0"/>
        <v>3950000</v>
      </c>
      <c r="Q24" s="14">
        <f t="shared" si="1"/>
        <v>1</v>
      </c>
      <c r="R24" s="11"/>
    </row>
    <row r="25" spans="1:18" x14ac:dyDescent="0.35">
      <c r="A25" s="11" t="s">
        <v>86</v>
      </c>
      <c r="B25" s="43">
        <v>45767</v>
      </c>
      <c r="C25" s="4" t="s">
        <v>61</v>
      </c>
      <c r="D25" s="44">
        <v>45748</v>
      </c>
      <c r="E25" s="45">
        <v>1908439.0399999996</v>
      </c>
      <c r="F25" s="12">
        <v>0</v>
      </c>
      <c r="G25" s="12">
        <v>0</v>
      </c>
      <c r="H25" s="12">
        <v>0</v>
      </c>
      <c r="I25" s="12">
        <v>0</v>
      </c>
      <c r="J25" s="13">
        <v>30</v>
      </c>
      <c r="K25" s="12">
        <v>550000</v>
      </c>
      <c r="L25" s="13">
        <v>30</v>
      </c>
      <c r="M25" s="12">
        <v>1350000</v>
      </c>
      <c r="N25" s="12"/>
      <c r="O25" s="12"/>
      <c r="P25" s="12">
        <f t="shared" si="0"/>
        <v>1908439.0399999996</v>
      </c>
      <c r="Q25" s="14">
        <f t="shared" si="1"/>
        <v>0.99557804057498234</v>
      </c>
      <c r="R25" s="11"/>
    </row>
    <row r="26" spans="1:18" x14ac:dyDescent="0.35">
      <c r="A26" s="11" t="s">
        <v>87</v>
      </c>
      <c r="B26" s="43">
        <v>45767</v>
      </c>
      <c r="C26" s="4" t="s">
        <v>61</v>
      </c>
      <c r="D26" s="44">
        <v>45748</v>
      </c>
      <c r="E26" s="45">
        <v>7300000</v>
      </c>
      <c r="F26" s="12">
        <v>0</v>
      </c>
      <c r="G26" s="12">
        <v>0</v>
      </c>
      <c r="H26" s="12">
        <v>0</v>
      </c>
      <c r="I26" s="12">
        <v>0</v>
      </c>
      <c r="J26" s="13">
        <v>108</v>
      </c>
      <c r="K26" s="12">
        <v>1300000</v>
      </c>
      <c r="L26" s="13">
        <v>151</v>
      </c>
      <c r="M26" s="12">
        <v>6000000</v>
      </c>
      <c r="N26" s="12"/>
      <c r="O26" s="12"/>
      <c r="P26" s="12">
        <f t="shared" si="0"/>
        <v>7300000</v>
      </c>
      <c r="Q26" s="14">
        <f t="shared" si="1"/>
        <v>1</v>
      </c>
      <c r="R26" s="11"/>
    </row>
    <row r="27" spans="1:18" x14ac:dyDescent="0.35">
      <c r="A27" s="11" t="s">
        <v>88</v>
      </c>
      <c r="B27" s="43">
        <v>45767</v>
      </c>
      <c r="C27" s="4" t="s">
        <v>61</v>
      </c>
      <c r="D27" s="44">
        <v>45748</v>
      </c>
      <c r="E27" s="45">
        <v>6275000</v>
      </c>
      <c r="F27" s="12">
        <v>0</v>
      </c>
      <c r="G27" s="12">
        <v>0</v>
      </c>
      <c r="H27" s="12">
        <v>0</v>
      </c>
      <c r="I27" s="12">
        <v>1125000</v>
      </c>
      <c r="J27" s="13">
        <v>165</v>
      </c>
      <c r="K27" s="12">
        <v>0</v>
      </c>
      <c r="L27" s="13">
        <v>175</v>
      </c>
      <c r="M27" s="12">
        <v>5150000</v>
      </c>
      <c r="N27" s="12"/>
      <c r="O27" s="12"/>
      <c r="P27" s="12">
        <f t="shared" si="0"/>
        <v>6275000</v>
      </c>
      <c r="Q27" s="14">
        <f t="shared" si="1"/>
        <v>1</v>
      </c>
      <c r="R27" s="11"/>
    </row>
    <row r="28" spans="1:18" x14ac:dyDescent="0.35">
      <c r="A28" s="11" t="s">
        <v>89</v>
      </c>
      <c r="B28" s="43">
        <v>45767</v>
      </c>
      <c r="C28" s="4" t="s">
        <v>61</v>
      </c>
      <c r="D28" s="44">
        <v>45748</v>
      </c>
      <c r="E28" s="45">
        <v>0</v>
      </c>
      <c r="F28" s="12">
        <v>0</v>
      </c>
      <c r="G28" s="12">
        <v>0</v>
      </c>
      <c r="H28" s="12">
        <v>0</v>
      </c>
      <c r="I28" s="12"/>
      <c r="J28" s="13"/>
      <c r="K28" s="12"/>
      <c r="L28" s="13"/>
      <c r="M28" s="12"/>
      <c r="N28" s="12"/>
      <c r="O28" s="12"/>
      <c r="P28" s="12">
        <f t="shared" si="0"/>
        <v>0</v>
      </c>
      <c r="Q28" s="14" t="e">
        <f t="shared" si="1"/>
        <v>#DIV/0!</v>
      </c>
      <c r="R28" s="11"/>
    </row>
    <row r="29" spans="1:18" x14ac:dyDescent="0.35">
      <c r="A29" s="11" t="s">
        <v>90</v>
      </c>
      <c r="B29" s="43">
        <v>45767</v>
      </c>
      <c r="C29" s="4" t="s">
        <v>61</v>
      </c>
      <c r="D29" s="44">
        <v>45748</v>
      </c>
      <c r="E29" s="45">
        <v>1050000</v>
      </c>
      <c r="F29" s="12">
        <v>0</v>
      </c>
      <c r="G29" s="12">
        <v>0</v>
      </c>
      <c r="H29" s="12">
        <v>0</v>
      </c>
      <c r="I29" s="12">
        <v>0</v>
      </c>
      <c r="J29" s="13">
        <v>21</v>
      </c>
      <c r="K29" s="12">
        <v>327000</v>
      </c>
      <c r="L29" s="13">
        <v>14</v>
      </c>
      <c r="M29" s="12">
        <v>723000</v>
      </c>
      <c r="N29" s="12"/>
      <c r="O29" s="12"/>
      <c r="P29" s="12">
        <f t="shared" si="0"/>
        <v>1050000</v>
      </c>
      <c r="Q29" s="14">
        <f t="shared" si="1"/>
        <v>1</v>
      </c>
      <c r="R29" s="11"/>
    </row>
    <row r="30" spans="1:18" ht="25" x14ac:dyDescent="0.35">
      <c r="A30" s="11" t="s">
        <v>91</v>
      </c>
      <c r="B30" s="43">
        <v>45767</v>
      </c>
      <c r="C30" s="4" t="s">
        <v>61</v>
      </c>
      <c r="D30" s="44">
        <v>45748</v>
      </c>
      <c r="E30" s="45">
        <v>2370000</v>
      </c>
      <c r="F30" s="12">
        <v>0</v>
      </c>
      <c r="G30" s="12">
        <v>0</v>
      </c>
      <c r="H30" s="12">
        <v>0</v>
      </c>
      <c r="I30" s="12">
        <v>0</v>
      </c>
      <c r="J30" s="13">
        <v>32</v>
      </c>
      <c r="K30" s="12">
        <v>727000</v>
      </c>
      <c r="L30" s="13">
        <v>30</v>
      </c>
      <c r="M30" s="12">
        <v>1643000</v>
      </c>
      <c r="N30" s="12"/>
      <c r="O30" s="12"/>
      <c r="P30" s="12">
        <f t="shared" si="0"/>
        <v>2370000</v>
      </c>
      <c r="Q30" s="14">
        <f t="shared" si="1"/>
        <v>1</v>
      </c>
      <c r="R30" s="11"/>
    </row>
    <row r="31" spans="1:18" x14ac:dyDescent="0.35">
      <c r="A31" s="11" t="s">
        <v>92</v>
      </c>
      <c r="B31" s="43">
        <v>45767</v>
      </c>
      <c r="C31" s="4" t="s">
        <v>61</v>
      </c>
      <c r="D31" s="44">
        <v>45748</v>
      </c>
      <c r="E31" s="45">
        <v>7300000</v>
      </c>
      <c r="F31" s="12">
        <v>0</v>
      </c>
      <c r="G31" s="12">
        <v>0</v>
      </c>
      <c r="H31" s="12">
        <v>0</v>
      </c>
      <c r="I31" s="12">
        <v>900000</v>
      </c>
      <c r="J31" s="13">
        <v>0</v>
      </c>
      <c r="K31" s="12">
        <v>0</v>
      </c>
      <c r="L31" s="13">
        <v>169</v>
      </c>
      <c r="M31" s="12">
        <v>6759999.9999999991</v>
      </c>
      <c r="N31" s="12"/>
      <c r="O31" s="12"/>
      <c r="P31" s="12">
        <f t="shared" si="0"/>
        <v>7300000</v>
      </c>
      <c r="Q31" s="14">
        <f t="shared" si="1"/>
        <v>1.0493150684931505</v>
      </c>
      <c r="R31" s="11"/>
    </row>
    <row r="32" spans="1:18" x14ac:dyDescent="0.35">
      <c r="A32" s="11" t="s">
        <v>93</v>
      </c>
      <c r="B32" s="43">
        <v>45767</v>
      </c>
      <c r="C32" s="4" t="s">
        <v>61</v>
      </c>
      <c r="D32" s="44">
        <v>45748</v>
      </c>
      <c r="E32" s="45">
        <v>4600000</v>
      </c>
      <c r="F32" s="12">
        <v>0</v>
      </c>
      <c r="G32" s="12">
        <v>0</v>
      </c>
      <c r="H32" s="12">
        <v>0</v>
      </c>
      <c r="I32" s="12"/>
      <c r="J32" s="13">
        <v>45</v>
      </c>
      <c r="K32" s="12">
        <v>933750</v>
      </c>
      <c r="L32" s="13">
        <v>147</v>
      </c>
      <c r="M32" s="12">
        <v>4608750</v>
      </c>
      <c r="N32" s="12"/>
      <c r="O32" s="12"/>
      <c r="P32" s="12">
        <f t="shared" si="0"/>
        <v>4600000</v>
      </c>
      <c r="Q32" s="14">
        <f t="shared" si="1"/>
        <v>1.204891304347826</v>
      </c>
      <c r="R32" s="11"/>
    </row>
    <row r="33" spans="1:18" x14ac:dyDescent="0.35">
      <c r="A33" s="11" t="s">
        <v>94</v>
      </c>
      <c r="B33" s="43">
        <v>45767</v>
      </c>
      <c r="C33" s="4" t="s">
        <v>61</v>
      </c>
      <c r="D33" s="44">
        <v>45748</v>
      </c>
      <c r="E33" s="45">
        <v>1582000</v>
      </c>
      <c r="F33" s="12">
        <v>0</v>
      </c>
      <c r="G33" s="12">
        <v>0</v>
      </c>
      <c r="H33" s="12">
        <v>0</v>
      </c>
      <c r="I33" s="12">
        <v>330000</v>
      </c>
      <c r="J33" s="13">
        <v>30</v>
      </c>
      <c r="K33" s="12">
        <v>0</v>
      </c>
      <c r="L33" s="13">
        <v>28</v>
      </c>
      <c r="M33" s="12">
        <v>1270000</v>
      </c>
      <c r="N33" s="12"/>
      <c r="O33" s="12"/>
      <c r="P33" s="12">
        <f t="shared" si="0"/>
        <v>1582000</v>
      </c>
      <c r="Q33" s="14">
        <f t="shared" si="1"/>
        <v>1.0113780025284449</v>
      </c>
      <c r="R33" s="11"/>
    </row>
    <row r="34" spans="1:18" x14ac:dyDescent="0.35">
      <c r="A34" s="11" t="s">
        <v>95</v>
      </c>
      <c r="B34" s="43">
        <v>45767</v>
      </c>
      <c r="C34" s="4" t="s">
        <v>61</v>
      </c>
      <c r="D34" s="44">
        <v>45748</v>
      </c>
      <c r="E34" s="45">
        <v>1200000</v>
      </c>
      <c r="F34" s="12">
        <v>0</v>
      </c>
      <c r="G34" s="12">
        <v>0</v>
      </c>
      <c r="H34" s="12">
        <v>0</v>
      </c>
      <c r="I34" s="12">
        <v>509999.99999999994</v>
      </c>
      <c r="J34" s="13">
        <v>0</v>
      </c>
      <c r="K34" s="12">
        <v>0</v>
      </c>
      <c r="L34" s="13">
        <v>15</v>
      </c>
      <c r="M34" s="12">
        <v>690000</v>
      </c>
      <c r="N34" s="12"/>
      <c r="O34" s="12"/>
      <c r="P34" s="12">
        <f t="shared" si="0"/>
        <v>1200000</v>
      </c>
      <c r="Q34" s="14">
        <f t="shared" si="1"/>
        <v>1</v>
      </c>
      <c r="R34" s="11"/>
    </row>
    <row r="35" spans="1:18" x14ac:dyDescent="0.35">
      <c r="A35" s="11" t="s">
        <v>96</v>
      </c>
      <c r="B35" s="43">
        <v>45767</v>
      </c>
      <c r="C35" s="4" t="s">
        <v>61</v>
      </c>
      <c r="D35" s="44">
        <v>45748</v>
      </c>
      <c r="E35" s="45">
        <v>2947000</v>
      </c>
      <c r="F35" s="12">
        <v>0</v>
      </c>
      <c r="G35" s="12">
        <v>0</v>
      </c>
      <c r="H35" s="12">
        <v>0</v>
      </c>
      <c r="I35" s="12">
        <v>1356000</v>
      </c>
      <c r="J35" s="13">
        <v>0</v>
      </c>
      <c r="K35" s="12">
        <v>0</v>
      </c>
      <c r="L35" s="13">
        <v>36</v>
      </c>
      <c r="M35" s="12">
        <v>1591000</v>
      </c>
      <c r="N35" s="12"/>
      <c r="O35" s="12"/>
      <c r="P35" s="12">
        <f t="shared" si="0"/>
        <v>2947000</v>
      </c>
      <c r="Q35" s="14">
        <f t="shared" si="1"/>
        <v>1</v>
      </c>
      <c r="R35" s="11"/>
    </row>
    <row r="36" spans="1:18" x14ac:dyDescent="0.35">
      <c r="A36" s="11" t="s">
        <v>97</v>
      </c>
      <c r="B36" s="43">
        <v>45767</v>
      </c>
      <c r="C36" s="4" t="s">
        <v>61</v>
      </c>
      <c r="D36" s="44">
        <v>45748</v>
      </c>
      <c r="E36" s="45">
        <v>325000</v>
      </c>
      <c r="F36" s="12">
        <v>0</v>
      </c>
      <c r="G36" s="12">
        <v>0</v>
      </c>
      <c r="H36" s="12">
        <v>0</v>
      </c>
      <c r="I36" s="12"/>
      <c r="J36" s="13"/>
      <c r="K36" s="12"/>
      <c r="L36" s="13"/>
      <c r="M36" s="12"/>
      <c r="N36" s="12"/>
      <c r="O36" s="12"/>
      <c r="P36" s="12">
        <f t="shared" si="0"/>
        <v>325000</v>
      </c>
      <c r="Q36" s="14">
        <f t="shared" si="1"/>
        <v>0</v>
      </c>
      <c r="R36" s="11"/>
    </row>
    <row r="37" spans="1:18" x14ac:dyDescent="0.35">
      <c r="A37" s="11" t="s">
        <v>98</v>
      </c>
      <c r="B37" s="43">
        <v>45767</v>
      </c>
      <c r="C37" s="4" t="s">
        <v>61</v>
      </c>
      <c r="D37" s="44">
        <v>45748</v>
      </c>
      <c r="E37" s="45">
        <v>2025000</v>
      </c>
      <c r="F37" s="12">
        <v>0</v>
      </c>
      <c r="G37" s="12">
        <v>0</v>
      </c>
      <c r="H37" s="12">
        <v>0</v>
      </c>
      <c r="I37" s="12">
        <v>510000</v>
      </c>
      <c r="J37" s="13">
        <v>0</v>
      </c>
      <c r="K37" s="12">
        <v>0</v>
      </c>
      <c r="L37" s="13">
        <v>16</v>
      </c>
      <c r="M37" s="12">
        <v>1520625</v>
      </c>
      <c r="N37" s="12"/>
      <c r="O37" s="12"/>
      <c r="P37" s="12">
        <f t="shared" si="0"/>
        <v>2025000</v>
      </c>
      <c r="Q37" s="14">
        <f t="shared" si="1"/>
        <v>1.0027777777777778</v>
      </c>
      <c r="R37" s="11"/>
    </row>
    <row r="38" spans="1:18" x14ac:dyDescent="0.35">
      <c r="A38" s="11" t="s">
        <v>99</v>
      </c>
      <c r="B38" s="43">
        <v>45767</v>
      </c>
      <c r="C38" s="4" t="s">
        <v>61</v>
      </c>
      <c r="D38" s="44">
        <v>45748</v>
      </c>
      <c r="E38" s="45">
        <v>2725919.9999999995</v>
      </c>
      <c r="F38" s="12">
        <v>0</v>
      </c>
      <c r="G38" s="12">
        <v>0</v>
      </c>
      <c r="H38" s="12">
        <v>0</v>
      </c>
      <c r="I38" s="12"/>
      <c r="J38" s="13"/>
      <c r="K38" s="12"/>
      <c r="L38" s="13"/>
      <c r="M38" s="12"/>
      <c r="N38" s="12"/>
      <c r="O38" s="12"/>
      <c r="P38" s="12">
        <f t="shared" si="0"/>
        <v>2725919.9999999995</v>
      </c>
      <c r="Q38" s="14">
        <f t="shared" si="1"/>
        <v>0</v>
      </c>
      <c r="R38" s="11"/>
    </row>
    <row r="39" spans="1:18" x14ac:dyDescent="0.35">
      <c r="A39" s="11" t="s">
        <v>100</v>
      </c>
      <c r="B39" s="43">
        <v>45767</v>
      </c>
      <c r="C39" s="4" t="s">
        <v>61</v>
      </c>
      <c r="D39" s="44">
        <v>45748</v>
      </c>
      <c r="E39" s="45">
        <v>1910000</v>
      </c>
      <c r="F39" s="12">
        <v>0</v>
      </c>
      <c r="G39" s="12">
        <v>0</v>
      </c>
      <c r="H39" s="12">
        <v>0</v>
      </c>
      <c r="I39" s="12">
        <v>0</v>
      </c>
      <c r="J39" s="13">
        <v>39</v>
      </c>
      <c r="K39" s="12">
        <v>624000</v>
      </c>
      <c r="L39" s="13">
        <v>56</v>
      </c>
      <c r="M39" s="12">
        <v>1280000</v>
      </c>
      <c r="N39" s="12"/>
      <c r="O39" s="12"/>
      <c r="P39" s="12">
        <f t="shared" si="0"/>
        <v>1910000</v>
      </c>
      <c r="Q39" s="14">
        <f t="shared" si="1"/>
        <v>0.99685863874345548</v>
      </c>
      <c r="R39" s="11"/>
    </row>
    <row r="40" spans="1:18" x14ac:dyDescent="0.35">
      <c r="A40" s="11" t="s">
        <v>101</v>
      </c>
      <c r="B40" s="43">
        <v>45767</v>
      </c>
      <c r="C40" s="4" t="s">
        <v>61</v>
      </c>
      <c r="D40" s="44">
        <v>45748</v>
      </c>
      <c r="E40" s="45">
        <v>1268000</v>
      </c>
      <c r="F40" s="12">
        <v>0</v>
      </c>
      <c r="G40" s="12">
        <v>0</v>
      </c>
      <c r="H40" s="12">
        <v>0</v>
      </c>
      <c r="I40" s="12">
        <v>0</v>
      </c>
      <c r="J40" s="13">
        <v>30</v>
      </c>
      <c r="K40" s="12">
        <v>400000</v>
      </c>
      <c r="L40" s="13">
        <v>21</v>
      </c>
      <c r="M40" s="12">
        <v>868000</v>
      </c>
      <c r="N40" s="12"/>
      <c r="O40" s="12"/>
      <c r="P40" s="12">
        <f t="shared" si="0"/>
        <v>1268000</v>
      </c>
      <c r="Q40" s="14">
        <f t="shared" si="1"/>
        <v>1</v>
      </c>
      <c r="R40" s="11"/>
    </row>
    <row r="41" spans="1:18" x14ac:dyDescent="0.35">
      <c r="A41" s="11" t="s">
        <v>102</v>
      </c>
      <c r="B41" s="43">
        <v>45767</v>
      </c>
      <c r="C41" s="4" t="s">
        <v>61</v>
      </c>
      <c r="D41" s="44">
        <v>45748</v>
      </c>
      <c r="E41" s="45">
        <v>13750000.000000002</v>
      </c>
      <c r="F41" s="12">
        <v>0</v>
      </c>
      <c r="G41" s="12">
        <v>0</v>
      </c>
      <c r="H41" s="12">
        <v>0</v>
      </c>
      <c r="I41" s="12"/>
      <c r="J41" s="13"/>
      <c r="K41" s="12"/>
      <c r="L41" s="13"/>
      <c r="M41" s="12"/>
      <c r="N41" s="12"/>
      <c r="O41" s="12"/>
      <c r="P41" s="12">
        <f t="shared" si="0"/>
        <v>13750000.000000002</v>
      </c>
      <c r="Q41" s="14">
        <f t="shared" si="1"/>
        <v>0</v>
      </c>
      <c r="R41" s="11"/>
    </row>
    <row r="42" spans="1:18" x14ac:dyDescent="0.35">
      <c r="A42" s="11" t="s">
        <v>103</v>
      </c>
      <c r="B42" s="43">
        <v>45767</v>
      </c>
      <c r="C42" s="4" t="s">
        <v>61</v>
      </c>
      <c r="D42" s="44">
        <v>45748</v>
      </c>
      <c r="E42" s="45">
        <v>7300000</v>
      </c>
      <c r="F42" s="12">
        <v>0</v>
      </c>
      <c r="G42" s="12">
        <v>0</v>
      </c>
      <c r="H42" s="12">
        <v>0</v>
      </c>
      <c r="I42" s="12">
        <v>0</v>
      </c>
      <c r="J42" s="13">
        <v>150</v>
      </c>
      <c r="K42" s="12">
        <v>1800000</v>
      </c>
      <c r="L42" s="13">
        <v>0</v>
      </c>
      <c r="M42" s="12">
        <v>4956000</v>
      </c>
      <c r="N42" s="12"/>
      <c r="O42" s="12"/>
      <c r="P42" s="12">
        <f t="shared" si="0"/>
        <v>7300000</v>
      </c>
      <c r="Q42" s="14">
        <f t="shared" si="1"/>
        <v>0.92547945205479454</v>
      </c>
      <c r="R42" s="11"/>
    </row>
    <row r="43" spans="1:18" x14ac:dyDescent="0.35">
      <c r="A43" s="11" t="s">
        <v>104</v>
      </c>
      <c r="B43" s="43">
        <v>45767</v>
      </c>
      <c r="C43" s="4" t="s">
        <v>61</v>
      </c>
      <c r="D43" s="44">
        <v>45748</v>
      </c>
      <c r="E43" s="45">
        <v>2454000</v>
      </c>
      <c r="F43" s="12">
        <v>0</v>
      </c>
      <c r="G43" s="12">
        <v>0</v>
      </c>
      <c r="H43" s="12">
        <v>0</v>
      </c>
      <c r="I43" s="12">
        <v>0</v>
      </c>
      <c r="J43" s="13">
        <v>24</v>
      </c>
      <c r="K43" s="12">
        <v>69300</v>
      </c>
      <c r="L43" s="13">
        <v>15</v>
      </c>
      <c r="M43" s="12">
        <v>1761000</v>
      </c>
      <c r="N43" s="12"/>
      <c r="O43" s="12"/>
      <c r="P43" s="12">
        <f t="shared" si="0"/>
        <v>2454000</v>
      </c>
      <c r="Q43" s="14">
        <f t="shared" si="1"/>
        <v>0.74584352078239613</v>
      </c>
      <c r="R43" s="11"/>
    </row>
    <row r="44" spans="1:18" x14ac:dyDescent="0.35">
      <c r="A44" s="11" t="s">
        <v>105</v>
      </c>
      <c r="B44" s="43">
        <v>45767</v>
      </c>
      <c r="C44" s="4" t="s">
        <v>61</v>
      </c>
      <c r="D44" s="44">
        <v>45748</v>
      </c>
      <c r="E44" s="45">
        <v>2400000</v>
      </c>
      <c r="F44" s="12">
        <v>0</v>
      </c>
      <c r="G44" s="12">
        <v>0</v>
      </c>
      <c r="H44" s="12">
        <v>0</v>
      </c>
      <c r="I44" s="12">
        <v>1185000</v>
      </c>
      <c r="J44" s="13">
        <v>75</v>
      </c>
      <c r="K44" s="12">
        <v>0</v>
      </c>
      <c r="L44" s="13">
        <v>9</v>
      </c>
      <c r="M44" s="12">
        <v>944999.99999999988</v>
      </c>
      <c r="N44" s="12"/>
      <c r="O44" s="12"/>
      <c r="P44" s="12">
        <f t="shared" si="0"/>
        <v>2400000</v>
      </c>
      <c r="Q44" s="14">
        <f t="shared" si="1"/>
        <v>0.88749999999999996</v>
      </c>
      <c r="R44" s="11"/>
    </row>
    <row r="45" spans="1:18" x14ac:dyDescent="0.35">
      <c r="A45" s="11" t="s">
        <v>106</v>
      </c>
      <c r="B45" s="43">
        <v>45767</v>
      </c>
      <c r="C45" s="4" t="s">
        <v>61</v>
      </c>
      <c r="D45" s="44">
        <v>45748</v>
      </c>
      <c r="E45" s="45">
        <v>7515000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2">
        <v>0</v>
      </c>
      <c r="L45" s="13">
        <v>19</v>
      </c>
      <c r="M45" s="12">
        <v>8100000</v>
      </c>
      <c r="N45" s="12"/>
      <c r="O45" s="12"/>
      <c r="P45" s="12">
        <f t="shared" si="0"/>
        <v>7515000</v>
      </c>
      <c r="Q45" s="14">
        <f t="shared" si="1"/>
        <v>1.0778443113772456</v>
      </c>
      <c r="R45" s="11"/>
    </row>
    <row r="46" spans="1:18" ht="25" x14ac:dyDescent="0.35">
      <c r="A46" s="11" t="s">
        <v>107</v>
      </c>
      <c r="B46" s="43">
        <v>45767</v>
      </c>
      <c r="C46" s="4" t="s">
        <v>61</v>
      </c>
      <c r="D46" s="44">
        <v>45748</v>
      </c>
      <c r="E46" s="45">
        <v>840000</v>
      </c>
      <c r="F46" s="12">
        <v>0</v>
      </c>
      <c r="G46" s="12">
        <v>0</v>
      </c>
      <c r="H46" s="12">
        <v>0</v>
      </c>
      <c r="I46" s="12"/>
      <c r="J46" s="13"/>
      <c r="K46" s="12"/>
      <c r="L46" s="13"/>
      <c r="M46" s="12"/>
      <c r="N46" s="12"/>
      <c r="O46" s="12"/>
      <c r="P46" s="12">
        <f t="shared" si="0"/>
        <v>840000</v>
      </c>
      <c r="Q46" s="14">
        <f t="shared" si="1"/>
        <v>0</v>
      </c>
      <c r="R46" s="11"/>
    </row>
    <row r="47" spans="1:18" x14ac:dyDescent="0.35">
      <c r="A47" s="11" t="s">
        <v>108</v>
      </c>
      <c r="B47" s="43">
        <v>45767</v>
      </c>
      <c r="C47" s="4" t="s">
        <v>61</v>
      </c>
      <c r="D47" s="44">
        <v>45748</v>
      </c>
      <c r="E47" s="45">
        <v>560000</v>
      </c>
      <c r="F47" s="12">
        <v>0</v>
      </c>
      <c r="G47" s="12">
        <v>0</v>
      </c>
      <c r="H47" s="12">
        <v>0</v>
      </c>
      <c r="I47" s="12">
        <v>0</v>
      </c>
      <c r="J47" s="13">
        <v>3</v>
      </c>
      <c r="K47" s="12">
        <v>60000</v>
      </c>
      <c r="L47" s="13">
        <v>2</v>
      </c>
      <c r="M47" s="12">
        <v>500000</v>
      </c>
      <c r="N47" s="12"/>
      <c r="O47" s="12"/>
      <c r="P47" s="12">
        <f t="shared" si="0"/>
        <v>560000</v>
      </c>
      <c r="Q47" s="14">
        <f t="shared" si="1"/>
        <v>1</v>
      </c>
      <c r="R47" s="11"/>
    </row>
    <row r="48" spans="1:18" x14ac:dyDescent="0.35">
      <c r="A48" s="11" t="s">
        <v>109</v>
      </c>
      <c r="B48" s="43">
        <v>45767</v>
      </c>
      <c r="C48" s="4" t="s">
        <v>61</v>
      </c>
      <c r="D48" s="44">
        <v>45748</v>
      </c>
      <c r="E48" s="45">
        <v>0</v>
      </c>
      <c r="F48" s="12">
        <v>0</v>
      </c>
      <c r="G48" s="12">
        <v>0</v>
      </c>
      <c r="H48" s="12">
        <v>0</v>
      </c>
      <c r="I48" s="12"/>
      <c r="J48" s="13"/>
      <c r="K48" s="12"/>
      <c r="L48" s="13"/>
      <c r="M48" s="12"/>
      <c r="N48" s="12"/>
      <c r="O48" s="12"/>
      <c r="P48" s="12">
        <f t="shared" si="0"/>
        <v>0</v>
      </c>
      <c r="Q48" s="14" t="e">
        <f t="shared" si="1"/>
        <v>#DIV/0!</v>
      </c>
      <c r="R48" s="11"/>
    </row>
    <row r="49" spans="1:18" x14ac:dyDescent="0.35">
      <c r="A49" s="11" t="s">
        <v>110</v>
      </c>
      <c r="B49" s="43">
        <v>45767</v>
      </c>
      <c r="C49" s="4" t="s">
        <v>61</v>
      </c>
      <c r="D49" s="44">
        <v>45748</v>
      </c>
      <c r="E49" s="45">
        <v>1508000</v>
      </c>
      <c r="F49" s="12">
        <v>0</v>
      </c>
      <c r="G49" s="12">
        <v>0</v>
      </c>
      <c r="H49" s="12">
        <v>0</v>
      </c>
      <c r="I49" s="12"/>
      <c r="J49" s="13"/>
      <c r="K49" s="12"/>
      <c r="L49" s="13"/>
      <c r="M49" s="12"/>
      <c r="N49" s="12"/>
      <c r="O49" s="12"/>
      <c r="P49" s="12">
        <f t="shared" si="0"/>
        <v>1508000</v>
      </c>
      <c r="Q49" s="14">
        <f t="shared" si="1"/>
        <v>0</v>
      </c>
      <c r="R49" s="11"/>
    </row>
    <row r="50" spans="1:18" x14ac:dyDescent="0.35">
      <c r="A50" s="11" t="s">
        <v>111</v>
      </c>
      <c r="B50" s="43">
        <v>45767</v>
      </c>
      <c r="C50" s="4" t="s">
        <v>61</v>
      </c>
      <c r="D50" s="44">
        <v>45748</v>
      </c>
      <c r="E50" s="45">
        <v>400000</v>
      </c>
      <c r="F50" s="12">
        <v>0</v>
      </c>
      <c r="G50" s="12">
        <v>0</v>
      </c>
      <c r="H50" s="12">
        <v>0</v>
      </c>
      <c r="I50" s="12">
        <v>0</v>
      </c>
      <c r="J50" s="13">
        <v>0</v>
      </c>
      <c r="K50" s="12">
        <v>0</v>
      </c>
      <c r="L50" s="13">
        <v>3</v>
      </c>
      <c r="M50" s="12">
        <v>400000</v>
      </c>
      <c r="N50" s="12"/>
      <c r="O50" s="12"/>
      <c r="P50" s="12">
        <f t="shared" si="0"/>
        <v>400000</v>
      </c>
      <c r="Q50" s="14">
        <f t="shared" si="1"/>
        <v>1</v>
      </c>
      <c r="R50" s="11"/>
    </row>
    <row r="51" spans="1:18" x14ac:dyDescent="0.35">
      <c r="A51" s="11" t="s">
        <v>112</v>
      </c>
      <c r="B51" s="43">
        <v>45767</v>
      </c>
      <c r="C51" s="4" t="s">
        <v>61</v>
      </c>
      <c r="D51" s="44">
        <v>45748</v>
      </c>
      <c r="E51" s="45">
        <v>0</v>
      </c>
      <c r="F51" s="12">
        <v>0</v>
      </c>
      <c r="G51" s="12">
        <v>0</v>
      </c>
      <c r="H51" s="12">
        <v>0</v>
      </c>
      <c r="I51" s="12"/>
      <c r="J51" s="13"/>
      <c r="K51" s="12"/>
      <c r="L51" s="13"/>
      <c r="M51" s="12"/>
      <c r="N51" s="12"/>
      <c r="O51" s="12"/>
      <c r="P51" s="12">
        <f t="shared" si="0"/>
        <v>0</v>
      </c>
      <c r="Q51" s="14" t="e">
        <f t="shared" si="1"/>
        <v>#DIV/0!</v>
      </c>
      <c r="R51" s="11"/>
    </row>
    <row r="52" spans="1:18" ht="25" x14ac:dyDescent="0.35">
      <c r="A52" s="11" t="s">
        <v>113</v>
      </c>
      <c r="B52" s="43">
        <v>45767</v>
      </c>
      <c r="C52" s="4" t="s">
        <v>61</v>
      </c>
      <c r="D52" s="44">
        <v>45748</v>
      </c>
      <c r="E52" s="45">
        <v>300000</v>
      </c>
      <c r="F52" s="12">
        <v>0</v>
      </c>
      <c r="G52" s="12">
        <v>0</v>
      </c>
      <c r="H52" s="12">
        <v>0</v>
      </c>
      <c r="I52" s="12"/>
      <c r="J52" s="13"/>
      <c r="K52" s="12"/>
      <c r="L52" s="13"/>
      <c r="M52" s="12"/>
      <c r="N52" s="12"/>
      <c r="O52" s="12"/>
      <c r="P52" s="12">
        <f t="shared" si="0"/>
        <v>300000</v>
      </c>
      <c r="Q52" s="14">
        <f t="shared" si="1"/>
        <v>0</v>
      </c>
      <c r="R52" s="11"/>
    </row>
    <row r="53" spans="1:18" x14ac:dyDescent="0.35">
      <c r="A53" s="11" t="s">
        <v>114</v>
      </c>
      <c r="B53" s="43">
        <v>45767</v>
      </c>
      <c r="C53" s="4" t="s">
        <v>61</v>
      </c>
      <c r="D53" s="44">
        <v>45748</v>
      </c>
      <c r="E53" s="45">
        <v>3050000</v>
      </c>
      <c r="F53" s="12">
        <v>0</v>
      </c>
      <c r="G53" s="12">
        <v>0</v>
      </c>
      <c r="H53" s="12">
        <v>0</v>
      </c>
      <c r="I53" s="12">
        <v>0</v>
      </c>
      <c r="J53" s="13">
        <v>200</v>
      </c>
      <c r="K53" s="12">
        <v>1400000</v>
      </c>
      <c r="L53" s="13">
        <v>35</v>
      </c>
      <c r="M53" s="12">
        <v>1650000</v>
      </c>
      <c r="N53" s="12"/>
      <c r="O53" s="12"/>
      <c r="P53" s="12">
        <f t="shared" si="0"/>
        <v>3050000</v>
      </c>
      <c r="Q53" s="14">
        <f t="shared" si="1"/>
        <v>1</v>
      </c>
      <c r="R53" s="11"/>
    </row>
    <row r="54" spans="1:18" ht="25" x14ac:dyDescent="0.35">
      <c r="A54" s="11" t="s">
        <v>115</v>
      </c>
      <c r="B54" s="43">
        <v>45767</v>
      </c>
      <c r="C54" s="4" t="s">
        <v>61</v>
      </c>
      <c r="D54" s="44">
        <v>45748</v>
      </c>
      <c r="E54" s="45">
        <v>150000</v>
      </c>
      <c r="F54" s="12">
        <v>0</v>
      </c>
      <c r="G54" s="12">
        <v>0</v>
      </c>
      <c r="H54" s="12">
        <v>0</v>
      </c>
      <c r="I54" s="12">
        <v>0</v>
      </c>
      <c r="J54" s="13">
        <v>0</v>
      </c>
      <c r="K54" s="12">
        <v>0</v>
      </c>
      <c r="L54" s="13">
        <v>1</v>
      </c>
      <c r="M54" s="12">
        <v>75000</v>
      </c>
      <c r="N54" s="12"/>
      <c r="O54" s="12"/>
      <c r="P54" s="12">
        <f t="shared" si="0"/>
        <v>150000</v>
      </c>
      <c r="Q54" s="14">
        <f t="shared" si="1"/>
        <v>0.5</v>
      </c>
      <c r="R54" s="11"/>
    </row>
    <row r="55" spans="1:18" x14ac:dyDescent="0.35">
      <c r="A55" s="11" t="s">
        <v>116</v>
      </c>
      <c r="B55" s="43">
        <v>45767</v>
      </c>
      <c r="C55" s="4" t="s">
        <v>61</v>
      </c>
      <c r="D55" s="44">
        <v>45748</v>
      </c>
      <c r="E55" s="45">
        <v>160000</v>
      </c>
      <c r="F55" s="12">
        <v>0</v>
      </c>
      <c r="G55" s="12">
        <v>0</v>
      </c>
      <c r="H55" s="12">
        <v>0</v>
      </c>
      <c r="I55" s="12"/>
      <c r="J55" s="13"/>
      <c r="K55" s="12"/>
      <c r="L55" s="13"/>
      <c r="M55" s="12"/>
      <c r="N55" s="12"/>
      <c r="O55" s="12"/>
      <c r="P55" s="12">
        <f t="shared" si="0"/>
        <v>160000</v>
      </c>
      <c r="Q55" s="14">
        <f t="shared" si="1"/>
        <v>0</v>
      </c>
      <c r="R55" s="11"/>
    </row>
    <row r="56" spans="1:18" x14ac:dyDescent="0.35">
      <c r="A56" s="11" t="s">
        <v>117</v>
      </c>
      <c r="B56" s="43">
        <v>45767</v>
      </c>
      <c r="C56" s="4" t="s">
        <v>61</v>
      </c>
      <c r="D56" s="44">
        <v>45748</v>
      </c>
      <c r="E56" s="45">
        <v>0</v>
      </c>
      <c r="F56" s="12">
        <v>0</v>
      </c>
      <c r="G56" s="12">
        <v>0</v>
      </c>
      <c r="H56" s="12">
        <v>0</v>
      </c>
      <c r="I56" s="12"/>
      <c r="J56" s="13"/>
      <c r="K56" s="12"/>
      <c r="L56" s="13"/>
      <c r="M56" s="12"/>
      <c r="N56" s="12"/>
      <c r="O56" s="12"/>
      <c r="P56" s="12">
        <f t="shared" si="0"/>
        <v>0</v>
      </c>
      <c r="Q56" s="14" t="e">
        <f t="shared" si="1"/>
        <v>#DIV/0!</v>
      </c>
      <c r="R56" s="11"/>
    </row>
    <row r="57" spans="1:18" x14ac:dyDescent="0.35">
      <c r="A57" s="11" t="s">
        <v>118</v>
      </c>
      <c r="B57" s="43">
        <v>45767</v>
      </c>
      <c r="C57" s="4" t="s">
        <v>61</v>
      </c>
      <c r="D57" s="44">
        <v>45748</v>
      </c>
      <c r="E57" s="45">
        <v>400000</v>
      </c>
      <c r="F57" s="12">
        <v>0</v>
      </c>
      <c r="G57" s="12">
        <v>0</v>
      </c>
      <c r="H57" s="12">
        <v>0</v>
      </c>
      <c r="I57" s="12">
        <v>400000</v>
      </c>
      <c r="J57" s="13">
        <v>0</v>
      </c>
      <c r="K57" s="12">
        <v>0</v>
      </c>
      <c r="L57" s="13">
        <v>0</v>
      </c>
      <c r="M57" s="12">
        <v>0</v>
      </c>
      <c r="N57" s="12"/>
      <c r="O57" s="12"/>
      <c r="P57" s="12">
        <f t="shared" si="0"/>
        <v>400000</v>
      </c>
      <c r="Q57" s="14">
        <f t="shared" si="1"/>
        <v>1</v>
      </c>
      <c r="R57" s="11"/>
    </row>
    <row r="58" spans="1:18" x14ac:dyDescent="0.35">
      <c r="A58" s="11"/>
      <c r="B58" s="4"/>
      <c r="C58" s="4"/>
      <c r="D58" s="4"/>
      <c r="E58" s="12"/>
      <c r="F58" s="12"/>
      <c r="G58" s="12"/>
      <c r="H58" s="12"/>
      <c r="I58" s="12"/>
      <c r="J58" s="13"/>
      <c r="K58" s="12"/>
      <c r="L58" s="13"/>
      <c r="M58" s="12"/>
      <c r="N58" s="12"/>
      <c r="O58" s="12"/>
      <c r="P58" s="12">
        <f t="shared" si="0"/>
        <v>0</v>
      </c>
      <c r="Q58" s="12"/>
      <c r="R58" s="11"/>
    </row>
    <row r="59" spans="1:18" x14ac:dyDescent="0.35">
      <c r="A59" s="11" t="s">
        <v>65</v>
      </c>
      <c r="B59" s="11" t="s">
        <v>65</v>
      </c>
      <c r="C59" s="11"/>
      <c r="D59" s="11" t="s">
        <v>65</v>
      </c>
      <c r="E59" s="11" t="s">
        <v>65</v>
      </c>
      <c r="F59" s="11" t="s">
        <v>65</v>
      </c>
      <c r="G59" s="11" t="s">
        <v>65</v>
      </c>
      <c r="H59" s="11" t="s">
        <v>65</v>
      </c>
      <c r="I59" s="11" t="s">
        <v>65</v>
      </c>
      <c r="J59" s="11" t="s">
        <v>65</v>
      </c>
      <c r="K59" s="11" t="s">
        <v>65</v>
      </c>
      <c r="L59" s="11" t="s">
        <v>65</v>
      </c>
      <c r="M59" s="11" t="s">
        <v>65</v>
      </c>
      <c r="N59" s="11" t="s">
        <v>65</v>
      </c>
      <c r="O59" s="11" t="s">
        <v>65</v>
      </c>
      <c r="P59" s="12"/>
      <c r="Q59" s="14"/>
      <c r="R59" s="11"/>
    </row>
    <row r="60" spans="1:18" x14ac:dyDescent="0.35">
      <c r="A60" s="11"/>
      <c r="B60" s="4"/>
      <c r="C60" s="4"/>
      <c r="D60" s="4"/>
      <c r="E60" s="12"/>
      <c r="F60" s="12"/>
      <c r="G60" s="12"/>
      <c r="H60" s="12"/>
      <c r="I60" s="12"/>
      <c r="J60" s="13"/>
      <c r="K60" s="12"/>
      <c r="L60" s="13"/>
      <c r="M60" s="12"/>
      <c r="N60" s="12"/>
      <c r="O60" s="12"/>
      <c r="P60" s="12"/>
      <c r="Q60" s="14"/>
      <c r="R60" s="11"/>
    </row>
    <row r="61" spans="1:18" x14ac:dyDescent="0.35">
      <c r="A61" s="11"/>
      <c r="B61" s="4"/>
      <c r="C61" s="4"/>
      <c r="D61" s="4"/>
      <c r="E61" s="12"/>
      <c r="F61" s="12"/>
      <c r="G61" s="12"/>
      <c r="H61" s="12"/>
      <c r="I61" s="12"/>
      <c r="J61" s="13"/>
      <c r="K61" s="12"/>
      <c r="L61" s="13"/>
      <c r="M61" s="12"/>
      <c r="N61" s="12"/>
      <c r="O61" s="12"/>
      <c r="P61" s="12"/>
      <c r="Q61" s="14"/>
      <c r="R61" s="11"/>
    </row>
    <row r="62" spans="1:18" x14ac:dyDescent="0.35">
      <c r="A62" s="1" t="s">
        <v>19</v>
      </c>
      <c r="B62" s="6"/>
      <c r="C62" s="6"/>
      <c r="D62" s="6"/>
      <c r="E62" s="7">
        <f t="shared" ref="E62:M62" si="2">SUM(E4:E8)</f>
        <v>60550000</v>
      </c>
      <c r="F62" s="7">
        <f t="shared" si="2"/>
        <v>0</v>
      </c>
      <c r="G62" s="7">
        <f t="shared" si="2"/>
        <v>0</v>
      </c>
      <c r="H62" s="7">
        <f t="shared" si="2"/>
        <v>0</v>
      </c>
      <c r="I62" s="7">
        <f t="shared" si="2"/>
        <v>14181927</v>
      </c>
      <c r="J62" s="8">
        <f t="shared" si="2"/>
        <v>327</v>
      </c>
      <c r="K62" s="7">
        <f t="shared" si="2"/>
        <v>6984000</v>
      </c>
      <c r="L62" s="8">
        <f t="shared" si="2"/>
        <v>1284</v>
      </c>
      <c r="M62" s="7">
        <f t="shared" si="2"/>
        <v>39428000</v>
      </c>
      <c r="N62" s="7"/>
      <c r="O62" s="7"/>
      <c r="P62" s="7">
        <f>SUM(P4:P8)</f>
        <v>60550000</v>
      </c>
      <c r="Q62" s="9">
        <f t="shared" ref="Q4:Q62" si="3">IF(E62=0,0,M62/E62)</f>
        <v>0.65116432700247728</v>
      </c>
      <c r="R62" s="6"/>
    </row>
    <row r="64" spans="1:18" ht="15" customHeight="1" x14ac:dyDescent="0.35">
      <c r="A64" s="34" t="s">
        <v>26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</row>
    <row r="65" spans="1:1" x14ac:dyDescent="0.35">
      <c r="A65" t="s">
        <v>27</v>
      </c>
    </row>
  </sheetData>
  <mergeCells count="2">
    <mergeCell ref="A1:R2"/>
    <mergeCell ref="A64:R6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F18"/>
  <sheetViews>
    <sheetView showGridLines="0" zoomScaleNormal="100" workbookViewId="0">
      <selection sqref="A1:F2"/>
    </sheetView>
  </sheetViews>
  <sheetFormatPr defaultColWidth="8.54296875" defaultRowHeight="14.5" x14ac:dyDescent="0.35"/>
  <cols>
    <col min="1" max="1" width="5" customWidth="1"/>
    <col min="2" max="2" width="25" customWidth="1"/>
    <col min="3" max="3" width="55" customWidth="1"/>
    <col min="4" max="4" width="60" customWidth="1"/>
  </cols>
  <sheetData>
    <row r="1" spans="1:6" ht="19.5" customHeight="1" x14ac:dyDescent="0.35">
      <c r="A1" s="42" t="s">
        <v>28</v>
      </c>
      <c r="B1" s="42"/>
      <c r="C1" s="42"/>
      <c r="D1" s="42"/>
      <c r="E1" s="42"/>
      <c r="F1" s="42"/>
    </row>
    <row r="2" spans="1:6" ht="19.5" customHeight="1" x14ac:dyDescent="0.35">
      <c r="A2" s="42"/>
      <c r="B2" s="42"/>
      <c r="C2" s="42"/>
      <c r="D2" s="42"/>
      <c r="E2" s="42"/>
      <c r="F2" s="42"/>
    </row>
    <row r="4" spans="1:6" ht="18" customHeight="1" x14ac:dyDescent="0.35">
      <c r="B4" s="18" t="s">
        <v>29</v>
      </c>
      <c r="C4" s="19" t="s">
        <v>30</v>
      </c>
      <c r="D4" s="20" t="s">
        <v>31</v>
      </c>
    </row>
    <row r="5" spans="1:6" ht="18" customHeight="1" x14ac:dyDescent="0.35">
      <c r="B5" s="21" t="s">
        <v>29</v>
      </c>
      <c r="C5" s="22" t="s">
        <v>32</v>
      </c>
      <c r="D5" s="23" t="s">
        <v>33</v>
      </c>
    </row>
    <row r="6" spans="1:6" ht="18" customHeight="1" x14ac:dyDescent="0.35">
      <c r="B6" s="24"/>
      <c r="C6" s="19"/>
      <c r="D6" s="20"/>
    </row>
    <row r="7" spans="1:6" ht="18" customHeight="1" x14ac:dyDescent="0.35">
      <c r="B7" s="21" t="s">
        <v>34</v>
      </c>
      <c r="C7" s="22" t="s">
        <v>35</v>
      </c>
      <c r="D7" s="23" t="s">
        <v>36</v>
      </c>
    </row>
    <row r="8" spans="1:6" ht="18" customHeight="1" x14ac:dyDescent="0.35">
      <c r="B8" s="18" t="s">
        <v>34</v>
      </c>
      <c r="C8" s="19" t="s">
        <v>37</v>
      </c>
      <c r="D8" s="20" t="s">
        <v>38</v>
      </c>
    </row>
    <row r="9" spans="1:6" ht="18" customHeight="1" x14ac:dyDescent="0.35">
      <c r="B9" s="21" t="s">
        <v>34</v>
      </c>
      <c r="C9" s="22" t="s">
        <v>39</v>
      </c>
      <c r="D9" s="23" t="s">
        <v>40</v>
      </c>
    </row>
    <row r="10" spans="1:6" ht="18" customHeight="1" x14ac:dyDescent="0.35">
      <c r="B10" s="18" t="s">
        <v>34</v>
      </c>
      <c r="C10" s="19" t="s">
        <v>41</v>
      </c>
      <c r="D10" s="20" t="s">
        <v>42</v>
      </c>
    </row>
    <row r="11" spans="1:6" ht="18" customHeight="1" x14ac:dyDescent="0.35">
      <c r="B11" s="25"/>
      <c r="C11" s="22"/>
      <c r="D11" s="23"/>
    </row>
    <row r="12" spans="1:6" ht="18" customHeight="1" x14ac:dyDescent="0.35">
      <c r="B12" s="18" t="s">
        <v>43</v>
      </c>
      <c r="C12" s="19" t="s">
        <v>44</v>
      </c>
      <c r="D12" s="20" t="s">
        <v>45</v>
      </c>
    </row>
    <row r="13" spans="1:6" ht="18" customHeight="1" x14ac:dyDescent="0.35">
      <c r="B13" s="21" t="s">
        <v>43</v>
      </c>
      <c r="C13" s="22" t="s">
        <v>46</v>
      </c>
      <c r="D13" s="23" t="s">
        <v>47</v>
      </c>
    </row>
    <row r="14" spans="1:6" ht="18" customHeight="1" x14ac:dyDescent="0.35">
      <c r="B14" s="18" t="s">
        <v>43</v>
      </c>
      <c r="C14" s="19" t="s">
        <v>48</v>
      </c>
      <c r="D14" s="20" t="s">
        <v>49</v>
      </c>
    </row>
    <row r="15" spans="1:6" ht="18" customHeight="1" x14ac:dyDescent="0.35">
      <c r="B15" s="21" t="s">
        <v>43</v>
      </c>
      <c r="C15" s="22" t="s">
        <v>50</v>
      </c>
      <c r="D15" s="23" t="s">
        <v>51</v>
      </c>
    </row>
    <row r="16" spans="1:6" ht="18" customHeight="1" x14ac:dyDescent="0.35">
      <c r="B16" s="18" t="s">
        <v>43</v>
      </c>
      <c r="C16" s="19" t="s">
        <v>52</v>
      </c>
      <c r="D16" s="20" t="s">
        <v>53</v>
      </c>
    </row>
    <row r="17" spans="2:4" ht="18" customHeight="1" x14ac:dyDescent="0.35">
      <c r="B17" s="21" t="s">
        <v>43</v>
      </c>
      <c r="C17" s="22" t="s">
        <v>54</v>
      </c>
      <c r="D17" s="23" t="s">
        <v>55</v>
      </c>
    </row>
    <row r="18" spans="2:4" ht="18" customHeight="1" x14ac:dyDescent="0.35">
      <c r="B18" s="18" t="s">
        <v>43</v>
      </c>
      <c r="C18" s="19" t="s">
        <v>18</v>
      </c>
      <c r="D18" s="20" t="s">
        <v>56</v>
      </c>
    </row>
  </sheetData>
  <mergeCells count="1">
    <mergeCell ref="A1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Revenue Forecast Data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Baljeet Singh</cp:lastModifiedBy>
  <cp:revision>1</cp:revision>
  <dcterms:created xsi:type="dcterms:W3CDTF">2026-03-31T13:39:34Z</dcterms:created>
  <dcterms:modified xsi:type="dcterms:W3CDTF">2026-04-21T14:03:28Z</dcterms:modified>
  <cp:category/>
  <cp:contentStatus/>
</cp:coreProperties>
</file>