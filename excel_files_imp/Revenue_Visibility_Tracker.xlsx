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36" documentId="8_{0A30E043-C70B-4BA4-86EE-92F3759BED22}" xr6:coauthVersionLast="47" xr6:coauthVersionMax="47" xr10:uidLastSave="{17295FBB-1E60-4306-8D0B-A5442087D59B}"/>
  <bookViews>
    <workbookView xWindow="-110" yWindow="-110" windowWidth="19420" windowHeight="11500" tabRatio="500" activeTab="1" xr2:uid="{00000000-000D-0000-FFFF-FFFF00000000}"/>
  </bookViews>
  <sheets>
    <sheet name="Summary Dashboard" sheetId="2" r:id="rId1"/>
    <sheet name="Revenue Tracker" sheetId="1" r:id="rId2"/>
    <sheet name="Legend &amp; Guide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8" i="1" l="1"/>
  <c r="I58" i="1"/>
  <c r="H58" i="1"/>
  <c r="I5" i="2" s="1"/>
  <c r="G58" i="1"/>
  <c r="E9" i="2" s="1"/>
  <c r="F58" i="1"/>
  <c r="E5" i="2" s="1"/>
  <c r="E58" i="1"/>
  <c r="A9" i="2" s="1"/>
  <c r="D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M44" i="1"/>
  <c r="L44" i="1"/>
  <c r="N44" i="1" s="1"/>
  <c r="K44" i="1"/>
  <c r="N43" i="1"/>
  <c r="M43" i="1"/>
  <c r="L43" i="1"/>
  <c r="K43" i="1"/>
  <c r="N42" i="1"/>
  <c r="N41" i="1"/>
  <c r="M41" i="1"/>
  <c r="N40" i="1"/>
  <c r="M40" i="1"/>
  <c r="L40" i="1"/>
  <c r="K40" i="1"/>
  <c r="N39" i="1"/>
  <c r="M39" i="1"/>
  <c r="L39" i="1"/>
  <c r="K39" i="1"/>
  <c r="N38" i="1"/>
  <c r="M38" i="1"/>
  <c r="L38" i="1"/>
  <c r="K38" i="1"/>
  <c r="M8" i="1"/>
  <c r="K24" i="2" s="1"/>
  <c r="L8" i="1"/>
  <c r="N8" i="1" s="1"/>
  <c r="L24" i="2" s="1"/>
  <c r="K8" i="1"/>
  <c r="M7" i="1"/>
  <c r="K23" i="2" s="1"/>
  <c r="L7" i="1"/>
  <c r="J23" i="2" s="1"/>
  <c r="K7" i="1"/>
  <c r="I23" i="2" s="1"/>
  <c r="M6" i="1"/>
  <c r="K22" i="2" s="1"/>
  <c r="L6" i="1"/>
  <c r="N6" i="1" s="1"/>
  <c r="L22" i="2" s="1"/>
  <c r="K6" i="1"/>
  <c r="I22" i="2" s="1"/>
  <c r="M5" i="1"/>
  <c r="L5" i="1"/>
  <c r="J21" i="2" s="1"/>
  <c r="K5" i="1"/>
  <c r="I21" i="2" s="1"/>
  <c r="M4" i="1"/>
  <c r="K20" i="2" s="1"/>
  <c r="L4" i="1"/>
  <c r="N4" i="1" s="1"/>
  <c r="L20" i="2" s="1"/>
  <c r="K4" i="1"/>
  <c r="I20" i="2" s="1"/>
  <c r="I24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K21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I9" i="2"/>
  <c r="D25" i="2" l="1"/>
  <c r="J22" i="2"/>
  <c r="E25" i="2"/>
  <c r="J24" i="2"/>
  <c r="K25" i="2"/>
  <c r="F25" i="2"/>
  <c r="N7" i="1"/>
  <c r="L23" i="2" s="1"/>
  <c r="G25" i="2"/>
  <c r="H25" i="2"/>
  <c r="J20" i="2"/>
  <c r="C25" i="2"/>
  <c r="M58" i="1"/>
  <c r="I14" i="2" s="1"/>
  <c r="K58" i="1"/>
  <c r="A14" i="2" s="1"/>
  <c r="L58" i="1"/>
  <c r="E14" i="2" s="1"/>
  <c r="N5" i="1"/>
  <c r="L21" i="2" s="1"/>
  <c r="A5" i="2"/>
  <c r="I25" i="2" l="1"/>
  <c r="J25" i="2"/>
</calcChain>
</file>

<file path=xl/sharedStrings.xml><?xml version="1.0" encoding="utf-8"?>
<sst xmlns="http://schemas.openxmlformats.org/spreadsheetml/2006/main" count="192" uniqueCount="154">
  <si>
    <t>REVENUE VISIBILITY – SUMMARY DASHBOARD</t>
  </si>
  <si>
    <t>Auto-refreshes from Revenue Tracker sheet</t>
  </si>
  <si>
    <t>💰 Total MMF (₹)</t>
  </si>
  <si>
    <t>📥 Opening Fee (₹)</t>
  </si>
  <si>
    <t>✅ Joining Fee (₹)</t>
  </si>
  <si>
    <t>📋 Open Requisitions</t>
  </si>
  <si>
    <t>🤝 Total Joiners</t>
  </si>
  <si>
    <t>⏳ Yet to Join</t>
  </si>
  <si>
    <t>🔄 Overall Conversion %</t>
  </si>
  <si>
    <t>📈 Revenue Realised %</t>
  </si>
  <si>
    <t>⚠️ Gap to MMF (₹)</t>
  </si>
  <si>
    <t>PROJECT-WISE REVENUE SUMMARY</t>
  </si>
  <si>
    <t>#</t>
  </si>
  <si>
    <t>Project Name</t>
  </si>
  <si>
    <t>Open Req</t>
  </si>
  <si>
    <t>Opening Fee (₹)</t>
  </si>
  <si>
    <t>Joiners</t>
  </si>
  <si>
    <t>Joining Fee (₹)</t>
  </si>
  <si>
    <t>YTJ</t>
  </si>
  <si>
    <t>YTJ Fee (₹)</t>
  </si>
  <si>
    <t>Conv %</t>
  </si>
  <si>
    <t>Rev %</t>
  </si>
  <si>
    <t>Gap to MMF (₹)</t>
  </si>
  <si>
    <t>Status</t>
  </si>
  <si>
    <t>TOTAL</t>
  </si>
  <si>
    <t>💡 Note: All figures auto-linked from 'Revenue Tracker' sheet. Update tracker data to refresh dashboard.</t>
  </si>
  <si>
    <t>REVENUE VISIBILITY TRACKER</t>
  </si>
  <si>
    <t>RPO Revenue Pipeline | Taggd</t>
  </si>
  <si>
    <t>Updated
Date</t>
  </si>
  <si>
    <t>Project
Name</t>
  </si>
  <si>
    <t>PH Name</t>
  </si>
  <si>
    <t>MMF
(₹)</t>
  </si>
  <si>
    <t>Open
Req</t>
  </si>
  <si>
    <t>Opening
Fee (₹)</t>
  </si>
  <si>
    <t>Joiners
as on Date</t>
  </si>
  <si>
    <t>Joining
Fee (₹)</t>
  </si>
  <si>
    <t>Yet to
Join</t>
  </si>
  <si>
    <t>YTJ Fee
(₹)</t>
  </si>
  <si>
    <t>Conversion
Rate %</t>
  </si>
  <si>
    <t>Revenue
Realised %</t>
  </si>
  <si>
    <t>Gap to
MMF (₹)</t>
  </si>
  <si>
    <t>Optum – Tech Hiring</t>
  </si>
  <si>
    <t>Priya Sharma</t>
  </si>
  <si>
    <t>GRAND TOTAL</t>
  </si>
  <si>
    <t>📝 Instructions: Enter data from row 4 onwards. Columns K, L, M, N are auto-calculated. MMF = Monthly Monetisation Forecast. YTJ = Yet to Join.</t>
  </si>
  <si>
    <t>FIELD DEFINITIONS &amp; GUIDE</t>
  </si>
  <si>
    <t>Field</t>
  </si>
  <si>
    <t>Definition</t>
  </si>
  <si>
    <t>Example</t>
  </si>
  <si>
    <t>Notes</t>
  </si>
  <si>
    <t>Color Code</t>
  </si>
  <si>
    <t>Updated Date</t>
  </si>
  <si>
    <t>Date when record was last updated</t>
  </si>
  <si>
    <t>01-Apr-25</t>
  </si>
  <si>
    <t>DD-MMM-YY format</t>
  </si>
  <si>
    <t>—</t>
  </si>
  <si>
    <t>Client / Project identifier</t>
  </si>
  <si>
    <t>Free text</t>
  </si>
  <si>
    <t>Pursuit Head / Account Manager Name</t>
  </si>
  <si>
    <t>MMF (₹)</t>
  </si>
  <si>
    <t>Monthly Monetisation Forecast in Rupees</t>
  </si>
  <si>
    <t>₹5,00,000</t>
  </si>
  <si>
    <t>Blue text = input</t>
  </si>
  <si>
    <t>Blue</t>
  </si>
  <si>
    <t>Number of open requisitions</t>
  </si>
  <si>
    <t>12</t>
  </si>
  <si>
    <t>Total fee potential for open reqs</t>
  </si>
  <si>
    <t>₹4,80,000</t>
  </si>
  <si>
    <t>Joiners as on Date</t>
  </si>
  <si>
    <t>Candidates who have joined till date</t>
  </si>
  <si>
    <t>7</t>
  </si>
  <si>
    <t>Fee realised from joiners</t>
  </si>
  <si>
    <t>₹2,80,000</t>
  </si>
  <si>
    <t>Yet to Join (YTJ)</t>
  </si>
  <si>
    <t>Offered/selected but not yet joined</t>
  </si>
  <si>
    <t>5</t>
  </si>
  <si>
    <t>Potential fee from YTJ candidates</t>
  </si>
  <si>
    <t>₹2,00,000</t>
  </si>
  <si>
    <t>Conversion Rate %</t>
  </si>
  <si>
    <t>Joiners / Open Req</t>
  </si>
  <si>
    <t>58.3%</t>
  </si>
  <si>
    <t>Auto-calculated</t>
  </si>
  <si>
    <t>Black</t>
  </si>
  <si>
    <t>Revenue Realised %</t>
  </si>
  <si>
    <t>Joining Fee / MMF</t>
  </si>
  <si>
    <t>56.0%</t>
  </si>
  <si>
    <t>MMF – (Joining Fee + YTJ Fee)</t>
  </si>
  <si>
    <t>₹20,000</t>
  </si>
  <si>
    <t>Target Met / On Track / At Risk</t>
  </si>
  <si>
    <t>🟡 On Track</t>
  </si>
  <si>
    <t>STATUS COLOUR GUIDE</t>
  </si>
  <si>
    <t>✅ Target Met</t>
  </si>
  <si>
    <t>Revenue Realised ≥ 100% of MMF</t>
  </si>
  <si>
    <t>Revenue Realised ≥ 60% of MMF</t>
  </si>
  <si>
    <t>🔴 At Risk</t>
  </si>
  <si>
    <t>Revenue Realised &lt; 60% of MMF</t>
  </si>
  <si>
    <t>* Manadatory</t>
  </si>
  <si>
    <t>* Drop dwon from Ph List</t>
  </si>
  <si>
    <t>* Auto Populated</t>
  </si>
  <si>
    <t>* Non manadatory</t>
  </si>
  <si>
    <t>Honeywell</t>
  </si>
  <si>
    <t>Pfizer</t>
  </si>
  <si>
    <t>SKF India</t>
  </si>
  <si>
    <t>Siemens (Advatnta &amp; GBS)</t>
  </si>
  <si>
    <t>Siemens Energy</t>
  </si>
  <si>
    <t>Pidilite</t>
  </si>
  <si>
    <t>Vertiv</t>
  </si>
  <si>
    <t>Birla Paints</t>
  </si>
  <si>
    <t>Mahindra Holiday</t>
  </si>
  <si>
    <t>HPE</t>
  </si>
  <si>
    <t>Isuzu</t>
  </si>
  <si>
    <t>BITS</t>
  </si>
  <si>
    <t>M&amp;M</t>
  </si>
  <si>
    <t>Wipro</t>
  </si>
  <si>
    <t>DP World</t>
  </si>
  <si>
    <t>AMNS</t>
  </si>
  <si>
    <t>Tata Electronics</t>
  </si>
  <si>
    <t>Jindal Stainless</t>
  </si>
  <si>
    <t>Schaeffler</t>
  </si>
  <si>
    <t>Royal Enfield</t>
  </si>
  <si>
    <t>SBI Card</t>
  </si>
  <si>
    <t>Hyundai Motor</t>
  </si>
  <si>
    <t>Maruti Suzuki(MSIL)</t>
  </si>
  <si>
    <t>Tata Consumer</t>
  </si>
  <si>
    <t>Tata Play</t>
  </si>
  <si>
    <t>Subros Ltd</t>
  </si>
  <si>
    <t>Atomberg Technologies</t>
  </si>
  <si>
    <t>Ambuja Cement</t>
  </si>
  <si>
    <t>Ashok Leyland</t>
  </si>
  <si>
    <t>Bridgestone</t>
  </si>
  <si>
    <t>Sterling Tools</t>
  </si>
  <si>
    <t>Pernod Ricard</t>
  </si>
  <si>
    <t>Ngarjuna Leadership</t>
  </si>
  <si>
    <t>ABB</t>
  </si>
  <si>
    <t>Siemens Healthnier</t>
  </si>
  <si>
    <t>LEAP India</t>
  </si>
  <si>
    <t>UniCharm</t>
  </si>
  <si>
    <t>Optum</t>
  </si>
  <si>
    <t>Saint Gobain</t>
  </si>
  <si>
    <t>Proterial</t>
  </si>
  <si>
    <t>Neo Soft</t>
  </si>
  <si>
    <t>M&amp;M Leadership</t>
  </si>
  <si>
    <t>Honeywell Leadership</t>
  </si>
  <si>
    <t>Vertiv Leadership</t>
  </si>
  <si>
    <t>Subros Leadership</t>
  </si>
  <si>
    <t>AMNS Leadership</t>
  </si>
  <si>
    <t>Hyundai Leadership</t>
  </si>
  <si>
    <t>Siemens Leadership</t>
  </si>
  <si>
    <t>Royal Enfield Leadership</t>
  </si>
  <si>
    <t>CG Power</t>
  </si>
  <si>
    <t>CG Power Leadership</t>
  </si>
  <si>
    <t>Exclusive</t>
  </si>
  <si>
    <t>Middle East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</si>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</sst>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;\(#,##0\);\-"/>
    <numFmt numFmtId="166" formatCode="0.0%;\(0.0%\);\-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BDD7EE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b/>
      <sz val="15"/>
      <color rgb="FFFFFFFF"/>
      <name val="Arial"/>
      <family val="2"/>
    </font>
    <font>
      <i/>
      <sz val="9"/>
      <color rgb="FFBDD7EE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5C8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833C00"/>
        <bgColor rgb="FF993366"/>
      </patternFill>
    </fill>
    <fill>
      <patternFill patternType="solid">
        <fgColor rgb="FF1F5C8B"/>
        <bgColor rgb="FF2E75B6"/>
      </patternFill>
    </fill>
    <fill>
      <patternFill patternType="solid">
        <fgColor rgb="FFC00000"/>
        <bgColor rgb="FF800000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9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6" fontId="1" fillId="10" borderId="0" xfId="0" applyNumberFormat="1" applyFont="1" applyFill="1" applyAlignment="1">
      <alignment horizontal="center" vertical="center" wrapText="1"/>
    </xf>
    <xf numFmtId="166" fontId="1" fillId="6" borderId="0" xfId="0" applyNumberFormat="1" applyFont="1" applyFill="1" applyAlignment="1">
      <alignment horizontal="center" vertical="center" wrapText="1"/>
    </xf>
    <xf numFmtId="165" fontId="1" fillId="11" borderId="0" xfId="0" applyNumberFormat="1" applyFont="1" applyFill="1" applyAlignment="1">
      <alignment horizontal="center" vertical="center" wrapText="1"/>
    </xf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10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1" fontId="1" fillId="7" borderId="0" xfId="0" applyNumberFormat="1" applyFont="1" applyFill="1" applyAlignment="1">
      <alignment horizontal="center" vertical="center" wrapText="1"/>
    </xf>
    <xf numFmtId="1" fontId="1" fillId="8" borderId="0" xfId="0" applyNumberFormat="1" applyFont="1" applyFill="1" applyAlignment="1">
      <alignment horizontal="center" vertical="center" wrapText="1"/>
    </xf>
    <xf numFmtId="1" fontId="1" fillId="9" borderId="0" xfId="0" applyNumberFormat="1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165" fontId="1" fillId="6" borderId="0" xfId="0" applyNumberFormat="1" applyFont="1" applyFill="1" applyAlignment="1">
      <alignment horizontal="center" vertical="center" wrapText="1"/>
    </xf>
    <xf numFmtId="0" fontId="0" fillId="3" borderId="0" xfId="0" applyFill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1F5C8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L27"/>
  <sheetViews>
    <sheetView showGridLines="0" zoomScaleNormal="100" workbookViewId="0">
      <selection activeCell="A4" sqref="A4:D4"/>
    </sheetView>
  </sheetViews>
  <sheetFormatPr defaultColWidth="8.54296875" defaultRowHeight="14.5" x14ac:dyDescent="0.35"/>
  <cols>
    <col min="1" max="1" width="5" customWidth="1"/>
    <col min="2" max="2" width="20" customWidth="1"/>
    <col min="3" max="3" width="10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  <col min="10" max="10" width="14" customWidth="1"/>
    <col min="11" max="12" width="13" customWidth="1"/>
  </cols>
  <sheetData>
    <row r="1" spans="1:12" ht="33.75" customHeight="1" x14ac:dyDescent="0.3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5.75" customHeight="1" x14ac:dyDescent="0.3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12" ht="18" customHeight="1" x14ac:dyDescent="0.35">
      <c r="A4" s="51" t="s">
        <v>2</v>
      </c>
      <c r="B4" s="51"/>
      <c r="C4" s="51"/>
      <c r="D4" s="51"/>
      <c r="E4" s="38" t="s">
        <v>3</v>
      </c>
      <c r="F4" s="38"/>
      <c r="G4" s="38"/>
      <c r="H4" s="38"/>
      <c r="I4" s="38" t="s">
        <v>4</v>
      </c>
      <c r="J4" s="38"/>
      <c r="K4" s="38"/>
      <c r="L4" s="38"/>
    </row>
    <row r="5" spans="1:12" ht="30" customHeight="1" x14ac:dyDescent="0.35">
      <c r="A5" s="46">
        <f>'Revenue Tracker'!D58</f>
        <v>46759927</v>
      </c>
      <c r="B5" s="46"/>
      <c r="C5" s="46"/>
      <c r="D5" s="46"/>
      <c r="E5" s="47">
        <f>'Revenue Tracker'!F58</f>
        <v>0</v>
      </c>
      <c r="F5" s="47"/>
      <c r="G5" s="47"/>
      <c r="H5" s="47"/>
      <c r="I5" s="47">
        <f>'Revenue Tracker'!H58</f>
        <v>0</v>
      </c>
      <c r="J5" s="47"/>
      <c r="K5" s="47"/>
      <c r="L5" s="47"/>
    </row>
    <row r="6" spans="1:12" ht="21.75" customHeight="1" x14ac:dyDescent="0.35">
      <c r="A6" s="48"/>
      <c r="B6" s="48"/>
      <c r="C6" s="48"/>
      <c r="D6" s="48"/>
      <c r="E6" s="32"/>
      <c r="F6" s="32"/>
      <c r="G6" s="32"/>
      <c r="H6" s="32"/>
      <c r="I6" s="32"/>
      <c r="J6" s="32"/>
      <c r="K6" s="32"/>
      <c r="L6" s="32"/>
    </row>
    <row r="8" spans="1:12" ht="18" customHeight="1" x14ac:dyDescent="0.35">
      <c r="A8" s="40" t="s">
        <v>5</v>
      </c>
      <c r="B8" s="40"/>
      <c r="C8" s="40"/>
      <c r="D8" s="40"/>
      <c r="E8" s="41" t="s">
        <v>6</v>
      </c>
      <c r="F8" s="41"/>
      <c r="G8" s="41"/>
      <c r="H8" s="41"/>
      <c r="I8" s="42" t="s">
        <v>7</v>
      </c>
      <c r="J8" s="42"/>
      <c r="K8" s="42"/>
      <c r="L8" s="42"/>
    </row>
    <row r="9" spans="1:12" ht="30" customHeight="1" x14ac:dyDescent="0.35">
      <c r="A9" s="43">
        <f>'Revenue Tracker'!E58</f>
        <v>0</v>
      </c>
      <c r="B9" s="43"/>
      <c r="C9" s="43"/>
      <c r="D9" s="43"/>
      <c r="E9" s="44">
        <f>'Revenue Tracker'!G58</f>
        <v>0</v>
      </c>
      <c r="F9" s="44"/>
      <c r="G9" s="44"/>
      <c r="H9" s="44"/>
      <c r="I9" s="45">
        <f>'Revenue Tracker'!I58</f>
        <v>0</v>
      </c>
      <c r="J9" s="45"/>
      <c r="K9" s="45"/>
      <c r="L9" s="45"/>
    </row>
    <row r="10" spans="1:12" ht="21.75" customHeight="1" x14ac:dyDescent="0.35">
      <c r="A10" s="34"/>
      <c r="B10" s="34"/>
      <c r="C10" s="34"/>
      <c r="D10" s="34"/>
      <c r="E10" s="35"/>
      <c r="F10" s="35"/>
      <c r="G10" s="35"/>
      <c r="H10" s="35"/>
      <c r="I10" s="36"/>
      <c r="J10" s="36"/>
      <c r="K10" s="36"/>
      <c r="L10" s="36"/>
    </row>
    <row r="13" spans="1:12" ht="18" customHeight="1" x14ac:dyDescent="0.35">
      <c r="A13" s="37" t="s">
        <v>8</v>
      </c>
      <c r="B13" s="37"/>
      <c r="C13" s="37"/>
      <c r="D13" s="37"/>
      <c r="E13" s="38" t="s">
        <v>9</v>
      </c>
      <c r="F13" s="38"/>
      <c r="G13" s="38"/>
      <c r="H13" s="38"/>
      <c r="I13" s="39" t="s">
        <v>10</v>
      </c>
      <c r="J13" s="39"/>
      <c r="K13" s="39"/>
      <c r="L13" s="39"/>
    </row>
    <row r="14" spans="1:12" ht="27.75" customHeight="1" x14ac:dyDescent="0.35">
      <c r="A14" s="28">
        <f>'Revenue Tracker'!K58</f>
        <v>0</v>
      </c>
      <c r="B14" s="28"/>
      <c r="C14" s="28"/>
      <c r="D14" s="28"/>
      <c r="E14" s="29">
        <f>'Revenue Tracker'!L58</f>
        <v>0</v>
      </c>
      <c r="F14" s="29"/>
      <c r="G14" s="29"/>
      <c r="H14" s="29"/>
      <c r="I14" s="30">
        <f>'Revenue Tracker'!M58</f>
        <v>46759927</v>
      </c>
      <c r="J14" s="30"/>
      <c r="K14" s="30"/>
      <c r="L14" s="30"/>
    </row>
    <row r="15" spans="1:12" ht="21.75" customHeight="1" x14ac:dyDescent="0.35">
      <c r="A15" s="31"/>
      <c r="B15" s="31"/>
      <c r="C15" s="31"/>
      <c r="D15" s="31"/>
      <c r="E15" s="32"/>
      <c r="F15" s="32"/>
      <c r="G15" s="32"/>
      <c r="H15" s="32"/>
      <c r="I15" s="33"/>
      <c r="J15" s="33"/>
      <c r="K15" s="33"/>
      <c r="L15" s="33"/>
    </row>
    <row r="18" spans="1:12" ht="18" customHeight="1" x14ac:dyDescent="0.35">
      <c r="A18" s="26" t="s">
        <v>11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2" ht="30" customHeight="1" x14ac:dyDescent="0.35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23</v>
      </c>
    </row>
    <row r="20" spans="1:12" ht="19.5" customHeight="1" x14ac:dyDescent="0.35">
      <c r="A20" s="5">
        <v>1</v>
      </c>
      <c r="B20" s="3" t="str">
        <f>'Revenue Tracker'!B4</f>
        <v>Honeywell</v>
      </c>
      <c r="C20" s="5">
        <f>'Revenue Tracker'!E4</f>
        <v>0</v>
      </c>
      <c r="D20" s="4">
        <f>'Revenue Tracker'!F4</f>
        <v>0</v>
      </c>
      <c r="E20" s="5">
        <f>'Revenue Tracker'!G4</f>
        <v>0</v>
      </c>
      <c r="F20" s="4">
        <f>'Revenue Tracker'!H4</f>
        <v>0</v>
      </c>
      <c r="G20" s="5">
        <f>'Revenue Tracker'!I4</f>
        <v>0</v>
      </c>
      <c r="H20" s="4">
        <f>'Revenue Tracker'!J4</f>
        <v>0</v>
      </c>
      <c r="I20" s="6">
        <f>'Revenue Tracker'!K4</f>
        <v>0</v>
      </c>
      <c r="J20" s="6">
        <f>'Revenue Tracker'!L4</f>
        <v>0</v>
      </c>
      <c r="K20" s="4">
        <f>'Revenue Tracker'!M4</f>
        <v>13131927</v>
      </c>
      <c r="L20" s="5" t="str">
        <f>'Revenue Tracker'!N4</f>
        <v>🔴 At Risk</v>
      </c>
    </row>
    <row r="21" spans="1:12" ht="19.5" customHeight="1" x14ac:dyDescent="0.35">
      <c r="A21" s="9">
        <v>2</v>
      </c>
      <c r="B21" s="7" t="str">
        <f>'Revenue Tracker'!B5</f>
        <v>Pfizer</v>
      </c>
      <c r="C21" s="9">
        <f>'Revenue Tracker'!E5</f>
        <v>0</v>
      </c>
      <c r="D21" s="8">
        <f>'Revenue Tracker'!F5</f>
        <v>0</v>
      </c>
      <c r="E21" s="9">
        <f>'Revenue Tracker'!G5</f>
        <v>0</v>
      </c>
      <c r="F21" s="8">
        <f>'Revenue Tracker'!H5</f>
        <v>0</v>
      </c>
      <c r="G21" s="9">
        <f>'Revenue Tracker'!I5</f>
        <v>0</v>
      </c>
      <c r="H21" s="8">
        <f>'Revenue Tracker'!J5</f>
        <v>0</v>
      </c>
      <c r="I21" s="10">
        <f>'Revenue Tracker'!K5</f>
        <v>0</v>
      </c>
      <c r="J21" s="10">
        <f>'Revenue Tracker'!L5</f>
        <v>0</v>
      </c>
      <c r="K21" s="8">
        <f>'Revenue Tracker'!M5</f>
        <v>1050000</v>
      </c>
      <c r="L21" s="9" t="str">
        <f>'Revenue Tracker'!N5</f>
        <v>🔴 At Risk</v>
      </c>
    </row>
    <row r="22" spans="1:12" ht="19.5" customHeight="1" x14ac:dyDescent="0.35">
      <c r="A22" s="5">
        <v>3</v>
      </c>
      <c r="B22" s="3" t="str">
        <f>'Revenue Tracker'!B6</f>
        <v>SKF India</v>
      </c>
      <c r="C22" s="5">
        <f>'Revenue Tracker'!E6</f>
        <v>0</v>
      </c>
      <c r="D22" s="4">
        <f>'Revenue Tracker'!F6</f>
        <v>0</v>
      </c>
      <c r="E22" s="5">
        <f>'Revenue Tracker'!G6</f>
        <v>0</v>
      </c>
      <c r="F22" s="4">
        <f>'Revenue Tracker'!H6</f>
        <v>0</v>
      </c>
      <c r="G22" s="5">
        <f>'Revenue Tracker'!I6</f>
        <v>0</v>
      </c>
      <c r="H22" s="4">
        <f>'Revenue Tracker'!J6</f>
        <v>0</v>
      </c>
      <c r="I22" s="6">
        <f>'Revenue Tracker'!K6</f>
        <v>0</v>
      </c>
      <c r="J22" s="6">
        <f>'Revenue Tracker'!L6</f>
        <v>0</v>
      </c>
      <c r="K22" s="4">
        <f>'Revenue Tracker'!M6</f>
        <v>0</v>
      </c>
      <c r="L22" s="5" t="str">
        <f>'Revenue Tracker'!N6</f>
        <v>🔴 At Risk</v>
      </c>
    </row>
    <row r="23" spans="1:12" ht="19.5" customHeight="1" x14ac:dyDescent="0.35">
      <c r="A23" s="9">
        <v>4</v>
      </c>
      <c r="B23" s="7" t="str">
        <f>'Revenue Tracker'!B7</f>
        <v>Siemens (Advatnta &amp; GBS)</v>
      </c>
      <c r="C23" s="9">
        <f>'Revenue Tracker'!E7</f>
        <v>0</v>
      </c>
      <c r="D23" s="8">
        <f>'Revenue Tracker'!F7</f>
        <v>0</v>
      </c>
      <c r="E23" s="9">
        <f>'Revenue Tracker'!G7</f>
        <v>0</v>
      </c>
      <c r="F23" s="8">
        <f>'Revenue Tracker'!H7</f>
        <v>0</v>
      </c>
      <c r="G23" s="9">
        <f>'Revenue Tracker'!I7</f>
        <v>0</v>
      </c>
      <c r="H23" s="8">
        <f>'Revenue Tracker'!J7</f>
        <v>0</v>
      </c>
      <c r="I23" s="10">
        <f>'Revenue Tracker'!K7</f>
        <v>0</v>
      </c>
      <c r="J23" s="10">
        <f>'Revenue Tracker'!L7</f>
        <v>0</v>
      </c>
      <c r="K23" s="8">
        <f>'Revenue Tracker'!M7</f>
        <v>0</v>
      </c>
      <c r="L23" s="9" t="str">
        <f>'Revenue Tracker'!N7</f>
        <v>🔴 At Risk</v>
      </c>
    </row>
    <row r="24" spans="1:12" ht="19.5" customHeight="1" x14ac:dyDescent="0.35">
      <c r="A24" s="5">
        <v>5</v>
      </c>
      <c r="B24" s="3" t="str">
        <f>'Revenue Tracker'!B8</f>
        <v>Siemens Energy</v>
      </c>
      <c r="C24" s="5">
        <f>'Revenue Tracker'!E8</f>
        <v>0</v>
      </c>
      <c r="D24" s="4">
        <f>'Revenue Tracker'!F8</f>
        <v>0</v>
      </c>
      <c r="E24" s="5">
        <f>'Revenue Tracker'!G8</f>
        <v>0</v>
      </c>
      <c r="F24" s="4">
        <f>'Revenue Tracker'!H8</f>
        <v>0</v>
      </c>
      <c r="G24" s="5">
        <f>'Revenue Tracker'!I8</f>
        <v>0</v>
      </c>
      <c r="H24" s="4">
        <f>'Revenue Tracker'!J8</f>
        <v>0</v>
      </c>
      <c r="I24" s="6">
        <f>'Revenue Tracker'!K8</f>
        <v>0</v>
      </c>
      <c r="J24" s="6">
        <f>'Revenue Tracker'!L8</f>
        <v>0</v>
      </c>
      <c r="K24" s="4">
        <f>'Revenue Tracker'!M8</f>
        <v>0</v>
      </c>
      <c r="L24" s="5" t="str">
        <f>'Revenue Tracker'!N8</f>
        <v>🔴 At Risk</v>
      </c>
    </row>
    <row r="25" spans="1:12" ht="21.75" customHeight="1" x14ac:dyDescent="0.35">
      <c r="A25" s="18"/>
      <c r="B25" s="18" t="s">
        <v>24</v>
      </c>
      <c r="C25" s="18">
        <f t="shared" ref="C25:H25" si="0">SUM(C20:C24)</f>
        <v>0</v>
      </c>
      <c r="D25" s="17">
        <f t="shared" si="0"/>
        <v>0</v>
      </c>
      <c r="E25" s="18">
        <f t="shared" si="0"/>
        <v>0</v>
      </c>
      <c r="F25" s="17">
        <f t="shared" si="0"/>
        <v>0</v>
      </c>
      <c r="G25" s="18">
        <f t="shared" si="0"/>
        <v>0</v>
      </c>
      <c r="H25" s="17">
        <f t="shared" si="0"/>
        <v>0</v>
      </c>
      <c r="I25" s="19">
        <f>IFERROR(E25/C25,0)</f>
        <v>0</v>
      </c>
      <c r="J25" s="19">
        <f>'Revenue Tracker'!L58</f>
        <v>0</v>
      </c>
      <c r="K25" s="17">
        <f>SUM(K20:K24)</f>
        <v>14181927</v>
      </c>
      <c r="L25" s="18"/>
    </row>
    <row r="27" spans="1:12" ht="15" customHeight="1" x14ac:dyDescent="0.35">
      <c r="A27" s="27" t="s">
        <v>25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</sheetData>
  <mergeCells count="31">
    <mergeCell ref="A1:L1"/>
    <mergeCell ref="A2:L2"/>
    <mergeCell ref="A4:D4"/>
    <mergeCell ref="E4:H4"/>
    <mergeCell ref="I4:L4"/>
    <mergeCell ref="A5:D5"/>
    <mergeCell ref="E5:H5"/>
    <mergeCell ref="I5:L5"/>
    <mergeCell ref="A6:D6"/>
    <mergeCell ref="E6:H6"/>
    <mergeCell ref="I6:L6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3:D13"/>
    <mergeCell ref="E13:H13"/>
    <mergeCell ref="I13:L13"/>
    <mergeCell ref="A18:L18"/>
    <mergeCell ref="A27:L27"/>
    <mergeCell ref="A14:D14"/>
    <mergeCell ref="E14:H14"/>
    <mergeCell ref="I14:L14"/>
    <mergeCell ref="A15:D15"/>
    <mergeCell ref="E15:H15"/>
    <mergeCell ref="I15:L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N60"/>
  <sheetViews>
    <sheetView showGridLines="0" tabSelected="1" zoomScaleNormal="100" workbookViewId="0">
      <pane ySplit="3" topLeftCell="A4" activePane="bottomLeft" state="frozen"/>
      <selection pane="bottomLeft" activeCell="A3" sqref="A3"/>
    </sheetView>
  </sheetViews>
  <sheetFormatPr defaultColWidth="8.54296875" defaultRowHeight="14.5" x14ac:dyDescent="0.35"/>
  <cols>
    <col min="1" max="1" width="14" customWidth="1"/>
    <col min="2" max="2" width="20" customWidth="1"/>
    <col min="3" max="3" width="18" customWidth="1"/>
    <col min="4" max="4" width="13" customWidth="1"/>
    <col min="5" max="5" width="10" customWidth="1"/>
    <col min="6" max="6" width="14" customWidth="1"/>
    <col min="7" max="7" width="13" customWidth="1"/>
    <col min="8" max="8" width="14" customWidth="1"/>
    <col min="9" max="9" width="10" customWidth="1"/>
    <col min="10" max="10" width="14" customWidth="1"/>
    <col min="11" max="12" width="13" customWidth="1"/>
    <col min="13" max="14" width="14" customWidth="1"/>
  </cols>
  <sheetData>
    <row r="1" spans="1:14" ht="31.5" customHeight="1" x14ac:dyDescent="0.3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8" customHeight="1" x14ac:dyDescent="0.35">
      <c r="A2" s="23" t="s">
        <v>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36" customHeight="1" x14ac:dyDescent="0.3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23</v>
      </c>
    </row>
    <row r="4" spans="1:14" ht="19.5" customHeight="1" x14ac:dyDescent="0.35">
      <c r="A4" s="2">
        <v>45767</v>
      </c>
      <c r="B4" s="3" t="s">
        <v>100</v>
      </c>
      <c r="C4" s="3"/>
      <c r="D4" s="4">
        <v>13131927</v>
      </c>
      <c r="E4" s="5"/>
      <c r="F4" s="4"/>
      <c r="G4" s="5"/>
      <c r="H4" s="4"/>
      <c r="I4" s="5"/>
      <c r="J4" s="4"/>
      <c r="K4" s="6">
        <f t="shared" ref="K4:K57" si="0">IF(E4&gt;0,G4/E4,0)</f>
        <v>0</v>
      </c>
      <c r="L4" s="6">
        <f t="shared" ref="L4:L57" si="1">IF(D4&gt;0,H4/D4,0)</f>
        <v>0</v>
      </c>
      <c r="M4" s="4">
        <f t="shared" ref="M4:M58" si="2">D4-(H4+J4)</f>
        <v>13131927</v>
      </c>
      <c r="N4" s="3" t="str">
        <f>IF(L4&gt;=1,"✅ Target Met",IF(L4&gt;=0.6,"🟡 On Track","🔴 At Risk"))</f>
        <v>🔴 At Risk</v>
      </c>
    </row>
    <row r="5" spans="1:14" ht="19.5" customHeight="1" x14ac:dyDescent="0.35">
      <c r="A5" s="2">
        <v>45767</v>
      </c>
      <c r="B5" s="7" t="s">
        <v>101</v>
      </c>
      <c r="C5" s="7"/>
      <c r="D5" s="8">
        <v>1050000</v>
      </c>
      <c r="E5" s="9"/>
      <c r="F5" s="8"/>
      <c r="G5" s="9"/>
      <c r="H5" s="8"/>
      <c r="I5" s="9"/>
      <c r="J5" s="8"/>
      <c r="K5" s="10">
        <f t="shared" si="0"/>
        <v>0</v>
      </c>
      <c r="L5" s="10">
        <f t="shared" si="1"/>
        <v>0</v>
      </c>
      <c r="M5" s="8">
        <f t="shared" si="2"/>
        <v>1050000</v>
      </c>
      <c r="N5" s="7" t="str">
        <f>IF(L5&gt;=1,"✅ Target Met",IF(L5&gt;=0.6,"🟡 On Track","🔴 At Risk"))</f>
        <v>🔴 At Risk</v>
      </c>
    </row>
    <row r="6" spans="1:14" ht="19.5" customHeight="1" x14ac:dyDescent="0.35">
      <c r="A6" s="2">
        <v>45767</v>
      </c>
      <c r="B6" s="3" t="s">
        <v>102</v>
      </c>
      <c r="C6" s="3"/>
      <c r="D6" s="4">
        <v>0</v>
      </c>
      <c r="E6" s="5"/>
      <c r="F6" s="4"/>
      <c r="G6" s="5"/>
      <c r="H6" s="4"/>
      <c r="I6" s="5"/>
      <c r="J6" s="4"/>
      <c r="K6" s="6">
        <f t="shared" si="0"/>
        <v>0</v>
      </c>
      <c r="L6" s="6">
        <f t="shared" si="1"/>
        <v>0</v>
      </c>
      <c r="M6" s="4">
        <f t="shared" si="2"/>
        <v>0</v>
      </c>
      <c r="N6" s="3" t="str">
        <f>IF(L6&gt;=1,"✅ Target Met",IF(L6&gt;=0.6,"🟡 On Track","🔴 At Risk"))</f>
        <v>🔴 At Risk</v>
      </c>
    </row>
    <row r="7" spans="1:14" ht="19.5" customHeight="1" x14ac:dyDescent="0.35">
      <c r="A7" s="2">
        <v>45767</v>
      </c>
      <c r="B7" s="7" t="s">
        <v>103</v>
      </c>
      <c r="C7" s="7"/>
      <c r="D7" s="8">
        <v>0</v>
      </c>
      <c r="E7" s="9"/>
      <c r="F7" s="8"/>
      <c r="G7" s="9"/>
      <c r="H7" s="8"/>
      <c r="I7" s="9"/>
      <c r="J7" s="8"/>
      <c r="K7" s="10">
        <f t="shared" si="0"/>
        <v>0</v>
      </c>
      <c r="L7" s="10">
        <f t="shared" si="1"/>
        <v>0</v>
      </c>
      <c r="M7" s="8">
        <f t="shared" si="2"/>
        <v>0</v>
      </c>
      <c r="N7" s="7" t="str">
        <f>IF(L7&gt;=1,"✅ Target Met",IF(L7&gt;=0.6,"🟡 On Track","🔴 At Risk"))</f>
        <v>🔴 At Risk</v>
      </c>
    </row>
    <row r="8" spans="1:14" ht="19.5" customHeight="1" x14ac:dyDescent="0.35">
      <c r="A8" s="2">
        <v>45767</v>
      </c>
      <c r="B8" s="3" t="s">
        <v>104</v>
      </c>
      <c r="C8" s="3"/>
      <c r="D8" s="4">
        <v>0</v>
      </c>
      <c r="E8" s="5"/>
      <c r="F8" s="4"/>
      <c r="G8" s="5"/>
      <c r="H8" s="4"/>
      <c r="I8" s="5"/>
      <c r="J8" s="4"/>
      <c r="K8" s="6">
        <f t="shared" si="0"/>
        <v>0</v>
      </c>
      <c r="L8" s="6">
        <f t="shared" si="1"/>
        <v>0</v>
      </c>
      <c r="M8" s="4">
        <f t="shared" si="2"/>
        <v>0</v>
      </c>
      <c r="N8" s="3" t="str">
        <f>IF(L8&gt;=1,"✅ Target Met",IF(L8&gt;=0.6,"🟡 On Track","🔴 At Risk"))</f>
        <v>🔴 At Risk</v>
      </c>
    </row>
    <row r="9" spans="1:14" ht="19.5" customHeight="1" x14ac:dyDescent="0.35">
      <c r="A9" s="2">
        <v>45767</v>
      </c>
      <c r="B9" s="3" t="s">
        <v>105</v>
      </c>
      <c r="C9" s="3"/>
      <c r="D9" s="4">
        <v>675000</v>
      </c>
      <c r="E9" s="5"/>
      <c r="F9" s="4"/>
      <c r="G9" s="5"/>
      <c r="H9" s="4"/>
      <c r="I9" s="5"/>
      <c r="J9" s="4"/>
      <c r="K9" s="6"/>
      <c r="L9" s="6"/>
      <c r="M9" s="4"/>
      <c r="N9" s="3"/>
    </row>
    <row r="10" spans="1:14" ht="19.5" customHeight="1" x14ac:dyDescent="0.35">
      <c r="A10" s="2">
        <v>45767</v>
      </c>
      <c r="B10" s="3" t="s">
        <v>106</v>
      </c>
      <c r="C10" s="3"/>
      <c r="D10" s="4">
        <v>240000</v>
      </c>
      <c r="E10" s="5"/>
      <c r="F10" s="4"/>
      <c r="G10" s="5"/>
      <c r="H10" s="4"/>
      <c r="I10" s="5"/>
      <c r="J10" s="4"/>
      <c r="K10" s="6"/>
      <c r="L10" s="6"/>
      <c r="M10" s="4"/>
      <c r="N10" s="3"/>
    </row>
    <row r="11" spans="1:14" ht="19.5" customHeight="1" x14ac:dyDescent="0.35">
      <c r="A11" s="2">
        <v>45767</v>
      </c>
      <c r="B11" s="3" t="s">
        <v>107</v>
      </c>
      <c r="C11" s="3"/>
      <c r="D11" s="4">
        <v>0</v>
      </c>
      <c r="E11" s="5"/>
      <c r="F11" s="4"/>
      <c r="G11" s="5"/>
      <c r="H11" s="4"/>
      <c r="I11" s="5"/>
      <c r="J11" s="4"/>
      <c r="K11" s="6"/>
      <c r="L11" s="6"/>
      <c r="M11" s="4"/>
      <c r="N11" s="3"/>
    </row>
    <row r="12" spans="1:14" ht="19.5" customHeight="1" x14ac:dyDescent="0.35">
      <c r="A12" s="2">
        <v>45767</v>
      </c>
      <c r="B12" s="3" t="s">
        <v>108</v>
      </c>
      <c r="C12" s="3"/>
      <c r="D12" s="4">
        <v>300000</v>
      </c>
      <c r="E12" s="5"/>
      <c r="F12" s="4"/>
      <c r="G12" s="5"/>
      <c r="H12" s="4"/>
      <c r="I12" s="5"/>
      <c r="J12" s="4"/>
      <c r="K12" s="6"/>
      <c r="L12" s="6"/>
      <c r="M12" s="4"/>
      <c r="N12" s="3"/>
    </row>
    <row r="13" spans="1:14" ht="19.5" customHeight="1" x14ac:dyDescent="0.35">
      <c r="A13" s="2">
        <v>45767</v>
      </c>
      <c r="B13" s="3" t="s">
        <v>109</v>
      </c>
      <c r="C13" s="3"/>
      <c r="D13" s="4">
        <v>21312000</v>
      </c>
      <c r="E13" s="5"/>
      <c r="F13" s="4"/>
      <c r="G13" s="5"/>
      <c r="H13" s="4"/>
      <c r="I13" s="5"/>
      <c r="J13" s="4"/>
      <c r="K13" s="6"/>
      <c r="L13" s="6"/>
      <c r="M13" s="4"/>
      <c r="N13" s="3"/>
    </row>
    <row r="14" spans="1:14" ht="19.5" customHeight="1" x14ac:dyDescent="0.35">
      <c r="A14" s="2">
        <v>45767</v>
      </c>
      <c r="B14" s="3" t="s">
        <v>110</v>
      </c>
      <c r="C14" s="3"/>
      <c r="D14" s="4">
        <v>0</v>
      </c>
      <c r="E14" s="5"/>
      <c r="F14" s="4"/>
      <c r="G14" s="5"/>
      <c r="H14" s="4"/>
      <c r="I14" s="5"/>
      <c r="J14" s="4"/>
      <c r="K14" s="6"/>
      <c r="L14" s="6"/>
      <c r="M14" s="4"/>
      <c r="N14" s="3"/>
    </row>
    <row r="15" spans="1:14" ht="19.5" customHeight="1" x14ac:dyDescent="0.35">
      <c r="A15" s="2">
        <v>45767</v>
      </c>
      <c r="B15" s="3" t="s">
        <v>111</v>
      </c>
      <c r="C15" s="3"/>
      <c r="D15" s="4">
        <v>0</v>
      </c>
      <c r="E15" s="5"/>
      <c r="F15" s="4"/>
      <c r="G15" s="5"/>
      <c r="H15" s="4"/>
      <c r="I15" s="5"/>
      <c r="J15" s="4"/>
      <c r="K15" s="6"/>
      <c r="L15" s="6"/>
      <c r="M15" s="4"/>
      <c r="N15" s="3"/>
    </row>
    <row r="16" spans="1:14" ht="19.5" customHeight="1" x14ac:dyDescent="0.35">
      <c r="A16" s="2">
        <v>45767</v>
      </c>
      <c r="B16" s="3" t="s">
        <v>112</v>
      </c>
      <c r="C16" s="3"/>
      <c r="D16" s="4">
        <v>0</v>
      </c>
      <c r="E16" s="5"/>
      <c r="F16" s="4"/>
      <c r="G16" s="5"/>
      <c r="H16" s="4"/>
      <c r="I16" s="5"/>
      <c r="J16" s="4"/>
      <c r="K16" s="6"/>
      <c r="L16" s="6"/>
      <c r="M16" s="4"/>
      <c r="N16" s="3"/>
    </row>
    <row r="17" spans="1:14" ht="19.5" customHeight="1" x14ac:dyDescent="0.35">
      <c r="A17" s="2">
        <v>45767</v>
      </c>
      <c r="B17" s="3" t="s">
        <v>113</v>
      </c>
      <c r="C17" s="3"/>
      <c r="D17" s="4">
        <v>0</v>
      </c>
      <c r="E17" s="5"/>
      <c r="F17" s="4"/>
      <c r="G17" s="5"/>
      <c r="H17" s="4"/>
      <c r="I17" s="5"/>
      <c r="J17" s="4"/>
      <c r="K17" s="6"/>
      <c r="L17" s="6"/>
      <c r="M17" s="4"/>
      <c r="N17" s="3"/>
    </row>
    <row r="18" spans="1:14" ht="19.5" customHeight="1" x14ac:dyDescent="0.35">
      <c r="A18" s="2">
        <v>45767</v>
      </c>
      <c r="B18" s="3" t="s">
        <v>114</v>
      </c>
      <c r="C18" s="3"/>
      <c r="D18" s="4">
        <v>471000</v>
      </c>
      <c r="E18" s="5"/>
      <c r="F18" s="4"/>
      <c r="G18" s="5"/>
      <c r="H18" s="4"/>
      <c r="I18" s="5"/>
      <c r="J18" s="4"/>
      <c r="K18" s="6"/>
      <c r="L18" s="6"/>
      <c r="M18" s="4"/>
      <c r="N18" s="3"/>
    </row>
    <row r="19" spans="1:14" ht="19.5" customHeight="1" x14ac:dyDescent="0.35">
      <c r="A19" s="2">
        <v>45767</v>
      </c>
      <c r="B19" s="3" t="s">
        <v>115</v>
      </c>
      <c r="C19" s="3"/>
      <c r="D19" s="4">
        <v>3264000</v>
      </c>
      <c r="E19" s="5"/>
      <c r="F19" s="4"/>
      <c r="G19" s="5"/>
      <c r="H19" s="4"/>
      <c r="I19" s="5"/>
      <c r="J19" s="4"/>
      <c r="K19" s="6"/>
      <c r="L19" s="6"/>
      <c r="M19" s="4"/>
      <c r="N19" s="3"/>
    </row>
    <row r="20" spans="1:14" ht="19.5" customHeight="1" x14ac:dyDescent="0.35">
      <c r="A20" s="2">
        <v>45767</v>
      </c>
      <c r="B20" s="3" t="s">
        <v>116</v>
      </c>
      <c r="C20" s="3"/>
      <c r="D20" s="4">
        <v>0</v>
      </c>
      <c r="E20" s="5"/>
      <c r="F20" s="4"/>
      <c r="G20" s="5"/>
      <c r="H20" s="4"/>
      <c r="I20" s="5"/>
      <c r="J20" s="4"/>
      <c r="K20" s="6"/>
      <c r="L20" s="6"/>
      <c r="M20" s="4"/>
      <c r="N20" s="3"/>
    </row>
    <row r="21" spans="1:14" ht="19.5" customHeight="1" x14ac:dyDescent="0.35">
      <c r="A21" s="2">
        <v>45767</v>
      </c>
      <c r="B21" s="3" t="s">
        <v>117</v>
      </c>
      <c r="C21" s="3"/>
      <c r="D21" s="4">
        <v>0</v>
      </c>
      <c r="E21" s="5"/>
      <c r="F21" s="4"/>
      <c r="G21" s="5"/>
      <c r="H21" s="4"/>
      <c r="I21" s="5"/>
      <c r="J21" s="4"/>
      <c r="K21" s="6"/>
      <c r="L21" s="6"/>
      <c r="M21" s="4"/>
      <c r="N21" s="3"/>
    </row>
    <row r="22" spans="1:14" ht="19.5" customHeight="1" x14ac:dyDescent="0.35">
      <c r="A22" s="2">
        <v>45767</v>
      </c>
      <c r="B22" s="3" t="s">
        <v>118</v>
      </c>
      <c r="C22" s="3"/>
      <c r="D22" s="4">
        <v>0</v>
      </c>
      <c r="E22" s="5"/>
      <c r="F22" s="4"/>
      <c r="G22" s="5"/>
      <c r="H22" s="4"/>
      <c r="I22" s="5"/>
      <c r="J22" s="4"/>
      <c r="K22" s="6"/>
      <c r="L22" s="6"/>
      <c r="M22" s="4"/>
      <c r="N22" s="3"/>
    </row>
    <row r="23" spans="1:14" ht="19.5" customHeight="1" x14ac:dyDescent="0.35">
      <c r="A23" s="2">
        <v>45767</v>
      </c>
      <c r="B23" s="3" t="s">
        <v>119</v>
      </c>
      <c r="C23" s="3"/>
      <c r="D23" s="4">
        <v>0</v>
      </c>
      <c r="E23" s="5"/>
      <c r="F23" s="4"/>
      <c r="G23" s="5"/>
      <c r="H23" s="4"/>
      <c r="I23" s="5"/>
      <c r="J23" s="4"/>
      <c r="K23" s="6"/>
      <c r="L23" s="6"/>
      <c r="M23" s="4"/>
      <c r="N23" s="3"/>
    </row>
    <row r="24" spans="1:14" ht="19.5" customHeight="1" x14ac:dyDescent="0.35">
      <c r="A24" s="2">
        <v>45767</v>
      </c>
      <c r="B24" s="3" t="s">
        <v>120</v>
      </c>
      <c r="C24" s="3"/>
      <c r="D24" s="4">
        <v>0</v>
      </c>
      <c r="E24" s="5"/>
      <c r="F24" s="4"/>
      <c r="G24" s="5"/>
      <c r="H24" s="4"/>
      <c r="I24" s="5"/>
      <c r="J24" s="4"/>
      <c r="K24" s="6"/>
      <c r="L24" s="6"/>
      <c r="M24" s="4"/>
      <c r="N24" s="3"/>
    </row>
    <row r="25" spans="1:14" ht="19.5" customHeight="1" x14ac:dyDescent="0.35">
      <c r="A25" s="2">
        <v>45767</v>
      </c>
      <c r="B25" s="3" t="s">
        <v>121</v>
      </c>
      <c r="C25" s="3"/>
      <c r="D25" s="4">
        <v>0</v>
      </c>
      <c r="E25" s="5"/>
      <c r="F25" s="4"/>
      <c r="G25" s="5"/>
      <c r="H25" s="4"/>
      <c r="I25" s="5"/>
      <c r="J25" s="4"/>
      <c r="K25" s="6"/>
      <c r="L25" s="6"/>
      <c r="M25" s="4"/>
      <c r="N25" s="3"/>
    </row>
    <row r="26" spans="1:14" ht="19.5" customHeight="1" x14ac:dyDescent="0.35">
      <c r="A26" s="2">
        <v>45767</v>
      </c>
      <c r="B26" s="3" t="s">
        <v>122</v>
      </c>
      <c r="C26" s="3"/>
      <c r="D26" s="4">
        <v>0</v>
      </c>
      <c r="E26" s="5"/>
      <c r="F26" s="4"/>
      <c r="G26" s="5"/>
      <c r="H26" s="4"/>
      <c r="I26" s="5"/>
      <c r="J26" s="4"/>
      <c r="K26" s="6"/>
      <c r="L26" s="6"/>
      <c r="M26" s="4"/>
      <c r="N26" s="3"/>
    </row>
    <row r="27" spans="1:14" ht="19.5" customHeight="1" x14ac:dyDescent="0.35">
      <c r="A27" s="2">
        <v>45767</v>
      </c>
      <c r="B27" s="3" t="s">
        <v>123</v>
      </c>
      <c r="C27" s="3"/>
      <c r="D27" s="4">
        <v>1125000</v>
      </c>
      <c r="E27" s="5"/>
      <c r="F27" s="4"/>
      <c r="G27" s="5"/>
      <c r="H27" s="4"/>
      <c r="I27" s="5"/>
      <c r="J27" s="4"/>
      <c r="K27" s="6"/>
      <c r="L27" s="6"/>
      <c r="M27" s="4"/>
      <c r="N27" s="3"/>
    </row>
    <row r="28" spans="1:14" ht="19.5" customHeight="1" x14ac:dyDescent="0.35">
      <c r="A28" s="2">
        <v>45767</v>
      </c>
      <c r="B28" s="3" t="s">
        <v>124</v>
      </c>
      <c r="C28" s="3"/>
      <c r="D28" s="4">
        <v>0</v>
      </c>
      <c r="E28" s="5"/>
      <c r="F28" s="4"/>
      <c r="G28" s="5"/>
      <c r="H28" s="4"/>
      <c r="I28" s="5"/>
      <c r="J28" s="4"/>
      <c r="K28" s="6"/>
      <c r="L28" s="6"/>
      <c r="M28" s="4"/>
      <c r="N28" s="3"/>
    </row>
    <row r="29" spans="1:14" ht="19.5" customHeight="1" x14ac:dyDescent="0.35">
      <c r="A29" s="2">
        <v>45767</v>
      </c>
      <c r="B29" s="3" t="s">
        <v>125</v>
      </c>
      <c r="C29" s="3"/>
      <c r="D29" s="4">
        <v>0</v>
      </c>
      <c r="E29" s="5"/>
      <c r="F29" s="4"/>
      <c r="G29" s="5"/>
      <c r="H29" s="4"/>
      <c r="I29" s="5"/>
      <c r="J29" s="4"/>
      <c r="K29" s="6"/>
      <c r="L29" s="6"/>
      <c r="M29" s="4"/>
      <c r="N29" s="3"/>
    </row>
    <row r="30" spans="1:14" ht="19.5" customHeight="1" x14ac:dyDescent="0.35">
      <c r="A30" s="2">
        <v>45767</v>
      </c>
      <c r="B30" s="3" t="s">
        <v>126</v>
      </c>
      <c r="C30" s="3"/>
      <c r="D30" s="4">
        <v>0</v>
      </c>
      <c r="E30" s="5"/>
      <c r="F30" s="4"/>
      <c r="G30" s="5"/>
      <c r="H30" s="4"/>
      <c r="I30" s="5"/>
      <c r="J30" s="4"/>
      <c r="K30" s="6"/>
      <c r="L30" s="6"/>
      <c r="M30" s="4"/>
      <c r="N30" s="3"/>
    </row>
    <row r="31" spans="1:14" ht="19.5" customHeight="1" x14ac:dyDescent="0.35">
      <c r="A31" s="2">
        <v>45767</v>
      </c>
      <c r="B31" s="3" t="s">
        <v>127</v>
      </c>
      <c r="C31" s="3"/>
      <c r="D31" s="4">
        <v>900000</v>
      </c>
      <c r="E31" s="5"/>
      <c r="F31" s="4"/>
      <c r="G31" s="5"/>
      <c r="H31" s="4"/>
      <c r="I31" s="5"/>
      <c r="J31" s="4"/>
      <c r="K31" s="6"/>
      <c r="L31" s="6"/>
      <c r="M31" s="4"/>
      <c r="N31" s="3"/>
    </row>
    <row r="32" spans="1:14" ht="19.5" customHeight="1" x14ac:dyDescent="0.35">
      <c r="A32" s="2">
        <v>45767</v>
      </c>
      <c r="B32" s="3" t="s">
        <v>128</v>
      </c>
      <c r="C32" s="3"/>
      <c r="D32" s="4">
        <v>0</v>
      </c>
      <c r="E32" s="5"/>
      <c r="F32" s="4"/>
      <c r="G32" s="5"/>
      <c r="H32" s="4"/>
      <c r="I32" s="5"/>
      <c r="J32" s="4"/>
      <c r="K32" s="6"/>
      <c r="L32" s="6"/>
      <c r="M32" s="4"/>
      <c r="N32" s="3"/>
    </row>
    <row r="33" spans="1:14" ht="19.5" customHeight="1" x14ac:dyDescent="0.35">
      <c r="A33" s="2">
        <v>45767</v>
      </c>
      <c r="B33" s="3" t="s">
        <v>129</v>
      </c>
      <c r="C33" s="3"/>
      <c r="D33" s="4">
        <v>330000</v>
      </c>
      <c r="E33" s="5"/>
      <c r="F33" s="4"/>
      <c r="G33" s="5"/>
      <c r="H33" s="4"/>
      <c r="I33" s="5"/>
      <c r="J33" s="4"/>
      <c r="K33" s="6"/>
      <c r="L33" s="6"/>
      <c r="M33" s="4"/>
      <c r="N33" s="3"/>
    </row>
    <row r="34" spans="1:14" ht="19.5" customHeight="1" x14ac:dyDescent="0.35">
      <c r="A34" s="2">
        <v>45767</v>
      </c>
      <c r="B34" s="3" t="s">
        <v>130</v>
      </c>
      <c r="C34" s="3"/>
      <c r="D34" s="4">
        <v>509999.99999999988</v>
      </c>
      <c r="E34" s="5"/>
      <c r="F34" s="4"/>
      <c r="G34" s="5"/>
      <c r="H34" s="4"/>
      <c r="I34" s="5"/>
      <c r="J34" s="4"/>
      <c r="K34" s="6"/>
      <c r="L34" s="6"/>
      <c r="M34" s="4"/>
      <c r="N34" s="3"/>
    </row>
    <row r="35" spans="1:14" ht="19.5" customHeight="1" x14ac:dyDescent="0.35">
      <c r="A35" s="2">
        <v>45767</v>
      </c>
      <c r="B35" s="3" t="s">
        <v>131</v>
      </c>
      <c r="C35" s="3"/>
      <c r="D35" s="4">
        <v>1356000</v>
      </c>
      <c r="E35" s="5"/>
      <c r="F35" s="4"/>
      <c r="G35" s="5"/>
      <c r="H35" s="4"/>
      <c r="I35" s="5"/>
      <c r="J35" s="4"/>
      <c r="K35" s="6"/>
      <c r="L35" s="6"/>
      <c r="M35" s="4"/>
      <c r="N35" s="3"/>
    </row>
    <row r="36" spans="1:14" ht="19.5" customHeight="1" x14ac:dyDescent="0.35">
      <c r="A36" s="2">
        <v>45767</v>
      </c>
      <c r="B36" s="3" t="s">
        <v>132</v>
      </c>
      <c r="C36" s="3"/>
      <c r="D36" s="4">
        <v>0</v>
      </c>
      <c r="E36" s="5"/>
      <c r="F36" s="4"/>
      <c r="G36" s="5"/>
      <c r="H36" s="4"/>
      <c r="I36" s="5"/>
      <c r="J36" s="4"/>
      <c r="K36" s="6"/>
      <c r="L36" s="6"/>
      <c r="M36" s="4"/>
      <c r="N36" s="3"/>
    </row>
    <row r="37" spans="1:14" ht="19.5" customHeight="1" x14ac:dyDescent="0.35">
      <c r="A37" s="2">
        <v>45767</v>
      </c>
      <c r="B37" s="3" t="s">
        <v>133</v>
      </c>
      <c r="C37" s="3"/>
      <c r="D37" s="4">
        <v>510000</v>
      </c>
      <c r="E37" s="5"/>
      <c r="F37" s="4"/>
      <c r="G37" s="5"/>
      <c r="H37" s="4"/>
      <c r="I37" s="5"/>
      <c r="J37" s="4"/>
      <c r="K37" s="6"/>
      <c r="L37" s="6"/>
      <c r="M37" s="4"/>
      <c r="N37" s="3"/>
    </row>
    <row r="38" spans="1:14" ht="19.5" customHeight="1" x14ac:dyDescent="0.35">
      <c r="A38" s="2">
        <v>45767</v>
      </c>
      <c r="B38" s="11" t="s">
        <v>134</v>
      </c>
      <c r="C38" s="11"/>
      <c r="D38" s="12">
        <v>0</v>
      </c>
      <c r="E38" s="11"/>
      <c r="F38" s="12"/>
      <c r="G38" s="11"/>
      <c r="H38" s="12"/>
      <c r="I38" s="11"/>
      <c r="J38" s="12"/>
      <c r="K38" s="13">
        <f t="shared" si="0"/>
        <v>0</v>
      </c>
      <c r="L38" s="13">
        <f t="shared" si="1"/>
        <v>0</v>
      </c>
      <c r="M38" s="12">
        <f t="shared" si="2"/>
        <v>0</v>
      </c>
      <c r="N38" s="11" t="str">
        <f t="shared" ref="N38:N57" si="3">IF(D38=0,"",IF(L38&gt;=1,"✅ Target Met",IF(L38&gt;=0.6,"🟡 On Track","🔴 At Risk")))</f>
        <v/>
      </c>
    </row>
    <row r="39" spans="1:14" ht="19.5" customHeight="1" x14ac:dyDescent="0.35">
      <c r="A39" s="2">
        <v>45767</v>
      </c>
      <c r="B39" s="14" t="s">
        <v>135</v>
      </c>
      <c r="C39" s="14"/>
      <c r="D39" s="15">
        <v>0</v>
      </c>
      <c r="E39" s="14"/>
      <c r="F39" s="15"/>
      <c r="G39" s="14"/>
      <c r="H39" s="15"/>
      <c r="I39" s="14"/>
      <c r="J39" s="15"/>
      <c r="K39" s="16">
        <f t="shared" si="0"/>
        <v>0</v>
      </c>
      <c r="L39" s="16">
        <f t="shared" si="1"/>
        <v>0</v>
      </c>
      <c r="M39" s="15">
        <f t="shared" si="2"/>
        <v>0</v>
      </c>
      <c r="N39" s="14" t="str">
        <f t="shared" si="3"/>
        <v/>
      </c>
    </row>
    <row r="40" spans="1:14" ht="19.5" customHeight="1" x14ac:dyDescent="0.35">
      <c r="A40" s="2">
        <v>45767</v>
      </c>
      <c r="B40" s="11" t="s">
        <v>136</v>
      </c>
      <c r="C40" s="11" t="s">
        <v>97</v>
      </c>
      <c r="D40" s="12">
        <v>0</v>
      </c>
      <c r="E40" s="11"/>
      <c r="F40" s="12"/>
      <c r="G40" s="11"/>
      <c r="H40" s="12"/>
      <c r="I40" s="11"/>
      <c r="J40" s="12"/>
      <c r="K40" s="13">
        <f t="shared" si="0"/>
        <v>0</v>
      </c>
      <c r="L40" s="13">
        <f t="shared" si="1"/>
        <v>0</v>
      </c>
      <c r="M40" s="12">
        <f t="shared" si="2"/>
        <v>0</v>
      </c>
      <c r="N40" s="11" t="str">
        <f t="shared" si="3"/>
        <v/>
      </c>
    </row>
    <row r="41" spans="1:14" ht="19.5" customHeight="1" x14ac:dyDescent="0.35">
      <c r="A41" s="2">
        <v>45767</v>
      </c>
      <c r="B41" s="14" t="s">
        <v>137</v>
      </c>
      <c r="C41" s="14"/>
      <c r="D41" s="15">
        <v>0</v>
      </c>
      <c r="E41" s="14"/>
      <c r="F41" s="15"/>
      <c r="G41" s="14"/>
      <c r="H41" s="15"/>
      <c r="I41" s="14"/>
      <c r="J41" s="15"/>
      <c r="K41" s="16" t="s">
        <v>98</v>
      </c>
      <c r="L41" s="16" t="s">
        <v>98</v>
      </c>
      <c r="M41" s="15">
        <f t="shared" si="2"/>
        <v>0</v>
      </c>
      <c r="N41" s="14" t="str">
        <f t="shared" si="3"/>
        <v/>
      </c>
    </row>
    <row r="42" spans="1:14" ht="19.5" customHeight="1" x14ac:dyDescent="0.35">
      <c r="A42" s="2">
        <v>45767</v>
      </c>
      <c r="B42" s="11" t="s">
        <v>138</v>
      </c>
      <c r="C42" s="11" t="s">
        <v>96</v>
      </c>
      <c r="D42" s="11">
        <v>0</v>
      </c>
      <c r="E42" s="11" t="s">
        <v>96</v>
      </c>
      <c r="F42" s="11" t="s">
        <v>96</v>
      </c>
      <c r="G42" s="11" t="s">
        <v>96</v>
      </c>
      <c r="H42" s="11" t="s">
        <v>96</v>
      </c>
      <c r="I42" s="11" t="s">
        <v>96</v>
      </c>
      <c r="J42" s="11" t="s">
        <v>96</v>
      </c>
      <c r="K42" s="13"/>
      <c r="L42" s="13"/>
      <c r="M42" s="12" t="s">
        <v>99</v>
      </c>
      <c r="N42" s="11" t="str">
        <f t="shared" si="3"/>
        <v/>
      </c>
    </row>
    <row r="43" spans="1:14" ht="19.5" customHeight="1" x14ac:dyDescent="0.35">
      <c r="A43" s="2">
        <v>45767</v>
      </c>
      <c r="B43" s="14" t="s">
        <v>139</v>
      </c>
      <c r="C43" s="14"/>
      <c r="D43" s="15">
        <v>0</v>
      </c>
      <c r="E43" s="14"/>
      <c r="F43" s="15"/>
      <c r="G43" s="14"/>
      <c r="H43" s="15"/>
      <c r="I43" s="14"/>
      <c r="J43" s="15"/>
      <c r="K43" s="16">
        <f t="shared" si="0"/>
        <v>0</v>
      </c>
      <c r="L43" s="16">
        <f t="shared" si="1"/>
        <v>0</v>
      </c>
      <c r="M43" s="15">
        <f t="shared" si="2"/>
        <v>0</v>
      </c>
      <c r="N43" s="14" t="str">
        <f t="shared" si="3"/>
        <v/>
      </c>
    </row>
    <row r="44" spans="1:14" ht="19.5" customHeight="1" x14ac:dyDescent="0.35">
      <c r="A44" s="2">
        <v>45767</v>
      </c>
      <c r="B44" s="11" t="s">
        <v>140</v>
      </c>
      <c r="C44" s="11"/>
      <c r="D44" s="12">
        <v>1185000</v>
      </c>
      <c r="E44" s="11"/>
      <c r="F44" s="12"/>
      <c r="G44" s="11"/>
      <c r="H44" s="12"/>
      <c r="I44" s="11"/>
      <c r="J44" s="12"/>
      <c r="K44" s="13">
        <f t="shared" si="0"/>
        <v>0</v>
      </c>
      <c r="L44" s="13">
        <f t="shared" si="1"/>
        <v>0</v>
      </c>
      <c r="M44" s="12">
        <f t="shared" si="2"/>
        <v>1185000</v>
      </c>
      <c r="N44" s="11" t="str">
        <f t="shared" si="3"/>
        <v>🔴 At Risk</v>
      </c>
    </row>
    <row r="45" spans="1:14" ht="19.5" customHeight="1" x14ac:dyDescent="0.35">
      <c r="A45" s="2">
        <v>45767</v>
      </c>
      <c r="B45" s="14" t="s">
        <v>141</v>
      </c>
      <c r="C45" s="14"/>
      <c r="D45" s="15">
        <v>0</v>
      </c>
      <c r="E45" s="14"/>
      <c r="F45" s="15"/>
      <c r="G45" s="14"/>
      <c r="H45" s="15"/>
      <c r="I45" s="14"/>
      <c r="J45" s="15"/>
      <c r="K45" s="16">
        <f t="shared" si="0"/>
        <v>0</v>
      </c>
      <c r="L45" s="16">
        <f t="shared" si="1"/>
        <v>0</v>
      </c>
      <c r="M45" s="15">
        <f t="shared" si="2"/>
        <v>0</v>
      </c>
      <c r="N45" s="14" t="str">
        <f t="shared" si="3"/>
        <v/>
      </c>
    </row>
    <row r="46" spans="1:14" ht="19.5" customHeight="1" x14ac:dyDescent="0.35">
      <c r="A46" s="2">
        <v>45767</v>
      </c>
      <c r="B46" s="11" t="s">
        <v>142</v>
      </c>
      <c r="C46" s="11"/>
      <c r="D46" s="12">
        <v>0</v>
      </c>
      <c r="E46" s="11"/>
      <c r="F46" s="12"/>
      <c r="G46" s="11"/>
      <c r="H46" s="12"/>
      <c r="I46" s="11"/>
      <c r="J46" s="12"/>
      <c r="K46" s="13">
        <f t="shared" si="0"/>
        <v>0</v>
      </c>
      <c r="L46" s="13">
        <f t="shared" si="1"/>
        <v>0</v>
      </c>
      <c r="M46" s="12">
        <f t="shared" si="2"/>
        <v>0</v>
      </c>
      <c r="N46" s="11" t="str">
        <f t="shared" si="3"/>
        <v/>
      </c>
    </row>
    <row r="47" spans="1:14" ht="19.5" customHeight="1" x14ac:dyDescent="0.35">
      <c r="A47" s="2">
        <v>45767</v>
      </c>
      <c r="B47" s="14" t="s">
        <v>143</v>
      </c>
      <c r="C47" s="14"/>
      <c r="D47" s="15">
        <v>0</v>
      </c>
      <c r="E47" s="14"/>
      <c r="F47" s="15"/>
      <c r="G47" s="14"/>
      <c r="H47" s="15"/>
      <c r="I47" s="14"/>
      <c r="J47" s="15"/>
      <c r="K47" s="16">
        <f t="shared" si="0"/>
        <v>0</v>
      </c>
      <c r="L47" s="16">
        <f t="shared" si="1"/>
        <v>0</v>
      </c>
      <c r="M47" s="15">
        <f t="shared" si="2"/>
        <v>0</v>
      </c>
      <c r="N47" s="14" t="str">
        <f t="shared" si="3"/>
        <v/>
      </c>
    </row>
    <row r="48" spans="1:14" ht="19.5" customHeight="1" x14ac:dyDescent="0.35">
      <c r="A48" s="2">
        <v>45767</v>
      </c>
      <c r="B48" s="11" t="s">
        <v>144</v>
      </c>
      <c r="C48" s="11"/>
      <c r="D48" s="12">
        <v>0</v>
      </c>
      <c r="E48" s="11"/>
      <c r="F48" s="12"/>
      <c r="G48" s="11"/>
      <c r="H48" s="12"/>
      <c r="I48" s="11"/>
      <c r="J48" s="12"/>
      <c r="K48" s="13">
        <f t="shared" si="0"/>
        <v>0</v>
      </c>
      <c r="L48" s="13">
        <f t="shared" si="1"/>
        <v>0</v>
      </c>
      <c r="M48" s="12">
        <f t="shared" si="2"/>
        <v>0</v>
      </c>
      <c r="N48" s="11" t="str">
        <f t="shared" si="3"/>
        <v/>
      </c>
    </row>
    <row r="49" spans="1:14" ht="19.5" customHeight="1" x14ac:dyDescent="0.35">
      <c r="A49" s="2">
        <v>45767</v>
      </c>
      <c r="B49" s="14" t="s">
        <v>145</v>
      </c>
      <c r="C49" s="14"/>
      <c r="D49" s="15">
        <v>0</v>
      </c>
      <c r="E49" s="14"/>
      <c r="F49" s="15"/>
      <c r="G49" s="14"/>
      <c r="H49" s="15"/>
      <c r="I49" s="14"/>
      <c r="J49" s="15"/>
      <c r="K49" s="16">
        <f t="shared" si="0"/>
        <v>0</v>
      </c>
      <c r="L49" s="16">
        <f t="shared" si="1"/>
        <v>0</v>
      </c>
      <c r="M49" s="15">
        <f t="shared" si="2"/>
        <v>0</v>
      </c>
      <c r="N49" s="14" t="str">
        <f t="shared" si="3"/>
        <v/>
      </c>
    </row>
    <row r="50" spans="1:14" ht="19.5" customHeight="1" x14ac:dyDescent="0.35">
      <c r="A50" s="2">
        <v>45767</v>
      </c>
      <c r="B50" s="11" t="s">
        <v>146</v>
      </c>
      <c r="C50" s="11"/>
      <c r="D50" s="12">
        <v>0</v>
      </c>
      <c r="E50" s="11"/>
      <c r="F50" s="12"/>
      <c r="G50" s="11"/>
      <c r="H50" s="12"/>
      <c r="I50" s="11"/>
      <c r="J50" s="12"/>
      <c r="K50" s="13">
        <f t="shared" si="0"/>
        <v>0</v>
      </c>
      <c r="L50" s="13">
        <f t="shared" si="1"/>
        <v>0</v>
      </c>
      <c r="M50" s="12">
        <f t="shared" si="2"/>
        <v>0</v>
      </c>
      <c r="N50" s="11" t="str">
        <f t="shared" si="3"/>
        <v/>
      </c>
    </row>
    <row r="51" spans="1:14" ht="19.5" customHeight="1" x14ac:dyDescent="0.35">
      <c r="A51" s="2">
        <v>45767</v>
      </c>
      <c r="B51" s="14" t="s">
        <v>147</v>
      </c>
      <c r="C51" s="14"/>
      <c r="D51" s="15">
        <v>0</v>
      </c>
      <c r="E51" s="14"/>
      <c r="F51" s="15"/>
      <c r="G51" s="14"/>
      <c r="H51" s="15"/>
      <c r="I51" s="14"/>
      <c r="J51" s="15"/>
      <c r="K51" s="16">
        <f t="shared" si="0"/>
        <v>0</v>
      </c>
      <c r="L51" s="16">
        <f t="shared" si="1"/>
        <v>0</v>
      </c>
      <c r="M51" s="15">
        <f t="shared" si="2"/>
        <v>0</v>
      </c>
      <c r="N51" s="14" t="str">
        <f t="shared" si="3"/>
        <v/>
      </c>
    </row>
    <row r="52" spans="1:14" ht="19.5" customHeight="1" x14ac:dyDescent="0.35">
      <c r="A52" s="2">
        <v>45767</v>
      </c>
      <c r="B52" s="11" t="s">
        <v>148</v>
      </c>
      <c r="C52" s="11"/>
      <c r="D52" s="12">
        <v>0</v>
      </c>
      <c r="E52" s="11"/>
      <c r="F52" s="12"/>
      <c r="G52" s="11"/>
      <c r="H52" s="12"/>
      <c r="I52" s="11"/>
      <c r="J52" s="12"/>
      <c r="K52" s="13">
        <f t="shared" si="0"/>
        <v>0</v>
      </c>
      <c r="L52" s="13">
        <f t="shared" si="1"/>
        <v>0</v>
      </c>
      <c r="M52" s="12">
        <f t="shared" si="2"/>
        <v>0</v>
      </c>
      <c r="N52" s="11" t="str">
        <f t="shared" si="3"/>
        <v/>
      </c>
    </row>
    <row r="53" spans="1:14" ht="19.5" customHeight="1" x14ac:dyDescent="0.35">
      <c r="A53" s="2">
        <v>45767</v>
      </c>
      <c r="B53" s="14" t="s">
        <v>149</v>
      </c>
      <c r="C53" s="14"/>
      <c r="D53" s="15">
        <v>0</v>
      </c>
      <c r="E53" s="14"/>
      <c r="F53" s="15"/>
      <c r="G53" s="14"/>
      <c r="H53" s="15"/>
      <c r="I53" s="14"/>
      <c r="J53" s="15"/>
      <c r="K53" s="16">
        <f t="shared" si="0"/>
        <v>0</v>
      </c>
      <c r="L53" s="16">
        <f t="shared" si="1"/>
        <v>0</v>
      </c>
      <c r="M53" s="15">
        <f t="shared" si="2"/>
        <v>0</v>
      </c>
      <c r="N53" s="14" t="str">
        <f t="shared" si="3"/>
        <v/>
      </c>
    </row>
    <row r="54" spans="1:14" ht="19.5" customHeight="1" x14ac:dyDescent="0.35">
      <c r="A54" s="2">
        <v>45767</v>
      </c>
      <c r="B54" s="11" t="s">
        <v>150</v>
      </c>
      <c r="C54" s="11"/>
      <c r="D54" s="12">
        <v>0</v>
      </c>
      <c r="E54" s="11"/>
      <c r="F54" s="12"/>
      <c r="G54" s="11"/>
      <c r="H54" s="12"/>
      <c r="I54" s="11"/>
      <c r="J54" s="12"/>
      <c r="K54" s="13">
        <f t="shared" si="0"/>
        <v>0</v>
      </c>
      <c r="L54" s="13">
        <f t="shared" si="1"/>
        <v>0</v>
      </c>
      <c r="M54" s="12">
        <f t="shared" si="2"/>
        <v>0</v>
      </c>
      <c r="N54" s="11" t="str">
        <f t="shared" si="3"/>
        <v/>
      </c>
    </row>
    <row r="55" spans="1:14" ht="19.5" customHeight="1" x14ac:dyDescent="0.35">
      <c r="A55" s="2">
        <v>45767</v>
      </c>
      <c r="B55" s="14" t="s">
        <v>151</v>
      </c>
      <c r="C55" s="14"/>
      <c r="D55" s="15">
        <v>0</v>
      </c>
      <c r="E55" s="14"/>
      <c r="F55" s="15"/>
      <c r="G55" s="14"/>
      <c r="H55" s="15"/>
      <c r="I55" s="14"/>
      <c r="J55" s="15"/>
      <c r="K55" s="16">
        <f t="shared" si="0"/>
        <v>0</v>
      </c>
      <c r="L55" s="16">
        <f t="shared" si="1"/>
        <v>0</v>
      </c>
      <c r="M55" s="15">
        <f t="shared" si="2"/>
        <v>0</v>
      </c>
      <c r="N55" s="14" t="str">
        <f t="shared" si="3"/>
        <v/>
      </c>
    </row>
    <row r="56" spans="1:14" ht="19.5" customHeight="1" x14ac:dyDescent="0.35">
      <c r="A56" s="2">
        <v>45767</v>
      </c>
      <c r="B56" s="11" t="s">
        <v>152</v>
      </c>
      <c r="C56" s="11"/>
      <c r="D56" s="12">
        <v>0</v>
      </c>
      <c r="E56" s="11"/>
      <c r="F56" s="12"/>
      <c r="G56" s="11"/>
      <c r="H56" s="12"/>
      <c r="I56" s="11"/>
      <c r="J56" s="12"/>
      <c r="K56" s="13">
        <f t="shared" si="0"/>
        <v>0</v>
      </c>
      <c r="L56" s="13">
        <f t="shared" si="1"/>
        <v>0</v>
      </c>
      <c r="M56" s="12">
        <f t="shared" si="2"/>
        <v>0</v>
      </c>
      <c r="N56" s="11" t="str">
        <f t="shared" si="3"/>
        <v/>
      </c>
    </row>
    <row r="57" spans="1:14" ht="19.5" customHeight="1" x14ac:dyDescent="0.35">
      <c r="A57" s="2">
        <v>45767</v>
      </c>
      <c r="B57" s="14" t="s">
        <v>153</v>
      </c>
      <c r="C57" s="14"/>
      <c r="D57" s="15">
        <v>400000</v>
      </c>
      <c r="E57" s="14"/>
      <c r="F57" s="15"/>
      <c r="G57" s="14"/>
      <c r="H57" s="15"/>
      <c r="I57" s="14"/>
      <c r="J57" s="15"/>
      <c r="K57" s="16">
        <f t="shared" si="0"/>
        <v>0</v>
      </c>
      <c r="L57" s="16">
        <f t="shared" si="1"/>
        <v>0</v>
      </c>
      <c r="M57" s="15">
        <f t="shared" si="2"/>
        <v>400000</v>
      </c>
      <c r="N57" s="14" t="str">
        <f t="shared" si="3"/>
        <v>🔴 At Risk</v>
      </c>
    </row>
    <row r="58" spans="1:14" ht="21.75" customHeight="1" x14ac:dyDescent="0.35">
      <c r="A58" s="24" t="s">
        <v>43</v>
      </c>
      <c r="B58" s="24"/>
      <c r="C58" s="24"/>
      <c r="D58" s="17">
        <f t="shared" ref="D58:J58" si="4">SUM(D4:D57)</f>
        <v>46759927</v>
      </c>
      <c r="E58" s="18">
        <f t="shared" si="4"/>
        <v>0</v>
      </c>
      <c r="F58" s="17">
        <f t="shared" si="4"/>
        <v>0</v>
      </c>
      <c r="G58" s="18">
        <f t="shared" si="4"/>
        <v>0</v>
      </c>
      <c r="H58" s="17">
        <f t="shared" si="4"/>
        <v>0</v>
      </c>
      <c r="I58" s="18">
        <f t="shared" si="4"/>
        <v>0</v>
      </c>
      <c r="J58" s="17">
        <f t="shared" si="4"/>
        <v>0</v>
      </c>
      <c r="K58" s="19">
        <f>IFERROR(G58/E58,0)</f>
        <v>0</v>
      </c>
      <c r="L58" s="19">
        <f>IFERROR(H58/D58,0)</f>
        <v>0</v>
      </c>
      <c r="M58" s="17">
        <f t="shared" si="2"/>
        <v>46759927</v>
      </c>
      <c r="N58" s="20"/>
    </row>
    <row r="60" spans="1:14" x14ac:dyDescent="0.35">
      <c r="A60" s="25" t="s">
        <v>44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</sheetData>
  <mergeCells count="4">
    <mergeCell ref="A1:N1"/>
    <mergeCell ref="A2:N2"/>
    <mergeCell ref="A58:C58"/>
    <mergeCell ref="A60:N6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23"/>
  <sheetViews>
    <sheetView showGridLines="0" zoomScaleNormal="100" workbookViewId="0">
      <selection sqref="A1:E1"/>
    </sheetView>
  </sheetViews>
  <sheetFormatPr defaultColWidth="8.54296875" defaultRowHeight="14.5" x14ac:dyDescent="0.35"/>
  <cols>
    <col min="1" max="1" width="22" customWidth="1"/>
    <col min="2" max="2" width="38" customWidth="1"/>
    <col min="3" max="4" width="22" customWidth="1"/>
    <col min="5" max="5" width="14" customWidth="1"/>
  </cols>
  <sheetData>
    <row r="1" spans="1:5" ht="15" customHeight="1" x14ac:dyDescent="0.35">
      <c r="A1" s="54" t="s">
        <v>45</v>
      </c>
      <c r="B1" s="54"/>
      <c r="C1" s="54"/>
      <c r="D1" s="54"/>
      <c r="E1" s="54"/>
    </row>
    <row r="3" spans="1:5" ht="19.5" customHeight="1" x14ac:dyDescent="0.35">
      <c r="A3" s="21" t="s">
        <v>46</v>
      </c>
      <c r="B3" s="21" t="s">
        <v>47</v>
      </c>
      <c r="C3" s="21" t="s">
        <v>48</v>
      </c>
      <c r="D3" s="21" t="s">
        <v>49</v>
      </c>
      <c r="E3" s="21" t="s">
        <v>50</v>
      </c>
    </row>
    <row r="4" spans="1:5" ht="19.5" customHeight="1" x14ac:dyDescent="0.3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spans="1:5" ht="19.5" customHeight="1" x14ac:dyDescent="0.35">
      <c r="A5" s="7" t="s">
        <v>13</v>
      </c>
      <c r="B5" s="7" t="s">
        <v>56</v>
      </c>
      <c r="C5" s="7" t="s">
        <v>41</v>
      </c>
      <c r="D5" s="7" t="s">
        <v>57</v>
      </c>
      <c r="E5" s="7" t="s">
        <v>55</v>
      </c>
    </row>
    <row r="6" spans="1:5" ht="19.5" customHeight="1" x14ac:dyDescent="0.35">
      <c r="A6" s="3" t="s">
        <v>30</v>
      </c>
      <c r="B6" s="3" t="s">
        <v>58</v>
      </c>
      <c r="C6" s="3" t="s">
        <v>42</v>
      </c>
      <c r="D6" s="3" t="s">
        <v>57</v>
      </c>
      <c r="E6" s="3" t="s">
        <v>55</v>
      </c>
    </row>
    <row r="7" spans="1:5" ht="19.5" customHeight="1" x14ac:dyDescent="0.35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</row>
    <row r="8" spans="1:5" ht="19.5" customHeight="1" x14ac:dyDescent="0.35">
      <c r="A8" s="3" t="s">
        <v>14</v>
      </c>
      <c r="B8" s="3" t="s">
        <v>64</v>
      </c>
      <c r="C8" s="3" t="s">
        <v>65</v>
      </c>
      <c r="D8" s="3" t="s">
        <v>62</v>
      </c>
      <c r="E8" s="3" t="s">
        <v>63</v>
      </c>
    </row>
    <row r="9" spans="1:5" ht="19.5" customHeight="1" x14ac:dyDescent="0.35">
      <c r="A9" s="7" t="s">
        <v>15</v>
      </c>
      <c r="B9" s="7" t="s">
        <v>66</v>
      </c>
      <c r="C9" s="7" t="s">
        <v>67</v>
      </c>
      <c r="D9" s="7" t="s">
        <v>62</v>
      </c>
      <c r="E9" s="7" t="s">
        <v>63</v>
      </c>
    </row>
    <row r="10" spans="1:5" ht="19.5" customHeight="1" x14ac:dyDescent="0.35">
      <c r="A10" s="3" t="s">
        <v>68</v>
      </c>
      <c r="B10" s="3" t="s">
        <v>69</v>
      </c>
      <c r="C10" s="3" t="s">
        <v>70</v>
      </c>
      <c r="D10" s="3" t="s">
        <v>62</v>
      </c>
      <c r="E10" s="3" t="s">
        <v>63</v>
      </c>
    </row>
    <row r="11" spans="1:5" ht="19.5" customHeight="1" x14ac:dyDescent="0.35">
      <c r="A11" s="7" t="s">
        <v>17</v>
      </c>
      <c r="B11" s="7" t="s">
        <v>71</v>
      </c>
      <c r="C11" s="7" t="s">
        <v>72</v>
      </c>
      <c r="D11" s="7" t="s">
        <v>62</v>
      </c>
      <c r="E11" s="7" t="s">
        <v>63</v>
      </c>
    </row>
    <row r="12" spans="1:5" ht="19.5" customHeight="1" x14ac:dyDescent="0.35">
      <c r="A12" s="3" t="s">
        <v>73</v>
      </c>
      <c r="B12" s="3" t="s">
        <v>74</v>
      </c>
      <c r="C12" s="3" t="s">
        <v>75</v>
      </c>
      <c r="D12" s="3" t="s">
        <v>62</v>
      </c>
      <c r="E12" s="3" t="s">
        <v>63</v>
      </c>
    </row>
    <row r="13" spans="1:5" ht="19.5" customHeight="1" x14ac:dyDescent="0.35">
      <c r="A13" s="7" t="s">
        <v>19</v>
      </c>
      <c r="B13" s="7" t="s">
        <v>76</v>
      </c>
      <c r="C13" s="7" t="s">
        <v>77</v>
      </c>
      <c r="D13" s="7" t="s">
        <v>62</v>
      </c>
      <c r="E13" s="7" t="s">
        <v>63</v>
      </c>
    </row>
    <row r="14" spans="1:5" ht="19.5" customHeight="1" x14ac:dyDescent="0.35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</row>
    <row r="15" spans="1:5" ht="19.5" customHeight="1" x14ac:dyDescent="0.35">
      <c r="A15" s="7" t="s">
        <v>83</v>
      </c>
      <c r="B15" s="7" t="s">
        <v>84</v>
      </c>
      <c r="C15" s="7" t="s">
        <v>85</v>
      </c>
      <c r="D15" s="7" t="s">
        <v>81</v>
      </c>
      <c r="E15" s="7" t="s">
        <v>82</v>
      </c>
    </row>
    <row r="16" spans="1:5" ht="19.5" customHeight="1" x14ac:dyDescent="0.35">
      <c r="A16" s="3" t="s">
        <v>22</v>
      </c>
      <c r="B16" s="3" t="s">
        <v>86</v>
      </c>
      <c r="C16" s="3" t="s">
        <v>87</v>
      </c>
      <c r="D16" s="3" t="s">
        <v>81</v>
      </c>
      <c r="E16" s="3" t="s">
        <v>82</v>
      </c>
    </row>
    <row r="17" spans="1:5" ht="19.5" customHeight="1" x14ac:dyDescent="0.35">
      <c r="A17" s="7" t="s">
        <v>23</v>
      </c>
      <c r="B17" s="7" t="s">
        <v>88</v>
      </c>
      <c r="C17" s="7" t="s">
        <v>89</v>
      </c>
      <c r="D17" s="7" t="s">
        <v>81</v>
      </c>
      <c r="E17" s="7" t="s">
        <v>82</v>
      </c>
    </row>
    <row r="20" spans="1:5" ht="15" customHeight="1" x14ac:dyDescent="0.35">
      <c r="A20" s="24" t="s">
        <v>90</v>
      </c>
      <c r="B20" s="24"/>
      <c r="C20" s="24"/>
      <c r="D20" s="24"/>
      <c r="E20" s="24"/>
    </row>
    <row r="21" spans="1:5" ht="19.5" customHeight="1" x14ac:dyDescent="0.35">
      <c r="A21" s="55" t="s">
        <v>91</v>
      </c>
      <c r="B21" s="55"/>
      <c r="C21" s="53" t="s">
        <v>92</v>
      </c>
      <c r="D21" s="53"/>
      <c r="E21" s="53"/>
    </row>
    <row r="22" spans="1:5" ht="19.5" customHeight="1" x14ac:dyDescent="0.35">
      <c r="A22" s="56" t="s">
        <v>89</v>
      </c>
      <c r="B22" s="56"/>
      <c r="C22" s="53" t="s">
        <v>93</v>
      </c>
      <c r="D22" s="53"/>
      <c r="E22" s="53"/>
    </row>
    <row r="23" spans="1:5" ht="19.5" customHeight="1" x14ac:dyDescent="0.35">
      <c r="A23" s="52" t="s">
        <v>94</v>
      </c>
      <c r="B23" s="52"/>
      <c r="C23" s="53" t="s">
        <v>95</v>
      </c>
      <c r="D23" s="53"/>
      <c r="E23" s="53"/>
    </row>
  </sheetData>
  <mergeCells count="8">
    <mergeCell ref="A23:B23"/>
    <mergeCell ref="C23:E23"/>
    <mergeCell ref="A1:E1"/>
    <mergeCell ref="A20:E20"/>
    <mergeCell ref="A21:B21"/>
    <mergeCell ref="C21:E21"/>
    <mergeCell ref="A22:B22"/>
    <mergeCell ref="C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Revenue Tracker</vt:lpstr>
      <vt:lpstr>Legend &amp;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0</cp:revision>
  <dcterms:created xsi:type="dcterms:W3CDTF">2026-03-31T13:44:48Z</dcterms:created>
  <dcterms:modified xsi:type="dcterms:W3CDTF">2026-04-21T14:17:24Z</dcterms:modified>
  <cp:category/>
  <cp:contentStatus/>
</cp:coreProperties>
</file>