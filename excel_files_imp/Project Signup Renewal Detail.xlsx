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Templates/"/>
    </mc:Choice>
  </mc:AlternateContent>
  <xr:revisionPtr revIDLastSave="103" documentId="8_{76984F54-D3F1-407A-B96F-4646259530CE}" xr6:coauthVersionLast="47" xr6:coauthVersionMax="47" xr10:uidLastSave="{7D066354-E6BE-427D-A82C-ED52ACC3274C}"/>
  <bookViews>
    <workbookView xWindow="-110" yWindow="-110" windowWidth="19420" windowHeight="10300" tabRatio="500" activeTab="1" xr2:uid="{00000000-000D-0000-FFFF-FFFF00000000}"/>
  </bookViews>
  <sheets>
    <sheet name="Summary Dashboard" sheetId="2" r:id="rId1"/>
    <sheet name="Contract Data" sheetId="1" r:id="rId2"/>
    <sheet name="Sign-UpRenewa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2" l="1"/>
  <c r="F9" i="1"/>
  <c r="F25" i="2"/>
  <c r="E25" i="2"/>
  <c r="C25" i="2"/>
  <c r="B25" i="2"/>
  <c r="A25" i="2"/>
  <c r="F24" i="2"/>
  <c r="E24" i="2"/>
  <c r="C24" i="2"/>
  <c r="B24" i="2"/>
  <c r="A24" i="2"/>
  <c r="F23" i="2"/>
  <c r="E23" i="2"/>
  <c r="C23" i="2"/>
  <c r="B23" i="2"/>
  <c r="A23" i="2"/>
  <c r="F22" i="2"/>
  <c r="E22" i="2"/>
  <c r="C22" i="2"/>
  <c r="B22" i="2"/>
  <c r="A22" i="2"/>
  <c r="M21" i="2"/>
  <c r="L21" i="2"/>
  <c r="F21" i="2"/>
  <c r="E21" i="2"/>
  <c r="C21" i="2"/>
  <c r="B21" i="2"/>
  <c r="A21" i="2"/>
  <c r="M20" i="2"/>
  <c r="L20" i="2"/>
  <c r="M19" i="2"/>
  <c r="L19" i="2"/>
  <c r="M18" i="2"/>
  <c r="L18" i="2"/>
  <c r="M17" i="2"/>
  <c r="L17" i="2"/>
  <c r="I15" i="2"/>
  <c r="H15" i="2"/>
  <c r="G15" i="2"/>
  <c r="F15" i="2"/>
  <c r="D15" i="2"/>
  <c r="C15" i="2"/>
  <c r="B15" i="2"/>
  <c r="A15" i="2"/>
  <c r="M14" i="2"/>
  <c r="I14" i="2"/>
  <c r="H14" i="2"/>
  <c r="G14" i="2"/>
  <c r="F14" i="2"/>
  <c r="D14" i="2"/>
  <c r="C14" i="2"/>
  <c r="B14" i="2"/>
  <c r="A14" i="2"/>
  <c r="M13" i="2"/>
  <c r="I13" i="2"/>
  <c r="H13" i="2"/>
  <c r="G13" i="2"/>
  <c r="F13" i="2"/>
  <c r="D13" i="2"/>
  <c r="C13" i="2"/>
  <c r="B13" i="2"/>
  <c r="A13" i="2"/>
  <c r="M12" i="2"/>
  <c r="I12" i="2"/>
  <c r="H12" i="2"/>
  <c r="G12" i="2"/>
  <c r="F12" i="2"/>
  <c r="D12" i="2"/>
  <c r="C12" i="2"/>
  <c r="B12" i="2"/>
  <c r="A12" i="2"/>
  <c r="I11" i="2"/>
  <c r="H11" i="2"/>
  <c r="G11" i="2"/>
  <c r="F11" i="2"/>
  <c r="D11" i="2"/>
  <c r="C11" i="2"/>
  <c r="B11" i="2"/>
  <c r="A11" i="2"/>
  <c r="M5" i="2"/>
  <c r="K5" i="2"/>
  <c r="I5" i="2"/>
  <c r="G5" i="2"/>
  <c r="E5" i="2"/>
  <c r="A5" i="2"/>
  <c r="I9" i="1"/>
  <c r="H9" i="1"/>
  <c r="E9" i="1"/>
  <c r="E15" i="2"/>
  <c r="E14" i="2"/>
  <c r="E13" i="2"/>
  <c r="E12" i="2"/>
  <c r="E11" i="2"/>
</calcChain>
</file>

<file path=xl/sharedStrings.xml><?xml version="1.0" encoding="utf-8"?>
<sst xmlns="http://schemas.openxmlformats.org/spreadsheetml/2006/main" count="1269" uniqueCount="92">
  <si>
    <t>CONTRACT SUMMARY DASHBOARD</t>
  </si>
  <si>
    <t>Real-time Portfolio Overview  |  Taggd RPO</t>
  </si>
  <si>
    <t>Total Clients</t>
  </si>
  <si>
    <t>Current ACV (₹L)</t>
  </si>
  <si>
    <t>Avg Contribution
Margin %</t>
  </si>
  <si>
    <t>Total Headcount</t>
  </si>
  <si>
    <t>Active</t>
  </si>
  <si>
    <t>Renewed</t>
  </si>
  <si>
    <t>Expired</t>
  </si>
  <si>
    <t>CLIENT-LEVEL PERFORMANCE SUMMARY</t>
  </si>
  <si>
    <t>Customer</t>
  </si>
  <si>
    <t>Status</t>
  </si>
  <si>
    <t>Signed ACV (₹L)</t>
  </si>
  <si>
    <t>ACV Growth%</t>
  </si>
  <si>
    <t>CM%</t>
  </si>
  <si>
    <t>HC</t>
  </si>
  <si>
    <t>Renewal Date</t>
  </si>
  <si>
    <t>Remarks</t>
  </si>
  <si>
    <t>STATUS BREAKDOWN</t>
  </si>
  <si>
    <t>HEADCOUNT BY CLIENT</t>
  </si>
  <si>
    <t>Signed ACV</t>
  </si>
  <si>
    <t>Current ACV</t>
  </si>
  <si>
    <t>CONTRACT INFORMATION TRACKER</t>
  </si>
  <si>
    <t>Taggd RPO — Client Contract Repository</t>
  </si>
  <si>
    <t>#</t>
  </si>
  <si>
    <t>Account Type</t>
  </si>
  <si>
    <t>Date of Signing</t>
  </si>
  <si>
    <t>Current Status</t>
  </si>
  <si>
    <t>Signed CM%</t>
  </si>
  <si>
    <t>HC
(Headcount)</t>
  </si>
  <si>
    <t>Hiring Volume</t>
  </si>
  <si>
    <t>Taggd Source MIX</t>
  </si>
  <si>
    <t>Other Source Mix</t>
  </si>
  <si>
    <t>Overall RPH</t>
  </si>
  <si>
    <t>Overall RPH  Number</t>
  </si>
  <si>
    <t>MMF</t>
  </si>
  <si>
    <t>Opening Fee</t>
  </si>
  <si>
    <t>Payment Terms</t>
  </si>
  <si>
    <t>Pricing Model</t>
  </si>
  <si>
    <t>Detail</t>
  </si>
  <si>
    <t>Siemens Healthineers</t>
  </si>
  <si>
    <t>01-Apr-2024</t>
  </si>
  <si>
    <t>31-Mar-2025</t>
  </si>
  <si>
    <t>Yes</t>
  </si>
  <si>
    <t>Attached Contract Copy</t>
  </si>
  <si>
    <t>Renewal in discussion</t>
  </si>
  <si>
    <t>%</t>
  </si>
  <si>
    <t>Mahindra &amp; Mahindra</t>
  </si>
  <si>
    <t>15-Jun-2024</t>
  </si>
  <si>
    <t>14-Jun-2025</t>
  </si>
  <si>
    <t>No</t>
  </si>
  <si>
    <t>Absolute</t>
  </si>
  <si>
    <t>Wipro Limited</t>
  </si>
  <si>
    <t>01-Jan-2024</t>
  </si>
  <si>
    <t>31-Dec-2024</t>
  </si>
  <si>
    <t>Auto-renewed at +8%</t>
  </si>
  <si>
    <t>Honeywell</t>
  </si>
  <si>
    <t>01-Jul-2024</t>
  </si>
  <si>
    <t>30-Jun-2025</t>
  </si>
  <si>
    <t>HPE</t>
  </si>
  <si>
    <t>01-Mar-2024</t>
  </si>
  <si>
    <t>28-Feb-2025</t>
  </si>
  <si>
    <t>Follow-up required</t>
  </si>
  <si>
    <t>TOTALS / AVERAGES</t>
  </si>
  <si>
    <t>STATUS LEGEND</t>
  </si>
  <si>
    <t>RPO</t>
  </si>
  <si>
    <t>Leadership</t>
  </si>
  <si>
    <t>Exclusive</t>
  </si>
  <si>
    <t>Middle East</t>
  </si>
  <si>
    <t>Project Sign-Up / Renewal Details</t>
  </si>
  <si>
    <t>Project ID</t>
  </si>
  <si>
    <t>Customer Name</t>
  </si>
  <si>
    <t>Project Name</t>
  </si>
  <si>
    <t>SBU / BU</t>
  </si>
  <si>
    <t>Practice Head</t>
  </si>
  <si>
    <t>Contract Type</t>
  </si>
  <si>
    <t>Contract Start Date</t>
  </si>
  <si>
    <t>Contract End Date</t>
  </si>
  <si>
    <t>Duration (Months)</t>
  </si>
  <si>
    <t>Renewal Reminder Date</t>
  </si>
  <si>
    <t>Agreed Rate / Fee (₹)</t>
  </si>
  <si>
    <t>Est. Annual Value (₹)</t>
  </si>
  <si>
    <t>SOW / MSA (Ref)</t>
  </si>
  <si>
    <t>SLA Terms Summary</t>
  </si>
  <si>
    <t>Positions Contracted</t>
  </si>
  <si>
    <t>Positions Filled</t>
  </si>
  <si>
    <t>Renewal Status</t>
  </si>
  <si>
    <t>Reason for Lapse/Loss</t>
  </si>
  <si>
    <t>Client Sign-Off Authority</t>
  </si>
  <si>
    <t>Internal Sign-Off</t>
  </si>
  <si>
    <t>Revenue Run Rate (₹/Month)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</si>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</sst>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%;\(0.0%\);\-"/>
  </numFmts>
  <fonts count="25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BDD7EE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10"/>
      <color rgb="FF1F3864"/>
      <name val="Arial"/>
      <family val="2"/>
    </font>
    <font>
      <b/>
      <sz val="10"/>
      <color rgb="FFC00000"/>
      <name val="Arial"/>
      <family val="2"/>
    </font>
    <font>
      <b/>
      <sz val="10"/>
      <name val="Arial"/>
      <family val="2"/>
    </font>
    <font>
      <b/>
      <sz val="9"/>
      <color rgb="FF595959"/>
      <name val="Arial"/>
      <family val="2"/>
    </font>
    <font>
      <b/>
      <sz val="9"/>
      <color rgb="FF375623"/>
      <name val="Arial"/>
      <family val="2"/>
    </font>
    <font>
      <b/>
      <sz val="9"/>
      <color rgb="FF1F3864"/>
      <name val="Arial"/>
      <family val="2"/>
    </font>
    <font>
      <b/>
      <sz val="9"/>
      <color rgb="FFC00000"/>
      <name val="Arial"/>
      <family val="2"/>
    </font>
    <font>
      <b/>
      <sz val="9"/>
      <color rgb="FFCCDDEE"/>
      <name val="Arial"/>
      <family val="2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4"/>
      <color rgb="FF375623"/>
      <name val="Arial"/>
      <family val="2"/>
    </font>
    <font>
      <b/>
      <sz val="14"/>
      <color rgb="FF1F3864"/>
      <name val="Arial"/>
      <family val="2"/>
    </font>
    <font>
      <b/>
      <sz val="14"/>
      <color rgb="FFC00000"/>
      <name val="Arial"/>
      <family val="2"/>
    </font>
    <font>
      <b/>
      <sz val="9"/>
      <name val="Arial"/>
      <family val="2"/>
    </font>
    <font>
      <b/>
      <sz val="14"/>
      <color rgb="FF1B3A5C"/>
      <name val="Arial"/>
      <family val="2"/>
    </font>
    <font>
      <sz val="11"/>
      <color rgb="FF000000"/>
      <name val="Calibri"/>
      <family val="2"/>
      <charset val="1"/>
    </font>
    <font>
      <sz val="10"/>
      <color rgb="FF1A1A1A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1F5FA6"/>
      </patternFill>
    </fill>
    <fill>
      <patternFill patternType="solid">
        <fgColor rgb="FFF2F2F2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BDD7EE"/>
        <bgColor rgb="FFCCDDEE"/>
      </patternFill>
    </fill>
    <fill>
      <patternFill patternType="solid">
        <fgColor rgb="FFFFE0E0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7F3F98"/>
        <bgColor rgb="FF595959"/>
      </patternFill>
    </fill>
    <fill>
      <patternFill patternType="solid">
        <fgColor rgb="FF1F7A4E"/>
        <bgColor rgb="FF008080"/>
      </patternFill>
    </fill>
    <fill>
      <patternFill patternType="solid">
        <fgColor rgb="FF1F5FA6"/>
        <bgColor rgb="FF2E75B6"/>
      </patternFill>
    </fill>
    <fill>
      <patternFill patternType="solid">
        <fgColor rgb="FFC00000"/>
        <bgColor rgb="FF800000"/>
      </patternFill>
    </fill>
    <fill>
      <patternFill patternType="solid">
        <fgColor rgb="FF1B3A5C"/>
        <bgColor rgb="FF333333"/>
      </patternFill>
    </fill>
    <fill>
      <patternFill patternType="solid">
        <fgColor rgb="FFF5F5F5"/>
        <bgColor rgb="FFFFFFFF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0" borderId="0" xfId="0" applyFont="1"/>
    <xf numFmtId="0" fontId="10" fillId="5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6" fillId="2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4" fontId="17" fillId="4" borderId="1" xfId="0" applyNumberFormat="1" applyFont="1" applyFill="1" applyBorder="1" applyAlignment="1">
      <alignment horizontal="center" vertical="center"/>
    </xf>
    <xf numFmtId="164" fontId="17" fillId="4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center" vertical="center"/>
    </xf>
    <xf numFmtId="4" fontId="17" fillId="6" borderId="1" xfId="0" applyNumberFormat="1" applyFont="1" applyFill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4" fontId="0" fillId="0" borderId="0" xfId="0" applyNumberFormat="1"/>
    <xf numFmtId="164" fontId="0" fillId="0" borderId="0" xfId="0" applyNumberFormat="1"/>
    <xf numFmtId="4" fontId="4" fillId="4" borderId="1" xfId="0" applyNumberFormat="1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4" fontId="8" fillId="7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3" fillId="0" borderId="0" xfId="0" applyFont="1"/>
    <xf numFmtId="0" fontId="24" fillId="15" borderId="6" xfId="0" applyFont="1" applyFill="1" applyBorder="1"/>
    <xf numFmtId="0" fontId="24" fillId="0" borderId="5" xfId="0" applyFont="1" applyBorder="1"/>
    <xf numFmtId="0" fontId="24" fillId="0" borderId="6" xfId="0" applyFont="1" applyBorder="1"/>
    <xf numFmtId="0" fontId="24" fillId="15" borderId="5" xfId="0" applyFont="1" applyFill="1" applyBorder="1"/>
    <xf numFmtId="0" fontId="15" fillId="14" borderId="3" xfId="0" applyFont="1" applyFill="1" applyBorder="1"/>
    <xf numFmtId="0" fontId="15" fillId="14" borderId="4" xfId="0" applyFont="1" applyFill="1" applyBorder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1" fontId="14" fillId="12" borderId="0" xfId="0" applyNumberFormat="1" applyFont="1" applyFill="1" applyAlignment="1">
      <alignment horizontal="center" vertical="center"/>
    </xf>
    <xf numFmtId="1" fontId="14" fillId="13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1" fontId="14" fillId="3" borderId="0" xfId="0" applyNumberFormat="1" applyFont="1" applyFill="1" applyAlignment="1">
      <alignment horizontal="center" vertical="center"/>
    </xf>
    <xf numFmtId="4" fontId="14" fillId="2" borderId="0" xfId="0" applyNumberFormat="1" applyFont="1" applyFill="1" applyAlignment="1">
      <alignment horizontal="center" vertical="center"/>
    </xf>
    <xf numFmtId="164" fontId="14" fillId="9" borderId="0" xfId="0" applyNumberFormat="1" applyFont="1" applyFill="1" applyAlignment="1">
      <alignment horizontal="center" vertical="center"/>
    </xf>
    <xf numFmtId="1" fontId="14" fillId="10" borderId="0" xfId="0" applyNumberFormat="1" applyFont="1" applyFill="1" applyAlignment="1">
      <alignment horizontal="center" vertical="center"/>
    </xf>
    <xf numFmtId="1" fontId="14" fillId="11" borderId="0" xfId="0" applyNumberFormat="1" applyFont="1" applyFill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0" borderId="0" xfId="0" applyFont="1"/>
    <xf numFmtId="9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E"/>
      <rgbColor rgb="FFBFBFBF"/>
      <rgbColor rgb="FF878787"/>
      <rgbColor rgb="FF9999FF"/>
      <rgbColor rgb="FF7F3F98"/>
      <rgbColor rgb="FFF9F9F9"/>
      <rgbColor rgb="FFF2F2F2"/>
      <rgbColor rgb="FF660066"/>
      <rgbColor rgb="FFFF8080"/>
      <rgbColor rgb="FF1F5FA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DDEE"/>
      <rgbColor rgb="FFE2EFDA"/>
      <rgbColor rgb="FFFFFF99"/>
      <rgbColor rgb="FFD9D9D9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Signed ACV vs Current ACV (₹L)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Dashboard'!$B$20</c:f>
              <c:strCache>
                <c:ptCount val="1"/>
                <c:pt idx="0">
                  <c:v>Signed ACV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Dashboard'!$A$21:$A$25</c:f>
              <c:strCache>
                <c:ptCount val="5"/>
                <c:pt idx="0">
                  <c:v>Siemens Healthineers</c:v>
                </c:pt>
                <c:pt idx="1">
                  <c:v>Mahindra &amp; Mahindra</c:v>
                </c:pt>
                <c:pt idx="2">
                  <c:v>Wipro Limited</c:v>
                </c:pt>
                <c:pt idx="3">
                  <c:v>Honeywell</c:v>
                </c:pt>
                <c:pt idx="4">
                  <c:v>HPE</c:v>
                </c:pt>
              </c:strCache>
            </c:strRef>
          </c:cat>
          <c:val>
            <c:numRef>
              <c:f>'Summary Dashboard'!$B$21:$B$25</c:f>
              <c:numCache>
                <c:formatCode>#,##0.00</c:formatCode>
                <c:ptCount val="5"/>
                <c:pt idx="0">
                  <c:v>120</c:v>
                </c:pt>
                <c:pt idx="1">
                  <c:v>80</c:v>
                </c:pt>
                <c:pt idx="2">
                  <c:v>60</c:v>
                </c:pt>
                <c:pt idx="3">
                  <c:v>95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2-4E0B-808B-61700BC3DBF4}"/>
            </c:ext>
          </c:extLst>
        </c:ser>
        <c:ser>
          <c:idx val="1"/>
          <c:order val="1"/>
          <c:tx>
            <c:strRef>
              <c:f>'Summary Dashboard'!$C$20</c:f>
              <c:strCache>
                <c:ptCount val="1"/>
                <c:pt idx="0">
                  <c:v>Current ACV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Dashboard'!$A$21:$A$25</c:f>
              <c:strCache>
                <c:ptCount val="5"/>
                <c:pt idx="0">
                  <c:v>Siemens Healthineers</c:v>
                </c:pt>
                <c:pt idx="1">
                  <c:v>Mahindra &amp; Mahindra</c:v>
                </c:pt>
                <c:pt idx="2">
                  <c:v>Wipro Limited</c:v>
                </c:pt>
                <c:pt idx="3">
                  <c:v>Honeywell</c:v>
                </c:pt>
                <c:pt idx="4">
                  <c:v>HPE</c:v>
                </c:pt>
              </c:strCache>
            </c:strRef>
          </c:cat>
          <c:val>
            <c:numRef>
              <c:f>'Summary Dashboard'!$C$21:$C$25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D2-4E0B-808B-61700BC3D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3201"/>
        <c:axId val="25498546"/>
      </c:barChart>
      <c:catAx>
        <c:axId val="160432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98546"/>
        <c:crosses val="autoZero"/>
        <c:auto val="1"/>
        <c:lblAlgn val="ctr"/>
        <c:lblOffset val="100"/>
        <c:noMultiLvlLbl val="0"/>
      </c:catAx>
      <c:valAx>
        <c:axId val="25498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ACV (₹L)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0432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Contribution Margin % by Client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Dashboard'!$F$20</c:f>
              <c:strCache>
                <c:ptCount val="1"/>
                <c:pt idx="0">
                  <c:v>CM%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Dashboard'!$E$21:$E$25</c:f>
              <c:strCache>
                <c:ptCount val="5"/>
                <c:pt idx="0">
                  <c:v>Siemens Healthineers</c:v>
                </c:pt>
                <c:pt idx="1">
                  <c:v>Mahindra &amp; Mahindra</c:v>
                </c:pt>
                <c:pt idx="2">
                  <c:v>Wipro Limited</c:v>
                </c:pt>
                <c:pt idx="3">
                  <c:v>Honeywell</c:v>
                </c:pt>
                <c:pt idx="4">
                  <c:v>HPE</c:v>
                </c:pt>
              </c:strCache>
            </c:strRef>
          </c:cat>
          <c:val>
            <c:numRef>
              <c:f>'Summary Dashboard'!$F$21:$F$25</c:f>
              <c:numCache>
                <c:formatCode>0.0%</c:formatCode>
                <c:ptCount val="5"/>
                <c:pt idx="0">
                  <c:v>0.32</c:v>
                </c:pt>
                <c:pt idx="1">
                  <c:v>0.28000000000000003</c:v>
                </c:pt>
                <c:pt idx="2">
                  <c:v>0.3</c:v>
                </c:pt>
                <c:pt idx="3">
                  <c:v>0.35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2-4271-8227-F1FD43E0F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433921"/>
        <c:axId val="46121506"/>
      </c:barChart>
      <c:catAx>
        <c:axId val="69433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121506"/>
        <c:crosses val="autoZero"/>
        <c:auto val="1"/>
        <c:lblAlgn val="ctr"/>
        <c:lblOffset val="100"/>
        <c:noMultiLvlLbl val="0"/>
      </c:catAx>
      <c:valAx>
        <c:axId val="461215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CM%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433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6</xdr:col>
      <xdr:colOff>347400</xdr:colOff>
      <xdr:row>39</xdr:row>
      <xdr:rowOff>147600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13</xdr:col>
      <xdr:colOff>105840</xdr:colOff>
      <xdr:row>39</xdr:row>
      <xdr:rowOff>147600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showGridLines="0" zoomScaleNormal="100" workbookViewId="0">
      <selection activeCell="F12" sqref="F12"/>
    </sheetView>
  </sheetViews>
  <sheetFormatPr defaultColWidth="8.54296875" defaultRowHeight="14.5" x14ac:dyDescent="0.35"/>
  <cols>
    <col min="1" max="1" width="22" customWidth="1"/>
    <col min="2" max="2" width="10" customWidth="1"/>
    <col min="3" max="3" width="12" customWidth="1"/>
    <col min="4" max="5" width="15" customWidth="1"/>
    <col min="6" max="6" width="13" customWidth="1"/>
    <col min="7" max="7" width="9" customWidth="1"/>
    <col min="8" max="8" width="10.26953125" bestFit="1" customWidth="1"/>
    <col min="9" max="9" width="17.1796875" bestFit="1" customWidth="1"/>
    <col min="10" max="10" width="28" customWidth="1"/>
    <col min="11" max="11" width="10" customWidth="1"/>
    <col min="12" max="12" width="22" customWidth="1"/>
    <col min="13" max="14" width="10" customWidth="1"/>
  </cols>
  <sheetData>
    <row r="1" spans="1:15" ht="36" customHeight="1" x14ac:dyDescent="0.3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ht="19.5" customHeight="1" x14ac:dyDescent="0.3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4" spans="1:15" ht="21.75" customHeight="1" x14ac:dyDescent="0.35">
      <c r="A4" s="53" t="s">
        <v>2</v>
      </c>
      <c r="B4" s="53"/>
      <c r="C4" s="54" t="s">
        <v>3</v>
      </c>
      <c r="D4" s="54"/>
      <c r="E4" s="55" t="s">
        <v>4</v>
      </c>
      <c r="F4" s="55"/>
      <c r="G4" s="56" t="s">
        <v>5</v>
      </c>
      <c r="H4" s="56"/>
      <c r="I4" s="57" t="s">
        <v>6</v>
      </c>
      <c r="J4" s="57"/>
      <c r="K4" s="58" t="s">
        <v>7</v>
      </c>
      <c r="L4" s="58"/>
      <c r="M4" s="59" t="s">
        <v>8</v>
      </c>
      <c r="N4" s="59"/>
    </row>
    <row r="5" spans="1:15" ht="31.5" customHeight="1" x14ac:dyDescent="0.35">
      <c r="A5" s="69">
        <f>COUNTA('Contract Data'!B4:B8)</f>
        <v>5</v>
      </c>
      <c r="B5" s="69"/>
      <c r="C5" s="70">
        <f>'Contract Data'!F9</f>
        <v>405</v>
      </c>
      <c r="D5" s="70"/>
      <c r="E5" s="71">
        <f>'Contract Data'!H8</f>
        <v>0.25</v>
      </c>
      <c r="F5" s="71"/>
      <c r="G5" s="72">
        <f>'Contract Data'!I8</f>
        <v>3</v>
      </c>
      <c r="H5" s="72"/>
      <c r="I5" s="73">
        <f>COUNTIF('Contract Data'!G4:G8,"Active")</f>
        <v>3</v>
      </c>
      <c r="J5" s="73"/>
      <c r="K5" s="60">
        <f>COUNTIF('Contract Data'!G4:G8,"Renewed")</f>
        <v>1</v>
      </c>
      <c r="L5" s="60"/>
      <c r="M5" s="61">
        <f>COUNTIF('Contract Data'!G4:G8,"Expired")</f>
        <v>1</v>
      </c>
      <c r="N5" s="61"/>
    </row>
    <row r="6" spans="1:15" ht="7.5" customHeight="1" x14ac:dyDescent="0.35">
      <c r="A6" s="62"/>
      <c r="B6" s="62"/>
      <c r="C6" s="63"/>
      <c r="D6" s="63"/>
      <c r="E6" s="64"/>
      <c r="F6" s="64"/>
      <c r="G6" s="65"/>
      <c r="H6" s="65"/>
      <c r="I6" s="66"/>
      <c r="J6" s="66"/>
      <c r="K6" s="67"/>
      <c r="L6" s="67"/>
      <c r="M6" s="68"/>
      <c r="N6" s="68"/>
    </row>
    <row r="7" spans="1:15" ht="7.5" customHeight="1" x14ac:dyDescent="0.35">
      <c r="A7" s="16"/>
      <c r="B7" s="16"/>
      <c r="C7" s="17"/>
      <c r="D7" s="17"/>
      <c r="E7" s="18"/>
      <c r="F7" s="18"/>
      <c r="G7" s="19"/>
      <c r="H7" s="19"/>
      <c r="I7" s="20"/>
      <c r="J7" s="20"/>
      <c r="K7" s="21"/>
      <c r="L7" s="21"/>
      <c r="M7" s="22"/>
      <c r="N7" s="22"/>
    </row>
    <row r="9" spans="1:15" ht="24" customHeight="1" x14ac:dyDescent="0.35">
      <c r="A9" s="74" t="s">
        <v>9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</row>
    <row r="10" spans="1:15" ht="30" customHeight="1" x14ac:dyDescent="0.35">
      <c r="A10" s="23" t="s">
        <v>10</v>
      </c>
      <c r="B10" s="23" t="s">
        <v>11</v>
      </c>
      <c r="C10" s="23" t="s">
        <v>12</v>
      </c>
      <c r="D10" s="23" t="s">
        <v>3</v>
      </c>
      <c r="E10" s="23" t="s">
        <v>13</v>
      </c>
      <c r="F10" s="23" t="s">
        <v>14</v>
      </c>
      <c r="G10" s="23" t="s">
        <v>15</v>
      </c>
      <c r="H10" s="23" t="s">
        <v>16</v>
      </c>
      <c r="I10" s="23" t="s">
        <v>17</v>
      </c>
    </row>
    <row r="11" spans="1:15" ht="21.75" customHeight="1" x14ac:dyDescent="0.35">
      <c r="A11" s="24" t="str">
        <f>'Contract Data'!B4</f>
        <v>Siemens Healthineers</v>
      </c>
      <c r="B11" s="25" t="str">
        <f>'Contract Data'!G4</f>
        <v>Active</v>
      </c>
      <c r="C11" s="26">
        <f>'Contract Data'!F4</f>
        <v>120</v>
      </c>
      <c r="D11" s="26" t="e">
        <f>'Contract Data'!#REF!</f>
        <v>#REF!</v>
      </c>
      <c r="E11" s="27" t="str">
        <f>'Contract Data'!O4</f>
        <v>Yes</v>
      </c>
      <c r="F11" s="27">
        <f>'Contract Data'!H4</f>
        <v>0.32</v>
      </c>
      <c r="G11" s="25">
        <f>'Contract Data'!I4</f>
        <v>8</v>
      </c>
      <c r="H11" s="25" t="str">
        <f>'Contract Data'!E4</f>
        <v>31-Mar-2025</v>
      </c>
      <c r="I11" s="24" t="str">
        <f>'Contract Data'!T4</f>
        <v>Renewal in discussion</v>
      </c>
      <c r="L11" s="75" t="s">
        <v>18</v>
      </c>
      <c r="M11" s="75"/>
      <c r="N11" s="75"/>
    </row>
    <row r="12" spans="1:15" ht="27.75" customHeight="1" x14ac:dyDescent="0.35">
      <c r="A12" s="28" t="str">
        <f>'Contract Data'!B5</f>
        <v>Mahindra &amp; Mahindra</v>
      </c>
      <c r="B12" s="29" t="str">
        <f>'Contract Data'!G5</f>
        <v>Active</v>
      </c>
      <c r="C12" s="30">
        <f>'Contract Data'!F5</f>
        <v>80</v>
      </c>
      <c r="D12" s="30" t="e">
        <f>'Contract Data'!#REF!</f>
        <v>#REF!</v>
      </c>
      <c r="E12" s="31" t="str">
        <f>'Contract Data'!O5</f>
        <v>No</v>
      </c>
      <c r="F12" s="31">
        <f>'Contract Data'!H5</f>
        <v>0.28000000000000003</v>
      </c>
      <c r="G12" s="29">
        <f>'Contract Data'!I5</f>
        <v>5</v>
      </c>
      <c r="H12" s="29" t="str">
        <f>'Contract Data'!E5</f>
        <v>14-Jun-2025</v>
      </c>
      <c r="I12" s="28">
        <f>'Contract Data'!T5</f>
        <v>0</v>
      </c>
      <c r="L12" s="32" t="s">
        <v>6</v>
      </c>
      <c r="M12" s="76">
        <f>COUNTIF('Contract Data'!G4:G8,"Active")</f>
        <v>3</v>
      </c>
      <c r="N12" s="76"/>
    </row>
    <row r="13" spans="1:15" ht="27.75" customHeight="1" x14ac:dyDescent="0.35">
      <c r="A13" s="24" t="str">
        <f>'Contract Data'!B6</f>
        <v>Wipro Limited</v>
      </c>
      <c r="B13" s="25" t="str">
        <f>'Contract Data'!G6</f>
        <v>Renewed</v>
      </c>
      <c r="C13" s="26">
        <f>'Contract Data'!F6</f>
        <v>60</v>
      </c>
      <c r="D13" s="26" t="e">
        <f>'Contract Data'!#REF!</f>
        <v>#REF!</v>
      </c>
      <c r="E13" s="27">
        <f>'Contract Data'!O6</f>
        <v>0</v>
      </c>
      <c r="F13" s="27">
        <f>'Contract Data'!H6</f>
        <v>0.3</v>
      </c>
      <c r="G13" s="25">
        <f>'Contract Data'!I6</f>
        <v>4</v>
      </c>
      <c r="H13" s="25" t="str">
        <f>'Contract Data'!E6</f>
        <v>31-Dec-2024</v>
      </c>
      <c r="I13" s="24" t="str">
        <f>'Contract Data'!T6</f>
        <v>Auto-renewed at +8%</v>
      </c>
      <c r="L13" s="33" t="s">
        <v>7</v>
      </c>
      <c r="M13" s="77">
        <f>COUNTIF('Contract Data'!G4:G8,"Renewed")</f>
        <v>1</v>
      </c>
      <c r="N13" s="77"/>
    </row>
    <row r="14" spans="1:15" ht="27.75" customHeight="1" x14ac:dyDescent="0.35">
      <c r="A14" s="28" t="str">
        <f>'Contract Data'!B7</f>
        <v>Honeywell</v>
      </c>
      <c r="B14" s="29" t="str">
        <f>'Contract Data'!G7</f>
        <v>Active</v>
      </c>
      <c r="C14" s="30">
        <f>'Contract Data'!F7</f>
        <v>95</v>
      </c>
      <c r="D14" s="30" t="e">
        <f>'Contract Data'!#REF!</f>
        <v>#REF!</v>
      </c>
      <c r="E14" s="31">
        <f>'Contract Data'!O7</f>
        <v>0</v>
      </c>
      <c r="F14" s="31">
        <f>'Contract Data'!H7</f>
        <v>0.35</v>
      </c>
      <c r="G14" s="29">
        <f>'Contract Data'!I7</f>
        <v>6</v>
      </c>
      <c r="H14" s="29" t="str">
        <f>'Contract Data'!E7</f>
        <v>30-Jun-2025</v>
      </c>
      <c r="I14" s="28">
        <f>'Contract Data'!T7</f>
        <v>0</v>
      </c>
      <c r="L14" s="34" t="s">
        <v>8</v>
      </c>
      <c r="M14" s="78">
        <f>COUNTIF('Contract Data'!G4:G8,"Expired")</f>
        <v>1</v>
      </c>
      <c r="N14" s="78"/>
    </row>
    <row r="15" spans="1:15" ht="19.5" customHeight="1" x14ac:dyDescent="0.35">
      <c r="A15" s="24" t="str">
        <f>'Contract Data'!B8</f>
        <v>HPE</v>
      </c>
      <c r="B15" s="25" t="str">
        <f>'Contract Data'!G8</f>
        <v>Expired</v>
      </c>
      <c r="C15" s="26">
        <f>'Contract Data'!F8</f>
        <v>50</v>
      </c>
      <c r="D15" s="26" t="e">
        <f>'Contract Data'!#REF!</f>
        <v>#REF!</v>
      </c>
      <c r="E15" s="27">
        <f>'Contract Data'!O8</f>
        <v>0</v>
      </c>
      <c r="F15" s="27">
        <f>'Contract Data'!H8</f>
        <v>0.25</v>
      </c>
      <c r="G15" s="25">
        <f>'Contract Data'!I8</f>
        <v>3</v>
      </c>
      <c r="H15" s="25" t="str">
        <f>'Contract Data'!E8</f>
        <v>28-Feb-2025</v>
      </c>
      <c r="I15" s="24" t="str">
        <f>'Contract Data'!T8</f>
        <v>Follow-up required</v>
      </c>
    </row>
    <row r="16" spans="1:15" x14ac:dyDescent="0.35">
      <c r="L16" s="75" t="s">
        <v>19</v>
      </c>
      <c r="M16" s="75"/>
      <c r="N16" s="75"/>
    </row>
    <row r="17" spans="1:14" ht="19.5" customHeight="1" x14ac:dyDescent="0.35">
      <c r="L17" s="24" t="str">
        <f>'Contract Data'!B4</f>
        <v>Siemens Healthineers</v>
      </c>
      <c r="M17" s="79">
        <f>'Contract Data'!I4</f>
        <v>8</v>
      </c>
      <c r="N17" s="79"/>
    </row>
    <row r="18" spans="1:14" ht="19.5" customHeight="1" x14ac:dyDescent="0.35">
      <c r="L18" s="28" t="str">
        <f>'Contract Data'!B5</f>
        <v>Mahindra &amp; Mahindra</v>
      </c>
      <c r="M18" s="80">
        <f>'Contract Data'!I5</f>
        <v>5</v>
      </c>
      <c r="N18" s="80"/>
    </row>
    <row r="19" spans="1:14" ht="19.5" customHeight="1" x14ac:dyDescent="0.35">
      <c r="L19" s="24" t="str">
        <f>'Contract Data'!B6</f>
        <v>Wipro Limited</v>
      </c>
      <c r="M19" s="79">
        <f>'Contract Data'!I6</f>
        <v>4</v>
      </c>
      <c r="N19" s="79"/>
    </row>
    <row r="20" spans="1:14" ht="19.5" customHeight="1" x14ac:dyDescent="0.35">
      <c r="A20" t="s">
        <v>10</v>
      </c>
      <c r="B20" t="s">
        <v>20</v>
      </c>
      <c r="C20" t="s">
        <v>21</v>
      </c>
      <c r="E20" t="s">
        <v>10</v>
      </c>
      <c r="F20" t="s">
        <v>14</v>
      </c>
      <c r="L20" s="28" t="str">
        <f>'Contract Data'!B7</f>
        <v>Honeywell</v>
      </c>
      <c r="M20" s="80">
        <f>'Contract Data'!I7</f>
        <v>6</v>
      </c>
      <c r="N20" s="80"/>
    </row>
    <row r="21" spans="1:14" ht="19.5" customHeight="1" x14ac:dyDescent="0.35">
      <c r="A21" t="str">
        <f>'Contract Data'!B4</f>
        <v>Siemens Healthineers</v>
      </c>
      <c r="B21" s="35">
        <f>'Contract Data'!F4</f>
        <v>120</v>
      </c>
      <c r="C21" s="35" t="e">
        <f>'Contract Data'!#REF!</f>
        <v>#REF!</v>
      </c>
      <c r="E21" t="str">
        <f>'Contract Data'!B4</f>
        <v>Siemens Healthineers</v>
      </c>
      <c r="F21" s="36">
        <f>'Contract Data'!H4</f>
        <v>0.32</v>
      </c>
      <c r="L21" s="24" t="str">
        <f>'Contract Data'!B8</f>
        <v>HPE</v>
      </c>
      <c r="M21" s="79">
        <f>'Contract Data'!I8</f>
        <v>3</v>
      </c>
      <c r="N21" s="79"/>
    </row>
    <row r="22" spans="1:14" x14ac:dyDescent="0.35">
      <c r="A22" t="str">
        <f>'Contract Data'!B5</f>
        <v>Mahindra &amp; Mahindra</v>
      </c>
      <c r="B22" s="35">
        <f>'Contract Data'!F5</f>
        <v>80</v>
      </c>
      <c r="C22" s="35" t="e">
        <f>'Contract Data'!#REF!</f>
        <v>#REF!</v>
      </c>
      <c r="E22" t="str">
        <f>'Contract Data'!B5</f>
        <v>Mahindra &amp; Mahindra</v>
      </c>
      <c r="F22" s="36">
        <f>'Contract Data'!H5</f>
        <v>0.28000000000000003</v>
      </c>
    </row>
    <row r="23" spans="1:14" x14ac:dyDescent="0.35">
      <c r="A23" t="str">
        <f>'Contract Data'!B6</f>
        <v>Wipro Limited</v>
      </c>
      <c r="B23" s="35">
        <f>'Contract Data'!F6</f>
        <v>60</v>
      </c>
      <c r="C23" s="35" t="e">
        <f>'Contract Data'!#REF!</f>
        <v>#REF!</v>
      </c>
      <c r="E23" t="str">
        <f>'Contract Data'!B6</f>
        <v>Wipro Limited</v>
      </c>
      <c r="F23" s="36">
        <f>'Contract Data'!H6</f>
        <v>0.3</v>
      </c>
    </row>
    <row r="24" spans="1:14" x14ac:dyDescent="0.35">
      <c r="A24" t="str">
        <f>'Contract Data'!B7</f>
        <v>Honeywell</v>
      </c>
      <c r="B24" s="35">
        <f>'Contract Data'!F7</f>
        <v>95</v>
      </c>
      <c r="C24" s="35" t="e">
        <f>'Contract Data'!#REF!</f>
        <v>#REF!</v>
      </c>
      <c r="E24" t="str">
        <f>'Contract Data'!B7</f>
        <v>Honeywell</v>
      </c>
      <c r="F24" s="36">
        <f>'Contract Data'!H7</f>
        <v>0.35</v>
      </c>
    </row>
    <row r="25" spans="1:14" x14ac:dyDescent="0.35">
      <c r="A25" t="str">
        <f>'Contract Data'!B8</f>
        <v>HPE</v>
      </c>
      <c r="B25" s="35">
        <f>'Contract Data'!F8</f>
        <v>50</v>
      </c>
      <c r="C25" s="35" t="e">
        <f>'Contract Data'!#REF!</f>
        <v>#REF!</v>
      </c>
      <c r="E25" t="str">
        <f>'Contract Data'!B8</f>
        <v>HPE</v>
      </c>
      <c r="F25" s="36">
        <f>'Contract Data'!H8</f>
        <v>0.25</v>
      </c>
    </row>
  </sheetData>
  <mergeCells count="34">
    <mergeCell ref="M21:N21"/>
    <mergeCell ref="L16:N16"/>
    <mergeCell ref="M17:N17"/>
    <mergeCell ref="M18:N18"/>
    <mergeCell ref="M19:N19"/>
    <mergeCell ref="M20:N20"/>
    <mergeCell ref="A9:N9"/>
    <mergeCell ref="L11:N11"/>
    <mergeCell ref="M12:N12"/>
    <mergeCell ref="M13:N13"/>
    <mergeCell ref="M14:N14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5:B5"/>
    <mergeCell ref="C5:D5"/>
    <mergeCell ref="E5:F5"/>
    <mergeCell ref="G5:H5"/>
    <mergeCell ref="I5:J5"/>
    <mergeCell ref="A1:O1"/>
    <mergeCell ref="A2:O2"/>
    <mergeCell ref="A4:B4"/>
    <mergeCell ref="C4:D4"/>
    <mergeCell ref="E4:F4"/>
    <mergeCell ref="G4:H4"/>
    <mergeCell ref="I4:J4"/>
    <mergeCell ref="K4:L4"/>
    <mergeCell ref="M4:N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showGridLines="0" tabSelected="1" zoomScaleNormal="100" workbookViewId="0">
      <pane ySplit="3" topLeftCell="A4" activePane="bottomLeft" state="frozen"/>
      <selection pane="bottomLeft" activeCell="F3" sqref="F3"/>
    </sheetView>
  </sheetViews>
  <sheetFormatPr defaultColWidth="8.54296875" defaultRowHeight="14.5" x14ac:dyDescent="0.35"/>
  <cols>
    <col min="1" max="1" width="4" customWidth="1"/>
    <col min="2" max="2" width="24" customWidth="1"/>
    <col min="3" max="3" width="11.81640625" customWidth="1"/>
    <col min="4" max="4" width="12.453125" customWidth="1"/>
    <col min="5" max="5" width="12" customWidth="1"/>
    <col min="6" max="6" width="10.7265625" customWidth="1"/>
    <col min="7" max="7" width="9.81640625" customWidth="1"/>
    <col min="8" max="8" width="9" customWidth="1"/>
    <col min="9" max="9" width="12" customWidth="1"/>
    <col min="10" max="10" width="10.1796875" customWidth="1"/>
    <col min="11" max="11" width="12" customWidth="1"/>
    <col min="12" max="13" width="10.7265625" customWidth="1"/>
    <col min="14" max="14" width="13.1796875" customWidth="1"/>
    <col min="15" max="18" width="13" customWidth="1"/>
    <col min="19" max="19" width="20.1796875" bestFit="1" customWidth="1"/>
    <col min="20" max="20" width="30" customWidth="1"/>
  </cols>
  <sheetData>
    <row r="1" spans="1:23" ht="36" customHeight="1" x14ac:dyDescent="0.35">
      <c r="A1" s="50" t="s">
        <v>22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1:23" ht="19.5" customHeight="1" x14ac:dyDescent="0.35">
      <c r="A2" s="51" t="s">
        <v>23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</row>
    <row r="3" spans="1:23" ht="36" customHeight="1" x14ac:dyDescent="0.35">
      <c r="A3" s="1" t="s">
        <v>24</v>
      </c>
      <c r="B3" s="1" t="s">
        <v>10</v>
      </c>
      <c r="C3" s="1" t="s">
        <v>25</v>
      </c>
      <c r="D3" s="1" t="s">
        <v>26</v>
      </c>
      <c r="E3" s="1" t="s">
        <v>16</v>
      </c>
      <c r="F3" s="1" t="s">
        <v>12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17</v>
      </c>
    </row>
    <row r="4" spans="1:23" ht="21.75" customHeight="1" x14ac:dyDescent="0.35">
      <c r="A4" s="2">
        <v>1</v>
      </c>
      <c r="B4" s="2" t="s">
        <v>40</v>
      </c>
      <c r="C4" s="2" t="s">
        <v>65</v>
      </c>
      <c r="D4" s="2" t="s">
        <v>41</v>
      </c>
      <c r="E4" s="2" t="s">
        <v>42</v>
      </c>
      <c r="F4" s="37">
        <v>120</v>
      </c>
      <c r="G4" s="3" t="s">
        <v>6</v>
      </c>
      <c r="H4" s="4">
        <v>0.32</v>
      </c>
      <c r="I4" s="2">
        <v>8</v>
      </c>
      <c r="J4" s="2"/>
      <c r="K4" s="82"/>
      <c r="L4" s="82"/>
      <c r="M4" s="2"/>
      <c r="N4" s="2"/>
      <c r="O4" s="5" t="s">
        <v>43</v>
      </c>
      <c r="P4" s="5" t="s">
        <v>43</v>
      </c>
      <c r="Q4" s="5"/>
      <c r="R4" s="5"/>
      <c r="S4" s="5" t="s">
        <v>44</v>
      </c>
      <c r="T4" s="2" t="s">
        <v>45</v>
      </c>
      <c r="W4" t="s">
        <v>46</v>
      </c>
    </row>
    <row r="5" spans="1:23" ht="29.5" customHeight="1" x14ac:dyDescent="0.35">
      <c r="A5" s="6">
        <v>2</v>
      </c>
      <c r="B5" s="6" t="s">
        <v>47</v>
      </c>
      <c r="C5" s="2"/>
      <c r="D5" s="6" t="s">
        <v>48</v>
      </c>
      <c r="E5" s="6" t="s">
        <v>49</v>
      </c>
      <c r="F5" s="38">
        <v>80</v>
      </c>
      <c r="G5" s="3" t="s">
        <v>6</v>
      </c>
      <c r="H5" s="7">
        <v>0.28000000000000003</v>
      </c>
      <c r="I5" s="6">
        <v>5</v>
      </c>
      <c r="J5" s="6"/>
      <c r="K5" s="6"/>
      <c r="L5" s="6"/>
      <c r="M5" s="2"/>
      <c r="N5" s="6"/>
      <c r="O5" s="8" t="s">
        <v>50</v>
      </c>
      <c r="P5" s="8" t="s">
        <v>50</v>
      </c>
      <c r="Q5" s="8"/>
      <c r="R5" s="8"/>
      <c r="S5" s="5" t="s">
        <v>44</v>
      </c>
      <c r="T5" s="6"/>
      <c r="W5" t="s">
        <v>51</v>
      </c>
    </row>
    <row r="6" spans="1:23" ht="21.75" customHeight="1" x14ac:dyDescent="0.35">
      <c r="A6" s="2">
        <v>3</v>
      </c>
      <c r="B6" s="2" t="s">
        <v>52</v>
      </c>
      <c r="C6" s="2"/>
      <c r="D6" s="2" t="s">
        <v>53</v>
      </c>
      <c r="E6" s="2" t="s">
        <v>54</v>
      </c>
      <c r="F6" s="37">
        <v>60</v>
      </c>
      <c r="G6" s="9" t="s">
        <v>7</v>
      </c>
      <c r="H6" s="4">
        <v>0.3</v>
      </c>
      <c r="I6" s="2">
        <v>4</v>
      </c>
      <c r="J6" s="2"/>
      <c r="K6" s="2"/>
      <c r="L6" s="2"/>
      <c r="M6" s="2"/>
      <c r="N6" s="2"/>
      <c r="O6" s="5"/>
      <c r="P6" s="5"/>
      <c r="Q6" s="5"/>
      <c r="R6" s="5"/>
      <c r="S6" s="5" t="s">
        <v>44</v>
      </c>
      <c r="T6" s="2" t="s">
        <v>55</v>
      </c>
    </row>
    <row r="7" spans="1:23" ht="21.75" customHeight="1" x14ac:dyDescent="0.35">
      <c r="A7" s="6">
        <v>4</v>
      </c>
      <c r="B7" s="6" t="s">
        <v>56</v>
      </c>
      <c r="C7" s="2"/>
      <c r="D7" s="6" t="s">
        <v>57</v>
      </c>
      <c r="E7" s="6" t="s">
        <v>58</v>
      </c>
      <c r="F7" s="38">
        <v>95</v>
      </c>
      <c r="G7" s="3" t="s">
        <v>6</v>
      </c>
      <c r="H7" s="7">
        <v>0.35</v>
      </c>
      <c r="I7" s="6">
        <v>6</v>
      </c>
      <c r="J7" s="6"/>
      <c r="K7" s="6"/>
      <c r="L7" s="6"/>
      <c r="M7" s="2"/>
      <c r="N7" s="6"/>
      <c r="O7" s="8"/>
      <c r="P7" s="8"/>
      <c r="Q7" s="8"/>
      <c r="R7" s="8"/>
      <c r="S7" s="5" t="s">
        <v>44</v>
      </c>
      <c r="T7" s="6"/>
    </row>
    <row r="8" spans="1:23" ht="21.75" customHeight="1" x14ac:dyDescent="0.35">
      <c r="A8" s="2">
        <v>5</v>
      </c>
      <c r="B8" s="2" t="s">
        <v>59</v>
      </c>
      <c r="C8" s="2"/>
      <c r="D8" s="2" t="s">
        <v>60</v>
      </c>
      <c r="E8" s="2" t="s">
        <v>61</v>
      </c>
      <c r="F8" s="37">
        <v>50</v>
      </c>
      <c r="G8" s="10" t="s">
        <v>8</v>
      </c>
      <c r="H8" s="4">
        <v>0.25</v>
      </c>
      <c r="I8" s="2">
        <v>3</v>
      </c>
      <c r="J8" s="2"/>
      <c r="K8" s="2"/>
      <c r="L8" s="2"/>
      <c r="M8" s="2"/>
      <c r="N8" s="2"/>
      <c r="O8" s="5"/>
      <c r="P8" s="5"/>
      <c r="Q8" s="5"/>
      <c r="R8" s="5"/>
      <c r="S8" s="5" t="s">
        <v>44</v>
      </c>
      <c r="T8" s="2" t="s">
        <v>62</v>
      </c>
    </row>
    <row r="9" spans="1:23" ht="21.75" customHeight="1" x14ac:dyDescent="0.35">
      <c r="A9" s="52" t="s">
        <v>63</v>
      </c>
      <c r="B9" s="52"/>
      <c r="C9" s="42"/>
      <c r="D9" s="39"/>
      <c r="E9" s="40">
        <f>SUM(F4:F8)</f>
        <v>405</v>
      </c>
      <c r="F9" s="40">
        <f>SUM(F4:F8)</f>
        <v>405</v>
      </c>
      <c r="G9" s="39"/>
      <c r="H9" s="41">
        <f>AVERAGE(H4:H8)</f>
        <v>0.3</v>
      </c>
      <c r="I9" s="11">
        <f>SUM(I4:I8)</f>
        <v>26</v>
      </c>
      <c r="J9" s="11"/>
      <c r="K9" s="11"/>
      <c r="L9" s="11"/>
      <c r="M9" s="11"/>
      <c r="N9" s="11"/>
      <c r="O9" s="39"/>
      <c r="P9" s="39"/>
      <c r="Q9" s="39"/>
      <c r="R9" s="39"/>
      <c r="S9" s="39"/>
      <c r="T9" s="39"/>
    </row>
    <row r="11" spans="1:23" x14ac:dyDescent="0.35">
      <c r="A11" s="12" t="s">
        <v>64</v>
      </c>
    </row>
    <row r="12" spans="1:23" x14ac:dyDescent="0.35">
      <c r="A12" s="13" t="s">
        <v>6</v>
      </c>
      <c r="B12" s="14" t="s">
        <v>7</v>
      </c>
      <c r="C12" s="14"/>
      <c r="D12" s="15" t="s">
        <v>8</v>
      </c>
    </row>
    <row r="16" spans="1:23" hidden="1" x14ac:dyDescent="0.35">
      <c r="B16" t="s">
        <v>65</v>
      </c>
    </row>
    <row r="17" spans="2:2" hidden="1" x14ac:dyDescent="0.35">
      <c r="B17" t="s">
        <v>66</v>
      </c>
    </row>
    <row r="18" spans="2:2" hidden="1" x14ac:dyDescent="0.35">
      <c r="B18" t="s">
        <v>67</v>
      </c>
    </row>
    <row r="19" spans="2:2" hidden="1" x14ac:dyDescent="0.35">
      <c r="B19" t="s">
        <v>68</v>
      </c>
    </row>
  </sheetData>
  <mergeCells count="3">
    <mergeCell ref="A1:T1"/>
    <mergeCell ref="A2:T2"/>
    <mergeCell ref="A9:B9"/>
  </mergeCells>
  <dataValidations count="2">
    <dataValidation type="list" allowBlank="1" showInputMessage="1" showErrorMessage="1" sqref="M4:M8" xr:uid="{F4423226-3F8A-4C12-B724-8635E2E436CC}">
      <formula1>$W$4:$W$5</formula1>
    </dataValidation>
    <dataValidation type="list" allowBlank="1" showInputMessage="1" showErrorMessage="1" sqref="C4:C8" xr:uid="{8E9A7ED2-A97F-4057-A7C8-45886F73C0AC}">
      <formula1>$B$16:$B$19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20CE-B4D1-4126-AD20-C6348C2892C8}">
  <dimension ref="A1:W53"/>
  <sheetViews>
    <sheetView topLeftCell="P1" workbookViewId="0">
      <selection activeCell="X3" sqref="X3"/>
    </sheetView>
  </sheetViews>
  <sheetFormatPr defaultRowHeight="14.5" x14ac:dyDescent="0.35"/>
  <cols>
    <col min="1" max="1" width="11.1796875" bestFit="1" customWidth="1"/>
    <col min="2" max="2" width="17.7265625" bestFit="1" customWidth="1"/>
    <col min="3" max="3" width="15" bestFit="1" customWidth="1"/>
    <col min="4" max="4" width="10.54296875" bestFit="1" customWidth="1"/>
    <col min="5" max="5" width="15.453125" bestFit="1" customWidth="1"/>
    <col min="6" max="6" width="15.7265625" bestFit="1" customWidth="1"/>
    <col min="7" max="7" width="21" bestFit="1" customWidth="1"/>
    <col min="8" max="8" width="20.1796875" bestFit="1" customWidth="1"/>
    <col min="9" max="9" width="19.81640625" bestFit="1" customWidth="1"/>
    <col min="10" max="10" width="26" bestFit="1" customWidth="1"/>
    <col min="11" max="11" width="15.26953125" bestFit="1" customWidth="1"/>
    <col min="12" max="12" width="22.7265625" bestFit="1" customWidth="1"/>
    <col min="13" max="13" width="22.54296875" bestFit="1" customWidth="1"/>
    <col min="14" max="14" width="17.26953125" bestFit="1" customWidth="1"/>
    <col min="15" max="15" width="18.453125" bestFit="1" customWidth="1"/>
    <col min="16" max="16" width="23.1796875" bestFit="1" customWidth="1"/>
    <col min="17" max="17" width="23" bestFit="1" customWidth="1"/>
    <col min="18" max="19" width="17.1796875" bestFit="1" customWidth="1"/>
    <col min="20" max="20" width="25.1796875" bestFit="1" customWidth="1"/>
    <col min="21" max="21" width="26.7265625" bestFit="1" customWidth="1"/>
    <col min="22" max="22" width="18" bestFit="1" customWidth="1"/>
    <col min="23" max="23" width="30.81640625" bestFit="1" customWidth="1"/>
  </cols>
  <sheetData>
    <row r="1" spans="1:23" ht="18" x14ac:dyDescent="0.4">
      <c r="A1" s="81" t="s">
        <v>69</v>
      </c>
      <c r="B1" s="81"/>
      <c r="C1" s="81"/>
      <c r="D1" s="81"/>
      <c r="E1" s="81"/>
      <c r="F1" s="81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3" x14ac:dyDescent="0.3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3" spans="1:23" x14ac:dyDescent="0.35">
      <c r="A3" s="48" t="s">
        <v>70</v>
      </c>
      <c r="B3" s="49" t="s">
        <v>71</v>
      </c>
      <c r="C3" s="49" t="s">
        <v>72</v>
      </c>
      <c r="D3" s="49" t="s">
        <v>73</v>
      </c>
      <c r="E3" s="49" t="s">
        <v>74</v>
      </c>
      <c r="F3" s="49" t="s">
        <v>75</v>
      </c>
      <c r="G3" s="49" t="s">
        <v>76</v>
      </c>
      <c r="H3" s="49" t="s">
        <v>77</v>
      </c>
      <c r="I3" s="49" t="s">
        <v>78</v>
      </c>
      <c r="J3" s="49" t="s">
        <v>79</v>
      </c>
      <c r="K3" s="49" t="s">
        <v>38</v>
      </c>
      <c r="L3" s="49" t="s">
        <v>80</v>
      </c>
      <c r="M3" s="49" t="s">
        <v>81</v>
      </c>
      <c r="N3" s="49" t="s">
        <v>37</v>
      </c>
      <c r="O3" s="49" t="s">
        <v>82</v>
      </c>
      <c r="P3" s="49" t="s">
        <v>83</v>
      </c>
      <c r="Q3" s="49" t="s">
        <v>84</v>
      </c>
      <c r="R3" s="49" t="s">
        <v>85</v>
      </c>
      <c r="S3" s="49" t="s">
        <v>86</v>
      </c>
      <c r="T3" s="49" t="s">
        <v>87</v>
      </c>
      <c r="U3" s="49" t="s">
        <v>88</v>
      </c>
      <c r="V3" s="49" t="s">
        <v>89</v>
      </c>
      <c r="W3" s="49" t="s">
        <v>90</v>
      </c>
    </row>
    <row r="4" spans="1:23" x14ac:dyDescent="0.35">
      <c r="A4" s="45" t="s">
        <v>91</v>
      </c>
      <c r="B4" s="46" t="s">
        <v>91</v>
      </c>
      <c r="C4" s="46" t="s">
        <v>91</v>
      </c>
      <c r="D4" s="46" t="s">
        <v>91</v>
      </c>
      <c r="E4" s="46" t="s">
        <v>91</v>
      </c>
      <c r="F4" s="46" t="s">
        <v>91</v>
      </c>
      <c r="G4" s="46" t="s">
        <v>91</v>
      </c>
      <c r="H4" s="46" t="s">
        <v>91</v>
      </c>
      <c r="I4" s="46" t="s">
        <v>91</v>
      </c>
      <c r="J4" s="46" t="s">
        <v>91</v>
      </c>
      <c r="K4" s="46" t="s">
        <v>91</v>
      </c>
      <c r="L4" s="46" t="s">
        <v>91</v>
      </c>
      <c r="M4" s="46" t="s">
        <v>91</v>
      </c>
      <c r="N4" s="46" t="s">
        <v>91</v>
      </c>
      <c r="O4" s="46" t="s">
        <v>91</v>
      </c>
      <c r="P4" s="46" t="s">
        <v>91</v>
      </c>
      <c r="Q4" s="46" t="s">
        <v>91</v>
      </c>
      <c r="R4" s="46" t="s">
        <v>91</v>
      </c>
      <c r="S4" s="46" t="s">
        <v>91</v>
      </c>
      <c r="T4" s="46" t="s">
        <v>91</v>
      </c>
      <c r="U4" s="46" t="s">
        <v>91</v>
      </c>
      <c r="V4" s="46" t="s">
        <v>91</v>
      </c>
      <c r="W4" s="46" t="s">
        <v>91</v>
      </c>
    </row>
    <row r="5" spans="1:23" x14ac:dyDescent="0.35">
      <c r="A5" s="47" t="s">
        <v>91</v>
      </c>
      <c r="B5" s="44" t="s">
        <v>91</v>
      </c>
      <c r="C5" s="44" t="s">
        <v>91</v>
      </c>
      <c r="D5" s="44" t="s">
        <v>91</v>
      </c>
      <c r="E5" s="44" t="s">
        <v>91</v>
      </c>
      <c r="F5" s="44" t="s">
        <v>91</v>
      </c>
      <c r="G5" s="44" t="s">
        <v>91</v>
      </c>
      <c r="H5" s="44" t="s">
        <v>91</v>
      </c>
      <c r="I5" s="44" t="s">
        <v>91</v>
      </c>
      <c r="J5" s="44" t="s">
        <v>91</v>
      </c>
      <c r="K5" s="44" t="s">
        <v>91</v>
      </c>
      <c r="L5" s="44" t="s">
        <v>91</v>
      </c>
      <c r="M5" s="44" t="s">
        <v>91</v>
      </c>
      <c r="N5" s="44" t="s">
        <v>91</v>
      </c>
      <c r="O5" s="44" t="s">
        <v>91</v>
      </c>
      <c r="P5" s="44" t="s">
        <v>91</v>
      </c>
      <c r="Q5" s="44" t="s">
        <v>91</v>
      </c>
      <c r="R5" s="44" t="s">
        <v>91</v>
      </c>
      <c r="S5" s="44" t="s">
        <v>91</v>
      </c>
      <c r="T5" s="44" t="s">
        <v>91</v>
      </c>
      <c r="U5" s="44" t="s">
        <v>91</v>
      </c>
      <c r="V5" s="44" t="s">
        <v>91</v>
      </c>
      <c r="W5" s="44" t="s">
        <v>91</v>
      </c>
    </row>
    <row r="6" spans="1:23" x14ac:dyDescent="0.35">
      <c r="A6" s="45" t="s">
        <v>91</v>
      </c>
      <c r="B6" s="46" t="s">
        <v>91</v>
      </c>
      <c r="C6" s="46" t="s">
        <v>91</v>
      </c>
      <c r="D6" s="46" t="s">
        <v>91</v>
      </c>
      <c r="E6" s="46" t="s">
        <v>91</v>
      </c>
      <c r="F6" s="46" t="s">
        <v>91</v>
      </c>
      <c r="G6" s="46" t="s">
        <v>91</v>
      </c>
      <c r="H6" s="46" t="s">
        <v>91</v>
      </c>
      <c r="I6" s="46" t="s">
        <v>91</v>
      </c>
      <c r="J6" s="46" t="s">
        <v>91</v>
      </c>
      <c r="K6" s="46" t="s">
        <v>91</v>
      </c>
      <c r="L6" s="46" t="s">
        <v>91</v>
      </c>
      <c r="M6" s="46" t="s">
        <v>91</v>
      </c>
      <c r="N6" s="46" t="s">
        <v>91</v>
      </c>
      <c r="O6" s="46" t="s">
        <v>91</v>
      </c>
      <c r="P6" s="46" t="s">
        <v>91</v>
      </c>
      <c r="Q6" s="46" t="s">
        <v>91</v>
      </c>
      <c r="R6" s="46" t="s">
        <v>91</v>
      </c>
      <c r="S6" s="46" t="s">
        <v>91</v>
      </c>
      <c r="T6" s="46" t="s">
        <v>91</v>
      </c>
      <c r="U6" s="46" t="s">
        <v>91</v>
      </c>
      <c r="V6" s="46" t="s">
        <v>91</v>
      </c>
      <c r="W6" s="46" t="s">
        <v>91</v>
      </c>
    </row>
    <row r="7" spans="1:23" x14ac:dyDescent="0.35">
      <c r="A7" s="47" t="s">
        <v>91</v>
      </c>
      <c r="B7" s="44" t="s">
        <v>91</v>
      </c>
      <c r="C7" s="44" t="s">
        <v>91</v>
      </c>
      <c r="D7" s="44" t="s">
        <v>91</v>
      </c>
      <c r="E7" s="44" t="s">
        <v>91</v>
      </c>
      <c r="F7" s="44" t="s">
        <v>91</v>
      </c>
      <c r="G7" s="44" t="s">
        <v>91</v>
      </c>
      <c r="H7" s="44" t="s">
        <v>91</v>
      </c>
      <c r="I7" s="44" t="s">
        <v>91</v>
      </c>
      <c r="J7" s="44" t="s">
        <v>91</v>
      </c>
      <c r="K7" s="44" t="s">
        <v>91</v>
      </c>
      <c r="L7" s="44" t="s">
        <v>91</v>
      </c>
      <c r="M7" s="44" t="s">
        <v>91</v>
      </c>
      <c r="N7" s="44" t="s">
        <v>91</v>
      </c>
      <c r="O7" s="44" t="s">
        <v>91</v>
      </c>
      <c r="P7" s="44" t="s">
        <v>91</v>
      </c>
      <c r="Q7" s="44" t="s">
        <v>91</v>
      </c>
      <c r="R7" s="44" t="s">
        <v>91</v>
      </c>
      <c r="S7" s="44" t="s">
        <v>91</v>
      </c>
      <c r="T7" s="44" t="s">
        <v>91</v>
      </c>
      <c r="U7" s="44" t="s">
        <v>91</v>
      </c>
      <c r="V7" s="44" t="s">
        <v>91</v>
      </c>
      <c r="W7" s="44" t="s">
        <v>91</v>
      </c>
    </row>
    <row r="8" spans="1:23" x14ac:dyDescent="0.35">
      <c r="A8" s="45" t="s">
        <v>91</v>
      </c>
      <c r="B8" s="46" t="s">
        <v>91</v>
      </c>
      <c r="C8" s="46" t="s">
        <v>91</v>
      </c>
      <c r="D8" s="46" t="s">
        <v>91</v>
      </c>
      <c r="E8" s="46" t="s">
        <v>91</v>
      </c>
      <c r="F8" s="46" t="s">
        <v>91</v>
      </c>
      <c r="G8" s="46" t="s">
        <v>91</v>
      </c>
      <c r="H8" s="46" t="s">
        <v>91</v>
      </c>
      <c r="I8" s="46" t="s">
        <v>91</v>
      </c>
      <c r="J8" s="46" t="s">
        <v>91</v>
      </c>
      <c r="K8" s="46" t="s">
        <v>91</v>
      </c>
      <c r="L8" s="46" t="s">
        <v>91</v>
      </c>
      <c r="M8" s="46" t="s">
        <v>91</v>
      </c>
      <c r="N8" s="46" t="s">
        <v>91</v>
      </c>
      <c r="O8" s="46" t="s">
        <v>91</v>
      </c>
      <c r="P8" s="46" t="s">
        <v>91</v>
      </c>
      <c r="Q8" s="46" t="s">
        <v>91</v>
      </c>
      <c r="R8" s="46" t="s">
        <v>91</v>
      </c>
      <c r="S8" s="46" t="s">
        <v>91</v>
      </c>
      <c r="T8" s="46" t="s">
        <v>91</v>
      </c>
      <c r="U8" s="46" t="s">
        <v>91</v>
      </c>
      <c r="V8" s="46" t="s">
        <v>91</v>
      </c>
      <c r="W8" s="46" t="s">
        <v>91</v>
      </c>
    </row>
    <row r="9" spans="1:23" x14ac:dyDescent="0.35">
      <c r="A9" s="47" t="s">
        <v>91</v>
      </c>
      <c r="B9" s="44" t="s">
        <v>91</v>
      </c>
      <c r="C9" s="44" t="s">
        <v>91</v>
      </c>
      <c r="D9" s="44" t="s">
        <v>91</v>
      </c>
      <c r="E9" s="44" t="s">
        <v>91</v>
      </c>
      <c r="F9" s="44" t="s">
        <v>91</v>
      </c>
      <c r="G9" s="44" t="s">
        <v>91</v>
      </c>
      <c r="H9" s="44" t="s">
        <v>91</v>
      </c>
      <c r="I9" s="44" t="s">
        <v>91</v>
      </c>
      <c r="J9" s="44" t="s">
        <v>91</v>
      </c>
      <c r="K9" s="44" t="s">
        <v>91</v>
      </c>
      <c r="L9" s="44" t="s">
        <v>91</v>
      </c>
      <c r="M9" s="44" t="s">
        <v>91</v>
      </c>
      <c r="N9" s="44" t="s">
        <v>91</v>
      </c>
      <c r="O9" s="44" t="s">
        <v>91</v>
      </c>
      <c r="P9" s="44" t="s">
        <v>91</v>
      </c>
      <c r="Q9" s="44" t="s">
        <v>91</v>
      </c>
      <c r="R9" s="44" t="s">
        <v>91</v>
      </c>
      <c r="S9" s="44" t="s">
        <v>91</v>
      </c>
      <c r="T9" s="44" t="s">
        <v>91</v>
      </c>
      <c r="U9" s="44" t="s">
        <v>91</v>
      </c>
      <c r="V9" s="44" t="s">
        <v>91</v>
      </c>
      <c r="W9" s="44" t="s">
        <v>91</v>
      </c>
    </row>
    <row r="10" spans="1:23" x14ac:dyDescent="0.35">
      <c r="A10" s="45" t="s">
        <v>91</v>
      </c>
      <c r="B10" s="46" t="s">
        <v>91</v>
      </c>
      <c r="C10" s="46" t="s">
        <v>91</v>
      </c>
      <c r="D10" s="46" t="s">
        <v>91</v>
      </c>
      <c r="E10" s="46" t="s">
        <v>91</v>
      </c>
      <c r="F10" s="46" t="s">
        <v>91</v>
      </c>
      <c r="G10" s="46" t="s">
        <v>91</v>
      </c>
      <c r="H10" s="46" t="s">
        <v>91</v>
      </c>
      <c r="I10" s="46" t="s">
        <v>91</v>
      </c>
      <c r="J10" s="46" t="s">
        <v>91</v>
      </c>
      <c r="K10" s="46" t="s">
        <v>91</v>
      </c>
      <c r="L10" s="46" t="s">
        <v>91</v>
      </c>
      <c r="M10" s="46" t="s">
        <v>91</v>
      </c>
      <c r="N10" s="46" t="s">
        <v>91</v>
      </c>
      <c r="O10" s="46" t="s">
        <v>91</v>
      </c>
      <c r="P10" s="46" t="s">
        <v>91</v>
      </c>
      <c r="Q10" s="46" t="s">
        <v>91</v>
      </c>
      <c r="R10" s="46" t="s">
        <v>91</v>
      </c>
      <c r="S10" s="46" t="s">
        <v>91</v>
      </c>
      <c r="T10" s="46" t="s">
        <v>91</v>
      </c>
      <c r="U10" s="46" t="s">
        <v>91</v>
      </c>
      <c r="V10" s="46" t="s">
        <v>91</v>
      </c>
      <c r="W10" s="46" t="s">
        <v>91</v>
      </c>
    </row>
    <row r="11" spans="1:23" x14ac:dyDescent="0.35">
      <c r="A11" s="47" t="s">
        <v>91</v>
      </c>
      <c r="B11" s="44" t="s">
        <v>91</v>
      </c>
      <c r="C11" s="44" t="s">
        <v>91</v>
      </c>
      <c r="D11" s="44" t="s">
        <v>91</v>
      </c>
      <c r="E11" s="44" t="s">
        <v>91</v>
      </c>
      <c r="F11" s="44" t="s">
        <v>91</v>
      </c>
      <c r="G11" s="44" t="s">
        <v>91</v>
      </c>
      <c r="H11" s="44" t="s">
        <v>91</v>
      </c>
      <c r="I11" s="44" t="s">
        <v>91</v>
      </c>
      <c r="J11" s="44" t="s">
        <v>91</v>
      </c>
      <c r="K11" s="44" t="s">
        <v>91</v>
      </c>
      <c r="L11" s="44" t="s">
        <v>91</v>
      </c>
      <c r="M11" s="44" t="s">
        <v>91</v>
      </c>
      <c r="N11" s="44" t="s">
        <v>91</v>
      </c>
      <c r="O11" s="44" t="s">
        <v>91</v>
      </c>
      <c r="P11" s="44" t="s">
        <v>91</v>
      </c>
      <c r="Q11" s="44" t="s">
        <v>91</v>
      </c>
      <c r="R11" s="44" t="s">
        <v>91</v>
      </c>
      <c r="S11" s="44" t="s">
        <v>91</v>
      </c>
      <c r="T11" s="44" t="s">
        <v>91</v>
      </c>
      <c r="U11" s="44" t="s">
        <v>91</v>
      </c>
      <c r="V11" s="44" t="s">
        <v>91</v>
      </c>
      <c r="W11" s="44" t="s">
        <v>91</v>
      </c>
    </row>
    <row r="12" spans="1:23" x14ac:dyDescent="0.35">
      <c r="A12" s="45" t="s">
        <v>91</v>
      </c>
      <c r="B12" s="46" t="s">
        <v>91</v>
      </c>
      <c r="C12" s="46" t="s">
        <v>91</v>
      </c>
      <c r="D12" s="46" t="s">
        <v>91</v>
      </c>
      <c r="E12" s="46" t="s">
        <v>91</v>
      </c>
      <c r="F12" s="46" t="s">
        <v>91</v>
      </c>
      <c r="G12" s="46" t="s">
        <v>91</v>
      </c>
      <c r="H12" s="46" t="s">
        <v>91</v>
      </c>
      <c r="I12" s="46" t="s">
        <v>91</v>
      </c>
      <c r="J12" s="46" t="s">
        <v>91</v>
      </c>
      <c r="K12" s="46" t="s">
        <v>91</v>
      </c>
      <c r="L12" s="46" t="s">
        <v>91</v>
      </c>
      <c r="M12" s="46" t="s">
        <v>91</v>
      </c>
      <c r="N12" s="46" t="s">
        <v>91</v>
      </c>
      <c r="O12" s="46" t="s">
        <v>91</v>
      </c>
      <c r="P12" s="46" t="s">
        <v>91</v>
      </c>
      <c r="Q12" s="46" t="s">
        <v>91</v>
      </c>
      <c r="R12" s="46" t="s">
        <v>91</v>
      </c>
      <c r="S12" s="46" t="s">
        <v>91</v>
      </c>
      <c r="T12" s="46" t="s">
        <v>91</v>
      </c>
      <c r="U12" s="46" t="s">
        <v>91</v>
      </c>
      <c r="V12" s="46" t="s">
        <v>91</v>
      </c>
      <c r="W12" s="46" t="s">
        <v>91</v>
      </c>
    </row>
    <row r="13" spans="1:23" x14ac:dyDescent="0.35">
      <c r="A13" s="47" t="s">
        <v>91</v>
      </c>
      <c r="B13" s="44" t="s">
        <v>91</v>
      </c>
      <c r="C13" s="44" t="s">
        <v>91</v>
      </c>
      <c r="D13" s="44" t="s">
        <v>91</v>
      </c>
      <c r="E13" s="44" t="s">
        <v>91</v>
      </c>
      <c r="F13" s="44" t="s">
        <v>91</v>
      </c>
      <c r="G13" s="44" t="s">
        <v>91</v>
      </c>
      <c r="H13" s="44" t="s">
        <v>91</v>
      </c>
      <c r="I13" s="44" t="s">
        <v>91</v>
      </c>
      <c r="J13" s="44" t="s">
        <v>91</v>
      </c>
      <c r="K13" s="44" t="s">
        <v>91</v>
      </c>
      <c r="L13" s="44" t="s">
        <v>91</v>
      </c>
      <c r="M13" s="44" t="s">
        <v>91</v>
      </c>
      <c r="N13" s="44" t="s">
        <v>91</v>
      </c>
      <c r="O13" s="44" t="s">
        <v>91</v>
      </c>
      <c r="P13" s="44" t="s">
        <v>91</v>
      </c>
      <c r="Q13" s="44" t="s">
        <v>91</v>
      </c>
      <c r="R13" s="44" t="s">
        <v>91</v>
      </c>
      <c r="S13" s="44" t="s">
        <v>91</v>
      </c>
      <c r="T13" s="44" t="s">
        <v>91</v>
      </c>
      <c r="U13" s="44" t="s">
        <v>91</v>
      </c>
      <c r="V13" s="44" t="s">
        <v>91</v>
      </c>
      <c r="W13" s="44" t="s">
        <v>91</v>
      </c>
    </row>
    <row r="14" spans="1:23" x14ac:dyDescent="0.35">
      <c r="A14" s="45" t="s">
        <v>91</v>
      </c>
      <c r="B14" s="46" t="s">
        <v>91</v>
      </c>
      <c r="C14" s="46" t="s">
        <v>91</v>
      </c>
      <c r="D14" s="46" t="s">
        <v>91</v>
      </c>
      <c r="E14" s="46" t="s">
        <v>91</v>
      </c>
      <c r="F14" s="46" t="s">
        <v>91</v>
      </c>
      <c r="G14" s="46" t="s">
        <v>91</v>
      </c>
      <c r="H14" s="46" t="s">
        <v>91</v>
      </c>
      <c r="I14" s="46" t="s">
        <v>91</v>
      </c>
      <c r="J14" s="46" t="s">
        <v>91</v>
      </c>
      <c r="K14" s="46" t="s">
        <v>91</v>
      </c>
      <c r="L14" s="46" t="s">
        <v>91</v>
      </c>
      <c r="M14" s="46" t="s">
        <v>91</v>
      </c>
      <c r="N14" s="46" t="s">
        <v>91</v>
      </c>
      <c r="O14" s="46" t="s">
        <v>91</v>
      </c>
      <c r="P14" s="46" t="s">
        <v>91</v>
      </c>
      <c r="Q14" s="46" t="s">
        <v>91</v>
      </c>
      <c r="R14" s="46" t="s">
        <v>91</v>
      </c>
      <c r="S14" s="46" t="s">
        <v>91</v>
      </c>
      <c r="T14" s="46" t="s">
        <v>91</v>
      </c>
      <c r="U14" s="46" t="s">
        <v>91</v>
      </c>
      <c r="V14" s="46" t="s">
        <v>91</v>
      </c>
      <c r="W14" s="46" t="s">
        <v>91</v>
      </c>
    </row>
    <row r="15" spans="1:23" x14ac:dyDescent="0.35">
      <c r="A15" s="47" t="s">
        <v>91</v>
      </c>
      <c r="B15" s="44" t="s">
        <v>91</v>
      </c>
      <c r="C15" s="44" t="s">
        <v>91</v>
      </c>
      <c r="D15" s="44" t="s">
        <v>91</v>
      </c>
      <c r="E15" s="44" t="s">
        <v>91</v>
      </c>
      <c r="F15" s="44" t="s">
        <v>91</v>
      </c>
      <c r="G15" s="44" t="s">
        <v>91</v>
      </c>
      <c r="H15" s="44" t="s">
        <v>91</v>
      </c>
      <c r="I15" s="44" t="s">
        <v>91</v>
      </c>
      <c r="J15" s="44" t="s">
        <v>91</v>
      </c>
      <c r="K15" s="44" t="s">
        <v>91</v>
      </c>
      <c r="L15" s="44" t="s">
        <v>91</v>
      </c>
      <c r="M15" s="44" t="s">
        <v>91</v>
      </c>
      <c r="N15" s="44" t="s">
        <v>91</v>
      </c>
      <c r="O15" s="44" t="s">
        <v>91</v>
      </c>
      <c r="P15" s="44" t="s">
        <v>91</v>
      </c>
      <c r="Q15" s="44" t="s">
        <v>91</v>
      </c>
      <c r="R15" s="44" t="s">
        <v>91</v>
      </c>
      <c r="S15" s="44" t="s">
        <v>91</v>
      </c>
      <c r="T15" s="44" t="s">
        <v>91</v>
      </c>
      <c r="U15" s="44" t="s">
        <v>91</v>
      </c>
      <c r="V15" s="44" t="s">
        <v>91</v>
      </c>
      <c r="W15" s="44" t="s">
        <v>91</v>
      </c>
    </row>
    <row r="16" spans="1:23" x14ac:dyDescent="0.35">
      <c r="A16" s="45" t="s">
        <v>91</v>
      </c>
      <c r="B16" s="46" t="s">
        <v>91</v>
      </c>
      <c r="C16" s="46" t="s">
        <v>91</v>
      </c>
      <c r="D16" s="46" t="s">
        <v>91</v>
      </c>
      <c r="E16" s="46" t="s">
        <v>91</v>
      </c>
      <c r="F16" s="46" t="s">
        <v>91</v>
      </c>
      <c r="G16" s="46" t="s">
        <v>91</v>
      </c>
      <c r="H16" s="46" t="s">
        <v>91</v>
      </c>
      <c r="I16" s="46" t="s">
        <v>91</v>
      </c>
      <c r="J16" s="46" t="s">
        <v>91</v>
      </c>
      <c r="K16" s="46" t="s">
        <v>91</v>
      </c>
      <c r="L16" s="46" t="s">
        <v>91</v>
      </c>
      <c r="M16" s="46" t="s">
        <v>91</v>
      </c>
      <c r="N16" s="46" t="s">
        <v>91</v>
      </c>
      <c r="O16" s="46" t="s">
        <v>91</v>
      </c>
      <c r="P16" s="46" t="s">
        <v>91</v>
      </c>
      <c r="Q16" s="46" t="s">
        <v>91</v>
      </c>
      <c r="R16" s="46" t="s">
        <v>91</v>
      </c>
      <c r="S16" s="46" t="s">
        <v>91</v>
      </c>
      <c r="T16" s="46" t="s">
        <v>91</v>
      </c>
      <c r="U16" s="46" t="s">
        <v>91</v>
      </c>
      <c r="V16" s="46" t="s">
        <v>91</v>
      </c>
      <c r="W16" s="46" t="s">
        <v>91</v>
      </c>
    </row>
    <row r="17" spans="1:23" x14ac:dyDescent="0.35">
      <c r="A17" s="47" t="s">
        <v>91</v>
      </c>
      <c r="B17" s="44" t="s">
        <v>91</v>
      </c>
      <c r="C17" s="44" t="s">
        <v>91</v>
      </c>
      <c r="D17" s="44" t="s">
        <v>91</v>
      </c>
      <c r="E17" s="44" t="s">
        <v>91</v>
      </c>
      <c r="F17" s="44" t="s">
        <v>91</v>
      </c>
      <c r="G17" s="44" t="s">
        <v>91</v>
      </c>
      <c r="H17" s="44" t="s">
        <v>91</v>
      </c>
      <c r="I17" s="44" t="s">
        <v>91</v>
      </c>
      <c r="J17" s="44" t="s">
        <v>91</v>
      </c>
      <c r="K17" s="44" t="s">
        <v>91</v>
      </c>
      <c r="L17" s="44" t="s">
        <v>91</v>
      </c>
      <c r="M17" s="44" t="s">
        <v>91</v>
      </c>
      <c r="N17" s="44" t="s">
        <v>91</v>
      </c>
      <c r="O17" s="44" t="s">
        <v>91</v>
      </c>
      <c r="P17" s="44" t="s">
        <v>91</v>
      </c>
      <c r="Q17" s="44" t="s">
        <v>91</v>
      </c>
      <c r="R17" s="44" t="s">
        <v>91</v>
      </c>
      <c r="S17" s="44" t="s">
        <v>91</v>
      </c>
      <c r="T17" s="44" t="s">
        <v>91</v>
      </c>
      <c r="U17" s="44" t="s">
        <v>91</v>
      </c>
      <c r="V17" s="44" t="s">
        <v>91</v>
      </c>
      <c r="W17" s="44" t="s">
        <v>91</v>
      </c>
    </row>
    <row r="18" spans="1:23" x14ac:dyDescent="0.35">
      <c r="A18" s="45" t="s">
        <v>91</v>
      </c>
      <c r="B18" s="46" t="s">
        <v>91</v>
      </c>
      <c r="C18" s="46" t="s">
        <v>91</v>
      </c>
      <c r="D18" s="46" t="s">
        <v>91</v>
      </c>
      <c r="E18" s="46" t="s">
        <v>91</v>
      </c>
      <c r="F18" s="46" t="s">
        <v>91</v>
      </c>
      <c r="G18" s="46" t="s">
        <v>91</v>
      </c>
      <c r="H18" s="46" t="s">
        <v>91</v>
      </c>
      <c r="I18" s="46" t="s">
        <v>91</v>
      </c>
      <c r="J18" s="46" t="s">
        <v>91</v>
      </c>
      <c r="K18" s="46" t="s">
        <v>91</v>
      </c>
      <c r="L18" s="46" t="s">
        <v>91</v>
      </c>
      <c r="M18" s="46" t="s">
        <v>91</v>
      </c>
      <c r="N18" s="46" t="s">
        <v>91</v>
      </c>
      <c r="O18" s="46" t="s">
        <v>91</v>
      </c>
      <c r="P18" s="46" t="s">
        <v>91</v>
      </c>
      <c r="Q18" s="46" t="s">
        <v>91</v>
      </c>
      <c r="R18" s="46" t="s">
        <v>91</v>
      </c>
      <c r="S18" s="46" t="s">
        <v>91</v>
      </c>
      <c r="T18" s="46" t="s">
        <v>91</v>
      </c>
      <c r="U18" s="46" t="s">
        <v>91</v>
      </c>
      <c r="V18" s="46" t="s">
        <v>91</v>
      </c>
      <c r="W18" s="46" t="s">
        <v>91</v>
      </c>
    </row>
    <row r="19" spans="1:23" x14ac:dyDescent="0.35">
      <c r="A19" s="47" t="s">
        <v>91</v>
      </c>
      <c r="B19" s="44" t="s">
        <v>91</v>
      </c>
      <c r="C19" s="44" t="s">
        <v>91</v>
      </c>
      <c r="D19" s="44" t="s">
        <v>91</v>
      </c>
      <c r="E19" s="44" t="s">
        <v>91</v>
      </c>
      <c r="F19" s="44" t="s">
        <v>91</v>
      </c>
      <c r="G19" s="44" t="s">
        <v>91</v>
      </c>
      <c r="H19" s="44" t="s">
        <v>91</v>
      </c>
      <c r="I19" s="44" t="s">
        <v>91</v>
      </c>
      <c r="J19" s="44" t="s">
        <v>91</v>
      </c>
      <c r="K19" s="44" t="s">
        <v>91</v>
      </c>
      <c r="L19" s="44" t="s">
        <v>91</v>
      </c>
      <c r="M19" s="44" t="s">
        <v>91</v>
      </c>
      <c r="N19" s="44" t="s">
        <v>91</v>
      </c>
      <c r="O19" s="44" t="s">
        <v>91</v>
      </c>
      <c r="P19" s="44" t="s">
        <v>91</v>
      </c>
      <c r="Q19" s="44" t="s">
        <v>91</v>
      </c>
      <c r="R19" s="44" t="s">
        <v>91</v>
      </c>
      <c r="S19" s="44" t="s">
        <v>91</v>
      </c>
      <c r="T19" s="44" t="s">
        <v>91</v>
      </c>
      <c r="U19" s="44" t="s">
        <v>91</v>
      </c>
      <c r="V19" s="44" t="s">
        <v>91</v>
      </c>
      <c r="W19" s="44" t="s">
        <v>91</v>
      </c>
    </row>
    <row r="20" spans="1:23" x14ac:dyDescent="0.35">
      <c r="A20" s="45" t="s">
        <v>91</v>
      </c>
      <c r="B20" s="46" t="s">
        <v>91</v>
      </c>
      <c r="C20" s="46" t="s">
        <v>91</v>
      </c>
      <c r="D20" s="46" t="s">
        <v>91</v>
      </c>
      <c r="E20" s="46" t="s">
        <v>91</v>
      </c>
      <c r="F20" s="46" t="s">
        <v>91</v>
      </c>
      <c r="G20" s="46" t="s">
        <v>91</v>
      </c>
      <c r="H20" s="46" t="s">
        <v>91</v>
      </c>
      <c r="I20" s="46" t="s">
        <v>91</v>
      </c>
      <c r="J20" s="46" t="s">
        <v>91</v>
      </c>
      <c r="K20" s="46" t="s">
        <v>91</v>
      </c>
      <c r="L20" s="46" t="s">
        <v>91</v>
      </c>
      <c r="M20" s="46" t="s">
        <v>91</v>
      </c>
      <c r="N20" s="46" t="s">
        <v>91</v>
      </c>
      <c r="O20" s="46" t="s">
        <v>91</v>
      </c>
      <c r="P20" s="46" t="s">
        <v>91</v>
      </c>
      <c r="Q20" s="46" t="s">
        <v>91</v>
      </c>
      <c r="R20" s="46" t="s">
        <v>91</v>
      </c>
      <c r="S20" s="46" t="s">
        <v>91</v>
      </c>
      <c r="T20" s="46" t="s">
        <v>91</v>
      </c>
      <c r="U20" s="46" t="s">
        <v>91</v>
      </c>
      <c r="V20" s="46" t="s">
        <v>91</v>
      </c>
      <c r="W20" s="46" t="s">
        <v>91</v>
      </c>
    </row>
    <row r="21" spans="1:23" x14ac:dyDescent="0.35">
      <c r="A21" s="47" t="s">
        <v>91</v>
      </c>
      <c r="B21" s="44" t="s">
        <v>91</v>
      </c>
      <c r="C21" s="44" t="s">
        <v>91</v>
      </c>
      <c r="D21" s="44" t="s">
        <v>91</v>
      </c>
      <c r="E21" s="44" t="s">
        <v>91</v>
      </c>
      <c r="F21" s="44" t="s">
        <v>91</v>
      </c>
      <c r="G21" s="44" t="s">
        <v>91</v>
      </c>
      <c r="H21" s="44" t="s">
        <v>91</v>
      </c>
      <c r="I21" s="44" t="s">
        <v>91</v>
      </c>
      <c r="J21" s="44" t="s">
        <v>91</v>
      </c>
      <c r="K21" s="44" t="s">
        <v>91</v>
      </c>
      <c r="L21" s="44" t="s">
        <v>91</v>
      </c>
      <c r="M21" s="44" t="s">
        <v>91</v>
      </c>
      <c r="N21" s="44" t="s">
        <v>91</v>
      </c>
      <c r="O21" s="44" t="s">
        <v>91</v>
      </c>
      <c r="P21" s="44" t="s">
        <v>91</v>
      </c>
      <c r="Q21" s="44" t="s">
        <v>91</v>
      </c>
      <c r="R21" s="44" t="s">
        <v>91</v>
      </c>
      <c r="S21" s="44" t="s">
        <v>91</v>
      </c>
      <c r="T21" s="44" t="s">
        <v>91</v>
      </c>
      <c r="U21" s="44" t="s">
        <v>91</v>
      </c>
      <c r="V21" s="44" t="s">
        <v>91</v>
      </c>
      <c r="W21" s="44" t="s">
        <v>91</v>
      </c>
    </row>
    <row r="22" spans="1:23" x14ac:dyDescent="0.35">
      <c r="A22" s="45" t="s">
        <v>91</v>
      </c>
      <c r="B22" s="46" t="s">
        <v>91</v>
      </c>
      <c r="C22" s="46" t="s">
        <v>91</v>
      </c>
      <c r="D22" s="46" t="s">
        <v>91</v>
      </c>
      <c r="E22" s="46" t="s">
        <v>91</v>
      </c>
      <c r="F22" s="46" t="s">
        <v>91</v>
      </c>
      <c r="G22" s="46" t="s">
        <v>91</v>
      </c>
      <c r="H22" s="46" t="s">
        <v>91</v>
      </c>
      <c r="I22" s="46" t="s">
        <v>91</v>
      </c>
      <c r="J22" s="46" t="s">
        <v>91</v>
      </c>
      <c r="K22" s="46" t="s">
        <v>91</v>
      </c>
      <c r="L22" s="46" t="s">
        <v>91</v>
      </c>
      <c r="M22" s="46" t="s">
        <v>91</v>
      </c>
      <c r="N22" s="46" t="s">
        <v>91</v>
      </c>
      <c r="O22" s="46" t="s">
        <v>91</v>
      </c>
      <c r="P22" s="46" t="s">
        <v>91</v>
      </c>
      <c r="Q22" s="46" t="s">
        <v>91</v>
      </c>
      <c r="R22" s="46" t="s">
        <v>91</v>
      </c>
      <c r="S22" s="46" t="s">
        <v>91</v>
      </c>
      <c r="T22" s="46" t="s">
        <v>91</v>
      </c>
      <c r="U22" s="46" t="s">
        <v>91</v>
      </c>
      <c r="V22" s="46" t="s">
        <v>91</v>
      </c>
      <c r="W22" s="46" t="s">
        <v>91</v>
      </c>
    </row>
    <row r="23" spans="1:23" x14ac:dyDescent="0.35">
      <c r="A23" s="47" t="s">
        <v>91</v>
      </c>
      <c r="B23" s="44" t="s">
        <v>91</v>
      </c>
      <c r="C23" s="44" t="s">
        <v>91</v>
      </c>
      <c r="D23" s="44" t="s">
        <v>91</v>
      </c>
      <c r="E23" s="44" t="s">
        <v>91</v>
      </c>
      <c r="F23" s="44" t="s">
        <v>91</v>
      </c>
      <c r="G23" s="44" t="s">
        <v>91</v>
      </c>
      <c r="H23" s="44" t="s">
        <v>91</v>
      </c>
      <c r="I23" s="44" t="s">
        <v>91</v>
      </c>
      <c r="J23" s="44" t="s">
        <v>91</v>
      </c>
      <c r="K23" s="44" t="s">
        <v>91</v>
      </c>
      <c r="L23" s="44" t="s">
        <v>91</v>
      </c>
      <c r="M23" s="44" t="s">
        <v>91</v>
      </c>
      <c r="N23" s="44" t="s">
        <v>91</v>
      </c>
      <c r="O23" s="44" t="s">
        <v>91</v>
      </c>
      <c r="P23" s="44" t="s">
        <v>91</v>
      </c>
      <c r="Q23" s="44" t="s">
        <v>91</v>
      </c>
      <c r="R23" s="44" t="s">
        <v>91</v>
      </c>
      <c r="S23" s="44" t="s">
        <v>91</v>
      </c>
      <c r="T23" s="44" t="s">
        <v>91</v>
      </c>
      <c r="U23" s="44" t="s">
        <v>91</v>
      </c>
      <c r="V23" s="44" t="s">
        <v>91</v>
      </c>
      <c r="W23" s="44" t="s">
        <v>91</v>
      </c>
    </row>
    <row r="24" spans="1:23" x14ac:dyDescent="0.35">
      <c r="A24" s="45" t="s">
        <v>91</v>
      </c>
      <c r="B24" s="46" t="s">
        <v>91</v>
      </c>
      <c r="C24" s="46" t="s">
        <v>91</v>
      </c>
      <c r="D24" s="46" t="s">
        <v>91</v>
      </c>
      <c r="E24" s="46" t="s">
        <v>91</v>
      </c>
      <c r="F24" s="46" t="s">
        <v>91</v>
      </c>
      <c r="G24" s="46" t="s">
        <v>91</v>
      </c>
      <c r="H24" s="46" t="s">
        <v>91</v>
      </c>
      <c r="I24" s="46" t="s">
        <v>91</v>
      </c>
      <c r="J24" s="46" t="s">
        <v>91</v>
      </c>
      <c r="K24" s="46" t="s">
        <v>91</v>
      </c>
      <c r="L24" s="46" t="s">
        <v>91</v>
      </c>
      <c r="M24" s="46" t="s">
        <v>91</v>
      </c>
      <c r="N24" s="46" t="s">
        <v>91</v>
      </c>
      <c r="O24" s="46" t="s">
        <v>91</v>
      </c>
      <c r="P24" s="46" t="s">
        <v>91</v>
      </c>
      <c r="Q24" s="46" t="s">
        <v>91</v>
      </c>
      <c r="R24" s="46" t="s">
        <v>91</v>
      </c>
      <c r="S24" s="46" t="s">
        <v>91</v>
      </c>
      <c r="T24" s="46" t="s">
        <v>91</v>
      </c>
      <c r="U24" s="46" t="s">
        <v>91</v>
      </c>
      <c r="V24" s="46" t="s">
        <v>91</v>
      </c>
      <c r="W24" s="46" t="s">
        <v>91</v>
      </c>
    </row>
    <row r="25" spans="1:23" x14ac:dyDescent="0.35">
      <c r="A25" s="47" t="s">
        <v>91</v>
      </c>
      <c r="B25" s="44" t="s">
        <v>91</v>
      </c>
      <c r="C25" s="44" t="s">
        <v>91</v>
      </c>
      <c r="D25" s="44" t="s">
        <v>91</v>
      </c>
      <c r="E25" s="44" t="s">
        <v>91</v>
      </c>
      <c r="F25" s="44" t="s">
        <v>91</v>
      </c>
      <c r="G25" s="44" t="s">
        <v>91</v>
      </c>
      <c r="H25" s="44" t="s">
        <v>91</v>
      </c>
      <c r="I25" s="44" t="s">
        <v>91</v>
      </c>
      <c r="J25" s="44" t="s">
        <v>91</v>
      </c>
      <c r="K25" s="44" t="s">
        <v>91</v>
      </c>
      <c r="L25" s="44" t="s">
        <v>91</v>
      </c>
      <c r="M25" s="44" t="s">
        <v>91</v>
      </c>
      <c r="N25" s="44" t="s">
        <v>91</v>
      </c>
      <c r="O25" s="44" t="s">
        <v>91</v>
      </c>
      <c r="P25" s="44" t="s">
        <v>91</v>
      </c>
      <c r="Q25" s="44" t="s">
        <v>91</v>
      </c>
      <c r="R25" s="44" t="s">
        <v>91</v>
      </c>
      <c r="S25" s="44" t="s">
        <v>91</v>
      </c>
      <c r="T25" s="44" t="s">
        <v>91</v>
      </c>
      <c r="U25" s="44" t="s">
        <v>91</v>
      </c>
      <c r="V25" s="44" t="s">
        <v>91</v>
      </c>
      <c r="W25" s="44" t="s">
        <v>91</v>
      </c>
    </row>
    <row r="26" spans="1:23" x14ac:dyDescent="0.35">
      <c r="A26" s="45" t="s">
        <v>91</v>
      </c>
      <c r="B26" s="46" t="s">
        <v>91</v>
      </c>
      <c r="C26" s="46" t="s">
        <v>91</v>
      </c>
      <c r="D26" s="46" t="s">
        <v>91</v>
      </c>
      <c r="E26" s="46" t="s">
        <v>91</v>
      </c>
      <c r="F26" s="46" t="s">
        <v>91</v>
      </c>
      <c r="G26" s="46" t="s">
        <v>91</v>
      </c>
      <c r="H26" s="46" t="s">
        <v>91</v>
      </c>
      <c r="I26" s="46" t="s">
        <v>91</v>
      </c>
      <c r="J26" s="46" t="s">
        <v>91</v>
      </c>
      <c r="K26" s="46" t="s">
        <v>91</v>
      </c>
      <c r="L26" s="46" t="s">
        <v>91</v>
      </c>
      <c r="M26" s="46" t="s">
        <v>91</v>
      </c>
      <c r="N26" s="46" t="s">
        <v>91</v>
      </c>
      <c r="O26" s="46" t="s">
        <v>91</v>
      </c>
      <c r="P26" s="46" t="s">
        <v>91</v>
      </c>
      <c r="Q26" s="46" t="s">
        <v>91</v>
      </c>
      <c r="R26" s="46" t="s">
        <v>91</v>
      </c>
      <c r="S26" s="46" t="s">
        <v>91</v>
      </c>
      <c r="T26" s="46" t="s">
        <v>91</v>
      </c>
      <c r="U26" s="46" t="s">
        <v>91</v>
      </c>
      <c r="V26" s="46" t="s">
        <v>91</v>
      </c>
      <c r="W26" s="46" t="s">
        <v>91</v>
      </c>
    </row>
    <row r="27" spans="1:23" x14ac:dyDescent="0.35">
      <c r="A27" s="47" t="s">
        <v>91</v>
      </c>
      <c r="B27" s="44" t="s">
        <v>91</v>
      </c>
      <c r="C27" s="44" t="s">
        <v>91</v>
      </c>
      <c r="D27" s="44" t="s">
        <v>91</v>
      </c>
      <c r="E27" s="44" t="s">
        <v>91</v>
      </c>
      <c r="F27" s="44" t="s">
        <v>91</v>
      </c>
      <c r="G27" s="44" t="s">
        <v>91</v>
      </c>
      <c r="H27" s="44" t="s">
        <v>91</v>
      </c>
      <c r="I27" s="44" t="s">
        <v>91</v>
      </c>
      <c r="J27" s="44" t="s">
        <v>91</v>
      </c>
      <c r="K27" s="44" t="s">
        <v>91</v>
      </c>
      <c r="L27" s="44" t="s">
        <v>91</v>
      </c>
      <c r="M27" s="44" t="s">
        <v>91</v>
      </c>
      <c r="N27" s="44" t="s">
        <v>91</v>
      </c>
      <c r="O27" s="44" t="s">
        <v>91</v>
      </c>
      <c r="P27" s="44" t="s">
        <v>91</v>
      </c>
      <c r="Q27" s="44" t="s">
        <v>91</v>
      </c>
      <c r="R27" s="44" t="s">
        <v>91</v>
      </c>
      <c r="S27" s="44" t="s">
        <v>91</v>
      </c>
      <c r="T27" s="44" t="s">
        <v>91</v>
      </c>
      <c r="U27" s="44" t="s">
        <v>91</v>
      </c>
      <c r="V27" s="44" t="s">
        <v>91</v>
      </c>
      <c r="W27" s="44" t="s">
        <v>91</v>
      </c>
    </row>
    <row r="28" spans="1:23" x14ac:dyDescent="0.35">
      <c r="A28" s="45" t="s">
        <v>91</v>
      </c>
      <c r="B28" s="46" t="s">
        <v>91</v>
      </c>
      <c r="C28" s="46" t="s">
        <v>91</v>
      </c>
      <c r="D28" s="46" t="s">
        <v>91</v>
      </c>
      <c r="E28" s="46" t="s">
        <v>91</v>
      </c>
      <c r="F28" s="46" t="s">
        <v>91</v>
      </c>
      <c r="G28" s="46" t="s">
        <v>91</v>
      </c>
      <c r="H28" s="46" t="s">
        <v>91</v>
      </c>
      <c r="I28" s="46" t="s">
        <v>91</v>
      </c>
      <c r="J28" s="46" t="s">
        <v>91</v>
      </c>
      <c r="K28" s="46" t="s">
        <v>91</v>
      </c>
      <c r="L28" s="46" t="s">
        <v>91</v>
      </c>
      <c r="M28" s="46" t="s">
        <v>91</v>
      </c>
      <c r="N28" s="46" t="s">
        <v>91</v>
      </c>
      <c r="O28" s="46" t="s">
        <v>91</v>
      </c>
      <c r="P28" s="46" t="s">
        <v>91</v>
      </c>
      <c r="Q28" s="46" t="s">
        <v>91</v>
      </c>
      <c r="R28" s="46" t="s">
        <v>91</v>
      </c>
      <c r="S28" s="46" t="s">
        <v>91</v>
      </c>
      <c r="T28" s="46" t="s">
        <v>91</v>
      </c>
      <c r="U28" s="46" t="s">
        <v>91</v>
      </c>
      <c r="V28" s="46" t="s">
        <v>91</v>
      </c>
      <c r="W28" s="46" t="s">
        <v>91</v>
      </c>
    </row>
    <row r="29" spans="1:23" x14ac:dyDescent="0.35">
      <c r="A29" s="47" t="s">
        <v>91</v>
      </c>
      <c r="B29" s="44" t="s">
        <v>91</v>
      </c>
      <c r="C29" s="44" t="s">
        <v>91</v>
      </c>
      <c r="D29" s="44" t="s">
        <v>91</v>
      </c>
      <c r="E29" s="44" t="s">
        <v>91</v>
      </c>
      <c r="F29" s="44" t="s">
        <v>91</v>
      </c>
      <c r="G29" s="44" t="s">
        <v>91</v>
      </c>
      <c r="H29" s="44" t="s">
        <v>91</v>
      </c>
      <c r="I29" s="44" t="s">
        <v>91</v>
      </c>
      <c r="J29" s="44" t="s">
        <v>91</v>
      </c>
      <c r="K29" s="44" t="s">
        <v>91</v>
      </c>
      <c r="L29" s="44" t="s">
        <v>91</v>
      </c>
      <c r="M29" s="44" t="s">
        <v>91</v>
      </c>
      <c r="N29" s="44" t="s">
        <v>91</v>
      </c>
      <c r="O29" s="44" t="s">
        <v>91</v>
      </c>
      <c r="P29" s="44" t="s">
        <v>91</v>
      </c>
      <c r="Q29" s="44" t="s">
        <v>91</v>
      </c>
      <c r="R29" s="44" t="s">
        <v>91</v>
      </c>
      <c r="S29" s="44" t="s">
        <v>91</v>
      </c>
      <c r="T29" s="44" t="s">
        <v>91</v>
      </c>
      <c r="U29" s="44" t="s">
        <v>91</v>
      </c>
      <c r="V29" s="44" t="s">
        <v>91</v>
      </c>
      <c r="W29" s="44" t="s">
        <v>91</v>
      </c>
    </row>
    <row r="30" spans="1:23" x14ac:dyDescent="0.35">
      <c r="A30" s="45" t="s">
        <v>91</v>
      </c>
      <c r="B30" s="46" t="s">
        <v>91</v>
      </c>
      <c r="C30" s="46" t="s">
        <v>91</v>
      </c>
      <c r="D30" s="46" t="s">
        <v>91</v>
      </c>
      <c r="E30" s="46" t="s">
        <v>91</v>
      </c>
      <c r="F30" s="46" t="s">
        <v>91</v>
      </c>
      <c r="G30" s="46" t="s">
        <v>91</v>
      </c>
      <c r="H30" s="46" t="s">
        <v>91</v>
      </c>
      <c r="I30" s="46" t="s">
        <v>91</v>
      </c>
      <c r="J30" s="46" t="s">
        <v>91</v>
      </c>
      <c r="K30" s="46" t="s">
        <v>91</v>
      </c>
      <c r="L30" s="46" t="s">
        <v>91</v>
      </c>
      <c r="M30" s="46" t="s">
        <v>91</v>
      </c>
      <c r="N30" s="46" t="s">
        <v>91</v>
      </c>
      <c r="O30" s="46" t="s">
        <v>91</v>
      </c>
      <c r="P30" s="46" t="s">
        <v>91</v>
      </c>
      <c r="Q30" s="46" t="s">
        <v>91</v>
      </c>
      <c r="R30" s="46" t="s">
        <v>91</v>
      </c>
      <c r="S30" s="46" t="s">
        <v>91</v>
      </c>
      <c r="T30" s="46" t="s">
        <v>91</v>
      </c>
      <c r="U30" s="46" t="s">
        <v>91</v>
      </c>
      <c r="V30" s="46" t="s">
        <v>91</v>
      </c>
      <c r="W30" s="46" t="s">
        <v>91</v>
      </c>
    </row>
    <row r="31" spans="1:23" x14ac:dyDescent="0.35">
      <c r="A31" s="47" t="s">
        <v>91</v>
      </c>
      <c r="B31" s="44" t="s">
        <v>91</v>
      </c>
      <c r="C31" s="44" t="s">
        <v>91</v>
      </c>
      <c r="D31" s="44" t="s">
        <v>91</v>
      </c>
      <c r="E31" s="44" t="s">
        <v>91</v>
      </c>
      <c r="F31" s="44" t="s">
        <v>91</v>
      </c>
      <c r="G31" s="44" t="s">
        <v>91</v>
      </c>
      <c r="H31" s="44" t="s">
        <v>91</v>
      </c>
      <c r="I31" s="44" t="s">
        <v>91</v>
      </c>
      <c r="J31" s="44" t="s">
        <v>91</v>
      </c>
      <c r="K31" s="44" t="s">
        <v>91</v>
      </c>
      <c r="L31" s="44" t="s">
        <v>91</v>
      </c>
      <c r="M31" s="44" t="s">
        <v>91</v>
      </c>
      <c r="N31" s="44" t="s">
        <v>91</v>
      </c>
      <c r="O31" s="44" t="s">
        <v>91</v>
      </c>
      <c r="P31" s="44" t="s">
        <v>91</v>
      </c>
      <c r="Q31" s="44" t="s">
        <v>91</v>
      </c>
      <c r="R31" s="44" t="s">
        <v>91</v>
      </c>
      <c r="S31" s="44" t="s">
        <v>91</v>
      </c>
      <c r="T31" s="44" t="s">
        <v>91</v>
      </c>
      <c r="U31" s="44" t="s">
        <v>91</v>
      </c>
      <c r="V31" s="44" t="s">
        <v>91</v>
      </c>
      <c r="W31" s="44" t="s">
        <v>91</v>
      </c>
    </row>
    <row r="32" spans="1:23" x14ac:dyDescent="0.35">
      <c r="A32" s="45" t="s">
        <v>91</v>
      </c>
      <c r="B32" s="46" t="s">
        <v>91</v>
      </c>
      <c r="C32" s="46" t="s">
        <v>91</v>
      </c>
      <c r="D32" s="46" t="s">
        <v>91</v>
      </c>
      <c r="E32" s="46" t="s">
        <v>91</v>
      </c>
      <c r="F32" s="46" t="s">
        <v>91</v>
      </c>
      <c r="G32" s="46" t="s">
        <v>91</v>
      </c>
      <c r="H32" s="46" t="s">
        <v>91</v>
      </c>
      <c r="I32" s="46" t="s">
        <v>91</v>
      </c>
      <c r="J32" s="46" t="s">
        <v>91</v>
      </c>
      <c r="K32" s="46" t="s">
        <v>91</v>
      </c>
      <c r="L32" s="46" t="s">
        <v>91</v>
      </c>
      <c r="M32" s="46" t="s">
        <v>91</v>
      </c>
      <c r="N32" s="46" t="s">
        <v>91</v>
      </c>
      <c r="O32" s="46" t="s">
        <v>91</v>
      </c>
      <c r="P32" s="46" t="s">
        <v>91</v>
      </c>
      <c r="Q32" s="46" t="s">
        <v>91</v>
      </c>
      <c r="R32" s="46" t="s">
        <v>91</v>
      </c>
      <c r="S32" s="46" t="s">
        <v>91</v>
      </c>
      <c r="T32" s="46" t="s">
        <v>91</v>
      </c>
      <c r="U32" s="46" t="s">
        <v>91</v>
      </c>
      <c r="V32" s="46" t="s">
        <v>91</v>
      </c>
      <c r="W32" s="46" t="s">
        <v>91</v>
      </c>
    </row>
    <row r="33" spans="1:23" x14ac:dyDescent="0.35">
      <c r="A33" s="47" t="s">
        <v>91</v>
      </c>
      <c r="B33" s="44" t="s">
        <v>91</v>
      </c>
      <c r="C33" s="44" t="s">
        <v>91</v>
      </c>
      <c r="D33" s="44" t="s">
        <v>91</v>
      </c>
      <c r="E33" s="44" t="s">
        <v>91</v>
      </c>
      <c r="F33" s="44" t="s">
        <v>91</v>
      </c>
      <c r="G33" s="44" t="s">
        <v>91</v>
      </c>
      <c r="H33" s="44" t="s">
        <v>91</v>
      </c>
      <c r="I33" s="44" t="s">
        <v>91</v>
      </c>
      <c r="J33" s="44" t="s">
        <v>91</v>
      </c>
      <c r="K33" s="44" t="s">
        <v>91</v>
      </c>
      <c r="L33" s="44" t="s">
        <v>91</v>
      </c>
      <c r="M33" s="44" t="s">
        <v>91</v>
      </c>
      <c r="N33" s="44" t="s">
        <v>91</v>
      </c>
      <c r="O33" s="44" t="s">
        <v>91</v>
      </c>
      <c r="P33" s="44" t="s">
        <v>91</v>
      </c>
      <c r="Q33" s="44" t="s">
        <v>91</v>
      </c>
      <c r="R33" s="44" t="s">
        <v>91</v>
      </c>
      <c r="S33" s="44" t="s">
        <v>91</v>
      </c>
      <c r="T33" s="44" t="s">
        <v>91</v>
      </c>
      <c r="U33" s="44" t="s">
        <v>91</v>
      </c>
      <c r="V33" s="44" t="s">
        <v>91</v>
      </c>
      <c r="W33" s="44" t="s">
        <v>91</v>
      </c>
    </row>
    <row r="34" spans="1:23" x14ac:dyDescent="0.35">
      <c r="A34" s="45" t="s">
        <v>91</v>
      </c>
      <c r="B34" s="46" t="s">
        <v>91</v>
      </c>
      <c r="C34" s="46" t="s">
        <v>91</v>
      </c>
      <c r="D34" s="46" t="s">
        <v>91</v>
      </c>
      <c r="E34" s="46" t="s">
        <v>91</v>
      </c>
      <c r="F34" s="46" t="s">
        <v>91</v>
      </c>
      <c r="G34" s="46" t="s">
        <v>91</v>
      </c>
      <c r="H34" s="46" t="s">
        <v>91</v>
      </c>
      <c r="I34" s="46" t="s">
        <v>91</v>
      </c>
      <c r="J34" s="46" t="s">
        <v>91</v>
      </c>
      <c r="K34" s="46" t="s">
        <v>91</v>
      </c>
      <c r="L34" s="46" t="s">
        <v>91</v>
      </c>
      <c r="M34" s="46" t="s">
        <v>91</v>
      </c>
      <c r="N34" s="46" t="s">
        <v>91</v>
      </c>
      <c r="O34" s="46" t="s">
        <v>91</v>
      </c>
      <c r="P34" s="46" t="s">
        <v>91</v>
      </c>
      <c r="Q34" s="46" t="s">
        <v>91</v>
      </c>
      <c r="R34" s="46" t="s">
        <v>91</v>
      </c>
      <c r="S34" s="46" t="s">
        <v>91</v>
      </c>
      <c r="T34" s="46" t="s">
        <v>91</v>
      </c>
      <c r="U34" s="46" t="s">
        <v>91</v>
      </c>
      <c r="V34" s="46" t="s">
        <v>91</v>
      </c>
      <c r="W34" s="46" t="s">
        <v>91</v>
      </c>
    </row>
    <row r="35" spans="1:23" x14ac:dyDescent="0.35">
      <c r="A35" s="47" t="s">
        <v>91</v>
      </c>
      <c r="B35" s="44" t="s">
        <v>91</v>
      </c>
      <c r="C35" s="44" t="s">
        <v>91</v>
      </c>
      <c r="D35" s="44" t="s">
        <v>91</v>
      </c>
      <c r="E35" s="44" t="s">
        <v>91</v>
      </c>
      <c r="F35" s="44" t="s">
        <v>91</v>
      </c>
      <c r="G35" s="44" t="s">
        <v>91</v>
      </c>
      <c r="H35" s="44" t="s">
        <v>91</v>
      </c>
      <c r="I35" s="44" t="s">
        <v>91</v>
      </c>
      <c r="J35" s="44" t="s">
        <v>91</v>
      </c>
      <c r="K35" s="44" t="s">
        <v>91</v>
      </c>
      <c r="L35" s="44" t="s">
        <v>91</v>
      </c>
      <c r="M35" s="44" t="s">
        <v>91</v>
      </c>
      <c r="N35" s="44" t="s">
        <v>91</v>
      </c>
      <c r="O35" s="44" t="s">
        <v>91</v>
      </c>
      <c r="P35" s="44" t="s">
        <v>91</v>
      </c>
      <c r="Q35" s="44" t="s">
        <v>91</v>
      </c>
      <c r="R35" s="44" t="s">
        <v>91</v>
      </c>
      <c r="S35" s="44" t="s">
        <v>91</v>
      </c>
      <c r="T35" s="44" t="s">
        <v>91</v>
      </c>
      <c r="U35" s="44" t="s">
        <v>91</v>
      </c>
      <c r="V35" s="44" t="s">
        <v>91</v>
      </c>
      <c r="W35" s="44" t="s">
        <v>91</v>
      </c>
    </row>
    <row r="36" spans="1:23" x14ac:dyDescent="0.35">
      <c r="A36" s="45" t="s">
        <v>91</v>
      </c>
      <c r="B36" s="46" t="s">
        <v>91</v>
      </c>
      <c r="C36" s="46" t="s">
        <v>91</v>
      </c>
      <c r="D36" s="46" t="s">
        <v>91</v>
      </c>
      <c r="E36" s="46" t="s">
        <v>91</v>
      </c>
      <c r="F36" s="46" t="s">
        <v>91</v>
      </c>
      <c r="G36" s="46" t="s">
        <v>91</v>
      </c>
      <c r="H36" s="46" t="s">
        <v>91</v>
      </c>
      <c r="I36" s="46" t="s">
        <v>91</v>
      </c>
      <c r="J36" s="46" t="s">
        <v>91</v>
      </c>
      <c r="K36" s="46" t="s">
        <v>91</v>
      </c>
      <c r="L36" s="46" t="s">
        <v>91</v>
      </c>
      <c r="M36" s="46" t="s">
        <v>91</v>
      </c>
      <c r="N36" s="46" t="s">
        <v>91</v>
      </c>
      <c r="O36" s="46" t="s">
        <v>91</v>
      </c>
      <c r="P36" s="46" t="s">
        <v>91</v>
      </c>
      <c r="Q36" s="46" t="s">
        <v>91</v>
      </c>
      <c r="R36" s="46" t="s">
        <v>91</v>
      </c>
      <c r="S36" s="46" t="s">
        <v>91</v>
      </c>
      <c r="T36" s="46" t="s">
        <v>91</v>
      </c>
      <c r="U36" s="46" t="s">
        <v>91</v>
      </c>
      <c r="V36" s="46" t="s">
        <v>91</v>
      </c>
      <c r="W36" s="46" t="s">
        <v>91</v>
      </c>
    </row>
    <row r="37" spans="1:23" x14ac:dyDescent="0.35">
      <c r="A37" s="47" t="s">
        <v>91</v>
      </c>
      <c r="B37" s="44" t="s">
        <v>91</v>
      </c>
      <c r="C37" s="44" t="s">
        <v>91</v>
      </c>
      <c r="D37" s="44" t="s">
        <v>91</v>
      </c>
      <c r="E37" s="44" t="s">
        <v>91</v>
      </c>
      <c r="F37" s="44" t="s">
        <v>91</v>
      </c>
      <c r="G37" s="44" t="s">
        <v>91</v>
      </c>
      <c r="H37" s="44" t="s">
        <v>91</v>
      </c>
      <c r="I37" s="44" t="s">
        <v>91</v>
      </c>
      <c r="J37" s="44" t="s">
        <v>91</v>
      </c>
      <c r="K37" s="44" t="s">
        <v>91</v>
      </c>
      <c r="L37" s="44" t="s">
        <v>91</v>
      </c>
      <c r="M37" s="44" t="s">
        <v>91</v>
      </c>
      <c r="N37" s="44" t="s">
        <v>91</v>
      </c>
      <c r="O37" s="44" t="s">
        <v>91</v>
      </c>
      <c r="P37" s="44" t="s">
        <v>91</v>
      </c>
      <c r="Q37" s="44" t="s">
        <v>91</v>
      </c>
      <c r="R37" s="44" t="s">
        <v>91</v>
      </c>
      <c r="S37" s="44" t="s">
        <v>91</v>
      </c>
      <c r="T37" s="44" t="s">
        <v>91</v>
      </c>
      <c r="U37" s="44" t="s">
        <v>91</v>
      </c>
      <c r="V37" s="44" t="s">
        <v>91</v>
      </c>
      <c r="W37" s="44" t="s">
        <v>91</v>
      </c>
    </row>
    <row r="38" spans="1:23" x14ac:dyDescent="0.35">
      <c r="A38" s="45" t="s">
        <v>91</v>
      </c>
      <c r="B38" s="46" t="s">
        <v>91</v>
      </c>
      <c r="C38" s="46" t="s">
        <v>91</v>
      </c>
      <c r="D38" s="46" t="s">
        <v>91</v>
      </c>
      <c r="E38" s="46" t="s">
        <v>91</v>
      </c>
      <c r="F38" s="46" t="s">
        <v>91</v>
      </c>
      <c r="G38" s="46" t="s">
        <v>91</v>
      </c>
      <c r="H38" s="46" t="s">
        <v>91</v>
      </c>
      <c r="I38" s="46" t="s">
        <v>91</v>
      </c>
      <c r="J38" s="46" t="s">
        <v>91</v>
      </c>
      <c r="K38" s="46" t="s">
        <v>91</v>
      </c>
      <c r="L38" s="46" t="s">
        <v>91</v>
      </c>
      <c r="M38" s="46" t="s">
        <v>91</v>
      </c>
      <c r="N38" s="46" t="s">
        <v>91</v>
      </c>
      <c r="O38" s="46" t="s">
        <v>91</v>
      </c>
      <c r="P38" s="46" t="s">
        <v>91</v>
      </c>
      <c r="Q38" s="46" t="s">
        <v>91</v>
      </c>
      <c r="R38" s="46" t="s">
        <v>91</v>
      </c>
      <c r="S38" s="46" t="s">
        <v>91</v>
      </c>
      <c r="T38" s="46" t="s">
        <v>91</v>
      </c>
      <c r="U38" s="46" t="s">
        <v>91</v>
      </c>
      <c r="V38" s="46" t="s">
        <v>91</v>
      </c>
      <c r="W38" s="46" t="s">
        <v>91</v>
      </c>
    </row>
    <row r="39" spans="1:23" x14ac:dyDescent="0.35">
      <c r="A39" s="47" t="s">
        <v>91</v>
      </c>
      <c r="B39" s="44" t="s">
        <v>91</v>
      </c>
      <c r="C39" s="44" t="s">
        <v>91</v>
      </c>
      <c r="D39" s="44" t="s">
        <v>91</v>
      </c>
      <c r="E39" s="44" t="s">
        <v>91</v>
      </c>
      <c r="F39" s="44" t="s">
        <v>91</v>
      </c>
      <c r="G39" s="44" t="s">
        <v>91</v>
      </c>
      <c r="H39" s="44" t="s">
        <v>91</v>
      </c>
      <c r="I39" s="44" t="s">
        <v>91</v>
      </c>
      <c r="J39" s="44" t="s">
        <v>91</v>
      </c>
      <c r="K39" s="44" t="s">
        <v>91</v>
      </c>
      <c r="L39" s="44" t="s">
        <v>91</v>
      </c>
      <c r="M39" s="44" t="s">
        <v>91</v>
      </c>
      <c r="N39" s="44" t="s">
        <v>91</v>
      </c>
      <c r="O39" s="44" t="s">
        <v>91</v>
      </c>
      <c r="P39" s="44" t="s">
        <v>91</v>
      </c>
      <c r="Q39" s="44" t="s">
        <v>91</v>
      </c>
      <c r="R39" s="44" t="s">
        <v>91</v>
      </c>
      <c r="S39" s="44" t="s">
        <v>91</v>
      </c>
      <c r="T39" s="44" t="s">
        <v>91</v>
      </c>
      <c r="U39" s="44" t="s">
        <v>91</v>
      </c>
      <c r="V39" s="44" t="s">
        <v>91</v>
      </c>
      <c r="W39" s="44" t="s">
        <v>91</v>
      </c>
    </row>
    <row r="40" spans="1:23" x14ac:dyDescent="0.35">
      <c r="A40" s="45" t="s">
        <v>91</v>
      </c>
      <c r="B40" s="46" t="s">
        <v>91</v>
      </c>
      <c r="C40" s="46" t="s">
        <v>91</v>
      </c>
      <c r="D40" s="46" t="s">
        <v>91</v>
      </c>
      <c r="E40" s="46" t="s">
        <v>91</v>
      </c>
      <c r="F40" s="46" t="s">
        <v>91</v>
      </c>
      <c r="G40" s="46" t="s">
        <v>91</v>
      </c>
      <c r="H40" s="46" t="s">
        <v>91</v>
      </c>
      <c r="I40" s="46" t="s">
        <v>91</v>
      </c>
      <c r="J40" s="46" t="s">
        <v>91</v>
      </c>
      <c r="K40" s="46" t="s">
        <v>91</v>
      </c>
      <c r="L40" s="46" t="s">
        <v>91</v>
      </c>
      <c r="M40" s="46" t="s">
        <v>91</v>
      </c>
      <c r="N40" s="46" t="s">
        <v>91</v>
      </c>
      <c r="O40" s="46" t="s">
        <v>91</v>
      </c>
      <c r="P40" s="46" t="s">
        <v>91</v>
      </c>
      <c r="Q40" s="46" t="s">
        <v>91</v>
      </c>
      <c r="R40" s="46" t="s">
        <v>91</v>
      </c>
      <c r="S40" s="46" t="s">
        <v>91</v>
      </c>
      <c r="T40" s="46" t="s">
        <v>91</v>
      </c>
      <c r="U40" s="46" t="s">
        <v>91</v>
      </c>
      <c r="V40" s="46" t="s">
        <v>91</v>
      </c>
      <c r="W40" s="46" t="s">
        <v>91</v>
      </c>
    </row>
    <row r="41" spans="1:23" x14ac:dyDescent="0.35">
      <c r="A41" s="47" t="s">
        <v>91</v>
      </c>
      <c r="B41" s="44" t="s">
        <v>91</v>
      </c>
      <c r="C41" s="44" t="s">
        <v>91</v>
      </c>
      <c r="D41" s="44" t="s">
        <v>91</v>
      </c>
      <c r="E41" s="44" t="s">
        <v>91</v>
      </c>
      <c r="F41" s="44" t="s">
        <v>91</v>
      </c>
      <c r="G41" s="44" t="s">
        <v>91</v>
      </c>
      <c r="H41" s="44" t="s">
        <v>91</v>
      </c>
      <c r="I41" s="44" t="s">
        <v>91</v>
      </c>
      <c r="J41" s="44" t="s">
        <v>91</v>
      </c>
      <c r="K41" s="44" t="s">
        <v>91</v>
      </c>
      <c r="L41" s="44" t="s">
        <v>91</v>
      </c>
      <c r="M41" s="44" t="s">
        <v>91</v>
      </c>
      <c r="N41" s="44" t="s">
        <v>91</v>
      </c>
      <c r="O41" s="44" t="s">
        <v>91</v>
      </c>
      <c r="P41" s="44" t="s">
        <v>91</v>
      </c>
      <c r="Q41" s="44" t="s">
        <v>91</v>
      </c>
      <c r="R41" s="44" t="s">
        <v>91</v>
      </c>
      <c r="S41" s="44" t="s">
        <v>91</v>
      </c>
      <c r="T41" s="44" t="s">
        <v>91</v>
      </c>
      <c r="U41" s="44" t="s">
        <v>91</v>
      </c>
      <c r="V41" s="44" t="s">
        <v>91</v>
      </c>
      <c r="W41" s="44" t="s">
        <v>91</v>
      </c>
    </row>
    <row r="42" spans="1:23" x14ac:dyDescent="0.35">
      <c r="A42" s="45" t="s">
        <v>91</v>
      </c>
      <c r="B42" s="46" t="s">
        <v>91</v>
      </c>
      <c r="C42" s="46" t="s">
        <v>91</v>
      </c>
      <c r="D42" s="46" t="s">
        <v>91</v>
      </c>
      <c r="E42" s="46" t="s">
        <v>91</v>
      </c>
      <c r="F42" s="46" t="s">
        <v>91</v>
      </c>
      <c r="G42" s="46" t="s">
        <v>91</v>
      </c>
      <c r="H42" s="46" t="s">
        <v>91</v>
      </c>
      <c r="I42" s="46" t="s">
        <v>91</v>
      </c>
      <c r="J42" s="46" t="s">
        <v>91</v>
      </c>
      <c r="K42" s="46" t="s">
        <v>91</v>
      </c>
      <c r="L42" s="46" t="s">
        <v>91</v>
      </c>
      <c r="M42" s="46" t="s">
        <v>91</v>
      </c>
      <c r="N42" s="46" t="s">
        <v>91</v>
      </c>
      <c r="O42" s="46" t="s">
        <v>91</v>
      </c>
      <c r="P42" s="46" t="s">
        <v>91</v>
      </c>
      <c r="Q42" s="46" t="s">
        <v>91</v>
      </c>
      <c r="R42" s="46" t="s">
        <v>91</v>
      </c>
      <c r="S42" s="46" t="s">
        <v>91</v>
      </c>
      <c r="T42" s="46" t="s">
        <v>91</v>
      </c>
      <c r="U42" s="46" t="s">
        <v>91</v>
      </c>
      <c r="V42" s="46" t="s">
        <v>91</v>
      </c>
      <c r="W42" s="46" t="s">
        <v>91</v>
      </c>
    </row>
    <row r="43" spans="1:23" x14ac:dyDescent="0.35">
      <c r="A43" s="47" t="s">
        <v>91</v>
      </c>
      <c r="B43" s="44" t="s">
        <v>91</v>
      </c>
      <c r="C43" s="44" t="s">
        <v>91</v>
      </c>
      <c r="D43" s="44" t="s">
        <v>91</v>
      </c>
      <c r="E43" s="44" t="s">
        <v>91</v>
      </c>
      <c r="F43" s="44" t="s">
        <v>91</v>
      </c>
      <c r="G43" s="44" t="s">
        <v>91</v>
      </c>
      <c r="H43" s="44" t="s">
        <v>91</v>
      </c>
      <c r="I43" s="44" t="s">
        <v>91</v>
      </c>
      <c r="J43" s="44" t="s">
        <v>91</v>
      </c>
      <c r="K43" s="44" t="s">
        <v>91</v>
      </c>
      <c r="L43" s="44" t="s">
        <v>91</v>
      </c>
      <c r="M43" s="44" t="s">
        <v>91</v>
      </c>
      <c r="N43" s="44" t="s">
        <v>91</v>
      </c>
      <c r="O43" s="44" t="s">
        <v>91</v>
      </c>
      <c r="P43" s="44" t="s">
        <v>91</v>
      </c>
      <c r="Q43" s="44" t="s">
        <v>91</v>
      </c>
      <c r="R43" s="44" t="s">
        <v>91</v>
      </c>
      <c r="S43" s="44" t="s">
        <v>91</v>
      </c>
      <c r="T43" s="44" t="s">
        <v>91</v>
      </c>
      <c r="U43" s="44" t="s">
        <v>91</v>
      </c>
      <c r="V43" s="44" t="s">
        <v>91</v>
      </c>
      <c r="W43" s="44" t="s">
        <v>91</v>
      </c>
    </row>
    <row r="44" spans="1:23" x14ac:dyDescent="0.35">
      <c r="A44" s="45" t="s">
        <v>91</v>
      </c>
      <c r="B44" s="46" t="s">
        <v>91</v>
      </c>
      <c r="C44" s="46" t="s">
        <v>91</v>
      </c>
      <c r="D44" s="46" t="s">
        <v>91</v>
      </c>
      <c r="E44" s="46" t="s">
        <v>91</v>
      </c>
      <c r="F44" s="46" t="s">
        <v>91</v>
      </c>
      <c r="G44" s="46" t="s">
        <v>91</v>
      </c>
      <c r="H44" s="46" t="s">
        <v>91</v>
      </c>
      <c r="I44" s="46" t="s">
        <v>91</v>
      </c>
      <c r="J44" s="46" t="s">
        <v>91</v>
      </c>
      <c r="K44" s="46" t="s">
        <v>91</v>
      </c>
      <c r="L44" s="46" t="s">
        <v>91</v>
      </c>
      <c r="M44" s="46" t="s">
        <v>91</v>
      </c>
      <c r="N44" s="46" t="s">
        <v>91</v>
      </c>
      <c r="O44" s="46" t="s">
        <v>91</v>
      </c>
      <c r="P44" s="46" t="s">
        <v>91</v>
      </c>
      <c r="Q44" s="46" t="s">
        <v>91</v>
      </c>
      <c r="R44" s="46" t="s">
        <v>91</v>
      </c>
      <c r="S44" s="46" t="s">
        <v>91</v>
      </c>
      <c r="T44" s="46" t="s">
        <v>91</v>
      </c>
      <c r="U44" s="46" t="s">
        <v>91</v>
      </c>
      <c r="V44" s="46" t="s">
        <v>91</v>
      </c>
      <c r="W44" s="46" t="s">
        <v>91</v>
      </c>
    </row>
    <row r="45" spans="1:23" x14ac:dyDescent="0.35">
      <c r="A45" s="47" t="s">
        <v>91</v>
      </c>
      <c r="B45" s="44" t="s">
        <v>91</v>
      </c>
      <c r="C45" s="44" t="s">
        <v>91</v>
      </c>
      <c r="D45" s="44" t="s">
        <v>91</v>
      </c>
      <c r="E45" s="44" t="s">
        <v>91</v>
      </c>
      <c r="F45" s="44" t="s">
        <v>91</v>
      </c>
      <c r="G45" s="44" t="s">
        <v>91</v>
      </c>
      <c r="H45" s="44" t="s">
        <v>91</v>
      </c>
      <c r="I45" s="44" t="s">
        <v>91</v>
      </c>
      <c r="J45" s="44" t="s">
        <v>91</v>
      </c>
      <c r="K45" s="44" t="s">
        <v>91</v>
      </c>
      <c r="L45" s="44" t="s">
        <v>91</v>
      </c>
      <c r="M45" s="44" t="s">
        <v>91</v>
      </c>
      <c r="N45" s="44" t="s">
        <v>91</v>
      </c>
      <c r="O45" s="44" t="s">
        <v>91</v>
      </c>
      <c r="P45" s="44" t="s">
        <v>91</v>
      </c>
      <c r="Q45" s="44" t="s">
        <v>91</v>
      </c>
      <c r="R45" s="44" t="s">
        <v>91</v>
      </c>
      <c r="S45" s="44" t="s">
        <v>91</v>
      </c>
      <c r="T45" s="44" t="s">
        <v>91</v>
      </c>
      <c r="U45" s="44" t="s">
        <v>91</v>
      </c>
      <c r="V45" s="44" t="s">
        <v>91</v>
      </c>
      <c r="W45" s="44" t="s">
        <v>91</v>
      </c>
    </row>
    <row r="46" spans="1:23" x14ac:dyDescent="0.35">
      <c r="A46" s="45" t="s">
        <v>91</v>
      </c>
      <c r="B46" s="46" t="s">
        <v>91</v>
      </c>
      <c r="C46" s="46" t="s">
        <v>91</v>
      </c>
      <c r="D46" s="46" t="s">
        <v>91</v>
      </c>
      <c r="E46" s="46" t="s">
        <v>91</v>
      </c>
      <c r="F46" s="46" t="s">
        <v>91</v>
      </c>
      <c r="G46" s="46" t="s">
        <v>91</v>
      </c>
      <c r="H46" s="46" t="s">
        <v>91</v>
      </c>
      <c r="I46" s="46" t="s">
        <v>91</v>
      </c>
      <c r="J46" s="46" t="s">
        <v>91</v>
      </c>
      <c r="K46" s="46" t="s">
        <v>91</v>
      </c>
      <c r="L46" s="46" t="s">
        <v>91</v>
      </c>
      <c r="M46" s="46" t="s">
        <v>91</v>
      </c>
      <c r="N46" s="46" t="s">
        <v>91</v>
      </c>
      <c r="O46" s="46" t="s">
        <v>91</v>
      </c>
      <c r="P46" s="46" t="s">
        <v>91</v>
      </c>
      <c r="Q46" s="46" t="s">
        <v>91</v>
      </c>
      <c r="R46" s="46" t="s">
        <v>91</v>
      </c>
      <c r="S46" s="46" t="s">
        <v>91</v>
      </c>
      <c r="T46" s="46" t="s">
        <v>91</v>
      </c>
      <c r="U46" s="46" t="s">
        <v>91</v>
      </c>
      <c r="V46" s="46" t="s">
        <v>91</v>
      </c>
      <c r="W46" s="46" t="s">
        <v>91</v>
      </c>
    </row>
    <row r="47" spans="1:23" x14ac:dyDescent="0.35">
      <c r="A47" s="47" t="s">
        <v>91</v>
      </c>
      <c r="B47" s="44" t="s">
        <v>91</v>
      </c>
      <c r="C47" s="44" t="s">
        <v>91</v>
      </c>
      <c r="D47" s="44" t="s">
        <v>91</v>
      </c>
      <c r="E47" s="44" t="s">
        <v>91</v>
      </c>
      <c r="F47" s="44" t="s">
        <v>91</v>
      </c>
      <c r="G47" s="44" t="s">
        <v>91</v>
      </c>
      <c r="H47" s="44" t="s">
        <v>91</v>
      </c>
      <c r="I47" s="44" t="s">
        <v>91</v>
      </c>
      <c r="J47" s="44" t="s">
        <v>91</v>
      </c>
      <c r="K47" s="44" t="s">
        <v>91</v>
      </c>
      <c r="L47" s="44" t="s">
        <v>91</v>
      </c>
      <c r="M47" s="44" t="s">
        <v>91</v>
      </c>
      <c r="N47" s="44" t="s">
        <v>91</v>
      </c>
      <c r="O47" s="44" t="s">
        <v>91</v>
      </c>
      <c r="P47" s="44" t="s">
        <v>91</v>
      </c>
      <c r="Q47" s="44" t="s">
        <v>91</v>
      </c>
      <c r="R47" s="44" t="s">
        <v>91</v>
      </c>
      <c r="S47" s="44" t="s">
        <v>91</v>
      </c>
      <c r="T47" s="44" t="s">
        <v>91</v>
      </c>
      <c r="U47" s="44" t="s">
        <v>91</v>
      </c>
      <c r="V47" s="44" t="s">
        <v>91</v>
      </c>
      <c r="W47" s="44" t="s">
        <v>91</v>
      </c>
    </row>
    <row r="48" spans="1:23" x14ac:dyDescent="0.35">
      <c r="A48" s="45" t="s">
        <v>91</v>
      </c>
      <c r="B48" s="46" t="s">
        <v>91</v>
      </c>
      <c r="C48" s="46" t="s">
        <v>91</v>
      </c>
      <c r="D48" s="46" t="s">
        <v>91</v>
      </c>
      <c r="E48" s="46" t="s">
        <v>91</v>
      </c>
      <c r="F48" s="46" t="s">
        <v>91</v>
      </c>
      <c r="G48" s="46" t="s">
        <v>91</v>
      </c>
      <c r="H48" s="46" t="s">
        <v>91</v>
      </c>
      <c r="I48" s="46" t="s">
        <v>91</v>
      </c>
      <c r="J48" s="46" t="s">
        <v>91</v>
      </c>
      <c r="K48" s="46" t="s">
        <v>91</v>
      </c>
      <c r="L48" s="46" t="s">
        <v>91</v>
      </c>
      <c r="M48" s="46" t="s">
        <v>91</v>
      </c>
      <c r="N48" s="46" t="s">
        <v>91</v>
      </c>
      <c r="O48" s="46" t="s">
        <v>91</v>
      </c>
      <c r="P48" s="46" t="s">
        <v>91</v>
      </c>
      <c r="Q48" s="46" t="s">
        <v>91</v>
      </c>
      <c r="R48" s="46" t="s">
        <v>91</v>
      </c>
      <c r="S48" s="46" t="s">
        <v>91</v>
      </c>
      <c r="T48" s="46" t="s">
        <v>91</v>
      </c>
      <c r="U48" s="46" t="s">
        <v>91</v>
      </c>
      <c r="V48" s="46" t="s">
        <v>91</v>
      </c>
      <c r="W48" s="46" t="s">
        <v>91</v>
      </c>
    </row>
    <row r="49" spans="1:23" x14ac:dyDescent="0.35">
      <c r="A49" s="47" t="s">
        <v>91</v>
      </c>
      <c r="B49" s="44" t="s">
        <v>91</v>
      </c>
      <c r="C49" s="44" t="s">
        <v>91</v>
      </c>
      <c r="D49" s="44" t="s">
        <v>91</v>
      </c>
      <c r="E49" s="44" t="s">
        <v>91</v>
      </c>
      <c r="F49" s="44" t="s">
        <v>91</v>
      </c>
      <c r="G49" s="44" t="s">
        <v>91</v>
      </c>
      <c r="H49" s="44" t="s">
        <v>91</v>
      </c>
      <c r="I49" s="44" t="s">
        <v>91</v>
      </c>
      <c r="J49" s="44" t="s">
        <v>91</v>
      </c>
      <c r="K49" s="44" t="s">
        <v>91</v>
      </c>
      <c r="L49" s="44" t="s">
        <v>91</v>
      </c>
      <c r="M49" s="44" t="s">
        <v>91</v>
      </c>
      <c r="N49" s="44" t="s">
        <v>91</v>
      </c>
      <c r="O49" s="44" t="s">
        <v>91</v>
      </c>
      <c r="P49" s="44" t="s">
        <v>91</v>
      </c>
      <c r="Q49" s="44" t="s">
        <v>91</v>
      </c>
      <c r="R49" s="44" t="s">
        <v>91</v>
      </c>
      <c r="S49" s="44" t="s">
        <v>91</v>
      </c>
      <c r="T49" s="44" t="s">
        <v>91</v>
      </c>
      <c r="U49" s="44" t="s">
        <v>91</v>
      </c>
      <c r="V49" s="44" t="s">
        <v>91</v>
      </c>
      <c r="W49" s="44" t="s">
        <v>91</v>
      </c>
    </row>
    <row r="50" spans="1:23" x14ac:dyDescent="0.35">
      <c r="A50" s="45" t="s">
        <v>91</v>
      </c>
      <c r="B50" s="46" t="s">
        <v>91</v>
      </c>
      <c r="C50" s="46" t="s">
        <v>91</v>
      </c>
      <c r="D50" s="46" t="s">
        <v>91</v>
      </c>
      <c r="E50" s="46" t="s">
        <v>91</v>
      </c>
      <c r="F50" s="46" t="s">
        <v>91</v>
      </c>
      <c r="G50" s="46" t="s">
        <v>91</v>
      </c>
      <c r="H50" s="46" t="s">
        <v>91</v>
      </c>
      <c r="I50" s="46" t="s">
        <v>91</v>
      </c>
      <c r="J50" s="46" t="s">
        <v>91</v>
      </c>
      <c r="K50" s="46" t="s">
        <v>91</v>
      </c>
      <c r="L50" s="46" t="s">
        <v>91</v>
      </c>
      <c r="M50" s="46" t="s">
        <v>91</v>
      </c>
      <c r="N50" s="46" t="s">
        <v>91</v>
      </c>
      <c r="O50" s="46" t="s">
        <v>91</v>
      </c>
      <c r="P50" s="46" t="s">
        <v>91</v>
      </c>
      <c r="Q50" s="46" t="s">
        <v>91</v>
      </c>
      <c r="R50" s="46" t="s">
        <v>91</v>
      </c>
      <c r="S50" s="46" t="s">
        <v>91</v>
      </c>
      <c r="T50" s="46" t="s">
        <v>91</v>
      </c>
      <c r="U50" s="46" t="s">
        <v>91</v>
      </c>
      <c r="V50" s="46" t="s">
        <v>91</v>
      </c>
      <c r="W50" s="46" t="s">
        <v>91</v>
      </c>
    </row>
    <row r="51" spans="1:23" x14ac:dyDescent="0.35">
      <c r="A51" s="47" t="s">
        <v>91</v>
      </c>
      <c r="B51" s="44" t="s">
        <v>91</v>
      </c>
      <c r="C51" s="44" t="s">
        <v>91</v>
      </c>
      <c r="D51" s="44" t="s">
        <v>91</v>
      </c>
      <c r="E51" s="44" t="s">
        <v>91</v>
      </c>
      <c r="F51" s="44" t="s">
        <v>91</v>
      </c>
      <c r="G51" s="44" t="s">
        <v>91</v>
      </c>
      <c r="H51" s="44" t="s">
        <v>91</v>
      </c>
      <c r="I51" s="44" t="s">
        <v>91</v>
      </c>
      <c r="J51" s="44" t="s">
        <v>91</v>
      </c>
      <c r="K51" s="44" t="s">
        <v>91</v>
      </c>
      <c r="L51" s="44" t="s">
        <v>91</v>
      </c>
      <c r="M51" s="44" t="s">
        <v>91</v>
      </c>
      <c r="N51" s="44" t="s">
        <v>91</v>
      </c>
      <c r="O51" s="44" t="s">
        <v>91</v>
      </c>
      <c r="P51" s="44" t="s">
        <v>91</v>
      </c>
      <c r="Q51" s="44" t="s">
        <v>91</v>
      </c>
      <c r="R51" s="44" t="s">
        <v>91</v>
      </c>
      <c r="S51" s="44" t="s">
        <v>91</v>
      </c>
      <c r="T51" s="44" t="s">
        <v>91</v>
      </c>
      <c r="U51" s="44" t="s">
        <v>91</v>
      </c>
      <c r="V51" s="44" t="s">
        <v>91</v>
      </c>
      <c r="W51" s="44" t="s">
        <v>91</v>
      </c>
    </row>
    <row r="52" spans="1:23" x14ac:dyDescent="0.35">
      <c r="A52" s="45" t="s">
        <v>91</v>
      </c>
      <c r="B52" s="46" t="s">
        <v>91</v>
      </c>
      <c r="C52" s="46" t="s">
        <v>91</v>
      </c>
      <c r="D52" s="46" t="s">
        <v>91</v>
      </c>
      <c r="E52" s="46" t="s">
        <v>91</v>
      </c>
      <c r="F52" s="46" t="s">
        <v>91</v>
      </c>
      <c r="G52" s="46" t="s">
        <v>91</v>
      </c>
      <c r="H52" s="46" t="s">
        <v>91</v>
      </c>
      <c r="I52" s="46" t="s">
        <v>91</v>
      </c>
      <c r="J52" s="46" t="s">
        <v>91</v>
      </c>
      <c r="K52" s="46" t="s">
        <v>91</v>
      </c>
      <c r="L52" s="46" t="s">
        <v>91</v>
      </c>
      <c r="M52" s="46" t="s">
        <v>91</v>
      </c>
      <c r="N52" s="46" t="s">
        <v>91</v>
      </c>
      <c r="O52" s="46" t="s">
        <v>91</v>
      </c>
      <c r="P52" s="46" t="s">
        <v>91</v>
      </c>
      <c r="Q52" s="46" t="s">
        <v>91</v>
      </c>
      <c r="R52" s="46" t="s">
        <v>91</v>
      </c>
      <c r="S52" s="46" t="s">
        <v>91</v>
      </c>
      <c r="T52" s="46" t="s">
        <v>91</v>
      </c>
      <c r="U52" s="46" t="s">
        <v>91</v>
      </c>
      <c r="V52" s="46" t="s">
        <v>91</v>
      </c>
      <c r="W52" s="46" t="s">
        <v>91</v>
      </c>
    </row>
    <row r="53" spans="1:23" x14ac:dyDescent="0.35">
      <c r="A53" s="47" t="s">
        <v>91</v>
      </c>
      <c r="B53" s="44" t="s">
        <v>91</v>
      </c>
      <c r="C53" s="44" t="s">
        <v>91</v>
      </c>
      <c r="D53" s="44" t="s">
        <v>91</v>
      </c>
      <c r="E53" s="44" t="s">
        <v>91</v>
      </c>
      <c r="F53" s="44" t="s">
        <v>91</v>
      </c>
      <c r="G53" s="44" t="s">
        <v>91</v>
      </c>
      <c r="H53" s="44" t="s">
        <v>91</v>
      </c>
      <c r="I53" s="44" t="s">
        <v>91</v>
      </c>
      <c r="J53" s="44" t="s">
        <v>91</v>
      </c>
      <c r="K53" s="44" t="s">
        <v>91</v>
      </c>
      <c r="L53" s="44" t="s">
        <v>91</v>
      </c>
      <c r="M53" s="44" t="s">
        <v>91</v>
      </c>
      <c r="N53" s="44" t="s">
        <v>91</v>
      </c>
      <c r="O53" s="44" t="s">
        <v>91</v>
      </c>
      <c r="P53" s="44" t="s">
        <v>91</v>
      </c>
      <c r="Q53" s="44" t="s">
        <v>91</v>
      </c>
      <c r="R53" s="44" t="s">
        <v>91</v>
      </c>
      <c r="S53" s="44" t="s">
        <v>91</v>
      </c>
      <c r="T53" s="44" t="s">
        <v>91</v>
      </c>
      <c r="U53" s="44" t="s">
        <v>91</v>
      </c>
      <c r="V53" s="44" t="s">
        <v>91</v>
      </c>
      <c r="W53" s="44" t="s">
        <v>91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Contract Data</vt:lpstr>
      <vt:lpstr>Sign-UpRenewal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Baljeet Singh</cp:lastModifiedBy>
  <cp:revision>1</cp:revision>
  <dcterms:created xsi:type="dcterms:W3CDTF">2026-03-31T13:28:54Z</dcterms:created>
  <dcterms:modified xsi:type="dcterms:W3CDTF">2026-04-03T06:20:57Z</dcterms:modified>
  <cp:category/>
  <cp:contentStatus/>
</cp:coreProperties>
</file>